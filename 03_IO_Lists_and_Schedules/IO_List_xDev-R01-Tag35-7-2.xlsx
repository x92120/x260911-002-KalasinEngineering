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2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x92120/xApp-001/x260911-002-KalasinEngineering/03_IO_Lists_and_Schedules/"/>
    </mc:Choice>
  </mc:AlternateContent>
  <xr:revisionPtr revIDLastSave="0" documentId="13_ncr:1_{292FE402-C957-0A4F-A8F6-B77F9210E5DF}" xr6:coauthVersionLast="47" xr6:coauthVersionMax="47" xr10:uidLastSave="{00000000-0000-0000-0000-000000000000}"/>
  <bookViews>
    <workbookView xWindow="36000" yWindow="0" windowWidth="38400" windowHeight="21600" activeTab="2" xr2:uid="{00000000-000D-0000-FFFF-FFFF00000000}"/>
  </bookViews>
  <sheets>
    <sheet name="Rev.3" sheetId="1" r:id="rId1"/>
    <sheet name="Sheet4" sheetId="2" r:id="rId2"/>
    <sheet name="IO List" sheetId="5" r:id="rId3"/>
    <sheet name="Slot_Description" sheetId="3" r:id="rId4"/>
    <sheet name="Terminal_List" sheetId="18" r:id="rId5"/>
    <sheet name="Sheet2" sheetId="6" r:id="rId6"/>
    <sheet name="Junction Box Config" sheetId="7" r:id="rId7"/>
    <sheet name="Sheet3" sheetId="8" r:id="rId8"/>
    <sheet name="Sheet1" sheetId="9" r:id="rId9"/>
    <sheet name="Table 1" sheetId="10" r:id="rId10"/>
    <sheet name="Card_Terminal" sheetId="11" r:id="rId11"/>
    <sheet name="Sheet1 (2)" sheetId="12" r:id="rId12"/>
    <sheet name="Summary Dashboard" sheetId="13" r:id="rId13"/>
    <sheet name="Row_by_Row_Comparison" sheetId="14" r:id="rId14"/>
    <sheet name="Missing_in_Dev (No Have)" sheetId="15" r:id="rId15"/>
    <sheet name="Extra_in_Dev (Not in Check)" sheetId="16" r:id="rId16"/>
    <sheet name="Attribute_Discrepancies" sheetId="17" r:id="rId17"/>
  </sheets>
  <externalReferences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</externalReferences>
  <definedNames>
    <definedName name="__123Graph_A" localSheetId="0" hidden="1">#REF!</definedName>
    <definedName name="__123Graph_A" hidden="1">#REF!</definedName>
    <definedName name="__123Graph_B" localSheetId="0" hidden="1">#REF!</definedName>
    <definedName name="__123Graph_B" hidden="1">#REF!</definedName>
    <definedName name="__123Graph_C" localSheetId="0" hidden="1">#REF!</definedName>
    <definedName name="__123Graph_C" hidden="1">#REF!</definedName>
    <definedName name="__123Graph_D" localSheetId="0" hidden="1">#REF!</definedName>
    <definedName name="__123Graph_D" hidden="1">#REF!</definedName>
    <definedName name="__123Graph_E" localSheetId="0" hidden="1">#REF!</definedName>
    <definedName name="__123Graph_E" hidden="1">#REF!</definedName>
    <definedName name="__123Graph_F" localSheetId="0" hidden="1">#REF!</definedName>
    <definedName name="__123Graph_F" hidden="1">#REF!</definedName>
    <definedName name="_1234" localSheetId="0" hidden="1">#REF!</definedName>
    <definedName name="_1234" hidden="1">#REF!</definedName>
    <definedName name="_Fill" localSheetId="0" hidden="1">#REF!</definedName>
    <definedName name="_Fill" hidden="1">#REF!</definedName>
    <definedName name="_xlnm._FilterDatabase" localSheetId="16" hidden="1">Attribute_Discrepancies!$A$1:$G$77</definedName>
    <definedName name="_xlnm._FilterDatabase" localSheetId="15" hidden="1">'Extra_in_Dev (Not in Check)'!$A$1:$L$86</definedName>
    <definedName name="_xlnm._FilterDatabase" localSheetId="14" hidden="1">'Missing_in_Dev (No Have)'!$A$1:$N$24</definedName>
    <definedName name="_xlnm._FilterDatabase" localSheetId="13" hidden="1">Row_by_Row_Comparison!$A$1:$T$473</definedName>
    <definedName name="_xlnm._FilterDatabase" localSheetId="9" hidden="1">'Table 1'!$A$7:$P$34</definedName>
    <definedName name="\P" localSheetId="0">#REF!</definedName>
    <definedName name="\P">#REF!</definedName>
    <definedName name="\P2" localSheetId="0">#REF!</definedName>
    <definedName name="\P2">#REF!</definedName>
    <definedName name="a" localSheetId="0">#REF!</definedName>
    <definedName name="a">#REF!</definedName>
    <definedName name="AboutApp">[1]!AboutApp</definedName>
    <definedName name="ACCESSORIES" localSheetId="0">#REF!,#REF!</definedName>
    <definedName name="ACCESSORIES">#REF!,#REF!</definedName>
    <definedName name="AREA_Load">#N/A</definedName>
    <definedName name="b">[2]df!$L$49</definedName>
    <definedName name="Back" localSheetId="0">[3]!Back</definedName>
    <definedName name="Back">[3]!Back</definedName>
    <definedName name="BGFD" localSheetId="0">#REF!</definedName>
    <definedName name="BGFD">#REF!</definedName>
    <definedName name="BringUserToAboutSheet">[4]!BringUserToAboutSheet</definedName>
    <definedName name="BringUserToCode">[4]!BringUserToCode</definedName>
    <definedName name="C_" localSheetId="0">#REF!</definedName>
    <definedName name="C_">#REF!</definedName>
    <definedName name="calibration" localSheetId="0">#REF!</definedName>
    <definedName name="calibration">#REF!</definedName>
    <definedName name="Cancel" localSheetId="0">[5]!Cancel</definedName>
    <definedName name="Cancel">[5]!Cancel</definedName>
    <definedName name="CBLDLG_Add">#N/A</definedName>
    <definedName name="CBLDlg_Cancel">#N/A</definedName>
    <definedName name="CBLDLG_Delete">#N/A</definedName>
    <definedName name="CBLDLG_Edit">#N/A</definedName>
    <definedName name="CBLDLG_Hide">#N/A</definedName>
    <definedName name="CBLDLG_Load">#N/A</definedName>
    <definedName name="CBLDLG_Next">#N/A</definedName>
    <definedName name="CBLDLG_Prev">#N/A</definedName>
    <definedName name="CBLDLG_Show">#N/A</definedName>
    <definedName name="CBLDlg_Update">#N/A</definedName>
    <definedName name="cbocablemotor_click">#N/A</definedName>
    <definedName name="cboCBL_click">#N/A</definedName>
    <definedName name="cbocshMCC_click">#N/A</definedName>
    <definedName name="cboDesignation_click">#N/A</definedName>
    <definedName name="cboDoc_click">#N/A</definedName>
    <definedName name="cbomotor_click">#N/A</definedName>
    <definedName name="cmdEquipment_click">#N/A</definedName>
    <definedName name="COEFF_DATA" localSheetId="0">#REF!,#REF!,#REF!,#REF!,#REF!</definedName>
    <definedName name="COEFF_DATA">#REF!,#REF!,#REF!,#REF!,#REF!</definedName>
    <definedName name="CON" localSheetId="0">#REF!</definedName>
    <definedName name="CON">#REF!</definedName>
    <definedName name="CONTACTOR">[6]contactor!$A$5:$J$37</definedName>
    <definedName name="CopyProject">[1]!CopyProject</definedName>
    <definedName name="Copyright" hidden="1">"© 1995 Worley Limited"</definedName>
    <definedName name="cover" localSheetId="0">[7]NOTES!#REF!,[7]NOTES!#REF!,[7]NOTES!#REF!,[7]NOTES!#REF!,[7]NOTES!#REF!</definedName>
    <definedName name="cover">[7]NOTES!#REF!,[7]NOTES!#REF!,[7]NOTES!#REF!,[7]NOTES!#REF!,[7]NOTES!#REF!</definedName>
    <definedName name="CSHDLG_Add">#N/A</definedName>
    <definedName name="CSHDlg_Cancel">#N/A</definedName>
    <definedName name="CSHDLG_Delete">#N/A</definedName>
    <definedName name="CSHDLG_Edit">#N/A</definedName>
    <definedName name="CSHDLG_Hide">#N/A</definedName>
    <definedName name="CSHDLG_Load">#N/A</definedName>
    <definedName name="CSHDLG_Next">#N/A</definedName>
    <definedName name="CSHDLG_Prev">#N/A</definedName>
    <definedName name="CSHDLG_Show">#N/A</definedName>
    <definedName name="CSHDlg_Update">#N/A</definedName>
    <definedName name="Cv">'[8]NPCPP-70-DS-017'!$E$183</definedName>
    <definedName name="Cv_a">'[8]NPCPP-70-DS-017'!$E$164</definedName>
    <definedName name="D" localSheetId="0">#REF!</definedName>
    <definedName name="D">#REF!</definedName>
    <definedName name="den_A">[2]df!$G$55</definedName>
    <definedName name="DESIGN_CONST" localSheetId="0">#REF!,#REF!,#REF!,#REF!,#REF!,#REF!,#REF!,#REF!,#REF!,#REF!,#REF!,#REF!,#REF!,#REF!,#REF!,#REF!,#REF!,#REF!,#REF!,#REF!,#REF!,#REF!,#REF!,#REF!,#REF!,#REF!,#REF!</definedName>
    <definedName name="DESIGN_CONST">#REF!,#REF!,#REF!,#REF!,#REF!,#REF!,#REF!,#REF!,#REF!,#REF!,#REF!,#REF!,#REF!,#REF!,#REF!,#REF!,#REF!,#REF!,#REF!,#REF!,#REF!,#REF!,#REF!,#REF!,#REF!,#REF!,#REF!</definedName>
    <definedName name="Di">[2]df!$K$19</definedName>
    <definedName name="dP">'[8]NPCPP-70-DS-017'!$D$129</definedName>
    <definedName name="DRIVER_INFO">'[9]SPEC SHEET'!$X$54,'[9]SPEC SHEET'!$X$55,'[9]SPEC SHEET'!$U$56:$U$65,'[9]SPEC SHEET'!$AI$54,'[9]SPEC SHEET'!$AI$55,'[9]SPEC SHEET'!$AF$56:$AF$65</definedName>
    <definedName name="DropData" localSheetId="0">[3]!DropData</definedName>
    <definedName name="DropData">[3]!DropData</definedName>
    <definedName name="DS_No" localSheetId="0">#REF!</definedName>
    <definedName name="DS_No">#REF!</definedName>
    <definedName name="E" localSheetId="0">#REF!</definedName>
    <definedName name="E">#REF!</definedName>
    <definedName name="equip_date">[10]PLANT!$I$17</definedName>
    <definedName name="equip_rev">[10]PLANT!$H$17</definedName>
    <definedName name="equipData" localSheetId="0">OFFSET(#REF!,0,0,COUNTA(#REF!)-1,7)</definedName>
    <definedName name="equipData">OFFSET(#REF!,0,0,COUNTA(#REF!)-1,7)</definedName>
    <definedName name="equipData1" localSheetId="0">OFFSET(#REF!,0,0,COUNTA(#REF!)-1,2)</definedName>
    <definedName name="equipData1">OFFSET(#REF!,0,0,COUNTA(#REF!)-1,2)</definedName>
    <definedName name="equipData2" localSheetId="0">OFFSET(#REF!,0,2,COUNTA(#REF!)-1,5)</definedName>
    <definedName name="equipData2">OFFSET(#REF!,0,2,COUNTA(#REF!)-1,5)</definedName>
    <definedName name="f" localSheetId="0">#REF!</definedName>
    <definedName name="f">#REF!</definedName>
    <definedName name="Fd">'[8]NPCPP-70-DS-017'!$E$145</definedName>
    <definedName name="Feststoffdosierung" localSheetId="0">#REF!</definedName>
    <definedName name="Feststoffdosierung">#REF!</definedName>
    <definedName name="ff" localSheetId="0">#REF!</definedName>
    <definedName name="ff">#REF!</definedName>
    <definedName name="Fitting2" localSheetId="0">[3]!Fitting2</definedName>
    <definedName name="Fitting2">[3]!Fitting2</definedName>
    <definedName name="Fittings" localSheetId="0">[3]!Fittings</definedName>
    <definedName name="Fittings">[3]!Fittings</definedName>
    <definedName name="Fk.Xt">'[8]NPCPP-70-DS-017'!$E$154</definedName>
    <definedName name="FL">'[8]NPCPP-70-DS-017'!$E$139</definedName>
    <definedName name="Flow">'[8]NPCPP-70-DS-017'!$E$130</definedName>
    <definedName name="Fp">'[8]NPCPP-70-DS-017'!$E$131</definedName>
    <definedName name="Fr">'[8]NPCPP-70-DS-017'!$E$147</definedName>
    <definedName name="g">[2]df!$G$50</definedName>
    <definedName name="GENERAL_INFO" localSheetId="0">#REF!,#REF!,#REF!,#REF!,#REF!,#REF!,#REF!,#REF!</definedName>
    <definedName name="GENERAL_INFO">#REF!,#REF!,#REF!,#REF!,#REF!,#REF!,#REF!,#REF!</definedName>
    <definedName name="h">[2]df!$K$18</definedName>
    <definedName name="HEADER_INFO" localSheetId="0">#REF!,#REF!,#REF!,#REF!,#REF!,#REF!,#REF!,#REF!,#REF!,#REF!,#REF!,#REF!,#REF!,#REF!,#REF!,#REF!,#REF!,#REF!</definedName>
    <definedName name="HEADER_INFO">#REF!,#REF!,#REF!,#REF!,#REF!,#REF!,#REF!,#REF!,#REF!,#REF!,#REF!,#REF!,#REF!,#REF!,#REF!,#REF!,#REF!,#REF!</definedName>
    <definedName name="HTML_CodePage" hidden="1">1252</definedName>
    <definedName name="HTML_Control" hidden="1">{"'DocTypeCode'!$A$142:$A$226"}</definedName>
    <definedName name="HTML_Description" hidden="1">""</definedName>
    <definedName name="HTML_Email" hidden="1">""</definedName>
    <definedName name="HTML_Header" hidden="1">"DocTypeCode"</definedName>
    <definedName name="HTML_LastUpdate" hidden="1">"14/04/2000"</definedName>
    <definedName name="HTML_LineAfter" hidden="1">FALSE</definedName>
    <definedName name="HTML_LineBefore" hidden="1">FALSE</definedName>
    <definedName name="HTML_Name" hidden="1">"A1951"</definedName>
    <definedName name="HTML_OBDlg2" hidden="1">TRUE</definedName>
    <definedName name="HTML_OBDlg4" hidden="1">TRUE</definedName>
    <definedName name="HTML_OS" hidden="1">0</definedName>
    <definedName name="HTML_PathFile" hidden="1">"P:\bayer\09_Project specifications\02_Project Specific Standards and Specifications\Project Engineering\MyHTML.htm"</definedName>
    <definedName name="HTML_Title" hidden="1">"19940-1900A1Rev01 Appendix 1"</definedName>
    <definedName name="Inlet">'[8]NPCPP-70-DS-017'!$Q$4</definedName>
    <definedName name="Inlet_d">'[8]NPCPP-70-DS-017'!$E$144</definedName>
    <definedName name="instrumData" localSheetId="0">OFFSET([10]INSTRUMENT!#REF!,0,0,COUNTA([10]INSTRUMENT!$A:$A)-1,13)</definedName>
    <definedName name="instrumData">OFFSET([10]INSTRUMENT!#REF!,0,0,COUNTA([10]INSTRUMENT!$A:$A)-1,13)</definedName>
    <definedName name="instrumData1" localSheetId="0">OFFSET([10]INSTRUMENT!#REF!,0,0,COUNTA([10]INSTRUMENT!$A:$A)-1,2)</definedName>
    <definedName name="instrumData1">OFFSET([10]INSTRUMENT!#REF!,0,0,COUNTA([10]INSTRUMENT!$A:$A)-1,2)</definedName>
    <definedName name="instrumData2" localSheetId="0">OFFSET([10]INSTRUMENT!#REF!,0,2,COUNTA([10]INSTRUMENT!$A:$A)-1,11)</definedName>
    <definedName name="instrumData2">OFFSET([10]INSTRUMENT!#REF!,0,2,COUNTA([10]INSTRUMENT!$A:$A)-1,11)</definedName>
    <definedName name="io" localSheetId="0" hidden="1">#REF!</definedName>
    <definedName name="io" hidden="1">#REF!</definedName>
    <definedName name="itemData">OFFSET([10]SpecITEM!$A$9,0,0,COUNTA([10]SpecITEM!$A:$A)-1,11)</definedName>
    <definedName name="itemData1">OFFSET([10]SpecITEM!$A$9,0,0,COUNTA([10]SpecITEM!$A:$A)-1,2)</definedName>
    <definedName name="itemData2">OFFSET([10]SpecITEM!$A$9,0,2,COUNTA([10]SpecITEM!$A:$A)-1,9)</definedName>
    <definedName name="jeProjectLocation">'[11]Front Page'!$A$9</definedName>
    <definedName name="jeProjectName">'[11]Front Page'!$A$7</definedName>
    <definedName name="jeSopID">'[11]Front Page'!$D$19</definedName>
    <definedName name="K">'[8]NPCPP-70-DS-017'!$D$135</definedName>
    <definedName name="L">[2]df!$L$54</definedName>
    <definedName name="Lasten" localSheetId="0">#REF!</definedName>
    <definedName name="Lasten">#REF!</definedName>
    <definedName name="Lasten_USUnits" localSheetId="0">#REF!</definedName>
    <definedName name="Lasten_USUnits">#REF!</definedName>
    <definedName name="LCSDLG_Load">#N/A</definedName>
    <definedName name="lineDat" localSheetId="0">OFFSET(#REF!,0,0,COUNTA(#REF!)-1,15)</definedName>
    <definedName name="lineDat">OFFSET(#REF!,0,0,COUNTA(#REF!)-1,15)</definedName>
    <definedName name="lineDat1" localSheetId="0">OFFSET(#REF!,0,0,COUNTA(#REF!)-1,2)</definedName>
    <definedName name="lineDat1">OFFSET(#REF!,0,0,COUNTA(#REF!)-1,2)</definedName>
    <definedName name="lineDat2" localSheetId="0">OFFSET(#REF!,0,2,COUNTA(#REF!)-1,13)</definedName>
    <definedName name="lineDat2">OFFSET(#REF!,0,2,COUNTA(#REF!)-1,13)</definedName>
    <definedName name="lineData">OFFSET([10]LINE_Sc!$A$11,0,0,COUNTA([10]LINE_Sc!$A:$A)-1,15)</definedName>
    <definedName name="lineData1">OFFSET([10]LINE_Sc!$A$11,0,0,COUNTA([10]LINE_Sc!$A:$A)-1,2)</definedName>
    <definedName name="lineData2">OFFSET([10]LINE_Sc!$A$11,0,2,COUNTA([10]LINE_Sc!$A:$A)-1,13)</definedName>
    <definedName name="make" localSheetId="0">#REF!</definedName>
    <definedName name="make">#REF!</definedName>
    <definedName name="manday" localSheetId="0">#REF!</definedName>
    <definedName name="manday">#REF!</definedName>
    <definedName name="material" localSheetId="0">#REF!</definedName>
    <definedName name="material">#REF!</definedName>
    <definedName name="MATERIAL_OF_CONST">'[9]SPEC SHEET'!$T$45:$T$51,'[9]SPEC SHEET'!$O$50:$O$51,'[9]SPEC SHEET'!$Z$45:$Z$51,'[9]SPEC SHEET'!$U$49:$U$51</definedName>
    <definedName name="MCCDLG_Load">#N/A</definedName>
    <definedName name="MECHANICAL_INFO" localSheetId="0">'[9]SPEC SHEET'!$M$22,'[9]SPEC SHEET'!$M$22:$M$29,'[9]SPEC SHEET'!#REF!,'[9]SPEC SHEET'!#REF!,'[9]SPEC SHEET'!$AG$22:$AG$29,'[9]SPEC SHEET'!$Z$51,'[9]SPEC SHEET'!$R$30:$R$35,'[9]SPEC SHEET'!$AG$30:$AG$34,'[9]SPEC SHEET'!$C$37,'[9]SPEC SHEET'!$R$36:$R$37,'[9]SPEC SHEET'!$AG$33:$AG$34,'[9]SPEC SHEET'!$G$39:$G$43,'[9]SPEC SHEET'!$I$39:$I$43,'[9]SPEC SHEET'!$L$39:$L$43,'[9]SPEC SHEET'!$O$39:$O$43,'[9]SPEC SHEET'!$AG$35:$AG$41,'[9]SPEC SHEET'!$X$40:$X$41,'[9]SPEC SHEET'!$N$44:$N$64</definedName>
    <definedName name="MECHANICAL_INFO">'[9]SPEC SHEET'!$M$22,'[9]SPEC SHEET'!$M$22:$M$29,'[9]SPEC SHEET'!#REF!,'[9]SPEC SHEET'!#REF!,'[9]SPEC SHEET'!$AG$22:$AG$29,'[9]SPEC SHEET'!$Z$51,'[9]SPEC SHEET'!$R$30:$R$35,'[9]SPEC SHEET'!$AG$30:$AG$34,'[9]SPEC SHEET'!$C$37,'[9]SPEC SHEET'!$R$36:$R$37,'[9]SPEC SHEET'!$AG$33:$AG$34,'[9]SPEC SHEET'!$G$39:$G$43,'[9]SPEC SHEET'!$I$39:$I$43,'[9]SPEC SHEET'!$L$39:$L$43,'[9]SPEC SHEET'!$O$39:$O$43,'[9]SPEC SHEET'!$AG$35:$AG$41,'[9]SPEC SHEET'!$X$40:$X$41,'[9]SPEC SHEET'!$N$44:$N$64</definedName>
    <definedName name="model" localSheetId="0">#REF!</definedName>
    <definedName name="model">#REF!</definedName>
    <definedName name="Module9.DropData" localSheetId="0">[12]!Module9.DropData</definedName>
    <definedName name="Module9.DropData">[12]!Module9.DropData</definedName>
    <definedName name="Module9.Fittings" localSheetId="0">[12]!Module9.Fittings</definedName>
    <definedName name="Module9.Fittings">[12]!Module9.Fittings</definedName>
    <definedName name="motorData">OFFSET([10]MOTOR!$A$9,0,0,COUNTA([10]MOTOR!$A:$A)-1,8)</definedName>
    <definedName name="motorData1">OFFSET([10]MOTOR!$A$9,0,0,COUNTA([10]MOTOR!$A:$A)-1,2)</definedName>
    <definedName name="motorData2">OFFSET([10]MOTOR!$A$9,0,2,COUNTA([10]MOTOR!$A:$A)-1,6)</definedName>
    <definedName name="MTRDLG_Add">#N/A</definedName>
    <definedName name="MTRDlg_Cancel">#N/A</definedName>
    <definedName name="MTRDLG_Delete">#N/A</definedName>
    <definedName name="MTRDLG_Edit">#N/A</definedName>
    <definedName name="MTRDLG_Hide">#N/A</definedName>
    <definedName name="MTRDLG_Load">#N/A</definedName>
    <definedName name="MTRDLG_Next">#N/A</definedName>
    <definedName name="MTRDLG_Prev">#N/A</definedName>
    <definedName name="MTRDLG_Schedule">#N/A</definedName>
    <definedName name="MTRDLG_Show">#N/A</definedName>
    <definedName name="MTRDlg_Update">#N/A</definedName>
    <definedName name="MW">'[8]NPCPP-70-DS-017'!$E$135</definedName>
    <definedName name="N.1">'[8]NPCPP-70-DS-017'!$C$110</definedName>
    <definedName name="N.2">'[8]NPCPP-70-DS-017'!$C$111</definedName>
    <definedName name="N.4">'[8]NPCPP-70-DS-017'!$C$112</definedName>
    <definedName name="N.5">'[8]NPCPP-70-DS-017'!$C$113</definedName>
    <definedName name="N.6">'[8]NPCPP-70-DS-017'!$C$114</definedName>
    <definedName name="N.7">'[8]NPCPP-70-DS-017'!$C$115</definedName>
    <definedName name="N.8">'[8]NPCPP-70-DS-017'!$C$116</definedName>
    <definedName name="N.9">'[8]NPCPP-70-DS-017'!$C$117</definedName>
    <definedName name="NewLiquid" localSheetId="0">[3]!NewLiquid</definedName>
    <definedName name="NewLiquid">[3]!NewLiquid</definedName>
    <definedName name="NewProject">[1]!NewProject</definedName>
    <definedName name="NewVapor" localSheetId="0">[3]!NewVapor</definedName>
    <definedName name="NewVapor">[3]!NewVapor</definedName>
    <definedName name="NOTE4" localSheetId="0">#REF!</definedName>
    <definedName name="NOTE4">#REF!</definedName>
    <definedName name="NOTES" localSheetId="0">#REF!</definedName>
    <definedName name="NOTES">#REF!</definedName>
    <definedName name="NOTES_OTHER" localSheetId="0">#REF!,#REF!</definedName>
    <definedName name="NOTES_OTHER">#REF!,#REF!</definedName>
    <definedName name="NOZZLE_DATA" localSheetId="0">#REF!,#REF!,#REF!,#REF!</definedName>
    <definedName name="NOZZLE_DATA">#REF!,#REF!,#REF!,#REF!</definedName>
    <definedName name="oldData" localSheetId="0">OFFSET(#REF!,0,0,COUNTA(#REF!)-1,7)</definedName>
    <definedName name="oldData">OFFSET(#REF!,0,0,COUNTA(#REF!)-1,7)</definedName>
    <definedName name="OpenProject">[1]!OpenProject</definedName>
    <definedName name="Outlet">'[8]NPCPP-70-DS-017'!$R$4</definedName>
    <definedName name="parts">'[8]NPCPP-70-DS-017'!$O$12:$O$22</definedName>
    <definedName name="Pc">'[8]NPCPP-70-DS-017'!$E$138</definedName>
    <definedName name="PDU">'[8]NPCPP-70-DS-017'!$F$110</definedName>
    <definedName name="PERFORM_DATA" localSheetId="0">#REF!,#REF!,#REF!</definedName>
    <definedName name="PERFORM_DATA">#REF!,#REF!,#REF!</definedName>
    <definedName name="PHYSICAL_PROPS" localSheetId="0">#REF!,#REF!,#REF!,#REF!,#REF!</definedName>
    <definedName name="PHYSICAL_PROPS">#REF!,#REF!,#REF!,#REF!,#REF!</definedName>
    <definedName name="Pin">'[8]NPCPP-70-DS-017'!$D$127</definedName>
    <definedName name="pipesizelist">[13]DN_Table!$Q$9:$Q$30</definedName>
    <definedName name="plant_no">[10]PLANT!$E$7</definedName>
    <definedName name="po" localSheetId="0" hidden="1">#REF!</definedName>
    <definedName name="po" hidden="1">#REF!</definedName>
    <definedName name="PODetail" localSheetId="0">#REF!</definedName>
    <definedName name="PODetail">#REF!</definedName>
    <definedName name="Pout">'[8]NPCPP-70-DS-017'!$E$127</definedName>
    <definedName name="PREPD" localSheetId="0">#REF!</definedName>
    <definedName name="PREPD">#REF!</definedName>
    <definedName name="PRINT">'[8]NPCPP-70-DS-017'!$A$7:$K$97</definedName>
    <definedName name="_xlnm.Print_Area" localSheetId="0">'Rev.3'!$B$1:$S$512</definedName>
    <definedName name="Print_Area_MI" localSheetId="0">#REF!</definedName>
    <definedName name="Print_Area_MI">#REF!</definedName>
    <definedName name="Print_Area2" localSheetId="0">#REF!</definedName>
    <definedName name="Print_Area2">#REF!</definedName>
    <definedName name="_xlnm.Print_Titles" localSheetId="0">'Rev.3'!$1:$4</definedName>
    <definedName name="PRJDLG_Cancel">#N/A</definedName>
    <definedName name="PRJDLG_Close">#N/A</definedName>
    <definedName name="PRJDLG_Edit">#N/A</definedName>
    <definedName name="PRJDLG_Load">#N/A</definedName>
    <definedName name="PRJDLG_Show">#N/A</definedName>
    <definedName name="PRJDLG_Update">#N/A</definedName>
    <definedName name="proc_eng">[10]PLANT!$E$11</definedName>
    <definedName name="PROCESS_DATA" localSheetId="0">#REF!,#REF!,#REF!,#REF!,#REF!</definedName>
    <definedName name="PROCESS_DATA">#REF!,#REF!,#REF!,#REF!,#REF!</definedName>
    <definedName name="PROCESS_INFO" localSheetId="0">#REF!,#REF!,#REF!,#REF!,#REF!,#REF!,#REF!</definedName>
    <definedName name="PROCESS_INFO">#REF!,#REF!,#REF!,#REF!,#REF!,#REF!,#REF!</definedName>
    <definedName name="proj_name">[10]PLANT!$E$9</definedName>
    <definedName name="proj_no">[10]PLANT!$E$8</definedName>
    <definedName name="Pv">'[8]NPCPP-70-DS-017'!$E$137</definedName>
    <definedName name="Pvc">'[8]NPCPP-70-DS-017'!$E$153</definedName>
    <definedName name="Range_Access_2PHOXO">#N/A</definedName>
    <definedName name="Range_Access_BEU">#N/A</definedName>
    <definedName name="Range_Access_IBPIB">#N/A</definedName>
    <definedName name="Re">'[8]NPCPP-70-DS-017'!$E$146</definedName>
    <definedName name="README" localSheetId="0">#REF!</definedName>
    <definedName name="README">#REF!</definedName>
    <definedName name="RESET" localSheetId="0">'[14]Process Data 1'!#REF!</definedName>
    <definedName name="RESET">'[14]Process Data 1'!#REF!</definedName>
    <definedName name="REV" localSheetId="0">#REF!</definedName>
    <definedName name="REV">#REF!</definedName>
    <definedName name="REVISION_DATA" localSheetId="0">#REF!,#REF!,#REF!,#REF!,#REF!,#REF!,#REF!,#REF!,#REF!,#REF!,#REF!,#REF!,#REF!,#REF!,#REF!,#REF!,#REF!,#REF!</definedName>
    <definedName name="REVISION_DATA">#REF!,#REF!,#REF!,#REF!,#REF!,#REF!,#REF!,#REF!,#REF!,#REF!,#REF!,#REF!,#REF!,#REF!,#REF!,#REF!,#REF!,#REF!</definedName>
    <definedName name="REVISION_INFO" localSheetId="0">#REF!,#REF!,#REF!,#REF!,#REF!,#REF!,#REF!,#REF!,#REF!,#REF!,#REF!,#REF!,#REF!,#REF!,#REF!,#REF!,#REF!,#REF!</definedName>
    <definedName name="REVISION_INFO">#REF!,#REF!,#REF!,#REF!,#REF!,#REF!,#REF!,#REF!,#REF!,#REF!,#REF!,#REF!,#REF!,#REF!,#REF!,#REF!,#REF!,#REF!</definedName>
    <definedName name="s" localSheetId="0" hidden="1">#REF!</definedName>
    <definedName name="s" hidden="1">#REF!</definedName>
    <definedName name="selectDia" localSheetId="0">[5]!selectDia</definedName>
    <definedName name="selectDia">[5]!selectDia</definedName>
    <definedName name="servlist" localSheetId="0">#REF!</definedName>
    <definedName name="servlist">#REF!</definedName>
    <definedName name="SG">'[8]NPCPP-70-DS-017'!$E$136</definedName>
    <definedName name="STAN" localSheetId="0">#REF!</definedName>
    <definedName name="STAN">#REF!</definedName>
    <definedName name="StartChart">[4]!StartChart</definedName>
    <definedName name="StartSeller">[4]!StartSeller</definedName>
    <definedName name="T_0_">'[8]NPCPP-70-DS-017'!$C$119</definedName>
    <definedName name="TA">[2]df!$L$53</definedName>
    <definedName name="taglist" localSheetId="0">#REF!</definedName>
    <definedName name="taglist">#REF!</definedName>
    <definedName name="Tair">[2]un!$K$7</definedName>
    <definedName name="title" localSheetId="0">#REF!</definedName>
    <definedName name="title">#REF!</definedName>
    <definedName name="Tr">[2]un!$K$8</definedName>
    <definedName name="Tr_Tair">[2]un!$K$9</definedName>
    <definedName name="TV">[2]df!$L$52</definedName>
    <definedName name="vs" localSheetId="0" hidden="1">#REF!</definedName>
    <definedName name="vs" hidden="1">#REF!</definedName>
    <definedName name="Xt">'[8]NPCPP-70-DS-017'!$D$131</definedName>
    <definedName name="xx" localSheetId="0">#REF!</definedName>
    <definedName name="xx">#REF!</definedName>
    <definedName name="xxx">[15]Level3!$A$110:$K$130</definedName>
    <definedName name="Y">'[8]NPCPP-70-DS-017'!$E$151</definedName>
    <definedName name="zzz" localSheetId="0">#REF!</definedName>
    <definedName name="zzz">#REF!</definedName>
  </definedNames>
  <calcPr calcId="191029"/>
  <pivotCaches>
    <pivotCache cacheId="0" r:id="rId3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302" i="5" l="1"/>
  <c r="AQ302" i="5"/>
  <c r="AP302" i="5"/>
  <c r="AD302" i="5"/>
  <c r="Z302" i="5"/>
  <c r="C302" i="5" s="1"/>
  <c r="Y302" i="5"/>
  <c r="X302" i="5"/>
  <c r="AA302" i="5" s="1"/>
  <c r="D302" i="5" s="1"/>
  <c r="V302" i="5"/>
  <c r="T302" i="5"/>
  <c r="G302" i="5" s="1"/>
  <c r="S302" i="5"/>
  <c r="Q302" i="5"/>
  <c r="M302" i="5"/>
  <c r="I302" i="5"/>
  <c r="AS301" i="5"/>
  <c r="AQ301" i="5"/>
  <c r="AP301" i="5"/>
  <c r="AD301" i="5"/>
  <c r="Z301" i="5"/>
  <c r="C301" i="5" s="1"/>
  <c r="Y301" i="5"/>
  <c r="X301" i="5"/>
  <c r="AA301" i="5" s="1"/>
  <c r="D301" i="5" s="1"/>
  <c r="V301" i="5"/>
  <c r="T301" i="5"/>
  <c r="G301" i="5" s="1"/>
  <c r="S301" i="5"/>
  <c r="Q301" i="5"/>
  <c r="M301" i="5"/>
  <c r="I301" i="5"/>
  <c r="AS300" i="5"/>
  <c r="AQ300" i="5"/>
  <c r="AP300" i="5"/>
  <c r="AD300" i="5"/>
  <c r="Z300" i="5"/>
  <c r="C300" i="5" s="1"/>
  <c r="Y300" i="5"/>
  <c r="X300" i="5"/>
  <c r="AA300" i="5" s="1"/>
  <c r="D300" i="5" s="1"/>
  <c r="V300" i="5"/>
  <c r="T300" i="5"/>
  <c r="G300" i="5" s="1"/>
  <c r="S300" i="5"/>
  <c r="Q300" i="5"/>
  <c r="M300" i="5"/>
  <c r="I300" i="5"/>
  <c r="AS7" i="5"/>
  <c r="AS8" i="5"/>
  <c r="AS9" i="5"/>
  <c r="AS10" i="5"/>
  <c r="AS11" i="5"/>
  <c r="AS12" i="5"/>
  <c r="AS13" i="5"/>
  <c r="AS14" i="5"/>
  <c r="AS15" i="5"/>
  <c r="AS16" i="5"/>
  <c r="AS17" i="5"/>
  <c r="AS18" i="5"/>
  <c r="AS19" i="5"/>
  <c r="AS20" i="5"/>
  <c r="AS21" i="5"/>
  <c r="AS22" i="5"/>
  <c r="AS23" i="5"/>
  <c r="AS24" i="5"/>
  <c r="AS25" i="5"/>
  <c r="AS26" i="5"/>
  <c r="AS27" i="5"/>
  <c r="AS28" i="5"/>
  <c r="AS29" i="5"/>
  <c r="AS30" i="5"/>
  <c r="AS31" i="5"/>
  <c r="AS32" i="5"/>
  <c r="AS33" i="5"/>
  <c r="AS34" i="5"/>
  <c r="AS35" i="5"/>
  <c r="AS36" i="5"/>
  <c r="AS37" i="5"/>
  <c r="AS38" i="5"/>
  <c r="AS39" i="5"/>
  <c r="AS40" i="5"/>
  <c r="AS41" i="5"/>
  <c r="AS42" i="5"/>
  <c r="AS43" i="5"/>
  <c r="AS44" i="5"/>
  <c r="AS45" i="5"/>
  <c r="AS46" i="5"/>
  <c r="AS47" i="5"/>
  <c r="AS48" i="5"/>
  <c r="AS49" i="5"/>
  <c r="AS50" i="5"/>
  <c r="AS51" i="5"/>
  <c r="AS52" i="5"/>
  <c r="AS53" i="5"/>
  <c r="AS54" i="5"/>
  <c r="AS55" i="5"/>
  <c r="AS56" i="5"/>
  <c r="AS57" i="5"/>
  <c r="AS58" i="5"/>
  <c r="AS59" i="5"/>
  <c r="AS60" i="5"/>
  <c r="AS61" i="5"/>
  <c r="AS62" i="5"/>
  <c r="AS63" i="5"/>
  <c r="AS64" i="5"/>
  <c r="AS65" i="5"/>
  <c r="AS66" i="5"/>
  <c r="AS67" i="5"/>
  <c r="AS68" i="5"/>
  <c r="AS69" i="5"/>
  <c r="AS70" i="5"/>
  <c r="AS71" i="5"/>
  <c r="AS72" i="5"/>
  <c r="AS73" i="5"/>
  <c r="AS74" i="5"/>
  <c r="AS75" i="5"/>
  <c r="AS76" i="5"/>
  <c r="AS77" i="5"/>
  <c r="AS78" i="5"/>
  <c r="AS79" i="5"/>
  <c r="AS80" i="5"/>
  <c r="AS81" i="5"/>
  <c r="AS82" i="5"/>
  <c r="AS83" i="5"/>
  <c r="AS84" i="5"/>
  <c r="AS85" i="5"/>
  <c r="AS86" i="5"/>
  <c r="AS87" i="5"/>
  <c r="AS88" i="5"/>
  <c r="AS89" i="5"/>
  <c r="AS90" i="5"/>
  <c r="AS91" i="5"/>
  <c r="AS92" i="5"/>
  <c r="AS93" i="5"/>
  <c r="AS94" i="5"/>
  <c r="AS95" i="5"/>
  <c r="AS96" i="5"/>
  <c r="AS97" i="5"/>
  <c r="AS98" i="5"/>
  <c r="AS99" i="5"/>
  <c r="AS100" i="5"/>
  <c r="AS101" i="5"/>
  <c r="AS102" i="5"/>
  <c r="AS103" i="5"/>
  <c r="AS104" i="5"/>
  <c r="AS105" i="5"/>
  <c r="AS106" i="5"/>
  <c r="AS107" i="5"/>
  <c r="AS108" i="5"/>
  <c r="AS109" i="5"/>
  <c r="AS110" i="5"/>
  <c r="AS111" i="5"/>
  <c r="AS112" i="5"/>
  <c r="AS113" i="5"/>
  <c r="AS114" i="5"/>
  <c r="AS115" i="5"/>
  <c r="AS116" i="5"/>
  <c r="AS117" i="5"/>
  <c r="AS118" i="5"/>
  <c r="AS119" i="5"/>
  <c r="AS120" i="5"/>
  <c r="AS121" i="5"/>
  <c r="AS122" i="5"/>
  <c r="AS123" i="5"/>
  <c r="AS124" i="5"/>
  <c r="AS125" i="5"/>
  <c r="AS126" i="5"/>
  <c r="AS127" i="5"/>
  <c r="AS128" i="5"/>
  <c r="AS129" i="5"/>
  <c r="AS130" i="5"/>
  <c r="AS131" i="5"/>
  <c r="AS132" i="5"/>
  <c r="AS133" i="5"/>
  <c r="AS134" i="5"/>
  <c r="AS135" i="5"/>
  <c r="AS136" i="5"/>
  <c r="AS137" i="5"/>
  <c r="AS138" i="5"/>
  <c r="AS139" i="5"/>
  <c r="AS140" i="5"/>
  <c r="AS141" i="5"/>
  <c r="AS142" i="5"/>
  <c r="AS143" i="5"/>
  <c r="AS144" i="5"/>
  <c r="AS145" i="5"/>
  <c r="AS146" i="5"/>
  <c r="AS147" i="5"/>
  <c r="AS148" i="5"/>
  <c r="AS149" i="5"/>
  <c r="AS150" i="5"/>
  <c r="AS151" i="5"/>
  <c r="AS152" i="5"/>
  <c r="AS153" i="5"/>
  <c r="AS154" i="5"/>
  <c r="AS155" i="5"/>
  <c r="AS156" i="5"/>
  <c r="AS157" i="5"/>
  <c r="AS158" i="5"/>
  <c r="AS159" i="5"/>
  <c r="AS160" i="5"/>
  <c r="AS161" i="5"/>
  <c r="AS162" i="5"/>
  <c r="AS163" i="5"/>
  <c r="AS164" i="5"/>
  <c r="AS165" i="5"/>
  <c r="AS166" i="5"/>
  <c r="AS167" i="5"/>
  <c r="AS168" i="5"/>
  <c r="AS169" i="5"/>
  <c r="AS170" i="5"/>
  <c r="AS171" i="5"/>
  <c r="AS172" i="5"/>
  <c r="AS173" i="5"/>
  <c r="AS174" i="5"/>
  <c r="AS175" i="5"/>
  <c r="AS176" i="5"/>
  <c r="AS177" i="5"/>
  <c r="AS178" i="5"/>
  <c r="AS179" i="5"/>
  <c r="AS180" i="5"/>
  <c r="AS181" i="5"/>
  <c r="AS182" i="5"/>
  <c r="AS183" i="5"/>
  <c r="AS184" i="5"/>
  <c r="AS185" i="5"/>
  <c r="AS186" i="5"/>
  <c r="AS187" i="5"/>
  <c r="AS188" i="5"/>
  <c r="AS189" i="5"/>
  <c r="AS190" i="5"/>
  <c r="AS191" i="5"/>
  <c r="AS192" i="5"/>
  <c r="AS193" i="5"/>
  <c r="AS194" i="5"/>
  <c r="AS195" i="5"/>
  <c r="AS196" i="5"/>
  <c r="AS197" i="5"/>
  <c r="AS198" i="5"/>
  <c r="AS199" i="5"/>
  <c r="AS200" i="5"/>
  <c r="AS201" i="5"/>
  <c r="AS202" i="5"/>
  <c r="AS203" i="5"/>
  <c r="AS204" i="5"/>
  <c r="AS205" i="5"/>
  <c r="AS206" i="5"/>
  <c r="AS207" i="5"/>
  <c r="AS208" i="5"/>
  <c r="AS209" i="5"/>
  <c r="AS210" i="5"/>
  <c r="AS211" i="5"/>
  <c r="AS212" i="5"/>
  <c r="AS213" i="5"/>
  <c r="AS214" i="5"/>
  <c r="AS215" i="5"/>
  <c r="AS216" i="5"/>
  <c r="AS217" i="5"/>
  <c r="AS218" i="5"/>
  <c r="AS219" i="5"/>
  <c r="AS220" i="5"/>
  <c r="AS221" i="5"/>
  <c r="AS222" i="5"/>
  <c r="AS223" i="5"/>
  <c r="AS224" i="5"/>
  <c r="AS225" i="5"/>
  <c r="AS226" i="5"/>
  <c r="AS227" i="5"/>
  <c r="AS228" i="5"/>
  <c r="AS229" i="5"/>
  <c r="AS230" i="5"/>
  <c r="AS231" i="5"/>
  <c r="AS232" i="5"/>
  <c r="AS233" i="5"/>
  <c r="AS234" i="5"/>
  <c r="AS235" i="5"/>
  <c r="AS236" i="5"/>
  <c r="AS237" i="5"/>
  <c r="AS238" i="5"/>
  <c r="AS239" i="5"/>
  <c r="AS240" i="5"/>
  <c r="AS241" i="5"/>
  <c r="AS242" i="5"/>
  <c r="AS243" i="5"/>
  <c r="AS244" i="5"/>
  <c r="AS245" i="5"/>
  <c r="AS246" i="5"/>
  <c r="AS247" i="5"/>
  <c r="AS248" i="5"/>
  <c r="AS249" i="5"/>
  <c r="AS250" i="5"/>
  <c r="AS251" i="5"/>
  <c r="AS252" i="5"/>
  <c r="AS253" i="5"/>
  <c r="AS254" i="5"/>
  <c r="AS255" i="5"/>
  <c r="AS256" i="5"/>
  <c r="AS257" i="5"/>
  <c r="AS258" i="5"/>
  <c r="AS259" i="5"/>
  <c r="AS260" i="5"/>
  <c r="AS261" i="5"/>
  <c r="AS262" i="5"/>
  <c r="AS263" i="5"/>
  <c r="AS264" i="5"/>
  <c r="AS265" i="5"/>
  <c r="AS266" i="5"/>
  <c r="AS267" i="5"/>
  <c r="AS268" i="5"/>
  <c r="AS269" i="5"/>
  <c r="AS270" i="5"/>
  <c r="AS271" i="5"/>
  <c r="AS272" i="5"/>
  <c r="AS273" i="5"/>
  <c r="AS274" i="5"/>
  <c r="AS275" i="5"/>
  <c r="AS276" i="5"/>
  <c r="AS277" i="5"/>
  <c r="AS278" i="5"/>
  <c r="AS279" i="5"/>
  <c r="AS280" i="5"/>
  <c r="AS281" i="5"/>
  <c r="AS282" i="5"/>
  <c r="AS283" i="5"/>
  <c r="AS284" i="5"/>
  <c r="AS285" i="5"/>
  <c r="AS286" i="5"/>
  <c r="AS287" i="5"/>
  <c r="AS288" i="5"/>
  <c r="AS289" i="5"/>
  <c r="AS290" i="5"/>
  <c r="AS291" i="5"/>
  <c r="AS292" i="5"/>
  <c r="AS293" i="5"/>
  <c r="AS294" i="5"/>
  <c r="AS295" i="5"/>
  <c r="AS296" i="5"/>
  <c r="AS297" i="5"/>
  <c r="AS298" i="5"/>
  <c r="AS299" i="5"/>
  <c r="AS303" i="5"/>
  <c r="AS304" i="5"/>
  <c r="AS305" i="5"/>
  <c r="AS306" i="5"/>
  <c r="AS307" i="5"/>
  <c r="AS308" i="5"/>
  <c r="AS309" i="5"/>
  <c r="AS310" i="5"/>
  <c r="AS311" i="5"/>
  <c r="AS312" i="5"/>
  <c r="AS313" i="5"/>
  <c r="AS314" i="5"/>
  <c r="AS315" i="5"/>
  <c r="AS316" i="5"/>
  <c r="AS317" i="5"/>
  <c r="AS318" i="5"/>
  <c r="AS319" i="5"/>
  <c r="AS320" i="5"/>
  <c r="AS321" i="5"/>
  <c r="AS322" i="5"/>
  <c r="AS323" i="5"/>
  <c r="AS324" i="5"/>
  <c r="AS325" i="5"/>
  <c r="AS326" i="5"/>
  <c r="AS327" i="5"/>
  <c r="AS328" i="5"/>
  <c r="AS329" i="5"/>
  <c r="AS330" i="5"/>
  <c r="AS331" i="5"/>
  <c r="AS332" i="5"/>
  <c r="AS333" i="5"/>
  <c r="AS334" i="5"/>
  <c r="AS335" i="5"/>
  <c r="AS336" i="5"/>
  <c r="AS337" i="5"/>
  <c r="AS338" i="5"/>
  <c r="AS339" i="5"/>
  <c r="AS340" i="5"/>
  <c r="AS341" i="5"/>
  <c r="AS342" i="5"/>
  <c r="AS343" i="5"/>
  <c r="AS344" i="5"/>
  <c r="AS345" i="5"/>
  <c r="AS346" i="5"/>
  <c r="AS347" i="5"/>
  <c r="AS348" i="5"/>
  <c r="AS349" i="5"/>
  <c r="AS350" i="5"/>
  <c r="AS351" i="5"/>
  <c r="AS352" i="5"/>
  <c r="AS353" i="5"/>
  <c r="AS354" i="5"/>
  <c r="AS355" i="5"/>
  <c r="AS356" i="5"/>
  <c r="AS357" i="5"/>
  <c r="AS358" i="5"/>
  <c r="AS359" i="5"/>
  <c r="AS360" i="5"/>
  <c r="AS361" i="5"/>
  <c r="AS362" i="5"/>
  <c r="AS363" i="5"/>
  <c r="AS364" i="5"/>
  <c r="AS365" i="5"/>
  <c r="AS366" i="5"/>
  <c r="AS367" i="5"/>
  <c r="AS368" i="5"/>
  <c r="AS369" i="5"/>
  <c r="AS370" i="5"/>
  <c r="AS371" i="5"/>
  <c r="AS372" i="5"/>
  <c r="AS373" i="5"/>
  <c r="AS374" i="5"/>
  <c r="AS375" i="5"/>
  <c r="AS376" i="5"/>
  <c r="AS377" i="5"/>
  <c r="AS378" i="5"/>
  <c r="AS379" i="5"/>
  <c r="AS380" i="5"/>
  <c r="AS381" i="5"/>
  <c r="AS382" i="5"/>
  <c r="AS383" i="5"/>
  <c r="AS384" i="5"/>
  <c r="AS385" i="5"/>
  <c r="AS386" i="5"/>
  <c r="AS387" i="5"/>
  <c r="AS388" i="5"/>
  <c r="AS389" i="5"/>
  <c r="AS390" i="5"/>
  <c r="AS391" i="5"/>
  <c r="AS392" i="5"/>
  <c r="AS393" i="5"/>
  <c r="AS394" i="5"/>
  <c r="AS395" i="5"/>
  <c r="AS396" i="5"/>
  <c r="AS397" i="5"/>
  <c r="AS398" i="5"/>
  <c r="AS399" i="5"/>
  <c r="AS400" i="5"/>
  <c r="AS401" i="5"/>
  <c r="AS402" i="5"/>
  <c r="AS403" i="5"/>
  <c r="AS404" i="5"/>
  <c r="AS405" i="5"/>
  <c r="AS406" i="5"/>
  <c r="AS407" i="5"/>
  <c r="AS408" i="5"/>
  <c r="AS409" i="5"/>
  <c r="AS410" i="5"/>
  <c r="AS411" i="5"/>
  <c r="AS412" i="5"/>
  <c r="AS413" i="5"/>
  <c r="AS414" i="5"/>
  <c r="AS415" i="5"/>
  <c r="AS416" i="5"/>
  <c r="AS417" i="5"/>
  <c r="AS418" i="5"/>
  <c r="AS419" i="5"/>
  <c r="AS420" i="5"/>
  <c r="AS421" i="5"/>
  <c r="AS422" i="5"/>
  <c r="AS423" i="5"/>
  <c r="AS424" i="5"/>
  <c r="AS425" i="5"/>
  <c r="AS426" i="5"/>
  <c r="AS427" i="5"/>
  <c r="AS428" i="5"/>
  <c r="AS429" i="5"/>
  <c r="AS430" i="5"/>
  <c r="AS431" i="5"/>
  <c r="AS432" i="5"/>
  <c r="AS433" i="5"/>
  <c r="AS434" i="5"/>
  <c r="AS435" i="5"/>
  <c r="AS436" i="5"/>
  <c r="AS437" i="5"/>
  <c r="AS438" i="5"/>
  <c r="AS439" i="5"/>
  <c r="AS440" i="5"/>
  <c r="AS441" i="5"/>
  <c r="AS442" i="5"/>
  <c r="AS443" i="5"/>
  <c r="AS444" i="5"/>
  <c r="AS445" i="5"/>
  <c r="AS446" i="5"/>
  <c r="AS447" i="5"/>
  <c r="AS448" i="5"/>
  <c r="AS449" i="5"/>
  <c r="AS450" i="5"/>
  <c r="AS451" i="5"/>
  <c r="AS452" i="5"/>
  <c r="AS453" i="5"/>
  <c r="AS454" i="5"/>
  <c r="AS455" i="5"/>
  <c r="AS456" i="5"/>
  <c r="AS457" i="5"/>
  <c r="AS458" i="5"/>
  <c r="AS459" i="5"/>
  <c r="AS460" i="5"/>
  <c r="AS461" i="5"/>
  <c r="AS462" i="5"/>
  <c r="AS463" i="5"/>
  <c r="AS464" i="5"/>
  <c r="AS465" i="5"/>
  <c r="AS466" i="5"/>
  <c r="AS467" i="5"/>
  <c r="AS468" i="5"/>
  <c r="AS469" i="5"/>
  <c r="AS470" i="5"/>
  <c r="AS471" i="5"/>
  <c r="AS472" i="5"/>
  <c r="AS473" i="5"/>
  <c r="AS474" i="5"/>
  <c r="AS475" i="5"/>
  <c r="AS476" i="5"/>
  <c r="AS477" i="5"/>
  <c r="AS478" i="5"/>
  <c r="AS479" i="5"/>
  <c r="AS480" i="5"/>
  <c r="AS481" i="5"/>
  <c r="AS482" i="5"/>
  <c r="AS483" i="5"/>
  <c r="AS484" i="5"/>
  <c r="AS485" i="5"/>
  <c r="AS486" i="5"/>
  <c r="AS487" i="5"/>
  <c r="AS488" i="5"/>
  <c r="AS489" i="5"/>
  <c r="AS490" i="5"/>
  <c r="AS491" i="5"/>
  <c r="AS492" i="5"/>
  <c r="AS493" i="5"/>
  <c r="AS494" i="5"/>
  <c r="AS495" i="5"/>
  <c r="AS496" i="5"/>
  <c r="AS497" i="5"/>
  <c r="AS498" i="5"/>
  <c r="AS499" i="5"/>
  <c r="AS500" i="5"/>
  <c r="AS501" i="5"/>
  <c r="AS502" i="5"/>
  <c r="AS503" i="5"/>
  <c r="AS504" i="5"/>
  <c r="AS505" i="5"/>
  <c r="AS506" i="5"/>
  <c r="AS507" i="5"/>
  <c r="AS508" i="5"/>
  <c r="AS509" i="5"/>
  <c r="AS510" i="5"/>
  <c r="AS511" i="5"/>
  <c r="AS512" i="5"/>
  <c r="AS513" i="5"/>
  <c r="AS514" i="5"/>
  <c r="AS515" i="5"/>
  <c r="AS516" i="5"/>
  <c r="AS517" i="5"/>
  <c r="AS518" i="5"/>
  <c r="AS519" i="5"/>
  <c r="AS520" i="5"/>
  <c r="AS521" i="5"/>
  <c r="AS522" i="5"/>
  <c r="AS523" i="5"/>
  <c r="AS524" i="5"/>
  <c r="AS525" i="5"/>
  <c r="AS526" i="5"/>
  <c r="AS527" i="5"/>
  <c r="AS528" i="5"/>
  <c r="AS529" i="5"/>
  <c r="AS530" i="5"/>
  <c r="AS531" i="5"/>
  <c r="AS532" i="5"/>
  <c r="AS533" i="5"/>
  <c r="AS534" i="5"/>
  <c r="AS535" i="5"/>
  <c r="AS536" i="5"/>
  <c r="AS537" i="5"/>
  <c r="AS538" i="5"/>
  <c r="AS539" i="5"/>
  <c r="AS540" i="5"/>
  <c r="AS541" i="5"/>
  <c r="AS542" i="5"/>
  <c r="AS543" i="5"/>
  <c r="AS544" i="5"/>
  <c r="AS545" i="5"/>
  <c r="AS546" i="5"/>
  <c r="AS547" i="5"/>
  <c r="AS548" i="5"/>
  <c r="AS549" i="5"/>
  <c r="AS550" i="5"/>
  <c r="AS551" i="5"/>
  <c r="AS552" i="5"/>
  <c r="AS553" i="5"/>
  <c r="AS554" i="5"/>
  <c r="AS555" i="5"/>
  <c r="AS556" i="5"/>
  <c r="AS557" i="5"/>
  <c r="AS558" i="5"/>
  <c r="AS559" i="5"/>
  <c r="AS560" i="5"/>
  <c r="AS561" i="5"/>
  <c r="AS562" i="5"/>
  <c r="AS563" i="5"/>
  <c r="AS564" i="5"/>
  <c r="AS565" i="5"/>
  <c r="AS566" i="5"/>
  <c r="AS567" i="5"/>
  <c r="AS568" i="5"/>
  <c r="AS569" i="5"/>
  <c r="AS570" i="5"/>
  <c r="AS571" i="5"/>
  <c r="AS572" i="5"/>
  <c r="AS573" i="5"/>
  <c r="AS574" i="5"/>
  <c r="AS575" i="5"/>
  <c r="AS576" i="5"/>
  <c r="AS577" i="5"/>
  <c r="AS578" i="5"/>
  <c r="AS579" i="5"/>
  <c r="AS580" i="5"/>
  <c r="AS581" i="5"/>
  <c r="AS582" i="5"/>
  <c r="AS583" i="5"/>
  <c r="AS584" i="5"/>
  <c r="AS585" i="5"/>
  <c r="AS586" i="5"/>
  <c r="AS587" i="5"/>
  <c r="AS588" i="5"/>
  <c r="AS589" i="5"/>
  <c r="AS590" i="5"/>
  <c r="AS591" i="5"/>
  <c r="AS592" i="5"/>
  <c r="AS593" i="5"/>
  <c r="AS594" i="5"/>
  <c r="AS595" i="5"/>
  <c r="AS596" i="5"/>
  <c r="AS597" i="5"/>
  <c r="AS598" i="5"/>
  <c r="AS599" i="5"/>
  <c r="AS600" i="5"/>
  <c r="AS601" i="5"/>
  <c r="AS602" i="5"/>
  <c r="AS603" i="5"/>
  <c r="AS604" i="5"/>
  <c r="AS605" i="5"/>
  <c r="AS606" i="5"/>
  <c r="AS607" i="5"/>
  <c r="AS608" i="5"/>
  <c r="AS609" i="5"/>
  <c r="AS610" i="5"/>
  <c r="AS611" i="5"/>
  <c r="AS612" i="5"/>
  <c r="AS613" i="5"/>
  <c r="AS614" i="5"/>
  <c r="AS615" i="5"/>
  <c r="AS616" i="5"/>
  <c r="AS617" i="5"/>
  <c r="AS618" i="5"/>
  <c r="AS619" i="5"/>
  <c r="AS620" i="5"/>
  <c r="AS621" i="5"/>
  <c r="AS622" i="5"/>
  <c r="AS623" i="5"/>
  <c r="AS624" i="5"/>
  <c r="AS625" i="5"/>
  <c r="AS626" i="5"/>
  <c r="AS627" i="5"/>
  <c r="AS628" i="5"/>
  <c r="AS629" i="5"/>
  <c r="AS630" i="5"/>
  <c r="AS631" i="5"/>
  <c r="AS632" i="5"/>
  <c r="AS633" i="5"/>
  <c r="AS634" i="5"/>
  <c r="AS635" i="5"/>
  <c r="AS636" i="5"/>
  <c r="AS637" i="5"/>
  <c r="AS638" i="5"/>
  <c r="AS639" i="5"/>
  <c r="AS640" i="5"/>
  <c r="AS641" i="5"/>
  <c r="AS642" i="5"/>
  <c r="AS643" i="5"/>
  <c r="AS644" i="5"/>
  <c r="AS645" i="5"/>
  <c r="AS646" i="5"/>
  <c r="AS647" i="5"/>
  <c r="AS648" i="5"/>
  <c r="AS649" i="5"/>
  <c r="AS650" i="5"/>
  <c r="AS651" i="5"/>
  <c r="AS652" i="5"/>
  <c r="AS653" i="5"/>
  <c r="AS654" i="5"/>
  <c r="AS655" i="5"/>
  <c r="AS656" i="5"/>
  <c r="AS657" i="5"/>
  <c r="AS658" i="5"/>
  <c r="AS659" i="5"/>
  <c r="AS660" i="5"/>
  <c r="AS661" i="5"/>
  <c r="AS662" i="5"/>
  <c r="AS663" i="5"/>
  <c r="AS664" i="5"/>
  <c r="AS665" i="5"/>
  <c r="AS666" i="5"/>
  <c r="AS667" i="5"/>
  <c r="AS668" i="5"/>
  <c r="AS669" i="5"/>
  <c r="AS670" i="5"/>
  <c r="AS671" i="5"/>
  <c r="AS672" i="5"/>
  <c r="AS673" i="5"/>
  <c r="AS674" i="5"/>
  <c r="AS675" i="5"/>
  <c r="AS676" i="5"/>
  <c r="AS677" i="5"/>
  <c r="AS678" i="5"/>
  <c r="AS679" i="5"/>
  <c r="AS680" i="5"/>
  <c r="AS681" i="5"/>
  <c r="AS682" i="5"/>
  <c r="AS683" i="5"/>
  <c r="AS684" i="5"/>
  <c r="AS685" i="5"/>
  <c r="AS686" i="5"/>
  <c r="AS687" i="5"/>
  <c r="AS688" i="5"/>
  <c r="AS689" i="5"/>
  <c r="AS690" i="5"/>
  <c r="AS691" i="5"/>
  <c r="AS692" i="5"/>
  <c r="AS693" i="5"/>
  <c r="AS694" i="5"/>
  <c r="AS695" i="5"/>
  <c r="AS696" i="5"/>
  <c r="AS697" i="5"/>
  <c r="AS698" i="5"/>
  <c r="AS699" i="5"/>
  <c r="AS700" i="5"/>
  <c r="AS701" i="5"/>
  <c r="AS702" i="5"/>
  <c r="AS703" i="5"/>
  <c r="AS704" i="5"/>
  <c r="AS705" i="5"/>
  <c r="AS706" i="5"/>
  <c r="AS707" i="5"/>
  <c r="AS708" i="5"/>
  <c r="AS709" i="5"/>
  <c r="AS710" i="5"/>
  <c r="AS711" i="5"/>
  <c r="AS712" i="5"/>
  <c r="AS713" i="5"/>
  <c r="AS714" i="5"/>
  <c r="AS715" i="5"/>
  <c r="AS716" i="5"/>
  <c r="AS717" i="5"/>
  <c r="AS718" i="5"/>
  <c r="AS719" i="5"/>
  <c r="AS720" i="5"/>
  <c r="AS721" i="5"/>
  <c r="AS722" i="5"/>
  <c r="AS723" i="5"/>
  <c r="AS724" i="5"/>
  <c r="AS725" i="5"/>
  <c r="AS726" i="5"/>
  <c r="AS727" i="5"/>
  <c r="AS728" i="5"/>
  <c r="AS729" i="5"/>
  <c r="AS730" i="5"/>
  <c r="AS731" i="5"/>
  <c r="AS732" i="5"/>
  <c r="AS733" i="5"/>
  <c r="AS734" i="5"/>
  <c r="AS735" i="5"/>
  <c r="AS736" i="5"/>
  <c r="AS737" i="5"/>
  <c r="AS738" i="5"/>
  <c r="AS739" i="5"/>
  <c r="AS740" i="5"/>
  <c r="AS741" i="5"/>
  <c r="AS742" i="5"/>
  <c r="AS743" i="5"/>
  <c r="AS744" i="5"/>
  <c r="AS745" i="5"/>
  <c r="AS746" i="5"/>
  <c r="AS747" i="5"/>
  <c r="AS748" i="5"/>
  <c r="AS749" i="5"/>
  <c r="AS750" i="5"/>
  <c r="AS751" i="5"/>
  <c r="AS752" i="5"/>
  <c r="AS753" i="5"/>
  <c r="AS754" i="5"/>
  <c r="AS755" i="5"/>
  <c r="AS756" i="5"/>
  <c r="AS757" i="5"/>
  <c r="AS758" i="5"/>
  <c r="AS759" i="5"/>
  <c r="AS760" i="5"/>
  <c r="AS761" i="5"/>
  <c r="AS762" i="5"/>
  <c r="AS763" i="5"/>
  <c r="AS764" i="5"/>
  <c r="AS765" i="5"/>
  <c r="AS766" i="5"/>
  <c r="AS767" i="5"/>
  <c r="AS768" i="5"/>
  <c r="AS769" i="5"/>
  <c r="AS770" i="5"/>
  <c r="AS771" i="5"/>
  <c r="AS772" i="5"/>
  <c r="AS773" i="5"/>
  <c r="AS774" i="5"/>
  <c r="AS775" i="5"/>
  <c r="AS776" i="5"/>
  <c r="AS777" i="5"/>
  <c r="AS778" i="5"/>
  <c r="AS779" i="5"/>
  <c r="AS780" i="5"/>
  <c r="AS781" i="5"/>
  <c r="AS782" i="5"/>
  <c r="AS783" i="5"/>
  <c r="AS784" i="5"/>
  <c r="AS785" i="5"/>
  <c r="AS786" i="5"/>
  <c r="AS787" i="5"/>
  <c r="AS788" i="5"/>
  <c r="AS789" i="5"/>
  <c r="AS790" i="5"/>
  <c r="AS791" i="5"/>
  <c r="AS792" i="5"/>
  <c r="AS793" i="5"/>
  <c r="AS794" i="5"/>
  <c r="AS795" i="5"/>
  <c r="AS796" i="5"/>
  <c r="AS797" i="5"/>
  <c r="AS798" i="5"/>
  <c r="AS799" i="5"/>
  <c r="AS800" i="5"/>
  <c r="AS801" i="5"/>
  <c r="AS802" i="5"/>
  <c r="AS803" i="5"/>
  <c r="AS804" i="5"/>
  <c r="AS805" i="5"/>
  <c r="AS806" i="5"/>
  <c r="AS807" i="5"/>
  <c r="AS808" i="5"/>
  <c r="AS809" i="5"/>
  <c r="AS810" i="5"/>
  <c r="AS811" i="5"/>
  <c r="AS812" i="5"/>
  <c r="AS813" i="5"/>
  <c r="AS814" i="5"/>
  <c r="AS815" i="5"/>
  <c r="AS816" i="5"/>
  <c r="AS817" i="5"/>
  <c r="AS818" i="5"/>
  <c r="AS819" i="5"/>
  <c r="AS820" i="5"/>
  <c r="AS821" i="5"/>
  <c r="AS822" i="5"/>
  <c r="AS823" i="5"/>
  <c r="AS824" i="5"/>
  <c r="AS825" i="5"/>
  <c r="AS826" i="5"/>
  <c r="AS827" i="5"/>
  <c r="AS828" i="5"/>
  <c r="AS829" i="5"/>
  <c r="AS830" i="5"/>
  <c r="AS831" i="5"/>
  <c r="AS832" i="5"/>
  <c r="AS833" i="5"/>
  <c r="AS834" i="5"/>
  <c r="AS835" i="5"/>
  <c r="AS836" i="5"/>
  <c r="AS837" i="5"/>
  <c r="AS838" i="5"/>
  <c r="AS839" i="5"/>
  <c r="AS840" i="5"/>
  <c r="AS841" i="5"/>
  <c r="AS842" i="5"/>
  <c r="AS843" i="5"/>
  <c r="AS844" i="5"/>
  <c r="AS845" i="5"/>
  <c r="AS846" i="5"/>
  <c r="AS847" i="5"/>
  <c r="AS848" i="5"/>
  <c r="AS849" i="5"/>
  <c r="AS850" i="5"/>
  <c r="AS851" i="5"/>
  <c r="AS852" i="5"/>
  <c r="AS853" i="5"/>
  <c r="AS854" i="5"/>
  <c r="AS855" i="5"/>
  <c r="AS856" i="5"/>
  <c r="AS857" i="5"/>
  <c r="AS858" i="5"/>
  <c r="AS859" i="5"/>
  <c r="AS860" i="5"/>
  <c r="AS861" i="5"/>
  <c r="AS862" i="5"/>
  <c r="AS863" i="5"/>
  <c r="AS864" i="5"/>
  <c r="AS865" i="5"/>
  <c r="AS866" i="5"/>
  <c r="AS867" i="5"/>
  <c r="AS868" i="5"/>
  <c r="AS869" i="5"/>
  <c r="AS870" i="5"/>
  <c r="AS871" i="5"/>
  <c r="AS872" i="5"/>
  <c r="AS873" i="5"/>
  <c r="AS874" i="5"/>
  <c r="AS875" i="5"/>
  <c r="AS876" i="5"/>
  <c r="AS877" i="5"/>
  <c r="AS878" i="5"/>
  <c r="AS879" i="5"/>
  <c r="AS880" i="5"/>
  <c r="AS881" i="5"/>
  <c r="AS882" i="5"/>
  <c r="AS883" i="5"/>
  <c r="AS884" i="5"/>
  <c r="AS885" i="5"/>
  <c r="AS886" i="5"/>
  <c r="AS887" i="5"/>
  <c r="AS888" i="5"/>
  <c r="AS889" i="5"/>
  <c r="AS890" i="5"/>
  <c r="AS891" i="5"/>
  <c r="AS892" i="5"/>
  <c r="AS893" i="5"/>
  <c r="AS894" i="5"/>
  <c r="AS895" i="5"/>
  <c r="AS896" i="5"/>
  <c r="AS897" i="5"/>
  <c r="AS898" i="5"/>
  <c r="AS899" i="5"/>
  <c r="AS900" i="5"/>
  <c r="AS901" i="5"/>
  <c r="AS902" i="5"/>
  <c r="AS903" i="5"/>
  <c r="AS904" i="5"/>
  <c r="AS905" i="5"/>
  <c r="AS906" i="5"/>
  <c r="AS907" i="5"/>
  <c r="AS908" i="5"/>
  <c r="AS909" i="5"/>
  <c r="AS910" i="5"/>
  <c r="AS911" i="5"/>
  <c r="AS912" i="5"/>
  <c r="AS913" i="5"/>
  <c r="AS914" i="5"/>
  <c r="AS915" i="5"/>
  <c r="AS916" i="5"/>
  <c r="AS917" i="5"/>
  <c r="AS918" i="5"/>
  <c r="AS919" i="5"/>
  <c r="AS920" i="5"/>
  <c r="AS921" i="5"/>
  <c r="AS922" i="5"/>
  <c r="AS923" i="5"/>
  <c r="AS924" i="5"/>
  <c r="AS925" i="5"/>
  <c r="AS926" i="5"/>
  <c r="AS927" i="5"/>
  <c r="AS928" i="5"/>
  <c r="AS929" i="5"/>
  <c r="AS930" i="5"/>
  <c r="AS931" i="5"/>
  <c r="AS932" i="5"/>
  <c r="AS933" i="5"/>
  <c r="AS934" i="5"/>
  <c r="AS935" i="5"/>
  <c r="AS936" i="5"/>
  <c r="AS937" i="5"/>
  <c r="AS938" i="5"/>
  <c r="AS939" i="5"/>
  <c r="AS940" i="5"/>
  <c r="AS941" i="5"/>
  <c r="AS942" i="5"/>
  <c r="AS943" i="5"/>
  <c r="AS944" i="5"/>
  <c r="AS945" i="5"/>
  <c r="AS946" i="5"/>
  <c r="AS947" i="5"/>
  <c r="AS948" i="5"/>
  <c r="AS949" i="5"/>
  <c r="AS950" i="5"/>
  <c r="AS951" i="5"/>
  <c r="AS952" i="5"/>
  <c r="AS953" i="5"/>
  <c r="AS954" i="5"/>
  <c r="AS955" i="5"/>
  <c r="AS956" i="5"/>
  <c r="AS957" i="5"/>
  <c r="AS958" i="5"/>
  <c r="AS959" i="5"/>
  <c r="AS960" i="5"/>
  <c r="AS961" i="5"/>
  <c r="AS962" i="5"/>
  <c r="AS963" i="5"/>
  <c r="AS964" i="5"/>
  <c r="AS965" i="5"/>
  <c r="AS966" i="5"/>
  <c r="AS967" i="5"/>
  <c r="AS968" i="5"/>
  <c r="AS969" i="5"/>
  <c r="AS970" i="5"/>
  <c r="AS971" i="5"/>
  <c r="AS972" i="5"/>
  <c r="AS973" i="5"/>
  <c r="AS974" i="5"/>
  <c r="AS975" i="5"/>
  <c r="AS976" i="5"/>
  <c r="AS977" i="5"/>
  <c r="AS978" i="5"/>
  <c r="AS979" i="5"/>
  <c r="AS980" i="5"/>
  <c r="AS981" i="5"/>
  <c r="AS982" i="5"/>
  <c r="AS983" i="5"/>
  <c r="AS984" i="5"/>
  <c r="AS985" i="5"/>
  <c r="AS986" i="5"/>
  <c r="AS987" i="5"/>
  <c r="AS988" i="5"/>
  <c r="AS989" i="5"/>
  <c r="AS990" i="5"/>
  <c r="AS991" i="5"/>
  <c r="AS992" i="5"/>
  <c r="AS993" i="5"/>
  <c r="AS994" i="5"/>
  <c r="AS995" i="5"/>
  <c r="AS996" i="5"/>
  <c r="AS997" i="5"/>
  <c r="AS998" i="5"/>
  <c r="AS999" i="5"/>
  <c r="AS1000" i="5"/>
  <c r="AS1001" i="5"/>
  <c r="AS1002" i="5"/>
  <c r="AS1003" i="5"/>
  <c r="AS1004" i="5"/>
  <c r="AS1005" i="5"/>
  <c r="AS1006" i="5"/>
  <c r="AS1007" i="5"/>
  <c r="AS1008" i="5"/>
  <c r="AS1009" i="5"/>
  <c r="AS1010" i="5"/>
  <c r="AS1011" i="5"/>
  <c r="AS1012" i="5"/>
  <c r="AS1013" i="5"/>
  <c r="AS1014" i="5"/>
  <c r="AS1015" i="5"/>
  <c r="AS1016" i="5"/>
  <c r="AS1017" i="5"/>
  <c r="AS1018" i="5"/>
  <c r="AS1019" i="5"/>
  <c r="AS1020" i="5"/>
  <c r="AS1021" i="5"/>
  <c r="AS1022" i="5"/>
  <c r="AS1023" i="5"/>
  <c r="AS1024" i="5"/>
  <c r="AS1025" i="5"/>
  <c r="AS1026" i="5"/>
  <c r="AS1027" i="5"/>
  <c r="AS1028" i="5"/>
  <c r="AS1029" i="5"/>
  <c r="AS1030" i="5"/>
  <c r="AS1031" i="5"/>
  <c r="AS1032" i="5"/>
  <c r="AS1033" i="5"/>
  <c r="AS1034" i="5"/>
  <c r="AS1035" i="5"/>
  <c r="AS1036" i="5"/>
  <c r="AS1037" i="5"/>
  <c r="AS1038" i="5"/>
  <c r="AS1039" i="5"/>
  <c r="AS1040" i="5"/>
  <c r="AS1041" i="5"/>
  <c r="AS1042" i="5"/>
  <c r="AS1043" i="5"/>
  <c r="AS1044" i="5"/>
  <c r="AS1045" i="5"/>
  <c r="AS1046" i="5"/>
  <c r="AS1047" i="5"/>
  <c r="AS1048" i="5"/>
  <c r="AS1049" i="5"/>
  <c r="AS1050" i="5"/>
  <c r="AS1051" i="5"/>
  <c r="AS1052" i="5"/>
  <c r="AS1053" i="5"/>
  <c r="AS1054" i="5"/>
  <c r="AS1055" i="5"/>
  <c r="AS1056" i="5"/>
  <c r="AS1057" i="5"/>
  <c r="AS1058" i="5"/>
  <c r="AS1059" i="5"/>
  <c r="AS1060" i="5"/>
  <c r="AS1061" i="5"/>
  <c r="AS1062" i="5"/>
  <c r="AS1063" i="5"/>
  <c r="AS1064" i="5"/>
  <c r="AS1065" i="5"/>
  <c r="AS1066" i="5"/>
  <c r="AS1067" i="5"/>
  <c r="AS1068" i="5"/>
  <c r="AS1069" i="5"/>
  <c r="AS1070" i="5"/>
  <c r="AS1071" i="5"/>
  <c r="AS1072" i="5"/>
  <c r="AS1073" i="5"/>
  <c r="AS1074" i="5"/>
  <c r="AS1075" i="5"/>
  <c r="AS1076" i="5"/>
  <c r="AS1077" i="5"/>
  <c r="AS1078" i="5"/>
  <c r="AS1079" i="5"/>
  <c r="AS1080" i="5"/>
  <c r="AS1081" i="5"/>
  <c r="AS1082" i="5"/>
  <c r="AS1083" i="5"/>
  <c r="AS1084" i="5"/>
  <c r="AS1085" i="5"/>
  <c r="AS1086" i="5"/>
  <c r="AS1087" i="5"/>
  <c r="AS1088" i="5"/>
  <c r="AS1089" i="5"/>
  <c r="AS1090" i="5"/>
  <c r="AS1091" i="5"/>
  <c r="AS1092" i="5"/>
  <c r="AS1093" i="5"/>
  <c r="AS1094" i="5"/>
  <c r="AS1095" i="5"/>
  <c r="AS1096" i="5"/>
  <c r="AS1097" i="5"/>
  <c r="AS1098" i="5"/>
  <c r="AS1099" i="5"/>
  <c r="AS1100" i="5"/>
  <c r="AS1101" i="5"/>
  <c r="AS1102" i="5"/>
  <c r="AS1103" i="5"/>
  <c r="AS1104" i="5"/>
  <c r="AS1105" i="5"/>
  <c r="AS1106" i="5"/>
  <c r="AS1107" i="5"/>
  <c r="AS1108" i="5"/>
  <c r="AS1109" i="5"/>
  <c r="AS1110" i="5"/>
  <c r="AS1111" i="5"/>
  <c r="AS1112" i="5"/>
  <c r="AS1113" i="5"/>
  <c r="AS1114" i="5"/>
  <c r="AS1115" i="5"/>
  <c r="AS1116" i="5"/>
  <c r="AS1117" i="5"/>
  <c r="AS1118" i="5"/>
  <c r="AS1119" i="5"/>
  <c r="AS1120" i="5"/>
  <c r="AS1121" i="5"/>
  <c r="AS1122" i="5"/>
  <c r="AS1123" i="5"/>
  <c r="AS1124" i="5"/>
  <c r="AS1125" i="5"/>
  <c r="AS1126" i="5"/>
  <c r="AS1127" i="5"/>
  <c r="AS1128" i="5"/>
  <c r="AS1129" i="5"/>
  <c r="AS1130" i="5"/>
  <c r="AS1131" i="5"/>
  <c r="AS1132" i="5"/>
  <c r="AS1133" i="5"/>
  <c r="AS1134" i="5"/>
  <c r="AS1135" i="5"/>
  <c r="AS1136" i="5"/>
  <c r="AS1137" i="5"/>
  <c r="AS1138" i="5"/>
  <c r="AS1139" i="5"/>
  <c r="AS1140" i="5"/>
  <c r="AS1141" i="5"/>
  <c r="AS1142" i="5"/>
  <c r="AS1143" i="5"/>
  <c r="AS1144" i="5"/>
  <c r="AS1145" i="5"/>
  <c r="AS1146" i="5"/>
  <c r="AS1147" i="5"/>
  <c r="AS1148" i="5"/>
  <c r="AS1149" i="5"/>
  <c r="AS1150" i="5"/>
  <c r="AS1151" i="5"/>
  <c r="AS1152" i="5"/>
  <c r="AS1153" i="5"/>
  <c r="AS1154" i="5"/>
  <c r="AS1155" i="5"/>
  <c r="AS1156" i="5"/>
  <c r="AS1157" i="5"/>
  <c r="AS1158" i="5"/>
  <c r="AS1159" i="5"/>
  <c r="AS1160" i="5"/>
  <c r="AS1161" i="5"/>
  <c r="AS1162" i="5"/>
  <c r="AS1163" i="5"/>
  <c r="AS1164" i="5"/>
  <c r="AS1165" i="5"/>
  <c r="AS1166" i="5"/>
  <c r="AS1167" i="5"/>
  <c r="AS1168" i="5"/>
  <c r="AS1169" i="5"/>
  <c r="AS1170" i="5"/>
  <c r="AS1171" i="5"/>
  <c r="AS1172" i="5"/>
  <c r="AS1173" i="5"/>
  <c r="AS1174" i="5"/>
  <c r="AS1175" i="5"/>
  <c r="AS1176" i="5"/>
  <c r="AS1177" i="5"/>
  <c r="AS1178" i="5"/>
  <c r="AS1179" i="5"/>
  <c r="AS1180" i="5"/>
  <c r="AS1181" i="5"/>
  <c r="AS1182" i="5"/>
  <c r="AS1183" i="5"/>
  <c r="AS1184" i="5"/>
  <c r="AS1185" i="5"/>
  <c r="AS1186" i="5"/>
  <c r="AS1187" i="5"/>
  <c r="AS1188" i="5"/>
  <c r="AS1189" i="5"/>
  <c r="AS1190" i="5"/>
  <c r="AS1191" i="5"/>
  <c r="AS1192" i="5"/>
  <c r="AS1193" i="5"/>
  <c r="AS1194" i="5"/>
  <c r="AS1195" i="5"/>
  <c r="AS1196" i="5"/>
  <c r="AS1197" i="5"/>
  <c r="AS1198" i="5"/>
  <c r="AS1199" i="5"/>
  <c r="AS1200" i="5"/>
  <c r="AS1201" i="5"/>
  <c r="AS1202" i="5"/>
  <c r="AS1203" i="5"/>
  <c r="AS1204" i="5"/>
  <c r="AS1205" i="5"/>
  <c r="AS1206" i="5"/>
  <c r="AS1207" i="5"/>
  <c r="AS1208" i="5"/>
  <c r="AS1209" i="5"/>
  <c r="AS1210" i="5"/>
  <c r="AS1211" i="5"/>
  <c r="AS1212" i="5"/>
  <c r="AS1213" i="5"/>
  <c r="AS1214" i="5"/>
  <c r="AS1215" i="5"/>
  <c r="AS1216" i="5"/>
  <c r="AS1217" i="5"/>
  <c r="AS1218" i="5"/>
  <c r="AS1219" i="5"/>
  <c r="AS1220" i="5"/>
  <c r="AS1221" i="5"/>
  <c r="AS1222" i="5"/>
  <c r="AS2" i="5"/>
  <c r="AS3" i="5"/>
  <c r="AS4" i="5"/>
  <c r="AS5" i="5"/>
  <c r="AS6" i="5"/>
  <c r="AQ2" i="5"/>
  <c r="AQ3" i="5"/>
  <c r="AQ4" i="5"/>
  <c r="AQ5" i="5"/>
  <c r="AQ6" i="5"/>
  <c r="AQ7" i="5"/>
  <c r="AQ8" i="5"/>
  <c r="AQ9" i="5"/>
  <c r="AQ10" i="5"/>
  <c r="AQ11" i="5"/>
  <c r="AQ12" i="5"/>
  <c r="AQ13" i="5"/>
  <c r="AQ14" i="5"/>
  <c r="AQ15" i="5"/>
  <c r="AQ16" i="5"/>
  <c r="AQ17" i="5"/>
  <c r="AQ18" i="5"/>
  <c r="AQ19" i="5"/>
  <c r="AQ20" i="5"/>
  <c r="AQ21" i="5"/>
  <c r="AQ22" i="5"/>
  <c r="AQ23" i="5"/>
  <c r="AQ24" i="5"/>
  <c r="AQ25" i="5"/>
  <c r="AQ26" i="5"/>
  <c r="AQ27" i="5"/>
  <c r="AQ28" i="5"/>
  <c r="AQ29" i="5"/>
  <c r="AQ30" i="5"/>
  <c r="AQ31" i="5"/>
  <c r="AQ32" i="5"/>
  <c r="AQ33" i="5"/>
  <c r="AQ34" i="5"/>
  <c r="AQ35" i="5"/>
  <c r="AQ36" i="5"/>
  <c r="AQ37" i="5"/>
  <c r="AQ38" i="5"/>
  <c r="AQ39" i="5"/>
  <c r="AQ40" i="5"/>
  <c r="AQ41" i="5"/>
  <c r="AQ42" i="5"/>
  <c r="AQ43" i="5"/>
  <c r="AQ44" i="5"/>
  <c r="AQ45" i="5"/>
  <c r="AQ46" i="5"/>
  <c r="AQ47" i="5"/>
  <c r="AQ48" i="5"/>
  <c r="AQ49" i="5"/>
  <c r="AQ50" i="5"/>
  <c r="AQ51" i="5"/>
  <c r="AQ52" i="5"/>
  <c r="AQ53" i="5"/>
  <c r="AQ54" i="5"/>
  <c r="AQ55" i="5"/>
  <c r="AQ56" i="5"/>
  <c r="AQ57" i="5"/>
  <c r="AQ58" i="5"/>
  <c r="AQ59" i="5"/>
  <c r="AQ60" i="5"/>
  <c r="AQ61" i="5"/>
  <c r="AQ62" i="5"/>
  <c r="AQ63" i="5"/>
  <c r="AQ64" i="5"/>
  <c r="AQ65" i="5"/>
  <c r="AQ66" i="5"/>
  <c r="AQ67" i="5"/>
  <c r="AQ68" i="5"/>
  <c r="AQ69" i="5"/>
  <c r="AQ70" i="5"/>
  <c r="AQ71" i="5"/>
  <c r="AQ72" i="5"/>
  <c r="AQ73" i="5"/>
  <c r="AQ74" i="5"/>
  <c r="AQ75" i="5"/>
  <c r="AQ76" i="5"/>
  <c r="AQ77" i="5"/>
  <c r="AQ78" i="5"/>
  <c r="AQ79" i="5"/>
  <c r="AQ80" i="5"/>
  <c r="AQ81" i="5"/>
  <c r="AQ82" i="5"/>
  <c r="AQ83" i="5"/>
  <c r="AQ84" i="5"/>
  <c r="AQ85" i="5"/>
  <c r="AQ86" i="5"/>
  <c r="AQ87" i="5"/>
  <c r="AQ88" i="5"/>
  <c r="AQ89" i="5"/>
  <c r="AQ90" i="5"/>
  <c r="AQ91" i="5"/>
  <c r="AQ92" i="5"/>
  <c r="AQ93" i="5"/>
  <c r="AQ94" i="5"/>
  <c r="AQ95" i="5"/>
  <c r="AQ96" i="5"/>
  <c r="AQ97" i="5"/>
  <c r="AQ98" i="5"/>
  <c r="AQ99" i="5"/>
  <c r="AQ100" i="5"/>
  <c r="AQ101" i="5"/>
  <c r="AQ102" i="5"/>
  <c r="AQ103" i="5"/>
  <c r="AQ104" i="5"/>
  <c r="AQ105" i="5"/>
  <c r="AQ106" i="5"/>
  <c r="AQ107" i="5"/>
  <c r="AQ108" i="5"/>
  <c r="AQ109" i="5"/>
  <c r="AQ110" i="5"/>
  <c r="AQ111" i="5"/>
  <c r="AQ112" i="5"/>
  <c r="AQ113" i="5"/>
  <c r="AQ114" i="5"/>
  <c r="AQ115" i="5"/>
  <c r="AQ116" i="5"/>
  <c r="AQ117" i="5"/>
  <c r="AQ118" i="5"/>
  <c r="AQ119" i="5"/>
  <c r="AQ120" i="5"/>
  <c r="AQ121" i="5"/>
  <c r="AQ122" i="5"/>
  <c r="AQ123" i="5"/>
  <c r="AQ124" i="5"/>
  <c r="AQ125" i="5"/>
  <c r="AQ126" i="5"/>
  <c r="AQ127" i="5"/>
  <c r="AQ128" i="5"/>
  <c r="AQ129" i="5"/>
  <c r="AQ130" i="5"/>
  <c r="AQ131" i="5"/>
  <c r="AQ132" i="5"/>
  <c r="AQ133" i="5"/>
  <c r="AQ134" i="5"/>
  <c r="AQ135" i="5"/>
  <c r="AQ136" i="5"/>
  <c r="AQ137" i="5"/>
  <c r="AQ138" i="5"/>
  <c r="AQ139" i="5"/>
  <c r="AQ140" i="5"/>
  <c r="AQ141" i="5"/>
  <c r="AQ142" i="5"/>
  <c r="AQ143" i="5"/>
  <c r="AQ144" i="5"/>
  <c r="AQ145" i="5"/>
  <c r="AQ146" i="5"/>
  <c r="AQ147" i="5"/>
  <c r="AQ148" i="5"/>
  <c r="AQ149" i="5"/>
  <c r="AQ150" i="5"/>
  <c r="AQ151" i="5"/>
  <c r="AQ152" i="5"/>
  <c r="AQ153" i="5"/>
  <c r="AQ154" i="5"/>
  <c r="AQ155" i="5"/>
  <c r="AQ156" i="5"/>
  <c r="AQ157" i="5"/>
  <c r="AQ158" i="5"/>
  <c r="AQ159" i="5"/>
  <c r="AQ160" i="5"/>
  <c r="AQ161" i="5"/>
  <c r="AQ162" i="5"/>
  <c r="AQ163" i="5"/>
  <c r="AQ164" i="5"/>
  <c r="AQ165" i="5"/>
  <c r="AQ166" i="5"/>
  <c r="AQ167" i="5"/>
  <c r="AQ168" i="5"/>
  <c r="AQ169" i="5"/>
  <c r="AQ170" i="5"/>
  <c r="AQ171" i="5"/>
  <c r="AQ172" i="5"/>
  <c r="AQ173" i="5"/>
  <c r="AQ174" i="5"/>
  <c r="AQ175" i="5"/>
  <c r="AQ176" i="5"/>
  <c r="AQ177" i="5"/>
  <c r="AQ178" i="5"/>
  <c r="AQ179" i="5"/>
  <c r="AQ180" i="5"/>
  <c r="AQ181" i="5"/>
  <c r="AQ182" i="5"/>
  <c r="AQ183" i="5"/>
  <c r="AQ184" i="5"/>
  <c r="AQ185" i="5"/>
  <c r="AQ186" i="5"/>
  <c r="AQ187" i="5"/>
  <c r="AQ188" i="5"/>
  <c r="AQ189" i="5"/>
  <c r="AQ190" i="5"/>
  <c r="AQ191" i="5"/>
  <c r="AQ192" i="5"/>
  <c r="AQ193" i="5"/>
  <c r="AQ194" i="5"/>
  <c r="AQ195" i="5"/>
  <c r="AQ196" i="5"/>
  <c r="AQ197" i="5"/>
  <c r="AQ198" i="5"/>
  <c r="AQ199" i="5"/>
  <c r="AQ200" i="5"/>
  <c r="AQ201" i="5"/>
  <c r="AQ202" i="5"/>
  <c r="AQ203" i="5"/>
  <c r="AQ204" i="5"/>
  <c r="AQ205" i="5"/>
  <c r="AQ206" i="5"/>
  <c r="AQ207" i="5"/>
  <c r="AQ208" i="5"/>
  <c r="AQ209" i="5"/>
  <c r="AQ210" i="5"/>
  <c r="AQ211" i="5"/>
  <c r="AQ212" i="5"/>
  <c r="AQ213" i="5"/>
  <c r="AQ214" i="5"/>
  <c r="AQ215" i="5"/>
  <c r="AQ216" i="5"/>
  <c r="AQ217" i="5"/>
  <c r="AQ218" i="5"/>
  <c r="AQ219" i="5"/>
  <c r="AQ220" i="5"/>
  <c r="AQ221" i="5"/>
  <c r="AQ222" i="5"/>
  <c r="AQ223" i="5"/>
  <c r="AQ224" i="5"/>
  <c r="AQ225" i="5"/>
  <c r="AQ226" i="5"/>
  <c r="AQ227" i="5"/>
  <c r="AQ228" i="5"/>
  <c r="AQ229" i="5"/>
  <c r="AQ230" i="5"/>
  <c r="AQ231" i="5"/>
  <c r="AQ232" i="5"/>
  <c r="AQ233" i="5"/>
  <c r="AQ234" i="5"/>
  <c r="AQ235" i="5"/>
  <c r="AQ236" i="5"/>
  <c r="AQ237" i="5"/>
  <c r="AQ238" i="5"/>
  <c r="AQ239" i="5"/>
  <c r="AQ240" i="5"/>
  <c r="AQ241" i="5"/>
  <c r="AQ242" i="5"/>
  <c r="AQ243" i="5"/>
  <c r="AQ244" i="5"/>
  <c r="AQ245" i="5"/>
  <c r="AQ246" i="5"/>
  <c r="AQ247" i="5"/>
  <c r="AQ248" i="5"/>
  <c r="AQ249" i="5"/>
  <c r="AQ250" i="5"/>
  <c r="AQ251" i="5"/>
  <c r="AQ252" i="5"/>
  <c r="AQ253" i="5"/>
  <c r="AQ254" i="5"/>
  <c r="AQ255" i="5"/>
  <c r="AQ256" i="5"/>
  <c r="AQ257" i="5"/>
  <c r="AQ258" i="5"/>
  <c r="AQ259" i="5"/>
  <c r="AQ260" i="5"/>
  <c r="AQ261" i="5"/>
  <c r="AQ262" i="5"/>
  <c r="AQ263" i="5"/>
  <c r="AQ264" i="5"/>
  <c r="AQ265" i="5"/>
  <c r="AQ266" i="5"/>
  <c r="AQ267" i="5"/>
  <c r="AQ268" i="5"/>
  <c r="AQ269" i="5"/>
  <c r="AQ270" i="5"/>
  <c r="AQ271" i="5"/>
  <c r="AQ272" i="5"/>
  <c r="AQ273" i="5"/>
  <c r="AQ274" i="5"/>
  <c r="AQ275" i="5"/>
  <c r="AQ276" i="5"/>
  <c r="AQ277" i="5"/>
  <c r="AQ278" i="5"/>
  <c r="AQ279" i="5"/>
  <c r="AQ280" i="5"/>
  <c r="AQ281" i="5"/>
  <c r="AQ282" i="5"/>
  <c r="AQ283" i="5"/>
  <c r="AQ284" i="5"/>
  <c r="AQ285" i="5"/>
  <c r="AQ286" i="5"/>
  <c r="AQ287" i="5"/>
  <c r="AQ288" i="5"/>
  <c r="AQ289" i="5"/>
  <c r="AQ290" i="5"/>
  <c r="AQ291" i="5"/>
  <c r="AQ292" i="5"/>
  <c r="AQ293" i="5"/>
  <c r="AQ294" i="5"/>
  <c r="AQ295" i="5"/>
  <c r="AQ296" i="5"/>
  <c r="AQ297" i="5"/>
  <c r="AQ298" i="5"/>
  <c r="AQ299" i="5"/>
  <c r="AQ303" i="5"/>
  <c r="AQ304" i="5"/>
  <c r="AQ305" i="5"/>
  <c r="AQ306" i="5"/>
  <c r="AQ307" i="5"/>
  <c r="AQ308" i="5"/>
  <c r="AQ309" i="5"/>
  <c r="AQ310" i="5"/>
  <c r="AQ311" i="5"/>
  <c r="AQ312" i="5"/>
  <c r="AQ313" i="5"/>
  <c r="AQ314" i="5"/>
  <c r="AQ315" i="5"/>
  <c r="AQ316" i="5"/>
  <c r="AQ317" i="5"/>
  <c r="AQ318" i="5"/>
  <c r="AQ319" i="5"/>
  <c r="AQ320" i="5"/>
  <c r="AQ321" i="5"/>
  <c r="AQ322" i="5"/>
  <c r="AQ323" i="5"/>
  <c r="AQ324" i="5"/>
  <c r="AQ325" i="5"/>
  <c r="AQ326" i="5"/>
  <c r="AQ327" i="5"/>
  <c r="AQ328" i="5"/>
  <c r="AQ329" i="5"/>
  <c r="AQ330" i="5"/>
  <c r="AQ331" i="5"/>
  <c r="AQ332" i="5"/>
  <c r="AQ333" i="5"/>
  <c r="AQ334" i="5"/>
  <c r="AQ335" i="5"/>
  <c r="AQ336" i="5"/>
  <c r="AQ337" i="5"/>
  <c r="AQ338" i="5"/>
  <c r="AQ339" i="5"/>
  <c r="AQ340" i="5"/>
  <c r="AQ341" i="5"/>
  <c r="AQ342" i="5"/>
  <c r="AQ343" i="5"/>
  <c r="AQ344" i="5"/>
  <c r="AQ345" i="5"/>
  <c r="AQ346" i="5"/>
  <c r="AQ347" i="5"/>
  <c r="AQ348" i="5"/>
  <c r="AQ349" i="5"/>
  <c r="AQ350" i="5"/>
  <c r="AQ351" i="5"/>
  <c r="AQ352" i="5"/>
  <c r="AQ353" i="5"/>
  <c r="AQ354" i="5"/>
  <c r="AQ355" i="5"/>
  <c r="AQ356" i="5"/>
  <c r="AQ357" i="5"/>
  <c r="AQ358" i="5"/>
  <c r="AQ359" i="5"/>
  <c r="AQ360" i="5"/>
  <c r="AQ361" i="5"/>
  <c r="AQ362" i="5"/>
  <c r="AQ363" i="5"/>
  <c r="AQ364" i="5"/>
  <c r="AQ365" i="5"/>
  <c r="AQ366" i="5"/>
  <c r="AQ367" i="5"/>
  <c r="AQ368" i="5"/>
  <c r="AQ369" i="5"/>
  <c r="AQ370" i="5"/>
  <c r="AQ371" i="5"/>
  <c r="AQ372" i="5"/>
  <c r="AQ373" i="5"/>
  <c r="AQ374" i="5"/>
  <c r="AQ375" i="5"/>
  <c r="AQ376" i="5"/>
  <c r="AQ377" i="5"/>
  <c r="AQ378" i="5"/>
  <c r="AQ379" i="5"/>
  <c r="AQ380" i="5"/>
  <c r="AQ381" i="5"/>
  <c r="AQ382" i="5"/>
  <c r="AQ383" i="5"/>
  <c r="AQ384" i="5"/>
  <c r="AQ385" i="5"/>
  <c r="AQ386" i="5"/>
  <c r="AQ387" i="5"/>
  <c r="AQ388" i="5"/>
  <c r="AQ389" i="5"/>
  <c r="AQ390" i="5"/>
  <c r="AQ391" i="5"/>
  <c r="AQ392" i="5"/>
  <c r="AQ393" i="5"/>
  <c r="AQ394" i="5"/>
  <c r="AQ395" i="5"/>
  <c r="AQ396" i="5"/>
  <c r="AQ397" i="5"/>
  <c r="AQ398" i="5"/>
  <c r="AQ399" i="5"/>
  <c r="AQ400" i="5"/>
  <c r="AQ401" i="5"/>
  <c r="AQ402" i="5"/>
  <c r="AQ403" i="5"/>
  <c r="AQ404" i="5"/>
  <c r="AQ405" i="5"/>
  <c r="AQ406" i="5"/>
  <c r="AQ407" i="5"/>
  <c r="AQ408" i="5"/>
  <c r="AQ409" i="5"/>
  <c r="AQ410" i="5"/>
  <c r="AQ411" i="5"/>
  <c r="AQ412" i="5"/>
  <c r="AQ413" i="5"/>
  <c r="AQ414" i="5"/>
  <c r="AQ415" i="5"/>
  <c r="AQ416" i="5"/>
  <c r="AQ417" i="5"/>
  <c r="AQ418" i="5"/>
  <c r="AQ419" i="5"/>
  <c r="AQ420" i="5"/>
  <c r="AQ421" i="5"/>
  <c r="AQ422" i="5"/>
  <c r="AQ423" i="5"/>
  <c r="AQ424" i="5"/>
  <c r="AQ425" i="5"/>
  <c r="AQ426" i="5"/>
  <c r="AQ427" i="5"/>
  <c r="AQ428" i="5"/>
  <c r="AQ429" i="5"/>
  <c r="AQ430" i="5"/>
  <c r="AQ431" i="5"/>
  <c r="AQ432" i="5"/>
  <c r="AQ433" i="5"/>
  <c r="AQ434" i="5"/>
  <c r="AQ435" i="5"/>
  <c r="AQ436" i="5"/>
  <c r="AQ437" i="5"/>
  <c r="AQ438" i="5"/>
  <c r="AQ439" i="5"/>
  <c r="AQ440" i="5"/>
  <c r="AQ441" i="5"/>
  <c r="AQ442" i="5"/>
  <c r="AQ443" i="5"/>
  <c r="AQ444" i="5"/>
  <c r="AQ445" i="5"/>
  <c r="AQ446" i="5"/>
  <c r="AQ447" i="5"/>
  <c r="AQ448" i="5"/>
  <c r="AQ449" i="5"/>
  <c r="AQ450" i="5"/>
  <c r="AQ451" i="5"/>
  <c r="AQ452" i="5"/>
  <c r="AQ453" i="5"/>
  <c r="AQ454" i="5"/>
  <c r="AQ455" i="5"/>
  <c r="AQ456" i="5"/>
  <c r="AQ457" i="5"/>
  <c r="AQ458" i="5"/>
  <c r="AQ459" i="5"/>
  <c r="AQ460" i="5"/>
  <c r="AQ461" i="5"/>
  <c r="AQ462" i="5"/>
  <c r="AQ463" i="5"/>
  <c r="AQ464" i="5"/>
  <c r="AQ465" i="5"/>
  <c r="AQ466" i="5"/>
  <c r="AQ467" i="5"/>
  <c r="AQ468" i="5"/>
  <c r="AQ469" i="5"/>
  <c r="AQ470" i="5"/>
  <c r="AQ471" i="5"/>
  <c r="AQ472" i="5"/>
  <c r="AQ473" i="5"/>
  <c r="AQ474" i="5"/>
  <c r="AQ475" i="5"/>
  <c r="AQ476" i="5"/>
  <c r="AQ477" i="5"/>
  <c r="AQ478" i="5"/>
  <c r="AQ479" i="5"/>
  <c r="AQ480" i="5"/>
  <c r="AQ481" i="5"/>
  <c r="AQ482" i="5"/>
  <c r="AQ483" i="5"/>
  <c r="AQ484" i="5"/>
  <c r="AQ485" i="5"/>
  <c r="AQ486" i="5"/>
  <c r="AQ487" i="5"/>
  <c r="AQ488" i="5"/>
  <c r="AQ489" i="5"/>
  <c r="AQ490" i="5"/>
  <c r="AQ491" i="5"/>
  <c r="AQ492" i="5"/>
  <c r="AQ493" i="5"/>
  <c r="AQ494" i="5"/>
  <c r="AQ495" i="5"/>
  <c r="AQ496" i="5"/>
  <c r="AQ497" i="5"/>
  <c r="AQ498" i="5"/>
  <c r="AQ499" i="5"/>
  <c r="AQ500" i="5"/>
  <c r="AQ501" i="5"/>
  <c r="AQ502" i="5"/>
  <c r="AQ503" i="5"/>
  <c r="AQ504" i="5"/>
  <c r="AQ505" i="5"/>
  <c r="AQ506" i="5"/>
  <c r="AQ507" i="5"/>
  <c r="AQ508" i="5"/>
  <c r="AQ509" i="5"/>
  <c r="AQ510" i="5"/>
  <c r="AQ511" i="5"/>
  <c r="AQ512" i="5"/>
  <c r="AQ513" i="5"/>
  <c r="AQ514" i="5"/>
  <c r="AQ515" i="5"/>
  <c r="AQ516" i="5"/>
  <c r="AQ517" i="5"/>
  <c r="AQ518" i="5"/>
  <c r="AQ519" i="5"/>
  <c r="AQ520" i="5"/>
  <c r="AQ521" i="5"/>
  <c r="AQ522" i="5"/>
  <c r="AQ523" i="5"/>
  <c r="AQ524" i="5"/>
  <c r="AQ525" i="5"/>
  <c r="AQ526" i="5"/>
  <c r="AQ527" i="5"/>
  <c r="AQ528" i="5"/>
  <c r="AQ529" i="5"/>
  <c r="AQ530" i="5"/>
  <c r="AQ531" i="5"/>
  <c r="AQ532" i="5"/>
  <c r="AQ533" i="5"/>
  <c r="AQ534" i="5"/>
  <c r="AQ535" i="5"/>
  <c r="AQ536" i="5"/>
  <c r="AQ537" i="5"/>
  <c r="AQ538" i="5"/>
  <c r="AQ539" i="5"/>
  <c r="AQ540" i="5"/>
  <c r="AQ541" i="5"/>
  <c r="AQ542" i="5"/>
  <c r="AQ543" i="5"/>
  <c r="AQ544" i="5"/>
  <c r="AQ545" i="5"/>
  <c r="AQ546" i="5"/>
  <c r="AQ547" i="5"/>
  <c r="AQ548" i="5"/>
  <c r="AQ549" i="5"/>
  <c r="AQ550" i="5"/>
  <c r="AQ551" i="5"/>
  <c r="AQ552" i="5"/>
  <c r="AQ553" i="5"/>
  <c r="AQ554" i="5"/>
  <c r="AQ555" i="5"/>
  <c r="AQ556" i="5"/>
  <c r="AQ557" i="5"/>
  <c r="AQ558" i="5"/>
  <c r="AQ559" i="5"/>
  <c r="AQ560" i="5"/>
  <c r="AQ561" i="5"/>
  <c r="AQ562" i="5"/>
  <c r="AQ563" i="5"/>
  <c r="AQ564" i="5"/>
  <c r="AQ565" i="5"/>
  <c r="AQ566" i="5"/>
  <c r="AQ567" i="5"/>
  <c r="AQ568" i="5"/>
  <c r="AQ569" i="5"/>
  <c r="AQ570" i="5"/>
  <c r="AQ571" i="5"/>
  <c r="AQ572" i="5"/>
  <c r="AQ573" i="5"/>
  <c r="AQ574" i="5"/>
  <c r="AQ575" i="5"/>
  <c r="AQ576" i="5"/>
  <c r="AQ577" i="5"/>
  <c r="AQ578" i="5"/>
  <c r="AQ579" i="5"/>
  <c r="AQ580" i="5"/>
  <c r="AQ581" i="5"/>
  <c r="AQ582" i="5"/>
  <c r="AQ583" i="5"/>
  <c r="AQ584" i="5"/>
  <c r="AQ585" i="5"/>
  <c r="AQ586" i="5"/>
  <c r="AQ587" i="5"/>
  <c r="AQ588" i="5"/>
  <c r="AQ589" i="5"/>
  <c r="AQ590" i="5"/>
  <c r="AQ591" i="5"/>
  <c r="AQ592" i="5"/>
  <c r="AQ593" i="5"/>
  <c r="AQ594" i="5"/>
  <c r="AQ595" i="5"/>
  <c r="AQ596" i="5"/>
  <c r="AQ597" i="5"/>
  <c r="AQ598" i="5"/>
  <c r="AQ599" i="5"/>
  <c r="AQ600" i="5"/>
  <c r="AQ601" i="5"/>
  <c r="AQ602" i="5"/>
  <c r="AQ603" i="5"/>
  <c r="AQ604" i="5"/>
  <c r="AQ605" i="5"/>
  <c r="AQ606" i="5"/>
  <c r="AQ607" i="5"/>
  <c r="AQ608" i="5"/>
  <c r="AQ609" i="5"/>
  <c r="AQ610" i="5"/>
  <c r="AQ611" i="5"/>
  <c r="AQ612" i="5"/>
  <c r="AQ613" i="5"/>
  <c r="AQ614" i="5"/>
  <c r="AQ615" i="5"/>
  <c r="AQ616" i="5"/>
  <c r="AQ617" i="5"/>
  <c r="AQ618" i="5"/>
  <c r="AQ619" i="5"/>
  <c r="AQ620" i="5"/>
  <c r="AQ621" i="5"/>
  <c r="AQ622" i="5"/>
  <c r="AQ623" i="5"/>
  <c r="AQ624" i="5"/>
  <c r="AQ625" i="5"/>
  <c r="AQ626" i="5"/>
  <c r="AQ627" i="5"/>
  <c r="AQ628" i="5"/>
  <c r="AQ629" i="5"/>
  <c r="AQ630" i="5"/>
  <c r="AQ631" i="5"/>
  <c r="AQ632" i="5"/>
  <c r="AQ633" i="5"/>
  <c r="AQ634" i="5"/>
  <c r="AQ635" i="5"/>
  <c r="AQ636" i="5"/>
  <c r="AQ637" i="5"/>
  <c r="AQ638" i="5"/>
  <c r="AQ639" i="5"/>
  <c r="AQ640" i="5"/>
  <c r="AQ641" i="5"/>
  <c r="AQ642" i="5"/>
  <c r="AQ643" i="5"/>
  <c r="AQ644" i="5"/>
  <c r="AQ645" i="5"/>
  <c r="AQ646" i="5"/>
  <c r="AQ647" i="5"/>
  <c r="AQ648" i="5"/>
  <c r="AQ649" i="5"/>
  <c r="AQ650" i="5"/>
  <c r="AQ651" i="5"/>
  <c r="AQ652" i="5"/>
  <c r="AQ653" i="5"/>
  <c r="AQ654" i="5"/>
  <c r="AQ655" i="5"/>
  <c r="AQ656" i="5"/>
  <c r="AQ657" i="5"/>
  <c r="AQ658" i="5"/>
  <c r="AQ659" i="5"/>
  <c r="AQ660" i="5"/>
  <c r="AQ661" i="5"/>
  <c r="AQ662" i="5"/>
  <c r="AQ663" i="5"/>
  <c r="AQ664" i="5"/>
  <c r="AQ665" i="5"/>
  <c r="AQ666" i="5"/>
  <c r="AQ667" i="5"/>
  <c r="AQ668" i="5"/>
  <c r="AQ669" i="5"/>
  <c r="AQ670" i="5"/>
  <c r="AQ671" i="5"/>
  <c r="AQ672" i="5"/>
  <c r="AQ673" i="5"/>
  <c r="AQ674" i="5"/>
  <c r="AQ675" i="5"/>
  <c r="AQ676" i="5"/>
  <c r="AQ677" i="5"/>
  <c r="AQ678" i="5"/>
  <c r="AQ679" i="5"/>
  <c r="AQ680" i="5"/>
  <c r="AQ681" i="5"/>
  <c r="AQ682" i="5"/>
  <c r="AQ683" i="5"/>
  <c r="AQ684" i="5"/>
  <c r="AQ685" i="5"/>
  <c r="AQ686" i="5"/>
  <c r="AQ687" i="5"/>
  <c r="AQ688" i="5"/>
  <c r="AQ689" i="5"/>
  <c r="AQ690" i="5"/>
  <c r="AQ691" i="5"/>
  <c r="AQ692" i="5"/>
  <c r="AQ693" i="5"/>
  <c r="AQ694" i="5"/>
  <c r="AQ695" i="5"/>
  <c r="AQ696" i="5"/>
  <c r="AQ697" i="5"/>
  <c r="AQ698" i="5"/>
  <c r="AQ699" i="5"/>
  <c r="AQ700" i="5"/>
  <c r="AQ701" i="5"/>
  <c r="AQ702" i="5"/>
  <c r="AQ703" i="5"/>
  <c r="AQ704" i="5"/>
  <c r="AQ705" i="5"/>
  <c r="AQ706" i="5"/>
  <c r="AQ707" i="5"/>
  <c r="AQ708" i="5"/>
  <c r="AQ709" i="5"/>
  <c r="AQ710" i="5"/>
  <c r="AQ711" i="5"/>
  <c r="AQ712" i="5"/>
  <c r="AQ713" i="5"/>
  <c r="AQ714" i="5"/>
  <c r="AQ715" i="5"/>
  <c r="AQ716" i="5"/>
  <c r="AQ717" i="5"/>
  <c r="AQ718" i="5"/>
  <c r="AQ719" i="5"/>
  <c r="AQ720" i="5"/>
  <c r="AQ721" i="5"/>
  <c r="AQ722" i="5"/>
  <c r="AQ723" i="5"/>
  <c r="AQ724" i="5"/>
  <c r="AQ725" i="5"/>
  <c r="AQ726" i="5"/>
  <c r="AQ727" i="5"/>
  <c r="AQ728" i="5"/>
  <c r="AQ729" i="5"/>
  <c r="AQ730" i="5"/>
  <c r="AQ731" i="5"/>
  <c r="AQ732" i="5"/>
  <c r="AQ733" i="5"/>
  <c r="AQ734" i="5"/>
  <c r="AQ735" i="5"/>
  <c r="AQ736" i="5"/>
  <c r="AQ737" i="5"/>
  <c r="AQ738" i="5"/>
  <c r="AQ739" i="5"/>
  <c r="AQ740" i="5"/>
  <c r="AQ741" i="5"/>
  <c r="AQ742" i="5"/>
  <c r="AQ743" i="5"/>
  <c r="AQ744" i="5"/>
  <c r="AQ745" i="5"/>
  <c r="AQ746" i="5"/>
  <c r="AQ747" i="5"/>
  <c r="AQ748" i="5"/>
  <c r="AQ749" i="5"/>
  <c r="AQ750" i="5"/>
  <c r="AQ751" i="5"/>
  <c r="AQ752" i="5"/>
  <c r="AQ753" i="5"/>
  <c r="AQ754" i="5"/>
  <c r="AQ755" i="5"/>
  <c r="AQ756" i="5"/>
  <c r="AQ757" i="5"/>
  <c r="AQ758" i="5"/>
  <c r="AQ759" i="5"/>
  <c r="AQ760" i="5"/>
  <c r="AQ761" i="5"/>
  <c r="AQ762" i="5"/>
  <c r="AQ763" i="5"/>
  <c r="AQ764" i="5"/>
  <c r="AQ765" i="5"/>
  <c r="AQ766" i="5"/>
  <c r="AQ767" i="5"/>
  <c r="AQ768" i="5"/>
  <c r="AQ769" i="5"/>
  <c r="AQ770" i="5"/>
  <c r="AQ771" i="5"/>
  <c r="AQ772" i="5"/>
  <c r="AQ773" i="5"/>
  <c r="AQ774" i="5"/>
  <c r="AQ775" i="5"/>
  <c r="AQ776" i="5"/>
  <c r="AQ777" i="5"/>
  <c r="AQ778" i="5"/>
  <c r="AQ779" i="5"/>
  <c r="AQ780" i="5"/>
  <c r="AQ781" i="5"/>
  <c r="AQ782" i="5"/>
  <c r="AQ783" i="5"/>
  <c r="AQ784" i="5"/>
  <c r="AQ785" i="5"/>
  <c r="AQ786" i="5"/>
  <c r="AQ787" i="5"/>
  <c r="AQ788" i="5"/>
  <c r="AQ789" i="5"/>
  <c r="AQ790" i="5"/>
  <c r="AQ791" i="5"/>
  <c r="AQ792" i="5"/>
  <c r="AQ793" i="5"/>
  <c r="AQ794" i="5"/>
  <c r="AQ795" i="5"/>
  <c r="AQ796" i="5"/>
  <c r="AQ797" i="5"/>
  <c r="AQ798" i="5"/>
  <c r="AQ799" i="5"/>
  <c r="AQ800" i="5"/>
  <c r="AQ801" i="5"/>
  <c r="AQ802" i="5"/>
  <c r="AQ803" i="5"/>
  <c r="AQ804" i="5"/>
  <c r="AQ805" i="5"/>
  <c r="AQ806" i="5"/>
  <c r="AQ807" i="5"/>
  <c r="AQ808" i="5"/>
  <c r="AQ809" i="5"/>
  <c r="AQ810" i="5"/>
  <c r="AQ811" i="5"/>
  <c r="AQ812" i="5"/>
  <c r="AQ813" i="5"/>
  <c r="AQ814" i="5"/>
  <c r="AQ815" i="5"/>
  <c r="AQ816" i="5"/>
  <c r="AQ817" i="5"/>
  <c r="AQ818" i="5"/>
  <c r="AQ819" i="5"/>
  <c r="AQ820" i="5"/>
  <c r="AQ821" i="5"/>
  <c r="AQ822" i="5"/>
  <c r="AQ823" i="5"/>
  <c r="AQ824" i="5"/>
  <c r="AQ825" i="5"/>
  <c r="AQ826" i="5"/>
  <c r="AQ827" i="5"/>
  <c r="AQ828" i="5"/>
  <c r="AQ829" i="5"/>
  <c r="AQ830" i="5"/>
  <c r="AQ831" i="5"/>
  <c r="AQ832" i="5"/>
  <c r="AQ833" i="5"/>
  <c r="AQ834" i="5"/>
  <c r="AQ835" i="5"/>
  <c r="AQ836" i="5"/>
  <c r="AQ837" i="5"/>
  <c r="AQ838" i="5"/>
  <c r="AQ839" i="5"/>
  <c r="AQ840" i="5"/>
  <c r="AQ841" i="5"/>
  <c r="AQ842" i="5"/>
  <c r="AQ843" i="5"/>
  <c r="AQ844" i="5"/>
  <c r="AQ845" i="5"/>
  <c r="AQ846" i="5"/>
  <c r="AQ847" i="5"/>
  <c r="AQ848" i="5"/>
  <c r="AQ849" i="5"/>
  <c r="AQ850" i="5"/>
  <c r="AQ851" i="5"/>
  <c r="AQ852" i="5"/>
  <c r="AQ853" i="5"/>
  <c r="AQ854" i="5"/>
  <c r="AQ855" i="5"/>
  <c r="AQ856" i="5"/>
  <c r="AQ857" i="5"/>
  <c r="AQ858" i="5"/>
  <c r="AQ859" i="5"/>
  <c r="AQ860" i="5"/>
  <c r="AQ861" i="5"/>
  <c r="AQ862" i="5"/>
  <c r="AQ863" i="5"/>
  <c r="AQ864" i="5"/>
  <c r="AQ865" i="5"/>
  <c r="AQ866" i="5"/>
  <c r="AQ867" i="5"/>
  <c r="AQ868" i="5"/>
  <c r="AQ869" i="5"/>
  <c r="AQ870" i="5"/>
  <c r="AQ871" i="5"/>
  <c r="AQ872" i="5"/>
  <c r="AQ873" i="5"/>
  <c r="AQ874" i="5"/>
  <c r="AQ875" i="5"/>
  <c r="AQ876" i="5"/>
  <c r="AQ877" i="5"/>
  <c r="AQ878" i="5"/>
  <c r="AQ879" i="5"/>
  <c r="AQ880" i="5"/>
  <c r="AQ881" i="5"/>
  <c r="AQ882" i="5"/>
  <c r="AQ883" i="5"/>
  <c r="AQ884" i="5"/>
  <c r="AQ885" i="5"/>
  <c r="AQ886" i="5"/>
  <c r="AQ887" i="5"/>
  <c r="AQ888" i="5"/>
  <c r="AQ889" i="5"/>
  <c r="AQ890" i="5"/>
  <c r="AQ891" i="5"/>
  <c r="AQ892" i="5"/>
  <c r="AQ893" i="5"/>
  <c r="AQ894" i="5"/>
  <c r="AQ895" i="5"/>
  <c r="AQ896" i="5"/>
  <c r="AQ897" i="5"/>
  <c r="AQ898" i="5"/>
  <c r="AQ899" i="5"/>
  <c r="AQ900" i="5"/>
  <c r="AQ901" i="5"/>
  <c r="AQ902" i="5"/>
  <c r="AQ903" i="5"/>
  <c r="AQ904" i="5"/>
  <c r="AQ905" i="5"/>
  <c r="AQ906" i="5"/>
  <c r="AQ907" i="5"/>
  <c r="AQ908" i="5"/>
  <c r="AQ909" i="5"/>
  <c r="AQ910" i="5"/>
  <c r="AQ911" i="5"/>
  <c r="AQ912" i="5"/>
  <c r="AQ913" i="5"/>
  <c r="AQ914" i="5"/>
  <c r="AQ915" i="5"/>
  <c r="AQ916" i="5"/>
  <c r="AQ917" i="5"/>
  <c r="AQ918" i="5"/>
  <c r="AQ919" i="5"/>
  <c r="AQ920" i="5"/>
  <c r="AQ921" i="5"/>
  <c r="AQ922" i="5"/>
  <c r="AQ923" i="5"/>
  <c r="AQ924" i="5"/>
  <c r="AQ925" i="5"/>
  <c r="AQ926" i="5"/>
  <c r="AQ927" i="5"/>
  <c r="AQ928" i="5"/>
  <c r="AQ929" i="5"/>
  <c r="AQ930" i="5"/>
  <c r="AQ931" i="5"/>
  <c r="AQ932" i="5"/>
  <c r="AQ933" i="5"/>
  <c r="AQ934" i="5"/>
  <c r="AQ935" i="5"/>
  <c r="AQ936" i="5"/>
  <c r="AQ937" i="5"/>
  <c r="AQ938" i="5"/>
  <c r="AQ939" i="5"/>
  <c r="AQ940" i="5"/>
  <c r="AQ941" i="5"/>
  <c r="AQ942" i="5"/>
  <c r="AQ943" i="5"/>
  <c r="AQ944" i="5"/>
  <c r="AQ945" i="5"/>
  <c r="AQ946" i="5"/>
  <c r="AQ947" i="5"/>
  <c r="AQ948" i="5"/>
  <c r="AQ949" i="5"/>
  <c r="AQ950" i="5"/>
  <c r="AQ951" i="5"/>
  <c r="AQ952" i="5"/>
  <c r="AQ953" i="5"/>
  <c r="AQ954" i="5"/>
  <c r="AQ955" i="5"/>
  <c r="AQ956" i="5"/>
  <c r="AQ957" i="5"/>
  <c r="AQ958" i="5"/>
  <c r="AQ959" i="5"/>
  <c r="AQ960" i="5"/>
  <c r="AQ961" i="5"/>
  <c r="AQ962" i="5"/>
  <c r="AQ963" i="5"/>
  <c r="AQ964" i="5"/>
  <c r="AQ965" i="5"/>
  <c r="AQ966" i="5"/>
  <c r="AQ967" i="5"/>
  <c r="AQ968" i="5"/>
  <c r="AQ969" i="5"/>
  <c r="AQ970" i="5"/>
  <c r="AQ971" i="5"/>
  <c r="AQ972" i="5"/>
  <c r="AQ973" i="5"/>
  <c r="AQ974" i="5"/>
  <c r="AQ975" i="5"/>
  <c r="AQ976" i="5"/>
  <c r="AQ977" i="5"/>
  <c r="AQ978" i="5"/>
  <c r="AQ979" i="5"/>
  <c r="AQ980" i="5"/>
  <c r="AQ981" i="5"/>
  <c r="AQ982" i="5"/>
  <c r="AQ983" i="5"/>
  <c r="AQ984" i="5"/>
  <c r="AQ985" i="5"/>
  <c r="AQ986" i="5"/>
  <c r="AQ987" i="5"/>
  <c r="AQ988" i="5"/>
  <c r="AQ989" i="5"/>
  <c r="AQ990" i="5"/>
  <c r="AQ991" i="5"/>
  <c r="AQ992" i="5"/>
  <c r="AQ993" i="5"/>
  <c r="AQ994" i="5"/>
  <c r="AQ995" i="5"/>
  <c r="AQ996" i="5"/>
  <c r="AQ997" i="5"/>
  <c r="AQ998" i="5"/>
  <c r="AQ999" i="5"/>
  <c r="AQ1000" i="5"/>
  <c r="AQ1001" i="5"/>
  <c r="AQ1002" i="5"/>
  <c r="AQ1003" i="5"/>
  <c r="AQ1004" i="5"/>
  <c r="AQ1005" i="5"/>
  <c r="AQ1006" i="5"/>
  <c r="AQ1007" i="5"/>
  <c r="AQ1008" i="5"/>
  <c r="AQ1009" i="5"/>
  <c r="AQ1010" i="5"/>
  <c r="AQ1011" i="5"/>
  <c r="AQ1012" i="5"/>
  <c r="AQ1013" i="5"/>
  <c r="AQ1014" i="5"/>
  <c r="AQ1015" i="5"/>
  <c r="AQ1016" i="5"/>
  <c r="AQ1017" i="5"/>
  <c r="AQ1018" i="5"/>
  <c r="AQ1019" i="5"/>
  <c r="AQ1020" i="5"/>
  <c r="AQ1021" i="5"/>
  <c r="AQ1022" i="5"/>
  <c r="AQ1023" i="5"/>
  <c r="AQ1024" i="5"/>
  <c r="AQ1025" i="5"/>
  <c r="AQ1026" i="5"/>
  <c r="AQ1027" i="5"/>
  <c r="AQ1028" i="5"/>
  <c r="AQ1029" i="5"/>
  <c r="AQ1030" i="5"/>
  <c r="AQ1031" i="5"/>
  <c r="AQ1032" i="5"/>
  <c r="AQ1033" i="5"/>
  <c r="AQ1034" i="5"/>
  <c r="AQ1035" i="5"/>
  <c r="AQ1036" i="5"/>
  <c r="AQ1037" i="5"/>
  <c r="AQ1038" i="5"/>
  <c r="AQ1039" i="5"/>
  <c r="AQ1040" i="5"/>
  <c r="AQ1041" i="5"/>
  <c r="AQ1042" i="5"/>
  <c r="AQ1043" i="5"/>
  <c r="AQ1044" i="5"/>
  <c r="AQ1045" i="5"/>
  <c r="AQ1046" i="5"/>
  <c r="AQ1047" i="5"/>
  <c r="AQ1048" i="5"/>
  <c r="AQ1049" i="5"/>
  <c r="AQ1050" i="5"/>
  <c r="AQ1051" i="5"/>
  <c r="AQ1052" i="5"/>
  <c r="AQ1053" i="5"/>
  <c r="AQ1054" i="5"/>
  <c r="AQ1055" i="5"/>
  <c r="AQ1056" i="5"/>
  <c r="AQ1057" i="5"/>
  <c r="AQ1058" i="5"/>
  <c r="AQ1059" i="5"/>
  <c r="AQ1060" i="5"/>
  <c r="AQ1061" i="5"/>
  <c r="AQ1062" i="5"/>
  <c r="AQ1063" i="5"/>
  <c r="AQ1064" i="5"/>
  <c r="AQ1065" i="5"/>
  <c r="AQ1066" i="5"/>
  <c r="AQ1067" i="5"/>
  <c r="AQ1068" i="5"/>
  <c r="AQ1069" i="5"/>
  <c r="AQ1070" i="5"/>
  <c r="AQ1071" i="5"/>
  <c r="AQ1072" i="5"/>
  <c r="AQ1073" i="5"/>
  <c r="AQ1074" i="5"/>
  <c r="AQ1075" i="5"/>
  <c r="AQ1076" i="5"/>
  <c r="AQ1077" i="5"/>
  <c r="AQ1078" i="5"/>
  <c r="AQ1079" i="5"/>
  <c r="AQ1080" i="5"/>
  <c r="AQ1081" i="5"/>
  <c r="AQ1082" i="5"/>
  <c r="AQ1083" i="5"/>
  <c r="AQ1084" i="5"/>
  <c r="AQ1085" i="5"/>
  <c r="AQ1086" i="5"/>
  <c r="AQ1087" i="5"/>
  <c r="AQ1088" i="5"/>
  <c r="AQ1089" i="5"/>
  <c r="AQ1090" i="5"/>
  <c r="AQ1091" i="5"/>
  <c r="AQ1092" i="5"/>
  <c r="AQ1093" i="5"/>
  <c r="AQ1094" i="5"/>
  <c r="AQ1095" i="5"/>
  <c r="AQ1096" i="5"/>
  <c r="AQ1097" i="5"/>
  <c r="AQ1098" i="5"/>
  <c r="AQ1099" i="5"/>
  <c r="AQ1100" i="5"/>
  <c r="AQ1101" i="5"/>
  <c r="AQ1102" i="5"/>
  <c r="AQ1103" i="5"/>
  <c r="AQ1104" i="5"/>
  <c r="AQ1105" i="5"/>
  <c r="AQ1106" i="5"/>
  <c r="AQ1107" i="5"/>
  <c r="AQ1108" i="5"/>
  <c r="AQ1109" i="5"/>
  <c r="AQ1110" i="5"/>
  <c r="AQ1111" i="5"/>
  <c r="AQ1112" i="5"/>
  <c r="AQ1113" i="5"/>
  <c r="AQ1114" i="5"/>
  <c r="AQ1115" i="5"/>
  <c r="AQ1116" i="5"/>
  <c r="AQ1117" i="5"/>
  <c r="AQ1118" i="5"/>
  <c r="AQ1119" i="5"/>
  <c r="AQ1120" i="5"/>
  <c r="AQ1121" i="5"/>
  <c r="AQ1122" i="5"/>
  <c r="AQ1123" i="5"/>
  <c r="AQ1124" i="5"/>
  <c r="AQ1125" i="5"/>
  <c r="AQ1126" i="5"/>
  <c r="AQ1127" i="5"/>
  <c r="AQ1128" i="5"/>
  <c r="AQ1129" i="5"/>
  <c r="AQ1130" i="5"/>
  <c r="AQ1131" i="5"/>
  <c r="AQ1132" i="5"/>
  <c r="AQ1133" i="5"/>
  <c r="AQ1134" i="5"/>
  <c r="AQ1135" i="5"/>
  <c r="AQ1136" i="5"/>
  <c r="AQ1137" i="5"/>
  <c r="AQ1138" i="5"/>
  <c r="AQ1139" i="5"/>
  <c r="AQ1140" i="5"/>
  <c r="AQ1141" i="5"/>
  <c r="AQ1142" i="5"/>
  <c r="AQ1143" i="5"/>
  <c r="AQ1144" i="5"/>
  <c r="AQ1145" i="5"/>
  <c r="AQ1146" i="5"/>
  <c r="AQ1147" i="5"/>
  <c r="AQ1148" i="5"/>
  <c r="AQ1149" i="5"/>
  <c r="AQ1150" i="5"/>
  <c r="AQ1151" i="5"/>
  <c r="AQ1152" i="5"/>
  <c r="AQ1153" i="5"/>
  <c r="AQ1154" i="5"/>
  <c r="AQ1155" i="5"/>
  <c r="AQ1156" i="5"/>
  <c r="AQ1157" i="5"/>
  <c r="AQ1158" i="5"/>
  <c r="AQ1159" i="5"/>
  <c r="AQ1160" i="5"/>
  <c r="AQ1161" i="5"/>
  <c r="AQ1162" i="5"/>
  <c r="AQ1163" i="5"/>
  <c r="AQ1164" i="5"/>
  <c r="AQ1165" i="5"/>
  <c r="AQ1166" i="5"/>
  <c r="AQ1167" i="5"/>
  <c r="AQ1168" i="5"/>
  <c r="AQ1169" i="5"/>
  <c r="AQ1170" i="5"/>
  <c r="AQ1171" i="5"/>
  <c r="AQ1172" i="5"/>
  <c r="AQ1173" i="5"/>
  <c r="AQ1174" i="5"/>
  <c r="AQ1175" i="5"/>
  <c r="AQ1176" i="5"/>
  <c r="AQ1177" i="5"/>
  <c r="AQ1178" i="5"/>
  <c r="AQ1179" i="5"/>
  <c r="AQ1180" i="5"/>
  <c r="AQ1181" i="5"/>
  <c r="AQ1182" i="5"/>
  <c r="AQ1183" i="5"/>
  <c r="AQ1184" i="5"/>
  <c r="AQ1185" i="5"/>
  <c r="AQ1186" i="5"/>
  <c r="AQ1187" i="5"/>
  <c r="AQ1188" i="5"/>
  <c r="AQ1189" i="5"/>
  <c r="AQ1190" i="5"/>
  <c r="AQ1191" i="5"/>
  <c r="AQ1192" i="5"/>
  <c r="AQ1193" i="5"/>
  <c r="AQ1194" i="5"/>
  <c r="AQ1195" i="5"/>
  <c r="AQ1196" i="5"/>
  <c r="AQ1197" i="5"/>
  <c r="AQ1198" i="5"/>
  <c r="AQ1199" i="5"/>
  <c r="AQ1200" i="5"/>
  <c r="AQ1201" i="5"/>
  <c r="AQ1202" i="5"/>
  <c r="AQ1203" i="5"/>
  <c r="AQ1204" i="5"/>
  <c r="AQ1205" i="5"/>
  <c r="AQ1206" i="5"/>
  <c r="AQ1207" i="5"/>
  <c r="AQ1208" i="5"/>
  <c r="AQ1209" i="5"/>
  <c r="AQ1210" i="5"/>
  <c r="AQ1211" i="5"/>
  <c r="AQ1212" i="5"/>
  <c r="AQ1213" i="5"/>
  <c r="AQ1214" i="5"/>
  <c r="AQ1215" i="5"/>
  <c r="AQ1216" i="5"/>
  <c r="AQ1217" i="5"/>
  <c r="AQ1218" i="5"/>
  <c r="AQ1219" i="5"/>
  <c r="AQ1220" i="5"/>
  <c r="AQ1221" i="5"/>
  <c r="AQ1222" i="5"/>
  <c r="I134" i="5"/>
  <c r="M134" i="5"/>
  <c r="Q134" i="5"/>
  <c r="S134" i="5"/>
  <c r="T134" i="5"/>
  <c r="G134" i="5" s="1"/>
  <c r="V134" i="5"/>
  <c r="X134" i="5"/>
  <c r="F134" i="5" s="1"/>
  <c r="Y134" i="5"/>
  <c r="Z134" i="5"/>
  <c r="C134" i="5" s="1"/>
  <c r="AD134" i="5"/>
  <c r="AP134" i="5"/>
  <c r="I135" i="5"/>
  <c r="M135" i="5"/>
  <c r="Q135" i="5"/>
  <c r="S135" i="5"/>
  <c r="T135" i="5"/>
  <c r="G135" i="5" s="1"/>
  <c r="V135" i="5"/>
  <c r="X135" i="5"/>
  <c r="F135" i="5" s="1"/>
  <c r="Y135" i="5"/>
  <c r="Z135" i="5"/>
  <c r="C135" i="5" s="1"/>
  <c r="AD135" i="5"/>
  <c r="AP135" i="5"/>
  <c r="I136" i="5"/>
  <c r="M136" i="5"/>
  <c r="Q136" i="5"/>
  <c r="S136" i="5"/>
  <c r="T136" i="5"/>
  <c r="G136" i="5" s="1"/>
  <c r="V136" i="5"/>
  <c r="X136" i="5"/>
  <c r="F136" i="5" s="1"/>
  <c r="Y136" i="5"/>
  <c r="Z136" i="5"/>
  <c r="C136" i="5" s="1"/>
  <c r="AD136" i="5"/>
  <c r="AP136" i="5"/>
  <c r="I137" i="5"/>
  <c r="M137" i="5"/>
  <c r="Q137" i="5"/>
  <c r="S137" i="5"/>
  <c r="T137" i="5"/>
  <c r="G137" i="5" s="1"/>
  <c r="V137" i="5"/>
  <c r="X137" i="5"/>
  <c r="F137" i="5" s="1"/>
  <c r="Y137" i="5"/>
  <c r="Z137" i="5"/>
  <c r="C137" i="5" s="1"/>
  <c r="AD137" i="5"/>
  <c r="AP137" i="5"/>
  <c r="I138" i="5"/>
  <c r="M138" i="5"/>
  <c r="Q138" i="5"/>
  <c r="S138" i="5"/>
  <c r="T138" i="5"/>
  <c r="G138" i="5" s="1"/>
  <c r="V138" i="5"/>
  <c r="X138" i="5"/>
  <c r="F138" i="5" s="1"/>
  <c r="Y138" i="5"/>
  <c r="Z138" i="5"/>
  <c r="C138" i="5" s="1"/>
  <c r="AD138" i="5"/>
  <c r="AP138" i="5"/>
  <c r="I139" i="5"/>
  <c r="M139" i="5"/>
  <c r="Q139" i="5"/>
  <c r="S139" i="5"/>
  <c r="T139" i="5"/>
  <c r="G139" i="5" s="1"/>
  <c r="V139" i="5"/>
  <c r="X139" i="5"/>
  <c r="F139" i="5" s="1"/>
  <c r="Y139" i="5"/>
  <c r="Z139" i="5"/>
  <c r="C139" i="5" s="1"/>
  <c r="AD139" i="5"/>
  <c r="AP139" i="5"/>
  <c r="I140" i="5"/>
  <c r="M140" i="5"/>
  <c r="Q140" i="5"/>
  <c r="S140" i="5"/>
  <c r="T140" i="5"/>
  <c r="G140" i="5" s="1"/>
  <c r="V140" i="5"/>
  <c r="X140" i="5"/>
  <c r="AA140" i="5" s="1"/>
  <c r="D140" i="5" s="1"/>
  <c r="Y140" i="5"/>
  <c r="Z140" i="5"/>
  <c r="C140" i="5" s="1"/>
  <c r="AD140" i="5"/>
  <c r="AP140" i="5"/>
  <c r="I141" i="5"/>
  <c r="M141" i="5"/>
  <c r="Q141" i="5"/>
  <c r="S141" i="5"/>
  <c r="T141" i="5"/>
  <c r="G141" i="5" s="1"/>
  <c r="V141" i="5"/>
  <c r="X141" i="5"/>
  <c r="AA141" i="5" s="1"/>
  <c r="D141" i="5" s="1"/>
  <c r="Y141" i="5"/>
  <c r="Z141" i="5"/>
  <c r="C141" i="5" s="1"/>
  <c r="AD141" i="5"/>
  <c r="AP141" i="5"/>
  <c r="I142" i="5"/>
  <c r="M142" i="5"/>
  <c r="Q142" i="5"/>
  <c r="S142" i="5"/>
  <c r="T142" i="5"/>
  <c r="G142" i="5" s="1"/>
  <c r="V142" i="5"/>
  <c r="X142" i="5"/>
  <c r="F142" i="5" s="1"/>
  <c r="Y142" i="5"/>
  <c r="Z142" i="5"/>
  <c r="C142" i="5" s="1"/>
  <c r="AD142" i="5"/>
  <c r="AP142" i="5"/>
  <c r="I143" i="5"/>
  <c r="M143" i="5"/>
  <c r="Q143" i="5"/>
  <c r="S143" i="5"/>
  <c r="T143" i="5"/>
  <c r="G143" i="5" s="1"/>
  <c r="V143" i="5"/>
  <c r="X143" i="5"/>
  <c r="F143" i="5" s="1"/>
  <c r="Y143" i="5"/>
  <c r="Z143" i="5"/>
  <c r="C143" i="5" s="1"/>
  <c r="AD143" i="5"/>
  <c r="AP143" i="5"/>
  <c r="I144" i="5"/>
  <c r="M144" i="5"/>
  <c r="Q144" i="5"/>
  <c r="S144" i="5"/>
  <c r="T144" i="5"/>
  <c r="G144" i="5" s="1"/>
  <c r="V144" i="5"/>
  <c r="X144" i="5"/>
  <c r="F144" i="5" s="1"/>
  <c r="Y144" i="5"/>
  <c r="Z144" i="5"/>
  <c r="C144" i="5" s="1"/>
  <c r="AD144" i="5"/>
  <c r="AP144" i="5"/>
  <c r="I145" i="5"/>
  <c r="M145" i="5"/>
  <c r="Q145" i="5"/>
  <c r="S145" i="5"/>
  <c r="T145" i="5"/>
  <c r="G145" i="5" s="1"/>
  <c r="V145" i="5"/>
  <c r="X145" i="5"/>
  <c r="AA145" i="5" s="1"/>
  <c r="D145" i="5" s="1"/>
  <c r="Y145" i="5"/>
  <c r="Z145" i="5"/>
  <c r="C145" i="5" s="1"/>
  <c r="AD145" i="5"/>
  <c r="AP145" i="5"/>
  <c r="I146" i="5"/>
  <c r="M146" i="5"/>
  <c r="Q146" i="5"/>
  <c r="S146" i="5"/>
  <c r="T146" i="5"/>
  <c r="G146" i="5" s="1"/>
  <c r="V146" i="5"/>
  <c r="X146" i="5"/>
  <c r="AA146" i="5" s="1"/>
  <c r="D146" i="5" s="1"/>
  <c r="Y146" i="5"/>
  <c r="Z146" i="5"/>
  <c r="C146" i="5" s="1"/>
  <c r="AD146" i="5"/>
  <c r="AP146" i="5"/>
  <c r="I147" i="5"/>
  <c r="M147" i="5"/>
  <c r="Q147" i="5"/>
  <c r="S147" i="5"/>
  <c r="T147" i="5"/>
  <c r="G147" i="5" s="1"/>
  <c r="V147" i="5"/>
  <c r="X147" i="5"/>
  <c r="F147" i="5" s="1"/>
  <c r="Y147" i="5"/>
  <c r="Z147" i="5"/>
  <c r="C147" i="5" s="1"/>
  <c r="AD147" i="5"/>
  <c r="AP147" i="5"/>
  <c r="I148" i="5"/>
  <c r="M148" i="5"/>
  <c r="Q148" i="5"/>
  <c r="S148" i="5"/>
  <c r="T148" i="5"/>
  <c r="G148" i="5" s="1"/>
  <c r="V148" i="5"/>
  <c r="X148" i="5"/>
  <c r="F148" i="5" s="1"/>
  <c r="Y148" i="5"/>
  <c r="Z148" i="5"/>
  <c r="C148" i="5" s="1"/>
  <c r="AD148" i="5"/>
  <c r="AP148" i="5"/>
  <c r="I149" i="5"/>
  <c r="M149" i="5"/>
  <c r="Q149" i="5"/>
  <c r="S149" i="5"/>
  <c r="T149" i="5"/>
  <c r="G149" i="5" s="1"/>
  <c r="V149" i="5"/>
  <c r="X149" i="5"/>
  <c r="F149" i="5" s="1"/>
  <c r="Y149" i="5"/>
  <c r="Z149" i="5"/>
  <c r="C149" i="5" s="1"/>
  <c r="AD149" i="5"/>
  <c r="AP149" i="5"/>
  <c r="AP717" i="5"/>
  <c r="AD717" i="5"/>
  <c r="Z717" i="5"/>
  <c r="C717" i="5" s="1"/>
  <c r="Y717" i="5"/>
  <c r="X717" i="5"/>
  <c r="F717" i="5" s="1"/>
  <c r="V717" i="5"/>
  <c r="Q717" i="5"/>
  <c r="M717" i="5"/>
  <c r="I717" i="5"/>
  <c r="G717" i="5"/>
  <c r="F43" i="3"/>
  <c r="E43" i="3"/>
  <c r="A43" i="3"/>
  <c r="A44" i="3"/>
  <c r="E44" i="3"/>
  <c r="F44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P628" i="5"/>
  <c r="AD628" i="5"/>
  <c r="Z628" i="5"/>
  <c r="C628" i="5" s="1"/>
  <c r="Y628" i="5"/>
  <c r="X628" i="5"/>
  <c r="F628" i="5" s="1"/>
  <c r="V628" i="5"/>
  <c r="Q628" i="5"/>
  <c r="M628" i="5"/>
  <c r="I628" i="5"/>
  <c r="G628" i="5"/>
  <c r="AP567" i="5"/>
  <c r="AD567" i="5"/>
  <c r="Z567" i="5"/>
  <c r="C567" i="5" s="1"/>
  <c r="Y567" i="5"/>
  <c r="X567" i="5"/>
  <c r="F567" i="5" s="1"/>
  <c r="V567" i="5"/>
  <c r="Q567" i="5"/>
  <c r="M567" i="5"/>
  <c r="I567" i="5"/>
  <c r="G567" i="5"/>
  <c r="AP230" i="5"/>
  <c r="AD230" i="5"/>
  <c r="Z230" i="5"/>
  <c r="C230" i="5" s="1"/>
  <c r="Y230" i="5"/>
  <c r="X230" i="5"/>
  <c r="F230" i="5" s="1"/>
  <c r="V230" i="5"/>
  <c r="Q230" i="5"/>
  <c r="M230" i="5"/>
  <c r="I230" i="5"/>
  <c r="G230" i="5"/>
  <c r="AP5" i="5"/>
  <c r="AD5" i="5"/>
  <c r="Z5" i="5"/>
  <c r="C5" i="5" s="1"/>
  <c r="Y5" i="5"/>
  <c r="X5" i="5"/>
  <c r="F5" i="5" s="1"/>
  <c r="V5" i="5"/>
  <c r="Q5" i="5"/>
  <c r="M5" i="5"/>
  <c r="I5" i="5"/>
  <c r="G5" i="5"/>
  <c r="AP4" i="5"/>
  <c r="AD4" i="5"/>
  <c r="Z4" i="5"/>
  <c r="C4" i="5" s="1"/>
  <c r="Y4" i="5"/>
  <c r="X4" i="5"/>
  <c r="F4" i="5" s="1"/>
  <c r="V4" i="5"/>
  <c r="Q4" i="5"/>
  <c r="M4" i="5"/>
  <c r="I4" i="5"/>
  <c r="G4" i="5"/>
  <c r="AP3" i="5"/>
  <c r="AD3" i="5"/>
  <c r="Z3" i="5"/>
  <c r="C3" i="5" s="1"/>
  <c r="Y3" i="5"/>
  <c r="X3" i="5"/>
  <c r="F3" i="5" s="1"/>
  <c r="V3" i="5"/>
  <c r="Q3" i="5"/>
  <c r="M3" i="5"/>
  <c r="I3" i="5"/>
  <c r="G3" i="5"/>
  <c r="AP6" i="5"/>
  <c r="AD6" i="5"/>
  <c r="Z6" i="5"/>
  <c r="C6" i="5" s="1"/>
  <c r="Y6" i="5"/>
  <c r="X6" i="5"/>
  <c r="V6" i="5"/>
  <c r="T6" i="5"/>
  <c r="G6" i="5" s="1"/>
  <c r="S6" i="5"/>
  <c r="Q6" i="5"/>
  <c r="M6" i="5"/>
  <c r="I6" i="5"/>
  <c r="A132" i="18"/>
  <c r="A131" i="18"/>
  <c r="A130" i="18"/>
  <c r="A129" i="18"/>
  <c r="A128" i="18"/>
  <c r="A127" i="18"/>
  <c r="A126" i="18"/>
  <c r="A125" i="18"/>
  <c r="A124" i="18"/>
  <c r="A123" i="18"/>
  <c r="A122" i="18"/>
  <c r="A121" i="18"/>
  <c r="A120" i="18"/>
  <c r="A119" i="18"/>
  <c r="A118" i="18"/>
  <c r="A117" i="18"/>
  <c r="A116" i="18"/>
  <c r="A115" i="18"/>
  <c r="A114" i="18"/>
  <c r="A113" i="18"/>
  <c r="A112" i="18"/>
  <c r="A111" i="18"/>
  <c r="A110" i="18"/>
  <c r="A109" i="18"/>
  <c r="A108" i="18"/>
  <c r="A107" i="18"/>
  <c r="A106" i="18"/>
  <c r="A105" i="18"/>
  <c r="A104" i="18"/>
  <c r="A103" i="18"/>
  <c r="A102" i="18"/>
  <c r="A101" i="18"/>
  <c r="A100" i="18"/>
  <c r="A99" i="18"/>
  <c r="A98" i="18"/>
  <c r="A97" i="18"/>
  <c r="A96" i="18"/>
  <c r="A95" i="18"/>
  <c r="A94" i="18"/>
  <c r="A93" i="18"/>
  <c r="A92" i="18"/>
  <c r="A91" i="18"/>
  <c r="A90" i="18"/>
  <c r="A89" i="18"/>
  <c r="A88" i="18"/>
  <c r="A87" i="18"/>
  <c r="A86" i="18"/>
  <c r="A85" i="18"/>
  <c r="A84" i="18"/>
  <c r="A83" i="18"/>
  <c r="A82" i="18"/>
  <c r="A81" i="18"/>
  <c r="A80" i="18"/>
  <c r="A79" i="18"/>
  <c r="A78" i="18"/>
  <c r="A77" i="18"/>
  <c r="A76" i="18"/>
  <c r="A75" i="18"/>
  <c r="A74" i="18"/>
  <c r="A73" i="18"/>
  <c r="A72" i="18"/>
  <c r="A71" i="18"/>
  <c r="A70" i="18"/>
  <c r="A69" i="18"/>
  <c r="A68" i="18"/>
  <c r="A67" i="18"/>
  <c r="A66" i="18"/>
  <c r="A65" i="18"/>
  <c r="A64" i="18"/>
  <c r="A63" i="18"/>
  <c r="A62" i="18"/>
  <c r="A61" i="18"/>
  <c r="A60" i="18"/>
  <c r="A59" i="18"/>
  <c r="A58" i="18"/>
  <c r="A57" i="18"/>
  <c r="A56" i="18"/>
  <c r="A55" i="18"/>
  <c r="A54" i="18"/>
  <c r="A53" i="18"/>
  <c r="A52" i="18"/>
  <c r="A51" i="18"/>
  <c r="A50" i="18"/>
  <c r="A49" i="18"/>
  <c r="A48" i="18"/>
  <c r="A47" i="18"/>
  <c r="A46" i="18"/>
  <c r="A45" i="18"/>
  <c r="A44" i="18"/>
  <c r="A43" i="18"/>
  <c r="A42" i="18"/>
  <c r="A41" i="18"/>
  <c r="A40" i="18"/>
  <c r="A39" i="18"/>
  <c r="A38" i="18"/>
  <c r="A37" i="18"/>
  <c r="A36" i="18"/>
  <c r="A35" i="18"/>
  <c r="A34" i="18"/>
  <c r="A33" i="18"/>
  <c r="A32" i="18"/>
  <c r="A31" i="18"/>
  <c r="A30" i="18"/>
  <c r="A29" i="18"/>
  <c r="A28" i="18"/>
  <c r="A27" i="18"/>
  <c r="A26" i="18"/>
  <c r="A25" i="18"/>
  <c r="A24" i="18"/>
  <c r="A23" i="18"/>
  <c r="A22" i="18"/>
  <c r="A21" i="18"/>
  <c r="A20" i="18"/>
  <c r="A19" i="18"/>
  <c r="A18" i="18"/>
  <c r="A17" i="18"/>
  <c r="A16" i="18"/>
  <c r="A15" i="18"/>
  <c r="A14" i="18"/>
  <c r="A13" i="18"/>
  <c r="A12" i="18"/>
  <c r="A11" i="18"/>
  <c r="A10" i="18"/>
  <c r="A9" i="18"/>
  <c r="A8" i="18"/>
  <c r="A7" i="18"/>
  <c r="A6" i="18"/>
  <c r="A5" i="18"/>
  <c r="B130" i="11"/>
  <c r="B129" i="11"/>
  <c r="B128" i="11"/>
  <c r="B127" i="11"/>
  <c r="B126" i="11"/>
  <c r="B125" i="11"/>
  <c r="B124" i="11"/>
  <c r="B123" i="11"/>
  <c r="B122" i="11"/>
  <c r="B121" i="11"/>
  <c r="B120" i="11"/>
  <c r="B119" i="11"/>
  <c r="B118" i="11"/>
  <c r="B117" i="11"/>
  <c r="B116" i="11"/>
  <c r="B115" i="11"/>
  <c r="B114" i="11"/>
  <c r="B113" i="11"/>
  <c r="B112" i="11"/>
  <c r="B111" i="11"/>
  <c r="B110" i="11"/>
  <c r="B109" i="11"/>
  <c r="B108" i="11"/>
  <c r="B107" i="11"/>
  <c r="B106" i="11"/>
  <c r="B105" i="11"/>
  <c r="B104" i="11"/>
  <c r="B103" i="11"/>
  <c r="B102" i="11"/>
  <c r="B101" i="11"/>
  <c r="B100" i="11"/>
  <c r="B99" i="11"/>
  <c r="B98" i="11"/>
  <c r="B97" i="11"/>
  <c r="B96" i="11"/>
  <c r="B95" i="11"/>
  <c r="B94" i="11"/>
  <c r="B93" i="11"/>
  <c r="B92" i="11"/>
  <c r="B91" i="11"/>
  <c r="B90" i="11"/>
  <c r="B89" i="11"/>
  <c r="B88" i="11"/>
  <c r="B87" i="11"/>
  <c r="B86" i="11"/>
  <c r="B85" i="11"/>
  <c r="B84" i="11"/>
  <c r="B83" i="11"/>
  <c r="B82" i="11"/>
  <c r="B81" i="11"/>
  <c r="B80" i="11"/>
  <c r="B79" i="11"/>
  <c r="B78" i="11"/>
  <c r="B77" i="11"/>
  <c r="B76" i="11"/>
  <c r="B75" i="11"/>
  <c r="B74" i="11"/>
  <c r="B73" i="11"/>
  <c r="B72" i="11"/>
  <c r="B71" i="11"/>
  <c r="B70" i="11"/>
  <c r="B69" i="11"/>
  <c r="B68" i="11"/>
  <c r="B67" i="11"/>
  <c r="B66" i="11"/>
  <c r="B65" i="11"/>
  <c r="B64" i="11"/>
  <c r="B63" i="11"/>
  <c r="B62" i="11"/>
  <c r="B61" i="11"/>
  <c r="B60" i="11"/>
  <c r="B59" i="11"/>
  <c r="B58" i="11"/>
  <c r="B57" i="11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J37" i="10"/>
  <c r="I37" i="10"/>
  <c r="H37" i="10"/>
  <c r="G37" i="10"/>
  <c r="F37" i="10"/>
  <c r="E19" i="7"/>
  <c r="C19" i="7"/>
  <c r="AN1223" i="5"/>
  <c r="AL1223" i="5"/>
  <c r="AK1223" i="5"/>
  <c r="AJ1223" i="5"/>
  <c r="AE1223" i="5"/>
  <c r="U1223" i="5"/>
  <c r="L1223" i="5"/>
  <c r="J1223" i="5"/>
  <c r="B1223" i="5"/>
  <c r="AD1120" i="5"/>
  <c r="Z1120" i="5"/>
  <c r="C1120" i="5" s="1"/>
  <c r="Y1120" i="5"/>
  <c r="X1120" i="5"/>
  <c r="F1120" i="5" s="1"/>
  <c r="V1120" i="5"/>
  <c r="T1120" i="5"/>
  <c r="G1120" i="5" s="1"/>
  <c r="S1120" i="5"/>
  <c r="I1120" i="5"/>
  <c r="AD1119" i="5"/>
  <c r="Z1119" i="5"/>
  <c r="C1119" i="5" s="1"/>
  <c r="Y1119" i="5"/>
  <c r="X1119" i="5"/>
  <c r="F1119" i="5" s="1"/>
  <c r="V1119" i="5"/>
  <c r="T1119" i="5"/>
  <c r="G1119" i="5" s="1"/>
  <c r="S1119" i="5"/>
  <c r="I1119" i="5"/>
  <c r="AD1149" i="5"/>
  <c r="Z1149" i="5"/>
  <c r="C1149" i="5" s="1"/>
  <c r="Y1149" i="5"/>
  <c r="X1149" i="5"/>
  <c r="F1149" i="5" s="1"/>
  <c r="V1149" i="5"/>
  <c r="T1149" i="5"/>
  <c r="G1149" i="5" s="1"/>
  <c r="S1149" i="5"/>
  <c r="I1149" i="5"/>
  <c r="AD1148" i="5"/>
  <c r="Z1148" i="5"/>
  <c r="C1148" i="5" s="1"/>
  <c r="Y1148" i="5"/>
  <c r="X1148" i="5"/>
  <c r="V1148" i="5"/>
  <c r="T1148" i="5"/>
  <c r="G1148" i="5" s="1"/>
  <c r="S1148" i="5"/>
  <c r="I1148" i="5"/>
  <c r="AD1096" i="5"/>
  <c r="Z1096" i="5"/>
  <c r="C1096" i="5" s="1"/>
  <c r="Y1096" i="5"/>
  <c r="X1096" i="5"/>
  <c r="V1096" i="5"/>
  <c r="T1096" i="5"/>
  <c r="G1096" i="5" s="1"/>
  <c r="S1096" i="5"/>
  <c r="I1096" i="5"/>
  <c r="AD1095" i="5"/>
  <c r="Z1095" i="5"/>
  <c r="C1095" i="5" s="1"/>
  <c r="Y1095" i="5"/>
  <c r="X1095" i="5"/>
  <c r="F1095" i="5" s="1"/>
  <c r="V1095" i="5"/>
  <c r="T1095" i="5"/>
  <c r="G1095" i="5" s="1"/>
  <c r="S1095" i="5"/>
  <c r="I1095" i="5"/>
  <c r="AD1094" i="5"/>
  <c r="Z1094" i="5"/>
  <c r="C1094" i="5" s="1"/>
  <c r="Y1094" i="5"/>
  <c r="X1094" i="5"/>
  <c r="F1094" i="5" s="1"/>
  <c r="V1094" i="5"/>
  <c r="T1094" i="5"/>
  <c r="G1094" i="5" s="1"/>
  <c r="S1094" i="5"/>
  <c r="I1094" i="5"/>
  <c r="AD1093" i="5"/>
  <c r="Z1093" i="5"/>
  <c r="C1093" i="5" s="1"/>
  <c r="Y1093" i="5"/>
  <c r="X1093" i="5"/>
  <c r="F1093" i="5" s="1"/>
  <c r="V1093" i="5"/>
  <c r="T1093" i="5"/>
  <c r="G1093" i="5" s="1"/>
  <c r="S1093" i="5"/>
  <c r="I1093" i="5"/>
  <c r="AD1092" i="5"/>
  <c r="Z1092" i="5"/>
  <c r="C1092" i="5" s="1"/>
  <c r="Y1092" i="5"/>
  <c r="X1092" i="5"/>
  <c r="V1092" i="5"/>
  <c r="T1092" i="5"/>
  <c r="G1092" i="5" s="1"/>
  <c r="S1092" i="5"/>
  <c r="I1092" i="5"/>
  <c r="AD1088" i="5"/>
  <c r="Z1088" i="5"/>
  <c r="C1088" i="5" s="1"/>
  <c r="Y1088" i="5"/>
  <c r="X1088" i="5"/>
  <c r="V1088" i="5"/>
  <c r="T1088" i="5"/>
  <c r="G1088" i="5" s="1"/>
  <c r="S1088" i="5"/>
  <c r="I1088" i="5"/>
  <c r="AD1087" i="5"/>
  <c r="Z1087" i="5"/>
  <c r="C1087" i="5" s="1"/>
  <c r="Y1087" i="5"/>
  <c r="X1087" i="5"/>
  <c r="F1087" i="5" s="1"/>
  <c r="V1087" i="5"/>
  <c r="T1087" i="5"/>
  <c r="G1087" i="5" s="1"/>
  <c r="S1087" i="5"/>
  <c r="I1087" i="5"/>
  <c r="AD1086" i="5"/>
  <c r="Z1086" i="5"/>
  <c r="C1086" i="5" s="1"/>
  <c r="Y1086" i="5"/>
  <c r="X1086" i="5"/>
  <c r="F1086" i="5" s="1"/>
  <c r="V1086" i="5"/>
  <c r="T1086" i="5"/>
  <c r="G1086" i="5" s="1"/>
  <c r="S1086" i="5"/>
  <c r="I1086" i="5"/>
  <c r="AD1085" i="5"/>
  <c r="Z1085" i="5"/>
  <c r="C1085" i="5" s="1"/>
  <c r="Y1085" i="5"/>
  <c r="X1085" i="5"/>
  <c r="F1085" i="5" s="1"/>
  <c r="V1085" i="5"/>
  <c r="T1085" i="5"/>
  <c r="G1085" i="5" s="1"/>
  <c r="S1085" i="5"/>
  <c r="I1085" i="5"/>
  <c r="AD1084" i="5"/>
  <c r="Z1084" i="5"/>
  <c r="C1084" i="5" s="1"/>
  <c r="Y1084" i="5"/>
  <c r="X1084" i="5"/>
  <c r="V1084" i="5"/>
  <c r="T1084" i="5"/>
  <c r="G1084" i="5" s="1"/>
  <c r="S1084" i="5"/>
  <c r="I1084" i="5"/>
  <c r="AD1083" i="5"/>
  <c r="Z1083" i="5"/>
  <c r="C1083" i="5" s="1"/>
  <c r="Y1083" i="5"/>
  <c r="X1083" i="5"/>
  <c r="F1083" i="5" s="1"/>
  <c r="V1083" i="5"/>
  <c r="T1083" i="5"/>
  <c r="G1083" i="5" s="1"/>
  <c r="S1083" i="5"/>
  <c r="I1083" i="5"/>
  <c r="AD1082" i="5"/>
  <c r="Z1082" i="5"/>
  <c r="C1082" i="5" s="1"/>
  <c r="Y1082" i="5"/>
  <c r="X1082" i="5"/>
  <c r="F1082" i="5" s="1"/>
  <c r="V1082" i="5"/>
  <c r="T1082" i="5"/>
  <c r="G1082" i="5" s="1"/>
  <c r="S1082" i="5"/>
  <c r="I1082" i="5"/>
  <c r="AD1091" i="5"/>
  <c r="Z1091" i="5"/>
  <c r="C1091" i="5" s="1"/>
  <c r="Y1091" i="5"/>
  <c r="X1091" i="5"/>
  <c r="F1091" i="5" s="1"/>
  <c r="V1091" i="5"/>
  <c r="T1091" i="5"/>
  <c r="G1091" i="5" s="1"/>
  <c r="S1091" i="5"/>
  <c r="I1091" i="5"/>
  <c r="AD1090" i="5"/>
  <c r="Z1090" i="5"/>
  <c r="C1090" i="5" s="1"/>
  <c r="Y1090" i="5"/>
  <c r="X1090" i="5"/>
  <c r="F1090" i="5" s="1"/>
  <c r="V1090" i="5"/>
  <c r="T1090" i="5"/>
  <c r="G1090" i="5" s="1"/>
  <c r="S1090" i="5"/>
  <c r="I1090" i="5"/>
  <c r="AD124" i="5"/>
  <c r="Z124" i="5"/>
  <c r="C124" i="5" s="1"/>
  <c r="Y124" i="5"/>
  <c r="X124" i="5"/>
  <c r="V124" i="5"/>
  <c r="T124" i="5"/>
  <c r="G124" i="5" s="1"/>
  <c r="S124" i="5"/>
  <c r="I124" i="5"/>
  <c r="AD123" i="5"/>
  <c r="Z123" i="5"/>
  <c r="C123" i="5" s="1"/>
  <c r="Y123" i="5"/>
  <c r="X123" i="5"/>
  <c r="F123" i="5" s="1"/>
  <c r="V123" i="5"/>
  <c r="T123" i="5"/>
  <c r="G123" i="5" s="1"/>
  <c r="S123" i="5"/>
  <c r="I123" i="5"/>
  <c r="AD822" i="5"/>
  <c r="Z822" i="5"/>
  <c r="C822" i="5" s="1"/>
  <c r="Y822" i="5"/>
  <c r="X822" i="5"/>
  <c r="F822" i="5" s="1"/>
  <c r="V822" i="5"/>
  <c r="T822" i="5"/>
  <c r="G822" i="5" s="1"/>
  <c r="S822" i="5"/>
  <c r="I822" i="5"/>
  <c r="AD789" i="5"/>
  <c r="Z789" i="5"/>
  <c r="C789" i="5" s="1"/>
  <c r="Y789" i="5"/>
  <c r="X789" i="5"/>
  <c r="F789" i="5" s="1"/>
  <c r="V789" i="5"/>
  <c r="T789" i="5"/>
  <c r="G789" i="5" s="1"/>
  <c r="S789" i="5"/>
  <c r="I789" i="5"/>
  <c r="AD757" i="5"/>
  <c r="Z757" i="5"/>
  <c r="C757" i="5" s="1"/>
  <c r="Y757" i="5"/>
  <c r="X757" i="5"/>
  <c r="F757" i="5" s="1"/>
  <c r="V757" i="5"/>
  <c r="T757" i="5"/>
  <c r="G757" i="5" s="1"/>
  <c r="S757" i="5"/>
  <c r="I757" i="5"/>
  <c r="AD756" i="5"/>
  <c r="Z756" i="5"/>
  <c r="C756" i="5" s="1"/>
  <c r="Y756" i="5"/>
  <c r="X756" i="5"/>
  <c r="V756" i="5"/>
  <c r="T756" i="5"/>
  <c r="G756" i="5" s="1"/>
  <c r="S756" i="5"/>
  <c r="I756" i="5"/>
  <c r="AD699" i="5"/>
  <c r="Z699" i="5"/>
  <c r="C699" i="5" s="1"/>
  <c r="Y699" i="5"/>
  <c r="X699" i="5"/>
  <c r="F699" i="5" s="1"/>
  <c r="V699" i="5"/>
  <c r="T699" i="5"/>
  <c r="G699" i="5" s="1"/>
  <c r="S699" i="5"/>
  <c r="I699" i="5"/>
  <c r="AD661" i="5"/>
  <c r="Z661" i="5"/>
  <c r="C661" i="5" s="1"/>
  <c r="Y661" i="5"/>
  <c r="X661" i="5"/>
  <c r="F661" i="5" s="1"/>
  <c r="V661" i="5"/>
  <c r="T661" i="5"/>
  <c r="G661" i="5" s="1"/>
  <c r="S661" i="5"/>
  <c r="I661" i="5"/>
  <c r="AD660" i="5"/>
  <c r="Z660" i="5"/>
  <c r="C660" i="5" s="1"/>
  <c r="Y660" i="5"/>
  <c r="X660" i="5"/>
  <c r="F660" i="5" s="1"/>
  <c r="V660" i="5"/>
  <c r="T660" i="5"/>
  <c r="G660" i="5" s="1"/>
  <c r="S660" i="5"/>
  <c r="I660" i="5"/>
  <c r="AD698" i="5"/>
  <c r="Z698" i="5"/>
  <c r="C698" i="5" s="1"/>
  <c r="Y698" i="5"/>
  <c r="X698" i="5"/>
  <c r="F698" i="5" s="1"/>
  <c r="V698" i="5"/>
  <c r="T698" i="5"/>
  <c r="G698" i="5" s="1"/>
  <c r="S698" i="5"/>
  <c r="I698" i="5"/>
  <c r="AD659" i="5"/>
  <c r="Z659" i="5"/>
  <c r="C659" i="5" s="1"/>
  <c r="Y659" i="5"/>
  <c r="X659" i="5"/>
  <c r="V659" i="5"/>
  <c r="T659" i="5"/>
  <c r="G659" i="5" s="1"/>
  <c r="S659" i="5"/>
  <c r="I659" i="5"/>
  <c r="AD658" i="5"/>
  <c r="Z658" i="5"/>
  <c r="C658" i="5" s="1"/>
  <c r="Y658" i="5"/>
  <c r="X658" i="5"/>
  <c r="F658" i="5" s="1"/>
  <c r="V658" i="5"/>
  <c r="T658" i="5"/>
  <c r="G658" i="5" s="1"/>
  <c r="S658" i="5"/>
  <c r="I658" i="5"/>
  <c r="AD592" i="5"/>
  <c r="Z592" i="5"/>
  <c r="C592" i="5" s="1"/>
  <c r="Y592" i="5"/>
  <c r="X592" i="5"/>
  <c r="F592" i="5" s="1"/>
  <c r="V592" i="5"/>
  <c r="T592" i="5"/>
  <c r="G592" i="5" s="1"/>
  <c r="S592" i="5"/>
  <c r="I592" i="5"/>
  <c r="AD583" i="5"/>
  <c r="Z583" i="5"/>
  <c r="C583" i="5" s="1"/>
  <c r="Y583" i="5"/>
  <c r="X583" i="5"/>
  <c r="F583" i="5" s="1"/>
  <c r="V583" i="5"/>
  <c r="T583" i="5"/>
  <c r="G583" i="5" s="1"/>
  <c r="S583" i="5"/>
  <c r="I583" i="5"/>
  <c r="AD582" i="5"/>
  <c r="Z582" i="5"/>
  <c r="C582" i="5" s="1"/>
  <c r="Y582" i="5"/>
  <c r="X582" i="5"/>
  <c r="F582" i="5" s="1"/>
  <c r="V582" i="5"/>
  <c r="T582" i="5"/>
  <c r="G582" i="5" s="1"/>
  <c r="S582" i="5"/>
  <c r="I582" i="5"/>
  <c r="AD463" i="5"/>
  <c r="Z463" i="5"/>
  <c r="C463" i="5" s="1"/>
  <c r="Y463" i="5"/>
  <c r="X463" i="5"/>
  <c r="V463" i="5"/>
  <c r="T463" i="5"/>
  <c r="G463" i="5" s="1"/>
  <c r="S463" i="5"/>
  <c r="I463" i="5"/>
  <c r="AD334" i="5"/>
  <c r="Z334" i="5"/>
  <c r="C334" i="5" s="1"/>
  <c r="Y334" i="5"/>
  <c r="X334" i="5"/>
  <c r="F334" i="5" s="1"/>
  <c r="V334" i="5"/>
  <c r="T334" i="5"/>
  <c r="G334" i="5" s="1"/>
  <c r="S334" i="5"/>
  <c r="I334" i="5"/>
  <c r="AD333" i="5"/>
  <c r="Z333" i="5"/>
  <c r="C333" i="5" s="1"/>
  <c r="Y333" i="5"/>
  <c r="X333" i="5"/>
  <c r="F333" i="5" s="1"/>
  <c r="V333" i="5"/>
  <c r="T333" i="5"/>
  <c r="G333" i="5" s="1"/>
  <c r="S333" i="5"/>
  <c r="I333" i="5"/>
  <c r="AD462" i="5"/>
  <c r="Z462" i="5"/>
  <c r="C462" i="5" s="1"/>
  <c r="Y462" i="5"/>
  <c r="X462" i="5"/>
  <c r="F462" i="5" s="1"/>
  <c r="V462" i="5"/>
  <c r="T462" i="5"/>
  <c r="G462" i="5" s="1"/>
  <c r="S462" i="5"/>
  <c r="I462" i="5"/>
  <c r="AD330" i="5"/>
  <c r="Z330" i="5"/>
  <c r="C330" i="5" s="1"/>
  <c r="Y330" i="5"/>
  <c r="X330" i="5"/>
  <c r="F330" i="5" s="1"/>
  <c r="V330" i="5"/>
  <c r="T330" i="5"/>
  <c r="G330" i="5" s="1"/>
  <c r="S330" i="5"/>
  <c r="I330" i="5"/>
  <c r="AD329" i="5"/>
  <c r="Z329" i="5"/>
  <c r="C329" i="5" s="1"/>
  <c r="Y329" i="5"/>
  <c r="X329" i="5"/>
  <c r="V329" i="5"/>
  <c r="T329" i="5"/>
  <c r="G329" i="5" s="1"/>
  <c r="S329" i="5"/>
  <c r="I329" i="5"/>
  <c r="AD461" i="5"/>
  <c r="Z461" i="5"/>
  <c r="C461" i="5" s="1"/>
  <c r="Y461" i="5"/>
  <c r="X461" i="5"/>
  <c r="F461" i="5" s="1"/>
  <c r="V461" i="5"/>
  <c r="T461" i="5"/>
  <c r="G461" i="5" s="1"/>
  <c r="S461" i="5"/>
  <c r="I461" i="5"/>
  <c r="AD326" i="5"/>
  <c r="Z326" i="5"/>
  <c r="C326" i="5" s="1"/>
  <c r="Y326" i="5"/>
  <c r="X326" i="5"/>
  <c r="F326" i="5" s="1"/>
  <c r="V326" i="5"/>
  <c r="T326" i="5"/>
  <c r="G326" i="5" s="1"/>
  <c r="S326" i="5"/>
  <c r="I326" i="5"/>
  <c r="AD325" i="5"/>
  <c r="Z325" i="5"/>
  <c r="C325" i="5" s="1"/>
  <c r="Y325" i="5"/>
  <c r="X325" i="5"/>
  <c r="F325" i="5" s="1"/>
  <c r="V325" i="5"/>
  <c r="T325" i="5"/>
  <c r="G325" i="5" s="1"/>
  <c r="S325" i="5"/>
  <c r="I325" i="5"/>
  <c r="AD460" i="5"/>
  <c r="Z460" i="5"/>
  <c r="C460" i="5" s="1"/>
  <c r="Y460" i="5"/>
  <c r="X460" i="5"/>
  <c r="F460" i="5" s="1"/>
  <c r="V460" i="5"/>
  <c r="T460" i="5"/>
  <c r="G460" i="5" s="1"/>
  <c r="S460" i="5"/>
  <c r="I460" i="5"/>
  <c r="AD322" i="5"/>
  <c r="Z322" i="5"/>
  <c r="C322" i="5" s="1"/>
  <c r="Y322" i="5"/>
  <c r="X322" i="5"/>
  <c r="V322" i="5"/>
  <c r="T322" i="5"/>
  <c r="G322" i="5" s="1"/>
  <c r="S322" i="5"/>
  <c r="I322" i="5"/>
  <c r="AD321" i="5"/>
  <c r="Z321" i="5"/>
  <c r="C321" i="5" s="1"/>
  <c r="Y321" i="5"/>
  <c r="X321" i="5"/>
  <c r="F321" i="5" s="1"/>
  <c r="V321" i="5"/>
  <c r="T321" i="5"/>
  <c r="G321" i="5" s="1"/>
  <c r="S321" i="5"/>
  <c r="I321" i="5"/>
  <c r="AD459" i="5"/>
  <c r="Z459" i="5"/>
  <c r="C459" i="5" s="1"/>
  <c r="Y459" i="5"/>
  <c r="X459" i="5"/>
  <c r="F459" i="5" s="1"/>
  <c r="V459" i="5"/>
  <c r="T459" i="5"/>
  <c r="G459" i="5" s="1"/>
  <c r="S459" i="5"/>
  <c r="I459" i="5"/>
  <c r="AD318" i="5"/>
  <c r="Z318" i="5"/>
  <c r="C318" i="5" s="1"/>
  <c r="Y318" i="5"/>
  <c r="X318" i="5"/>
  <c r="F318" i="5" s="1"/>
  <c r="V318" i="5"/>
  <c r="T318" i="5"/>
  <c r="G318" i="5" s="1"/>
  <c r="S318" i="5"/>
  <c r="I318" i="5"/>
  <c r="AD317" i="5"/>
  <c r="Z317" i="5"/>
  <c r="C317" i="5" s="1"/>
  <c r="Y317" i="5"/>
  <c r="X317" i="5"/>
  <c r="V317" i="5"/>
  <c r="T317" i="5"/>
  <c r="G317" i="5" s="1"/>
  <c r="S317" i="5"/>
  <c r="I317" i="5"/>
  <c r="AD458" i="5"/>
  <c r="Z458" i="5"/>
  <c r="C458" i="5" s="1"/>
  <c r="Y458" i="5"/>
  <c r="X458" i="5"/>
  <c r="V458" i="5"/>
  <c r="T458" i="5"/>
  <c r="G458" i="5" s="1"/>
  <c r="S458" i="5"/>
  <c r="I458" i="5"/>
  <c r="AD314" i="5"/>
  <c r="Z314" i="5"/>
  <c r="C314" i="5" s="1"/>
  <c r="Y314" i="5"/>
  <c r="X314" i="5"/>
  <c r="F314" i="5" s="1"/>
  <c r="V314" i="5"/>
  <c r="T314" i="5"/>
  <c r="G314" i="5" s="1"/>
  <c r="S314" i="5"/>
  <c r="I314" i="5"/>
  <c r="AD313" i="5"/>
  <c r="Z313" i="5"/>
  <c r="C313" i="5" s="1"/>
  <c r="Y313" i="5"/>
  <c r="X313" i="5"/>
  <c r="F313" i="5" s="1"/>
  <c r="V313" i="5"/>
  <c r="T313" i="5"/>
  <c r="G313" i="5" s="1"/>
  <c r="S313" i="5"/>
  <c r="I313" i="5"/>
  <c r="AD457" i="5"/>
  <c r="Z457" i="5"/>
  <c r="C457" i="5" s="1"/>
  <c r="Y457" i="5"/>
  <c r="X457" i="5"/>
  <c r="F457" i="5" s="1"/>
  <c r="V457" i="5"/>
  <c r="T457" i="5"/>
  <c r="G457" i="5" s="1"/>
  <c r="S457" i="5"/>
  <c r="I457" i="5"/>
  <c r="AD310" i="5"/>
  <c r="Z310" i="5"/>
  <c r="C310" i="5" s="1"/>
  <c r="Y310" i="5"/>
  <c r="X310" i="5"/>
  <c r="V310" i="5"/>
  <c r="T310" i="5"/>
  <c r="G310" i="5" s="1"/>
  <c r="S310" i="5"/>
  <c r="I310" i="5"/>
  <c r="AD309" i="5"/>
  <c r="Z309" i="5"/>
  <c r="C309" i="5" s="1"/>
  <c r="Y309" i="5"/>
  <c r="X309" i="5"/>
  <c r="V309" i="5"/>
  <c r="T309" i="5"/>
  <c r="G309" i="5" s="1"/>
  <c r="S309" i="5"/>
  <c r="I309" i="5"/>
  <c r="AD456" i="5"/>
  <c r="Z456" i="5"/>
  <c r="C456" i="5" s="1"/>
  <c r="Y456" i="5"/>
  <c r="X456" i="5"/>
  <c r="V456" i="5"/>
  <c r="T456" i="5"/>
  <c r="G456" i="5" s="1"/>
  <c r="S456" i="5"/>
  <c r="I456" i="5"/>
  <c r="AD308" i="5"/>
  <c r="Z308" i="5"/>
  <c r="C308" i="5" s="1"/>
  <c r="Y308" i="5"/>
  <c r="X308" i="5"/>
  <c r="F308" i="5" s="1"/>
  <c r="V308" i="5"/>
  <c r="T308" i="5"/>
  <c r="G308" i="5" s="1"/>
  <c r="S308" i="5"/>
  <c r="I308" i="5"/>
  <c r="AD307" i="5"/>
  <c r="Z307" i="5"/>
  <c r="C307" i="5" s="1"/>
  <c r="Y307" i="5"/>
  <c r="X307" i="5"/>
  <c r="F307" i="5" s="1"/>
  <c r="V307" i="5"/>
  <c r="T307" i="5"/>
  <c r="G307" i="5" s="1"/>
  <c r="S307" i="5"/>
  <c r="I307" i="5"/>
  <c r="AD455" i="5"/>
  <c r="Z455" i="5"/>
  <c r="C455" i="5" s="1"/>
  <c r="Y455" i="5"/>
  <c r="X455" i="5"/>
  <c r="F455" i="5" s="1"/>
  <c r="V455" i="5"/>
  <c r="T455" i="5"/>
  <c r="G455" i="5" s="1"/>
  <c r="S455" i="5"/>
  <c r="I455" i="5"/>
  <c r="AD306" i="5"/>
  <c r="Z306" i="5"/>
  <c r="C306" i="5" s="1"/>
  <c r="Y306" i="5"/>
  <c r="X306" i="5"/>
  <c r="V306" i="5"/>
  <c r="T306" i="5"/>
  <c r="G306" i="5" s="1"/>
  <c r="S306" i="5"/>
  <c r="I306" i="5"/>
  <c r="AD305" i="5"/>
  <c r="Z305" i="5"/>
  <c r="C305" i="5" s="1"/>
  <c r="Y305" i="5"/>
  <c r="X305" i="5"/>
  <c r="F305" i="5" s="1"/>
  <c r="V305" i="5"/>
  <c r="T305" i="5"/>
  <c r="G305" i="5" s="1"/>
  <c r="S305" i="5"/>
  <c r="I305" i="5"/>
  <c r="AD453" i="5"/>
  <c r="Z453" i="5"/>
  <c r="C453" i="5" s="1"/>
  <c r="Y453" i="5"/>
  <c r="X453" i="5"/>
  <c r="F453" i="5" s="1"/>
  <c r="V453" i="5"/>
  <c r="T453" i="5"/>
  <c r="G453" i="5" s="1"/>
  <c r="S453" i="5"/>
  <c r="I453" i="5"/>
  <c r="AD378" i="5"/>
  <c r="Z378" i="5"/>
  <c r="C378" i="5" s="1"/>
  <c r="Y378" i="5"/>
  <c r="X378" i="5"/>
  <c r="F378" i="5" s="1"/>
  <c r="V378" i="5"/>
  <c r="T378" i="5"/>
  <c r="G378" i="5" s="1"/>
  <c r="S378" i="5"/>
  <c r="I378" i="5"/>
  <c r="AD377" i="5"/>
  <c r="Z377" i="5"/>
  <c r="C377" i="5" s="1"/>
  <c r="Y377" i="5"/>
  <c r="X377" i="5"/>
  <c r="V377" i="5"/>
  <c r="T377" i="5"/>
  <c r="G377" i="5" s="1"/>
  <c r="S377" i="5"/>
  <c r="I377" i="5"/>
  <c r="AD452" i="5"/>
  <c r="Z452" i="5"/>
  <c r="C452" i="5" s="1"/>
  <c r="Y452" i="5"/>
  <c r="X452" i="5"/>
  <c r="F452" i="5" s="1"/>
  <c r="V452" i="5"/>
  <c r="T452" i="5"/>
  <c r="G452" i="5" s="1"/>
  <c r="S452" i="5"/>
  <c r="I452" i="5"/>
  <c r="AD376" i="5"/>
  <c r="Z376" i="5"/>
  <c r="C376" i="5" s="1"/>
  <c r="Y376" i="5"/>
  <c r="X376" i="5"/>
  <c r="F376" i="5" s="1"/>
  <c r="V376" i="5"/>
  <c r="T376" i="5"/>
  <c r="G376" i="5" s="1"/>
  <c r="S376" i="5"/>
  <c r="I376" i="5"/>
  <c r="AD375" i="5"/>
  <c r="Z375" i="5"/>
  <c r="C375" i="5" s="1"/>
  <c r="Y375" i="5"/>
  <c r="X375" i="5"/>
  <c r="F375" i="5" s="1"/>
  <c r="V375" i="5"/>
  <c r="T375" i="5"/>
  <c r="G375" i="5" s="1"/>
  <c r="S375" i="5"/>
  <c r="I375" i="5"/>
  <c r="AD451" i="5"/>
  <c r="Z451" i="5"/>
  <c r="C451" i="5" s="1"/>
  <c r="Y451" i="5"/>
  <c r="X451" i="5"/>
  <c r="F451" i="5" s="1"/>
  <c r="V451" i="5"/>
  <c r="T451" i="5"/>
  <c r="G451" i="5" s="1"/>
  <c r="S451" i="5"/>
  <c r="I451" i="5"/>
  <c r="AD374" i="5"/>
  <c r="Z374" i="5"/>
  <c r="C374" i="5" s="1"/>
  <c r="Y374" i="5"/>
  <c r="X374" i="5"/>
  <c r="F374" i="5" s="1"/>
  <c r="V374" i="5"/>
  <c r="T374" i="5"/>
  <c r="G374" i="5" s="1"/>
  <c r="S374" i="5"/>
  <c r="I374" i="5"/>
  <c r="AD373" i="5"/>
  <c r="Z373" i="5"/>
  <c r="C373" i="5" s="1"/>
  <c r="Y373" i="5"/>
  <c r="X373" i="5"/>
  <c r="F373" i="5" s="1"/>
  <c r="V373" i="5"/>
  <c r="T373" i="5"/>
  <c r="G373" i="5" s="1"/>
  <c r="S373" i="5"/>
  <c r="I373" i="5"/>
  <c r="AD450" i="5"/>
  <c r="Z450" i="5"/>
  <c r="C450" i="5" s="1"/>
  <c r="Y450" i="5"/>
  <c r="X450" i="5"/>
  <c r="V450" i="5"/>
  <c r="T450" i="5"/>
  <c r="G450" i="5" s="1"/>
  <c r="S450" i="5"/>
  <c r="I450" i="5"/>
  <c r="AD372" i="5"/>
  <c r="Z372" i="5"/>
  <c r="C372" i="5" s="1"/>
  <c r="Y372" i="5"/>
  <c r="X372" i="5"/>
  <c r="F372" i="5" s="1"/>
  <c r="V372" i="5"/>
  <c r="T372" i="5"/>
  <c r="G372" i="5" s="1"/>
  <c r="S372" i="5"/>
  <c r="I372" i="5"/>
  <c r="AD371" i="5"/>
  <c r="Z371" i="5"/>
  <c r="C371" i="5" s="1"/>
  <c r="Y371" i="5"/>
  <c r="X371" i="5"/>
  <c r="F371" i="5" s="1"/>
  <c r="V371" i="5"/>
  <c r="T371" i="5"/>
  <c r="G371" i="5" s="1"/>
  <c r="S371" i="5"/>
  <c r="I371" i="5"/>
  <c r="AD449" i="5"/>
  <c r="Z449" i="5"/>
  <c r="C449" i="5" s="1"/>
  <c r="Y449" i="5"/>
  <c r="X449" i="5"/>
  <c r="V449" i="5"/>
  <c r="T449" i="5"/>
  <c r="G449" i="5" s="1"/>
  <c r="S449" i="5"/>
  <c r="I449" i="5"/>
  <c r="AD370" i="5"/>
  <c r="Z370" i="5"/>
  <c r="C370" i="5" s="1"/>
  <c r="Y370" i="5"/>
  <c r="X370" i="5"/>
  <c r="F370" i="5" s="1"/>
  <c r="V370" i="5"/>
  <c r="T370" i="5"/>
  <c r="G370" i="5" s="1"/>
  <c r="S370" i="5"/>
  <c r="I370" i="5"/>
  <c r="AD369" i="5"/>
  <c r="Z369" i="5"/>
  <c r="C369" i="5" s="1"/>
  <c r="Y369" i="5"/>
  <c r="X369" i="5"/>
  <c r="V369" i="5"/>
  <c r="T369" i="5"/>
  <c r="G369" i="5" s="1"/>
  <c r="S369" i="5"/>
  <c r="I369" i="5"/>
  <c r="AD448" i="5"/>
  <c r="Z448" i="5"/>
  <c r="C448" i="5" s="1"/>
  <c r="Y448" i="5"/>
  <c r="X448" i="5"/>
  <c r="F448" i="5" s="1"/>
  <c r="V448" i="5"/>
  <c r="T448" i="5"/>
  <c r="G448" i="5" s="1"/>
  <c r="S448" i="5"/>
  <c r="I448" i="5"/>
  <c r="AD368" i="5"/>
  <c r="Z368" i="5"/>
  <c r="C368" i="5" s="1"/>
  <c r="Y368" i="5"/>
  <c r="X368" i="5"/>
  <c r="F368" i="5" s="1"/>
  <c r="V368" i="5"/>
  <c r="T368" i="5"/>
  <c r="G368" i="5" s="1"/>
  <c r="S368" i="5"/>
  <c r="I368" i="5"/>
  <c r="AD367" i="5"/>
  <c r="Z367" i="5"/>
  <c r="C367" i="5" s="1"/>
  <c r="Y367" i="5"/>
  <c r="X367" i="5"/>
  <c r="F367" i="5" s="1"/>
  <c r="V367" i="5"/>
  <c r="T367" i="5"/>
  <c r="G367" i="5" s="1"/>
  <c r="S367" i="5"/>
  <c r="I367" i="5"/>
  <c r="AD447" i="5"/>
  <c r="Z447" i="5"/>
  <c r="C447" i="5" s="1"/>
  <c r="Y447" i="5"/>
  <c r="X447" i="5"/>
  <c r="V447" i="5"/>
  <c r="T447" i="5"/>
  <c r="G447" i="5" s="1"/>
  <c r="S447" i="5"/>
  <c r="I447" i="5"/>
  <c r="AD366" i="5"/>
  <c r="Z366" i="5"/>
  <c r="C366" i="5" s="1"/>
  <c r="Y366" i="5"/>
  <c r="X366" i="5"/>
  <c r="V366" i="5"/>
  <c r="T366" i="5"/>
  <c r="G366" i="5" s="1"/>
  <c r="S366" i="5"/>
  <c r="I366" i="5"/>
  <c r="AD365" i="5"/>
  <c r="Z365" i="5"/>
  <c r="C365" i="5" s="1"/>
  <c r="Y365" i="5"/>
  <c r="X365" i="5"/>
  <c r="F365" i="5" s="1"/>
  <c r="V365" i="5"/>
  <c r="T365" i="5"/>
  <c r="G365" i="5" s="1"/>
  <c r="S365" i="5"/>
  <c r="I365" i="5"/>
  <c r="AD446" i="5"/>
  <c r="Z446" i="5"/>
  <c r="C446" i="5" s="1"/>
  <c r="Y446" i="5"/>
  <c r="X446" i="5"/>
  <c r="F446" i="5" s="1"/>
  <c r="V446" i="5"/>
  <c r="T446" i="5"/>
  <c r="G446" i="5" s="1"/>
  <c r="S446" i="5"/>
  <c r="I446" i="5"/>
  <c r="AD364" i="5"/>
  <c r="Z364" i="5"/>
  <c r="C364" i="5" s="1"/>
  <c r="Y364" i="5"/>
  <c r="X364" i="5"/>
  <c r="F364" i="5" s="1"/>
  <c r="V364" i="5"/>
  <c r="T364" i="5"/>
  <c r="G364" i="5" s="1"/>
  <c r="S364" i="5"/>
  <c r="I364" i="5"/>
  <c r="AD363" i="5"/>
  <c r="Z363" i="5"/>
  <c r="C363" i="5" s="1"/>
  <c r="Y363" i="5"/>
  <c r="X363" i="5"/>
  <c r="F363" i="5" s="1"/>
  <c r="V363" i="5"/>
  <c r="T363" i="5"/>
  <c r="G363" i="5" s="1"/>
  <c r="S363" i="5"/>
  <c r="I363" i="5"/>
  <c r="AD445" i="5"/>
  <c r="Z445" i="5"/>
  <c r="C445" i="5" s="1"/>
  <c r="Y445" i="5"/>
  <c r="X445" i="5"/>
  <c r="V445" i="5"/>
  <c r="T445" i="5"/>
  <c r="G445" i="5" s="1"/>
  <c r="S445" i="5"/>
  <c r="I445" i="5"/>
  <c r="AD362" i="5"/>
  <c r="Z362" i="5"/>
  <c r="C362" i="5" s="1"/>
  <c r="Y362" i="5"/>
  <c r="X362" i="5"/>
  <c r="F362" i="5" s="1"/>
  <c r="V362" i="5"/>
  <c r="T362" i="5"/>
  <c r="G362" i="5" s="1"/>
  <c r="S362" i="5"/>
  <c r="I362" i="5"/>
  <c r="AD361" i="5"/>
  <c r="Z361" i="5"/>
  <c r="C361" i="5" s="1"/>
  <c r="Y361" i="5"/>
  <c r="X361" i="5"/>
  <c r="F361" i="5" s="1"/>
  <c r="V361" i="5"/>
  <c r="T361" i="5"/>
  <c r="G361" i="5" s="1"/>
  <c r="S361" i="5"/>
  <c r="I361" i="5"/>
  <c r="AD444" i="5"/>
  <c r="Z444" i="5"/>
  <c r="C444" i="5" s="1"/>
  <c r="Y444" i="5"/>
  <c r="X444" i="5"/>
  <c r="F444" i="5" s="1"/>
  <c r="V444" i="5"/>
  <c r="T444" i="5"/>
  <c r="G444" i="5" s="1"/>
  <c r="S444" i="5"/>
  <c r="I444" i="5"/>
  <c r="AD360" i="5"/>
  <c r="Z360" i="5"/>
  <c r="C360" i="5" s="1"/>
  <c r="Y360" i="5"/>
  <c r="X360" i="5"/>
  <c r="V360" i="5"/>
  <c r="T360" i="5"/>
  <c r="G360" i="5" s="1"/>
  <c r="S360" i="5"/>
  <c r="I360" i="5"/>
  <c r="AD359" i="5"/>
  <c r="Z359" i="5"/>
  <c r="C359" i="5" s="1"/>
  <c r="Y359" i="5"/>
  <c r="X359" i="5"/>
  <c r="V359" i="5"/>
  <c r="T359" i="5"/>
  <c r="G359" i="5" s="1"/>
  <c r="S359" i="5"/>
  <c r="I359" i="5"/>
  <c r="AD443" i="5"/>
  <c r="Z443" i="5"/>
  <c r="C443" i="5" s="1"/>
  <c r="Y443" i="5"/>
  <c r="X443" i="5"/>
  <c r="F443" i="5" s="1"/>
  <c r="V443" i="5"/>
  <c r="T443" i="5"/>
  <c r="G443" i="5" s="1"/>
  <c r="S443" i="5"/>
  <c r="I443" i="5"/>
  <c r="AD358" i="5"/>
  <c r="Z358" i="5"/>
  <c r="C358" i="5" s="1"/>
  <c r="Y358" i="5"/>
  <c r="X358" i="5"/>
  <c r="F358" i="5" s="1"/>
  <c r="V358" i="5"/>
  <c r="T358" i="5"/>
  <c r="G358" i="5" s="1"/>
  <c r="S358" i="5"/>
  <c r="I358" i="5"/>
  <c r="AD357" i="5"/>
  <c r="Z357" i="5"/>
  <c r="C357" i="5" s="1"/>
  <c r="Y357" i="5"/>
  <c r="X357" i="5"/>
  <c r="F357" i="5" s="1"/>
  <c r="V357" i="5"/>
  <c r="T357" i="5"/>
  <c r="G357" i="5" s="1"/>
  <c r="S357" i="5"/>
  <c r="I357" i="5"/>
  <c r="AD442" i="5"/>
  <c r="Z442" i="5"/>
  <c r="C442" i="5" s="1"/>
  <c r="Y442" i="5"/>
  <c r="X442" i="5"/>
  <c r="V442" i="5"/>
  <c r="T442" i="5"/>
  <c r="G442" i="5" s="1"/>
  <c r="S442" i="5"/>
  <c r="I442" i="5"/>
  <c r="AD356" i="5"/>
  <c r="Z356" i="5"/>
  <c r="C356" i="5" s="1"/>
  <c r="Y356" i="5"/>
  <c r="X356" i="5"/>
  <c r="V356" i="5"/>
  <c r="T356" i="5"/>
  <c r="G356" i="5" s="1"/>
  <c r="S356" i="5"/>
  <c r="I356" i="5"/>
  <c r="AD355" i="5"/>
  <c r="Z355" i="5"/>
  <c r="C355" i="5" s="1"/>
  <c r="Y355" i="5"/>
  <c r="X355" i="5"/>
  <c r="F355" i="5" s="1"/>
  <c r="V355" i="5"/>
  <c r="T355" i="5"/>
  <c r="G355" i="5" s="1"/>
  <c r="S355" i="5"/>
  <c r="I355" i="5"/>
  <c r="AD441" i="5"/>
  <c r="Z441" i="5"/>
  <c r="C441" i="5" s="1"/>
  <c r="Y441" i="5"/>
  <c r="X441" i="5"/>
  <c r="F441" i="5" s="1"/>
  <c r="V441" i="5"/>
  <c r="T441" i="5"/>
  <c r="G441" i="5" s="1"/>
  <c r="S441" i="5"/>
  <c r="I441" i="5"/>
  <c r="AD354" i="5"/>
  <c r="Z354" i="5"/>
  <c r="C354" i="5" s="1"/>
  <c r="Y354" i="5"/>
  <c r="X354" i="5"/>
  <c r="F354" i="5" s="1"/>
  <c r="V354" i="5"/>
  <c r="T354" i="5"/>
  <c r="G354" i="5" s="1"/>
  <c r="S354" i="5"/>
  <c r="I354" i="5"/>
  <c r="AD353" i="5"/>
  <c r="Z353" i="5"/>
  <c r="C353" i="5" s="1"/>
  <c r="Y353" i="5"/>
  <c r="X353" i="5"/>
  <c r="V353" i="5"/>
  <c r="T353" i="5"/>
  <c r="G353" i="5" s="1"/>
  <c r="S353" i="5"/>
  <c r="I353" i="5"/>
  <c r="AD440" i="5"/>
  <c r="Z440" i="5"/>
  <c r="C440" i="5" s="1"/>
  <c r="Y440" i="5"/>
  <c r="X440" i="5"/>
  <c r="V440" i="5"/>
  <c r="T440" i="5"/>
  <c r="G440" i="5" s="1"/>
  <c r="S440" i="5"/>
  <c r="I440" i="5"/>
  <c r="AD352" i="5"/>
  <c r="Z352" i="5"/>
  <c r="C352" i="5" s="1"/>
  <c r="Y352" i="5"/>
  <c r="X352" i="5"/>
  <c r="F352" i="5" s="1"/>
  <c r="V352" i="5"/>
  <c r="T352" i="5"/>
  <c r="G352" i="5" s="1"/>
  <c r="S352" i="5"/>
  <c r="I352" i="5"/>
  <c r="AD351" i="5"/>
  <c r="Z351" i="5"/>
  <c r="C351" i="5" s="1"/>
  <c r="Y351" i="5"/>
  <c r="X351" i="5"/>
  <c r="F351" i="5" s="1"/>
  <c r="V351" i="5"/>
  <c r="T351" i="5"/>
  <c r="G351" i="5" s="1"/>
  <c r="S351" i="5"/>
  <c r="I351" i="5"/>
  <c r="AD439" i="5"/>
  <c r="Z439" i="5"/>
  <c r="C439" i="5" s="1"/>
  <c r="Y439" i="5"/>
  <c r="X439" i="5"/>
  <c r="F439" i="5" s="1"/>
  <c r="V439" i="5"/>
  <c r="T439" i="5"/>
  <c r="G439" i="5" s="1"/>
  <c r="S439" i="5"/>
  <c r="I439" i="5"/>
  <c r="AD350" i="5"/>
  <c r="Z350" i="5"/>
  <c r="C350" i="5" s="1"/>
  <c r="Y350" i="5"/>
  <c r="X350" i="5"/>
  <c r="V350" i="5"/>
  <c r="T350" i="5"/>
  <c r="G350" i="5" s="1"/>
  <c r="S350" i="5"/>
  <c r="I350" i="5"/>
  <c r="AD349" i="5"/>
  <c r="Z349" i="5"/>
  <c r="C349" i="5" s="1"/>
  <c r="Y349" i="5"/>
  <c r="X349" i="5"/>
  <c r="V349" i="5"/>
  <c r="T349" i="5"/>
  <c r="G349" i="5" s="1"/>
  <c r="S349" i="5"/>
  <c r="I349" i="5"/>
  <c r="AD438" i="5"/>
  <c r="Z438" i="5"/>
  <c r="C438" i="5" s="1"/>
  <c r="Y438" i="5"/>
  <c r="X438" i="5"/>
  <c r="F438" i="5" s="1"/>
  <c r="V438" i="5"/>
  <c r="T438" i="5"/>
  <c r="G438" i="5" s="1"/>
  <c r="S438" i="5"/>
  <c r="I438" i="5"/>
  <c r="AD348" i="5"/>
  <c r="Z348" i="5"/>
  <c r="C348" i="5" s="1"/>
  <c r="Y348" i="5"/>
  <c r="X348" i="5"/>
  <c r="F348" i="5" s="1"/>
  <c r="V348" i="5"/>
  <c r="T348" i="5"/>
  <c r="G348" i="5" s="1"/>
  <c r="S348" i="5"/>
  <c r="I348" i="5"/>
  <c r="AD347" i="5"/>
  <c r="Z347" i="5"/>
  <c r="C347" i="5" s="1"/>
  <c r="Y347" i="5"/>
  <c r="X347" i="5"/>
  <c r="F347" i="5" s="1"/>
  <c r="V347" i="5"/>
  <c r="T347" i="5"/>
  <c r="G347" i="5" s="1"/>
  <c r="S347" i="5"/>
  <c r="I347" i="5"/>
  <c r="AD437" i="5"/>
  <c r="Z437" i="5"/>
  <c r="C437" i="5" s="1"/>
  <c r="Y437" i="5"/>
  <c r="X437" i="5"/>
  <c r="V437" i="5"/>
  <c r="T437" i="5"/>
  <c r="G437" i="5" s="1"/>
  <c r="S437" i="5"/>
  <c r="I437" i="5"/>
  <c r="AD346" i="5"/>
  <c r="Z346" i="5"/>
  <c r="C346" i="5" s="1"/>
  <c r="Y346" i="5"/>
  <c r="X346" i="5"/>
  <c r="V346" i="5"/>
  <c r="T346" i="5"/>
  <c r="G346" i="5" s="1"/>
  <c r="S346" i="5"/>
  <c r="I346" i="5"/>
  <c r="AD345" i="5"/>
  <c r="Z345" i="5"/>
  <c r="C345" i="5" s="1"/>
  <c r="Y345" i="5"/>
  <c r="X345" i="5"/>
  <c r="F345" i="5" s="1"/>
  <c r="V345" i="5"/>
  <c r="T345" i="5"/>
  <c r="G345" i="5" s="1"/>
  <c r="S345" i="5"/>
  <c r="I345" i="5"/>
  <c r="AD436" i="5"/>
  <c r="Z436" i="5"/>
  <c r="C436" i="5" s="1"/>
  <c r="Y436" i="5"/>
  <c r="X436" i="5"/>
  <c r="F436" i="5" s="1"/>
  <c r="V436" i="5"/>
  <c r="T436" i="5"/>
  <c r="G436" i="5" s="1"/>
  <c r="S436" i="5"/>
  <c r="I436" i="5"/>
  <c r="AD344" i="5"/>
  <c r="Z344" i="5"/>
  <c r="C344" i="5" s="1"/>
  <c r="Y344" i="5"/>
  <c r="X344" i="5"/>
  <c r="F344" i="5" s="1"/>
  <c r="V344" i="5"/>
  <c r="T344" i="5"/>
  <c r="G344" i="5" s="1"/>
  <c r="S344" i="5"/>
  <c r="I344" i="5"/>
  <c r="AD343" i="5"/>
  <c r="Z343" i="5"/>
  <c r="C343" i="5" s="1"/>
  <c r="Y343" i="5"/>
  <c r="X343" i="5"/>
  <c r="V343" i="5"/>
  <c r="T343" i="5"/>
  <c r="G343" i="5" s="1"/>
  <c r="S343" i="5"/>
  <c r="I343" i="5"/>
  <c r="AD435" i="5"/>
  <c r="Z435" i="5"/>
  <c r="C435" i="5" s="1"/>
  <c r="Y435" i="5"/>
  <c r="X435" i="5"/>
  <c r="V435" i="5"/>
  <c r="T435" i="5"/>
  <c r="G435" i="5" s="1"/>
  <c r="S435" i="5"/>
  <c r="I435" i="5"/>
  <c r="AD342" i="5"/>
  <c r="Z342" i="5"/>
  <c r="C342" i="5" s="1"/>
  <c r="Y342" i="5"/>
  <c r="X342" i="5"/>
  <c r="F342" i="5" s="1"/>
  <c r="V342" i="5"/>
  <c r="T342" i="5"/>
  <c r="G342" i="5" s="1"/>
  <c r="S342" i="5"/>
  <c r="I342" i="5"/>
  <c r="AD341" i="5"/>
  <c r="Z341" i="5"/>
  <c r="C341" i="5" s="1"/>
  <c r="Y341" i="5"/>
  <c r="X341" i="5"/>
  <c r="F341" i="5" s="1"/>
  <c r="V341" i="5"/>
  <c r="T341" i="5"/>
  <c r="G341" i="5" s="1"/>
  <c r="S341" i="5"/>
  <c r="I341" i="5"/>
  <c r="AD434" i="5"/>
  <c r="Z434" i="5"/>
  <c r="C434" i="5" s="1"/>
  <c r="Y434" i="5"/>
  <c r="X434" i="5"/>
  <c r="F434" i="5" s="1"/>
  <c r="V434" i="5"/>
  <c r="T434" i="5"/>
  <c r="G434" i="5" s="1"/>
  <c r="S434" i="5"/>
  <c r="I434" i="5"/>
  <c r="AD340" i="5"/>
  <c r="Z340" i="5"/>
  <c r="C340" i="5" s="1"/>
  <c r="Y340" i="5"/>
  <c r="X340" i="5"/>
  <c r="V340" i="5"/>
  <c r="T340" i="5"/>
  <c r="G340" i="5" s="1"/>
  <c r="S340" i="5"/>
  <c r="I340" i="5"/>
  <c r="AD339" i="5"/>
  <c r="Z339" i="5"/>
  <c r="C339" i="5" s="1"/>
  <c r="Y339" i="5"/>
  <c r="X339" i="5"/>
  <c r="V339" i="5"/>
  <c r="T339" i="5"/>
  <c r="G339" i="5" s="1"/>
  <c r="S339" i="5"/>
  <c r="I339" i="5"/>
  <c r="AD433" i="5"/>
  <c r="Z433" i="5"/>
  <c r="C433" i="5" s="1"/>
  <c r="Y433" i="5"/>
  <c r="X433" i="5"/>
  <c r="F433" i="5" s="1"/>
  <c r="V433" i="5"/>
  <c r="T433" i="5"/>
  <c r="G433" i="5" s="1"/>
  <c r="S433" i="5"/>
  <c r="I433" i="5"/>
  <c r="AD338" i="5"/>
  <c r="Z338" i="5"/>
  <c r="C338" i="5" s="1"/>
  <c r="Y338" i="5"/>
  <c r="X338" i="5"/>
  <c r="F338" i="5" s="1"/>
  <c r="V338" i="5"/>
  <c r="T338" i="5"/>
  <c r="G338" i="5" s="1"/>
  <c r="S338" i="5"/>
  <c r="I338" i="5"/>
  <c r="AD337" i="5"/>
  <c r="Z337" i="5"/>
  <c r="C337" i="5" s="1"/>
  <c r="Y337" i="5"/>
  <c r="X337" i="5"/>
  <c r="F337" i="5" s="1"/>
  <c r="V337" i="5"/>
  <c r="T337" i="5"/>
  <c r="G337" i="5" s="1"/>
  <c r="S337" i="5"/>
  <c r="I337" i="5"/>
  <c r="AD432" i="5"/>
  <c r="Z432" i="5"/>
  <c r="C432" i="5" s="1"/>
  <c r="Y432" i="5"/>
  <c r="X432" i="5"/>
  <c r="V432" i="5"/>
  <c r="T432" i="5"/>
  <c r="G432" i="5" s="1"/>
  <c r="S432" i="5"/>
  <c r="I432" i="5"/>
  <c r="AD336" i="5"/>
  <c r="Z336" i="5"/>
  <c r="C336" i="5" s="1"/>
  <c r="Y336" i="5"/>
  <c r="X336" i="5"/>
  <c r="V336" i="5"/>
  <c r="T336" i="5"/>
  <c r="G336" i="5" s="1"/>
  <c r="S336" i="5"/>
  <c r="I336" i="5"/>
  <c r="AD335" i="5"/>
  <c r="Z335" i="5"/>
  <c r="C335" i="5" s="1"/>
  <c r="Y335" i="5"/>
  <c r="X335" i="5"/>
  <c r="F335" i="5" s="1"/>
  <c r="V335" i="5"/>
  <c r="T335" i="5"/>
  <c r="G335" i="5" s="1"/>
  <c r="S335" i="5"/>
  <c r="I335" i="5"/>
  <c r="AD431" i="5"/>
  <c r="Z431" i="5"/>
  <c r="C431" i="5" s="1"/>
  <c r="Y431" i="5"/>
  <c r="X431" i="5"/>
  <c r="F431" i="5" s="1"/>
  <c r="V431" i="5"/>
  <c r="T431" i="5"/>
  <c r="G431" i="5" s="1"/>
  <c r="S431" i="5"/>
  <c r="I431" i="5"/>
  <c r="AD332" i="5"/>
  <c r="Z332" i="5"/>
  <c r="C332" i="5" s="1"/>
  <c r="Y332" i="5"/>
  <c r="X332" i="5"/>
  <c r="F332" i="5" s="1"/>
  <c r="V332" i="5"/>
  <c r="T332" i="5"/>
  <c r="G332" i="5" s="1"/>
  <c r="S332" i="5"/>
  <c r="I332" i="5"/>
  <c r="AD331" i="5"/>
  <c r="Z331" i="5"/>
  <c r="C331" i="5" s="1"/>
  <c r="Y331" i="5"/>
  <c r="X331" i="5"/>
  <c r="V331" i="5"/>
  <c r="T331" i="5"/>
  <c r="G331" i="5" s="1"/>
  <c r="S331" i="5"/>
  <c r="I331" i="5"/>
  <c r="AD430" i="5"/>
  <c r="Z430" i="5"/>
  <c r="C430" i="5" s="1"/>
  <c r="Y430" i="5"/>
  <c r="X430" i="5"/>
  <c r="V430" i="5"/>
  <c r="T430" i="5"/>
  <c r="G430" i="5" s="1"/>
  <c r="S430" i="5"/>
  <c r="I430" i="5"/>
  <c r="AD328" i="5"/>
  <c r="Z328" i="5"/>
  <c r="C328" i="5" s="1"/>
  <c r="Y328" i="5"/>
  <c r="X328" i="5"/>
  <c r="F328" i="5" s="1"/>
  <c r="V328" i="5"/>
  <c r="T328" i="5"/>
  <c r="G328" i="5" s="1"/>
  <c r="S328" i="5"/>
  <c r="I328" i="5"/>
  <c r="AD327" i="5"/>
  <c r="Z327" i="5"/>
  <c r="C327" i="5" s="1"/>
  <c r="Y327" i="5"/>
  <c r="X327" i="5"/>
  <c r="F327" i="5" s="1"/>
  <c r="V327" i="5"/>
  <c r="T327" i="5"/>
  <c r="G327" i="5" s="1"/>
  <c r="S327" i="5"/>
  <c r="I327" i="5"/>
  <c r="AD429" i="5"/>
  <c r="Z429" i="5"/>
  <c r="C429" i="5" s="1"/>
  <c r="Y429" i="5"/>
  <c r="X429" i="5"/>
  <c r="F429" i="5" s="1"/>
  <c r="V429" i="5"/>
  <c r="T429" i="5"/>
  <c r="G429" i="5" s="1"/>
  <c r="S429" i="5"/>
  <c r="I429" i="5"/>
  <c r="AD324" i="5"/>
  <c r="Z324" i="5"/>
  <c r="C324" i="5" s="1"/>
  <c r="Y324" i="5"/>
  <c r="X324" i="5"/>
  <c r="V324" i="5"/>
  <c r="T324" i="5"/>
  <c r="G324" i="5" s="1"/>
  <c r="S324" i="5"/>
  <c r="I324" i="5"/>
  <c r="AD323" i="5"/>
  <c r="Z323" i="5"/>
  <c r="C323" i="5" s="1"/>
  <c r="Y323" i="5"/>
  <c r="X323" i="5"/>
  <c r="V323" i="5"/>
  <c r="T323" i="5"/>
  <c r="G323" i="5" s="1"/>
  <c r="S323" i="5"/>
  <c r="I323" i="5"/>
  <c r="AD428" i="5"/>
  <c r="Z428" i="5"/>
  <c r="C428" i="5" s="1"/>
  <c r="Y428" i="5"/>
  <c r="X428" i="5"/>
  <c r="F428" i="5" s="1"/>
  <c r="V428" i="5"/>
  <c r="T428" i="5"/>
  <c r="G428" i="5" s="1"/>
  <c r="S428" i="5"/>
  <c r="I428" i="5"/>
  <c r="AD320" i="5"/>
  <c r="Z320" i="5"/>
  <c r="C320" i="5" s="1"/>
  <c r="Y320" i="5"/>
  <c r="X320" i="5"/>
  <c r="F320" i="5" s="1"/>
  <c r="V320" i="5"/>
  <c r="T320" i="5"/>
  <c r="G320" i="5" s="1"/>
  <c r="S320" i="5"/>
  <c r="I320" i="5"/>
  <c r="AD319" i="5"/>
  <c r="Z319" i="5"/>
  <c r="C319" i="5" s="1"/>
  <c r="Y319" i="5"/>
  <c r="X319" i="5"/>
  <c r="F319" i="5" s="1"/>
  <c r="V319" i="5"/>
  <c r="T319" i="5"/>
  <c r="G319" i="5" s="1"/>
  <c r="S319" i="5"/>
  <c r="I319" i="5"/>
  <c r="AD427" i="5"/>
  <c r="Z427" i="5"/>
  <c r="C427" i="5" s="1"/>
  <c r="Y427" i="5"/>
  <c r="X427" i="5"/>
  <c r="V427" i="5"/>
  <c r="T427" i="5"/>
  <c r="G427" i="5" s="1"/>
  <c r="S427" i="5"/>
  <c r="I427" i="5"/>
  <c r="AD316" i="5"/>
  <c r="Z316" i="5"/>
  <c r="C316" i="5" s="1"/>
  <c r="Y316" i="5"/>
  <c r="X316" i="5"/>
  <c r="V316" i="5"/>
  <c r="T316" i="5"/>
  <c r="G316" i="5" s="1"/>
  <c r="S316" i="5"/>
  <c r="I316" i="5"/>
  <c r="AD315" i="5"/>
  <c r="Z315" i="5"/>
  <c r="C315" i="5" s="1"/>
  <c r="Y315" i="5"/>
  <c r="X315" i="5"/>
  <c r="F315" i="5" s="1"/>
  <c r="V315" i="5"/>
  <c r="T315" i="5"/>
  <c r="G315" i="5" s="1"/>
  <c r="S315" i="5"/>
  <c r="I315" i="5"/>
  <c r="AD191" i="5"/>
  <c r="Z191" i="5"/>
  <c r="C191" i="5" s="1"/>
  <c r="Y191" i="5"/>
  <c r="X191" i="5"/>
  <c r="F191" i="5" s="1"/>
  <c r="V191" i="5"/>
  <c r="T191" i="5"/>
  <c r="G191" i="5" s="1"/>
  <c r="S191" i="5"/>
  <c r="I191" i="5"/>
  <c r="AD409" i="5"/>
  <c r="Z409" i="5"/>
  <c r="C409" i="5" s="1"/>
  <c r="Y409" i="5"/>
  <c r="X409" i="5"/>
  <c r="F409" i="5" s="1"/>
  <c r="V409" i="5"/>
  <c r="T409" i="5"/>
  <c r="G409" i="5" s="1"/>
  <c r="S409" i="5"/>
  <c r="I409" i="5"/>
  <c r="AD285" i="5"/>
  <c r="Z285" i="5"/>
  <c r="C285" i="5" s="1"/>
  <c r="Y285" i="5"/>
  <c r="X285" i="5"/>
  <c r="F285" i="5" s="1"/>
  <c r="V285" i="5"/>
  <c r="T285" i="5"/>
  <c r="G285" i="5" s="1"/>
  <c r="S285" i="5"/>
  <c r="I285" i="5"/>
  <c r="AD284" i="5"/>
  <c r="Z284" i="5"/>
  <c r="C284" i="5" s="1"/>
  <c r="Y284" i="5"/>
  <c r="X284" i="5"/>
  <c r="V284" i="5"/>
  <c r="T284" i="5"/>
  <c r="G284" i="5" s="1"/>
  <c r="S284" i="5"/>
  <c r="I284" i="5"/>
  <c r="AD190" i="5"/>
  <c r="Z190" i="5"/>
  <c r="C190" i="5" s="1"/>
  <c r="Y190" i="5"/>
  <c r="X190" i="5"/>
  <c r="F190" i="5" s="1"/>
  <c r="V190" i="5"/>
  <c r="T190" i="5"/>
  <c r="G190" i="5" s="1"/>
  <c r="S190" i="5"/>
  <c r="I190" i="5"/>
  <c r="AD122" i="5"/>
  <c r="Z122" i="5"/>
  <c r="C122" i="5" s="1"/>
  <c r="Y122" i="5"/>
  <c r="X122" i="5"/>
  <c r="F122" i="5" s="1"/>
  <c r="V122" i="5"/>
  <c r="T122" i="5"/>
  <c r="G122" i="5" s="1"/>
  <c r="S122" i="5"/>
  <c r="I122" i="5"/>
  <c r="AD121" i="5"/>
  <c r="Z121" i="5"/>
  <c r="C121" i="5" s="1"/>
  <c r="Y121" i="5"/>
  <c r="X121" i="5"/>
  <c r="V121" i="5"/>
  <c r="T121" i="5"/>
  <c r="G121" i="5" s="1"/>
  <c r="S121" i="5"/>
  <c r="I121" i="5"/>
  <c r="AD120" i="5"/>
  <c r="Z120" i="5"/>
  <c r="C120" i="5" s="1"/>
  <c r="Y120" i="5"/>
  <c r="X120" i="5"/>
  <c r="V120" i="5"/>
  <c r="T120" i="5"/>
  <c r="G120" i="5" s="1"/>
  <c r="S120" i="5"/>
  <c r="I120" i="5"/>
  <c r="AD119" i="5"/>
  <c r="Z119" i="5"/>
  <c r="C119" i="5" s="1"/>
  <c r="Y119" i="5"/>
  <c r="X119" i="5"/>
  <c r="F119" i="5" s="1"/>
  <c r="V119" i="5"/>
  <c r="T119" i="5"/>
  <c r="G119" i="5" s="1"/>
  <c r="S119" i="5"/>
  <c r="I119" i="5"/>
  <c r="AD408" i="5"/>
  <c r="Z408" i="5"/>
  <c r="C408" i="5" s="1"/>
  <c r="Y408" i="5"/>
  <c r="X408" i="5"/>
  <c r="F408" i="5" s="1"/>
  <c r="V408" i="5"/>
  <c r="T408" i="5"/>
  <c r="G408" i="5" s="1"/>
  <c r="S408" i="5"/>
  <c r="I408" i="5"/>
  <c r="AD283" i="5"/>
  <c r="Z283" i="5"/>
  <c r="C283" i="5" s="1"/>
  <c r="Y283" i="5"/>
  <c r="X283" i="5"/>
  <c r="F283" i="5" s="1"/>
  <c r="V283" i="5"/>
  <c r="T283" i="5"/>
  <c r="G283" i="5" s="1"/>
  <c r="S283" i="5"/>
  <c r="I283" i="5"/>
  <c r="AD282" i="5"/>
  <c r="Z282" i="5"/>
  <c r="C282" i="5" s="1"/>
  <c r="Y282" i="5"/>
  <c r="X282" i="5"/>
  <c r="F282" i="5" s="1"/>
  <c r="V282" i="5"/>
  <c r="T282" i="5"/>
  <c r="G282" i="5" s="1"/>
  <c r="S282" i="5"/>
  <c r="I282" i="5"/>
  <c r="AD193" i="5"/>
  <c r="Z193" i="5"/>
  <c r="C193" i="5" s="1"/>
  <c r="Y193" i="5"/>
  <c r="X193" i="5"/>
  <c r="F193" i="5" s="1"/>
  <c r="V193" i="5"/>
  <c r="T193" i="5"/>
  <c r="G193" i="5" s="1"/>
  <c r="S193" i="5"/>
  <c r="I193" i="5"/>
  <c r="AD118" i="5"/>
  <c r="Z118" i="5"/>
  <c r="C118" i="5" s="1"/>
  <c r="Y118" i="5"/>
  <c r="X118" i="5"/>
  <c r="V118" i="5"/>
  <c r="T118" i="5"/>
  <c r="G118" i="5" s="1"/>
  <c r="S118" i="5"/>
  <c r="I118" i="5"/>
  <c r="AD117" i="5"/>
  <c r="Z117" i="5"/>
  <c r="C117" i="5" s="1"/>
  <c r="Y117" i="5"/>
  <c r="X117" i="5"/>
  <c r="F117" i="5" s="1"/>
  <c r="V117" i="5"/>
  <c r="T117" i="5"/>
  <c r="G117" i="5" s="1"/>
  <c r="S117" i="5"/>
  <c r="I117" i="5"/>
  <c r="AD192" i="5"/>
  <c r="Z192" i="5"/>
  <c r="C192" i="5" s="1"/>
  <c r="Y192" i="5"/>
  <c r="X192" i="5"/>
  <c r="V192" i="5"/>
  <c r="T192" i="5"/>
  <c r="G192" i="5" s="1"/>
  <c r="S192" i="5"/>
  <c r="I192" i="5"/>
  <c r="AD116" i="5"/>
  <c r="Z116" i="5"/>
  <c r="C116" i="5" s="1"/>
  <c r="Y116" i="5"/>
  <c r="X116" i="5"/>
  <c r="F116" i="5" s="1"/>
  <c r="V116" i="5"/>
  <c r="T116" i="5"/>
  <c r="G116" i="5" s="1"/>
  <c r="S116" i="5"/>
  <c r="I116" i="5"/>
  <c r="AD115" i="5"/>
  <c r="Z115" i="5"/>
  <c r="C115" i="5" s="1"/>
  <c r="Y115" i="5"/>
  <c r="X115" i="5"/>
  <c r="V115" i="5"/>
  <c r="T115" i="5"/>
  <c r="G115" i="5" s="1"/>
  <c r="S115" i="5"/>
  <c r="I115" i="5"/>
  <c r="AD426" i="5"/>
  <c r="Z426" i="5"/>
  <c r="C426" i="5" s="1"/>
  <c r="Y426" i="5"/>
  <c r="X426" i="5"/>
  <c r="V426" i="5"/>
  <c r="T426" i="5"/>
  <c r="G426" i="5" s="1"/>
  <c r="S426" i="5"/>
  <c r="I426" i="5"/>
  <c r="AD312" i="5"/>
  <c r="Z312" i="5"/>
  <c r="C312" i="5" s="1"/>
  <c r="Y312" i="5"/>
  <c r="X312" i="5"/>
  <c r="F312" i="5" s="1"/>
  <c r="V312" i="5"/>
  <c r="T312" i="5"/>
  <c r="G312" i="5" s="1"/>
  <c r="S312" i="5"/>
  <c r="I312" i="5"/>
  <c r="AD311" i="5"/>
  <c r="Z311" i="5"/>
  <c r="C311" i="5" s="1"/>
  <c r="Y311" i="5"/>
  <c r="X311" i="5"/>
  <c r="V311" i="5"/>
  <c r="T311" i="5"/>
  <c r="G311" i="5" s="1"/>
  <c r="S311" i="5"/>
  <c r="I311" i="5"/>
  <c r="AD399" i="5"/>
  <c r="Z399" i="5"/>
  <c r="C399" i="5" s="1"/>
  <c r="Y399" i="5"/>
  <c r="X399" i="5"/>
  <c r="F399" i="5" s="1"/>
  <c r="V399" i="5"/>
  <c r="T399" i="5"/>
  <c r="G399" i="5" s="1"/>
  <c r="S399" i="5"/>
  <c r="I399" i="5"/>
  <c r="AD254" i="5"/>
  <c r="Z254" i="5"/>
  <c r="C254" i="5" s="1"/>
  <c r="Y254" i="5"/>
  <c r="X254" i="5"/>
  <c r="V254" i="5"/>
  <c r="T254" i="5"/>
  <c r="G254" i="5" s="1"/>
  <c r="S254" i="5"/>
  <c r="I254" i="5"/>
  <c r="AD253" i="5"/>
  <c r="Z253" i="5"/>
  <c r="C253" i="5" s="1"/>
  <c r="Y253" i="5"/>
  <c r="X253" i="5"/>
  <c r="F253" i="5" s="1"/>
  <c r="V253" i="5"/>
  <c r="T253" i="5"/>
  <c r="G253" i="5" s="1"/>
  <c r="S253" i="5"/>
  <c r="I253" i="5"/>
  <c r="AD398" i="5"/>
  <c r="Z398" i="5"/>
  <c r="C398" i="5" s="1"/>
  <c r="Y398" i="5"/>
  <c r="X398" i="5"/>
  <c r="F398" i="5" s="1"/>
  <c r="V398" i="5"/>
  <c r="T398" i="5"/>
  <c r="G398" i="5" s="1"/>
  <c r="S398" i="5"/>
  <c r="I398" i="5"/>
  <c r="AD252" i="5"/>
  <c r="Z252" i="5"/>
  <c r="C252" i="5" s="1"/>
  <c r="Y252" i="5"/>
  <c r="X252" i="5"/>
  <c r="F252" i="5" s="1"/>
  <c r="V252" i="5"/>
  <c r="T252" i="5"/>
  <c r="G252" i="5" s="1"/>
  <c r="S252" i="5"/>
  <c r="I252" i="5"/>
  <c r="AD251" i="5"/>
  <c r="Z251" i="5"/>
  <c r="C251" i="5" s="1"/>
  <c r="Y251" i="5"/>
  <c r="X251" i="5"/>
  <c r="F251" i="5" s="1"/>
  <c r="V251" i="5"/>
  <c r="T251" i="5"/>
  <c r="G251" i="5" s="1"/>
  <c r="S251" i="5"/>
  <c r="I251" i="5"/>
  <c r="AD397" i="5"/>
  <c r="Z397" i="5"/>
  <c r="C397" i="5" s="1"/>
  <c r="Y397" i="5"/>
  <c r="X397" i="5"/>
  <c r="F397" i="5" s="1"/>
  <c r="V397" i="5"/>
  <c r="T397" i="5"/>
  <c r="G397" i="5" s="1"/>
  <c r="S397" i="5"/>
  <c r="I397" i="5"/>
  <c r="AD250" i="5"/>
  <c r="Z250" i="5"/>
  <c r="C250" i="5" s="1"/>
  <c r="Y250" i="5"/>
  <c r="X250" i="5"/>
  <c r="V250" i="5"/>
  <c r="T250" i="5"/>
  <c r="G250" i="5" s="1"/>
  <c r="S250" i="5"/>
  <c r="I250" i="5"/>
  <c r="AD249" i="5"/>
  <c r="Z249" i="5"/>
  <c r="C249" i="5" s="1"/>
  <c r="Y249" i="5"/>
  <c r="X249" i="5"/>
  <c r="F249" i="5" s="1"/>
  <c r="V249" i="5"/>
  <c r="T249" i="5"/>
  <c r="G249" i="5" s="1"/>
  <c r="S249" i="5"/>
  <c r="I249" i="5"/>
  <c r="AD396" i="5"/>
  <c r="Z396" i="5"/>
  <c r="C396" i="5" s="1"/>
  <c r="Y396" i="5"/>
  <c r="X396" i="5"/>
  <c r="V396" i="5"/>
  <c r="T396" i="5"/>
  <c r="G396" i="5" s="1"/>
  <c r="S396" i="5"/>
  <c r="I396" i="5"/>
  <c r="AD248" i="5"/>
  <c r="Z248" i="5"/>
  <c r="C248" i="5" s="1"/>
  <c r="Y248" i="5"/>
  <c r="X248" i="5"/>
  <c r="F248" i="5" s="1"/>
  <c r="V248" i="5"/>
  <c r="T248" i="5"/>
  <c r="G248" i="5" s="1"/>
  <c r="S248" i="5"/>
  <c r="I248" i="5"/>
  <c r="AD247" i="5"/>
  <c r="Z247" i="5"/>
  <c r="C247" i="5" s="1"/>
  <c r="Y247" i="5"/>
  <c r="X247" i="5"/>
  <c r="V247" i="5"/>
  <c r="T247" i="5"/>
  <c r="G247" i="5" s="1"/>
  <c r="S247" i="5"/>
  <c r="I247" i="5"/>
  <c r="AD395" i="5"/>
  <c r="Z395" i="5"/>
  <c r="C395" i="5" s="1"/>
  <c r="Y395" i="5"/>
  <c r="X395" i="5"/>
  <c r="V395" i="5"/>
  <c r="T395" i="5"/>
  <c r="G395" i="5" s="1"/>
  <c r="S395" i="5"/>
  <c r="I395" i="5"/>
  <c r="AD246" i="5"/>
  <c r="Z246" i="5"/>
  <c r="C246" i="5" s="1"/>
  <c r="Y246" i="5"/>
  <c r="X246" i="5"/>
  <c r="F246" i="5" s="1"/>
  <c r="V246" i="5"/>
  <c r="T246" i="5"/>
  <c r="G246" i="5" s="1"/>
  <c r="S246" i="5"/>
  <c r="I246" i="5"/>
  <c r="AD245" i="5"/>
  <c r="Z245" i="5"/>
  <c r="C245" i="5" s="1"/>
  <c r="Y245" i="5"/>
  <c r="X245" i="5"/>
  <c r="V245" i="5"/>
  <c r="T245" i="5"/>
  <c r="G245" i="5" s="1"/>
  <c r="S245" i="5"/>
  <c r="I245" i="5"/>
  <c r="AD394" i="5"/>
  <c r="Z394" i="5"/>
  <c r="C394" i="5" s="1"/>
  <c r="Y394" i="5"/>
  <c r="X394" i="5"/>
  <c r="F394" i="5" s="1"/>
  <c r="V394" i="5"/>
  <c r="T394" i="5"/>
  <c r="G394" i="5" s="1"/>
  <c r="S394" i="5"/>
  <c r="I394" i="5"/>
  <c r="AD244" i="5"/>
  <c r="Z244" i="5"/>
  <c r="C244" i="5" s="1"/>
  <c r="Y244" i="5"/>
  <c r="X244" i="5"/>
  <c r="V244" i="5"/>
  <c r="T244" i="5"/>
  <c r="G244" i="5" s="1"/>
  <c r="S244" i="5"/>
  <c r="I244" i="5"/>
  <c r="AD243" i="5"/>
  <c r="Z243" i="5"/>
  <c r="C243" i="5" s="1"/>
  <c r="Y243" i="5"/>
  <c r="X243" i="5"/>
  <c r="F243" i="5" s="1"/>
  <c r="V243" i="5"/>
  <c r="T243" i="5"/>
  <c r="G243" i="5" s="1"/>
  <c r="S243" i="5"/>
  <c r="I243" i="5"/>
  <c r="AD393" i="5"/>
  <c r="Z393" i="5"/>
  <c r="C393" i="5" s="1"/>
  <c r="Y393" i="5"/>
  <c r="X393" i="5"/>
  <c r="F393" i="5" s="1"/>
  <c r="V393" i="5"/>
  <c r="T393" i="5"/>
  <c r="G393" i="5" s="1"/>
  <c r="S393" i="5"/>
  <c r="I393" i="5"/>
  <c r="AD242" i="5"/>
  <c r="Z242" i="5"/>
  <c r="C242" i="5" s="1"/>
  <c r="Y242" i="5"/>
  <c r="X242" i="5"/>
  <c r="V242" i="5"/>
  <c r="T242" i="5"/>
  <c r="G242" i="5" s="1"/>
  <c r="S242" i="5"/>
  <c r="I242" i="5"/>
  <c r="AD241" i="5"/>
  <c r="Z241" i="5"/>
  <c r="C241" i="5" s="1"/>
  <c r="Y241" i="5"/>
  <c r="X241" i="5"/>
  <c r="V241" i="5"/>
  <c r="T241" i="5"/>
  <c r="G241" i="5" s="1"/>
  <c r="S241" i="5"/>
  <c r="I241" i="5"/>
  <c r="AD392" i="5"/>
  <c r="Z392" i="5"/>
  <c r="C392" i="5" s="1"/>
  <c r="Y392" i="5"/>
  <c r="X392" i="5"/>
  <c r="F392" i="5" s="1"/>
  <c r="V392" i="5"/>
  <c r="T392" i="5"/>
  <c r="G392" i="5" s="1"/>
  <c r="S392" i="5"/>
  <c r="I392" i="5"/>
  <c r="AD240" i="5"/>
  <c r="Z240" i="5"/>
  <c r="C240" i="5" s="1"/>
  <c r="Y240" i="5"/>
  <c r="X240" i="5"/>
  <c r="F240" i="5" s="1"/>
  <c r="V240" i="5"/>
  <c r="T240" i="5"/>
  <c r="G240" i="5" s="1"/>
  <c r="S240" i="5"/>
  <c r="I240" i="5"/>
  <c r="AD239" i="5"/>
  <c r="Z239" i="5"/>
  <c r="C239" i="5" s="1"/>
  <c r="Y239" i="5"/>
  <c r="X239" i="5"/>
  <c r="V239" i="5"/>
  <c r="T239" i="5"/>
  <c r="G239" i="5" s="1"/>
  <c r="S239" i="5"/>
  <c r="I239" i="5"/>
  <c r="AD391" i="5"/>
  <c r="Z391" i="5"/>
  <c r="C391" i="5" s="1"/>
  <c r="Y391" i="5"/>
  <c r="X391" i="5"/>
  <c r="F391" i="5" s="1"/>
  <c r="V391" i="5"/>
  <c r="T391" i="5"/>
  <c r="G391" i="5" s="1"/>
  <c r="S391" i="5"/>
  <c r="I391" i="5"/>
  <c r="AD238" i="5"/>
  <c r="Z238" i="5"/>
  <c r="C238" i="5" s="1"/>
  <c r="Y238" i="5"/>
  <c r="X238" i="5"/>
  <c r="F238" i="5" s="1"/>
  <c r="V238" i="5"/>
  <c r="T238" i="5"/>
  <c r="G238" i="5" s="1"/>
  <c r="S238" i="5"/>
  <c r="I238" i="5"/>
  <c r="AD237" i="5"/>
  <c r="Z237" i="5"/>
  <c r="C237" i="5" s="1"/>
  <c r="Y237" i="5"/>
  <c r="X237" i="5"/>
  <c r="F237" i="5" s="1"/>
  <c r="V237" i="5"/>
  <c r="T237" i="5"/>
  <c r="G237" i="5" s="1"/>
  <c r="S237" i="5"/>
  <c r="I237" i="5"/>
  <c r="AD157" i="5"/>
  <c r="Z157" i="5"/>
  <c r="C157" i="5" s="1"/>
  <c r="Y157" i="5"/>
  <c r="X157" i="5"/>
  <c r="F157" i="5" s="1"/>
  <c r="V157" i="5"/>
  <c r="T157" i="5"/>
  <c r="G157" i="5" s="1"/>
  <c r="S157" i="5"/>
  <c r="I157" i="5"/>
  <c r="AD71" i="5"/>
  <c r="Z71" i="5"/>
  <c r="C71" i="5" s="1"/>
  <c r="Y71" i="5"/>
  <c r="X71" i="5"/>
  <c r="V71" i="5"/>
  <c r="T71" i="5"/>
  <c r="G71" i="5" s="1"/>
  <c r="S71" i="5"/>
  <c r="I71" i="5"/>
  <c r="AD70" i="5"/>
  <c r="Z70" i="5"/>
  <c r="C70" i="5" s="1"/>
  <c r="Y70" i="5"/>
  <c r="X70" i="5"/>
  <c r="F70" i="5" s="1"/>
  <c r="V70" i="5"/>
  <c r="T70" i="5"/>
  <c r="G70" i="5" s="1"/>
  <c r="S70" i="5"/>
  <c r="I70" i="5"/>
  <c r="AD156" i="5"/>
  <c r="Z156" i="5"/>
  <c r="C156" i="5" s="1"/>
  <c r="Y156" i="5"/>
  <c r="X156" i="5"/>
  <c r="F156" i="5" s="1"/>
  <c r="V156" i="5"/>
  <c r="T156" i="5"/>
  <c r="G156" i="5" s="1"/>
  <c r="S156" i="5"/>
  <c r="I156" i="5"/>
  <c r="AD69" i="5"/>
  <c r="Z69" i="5"/>
  <c r="C69" i="5" s="1"/>
  <c r="Y69" i="5"/>
  <c r="X69" i="5"/>
  <c r="F69" i="5" s="1"/>
  <c r="V69" i="5"/>
  <c r="T69" i="5"/>
  <c r="G69" i="5" s="1"/>
  <c r="S69" i="5"/>
  <c r="I69" i="5"/>
  <c r="AD68" i="5"/>
  <c r="Z68" i="5"/>
  <c r="C68" i="5" s="1"/>
  <c r="Y68" i="5"/>
  <c r="X68" i="5"/>
  <c r="F68" i="5" s="1"/>
  <c r="V68" i="5"/>
  <c r="T68" i="5"/>
  <c r="G68" i="5" s="1"/>
  <c r="S68" i="5"/>
  <c r="I68" i="5"/>
  <c r="AD155" i="5"/>
  <c r="Z155" i="5"/>
  <c r="C155" i="5" s="1"/>
  <c r="Y155" i="5"/>
  <c r="X155" i="5"/>
  <c r="F155" i="5" s="1"/>
  <c r="V155" i="5"/>
  <c r="T155" i="5"/>
  <c r="G155" i="5" s="1"/>
  <c r="S155" i="5"/>
  <c r="I155" i="5"/>
  <c r="AD67" i="5"/>
  <c r="Z67" i="5"/>
  <c r="C67" i="5" s="1"/>
  <c r="Y67" i="5"/>
  <c r="X67" i="5"/>
  <c r="F67" i="5" s="1"/>
  <c r="V67" i="5"/>
  <c r="T67" i="5"/>
  <c r="G67" i="5" s="1"/>
  <c r="S67" i="5"/>
  <c r="I67" i="5"/>
  <c r="AD66" i="5"/>
  <c r="Z66" i="5"/>
  <c r="C66" i="5" s="1"/>
  <c r="Y66" i="5"/>
  <c r="X66" i="5"/>
  <c r="V66" i="5"/>
  <c r="T66" i="5"/>
  <c r="G66" i="5" s="1"/>
  <c r="S66" i="5"/>
  <c r="I66" i="5"/>
  <c r="AD154" i="5"/>
  <c r="Z154" i="5"/>
  <c r="C154" i="5" s="1"/>
  <c r="Y154" i="5"/>
  <c r="X154" i="5"/>
  <c r="F154" i="5" s="1"/>
  <c r="V154" i="5"/>
  <c r="T154" i="5"/>
  <c r="G154" i="5" s="1"/>
  <c r="S154" i="5"/>
  <c r="I154" i="5"/>
  <c r="AD65" i="5"/>
  <c r="Z65" i="5"/>
  <c r="C65" i="5" s="1"/>
  <c r="Y65" i="5"/>
  <c r="X65" i="5"/>
  <c r="F65" i="5" s="1"/>
  <c r="V65" i="5"/>
  <c r="T65" i="5"/>
  <c r="G65" i="5" s="1"/>
  <c r="S65" i="5"/>
  <c r="I65" i="5"/>
  <c r="AD64" i="5"/>
  <c r="Z64" i="5"/>
  <c r="C64" i="5" s="1"/>
  <c r="Y64" i="5"/>
  <c r="X64" i="5"/>
  <c r="V64" i="5"/>
  <c r="T64" i="5"/>
  <c r="G64" i="5" s="1"/>
  <c r="S64" i="5"/>
  <c r="I64" i="5"/>
  <c r="AD153" i="5"/>
  <c r="Z153" i="5"/>
  <c r="C153" i="5" s="1"/>
  <c r="Y153" i="5"/>
  <c r="X153" i="5"/>
  <c r="F153" i="5" s="1"/>
  <c r="V153" i="5"/>
  <c r="T153" i="5"/>
  <c r="G153" i="5" s="1"/>
  <c r="S153" i="5"/>
  <c r="I153" i="5"/>
  <c r="AD63" i="5"/>
  <c r="Z63" i="5"/>
  <c r="C63" i="5" s="1"/>
  <c r="Y63" i="5"/>
  <c r="X63" i="5"/>
  <c r="F63" i="5" s="1"/>
  <c r="V63" i="5"/>
  <c r="T63" i="5"/>
  <c r="G63" i="5" s="1"/>
  <c r="S63" i="5"/>
  <c r="I63" i="5"/>
  <c r="AD62" i="5"/>
  <c r="Z62" i="5"/>
  <c r="C62" i="5" s="1"/>
  <c r="Y62" i="5"/>
  <c r="X62" i="5"/>
  <c r="V62" i="5"/>
  <c r="T62" i="5"/>
  <c r="G62" i="5" s="1"/>
  <c r="S62" i="5"/>
  <c r="I62" i="5"/>
  <c r="AD152" i="5"/>
  <c r="Z152" i="5"/>
  <c r="C152" i="5" s="1"/>
  <c r="Y152" i="5"/>
  <c r="X152" i="5"/>
  <c r="F152" i="5" s="1"/>
  <c r="V152" i="5"/>
  <c r="T152" i="5"/>
  <c r="G152" i="5" s="1"/>
  <c r="S152" i="5"/>
  <c r="I152" i="5"/>
  <c r="AD61" i="5"/>
  <c r="Z61" i="5"/>
  <c r="C61" i="5" s="1"/>
  <c r="Y61" i="5"/>
  <c r="X61" i="5"/>
  <c r="V61" i="5"/>
  <c r="T61" i="5"/>
  <c r="G61" i="5" s="1"/>
  <c r="S61" i="5"/>
  <c r="I61" i="5"/>
  <c r="AD60" i="5"/>
  <c r="Z60" i="5"/>
  <c r="C60" i="5" s="1"/>
  <c r="Y60" i="5"/>
  <c r="X60" i="5"/>
  <c r="F60" i="5" s="1"/>
  <c r="V60" i="5"/>
  <c r="T60" i="5"/>
  <c r="G60" i="5" s="1"/>
  <c r="S60" i="5"/>
  <c r="I60" i="5"/>
  <c r="AD151" i="5"/>
  <c r="Z151" i="5"/>
  <c r="C151" i="5" s="1"/>
  <c r="Y151" i="5"/>
  <c r="X151" i="5"/>
  <c r="F151" i="5" s="1"/>
  <c r="V151" i="5"/>
  <c r="T151" i="5"/>
  <c r="G151" i="5" s="1"/>
  <c r="S151" i="5"/>
  <c r="I151" i="5"/>
  <c r="AD59" i="5"/>
  <c r="Z59" i="5"/>
  <c r="C59" i="5" s="1"/>
  <c r="Y59" i="5"/>
  <c r="X59" i="5"/>
  <c r="V59" i="5"/>
  <c r="T59" i="5"/>
  <c r="G59" i="5" s="1"/>
  <c r="S59" i="5"/>
  <c r="I59" i="5"/>
  <c r="AD58" i="5"/>
  <c r="Z58" i="5"/>
  <c r="C58" i="5" s="1"/>
  <c r="Y58" i="5"/>
  <c r="X58" i="5"/>
  <c r="F58" i="5" s="1"/>
  <c r="V58" i="5"/>
  <c r="T58" i="5"/>
  <c r="G58" i="5" s="1"/>
  <c r="S58" i="5"/>
  <c r="I58" i="5"/>
  <c r="AD150" i="5"/>
  <c r="Z150" i="5"/>
  <c r="C150" i="5" s="1"/>
  <c r="Y150" i="5"/>
  <c r="X150" i="5"/>
  <c r="V150" i="5"/>
  <c r="T150" i="5"/>
  <c r="G150" i="5" s="1"/>
  <c r="S150" i="5"/>
  <c r="I150" i="5"/>
  <c r="AD57" i="5"/>
  <c r="Z57" i="5"/>
  <c r="C57" i="5" s="1"/>
  <c r="Y57" i="5"/>
  <c r="X57" i="5"/>
  <c r="F57" i="5" s="1"/>
  <c r="V57" i="5"/>
  <c r="T57" i="5"/>
  <c r="G57" i="5" s="1"/>
  <c r="S57" i="5"/>
  <c r="I57" i="5"/>
  <c r="AD55" i="5"/>
  <c r="Z55" i="5"/>
  <c r="C55" i="5" s="1"/>
  <c r="Y55" i="5"/>
  <c r="X55" i="5"/>
  <c r="V55" i="5"/>
  <c r="T55" i="5"/>
  <c r="G55" i="5" s="1"/>
  <c r="S55" i="5"/>
  <c r="I55" i="5"/>
  <c r="AD173" i="5"/>
  <c r="Z173" i="5"/>
  <c r="C173" i="5" s="1"/>
  <c r="Y173" i="5"/>
  <c r="X173" i="5"/>
  <c r="F173" i="5" s="1"/>
  <c r="V173" i="5"/>
  <c r="T173" i="5"/>
  <c r="G173" i="5" s="1"/>
  <c r="S173" i="5"/>
  <c r="I173" i="5"/>
  <c r="AD54" i="5"/>
  <c r="Z54" i="5"/>
  <c r="C54" i="5" s="1"/>
  <c r="Y54" i="5"/>
  <c r="X54" i="5"/>
  <c r="F54" i="5" s="1"/>
  <c r="V54" i="5"/>
  <c r="T54" i="5"/>
  <c r="G54" i="5" s="1"/>
  <c r="S54" i="5"/>
  <c r="I54" i="5"/>
  <c r="AD53" i="5"/>
  <c r="Z53" i="5"/>
  <c r="C53" i="5" s="1"/>
  <c r="Y53" i="5"/>
  <c r="X53" i="5"/>
  <c r="V53" i="5"/>
  <c r="T53" i="5"/>
  <c r="G53" i="5" s="1"/>
  <c r="S53" i="5"/>
  <c r="I53" i="5"/>
  <c r="AD172" i="5"/>
  <c r="Z172" i="5"/>
  <c r="C172" i="5" s="1"/>
  <c r="Y172" i="5"/>
  <c r="X172" i="5"/>
  <c r="F172" i="5" s="1"/>
  <c r="V172" i="5"/>
  <c r="T172" i="5"/>
  <c r="G172" i="5" s="1"/>
  <c r="S172" i="5"/>
  <c r="I172" i="5"/>
  <c r="AD52" i="5"/>
  <c r="Z52" i="5"/>
  <c r="C52" i="5" s="1"/>
  <c r="Y52" i="5"/>
  <c r="X52" i="5"/>
  <c r="V52" i="5"/>
  <c r="T52" i="5"/>
  <c r="G52" i="5" s="1"/>
  <c r="S52" i="5"/>
  <c r="I52" i="5"/>
  <c r="AD51" i="5"/>
  <c r="Z51" i="5"/>
  <c r="C51" i="5" s="1"/>
  <c r="Y51" i="5"/>
  <c r="X51" i="5"/>
  <c r="F51" i="5" s="1"/>
  <c r="V51" i="5"/>
  <c r="T51" i="5"/>
  <c r="G51" i="5" s="1"/>
  <c r="S51" i="5"/>
  <c r="I51" i="5"/>
  <c r="AD171" i="5"/>
  <c r="Z171" i="5"/>
  <c r="C171" i="5" s="1"/>
  <c r="Y171" i="5"/>
  <c r="X171" i="5"/>
  <c r="F171" i="5" s="1"/>
  <c r="V171" i="5"/>
  <c r="T171" i="5"/>
  <c r="G171" i="5" s="1"/>
  <c r="S171" i="5"/>
  <c r="I171" i="5"/>
  <c r="AD50" i="5"/>
  <c r="Z50" i="5"/>
  <c r="C50" i="5" s="1"/>
  <c r="Y50" i="5"/>
  <c r="X50" i="5"/>
  <c r="F50" i="5" s="1"/>
  <c r="V50" i="5"/>
  <c r="T50" i="5"/>
  <c r="G50" i="5" s="1"/>
  <c r="S50" i="5"/>
  <c r="I50" i="5"/>
  <c r="AD49" i="5"/>
  <c r="Z49" i="5"/>
  <c r="C49" i="5" s="1"/>
  <c r="Y49" i="5"/>
  <c r="X49" i="5"/>
  <c r="F49" i="5" s="1"/>
  <c r="V49" i="5"/>
  <c r="T49" i="5"/>
  <c r="G49" i="5" s="1"/>
  <c r="S49" i="5"/>
  <c r="I49" i="5"/>
  <c r="AD170" i="5"/>
  <c r="Z170" i="5"/>
  <c r="C170" i="5" s="1"/>
  <c r="Y170" i="5"/>
  <c r="X170" i="5"/>
  <c r="V170" i="5"/>
  <c r="T170" i="5"/>
  <c r="G170" i="5" s="1"/>
  <c r="S170" i="5"/>
  <c r="I170" i="5"/>
  <c r="AD48" i="5"/>
  <c r="Z48" i="5"/>
  <c r="C48" i="5" s="1"/>
  <c r="Y48" i="5"/>
  <c r="X48" i="5"/>
  <c r="V48" i="5"/>
  <c r="T48" i="5"/>
  <c r="G48" i="5" s="1"/>
  <c r="S48" i="5"/>
  <c r="I48" i="5"/>
  <c r="AD56" i="5"/>
  <c r="Z56" i="5"/>
  <c r="C56" i="5" s="1"/>
  <c r="Y56" i="5"/>
  <c r="X56" i="5"/>
  <c r="F56" i="5" s="1"/>
  <c r="V56" i="5"/>
  <c r="T56" i="5"/>
  <c r="G56" i="5" s="1"/>
  <c r="S56" i="5"/>
  <c r="I56" i="5"/>
  <c r="AD169" i="5"/>
  <c r="Z169" i="5"/>
  <c r="C169" i="5" s="1"/>
  <c r="Y169" i="5"/>
  <c r="X169" i="5"/>
  <c r="V169" i="5"/>
  <c r="T169" i="5"/>
  <c r="G169" i="5" s="1"/>
  <c r="S169" i="5"/>
  <c r="I169" i="5"/>
  <c r="AD47" i="5"/>
  <c r="Z47" i="5"/>
  <c r="C47" i="5" s="1"/>
  <c r="Y47" i="5"/>
  <c r="X47" i="5"/>
  <c r="V47" i="5"/>
  <c r="T47" i="5"/>
  <c r="G47" i="5" s="1"/>
  <c r="S47" i="5"/>
  <c r="I47" i="5"/>
  <c r="AD46" i="5"/>
  <c r="Z46" i="5"/>
  <c r="C46" i="5" s="1"/>
  <c r="Y46" i="5"/>
  <c r="X46" i="5"/>
  <c r="V46" i="5"/>
  <c r="T46" i="5"/>
  <c r="G46" i="5" s="1"/>
  <c r="S46" i="5"/>
  <c r="I46" i="5"/>
  <c r="AD168" i="5"/>
  <c r="Z168" i="5"/>
  <c r="C168" i="5" s="1"/>
  <c r="Y168" i="5"/>
  <c r="X168" i="5"/>
  <c r="F168" i="5" s="1"/>
  <c r="V168" i="5"/>
  <c r="T168" i="5"/>
  <c r="G168" i="5" s="1"/>
  <c r="S168" i="5"/>
  <c r="I168" i="5"/>
  <c r="AD45" i="5"/>
  <c r="Z45" i="5"/>
  <c r="C45" i="5" s="1"/>
  <c r="Y45" i="5"/>
  <c r="X45" i="5"/>
  <c r="F45" i="5" s="1"/>
  <c r="V45" i="5"/>
  <c r="T45" i="5"/>
  <c r="G45" i="5" s="1"/>
  <c r="S45" i="5"/>
  <c r="I45" i="5"/>
  <c r="AD44" i="5"/>
  <c r="Z44" i="5"/>
  <c r="C44" i="5" s="1"/>
  <c r="Y44" i="5"/>
  <c r="X44" i="5"/>
  <c r="F44" i="5" s="1"/>
  <c r="V44" i="5"/>
  <c r="T44" i="5"/>
  <c r="G44" i="5" s="1"/>
  <c r="S44" i="5"/>
  <c r="I44" i="5"/>
  <c r="AD167" i="5"/>
  <c r="Z167" i="5"/>
  <c r="C167" i="5" s="1"/>
  <c r="Y167" i="5"/>
  <c r="X167" i="5"/>
  <c r="V167" i="5"/>
  <c r="T167" i="5"/>
  <c r="G167" i="5" s="1"/>
  <c r="S167" i="5"/>
  <c r="I167" i="5"/>
  <c r="AD43" i="5"/>
  <c r="Z43" i="5"/>
  <c r="C43" i="5" s="1"/>
  <c r="Y43" i="5"/>
  <c r="X43" i="5"/>
  <c r="V43" i="5"/>
  <c r="T43" i="5"/>
  <c r="G43" i="5" s="1"/>
  <c r="S43" i="5"/>
  <c r="I43" i="5"/>
  <c r="AD42" i="5"/>
  <c r="Z42" i="5"/>
  <c r="C42" i="5" s="1"/>
  <c r="Y42" i="5"/>
  <c r="X42" i="5"/>
  <c r="F42" i="5" s="1"/>
  <c r="V42" i="5"/>
  <c r="T42" i="5"/>
  <c r="G42" i="5" s="1"/>
  <c r="S42" i="5"/>
  <c r="I42" i="5"/>
  <c r="AD166" i="5"/>
  <c r="Z166" i="5"/>
  <c r="C166" i="5" s="1"/>
  <c r="Y166" i="5"/>
  <c r="X166" i="5"/>
  <c r="F166" i="5" s="1"/>
  <c r="V166" i="5"/>
  <c r="T166" i="5"/>
  <c r="G166" i="5" s="1"/>
  <c r="S166" i="5"/>
  <c r="I166" i="5"/>
  <c r="AD41" i="5"/>
  <c r="Z41" i="5"/>
  <c r="C41" i="5" s="1"/>
  <c r="Y41" i="5"/>
  <c r="X41" i="5"/>
  <c r="F41" i="5" s="1"/>
  <c r="V41" i="5"/>
  <c r="T41" i="5"/>
  <c r="G41" i="5" s="1"/>
  <c r="S41" i="5"/>
  <c r="I41" i="5"/>
  <c r="AD40" i="5"/>
  <c r="Z40" i="5"/>
  <c r="C40" i="5" s="1"/>
  <c r="Y40" i="5"/>
  <c r="X40" i="5"/>
  <c r="V40" i="5"/>
  <c r="T40" i="5"/>
  <c r="G40" i="5" s="1"/>
  <c r="S40" i="5"/>
  <c r="I40" i="5"/>
  <c r="AD165" i="5"/>
  <c r="Z165" i="5"/>
  <c r="C165" i="5" s="1"/>
  <c r="Y165" i="5"/>
  <c r="X165" i="5"/>
  <c r="V165" i="5"/>
  <c r="T165" i="5"/>
  <c r="G165" i="5" s="1"/>
  <c r="S165" i="5"/>
  <c r="I165" i="5"/>
  <c r="AD39" i="5"/>
  <c r="Z39" i="5"/>
  <c r="C39" i="5" s="1"/>
  <c r="Y39" i="5"/>
  <c r="X39" i="5"/>
  <c r="F39" i="5" s="1"/>
  <c r="V39" i="5"/>
  <c r="T39" i="5"/>
  <c r="G39" i="5" s="1"/>
  <c r="S39" i="5"/>
  <c r="I39" i="5"/>
  <c r="AD38" i="5"/>
  <c r="Z38" i="5"/>
  <c r="C38" i="5" s="1"/>
  <c r="Y38" i="5"/>
  <c r="X38" i="5"/>
  <c r="F38" i="5" s="1"/>
  <c r="V38" i="5"/>
  <c r="T38" i="5"/>
  <c r="G38" i="5" s="1"/>
  <c r="S38" i="5"/>
  <c r="I38" i="5"/>
  <c r="AD164" i="5"/>
  <c r="Z164" i="5"/>
  <c r="C164" i="5" s="1"/>
  <c r="Y164" i="5"/>
  <c r="X164" i="5"/>
  <c r="F164" i="5" s="1"/>
  <c r="V164" i="5"/>
  <c r="T164" i="5"/>
  <c r="G164" i="5" s="1"/>
  <c r="S164" i="5"/>
  <c r="I164" i="5"/>
  <c r="AD37" i="5"/>
  <c r="Z37" i="5"/>
  <c r="C37" i="5" s="1"/>
  <c r="Y37" i="5"/>
  <c r="X37" i="5"/>
  <c r="V37" i="5"/>
  <c r="T37" i="5"/>
  <c r="G37" i="5" s="1"/>
  <c r="S37" i="5"/>
  <c r="I37" i="5"/>
  <c r="AD36" i="5"/>
  <c r="Z36" i="5"/>
  <c r="C36" i="5" s="1"/>
  <c r="Y36" i="5"/>
  <c r="X36" i="5"/>
  <c r="V36" i="5"/>
  <c r="T36" i="5"/>
  <c r="G36" i="5" s="1"/>
  <c r="S36" i="5"/>
  <c r="I36" i="5"/>
  <c r="AD163" i="5"/>
  <c r="Z163" i="5"/>
  <c r="C163" i="5" s="1"/>
  <c r="Y163" i="5"/>
  <c r="X163" i="5"/>
  <c r="F163" i="5" s="1"/>
  <c r="V163" i="5"/>
  <c r="T163" i="5"/>
  <c r="G163" i="5" s="1"/>
  <c r="S163" i="5"/>
  <c r="I163" i="5"/>
  <c r="AD35" i="5"/>
  <c r="Z35" i="5"/>
  <c r="C35" i="5" s="1"/>
  <c r="Y35" i="5"/>
  <c r="X35" i="5"/>
  <c r="F35" i="5" s="1"/>
  <c r="V35" i="5"/>
  <c r="T35" i="5"/>
  <c r="G35" i="5" s="1"/>
  <c r="S35" i="5"/>
  <c r="I35" i="5"/>
  <c r="AD34" i="5"/>
  <c r="Z34" i="5"/>
  <c r="C34" i="5" s="1"/>
  <c r="Y34" i="5"/>
  <c r="X34" i="5"/>
  <c r="F34" i="5" s="1"/>
  <c r="V34" i="5"/>
  <c r="T34" i="5"/>
  <c r="G34" i="5" s="1"/>
  <c r="S34" i="5"/>
  <c r="I34" i="5"/>
  <c r="AD162" i="5"/>
  <c r="Z162" i="5"/>
  <c r="C162" i="5" s="1"/>
  <c r="Y162" i="5"/>
  <c r="X162" i="5"/>
  <c r="V162" i="5"/>
  <c r="T162" i="5"/>
  <c r="G162" i="5" s="1"/>
  <c r="S162" i="5"/>
  <c r="I162" i="5"/>
  <c r="AD33" i="5"/>
  <c r="Z33" i="5"/>
  <c r="C33" i="5" s="1"/>
  <c r="Y33" i="5"/>
  <c r="X33" i="5"/>
  <c r="V33" i="5"/>
  <c r="T33" i="5"/>
  <c r="G33" i="5" s="1"/>
  <c r="S33" i="5"/>
  <c r="I33" i="5"/>
  <c r="AD32" i="5"/>
  <c r="Z32" i="5"/>
  <c r="C32" i="5" s="1"/>
  <c r="Y32" i="5"/>
  <c r="X32" i="5"/>
  <c r="F32" i="5" s="1"/>
  <c r="V32" i="5"/>
  <c r="T32" i="5"/>
  <c r="G32" i="5" s="1"/>
  <c r="S32" i="5"/>
  <c r="I32" i="5"/>
  <c r="AD788" i="5"/>
  <c r="Z788" i="5"/>
  <c r="C788" i="5" s="1"/>
  <c r="Y788" i="5"/>
  <c r="X788" i="5"/>
  <c r="F788" i="5" s="1"/>
  <c r="V788" i="5"/>
  <c r="T788" i="5"/>
  <c r="G788" i="5" s="1"/>
  <c r="S788" i="5"/>
  <c r="I788" i="5"/>
  <c r="AD755" i="5"/>
  <c r="Z755" i="5"/>
  <c r="C755" i="5" s="1"/>
  <c r="Y755" i="5"/>
  <c r="X755" i="5"/>
  <c r="F755" i="5" s="1"/>
  <c r="V755" i="5"/>
  <c r="T755" i="5"/>
  <c r="G755" i="5" s="1"/>
  <c r="S755" i="5"/>
  <c r="I755" i="5"/>
  <c r="AD754" i="5"/>
  <c r="Z754" i="5"/>
  <c r="C754" i="5" s="1"/>
  <c r="Y754" i="5"/>
  <c r="X754" i="5"/>
  <c r="V754" i="5"/>
  <c r="T754" i="5"/>
  <c r="G754" i="5" s="1"/>
  <c r="S754" i="5"/>
  <c r="I754" i="5"/>
  <c r="AD787" i="5"/>
  <c r="Z787" i="5"/>
  <c r="C787" i="5" s="1"/>
  <c r="Y787" i="5"/>
  <c r="X787" i="5"/>
  <c r="V787" i="5"/>
  <c r="T787" i="5"/>
  <c r="G787" i="5" s="1"/>
  <c r="S787" i="5"/>
  <c r="I787" i="5"/>
  <c r="AD753" i="5"/>
  <c r="Z753" i="5"/>
  <c r="C753" i="5" s="1"/>
  <c r="Y753" i="5"/>
  <c r="X753" i="5"/>
  <c r="F753" i="5" s="1"/>
  <c r="V753" i="5"/>
  <c r="T753" i="5"/>
  <c r="G753" i="5" s="1"/>
  <c r="S753" i="5"/>
  <c r="I753" i="5"/>
  <c r="AD752" i="5"/>
  <c r="Z752" i="5"/>
  <c r="C752" i="5" s="1"/>
  <c r="Y752" i="5"/>
  <c r="X752" i="5"/>
  <c r="F752" i="5" s="1"/>
  <c r="V752" i="5"/>
  <c r="T752" i="5"/>
  <c r="G752" i="5" s="1"/>
  <c r="S752" i="5"/>
  <c r="I752" i="5"/>
  <c r="AD786" i="5"/>
  <c r="Z786" i="5"/>
  <c r="C786" i="5" s="1"/>
  <c r="Y786" i="5"/>
  <c r="X786" i="5"/>
  <c r="F786" i="5" s="1"/>
  <c r="V786" i="5"/>
  <c r="T786" i="5"/>
  <c r="G786" i="5" s="1"/>
  <c r="S786" i="5"/>
  <c r="I786" i="5"/>
  <c r="AD751" i="5"/>
  <c r="Z751" i="5"/>
  <c r="C751" i="5" s="1"/>
  <c r="Y751" i="5"/>
  <c r="X751" i="5"/>
  <c r="V751" i="5"/>
  <c r="T751" i="5"/>
  <c r="G751" i="5" s="1"/>
  <c r="S751" i="5"/>
  <c r="I751" i="5"/>
  <c r="AD750" i="5"/>
  <c r="Z750" i="5"/>
  <c r="C750" i="5" s="1"/>
  <c r="Y750" i="5"/>
  <c r="X750" i="5"/>
  <c r="V750" i="5"/>
  <c r="T750" i="5"/>
  <c r="G750" i="5" s="1"/>
  <c r="S750" i="5"/>
  <c r="I750" i="5"/>
  <c r="AD785" i="5"/>
  <c r="Z785" i="5"/>
  <c r="C785" i="5" s="1"/>
  <c r="Y785" i="5"/>
  <c r="X785" i="5"/>
  <c r="F785" i="5" s="1"/>
  <c r="V785" i="5"/>
  <c r="T785" i="5"/>
  <c r="G785" i="5" s="1"/>
  <c r="S785" i="5"/>
  <c r="I785" i="5"/>
  <c r="AD749" i="5"/>
  <c r="Z749" i="5"/>
  <c r="C749" i="5" s="1"/>
  <c r="Y749" i="5"/>
  <c r="X749" i="5"/>
  <c r="F749" i="5" s="1"/>
  <c r="V749" i="5"/>
  <c r="T749" i="5"/>
  <c r="G749" i="5" s="1"/>
  <c r="S749" i="5"/>
  <c r="I749" i="5"/>
  <c r="AD748" i="5"/>
  <c r="Z748" i="5"/>
  <c r="C748" i="5" s="1"/>
  <c r="Y748" i="5"/>
  <c r="X748" i="5"/>
  <c r="F748" i="5" s="1"/>
  <c r="V748" i="5"/>
  <c r="T748" i="5"/>
  <c r="G748" i="5" s="1"/>
  <c r="S748" i="5"/>
  <c r="I748" i="5"/>
  <c r="AD784" i="5"/>
  <c r="Z784" i="5"/>
  <c r="C784" i="5" s="1"/>
  <c r="Y784" i="5"/>
  <c r="X784" i="5"/>
  <c r="V784" i="5"/>
  <c r="T784" i="5"/>
  <c r="G784" i="5" s="1"/>
  <c r="S784" i="5"/>
  <c r="I784" i="5"/>
  <c r="AD747" i="5"/>
  <c r="Z747" i="5"/>
  <c r="C747" i="5" s="1"/>
  <c r="Y747" i="5"/>
  <c r="X747" i="5"/>
  <c r="V747" i="5"/>
  <c r="T747" i="5"/>
  <c r="G747" i="5" s="1"/>
  <c r="S747" i="5"/>
  <c r="I747" i="5"/>
  <c r="AD746" i="5"/>
  <c r="Z746" i="5"/>
  <c r="C746" i="5" s="1"/>
  <c r="Y746" i="5"/>
  <c r="X746" i="5"/>
  <c r="F746" i="5" s="1"/>
  <c r="V746" i="5"/>
  <c r="T746" i="5"/>
  <c r="G746" i="5" s="1"/>
  <c r="S746" i="5"/>
  <c r="I746" i="5"/>
  <c r="AD783" i="5"/>
  <c r="Z783" i="5"/>
  <c r="C783" i="5" s="1"/>
  <c r="Y783" i="5"/>
  <c r="X783" i="5"/>
  <c r="F783" i="5" s="1"/>
  <c r="V783" i="5"/>
  <c r="T783" i="5"/>
  <c r="G783" i="5" s="1"/>
  <c r="S783" i="5"/>
  <c r="I783" i="5"/>
  <c r="AD745" i="5"/>
  <c r="Z745" i="5"/>
  <c r="C745" i="5" s="1"/>
  <c r="Y745" i="5"/>
  <c r="X745" i="5"/>
  <c r="F745" i="5" s="1"/>
  <c r="V745" i="5"/>
  <c r="T745" i="5"/>
  <c r="G745" i="5" s="1"/>
  <c r="S745" i="5"/>
  <c r="I745" i="5"/>
  <c r="AD744" i="5"/>
  <c r="Z744" i="5"/>
  <c r="C744" i="5" s="1"/>
  <c r="Y744" i="5"/>
  <c r="X744" i="5"/>
  <c r="V744" i="5"/>
  <c r="T744" i="5"/>
  <c r="G744" i="5" s="1"/>
  <c r="S744" i="5"/>
  <c r="I744" i="5"/>
  <c r="AD821" i="5"/>
  <c r="Z821" i="5"/>
  <c r="C821" i="5" s="1"/>
  <c r="Y821" i="5"/>
  <c r="X821" i="5"/>
  <c r="V821" i="5"/>
  <c r="T821" i="5"/>
  <c r="G821" i="5" s="1"/>
  <c r="S821" i="5"/>
  <c r="I821" i="5"/>
  <c r="AD1198" i="5"/>
  <c r="Z1198" i="5"/>
  <c r="C1198" i="5" s="1"/>
  <c r="Y1198" i="5"/>
  <c r="X1198" i="5"/>
  <c r="F1198" i="5" s="1"/>
  <c r="V1198" i="5"/>
  <c r="T1198" i="5"/>
  <c r="G1198" i="5" s="1"/>
  <c r="S1198" i="5"/>
  <c r="I1198" i="5"/>
  <c r="AD425" i="5"/>
  <c r="Z425" i="5"/>
  <c r="C425" i="5" s="1"/>
  <c r="Y425" i="5"/>
  <c r="X425" i="5"/>
  <c r="F425" i="5" s="1"/>
  <c r="V425" i="5"/>
  <c r="T425" i="5"/>
  <c r="G425" i="5" s="1"/>
  <c r="S425" i="5"/>
  <c r="I425" i="5"/>
  <c r="AD424" i="5"/>
  <c r="Z424" i="5"/>
  <c r="C424" i="5" s="1"/>
  <c r="Y424" i="5"/>
  <c r="X424" i="5"/>
  <c r="F424" i="5" s="1"/>
  <c r="V424" i="5"/>
  <c r="T424" i="5"/>
  <c r="G424" i="5" s="1"/>
  <c r="S424" i="5"/>
  <c r="I424" i="5"/>
  <c r="AD1027" i="5"/>
  <c r="Z1027" i="5"/>
  <c r="C1027" i="5" s="1"/>
  <c r="Y1027" i="5"/>
  <c r="X1027" i="5"/>
  <c r="V1027" i="5"/>
  <c r="T1027" i="5"/>
  <c r="G1027" i="5" s="1"/>
  <c r="S1027" i="5"/>
  <c r="I1027" i="5"/>
  <c r="AD1026" i="5"/>
  <c r="Z1026" i="5"/>
  <c r="C1026" i="5" s="1"/>
  <c r="Y1026" i="5"/>
  <c r="X1026" i="5"/>
  <c r="V1026" i="5"/>
  <c r="T1026" i="5"/>
  <c r="G1026" i="5" s="1"/>
  <c r="S1026" i="5"/>
  <c r="I1026" i="5"/>
  <c r="AD837" i="5"/>
  <c r="Z837" i="5"/>
  <c r="C837" i="5" s="1"/>
  <c r="Y837" i="5"/>
  <c r="X837" i="5"/>
  <c r="F837" i="5" s="1"/>
  <c r="V837" i="5"/>
  <c r="T837" i="5"/>
  <c r="G837" i="5" s="1"/>
  <c r="S837" i="5"/>
  <c r="I837" i="5"/>
  <c r="AD836" i="5"/>
  <c r="Z836" i="5"/>
  <c r="C836" i="5" s="1"/>
  <c r="Y836" i="5"/>
  <c r="X836" i="5"/>
  <c r="F836" i="5" s="1"/>
  <c r="V836" i="5"/>
  <c r="T836" i="5"/>
  <c r="G836" i="5" s="1"/>
  <c r="S836" i="5"/>
  <c r="I836" i="5"/>
  <c r="AD697" i="5"/>
  <c r="Z697" i="5"/>
  <c r="C697" i="5" s="1"/>
  <c r="Y697" i="5"/>
  <c r="X697" i="5"/>
  <c r="F697" i="5" s="1"/>
  <c r="V697" i="5"/>
  <c r="T697" i="5"/>
  <c r="G697" i="5" s="1"/>
  <c r="S697" i="5"/>
  <c r="I697" i="5"/>
  <c r="AD696" i="5"/>
  <c r="Z696" i="5"/>
  <c r="C696" i="5" s="1"/>
  <c r="Y696" i="5"/>
  <c r="X696" i="5"/>
  <c r="V696" i="5"/>
  <c r="T696" i="5"/>
  <c r="G696" i="5" s="1"/>
  <c r="S696" i="5"/>
  <c r="I696" i="5"/>
  <c r="AD695" i="5"/>
  <c r="Z695" i="5"/>
  <c r="C695" i="5" s="1"/>
  <c r="Y695" i="5"/>
  <c r="X695" i="5"/>
  <c r="V695" i="5"/>
  <c r="T695" i="5"/>
  <c r="G695" i="5" s="1"/>
  <c r="S695" i="5"/>
  <c r="I695" i="5"/>
  <c r="AD694" i="5"/>
  <c r="Z694" i="5"/>
  <c r="C694" i="5" s="1"/>
  <c r="Y694" i="5"/>
  <c r="X694" i="5"/>
  <c r="F694" i="5" s="1"/>
  <c r="V694" i="5"/>
  <c r="T694" i="5"/>
  <c r="G694" i="5" s="1"/>
  <c r="S694" i="5"/>
  <c r="I694" i="5"/>
  <c r="AD693" i="5"/>
  <c r="Z693" i="5"/>
  <c r="C693" i="5" s="1"/>
  <c r="Y693" i="5"/>
  <c r="X693" i="5"/>
  <c r="F693" i="5" s="1"/>
  <c r="V693" i="5"/>
  <c r="T693" i="5"/>
  <c r="G693" i="5" s="1"/>
  <c r="S693" i="5"/>
  <c r="I693" i="5"/>
  <c r="AD692" i="5"/>
  <c r="Z692" i="5"/>
  <c r="C692" i="5" s="1"/>
  <c r="Y692" i="5"/>
  <c r="X692" i="5"/>
  <c r="F692" i="5" s="1"/>
  <c r="V692" i="5"/>
  <c r="T692" i="5"/>
  <c r="G692" i="5" s="1"/>
  <c r="S692" i="5"/>
  <c r="I692" i="5"/>
  <c r="AD1024" i="5"/>
  <c r="Z1024" i="5"/>
  <c r="C1024" i="5" s="1"/>
  <c r="Y1024" i="5"/>
  <c r="X1024" i="5"/>
  <c r="V1024" i="5"/>
  <c r="T1024" i="5"/>
  <c r="G1024" i="5" s="1"/>
  <c r="S1024" i="5"/>
  <c r="I1024" i="5"/>
  <c r="AD1023" i="5"/>
  <c r="Z1023" i="5"/>
  <c r="C1023" i="5" s="1"/>
  <c r="Y1023" i="5"/>
  <c r="X1023" i="5"/>
  <c r="V1023" i="5"/>
  <c r="T1023" i="5"/>
  <c r="G1023" i="5" s="1"/>
  <c r="S1023" i="5"/>
  <c r="I1023" i="5"/>
  <c r="AD1022" i="5"/>
  <c r="Z1022" i="5"/>
  <c r="C1022" i="5" s="1"/>
  <c r="Y1022" i="5"/>
  <c r="X1022" i="5"/>
  <c r="F1022" i="5" s="1"/>
  <c r="V1022" i="5"/>
  <c r="T1022" i="5"/>
  <c r="G1022" i="5" s="1"/>
  <c r="S1022" i="5"/>
  <c r="I1022" i="5"/>
  <c r="AD1021" i="5"/>
  <c r="Z1021" i="5"/>
  <c r="C1021" i="5" s="1"/>
  <c r="Y1021" i="5"/>
  <c r="X1021" i="5"/>
  <c r="F1021" i="5" s="1"/>
  <c r="V1021" i="5"/>
  <c r="T1021" i="5"/>
  <c r="G1021" i="5" s="1"/>
  <c r="S1021" i="5"/>
  <c r="I1021" i="5"/>
  <c r="AD407" i="5"/>
  <c r="Z407" i="5"/>
  <c r="C407" i="5" s="1"/>
  <c r="Y407" i="5"/>
  <c r="X407" i="5"/>
  <c r="F407" i="5" s="1"/>
  <c r="V407" i="5"/>
  <c r="T407" i="5"/>
  <c r="G407" i="5" s="1"/>
  <c r="S407" i="5"/>
  <c r="I407" i="5"/>
  <c r="AD1020" i="5"/>
  <c r="Z1020" i="5"/>
  <c r="C1020" i="5" s="1"/>
  <c r="Y1020" i="5"/>
  <c r="X1020" i="5"/>
  <c r="V1020" i="5"/>
  <c r="T1020" i="5"/>
  <c r="G1020" i="5" s="1"/>
  <c r="S1020" i="5"/>
  <c r="I1020" i="5"/>
  <c r="AD1015" i="5"/>
  <c r="Z1015" i="5"/>
  <c r="C1015" i="5" s="1"/>
  <c r="Y1015" i="5"/>
  <c r="X1015" i="5"/>
  <c r="F1015" i="5" s="1"/>
  <c r="V1015" i="5"/>
  <c r="T1015" i="5"/>
  <c r="G1015" i="5" s="1"/>
  <c r="S1015" i="5"/>
  <c r="I1015" i="5"/>
  <c r="AD299" i="5"/>
  <c r="Z299" i="5"/>
  <c r="C299" i="5" s="1"/>
  <c r="Y299" i="5"/>
  <c r="X299" i="5"/>
  <c r="V299" i="5"/>
  <c r="T299" i="5"/>
  <c r="G299" i="5" s="1"/>
  <c r="S299" i="5"/>
  <c r="I299" i="5"/>
  <c r="AD298" i="5"/>
  <c r="Z298" i="5"/>
  <c r="C298" i="5" s="1"/>
  <c r="Y298" i="5"/>
  <c r="X298" i="5"/>
  <c r="F298" i="5" s="1"/>
  <c r="V298" i="5"/>
  <c r="T298" i="5"/>
  <c r="G298" i="5" s="1"/>
  <c r="S298" i="5"/>
  <c r="I298" i="5"/>
  <c r="AD297" i="5"/>
  <c r="Z297" i="5"/>
  <c r="C297" i="5" s="1"/>
  <c r="Y297" i="5"/>
  <c r="X297" i="5"/>
  <c r="F297" i="5" s="1"/>
  <c r="V297" i="5"/>
  <c r="T297" i="5"/>
  <c r="G297" i="5" s="1"/>
  <c r="S297" i="5"/>
  <c r="I297" i="5"/>
  <c r="AD296" i="5"/>
  <c r="Z296" i="5"/>
  <c r="C296" i="5" s="1"/>
  <c r="Y296" i="5"/>
  <c r="X296" i="5"/>
  <c r="F296" i="5" s="1"/>
  <c r="V296" i="5"/>
  <c r="T296" i="5"/>
  <c r="G296" i="5" s="1"/>
  <c r="S296" i="5"/>
  <c r="I296" i="5"/>
  <c r="AD295" i="5"/>
  <c r="Z295" i="5"/>
  <c r="C295" i="5" s="1"/>
  <c r="Y295" i="5"/>
  <c r="X295" i="5"/>
  <c r="F295" i="5" s="1"/>
  <c r="V295" i="5"/>
  <c r="T295" i="5"/>
  <c r="G295" i="5" s="1"/>
  <c r="S295" i="5"/>
  <c r="I295" i="5"/>
  <c r="AD782" i="5"/>
  <c r="Z782" i="5"/>
  <c r="C782" i="5" s="1"/>
  <c r="Y782" i="5"/>
  <c r="X782" i="5"/>
  <c r="F782" i="5" s="1"/>
  <c r="V782" i="5"/>
  <c r="T782" i="5"/>
  <c r="G782" i="5" s="1"/>
  <c r="S782" i="5"/>
  <c r="I782" i="5"/>
  <c r="AD743" i="5"/>
  <c r="Z743" i="5"/>
  <c r="C743" i="5" s="1"/>
  <c r="Y743" i="5"/>
  <c r="X743" i="5"/>
  <c r="F743" i="5" s="1"/>
  <c r="V743" i="5"/>
  <c r="T743" i="5"/>
  <c r="G743" i="5" s="1"/>
  <c r="S743" i="5"/>
  <c r="I743" i="5"/>
  <c r="AD742" i="5"/>
  <c r="Z742" i="5"/>
  <c r="C742" i="5" s="1"/>
  <c r="Y742" i="5"/>
  <c r="X742" i="5"/>
  <c r="F742" i="5" s="1"/>
  <c r="V742" i="5"/>
  <c r="T742" i="5"/>
  <c r="G742" i="5" s="1"/>
  <c r="S742" i="5"/>
  <c r="I742" i="5"/>
  <c r="AD741" i="5"/>
  <c r="Z741" i="5"/>
  <c r="C741" i="5" s="1"/>
  <c r="Y741" i="5"/>
  <c r="X741" i="5"/>
  <c r="F741" i="5" s="1"/>
  <c r="V741" i="5"/>
  <c r="T741" i="5"/>
  <c r="G741" i="5" s="1"/>
  <c r="S741" i="5"/>
  <c r="I741" i="5"/>
  <c r="AD740" i="5"/>
  <c r="Z740" i="5"/>
  <c r="C740" i="5" s="1"/>
  <c r="Y740" i="5"/>
  <c r="X740" i="5"/>
  <c r="F740" i="5" s="1"/>
  <c r="V740" i="5"/>
  <c r="T740" i="5"/>
  <c r="G740" i="5" s="1"/>
  <c r="S740" i="5"/>
  <c r="I740" i="5"/>
  <c r="AD739" i="5"/>
  <c r="Z739" i="5"/>
  <c r="C739" i="5" s="1"/>
  <c r="Y739" i="5"/>
  <c r="X739" i="5"/>
  <c r="F739" i="5" s="1"/>
  <c r="V739" i="5"/>
  <c r="T739" i="5"/>
  <c r="G739" i="5" s="1"/>
  <c r="S739" i="5"/>
  <c r="I739" i="5"/>
  <c r="AD738" i="5"/>
  <c r="Z738" i="5"/>
  <c r="C738" i="5" s="1"/>
  <c r="Y738" i="5"/>
  <c r="X738" i="5"/>
  <c r="V738" i="5"/>
  <c r="T738" i="5"/>
  <c r="G738" i="5" s="1"/>
  <c r="S738" i="5"/>
  <c r="I738" i="5"/>
  <c r="AD737" i="5"/>
  <c r="Z737" i="5"/>
  <c r="C737" i="5" s="1"/>
  <c r="Y737" i="5"/>
  <c r="X737" i="5"/>
  <c r="F737" i="5" s="1"/>
  <c r="V737" i="5"/>
  <c r="T737" i="5"/>
  <c r="G737" i="5" s="1"/>
  <c r="S737" i="5"/>
  <c r="I737" i="5"/>
  <c r="AD736" i="5"/>
  <c r="Z736" i="5"/>
  <c r="C736" i="5" s="1"/>
  <c r="Y736" i="5"/>
  <c r="X736" i="5"/>
  <c r="V736" i="5"/>
  <c r="T736" i="5"/>
  <c r="G736" i="5" s="1"/>
  <c r="S736" i="5"/>
  <c r="I736" i="5"/>
  <c r="AD735" i="5"/>
  <c r="Z735" i="5"/>
  <c r="C735" i="5" s="1"/>
  <c r="Y735" i="5"/>
  <c r="X735" i="5"/>
  <c r="F735" i="5" s="1"/>
  <c r="V735" i="5"/>
  <c r="T735" i="5"/>
  <c r="G735" i="5" s="1"/>
  <c r="S735" i="5"/>
  <c r="I735" i="5"/>
  <c r="AD734" i="5"/>
  <c r="Z734" i="5"/>
  <c r="C734" i="5" s="1"/>
  <c r="Y734" i="5"/>
  <c r="X734" i="5"/>
  <c r="V734" i="5"/>
  <c r="T734" i="5"/>
  <c r="G734" i="5" s="1"/>
  <c r="S734" i="5"/>
  <c r="I734" i="5"/>
  <c r="AD733" i="5"/>
  <c r="Z733" i="5"/>
  <c r="C733" i="5" s="1"/>
  <c r="Y733" i="5"/>
  <c r="X733" i="5"/>
  <c r="F733" i="5" s="1"/>
  <c r="V733" i="5"/>
  <c r="T733" i="5"/>
  <c r="G733" i="5" s="1"/>
  <c r="S733" i="5"/>
  <c r="I733" i="5"/>
  <c r="AD732" i="5"/>
  <c r="Z732" i="5"/>
  <c r="C732" i="5" s="1"/>
  <c r="Y732" i="5"/>
  <c r="X732" i="5"/>
  <c r="F732" i="5" s="1"/>
  <c r="V732" i="5"/>
  <c r="T732" i="5"/>
  <c r="G732" i="5" s="1"/>
  <c r="S732" i="5"/>
  <c r="I732" i="5"/>
  <c r="AD657" i="5"/>
  <c r="Z657" i="5"/>
  <c r="C657" i="5" s="1"/>
  <c r="Y657" i="5"/>
  <c r="X657" i="5"/>
  <c r="F657" i="5" s="1"/>
  <c r="V657" i="5"/>
  <c r="T657" i="5"/>
  <c r="G657" i="5" s="1"/>
  <c r="S657" i="5"/>
  <c r="I657" i="5"/>
  <c r="AD656" i="5"/>
  <c r="Z656" i="5"/>
  <c r="C656" i="5" s="1"/>
  <c r="Y656" i="5"/>
  <c r="X656" i="5"/>
  <c r="F656" i="5" s="1"/>
  <c r="V656" i="5"/>
  <c r="T656" i="5"/>
  <c r="G656" i="5" s="1"/>
  <c r="S656" i="5"/>
  <c r="I656" i="5"/>
  <c r="AD655" i="5"/>
  <c r="Z655" i="5"/>
  <c r="C655" i="5" s="1"/>
  <c r="Y655" i="5"/>
  <c r="X655" i="5"/>
  <c r="V655" i="5"/>
  <c r="T655" i="5"/>
  <c r="G655" i="5" s="1"/>
  <c r="S655" i="5"/>
  <c r="I655" i="5"/>
  <c r="AD654" i="5"/>
  <c r="Z654" i="5"/>
  <c r="C654" i="5" s="1"/>
  <c r="Y654" i="5"/>
  <c r="X654" i="5"/>
  <c r="V654" i="5"/>
  <c r="T654" i="5"/>
  <c r="G654" i="5" s="1"/>
  <c r="S654" i="5"/>
  <c r="I654" i="5"/>
  <c r="AD653" i="5"/>
  <c r="Z653" i="5"/>
  <c r="C653" i="5" s="1"/>
  <c r="Y653" i="5"/>
  <c r="X653" i="5"/>
  <c r="V653" i="5"/>
  <c r="T653" i="5"/>
  <c r="G653" i="5" s="1"/>
  <c r="S653" i="5"/>
  <c r="I653" i="5"/>
  <c r="AD652" i="5"/>
  <c r="Z652" i="5"/>
  <c r="C652" i="5" s="1"/>
  <c r="Y652" i="5"/>
  <c r="X652" i="5"/>
  <c r="F652" i="5" s="1"/>
  <c r="V652" i="5"/>
  <c r="T652" i="5"/>
  <c r="G652" i="5" s="1"/>
  <c r="S652" i="5"/>
  <c r="I652" i="5"/>
  <c r="AD651" i="5"/>
  <c r="Z651" i="5"/>
  <c r="C651" i="5" s="1"/>
  <c r="Y651" i="5"/>
  <c r="X651" i="5"/>
  <c r="F651" i="5" s="1"/>
  <c r="V651" i="5"/>
  <c r="T651" i="5"/>
  <c r="G651" i="5" s="1"/>
  <c r="S651" i="5"/>
  <c r="I651" i="5"/>
  <c r="AD650" i="5"/>
  <c r="Z650" i="5"/>
  <c r="C650" i="5" s="1"/>
  <c r="Y650" i="5"/>
  <c r="X650" i="5"/>
  <c r="V650" i="5"/>
  <c r="T650" i="5"/>
  <c r="G650" i="5" s="1"/>
  <c r="S650" i="5"/>
  <c r="I650" i="5"/>
  <c r="AD649" i="5"/>
  <c r="Z649" i="5"/>
  <c r="C649" i="5" s="1"/>
  <c r="Y649" i="5"/>
  <c r="X649" i="5"/>
  <c r="V649" i="5"/>
  <c r="T649" i="5"/>
  <c r="G649" i="5" s="1"/>
  <c r="S649" i="5"/>
  <c r="I649" i="5"/>
  <c r="AD632" i="5"/>
  <c r="Z632" i="5"/>
  <c r="C632" i="5" s="1"/>
  <c r="Y632" i="5"/>
  <c r="X632" i="5"/>
  <c r="V632" i="5"/>
  <c r="T632" i="5"/>
  <c r="G632" i="5" s="1"/>
  <c r="S632" i="5"/>
  <c r="I632" i="5"/>
  <c r="AD631" i="5"/>
  <c r="Z631" i="5"/>
  <c r="C631" i="5" s="1"/>
  <c r="Y631" i="5"/>
  <c r="X631" i="5"/>
  <c r="F631" i="5" s="1"/>
  <c r="V631" i="5"/>
  <c r="T631" i="5"/>
  <c r="G631" i="5" s="1"/>
  <c r="S631" i="5"/>
  <c r="I631" i="5"/>
  <c r="AD281" i="5"/>
  <c r="Z281" i="5"/>
  <c r="C281" i="5" s="1"/>
  <c r="Y281" i="5"/>
  <c r="X281" i="5"/>
  <c r="F281" i="5" s="1"/>
  <c r="V281" i="5"/>
  <c r="T281" i="5"/>
  <c r="G281" i="5" s="1"/>
  <c r="S281" i="5"/>
  <c r="I281" i="5"/>
  <c r="AD280" i="5"/>
  <c r="Z280" i="5"/>
  <c r="C280" i="5" s="1"/>
  <c r="Y280" i="5"/>
  <c r="X280" i="5"/>
  <c r="V280" i="5"/>
  <c r="T280" i="5"/>
  <c r="G280" i="5" s="1"/>
  <c r="S280" i="5"/>
  <c r="I280" i="5"/>
  <c r="AD279" i="5"/>
  <c r="Z279" i="5"/>
  <c r="C279" i="5" s="1"/>
  <c r="Y279" i="5"/>
  <c r="X279" i="5"/>
  <c r="V279" i="5"/>
  <c r="T279" i="5"/>
  <c r="G279" i="5" s="1"/>
  <c r="S279" i="5"/>
  <c r="I279" i="5"/>
  <c r="AD278" i="5"/>
  <c r="Z278" i="5"/>
  <c r="C278" i="5" s="1"/>
  <c r="Y278" i="5"/>
  <c r="X278" i="5"/>
  <c r="V278" i="5"/>
  <c r="T278" i="5"/>
  <c r="G278" i="5" s="1"/>
  <c r="S278" i="5"/>
  <c r="I278" i="5"/>
  <c r="AD277" i="5"/>
  <c r="Z277" i="5"/>
  <c r="C277" i="5" s="1"/>
  <c r="Y277" i="5"/>
  <c r="X277" i="5"/>
  <c r="F277" i="5" s="1"/>
  <c r="V277" i="5"/>
  <c r="T277" i="5"/>
  <c r="G277" i="5" s="1"/>
  <c r="S277" i="5"/>
  <c r="I277" i="5"/>
  <c r="AD276" i="5"/>
  <c r="Z276" i="5"/>
  <c r="C276" i="5" s="1"/>
  <c r="Y276" i="5"/>
  <c r="X276" i="5"/>
  <c r="F276" i="5" s="1"/>
  <c r="V276" i="5"/>
  <c r="T276" i="5"/>
  <c r="G276" i="5" s="1"/>
  <c r="S276" i="5"/>
  <c r="I276" i="5"/>
  <c r="AD275" i="5"/>
  <c r="Z275" i="5"/>
  <c r="C275" i="5" s="1"/>
  <c r="Y275" i="5"/>
  <c r="X275" i="5"/>
  <c r="V275" i="5"/>
  <c r="T275" i="5"/>
  <c r="G275" i="5" s="1"/>
  <c r="S275" i="5"/>
  <c r="I275" i="5"/>
  <c r="AD274" i="5"/>
  <c r="Z274" i="5"/>
  <c r="C274" i="5" s="1"/>
  <c r="Y274" i="5"/>
  <c r="X274" i="5"/>
  <c r="V274" i="5"/>
  <c r="T274" i="5"/>
  <c r="G274" i="5" s="1"/>
  <c r="S274" i="5"/>
  <c r="I274" i="5"/>
  <c r="AD114" i="5"/>
  <c r="Z114" i="5"/>
  <c r="C114" i="5" s="1"/>
  <c r="Y114" i="5"/>
  <c r="X114" i="5"/>
  <c r="V114" i="5"/>
  <c r="T114" i="5"/>
  <c r="G114" i="5" s="1"/>
  <c r="S114" i="5"/>
  <c r="I114" i="5"/>
  <c r="AD113" i="5"/>
  <c r="Z113" i="5"/>
  <c r="C113" i="5" s="1"/>
  <c r="Y113" i="5"/>
  <c r="X113" i="5"/>
  <c r="F113" i="5" s="1"/>
  <c r="V113" i="5"/>
  <c r="T113" i="5"/>
  <c r="G113" i="5" s="1"/>
  <c r="S113" i="5"/>
  <c r="I113" i="5"/>
  <c r="AD112" i="5"/>
  <c r="Z112" i="5"/>
  <c r="C112" i="5" s="1"/>
  <c r="Y112" i="5"/>
  <c r="X112" i="5"/>
  <c r="F112" i="5" s="1"/>
  <c r="V112" i="5"/>
  <c r="T112" i="5"/>
  <c r="G112" i="5" s="1"/>
  <c r="S112" i="5"/>
  <c r="I112" i="5"/>
  <c r="AD111" i="5"/>
  <c r="Z111" i="5"/>
  <c r="C111" i="5" s="1"/>
  <c r="Y111" i="5"/>
  <c r="X111" i="5"/>
  <c r="V111" i="5"/>
  <c r="T111" i="5"/>
  <c r="G111" i="5" s="1"/>
  <c r="S111" i="5"/>
  <c r="I111" i="5"/>
  <c r="AD110" i="5"/>
  <c r="Z110" i="5"/>
  <c r="C110" i="5" s="1"/>
  <c r="Y110" i="5"/>
  <c r="X110" i="5"/>
  <c r="V110" i="5"/>
  <c r="T110" i="5"/>
  <c r="G110" i="5" s="1"/>
  <c r="S110" i="5"/>
  <c r="I110" i="5"/>
  <c r="AD109" i="5"/>
  <c r="Z109" i="5"/>
  <c r="C109" i="5" s="1"/>
  <c r="Y109" i="5"/>
  <c r="X109" i="5"/>
  <c r="V109" i="5"/>
  <c r="T109" i="5"/>
  <c r="G109" i="5" s="1"/>
  <c r="S109" i="5"/>
  <c r="I109" i="5"/>
  <c r="AD108" i="5"/>
  <c r="Z108" i="5"/>
  <c r="C108" i="5" s="1"/>
  <c r="Y108" i="5"/>
  <c r="X108" i="5"/>
  <c r="F108" i="5" s="1"/>
  <c r="V108" i="5"/>
  <c r="T108" i="5"/>
  <c r="G108" i="5" s="1"/>
  <c r="S108" i="5"/>
  <c r="I108" i="5"/>
  <c r="AD107" i="5"/>
  <c r="Z107" i="5"/>
  <c r="C107" i="5" s="1"/>
  <c r="Y107" i="5"/>
  <c r="X107" i="5"/>
  <c r="F107" i="5" s="1"/>
  <c r="V107" i="5"/>
  <c r="T107" i="5"/>
  <c r="G107" i="5" s="1"/>
  <c r="S107" i="5"/>
  <c r="I107" i="5"/>
  <c r="AD106" i="5"/>
  <c r="Z106" i="5"/>
  <c r="C106" i="5" s="1"/>
  <c r="Y106" i="5"/>
  <c r="X106" i="5"/>
  <c r="V106" i="5"/>
  <c r="T106" i="5"/>
  <c r="G106" i="5" s="1"/>
  <c r="S106" i="5"/>
  <c r="I106" i="5"/>
  <c r="AD105" i="5"/>
  <c r="Z105" i="5"/>
  <c r="C105" i="5" s="1"/>
  <c r="Y105" i="5"/>
  <c r="X105" i="5"/>
  <c r="V105" i="5"/>
  <c r="T105" i="5"/>
  <c r="G105" i="5" s="1"/>
  <c r="S105" i="5"/>
  <c r="I105" i="5"/>
  <c r="AD104" i="5"/>
  <c r="Z104" i="5"/>
  <c r="C104" i="5" s="1"/>
  <c r="Y104" i="5"/>
  <c r="X104" i="5"/>
  <c r="V104" i="5"/>
  <c r="T104" i="5"/>
  <c r="G104" i="5" s="1"/>
  <c r="S104" i="5"/>
  <c r="I104" i="5"/>
  <c r="AD103" i="5"/>
  <c r="Z103" i="5"/>
  <c r="C103" i="5" s="1"/>
  <c r="Y103" i="5"/>
  <c r="X103" i="5"/>
  <c r="F103" i="5" s="1"/>
  <c r="V103" i="5"/>
  <c r="T103" i="5"/>
  <c r="G103" i="5" s="1"/>
  <c r="S103" i="5"/>
  <c r="I103" i="5"/>
  <c r="AD102" i="5"/>
  <c r="Z102" i="5"/>
  <c r="C102" i="5" s="1"/>
  <c r="Y102" i="5"/>
  <c r="X102" i="5"/>
  <c r="F102" i="5" s="1"/>
  <c r="V102" i="5"/>
  <c r="T102" i="5"/>
  <c r="G102" i="5" s="1"/>
  <c r="S102" i="5"/>
  <c r="I102" i="5"/>
  <c r="AD1169" i="5"/>
  <c r="Z1169" i="5"/>
  <c r="C1169" i="5" s="1"/>
  <c r="Y1169" i="5"/>
  <c r="X1169" i="5"/>
  <c r="V1169" i="5"/>
  <c r="T1169" i="5"/>
  <c r="G1169" i="5" s="1"/>
  <c r="S1169" i="5"/>
  <c r="I1169" i="5"/>
  <c r="AD527" i="5"/>
  <c r="Z527" i="5"/>
  <c r="C527" i="5" s="1"/>
  <c r="Y527" i="5"/>
  <c r="X527" i="5"/>
  <c r="V527" i="5"/>
  <c r="T527" i="5"/>
  <c r="G527" i="5" s="1"/>
  <c r="S527" i="5"/>
  <c r="I527" i="5"/>
  <c r="AD526" i="5"/>
  <c r="Z526" i="5"/>
  <c r="C526" i="5" s="1"/>
  <c r="Y526" i="5"/>
  <c r="X526" i="5"/>
  <c r="V526" i="5"/>
  <c r="T526" i="5"/>
  <c r="G526" i="5" s="1"/>
  <c r="S526" i="5"/>
  <c r="I526" i="5"/>
  <c r="AD525" i="5"/>
  <c r="Z525" i="5"/>
  <c r="C525" i="5" s="1"/>
  <c r="Y525" i="5"/>
  <c r="X525" i="5"/>
  <c r="F525" i="5" s="1"/>
  <c r="V525" i="5"/>
  <c r="T525" i="5"/>
  <c r="G525" i="5" s="1"/>
  <c r="S525" i="5"/>
  <c r="I525" i="5"/>
  <c r="AD524" i="5"/>
  <c r="Z524" i="5"/>
  <c r="C524" i="5" s="1"/>
  <c r="Y524" i="5"/>
  <c r="X524" i="5"/>
  <c r="F524" i="5" s="1"/>
  <c r="V524" i="5"/>
  <c r="T524" i="5"/>
  <c r="G524" i="5" s="1"/>
  <c r="S524" i="5"/>
  <c r="I524" i="5"/>
  <c r="AD95" i="5"/>
  <c r="Z95" i="5"/>
  <c r="C95" i="5" s="1"/>
  <c r="Y95" i="5"/>
  <c r="X95" i="5"/>
  <c r="V95" i="5"/>
  <c r="T95" i="5"/>
  <c r="G95" i="5" s="1"/>
  <c r="S95" i="5"/>
  <c r="I95" i="5"/>
  <c r="AD624" i="5"/>
  <c r="Z624" i="5"/>
  <c r="C624" i="5" s="1"/>
  <c r="Y624" i="5"/>
  <c r="X624" i="5"/>
  <c r="V624" i="5"/>
  <c r="T624" i="5"/>
  <c r="G624" i="5" s="1"/>
  <c r="S624" i="5"/>
  <c r="I624" i="5"/>
  <c r="AD561" i="5"/>
  <c r="Z561" i="5"/>
  <c r="C561" i="5" s="1"/>
  <c r="Y561" i="5"/>
  <c r="X561" i="5"/>
  <c r="V561" i="5"/>
  <c r="T561" i="5"/>
  <c r="G561" i="5" s="1"/>
  <c r="S561" i="5"/>
  <c r="I561" i="5"/>
  <c r="AD622" i="5"/>
  <c r="Z622" i="5"/>
  <c r="C622" i="5" s="1"/>
  <c r="Y622" i="5"/>
  <c r="X622" i="5"/>
  <c r="F622" i="5" s="1"/>
  <c r="V622" i="5"/>
  <c r="T622" i="5"/>
  <c r="G622" i="5" s="1"/>
  <c r="S622" i="5"/>
  <c r="I622" i="5"/>
  <c r="AD621" i="5"/>
  <c r="Z621" i="5"/>
  <c r="C621" i="5" s="1"/>
  <c r="Y621" i="5"/>
  <c r="X621" i="5"/>
  <c r="F621" i="5" s="1"/>
  <c r="V621" i="5"/>
  <c r="T621" i="5"/>
  <c r="G621" i="5" s="1"/>
  <c r="S621" i="5"/>
  <c r="I621" i="5"/>
  <c r="AD619" i="5"/>
  <c r="Z619" i="5"/>
  <c r="C619" i="5" s="1"/>
  <c r="Y619" i="5"/>
  <c r="X619" i="5"/>
  <c r="F619" i="5" s="1"/>
  <c r="V619" i="5"/>
  <c r="T619" i="5"/>
  <c r="G619" i="5" s="1"/>
  <c r="S619" i="5"/>
  <c r="I619" i="5"/>
  <c r="AD618" i="5"/>
  <c r="Z618" i="5"/>
  <c r="C618" i="5" s="1"/>
  <c r="Y618" i="5"/>
  <c r="X618" i="5"/>
  <c r="V618" i="5"/>
  <c r="T618" i="5"/>
  <c r="G618" i="5" s="1"/>
  <c r="S618" i="5"/>
  <c r="I618" i="5"/>
  <c r="AD1219" i="5"/>
  <c r="Z1219" i="5"/>
  <c r="C1219" i="5" s="1"/>
  <c r="Y1219" i="5"/>
  <c r="X1219" i="5"/>
  <c r="V1219" i="5"/>
  <c r="T1219" i="5"/>
  <c r="G1219" i="5" s="1"/>
  <c r="S1219" i="5"/>
  <c r="I1219" i="5"/>
  <c r="AD1218" i="5"/>
  <c r="Z1218" i="5"/>
  <c r="C1218" i="5" s="1"/>
  <c r="Y1218" i="5"/>
  <c r="X1218" i="5"/>
  <c r="F1218" i="5" s="1"/>
  <c r="V1218" i="5"/>
  <c r="T1218" i="5"/>
  <c r="G1218" i="5" s="1"/>
  <c r="S1218" i="5"/>
  <c r="I1218" i="5"/>
  <c r="AD703" i="5"/>
  <c r="Z703" i="5"/>
  <c r="C703" i="5" s="1"/>
  <c r="Y703" i="5"/>
  <c r="X703" i="5"/>
  <c r="F703" i="5" s="1"/>
  <c r="V703" i="5"/>
  <c r="T703" i="5"/>
  <c r="G703" i="5" s="1"/>
  <c r="S703" i="5"/>
  <c r="I703" i="5"/>
  <c r="AD523" i="5"/>
  <c r="Z523" i="5"/>
  <c r="C523" i="5" s="1"/>
  <c r="Y523" i="5"/>
  <c r="X523" i="5"/>
  <c r="F523" i="5" s="1"/>
  <c r="V523" i="5"/>
  <c r="T523" i="5"/>
  <c r="G523" i="5" s="1"/>
  <c r="S523" i="5"/>
  <c r="I523" i="5"/>
  <c r="AD522" i="5"/>
  <c r="Z522" i="5"/>
  <c r="C522" i="5" s="1"/>
  <c r="Y522" i="5"/>
  <c r="X522" i="5"/>
  <c r="V522" i="5"/>
  <c r="T522" i="5"/>
  <c r="G522" i="5" s="1"/>
  <c r="S522" i="5"/>
  <c r="I522" i="5"/>
  <c r="AD521" i="5"/>
  <c r="Z521" i="5"/>
  <c r="C521" i="5" s="1"/>
  <c r="Y521" i="5"/>
  <c r="X521" i="5"/>
  <c r="F521" i="5" s="1"/>
  <c r="V521" i="5"/>
  <c r="T521" i="5"/>
  <c r="G521" i="5" s="1"/>
  <c r="S521" i="5"/>
  <c r="I521" i="5"/>
  <c r="AD1183" i="5"/>
  <c r="Z1183" i="5"/>
  <c r="C1183" i="5" s="1"/>
  <c r="Y1183" i="5"/>
  <c r="X1183" i="5"/>
  <c r="F1183" i="5" s="1"/>
  <c r="V1183" i="5"/>
  <c r="T1183" i="5"/>
  <c r="G1183" i="5" s="1"/>
  <c r="S1183" i="5"/>
  <c r="I1183" i="5"/>
  <c r="AD1182" i="5"/>
  <c r="Z1182" i="5"/>
  <c r="C1182" i="5" s="1"/>
  <c r="Y1182" i="5"/>
  <c r="X1182" i="5"/>
  <c r="V1182" i="5"/>
  <c r="T1182" i="5"/>
  <c r="G1182" i="5" s="1"/>
  <c r="S1182" i="5"/>
  <c r="I1182" i="5"/>
  <c r="AD1181" i="5"/>
  <c r="Z1181" i="5"/>
  <c r="C1181" i="5" s="1"/>
  <c r="Y1181" i="5"/>
  <c r="X1181" i="5"/>
  <c r="F1181" i="5" s="1"/>
  <c r="V1181" i="5"/>
  <c r="T1181" i="5"/>
  <c r="G1181" i="5" s="1"/>
  <c r="S1181" i="5"/>
  <c r="I1181" i="5"/>
  <c r="AD1180" i="5"/>
  <c r="Z1180" i="5"/>
  <c r="C1180" i="5" s="1"/>
  <c r="Y1180" i="5"/>
  <c r="X1180" i="5"/>
  <c r="F1180" i="5" s="1"/>
  <c r="V1180" i="5"/>
  <c r="T1180" i="5"/>
  <c r="G1180" i="5" s="1"/>
  <c r="S1180" i="5"/>
  <c r="I1180" i="5"/>
  <c r="AD1179" i="5"/>
  <c r="Z1179" i="5"/>
  <c r="C1179" i="5" s="1"/>
  <c r="Y1179" i="5"/>
  <c r="X1179" i="5"/>
  <c r="F1179" i="5" s="1"/>
  <c r="V1179" i="5"/>
  <c r="T1179" i="5"/>
  <c r="G1179" i="5" s="1"/>
  <c r="S1179" i="5"/>
  <c r="I1179" i="5"/>
  <c r="AD1197" i="5"/>
  <c r="Z1197" i="5"/>
  <c r="C1197" i="5" s="1"/>
  <c r="Y1197" i="5"/>
  <c r="X1197" i="5"/>
  <c r="F1197" i="5" s="1"/>
  <c r="V1197" i="5"/>
  <c r="T1197" i="5"/>
  <c r="G1197" i="5" s="1"/>
  <c r="S1197" i="5"/>
  <c r="I1197" i="5"/>
  <c r="AD1196" i="5"/>
  <c r="Z1196" i="5"/>
  <c r="C1196" i="5" s="1"/>
  <c r="Y1196" i="5"/>
  <c r="X1196" i="5"/>
  <c r="F1196" i="5" s="1"/>
  <c r="V1196" i="5"/>
  <c r="T1196" i="5"/>
  <c r="G1196" i="5" s="1"/>
  <c r="S1196" i="5"/>
  <c r="I1196" i="5"/>
  <c r="AD1195" i="5"/>
  <c r="Z1195" i="5"/>
  <c r="C1195" i="5" s="1"/>
  <c r="Y1195" i="5"/>
  <c r="X1195" i="5"/>
  <c r="F1195" i="5" s="1"/>
  <c r="V1195" i="5"/>
  <c r="T1195" i="5"/>
  <c r="G1195" i="5" s="1"/>
  <c r="S1195" i="5"/>
  <c r="I1195" i="5"/>
  <c r="AD1194" i="5"/>
  <c r="Z1194" i="5"/>
  <c r="C1194" i="5" s="1"/>
  <c r="Y1194" i="5"/>
  <c r="X1194" i="5"/>
  <c r="F1194" i="5" s="1"/>
  <c r="V1194" i="5"/>
  <c r="T1194" i="5"/>
  <c r="G1194" i="5" s="1"/>
  <c r="S1194" i="5"/>
  <c r="I1194" i="5"/>
  <c r="AD520" i="5"/>
  <c r="Z520" i="5"/>
  <c r="C520" i="5" s="1"/>
  <c r="Y520" i="5"/>
  <c r="X520" i="5"/>
  <c r="V520" i="5"/>
  <c r="T520" i="5"/>
  <c r="G520" i="5" s="1"/>
  <c r="S520" i="5"/>
  <c r="I520" i="5"/>
  <c r="AD519" i="5"/>
  <c r="Z519" i="5"/>
  <c r="C519" i="5" s="1"/>
  <c r="Y519" i="5"/>
  <c r="X519" i="5"/>
  <c r="F519" i="5" s="1"/>
  <c r="V519" i="5"/>
  <c r="T519" i="5"/>
  <c r="G519" i="5" s="1"/>
  <c r="S519" i="5"/>
  <c r="I519" i="5"/>
  <c r="AD518" i="5"/>
  <c r="Z518" i="5"/>
  <c r="C518" i="5" s="1"/>
  <c r="Y518" i="5"/>
  <c r="X518" i="5"/>
  <c r="V518" i="5"/>
  <c r="T518" i="5"/>
  <c r="G518" i="5" s="1"/>
  <c r="S518" i="5"/>
  <c r="I518" i="5"/>
  <c r="AD517" i="5"/>
  <c r="Z517" i="5"/>
  <c r="C517" i="5" s="1"/>
  <c r="Y517" i="5"/>
  <c r="X517" i="5"/>
  <c r="F517" i="5" s="1"/>
  <c r="V517" i="5"/>
  <c r="T517" i="5"/>
  <c r="G517" i="5" s="1"/>
  <c r="S517" i="5"/>
  <c r="I517" i="5"/>
  <c r="AD516" i="5"/>
  <c r="Z516" i="5"/>
  <c r="C516" i="5" s="1"/>
  <c r="Y516" i="5"/>
  <c r="X516" i="5"/>
  <c r="V516" i="5"/>
  <c r="T516" i="5"/>
  <c r="G516" i="5" s="1"/>
  <c r="S516" i="5"/>
  <c r="I516" i="5"/>
  <c r="AD515" i="5"/>
  <c r="Z515" i="5"/>
  <c r="C515" i="5" s="1"/>
  <c r="Y515" i="5"/>
  <c r="X515" i="5"/>
  <c r="F515" i="5" s="1"/>
  <c r="V515" i="5"/>
  <c r="T515" i="5"/>
  <c r="G515" i="5" s="1"/>
  <c r="S515" i="5"/>
  <c r="I515" i="5"/>
  <c r="AD514" i="5"/>
  <c r="Z514" i="5"/>
  <c r="C514" i="5" s="1"/>
  <c r="Y514" i="5"/>
  <c r="X514" i="5"/>
  <c r="F514" i="5" s="1"/>
  <c r="V514" i="5"/>
  <c r="T514" i="5"/>
  <c r="G514" i="5" s="1"/>
  <c r="S514" i="5"/>
  <c r="I514" i="5"/>
  <c r="AD513" i="5"/>
  <c r="Z513" i="5"/>
  <c r="C513" i="5" s="1"/>
  <c r="Y513" i="5"/>
  <c r="X513" i="5"/>
  <c r="F513" i="5" s="1"/>
  <c r="V513" i="5"/>
  <c r="T513" i="5"/>
  <c r="G513" i="5" s="1"/>
  <c r="S513" i="5"/>
  <c r="I513" i="5"/>
  <c r="AD512" i="5"/>
  <c r="Z512" i="5"/>
  <c r="C512" i="5" s="1"/>
  <c r="Y512" i="5"/>
  <c r="X512" i="5"/>
  <c r="F512" i="5" s="1"/>
  <c r="V512" i="5"/>
  <c r="T512" i="5"/>
  <c r="G512" i="5" s="1"/>
  <c r="S512" i="5"/>
  <c r="I512" i="5"/>
  <c r="AD511" i="5"/>
  <c r="Z511" i="5"/>
  <c r="C511" i="5" s="1"/>
  <c r="Y511" i="5"/>
  <c r="X511" i="5"/>
  <c r="F511" i="5" s="1"/>
  <c r="V511" i="5"/>
  <c r="T511" i="5"/>
  <c r="G511" i="5" s="1"/>
  <c r="S511" i="5"/>
  <c r="I511" i="5"/>
  <c r="AD560" i="5"/>
  <c r="Z560" i="5"/>
  <c r="C560" i="5" s="1"/>
  <c r="Y560" i="5"/>
  <c r="X560" i="5"/>
  <c r="F560" i="5" s="1"/>
  <c r="V560" i="5"/>
  <c r="T560" i="5"/>
  <c r="G560" i="5" s="1"/>
  <c r="S560" i="5"/>
  <c r="I560" i="5"/>
  <c r="AD559" i="5"/>
  <c r="Z559" i="5"/>
  <c r="C559" i="5" s="1"/>
  <c r="Y559" i="5"/>
  <c r="X559" i="5"/>
  <c r="F559" i="5" s="1"/>
  <c r="V559" i="5"/>
  <c r="T559" i="5"/>
  <c r="G559" i="5" s="1"/>
  <c r="S559" i="5"/>
  <c r="I559" i="5"/>
  <c r="AD558" i="5"/>
  <c r="Z558" i="5"/>
  <c r="C558" i="5" s="1"/>
  <c r="Y558" i="5"/>
  <c r="X558" i="5"/>
  <c r="F558" i="5" s="1"/>
  <c r="V558" i="5"/>
  <c r="T558" i="5"/>
  <c r="G558" i="5" s="1"/>
  <c r="S558" i="5"/>
  <c r="I558" i="5"/>
  <c r="AD493" i="5"/>
  <c r="Z493" i="5"/>
  <c r="C493" i="5" s="1"/>
  <c r="Y493" i="5"/>
  <c r="X493" i="5"/>
  <c r="F493" i="5" s="1"/>
  <c r="V493" i="5"/>
  <c r="T493" i="5"/>
  <c r="G493" i="5" s="1"/>
  <c r="S493" i="5"/>
  <c r="I493" i="5"/>
  <c r="AD492" i="5"/>
  <c r="Z492" i="5"/>
  <c r="C492" i="5" s="1"/>
  <c r="Y492" i="5"/>
  <c r="X492" i="5"/>
  <c r="F492" i="5" s="1"/>
  <c r="V492" i="5"/>
  <c r="T492" i="5"/>
  <c r="G492" i="5" s="1"/>
  <c r="S492" i="5"/>
  <c r="I492" i="5"/>
  <c r="AD273" i="5"/>
  <c r="Z273" i="5"/>
  <c r="C273" i="5" s="1"/>
  <c r="Y273" i="5"/>
  <c r="X273" i="5"/>
  <c r="V273" i="5"/>
  <c r="T273" i="5"/>
  <c r="G273" i="5" s="1"/>
  <c r="S273" i="5"/>
  <c r="I273" i="5"/>
  <c r="AD272" i="5"/>
  <c r="Z272" i="5"/>
  <c r="C272" i="5" s="1"/>
  <c r="Y272" i="5"/>
  <c r="X272" i="5"/>
  <c r="F272" i="5" s="1"/>
  <c r="V272" i="5"/>
  <c r="T272" i="5"/>
  <c r="G272" i="5" s="1"/>
  <c r="S272" i="5"/>
  <c r="I272" i="5"/>
  <c r="AD271" i="5"/>
  <c r="Z271" i="5"/>
  <c r="C271" i="5" s="1"/>
  <c r="Y271" i="5"/>
  <c r="X271" i="5"/>
  <c r="V271" i="5"/>
  <c r="T271" i="5"/>
  <c r="G271" i="5" s="1"/>
  <c r="S271" i="5"/>
  <c r="I271" i="5"/>
  <c r="AD270" i="5"/>
  <c r="Z270" i="5"/>
  <c r="C270" i="5" s="1"/>
  <c r="Y270" i="5"/>
  <c r="X270" i="5"/>
  <c r="F270" i="5" s="1"/>
  <c r="V270" i="5"/>
  <c r="T270" i="5"/>
  <c r="G270" i="5" s="1"/>
  <c r="S270" i="5"/>
  <c r="I270" i="5"/>
  <c r="AD269" i="5"/>
  <c r="Z269" i="5"/>
  <c r="C269" i="5" s="1"/>
  <c r="Y269" i="5"/>
  <c r="X269" i="5"/>
  <c r="V269" i="5"/>
  <c r="T269" i="5"/>
  <c r="G269" i="5" s="1"/>
  <c r="S269" i="5"/>
  <c r="I269" i="5"/>
  <c r="AD268" i="5"/>
  <c r="Z268" i="5"/>
  <c r="C268" i="5" s="1"/>
  <c r="Y268" i="5"/>
  <c r="X268" i="5"/>
  <c r="F268" i="5" s="1"/>
  <c r="V268" i="5"/>
  <c r="T268" i="5"/>
  <c r="G268" i="5" s="1"/>
  <c r="S268" i="5"/>
  <c r="I268" i="5"/>
  <c r="AD267" i="5"/>
  <c r="Z267" i="5"/>
  <c r="C267" i="5" s="1"/>
  <c r="Y267" i="5"/>
  <c r="X267" i="5"/>
  <c r="F267" i="5" s="1"/>
  <c r="V267" i="5"/>
  <c r="T267" i="5"/>
  <c r="G267" i="5" s="1"/>
  <c r="S267" i="5"/>
  <c r="I267" i="5"/>
  <c r="AD266" i="5"/>
  <c r="Z266" i="5"/>
  <c r="C266" i="5" s="1"/>
  <c r="Y266" i="5"/>
  <c r="X266" i="5"/>
  <c r="V266" i="5"/>
  <c r="T266" i="5"/>
  <c r="G266" i="5" s="1"/>
  <c r="S266" i="5"/>
  <c r="I266" i="5"/>
  <c r="AD557" i="5"/>
  <c r="Z557" i="5"/>
  <c r="C557" i="5" s="1"/>
  <c r="Y557" i="5"/>
  <c r="X557" i="5"/>
  <c r="F557" i="5" s="1"/>
  <c r="V557" i="5"/>
  <c r="T557" i="5"/>
  <c r="G557" i="5" s="1"/>
  <c r="S557" i="5"/>
  <c r="I557" i="5"/>
  <c r="AD620" i="5"/>
  <c r="Z620" i="5"/>
  <c r="C620" i="5" s="1"/>
  <c r="Y620" i="5"/>
  <c r="X620" i="5"/>
  <c r="V620" i="5"/>
  <c r="T620" i="5"/>
  <c r="G620" i="5" s="1"/>
  <c r="S620" i="5"/>
  <c r="I620" i="5"/>
  <c r="AD691" i="5"/>
  <c r="Z691" i="5"/>
  <c r="C691" i="5" s="1"/>
  <c r="Y691" i="5"/>
  <c r="X691" i="5"/>
  <c r="F691" i="5" s="1"/>
  <c r="V691" i="5"/>
  <c r="T691" i="5"/>
  <c r="G691" i="5" s="1"/>
  <c r="S691" i="5"/>
  <c r="I691" i="5"/>
  <c r="AD690" i="5"/>
  <c r="Z690" i="5"/>
  <c r="C690" i="5" s="1"/>
  <c r="Y690" i="5"/>
  <c r="X690" i="5"/>
  <c r="F690" i="5" s="1"/>
  <c r="V690" i="5"/>
  <c r="T690" i="5"/>
  <c r="G690" i="5" s="1"/>
  <c r="S690" i="5"/>
  <c r="I690" i="5"/>
  <c r="AD689" i="5"/>
  <c r="Z689" i="5"/>
  <c r="C689" i="5" s="1"/>
  <c r="Y689" i="5"/>
  <c r="X689" i="5"/>
  <c r="F689" i="5" s="1"/>
  <c r="V689" i="5"/>
  <c r="T689" i="5"/>
  <c r="G689" i="5" s="1"/>
  <c r="S689" i="5"/>
  <c r="I689" i="5"/>
  <c r="AD688" i="5"/>
  <c r="Z688" i="5"/>
  <c r="C688" i="5" s="1"/>
  <c r="Y688" i="5"/>
  <c r="X688" i="5"/>
  <c r="V688" i="5"/>
  <c r="T688" i="5"/>
  <c r="G688" i="5" s="1"/>
  <c r="S688" i="5"/>
  <c r="I688" i="5"/>
  <c r="AD687" i="5"/>
  <c r="Z687" i="5"/>
  <c r="C687" i="5" s="1"/>
  <c r="Y687" i="5"/>
  <c r="X687" i="5"/>
  <c r="F687" i="5" s="1"/>
  <c r="V687" i="5"/>
  <c r="T687" i="5"/>
  <c r="G687" i="5" s="1"/>
  <c r="S687" i="5"/>
  <c r="I687" i="5"/>
  <c r="AD591" i="5"/>
  <c r="Z591" i="5"/>
  <c r="C591" i="5" s="1"/>
  <c r="Y591" i="5"/>
  <c r="X591" i="5"/>
  <c r="F591" i="5" s="1"/>
  <c r="V591" i="5"/>
  <c r="T591" i="5"/>
  <c r="G591" i="5" s="1"/>
  <c r="S591" i="5"/>
  <c r="I591" i="5"/>
  <c r="AD590" i="5"/>
  <c r="Z590" i="5"/>
  <c r="C590" i="5" s="1"/>
  <c r="Y590" i="5"/>
  <c r="X590" i="5"/>
  <c r="V590" i="5"/>
  <c r="T590" i="5"/>
  <c r="G590" i="5" s="1"/>
  <c r="S590" i="5"/>
  <c r="I590" i="5"/>
  <c r="AD589" i="5"/>
  <c r="Z589" i="5"/>
  <c r="C589" i="5" s="1"/>
  <c r="Y589" i="5"/>
  <c r="X589" i="5"/>
  <c r="F589" i="5" s="1"/>
  <c r="V589" i="5"/>
  <c r="T589" i="5"/>
  <c r="G589" i="5" s="1"/>
  <c r="S589" i="5"/>
  <c r="I589" i="5"/>
  <c r="AD581" i="5"/>
  <c r="Z581" i="5"/>
  <c r="C581" i="5" s="1"/>
  <c r="Y581" i="5"/>
  <c r="X581" i="5"/>
  <c r="V581" i="5"/>
  <c r="T581" i="5"/>
  <c r="G581" i="5" s="1"/>
  <c r="S581" i="5"/>
  <c r="I581" i="5"/>
  <c r="AD580" i="5"/>
  <c r="Z580" i="5"/>
  <c r="C580" i="5" s="1"/>
  <c r="Y580" i="5"/>
  <c r="X580" i="5"/>
  <c r="F580" i="5" s="1"/>
  <c r="V580" i="5"/>
  <c r="T580" i="5"/>
  <c r="G580" i="5" s="1"/>
  <c r="S580" i="5"/>
  <c r="I580" i="5"/>
  <c r="AD588" i="5"/>
  <c r="Z588" i="5"/>
  <c r="C588" i="5" s="1"/>
  <c r="Y588" i="5"/>
  <c r="X588" i="5"/>
  <c r="F588" i="5" s="1"/>
  <c r="V588" i="5"/>
  <c r="T588" i="5"/>
  <c r="G588" i="5" s="1"/>
  <c r="S588" i="5"/>
  <c r="I588" i="5"/>
  <c r="AD587" i="5"/>
  <c r="Z587" i="5"/>
  <c r="C587" i="5" s="1"/>
  <c r="Y587" i="5"/>
  <c r="X587" i="5"/>
  <c r="V587" i="5"/>
  <c r="T587" i="5"/>
  <c r="G587" i="5" s="1"/>
  <c r="S587" i="5"/>
  <c r="I587" i="5"/>
  <c r="AD586" i="5"/>
  <c r="Z586" i="5"/>
  <c r="C586" i="5" s="1"/>
  <c r="Y586" i="5"/>
  <c r="X586" i="5"/>
  <c r="F586" i="5" s="1"/>
  <c r="V586" i="5"/>
  <c r="T586" i="5"/>
  <c r="G586" i="5" s="1"/>
  <c r="S586" i="5"/>
  <c r="I586" i="5"/>
  <c r="AD189" i="5"/>
  <c r="Z189" i="5"/>
  <c r="C189" i="5" s="1"/>
  <c r="Y189" i="5"/>
  <c r="X189" i="5"/>
  <c r="V189" i="5"/>
  <c r="T189" i="5"/>
  <c r="G189" i="5" s="1"/>
  <c r="S189" i="5"/>
  <c r="I189" i="5"/>
  <c r="AD188" i="5"/>
  <c r="Z188" i="5"/>
  <c r="C188" i="5" s="1"/>
  <c r="Y188" i="5"/>
  <c r="X188" i="5"/>
  <c r="F188" i="5" s="1"/>
  <c r="V188" i="5"/>
  <c r="T188" i="5"/>
  <c r="G188" i="5" s="1"/>
  <c r="S188" i="5"/>
  <c r="I188" i="5"/>
  <c r="AD186" i="5"/>
  <c r="Z186" i="5"/>
  <c r="C186" i="5" s="1"/>
  <c r="Y186" i="5"/>
  <c r="X186" i="5"/>
  <c r="F186" i="5" s="1"/>
  <c r="V186" i="5"/>
  <c r="T186" i="5"/>
  <c r="G186" i="5" s="1"/>
  <c r="S186" i="5"/>
  <c r="I186" i="5"/>
  <c r="AD187" i="5"/>
  <c r="Z187" i="5"/>
  <c r="C187" i="5" s="1"/>
  <c r="Y187" i="5"/>
  <c r="X187" i="5"/>
  <c r="V187" i="5"/>
  <c r="T187" i="5"/>
  <c r="G187" i="5" s="1"/>
  <c r="S187" i="5"/>
  <c r="I187" i="5"/>
  <c r="AD184" i="5"/>
  <c r="Z184" i="5"/>
  <c r="C184" i="5" s="1"/>
  <c r="Y184" i="5"/>
  <c r="X184" i="5"/>
  <c r="F184" i="5" s="1"/>
  <c r="V184" i="5"/>
  <c r="T184" i="5"/>
  <c r="G184" i="5" s="1"/>
  <c r="S184" i="5"/>
  <c r="I184" i="5"/>
  <c r="AD677" i="5"/>
  <c r="Z677" i="5"/>
  <c r="C677" i="5" s="1"/>
  <c r="Y677" i="5"/>
  <c r="X677" i="5"/>
  <c r="V677" i="5"/>
  <c r="T677" i="5"/>
  <c r="G677" i="5" s="1"/>
  <c r="S677" i="5"/>
  <c r="I677" i="5"/>
  <c r="AD423" i="5"/>
  <c r="Z423" i="5"/>
  <c r="C423" i="5" s="1"/>
  <c r="Y423" i="5"/>
  <c r="X423" i="5"/>
  <c r="F423" i="5" s="1"/>
  <c r="V423" i="5"/>
  <c r="T423" i="5"/>
  <c r="G423" i="5" s="1"/>
  <c r="S423" i="5"/>
  <c r="I423" i="5"/>
  <c r="AD304" i="5"/>
  <c r="Z304" i="5"/>
  <c r="C304" i="5" s="1"/>
  <c r="Y304" i="5"/>
  <c r="X304" i="5"/>
  <c r="F304" i="5" s="1"/>
  <c r="V304" i="5"/>
  <c r="T304" i="5"/>
  <c r="G304" i="5" s="1"/>
  <c r="S304" i="5"/>
  <c r="I304" i="5"/>
  <c r="AD303" i="5"/>
  <c r="Z303" i="5"/>
  <c r="C303" i="5" s="1"/>
  <c r="Y303" i="5"/>
  <c r="X303" i="5"/>
  <c r="V303" i="5"/>
  <c r="T303" i="5"/>
  <c r="G303" i="5" s="1"/>
  <c r="S303" i="5"/>
  <c r="I303" i="5"/>
  <c r="AD185" i="5"/>
  <c r="Z185" i="5"/>
  <c r="C185" i="5" s="1"/>
  <c r="Y185" i="5"/>
  <c r="X185" i="5"/>
  <c r="F185" i="5" s="1"/>
  <c r="V185" i="5"/>
  <c r="T185" i="5"/>
  <c r="G185" i="5" s="1"/>
  <c r="S185" i="5"/>
  <c r="I185" i="5"/>
  <c r="AD94" i="5"/>
  <c r="Z94" i="5"/>
  <c r="C94" i="5" s="1"/>
  <c r="Y94" i="5"/>
  <c r="X94" i="5"/>
  <c r="V94" i="5"/>
  <c r="T94" i="5"/>
  <c r="G94" i="5" s="1"/>
  <c r="S94" i="5"/>
  <c r="I94" i="5"/>
  <c r="AD93" i="5"/>
  <c r="Z93" i="5"/>
  <c r="C93" i="5" s="1"/>
  <c r="Y93" i="5"/>
  <c r="X93" i="5"/>
  <c r="F93" i="5" s="1"/>
  <c r="V93" i="5"/>
  <c r="T93" i="5"/>
  <c r="G93" i="5" s="1"/>
  <c r="S93" i="5"/>
  <c r="I93" i="5"/>
  <c r="AD183" i="5"/>
  <c r="Z183" i="5"/>
  <c r="C183" i="5" s="1"/>
  <c r="Y183" i="5"/>
  <c r="X183" i="5"/>
  <c r="F183" i="5" s="1"/>
  <c r="V183" i="5"/>
  <c r="T183" i="5"/>
  <c r="G183" i="5" s="1"/>
  <c r="S183" i="5"/>
  <c r="I183" i="5"/>
  <c r="AD92" i="5"/>
  <c r="Z92" i="5"/>
  <c r="C92" i="5" s="1"/>
  <c r="Y92" i="5"/>
  <c r="X92" i="5"/>
  <c r="V92" i="5"/>
  <c r="T92" i="5"/>
  <c r="G92" i="5" s="1"/>
  <c r="S92" i="5"/>
  <c r="I92" i="5"/>
  <c r="AD91" i="5"/>
  <c r="Z91" i="5"/>
  <c r="C91" i="5" s="1"/>
  <c r="Y91" i="5"/>
  <c r="X91" i="5"/>
  <c r="F91" i="5" s="1"/>
  <c r="V91" i="5"/>
  <c r="T91" i="5"/>
  <c r="G91" i="5" s="1"/>
  <c r="S91" i="5"/>
  <c r="I91" i="5"/>
  <c r="AD182" i="5"/>
  <c r="Z182" i="5"/>
  <c r="C182" i="5" s="1"/>
  <c r="Y182" i="5"/>
  <c r="X182" i="5"/>
  <c r="V182" i="5"/>
  <c r="T182" i="5"/>
  <c r="G182" i="5" s="1"/>
  <c r="S182" i="5"/>
  <c r="I182" i="5"/>
  <c r="AD90" i="5"/>
  <c r="Z90" i="5"/>
  <c r="C90" i="5" s="1"/>
  <c r="Y90" i="5"/>
  <c r="X90" i="5"/>
  <c r="F90" i="5" s="1"/>
  <c r="V90" i="5"/>
  <c r="T90" i="5"/>
  <c r="G90" i="5" s="1"/>
  <c r="S90" i="5"/>
  <c r="I90" i="5"/>
  <c r="AD89" i="5"/>
  <c r="Z89" i="5"/>
  <c r="C89" i="5" s="1"/>
  <c r="Y89" i="5"/>
  <c r="X89" i="5"/>
  <c r="F89" i="5" s="1"/>
  <c r="V89" i="5"/>
  <c r="T89" i="5"/>
  <c r="G89" i="5" s="1"/>
  <c r="S89" i="5"/>
  <c r="I89" i="5"/>
  <c r="AD161" i="5"/>
  <c r="Z161" i="5"/>
  <c r="C161" i="5" s="1"/>
  <c r="Y161" i="5"/>
  <c r="X161" i="5"/>
  <c r="V161" i="5"/>
  <c r="T161" i="5"/>
  <c r="G161" i="5" s="1"/>
  <c r="S161" i="5"/>
  <c r="I161" i="5"/>
  <c r="AD160" i="5"/>
  <c r="Z160" i="5"/>
  <c r="C160" i="5" s="1"/>
  <c r="Y160" i="5"/>
  <c r="X160" i="5"/>
  <c r="F160" i="5" s="1"/>
  <c r="V160" i="5"/>
  <c r="T160" i="5"/>
  <c r="G160" i="5" s="1"/>
  <c r="S160" i="5"/>
  <c r="I160" i="5"/>
  <c r="AD159" i="5"/>
  <c r="Z159" i="5"/>
  <c r="C159" i="5" s="1"/>
  <c r="Y159" i="5"/>
  <c r="X159" i="5"/>
  <c r="V159" i="5"/>
  <c r="T159" i="5"/>
  <c r="G159" i="5" s="1"/>
  <c r="S159" i="5"/>
  <c r="I159" i="5"/>
  <c r="AD158" i="5"/>
  <c r="Z158" i="5"/>
  <c r="C158" i="5" s="1"/>
  <c r="Y158" i="5"/>
  <c r="X158" i="5"/>
  <c r="F158" i="5" s="1"/>
  <c r="V158" i="5"/>
  <c r="T158" i="5"/>
  <c r="G158" i="5" s="1"/>
  <c r="S158" i="5"/>
  <c r="I158" i="5"/>
  <c r="AD1073" i="5"/>
  <c r="Z1073" i="5"/>
  <c r="C1073" i="5" s="1"/>
  <c r="Y1073" i="5"/>
  <c r="X1073" i="5"/>
  <c r="F1073" i="5" s="1"/>
  <c r="V1073" i="5"/>
  <c r="T1073" i="5"/>
  <c r="G1073" i="5" s="1"/>
  <c r="S1073" i="5"/>
  <c r="I1073" i="5"/>
  <c r="AD1072" i="5"/>
  <c r="Z1072" i="5"/>
  <c r="C1072" i="5" s="1"/>
  <c r="Y1072" i="5"/>
  <c r="X1072" i="5"/>
  <c r="F1072" i="5" s="1"/>
  <c r="V1072" i="5"/>
  <c r="T1072" i="5"/>
  <c r="G1072" i="5" s="1"/>
  <c r="S1072" i="5"/>
  <c r="I1072" i="5"/>
  <c r="AD1071" i="5"/>
  <c r="Z1071" i="5"/>
  <c r="C1071" i="5" s="1"/>
  <c r="Y1071" i="5"/>
  <c r="X1071" i="5"/>
  <c r="F1071" i="5" s="1"/>
  <c r="V1071" i="5"/>
  <c r="T1071" i="5"/>
  <c r="G1071" i="5" s="1"/>
  <c r="S1071" i="5"/>
  <c r="I1071" i="5"/>
  <c r="AD1070" i="5"/>
  <c r="Z1070" i="5"/>
  <c r="C1070" i="5" s="1"/>
  <c r="Y1070" i="5"/>
  <c r="X1070" i="5"/>
  <c r="F1070" i="5" s="1"/>
  <c r="V1070" i="5"/>
  <c r="T1070" i="5"/>
  <c r="G1070" i="5" s="1"/>
  <c r="S1070" i="5"/>
  <c r="I1070" i="5"/>
  <c r="AD1069" i="5"/>
  <c r="Z1069" i="5"/>
  <c r="C1069" i="5" s="1"/>
  <c r="Y1069" i="5"/>
  <c r="X1069" i="5"/>
  <c r="F1069" i="5" s="1"/>
  <c r="V1069" i="5"/>
  <c r="T1069" i="5"/>
  <c r="G1069" i="5" s="1"/>
  <c r="S1069" i="5"/>
  <c r="I1069" i="5"/>
  <c r="AD1068" i="5"/>
  <c r="Z1068" i="5"/>
  <c r="C1068" i="5" s="1"/>
  <c r="Y1068" i="5"/>
  <c r="X1068" i="5"/>
  <c r="F1068" i="5" s="1"/>
  <c r="V1068" i="5"/>
  <c r="T1068" i="5"/>
  <c r="G1068" i="5" s="1"/>
  <c r="S1068" i="5"/>
  <c r="I1068" i="5"/>
  <c r="AD1067" i="5"/>
  <c r="Z1067" i="5"/>
  <c r="C1067" i="5" s="1"/>
  <c r="Y1067" i="5"/>
  <c r="X1067" i="5"/>
  <c r="F1067" i="5" s="1"/>
  <c r="V1067" i="5"/>
  <c r="T1067" i="5"/>
  <c r="G1067" i="5" s="1"/>
  <c r="S1067" i="5"/>
  <c r="I1067" i="5"/>
  <c r="AD1066" i="5"/>
  <c r="Z1066" i="5"/>
  <c r="C1066" i="5" s="1"/>
  <c r="Y1066" i="5"/>
  <c r="X1066" i="5"/>
  <c r="F1066" i="5" s="1"/>
  <c r="V1066" i="5"/>
  <c r="T1066" i="5"/>
  <c r="G1066" i="5" s="1"/>
  <c r="S1066" i="5"/>
  <c r="I1066" i="5"/>
  <c r="AD1065" i="5"/>
  <c r="Z1065" i="5"/>
  <c r="C1065" i="5" s="1"/>
  <c r="Y1065" i="5"/>
  <c r="X1065" i="5"/>
  <c r="F1065" i="5" s="1"/>
  <c r="V1065" i="5"/>
  <c r="T1065" i="5"/>
  <c r="G1065" i="5" s="1"/>
  <c r="S1065" i="5"/>
  <c r="I1065" i="5"/>
  <c r="AD1064" i="5"/>
  <c r="Z1064" i="5"/>
  <c r="C1064" i="5" s="1"/>
  <c r="Y1064" i="5"/>
  <c r="X1064" i="5"/>
  <c r="F1064" i="5" s="1"/>
  <c r="V1064" i="5"/>
  <c r="T1064" i="5"/>
  <c r="G1064" i="5" s="1"/>
  <c r="S1064" i="5"/>
  <c r="I1064" i="5"/>
  <c r="AD1063" i="5"/>
  <c r="Z1063" i="5"/>
  <c r="C1063" i="5" s="1"/>
  <c r="Y1063" i="5"/>
  <c r="X1063" i="5"/>
  <c r="F1063" i="5" s="1"/>
  <c r="V1063" i="5"/>
  <c r="T1063" i="5"/>
  <c r="G1063" i="5" s="1"/>
  <c r="S1063" i="5"/>
  <c r="I1063" i="5"/>
  <c r="AD1062" i="5"/>
  <c r="Z1062" i="5"/>
  <c r="C1062" i="5" s="1"/>
  <c r="Y1062" i="5"/>
  <c r="X1062" i="5"/>
  <c r="F1062" i="5" s="1"/>
  <c r="V1062" i="5"/>
  <c r="T1062" i="5"/>
  <c r="G1062" i="5" s="1"/>
  <c r="S1062" i="5"/>
  <c r="I1062" i="5"/>
  <c r="AD1061" i="5"/>
  <c r="Z1061" i="5"/>
  <c r="C1061" i="5" s="1"/>
  <c r="Y1061" i="5"/>
  <c r="X1061" i="5"/>
  <c r="F1061" i="5" s="1"/>
  <c r="V1061" i="5"/>
  <c r="T1061" i="5"/>
  <c r="G1061" i="5" s="1"/>
  <c r="S1061" i="5"/>
  <c r="I1061" i="5"/>
  <c r="AD1060" i="5"/>
  <c r="Z1060" i="5"/>
  <c r="C1060" i="5" s="1"/>
  <c r="Y1060" i="5"/>
  <c r="X1060" i="5"/>
  <c r="F1060" i="5" s="1"/>
  <c r="V1060" i="5"/>
  <c r="T1060" i="5"/>
  <c r="G1060" i="5" s="1"/>
  <c r="S1060" i="5"/>
  <c r="I1060" i="5"/>
  <c r="AD1059" i="5"/>
  <c r="Z1059" i="5"/>
  <c r="C1059" i="5" s="1"/>
  <c r="Y1059" i="5"/>
  <c r="X1059" i="5"/>
  <c r="F1059" i="5" s="1"/>
  <c r="V1059" i="5"/>
  <c r="T1059" i="5"/>
  <c r="G1059" i="5" s="1"/>
  <c r="S1059" i="5"/>
  <c r="I1059" i="5"/>
  <c r="AD1058" i="5"/>
  <c r="Z1058" i="5"/>
  <c r="C1058" i="5" s="1"/>
  <c r="Y1058" i="5"/>
  <c r="X1058" i="5"/>
  <c r="F1058" i="5" s="1"/>
  <c r="V1058" i="5"/>
  <c r="T1058" i="5"/>
  <c r="G1058" i="5" s="1"/>
  <c r="S1058" i="5"/>
  <c r="I1058" i="5"/>
  <c r="AD1057" i="5"/>
  <c r="Z1057" i="5"/>
  <c r="C1057" i="5" s="1"/>
  <c r="Y1057" i="5"/>
  <c r="X1057" i="5"/>
  <c r="F1057" i="5" s="1"/>
  <c r="V1057" i="5"/>
  <c r="T1057" i="5"/>
  <c r="G1057" i="5" s="1"/>
  <c r="S1057" i="5"/>
  <c r="I1057" i="5"/>
  <c r="AD1056" i="5"/>
  <c r="Z1056" i="5"/>
  <c r="C1056" i="5" s="1"/>
  <c r="Y1056" i="5"/>
  <c r="X1056" i="5"/>
  <c r="F1056" i="5" s="1"/>
  <c r="V1056" i="5"/>
  <c r="T1056" i="5"/>
  <c r="G1056" i="5" s="1"/>
  <c r="S1056" i="5"/>
  <c r="I1056" i="5"/>
  <c r="AD1055" i="5"/>
  <c r="Z1055" i="5"/>
  <c r="C1055" i="5" s="1"/>
  <c r="Y1055" i="5"/>
  <c r="X1055" i="5"/>
  <c r="F1055" i="5" s="1"/>
  <c r="V1055" i="5"/>
  <c r="T1055" i="5"/>
  <c r="G1055" i="5" s="1"/>
  <c r="S1055" i="5"/>
  <c r="I1055" i="5"/>
  <c r="AD1054" i="5"/>
  <c r="Z1054" i="5"/>
  <c r="C1054" i="5" s="1"/>
  <c r="Y1054" i="5"/>
  <c r="X1054" i="5"/>
  <c r="F1054" i="5" s="1"/>
  <c r="V1054" i="5"/>
  <c r="T1054" i="5"/>
  <c r="G1054" i="5" s="1"/>
  <c r="S1054" i="5"/>
  <c r="I1054" i="5"/>
  <c r="AD1053" i="5"/>
  <c r="Z1053" i="5"/>
  <c r="C1053" i="5" s="1"/>
  <c r="Y1053" i="5"/>
  <c r="X1053" i="5"/>
  <c r="F1053" i="5" s="1"/>
  <c r="V1053" i="5"/>
  <c r="T1053" i="5"/>
  <c r="G1053" i="5" s="1"/>
  <c r="S1053" i="5"/>
  <c r="I1053" i="5"/>
  <c r="AD1052" i="5"/>
  <c r="Z1052" i="5"/>
  <c r="C1052" i="5" s="1"/>
  <c r="Y1052" i="5"/>
  <c r="X1052" i="5"/>
  <c r="F1052" i="5" s="1"/>
  <c r="V1052" i="5"/>
  <c r="T1052" i="5"/>
  <c r="G1052" i="5" s="1"/>
  <c r="S1052" i="5"/>
  <c r="I1052" i="5"/>
  <c r="AD1051" i="5"/>
  <c r="Z1051" i="5"/>
  <c r="C1051" i="5" s="1"/>
  <c r="Y1051" i="5"/>
  <c r="X1051" i="5"/>
  <c r="F1051" i="5" s="1"/>
  <c r="V1051" i="5"/>
  <c r="T1051" i="5"/>
  <c r="G1051" i="5" s="1"/>
  <c r="S1051" i="5"/>
  <c r="I1051" i="5"/>
  <c r="AD1050" i="5"/>
  <c r="Z1050" i="5"/>
  <c r="C1050" i="5" s="1"/>
  <c r="Y1050" i="5"/>
  <c r="X1050" i="5"/>
  <c r="F1050" i="5" s="1"/>
  <c r="V1050" i="5"/>
  <c r="T1050" i="5"/>
  <c r="G1050" i="5" s="1"/>
  <c r="S1050" i="5"/>
  <c r="I1050" i="5"/>
  <c r="AD993" i="5"/>
  <c r="Z993" i="5"/>
  <c r="C993" i="5" s="1"/>
  <c r="Y993" i="5"/>
  <c r="X993" i="5"/>
  <c r="F993" i="5" s="1"/>
  <c r="V993" i="5"/>
  <c r="T993" i="5"/>
  <c r="G993" i="5" s="1"/>
  <c r="S993" i="5"/>
  <c r="I993" i="5"/>
  <c r="AD992" i="5"/>
  <c r="Z992" i="5"/>
  <c r="C992" i="5" s="1"/>
  <c r="Y992" i="5"/>
  <c r="X992" i="5"/>
  <c r="V992" i="5"/>
  <c r="T992" i="5"/>
  <c r="G992" i="5" s="1"/>
  <c r="S992" i="5"/>
  <c r="I992" i="5"/>
  <c r="AD991" i="5"/>
  <c r="Z991" i="5"/>
  <c r="C991" i="5" s="1"/>
  <c r="Y991" i="5"/>
  <c r="X991" i="5"/>
  <c r="F991" i="5" s="1"/>
  <c r="V991" i="5"/>
  <c r="T991" i="5"/>
  <c r="G991" i="5" s="1"/>
  <c r="S991" i="5"/>
  <c r="I991" i="5"/>
  <c r="AD990" i="5"/>
  <c r="Z990" i="5"/>
  <c r="C990" i="5" s="1"/>
  <c r="Y990" i="5"/>
  <c r="X990" i="5"/>
  <c r="V990" i="5"/>
  <c r="T990" i="5"/>
  <c r="G990" i="5" s="1"/>
  <c r="S990" i="5"/>
  <c r="I990" i="5"/>
  <c r="AD989" i="5"/>
  <c r="Z989" i="5"/>
  <c r="C989" i="5" s="1"/>
  <c r="Y989" i="5"/>
  <c r="X989" i="5"/>
  <c r="F989" i="5" s="1"/>
  <c r="V989" i="5"/>
  <c r="T989" i="5"/>
  <c r="G989" i="5" s="1"/>
  <c r="S989" i="5"/>
  <c r="I989" i="5"/>
  <c r="AD988" i="5"/>
  <c r="Z988" i="5"/>
  <c r="C988" i="5" s="1"/>
  <c r="Y988" i="5"/>
  <c r="X988" i="5"/>
  <c r="F988" i="5" s="1"/>
  <c r="V988" i="5"/>
  <c r="T988" i="5"/>
  <c r="G988" i="5" s="1"/>
  <c r="S988" i="5"/>
  <c r="I988" i="5"/>
  <c r="AD987" i="5"/>
  <c r="Z987" i="5"/>
  <c r="C987" i="5" s="1"/>
  <c r="Y987" i="5"/>
  <c r="X987" i="5"/>
  <c r="V987" i="5"/>
  <c r="T987" i="5"/>
  <c r="G987" i="5" s="1"/>
  <c r="S987" i="5"/>
  <c r="I987" i="5"/>
  <c r="AD986" i="5"/>
  <c r="Z986" i="5"/>
  <c r="C986" i="5" s="1"/>
  <c r="Y986" i="5"/>
  <c r="X986" i="5"/>
  <c r="V986" i="5"/>
  <c r="T986" i="5"/>
  <c r="G986" i="5" s="1"/>
  <c r="S986" i="5"/>
  <c r="I986" i="5"/>
  <c r="AD985" i="5"/>
  <c r="Z985" i="5"/>
  <c r="C985" i="5" s="1"/>
  <c r="Y985" i="5"/>
  <c r="X985" i="5"/>
  <c r="V985" i="5"/>
  <c r="T985" i="5"/>
  <c r="G985" i="5" s="1"/>
  <c r="S985" i="5"/>
  <c r="I985" i="5"/>
  <c r="AD984" i="5"/>
  <c r="Z984" i="5"/>
  <c r="C984" i="5" s="1"/>
  <c r="Y984" i="5"/>
  <c r="X984" i="5"/>
  <c r="V984" i="5"/>
  <c r="T984" i="5"/>
  <c r="G984" i="5" s="1"/>
  <c r="S984" i="5"/>
  <c r="I984" i="5"/>
  <c r="AD983" i="5"/>
  <c r="Z983" i="5"/>
  <c r="C983" i="5" s="1"/>
  <c r="Y983" i="5"/>
  <c r="X983" i="5"/>
  <c r="V983" i="5"/>
  <c r="T983" i="5"/>
  <c r="G983" i="5" s="1"/>
  <c r="S983" i="5"/>
  <c r="I983" i="5"/>
  <c r="AD982" i="5"/>
  <c r="Z982" i="5"/>
  <c r="C982" i="5" s="1"/>
  <c r="Y982" i="5"/>
  <c r="X982" i="5"/>
  <c r="V982" i="5"/>
  <c r="T982" i="5"/>
  <c r="G982" i="5" s="1"/>
  <c r="S982" i="5"/>
  <c r="I982" i="5"/>
  <c r="AD981" i="5"/>
  <c r="Z981" i="5"/>
  <c r="C981" i="5" s="1"/>
  <c r="Y981" i="5"/>
  <c r="X981" i="5"/>
  <c r="V981" i="5"/>
  <c r="T981" i="5"/>
  <c r="G981" i="5" s="1"/>
  <c r="S981" i="5"/>
  <c r="I981" i="5"/>
  <c r="AD980" i="5"/>
  <c r="Z980" i="5"/>
  <c r="C980" i="5" s="1"/>
  <c r="Y980" i="5"/>
  <c r="X980" i="5"/>
  <c r="V980" i="5"/>
  <c r="T980" i="5"/>
  <c r="G980" i="5" s="1"/>
  <c r="S980" i="5"/>
  <c r="I980" i="5"/>
  <c r="AD979" i="5"/>
  <c r="Z979" i="5"/>
  <c r="C979" i="5" s="1"/>
  <c r="Y979" i="5"/>
  <c r="X979" i="5"/>
  <c r="V979" i="5"/>
  <c r="T979" i="5"/>
  <c r="G979" i="5" s="1"/>
  <c r="S979" i="5"/>
  <c r="I979" i="5"/>
  <c r="AD978" i="5"/>
  <c r="Z978" i="5"/>
  <c r="C978" i="5" s="1"/>
  <c r="Y978" i="5"/>
  <c r="X978" i="5"/>
  <c r="F978" i="5" s="1"/>
  <c r="V978" i="5"/>
  <c r="T978" i="5"/>
  <c r="G978" i="5" s="1"/>
  <c r="S978" i="5"/>
  <c r="I978" i="5"/>
  <c r="AD977" i="5"/>
  <c r="Z977" i="5"/>
  <c r="C977" i="5" s="1"/>
  <c r="Y977" i="5"/>
  <c r="X977" i="5"/>
  <c r="V977" i="5"/>
  <c r="T977" i="5"/>
  <c r="G977" i="5" s="1"/>
  <c r="S977" i="5"/>
  <c r="I977" i="5"/>
  <c r="AD976" i="5"/>
  <c r="Z976" i="5"/>
  <c r="C976" i="5" s="1"/>
  <c r="Y976" i="5"/>
  <c r="X976" i="5"/>
  <c r="F976" i="5" s="1"/>
  <c r="V976" i="5"/>
  <c r="T976" i="5"/>
  <c r="G976" i="5" s="1"/>
  <c r="S976" i="5"/>
  <c r="I976" i="5"/>
  <c r="AD975" i="5"/>
  <c r="Z975" i="5"/>
  <c r="C975" i="5" s="1"/>
  <c r="Y975" i="5"/>
  <c r="X975" i="5"/>
  <c r="F975" i="5" s="1"/>
  <c r="V975" i="5"/>
  <c r="T975" i="5"/>
  <c r="G975" i="5" s="1"/>
  <c r="S975" i="5"/>
  <c r="I975" i="5"/>
  <c r="AD974" i="5"/>
  <c r="Z974" i="5"/>
  <c r="C974" i="5" s="1"/>
  <c r="Y974" i="5"/>
  <c r="X974" i="5"/>
  <c r="F974" i="5" s="1"/>
  <c r="V974" i="5"/>
  <c r="T974" i="5"/>
  <c r="G974" i="5" s="1"/>
  <c r="S974" i="5"/>
  <c r="I974" i="5"/>
  <c r="AD973" i="5"/>
  <c r="Z973" i="5"/>
  <c r="C973" i="5" s="1"/>
  <c r="Y973" i="5"/>
  <c r="X973" i="5"/>
  <c r="V973" i="5"/>
  <c r="T973" i="5"/>
  <c r="G973" i="5" s="1"/>
  <c r="S973" i="5"/>
  <c r="I973" i="5"/>
  <c r="AD972" i="5"/>
  <c r="Z972" i="5"/>
  <c r="C972" i="5" s="1"/>
  <c r="Y972" i="5"/>
  <c r="X972" i="5"/>
  <c r="V972" i="5"/>
  <c r="T972" i="5"/>
  <c r="G972" i="5" s="1"/>
  <c r="S972" i="5"/>
  <c r="I972" i="5"/>
  <c r="AD971" i="5"/>
  <c r="Z971" i="5"/>
  <c r="C971" i="5" s="1"/>
  <c r="Y971" i="5"/>
  <c r="X971" i="5"/>
  <c r="F971" i="5" s="1"/>
  <c r="V971" i="5"/>
  <c r="T971" i="5"/>
  <c r="G971" i="5" s="1"/>
  <c r="S971" i="5"/>
  <c r="I971" i="5"/>
  <c r="AD970" i="5"/>
  <c r="Z970" i="5"/>
  <c r="C970" i="5" s="1"/>
  <c r="Y970" i="5"/>
  <c r="X970" i="5"/>
  <c r="V970" i="5"/>
  <c r="T970" i="5"/>
  <c r="G970" i="5" s="1"/>
  <c r="S970" i="5"/>
  <c r="I970" i="5"/>
  <c r="AD969" i="5"/>
  <c r="Z969" i="5"/>
  <c r="C969" i="5" s="1"/>
  <c r="Y969" i="5"/>
  <c r="X969" i="5"/>
  <c r="V969" i="5"/>
  <c r="T969" i="5"/>
  <c r="G969" i="5" s="1"/>
  <c r="S969" i="5"/>
  <c r="I969" i="5"/>
  <c r="AD968" i="5"/>
  <c r="Z968" i="5"/>
  <c r="C968" i="5" s="1"/>
  <c r="Y968" i="5"/>
  <c r="X968" i="5"/>
  <c r="F968" i="5" s="1"/>
  <c r="V968" i="5"/>
  <c r="T968" i="5"/>
  <c r="G968" i="5" s="1"/>
  <c r="S968" i="5"/>
  <c r="I968" i="5"/>
  <c r="AD967" i="5"/>
  <c r="Z967" i="5"/>
  <c r="C967" i="5" s="1"/>
  <c r="Y967" i="5"/>
  <c r="X967" i="5"/>
  <c r="V967" i="5"/>
  <c r="T967" i="5"/>
  <c r="G967" i="5" s="1"/>
  <c r="S967" i="5"/>
  <c r="I967" i="5"/>
  <c r="AD966" i="5"/>
  <c r="Z966" i="5"/>
  <c r="C966" i="5" s="1"/>
  <c r="Y966" i="5"/>
  <c r="X966" i="5"/>
  <c r="V966" i="5"/>
  <c r="T966" i="5"/>
  <c r="G966" i="5" s="1"/>
  <c r="S966" i="5"/>
  <c r="I966" i="5"/>
  <c r="AD965" i="5"/>
  <c r="Z965" i="5"/>
  <c r="C965" i="5" s="1"/>
  <c r="Y965" i="5"/>
  <c r="X965" i="5"/>
  <c r="V965" i="5"/>
  <c r="T965" i="5"/>
  <c r="G965" i="5" s="1"/>
  <c r="S965" i="5"/>
  <c r="I965" i="5"/>
  <c r="AD964" i="5"/>
  <c r="Z964" i="5"/>
  <c r="C964" i="5" s="1"/>
  <c r="Y964" i="5"/>
  <c r="X964" i="5"/>
  <c r="V964" i="5"/>
  <c r="T964" i="5"/>
  <c r="G964" i="5" s="1"/>
  <c r="S964" i="5"/>
  <c r="I964" i="5"/>
  <c r="AD963" i="5"/>
  <c r="Z963" i="5"/>
  <c r="C963" i="5" s="1"/>
  <c r="Y963" i="5"/>
  <c r="X963" i="5"/>
  <c r="F963" i="5" s="1"/>
  <c r="V963" i="5"/>
  <c r="T963" i="5"/>
  <c r="G963" i="5" s="1"/>
  <c r="S963" i="5"/>
  <c r="I963" i="5"/>
  <c r="AD962" i="5"/>
  <c r="Z962" i="5"/>
  <c r="C962" i="5" s="1"/>
  <c r="Y962" i="5"/>
  <c r="X962" i="5"/>
  <c r="V962" i="5"/>
  <c r="T962" i="5"/>
  <c r="G962" i="5" s="1"/>
  <c r="S962" i="5"/>
  <c r="I962" i="5"/>
  <c r="AD961" i="5"/>
  <c r="Z961" i="5"/>
  <c r="C961" i="5" s="1"/>
  <c r="Y961" i="5"/>
  <c r="X961" i="5"/>
  <c r="F961" i="5" s="1"/>
  <c r="V961" i="5"/>
  <c r="T961" i="5"/>
  <c r="G961" i="5" s="1"/>
  <c r="S961" i="5"/>
  <c r="I961" i="5"/>
  <c r="AD960" i="5"/>
  <c r="Z960" i="5"/>
  <c r="C960" i="5" s="1"/>
  <c r="Y960" i="5"/>
  <c r="X960" i="5"/>
  <c r="V960" i="5"/>
  <c r="T960" i="5"/>
  <c r="G960" i="5" s="1"/>
  <c r="S960" i="5"/>
  <c r="I960" i="5"/>
  <c r="AD959" i="5"/>
  <c r="Z959" i="5"/>
  <c r="C959" i="5" s="1"/>
  <c r="Y959" i="5"/>
  <c r="X959" i="5"/>
  <c r="F959" i="5" s="1"/>
  <c r="V959" i="5"/>
  <c r="T959" i="5"/>
  <c r="G959" i="5" s="1"/>
  <c r="S959" i="5"/>
  <c r="I959" i="5"/>
  <c r="AD958" i="5"/>
  <c r="Z958" i="5"/>
  <c r="C958" i="5" s="1"/>
  <c r="Y958" i="5"/>
  <c r="X958" i="5"/>
  <c r="V958" i="5"/>
  <c r="T958" i="5"/>
  <c r="G958" i="5" s="1"/>
  <c r="S958" i="5"/>
  <c r="I958" i="5"/>
  <c r="AD875" i="5"/>
  <c r="Z875" i="5"/>
  <c r="C875" i="5" s="1"/>
  <c r="Y875" i="5"/>
  <c r="X875" i="5"/>
  <c r="V875" i="5"/>
  <c r="T875" i="5"/>
  <c r="G875" i="5" s="1"/>
  <c r="S875" i="5"/>
  <c r="I875" i="5"/>
  <c r="AD874" i="5"/>
  <c r="Z874" i="5"/>
  <c r="C874" i="5" s="1"/>
  <c r="Y874" i="5"/>
  <c r="X874" i="5"/>
  <c r="F874" i="5" s="1"/>
  <c r="V874" i="5"/>
  <c r="T874" i="5"/>
  <c r="G874" i="5" s="1"/>
  <c r="S874" i="5"/>
  <c r="I874" i="5"/>
  <c r="AD873" i="5"/>
  <c r="Z873" i="5"/>
  <c r="C873" i="5" s="1"/>
  <c r="Y873" i="5"/>
  <c r="X873" i="5"/>
  <c r="V873" i="5"/>
  <c r="T873" i="5"/>
  <c r="G873" i="5" s="1"/>
  <c r="S873" i="5"/>
  <c r="I873" i="5"/>
  <c r="AD872" i="5"/>
  <c r="Z872" i="5"/>
  <c r="C872" i="5" s="1"/>
  <c r="Y872" i="5"/>
  <c r="X872" i="5"/>
  <c r="F872" i="5" s="1"/>
  <c r="V872" i="5"/>
  <c r="T872" i="5"/>
  <c r="G872" i="5" s="1"/>
  <c r="S872" i="5"/>
  <c r="I872" i="5"/>
  <c r="AD871" i="5"/>
  <c r="Z871" i="5"/>
  <c r="C871" i="5" s="1"/>
  <c r="Y871" i="5"/>
  <c r="X871" i="5"/>
  <c r="V871" i="5"/>
  <c r="T871" i="5"/>
  <c r="G871" i="5" s="1"/>
  <c r="S871" i="5"/>
  <c r="I871" i="5"/>
  <c r="AD870" i="5"/>
  <c r="Z870" i="5"/>
  <c r="C870" i="5" s="1"/>
  <c r="Y870" i="5"/>
  <c r="X870" i="5"/>
  <c r="V870" i="5"/>
  <c r="T870" i="5"/>
  <c r="G870" i="5" s="1"/>
  <c r="S870" i="5"/>
  <c r="I870" i="5"/>
  <c r="AD869" i="5"/>
  <c r="Z869" i="5"/>
  <c r="C869" i="5" s="1"/>
  <c r="Y869" i="5"/>
  <c r="X869" i="5"/>
  <c r="F869" i="5" s="1"/>
  <c r="V869" i="5"/>
  <c r="T869" i="5"/>
  <c r="G869" i="5" s="1"/>
  <c r="S869" i="5"/>
  <c r="I869" i="5"/>
  <c r="AD868" i="5"/>
  <c r="Z868" i="5"/>
  <c r="C868" i="5" s="1"/>
  <c r="Y868" i="5"/>
  <c r="X868" i="5"/>
  <c r="V868" i="5"/>
  <c r="T868" i="5"/>
  <c r="G868" i="5" s="1"/>
  <c r="S868" i="5"/>
  <c r="I868" i="5"/>
  <c r="AD829" i="5"/>
  <c r="Z829" i="5"/>
  <c r="C829" i="5" s="1"/>
  <c r="Y829" i="5"/>
  <c r="X829" i="5"/>
  <c r="F829" i="5" s="1"/>
  <c r="V829" i="5"/>
  <c r="T829" i="5"/>
  <c r="G829" i="5" s="1"/>
  <c r="S829" i="5"/>
  <c r="I829" i="5"/>
  <c r="AD828" i="5"/>
  <c r="Z828" i="5"/>
  <c r="C828" i="5" s="1"/>
  <c r="Y828" i="5"/>
  <c r="X828" i="5"/>
  <c r="V828" i="5"/>
  <c r="T828" i="5"/>
  <c r="G828" i="5" s="1"/>
  <c r="S828" i="5"/>
  <c r="I828" i="5"/>
  <c r="AD827" i="5"/>
  <c r="Z827" i="5"/>
  <c r="C827" i="5" s="1"/>
  <c r="Y827" i="5"/>
  <c r="X827" i="5"/>
  <c r="V827" i="5"/>
  <c r="T827" i="5"/>
  <c r="G827" i="5" s="1"/>
  <c r="S827" i="5"/>
  <c r="I827" i="5"/>
  <c r="AD826" i="5"/>
  <c r="Z826" i="5"/>
  <c r="C826" i="5" s="1"/>
  <c r="Y826" i="5"/>
  <c r="X826" i="5"/>
  <c r="F826" i="5" s="1"/>
  <c r="V826" i="5"/>
  <c r="T826" i="5"/>
  <c r="G826" i="5" s="1"/>
  <c r="S826" i="5"/>
  <c r="I826" i="5"/>
  <c r="AD825" i="5"/>
  <c r="Z825" i="5"/>
  <c r="C825" i="5" s="1"/>
  <c r="Y825" i="5"/>
  <c r="X825" i="5"/>
  <c r="V825" i="5"/>
  <c r="T825" i="5"/>
  <c r="G825" i="5" s="1"/>
  <c r="S825" i="5"/>
  <c r="I825" i="5"/>
  <c r="AD824" i="5"/>
  <c r="Z824" i="5"/>
  <c r="C824" i="5" s="1"/>
  <c r="Y824" i="5"/>
  <c r="X824" i="5"/>
  <c r="F824" i="5" s="1"/>
  <c r="V824" i="5"/>
  <c r="T824" i="5"/>
  <c r="G824" i="5" s="1"/>
  <c r="S824" i="5"/>
  <c r="I824" i="5"/>
  <c r="AD823" i="5"/>
  <c r="Z823" i="5"/>
  <c r="C823" i="5" s="1"/>
  <c r="Y823" i="5"/>
  <c r="X823" i="5"/>
  <c r="V823" i="5"/>
  <c r="T823" i="5"/>
  <c r="G823" i="5" s="1"/>
  <c r="S823" i="5"/>
  <c r="I823" i="5"/>
  <c r="AD813" i="5"/>
  <c r="Z813" i="5"/>
  <c r="C813" i="5" s="1"/>
  <c r="Y813" i="5"/>
  <c r="X813" i="5"/>
  <c r="V813" i="5"/>
  <c r="T813" i="5"/>
  <c r="G813" i="5" s="1"/>
  <c r="S813" i="5"/>
  <c r="I813" i="5"/>
  <c r="AD812" i="5"/>
  <c r="Z812" i="5"/>
  <c r="C812" i="5" s="1"/>
  <c r="Y812" i="5"/>
  <c r="X812" i="5"/>
  <c r="F812" i="5" s="1"/>
  <c r="V812" i="5"/>
  <c r="T812" i="5"/>
  <c r="G812" i="5" s="1"/>
  <c r="S812" i="5"/>
  <c r="I812" i="5"/>
  <c r="AD811" i="5"/>
  <c r="Z811" i="5"/>
  <c r="C811" i="5" s="1"/>
  <c r="Y811" i="5"/>
  <c r="X811" i="5"/>
  <c r="V811" i="5"/>
  <c r="T811" i="5"/>
  <c r="G811" i="5" s="1"/>
  <c r="S811" i="5"/>
  <c r="I811" i="5"/>
  <c r="AD810" i="5"/>
  <c r="Z810" i="5"/>
  <c r="C810" i="5" s="1"/>
  <c r="Y810" i="5"/>
  <c r="X810" i="5"/>
  <c r="F810" i="5" s="1"/>
  <c r="V810" i="5"/>
  <c r="T810" i="5"/>
  <c r="G810" i="5" s="1"/>
  <c r="S810" i="5"/>
  <c r="I810" i="5"/>
  <c r="AD809" i="5"/>
  <c r="Z809" i="5"/>
  <c r="C809" i="5" s="1"/>
  <c r="Y809" i="5"/>
  <c r="X809" i="5"/>
  <c r="V809" i="5"/>
  <c r="T809" i="5"/>
  <c r="G809" i="5" s="1"/>
  <c r="S809" i="5"/>
  <c r="I809" i="5"/>
  <c r="AD808" i="5"/>
  <c r="Z808" i="5"/>
  <c r="C808" i="5" s="1"/>
  <c r="Y808" i="5"/>
  <c r="X808" i="5"/>
  <c r="V808" i="5"/>
  <c r="T808" i="5"/>
  <c r="G808" i="5" s="1"/>
  <c r="S808" i="5"/>
  <c r="I808" i="5"/>
  <c r="AD807" i="5"/>
  <c r="Z807" i="5"/>
  <c r="C807" i="5" s="1"/>
  <c r="Y807" i="5"/>
  <c r="X807" i="5"/>
  <c r="F807" i="5" s="1"/>
  <c r="V807" i="5"/>
  <c r="T807" i="5"/>
  <c r="G807" i="5" s="1"/>
  <c r="S807" i="5"/>
  <c r="I807" i="5"/>
  <c r="AD806" i="5"/>
  <c r="Z806" i="5"/>
  <c r="C806" i="5" s="1"/>
  <c r="Y806" i="5"/>
  <c r="X806" i="5"/>
  <c r="V806" i="5"/>
  <c r="T806" i="5"/>
  <c r="G806" i="5" s="1"/>
  <c r="S806" i="5"/>
  <c r="I806" i="5"/>
  <c r="AD805" i="5"/>
  <c r="Z805" i="5"/>
  <c r="C805" i="5" s="1"/>
  <c r="Y805" i="5"/>
  <c r="X805" i="5"/>
  <c r="F805" i="5" s="1"/>
  <c r="V805" i="5"/>
  <c r="T805" i="5"/>
  <c r="G805" i="5" s="1"/>
  <c r="S805" i="5"/>
  <c r="I805" i="5"/>
  <c r="AD804" i="5"/>
  <c r="Z804" i="5"/>
  <c r="C804" i="5" s="1"/>
  <c r="Y804" i="5"/>
  <c r="X804" i="5"/>
  <c r="V804" i="5"/>
  <c r="T804" i="5"/>
  <c r="G804" i="5" s="1"/>
  <c r="S804" i="5"/>
  <c r="I804" i="5"/>
  <c r="AD803" i="5"/>
  <c r="Z803" i="5"/>
  <c r="C803" i="5" s="1"/>
  <c r="Y803" i="5"/>
  <c r="X803" i="5"/>
  <c r="V803" i="5"/>
  <c r="T803" i="5"/>
  <c r="G803" i="5" s="1"/>
  <c r="S803" i="5"/>
  <c r="I803" i="5"/>
  <c r="AD802" i="5"/>
  <c r="Z802" i="5"/>
  <c r="C802" i="5" s="1"/>
  <c r="Y802" i="5"/>
  <c r="X802" i="5"/>
  <c r="F802" i="5" s="1"/>
  <c r="V802" i="5"/>
  <c r="T802" i="5"/>
  <c r="G802" i="5" s="1"/>
  <c r="S802" i="5"/>
  <c r="I802" i="5"/>
  <c r="AD801" i="5"/>
  <c r="Z801" i="5"/>
  <c r="C801" i="5" s="1"/>
  <c r="Y801" i="5"/>
  <c r="X801" i="5"/>
  <c r="V801" i="5"/>
  <c r="T801" i="5"/>
  <c r="G801" i="5" s="1"/>
  <c r="S801" i="5"/>
  <c r="I801" i="5"/>
  <c r="AD800" i="5"/>
  <c r="Z800" i="5"/>
  <c r="C800" i="5" s="1"/>
  <c r="Y800" i="5"/>
  <c r="X800" i="5"/>
  <c r="F800" i="5" s="1"/>
  <c r="V800" i="5"/>
  <c r="T800" i="5"/>
  <c r="G800" i="5" s="1"/>
  <c r="S800" i="5"/>
  <c r="I800" i="5"/>
  <c r="AD799" i="5"/>
  <c r="Z799" i="5"/>
  <c r="C799" i="5" s="1"/>
  <c r="Y799" i="5"/>
  <c r="X799" i="5"/>
  <c r="V799" i="5"/>
  <c r="T799" i="5"/>
  <c r="G799" i="5" s="1"/>
  <c r="S799" i="5"/>
  <c r="I799" i="5"/>
  <c r="AD798" i="5"/>
  <c r="Z798" i="5"/>
  <c r="C798" i="5" s="1"/>
  <c r="Y798" i="5"/>
  <c r="X798" i="5"/>
  <c r="V798" i="5"/>
  <c r="T798" i="5"/>
  <c r="G798" i="5" s="1"/>
  <c r="S798" i="5"/>
  <c r="I798" i="5"/>
  <c r="AD797" i="5"/>
  <c r="Z797" i="5"/>
  <c r="C797" i="5" s="1"/>
  <c r="Y797" i="5"/>
  <c r="X797" i="5"/>
  <c r="F797" i="5" s="1"/>
  <c r="V797" i="5"/>
  <c r="T797" i="5"/>
  <c r="G797" i="5" s="1"/>
  <c r="S797" i="5"/>
  <c r="I797" i="5"/>
  <c r="AD796" i="5"/>
  <c r="Z796" i="5"/>
  <c r="C796" i="5" s="1"/>
  <c r="Y796" i="5"/>
  <c r="X796" i="5"/>
  <c r="V796" i="5"/>
  <c r="T796" i="5"/>
  <c r="G796" i="5" s="1"/>
  <c r="S796" i="5"/>
  <c r="I796" i="5"/>
  <c r="AD795" i="5"/>
  <c r="Z795" i="5"/>
  <c r="C795" i="5" s="1"/>
  <c r="Y795" i="5"/>
  <c r="X795" i="5"/>
  <c r="F795" i="5" s="1"/>
  <c r="V795" i="5"/>
  <c r="T795" i="5"/>
  <c r="G795" i="5" s="1"/>
  <c r="S795" i="5"/>
  <c r="I795" i="5"/>
  <c r="AD794" i="5"/>
  <c r="Z794" i="5"/>
  <c r="C794" i="5" s="1"/>
  <c r="Y794" i="5"/>
  <c r="X794" i="5"/>
  <c r="V794" i="5"/>
  <c r="T794" i="5"/>
  <c r="G794" i="5" s="1"/>
  <c r="S794" i="5"/>
  <c r="I794" i="5"/>
  <c r="AD793" i="5"/>
  <c r="Z793" i="5"/>
  <c r="C793" i="5" s="1"/>
  <c r="Y793" i="5"/>
  <c r="X793" i="5"/>
  <c r="V793" i="5"/>
  <c r="T793" i="5"/>
  <c r="G793" i="5" s="1"/>
  <c r="S793" i="5"/>
  <c r="I793" i="5"/>
  <c r="AD792" i="5"/>
  <c r="Z792" i="5"/>
  <c r="C792" i="5" s="1"/>
  <c r="Y792" i="5"/>
  <c r="X792" i="5"/>
  <c r="F792" i="5" s="1"/>
  <c r="V792" i="5"/>
  <c r="T792" i="5"/>
  <c r="G792" i="5" s="1"/>
  <c r="S792" i="5"/>
  <c r="I792" i="5"/>
  <c r="AD791" i="5"/>
  <c r="Z791" i="5"/>
  <c r="C791" i="5" s="1"/>
  <c r="Y791" i="5"/>
  <c r="X791" i="5"/>
  <c r="V791" i="5"/>
  <c r="T791" i="5"/>
  <c r="G791" i="5" s="1"/>
  <c r="S791" i="5"/>
  <c r="I791" i="5"/>
  <c r="AD790" i="5"/>
  <c r="Z790" i="5"/>
  <c r="C790" i="5" s="1"/>
  <c r="Y790" i="5"/>
  <c r="X790" i="5"/>
  <c r="F790" i="5" s="1"/>
  <c r="V790" i="5"/>
  <c r="T790" i="5"/>
  <c r="G790" i="5" s="1"/>
  <c r="S790" i="5"/>
  <c r="I790" i="5"/>
  <c r="AD781" i="5"/>
  <c r="Z781" i="5"/>
  <c r="C781" i="5" s="1"/>
  <c r="Y781" i="5"/>
  <c r="X781" i="5"/>
  <c r="V781" i="5"/>
  <c r="T781" i="5"/>
  <c r="G781" i="5" s="1"/>
  <c r="S781" i="5"/>
  <c r="I781" i="5"/>
  <c r="AD780" i="5"/>
  <c r="Z780" i="5"/>
  <c r="C780" i="5" s="1"/>
  <c r="Y780" i="5"/>
  <c r="X780" i="5"/>
  <c r="V780" i="5"/>
  <c r="T780" i="5"/>
  <c r="G780" i="5" s="1"/>
  <c r="S780" i="5"/>
  <c r="I780" i="5"/>
  <c r="AD779" i="5"/>
  <c r="Z779" i="5"/>
  <c r="C779" i="5" s="1"/>
  <c r="Y779" i="5"/>
  <c r="X779" i="5"/>
  <c r="F779" i="5" s="1"/>
  <c r="V779" i="5"/>
  <c r="T779" i="5"/>
  <c r="G779" i="5" s="1"/>
  <c r="S779" i="5"/>
  <c r="I779" i="5"/>
  <c r="AD778" i="5"/>
  <c r="Z778" i="5"/>
  <c r="C778" i="5" s="1"/>
  <c r="Y778" i="5"/>
  <c r="X778" i="5"/>
  <c r="V778" i="5"/>
  <c r="T778" i="5"/>
  <c r="G778" i="5" s="1"/>
  <c r="S778" i="5"/>
  <c r="I778" i="5"/>
  <c r="AD777" i="5"/>
  <c r="Z777" i="5"/>
  <c r="C777" i="5" s="1"/>
  <c r="Y777" i="5"/>
  <c r="X777" i="5"/>
  <c r="F777" i="5" s="1"/>
  <c r="V777" i="5"/>
  <c r="T777" i="5"/>
  <c r="G777" i="5" s="1"/>
  <c r="S777" i="5"/>
  <c r="I777" i="5"/>
  <c r="AD776" i="5"/>
  <c r="Z776" i="5"/>
  <c r="C776" i="5" s="1"/>
  <c r="Y776" i="5"/>
  <c r="X776" i="5"/>
  <c r="V776" i="5"/>
  <c r="T776" i="5"/>
  <c r="G776" i="5" s="1"/>
  <c r="S776" i="5"/>
  <c r="I776" i="5"/>
  <c r="AD775" i="5"/>
  <c r="Z775" i="5"/>
  <c r="C775" i="5" s="1"/>
  <c r="Y775" i="5"/>
  <c r="X775" i="5"/>
  <c r="V775" i="5"/>
  <c r="T775" i="5"/>
  <c r="G775" i="5" s="1"/>
  <c r="S775" i="5"/>
  <c r="I775" i="5"/>
  <c r="AD774" i="5"/>
  <c r="Z774" i="5"/>
  <c r="C774" i="5" s="1"/>
  <c r="Y774" i="5"/>
  <c r="X774" i="5"/>
  <c r="F774" i="5" s="1"/>
  <c r="V774" i="5"/>
  <c r="T774" i="5"/>
  <c r="G774" i="5" s="1"/>
  <c r="S774" i="5"/>
  <c r="I774" i="5"/>
  <c r="AD773" i="5"/>
  <c r="Z773" i="5"/>
  <c r="C773" i="5" s="1"/>
  <c r="Y773" i="5"/>
  <c r="X773" i="5"/>
  <c r="V773" i="5"/>
  <c r="T773" i="5"/>
  <c r="G773" i="5" s="1"/>
  <c r="S773" i="5"/>
  <c r="I773" i="5"/>
  <c r="AD772" i="5"/>
  <c r="Z772" i="5"/>
  <c r="C772" i="5" s="1"/>
  <c r="Y772" i="5"/>
  <c r="X772" i="5"/>
  <c r="F772" i="5" s="1"/>
  <c r="V772" i="5"/>
  <c r="T772" i="5"/>
  <c r="G772" i="5" s="1"/>
  <c r="S772" i="5"/>
  <c r="I772" i="5"/>
  <c r="AD771" i="5"/>
  <c r="Z771" i="5"/>
  <c r="C771" i="5" s="1"/>
  <c r="Y771" i="5"/>
  <c r="X771" i="5"/>
  <c r="V771" i="5"/>
  <c r="T771" i="5"/>
  <c r="G771" i="5" s="1"/>
  <c r="S771" i="5"/>
  <c r="I771" i="5"/>
  <c r="AD770" i="5"/>
  <c r="Z770" i="5"/>
  <c r="C770" i="5" s="1"/>
  <c r="Y770" i="5"/>
  <c r="X770" i="5"/>
  <c r="V770" i="5"/>
  <c r="T770" i="5"/>
  <c r="G770" i="5" s="1"/>
  <c r="S770" i="5"/>
  <c r="I770" i="5"/>
  <c r="AD769" i="5"/>
  <c r="Z769" i="5"/>
  <c r="C769" i="5" s="1"/>
  <c r="Y769" i="5"/>
  <c r="X769" i="5"/>
  <c r="F769" i="5" s="1"/>
  <c r="V769" i="5"/>
  <c r="T769" i="5"/>
  <c r="G769" i="5" s="1"/>
  <c r="S769" i="5"/>
  <c r="I769" i="5"/>
  <c r="AD768" i="5"/>
  <c r="Z768" i="5"/>
  <c r="C768" i="5" s="1"/>
  <c r="Y768" i="5"/>
  <c r="X768" i="5"/>
  <c r="V768" i="5"/>
  <c r="T768" i="5"/>
  <c r="G768" i="5" s="1"/>
  <c r="S768" i="5"/>
  <c r="I768" i="5"/>
  <c r="AD767" i="5"/>
  <c r="Z767" i="5"/>
  <c r="C767" i="5" s="1"/>
  <c r="Y767" i="5"/>
  <c r="X767" i="5"/>
  <c r="F767" i="5" s="1"/>
  <c r="V767" i="5"/>
  <c r="T767" i="5"/>
  <c r="G767" i="5" s="1"/>
  <c r="S767" i="5"/>
  <c r="I767" i="5"/>
  <c r="AD766" i="5"/>
  <c r="Z766" i="5"/>
  <c r="C766" i="5" s="1"/>
  <c r="Y766" i="5"/>
  <c r="X766" i="5"/>
  <c r="V766" i="5"/>
  <c r="T766" i="5"/>
  <c r="G766" i="5" s="1"/>
  <c r="S766" i="5"/>
  <c r="I766" i="5"/>
  <c r="AD765" i="5"/>
  <c r="Z765" i="5"/>
  <c r="C765" i="5" s="1"/>
  <c r="Y765" i="5"/>
  <c r="X765" i="5"/>
  <c r="V765" i="5"/>
  <c r="T765" i="5"/>
  <c r="G765" i="5" s="1"/>
  <c r="S765" i="5"/>
  <c r="I765" i="5"/>
  <c r="AD764" i="5"/>
  <c r="Z764" i="5"/>
  <c r="C764" i="5" s="1"/>
  <c r="Y764" i="5"/>
  <c r="X764" i="5"/>
  <c r="F764" i="5" s="1"/>
  <c r="V764" i="5"/>
  <c r="T764" i="5"/>
  <c r="G764" i="5" s="1"/>
  <c r="S764" i="5"/>
  <c r="I764" i="5"/>
  <c r="AD763" i="5"/>
  <c r="Z763" i="5"/>
  <c r="C763" i="5" s="1"/>
  <c r="Y763" i="5"/>
  <c r="X763" i="5"/>
  <c r="V763" i="5"/>
  <c r="T763" i="5"/>
  <c r="G763" i="5" s="1"/>
  <c r="S763" i="5"/>
  <c r="I763" i="5"/>
  <c r="AD762" i="5"/>
  <c r="Z762" i="5"/>
  <c r="C762" i="5" s="1"/>
  <c r="Y762" i="5"/>
  <c r="X762" i="5"/>
  <c r="F762" i="5" s="1"/>
  <c r="V762" i="5"/>
  <c r="T762" i="5"/>
  <c r="G762" i="5" s="1"/>
  <c r="S762" i="5"/>
  <c r="I762" i="5"/>
  <c r="AD761" i="5"/>
  <c r="Z761" i="5"/>
  <c r="C761" i="5" s="1"/>
  <c r="Y761" i="5"/>
  <c r="X761" i="5"/>
  <c r="V761" i="5"/>
  <c r="T761" i="5"/>
  <c r="G761" i="5" s="1"/>
  <c r="S761" i="5"/>
  <c r="I761" i="5"/>
  <c r="AD760" i="5"/>
  <c r="Z760" i="5"/>
  <c r="C760" i="5" s="1"/>
  <c r="Y760" i="5"/>
  <c r="X760" i="5"/>
  <c r="V760" i="5"/>
  <c r="T760" i="5"/>
  <c r="G760" i="5" s="1"/>
  <c r="S760" i="5"/>
  <c r="I760" i="5"/>
  <c r="AD759" i="5"/>
  <c r="Z759" i="5"/>
  <c r="C759" i="5" s="1"/>
  <c r="Y759" i="5"/>
  <c r="X759" i="5"/>
  <c r="F759" i="5" s="1"/>
  <c r="V759" i="5"/>
  <c r="T759" i="5"/>
  <c r="G759" i="5" s="1"/>
  <c r="S759" i="5"/>
  <c r="I759" i="5"/>
  <c r="AD758" i="5"/>
  <c r="Z758" i="5"/>
  <c r="C758" i="5" s="1"/>
  <c r="Y758" i="5"/>
  <c r="X758" i="5"/>
  <c r="F758" i="5" s="1"/>
  <c r="V758" i="5"/>
  <c r="T758" i="5"/>
  <c r="G758" i="5" s="1"/>
  <c r="S758" i="5"/>
  <c r="I758" i="5"/>
  <c r="AD1210" i="5"/>
  <c r="Z1210" i="5"/>
  <c r="C1210" i="5" s="1"/>
  <c r="Y1210" i="5"/>
  <c r="X1210" i="5"/>
  <c r="F1210" i="5" s="1"/>
  <c r="V1210" i="5"/>
  <c r="T1210" i="5"/>
  <c r="G1210" i="5" s="1"/>
  <c r="S1210" i="5"/>
  <c r="I1210" i="5"/>
  <c r="AD1209" i="5"/>
  <c r="Z1209" i="5"/>
  <c r="C1209" i="5" s="1"/>
  <c r="Y1209" i="5"/>
  <c r="X1209" i="5"/>
  <c r="V1209" i="5"/>
  <c r="T1209" i="5"/>
  <c r="G1209" i="5" s="1"/>
  <c r="S1209" i="5"/>
  <c r="I1209" i="5"/>
  <c r="AD1208" i="5"/>
  <c r="Z1208" i="5"/>
  <c r="C1208" i="5" s="1"/>
  <c r="Y1208" i="5"/>
  <c r="X1208" i="5"/>
  <c r="V1208" i="5"/>
  <c r="T1208" i="5"/>
  <c r="G1208" i="5" s="1"/>
  <c r="S1208" i="5"/>
  <c r="I1208" i="5"/>
  <c r="AD1207" i="5"/>
  <c r="Z1207" i="5"/>
  <c r="C1207" i="5" s="1"/>
  <c r="Y1207" i="5"/>
  <c r="X1207" i="5"/>
  <c r="F1207" i="5" s="1"/>
  <c r="V1207" i="5"/>
  <c r="T1207" i="5"/>
  <c r="G1207" i="5" s="1"/>
  <c r="S1207" i="5"/>
  <c r="I1207" i="5"/>
  <c r="AD1206" i="5"/>
  <c r="Z1206" i="5"/>
  <c r="C1206" i="5" s="1"/>
  <c r="Y1206" i="5"/>
  <c r="X1206" i="5"/>
  <c r="F1206" i="5" s="1"/>
  <c r="V1206" i="5"/>
  <c r="T1206" i="5"/>
  <c r="G1206" i="5" s="1"/>
  <c r="S1206" i="5"/>
  <c r="I1206" i="5"/>
  <c r="AD1205" i="5"/>
  <c r="Z1205" i="5"/>
  <c r="C1205" i="5" s="1"/>
  <c r="Y1205" i="5"/>
  <c r="X1205" i="5"/>
  <c r="F1205" i="5" s="1"/>
  <c r="V1205" i="5"/>
  <c r="T1205" i="5"/>
  <c r="G1205" i="5" s="1"/>
  <c r="S1205" i="5"/>
  <c r="I1205" i="5"/>
  <c r="AD1204" i="5"/>
  <c r="Z1204" i="5"/>
  <c r="C1204" i="5" s="1"/>
  <c r="Y1204" i="5"/>
  <c r="X1204" i="5"/>
  <c r="V1204" i="5"/>
  <c r="T1204" i="5"/>
  <c r="G1204" i="5" s="1"/>
  <c r="S1204" i="5"/>
  <c r="I1204" i="5"/>
  <c r="AD1203" i="5"/>
  <c r="Z1203" i="5"/>
  <c r="C1203" i="5" s="1"/>
  <c r="Y1203" i="5"/>
  <c r="X1203" i="5"/>
  <c r="V1203" i="5"/>
  <c r="T1203" i="5"/>
  <c r="G1203" i="5" s="1"/>
  <c r="S1203" i="5"/>
  <c r="I1203" i="5"/>
  <c r="AD1201" i="5"/>
  <c r="Z1201" i="5"/>
  <c r="C1201" i="5" s="1"/>
  <c r="Y1201" i="5"/>
  <c r="X1201" i="5"/>
  <c r="F1201" i="5" s="1"/>
  <c r="V1201" i="5"/>
  <c r="T1201" i="5"/>
  <c r="G1201" i="5" s="1"/>
  <c r="S1201" i="5"/>
  <c r="I1201" i="5"/>
  <c r="AD1199" i="5"/>
  <c r="Z1199" i="5"/>
  <c r="C1199" i="5" s="1"/>
  <c r="Y1199" i="5"/>
  <c r="X1199" i="5"/>
  <c r="F1199" i="5" s="1"/>
  <c r="V1199" i="5"/>
  <c r="T1199" i="5"/>
  <c r="G1199" i="5" s="1"/>
  <c r="S1199" i="5"/>
  <c r="I1199" i="5"/>
  <c r="AD716" i="5"/>
  <c r="Z716" i="5"/>
  <c r="C716" i="5" s="1"/>
  <c r="Y716" i="5"/>
  <c r="X716" i="5"/>
  <c r="F716" i="5" s="1"/>
  <c r="V716" i="5"/>
  <c r="T716" i="5"/>
  <c r="G716" i="5" s="1"/>
  <c r="S716" i="5"/>
  <c r="I716" i="5"/>
  <c r="AD715" i="5"/>
  <c r="Z715" i="5"/>
  <c r="C715" i="5" s="1"/>
  <c r="Y715" i="5"/>
  <c r="X715" i="5"/>
  <c r="F715" i="5" s="1"/>
  <c r="V715" i="5"/>
  <c r="T715" i="5"/>
  <c r="G715" i="5" s="1"/>
  <c r="S715" i="5"/>
  <c r="I715" i="5"/>
  <c r="AD712" i="5"/>
  <c r="Z712" i="5"/>
  <c r="C712" i="5" s="1"/>
  <c r="Y712" i="5"/>
  <c r="X712" i="5"/>
  <c r="V712" i="5"/>
  <c r="T712" i="5"/>
  <c r="G712" i="5" s="1"/>
  <c r="S712" i="5"/>
  <c r="I712" i="5"/>
  <c r="AD711" i="5"/>
  <c r="Z711" i="5"/>
  <c r="C711" i="5" s="1"/>
  <c r="Y711" i="5"/>
  <c r="X711" i="5"/>
  <c r="F711" i="5" s="1"/>
  <c r="V711" i="5"/>
  <c r="T711" i="5"/>
  <c r="G711" i="5" s="1"/>
  <c r="S711" i="5"/>
  <c r="I711" i="5"/>
  <c r="AD708" i="5"/>
  <c r="Z708" i="5"/>
  <c r="C708" i="5" s="1"/>
  <c r="Y708" i="5"/>
  <c r="X708" i="5"/>
  <c r="F708" i="5" s="1"/>
  <c r="V708" i="5"/>
  <c r="T708" i="5"/>
  <c r="G708" i="5" s="1"/>
  <c r="S708" i="5"/>
  <c r="I708" i="5"/>
  <c r="AD707" i="5"/>
  <c r="Z707" i="5"/>
  <c r="C707" i="5" s="1"/>
  <c r="Y707" i="5"/>
  <c r="X707" i="5"/>
  <c r="F707" i="5" s="1"/>
  <c r="V707" i="5"/>
  <c r="T707" i="5"/>
  <c r="G707" i="5" s="1"/>
  <c r="S707" i="5"/>
  <c r="I707" i="5"/>
  <c r="AD706" i="5"/>
  <c r="Z706" i="5"/>
  <c r="C706" i="5" s="1"/>
  <c r="Y706" i="5"/>
  <c r="X706" i="5"/>
  <c r="F706" i="5" s="1"/>
  <c r="V706" i="5"/>
  <c r="T706" i="5"/>
  <c r="G706" i="5" s="1"/>
  <c r="S706" i="5"/>
  <c r="I706" i="5"/>
  <c r="AD705" i="5"/>
  <c r="Z705" i="5"/>
  <c r="C705" i="5" s="1"/>
  <c r="Y705" i="5"/>
  <c r="X705" i="5"/>
  <c r="V705" i="5"/>
  <c r="T705" i="5"/>
  <c r="G705" i="5" s="1"/>
  <c r="S705" i="5"/>
  <c r="I705" i="5"/>
  <c r="AD704" i="5"/>
  <c r="Z704" i="5"/>
  <c r="C704" i="5" s="1"/>
  <c r="Y704" i="5"/>
  <c r="X704" i="5"/>
  <c r="F704" i="5" s="1"/>
  <c r="V704" i="5"/>
  <c r="T704" i="5"/>
  <c r="G704" i="5" s="1"/>
  <c r="S704" i="5"/>
  <c r="I704" i="5"/>
  <c r="AD700" i="5"/>
  <c r="Z700" i="5"/>
  <c r="C700" i="5" s="1"/>
  <c r="Y700" i="5"/>
  <c r="X700" i="5"/>
  <c r="V700" i="5"/>
  <c r="T700" i="5"/>
  <c r="G700" i="5" s="1"/>
  <c r="S700" i="5"/>
  <c r="I700" i="5"/>
  <c r="AD1176" i="5"/>
  <c r="Z1176" i="5"/>
  <c r="C1176" i="5" s="1"/>
  <c r="Y1176" i="5"/>
  <c r="X1176" i="5"/>
  <c r="F1176" i="5" s="1"/>
  <c r="V1176" i="5"/>
  <c r="T1176" i="5"/>
  <c r="G1176" i="5" s="1"/>
  <c r="S1176" i="5"/>
  <c r="I1176" i="5"/>
  <c r="AD1175" i="5"/>
  <c r="Z1175" i="5"/>
  <c r="C1175" i="5" s="1"/>
  <c r="Y1175" i="5"/>
  <c r="X1175" i="5"/>
  <c r="V1175" i="5"/>
  <c r="T1175" i="5"/>
  <c r="G1175" i="5" s="1"/>
  <c r="S1175" i="5"/>
  <c r="I1175" i="5"/>
  <c r="AD1174" i="5"/>
  <c r="Z1174" i="5"/>
  <c r="C1174" i="5" s="1"/>
  <c r="Y1174" i="5"/>
  <c r="X1174" i="5"/>
  <c r="F1174" i="5" s="1"/>
  <c r="V1174" i="5"/>
  <c r="T1174" i="5"/>
  <c r="G1174" i="5" s="1"/>
  <c r="S1174" i="5"/>
  <c r="I1174" i="5"/>
  <c r="AD1173" i="5"/>
  <c r="Z1173" i="5"/>
  <c r="C1173" i="5" s="1"/>
  <c r="Y1173" i="5"/>
  <c r="X1173" i="5"/>
  <c r="V1173" i="5"/>
  <c r="T1173" i="5"/>
  <c r="G1173" i="5" s="1"/>
  <c r="S1173" i="5"/>
  <c r="I1173" i="5"/>
  <c r="AD1172" i="5"/>
  <c r="Z1172" i="5"/>
  <c r="C1172" i="5" s="1"/>
  <c r="Y1172" i="5"/>
  <c r="X1172" i="5"/>
  <c r="F1172" i="5" s="1"/>
  <c r="V1172" i="5"/>
  <c r="T1172" i="5"/>
  <c r="G1172" i="5" s="1"/>
  <c r="S1172" i="5"/>
  <c r="I1172" i="5"/>
  <c r="AD1171" i="5"/>
  <c r="Z1171" i="5"/>
  <c r="C1171" i="5" s="1"/>
  <c r="Y1171" i="5"/>
  <c r="X1171" i="5"/>
  <c r="V1171" i="5"/>
  <c r="T1171" i="5"/>
  <c r="G1171" i="5" s="1"/>
  <c r="S1171" i="5"/>
  <c r="I1171" i="5"/>
  <c r="AD1170" i="5"/>
  <c r="Z1170" i="5"/>
  <c r="C1170" i="5" s="1"/>
  <c r="Y1170" i="5"/>
  <c r="X1170" i="5"/>
  <c r="F1170" i="5" s="1"/>
  <c r="V1170" i="5"/>
  <c r="T1170" i="5"/>
  <c r="G1170" i="5" s="1"/>
  <c r="S1170" i="5"/>
  <c r="I1170" i="5"/>
  <c r="AD684" i="5"/>
  <c r="Z684" i="5"/>
  <c r="C684" i="5" s="1"/>
  <c r="Y684" i="5"/>
  <c r="X684" i="5"/>
  <c r="V684" i="5"/>
  <c r="T684" i="5"/>
  <c r="G684" i="5" s="1"/>
  <c r="S684" i="5"/>
  <c r="I684" i="5"/>
  <c r="AD683" i="5"/>
  <c r="Z683" i="5"/>
  <c r="C683" i="5" s="1"/>
  <c r="Y683" i="5"/>
  <c r="X683" i="5"/>
  <c r="F683" i="5" s="1"/>
  <c r="V683" i="5"/>
  <c r="T683" i="5"/>
  <c r="G683" i="5" s="1"/>
  <c r="S683" i="5"/>
  <c r="I683" i="5"/>
  <c r="AD682" i="5"/>
  <c r="Z682" i="5"/>
  <c r="C682" i="5" s="1"/>
  <c r="Y682" i="5"/>
  <c r="X682" i="5"/>
  <c r="V682" i="5"/>
  <c r="T682" i="5"/>
  <c r="G682" i="5" s="1"/>
  <c r="S682" i="5"/>
  <c r="I682" i="5"/>
  <c r="AD681" i="5"/>
  <c r="Z681" i="5"/>
  <c r="C681" i="5" s="1"/>
  <c r="Y681" i="5"/>
  <c r="X681" i="5"/>
  <c r="F681" i="5" s="1"/>
  <c r="V681" i="5"/>
  <c r="T681" i="5"/>
  <c r="G681" i="5" s="1"/>
  <c r="S681" i="5"/>
  <c r="I681" i="5"/>
  <c r="AD680" i="5"/>
  <c r="Z680" i="5"/>
  <c r="C680" i="5" s="1"/>
  <c r="Y680" i="5"/>
  <c r="X680" i="5"/>
  <c r="F680" i="5" s="1"/>
  <c r="V680" i="5"/>
  <c r="T680" i="5"/>
  <c r="G680" i="5" s="1"/>
  <c r="S680" i="5"/>
  <c r="I680" i="5"/>
  <c r="AD679" i="5"/>
  <c r="Z679" i="5"/>
  <c r="C679" i="5" s="1"/>
  <c r="Y679" i="5"/>
  <c r="X679" i="5"/>
  <c r="F679" i="5" s="1"/>
  <c r="V679" i="5"/>
  <c r="T679" i="5"/>
  <c r="G679" i="5" s="1"/>
  <c r="S679" i="5"/>
  <c r="I679" i="5"/>
  <c r="AD678" i="5"/>
  <c r="Z678" i="5"/>
  <c r="C678" i="5" s="1"/>
  <c r="Y678" i="5"/>
  <c r="X678" i="5"/>
  <c r="V678" i="5"/>
  <c r="T678" i="5"/>
  <c r="G678" i="5" s="1"/>
  <c r="S678" i="5"/>
  <c r="I678" i="5"/>
  <c r="AD1136" i="5"/>
  <c r="Z1136" i="5"/>
  <c r="C1136" i="5" s="1"/>
  <c r="Y1136" i="5"/>
  <c r="X1136" i="5"/>
  <c r="F1136" i="5" s="1"/>
  <c r="V1136" i="5"/>
  <c r="T1136" i="5"/>
  <c r="G1136" i="5" s="1"/>
  <c r="S1136" i="5"/>
  <c r="I1136" i="5"/>
  <c r="AD1135" i="5"/>
  <c r="Z1135" i="5"/>
  <c r="C1135" i="5" s="1"/>
  <c r="Y1135" i="5"/>
  <c r="X1135" i="5"/>
  <c r="F1135" i="5" s="1"/>
  <c r="V1135" i="5"/>
  <c r="T1135" i="5"/>
  <c r="G1135" i="5" s="1"/>
  <c r="S1135" i="5"/>
  <c r="I1135" i="5"/>
  <c r="AD1134" i="5"/>
  <c r="Z1134" i="5"/>
  <c r="C1134" i="5" s="1"/>
  <c r="Y1134" i="5"/>
  <c r="X1134" i="5"/>
  <c r="V1134" i="5"/>
  <c r="T1134" i="5"/>
  <c r="G1134" i="5" s="1"/>
  <c r="S1134" i="5"/>
  <c r="I1134" i="5"/>
  <c r="AD1133" i="5"/>
  <c r="Z1133" i="5"/>
  <c r="C1133" i="5" s="1"/>
  <c r="Y1133" i="5"/>
  <c r="X1133" i="5"/>
  <c r="F1133" i="5" s="1"/>
  <c r="V1133" i="5"/>
  <c r="T1133" i="5"/>
  <c r="G1133" i="5" s="1"/>
  <c r="S1133" i="5"/>
  <c r="I1133" i="5"/>
  <c r="AD1132" i="5"/>
  <c r="Z1132" i="5"/>
  <c r="C1132" i="5" s="1"/>
  <c r="Y1132" i="5"/>
  <c r="X1132" i="5"/>
  <c r="F1132" i="5" s="1"/>
  <c r="V1132" i="5"/>
  <c r="T1132" i="5"/>
  <c r="G1132" i="5" s="1"/>
  <c r="S1132" i="5"/>
  <c r="I1132" i="5"/>
  <c r="AD1131" i="5"/>
  <c r="Z1131" i="5"/>
  <c r="C1131" i="5" s="1"/>
  <c r="Y1131" i="5"/>
  <c r="X1131" i="5"/>
  <c r="F1131" i="5" s="1"/>
  <c r="V1131" i="5"/>
  <c r="T1131" i="5"/>
  <c r="G1131" i="5" s="1"/>
  <c r="S1131" i="5"/>
  <c r="I1131" i="5"/>
  <c r="AD1130" i="5"/>
  <c r="Z1130" i="5"/>
  <c r="C1130" i="5" s="1"/>
  <c r="Y1130" i="5"/>
  <c r="X1130" i="5"/>
  <c r="F1130" i="5" s="1"/>
  <c r="V1130" i="5"/>
  <c r="T1130" i="5"/>
  <c r="G1130" i="5" s="1"/>
  <c r="S1130" i="5"/>
  <c r="I1130" i="5"/>
  <c r="AD1129" i="5"/>
  <c r="Z1129" i="5"/>
  <c r="C1129" i="5" s="1"/>
  <c r="Y1129" i="5"/>
  <c r="X1129" i="5"/>
  <c r="V1129" i="5"/>
  <c r="T1129" i="5"/>
  <c r="G1129" i="5" s="1"/>
  <c r="S1129" i="5"/>
  <c r="I1129" i="5"/>
  <c r="AD1128" i="5"/>
  <c r="Z1128" i="5"/>
  <c r="C1128" i="5" s="1"/>
  <c r="Y1128" i="5"/>
  <c r="X1128" i="5"/>
  <c r="V1128" i="5"/>
  <c r="T1128" i="5"/>
  <c r="G1128" i="5" s="1"/>
  <c r="S1128" i="5"/>
  <c r="I1128" i="5"/>
  <c r="AD1127" i="5"/>
  <c r="Z1127" i="5"/>
  <c r="C1127" i="5" s="1"/>
  <c r="Y1127" i="5"/>
  <c r="X1127" i="5"/>
  <c r="F1127" i="5" s="1"/>
  <c r="V1127" i="5"/>
  <c r="T1127" i="5"/>
  <c r="G1127" i="5" s="1"/>
  <c r="S1127" i="5"/>
  <c r="I1127" i="5"/>
  <c r="AD1126" i="5"/>
  <c r="Z1126" i="5"/>
  <c r="C1126" i="5" s="1"/>
  <c r="Y1126" i="5"/>
  <c r="X1126" i="5"/>
  <c r="V1126" i="5"/>
  <c r="T1126" i="5"/>
  <c r="G1126" i="5" s="1"/>
  <c r="S1126" i="5"/>
  <c r="I1126" i="5"/>
  <c r="AD1125" i="5"/>
  <c r="Z1125" i="5"/>
  <c r="C1125" i="5" s="1"/>
  <c r="Y1125" i="5"/>
  <c r="X1125" i="5"/>
  <c r="F1125" i="5" s="1"/>
  <c r="V1125" i="5"/>
  <c r="T1125" i="5"/>
  <c r="G1125" i="5" s="1"/>
  <c r="S1125" i="5"/>
  <c r="I1125" i="5"/>
  <c r="AD1124" i="5"/>
  <c r="Z1124" i="5"/>
  <c r="C1124" i="5" s="1"/>
  <c r="Y1124" i="5"/>
  <c r="X1124" i="5"/>
  <c r="V1124" i="5"/>
  <c r="T1124" i="5"/>
  <c r="G1124" i="5" s="1"/>
  <c r="S1124" i="5"/>
  <c r="I1124" i="5"/>
  <c r="AD1123" i="5"/>
  <c r="Z1123" i="5"/>
  <c r="C1123" i="5" s="1"/>
  <c r="Y1123" i="5"/>
  <c r="X1123" i="5"/>
  <c r="F1123" i="5" s="1"/>
  <c r="V1123" i="5"/>
  <c r="T1123" i="5"/>
  <c r="G1123" i="5" s="1"/>
  <c r="S1123" i="5"/>
  <c r="I1123" i="5"/>
  <c r="AD1122" i="5"/>
  <c r="Z1122" i="5"/>
  <c r="C1122" i="5" s="1"/>
  <c r="Y1122" i="5"/>
  <c r="X1122" i="5"/>
  <c r="F1122" i="5" s="1"/>
  <c r="V1122" i="5"/>
  <c r="T1122" i="5"/>
  <c r="G1122" i="5" s="1"/>
  <c r="S1122" i="5"/>
  <c r="I1122" i="5"/>
  <c r="AD1121" i="5"/>
  <c r="Z1121" i="5"/>
  <c r="C1121" i="5" s="1"/>
  <c r="Y1121" i="5"/>
  <c r="X1121" i="5"/>
  <c r="V1121" i="5"/>
  <c r="T1121" i="5"/>
  <c r="G1121" i="5" s="1"/>
  <c r="S1121" i="5"/>
  <c r="I1121" i="5"/>
  <c r="AD676" i="5"/>
  <c r="Z676" i="5"/>
  <c r="C676" i="5" s="1"/>
  <c r="Y676" i="5"/>
  <c r="X676" i="5"/>
  <c r="F676" i="5" s="1"/>
  <c r="V676" i="5"/>
  <c r="T676" i="5"/>
  <c r="G676" i="5" s="1"/>
  <c r="S676" i="5"/>
  <c r="I676" i="5"/>
  <c r="AD675" i="5"/>
  <c r="Z675" i="5"/>
  <c r="C675" i="5" s="1"/>
  <c r="Y675" i="5"/>
  <c r="X675" i="5"/>
  <c r="V675" i="5"/>
  <c r="T675" i="5"/>
  <c r="G675" i="5" s="1"/>
  <c r="S675" i="5"/>
  <c r="I675" i="5"/>
  <c r="AD674" i="5"/>
  <c r="Z674" i="5"/>
  <c r="C674" i="5" s="1"/>
  <c r="Y674" i="5"/>
  <c r="X674" i="5"/>
  <c r="F674" i="5" s="1"/>
  <c r="V674" i="5"/>
  <c r="T674" i="5"/>
  <c r="G674" i="5" s="1"/>
  <c r="S674" i="5"/>
  <c r="I674" i="5"/>
  <c r="AD673" i="5"/>
  <c r="Z673" i="5"/>
  <c r="C673" i="5" s="1"/>
  <c r="Y673" i="5"/>
  <c r="X673" i="5"/>
  <c r="F673" i="5" s="1"/>
  <c r="V673" i="5"/>
  <c r="T673" i="5"/>
  <c r="G673" i="5" s="1"/>
  <c r="S673" i="5"/>
  <c r="I673" i="5"/>
  <c r="AD672" i="5"/>
  <c r="Z672" i="5"/>
  <c r="C672" i="5" s="1"/>
  <c r="Y672" i="5"/>
  <c r="X672" i="5"/>
  <c r="V672" i="5"/>
  <c r="T672" i="5"/>
  <c r="G672" i="5" s="1"/>
  <c r="S672" i="5"/>
  <c r="I672" i="5"/>
  <c r="AD671" i="5"/>
  <c r="Z671" i="5"/>
  <c r="C671" i="5" s="1"/>
  <c r="Y671" i="5"/>
  <c r="X671" i="5"/>
  <c r="F671" i="5" s="1"/>
  <c r="V671" i="5"/>
  <c r="T671" i="5"/>
  <c r="G671" i="5" s="1"/>
  <c r="S671" i="5"/>
  <c r="I671" i="5"/>
  <c r="AD670" i="5"/>
  <c r="Z670" i="5"/>
  <c r="C670" i="5" s="1"/>
  <c r="Y670" i="5"/>
  <c r="X670" i="5"/>
  <c r="V670" i="5"/>
  <c r="T670" i="5"/>
  <c r="G670" i="5" s="1"/>
  <c r="S670" i="5"/>
  <c r="I670" i="5"/>
  <c r="AD669" i="5"/>
  <c r="Z669" i="5"/>
  <c r="C669" i="5" s="1"/>
  <c r="Y669" i="5"/>
  <c r="X669" i="5"/>
  <c r="F669" i="5" s="1"/>
  <c r="V669" i="5"/>
  <c r="T669" i="5"/>
  <c r="G669" i="5" s="1"/>
  <c r="S669" i="5"/>
  <c r="I669" i="5"/>
  <c r="AD668" i="5"/>
  <c r="Z668" i="5"/>
  <c r="C668" i="5" s="1"/>
  <c r="Y668" i="5"/>
  <c r="X668" i="5"/>
  <c r="F668" i="5" s="1"/>
  <c r="V668" i="5"/>
  <c r="T668" i="5"/>
  <c r="G668" i="5" s="1"/>
  <c r="S668" i="5"/>
  <c r="I668" i="5"/>
  <c r="AD667" i="5"/>
  <c r="Z667" i="5"/>
  <c r="C667" i="5" s="1"/>
  <c r="Y667" i="5"/>
  <c r="X667" i="5"/>
  <c r="V667" i="5"/>
  <c r="T667" i="5"/>
  <c r="G667" i="5" s="1"/>
  <c r="S667" i="5"/>
  <c r="I667" i="5"/>
  <c r="AD666" i="5"/>
  <c r="Z666" i="5"/>
  <c r="C666" i="5" s="1"/>
  <c r="Y666" i="5"/>
  <c r="X666" i="5"/>
  <c r="F666" i="5" s="1"/>
  <c r="V666" i="5"/>
  <c r="T666" i="5"/>
  <c r="G666" i="5" s="1"/>
  <c r="S666" i="5"/>
  <c r="I666" i="5"/>
  <c r="AD665" i="5"/>
  <c r="Z665" i="5"/>
  <c r="C665" i="5" s="1"/>
  <c r="Y665" i="5"/>
  <c r="X665" i="5"/>
  <c r="V665" i="5"/>
  <c r="T665" i="5"/>
  <c r="G665" i="5" s="1"/>
  <c r="S665" i="5"/>
  <c r="I665" i="5"/>
  <c r="AD664" i="5"/>
  <c r="Z664" i="5"/>
  <c r="C664" i="5" s="1"/>
  <c r="Y664" i="5"/>
  <c r="X664" i="5"/>
  <c r="F664" i="5" s="1"/>
  <c r="V664" i="5"/>
  <c r="T664" i="5"/>
  <c r="G664" i="5" s="1"/>
  <c r="S664" i="5"/>
  <c r="I664" i="5"/>
  <c r="AD663" i="5"/>
  <c r="Z663" i="5"/>
  <c r="C663" i="5" s="1"/>
  <c r="Y663" i="5"/>
  <c r="X663" i="5"/>
  <c r="F663" i="5" s="1"/>
  <c r="V663" i="5"/>
  <c r="T663" i="5"/>
  <c r="G663" i="5" s="1"/>
  <c r="S663" i="5"/>
  <c r="I663" i="5"/>
  <c r="AD662" i="5"/>
  <c r="Z662" i="5"/>
  <c r="C662" i="5" s="1"/>
  <c r="Y662" i="5"/>
  <c r="X662" i="5"/>
  <c r="V662" i="5"/>
  <c r="T662" i="5"/>
  <c r="G662" i="5" s="1"/>
  <c r="S662" i="5"/>
  <c r="I662" i="5"/>
  <c r="AD1105" i="5"/>
  <c r="Z1105" i="5"/>
  <c r="C1105" i="5" s="1"/>
  <c r="Y1105" i="5"/>
  <c r="X1105" i="5"/>
  <c r="F1105" i="5" s="1"/>
  <c r="V1105" i="5"/>
  <c r="T1105" i="5"/>
  <c r="G1105" i="5" s="1"/>
  <c r="S1105" i="5"/>
  <c r="I1105" i="5"/>
  <c r="AD1104" i="5"/>
  <c r="Z1104" i="5"/>
  <c r="C1104" i="5" s="1"/>
  <c r="Y1104" i="5"/>
  <c r="X1104" i="5"/>
  <c r="V1104" i="5"/>
  <c r="T1104" i="5"/>
  <c r="G1104" i="5" s="1"/>
  <c r="S1104" i="5"/>
  <c r="I1104" i="5"/>
  <c r="AD1103" i="5"/>
  <c r="Z1103" i="5"/>
  <c r="C1103" i="5" s="1"/>
  <c r="Y1103" i="5"/>
  <c r="X1103" i="5"/>
  <c r="F1103" i="5" s="1"/>
  <c r="V1103" i="5"/>
  <c r="T1103" i="5"/>
  <c r="G1103" i="5" s="1"/>
  <c r="S1103" i="5"/>
  <c r="I1103" i="5"/>
  <c r="AD1102" i="5"/>
  <c r="Z1102" i="5"/>
  <c r="C1102" i="5" s="1"/>
  <c r="Y1102" i="5"/>
  <c r="X1102" i="5"/>
  <c r="F1102" i="5" s="1"/>
  <c r="V1102" i="5"/>
  <c r="T1102" i="5"/>
  <c r="G1102" i="5" s="1"/>
  <c r="S1102" i="5"/>
  <c r="I1102" i="5"/>
  <c r="AD1101" i="5"/>
  <c r="Z1101" i="5"/>
  <c r="C1101" i="5" s="1"/>
  <c r="Y1101" i="5"/>
  <c r="X1101" i="5"/>
  <c r="V1101" i="5"/>
  <c r="T1101" i="5"/>
  <c r="G1101" i="5" s="1"/>
  <c r="S1101" i="5"/>
  <c r="I1101" i="5"/>
  <c r="AD1100" i="5"/>
  <c r="Z1100" i="5"/>
  <c r="C1100" i="5" s="1"/>
  <c r="Y1100" i="5"/>
  <c r="X1100" i="5"/>
  <c r="F1100" i="5" s="1"/>
  <c r="V1100" i="5"/>
  <c r="T1100" i="5"/>
  <c r="G1100" i="5" s="1"/>
  <c r="S1100" i="5"/>
  <c r="I1100" i="5"/>
  <c r="AD1099" i="5"/>
  <c r="Z1099" i="5"/>
  <c r="C1099" i="5" s="1"/>
  <c r="Y1099" i="5"/>
  <c r="X1099" i="5"/>
  <c r="V1099" i="5"/>
  <c r="T1099" i="5"/>
  <c r="G1099" i="5" s="1"/>
  <c r="S1099" i="5"/>
  <c r="I1099" i="5"/>
  <c r="AD1098" i="5"/>
  <c r="Z1098" i="5"/>
  <c r="C1098" i="5" s="1"/>
  <c r="Y1098" i="5"/>
  <c r="X1098" i="5"/>
  <c r="F1098" i="5" s="1"/>
  <c r="V1098" i="5"/>
  <c r="T1098" i="5"/>
  <c r="G1098" i="5" s="1"/>
  <c r="S1098" i="5"/>
  <c r="I1098" i="5"/>
  <c r="AD1097" i="5"/>
  <c r="Z1097" i="5"/>
  <c r="C1097" i="5" s="1"/>
  <c r="Y1097" i="5"/>
  <c r="X1097" i="5"/>
  <c r="F1097" i="5" s="1"/>
  <c r="V1097" i="5"/>
  <c r="T1097" i="5"/>
  <c r="G1097" i="5" s="1"/>
  <c r="S1097" i="5"/>
  <c r="I1097" i="5"/>
  <c r="AD644" i="5"/>
  <c r="Z644" i="5"/>
  <c r="C644" i="5" s="1"/>
  <c r="Y644" i="5"/>
  <c r="X644" i="5"/>
  <c r="V644" i="5"/>
  <c r="T644" i="5"/>
  <c r="G644" i="5" s="1"/>
  <c r="S644" i="5"/>
  <c r="I644" i="5"/>
  <c r="AD643" i="5"/>
  <c r="Z643" i="5"/>
  <c r="C643" i="5" s="1"/>
  <c r="Y643" i="5"/>
  <c r="X643" i="5"/>
  <c r="F643" i="5" s="1"/>
  <c r="V643" i="5"/>
  <c r="T643" i="5"/>
  <c r="G643" i="5" s="1"/>
  <c r="S643" i="5"/>
  <c r="I643" i="5"/>
  <c r="AD642" i="5"/>
  <c r="Z642" i="5"/>
  <c r="C642" i="5" s="1"/>
  <c r="Y642" i="5"/>
  <c r="X642" i="5"/>
  <c r="V642" i="5"/>
  <c r="T642" i="5"/>
  <c r="G642" i="5" s="1"/>
  <c r="S642" i="5"/>
  <c r="I642" i="5"/>
  <c r="AD641" i="5"/>
  <c r="Z641" i="5"/>
  <c r="C641" i="5" s="1"/>
  <c r="Y641" i="5"/>
  <c r="X641" i="5"/>
  <c r="F641" i="5" s="1"/>
  <c r="V641" i="5"/>
  <c r="T641" i="5"/>
  <c r="G641" i="5" s="1"/>
  <c r="S641" i="5"/>
  <c r="I641" i="5"/>
  <c r="AD640" i="5"/>
  <c r="Z640" i="5"/>
  <c r="C640" i="5" s="1"/>
  <c r="Y640" i="5"/>
  <c r="X640" i="5"/>
  <c r="F640" i="5" s="1"/>
  <c r="V640" i="5"/>
  <c r="T640" i="5"/>
  <c r="G640" i="5" s="1"/>
  <c r="S640" i="5"/>
  <c r="I640" i="5"/>
  <c r="AD639" i="5"/>
  <c r="Z639" i="5"/>
  <c r="C639" i="5" s="1"/>
  <c r="Y639" i="5"/>
  <c r="X639" i="5"/>
  <c r="V639" i="5"/>
  <c r="T639" i="5"/>
  <c r="G639" i="5" s="1"/>
  <c r="S639" i="5"/>
  <c r="I639" i="5"/>
  <c r="AD638" i="5"/>
  <c r="Z638" i="5"/>
  <c r="C638" i="5" s="1"/>
  <c r="Y638" i="5"/>
  <c r="X638" i="5"/>
  <c r="F638" i="5" s="1"/>
  <c r="V638" i="5"/>
  <c r="T638" i="5"/>
  <c r="G638" i="5" s="1"/>
  <c r="S638" i="5"/>
  <c r="I638" i="5"/>
  <c r="AD637" i="5"/>
  <c r="Z637" i="5"/>
  <c r="C637" i="5" s="1"/>
  <c r="Y637" i="5"/>
  <c r="X637" i="5"/>
  <c r="V637" i="5"/>
  <c r="T637" i="5"/>
  <c r="G637" i="5" s="1"/>
  <c r="S637" i="5"/>
  <c r="I637" i="5"/>
  <c r="AD636" i="5"/>
  <c r="Z636" i="5"/>
  <c r="C636" i="5" s="1"/>
  <c r="Y636" i="5"/>
  <c r="X636" i="5"/>
  <c r="F636" i="5" s="1"/>
  <c r="V636" i="5"/>
  <c r="T636" i="5"/>
  <c r="G636" i="5" s="1"/>
  <c r="S636" i="5"/>
  <c r="I636" i="5"/>
  <c r="AD635" i="5"/>
  <c r="Z635" i="5"/>
  <c r="C635" i="5" s="1"/>
  <c r="Y635" i="5"/>
  <c r="X635" i="5"/>
  <c r="F635" i="5" s="1"/>
  <c r="V635" i="5"/>
  <c r="T635" i="5"/>
  <c r="G635" i="5" s="1"/>
  <c r="S635" i="5"/>
  <c r="I635" i="5"/>
  <c r="AD634" i="5"/>
  <c r="Z634" i="5"/>
  <c r="C634" i="5" s="1"/>
  <c r="Y634" i="5"/>
  <c r="X634" i="5"/>
  <c r="V634" i="5"/>
  <c r="T634" i="5"/>
  <c r="G634" i="5" s="1"/>
  <c r="S634" i="5"/>
  <c r="I634" i="5"/>
  <c r="AD633" i="5"/>
  <c r="Z633" i="5"/>
  <c r="C633" i="5" s="1"/>
  <c r="Y633" i="5"/>
  <c r="X633" i="5"/>
  <c r="F633" i="5" s="1"/>
  <c r="V633" i="5"/>
  <c r="T633" i="5"/>
  <c r="G633" i="5" s="1"/>
  <c r="S633" i="5"/>
  <c r="I633" i="5"/>
  <c r="AD627" i="5"/>
  <c r="Z627" i="5"/>
  <c r="C627" i="5" s="1"/>
  <c r="Y627" i="5"/>
  <c r="X627" i="5"/>
  <c r="V627" i="5"/>
  <c r="T627" i="5"/>
  <c r="G627" i="5" s="1"/>
  <c r="S627" i="5"/>
  <c r="I627" i="5"/>
  <c r="AD626" i="5"/>
  <c r="Z626" i="5"/>
  <c r="C626" i="5" s="1"/>
  <c r="Y626" i="5"/>
  <c r="X626" i="5"/>
  <c r="F626" i="5" s="1"/>
  <c r="V626" i="5"/>
  <c r="T626" i="5"/>
  <c r="G626" i="5" s="1"/>
  <c r="S626" i="5"/>
  <c r="I626" i="5"/>
  <c r="AD625" i="5"/>
  <c r="Z625" i="5"/>
  <c r="C625" i="5" s="1"/>
  <c r="Y625" i="5"/>
  <c r="X625" i="5"/>
  <c r="F625" i="5" s="1"/>
  <c r="V625" i="5"/>
  <c r="T625" i="5"/>
  <c r="G625" i="5" s="1"/>
  <c r="S625" i="5"/>
  <c r="I625" i="5"/>
  <c r="AD1222" i="5"/>
  <c r="Z1222" i="5"/>
  <c r="C1222" i="5" s="1"/>
  <c r="Y1222" i="5"/>
  <c r="X1222" i="5"/>
  <c r="V1222" i="5"/>
  <c r="T1222" i="5"/>
  <c r="G1222" i="5" s="1"/>
  <c r="S1222" i="5"/>
  <c r="I1222" i="5"/>
  <c r="AD1221" i="5"/>
  <c r="Z1221" i="5"/>
  <c r="C1221" i="5" s="1"/>
  <c r="Y1221" i="5"/>
  <c r="X1221" i="5"/>
  <c r="F1221" i="5" s="1"/>
  <c r="V1221" i="5"/>
  <c r="T1221" i="5"/>
  <c r="G1221" i="5" s="1"/>
  <c r="S1221" i="5"/>
  <c r="I1221" i="5"/>
  <c r="AD1220" i="5"/>
  <c r="Z1220" i="5"/>
  <c r="C1220" i="5" s="1"/>
  <c r="Y1220" i="5"/>
  <c r="X1220" i="5"/>
  <c r="V1220" i="5"/>
  <c r="T1220" i="5"/>
  <c r="G1220" i="5" s="1"/>
  <c r="S1220" i="5"/>
  <c r="I1220" i="5"/>
  <c r="AD1192" i="5"/>
  <c r="Z1192" i="5"/>
  <c r="C1192" i="5" s="1"/>
  <c r="Y1192" i="5"/>
  <c r="X1192" i="5"/>
  <c r="F1192" i="5" s="1"/>
  <c r="V1192" i="5"/>
  <c r="T1192" i="5"/>
  <c r="G1192" i="5" s="1"/>
  <c r="S1192" i="5"/>
  <c r="I1192" i="5"/>
  <c r="AD1191" i="5"/>
  <c r="Z1191" i="5"/>
  <c r="C1191" i="5" s="1"/>
  <c r="Y1191" i="5"/>
  <c r="X1191" i="5"/>
  <c r="F1191" i="5" s="1"/>
  <c r="V1191" i="5"/>
  <c r="T1191" i="5"/>
  <c r="G1191" i="5" s="1"/>
  <c r="S1191" i="5"/>
  <c r="I1191" i="5"/>
  <c r="AD1190" i="5"/>
  <c r="Z1190" i="5"/>
  <c r="C1190" i="5" s="1"/>
  <c r="Y1190" i="5"/>
  <c r="X1190" i="5"/>
  <c r="V1190" i="5"/>
  <c r="T1190" i="5"/>
  <c r="G1190" i="5" s="1"/>
  <c r="S1190" i="5"/>
  <c r="I1190" i="5"/>
  <c r="AD1189" i="5"/>
  <c r="Z1189" i="5"/>
  <c r="C1189" i="5" s="1"/>
  <c r="Y1189" i="5"/>
  <c r="X1189" i="5"/>
  <c r="F1189" i="5" s="1"/>
  <c r="V1189" i="5"/>
  <c r="T1189" i="5"/>
  <c r="G1189" i="5" s="1"/>
  <c r="S1189" i="5"/>
  <c r="I1189" i="5"/>
  <c r="AD1188" i="5"/>
  <c r="Z1188" i="5"/>
  <c r="C1188" i="5" s="1"/>
  <c r="Y1188" i="5"/>
  <c r="X1188" i="5"/>
  <c r="V1188" i="5"/>
  <c r="T1188" i="5"/>
  <c r="G1188" i="5" s="1"/>
  <c r="S1188" i="5"/>
  <c r="I1188" i="5"/>
  <c r="AD1187" i="5"/>
  <c r="Z1187" i="5"/>
  <c r="C1187" i="5" s="1"/>
  <c r="Y1187" i="5"/>
  <c r="X1187" i="5"/>
  <c r="F1187" i="5" s="1"/>
  <c r="V1187" i="5"/>
  <c r="T1187" i="5"/>
  <c r="G1187" i="5" s="1"/>
  <c r="S1187" i="5"/>
  <c r="I1187" i="5"/>
  <c r="AD1186" i="5"/>
  <c r="Z1186" i="5"/>
  <c r="C1186" i="5" s="1"/>
  <c r="Y1186" i="5"/>
  <c r="X1186" i="5"/>
  <c r="F1186" i="5" s="1"/>
  <c r="V1186" i="5"/>
  <c r="T1186" i="5"/>
  <c r="G1186" i="5" s="1"/>
  <c r="S1186" i="5"/>
  <c r="I1186" i="5"/>
  <c r="AD1185" i="5"/>
  <c r="Z1185" i="5"/>
  <c r="C1185" i="5" s="1"/>
  <c r="Y1185" i="5"/>
  <c r="X1185" i="5"/>
  <c r="V1185" i="5"/>
  <c r="T1185" i="5"/>
  <c r="G1185" i="5" s="1"/>
  <c r="S1185" i="5"/>
  <c r="I1185" i="5"/>
  <c r="AD1184" i="5"/>
  <c r="Z1184" i="5"/>
  <c r="C1184" i="5" s="1"/>
  <c r="Y1184" i="5"/>
  <c r="X1184" i="5"/>
  <c r="F1184" i="5" s="1"/>
  <c r="V1184" i="5"/>
  <c r="T1184" i="5"/>
  <c r="G1184" i="5" s="1"/>
  <c r="S1184" i="5"/>
  <c r="I1184" i="5"/>
  <c r="AD615" i="5"/>
  <c r="Z615" i="5"/>
  <c r="C615" i="5" s="1"/>
  <c r="Y615" i="5"/>
  <c r="X615" i="5"/>
  <c r="F615" i="5" s="1"/>
  <c r="V615" i="5"/>
  <c r="T615" i="5"/>
  <c r="G615" i="5" s="1"/>
  <c r="S615" i="5"/>
  <c r="I615" i="5"/>
  <c r="AD614" i="5"/>
  <c r="Z614" i="5"/>
  <c r="C614" i="5" s="1"/>
  <c r="Y614" i="5"/>
  <c r="X614" i="5"/>
  <c r="F614" i="5" s="1"/>
  <c r="V614" i="5"/>
  <c r="T614" i="5"/>
  <c r="G614" i="5" s="1"/>
  <c r="S614" i="5"/>
  <c r="I614" i="5"/>
  <c r="AD613" i="5"/>
  <c r="Z613" i="5"/>
  <c r="C613" i="5" s="1"/>
  <c r="Y613" i="5"/>
  <c r="X613" i="5"/>
  <c r="F613" i="5" s="1"/>
  <c r="V613" i="5"/>
  <c r="T613" i="5"/>
  <c r="G613" i="5" s="1"/>
  <c r="S613" i="5"/>
  <c r="I613" i="5"/>
  <c r="AD612" i="5"/>
  <c r="Z612" i="5"/>
  <c r="C612" i="5" s="1"/>
  <c r="Y612" i="5"/>
  <c r="X612" i="5"/>
  <c r="V612" i="5"/>
  <c r="T612" i="5"/>
  <c r="G612" i="5" s="1"/>
  <c r="S612" i="5"/>
  <c r="I612" i="5"/>
  <c r="AD611" i="5"/>
  <c r="Z611" i="5"/>
  <c r="C611" i="5" s="1"/>
  <c r="Y611" i="5"/>
  <c r="X611" i="5"/>
  <c r="F611" i="5" s="1"/>
  <c r="V611" i="5"/>
  <c r="T611" i="5"/>
  <c r="G611" i="5" s="1"/>
  <c r="S611" i="5"/>
  <c r="I611" i="5"/>
  <c r="AD610" i="5"/>
  <c r="Z610" i="5"/>
  <c r="C610" i="5" s="1"/>
  <c r="Y610" i="5"/>
  <c r="X610" i="5"/>
  <c r="F610" i="5" s="1"/>
  <c r="V610" i="5"/>
  <c r="T610" i="5"/>
  <c r="G610" i="5" s="1"/>
  <c r="S610" i="5"/>
  <c r="I610" i="5"/>
  <c r="AD609" i="5"/>
  <c r="Z609" i="5"/>
  <c r="C609" i="5" s="1"/>
  <c r="Y609" i="5"/>
  <c r="X609" i="5"/>
  <c r="F609" i="5" s="1"/>
  <c r="V609" i="5"/>
  <c r="T609" i="5"/>
  <c r="G609" i="5" s="1"/>
  <c r="S609" i="5"/>
  <c r="I609" i="5"/>
  <c r="AD608" i="5"/>
  <c r="Z608" i="5"/>
  <c r="C608" i="5" s="1"/>
  <c r="Y608" i="5"/>
  <c r="X608" i="5"/>
  <c r="F608" i="5" s="1"/>
  <c r="V608" i="5"/>
  <c r="T608" i="5"/>
  <c r="G608" i="5" s="1"/>
  <c r="S608" i="5"/>
  <c r="I608" i="5"/>
  <c r="AD607" i="5"/>
  <c r="Z607" i="5"/>
  <c r="C607" i="5" s="1"/>
  <c r="Y607" i="5"/>
  <c r="X607" i="5"/>
  <c r="V607" i="5"/>
  <c r="T607" i="5"/>
  <c r="G607" i="5" s="1"/>
  <c r="S607" i="5"/>
  <c r="I607" i="5"/>
  <c r="AD606" i="5"/>
  <c r="Z606" i="5"/>
  <c r="C606" i="5" s="1"/>
  <c r="Y606" i="5"/>
  <c r="X606" i="5"/>
  <c r="F606" i="5" s="1"/>
  <c r="V606" i="5"/>
  <c r="T606" i="5"/>
  <c r="G606" i="5" s="1"/>
  <c r="S606" i="5"/>
  <c r="I606" i="5"/>
  <c r="AD605" i="5"/>
  <c r="Z605" i="5"/>
  <c r="C605" i="5" s="1"/>
  <c r="Y605" i="5"/>
  <c r="X605" i="5"/>
  <c r="F605" i="5" s="1"/>
  <c r="V605" i="5"/>
  <c r="T605" i="5"/>
  <c r="G605" i="5" s="1"/>
  <c r="S605" i="5"/>
  <c r="I605" i="5"/>
  <c r="AD604" i="5"/>
  <c r="Z604" i="5"/>
  <c r="C604" i="5" s="1"/>
  <c r="Y604" i="5"/>
  <c r="X604" i="5"/>
  <c r="F604" i="5" s="1"/>
  <c r="V604" i="5"/>
  <c r="T604" i="5"/>
  <c r="G604" i="5" s="1"/>
  <c r="S604" i="5"/>
  <c r="I604" i="5"/>
  <c r="AD603" i="5"/>
  <c r="Z603" i="5"/>
  <c r="C603" i="5" s="1"/>
  <c r="Y603" i="5"/>
  <c r="X603" i="5"/>
  <c r="F603" i="5" s="1"/>
  <c r="V603" i="5"/>
  <c r="T603" i="5"/>
  <c r="G603" i="5" s="1"/>
  <c r="S603" i="5"/>
  <c r="I603" i="5"/>
  <c r="AD602" i="5"/>
  <c r="Z602" i="5"/>
  <c r="C602" i="5" s="1"/>
  <c r="Y602" i="5"/>
  <c r="X602" i="5"/>
  <c r="F602" i="5" s="1"/>
  <c r="V602" i="5"/>
  <c r="T602" i="5"/>
  <c r="G602" i="5" s="1"/>
  <c r="S602" i="5"/>
  <c r="I602" i="5"/>
  <c r="AD601" i="5"/>
  <c r="Z601" i="5"/>
  <c r="C601" i="5" s="1"/>
  <c r="Y601" i="5"/>
  <c r="X601" i="5"/>
  <c r="F601" i="5" s="1"/>
  <c r="V601" i="5"/>
  <c r="T601" i="5"/>
  <c r="G601" i="5" s="1"/>
  <c r="S601" i="5"/>
  <c r="I601" i="5"/>
  <c r="AD600" i="5"/>
  <c r="Z600" i="5"/>
  <c r="C600" i="5" s="1"/>
  <c r="Y600" i="5"/>
  <c r="X600" i="5"/>
  <c r="V600" i="5"/>
  <c r="T600" i="5"/>
  <c r="G600" i="5" s="1"/>
  <c r="S600" i="5"/>
  <c r="I600" i="5"/>
  <c r="AD599" i="5"/>
  <c r="Z599" i="5"/>
  <c r="C599" i="5" s="1"/>
  <c r="Y599" i="5"/>
  <c r="X599" i="5"/>
  <c r="V599" i="5"/>
  <c r="T599" i="5"/>
  <c r="G599" i="5" s="1"/>
  <c r="S599" i="5"/>
  <c r="I599" i="5"/>
  <c r="AD598" i="5"/>
  <c r="Z598" i="5"/>
  <c r="C598" i="5" s="1"/>
  <c r="Y598" i="5"/>
  <c r="X598" i="5"/>
  <c r="F598" i="5" s="1"/>
  <c r="V598" i="5"/>
  <c r="T598" i="5"/>
  <c r="G598" i="5" s="1"/>
  <c r="S598" i="5"/>
  <c r="I598" i="5"/>
  <c r="AD597" i="5"/>
  <c r="Z597" i="5"/>
  <c r="C597" i="5" s="1"/>
  <c r="Y597" i="5"/>
  <c r="X597" i="5"/>
  <c r="F597" i="5" s="1"/>
  <c r="V597" i="5"/>
  <c r="T597" i="5"/>
  <c r="G597" i="5" s="1"/>
  <c r="S597" i="5"/>
  <c r="I597" i="5"/>
  <c r="AD596" i="5"/>
  <c r="Z596" i="5"/>
  <c r="C596" i="5" s="1"/>
  <c r="Y596" i="5"/>
  <c r="X596" i="5"/>
  <c r="F596" i="5" s="1"/>
  <c r="V596" i="5"/>
  <c r="T596" i="5"/>
  <c r="G596" i="5" s="1"/>
  <c r="S596" i="5"/>
  <c r="I596" i="5"/>
  <c r="AD595" i="5"/>
  <c r="Z595" i="5"/>
  <c r="C595" i="5" s="1"/>
  <c r="Y595" i="5"/>
  <c r="X595" i="5"/>
  <c r="V595" i="5"/>
  <c r="T595" i="5"/>
  <c r="G595" i="5" s="1"/>
  <c r="S595" i="5"/>
  <c r="I595" i="5"/>
  <c r="AD594" i="5"/>
  <c r="Z594" i="5"/>
  <c r="C594" i="5" s="1"/>
  <c r="Y594" i="5"/>
  <c r="X594" i="5"/>
  <c r="F594" i="5" s="1"/>
  <c r="V594" i="5"/>
  <c r="T594" i="5"/>
  <c r="G594" i="5" s="1"/>
  <c r="S594" i="5"/>
  <c r="I594" i="5"/>
  <c r="AD593" i="5"/>
  <c r="Z593" i="5"/>
  <c r="C593" i="5" s="1"/>
  <c r="Y593" i="5"/>
  <c r="X593" i="5"/>
  <c r="F593" i="5" s="1"/>
  <c r="V593" i="5"/>
  <c r="T593" i="5"/>
  <c r="G593" i="5" s="1"/>
  <c r="S593" i="5"/>
  <c r="I593" i="5"/>
  <c r="AD1168" i="5"/>
  <c r="Z1168" i="5"/>
  <c r="C1168" i="5" s="1"/>
  <c r="Y1168" i="5"/>
  <c r="X1168" i="5"/>
  <c r="F1168" i="5" s="1"/>
  <c r="V1168" i="5"/>
  <c r="T1168" i="5"/>
  <c r="G1168" i="5" s="1"/>
  <c r="S1168" i="5"/>
  <c r="I1168" i="5"/>
  <c r="AD1167" i="5"/>
  <c r="Z1167" i="5"/>
  <c r="C1167" i="5" s="1"/>
  <c r="Y1167" i="5"/>
  <c r="X1167" i="5"/>
  <c r="F1167" i="5" s="1"/>
  <c r="V1167" i="5"/>
  <c r="T1167" i="5"/>
  <c r="G1167" i="5" s="1"/>
  <c r="S1167" i="5"/>
  <c r="I1167" i="5"/>
  <c r="AD1166" i="5"/>
  <c r="Z1166" i="5"/>
  <c r="C1166" i="5" s="1"/>
  <c r="Y1166" i="5"/>
  <c r="X1166" i="5"/>
  <c r="F1166" i="5" s="1"/>
  <c r="V1166" i="5"/>
  <c r="T1166" i="5"/>
  <c r="G1166" i="5" s="1"/>
  <c r="S1166" i="5"/>
  <c r="I1166" i="5"/>
  <c r="AD1165" i="5"/>
  <c r="Z1165" i="5"/>
  <c r="C1165" i="5" s="1"/>
  <c r="Y1165" i="5"/>
  <c r="X1165" i="5"/>
  <c r="V1165" i="5"/>
  <c r="T1165" i="5"/>
  <c r="G1165" i="5" s="1"/>
  <c r="S1165" i="5"/>
  <c r="I1165" i="5"/>
  <c r="AD1164" i="5"/>
  <c r="Z1164" i="5"/>
  <c r="C1164" i="5" s="1"/>
  <c r="Y1164" i="5"/>
  <c r="X1164" i="5"/>
  <c r="F1164" i="5" s="1"/>
  <c r="V1164" i="5"/>
  <c r="T1164" i="5"/>
  <c r="G1164" i="5" s="1"/>
  <c r="S1164" i="5"/>
  <c r="I1164" i="5"/>
  <c r="AD1163" i="5"/>
  <c r="Z1163" i="5"/>
  <c r="C1163" i="5" s="1"/>
  <c r="Y1163" i="5"/>
  <c r="X1163" i="5"/>
  <c r="F1163" i="5" s="1"/>
  <c r="V1163" i="5"/>
  <c r="T1163" i="5"/>
  <c r="G1163" i="5" s="1"/>
  <c r="S1163" i="5"/>
  <c r="I1163" i="5"/>
  <c r="AD1162" i="5"/>
  <c r="Z1162" i="5"/>
  <c r="C1162" i="5" s="1"/>
  <c r="Y1162" i="5"/>
  <c r="X1162" i="5"/>
  <c r="F1162" i="5" s="1"/>
  <c r="V1162" i="5"/>
  <c r="T1162" i="5"/>
  <c r="G1162" i="5" s="1"/>
  <c r="S1162" i="5"/>
  <c r="I1162" i="5"/>
  <c r="AD1161" i="5"/>
  <c r="Z1161" i="5"/>
  <c r="C1161" i="5" s="1"/>
  <c r="Y1161" i="5"/>
  <c r="X1161" i="5"/>
  <c r="F1161" i="5" s="1"/>
  <c r="V1161" i="5"/>
  <c r="T1161" i="5"/>
  <c r="G1161" i="5" s="1"/>
  <c r="S1161" i="5"/>
  <c r="I1161" i="5"/>
  <c r="AD1160" i="5"/>
  <c r="Z1160" i="5"/>
  <c r="C1160" i="5" s="1"/>
  <c r="Y1160" i="5"/>
  <c r="X1160" i="5"/>
  <c r="V1160" i="5"/>
  <c r="T1160" i="5"/>
  <c r="G1160" i="5" s="1"/>
  <c r="S1160" i="5"/>
  <c r="I1160" i="5"/>
  <c r="AD1159" i="5"/>
  <c r="Z1159" i="5"/>
  <c r="C1159" i="5" s="1"/>
  <c r="Y1159" i="5"/>
  <c r="X1159" i="5"/>
  <c r="F1159" i="5" s="1"/>
  <c r="V1159" i="5"/>
  <c r="T1159" i="5"/>
  <c r="G1159" i="5" s="1"/>
  <c r="S1159" i="5"/>
  <c r="I1159" i="5"/>
  <c r="AD1158" i="5"/>
  <c r="Z1158" i="5"/>
  <c r="C1158" i="5" s="1"/>
  <c r="Y1158" i="5"/>
  <c r="X1158" i="5"/>
  <c r="V1158" i="5"/>
  <c r="T1158" i="5"/>
  <c r="G1158" i="5" s="1"/>
  <c r="S1158" i="5"/>
  <c r="I1158" i="5"/>
  <c r="AD1157" i="5"/>
  <c r="Z1157" i="5"/>
  <c r="C1157" i="5" s="1"/>
  <c r="Y1157" i="5"/>
  <c r="X1157" i="5"/>
  <c r="F1157" i="5" s="1"/>
  <c r="V1157" i="5"/>
  <c r="T1157" i="5"/>
  <c r="G1157" i="5" s="1"/>
  <c r="S1157" i="5"/>
  <c r="I1157" i="5"/>
  <c r="AD1156" i="5"/>
  <c r="Z1156" i="5"/>
  <c r="C1156" i="5" s="1"/>
  <c r="Y1156" i="5"/>
  <c r="X1156" i="5"/>
  <c r="V1156" i="5"/>
  <c r="T1156" i="5"/>
  <c r="G1156" i="5" s="1"/>
  <c r="S1156" i="5"/>
  <c r="I1156" i="5"/>
  <c r="AD1155" i="5"/>
  <c r="Z1155" i="5"/>
  <c r="C1155" i="5" s="1"/>
  <c r="Y1155" i="5"/>
  <c r="X1155" i="5"/>
  <c r="V1155" i="5"/>
  <c r="T1155" i="5"/>
  <c r="G1155" i="5" s="1"/>
  <c r="S1155" i="5"/>
  <c r="I1155" i="5"/>
  <c r="AD1154" i="5"/>
  <c r="Z1154" i="5"/>
  <c r="C1154" i="5" s="1"/>
  <c r="Y1154" i="5"/>
  <c r="X1154" i="5"/>
  <c r="F1154" i="5" s="1"/>
  <c r="V1154" i="5"/>
  <c r="T1154" i="5"/>
  <c r="G1154" i="5" s="1"/>
  <c r="S1154" i="5"/>
  <c r="I1154" i="5"/>
  <c r="AD1153" i="5"/>
  <c r="Z1153" i="5"/>
  <c r="C1153" i="5" s="1"/>
  <c r="Y1153" i="5"/>
  <c r="X1153" i="5"/>
  <c r="V1153" i="5"/>
  <c r="T1153" i="5"/>
  <c r="G1153" i="5" s="1"/>
  <c r="S1153" i="5"/>
  <c r="I1153" i="5"/>
  <c r="AD1152" i="5"/>
  <c r="Z1152" i="5"/>
  <c r="C1152" i="5" s="1"/>
  <c r="Y1152" i="5"/>
  <c r="X1152" i="5"/>
  <c r="V1152" i="5"/>
  <c r="T1152" i="5"/>
  <c r="G1152" i="5" s="1"/>
  <c r="S1152" i="5"/>
  <c r="I1152" i="5"/>
  <c r="AD1151" i="5"/>
  <c r="Z1151" i="5"/>
  <c r="C1151" i="5" s="1"/>
  <c r="Y1151" i="5"/>
  <c r="X1151" i="5"/>
  <c r="V1151" i="5"/>
  <c r="T1151" i="5"/>
  <c r="G1151" i="5" s="1"/>
  <c r="S1151" i="5"/>
  <c r="I1151" i="5"/>
  <c r="AD1150" i="5"/>
  <c r="Z1150" i="5"/>
  <c r="C1150" i="5" s="1"/>
  <c r="Y1150" i="5"/>
  <c r="X1150" i="5"/>
  <c r="V1150" i="5"/>
  <c r="T1150" i="5"/>
  <c r="G1150" i="5" s="1"/>
  <c r="S1150" i="5"/>
  <c r="I1150" i="5"/>
  <c r="AD578" i="5"/>
  <c r="Z578" i="5"/>
  <c r="C578" i="5" s="1"/>
  <c r="Y578" i="5"/>
  <c r="X578" i="5"/>
  <c r="V578" i="5"/>
  <c r="T578" i="5"/>
  <c r="G578" i="5" s="1"/>
  <c r="S578" i="5"/>
  <c r="I578" i="5"/>
  <c r="AD577" i="5"/>
  <c r="Z577" i="5"/>
  <c r="C577" i="5" s="1"/>
  <c r="Y577" i="5"/>
  <c r="X577" i="5"/>
  <c r="F577" i="5" s="1"/>
  <c r="V577" i="5"/>
  <c r="T577" i="5"/>
  <c r="G577" i="5" s="1"/>
  <c r="S577" i="5"/>
  <c r="I577" i="5"/>
  <c r="AD576" i="5"/>
  <c r="Z576" i="5"/>
  <c r="C576" i="5" s="1"/>
  <c r="Y576" i="5"/>
  <c r="X576" i="5"/>
  <c r="V576" i="5"/>
  <c r="T576" i="5"/>
  <c r="G576" i="5" s="1"/>
  <c r="S576" i="5"/>
  <c r="I576" i="5"/>
  <c r="AD575" i="5"/>
  <c r="Z575" i="5"/>
  <c r="C575" i="5" s="1"/>
  <c r="Y575" i="5"/>
  <c r="X575" i="5"/>
  <c r="F575" i="5" s="1"/>
  <c r="V575" i="5"/>
  <c r="T575" i="5"/>
  <c r="G575" i="5" s="1"/>
  <c r="S575" i="5"/>
  <c r="I575" i="5"/>
  <c r="AD1089" i="5"/>
  <c r="Z1089" i="5"/>
  <c r="C1089" i="5" s="1"/>
  <c r="Y1089" i="5"/>
  <c r="X1089" i="5"/>
  <c r="F1089" i="5" s="1"/>
  <c r="V1089" i="5"/>
  <c r="T1089" i="5"/>
  <c r="G1089" i="5" s="1"/>
  <c r="S1089" i="5"/>
  <c r="I1089" i="5"/>
  <c r="AD566" i="5"/>
  <c r="Z566" i="5"/>
  <c r="C566" i="5" s="1"/>
  <c r="Y566" i="5"/>
  <c r="X566" i="5"/>
  <c r="V566" i="5"/>
  <c r="T566" i="5"/>
  <c r="G566" i="5" s="1"/>
  <c r="S566" i="5"/>
  <c r="I566" i="5"/>
  <c r="AD565" i="5"/>
  <c r="Z565" i="5"/>
  <c r="C565" i="5" s="1"/>
  <c r="Y565" i="5"/>
  <c r="X565" i="5"/>
  <c r="F565" i="5" s="1"/>
  <c r="V565" i="5"/>
  <c r="T565" i="5"/>
  <c r="G565" i="5" s="1"/>
  <c r="S565" i="5"/>
  <c r="I565" i="5"/>
  <c r="AD564" i="5"/>
  <c r="Z564" i="5"/>
  <c r="C564" i="5" s="1"/>
  <c r="Y564" i="5"/>
  <c r="X564" i="5"/>
  <c r="V564" i="5"/>
  <c r="T564" i="5"/>
  <c r="G564" i="5" s="1"/>
  <c r="S564" i="5"/>
  <c r="I564" i="5"/>
  <c r="AD563" i="5"/>
  <c r="Z563" i="5"/>
  <c r="C563" i="5" s="1"/>
  <c r="Y563" i="5"/>
  <c r="X563" i="5"/>
  <c r="F563" i="5" s="1"/>
  <c r="V563" i="5"/>
  <c r="T563" i="5"/>
  <c r="G563" i="5" s="1"/>
  <c r="S563" i="5"/>
  <c r="I563" i="5"/>
  <c r="AD562" i="5"/>
  <c r="Z562" i="5"/>
  <c r="C562" i="5" s="1"/>
  <c r="Y562" i="5"/>
  <c r="X562" i="5"/>
  <c r="F562" i="5" s="1"/>
  <c r="V562" i="5"/>
  <c r="T562" i="5"/>
  <c r="G562" i="5" s="1"/>
  <c r="S562" i="5"/>
  <c r="I562" i="5"/>
  <c r="AD534" i="5"/>
  <c r="Z534" i="5"/>
  <c r="C534" i="5" s="1"/>
  <c r="Y534" i="5"/>
  <c r="X534" i="5"/>
  <c r="V534" i="5"/>
  <c r="T534" i="5"/>
  <c r="G534" i="5" s="1"/>
  <c r="S534" i="5"/>
  <c r="I534" i="5"/>
  <c r="AD533" i="5"/>
  <c r="Z533" i="5"/>
  <c r="C533" i="5" s="1"/>
  <c r="Y533" i="5"/>
  <c r="X533" i="5"/>
  <c r="F533" i="5" s="1"/>
  <c r="V533" i="5"/>
  <c r="T533" i="5"/>
  <c r="G533" i="5" s="1"/>
  <c r="S533" i="5"/>
  <c r="I533" i="5"/>
  <c r="AD532" i="5"/>
  <c r="Z532" i="5"/>
  <c r="C532" i="5" s="1"/>
  <c r="Y532" i="5"/>
  <c r="X532" i="5"/>
  <c r="V532" i="5"/>
  <c r="T532" i="5"/>
  <c r="G532" i="5" s="1"/>
  <c r="S532" i="5"/>
  <c r="I532" i="5"/>
  <c r="AD502" i="5"/>
  <c r="Z502" i="5"/>
  <c r="C502" i="5" s="1"/>
  <c r="Y502" i="5"/>
  <c r="X502" i="5"/>
  <c r="F502" i="5" s="1"/>
  <c r="V502" i="5"/>
  <c r="T502" i="5"/>
  <c r="G502" i="5" s="1"/>
  <c r="S502" i="5"/>
  <c r="I502" i="5"/>
  <c r="AD501" i="5"/>
  <c r="Z501" i="5"/>
  <c r="C501" i="5" s="1"/>
  <c r="Y501" i="5"/>
  <c r="X501" i="5"/>
  <c r="F501" i="5" s="1"/>
  <c r="V501" i="5"/>
  <c r="T501" i="5"/>
  <c r="G501" i="5" s="1"/>
  <c r="S501" i="5"/>
  <c r="I501" i="5"/>
  <c r="AD500" i="5"/>
  <c r="Z500" i="5"/>
  <c r="C500" i="5" s="1"/>
  <c r="Y500" i="5"/>
  <c r="X500" i="5"/>
  <c r="V500" i="5"/>
  <c r="T500" i="5"/>
  <c r="G500" i="5" s="1"/>
  <c r="S500" i="5"/>
  <c r="I500" i="5"/>
  <c r="AD499" i="5"/>
  <c r="Z499" i="5"/>
  <c r="C499" i="5" s="1"/>
  <c r="Y499" i="5"/>
  <c r="X499" i="5"/>
  <c r="F499" i="5" s="1"/>
  <c r="V499" i="5"/>
  <c r="T499" i="5"/>
  <c r="G499" i="5" s="1"/>
  <c r="S499" i="5"/>
  <c r="I499" i="5"/>
  <c r="AD498" i="5"/>
  <c r="Z498" i="5"/>
  <c r="C498" i="5" s="1"/>
  <c r="Y498" i="5"/>
  <c r="X498" i="5"/>
  <c r="V498" i="5"/>
  <c r="T498" i="5"/>
  <c r="G498" i="5" s="1"/>
  <c r="S498" i="5"/>
  <c r="I498" i="5"/>
  <c r="AD497" i="5"/>
  <c r="Z497" i="5"/>
  <c r="C497" i="5" s="1"/>
  <c r="Y497" i="5"/>
  <c r="X497" i="5"/>
  <c r="F497" i="5" s="1"/>
  <c r="V497" i="5"/>
  <c r="T497" i="5"/>
  <c r="G497" i="5" s="1"/>
  <c r="S497" i="5"/>
  <c r="I497" i="5"/>
  <c r="AD496" i="5"/>
  <c r="Z496" i="5"/>
  <c r="C496" i="5" s="1"/>
  <c r="Y496" i="5"/>
  <c r="X496" i="5"/>
  <c r="F496" i="5" s="1"/>
  <c r="V496" i="5"/>
  <c r="T496" i="5"/>
  <c r="G496" i="5" s="1"/>
  <c r="S496" i="5"/>
  <c r="I496" i="5"/>
  <c r="AD495" i="5"/>
  <c r="Z495" i="5"/>
  <c r="C495" i="5" s="1"/>
  <c r="Y495" i="5"/>
  <c r="X495" i="5"/>
  <c r="V495" i="5"/>
  <c r="T495" i="5"/>
  <c r="G495" i="5" s="1"/>
  <c r="S495" i="5"/>
  <c r="I495" i="5"/>
  <c r="AD494" i="5"/>
  <c r="Z494" i="5"/>
  <c r="C494" i="5" s="1"/>
  <c r="Y494" i="5"/>
  <c r="X494" i="5"/>
  <c r="F494" i="5" s="1"/>
  <c r="V494" i="5"/>
  <c r="T494" i="5"/>
  <c r="G494" i="5" s="1"/>
  <c r="S494" i="5"/>
  <c r="I494" i="5"/>
  <c r="AD486" i="5"/>
  <c r="Z486" i="5"/>
  <c r="C486" i="5" s="1"/>
  <c r="Y486" i="5"/>
  <c r="X486" i="5"/>
  <c r="V486" i="5"/>
  <c r="T486" i="5"/>
  <c r="G486" i="5" s="1"/>
  <c r="S486" i="5"/>
  <c r="I486" i="5"/>
  <c r="AD485" i="5"/>
  <c r="Z485" i="5"/>
  <c r="C485" i="5" s="1"/>
  <c r="Y485" i="5"/>
  <c r="X485" i="5"/>
  <c r="F485" i="5" s="1"/>
  <c r="V485" i="5"/>
  <c r="T485" i="5"/>
  <c r="G485" i="5" s="1"/>
  <c r="S485" i="5"/>
  <c r="I485" i="5"/>
  <c r="AD484" i="5"/>
  <c r="Z484" i="5"/>
  <c r="C484" i="5" s="1"/>
  <c r="Y484" i="5"/>
  <c r="X484" i="5"/>
  <c r="F484" i="5" s="1"/>
  <c r="V484" i="5"/>
  <c r="T484" i="5"/>
  <c r="G484" i="5" s="1"/>
  <c r="S484" i="5"/>
  <c r="I484" i="5"/>
  <c r="AD483" i="5"/>
  <c r="Z483" i="5"/>
  <c r="C483" i="5" s="1"/>
  <c r="Y483" i="5"/>
  <c r="X483" i="5"/>
  <c r="V483" i="5"/>
  <c r="T483" i="5"/>
  <c r="G483" i="5" s="1"/>
  <c r="S483" i="5"/>
  <c r="I483" i="5"/>
  <c r="AD482" i="5"/>
  <c r="Z482" i="5"/>
  <c r="C482" i="5" s="1"/>
  <c r="Y482" i="5"/>
  <c r="X482" i="5"/>
  <c r="F482" i="5" s="1"/>
  <c r="V482" i="5"/>
  <c r="T482" i="5"/>
  <c r="G482" i="5" s="1"/>
  <c r="S482" i="5"/>
  <c r="I482" i="5"/>
  <c r="AD481" i="5"/>
  <c r="Z481" i="5"/>
  <c r="C481" i="5" s="1"/>
  <c r="Y481" i="5"/>
  <c r="X481" i="5"/>
  <c r="V481" i="5"/>
  <c r="T481" i="5"/>
  <c r="G481" i="5" s="1"/>
  <c r="S481" i="5"/>
  <c r="I481" i="5"/>
  <c r="AD480" i="5"/>
  <c r="Z480" i="5"/>
  <c r="C480" i="5" s="1"/>
  <c r="Y480" i="5"/>
  <c r="X480" i="5"/>
  <c r="F480" i="5" s="1"/>
  <c r="V480" i="5"/>
  <c r="T480" i="5"/>
  <c r="G480" i="5" s="1"/>
  <c r="S480" i="5"/>
  <c r="I480" i="5"/>
  <c r="AD479" i="5"/>
  <c r="Z479" i="5"/>
  <c r="C479" i="5" s="1"/>
  <c r="Y479" i="5"/>
  <c r="X479" i="5"/>
  <c r="F479" i="5" s="1"/>
  <c r="V479" i="5"/>
  <c r="T479" i="5"/>
  <c r="G479" i="5" s="1"/>
  <c r="S479" i="5"/>
  <c r="I479" i="5"/>
  <c r="AD478" i="5"/>
  <c r="Z478" i="5"/>
  <c r="C478" i="5" s="1"/>
  <c r="Y478" i="5"/>
  <c r="X478" i="5"/>
  <c r="V478" i="5"/>
  <c r="T478" i="5"/>
  <c r="G478" i="5" s="1"/>
  <c r="S478" i="5"/>
  <c r="I478" i="5"/>
  <c r="AD477" i="5"/>
  <c r="Z477" i="5"/>
  <c r="C477" i="5" s="1"/>
  <c r="Y477" i="5"/>
  <c r="X477" i="5"/>
  <c r="F477" i="5" s="1"/>
  <c r="V477" i="5"/>
  <c r="T477" i="5"/>
  <c r="G477" i="5" s="1"/>
  <c r="S477" i="5"/>
  <c r="I477" i="5"/>
  <c r="AD476" i="5"/>
  <c r="Z476" i="5"/>
  <c r="C476" i="5" s="1"/>
  <c r="Y476" i="5"/>
  <c r="X476" i="5"/>
  <c r="F476" i="5" s="1"/>
  <c r="V476" i="5"/>
  <c r="T476" i="5"/>
  <c r="G476" i="5" s="1"/>
  <c r="S476" i="5"/>
  <c r="I476" i="5"/>
  <c r="AD475" i="5"/>
  <c r="Z475" i="5"/>
  <c r="C475" i="5" s="1"/>
  <c r="Y475" i="5"/>
  <c r="X475" i="5"/>
  <c r="F475" i="5" s="1"/>
  <c r="V475" i="5"/>
  <c r="T475" i="5"/>
  <c r="G475" i="5" s="1"/>
  <c r="S475" i="5"/>
  <c r="I475" i="5"/>
  <c r="AD474" i="5"/>
  <c r="Z474" i="5"/>
  <c r="C474" i="5" s="1"/>
  <c r="Y474" i="5"/>
  <c r="X474" i="5"/>
  <c r="V474" i="5"/>
  <c r="T474" i="5"/>
  <c r="G474" i="5" s="1"/>
  <c r="S474" i="5"/>
  <c r="I474" i="5"/>
  <c r="AD473" i="5"/>
  <c r="Z473" i="5"/>
  <c r="C473" i="5" s="1"/>
  <c r="Y473" i="5"/>
  <c r="X473" i="5"/>
  <c r="V473" i="5"/>
  <c r="T473" i="5"/>
  <c r="G473" i="5" s="1"/>
  <c r="S473" i="5"/>
  <c r="I473" i="5"/>
  <c r="AD472" i="5"/>
  <c r="Z472" i="5"/>
  <c r="C472" i="5" s="1"/>
  <c r="Y472" i="5"/>
  <c r="X472" i="5"/>
  <c r="F472" i="5" s="1"/>
  <c r="V472" i="5"/>
  <c r="T472" i="5"/>
  <c r="G472" i="5" s="1"/>
  <c r="S472" i="5"/>
  <c r="I472" i="5"/>
  <c r="AD471" i="5"/>
  <c r="Z471" i="5"/>
  <c r="C471" i="5" s="1"/>
  <c r="Y471" i="5"/>
  <c r="X471" i="5"/>
  <c r="F471" i="5" s="1"/>
  <c r="V471" i="5"/>
  <c r="T471" i="5"/>
  <c r="G471" i="5" s="1"/>
  <c r="S471" i="5"/>
  <c r="I471" i="5"/>
  <c r="AD470" i="5"/>
  <c r="Z470" i="5"/>
  <c r="C470" i="5" s="1"/>
  <c r="Y470" i="5"/>
  <c r="X470" i="5"/>
  <c r="F470" i="5" s="1"/>
  <c r="V470" i="5"/>
  <c r="T470" i="5"/>
  <c r="G470" i="5" s="1"/>
  <c r="S470" i="5"/>
  <c r="I470" i="5"/>
  <c r="AD469" i="5"/>
  <c r="Z469" i="5"/>
  <c r="C469" i="5" s="1"/>
  <c r="Y469" i="5"/>
  <c r="X469" i="5"/>
  <c r="V469" i="5"/>
  <c r="T469" i="5"/>
  <c r="G469" i="5" s="1"/>
  <c r="S469" i="5"/>
  <c r="I469" i="5"/>
  <c r="AD468" i="5"/>
  <c r="Z468" i="5"/>
  <c r="C468" i="5" s="1"/>
  <c r="Y468" i="5"/>
  <c r="X468" i="5"/>
  <c r="V468" i="5"/>
  <c r="T468" i="5"/>
  <c r="G468" i="5" s="1"/>
  <c r="S468" i="5"/>
  <c r="I468" i="5"/>
  <c r="AD467" i="5"/>
  <c r="Z467" i="5"/>
  <c r="C467" i="5" s="1"/>
  <c r="Y467" i="5"/>
  <c r="X467" i="5"/>
  <c r="F467" i="5" s="1"/>
  <c r="V467" i="5"/>
  <c r="T467" i="5"/>
  <c r="G467" i="5" s="1"/>
  <c r="S467" i="5"/>
  <c r="I467" i="5"/>
  <c r="AD466" i="5"/>
  <c r="Z466" i="5"/>
  <c r="C466" i="5" s="1"/>
  <c r="Y466" i="5"/>
  <c r="X466" i="5"/>
  <c r="F466" i="5" s="1"/>
  <c r="V466" i="5"/>
  <c r="T466" i="5"/>
  <c r="G466" i="5" s="1"/>
  <c r="S466" i="5"/>
  <c r="I466" i="5"/>
  <c r="AD465" i="5"/>
  <c r="Z465" i="5"/>
  <c r="C465" i="5" s="1"/>
  <c r="Y465" i="5"/>
  <c r="X465" i="5"/>
  <c r="F465" i="5" s="1"/>
  <c r="V465" i="5"/>
  <c r="T465" i="5"/>
  <c r="G465" i="5" s="1"/>
  <c r="S465" i="5"/>
  <c r="I465" i="5"/>
  <c r="AD464" i="5"/>
  <c r="Z464" i="5"/>
  <c r="C464" i="5" s="1"/>
  <c r="Y464" i="5"/>
  <c r="X464" i="5"/>
  <c r="V464" i="5"/>
  <c r="T464" i="5"/>
  <c r="G464" i="5" s="1"/>
  <c r="S464" i="5"/>
  <c r="I464" i="5"/>
  <c r="AD454" i="5"/>
  <c r="Z454" i="5"/>
  <c r="C454" i="5" s="1"/>
  <c r="Y454" i="5"/>
  <c r="X454" i="5"/>
  <c r="F454" i="5" s="1"/>
  <c r="V454" i="5"/>
  <c r="T454" i="5"/>
  <c r="G454" i="5" s="1"/>
  <c r="S454" i="5"/>
  <c r="I454" i="5"/>
  <c r="AD422" i="5"/>
  <c r="Z422" i="5"/>
  <c r="C422" i="5" s="1"/>
  <c r="Y422" i="5"/>
  <c r="X422" i="5"/>
  <c r="V422" i="5"/>
  <c r="T422" i="5"/>
  <c r="G422" i="5" s="1"/>
  <c r="S422" i="5"/>
  <c r="I422" i="5"/>
  <c r="AD421" i="5"/>
  <c r="Z421" i="5"/>
  <c r="C421" i="5" s="1"/>
  <c r="Y421" i="5"/>
  <c r="X421" i="5"/>
  <c r="F421" i="5" s="1"/>
  <c r="V421" i="5"/>
  <c r="T421" i="5"/>
  <c r="G421" i="5" s="1"/>
  <c r="S421" i="5"/>
  <c r="I421" i="5"/>
  <c r="AD420" i="5"/>
  <c r="Z420" i="5"/>
  <c r="C420" i="5" s="1"/>
  <c r="Y420" i="5"/>
  <c r="X420" i="5"/>
  <c r="F420" i="5" s="1"/>
  <c r="V420" i="5"/>
  <c r="T420" i="5"/>
  <c r="G420" i="5" s="1"/>
  <c r="S420" i="5"/>
  <c r="I420" i="5"/>
  <c r="AD419" i="5"/>
  <c r="Z419" i="5"/>
  <c r="C419" i="5" s="1"/>
  <c r="Y419" i="5"/>
  <c r="X419" i="5"/>
  <c r="V419" i="5"/>
  <c r="T419" i="5"/>
  <c r="G419" i="5" s="1"/>
  <c r="S419" i="5"/>
  <c r="I419" i="5"/>
  <c r="AD418" i="5"/>
  <c r="Z418" i="5"/>
  <c r="C418" i="5" s="1"/>
  <c r="Y418" i="5"/>
  <c r="X418" i="5"/>
  <c r="F418" i="5" s="1"/>
  <c r="V418" i="5"/>
  <c r="T418" i="5"/>
  <c r="G418" i="5" s="1"/>
  <c r="S418" i="5"/>
  <c r="I418" i="5"/>
  <c r="AD417" i="5"/>
  <c r="Z417" i="5"/>
  <c r="C417" i="5" s="1"/>
  <c r="Y417" i="5"/>
  <c r="X417" i="5"/>
  <c r="V417" i="5"/>
  <c r="T417" i="5"/>
  <c r="G417" i="5" s="1"/>
  <c r="S417" i="5"/>
  <c r="I417" i="5"/>
  <c r="AD416" i="5"/>
  <c r="Z416" i="5"/>
  <c r="C416" i="5" s="1"/>
  <c r="Y416" i="5"/>
  <c r="X416" i="5"/>
  <c r="F416" i="5" s="1"/>
  <c r="V416" i="5"/>
  <c r="T416" i="5"/>
  <c r="G416" i="5" s="1"/>
  <c r="S416" i="5"/>
  <c r="I416" i="5"/>
  <c r="AD415" i="5"/>
  <c r="Z415" i="5"/>
  <c r="C415" i="5" s="1"/>
  <c r="Y415" i="5"/>
  <c r="X415" i="5"/>
  <c r="V415" i="5"/>
  <c r="T415" i="5"/>
  <c r="G415" i="5" s="1"/>
  <c r="S415" i="5"/>
  <c r="I415" i="5"/>
  <c r="AD414" i="5"/>
  <c r="Z414" i="5"/>
  <c r="C414" i="5" s="1"/>
  <c r="Y414" i="5"/>
  <c r="X414" i="5"/>
  <c r="F414" i="5" s="1"/>
  <c r="V414" i="5"/>
  <c r="T414" i="5"/>
  <c r="G414" i="5" s="1"/>
  <c r="S414" i="5"/>
  <c r="I414" i="5"/>
  <c r="AD413" i="5"/>
  <c r="Z413" i="5"/>
  <c r="C413" i="5" s="1"/>
  <c r="Y413" i="5"/>
  <c r="X413" i="5"/>
  <c r="V413" i="5"/>
  <c r="T413" i="5"/>
  <c r="G413" i="5" s="1"/>
  <c r="S413" i="5"/>
  <c r="I413" i="5"/>
  <c r="AD412" i="5"/>
  <c r="Z412" i="5"/>
  <c r="C412" i="5" s="1"/>
  <c r="Y412" i="5"/>
  <c r="X412" i="5"/>
  <c r="F412" i="5" s="1"/>
  <c r="V412" i="5"/>
  <c r="T412" i="5"/>
  <c r="G412" i="5" s="1"/>
  <c r="S412" i="5"/>
  <c r="I412" i="5"/>
  <c r="AD411" i="5"/>
  <c r="Z411" i="5"/>
  <c r="C411" i="5" s="1"/>
  <c r="Y411" i="5"/>
  <c r="X411" i="5"/>
  <c r="V411" i="5"/>
  <c r="T411" i="5"/>
  <c r="G411" i="5" s="1"/>
  <c r="S411" i="5"/>
  <c r="I411" i="5"/>
  <c r="AD410" i="5"/>
  <c r="Z410" i="5"/>
  <c r="C410" i="5" s="1"/>
  <c r="Y410" i="5"/>
  <c r="X410" i="5"/>
  <c r="F410" i="5" s="1"/>
  <c r="V410" i="5"/>
  <c r="T410" i="5"/>
  <c r="G410" i="5" s="1"/>
  <c r="S410" i="5"/>
  <c r="I410" i="5"/>
  <c r="AD406" i="5"/>
  <c r="Z406" i="5"/>
  <c r="C406" i="5" s="1"/>
  <c r="Y406" i="5"/>
  <c r="X406" i="5"/>
  <c r="V406" i="5"/>
  <c r="T406" i="5"/>
  <c r="G406" i="5" s="1"/>
  <c r="S406" i="5"/>
  <c r="I406" i="5"/>
  <c r="AD405" i="5"/>
  <c r="Z405" i="5"/>
  <c r="C405" i="5" s="1"/>
  <c r="Y405" i="5"/>
  <c r="X405" i="5"/>
  <c r="F405" i="5" s="1"/>
  <c r="V405" i="5"/>
  <c r="T405" i="5"/>
  <c r="G405" i="5" s="1"/>
  <c r="S405" i="5"/>
  <c r="I405" i="5"/>
  <c r="AD404" i="5"/>
  <c r="Z404" i="5"/>
  <c r="C404" i="5" s="1"/>
  <c r="Y404" i="5"/>
  <c r="X404" i="5"/>
  <c r="F404" i="5" s="1"/>
  <c r="V404" i="5"/>
  <c r="T404" i="5"/>
  <c r="G404" i="5" s="1"/>
  <c r="S404" i="5"/>
  <c r="I404" i="5"/>
  <c r="AD403" i="5"/>
  <c r="Z403" i="5"/>
  <c r="C403" i="5" s="1"/>
  <c r="Y403" i="5"/>
  <c r="X403" i="5"/>
  <c r="V403" i="5"/>
  <c r="T403" i="5"/>
  <c r="G403" i="5" s="1"/>
  <c r="S403" i="5"/>
  <c r="I403" i="5"/>
  <c r="AD402" i="5"/>
  <c r="Z402" i="5"/>
  <c r="C402" i="5" s="1"/>
  <c r="Y402" i="5"/>
  <c r="X402" i="5"/>
  <c r="F402" i="5" s="1"/>
  <c r="V402" i="5"/>
  <c r="T402" i="5"/>
  <c r="G402" i="5" s="1"/>
  <c r="S402" i="5"/>
  <c r="I402" i="5"/>
  <c r="AD401" i="5"/>
  <c r="Z401" i="5"/>
  <c r="C401" i="5" s="1"/>
  <c r="Y401" i="5"/>
  <c r="X401" i="5"/>
  <c r="V401" i="5"/>
  <c r="T401" i="5"/>
  <c r="G401" i="5" s="1"/>
  <c r="S401" i="5"/>
  <c r="I401" i="5"/>
  <c r="AD400" i="5"/>
  <c r="Z400" i="5"/>
  <c r="C400" i="5" s="1"/>
  <c r="Y400" i="5"/>
  <c r="X400" i="5"/>
  <c r="F400" i="5" s="1"/>
  <c r="V400" i="5"/>
  <c r="T400" i="5"/>
  <c r="G400" i="5" s="1"/>
  <c r="S400" i="5"/>
  <c r="I400" i="5"/>
  <c r="AD390" i="5"/>
  <c r="Z390" i="5"/>
  <c r="C390" i="5" s="1"/>
  <c r="Y390" i="5"/>
  <c r="X390" i="5"/>
  <c r="F390" i="5" s="1"/>
  <c r="V390" i="5"/>
  <c r="T390" i="5"/>
  <c r="G390" i="5" s="1"/>
  <c r="S390" i="5"/>
  <c r="I390" i="5"/>
  <c r="AD389" i="5"/>
  <c r="Z389" i="5"/>
  <c r="C389" i="5" s="1"/>
  <c r="Y389" i="5"/>
  <c r="X389" i="5"/>
  <c r="V389" i="5"/>
  <c r="T389" i="5"/>
  <c r="G389" i="5" s="1"/>
  <c r="S389" i="5"/>
  <c r="I389" i="5"/>
  <c r="AD388" i="5"/>
  <c r="Z388" i="5"/>
  <c r="C388" i="5" s="1"/>
  <c r="Y388" i="5"/>
  <c r="X388" i="5"/>
  <c r="F388" i="5" s="1"/>
  <c r="V388" i="5"/>
  <c r="T388" i="5"/>
  <c r="G388" i="5" s="1"/>
  <c r="S388" i="5"/>
  <c r="I388" i="5"/>
  <c r="AD387" i="5"/>
  <c r="Z387" i="5"/>
  <c r="C387" i="5" s="1"/>
  <c r="Y387" i="5"/>
  <c r="X387" i="5"/>
  <c r="V387" i="5"/>
  <c r="T387" i="5"/>
  <c r="G387" i="5" s="1"/>
  <c r="S387" i="5"/>
  <c r="I387" i="5"/>
  <c r="AD386" i="5"/>
  <c r="Z386" i="5"/>
  <c r="C386" i="5" s="1"/>
  <c r="Y386" i="5"/>
  <c r="X386" i="5"/>
  <c r="F386" i="5" s="1"/>
  <c r="V386" i="5"/>
  <c r="T386" i="5"/>
  <c r="G386" i="5" s="1"/>
  <c r="S386" i="5"/>
  <c r="I386" i="5"/>
  <c r="AD385" i="5"/>
  <c r="Z385" i="5"/>
  <c r="C385" i="5" s="1"/>
  <c r="Y385" i="5"/>
  <c r="X385" i="5"/>
  <c r="F385" i="5" s="1"/>
  <c r="V385" i="5"/>
  <c r="T385" i="5"/>
  <c r="G385" i="5" s="1"/>
  <c r="S385" i="5"/>
  <c r="I385" i="5"/>
  <c r="AD384" i="5"/>
  <c r="Z384" i="5"/>
  <c r="C384" i="5" s="1"/>
  <c r="Y384" i="5"/>
  <c r="X384" i="5"/>
  <c r="V384" i="5"/>
  <c r="T384" i="5"/>
  <c r="G384" i="5" s="1"/>
  <c r="S384" i="5"/>
  <c r="I384" i="5"/>
  <c r="AD383" i="5"/>
  <c r="Z383" i="5"/>
  <c r="C383" i="5" s="1"/>
  <c r="Y383" i="5"/>
  <c r="X383" i="5"/>
  <c r="F383" i="5" s="1"/>
  <c r="V383" i="5"/>
  <c r="T383" i="5"/>
  <c r="G383" i="5" s="1"/>
  <c r="S383" i="5"/>
  <c r="I383" i="5"/>
  <c r="AD382" i="5"/>
  <c r="Z382" i="5"/>
  <c r="C382" i="5" s="1"/>
  <c r="Y382" i="5"/>
  <c r="X382" i="5"/>
  <c r="V382" i="5"/>
  <c r="T382" i="5"/>
  <c r="G382" i="5" s="1"/>
  <c r="S382" i="5"/>
  <c r="I382" i="5"/>
  <c r="AD381" i="5"/>
  <c r="Z381" i="5"/>
  <c r="C381" i="5" s="1"/>
  <c r="Y381" i="5"/>
  <c r="X381" i="5"/>
  <c r="F381" i="5" s="1"/>
  <c r="V381" i="5"/>
  <c r="T381" i="5"/>
  <c r="G381" i="5" s="1"/>
  <c r="S381" i="5"/>
  <c r="I381" i="5"/>
  <c r="AD380" i="5"/>
  <c r="Z380" i="5"/>
  <c r="C380" i="5" s="1"/>
  <c r="Y380" i="5"/>
  <c r="X380" i="5"/>
  <c r="F380" i="5" s="1"/>
  <c r="V380" i="5"/>
  <c r="T380" i="5"/>
  <c r="G380" i="5" s="1"/>
  <c r="S380" i="5"/>
  <c r="I380" i="5"/>
  <c r="AD379" i="5"/>
  <c r="Z379" i="5"/>
  <c r="C379" i="5" s="1"/>
  <c r="Y379" i="5"/>
  <c r="X379" i="5"/>
  <c r="V379" i="5"/>
  <c r="T379" i="5"/>
  <c r="G379" i="5" s="1"/>
  <c r="S379" i="5"/>
  <c r="I379" i="5"/>
  <c r="AD294" i="5"/>
  <c r="Z294" i="5"/>
  <c r="C294" i="5" s="1"/>
  <c r="Y294" i="5"/>
  <c r="X294" i="5"/>
  <c r="F294" i="5" s="1"/>
  <c r="V294" i="5"/>
  <c r="T294" i="5"/>
  <c r="G294" i="5" s="1"/>
  <c r="S294" i="5"/>
  <c r="I294" i="5"/>
  <c r="AD293" i="5"/>
  <c r="Z293" i="5"/>
  <c r="C293" i="5" s="1"/>
  <c r="Y293" i="5"/>
  <c r="X293" i="5"/>
  <c r="V293" i="5"/>
  <c r="T293" i="5"/>
  <c r="G293" i="5" s="1"/>
  <c r="S293" i="5"/>
  <c r="I293" i="5"/>
  <c r="AD292" i="5"/>
  <c r="Z292" i="5"/>
  <c r="C292" i="5" s="1"/>
  <c r="Y292" i="5"/>
  <c r="X292" i="5"/>
  <c r="F292" i="5" s="1"/>
  <c r="V292" i="5"/>
  <c r="T292" i="5"/>
  <c r="G292" i="5" s="1"/>
  <c r="S292" i="5"/>
  <c r="I292" i="5"/>
  <c r="AD291" i="5"/>
  <c r="Z291" i="5"/>
  <c r="C291" i="5" s="1"/>
  <c r="Y291" i="5"/>
  <c r="X291" i="5"/>
  <c r="F291" i="5" s="1"/>
  <c r="V291" i="5"/>
  <c r="T291" i="5"/>
  <c r="G291" i="5" s="1"/>
  <c r="S291" i="5"/>
  <c r="I291" i="5"/>
  <c r="AD290" i="5"/>
  <c r="Z290" i="5"/>
  <c r="C290" i="5" s="1"/>
  <c r="Y290" i="5"/>
  <c r="X290" i="5"/>
  <c r="V290" i="5"/>
  <c r="T290" i="5"/>
  <c r="G290" i="5" s="1"/>
  <c r="S290" i="5"/>
  <c r="I290" i="5"/>
  <c r="AD289" i="5"/>
  <c r="Z289" i="5"/>
  <c r="C289" i="5" s="1"/>
  <c r="Y289" i="5"/>
  <c r="X289" i="5"/>
  <c r="F289" i="5" s="1"/>
  <c r="V289" i="5"/>
  <c r="T289" i="5"/>
  <c r="G289" i="5" s="1"/>
  <c r="S289" i="5"/>
  <c r="I289" i="5"/>
  <c r="AD288" i="5"/>
  <c r="Z288" i="5"/>
  <c r="C288" i="5" s="1"/>
  <c r="Y288" i="5"/>
  <c r="X288" i="5"/>
  <c r="V288" i="5"/>
  <c r="T288" i="5"/>
  <c r="G288" i="5" s="1"/>
  <c r="S288" i="5"/>
  <c r="I288" i="5"/>
  <c r="AD287" i="5"/>
  <c r="Z287" i="5"/>
  <c r="C287" i="5" s="1"/>
  <c r="Y287" i="5"/>
  <c r="X287" i="5"/>
  <c r="F287" i="5" s="1"/>
  <c r="V287" i="5"/>
  <c r="T287" i="5"/>
  <c r="G287" i="5" s="1"/>
  <c r="S287" i="5"/>
  <c r="I287" i="5"/>
  <c r="AD286" i="5"/>
  <c r="Z286" i="5"/>
  <c r="C286" i="5" s="1"/>
  <c r="Y286" i="5"/>
  <c r="X286" i="5"/>
  <c r="F286" i="5" s="1"/>
  <c r="V286" i="5"/>
  <c r="T286" i="5"/>
  <c r="G286" i="5" s="1"/>
  <c r="S286" i="5"/>
  <c r="I286" i="5"/>
  <c r="AD262" i="5"/>
  <c r="Z262" i="5"/>
  <c r="C262" i="5" s="1"/>
  <c r="Y262" i="5"/>
  <c r="X262" i="5"/>
  <c r="F262" i="5" s="1"/>
  <c r="V262" i="5"/>
  <c r="T262" i="5"/>
  <c r="G262" i="5" s="1"/>
  <c r="S262" i="5"/>
  <c r="I262" i="5"/>
  <c r="AD261" i="5"/>
  <c r="Z261" i="5"/>
  <c r="C261" i="5" s="1"/>
  <c r="Y261" i="5"/>
  <c r="X261" i="5"/>
  <c r="F261" i="5" s="1"/>
  <c r="V261" i="5"/>
  <c r="T261" i="5"/>
  <c r="G261" i="5" s="1"/>
  <c r="S261" i="5"/>
  <c r="I261" i="5"/>
  <c r="AD260" i="5"/>
  <c r="Z260" i="5"/>
  <c r="C260" i="5" s="1"/>
  <c r="Y260" i="5"/>
  <c r="X260" i="5"/>
  <c r="F260" i="5" s="1"/>
  <c r="V260" i="5"/>
  <c r="T260" i="5"/>
  <c r="G260" i="5" s="1"/>
  <c r="S260" i="5"/>
  <c r="I260" i="5"/>
  <c r="AD259" i="5"/>
  <c r="Z259" i="5"/>
  <c r="C259" i="5" s="1"/>
  <c r="Y259" i="5"/>
  <c r="X259" i="5"/>
  <c r="F259" i="5" s="1"/>
  <c r="V259" i="5"/>
  <c r="T259" i="5"/>
  <c r="G259" i="5" s="1"/>
  <c r="S259" i="5"/>
  <c r="I259" i="5"/>
  <c r="AD258" i="5"/>
  <c r="Z258" i="5"/>
  <c r="C258" i="5" s="1"/>
  <c r="Y258" i="5"/>
  <c r="X258" i="5"/>
  <c r="F258" i="5" s="1"/>
  <c r="V258" i="5"/>
  <c r="T258" i="5"/>
  <c r="G258" i="5" s="1"/>
  <c r="S258" i="5"/>
  <c r="I258" i="5"/>
  <c r="AD257" i="5"/>
  <c r="Z257" i="5"/>
  <c r="C257" i="5" s="1"/>
  <c r="Y257" i="5"/>
  <c r="X257" i="5"/>
  <c r="F257" i="5" s="1"/>
  <c r="V257" i="5"/>
  <c r="T257" i="5"/>
  <c r="G257" i="5" s="1"/>
  <c r="S257" i="5"/>
  <c r="I257" i="5"/>
  <c r="AD256" i="5"/>
  <c r="Z256" i="5"/>
  <c r="C256" i="5" s="1"/>
  <c r="Y256" i="5"/>
  <c r="X256" i="5"/>
  <c r="F256" i="5" s="1"/>
  <c r="V256" i="5"/>
  <c r="T256" i="5"/>
  <c r="G256" i="5" s="1"/>
  <c r="S256" i="5"/>
  <c r="I256" i="5"/>
  <c r="AD255" i="5"/>
  <c r="Z255" i="5"/>
  <c r="C255" i="5" s="1"/>
  <c r="Y255" i="5"/>
  <c r="X255" i="5"/>
  <c r="F255" i="5" s="1"/>
  <c r="V255" i="5"/>
  <c r="T255" i="5"/>
  <c r="G255" i="5" s="1"/>
  <c r="S255" i="5"/>
  <c r="I255" i="5"/>
  <c r="AD229" i="5"/>
  <c r="Z229" i="5"/>
  <c r="C229" i="5" s="1"/>
  <c r="Y229" i="5"/>
  <c r="X229" i="5"/>
  <c r="V229" i="5"/>
  <c r="T229" i="5"/>
  <c r="G229" i="5" s="1"/>
  <c r="S229" i="5"/>
  <c r="I229" i="5"/>
  <c r="AD228" i="5"/>
  <c r="Z228" i="5"/>
  <c r="C228" i="5" s="1"/>
  <c r="Y228" i="5"/>
  <c r="X228" i="5"/>
  <c r="F228" i="5" s="1"/>
  <c r="V228" i="5"/>
  <c r="T228" i="5"/>
  <c r="G228" i="5" s="1"/>
  <c r="S228" i="5"/>
  <c r="I228" i="5"/>
  <c r="AD227" i="5"/>
  <c r="Z227" i="5"/>
  <c r="C227" i="5" s="1"/>
  <c r="Y227" i="5"/>
  <c r="X227" i="5"/>
  <c r="V227" i="5"/>
  <c r="T227" i="5"/>
  <c r="G227" i="5" s="1"/>
  <c r="S227" i="5"/>
  <c r="I227" i="5"/>
  <c r="AD226" i="5"/>
  <c r="Z226" i="5"/>
  <c r="C226" i="5" s="1"/>
  <c r="Y226" i="5"/>
  <c r="X226" i="5"/>
  <c r="F226" i="5" s="1"/>
  <c r="V226" i="5"/>
  <c r="T226" i="5"/>
  <c r="G226" i="5" s="1"/>
  <c r="S226" i="5"/>
  <c r="I226" i="5"/>
  <c r="AD225" i="5"/>
  <c r="Z225" i="5"/>
  <c r="C225" i="5" s="1"/>
  <c r="Y225" i="5"/>
  <c r="X225" i="5"/>
  <c r="F225" i="5" s="1"/>
  <c r="V225" i="5"/>
  <c r="T225" i="5"/>
  <c r="G225" i="5" s="1"/>
  <c r="S225" i="5"/>
  <c r="I225" i="5"/>
  <c r="AD224" i="5"/>
  <c r="Z224" i="5"/>
  <c r="C224" i="5" s="1"/>
  <c r="Y224" i="5"/>
  <c r="X224" i="5"/>
  <c r="V224" i="5"/>
  <c r="T224" i="5"/>
  <c r="G224" i="5" s="1"/>
  <c r="S224" i="5"/>
  <c r="I224" i="5"/>
  <c r="AD223" i="5"/>
  <c r="Z223" i="5"/>
  <c r="C223" i="5" s="1"/>
  <c r="Y223" i="5"/>
  <c r="X223" i="5"/>
  <c r="F223" i="5" s="1"/>
  <c r="V223" i="5"/>
  <c r="T223" i="5"/>
  <c r="G223" i="5" s="1"/>
  <c r="S223" i="5"/>
  <c r="I223" i="5"/>
  <c r="AD222" i="5"/>
  <c r="Z222" i="5"/>
  <c r="C222" i="5" s="1"/>
  <c r="Y222" i="5"/>
  <c r="X222" i="5"/>
  <c r="V222" i="5"/>
  <c r="T222" i="5"/>
  <c r="G222" i="5" s="1"/>
  <c r="S222" i="5"/>
  <c r="I222" i="5"/>
  <c r="AD181" i="5"/>
  <c r="Z181" i="5"/>
  <c r="C181" i="5" s="1"/>
  <c r="Y181" i="5"/>
  <c r="X181" i="5"/>
  <c r="F181" i="5" s="1"/>
  <c r="V181" i="5"/>
  <c r="T181" i="5"/>
  <c r="G181" i="5" s="1"/>
  <c r="S181" i="5"/>
  <c r="I181" i="5"/>
  <c r="AD180" i="5"/>
  <c r="Z180" i="5"/>
  <c r="C180" i="5" s="1"/>
  <c r="Y180" i="5"/>
  <c r="X180" i="5"/>
  <c r="F180" i="5" s="1"/>
  <c r="V180" i="5"/>
  <c r="T180" i="5"/>
  <c r="G180" i="5" s="1"/>
  <c r="S180" i="5"/>
  <c r="I180" i="5"/>
  <c r="AD179" i="5"/>
  <c r="Z179" i="5"/>
  <c r="C179" i="5" s="1"/>
  <c r="Y179" i="5"/>
  <c r="X179" i="5"/>
  <c r="V179" i="5"/>
  <c r="T179" i="5"/>
  <c r="G179" i="5" s="1"/>
  <c r="S179" i="5"/>
  <c r="I179" i="5"/>
  <c r="AD178" i="5"/>
  <c r="Z178" i="5"/>
  <c r="C178" i="5" s="1"/>
  <c r="Y178" i="5"/>
  <c r="X178" i="5"/>
  <c r="F178" i="5" s="1"/>
  <c r="V178" i="5"/>
  <c r="T178" i="5"/>
  <c r="G178" i="5" s="1"/>
  <c r="S178" i="5"/>
  <c r="I178" i="5"/>
  <c r="AD177" i="5"/>
  <c r="Z177" i="5"/>
  <c r="C177" i="5" s="1"/>
  <c r="Y177" i="5"/>
  <c r="X177" i="5"/>
  <c r="V177" i="5"/>
  <c r="T177" i="5"/>
  <c r="G177" i="5" s="1"/>
  <c r="S177" i="5"/>
  <c r="I177" i="5"/>
  <c r="AD197" i="5"/>
  <c r="Z197" i="5"/>
  <c r="C197" i="5" s="1"/>
  <c r="Y197" i="5"/>
  <c r="X197" i="5"/>
  <c r="F197" i="5" s="1"/>
  <c r="V197" i="5"/>
  <c r="T197" i="5"/>
  <c r="G197" i="5" s="1"/>
  <c r="S197" i="5"/>
  <c r="I197" i="5"/>
  <c r="AD196" i="5"/>
  <c r="Z196" i="5"/>
  <c r="C196" i="5" s="1"/>
  <c r="Y196" i="5"/>
  <c r="X196" i="5"/>
  <c r="F196" i="5" s="1"/>
  <c r="V196" i="5"/>
  <c r="T196" i="5"/>
  <c r="G196" i="5" s="1"/>
  <c r="S196" i="5"/>
  <c r="I196" i="5"/>
  <c r="AD195" i="5"/>
  <c r="Z195" i="5"/>
  <c r="C195" i="5" s="1"/>
  <c r="Y195" i="5"/>
  <c r="X195" i="5"/>
  <c r="V195" i="5"/>
  <c r="T195" i="5"/>
  <c r="G195" i="5" s="1"/>
  <c r="S195" i="5"/>
  <c r="I195" i="5"/>
  <c r="AD194" i="5"/>
  <c r="Z194" i="5"/>
  <c r="C194" i="5" s="1"/>
  <c r="Y194" i="5"/>
  <c r="X194" i="5"/>
  <c r="F194" i="5" s="1"/>
  <c r="V194" i="5"/>
  <c r="T194" i="5"/>
  <c r="G194" i="5" s="1"/>
  <c r="S194" i="5"/>
  <c r="I194" i="5"/>
  <c r="AD176" i="5"/>
  <c r="Z176" i="5"/>
  <c r="C176" i="5" s="1"/>
  <c r="Y176" i="5"/>
  <c r="X176" i="5"/>
  <c r="V176" i="5"/>
  <c r="T176" i="5"/>
  <c r="G176" i="5" s="1"/>
  <c r="S176" i="5"/>
  <c r="I176" i="5"/>
  <c r="AD175" i="5"/>
  <c r="Z175" i="5"/>
  <c r="C175" i="5" s="1"/>
  <c r="Y175" i="5"/>
  <c r="X175" i="5"/>
  <c r="F175" i="5" s="1"/>
  <c r="V175" i="5"/>
  <c r="T175" i="5"/>
  <c r="G175" i="5" s="1"/>
  <c r="S175" i="5"/>
  <c r="I175" i="5"/>
  <c r="AD174" i="5"/>
  <c r="Z174" i="5"/>
  <c r="C174" i="5" s="1"/>
  <c r="Y174" i="5"/>
  <c r="X174" i="5"/>
  <c r="F174" i="5" s="1"/>
  <c r="V174" i="5"/>
  <c r="T174" i="5"/>
  <c r="G174" i="5" s="1"/>
  <c r="S174" i="5"/>
  <c r="I174" i="5"/>
  <c r="AD85" i="5"/>
  <c r="Z85" i="5"/>
  <c r="C85" i="5" s="1"/>
  <c r="Y85" i="5"/>
  <c r="X85" i="5"/>
  <c r="V85" i="5"/>
  <c r="T85" i="5"/>
  <c r="G85" i="5" s="1"/>
  <c r="S85" i="5"/>
  <c r="I85" i="5"/>
  <c r="AD84" i="5"/>
  <c r="Z84" i="5"/>
  <c r="C84" i="5" s="1"/>
  <c r="Y84" i="5"/>
  <c r="X84" i="5"/>
  <c r="F84" i="5" s="1"/>
  <c r="V84" i="5"/>
  <c r="T84" i="5"/>
  <c r="G84" i="5" s="1"/>
  <c r="S84" i="5"/>
  <c r="I84" i="5"/>
  <c r="AD83" i="5"/>
  <c r="Z83" i="5"/>
  <c r="C83" i="5" s="1"/>
  <c r="Y83" i="5"/>
  <c r="X83" i="5"/>
  <c r="V83" i="5"/>
  <c r="T83" i="5"/>
  <c r="G83" i="5" s="1"/>
  <c r="S83" i="5"/>
  <c r="I83" i="5"/>
  <c r="AD82" i="5"/>
  <c r="Z82" i="5"/>
  <c r="C82" i="5" s="1"/>
  <c r="Y82" i="5"/>
  <c r="X82" i="5"/>
  <c r="F82" i="5" s="1"/>
  <c r="V82" i="5"/>
  <c r="T82" i="5"/>
  <c r="G82" i="5" s="1"/>
  <c r="S82" i="5"/>
  <c r="I82" i="5"/>
  <c r="AD81" i="5"/>
  <c r="Z81" i="5"/>
  <c r="C81" i="5" s="1"/>
  <c r="Y81" i="5"/>
  <c r="X81" i="5"/>
  <c r="F81" i="5" s="1"/>
  <c r="V81" i="5"/>
  <c r="T81" i="5"/>
  <c r="G81" i="5" s="1"/>
  <c r="S81" i="5"/>
  <c r="I81" i="5"/>
  <c r="AD133" i="5"/>
  <c r="Z133" i="5"/>
  <c r="C133" i="5" s="1"/>
  <c r="Y133" i="5"/>
  <c r="X133" i="5"/>
  <c r="F133" i="5" s="1"/>
  <c r="V133" i="5"/>
  <c r="T133" i="5"/>
  <c r="G133" i="5" s="1"/>
  <c r="S133" i="5"/>
  <c r="I133" i="5"/>
  <c r="AD132" i="5"/>
  <c r="Z132" i="5"/>
  <c r="C132" i="5" s="1"/>
  <c r="Y132" i="5"/>
  <c r="X132" i="5"/>
  <c r="V132" i="5"/>
  <c r="T132" i="5"/>
  <c r="G132" i="5" s="1"/>
  <c r="S132" i="5"/>
  <c r="I132" i="5"/>
  <c r="AD131" i="5"/>
  <c r="Z131" i="5"/>
  <c r="C131" i="5" s="1"/>
  <c r="Y131" i="5"/>
  <c r="X131" i="5"/>
  <c r="F131" i="5" s="1"/>
  <c r="V131" i="5"/>
  <c r="T131" i="5"/>
  <c r="G131" i="5" s="1"/>
  <c r="S131" i="5"/>
  <c r="I131" i="5"/>
  <c r="AD130" i="5"/>
  <c r="Z130" i="5"/>
  <c r="C130" i="5" s="1"/>
  <c r="Y130" i="5"/>
  <c r="X130" i="5"/>
  <c r="F130" i="5" s="1"/>
  <c r="V130" i="5"/>
  <c r="T130" i="5"/>
  <c r="G130" i="5" s="1"/>
  <c r="S130" i="5"/>
  <c r="I130" i="5"/>
  <c r="AD129" i="5"/>
  <c r="Z129" i="5"/>
  <c r="C129" i="5" s="1"/>
  <c r="Y129" i="5"/>
  <c r="X129" i="5"/>
  <c r="V129" i="5"/>
  <c r="T129" i="5"/>
  <c r="G129" i="5" s="1"/>
  <c r="S129" i="5"/>
  <c r="I129" i="5"/>
  <c r="AD128" i="5"/>
  <c r="Z128" i="5"/>
  <c r="C128" i="5" s="1"/>
  <c r="Y128" i="5"/>
  <c r="X128" i="5"/>
  <c r="F128" i="5" s="1"/>
  <c r="V128" i="5"/>
  <c r="T128" i="5"/>
  <c r="G128" i="5" s="1"/>
  <c r="S128" i="5"/>
  <c r="I128" i="5"/>
  <c r="AD127" i="5"/>
  <c r="Z127" i="5"/>
  <c r="C127" i="5" s="1"/>
  <c r="Y127" i="5"/>
  <c r="X127" i="5"/>
  <c r="V127" i="5"/>
  <c r="T127" i="5"/>
  <c r="G127" i="5" s="1"/>
  <c r="S127" i="5"/>
  <c r="I127" i="5"/>
  <c r="AD126" i="5"/>
  <c r="Z126" i="5"/>
  <c r="C126" i="5" s="1"/>
  <c r="Y126" i="5"/>
  <c r="X126" i="5"/>
  <c r="F126" i="5" s="1"/>
  <c r="V126" i="5"/>
  <c r="T126" i="5"/>
  <c r="G126" i="5" s="1"/>
  <c r="S126" i="5"/>
  <c r="I126" i="5"/>
  <c r="AD125" i="5"/>
  <c r="Z125" i="5"/>
  <c r="C125" i="5" s="1"/>
  <c r="Y125" i="5"/>
  <c r="X125" i="5"/>
  <c r="F125" i="5" s="1"/>
  <c r="V125" i="5"/>
  <c r="T125" i="5"/>
  <c r="G125" i="5" s="1"/>
  <c r="S125" i="5"/>
  <c r="I125" i="5"/>
  <c r="AD101" i="5"/>
  <c r="Z101" i="5"/>
  <c r="C101" i="5" s="1"/>
  <c r="Y101" i="5"/>
  <c r="X101" i="5"/>
  <c r="V101" i="5"/>
  <c r="T101" i="5"/>
  <c r="G101" i="5" s="1"/>
  <c r="S101" i="5"/>
  <c r="I101" i="5"/>
  <c r="AD100" i="5"/>
  <c r="Z100" i="5"/>
  <c r="C100" i="5" s="1"/>
  <c r="Y100" i="5"/>
  <c r="X100" i="5"/>
  <c r="F100" i="5" s="1"/>
  <c r="V100" i="5"/>
  <c r="T100" i="5"/>
  <c r="G100" i="5" s="1"/>
  <c r="S100" i="5"/>
  <c r="I100" i="5"/>
  <c r="AD99" i="5"/>
  <c r="Z99" i="5"/>
  <c r="C99" i="5" s="1"/>
  <c r="Y99" i="5"/>
  <c r="X99" i="5"/>
  <c r="F99" i="5" s="1"/>
  <c r="V99" i="5"/>
  <c r="T99" i="5"/>
  <c r="G99" i="5" s="1"/>
  <c r="S99" i="5"/>
  <c r="I99" i="5"/>
  <c r="AD98" i="5"/>
  <c r="Z98" i="5"/>
  <c r="C98" i="5" s="1"/>
  <c r="Y98" i="5"/>
  <c r="X98" i="5"/>
  <c r="V98" i="5"/>
  <c r="T98" i="5"/>
  <c r="G98" i="5" s="1"/>
  <c r="S98" i="5"/>
  <c r="I98" i="5"/>
  <c r="AD97" i="5"/>
  <c r="Z97" i="5"/>
  <c r="C97" i="5" s="1"/>
  <c r="Y97" i="5"/>
  <c r="X97" i="5"/>
  <c r="F97" i="5" s="1"/>
  <c r="V97" i="5"/>
  <c r="T97" i="5"/>
  <c r="G97" i="5" s="1"/>
  <c r="S97" i="5"/>
  <c r="I97" i="5"/>
  <c r="AD96" i="5"/>
  <c r="Z96" i="5"/>
  <c r="C96" i="5" s="1"/>
  <c r="Y96" i="5"/>
  <c r="X96" i="5"/>
  <c r="F96" i="5" s="1"/>
  <c r="V96" i="5"/>
  <c r="T96" i="5"/>
  <c r="G96" i="5" s="1"/>
  <c r="S96" i="5"/>
  <c r="I96" i="5"/>
  <c r="AD80" i="5"/>
  <c r="Z80" i="5"/>
  <c r="C80" i="5" s="1"/>
  <c r="Y80" i="5"/>
  <c r="X80" i="5"/>
  <c r="F80" i="5" s="1"/>
  <c r="V80" i="5"/>
  <c r="T80" i="5"/>
  <c r="G80" i="5" s="1"/>
  <c r="S80" i="5"/>
  <c r="I80" i="5"/>
  <c r="AD79" i="5"/>
  <c r="Z79" i="5"/>
  <c r="C79" i="5" s="1"/>
  <c r="Y79" i="5"/>
  <c r="X79" i="5"/>
  <c r="F79" i="5" s="1"/>
  <c r="V79" i="5"/>
  <c r="T79" i="5"/>
  <c r="G79" i="5" s="1"/>
  <c r="S79" i="5"/>
  <c r="I79" i="5"/>
  <c r="AD78" i="5"/>
  <c r="Z78" i="5"/>
  <c r="C78" i="5" s="1"/>
  <c r="Y78" i="5"/>
  <c r="X78" i="5"/>
  <c r="V78" i="5"/>
  <c r="T78" i="5"/>
  <c r="G78" i="5" s="1"/>
  <c r="S78" i="5"/>
  <c r="I78" i="5"/>
  <c r="AD77" i="5"/>
  <c r="Z77" i="5"/>
  <c r="C77" i="5" s="1"/>
  <c r="Y77" i="5"/>
  <c r="X77" i="5"/>
  <c r="F77" i="5" s="1"/>
  <c r="V77" i="5"/>
  <c r="T77" i="5"/>
  <c r="G77" i="5" s="1"/>
  <c r="S77" i="5"/>
  <c r="I77" i="5"/>
  <c r="AD76" i="5"/>
  <c r="Z76" i="5"/>
  <c r="C76" i="5" s="1"/>
  <c r="Y76" i="5"/>
  <c r="X76" i="5"/>
  <c r="V76" i="5"/>
  <c r="T76" i="5"/>
  <c r="G76" i="5" s="1"/>
  <c r="S76" i="5"/>
  <c r="I76" i="5"/>
  <c r="AD75" i="5"/>
  <c r="Z75" i="5"/>
  <c r="C75" i="5" s="1"/>
  <c r="Y75" i="5"/>
  <c r="X75" i="5"/>
  <c r="F75" i="5" s="1"/>
  <c r="V75" i="5"/>
  <c r="T75" i="5"/>
  <c r="G75" i="5" s="1"/>
  <c r="S75" i="5"/>
  <c r="I75" i="5"/>
  <c r="AD74" i="5"/>
  <c r="Z74" i="5"/>
  <c r="C74" i="5" s="1"/>
  <c r="Y74" i="5"/>
  <c r="X74" i="5"/>
  <c r="V74" i="5"/>
  <c r="T74" i="5"/>
  <c r="G74" i="5" s="1"/>
  <c r="S74" i="5"/>
  <c r="I74" i="5"/>
  <c r="AD73" i="5"/>
  <c r="Z73" i="5"/>
  <c r="C73" i="5" s="1"/>
  <c r="Y73" i="5"/>
  <c r="X73" i="5"/>
  <c r="F73" i="5" s="1"/>
  <c r="V73" i="5"/>
  <c r="T73" i="5"/>
  <c r="G73" i="5" s="1"/>
  <c r="S73" i="5"/>
  <c r="I73" i="5"/>
  <c r="AD72" i="5"/>
  <c r="Z72" i="5"/>
  <c r="C72" i="5" s="1"/>
  <c r="Y72" i="5"/>
  <c r="X72" i="5"/>
  <c r="F72" i="5" s="1"/>
  <c r="V72" i="5"/>
  <c r="T72" i="5"/>
  <c r="G72" i="5" s="1"/>
  <c r="S72" i="5"/>
  <c r="I72" i="5"/>
  <c r="AD213" i="5"/>
  <c r="Z213" i="5"/>
  <c r="C213" i="5" s="1"/>
  <c r="Y213" i="5"/>
  <c r="X213" i="5"/>
  <c r="F213" i="5" s="1"/>
  <c r="V213" i="5"/>
  <c r="T213" i="5"/>
  <c r="G213" i="5" s="1"/>
  <c r="S213" i="5"/>
  <c r="I213" i="5"/>
  <c r="AD212" i="5"/>
  <c r="Z212" i="5"/>
  <c r="C212" i="5" s="1"/>
  <c r="Y212" i="5"/>
  <c r="X212" i="5"/>
  <c r="V212" i="5"/>
  <c r="T212" i="5"/>
  <c r="G212" i="5" s="1"/>
  <c r="S212" i="5"/>
  <c r="I212" i="5"/>
  <c r="AD211" i="5"/>
  <c r="Z211" i="5"/>
  <c r="C211" i="5" s="1"/>
  <c r="Y211" i="5"/>
  <c r="X211" i="5"/>
  <c r="F211" i="5" s="1"/>
  <c r="V211" i="5"/>
  <c r="T211" i="5"/>
  <c r="G211" i="5" s="1"/>
  <c r="S211" i="5"/>
  <c r="I211" i="5"/>
  <c r="AD210" i="5"/>
  <c r="Z210" i="5"/>
  <c r="C210" i="5" s="1"/>
  <c r="Y210" i="5"/>
  <c r="X210" i="5"/>
  <c r="V210" i="5"/>
  <c r="T210" i="5"/>
  <c r="G210" i="5" s="1"/>
  <c r="S210" i="5"/>
  <c r="I210" i="5"/>
  <c r="AD209" i="5"/>
  <c r="Z209" i="5"/>
  <c r="C209" i="5" s="1"/>
  <c r="Y209" i="5"/>
  <c r="X209" i="5"/>
  <c r="V209" i="5"/>
  <c r="T209" i="5"/>
  <c r="G209" i="5" s="1"/>
  <c r="S209" i="5"/>
  <c r="I209" i="5"/>
  <c r="AD21" i="5"/>
  <c r="Z21" i="5"/>
  <c r="C21" i="5" s="1"/>
  <c r="Y21" i="5"/>
  <c r="X21" i="5"/>
  <c r="F21" i="5" s="1"/>
  <c r="V21" i="5"/>
  <c r="T21" i="5"/>
  <c r="G21" i="5" s="1"/>
  <c r="S21" i="5"/>
  <c r="I21" i="5"/>
  <c r="AD20" i="5"/>
  <c r="Z20" i="5"/>
  <c r="C20" i="5" s="1"/>
  <c r="Y20" i="5"/>
  <c r="X20" i="5"/>
  <c r="V20" i="5"/>
  <c r="T20" i="5"/>
  <c r="G20" i="5" s="1"/>
  <c r="S20" i="5"/>
  <c r="I20" i="5"/>
  <c r="AD19" i="5"/>
  <c r="Z19" i="5"/>
  <c r="C19" i="5" s="1"/>
  <c r="Y19" i="5"/>
  <c r="X19" i="5"/>
  <c r="F19" i="5" s="1"/>
  <c r="V19" i="5"/>
  <c r="T19" i="5"/>
  <c r="G19" i="5" s="1"/>
  <c r="S19" i="5"/>
  <c r="I19" i="5"/>
  <c r="AD18" i="5"/>
  <c r="Z18" i="5"/>
  <c r="C18" i="5" s="1"/>
  <c r="Y18" i="5"/>
  <c r="X18" i="5"/>
  <c r="V18" i="5"/>
  <c r="T18" i="5"/>
  <c r="G18" i="5" s="1"/>
  <c r="S18" i="5"/>
  <c r="I18" i="5"/>
  <c r="AD17" i="5"/>
  <c r="Z17" i="5"/>
  <c r="C17" i="5" s="1"/>
  <c r="Y17" i="5"/>
  <c r="X17" i="5"/>
  <c r="V17" i="5"/>
  <c r="T17" i="5"/>
  <c r="G17" i="5" s="1"/>
  <c r="S17" i="5"/>
  <c r="I17" i="5"/>
  <c r="AD16" i="5"/>
  <c r="Z16" i="5"/>
  <c r="C16" i="5" s="1"/>
  <c r="Y16" i="5"/>
  <c r="X16" i="5"/>
  <c r="F16" i="5" s="1"/>
  <c r="V16" i="5"/>
  <c r="T16" i="5"/>
  <c r="G16" i="5" s="1"/>
  <c r="S16" i="5"/>
  <c r="I16" i="5"/>
  <c r="AD15" i="5"/>
  <c r="Z15" i="5"/>
  <c r="C15" i="5" s="1"/>
  <c r="Y15" i="5"/>
  <c r="X15" i="5"/>
  <c r="V15" i="5"/>
  <c r="T15" i="5"/>
  <c r="G15" i="5" s="1"/>
  <c r="S15" i="5"/>
  <c r="I15" i="5"/>
  <c r="AD14" i="5"/>
  <c r="Z14" i="5"/>
  <c r="C14" i="5" s="1"/>
  <c r="Y14" i="5"/>
  <c r="X14" i="5"/>
  <c r="F14" i="5" s="1"/>
  <c r="V14" i="5"/>
  <c r="T14" i="5"/>
  <c r="G14" i="5" s="1"/>
  <c r="S14" i="5"/>
  <c r="I14" i="5"/>
  <c r="AD13" i="5"/>
  <c r="Z13" i="5"/>
  <c r="C13" i="5" s="1"/>
  <c r="Y13" i="5"/>
  <c r="X13" i="5"/>
  <c r="V13" i="5"/>
  <c r="T13" i="5"/>
  <c r="G13" i="5" s="1"/>
  <c r="S13" i="5"/>
  <c r="I13" i="5"/>
  <c r="AD12" i="5"/>
  <c r="Z12" i="5"/>
  <c r="C12" i="5" s="1"/>
  <c r="Y12" i="5"/>
  <c r="X12" i="5"/>
  <c r="V12" i="5"/>
  <c r="T12" i="5"/>
  <c r="G12" i="5" s="1"/>
  <c r="S12" i="5"/>
  <c r="I12" i="5"/>
  <c r="AD11" i="5"/>
  <c r="Z11" i="5"/>
  <c r="C11" i="5" s="1"/>
  <c r="Y11" i="5"/>
  <c r="X11" i="5"/>
  <c r="F11" i="5" s="1"/>
  <c r="V11" i="5"/>
  <c r="T11" i="5"/>
  <c r="G11" i="5" s="1"/>
  <c r="S11" i="5"/>
  <c r="I11" i="5"/>
  <c r="AD10" i="5"/>
  <c r="Z10" i="5"/>
  <c r="C10" i="5" s="1"/>
  <c r="Y10" i="5"/>
  <c r="X10" i="5"/>
  <c r="V10" i="5"/>
  <c r="T10" i="5"/>
  <c r="G10" i="5" s="1"/>
  <c r="S10" i="5"/>
  <c r="I10" i="5"/>
  <c r="AD9" i="5"/>
  <c r="Z9" i="5"/>
  <c r="C9" i="5" s="1"/>
  <c r="Y9" i="5"/>
  <c r="X9" i="5"/>
  <c r="F9" i="5" s="1"/>
  <c r="V9" i="5"/>
  <c r="T9" i="5"/>
  <c r="G9" i="5" s="1"/>
  <c r="S9" i="5"/>
  <c r="I9" i="5"/>
  <c r="AD8" i="5"/>
  <c r="Z8" i="5"/>
  <c r="C8" i="5" s="1"/>
  <c r="Y8" i="5"/>
  <c r="X8" i="5"/>
  <c r="V8" i="5"/>
  <c r="T8" i="5"/>
  <c r="G8" i="5" s="1"/>
  <c r="S8" i="5"/>
  <c r="I8" i="5"/>
  <c r="AD7" i="5"/>
  <c r="Z7" i="5"/>
  <c r="C7" i="5" s="1"/>
  <c r="Y7" i="5"/>
  <c r="X7" i="5"/>
  <c r="V7" i="5"/>
  <c r="T7" i="5"/>
  <c r="G7" i="5" s="1"/>
  <c r="S7" i="5"/>
  <c r="I7" i="5"/>
  <c r="AD2" i="5"/>
  <c r="Z2" i="5"/>
  <c r="C2" i="5" s="1"/>
  <c r="Y2" i="5"/>
  <c r="X2" i="5"/>
  <c r="F2" i="5" s="1"/>
  <c r="V2" i="5"/>
  <c r="G2" i="5"/>
  <c r="I2" i="5"/>
  <c r="AD1036" i="5"/>
  <c r="Z1036" i="5"/>
  <c r="C1036" i="5" s="1"/>
  <c r="Y1036" i="5"/>
  <c r="X1036" i="5"/>
  <c r="V1036" i="5"/>
  <c r="T1036" i="5"/>
  <c r="G1036" i="5" s="1"/>
  <c r="S1036" i="5"/>
  <c r="I1036" i="5"/>
  <c r="AD1035" i="5"/>
  <c r="Z1035" i="5"/>
  <c r="C1035" i="5" s="1"/>
  <c r="Y1035" i="5"/>
  <c r="X1035" i="5"/>
  <c r="F1035" i="5" s="1"/>
  <c r="V1035" i="5"/>
  <c r="T1035" i="5"/>
  <c r="G1035" i="5" s="1"/>
  <c r="S1035" i="5"/>
  <c r="I1035" i="5"/>
  <c r="AD939" i="5"/>
  <c r="Z939" i="5"/>
  <c r="C939" i="5" s="1"/>
  <c r="Y939" i="5"/>
  <c r="X939" i="5"/>
  <c r="V939" i="5"/>
  <c r="T939" i="5"/>
  <c r="G939" i="5" s="1"/>
  <c r="S939" i="5"/>
  <c r="I939" i="5"/>
  <c r="AD938" i="5"/>
  <c r="Z938" i="5"/>
  <c r="C938" i="5" s="1"/>
  <c r="Y938" i="5"/>
  <c r="X938" i="5"/>
  <c r="V938" i="5"/>
  <c r="T938" i="5"/>
  <c r="G938" i="5" s="1"/>
  <c r="S938" i="5"/>
  <c r="I938" i="5"/>
  <c r="AD1034" i="5"/>
  <c r="Z1034" i="5"/>
  <c r="C1034" i="5" s="1"/>
  <c r="Y1034" i="5"/>
  <c r="X1034" i="5"/>
  <c r="F1034" i="5" s="1"/>
  <c r="V1034" i="5"/>
  <c r="T1034" i="5"/>
  <c r="G1034" i="5" s="1"/>
  <c r="S1034" i="5"/>
  <c r="I1034" i="5"/>
  <c r="AD1033" i="5"/>
  <c r="Z1033" i="5"/>
  <c r="C1033" i="5" s="1"/>
  <c r="Y1033" i="5"/>
  <c r="X1033" i="5"/>
  <c r="V1033" i="5"/>
  <c r="T1033" i="5"/>
  <c r="G1033" i="5" s="1"/>
  <c r="S1033" i="5"/>
  <c r="I1033" i="5"/>
  <c r="AD937" i="5"/>
  <c r="Z937" i="5"/>
  <c r="C937" i="5" s="1"/>
  <c r="Y937" i="5"/>
  <c r="X937" i="5"/>
  <c r="F937" i="5" s="1"/>
  <c r="V937" i="5"/>
  <c r="T937" i="5"/>
  <c r="G937" i="5" s="1"/>
  <c r="S937" i="5"/>
  <c r="I937" i="5"/>
  <c r="AD936" i="5"/>
  <c r="Z936" i="5"/>
  <c r="C936" i="5" s="1"/>
  <c r="Y936" i="5"/>
  <c r="X936" i="5"/>
  <c r="V936" i="5"/>
  <c r="T936" i="5"/>
  <c r="G936" i="5" s="1"/>
  <c r="S936" i="5"/>
  <c r="I936" i="5"/>
  <c r="AD1118" i="5"/>
  <c r="Z1118" i="5"/>
  <c r="C1118" i="5" s="1"/>
  <c r="Y1118" i="5"/>
  <c r="X1118" i="5"/>
  <c r="V1118" i="5"/>
  <c r="T1118" i="5"/>
  <c r="G1118" i="5" s="1"/>
  <c r="S1118" i="5"/>
  <c r="I1118" i="5"/>
  <c r="AD1117" i="5"/>
  <c r="Z1117" i="5"/>
  <c r="C1117" i="5" s="1"/>
  <c r="Y1117" i="5"/>
  <c r="X1117" i="5"/>
  <c r="F1117" i="5" s="1"/>
  <c r="V1117" i="5"/>
  <c r="T1117" i="5"/>
  <c r="G1117" i="5" s="1"/>
  <c r="S1117" i="5"/>
  <c r="I1117" i="5"/>
  <c r="AD1048" i="5"/>
  <c r="Z1048" i="5"/>
  <c r="C1048" i="5" s="1"/>
  <c r="Y1048" i="5"/>
  <c r="X1048" i="5"/>
  <c r="V1048" i="5"/>
  <c r="T1048" i="5"/>
  <c r="G1048" i="5" s="1"/>
  <c r="S1048" i="5"/>
  <c r="I1048" i="5"/>
  <c r="AD1047" i="5"/>
  <c r="Z1047" i="5"/>
  <c r="C1047" i="5" s="1"/>
  <c r="Y1047" i="5"/>
  <c r="X1047" i="5"/>
  <c r="F1047" i="5" s="1"/>
  <c r="V1047" i="5"/>
  <c r="T1047" i="5"/>
  <c r="G1047" i="5" s="1"/>
  <c r="S1047" i="5"/>
  <c r="I1047" i="5"/>
  <c r="AD956" i="5"/>
  <c r="Z956" i="5"/>
  <c r="C956" i="5" s="1"/>
  <c r="Y956" i="5"/>
  <c r="X956" i="5"/>
  <c r="V956" i="5"/>
  <c r="T956" i="5"/>
  <c r="G956" i="5" s="1"/>
  <c r="S956" i="5"/>
  <c r="I956" i="5"/>
  <c r="AD955" i="5"/>
  <c r="Z955" i="5"/>
  <c r="C955" i="5" s="1"/>
  <c r="Y955" i="5"/>
  <c r="X955" i="5"/>
  <c r="V955" i="5"/>
  <c r="T955" i="5"/>
  <c r="G955" i="5" s="1"/>
  <c r="S955" i="5"/>
  <c r="I955" i="5"/>
  <c r="AD1046" i="5"/>
  <c r="Z1046" i="5"/>
  <c r="C1046" i="5" s="1"/>
  <c r="Y1046" i="5"/>
  <c r="X1046" i="5"/>
  <c r="F1046" i="5" s="1"/>
  <c r="V1046" i="5"/>
  <c r="T1046" i="5"/>
  <c r="G1046" i="5" s="1"/>
  <c r="S1046" i="5"/>
  <c r="I1046" i="5"/>
  <c r="AD1045" i="5"/>
  <c r="Z1045" i="5"/>
  <c r="C1045" i="5" s="1"/>
  <c r="Y1045" i="5"/>
  <c r="X1045" i="5"/>
  <c r="V1045" i="5"/>
  <c r="T1045" i="5"/>
  <c r="G1045" i="5" s="1"/>
  <c r="S1045" i="5"/>
  <c r="I1045" i="5"/>
  <c r="AD954" i="5"/>
  <c r="Z954" i="5"/>
  <c r="C954" i="5" s="1"/>
  <c r="Y954" i="5"/>
  <c r="X954" i="5"/>
  <c r="F954" i="5" s="1"/>
  <c r="V954" i="5"/>
  <c r="T954" i="5"/>
  <c r="G954" i="5" s="1"/>
  <c r="S954" i="5"/>
  <c r="I954" i="5"/>
  <c r="AD953" i="5"/>
  <c r="Z953" i="5"/>
  <c r="C953" i="5" s="1"/>
  <c r="Y953" i="5"/>
  <c r="X953" i="5"/>
  <c r="V953" i="5"/>
  <c r="T953" i="5"/>
  <c r="G953" i="5" s="1"/>
  <c r="S953" i="5"/>
  <c r="I953" i="5"/>
  <c r="AD1032" i="5"/>
  <c r="Z1032" i="5"/>
  <c r="C1032" i="5" s="1"/>
  <c r="Y1032" i="5"/>
  <c r="X1032" i="5"/>
  <c r="V1032" i="5"/>
  <c r="T1032" i="5"/>
  <c r="G1032" i="5" s="1"/>
  <c r="S1032" i="5"/>
  <c r="I1032" i="5"/>
  <c r="AD1031" i="5"/>
  <c r="Z1031" i="5"/>
  <c r="C1031" i="5" s="1"/>
  <c r="Y1031" i="5"/>
  <c r="X1031" i="5"/>
  <c r="F1031" i="5" s="1"/>
  <c r="V1031" i="5"/>
  <c r="T1031" i="5"/>
  <c r="G1031" i="5" s="1"/>
  <c r="S1031" i="5"/>
  <c r="I1031" i="5"/>
  <c r="AD935" i="5"/>
  <c r="Z935" i="5"/>
  <c r="C935" i="5" s="1"/>
  <c r="Y935" i="5"/>
  <c r="X935" i="5"/>
  <c r="V935" i="5"/>
  <c r="T935" i="5"/>
  <c r="G935" i="5" s="1"/>
  <c r="S935" i="5"/>
  <c r="I935" i="5"/>
  <c r="AD934" i="5"/>
  <c r="Z934" i="5"/>
  <c r="C934" i="5" s="1"/>
  <c r="Y934" i="5"/>
  <c r="X934" i="5"/>
  <c r="F934" i="5" s="1"/>
  <c r="V934" i="5"/>
  <c r="T934" i="5"/>
  <c r="G934" i="5" s="1"/>
  <c r="S934" i="5"/>
  <c r="I934" i="5"/>
  <c r="AD1030" i="5"/>
  <c r="Z1030" i="5"/>
  <c r="C1030" i="5" s="1"/>
  <c r="Y1030" i="5"/>
  <c r="X1030" i="5"/>
  <c r="V1030" i="5"/>
  <c r="T1030" i="5"/>
  <c r="G1030" i="5" s="1"/>
  <c r="S1030" i="5"/>
  <c r="I1030" i="5"/>
  <c r="AD1029" i="5"/>
  <c r="Z1029" i="5"/>
  <c r="C1029" i="5" s="1"/>
  <c r="Y1029" i="5"/>
  <c r="X1029" i="5"/>
  <c r="V1029" i="5"/>
  <c r="T1029" i="5"/>
  <c r="G1029" i="5" s="1"/>
  <c r="S1029" i="5"/>
  <c r="I1029" i="5"/>
  <c r="AD933" i="5"/>
  <c r="Z933" i="5"/>
  <c r="C933" i="5" s="1"/>
  <c r="Y933" i="5"/>
  <c r="X933" i="5"/>
  <c r="F933" i="5" s="1"/>
  <c r="V933" i="5"/>
  <c r="T933" i="5"/>
  <c r="G933" i="5" s="1"/>
  <c r="S933" i="5"/>
  <c r="I933" i="5"/>
  <c r="AD932" i="5"/>
  <c r="Z932" i="5"/>
  <c r="C932" i="5" s="1"/>
  <c r="Y932" i="5"/>
  <c r="X932" i="5"/>
  <c r="V932" i="5"/>
  <c r="T932" i="5"/>
  <c r="G932" i="5" s="1"/>
  <c r="S932" i="5"/>
  <c r="I932" i="5"/>
  <c r="AD1044" i="5"/>
  <c r="Z1044" i="5"/>
  <c r="C1044" i="5" s="1"/>
  <c r="Y1044" i="5"/>
  <c r="X1044" i="5"/>
  <c r="F1044" i="5" s="1"/>
  <c r="V1044" i="5"/>
  <c r="T1044" i="5"/>
  <c r="G1044" i="5" s="1"/>
  <c r="S1044" i="5"/>
  <c r="I1044" i="5"/>
  <c r="AD1043" i="5"/>
  <c r="Z1043" i="5"/>
  <c r="C1043" i="5" s="1"/>
  <c r="Y1043" i="5"/>
  <c r="X1043" i="5"/>
  <c r="V1043" i="5"/>
  <c r="T1043" i="5"/>
  <c r="G1043" i="5" s="1"/>
  <c r="S1043" i="5"/>
  <c r="I1043" i="5"/>
  <c r="AD952" i="5"/>
  <c r="Z952" i="5"/>
  <c r="C952" i="5" s="1"/>
  <c r="Y952" i="5"/>
  <c r="X952" i="5"/>
  <c r="V952" i="5"/>
  <c r="T952" i="5"/>
  <c r="G952" i="5" s="1"/>
  <c r="S952" i="5"/>
  <c r="I952" i="5"/>
  <c r="AD951" i="5"/>
  <c r="Z951" i="5"/>
  <c r="C951" i="5" s="1"/>
  <c r="Y951" i="5"/>
  <c r="X951" i="5"/>
  <c r="F951" i="5" s="1"/>
  <c r="V951" i="5"/>
  <c r="T951" i="5"/>
  <c r="G951" i="5" s="1"/>
  <c r="S951" i="5"/>
  <c r="I951" i="5"/>
  <c r="AD1042" i="5"/>
  <c r="Z1042" i="5"/>
  <c r="C1042" i="5" s="1"/>
  <c r="Y1042" i="5"/>
  <c r="X1042" i="5"/>
  <c r="V1042" i="5"/>
  <c r="T1042" i="5"/>
  <c r="G1042" i="5" s="1"/>
  <c r="S1042" i="5"/>
  <c r="I1042" i="5"/>
  <c r="AD1041" i="5"/>
  <c r="Z1041" i="5"/>
  <c r="C1041" i="5" s="1"/>
  <c r="Y1041" i="5"/>
  <c r="X1041" i="5"/>
  <c r="F1041" i="5" s="1"/>
  <c r="V1041" i="5"/>
  <c r="T1041" i="5"/>
  <c r="G1041" i="5" s="1"/>
  <c r="S1041" i="5"/>
  <c r="I1041" i="5"/>
  <c r="AD950" i="5"/>
  <c r="Z950" i="5"/>
  <c r="C950" i="5" s="1"/>
  <c r="Y950" i="5"/>
  <c r="X950" i="5"/>
  <c r="V950" i="5"/>
  <c r="T950" i="5"/>
  <c r="G950" i="5" s="1"/>
  <c r="S950" i="5"/>
  <c r="I950" i="5"/>
  <c r="AD949" i="5"/>
  <c r="Z949" i="5"/>
  <c r="C949" i="5" s="1"/>
  <c r="Y949" i="5"/>
  <c r="X949" i="5"/>
  <c r="V949" i="5"/>
  <c r="T949" i="5"/>
  <c r="G949" i="5" s="1"/>
  <c r="S949" i="5"/>
  <c r="I949" i="5"/>
  <c r="AD1014" i="5"/>
  <c r="Z1014" i="5"/>
  <c r="C1014" i="5" s="1"/>
  <c r="Y1014" i="5"/>
  <c r="X1014" i="5"/>
  <c r="F1014" i="5" s="1"/>
  <c r="V1014" i="5"/>
  <c r="T1014" i="5"/>
  <c r="G1014" i="5" s="1"/>
  <c r="S1014" i="5"/>
  <c r="I1014" i="5"/>
  <c r="AD1013" i="5"/>
  <c r="Z1013" i="5"/>
  <c r="C1013" i="5" s="1"/>
  <c r="Y1013" i="5"/>
  <c r="X1013" i="5"/>
  <c r="V1013" i="5"/>
  <c r="T1013" i="5"/>
  <c r="G1013" i="5" s="1"/>
  <c r="S1013" i="5"/>
  <c r="I1013" i="5"/>
  <c r="AD910" i="5"/>
  <c r="Z910" i="5"/>
  <c r="C910" i="5" s="1"/>
  <c r="Y910" i="5"/>
  <c r="X910" i="5"/>
  <c r="F910" i="5" s="1"/>
  <c r="V910" i="5"/>
  <c r="T910" i="5"/>
  <c r="G910" i="5" s="1"/>
  <c r="S910" i="5"/>
  <c r="I910" i="5"/>
  <c r="AD909" i="5"/>
  <c r="Z909" i="5"/>
  <c r="C909" i="5" s="1"/>
  <c r="Y909" i="5"/>
  <c r="X909" i="5"/>
  <c r="V909" i="5"/>
  <c r="T909" i="5"/>
  <c r="G909" i="5" s="1"/>
  <c r="S909" i="5"/>
  <c r="I909" i="5"/>
  <c r="AD1012" i="5"/>
  <c r="Z1012" i="5"/>
  <c r="C1012" i="5" s="1"/>
  <c r="Y1012" i="5"/>
  <c r="X1012" i="5"/>
  <c r="V1012" i="5"/>
  <c r="T1012" i="5"/>
  <c r="G1012" i="5" s="1"/>
  <c r="S1012" i="5"/>
  <c r="I1012" i="5"/>
  <c r="AD1011" i="5"/>
  <c r="Z1011" i="5"/>
  <c r="C1011" i="5" s="1"/>
  <c r="Y1011" i="5"/>
  <c r="X1011" i="5"/>
  <c r="F1011" i="5" s="1"/>
  <c r="V1011" i="5"/>
  <c r="T1011" i="5"/>
  <c r="G1011" i="5" s="1"/>
  <c r="S1011" i="5"/>
  <c r="I1011" i="5"/>
  <c r="AD908" i="5"/>
  <c r="Z908" i="5"/>
  <c r="C908" i="5" s="1"/>
  <c r="Y908" i="5"/>
  <c r="X908" i="5"/>
  <c r="V908" i="5"/>
  <c r="T908" i="5"/>
  <c r="G908" i="5" s="1"/>
  <c r="S908" i="5"/>
  <c r="I908" i="5"/>
  <c r="AD907" i="5"/>
  <c r="Z907" i="5"/>
  <c r="C907" i="5" s="1"/>
  <c r="Y907" i="5"/>
  <c r="X907" i="5"/>
  <c r="F907" i="5" s="1"/>
  <c r="V907" i="5"/>
  <c r="T907" i="5"/>
  <c r="G907" i="5" s="1"/>
  <c r="S907" i="5"/>
  <c r="I907" i="5"/>
  <c r="AD1010" i="5"/>
  <c r="Z1010" i="5"/>
  <c r="C1010" i="5" s="1"/>
  <c r="Y1010" i="5"/>
  <c r="X1010" i="5"/>
  <c r="V1010" i="5"/>
  <c r="T1010" i="5"/>
  <c r="G1010" i="5" s="1"/>
  <c r="S1010" i="5"/>
  <c r="I1010" i="5"/>
  <c r="AD1009" i="5"/>
  <c r="Z1009" i="5"/>
  <c r="C1009" i="5" s="1"/>
  <c r="Y1009" i="5"/>
  <c r="X1009" i="5"/>
  <c r="V1009" i="5"/>
  <c r="T1009" i="5"/>
  <c r="G1009" i="5" s="1"/>
  <c r="S1009" i="5"/>
  <c r="I1009" i="5"/>
  <c r="AD906" i="5"/>
  <c r="Z906" i="5"/>
  <c r="C906" i="5" s="1"/>
  <c r="Y906" i="5"/>
  <c r="X906" i="5"/>
  <c r="F906" i="5" s="1"/>
  <c r="V906" i="5"/>
  <c r="T906" i="5"/>
  <c r="G906" i="5" s="1"/>
  <c r="S906" i="5"/>
  <c r="I906" i="5"/>
  <c r="AD905" i="5"/>
  <c r="Z905" i="5"/>
  <c r="C905" i="5" s="1"/>
  <c r="Y905" i="5"/>
  <c r="X905" i="5"/>
  <c r="V905" i="5"/>
  <c r="T905" i="5"/>
  <c r="G905" i="5" s="1"/>
  <c r="S905" i="5"/>
  <c r="I905" i="5"/>
  <c r="AD1116" i="5"/>
  <c r="Z1116" i="5"/>
  <c r="C1116" i="5" s="1"/>
  <c r="Y1116" i="5"/>
  <c r="X1116" i="5"/>
  <c r="F1116" i="5" s="1"/>
  <c r="V1116" i="5"/>
  <c r="T1116" i="5"/>
  <c r="G1116" i="5" s="1"/>
  <c r="S1116" i="5"/>
  <c r="I1116" i="5"/>
  <c r="AD1115" i="5"/>
  <c r="Z1115" i="5"/>
  <c r="C1115" i="5" s="1"/>
  <c r="Y1115" i="5"/>
  <c r="X1115" i="5"/>
  <c r="V1115" i="5"/>
  <c r="T1115" i="5"/>
  <c r="G1115" i="5" s="1"/>
  <c r="S1115" i="5"/>
  <c r="I1115" i="5"/>
  <c r="AD1114" i="5"/>
  <c r="Z1114" i="5"/>
  <c r="C1114" i="5" s="1"/>
  <c r="Y1114" i="5"/>
  <c r="X1114" i="5"/>
  <c r="V1114" i="5"/>
  <c r="T1114" i="5"/>
  <c r="G1114" i="5" s="1"/>
  <c r="S1114" i="5"/>
  <c r="I1114" i="5"/>
  <c r="AD1081" i="5"/>
  <c r="Z1081" i="5"/>
  <c r="C1081" i="5" s="1"/>
  <c r="Y1081" i="5"/>
  <c r="X1081" i="5"/>
  <c r="F1081" i="5" s="1"/>
  <c r="V1081" i="5"/>
  <c r="T1081" i="5"/>
  <c r="G1081" i="5" s="1"/>
  <c r="S1081" i="5"/>
  <c r="I1081" i="5"/>
  <c r="AD686" i="5"/>
  <c r="Z686" i="5"/>
  <c r="C686" i="5" s="1"/>
  <c r="Y686" i="5"/>
  <c r="X686" i="5"/>
  <c r="V686" i="5"/>
  <c r="T686" i="5"/>
  <c r="G686" i="5" s="1"/>
  <c r="S686" i="5"/>
  <c r="I686" i="5"/>
  <c r="AD685" i="5"/>
  <c r="Z685" i="5"/>
  <c r="C685" i="5" s="1"/>
  <c r="Y685" i="5"/>
  <c r="X685" i="5"/>
  <c r="F685" i="5" s="1"/>
  <c r="V685" i="5"/>
  <c r="T685" i="5"/>
  <c r="G685" i="5" s="1"/>
  <c r="S685" i="5"/>
  <c r="I685" i="5"/>
  <c r="AD648" i="5"/>
  <c r="Z648" i="5"/>
  <c r="C648" i="5" s="1"/>
  <c r="Y648" i="5"/>
  <c r="X648" i="5"/>
  <c r="V648" i="5"/>
  <c r="T648" i="5"/>
  <c r="G648" i="5" s="1"/>
  <c r="S648" i="5"/>
  <c r="I648" i="5"/>
  <c r="AD647" i="5"/>
  <c r="Z647" i="5"/>
  <c r="C647" i="5" s="1"/>
  <c r="Y647" i="5"/>
  <c r="X647" i="5"/>
  <c r="V647" i="5"/>
  <c r="T647" i="5"/>
  <c r="G647" i="5" s="1"/>
  <c r="S647" i="5"/>
  <c r="I647" i="5"/>
  <c r="AD623" i="5"/>
  <c r="Z623" i="5"/>
  <c r="C623" i="5" s="1"/>
  <c r="Y623" i="5"/>
  <c r="X623" i="5"/>
  <c r="F623" i="5" s="1"/>
  <c r="V623" i="5"/>
  <c r="T623" i="5"/>
  <c r="G623" i="5" s="1"/>
  <c r="S623" i="5"/>
  <c r="I623" i="5"/>
  <c r="AD820" i="5"/>
  <c r="Z820" i="5"/>
  <c r="C820" i="5" s="1"/>
  <c r="Y820" i="5"/>
  <c r="X820" i="5"/>
  <c r="V820" i="5"/>
  <c r="T820" i="5"/>
  <c r="G820" i="5" s="1"/>
  <c r="S820" i="5"/>
  <c r="I820" i="5"/>
  <c r="AD714" i="5"/>
  <c r="Z714" i="5"/>
  <c r="C714" i="5" s="1"/>
  <c r="Y714" i="5"/>
  <c r="X714" i="5"/>
  <c r="F714" i="5" s="1"/>
  <c r="V714" i="5"/>
  <c r="T714" i="5"/>
  <c r="G714" i="5" s="1"/>
  <c r="S714" i="5"/>
  <c r="I714" i="5"/>
  <c r="AD710" i="5"/>
  <c r="Z710" i="5"/>
  <c r="C710" i="5" s="1"/>
  <c r="Y710" i="5"/>
  <c r="X710" i="5"/>
  <c r="V710" i="5"/>
  <c r="T710" i="5"/>
  <c r="G710" i="5" s="1"/>
  <c r="S710" i="5"/>
  <c r="I710" i="5"/>
  <c r="AD617" i="5"/>
  <c r="Z617" i="5"/>
  <c r="C617" i="5" s="1"/>
  <c r="Y617" i="5"/>
  <c r="X617" i="5"/>
  <c r="V617" i="5"/>
  <c r="T617" i="5"/>
  <c r="G617" i="5" s="1"/>
  <c r="S617" i="5"/>
  <c r="I617" i="5"/>
  <c r="AD1217" i="5"/>
  <c r="Z1217" i="5"/>
  <c r="C1217" i="5" s="1"/>
  <c r="Y1217" i="5"/>
  <c r="X1217" i="5"/>
  <c r="F1217" i="5" s="1"/>
  <c r="V1217" i="5"/>
  <c r="T1217" i="5"/>
  <c r="G1217" i="5" s="1"/>
  <c r="S1217" i="5"/>
  <c r="I1217" i="5"/>
  <c r="AD1216" i="5"/>
  <c r="Z1216" i="5"/>
  <c r="C1216" i="5" s="1"/>
  <c r="Y1216" i="5"/>
  <c r="X1216" i="5"/>
  <c r="V1216" i="5"/>
  <c r="T1216" i="5"/>
  <c r="G1216" i="5" s="1"/>
  <c r="S1216" i="5"/>
  <c r="I1216" i="5"/>
  <c r="AD1215" i="5"/>
  <c r="Z1215" i="5"/>
  <c r="C1215" i="5" s="1"/>
  <c r="Y1215" i="5"/>
  <c r="X1215" i="5"/>
  <c r="F1215" i="5" s="1"/>
  <c r="V1215" i="5"/>
  <c r="T1215" i="5"/>
  <c r="G1215" i="5" s="1"/>
  <c r="S1215" i="5"/>
  <c r="I1215" i="5"/>
  <c r="AD616" i="5"/>
  <c r="Z616" i="5"/>
  <c r="C616" i="5" s="1"/>
  <c r="Y616" i="5"/>
  <c r="X616" i="5"/>
  <c r="V616" i="5"/>
  <c r="T616" i="5"/>
  <c r="G616" i="5" s="1"/>
  <c r="S616" i="5"/>
  <c r="I616" i="5"/>
  <c r="AD713" i="5"/>
  <c r="Z713" i="5"/>
  <c r="C713" i="5" s="1"/>
  <c r="Y713" i="5"/>
  <c r="X713" i="5"/>
  <c r="V713" i="5"/>
  <c r="T713" i="5"/>
  <c r="G713" i="5" s="1"/>
  <c r="S713" i="5"/>
  <c r="I713" i="5"/>
  <c r="AD709" i="5"/>
  <c r="Z709" i="5"/>
  <c r="C709" i="5" s="1"/>
  <c r="Y709" i="5"/>
  <c r="X709" i="5"/>
  <c r="F709" i="5" s="1"/>
  <c r="V709" i="5"/>
  <c r="T709" i="5"/>
  <c r="G709" i="5" s="1"/>
  <c r="S709" i="5"/>
  <c r="I709" i="5"/>
  <c r="AD1214" i="5"/>
  <c r="Z1214" i="5"/>
  <c r="C1214" i="5" s="1"/>
  <c r="Y1214" i="5"/>
  <c r="X1214" i="5"/>
  <c r="V1214" i="5"/>
  <c r="T1214" i="5"/>
  <c r="G1214" i="5" s="1"/>
  <c r="S1214" i="5"/>
  <c r="I1214" i="5"/>
  <c r="AD510" i="5"/>
  <c r="Z510" i="5"/>
  <c r="C510" i="5" s="1"/>
  <c r="Y510" i="5"/>
  <c r="X510" i="5"/>
  <c r="F510" i="5" s="1"/>
  <c r="V510" i="5"/>
  <c r="T510" i="5"/>
  <c r="G510" i="5" s="1"/>
  <c r="S510" i="5"/>
  <c r="I510" i="5"/>
  <c r="AD509" i="5"/>
  <c r="Z509" i="5"/>
  <c r="C509" i="5" s="1"/>
  <c r="Y509" i="5"/>
  <c r="X509" i="5"/>
  <c r="V509" i="5"/>
  <c r="T509" i="5"/>
  <c r="G509" i="5" s="1"/>
  <c r="S509" i="5"/>
  <c r="I509" i="5"/>
  <c r="AD1178" i="5"/>
  <c r="Z1178" i="5"/>
  <c r="C1178" i="5" s="1"/>
  <c r="Y1178" i="5"/>
  <c r="X1178" i="5"/>
  <c r="V1178" i="5"/>
  <c r="T1178" i="5"/>
  <c r="G1178" i="5" s="1"/>
  <c r="S1178" i="5"/>
  <c r="I1178" i="5"/>
  <c r="AD1177" i="5"/>
  <c r="Z1177" i="5"/>
  <c r="C1177" i="5" s="1"/>
  <c r="Y1177" i="5"/>
  <c r="X1177" i="5"/>
  <c r="F1177" i="5" s="1"/>
  <c r="V1177" i="5"/>
  <c r="T1177" i="5"/>
  <c r="G1177" i="5" s="1"/>
  <c r="S1177" i="5"/>
  <c r="I1177" i="5"/>
  <c r="AD556" i="5"/>
  <c r="Z556" i="5"/>
  <c r="C556" i="5" s="1"/>
  <c r="Y556" i="5"/>
  <c r="X556" i="5"/>
  <c r="V556" i="5"/>
  <c r="T556" i="5"/>
  <c r="G556" i="5" s="1"/>
  <c r="S556" i="5"/>
  <c r="I556" i="5"/>
  <c r="AD555" i="5"/>
  <c r="Z555" i="5"/>
  <c r="C555" i="5" s="1"/>
  <c r="Y555" i="5"/>
  <c r="X555" i="5"/>
  <c r="F555" i="5" s="1"/>
  <c r="V555" i="5"/>
  <c r="T555" i="5"/>
  <c r="G555" i="5" s="1"/>
  <c r="S555" i="5"/>
  <c r="I555" i="5"/>
  <c r="AD1193" i="5"/>
  <c r="Z1193" i="5"/>
  <c r="C1193" i="5" s="1"/>
  <c r="Y1193" i="5"/>
  <c r="X1193" i="5"/>
  <c r="F1193" i="5" s="1"/>
  <c r="V1193" i="5"/>
  <c r="T1193" i="5"/>
  <c r="G1193" i="5" s="1"/>
  <c r="S1193" i="5"/>
  <c r="I1193" i="5"/>
  <c r="AD508" i="5"/>
  <c r="Z508" i="5"/>
  <c r="C508" i="5" s="1"/>
  <c r="Y508" i="5"/>
  <c r="X508" i="5"/>
  <c r="V508" i="5"/>
  <c r="T508" i="5"/>
  <c r="G508" i="5" s="1"/>
  <c r="S508" i="5"/>
  <c r="I508" i="5"/>
  <c r="AD507" i="5"/>
  <c r="Z507" i="5"/>
  <c r="C507" i="5" s="1"/>
  <c r="Y507" i="5"/>
  <c r="X507" i="5"/>
  <c r="F507" i="5" s="1"/>
  <c r="V507" i="5"/>
  <c r="T507" i="5"/>
  <c r="G507" i="5" s="1"/>
  <c r="S507" i="5"/>
  <c r="I507" i="5"/>
  <c r="AD506" i="5"/>
  <c r="Z506" i="5"/>
  <c r="C506" i="5" s="1"/>
  <c r="Y506" i="5"/>
  <c r="X506" i="5"/>
  <c r="V506" i="5"/>
  <c r="T506" i="5"/>
  <c r="G506" i="5" s="1"/>
  <c r="S506" i="5"/>
  <c r="I506" i="5"/>
  <c r="AD554" i="5"/>
  <c r="Z554" i="5"/>
  <c r="C554" i="5" s="1"/>
  <c r="Y554" i="5"/>
  <c r="X554" i="5"/>
  <c r="F554" i="5" s="1"/>
  <c r="V554" i="5"/>
  <c r="T554" i="5"/>
  <c r="G554" i="5" s="1"/>
  <c r="S554" i="5"/>
  <c r="I554" i="5"/>
  <c r="AD221" i="5"/>
  <c r="Z221" i="5"/>
  <c r="C221" i="5" s="1"/>
  <c r="Y221" i="5"/>
  <c r="X221" i="5"/>
  <c r="V221" i="5"/>
  <c r="T221" i="5"/>
  <c r="G221" i="5" s="1"/>
  <c r="S221" i="5"/>
  <c r="I221" i="5"/>
  <c r="AD220" i="5"/>
  <c r="Z220" i="5"/>
  <c r="C220" i="5" s="1"/>
  <c r="Y220" i="5"/>
  <c r="X220" i="5"/>
  <c r="V220" i="5"/>
  <c r="T220" i="5"/>
  <c r="G220" i="5" s="1"/>
  <c r="S220" i="5"/>
  <c r="I220" i="5"/>
  <c r="AD219" i="5"/>
  <c r="Z219" i="5"/>
  <c r="C219" i="5" s="1"/>
  <c r="Y219" i="5"/>
  <c r="X219" i="5"/>
  <c r="F219" i="5" s="1"/>
  <c r="V219" i="5"/>
  <c r="T219" i="5"/>
  <c r="G219" i="5" s="1"/>
  <c r="S219" i="5"/>
  <c r="I219" i="5"/>
  <c r="AD208" i="5"/>
  <c r="Z208" i="5"/>
  <c r="C208" i="5" s="1"/>
  <c r="Y208" i="5"/>
  <c r="X208" i="5"/>
  <c r="V208" i="5"/>
  <c r="T208" i="5"/>
  <c r="G208" i="5" s="1"/>
  <c r="S208" i="5"/>
  <c r="I208" i="5"/>
  <c r="AD553" i="5"/>
  <c r="Z553" i="5"/>
  <c r="C553" i="5" s="1"/>
  <c r="Y553" i="5"/>
  <c r="X553" i="5"/>
  <c r="F553" i="5" s="1"/>
  <c r="V553" i="5"/>
  <c r="T553" i="5"/>
  <c r="G553" i="5" s="1"/>
  <c r="S553" i="5"/>
  <c r="I553" i="5"/>
  <c r="AD491" i="5"/>
  <c r="Z491" i="5"/>
  <c r="C491" i="5" s="1"/>
  <c r="Y491" i="5"/>
  <c r="X491" i="5"/>
  <c r="F491" i="5" s="1"/>
  <c r="V491" i="5"/>
  <c r="T491" i="5"/>
  <c r="G491" i="5" s="1"/>
  <c r="S491" i="5"/>
  <c r="I491" i="5"/>
  <c r="AD207" i="5"/>
  <c r="Z207" i="5"/>
  <c r="C207" i="5" s="1"/>
  <c r="Y207" i="5"/>
  <c r="X207" i="5"/>
  <c r="V207" i="5"/>
  <c r="T207" i="5"/>
  <c r="G207" i="5" s="1"/>
  <c r="S207" i="5"/>
  <c r="I207" i="5"/>
  <c r="AD206" i="5"/>
  <c r="Z206" i="5"/>
  <c r="C206" i="5" s="1"/>
  <c r="Y206" i="5"/>
  <c r="X206" i="5"/>
  <c r="F206" i="5" s="1"/>
  <c r="V206" i="5"/>
  <c r="T206" i="5"/>
  <c r="G206" i="5" s="1"/>
  <c r="S206" i="5"/>
  <c r="I206" i="5"/>
  <c r="AD1147" i="5"/>
  <c r="Z1147" i="5"/>
  <c r="C1147" i="5" s="1"/>
  <c r="Y1147" i="5"/>
  <c r="X1147" i="5"/>
  <c r="V1147" i="5"/>
  <c r="T1147" i="5"/>
  <c r="G1147" i="5" s="1"/>
  <c r="S1147" i="5"/>
  <c r="I1147" i="5"/>
  <c r="AD1146" i="5"/>
  <c r="Z1146" i="5"/>
  <c r="C1146" i="5" s="1"/>
  <c r="Y1146" i="5"/>
  <c r="X1146" i="5"/>
  <c r="F1146" i="5" s="1"/>
  <c r="V1146" i="5"/>
  <c r="T1146" i="5"/>
  <c r="G1146" i="5" s="1"/>
  <c r="S1146" i="5"/>
  <c r="I1146" i="5"/>
  <c r="AD579" i="5"/>
  <c r="Z579" i="5"/>
  <c r="C579" i="5" s="1"/>
  <c r="Y579" i="5"/>
  <c r="X579" i="5"/>
  <c r="F579" i="5" s="1"/>
  <c r="V579" i="5"/>
  <c r="T579" i="5"/>
  <c r="G579" i="5" s="1"/>
  <c r="S579" i="5"/>
  <c r="I579" i="5"/>
  <c r="AD646" i="5"/>
  <c r="Z646" i="5"/>
  <c r="C646" i="5" s="1"/>
  <c r="Y646" i="5"/>
  <c r="X646" i="5"/>
  <c r="V646" i="5"/>
  <c r="T646" i="5"/>
  <c r="G646" i="5" s="1"/>
  <c r="S646" i="5"/>
  <c r="I646" i="5"/>
  <c r="AD645" i="5"/>
  <c r="Z645" i="5"/>
  <c r="C645" i="5" s="1"/>
  <c r="Y645" i="5"/>
  <c r="X645" i="5"/>
  <c r="F645" i="5" s="1"/>
  <c r="V645" i="5"/>
  <c r="T645" i="5"/>
  <c r="G645" i="5" s="1"/>
  <c r="S645" i="5"/>
  <c r="I645" i="5"/>
  <c r="AD574" i="5"/>
  <c r="Z574" i="5"/>
  <c r="C574" i="5" s="1"/>
  <c r="Y574" i="5"/>
  <c r="X574" i="5"/>
  <c r="V574" i="5"/>
  <c r="T574" i="5"/>
  <c r="G574" i="5" s="1"/>
  <c r="S574" i="5"/>
  <c r="I574" i="5"/>
  <c r="AD573" i="5"/>
  <c r="Z573" i="5"/>
  <c r="C573" i="5" s="1"/>
  <c r="Y573" i="5"/>
  <c r="X573" i="5"/>
  <c r="F573" i="5" s="1"/>
  <c r="V573" i="5"/>
  <c r="T573" i="5"/>
  <c r="G573" i="5" s="1"/>
  <c r="S573" i="5"/>
  <c r="I573" i="5"/>
  <c r="AD265" i="5"/>
  <c r="Z265" i="5"/>
  <c r="C265" i="5" s="1"/>
  <c r="Y265" i="5"/>
  <c r="X265" i="5"/>
  <c r="V265" i="5"/>
  <c r="T265" i="5"/>
  <c r="G265" i="5" s="1"/>
  <c r="S265" i="5"/>
  <c r="I265" i="5"/>
  <c r="AD1145" i="5"/>
  <c r="Z1145" i="5"/>
  <c r="C1145" i="5" s="1"/>
  <c r="Y1145" i="5"/>
  <c r="X1145" i="5"/>
  <c r="V1145" i="5"/>
  <c r="T1145" i="5"/>
  <c r="G1145" i="5" s="1"/>
  <c r="S1145" i="5"/>
  <c r="I1145" i="5"/>
  <c r="AD1113" i="5"/>
  <c r="Z1113" i="5"/>
  <c r="C1113" i="5" s="1"/>
  <c r="Y1113" i="5"/>
  <c r="X1113" i="5"/>
  <c r="F1113" i="5" s="1"/>
  <c r="V1113" i="5"/>
  <c r="T1113" i="5"/>
  <c r="G1113" i="5" s="1"/>
  <c r="S1113" i="5"/>
  <c r="I1113" i="5"/>
  <c r="AD1112" i="5"/>
  <c r="Z1112" i="5"/>
  <c r="C1112" i="5" s="1"/>
  <c r="Y1112" i="5"/>
  <c r="X1112" i="5"/>
  <c r="V1112" i="5"/>
  <c r="T1112" i="5"/>
  <c r="G1112" i="5" s="1"/>
  <c r="S1112" i="5"/>
  <c r="I1112" i="5"/>
  <c r="AD1144" i="5"/>
  <c r="Z1144" i="5"/>
  <c r="C1144" i="5" s="1"/>
  <c r="Y1144" i="5"/>
  <c r="X1144" i="5"/>
  <c r="F1144" i="5" s="1"/>
  <c r="V1144" i="5"/>
  <c r="T1144" i="5"/>
  <c r="G1144" i="5" s="1"/>
  <c r="S1144" i="5"/>
  <c r="I1144" i="5"/>
  <c r="AD1143" i="5"/>
  <c r="Z1143" i="5"/>
  <c r="C1143" i="5" s="1"/>
  <c r="Y1143" i="5"/>
  <c r="X1143" i="5"/>
  <c r="F1143" i="5" s="1"/>
  <c r="V1143" i="5"/>
  <c r="T1143" i="5"/>
  <c r="G1143" i="5" s="1"/>
  <c r="S1143" i="5"/>
  <c r="I1143" i="5"/>
  <c r="AD724" i="5"/>
  <c r="Z724" i="5"/>
  <c r="C724" i="5" s="1"/>
  <c r="Y724" i="5"/>
  <c r="X724" i="5"/>
  <c r="V724" i="5"/>
  <c r="T724" i="5"/>
  <c r="G724" i="5" s="1"/>
  <c r="S724" i="5"/>
  <c r="I724" i="5"/>
  <c r="AD723" i="5"/>
  <c r="Z723" i="5"/>
  <c r="C723" i="5" s="1"/>
  <c r="Y723" i="5"/>
  <c r="X723" i="5"/>
  <c r="F723" i="5" s="1"/>
  <c r="V723" i="5"/>
  <c r="T723" i="5"/>
  <c r="G723" i="5" s="1"/>
  <c r="S723" i="5"/>
  <c r="I723" i="5"/>
  <c r="AD205" i="5"/>
  <c r="Z205" i="5"/>
  <c r="C205" i="5" s="1"/>
  <c r="Y205" i="5"/>
  <c r="X205" i="5"/>
  <c r="V205" i="5"/>
  <c r="T205" i="5"/>
  <c r="G205" i="5" s="1"/>
  <c r="S205" i="5"/>
  <c r="I205" i="5"/>
  <c r="AD204" i="5"/>
  <c r="Z204" i="5"/>
  <c r="C204" i="5" s="1"/>
  <c r="Y204" i="5"/>
  <c r="X204" i="5"/>
  <c r="F204" i="5" s="1"/>
  <c r="V204" i="5"/>
  <c r="T204" i="5"/>
  <c r="G204" i="5" s="1"/>
  <c r="S204" i="5"/>
  <c r="I204" i="5"/>
  <c r="AD1080" i="5"/>
  <c r="Z1080" i="5"/>
  <c r="C1080" i="5" s="1"/>
  <c r="Y1080" i="5"/>
  <c r="X1080" i="5"/>
  <c r="V1080" i="5"/>
  <c r="T1080" i="5"/>
  <c r="G1080" i="5" s="1"/>
  <c r="S1080" i="5"/>
  <c r="I1080" i="5"/>
  <c r="AD867" i="5"/>
  <c r="Z867" i="5"/>
  <c r="C867" i="5" s="1"/>
  <c r="Y867" i="5"/>
  <c r="X867" i="5"/>
  <c r="F867" i="5" s="1"/>
  <c r="V867" i="5"/>
  <c r="T867" i="5"/>
  <c r="G867" i="5" s="1"/>
  <c r="S867" i="5"/>
  <c r="I867" i="5"/>
  <c r="AD847" i="5"/>
  <c r="Z847" i="5"/>
  <c r="C847" i="5" s="1"/>
  <c r="Y847" i="5"/>
  <c r="X847" i="5"/>
  <c r="F847" i="5" s="1"/>
  <c r="V847" i="5"/>
  <c r="T847" i="5"/>
  <c r="G847" i="5" s="1"/>
  <c r="S847" i="5"/>
  <c r="I847" i="5"/>
  <c r="AD846" i="5"/>
  <c r="Z846" i="5"/>
  <c r="C846" i="5" s="1"/>
  <c r="Y846" i="5"/>
  <c r="X846" i="5"/>
  <c r="V846" i="5"/>
  <c r="T846" i="5"/>
  <c r="G846" i="5" s="1"/>
  <c r="S846" i="5"/>
  <c r="I846" i="5"/>
  <c r="AD845" i="5"/>
  <c r="Z845" i="5"/>
  <c r="C845" i="5" s="1"/>
  <c r="Y845" i="5"/>
  <c r="X845" i="5"/>
  <c r="F845" i="5" s="1"/>
  <c r="V845" i="5"/>
  <c r="T845" i="5"/>
  <c r="G845" i="5" s="1"/>
  <c r="S845" i="5"/>
  <c r="I845" i="5"/>
  <c r="AD835" i="5"/>
  <c r="Z835" i="5"/>
  <c r="C835" i="5" s="1"/>
  <c r="Y835" i="5"/>
  <c r="X835" i="5"/>
  <c r="V835" i="5"/>
  <c r="T835" i="5"/>
  <c r="G835" i="5" s="1"/>
  <c r="S835" i="5"/>
  <c r="I835" i="5"/>
  <c r="AD866" i="5"/>
  <c r="Z866" i="5"/>
  <c r="C866" i="5" s="1"/>
  <c r="Y866" i="5"/>
  <c r="X866" i="5"/>
  <c r="F866" i="5" s="1"/>
  <c r="V866" i="5"/>
  <c r="T866" i="5"/>
  <c r="G866" i="5" s="1"/>
  <c r="S866" i="5"/>
  <c r="I866" i="5"/>
  <c r="AD844" i="5"/>
  <c r="Z844" i="5"/>
  <c r="C844" i="5" s="1"/>
  <c r="Y844" i="5"/>
  <c r="X844" i="5"/>
  <c r="F844" i="5" s="1"/>
  <c r="V844" i="5"/>
  <c r="T844" i="5"/>
  <c r="G844" i="5" s="1"/>
  <c r="S844" i="5"/>
  <c r="I844" i="5"/>
  <c r="AD843" i="5"/>
  <c r="Z843" i="5"/>
  <c r="C843" i="5" s="1"/>
  <c r="Y843" i="5"/>
  <c r="X843" i="5"/>
  <c r="F843" i="5" s="1"/>
  <c r="V843" i="5"/>
  <c r="T843" i="5"/>
  <c r="G843" i="5" s="1"/>
  <c r="S843" i="5"/>
  <c r="I843" i="5"/>
  <c r="AD842" i="5"/>
  <c r="Z842" i="5"/>
  <c r="C842" i="5" s="1"/>
  <c r="Y842" i="5"/>
  <c r="X842" i="5"/>
  <c r="F842" i="5" s="1"/>
  <c r="V842" i="5"/>
  <c r="T842" i="5"/>
  <c r="G842" i="5" s="1"/>
  <c r="S842" i="5"/>
  <c r="I842" i="5"/>
  <c r="AD834" i="5"/>
  <c r="Z834" i="5"/>
  <c r="C834" i="5" s="1"/>
  <c r="Y834" i="5"/>
  <c r="X834" i="5"/>
  <c r="V834" i="5"/>
  <c r="T834" i="5"/>
  <c r="G834" i="5" s="1"/>
  <c r="S834" i="5"/>
  <c r="I834" i="5"/>
  <c r="AD1019" i="5"/>
  <c r="Z1019" i="5"/>
  <c r="C1019" i="5" s="1"/>
  <c r="Y1019" i="5"/>
  <c r="X1019" i="5"/>
  <c r="F1019" i="5" s="1"/>
  <c r="V1019" i="5"/>
  <c r="T1019" i="5"/>
  <c r="G1019" i="5" s="1"/>
  <c r="S1019" i="5"/>
  <c r="I1019" i="5"/>
  <c r="AD916" i="5"/>
  <c r="Z916" i="5"/>
  <c r="C916" i="5" s="1"/>
  <c r="Y916" i="5"/>
  <c r="X916" i="5"/>
  <c r="V916" i="5"/>
  <c r="T916" i="5"/>
  <c r="G916" i="5" s="1"/>
  <c r="S916" i="5"/>
  <c r="I916" i="5"/>
  <c r="AD915" i="5"/>
  <c r="Z915" i="5"/>
  <c r="C915" i="5" s="1"/>
  <c r="Y915" i="5"/>
  <c r="X915" i="5"/>
  <c r="F915" i="5" s="1"/>
  <c r="V915" i="5"/>
  <c r="T915" i="5"/>
  <c r="G915" i="5" s="1"/>
  <c r="S915" i="5"/>
  <c r="I915" i="5"/>
  <c r="AD914" i="5"/>
  <c r="Z914" i="5"/>
  <c r="C914" i="5" s="1"/>
  <c r="Y914" i="5"/>
  <c r="X914" i="5"/>
  <c r="F914" i="5" s="1"/>
  <c r="W914" i="5"/>
  <c r="T914" i="5" s="1"/>
  <c r="G914" i="5" s="1"/>
  <c r="V914" i="5"/>
  <c r="S914" i="5"/>
  <c r="I914" i="5"/>
  <c r="AD865" i="5"/>
  <c r="Z865" i="5"/>
  <c r="C865" i="5" s="1"/>
  <c r="Y865" i="5"/>
  <c r="X865" i="5"/>
  <c r="V865" i="5"/>
  <c r="T865" i="5"/>
  <c r="G865" i="5" s="1"/>
  <c r="S865" i="5"/>
  <c r="I865" i="5"/>
  <c r="AD1049" i="5"/>
  <c r="Z1049" i="5"/>
  <c r="C1049" i="5" s="1"/>
  <c r="Y1049" i="5"/>
  <c r="X1049" i="5"/>
  <c r="F1049" i="5" s="1"/>
  <c r="V1049" i="5"/>
  <c r="T1049" i="5"/>
  <c r="G1049" i="5" s="1"/>
  <c r="S1049" i="5"/>
  <c r="I1049" i="5"/>
  <c r="AD957" i="5"/>
  <c r="Z957" i="5"/>
  <c r="C957" i="5" s="1"/>
  <c r="Y957" i="5"/>
  <c r="X957" i="5"/>
  <c r="V957" i="5"/>
  <c r="T957" i="5"/>
  <c r="G957" i="5" s="1"/>
  <c r="S957" i="5"/>
  <c r="I957" i="5"/>
  <c r="AD904" i="5"/>
  <c r="Z904" i="5"/>
  <c r="C904" i="5" s="1"/>
  <c r="Y904" i="5"/>
  <c r="X904" i="5"/>
  <c r="F904" i="5" s="1"/>
  <c r="V904" i="5"/>
  <c r="T904" i="5"/>
  <c r="G904" i="5" s="1"/>
  <c r="S904" i="5"/>
  <c r="I904" i="5"/>
  <c r="AD903" i="5"/>
  <c r="Z903" i="5"/>
  <c r="C903" i="5" s="1"/>
  <c r="Y903" i="5"/>
  <c r="X903" i="5"/>
  <c r="V903" i="5"/>
  <c r="T903" i="5"/>
  <c r="G903" i="5" s="1"/>
  <c r="S903" i="5"/>
  <c r="I903" i="5"/>
  <c r="AD848" i="5"/>
  <c r="Z848" i="5"/>
  <c r="C848" i="5" s="1"/>
  <c r="Y848" i="5"/>
  <c r="X848" i="5"/>
  <c r="F848" i="5" s="1"/>
  <c r="V848" i="5"/>
  <c r="T848" i="5"/>
  <c r="G848" i="5" s="1"/>
  <c r="S848" i="5"/>
  <c r="I848" i="5"/>
  <c r="AD999" i="5"/>
  <c r="Z999" i="5"/>
  <c r="C999" i="5" s="1"/>
  <c r="Y999" i="5"/>
  <c r="X999" i="5"/>
  <c r="F999" i="5" s="1"/>
  <c r="V999" i="5"/>
  <c r="T999" i="5"/>
  <c r="G999" i="5" s="1"/>
  <c r="S999" i="5"/>
  <c r="I999" i="5"/>
  <c r="AD893" i="5"/>
  <c r="Z893" i="5"/>
  <c r="C893" i="5" s="1"/>
  <c r="Y893" i="5"/>
  <c r="X893" i="5"/>
  <c r="V893" i="5"/>
  <c r="T893" i="5"/>
  <c r="G893" i="5" s="1"/>
  <c r="S893" i="5"/>
  <c r="I893" i="5"/>
  <c r="AD892" i="5"/>
  <c r="Z892" i="5"/>
  <c r="C892" i="5" s="1"/>
  <c r="Y892" i="5"/>
  <c r="X892" i="5"/>
  <c r="F892" i="5" s="1"/>
  <c r="V892" i="5"/>
  <c r="T892" i="5"/>
  <c r="G892" i="5" s="1"/>
  <c r="S892" i="5"/>
  <c r="I892" i="5"/>
  <c r="AD891" i="5"/>
  <c r="Z891" i="5"/>
  <c r="C891" i="5" s="1"/>
  <c r="Y891" i="5"/>
  <c r="X891" i="5"/>
  <c r="V891" i="5"/>
  <c r="T891" i="5"/>
  <c r="G891" i="5" s="1"/>
  <c r="S891" i="5"/>
  <c r="I891" i="5"/>
  <c r="AD864" i="5"/>
  <c r="Z864" i="5"/>
  <c r="C864" i="5" s="1"/>
  <c r="Y864" i="5"/>
  <c r="X864" i="5"/>
  <c r="F864" i="5" s="1"/>
  <c r="V864" i="5"/>
  <c r="T864" i="5"/>
  <c r="G864" i="5" s="1"/>
  <c r="S864" i="5"/>
  <c r="I864" i="5"/>
  <c r="AD998" i="5"/>
  <c r="Z998" i="5"/>
  <c r="C998" i="5" s="1"/>
  <c r="Y998" i="5"/>
  <c r="X998" i="5"/>
  <c r="V998" i="5"/>
  <c r="T998" i="5"/>
  <c r="G998" i="5" s="1"/>
  <c r="S998" i="5"/>
  <c r="I998" i="5"/>
  <c r="AD890" i="5"/>
  <c r="Z890" i="5"/>
  <c r="C890" i="5" s="1"/>
  <c r="Y890" i="5"/>
  <c r="X890" i="5"/>
  <c r="V890" i="5"/>
  <c r="T890" i="5"/>
  <c r="G890" i="5" s="1"/>
  <c r="S890" i="5"/>
  <c r="I890" i="5"/>
  <c r="AD889" i="5"/>
  <c r="Z889" i="5"/>
  <c r="C889" i="5" s="1"/>
  <c r="Y889" i="5"/>
  <c r="X889" i="5"/>
  <c r="F889" i="5" s="1"/>
  <c r="V889" i="5"/>
  <c r="T889" i="5"/>
  <c r="G889" i="5" s="1"/>
  <c r="S889" i="5"/>
  <c r="I889" i="5"/>
  <c r="AD888" i="5"/>
  <c r="Z888" i="5"/>
  <c r="C888" i="5" s="1"/>
  <c r="Y888" i="5"/>
  <c r="X888" i="5"/>
  <c r="V888" i="5"/>
  <c r="T888" i="5"/>
  <c r="G888" i="5" s="1"/>
  <c r="S888" i="5"/>
  <c r="I888" i="5"/>
  <c r="AD863" i="5"/>
  <c r="Z863" i="5"/>
  <c r="C863" i="5" s="1"/>
  <c r="Y863" i="5"/>
  <c r="X863" i="5"/>
  <c r="F863" i="5" s="1"/>
  <c r="V863" i="5"/>
  <c r="T863" i="5"/>
  <c r="G863" i="5" s="1"/>
  <c r="S863" i="5"/>
  <c r="I863" i="5"/>
  <c r="AD997" i="5"/>
  <c r="Z997" i="5"/>
  <c r="C997" i="5" s="1"/>
  <c r="Y997" i="5"/>
  <c r="X997" i="5"/>
  <c r="V997" i="5"/>
  <c r="T997" i="5"/>
  <c r="G997" i="5" s="1"/>
  <c r="S997" i="5"/>
  <c r="I997" i="5"/>
  <c r="AD887" i="5"/>
  <c r="Z887" i="5"/>
  <c r="C887" i="5" s="1"/>
  <c r="Y887" i="5"/>
  <c r="X887" i="5"/>
  <c r="F887" i="5" s="1"/>
  <c r="V887" i="5"/>
  <c r="T887" i="5"/>
  <c r="G887" i="5" s="1"/>
  <c r="S887" i="5"/>
  <c r="I887" i="5"/>
  <c r="AD886" i="5"/>
  <c r="Z886" i="5"/>
  <c r="C886" i="5" s="1"/>
  <c r="Y886" i="5"/>
  <c r="X886" i="5"/>
  <c r="F886" i="5" s="1"/>
  <c r="V886" i="5"/>
  <c r="T886" i="5"/>
  <c r="G886" i="5" s="1"/>
  <c r="S886" i="5"/>
  <c r="I886" i="5"/>
  <c r="AD885" i="5"/>
  <c r="Z885" i="5"/>
  <c r="C885" i="5" s="1"/>
  <c r="Y885" i="5"/>
  <c r="X885" i="5"/>
  <c r="V885" i="5"/>
  <c r="T885" i="5"/>
  <c r="G885" i="5" s="1"/>
  <c r="S885" i="5"/>
  <c r="I885" i="5"/>
  <c r="AD862" i="5"/>
  <c r="Z862" i="5"/>
  <c r="C862" i="5" s="1"/>
  <c r="Y862" i="5"/>
  <c r="X862" i="5"/>
  <c r="F862" i="5" s="1"/>
  <c r="V862" i="5"/>
  <c r="T862" i="5"/>
  <c r="G862" i="5" s="1"/>
  <c r="S862" i="5"/>
  <c r="I862" i="5"/>
  <c r="AD1008" i="5"/>
  <c r="Z1008" i="5"/>
  <c r="C1008" i="5" s="1"/>
  <c r="Y1008" i="5"/>
  <c r="X1008" i="5"/>
  <c r="V1008" i="5"/>
  <c r="T1008" i="5"/>
  <c r="G1008" i="5" s="1"/>
  <c r="S1008" i="5"/>
  <c r="I1008" i="5"/>
  <c r="AD1007" i="5"/>
  <c r="Z1007" i="5"/>
  <c r="C1007" i="5" s="1"/>
  <c r="Y1007" i="5"/>
  <c r="X1007" i="5"/>
  <c r="F1007" i="5" s="1"/>
  <c r="V1007" i="5"/>
  <c r="T1007" i="5"/>
  <c r="G1007" i="5" s="1"/>
  <c r="S1007" i="5"/>
  <c r="I1007" i="5"/>
  <c r="AD902" i="5"/>
  <c r="Z902" i="5"/>
  <c r="C902" i="5" s="1"/>
  <c r="Y902" i="5"/>
  <c r="X902" i="5"/>
  <c r="V902" i="5"/>
  <c r="T902" i="5"/>
  <c r="G902" i="5" s="1"/>
  <c r="S902" i="5"/>
  <c r="I902" i="5"/>
  <c r="AD901" i="5"/>
  <c r="Z901" i="5"/>
  <c r="C901" i="5" s="1"/>
  <c r="Y901" i="5"/>
  <c r="X901" i="5"/>
  <c r="F901" i="5" s="1"/>
  <c r="V901" i="5"/>
  <c r="T901" i="5"/>
  <c r="G901" i="5" s="1"/>
  <c r="S901" i="5"/>
  <c r="I901" i="5"/>
  <c r="AD1006" i="5"/>
  <c r="Z1006" i="5"/>
  <c r="C1006" i="5" s="1"/>
  <c r="Y1006" i="5"/>
  <c r="X1006" i="5"/>
  <c r="F1006" i="5" s="1"/>
  <c r="V1006" i="5"/>
  <c r="T1006" i="5"/>
  <c r="G1006" i="5" s="1"/>
  <c r="S1006" i="5"/>
  <c r="I1006" i="5"/>
  <c r="AD1005" i="5"/>
  <c r="Z1005" i="5"/>
  <c r="C1005" i="5" s="1"/>
  <c r="Y1005" i="5"/>
  <c r="X1005" i="5"/>
  <c r="V1005" i="5"/>
  <c r="T1005" i="5"/>
  <c r="G1005" i="5" s="1"/>
  <c r="S1005" i="5"/>
  <c r="I1005" i="5"/>
  <c r="AD900" i="5"/>
  <c r="Z900" i="5"/>
  <c r="C900" i="5" s="1"/>
  <c r="Y900" i="5"/>
  <c r="X900" i="5"/>
  <c r="F900" i="5" s="1"/>
  <c r="V900" i="5"/>
  <c r="T900" i="5"/>
  <c r="G900" i="5" s="1"/>
  <c r="S900" i="5"/>
  <c r="I900" i="5"/>
  <c r="AD899" i="5"/>
  <c r="Z899" i="5"/>
  <c r="C899" i="5" s="1"/>
  <c r="Y899" i="5"/>
  <c r="X899" i="5"/>
  <c r="V899" i="5"/>
  <c r="T899" i="5"/>
  <c r="G899" i="5" s="1"/>
  <c r="S899" i="5"/>
  <c r="I899" i="5"/>
  <c r="AD1004" i="5"/>
  <c r="Z1004" i="5"/>
  <c r="C1004" i="5" s="1"/>
  <c r="Y1004" i="5"/>
  <c r="X1004" i="5"/>
  <c r="F1004" i="5" s="1"/>
  <c r="V1004" i="5"/>
  <c r="T1004" i="5"/>
  <c r="G1004" i="5" s="1"/>
  <c r="S1004" i="5"/>
  <c r="I1004" i="5"/>
  <c r="AD1003" i="5"/>
  <c r="Z1003" i="5"/>
  <c r="C1003" i="5" s="1"/>
  <c r="Y1003" i="5"/>
  <c r="X1003" i="5"/>
  <c r="F1003" i="5" s="1"/>
  <c r="V1003" i="5"/>
  <c r="T1003" i="5"/>
  <c r="G1003" i="5" s="1"/>
  <c r="S1003" i="5"/>
  <c r="I1003" i="5"/>
  <c r="AD898" i="5"/>
  <c r="Z898" i="5"/>
  <c r="C898" i="5" s="1"/>
  <c r="Y898" i="5"/>
  <c r="X898" i="5"/>
  <c r="V898" i="5"/>
  <c r="T898" i="5"/>
  <c r="G898" i="5" s="1"/>
  <c r="S898" i="5"/>
  <c r="I898" i="5"/>
  <c r="AD897" i="5"/>
  <c r="Z897" i="5"/>
  <c r="C897" i="5" s="1"/>
  <c r="Y897" i="5"/>
  <c r="X897" i="5"/>
  <c r="F897" i="5" s="1"/>
  <c r="V897" i="5"/>
  <c r="T897" i="5"/>
  <c r="G897" i="5" s="1"/>
  <c r="S897" i="5"/>
  <c r="I897" i="5"/>
  <c r="AD1002" i="5"/>
  <c r="Z1002" i="5"/>
  <c r="C1002" i="5" s="1"/>
  <c r="Y1002" i="5"/>
  <c r="X1002" i="5"/>
  <c r="V1002" i="5"/>
  <c r="T1002" i="5"/>
  <c r="G1002" i="5" s="1"/>
  <c r="S1002" i="5"/>
  <c r="I1002" i="5"/>
  <c r="AD1001" i="5"/>
  <c r="Z1001" i="5"/>
  <c r="C1001" i="5" s="1"/>
  <c r="Y1001" i="5"/>
  <c r="X1001" i="5"/>
  <c r="F1001" i="5" s="1"/>
  <c r="V1001" i="5"/>
  <c r="T1001" i="5"/>
  <c r="G1001" i="5" s="1"/>
  <c r="S1001" i="5"/>
  <c r="I1001" i="5"/>
  <c r="AD896" i="5"/>
  <c r="Z896" i="5"/>
  <c r="C896" i="5" s="1"/>
  <c r="Y896" i="5"/>
  <c r="X896" i="5"/>
  <c r="F896" i="5" s="1"/>
  <c r="V896" i="5"/>
  <c r="T896" i="5"/>
  <c r="G896" i="5" s="1"/>
  <c r="S896" i="5"/>
  <c r="I896" i="5"/>
  <c r="AD895" i="5"/>
  <c r="Z895" i="5"/>
  <c r="C895" i="5" s="1"/>
  <c r="Y895" i="5"/>
  <c r="X895" i="5"/>
  <c r="V895" i="5"/>
  <c r="T895" i="5"/>
  <c r="G895" i="5" s="1"/>
  <c r="S895" i="5"/>
  <c r="I895" i="5"/>
  <c r="AD841" i="5"/>
  <c r="Z841" i="5"/>
  <c r="C841" i="5" s="1"/>
  <c r="Y841" i="5"/>
  <c r="X841" i="5"/>
  <c r="F841" i="5" s="1"/>
  <c r="V841" i="5"/>
  <c r="T841" i="5"/>
  <c r="G841" i="5" s="1"/>
  <c r="S841" i="5"/>
  <c r="I841" i="5"/>
  <c r="AD840" i="5"/>
  <c r="Z840" i="5"/>
  <c r="C840" i="5" s="1"/>
  <c r="Y840" i="5"/>
  <c r="X840" i="5"/>
  <c r="V840" i="5"/>
  <c r="T840" i="5"/>
  <c r="G840" i="5" s="1"/>
  <c r="S840" i="5"/>
  <c r="I840" i="5"/>
  <c r="AD833" i="5"/>
  <c r="Z833" i="5"/>
  <c r="C833" i="5" s="1"/>
  <c r="Y833" i="5"/>
  <c r="X833" i="5"/>
  <c r="F833" i="5" s="1"/>
  <c r="V833" i="5"/>
  <c r="T833" i="5"/>
  <c r="G833" i="5" s="1"/>
  <c r="S833" i="5"/>
  <c r="I833" i="5"/>
  <c r="AD832" i="5"/>
  <c r="Z832" i="5"/>
  <c r="C832" i="5" s="1"/>
  <c r="Y832" i="5"/>
  <c r="X832" i="5"/>
  <c r="F832" i="5" s="1"/>
  <c r="V832" i="5"/>
  <c r="T832" i="5"/>
  <c r="G832" i="5" s="1"/>
  <c r="S832" i="5"/>
  <c r="I832" i="5"/>
  <c r="AD839" i="5"/>
  <c r="Z839" i="5"/>
  <c r="C839" i="5" s="1"/>
  <c r="Y839" i="5"/>
  <c r="X839" i="5"/>
  <c r="V839" i="5"/>
  <c r="T839" i="5"/>
  <c r="G839" i="5" s="1"/>
  <c r="S839" i="5"/>
  <c r="I839" i="5"/>
  <c r="AD838" i="5"/>
  <c r="Z838" i="5"/>
  <c r="C838" i="5" s="1"/>
  <c r="Y838" i="5"/>
  <c r="X838" i="5"/>
  <c r="F838" i="5" s="1"/>
  <c r="V838" i="5"/>
  <c r="T838" i="5"/>
  <c r="G838" i="5" s="1"/>
  <c r="S838" i="5"/>
  <c r="I838" i="5"/>
  <c r="AD831" i="5"/>
  <c r="Z831" i="5"/>
  <c r="C831" i="5" s="1"/>
  <c r="Y831" i="5"/>
  <c r="X831" i="5"/>
  <c r="V831" i="5"/>
  <c r="T831" i="5"/>
  <c r="G831" i="5" s="1"/>
  <c r="S831" i="5"/>
  <c r="I831" i="5"/>
  <c r="AD830" i="5"/>
  <c r="Z830" i="5"/>
  <c r="C830" i="5" s="1"/>
  <c r="Y830" i="5"/>
  <c r="X830" i="5"/>
  <c r="F830" i="5" s="1"/>
  <c r="V830" i="5"/>
  <c r="T830" i="5"/>
  <c r="G830" i="5" s="1"/>
  <c r="S830" i="5"/>
  <c r="I830" i="5"/>
  <c r="AD819" i="5"/>
  <c r="Z819" i="5"/>
  <c r="C819" i="5" s="1"/>
  <c r="Y819" i="5"/>
  <c r="X819" i="5"/>
  <c r="F819" i="5" s="1"/>
  <c r="V819" i="5"/>
  <c r="T819" i="5"/>
  <c r="G819" i="5" s="1"/>
  <c r="S819" i="5"/>
  <c r="I819" i="5"/>
  <c r="AD1213" i="5"/>
  <c r="Z1213" i="5"/>
  <c r="C1213" i="5" s="1"/>
  <c r="Y1213" i="5"/>
  <c r="X1213" i="5"/>
  <c r="V1213" i="5"/>
  <c r="T1213" i="5"/>
  <c r="G1213" i="5" s="1"/>
  <c r="S1213" i="5"/>
  <c r="I1213" i="5"/>
  <c r="AD201" i="5"/>
  <c r="Z201" i="5"/>
  <c r="C201" i="5" s="1"/>
  <c r="Y201" i="5"/>
  <c r="X201" i="5"/>
  <c r="F201" i="5" s="1"/>
  <c r="V201" i="5"/>
  <c r="T201" i="5"/>
  <c r="G201" i="5" s="1"/>
  <c r="S201" i="5"/>
  <c r="I201" i="5"/>
  <c r="AD203" i="5"/>
  <c r="Z203" i="5"/>
  <c r="C203" i="5" s="1"/>
  <c r="Y203" i="5"/>
  <c r="X203" i="5"/>
  <c r="V203" i="5"/>
  <c r="T203" i="5"/>
  <c r="G203" i="5" s="1"/>
  <c r="S203" i="5"/>
  <c r="I203" i="5"/>
  <c r="AD202" i="5"/>
  <c r="Z202" i="5"/>
  <c r="C202" i="5" s="1"/>
  <c r="Y202" i="5"/>
  <c r="X202" i="5"/>
  <c r="F202" i="5" s="1"/>
  <c r="V202" i="5"/>
  <c r="T202" i="5"/>
  <c r="G202" i="5" s="1"/>
  <c r="S202" i="5"/>
  <c r="I202" i="5"/>
  <c r="AD722" i="5"/>
  <c r="Z722" i="5"/>
  <c r="C722" i="5" s="1"/>
  <c r="Y722" i="5"/>
  <c r="X722" i="5"/>
  <c r="F722" i="5" s="1"/>
  <c r="V722" i="5"/>
  <c r="T722" i="5"/>
  <c r="G722" i="5" s="1"/>
  <c r="S722" i="5"/>
  <c r="I722" i="5"/>
  <c r="AD1142" i="5"/>
  <c r="Z1142" i="5"/>
  <c r="C1142" i="5" s="1"/>
  <c r="Y1142" i="5"/>
  <c r="X1142" i="5"/>
  <c r="V1142" i="5"/>
  <c r="T1142" i="5"/>
  <c r="G1142" i="5" s="1"/>
  <c r="S1142" i="5"/>
  <c r="I1142" i="5"/>
  <c r="AD88" i="5"/>
  <c r="Z88" i="5"/>
  <c r="C88" i="5" s="1"/>
  <c r="Y88" i="5"/>
  <c r="X88" i="5"/>
  <c r="F88" i="5" s="1"/>
  <c r="V88" i="5"/>
  <c r="T88" i="5"/>
  <c r="G88" i="5" s="1"/>
  <c r="S88" i="5"/>
  <c r="I88" i="5"/>
  <c r="AD1111" i="5"/>
  <c r="Z1111" i="5"/>
  <c r="C1111" i="5" s="1"/>
  <c r="Y1111" i="5"/>
  <c r="X1111" i="5"/>
  <c r="V1111" i="5"/>
  <c r="T1111" i="5"/>
  <c r="G1111" i="5" s="1"/>
  <c r="S1111" i="5"/>
  <c r="I1111" i="5"/>
  <c r="AD1141" i="5"/>
  <c r="Z1141" i="5"/>
  <c r="C1141" i="5" s="1"/>
  <c r="Y1141" i="5"/>
  <c r="X1141" i="5"/>
  <c r="F1141" i="5" s="1"/>
  <c r="V1141" i="5"/>
  <c r="T1141" i="5"/>
  <c r="G1141" i="5" s="1"/>
  <c r="S1141" i="5"/>
  <c r="I1141" i="5"/>
  <c r="AD1110" i="5"/>
  <c r="Z1110" i="5"/>
  <c r="C1110" i="5" s="1"/>
  <c r="Y1110" i="5"/>
  <c r="X1110" i="5"/>
  <c r="F1110" i="5" s="1"/>
  <c r="V1110" i="5"/>
  <c r="T1110" i="5"/>
  <c r="G1110" i="5" s="1"/>
  <c r="S1110" i="5"/>
  <c r="I1110" i="5"/>
  <c r="AD1140" i="5"/>
  <c r="Z1140" i="5"/>
  <c r="C1140" i="5" s="1"/>
  <c r="Y1140" i="5"/>
  <c r="X1140" i="5"/>
  <c r="V1140" i="5"/>
  <c r="T1140" i="5"/>
  <c r="G1140" i="5" s="1"/>
  <c r="S1140" i="5"/>
  <c r="I1140" i="5"/>
  <c r="AD1109" i="5"/>
  <c r="Z1109" i="5"/>
  <c r="C1109" i="5" s="1"/>
  <c r="Y1109" i="5"/>
  <c r="X1109" i="5"/>
  <c r="F1109" i="5" s="1"/>
  <c r="V1109" i="5"/>
  <c r="T1109" i="5"/>
  <c r="G1109" i="5" s="1"/>
  <c r="S1109" i="5"/>
  <c r="I1109" i="5"/>
  <c r="AD1108" i="5"/>
  <c r="Z1108" i="5"/>
  <c r="C1108" i="5" s="1"/>
  <c r="Y1108" i="5"/>
  <c r="X1108" i="5"/>
  <c r="V1108" i="5"/>
  <c r="T1108" i="5"/>
  <c r="G1108" i="5" s="1"/>
  <c r="S1108" i="5"/>
  <c r="I1108" i="5"/>
  <c r="AD1139" i="5"/>
  <c r="Z1139" i="5"/>
  <c r="C1139" i="5" s="1"/>
  <c r="Y1139" i="5"/>
  <c r="X1139" i="5"/>
  <c r="F1139" i="5" s="1"/>
  <c r="V1139" i="5"/>
  <c r="T1139" i="5"/>
  <c r="G1139" i="5" s="1"/>
  <c r="S1139" i="5"/>
  <c r="I1139" i="5"/>
  <c r="AD1138" i="5"/>
  <c r="Z1138" i="5"/>
  <c r="C1138" i="5" s="1"/>
  <c r="Y1138" i="5"/>
  <c r="X1138" i="5"/>
  <c r="F1138" i="5" s="1"/>
  <c r="V1138" i="5"/>
  <c r="T1138" i="5"/>
  <c r="G1138" i="5" s="1"/>
  <c r="S1138" i="5"/>
  <c r="I1138" i="5"/>
  <c r="AD264" i="5"/>
  <c r="Z264" i="5"/>
  <c r="C264" i="5" s="1"/>
  <c r="Y264" i="5"/>
  <c r="X264" i="5"/>
  <c r="V264" i="5"/>
  <c r="T264" i="5"/>
  <c r="G264" i="5" s="1"/>
  <c r="S264" i="5"/>
  <c r="I264" i="5"/>
  <c r="AD630" i="5"/>
  <c r="Z630" i="5"/>
  <c r="C630" i="5" s="1"/>
  <c r="Y630" i="5"/>
  <c r="X630" i="5"/>
  <c r="F630" i="5" s="1"/>
  <c r="V630" i="5"/>
  <c r="T630" i="5"/>
  <c r="G630" i="5" s="1"/>
  <c r="S630" i="5"/>
  <c r="I630" i="5"/>
  <c r="AD1079" i="5"/>
  <c r="Z1079" i="5"/>
  <c r="C1079" i="5" s="1"/>
  <c r="Y1079" i="5"/>
  <c r="X1079" i="5"/>
  <c r="V1079" i="5"/>
  <c r="T1079" i="5"/>
  <c r="G1079" i="5" s="1"/>
  <c r="S1079" i="5"/>
  <c r="I1079" i="5"/>
  <c r="AD1078" i="5"/>
  <c r="Z1078" i="5"/>
  <c r="C1078" i="5" s="1"/>
  <c r="Y1078" i="5"/>
  <c r="X1078" i="5"/>
  <c r="F1078" i="5" s="1"/>
  <c r="V1078" i="5"/>
  <c r="T1078" i="5"/>
  <c r="G1078" i="5" s="1"/>
  <c r="S1078" i="5"/>
  <c r="I1078" i="5"/>
  <c r="AD1077" i="5"/>
  <c r="Z1077" i="5"/>
  <c r="C1077" i="5" s="1"/>
  <c r="Y1077" i="5"/>
  <c r="X1077" i="5"/>
  <c r="F1077" i="5" s="1"/>
  <c r="V1077" i="5"/>
  <c r="T1077" i="5"/>
  <c r="G1077" i="5" s="1"/>
  <c r="S1077" i="5"/>
  <c r="I1077" i="5"/>
  <c r="AD572" i="5"/>
  <c r="Z572" i="5"/>
  <c r="C572" i="5" s="1"/>
  <c r="Y572" i="5"/>
  <c r="X572" i="5"/>
  <c r="V572" i="5"/>
  <c r="T572" i="5"/>
  <c r="G572" i="5" s="1"/>
  <c r="S572" i="5"/>
  <c r="I572" i="5"/>
  <c r="AD1107" i="5"/>
  <c r="Z1107" i="5"/>
  <c r="C1107" i="5" s="1"/>
  <c r="Y1107" i="5"/>
  <c r="X1107" i="5"/>
  <c r="F1107" i="5" s="1"/>
  <c r="V1107" i="5"/>
  <c r="T1107" i="5"/>
  <c r="G1107" i="5" s="1"/>
  <c r="S1107" i="5"/>
  <c r="I1107" i="5"/>
  <c r="AD1106" i="5"/>
  <c r="Z1106" i="5"/>
  <c r="C1106" i="5" s="1"/>
  <c r="Y1106" i="5"/>
  <c r="X1106" i="5"/>
  <c r="V1106" i="5"/>
  <c r="T1106" i="5"/>
  <c r="G1106" i="5" s="1"/>
  <c r="S1106" i="5"/>
  <c r="I1106" i="5"/>
  <c r="AD1137" i="5"/>
  <c r="Z1137" i="5"/>
  <c r="C1137" i="5" s="1"/>
  <c r="Y1137" i="5"/>
  <c r="X1137" i="5"/>
  <c r="F1137" i="5" s="1"/>
  <c r="V1137" i="5"/>
  <c r="T1137" i="5"/>
  <c r="G1137" i="5" s="1"/>
  <c r="S1137" i="5"/>
  <c r="I1137" i="5"/>
  <c r="AD236" i="5"/>
  <c r="Z236" i="5"/>
  <c r="C236" i="5" s="1"/>
  <c r="Y236" i="5"/>
  <c r="X236" i="5"/>
  <c r="F236" i="5" s="1"/>
  <c r="V236" i="5"/>
  <c r="T236" i="5"/>
  <c r="G236" i="5" s="1"/>
  <c r="S236" i="5"/>
  <c r="I236" i="5"/>
  <c r="AD235" i="5"/>
  <c r="Z235" i="5"/>
  <c r="C235" i="5" s="1"/>
  <c r="Y235" i="5"/>
  <c r="X235" i="5"/>
  <c r="V235" i="5"/>
  <c r="T235" i="5"/>
  <c r="G235" i="5" s="1"/>
  <c r="S235" i="5"/>
  <c r="I235" i="5"/>
  <c r="AD31" i="5"/>
  <c r="Z31" i="5"/>
  <c r="C31" i="5" s="1"/>
  <c r="Y31" i="5"/>
  <c r="X31" i="5"/>
  <c r="F31" i="5" s="1"/>
  <c r="V31" i="5"/>
  <c r="T31" i="5"/>
  <c r="G31" i="5" s="1"/>
  <c r="S31" i="5"/>
  <c r="I31" i="5"/>
  <c r="AD30" i="5"/>
  <c r="Z30" i="5"/>
  <c r="C30" i="5" s="1"/>
  <c r="Y30" i="5"/>
  <c r="X30" i="5"/>
  <c r="V30" i="5"/>
  <c r="T30" i="5"/>
  <c r="G30" i="5" s="1"/>
  <c r="S30" i="5"/>
  <c r="I30" i="5"/>
  <c r="AD29" i="5"/>
  <c r="Z29" i="5"/>
  <c r="C29" i="5" s="1"/>
  <c r="Y29" i="5"/>
  <c r="X29" i="5"/>
  <c r="F29" i="5" s="1"/>
  <c r="V29" i="5"/>
  <c r="T29" i="5"/>
  <c r="G29" i="5" s="1"/>
  <c r="S29" i="5"/>
  <c r="I29" i="5"/>
  <c r="AD28" i="5"/>
  <c r="Z28" i="5"/>
  <c r="C28" i="5" s="1"/>
  <c r="Y28" i="5"/>
  <c r="X28" i="5"/>
  <c r="F28" i="5" s="1"/>
  <c r="V28" i="5"/>
  <c r="T28" i="5"/>
  <c r="G28" i="5" s="1"/>
  <c r="S28" i="5"/>
  <c r="I28" i="5"/>
  <c r="AD27" i="5"/>
  <c r="Z27" i="5"/>
  <c r="C27" i="5" s="1"/>
  <c r="Y27" i="5"/>
  <c r="X27" i="5"/>
  <c r="V27" i="5"/>
  <c r="T27" i="5"/>
  <c r="G27" i="5" s="1"/>
  <c r="S27" i="5"/>
  <c r="I27" i="5"/>
  <c r="AD26" i="5"/>
  <c r="Z26" i="5"/>
  <c r="C26" i="5" s="1"/>
  <c r="Y26" i="5"/>
  <c r="X26" i="5"/>
  <c r="F26" i="5" s="1"/>
  <c r="V26" i="5"/>
  <c r="T26" i="5"/>
  <c r="G26" i="5" s="1"/>
  <c r="S26" i="5"/>
  <c r="I26" i="5"/>
  <c r="AD731" i="5"/>
  <c r="Z731" i="5"/>
  <c r="C731" i="5" s="1"/>
  <c r="Y731" i="5"/>
  <c r="X731" i="5"/>
  <c r="V731" i="5"/>
  <c r="T731" i="5"/>
  <c r="G731" i="5" s="1"/>
  <c r="S731" i="5"/>
  <c r="I731" i="5"/>
  <c r="AD730" i="5"/>
  <c r="Z730" i="5"/>
  <c r="C730" i="5" s="1"/>
  <c r="Y730" i="5"/>
  <c r="X730" i="5"/>
  <c r="F730" i="5" s="1"/>
  <c r="V730" i="5"/>
  <c r="T730" i="5"/>
  <c r="G730" i="5" s="1"/>
  <c r="S730" i="5"/>
  <c r="I730" i="5"/>
  <c r="AD729" i="5"/>
  <c r="Z729" i="5"/>
  <c r="C729" i="5" s="1"/>
  <c r="Y729" i="5"/>
  <c r="X729" i="5"/>
  <c r="F729" i="5" s="1"/>
  <c r="V729" i="5"/>
  <c r="T729" i="5"/>
  <c r="G729" i="5" s="1"/>
  <c r="S729" i="5"/>
  <c r="I729" i="5"/>
  <c r="AD728" i="5"/>
  <c r="Z728" i="5"/>
  <c r="C728" i="5" s="1"/>
  <c r="Y728" i="5"/>
  <c r="X728" i="5"/>
  <c r="V728" i="5"/>
  <c r="T728" i="5"/>
  <c r="G728" i="5" s="1"/>
  <c r="S728" i="5"/>
  <c r="I728" i="5"/>
  <c r="AD727" i="5"/>
  <c r="Z727" i="5"/>
  <c r="C727" i="5" s="1"/>
  <c r="Y727" i="5"/>
  <c r="X727" i="5"/>
  <c r="F727" i="5" s="1"/>
  <c r="V727" i="5"/>
  <c r="T727" i="5"/>
  <c r="G727" i="5" s="1"/>
  <c r="S727" i="5"/>
  <c r="I727" i="5"/>
  <c r="AD726" i="5"/>
  <c r="Z726" i="5"/>
  <c r="C726" i="5" s="1"/>
  <c r="Y726" i="5"/>
  <c r="X726" i="5"/>
  <c r="V726" i="5"/>
  <c r="T726" i="5"/>
  <c r="G726" i="5" s="1"/>
  <c r="S726" i="5"/>
  <c r="I726" i="5"/>
  <c r="AD725" i="5"/>
  <c r="Z725" i="5"/>
  <c r="C725" i="5" s="1"/>
  <c r="Y725" i="5"/>
  <c r="X725" i="5"/>
  <c r="F725" i="5" s="1"/>
  <c r="V725" i="5"/>
  <c r="T725" i="5"/>
  <c r="G725" i="5" s="1"/>
  <c r="S725" i="5"/>
  <c r="I725" i="5"/>
  <c r="AD931" i="5"/>
  <c r="Z931" i="5"/>
  <c r="C931" i="5" s="1"/>
  <c r="Y931" i="5"/>
  <c r="X931" i="5"/>
  <c r="F931" i="5" s="1"/>
  <c r="V931" i="5"/>
  <c r="T931" i="5"/>
  <c r="G931" i="5" s="1"/>
  <c r="S931" i="5"/>
  <c r="I931" i="5"/>
  <c r="AD930" i="5"/>
  <c r="Z930" i="5"/>
  <c r="C930" i="5" s="1"/>
  <c r="Y930" i="5"/>
  <c r="X930" i="5"/>
  <c r="V930" i="5"/>
  <c r="T930" i="5"/>
  <c r="G930" i="5" s="1"/>
  <c r="S930" i="5"/>
  <c r="I930" i="5"/>
  <c r="AD929" i="5"/>
  <c r="Z929" i="5"/>
  <c r="C929" i="5" s="1"/>
  <c r="Y929" i="5"/>
  <c r="X929" i="5"/>
  <c r="F929" i="5" s="1"/>
  <c r="V929" i="5"/>
  <c r="T929" i="5"/>
  <c r="G929" i="5" s="1"/>
  <c r="S929" i="5"/>
  <c r="I929" i="5"/>
  <c r="AD928" i="5"/>
  <c r="Z928" i="5"/>
  <c r="C928" i="5" s="1"/>
  <c r="Y928" i="5"/>
  <c r="X928" i="5"/>
  <c r="V928" i="5"/>
  <c r="T928" i="5"/>
  <c r="G928" i="5" s="1"/>
  <c r="S928" i="5"/>
  <c r="I928" i="5"/>
  <c r="AD927" i="5"/>
  <c r="Z927" i="5"/>
  <c r="C927" i="5" s="1"/>
  <c r="Y927" i="5"/>
  <c r="X927" i="5"/>
  <c r="F927" i="5" s="1"/>
  <c r="V927" i="5"/>
  <c r="T927" i="5"/>
  <c r="G927" i="5" s="1"/>
  <c r="S927" i="5"/>
  <c r="I927" i="5"/>
  <c r="AD926" i="5"/>
  <c r="Z926" i="5"/>
  <c r="C926" i="5" s="1"/>
  <c r="Y926" i="5"/>
  <c r="X926" i="5"/>
  <c r="F926" i="5" s="1"/>
  <c r="V926" i="5"/>
  <c r="T926" i="5"/>
  <c r="G926" i="5" s="1"/>
  <c r="S926" i="5"/>
  <c r="I926" i="5"/>
  <c r="AD925" i="5"/>
  <c r="Z925" i="5"/>
  <c r="C925" i="5" s="1"/>
  <c r="Y925" i="5"/>
  <c r="X925" i="5"/>
  <c r="V925" i="5"/>
  <c r="T925" i="5"/>
  <c r="G925" i="5" s="1"/>
  <c r="S925" i="5"/>
  <c r="I925" i="5"/>
  <c r="AD924" i="5"/>
  <c r="Z924" i="5"/>
  <c r="C924" i="5" s="1"/>
  <c r="Y924" i="5"/>
  <c r="X924" i="5"/>
  <c r="F924" i="5" s="1"/>
  <c r="V924" i="5"/>
  <c r="T924" i="5"/>
  <c r="G924" i="5" s="1"/>
  <c r="S924" i="5"/>
  <c r="I924" i="5"/>
  <c r="AD923" i="5"/>
  <c r="Z923" i="5"/>
  <c r="C923" i="5" s="1"/>
  <c r="Y923" i="5"/>
  <c r="X923" i="5"/>
  <c r="V923" i="5"/>
  <c r="T923" i="5"/>
  <c r="G923" i="5" s="1"/>
  <c r="S923" i="5"/>
  <c r="I923" i="5"/>
  <c r="AD922" i="5"/>
  <c r="Z922" i="5"/>
  <c r="C922" i="5" s="1"/>
  <c r="Y922" i="5"/>
  <c r="X922" i="5"/>
  <c r="F922" i="5" s="1"/>
  <c r="V922" i="5"/>
  <c r="T922" i="5"/>
  <c r="G922" i="5" s="1"/>
  <c r="S922" i="5"/>
  <c r="I922" i="5"/>
  <c r="AD921" i="5"/>
  <c r="Z921" i="5"/>
  <c r="C921" i="5" s="1"/>
  <c r="Y921" i="5"/>
  <c r="X921" i="5"/>
  <c r="F921" i="5" s="1"/>
  <c r="V921" i="5"/>
  <c r="T921" i="5"/>
  <c r="G921" i="5" s="1"/>
  <c r="S921" i="5"/>
  <c r="I921" i="5"/>
  <c r="AD920" i="5"/>
  <c r="Z920" i="5"/>
  <c r="C920" i="5" s="1"/>
  <c r="Y920" i="5"/>
  <c r="X920" i="5"/>
  <c r="V920" i="5"/>
  <c r="T920" i="5"/>
  <c r="G920" i="5" s="1"/>
  <c r="S920" i="5"/>
  <c r="I920" i="5"/>
  <c r="AD919" i="5"/>
  <c r="Z919" i="5"/>
  <c r="C919" i="5" s="1"/>
  <c r="Y919" i="5"/>
  <c r="X919" i="5"/>
  <c r="F919" i="5" s="1"/>
  <c r="V919" i="5"/>
  <c r="T919" i="5"/>
  <c r="G919" i="5" s="1"/>
  <c r="S919" i="5"/>
  <c r="I919" i="5"/>
  <c r="AD948" i="5"/>
  <c r="Z948" i="5"/>
  <c r="C948" i="5" s="1"/>
  <c r="Y948" i="5"/>
  <c r="X948" i="5"/>
  <c r="V948" i="5"/>
  <c r="T948" i="5"/>
  <c r="G948" i="5" s="1"/>
  <c r="S948" i="5"/>
  <c r="I948" i="5"/>
  <c r="AD947" i="5"/>
  <c r="Z947" i="5"/>
  <c r="C947" i="5" s="1"/>
  <c r="Y947" i="5"/>
  <c r="X947" i="5"/>
  <c r="F947" i="5" s="1"/>
  <c r="V947" i="5"/>
  <c r="T947" i="5"/>
  <c r="G947" i="5" s="1"/>
  <c r="S947" i="5"/>
  <c r="I947" i="5"/>
  <c r="AD946" i="5"/>
  <c r="Z946" i="5"/>
  <c r="C946" i="5" s="1"/>
  <c r="Y946" i="5"/>
  <c r="X946" i="5"/>
  <c r="F946" i="5" s="1"/>
  <c r="V946" i="5"/>
  <c r="T946" i="5"/>
  <c r="G946" i="5" s="1"/>
  <c r="S946" i="5"/>
  <c r="I946" i="5"/>
  <c r="AD945" i="5"/>
  <c r="Z945" i="5"/>
  <c r="C945" i="5" s="1"/>
  <c r="Y945" i="5"/>
  <c r="X945" i="5"/>
  <c r="V945" i="5"/>
  <c r="T945" i="5"/>
  <c r="G945" i="5" s="1"/>
  <c r="S945" i="5"/>
  <c r="I945" i="5"/>
  <c r="AD944" i="5"/>
  <c r="Z944" i="5"/>
  <c r="C944" i="5" s="1"/>
  <c r="Y944" i="5"/>
  <c r="X944" i="5"/>
  <c r="F944" i="5" s="1"/>
  <c r="V944" i="5"/>
  <c r="T944" i="5"/>
  <c r="G944" i="5" s="1"/>
  <c r="S944" i="5"/>
  <c r="I944" i="5"/>
  <c r="AD818" i="5"/>
  <c r="Z818" i="5"/>
  <c r="C818" i="5" s="1"/>
  <c r="Y818" i="5"/>
  <c r="X818" i="5"/>
  <c r="V818" i="5"/>
  <c r="T818" i="5"/>
  <c r="G818" i="5" s="1"/>
  <c r="S818" i="5"/>
  <c r="I818" i="5"/>
  <c r="AD721" i="5"/>
  <c r="Z721" i="5"/>
  <c r="C721" i="5" s="1"/>
  <c r="Y721" i="5"/>
  <c r="X721" i="5"/>
  <c r="F721" i="5" s="1"/>
  <c r="V721" i="5"/>
  <c r="T721" i="5"/>
  <c r="G721" i="5" s="1"/>
  <c r="S721" i="5"/>
  <c r="I721" i="5"/>
  <c r="AD817" i="5"/>
  <c r="Z817" i="5"/>
  <c r="C817" i="5" s="1"/>
  <c r="Y817" i="5"/>
  <c r="X817" i="5"/>
  <c r="F817" i="5" s="1"/>
  <c r="V817" i="5"/>
  <c r="T817" i="5"/>
  <c r="G817" i="5" s="1"/>
  <c r="S817" i="5"/>
  <c r="I817" i="5"/>
  <c r="AD720" i="5"/>
  <c r="Z720" i="5"/>
  <c r="C720" i="5" s="1"/>
  <c r="Y720" i="5"/>
  <c r="X720" i="5"/>
  <c r="V720" i="5"/>
  <c r="T720" i="5"/>
  <c r="G720" i="5" s="1"/>
  <c r="S720" i="5"/>
  <c r="I720" i="5"/>
  <c r="AD816" i="5"/>
  <c r="Z816" i="5"/>
  <c r="C816" i="5" s="1"/>
  <c r="Y816" i="5"/>
  <c r="X816" i="5"/>
  <c r="F816" i="5" s="1"/>
  <c r="V816" i="5"/>
  <c r="T816" i="5"/>
  <c r="G816" i="5" s="1"/>
  <c r="S816" i="5"/>
  <c r="I816" i="5"/>
  <c r="AD815" i="5"/>
  <c r="Z815" i="5"/>
  <c r="C815" i="5" s="1"/>
  <c r="Y815" i="5"/>
  <c r="X815" i="5"/>
  <c r="V815" i="5"/>
  <c r="T815" i="5"/>
  <c r="G815" i="5" s="1"/>
  <c r="S815" i="5"/>
  <c r="I815" i="5"/>
  <c r="AD719" i="5"/>
  <c r="Z719" i="5"/>
  <c r="C719" i="5" s="1"/>
  <c r="Y719" i="5"/>
  <c r="X719" i="5"/>
  <c r="F719" i="5" s="1"/>
  <c r="V719" i="5"/>
  <c r="T719" i="5"/>
  <c r="G719" i="5" s="1"/>
  <c r="S719" i="5"/>
  <c r="I719" i="5"/>
  <c r="AD218" i="5"/>
  <c r="Z218" i="5"/>
  <c r="C218" i="5" s="1"/>
  <c r="Y218" i="5"/>
  <c r="X218" i="5"/>
  <c r="F218" i="5" s="1"/>
  <c r="V218" i="5"/>
  <c r="T218" i="5"/>
  <c r="G218" i="5" s="1"/>
  <c r="S218" i="5"/>
  <c r="I218" i="5"/>
  <c r="AD552" i="5"/>
  <c r="Z552" i="5"/>
  <c r="C552" i="5" s="1"/>
  <c r="Y552" i="5"/>
  <c r="X552" i="5"/>
  <c r="V552" i="5"/>
  <c r="T552" i="5"/>
  <c r="G552" i="5" s="1"/>
  <c r="S552" i="5"/>
  <c r="I552" i="5"/>
  <c r="AD551" i="5"/>
  <c r="Z551" i="5"/>
  <c r="C551" i="5" s="1"/>
  <c r="Y551" i="5"/>
  <c r="X551" i="5"/>
  <c r="F551" i="5" s="1"/>
  <c r="V551" i="5"/>
  <c r="T551" i="5"/>
  <c r="G551" i="5" s="1"/>
  <c r="S551" i="5"/>
  <c r="I551" i="5"/>
  <c r="AD550" i="5"/>
  <c r="Z550" i="5"/>
  <c r="C550" i="5" s="1"/>
  <c r="Y550" i="5"/>
  <c r="X550" i="5"/>
  <c r="V550" i="5"/>
  <c r="T550" i="5"/>
  <c r="G550" i="5" s="1"/>
  <c r="S550" i="5"/>
  <c r="I550" i="5"/>
  <c r="AD549" i="5"/>
  <c r="Z549" i="5"/>
  <c r="C549" i="5" s="1"/>
  <c r="Y549" i="5"/>
  <c r="X549" i="5"/>
  <c r="F549" i="5" s="1"/>
  <c r="V549" i="5"/>
  <c r="T549" i="5"/>
  <c r="G549" i="5" s="1"/>
  <c r="S549" i="5"/>
  <c r="I549" i="5"/>
  <c r="AD548" i="5"/>
  <c r="Z548" i="5"/>
  <c r="C548" i="5" s="1"/>
  <c r="Y548" i="5"/>
  <c r="X548" i="5"/>
  <c r="F548" i="5" s="1"/>
  <c r="V548" i="5"/>
  <c r="T548" i="5"/>
  <c r="G548" i="5" s="1"/>
  <c r="S548" i="5"/>
  <c r="I548" i="5"/>
  <c r="AD547" i="5"/>
  <c r="Z547" i="5"/>
  <c r="C547" i="5" s="1"/>
  <c r="Y547" i="5"/>
  <c r="X547" i="5"/>
  <c r="V547" i="5"/>
  <c r="T547" i="5"/>
  <c r="G547" i="5" s="1"/>
  <c r="S547" i="5"/>
  <c r="I547" i="5"/>
  <c r="AD546" i="5"/>
  <c r="Z546" i="5"/>
  <c r="C546" i="5" s="1"/>
  <c r="Y546" i="5"/>
  <c r="X546" i="5"/>
  <c r="F546" i="5" s="1"/>
  <c r="V546" i="5"/>
  <c r="T546" i="5"/>
  <c r="G546" i="5" s="1"/>
  <c r="S546" i="5"/>
  <c r="I546" i="5"/>
  <c r="AD545" i="5"/>
  <c r="Z545" i="5"/>
  <c r="C545" i="5" s="1"/>
  <c r="Y545" i="5"/>
  <c r="X545" i="5"/>
  <c r="V545" i="5"/>
  <c r="T545" i="5"/>
  <c r="G545" i="5" s="1"/>
  <c r="S545" i="5"/>
  <c r="I545" i="5"/>
  <c r="AD544" i="5"/>
  <c r="Z544" i="5"/>
  <c r="C544" i="5" s="1"/>
  <c r="Y544" i="5"/>
  <c r="X544" i="5"/>
  <c r="F544" i="5" s="1"/>
  <c r="V544" i="5"/>
  <c r="T544" i="5"/>
  <c r="G544" i="5" s="1"/>
  <c r="S544" i="5"/>
  <c r="I544" i="5"/>
  <c r="AD543" i="5"/>
  <c r="Z543" i="5"/>
  <c r="C543" i="5" s="1"/>
  <c r="Y543" i="5"/>
  <c r="X543" i="5"/>
  <c r="F543" i="5" s="1"/>
  <c r="V543" i="5"/>
  <c r="T543" i="5"/>
  <c r="G543" i="5" s="1"/>
  <c r="S543" i="5"/>
  <c r="I543" i="5"/>
  <c r="AD542" i="5"/>
  <c r="Z542" i="5"/>
  <c r="C542" i="5" s="1"/>
  <c r="Y542" i="5"/>
  <c r="X542" i="5"/>
  <c r="V542" i="5"/>
  <c r="T542" i="5"/>
  <c r="G542" i="5" s="1"/>
  <c r="S542" i="5"/>
  <c r="I542" i="5"/>
  <c r="AD541" i="5"/>
  <c r="Z541" i="5"/>
  <c r="C541" i="5" s="1"/>
  <c r="Y541" i="5"/>
  <c r="X541" i="5"/>
  <c r="F541" i="5" s="1"/>
  <c r="V541" i="5"/>
  <c r="T541" i="5"/>
  <c r="G541" i="5" s="1"/>
  <c r="S541" i="5"/>
  <c r="I541" i="5"/>
  <c r="AD540" i="5"/>
  <c r="Z540" i="5"/>
  <c r="C540" i="5" s="1"/>
  <c r="Y540" i="5"/>
  <c r="X540" i="5"/>
  <c r="V540" i="5"/>
  <c r="T540" i="5"/>
  <c r="G540" i="5" s="1"/>
  <c r="S540" i="5"/>
  <c r="I540" i="5"/>
  <c r="AD539" i="5"/>
  <c r="Z539" i="5"/>
  <c r="C539" i="5" s="1"/>
  <c r="Y539" i="5"/>
  <c r="X539" i="5"/>
  <c r="F539" i="5" s="1"/>
  <c r="V539" i="5"/>
  <c r="T539" i="5"/>
  <c r="G539" i="5" s="1"/>
  <c r="S539" i="5"/>
  <c r="I539" i="5"/>
  <c r="AD538" i="5"/>
  <c r="Z538" i="5"/>
  <c r="C538" i="5" s="1"/>
  <c r="Y538" i="5"/>
  <c r="X538" i="5"/>
  <c r="F538" i="5" s="1"/>
  <c r="V538" i="5"/>
  <c r="T538" i="5"/>
  <c r="G538" i="5" s="1"/>
  <c r="S538" i="5"/>
  <c r="I538" i="5"/>
  <c r="AD537" i="5"/>
  <c r="Z537" i="5"/>
  <c r="C537" i="5" s="1"/>
  <c r="Y537" i="5"/>
  <c r="X537" i="5"/>
  <c r="V537" i="5"/>
  <c r="T537" i="5"/>
  <c r="G537" i="5" s="1"/>
  <c r="S537" i="5"/>
  <c r="I537" i="5"/>
  <c r="AD536" i="5"/>
  <c r="Z536" i="5"/>
  <c r="C536" i="5" s="1"/>
  <c r="Y536" i="5"/>
  <c r="X536" i="5"/>
  <c r="F536" i="5" s="1"/>
  <c r="V536" i="5"/>
  <c r="T536" i="5"/>
  <c r="G536" i="5" s="1"/>
  <c r="S536" i="5"/>
  <c r="I536" i="5"/>
  <c r="AD531" i="5"/>
  <c r="Z531" i="5"/>
  <c r="C531" i="5" s="1"/>
  <c r="Y531" i="5"/>
  <c r="X531" i="5"/>
  <c r="V531" i="5"/>
  <c r="T531" i="5"/>
  <c r="G531" i="5" s="1"/>
  <c r="S531" i="5"/>
  <c r="I531" i="5"/>
  <c r="AD529" i="5"/>
  <c r="Z529" i="5"/>
  <c r="C529" i="5" s="1"/>
  <c r="Y529" i="5"/>
  <c r="X529" i="5"/>
  <c r="F529" i="5" s="1"/>
  <c r="V529" i="5"/>
  <c r="T529" i="5"/>
  <c r="G529" i="5" s="1"/>
  <c r="S529" i="5"/>
  <c r="I529" i="5"/>
  <c r="AD530" i="5"/>
  <c r="Z530" i="5"/>
  <c r="C530" i="5" s="1"/>
  <c r="Y530" i="5"/>
  <c r="X530" i="5"/>
  <c r="F530" i="5" s="1"/>
  <c r="V530" i="5"/>
  <c r="T530" i="5"/>
  <c r="G530" i="5" s="1"/>
  <c r="S530" i="5"/>
  <c r="I530" i="5"/>
  <c r="AD528" i="5"/>
  <c r="Z528" i="5"/>
  <c r="C528" i="5" s="1"/>
  <c r="Y528" i="5"/>
  <c r="X528" i="5"/>
  <c r="V528" i="5"/>
  <c r="T528" i="5"/>
  <c r="G528" i="5" s="1"/>
  <c r="S528" i="5"/>
  <c r="I528" i="5"/>
  <c r="AD535" i="5"/>
  <c r="Z535" i="5"/>
  <c r="C535" i="5" s="1"/>
  <c r="Y535" i="5"/>
  <c r="X535" i="5"/>
  <c r="F535" i="5" s="1"/>
  <c r="V535" i="5"/>
  <c r="T535" i="5"/>
  <c r="G535" i="5" s="1"/>
  <c r="S535" i="5"/>
  <c r="I535" i="5"/>
  <c r="AD217" i="5"/>
  <c r="Z217" i="5"/>
  <c r="C217" i="5" s="1"/>
  <c r="Y217" i="5"/>
  <c r="X217" i="5"/>
  <c r="V217" i="5"/>
  <c r="T217" i="5"/>
  <c r="G217" i="5" s="1"/>
  <c r="S217" i="5"/>
  <c r="I217" i="5"/>
  <c r="AD702" i="5"/>
  <c r="Z702" i="5"/>
  <c r="C702" i="5" s="1"/>
  <c r="Y702" i="5"/>
  <c r="X702" i="5"/>
  <c r="F702" i="5" s="1"/>
  <c r="V702" i="5"/>
  <c r="T702" i="5"/>
  <c r="G702" i="5" s="1"/>
  <c r="S702" i="5"/>
  <c r="I702" i="5"/>
  <c r="AD629" i="5"/>
  <c r="Z629" i="5"/>
  <c r="C629" i="5" s="1"/>
  <c r="Y629" i="5"/>
  <c r="X629" i="5"/>
  <c r="F629" i="5" s="1"/>
  <c r="V629" i="5"/>
  <c r="T629" i="5"/>
  <c r="G629" i="5" s="1"/>
  <c r="S629" i="5"/>
  <c r="I629" i="5"/>
  <c r="AD505" i="5"/>
  <c r="Z505" i="5"/>
  <c r="C505" i="5" s="1"/>
  <c r="Y505" i="5"/>
  <c r="X505" i="5"/>
  <c r="V505" i="5"/>
  <c r="T505" i="5"/>
  <c r="G505" i="5" s="1"/>
  <c r="S505" i="5"/>
  <c r="I505" i="5"/>
  <c r="AD263" i="5"/>
  <c r="Z263" i="5"/>
  <c r="C263" i="5" s="1"/>
  <c r="Y263" i="5"/>
  <c r="X263" i="5"/>
  <c r="F263" i="5" s="1"/>
  <c r="V263" i="5"/>
  <c r="T263" i="5"/>
  <c r="G263" i="5" s="1"/>
  <c r="S263" i="5"/>
  <c r="I263" i="5"/>
  <c r="AD216" i="5"/>
  <c r="Z216" i="5"/>
  <c r="C216" i="5" s="1"/>
  <c r="Y216" i="5"/>
  <c r="X216" i="5"/>
  <c r="F216" i="5" s="1"/>
  <c r="V216" i="5"/>
  <c r="T216" i="5"/>
  <c r="G216" i="5" s="1"/>
  <c r="S216" i="5"/>
  <c r="I216" i="5"/>
  <c r="AD490" i="5"/>
  <c r="Z490" i="5"/>
  <c r="C490" i="5" s="1"/>
  <c r="Y490" i="5"/>
  <c r="X490" i="5"/>
  <c r="F490" i="5" s="1"/>
  <c r="V490" i="5"/>
  <c r="T490" i="5"/>
  <c r="G490" i="5" s="1"/>
  <c r="S490" i="5"/>
  <c r="I490" i="5"/>
  <c r="AD489" i="5"/>
  <c r="Z489" i="5"/>
  <c r="C489" i="5" s="1"/>
  <c r="Y489" i="5"/>
  <c r="X489" i="5"/>
  <c r="F489" i="5" s="1"/>
  <c r="V489" i="5"/>
  <c r="T489" i="5"/>
  <c r="G489" i="5" s="1"/>
  <c r="S489" i="5"/>
  <c r="I489" i="5"/>
  <c r="AD234" i="5"/>
  <c r="Z234" i="5"/>
  <c r="C234" i="5" s="1"/>
  <c r="Y234" i="5"/>
  <c r="X234" i="5"/>
  <c r="V234" i="5"/>
  <c r="T234" i="5"/>
  <c r="G234" i="5" s="1"/>
  <c r="S234" i="5"/>
  <c r="I234" i="5"/>
  <c r="AD488" i="5"/>
  <c r="Z488" i="5"/>
  <c r="C488" i="5" s="1"/>
  <c r="Y488" i="5"/>
  <c r="X488" i="5"/>
  <c r="F488" i="5" s="1"/>
  <c r="V488" i="5"/>
  <c r="T488" i="5"/>
  <c r="G488" i="5" s="1"/>
  <c r="S488" i="5"/>
  <c r="I488" i="5"/>
  <c r="AD487" i="5"/>
  <c r="Z487" i="5"/>
  <c r="C487" i="5" s="1"/>
  <c r="Y487" i="5"/>
  <c r="X487" i="5"/>
  <c r="F487" i="5" s="1"/>
  <c r="V487" i="5"/>
  <c r="T487" i="5"/>
  <c r="G487" i="5" s="1"/>
  <c r="S487" i="5"/>
  <c r="I487" i="5"/>
  <c r="AD233" i="5"/>
  <c r="Z233" i="5"/>
  <c r="C233" i="5" s="1"/>
  <c r="Y233" i="5"/>
  <c r="X233" i="5"/>
  <c r="F233" i="5" s="1"/>
  <c r="V233" i="5"/>
  <c r="T233" i="5"/>
  <c r="G233" i="5" s="1"/>
  <c r="S233" i="5"/>
  <c r="I233" i="5"/>
  <c r="AD25" i="5"/>
  <c r="Z25" i="5"/>
  <c r="C25" i="5" s="1"/>
  <c r="Y25" i="5"/>
  <c r="X25" i="5"/>
  <c r="F25" i="5" s="1"/>
  <c r="V25" i="5"/>
  <c r="T25" i="5"/>
  <c r="G25" i="5" s="1"/>
  <c r="S25" i="5"/>
  <c r="I25" i="5"/>
  <c r="AD200" i="5"/>
  <c r="Z200" i="5"/>
  <c r="C200" i="5" s="1"/>
  <c r="Y200" i="5"/>
  <c r="X200" i="5"/>
  <c r="F200" i="5" s="1"/>
  <c r="V200" i="5"/>
  <c r="T200" i="5"/>
  <c r="G200" i="5" s="1"/>
  <c r="S200" i="5"/>
  <c r="I200" i="5"/>
  <c r="AD24" i="5"/>
  <c r="Z24" i="5"/>
  <c r="C24" i="5" s="1"/>
  <c r="Y24" i="5"/>
  <c r="X24" i="5"/>
  <c r="F24" i="5" s="1"/>
  <c r="V24" i="5"/>
  <c r="T24" i="5"/>
  <c r="G24" i="5" s="1"/>
  <c r="S24" i="5"/>
  <c r="I24" i="5"/>
  <c r="AD199" i="5"/>
  <c r="Z199" i="5"/>
  <c r="C199" i="5" s="1"/>
  <c r="Y199" i="5"/>
  <c r="X199" i="5"/>
  <c r="F199" i="5" s="1"/>
  <c r="V199" i="5"/>
  <c r="T199" i="5"/>
  <c r="G199" i="5" s="1"/>
  <c r="S199" i="5"/>
  <c r="I199" i="5"/>
  <c r="AD198" i="5"/>
  <c r="Z198" i="5"/>
  <c r="C198" i="5" s="1"/>
  <c r="Y198" i="5"/>
  <c r="X198" i="5"/>
  <c r="F198" i="5" s="1"/>
  <c r="V198" i="5"/>
  <c r="T198" i="5"/>
  <c r="G198" i="5" s="1"/>
  <c r="S198" i="5"/>
  <c r="I198" i="5"/>
  <c r="AD23" i="5"/>
  <c r="Z23" i="5"/>
  <c r="C23" i="5" s="1"/>
  <c r="Y23" i="5"/>
  <c r="X23" i="5"/>
  <c r="F23" i="5" s="1"/>
  <c r="V23" i="5"/>
  <c r="T23" i="5"/>
  <c r="G23" i="5" s="1"/>
  <c r="S23" i="5"/>
  <c r="I23" i="5"/>
  <c r="AD22" i="5"/>
  <c r="Z22" i="5"/>
  <c r="C22" i="5" s="1"/>
  <c r="Y22" i="5"/>
  <c r="X22" i="5"/>
  <c r="V22" i="5"/>
  <c r="T22" i="5"/>
  <c r="G22" i="5" s="1"/>
  <c r="S22" i="5"/>
  <c r="I22" i="5"/>
  <c r="AD87" i="5"/>
  <c r="Z87" i="5"/>
  <c r="C87" i="5" s="1"/>
  <c r="Y87" i="5"/>
  <c r="X87" i="5"/>
  <c r="F87" i="5" s="1"/>
  <c r="V87" i="5"/>
  <c r="T87" i="5"/>
  <c r="G87" i="5" s="1"/>
  <c r="S87" i="5"/>
  <c r="I87" i="5"/>
  <c r="AD232" i="5"/>
  <c r="Z232" i="5"/>
  <c r="C232" i="5" s="1"/>
  <c r="Y232" i="5"/>
  <c r="X232" i="5"/>
  <c r="V232" i="5"/>
  <c r="T232" i="5"/>
  <c r="G232" i="5" s="1"/>
  <c r="S232" i="5"/>
  <c r="I232" i="5"/>
  <c r="AD231" i="5"/>
  <c r="Z231" i="5"/>
  <c r="C231" i="5" s="1"/>
  <c r="Y231" i="5"/>
  <c r="X231" i="5"/>
  <c r="V231" i="5"/>
  <c r="T231" i="5"/>
  <c r="G231" i="5" s="1"/>
  <c r="S231" i="5"/>
  <c r="I231" i="5"/>
  <c r="AD718" i="5"/>
  <c r="Z718" i="5"/>
  <c r="C718" i="5" s="1"/>
  <c r="Y718" i="5"/>
  <c r="X718" i="5"/>
  <c r="F718" i="5" s="1"/>
  <c r="V718" i="5"/>
  <c r="T718" i="5"/>
  <c r="G718" i="5" s="1"/>
  <c r="S718" i="5"/>
  <c r="I718" i="5"/>
  <c r="AD814" i="5"/>
  <c r="Z814" i="5"/>
  <c r="C814" i="5" s="1"/>
  <c r="Y814" i="5"/>
  <c r="X814" i="5"/>
  <c r="F814" i="5" s="1"/>
  <c r="V814" i="5"/>
  <c r="T814" i="5"/>
  <c r="G814" i="5" s="1"/>
  <c r="S814" i="5"/>
  <c r="I814" i="5"/>
  <c r="AD86" i="5"/>
  <c r="Z86" i="5"/>
  <c r="C86" i="5" s="1"/>
  <c r="Y86" i="5"/>
  <c r="X86" i="5"/>
  <c r="F86" i="5" s="1"/>
  <c r="V86" i="5"/>
  <c r="T86" i="5"/>
  <c r="G86" i="5" s="1"/>
  <c r="S86" i="5"/>
  <c r="I86" i="5"/>
  <c r="AD585" i="5"/>
  <c r="Z585" i="5"/>
  <c r="C585" i="5" s="1"/>
  <c r="Y585" i="5"/>
  <c r="X585" i="5"/>
  <c r="F585" i="5" s="1"/>
  <c r="V585" i="5"/>
  <c r="T585" i="5"/>
  <c r="G585" i="5" s="1"/>
  <c r="S585" i="5"/>
  <c r="I585" i="5"/>
  <c r="AD571" i="5"/>
  <c r="Z571" i="5"/>
  <c r="C571" i="5" s="1"/>
  <c r="Y571" i="5"/>
  <c r="X571" i="5"/>
  <c r="F571" i="5" s="1"/>
  <c r="V571" i="5"/>
  <c r="T571" i="5"/>
  <c r="G571" i="5" s="1"/>
  <c r="S571" i="5"/>
  <c r="I571" i="5"/>
  <c r="AD570" i="5"/>
  <c r="Z570" i="5"/>
  <c r="C570" i="5" s="1"/>
  <c r="Y570" i="5"/>
  <c r="X570" i="5"/>
  <c r="F570" i="5" s="1"/>
  <c r="V570" i="5"/>
  <c r="T570" i="5"/>
  <c r="G570" i="5" s="1"/>
  <c r="S570" i="5"/>
  <c r="I570" i="5"/>
  <c r="AD584" i="5"/>
  <c r="Z584" i="5"/>
  <c r="C584" i="5" s="1"/>
  <c r="Y584" i="5"/>
  <c r="X584" i="5"/>
  <c r="F584" i="5" s="1"/>
  <c r="V584" i="5"/>
  <c r="T584" i="5"/>
  <c r="G584" i="5" s="1"/>
  <c r="S584" i="5"/>
  <c r="I584" i="5"/>
  <c r="AD569" i="5"/>
  <c r="Z569" i="5"/>
  <c r="C569" i="5" s="1"/>
  <c r="Y569" i="5"/>
  <c r="X569" i="5"/>
  <c r="F569" i="5" s="1"/>
  <c r="V569" i="5"/>
  <c r="T569" i="5"/>
  <c r="G569" i="5" s="1"/>
  <c r="S569" i="5"/>
  <c r="I569" i="5"/>
  <c r="AD568" i="5"/>
  <c r="Z568" i="5"/>
  <c r="C568" i="5" s="1"/>
  <c r="Y568" i="5"/>
  <c r="X568" i="5"/>
  <c r="F568" i="5" s="1"/>
  <c r="V568" i="5"/>
  <c r="T568" i="5"/>
  <c r="G568" i="5" s="1"/>
  <c r="S568" i="5"/>
  <c r="I568" i="5"/>
  <c r="AD1202" i="5"/>
  <c r="Z1202" i="5"/>
  <c r="C1202" i="5" s="1"/>
  <c r="Y1202" i="5"/>
  <c r="X1202" i="5"/>
  <c r="V1202" i="5"/>
  <c r="T1202" i="5"/>
  <c r="G1202" i="5" s="1"/>
  <c r="S1202" i="5"/>
  <c r="I1202" i="5"/>
  <c r="AD1200" i="5"/>
  <c r="Z1200" i="5"/>
  <c r="C1200" i="5" s="1"/>
  <c r="Y1200" i="5"/>
  <c r="X1200" i="5"/>
  <c r="F1200" i="5" s="1"/>
  <c r="V1200" i="5"/>
  <c r="T1200" i="5"/>
  <c r="G1200" i="5" s="1"/>
  <c r="S1200" i="5"/>
  <c r="I1200" i="5"/>
  <c r="AD1212" i="5"/>
  <c r="Z1212" i="5"/>
  <c r="C1212" i="5" s="1"/>
  <c r="Y1212" i="5"/>
  <c r="X1212" i="5"/>
  <c r="V1212" i="5"/>
  <c r="T1212" i="5"/>
  <c r="G1212" i="5" s="1"/>
  <c r="S1212" i="5"/>
  <c r="I1212" i="5"/>
  <c r="AD1211" i="5"/>
  <c r="Z1211" i="5"/>
  <c r="C1211" i="5" s="1"/>
  <c r="Y1211" i="5"/>
  <c r="X1211" i="5"/>
  <c r="F1211" i="5" s="1"/>
  <c r="V1211" i="5"/>
  <c r="T1211" i="5"/>
  <c r="G1211" i="5" s="1"/>
  <c r="S1211" i="5"/>
  <c r="I1211" i="5"/>
  <c r="AD504" i="5"/>
  <c r="Z504" i="5"/>
  <c r="C504" i="5" s="1"/>
  <c r="Y504" i="5"/>
  <c r="X504" i="5"/>
  <c r="V504" i="5"/>
  <c r="T504" i="5"/>
  <c r="G504" i="5" s="1"/>
  <c r="S504" i="5"/>
  <c r="I504" i="5"/>
  <c r="AD215" i="5"/>
  <c r="Z215" i="5"/>
  <c r="C215" i="5" s="1"/>
  <c r="Y215" i="5"/>
  <c r="X215" i="5"/>
  <c r="F215" i="5" s="1"/>
  <c r="V215" i="5"/>
  <c r="T215" i="5"/>
  <c r="G215" i="5" s="1"/>
  <c r="S215" i="5"/>
  <c r="I215" i="5"/>
  <c r="AD701" i="5"/>
  <c r="Z701" i="5"/>
  <c r="C701" i="5" s="1"/>
  <c r="Y701" i="5"/>
  <c r="X701" i="5"/>
  <c r="F701" i="5" s="1"/>
  <c r="V701" i="5"/>
  <c r="T701" i="5"/>
  <c r="G701" i="5" s="1"/>
  <c r="S701" i="5"/>
  <c r="I701" i="5"/>
  <c r="AD214" i="5"/>
  <c r="Z214" i="5"/>
  <c r="C214" i="5" s="1"/>
  <c r="Y214" i="5"/>
  <c r="X214" i="5"/>
  <c r="V214" i="5"/>
  <c r="T214" i="5"/>
  <c r="G214" i="5" s="1"/>
  <c r="S214" i="5"/>
  <c r="I214" i="5"/>
  <c r="AD850" i="5"/>
  <c r="Z850" i="5"/>
  <c r="C850" i="5" s="1"/>
  <c r="Y850" i="5"/>
  <c r="X850" i="5"/>
  <c r="F850" i="5" s="1"/>
  <c r="V850" i="5"/>
  <c r="T850" i="5"/>
  <c r="G850" i="5" s="1"/>
  <c r="S850" i="5"/>
  <c r="I850" i="5"/>
  <c r="AD849" i="5"/>
  <c r="Z849" i="5"/>
  <c r="C849" i="5" s="1"/>
  <c r="Y849" i="5"/>
  <c r="X849" i="5"/>
  <c r="V849" i="5"/>
  <c r="T849" i="5"/>
  <c r="G849" i="5" s="1"/>
  <c r="S849" i="5"/>
  <c r="I849" i="5"/>
  <c r="AD1040" i="5"/>
  <c r="Z1040" i="5"/>
  <c r="C1040" i="5" s="1"/>
  <c r="Y1040" i="5"/>
  <c r="X1040" i="5"/>
  <c r="F1040" i="5" s="1"/>
  <c r="V1040" i="5"/>
  <c r="T1040" i="5"/>
  <c r="G1040" i="5" s="1"/>
  <c r="S1040" i="5"/>
  <c r="I1040" i="5"/>
  <c r="AD1039" i="5"/>
  <c r="Z1039" i="5"/>
  <c r="C1039" i="5" s="1"/>
  <c r="Y1039" i="5"/>
  <c r="X1039" i="5"/>
  <c r="V1039" i="5"/>
  <c r="T1039" i="5"/>
  <c r="G1039" i="5" s="1"/>
  <c r="S1039" i="5"/>
  <c r="I1039" i="5"/>
  <c r="AD943" i="5"/>
  <c r="Z943" i="5"/>
  <c r="C943" i="5" s="1"/>
  <c r="Y943" i="5"/>
  <c r="X943" i="5"/>
  <c r="V943" i="5"/>
  <c r="T943" i="5"/>
  <c r="G943" i="5" s="1"/>
  <c r="S943" i="5"/>
  <c r="I943" i="5"/>
  <c r="AD942" i="5"/>
  <c r="Z942" i="5"/>
  <c r="C942" i="5" s="1"/>
  <c r="Y942" i="5"/>
  <c r="X942" i="5"/>
  <c r="F942" i="5" s="1"/>
  <c r="V942" i="5"/>
  <c r="T942" i="5"/>
  <c r="G942" i="5" s="1"/>
  <c r="S942" i="5"/>
  <c r="I942" i="5"/>
  <c r="AD1038" i="5"/>
  <c r="Z1038" i="5"/>
  <c r="C1038" i="5" s="1"/>
  <c r="Y1038" i="5"/>
  <c r="X1038" i="5"/>
  <c r="F1038" i="5" s="1"/>
  <c r="V1038" i="5"/>
  <c r="T1038" i="5"/>
  <c r="G1038" i="5" s="1"/>
  <c r="S1038" i="5"/>
  <c r="I1038" i="5"/>
  <c r="AD941" i="5"/>
  <c r="Z941" i="5"/>
  <c r="C941" i="5" s="1"/>
  <c r="Y941" i="5"/>
  <c r="X941" i="5"/>
  <c r="F941" i="5" s="1"/>
  <c r="V941" i="5"/>
  <c r="T941" i="5"/>
  <c r="G941" i="5" s="1"/>
  <c r="S941" i="5"/>
  <c r="I941" i="5"/>
  <c r="AD861" i="5"/>
  <c r="Z861" i="5"/>
  <c r="C861" i="5" s="1"/>
  <c r="Y861" i="5"/>
  <c r="X861" i="5"/>
  <c r="V861" i="5"/>
  <c r="T861" i="5"/>
  <c r="G861" i="5" s="1"/>
  <c r="S861" i="5"/>
  <c r="I861" i="5"/>
  <c r="AD1028" i="5"/>
  <c r="Z1028" i="5"/>
  <c r="C1028" i="5" s="1"/>
  <c r="Y1028" i="5"/>
  <c r="X1028" i="5"/>
  <c r="F1028" i="5" s="1"/>
  <c r="V1028" i="5"/>
  <c r="T1028" i="5"/>
  <c r="G1028" i="5" s="1"/>
  <c r="S1028" i="5"/>
  <c r="I1028" i="5"/>
  <c r="AD918" i="5"/>
  <c r="Z918" i="5"/>
  <c r="C918" i="5" s="1"/>
  <c r="Y918" i="5"/>
  <c r="X918" i="5"/>
  <c r="V918" i="5"/>
  <c r="T918" i="5"/>
  <c r="G918" i="5" s="1"/>
  <c r="S918" i="5"/>
  <c r="I918" i="5"/>
  <c r="AD860" i="5"/>
  <c r="Z860" i="5"/>
  <c r="C860" i="5" s="1"/>
  <c r="Y860" i="5"/>
  <c r="X860" i="5"/>
  <c r="F860" i="5" s="1"/>
  <c r="V860" i="5"/>
  <c r="T860" i="5"/>
  <c r="G860" i="5" s="1"/>
  <c r="S860" i="5"/>
  <c r="I860" i="5"/>
  <c r="AD1037" i="5"/>
  <c r="Z1037" i="5"/>
  <c r="C1037" i="5" s="1"/>
  <c r="Y1037" i="5"/>
  <c r="X1037" i="5"/>
  <c r="F1037" i="5" s="1"/>
  <c r="V1037" i="5"/>
  <c r="T1037" i="5"/>
  <c r="G1037" i="5" s="1"/>
  <c r="S1037" i="5"/>
  <c r="I1037" i="5"/>
  <c r="AD940" i="5"/>
  <c r="Z940" i="5"/>
  <c r="C940" i="5" s="1"/>
  <c r="Y940" i="5"/>
  <c r="X940" i="5"/>
  <c r="V940" i="5"/>
  <c r="T940" i="5"/>
  <c r="G940" i="5" s="1"/>
  <c r="S940" i="5"/>
  <c r="I940" i="5"/>
  <c r="AD859" i="5"/>
  <c r="Z859" i="5"/>
  <c r="C859" i="5" s="1"/>
  <c r="Y859" i="5"/>
  <c r="X859" i="5"/>
  <c r="V859" i="5"/>
  <c r="T859" i="5"/>
  <c r="G859" i="5" s="1"/>
  <c r="S859" i="5"/>
  <c r="I859" i="5"/>
  <c r="AD1018" i="5"/>
  <c r="Z1018" i="5"/>
  <c r="C1018" i="5" s="1"/>
  <c r="Y1018" i="5"/>
  <c r="X1018" i="5"/>
  <c r="F1018" i="5" s="1"/>
  <c r="V1018" i="5"/>
  <c r="T1018" i="5"/>
  <c r="G1018" i="5" s="1"/>
  <c r="S1018" i="5"/>
  <c r="I1018" i="5"/>
  <c r="AD913" i="5"/>
  <c r="Z913" i="5"/>
  <c r="C913" i="5" s="1"/>
  <c r="Y913" i="5"/>
  <c r="X913" i="5"/>
  <c r="V913" i="5"/>
  <c r="T913" i="5"/>
  <c r="G913" i="5" s="1"/>
  <c r="S913" i="5"/>
  <c r="I913" i="5"/>
  <c r="AD858" i="5"/>
  <c r="Z858" i="5"/>
  <c r="C858" i="5" s="1"/>
  <c r="Y858" i="5"/>
  <c r="X858" i="5"/>
  <c r="V858" i="5"/>
  <c r="T858" i="5"/>
  <c r="G858" i="5" s="1"/>
  <c r="S858" i="5"/>
  <c r="I858" i="5"/>
  <c r="AD1025" i="5"/>
  <c r="Z1025" i="5"/>
  <c r="C1025" i="5" s="1"/>
  <c r="Y1025" i="5"/>
  <c r="X1025" i="5"/>
  <c r="V1025" i="5"/>
  <c r="T1025" i="5"/>
  <c r="G1025" i="5" s="1"/>
  <c r="S1025" i="5"/>
  <c r="I1025" i="5"/>
  <c r="AD917" i="5"/>
  <c r="Z917" i="5"/>
  <c r="C917" i="5" s="1"/>
  <c r="Y917" i="5"/>
  <c r="X917" i="5"/>
  <c r="F917" i="5" s="1"/>
  <c r="V917" i="5"/>
  <c r="T917" i="5"/>
  <c r="G917" i="5" s="1"/>
  <c r="S917" i="5"/>
  <c r="I917" i="5"/>
  <c r="AD857" i="5"/>
  <c r="Z857" i="5"/>
  <c r="C857" i="5" s="1"/>
  <c r="Y857" i="5"/>
  <c r="X857" i="5"/>
  <c r="V857" i="5"/>
  <c r="T857" i="5"/>
  <c r="G857" i="5" s="1"/>
  <c r="S857" i="5"/>
  <c r="I857" i="5"/>
  <c r="AD1017" i="5"/>
  <c r="Z1017" i="5"/>
  <c r="C1017" i="5" s="1"/>
  <c r="Y1017" i="5"/>
  <c r="X1017" i="5"/>
  <c r="F1017" i="5" s="1"/>
  <c r="V1017" i="5"/>
  <c r="T1017" i="5"/>
  <c r="G1017" i="5" s="1"/>
  <c r="S1017" i="5"/>
  <c r="I1017" i="5"/>
  <c r="AD912" i="5"/>
  <c r="Z912" i="5"/>
  <c r="C912" i="5" s="1"/>
  <c r="Y912" i="5"/>
  <c r="X912" i="5"/>
  <c r="V912" i="5"/>
  <c r="T912" i="5"/>
  <c r="G912" i="5" s="1"/>
  <c r="S912" i="5"/>
  <c r="I912" i="5"/>
  <c r="AD856" i="5"/>
  <c r="Z856" i="5"/>
  <c r="C856" i="5" s="1"/>
  <c r="Y856" i="5"/>
  <c r="X856" i="5"/>
  <c r="F856" i="5" s="1"/>
  <c r="V856" i="5"/>
  <c r="T856" i="5"/>
  <c r="G856" i="5" s="1"/>
  <c r="S856" i="5"/>
  <c r="I856" i="5"/>
  <c r="AD1016" i="5"/>
  <c r="Z1016" i="5"/>
  <c r="C1016" i="5" s="1"/>
  <c r="Y1016" i="5"/>
  <c r="X1016" i="5"/>
  <c r="F1016" i="5" s="1"/>
  <c r="V1016" i="5"/>
  <c r="T1016" i="5"/>
  <c r="G1016" i="5" s="1"/>
  <c r="S1016" i="5"/>
  <c r="I1016" i="5"/>
  <c r="AD911" i="5"/>
  <c r="Z911" i="5"/>
  <c r="C911" i="5" s="1"/>
  <c r="Y911" i="5"/>
  <c r="X911" i="5"/>
  <c r="F911" i="5" s="1"/>
  <c r="V911" i="5"/>
  <c r="T911" i="5"/>
  <c r="G911" i="5" s="1"/>
  <c r="S911" i="5"/>
  <c r="I911" i="5"/>
  <c r="AD855" i="5"/>
  <c r="Z855" i="5"/>
  <c r="C855" i="5" s="1"/>
  <c r="Y855" i="5"/>
  <c r="X855" i="5"/>
  <c r="F855" i="5" s="1"/>
  <c r="V855" i="5"/>
  <c r="T855" i="5"/>
  <c r="G855" i="5" s="1"/>
  <c r="S855" i="5"/>
  <c r="I855" i="5"/>
  <c r="AD1000" i="5"/>
  <c r="Z1000" i="5"/>
  <c r="C1000" i="5" s="1"/>
  <c r="Y1000" i="5"/>
  <c r="X1000" i="5"/>
  <c r="V1000" i="5"/>
  <c r="T1000" i="5"/>
  <c r="G1000" i="5" s="1"/>
  <c r="S1000" i="5"/>
  <c r="I1000" i="5"/>
  <c r="AD894" i="5"/>
  <c r="Z894" i="5"/>
  <c r="C894" i="5" s="1"/>
  <c r="Y894" i="5"/>
  <c r="X894" i="5"/>
  <c r="V894" i="5"/>
  <c r="T894" i="5"/>
  <c r="G894" i="5" s="1"/>
  <c r="S894" i="5"/>
  <c r="I894" i="5"/>
  <c r="AD854" i="5"/>
  <c r="Z854" i="5"/>
  <c r="C854" i="5" s="1"/>
  <c r="Y854" i="5"/>
  <c r="X854" i="5"/>
  <c r="V854" i="5"/>
  <c r="T854" i="5"/>
  <c r="G854" i="5" s="1"/>
  <c r="S854" i="5"/>
  <c r="I854" i="5"/>
  <c r="AD996" i="5"/>
  <c r="Z996" i="5"/>
  <c r="C996" i="5" s="1"/>
  <c r="Y996" i="5"/>
  <c r="X996" i="5"/>
  <c r="F996" i="5" s="1"/>
  <c r="V996" i="5"/>
  <c r="T996" i="5"/>
  <c r="G996" i="5" s="1"/>
  <c r="S996" i="5"/>
  <c r="I996" i="5"/>
  <c r="AD884" i="5"/>
  <c r="Z884" i="5"/>
  <c r="C884" i="5" s="1"/>
  <c r="Y884" i="5"/>
  <c r="X884" i="5"/>
  <c r="F884" i="5" s="1"/>
  <c r="V884" i="5"/>
  <c r="T884" i="5"/>
  <c r="G884" i="5" s="1"/>
  <c r="S884" i="5"/>
  <c r="I884" i="5"/>
  <c r="AD883" i="5"/>
  <c r="Z883" i="5"/>
  <c r="C883" i="5" s="1"/>
  <c r="Y883" i="5"/>
  <c r="X883" i="5"/>
  <c r="V883" i="5"/>
  <c r="T883" i="5"/>
  <c r="G883" i="5" s="1"/>
  <c r="S883" i="5"/>
  <c r="I883" i="5"/>
  <c r="AD882" i="5"/>
  <c r="Z882" i="5"/>
  <c r="C882" i="5" s="1"/>
  <c r="Y882" i="5"/>
  <c r="X882" i="5"/>
  <c r="F882" i="5" s="1"/>
  <c r="V882" i="5"/>
  <c r="T882" i="5"/>
  <c r="G882" i="5" s="1"/>
  <c r="S882" i="5"/>
  <c r="I882" i="5"/>
  <c r="AD853" i="5"/>
  <c r="Z853" i="5"/>
  <c r="C853" i="5" s="1"/>
  <c r="Y853" i="5"/>
  <c r="X853" i="5"/>
  <c r="V853" i="5"/>
  <c r="T853" i="5"/>
  <c r="G853" i="5" s="1"/>
  <c r="S853" i="5"/>
  <c r="I853" i="5"/>
  <c r="AD995" i="5"/>
  <c r="Z995" i="5"/>
  <c r="C995" i="5" s="1"/>
  <c r="Y995" i="5"/>
  <c r="X995" i="5"/>
  <c r="V995" i="5"/>
  <c r="T995" i="5"/>
  <c r="G995" i="5" s="1"/>
  <c r="S995" i="5"/>
  <c r="I995" i="5"/>
  <c r="AD881" i="5"/>
  <c r="Z881" i="5"/>
  <c r="C881" i="5" s="1"/>
  <c r="Y881" i="5"/>
  <c r="X881" i="5"/>
  <c r="F881" i="5" s="1"/>
  <c r="V881" i="5"/>
  <c r="T881" i="5"/>
  <c r="G881" i="5" s="1"/>
  <c r="S881" i="5"/>
  <c r="I881" i="5"/>
  <c r="AD880" i="5"/>
  <c r="Z880" i="5"/>
  <c r="C880" i="5" s="1"/>
  <c r="Y880" i="5"/>
  <c r="X880" i="5"/>
  <c r="F880" i="5" s="1"/>
  <c r="V880" i="5"/>
  <c r="T880" i="5"/>
  <c r="G880" i="5" s="1"/>
  <c r="S880" i="5"/>
  <c r="I880" i="5"/>
  <c r="AD879" i="5"/>
  <c r="Z879" i="5"/>
  <c r="C879" i="5" s="1"/>
  <c r="Y879" i="5"/>
  <c r="X879" i="5"/>
  <c r="F879" i="5" s="1"/>
  <c r="V879" i="5"/>
  <c r="T879" i="5"/>
  <c r="G879" i="5" s="1"/>
  <c r="S879" i="5"/>
  <c r="I879" i="5"/>
  <c r="AD852" i="5"/>
  <c r="Z852" i="5"/>
  <c r="C852" i="5" s="1"/>
  <c r="Y852" i="5"/>
  <c r="X852" i="5"/>
  <c r="V852" i="5"/>
  <c r="T852" i="5"/>
  <c r="G852" i="5" s="1"/>
  <c r="S852" i="5"/>
  <c r="I852" i="5"/>
  <c r="AD994" i="5"/>
  <c r="Z994" i="5"/>
  <c r="C994" i="5" s="1"/>
  <c r="Y994" i="5"/>
  <c r="X994" i="5"/>
  <c r="F994" i="5" s="1"/>
  <c r="V994" i="5"/>
  <c r="T994" i="5"/>
  <c r="G994" i="5" s="1"/>
  <c r="S994" i="5"/>
  <c r="I994" i="5"/>
  <c r="AD878" i="5"/>
  <c r="Z878" i="5"/>
  <c r="C878" i="5" s="1"/>
  <c r="Y878" i="5"/>
  <c r="X878" i="5"/>
  <c r="V878" i="5"/>
  <c r="T878" i="5"/>
  <c r="G878" i="5" s="1"/>
  <c r="S878" i="5"/>
  <c r="I878" i="5"/>
  <c r="AD877" i="5"/>
  <c r="Z877" i="5"/>
  <c r="C877" i="5" s="1"/>
  <c r="Y877" i="5"/>
  <c r="X877" i="5"/>
  <c r="F877" i="5" s="1"/>
  <c r="V877" i="5"/>
  <c r="T877" i="5"/>
  <c r="G877" i="5" s="1"/>
  <c r="S877" i="5"/>
  <c r="I877" i="5"/>
  <c r="AD876" i="5"/>
  <c r="Z876" i="5"/>
  <c r="C876" i="5" s="1"/>
  <c r="Y876" i="5"/>
  <c r="X876" i="5"/>
  <c r="F876" i="5" s="1"/>
  <c r="V876" i="5"/>
  <c r="T876" i="5"/>
  <c r="G876" i="5" s="1"/>
  <c r="S876" i="5"/>
  <c r="I876" i="5"/>
  <c r="AD851" i="5"/>
  <c r="Z851" i="5"/>
  <c r="C851" i="5" s="1"/>
  <c r="Y851" i="5"/>
  <c r="X851" i="5"/>
  <c r="F851" i="5" s="1"/>
  <c r="V851" i="5"/>
  <c r="T851" i="5"/>
  <c r="G851" i="5" s="1"/>
  <c r="S851" i="5"/>
  <c r="I851" i="5"/>
  <c r="AD503" i="5"/>
  <c r="Z503" i="5"/>
  <c r="C503" i="5" s="1"/>
  <c r="Y503" i="5"/>
  <c r="X503" i="5"/>
  <c r="F503" i="5" s="1"/>
  <c r="V503" i="5"/>
  <c r="T503" i="5"/>
  <c r="G503" i="5" s="1"/>
  <c r="S503" i="5"/>
  <c r="I503" i="5"/>
  <c r="AD1076" i="5"/>
  <c r="Z1076" i="5"/>
  <c r="C1076" i="5" s="1"/>
  <c r="Y1076" i="5"/>
  <c r="X1076" i="5"/>
  <c r="V1076" i="5"/>
  <c r="T1076" i="5"/>
  <c r="G1076" i="5" s="1"/>
  <c r="S1076" i="5"/>
  <c r="I1076" i="5"/>
  <c r="AD1075" i="5"/>
  <c r="Z1075" i="5"/>
  <c r="C1075" i="5" s="1"/>
  <c r="Y1075" i="5"/>
  <c r="X1075" i="5"/>
  <c r="V1075" i="5"/>
  <c r="T1075" i="5"/>
  <c r="G1075" i="5" s="1"/>
  <c r="S1075" i="5"/>
  <c r="I1075" i="5"/>
  <c r="AD1074" i="5"/>
  <c r="Z1074" i="5"/>
  <c r="C1074" i="5" s="1"/>
  <c r="Y1074" i="5"/>
  <c r="X1074" i="5"/>
  <c r="V1074" i="5"/>
  <c r="T1074" i="5"/>
  <c r="G1074" i="5" s="1"/>
  <c r="S1074" i="5"/>
  <c r="I1074" i="5"/>
  <c r="F95" i="3"/>
  <c r="E95" i="3"/>
  <c r="A95" i="3"/>
  <c r="F94" i="3"/>
  <c r="E94" i="3"/>
  <c r="A94" i="3"/>
  <c r="F93" i="3"/>
  <c r="E93" i="3"/>
  <c r="A93" i="3"/>
  <c r="F92" i="3"/>
  <c r="E92" i="3"/>
  <c r="A92" i="3"/>
  <c r="F91" i="3"/>
  <c r="E91" i="3"/>
  <c r="A91" i="3"/>
  <c r="F90" i="3"/>
  <c r="E90" i="3"/>
  <c r="A90" i="3"/>
  <c r="F89" i="3"/>
  <c r="E89" i="3"/>
  <c r="A89" i="3"/>
  <c r="F88" i="3"/>
  <c r="E88" i="3"/>
  <c r="A88" i="3"/>
  <c r="F87" i="3"/>
  <c r="E87" i="3"/>
  <c r="A87" i="3"/>
  <c r="F86" i="3"/>
  <c r="E86" i="3"/>
  <c r="A86" i="3"/>
  <c r="F85" i="3"/>
  <c r="E85" i="3"/>
  <c r="A85" i="3"/>
  <c r="F84" i="3"/>
  <c r="E84" i="3"/>
  <c r="A84" i="3"/>
  <c r="F83" i="3"/>
  <c r="E83" i="3"/>
  <c r="A83" i="3"/>
  <c r="F82" i="3"/>
  <c r="E82" i="3"/>
  <c r="A82" i="3"/>
  <c r="F81" i="3"/>
  <c r="E81" i="3"/>
  <c r="A81" i="3"/>
  <c r="F80" i="3"/>
  <c r="E80" i="3"/>
  <c r="A80" i="3"/>
  <c r="F79" i="3"/>
  <c r="E79" i="3"/>
  <c r="A79" i="3"/>
  <c r="F78" i="3"/>
  <c r="E78" i="3"/>
  <c r="A78" i="3"/>
  <c r="F77" i="3"/>
  <c r="E77" i="3"/>
  <c r="A77" i="3"/>
  <c r="F76" i="3"/>
  <c r="E76" i="3"/>
  <c r="A76" i="3"/>
  <c r="F75" i="3"/>
  <c r="E75" i="3"/>
  <c r="A75" i="3"/>
  <c r="F74" i="3"/>
  <c r="E74" i="3"/>
  <c r="A74" i="3"/>
  <c r="F73" i="3"/>
  <c r="E73" i="3"/>
  <c r="A73" i="3"/>
  <c r="F72" i="3"/>
  <c r="E72" i="3"/>
  <c r="A72" i="3"/>
  <c r="F71" i="3"/>
  <c r="E71" i="3"/>
  <c r="A71" i="3"/>
  <c r="F70" i="3"/>
  <c r="E70" i="3"/>
  <c r="A70" i="3"/>
  <c r="F69" i="3"/>
  <c r="E69" i="3"/>
  <c r="A69" i="3"/>
  <c r="F68" i="3"/>
  <c r="E68" i="3"/>
  <c r="A68" i="3"/>
  <c r="F67" i="3"/>
  <c r="E67" i="3"/>
  <c r="A67" i="3"/>
  <c r="F66" i="3"/>
  <c r="E66" i="3"/>
  <c r="A66" i="3"/>
  <c r="F65" i="3"/>
  <c r="E65" i="3"/>
  <c r="A65" i="3"/>
  <c r="F64" i="3"/>
  <c r="E64" i="3"/>
  <c r="A64" i="3"/>
  <c r="F63" i="3"/>
  <c r="E63" i="3"/>
  <c r="A63" i="3"/>
  <c r="F62" i="3"/>
  <c r="E62" i="3"/>
  <c r="A62" i="3"/>
  <c r="F61" i="3"/>
  <c r="E61" i="3"/>
  <c r="A61" i="3"/>
  <c r="F60" i="3"/>
  <c r="E60" i="3"/>
  <c r="A60" i="3"/>
  <c r="F59" i="3"/>
  <c r="E59" i="3"/>
  <c r="A59" i="3"/>
  <c r="F58" i="3"/>
  <c r="E58" i="3"/>
  <c r="A58" i="3"/>
  <c r="F57" i="3"/>
  <c r="E57" i="3"/>
  <c r="A57" i="3"/>
  <c r="F56" i="3"/>
  <c r="E56" i="3"/>
  <c r="A56" i="3"/>
  <c r="F55" i="3"/>
  <c r="E55" i="3"/>
  <c r="A55" i="3"/>
  <c r="F54" i="3"/>
  <c r="E54" i="3"/>
  <c r="A54" i="3"/>
  <c r="F53" i="3"/>
  <c r="E53" i="3"/>
  <c r="A53" i="3"/>
  <c r="F52" i="3"/>
  <c r="E52" i="3"/>
  <c r="A52" i="3"/>
  <c r="F51" i="3"/>
  <c r="E51" i="3"/>
  <c r="A51" i="3"/>
  <c r="F50" i="3"/>
  <c r="E50" i="3"/>
  <c r="A50" i="3"/>
  <c r="F49" i="3"/>
  <c r="E49" i="3"/>
  <c r="A49" i="3"/>
  <c r="F48" i="3"/>
  <c r="E48" i="3"/>
  <c r="A48" i="3"/>
  <c r="F47" i="3"/>
  <c r="E47" i="3"/>
  <c r="A47" i="3"/>
  <c r="F46" i="3"/>
  <c r="E46" i="3"/>
  <c r="A46" i="3"/>
  <c r="F45" i="3"/>
  <c r="E45" i="3"/>
  <c r="A45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A29" i="3"/>
  <c r="F28" i="3"/>
  <c r="E28" i="3"/>
  <c r="A28" i="3"/>
  <c r="F27" i="3"/>
  <c r="E27" i="3"/>
  <c r="A27" i="3"/>
  <c r="F26" i="3"/>
  <c r="E26" i="3"/>
  <c r="A26" i="3"/>
  <c r="F25" i="3"/>
  <c r="E25" i="3"/>
  <c r="A25" i="3"/>
  <c r="F24" i="3"/>
  <c r="E24" i="3"/>
  <c r="A24" i="3"/>
  <c r="F23" i="3"/>
  <c r="E23" i="3"/>
  <c r="A23" i="3"/>
  <c r="F22" i="3"/>
  <c r="E22" i="3"/>
  <c r="A22" i="3"/>
  <c r="F21" i="3"/>
  <c r="E21" i="3"/>
  <c r="A21" i="3"/>
  <c r="F20" i="3"/>
  <c r="E20" i="3"/>
  <c r="A20" i="3"/>
  <c r="F19" i="3"/>
  <c r="E19" i="3"/>
  <c r="A19" i="3"/>
  <c r="F18" i="3"/>
  <c r="E18" i="3"/>
  <c r="A18" i="3"/>
  <c r="F17" i="3"/>
  <c r="E17" i="3"/>
  <c r="A17" i="3"/>
  <c r="V11" i="2"/>
  <c r="S11" i="2"/>
  <c r="Q11" i="2"/>
  <c r="P11" i="2"/>
  <c r="M11" i="2"/>
  <c r="W9" i="2" a="1"/>
  <c r="W9" i="2" s="1"/>
  <c r="X9" i="2" s="1"/>
  <c r="T9" i="2"/>
  <c r="U9" i="2" s="1"/>
  <c r="Q9" i="2"/>
  <c r="R9" i="2" s="1"/>
  <c r="Y9" i="2" s="1"/>
  <c r="O9" i="2"/>
  <c r="N9" i="2"/>
  <c r="W8" i="2" a="1"/>
  <c r="W8" i="2" s="1"/>
  <c r="X8" i="2" s="1"/>
  <c r="T8" i="2"/>
  <c r="U8" i="2" s="1"/>
  <c r="Q8" i="2"/>
  <c r="R8" i="2" s="1"/>
  <c r="O8" i="2"/>
  <c r="N8" i="2"/>
  <c r="W7" i="2"/>
  <c r="X7" i="2" s="1"/>
  <c r="U7" i="2"/>
  <c r="T7" i="2"/>
  <c r="R7" i="2"/>
  <c r="Y7" i="2" s="1"/>
  <c r="Q7" i="2"/>
  <c r="O7" i="2"/>
  <c r="N7" i="2"/>
  <c r="X6" i="2"/>
  <c r="T6" i="2"/>
  <c r="U6" i="2" s="1"/>
  <c r="R6" i="2"/>
  <c r="Q6" i="2"/>
  <c r="O6" i="2"/>
  <c r="N6" i="2"/>
  <c r="X5" i="2"/>
  <c r="W5" i="2"/>
  <c r="T5" i="2"/>
  <c r="U5" i="2" s="1"/>
  <c r="U11" i="2" s="1"/>
  <c r="R5" i="2"/>
  <c r="R11" i="2" s="1"/>
  <c r="Q5" i="2"/>
  <c r="N5" i="2"/>
  <c r="O5" i="2" s="1"/>
  <c r="K512" i="1"/>
  <c r="K713" i="1" s="1"/>
  <c r="J512" i="1"/>
  <c r="J713" i="1" s="1"/>
  <c r="H512" i="1"/>
  <c r="H713" i="1" s="1"/>
  <c r="G512" i="1"/>
  <c r="G713" i="1" s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M849" i="5" s="1"/>
  <c r="B6" i="1"/>
  <c r="AP911" i="5" s="1"/>
  <c r="B5" i="1"/>
  <c r="AP904" i="5" s="1"/>
  <c r="AT1220" i="5" l="1"/>
  <c r="AT1210" i="5"/>
  <c r="AT1200" i="5"/>
  <c r="AT1190" i="5"/>
  <c r="AT1180" i="5"/>
  <c r="AT1170" i="5"/>
  <c r="AT1160" i="5"/>
  <c r="AT1150" i="5"/>
  <c r="AT1140" i="5"/>
  <c r="AT1130" i="5"/>
  <c r="AT1120" i="5"/>
  <c r="AT1110" i="5"/>
  <c r="AT1100" i="5"/>
  <c r="AT1090" i="5"/>
  <c r="AT1080" i="5"/>
  <c r="AT1070" i="5"/>
  <c r="AT1060" i="5"/>
  <c r="AT1050" i="5"/>
  <c r="AT1040" i="5"/>
  <c r="AT1030" i="5"/>
  <c r="AT1020" i="5"/>
  <c r="AT1010" i="5"/>
  <c r="AT1000" i="5"/>
  <c r="AT990" i="5"/>
  <c r="AT980" i="5"/>
  <c r="AT970" i="5"/>
  <c r="AT960" i="5"/>
  <c r="AT950" i="5"/>
  <c r="AT940" i="5"/>
  <c r="AT930" i="5"/>
  <c r="AT920" i="5"/>
  <c r="AT910" i="5"/>
  <c r="AT900" i="5"/>
  <c r="AT890" i="5"/>
  <c r="AT880" i="5"/>
  <c r="AT870" i="5"/>
  <c r="AT860" i="5"/>
  <c r="AT850" i="5"/>
  <c r="AT840" i="5"/>
  <c r="AT830" i="5"/>
  <c r="AT820" i="5"/>
  <c r="AT810" i="5"/>
  <c r="AT800" i="5"/>
  <c r="AT790" i="5"/>
  <c r="AT780" i="5"/>
  <c r="AT770" i="5"/>
  <c r="AT760" i="5"/>
  <c r="AT750" i="5"/>
  <c r="AT740" i="5"/>
  <c r="AT730" i="5"/>
  <c r="AT720" i="5"/>
  <c r="AT710" i="5"/>
  <c r="AT700" i="5"/>
  <c r="AT690" i="5"/>
  <c r="AT680" i="5"/>
  <c r="AT670" i="5"/>
  <c r="AT660" i="5"/>
  <c r="AT650" i="5"/>
  <c r="AT640" i="5"/>
  <c r="AT630" i="5"/>
  <c r="AT620" i="5"/>
  <c r="AT610" i="5"/>
  <c r="AT600" i="5"/>
  <c r="AT590" i="5"/>
  <c r="AT580" i="5"/>
  <c r="AT570" i="5"/>
  <c r="AT560" i="5"/>
  <c r="AT550" i="5"/>
  <c r="AT540" i="5"/>
  <c r="AT530" i="5"/>
  <c r="AT520" i="5"/>
  <c r="AT510" i="5"/>
  <c r="AT500" i="5"/>
  <c r="AT490" i="5"/>
  <c r="AT390" i="5"/>
  <c r="AT380" i="5"/>
  <c r="AT370" i="5"/>
  <c r="AT360" i="5"/>
  <c r="AT350" i="5"/>
  <c r="AT340" i="5"/>
  <c r="AT320" i="5"/>
  <c r="AT310" i="5"/>
  <c r="AT297" i="5"/>
  <c r="AT287" i="5"/>
  <c r="AT277" i="5"/>
  <c r="AT267" i="5"/>
  <c r="AT257" i="5"/>
  <c r="AT247" i="5"/>
  <c r="AT237" i="5"/>
  <c r="AT227" i="5"/>
  <c r="AT217" i="5"/>
  <c r="AT207" i="5"/>
  <c r="AT157" i="5"/>
  <c r="AT147" i="5"/>
  <c r="AT137" i="5"/>
  <c r="AT127" i="5"/>
  <c r="AT117" i="5"/>
  <c r="AT107" i="5"/>
  <c r="AT97" i="5"/>
  <c r="AT87" i="5"/>
  <c r="AT77" i="5"/>
  <c r="AT67" i="5"/>
  <c r="AT480" i="5"/>
  <c r="AT470" i="5"/>
  <c r="AT460" i="5"/>
  <c r="AT450" i="5"/>
  <c r="AT440" i="5"/>
  <c r="AT430" i="5"/>
  <c r="AT420" i="5"/>
  <c r="AT410" i="5"/>
  <c r="AT400" i="5"/>
  <c r="AT197" i="5"/>
  <c r="AT187" i="5"/>
  <c r="AT167" i="5"/>
  <c r="AT1161" i="5"/>
  <c r="AT1151" i="5"/>
  <c r="AT1141" i="5"/>
  <c r="AT1131" i="5"/>
  <c r="AT1121" i="5"/>
  <c r="AT1111" i="5"/>
  <c r="AT1101" i="5"/>
  <c r="AT1091" i="5"/>
  <c r="AT1081" i="5"/>
  <c r="AT1071" i="5"/>
  <c r="AT1061" i="5"/>
  <c r="AT1051" i="5"/>
  <c r="AT1041" i="5"/>
  <c r="AT1031" i="5"/>
  <c r="AT1021" i="5"/>
  <c r="AT1011" i="5"/>
  <c r="AT1001" i="5"/>
  <c r="AT991" i="5"/>
  <c r="AT981" i="5"/>
  <c r="AT971" i="5"/>
  <c r="AT961" i="5"/>
  <c r="AT951" i="5"/>
  <c r="AT941" i="5"/>
  <c r="AT931" i="5"/>
  <c r="AT921" i="5"/>
  <c r="AT911" i="5"/>
  <c r="AT901" i="5"/>
  <c r="AT891" i="5"/>
  <c r="AT881" i="5"/>
  <c r="AT871" i="5"/>
  <c r="AT861" i="5"/>
  <c r="AT1214" i="5"/>
  <c r="AT1204" i="5"/>
  <c r="AT1194" i="5"/>
  <c r="AT1184" i="5"/>
  <c r="AT1174" i="5"/>
  <c r="AT1164" i="5"/>
  <c r="AT1154" i="5"/>
  <c r="AT1144" i="5"/>
  <c r="AT1134" i="5"/>
  <c r="AT1124" i="5"/>
  <c r="AT1114" i="5"/>
  <c r="AT1104" i="5"/>
  <c r="AT1094" i="5"/>
  <c r="AT1084" i="5"/>
  <c r="AT1074" i="5"/>
  <c r="AT1064" i="5"/>
  <c r="AT1054" i="5"/>
  <c r="AT1044" i="5"/>
  <c r="AT1034" i="5"/>
  <c r="AT1024" i="5"/>
  <c r="AT1014" i="5"/>
  <c r="AT1004" i="5"/>
  <c r="AT994" i="5"/>
  <c r="AT984" i="5"/>
  <c r="AT974" i="5"/>
  <c r="AT964" i="5"/>
  <c r="AT954" i="5"/>
  <c r="AT944" i="5"/>
  <c r="AT934" i="5"/>
  <c r="AT924" i="5"/>
  <c r="AT914" i="5"/>
  <c r="AT904" i="5"/>
  <c r="AT894" i="5"/>
  <c r="AT884" i="5"/>
  <c r="AT874" i="5"/>
  <c r="AT864" i="5"/>
  <c r="AT854" i="5"/>
  <c r="AT844" i="5"/>
  <c r="AT814" i="5"/>
  <c r="AT804" i="5"/>
  <c r="AT794" i="5"/>
  <c r="AT764" i="5"/>
  <c r="AT754" i="5"/>
  <c r="AT744" i="5"/>
  <c r="F302" i="5"/>
  <c r="AT302" i="5"/>
  <c r="AT851" i="5"/>
  <c r="AT841" i="5"/>
  <c r="AT831" i="5"/>
  <c r="AT821" i="5"/>
  <c r="AT811" i="5"/>
  <c r="AT801" i="5"/>
  <c r="AT791" i="5"/>
  <c r="AT781" i="5"/>
  <c r="AT771" i="5"/>
  <c r="AT761" i="5"/>
  <c r="AT751" i="5"/>
  <c r="AT741" i="5"/>
  <c r="AT731" i="5"/>
  <c r="AT721" i="5"/>
  <c r="AT711" i="5"/>
  <c r="AT701" i="5"/>
  <c r="AT691" i="5"/>
  <c r="AT681" i="5"/>
  <c r="AT671" i="5"/>
  <c r="AT661" i="5"/>
  <c r="AT651" i="5"/>
  <c r="AT641" i="5"/>
  <c r="AT631" i="5"/>
  <c r="AT621" i="5"/>
  <c r="AT611" i="5"/>
  <c r="AT601" i="5"/>
  <c r="AT591" i="5"/>
  <c r="AT581" i="5"/>
  <c r="AT571" i="5"/>
  <c r="AT561" i="5"/>
  <c r="AT551" i="5"/>
  <c r="AT541" i="5"/>
  <c r="AT531" i="5"/>
  <c r="AT521" i="5"/>
  <c r="AT511" i="5"/>
  <c r="AT501" i="5"/>
  <c r="AT491" i="5"/>
  <c r="AT481" i="5"/>
  <c r="AT471" i="5"/>
  <c r="AT461" i="5"/>
  <c r="AT451" i="5"/>
  <c r="AT441" i="5"/>
  <c r="AT431" i="5"/>
  <c r="AT421" i="5"/>
  <c r="AT411" i="5"/>
  <c r="AT401" i="5"/>
  <c r="AT391" i="5"/>
  <c r="AT381" i="5"/>
  <c r="AT371" i="5"/>
  <c r="AT361" i="5"/>
  <c r="AT351" i="5"/>
  <c r="AT341" i="5"/>
  <c r="AT331" i="5"/>
  <c r="AT321" i="5"/>
  <c r="AT311" i="5"/>
  <c r="AT298" i="5"/>
  <c r="AT288" i="5"/>
  <c r="AT278" i="5"/>
  <c r="AT268" i="5"/>
  <c r="AT258" i="5"/>
  <c r="AT248" i="5"/>
  <c r="AT238" i="5"/>
  <c r="AT228" i="5"/>
  <c r="AT218" i="5"/>
  <c r="AT208" i="5"/>
  <c r="AT198" i="5"/>
  <c r="AT188" i="5"/>
  <c r="AT178" i="5"/>
  <c r="AT168" i="5"/>
  <c r="AT158" i="5"/>
  <c r="AT148" i="5"/>
  <c r="AT138" i="5"/>
  <c r="AT128" i="5"/>
  <c r="AT118" i="5"/>
  <c r="AT108" i="5"/>
  <c r="AT98" i="5"/>
  <c r="AT88" i="5"/>
  <c r="AT78" i="5"/>
  <c r="AT68" i="5"/>
  <c r="AT58" i="5"/>
  <c r="AT48" i="5"/>
  <c r="AT38" i="5"/>
  <c r="AT28" i="5"/>
  <c r="AT18" i="5"/>
  <c r="AT8" i="5"/>
  <c r="AU301" i="5"/>
  <c r="AT57" i="5"/>
  <c r="AT47" i="5"/>
  <c r="AT37" i="5"/>
  <c r="AT27" i="5"/>
  <c r="AT17" i="5"/>
  <c r="AT7" i="5"/>
  <c r="AT301" i="5"/>
  <c r="AT330" i="5"/>
  <c r="AT300" i="5"/>
  <c r="AU300" i="5"/>
  <c r="F301" i="5"/>
  <c r="AU302" i="5"/>
  <c r="F300" i="5"/>
  <c r="AT1221" i="5"/>
  <c r="AT1211" i="5"/>
  <c r="AT1201" i="5"/>
  <c r="AT1191" i="5"/>
  <c r="AT1181" i="5"/>
  <c r="AT1171" i="5"/>
  <c r="AT1216" i="5"/>
  <c r="AT1206" i="5"/>
  <c r="AT1196" i="5"/>
  <c r="AT1186" i="5"/>
  <c r="AT1176" i="5"/>
  <c r="AT1166" i="5"/>
  <c r="AT1156" i="5"/>
  <c r="AT1146" i="5"/>
  <c r="AT1136" i="5"/>
  <c r="AT1126" i="5"/>
  <c r="AT1116" i="5"/>
  <c r="AT1106" i="5"/>
  <c r="AT1096" i="5"/>
  <c r="AT1086" i="5"/>
  <c r="AT1076" i="5"/>
  <c r="AT1066" i="5"/>
  <c r="AT1056" i="5"/>
  <c r="AT1046" i="5"/>
  <c r="AT1036" i="5"/>
  <c r="AT1026" i="5"/>
  <c r="AT1016" i="5"/>
  <c r="AT1006" i="5"/>
  <c r="AT996" i="5"/>
  <c r="AT986" i="5"/>
  <c r="AT976" i="5"/>
  <c r="AT966" i="5"/>
  <c r="AT956" i="5"/>
  <c r="AT946" i="5"/>
  <c r="AT936" i="5"/>
  <c r="AT926" i="5"/>
  <c r="AT916" i="5"/>
  <c r="AT906" i="5"/>
  <c r="AT896" i="5"/>
  <c r="AT886" i="5"/>
  <c r="AT876" i="5"/>
  <c r="AT866" i="5"/>
  <c r="AT856" i="5"/>
  <c r="AT846" i="5"/>
  <c r="AT836" i="5"/>
  <c r="AT826" i="5"/>
  <c r="AT816" i="5"/>
  <c r="AT806" i="5"/>
  <c r="AT796" i="5"/>
  <c r="AT786" i="5"/>
  <c r="AT776" i="5"/>
  <c r="AT766" i="5"/>
  <c r="AT756" i="5"/>
  <c r="AT746" i="5"/>
  <c r="AT736" i="5"/>
  <c r="AT726" i="5"/>
  <c r="AT716" i="5"/>
  <c r="AT706" i="5"/>
  <c r="AT696" i="5"/>
  <c r="AT686" i="5"/>
  <c r="AT676" i="5"/>
  <c r="AT666" i="5"/>
  <c r="AT656" i="5"/>
  <c r="AT646" i="5"/>
  <c r="AT636" i="5"/>
  <c r="AT626" i="5"/>
  <c r="AT616" i="5"/>
  <c r="AT606" i="5"/>
  <c r="AT596" i="5"/>
  <c r="AT586" i="5"/>
  <c r="AT576" i="5"/>
  <c r="AT566" i="5"/>
  <c r="AT556" i="5"/>
  <c r="AT546" i="5"/>
  <c r="AT536" i="5"/>
  <c r="AT526" i="5"/>
  <c r="AT516" i="5"/>
  <c r="AT506" i="5"/>
  <c r="AT496" i="5"/>
  <c r="AT486" i="5"/>
  <c r="AT476" i="5"/>
  <c r="AT466" i="5"/>
  <c r="AT456" i="5"/>
  <c r="AT446" i="5"/>
  <c r="AT436" i="5"/>
  <c r="AT426" i="5"/>
  <c r="AT416" i="5"/>
  <c r="AT406" i="5"/>
  <c r="AT396" i="5"/>
  <c r="AT386" i="5"/>
  <c r="AT376" i="5"/>
  <c r="AT1123" i="5"/>
  <c r="AT1023" i="5"/>
  <c r="AT1222" i="5"/>
  <c r="AT1212" i="5"/>
  <c r="AT1202" i="5"/>
  <c r="AT1192" i="5"/>
  <c r="AT1182" i="5"/>
  <c r="AT1172" i="5"/>
  <c r="AT1162" i="5"/>
  <c r="AT1152" i="5"/>
  <c r="AT1142" i="5"/>
  <c r="AT1132" i="5"/>
  <c r="AT1122" i="5"/>
  <c r="AT1112" i="5"/>
  <c r="AT1102" i="5"/>
  <c r="AT1092" i="5"/>
  <c r="AT1082" i="5"/>
  <c r="AT1072" i="5"/>
  <c r="AT1062" i="5"/>
  <c r="AT1052" i="5"/>
  <c r="AT1042" i="5"/>
  <c r="AT1032" i="5"/>
  <c r="AT1022" i="5"/>
  <c r="AT1012" i="5"/>
  <c r="AT1002" i="5"/>
  <c r="AT992" i="5"/>
  <c r="AT982" i="5"/>
  <c r="AT972" i="5"/>
  <c r="AT962" i="5"/>
  <c r="AT952" i="5"/>
  <c r="AT942" i="5"/>
  <c r="AT932" i="5"/>
  <c r="AT922" i="5"/>
  <c r="AT912" i="5"/>
  <c r="AT902" i="5"/>
  <c r="AT892" i="5"/>
  <c r="AT882" i="5"/>
  <c r="AT872" i="5"/>
  <c r="AT862" i="5"/>
  <c r="AT852" i="5"/>
  <c r="AT842" i="5"/>
  <c r="AT832" i="5"/>
  <c r="AT822" i="5"/>
  <c r="AT812" i="5"/>
  <c r="AT802" i="5"/>
  <c r="AT792" i="5"/>
  <c r="AT782" i="5"/>
  <c r="AT772" i="5"/>
  <c r="AT762" i="5"/>
  <c r="AT752" i="5"/>
  <c r="AT742" i="5"/>
  <c r="AT732" i="5"/>
  <c r="AT722" i="5"/>
  <c r="AT712" i="5"/>
  <c r="AT702" i="5"/>
  <c r="AT692" i="5"/>
  <c r="AT682" i="5"/>
  <c r="AT672" i="5"/>
  <c r="AT662" i="5"/>
  <c r="AT652" i="5"/>
  <c r="AT642" i="5"/>
  <c r="AT632" i="5"/>
  <c r="AT622" i="5"/>
  <c r="AT612" i="5"/>
  <c r="AT602" i="5"/>
  <c r="AT592" i="5"/>
  <c r="AT582" i="5"/>
  <c r="AT572" i="5"/>
  <c r="AT562" i="5"/>
  <c r="AT552" i="5"/>
  <c r="AT542" i="5"/>
  <c r="AT532" i="5"/>
  <c r="AT522" i="5"/>
  <c r="AT512" i="5"/>
  <c r="AT502" i="5"/>
  <c r="AT492" i="5"/>
  <c r="AT482" i="5"/>
  <c r="AT472" i="5"/>
  <c r="AT462" i="5"/>
  <c r="AT452" i="5"/>
  <c r="AT442" i="5"/>
  <c r="AT432" i="5"/>
  <c r="AT422" i="5"/>
  <c r="AT412" i="5"/>
  <c r="AT402" i="5"/>
  <c r="AT392" i="5"/>
  <c r="AT382" i="5"/>
  <c r="AT372" i="5"/>
  <c r="AT362" i="5"/>
  <c r="AT352" i="5"/>
  <c r="AT342" i="5"/>
  <c r="AT332" i="5"/>
  <c r="AT322" i="5"/>
  <c r="AT312" i="5"/>
  <c r="AT299" i="5"/>
  <c r="AT289" i="5"/>
  <c r="AT279" i="5"/>
  <c r="AT269" i="5"/>
  <c r="AT259" i="5"/>
  <c r="AT249" i="5"/>
  <c r="AT239" i="5"/>
  <c r="AT229" i="5"/>
  <c r="AT219" i="5"/>
  <c r="AT209" i="5"/>
  <c r="AT199" i="5"/>
  <c r="AT189" i="5"/>
  <c r="AT179" i="5"/>
  <c r="AT169" i="5"/>
  <c r="AT159" i="5"/>
  <c r="AT149" i="5"/>
  <c r="AT139" i="5"/>
  <c r="AT119" i="5"/>
  <c r="AT99" i="5"/>
  <c r="AT89" i="5"/>
  <c r="AT79" i="5"/>
  <c r="AT69" i="5"/>
  <c r="AT59" i="5"/>
  <c r="AT49" i="5"/>
  <c r="AT39" i="5"/>
  <c r="AT29" i="5"/>
  <c r="AT19" i="5"/>
  <c r="AT9" i="5"/>
  <c r="AT1219" i="5"/>
  <c r="AT1209" i="5"/>
  <c r="AT1199" i="5"/>
  <c r="AT1189" i="5"/>
  <c r="AT1179" i="5"/>
  <c r="AT1169" i="5"/>
  <c r="AT1159" i="5"/>
  <c r="AT1149" i="5"/>
  <c r="AT1139" i="5"/>
  <c r="AT1129" i="5"/>
  <c r="AT1119" i="5"/>
  <c r="AT1109" i="5"/>
  <c r="AT1099" i="5"/>
  <c r="AT1089" i="5"/>
  <c r="AT1079" i="5"/>
  <c r="AT1069" i="5"/>
  <c r="AT1059" i="5"/>
  <c r="AT1049" i="5"/>
  <c r="AT1039" i="5"/>
  <c r="AT1029" i="5"/>
  <c r="AT1019" i="5"/>
  <c r="AT1009" i="5"/>
  <c r="AT999" i="5"/>
  <c r="AT989" i="5"/>
  <c r="AT979" i="5"/>
  <c r="AT969" i="5"/>
  <c r="AT959" i="5"/>
  <c r="AT1218" i="5"/>
  <c r="AT1208" i="5"/>
  <c r="AT1198" i="5"/>
  <c r="AT1188" i="5"/>
  <c r="AT1178" i="5"/>
  <c r="AT1168" i="5"/>
  <c r="AT949" i="5"/>
  <c r="AT939" i="5"/>
  <c r="AT929" i="5"/>
  <c r="AT919" i="5"/>
  <c r="AT909" i="5"/>
  <c r="AT899" i="5"/>
  <c r="AT889" i="5"/>
  <c r="AT879" i="5"/>
  <c r="AT869" i="5"/>
  <c r="AT859" i="5"/>
  <c r="AT849" i="5"/>
  <c r="AT839" i="5"/>
  <c r="AT829" i="5"/>
  <c r="AT819" i="5"/>
  <c r="AT809" i="5"/>
  <c r="AT799" i="5"/>
  <c r="AT789" i="5"/>
  <c r="AT779" i="5"/>
  <c r="AT769" i="5"/>
  <c r="AT759" i="5"/>
  <c r="AT749" i="5"/>
  <c r="AT739" i="5"/>
  <c r="AT729" i="5"/>
  <c r="AT719" i="5"/>
  <c r="AT709" i="5"/>
  <c r="AT699" i="5"/>
  <c r="AT689" i="5"/>
  <c r="AT679" i="5"/>
  <c r="AT669" i="5"/>
  <c r="AT659" i="5"/>
  <c r="AT649" i="5"/>
  <c r="AT639" i="5"/>
  <c r="AT629" i="5"/>
  <c r="AT619" i="5"/>
  <c r="AT609" i="5"/>
  <c r="AT599" i="5"/>
  <c r="AT589" i="5"/>
  <c r="AT579" i="5"/>
  <c r="AT569" i="5"/>
  <c r="AT559" i="5"/>
  <c r="AT549" i="5"/>
  <c r="AT539" i="5"/>
  <c r="AT529" i="5"/>
  <c r="AT519" i="5"/>
  <c r="AT509" i="5"/>
  <c r="AT499" i="5"/>
  <c r="AT489" i="5"/>
  <c r="AT479" i="5"/>
  <c r="AT469" i="5"/>
  <c r="AT459" i="5"/>
  <c r="AT449" i="5"/>
  <c r="AT439" i="5"/>
  <c r="AT429" i="5"/>
  <c r="AT419" i="5"/>
  <c r="AT409" i="5"/>
  <c r="AT399" i="5"/>
  <c r="AT389" i="5"/>
  <c r="AT379" i="5"/>
  <c r="AT369" i="5"/>
  <c r="AT359" i="5"/>
  <c r="AT349" i="5"/>
  <c r="AT339" i="5"/>
  <c r="AT329" i="5"/>
  <c r="AT319" i="5"/>
  <c r="AT309" i="5"/>
  <c r="AT296" i="5"/>
  <c r="AT286" i="5"/>
  <c r="AT276" i="5"/>
  <c r="AT266" i="5"/>
  <c r="AT256" i="5"/>
  <c r="AT246" i="5"/>
  <c r="AT236" i="5"/>
  <c r="AT226" i="5"/>
  <c r="AT216" i="5"/>
  <c r="AT206" i="5"/>
  <c r="AT186" i="5"/>
  <c r="AT126" i="5"/>
  <c r="AT106" i="5"/>
  <c r="AT96" i="5"/>
  <c r="AT86" i="5"/>
  <c r="AT76" i="5"/>
  <c r="AT36" i="5"/>
  <c r="AT26" i="5"/>
  <c r="AT16" i="5"/>
  <c r="AU2" i="5"/>
  <c r="AT1158" i="5"/>
  <c r="AT1148" i="5"/>
  <c r="AT1138" i="5"/>
  <c r="AT1128" i="5"/>
  <c r="AT1118" i="5"/>
  <c r="AT1108" i="5"/>
  <c r="AT1098" i="5"/>
  <c r="AT1088" i="5"/>
  <c r="AT1078" i="5"/>
  <c r="AT1068" i="5"/>
  <c r="AT1058" i="5"/>
  <c r="AT1048" i="5"/>
  <c r="AT1038" i="5"/>
  <c r="AT1028" i="5"/>
  <c r="AT1018" i="5"/>
  <c r="AT1008" i="5"/>
  <c r="AT998" i="5"/>
  <c r="AT988" i="5"/>
  <c r="AT978" i="5"/>
  <c r="AT968" i="5"/>
  <c r="AT958" i="5"/>
  <c r="AT948" i="5"/>
  <c r="AT938" i="5"/>
  <c r="AT928" i="5"/>
  <c r="AT918" i="5"/>
  <c r="AU1135" i="5"/>
  <c r="AU1035" i="5"/>
  <c r="AT6" i="5"/>
  <c r="AT908" i="5"/>
  <c r="AT898" i="5"/>
  <c r="AT888" i="5"/>
  <c r="AT878" i="5"/>
  <c r="AT868" i="5"/>
  <c r="AT858" i="5"/>
  <c r="AT848" i="5"/>
  <c r="AT838" i="5"/>
  <c r="AT828" i="5"/>
  <c r="AT818" i="5"/>
  <c r="AT808" i="5"/>
  <c r="AT798" i="5"/>
  <c r="AT788" i="5"/>
  <c r="AT778" i="5"/>
  <c r="AT768" i="5"/>
  <c r="AT758" i="5"/>
  <c r="AT748" i="5"/>
  <c r="AT738" i="5"/>
  <c r="AT728" i="5"/>
  <c r="AT718" i="5"/>
  <c r="AT708" i="5"/>
  <c r="AT698" i="5"/>
  <c r="AT688" i="5"/>
  <c r="AT678" i="5"/>
  <c r="AT668" i="5"/>
  <c r="AT658" i="5"/>
  <c r="AT648" i="5"/>
  <c r="AT638" i="5"/>
  <c r="AT628" i="5"/>
  <c r="AT618" i="5"/>
  <c r="AT608" i="5"/>
  <c r="AT598" i="5"/>
  <c r="AT588" i="5"/>
  <c r="AT578" i="5"/>
  <c r="AT568" i="5"/>
  <c r="AT558" i="5"/>
  <c r="AT548" i="5"/>
  <c r="AT538" i="5"/>
  <c r="AT528" i="5"/>
  <c r="AT518" i="5"/>
  <c r="AT508" i="5"/>
  <c r="AT498" i="5"/>
  <c r="AT488" i="5"/>
  <c r="AT478" i="5"/>
  <c r="AT468" i="5"/>
  <c r="AT458" i="5"/>
  <c r="AT448" i="5"/>
  <c r="AT438" i="5"/>
  <c r="AT428" i="5"/>
  <c r="AT418" i="5"/>
  <c r="AT408" i="5"/>
  <c r="AT398" i="5"/>
  <c r="AT388" i="5"/>
  <c r="AT378" i="5"/>
  <c r="AT368" i="5"/>
  <c r="AT358" i="5"/>
  <c r="AT348" i="5"/>
  <c r="AT338" i="5"/>
  <c r="AT328" i="5"/>
  <c r="AT318" i="5"/>
  <c r="AT308" i="5"/>
  <c r="AT295" i="5"/>
  <c r="AT285" i="5"/>
  <c r="AT275" i="5"/>
  <c r="AT265" i="5"/>
  <c r="AT255" i="5"/>
  <c r="AT245" i="5"/>
  <c r="AT235" i="5"/>
  <c r="AT225" i="5"/>
  <c r="AT215" i="5"/>
  <c r="AT205" i="5"/>
  <c r="AT185" i="5"/>
  <c r="AT175" i="5"/>
  <c r="AT165" i="5"/>
  <c r="AT135" i="5"/>
  <c r="AT125" i="5"/>
  <c r="AT105" i="5"/>
  <c r="AT95" i="5"/>
  <c r="AT85" i="5"/>
  <c r="AT75" i="5"/>
  <c r="AT65" i="5"/>
  <c r="AT55" i="5"/>
  <c r="AT35" i="5"/>
  <c r="AT25" i="5"/>
  <c r="AT15" i="5"/>
  <c r="AT1187" i="5"/>
  <c r="AT1147" i="5"/>
  <c r="AT1087" i="5"/>
  <c r="AT1047" i="5"/>
  <c r="AT987" i="5"/>
  <c r="AT947" i="5"/>
  <c r="AT887" i="5"/>
  <c r="AT697" i="5"/>
  <c r="AT667" i="5"/>
  <c r="AT657" i="5"/>
  <c r="AT647" i="5"/>
  <c r="AT617" i="5"/>
  <c r="AT607" i="5"/>
  <c r="AT597" i="5"/>
  <c r="AT567" i="5"/>
  <c r="AT557" i="5"/>
  <c r="AT547" i="5"/>
  <c r="AT517" i="5"/>
  <c r="AT507" i="5"/>
  <c r="AT497" i="5"/>
  <c r="AT467" i="5"/>
  <c r="AT457" i="5"/>
  <c r="AT447" i="5"/>
  <c r="AT417" i="5"/>
  <c r="AT1215" i="5"/>
  <c r="AT1205" i="5"/>
  <c r="AT1195" i="5"/>
  <c r="AT1185" i="5"/>
  <c r="AT1175" i="5"/>
  <c r="AT1165" i="5"/>
  <c r="AT1155" i="5"/>
  <c r="AT1145" i="5"/>
  <c r="AT1135" i="5"/>
  <c r="AT1125" i="5"/>
  <c r="AT1115" i="5"/>
  <c r="AT1105" i="5"/>
  <c r="AT1095" i="5"/>
  <c r="AT1085" i="5"/>
  <c r="AT1075" i="5"/>
  <c r="AT1065" i="5"/>
  <c r="AT1055" i="5"/>
  <c r="AT1045" i="5"/>
  <c r="AT1035" i="5"/>
  <c r="AT1025" i="5"/>
  <c r="AT1015" i="5"/>
  <c r="AT1005" i="5"/>
  <c r="AT995" i="5"/>
  <c r="AT985" i="5"/>
  <c r="AT975" i="5"/>
  <c r="AT965" i="5"/>
  <c r="AT955" i="5"/>
  <c r="AT945" i="5"/>
  <c r="AT935" i="5"/>
  <c r="AT925" i="5"/>
  <c r="AT915" i="5"/>
  <c r="AT714" i="5"/>
  <c r="AT704" i="5"/>
  <c r="AT694" i="5"/>
  <c r="AT664" i="5"/>
  <c r="AT654" i="5"/>
  <c r="AT644" i="5"/>
  <c r="AT614" i="5"/>
  <c r="AT604" i="5"/>
  <c r="AT594" i="5"/>
  <c r="AT564" i="5"/>
  <c r="AT554" i="5"/>
  <c r="AT544" i="5"/>
  <c r="AT514" i="5"/>
  <c r="AT504" i="5"/>
  <c r="AT494" i="5"/>
  <c r="AT464" i="5"/>
  <c r="AT454" i="5"/>
  <c r="AT444" i="5"/>
  <c r="AT414" i="5"/>
  <c r="AT404" i="5"/>
  <c r="AT394" i="5"/>
  <c r="AT364" i="5"/>
  <c r="AT354" i="5"/>
  <c r="AT344" i="5"/>
  <c r="AT314" i="5"/>
  <c r="AT304" i="5"/>
  <c r="AT291" i="5"/>
  <c r="AT261" i="5"/>
  <c r="AT251" i="5"/>
  <c r="AT241" i="5"/>
  <c r="AT211" i="5"/>
  <c r="AT201" i="5"/>
  <c r="AT151" i="5"/>
  <c r="AT141" i="5"/>
  <c r="AT131" i="5"/>
  <c r="AT121" i="5"/>
  <c r="AT21" i="5"/>
  <c r="AT101" i="5"/>
  <c r="AT91" i="5"/>
  <c r="AT31" i="5"/>
  <c r="AT11" i="5"/>
  <c r="AT923" i="5"/>
  <c r="AT843" i="5"/>
  <c r="AT793" i="5"/>
  <c r="AT743" i="5"/>
  <c r="AT693" i="5"/>
  <c r="AT643" i="5"/>
  <c r="AT593" i="5"/>
  <c r="AT543" i="5"/>
  <c r="AT493" i="5"/>
  <c r="AT443" i="5"/>
  <c r="AT393" i="5"/>
  <c r="AT343" i="5"/>
  <c r="AT290" i="5"/>
  <c r="AT240" i="5"/>
  <c r="AT190" i="5"/>
  <c r="AT140" i="5"/>
  <c r="AU5" i="5"/>
  <c r="AT407" i="5"/>
  <c r="AT397" i="5"/>
  <c r="AT367" i="5"/>
  <c r="AT357" i="5"/>
  <c r="AT347" i="5"/>
  <c r="AT317" i="5"/>
  <c r="AT307" i="5"/>
  <c r="AT294" i="5"/>
  <c r="AT264" i="5"/>
  <c r="AT254" i="5"/>
  <c r="AT244" i="5"/>
  <c r="AT214" i="5"/>
  <c r="AT204" i="5"/>
  <c r="AT194" i="5"/>
  <c r="AT164" i="5"/>
  <c r="AT154" i="5"/>
  <c r="AT114" i="5"/>
  <c r="AT84" i="5"/>
  <c r="AT74" i="5"/>
  <c r="AT64" i="5"/>
  <c r="AT54" i="5"/>
  <c r="AT34" i="5"/>
  <c r="AT24" i="5"/>
  <c r="AT14" i="5"/>
  <c r="AT4" i="5"/>
  <c r="AT366" i="5"/>
  <c r="AT356" i="5"/>
  <c r="AT346" i="5"/>
  <c r="AT336" i="5"/>
  <c r="AT326" i="5"/>
  <c r="AT316" i="5"/>
  <c r="AT306" i="5"/>
  <c r="AT293" i="5"/>
  <c r="AT283" i="5"/>
  <c r="AT273" i="5"/>
  <c r="AT263" i="5"/>
  <c r="AT253" i="5"/>
  <c r="AT243" i="5"/>
  <c r="AT233" i="5"/>
  <c r="AT223" i="5"/>
  <c r="AT213" i="5"/>
  <c r="AT203" i="5"/>
  <c r="AT193" i="5"/>
  <c r="AT173" i="5"/>
  <c r="AT163" i="5"/>
  <c r="AT133" i="5"/>
  <c r="AT123" i="5"/>
  <c r="AT113" i="5"/>
  <c r="AT63" i="5"/>
  <c r="AT53" i="5"/>
  <c r="AT43" i="5"/>
  <c r="AT33" i="5"/>
  <c r="AT23" i="5"/>
  <c r="AT13" i="5"/>
  <c r="AT3" i="5"/>
  <c r="AT905" i="5"/>
  <c r="AT895" i="5"/>
  <c r="AT885" i="5"/>
  <c r="AT875" i="5"/>
  <c r="AT865" i="5"/>
  <c r="AT855" i="5"/>
  <c r="AT845" i="5"/>
  <c r="AT835" i="5"/>
  <c r="AT825" i="5"/>
  <c r="AT815" i="5"/>
  <c r="AT805" i="5"/>
  <c r="AT795" i="5"/>
  <c r="AT785" i="5"/>
  <c r="AT775" i="5"/>
  <c r="AT765" i="5"/>
  <c r="AT755" i="5"/>
  <c r="AT745" i="5"/>
  <c r="AT735" i="5"/>
  <c r="AT725" i="5"/>
  <c r="AT715" i="5"/>
  <c r="AT705" i="5"/>
  <c r="AT695" i="5"/>
  <c r="AT685" i="5"/>
  <c r="AT675" i="5"/>
  <c r="AT665" i="5"/>
  <c r="AT655" i="5"/>
  <c r="AT645" i="5"/>
  <c r="AT635" i="5"/>
  <c r="AT625" i="5"/>
  <c r="AT615" i="5"/>
  <c r="AT605" i="5"/>
  <c r="AT595" i="5"/>
  <c r="AT585" i="5"/>
  <c r="AT575" i="5"/>
  <c r="AT565" i="5"/>
  <c r="AT555" i="5"/>
  <c r="AT545" i="5"/>
  <c r="AT535" i="5"/>
  <c r="AT525" i="5"/>
  <c r="AT515" i="5"/>
  <c r="AT505" i="5"/>
  <c r="AT495" i="5"/>
  <c r="AT485" i="5"/>
  <c r="AT475" i="5"/>
  <c r="AT465" i="5"/>
  <c r="AT455" i="5"/>
  <c r="AT445" i="5"/>
  <c r="AT435" i="5"/>
  <c r="AT425" i="5"/>
  <c r="AT415" i="5"/>
  <c r="AT405" i="5"/>
  <c r="AT395" i="5"/>
  <c r="AT385" i="5"/>
  <c r="AT375" i="5"/>
  <c r="AT365" i="5"/>
  <c r="AT355" i="5"/>
  <c r="AT345" i="5"/>
  <c r="AT335" i="5"/>
  <c r="AT325" i="5"/>
  <c r="AT315" i="5"/>
  <c r="AT305" i="5"/>
  <c r="AT292" i="5"/>
  <c r="AT282" i="5"/>
  <c r="AT272" i="5"/>
  <c r="AT262" i="5"/>
  <c r="AT252" i="5"/>
  <c r="AT242" i="5"/>
  <c r="AT232" i="5"/>
  <c r="AT222" i="5"/>
  <c r="AT212" i="5"/>
  <c r="AT202" i="5"/>
  <c r="AT162" i="5"/>
  <c r="AT152" i="5"/>
  <c r="AT142" i="5"/>
  <c r="AT122" i="5"/>
  <c r="AT92" i="5"/>
  <c r="AT72" i="5"/>
  <c r="AT62" i="5"/>
  <c r="AT52" i="5"/>
  <c r="AT42" i="5"/>
  <c r="AT32" i="5"/>
  <c r="AT22" i="5"/>
  <c r="AT12" i="5"/>
  <c r="AU3" i="5"/>
  <c r="AU1214" i="5"/>
  <c r="AU1204" i="5"/>
  <c r="AU1194" i="5"/>
  <c r="AU1184" i="5"/>
  <c r="AU1174" i="5"/>
  <c r="AU1164" i="5"/>
  <c r="AU1154" i="5"/>
  <c r="AU1144" i="5"/>
  <c r="AU1134" i="5"/>
  <c r="AU1124" i="5"/>
  <c r="AU1114" i="5"/>
  <c r="AU1104" i="5"/>
  <c r="AU1094" i="5"/>
  <c r="AU1084" i="5"/>
  <c r="AU1074" i="5"/>
  <c r="AU1064" i="5"/>
  <c r="AU1054" i="5"/>
  <c r="AU1044" i="5"/>
  <c r="AU1034" i="5"/>
  <c r="AU1024" i="5"/>
  <c r="AU1014" i="5"/>
  <c r="AU1004" i="5"/>
  <c r="AU994" i="5"/>
  <c r="AU984" i="5"/>
  <c r="AU974" i="5"/>
  <c r="AU964" i="5"/>
  <c r="AU954" i="5"/>
  <c r="AU944" i="5"/>
  <c r="AU934" i="5"/>
  <c r="AU924" i="5"/>
  <c r="AU914" i="5"/>
  <c r="AU904" i="5"/>
  <c r="AU894" i="5"/>
  <c r="AU884" i="5"/>
  <c r="AU874" i="5"/>
  <c r="AU864" i="5"/>
  <c r="AU854" i="5"/>
  <c r="AU844" i="5"/>
  <c r="AU834" i="5"/>
  <c r="AU824" i="5"/>
  <c r="AU814" i="5"/>
  <c r="AU804" i="5"/>
  <c r="AU794" i="5"/>
  <c r="AU784" i="5"/>
  <c r="AU774" i="5"/>
  <c r="AU764" i="5"/>
  <c r="AU754" i="5"/>
  <c r="AU1213" i="5"/>
  <c r="AU1203" i="5"/>
  <c r="AU1193" i="5"/>
  <c r="AU1183" i="5"/>
  <c r="AU1173" i="5"/>
  <c r="AU1163" i="5"/>
  <c r="AU1153" i="5"/>
  <c r="AU1093" i="5"/>
  <c r="AU993" i="5"/>
  <c r="AU893" i="5"/>
  <c r="AU653" i="5"/>
  <c r="AU1222" i="5"/>
  <c r="AU1212" i="5"/>
  <c r="AU1202" i="5"/>
  <c r="AU1192" i="5"/>
  <c r="AU1182" i="5"/>
  <c r="AU1172" i="5"/>
  <c r="AU1162" i="5"/>
  <c r="AU1152" i="5"/>
  <c r="AU1142" i="5"/>
  <c r="AU1132" i="5"/>
  <c r="AU1122" i="5"/>
  <c r="AU1112" i="5"/>
  <c r="AU1102" i="5"/>
  <c r="AU1092" i="5"/>
  <c r="AU1082" i="5"/>
  <c r="AU1072" i="5"/>
  <c r="AU1062" i="5"/>
  <c r="AU1052" i="5"/>
  <c r="AU1042" i="5"/>
  <c r="AU1032" i="5"/>
  <c r="AU1022" i="5"/>
  <c r="AU1012" i="5"/>
  <c r="AU1002" i="5"/>
  <c r="AU992" i="5"/>
  <c r="AU982" i="5"/>
  <c r="AU972" i="5"/>
  <c r="AU962" i="5"/>
  <c r="AU952" i="5"/>
  <c r="AU942" i="5"/>
  <c r="AU932" i="5"/>
  <c r="AU922" i="5"/>
  <c r="AU912" i="5"/>
  <c r="AU902" i="5"/>
  <c r="AU892" i="5"/>
  <c r="AU882" i="5"/>
  <c r="AU872" i="5"/>
  <c r="AU862" i="5"/>
  <c r="AU852" i="5"/>
  <c r="AU742" i="5"/>
  <c r="AU582" i="5"/>
  <c r="AU289" i="5"/>
  <c r="AT2" i="5"/>
  <c r="AU1161" i="5"/>
  <c r="AU1051" i="5"/>
  <c r="AU951" i="5"/>
  <c r="AU851" i="5"/>
  <c r="AU791" i="5"/>
  <c r="AU511" i="5"/>
  <c r="AU1150" i="5"/>
  <c r="AU980" i="5"/>
  <c r="AU880" i="5"/>
  <c r="AU810" i="5"/>
  <c r="AU710" i="5"/>
  <c r="AU440" i="5"/>
  <c r="AU1109" i="5"/>
  <c r="AU1009" i="5"/>
  <c r="AU909" i="5"/>
  <c r="AU829" i="5"/>
  <c r="AU369" i="5"/>
  <c r="AU1205" i="5"/>
  <c r="AU1218" i="5"/>
  <c r="AU1208" i="5"/>
  <c r="AU1198" i="5"/>
  <c r="AU1188" i="5"/>
  <c r="AU1178" i="5"/>
  <c r="AU1168" i="5"/>
  <c r="AU1158" i="5"/>
  <c r="AU1148" i="5"/>
  <c r="AU1138" i="5"/>
  <c r="AU1128" i="5"/>
  <c r="AU1118" i="5"/>
  <c r="AU1108" i="5"/>
  <c r="AU1098" i="5"/>
  <c r="AU1088" i="5"/>
  <c r="AU1078" i="5"/>
  <c r="AU1068" i="5"/>
  <c r="AU1058" i="5"/>
  <c r="AU1048" i="5"/>
  <c r="AU1038" i="5"/>
  <c r="AU1028" i="5"/>
  <c r="AU1018" i="5"/>
  <c r="AU1008" i="5"/>
  <c r="AU998" i="5"/>
  <c r="AU988" i="5"/>
  <c r="AU978" i="5"/>
  <c r="AU968" i="5"/>
  <c r="AU958" i="5"/>
  <c r="AU948" i="5"/>
  <c r="AU938" i="5"/>
  <c r="AU928" i="5"/>
  <c r="AU918" i="5"/>
  <c r="AU908" i="5"/>
  <c r="AU898" i="5"/>
  <c r="AU888" i="5"/>
  <c r="AU878" i="5"/>
  <c r="AU868" i="5"/>
  <c r="AU858" i="5"/>
  <c r="AU848" i="5"/>
  <c r="AU838" i="5"/>
  <c r="AU828" i="5"/>
  <c r="AU818" i="5"/>
  <c r="AU808" i="5"/>
  <c r="AU798" i="5"/>
  <c r="AU788" i="5"/>
  <c r="AU778" i="5"/>
  <c r="AU768" i="5"/>
  <c r="AU758" i="5"/>
  <c r="AU748" i="5"/>
  <c r="AU738" i="5"/>
  <c r="AU728" i="5"/>
  <c r="AU718" i="5"/>
  <c r="AU708" i="5"/>
  <c r="AU698" i="5"/>
  <c r="AU688" i="5"/>
  <c r="AU678" i="5"/>
  <c r="AU668" i="5"/>
  <c r="AU658" i="5"/>
  <c r="AU648" i="5"/>
  <c r="AU638" i="5"/>
  <c r="AU628" i="5"/>
  <c r="AU618" i="5"/>
  <c r="AU608" i="5"/>
  <c r="AU598" i="5"/>
  <c r="AU588" i="5"/>
  <c r="AU578" i="5"/>
  <c r="AU568" i="5"/>
  <c r="AU558" i="5"/>
  <c r="AU548" i="5"/>
  <c r="AU538" i="5"/>
  <c r="AU528" i="5"/>
  <c r="AU518" i="5"/>
  <c r="AU508" i="5"/>
  <c r="AU498" i="5"/>
  <c r="AU488" i="5"/>
  <c r="AU478" i="5"/>
  <c r="AU468" i="5"/>
  <c r="AU458" i="5"/>
  <c r="AU448" i="5"/>
  <c r="AU438" i="5"/>
  <c r="AU428" i="5"/>
  <c r="AU418" i="5"/>
  <c r="AU408" i="5"/>
  <c r="AU398" i="5"/>
  <c r="AU388" i="5"/>
  <c r="AU378" i="5"/>
  <c r="AU368" i="5"/>
  <c r="AU358" i="5"/>
  <c r="AU348" i="5"/>
  <c r="AU338" i="5"/>
  <c r="AU328" i="5"/>
  <c r="AU318" i="5"/>
  <c r="AU308" i="5"/>
  <c r="AU295" i="5"/>
  <c r="AU275" i="5"/>
  <c r="AU245" i="5"/>
  <c r="AU195" i="5"/>
  <c r="AU145" i="5"/>
  <c r="AU95" i="5"/>
  <c r="AU45" i="5"/>
  <c r="AU1080" i="5"/>
  <c r="AU1217" i="5"/>
  <c r="AU935" i="5"/>
  <c r="AT177" i="5"/>
  <c r="AU177" i="5"/>
  <c r="AU1216" i="5"/>
  <c r="AU1206" i="5"/>
  <c r="AU1196" i="5"/>
  <c r="AU1186" i="5"/>
  <c r="AU1176" i="5"/>
  <c r="AU1166" i="5"/>
  <c r="AU1156" i="5"/>
  <c r="AU1146" i="5"/>
  <c r="AU1136" i="5"/>
  <c r="AU1126" i="5"/>
  <c r="AU1116" i="5"/>
  <c r="AU1106" i="5"/>
  <c r="AU1096" i="5"/>
  <c r="AU1086" i="5"/>
  <c r="AU1076" i="5"/>
  <c r="AU1066" i="5"/>
  <c r="AU1056" i="5"/>
  <c r="AU1046" i="5"/>
  <c r="AU1036" i="5"/>
  <c r="AU1026" i="5"/>
  <c r="AU1016" i="5"/>
  <c r="AU1006" i="5"/>
  <c r="AU996" i="5"/>
  <c r="AU986" i="5"/>
  <c r="AU976" i="5"/>
  <c r="AU966" i="5"/>
  <c r="AU956" i="5"/>
  <c r="AU946" i="5"/>
  <c r="AU936" i="5"/>
  <c r="AU926" i="5"/>
  <c r="AU916" i="5"/>
  <c r="AU906" i="5"/>
  <c r="AU896" i="5"/>
  <c r="AU886" i="5"/>
  <c r="AU876" i="5"/>
  <c r="AU866" i="5"/>
  <c r="AU856" i="5"/>
  <c r="AU846" i="5"/>
  <c r="AU836" i="5"/>
  <c r="AU826" i="5"/>
  <c r="AU816" i="5"/>
  <c r="AU806" i="5"/>
  <c r="AU796" i="5"/>
  <c r="AU786" i="5"/>
  <c r="AU776" i="5"/>
  <c r="AU769" i="5"/>
  <c r="AU6" i="5"/>
  <c r="AU1207" i="5"/>
  <c r="AU1197" i="5"/>
  <c r="AU1187" i="5"/>
  <c r="AU1177" i="5"/>
  <c r="AU1167" i="5"/>
  <c r="AU1157" i="5"/>
  <c r="AU1147" i="5"/>
  <c r="AU1137" i="5"/>
  <c r="AU1127" i="5"/>
  <c r="AU1117" i="5"/>
  <c r="AU1107" i="5"/>
  <c r="AU1097" i="5"/>
  <c r="AU1087" i="5"/>
  <c r="AU1077" i="5"/>
  <c r="AU1067" i="5"/>
  <c r="AU1057" i="5"/>
  <c r="AU1047" i="5"/>
  <c r="AU1037" i="5"/>
  <c r="AU1027" i="5"/>
  <c r="AU1017" i="5"/>
  <c r="AU1007" i="5"/>
  <c r="AU997" i="5"/>
  <c r="AU987" i="5"/>
  <c r="AU977" i="5"/>
  <c r="AU967" i="5"/>
  <c r="AU957" i="5"/>
  <c r="AU947" i="5"/>
  <c r="AU937" i="5"/>
  <c r="AU927" i="5"/>
  <c r="AU917" i="5"/>
  <c r="AU907" i="5"/>
  <c r="AU897" i="5"/>
  <c r="AU887" i="5"/>
  <c r="AU877" i="5"/>
  <c r="AU867" i="5"/>
  <c r="AU857" i="5"/>
  <c r="AU847" i="5"/>
  <c r="AU837" i="5"/>
  <c r="AU827" i="5"/>
  <c r="AU817" i="5"/>
  <c r="AU807" i="5"/>
  <c r="AU797" i="5"/>
  <c r="AU787" i="5"/>
  <c r="AU777" i="5"/>
  <c r="AU767" i="5"/>
  <c r="AU757" i="5"/>
  <c r="AU747" i="5"/>
  <c r="AU737" i="5"/>
  <c r="AU727" i="5"/>
  <c r="AU717" i="5"/>
  <c r="AU707" i="5"/>
  <c r="AU697" i="5"/>
  <c r="AU687" i="5"/>
  <c r="AU677" i="5"/>
  <c r="AU667" i="5"/>
  <c r="AU657" i="5"/>
  <c r="AU647" i="5"/>
  <c r="AU637" i="5"/>
  <c r="AU627" i="5"/>
  <c r="AU617" i="5"/>
  <c r="AU607" i="5"/>
  <c r="AU597" i="5"/>
  <c r="AU587" i="5"/>
  <c r="AU577" i="5"/>
  <c r="AU567" i="5"/>
  <c r="AU557" i="5"/>
  <c r="AU547" i="5"/>
  <c r="AU537" i="5"/>
  <c r="AU527" i="5"/>
  <c r="AU766" i="5"/>
  <c r="AU756" i="5"/>
  <c r="AU746" i="5"/>
  <c r="AU736" i="5"/>
  <c r="AU726" i="5"/>
  <c r="AU716" i="5"/>
  <c r="AU706" i="5"/>
  <c r="AU696" i="5"/>
  <c r="AU686" i="5"/>
  <c r="AU676" i="5"/>
  <c r="AU666" i="5"/>
  <c r="AU656" i="5"/>
  <c r="AU646" i="5"/>
  <c r="AU636" i="5"/>
  <c r="AU626" i="5"/>
  <c r="AU616" i="5"/>
  <c r="AU606" i="5"/>
  <c r="AU596" i="5"/>
  <c r="AU586" i="5"/>
  <c r="AU576" i="5"/>
  <c r="AU566" i="5"/>
  <c r="AT5" i="5"/>
  <c r="AU4" i="5"/>
  <c r="AU1215" i="5"/>
  <c r="AU1195" i="5"/>
  <c r="AU1185" i="5"/>
  <c r="AU1175" i="5"/>
  <c r="AU1165" i="5"/>
  <c r="AU1155" i="5"/>
  <c r="AU1145" i="5"/>
  <c r="AU1125" i="5"/>
  <c r="AU1115" i="5"/>
  <c r="AU1105" i="5"/>
  <c r="AU1095" i="5"/>
  <c r="AU1085" i="5"/>
  <c r="AU1075" i="5"/>
  <c r="AU1065" i="5"/>
  <c r="AU1055" i="5"/>
  <c r="AU1045" i="5"/>
  <c r="AU1025" i="5"/>
  <c r="AU1015" i="5"/>
  <c r="AU1005" i="5"/>
  <c r="AU995" i="5"/>
  <c r="AU985" i="5"/>
  <c r="AU975" i="5"/>
  <c r="AU965" i="5"/>
  <c r="AU955" i="5"/>
  <c r="AU945" i="5"/>
  <c r="AU925" i="5"/>
  <c r="AU915" i="5"/>
  <c r="AU905" i="5"/>
  <c r="AU895" i="5"/>
  <c r="AU885" i="5"/>
  <c r="AU875" i="5"/>
  <c r="AU865" i="5"/>
  <c r="AU855" i="5"/>
  <c r="AU845" i="5"/>
  <c r="AU835" i="5"/>
  <c r="AU825" i="5"/>
  <c r="AU815" i="5"/>
  <c r="AU805" i="5"/>
  <c r="AU795" i="5"/>
  <c r="AU785" i="5"/>
  <c r="AU775" i="5"/>
  <c r="AU765" i="5"/>
  <c r="AU755" i="5"/>
  <c r="AU745" i="5"/>
  <c r="AU735" i="5"/>
  <c r="AU725" i="5"/>
  <c r="AU715" i="5"/>
  <c r="AU705" i="5"/>
  <c r="AU695" i="5"/>
  <c r="AU744" i="5"/>
  <c r="AU734" i="5"/>
  <c r="AU724" i="5"/>
  <c r="AU714" i="5"/>
  <c r="AU704" i="5"/>
  <c r="AU694" i="5"/>
  <c r="AU684" i="5"/>
  <c r="AU674" i="5"/>
  <c r="AU664" i="5"/>
  <c r="AU654" i="5"/>
  <c r="AU644" i="5"/>
  <c r="AU634" i="5"/>
  <c r="AU624" i="5"/>
  <c r="AU614" i="5"/>
  <c r="AU604" i="5"/>
  <c r="AU594" i="5"/>
  <c r="AU584" i="5"/>
  <c r="AU574" i="5"/>
  <c r="AU564" i="5"/>
  <c r="AU554" i="5"/>
  <c r="AU544" i="5"/>
  <c r="AU534" i="5"/>
  <c r="AU524" i="5"/>
  <c r="AU514" i="5"/>
  <c r="AU504" i="5"/>
  <c r="AU494" i="5"/>
  <c r="AU484" i="5"/>
  <c r="AU474" i="5"/>
  <c r="AU464" i="5"/>
  <c r="AU454" i="5"/>
  <c r="AU444" i="5"/>
  <c r="AU434" i="5"/>
  <c r="AU424" i="5"/>
  <c r="AU414" i="5"/>
  <c r="AU404" i="5"/>
  <c r="AU394" i="5"/>
  <c r="AU384" i="5"/>
  <c r="AU374" i="5"/>
  <c r="AU364" i="5"/>
  <c r="AU354" i="5"/>
  <c r="AU344" i="5"/>
  <c r="AU334" i="5"/>
  <c r="AU324" i="5"/>
  <c r="AU314" i="5"/>
  <c r="AU304" i="5"/>
  <c r="AU291" i="5"/>
  <c r="AU281" i="5"/>
  <c r="AU271" i="5"/>
  <c r="AU261" i="5"/>
  <c r="AU251" i="5"/>
  <c r="AU241" i="5"/>
  <c r="AU231" i="5"/>
  <c r="AU221" i="5"/>
  <c r="AU211" i="5"/>
  <c r="AU201" i="5"/>
  <c r="AU191" i="5"/>
  <c r="AU181" i="5"/>
  <c r="AU171" i="5"/>
  <c r="AU161" i="5"/>
  <c r="AU151" i="5"/>
  <c r="AU141" i="5"/>
  <c r="AU131" i="5"/>
  <c r="AU121" i="5"/>
  <c r="AU111" i="5"/>
  <c r="AU101" i="5"/>
  <c r="AU91" i="5"/>
  <c r="AU81" i="5"/>
  <c r="AU71" i="5"/>
  <c r="AU61" i="5"/>
  <c r="AU51" i="5"/>
  <c r="AU41" i="5"/>
  <c r="AU31" i="5"/>
  <c r="AU21" i="5"/>
  <c r="AU11" i="5"/>
  <c r="AU1143" i="5"/>
  <c r="AU1133" i="5"/>
  <c r="AU1123" i="5"/>
  <c r="AU1113" i="5"/>
  <c r="AU1103" i="5"/>
  <c r="AU1083" i="5"/>
  <c r="AU1073" i="5"/>
  <c r="AU1063" i="5"/>
  <c r="AU1053" i="5"/>
  <c r="AU1043" i="5"/>
  <c r="AU1033" i="5"/>
  <c r="AU1023" i="5"/>
  <c r="AU1013" i="5"/>
  <c r="AU1003" i="5"/>
  <c r="AU983" i="5"/>
  <c r="AU973" i="5"/>
  <c r="AU963" i="5"/>
  <c r="AU953" i="5"/>
  <c r="AU943" i="5"/>
  <c r="AU933" i="5"/>
  <c r="AU923" i="5"/>
  <c r="AU913" i="5"/>
  <c r="AU903" i="5"/>
  <c r="AU883" i="5"/>
  <c r="AU873" i="5"/>
  <c r="AU863" i="5"/>
  <c r="AU853" i="5"/>
  <c r="AU843" i="5"/>
  <c r="AU833" i="5"/>
  <c r="AU823" i="5"/>
  <c r="AU813" i="5"/>
  <c r="AU803" i="5"/>
  <c r="AU793" i="5"/>
  <c r="AU783" i="5"/>
  <c r="AU773" i="5"/>
  <c r="AU763" i="5"/>
  <c r="AU753" i="5"/>
  <c r="AU743" i="5"/>
  <c r="AU733" i="5"/>
  <c r="AU723" i="5"/>
  <c r="AU713" i="5"/>
  <c r="AU703" i="5"/>
  <c r="AU693" i="5"/>
  <c r="AU683" i="5"/>
  <c r="AU673" i="5"/>
  <c r="AU663" i="5"/>
  <c r="AU643" i="5"/>
  <c r="AU633" i="5"/>
  <c r="AU623" i="5"/>
  <c r="AU613" i="5"/>
  <c r="AU603" i="5"/>
  <c r="AU593" i="5"/>
  <c r="AU583" i="5"/>
  <c r="AU573" i="5"/>
  <c r="AU563" i="5"/>
  <c r="AU553" i="5"/>
  <c r="AU543" i="5"/>
  <c r="AU533" i="5"/>
  <c r="AU523" i="5"/>
  <c r="AU513" i="5"/>
  <c r="AU503" i="5"/>
  <c r="AU493" i="5"/>
  <c r="AU483" i="5"/>
  <c r="AU453" i="5"/>
  <c r="AU413" i="5"/>
  <c r="AU353" i="5"/>
  <c r="AU842" i="5"/>
  <c r="AU832" i="5"/>
  <c r="AU822" i="5"/>
  <c r="AU812" i="5"/>
  <c r="AU802" i="5"/>
  <c r="AU792" i="5"/>
  <c r="AU782" i="5"/>
  <c r="AU772" i="5"/>
  <c r="AU762" i="5"/>
  <c r="AU752" i="5"/>
  <c r="AU732" i="5"/>
  <c r="AU722" i="5"/>
  <c r="AU712" i="5"/>
  <c r="AU702" i="5"/>
  <c r="AU692" i="5"/>
  <c r="AU682" i="5"/>
  <c r="AU672" i="5"/>
  <c r="AU662" i="5"/>
  <c r="AU652" i="5"/>
  <c r="AU642" i="5"/>
  <c r="AU632" i="5"/>
  <c r="AU622" i="5"/>
  <c r="AU612" i="5"/>
  <c r="AU602" i="5"/>
  <c r="AU592" i="5"/>
  <c r="AU572" i="5"/>
  <c r="AU562" i="5"/>
  <c r="AU552" i="5"/>
  <c r="AU542" i="5"/>
  <c r="AU532" i="5"/>
  <c r="AU522" i="5"/>
  <c r="AU512" i="5"/>
  <c r="AU502" i="5"/>
  <c r="AU492" i="5"/>
  <c r="AU482" i="5"/>
  <c r="AU472" i="5"/>
  <c r="AU462" i="5"/>
  <c r="AU452" i="5"/>
  <c r="AU442" i="5"/>
  <c r="AU432" i="5"/>
  <c r="AU422" i="5"/>
  <c r="AU412" i="5"/>
  <c r="AU402" i="5"/>
  <c r="AU392" i="5"/>
  <c r="AU382" i="5"/>
  <c r="AU372" i="5"/>
  <c r="AU362" i="5"/>
  <c r="AU352" i="5"/>
  <c r="AU342" i="5"/>
  <c r="AU332" i="5"/>
  <c r="AU322" i="5"/>
  <c r="AU312" i="5"/>
  <c r="AU299" i="5"/>
  <c r="AU279" i="5"/>
  <c r="AU269" i="5"/>
  <c r="AU259" i="5"/>
  <c r="AU249" i="5"/>
  <c r="AU239" i="5"/>
  <c r="AU229" i="5"/>
  <c r="AU219" i="5"/>
  <c r="AU209" i="5"/>
  <c r="AU199" i="5"/>
  <c r="AU189" i="5"/>
  <c r="AU179" i="5"/>
  <c r="AU169" i="5"/>
  <c r="AU159" i="5"/>
  <c r="AU149" i="5"/>
  <c r="AU139" i="5"/>
  <c r="AU129" i="5"/>
  <c r="AU119" i="5"/>
  <c r="AU109" i="5"/>
  <c r="AU99" i="5"/>
  <c r="AU89" i="5"/>
  <c r="AU79" i="5"/>
  <c r="AU69" i="5"/>
  <c r="AU59" i="5"/>
  <c r="AU49" i="5"/>
  <c r="AU39" i="5"/>
  <c r="AU29" i="5"/>
  <c r="AU19" i="5"/>
  <c r="AU9" i="5"/>
  <c r="AU1221" i="5"/>
  <c r="AU1211" i="5"/>
  <c r="AU1201" i="5"/>
  <c r="AU1191" i="5"/>
  <c r="AU1181" i="5"/>
  <c r="AU1171" i="5"/>
  <c r="AU1151" i="5"/>
  <c r="AU1141" i="5"/>
  <c r="AU1131" i="5"/>
  <c r="AU1121" i="5"/>
  <c r="AU1111" i="5"/>
  <c r="AU1101" i="5"/>
  <c r="AU1091" i="5"/>
  <c r="AU1081" i="5"/>
  <c r="AU1071" i="5"/>
  <c r="AU1061" i="5"/>
  <c r="AU1041" i="5"/>
  <c r="AU1031" i="5"/>
  <c r="AU1021" i="5"/>
  <c r="AU1011" i="5"/>
  <c r="AU1001" i="5"/>
  <c r="AU991" i="5"/>
  <c r="AU981" i="5"/>
  <c r="AU971" i="5"/>
  <c r="AU961" i="5"/>
  <c r="AU941" i="5"/>
  <c r="AU931" i="5"/>
  <c r="AU921" i="5"/>
  <c r="AU911" i="5"/>
  <c r="AU901" i="5"/>
  <c r="AU891" i="5"/>
  <c r="AU881" i="5"/>
  <c r="AU871" i="5"/>
  <c r="AU861" i="5"/>
  <c r="AU841" i="5"/>
  <c r="AU831" i="5"/>
  <c r="AU821" i="5"/>
  <c r="AU811" i="5"/>
  <c r="AU801" i="5"/>
  <c r="AU781" i="5"/>
  <c r="AU771" i="5"/>
  <c r="AU761" i="5"/>
  <c r="AU751" i="5"/>
  <c r="AU741" i="5"/>
  <c r="AU731" i="5"/>
  <c r="AU721" i="5"/>
  <c r="AU711" i="5"/>
  <c r="AU701" i="5"/>
  <c r="AU691" i="5"/>
  <c r="AU681" i="5"/>
  <c r="AU671" i="5"/>
  <c r="AU661" i="5"/>
  <c r="AU651" i="5"/>
  <c r="AU641" i="5"/>
  <c r="AU631" i="5"/>
  <c r="AU621" i="5"/>
  <c r="AU611" i="5"/>
  <c r="AU601" i="5"/>
  <c r="AU591" i="5"/>
  <c r="AU581" i="5"/>
  <c r="AU571" i="5"/>
  <c r="AU561" i="5"/>
  <c r="AU551" i="5"/>
  <c r="AU541" i="5"/>
  <c r="AU531" i="5"/>
  <c r="AU521" i="5"/>
  <c r="AU501" i="5"/>
  <c r="AU491" i="5"/>
  <c r="AU481" i="5"/>
  <c r="AU471" i="5"/>
  <c r="AU461" i="5"/>
  <c r="AU451" i="5"/>
  <c r="AU441" i="5"/>
  <c r="AU431" i="5"/>
  <c r="AU421" i="5"/>
  <c r="AU411" i="5"/>
  <c r="AU401" i="5"/>
  <c r="AU391" i="5"/>
  <c r="AU381" i="5"/>
  <c r="AU371" i="5"/>
  <c r="AU361" i="5"/>
  <c r="AU351" i="5"/>
  <c r="AU341" i="5"/>
  <c r="AU331" i="5"/>
  <c r="AU321" i="5"/>
  <c r="AU311" i="5"/>
  <c r="AU298" i="5"/>
  <c r="AU288" i="5"/>
  <c r="AU1220" i="5"/>
  <c r="AU1210" i="5"/>
  <c r="AU1200" i="5"/>
  <c r="AU1190" i="5"/>
  <c r="AU1180" i="5"/>
  <c r="AU1170" i="5"/>
  <c r="AU1160" i="5"/>
  <c r="AU1140" i="5"/>
  <c r="AU1130" i="5"/>
  <c r="AU1120" i="5"/>
  <c r="AU1110" i="5"/>
  <c r="AU1100" i="5"/>
  <c r="AU1090" i="5"/>
  <c r="AU1070" i="5"/>
  <c r="AU1060" i="5"/>
  <c r="AU1050" i="5"/>
  <c r="AU1040" i="5"/>
  <c r="AU1030" i="5"/>
  <c r="AU1020" i="5"/>
  <c r="AU1010" i="5"/>
  <c r="AU1000" i="5"/>
  <c r="AU990" i="5"/>
  <c r="AU970" i="5"/>
  <c r="AU960" i="5"/>
  <c r="AU950" i="5"/>
  <c r="AU940" i="5"/>
  <c r="AU930" i="5"/>
  <c r="AU920" i="5"/>
  <c r="AU910" i="5"/>
  <c r="AU900" i="5"/>
  <c r="AU890" i="5"/>
  <c r="AU870" i="5"/>
  <c r="AU860" i="5"/>
  <c r="AU850" i="5"/>
  <c r="AU840" i="5"/>
  <c r="AU830" i="5"/>
  <c r="AU820" i="5"/>
  <c r="AU800" i="5"/>
  <c r="AU790" i="5"/>
  <c r="AU780" i="5"/>
  <c r="AU770" i="5"/>
  <c r="AU760" i="5"/>
  <c r="AU750" i="5"/>
  <c r="AU740" i="5"/>
  <c r="AU730" i="5"/>
  <c r="AU720" i="5"/>
  <c r="AU700" i="5"/>
  <c r="AU690" i="5"/>
  <c r="AU680" i="5"/>
  <c r="AU670" i="5"/>
  <c r="AU660" i="5"/>
  <c r="AU650" i="5"/>
  <c r="AU640" i="5"/>
  <c r="AU630" i="5"/>
  <c r="AU620" i="5"/>
  <c r="AU610" i="5"/>
  <c r="AU600" i="5"/>
  <c r="AU590" i="5"/>
  <c r="AU580" i="5"/>
  <c r="AU570" i="5"/>
  <c r="AU560" i="5"/>
  <c r="AU550" i="5"/>
  <c r="AU540" i="5"/>
  <c r="AU530" i="5"/>
  <c r="AU520" i="5"/>
  <c r="AU510" i="5"/>
  <c r="AU500" i="5"/>
  <c r="AU490" i="5"/>
  <c r="AU480" i="5"/>
  <c r="AU470" i="5"/>
  <c r="AU460" i="5"/>
  <c r="AU450" i="5"/>
  <c r="AU430" i="5"/>
  <c r="AU420" i="5"/>
  <c r="AU410" i="5"/>
  <c r="AU400" i="5"/>
  <c r="AU390" i="5"/>
  <c r="AU380" i="5"/>
  <c r="AU370" i="5"/>
  <c r="AU360" i="5"/>
  <c r="AU350" i="5"/>
  <c r="AU340" i="5"/>
  <c r="AU330" i="5"/>
  <c r="AU320" i="5"/>
  <c r="AU310" i="5"/>
  <c r="AU277" i="5"/>
  <c r="AU257" i="5"/>
  <c r="AU227" i="5"/>
  <c r="AU127" i="5"/>
  <c r="AU77" i="5"/>
  <c r="AU27" i="5"/>
  <c r="AU1219" i="5"/>
  <c r="AU1209" i="5"/>
  <c r="AU1199" i="5"/>
  <c r="AU1189" i="5"/>
  <c r="AU1179" i="5"/>
  <c r="AU1169" i="5"/>
  <c r="AU1159" i="5"/>
  <c r="AU1149" i="5"/>
  <c r="AU1139" i="5"/>
  <c r="AU1129" i="5"/>
  <c r="AU1119" i="5"/>
  <c r="AU1099" i="5"/>
  <c r="AU1089" i="5"/>
  <c r="AU1079" i="5"/>
  <c r="AU1069" i="5"/>
  <c r="AU1059" i="5"/>
  <c r="AU1049" i="5"/>
  <c r="AU1039" i="5"/>
  <c r="AU1029" i="5"/>
  <c r="AU1019" i="5"/>
  <c r="AU999" i="5"/>
  <c r="AU989" i="5"/>
  <c r="AU979" i="5"/>
  <c r="AU969" i="5"/>
  <c r="AU959" i="5"/>
  <c r="AU949" i="5"/>
  <c r="AU939" i="5"/>
  <c r="AU929" i="5"/>
  <c r="AU919" i="5"/>
  <c r="AU899" i="5"/>
  <c r="AU889" i="5"/>
  <c r="AU879" i="5"/>
  <c r="AU869" i="5"/>
  <c r="AU859" i="5"/>
  <c r="AU849" i="5"/>
  <c r="AU839" i="5"/>
  <c r="AU819" i="5"/>
  <c r="AU809" i="5"/>
  <c r="AU799" i="5"/>
  <c r="AU789" i="5"/>
  <c r="AU779" i="5"/>
  <c r="AU759" i="5"/>
  <c r="AU749" i="5"/>
  <c r="AU739" i="5"/>
  <c r="AU729" i="5"/>
  <c r="AU719" i="5"/>
  <c r="AU709" i="5"/>
  <c r="AU699" i="5"/>
  <c r="AU689" i="5"/>
  <c r="AU679" i="5"/>
  <c r="AU669" i="5"/>
  <c r="AU659" i="5"/>
  <c r="AU649" i="5"/>
  <c r="AU639" i="5"/>
  <c r="AU629" i="5"/>
  <c r="AU619" i="5"/>
  <c r="AU609" i="5"/>
  <c r="AU599" i="5"/>
  <c r="AU589" i="5"/>
  <c r="AU579" i="5"/>
  <c r="AU569" i="5"/>
  <c r="AU559" i="5"/>
  <c r="AU549" i="5"/>
  <c r="AU539" i="5"/>
  <c r="AU529" i="5"/>
  <c r="AU519" i="5"/>
  <c r="AU509" i="5"/>
  <c r="AU499" i="5"/>
  <c r="AU489" i="5"/>
  <c r="AU479" i="5"/>
  <c r="AU469" i="5"/>
  <c r="AU459" i="5"/>
  <c r="AU449" i="5"/>
  <c r="AU439" i="5"/>
  <c r="AU429" i="5"/>
  <c r="AU419" i="5"/>
  <c r="AU409" i="5"/>
  <c r="AU399" i="5"/>
  <c r="AU389" i="5"/>
  <c r="AU379" i="5"/>
  <c r="AU359" i="5"/>
  <c r="AU349" i="5"/>
  <c r="AU339" i="5"/>
  <c r="AU329" i="5"/>
  <c r="AU319" i="5"/>
  <c r="AU309" i="5"/>
  <c r="AU296" i="5"/>
  <c r="AU286" i="5"/>
  <c r="AU473" i="5"/>
  <c r="AU463" i="5"/>
  <c r="AU443" i="5"/>
  <c r="AU433" i="5"/>
  <c r="AU423" i="5"/>
  <c r="AU403" i="5"/>
  <c r="AU393" i="5"/>
  <c r="AU383" i="5"/>
  <c r="AU373" i="5"/>
  <c r="AU363" i="5"/>
  <c r="AU343" i="5"/>
  <c r="AU333" i="5"/>
  <c r="AU323" i="5"/>
  <c r="AU313" i="5"/>
  <c r="AU303" i="5"/>
  <c r="AU290" i="5"/>
  <c r="AU280" i="5"/>
  <c r="AU270" i="5"/>
  <c r="AU260" i="5"/>
  <c r="AU250" i="5"/>
  <c r="AU240" i="5"/>
  <c r="AU230" i="5"/>
  <c r="AU220" i="5"/>
  <c r="AU210" i="5"/>
  <c r="AU200" i="5"/>
  <c r="AU190" i="5"/>
  <c r="AU180" i="5"/>
  <c r="AU170" i="5"/>
  <c r="AU160" i="5"/>
  <c r="AU150" i="5"/>
  <c r="AU140" i="5"/>
  <c r="AU130" i="5"/>
  <c r="AU120" i="5"/>
  <c r="AU110" i="5"/>
  <c r="AU100" i="5"/>
  <c r="AU90" i="5"/>
  <c r="AU80" i="5"/>
  <c r="AU70" i="5"/>
  <c r="AU60" i="5"/>
  <c r="AU50" i="5"/>
  <c r="AU40" i="5"/>
  <c r="AU30" i="5"/>
  <c r="AU20" i="5"/>
  <c r="AU10" i="5"/>
  <c r="AU278" i="5"/>
  <c r="AU268" i="5"/>
  <c r="AU258" i="5"/>
  <c r="AU248" i="5"/>
  <c r="AU238" i="5"/>
  <c r="AU228" i="5"/>
  <c r="AU218" i="5"/>
  <c r="AU208" i="5"/>
  <c r="AU198" i="5"/>
  <c r="AU188" i="5"/>
  <c r="AU178" i="5"/>
  <c r="AU168" i="5"/>
  <c r="AU158" i="5"/>
  <c r="AU148" i="5"/>
  <c r="AU138" i="5"/>
  <c r="AU128" i="5"/>
  <c r="AU118" i="5"/>
  <c r="AU108" i="5"/>
  <c r="AU98" i="5"/>
  <c r="AU88" i="5"/>
  <c r="AU78" i="5"/>
  <c r="AU68" i="5"/>
  <c r="AU58" i="5"/>
  <c r="AU48" i="5"/>
  <c r="AU38" i="5"/>
  <c r="AU28" i="5"/>
  <c r="AU18" i="5"/>
  <c r="AU8" i="5"/>
  <c r="AU297" i="5"/>
  <c r="AU287" i="5"/>
  <c r="AU267" i="5"/>
  <c r="AU247" i="5"/>
  <c r="AU237" i="5"/>
  <c r="AU217" i="5"/>
  <c r="AU207" i="5"/>
  <c r="AU197" i="5"/>
  <c r="AU187" i="5"/>
  <c r="AU167" i="5"/>
  <c r="AU157" i="5"/>
  <c r="AU147" i="5"/>
  <c r="AU137" i="5"/>
  <c r="AU117" i="5"/>
  <c r="AU107" i="5"/>
  <c r="AU97" i="5"/>
  <c r="AU87" i="5"/>
  <c r="AU67" i="5"/>
  <c r="AU57" i="5"/>
  <c r="AU47" i="5"/>
  <c r="AU37" i="5"/>
  <c r="AU17" i="5"/>
  <c r="AU7" i="5"/>
  <c r="AU276" i="5"/>
  <c r="AU266" i="5"/>
  <c r="AU256" i="5"/>
  <c r="AU246" i="5"/>
  <c r="AU236" i="5"/>
  <c r="AU226" i="5"/>
  <c r="AU216" i="5"/>
  <c r="AU206" i="5"/>
  <c r="AU196" i="5"/>
  <c r="AU186" i="5"/>
  <c r="AU176" i="5"/>
  <c r="AU166" i="5"/>
  <c r="AU156" i="5"/>
  <c r="AU146" i="5"/>
  <c r="AU136" i="5"/>
  <c r="AU126" i="5"/>
  <c r="AU116" i="5"/>
  <c r="AU106" i="5"/>
  <c r="AU96" i="5"/>
  <c r="AU86" i="5"/>
  <c r="AU76" i="5"/>
  <c r="AU66" i="5"/>
  <c r="AU56" i="5"/>
  <c r="AU46" i="5"/>
  <c r="AU36" i="5"/>
  <c r="AU26" i="5"/>
  <c r="AU16" i="5"/>
  <c r="AU285" i="5"/>
  <c r="AU265" i="5"/>
  <c r="AU255" i="5"/>
  <c r="AU235" i="5"/>
  <c r="AU225" i="5"/>
  <c r="AU215" i="5"/>
  <c r="AU205" i="5"/>
  <c r="AU185" i="5"/>
  <c r="AU175" i="5"/>
  <c r="AU165" i="5"/>
  <c r="AU155" i="5"/>
  <c r="AU135" i="5"/>
  <c r="AU125" i="5"/>
  <c r="AU115" i="5"/>
  <c r="AU105" i="5"/>
  <c r="AU85" i="5"/>
  <c r="AU75" i="5"/>
  <c r="AU65" i="5"/>
  <c r="AU55" i="5"/>
  <c r="AU35" i="5"/>
  <c r="AU25" i="5"/>
  <c r="AU15" i="5"/>
  <c r="AU517" i="5"/>
  <c r="AU507" i="5"/>
  <c r="AU497" i="5"/>
  <c r="AU487" i="5"/>
  <c r="AU477" i="5"/>
  <c r="AU467" i="5"/>
  <c r="AU457" i="5"/>
  <c r="AU447" i="5"/>
  <c r="AU437" i="5"/>
  <c r="AU427" i="5"/>
  <c r="AU417" i="5"/>
  <c r="AU407" i="5"/>
  <c r="AU397" i="5"/>
  <c r="AU387" i="5"/>
  <c r="AU377" i="5"/>
  <c r="AU367" i="5"/>
  <c r="AU357" i="5"/>
  <c r="AU347" i="5"/>
  <c r="AU337" i="5"/>
  <c r="AU327" i="5"/>
  <c r="AU317" i="5"/>
  <c r="AU307" i="5"/>
  <c r="AU294" i="5"/>
  <c r="AU284" i="5"/>
  <c r="AU274" i="5"/>
  <c r="AU264" i="5"/>
  <c r="AU254" i="5"/>
  <c r="AU244" i="5"/>
  <c r="AU234" i="5"/>
  <c r="AU224" i="5"/>
  <c r="AU214" i="5"/>
  <c r="AU204" i="5"/>
  <c r="AU194" i="5"/>
  <c r="AU184" i="5"/>
  <c r="AU174" i="5"/>
  <c r="AU164" i="5"/>
  <c r="AU154" i="5"/>
  <c r="AU144" i="5"/>
  <c r="AU134" i="5"/>
  <c r="AU124" i="5"/>
  <c r="AU114" i="5"/>
  <c r="AU104" i="5"/>
  <c r="AU94" i="5"/>
  <c r="AU84" i="5"/>
  <c r="AU74" i="5"/>
  <c r="AU64" i="5"/>
  <c r="AU54" i="5"/>
  <c r="AU44" i="5"/>
  <c r="AU34" i="5"/>
  <c r="AU24" i="5"/>
  <c r="AU14" i="5"/>
  <c r="AU556" i="5"/>
  <c r="AU546" i="5"/>
  <c r="AU536" i="5"/>
  <c r="AU526" i="5"/>
  <c r="AU516" i="5"/>
  <c r="AU506" i="5"/>
  <c r="AU496" i="5"/>
  <c r="AU486" i="5"/>
  <c r="AU476" i="5"/>
  <c r="AU466" i="5"/>
  <c r="AU456" i="5"/>
  <c r="AU446" i="5"/>
  <c r="AU436" i="5"/>
  <c r="AU426" i="5"/>
  <c r="AU416" i="5"/>
  <c r="AU406" i="5"/>
  <c r="AU396" i="5"/>
  <c r="AU386" i="5"/>
  <c r="AU376" i="5"/>
  <c r="AU366" i="5"/>
  <c r="AU356" i="5"/>
  <c r="AU346" i="5"/>
  <c r="AU336" i="5"/>
  <c r="AU326" i="5"/>
  <c r="AU316" i="5"/>
  <c r="AU306" i="5"/>
  <c r="AU293" i="5"/>
  <c r="AU283" i="5"/>
  <c r="AU273" i="5"/>
  <c r="AU263" i="5"/>
  <c r="AU253" i="5"/>
  <c r="AU243" i="5"/>
  <c r="AU233" i="5"/>
  <c r="AU223" i="5"/>
  <c r="AU213" i="5"/>
  <c r="AU203" i="5"/>
  <c r="AU193" i="5"/>
  <c r="AU183" i="5"/>
  <c r="AU173" i="5"/>
  <c r="AU163" i="5"/>
  <c r="AU153" i="5"/>
  <c r="AU143" i="5"/>
  <c r="AU133" i="5"/>
  <c r="AU123" i="5"/>
  <c r="AU113" i="5"/>
  <c r="AU103" i="5"/>
  <c r="AU93" i="5"/>
  <c r="AU83" i="5"/>
  <c r="AU73" i="5"/>
  <c r="AU63" i="5"/>
  <c r="AU53" i="5"/>
  <c r="AU43" i="5"/>
  <c r="AU33" i="5"/>
  <c r="AU23" i="5"/>
  <c r="AU13" i="5"/>
  <c r="AU685" i="5"/>
  <c r="AU675" i="5"/>
  <c r="AU665" i="5"/>
  <c r="AU655" i="5"/>
  <c r="AU645" i="5"/>
  <c r="AU635" i="5"/>
  <c r="AU625" i="5"/>
  <c r="AU615" i="5"/>
  <c r="AU605" i="5"/>
  <c r="AU595" i="5"/>
  <c r="AU585" i="5"/>
  <c r="AU575" i="5"/>
  <c r="AU565" i="5"/>
  <c r="AU555" i="5"/>
  <c r="AU545" i="5"/>
  <c r="AU535" i="5"/>
  <c r="AU525" i="5"/>
  <c r="AU515" i="5"/>
  <c r="AU505" i="5"/>
  <c r="AU495" i="5"/>
  <c r="AU485" i="5"/>
  <c r="AU475" i="5"/>
  <c r="AU465" i="5"/>
  <c r="AU455" i="5"/>
  <c r="AU445" i="5"/>
  <c r="AU435" i="5"/>
  <c r="AU425" i="5"/>
  <c r="AU415" i="5"/>
  <c r="AU405" i="5"/>
  <c r="AU395" i="5"/>
  <c r="AU385" i="5"/>
  <c r="AU375" i="5"/>
  <c r="AU365" i="5"/>
  <c r="AU355" i="5"/>
  <c r="AU345" i="5"/>
  <c r="AU335" i="5"/>
  <c r="AU325" i="5"/>
  <c r="AU315" i="5"/>
  <c r="AU305" i="5"/>
  <c r="AU292" i="5"/>
  <c r="AU282" i="5"/>
  <c r="AU272" i="5"/>
  <c r="AU262" i="5"/>
  <c r="AU252" i="5"/>
  <c r="AU242" i="5"/>
  <c r="AU232" i="5"/>
  <c r="AU222" i="5"/>
  <c r="AU212" i="5"/>
  <c r="AU202" i="5"/>
  <c r="AU192" i="5"/>
  <c r="AU182" i="5"/>
  <c r="AU172" i="5"/>
  <c r="AU162" i="5"/>
  <c r="AU152" i="5"/>
  <c r="AU142" i="5"/>
  <c r="AU132" i="5"/>
  <c r="AU122" i="5"/>
  <c r="AU112" i="5"/>
  <c r="AU102" i="5"/>
  <c r="AU92" i="5"/>
  <c r="AU82" i="5"/>
  <c r="AU72" i="5"/>
  <c r="AU62" i="5"/>
  <c r="AU52" i="5"/>
  <c r="AU42" i="5"/>
  <c r="AU32" i="5"/>
  <c r="AU22" i="5"/>
  <c r="AU12" i="5"/>
  <c r="AT1217" i="5"/>
  <c r="AT1207" i="5"/>
  <c r="AT1197" i="5"/>
  <c r="AT1177" i="5"/>
  <c r="AT1167" i="5"/>
  <c r="AT1157" i="5"/>
  <c r="AT1137" i="5"/>
  <c r="AT1127" i="5"/>
  <c r="AT1117" i="5"/>
  <c r="AT1107" i="5"/>
  <c r="AT1097" i="5"/>
  <c r="AT1077" i="5"/>
  <c r="AT1067" i="5"/>
  <c r="AT1057" i="5"/>
  <c r="AT1037" i="5"/>
  <c r="AT1027" i="5"/>
  <c r="AT1017" i="5"/>
  <c r="AT1007" i="5"/>
  <c r="AT997" i="5"/>
  <c r="AT977" i="5"/>
  <c r="AT967" i="5"/>
  <c r="AT957" i="5"/>
  <c r="AT937" i="5"/>
  <c r="AT927" i="5"/>
  <c r="AT917" i="5"/>
  <c r="AT907" i="5"/>
  <c r="AT897" i="5"/>
  <c r="AT877" i="5"/>
  <c r="AT867" i="5"/>
  <c r="AT857" i="5"/>
  <c r="AT847" i="5"/>
  <c r="AT837" i="5"/>
  <c r="AT827" i="5"/>
  <c r="AT817" i="5"/>
  <c r="AT807" i="5"/>
  <c r="AT797" i="5"/>
  <c r="AT787" i="5"/>
  <c r="AT777" i="5"/>
  <c r="AT767" i="5"/>
  <c r="AT757" i="5"/>
  <c r="AT747" i="5"/>
  <c r="AT737" i="5"/>
  <c r="AT727" i="5"/>
  <c r="AT717" i="5"/>
  <c r="AT1213" i="5"/>
  <c r="AT1203" i="5"/>
  <c r="AT1193" i="5"/>
  <c r="AT1183" i="5"/>
  <c r="AT1173" i="5"/>
  <c r="AT1163" i="5"/>
  <c r="AT1153" i="5"/>
  <c r="AT1143" i="5"/>
  <c r="AT1133" i="5"/>
  <c r="AT1113" i="5"/>
  <c r="AT1103" i="5"/>
  <c r="AT1093" i="5"/>
  <c r="AT1083" i="5"/>
  <c r="AT1073" i="5"/>
  <c r="AT1063" i="5"/>
  <c r="AT1053" i="5"/>
  <c r="AT1043" i="5"/>
  <c r="AT1033" i="5"/>
  <c r="AT155" i="5"/>
  <c r="AT145" i="5"/>
  <c r="AT115" i="5"/>
  <c r="AT45" i="5"/>
  <c r="AT707" i="5"/>
  <c r="AT687" i="5"/>
  <c r="AT677" i="5"/>
  <c r="AT637" i="5"/>
  <c r="AT627" i="5"/>
  <c r="AT587" i="5"/>
  <c r="AT577" i="5"/>
  <c r="AT537" i="5"/>
  <c r="AT527" i="5"/>
  <c r="AT487" i="5"/>
  <c r="AT477" i="5"/>
  <c r="AT437" i="5"/>
  <c r="AT427" i="5"/>
  <c r="AT387" i="5"/>
  <c r="AT377" i="5"/>
  <c r="AT337" i="5"/>
  <c r="AT327" i="5"/>
  <c r="AT284" i="5"/>
  <c r="AT274" i="5"/>
  <c r="AT234" i="5"/>
  <c r="AT224" i="5"/>
  <c r="AT144" i="5"/>
  <c r="AT134" i="5"/>
  <c r="AT124" i="5"/>
  <c r="AT104" i="5"/>
  <c r="AT94" i="5"/>
  <c r="AT44" i="5"/>
  <c r="AT183" i="5"/>
  <c r="AT153" i="5"/>
  <c r="AT143" i="5"/>
  <c r="AT103" i="5"/>
  <c r="AT93" i="5"/>
  <c r="AT83" i="5"/>
  <c r="AT73" i="5"/>
  <c r="AT132" i="5"/>
  <c r="AT112" i="5"/>
  <c r="AT102" i="5"/>
  <c r="AT82" i="5"/>
  <c r="AT834" i="5"/>
  <c r="AT824" i="5"/>
  <c r="AT784" i="5"/>
  <c r="AT774" i="5"/>
  <c r="AT734" i="5"/>
  <c r="AT724" i="5"/>
  <c r="AT684" i="5"/>
  <c r="AT674" i="5"/>
  <c r="AT634" i="5"/>
  <c r="AT624" i="5"/>
  <c r="AT584" i="5"/>
  <c r="AT574" i="5"/>
  <c r="AT534" i="5"/>
  <c r="AT524" i="5"/>
  <c r="AT484" i="5"/>
  <c r="AT474" i="5"/>
  <c r="AT434" i="5"/>
  <c r="AT424" i="5"/>
  <c r="AT384" i="5"/>
  <c r="AT374" i="5"/>
  <c r="AT334" i="5"/>
  <c r="AT324" i="5"/>
  <c r="AT281" i="5"/>
  <c r="AT271" i="5"/>
  <c r="AT231" i="5"/>
  <c r="AT221" i="5"/>
  <c r="AT191" i="5"/>
  <c r="AT181" i="5"/>
  <c r="AT171" i="5"/>
  <c r="AT161" i="5"/>
  <c r="AT111" i="5"/>
  <c r="AT81" i="5"/>
  <c r="AT71" i="5"/>
  <c r="AT61" i="5"/>
  <c r="AT51" i="5"/>
  <c r="AT41" i="5"/>
  <c r="AT1013" i="5"/>
  <c r="AT1003" i="5"/>
  <c r="AT993" i="5"/>
  <c r="AT983" i="5"/>
  <c r="AT973" i="5"/>
  <c r="AT963" i="5"/>
  <c r="AT953" i="5"/>
  <c r="AT943" i="5"/>
  <c r="AT933" i="5"/>
  <c r="AT913" i="5"/>
  <c r="AT903" i="5"/>
  <c r="AT893" i="5"/>
  <c r="AT883" i="5"/>
  <c r="AT873" i="5"/>
  <c r="AT863" i="5"/>
  <c r="AT853" i="5"/>
  <c r="AT833" i="5"/>
  <c r="AT823" i="5"/>
  <c r="AT813" i="5"/>
  <c r="AT803" i="5"/>
  <c r="AT783" i="5"/>
  <c r="AT773" i="5"/>
  <c r="AT763" i="5"/>
  <c r="AT753" i="5"/>
  <c r="AT733" i="5"/>
  <c r="AT723" i="5"/>
  <c r="AT713" i="5"/>
  <c r="AT703" i="5"/>
  <c r="AT683" i="5"/>
  <c r="AT673" i="5"/>
  <c r="AT663" i="5"/>
  <c r="AT653" i="5"/>
  <c r="AT633" i="5"/>
  <c r="AT623" i="5"/>
  <c r="AT613" i="5"/>
  <c r="AT603" i="5"/>
  <c r="AT583" i="5"/>
  <c r="AT573" i="5"/>
  <c r="AT563" i="5"/>
  <c r="AT553" i="5"/>
  <c r="AT533" i="5"/>
  <c r="AT523" i="5"/>
  <c r="AT513" i="5"/>
  <c r="AT503" i="5"/>
  <c r="AT483" i="5"/>
  <c r="AT473" i="5"/>
  <c r="AT463" i="5"/>
  <c r="AT453" i="5"/>
  <c r="AT433" i="5"/>
  <c r="AT423" i="5"/>
  <c r="AT413" i="5"/>
  <c r="AT403" i="5"/>
  <c r="AT383" i="5"/>
  <c r="AT373" i="5"/>
  <c r="AT363" i="5"/>
  <c r="AT353" i="5"/>
  <c r="AT333" i="5"/>
  <c r="AT323" i="5"/>
  <c r="AT313" i="5"/>
  <c r="AT303" i="5"/>
  <c r="AT280" i="5"/>
  <c r="AT270" i="5"/>
  <c r="AT260" i="5"/>
  <c r="AT250" i="5"/>
  <c r="AT230" i="5"/>
  <c r="AT220" i="5"/>
  <c r="AT210" i="5"/>
  <c r="AT200" i="5"/>
  <c r="AT180" i="5"/>
  <c r="AT170" i="5"/>
  <c r="AT160" i="5"/>
  <c r="AT150" i="5"/>
  <c r="AT130" i="5"/>
  <c r="AT120" i="5"/>
  <c r="AT110" i="5"/>
  <c r="AT100" i="5"/>
  <c r="AT90" i="5"/>
  <c r="AT80" i="5"/>
  <c r="AT70" i="5"/>
  <c r="AT60" i="5"/>
  <c r="AT50" i="5"/>
  <c r="AT40" i="5"/>
  <c r="AT30" i="5"/>
  <c r="AT20" i="5"/>
  <c r="AT10" i="5"/>
  <c r="AT196" i="5"/>
  <c r="AT176" i="5"/>
  <c r="AT166" i="5"/>
  <c r="AT156" i="5"/>
  <c r="AT146" i="5"/>
  <c r="AT136" i="5"/>
  <c r="AT116" i="5"/>
  <c r="AT66" i="5"/>
  <c r="AT56" i="5"/>
  <c r="AT46" i="5"/>
  <c r="AT129" i="5"/>
  <c r="AT109" i="5"/>
  <c r="AT195" i="5"/>
  <c r="AT184" i="5"/>
  <c r="AT174" i="5"/>
  <c r="AT192" i="5"/>
  <c r="AT182" i="5"/>
  <c r="AT172" i="5"/>
  <c r="F145" i="5"/>
  <c r="AA149" i="5"/>
  <c r="D149" i="5" s="1"/>
  <c r="AA139" i="5"/>
  <c r="D139" i="5" s="1"/>
  <c r="F146" i="5"/>
  <c r="AA144" i="5"/>
  <c r="D144" i="5" s="1"/>
  <c r="F141" i="5"/>
  <c r="F140" i="5"/>
  <c r="AA143" i="5"/>
  <c r="D143" i="5" s="1"/>
  <c r="AA136" i="5"/>
  <c r="D136" i="5" s="1"/>
  <c r="AA148" i="5"/>
  <c r="D148" i="5" s="1"/>
  <c r="AA138" i="5"/>
  <c r="D138" i="5" s="1"/>
  <c r="AA134" i="5"/>
  <c r="D134" i="5" s="1"/>
  <c r="AA135" i="5"/>
  <c r="D135" i="5" s="1"/>
  <c r="AA147" i="5"/>
  <c r="D147" i="5" s="1"/>
  <c r="AA142" i="5"/>
  <c r="D142" i="5" s="1"/>
  <c r="AA137" i="5"/>
  <c r="D137" i="5" s="1"/>
  <c r="AA717" i="5"/>
  <c r="D717" i="5" s="1"/>
  <c r="AA4" i="5"/>
  <c r="D4" i="5" s="1"/>
  <c r="AA6" i="5"/>
  <c r="D6" i="5" s="1"/>
  <c r="AA230" i="5"/>
  <c r="D230" i="5" s="1"/>
  <c r="AA567" i="5"/>
  <c r="D567" i="5" s="1"/>
  <c r="AA628" i="5"/>
  <c r="D628" i="5" s="1"/>
  <c r="AA5" i="5"/>
  <c r="D5" i="5" s="1"/>
  <c r="AA3" i="5"/>
  <c r="D3" i="5" s="1"/>
  <c r="F6" i="5"/>
  <c r="AA852" i="5"/>
  <c r="D852" i="5" s="1"/>
  <c r="AA850" i="5"/>
  <c r="D850" i="5" s="1"/>
  <c r="AA854" i="5"/>
  <c r="D854" i="5" s="1"/>
  <c r="AA1025" i="5"/>
  <c r="D1025" i="5" s="1"/>
  <c r="AA995" i="5"/>
  <c r="D995" i="5" s="1"/>
  <c r="AA1039" i="5"/>
  <c r="D1039" i="5" s="1"/>
  <c r="AA943" i="5"/>
  <c r="D943" i="5" s="1"/>
  <c r="AA853" i="5"/>
  <c r="D853" i="5" s="1"/>
  <c r="AA849" i="5"/>
  <c r="D849" i="5" s="1"/>
  <c r="AA861" i="5"/>
  <c r="D861" i="5" s="1"/>
  <c r="AA857" i="5"/>
  <c r="D857" i="5" s="1"/>
  <c r="AA859" i="5"/>
  <c r="D859" i="5" s="1"/>
  <c r="AA880" i="5"/>
  <c r="D880" i="5" s="1"/>
  <c r="AA883" i="5"/>
  <c r="D883" i="5" s="1"/>
  <c r="AA1000" i="5"/>
  <c r="D1000" i="5" s="1"/>
  <c r="AA918" i="5"/>
  <c r="D918" i="5" s="1"/>
  <c r="AA858" i="5"/>
  <c r="D858" i="5" s="1"/>
  <c r="AA878" i="5"/>
  <c r="D878" i="5" s="1"/>
  <c r="AA940" i="5"/>
  <c r="D940" i="5" s="1"/>
  <c r="AA851" i="5"/>
  <c r="D851" i="5" s="1"/>
  <c r="AA1076" i="5"/>
  <c r="D1076" i="5" s="1"/>
  <c r="AA894" i="5"/>
  <c r="D894" i="5" s="1"/>
  <c r="AA912" i="5"/>
  <c r="D912" i="5" s="1"/>
  <c r="AA1212" i="5"/>
  <c r="D1212" i="5" s="1"/>
  <c r="AA1075" i="5"/>
  <c r="D1075" i="5" s="1"/>
  <c r="AA22" i="5"/>
  <c r="D22" i="5" s="1"/>
  <c r="AA1074" i="5"/>
  <c r="D1074" i="5" s="1"/>
  <c r="AA504" i="5"/>
  <c r="D504" i="5" s="1"/>
  <c r="AA1202" i="5"/>
  <c r="D1202" i="5" s="1"/>
  <c r="AA232" i="5"/>
  <c r="D232" i="5" s="1"/>
  <c r="AA231" i="5"/>
  <c r="D231" i="5" s="1"/>
  <c r="AA214" i="5"/>
  <c r="D214" i="5" s="1"/>
  <c r="AA1006" i="5"/>
  <c r="D1006" i="5" s="1"/>
  <c r="AA879" i="5"/>
  <c r="D879" i="5" s="1"/>
  <c r="F231" i="5"/>
  <c r="F912" i="5"/>
  <c r="F859" i="5"/>
  <c r="F1025" i="5"/>
  <c r="F943" i="5"/>
  <c r="F858" i="5"/>
  <c r="F1075" i="5"/>
  <c r="F1039" i="5"/>
  <c r="F1074" i="5"/>
  <c r="F894" i="5"/>
  <c r="AA860" i="5"/>
  <c r="D860" i="5" s="1"/>
  <c r="F861" i="5"/>
  <c r="F995" i="5"/>
  <c r="F918" i="5"/>
  <c r="W11" i="2"/>
  <c r="X11" i="2"/>
  <c r="Y6" i="2"/>
  <c r="O11" i="2"/>
  <c r="Y5" i="2"/>
  <c r="Y8" i="2"/>
  <c r="Q851" i="5"/>
  <c r="M877" i="5"/>
  <c r="AP877" i="5"/>
  <c r="AA994" i="5"/>
  <c r="D994" i="5" s="1"/>
  <c r="Q880" i="5"/>
  <c r="AA882" i="5"/>
  <c r="D882" i="5" s="1"/>
  <c r="M996" i="5"/>
  <c r="AP996" i="5"/>
  <c r="M856" i="5"/>
  <c r="M1017" i="5"/>
  <c r="AP1017" i="5"/>
  <c r="Q917" i="5"/>
  <c r="AA913" i="5"/>
  <c r="D913" i="5" s="1"/>
  <c r="M1018" i="5"/>
  <c r="AP1018" i="5"/>
  <c r="M940" i="5"/>
  <c r="M860" i="5"/>
  <c r="M1028" i="5"/>
  <c r="Q941" i="5"/>
  <c r="Q942" i="5"/>
  <c r="M214" i="5"/>
  <c r="M215" i="5"/>
  <c r="AP215" i="5"/>
  <c r="M585" i="5"/>
  <c r="AP585" i="5"/>
  <c r="AP814" i="5"/>
  <c r="AA87" i="5"/>
  <c r="D87" i="5" s="1"/>
  <c r="AA23" i="5"/>
  <c r="D23" i="5" s="1"/>
  <c r="Q24" i="5"/>
  <c r="M233" i="5"/>
  <c r="AP233" i="5"/>
  <c r="AA487" i="5"/>
  <c r="D487" i="5" s="1"/>
  <c r="AA216" i="5"/>
  <c r="D216" i="5" s="1"/>
  <c r="AP702" i="5"/>
  <c r="AA528" i="5"/>
  <c r="D528" i="5" s="1"/>
  <c r="Q549" i="5"/>
  <c r="AA551" i="5"/>
  <c r="D551" i="5" s="1"/>
  <c r="M816" i="5"/>
  <c r="AA818" i="5"/>
  <c r="D818" i="5" s="1"/>
  <c r="F818" i="5"/>
  <c r="M947" i="5"/>
  <c r="AA726" i="5"/>
  <c r="D726" i="5" s="1"/>
  <c r="F726" i="5"/>
  <c r="M26" i="5"/>
  <c r="AA236" i="5"/>
  <c r="D236" i="5" s="1"/>
  <c r="AA572" i="5"/>
  <c r="D572" i="5" s="1"/>
  <c r="Q1139" i="5"/>
  <c r="AP1109" i="5"/>
  <c r="AA203" i="5"/>
  <c r="D203" i="5" s="1"/>
  <c r="F203" i="5"/>
  <c r="AA1213" i="5"/>
  <c r="D1213" i="5" s="1"/>
  <c r="Q833" i="5"/>
  <c r="AP841" i="5"/>
  <c r="AA1004" i="5"/>
  <c r="D1004" i="5" s="1"/>
  <c r="AA998" i="5"/>
  <c r="D998" i="5" s="1"/>
  <c r="F998" i="5"/>
  <c r="AA891" i="5"/>
  <c r="D891" i="5" s="1"/>
  <c r="F891" i="5"/>
  <c r="AA893" i="5"/>
  <c r="D893" i="5" s="1"/>
  <c r="Q904" i="5"/>
  <c r="AP1049" i="5"/>
  <c r="AA1080" i="5"/>
  <c r="D1080" i="5" s="1"/>
  <c r="T11" i="2"/>
  <c r="M1075" i="5"/>
  <c r="AP1075" i="5"/>
  <c r="AA503" i="5"/>
  <c r="D503" i="5" s="1"/>
  <c r="Q877" i="5"/>
  <c r="M995" i="5"/>
  <c r="AP995" i="5"/>
  <c r="Q996" i="5"/>
  <c r="M894" i="5"/>
  <c r="AP894" i="5"/>
  <c r="AA855" i="5"/>
  <c r="D855" i="5" s="1"/>
  <c r="Q856" i="5"/>
  <c r="Q1017" i="5"/>
  <c r="M858" i="5"/>
  <c r="Q1018" i="5"/>
  <c r="Q860" i="5"/>
  <c r="Q1028" i="5"/>
  <c r="M1039" i="5"/>
  <c r="AP1039" i="5"/>
  <c r="Q215" i="5"/>
  <c r="M1211" i="5"/>
  <c r="AP1211" i="5"/>
  <c r="M1200" i="5"/>
  <c r="AP1200" i="5"/>
  <c r="AA568" i="5"/>
  <c r="D568" i="5" s="1"/>
  <c r="AA584" i="5"/>
  <c r="D584" i="5" s="1"/>
  <c r="Q585" i="5"/>
  <c r="M814" i="5"/>
  <c r="M231" i="5"/>
  <c r="AP231" i="5"/>
  <c r="Q233" i="5"/>
  <c r="AP490" i="5"/>
  <c r="M702" i="5"/>
  <c r="AP536" i="5"/>
  <c r="AA538" i="5"/>
  <c r="D538" i="5" s="1"/>
  <c r="AP544" i="5"/>
  <c r="AA547" i="5"/>
  <c r="D547" i="5" s="1"/>
  <c r="Q947" i="5"/>
  <c r="AA919" i="5"/>
  <c r="D919" i="5" s="1"/>
  <c r="M924" i="5"/>
  <c r="AA931" i="5"/>
  <c r="D931" i="5" s="1"/>
  <c r="AA728" i="5"/>
  <c r="D728" i="5" s="1"/>
  <c r="Q29" i="5"/>
  <c r="AP31" i="5"/>
  <c r="AA1078" i="5"/>
  <c r="D1078" i="5" s="1"/>
  <c r="AA722" i="5"/>
  <c r="D722" i="5" s="1"/>
  <c r="AA899" i="5"/>
  <c r="D899" i="5" s="1"/>
  <c r="F899" i="5"/>
  <c r="M1007" i="5"/>
  <c r="AP887" i="5"/>
  <c r="AA863" i="5"/>
  <c r="D863" i="5" s="1"/>
  <c r="AA889" i="5"/>
  <c r="D889" i="5" s="1"/>
  <c r="M1049" i="5"/>
  <c r="AA1016" i="5"/>
  <c r="D1016" i="5" s="1"/>
  <c r="Q1039" i="5"/>
  <c r="AA701" i="5"/>
  <c r="D701" i="5" s="1"/>
  <c r="Q1211" i="5"/>
  <c r="AA571" i="5"/>
  <c r="D571" i="5" s="1"/>
  <c r="Q231" i="5"/>
  <c r="M87" i="5"/>
  <c r="AP87" i="5"/>
  <c r="M23" i="5"/>
  <c r="AP23" i="5"/>
  <c r="AA199" i="5"/>
  <c r="D199" i="5" s="1"/>
  <c r="AP200" i="5"/>
  <c r="M490" i="5"/>
  <c r="Q702" i="5"/>
  <c r="AA535" i="5"/>
  <c r="D535" i="5" s="1"/>
  <c r="M536" i="5"/>
  <c r="AA540" i="5"/>
  <c r="D540" i="5" s="1"/>
  <c r="F540" i="5"/>
  <c r="M544" i="5"/>
  <c r="AP551" i="5"/>
  <c r="AA218" i="5"/>
  <c r="D218" i="5" s="1"/>
  <c r="AP721" i="5"/>
  <c r="AA945" i="5"/>
  <c r="D945" i="5" s="1"/>
  <c r="Q927" i="5"/>
  <c r="AP929" i="5"/>
  <c r="AA1079" i="5"/>
  <c r="D1079" i="5" s="1"/>
  <c r="F1079" i="5"/>
  <c r="M1109" i="5"/>
  <c r="AP88" i="5"/>
  <c r="AA830" i="5"/>
  <c r="D830" i="5" s="1"/>
  <c r="M841" i="5"/>
  <c r="AA1003" i="5"/>
  <c r="D1003" i="5" s="1"/>
  <c r="AA1005" i="5"/>
  <c r="D1005" i="5" s="1"/>
  <c r="M887" i="5"/>
  <c r="AA848" i="5"/>
  <c r="D848" i="5" s="1"/>
  <c r="Q1049" i="5"/>
  <c r="AA884" i="5"/>
  <c r="D884" i="5" s="1"/>
  <c r="Q894" i="5"/>
  <c r="Q858" i="5"/>
  <c r="Q1200" i="5"/>
  <c r="M503" i="5"/>
  <c r="AP503" i="5"/>
  <c r="F878" i="5"/>
  <c r="Q994" i="5"/>
  <c r="M879" i="5"/>
  <c r="AP879" i="5"/>
  <c r="AA881" i="5"/>
  <c r="D881" i="5" s="1"/>
  <c r="Q882" i="5"/>
  <c r="F854" i="5"/>
  <c r="M855" i="5"/>
  <c r="F857" i="5"/>
  <c r="F913" i="5"/>
  <c r="F504" i="5"/>
  <c r="M568" i="5"/>
  <c r="AP568" i="5"/>
  <c r="AP584" i="5"/>
  <c r="AA86" i="5"/>
  <c r="D86" i="5" s="1"/>
  <c r="AA718" i="5"/>
  <c r="D718" i="5" s="1"/>
  <c r="Q87" i="5"/>
  <c r="Q23" i="5"/>
  <c r="Q490" i="5"/>
  <c r="AA505" i="5"/>
  <c r="D505" i="5" s="1"/>
  <c r="F505" i="5"/>
  <c r="Q544" i="5"/>
  <c r="AA546" i="5"/>
  <c r="D546" i="5" s="1"/>
  <c r="M551" i="5"/>
  <c r="AA815" i="5"/>
  <c r="D815" i="5" s="1"/>
  <c r="F815" i="5"/>
  <c r="M721" i="5"/>
  <c r="AP919" i="5"/>
  <c r="AA921" i="5"/>
  <c r="D921" i="5" s="1"/>
  <c r="AA731" i="5"/>
  <c r="D731" i="5" s="1"/>
  <c r="F731" i="5"/>
  <c r="M31" i="5"/>
  <c r="AA1077" i="5"/>
  <c r="D1077" i="5" s="1"/>
  <c r="AA264" i="5"/>
  <c r="D264" i="5" s="1"/>
  <c r="Q1141" i="5"/>
  <c r="AA819" i="5"/>
  <c r="D819" i="5" s="1"/>
  <c r="AA831" i="5"/>
  <c r="D831" i="5" s="1"/>
  <c r="F831" i="5"/>
  <c r="AA839" i="5"/>
  <c r="D839" i="5" s="1"/>
  <c r="Q1001" i="5"/>
  <c r="AP897" i="5"/>
  <c r="AA901" i="5"/>
  <c r="D901" i="5" s="1"/>
  <c r="Q887" i="5"/>
  <c r="AA892" i="5"/>
  <c r="D892" i="5" s="1"/>
  <c r="AA903" i="5"/>
  <c r="D903" i="5" s="1"/>
  <c r="F903" i="5"/>
  <c r="M882" i="5"/>
  <c r="F1076" i="5"/>
  <c r="Q503" i="5"/>
  <c r="M876" i="5"/>
  <c r="AP876" i="5"/>
  <c r="Q879" i="5"/>
  <c r="F853" i="5"/>
  <c r="M884" i="5"/>
  <c r="AP884" i="5"/>
  <c r="F1000" i="5"/>
  <c r="Q855" i="5"/>
  <c r="M1016" i="5"/>
  <c r="AP1016" i="5"/>
  <c r="AP913" i="5"/>
  <c r="M1037" i="5"/>
  <c r="AP1037" i="5"/>
  <c r="AP1038" i="5"/>
  <c r="AA1040" i="5"/>
  <c r="D1040" i="5" s="1"/>
  <c r="M701" i="5"/>
  <c r="AP701" i="5"/>
  <c r="F1212" i="5"/>
  <c r="F1202" i="5"/>
  <c r="Q568" i="5"/>
  <c r="M584" i="5"/>
  <c r="M571" i="5"/>
  <c r="AP571" i="5"/>
  <c r="F232" i="5"/>
  <c r="M199" i="5"/>
  <c r="AP199" i="5"/>
  <c r="M200" i="5"/>
  <c r="AA25" i="5"/>
  <c r="D25" i="5" s="1"/>
  <c r="AA234" i="5"/>
  <c r="D234" i="5" s="1"/>
  <c r="F234" i="5"/>
  <c r="AP535" i="5"/>
  <c r="AA530" i="5"/>
  <c r="D530" i="5" s="1"/>
  <c r="AP539" i="5"/>
  <c r="AA542" i="5"/>
  <c r="D542" i="5" s="1"/>
  <c r="Q721" i="5"/>
  <c r="AA944" i="5"/>
  <c r="D944" i="5" s="1"/>
  <c r="M919" i="5"/>
  <c r="AA923" i="5"/>
  <c r="D923" i="5" s="1"/>
  <c r="F923" i="5"/>
  <c r="M929" i="5"/>
  <c r="AA729" i="5"/>
  <c r="D729" i="5" s="1"/>
  <c r="AA27" i="5"/>
  <c r="D27" i="5" s="1"/>
  <c r="Q1137" i="5"/>
  <c r="AP1107" i="5"/>
  <c r="AA1139" i="5"/>
  <c r="D1139" i="5" s="1"/>
  <c r="M88" i="5"/>
  <c r="AP201" i="5"/>
  <c r="AA833" i="5"/>
  <c r="D833" i="5" s="1"/>
  <c r="AA902" i="5"/>
  <c r="D902" i="5" s="1"/>
  <c r="F902" i="5"/>
  <c r="AA835" i="5"/>
  <c r="D835" i="5" s="1"/>
  <c r="N11" i="2"/>
  <c r="M1074" i="5"/>
  <c r="AP1074" i="5"/>
  <c r="Q876" i="5"/>
  <c r="F852" i="5"/>
  <c r="M881" i="5"/>
  <c r="AP881" i="5"/>
  <c r="F883" i="5"/>
  <c r="Q884" i="5"/>
  <c r="Q1016" i="5"/>
  <c r="M912" i="5"/>
  <c r="AP912" i="5"/>
  <c r="M1025" i="5"/>
  <c r="AP1025" i="5"/>
  <c r="M913" i="5"/>
  <c r="M859" i="5"/>
  <c r="Q1037" i="5"/>
  <c r="M918" i="5"/>
  <c r="AP918" i="5"/>
  <c r="AA1028" i="5"/>
  <c r="D1028" i="5" s="1"/>
  <c r="M861" i="5"/>
  <c r="M1038" i="5"/>
  <c r="M943" i="5"/>
  <c r="AP943" i="5"/>
  <c r="M850" i="5"/>
  <c r="Q701" i="5"/>
  <c r="Q571" i="5"/>
  <c r="M86" i="5"/>
  <c r="AP86" i="5"/>
  <c r="M718" i="5"/>
  <c r="AP718" i="5"/>
  <c r="F22" i="5"/>
  <c r="Q199" i="5"/>
  <c r="AA263" i="5"/>
  <c r="D263" i="5" s="1"/>
  <c r="M535" i="5"/>
  <c r="AA531" i="5"/>
  <c r="D531" i="5" s="1"/>
  <c r="F531" i="5"/>
  <c r="M539" i="5"/>
  <c r="AP546" i="5"/>
  <c r="AA548" i="5"/>
  <c r="D548" i="5" s="1"/>
  <c r="AP719" i="5"/>
  <c r="AA720" i="5"/>
  <c r="D720" i="5" s="1"/>
  <c r="AA925" i="5"/>
  <c r="D925" i="5" s="1"/>
  <c r="Q725" i="5"/>
  <c r="AP727" i="5"/>
  <c r="AA1108" i="5"/>
  <c r="D1108" i="5" s="1"/>
  <c r="F1108" i="5"/>
  <c r="Q202" i="5"/>
  <c r="AA840" i="5"/>
  <c r="D840" i="5" s="1"/>
  <c r="F840" i="5"/>
  <c r="M897" i="5"/>
  <c r="AA1008" i="5"/>
  <c r="D1008" i="5" s="1"/>
  <c r="AA885" i="5"/>
  <c r="D885" i="5" s="1"/>
  <c r="Q890" i="5"/>
  <c r="AA957" i="5"/>
  <c r="D957" i="5" s="1"/>
  <c r="F957" i="5"/>
  <c r="AA1038" i="5"/>
  <c r="D1038" i="5" s="1"/>
  <c r="AA1120" i="5"/>
  <c r="D1120" i="5" s="1"/>
  <c r="AA1095" i="5"/>
  <c r="D1095" i="5" s="1"/>
  <c r="AA1087" i="5"/>
  <c r="D1087" i="5" s="1"/>
  <c r="AA1082" i="5"/>
  <c r="D1082" i="5" s="1"/>
  <c r="AA822" i="5"/>
  <c r="D822" i="5" s="1"/>
  <c r="AA661" i="5"/>
  <c r="D661" i="5" s="1"/>
  <c r="AA592" i="5"/>
  <c r="D592" i="5" s="1"/>
  <c r="AA333" i="5"/>
  <c r="D333" i="5" s="1"/>
  <c r="AA326" i="5"/>
  <c r="D326" i="5" s="1"/>
  <c r="AA459" i="5"/>
  <c r="D459" i="5" s="1"/>
  <c r="AA313" i="5"/>
  <c r="D313" i="5" s="1"/>
  <c r="AA1086" i="5"/>
  <c r="D1086" i="5" s="1"/>
  <c r="AA660" i="5"/>
  <c r="D660" i="5" s="1"/>
  <c r="AA368" i="5"/>
  <c r="D368" i="5" s="1"/>
  <c r="AA1085" i="5"/>
  <c r="D1085" i="5" s="1"/>
  <c r="AA698" i="5"/>
  <c r="D698" i="5" s="1"/>
  <c r="AA453" i="5"/>
  <c r="D453" i="5" s="1"/>
  <c r="AA371" i="5"/>
  <c r="D371" i="5" s="1"/>
  <c r="AA462" i="5"/>
  <c r="D462" i="5" s="1"/>
  <c r="AA451" i="5"/>
  <c r="D451" i="5" s="1"/>
  <c r="AA1094" i="5"/>
  <c r="D1094" i="5" s="1"/>
  <c r="AA330" i="5"/>
  <c r="D330" i="5" s="1"/>
  <c r="AA367" i="5"/>
  <c r="D367" i="5" s="1"/>
  <c r="AA364" i="5"/>
  <c r="D364" i="5" s="1"/>
  <c r="AA361" i="5"/>
  <c r="D361" i="5" s="1"/>
  <c r="AA358" i="5"/>
  <c r="D358" i="5" s="1"/>
  <c r="AA441" i="5"/>
  <c r="D441" i="5" s="1"/>
  <c r="AA351" i="5"/>
  <c r="D351" i="5" s="1"/>
  <c r="AA348" i="5"/>
  <c r="D348" i="5" s="1"/>
  <c r="AA436" i="5"/>
  <c r="D436" i="5" s="1"/>
  <c r="AA341" i="5"/>
  <c r="D341" i="5" s="1"/>
  <c r="AA338" i="5"/>
  <c r="D338" i="5" s="1"/>
  <c r="AA1093" i="5"/>
  <c r="D1093" i="5" s="1"/>
  <c r="AA789" i="5"/>
  <c r="D789" i="5" s="1"/>
  <c r="AA457" i="5"/>
  <c r="D457" i="5" s="1"/>
  <c r="AA378" i="5"/>
  <c r="D378" i="5" s="1"/>
  <c r="AA757" i="5"/>
  <c r="D757" i="5" s="1"/>
  <c r="AA318" i="5"/>
  <c r="D318" i="5" s="1"/>
  <c r="AA365" i="5"/>
  <c r="D365" i="5" s="1"/>
  <c r="AA1119" i="5"/>
  <c r="D1119" i="5" s="1"/>
  <c r="AA583" i="5"/>
  <c r="D583" i="5" s="1"/>
  <c r="AA308" i="5"/>
  <c r="D308" i="5" s="1"/>
  <c r="AA448" i="5"/>
  <c r="D448" i="5" s="1"/>
  <c r="AA1149" i="5"/>
  <c r="D1149" i="5" s="1"/>
  <c r="AA1091" i="5"/>
  <c r="D1091" i="5" s="1"/>
  <c r="AA1090" i="5"/>
  <c r="D1090" i="5" s="1"/>
  <c r="AA325" i="5"/>
  <c r="D325" i="5" s="1"/>
  <c r="AA375" i="5"/>
  <c r="D375" i="5" s="1"/>
  <c r="AA373" i="5"/>
  <c r="D373" i="5" s="1"/>
  <c r="AA362" i="5"/>
  <c r="D362" i="5" s="1"/>
  <c r="AA357" i="5"/>
  <c r="D357" i="5" s="1"/>
  <c r="AA431" i="5"/>
  <c r="D431" i="5" s="1"/>
  <c r="AA117" i="5"/>
  <c r="D117" i="5" s="1"/>
  <c r="AA582" i="5"/>
  <c r="D582" i="5" s="1"/>
  <c r="AA460" i="5"/>
  <c r="D460" i="5" s="1"/>
  <c r="AA352" i="5"/>
  <c r="D352" i="5" s="1"/>
  <c r="AA347" i="5"/>
  <c r="D347" i="5" s="1"/>
  <c r="AA249" i="5"/>
  <c r="D249" i="5" s="1"/>
  <c r="AA248" i="5"/>
  <c r="D248" i="5" s="1"/>
  <c r="AA392" i="5"/>
  <c r="D392" i="5" s="1"/>
  <c r="AA237" i="5"/>
  <c r="D237" i="5" s="1"/>
  <c r="AA372" i="5"/>
  <c r="D372" i="5" s="1"/>
  <c r="AA342" i="5"/>
  <c r="D342" i="5" s="1"/>
  <c r="AA337" i="5"/>
  <c r="D337" i="5" s="1"/>
  <c r="AA332" i="5"/>
  <c r="D332" i="5" s="1"/>
  <c r="AA327" i="5"/>
  <c r="D327" i="5" s="1"/>
  <c r="AA428" i="5"/>
  <c r="D428" i="5" s="1"/>
  <c r="AA307" i="5"/>
  <c r="D307" i="5" s="1"/>
  <c r="AA452" i="5"/>
  <c r="D452" i="5" s="1"/>
  <c r="AA370" i="5"/>
  <c r="D370" i="5" s="1"/>
  <c r="AA444" i="5"/>
  <c r="D444" i="5" s="1"/>
  <c r="AA408" i="5"/>
  <c r="D408" i="5" s="1"/>
  <c r="AA355" i="5"/>
  <c r="D355" i="5" s="1"/>
  <c r="AA439" i="5"/>
  <c r="D439" i="5" s="1"/>
  <c r="AA429" i="5"/>
  <c r="D429" i="5" s="1"/>
  <c r="AA398" i="5"/>
  <c r="D398" i="5" s="1"/>
  <c r="AA345" i="5"/>
  <c r="D345" i="5" s="1"/>
  <c r="AA434" i="5"/>
  <c r="D434" i="5" s="1"/>
  <c r="AA320" i="5"/>
  <c r="D320" i="5" s="1"/>
  <c r="AA393" i="5"/>
  <c r="D393" i="5" s="1"/>
  <c r="AA446" i="5"/>
  <c r="D446" i="5" s="1"/>
  <c r="AA315" i="5"/>
  <c r="D315" i="5" s="1"/>
  <c r="AA443" i="5"/>
  <c r="D443" i="5" s="1"/>
  <c r="AA354" i="5"/>
  <c r="D354" i="5" s="1"/>
  <c r="AA335" i="5"/>
  <c r="D335" i="5" s="1"/>
  <c r="AA319" i="5"/>
  <c r="D319" i="5" s="1"/>
  <c r="AA119" i="5"/>
  <c r="D119" i="5" s="1"/>
  <c r="AA312" i="5"/>
  <c r="D312" i="5" s="1"/>
  <c r="AA399" i="5"/>
  <c r="D399" i="5" s="1"/>
  <c r="AA240" i="5"/>
  <c r="D240" i="5" s="1"/>
  <c r="AA438" i="5"/>
  <c r="D438" i="5" s="1"/>
  <c r="AA344" i="5"/>
  <c r="D344" i="5" s="1"/>
  <c r="AA190" i="5"/>
  <c r="D190" i="5" s="1"/>
  <c r="AA253" i="5"/>
  <c r="D253" i="5" s="1"/>
  <c r="AA252" i="5"/>
  <c r="D252" i="5" s="1"/>
  <c r="AA391" i="5"/>
  <c r="D391" i="5" s="1"/>
  <c r="AA285" i="5"/>
  <c r="D285" i="5" s="1"/>
  <c r="AA397" i="5"/>
  <c r="D397" i="5" s="1"/>
  <c r="AA152" i="5"/>
  <c r="D152" i="5" s="1"/>
  <c r="AA58" i="5"/>
  <c r="D58" i="5" s="1"/>
  <c r="AA283" i="5"/>
  <c r="D283" i="5" s="1"/>
  <c r="AA67" i="5"/>
  <c r="D67" i="5" s="1"/>
  <c r="AA65" i="5"/>
  <c r="D65" i="5" s="1"/>
  <c r="AA54" i="5"/>
  <c r="D54" i="5" s="1"/>
  <c r="AA433" i="5"/>
  <c r="D433" i="5" s="1"/>
  <c r="AA193" i="5"/>
  <c r="D193" i="5" s="1"/>
  <c r="AA69" i="5"/>
  <c r="D69" i="5" s="1"/>
  <c r="AA394" i="5"/>
  <c r="D394" i="5" s="1"/>
  <c r="AA171" i="5"/>
  <c r="D171" i="5" s="1"/>
  <c r="AA328" i="5"/>
  <c r="D328" i="5" s="1"/>
  <c r="AA246" i="5"/>
  <c r="D246" i="5" s="1"/>
  <c r="AA157" i="5"/>
  <c r="D157" i="5" s="1"/>
  <c r="AA243" i="5"/>
  <c r="D243" i="5" s="1"/>
  <c r="AA68" i="5"/>
  <c r="D68" i="5" s="1"/>
  <c r="AA56" i="5"/>
  <c r="D56" i="5" s="1"/>
  <c r="AA32" i="5"/>
  <c r="D32" i="5" s="1"/>
  <c r="AA1022" i="5"/>
  <c r="D1022" i="5" s="1"/>
  <c r="AA41" i="5"/>
  <c r="D41" i="5" s="1"/>
  <c r="AA746" i="5"/>
  <c r="D746" i="5" s="1"/>
  <c r="AA424" i="5"/>
  <c r="D424" i="5" s="1"/>
  <c r="AA742" i="5"/>
  <c r="D742" i="5" s="1"/>
  <c r="AA619" i="5"/>
  <c r="D619" i="5" s="1"/>
  <c r="AA523" i="5"/>
  <c r="D523" i="5" s="1"/>
  <c r="AA57" i="5"/>
  <c r="D57" i="5" s="1"/>
  <c r="AA168" i="5"/>
  <c r="D168" i="5" s="1"/>
  <c r="AA755" i="5"/>
  <c r="D755" i="5" s="1"/>
  <c r="AA154" i="5"/>
  <c r="D154" i="5" s="1"/>
  <c r="AA163" i="5"/>
  <c r="D163" i="5" s="1"/>
  <c r="AA745" i="5"/>
  <c r="D745" i="5" s="1"/>
  <c r="AA694" i="5"/>
  <c r="D694" i="5" s="1"/>
  <c r="AA407" i="5"/>
  <c r="D407" i="5" s="1"/>
  <c r="AA153" i="5"/>
  <c r="D153" i="5" s="1"/>
  <c r="AA44" i="5"/>
  <c r="D44" i="5" s="1"/>
  <c r="AA785" i="5"/>
  <c r="D785" i="5" s="1"/>
  <c r="AA297" i="5"/>
  <c r="D297" i="5" s="1"/>
  <c r="AA295" i="5"/>
  <c r="D295" i="5" s="1"/>
  <c r="AA173" i="5"/>
  <c r="D173" i="5" s="1"/>
  <c r="AA34" i="5"/>
  <c r="D34" i="5" s="1"/>
  <c r="AA743" i="5"/>
  <c r="D743" i="5" s="1"/>
  <c r="AA732" i="5"/>
  <c r="D732" i="5" s="1"/>
  <c r="AA656" i="5"/>
  <c r="D656" i="5" s="1"/>
  <c r="AA651" i="5"/>
  <c r="D651" i="5" s="1"/>
  <c r="AA281" i="5"/>
  <c r="D281" i="5" s="1"/>
  <c r="AA276" i="5"/>
  <c r="D276" i="5" s="1"/>
  <c r="AA112" i="5"/>
  <c r="D112" i="5" s="1"/>
  <c r="AA107" i="5"/>
  <c r="D107" i="5" s="1"/>
  <c r="AA102" i="5"/>
  <c r="D102" i="5" s="1"/>
  <c r="AA524" i="5"/>
  <c r="D524" i="5" s="1"/>
  <c r="AA621" i="5"/>
  <c r="D621" i="5" s="1"/>
  <c r="AA39" i="5"/>
  <c r="D39" i="5" s="1"/>
  <c r="AA748" i="5"/>
  <c r="D748" i="5" s="1"/>
  <c r="AA837" i="5"/>
  <c r="D837" i="5" s="1"/>
  <c r="AA692" i="5"/>
  <c r="D692" i="5" s="1"/>
  <c r="AA753" i="5"/>
  <c r="D753" i="5" s="1"/>
  <c r="AA363" i="5"/>
  <c r="D363" i="5" s="1"/>
  <c r="AA70" i="5"/>
  <c r="D70" i="5" s="1"/>
  <c r="AA60" i="5"/>
  <c r="D60" i="5" s="1"/>
  <c r="AA164" i="5"/>
  <c r="D164" i="5" s="1"/>
  <c r="AA1198" i="5"/>
  <c r="D1198" i="5" s="1"/>
  <c r="AA298" i="5"/>
  <c r="D298" i="5" s="1"/>
  <c r="AA737" i="5"/>
  <c r="D737" i="5" s="1"/>
  <c r="AA735" i="5"/>
  <c r="D735" i="5" s="1"/>
  <c r="AA51" i="5"/>
  <c r="D51" i="5" s="1"/>
  <c r="AA42" i="5"/>
  <c r="D42" i="5" s="1"/>
  <c r="AA786" i="5"/>
  <c r="D786" i="5" s="1"/>
  <c r="AA697" i="5"/>
  <c r="D697" i="5" s="1"/>
  <c r="AA296" i="5"/>
  <c r="D296" i="5" s="1"/>
  <c r="AA782" i="5"/>
  <c r="D782" i="5" s="1"/>
  <c r="AA733" i="5"/>
  <c r="D733" i="5" s="1"/>
  <c r="AA652" i="5"/>
  <c r="D652" i="5" s="1"/>
  <c r="AA631" i="5"/>
  <c r="D631" i="5" s="1"/>
  <c r="AA277" i="5"/>
  <c r="D277" i="5" s="1"/>
  <c r="AA113" i="5"/>
  <c r="D113" i="5" s="1"/>
  <c r="AA108" i="5"/>
  <c r="D108" i="5" s="1"/>
  <c r="AA103" i="5"/>
  <c r="D103" i="5" s="1"/>
  <c r="AA525" i="5"/>
  <c r="D525" i="5" s="1"/>
  <c r="AA622" i="5"/>
  <c r="D622" i="5" s="1"/>
  <c r="AA741" i="5"/>
  <c r="D741" i="5" s="1"/>
  <c r="AA272" i="5"/>
  <c r="D272" i="5" s="1"/>
  <c r="AA270" i="5"/>
  <c r="D270" i="5" s="1"/>
  <c r="AA739" i="5"/>
  <c r="D739" i="5" s="1"/>
  <c r="AA513" i="5"/>
  <c r="D513" i="5" s="1"/>
  <c r="AA511" i="5"/>
  <c r="D511" i="5" s="1"/>
  <c r="AA268" i="5"/>
  <c r="D268" i="5" s="1"/>
  <c r="AA687" i="5"/>
  <c r="D687" i="5" s="1"/>
  <c r="AA580" i="5"/>
  <c r="D580" i="5" s="1"/>
  <c r="AA188" i="5"/>
  <c r="D188" i="5" s="1"/>
  <c r="AA423" i="5"/>
  <c r="D423" i="5" s="1"/>
  <c r="AA1218" i="5"/>
  <c r="D1218" i="5" s="1"/>
  <c r="AA1197" i="5"/>
  <c r="D1197" i="5" s="1"/>
  <c r="AA559" i="5"/>
  <c r="D559" i="5" s="1"/>
  <c r="AA703" i="5"/>
  <c r="D703" i="5" s="1"/>
  <c r="AA690" i="5"/>
  <c r="D690" i="5" s="1"/>
  <c r="AA1183" i="5"/>
  <c r="D1183" i="5" s="1"/>
  <c r="AA1179" i="5"/>
  <c r="D1179" i="5" s="1"/>
  <c r="AA514" i="5"/>
  <c r="D514" i="5" s="1"/>
  <c r="AA512" i="5"/>
  <c r="D512" i="5" s="1"/>
  <c r="AA1196" i="5"/>
  <c r="D1196" i="5" s="1"/>
  <c r="AA1194" i="5"/>
  <c r="D1194" i="5" s="1"/>
  <c r="AA560" i="5"/>
  <c r="D560" i="5" s="1"/>
  <c r="AA558" i="5"/>
  <c r="D558" i="5" s="1"/>
  <c r="AA492" i="5"/>
  <c r="D492" i="5" s="1"/>
  <c r="AA657" i="5"/>
  <c r="D657" i="5" s="1"/>
  <c r="AA519" i="5"/>
  <c r="D519" i="5" s="1"/>
  <c r="AA517" i="5"/>
  <c r="D517" i="5" s="1"/>
  <c r="AA689" i="5"/>
  <c r="D689" i="5" s="1"/>
  <c r="AA589" i="5"/>
  <c r="D589" i="5" s="1"/>
  <c r="AA586" i="5"/>
  <c r="D586" i="5" s="1"/>
  <c r="AA184" i="5"/>
  <c r="D184" i="5" s="1"/>
  <c r="AA185" i="5"/>
  <c r="D185" i="5" s="1"/>
  <c r="AA91" i="5"/>
  <c r="D91" i="5" s="1"/>
  <c r="AA160" i="5"/>
  <c r="D160" i="5" s="1"/>
  <c r="AA267" i="5"/>
  <c r="D267" i="5" s="1"/>
  <c r="AA557" i="5"/>
  <c r="D557" i="5" s="1"/>
  <c r="AA89" i="5"/>
  <c r="D89" i="5" s="1"/>
  <c r="AA186" i="5"/>
  <c r="D186" i="5" s="1"/>
  <c r="AA691" i="5"/>
  <c r="D691" i="5" s="1"/>
  <c r="AA304" i="5"/>
  <c r="D304" i="5" s="1"/>
  <c r="AA591" i="5"/>
  <c r="D591" i="5" s="1"/>
  <c r="AA993" i="5"/>
  <c r="D993" i="5" s="1"/>
  <c r="AA976" i="5"/>
  <c r="D976" i="5" s="1"/>
  <c r="AA968" i="5"/>
  <c r="D968" i="5" s="1"/>
  <c r="AA874" i="5"/>
  <c r="D874" i="5" s="1"/>
  <c r="AA869" i="5"/>
  <c r="D869" i="5" s="1"/>
  <c r="AA826" i="5"/>
  <c r="D826" i="5" s="1"/>
  <c r="AA812" i="5"/>
  <c r="D812" i="5" s="1"/>
  <c r="AA807" i="5"/>
  <c r="D807" i="5" s="1"/>
  <c r="AA802" i="5"/>
  <c r="D802" i="5" s="1"/>
  <c r="AA797" i="5"/>
  <c r="D797" i="5" s="1"/>
  <c r="AA792" i="5"/>
  <c r="D792" i="5" s="1"/>
  <c r="AA779" i="5"/>
  <c r="D779" i="5" s="1"/>
  <c r="AA774" i="5"/>
  <c r="D774" i="5" s="1"/>
  <c r="AA769" i="5"/>
  <c r="D769" i="5" s="1"/>
  <c r="AA764" i="5"/>
  <c r="D764" i="5" s="1"/>
  <c r="AA759" i="5"/>
  <c r="D759" i="5" s="1"/>
  <c r="AA1207" i="5"/>
  <c r="D1207" i="5" s="1"/>
  <c r="AA1201" i="5"/>
  <c r="D1201" i="5" s="1"/>
  <c r="AA711" i="5"/>
  <c r="D711" i="5" s="1"/>
  <c r="AA183" i="5"/>
  <c r="D183" i="5" s="1"/>
  <c r="AA588" i="5"/>
  <c r="D588" i="5" s="1"/>
  <c r="AA872" i="5"/>
  <c r="D872" i="5" s="1"/>
  <c r="AA767" i="5"/>
  <c r="D767" i="5" s="1"/>
  <c r="AA1205" i="5"/>
  <c r="D1205" i="5" s="1"/>
  <c r="AA1176" i="5"/>
  <c r="D1176" i="5" s="1"/>
  <c r="AA1172" i="5"/>
  <c r="D1172" i="5" s="1"/>
  <c r="AA683" i="5"/>
  <c r="D683" i="5" s="1"/>
  <c r="AA790" i="5"/>
  <c r="D790" i="5" s="1"/>
  <c r="AA1123" i="5"/>
  <c r="D1123" i="5" s="1"/>
  <c r="AA674" i="5"/>
  <c r="D674" i="5" s="1"/>
  <c r="AA669" i="5"/>
  <c r="D669" i="5" s="1"/>
  <c r="AA664" i="5"/>
  <c r="D664" i="5" s="1"/>
  <c r="AA1103" i="5"/>
  <c r="D1103" i="5" s="1"/>
  <c r="AA1098" i="5"/>
  <c r="D1098" i="5" s="1"/>
  <c r="AA641" i="5"/>
  <c r="D641" i="5" s="1"/>
  <c r="AA636" i="5"/>
  <c r="D636" i="5" s="1"/>
  <c r="AA626" i="5"/>
  <c r="D626" i="5" s="1"/>
  <c r="AA1192" i="5"/>
  <c r="D1192" i="5" s="1"/>
  <c r="AA1187" i="5"/>
  <c r="D1187" i="5" s="1"/>
  <c r="AA805" i="5"/>
  <c r="D805" i="5" s="1"/>
  <c r="AA679" i="5"/>
  <c r="D679" i="5" s="1"/>
  <c r="AA988" i="5"/>
  <c r="D988" i="5" s="1"/>
  <c r="AA829" i="5"/>
  <c r="D829" i="5" s="1"/>
  <c r="AA762" i="5"/>
  <c r="D762" i="5" s="1"/>
  <c r="AA777" i="5"/>
  <c r="D777" i="5" s="1"/>
  <c r="AA800" i="5"/>
  <c r="D800" i="5" s="1"/>
  <c r="AA704" i="5"/>
  <c r="D704" i="5" s="1"/>
  <c r="AA1174" i="5"/>
  <c r="D1174" i="5" s="1"/>
  <c r="AA1170" i="5"/>
  <c r="D1170" i="5" s="1"/>
  <c r="AA824" i="5"/>
  <c r="D824" i="5" s="1"/>
  <c r="AA716" i="5"/>
  <c r="D716" i="5" s="1"/>
  <c r="AA707" i="5"/>
  <c r="D707" i="5" s="1"/>
  <c r="AA681" i="5"/>
  <c r="D681" i="5" s="1"/>
  <c r="AA1131" i="5"/>
  <c r="D1131" i="5" s="1"/>
  <c r="AA772" i="5"/>
  <c r="D772" i="5" s="1"/>
  <c r="AA1210" i="5"/>
  <c r="D1210" i="5" s="1"/>
  <c r="AA715" i="5"/>
  <c r="D715" i="5" s="1"/>
  <c r="AA795" i="5"/>
  <c r="D795" i="5" s="1"/>
  <c r="AA1133" i="5"/>
  <c r="D1133" i="5" s="1"/>
  <c r="AA810" i="5"/>
  <c r="D810" i="5" s="1"/>
  <c r="AA1136" i="5"/>
  <c r="D1136" i="5" s="1"/>
  <c r="AA609" i="5"/>
  <c r="D609" i="5" s="1"/>
  <c r="AA1154" i="5"/>
  <c r="D1154" i="5" s="1"/>
  <c r="AA668" i="5"/>
  <c r="D668" i="5" s="1"/>
  <c r="AA640" i="5"/>
  <c r="D640" i="5" s="1"/>
  <c r="AA1191" i="5"/>
  <c r="D1191" i="5" s="1"/>
  <c r="AA613" i="5"/>
  <c r="D613" i="5" s="1"/>
  <c r="AA608" i="5"/>
  <c r="D608" i="5" s="1"/>
  <c r="AA604" i="5"/>
  <c r="D604" i="5" s="1"/>
  <c r="AA476" i="5"/>
  <c r="D476" i="5" s="1"/>
  <c r="AA471" i="5"/>
  <c r="D471" i="5" s="1"/>
  <c r="AA466" i="5"/>
  <c r="D466" i="5" s="1"/>
  <c r="AA262" i="5"/>
  <c r="D262" i="5" s="1"/>
  <c r="AA260" i="5"/>
  <c r="D260" i="5" s="1"/>
  <c r="AA258" i="5"/>
  <c r="D258" i="5" s="1"/>
  <c r="AA256" i="5"/>
  <c r="D256" i="5" s="1"/>
  <c r="AA663" i="5"/>
  <c r="D663" i="5" s="1"/>
  <c r="AA1122" i="5"/>
  <c r="D1122" i="5" s="1"/>
  <c r="AA635" i="5"/>
  <c r="D635" i="5" s="1"/>
  <c r="AA598" i="5"/>
  <c r="D598" i="5" s="1"/>
  <c r="AA593" i="5"/>
  <c r="D593" i="5" s="1"/>
  <c r="AA1186" i="5"/>
  <c r="D1186" i="5" s="1"/>
  <c r="AA1102" i="5"/>
  <c r="D1102" i="5" s="1"/>
  <c r="AA603" i="5"/>
  <c r="D603" i="5" s="1"/>
  <c r="AA1166" i="5"/>
  <c r="D1166" i="5" s="1"/>
  <c r="AA1164" i="5"/>
  <c r="D1164" i="5" s="1"/>
  <c r="AA673" i="5"/>
  <c r="D673" i="5" s="1"/>
  <c r="AA625" i="5"/>
  <c r="D625" i="5" s="1"/>
  <c r="AA1161" i="5"/>
  <c r="D1161" i="5" s="1"/>
  <c r="AA1159" i="5"/>
  <c r="D1159" i="5" s="1"/>
  <c r="AA577" i="5"/>
  <c r="D577" i="5" s="1"/>
  <c r="AA1097" i="5"/>
  <c r="D1097" i="5" s="1"/>
  <c r="AA614" i="5"/>
  <c r="D614" i="5" s="1"/>
  <c r="AA594" i="5"/>
  <c r="D594" i="5" s="1"/>
  <c r="AA454" i="5"/>
  <c r="D454" i="5" s="1"/>
  <c r="AA228" i="5"/>
  <c r="D228" i="5" s="1"/>
  <c r="AA223" i="5"/>
  <c r="D223" i="5" s="1"/>
  <c r="AA178" i="5"/>
  <c r="D178" i="5" s="1"/>
  <c r="AA194" i="5"/>
  <c r="D194" i="5" s="1"/>
  <c r="AA404" i="5"/>
  <c r="D404" i="5" s="1"/>
  <c r="AA174" i="5"/>
  <c r="D174" i="5" s="1"/>
  <c r="AA77" i="5"/>
  <c r="D77" i="5" s="1"/>
  <c r="AA475" i="5"/>
  <c r="D475" i="5" s="1"/>
  <c r="AA180" i="5"/>
  <c r="D180" i="5" s="1"/>
  <c r="AA125" i="5"/>
  <c r="D125" i="5" s="1"/>
  <c r="AA291" i="5"/>
  <c r="D291" i="5" s="1"/>
  <c r="AA84" i="5"/>
  <c r="D84" i="5" s="1"/>
  <c r="AA72" i="5"/>
  <c r="D72" i="5" s="1"/>
  <c r="AA470" i="5"/>
  <c r="D470" i="5" s="1"/>
  <c r="AA390" i="5"/>
  <c r="D390" i="5" s="1"/>
  <c r="AA196" i="5"/>
  <c r="D196" i="5" s="1"/>
  <c r="AA465" i="5"/>
  <c r="D465" i="5" s="1"/>
  <c r="AA286" i="5"/>
  <c r="D286" i="5" s="1"/>
  <c r="AA261" i="5"/>
  <c r="D261" i="5" s="1"/>
  <c r="AA259" i="5"/>
  <c r="D259" i="5" s="1"/>
  <c r="AA257" i="5"/>
  <c r="D257" i="5" s="1"/>
  <c r="AA255" i="5"/>
  <c r="D255" i="5" s="1"/>
  <c r="AA385" i="5"/>
  <c r="D385" i="5" s="1"/>
  <c r="AA80" i="5"/>
  <c r="D80" i="5" s="1"/>
  <c r="AA420" i="5"/>
  <c r="D420" i="5" s="1"/>
  <c r="AA225" i="5"/>
  <c r="D225" i="5" s="1"/>
  <c r="AA99" i="5"/>
  <c r="D99" i="5" s="1"/>
  <c r="AA97" i="5"/>
  <c r="D97" i="5" s="1"/>
  <c r="AA380" i="5"/>
  <c r="D380" i="5" s="1"/>
  <c r="AA81" i="5"/>
  <c r="D81" i="5" s="1"/>
  <c r="AA130" i="5"/>
  <c r="D130" i="5" s="1"/>
  <c r="AA211" i="5"/>
  <c r="D211" i="5" s="1"/>
  <c r="AA19" i="5"/>
  <c r="D19" i="5" s="1"/>
  <c r="AA14" i="5"/>
  <c r="D14" i="5" s="1"/>
  <c r="AA9" i="5"/>
  <c r="D9" i="5" s="1"/>
  <c r="AA1035" i="5"/>
  <c r="D1035" i="5" s="1"/>
  <c r="AA937" i="5"/>
  <c r="D937" i="5" s="1"/>
  <c r="AA1047" i="5"/>
  <c r="D1047" i="5" s="1"/>
  <c r="AA954" i="5"/>
  <c r="D954" i="5" s="1"/>
  <c r="AA934" i="5"/>
  <c r="D934" i="5" s="1"/>
  <c r="AA1044" i="5"/>
  <c r="D1044" i="5" s="1"/>
  <c r="AA1041" i="5"/>
  <c r="D1041" i="5" s="1"/>
  <c r="AA910" i="5"/>
  <c r="D910" i="5" s="1"/>
  <c r="AA907" i="5"/>
  <c r="D907" i="5" s="1"/>
  <c r="AA1116" i="5"/>
  <c r="D1116" i="5" s="1"/>
  <c r="AA685" i="5"/>
  <c r="D685" i="5" s="1"/>
  <c r="AA714" i="5"/>
  <c r="D714" i="5" s="1"/>
  <c r="AA1215" i="5"/>
  <c r="D1215" i="5" s="1"/>
  <c r="AA510" i="5"/>
  <c r="D510" i="5" s="1"/>
  <c r="AA555" i="5"/>
  <c r="D555" i="5" s="1"/>
  <c r="AA554" i="5"/>
  <c r="D554" i="5" s="1"/>
  <c r="AA553" i="5"/>
  <c r="D553" i="5" s="1"/>
  <c r="AA1146" i="5"/>
  <c r="D1146" i="5" s="1"/>
  <c r="AA573" i="5"/>
  <c r="D573" i="5" s="1"/>
  <c r="AA1144" i="5"/>
  <c r="D1144" i="5" s="1"/>
  <c r="AA204" i="5"/>
  <c r="D204" i="5" s="1"/>
  <c r="AA866" i="5"/>
  <c r="D866" i="5" s="1"/>
  <c r="AA21" i="5"/>
  <c r="D21" i="5" s="1"/>
  <c r="AA1117" i="5"/>
  <c r="D1117" i="5" s="1"/>
  <c r="AA1014" i="5"/>
  <c r="D1014" i="5" s="1"/>
  <c r="AA1217" i="5"/>
  <c r="D1217" i="5" s="1"/>
  <c r="AA914" i="5"/>
  <c r="D914" i="5" s="1"/>
  <c r="AA1049" i="5"/>
  <c r="D1049" i="5" s="1"/>
  <c r="AA847" i="5"/>
  <c r="D847" i="5" s="1"/>
  <c r="AA29" i="5"/>
  <c r="D29" i="5" s="1"/>
  <c r="AA730" i="5"/>
  <c r="D730" i="5" s="1"/>
  <c r="AA725" i="5"/>
  <c r="D725" i="5" s="1"/>
  <c r="AA927" i="5"/>
  <c r="D927" i="5" s="1"/>
  <c r="AA922" i="5"/>
  <c r="D922" i="5" s="1"/>
  <c r="AA947" i="5"/>
  <c r="D947" i="5" s="1"/>
  <c r="AA721" i="5"/>
  <c r="D721" i="5" s="1"/>
  <c r="AA719" i="5"/>
  <c r="D719" i="5" s="1"/>
  <c r="AA549" i="5"/>
  <c r="D549" i="5" s="1"/>
  <c r="AA544" i="5"/>
  <c r="D544" i="5" s="1"/>
  <c r="AA539" i="5"/>
  <c r="D539" i="5" s="1"/>
  <c r="AA529" i="5"/>
  <c r="D529" i="5" s="1"/>
  <c r="AA702" i="5"/>
  <c r="D702" i="5" s="1"/>
  <c r="AA16" i="5"/>
  <c r="D16" i="5" s="1"/>
  <c r="AA1046" i="5"/>
  <c r="D1046" i="5" s="1"/>
  <c r="AA1011" i="5"/>
  <c r="D1011" i="5" s="1"/>
  <c r="AA709" i="5"/>
  <c r="D709" i="5" s="1"/>
  <c r="AA645" i="5"/>
  <c r="D645" i="5" s="1"/>
  <c r="AA723" i="5"/>
  <c r="D723" i="5" s="1"/>
  <c r="AA11" i="5"/>
  <c r="D11" i="5" s="1"/>
  <c r="AA1031" i="5"/>
  <c r="D1031" i="5" s="1"/>
  <c r="AA906" i="5"/>
  <c r="D906" i="5" s="1"/>
  <c r="AA219" i="5"/>
  <c r="D219" i="5" s="1"/>
  <c r="AA1177" i="5"/>
  <c r="D1177" i="5" s="1"/>
  <c r="AA842" i="5"/>
  <c r="D842" i="5" s="1"/>
  <c r="AA1019" i="5"/>
  <c r="D1019" i="5" s="1"/>
  <c r="AA2" i="5"/>
  <c r="D2" i="5" s="1"/>
  <c r="AA933" i="5"/>
  <c r="D933" i="5" s="1"/>
  <c r="AA1081" i="5"/>
  <c r="D1081" i="5" s="1"/>
  <c r="AA999" i="5"/>
  <c r="D999" i="5" s="1"/>
  <c r="AA886" i="5"/>
  <c r="D886" i="5" s="1"/>
  <c r="AA75" i="5"/>
  <c r="D75" i="5" s="1"/>
  <c r="AA845" i="5"/>
  <c r="D845" i="5" s="1"/>
  <c r="AA844" i="5"/>
  <c r="D844" i="5" s="1"/>
  <c r="AA213" i="5"/>
  <c r="D213" i="5" s="1"/>
  <c r="AA1034" i="5"/>
  <c r="D1034" i="5" s="1"/>
  <c r="AA951" i="5"/>
  <c r="D951" i="5" s="1"/>
  <c r="AA623" i="5"/>
  <c r="D623" i="5" s="1"/>
  <c r="AA1113" i="5"/>
  <c r="D1113" i="5" s="1"/>
  <c r="AA507" i="5"/>
  <c r="D507" i="5" s="1"/>
  <c r="AA206" i="5"/>
  <c r="D206" i="5" s="1"/>
  <c r="AA1007" i="5"/>
  <c r="D1007" i="5" s="1"/>
  <c r="AA1109" i="5"/>
  <c r="D1109" i="5" s="1"/>
  <c r="AA630" i="5"/>
  <c r="D630" i="5" s="1"/>
  <c r="AA1107" i="5"/>
  <c r="D1107" i="5" s="1"/>
  <c r="AA31" i="5"/>
  <c r="D31" i="5" s="1"/>
  <c r="AA26" i="5"/>
  <c r="D26" i="5" s="1"/>
  <c r="AA727" i="5"/>
  <c r="D727" i="5" s="1"/>
  <c r="AA929" i="5"/>
  <c r="D929" i="5" s="1"/>
  <c r="AA924" i="5"/>
  <c r="D924" i="5" s="1"/>
  <c r="Q1074" i="5"/>
  <c r="M878" i="5"/>
  <c r="AP878" i="5"/>
  <c r="Q881" i="5"/>
  <c r="M854" i="5"/>
  <c r="AA911" i="5"/>
  <c r="D911" i="5" s="1"/>
  <c r="Q912" i="5"/>
  <c r="Q857" i="5"/>
  <c r="Q1025" i="5"/>
  <c r="Q913" i="5"/>
  <c r="Q859" i="5"/>
  <c r="Q918" i="5"/>
  <c r="Q861" i="5"/>
  <c r="Q943" i="5"/>
  <c r="M1040" i="5"/>
  <c r="AP1040" i="5"/>
  <c r="Q850" i="5"/>
  <c r="M504" i="5"/>
  <c r="AP504" i="5"/>
  <c r="AP1212" i="5"/>
  <c r="AA569" i="5"/>
  <c r="D569" i="5" s="1"/>
  <c r="AA570" i="5"/>
  <c r="D570" i="5" s="1"/>
  <c r="Q86" i="5"/>
  <c r="Q718" i="5"/>
  <c r="AA198" i="5"/>
  <c r="D198" i="5" s="1"/>
  <c r="Q487" i="5"/>
  <c r="AA488" i="5"/>
  <c r="D488" i="5" s="1"/>
  <c r="Q539" i="5"/>
  <c r="AA541" i="5"/>
  <c r="D541" i="5" s="1"/>
  <c r="M546" i="5"/>
  <c r="AA550" i="5"/>
  <c r="D550" i="5" s="1"/>
  <c r="F550" i="5"/>
  <c r="M719" i="5"/>
  <c r="AP944" i="5"/>
  <c r="AA946" i="5"/>
  <c r="D946" i="5" s="1"/>
  <c r="AP922" i="5"/>
  <c r="AA30" i="5"/>
  <c r="D30" i="5" s="1"/>
  <c r="F30" i="5"/>
  <c r="M1107" i="5"/>
  <c r="AA1138" i="5"/>
  <c r="D1138" i="5" s="1"/>
  <c r="AA1140" i="5"/>
  <c r="D1140" i="5" s="1"/>
  <c r="M201" i="5"/>
  <c r="AA832" i="5"/>
  <c r="D832" i="5" s="1"/>
  <c r="AA895" i="5"/>
  <c r="D895" i="5" s="1"/>
  <c r="Q1004" i="5"/>
  <c r="AP900" i="5"/>
  <c r="M864" i="5"/>
  <c r="AA834" i="5"/>
  <c r="D834" i="5" s="1"/>
  <c r="AA876" i="5"/>
  <c r="D876" i="5" s="1"/>
  <c r="M994" i="5"/>
  <c r="Q995" i="5"/>
  <c r="AA1037" i="5"/>
  <c r="D1037" i="5" s="1"/>
  <c r="M1076" i="5"/>
  <c r="AP1076" i="5"/>
  <c r="Q878" i="5"/>
  <c r="M853" i="5"/>
  <c r="Q854" i="5"/>
  <c r="M1000" i="5"/>
  <c r="AP1000" i="5"/>
  <c r="AA917" i="5"/>
  <c r="D917" i="5" s="1"/>
  <c r="F940" i="5"/>
  <c r="AA941" i="5"/>
  <c r="D941" i="5" s="1"/>
  <c r="AA942" i="5"/>
  <c r="D942" i="5" s="1"/>
  <c r="Q1040" i="5"/>
  <c r="F214" i="5"/>
  <c r="Q504" i="5"/>
  <c r="M1212" i="5"/>
  <c r="M1202" i="5"/>
  <c r="AP1202" i="5"/>
  <c r="M232" i="5"/>
  <c r="AP232" i="5"/>
  <c r="AP22" i="5"/>
  <c r="AA24" i="5"/>
  <c r="D24" i="5" s="1"/>
  <c r="Q25" i="5"/>
  <c r="AA490" i="5"/>
  <c r="D490" i="5" s="1"/>
  <c r="M263" i="5"/>
  <c r="AP263" i="5"/>
  <c r="AA629" i="5"/>
  <c r="D629" i="5" s="1"/>
  <c r="AP529" i="5"/>
  <c r="AA537" i="5"/>
  <c r="D537" i="5" s="1"/>
  <c r="Q719" i="5"/>
  <c r="AA816" i="5"/>
  <c r="D816" i="5" s="1"/>
  <c r="M944" i="5"/>
  <c r="AA948" i="5"/>
  <c r="D948" i="5" s="1"/>
  <c r="F948" i="5"/>
  <c r="M922" i="5"/>
  <c r="AA928" i="5"/>
  <c r="D928" i="5" s="1"/>
  <c r="F928" i="5"/>
  <c r="M727" i="5"/>
  <c r="AA28" i="5"/>
  <c r="D28" i="5" s="1"/>
  <c r="AA235" i="5"/>
  <c r="D235" i="5" s="1"/>
  <c r="Q1078" i="5"/>
  <c r="AP630" i="5"/>
  <c r="AA1141" i="5"/>
  <c r="D1141" i="5" s="1"/>
  <c r="AP838" i="5"/>
  <c r="AA1001" i="5"/>
  <c r="D1001" i="5" s="1"/>
  <c r="AA887" i="5"/>
  <c r="D887" i="5" s="1"/>
  <c r="M848" i="5"/>
  <c r="AA865" i="5"/>
  <c r="D865" i="5" s="1"/>
  <c r="AA916" i="5"/>
  <c r="D916" i="5" s="1"/>
  <c r="Q1075" i="5"/>
  <c r="AP882" i="5"/>
  <c r="Q1076" i="5"/>
  <c r="AA877" i="5"/>
  <c r="D877" i="5" s="1"/>
  <c r="M852" i="5"/>
  <c r="Q853" i="5"/>
  <c r="M883" i="5"/>
  <c r="AP883" i="5"/>
  <c r="AA996" i="5"/>
  <c r="D996" i="5" s="1"/>
  <c r="Q1000" i="5"/>
  <c r="M911" i="5"/>
  <c r="AA856" i="5"/>
  <c r="D856" i="5" s="1"/>
  <c r="AA1017" i="5"/>
  <c r="D1017" i="5" s="1"/>
  <c r="AA1018" i="5"/>
  <c r="D1018" i="5" s="1"/>
  <c r="AA215" i="5"/>
  <c r="D215" i="5" s="1"/>
  <c r="Q1202" i="5"/>
  <c r="M569" i="5"/>
  <c r="AP569" i="5"/>
  <c r="M570" i="5"/>
  <c r="AP570" i="5"/>
  <c r="AA585" i="5"/>
  <c r="D585" i="5" s="1"/>
  <c r="AA814" i="5"/>
  <c r="D814" i="5" s="1"/>
  <c r="Q232" i="5"/>
  <c r="M22" i="5"/>
  <c r="M198" i="5"/>
  <c r="AP198" i="5"/>
  <c r="AA200" i="5"/>
  <c r="D200" i="5" s="1"/>
  <c r="AA233" i="5"/>
  <c r="D233" i="5" s="1"/>
  <c r="M488" i="5"/>
  <c r="AP488" i="5"/>
  <c r="AA489" i="5"/>
  <c r="D489" i="5" s="1"/>
  <c r="Q263" i="5"/>
  <c r="AA217" i="5"/>
  <c r="D217" i="5" s="1"/>
  <c r="F217" i="5"/>
  <c r="M529" i="5"/>
  <c r="AP541" i="5"/>
  <c r="AA543" i="5"/>
  <c r="D543" i="5" s="1"/>
  <c r="AP549" i="5"/>
  <c r="AA552" i="5"/>
  <c r="D552" i="5" s="1"/>
  <c r="Q922" i="5"/>
  <c r="AA926" i="5"/>
  <c r="D926" i="5" s="1"/>
  <c r="AA930" i="5"/>
  <c r="D930" i="5" s="1"/>
  <c r="Q730" i="5"/>
  <c r="AP26" i="5"/>
  <c r="AA1137" i="5"/>
  <c r="D1137" i="5" s="1"/>
  <c r="AA1111" i="5"/>
  <c r="D1111" i="5" s="1"/>
  <c r="F1111" i="5"/>
  <c r="AA1142" i="5"/>
  <c r="D1142" i="5" s="1"/>
  <c r="Q830" i="5"/>
  <c r="AA1002" i="5"/>
  <c r="D1002" i="5" s="1"/>
  <c r="F1002" i="5"/>
  <c r="M900" i="5"/>
  <c r="AA862" i="5"/>
  <c r="D862" i="5" s="1"/>
  <c r="AA997" i="5"/>
  <c r="D997" i="5" s="1"/>
  <c r="F997" i="5"/>
  <c r="AA888" i="5"/>
  <c r="D888" i="5" s="1"/>
  <c r="Q848" i="5"/>
  <c r="AP994" i="5"/>
  <c r="Q1119" i="5"/>
  <c r="Q1094" i="5"/>
  <c r="Q1086" i="5"/>
  <c r="Q1091" i="5"/>
  <c r="Q789" i="5"/>
  <c r="Q660" i="5"/>
  <c r="Q583" i="5"/>
  <c r="Q462" i="5"/>
  <c r="Q325" i="5"/>
  <c r="Q318" i="5"/>
  <c r="Q457" i="5"/>
  <c r="Q307" i="5"/>
  <c r="Q378" i="5"/>
  <c r="Q451" i="5"/>
  <c r="Q371" i="5"/>
  <c r="Q368" i="5"/>
  <c r="Q446" i="5"/>
  <c r="AP1119" i="5"/>
  <c r="M1119" i="5"/>
  <c r="AP1094" i="5"/>
  <c r="M1094" i="5"/>
  <c r="AP1086" i="5"/>
  <c r="M1086" i="5"/>
  <c r="AP1091" i="5"/>
  <c r="M1091" i="5"/>
  <c r="AP789" i="5"/>
  <c r="M789" i="5"/>
  <c r="AP660" i="5"/>
  <c r="M660" i="5"/>
  <c r="AP583" i="5"/>
  <c r="M583" i="5"/>
  <c r="AP462" i="5"/>
  <c r="M462" i="5"/>
  <c r="AP325" i="5"/>
  <c r="M325" i="5"/>
  <c r="AP318" i="5"/>
  <c r="M318" i="5"/>
  <c r="AP457" i="5"/>
  <c r="M457" i="5"/>
  <c r="AP307" i="5"/>
  <c r="M307" i="5"/>
  <c r="AP378" i="5"/>
  <c r="M378" i="5"/>
  <c r="AP451" i="5"/>
  <c r="M451" i="5"/>
  <c r="AP371" i="5"/>
  <c r="M371" i="5"/>
  <c r="AP368" i="5"/>
  <c r="M368" i="5"/>
  <c r="AP446" i="5"/>
  <c r="M446" i="5"/>
  <c r="Q1148" i="5"/>
  <c r="Q1092" i="5"/>
  <c r="Q1084" i="5"/>
  <c r="Q124" i="5"/>
  <c r="Q756" i="5"/>
  <c r="Q659" i="5"/>
  <c r="Q463" i="5"/>
  <c r="Q329" i="5"/>
  <c r="Q1120" i="5"/>
  <c r="Q1095" i="5"/>
  <c r="Q1087" i="5"/>
  <c r="Q1082" i="5"/>
  <c r="Q822" i="5"/>
  <c r="Q661" i="5"/>
  <c r="Q592" i="5"/>
  <c r="Q333" i="5"/>
  <c r="Q326" i="5"/>
  <c r="Q459" i="5"/>
  <c r="Q313" i="5"/>
  <c r="AP1120" i="5"/>
  <c r="M1120" i="5"/>
  <c r="AP1095" i="5"/>
  <c r="M1095" i="5"/>
  <c r="AP1087" i="5"/>
  <c r="M1087" i="5"/>
  <c r="AP1082" i="5"/>
  <c r="M1082" i="5"/>
  <c r="AP822" i="5"/>
  <c r="M822" i="5"/>
  <c r="AP661" i="5"/>
  <c r="M661" i="5"/>
  <c r="AP592" i="5"/>
  <c r="M592" i="5"/>
  <c r="AP333" i="5"/>
  <c r="M333" i="5"/>
  <c r="AP326" i="5"/>
  <c r="M326" i="5"/>
  <c r="AP459" i="5"/>
  <c r="M459" i="5"/>
  <c r="AP313" i="5"/>
  <c r="M313" i="5"/>
  <c r="AP308" i="5"/>
  <c r="M308" i="5"/>
  <c r="AP453" i="5"/>
  <c r="M453" i="5"/>
  <c r="Q1149" i="5"/>
  <c r="Q1093" i="5"/>
  <c r="Q1085" i="5"/>
  <c r="Q1090" i="5"/>
  <c r="Q757" i="5"/>
  <c r="Q698" i="5"/>
  <c r="Q582" i="5"/>
  <c r="Q330" i="5"/>
  <c r="Q460" i="5"/>
  <c r="Q317" i="5"/>
  <c r="Q310" i="5"/>
  <c r="Q455" i="5"/>
  <c r="Q377" i="5"/>
  <c r="Q374" i="5"/>
  <c r="Q449" i="5"/>
  <c r="Q367" i="5"/>
  <c r="AP1149" i="5"/>
  <c r="M1149" i="5"/>
  <c r="AP1093" i="5"/>
  <c r="M1093" i="5"/>
  <c r="AP1085" i="5"/>
  <c r="M1085" i="5"/>
  <c r="AP1090" i="5"/>
  <c r="M1090" i="5"/>
  <c r="AP757" i="5"/>
  <c r="M757" i="5"/>
  <c r="AP698" i="5"/>
  <c r="M698" i="5"/>
  <c r="AP582" i="5"/>
  <c r="M582" i="5"/>
  <c r="AP330" i="5"/>
  <c r="M330" i="5"/>
  <c r="AP460" i="5"/>
  <c r="M460" i="5"/>
  <c r="AP317" i="5"/>
  <c r="M317" i="5"/>
  <c r="Q1096" i="5"/>
  <c r="Q1088" i="5"/>
  <c r="Q1083" i="5"/>
  <c r="Q123" i="5"/>
  <c r="Q699" i="5"/>
  <c r="Q658" i="5"/>
  <c r="Q334" i="5"/>
  <c r="Q461" i="5"/>
  <c r="Q321" i="5"/>
  <c r="AP123" i="5"/>
  <c r="M321" i="5"/>
  <c r="M456" i="5"/>
  <c r="Q306" i="5"/>
  <c r="Q376" i="5"/>
  <c r="M450" i="5"/>
  <c r="AP369" i="5"/>
  <c r="M367" i="5"/>
  <c r="Q364" i="5"/>
  <c r="M445" i="5"/>
  <c r="Q361" i="5"/>
  <c r="Q358" i="5"/>
  <c r="Q441" i="5"/>
  <c r="Q351" i="5"/>
  <c r="Q348" i="5"/>
  <c r="Q436" i="5"/>
  <c r="Q341" i="5"/>
  <c r="Q338" i="5"/>
  <c r="Q431" i="5"/>
  <c r="Q327" i="5"/>
  <c r="Q320" i="5"/>
  <c r="Q191" i="5"/>
  <c r="Q122" i="5"/>
  <c r="Q283" i="5"/>
  <c r="Q192" i="5"/>
  <c r="Q311" i="5"/>
  <c r="Q252" i="5"/>
  <c r="Q396" i="5"/>
  <c r="Q245" i="5"/>
  <c r="Q242" i="5"/>
  <c r="AP1084" i="5"/>
  <c r="M1083" i="5"/>
  <c r="AP659" i="5"/>
  <c r="M658" i="5"/>
  <c r="M329" i="5"/>
  <c r="AP456" i="5"/>
  <c r="M306" i="5"/>
  <c r="M376" i="5"/>
  <c r="AP450" i="5"/>
  <c r="M449" i="5"/>
  <c r="AP367" i="5"/>
  <c r="AP364" i="5"/>
  <c r="M364" i="5"/>
  <c r="AP445" i="5"/>
  <c r="AP361" i="5"/>
  <c r="M361" i="5"/>
  <c r="AP358" i="5"/>
  <c r="M358" i="5"/>
  <c r="AP441" i="5"/>
  <c r="M441" i="5"/>
  <c r="AP351" i="5"/>
  <c r="M351" i="5"/>
  <c r="AP348" i="5"/>
  <c r="M348" i="5"/>
  <c r="AP436" i="5"/>
  <c r="M436" i="5"/>
  <c r="AP341" i="5"/>
  <c r="M341" i="5"/>
  <c r="AP338" i="5"/>
  <c r="M338" i="5"/>
  <c r="AP431" i="5"/>
  <c r="M431" i="5"/>
  <c r="AP327" i="5"/>
  <c r="M327" i="5"/>
  <c r="AP320" i="5"/>
  <c r="M320" i="5"/>
  <c r="AP191" i="5"/>
  <c r="M191" i="5"/>
  <c r="AP122" i="5"/>
  <c r="M122" i="5"/>
  <c r="M1092" i="5"/>
  <c r="AP321" i="5"/>
  <c r="AP306" i="5"/>
  <c r="AP376" i="5"/>
  <c r="M374" i="5"/>
  <c r="AP449" i="5"/>
  <c r="Q365" i="5"/>
  <c r="Q360" i="5"/>
  <c r="Q442" i="5"/>
  <c r="Q353" i="5"/>
  <c r="Q350" i="5"/>
  <c r="Q437" i="5"/>
  <c r="Q343" i="5"/>
  <c r="Q340" i="5"/>
  <c r="Q432" i="5"/>
  <c r="Q331" i="5"/>
  <c r="Q324" i="5"/>
  <c r="Q427" i="5"/>
  <c r="AP1083" i="5"/>
  <c r="M756" i="5"/>
  <c r="AP658" i="5"/>
  <c r="AP329" i="5"/>
  <c r="M461" i="5"/>
  <c r="M310" i="5"/>
  <c r="Q308" i="5"/>
  <c r="M377" i="5"/>
  <c r="AP374" i="5"/>
  <c r="Q448" i="5"/>
  <c r="Q447" i="5"/>
  <c r="AP365" i="5"/>
  <c r="M365" i="5"/>
  <c r="AP360" i="5"/>
  <c r="M360" i="5"/>
  <c r="AP442" i="5"/>
  <c r="M442" i="5"/>
  <c r="AP353" i="5"/>
  <c r="M353" i="5"/>
  <c r="AP350" i="5"/>
  <c r="M350" i="5"/>
  <c r="AP437" i="5"/>
  <c r="M437" i="5"/>
  <c r="AP343" i="5"/>
  <c r="M343" i="5"/>
  <c r="AP340" i="5"/>
  <c r="M340" i="5"/>
  <c r="AP432" i="5"/>
  <c r="M432" i="5"/>
  <c r="AP1092" i="5"/>
  <c r="M1088" i="5"/>
  <c r="Q458" i="5"/>
  <c r="AP310" i="5"/>
  <c r="Q305" i="5"/>
  <c r="AP377" i="5"/>
  <c r="Q372" i="5"/>
  <c r="Q370" i="5"/>
  <c r="AP448" i="5"/>
  <c r="M448" i="5"/>
  <c r="AP447" i="5"/>
  <c r="M447" i="5"/>
  <c r="Q363" i="5"/>
  <c r="Q362" i="5"/>
  <c r="Q443" i="5"/>
  <c r="Q355" i="5"/>
  <c r="Q352" i="5"/>
  <c r="Q438" i="5"/>
  <c r="Q345" i="5"/>
  <c r="Q342" i="5"/>
  <c r="Q433" i="5"/>
  <c r="M1148" i="5"/>
  <c r="AP756" i="5"/>
  <c r="M699" i="5"/>
  <c r="M463" i="5"/>
  <c r="AP461" i="5"/>
  <c r="M458" i="5"/>
  <c r="Q309" i="5"/>
  <c r="M305" i="5"/>
  <c r="Q375" i="5"/>
  <c r="Q373" i="5"/>
  <c r="AP372" i="5"/>
  <c r="M372" i="5"/>
  <c r="AP370" i="5"/>
  <c r="M370" i="5"/>
  <c r="AP363" i="5"/>
  <c r="M363" i="5"/>
  <c r="AP362" i="5"/>
  <c r="M362" i="5"/>
  <c r="AP443" i="5"/>
  <c r="M443" i="5"/>
  <c r="AP355" i="5"/>
  <c r="M355" i="5"/>
  <c r="AP352" i="5"/>
  <c r="M352" i="5"/>
  <c r="AP438" i="5"/>
  <c r="M438" i="5"/>
  <c r="AP345" i="5"/>
  <c r="M345" i="5"/>
  <c r="AP342" i="5"/>
  <c r="M342" i="5"/>
  <c r="AP433" i="5"/>
  <c r="M433" i="5"/>
  <c r="AP335" i="5"/>
  <c r="M335" i="5"/>
  <c r="AP328" i="5"/>
  <c r="M328" i="5"/>
  <c r="AP428" i="5"/>
  <c r="M428" i="5"/>
  <c r="AP315" i="5"/>
  <c r="AP1088" i="5"/>
  <c r="M124" i="5"/>
  <c r="AP458" i="5"/>
  <c r="M309" i="5"/>
  <c r="AP305" i="5"/>
  <c r="Q452" i="5"/>
  <c r="AP375" i="5"/>
  <c r="M375" i="5"/>
  <c r="AP373" i="5"/>
  <c r="M373" i="5"/>
  <c r="Q444" i="5"/>
  <c r="Q357" i="5"/>
  <c r="Q354" i="5"/>
  <c r="Q439" i="5"/>
  <c r="Q347" i="5"/>
  <c r="Q344" i="5"/>
  <c r="Q434" i="5"/>
  <c r="Q337" i="5"/>
  <c r="Q332" i="5"/>
  <c r="Q429" i="5"/>
  <c r="Q319" i="5"/>
  <c r="AP1148" i="5"/>
  <c r="M1096" i="5"/>
  <c r="AP699" i="5"/>
  <c r="AP124" i="5"/>
  <c r="M123" i="5"/>
  <c r="M322" i="5"/>
  <c r="M314" i="5"/>
  <c r="M455" i="5"/>
  <c r="Q453" i="5"/>
  <c r="Q369" i="5"/>
  <c r="M366" i="5"/>
  <c r="Q359" i="5"/>
  <c r="Q356" i="5"/>
  <c r="Q440" i="5"/>
  <c r="Q349" i="5"/>
  <c r="Q346" i="5"/>
  <c r="Q435" i="5"/>
  <c r="Q339" i="5"/>
  <c r="Q336" i="5"/>
  <c r="Q430" i="5"/>
  <c r="M334" i="5"/>
  <c r="AP309" i="5"/>
  <c r="M452" i="5"/>
  <c r="M369" i="5"/>
  <c r="M444" i="5"/>
  <c r="M356" i="5"/>
  <c r="AP435" i="5"/>
  <c r="AP337" i="5"/>
  <c r="AP332" i="5"/>
  <c r="M316" i="5"/>
  <c r="Q284" i="5"/>
  <c r="Q408" i="5"/>
  <c r="Q282" i="5"/>
  <c r="AP311" i="5"/>
  <c r="AP254" i="5"/>
  <c r="M254" i="5"/>
  <c r="AP395" i="5"/>
  <c r="M395" i="5"/>
  <c r="M245" i="5"/>
  <c r="Q244" i="5"/>
  <c r="Q239" i="5"/>
  <c r="Q71" i="5"/>
  <c r="Q155" i="5"/>
  <c r="Q64" i="5"/>
  <c r="Q61" i="5"/>
  <c r="Q150" i="5"/>
  <c r="Q53" i="5"/>
  <c r="Q50" i="5"/>
  <c r="Q169" i="5"/>
  <c r="M1084" i="5"/>
  <c r="AP463" i="5"/>
  <c r="AP322" i="5"/>
  <c r="AP314" i="5"/>
  <c r="AP452" i="5"/>
  <c r="Q366" i="5"/>
  <c r="AP444" i="5"/>
  <c r="M439" i="5"/>
  <c r="M346" i="5"/>
  <c r="M331" i="5"/>
  <c r="M429" i="5"/>
  <c r="AP316" i="5"/>
  <c r="Q409" i="5"/>
  <c r="M284" i="5"/>
  <c r="AP408" i="5"/>
  <c r="M408" i="5"/>
  <c r="AP282" i="5"/>
  <c r="M282" i="5"/>
  <c r="Q118" i="5"/>
  <c r="Q398" i="5"/>
  <c r="Q251" i="5"/>
  <c r="AP245" i="5"/>
  <c r="AP244" i="5"/>
  <c r="M244" i="5"/>
  <c r="AP239" i="5"/>
  <c r="M239" i="5"/>
  <c r="AP71" i="5"/>
  <c r="M71" i="5"/>
  <c r="AP334" i="5"/>
  <c r="AP356" i="5"/>
  <c r="AP439" i="5"/>
  <c r="M434" i="5"/>
  <c r="M336" i="5"/>
  <c r="AP429" i="5"/>
  <c r="AP409" i="5"/>
  <c r="M409" i="5"/>
  <c r="AP284" i="5"/>
  <c r="AP118" i="5"/>
  <c r="M118" i="5"/>
  <c r="M192" i="5"/>
  <c r="Q115" i="5"/>
  <c r="AP398" i="5"/>
  <c r="M398" i="5"/>
  <c r="AP251" i="5"/>
  <c r="M251" i="5"/>
  <c r="Q250" i="5"/>
  <c r="Q393" i="5"/>
  <c r="Q241" i="5"/>
  <c r="Q238" i="5"/>
  <c r="Q156" i="5"/>
  <c r="Q66" i="5"/>
  <c r="Q63" i="5"/>
  <c r="Q151" i="5"/>
  <c r="AP455" i="5"/>
  <c r="AP366" i="5"/>
  <c r="M359" i="5"/>
  <c r="AP346" i="5"/>
  <c r="AP434" i="5"/>
  <c r="AP331" i="5"/>
  <c r="M324" i="5"/>
  <c r="Q315" i="5"/>
  <c r="Q121" i="5"/>
  <c r="AP192" i="5"/>
  <c r="AP115" i="5"/>
  <c r="M115" i="5"/>
  <c r="AP250" i="5"/>
  <c r="M250" i="5"/>
  <c r="M396" i="5"/>
  <c r="Q247" i="5"/>
  <c r="AP393" i="5"/>
  <c r="M393" i="5"/>
  <c r="AP241" i="5"/>
  <c r="M241" i="5"/>
  <c r="AP238" i="5"/>
  <c r="M238" i="5"/>
  <c r="AP156" i="5"/>
  <c r="M156" i="5"/>
  <c r="AP66" i="5"/>
  <c r="M66" i="5"/>
  <c r="AP63" i="5"/>
  <c r="M63" i="5"/>
  <c r="AP151" i="5"/>
  <c r="M151" i="5"/>
  <c r="AP55" i="5"/>
  <c r="M55" i="5"/>
  <c r="AP52" i="5"/>
  <c r="M52" i="5"/>
  <c r="AP170" i="5"/>
  <c r="M170" i="5"/>
  <c r="AP1096" i="5"/>
  <c r="M354" i="5"/>
  <c r="M349" i="5"/>
  <c r="AP336" i="5"/>
  <c r="Q335" i="5"/>
  <c r="M430" i="5"/>
  <c r="M319" i="5"/>
  <c r="M315" i="5"/>
  <c r="AP121" i="5"/>
  <c r="M121" i="5"/>
  <c r="Q119" i="5"/>
  <c r="Q312" i="5"/>
  <c r="Q399" i="5"/>
  <c r="AP396" i="5"/>
  <c r="AP247" i="5"/>
  <c r="M247" i="5"/>
  <c r="Q240" i="5"/>
  <c r="Q157" i="5"/>
  <c r="AP359" i="5"/>
  <c r="AP354" i="5"/>
  <c r="M344" i="5"/>
  <c r="M339" i="5"/>
  <c r="AP324" i="5"/>
  <c r="AP319" i="5"/>
  <c r="Q285" i="5"/>
  <c r="Q190" i="5"/>
  <c r="AP119" i="5"/>
  <c r="M119" i="5"/>
  <c r="M283" i="5"/>
  <c r="Q193" i="5"/>
  <c r="AP312" i="5"/>
  <c r="M312" i="5"/>
  <c r="AP399" i="5"/>
  <c r="M399" i="5"/>
  <c r="Q253" i="5"/>
  <c r="Q246" i="5"/>
  <c r="Q394" i="5"/>
  <c r="AP240" i="5"/>
  <c r="M240" i="5"/>
  <c r="AP157" i="5"/>
  <c r="M157" i="5"/>
  <c r="AP68" i="5"/>
  <c r="M68" i="5"/>
  <c r="AP65" i="5"/>
  <c r="M65" i="5"/>
  <c r="AP349" i="5"/>
  <c r="AP344" i="5"/>
  <c r="AP430" i="5"/>
  <c r="Q328" i="5"/>
  <c r="Q323" i="5"/>
  <c r="M427" i="5"/>
  <c r="AP285" i="5"/>
  <c r="M285" i="5"/>
  <c r="AP190" i="5"/>
  <c r="M190" i="5"/>
  <c r="AP283" i="5"/>
  <c r="AP193" i="5"/>
  <c r="M193" i="5"/>
  <c r="AP253" i="5"/>
  <c r="M253" i="5"/>
  <c r="M252" i="5"/>
  <c r="Q397" i="5"/>
  <c r="AP246" i="5"/>
  <c r="M246" i="5"/>
  <c r="AP394" i="5"/>
  <c r="M394" i="5"/>
  <c r="Q243" i="5"/>
  <c r="Q445" i="5"/>
  <c r="M357" i="5"/>
  <c r="M440" i="5"/>
  <c r="AP339" i="5"/>
  <c r="M323" i="5"/>
  <c r="Q117" i="5"/>
  <c r="Q116" i="5"/>
  <c r="AP252" i="5"/>
  <c r="AP397" i="5"/>
  <c r="M397" i="5"/>
  <c r="AP243" i="5"/>
  <c r="M243" i="5"/>
  <c r="M242" i="5"/>
  <c r="AP391" i="5"/>
  <c r="M391" i="5"/>
  <c r="M659" i="5"/>
  <c r="AP357" i="5"/>
  <c r="M347" i="5"/>
  <c r="M435" i="5"/>
  <c r="M249" i="5"/>
  <c r="Q248" i="5"/>
  <c r="M117" i="5"/>
  <c r="M116" i="5"/>
  <c r="AP249" i="5"/>
  <c r="M248" i="5"/>
  <c r="Q237" i="5"/>
  <c r="Q69" i="5"/>
  <c r="AP67" i="5"/>
  <c r="M67" i="5"/>
  <c r="AP54" i="5"/>
  <c r="M54" i="5"/>
  <c r="AP49" i="5"/>
  <c r="M49" i="5"/>
  <c r="Q45" i="5"/>
  <c r="Q166" i="5"/>
  <c r="Q38" i="5"/>
  <c r="Q35" i="5"/>
  <c r="Q788" i="5"/>
  <c r="Q752" i="5"/>
  <c r="Q749" i="5"/>
  <c r="Q783" i="5"/>
  <c r="Q425" i="5"/>
  <c r="Q836" i="5"/>
  <c r="Q693" i="5"/>
  <c r="Q1021" i="5"/>
  <c r="M337" i="5"/>
  <c r="Q426" i="5"/>
  <c r="AP248" i="5"/>
  <c r="Q395" i="5"/>
  <c r="M237" i="5"/>
  <c r="AP69" i="5"/>
  <c r="M69" i="5"/>
  <c r="M61" i="5"/>
  <c r="M150" i="5"/>
  <c r="Q52" i="5"/>
  <c r="Q171" i="5"/>
  <c r="AP45" i="5"/>
  <c r="M45" i="5"/>
  <c r="AP166" i="5"/>
  <c r="M166" i="5"/>
  <c r="AP38" i="5"/>
  <c r="M38" i="5"/>
  <c r="AP35" i="5"/>
  <c r="M35" i="5"/>
  <c r="AP788" i="5"/>
  <c r="M788" i="5"/>
  <c r="AP752" i="5"/>
  <c r="M752" i="5"/>
  <c r="AP749" i="5"/>
  <c r="M749" i="5"/>
  <c r="AP783" i="5"/>
  <c r="M783" i="5"/>
  <c r="AP425" i="5"/>
  <c r="M425" i="5"/>
  <c r="AP836" i="5"/>
  <c r="M836" i="5"/>
  <c r="AP693" i="5"/>
  <c r="M693" i="5"/>
  <c r="AP1021" i="5"/>
  <c r="M1021" i="5"/>
  <c r="M332" i="5"/>
  <c r="Q428" i="5"/>
  <c r="AP117" i="5"/>
  <c r="AP116" i="5"/>
  <c r="M426" i="5"/>
  <c r="AP237" i="5"/>
  <c r="M64" i="5"/>
  <c r="AP171" i="5"/>
  <c r="M171" i="5"/>
  <c r="Q167" i="5"/>
  <c r="Q40" i="5"/>
  <c r="Q37" i="5"/>
  <c r="Q162" i="5"/>
  <c r="Q754" i="5"/>
  <c r="Q751" i="5"/>
  <c r="Q784" i="5"/>
  <c r="Q744" i="5"/>
  <c r="Q1027" i="5"/>
  <c r="Q696" i="5"/>
  <c r="Q1024" i="5"/>
  <c r="Q1020" i="5"/>
  <c r="Q296" i="5"/>
  <c r="Q741" i="5"/>
  <c r="Q736" i="5"/>
  <c r="Q657" i="5"/>
  <c r="AP426" i="5"/>
  <c r="M311" i="5"/>
  <c r="Q68" i="5"/>
  <c r="Q62" i="5"/>
  <c r="AP61" i="5"/>
  <c r="Q59" i="5"/>
  <c r="AP150" i="5"/>
  <c r="M53" i="5"/>
  <c r="Q170" i="5"/>
  <c r="Q56" i="5"/>
  <c r="Q47" i="5"/>
  <c r="AP167" i="5"/>
  <c r="M167" i="5"/>
  <c r="AP40" i="5"/>
  <c r="M40" i="5"/>
  <c r="AP37" i="5"/>
  <c r="M37" i="5"/>
  <c r="AP162" i="5"/>
  <c r="M162" i="5"/>
  <c r="AP754" i="5"/>
  <c r="M754" i="5"/>
  <c r="AP751" i="5"/>
  <c r="M751" i="5"/>
  <c r="AP784" i="5"/>
  <c r="M784" i="5"/>
  <c r="AP744" i="5"/>
  <c r="M744" i="5"/>
  <c r="AP1027" i="5"/>
  <c r="M1027" i="5"/>
  <c r="AP696" i="5"/>
  <c r="M696" i="5"/>
  <c r="AP1024" i="5"/>
  <c r="M1024" i="5"/>
  <c r="AP1020" i="5"/>
  <c r="M1020" i="5"/>
  <c r="AP347" i="5"/>
  <c r="AP323" i="5"/>
  <c r="Q254" i="5"/>
  <c r="Q392" i="5"/>
  <c r="Q70" i="5"/>
  <c r="AP64" i="5"/>
  <c r="AP62" i="5"/>
  <c r="M62" i="5"/>
  <c r="AP59" i="5"/>
  <c r="M59" i="5"/>
  <c r="Q173" i="5"/>
  <c r="AP56" i="5"/>
  <c r="M56" i="5"/>
  <c r="AP47" i="5"/>
  <c r="M47" i="5"/>
  <c r="Q168" i="5"/>
  <c r="Q42" i="5"/>
  <c r="Q39" i="5"/>
  <c r="Q163" i="5"/>
  <c r="Q32" i="5"/>
  <c r="Q753" i="5"/>
  <c r="Q785" i="5"/>
  <c r="Q746" i="5"/>
  <c r="Q456" i="5"/>
  <c r="AP440" i="5"/>
  <c r="Q316" i="5"/>
  <c r="M392" i="5"/>
  <c r="AP70" i="5"/>
  <c r="M70" i="5"/>
  <c r="Q153" i="5"/>
  <c r="Q60" i="5"/>
  <c r="Q57" i="5"/>
  <c r="AP173" i="5"/>
  <c r="M173" i="5"/>
  <c r="AP53" i="5"/>
  <c r="M50" i="5"/>
  <c r="AP168" i="5"/>
  <c r="M168" i="5"/>
  <c r="AP42" i="5"/>
  <c r="M42" i="5"/>
  <c r="AP39" i="5"/>
  <c r="M39" i="5"/>
  <c r="AP163" i="5"/>
  <c r="M163" i="5"/>
  <c r="AP32" i="5"/>
  <c r="M32" i="5"/>
  <c r="AP753" i="5"/>
  <c r="M753" i="5"/>
  <c r="AP785" i="5"/>
  <c r="M785" i="5"/>
  <c r="AP746" i="5"/>
  <c r="M746" i="5"/>
  <c r="AP1198" i="5"/>
  <c r="M1198" i="5"/>
  <c r="AP837" i="5"/>
  <c r="M837" i="5"/>
  <c r="AP694" i="5"/>
  <c r="M694" i="5"/>
  <c r="AP1022" i="5"/>
  <c r="M1022" i="5"/>
  <c r="AP427" i="5"/>
  <c r="Q120" i="5"/>
  <c r="AP242" i="5"/>
  <c r="AP392" i="5"/>
  <c r="Q391" i="5"/>
  <c r="M155" i="5"/>
  <c r="Q154" i="5"/>
  <c r="AP153" i="5"/>
  <c r="M153" i="5"/>
  <c r="AP60" i="5"/>
  <c r="M60" i="5"/>
  <c r="AP57" i="5"/>
  <c r="M57" i="5"/>
  <c r="Q51" i="5"/>
  <c r="Q44" i="5"/>
  <c r="Q41" i="5"/>
  <c r="Q164" i="5"/>
  <c r="Q34" i="5"/>
  <c r="Q755" i="5"/>
  <c r="Q786" i="5"/>
  <c r="Q748" i="5"/>
  <c r="Q745" i="5"/>
  <c r="Q424" i="5"/>
  <c r="Q697" i="5"/>
  <c r="Q692" i="5"/>
  <c r="Q407" i="5"/>
  <c r="M120" i="5"/>
  <c r="AP155" i="5"/>
  <c r="M154" i="5"/>
  <c r="Q55" i="5"/>
  <c r="AP50" i="5"/>
  <c r="AP36" i="5"/>
  <c r="AP755" i="5"/>
  <c r="M750" i="5"/>
  <c r="M745" i="5"/>
  <c r="AP695" i="5"/>
  <c r="Q694" i="5"/>
  <c r="M407" i="5"/>
  <c r="AP299" i="5"/>
  <c r="M299" i="5"/>
  <c r="AP154" i="5"/>
  <c r="Q65" i="5"/>
  <c r="Q48" i="5"/>
  <c r="M44" i="5"/>
  <c r="Q165" i="5"/>
  <c r="AP750" i="5"/>
  <c r="AP745" i="5"/>
  <c r="Q1026" i="5"/>
  <c r="AP407" i="5"/>
  <c r="Q297" i="5"/>
  <c r="Q295" i="5"/>
  <c r="AP736" i="5"/>
  <c r="AP734" i="5"/>
  <c r="M734" i="5"/>
  <c r="AP653" i="5"/>
  <c r="M653" i="5"/>
  <c r="AP632" i="5"/>
  <c r="M632" i="5"/>
  <c r="AP278" i="5"/>
  <c r="M278" i="5"/>
  <c r="AP114" i="5"/>
  <c r="M114" i="5"/>
  <c r="AP109" i="5"/>
  <c r="M109" i="5"/>
  <c r="AP104" i="5"/>
  <c r="M104" i="5"/>
  <c r="AP526" i="5"/>
  <c r="M526" i="5"/>
  <c r="AP561" i="5"/>
  <c r="M561" i="5"/>
  <c r="AP1219" i="5"/>
  <c r="M1219" i="5"/>
  <c r="AP120" i="5"/>
  <c r="Q249" i="5"/>
  <c r="M48" i="5"/>
  <c r="AP44" i="5"/>
  <c r="M165" i="5"/>
  <c r="M34" i="5"/>
  <c r="Q787" i="5"/>
  <c r="M1026" i="5"/>
  <c r="AP297" i="5"/>
  <c r="M297" i="5"/>
  <c r="AP295" i="5"/>
  <c r="M295" i="5"/>
  <c r="Q743" i="5"/>
  <c r="Q732" i="5"/>
  <c r="Q656" i="5"/>
  <c r="Q651" i="5"/>
  <c r="Q281" i="5"/>
  <c r="Q276" i="5"/>
  <c r="Q112" i="5"/>
  <c r="Q107" i="5"/>
  <c r="Q102" i="5"/>
  <c r="Q524" i="5"/>
  <c r="Q621" i="5"/>
  <c r="Q703" i="5"/>
  <c r="Q1182" i="5"/>
  <c r="Q1196" i="5"/>
  <c r="Q518" i="5"/>
  <c r="Q513" i="5"/>
  <c r="Q558" i="5"/>
  <c r="Q271" i="5"/>
  <c r="Q266" i="5"/>
  <c r="Q152" i="5"/>
  <c r="Q54" i="5"/>
  <c r="Q172" i="5"/>
  <c r="AP48" i="5"/>
  <c r="AP165" i="5"/>
  <c r="AP34" i="5"/>
  <c r="M787" i="5"/>
  <c r="M748" i="5"/>
  <c r="Q821" i="5"/>
  <c r="AP1026" i="5"/>
  <c r="Q837" i="5"/>
  <c r="M692" i="5"/>
  <c r="AP743" i="5"/>
  <c r="M743" i="5"/>
  <c r="M741" i="5"/>
  <c r="Q739" i="5"/>
  <c r="AP732" i="5"/>
  <c r="M732" i="5"/>
  <c r="AP656" i="5"/>
  <c r="M656" i="5"/>
  <c r="AP651" i="5"/>
  <c r="M651" i="5"/>
  <c r="AP281" i="5"/>
  <c r="M281" i="5"/>
  <c r="AP276" i="5"/>
  <c r="M276" i="5"/>
  <c r="AP112" i="5"/>
  <c r="M112" i="5"/>
  <c r="AP107" i="5"/>
  <c r="M107" i="5"/>
  <c r="AP102" i="5"/>
  <c r="M102" i="5"/>
  <c r="AP524" i="5"/>
  <c r="M524" i="5"/>
  <c r="AP621" i="5"/>
  <c r="M621" i="5"/>
  <c r="AP703" i="5"/>
  <c r="M703" i="5"/>
  <c r="M152" i="5"/>
  <c r="M172" i="5"/>
  <c r="M169" i="5"/>
  <c r="Q43" i="5"/>
  <c r="AP787" i="5"/>
  <c r="AP748" i="5"/>
  <c r="M821" i="5"/>
  <c r="AP692" i="5"/>
  <c r="Q1015" i="5"/>
  <c r="AP741" i="5"/>
  <c r="AP739" i="5"/>
  <c r="M739" i="5"/>
  <c r="Q654" i="5"/>
  <c r="Q649" i="5"/>
  <c r="Q279" i="5"/>
  <c r="Q274" i="5"/>
  <c r="Q110" i="5"/>
  <c r="Q105" i="5"/>
  <c r="Q527" i="5"/>
  <c r="Q624" i="5"/>
  <c r="Q618" i="5"/>
  <c r="Q522" i="5"/>
  <c r="AP152" i="5"/>
  <c r="AP172" i="5"/>
  <c r="M43" i="5"/>
  <c r="M164" i="5"/>
  <c r="Q33" i="5"/>
  <c r="AP821" i="5"/>
  <c r="Q1198" i="5"/>
  <c r="Q1023" i="5"/>
  <c r="AP1015" i="5"/>
  <c r="M1015" i="5"/>
  <c r="Q298" i="5"/>
  <c r="Q737" i="5"/>
  <c r="Q735" i="5"/>
  <c r="AP654" i="5"/>
  <c r="M654" i="5"/>
  <c r="AP649" i="5"/>
  <c r="M649" i="5"/>
  <c r="AP279" i="5"/>
  <c r="M279" i="5"/>
  <c r="AP274" i="5"/>
  <c r="M274" i="5"/>
  <c r="AP110" i="5"/>
  <c r="M110" i="5"/>
  <c r="AP105" i="5"/>
  <c r="M105" i="5"/>
  <c r="AP527" i="5"/>
  <c r="M527" i="5"/>
  <c r="AP624" i="5"/>
  <c r="M624" i="5"/>
  <c r="M51" i="5"/>
  <c r="AP169" i="5"/>
  <c r="Q46" i="5"/>
  <c r="AP43" i="5"/>
  <c r="AP164" i="5"/>
  <c r="M33" i="5"/>
  <c r="M786" i="5"/>
  <c r="Q747" i="5"/>
  <c r="M697" i="5"/>
  <c r="M1023" i="5"/>
  <c r="Q58" i="5"/>
  <c r="AP51" i="5"/>
  <c r="M46" i="5"/>
  <c r="AP33" i="5"/>
  <c r="AP786" i="5"/>
  <c r="M747" i="5"/>
  <c r="AP697" i="5"/>
  <c r="AP1023" i="5"/>
  <c r="Q1022" i="5"/>
  <c r="AP296" i="5"/>
  <c r="AP782" i="5"/>
  <c r="M782" i="5"/>
  <c r="AP733" i="5"/>
  <c r="M733" i="5"/>
  <c r="M657" i="5"/>
  <c r="AP652" i="5"/>
  <c r="M652" i="5"/>
  <c r="AP631" i="5"/>
  <c r="M631" i="5"/>
  <c r="AP277" i="5"/>
  <c r="M277" i="5"/>
  <c r="AP113" i="5"/>
  <c r="M113" i="5"/>
  <c r="AP108" i="5"/>
  <c r="M108" i="5"/>
  <c r="AP103" i="5"/>
  <c r="M103" i="5"/>
  <c r="AP525" i="5"/>
  <c r="M525" i="5"/>
  <c r="AP622" i="5"/>
  <c r="M622" i="5"/>
  <c r="AP1218" i="5"/>
  <c r="M1218" i="5"/>
  <c r="AP1183" i="5"/>
  <c r="Q314" i="5"/>
  <c r="Q450" i="5"/>
  <c r="Q67" i="5"/>
  <c r="M58" i="5"/>
  <c r="AP46" i="5"/>
  <c r="M41" i="5"/>
  <c r="Q36" i="5"/>
  <c r="AP747" i="5"/>
  <c r="M424" i="5"/>
  <c r="Q695" i="5"/>
  <c r="Q742" i="5"/>
  <c r="Q740" i="5"/>
  <c r="AP657" i="5"/>
  <c r="Q655" i="5"/>
  <c r="Q650" i="5"/>
  <c r="Q280" i="5"/>
  <c r="Q275" i="5"/>
  <c r="Q111" i="5"/>
  <c r="Q106" i="5"/>
  <c r="Q1169" i="5"/>
  <c r="Q95" i="5"/>
  <c r="Q619" i="5"/>
  <c r="Q523" i="5"/>
  <c r="Q322" i="5"/>
  <c r="AP58" i="5"/>
  <c r="Q49" i="5"/>
  <c r="AP41" i="5"/>
  <c r="M36" i="5"/>
  <c r="M755" i="5"/>
  <c r="Q750" i="5"/>
  <c r="AP424" i="5"/>
  <c r="M695" i="5"/>
  <c r="Q299" i="5"/>
  <c r="AP742" i="5"/>
  <c r="M742" i="5"/>
  <c r="AP740" i="5"/>
  <c r="M740" i="5"/>
  <c r="Q738" i="5"/>
  <c r="AP655" i="5"/>
  <c r="M655" i="5"/>
  <c r="AP650" i="5"/>
  <c r="M650" i="5"/>
  <c r="AP280" i="5"/>
  <c r="M280" i="5"/>
  <c r="AP275" i="5"/>
  <c r="M275" i="5"/>
  <c r="AP111" i="5"/>
  <c r="M111" i="5"/>
  <c r="AP106" i="5"/>
  <c r="M106" i="5"/>
  <c r="AP1169" i="5"/>
  <c r="M1169" i="5"/>
  <c r="AP95" i="5"/>
  <c r="M95" i="5"/>
  <c r="M737" i="5"/>
  <c r="Q526" i="5"/>
  <c r="Q561" i="5"/>
  <c r="AP1197" i="5"/>
  <c r="M1197" i="5"/>
  <c r="AP1195" i="5"/>
  <c r="M1195" i="5"/>
  <c r="Q520" i="5"/>
  <c r="Q559" i="5"/>
  <c r="Q493" i="5"/>
  <c r="AP266" i="5"/>
  <c r="AP620" i="5"/>
  <c r="M620" i="5"/>
  <c r="Q590" i="5"/>
  <c r="Q587" i="5"/>
  <c r="Q187" i="5"/>
  <c r="Q303" i="5"/>
  <c r="Q92" i="5"/>
  <c r="Q161" i="5"/>
  <c r="Q992" i="5"/>
  <c r="Q987" i="5"/>
  <c r="AP738" i="5"/>
  <c r="Q104" i="5"/>
  <c r="Q103" i="5"/>
  <c r="Q525" i="5"/>
  <c r="Q622" i="5"/>
  <c r="AP520" i="5"/>
  <c r="M520" i="5"/>
  <c r="M518" i="5"/>
  <c r="Q516" i="5"/>
  <c r="AP559" i="5"/>
  <c r="M559" i="5"/>
  <c r="AP493" i="5"/>
  <c r="M493" i="5"/>
  <c r="Q273" i="5"/>
  <c r="Q690" i="5"/>
  <c r="AP590" i="5"/>
  <c r="M590" i="5"/>
  <c r="AP587" i="5"/>
  <c r="M587" i="5"/>
  <c r="AP187" i="5"/>
  <c r="M187" i="5"/>
  <c r="AP303" i="5"/>
  <c r="M303" i="5"/>
  <c r="AP92" i="5"/>
  <c r="M92" i="5"/>
  <c r="AP161" i="5"/>
  <c r="M161" i="5"/>
  <c r="AP992" i="5"/>
  <c r="M992" i="5"/>
  <c r="AP987" i="5"/>
  <c r="M987" i="5"/>
  <c r="Q985" i="5"/>
  <c r="Q983" i="5"/>
  <c r="Q981" i="5"/>
  <c r="Q979" i="5"/>
  <c r="Q977" i="5"/>
  <c r="Q975" i="5"/>
  <c r="Q973" i="5"/>
  <c r="Q971" i="5"/>
  <c r="Q969" i="5"/>
  <c r="AP737" i="5"/>
  <c r="M736" i="5"/>
  <c r="Q109" i="5"/>
  <c r="Q108" i="5"/>
  <c r="M523" i="5"/>
  <c r="Q1183" i="5"/>
  <c r="Q1181" i="5"/>
  <c r="AP518" i="5"/>
  <c r="AP516" i="5"/>
  <c r="M516" i="5"/>
  <c r="AP273" i="5"/>
  <c r="M273" i="5"/>
  <c r="M271" i="5"/>
  <c r="Q269" i="5"/>
  <c r="AP690" i="5"/>
  <c r="M690" i="5"/>
  <c r="Q688" i="5"/>
  <c r="Q581" i="5"/>
  <c r="Q189" i="5"/>
  <c r="Q677" i="5"/>
  <c r="Q94" i="5"/>
  <c r="Q182" i="5"/>
  <c r="Q159" i="5"/>
  <c r="Q990" i="5"/>
  <c r="M735" i="5"/>
  <c r="Q632" i="5"/>
  <c r="Q278" i="5"/>
  <c r="Q114" i="5"/>
  <c r="Q113" i="5"/>
  <c r="M619" i="5"/>
  <c r="M522" i="5"/>
  <c r="M1183" i="5"/>
  <c r="AP1181" i="5"/>
  <c r="M1181" i="5"/>
  <c r="Q1179" i="5"/>
  <c r="Q514" i="5"/>
  <c r="Q512" i="5"/>
  <c r="AP271" i="5"/>
  <c r="AP269" i="5"/>
  <c r="M269" i="5"/>
  <c r="AP688" i="5"/>
  <c r="M688" i="5"/>
  <c r="AP581" i="5"/>
  <c r="M581" i="5"/>
  <c r="AP189" i="5"/>
  <c r="M189" i="5"/>
  <c r="AP677" i="5"/>
  <c r="M677" i="5"/>
  <c r="AP94" i="5"/>
  <c r="M94" i="5"/>
  <c r="AP182" i="5"/>
  <c r="M182" i="5"/>
  <c r="AP159" i="5"/>
  <c r="M159" i="5"/>
  <c r="Q1073" i="5"/>
  <c r="Q1071" i="5"/>
  <c r="Q1069" i="5"/>
  <c r="Q1067" i="5"/>
  <c r="Q1065" i="5"/>
  <c r="Q1063" i="5"/>
  <c r="Q1061" i="5"/>
  <c r="Q1059" i="5"/>
  <c r="Q1057" i="5"/>
  <c r="Q1055" i="5"/>
  <c r="Q1053" i="5"/>
  <c r="Q1051" i="5"/>
  <c r="AP990" i="5"/>
  <c r="M990" i="5"/>
  <c r="M298" i="5"/>
  <c r="Q734" i="5"/>
  <c r="Q653" i="5"/>
  <c r="Q652" i="5"/>
  <c r="Q631" i="5"/>
  <c r="Q277" i="5"/>
  <c r="M618" i="5"/>
  <c r="AP523" i="5"/>
  <c r="AP1179" i="5"/>
  <c r="M1179" i="5"/>
  <c r="M1196" i="5"/>
  <c r="Q1194" i="5"/>
  <c r="AP514" i="5"/>
  <c r="M514" i="5"/>
  <c r="AP512" i="5"/>
  <c r="M512" i="5"/>
  <c r="Q560" i="5"/>
  <c r="Q267" i="5"/>
  <c r="Q557" i="5"/>
  <c r="Q591" i="5"/>
  <c r="Q588" i="5"/>
  <c r="Q186" i="5"/>
  <c r="Q304" i="5"/>
  <c r="Q183" i="5"/>
  <c r="Q89" i="5"/>
  <c r="M1073" i="5"/>
  <c r="M1071" i="5"/>
  <c r="M1069" i="5"/>
  <c r="M1067" i="5"/>
  <c r="M1065" i="5"/>
  <c r="M1063" i="5"/>
  <c r="M1061" i="5"/>
  <c r="M1059" i="5"/>
  <c r="M1057" i="5"/>
  <c r="M1055" i="5"/>
  <c r="M1053" i="5"/>
  <c r="M1051" i="5"/>
  <c r="Q993" i="5"/>
  <c r="Q988" i="5"/>
  <c r="AP735" i="5"/>
  <c r="Q733" i="5"/>
  <c r="AP619" i="5"/>
  <c r="AP522" i="5"/>
  <c r="AP1196" i="5"/>
  <c r="AP1194" i="5"/>
  <c r="M1194" i="5"/>
  <c r="AP560" i="5"/>
  <c r="M560" i="5"/>
  <c r="M558" i="5"/>
  <c r="Q492" i="5"/>
  <c r="AP267" i="5"/>
  <c r="M267" i="5"/>
  <c r="AP557" i="5"/>
  <c r="M557" i="5"/>
  <c r="Q691" i="5"/>
  <c r="AP591" i="5"/>
  <c r="M591" i="5"/>
  <c r="AP588" i="5"/>
  <c r="M588" i="5"/>
  <c r="AP186" i="5"/>
  <c r="M186" i="5"/>
  <c r="AP304" i="5"/>
  <c r="M304" i="5"/>
  <c r="AP183" i="5"/>
  <c r="M183" i="5"/>
  <c r="AP89" i="5"/>
  <c r="M89" i="5"/>
  <c r="AP993" i="5"/>
  <c r="M993" i="5"/>
  <c r="AP988" i="5"/>
  <c r="M988" i="5"/>
  <c r="AP298" i="5"/>
  <c r="M296" i="5"/>
  <c r="AP618" i="5"/>
  <c r="Q1219" i="5"/>
  <c r="Q519" i="5"/>
  <c r="Q517" i="5"/>
  <c r="AP558" i="5"/>
  <c r="AP492" i="5"/>
  <c r="M492" i="5"/>
  <c r="AP691" i="5"/>
  <c r="M691" i="5"/>
  <c r="Q689" i="5"/>
  <c r="Q589" i="5"/>
  <c r="Q586" i="5"/>
  <c r="Q184" i="5"/>
  <c r="Q185" i="5"/>
  <c r="Q91" i="5"/>
  <c r="Q160" i="5"/>
  <c r="Q991" i="5"/>
  <c r="Q986" i="5"/>
  <c r="Q984" i="5"/>
  <c r="Q982" i="5"/>
  <c r="Q980" i="5"/>
  <c r="Q978" i="5"/>
  <c r="Q976" i="5"/>
  <c r="Q782" i="5"/>
  <c r="Q521" i="5"/>
  <c r="M1182" i="5"/>
  <c r="Q1180" i="5"/>
  <c r="AP519" i="5"/>
  <c r="M519" i="5"/>
  <c r="AP517" i="5"/>
  <c r="M517" i="5"/>
  <c r="Q515" i="5"/>
  <c r="Q272" i="5"/>
  <c r="AP521" i="5"/>
  <c r="M521" i="5"/>
  <c r="AP1182" i="5"/>
  <c r="AP1180" i="5"/>
  <c r="M1180" i="5"/>
  <c r="AP515" i="5"/>
  <c r="M515" i="5"/>
  <c r="M513" i="5"/>
  <c r="Q511" i="5"/>
  <c r="AP272" i="5"/>
  <c r="M738" i="5"/>
  <c r="Q1218" i="5"/>
  <c r="Q1197" i="5"/>
  <c r="Q1195" i="5"/>
  <c r="AP513" i="5"/>
  <c r="AP511" i="5"/>
  <c r="M511" i="5"/>
  <c r="AP268" i="5"/>
  <c r="M268" i="5"/>
  <c r="M266" i="5"/>
  <c r="Q620" i="5"/>
  <c r="AP687" i="5"/>
  <c r="M687" i="5"/>
  <c r="AP580" i="5"/>
  <c r="M580" i="5"/>
  <c r="AP188" i="5"/>
  <c r="M188" i="5"/>
  <c r="AP423" i="5"/>
  <c r="M423" i="5"/>
  <c r="AP93" i="5"/>
  <c r="M93" i="5"/>
  <c r="AP90" i="5"/>
  <c r="M90" i="5"/>
  <c r="AP158" i="5"/>
  <c r="M158" i="5"/>
  <c r="M1072" i="5"/>
  <c r="M1070" i="5"/>
  <c r="M1068" i="5"/>
  <c r="M1066" i="5"/>
  <c r="M1064" i="5"/>
  <c r="M1062" i="5"/>
  <c r="M1060" i="5"/>
  <c r="M1058" i="5"/>
  <c r="M1056" i="5"/>
  <c r="M1054" i="5"/>
  <c r="M1052" i="5"/>
  <c r="M1050" i="5"/>
  <c r="AP989" i="5"/>
  <c r="M989" i="5"/>
  <c r="M689" i="5"/>
  <c r="AP160" i="5"/>
  <c r="Q158" i="5"/>
  <c r="Q1054" i="5"/>
  <c r="M979" i="5"/>
  <c r="M973" i="5"/>
  <c r="Q873" i="5"/>
  <c r="Q868" i="5"/>
  <c r="Q825" i="5"/>
  <c r="Q811" i="5"/>
  <c r="Q806" i="5"/>
  <c r="Q801" i="5"/>
  <c r="Q796" i="5"/>
  <c r="Q791" i="5"/>
  <c r="Q778" i="5"/>
  <c r="Q773" i="5"/>
  <c r="Q768" i="5"/>
  <c r="Q763" i="5"/>
  <c r="Q758" i="5"/>
  <c r="Q1206" i="5"/>
  <c r="Q1199" i="5"/>
  <c r="Q708" i="5"/>
  <c r="M700" i="5"/>
  <c r="M1175" i="5"/>
  <c r="M1173" i="5"/>
  <c r="M1171" i="5"/>
  <c r="M684" i="5"/>
  <c r="M682" i="5"/>
  <c r="M680" i="5"/>
  <c r="M678" i="5"/>
  <c r="AP1132" i="5"/>
  <c r="M1132" i="5"/>
  <c r="AP1127" i="5"/>
  <c r="M1127" i="5"/>
  <c r="AP184" i="5"/>
  <c r="Q423" i="5"/>
  <c r="Q1072" i="5"/>
  <c r="Q1052" i="5"/>
  <c r="M978" i="5"/>
  <c r="M969" i="5"/>
  <c r="AP873" i="5"/>
  <c r="M873" i="5"/>
  <c r="AP868" i="5"/>
  <c r="M868" i="5"/>
  <c r="AP825" i="5"/>
  <c r="M825" i="5"/>
  <c r="AP811" i="5"/>
  <c r="M811" i="5"/>
  <c r="AP806" i="5"/>
  <c r="M806" i="5"/>
  <c r="AP801" i="5"/>
  <c r="M801" i="5"/>
  <c r="AP796" i="5"/>
  <c r="M796" i="5"/>
  <c r="AP791" i="5"/>
  <c r="M791" i="5"/>
  <c r="AP778" i="5"/>
  <c r="M778" i="5"/>
  <c r="AP773" i="5"/>
  <c r="M773" i="5"/>
  <c r="AP768" i="5"/>
  <c r="M768" i="5"/>
  <c r="AP763" i="5"/>
  <c r="M763" i="5"/>
  <c r="AP758" i="5"/>
  <c r="M758" i="5"/>
  <c r="AP1206" i="5"/>
  <c r="M1206" i="5"/>
  <c r="AP1199" i="5"/>
  <c r="M1199" i="5"/>
  <c r="AP708" i="5"/>
  <c r="M708" i="5"/>
  <c r="Q1135" i="5"/>
  <c r="Q1130" i="5"/>
  <c r="AP689" i="5"/>
  <c r="Q687" i="5"/>
  <c r="M185" i="5"/>
  <c r="Q1070" i="5"/>
  <c r="Q1050" i="5"/>
  <c r="M977" i="5"/>
  <c r="Q966" i="5"/>
  <c r="Q964" i="5"/>
  <c r="Q962" i="5"/>
  <c r="Q960" i="5"/>
  <c r="Q958" i="5"/>
  <c r="Q871" i="5"/>
  <c r="Q828" i="5"/>
  <c r="Q823" i="5"/>
  <c r="Q809" i="5"/>
  <c r="Q804" i="5"/>
  <c r="Q799" i="5"/>
  <c r="Q794" i="5"/>
  <c r="Q781" i="5"/>
  <c r="Q776" i="5"/>
  <c r="Q771" i="5"/>
  <c r="Q766" i="5"/>
  <c r="Q761" i="5"/>
  <c r="Q1209" i="5"/>
  <c r="Q1204" i="5"/>
  <c r="Q715" i="5"/>
  <c r="Q706" i="5"/>
  <c r="AP1135" i="5"/>
  <c r="M1135" i="5"/>
  <c r="AP1130" i="5"/>
  <c r="M1130" i="5"/>
  <c r="M589" i="5"/>
  <c r="Q1068" i="5"/>
  <c r="M991" i="5"/>
  <c r="Q972" i="5"/>
  <c r="M966" i="5"/>
  <c r="M964" i="5"/>
  <c r="M962" i="5"/>
  <c r="M960" i="5"/>
  <c r="M958" i="5"/>
  <c r="AP871" i="5"/>
  <c r="M871" i="5"/>
  <c r="AP828" i="5"/>
  <c r="M828" i="5"/>
  <c r="AP823" i="5"/>
  <c r="M823" i="5"/>
  <c r="AP809" i="5"/>
  <c r="M809" i="5"/>
  <c r="AP804" i="5"/>
  <c r="M804" i="5"/>
  <c r="AP799" i="5"/>
  <c r="M799" i="5"/>
  <c r="AP794" i="5"/>
  <c r="M794" i="5"/>
  <c r="AP781" i="5"/>
  <c r="M781" i="5"/>
  <c r="AP776" i="5"/>
  <c r="M776" i="5"/>
  <c r="AP771" i="5"/>
  <c r="M771" i="5"/>
  <c r="AP766" i="5"/>
  <c r="M766" i="5"/>
  <c r="AP761" i="5"/>
  <c r="M761" i="5"/>
  <c r="AP1209" i="5"/>
  <c r="M1209" i="5"/>
  <c r="AP1204" i="5"/>
  <c r="M1204" i="5"/>
  <c r="AP715" i="5"/>
  <c r="M715" i="5"/>
  <c r="AP706" i="5"/>
  <c r="M706" i="5"/>
  <c r="M272" i="5"/>
  <c r="AP185" i="5"/>
  <c r="Q93" i="5"/>
  <c r="Q1066" i="5"/>
  <c r="M976" i="5"/>
  <c r="M972" i="5"/>
  <c r="Q968" i="5"/>
  <c r="Q874" i="5"/>
  <c r="Q869" i="5"/>
  <c r="Q826" i="5"/>
  <c r="Q812" i="5"/>
  <c r="Q807" i="5"/>
  <c r="Q802" i="5"/>
  <c r="Q797" i="5"/>
  <c r="Q792" i="5"/>
  <c r="Q779" i="5"/>
  <c r="Q774" i="5"/>
  <c r="Q769" i="5"/>
  <c r="Q764" i="5"/>
  <c r="Q759" i="5"/>
  <c r="Q1207" i="5"/>
  <c r="Q1201" i="5"/>
  <c r="Q270" i="5"/>
  <c r="AP589" i="5"/>
  <c r="Q580" i="5"/>
  <c r="M91" i="5"/>
  <c r="Q1064" i="5"/>
  <c r="AP991" i="5"/>
  <c r="Q989" i="5"/>
  <c r="M975" i="5"/>
  <c r="M971" i="5"/>
  <c r="M968" i="5"/>
  <c r="AP874" i="5"/>
  <c r="M874" i="5"/>
  <c r="AP869" i="5"/>
  <c r="M869" i="5"/>
  <c r="AP826" i="5"/>
  <c r="M826" i="5"/>
  <c r="AP812" i="5"/>
  <c r="M812" i="5"/>
  <c r="AP807" i="5"/>
  <c r="M807" i="5"/>
  <c r="AP802" i="5"/>
  <c r="M802" i="5"/>
  <c r="AP797" i="5"/>
  <c r="M797" i="5"/>
  <c r="AP792" i="5"/>
  <c r="M792" i="5"/>
  <c r="AP779" i="5"/>
  <c r="M779" i="5"/>
  <c r="AP774" i="5"/>
  <c r="M774" i="5"/>
  <c r="AP769" i="5"/>
  <c r="M769" i="5"/>
  <c r="AP764" i="5"/>
  <c r="M764" i="5"/>
  <c r="AP759" i="5"/>
  <c r="M759" i="5"/>
  <c r="AP1207" i="5"/>
  <c r="M1207" i="5"/>
  <c r="M270" i="5"/>
  <c r="M586" i="5"/>
  <c r="Q1062" i="5"/>
  <c r="M986" i="5"/>
  <c r="Q872" i="5"/>
  <c r="Q829" i="5"/>
  <c r="Q824" i="5"/>
  <c r="Q810" i="5"/>
  <c r="Q805" i="5"/>
  <c r="Q800" i="5"/>
  <c r="Q795" i="5"/>
  <c r="Q790" i="5"/>
  <c r="Q777" i="5"/>
  <c r="Q772" i="5"/>
  <c r="Q767" i="5"/>
  <c r="Q762" i="5"/>
  <c r="Q1210" i="5"/>
  <c r="Q1205" i="5"/>
  <c r="Q716" i="5"/>
  <c r="AP270" i="5"/>
  <c r="Q268" i="5"/>
  <c r="AP91" i="5"/>
  <c r="Q90" i="5"/>
  <c r="Q1060" i="5"/>
  <c r="M985" i="5"/>
  <c r="M984" i="5"/>
  <c r="Q965" i="5"/>
  <c r="Q963" i="5"/>
  <c r="Q961" i="5"/>
  <c r="Q959" i="5"/>
  <c r="AP872" i="5"/>
  <c r="M872" i="5"/>
  <c r="AP829" i="5"/>
  <c r="M829" i="5"/>
  <c r="AP824" i="5"/>
  <c r="M824" i="5"/>
  <c r="AP810" i="5"/>
  <c r="M810" i="5"/>
  <c r="AP805" i="5"/>
  <c r="M805" i="5"/>
  <c r="AP800" i="5"/>
  <c r="M800" i="5"/>
  <c r="AP795" i="5"/>
  <c r="M795" i="5"/>
  <c r="AP790" i="5"/>
  <c r="M790" i="5"/>
  <c r="AP777" i="5"/>
  <c r="M777" i="5"/>
  <c r="AP772" i="5"/>
  <c r="M772" i="5"/>
  <c r="AP767" i="5"/>
  <c r="M767" i="5"/>
  <c r="AP762" i="5"/>
  <c r="M762" i="5"/>
  <c r="AP1210" i="5"/>
  <c r="M1210" i="5"/>
  <c r="AP1205" i="5"/>
  <c r="M1205" i="5"/>
  <c r="AP716" i="5"/>
  <c r="M716" i="5"/>
  <c r="AP586" i="5"/>
  <c r="Q188" i="5"/>
  <c r="M160" i="5"/>
  <c r="M981" i="5"/>
  <c r="M980" i="5"/>
  <c r="Q974" i="5"/>
  <c r="AP870" i="5"/>
  <c r="Q803" i="5"/>
  <c r="M780" i="5"/>
  <c r="AP765" i="5"/>
  <c r="AP1203" i="5"/>
  <c r="M1201" i="5"/>
  <c r="M705" i="5"/>
  <c r="Q1175" i="5"/>
  <c r="Q1171" i="5"/>
  <c r="Q682" i="5"/>
  <c r="M679" i="5"/>
  <c r="M1129" i="5"/>
  <c r="Q1126" i="5"/>
  <c r="Q1121" i="5"/>
  <c r="Q672" i="5"/>
  <c r="Q667" i="5"/>
  <c r="Q662" i="5"/>
  <c r="Q1101" i="5"/>
  <c r="Q644" i="5"/>
  <c r="Q639" i="5"/>
  <c r="Q634" i="5"/>
  <c r="Q1222" i="5"/>
  <c r="Q1190" i="5"/>
  <c r="Q1185" i="5"/>
  <c r="Q612" i="5"/>
  <c r="Q607" i="5"/>
  <c r="Q602" i="5"/>
  <c r="Q597" i="5"/>
  <c r="Q1168" i="5"/>
  <c r="Q1163" i="5"/>
  <c r="Q1158" i="5"/>
  <c r="M974" i="5"/>
  <c r="Q827" i="5"/>
  <c r="M803" i="5"/>
  <c r="AP780" i="5"/>
  <c r="Q760" i="5"/>
  <c r="AP705" i="5"/>
  <c r="AP1129" i="5"/>
  <c r="AP1126" i="5"/>
  <c r="M1126" i="5"/>
  <c r="AP1121" i="5"/>
  <c r="M1121" i="5"/>
  <c r="AP672" i="5"/>
  <c r="M672" i="5"/>
  <c r="AP667" i="5"/>
  <c r="M667" i="5"/>
  <c r="AP662" i="5"/>
  <c r="M662" i="5"/>
  <c r="AP1101" i="5"/>
  <c r="M1101" i="5"/>
  <c r="AP644" i="5"/>
  <c r="M644" i="5"/>
  <c r="AP639" i="5"/>
  <c r="M639" i="5"/>
  <c r="AP634" i="5"/>
  <c r="M634" i="5"/>
  <c r="AP1222" i="5"/>
  <c r="M1222" i="5"/>
  <c r="AP1190" i="5"/>
  <c r="M1190" i="5"/>
  <c r="AP1185" i="5"/>
  <c r="M1185" i="5"/>
  <c r="AP986" i="5"/>
  <c r="Q970" i="5"/>
  <c r="M827" i="5"/>
  <c r="AP803" i="5"/>
  <c r="Q775" i="5"/>
  <c r="M760" i="5"/>
  <c r="AP1201" i="5"/>
  <c r="Q704" i="5"/>
  <c r="Q1174" i="5"/>
  <c r="Q1170" i="5"/>
  <c r="Q678" i="5"/>
  <c r="Q1134" i="5"/>
  <c r="Q1128" i="5"/>
  <c r="Q1124" i="5"/>
  <c r="Q675" i="5"/>
  <c r="Q670" i="5"/>
  <c r="Q665" i="5"/>
  <c r="Q1104" i="5"/>
  <c r="Q1099" i="5"/>
  <c r="Q642" i="5"/>
  <c r="Q637" i="5"/>
  <c r="Q627" i="5"/>
  <c r="Q1220" i="5"/>
  <c r="Q1188" i="5"/>
  <c r="Q615" i="5"/>
  <c r="Q610" i="5"/>
  <c r="M970" i="5"/>
  <c r="AP827" i="5"/>
  <c r="Q798" i="5"/>
  <c r="M775" i="5"/>
  <c r="AP760" i="5"/>
  <c r="Q707" i="5"/>
  <c r="AP704" i="5"/>
  <c r="M704" i="5"/>
  <c r="M1174" i="5"/>
  <c r="M1170" i="5"/>
  <c r="Q681" i="5"/>
  <c r="M1134" i="5"/>
  <c r="Q1131" i="5"/>
  <c r="AP1128" i="5"/>
  <c r="M1128" i="5"/>
  <c r="AP1124" i="5"/>
  <c r="M1124" i="5"/>
  <c r="AP675" i="5"/>
  <c r="M675" i="5"/>
  <c r="AP670" i="5"/>
  <c r="M670" i="5"/>
  <c r="AP665" i="5"/>
  <c r="M665" i="5"/>
  <c r="AP1104" i="5"/>
  <c r="M1104" i="5"/>
  <c r="AP1099" i="5"/>
  <c r="M1099" i="5"/>
  <c r="AP642" i="5"/>
  <c r="M642" i="5"/>
  <c r="AP637" i="5"/>
  <c r="M637" i="5"/>
  <c r="AP627" i="5"/>
  <c r="M627" i="5"/>
  <c r="AP1220" i="5"/>
  <c r="M1220" i="5"/>
  <c r="AP1188" i="5"/>
  <c r="M1188" i="5"/>
  <c r="AP615" i="5"/>
  <c r="M615" i="5"/>
  <c r="AP610" i="5"/>
  <c r="M610" i="5"/>
  <c r="AP605" i="5"/>
  <c r="M605" i="5"/>
  <c r="AP600" i="5"/>
  <c r="M600" i="5"/>
  <c r="AP595" i="5"/>
  <c r="M595" i="5"/>
  <c r="AP1166" i="5"/>
  <c r="M1166" i="5"/>
  <c r="AP1161" i="5"/>
  <c r="M1161" i="5"/>
  <c r="AP1156" i="5"/>
  <c r="M1156" i="5"/>
  <c r="AP1151" i="5"/>
  <c r="M1151" i="5"/>
  <c r="Q578" i="5"/>
  <c r="Q576" i="5"/>
  <c r="AP564" i="5"/>
  <c r="M564" i="5"/>
  <c r="AP532" i="5"/>
  <c r="M532" i="5"/>
  <c r="AP498" i="5"/>
  <c r="M498" i="5"/>
  <c r="AP486" i="5"/>
  <c r="M486" i="5"/>
  <c r="AP481" i="5"/>
  <c r="M481" i="5"/>
  <c r="Q1058" i="5"/>
  <c r="Q1056" i="5"/>
  <c r="Q967" i="5"/>
  <c r="M965" i="5"/>
  <c r="M963" i="5"/>
  <c r="M961" i="5"/>
  <c r="M959" i="5"/>
  <c r="Q813" i="5"/>
  <c r="M798" i="5"/>
  <c r="AP775" i="5"/>
  <c r="AP707" i="5"/>
  <c r="M707" i="5"/>
  <c r="M681" i="5"/>
  <c r="AP1134" i="5"/>
  <c r="AP1131" i="5"/>
  <c r="M1131" i="5"/>
  <c r="Q1122" i="5"/>
  <c r="Q673" i="5"/>
  <c r="Q668" i="5"/>
  <c r="Q663" i="5"/>
  <c r="Q1102" i="5"/>
  <c r="Q1097" i="5"/>
  <c r="Q640" i="5"/>
  <c r="Q635" i="5"/>
  <c r="Q625" i="5"/>
  <c r="Q1191" i="5"/>
  <c r="Q1186" i="5"/>
  <c r="Q613" i="5"/>
  <c r="Q608" i="5"/>
  <c r="M184" i="5"/>
  <c r="M967" i="5"/>
  <c r="Q875" i="5"/>
  <c r="M813" i="5"/>
  <c r="AP798" i="5"/>
  <c r="Q770" i="5"/>
  <c r="Q1208" i="5"/>
  <c r="Q712" i="5"/>
  <c r="Q700" i="5"/>
  <c r="Q1173" i="5"/>
  <c r="Q684" i="5"/>
  <c r="Q1133" i="5"/>
  <c r="AP1122" i="5"/>
  <c r="M1122" i="5"/>
  <c r="AP673" i="5"/>
  <c r="M673" i="5"/>
  <c r="AP668" i="5"/>
  <c r="M668" i="5"/>
  <c r="AP663" i="5"/>
  <c r="M663" i="5"/>
  <c r="AP1102" i="5"/>
  <c r="M1102" i="5"/>
  <c r="AP1097" i="5"/>
  <c r="M1097" i="5"/>
  <c r="AP640" i="5"/>
  <c r="M640" i="5"/>
  <c r="AP635" i="5"/>
  <c r="M635" i="5"/>
  <c r="AP625" i="5"/>
  <c r="M625" i="5"/>
  <c r="AP1191" i="5"/>
  <c r="M1191" i="5"/>
  <c r="AP1186" i="5"/>
  <c r="M1186" i="5"/>
  <c r="AP613" i="5"/>
  <c r="M613" i="5"/>
  <c r="AP608" i="5"/>
  <c r="M608" i="5"/>
  <c r="AP603" i="5"/>
  <c r="M603" i="5"/>
  <c r="AP598" i="5"/>
  <c r="M598" i="5"/>
  <c r="M875" i="5"/>
  <c r="AP813" i="5"/>
  <c r="Q793" i="5"/>
  <c r="M770" i="5"/>
  <c r="M1208" i="5"/>
  <c r="M712" i="5"/>
  <c r="Q680" i="5"/>
  <c r="Q1136" i="5"/>
  <c r="AP1133" i="5"/>
  <c r="M1133" i="5"/>
  <c r="Q1127" i="5"/>
  <c r="Q1125" i="5"/>
  <c r="Q676" i="5"/>
  <c r="Q671" i="5"/>
  <c r="Q666" i="5"/>
  <c r="Q1105" i="5"/>
  <c r="Q1100" i="5"/>
  <c r="Q643" i="5"/>
  <c r="Q638" i="5"/>
  <c r="Q633" i="5"/>
  <c r="Q1221" i="5"/>
  <c r="Q1189" i="5"/>
  <c r="Q1184" i="5"/>
  <c r="AP875" i="5"/>
  <c r="Q808" i="5"/>
  <c r="M793" i="5"/>
  <c r="AP770" i="5"/>
  <c r="AP1208" i="5"/>
  <c r="AP712" i="5"/>
  <c r="Q711" i="5"/>
  <c r="Q1176" i="5"/>
  <c r="Q1172" i="5"/>
  <c r="Q683" i="5"/>
  <c r="Q870" i="5"/>
  <c r="M808" i="5"/>
  <c r="AP793" i="5"/>
  <c r="Q765" i="5"/>
  <c r="Q1203" i="5"/>
  <c r="M711" i="5"/>
  <c r="M1176" i="5"/>
  <c r="M1172" i="5"/>
  <c r="M683" i="5"/>
  <c r="M983" i="5"/>
  <c r="M982" i="5"/>
  <c r="M870" i="5"/>
  <c r="AP808" i="5"/>
  <c r="Q780" i="5"/>
  <c r="M765" i="5"/>
  <c r="M1203" i="5"/>
  <c r="AP711" i="5"/>
  <c r="Q705" i="5"/>
  <c r="Q679" i="5"/>
  <c r="Q1132" i="5"/>
  <c r="Q1129" i="5"/>
  <c r="AP1123" i="5"/>
  <c r="M1123" i="5"/>
  <c r="AP674" i="5"/>
  <c r="M674" i="5"/>
  <c r="AP669" i="5"/>
  <c r="M669" i="5"/>
  <c r="AP664" i="5"/>
  <c r="M664" i="5"/>
  <c r="AP1103" i="5"/>
  <c r="M1103" i="5"/>
  <c r="AP1098" i="5"/>
  <c r="M1098" i="5"/>
  <c r="AP641" i="5"/>
  <c r="M641" i="5"/>
  <c r="AP636" i="5"/>
  <c r="M636" i="5"/>
  <c r="AP626" i="5"/>
  <c r="M626" i="5"/>
  <c r="AP1192" i="5"/>
  <c r="M1192" i="5"/>
  <c r="AP1187" i="5"/>
  <c r="M1187" i="5"/>
  <c r="AP614" i="5"/>
  <c r="M614" i="5"/>
  <c r="AP609" i="5"/>
  <c r="M609" i="5"/>
  <c r="M1136" i="5"/>
  <c r="Q1123" i="5"/>
  <c r="AP666" i="5"/>
  <c r="M1105" i="5"/>
  <c r="AP638" i="5"/>
  <c r="Q1187" i="5"/>
  <c r="M612" i="5"/>
  <c r="M607" i="5"/>
  <c r="AP604" i="5"/>
  <c r="M604" i="5"/>
  <c r="AP601" i="5"/>
  <c r="M601" i="5"/>
  <c r="AP1167" i="5"/>
  <c r="M1167" i="5"/>
  <c r="Q1160" i="5"/>
  <c r="AP534" i="5"/>
  <c r="AP495" i="5"/>
  <c r="AP478" i="5"/>
  <c r="AP476" i="5"/>
  <c r="M476" i="5"/>
  <c r="AP471" i="5"/>
  <c r="M471" i="5"/>
  <c r="AP466" i="5"/>
  <c r="M466" i="5"/>
  <c r="Q419" i="5"/>
  <c r="Q403" i="5"/>
  <c r="Q389" i="5"/>
  <c r="Q384" i="5"/>
  <c r="Q379" i="5"/>
  <c r="Q290" i="5"/>
  <c r="M262" i="5"/>
  <c r="M260" i="5"/>
  <c r="M258" i="5"/>
  <c r="M256" i="5"/>
  <c r="Q229" i="5"/>
  <c r="Q224" i="5"/>
  <c r="Q179" i="5"/>
  <c r="Q195" i="5"/>
  <c r="Q85" i="5"/>
  <c r="Q129" i="5"/>
  <c r="Q101" i="5"/>
  <c r="Q96" i="5"/>
  <c r="Q76" i="5"/>
  <c r="AP1125" i="5"/>
  <c r="M676" i="5"/>
  <c r="Q1103" i="5"/>
  <c r="M633" i="5"/>
  <c r="AP1189" i="5"/>
  <c r="Q611" i="5"/>
  <c r="Q606" i="5"/>
  <c r="Q598" i="5"/>
  <c r="Q595" i="5"/>
  <c r="Q593" i="5"/>
  <c r="Q1162" i="5"/>
  <c r="AP1160" i="5"/>
  <c r="M1160" i="5"/>
  <c r="AP1158" i="5"/>
  <c r="M578" i="5"/>
  <c r="Q474" i="5"/>
  <c r="Q469" i="5"/>
  <c r="Q464" i="5"/>
  <c r="AP419" i="5"/>
  <c r="M419" i="5"/>
  <c r="Q417" i="5"/>
  <c r="Q415" i="5"/>
  <c r="Q413" i="5"/>
  <c r="Q411" i="5"/>
  <c r="AP403" i="5"/>
  <c r="M403" i="5"/>
  <c r="AP389" i="5"/>
  <c r="M389" i="5"/>
  <c r="AP384" i="5"/>
  <c r="M384" i="5"/>
  <c r="AP379" i="5"/>
  <c r="M379" i="5"/>
  <c r="AP290" i="5"/>
  <c r="M290" i="5"/>
  <c r="AP229" i="5"/>
  <c r="M229" i="5"/>
  <c r="AP224" i="5"/>
  <c r="M224" i="5"/>
  <c r="AP179" i="5"/>
  <c r="M179" i="5"/>
  <c r="AP195" i="5"/>
  <c r="M195" i="5"/>
  <c r="AP85" i="5"/>
  <c r="M85" i="5"/>
  <c r="AP129" i="5"/>
  <c r="M129" i="5"/>
  <c r="AP101" i="5"/>
  <c r="M101" i="5"/>
  <c r="AP96" i="5"/>
  <c r="M96" i="5"/>
  <c r="AP76" i="5"/>
  <c r="M76" i="5"/>
  <c r="AP213" i="5"/>
  <c r="AP1136" i="5"/>
  <c r="Q674" i="5"/>
  <c r="AP1105" i="5"/>
  <c r="M1184" i="5"/>
  <c r="AP612" i="5"/>
  <c r="M611" i="5"/>
  <c r="AP607" i="5"/>
  <c r="M606" i="5"/>
  <c r="Q600" i="5"/>
  <c r="AP593" i="5"/>
  <c r="M593" i="5"/>
  <c r="AP1162" i="5"/>
  <c r="M1162" i="5"/>
  <c r="Q1155" i="5"/>
  <c r="Q1153" i="5"/>
  <c r="Q1151" i="5"/>
  <c r="AP474" i="5"/>
  <c r="M474" i="5"/>
  <c r="AP469" i="5"/>
  <c r="M469" i="5"/>
  <c r="AP464" i="5"/>
  <c r="M464" i="5"/>
  <c r="Q422" i="5"/>
  <c r="M417" i="5"/>
  <c r="M415" i="5"/>
  <c r="M413" i="5"/>
  <c r="M411" i="5"/>
  <c r="Q406" i="5"/>
  <c r="Q401" i="5"/>
  <c r="Q387" i="5"/>
  <c r="Q382" i="5"/>
  <c r="Q293" i="5"/>
  <c r="Q288" i="5"/>
  <c r="Q227" i="5"/>
  <c r="Q222" i="5"/>
  <c r="Q177" i="5"/>
  <c r="Q176" i="5"/>
  <c r="Q83" i="5"/>
  <c r="AP676" i="5"/>
  <c r="M1100" i="5"/>
  <c r="AP633" i="5"/>
  <c r="Q626" i="5"/>
  <c r="AP611" i="5"/>
  <c r="AP606" i="5"/>
  <c r="Q603" i="5"/>
  <c r="Q1166" i="5"/>
  <c r="Q1164" i="5"/>
  <c r="Q1157" i="5"/>
  <c r="AP1155" i="5"/>
  <c r="M1155" i="5"/>
  <c r="M1153" i="5"/>
  <c r="Q575" i="5"/>
  <c r="Q566" i="5"/>
  <c r="Q564" i="5"/>
  <c r="Q562" i="5"/>
  <c r="Q533" i="5"/>
  <c r="Q502" i="5"/>
  <c r="Q500" i="5"/>
  <c r="Q498" i="5"/>
  <c r="Q496" i="5"/>
  <c r="Q494" i="5"/>
  <c r="Q485" i="5"/>
  <c r="Q483" i="5"/>
  <c r="Q481" i="5"/>
  <c r="Q479" i="5"/>
  <c r="Q477" i="5"/>
  <c r="Q472" i="5"/>
  <c r="Q467" i="5"/>
  <c r="AP422" i="5"/>
  <c r="M422" i="5"/>
  <c r="AP406" i="5"/>
  <c r="M406" i="5"/>
  <c r="AP401" i="5"/>
  <c r="M401" i="5"/>
  <c r="AP387" i="5"/>
  <c r="M387" i="5"/>
  <c r="AP382" i="5"/>
  <c r="M382" i="5"/>
  <c r="AP293" i="5"/>
  <c r="M293" i="5"/>
  <c r="AP288" i="5"/>
  <c r="M288" i="5"/>
  <c r="AP227" i="5"/>
  <c r="M227" i="5"/>
  <c r="AP222" i="5"/>
  <c r="M222" i="5"/>
  <c r="AP177" i="5"/>
  <c r="M177" i="5"/>
  <c r="AP176" i="5"/>
  <c r="M176" i="5"/>
  <c r="AP83" i="5"/>
  <c r="M83" i="5"/>
  <c r="AP132" i="5"/>
  <c r="M132" i="5"/>
  <c r="AP127" i="5"/>
  <c r="M127" i="5"/>
  <c r="AP99" i="5"/>
  <c r="M671" i="5"/>
  <c r="Q1098" i="5"/>
  <c r="AP1184" i="5"/>
  <c r="Q605" i="5"/>
  <c r="M597" i="5"/>
  <c r="AP1164" i="5"/>
  <c r="M1164" i="5"/>
  <c r="AP1157" i="5"/>
  <c r="M1157" i="5"/>
  <c r="AP1153" i="5"/>
  <c r="M575" i="5"/>
  <c r="M566" i="5"/>
  <c r="AP562" i="5"/>
  <c r="M562" i="5"/>
  <c r="AP533" i="5"/>
  <c r="M533" i="5"/>
  <c r="AP502" i="5"/>
  <c r="M502" i="5"/>
  <c r="M500" i="5"/>
  <c r="AP496" i="5"/>
  <c r="M496" i="5"/>
  <c r="AP494" i="5"/>
  <c r="M494" i="5"/>
  <c r="AP485" i="5"/>
  <c r="M485" i="5"/>
  <c r="M483" i="5"/>
  <c r="AP479" i="5"/>
  <c r="M479" i="5"/>
  <c r="AP477" i="5"/>
  <c r="M477" i="5"/>
  <c r="AP472" i="5"/>
  <c r="M472" i="5"/>
  <c r="AP467" i="5"/>
  <c r="M467" i="5"/>
  <c r="Q420" i="5"/>
  <c r="Q404" i="5"/>
  <c r="Q390" i="5"/>
  <c r="Q385" i="5"/>
  <c r="Q380" i="5"/>
  <c r="Q291" i="5"/>
  <c r="Q286" i="5"/>
  <c r="Q261" i="5"/>
  <c r="Q259" i="5"/>
  <c r="Q257" i="5"/>
  <c r="Q255" i="5"/>
  <c r="Q225" i="5"/>
  <c r="Q180" i="5"/>
  <c r="Q196" i="5"/>
  <c r="Q174" i="5"/>
  <c r="Q81" i="5"/>
  <c r="Q130" i="5"/>
  <c r="Q125" i="5"/>
  <c r="Q669" i="5"/>
  <c r="AP1100" i="5"/>
  <c r="M1221" i="5"/>
  <c r="M1168" i="5"/>
  <c r="Q1161" i="5"/>
  <c r="Q1159" i="5"/>
  <c r="Q577" i="5"/>
  <c r="AP566" i="5"/>
  <c r="AP500" i="5"/>
  <c r="AP483" i="5"/>
  <c r="Q475" i="5"/>
  <c r="Q470" i="5"/>
  <c r="Q465" i="5"/>
  <c r="AP420" i="5"/>
  <c r="M420" i="5"/>
  <c r="AP404" i="5"/>
  <c r="M404" i="5"/>
  <c r="AP390" i="5"/>
  <c r="M390" i="5"/>
  <c r="AP385" i="5"/>
  <c r="M385" i="5"/>
  <c r="AP380" i="5"/>
  <c r="M380" i="5"/>
  <c r="AP291" i="5"/>
  <c r="M291" i="5"/>
  <c r="AP286" i="5"/>
  <c r="M286" i="5"/>
  <c r="M261" i="5"/>
  <c r="M259" i="5"/>
  <c r="M257" i="5"/>
  <c r="M255" i="5"/>
  <c r="AP225" i="5"/>
  <c r="M225" i="5"/>
  <c r="AP180" i="5"/>
  <c r="M180" i="5"/>
  <c r="AP196" i="5"/>
  <c r="M196" i="5"/>
  <c r="AP174" i="5"/>
  <c r="M174" i="5"/>
  <c r="AP81" i="5"/>
  <c r="M81" i="5"/>
  <c r="AP130" i="5"/>
  <c r="M130" i="5"/>
  <c r="AP671" i="5"/>
  <c r="M643" i="5"/>
  <c r="Q614" i="5"/>
  <c r="M602" i="5"/>
  <c r="AP597" i="5"/>
  <c r="Q594" i="5"/>
  <c r="AP1159" i="5"/>
  <c r="M1159" i="5"/>
  <c r="M577" i="5"/>
  <c r="AP475" i="5"/>
  <c r="M475" i="5"/>
  <c r="AP470" i="5"/>
  <c r="M470" i="5"/>
  <c r="AP465" i="5"/>
  <c r="M465" i="5"/>
  <c r="Q454" i="5"/>
  <c r="Q418" i="5"/>
  <c r="Q416" i="5"/>
  <c r="Q414" i="5"/>
  <c r="Q412" i="5"/>
  <c r="Q410" i="5"/>
  <c r="Q402" i="5"/>
  <c r="Q388" i="5"/>
  <c r="Q383" i="5"/>
  <c r="Q294" i="5"/>
  <c r="Q289" i="5"/>
  <c r="Q228" i="5"/>
  <c r="Q223" i="5"/>
  <c r="Q178" i="5"/>
  <c r="Q194" i="5"/>
  <c r="Q641" i="5"/>
  <c r="AP1221" i="5"/>
  <c r="Q1192" i="5"/>
  <c r="Q609" i="5"/>
  <c r="Q599" i="5"/>
  <c r="Q596" i="5"/>
  <c r="AP594" i="5"/>
  <c r="M594" i="5"/>
  <c r="AP1168" i="5"/>
  <c r="M1163" i="5"/>
  <c r="Q1156" i="5"/>
  <c r="Q1154" i="5"/>
  <c r="Q1152" i="5"/>
  <c r="Q1150" i="5"/>
  <c r="M666" i="5"/>
  <c r="AP643" i="5"/>
  <c r="M638" i="5"/>
  <c r="AP602" i="5"/>
  <c r="AP599" i="5"/>
  <c r="M599" i="5"/>
  <c r="AP596" i="5"/>
  <c r="M596" i="5"/>
  <c r="Q1165" i="5"/>
  <c r="AP1154" i="5"/>
  <c r="M1154" i="5"/>
  <c r="AP1152" i="5"/>
  <c r="M1152" i="5"/>
  <c r="AP1150" i="5"/>
  <c r="M1150" i="5"/>
  <c r="Q1089" i="5"/>
  <c r="Q565" i="5"/>
  <c r="Q563" i="5"/>
  <c r="M1125" i="5"/>
  <c r="Q664" i="5"/>
  <c r="Q636" i="5"/>
  <c r="M1189" i="5"/>
  <c r="Q604" i="5"/>
  <c r="Q601" i="5"/>
  <c r="Q1167" i="5"/>
  <c r="AP1165" i="5"/>
  <c r="M1165" i="5"/>
  <c r="AP1163" i="5"/>
  <c r="M1158" i="5"/>
  <c r="M576" i="5"/>
  <c r="AP1089" i="5"/>
  <c r="M1089" i="5"/>
  <c r="AP565" i="5"/>
  <c r="M565" i="5"/>
  <c r="AP563" i="5"/>
  <c r="M563" i="5"/>
  <c r="M534" i="5"/>
  <c r="AP501" i="5"/>
  <c r="M501" i="5"/>
  <c r="AP499" i="5"/>
  <c r="M499" i="5"/>
  <c r="AP497" i="5"/>
  <c r="M497" i="5"/>
  <c r="M495" i="5"/>
  <c r="AP484" i="5"/>
  <c r="M484" i="5"/>
  <c r="AP482" i="5"/>
  <c r="M482" i="5"/>
  <c r="AP480" i="5"/>
  <c r="M480" i="5"/>
  <c r="M478" i="5"/>
  <c r="Q476" i="5"/>
  <c r="Q471" i="5"/>
  <c r="Q466" i="5"/>
  <c r="AP421" i="5"/>
  <c r="M421" i="5"/>
  <c r="AP405" i="5"/>
  <c r="M405" i="5"/>
  <c r="AP400" i="5"/>
  <c r="M400" i="5"/>
  <c r="AP386" i="5"/>
  <c r="M386" i="5"/>
  <c r="AP381" i="5"/>
  <c r="M381" i="5"/>
  <c r="AP292" i="5"/>
  <c r="M292" i="5"/>
  <c r="AP287" i="5"/>
  <c r="M287" i="5"/>
  <c r="Q262" i="5"/>
  <c r="Q260" i="5"/>
  <c r="Q258" i="5"/>
  <c r="Q256" i="5"/>
  <c r="AP226" i="5"/>
  <c r="M226" i="5"/>
  <c r="AP181" i="5"/>
  <c r="M181" i="5"/>
  <c r="AP197" i="5"/>
  <c r="M197" i="5"/>
  <c r="AP473" i="5"/>
  <c r="Q468" i="5"/>
  <c r="M388" i="5"/>
  <c r="AP178" i="5"/>
  <c r="Q197" i="5"/>
  <c r="AP84" i="5"/>
  <c r="M84" i="5"/>
  <c r="Q132" i="5"/>
  <c r="Q98" i="5"/>
  <c r="AP74" i="5"/>
  <c r="M74" i="5"/>
  <c r="AP72" i="5"/>
  <c r="M72" i="5"/>
  <c r="Q212" i="5"/>
  <c r="Q20" i="5"/>
  <c r="Q15" i="5"/>
  <c r="Q10" i="5"/>
  <c r="Q1036" i="5"/>
  <c r="Q1033" i="5"/>
  <c r="Q1048" i="5"/>
  <c r="Q1045" i="5"/>
  <c r="Q935" i="5"/>
  <c r="Q932" i="5"/>
  <c r="Q1042" i="5"/>
  <c r="Q1013" i="5"/>
  <c r="Q908" i="5"/>
  <c r="Q905" i="5"/>
  <c r="Q686" i="5"/>
  <c r="Q820" i="5"/>
  <c r="Q1216" i="5"/>
  <c r="Q1214" i="5"/>
  <c r="Q556" i="5"/>
  <c r="Q506" i="5"/>
  <c r="Q208" i="5"/>
  <c r="Q1147" i="5"/>
  <c r="Q574" i="5"/>
  <c r="Q1112" i="5"/>
  <c r="Q205" i="5"/>
  <c r="AP846" i="5"/>
  <c r="M846" i="5"/>
  <c r="Q834" i="5"/>
  <c r="Q865" i="5"/>
  <c r="M468" i="5"/>
  <c r="M454" i="5"/>
  <c r="AP289" i="5"/>
  <c r="Q287" i="5"/>
  <c r="M194" i="5"/>
  <c r="Q127" i="5"/>
  <c r="M98" i="5"/>
  <c r="AP212" i="5"/>
  <c r="M212" i="5"/>
  <c r="AP20" i="5"/>
  <c r="M20" i="5"/>
  <c r="AP15" i="5"/>
  <c r="M15" i="5"/>
  <c r="AP10" i="5"/>
  <c r="M10" i="5"/>
  <c r="AP1036" i="5"/>
  <c r="M1036" i="5"/>
  <c r="AP1033" i="5"/>
  <c r="M1033" i="5"/>
  <c r="AP1048" i="5"/>
  <c r="M1048" i="5"/>
  <c r="AP1045" i="5"/>
  <c r="M1045" i="5"/>
  <c r="AP935" i="5"/>
  <c r="M935" i="5"/>
  <c r="AP932" i="5"/>
  <c r="M932" i="5"/>
  <c r="AP1042" i="5"/>
  <c r="M1042" i="5"/>
  <c r="AP1013" i="5"/>
  <c r="M1013" i="5"/>
  <c r="AP908" i="5"/>
  <c r="M908" i="5"/>
  <c r="AP905" i="5"/>
  <c r="M905" i="5"/>
  <c r="AP686" i="5"/>
  <c r="M686" i="5"/>
  <c r="AP820" i="5"/>
  <c r="M820" i="5"/>
  <c r="AP1216" i="5"/>
  <c r="M1216" i="5"/>
  <c r="AP1214" i="5"/>
  <c r="M1214" i="5"/>
  <c r="AP556" i="5"/>
  <c r="M556" i="5"/>
  <c r="AP506" i="5"/>
  <c r="M506" i="5"/>
  <c r="AP208" i="5"/>
  <c r="M208" i="5"/>
  <c r="AP1147" i="5"/>
  <c r="M1147" i="5"/>
  <c r="AP574" i="5"/>
  <c r="M574" i="5"/>
  <c r="AP1112" i="5"/>
  <c r="M1112" i="5"/>
  <c r="AP468" i="5"/>
  <c r="AP388" i="5"/>
  <c r="Q386" i="5"/>
  <c r="M228" i="5"/>
  <c r="Q100" i="5"/>
  <c r="AP98" i="5"/>
  <c r="Q78" i="5"/>
  <c r="Q210" i="5"/>
  <c r="Q18" i="5"/>
  <c r="Q13" i="5"/>
  <c r="Q8" i="5"/>
  <c r="Q939" i="5"/>
  <c r="Q936" i="5"/>
  <c r="Q956" i="5"/>
  <c r="Q953" i="5"/>
  <c r="Q1030" i="5"/>
  <c r="Q1043" i="5"/>
  <c r="Q950" i="5"/>
  <c r="Q909" i="5"/>
  <c r="Q1010" i="5"/>
  <c r="Q1115" i="5"/>
  <c r="Q648" i="5"/>
  <c r="Q710" i="5"/>
  <c r="Q616" i="5"/>
  <c r="Q509" i="5"/>
  <c r="Q1193" i="5"/>
  <c r="Q221" i="5"/>
  <c r="Q491" i="5"/>
  <c r="Q579" i="5"/>
  <c r="Q265" i="5"/>
  <c r="Q1143" i="5"/>
  <c r="Q1080" i="5"/>
  <c r="AP835" i="5"/>
  <c r="M835" i="5"/>
  <c r="Q844" i="5"/>
  <c r="Q916" i="5"/>
  <c r="Q957" i="5"/>
  <c r="Q421" i="5"/>
  <c r="M383" i="5"/>
  <c r="AP194" i="5"/>
  <c r="AP100" i="5"/>
  <c r="M100" i="5"/>
  <c r="Q80" i="5"/>
  <c r="M78" i="5"/>
  <c r="AP210" i="5"/>
  <c r="M210" i="5"/>
  <c r="AP18" i="5"/>
  <c r="M18" i="5"/>
  <c r="AP13" i="5"/>
  <c r="M13" i="5"/>
  <c r="AP8" i="5"/>
  <c r="M8" i="5"/>
  <c r="AP939" i="5"/>
  <c r="M939" i="5"/>
  <c r="AP936" i="5"/>
  <c r="M936" i="5"/>
  <c r="AP956" i="5"/>
  <c r="M956" i="5"/>
  <c r="AP953" i="5"/>
  <c r="M953" i="5"/>
  <c r="AP1030" i="5"/>
  <c r="M1030" i="5"/>
  <c r="AP1043" i="5"/>
  <c r="M1043" i="5"/>
  <c r="AP950" i="5"/>
  <c r="M950" i="5"/>
  <c r="AP909" i="5"/>
  <c r="M909" i="5"/>
  <c r="AP1010" i="5"/>
  <c r="M1010" i="5"/>
  <c r="AP1115" i="5"/>
  <c r="M1115" i="5"/>
  <c r="AP648" i="5"/>
  <c r="M648" i="5"/>
  <c r="AP710" i="5"/>
  <c r="M710" i="5"/>
  <c r="AP616" i="5"/>
  <c r="M616" i="5"/>
  <c r="AP509" i="5"/>
  <c r="M509" i="5"/>
  <c r="AP1193" i="5"/>
  <c r="M1193" i="5"/>
  <c r="AP221" i="5"/>
  <c r="M221" i="5"/>
  <c r="AP491" i="5"/>
  <c r="M491" i="5"/>
  <c r="AP579" i="5"/>
  <c r="M579" i="5"/>
  <c r="AP265" i="5"/>
  <c r="M265" i="5"/>
  <c r="AP1143" i="5"/>
  <c r="M1143" i="5"/>
  <c r="Q534" i="5"/>
  <c r="Q532" i="5"/>
  <c r="Q501" i="5"/>
  <c r="Q499" i="5"/>
  <c r="M418" i="5"/>
  <c r="M416" i="5"/>
  <c r="M414" i="5"/>
  <c r="M412" i="5"/>
  <c r="M410" i="5"/>
  <c r="AP228" i="5"/>
  <c r="Q226" i="5"/>
  <c r="Q82" i="5"/>
  <c r="Q131" i="5"/>
  <c r="AP80" i="5"/>
  <c r="M80" i="5"/>
  <c r="AP78" i="5"/>
  <c r="Q73" i="5"/>
  <c r="Q213" i="5"/>
  <c r="Q21" i="5"/>
  <c r="Q16" i="5"/>
  <c r="Q11" i="5"/>
  <c r="Q2" i="5"/>
  <c r="Q1034" i="5"/>
  <c r="Q1117" i="5"/>
  <c r="Q1046" i="5"/>
  <c r="Q1031" i="5"/>
  <c r="Q933" i="5"/>
  <c r="Q951" i="5"/>
  <c r="Q1014" i="5"/>
  <c r="Q1011" i="5"/>
  <c r="Q906" i="5"/>
  <c r="Q1081" i="5"/>
  <c r="Q623" i="5"/>
  <c r="Q1217" i="5"/>
  <c r="Q709" i="5"/>
  <c r="Q1177" i="5"/>
  <c r="Q507" i="5"/>
  <c r="Q219" i="5"/>
  <c r="Q206" i="5"/>
  <c r="Q645" i="5"/>
  <c r="Q1113" i="5"/>
  <c r="Q497" i="5"/>
  <c r="AP383" i="5"/>
  <c r="Q381" i="5"/>
  <c r="M223" i="5"/>
  <c r="Q175" i="5"/>
  <c r="M82" i="5"/>
  <c r="M131" i="5"/>
  <c r="Q126" i="5"/>
  <c r="Q99" i="5"/>
  <c r="Q97" i="5"/>
  <c r="Q75" i="5"/>
  <c r="M73" i="5"/>
  <c r="M213" i="5"/>
  <c r="AP21" i="5"/>
  <c r="M21" i="5"/>
  <c r="AP16" i="5"/>
  <c r="M16" i="5"/>
  <c r="AP11" i="5"/>
  <c r="M11" i="5"/>
  <c r="AP2" i="5"/>
  <c r="M2" i="5"/>
  <c r="AP1034" i="5"/>
  <c r="M1034" i="5"/>
  <c r="AP1117" i="5"/>
  <c r="M1117" i="5"/>
  <c r="AP1046" i="5"/>
  <c r="M1046" i="5"/>
  <c r="AP1031" i="5"/>
  <c r="M1031" i="5"/>
  <c r="AP933" i="5"/>
  <c r="M933" i="5"/>
  <c r="AP951" i="5"/>
  <c r="M951" i="5"/>
  <c r="AP1014" i="5"/>
  <c r="M1014" i="5"/>
  <c r="AP1011" i="5"/>
  <c r="M1011" i="5"/>
  <c r="AP906" i="5"/>
  <c r="M906" i="5"/>
  <c r="AP1081" i="5"/>
  <c r="M1081" i="5"/>
  <c r="AP623" i="5"/>
  <c r="M623" i="5"/>
  <c r="AP1217" i="5"/>
  <c r="M1217" i="5"/>
  <c r="AP709" i="5"/>
  <c r="M709" i="5"/>
  <c r="AP1177" i="5"/>
  <c r="M1177" i="5"/>
  <c r="AP507" i="5"/>
  <c r="M507" i="5"/>
  <c r="AP219" i="5"/>
  <c r="M219" i="5"/>
  <c r="AP206" i="5"/>
  <c r="M206" i="5"/>
  <c r="AP645" i="5"/>
  <c r="M645" i="5"/>
  <c r="AP1113" i="5"/>
  <c r="M1113" i="5"/>
  <c r="AP723" i="5"/>
  <c r="M723" i="5"/>
  <c r="Q495" i="5"/>
  <c r="Q486" i="5"/>
  <c r="Q484" i="5"/>
  <c r="Q482" i="5"/>
  <c r="AP418" i="5"/>
  <c r="Q405" i="5"/>
  <c r="M294" i="5"/>
  <c r="M175" i="5"/>
  <c r="AP82" i="5"/>
  <c r="AP131" i="5"/>
  <c r="M126" i="5"/>
  <c r="M99" i="5"/>
  <c r="AP97" i="5"/>
  <c r="M97" i="5"/>
  <c r="AP75" i="5"/>
  <c r="M75" i="5"/>
  <c r="AP73" i="5"/>
  <c r="Q211" i="5"/>
  <c r="Q19" i="5"/>
  <c r="Q14" i="5"/>
  <c r="Q9" i="5"/>
  <c r="Q1035" i="5"/>
  <c r="Q937" i="5"/>
  <c r="Q1047" i="5"/>
  <c r="Q954" i="5"/>
  <c r="Q934" i="5"/>
  <c r="Q1044" i="5"/>
  <c r="Q1041" i="5"/>
  <c r="Q910" i="5"/>
  <c r="Q907" i="5"/>
  <c r="Q1116" i="5"/>
  <c r="Q685" i="5"/>
  <c r="Q714" i="5"/>
  <c r="Q1215" i="5"/>
  <c r="Q510" i="5"/>
  <c r="Q555" i="5"/>
  <c r="Q480" i="5"/>
  <c r="M402" i="5"/>
  <c r="AP223" i="5"/>
  <c r="Q181" i="5"/>
  <c r="AP175" i="5"/>
  <c r="AP126" i="5"/>
  <c r="Q478" i="5"/>
  <c r="Q473" i="5"/>
  <c r="AP294" i="5"/>
  <c r="Q292" i="5"/>
  <c r="M178" i="5"/>
  <c r="Q133" i="5"/>
  <c r="Q128" i="5"/>
  <c r="M125" i="5"/>
  <c r="M473" i="5"/>
  <c r="AP402" i="5"/>
  <c r="Q400" i="5"/>
  <c r="M289" i="5"/>
  <c r="Q84" i="5"/>
  <c r="AP133" i="5"/>
  <c r="M133" i="5"/>
  <c r="AP128" i="5"/>
  <c r="M128" i="5"/>
  <c r="AP125" i="5"/>
  <c r="Q74" i="5"/>
  <c r="Q72" i="5"/>
  <c r="AP209" i="5"/>
  <c r="M209" i="5"/>
  <c r="AP17" i="5"/>
  <c r="M17" i="5"/>
  <c r="AP12" i="5"/>
  <c r="M12" i="5"/>
  <c r="AP7" i="5"/>
  <c r="M7" i="5"/>
  <c r="AP938" i="5"/>
  <c r="M938" i="5"/>
  <c r="AP1118" i="5"/>
  <c r="M1118" i="5"/>
  <c r="AP955" i="5"/>
  <c r="M955" i="5"/>
  <c r="AP1032" i="5"/>
  <c r="M1032" i="5"/>
  <c r="AP1029" i="5"/>
  <c r="M1029" i="5"/>
  <c r="AP952" i="5"/>
  <c r="M952" i="5"/>
  <c r="AP949" i="5"/>
  <c r="M949" i="5"/>
  <c r="AP1012" i="5"/>
  <c r="M1012" i="5"/>
  <c r="AP1009" i="5"/>
  <c r="M1009" i="5"/>
  <c r="AP1114" i="5"/>
  <c r="M1114" i="5"/>
  <c r="AP647" i="5"/>
  <c r="M647" i="5"/>
  <c r="AP617" i="5"/>
  <c r="M617" i="5"/>
  <c r="AP713" i="5"/>
  <c r="M713" i="5"/>
  <c r="AP1178" i="5"/>
  <c r="M1178" i="5"/>
  <c r="AP508" i="5"/>
  <c r="M508" i="5"/>
  <c r="AP220" i="5"/>
  <c r="M220" i="5"/>
  <c r="AP207" i="5"/>
  <c r="M207" i="5"/>
  <c r="AP646" i="5"/>
  <c r="M646" i="5"/>
  <c r="AP1145" i="5"/>
  <c r="M1145" i="5"/>
  <c r="AP724" i="5"/>
  <c r="M724" i="5"/>
  <c r="Q846" i="5"/>
  <c r="AP843" i="5"/>
  <c r="M843" i="5"/>
  <c r="Q12" i="5"/>
  <c r="Q1032" i="5"/>
  <c r="Q1009" i="5"/>
  <c r="Q220" i="5"/>
  <c r="Q573" i="5"/>
  <c r="Q723" i="5"/>
  <c r="Q866" i="5"/>
  <c r="AP893" i="5"/>
  <c r="M893" i="5"/>
  <c r="Q888" i="5"/>
  <c r="AP885" i="5"/>
  <c r="M885" i="5"/>
  <c r="Q1008" i="5"/>
  <c r="Q1005" i="5"/>
  <c r="Q898" i="5"/>
  <c r="Q895" i="5"/>
  <c r="Q839" i="5"/>
  <c r="Q1213" i="5"/>
  <c r="Q1142" i="5"/>
  <c r="Q1140" i="5"/>
  <c r="Q264" i="5"/>
  <c r="Q572" i="5"/>
  <c r="Q235" i="5"/>
  <c r="Q27" i="5"/>
  <c r="Q728" i="5"/>
  <c r="Q930" i="5"/>
  <c r="Q925" i="5"/>
  <c r="Q920" i="5"/>
  <c r="Q945" i="5"/>
  <c r="Q720" i="5"/>
  <c r="Q552" i="5"/>
  <c r="Q547" i="5"/>
  <c r="Q542" i="5"/>
  <c r="Q537" i="5"/>
  <c r="Q528" i="5"/>
  <c r="Q505" i="5"/>
  <c r="Q234" i="5"/>
  <c r="Q200" i="5"/>
  <c r="Q22" i="5"/>
  <c r="Q814" i="5"/>
  <c r="Q584" i="5"/>
  <c r="Q1212" i="5"/>
  <c r="Q214" i="5"/>
  <c r="Q849" i="5"/>
  <c r="Q1038" i="5"/>
  <c r="Q940" i="5"/>
  <c r="M857" i="5"/>
  <c r="Q79" i="5"/>
  <c r="AP14" i="5"/>
  <c r="M9" i="5"/>
  <c r="AP954" i="5"/>
  <c r="M934" i="5"/>
  <c r="AP907" i="5"/>
  <c r="M1116" i="5"/>
  <c r="AP510" i="5"/>
  <c r="Q1178" i="5"/>
  <c r="Q553" i="5"/>
  <c r="M573" i="5"/>
  <c r="M1080" i="5"/>
  <c r="M866" i="5"/>
  <c r="Q891" i="5"/>
  <c r="AP888" i="5"/>
  <c r="M888" i="5"/>
  <c r="Q997" i="5"/>
  <c r="AP1008" i="5"/>
  <c r="M1008" i="5"/>
  <c r="AP1005" i="5"/>
  <c r="M1005" i="5"/>
  <c r="AP898" i="5"/>
  <c r="M898" i="5"/>
  <c r="AP895" i="5"/>
  <c r="M895" i="5"/>
  <c r="AP839" i="5"/>
  <c r="M839" i="5"/>
  <c r="AP1213" i="5"/>
  <c r="M1213" i="5"/>
  <c r="AP1142" i="5"/>
  <c r="M1142" i="5"/>
  <c r="AP1140" i="5"/>
  <c r="M1140" i="5"/>
  <c r="AP264" i="5"/>
  <c r="M264" i="5"/>
  <c r="AP572" i="5"/>
  <c r="M572" i="5"/>
  <c r="AP235" i="5"/>
  <c r="M235" i="5"/>
  <c r="AP27" i="5"/>
  <c r="M27" i="5"/>
  <c r="AP728" i="5"/>
  <c r="M728" i="5"/>
  <c r="AP930" i="5"/>
  <c r="M930" i="5"/>
  <c r="AP925" i="5"/>
  <c r="M925" i="5"/>
  <c r="AP920" i="5"/>
  <c r="M920" i="5"/>
  <c r="AP945" i="5"/>
  <c r="M945" i="5"/>
  <c r="AP720" i="5"/>
  <c r="M720" i="5"/>
  <c r="AP552" i="5"/>
  <c r="M552" i="5"/>
  <c r="AP547" i="5"/>
  <c r="M547" i="5"/>
  <c r="AP542" i="5"/>
  <c r="M542" i="5"/>
  <c r="AP537" i="5"/>
  <c r="M537" i="5"/>
  <c r="AP528" i="5"/>
  <c r="M528" i="5"/>
  <c r="AP505" i="5"/>
  <c r="M505" i="5"/>
  <c r="AP234" i="5"/>
  <c r="M234" i="5"/>
  <c r="M79" i="5"/>
  <c r="Q7" i="5"/>
  <c r="Q1029" i="5"/>
  <c r="Q1114" i="5"/>
  <c r="M555" i="5"/>
  <c r="M553" i="5"/>
  <c r="AP573" i="5"/>
  <c r="M205" i="5"/>
  <c r="AP1080" i="5"/>
  <c r="Q842" i="5"/>
  <c r="Q1019" i="5"/>
  <c r="Q915" i="5"/>
  <c r="M865" i="5"/>
  <c r="M957" i="5"/>
  <c r="Q903" i="5"/>
  <c r="AP891" i="5"/>
  <c r="M891" i="5"/>
  <c r="Q998" i="5"/>
  <c r="AP997" i="5"/>
  <c r="M997" i="5"/>
  <c r="Q902" i="5"/>
  <c r="Q899" i="5"/>
  <c r="Q1002" i="5"/>
  <c r="Q840" i="5"/>
  <c r="Q831" i="5"/>
  <c r="Q203" i="5"/>
  <c r="Q1111" i="5"/>
  <c r="Q1108" i="5"/>
  <c r="Q1079" i="5"/>
  <c r="Q1106" i="5"/>
  <c r="Q30" i="5"/>
  <c r="Q731" i="5"/>
  <c r="Q726" i="5"/>
  <c r="Q928" i="5"/>
  <c r="Q923" i="5"/>
  <c r="Q948" i="5"/>
  <c r="Q818" i="5"/>
  <c r="Q815" i="5"/>
  <c r="Q550" i="5"/>
  <c r="Q545" i="5"/>
  <c r="Q540" i="5"/>
  <c r="Q531" i="5"/>
  <c r="Q217" i="5"/>
  <c r="Q216" i="5"/>
  <c r="AP79" i="5"/>
  <c r="Q77" i="5"/>
  <c r="AP9" i="5"/>
  <c r="M1035" i="5"/>
  <c r="AP934" i="5"/>
  <c r="M1044" i="5"/>
  <c r="AP1116" i="5"/>
  <c r="M685" i="5"/>
  <c r="AP553" i="5"/>
  <c r="AP842" i="5"/>
  <c r="M842" i="5"/>
  <c r="AP1019" i="5"/>
  <c r="M1019" i="5"/>
  <c r="AP915" i="5"/>
  <c r="M915" i="5"/>
  <c r="AP957" i="5"/>
  <c r="AP903" i="5"/>
  <c r="M903" i="5"/>
  <c r="Q999" i="5"/>
  <c r="AP998" i="5"/>
  <c r="M998" i="5"/>
  <c r="Q886" i="5"/>
  <c r="AP902" i="5"/>
  <c r="M902" i="5"/>
  <c r="AP899" i="5"/>
  <c r="M899" i="5"/>
  <c r="AP1002" i="5"/>
  <c r="M1002" i="5"/>
  <c r="AP840" i="5"/>
  <c r="M840" i="5"/>
  <c r="AP831" i="5"/>
  <c r="M831" i="5"/>
  <c r="AP203" i="5"/>
  <c r="M203" i="5"/>
  <c r="AP1111" i="5"/>
  <c r="M1111" i="5"/>
  <c r="AP1108" i="5"/>
  <c r="M1108" i="5"/>
  <c r="AP1079" i="5"/>
  <c r="M1079" i="5"/>
  <c r="AP1106" i="5"/>
  <c r="M1106" i="5"/>
  <c r="AP30" i="5"/>
  <c r="M30" i="5"/>
  <c r="AP731" i="5"/>
  <c r="M731" i="5"/>
  <c r="AP726" i="5"/>
  <c r="M726" i="5"/>
  <c r="AP928" i="5"/>
  <c r="M928" i="5"/>
  <c r="AP923" i="5"/>
  <c r="M923" i="5"/>
  <c r="AP948" i="5"/>
  <c r="M948" i="5"/>
  <c r="AP818" i="5"/>
  <c r="M818" i="5"/>
  <c r="AP815" i="5"/>
  <c r="M815" i="5"/>
  <c r="AP550" i="5"/>
  <c r="M550" i="5"/>
  <c r="AP545" i="5"/>
  <c r="M545" i="5"/>
  <c r="AP540" i="5"/>
  <c r="M540" i="5"/>
  <c r="AP531" i="5"/>
  <c r="M531" i="5"/>
  <c r="AP217" i="5"/>
  <c r="M217" i="5"/>
  <c r="AP216" i="5"/>
  <c r="M216" i="5"/>
  <c r="AP487" i="5"/>
  <c r="M487" i="5"/>
  <c r="M77" i="5"/>
  <c r="Q938" i="5"/>
  <c r="Q952" i="5"/>
  <c r="Q647" i="5"/>
  <c r="AP555" i="5"/>
  <c r="Q1145" i="5"/>
  <c r="AP205" i="5"/>
  <c r="Q867" i="5"/>
  <c r="Q845" i="5"/>
  <c r="M844" i="5"/>
  <c r="AP999" i="5"/>
  <c r="M999" i="5"/>
  <c r="Q889" i="5"/>
  <c r="AP886" i="5"/>
  <c r="M886" i="5"/>
  <c r="Q862" i="5"/>
  <c r="Q1006" i="5"/>
  <c r="Q1003" i="5"/>
  <c r="Q896" i="5"/>
  <c r="Q832" i="5"/>
  <c r="Q819" i="5"/>
  <c r="Q722" i="5"/>
  <c r="Q1110" i="5"/>
  <c r="Q1138" i="5"/>
  <c r="Q1077" i="5"/>
  <c r="Q236" i="5"/>
  <c r="Q28" i="5"/>
  <c r="Q729" i="5"/>
  <c r="Q931" i="5"/>
  <c r="Q926" i="5"/>
  <c r="Q921" i="5"/>
  <c r="Q946" i="5"/>
  <c r="Q817" i="5"/>
  <c r="Q218" i="5"/>
  <c r="Q548" i="5"/>
  <c r="Q543" i="5"/>
  <c r="Q538" i="5"/>
  <c r="Q530" i="5"/>
  <c r="Q629" i="5"/>
  <c r="Q489" i="5"/>
  <c r="AP77" i="5"/>
  <c r="M211" i="5"/>
  <c r="AP1035" i="5"/>
  <c r="M937" i="5"/>
  <c r="AP1044" i="5"/>
  <c r="M1041" i="5"/>
  <c r="AP685" i="5"/>
  <c r="M714" i="5"/>
  <c r="Q508" i="5"/>
  <c r="Q207" i="5"/>
  <c r="Q1144" i="5"/>
  <c r="M867" i="5"/>
  <c r="AP845" i="5"/>
  <c r="M845" i="5"/>
  <c r="AP844" i="5"/>
  <c r="Q892" i="5"/>
  <c r="AP889" i="5"/>
  <c r="M889" i="5"/>
  <c r="Q863" i="5"/>
  <c r="M862" i="5"/>
  <c r="AP1006" i="5"/>
  <c r="M1006" i="5"/>
  <c r="AP1003" i="5"/>
  <c r="M1003" i="5"/>
  <c r="AP896" i="5"/>
  <c r="M896" i="5"/>
  <c r="AP832" i="5"/>
  <c r="M832" i="5"/>
  <c r="AP819" i="5"/>
  <c r="M819" i="5"/>
  <c r="AP722" i="5"/>
  <c r="M722" i="5"/>
  <c r="AP1110" i="5"/>
  <c r="M1110" i="5"/>
  <c r="AP1138" i="5"/>
  <c r="M1138" i="5"/>
  <c r="AP1077" i="5"/>
  <c r="M1077" i="5"/>
  <c r="AP236" i="5"/>
  <c r="M236" i="5"/>
  <c r="AP28" i="5"/>
  <c r="M28" i="5"/>
  <c r="AP729" i="5"/>
  <c r="M729" i="5"/>
  <c r="AP931" i="5"/>
  <c r="M931" i="5"/>
  <c r="AP926" i="5"/>
  <c r="M926" i="5"/>
  <c r="AP921" i="5"/>
  <c r="M921" i="5"/>
  <c r="AP946" i="5"/>
  <c r="M946" i="5"/>
  <c r="AP817" i="5"/>
  <c r="M817" i="5"/>
  <c r="AP218" i="5"/>
  <c r="M218" i="5"/>
  <c r="AP548" i="5"/>
  <c r="M548" i="5"/>
  <c r="AP543" i="5"/>
  <c r="M543" i="5"/>
  <c r="AP538" i="5"/>
  <c r="M538" i="5"/>
  <c r="AP530" i="5"/>
  <c r="M530" i="5"/>
  <c r="AP629" i="5"/>
  <c r="M629" i="5"/>
  <c r="AP489" i="5"/>
  <c r="M489" i="5"/>
  <c r="AP25" i="5"/>
  <c r="M25" i="5"/>
  <c r="Q209" i="5"/>
  <c r="Q1118" i="5"/>
  <c r="Q949" i="5"/>
  <c r="Q617" i="5"/>
  <c r="Q554" i="5"/>
  <c r="Q1146" i="5"/>
  <c r="M1144" i="5"/>
  <c r="Q204" i="5"/>
  <c r="AP892" i="5"/>
  <c r="M892" i="5"/>
  <c r="Q864" i="5"/>
  <c r="M863" i="5"/>
  <c r="Q1007" i="5"/>
  <c r="Q900" i="5"/>
  <c r="Q897" i="5"/>
  <c r="Q841" i="5"/>
  <c r="Q838" i="5"/>
  <c r="Q201" i="5"/>
  <c r="Q88" i="5"/>
  <c r="Q1109" i="5"/>
  <c r="Q630" i="5"/>
  <c r="Q1107" i="5"/>
  <c r="Q31" i="5"/>
  <c r="Q26" i="5"/>
  <c r="Q727" i="5"/>
  <c r="Q929" i="5"/>
  <c r="Q924" i="5"/>
  <c r="Q919" i="5"/>
  <c r="Q944" i="5"/>
  <c r="Q816" i="5"/>
  <c r="Q551" i="5"/>
  <c r="Q546" i="5"/>
  <c r="Q541" i="5"/>
  <c r="Q536" i="5"/>
  <c r="Q535" i="5"/>
  <c r="AP211" i="5"/>
  <c r="M19" i="5"/>
  <c r="AP937" i="5"/>
  <c r="M1047" i="5"/>
  <c r="AP1041" i="5"/>
  <c r="M910" i="5"/>
  <c r="AP714" i="5"/>
  <c r="M1215" i="5"/>
  <c r="M554" i="5"/>
  <c r="M1146" i="5"/>
  <c r="AP1144" i="5"/>
  <c r="M204" i="5"/>
  <c r="Q835" i="5"/>
  <c r="M834" i="5"/>
  <c r="M916" i="5"/>
  <c r="Q17" i="5"/>
  <c r="Q955" i="5"/>
  <c r="Q1012" i="5"/>
  <c r="Q713" i="5"/>
  <c r="AP554" i="5"/>
  <c r="AP1146" i="5"/>
  <c r="Q724" i="5"/>
  <c r="AP204" i="5"/>
  <c r="Q847" i="5"/>
  <c r="Q843" i="5"/>
  <c r="AP834" i="5"/>
  <c r="AP916" i="5"/>
  <c r="AP914" i="5"/>
  <c r="Q914" i="5"/>
  <c r="AP19" i="5"/>
  <c r="M14" i="5"/>
  <c r="AP1047" i="5"/>
  <c r="M954" i="5"/>
  <c r="AP910" i="5"/>
  <c r="M907" i="5"/>
  <c r="AP1215" i="5"/>
  <c r="M510" i="5"/>
  <c r="Q646" i="5"/>
  <c r="AP847" i="5"/>
  <c r="M847" i="5"/>
  <c r="M914" i="5"/>
  <c r="Q893" i="5"/>
  <c r="AP890" i="5"/>
  <c r="M890" i="5"/>
  <c r="Q885" i="5"/>
  <c r="AP901" i="5"/>
  <c r="M901" i="5"/>
  <c r="AP1004" i="5"/>
  <c r="M1004" i="5"/>
  <c r="AP1001" i="5"/>
  <c r="M1001" i="5"/>
  <c r="AP833" i="5"/>
  <c r="M833" i="5"/>
  <c r="AP830" i="5"/>
  <c r="M830" i="5"/>
  <c r="AP202" i="5"/>
  <c r="M202" i="5"/>
  <c r="AP1141" i="5"/>
  <c r="M1141" i="5"/>
  <c r="AP1139" i="5"/>
  <c r="M1139" i="5"/>
  <c r="AP1078" i="5"/>
  <c r="M1078" i="5"/>
  <c r="AP1137" i="5"/>
  <c r="M1137" i="5"/>
  <c r="AP29" i="5"/>
  <c r="M29" i="5"/>
  <c r="AP730" i="5"/>
  <c r="M730" i="5"/>
  <c r="AP725" i="5"/>
  <c r="M725" i="5"/>
  <c r="AP927" i="5"/>
  <c r="M927" i="5"/>
  <c r="M851" i="5"/>
  <c r="Q852" i="5"/>
  <c r="M880" i="5"/>
  <c r="AP880" i="5"/>
  <c r="Q883" i="5"/>
  <c r="Q911" i="5"/>
  <c r="M917" i="5"/>
  <c r="AP917" i="5"/>
  <c r="AP940" i="5"/>
  <c r="AP1028" i="5"/>
  <c r="M941" i="5"/>
  <c r="AP941" i="5"/>
  <c r="M942" i="5"/>
  <c r="AP942" i="5"/>
  <c r="F849" i="5"/>
  <c r="AP214" i="5"/>
  <c r="AA1211" i="5"/>
  <c r="D1211" i="5" s="1"/>
  <c r="AA1200" i="5"/>
  <c r="D1200" i="5" s="1"/>
  <c r="Q569" i="5"/>
  <c r="Q570" i="5"/>
  <c r="Q198" i="5"/>
  <c r="M24" i="5"/>
  <c r="AP24" i="5"/>
  <c r="Q488" i="5"/>
  <c r="Q529" i="5"/>
  <c r="AA536" i="5"/>
  <c r="D536" i="5" s="1"/>
  <c r="M541" i="5"/>
  <c r="AA545" i="5"/>
  <c r="D545" i="5" s="1"/>
  <c r="F545" i="5"/>
  <c r="M549" i="5"/>
  <c r="AP816" i="5"/>
  <c r="AA817" i="5"/>
  <c r="D817" i="5" s="1"/>
  <c r="AP947" i="5"/>
  <c r="AA920" i="5"/>
  <c r="D920" i="5" s="1"/>
  <c r="AP924" i="5"/>
  <c r="AA1106" i="5"/>
  <c r="D1106" i="5" s="1"/>
  <c r="F1106" i="5"/>
  <c r="M630" i="5"/>
  <c r="AA1110" i="5"/>
  <c r="D1110" i="5" s="1"/>
  <c r="AA202" i="5"/>
  <c r="D202" i="5" s="1"/>
  <c r="M838" i="5"/>
  <c r="AA896" i="5"/>
  <c r="D896" i="5" s="1"/>
  <c r="AA898" i="5"/>
  <c r="D898" i="5" s="1"/>
  <c r="Q901" i="5"/>
  <c r="AP1007" i="5"/>
  <c r="AA890" i="5"/>
  <c r="D890" i="5" s="1"/>
  <c r="M904" i="5"/>
  <c r="AA88" i="5"/>
  <c r="D88" i="5" s="1"/>
  <c r="AA201" i="5"/>
  <c r="D201" i="5" s="1"/>
  <c r="AA838" i="5"/>
  <c r="D838" i="5" s="1"/>
  <c r="AA841" i="5"/>
  <c r="D841" i="5" s="1"/>
  <c r="AA897" i="5"/>
  <c r="D897" i="5" s="1"/>
  <c r="AA900" i="5"/>
  <c r="D900" i="5" s="1"/>
  <c r="AA864" i="5"/>
  <c r="D864" i="5" s="1"/>
  <c r="AA491" i="5"/>
  <c r="D491" i="5" s="1"/>
  <c r="AA1193" i="5"/>
  <c r="D1193" i="5" s="1"/>
  <c r="AA648" i="5"/>
  <c r="D648" i="5" s="1"/>
  <c r="F648" i="5"/>
  <c r="AA686" i="5"/>
  <c r="D686" i="5" s="1"/>
  <c r="AA1043" i="5"/>
  <c r="D1043" i="5" s="1"/>
  <c r="F1043" i="5"/>
  <c r="AA932" i="5"/>
  <c r="D932" i="5" s="1"/>
  <c r="AA939" i="5"/>
  <c r="D939" i="5" s="1"/>
  <c r="F939" i="5"/>
  <c r="AA1036" i="5"/>
  <c r="D1036" i="5" s="1"/>
  <c r="AA78" i="5"/>
  <c r="D78" i="5" s="1"/>
  <c r="F78" i="5"/>
  <c r="AA205" i="5"/>
  <c r="D205" i="5" s="1"/>
  <c r="AA265" i="5"/>
  <c r="D265" i="5" s="1"/>
  <c r="AA556" i="5"/>
  <c r="D556" i="5" s="1"/>
  <c r="AA1114" i="5"/>
  <c r="D1114" i="5" s="1"/>
  <c r="AA1029" i="5"/>
  <c r="D1029" i="5" s="1"/>
  <c r="AA7" i="5"/>
  <c r="D7" i="5" s="1"/>
  <c r="AA846" i="5"/>
  <c r="D846" i="5" s="1"/>
  <c r="AA208" i="5"/>
  <c r="D208" i="5" s="1"/>
  <c r="F208" i="5"/>
  <c r="AA1178" i="5"/>
  <c r="D1178" i="5" s="1"/>
  <c r="AA1115" i="5"/>
  <c r="D1115" i="5" s="1"/>
  <c r="F1115" i="5"/>
  <c r="AA905" i="5"/>
  <c r="D905" i="5" s="1"/>
  <c r="AA1030" i="5"/>
  <c r="D1030" i="5" s="1"/>
  <c r="F1030" i="5"/>
  <c r="AA935" i="5"/>
  <c r="D935" i="5" s="1"/>
  <c r="AA8" i="5"/>
  <c r="D8" i="5" s="1"/>
  <c r="F8" i="5"/>
  <c r="AA10" i="5"/>
  <c r="D10" i="5" s="1"/>
  <c r="AA79" i="5"/>
  <c r="D79" i="5" s="1"/>
  <c r="AA574" i="5"/>
  <c r="D574" i="5" s="1"/>
  <c r="F574" i="5"/>
  <c r="AA220" i="5"/>
  <c r="D220" i="5" s="1"/>
  <c r="AA509" i="5"/>
  <c r="D509" i="5" s="1"/>
  <c r="F509" i="5"/>
  <c r="AA1009" i="5"/>
  <c r="D1009" i="5" s="1"/>
  <c r="AA1032" i="5"/>
  <c r="D1032" i="5" s="1"/>
  <c r="AA12" i="5"/>
  <c r="D12" i="5" s="1"/>
  <c r="F865" i="5"/>
  <c r="AA915" i="5"/>
  <c r="D915" i="5" s="1"/>
  <c r="F205" i="5"/>
  <c r="AA646" i="5"/>
  <c r="D646" i="5" s="1"/>
  <c r="AA1214" i="5"/>
  <c r="D1214" i="5" s="1"/>
  <c r="AA1010" i="5"/>
  <c r="D1010" i="5" s="1"/>
  <c r="F1010" i="5"/>
  <c r="AA908" i="5"/>
  <c r="D908" i="5" s="1"/>
  <c r="AA953" i="5"/>
  <c r="D953" i="5" s="1"/>
  <c r="F953" i="5"/>
  <c r="AA1045" i="5"/>
  <c r="D1045" i="5" s="1"/>
  <c r="AA13" i="5"/>
  <c r="D13" i="5" s="1"/>
  <c r="F13" i="5"/>
  <c r="AA15" i="5"/>
  <c r="D15" i="5" s="1"/>
  <c r="F528" i="5"/>
  <c r="F537" i="5"/>
  <c r="F542" i="5"/>
  <c r="F547" i="5"/>
  <c r="F552" i="5"/>
  <c r="F720" i="5"/>
  <c r="F945" i="5"/>
  <c r="F920" i="5"/>
  <c r="F925" i="5"/>
  <c r="F930" i="5"/>
  <c r="F728" i="5"/>
  <c r="F27" i="5"/>
  <c r="F235" i="5"/>
  <c r="F572" i="5"/>
  <c r="F264" i="5"/>
  <c r="F1140" i="5"/>
  <c r="F1142" i="5"/>
  <c r="F1213" i="5"/>
  <c r="F839" i="5"/>
  <c r="F895" i="5"/>
  <c r="F898" i="5"/>
  <c r="F1005" i="5"/>
  <c r="F1008" i="5"/>
  <c r="F888" i="5"/>
  <c r="F1080" i="5"/>
  <c r="AA724" i="5"/>
  <c r="D724" i="5" s="1"/>
  <c r="F724" i="5"/>
  <c r="F265" i="5"/>
  <c r="AA221" i="5"/>
  <c r="D221" i="5" s="1"/>
  <c r="AA713" i="5"/>
  <c r="D713" i="5" s="1"/>
  <c r="AA1012" i="5"/>
  <c r="D1012" i="5" s="1"/>
  <c r="AA955" i="5"/>
  <c r="D955" i="5" s="1"/>
  <c r="AA17" i="5"/>
  <c r="D17" i="5" s="1"/>
  <c r="F885" i="5"/>
  <c r="F893" i="5"/>
  <c r="AA579" i="5"/>
  <c r="D579" i="5" s="1"/>
  <c r="AA616" i="5"/>
  <c r="D616" i="5" s="1"/>
  <c r="F616" i="5"/>
  <c r="AA1216" i="5"/>
  <c r="D1216" i="5" s="1"/>
  <c r="AA909" i="5"/>
  <c r="D909" i="5" s="1"/>
  <c r="F909" i="5"/>
  <c r="AA1013" i="5"/>
  <c r="D1013" i="5" s="1"/>
  <c r="AA956" i="5"/>
  <c r="D956" i="5" s="1"/>
  <c r="F956" i="5"/>
  <c r="AA1048" i="5"/>
  <c r="D1048" i="5" s="1"/>
  <c r="AA18" i="5"/>
  <c r="D18" i="5" s="1"/>
  <c r="F18" i="5"/>
  <c r="AA20" i="5"/>
  <c r="D20" i="5" s="1"/>
  <c r="F890" i="5"/>
  <c r="F846" i="5"/>
  <c r="AA1143" i="5"/>
  <c r="D1143" i="5" s="1"/>
  <c r="AA1147" i="5"/>
  <c r="D1147" i="5" s="1"/>
  <c r="F1147" i="5"/>
  <c r="AA506" i="5"/>
  <c r="D506" i="5" s="1"/>
  <c r="F506" i="5"/>
  <c r="AA617" i="5"/>
  <c r="D617" i="5" s="1"/>
  <c r="AA949" i="5"/>
  <c r="D949" i="5" s="1"/>
  <c r="AA1118" i="5"/>
  <c r="D1118" i="5" s="1"/>
  <c r="AA209" i="5"/>
  <c r="D209" i="5" s="1"/>
  <c r="AA843" i="5"/>
  <c r="D843" i="5" s="1"/>
  <c r="AA1112" i="5"/>
  <c r="D1112" i="5" s="1"/>
  <c r="F1112" i="5"/>
  <c r="AA207" i="5"/>
  <c r="D207" i="5" s="1"/>
  <c r="AA508" i="5"/>
  <c r="D508" i="5" s="1"/>
  <c r="AA710" i="5"/>
  <c r="D710" i="5" s="1"/>
  <c r="F710" i="5"/>
  <c r="AA820" i="5"/>
  <c r="D820" i="5" s="1"/>
  <c r="AA950" i="5"/>
  <c r="D950" i="5" s="1"/>
  <c r="F950" i="5"/>
  <c r="AA1042" i="5"/>
  <c r="D1042" i="5" s="1"/>
  <c r="AA936" i="5"/>
  <c r="D936" i="5" s="1"/>
  <c r="F936" i="5"/>
  <c r="AA1033" i="5"/>
  <c r="D1033" i="5" s="1"/>
  <c r="AA210" i="5"/>
  <c r="D210" i="5" s="1"/>
  <c r="F210" i="5"/>
  <c r="AA212" i="5"/>
  <c r="D212" i="5" s="1"/>
  <c r="AA127" i="5"/>
  <c r="D127" i="5" s="1"/>
  <c r="AA904" i="5"/>
  <c r="D904" i="5" s="1"/>
  <c r="F916" i="5"/>
  <c r="F834" i="5"/>
  <c r="F835" i="5"/>
  <c r="AA867" i="5"/>
  <c r="D867" i="5" s="1"/>
  <c r="AA1145" i="5"/>
  <c r="D1145" i="5" s="1"/>
  <c r="F221" i="5"/>
  <c r="AA647" i="5"/>
  <c r="D647" i="5" s="1"/>
  <c r="AA952" i="5"/>
  <c r="D952" i="5" s="1"/>
  <c r="AA938" i="5"/>
  <c r="D938" i="5" s="1"/>
  <c r="AA74" i="5"/>
  <c r="D74" i="5" s="1"/>
  <c r="F76" i="5"/>
  <c r="AA76" i="5"/>
  <c r="D76" i="5" s="1"/>
  <c r="AA227" i="5"/>
  <c r="D227" i="5" s="1"/>
  <c r="F227" i="5"/>
  <c r="AA384" i="5"/>
  <c r="D384" i="5" s="1"/>
  <c r="AA421" i="5"/>
  <c r="D421" i="5" s="1"/>
  <c r="AA502" i="5"/>
  <c r="D502" i="5" s="1"/>
  <c r="AA533" i="5"/>
  <c r="D533" i="5" s="1"/>
  <c r="AA562" i="5"/>
  <c r="D562" i="5" s="1"/>
  <c r="AA1155" i="5"/>
  <c r="D1155" i="5" s="1"/>
  <c r="AA1156" i="5"/>
  <c r="D1156" i="5" s="1"/>
  <c r="AA599" i="5"/>
  <c r="D599" i="5" s="1"/>
  <c r="AA176" i="5"/>
  <c r="D176" i="5" s="1"/>
  <c r="AA229" i="5"/>
  <c r="D229" i="5" s="1"/>
  <c r="AA386" i="5"/>
  <c r="D386" i="5" s="1"/>
  <c r="AA422" i="5"/>
  <c r="D422" i="5" s="1"/>
  <c r="F422" i="5"/>
  <c r="AA464" i="5"/>
  <c r="D464" i="5" s="1"/>
  <c r="F464" i="5"/>
  <c r="AA1152" i="5"/>
  <c r="D1152" i="5" s="1"/>
  <c r="AA83" i="5"/>
  <c r="D83" i="5" s="1"/>
  <c r="AA195" i="5"/>
  <c r="D195" i="5" s="1"/>
  <c r="AA287" i="5"/>
  <c r="D287" i="5" s="1"/>
  <c r="AA387" i="5"/>
  <c r="D387" i="5" s="1"/>
  <c r="F387" i="5"/>
  <c r="AA467" i="5"/>
  <c r="D467" i="5" s="1"/>
  <c r="AA1150" i="5"/>
  <c r="D1150" i="5" s="1"/>
  <c r="AA1151" i="5"/>
  <c r="D1151" i="5" s="1"/>
  <c r="AA98" i="5"/>
  <c r="D98" i="5" s="1"/>
  <c r="AA101" i="5"/>
  <c r="D101" i="5" s="1"/>
  <c r="F101" i="5"/>
  <c r="AA132" i="5"/>
  <c r="D132" i="5" s="1"/>
  <c r="AA197" i="5"/>
  <c r="D197" i="5" s="1"/>
  <c r="AA288" i="5"/>
  <c r="D288" i="5" s="1"/>
  <c r="F288" i="5"/>
  <c r="AA389" i="5"/>
  <c r="D389" i="5" s="1"/>
  <c r="AA468" i="5"/>
  <c r="D468" i="5" s="1"/>
  <c r="AA469" i="5"/>
  <c r="D469" i="5" s="1"/>
  <c r="F469" i="5"/>
  <c r="AA578" i="5"/>
  <c r="D578" i="5" s="1"/>
  <c r="AA595" i="5"/>
  <c r="D595" i="5" s="1"/>
  <c r="AA100" i="5"/>
  <c r="D100" i="5" s="1"/>
  <c r="AA177" i="5"/>
  <c r="D177" i="5" s="1"/>
  <c r="F177" i="5"/>
  <c r="AA290" i="5"/>
  <c r="D290" i="5" s="1"/>
  <c r="AA400" i="5"/>
  <c r="D400" i="5" s="1"/>
  <c r="AA472" i="5"/>
  <c r="D472" i="5" s="1"/>
  <c r="AA576" i="5"/>
  <c r="D576" i="5" s="1"/>
  <c r="F556" i="5"/>
  <c r="F1214" i="5"/>
  <c r="F1216" i="5"/>
  <c r="F820" i="5"/>
  <c r="F686" i="5"/>
  <c r="F905" i="5"/>
  <c r="F908" i="5"/>
  <c r="F1013" i="5"/>
  <c r="F1042" i="5"/>
  <c r="F932" i="5"/>
  <c r="F935" i="5"/>
  <c r="F1045" i="5"/>
  <c r="F1048" i="5"/>
  <c r="F1033" i="5"/>
  <c r="F1036" i="5"/>
  <c r="F10" i="5"/>
  <c r="F15" i="5"/>
  <c r="F20" i="5"/>
  <c r="F212" i="5"/>
  <c r="F127" i="5"/>
  <c r="AA85" i="5"/>
  <c r="D85" i="5" s="1"/>
  <c r="F85" i="5"/>
  <c r="F176" i="5"/>
  <c r="AA179" i="5"/>
  <c r="D179" i="5" s="1"/>
  <c r="AA292" i="5"/>
  <c r="D292" i="5" s="1"/>
  <c r="AA401" i="5"/>
  <c r="D401" i="5" s="1"/>
  <c r="F401" i="5"/>
  <c r="AA473" i="5"/>
  <c r="D473" i="5" s="1"/>
  <c r="AA474" i="5"/>
  <c r="D474" i="5" s="1"/>
  <c r="F474" i="5"/>
  <c r="AA1089" i="5"/>
  <c r="D1089" i="5" s="1"/>
  <c r="AA575" i="5"/>
  <c r="D575" i="5" s="1"/>
  <c r="AA1165" i="5"/>
  <c r="D1165" i="5" s="1"/>
  <c r="F74" i="5"/>
  <c r="F98" i="5"/>
  <c r="AA129" i="5"/>
  <c r="D129" i="5" s="1"/>
  <c r="F129" i="5"/>
  <c r="F132" i="5"/>
  <c r="F83" i="5"/>
  <c r="AA181" i="5"/>
  <c r="D181" i="5" s="1"/>
  <c r="AA293" i="5"/>
  <c r="D293" i="5" s="1"/>
  <c r="F293" i="5"/>
  <c r="AA403" i="5"/>
  <c r="D403" i="5" s="1"/>
  <c r="AA477" i="5"/>
  <c r="D477" i="5" s="1"/>
  <c r="AA479" i="5"/>
  <c r="D479" i="5" s="1"/>
  <c r="AA480" i="5"/>
  <c r="D480" i="5" s="1"/>
  <c r="F1145" i="5"/>
  <c r="F646" i="5"/>
  <c r="F207" i="5"/>
  <c r="F220" i="5"/>
  <c r="F508" i="5"/>
  <c r="F1178" i="5"/>
  <c r="F713" i="5"/>
  <c r="F617" i="5"/>
  <c r="F647" i="5"/>
  <c r="F1114" i="5"/>
  <c r="F1009" i="5"/>
  <c r="F1012" i="5"/>
  <c r="F949" i="5"/>
  <c r="F952" i="5"/>
  <c r="F1029" i="5"/>
  <c r="F1032" i="5"/>
  <c r="F955" i="5"/>
  <c r="F1118" i="5"/>
  <c r="F938" i="5"/>
  <c r="F7" i="5"/>
  <c r="F12" i="5"/>
  <c r="F17" i="5"/>
  <c r="F209" i="5"/>
  <c r="AA96" i="5"/>
  <c r="D96" i="5" s="1"/>
  <c r="AA222" i="5"/>
  <c r="D222" i="5" s="1"/>
  <c r="F222" i="5"/>
  <c r="AA379" i="5"/>
  <c r="D379" i="5" s="1"/>
  <c r="AA405" i="5"/>
  <c r="D405" i="5" s="1"/>
  <c r="AA481" i="5"/>
  <c r="D481" i="5" s="1"/>
  <c r="AA482" i="5"/>
  <c r="D482" i="5" s="1"/>
  <c r="AA484" i="5"/>
  <c r="D484" i="5" s="1"/>
  <c r="AA486" i="5"/>
  <c r="D486" i="5" s="1"/>
  <c r="AA126" i="5"/>
  <c r="D126" i="5" s="1"/>
  <c r="AA128" i="5"/>
  <c r="D128" i="5" s="1"/>
  <c r="AA133" i="5"/>
  <c r="D133" i="5" s="1"/>
  <c r="AA175" i="5"/>
  <c r="D175" i="5" s="1"/>
  <c r="AA224" i="5"/>
  <c r="D224" i="5" s="1"/>
  <c r="AA381" i="5"/>
  <c r="D381" i="5" s="1"/>
  <c r="AA406" i="5"/>
  <c r="D406" i="5" s="1"/>
  <c r="F406" i="5"/>
  <c r="AA411" i="5"/>
  <c r="D411" i="5" s="1"/>
  <c r="F411" i="5"/>
  <c r="AA413" i="5"/>
  <c r="D413" i="5" s="1"/>
  <c r="F413" i="5"/>
  <c r="AA415" i="5"/>
  <c r="D415" i="5" s="1"/>
  <c r="F415" i="5"/>
  <c r="AA417" i="5"/>
  <c r="D417" i="5" s="1"/>
  <c r="F417" i="5"/>
  <c r="AA485" i="5"/>
  <c r="D485" i="5" s="1"/>
  <c r="AA494" i="5"/>
  <c r="D494" i="5" s="1"/>
  <c r="AA496" i="5"/>
  <c r="D496" i="5" s="1"/>
  <c r="AA497" i="5"/>
  <c r="D497" i="5" s="1"/>
  <c r="AA565" i="5"/>
  <c r="D565" i="5" s="1"/>
  <c r="AA1160" i="5"/>
  <c r="D1160" i="5" s="1"/>
  <c r="AA73" i="5"/>
  <c r="D73" i="5" s="1"/>
  <c r="AA131" i="5"/>
  <c r="D131" i="5" s="1"/>
  <c r="AA82" i="5"/>
  <c r="D82" i="5" s="1"/>
  <c r="AA226" i="5"/>
  <c r="D226" i="5" s="1"/>
  <c r="AA382" i="5"/>
  <c r="D382" i="5" s="1"/>
  <c r="F382" i="5"/>
  <c r="AA419" i="5"/>
  <c r="D419" i="5" s="1"/>
  <c r="AA498" i="5"/>
  <c r="D498" i="5" s="1"/>
  <c r="AA499" i="5"/>
  <c r="D499" i="5" s="1"/>
  <c r="AA501" i="5"/>
  <c r="D501" i="5" s="1"/>
  <c r="AA532" i="5"/>
  <c r="D532" i="5" s="1"/>
  <c r="AA563" i="5"/>
  <c r="D563" i="5" s="1"/>
  <c r="AA564" i="5"/>
  <c r="D564" i="5" s="1"/>
  <c r="AA289" i="5"/>
  <c r="D289" i="5" s="1"/>
  <c r="AA294" i="5"/>
  <c r="D294" i="5" s="1"/>
  <c r="AA383" i="5"/>
  <c r="D383" i="5" s="1"/>
  <c r="AA388" i="5"/>
  <c r="D388" i="5" s="1"/>
  <c r="AA402" i="5"/>
  <c r="D402" i="5" s="1"/>
  <c r="AA410" i="5"/>
  <c r="D410" i="5" s="1"/>
  <c r="AA412" i="5"/>
  <c r="D412" i="5" s="1"/>
  <c r="AA414" i="5"/>
  <c r="D414" i="5" s="1"/>
  <c r="AA416" i="5"/>
  <c r="D416" i="5" s="1"/>
  <c r="AA418" i="5"/>
  <c r="D418" i="5" s="1"/>
  <c r="AA483" i="5"/>
  <c r="D483" i="5" s="1"/>
  <c r="AA500" i="5"/>
  <c r="D500" i="5" s="1"/>
  <c r="AA566" i="5"/>
  <c r="D566" i="5" s="1"/>
  <c r="AA615" i="5"/>
  <c r="D615" i="5" s="1"/>
  <c r="AA1099" i="5"/>
  <c r="D1099" i="5" s="1"/>
  <c r="F1099" i="5"/>
  <c r="AA1101" i="5"/>
  <c r="D1101" i="5" s="1"/>
  <c r="AA1153" i="5"/>
  <c r="D1153" i="5" s="1"/>
  <c r="AA600" i="5"/>
  <c r="D600" i="5" s="1"/>
  <c r="AA1185" i="5"/>
  <c r="D1185" i="5" s="1"/>
  <c r="AA627" i="5"/>
  <c r="D627" i="5" s="1"/>
  <c r="F627" i="5"/>
  <c r="AA634" i="5"/>
  <c r="D634" i="5" s="1"/>
  <c r="AA675" i="5"/>
  <c r="D675" i="5" s="1"/>
  <c r="F675" i="5"/>
  <c r="AA1121" i="5"/>
  <c r="D1121" i="5" s="1"/>
  <c r="F481" i="5"/>
  <c r="F483" i="5"/>
  <c r="F498" i="5"/>
  <c r="F500" i="5"/>
  <c r="F564" i="5"/>
  <c r="F566" i="5"/>
  <c r="F1155" i="5"/>
  <c r="AA1157" i="5"/>
  <c r="D1157" i="5" s="1"/>
  <c r="AA607" i="5"/>
  <c r="D607" i="5" s="1"/>
  <c r="F607" i="5"/>
  <c r="AA612" i="5"/>
  <c r="D612" i="5" s="1"/>
  <c r="F612" i="5"/>
  <c r="AA1104" i="5"/>
  <c r="D1104" i="5" s="1"/>
  <c r="F1104" i="5"/>
  <c r="AA662" i="5"/>
  <c r="D662" i="5" s="1"/>
  <c r="AA1135" i="5"/>
  <c r="D1135" i="5" s="1"/>
  <c r="F1151" i="5"/>
  <c r="F1153" i="5"/>
  <c r="AA1158" i="5"/>
  <c r="D1158" i="5" s="1"/>
  <c r="F600" i="5"/>
  <c r="AA1188" i="5"/>
  <c r="D1188" i="5" s="1"/>
  <c r="F1188" i="5"/>
  <c r="AA1190" i="5"/>
  <c r="D1190" i="5" s="1"/>
  <c r="AA1124" i="5"/>
  <c r="D1124" i="5" s="1"/>
  <c r="F1124" i="5"/>
  <c r="AA1126" i="5"/>
  <c r="D1126" i="5" s="1"/>
  <c r="F195" i="5"/>
  <c r="F179" i="5"/>
  <c r="F224" i="5"/>
  <c r="F229" i="5"/>
  <c r="F290" i="5"/>
  <c r="F379" i="5"/>
  <c r="F384" i="5"/>
  <c r="F389" i="5"/>
  <c r="F403" i="5"/>
  <c r="F419" i="5"/>
  <c r="AA478" i="5"/>
  <c r="D478" i="5" s="1"/>
  <c r="AA495" i="5"/>
  <c r="D495" i="5" s="1"/>
  <c r="AA534" i="5"/>
  <c r="D534" i="5" s="1"/>
  <c r="F578" i="5"/>
  <c r="F1160" i="5"/>
  <c r="AA1162" i="5"/>
  <c r="D1162" i="5" s="1"/>
  <c r="F595" i="5"/>
  <c r="AA637" i="5"/>
  <c r="D637" i="5" s="1"/>
  <c r="F637" i="5"/>
  <c r="AA639" i="5"/>
  <c r="D639" i="5" s="1"/>
  <c r="AA665" i="5"/>
  <c r="D665" i="5" s="1"/>
  <c r="F665" i="5"/>
  <c r="AA667" i="5"/>
  <c r="D667" i="5" s="1"/>
  <c r="AA1128" i="5"/>
  <c r="D1128" i="5" s="1"/>
  <c r="AA1130" i="5"/>
  <c r="D1130" i="5" s="1"/>
  <c r="AA1163" i="5"/>
  <c r="D1163" i="5" s="1"/>
  <c r="F576" i="5"/>
  <c r="F1165" i="5"/>
  <c r="AA1167" i="5"/>
  <c r="D1167" i="5" s="1"/>
  <c r="AA601" i="5"/>
  <c r="D601" i="5" s="1"/>
  <c r="AA602" i="5"/>
  <c r="D602" i="5" s="1"/>
  <c r="AA1220" i="5"/>
  <c r="D1220" i="5" s="1"/>
  <c r="F1220" i="5"/>
  <c r="AA642" i="5"/>
  <c r="D642" i="5" s="1"/>
  <c r="F642" i="5"/>
  <c r="AA644" i="5"/>
  <c r="D644" i="5" s="1"/>
  <c r="AA706" i="5"/>
  <c r="D706" i="5" s="1"/>
  <c r="F468" i="5"/>
  <c r="F473" i="5"/>
  <c r="F478" i="5"/>
  <c r="F486" i="5"/>
  <c r="F495" i="5"/>
  <c r="F532" i="5"/>
  <c r="F534" i="5"/>
  <c r="F1150" i="5"/>
  <c r="F1152" i="5"/>
  <c r="F1158" i="5"/>
  <c r="AA1168" i="5"/>
  <c r="D1168" i="5" s="1"/>
  <c r="F599" i="5"/>
  <c r="AA1222" i="5"/>
  <c r="D1222" i="5" s="1"/>
  <c r="F1156" i="5"/>
  <c r="AA596" i="5"/>
  <c r="D596" i="5" s="1"/>
  <c r="AA597" i="5"/>
  <c r="D597" i="5" s="1"/>
  <c r="AA605" i="5"/>
  <c r="D605" i="5" s="1"/>
  <c r="AA610" i="5"/>
  <c r="D610" i="5" s="1"/>
  <c r="AA670" i="5"/>
  <c r="D670" i="5" s="1"/>
  <c r="F670" i="5"/>
  <c r="AA672" i="5"/>
  <c r="D672" i="5" s="1"/>
  <c r="AA606" i="5"/>
  <c r="D606" i="5" s="1"/>
  <c r="AA611" i="5"/>
  <c r="D611" i="5" s="1"/>
  <c r="AA1184" i="5"/>
  <c r="D1184" i="5" s="1"/>
  <c r="AA1189" i="5"/>
  <c r="D1189" i="5" s="1"/>
  <c r="AA1221" i="5"/>
  <c r="D1221" i="5" s="1"/>
  <c r="AA633" i="5"/>
  <c r="D633" i="5" s="1"/>
  <c r="AA638" i="5"/>
  <c r="D638" i="5" s="1"/>
  <c r="AA643" i="5"/>
  <c r="D643" i="5" s="1"/>
  <c r="AA1100" i="5"/>
  <c r="D1100" i="5" s="1"/>
  <c r="AA1105" i="5"/>
  <c r="D1105" i="5" s="1"/>
  <c r="AA666" i="5"/>
  <c r="D666" i="5" s="1"/>
  <c r="AA671" i="5"/>
  <c r="D671" i="5" s="1"/>
  <c r="AA676" i="5"/>
  <c r="D676" i="5" s="1"/>
  <c r="AA1125" i="5"/>
  <c r="D1125" i="5" s="1"/>
  <c r="AA758" i="5"/>
  <c r="D758" i="5" s="1"/>
  <c r="AA798" i="5"/>
  <c r="D798" i="5" s="1"/>
  <c r="AA823" i="5"/>
  <c r="D823" i="5" s="1"/>
  <c r="F823" i="5"/>
  <c r="AA825" i="5"/>
  <c r="D825" i="5" s="1"/>
  <c r="AA1134" i="5"/>
  <c r="D1134" i="5" s="1"/>
  <c r="F1134" i="5"/>
  <c r="AA678" i="5"/>
  <c r="D678" i="5" s="1"/>
  <c r="AA1199" i="5"/>
  <c r="D1199" i="5" s="1"/>
  <c r="AA775" i="5"/>
  <c r="D775" i="5" s="1"/>
  <c r="AA799" i="5"/>
  <c r="D799" i="5" s="1"/>
  <c r="F799" i="5"/>
  <c r="AA801" i="5"/>
  <c r="D801" i="5" s="1"/>
  <c r="AA970" i="5"/>
  <c r="D970" i="5" s="1"/>
  <c r="AA1050" i="5"/>
  <c r="D1050" i="5" s="1"/>
  <c r="AA760" i="5"/>
  <c r="D760" i="5" s="1"/>
  <c r="AA776" i="5"/>
  <c r="D776" i="5" s="1"/>
  <c r="F776" i="5"/>
  <c r="AA778" i="5"/>
  <c r="D778" i="5" s="1"/>
  <c r="AA827" i="5"/>
  <c r="D827" i="5" s="1"/>
  <c r="F972" i="5"/>
  <c r="AA972" i="5"/>
  <c r="D972" i="5" s="1"/>
  <c r="AA992" i="5"/>
  <c r="D992" i="5" s="1"/>
  <c r="F1128" i="5"/>
  <c r="AA682" i="5"/>
  <c r="D682" i="5" s="1"/>
  <c r="AA1171" i="5"/>
  <c r="D1171" i="5" s="1"/>
  <c r="F1171" i="5"/>
  <c r="AA1175" i="5"/>
  <c r="D1175" i="5" s="1"/>
  <c r="F1175" i="5"/>
  <c r="AA708" i="5"/>
  <c r="D708" i="5" s="1"/>
  <c r="AA761" i="5"/>
  <c r="D761" i="5" s="1"/>
  <c r="F761" i="5"/>
  <c r="AA763" i="5"/>
  <c r="D763" i="5" s="1"/>
  <c r="AA803" i="5"/>
  <c r="D803" i="5" s="1"/>
  <c r="AA828" i="5"/>
  <c r="D828" i="5" s="1"/>
  <c r="F828" i="5"/>
  <c r="AA868" i="5"/>
  <c r="D868" i="5" s="1"/>
  <c r="AA977" i="5"/>
  <c r="D977" i="5" s="1"/>
  <c r="F977" i="5"/>
  <c r="AA1129" i="5"/>
  <c r="D1129" i="5" s="1"/>
  <c r="F1129" i="5"/>
  <c r="AA1132" i="5"/>
  <c r="D1132" i="5" s="1"/>
  <c r="AA705" i="5"/>
  <c r="D705" i="5" s="1"/>
  <c r="F705" i="5"/>
  <c r="AA780" i="5"/>
  <c r="D780" i="5" s="1"/>
  <c r="AA804" i="5"/>
  <c r="D804" i="5" s="1"/>
  <c r="F804" i="5"/>
  <c r="AA806" i="5"/>
  <c r="D806" i="5" s="1"/>
  <c r="F1185" i="5"/>
  <c r="F1190" i="5"/>
  <c r="F1222" i="5"/>
  <c r="F634" i="5"/>
  <c r="F639" i="5"/>
  <c r="F644" i="5"/>
  <c r="F1101" i="5"/>
  <c r="F662" i="5"/>
  <c r="F667" i="5"/>
  <c r="F672" i="5"/>
  <c r="F1121" i="5"/>
  <c r="F1126" i="5"/>
  <c r="F678" i="5"/>
  <c r="AA1203" i="5"/>
  <c r="D1203" i="5" s="1"/>
  <c r="AA765" i="5"/>
  <c r="D765" i="5" s="1"/>
  <c r="AA781" i="5"/>
  <c r="D781" i="5" s="1"/>
  <c r="F781" i="5"/>
  <c r="AA791" i="5"/>
  <c r="D791" i="5" s="1"/>
  <c r="AA870" i="5"/>
  <c r="D870" i="5" s="1"/>
  <c r="AA590" i="5"/>
  <c r="D590" i="5" s="1"/>
  <c r="AA1204" i="5"/>
  <c r="D1204" i="5" s="1"/>
  <c r="F1204" i="5"/>
  <c r="AA1206" i="5"/>
  <c r="D1206" i="5" s="1"/>
  <c r="AA766" i="5"/>
  <c r="D766" i="5" s="1"/>
  <c r="F766" i="5"/>
  <c r="AA768" i="5"/>
  <c r="D768" i="5" s="1"/>
  <c r="AA808" i="5"/>
  <c r="D808" i="5" s="1"/>
  <c r="AA871" i="5"/>
  <c r="D871" i="5" s="1"/>
  <c r="F871" i="5"/>
  <c r="AA873" i="5"/>
  <c r="D873" i="5" s="1"/>
  <c r="AA1068" i="5"/>
  <c r="D1068" i="5" s="1"/>
  <c r="AA1069" i="5"/>
  <c r="D1069" i="5" s="1"/>
  <c r="AA1127" i="5"/>
  <c r="D1127" i="5" s="1"/>
  <c r="AA680" i="5"/>
  <c r="D680" i="5" s="1"/>
  <c r="F682" i="5"/>
  <c r="AA793" i="5"/>
  <c r="D793" i="5" s="1"/>
  <c r="AA809" i="5"/>
  <c r="D809" i="5" s="1"/>
  <c r="F809" i="5"/>
  <c r="AA811" i="5"/>
  <c r="D811" i="5" s="1"/>
  <c r="AA1067" i="5"/>
  <c r="D1067" i="5" s="1"/>
  <c r="AA684" i="5"/>
  <c r="D684" i="5" s="1"/>
  <c r="F684" i="5"/>
  <c r="AA1173" i="5"/>
  <c r="D1173" i="5" s="1"/>
  <c r="F1173" i="5"/>
  <c r="AA700" i="5"/>
  <c r="D700" i="5" s="1"/>
  <c r="F700" i="5"/>
  <c r="AA712" i="5"/>
  <c r="D712" i="5" s="1"/>
  <c r="F712" i="5"/>
  <c r="AA1208" i="5"/>
  <c r="D1208" i="5" s="1"/>
  <c r="AA770" i="5"/>
  <c r="D770" i="5" s="1"/>
  <c r="AA794" i="5"/>
  <c r="D794" i="5" s="1"/>
  <c r="F794" i="5"/>
  <c r="AA796" i="5"/>
  <c r="D796" i="5" s="1"/>
  <c r="AA875" i="5"/>
  <c r="D875" i="5" s="1"/>
  <c r="AA1209" i="5"/>
  <c r="D1209" i="5" s="1"/>
  <c r="F1209" i="5"/>
  <c r="AA771" i="5"/>
  <c r="D771" i="5" s="1"/>
  <c r="F771" i="5"/>
  <c r="AA773" i="5"/>
  <c r="D773" i="5" s="1"/>
  <c r="AA813" i="5"/>
  <c r="D813" i="5" s="1"/>
  <c r="AA958" i="5"/>
  <c r="D958" i="5" s="1"/>
  <c r="F958" i="5"/>
  <c r="AA959" i="5"/>
  <c r="D959" i="5" s="1"/>
  <c r="AA960" i="5"/>
  <c r="D960" i="5" s="1"/>
  <c r="F960" i="5"/>
  <c r="AA961" i="5"/>
  <c r="D961" i="5" s="1"/>
  <c r="AA962" i="5"/>
  <c r="D962" i="5" s="1"/>
  <c r="F962" i="5"/>
  <c r="AA963" i="5"/>
  <c r="D963" i="5" s="1"/>
  <c r="AA964" i="5"/>
  <c r="D964" i="5" s="1"/>
  <c r="F964" i="5"/>
  <c r="AA965" i="5"/>
  <c r="D965" i="5" s="1"/>
  <c r="AA966" i="5"/>
  <c r="D966" i="5" s="1"/>
  <c r="F966" i="5"/>
  <c r="AA94" i="5"/>
  <c r="D94" i="5" s="1"/>
  <c r="F94" i="5"/>
  <c r="AA1182" i="5"/>
  <c r="D1182" i="5" s="1"/>
  <c r="AA1070" i="5"/>
  <c r="D1070" i="5" s="1"/>
  <c r="AA303" i="5"/>
  <c r="D303" i="5" s="1"/>
  <c r="AA1180" i="5"/>
  <c r="D1180" i="5" s="1"/>
  <c r="AA521" i="5"/>
  <c r="D521" i="5" s="1"/>
  <c r="AA969" i="5"/>
  <c r="D969" i="5" s="1"/>
  <c r="AA1051" i="5"/>
  <c r="D1051" i="5" s="1"/>
  <c r="AA1052" i="5"/>
  <c r="D1052" i="5" s="1"/>
  <c r="AA1071" i="5"/>
  <c r="D1071" i="5" s="1"/>
  <c r="AA1072" i="5"/>
  <c r="D1072" i="5" s="1"/>
  <c r="AA688" i="5"/>
  <c r="D688" i="5" s="1"/>
  <c r="F688" i="5"/>
  <c r="AA973" i="5"/>
  <c r="D973" i="5" s="1"/>
  <c r="AA979" i="5"/>
  <c r="D979" i="5" s="1"/>
  <c r="F979" i="5"/>
  <c r="AA1053" i="5"/>
  <c r="D1053" i="5" s="1"/>
  <c r="AA1054" i="5"/>
  <c r="D1054" i="5" s="1"/>
  <c r="AA1073" i="5"/>
  <c r="D1073" i="5" s="1"/>
  <c r="AA158" i="5"/>
  <c r="D158" i="5" s="1"/>
  <c r="AA677" i="5"/>
  <c r="D677" i="5" s="1"/>
  <c r="F677" i="5"/>
  <c r="AA520" i="5"/>
  <c r="D520" i="5" s="1"/>
  <c r="F980" i="5"/>
  <c r="AA980" i="5"/>
  <c r="D980" i="5" s="1"/>
  <c r="AA981" i="5"/>
  <c r="D981" i="5" s="1"/>
  <c r="F981" i="5"/>
  <c r="AA1055" i="5"/>
  <c r="D1055" i="5" s="1"/>
  <c r="AA1056" i="5"/>
  <c r="D1056" i="5" s="1"/>
  <c r="AA159" i="5"/>
  <c r="D159" i="5" s="1"/>
  <c r="F159" i="5"/>
  <c r="AA187" i="5"/>
  <c r="D187" i="5" s="1"/>
  <c r="AA620" i="5"/>
  <c r="D620" i="5" s="1"/>
  <c r="AA518" i="5"/>
  <c r="D518" i="5" s="1"/>
  <c r="F763" i="5"/>
  <c r="F768" i="5"/>
  <c r="F773" i="5"/>
  <c r="F778" i="5"/>
  <c r="F791" i="5"/>
  <c r="F796" i="5"/>
  <c r="F801" i="5"/>
  <c r="F806" i="5"/>
  <c r="F811" i="5"/>
  <c r="F825" i="5"/>
  <c r="F868" i="5"/>
  <c r="F873" i="5"/>
  <c r="AA967" i="5"/>
  <c r="D967" i="5" s="1"/>
  <c r="AA978" i="5"/>
  <c r="D978" i="5" s="1"/>
  <c r="F982" i="5"/>
  <c r="AA982" i="5"/>
  <c r="D982" i="5" s="1"/>
  <c r="AA983" i="5"/>
  <c r="D983" i="5" s="1"/>
  <c r="F983" i="5"/>
  <c r="AA1057" i="5"/>
  <c r="D1057" i="5" s="1"/>
  <c r="AA1058" i="5"/>
  <c r="D1058" i="5" s="1"/>
  <c r="AA161" i="5"/>
  <c r="D161" i="5" s="1"/>
  <c r="AA266" i="5"/>
  <c r="D266" i="5" s="1"/>
  <c r="AA515" i="5"/>
  <c r="D515" i="5" s="1"/>
  <c r="AA516" i="5"/>
  <c r="D516" i="5" s="1"/>
  <c r="F969" i="5"/>
  <c r="F984" i="5"/>
  <c r="AA984" i="5"/>
  <c r="D984" i="5" s="1"/>
  <c r="AA985" i="5"/>
  <c r="D985" i="5" s="1"/>
  <c r="F985" i="5"/>
  <c r="AA1059" i="5"/>
  <c r="D1059" i="5" s="1"/>
  <c r="AA1060" i="5"/>
  <c r="D1060" i="5" s="1"/>
  <c r="AA90" i="5"/>
  <c r="D90" i="5" s="1"/>
  <c r="AA189" i="5"/>
  <c r="D189" i="5" s="1"/>
  <c r="F189" i="5"/>
  <c r="F1203" i="5"/>
  <c r="F1208" i="5"/>
  <c r="F760" i="5"/>
  <c r="F765" i="5"/>
  <c r="F770" i="5"/>
  <c r="F775" i="5"/>
  <c r="F780" i="5"/>
  <c r="F793" i="5"/>
  <c r="F798" i="5"/>
  <c r="F803" i="5"/>
  <c r="F808" i="5"/>
  <c r="F813" i="5"/>
  <c r="F827" i="5"/>
  <c r="F870" i="5"/>
  <c r="F875" i="5"/>
  <c r="F970" i="5"/>
  <c r="F973" i="5"/>
  <c r="F986" i="5"/>
  <c r="AA986" i="5"/>
  <c r="D986" i="5" s="1"/>
  <c r="AA987" i="5"/>
  <c r="D987" i="5" s="1"/>
  <c r="AA1061" i="5"/>
  <c r="D1061" i="5" s="1"/>
  <c r="AA1062" i="5"/>
  <c r="D1062" i="5" s="1"/>
  <c r="AA182" i="5"/>
  <c r="D182" i="5" s="1"/>
  <c r="F182" i="5"/>
  <c r="AA587" i="5"/>
  <c r="D587" i="5" s="1"/>
  <c r="AA269" i="5"/>
  <c r="D269" i="5" s="1"/>
  <c r="F269" i="5"/>
  <c r="F965" i="5"/>
  <c r="F967" i="5"/>
  <c r="AA971" i="5"/>
  <c r="D971" i="5" s="1"/>
  <c r="AA974" i="5"/>
  <c r="D974" i="5" s="1"/>
  <c r="AA975" i="5"/>
  <c r="D975" i="5" s="1"/>
  <c r="AA989" i="5"/>
  <c r="D989" i="5" s="1"/>
  <c r="AA1063" i="5"/>
  <c r="D1063" i="5" s="1"/>
  <c r="AA1064" i="5"/>
  <c r="D1064" i="5" s="1"/>
  <c r="AA92" i="5"/>
  <c r="D92" i="5" s="1"/>
  <c r="AA273" i="5"/>
  <c r="D273" i="5" s="1"/>
  <c r="AA990" i="5"/>
  <c r="D990" i="5" s="1"/>
  <c r="F990" i="5"/>
  <c r="AA1065" i="5"/>
  <c r="D1065" i="5" s="1"/>
  <c r="AA1066" i="5"/>
  <c r="D1066" i="5" s="1"/>
  <c r="AA93" i="5"/>
  <c r="D93" i="5" s="1"/>
  <c r="AA581" i="5"/>
  <c r="D581" i="5" s="1"/>
  <c r="F581" i="5"/>
  <c r="AA271" i="5"/>
  <c r="D271" i="5" s="1"/>
  <c r="F271" i="5"/>
  <c r="AA991" i="5"/>
  <c r="D991" i="5" s="1"/>
  <c r="AA522" i="5"/>
  <c r="D522" i="5" s="1"/>
  <c r="F522" i="5"/>
  <c r="AA111" i="5"/>
  <c r="D111" i="5" s="1"/>
  <c r="AA114" i="5"/>
  <c r="D114" i="5" s="1"/>
  <c r="F114" i="5"/>
  <c r="AA274" i="5"/>
  <c r="D274" i="5" s="1"/>
  <c r="F274" i="5"/>
  <c r="AA278" i="5"/>
  <c r="D278" i="5" s="1"/>
  <c r="F278" i="5"/>
  <c r="AA279" i="5"/>
  <c r="D279" i="5" s="1"/>
  <c r="F279" i="5"/>
  <c r="AA632" i="5"/>
  <c r="D632" i="5" s="1"/>
  <c r="F632" i="5"/>
  <c r="AA649" i="5"/>
  <c r="D649" i="5" s="1"/>
  <c r="F649" i="5"/>
  <c r="AA299" i="5"/>
  <c r="D299" i="5" s="1"/>
  <c r="AA106" i="5"/>
  <c r="D106" i="5" s="1"/>
  <c r="AA109" i="5"/>
  <c r="D109" i="5" s="1"/>
  <c r="F109" i="5"/>
  <c r="AA110" i="5"/>
  <c r="D110" i="5" s="1"/>
  <c r="F110" i="5"/>
  <c r="AA736" i="5"/>
  <c r="D736" i="5" s="1"/>
  <c r="F736" i="5"/>
  <c r="AA95" i="5"/>
  <c r="D95" i="5" s="1"/>
  <c r="AA1169" i="5"/>
  <c r="D1169" i="5" s="1"/>
  <c r="AA104" i="5"/>
  <c r="D104" i="5" s="1"/>
  <c r="F104" i="5"/>
  <c r="AA105" i="5"/>
  <c r="D105" i="5" s="1"/>
  <c r="F105" i="5"/>
  <c r="AA561" i="5"/>
  <c r="D561" i="5" s="1"/>
  <c r="F561" i="5"/>
  <c r="AA624" i="5"/>
  <c r="D624" i="5" s="1"/>
  <c r="F624" i="5"/>
  <c r="AA526" i="5"/>
  <c r="D526" i="5" s="1"/>
  <c r="F526" i="5"/>
  <c r="AA527" i="5"/>
  <c r="D527" i="5" s="1"/>
  <c r="F527" i="5"/>
  <c r="F273" i="5"/>
  <c r="F516" i="5"/>
  <c r="AA1181" i="5"/>
  <c r="D1181" i="5" s="1"/>
  <c r="AA738" i="5"/>
  <c r="D738" i="5" s="1"/>
  <c r="F987" i="5"/>
  <c r="F992" i="5"/>
  <c r="F161" i="5"/>
  <c r="F92" i="5"/>
  <c r="F303" i="5"/>
  <c r="F187" i="5"/>
  <c r="F587" i="5"/>
  <c r="F590" i="5"/>
  <c r="F518" i="5"/>
  <c r="F520" i="5"/>
  <c r="F620" i="5"/>
  <c r="AA493" i="5"/>
  <c r="D493" i="5" s="1"/>
  <c r="F266" i="5"/>
  <c r="AA1195" i="5"/>
  <c r="D1195" i="5" s="1"/>
  <c r="AA1219" i="5"/>
  <c r="D1219" i="5" s="1"/>
  <c r="F1219" i="5"/>
  <c r="AA655" i="5"/>
  <c r="D655" i="5" s="1"/>
  <c r="F1182" i="5"/>
  <c r="AA618" i="5"/>
  <c r="D618" i="5" s="1"/>
  <c r="F618" i="5"/>
  <c r="AA275" i="5"/>
  <c r="D275" i="5" s="1"/>
  <c r="AA280" i="5"/>
  <c r="D280" i="5" s="1"/>
  <c r="AA650" i="5"/>
  <c r="D650" i="5" s="1"/>
  <c r="AA653" i="5"/>
  <c r="D653" i="5" s="1"/>
  <c r="F653" i="5"/>
  <c r="AA654" i="5"/>
  <c r="D654" i="5" s="1"/>
  <c r="F654" i="5"/>
  <c r="AA734" i="5"/>
  <c r="D734" i="5" s="1"/>
  <c r="F734" i="5"/>
  <c r="AA821" i="5"/>
  <c r="D821" i="5" s="1"/>
  <c r="F821" i="5"/>
  <c r="AA162" i="5"/>
  <c r="D162" i="5" s="1"/>
  <c r="F162" i="5"/>
  <c r="AA53" i="5"/>
  <c r="D53" i="5" s="1"/>
  <c r="F53" i="5"/>
  <c r="AA324" i="5"/>
  <c r="D324" i="5" s="1"/>
  <c r="AA693" i="5"/>
  <c r="D693" i="5" s="1"/>
  <c r="AA749" i="5"/>
  <c r="D749" i="5" s="1"/>
  <c r="AA787" i="5"/>
  <c r="D787" i="5" s="1"/>
  <c r="AA167" i="5"/>
  <c r="D167" i="5" s="1"/>
  <c r="F167" i="5"/>
  <c r="F62" i="5"/>
  <c r="AA62" i="5"/>
  <c r="D62" i="5" s="1"/>
  <c r="AA64" i="5"/>
  <c r="D64" i="5" s="1"/>
  <c r="F64" i="5"/>
  <c r="AA1015" i="5"/>
  <c r="D1015" i="5" s="1"/>
  <c r="AA1020" i="5"/>
  <c r="D1020" i="5" s="1"/>
  <c r="AA1026" i="5"/>
  <c r="D1026" i="5" s="1"/>
  <c r="F1026" i="5"/>
  <c r="AA744" i="5"/>
  <c r="D744" i="5" s="1"/>
  <c r="F744" i="5"/>
  <c r="AA35" i="5"/>
  <c r="D35" i="5" s="1"/>
  <c r="AA165" i="5"/>
  <c r="D165" i="5" s="1"/>
  <c r="AA48" i="5"/>
  <c r="D48" i="5" s="1"/>
  <c r="AA754" i="5"/>
  <c r="D754" i="5" s="1"/>
  <c r="F754" i="5"/>
  <c r="AA45" i="5"/>
  <c r="D45" i="5" s="1"/>
  <c r="AA55" i="5"/>
  <c r="D55" i="5" s="1"/>
  <c r="AA395" i="5"/>
  <c r="D395" i="5" s="1"/>
  <c r="AA1021" i="5"/>
  <c r="D1021" i="5" s="1"/>
  <c r="AA1027" i="5"/>
  <c r="D1027" i="5" s="1"/>
  <c r="F1027" i="5"/>
  <c r="AA783" i="5"/>
  <c r="D783" i="5" s="1"/>
  <c r="AA750" i="5"/>
  <c r="D750" i="5" s="1"/>
  <c r="AA40" i="5"/>
  <c r="D40" i="5" s="1"/>
  <c r="F40" i="5"/>
  <c r="AA170" i="5"/>
  <c r="D170" i="5" s="1"/>
  <c r="F170" i="5"/>
  <c r="AA150" i="5"/>
  <c r="D150" i="5" s="1"/>
  <c r="F150" i="5"/>
  <c r="AA245" i="5"/>
  <c r="D245" i="5" s="1"/>
  <c r="AA695" i="5"/>
  <c r="D695" i="5" s="1"/>
  <c r="F695" i="5"/>
  <c r="AA788" i="5"/>
  <c r="D788" i="5" s="1"/>
  <c r="AA36" i="5"/>
  <c r="D36" i="5" s="1"/>
  <c r="AA66" i="5"/>
  <c r="D66" i="5" s="1"/>
  <c r="F66" i="5"/>
  <c r="F738" i="5"/>
  <c r="F299" i="5"/>
  <c r="AA696" i="5"/>
  <c r="D696" i="5" s="1"/>
  <c r="F696" i="5"/>
  <c r="AA425" i="5"/>
  <c r="D425" i="5" s="1"/>
  <c r="AA751" i="5"/>
  <c r="D751" i="5" s="1"/>
  <c r="F751" i="5"/>
  <c r="AA166" i="5"/>
  <c r="D166" i="5" s="1"/>
  <c r="AA244" i="5"/>
  <c r="D244" i="5" s="1"/>
  <c r="AA336" i="5"/>
  <c r="D336" i="5" s="1"/>
  <c r="F336" i="5"/>
  <c r="F95" i="5"/>
  <c r="F1169" i="5"/>
  <c r="F106" i="5"/>
  <c r="F111" i="5"/>
  <c r="F275" i="5"/>
  <c r="F280" i="5"/>
  <c r="F650" i="5"/>
  <c r="F655" i="5"/>
  <c r="F1020" i="5"/>
  <c r="AA747" i="5"/>
  <c r="D747" i="5" s="1"/>
  <c r="AA37" i="5"/>
  <c r="D37" i="5" s="1"/>
  <c r="F37" i="5"/>
  <c r="AA46" i="5"/>
  <c r="D46" i="5" s="1"/>
  <c r="F59" i="5"/>
  <c r="AA59" i="5"/>
  <c r="D59" i="5" s="1"/>
  <c r="AA740" i="5"/>
  <c r="D740" i="5" s="1"/>
  <c r="AA1023" i="5"/>
  <c r="D1023" i="5" s="1"/>
  <c r="F1023" i="5"/>
  <c r="AA836" i="5"/>
  <c r="D836" i="5" s="1"/>
  <c r="AA752" i="5"/>
  <c r="D752" i="5" s="1"/>
  <c r="AA33" i="5"/>
  <c r="D33" i="5" s="1"/>
  <c r="AA61" i="5"/>
  <c r="D61" i="5" s="1"/>
  <c r="F61" i="5"/>
  <c r="AA71" i="5"/>
  <c r="D71" i="5" s="1"/>
  <c r="F71" i="5"/>
  <c r="AA426" i="5"/>
  <c r="D426" i="5" s="1"/>
  <c r="AA1024" i="5"/>
  <c r="D1024" i="5" s="1"/>
  <c r="F1024" i="5"/>
  <c r="AA784" i="5"/>
  <c r="D784" i="5" s="1"/>
  <c r="F784" i="5"/>
  <c r="AA38" i="5"/>
  <c r="D38" i="5" s="1"/>
  <c r="AA43" i="5"/>
  <c r="D43" i="5" s="1"/>
  <c r="F47" i="5"/>
  <c r="AA47" i="5"/>
  <c r="D47" i="5" s="1"/>
  <c r="AA169" i="5"/>
  <c r="D169" i="5" s="1"/>
  <c r="AA52" i="5"/>
  <c r="D52" i="5" s="1"/>
  <c r="F52" i="5"/>
  <c r="AA247" i="5"/>
  <c r="D247" i="5" s="1"/>
  <c r="F247" i="5"/>
  <c r="AA115" i="5"/>
  <c r="D115" i="5" s="1"/>
  <c r="F115" i="5"/>
  <c r="AA192" i="5"/>
  <c r="D192" i="5" s="1"/>
  <c r="F192" i="5"/>
  <c r="AA118" i="5"/>
  <c r="D118" i="5" s="1"/>
  <c r="AA340" i="5"/>
  <c r="D340" i="5" s="1"/>
  <c r="AA396" i="5"/>
  <c r="D396" i="5" s="1"/>
  <c r="F396" i="5"/>
  <c r="AA238" i="5"/>
  <c r="D238" i="5" s="1"/>
  <c r="AA250" i="5"/>
  <c r="D250" i="5" s="1"/>
  <c r="F250" i="5"/>
  <c r="F747" i="5"/>
  <c r="F750" i="5"/>
  <c r="F787" i="5"/>
  <c r="F33" i="5"/>
  <c r="F36" i="5"/>
  <c r="F165" i="5"/>
  <c r="F43" i="5"/>
  <c r="F46" i="5"/>
  <c r="F48" i="5"/>
  <c r="AA49" i="5"/>
  <c r="D49" i="5" s="1"/>
  <c r="F55" i="5"/>
  <c r="AA151" i="5"/>
  <c r="D151" i="5" s="1"/>
  <c r="AA63" i="5"/>
  <c r="D63" i="5" s="1"/>
  <c r="AA155" i="5"/>
  <c r="D155" i="5" s="1"/>
  <c r="AA156" i="5"/>
  <c r="D156" i="5" s="1"/>
  <c r="AA239" i="5"/>
  <c r="D239" i="5" s="1"/>
  <c r="F239" i="5"/>
  <c r="AA120" i="5"/>
  <c r="D120" i="5" s="1"/>
  <c r="AA191" i="5"/>
  <c r="D191" i="5" s="1"/>
  <c r="F169" i="5"/>
  <c r="AA50" i="5"/>
  <c r="D50" i="5" s="1"/>
  <c r="F121" i="5"/>
  <c r="AA121" i="5"/>
  <c r="D121" i="5" s="1"/>
  <c r="AA172" i="5"/>
  <c r="D172" i="5" s="1"/>
  <c r="AA242" i="5"/>
  <c r="D242" i="5" s="1"/>
  <c r="AA254" i="5"/>
  <c r="D254" i="5" s="1"/>
  <c r="AA359" i="5"/>
  <c r="D359" i="5" s="1"/>
  <c r="AA241" i="5"/>
  <c r="D241" i="5" s="1"/>
  <c r="F241" i="5"/>
  <c r="AA311" i="5"/>
  <c r="D311" i="5" s="1"/>
  <c r="AA350" i="5"/>
  <c r="D350" i="5" s="1"/>
  <c r="AA331" i="5"/>
  <c r="D331" i="5" s="1"/>
  <c r="AA346" i="5"/>
  <c r="D346" i="5" s="1"/>
  <c r="AA360" i="5"/>
  <c r="D360" i="5" s="1"/>
  <c r="AA284" i="5"/>
  <c r="D284" i="5" s="1"/>
  <c r="AA432" i="5"/>
  <c r="D432" i="5" s="1"/>
  <c r="AA356" i="5"/>
  <c r="D356" i="5" s="1"/>
  <c r="F449" i="5"/>
  <c r="AA449" i="5"/>
  <c r="D449" i="5" s="1"/>
  <c r="AA756" i="5"/>
  <c r="D756" i="5" s="1"/>
  <c r="F118" i="5"/>
  <c r="AA316" i="5"/>
  <c r="D316" i="5" s="1"/>
  <c r="AA437" i="5"/>
  <c r="D437" i="5" s="1"/>
  <c r="F447" i="5"/>
  <c r="AA447" i="5"/>
  <c r="D447" i="5" s="1"/>
  <c r="AA461" i="5"/>
  <c r="D461" i="5" s="1"/>
  <c r="AA329" i="5"/>
  <c r="D329" i="5" s="1"/>
  <c r="F244" i="5"/>
  <c r="AA251" i="5"/>
  <c r="D251" i="5" s="1"/>
  <c r="AA409" i="5"/>
  <c r="D409" i="5" s="1"/>
  <c r="AA435" i="5"/>
  <c r="D435" i="5" s="1"/>
  <c r="AA442" i="5"/>
  <c r="D442" i="5" s="1"/>
  <c r="F377" i="5"/>
  <c r="AA377" i="5"/>
  <c r="D377" i="5" s="1"/>
  <c r="F317" i="5"/>
  <c r="AA317" i="5"/>
  <c r="D317" i="5" s="1"/>
  <c r="F245" i="5"/>
  <c r="F395" i="5"/>
  <c r="F254" i="5"/>
  <c r="AA282" i="5"/>
  <c r="D282" i="5" s="1"/>
  <c r="F284" i="5"/>
  <c r="AA440" i="5"/>
  <c r="D440" i="5" s="1"/>
  <c r="F310" i="5"/>
  <c r="AA310" i="5"/>
  <c r="D310" i="5" s="1"/>
  <c r="F311" i="5"/>
  <c r="F426" i="5"/>
  <c r="F120" i="5"/>
  <c r="AA122" i="5"/>
  <c r="D122" i="5" s="1"/>
  <c r="F316" i="5"/>
  <c r="AA427" i="5"/>
  <c r="D427" i="5" s="1"/>
  <c r="F427" i="5"/>
  <c r="AA323" i="5"/>
  <c r="D323" i="5" s="1"/>
  <c r="F323" i="5"/>
  <c r="AA343" i="5"/>
  <c r="D343" i="5" s="1"/>
  <c r="AA339" i="5"/>
  <c r="D339" i="5" s="1"/>
  <c r="AA353" i="5"/>
  <c r="D353" i="5" s="1"/>
  <c r="F242" i="5"/>
  <c r="AA116" i="5"/>
  <c r="D116" i="5" s="1"/>
  <c r="AA430" i="5"/>
  <c r="D430" i="5" s="1"/>
  <c r="F430" i="5"/>
  <c r="AA349" i="5"/>
  <c r="D349" i="5" s="1"/>
  <c r="AA1092" i="5"/>
  <c r="D1092" i="5" s="1"/>
  <c r="AA658" i="5"/>
  <c r="D658" i="5" s="1"/>
  <c r="AA1083" i="5"/>
  <c r="D1083" i="5" s="1"/>
  <c r="F324" i="5"/>
  <c r="F331" i="5"/>
  <c r="F432" i="5"/>
  <c r="F340" i="5"/>
  <c r="F343" i="5"/>
  <c r="F437" i="5"/>
  <c r="F350" i="5"/>
  <c r="F353" i="5"/>
  <c r="F442" i="5"/>
  <c r="F360" i="5"/>
  <c r="AA376" i="5"/>
  <c r="D376" i="5" s="1"/>
  <c r="AA306" i="5"/>
  <c r="D306" i="5" s="1"/>
  <c r="F306" i="5"/>
  <c r="AA321" i="5"/>
  <c r="D321" i="5" s="1"/>
  <c r="AA445" i="5"/>
  <c r="D445" i="5" s="1"/>
  <c r="AA450" i="5"/>
  <c r="D450" i="5" s="1"/>
  <c r="AA374" i="5"/>
  <c r="D374" i="5" s="1"/>
  <c r="AA456" i="5"/>
  <c r="D456" i="5" s="1"/>
  <c r="AA659" i="5"/>
  <c r="D659" i="5" s="1"/>
  <c r="AA1084" i="5"/>
  <c r="D1084" i="5" s="1"/>
  <c r="AA369" i="5"/>
  <c r="D369" i="5" s="1"/>
  <c r="AA123" i="5"/>
  <c r="D123" i="5" s="1"/>
  <c r="AA366" i="5"/>
  <c r="D366" i="5" s="1"/>
  <c r="AA314" i="5"/>
  <c r="D314" i="5" s="1"/>
  <c r="AA322" i="5"/>
  <c r="D322" i="5" s="1"/>
  <c r="AA334" i="5"/>
  <c r="D334" i="5" s="1"/>
  <c r="AA1096" i="5"/>
  <c r="D1096" i="5" s="1"/>
  <c r="F339" i="5"/>
  <c r="F435" i="5"/>
  <c r="F346" i="5"/>
  <c r="F349" i="5"/>
  <c r="F440" i="5"/>
  <c r="F356" i="5"/>
  <c r="F359" i="5"/>
  <c r="F445" i="5"/>
  <c r="F450" i="5"/>
  <c r="F456" i="5"/>
  <c r="AA124" i="5"/>
  <c r="D124" i="5" s="1"/>
  <c r="F369" i="5"/>
  <c r="AA455" i="5"/>
  <c r="D455" i="5" s="1"/>
  <c r="AA309" i="5"/>
  <c r="D309" i="5" s="1"/>
  <c r="F309" i="5"/>
  <c r="AA463" i="5"/>
  <c r="D463" i="5" s="1"/>
  <c r="AA699" i="5"/>
  <c r="D699" i="5" s="1"/>
  <c r="AA1148" i="5"/>
  <c r="D1148" i="5" s="1"/>
  <c r="F366" i="5"/>
  <c r="AA305" i="5"/>
  <c r="D305" i="5" s="1"/>
  <c r="AA458" i="5"/>
  <c r="D458" i="5" s="1"/>
  <c r="F458" i="5"/>
  <c r="AA1088" i="5"/>
  <c r="D1088" i="5" s="1"/>
  <c r="F322" i="5"/>
  <c r="F329" i="5"/>
  <c r="F463" i="5"/>
  <c r="F659" i="5"/>
  <c r="F756" i="5"/>
  <c r="F124" i="5"/>
  <c r="F1084" i="5"/>
  <c r="F1092" i="5"/>
  <c r="F1148" i="5"/>
  <c r="F1088" i="5"/>
  <c r="F1096" i="5"/>
  <c r="AP1223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jaturong</author>
  </authors>
  <commentList>
    <comment ref="D219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jaturong:
เปลี่ยนชื่อจาก XV-61304</t>
        </r>
      </text>
    </comment>
    <comment ref="E219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jaturong:
เปลี่ยนชื่อจาก XV-61304</t>
        </r>
      </text>
    </comment>
    <comment ref="J262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jaturong:
Start/Stop</t>
        </r>
      </text>
    </comment>
    <comment ref="K262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jaturong:
RUN/Fault/Mode</t>
        </r>
      </text>
    </comment>
    <comment ref="N262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>jaturong:
TCP/IP</t>
        </r>
      </text>
    </comment>
    <comment ref="J289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>jaturong:
Start
Stop</t>
        </r>
      </text>
    </comment>
    <comment ref="K289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jaturong:
Emer+Lototo
Overload</t>
        </r>
      </text>
    </comment>
    <comment ref="K290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jaturong:
Emer+Lototo
Overload</t>
        </r>
      </text>
    </comment>
    <comment ref="K293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>jaturong:
Emer+Lototo
Overload</t>
        </r>
      </text>
    </comment>
    <comment ref="K294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jaturong:
Emer+Lototo
Overload</t>
        </r>
      </text>
    </comment>
  </commentList>
</comments>
</file>

<file path=xl/sharedStrings.xml><?xml version="1.0" encoding="utf-8"?>
<sst xmlns="http://schemas.openxmlformats.org/spreadsheetml/2006/main" count="35026" uniqueCount="1869">
  <si>
    <t>Tag. No. 3.5</t>
  </si>
  <si>
    <t>Junction Box</t>
  </si>
  <si>
    <t>Zone</t>
  </si>
  <si>
    <t>Floor</t>
  </si>
  <si>
    <t>P&amp;ID No. 3.3</t>
  </si>
  <si>
    <t>Tag. No. 3.52</t>
  </si>
  <si>
    <t>P&amp;ID No. 3.5</t>
  </si>
  <si>
    <t>DO</t>
  </si>
  <si>
    <t>DI</t>
  </si>
  <si>
    <t>AO</t>
  </si>
  <si>
    <t>AI</t>
  </si>
  <si>
    <t>Bus</t>
  </si>
  <si>
    <t>LSH-60230</t>
  </si>
  <si>
    <t>IS-JB-603</t>
  </si>
  <si>
    <t>Spray Dryer</t>
  </si>
  <si>
    <t>1st</t>
  </si>
  <si>
    <t>325-01-600-PD-04</t>
  </si>
  <si>
    <t>3-25-01-602-PD-04</t>
  </si>
  <si>
    <t>-</t>
  </si>
  <si>
    <t>LSH-60231</t>
  </si>
  <si>
    <t>LSH-60240</t>
  </si>
  <si>
    <t>325-01-600-PD-05</t>
  </si>
  <si>
    <t>3-25-01-602-PD-05</t>
  </si>
  <si>
    <t>TT-60226</t>
  </si>
  <si>
    <t>2nd</t>
  </si>
  <si>
    <t>TT-60227</t>
  </si>
  <si>
    <t>ZS-60201E</t>
  </si>
  <si>
    <t>TT-60225</t>
  </si>
  <si>
    <t>3rd</t>
  </si>
  <si>
    <t>TT-60230</t>
  </si>
  <si>
    <t>PT-60230</t>
  </si>
  <si>
    <t>4th</t>
  </si>
  <si>
    <t>PT-60231</t>
  </si>
  <si>
    <t>TT-60224</t>
  </si>
  <si>
    <t>ZS-60201C</t>
  </si>
  <si>
    <t>ZS-60201D</t>
  </si>
  <si>
    <t>ZS-60229</t>
  </si>
  <si>
    <t>ZS-60230</t>
  </si>
  <si>
    <t>ZS-60231A</t>
  </si>
  <si>
    <t>ZS-60231B</t>
  </si>
  <si>
    <t>AT-40201</t>
  </si>
  <si>
    <t>AT-40202</t>
  </si>
  <si>
    <t>AT-40203</t>
  </si>
  <si>
    <t>RV-60204</t>
  </si>
  <si>
    <t>PD-60202</t>
  </si>
  <si>
    <t>TT-60222</t>
  </si>
  <si>
    <t>IS-JB-608</t>
  </si>
  <si>
    <t>5th</t>
  </si>
  <si>
    <t>TT-60223</t>
  </si>
  <si>
    <t>XT-60201</t>
  </si>
  <si>
    <t>325-01-600-PD-03</t>
  </si>
  <si>
    <t>3-25-01-602-PD-03</t>
  </si>
  <si>
    <t>XA-60201</t>
  </si>
  <si>
    <t>ZS-60231C</t>
  </si>
  <si>
    <t>ZS-60231D</t>
  </si>
  <si>
    <t>ZS-60231E</t>
  </si>
  <si>
    <t>ZS-60231F</t>
  </si>
  <si>
    <t>PT-60220</t>
  </si>
  <si>
    <t>6th</t>
  </si>
  <si>
    <t>TT-60220</t>
  </si>
  <si>
    <t>TT-60221</t>
  </si>
  <si>
    <t>ZS-60201A</t>
  </si>
  <si>
    <t>ZS-60201B</t>
  </si>
  <si>
    <t>ZS-60240</t>
  </si>
  <si>
    <t>DPT-61310</t>
  </si>
  <si>
    <t>IS-JB-612</t>
  </si>
  <si>
    <t>Packing Tower</t>
  </si>
  <si>
    <t>325-01-613-PD-03</t>
  </si>
  <si>
    <t>3-25-01-613-PD-03</t>
  </si>
  <si>
    <t>DPT-61312</t>
  </si>
  <si>
    <t>325-01-613-PD-05</t>
  </si>
  <si>
    <t>3-25-01-613-PD-05</t>
  </si>
  <si>
    <t>LSH-61304</t>
  </si>
  <si>
    <t>LSH-61305</t>
  </si>
  <si>
    <t>LSH-61307</t>
  </si>
  <si>
    <t>3-25-01-613-PD-01</t>
  </si>
  <si>
    <t>LSH-61312</t>
  </si>
  <si>
    <t>ZS-61312</t>
  </si>
  <si>
    <t>325-01-613-PD-01</t>
  </si>
  <si>
    <t>ZS-61313</t>
  </si>
  <si>
    <t>PSE-61302</t>
  </si>
  <si>
    <t>PSE-61303</t>
  </si>
  <si>
    <t>ISV-61303</t>
  </si>
  <si>
    <t>ISV-61304</t>
  </si>
  <si>
    <t>SC-61301</t>
  </si>
  <si>
    <t>SC-61302</t>
  </si>
  <si>
    <t>RV-61301</t>
  </si>
  <si>
    <t>RV-61305</t>
  </si>
  <si>
    <t>RV-61304</t>
  </si>
  <si>
    <t>DPT-61301</t>
  </si>
  <si>
    <t>IS-JB-618</t>
  </si>
  <si>
    <t>8th</t>
  </si>
  <si>
    <t>DPT-61302</t>
  </si>
  <si>
    <t>9th</t>
  </si>
  <si>
    <t>LSH-61301</t>
  </si>
  <si>
    <t>7th</t>
  </si>
  <si>
    <t>LSL-61302</t>
  </si>
  <si>
    <t>LSH-61306</t>
  </si>
  <si>
    <t>LSH-61308</t>
  </si>
  <si>
    <t>LT-61301</t>
  </si>
  <si>
    <t>PT-61301</t>
  </si>
  <si>
    <t>PT-61304</t>
  </si>
  <si>
    <t>PT-61305</t>
  </si>
  <si>
    <t>TT-61301</t>
  </si>
  <si>
    <t>TT-61302</t>
  </si>
  <si>
    <t>ZS-61310</t>
  </si>
  <si>
    <t>ZS-61311</t>
  </si>
  <si>
    <t>PSE-61300</t>
  </si>
  <si>
    <t>PSE-61301</t>
  </si>
  <si>
    <t>ISV-61301</t>
  </si>
  <si>
    <t>PSE-61304</t>
  </si>
  <si>
    <t>PSV-61301A</t>
  </si>
  <si>
    <t>PSV-61301B</t>
  </si>
  <si>
    <t>PT-40201</t>
  </si>
  <si>
    <t>JB-401</t>
  </si>
  <si>
    <t>Infeed Tank</t>
  </si>
  <si>
    <t>325-01-400-PD-02</t>
  </si>
  <si>
    <t>3-25-01-402-PD-02</t>
  </si>
  <si>
    <t>FT-40201</t>
  </si>
  <si>
    <t>FT-40202</t>
  </si>
  <si>
    <t>HV-40206</t>
  </si>
  <si>
    <t>325-01-400-PD-01</t>
  </si>
  <si>
    <t>HV-40205</t>
  </si>
  <si>
    <t>LT-40203</t>
  </si>
  <si>
    <t>PT-40202</t>
  </si>
  <si>
    <t>PT-60202</t>
  </si>
  <si>
    <t>325-01-600-PD-01</t>
  </si>
  <si>
    <t>3-25-01-602-PD-01</t>
  </si>
  <si>
    <t>XV-40203B</t>
  </si>
  <si>
    <t>XV-40203C</t>
  </si>
  <si>
    <t>XV-40203D</t>
  </si>
  <si>
    <t>XV-40203E</t>
  </si>
  <si>
    <t>XV-60251</t>
  </si>
  <si>
    <t>ATY-40203</t>
  </si>
  <si>
    <t>PCY-40203</t>
  </si>
  <si>
    <t>FS-40201</t>
  </si>
  <si>
    <t>PH Adjustment</t>
  </si>
  <si>
    <t>3-25-01-402-PD-01</t>
  </si>
  <si>
    <t>FS-40202</t>
  </si>
  <si>
    <t>HV-40203</t>
  </si>
  <si>
    <t>HV-40201</t>
  </si>
  <si>
    <t>HV-40204</t>
  </si>
  <si>
    <t>HV-40202</t>
  </si>
  <si>
    <t>LT-40201</t>
  </si>
  <si>
    <t>LT-40202</t>
  </si>
  <si>
    <t>pHT-40201</t>
  </si>
  <si>
    <t>pHT-40202</t>
  </si>
  <si>
    <t>SV-40201</t>
  </si>
  <si>
    <t>SV-40202</t>
  </si>
  <si>
    <t>SV-40203</t>
  </si>
  <si>
    <t>SV-40204</t>
  </si>
  <si>
    <t>XV-40201A</t>
  </si>
  <si>
    <t>XV-40201B</t>
  </si>
  <si>
    <t>XV-40201C</t>
  </si>
  <si>
    <t>XV-40201D</t>
  </si>
  <si>
    <t>XV-40201E</t>
  </si>
  <si>
    <t>XV-40201F</t>
  </si>
  <si>
    <t>XV-40201G</t>
  </si>
  <si>
    <t>XV-40201H</t>
  </si>
  <si>
    <t>XV-40202A</t>
  </si>
  <si>
    <t>XV-40202B</t>
  </si>
  <si>
    <t>XV-40202C</t>
  </si>
  <si>
    <t>XV-40202D</t>
  </si>
  <si>
    <t>XV-40202E</t>
  </si>
  <si>
    <t>XV-40202F</t>
  </si>
  <si>
    <t>XV-40202G</t>
  </si>
  <si>
    <t>XV-40202H</t>
  </si>
  <si>
    <t>FS-40204</t>
  </si>
  <si>
    <t>JB-402</t>
  </si>
  <si>
    <t xml:space="preserve">Jet Cooker </t>
  </si>
  <si>
    <t>325-01-402-PD-01</t>
  </si>
  <si>
    <t>FS-40205</t>
  </si>
  <si>
    <t>325-01-402-PD-02</t>
  </si>
  <si>
    <t>FT-40221</t>
  </si>
  <si>
    <t>FT-40222</t>
  </si>
  <si>
    <t>HV-40207</t>
  </si>
  <si>
    <t>HV-40208</t>
  </si>
  <si>
    <t>PT-40222</t>
  </si>
  <si>
    <t>TT-40221</t>
  </si>
  <si>
    <t>TT-40222</t>
  </si>
  <si>
    <t>TCV-40222</t>
  </si>
  <si>
    <t>XV-40203F</t>
  </si>
  <si>
    <t>XV-40204B</t>
  </si>
  <si>
    <t>XV-40204C</t>
  </si>
  <si>
    <t>XV-40205A</t>
  </si>
  <si>
    <t>XV-40205B</t>
  </si>
  <si>
    <t>XV-40205C</t>
  </si>
  <si>
    <t>XV-40205D</t>
  </si>
  <si>
    <t>XV-40205F</t>
  </si>
  <si>
    <t>XV-40222</t>
  </si>
  <si>
    <t>DPT-60202</t>
  </si>
  <si>
    <t>JB-601</t>
  </si>
  <si>
    <t>325-01-600-PD-08</t>
  </si>
  <si>
    <t>3-25-01-602-PD-08</t>
  </si>
  <si>
    <t>FT-60201</t>
  </si>
  <si>
    <t>FT-61307</t>
  </si>
  <si>
    <t>3-25-01-613-PD-04</t>
  </si>
  <si>
    <t>325-01-613-PD-04</t>
  </si>
  <si>
    <t>FT-60204</t>
  </si>
  <si>
    <t>325-01-600-PD-10</t>
  </si>
  <si>
    <t>3-25-01-602-PD-10</t>
  </si>
  <si>
    <t>LSL-60201</t>
  </si>
  <si>
    <t>325-01-600-PD-11</t>
  </si>
  <si>
    <t>3-25-01-602-PD-11</t>
  </si>
  <si>
    <t>PT-60203</t>
  </si>
  <si>
    <t>PT-60204</t>
  </si>
  <si>
    <t>SV-60230</t>
  </si>
  <si>
    <t>SV-60231</t>
  </si>
  <si>
    <t>SV-60240A</t>
  </si>
  <si>
    <t>SV-60240B</t>
  </si>
  <si>
    <t>SV-60240C</t>
  </si>
  <si>
    <t>XV-60202</t>
  </si>
  <si>
    <t>SV-60201</t>
  </si>
  <si>
    <t>SV-60202</t>
  </si>
  <si>
    <t>SV-60203</t>
  </si>
  <si>
    <t>XV-60240D</t>
  </si>
  <si>
    <t>PT-60205</t>
  </si>
  <si>
    <t>FS-60205</t>
  </si>
  <si>
    <t>VS-60205</t>
  </si>
  <si>
    <t>XV-60205A</t>
  </si>
  <si>
    <t>AT-60241</t>
  </si>
  <si>
    <t>JB-602</t>
  </si>
  <si>
    <t>DPT-60203</t>
  </si>
  <si>
    <t>FT-60210</t>
  </si>
  <si>
    <t>FT-60211</t>
  </si>
  <si>
    <t>FT-60202</t>
  </si>
  <si>
    <t>325-01-600-PD-09</t>
  </si>
  <si>
    <t>3-25-01-602-PD-09</t>
  </si>
  <si>
    <t>LSH-60251</t>
  </si>
  <si>
    <t>PSL-60220</t>
  </si>
  <si>
    <t>PT-60210</t>
  </si>
  <si>
    <t>PT-60215</t>
  </si>
  <si>
    <t>PT-60216</t>
  </si>
  <si>
    <t>PT-60240</t>
  </si>
  <si>
    <t>PT-60241</t>
  </si>
  <si>
    <t>TSH-60230</t>
  </si>
  <si>
    <t>TSH-60240</t>
  </si>
  <si>
    <t>TT-60210</t>
  </si>
  <si>
    <t>TT-60211</t>
  </si>
  <si>
    <t>TT-60214</t>
  </si>
  <si>
    <t>TT-60215A</t>
  </si>
  <si>
    <t>TT-60215B</t>
  </si>
  <si>
    <t>TT-60216</t>
  </si>
  <si>
    <t>TT-60240</t>
  </si>
  <si>
    <t>TT-60241A</t>
  </si>
  <si>
    <t>TT-60241B</t>
  </si>
  <si>
    <t>TV-60214</t>
  </si>
  <si>
    <t>TV-60202</t>
  </si>
  <si>
    <t>325-01-600-PD-07</t>
  </si>
  <si>
    <t>3-25-01-602-PD-07</t>
  </si>
  <si>
    <t>TT-60212A</t>
  </si>
  <si>
    <t>TT-60212B</t>
  </si>
  <si>
    <t>VT-60210A</t>
  </si>
  <si>
    <t>VT-60210B</t>
  </si>
  <si>
    <t>VT-60241A</t>
  </si>
  <si>
    <t>VT-60241B</t>
  </si>
  <si>
    <t>XV-60214</t>
  </si>
  <si>
    <t>XV-60241</t>
  </si>
  <si>
    <t>TSH-60241A</t>
  </si>
  <si>
    <t>TSL-60241B</t>
  </si>
  <si>
    <t>TSH-60242A</t>
  </si>
  <si>
    <t>TSL-60242B</t>
  </si>
  <si>
    <t>TSH-60243A</t>
  </si>
  <si>
    <t>TSL-60243B</t>
  </si>
  <si>
    <t>DPT-60201</t>
  </si>
  <si>
    <t>JB-606</t>
  </si>
  <si>
    <t>FT-60203</t>
  </si>
  <si>
    <t>LSH-60250</t>
  </si>
  <si>
    <t>SV-60220</t>
  </si>
  <si>
    <t>FT-60221</t>
  </si>
  <si>
    <t>JB-607</t>
  </si>
  <si>
    <t>FT-60261FA</t>
  </si>
  <si>
    <t>325-01-600-PD-02</t>
  </si>
  <si>
    <t>3-25-01-602-PD-02</t>
  </si>
  <si>
    <t>FT-60261FB</t>
  </si>
  <si>
    <t>FT-60261FC</t>
  </si>
  <si>
    <t>FT-60261FD</t>
  </si>
  <si>
    <t>FT-60262FE</t>
  </si>
  <si>
    <t>FT-60262FF</t>
  </si>
  <si>
    <t>FT-60262FG</t>
  </si>
  <si>
    <t>FT-60262FH</t>
  </si>
  <si>
    <t>FT-60263FJ</t>
  </si>
  <si>
    <t>FT-60263FK</t>
  </si>
  <si>
    <t>FT-60263FL</t>
  </si>
  <si>
    <t>FT-60263FM</t>
  </si>
  <si>
    <t>FT-60264FN</t>
  </si>
  <si>
    <t>FT-60264FP</t>
  </si>
  <si>
    <t>FT-60264FQ</t>
  </si>
  <si>
    <t>FT-60264FR</t>
  </si>
  <si>
    <t>PT-60201</t>
  </si>
  <si>
    <t>PT-60221</t>
  </si>
  <si>
    <t>PV-60201</t>
  </si>
  <si>
    <t>TT-60201</t>
  </si>
  <si>
    <t>TT-60202</t>
  </si>
  <si>
    <t>XV-60201</t>
  </si>
  <si>
    <t>FT-60207</t>
  </si>
  <si>
    <t>PT-60207</t>
  </si>
  <si>
    <t>SV-60207</t>
  </si>
  <si>
    <t>TT-60207</t>
  </si>
  <si>
    <t>XV-60261FA</t>
  </si>
  <si>
    <t>XV-60261FB</t>
  </si>
  <si>
    <t>XV-60261FC</t>
  </si>
  <si>
    <t>XV-60261FD</t>
  </si>
  <si>
    <t>XV-60261SA</t>
  </si>
  <si>
    <t>XV-60261SB</t>
  </si>
  <si>
    <t>XV-60261SC</t>
  </si>
  <si>
    <t>XV-60261SD</t>
  </si>
  <si>
    <t>XV-60262FE</t>
  </si>
  <si>
    <t>XV-60262FF</t>
  </si>
  <si>
    <t>XV-60262FG</t>
  </si>
  <si>
    <t>XV-60262FH</t>
  </si>
  <si>
    <t>XV-60262SE</t>
  </si>
  <si>
    <t>XV-60262SF</t>
  </si>
  <si>
    <t>XV-60262SG</t>
  </si>
  <si>
    <t>XV-60262SH</t>
  </si>
  <si>
    <t>XV-60263FJ</t>
  </si>
  <si>
    <t>XV-60263FK</t>
  </si>
  <si>
    <t>XV-60263FL</t>
  </si>
  <si>
    <t>XV-60263FM</t>
  </si>
  <si>
    <t>XV-60263SJ</t>
  </si>
  <si>
    <t>XV-60263SK</t>
  </si>
  <si>
    <t>XV-60263SL</t>
  </si>
  <si>
    <t>XV-60263SM</t>
  </si>
  <si>
    <t>XV-60264FN</t>
  </si>
  <si>
    <t>XV-60264FP</t>
  </si>
  <si>
    <t>XV-60264FQ</t>
  </si>
  <si>
    <t>XV-60264FR</t>
  </si>
  <si>
    <t>XV-60264SN</t>
  </si>
  <si>
    <t>XV-60264SP</t>
  </si>
  <si>
    <t>XV-60264SQ</t>
  </si>
  <si>
    <t>XV-60264SR</t>
  </si>
  <si>
    <t>325-01-600-PD-06</t>
  </si>
  <si>
    <t>TT-60245</t>
  </si>
  <si>
    <t>JB-608</t>
  </si>
  <si>
    <t>HS-61307F</t>
  </si>
  <si>
    <t>JB-612</t>
  </si>
  <si>
    <t>HS-61307G</t>
  </si>
  <si>
    <t>HS-61307H</t>
  </si>
  <si>
    <t>HS-61307I</t>
  </si>
  <si>
    <t>HS-61307J</t>
  </si>
  <si>
    <t>HS-61307K</t>
  </si>
  <si>
    <t>HS-61307L</t>
  </si>
  <si>
    <t>HS-61307M</t>
  </si>
  <si>
    <t>HS-61307N</t>
  </si>
  <si>
    <t>HS-61307O</t>
  </si>
  <si>
    <t>HS-61307P</t>
  </si>
  <si>
    <t>HS-61307Q</t>
  </si>
  <si>
    <t>HS-61307R</t>
  </si>
  <si>
    <t>PSL-61305</t>
  </si>
  <si>
    <t>PSL-61306</t>
  </si>
  <si>
    <t>PT-61302</t>
  </si>
  <si>
    <t>PT-61309</t>
  </si>
  <si>
    <t>SV-61307</t>
  </si>
  <si>
    <t>SV-61309</t>
  </si>
  <si>
    <t>SV-61311</t>
  </si>
  <si>
    <t>XV-61302</t>
  </si>
  <si>
    <t>325-01-613-PD-02</t>
  </si>
  <si>
    <t>3-25-01-613-PD-02</t>
  </si>
  <si>
    <t>XV-61303</t>
  </si>
  <si>
    <t>HS-61307A</t>
  </si>
  <si>
    <t>JB-618</t>
  </si>
  <si>
    <t>HS-61307B</t>
  </si>
  <si>
    <t>HS-61307C</t>
  </si>
  <si>
    <t>HS-61307D</t>
  </si>
  <si>
    <t>HS-61307E</t>
  </si>
  <si>
    <t>LS-61303</t>
  </si>
  <si>
    <t>PSL-61301</t>
  </si>
  <si>
    <t>PSL-61302</t>
  </si>
  <si>
    <t>PSL-61311</t>
  </si>
  <si>
    <t>PT-61303</t>
  </si>
  <si>
    <t>PT-61306</t>
  </si>
  <si>
    <t>TT-61303</t>
  </si>
  <si>
    <t>TT-61304</t>
  </si>
  <si>
    <t>SV-61302</t>
  </si>
  <si>
    <t>SV-61303</t>
  </si>
  <si>
    <t>SV-61305</t>
  </si>
  <si>
    <t>SV-61306</t>
  </si>
  <si>
    <t>XV61301</t>
  </si>
  <si>
    <t>DV-61301</t>
  </si>
  <si>
    <t>DV-61302</t>
  </si>
  <si>
    <t>SV-61304</t>
  </si>
  <si>
    <t>FS-20201</t>
  </si>
  <si>
    <t>RIO-200</t>
  </si>
  <si>
    <t>Slurry - Out Building</t>
  </si>
  <si>
    <t>3-25-01-202-PD-01</t>
  </si>
  <si>
    <t>HV-20204</t>
  </si>
  <si>
    <t>325-01-200-PD-01</t>
  </si>
  <si>
    <t>HV-20205</t>
  </si>
  <si>
    <t>HV-20206</t>
  </si>
  <si>
    <t>HV-20207</t>
  </si>
  <si>
    <t>HV-20208</t>
  </si>
  <si>
    <t>325-01-200-PD-02</t>
  </si>
  <si>
    <t>3-25-01-202-PD-02</t>
  </si>
  <si>
    <t>HV-20209</t>
  </si>
  <si>
    <t>HV-20210</t>
  </si>
  <si>
    <t>XV-20201</t>
  </si>
  <si>
    <t>XV-20202</t>
  </si>
  <si>
    <t>XV-20203</t>
  </si>
  <si>
    <t>XV-20211</t>
  </si>
  <si>
    <t>XV-20212</t>
  </si>
  <si>
    <t>XV-20213</t>
  </si>
  <si>
    <t>CIP Water System</t>
  </si>
  <si>
    <t>3-25-01-810-PD-01</t>
  </si>
  <si>
    <t>FT-913201</t>
  </si>
  <si>
    <t>LPG System</t>
  </si>
  <si>
    <t>325-01-803-PD-02</t>
  </si>
  <si>
    <t>3-25-01-913-PD-02</t>
  </si>
  <si>
    <t>PT-913201</t>
  </si>
  <si>
    <t>XV-913201</t>
  </si>
  <si>
    <t>Boiler System</t>
  </si>
  <si>
    <t>External Remote Setpoint</t>
  </si>
  <si>
    <t>Spare</t>
  </si>
  <si>
    <t>Boiler Common Alarm</t>
  </si>
  <si>
    <t>Boiler trip</t>
  </si>
  <si>
    <t>Burner Trip</t>
  </si>
  <si>
    <t>Boiler Operation</t>
  </si>
  <si>
    <t>Remote Setpoint Activateed</t>
  </si>
  <si>
    <t>Remote Setpoint Status</t>
  </si>
  <si>
    <t>FT-936202</t>
  </si>
  <si>
    <t>Process Water</t>
  </si>
  <si>
    <t>325-01-930-PD-02</t>
  </si>
  <si>
    <t>3-25-01-930-PD-07</t>
  </si>
  <si>
    <t>FT-936201</t>
  </si>
  <si>
    <t>325-01-930-PD-01</t>
  </si>
  <si>
    <t>3-25-01-930-PD-08</t>
  </si>
  <si>
    <t>LSL-814201</t>
  </si>
  <si>
    <t>3-25-01-814-PD-01</t>
  </si>
  <si>
    <t>LT-913201</t>
  </si>
  <si>
    <t>325-01-803-PD-01</t>
  </si>
  <si>
    <t>3-25-01-913-PD-01</t>
  </si>
  <si>
    <t>XT-92201</t>
  </si>
  <si>
    <t>325-01-923-PD-03</t>
  </si>
  <si>
    <t>3-25-01-922-PD-03</t>
  </si>
  <si>
    <t>XA-92201</t>
  </si>
  <si>
    <t>PK-913201</t>
  </si>
  <si>
    <t>PK-913202</t>
  </si>
  <si>
    <t>DATE</t>
  </si>
  <si>
    <t>13 AUG 2026</t>
  </si>
  <si>
    <t>REV.</t>
  </si>
  <si>
    <t>DOC.NO.</t>
  </si>
  <si>
    <t>Instrument  I/O List</t>
  </si>
  <si>
    <t>3.6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</si>
  <si>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</si>
  <si>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</si>
  <si>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</si>
  <si>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</si>
  <si>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</si>
  <si>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</si>
  <si>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</si>
  <si>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</si>
  <si>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</si>
  <si>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</si>
  <si>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</si>
  <si>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</si>
  <si>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</si>
  <si>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</si>
  <si>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Instruement Tag</t>
  </si>
  <si>
    <t>Instruement Description</t>
  </si>
  <si>
    <t>Tag</t>
  </si>
  <si>
    <t>Tag_New</t>
  </si>
  <si>
    <t>P&amp;ID No.</t>
  </si>
  <si>
    <t>Description</t>
  </si>
  <si>
    <t xml:space="preserve"> Instrument Name</t>
  </si>
  <si>
    <t>Column1</t>
  </si>
  <si>
    <t>Signal type</t>
  </si>
  <si>
    <t>Signal to</t>
  </si>
  <si>
    <t>Range</t>
  </si>
  <si>
    <t xml:space="preserve"> Function</t>
  </si>
  <si>
    <t>Cable Type</t>
  </si>
  <si>
    <t xml:space="preserve">Type of Protection </t>
  </si>
  <si>
    <t>Remark</t>
  </si>
  <si>
    <t>Dust Analyzer Transmitter</t>
  </si>
  <si>
    <t>325-01-602-PD-05</t>
  </si>
  <si>
    <t>Dust Analyzer Transmitter for Exhaust Duct (DTEX-22)</t>
  </si>
  <si>
    <t>4 - 20 mA</t>
  </si>
  <si>
    <t>PLC</t>
  </si>
  <si>
    <t>5000 mg</t>
  </si>
  <si>
    <t>0 - 100%</t>
  </si>
  <si>
    <t xml:space="preserve">LiY-CY TP 2Px1.0 , CVV 3Cx1.5 </t>
  </si>
  <si>
    <t>Differential Pressure Transmitte</t>
  </si>
  <si>
    <t>DPT-60901</t>
  </si>
  <si>
    <t>325-01-602-PD-09</t>
  </si>
  <si>
    <t>Steam filter pressure</t>
  </si>
  <si>
    <t xml:space="preserve">Differential Pressure Transmitter </t>
  </si>
  <si>
    <t xml:space="preserve"> 0-1 barg</t>
  </si>
  <si>
    <t xml:space="preserve">LiY-CY TP 1P x1.0 </t>
  </si>
  <si>
    <t>Vent filter pressure</t>
  </si>
  <si>
    <t>500 mBar./0 - 100%</t>
  </si>
  <si>
    <t>Ex t/d</t>
  </si>
  <si>
    <t xml:space="preserve"> Safety Barriers</t>
  </si>
  <si>
    <t>0-250 mbarg / 0 - 100%</t>
  </si>
  <si>
    <t>325-01-602-PD-08</t>
  </si>
  <si>
    <t>Gas Pressure Differential Transmitter  for Air Filter (FICA-31)</t>
  </si>
  <si>
    <t>-100 to 500 mBar</t>
  </si>
  <si>
    <t>0 to1000</t>
  </si>
  <si>
    <t>325-01-602-PD-03</t>
  </si>
  <si>
    <t>Gas Pressure Differential Transmitter  for Air Filter (FICA-21)</t>
  </si>
  <si>
    <t>0-100 mbarg / 0 - 100%</t>
  </si>
  <si>
    <t>Flow Switch</t>
  </si>
  <si>
    <t>FSL-20201</t>
  </si>
  <si>
    <t>325-01-202-PD-01</t>
  </si>
  <si>
    <t xml:space="preserve">Slurry low flow </t>
  </si>
  <si>
    <t>Dry Contact</t>
  </si>
  <si>
    <t>n/a</t>
  </si>
  <si>
    <t>CVV 4Cx1</t>
  </si>
  <si>
    <t>FSL-40201</t>
  </si>
  <si>
    <t>FSL-40202</t>
  </si>
  <si>
    <t>Coriolis Flow Transmitter</t>
  </si>
  <si>
    <t xml:space="preserve">Slurry flowrate &amp; density check transfer line  </t>
  </si>
  <si>
    <t>4 - 20 mA,Pulse</t>
  </si>
  <si>
    <t>0-15 m³/hr</t>
  </si>
  <si>
    <t>Flow rate</t>
  </si>
  <si>
    <t xml:space="preserve">LiY-CY TP 3Px1.0 , CVV 3Cx1.5 </t>
  </si>
  <si>
    <t>Magnetic Flow Transmitter</t>
  </si>
  <si>
    <t>Feed Slurry Flow Transmitter for Pipe (PIPE)</t>
  </si>
  <si>
    <t>0 to 8,000 m³/hr</t>
  </si>
  <si>
    <t>0-6 m³/hr</t>
  </si>
  <si>
    <t>0-850 kg/hr</t>
  </si>
  <si>
    <t>325-01-602-PD-04</t>
  </si>
  <si>
    <t xml:space="preserve">Cool air Flow </t>
  </si>
  <si>
    <t>Thermal Mass Flow Transmitter</t>
  </si>
  <si>
    <t>2500 m3/h</t>
  </si>
  <si>
    <t>Gas Flow Transmitter for Cooling Conveying Cold Air Duct (DTCA-32)</t>
  </si>
  <si>
    <t>70000 m3/h</t>
  </si>
  <si>
    <t>Gas Flow Element for Dryer Hot Air Duct (DTHA-21B)</t>
  </si>
  <si>
    <t>126000 m3/h</t>
  </si>
  <si>
    <t xml:space="preserve">LiY-CY TP 2P x1.0 </t>
  </si>
  <si>
    <t>Gas Flow Element for Dryer Hot Air Duct (DTHA-21A)</t>
  </si>
  <si>
    <t>325-01-602-PD-02</t>
  </si>
  <si>
    <t>Feed Slurry Flow Transmitter for Nozzle #1 (AMTV-11A)</t>
  </si>
  <si>
    <t>Ultrasonic Flow Transmitter</t>
  </si>
  <si>
    <t>0 to 100 l/h</t>
  </si>
  <si>
    <t>Feed Slurry Flow Transmitter for Nozzle #2 (AMTV-11A)</t>
  </si>
  <si>
    <t>Feed Slurry Flow Transmitter for Nozzle #3 (AMTV-11A)</t>
  </si>
  <si>
    <t>Feed Slurry Flow Transmitter for Nozzle #4 (AMTV-11A)</t>
  </si>
  <si>
    <t>Feed Slurry Flow Transmitter for Nozzle #5 (AMTV-11B)</t>
  </si>
  <si>
    <t>Feed Slurry Flow Transmitter for Nozzle #6 (AMTV-11B)</t>
  </si>
  <si>
    <t>Feed Slurry Flow Transmitter for Nozzle #7 (AMTV-11B)</t>
  </si>
  <si>
    <t>Feed Slurry Flow Transmitter for Nozzle #8 (AMTV-11B)</t>
  </si>
  <si>
    <t>Feed Slurry Flow Transmitter for Nozzle #9 (AMTV-11C)</t>
  </si>
  <si>
    <t>Feed Slurry Flow Transmitter for Nozzle #10 (AMTV-11C)</t>
  </si>
  <si>
    <t>Feed Slurry Flow Transmitter for Nozzle #11 (AMTV-11C)</t>
  </si>
  <si>
    <t>Feed Slurry Flow Transmitter for Nozzle #12 (AMTV-11C)</t>
  </si>
  <si>
    <t>Feed Slurry Flow Transmitter for Nozzle #13 (AMTV-11D)</t>
  </si>
  <si>
    <t>Feed Slurry Flow Transmitter for Nozzle #14 (AMTV-11D)</t>
  </si>
  <si>
    <t>Feed Slurry Flow Transmitter for Nozzle #15 (AMTV-11D)</t>
  </si>
  <si>
    <t>Feed Slurry Flow Transmitter for Nozzle #16 (AMTV-11D)</t>
  </si>
  <si>
    <t xml:space="preserve">Compressed air Flow </t>
  </si>
  <si>
    <t>0 - 1000 m3/hr</t>
  </si>
  <si>
    <t>FT-60901</t>
  </si>
  <si>
    <t xml:space="preserve">Culinary steam feed to Spray dryer </t>
  </si>
  <si>
    <t>Vortex Flow Transmitter</t>
  </si>
  <si>
    <t>0 - 7000 kg/hr</t>
  </si>
  <si>
    <t>FT-60902</t>
  </si>
  <si>
    <t xml:space="preserve">Steam feed to Spray dryer </t>
  </si>
  <si>
    <t>0 - 2000 kg/hr</t>
  </si>
  <si>
    <t>FT-61101</t>
  </si>
  <si>
    <t>325-01-602-PD-10</t>
  </si>
  <si>
    <t>FT-90301</t>
  </si>
  <si>
    <t>0-1000kg/m³</t>
  </si>
  <si>
    <t>FT-93001</t>
  </si>
  <si>
    <t>0 - 20 m3/ hr</t>
  </si>
  <si>
    <t>Start/Stop</t>
  </si>
  <si>
    <t>Hand Switch</t>
  </si>
  <si>
    <t>Ex d</t>
  </si>
  <si>
    <t xml:space="preserve">Manual Valve With Position Switch </t>
  </si>
  <si>
    <t>HV-4106</t>
  </si>
  <si>
    <t>Slurry Drain tank TS-40201</t>
  </si>
  <si>
    <t xml:space="preserve">Valve With Position Switch </t>
  </si>
  <si>
    <t>On-Off</t>
  </si>
  <si>
    <t>Manual / Position Close</t>
  </si>
  <si>
    <t>HV-4108</t>
  </si>
  <si>
    <t>Slurry Drain line</t>
  </si>
  <si>
    <t>HV-4126</t>
  </si>
  <si>
    <t>Slurry Drain tank TS-40202</t>
  </si>
  <si>
    <t>HV-4128</t>
  </si>
  <si>
    <t>HV-4208</t>
  </si>
  <si>
    <t>Slurry Drain tank TS-40203</t>
  </si>
  <si>
    <t>HV-4210</t>
  </si>
  <si>
    <t>Powder Level Switch High for Cyclone (CYCL-21)</t>
  </si>
  <si>
    <t>Level switch</t>
  </si>
  <si>
    <t>Detected " high" / Overfill</t>
  </si>
  <si>
    <t>CVV 3Cx1.5 , CVV 4Cx1</t>
  </si>
  <si>
    <t>Powder Level Switch High for Cyclone (CYCL-22)</t>
  </si>
  <si>
    <t>Powder Level Switch High for Bag House (BGHS-21)</t>
  </si>
  <si>
    <t>Water Level Switch High for Fire Deluge Pipe (FWDP-21)</t>
  </si>
  <si>
    <t>Water Level Switch High for Fire Deluge Pipe (FWDP-22)</t>
  </si>
  <si>
    <t>LSL-61101</t>
  </si>
  <si>
    <t>325-01-602-PD-11</t>
  </si>
  <si>
    <t xml:space="preserve">Level low switch </t>
  </si>
  <si>
    <t>Detected " Low " / Run dry protection</t>
  </si>
  <si>
    <t xml:space="preserve">Level alarm high </t>
  </si>
  <si>
    <t>Detected " Full " / Overfill</t>
  </si>
  <si>
    <t>Level alarm low</t>
  </si>
  <si>
    <t>Detected " Low " / Overfill</t>
  </si>
  <si>
    <t>Big bag level alarm high</t>
  </si>
  <si>
    <t>Nondetected " Empty " / Overfill</t>
  </si>
  <si>
    <t>Level alarm high</t>
  </si>
  <si>
    <t>High Level alarm reject screen</t>
  </si>
  <si>
    <t>High Level alarm Cooling cyclone</t>
  </si>
  <si>
    <t>LSL-81001</t>
  </si>
  <si>
    <t>325-01-814-PD-01</t>
  </si>
  <si>
    <t xml:space="preserve">Low Level alarm </t>
  </si>
  <si>
    <t>Level Transmitter</t>
  </si>
  <si>
    <t>LT-40101</t>
  </si>
  <si>
    <t>Level transmitter in pH Adjustment tank 1</t>
  </si>
  <si>
    <t>Level transmitter</t>
  </si>
  <si>
    <t>0 - 10 m.</t>
  </si>
  <si>
    <t>LT-40102</t>
  </si>
  <si>
    <t>Level transmitter in pH Adjustment tank 2</t>
  </si>
  <si>
    <t xml:space="preserve">Level transmitter in Spray dryer infeed tank </t>
  </si>
  <si>
    <t>Level powder in silo</t>
  </si>
  <si>
    <t>Ex ia</t>
  </si>
  <si>
    <t>PH Transmitter</t>
  </si>
  <si>
    <t>pHT-40101</t>
  </si>
  <si>
    <t>pH analyzer in pH Adjustment tank 1</t>
  </si>
  <si>
    <t>pH Analyzer</t>
  </si>
  <si>
    <t>0-14</t>
  </si>
  <si>
    <t>pHT-40102</t>
  </si>
  <si>
    <t>pH analyzer in pH Adjustment tank 2</t>
  </si>
  <si>
    <t>Gas Pressure Switch Low for Spray Chamber (CHAM-21)</t>
  </si>
  <si>
    <t>Pressure switch</t>
  </si>
  <si>
    <t>Hard Wired to MCC FANE-21</t>
  </si>
  <si>
    <t>-0.01 mbar</t>
  </si>
  <si>
    <t>0 to (- 20,000) Pa</t>
  </si>
  <si>
    <t>Pressure alarm low</t>
  </si>
  <si>
    <t>0.3-0.7barg</t>
  </si>
  <si>
    <t>1 barg / Under pressure</t>
  </si>
  <si>
    <t>40 mbarg</t>
  </si>
  <si>
    <t>Pressure Transmitter</t>
  </si>
  <si>
    <t>Pressure Transmitter  for Inlet Filter Strainer (FSTR-11)</t>
  </si>
  <si>
    <t xml:space="preserve">Pressure Transmitter </t>
  </si>
  <si>
    <t>Feed Slurry Pressure Transmitter for Pipe (PIPE)</t>
  </si>
  <si>
    <t>0 - 10'barg</t>
  </si>
  <si>
    <t>0 to 500</t>
  </si>
  <si>
    <t>0 - 12'barg</t>
  </si>
  <si>
    <t>0 - 20 bar</t>
  </si>
  <si>
    <t>Control Pressure</t>
  </si>
  <si>
    <t>325-01-602-PD-01</t>
  </si>
  <si>
    <t>Feed Slurry Pressure Transmitter for High Pressure Pump Outlet (PUPD-11)</t>
  </si>
  <si>
    <t>0 to 500 bar</t>
  </si>
  <si>
    <t>0-100%</t>
  </si>
  <si>
    <t>Gas Pressure Transmitter for Cool Air Duct (DTCA-32)</t>
  </si>
  <si>
    <t>0 - 0.1 mbar</t>
  </si>
  <si>
    <t>Gas Pressure Transmitter for Hot Air Duct (DTHA-21)</t>
  </si>
  <si>
    <t>15% Polypropylene Glycol Pressure Indicator Transmitter for Heat Recovery Pumping Skid (PUCF-21)</t>
  </si>
  <si>
    <t>0 - 6 bar</t>
  </si>
  <si>
    <t>Gas Pressure Transmitter for Combustion Air Burner Duct (DTCB-21)</t>
  </si>
  <si>
    <t>0 - 100 mbar</t>
  </si>
  <si>
    <t>Gas Pressure Transmitter for Chamber (CHAM-21)</t>
  </si>
  <si>
    <t>-100 - 100 mbar</t>
  </si>
  <si>
    <t>Ex ic</t>
  </si>
  <si>
    <t>Gas Pressure Transmitter for Cooling Air Duct (DTCA-25)</t>
  </si>
  <si>
    <t>Gas Pressure Transmitter for Conveying Duct (DTCO-21)</t>
  </si>
  <si>
    <t>Gas Pressure Transmitter for Cyclone Exhaust Duct (DTCE-21)</t>
  </si>
  <si>
    <t>-100 to 200 mbar</t>
  </si>
  <si>
    <t>Gas Pressure Transmitter for Bag House Exhaust Duct (DTEX-22)</t>
  </si>
  <si>
    <t>Gas Pressure Transmitter for Exhaust Fan (FANE-21)</t>
  </si>
  <si>
    <t>PT-61101</t>
  </si>
  <si>
    <t>Pressure transmitter</t>
  </si>
  <si>
    <t>0 - 10 barg</t>
  </si>
  <si>
    <t>Pressure in silo</t>
  </si>
  <si>
    <t>0 - 1 barg</t>
  </si>
  <si>
    <t xml:space="preserve">Pressure in vacuum line </t>
  </si>
  <si>
    <t>-100 - 100 mbarg</t>
  </si>
  <si>
    <t>Powder Pressure Transmitter for Cooling / Conveyor Cyclone (CYCL-31)</t>
  </si>
  <si>
    <t>Gas Pressure Transmitter for Storage Bin Cyclone Inlet Duct (CYCL-31)</t>
  </si>
  <si>
    <t>Gas Pressure Transmitter for Exhaust Duct (DTEX-31)</t>
  </si>
  <si>
    <t>0 - 8 barg / 0-100%</t>
  </si>
  <si>
    <t>PCV-60201</t>
  </si>
  <si>
    <t>Automatic Control valve</t>
  </si>
  <si>
    <t>Position O/C./0 - 100%</t>
  </si>
  <si>
    <t>SV-40101</t>
  </si>
  <si>
    <t>Water service pH analyzer in pH Adjustment tank 1</t>
  </si>
  <si>
    <t>Solenoid valve</t>
  </si>
  <si>
    <t>24 VDC energized</t>
  </si>
  <si>
    <t>Energized " Open" / Position O/C</t>
  </si>
  <si>
    <t>CVV 2Cx1</t>
  </si>
  <si>
    <t>SV-40102</t>
  </si>
  <si>
    <t>Water service pH analyzer in pH Adjustment tank 2</t>
  </si>
  <si>
    <t>SV-40103</t>
  </si>
  <si>
    <t>Air service pH analyzer in pH Adjustment tank 1</t>
  </si>
  <si>
    <t>SV-40104</t>
  </si>
  <si>
    <t>Air service pH analyzer in pH Adjustment tank 2</t>
  </si>
  <si>
    <t>PA On/Off Valve for Chamber PSE purge air (CHAM-21)</t>
  </si>
  <si>
    <t>PA On/Off Valve for Cyclone Air Hammer 27 (CYCL-21)</t>
  </si>
  <si>
    <t>PA On/Off Valve for Cyclone Air Hammer 28 (CYCL-22)</t>
  </si>
  <si>
    <t>PA On/Off Valve for Cyclone Air Hammer 29A (BGHS-21)</t>
  </si>
  <si>
    <t>PA On/Off Valve for Cyclone Air Hammer 29B (BGHS-21)</t>
  </si>
  <si>
    <t>PA On/Off Valve for Cyclone Air Hammer 29C (BGHS-21)</t>
  </si>
  <si>
    <t>SV-61301</t>
  </si>
  <si>
    <t>Timer compress air pluse solenoid valve</t>
  </si>
  <si>
    <t>Air service</t>
  </si>
  <si>
    <t>SV-61308</t>
  </si>
  <si>
    <t>SV-61310</t>
  </si>
  <si>
    <t>Gas and Powder Temperature Switch High for Conveying Duct (DTCO-21)</t>
  </si>
  <si>
    <t>Temperature Switch</t>
  </si>
  <si>
    <t>Fire Deluge Control Panel</t>
  </si>
  <si>
    <t>0 - 140 C</t>
  </si>
  <si>
    <t>Gas and Powder Temperature Switch High for Exhaust Duct (DTEX-22)</t>
  </si>
  <si>
    <t>Temperature Transmitter</t>
  </si>
  <si>
    <t>0 - 120 C</t>
  </si>
  <si>
    <t>0 - 300 C</t>
  </si>
  <si>
    <t>0 - 200 C</t>
  </si>
  <si>
    <t>Gas Temperature Element for Hot Air Duct (DTHA-21)</t>
  </si>
  <si>
    <t>0 - 400'°C</t>
  </si>
  <si>
    <t>0 to 400</t>
  </si>
  <si>
    <t xml:space="preserve"> Bearing Temperature Transmitter for Main Supply Air Fan (FANS-21)</t>
  </si>
  <si>
    <t>0 - 100 C</t>
  </si>
  <si>
    <t>0 to 150</t>
  </si>
  <si>
    <t>Steam Temperature Transmitter for Cold Air Duct (DTCA-23)</t>
  </si>
  <si>
    <t>-10 to 250°C</t>
  </si>
  <si>
    <t>-10 to 250</t>
  </si>
  <si>
    <t>Liquid Temperature Transmitter for Heat Recovery (HXCR-21)</t>
  </si>
  <si>
    <t>-10 to 150°C</t>
  </si>
  <si>
    <t>-10 to 150</t>
  </si>
  <si>
    <t>Gas Temperature Transmitter for Combustion Air Burner Duct (DTCB-21)</t>
  </si>
  <si>
    <t>0 - 200'°C</t>
  </si>
  <si>
    <t>0 to 200</t>
  </si>
  <si>
    <t>Gas and Powder Temperature Transmitter for Spray Chamber (CHAM-21)</t>
  </si>
  <si>
    <t>Gas and Powder Temperature Transmitter for Conveying Duct (DTCO-21)</t>
  </si>
  <si>
    <t>Gas Temperature Transmitter for Exhaust Fan (FANE-21)</t>
  </si>
  <si>
    <t xml:space="preserve"> Bearing Temperature Transmitter for Main Exhaust Air Fan (FANE-21)</t>
  </si>
  <si>
    <t>Gas Temperature Transmitter for Exhaust Stack (DTXS-21)</t>
  </si>
  <si>
    <t>TT-60702</t>
  </si>
  <si>
    <t>325-01-602-PD-07</t>
  </si>
  <si>
    <t xml:space="preserve">Compress air temp to camera </t>
  </si>
  <si>
    <t>0 - 40 C</t>
  </si>
  <si>
    <t>Control Temperature</t>
  </si>
  <si>
    <t>Gas Temperature Transmitter for Cold Air Duct (DTCA-32)</t>
  </si>
  <si>
    <t>Gas and Powder Temperature Transmitter for Cooling Cyclone (CYCL-31)</t>
  </si>
  <si>
    <t>Command</t>
  </si>
  <si>
    <t>TCV-60214</t>
  </si>
  <si>
    <t>Steam Temperature Valve for Pre-Heat Steam Heat Exchanger (HXCH-21)</t>
  </si>
  <si>
    <t>TV-60702</t>
  </si>
  <si>
    <t>TCV-60202</t>
  </si>
  <si>
    <t>Chiller water control valve</t>
  </si>
  <si>
    <t>3-way Control valve</t>
  </si>
  <si>
    <t xml:space="preserve"> Vibration Transmitter for Main Supply Air Fan (FANS-21)</t>
  </si>
  <si>
    <t>Vibration Transmitter</t>
  </si>
  <si>
    <t>mm/sec</t>
  </si>
  <si>
    <t>0 to 15</t>
  </si>
  <si>
    <t xml:space="preserve"> Vibration Transmitter for Main Exhaust Air Fan (FANE-21)</t>
  </si>
  <si>
    <t>XT-60301</t>
  </si>
  <si>
    <t>325-01-402-PD-03</t>
  </si>
  <si>
    <t>LEL gas analyzer</t>
  </si>
  <si>
    <t>Gas detector</t>
  </si>
  <si>
    <t>0-10%LEL</t>
  </si>
  <si>
    <t>XA-60301</t>
  </si>
  <si>
    <t>LEL gas Buzzer Alarm</t>
  </si>
  <si>
    <t>XV-40101A</t>
  </si>
  <si>
    <t>Slurry feed-in pH Adjustment tank 1</t>
  </si>
  <si>
    <t>Automatic on/off valve</t>
  </si>
  <si>
    <t>CVV 3Cx1 / CVV 4Cx1</t>
  </si>
  <si>
    <t>XV-40101B</t>
  </si>
  <si>
    <t>Slurry feed-out pH Adjustment tank 1</t>
  </si>
  <si>
    <t>XV-40101C</t>
  </si>
  <si>
    <t>Water washing line outlet pH Adjustment tank 1</t>
  </si>
  <si>
    <t>XV-40101D</t>
  </si>
  <si>
    <t>Slurry circulation pH Adjustment tank 1</t>
  </si>
  <si>
    <t>XV-40101E</t>
  </si>
  <si>
    <t>Slurry pH Adjustment tank 1 transfer to pH Adjustment tank 2</t>
  </si>
  <si>
    <t>XV-40101F</t>
  </si>
  <si>
    <t>Slurry feed-to spray dry tank</t>
  </si>
  <si>
    <t>XV-40101G</t>
  </si>
  <si>
    <t>CIP water washing pH Adjustment tank 1</t>
  </si>
  <si>
    <t>XV-40101H</t>
  </si>
  <si>
    <t>CIP Hight pressure water washing pH Adjustment tank 1</t>
  </si>
  <si>
    <t>XV-40102A</t>
  </si>
  <si>
    <t>Slurry feed-in pH Adjustment tank 2</t>
  </si>
  <si>
    <t>XV-40102B</t>
  </si>
  <si>
    <t>Slurry feed-out pH Adjustment tank 2</t>
  </si>
  <si>
    <t>XV-40102C</t>
  </si>
  <si>
    <t>Water washing line outlet pH Adjustment tank 2</t>
  </si>
  <si>
    <t>XV-40102D</t>
  </si>
  <si>
    <t>Slurry circulation pH Adjustment tank 2</t>
  </si>
  <si>
    <t>XV-40102E</t>
  </si>
  <si>
    <t>Slurry pH Adjustment tank 2 transfer to pH Adjustment tank 1</t>
  </si>
  <si>
    <t>XV-40102F</t>
  </si>
  <si>
    <t>XV-40102G</t>
  </si>
  <si>
    <t>CIP water washing pH Adjustment tank 2</t>
  </si>
  <si>
    <t>XV-40102H</t>
  </si>
  <si>
    <t>CIP Hight pressure water washing pH Adjustment tank 2</t>
  </si>
  <si>
    <t xml:space="preserve">Slurry feed-out Spray dryer infeed tank </t>
  </si>
  <si>
    <t xml:space="preserve">Water washing line outlet Spray dryer infeed tank </t>
  </si>
  <si>
    <t xml:space="preserve">CIP water washing Spray dryer infeed tank </t>
  </si>
  <si>
    <t xml:space="preserve">CIP hight pressure water washing Spray dryer infeed tank </t>
  </si>
  <si>
    <t>Liquid On/Off Valve for Drain Pipe (PIPE)</t>
  </si>
  <si>
    <t>XV-60301</t>
  </si>
  <si>
    <t>XV-61101</t>
  </si>
  <si>
    <t xml:space="preserve">High Pressure Water On/Off Valve for Drain Pipe </t>
  </si>
  <si>
    <t>HV-61301</t>
  </si>
  <si>
    <t>XV-61301</t>
  </si>
  <si>
    <t xml:space="preserve">Product feed-out Packing silo </t>
  </si>
  <si>
    <t>Dust collector feed vent</t>
  </si>
  <si>
    <t>Dust collector feed from packer</t>
  </si>
  <si>
    <t>On/Off Valve for Diverter Valve DV-61301</t>
  </si>
  <si>
    <t>On/Off Valve for Diverter Valve DV-61302</t>
  </si>
  <si>
    <t xml:space="preserve"> Limit Switch for CHAM-21 (Spray Chamber)</t>
  </si>
  <si>
    <t>Limit Switch</t>
  </si>
  <si>
    <t xml:space="preserve"> Limit Switch for CY-60230  (Door Service)</t>
  </si>
  <si>
    <t xml:space="preserve"> Limit Switch for CY-60231  (Door Service)</t>
  </si>
  <si>
    <t>Gas Limit Switch for DTEX-21 (Bag House Face Spectacle Inserted)</t>
  </si>
  <si>
    <t>Gas Limit Switch for DTEX-21 (Bag House Face Blind Inserted)</t>
  </si>
  <si>
    <t>Gas Limit Switch for DTEX-23 (Bag House By-Pass Inlet Spool Inserted)</t>
  </si>
  <si>
    <t>Gas Limit Switch for DTEX-23 (Bag House By-Pass Inlet Blind Inserted)</t>
  </si>
  <si>
    <t>Gas Limit Switch for DTEX-23 (Bag House By-Pass Outlet Spool Inserted)</t>
  </si>
  <si>
    <t>Gas Limit Switch for DTEX-23 (Bag House By-Pass Outlet Blind Inserted)</t>
  </si>
  <si>
    <t xml:space="preserve"> Limit Switch for FA-60240  (Door Service)</t>
  </si>
  <si>
    <t>Position Magnet Door</t>
  </si>
  <si>
    <t>Position switch</t>
  </si>
  <si>
    <t>Detected " Fail " / Active</t>
  </si>
  <si>
    <t>Lototo-01</t>
  </si>
  <si>
    <t>Lototo-02</t>
  </si>
  <si>
    <t>Lototo-03</t>
  </si>
  <si>
    <t>Lototo-04</t>
  </si>
  <si>
    <t>Lototo-05</t>
  </si>
  <si>
    <t>Lototo-06</t>
  </si>
  <si>
    <t>Lototo-07</t>
  </si>
  <si>
    <t>Lototo-08</t>
  </si>
  <si>
    <t>Lototo-09</t>
  </si>
  <si>
    <t>Lototo-10</t>
  </si>
  <si>
    <t>Lototo-11</t>
  </si>
  <si>
    <t>Lototo-12</t>
  </si>
  <si>
    <t>Machine Equipment Supply</t>
  </si>
  <si>
    <t>Explosion Vent PSE-61300</t>
  </si>
  <si>
    <t>Explosion Vent PSE-61301</t>
  </si>
  <si>
    <t>ISV-61302</t>
  </si>
  <si>
    <t>Explosion isolation flap valve ISV-61302</t>
  </si>
  <si>
    <t>Explosion Vent PSE-61302</t>
  </si>
  <si>
    <t>Explosion Vent PSE-61303</t>
  </si>
  <si>
    <t>Explosion Vent PSE-61304</t>
  </si>
  <si>
    <t>ZS-61306</t>
  </si>
  <si>
    <t>Position Brether Valve High Pressure PSV-61301</t>
  </si>
  <si>
    <t>ZS-61307</t>
  </si>
  <si>
    <t>Position Brether Valve Vacuum Pressure PSV-61301</t>
  </si>
  <si>
    <t>Explosion isolation flap valve ISV-61303</t>
  </si>
  <si>
    <t>Explosion isolation flap valve ISV-61304</t>
  </si>
  <si>
    <t>MCC ROOM</t>
  </si>
  <si>
    <t>Tank Agitator</t>
  </si>
  <si>
    <t>ATY-40101</t>
  </si>
  <si>
    <t>ATY-40201</t>
  </si>
  <si>
    <t xml:space="preserve"> Start / Stop Command for VSD AT-40201</t>
  </si>
  <si>
    <t>MULTICORE LINK TO MCC PANEL</t>
  </si>
  <si>
    <t>ATY-40102</t>
  </si>
  <si>
    <t>ATY-40202</t>
  </si>
  <si>
    <t xml:space="preserve"> Start / Stop Command for VSD AT-40202</t>
  </si>
  <si>
    <t xml:space="preserve"> Start / Stop Command for VSD AT-40203</t>
  </si>
  <si>
    <t>BFY-60210</t>
  </si>
  <si>
    <t xml:space="preserve"> Start / Stop Command for VSD FANS-21 (Main Supply Air Fan)</t>
  </si>
  <si>
    <t>BFY-60211</t>
  </si>
  <si>
    <t xml:space="preserve"> Start / Stop Command for VSD FANC-21 (Combustion Fan)</t>
  </si>
  <si>
    <t>BFY-60240</t>
  </si>
  <si>
    <t xml:space="preserve"> Start / Stop Command for VSD FANE-21 (Exhaust Fan)</t>
  </si>
  <si>
    <t>BFY-60220</t>
  </si>
  <si>
    <t xml:space="preserve"> Start / Stop Command for VSD FANS-22 (Cooling Fan)</t>
  </si>
  <si>
    <t>BFY-60206</t>
  </si>
  <si>
    <t xml:space="preserve"> Start / Stop Command for VSD FANS-31 (Cooling / Conveying Fan)</t>
  </si>
  <si>
    <t>BFY-61301</t>
  </si>
  <si>
    <t xml:space="preserve"> Start / Stop Command for VSD BF-61301 (Packing silo vent fan )</t>
  </si>
  <si>
    <t>BFY-61302</t>
  </si>
  <si>
    <t xml:space="preserve"> Start / Stop Command for VSD BF-61302 (LEV Blower fan )</t>
  </si>
  <si>
    <t>BFY-61303</t>
  </si>
  <si>
    <t xml:space="preserve"> Start / Stop Command for VSD BF-61303 (Fugitive Dust Fan )</t>
  </si>
  <si>
    <t>BLM-61302</t>
  </si>
  <si>
    <t xml:space="preserve"> Start / Stop Command for FVNR BL-61301 ( Bin Actuator Blower )</t>
  </si>
  <si>
    <t>PCM-60205-B</t>
  </si>
  <si>
    <t>PDM-60202B</t>
  </si>
  <si>
    <t xml:space="preserve"> Start / Stop Command for FVNR PUPD-11 (Oil Pump )</t>
  </si>
  <si>
    <t>PCM-60205-C</t>
  </si>
  <si>
    <t>PDM-60202C</t>
  </si>
  <si>
    <t xml:space="preserve"> Start / Stop Command for FVNR PUPD-11 (Machine Fan 1 )</t>
  </si>
  <si>
    <t>PCM-60205-D</t>
  </si>
  <si>
    <t>PDM-60202D</t>
  </si>
  <si>
    <t xml:space="preserve"> Start / Stop Command for FVNR PUPD-11 (Machine Fan 2 )</t>
  </si>
  <si>
    <t>PCM-60205-E</t>
  </si>
  <si>
    <t>PDM-60202E</t>
  </si>
  <si>
    <t xml:space="preserve"> Start / Stop Command for FVNR PUPD-11 (Main motor Fan )</t>
  </si>
  <si>
    <t>PUMP</t>
  </si>
  <si>
    <t>PCY-40201</t>
  </si>
  <si>
    <t xml:space="preserve"> Start / Stop Command for VSD PUCF-11 (Centrifugal Feed Pump)</t>
  </si>
  <si>
    <t>PCY-40101</t>
  </si>
  <si>
    <t xml:space="preserve"> Start / Stop Command for VSD PC-40201</t>
  </si>
  <si>
    <t>PCY-40102</t>
  </si>
  <si>
    <t>PCY-40202</t>
  </si>
  <si>
    <t xml:space="preserve"> Start / Stop Command for VSD PC-40202</t>
  </si>
  <si>
    <t>PDY-40204</t>
  </si>
  <si>
    <t xml:space="preserve"> Start / Stop Command for VSD PD-40204</t>
  </si>
  <si>
    <t>PDY-40205</t>
  </si>
  <si>
    <t xml:space="preserve"> Start / Stop Command for VSD PD-40205</t>
  </si>
  <si>
    <t>PCY-60205-A</t>
  </si>
  <si>
    <t>PDY-60202A</t>
  </si>
  <si>
    <t xml:space="preserve"> Start / Stop Command for VSD PUPD-11 (Positive Displacement Pump )</t>
  </si>
  <si>
    <t>PCY-60215</t>
  </si>
  <si>
    <t xml:space="preserve"> Start / Stop Command for VSD PUCF-21 (Heat Recovery Centrifugal Pump)</t>
  </si>
  <si>
    <t>PVM-61301</t>
  </si>
  <si>
    <t>BLM-61301</t>
  </si>
  <si>
    <t xml:space="preserve"> Start / Stop Command for FVNR PV-61301 (Vacuum Cleaning Fan)</t>
  </si>
  <si>
    <t>RVM-60201</t>
  </si>
  <si>
    <t xml:space="preserve"> Start / Stop Command for FVNR RVAL-21 (Cyclone-21 Rotary Valve )</t>
  </si>
  <si>
    <t>RVM-60202</t>
  </si>
  <si>
    <t xml:space="preserve"> Start / Stop Command for FVNR RVAL-22 (Cyclone-22 Rotary Valve )</t>
  </si>
  <si>
    <t>RVM-60203</t>
  </si>
  <si>
    <t xml:space="preserve"> Start / Stop Command for FVNR RVAL-23 (Bag House Rotary Valve)</t>
  </si>
  <si>
    <t>RVM-60204</t>
  </si>
  <si>
    <t xml:space="preserve"> Start / Stop Command for FVNR RV-60204 (Recycle silo Rotary Valve)</t>
  </si>
  <si>
    <t>RVM-61301</t>
  </si>
  <si>
    <t xml:space="preserve"> Start / Stop Command for FVNR RV-61301</t>
  </si>
  <si>
    <t>RVM-61302</t>
  </si>
  <si>
    <t xml:space="preserve"> Start / Stop Command for FVNR RV-61302</t>
  </si>
  <si>
    <t>RVM-61303</t>
  </si>
  <si>
    <t xml:space="preserve"> Start / Stop Command for FVNR RV-61303</t>
  </si>
  <si>
    <t>RVM-61304</t>
  </si>
  <si>
    <t xml:space="preserve"> Start / Stop Command for FVNR RV-61304</t>
  </si>
  <si>
    <t>RVM-61305</t>
  </si>
  <si>
    <t xml:space="preserve"> Start / Stop Command for FVNR RV-61305</t>
  </si>
  <si>
    <t>SCM-61301</t>
  </si>
  <si>
    <t xml:space="preserve"> Start / Stop Command for FVNR SC-61301 (Sifter )</t>
  </si>
  <si>
    <t>SCM-61302</t>
  </si>
  <si>
    <t xml:space="preserve"> Start / Stop Command for FVNR SC-61302 (Sifter )</t>
  </si>
  <si>
    <t>DEDERT SUPPLY EQUIPMENT</t>
  </si>
  <si>
    <t>FT-60701</t>
  </si>
  <si>
    <t>Instr. Air Flow Transmitter for Camera #4 (ACAM-21)</t>
  </si>
  <si>
    <t>Flow Transmitter</t>
  </si>
  <si>
    <t>PT-60701</t>
  </si>
  <si>
    <t>Instr. Air Pressure Transmitter for Camera #4 (ACAM-21)</t>
  </si>
  <si>
    <t>SV-60240D</t>
  </si>
  <si>
    <t>PA On/Off Valve for Bag House Tank Valve (BGHS-21)</t>
  </si>
  <si>
    <t>On/Off Valve</t>
  </si>
  <si>
    <t>24 VDC energized,Dry Contact</t>
  </si>
  <si>
    <t>SV-60701</t>
  </si>
  <si>
    <t>Instr. Air On/Off Valve for Camera #4 (ACAM-21)</t>
  </si>
  <si>
    <t>PA On/Off Valve for Cyclone-21 Rotary Valve (RVAL-21)</t>
  </si>
  <si>
    <t>PA On/Off Valve for Cyclone-22 Rotary Valve (RVAL-22)</t>
  </si>
  <si>
    <t>PA On/Off Valve for Bag House Rotary Valve (RVAL-23)</t>
  </si>
  <si>
    <t>PA On/Off Valve for Conveying Cooler Cyclone-31 Rotary Valve (RV-61304)</t>
  </si>
  <si>
    <t>TT-60701</t>
  </si>
  <si>
    <t>Instr. Air Temperature Transmitter for Air Manifold - Camera #4 (ACAM-21)</t>
  </si>
  <si>
    <t>Feed Slurry On/Off Valve for Nozzle #1 (ATVM-11A)</t>
  </si>
  <si>
    <t>Feed Slurry On/Off Valve for Nozzle #2 (ATVM-11A)</t>
  </si>
  <si>
    <t>Feed Slurry On/Off Valve for Nozzle #3 (ATVM-11A)</t>
  </si>
  <si>
    <t>Feed Slurry On/Off Valve for Nozzle #4 (ATVM-11A)</t>
  </si>
  <si>
    <t>Steam On/Off Valve for Nozzle #1 (ATVM-11A)</t>
  </si>
  <si>
    <t>Steam On/Off Valve for Nozzle #2 (ATVM-11A)</t>
  </si>
  <si>
    <t>Steam On/Off Valve for Nozzle #3 (ATVM-11A)</t>
  </si>
  <si>
    <t>Steam On/Off Valve for Nozzle #4 (ATVM-11A)</t>
  </si>
  <si>
    <t>Feed Slurry On/Off Valve for Nozzle #5 (ATVM-11B)</t>
  </si>
  <si>
    <t>Feed Slurry On/Off Valve for Nozzle #6 (ATVM-11B)</t>
  </si>
  <si>
    <t>Feed Slurry On/Off Valve for Nozzle #7 (ATVM-11B)</t>
  </si>
  <si>
    <t>Feed Slurry On/Off Valve for Nozzle #8 (ATVM-11B)</t>
  </si>
  <si>
    <t>Steam On/Off Valve for Nozzle #5 (ATVM-11B)</t>
  </si>
  <si>
    <t>Steam On/Off Valve for Nozzle #6 (ATVM-11B)</t>
  </si>
  <si>
    <t>Steam On/Off Valve for Nozzle #7 (ATVM-11B)</t>
  </si>
  <si>
    <t>Steam On/Off Valve for Nozzle #8 (ATVM-11B)</t>
  </si>
  <si>
    <t>Feed Slurry On/Off Valve for Nozzle #9 (ATVM-11C)</t>
  </si>
  <si>
    <t>Feed Slurry On/Off Valve for Nozzle #10 (ATVM-11C)</t>
  </si>
  <si>
    <t>Feed Slurry On/Off Valve for Nozzle #11 (ATVM-11C)</t>
  </si>
  <si>
    <t>Feed Slurry On/Off Valve for Nozzle #12 (ATVM-11C)</t>
  </si>
  <si>
    <t>Steam On/Off Valve for Nozzle #9 (ATVM-11C)</t>
  </si>
  <si>
    <t>Steam On/Off Valve for Nozzle #10 (ATVM-11C)</t>
  </si>
  <si>
    <t>Steam On/Off Valve for Nozzle #11 (ATVM-11C)</t>
  </si>
  <si>
    <t>Steam On/Off Valve for Nozzle #12 (ATVM-11C)</t>
  </si>
  <si>
    <t>Feed Slurry On/Off Valve for Nozzle #13 (ATVM-11D)</t>
  </si>
  <si>
    <t>Feed Slurry On/Off Valve for Nozzle #14 (ATVM-11D)</t>
  </si>
  <si>
    <t>Feed Slurry On/Off Valve for Nozzle #15 (ATVM-11D)</t>
  </si>
  <si>
    <t>Feed Slurry On/Off Valve for Nozzle #16 (ATVM-11D)</t>
  </si>
  <si>
    <t>Steam On/Off Valve for Nozzle #13 (ATVM-11D)</t>
  </si>
  <si>
    <t>Steam On/Off Valve for Nozzle #14 (ATVM-11D)</t>
  </si>
  <si>
    <t>Steam On/Off Valve for Nozzle #15 (ATVM-11D)</t>
  </si>
  <si>
    <t>Steam On/Off Valve for Nozzle #16 (ATVM-11D)</t>
  </si>
  <si>
    <t>XV-60261DA</t>
  </si>
  <si>
    <t>Slurry Drain On/Off Valve for ATVM-11A</t>
  </si>
  <si>
    <t>XV-60262DE</t>
  </si>
  <si>
    <t>Slurry Drain On/Off Valve for ATVM-11B</t>
  </si>
  <si>
    <t>XV-60263DN</t>
  </si>
  <si>
    <t>Slurry Drain On/Off Valve for ATVM-11C</t>
  </si>
  <si>
    <t>XV-60264DJ</t>
  </si>
  <si>
    <t>Slurry Drain On/Off Valve for ATVM-11D</t>
  </si>
  <si>
    <t>Gas On/Off Valve for Bag House Isolation Damper (DMPR-22)</t>
  </si>
  <si>
    <t>XA-60202A</t>
  </si>
  <si>
    <t xml:space="preserve"> General Alarm Emergency Stop Actuation for XSUP-5601 (Supression Panel)</t>
  </si>
  <si>
    <t>General Alarm Emergency Stop Actuation</t>
  </si>
  <si>
    <t>XA-60202B</t>
  </si>
  <si>
    <t xml:space="preserve"> General Fault Controlled Stop for XSUP-5601 (Supression Panel)</t>
  </si>
  <si>
    <t>General Fault Controlled Stop</t>
  </si>
  <si>
    <t>XA-60202C</t>
  </si>
  <si>
    <t xml:space="preserve"> General Armed Status Indicator for XSUP-5601 (Supression Panel)</t>
  </si>
  <si>
    <t>General Armed Status Indicator</t>
  </si>
  <si>
    <t>XA-60202D</t>
  </si>
  <si>
    <t xml:space="preserve"> Power Fault Status Indicator for XSUP-5601 (Supression Panel)</t>
  </si>
  <si>
    <t>Power Fault Status Indicator</t>
  </si>
  <si>
    <t>XA-60202E</t>
  </si>
  <si>
    <t xml:space="preserve"> Dryer CHAM-21 Emergency Stop Actuation for XSUP-5601 (Supression Panel)</t>
  </si>
  <si>
    <t>Dryer CHAM-21 Emergency Stop Actuation</t>
  </si>
  <si>
    <t>XA-60202F</t>
  </si>
  <si>
    <t xml:space="preserve"> CHAM-21 Controlled Stop Trouble (No Protection) for XSUP-5601 (Supression Panel)</t>
  </si>
  <si>
    <t>CHAM-21 Controlled Stop Trouble (No Protection)</t>
  </si>
  <si>
    <t>XA-60202G</t>
  </si>
  <si>
    <t xml:space="preserve"> CYCL-21/22 Emergency Stop Actuation for XSUP-5601 (Supression Panel)</t>
  </si>
  <si>
    <t>CYCL-21/22 Emergency Stop Actuation</t>
  </si>
  <si>
    <t>XA-60202H</t>
  </si>
  <si>
    <t xml:space="preserve"> CYCL-21/22 Controlled Stop Trouble (No Protection) for XSUP-5601 (Supression Panel)</t>
  </si>
  <si>
    <t>CYCL-21/22 Controlled Stop Trouble (No Protection)</t>
  </si>
  <si>
    <t>XA-60202J</t>
  </si>
  <si>
    <t xml:space="preserve"> BGHS-21 Emergency Stop Actuation for XSUP-5601 (Supression Panel)</t>
  </si>
  <si>
    <t>BGHS-21 Emergency Stop Actuation</t>
  </si>
  <si>
    <t>XA-60202K</t>
  </si>
  <si>
    <t xml:space="preserve"> BGHS-21 Controlled Stop Trouble (No Protection) for XSUP-5601 (Supression Panel)</t>
  </si>
  <si>
    <t>BGHS-21 Controlled Stop Trouble (No Protection)</t>
  </si>
  <si>
    <t>XA-60202L</t>
  </si>
  <si>
    <t xml:space="preserve"> CYCL-31 Emergency Stop Actuation for XSUP-5601 (Supression Panel)</t>
  </si>
  <si>
    <t>CYCL-31 Emergency Stop Actuation</t>
  </si>
  <si>
    <t>XA-60202M</t>
  </si>
  <si>
    <t xml:space="preserve"> CYCL-31 Controlled Stop Trouble (No Protection) for XSUP-5601 (Supression Panel)</t>
  </si>
  <si>
    <t>CYCL-31 Controlled Stop Trouble (No Protection)</t>
  </si>
  <si>
    <t>XA-60261</t>
  </si>
  <si>
    <t xml:space="preserve"> Fire Deluge Fault (No Protection) for FWDP-21 (Fire Deluge)</t>
  </si>
  <si>
    <t>Fire Deluge Fault (No Protection)</t>
  </si>
  <si>
    <t>XA-60262</t>
  </si>
  <si>
    <t xml:space="preserve"> Fire Deluge Alarm (Deluge Activated) for FWDP-21 (Fire Deluge)</t>
  </si>
  <si>
    <t>Fire Deluge Alarm (Deluge Activated)</t>
  </si>
  <si>
    <t>XS-60260</t>
  </si>
  <si>
    <t xml:space="preserve"> Start / Stop Command for FWDP-21 (Fire Deluge)</t>
  </si>
  <si>
    <t>Start / Stop Command</t>
  </si>
  <si>
    <t>CVV 3Cx1</t>
  </si>
  <si>
    <t>XV-60240</t>
  </si>
  <si>
    <t>Powder On/Off Valve for Diverter Valve (DVTR-21)</t>
  </si>
  <si>
    <t xml:space="preserve"> Haver &amp; Boecker. EQUIPMENT</t>
  </si>
  <si>
    <t>XA-61301A</t>
  </si>
  <si>
    <t xml:space="preserve">Request filter plant </t>
  </si>
  <si>
    <t>MULTICORE LINK TO PLC</t>
  </si>
  <si>
    <t>XA-61301B</t>
  </si>
  <si>
    <t>Request material transport</t>
  </si>
  <si>
    <t>XA-61301C</t>
  </si>
  <si>
    <t xml:space="preserve">Request belt plant </t>
  </si>
  <si>
    <t>XA-61301D</t>
  </si>
  <si>
    <t>Machine in operation</t>
  </si>
  <si>
    <t>XA-61301E</t>
  </si>
  <si>
    <t xml:space="preserve">General Fault </t>
  </si>
  <si>
    <t>XA-61301F</t>
  </si>
  <si>
    <t xml:space="preserve">Machine is ready </t>
  </si>
  <si>
    <t>XA-61301G</t>
  </si>
  <si>
    <t>Emergency stop activated</t>
  </si>
  <si>
    <t>XA-61301H</t>
  </si>
  <si>
    <t>Silo minimum</t>
  </si>
  <si>
    <t>XA-61301J</t>
  </si>
  <si>
    <t xml:space="preserve">Silo maximum </t>
  </si>
  <si>
    <t>XS-61301A</t>
  </si>
  <si>
    <t xml:space="preserve">Filter plant in operation </t>
  </si>
  <si>
    <t>XS-61301B</t>
  </si>
  <si>
    <t xml:space="preserve">Material transport in operation </t>
  </si>
  <si>
    <t>XS-61301C</t>
  </si>
  <si>
    <t xml:space="preserve">Belt plant in operation </t>
  </si>
  <si>
    <t>XS-61301D</t>
  </si>
  <si>
    <t>Sequence Stop</t>
  </si>
  <si>
    <t>XS-61301E</t>
  </si>
  <si>
    <t xml:space="preserve">Status from Customer Emergency stop </t>
  </si>
  <si>
    <t>XS-61301F</t>
  </si>
  <si>
    <t xml:space="preserve">Operation Release </t>
  </si>
  <si>
    <t xml:space="preserve">Spare </t>
  </si>
  <si>
    <t>Communication Signal</t>
  </si>
  <si>
    <t>BGHS-21 Filter Control Panel</t>
  </si>
  <si>
    <t>XS-60240A</t>
  </si>
  <si>
    <t xml:space="preserve"> Start / Stop Command for BGHS-21 (Bag House Air Pulsing)</t>
  </si>
  <si>
    <t>XS-60240B</t>
  </si>
  <si>
    <t xml:space="preserve"> Fan Command for BGHS-21 (Bag House Air Pulsing)</t>
  </si>
  <si>
    <t>XA-60240A</t>
  </si>
  <si>
    <t>Alarm 1 for BGHS-21 (Bag House Air Pulsing)</t>
  </si>
  <si>
    <t>XA-60240B</t>
  </si>
  <si>
    <t>Alarm 2 for BGHS-21 (Bag House Air Pulsing)</t>
  </si>
  <si>
    <t>DPI-60240</t>
  </si>
  <si>
    <t>Gas Pressure Differntial Pressure (Bag House Air Pulsing)</t>
  </si>
  <si>
    <t>HTRE-21 Heater Control Panel (TRACING)</t>
  </si>
  <si>
    <t>XS-60241A</t>
  </si>
  <si>
    <t xml:space="preserve"> Start / Stop Command for HTRE-21 (Heater Control Panel)</t>
  </si>
  <si>
    <t>XA-60241A</t>
  </si>
  <si>
    <t>XA-60241B</t>
  </si>
  <si>
    <t>Surface Heating Temperature switch high for bag house cone (BGHS-21)</t>
  </si>
  <si>
    <t>Heat Control Panel (HTRE-21)</t>
  </si>
  <si>
    <t>Surface Heating Temperature switch low for bag house cone (BGHS-21)</t>
  </si>
  <si>
    <t>HTRE-22 Heater Control Panel (TRACING)</t>
  </si>
  <si>
    <t>XS-60242A</t>
  </si>
  <si>
    <t>XA-60242A</t>
  </si>
  <si>
    <t>XA-60242B</t>
  </si>
  <si>
    <t>Heat Control Panel (HTRE-22)</t>
  </si>
  <si>
    <t>HTRE-23 Heater Control Panel (TRACING)</t>
  </si>
  <si>
    <t>XS-60243A</t>
  </si>
  <si>
    <t>XA-60243A</t>
  </si>
  <si>
    <t>XA-60243B</t>
  </si>
  <si>
    <t>Heat Control Panel (HTRE-23)</t>
  </si>
  <si>
    <t xml:space="preserve">AHTR-21 Air Heater Control Panel </t>
  </si>
  <si>
    <t>XA-FH-60210A</t>
  </si>
  <si>
    <t>325-01-602-PD-06</t>
  </si>
  <si>
    <t>BMS PANEL POWER ON for AHTR-21</t>
  </si>
  <si>
    <t>CVV 20C x 1</t>
  </si>
  <si>
    <t>XA-FH-60210B</t>
  </si>
  <si>
    <t>BMS Burner High Fire Purge for AHTR-21</t>
  </si>
  <si>
    <t>XA-FH-60210C</t>
  </si>
  <si>
    <t>BMS Burner On for AHTR-21</t>
  </si>
  <si>
    <t>XA-FH-60210D</t>
  </si>
  <si>
    <t>BMS BMS Lockout for AHTR-21</t>
  </si>
  <si>
    <t>XA-FH-60210E</t>
  </si>
  <si>
    <t>BMS Remote Modet for AHTR-21</t>
  </si>
  <si>
    <t>XS-FH-60210A</t>
  </si>
  <si>
    <t>Start / Stop Command Burner Remote Start for AHTR-21</t>
  </si>
  <si>
    <t>XS-FH-60210B</t>
  </si>
  <si>
    <t>Start / Stop Command Dryer Interlocks for AHTR-21</t>
  </si>
  <si>
    <t>XS-FH-60210C</t>
  </si>
  <si>
    <t>Command Remote Reset for AHTR-21</t>
  </si>
  <si>
    <t>XS-FH-60210D</t>
  </si>
  <si>
    <t>TI-FH-60210</t>
  </si>
  <si>
    <t>Gas Burner Firing Rate Temp Signal to AHTR-21</t>
  </si>
  <si>
    <t xml:space="preserve">LiY-CY TP 3P x1.0 </t>
  </si>
  <si>
    <t>UY-FH-60210A</t>
  </si>
  <si>
    <t>Comb fan VFD Speed Control</t>
  </si>
  <si>
    <t>UY-FH-60210B</t>
  </si>
  <si>
    <t>Demand Signal</t>
  </si>
  <si>
    <t>COM-FH-60210B</t>
  </si>
  <si>
    <t>Modbus RTU</t>
  </si>
  <si>
    <t>CAT 5e</t>
  </si>
  <si>
    <t>TE-60212</t>
  </si>
  <si>
    <t>Temperature Element</t>
  </si>
  <si>
    <t>T/C Type K</t>
  </si>
  <si>
    <t>AHTR Control Panel(HCP)</t>
  </si>
  <si>
    <t>DPHL-60230</t>
  </si>
  <si>
    <t>Gas Pressure Differntial Switch Low for Exhaust Fan (FANE-21)</t>
  </si>
  <si>
    <t>Pressure Differntial Switch Low</t>
  </si>
  <si>
    <t>DPSL-60211</t>
  </si>
  <si>
    <t>Gas Pressure Differential Switch Low for Combustion Fan (FANC-21)</t>
  </si>
  <si>
    <t>Pressure Differential Switch Low</t>
  </si>
  <si>
    <t>FCV-60211B</t>
  </si>
  <si>
    <t>Gas Flow Control Damper (Valve) for Burner Combustion Air Duct (DTCB-21)</t>
  </si>
  <si>
    <t>Flow Control Damper (Valve)</t>
  </si>
  <si>
    <t>LiY-CY TP 2P x1.0 , CVV 8Cx1</t>
  </si>
  <si>
    <t>ZT-60211B</t>
  </si>
  <si>
    <t>Gas Position Transmitter for Combustion Air Damper Actuator (DTCB-21)</t>
  </si>
  <si>
    <t>Position Transmitter</t>
  </si>
  <si>
    <t>ZSL-60211B</t>
  </si>
  <si>
    <t>Gas Position Switch Low for Combustion Air Damper Actuator (DTCB-21)</t>
  </si>
  <si>
    <t>Position Switch Low</t>
  </si>
  <si>
    <t>ZSH-60211B</t>
  </si>
  <si>
    <t>Gas Position Switch High for Combustion Air Damper Actuator (DTCB-21)</t>
  </si>
  <si>
    <t>Position Switch High</t>
  </si>
  <si>
    <t>VJ-01 (24VDC)</t>
  </si>
  <si>
    <t xml:space="preserve">Valve train J-BOX </t>
  </si>
  <si>
    <t>Control Box</t>
  </si>
  <si>
    <t>LiY-CY TP 2P x1.0 , CVV 17Cx1</t>
  </si>
  <si>
    <t>VJ-01 (220VAC)</t>
  </si>
  <si>
    <t>CVV 3Cx1.5</t>
  </si>
  <si>
    <t>UJ-01 (24VDC)</t>
  </si>
  <si>
    <t>LiY-CY TP 2P x1.0 , CVV 4Cx1</t>
  </si>
  <si>
    <t>UJ-01 (220VAC)</t>
  </si>
  <si>
    <t>CVV 5Cx1.5</t>
  </si>
  <si>
    <t>PV-60210A</t>
  </si>
  <si>
    <t>Gas Pressure Valve for Air Heater Gas Train (GTRN-21)</t>
  </si>
  <si>
    <t>Pressure Valve</t>
  </si>
  <si>
    <t>AHTR Control Panel</t>
  </si>
  <si>
    <t>PV-60210B</t>
  </si>
  <si>
    <t>DPT-60210</t>
  </si>
  <si>
    <t>Gas Pressure Differential Switch Low for Main Supply Air Fan (FANS-21)</t>
  </si>
  <si>
    <t>DPSL-60210B</t>
  </si>
  <si>
    <t>Gas Pressure Differential Switch Low for Air Heater (AHTR-21)</t>
  </si>
  <si>
    <t>DPSH-60210C</t>
  </si>
  <si>
    <t>Gas Pressure Differential Switch High for Air Heater (AHTR-21)</t>
  </si>
  <si>
    <t>Pressure Differential Switch High</t>
  </si>
  <si>
    <t>BE-60210A</t>
  </si>
  <si>
    <t>Gas Flame Detector for Air Heater (AHTR-21)</t>
  </si>
  <si>
    <t>Flame Detector</t>
  </si>
  <si>
    <t>BE-60210B</t>
  </si>
  <si>
    <t>IX-60210A</t>
  </si>
  <si>
    <t>Gas Ignition Transformer for Air Heater (AHTR-21)</t>
  </si>
  <si>
    <t>Ignition Transformer</t>
  </si>
  <si>
    <t>FCV-60210A</t>
  </si>
  <si>
    <t>Gas Flow Control Valve for Air Heater Gas Train (GTRN-21)</t>
  </si>
  <si>
    <t>Flow Control Valve</t>
  </si>
  <si>
    <t>ZSL-60210A</t>
  </si>
  <si>
    <t>Gas Position Switch Low for Air Heater Gas Train (GTRN-21)</t>
  </si>
  <si>
    <t>ZT-60210A</t>
  </si>
  <si>
    <t>Gas Position Transmitter for Air Heater Gas Train (GTRN-21)</t>
  </si>
  <si>
    <t>PSH-60210</t>
  </si>
  <si>
    <t>Gas Pressure Switch High for Air Heater Gas Train (GTRN-21)</t>
  </si>
  <si>
    <t>Pressure Switch High</t>
  </si>
  <si>
    <t>BV-60210B</t>
  </si>
  <si>
    <t>Gas Blocking Valve (main gas) for Air Heater Gas Train (GTRN-21)</t>
  </si>
  <si>
    <t>Blocking Valve (main gas)</t>
  </si>
  <si>
    <t>ZSO-60210B</t>
  </si>
  <si>
    <t>Gas Position Switch Open for Air Heater Gas Train (GTRN-21)</t>
  </si>
  <si>
    <t>Position Switch Open</t>
  </si>
  <si>
    <t>ZSC-60210B</t>
  </si>
  <si>
    <t>Gas Position Switch Close for Air Heater Gas Train (GTRN-21)</t>
  </si>
  <si>
    <t>Position Switch Close</t>
  </si>
  <si>
    <t>VV-60210</t>
  </si>
  <si>
    <t>Gas Venting Valve (main gas) for Air Heater Gas Train (GTRN-21)</t>
  </si>
  <si>
    <t>Venting Valve (main gas)</t>
  </si>
  <si>
    <t>ZSO-60210C</t>
  </si>
  <si>
    <t>ZSC-60210C</t>
  </si>
  <si>
    <t>PSL-60210</t>
  </si>
  <si>
    <t>Gas Pressure Switch Low for Air Heater Gas Train (GTRN-21)</t>
  </si>
  <si>
    <t>Pressure Switch Low</t>
  </si>
  <si>
    <t>BV-60210A</t>
  </si>
  <si>
    <t>ZSO-60210A</t>
  </si>
  <si>
    <t>ZSC-60210A</t>
  </si>
  <si>
    <t>PUPD Pump Control Panel</t>
  </si>
  <si>
    <t>ES-60202</t>
  </si>
  <si>
    <t xml:space="preserve"> E-Stop  for PUPD-11 (Positive Displacement Pump )</t>
  </si>
  <si>
    <t xml:space="preserve">E-Stop </t>
  </si>
  <si>
    <t>PDPU-1 1 Panel</t>
  </si>
  <si>
    <t>Cooling Water Return Flow Switch for Positive Displacement Pump (PUPD-11)</t>
  </si>
  <si>
    <t>XS-60205</t>
  </si>
  <si>
    <t xml:space="preserve"> Start / Stop Command for PUPD-11 (Positive Displacement Pump )</t>
  </si>
  <si>
    <t xml:space="preserve"> Start / Stop Command</t>
  </si>
  <si>
    <t>Vibration Switch</t>
  </si>
  <si>
    <t>Vibration Gear Box Vibration Switch for Switch Vibration for PUPD-11 (PUPD-11)</t>
  </si>
  <si>
    <t>Cooling Water On/Off Valve for Cooling Water Supply for PUPD-11 (PUPD-11)</t>
  </si>
  <si>
    <t>YA-60205</t>
  </si>
  <si>
    <t xml:space="preserve">Fault Command </t>
  </si>
  <si>
    <t>YI-60205</t>
  </si>
  <si>
    <t>Run Command</t>
  </si>
  <si>
    <t>Suppression Panel</t>
  </si>
  <si>
    <t>PSH-61301</t>
  </si>
  <si>
    <t>Gas and Powder Pressure Switch High for Storage Bin Cyclone Inlet Duct (####-##)</t>
  </si>
  <si>
    <t>Suppression Sys. Panel</t>
  </si>
  <si>
    <t>PSH-60220</t>
  </si>
  <si>
    <t>Gas Pressure Switch High  for Spray Chamber (CHAM-21)</t>
  </si>
  <si>
    <t xml:space="preserve">Pressure Switch High </t>
  </si>
  <si>
    <t>PSH-60230</t>
  </si>
  <si>
    <t>Gas Pressure Switch High for Cyclone (CYCL-21)</t>
  </si>
  <si>
    <t>PSH-60231</t>
  </si>
  <si>
    <t>Gas Pressure Switch High for Cyclone (CYCL-22)</t>
  </si>
  <si>
    <t>PSH-60224</t>
  </si>
  <si>
    <t>Gas and Powder Pressure Switch High for Bag House (BGHS-21)</t>
  </si>
  <si>
    <t>REMOTE I-O Area-200</t>
  </si>
  <si>
    <t>HV-2022</t>
  </si>
  <si>
    <t>HV-2024</t>
  </si>
  <si>
    <t>HV-2026</t>
  </si>
  <si>
    <t>HV-2030</t>
  </si>
  <si>
    <t>HV-2032</t>
  </si>
  <si>
    <t>325-01-202-PD-02</t>
  </si>
  <si>
    <t>HV-2035</t>
  </si>
  <si>
    <t>HV-2038</t>
  </si>
  <si>
    <t>Slurry Preparation Tank 1</t>
  </si>
  <si>
    <t>Slurry Preparation Tank 2</t>
  </si>
  <si>
    <t>LS-81001</t>
  </si>
  <si>
    <t>LS-814201</t>
  </si>
  <si>
    <t>PCM-2030</t>
  </si>
  <si>
    <t>PCM-20201</t>
  </si>
  <si>
    <t xml:space="preserve"> Start / Stop Command for FVNR PC-2030</t>
  </si>
  <si>
    <t>MULTICORE LINK TO MCC 200 PANEL</t>
  </si>
  <si>
    <t>Preparation area</t>
  </si>
  <si>
    <t>PCM-2031</t>
  </si>
  <si>
    <t xml:space="preserve"> Start / Stop Command for FVNR PC-2031</t>
  </si>
  <si>
    <t>PCY-81001</t>
  </si>
  <si>
    <t>PCY-814201</t>
  </si>
  <si>
    <t xml:space="preserve"> Start / Stop Command to VSD PC-81001</t>
  </si>
  <si>
    <t>MULTICORE LINK TO MCC 810 PANEL</t>
  </si>
  <si>
    <t>PCY-81002</t>
  </si>
  <si>
    <t>PCY-814202</t>
  </si>
  <si>
    <t xml:space="preserve"> Start / Stop Command to VSD PC-81002</t>
  </si>
  <si>
    <t>LPG Station</t>
  </si>
  <si>
    <t>FT-80301</t>
  </si>
  <si>
    <t>325-01-913-PD-02</t>
  </si>
  <si>
    <t>Flow outlet LPG line</t>
  </si>
  <si>
    <t>0-1000kg/hr</t>
  </si>
  <si>
    <t>LT-80301</t>
  </si>
  <si>
    <t>325-01-913-PD-01</t>
  </si>
  <si>
    <t>Level LPG in storage</t>
  </si>
  <si>
    <t>PT-80302</t>
  </si>
  <si>
    <t>Pressure outlet LPG line</t>
  </si>
  <si>
    <t>Outlet LPG line</t>
  </si>
  <si>
    <t>Gas Vaporizer 5</t>
  </si>
  <si>
    <t>XA-80305A</t>
  </si>
  <si>
    <t>Gas Vaporizer 5 control status</t>
  </si>
  <si>
    <t>Gas vaporizer Ready</t>
  </si>
  <si>
    <t>CVV 16Cx1.5</t>
  </si>
  <si>
    <t>XA-80305B</t>
  </si>
  <si>
    <t>Gas vaporizer Run</t>
  </si>
  <si>
    <t>XA-80305C</t>
  </si>
  <si>
    <t>Gas vaporizer Failed</t>
  </si>
  <si>
    <t>XA-80305D</t>
  </si>
  <si>
    <t>Gas vaporizer Overheated</t>
  </si>
  <si>
    <t>XA-80305E</t>
  </si>
  <si>
    <t>Gas vaporizer Excessive flow tripped</t>
  </si>
  <si>
    <t>XA-80305F</t>
  </si>
  <si>
    <t>Gas vaporizer low water level</t>
  </si>
  <si>
    <t>XS-80305</t>
  </si>
  <si>
    <t xml:space="preserve"> Start / Stop Command for Gas Vaporizer 5</t>
  </si>
  <si>
    <t>Gas Vaporizer 6</t>
  </si>
  <si>
    <t>XA-80306A</t>
  </si>
  <si>
    <t>Gas Vaporizer 6 control status</t>
  </si>
  <si>
    <t>XA-80306B</t>
  </si>
  <si>
    <t>XA-80306C</t>
  </si>
  <si>
    <t>XA-80306D</t>
  </si>
  <si>
    <t>XA-80306E</t>
  </si>
  <si>
    <t>XA-80306F</t>
  </si>
  <si>
    <t>XS-80306</t>
  </si>
  <si>
    <t xml:space="preserve"> Start / Stop Command for Gas Vaporizer 6</t>
  </si>
  <si>
    <t>Count of I/O Type</t>
  </si>
  <si>
    <t>Column Labels</t>
  </si>
  <si>
    <t>Row Labels</t>
  </si>
  <si>
    <t>BUS</t>
  </si>
  <si>
    <t>Grand Total</t>
  </si>
  <si>
    <t>Rack</t>
  </si>
  <si>
    <t>Require Slot</t>
  </si>
  <si>
    <t>Sum Slot//Rack</t>
  </si>
  <si>
    <t>JB-603</t>
  </si>
  <si>
    <t>(blank)</t>
  </si>
  <si>
    <t>CA1</t>
  </si>
  <si>
    <t>MCC</t>
  </si>
  <si>
    <t>Card</t>
  </si>
  <si>
    <t>Slot Desc</t>
  </si>
  <si>
    <t>IO_Type</t>
  </si>
  <si>
    <t>Q'Ty</t>
  </si>
  <si>
    <t>32DI</t>
  </si>
  <si>
    <t>1756-IB32</t>
  </si>
  <si>
    <t>IN</t>
  </si>
  <si>
    <t>32DO</t>
  </si>
  <si>
    <t>1756-OB32</t>
  </si>
  <si>
    <t>OUT</t>
  </si>
  <si>
    <t>16AI</t>
  </si>
  <si>
    <t>1756-IF16</t>
  </si>
  <si>
    <t>8AO</t>
  </si>
  <si>
    <t>1756-OF8</t>
  </si>
  <si>
    <t>IOUT</t>
  </si>
  <si>
    <t>CPU</t>
  </si>
  <si>
    <t>1756-L950TPSXT</t>
  </si>
  <si>
    <t>Empty</t>
  </si>
  <si>
    <t>1756-N2</t>
  </si>
  <si>
    <t>EMPTY</t>
  </si>
  <si>
    <t>Reserve</t>
  </si>
  <si>
    <t>Slot</t>
  </si>
  <si>
    <t>Card Description</t>
  </si>
  <si>
    <t>Signal Type</t>
  </si>
  <si>
    <t>C1</t>
  </si>
  <si>
    <t>C2</t>
  </si>
  <si>
    <t>C3</t>
  </si>
  <si>
    <t>C4</t>
  </si>
  <si>
    <t>C5</t>
  </si>
  <si>
    <t>Cx</t>
  </si>
  <si>
    <t xml:space="preserve"> Reference Designation</t>
  </si>
  <si>
    <t>Destination</t>
  </si>
  <si>
    <t>Column7</t>
  </si>
  <si>
    <t>Column5</t>
  </si>
  <si>
    <t>Column52</t>
  </si>
  <si>
    <t>Terminal</t>
  </si>
  <si>
    <t>Column6</t>
  </si>
  <si>
    <t>Terminal Label</t>
  </si>
  <si>
    <t>Junction Box Location</t>
  </si>
  <si>
    <t>Master Zone</t>
  </si>
  <si>
    <t>Instruement_Description</t>
  </si>
  <si>
    <t>Control Description</t>
  </si>
  <si>
    <t>Require IO</t>
  </si>
  <si>
    <t>Column2</t>
  </si>
  <si>
    <t>PLC_Tag</t>
  </si>
  <si>
    <t>I/O Type</t>
  </si>
  <si>
    <t>IO_ID</t>
  </si>
  <si>
    <t>IO-Point 
(Instruement)</t>
  </si>
  <si>
    <t>Column23</t>
  </si>
  <si>
    <t>Column22</t>
  </si>
  <si>
    <t>Column3</t>
  </si>
  <si>
    <t>Column4</t>
  </si>
  <si>
    <t>Column332</t>
  </si>
  <si>
    <t>Chassis</t>
  </si>
  <si>
    <t>Point</t>
  </si>
  <si>
    <t>Bus Address</t>
  </si>
  <si>
    <t>Signal Type2</t>
  </si>
  <si>
    <t>=CA1+MCP-M3</t>
  </si>
  <si>
    <t>X1</t>
  </si>
  <si>
    <t>=CA1+MCP-M2</t>
  </si>
  <si>
    <t>C7</t>
  </si>
  <si>
    <t>=CA1+MCP-M1</t>
  </si>
  <si>
    <t>x</t>
  </si>
  <si>
    <t>=CA1+MCP-M4</t>
  </si>
  <si>
    <t>X2</t>
  </si>
  <si>
    <t>=CA1+MCP-M5</t>
  </si>
  <si>
    <t>EXT-BIILER</t>
  </si>
  <si>
    <t>LSH-61303</t>
  </si>
  <si>
    <t>C6</t>
  </si>
  <si>
    <t>PCM-60205-2</t>
  </si>
  <si>
    <t>PCM-60205-3</t>
  </si>
  <si>
    <t>PCM-60205-4</t>
  </si>
  <si>
    <t>PCM-60205-5</t>
  </si>
  <si>
    <t>PCY-60205</t>
  </si>
  <si>
    <t>Main Control Cabinet</t>
  </si>
  <si>
    <t>TT-60210A</t>
  </si>
  <si>
    <t>TT-60210B</t>
  </si>
  <si>
    <t>XA-60202I</t>
  </si>
  <si>
    <t>XV-60261</t>
  </si>
  <si>
    <t>XV-60262</t>
  </si>
  <si>
    <t>XV-60263</t>
  </si>
  <si>
    <t>XV-60264</t>
  </si>
  <si>
    <t>Total</t>
  </si>
  <si>
    <t>0</t>
  </si>
  <si>
    <t>C0</t>
  </si>
  <si>
    <t>Junction Name</t>
  </si>
  <si>
    <t>Junction Loc</t>
  </si>
  <si>
    <t>Size</t>
  </si>
  <si>
    <t>LS</t>
  </si>
  <si>
    <t>JB</t>
  </si>
  <si>
    <t>Rack 0</t>
  </si>
  <si>
    <t>Slurry - Out Building 2nd Floor</t>
  </si>
  <si>
    <t>800-1000-400</t>
  </si>
  <si>
    <t>Y</t>
  </si>
  <si>
    <t>IB32</t>
  </si>
  <si>
    <t>Spray Dryer 8th Floor</t>
  </si>
  <si>
    <t>300-200-150</t>
  </si>
  <si>
    <t>Spray Dryer 3rd Floor</t>
  </si>
  <si>
    <t>Packing Tower 8th Floor</t>
  </si>
  <si>
    <t>450-300-150</t>
  </si>
  <si>
    <t>Packing Tower 2th Floor</t>
  </si>
  <si>
    <t>Infeed 2nd Floor</t>
  </si>
  <si>
    <t>800-600-250</t>
  </si>
  <si>
    <t>Jet Cooker 2nd Floor</t>
  </si>
  <si>
    <t>Spray Dryer 1st Floor</t>
  </si>
  <si>
    <t>500-400-200</t>
  </si>
  <si>
    <t>Spray Dryer 7th Floor</t>
  </si>
  <si>
    <t>Spray Dryer 6th Floor</t>
  </si>
  <si>
    <t>1600-2000-800</t>
  </si>
  <si>
    <t>MCC Room</t>
  </si>
  <si>
    <t>Part Number</t>
  </si>
  <si>
    <t>1756-A13</t>
  </si>
  <si>
    <t>1756-PA75</t>
  </si>
  <si>
    <t>Ingredion  (Thailand) Co., Ltd.</t>
  </si>
  <si>
    <t>PROJECT JET COOKER</t>
  </si>
  <si>
    <t>AEC Industrial Engineering Co., Ltd.</t>
  </si>
  <si>
    <t>INSTRUMENT I/O LIST</t>
  </si>
  <si>
    <t>DATE                                                   29 JUNE 2026</t>
  </si>
  <si>
    <t>DOC.NO.                                          Instrument  I/O List</t>
  </si>
  <si>
    <t>Item.</t>
  </si>
  <si>
    <t>Tag. No.</t>
  </si>
  <si>
    <t>Instrument</t>
  </si>
  <si>
    <t>PLC Signal</t>
  </si>
  <si>
    <t>Type of Protection</t>
  </si>
  <si>
    <t>Name</t>
  </si>
  <si>
    <t>MAIN PLC/ SCADA</t>
  </si>
  <si>
    <t>Slurry feed-out 2 pH Adjustment tank 1</t>
  </si>
  <si>
    <t>Automatic Valve on/off</t>
  </si>
  <si>
    <t>24VDC,Dry Contact</t>
  </si>
  <si>
    <t>Water washing line outlet 2 pH Adjustment tank 1</t>
  </si>
  <si>
    <t>Slurry feed from jet to  Feed Tank</t>
  </si>
  <si>
    <t>Slurry Feed Tank outlet 2 to PC-40205</t>
  </si>
  <si>
    <t>Water washing line outlet 2 Feed Tank</t>
  </si>
  <si>
    <t>Slurry Feed CIP Spray ball</t>
  </si>
  <si>
    <t>Slurry from PC-40205 feed to high pressure pump</t>
  </si>
  <si>
    <t>Slurry from PC-40203 feed to high pressure pump</t>
  </si>
  <si>
    <t>Culinary steam feed to jet cooker</t>
  </si>
  <si>
    <t>Valve With Position Switch</t>
  </si>
  <si>
    <t>PG-40204</t>
  </si>
  <si>
    <t>Slurry feed</t>
  </si>
  <si>
    <t>Pressure gauge</t>
  </si>
  <si>
    <t>PG-40205</t>
  </si>
  <si>
    <t>PG-40222</t>
  </si>
  <si>
    <t>Steam feed to Jet cooker</t>
  </si>
  <si>
    <t>0-20 Bar</t>
  </si>
  <si>
    <t>LiY-CY TP 1P x1.0</t>
  </si>
  <si>
    <t>TG-40222</t>
  </si>
  <si>
    <t>Temperature gauge</t>
  </si>
  <si>
    <t>Slurry Temperature feed outlet fron jet cool</t>
  </si>
  <si>
    <t>0-120 C</t>
  </si>
  <si>
    <t>Steam feed to Spray dryer</t>
  </si>
  <si>
    <t>0-200 C</t>
  </si>
  <si>
    <t>TV-60221</t>
  </si>
  <si>
    <t>Steam Temperature Control Valve for feed to jet cook</t>
  </si>
  <si>
    <t>Control valve</t>
  </si>
  <si>
    <t>LiY-CY TP 2P x1.0</t>
  </si>
  <si>
    <t>Slurry feed to jet cooker</t>
  </si>
  <si>
    <t>Flow transmitter (Coriolis Flow)</t>
  </si>
  <si>
    <t>0 to 9000 kg/h</t>
  </si>
  <si>
    <t>LiY-CY TP 2Px1.0 , CVV 3Cx1.5</t>
  </si>
  <si>
    <t>Flow Transmitter (Vortex Flow)</t>
  </si>
  <si>
    <t>0 to 500 m3/h</t>
  </si>
  <si>
    <t>Slurry relief flow</t>
  </si>
  <si>
    <t>ATY-40204</t>
  </si>
  <si>
    <t>Start / Stop Command for VSD PC-40204</t>
  </si>
  <si>
    <t>ATY-40205</t>
  </si>
  <si>
    <t>Start / Stop Command for VSD PC-40205</t>
  </si>
  <si>
    <t>Card Model</t>
  </si>
  <si>
    <t>IO-Symbol</t>
  </si>
  <si>
    <t>Signal//Chanel</t>
  </si>
  <si>
    <t>GND-0</t>
  </si>
  <si>
    <t>GND1</t>
  </si>
  <si>
    <t>IN-0</t>
  </si>
  <si>
    <t>IN-1</t>
  </si>
  <si>
    <t>IN-10</t>
  </si>
  <si>
    <t>IN-11</t>
  </si>
  <si>
    <t>IN-12</t>
  </si>
  <si>
    <t>IN-13</t>
  </si>
  <si>
    <t>IN-14</t>
  </si>
  <si>
    <t>IN-15</t>
  </si>
  <si>
    <t>IN-16</t>
  </si>
  <si>
    <t>IN-17</t>
  </si>
  <si>
    <t>IN-18</t>
  </si>
  <si>
    <t>IN-19</t>
  </si>
  <si>
    <t>IN-2</t>
  </si>
  <si>
    <t>IN-20</t>
  </si>
  <si>
    <t>IN-21</t>
  </si>
  <si>
    <t>IN-22</t>
  </si>
  <si>
    <t>IN-23</t>
  </si>
  <si>
    <t>IN-24</t>
  </si>
  <si>
    <t>IN-25</t>
  </si>
  <si>
    <t>IN-26</t>
  </si>
  <si>
    <t>IN-27</t>
  </si>
  <si>
    <t>IN-28</t>
  </si>
  <si>
    <t>IN-29</t>
  </si>
  <si>
    <t>IN-3</t>
  </si>
  <si>
    <t>IN-30</t>
  </si>
  <si>
    <t>IN-31</t>
  </si>
  <si>
    <t>IN-4</t>
  </si>
  <si>
    <t>IN-5</t>
  </si>
  <si>
    <t>IN-6</t>
  </si>
  <si>
    <t>IN-7</t>
  </si>
  <si>
    <t>IN-8</t>
  </si>
  <si>
    <t>IN-9</t>
  </si>
  <si>
    <t>i RTN-0</t>
  </si>
  <si>
    <t>i RTN-1</t>
  </si>
  <si>
    <t>i RTN-10</t>
  </si>
  <si>
    <t>i RTN-11</t>
  </si>
  <si>
    <t>i RTN-12</t>
  </si>
  <si>
    <t>i RTN-13</t>
  </si>
  <si>
    <t>i RTN-14</t>
  </si>
  <si>
    <t>i RTN-15</t>
  </si>
  <si>
    <t>i RTN-2</t>
  </si>
  <si>
    <t>i RTN-3</t>
  </si>
  <si>
    <t>i RTN-4</t>
  </si>
  <si>
    <t>i RTN-5</t>
  </si>
  <si>
    <t>i RTN-6</t>
  </si>
  <si>
    <t>i RTN-7</t>
  </si>
  <si>
    <t>i RTN-8</t>
  </si>
  <si>
    <t>i RTN-9</t>
  </si>
  <si>
    <t>RTN</t>
  </si>
  <si>
    <t>DC-0(+)</t>
  </si>
  <si>
    <t>DC-1(+)</t>
  </si>
  <si>
    <t>OUT-0</t>
  </si>
  <si>
    <t>OUT-1</t>
  </si>
  <si>
    <t>OUT-10</t>
  </si>
  <si>
    <t>OUT-11</t>
  </si>
  <si>
    <t>OUT-12</t>
  </si>
  <si>
    <t>OUT-13</t>
  </si>
  <si>
    <t>OUT-14</t>
  </si>
  <si>
    <t>OUT-15</t>
  </si>
  <si>
    <t>OUT-16</t>
  </si>
  <si>
    <t>OUT-17</t>
  </si>
  <si>
    <t>OUT-18</t>
  </si>
  <si>
    <t>OUT-19</t>
  </si>
  <si>
    <t>OUT-2</t>
  </si>
  <si>
    <t>OUT-20</t>
  </si>
  <si>
    <t>OUT-21</t>
  </si>
  <si>
    <t>OUT-22</t>
  </si>
  <si>
    <t>OUT-23</t>
  </si>
  <si>
    <t>OUT-24</t>
  </si>
  <si>
    <t>OUT-25</t>
  </si>
  <si>
    <t>OUT-26</t>
  </si>
  <si>
    <t>OUT-27</t>
  </si>
  <si>
    <t>OUT-28</t>
  </si>
  <si>
    <t>OUT-29</t>
  </si>
  <si>
    <t>OUT-3</t>
  </si>
  <si>
    <t>OUT-30</t>
  </si>
  <si>
    <t>OUT-31</t>
  </si>
  <si>
    <t>OUT-4</t>
  </si>
  <si>
    <t>OUT-5</t>
  </si>
  <si>
    <t>OUT-6</t>
  </si>
  <si>
    <t>OUT-7</t>
  </si>
  <si>
    <t>OUT-8</t>
  </si>
  <si>
    <t>OUT-9</t>
  </si>
  <si>
    <t>RTN OUT-0</t>
  </si>
  <si>
    <t>RTN OUT-1</t>
  </si>
  <si>
    <t>IOUT-0</t>
  </si>
  <si>
    <t>IOUT-1</t>
  </si>
  <si>
    <t>IOUT-2</t>
  </si>
  <si>
    <t>IOUT-3</t>
  </si>
  <si>
    <t>IOUT-4</t>
  </si>
  <si>
    <t>IOUT-5</t>
  </si>
  <si>
    <t>IOUT-6</t>
  </si>
  <si>
    <t>IOUT-7</t>
  </si>
  <si>
    <t>VOUT-0</t>
  </si>
  <si>
    <t>VOUT-1</t>
  </si>
  <si>
    <t>VOUT-2</t>
  </si>
  <si>
    <t>VOUT-3</t>
  </si>
  <si>
    <t>VOUT-4</t>
  </si>
  <si>
    <t>VOUT-5</t>
  </si>
  <si>
    <t>VOUT-6</t>
  </si>
  <si>
    <t>VOUT-7</t>
  </si>
  <si>
    <t>I/O LIST RECONCILIATION &amp; COMPARISON REPORT</t>
  </si>
  <si>
    <t>Comparison between [IO Check List.xlsx] (Rev 3.5/3.3) and [IO_List_xDev-R01-Tag35-3.xlsx] (Rev 3.6)</t>
  </si>
  <si>
    <t>1. Executive Summary KPI Table</t>
  </si>
  <si>
    <t>Metric Category</t>
  </si>
  <si>
    <t>Count / Value</t>
  </si>
  <si>
    <t>% of Check List</t>
  </si>
  <si>
    <t>Engineering Implication</t>
  </si>
  <si>
    <t>Total Rows Analyzed in IO Check List</t>
  </si>
  <si>
    <t>100.0%</t>
  </si>
  <si>
    <t>Total instruments / signals in engineering check list</t>
  </si>
  <si>
    <t>Direct Match on Tag 3.5 (Tag No. 3.6)</t>
  </si>
  <si>
    <t>69.5%</t>
  </si>
  <si>
    <t>Tags existing and identical in Rev 3.6</t>
  </si>
  <si>
    <t>Fallback Match on Tag 3.3</t>
  </si>
  <si>
    <t>25.6%</t>
  </si>
  <si>
    <t>Tag 3.5 was unassigned; tag matched using Rev 3.3 name</t>
  </si>
  <si>
    <t>Missing in Dev (No Have)</t>
  </si>
  <si>
    <t>2.1%</t>
  </si>
  <si>
    <t>Tags in Check List absent from Dev (includes renames/typos/removed)</t>
  </si>
  <si>
    <t>Empty Tag Entries in Check List</t>
  </si>
  <si>
    <t>2.8%</t>
  </si>
  <si>
    <t>Boiler remote setpoints, trips &amp; alarms without assigned tag</t>
  </si>
  <si>
    <t>Extra Tags in Dev Rev 3.6 (Not in Check List)</t>
  </si>
  <si>
    <t>Newly introduced tags, control panels, package equipment</t>
  </si>
  <si>
    <t>Rows with Attribute Discrepancies (JB / P&amp;ID / IO)</t>
  </si>
  <si>
    <t>12.5%</t>
  </si>
  <si>
    <t>Tags match, but Junction Box, P&amp;ID or DI/DO/AI/AO count differs</t>
  </si>
  <si>
    <t>2. Key Discrepancy Categories &amp; Action Items</t>
  </si>
  <si>
    <t>Category</t>
  </si>
  <si>
    <t>Occurrences</t>
  </si>
  <si>
    <t>Root Cause / Example</t>
  </si>
  <si>
    <t>Recommended Engineering Action</t>
  </si>
  <si>
    <t>Tag Typo in Check List</t>
  </si>
  <si>
    <t>Row 156: 'XV61301' missing hyphen vs Dev 'XV-61301'</t>
  </si>
  <si>
    <t>Correct typo in Check List to include hyphen.</t>
  </si>
  <si>
    <t>Instrument Renamed in Dev</t>
  </si>
  <si>
    <t>Rows 34-35: 'FS-40201', 'FS-40202' renamed to 'FSL-40201', 'FSL-40202'</t>
  </si>
  <si>
    <t>Confirm Flow Switch Low (FSL) designation with P&amp;ID.</t>
  </si>
  <si>
    <t>Decommissioned / Removed I/P</t>
  </si>
  <si>
    <t>Rows 64-67 (ATY/PCY-40101/40102), Row 186, Rows 360-361</t>
  </si>
  <si>
    <t>Confirm whether these 4-20mA I/P converters were removed from design.</t>
  </si>
  <si>
    <t>Junction Box Routing Mismatch</t>
  </si>
  <si>
    <t>e.g. PCM-2030 in RIO-200 vs MCC; XV-60251 in JB-401 vs JB-601</t>
  </si>
  <si>
    <t>Review physical field JB vs Motor Control Center (MCC) marshalling.</t>
  </si>
  <si>
    <t>Signal Type / Channel Mismatch</t>
  </si>
  <si>
    <t>e.g. FS-20201 has AI in Check List, but DI in Dev IO List</t>
  </si>
  <si>
    <t>Reconcile whether devices are dry contact switches or analog transmitters.</t>
  </si>
  <si>
    <t>Boiler System Unassigned Signals</t>
  </si>
  <si>
    <t>Rows 379-391: Boiler alarms, trips &amp; setpoints without tag number</t>
  </si>
  <si>
    <t>Assign standard PLC tags (e.g. XA-80101) in Rev 3.6.</t>
  </si>
  <si>
    <t>Item</t>
  </si>
  <si>
    <t>Match Status</t>
  </si>
  <si>
    <t>Check: Tag 3.3</t>
  </si>
  <si>
    <t>Check: Tag 3.5</t>
  </si>
  <si>
    <t>Dev: Matched Tag</t>
  </si>
  <si>
    <t>In Rev.3</t>
  </si>
  <si>
    <t>In IO List</t>
  </si>
  <si>
    <t>Check: JB</t>
  </si>
  <si>
    <t>Dev: JB</t>
  </si>
  <si>
    <t>JB Status</t>
  </si>
  <si>
    <t>Check: P&amp;ID 3.5</t>
  </si>
  <si>
    <t>Dev: P&amp;ID</t>
  </si>
  <si>
    <t>P&amp;ID Status</t>
  </si>
  <si>
    <t>DO (Chk/Dev)</t>
  </si>
  <si>
    <t>DI (Chk/Dev)</t>
  </si>
  <si>
    <t>AO (Chk/Dev)</t>
  </si>
  <si>
    <t>AI (Chk/Dev)</t>
  </si>
  <si>
    <t>Bus (Chk/Dev)</t>
  </si>
  <si>
    <t>Signals Status</t>
  </si>
  <si>
    <t>Detailed Discrepancies &amp; Engineering Remarks</t>
  </si>
  <si>
    <t>MATCH (Tag 3.5)</t>
  </si>
  <si>
    <t>NO</t>
  </si>
  <si>
    <t>YES</t>
  </si>
  <si>
    <t>MATCH</t>
  </si>
  <si>
    <t>0 / 0</t>
  </si>
  <si>
    <t>0 / 1</t>
  </si>
  <si>
    <t>1 / 0</t>
  </si>
  <si>
    <t>DIFF</t>
  </si>
  <si>
    <t>Signal Diff: DI: 0-&gt;1, AI: 1-&gt;0</t>
  </si>
  <si>
    <t>1 / 1</t>
  </si>
  <si>
    <t>OK (Identical)</t>
  </si>
  <si>
    <t>2 / 2</t>
  </si>
  <si>
    <t>MATCH (Tag 3.3)</t>
  </si>
  <si>
    <t>Tag 3.5 was blank/hyphen; matched via Tag 3.3; JB Difference: Check="RIO-200" vs Dev="MCC"</t>
  </si>
  <si>
    <t>2 / 0</t>
  </si>
  <si>
    <t>JB Difference: Check="JB-401" vs Dev="JB-601"; Signal Diff: DI: 2-&gt;0</t>
  </si>
  <si>
    <t>1 / 3</t>
  </si>
  <si>
    <t>JB Difference: Check="JB-401" vs Dev="MCC"; Signal Diff: DI: 1-&gt;3</t>
  </si>
  <si>
    <t>MISSING IN DEV</t>
  </si>
  <si>
    <t>FS-40101</t>
  </si>
  <si>
    <t>N/A</t>
  </si>
  <si>
    <t>Renamed in Dev to "FSL-40201"</t>
  </si>
  <si>
    <t>FS-40102</t>
  </si>
  <si>
    <t>Renamed in Dev to "FSL-40202"</t>
  </si>
  <si>
    <t>Signal Diff: DI: 1-&gt;0, AI: 0-&gt;1</t>
  </si>
  <si>
    <t>Signal Diff: DI: 1-&gt;0</t>
  </si>
  <si>
    <t>Tag 3.3 ("ATY-40101") not found in Dev (Tag 3.5 empty)</t>
  </si>
  <si>
    <t>Tag 3.3 ("ATY-40102") not found in Dev (Tag 3.5 empty)</t>
  </si>
  <si>
    <t>Tag 3.3 ("PCY-40101") not found in Dev (Tag 3.5 empty)</t>
  </si>
  <si>
    <t>Tag 3.3 ("PCY-40102") not found in Dev (Tag 3.5 empty)</t>
  </si>
  <si>
    <t>-, 325-01-402-PD-02</t>
  </si>
  <si>
    <t>JB Difference: Check="JB-612" vs Dev="MCC"</t>
  </si>
  <si>
    <t>1 / 2</t>
  </si>
  <si>
    <t>Signal Diff: AI: 1-&gt;2</t>
  </si>
  <si>
    <t>Tag 3.5 was blank/hyphen; matched via Tag 3.3</t>
  </si>
  <si>
    <t>Tag 3.5 was blank/hyphen; matched via Tag 3.3; JB Difference: Check="JB-612" vs Dev="MCC"</t>
  </si>
  <si>
    <t>CA1, IS-JB-603, IS-JB-608, IS-JB-612, IS-JB-618, JB-401, JB-402, JB-601, JB-602, JB-606, JB-607, JB-608, JB-612, JB-618, MCC, RIO-200</t>
  </si>
  <si>
    <t>-, 3-25-01-402-PD-01, 3-25-01-613-PD-01, 3-25-01-913-PD-02</t>
  </si>
  <si>
    <t>0 / 166</t>
  </si>
  <si>
    <t>1 / 210</t>
  </si>
  <si>
    <t>0 / 3</t>
  </si>
  <si>
    <t>0 / 68</t>
  </si>
  <si>
    <t>1 / 166</t>
  </si>
  <si>
    <t>0 / 210</t>
  </si>
  <si>
    <t>JB Difference: Check="JB-618" vs Dev="MCC"</t>
  </si>
  <si>
    <t>NEW</t>
  </si>
  <si>
    <t>JB Difference: Check="JB-618" vs Dev="IS-JB-618"</t>
  </si>
  <si>
    <t>IS-JB-618, JB-618</t>
  </si>
  <si>
    <t>Typo in Check List (missing hyphen): Dev has "XV-61301"</t>
  </si>
  <si>
    <t>Tag 3.5 was blank/hyphen; matched via Tag 3.3; JB Difference: Check="JB-618" vs Dev="MCC"</t>
  </si>
  <si>
    <t>FT-60307</t>
  </si>
  <si>
    <t>Tag 3.5 was blank/hyphen; matched via Tag 3.3; JB Difference: Check="JB-601" vs Dev="MCC"</t>
  </si>
  <si>
    <t>PCY-60205-1</t>
  </si>
  <si>
    <t>Tag 3.3 ("PCY-60205-1") not found in Dev (Tag 3.5 empty)</t>
  </si>
  <si>
    <t>-, 3-25-01-602-PD-05</t>
  </si>
  <si>
    <t>2 / 4</t>
  </si>
  <si>
    <t>Tag 3.5 was blank/hyphen; matched via Tag 3.3; Signal Diff: DI: 2-&gt;4</t>
  </si>
  <si>
    <t>Signal Diff: DI: 2-&gt;4</t>
  </si>
  <si>
    <t>Tag 3.5 was blank/hyphen; matched via Tag 3.3; JB Difference: Check="JB-602" vs Dev="MCC"</t>
  </si>
  <si>
    <t>Tag 3.5 was blank/hyphen; matched via Tag 3.3; JB Difference: Check="JB-602" vs Dev="MCC"; Signal Diff: DI: 1-&gt;3</t>
  </si>
  <si>
    <t>Tag 3.5 was blank/hyphen; matched via Tag 3.3; JB Difference: Check="JB-606" vs Dev="MCC"</t>
  </si>
  <si>
    <t>Tag 3.5 was blank/hyphen; matched via Tag 3.3; JB Difference: Check="JB-607" vs Dev="MCC"</t>
  </si>
  <si>
    <t>Tag 3.3 ("PCY-81001") not found in Dev (Tag 3.5 empty)</t>
  </si>
  <si>
    <t>Tag 3.3 ("PCY-81002") not found in Dev (Tag 3.5 empty)</t>
  </si>
  <si>
    <t>EMPTY TAG IN CHECKLIST</t>
  </si>
  <si>
    <t>No Tag number; Description in PID col: "External Remote Setpoint"</t>
  </si>
  <si>
    <t>No Tag number; Description in PID col: "Spare"</t>
  </si>
  <si>
    <t>No Tag number; Description in PID col: "Boiler Common Alarm"</t>
  </si>
  <si>
    <t>No Tag number; Description in PID col: "Boiler trip"</t>
  </si>
  <si>
    <t>No Tag number; Description in PID col: "Burner Trip"</t>
  </si>
  <si>
    <t>No Tag number; Description in PID col: "Boiler Operation"</t>
  </si>
  <si>
    <t>No Tag number; Description in PID col: "Remote Setpoint Activateed"</t>
  </si>
  <si>
    <t>No Tag number; Description in PID col: "Remote Setpoint Status"</t>
  </si>
  <si>
    <t>Tag 3.5 was blank/hyphen; matched via Tag 3.3; Signal Diff: AI: 1-&gt;2</t>
  </si>
  <si>
    <t>Check List Row</t>
  </si>
  <si>
    <t>Tag No. 3.3</t>
  </si>
  <si>
    <t>Tag No. 3.5</t>
  </si>
  <si>
    <t>P&amp;ID 3.5 / Description</t>
  </si>
  <si>
    <t>Diagnostic Findings &amp; Resolution</t>
  </si>
  <si>
    <t>Dev Tag</t>
  </si>
  <si>
    <t>In Rev.3 Master</t>
  </si>
  <si>
    <t>In IO List Wiring</t>
  </si>
  <si>
    <t>Junction Box / Destination</t>
  </si>
  <si>
    <t>Category / Equipment Type</t>
  </si>
  <si>
    <t>112</t>
  </si>
  <si>
    <t>AHTR-21 Air Heater Control Panel</t>
  </si>
  <si>
    <t>Control Panel Interface</t>
  </si>
  <si>
    <t>Package Vendor Equipment</t>
  </si>
  <si>
    <t>New Rev 3.6 Instrument</t>
  </si>
  <si>
    <t>Heater / Vaporizer Package</t>
  </si>
  <si>
    <t>Haver &amp; Boecker. EQUIPMENT</t>
  </si>
  <si>
    <t>Tag 3.5 / 3.6</t>
  </si>
  <si>
    <t>Matched Dev Tag</t>
  </si>
  <si>
    <t>Discrepancy Type</t>
  </si>
  <si>
    <t>Check List Value</t>
  </si>
  <si>
    <t>Dev Value (Rev 3.6)</t>
  </si>
  <si>
    <t>Detailed Impact</t>
  </si>
  <si>
    <t>Signal Channel Count Mismatch</t>
  </si>
  <si>
    <t>DO:0 DI:0 AO:0 AI:1 Bus:0</t>
  </si>
  <si>
    <t>DO:0 DI:1 AO:0 AI:0 Bus:0</t>
  </si>
  <si>
    <t>PLC hardware I/O card capacity and wiring point mismatch</t>
  </si>
  <si>
    <t>JB: RIO-200</t>
  </si>
  <si>
    <t>JB: MCC</t>
  </si>
  <si>
    <t>Cables routed to different enclosure (RIO-200 vs MCC)</t>
  </si>
  <si>
    <t>JB: JB-401</t>
  </si>
  <si>
    <t>JB: JB-601</t>
  </si>
  <si>
    <t>Cables routed to different enclosure (JB-401 vs JB-601)</t>
  </si>
  <si>
    <t>DO:1 DI:2 AO:0 AI:0 Bus:0</t>
  </si>
  <si>
    <t>DO:1 DI:0 AO:0 AI:0 Bus:0</t>
  </si>
  <si>
    <t>Cables routed to different enclosure (JB-401 vs MCC)</t>
  </si>
  <si>
    <t>DO:1 DI:1 AO:0 AI:0 Bus:1</t>
  </si>
  <si>
    <t>DO:1 DI:3 AO:0 AI:0 Bus:1</t>
  </si>
  <si>
    <t>DO:0 DI:1 AO:0 AI:1 Bus:0</t>
  </si>
  <si>
    <t>JB: JB-612</t>
  </si>
  <si>
    <t>Cables routed to different enclosure (JB-612 vs MCC)</t>
  </si>
  <si>
    <t>DO:0 DI:0 AO:0 AI:2 Bus:0</t>
  </si>
  <si>
    <t>JB: JB-618</t>
  </si>
  <si>
    <t>Cables routed to different enclosure (JB-618 vs MCC)</t>
  </si>
  <si>
    <t>JB: IS-JB-618</t>
  </si>
  <si>
    <t>Cables routed to different enclosure (JB-618 vs IS-JB-618)</t>
  </si>
  <si>
    <t>Cables routed to different enclosure (JB-601 vs MCC)</t>
  </si>
  <si>
    <t>DO:1 DI:4 AO:0 AI:0 Bus:0</t>
  </si>
  <si>
    <t>JB: JB-602</t>
  </si>
  <si>
    <t>Cables routed to different enclosure (JB-602 vs MCC)</t>
  </si>
  <si>
    <t>JB: JB-606</t>
  </si>
  <si>
    <t>Cables routed to different enclosure (JB-606 vs MCC)</t>
  </si>
  <si>
    <t>JB: JB-607</t>
  </si>
  <si>
    <t>Cables routed to different enclosure (JB-607 vs MCC)</t>
  </si>
  <si>
    <t>Eth_Module</t>
  </si>
  <si>
    <t>1756-EN4TR</t>
  </si>
  <si>
    <t>Comm</t>
  </si>
  <si>
    <t>Terminal Index</t>
  </si>
  <si>
    <t>Card_ID</t>
  </si>
  <si>
    <t>Terminal Number</t>
  </si>
  <si>
    <t>Terminal Function</t>
  </si>
  <si>
    <t>WireColor</t>
  </si>
  <si>
    <t>IN-00</t>
  </si>
  <si>
    <t>WH</t>
  </si>
  <si>
    <t>IN-01</t>
  </si>
  <si>
    <t>IN-02</t>
  </si>
  <si>
    <t>IN-03</t>
  </si>
  <si>
    <t>IN-04</t>
  </si>
  <si>
    <t>IN-05</t>
  </si>
  <si>
    <t>IN-06</t>
  </si>
  <si>
    <t>IN-07</t>
  </si>
  <si>
    <t>IN-08</t>
  </si>
  <si>
    <t>IN-09</t>
  </si>
  <si>
    <t>BK</t>
  </si>
  <si>
    <t>GND-1</t>
  </si>
  <si>
    <t>OUT-00</t>
  </si>
  <si>
    <t>OUT-01</t>
  </si>
  <si>
    <t>OUT-02</t>
  </si>
  <si>
    <t>OUT-03</t>
  </si>
  <si>
    <t>OUT-04</t>
  </si>
  <si>
    <t>OUT-05</t>
  </si>
  <si>
    <t>OUT-06</t>
  </si>
  <si>
    <t>OUT-07</t>
  </si>
  <si>
    <t>OUT-08</t>
  </si>
  <si>
    <t>OUT-09</t>
  </si>
  <si>
    <t>RD</t>
  </si>
  <si>
    <t>IN0-</t>
  </si>
  <si>
    <t>IN0+</t>
  </si>
  <si>
    <t>IN1-</t>
  </si>
  <si>
    <t>IN1+</t>
  </si>
  <si>
    <t>IN2-</t>
  </si>
  <si>
    <t>IN2+</t>
  </si>
  <si>
    <t>IN3-</t>
  </si>
  <si>
    <t>IN3+</t>
  </si>
  <si>
    <t>IN4-</t>
  </si>
  <si>
    <t>IN4+</t>
  </si>
  <si>
    <t>IN5-</t>
  </si>
  <si>
    <t>IN5+</t>
  </si>
  <si>
    <t>IN6-</t>
  </si>
  <si>
    <t>IN6+</t>
  </si>
  <si>
    <t>IN7-</t>
  </si>
  <si>
    <t>IN7+</t>
  </si>
  <si>
    <t>IN8-</t>
  </si>
  <si>
    <t>IN8+</t>
  </si>
  <si>
    <t>IN9-</t>
  </si>
  <si>
    <t>IN9+</t>
  </si>
  <si>
    <t>IN10-</t>
  </si>
  <si>
    <t>IN10+</t>
  </si>
  <si>
    <t>IN11-</t>
  </si>
  <si>
    <t>IN11+</t>
  </si>
  <si>
    <t>IN12-</t>
  </si>
  <si>
    <t>IN12+</t>
  </si>
  <si>
    <t>IN13-</t>
  </si>
  <si>
    <t>IN13+</t>
  </si>
  <si>
    <t>IN14-</t>
  </si>
  <si>
    <t>IN14+</t>
  </si>
  <si>
    <t>IN15-</t>
  </si>
  <si>
    <t>IN15+</t>
  </si>
  <si>
    <t>C8</t>
  </si>
  <si>
    <t>ETH-1</t>
  </si>
  <si>
    <t>ETH-2</t>
  </si>
  <si>
    <t>ETH-3</t>
  </si>
  <si>
    <t>Terminal Tagging</t>
  </si>
  <si>
    <t>Front Terminal Number</t>
  </si>
  <si>
    <t>P1-TBDI1</t>
  </si>
  <si>
    <t>P1-TBDI2</t>
  </si>
  <si>
    <t>P1-TBDI3</t>
  </si>
  <si>
    <t>P1-TBDI4</t>
  </si>
  <si>
    <t>P1-</t>
  </si>
  <si>
    <t>P1-TBRL2</t>
  </si>
  <si>
    <t>P1-TBRL1</t>
  </si>
  <si>
    <t>Point-Count</t>
  </si>
  <si>
    <t>Front Terminal Tagging</t>
  </si>
  <si>
    <t>Terminal Tagging-Item</t>
  </si>
  <si>
    <t>Tagging PLC Side</t>
  </si>
  <si>
    <t>Tagging Terminal Side</t>
  </si>
  <si>
    <t>P2-TBDI1</t>
  </si>
  <si>
    <t>P2-TBDI2</t>
  </si>
  <si>
    <t>P2-TBDI3</t>
  </si>
  <si>
    <t>P2-TBDI4</t>
  </si>
  <si>
    <t>P2-TBDI5</t>
  </si>
  <si>
    <t>P2-TBRL1</t>
  </si>
  <si>
    <t>P2-TBRL2</t>
  </si>
  <si>
    <t>P2-TBRL3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</si>
</sst>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6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FF0000"/>
      <name val="Aptos Narrow"/>
      <family val="2"/>
      <scheme val="minor"/>
    </font>
    <font>
      <sz val="10"/>
      <color rgb="FF000000"/>
      <name val="Times New Roman"/>
      <family val="1"/>
    </font>
    <font>
      <b/>
      <sz val="8"/>
      <name val="Arial"/>
      <family val="2"/>
    </font>
    <font>
      <b/>
      <sz val="11.5"/>
      <name val="Arial"/>
      <family val="2"/>
    </font>
    <font>
      <b/>
      <sz val="15.5"/>
      <name val="Arial"/>
      <family val="2"/>
    </font>
    <font>
      <sz val="8"/>
      <name val="Arial MT"/>
    </font>
    <font>
      <sz val="8"/>
      <color rgb="FF000000"/>
      <name val="Arial MT"/>
      <family val="2"/>
    </font>
    <font>
      <b/>
      <sz val="7"/>
      <name val="Arial"/>
      <family val="2"/>
    </font>
    <font>
      <b/>
      <sz val="6.5"/>
      <name val="Arial"/>
      <family val="2"/>
    </font>
    <font>
      <sz val="6.5"/>
      <color rgb="FF000000"/>
      <name val="Arial MT"/>
      <family val="2"/>
    </font>
    <font>
      <sz val="6.5"/>
      <name val="Arial MT"/>
    </font>
    <font>
      <sz val="7"/>
      <name val="Arial MT"/>
    </font>
    <font>
      <sz val="7"/>
      <color rgb="FF000000"/>
      <name val="Arial MT"/>
      <family val="2"/>
    </font>
    <font>
      <sz val="10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b/>
      <sz val="20"/>
      <name val="Arial"/>
      <family val="2"/>
    </font>
    <font>
      <sz val="11"/>
      <color indexed="8"/>
      <name val="Calibri"/>
      <family val="2"/>
    </font>
    <font>
      <b/>
      <sz val="2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sz val="10"/>
      <color indexed="8"/>
      <name val="Arial"/>
      <family val="2"/>
    </font>
    <font>
      <sz val="9"/>
      <name val="Arial"/>
      <family val="2"/>
    </font>
    <font>
      <sz val="10"/>
      <color theme="1"/>
      <name val="Arial"/>
      <family val="2"/>
    </font>
    <font>
      <sz val="11"/>
      <color rgb="FF006100"/>
      <name val="Aptos Narrow"/>
      <family val="2"/>
      <charset val="222"/>
      <scheme val="minor"/>
    </font>
    <font>
      <strike/>
      <sz val="10"/>
      <color rgb="FFFF0000"/>
      <name val="Arial"/>
      <family val="2"/>
    </font>
    <font>
      <sz val="9"/>
      <color theme="1"/>
      <name val="Arial"/>
      <family val="2"/>
    </font>
    <font>
      <strike/>
      <sz val="11"/>
      <color rgb="FFFF0000"/>
      <name val="Tahoma"/>
      <family val="2"/>
    </font>
    <font>
      <strike/>
      <sz val="9"/>
      <name val="Arial"/>
      <family val="2"/>
    </font>
    <font>
      <strike/>
      <sz val="9"/>
      <name val="Calibri Light"/>
      <family val="2"/>
    </font>
    <font>
      <strike/>
      <sz val="11"/>
      <color indexed="8"/>
      <name val="Calibri Light"/>
      <family val="2"/>
    </font>
    <font>
      <sz val="8"/>
      <color indexed="8"/>
      <name val="Calibri"/>
      <family val="2"/>
    </font>
    <font>
      <sz val="8"/>
      <name val="Arial"/>
      <family val="2"/>
    </font>
    <font>
      <sz val="11"/>
      <name val="Aptos Narrow"/>
      <scheme val="minor"/>
    </font>
    <font>
      <sz val="12"/>
      <name val="Aptos Narrow"/>
      <scheme val="minor"/>
    </font>
    <font>
      <b/>
      <sz val="11"/>
      <color rgb="FFFFFFFF"/>
      <name val="Calibri"/>
      <family val="2"/>
    </font>
    <font>
      <sz val="10"/>
      <name val="Calibri"/>
      <family val="2"/>
    </font>
    <font>
      <b/>
      <sz val="10"/>
      <color rgb="FF006100"/>
      <name val="Calibri"/>
      <family val="2"/>
    </font>
    <font>
      <b/>
      <sz val="10"/>
      <name val="Calibri"/>
      <family val="2"/>
    </font>
    <font>
      <sz val="11"/>
      <color theme="1"/>
      <name val="Calibri"/>
      <family val="2"/>
    </font>
    <font>
      <b/>
      <sz val="10"/>
      <color rgb="FFC65911"/>
      <name val="Calibri"/>
      <family val="2"/>
    </font>
    <font>
      <b/>
      <sz val="10"/>
      <color rgb="FF7F6000"/>
      <name val="Calibri"/>
      <family val="2"/>
    </font>
    <font>
      <b/>
      <sz val="10"/>
      <color rgb="FF9C0006"/>
      <name val="Calibri"/>
      <family val="2"/>
    </font>
    <font>
      <i/>
      <sz val="10"/>
      <color rgb="FF595959"/>
      <name val="Calibri"/>
      <family val="2"/>
    </font>
    <font>
      <b/>
      <sz val="16"/>
      <color rgb="FF1F497D"/>
      <name val="Calibri"/>
      <family val="2"/>
    </font>
    <font>
      <i/>
      <sz val="11"/>
      <color rgb="FF595959"/>
      <name val="Calibri"/>
      <family val="2"/>
    </font>
    <font>
      <b/>
      <sz val="13"/>
      <color rgb="FF1F497D"/>
      <name val="Calibri"/>
      <family val="2"/>
    </font>
    <font>
      <sz val="8"/>
      <name val="Aptos Narrow"/>
      <family val="2"/>
      <scheme val="minor"/>
    </font>
    <font>
      <b/>
      <sz val="11"/>
      <name val="Aptos Narrow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A9D18D"/>
      </patternFill>
    </fill>
    <fill>
      <patternFill patternType="solid">
        <fgColor rgb="FFC9C9C9"/>
      </patternFill>
    </fill>
    <fill>
      <patternFill patternType="solid">
        <fgColor rgb="FF00B0F0"/>
      </patternFill>
    </fill>
    <fill>
      <patternFill patternType="solid">
        <f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C6EFCE"/>
        <bgColor rgb="FFC6EFCE"/>
      </patternFill>
    </fill>
    <fill>
      <patternFill patternType="solid">
        <fgColor rgb="FFFCE4D6"/>
        <bgColor rgb="FFFCE4D6"/>
      </patternFill>
    </fill>
    <fill>
      <patternFill patternType="solid">
        <fgColor rgb="FFFFF2CC"/>
        <bgColor rgb="FFFFF2CC"/>
      </patternFill>
    </fill>
    <fill>
      <patternFill patternType="solid">
        <fgColor rgb="FFFFC7CE"/>
        <bgColor rgb="FFFFC7CE"/>
      </patternFill>
    </fill>
    <fill>
      <patternFill patternType="solid">
        <fgColor rgb="FFE7E6E6"/>
        <bgColor rgb="FFE7E6E6"/>
      </patternFill>
    </fill>
    <fill>
      <patternFill patternType="solid">
        <fgColor rgb="FF366092"/>
        <bgColor rgb="FF366092"/>
      </patternFill>
    </fill>
  </fills>
  <borders count="15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rgb="FFF1A983"/>
      </top>
      <bottom style="thin">
        <color rgb="FFF1A983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1">
    <xf numFmtId="0" fontId="0" fillId="0" borderId="0"/>
    <xf numFmtId="0" fontId="7" fillId="0" borderId="0"/>
    <xf numFmtId="0" fontId="19" fillId="0" borderId="0"/>
    <xf numFmtId="0" fontId="23" fillId="0" borderId="0"/>
    <xf numFmtId="0" fontId="19" fillId="0" borderId="0"/>
    <xf numFmtId="0" fontId="19" fillId="0" borderId="0"/>
    <xf numFmtId="0" fontId="19" fillId="0" borderId="0"/>
    <xf numFmtId="0" fontId="28" fillId="0" borderId="0"/>
    <xf numFmtId="0" fontId="31" fillId="2" borderId="0"/>
    <xf numFmtId="9" fontId="23" fillId="0" borderId="0"/>
    <xf numFmtId="0" fontId="1" fillId="0" borderId="0"/>
  </cellStyleXfs>
  <cellXfs count="150">
    <xf numFmtId="0" fontId="0" fillId="0" borderId="0" xfId="0"/>
    <xf numFmtId="0" fontId="1" fillId="0" borderId="0" xfId="0" applyFont="1"/>
    <xf numFmtId="0" fontId="4" fillId="0" borderId="0" xfId="0" applyFont="1"/>
    <xf numFmtId="0" fontId="5" fillId="0" borderId="0" xfId="0" applyFont="1"/>
    <xf numFmtId="3" fontId="1" fillId="0" borderId="0" xfId="0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6" fillId="0" borderId="0" xfId="0" applyFont="1"/>
    <xf numFmtId="0" fontId="0" fillId="0" borderId="0" xfId="0" applyAlignment="1">
      <alignment horizontal="left" indent="2"/>
    </xf>
    <xf numFmtId="0" fontId="7" fillId="0" borderId="0" xfId="1" applyAlignment="1">
      <alignment horizontal="left" vertical="top"/>
    </xf>
    <xf numFmtId="0" fontId="11" fillId="0" borderId="10" xfId="1" applyFont="1" applyBorder="1" applyAlignment="1">
      <alignment horizontal="center" vertical="top" wrapText="1"/>
    </xf>
    <xf numFmtId="164" fontId="12" fillId="0" borderId="10" xfId="1" applyNumberFormat="1" applyFont="1" applyBorder="1" applyAlignment="1">
      <alignment horizontal="center" vertical="top" shrinkToFit="1"/>
    </xf>
    <xf numFmtId="0" fontId="13" fillId="4" borderId="10" xfId="1" applyFont="1" applyFill="1" applyBorder="1" applyAlignment="1">
      <alignment horizontal="center" vertical="top" wrapText="1"/>
    </xf>
    <xf numFmtId="0" fontId="14" fillId="4" borderId="10" xfId="1" applyFont="1" applyFill="1" applyBorder="1" applyAlignment="1">
      <alignment horizontal="center" vertical="top" wrapText="1"/>
    </xf>
    <xf numFmtId="0" fontId="7" fillId="4" borderId="10" xfId="1" applyFill="1" applyBorder="1" applyAlignment="1">
      <alignment horizontal="left" wrapText="1"/>
    </xf>
    <xf numFmtId="0" fontId="7" fillId="0" borderId="10" xfId="1" applyBorder="1" applyAlignment="1">
      <alignment horizontal="left" wrapText="1"/>
    </xf>
    <xf numFmtId="1" fontId="15" fillId="0" borderId="10" xfId="1" applyNumberFormat="1" applyFont="1" applyBorder="1" applyAlignment="1">
      <alignment horizontal="center" vertical="top" shrinkToFit="1"/>
    </xf>
    <xf numFmtId="0" fontId="16" fillId="0" borderId="10" xfId="1" applyFont="1" applyBorder="1" applyAlignment="1">
      <alignment horizontal="center" vertical="top" wrapText="1"/>
    </xf>
    <xf numFmtId="0" fontId="16" fillId="0" borderId="10" xfId="1" applyFont="1" applyBorder="1" applyAlignment="1">
      <alignment horizontal="left" vertical="top" wrapText="1"/>
    </xf>
    <xf numFmtId="0" fontId="17" fillId="0" borderId="10" xfId="1" applyFont="1" applyBorder="1" applyAlignment="1">
      <alignment horizontal="center" vertical="top" wrapText="1"/>
    </xf>
    <xf numFmtId="1" fontId="18" fillId="0" borderId="10" xfId="1" applyNumberFormat="1" applyFont="1" applyBorder="1" applyAlignment="1">
      <alignment horizontal="center" vertical="top" shrinkToFit="1"/>
    </xf>
    <xf numFmtId="1" fontId="15" fillId="0" borderId="10" xfId="1" applyNumberFormat="1" applyFont="1" applyBorder="1" applyAlignment="1">
      <alignment horizontal="center" vertical="center" shrinkToFit="1"/>
    </xf>
    <xf numFmtId="0" fontId="23" fillId="0" borderId="0" xfId="3"/>
    <xf numFmtId="49" fontId="20" fillId="0" borderId="0" xfId="2" applyNumberFormat="1" applyFont="1" applyAlignment="1">
      <alignment vertical="center"/>
    </xf>
    <xf numFmtId="14" fontId="21" fillId="0" borderId="0" xfId="4" applyNumberFormat="1" applyFont="1" applyAlignment="1">
      <alignment horizontal="left" vertical="center"/>
    </xf>
    <xf numFmtId="49" fontId="21" fillId="0" borderId="0" xfId="2" applyNumberFormat="1" applyFont="1" applyAlignment="1">
      <alignment vertical="center"/>
    </xf>
    <xf numFmtId="49" fontId="21" fillId="0" borderId="0" xfId="2" applyNumberFormat="1" applyFont="1" applyAlignment="1">
      <alignment horizontal="center" vertical="center"/>
    </xf>
    <xf numFmtId="0" fontId="21" fillId="0" borderId="0" xfId="4" applyFont="1" applyAlignment="1">
      <alignment horizontal="center" vertical="top"/>
    </xf>
    <xf numFmtId="0" fontId="25" fillId="0" borderId="0" xfId="4" applyFont="1" applyAlignment="1">
      <alignment vertical="top"/>
    </xf>
    <xf numFmtId="49" fontId="22" fillId="0" borderId="0" xfId="2" applyNumberFormat="1" applyFont="1" applyAlignment="1">
      <alignment vertical="center"/>
    </xf>
    <xf numFmtId="0" fontId="19" fillId="0" borderId="0" xfId="2" applyAlignment="1">
      <alignment vertical="center"/>
    </xf>
    <xf numFmtId="49" fontId="27" fillId="0" borderId="0" xfId="2" applyNumberFormat="1" applyFont="1" applyAlignment="1">
      <alignment horizontal="left" vertical="center"/>
    </xf>
    <xf numFmtId="49" fontId="26" fillId="0" borderId="0" xfId="5" applyNumberFormat="1" applyFont="1" applyAlignment="1">
      <alignment vertical="center" wrapText="1"/>
    </xf>
    <xf numFmtId="49" fontId="26" fillId="0" borderId="0" xfId="6" applyNumberFormat="1" applyFont="1" applyAlignment="1">
      <alignment vertical="center" wrapText="1"/>
    </xf>
    <xf numFmtId="49" fontId="27" fillId="0" borderId="0" xfId="6" applyNumberFormat="1" applyFont="1" applyAlignment="1">
      <alignment horizontal="center" vertical="center" wrapText="1"/>
    </xf>
    <xf numFmtId="0" fontId="27" fillId="0" borderId="0" xfId="7" applyFont="1" applyAlignment="1">
      <alignment horizontal="center" vertical="center"/>
    </xf>
    <xf numFmtId="0" fontId="26" fillId="0" borderId="0" xfId="7" applyFont="1" applyAlignment="1">
      <alignment vertical="center" wrapText="1"/>
    </xf>
    <xf numFmtId="0" fontId="26" fillId="0" borderId="0" xfId="7" applyFont="1" applyAlignment="1">
      <alignment vertical="center"/>
    </xf>
    <xf numFmtId="0" fontId="26" fillId="0" borderId="0" xfId="7" applyFont="1" applyAlignment="1">
      <alignment horizontal="center" vertical="center" wrapText="1"/>
    </xf>
    <xf numFmtId="0" fontId="19" fillId="0" borderId="0" xfId="2"/>
    <xf numFmtId="49" fontId="29" fillId="0" borderId="0" xfId="2" applyNumberFormat="1" applyFont="1" applyAlignment="1">
      <alignment horizontal="left" vertical="center"/>
    </xf>
    <xf numFmtId="49" fontId="29" fillId="0" borderId="0" xfId="2" applyNumberFormat="1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9" fillId="0" borderId="0" xfId="2" applyFont="1" applyAlignment="1">
      <alignment horizontal="center" vertical="center"/>
    </xf>
    <xf numFmtId="3" fontId="19" fillId="0" borderId="0" xfId="3" applyNumberFormat="1" applyFont="1" applyAlignment="1">
      <alignment horizontal="center"/>
    </xf>
    <xf numFmtId="16" fontId="29" fillId="0" borderId="0" xfId="2" applyNumberFormat="1" applyFont="1" applyAlignment="1">
      <alignment horizontal="center" vertical="center"/>
    </xf>
    <xf numFmtId="0" fontId="29" fillId="0" borderId="0" xfId="2" quotePrefix="1" applyFont="1" applyAlignment="1">
      <alignment horizontal="center" vertical="center"/>
    </xf>
    <xf numFmtId="0" fontId="30" fillId="0" borderId="0" xfId="2" applyFont="1"/>
    <xf numFmtId="0" fontId="19" fillId="0" borderId="0" xfId="8" applyFont="1" applyFill="1" applyAlignment="1">
      <alignment horizontal="center" vertical="center"/>
    </xf>
    <xf numFmtId="0" fontId="19" fillId="0" borderId="0" xfId="3" quotePrefix="1" applyFont="1" applyAlignment="1">
      <alignment horizontal="center"/>
    </xf>
    <xf numFmtId="3" fontId="19" fillId="0" borderId="0" xfId="9" applyNumberFormat="1" applyFont="1" applyAlignment="1">
      <alignment horizontal="center"/>
    </xf>
    <xf numFmtId="9" fontId="19" fillId="0" borderId="0" xfId="3" applyNumberFormat="1" applyFont="1" applyAlignment="1">
      <alignment horizontal="center"/>
    </xf>
    <xf numFmtId="0" fontId="32" fillId="0" borderId="0" xfId="2" applyFont="1"/>
    <xf numFmtId="17" fontId="29" fillId="0" borderId="0" xfId="2" quotePrefix="1" applyNumberFormat="1" applyFont="1" applyAlignment="1">
      <alignment horizontal="center" vertical="center"/>
    </xf>
    <xf numFmtId="0" fontId="33" fillId="0" borderId="0" xfId="2" applyFont="1" applyAlignment="1">
      <alignment horizontal="center" vertical="center"/>
    </xf>
    <xf numFmtId="0" fontId="19" fillId="0" borderId="0" xfId="8" applyFont="1" applyFill="1" applyAlignment="1">
      <alignment horizontal="center"/>
    </xf>
    <xf numFmtId="0" fontId="19" fillId="0" borderId="0" xfId="3" applyFont="1" applyAlignment="1">
      <alignment horizontal="center" vertical="center"/>
    </xf>
    <xf numFmtId="0" fontId="23" fillId="0" borderId="0" xfId="3" applyAlignment="1">
      <alignment horizontal="center"/>
    </xf>
    <xf numFmtId="0" fontId="23" fillId="0" borderId="0" xfId="3" applyAlignment="1">
      <alignment horizontal="center" vertical="center"/>
    </xf>
    <xf numFmtId="0" fontId="33" fillId="0" borderId="0" xfId="2" quotePrefix="1" applyFont="1" applyAlignment="1">
      <alignment horizontal="center" vertical="center"/>
    </xf>
    <xf numFmtId="0" fontId="34" fillId="0" borderId="0" xfId="3" applyFont="1"/>
    <xf numFmtId="0" fontId="0" fillId="0" borderId="0" xfId="2" quotePrefix="1" applyFont="1" applyAlignment="1">
      <alignment horizontal="center" vertical="center"/>
    </xf>
    <xf numFmtId="49" fontId="27" fillId="0" borderId="0" xfId="2" applyNumberFormat="1" applyFont="1" applyAlignment="1">
      <alignment horizontal="center" vertical="center"/>
    </xf>
    <xf numFmtId="49" fontId="35" fillId="0" borderId="0" xfId="2" applyNumberFormat="1" applyFont="1" applyAlignment="1">
      <alignment horizontal="left" vertical="center"/>
    </xf>
    <xf numFmtId="49" fontId="35" fillId="0" borderId="0" xfId="2" applyNumberFormat="1" applyFont="1" applyAlignment="1">
      <alignment horizontal="center" vertical="center"/>
    </xf>
    <xf numFmtId="0" fontId="35" fillId="0" borderId="0" xfId="2" applyFont="1" applyAlignment="1">
      <alignment horizontal="center" vertical="center"/>
    </xf>
    <xf numFmtId="0" fontId="35" fillId="0" borderId="0" xfId="2" quotePrefix="1" applyFont="1" applyAlignment="1">
      <alignment horizontal="center" vertical="center"/>
    </xf>
    <xf numFmtId="0" fontId="19" fillId="0" borderId="0" xfId="8" applyFont="1" applyFill="1" applyAlignment="1">
      <alignment horizontal="left" vertical="center"/>
    </xf>
    <xf numFmtId="0" fontId="37" fillId="0" borderId="0" xfId="3" applyFont="1"/>
    <xf numFmtId="49" fontId="36" fillId="0" borderId="0" xfId="2" applyNumberFormat="1" applyFont="1" applyAlignment="1">
      <alignment horizontal="left" vertical="center"/>
    </xf>
    <xf numFmtId="49" fontId="36" fillId="0" borderId="0" xfId="2" applyNumberFormat="1" applyFont="1" applyAlignment="1">
      <alignment horizontal="center" vertical="center"/>
    </xf>
    <xf numFmtId="0" fontId="36" fillId="0" borderId="0" xfId="2" applyFont="1" applyAlignment="1">
      <alignment horizontal="center" vertical="center"/>
    </xf>
    <xf numFmtId="0" fontId="36" fillId="0" borderId="0" xfId="2" quotePrefix="1" applyFont="1" applyAlignment="1">
      <alignment horizontal="center" vertical="center"/>
    </xf>
    <xf numFmtId="0" fontId="26" fillId="0" borderId="12" xfId="7" applyFont="1" applyBorder="1" applyAlignment="1">
      <alignment vertical="center"/>
    </xf>
    <xf numFmtId="0" fontId="29" fillId="0" borderId="0" xfId="2" applyFont="1" applyAlignment="1">
      <alignment vertical="center"/>
    </xf>
    <xf numFmtId="49" fontId="29" fillId="0" borderId="0" xfId="2" applyNumberFormat="1" applyFont="1" applyAlignment="1">
      <alignment vertical="center"/>
    </xf>
    <xf numFmtId="0" fontId="38" fillId="0" borderId="0" xfId="3" applyFont="1"/>
    <xf numFmtId="49" fontId="8" fillId="0" borderId="0" xfId="2" applyNumberFormat="1" applyFont="1" applyAlignment="1">
      <alignment vertical="center"/>
    </xf>
    <xf numFmtId="49" fontId="8" fillId="0" borderId="0" xfId="2" applyNumberFormat="1" applyFont="1" applyAlignment="1">
      <alignment horizontal="center" vertical="center"/>
    </xf>
    <xf numFmtId="49" fontId="39" fillId="0" borderId="0" xfId="2" applyNumberFormat="1" applyFont="1" applyAlignment="1">
      <alignment vertical="center"/>
    </xf>
    <xf numFmtId="49" fontId="39" fillId="0" borderId="0" xfId="2" applyNumberFormat="1" applyFont="1" applyAlignment="1">
      <alignment horizontal="center" vertical="center"/>
    </xf>
    <xf numFmtId="0" fontId="0" fillId="0" borderId="0" xfId="0" applyAlignment="1">
      <alignment horizontal="right"/>
    </xf>
    <xf numFmtId="0" fontId="1" fillId="0" borderId="0" xfId="10"/>
    <xf numFmtId="0" fontId="42" fillId="7" borderId="14" xfId="0" applyFont="1" applyFill="1" applyBorder="1" applyAlignment="1">
      <alignment horizontal="center" vertical="center"/>
    </xf>
    <xf numFmtId="0" fontId="43" fillId="0" borderId="14" xfId="0" applyFont="1" applyBorder="1" applyAlignment="1">
      <alignment horizontal="center" vertical="center"/>
    </xf>
    <xf numFmtId="0" fontId="44" fillId="8" borderId="14" xfId="0" applyFont="1" applyFill="1" applyBorder="1" applyAlignment="1">
      <alignment horizontal="center" vertical="center"/>
    </xf>
    <xf numFmtId="0" fontId="43" fillId="0" borderId="14" xfId="0" applyFont="1" applyBorder="1"/>
    <xf numFmtId="0" fontId="45" fillId="0" borderId="14" xfId="0" applyFont="1" applyBorder="1"/>
    <xf numFmtId="0" fontId="46" fillId="0" borderId="14" xfId="0" applyFont="1" applyBorder="1" applyAlignment="1">
      <alignment horizontal="center" vertical="center"/>
    </xf>
    <xf numFmtId="0" fontId="47" fillId="9" borderId="14" xfId="0" applyFont="1" applyFill="1" applyBorder="1" applyAlignment="1">
      <alignment horizontal="center" vertical="center"/>
    </xf>
    <xf numFmtId="0" fontId="47" fillId="0" borderId="14" xfId="0" applyFont="1" applyBorder="1"/>
    <xf numFmtId="0" fontId="48" fillId="10" borderId="14" xfId="0" applyFont="1" applyFill="1" applyBorder="1" applyAlignment="1">
      <alignment horizontal="center" vertical="center"/>
    </xf>
    <xf numFmtId="0" fontId="49" fillId="11" borderId="14" xfId="0" applyFont="1" applyFill="1" applyBorder="1" applyAlignment="1">
      <alignment horizontal="center" vertical="center"/>
    </xf>
    <xf numFmtId="0" fontId="50" fillId="12" borderId="14" xfId="0" applyFont="1" applyFill="1" applyBorder="1" applyAlignment="1">
      <alignment horizontal="center" vertical="center"/>
    </xf>
    <xf numFmtId="0" fontId="51" fillId="0" borderId="14" xfId="0" applyFont="1" applyBorder="1"/>
    <xf numFmtId="0" fontId="52" fillId="0" borderId="14" xfId="0" applyFont="1" applyBorder="1"/>
    <xf numFmtId="0" fontId="53" fillId="0" borderId="14" xfId="0" applyFont="1" applyBorder="1"/>
    <xf numFmtId="0" fontId="42" fillId="7" borderId="14" xfId="0" applyFont="1" applyFill="1" applyBorder="1" applyAlignment="1">
      <alignment horizontal="left" vertical="center"/>
    </xf>
    <xf numFmtId="0" fontId="45" fillId="0" borderId="14" xfId="0" applyFont="1" applyBorder="1" applyAlignment="1">
      <alignment horizontal="center" vertical="center"/>
    </xf>
    <xf numFmtId="0" fontId="45" fillId="11" borderId="14" xfId="0" applyFont="1" applyFill="1" applyBorder="1"/>
    <xf numFmtId="0" fontId="45" fillId="11" borderId="14" xfId="0" applyFont="1" applyFill="1" applyBorder="1" applyAlignment="1">
      <alignment horizontal="center" vertical="center"/>
    </xf>
    <xf numFmtId="0" fontId="45" fillId="9" borderId="14" xfId="0" applyFont="1" applyFill="1" applyBorder="1"/>
    <xf numFmtId="0" fontId="45" fillId="9" borderId="14" xfId="0" applyFont="1" applyFill="1" applyBorder="1" applyAlignment="1">
      <alignment horizontal="center" vertical="center"/>
    </xf>
    <xf numFmtId="0" fontId="42" fillId="13" borderId="14" xfId="0" applyFont="1" applyFill="1" applyBorder="1" applyAlignment="1">
      <alignment horizontal="left" vertical="center"/>
    </xf>
    <xf numFmtId="0" fontId="42" fillId="13" borderId="14" xfId="0" applyFont="1" applyFill="1" applyBorder="1" applyAlignment="1">
      <alignment horizontal="center" vertical="center"/>
    </xf>
    <xf numFmtId="0" fontId="47" fillId="9" borderId="14" xfId="0" applyFont="1" applyFill="1" applyBorder="1"/>
    <xf numFmtId="49" fontId="24" fillId="0" borderId="0" xfId="2" applyNumberFormat="1" applyFont="1" applyAlignment="1">
      <alignment horizontal="center" vertical="center"/>
    </xf>
    <xf numFmtId="0" fontId="23" fillId="0" borderId="0" xfId="3"/>
    <xf numFmtId="49" fontId="21" fillId="0" borderId="0" xfId="2" applyNumberFormat="1" applyFont="1" applyAlignment="1">
      <alignment horizontal="center" vertical="center"/>
    </xf>
    <xf numFmtId="0" fontId="14" fillId="6" borderId="10" xfId="1" applyFont="1" applyFill="1" applyBorder="1" applyAlignment="1">
      <alignment horizontal="center" vertical="top" wrapText="1"/>
    </xf>
    <xf numFmtId="0" fontId="0" fillId="0" borderId="3" xfId="0" applyBorder="1"/>
    <xf numFmtId="0" fontId="0" fillId="0" borderId="4" xfId="0" applyBorder="1"/>
    <xf numFmtId="0" fontId="14" fillId="4" borderId="10" xfId="1" applyFont="1" applyFill="1" applyBorder="1" applyAlignment="1">
      <alignment horizontal="left" vertical="center" wrapText="1" indent="2"/>
    </xf>
    <xf numFmtId="0" fontId="0" fillId="0" borderId="11" xfId="0" applyBorder="1"/>
    <xf numFmtId="0" fontId="13" fillId="4" borderId="10" xfId="1" applyFont="1" applyFill="1" applyBorder="1" applyAlignment="1">
      <alignment horizontal="center" vertical="center" wrapText="1"/>
    </xf>
    <xf numFmtId="0" fontId="13" fillId="4" borderId="10" xfId="1" applyFont="1" applyFill="1" applyBorder="1" applyAlignment="1">
      <alignment horizontal="left" vertical="center" wrapText="1" indent="3"/>
    </xf>
    <xf numFmtId="0" fontId="9" fillId="3" borderId="10" xfId="1" applyFont="1" applyFill="1" applyBorder="1" applyAlignment="1">
      <alignment horizontal="center" vertical="center" wrapText="1"/>
    </xf>
    <xf numFmtId="0" fontId="13" fillId="4" borderId="10" xfId="1" applyFont="1" applyFill="1" applyBorder="1" applyAlignment="1">
      <alignment horizontal="left" vertical="center" wrapText="1" indent="4"/>
    </xf>
    <xf numFmtId="0" fontId="13" fillId="4" borderId="10" xfId="1" applyFont="1" applyFill="1" applyBorder="1" applyAlignment="1">
      <alignment horizontal="left" vertical="center" wrapText="1" indent="2"/>
    </xf>
    <xf numFmtId="0" fontId="13" fillId="4" borderId="10" xfId="1" applyFont="1" applyFill="1" applyBorder="1" applyAlignment="1">
      <alignment horizontal="left" vertical="top" wrapText="1"/>
    </xf>
    <xf numFmtId="0" fontId="10" fillId="0" borderId="10" xfId="1" applyFont="1" applyBorder="1" applyAlignment="1">
      <alignment horizontal="center" vertical="top" wrapText="1"/>
    </xf>
    <xf numFmtId="0" fontId="0" fillId="0" borderId="1" xfId="0" applyBorder="1"/>
    <xf numFmtId="0" fontId="0" fillId="0" borderId="2" xfId="0" applyBorder="1"/>
    <xf numFmtId="0" fontId="0" fillId="0" borderId="5" xfId="0" applyBorder="1"/>
    <xf numFmtId="0" fontId="7" fillId="0" borderId="0" xfId="1" applyAlignment="1">
      <alignment horizontal="left" vertical="top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4" fillId="5" borderId="10" xfId="1" applyFont="1" applyFill="1" applyBorder="1" applyAlignment="1">
      <alignment horizontal="center" vertical="top" wrapText="1"/>
    </xf>
    <xf numFmtId="0" fontId="8" fillId="0" borderId="10" xfId="1" applyFont="1" applyBorder="1" applyAlignment="1">
      <alignment horizontal="left" vertical="center" wrapText="1" indent="23"/>
    </xf>
    <xf numFmtId="0" fontId="11" fillId="0" borderId="10" xfId="1" applyFont="1" applyBorder="1" applyAlignment="1">
      <alignment horizontal="left" vertical="top" wrapText="1"/>
    </xf>
    <xf numFmtId="0" fontId="13" fillId="4" borderId="10" xfId="1" applyFont="1" applyFill="1" applyBorder="1" applyAlignment="1">
      <alignment horizontal="left" vertical="top" wrapText="1" indent="5"/>
    </xf>
    <xf numFmtId="0" fontId="13" fillId="4" borderId="10" xfId="1" applyFont="1" applyFill="1" applyBorder="1" applyAlignment="1">
      <alignment horizontal="left" vertical="center" wrapText="1" indent="1"/>
    </xf>
    <xf numFmtId="0" fontId="8" fillId="0" borderId="10" xfId="1" applyFont="1" applyBorder="1" applyAlignment="1">
      <alignment horizontal="left" wrapText="1" indent="1"/>
    </xf>
    <xf numFmtId="0" fontId="40" fillId="0" borderId="0" xfId="0" applyFont="1" applyFill="1"/>
    <xf numFmtId="0" fontId="40" fillId="0" borderId="0" xfId="0" applyFont="1" applyFill="1" applyAlignment="1">
      <alignment vertical="top"/>
    </xf>
    <xf numFmtId="0" fontId="2" fillId="0" borderId="0" xfId="0" applyFont="1" applyFill="1" applyAlignment="1">
      <alignment vertical="top"/>
    </xf>
    <xf numFmtId="0" fontId="41" fillId="0" borderId="0" xfId="0" applyFont="1" applyFill="1" applyAlignment="1">
      <alignment vertical="top"/>
    </xf>
    <xf numFmtId="0" fontId="3" fillId="0" borderId="0" xfId="0" applyFont="1" applyFill="1" applyAlignment="1">
      <alignment vertical="top"/>
    </xf>
    <xf numFmtId="0" fontId="2" fillId="0" borderId="0" xfId="0" applyFont="1" applyFill="1" applyAlignment="1">
      <alignment horizontal="left"/>
    </xf>
    <xf numFmtId="0" fontId="41" fillId="0" borderId="0" xfId="0" applyFont="1" applyFill="1"/>
    <xf numFmtId="0" fontId="40" fillId="0" borderId="0" xfId="0" applyFont="1" applyFill="1" applyAlignment="1">
      <alignment horizontal="left"/>
    </xf>
    <xf numFmtId="0" fontId="40" fillId="0" borderId="0" xfId="0" applyFont="1" applyFill="1" applyAlignment="1">
      <alignment horizontal="right"/>
    </xf>
    <xf numFmtId="0" fontId="55" fillId="0" borderId="0" xfId="0" applyFont="1" applyFill="1" applyAlignment="1">
      <alignment vertical="top"/>
    </xf>
    <xf numFmtId="0" fontId="40" fillId="0" borderId="0" xfId="0" applyFont="1" applyFill="1" applyAlignment="1">
      <alignment vertical="top" wrapText="1"/>
    </xf>
    <xf numFmtId="0" fontId="40" fillId="0" borderId="0" xfId="0" quotePrefix="1" applyFont="1" applyFill="1"/>
    <xf numFmtId="0" fontId="40" fillId="0" borderId="0" xfId="0" applyFont="1" applyFill="1" applyBorder="1"/>
    <xf numFmtId="0" fontId="40" fillId="0" borderId="13" xfId="0" applyFont="1" applyFill="1" applyBorder="1"/>
  </cellXfs>
  <cellStyles count="11">
    <cellStyle name="Good 2" xfId="8" xr:uid="{00000000-0005-0000-0000-000008000000}"/>
    <cellStyle name="Normal" xfId="0" builtinId="0"/>
    <cellStyle name="Normal 2" xfId="1" xr:uid="{00000000-0005-0000-0000-000001000000}"/>
    <cellStyle name="Normal 2 2" xfId="4" xr:uid="{00000000-0005-0000-0000-000004000000}"/>
    <cellStyle name="Normal 2 3" xfId="10" xr:uid="{00000000-0005-0000-0000-00000A000000}"/>
    <cellStyle name="Normal 3" xfId="3" xr:uid="{00000000-0005-0000-0000-000003000000}"/>
    <cellStyle name="Percent 2" xfId="9" xr:uid="{00000000-0005-0000-0000-000009000000}"/>
    <cellStyle name="Standard_Arm_384" xfId="6" xr:uid="{00000000-0005-0000-0000-000006000000}"/>
    <cellStyle name="Standard_MSR_List_Polen_V1" xfId="2" xr:uid="{00000000-0005-0000-0000-000002000000}"/>
    <cellStyle name="Standard_PLT_383_ZI-0018093 - List of  Process Control Functions" xfId="5" xr:uid="{00000000-0005-0000-0000-000005000000}"/>
    <cellStyle name="Standard_Tabelle1" xfId="7" xr:uid="{00000000-0005-0000-0000-000007000000}"/>
  </cellStyles>
  <dxfs count="193"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auto="1"/>
        </patternFill>
      </fill>
      <alignment horizontal="general" vertical="top"/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scheme val="minor"/>
      </font>
      <fill>
        <patternFill patternType="none">
          <fgColor indexed="64"/>
          <bgColor auto="1"/>
        </patternFill>
      </fill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auto="1"/>
        </patternFill>
      </fill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auto="1"/>
        </patternFill>
      </fill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auto="1"/>
        </patternFill>
      </fill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auto="1"/>
        </patternFill>
      </fill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auto="1"/>
        </patternFill>
      </fill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auto="1"/>
        </patternFill>
      </fill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auto="1"/>
        </patternFill>
      </fill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auto="1"/>
        </patternFill>
      </fill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auto="1"/>
        </patternFill>
      </fill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auto="1"/>
        </patternFill>
      </fill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auto="1"/>
        </patternFill>
      </fill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auto="1"/>
        </patternFill>
      </fill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auto="1"/>
        </patternFill>
      </fill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color auto="1"/>
        <name val="Aptos Narrow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auto="1"/>
        </patternFill>
      </fill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auto="1"/>
        </patternFill>
      </fill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auto="1"/>
        </patternFill>
      </fill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auto="1"/>
        </patternFill>
      </fill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auto="1"/>
        </patternFill>
      </fill>
    </dxf>
    <dxf>
      <font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minor"/>
      </font>
      <fill>
        <patternFill patternType="none">
          <fgColor indexed="64"/>
          <bgColor auto="1"/>
        </patternFill>
      </fill>
    </dxf>
    <dxf>
      <fill>
        <patternFill>
          <fgColor indexed="64"/>
          <bgColor indexed="65"/>
        </patternFill>
      </fill>
    </dxf>
    <dxf>
      <fill>
        <patternFill>
          <fgColor indexed="64"/>
          <bgColor indexed="65"/>
        </patternFill>
      </fill>
      <alignment horizontal="right" vertical="bottom"/>
    </dxf>
    <dxf>
      <font>
        <strike val="0"/>
        <condense val="0"/>
        <extend val="0"/>
        <outline val="0"/>
        <shadow val="0"/>
        <vertAlign val="baseline"/>
        <sz val="12"/>
        <color theme="1"/>
        <name val="Aptos Narrow"/>
        <family val="2"/>
        <scheme val="minor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2"/>
        <color theme="1"/>
        <name val="Aptos Narrow"/>
        <family val="2"/>
        <scheme val="minor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2"/>
        <color theme="1"/>
        <name val="Aptos Narrow"/>
        <family val="2"/>
        <scheme val="minor"/>
      </font>
      <numFmt numFmtId="0" formatCode="General"/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indexed="65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indexed="65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indexed="65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indexed="65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indexed="65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indexed="65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fill>
        <patternFill>
          <fgColor indexed="64"/>
          <bgColor auto="1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fill>
        <patternFill>
          <fgColor indexed="64"/>
          <bgColor auto="1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fill>
        <patternFill>
          <fgColor indexed="64"/>
          <bgColor auto="1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fill>
        <patternFill>
          <fgColor indexed="64"/>
          <bgColor auto="1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fill>
        <patternFill>
          <fgColor indexed="64"/>
          <bgColor auto="1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fill>
        <patternFill>
          <fgColor indexed="64"/>
          <bgColor auto="1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fill>
        <patternFill>
          <fgColor indexed="64"/>
          <bgColor auto="1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fill>
        <patternFill>
          <fgColor indexed="64"/>
          <bgColor auto="1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fill>
        <patternFill>
          <fgColor indexed="64"/>
          <bgColor auto="1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fill>
        <patternFill>
          <fgColor indexed="64"/>
          <bgColor auto="1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numFmt numFmtId="30" formatCode="@"/>
      <fill>
        <patternFill>
          <fgColor indexed="64"/>
          <bgColor indexed="65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numFmt numFmtId="30" formatCode="@"/>
      <fill>
        <patternFill>
          <fgColor indexed="64"/>
          <bgColor auto="1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numFmt numFmtId="30" formatCode="@"/>
      <fill>
        <patternFill>
          <fgColor indexed="64"/>
          <bgColor auto="1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numFmt numFmtId="30" formatCode="@"/>
      <fill>
        <patternFill>
          <fgColor indexed="64"/>
          <bgColor auto="1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numFmt numFmtId="30" formatCode="@"/>
      <fill>
        <patternFill>
          <fgColor indexed="64"/>
          <bgColor auto="1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numFmt numFmtId="30" formatCode="@"/>
      <fill>
        <patternFill>
          <fgColor indexed="64"/>
          <bgColor auto="1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fill>
        <patternFill>
          <fgColor indexed="64"/>
          <bgColor indexed="65"/>
        </patternFill>
      </fill>
      <alignment horizontal="general" vertical="center"/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numFmt numFmtId="0" formatCode="General"/>
      <fill>
        <patternFill>
          <fgColor indexed="64"/>
          <bgColor auto="1"/>
        </patternFill>
      </fill>
      <alignment horizontal="general" vertical="center"/>
    </dxf>
    <dxf>
      <border outline="0">
        <left style="thin">
          <color indexed="64"/>
        </left>
        <right style="thin">
          <color indexed="64"/>
        </right>
        <bottom style="hair">
          <color indexed="64"/>
        </bottom>
      </border>
    </dxf>
    <dxf>
      <fill>
        <patternFill>
          <fgColor indexed="64"/>
          <bgColor auto="1"/>
        </patternFill>
      </fill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fill>
        <patternFill>
          <fgColor indexed="64"/>
          <bgColor auto="1"/>
        </patternFill>
      </fill>
      <alignment horizontal="general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26" Type="http://schemas.openxmlformats.org/officeDocument/2006/relationships/externalLink" Target="externalLinks/externalLink9.xml"/><Relationship Id="rId21" Type="http://schemas.openxmlformats.org/officeDocument/2006/relationships/externalLink" Target="externalLinks/externalLink4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8.xml"/><Relationship Id="rId3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3.xml"/><Relationship Id="rId29" Type="http://schemas.openxmlformats.org/officeDocument/2006/relationships/externalLink" Target="externalLinks/externalLink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7.xml"/><Relationship Id="rId32" Type="http://schemas.openxmlformats.org/officeDocument/2006/relationships/externalLink" Target="externalLinks/externalLink15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6.xml"/><Relationship Id="rId28" Type="http://schemas.openxmlformats.org/officeDocument/2006/relationships/externalLink" Target="externalLinks/externalLink11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31" Type="http://schemas.openxmlformats.org/officeDocument/2006/relationships/externalLink" Target="externalLinks/externalLink1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5.xml"/><Relationship Id="rId27" Type="http://schemas.openxmlformats.org/officeDocument/2006/relationships/externalLink" Target="externalLinks/externalLink10.xml"/><Relationship Id="rId30" Type="http://schemas.openxmlformats.org/officeDocument/2006/relationships/externalLink" Target="externalLinks/externalLink13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370952</xdr:colOff>
      <xdr:row>0</xdr:row>
      <xdr:rowOff>70104</xdr:rowOff>
    </xdr:from>
    <xdr:ext cx="1221630" cy="780287"/>
    <xdr:pic>
      <xdr:nvPicPr>
        <xdr:cNvPr id="2" name="image1.jpeg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0952" y="70104"/>
          <a:ext cx="1221630" cy="780287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13</xdr:col>
      <xdr:colOff>1240282</xdr:colOff>
      <xdr:row>0</xdr:row>
      <xdr:rowOff>48768</xdr:rowOff>
    </xdr:from>
    <xdr:ext cx="1415796" cy="530351"/>
    <xdr:pic>
      <xdr:nvPicPr>
        <xdr:cNvPr id="3" name="image2.png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4448282" y="48768"/>
          <a:ext cx="1415796" cy="530351"/>
        </a:xfrm>
        <a:prstGeom prst="rect">
          <a:avLst/>
        </a:prstGeom>
        <a:ln>
          <a:prstDash val="solid"/>
        </a:ln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C-TTH-EXT-18-014-B00HuntsmanSSU-VE/04IPE/03_PROJECT%20DOCUMENT/02_PROCESS/1-%20CALCULATION%20SHEET/04-R103%20head%20tracing/SSU-CAL-DD-PR-B1-PL-9001_R00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DATASHT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2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3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4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5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/Source/70DS018a%20PCV1200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APUMP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6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WATERFALL/sld/docs%20and%20dwg%20recd%20frm%20other%20dept/Electrical%20Lod%20list%20REV%20A%2022.05.12%20from%20meg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7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8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/Arne/DISCP/WORKING/PR/DATA/UDS/CHEM_INJ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9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RecoveredExternalLink1"/>
    </sheetNames>
    <definedNames>
      <definedName name="AboutApp" refersTo="#REF!"/>
      <definedName name="CopyProject" refersTo="#REF!"/>
      <definedName name="NewProject" refersTo="#REF!"/>
      <definedName name="OpenProject" refersTo="#REF!"/>
    </definedNames>
    <sheetDataSet>
      <sheetData sheetId="0" refreshError="1"/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2"/>
      <sheetName val="df"/>
      <sheetName val="un"/>
      <sheetName val="3"/>
      <sheetName val="4"/>
      <sheetName val="a"/>
      <sheetName val="b"/>
      <sheetName val="Sheet1"/>
    </sheetNames>
    <sheetDataSet>
      <sheetData sheetId="0"/>
      <sheetData sheetId="1"/>
      <sheetData sheetId="2">
        <row r="18">
          <cell r="K18">
            <v>0.4</v>
          </cell>
        </row>
        <row r="19">
          <cell r="K19">
            <v>2</v>
          </cell>
        </row>
        <row r="49">
          <cell r="L49">
            <v>2E-3</v>
          </cell>
        </row>
        <row r="50">
          <cell r="G50">
            <v>417000000</v>
          </cell>
        </row>
        <row r="52">
          <cell r="L52">
            <v>284</v>
          </cell>
        </row>
        <row r="53">
          <cell r="L53">
            <v>71.599999999999994</v>
          </cell>
        </row>
        <row r="54">
          <cell r="L54">
            <v>6.5616797900000003</v>
          </cell>
        </row>
        <row r="55">
          <cell r="G55">
            <v>0.08</v>
          </cell>
        </row>
      </sheetData>
      <sheetData sheetId="3">
        <row r="7">
          <cell r="K7">
            <v>71.599999999999994</v>
          </cell>
        </row>
        <row r="8">
          <cell r="K8">
            <v>76.599999999999994</v>
          </cell>
        </row>
        <row r="9">
          <cell r="K9">
            <v>5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SHT"/>
      <sheetName val="MH Compensate-Nov"/>
      <sheetName val="Sheet3"/>
      <sheetName val="AD ST"/>
      <sheetName val="loaddata"/>
      <sheetName val="SPEC SHEET"/>
      <sheetName val="Macro1"/>
      <sheetName val="NOTES"/>
      <sheetName val="SPEC"/>
      <sheetName val="Equipment List"/>
      <sheetName val="MH(on site)"/>
      <sheetName val="DATASHT.XLS"/>
      <sheetName val="REINF."/>
      <sheetName val="SKETCH"/>
      <sheetName val="LOADS"/>
      <sheetName val="CHECK1"/>
      <sheetName val="#REF"/>
      <sheetName val="jobhist"/>
      <sheetName val="373A"/>
      <sheetName val="SV"/>
      <sheetName val="NOISE"/>
      <sheetName val="SPEC_SHEET"/>
      <sheetName val="MH_Compensate-Nov"/>
      <sheetName val="AD_ST"/>
      <sheetName val="MH(on_site)"/>
      <sheetName val="DATASHT_XLS"/>
      <sheetName val="Equipment_List"/>
      <sheetName val="SPEC_SHEET1"/>
      <sheetName val="MH_Compensate-Nov1"/>
      <sheetName val="AD_ST1"/>
      <sheetName val="MH(on_site)1"/>
      <sheetName val="DATASHT_XLS1"/>
      <sheetName val="Equipment_List1"/>
      <sheetName val="SPEC_SHEET2"/>
      <sheetName val="MH_Compensate-Nov2"/>
      <sheetName val="AD_ST2"/>
      <sheetName val="MH(on_site)2"/>
      <sheetName val="DATASHT_XLS2"/>
      <sheetName val="Equipment_List2"/>
    </sheetNames>
    <definedNames>
      <definedName name="Back"/>
      <definedName name="DropData"/>
      <definedName name="Fitting2"/>
      <definedName name="Fittings"/>
      <definedName name="NewLiquid"/>
      <definedName name="NewVapor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OOKST"/>
      <sheetName val="RecoveredExternalLink2"/>
    </sheetNames>
    <definedNames>
      <definedName name="BringUserToAboutSheet" refersTo="#REF!"/>
      <definedName name="BringUserToCode" refersTo="#REF!"/>
      <definedName name="StartChart" refersTo="#REF!"/>
      <definedName name="StartSeller" refersTo="#REF!"/>
    </definedNames>
    <sheetDataSet>
      <sheetData sheetId="0" refreshError="1"/>
      <sheetData sheetId="1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NELIST"/>
      <sheetName val="Infra Sum"/>
      <sheetName val="SPEC SHEET"/>
      <sheetName val="Macro1"/>
      <sheetName val="AD ST"/>
      <sheetName val="contactor"/>
      <sheetName val="PLANT"/>
      <sheetName val="INSTRUMENT"/>
      <sheetName val="SpecITEM"/>
      <sheetName val="LINE_Sc"/>
      <sheetName val="MOTOR"/>
      <sheetName val="MH Compensate-Nov"/>
      <sheetName val="NOTES"/>
      <sheetName val="MH(on site)"/>
      <sheetName val="计算稿"/>
      <sheetName val="Sheet1"/>
      <sheetName val="LINELIST.XLS"/>
      <sheetName val="HVAC EQUIPMENT"/>
      <sheetName val="钢筋重量表库"/>
      <sheetName val="PVC"/>
      <sheetName val="XLPE"/>
      <sheetName val="Process Equipment"/>
      <sheetName val="AD_ST"/>
      <sheetName val="Infra_Sum"/>
      <sheetName val="SPEC_SHEET"/>
      <sheetName val="MH_Compensate-Nov"/>
      <sheetName val="LINELIST_XLS"/>
      <sheetName val="AD_ST1"/>
      <sheetName val="Infra_Sum1"/>
      <sheetName val="SPEC_SHEET1"/>
      <sheetName val="MH_Compensate-Nov1"/>
      <sheetName val="LINELIST_XLS1"/>
      <sheetName val="AD_ST2"/>
      <sheetName val="Infra_Sum2"/>
      <sheetName val="SPEC_SHEET2"/>
      <sheetName val="MH_Compensate-Nov2"/>
      <sheetName val="LINELIST_XLS2"/>
      <sheetName val="海盐加工装置"/>
      <sheetName val="内外控制表"/>
      <sheetName val="RecoveredExternalLink3"/>
    </sheetNames>
    <definedNames>
      <definedName name="Cancel"/>
      <definedName name="selectDia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hase II"/>
      <sheetName val="standard list"/>
      <sheetName val="phase I"/>
      <sheetName val="loaddata"/>
      <sheetName val="cable"/>
      <sheetName val="contactor"/>
      <sheetName val="lightning"/>
      <sheetName val="equipmentlist"/>
      <sheetName val="cableselection"/>
      <sheetName val="DOCLIST"/>
      <sheetName val="OD"/>
      <sheetName val="sheet1"/>
      <sheetName val="Sheet2"/>
      <sheetName val="Sheet3"/>
      <sheetName val="PLANT"/>
      <sheetName val="INSTRUMENT"/>
      <sheetName val="SpecITEM"/>
      <sheetName val="LINE_Sc"/>
      <sheetName val="MOTOR"/>
      <sheetName val="Harding+SATS-07"/>
      <sheetName val="ERDP7AV3"/>
      <sheetName val="ELEC"/>
      <sheetName val="G.1R-Shou COP Gf"/>
      <sheetName val="AD ST"/>
      <sheetName val="MH Compensate-Nov"/>
      <sheetName val="CTRs (HOURS) "/>
      <sheetName val="NOTES"/>
      <sheetName val="MH(on site)"/>
      <sheetName val="#REF!"/>
      <sheetName val="计算稿"/>
      <sheetName val="SPEC SHEET"/>
      <sheetName val="RFP012"/>
      <sheetName val="C5-201-CB-Concrete"/>
      <sheetName val="C5-201-TB-Concrete"/>
      <sheetName val="C5-271-TB-IW"/>
      <sheetName val="C5-212-CB-EW"/>
      <sheetName val="C5-224-CB-Roof"/>
      <sheetName val="C5-231-CB-Earthing"/>
      <sheetName val="C5-271-CB-IW"/>
      <sheetName val="C5-281-CB-FF "/>
      <sheetName val="C5-282-CB-IWF"/>
      <sheetName val="C5-283-CB-CF"/>
      <sheetName val="C5-CB Provisional"/>
      <sheetName val="C5-212-TB-EW"/>
      <sheetName val="C5-213-TB-Steel"/>
      <sheetName val="C5-224-TB-Roof"/>
      <sheetName val="C5-231-TB-Earthing"/>
      <sheetName val="C5-281-TB-FF"/>
      <sheetName val="C5-282-TB-IWF"/>
      <sheetName val="C5-283-TB-CF"/>
      <sheetName val="C5-coordinate"/>
      <sheetName val="C5-TB-Option"/>
      <sheetName val="C5 Provisional"/>
      <sheetName val="C5-200-Prelims"/>
      <sheetName val="C5-200-HSE"/>
      <sheetName val="多媒体查询"/>
      <sheetName val="中心机房"/>
      <sheetName val="会议"/>
      <sheetName val="公共广播"/>
      <sheetName val="停车场"/>
      <sheetName val="PDS"/>
      <sheetName val="移动通信"/>
      <sheetName val="BA"/>
      <sheetName val="物业"/>
      <sheetName val="防雷接地"/>
      <sheetName val="Open"/>
      <sheetName val="Labor Rates"/>
      <sheetName val="loaddt2"/>
      <sheetName val="明细表 "/>
      <sheetName val="Summary"/>
      <sheetName val="RFP002"/>
      <sheetName val="C11-2(103)-Prelims"/>
      <sheetName val="Summary "/>
      <sheetName val="Process Piping"/>
      <sheetName val="lookups"/>
      <sheetName val="Lagerhalle"/>
      <sheetName val="加压气化606ab工艺综合单价分析表"/>
      <sheetName val="3"/>
      <sheetName val="140TT447"/>
      <sheetName val="工业炉"/>
      <sheetName val="04暖通"/>
      <sheetName val="Area"/>
      <sheetName val="resu"/>
      <sheetName val="373A"/>
      <sheetName val="SPEC"/>
      <sheetName val="Estimate Details"/>
      <sheetName val="合成単価作成表-BLDG"/>
      <sheetName val="10 barg Steam_Cond"/>
      <sheetName val="mesc"/>
      <sheetName val="April"/>
      <sheetName val="CFS3"/>
      <sheetName val="Pricing"/>
      <sheetName val="GPP"/>
      <sheetName val="Rate"/>
      <sheetName val="Macro1"/>
      <sheetName val="P1260Projected.5700 Detail"/>
      <sheetName val="P852.5000 Detail"/>
      <sheetName val="P854.5000 Detail"/>
      <sheetName val="P856.5000 Detail"/>
      <sheetName val="P858.5000 Detail"/>
      <sheetName val="P860Baseline.5000 Detail"/>
      <sheetName val="401_1"/>
      <sheetName val="401_2"/>
      <sheetName val="401_3"/>
      <sheetName val="401_4"/>
      <sheetName val="401_5"/>
      <sheetName val="401_7"/>
      <sheetName val="Cover Sheet"/>
      <sheetName val="code"/>
      <sheetName val="Piping ClASS"/>
      <sheetName val="Pull-Down Menus"/>
      <sheetName val="utility"/>
      <sheetName val="Register"/>
      <sheetName val="PB for Mapping"/>
      <sheetName val="Project Data Page"/>
      <sheetName val="LINE LIST"/>
      <sheetName val="PVC"/>
      <sheetName val="XLPE"/>
      <sheetName val="Fee Rate Summary"/>
      <sheetName val="LEGEND"/>
      <sheetName val="Details"/>
      <sheetName val="Insulation"/>
      <sheetName val="Piping&amp;Valve Code"/>
      <sheetName val="Painting"/>
      <sheetName val="703r"/>
      <sheetName val="702r"/>
      <sheetName val="Dropdown LISTs"/>
      <sheetName val="Overall"/>
      <sheetName val="110TE001"/>
      <sheetName val="Sum"/>
      <sheetName val="A"/>
      <sheetName val="MhrCost Data"/>
      <sheetName val="Process Equipment"/>
      <sheetName val="電気設備表"/>
      <sheetName val="CIV-DWG-ADA"/>
      <sheetName val="CIV-DOC-ADA"/>
      <sheetName val="基本设置"/>
      <sheetName val="Cover"/>
      <sheetName val="SPE-FJB-001"/>
      <sheetName val="SPE-FJB-101"/>
      <sheetName val="SPE-FJB-102"/>
      <sheetName val="SPE-FJB-201"/>
      <sheetName val="SPE-FJB-202"/>
      <sheetName val="SPE-FJB-203"/>
      <sheetName val="SPE-FJB-301"/>
      <sheetName val="SPE-FJB-302"/>
      <sheetName val="SPE-FJB-401"/>
      <sheetName val="SPE-FJB-402"/>
      <sheetName val="MCJB"/>
      <sheetName val="GDS"/>
      <sheetName val="无接线箱"/>
      <sheetName val="RFP003B-Piping"/>
      <sheetName val="B-1100C触媒量"/>
      <sheetName val="XLR_NoRangeSheet"/>
      <sheetName val="SP"/>
      <sheetName val="海盐加工装置"/>
      <sheetName val="内外控制表"/>
      <sheetName val="材料"/>
      <sheetName val="安装指标库"/>
      <sheetName val="表三甲"/>
      <sheetName val="万元指标1"/>
      <sheetName val="Units"/>
      <sheetName val="Input"/>
      <sheetName val="Data Storage"/>
      <sheetName val="CPS"/>
      <sheetName val="Contingency"/>
      <sheetName val="Cash Flow Data"/>
      <sheetName val="plOMBA"/>
      <sheetName val="plProject Info"/>
      <sheetName val="Spec-Face"/>
      <sheetName val="TDS_1"/>
      <sheetName val="2"/>
      <sheetName val="4"/>
      <sheetName val="Quotation"/>
      <sheetName val="Spec."/>
      <sheetName val="Final Price"/>
      <sheetName val="Deviation"/>
      <sheetName val="Data"/>
      <sheetName val="Project Data"/>
      <sheetName val="Electr"/>
      <sheetName val="Services"/>
      <sheetName val="Instrum"/>
      <sheetName val="Training"/>
      <sheetName val="TankMetallic"/>
      <sheetName val="CAL."/>
      <sheetName val="Factor"/>
      <sheetName val="eqplist"/>
      <sheetName val="ΔVp &amp; Ω"/>
      <sheetName val="변수"/>
      <sheetName val="Connections"/>
      <sheetName val="DWTables"/>
      <sheetName val="Mech"/>
      <sheetName val="Page 1"/>
      <sheetName val="Database"/>
      <sheetName val="Calc"/>
      <sheetName val="CmpName"/>
      <sheetName val="Template"/>
      <sheetName val="Functions"/>
      <sheetName val="Main"/>
      <sheetName val="Camey"/>
      <sheetName val="Safety Stock"/>
      <sheetName val="蒸汽安全阀计算模板"/>
      <sheetName val="UOP"/>
      <sheetName val="总概"/>
      <sheetName val="综合运费"/>
      <sheetName val="初始化表格"/>
      <sheetName val="基础表格"/>
      <sheetName val="300 Instrumentation "/>
      <sheetName val="PV.00001"/>
      <sheetName val="Concrete Properties"/>
      <sheetName val="Page 3"/>
      <sheetName val="Page 2"/>
      <sheetName val="Page 4"/>
      <sheetName val="Page 5"/>
      <sheetName val="Page 7"/>
      <sheetName val="Page 8"/>
      <sheetName val="Page 9"/>
      <sheetName val="Page 10"/>
      <sheetName val="Page 11"/>
      <sheetName val="Page 6"/>
      <sheetName val="Insulation Code"/>
      <sheetName val="Pipe Class"/>
      <sheetName val="Painting Code"/>
      <sheetName val="Routing"/>
      <sheetName val="Special Item MTO"/>
      <sheetName val="评价基础数据表一"/>
      <sheetName val="固定资产投资估算计算表"/>
      <sheetName val="投资计划与资金筹措表"/>
      <sheetName val="Sammary"/>
      <sheetName val="Design - Agitators"/>
      <sheetName val="Design - All Equip"/>
      <sheetName val="Design - Exchangers"/>
      <sheetName val="Design - Pumps"/>
      <sheetName val="Design - Towers"/>
      <sheetName val="Design - Vacuum"/>
      <sheetName val="Design - Vessels"/>
      <sheetName val="List - Motors"/>
      <sheetName val="Equip COA Sumry"/>
      <sheetName val="Equip COA Grp Sumry"/>
      <sheetName val="AG Pipe Qty Analysis"/>
      <sheetName val="Pipe Line List"/>
      <sheetName val="Pipe COA Sumry"/>
      <sheetName val="Pipe Item Dets"/>
      <sheetName val="Pipe Item Sumry"/>
      <sheetName val="Civil COA Sumry"/>
      <sheetName val="Civil Item Dets"/>
      <sheetName val="Civil Item Sumry"/>
      <sheetName val="Steel COA Sumry"/>
      <sheetName val="Steel COA Grp Sumry"/>
      <sheetName val="Steel Item Dets"/>
      <sheetName val="Steel Item Sumry"/>
      <sheetName val="Inst COA Sumry"/>
      <sheetName val="Inst Item Dets"/>
      <sheetName val="Inst Item Sumry"/>
      <sheetName val="Elec COA Sumry"/>
      <sheetName val="Elec Item Dets"/>
      <sheetName val="Elec Item Sumry"/>
      <sheetName val="Insul COA Sumry"/>
      <sheetName val="Insul Item Dets"/>
      <sheetName val="Insul Item Sumry"/>
      <sheetName val="Paint COA Sumry"/>
      <sheetName val="Paint Item Dets"/>
      <sheetName val="Paint Item Sumry"/>
      <sheetName val="取费表"/>
      <sheetName val="武汉丁二烯静止设备"/>
      <sheetName val="价差测算"/>
      <sheetName val="参数表"/>
      <sheetName val="Summary_by_Unit"/>
      <sheetName val="Equipment Cost Split"/>
      <sheetName val="Summary  WPC_OLD"/>
      <sheetName val="Process"/>
      <sheetName val="計算本体2"/>
      <sheetName val="线槽价格计算表"/>
      <sheetName val="#REF"/>
      <sheetName val="Base"/>
      <sheetName val="价目表"/>
      <sheetName val="07 LSC only"/>
      <sheetName val="07 PBS Only"/>
      <sheetName val="공사비SUM"/>
      <sheetName val="공문"/>
      <sheetName val="Datasheet"/>
      <sheetName val="Elect (3)"/>
      <sheetName val="CODE2"/>
      <sheetName val="生产成本和费用表"/>
      <sheetName val="资产负债表"/>
      <sheetName val="矿区使用费费率表"/>
      <sheetName val="固定资产投资估算表"/>
      <sheetName val="销售收入与销售税金及附加计算表"/>
      <sheetName val="SaveData"/>
      <sheetName val="损益表"/>
      <sheetName val="财务现金流量表(全部投资)"/>
      <sheetName val="财务现金流量表(自有资金)"/>
      <sheetName val="CAPEX"/>
      <sheetName val="Option Summary"/>
      <sheetName val="Definition"/>
      <sheetName val="SORTABLE ESTIMATE"/>
      <sheetName val="土建"/>
      <sheetName val="List - Components"/>
      <sheetName val="List - Equipment"/>
      <sheetName val="piping"/>
      <sheetName val="投资汇总"/>
      <sheetName val="投资"/>
      <sheetName val="综合概算"/>
      <sheetName val="土建取费"/>
      <sheetName val="中石化安装"/>
      <sheetName val="Master_Setup"/>
      <sheetName val="P. 2"/>
      <sheetName val="P. 3"/>
      <sheetName val="50 Piping_ Content Strut."/>
      <sheetName val="간접비내역-1"/>
      <sheetName val="总—标示"/>
      <sheetName val="报价单"/>
      <sheetName val="标示-次标示"/>
      <sheetName val="Change Order Details"/>
      <sheetName val="SOPMA DD"/>
      <sheetName val="镀锌构件"/>
      <sheetName val="CALCULATION"/>
      <sheetName val="for PPT"/>
      <sheetName val="sketch"/>
      <sheetName val="Pre-EPC CDI Manhour"/>
      <sheetName val="EPCM Manhour Estimate"/>
      <sheetName val="Total Sum"/>
      <sheetName val="phase_II"/>
      <sheetName val="standard_list"/>
      <sheetName val="phase_I"/>
      <sheetName val="G_1R-Shou_COP_Gf"/>
      <sheetName val="AD_ST"/>
      <sheetName val="MH_Compensate-Nov"/>
      <sheetName val="CTRs_(HOURS)_"/>
      <sheetName val="SPEC_SHEET"/>
      <sheetName val="明细表_"/>
      <sheetName val="C5-281-CB-FF_"/>
      <sheetName val="C5-CB_Provisional"/>
      <sheetName val="C5_Provisional"/>
      <sheetName val="MH(on_site)"/>
      <sheetName val="Labor_Rates"/>
      <sheetName val="Summary_"/>
      <sheetName val="Process_Piping"/>
      <sheetName val="Estimate_Details"/>
      <sheetName val="10_barg_Steam_Cond"/>
      <sheetName val="P1260Projected_5700_Detail"/>
      <sheetName val="P852_5000_Detail"/>
      <sheetName val="P854_5000_Detail"/>
      <sheetName val="P856_5000_Detail"/>
      <sheetName val="P858_5000_Detail"/>
      <sheetName val="P860Baseline_5000_Detail"/>
      <sheetName val="Cover_Sheet"/>
      <sheetName val="Pull-Down_Menus"/>
      <sheetName val="Piping_ClASS"/>
      <sheetName val="PB_for_Mapping"/>
      <sheetName val="Project_Data_Page"/>
      <sheetName val="LINE_LIST"/>
      <sheetName val="Fee_Rate_Summary"/>
      <sheetName val="2层"/>
      <sheetName val="墙板"/>
      <sheetName val="S-03"/>
      <sheetName val="B-03"/>
      <sheetName val="Control Summary"/>
      <sheetName val="steam jet ejector spec sheet"/>
      <sheetName val="Emp_Data"/>
      <sheetName val="Int Eng"/>
      <sheetName val="WBS"/>
      <sheetName val="name"/>
      <sheetName val="反応速度式検討"/>
      <sheetName val="Anlage 2"/>
      <sheetName val="2.0-A4"/>
    </sheetNames>
    <sheetDataSet>
      <sheetData sheetId="0">
        <row r="5">
          <cell r="A5">
            <v>0.25</v>
          </cell>
        </row>
      </sheetData>
      <sheetData sheetId="1">
        <row r="5">
          <cell r="A5">
            <v>0.25</v>
          </cell>
        </row>
      </sheetData>
      <sheetData sheetId="2">
        <row r="5">
          <cell r="A5">
            <v>0.25</v>
          </cell>
        </row>
      </sheetData>
      <sheetData sheetId="3">
        <row r="5">
          <cell r="A5">
            <v>0.25</v>
          </cell>
        </row>
      </sheetData>
      <sheetData sheetId="4">
        <row r="5">
          <cell r="A5">
            <v>0.25</v>
          </cell>
        </row>
      </sheetData>
      <sheetData sheetId="5" refreshError="1">
        <row r="5">
          <cell r="A5">
            <v>0.25</v>
          </cell>
          <cell r="B5">
            <v>0.82</v>
          </cell>
          <cell r="C5">
            <v>0.74</v>
          </cell>
          <cell r="D5">
            <v>0.7</v>
          </cell>
          <cell r="E5">
            <v>0.73</v>
          </cell>
          <cell r="F5" t="str">
            <v>3TF40-22</v>
          </cell>
          <cell r="G5">
            <v>10</v>
          </cell>
          <cell r="H5" t="str">
            <v>3UA50 40-1E</v>
          </cell>
          <cell r="I5" t="str">
            <v>2.5-4</v>
          </cell>
          <cell r="J5" t="str">
            <v>3VU1340-NJ00</v>
          </cell>
        </row>
        <row r="6">
          <cell r="A6">
            <v>0.37</v>
          </cell>
          <cell r="B6">
            <v>0.82</v>
          </cell>
          <cell r="C6">
            <v>0.76</v>
          </cell>
          <cell r="D6">
            <v>0.67</v>
          </cell>
          <cell r="E6">
            <v>0.68</v>
          </cell>
          <cell r="F6" t="str">
            <v>3TF40-22</v>
          </cell>
          <cell r="G6">
            <v>10</v>
          </cell>
          <cell r="H6" t="str">
            <v>3UA50 40-1E</v>
          </cell>
          <cell r="I6" t="str">
            <v>2.5-4</v>
          </cell>
          <cell r="J6" t="str">
            <v>3VU1340-NJ00</v>
          </cell>
        </row>
        <row r="7">
          <cell r="A7">
            <v>0.55000000000000004</v>
          </cell>
          <cell r="B7">
            <v>0.83</v>
          </cell>
          <cell r="C7">
            <v>0.77</v>
          </cell>
          <cell r="D7">
            <v>0.7</v>
          </cell>
          <cell r="E7">
            <v>0.73</v>
          </cell>
          <cell r="F7" t="str">
            <v>3TF40-22</v>
          </cell>
          <cell r="G7">
            <v>10</v>
          </cell>
          <cell r="H7" t="str">
            <v>3UA50 40-1E</v>
          </cell>
          <cell r="I7" t="str">
            <v>2.5-4</v>
          </cell>
          <cell r="J7" t="str">
            <v>3VU1340-NJ00</v>
          </cell>
        </row>
        <row r="8">
          <cell r="A8">
            <v>0.75</v>
          </cell>
          <cell r="B8">
            <v>0.86</v>
          </cell>
          <cell r="C8">
            <v>0.77</v>
          </cell>
          <cell r="D8">
            <v>0.75600000000000001</v>
          </cell>
          <cell r="E8">
            <v>0.75</v>
          </cell>
          <cell r="F8" t="str">
            <v>3TF40-22</v>
          </cell>
          <cell r="G8">
            <v>10</v>
          </cell>
          <cell r="H8" t="str">
            <v>3UA50 40-1E</v>
          </cell>
          <cell r="I8" t="str">
            <v>2.5-4</v>
          </cell>
          <cell r="J8" t="str">
            <v>3VU1340-NJ00</v>
          </cell>
        </row>
        <row r="9">
          <cell r="A9">
            <v>1.1000000000000001</v>
          </cell>
          <cell r="B9">
            <v>0.86</v>
          </cell>
          <cell r="C9">
            <v>0.81</v>
          </cell>
          <cell r="D9">
            <v>0.76600000000000001</v>
          </cell>
          <cell r="E9">
            <v>0.77</v>
          </cell>
          <cell r="F9" t="str">
            <v>3TF40-22</v>
          </cell>
          <cell r="G9">
            <v>16</v>
          </cell>
          <cell r="H9" t="str">
            <v>3UA50 40-1E</v>
          </cell>
          <cell r="I9" t="str">
            <v>2.5-4</v>
          </cell>
          <cell r="J9" t="str">
            <v>3VU1340-NJ00</v>
          </cell>
        </row>
        <row r="10">
          <cell r="A10">
            <v>1.5</v>
          </cell>
          <cell r="B10">
            <v>0.87</v>
          </cell>
          <cell r="C10">
            <v>0.82</v>
          </cell>
          <cell r="D10">
            <v>0.78500000000000003</v>
          </cell>
          <cell r="E10">
            <v>0.78</v>
          </cell>
          <cell r="F10" t="str">
            <v>3TF40-22</v>
          </cell>
          <cell r="G10">
            <v>16</v>
          </cell>
          <cell r="H10" t="str">
            <v>3UA50 40-1F</v>
          </cell>
          <cell r="I10" t="str">
            <v>3.2-5</v>
          </cell>
          <cell r="J10" t="str">
            <v>3VU1340-NK00</v>
          </cell>
        </row>
        <row r="11">
          <cell r="A11">
            <v>2.2000000000000002</v>
          </cell>
          <cell r="B11">
            <v>0.87</v>
          </cell>
          <cell r="C11">
            <v>0.82</v>
          </cell>
          <cell r="D11">
            <v>0.83</v>
          </cell>
          <cell r="E11">
            <v>0.81</v>
          </cell>
          <cell r="F11" t="str">
            <v>3TF40-22</v>
          </cell>
          <cell r="G11">
            <v>16</v>
          </cell>
          <cell r="H11" t="str">
            <v>3UA50 40-1G</v>
          </cell>
          <cell r="I11" t="str">
            <v>4-6.3</v>
          </cell>
          <cell r="J11" t="str">
            <v>3VU1340-NK00</v>
          </cell>
        </row>
        <row r="12">
          <cell r="A12">
            <v>3</v>
          </cell>
          <cell r="B12">
            <v>0.87</v>
          </cell>
          <cell r="C12">
            <v>0.82</v>
          </cell>
          <cell r="D12">
            <v>0.85</v>
          </cell>
          <cell r="E12">
            <v>0.82499999999999996</v>
          </cell>
          <cell r="F12" t="str">
            <v>3TF40-22</v>
          </cell>
          <cell r="G12">
            <v>20</v>
          </cell>
          <cell r="H12" t="str">
            <v>3UA50 40-1H</v>
          </cell>
          <cell r="I12" t="str">
            <v>5-8</v>
          </cell>
          <cell r="J12" t="str">
            <v>3VU1340-NK00</v>
          </cell>
        </row>
        <row r="13">
          <cell r="A13">
            <v>3.7</v>
          </cell>
          <cell r="B13">
            <v>0.88</v>
          </cell>
          <cell r="C13">
            <v>0.82</v>
          </cell>
          <cell r="D13">
            <v>0.85199999999999998</v>
          </cell>
          <cell r="E13">
            <v>0.83799999999999997</v>
          </cell>
          <cell r="F13" t="str">
            <v>3TF40-22</v>
          </cell>
          <cell r="G13">
            <v>20</v>
          </cell>
          <cell r="H13" t="str">
            <v>3UA50 40-1J</v>
          </cell>
          <cell r="I13" t="str">
            <v>6.3-10</v>
          </cell>
          <cell r="J13" t="str">
            <v>3VU1340-ML00</v>
          </cell>
        </row>
        <row r="14">
          <cell r="A14">
            <v>4</v>
          </cell>
          <cell r="B14">
            <v>0.88</v>
          </cell>
          <cell r="C14">
            <v>0.84</v>
          </cell>
          <cell r="D14">
            <v>0.85499999999999998</v>
          </cell>
          <cell r="E14">
            <v>0.85</v>
          </cell>
          <cell r="F14" t="str">
            <v>3TF40-22</v>
          </cell>
          <cell r="G14">
            <v>20</v>
          </cell>
          <cell r="H14" t="str">
            <v>3UA50 40-1J</v>
          </cell>
          <cell r="I14" t="str">
            <v>6.3-10</v>
          </cell>
          <cell r="J14" t="str">
            <v>3VU1340-ML00</v>
          </cell>
        </row>
        <row r="15">
          <cell r="A15">
            <v>5</v>
          </cell>
          <cell r="B15">
            <v>0.88</v>
          </cell>
          <cell r="C15">
            <v>0.84</v>
          </cell>
          <cell r="D15">
            <v>0.85499999999999998</v>
          </cell>
          <cell r="E15">
            <v>0.85</v>
          </cell>
          <cell r="F15" t="str">
            <v>3TF41-22</v>
          </cell>
          <cell r="G15">
            <v>32</v>
          </cell>
          <cell r="H15" t="str">
            <v>3UA50 40-1K</v>
          </cell>
          <cell r="I15" t="str">
            <v>8-12.5</v>
          </cell>
          <cell r="J15" t="str">
            <v>3VU1340-NL00</v>
          </cell>
        </row>
        <row r="16">
          <cell r="A16">
            <v>5.5</v>
          </cell>
          <cell r="B16">
            <v>0.88</v>
          </cell>
          <cell r="C16">
            <v>0.84</v>
          </cell>
          <cell r="D16">
            <v>0.87</v>
          </cell>
          <cell r="E16">
            <v>0.87</v>
          </cell>
          <cell r="F16" t="str">
            <v>3TF41-22</v>
          </cell>
          <cell r="G16">
            <v>32</v>
          </cell>
          <cell r="H16" t="str">
            <v>3UA52 40-2B</v>
          </cell>
          <cell r="I16" t="str">
            <v>12.5-20</v>
          </cell>
          <cell r="J16" t="str">
            <v>3VU1340-MN00</v>
          </cell>
        </row>
        <row r="17">
          <cell r="A17">
            <v>6.6</v>
          </cell>
          <cell r="B17">
            <v>0.88</v>
          </cell>
          <cell r="C17">
            <v>0.84</v>
          </cell>
          <cell r="D17">
            <v>0.87</v>
          </cell>
          <cell r="E17">
            <v>0.87</v>
          </cell>
          <cell r="F17" t="str">
            <v>3TF42-22</v>
          </cell>
          <cell r="G17">
            <v>40</v>
          </cell>
          <cell r="H17" t="str">
            <v>3UA52 40-2B</v>
          </cell>
          <cell r="I17" t="str">
            <v>12.5-20</v>
          </cell>
          <cell r="J17" t="str">
            <v>3VU1340-MN00</v>
          </cell>
        </row>
        <row r="18">
          <cell r="A18">
            <v>7.5</v>
          </cell>
          <cell r="B18">
            <v>0.89</v>
          </cell>
          <cell r="C18">
            <v>0.84</v>
          </cell>
          <cell r="D18">
            <v>0.88</v>
          </cell>
          <cell r="E18">
            <v>0.88200000000000001</v>
          </cell>
          <cell r="F18" t="str">
            <v>3TF42-22</v>
          </cell>
          <cell r="G18">
            <v>40</v>
          </cell>
          <cell r="H18" t="str">
            <v>3UA52 40-2B</v>
          </cell>
          <cell r="I18" t="str">
            <v>12.5-20</v>
          </cell>
          <cell r="J18" t="str">
            <v>3VU1340-MN00</v>
          </cell>
        </row>
        <row r="19">
          <cell r="A19">
            <v>7.7</v>
          </cell>
          <cell r="B19">
            <v>0.89</v>
          </cell>
          <cell r="C19">
            <v>0.84</v>
          </cell>
          <cell r="D19">
            <v>0.88</v>
          </cell>
          <cell r="E19">
            <v>0.88200000000000001</v>
          </cell>
          <cell r="F19" t="str">
            <v>3TF43-22</v>
          </cell>
          <cell r="G19">
            <v>40</v>
          </cell>
          <cell r="H19" t="str">
            <v>3UA52 40-2B</v>
          </cell>
          <cell r="I19" t="str">
            <v>12.5-20</v>
          </cell>
          <cell r="J19" t="str">
            <v>3VU1340-MN00</v>
          </cell>
        </row>
        <row r="20">
          <cell r="A20">
            <v>11</v>
          </cell>
          <cell r="B20">
            <v>0.89</v>
          </cell>
          <cell r="C20">
            <v>0.85</v>
          </cell>
          <cell r="D20">
            <v>0.89</v>
          </cell>
          <cell r="E20">
            <v>0.89500000000000002</v>
          </cell>
          <cell r="F20" t="str">
            <v>3TF43-22</v>
          </cell>
          <cell r="G20">
            <v>50</v>
          </cell>
          <cell r="H20" t="str">
            <v>3UA52 40-2C</v>
          </cell>
          <cell r="I20" t="str">
            <v>16-25</v>
          </cell>
          <cell r="J20" t="str">
            <v>3VU1640-MN00</v>
          </cell>
        </row>
        <row r="21">
          <cell r="A21">
            <v>15</v>
          </cell>
          <cell r="B21">
            <v>0.89</v>
          </cell>
          <cell r="C21">
            <v>0.85</v>
          </cell>
          <cell r="D21">
            <v>0.89400000000000002</v>
          </cell>
          <cell r="E21">
            <v>0.9</v>
          </cell>
          <cell r="F21" t="str">
            <v>3TF44-22</v>
          </cell>
          <cell r="G21">
            <v>63</v>
          </cell>
          <cell r="H21" t="str">
            <v>3UA55 40-2Q</v>
          </cell>
          <cell r="I21" t="str">
            <v>25-36</v>
          </cell>
          <cell r="J21" t="str">
            <v>3VU1640-MQ00</v>
          </cell>
        </row>
        <row r="22">
          <cell r="A22">
            <v>18.5</v>
          </cell>
          <cell r="B22">
            <v>0.89</v>
          </cell>
          <cell r="C22">
            <v>0.85</v>
          </cell>
          <cell r="D22">
            <v>0.90500000000000003</v>
          </cell>
          <cell r="E22">
            <v>0.90700000000000003</v>
          </cell>
          <cell r="F22" t="str">
            <v>3TF45-22</v>
          </cell>
          <cell r="G22">
            <v>80</v>
          </cell>
          <cell r="H22" t="str">
            <v>3UA55 40-2R</v>
          </cell>
          <cell r="I22" t="str">
            <v>32-40</v>
          </cell>
          <cell r="J22" t="str">
            <v>3VU1640-MQ00</v>
          </cell>
        </row>
        <row r="23">
          <cell r="A23">
            <v>22</v>
          </cell>
          <cell r="B23">
            <v>0.89</v>
          </cell>
          <cell r="C23">
            <v>0.86</v>
          </cell>
          <cell r="D23">
            <v>0.91300000000000003</v>
          </cell>
          <cell r="E23">
            <v>0.91300000000000003</v>
          </cell>
          <cell r="F23" t="str">
            <v>3TF46-22</v>
          </cell>
          <cell r="G23">
            <v>80</v>
          </cell>
          <cell r="H23" t="str">
            <v>3UA58 40-2T</v>
          </cell>
          <cell r="I23" t="str">
            <v>40-57</v>
          </cell>
          <cell r="J23" t="str">
            <v>3VF1431-1DK11</v>
          </cell>
        </row>
        <row r="24">
          <cell r="A24">
            <v>24</v>
          </cell>
          <cell r="B24">
            <v>0.89</v>
          </cell>
          <cell r="C24">
            <v>0.86</v>
          </cell>
          <cell r="D24">
            <v>0.91300000000000003</v>
          </cell>
          <cell r="E24">
            <v>0.91300000000000003</v>
          </cell>
          <cell r="F24" t="str">
            <v>3TF47-22</v>
          </cell>
          <cell r="G24">
            <v>100</v>
          </cell>
          <cell r="H24" t="str">
            <v>3UA58 40-2T</v>
          </cell>
          <cell r="I24" t="str">
            <v>40-57</v>
          </cell>
          <cell r="J24" t="str">
            <v>3VF1431-1DK11</v>
          </cell>
        </row>
        <row r="25">
          <cell r="A25">
            <v>27</v>
          </cell>
          <cell r="B25">
            <v>0.89</v>
          </cell>
          <cell r="C25">
            <v>0.86</v>
          </cell>
          <cell r="D25">
            <v>0.91300000000000003</v>
          </cell>
          <cell r="E25">
            <v>0.91300000000000003</v>
          </cell>
          <cell r="F25" t="str">
            <v>3TF47-22</v>
          </cell>
          <cell r="G25">
            <v>100</v>
          </cell>
          <cell r="H25" t="str">
            <v>3UA58 40-2P</v>
          </cell>
          <cell r="I25" t="str">
            <v>50-63</v>
          </cell>
          <cell r="J25" t="str">
            <v>3VF1431-1DK11</v>
          </cell>
        </row>
        <row r="26">
          <cell r="A26">
            <v>30</v>
          </cell>
          <cell r="B26">
            <v>0.89</v>
          </cell>
          <cell r="C26">
            <v>0.86</v>
          </cell>
          <cell r="D26">
            <v>0.92500000000000004</v>
          </cell>
          <cell r="E26">
            <v>0.92</v>
          </cell>
          <cell r="F26" t="str">
            <v>3TF47-22</v>
          </cell>
          <cell r="G26">
            <v>125</v>
          </cell>
          <cell r="H26" t="str">
            <v>3UA58 40-2P</v>
          </cell>
          <cell r="I26" t="str">
            <v>50-63</v>
          </cell>
          <cell r="J26" t="str">
            <v>3VF1431-1DK11</v>
          </cell>
        </row>
        <row r="27">
          <cell r="A27">
            <v>37</v>
          </cell>
          <cell r="B27">
            <v>0.89</v>
          </cell>
          <cell r="C27">
            <v>0.86</v>
          </cell>
          <cell r="D27">
            <v>0.93300000000000005</v>
          </cell>
          <cell r="E27">
            <v>0.93</v>
          </cell>
          <cell r="F27" t="str">
            <v>3TF48-22</v>
          </cell>
          <cell r="G27">
            <v>125</v>
          </cell>
          <cell r="H27" t="str">
            <v>3UA58 40-2U</v>
          </cell>
          <cell r="I27" t="str">
            <v>63-80</v>
          </cell>
        </row>
        <row r="28">
          <cell r="A28">
            <v>45</v>
          </cell>
          <cell r="B28">
            <v>0.9</v>
          </cell>
          <cell r="C28">
            <v>0.86</v>
          </cell>
          <cell r="D28">
            <v>0.93400000000000005</v>
          </cell>
          <cell r="E28">
            <v>0.93500000000000005</v>
          </cell>
          <cell r="F28" t="str">
            <v>3TF49-22</v>
          </cell>
          <cell r="G28">
            <v>160</v>
          </cell>
          <cell r="H28" t="str">
            <v>3UA60 40-2W</v>
          </cell>
          <cell r="I28" t="str">
            <v>63-90</v>
          </cell>
        </row>
        <row r="29">
          <cell r="A29">
            <v>55</v>
          </cell>
          <cell r="B29">
            <v>0.9</v>
          </cell>
          <cell r="C29">
            <v>0.86</v>
          </cell>
          <cell r="D29">
            <v>0.93799999999999994</v>
          </cell>
          <cell r="E29">
            <v>0.93899999999999995</v>
          </cell>
          <cell r="F29" t="str">
            <v>3TF50-22</v>
          </cell>
          <cell r="G29">
            <v>200</v>
          </cell>
          <cell r="H29" t="str">
            <v>3UA60 40-2X</v>
          </cell>
          <cell r="I29" t="str">
            <v>80-110</v>
          </cell>
        </row>
        <row r="30">
          <cell r="A30">
            <v>60</v>
          </cell>
          <cell r="B30">
            <v>0.9</v>
          </cell>
          <cell r="C30">
            <v>0.86</v>
          </cell>
          <cell r="D30">
            <v>0.93799999999999994</v>
          </cell>
          <cell r="E30">
            <v>0.93899999999999995</v>
          </cell>
          <cell r="F30" t="str">
            <v>3TF51-22</v>
          </cell>
          <cell r="G30">
            <v>200</v>
          </cell>
          <cell r="H30" t="str">
            <v>3UA61 40-3H</v>
          </cell>
          <cell r="I30" t="str">
            <v>90-120</v>
          </cell>
        </row>
        <row r="31">
          <cell r="A31">
            <v>75</v>
          </cell>
          <cell r="B31">
            <v>0.9</v>
          </cell>
          <cell r="C31">
            <v>0.86</v>
          </cell>
          <cell r="D31">
            <v>0.94299999999999995</v>
          </cell>
          <cell r="E31">
            <v>0.94299999999999995</v>
          </cell>
          <cell r="F31" t="str">
            <v>3TF51-22</v>
          </cell>
          <cell r="G31">
            <v>250</v>
          </cell>
          <cell r="H31" t="str">
            <v>3UA61 40-3K</v>
          </cell>
          <cell r="I31" t="str">
            <v>120-150</v>
          </cell>
        </row>
        <row r="32">
          <cell r="A32">
            <v>90</v>
          </cell>
          <cell r="B32">
            <v>0.91</v>
          </cell>
          <cell r="C32">
            <v>0.86</v>
          </cell>
          <cell r="D32">
            <v>0.94499999999999995</v>
          </cell>
          <cell r="E32">
            <v>0.94699999999999995</v>
          </cell>
          <cell r="F32" t="str">
            <v>3TF52-22</v>
          </cell>
          <cell r="G32">
            <v>315</v>
          </cell>
          <cell r="H32" t="str">
            <v>3UA62 40-3M</v>
          </cell>
          <cell r="I32" t="str">
            <v>150-180</v>
          </cell>
        </row>
        <row r="33">
          <cell r="A33">
            <v>110</v>
          </cell>
          <cell r="B33">
            <v>0.91</v>
          </cell>
          <cell r="C33">
            <v>0.86</v>
          </cell>
          <cell r="D33">
            <v>0.94499999999999995</v>
          </cell>
          <cell r="E33">
            <v>0.95199999999999996</v>
          </cell>
          <cell r="F33" t="str">
            <v>3TF53-22</v>
          </cell>
          <cell r="G33">
            <v>315</v>
          </cell>
          <cell r="H33" t="str">
            <v>3UA66 40-3C</v>
          </cell>
          <cell r="I33" t="str">
            <v>160-250</v>
          </cell>
        </row>
        <row r="34">
          <cell r="A34">
            <v>132</v>
          </cell>
          <cell r="B34">
            <v>0.91</v>
          </cell>
          <cell r="C34">
            <v>0.86</v>
          </cell>
          <cell r="D34">
            <v>0.95</v>
          </cell>
          <cell r="E34">
            <v>0.95499999999999996</v>
          </cell>
          <cell r="F34" t="str">
            <v>3TF54-22</v>
          </cell>
          <cell r="G34">
            <v>355</v>
          </cell>
          <cell r="H34" t="str">
            <v>3UA66 40-3D</v>
          </cell>
          <cell r="I34" t="str">
            <v>200-320</v>
          </cell>
        </row>
        <row r="35">
          <cell r="A35">
            <v>160</v>
          </cell>
          <cell r="B35">
            <v>0.91</v>
          </cell>
          <cell r="C35">
            <v>0.86</v>
          </cell>
          <cell r="D35">
            <v>0.95299999999999996</v>
          </cell>
          <cell r="E35">
            <v>0.95699999999999996</v>
          </cell>
          <cell r="F35" t="str">
            <v>3TF55-22</v>
          </cell>
          <cell r="G35">
            <v>355</v>
          </cell>
          <cell r="H35" t="str">
            <v>3UA66 40-3E</v>
          </cell>
          <cell r="I35" t="str">
            <v>250-400</v>
          </cell>
        </row>
        <row r="36">
          <cell r="A36">
            <v>185</v>
          </cell>
          <cell r="B36">
            <v>0.91</v>
          </cell>
          <cell r="C36">
            <v>0.87</v>
          </cell>
          <cell r="D36">
            <v>0.95499999999999996</v>
          </cell>
          <cell r="E36">
            <v>0.95799999999999996</v>
          </cell>
          <cell r="F36" t="str">
            <v>3TF56-22</v>
          </cell>
          <cell r="G36">
            <v>400</v>
          </cell>
          <cell r="H36" t="str">
            <v>3UA66 40-3E</v>
          </cell>
          <cell r="I36" t="str">
            <v>250-400</v>
          </cell>
        </row>
        <row r="37">
          <cell r="A37">
            <v>200</v>
          </cell>
          <cell r="B37">
            <v>0.92</v>
          </cell>
          <cell r="C37">
            <v>0.87</v>
          </cell>
          <cell r="D37">
            <v>0.95799999999999996</v>
          </cell>
          <cell r="E37">
            <v>0.95899999999999996</v>
          </cell>
          <cell r="F37" t="str">
            <v>3TF56-22</v>
          </cell>
          <cell r="G37">
            <v>400</v>
          </cell>
          <cell r="H37" t="str">
            <v>3UA66 40-3E</v>
          </cell>
          <cell r="I37" t="str">
            <v>250-400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/>
      <sheetData sheetId="171"/>
      <sheetData sheetId="172"/>
      <sheetData sheetId="173"/>
      <sheetData sheetId="174"/>
      <sheetData sheetId="175"/>
      <sheetData sheetId="176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ew Cover"/>
      <sheetName val="SPEC SHEET"/>
      <sheetName val="NOTES"/>
      <sheetName val="SKETCH"/>
      <sheetName val="COVER "/>
      <sheetName val="contactor"/>
      <sheetName val="MH Compensate-Nov"/>
      <sheetName val="SPEC"/>
      <sheetName val="Process Equipment"/>
      <sheetName val="CSUM_000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PCPP-70-DS-017"/>
      <sheetName val="NPCPP-70-DS-018"/>
      <sheetName val="NPCPP-70-DS-008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PEC SHEET"/>
      <sheetName val="MH Compensate-Nov"/>
      <sheetName val="PLANT"/>
      <sheetName val="INSTRUMENT"/>
      <sheetName val="SpecITEM"/>
      <sheetName val="LINE_Sc"/>
      <sheetName val="MOTOR"/>
      <sheetName val="contactor"/>
      <sheetName val="SPEC"/>
      <sheetName val="NOTES"/>
      <sheetName val="373A"/>
      <sheetName val="Sheet 1"/>
      <sheetName val="Macro1"/>
      <sheetName val="MH(on site)"/>
      <sheetName val="AD ST"/>
      <sheetName val="loaddata"/>
      <sheetName val="CTRs (HOURS) "/>
      <sheetName val="mesc"/>
      <sheetName val="TIE-INS"/>
      <sheetName val="SPEC_SHEET"/>
      <sheetName val="MH(on_site)"/>
      <sheetName val="MH_Compensate-Nov"/>
      <sheetName val="Sheet_1"/>
      <sheetName val="AD_ST"/>
      <sheetName val="CTRs_(HOURS)_"/>
      <sheetName val="SPEC_SHEET1"/>
      <sheetName val="MH(on_site)1"/>
      <sheetName val="MH_Compensate-Nov1"/>
      <sheetName val="Sheet_11"/>
      <sheetName val="AD_ST1"/>
      <sheetName val="CTRs_(HOURS)_1"/>
      <sheetName val="SPEC_SHEET2"/>
      <sheetName val="MH(on_site)2"/>
      <sheetName val="MH_Compensate-Nov2"/>
      <sheetName val="Sheet_12"/>
      <sheetName val="AD_ST2"/>
      <sheetName val="CTRs_(HOURS)_2"/>
    </sheetNames>
    <sheetDataSet>
      <sheetData sheetId="0" refreshError="1">
        <row r="12">
          <cell r="AF12">
            <v>150</v>
          </cell>
        </row>
        <row r="39">
          <cell r="I39"/>
          <cell r="L39"/>
          <cell r="O39"/>
        </row>
        <row r="40">
          <cell r="I40"/>
          <cell r="L40"/>
          <cell r="O40"/>
          <cell r="X40" t="str">
            <v>SEAL FLUID FLOW</v>
          </cell>
        </row>
        <row r="41">
          <cell r="I41"/>
          <cell r="L41"/>
          <cell r="O41"/>
          <cell r="X41" t="str">
            <v>SEAL FLUID PRESSURE</v>
          </cell>
        </row>
        <row r="42">
          <cell r="I42"/>
          <cell r="L42"/>
          <cell r="O42"/>
        </row>
        <row r="43">
          <cell r="I43"/>
          <cell r="L43"/>
          <cell r="O43"/>
        </row>
        <row r="45">
          <cell r="Z45" t="str">
            <v>SHAFT SLEEVE</v>
          </cell>
        </row>
        <row r="46">
          <cell r="Z46" t="str">
            <v>SHAFT</v>
          </cell>
        </row>
        <row r="47">
          <cell r="Z47" t="str">
            <v>PACKING GLAND</v>
          </cell>
        </row>
        <row r="48">
          <cell r="Z48" t="str">
            <v>BASE PLATE</v>
          </cell>
        </row>
        <row r="49">
          <cell r="Z49" t="str">
            <v>SEAL PIPING</v>
          </cell>
        </row>
        <row r="50">
          <cell r="O50" t="str">
            <v>SEAL GLAND</v>
          </cell>
          <cell r="T50">
            <v>0</v>
          </cell>
          <cell r="U50">
            <v>0</v>
          </cell>
          <cell r="Z50" t="str">
            <v>SEAL TUBING</v>
          </cell>
        </row>
        <row r="51">
          <cell r="O51" t="str">
            <v>CASE GASKET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NT"/>
      <sheetName val="EQUIPMENT"/>
      <sheetName val="LINE_Sc"/>
      <sheetName val="SpecITEM"/>
      <sheetName val="INSTRUMENT"/>
      <sheetName val="MOTOR"/>
      <sheetName val="SPEC SHEET"/>
      <sheetName val="MH Compensate-Nov"/>
      <sheetName val="Equip Ranges"/>
      <sheetName val="Estimate Details"/>
      <sheetName val="loaddata"/>
      <sheetName val="contactor"/>
      <sheetName val="#REF!"/>
      <sheetName val="1381E_Lists"/>
      <sheetName val="NOTES"/>
      <sheetName val="Sheet1"/>
      <sheetName val="function"/>
      <sheetName val="Background"/>
      <sheetName val=""/>
      <sheetName val="_x0000_%öWW_x0000_ð_x0004__x0000_Å0_x0000_J_x0002__x0000__x0000_ÿÿÿÿ01_x001c__x0000_X"/>
      <sheetName val="_x0000_%öWW@(Ú_x0004_s­_x0007_6â)_x0000_ÿÿÿÿ01_x001c__x0000_X"/>
      <sheetName val="_x0000_%öWW@8_x0011__x0006_¦°_x000e_è¯(_x0000_ÿÿÿÿ01_x001c__x0000_X"/>
      <sheetName val="_x0000_%öWW_x0000_0_x0011__x0006_¦°_x000e_è¯(_x0000_ÿÿÿÿ01_x001c__x0000_X"/>
      <sheetName val="_x0000_%öWW_x0000_0_x0006__x0000_Õp_x000a_à'_x0000_ÿÿÿÿ01_x001c__x0000_X"/>
      <sheetName val="_x0000_%öWWÀ2_x0011__x0006_¦°_x000e_è¯(_x0000_ÿÿÿÿ01_x001c__x0000_X"/>
      <sheetName val="Cover Page"/>
      <sheetName val="PU-001~003"/>
      <sheetName val="PU-001~003two"/>
      <sheetName val="PU-004~005"/>
      <sheetName val="PU-004~005two"/>
      <sheetName val="Description"/>
      <sheetName val="Supplier Database"/>
      <sheetName val="Introduction"/>
      <sheetName val="utility"/>
      <sheetName val="_x005f_x0000_%öWW_x005f_x0000_ð_x005f_x0004__x00"/>
      <sheetName val="_x005f_x0000_%öWW@(Ú_x005f_x0004_s­_x005f_x0007_"/>
      <sheetName val="_x005f_x0000_%öWW@8_x005f_x0011__x005f_x0006_¦°_"/>
      <sheetName val="_x005f_x0000_%öWW_x005f_x0000_0_x005f_x0011__x000"/>
      <sheetName val="_x005f_x0000_%öWW_x005f_x0000_0_x005f_x0006__x00"/>
      <sheetName val="_x005f_x0000_%öWWÀ2_x005f_x0011__x005f_x0006_¦°_"/>
      <sheetName val="Disc."/>
      <sheetName val="equipent"/>
      <sheetName val="piping"/>
      <sheetName val="_x005f_x005f_x005f_x0000_%öWW_x005f_x005f_x005f_x0000_ð"/>
      <sheetName val="_x005f_x005f_x005f_x0000_%öWW@(Ú_x005f_x005f_x000"/>
      <sheetName val="_x005f_x005f_x005f_x0000_%öWW@8_x005f_x005f_x0011"/>
      <sheetName val="_x005f_x005f_x005f_x0000_%öWW_x005f_x005f_x005f_x0000_0"/>
      <sheetName val="_x005f_x005f_x005f_x0000_%öWW_x005f_x005f_x005f_x0000_"/>
      <sheetName val="_x005f_x005f_x005f_x0000_%öWWÀ2_x005f_x005f_x0011"/>
      <sheetName val="_x005f_x005f_x005f_x005f_x005f_x005f_x005f_x0000_%öWW_x"/>
      <sheetName val="_x005f_x005f_x005f_x005f_x005f_x005f_x005f_x0000_%öWW@("/>
      <sheetName val="_x005f_x005f_x005f_x005f_x005f_x005f_x005f_x0000_%öWW@8"/>
      <sheetName val="_x005f_x005f_x005f_x005f_x005f_x005f_x005f_x0000_%öWWÀ2"/>
      <sheetName val="FANDBS"/>
      <sheetName val="GRDATA"/>
      <sheetName val="SHAFTDBSE"/>
      <sheetName val="_x0000_%öWW_x0000_ð_x0004__x00"/>
      <sheetName val="_x0000_%öWW@(Ú_x0004_s­_x0007_"/>
      <sheetName val="_x0000_%öWW@8_x0011__x0006_¦°_"/>
      <sheetName val="_x0000_%öWW_x0000_0_x0011__x000"/>
      <sheetName val="_x0000_%öWW_x0000_0_x0006__x00"/>
      <sheetName val="_x0000_%öWWÀ2_x0011__x0006_¦°_"/>
      <sheetName val="AD ST"/>
      <sheetName val="Macro1"/>
      <sheetName val="MH(on site)"/>
      <sheetName val="SPEC"/>
      <sheetName val="CTRs (HOURS) "/>
      <sheetName val="07 LSC only"/>
      <sheetName val="07 PBS Only"/>
      <sheetName val="_x005f_x0000_%öWW_x005f_x0000_ð"/>
      <sheetName val="_x005f_x0000_%öWW_x005f_x0000_0"/>
      <sheetName val="_x005f_x0000_%öWW_x005f_x0000_"/>
      <sheetName val="_x005f_x0000_%öWW@(Ú_x000"/>
      <sheetName val="_x005f_x0000_%öWW@8_x0011"/>
      <sheetName val="_x005f_x0000_%öWWÀ2_x0011"/>
      <sheetName val="?%öWW?ð_x0004_?Å0?J_x0002_??ÿÿÿÿ01_x001c_?X"/>
      <sheetName val="?%öWW@(Ú_x0004_s­_x0007_6â)?ÿÿÿÿ01_x001c_?X"/>
      <sheetName val="?%öWW@8_x0011__x0006_¦°_x000e_è¯(?ÿÿÿÿ01_x001c_?X"/>
      <sheetName val="?%öWW?0_x0011__x0006_¦°_x000e_è¯(?ÿÿÿÿ01_x001c_?X"/>
      <sheetName val="?%öWW?0_x0006_?Õp_x000a_à'?ÿÿÿÿ01_x001c_?X"/>
      <sheetName val="?%öWWÀ2_x0011__x0006_¦°_x000e_è¯(?ÿÿÿÿ01_x001c_?X"/>
      <sheetName val="?%öWW?ð_x0004__x00"/>
      <sheetName val="?%öWW@(Ú_x0004_s­_x0007_"/>
      <sheetName val="?%öWW@8_x0011__x0006_¦°_"/>
      <sheetName val="?%öWW?0_x0011__x000"/>
      <sheetName val="?%öWW?0_x0006__x00"/>
      <sheetName val="?%öWWÀ2_x0011__x0006_¦°_"/>
      <sheetName val="PV.00001"/>
      <sheetName val="MCH_HST"/>
      <sheetName val="401_1"/>
      <sheetName val="401_2"/>
      <sheetName val="401_3"/>
      <sheetName val="401_4"/>
      <sheetName val="401_5"/>
      <sheetName val="401_7"/>
      <sheetName val="Cover Sheet"/>
      <sheetName val="_%öWW_ð_x0004__Å0_J_x0002___ÿÿÿÿ01_x001c__X"/>
      <sheetName val="_%öWW@(Ú_x0004_s­_x0007_6â)_ÿÿÿÿ01_x001c__X"/>
      <sheetName val="_%öWW@8_x0011__x0006_¦°_x000e_è¯(_ÿÿÿÿ01_x001c__X"/>
      <sheetName val="_%öWW_0_x0011__x0006_¦°_x000e_è¯(_ÿÿÿÿ01_x001c__X"/>
      <sheetName val="_%öWW_0_x0006__Õp_à'_ÿÿÿÿ01_x001c__X"/>
      <sheetName val="_%öWWÀ2_x0011__x0006_¦°_x000e_è¯(_ÿÿÿÿ01_x001c__X"/>
      <sheetName val="_%öWW_ð_x0004__x00"/>
      <sheetName val="_%öWW@(Ú_x0004_s­_x0007_"/>
      <sheetName val="_%öWW@8_x0011__x0006_¦°_"/>
      <sheetName val="_%öWW_0_x0011__x000"/>
      <sheetName val="_%öWW_0_x0006__x00"/>
      <sheetName val="_%öWWÀ2_x0011__x0006_¦°_"/>
      <sheetName val="工业炉"/>
      <sheetName val="单位库"/>
      <sheetName val="单位"/>
      <sheetName val="Cover"/>
      <sheetName val="Summary"/>
      <sheetName val="1-RawW"/>
      <sheetName val="2-DW"/>
      <sheetName val="3-PortableW"/>
      <sheetName val="4-FW"/>
      <sheetName val="5-WasteW"/>
      <sheetName val="6-CWSR"/>
      <sheetName val="7-RWSR"/>
      <sheetName val="8-Steam"/>
      <sheetName val="9-N2"/>
      <sheetName val="10-SA"/>
      <sheetName val="11-IA"/>
      <sheetName val="12-NG"/>
      <sheetName val="Site summary"/>
      <sheetName val="FSR"/>
      <sheetName val="NAN-GUR EIA"/>
      <sheetName val="AT-1 Water balance"/>
      <sheetName val="AT-2 CPD Air"/>
      <sheetName val="AT-3废水排放一览表"/>
      <sheetName val="AT-4 废气排放一栏表"/>
      <sheetName val="AT-5废固排放一览表"/>
      <sheetName val="AT- 6PPS Utility Table (Client)"/>
      <sheetName val="AT-7 FSR (GUR)"/>
      <sheetName val="Phase summary"/>
      <sheetName val="_x005f_x005f_x005f_x0000_%öWW_x"/>
      <sheetName val="_x005f_x005f_x005f_x0000_%öWW@("/>
      <sheetName val="_x005f_x005f_x005f_x0000_%öWW@8"/>
      <sheetName val="_x005f_x005f_x005f_x0000_%öWWÀ2"/>
      <sheetName val="Hidden"/>
      <sheetName val="Scope 1"/>
      <sheetName val="_x0000_%öWW_x0000_0_x0006__x0000_Õp_x000d_à'_x0000_ÿÿÿÿ01_x001c__x0000_X"/>
      <sheetName val="Pipe MTO"/>
      <sheetName val="DETAIL BOQ"/>
      <sheetName val="_x0000_%öWW_x0000_ð"/>
      <sheetName val="_x0000_%öWW_x0000_0"/>
      <sheetName val="_x0000_%öWW_x0000_"/>
      <sheetName val="_x005f_x0000_%öWW_x"/>
      <sheetName val="_x005f_x0000_%öWW@("/>
      <sheetName val="_x005f_x0000_%öWW@8"/>
      <sheetName val="_x005f_x0000_%öWWÀ2"/>
      <sheetName val="_x0000_%öWW@(Ú_x000"/>
      <sheetName val="_x0000_%öWW@8_x0011"/>
      <sheetName val="_x0000_%öWWÀ2_x0011"/>
      <sheetName val="取费模板"/>
      <sheetName val="_x005f_x005f_x005f_x0000_%öWW@(Ú_x000"/>
      <sheetName val="_x005f_x005f_x005f_x0000_%öWW@8_x0011"/>
      <sheetName val="_x005f_x005f_x005f_x0000_%öWWÀ2_x0011"/>
      <sheetName val="?%öWW?ð_x005f_x0004_?Å0?J_x005f_x0002_??ÿÿ"/>
      <sheetName val="?%öWW@(Ú_x005f_x0004_s­_x005f_x0007_6â)?ÿÿ"/>
      <sheetName val="?%öWW@8_x005f_x0011__x005f_x0006_¦°_x005f_x000e_"/>
      <sheetName val="?%öWW?0_x005f_x0011__x005f_x0006_¦°_x005f_x000e_"/>
      <sheetName val="?%öWW?0_x005f_x0006_?Õp_x005f_x000a_à'?ÿÿ"/>
      <sheetName val="?%öWWÀ2_x005f_x0011__x005f_x0006_¦°_x005f_x000e_"/>
      <sheetName val="?%öWW?ð_x005f_x0004__x00"/>
      <sheetName val="?%öWW@(Ú_x005f_x0004_s­_x005f_x0007_"/>
      <sheetName val="?%öWW@8_x005f_x0011__x005f_x0006_¦°_"/>
      <sheetName val="?%öWW?0_x005f_x0011__x000"/>
      <sheetName val="?%öWW?0_x005f_x0006__x00"/>
      <sheetName val="?%öWWÀ2_x005f_x0011__x005f_x0006_¦°_"/>
      <sheetName val="_%öWW_ð_x005f_x0004__Å0_J_x005f_x0002___ÿÿ"/>
      <sheetName val="_%öWW@(Ú_x005f_x0004_s­_x005f_x0007_6â)_ÿÿ"/>
      <sheetName val="_%öWW@8_x005f_x0011__x005f_x0006_¦°_x005f_x000e_"/>
      <sheetName val="_%öWW_0_x005f_x0011__x005f_x0006_¦°_x005f_x000e_"/>
      <sheetName val="_%öWW_0_x005f_x0006__Õp_à'_ÿÿÿÿ01_x"/>
      <sheetName val="_%öWWÀ2_x005f_x0011__x005f_x0006_¦°_x005f_x000e_"/>
      <sheetName val="_%öWW_ð_x005f_x0004__x00"/>
      <sheetName val="_%öWW@(Ú_x005f_x0004_s­_x005f_x0007_"/>
      <sheetName val="_%öWW@8_x005f_x0011__x005f_x0006_¦°_"/>
      <sheetName val="_%öWW_0_x005f_x0011__x000"/>
      <sheetName val="_%öWW_0_x005f_x0006__x00"/>
      <sheetName val="_%öWWÀ2_x005f_x0011__x005f_x0006_¦°_"/>
      <sheetName val="_x005f_x005f_x005f_x005f_x005f_x005f_x005f_x005f_x005f_x005f_"/>
      <sheetName val="_%öWW_0_x005f_x0006__Õp_x005f_x000a_à'_ÿÿ"/>
      <sheetName val="_%öWW_ð_x0004__Å0_J_x0002___ÿÿ"/>
      <sheetName val="_%öWW@(Ú_x0004_s­_x0007_6â)_ÿÿ"/>
      <sheetName val="_%öWW@8_x0011__x0006_¦°_x000e_"/>
      <sheetName val="_%öWW_0_x0011__x0006_¦°_x000e_"/>
      <sheetName val="_%öWW_0_x0006__Õp_à'_ÿÿÿÿ01_x"/>
      <sheetName val="_%öWWÀ2_x0011__x0006_¦°_x000e_"/>
      <sheetName val="_%öWW_0_x0006__Õp_x000a_à'_ÿÿ"/>
      <sheetName val="_x005f_x005f_x005f_x005f_"/>
      <sheetName val="_%öWW_ð_x005f_x0004__Å0_J_x005"/>
      <sheetName val="_%öWW@(Ú_x005f_x0004_s­_"/>
      <sheetName val="_%öWW@8_x005f_x0011__x000"/>
      <sheetName val="_%öWW_0_x005f_x0006__Õp_"/>
      <sheetName val="_%öWWÀ2_x005f_x0011__x000"/>
      <sheetName val="_%öWW_0_x005f_x0006__Õp_à'_ÿÿ"/>
      <sheetName val="_%öWW_ð_x005f_x005f_x000"/>
      <sheetName val="_%öWW@(Ú_x005f_x005f_x000"/>
      <sheetName val="_%öWW@8_x005f_x005f_x0011"/>
      <sheetName val="_%öWW_0_x005f_x005f_x0011"/>
      <sheetName val="_%öWW_0_x005f_x005f_x000"/>
      <sheetName val="_%öWWÀ2_x005f_x005f_x0011"/>
      <sheetName val="_%öWW_ð_x005f_x005f_x005f_x0004__Å0_J_x005"/>
      <sheetName val="_%öWW@(Ú_x005f_x005f_x005f_x0004_s­_x005f_x005f_"/>
      <sheetName val="_%öWW@8_x005f_x005f_x005f_x0011__x005f_x005f_x000"/>
      <sheetName val="_%öWW_0_x005f_x005f_x005f_x0011__x005f_x005f_x000"/>
      <sheetName val="_%öWW_0_x005f_x005f_x005f_x0006__Õp_x005f_x005f_"/>
      <sheetName val="_%öWWÀ2_x005f_x005f_x005f_x0011__x005f_x005f_x000"/>
      <sheetName val="_%öWW_ð_x005f_x005f_x005f_x0004__x00"/>
      <sheetName val="_%öWW_0_x005f_x005f_x005f_x0011__x000"/>
      <sheetName val="_%öWW_0_x005f_x005f_x005f_x0006__x00"/>
      <sheetName val="_%öWW_0_x005f_x005f_x005f_x0006__Õp_à'_ÿÿ"/>
      <sheetName val="_%öWW_0_x0006__Õp_à'_ÿÿ"/>
      <sheetName val="MUSC梯葫叉台账及巡检计划"/>
      <sheetName val="_x0000_%öWW_x"/>
      <sheetName val="_x0000_%öWW@("/>
      <sheetName val="_x0000_%öWW@8"/>
      <sheetName val="_x0000_%öWWÀ2"/>
      <sheetName val="取费表"/>
      <sheetName val="AT30015 Comp"/>
      <sheetName val="表三甲"/>
      <sheetName val="材料费汇总"/>
      <sheetName val="1线5"/>
      <sheetName val="140TT447"/>
      <sheetName val="2900安装"/>
      <sheetName val="Rates"/>
      <sheetName val="Senior"/>
      <sheetName val="Subordinated"/>
      <sheetName val="分部分项工程量清单综合单价分析表"/>
      <sheetName val="eqpt"/>
      <sheetName val="GPP"/>
      <sheetName val="ELEC"/>
      <sheetName val="Data Source"/>
      <sheetName val="电磁阀"/>
      <sheetName val="总—标示"/>
      <sheetName val="报价单"/>
      <sheetName val="标示-次标示"/>
      <sheetName val="_%öWW_ð"/>
      <sheetName val="_%öWW_0"/>
      <sheetName val="_%öWW_"/>
      <sheetName val="_%öWW@(Ú_x000"/>
      <sheetName val="_%öWW@8_x0011"/>
      <sheetName val="_%öWWÀ2_x0011"/>
      <sheetName val="_%öWW_x"/>
      <sheetName val="_%öWW@("/>
      <sheetName val="_%öWW@8"/>
      <sheetName val="_%öWWÀ2"/>
      <sheetName val="_%öWW_0_x0006__Õp_x000d_à'_ÿÿÿÿ01_x001c__X"/>
      <sheetName val="plan&amp;section of foundation"/>
      <sheetName val="design criteria"/>
      <sheetName val="Page 2"/>
      <sheetName val="Page 3"/>
      <sheetName val="Page 4"/>
      <sheetName val="Page 5"/>
      <sheetName val="Budget"/>
      <sheetName val="MOHKG"/>
      <sheetName val="价目表"/>
      <sheetName val="一発シート"/>
      <sheetName val="CODE2"/>
      <sheetName val="for PPT"/>
      <sheetName val="EQU"/>
      <sheetName val="DEZSH"/>
      <sheetName val="Sheet21"/>
      <sheetName val="取费表(站场I) "/>
      <sheetName val="取费表(管道I)"/>
      <sheetName val="人工土石方"/>
      <sheetName val="机械土石方"/>
      <sheetName val="说明附表模板（XX子项）"/>
      <sheetName val="当地辅材调整"/>
      <sheetName val="人工测算"/>
      <sheetName val="材料测算"/>
      <sheetName val="施工机械台班测算"/>
      <sheetName val="Other Direct（总概）"/>
      <sheetName val="取费表(站场II)"/>
      <sheetName val="取费表(站场III)"/>
      <sheetName val="取费表(管道II)"/>
      <sheetName val="取费基准"/>
      <sheetName val="说明附表模板 (总表)"/>
      <sheetName val="投资核减说明"/>
      <sheetName val=" cover"/>
      <sheetName val="Total"/>
      <sheetName val="Direct"/>
      <sheetName val="Other"/>
      <sheetName val="Other Direct"/>
      <sheetName val="PAD2&amp;BS-PROCESS"/>
      <sheetName val="PAD2&amp;BS-PIPING"/>
      <sheetName val="PAD2&amp;BS-INT"/>
      <sheetName val="PAD2&amp;BS-ELC"/>
      <sheetName val="PAD2&amp;BS-TEL"/>
      <sheetName val="PAD2&amp;BS-WATER"/>
      <sheetName val="PAD2&amp;BS-HVAC"/>
      <sheetName val="PAD2&amp;BS-CIV"/>
      <sheetName val="PAD2&amp;BS-ARC"/>
      <sheetName val="PAD2&amp;BS-STR"/>
      <sheetName val="WELL-PROCESS"/>
      <sheetName val="WELL-PIPING"/>
      <sheetName val="WELL-ELC"/>
      <sheetName val="WELL-TEL"/>
      <sheetName val="WELL-WATER"/>
      <sheetName val="WELL-CIV"/>
      <sheetName val="WELL-STR"/>
      <sheetName val="CPF-ELC"/>
      <sheetName val="CPF-TEL"/>
      <sheetName val="CPF-WATER"/>
      <sheetName val="CPF-HVAC"/>
      <sheetName val="CPF-CIV"/>
      <sheetName val="CPF-ARC"/>
      <sheetName val="OIL GATHERLINE"/>
      <sheetName val="TEL CABLE"/>
      <sheetName val="OHTL"/>
      <sheetName val="PAD2&amp;BS-PIPING (2)"/>
      <sheetName val="PAD2&amp;BS-WATER (2)"/>
      <sheetName val="WATER SUPPLY PIPELINE"/>
      <sheetName val="WATER INJECTION PIPELINE"/>
      <sheetName val="WELL-PROCESS (2)"/>
      <sheetName val="WELL-PIPING (2)"/>
      <sheetName val="WELL-ELC (2)"/>
      <sheetName val="WELL-TEL(2)"/>
      <sheetName val="WELL-WATER (2)"/>
      <sheetName val="WELL-CIV (2)"/>
      <sheetName val="WELL-STR (2)"/>
      <sheetName val="OIL GATHERLINE (2)"/>
      <sheetName val="TEL CABLE (2)"/>
      <sheetName val="OHTL (2)"/>
      <sheetName val="2  Price Calculation Sheet"/>
      <sheetName val="Main Sum"/>
      <sheetName val="Rates &amp; Factors"/>
      <sheetName val="_x0000_%öWW_x0000_0_x0006__x0000_Õp à'_x0000_ÿÿÿÿ01_x001c__x0000_X"/>
      <sheetName val="GENERAL"/>
      <sheetName val="Sheet225"/>
      <sheetName val="Quantity"/>
      <sheetName val="Param"/>
      <sheetName val="3 Ps"/>
      <sheetName val="投资汇总"/>
      <sheetName val="投资"/>
      <sheetName val="中石油安装石油化工装置"/>
      <sheetName val="土建取费表"/>
      <sheetName val="GJB"/>
      <sheetName val="Dryers thick"/>
      <sheetName val="_x005f_x005f_x005f_x005f_x005f_x005f_x005f_x005f_"/>
      <sheetName val="_%öWW@(Ú_x005f_x005f_x005f_x0004_s­_"/>
      <sheetName val="_%öWW@8_x005f_x005f_x005f_x0011__x000"/>
      <sheetName val="_%öWW_0_x005f_x005f_x005f_x0006__Õp_"/>
      <sheetName val="_%öWWÀ2_x005f_x005f_x005f_x0011__x000"/>
      <sheetName val="_%öWW_ð_x005f_x005f_x005f_x005f_x000"/>
      <sheetName val="_%öWW@(Ú_x005f_x005f_x005f_x005f_x000"/>
      <sheetName val="_%öWW@8_x005f_x005f_x005f_x005f_x0011"/>
      <sheetName val="_%öWW_0_x005f_x005f_x005f_x005f_x0011"/>
      <sheetName val="_%öWW_0_x005f_x005f_x005f_x005f_x000"/>
      <sheetName val="_%öWWÀ2_x005f_x005f_x005f_x005f_x0011"/>
      <sheetName val="循环水场地管工程量"/>
      <sheetName val="表9-2 安装工程费率表"/>
      <sheetName val="工程量计算式"/>
      <sheetName val="P&amp;F"/>
      <sheetName val="12(762mm)套管"/>
      <sheetName val="Elect (3)"/>
      <sheetName val="Cashflow"/>
      <sheetName val="Utlity"/>
      <sheetName val="gd_02"/>
      <sheetName val="REINF."/>
      <sheetName val="SKETCH"/>
      <sheetName val="LOADS"/>
      <sheetName val="Change Order Details"/>
      <sheetName val="Lists"/>
      <sheetName val="Actuals-1228020040"/>
      <sheetName val="General Assumptions"/>
      <sheetName val="mesc"/>
      <sheetName val="Location Assumptions"/>
      <sheetName val="_x005f_x0000_%öWW@(Ú_x005f_x005f_x000"/>
      <sheetName val="_x005f_x0000_%öWW@8_x005f_x005f_x0011"/>
      <sheetName val="_x005f_x0000_%öWWÀ2_x005f_x005f_x0011"/>
      <sheetName val="_x005f_x005f_"/>
      <sheetName val="_%öWW@(Ú_x005f_x0004_s­_x005f_x005f_"/>
      <sheetName val="_%öWW@8_x005f_x0011__x005f_x005f_x000"/>
      <sheetName val="_%öWW_0_x005f_x0011__x005f_x005f_x000"/>
      <sheetName val="_%öWW_0_x005f_x0006__Õp_x005f_x005f_"/>
      <sheetName val="_%öWWÀ2_x005f_x0011__x005f_x005f_x000"/>
      <sheetName val="_x005f_x005f_x005F"/>
      <sheetName val="steam jet ejector spec sheet"/>
      <sheetName val="1.1.1-Equipment&amp;material Detail"/>
      <sheetName val="T"/>
      <sheetName val="VUOTO"/>
      <sheetName val="Controls"/>
      <sheetName val="%öWW0_x0006_Õp_à'ÿÿÿÿ01_x001c_X"/>
      <sheetName val="R56600 (1)"/>
      <sheetName val="%öWWð_x0004_Å0J_x0002_ÿÿÿÿ01_x001c_X"/>
      <sheetName val="%öWW@(Ú_x0004_s­_x0007_6â)ÿÿÿÿ01_x001c_X"/>
      <sheetName val="%öWW@8_x0011__x0006_¦°_x000e_è¯(ÿÿÿÿ01_x001c_X"/>
      <sheetName val="%öWW0_x0011__x0006_¦°_x000e_è¯(ÿÿÿÿ01_x001c_X"/>
      <sheetName val="%öWW0_x0006_Õp_x000a_à'ÿÿÿÿ01_x001c_X"/>
      <sheetName val="%öWWÀ2_x0011__x0006_¦°_x000e_è¯(ÿÿÿÿ01_x001c_X"/>
      <sheetName val="%öWWð_x0004__x00"/>
      <sheetName val="%öWW@(Ú_x0004_s­_x0007_"/>
      <sheetName val="%öWW@8_x0011__x0006_¦°_"/>
      <sheetName val="%öWW0_x0011__x000"/>
      <sheetName val="%öWW0_x0006__x00"/>
      <sheetName val="%öWWÀ2_x0011__x0006_¦°_"/>
      <sheetName val="%öWW0_x0006_Õp_x000d_à'ÿÿÿÿ01_x001c_X"/>
      <sheetName val="%öWWð"/>
      <sheetName val="%öWW0"/>
      <sheetName val="%öWW"/>
      <sheetName val="%öWW@(Ú_x000"/>
      <sheetName val="%öWW@8_x0011"/>
      <sheetName val="%öWWÀ2_x0011"/>
      <sheetName val="%öWW_x"/>
      <sheetName val="%öWW@("/>
      <sheetName val="%öWW@8"/>
      <sheetName val="%öWWÀ2"/>
      <sheetName val="%öWW0_x0006_Õp à'ÿÿÿÿ01_x001c_X"/>
      <sheetName val="_%öWW_ð_x005f_x005f_x005f_x005f_x005f_x005f_x000"/>
      <sheetName val="_%öWW@(Ú_x005f_x005f_x005f_x005f_x005f_x005f_x000"/>
      <sheetName val="_%öWW@8_x005f_x005f_x005f_x005f_x005f_x005f_x0011"/>
      <sheetName val="_%öWW_0_x005f_x005f_x005f_x005f_x005f_x005f_x0011"/>
      <sheetName val="_%öWW_0_x005f_x005f_x005f_x005f_x005f_x005f_x000"/>
    </sheetNames>
    <sheetDataSet>
      <sheetData sheetId="0" refreshError="1">
        <row r="4">
          <cell r="A4" t="str">
            <v xml:space="preserve">   United Projects Services LTD.</v>
          </cell>
        </row>
        <row r="7">
          <cell r="E7" t="str">
            <v>500 - UTILITY &amp; NaOH SOLUTION STORAGE</v>
          </cell>
        </row>
        <row r="9">
          <cell r="E9" t="str">
            <v>SINO - BROM  COMPOUNDS PROJECT</v>
          </cell>
        </row>
        <row r="11">
          <cell r="E11" t="str">
            <v>R.Y.</v>
          </cell>
        </row>
        <row r="17">
          <cell r="H17" t="str">
            <v>0</v>
          </cell>
          <cell r="I17" t="str">
            <v>23/04/00</v>
          </cell>
        </row>
      </sheetData>
      <sheetData sheetId="1">
        <row r="4">
          <cell r="A4" t="str">
            <v xml:space="preserve">   United Projects Services LTD.</v>
          </cell>
        </row>
      </sheetData>
      <sheetData sheetId="2" refreshError="1">
        <row r="4">
          <cell r="A4" t="str">
            <v xml:space="preserve">   United Projects Services LTD.</v>
          </cell>
        </row>
        <row r="5">
          <cell r="A5" t="str">
            <v xml:space="preserve">                         United Projects Services LTD.</v>
          </cell>
        </row>
        <row r="6">
          <cell r="A6" t="str">
            <v xml:space="preserve">  United Projects Services LTD.</v>
          </cell>
        </row>
        <row r="8">
          <cell r="A8" t="str">
            <v>Line No.:</v>
          </cell>
        </row>
        <row r="9">
          <cell r="A9" t="str">
            <v>S4</v>
          </cell>
        </row>
        <row r="10">
          <cell r="A10" t="str">
            <v>S4</v>
          </cell>
        </row>
        <row r="11">
          <cell r="A11" t="str">
            <v>CBH</v>
          </cell>
        </row>
        <row r="12">
          <cell r="A12" t="str">
            <v>CBH</v>
          </cell>
        </row>
        <row r="13">
          <cell r="A13" t="str">
            <v>CBH</v>
          </cell>
        </row>
        <row r="14">
          <cell r="A14" t="str">
            <v>COM</v>
          </cell>
        </row>
        <row r="15">
          <cell r="A15" t="str">
            <v>COP</v>
          </cell>
        </row>
        <row r="16">
          <cell r="A16" t="str">
            <v>COP</v>
          </cell>
        </row>
        <row r="17">
          <cell r="A17" t="str">
            <v>COP</v>
          </cell>
        </row>
        <row r="18">
          <cell r="A18" t="str">
            <v>CW</v>
          </cell>
        </row>
        <row r="19">
          <cell r="A19" t="str">
            <v>CW</v>
          </cell>
        </row>
        <row r="20">
          <cell r="A20" t="str">
            <v>CW</v>
          </cell>
        </row>
        <row r="21">
          <cell r="A21" t="str">
            <v>CW</v>
          </cell>
        </row>
        <row r="22">
          <cell r="A22" t="str">
            <v>CW</v>
          </cell>
        </row>
        <row r="23">
          <cell r="A23" t="str">
            <v>IA</v>
          </cell>
        </row>
        <row r="24">
          <cell r="A24" t="str">
            <v>NH</v>
          </cell>
        </row>
        <row r="25">
          <cell r="A25" t="str">
            <v>NH</v>
          </cell>
        </row>
        <row r="26">
          <cell r="A26" t="str">
            <v>NH</v>
          </cell>
        </row>
        <row r="27">
          <cell r="A27" t="str">
            <v>NH</v>
          </cell>
        </row>
        <row r="28">
          <cell r="A28" t="str">
            <v>NH</v>
          </cell>
        </row>
        <row r="29">
          <cell r="A29" t="str">
            <v>NH</v>
          </cell>
        </row>
        <row r="30">
          <cell r="A30" t="str">
            <v>NH</v>
          </cell>
        </row>
        <row r="31">
          <cell r="A31" t="str">
            <v>NH</v>
          </cell>
        </row>
        <row r="32">
          <cell r="A32" t="str">
            <v>NH</v>
          </cell>
        </row>
        <row r="33">
          <cell r="A33" t="str">
            <v>NH</v>
          </cell>
        </row>
        <row r="34">
          <cell r="A34" t="str">
            <v>NH</v>
          </cell>
        </row>
        <row r="35">
          <cell r="A35" t="str">
            <v>NH</v>
          </cell>
        </row>
        <row r="36">
          <cell r="A36" t="str">
            <v>NH</v>
          </cell>
        </row>
        <row r="37">
          <cell r="A37" t="str">
            <v>NH</v>
          </cell>
        </row>
        <row r="38">
          <cell r="A38" t="str">
            <v>NH</v>
          </cell>
        </row>
        <row r="39">
          <cell r="A39" t="str">
            <v>NH</v>
          </cell>
        </row>
        <row r="40">
          <cell r="A40" t="str">
            <v>NH</v>
          </cell>
        </row>
        <row r="41">
          <cell r="A41" t="str">
            <v>PA</v>
          </cell>
        </row>
        <row r="42">
          <cell r="A42" t="str">
            <v>PRW</v>
          </cell>
        </row>
        <row r="43">
          <cell r="A43" t="str">
            <v>ST</v>
          </cell>
        </row>
        <row r="44">
          <cell r="A44" t="str">
            <v>ST</v>
          </cell>
        </row>
        <row r="45">
          <cell r="A45" t="str">
            <v>TW</v>
          </cell>
        </row>
        <row r="46">
          <cell r="A46" t="str">
            <v>TW</v>
          </cell>
        </row>
        <row r="47">
          <cell r="A47" t="str">
            <v>VE</v>
          </cell>
        </row>
        <row r="48">
          <cell r="A48" t="str">
            <v>VE</v>
          </cell>
        </row>
        <row r="49">
          <cell r="A49" t="str">
            <v>TI</v>
          </cell>
        </row>
        <row r="50">
          <cell r="A50" t="str">
            <v>TI</v>
          </cell>
        </row>
        <row r="51">
          <cell r="A51" t="str">
            <v>TI</v>
          </cell>
        </row>
        <row r="52">
          <cell r="A52" t="str">
            <v>TIC</v>
          </cell>
        </row>
        <row r="53">
          <cell r="A53" t="str">
            <v>TV</v>
          </cell>
        </row>
        <row r="54">
          <cell r="A54" t="str">
            <v>XV</v>
          </cell>
        </row>
        <row r="55">
          <cell r="A55" t="str">
            <v>XV</v>
          </cell>
        </row>
        <row r="56">
          <cell r="A56" t="str">
            <v>XV</v>
          </cell>
        </row>
      </sheetData>
      <sheetData sheetId="3" refreshError="1">
        <row r="4">
          <cell r="A4" t="str">
            <v xml:space="preserve">   United Projects Services LTD.</v>
          </cell>
        </row>
        <row r="5">
          <cell r="A5" t="str">
            <v xml:space="preserve">                       United Projects Services LTD.</v>
          </cell>
        </row>
        <row r="6">
          <cell r="A6" t="str">
            <v xml:space="preserve">  United Projects Services LTD.</v>
          </cell>
        </row>
        <row r="8">
          <cell r="A8" t="str">
            <v>Item No.:</v>
          </cell>
        </row>
        <row r="9">
          <cell r="A9" t="str">
            <v>S4</v>
          </cell>
        </row>
        <row r="10">
          <cell r="A10" t="str">
            <v>S4</v>
          </cell>
        </row>
        <row r="11">
          <cell r="A11" t="str">
            <v>S4</v>
          </cell>
        </row>
        <row r="12">
          <cell r="A12" t="str">
            <v>FQ</v>
          </cell>
        </row>
        <row r="13">
          <cell r="A13" t="str">
            <v>FQ</v>
          </cell>
        </row>
        <row r="14">
          <cell r="A14" t="str">
            <v>FQ</v>
          </cell>
        </row>
        <row r="15">
          <cell r="A15" t="str">
            <v>FQ</v>
          </cell>
        </row>
        <row r="16">
          <cell r="A16" t="str">
            <v>FQ</v>
          </cell>
        </row>
        <row r="17">
          <cell r="A17" t="str">
            <v>LT</v>
          </cell>
        </row>
        <row r="18">
          <cell r="A18" t="str">
            <v>LT</v>
          </cell>
        </row>
        <row r="19">
          <cell r="A19" t="str">
            <v>PCV</v>
          </cell>
        </row>
        <row r="20">
          <cell r="A20" t="str">
            <v>PCV</v>
          </cell>
        </row>
        <row r="21">
          <cell r="A21" t="str">
            <v>PCV</v>
          </cell>
        </row>
        <row r="22">
          <cell r="A22" t="str">
            <v>PI</v>
          </cell>
        </row>
        <row r="23">
          <cell r="A23" t="str">
            <v>PI</v>
          </cell>
        </row>
        <row r="24">
          <cell r="A24" t="str">
            <v>PI</v>
          </cell>
        </row>
        <row r="25">
          <cell r="A25" t="str">
            <v>PI</v>
          </cell>
        </row>
        <row r="26">
          <cell r="A26" t="str">
            <v>PI</v>
          </cell>
        </row>
        <row r="27">
          <cell r="A27" t="str">
            <v>PI</v>
          </cell>
        </row>
        <row r="28">
          <cell r="A28" t="str">
            <v>PI</v>
          </cell>
        </row>
        <row r="29">
          <cell r="A29" t="str">
            <v>PI</v>
          </cell>
        </row>
        <row r="30">
          <cell r="A30" t="str">
            <v>PI</v>
          </cell>
        </row>
        <row r="31">
          <cell r="A31" t="str">
            <v>PI</v>
          </cell>
        </row>
        <row r="32">
          <cell r="A32" t="str">
            <v>PI</v>
          </cell>
        </row>
        <row r="33">
          <cell r="A33" t="str">
            <v>PI</v>
          </cell>
        </row>
        <row r="34">
          <cell r="A34" t="str">
            <v>PI</v>
          </cell>
        </row>
        <row r="35">
          <cell r="A35" t="str">
            <v>PI</v>
          </cell>
        </row>
        <row r="36">
          <cell r="A36" t="str">
            <v>PI</v>
          </cell>
        </row>
        <row r="37">
          <cell r="A37" t="str">
            <v>PIT</v>
          </cell>
        </row>
        <row r="38">
          <cell r="A38" t="str">
            <v>PSL</v>
          </cell>
        </row>
        <row r="39">
          <cell r="A39" t="str">
            <v>PSL</v>
          </cell>
        </row>
        <row r="40">
          <cell r="A40" t="str">
            <v>RV</v>
          </cell>
        </row>
        <row r="41">
          <cell r="A41" t="str">
            <v>RV</v>
          </cell>
        </row>
        <row r="42">
          <cell r="A42" t="str">
            <v>RV</v>
          </cell>
        </row>
        <row r="43">
          <cell r="A43" t="str">
            <v>RV</v>
          </cell>
        </row>
        <row r="44">
          <cell r="A44" t="str">
            <v>RV</v>
          </cell>
        </row>
        <row r="45">
          <cell r="A45" t="str">
            <v>TI</v>
          </cell>
        </row>
        <row r="46">
          <cell r="A46" t="str">
            <v>TI</v>
          </cell>
        </row>
        <row r="47">
          <cell r="A47" t="str">
            <v>TI</v>
          </cell>
        </row>
        <row r="48">
          <cell r="A48" t="str">
            <v>TI</v>
          </cell>
        </row>
        <row r="49">
          <cell r="A49" t="str">
            <v>TI</v>
          </cell>
        </row>
        <row r="50">
          <cell r="A50" t="str">
            <v>TI</v>
          </cell>
        </row>
        <row r="51">
          <cell r="A51" t="str">
            <v>TI</v>
          </cell>
        </row>
        <row r="52">
          <cell r="A52" t="str">
            <v>TIC</v>
          </cell>
        </row>
        <row r="53">
          <cell r="A53" t="str">
            <v>TV</v>
          </cell>
        </row>
        <row r="54">
          <cell r="A54" t="str">
            <v>XV</v>
          </cell>
        </row>
        <row r="55">
          <cell r="A55" t="str">
            <v>XV</v>
          </cell>
        </row>
        <row r="56">
          <cell r="A56" t="str">
            <v>XV</v>
          </cell>
        </row>
      </sheetData>
      <sheetData sheetId="4" refreshError="1">
        <row r="4">
          <cell r="A4" t="str">
            <v xml:space="preserve">   United Projects Services LTD.</v>
          </cell>
        </row>
        <row r="5">
          <cell r="A5" t="str">
            <v xml:space="preserve">                       United Projects Services LTD.</v>
          </cell>
        </row>
        <row r="6">
          <cell r="A6" t="str">
            <v xml:space="preserve">  United Projects Services LTD.</v>
          </cell>
        </row>
        <row r="8">
          <cell r="A8" t="str">
            <v xml:space="preserve">Instrument No.: </v>
          </cell>
        </row>
        <row r="9">
          <cell r="A9" t="str">
            <v>P1</v>
          </cell>
        </row>
        <row r="10">
          <cell r="A10" t="str">
            <v>P1</v>
          </cell>
        </row>
        <row r="11">
          <cell r="A11" t="str">
            <v>FIT</v>
          </cell>
        </row>
        <row r="12">
          <cell r="A12" t="str">
            <v>FQ</v>
          </cell>
        </row>
        <row r="13">
          <cell r="A13" t="str">
            <v>FQ</v>
          </cell>
        </row>
        <row r="14">
          <cell r="A14" t="str">
            <v>FQ</v>
          </cell>
        </row>
        <row r="15">
          <cell r="A15" t="str">
            <v>FQ</v>
          </cell>
        </row>
        <row r="16">
          <cell r="A16" t="str">
            <v>FQ</v>
          </cell>
        </row>
        <row r="17">
          <cell r="A17" t="str">
            <v>LT</v>
          </cell>
        </row>
        <row r="18">
          <cell r="A18" t="str">
            <v>LT</v>
          </cell>
        </row>
        <row r="19">
          <cell r="A19" t="str">
            <v>PCV</v>
          </cell>
        </row>
        <row r="20">
          <cell r="A20" t="str">
            <v>PCV</v>
          </cell>
        </row>
        <row r="21">
          <cell r="A21" t="str">
            <v>PCV</v>
          </cell>
        </row>
        <row r="22">
          <cell r="A22" t="str">
            <v>PI</v>
          </cell>
        </row>
        <row r="23">
          <cell r="A23" t="str">
            <v>PI</v>
          </cell>
        </row>
        <row r="24">
          <cell r="A24" t="str">
            <v>PI</v>
          </cell>
        </row>
        <row r="25">
          <cell r="A25" t="str">
            <v>PI</v>
          </cell>
        </row>
        <row r="26">
          <cell r="A26" t="str">
            <v>PI</v>
          </cell>
        </row>
        <row r="27">
          <cell r="A27" t="str">
            <v>PI</v>
          </cell>
        </row>
        <row r="28">
          <cell r="A28" t="str">
            <v>PI</v>
          </cell>
        </row>
        <row r="29">
          <cell r="A29" t="str">
            <v>PI</v>
          </cell>
        </row>
        <row r="30">
          <cell r="A30" t="str">
            <v>PI</v>
          </cell>
        </row>
        <row r="31">
          <cell r="A31" t="str">
            <v>PI</v>
          </cell>
        </row>
        <row r="32">
          <cell r="A32" t="str">
            <v>PI</v>
          </cell>
        </row>
        <row r="33">
          <cell r="A33" t="str">
            <v>PI</v>
          </cell>
        </row>
        <row r="34">
          <cell r="A34" t="str">
            <v>PI</v>
          </cell>
        </row>
        <row r="35">
          <cell r="A35" t="str">
            <v>PI</v>
          </cell>
        </row>
        <row r="36">
          <cell r="A36" t="str">
            <v>PI</v>
          </cell>
        </row>
        <row r="37">
          <cell r="A37" t="str">
            <v>PIT</v>
          </cell>
        </row>
        <row r="38">
          <cell r="A38" t="str">
            <v>PSL</v>
          </cell>
        </row>
        <row r="39">
          <cell r="A39" t="str">
            <v>PSL</v>
          </cell>
        </row>
        <row r="40">
          <cell r="A40" t="str">
            <v>RV</v>
          </cell>
        </row>
        <row r="41">
          <cell r="A41" t="str">
            <v>RV</v>
          </cell>
        </row>
        <row r="42">
          <cell r="A42" t="str">
            <v>RV</v>
          </cell>
        </row>
        <row r="43">
          <cell r="A43" t="str">
            <v>RV</v>
          </cell>
        </row>
        <row r="44">
          <cell r="A44" t="str">
            <v>RV</v>
          </cell>
        </row>
        <row r="45">
          <cell r="A45" t="str">
            <v>TI</v>
          </cell>
        </row>
        <row r="46">
          <cell r="A46" t="str">
            <v>TI</v>
          </cell>
        </row>
        <row r="47">
          <cell r="A47" t="str">
            <v>TI</v>
          </cell>
        </row>
        <row r="48">
          <cell r="A48" t="str">
            <v>TI</v>
          </cell>
        </row>
        <row r="49">
          <cell r="A49" t="str">
            <v>TI</v>
          </cell>
        </row>
        <row r="50">
          <cell r="A50" t="str">
            <v>TI</v>
          </cell>
        </row>
        <row r="51">
          <cell r="A51" t="str">
            <v>TI</v>
          </cell>
        </row>
        <row r="52">
          <cell r="A52" t="str">
            <v>TIC</v>
          </cell>
        </row>
        <row r="53">
          <cell r="A53" t="str">
            <v>TV</v>
          </cell>
        </row>
        <row r="54">
          <cell r="A54" t="str">
            <v>XV</v>
          </cell>
        </row>
        <row r="55">
          <cell r="A55" t="str">
            <v>XV</v>
          </cell>
        </row>
        <row r="56">
          <cell r="A56" t="str">
            <v>XV</v>
          </cell>
        </row>
      </sheetData>
      <sheetData sheetId="5" refreshError="1">
        <row r="4">
          <cell r="A4" t="str">
            <v xml:space="preserve">   United Projects Services LTD.</v>
          </cell>
        </row>
        <row r="5">
          <cell r="A5" t="str">
            <v xml:space="preserve">                       United Projects Services LTD.</v>
          </cell>
        </row>
        <row r="6">
          <cell r="A6" t="str">
            <v xml:space="preserve">  United Projects Services LTD.</v>
          </cell>
        </row>
        <row r="8">
          <cell r="A8" t="str">
            <v>Motor No.:</v>
          </cell>
        </row>
        <row r="9">
          <cell r="A9" t="str">
            <v>P1</v>
          </cell>
        </row>
        <row r="10">
          <cell r="A10" t="str">
            <v>P1</v>
          </cell>
        </row>
        <row r="11">
          <cell r="A11" t="str">
            <v>P1</v>
          </cell>
        </row>
        <row r="12">
          <cell r="A12" t="str">
            <v>FQ</v>
          </cell>
        </row>
        <row r="13">
          <cell r="A13" t="str">
            <v>FQ</v>
          </cell>
        </row>
        <row r="14">
          <cell r="A14" t="str">
            <v>FQ</v>
          </cell>
        </row>
        <row r="15">
          <cell r="A15" t="str">
            <v>FQ</v>
          </cell>
        </row>
        <row r="16">
          <cell r="A16" t="str">
            <v>FQ</v>
          </cell>
        </row>
        <row r="17">
          <cell r="A17" t="str">
            <v>LT</v>
          </cell>
        </row>
        <row r="18">
          <cell r="A18" t="str">
            <v>LT</v>
          </cell>
        </row>
        <row r="19">
          <cell r="A19" t="str">
            <v>PCV</v>
          </cell>
        </row>
        <row r="20">
          <cell r="A20" t="str">
            <v>PCV</v>
          </cell>
        </row>
        <row r="21">
          <cell r="A21" t="str">
            <v>PCV</v>
          </cell>
        </row>
        <row r="22">
          <cell r="A22" t="str">
            <v>PI</v>
          </cell>
        </row>
        <row r="23">
          <cell r="A23" t="str">
            <v>PI</v>
          </cell>
        </row>
        <row r="24">
          <cell r="A24" t="str">
            <v>PI</v>
          </cell>
        </row>
        <row r="25">
          <cell r="A25" t="str">
            <v>PI</v>
          </cell>
        </row>
        <row r="26">
          <cell r="A26" t="str">
            <v>PI</v>
          </cell>
        </row>
        <row r="27">
          <cell r="A27" t="str">
            <v>PI</v>
          </cell>
        </row>
        <row r="28">
          <cell r="A28" t="str">
            <v>PI</v>
          </cell>
        </row>
        <row r="29">
          <cell r="A29" t="str">
            <v>PI</v>
          </cell>
        </row>
        <row r="30">
          <cell r="A30" t="str">
            <v>PI</v>
          </cell>
        </row>
        <row r="31">
          <cell r="A31" t="str">
            <v>PI</v>
          </cell>
        </row>
        <row r="32">
          <cell r="A32" t="str">
            <v>PI</v>
          </cell>
        </row>
        <row r="33">
          <cell r="A33" t="str">
            <v>PI</v>
          </cell>
        </row>
        <row r="34">
          <cell r="A34" t="str">
            <v>PI</v>
          </cell>
        </row>
        <row r="35">
          <cell r="A35" t="str">
            <v>PI</v>
          </cell>
        </row>
        <row r="36">
          <cell r="A36" t="str">
            <v>PI</v>
          </cell>
        </row>
        <row r="37">
          <cell r="A37" t="str">
            <v>PIT</v>
          </cell>
        </row>
        <row r="38">
          <cell r="A38" t="str">
            <v>PSL</v>
          </cell>
        </row>
        <row r="39">
          <cell r="A39" t="str">
            <v>PSL</v>
          </cell>
        </row>
        <row r="40">
          <cell r="A40" t="str">
            <v>RV</v>
          </cell>
        </row>
        <row r="41">
          <cell r="A41" t="str">
            <v>RV</v>
          </cell>
        </row>
        <row r="42">
          <cell r="A42" t="str">
            <v>RV</v>
          </cell>
        </row>
        <row r="43">
          <cell r="A43" t="str">
            <v>RV</v>
          </cell>
        </row>
        <row r="44">
          <cell r="A44" t="str">
            <v>RV</v>
          </cell>
        </row>
        <row r="45">
          <cell r="A45" t="str">
            <v>TI</v>
          </cell>
        </row>
        <row r="46">
          <cell r="A46" t="str">
            <v>TI</v>
          </cell>
        </row>
        <row r="47">
          <cell r="A47" t="str">
            <v>TI</v>
          </cell>
        </row>
        <row r="48">
          <cell r="A48" t="str">
            <v>TI</v>
          </cell>
        </row>
        <row r="49">
          <cell r="A49" t="str">
            <v>TI</v>
          </cell>
        </row>
        <row r="50">
          <cell r="A50" t="str">
            <v>TI</v>
          </cell>
        </row>
        <row r="51">
          <cell r="A51" t="str">
            <v>TI</v>
          </cell>
        </row>
        <row r="52">
          <cell r="A52" t="str">
            <v>TIC</v>
          </cell>
        </row>
        <row r="53">
          <cell r="A53" t="str">
            <v>TV</v>
          </cell>
        </row>
        <row r="54">
          <cell r="A54" t="str">
            <v>XV</v>
          </cell>
        </row>
        <row r="55">
          <cell r="A55" t="str">
            <v>XV</v>
          </cell>
        </row>
        <row r="56">
          <cell r="A56" t="str">
            <v>XV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>
        <row r="2">
          <cell r="A2">
            <v>0</v>
          </cell>
        </row>
      </sheetData>
      <sheetData sheetId="112">
        <row r="2">
          <cell r="A2">
            <v>0</v>
          </cell>
        </row>
      </sheetData>
      <sheetData sheetId="113">
        <row r="2">
          <cell r="A2">
            <v>0</v>
          </cell>
        </row>
      </sheetData>
      <sheetData sheetId="114">
        <row r="2">
          <cell r="A2">
            <v>0</v>
          </cell>
        </row>
      </sheetData>
      <sheetData sheetId="115">
        <row r="2">
          <cell r="A2">
            <v>0</v>
          </cell>
        </row>
      </sheetData>
      <sheetData sheetId="116">
        <row r="2">
          <cell r="A2">
            <v>0</v>
          </cell>
        </row>
      </sheetData>
      <sheetData sheetId="117">
        <row r="2">
          <cell r="A2">
            <v>0</v>
          </cell>
        </row>
      </sheetData>
      <sheetData sheetId="118">
        <row r="2">
          <cell r="A2">
            <v>0</v>
          </cell>
        </row>
      </sheetData>
      <sheetData sheetId="119">
        <row r="2">
          <cell r="A2">
            <v>0</v>
          </cell>
        </row>
      </sheetData>
      <sheetData sheetId="120">
        <row r="2">
          <cell r="A2">
            <v>0</v>
          </cell>
        </row>
      </sheetData>
      <sheetData sheetId="121">
        <row r="2">
          <cell r="A2">
            <v>0</v>
          </cell>
        </row>
      </sheetData>
      <sheetData sheetId="122">
        <row r="2">
          <cell r="A2">
            <v>0</v>
          </cell>
        </row>
      </sheetData>
      <sheetData sheetId="123">
        <row r="2">
          <cell r="A2">
            <v>0</v>
          </cell>
        </row>
      </sheetData>
      <sheetData sheetId="124">
        <row r="2">
          <cell r="A2">
            <v>0</v>
          </cell>
        </row>
      </sheetData>
      <sheetData sheetId="125">
        <row r="2">
          <cell r="A2">
            <v>0</v>
          </cell>
        </row>
      </sheetData>
      <sheetData sheetId="126">
        <row r="2">
          <cell r="A2">
            <v>0</v>
          </cell>
        </row>
      </sheetData>
      <sheetData sheetId="127">
        <row r="2">
          <cell r="A2">
            <v>0</v>
          </cell>
        </row>
      </sheetData>
      <sheetData sheetId="128">
        <row r="2">
          <cell r="A2">
            <v>0</v>
          </cell>
        </row>
      </sheetData>
      <sheetData sheetId="129">
        <row r="2">
          <cell r="A2">
            <v>0</v>
          </cell>
        </row>
      </sheetData>
      <sheetData sheetId="130">
        <row r="2">
          <cell r="A2">
            <v>0</v>
          </cell>
        </row>
      </sheetData>
      <sheetData sheetId="131">
        <row r="2">
          <cell r="A2">
            <v>0</v>
          </cell>
        </row>
      </sheetData>
      <sheetData sheetId="132">
        <row r="2">
          <cell r="A2">
            <v>0</v>
          </cell>
        </row>
      </sheetData>
      <sheetData sheetId="133">
        <row r="2">
          <cell r="A2">
            <v>0</v>
          </cell>
        </row>
      </sheetData>
      <sheetData sheetId="134">
        <row r="2">
          <cell r="A2">
            <v>0</v>
          </cell>
        </row>
      </sheetData>
      <sheetData sheetId="135">
        <row r="2">
          <cell r="A2">
            <v>0</v>
          </cell>
        </row>
      </sheetData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/>
      <sheetData sheetId="412"/>
      <sheetData sheetId="413"/>
      <sheetData sheetId="414"/>
      <sheetData sheetId="415"/>
      <sheetData sheetId="416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 Page"/>
      <sheetName val="Notes"/>
      <sheetName val="Equipment List"/>
      <sheetName val="NPCPP-70-DS-017"/>
    </sheetNames>
    <sheetDataSet>
      <sheetData sheetId="0">
        <row r="7">
          <cell r="A7" t="str">
            <v>PROJECT : WATERFALL</v>
          </cell>
        </row>
        <row r="9">
          <cell r="A9"/>
        </row>
        <row r="19">
          <cell r="D19" t="str">
            <v>44UL1251.2/HLZAJB/M.04/0001/A3</v>
          </cell>
        </row>
      </sheetData>
      <sheetData sheetId="1"/>
      <sheetData sheetId="2"/>
      <sheetData sheetId="3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ESDROP"/>
      <sheetName val="SPEC SHEET"/>
      <sheetName val="Pull-Down Menus"/>
      <sheetName val="RecoveredExternalLink7"/>
    </sheetNames>
    <definedNames>
      <definedName name="Module9.DropData"/>
      <definedName name="Module9.Fittings"/>
    </defined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OSBL Pipelines"/>
      <sheetName val="big Pipelines "/>
      <sheetName val="DN_Table"/>
      <sheetName val="EG_physic_prop"/>
      <sheetName val="Air&amp;N2_physic_prop"/>
      <sheetName val="OSBL lines gas"/>
      <sheetName val="Tabelle1"/>
    </sheetNames>
    <sheetDataSet>
      <sheetData sheetId="0"/>
      <sheetData sheetId="1"/>
      <sheetData sheetId="2"/>
      <sheetData sheetId="3">
        <row r="9">
          <cell r="Q9" t="str">
            <v>15 / 1/2”</v>
          </cell>
        </row>
        <row r="10">
          <cell r="Q10" t="str">
            <v>20 / 3/4”</v>
          </cell>
        </row>
        <row r="11">
          <cell r="Q11" t="str">
            <v>25 / 1”</v>
          </cell>
        </row>
        <row r="12">
          <cell r="Q12" t="str">
            <v>32 / 1 1/4”</v>
          </cell>
        </row>
        <row r="13">
          <cell r="Q13" t="str">
            <v>40 / 1 1/2”</v>
          </cell>
        </row>
        <row r="14">
          <cell r="Q14" t="str">
            <v>50 / 2”</v>
          </cell>
        </row>
        <row r="15">
          <cell r="Q15" t="str">
            <v>65 / 2 1/2"</v>
          </cell>
        </row>
        <row r="16">
          <cell r="Q16" t="str">
            <v>80 / 3”</v>
          </cell>
        </row>
        <row r="17">
          <cell r="Q17" t="str">
            <v>100 / 4”</v>
          </cell>
        </row>
        <row r="18">
          <cell r="Q18" t="str">
            <v>125 / 5"</v>
          </cell>
        </row>
        <row r="19">
          <cell r="Q19" t="str">
            <v>150 / 6”</v>
          </cell>
        </row>
        <row r="20">
          <cell r="Q20" t="str">
            <v>200 / 8”</v>
          </cell>
        </row>
        <row r="21">
          <cell r="Q21" t="str">
            <v>250 / 10”</v>
          </cell>
        </row>
        <row r="22">
          <cell r="Q22" t="str">
            <v>300 / 12”</v>
          </cell>
        </row>
        <row r="23">
          <cell r="Q23" t="str">
            <v>350 / 14”</v>
          </cell>
        </row>
        <row r="24">
          <cell r="Q24" t="str">
            <v>400 / 16”</v>
          </cell>
        </row>
        <row r="25">
          <cell r="Q25" t="str">
            <v>500 / 20”</v>
          </cell>
        </row>
        <row r="26">
          <cell r="Q26" t="str">
            <v>600 / 24”</v>
          </cell>
        </row>
        <row r="27">
          <cell r="Q27" t="str">
            <v>700 / 28”</v>
          </cell>
        </row>
        <row r="28">
          <cell r="Q28" t="str">
            <v>800 / 32”</v>
          </cell>
        </row>
        <row r="29">
          <cell r="Q29" t="str">
            <v>900 / 36”</v>
          </cell>
        </row>
        <row r="30">
          <cell r="Q30" t="str">
            <v>1000 / 40”</v>
          </cell>
        </row>
      </sheetData>
      <sheetData sheetId="4"/>
      <sheetData sheetId="5"/>
      <sheetData sheetId="6"/>
      <sheetData sheetId="7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cess Data Sheet 1"/>
      <sheetName val="Process Data Sheet 2"/>
      <sheetName val="Process Data 1"/>
      <sheetName val="BILAL2"/>
      <sheetName val="Sheet1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evel1"/>
      <sheetName val="Level2"/>
      <sheetName val="Level3"/>
      <sheetName val="Level 1 (original)"/>
      <sheetName val="Level 2&amp;3"/>
      <sheetName val="Cost Accural"/>
      <sheetName val="Paydoc"/>
      <sheetName val="Future Lead"/>
      <sheetName val="2phases"/>
      <sheetName val="Classes"/>
      <sheetName val="Criteria"/>
      <sheetName val="Diameters"/>
      <sheetName val="Data Iso"/>
      <sheetName val="Cover"/>
      <sheetName val="a"/>
      <sheetName val="b"/>
      <sheetName val="2"/>
      <sheetName val="3"/>
      <sheetName val="4"/>
      <sheetName val="5"/>
      <sheetName val="6"/>
      <sheetName val="7"/>
      <sheetName val="8"/>
      <sheetName val="9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aiyun Jitlang" refreshedDate="46269.877665162043" createdVersion="8" refreshedVersion="8" minRefreshableVersion="3" recordCount="1060" xr:uid="{00000000-000A-0000-FFFF-FFFF1E000000}">
  <cacheSource type="worksheet">
    <worksheetSource name="tbl_IO_List"/>
  </cacheSource>
  <cacheFields count="38">
    <cacheField name=" Reference Designation" numFmtId="0">
      <sharedItems/>
    </cacheField>
    <cacheField name="Column5" numFmtId="0">
      <sharedItems containsBlank="1"/>
    </cacheField>
    <cacheField name="Column4" numFmtId="0">
      <sharedItems containsBlank="1"/>
    </cacheField>
    <cacheField name="Destination" numFmtId="0">
      <sharedItems containsBlank="1" count="17">
        <s v="JB-601"/>
        <s v="JB-607"/>
        <s v="JB-612"/>
        <s v="MCC"/>
        <s v="CA1"/>
        <s v="JB-401"/>
        <s v="JB-402"/>
        <s v="JB-602"/>
        <s v="IS-JB-603"/>
        <s v="IS-JB-618"/>
        <s v="JB-618"/>
        <s v="IS-JB-608"/>
        <s v="IS-JB-612"/>
        <s v="JB-606"/>
        <s v="JB-608"/>
        <m/>
        <s v="RIO-200"/>
      </sharedItems>
    </cacheField>
    <cacheField name="Junction Box Location" numFmtId="0">
      <sharedItems/>
    </cacheField>
    <cacheField name="Master Zone" numFmtId="0">
      <sharedItems containsBlank="1" count="14">
        <s v="JB-601"/>
        <s v="MCC"/>
        <s v="JB-607"/>
        <s v="JB-612"/>
        <s v="JB-401"/>
        <s v="JB-602"/>
        <s v="JB-618"/>
        <s v="RIO-200"/>
        <m/>
        <s v="JB-606"/>
        <s v="CA1"/>
        <s v="JB-402"/>
        <s v="JB-603"/>
        <s v="JB-608"/>
      </sharedItems>
    </cacheField>
    <cacheField name="Cable-Tag" numFmtId="0">
      <sharedItems containsNonDate="0" containsString="0" containsBlank="1"/>
    </cacheField>
    <cacheField name="Zone" numFmtId="0">
      <sharedItems containsBlank="1"/>
    </cacheField>
    <cacheField name="Instruement Tag" numFmtId="0">
      <sharedItems containsMixedTypes="1" containsNumber="1" containsInteger="1" minValue="0" maxValue="0"/>
    </cacheField>
    <cacheField name="Terminal Group" numFmtId="0">
      <sharedItems containsBlank="1" containsMixedTypes="1" containsNumber="1" containsInteger="1" minValue="1" maxValue="1"/>
    </cacheField>
    <cacheField name="Teminal Group Destination" numFmtId="0">
      <sharedItems containsNonDate="0" containsString="0" containsBlank="1"/>
    </cacheField>
    <cacheField name="Instruement_Description" numFmtId="0">
      <sharedItems containsMixedTypes="1" containsNumber="1" containsInteger="1" minValue="0" maxValue="0"/>
    </cacheField>
    <cacheField name="Floor" numFmtId="0">
      <sharedItems containsBlank="1"/>
    </cacheField>
    <cacheField name="P&amp;ID No. 3.3" numFmtId="0">
      <sharedItems containsBlank="1"/>
    </cacheField>
    <cacheField name="P&amp;ID No. 3.5" numFmtId="0">
      <sharedItems containsBlank="1"/>
    </cacheField>
    <cacheField name="Control Description" numFmtId="0">
      <sharedItems/>
    </cacheField>
    <cacheField name="Require IO" numFmtId="0">
      <sharedItems/>
    </cacheField>
    <cacheField name="PLC_Tag" numFmtId="0">
      <sharedItems/>
    </cacheField>
    <cacheField name="I/O Type" numFmtId="0">
      <sharedItems containsBlank="1" count="6">
        <s v="DI"/>
        <s v="DO"/>
        <s v="BUS"/>
        <s v="AI"/>
        <s v="AO"/>
        <m u="1"/>
      </sharedItems>
    </cacheField>
    <cacheField name="IO_ID" numFmtId="0">
      <sharedItems containsSemiMixedTypes="0" containsString="0" containsNumber="1" containsInteger="1" minValue="0" maxValue="4"/>
    </cacheField>
    <cacheField name="IO-Point (Instruement)" numFmtId="0">
      <sharedItems containsString="0" containsBlank="1" containsNumber="1" containsInteger="1" minValue="0" maxValue="3"/>
    </cacheField>
    <cacheField name="Column23" numFmtId="0">
      <sharedItems/>
    </cacheField>
    <cacheField name="Column22" numFmtId="0">
      <sharedItems/>
    </cacheField>
    <cacheField name="Column3" numFmtId="0">
      <sharedItems/>
    </cacheField>
    <cacheField name="Column332" numFmtId="0">
      <sharedItems/>
    </cacheField>
    <cacheField name="Column34" numFmtId="0">
      <sharedItems/>
    </cacheField>
    <cacheField name="Chassis" numFmtId="0">
      <sharedItems containsBlank="1" count="7">
        <s v="C0"/>
        <s v="C1"/>
        <s v="C2"/>
        <s v="C3"/>
        <s v="C4"/>
        <s v="C5"/>
        <m u="1"/>
      </sharedItems>
    </cacheField>
    <cacheField name="Slot" numFmtId="0">
      <sharedItems containsSemiMixedTypes="0" containsString="0" containsNumber="1" containsInteger="1" minValue="0" maxValue="11" count="12">
        <n v="2"/>
        <n v="3"/>
        <n v="6"/>
        <n v="0"/>
        <n v="1"/>
        <n v="5"/>
        <n v="4"/>
        <n v="7"/>
        <n v="9"/>
        <n v="10"/>
        <n v="8"/>
        <n v="11"/>
      </sharedItems>
    </cacheField>
    <cacheField name="Point" numFmtId="0">
      <sharedItems containsSemiMixedTypes="0" containsString="0" containsNumber="1" containsInteger="1" minValue="0" maxValue="31"/>
    </cacheField>
    <cacheField name="Terminal" numFmtId="0">
      <sharedItems containsNonDate="0" containsString="0" containsBlank="1"/>
    </cacheField>
    <cacheField name="DI" numFmtId="0">
      <sharedItems containsSemiMixedTypes="0" containsString="0" containsNumber="1" containsInteger="1" minValue="0" maxValue="3"/>
    </cacheField>
    <cacheField name="DO" numFmtId="0">
      <sharedItems containsSemiMixedTypes="0" containsString="0" containsNumber="1" containsInteger="1" minValue="0" maxValue="2"/>
    </cacheField>
    <cacheField name="AI" numFmtId="0">
      <sharedItems containsSemiMixedTypes="0" containsString="0" containsNumber="1" containsInteger="1" minValue="0" maxValue="2"/>
    </cacheField>
    <cacheField name="AO" numFmtId="0">
      <sharedItems containsSemiMixedTypes="0" containsString="0" containsNumber="1" containsInteger="1" minValue="0" maxValue="1"/>
    </cacheField>
    <cacheField name="Bus" numFmtId="0">
      <sharedItems containsSemiMixedTypes="0" containsString="0" containsNumber="1" containsInteger="1" minValue="0" maxValue="1"/>
    </cacheField>
    <cacheField name="Bus Address" numFmtId="0">
      <sharedItems containsNonDate="0" containsString="0" containsBlank="1"/>
    </cacheField>
    <cacheField name="Signal Type" numFmtId="0">
      <sharedItems containsBlank="1" containsMixedTypes="1" containsNumber="1" containsInteger="1" minValue="0" maxValue="0"/>
    </cacheField>
    <cacheField name="Chec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60">
  <r>
    <s v="MCC"/>
    <m/>
    <m/>
    <x v="0"/>
    <s v="Spray Dryer 1st Floor"/>
    <x v="0"/>
    <m/>
    <s v="Spray Dryer"/>
    <s v="PCY-60205"/>
    <m/>
    <m/>
    <e v="#N/A"/>
    <s v="1st"/>
    <s v="325-01-600-PD-01"/>
    <s v="-"/>
    <e v="#N/A"/>
    <s v="Require I/O DI= 3,DO=1,AI=0,AO=0,Bus=1"/>
    <s v="PCY-60205_DI_1"/>
    <x v="0"/>
    <n v="1"/>
    <n v="1"/>
    <s v="C0S02DI"/>
    <s v="C0S02DI03"/>
    <s v="C0S02,03"/>
    <s v="DI"/>
    <s v="Require I/O DI= 3,DO=1,AI=0,AO=0,Bus=1"/>
    <x v="0"/>
    <x v="0"/>
    <n v="3"/>
    <m/>
    <n v="3"/>
    <n v="1"/>
    <n v="0"/>
    <n v="0"/>
    <n v="1"/>
    <m/>
    <e v="#N/A"/>
    <m/>
  </r>
  <r>
    <s v="MCC"/>
    <m/>
    <m/>
    <x v="0"/>
    <s v="Spray Dryer 1st Floor"/>
    <x v="0"/>
    <m/>
    <s v="Spray Dryer"/>
    <s v="PCY-60205"/>
    <m/>
    <m/>
    <e v="#N/A"/>
    <s v="1st"/>
    <s v="325-01-600-PD-01"/>
    <s v="-"/>
    <e v="#N/A"/>
    <s v="Require I/O DI= 3,DO=1,AI=0,AO=0,Bus=1"/>
    <s v="PCY-60205_DI_2"/>
    <x v="0"/>
    <n v="1"/>
    <n v="2"/>
    <s v="C0S02DI"/>
    <s v="C0S02DI04"/>
    <s v="C0S02,04"/>
    <s v="DI"/>
    <s v="Require I/O DI= 3,DO=1,AI=0,AO=0,Bus=1"/>
    <x v="0"/>
    <x v="0"/>
    <n v="4"/>
    <m/>
    <n v="3"/>
    <n v="1"/>
    <n v="0"/>
    <n v="0"/>
    <n v="1"/>
    <m/>
    <e v="#N/A"/>
    <m/>
  </r>
  <r>
    <s v="MCC"/>
    <m/>
    <m/>
    <x v="0"/>
    <s v="Spray Dryer 1st Floor"/>
    <x v="1"/>
    <m/>
    <s v="Spray Dryer"/>
    <s v="PCY-60205"/>
    <m/>
    <m/>
    <e v="#N/A"/>
    <s v="1st"/>
    <s v="325-01-600-PD-01"/>
    <s v="-"/>
    <e v="#N/A"/>
    <s v="Require I/O DI= 3,DO=1,AI=0,AO=0,Bus=1"/>
    <s v="PCY-60205_DI_3"/>
    <x v="0"/>
    <n v="1"/>
    <n v="3"/>
    <s v="C0S03DI"/>
    <s v="C0S03DI25"/>
    <s v="C0S03,25"/>
    <s v="DI"/>
    <s v="Require I/O DI= 3,DO=1,AI=0,AO=0,Bus=1"/>
    <x v="0"/>
    <x v="1"/>
    <n v="25"/>
    <m/>
    <n v="3"/>
    <n v="1"/>
    <n v="0"/>
    <n v="0"/>
    <n v="1"/>
    <m/>
    <e v="#N/A"/>
    <m/>
  </r>
  <r>
    <s v="MCC"/>
    <m/>
    <m/>
    <x v="0"/>
    <s v="Spray Dryer 1st Floor"/>
    <x v="1"/>
    <m/>
    <s v="Spray Dryer"/>
    <s v="PCY-60205"/>
    <m/>
    <m/>
    <e v="#N/A"/>
    <s v="1st"/>
    <s v="325-01-600-PD-01"/>
    <s v="-"/>
    <e v="#N/A"/>
    <s v="Require I/O DI= 3,DO=1,AI=0,AO=0,Bus=1"/>
    <s v="PCY-60205_DO_1"/>
    <x v="1"/>
    <n v="2"/>
    <n v="1"/>
    <s v="C0S06DO"/>
    <s v="C0S06DO31"/>
    <s v="C0S06,31"/>
    <s v="DO"/>
    <s v="Require I/O DI= 3,DO=1,AI=0,AO=0,Bus=1"/>
    <x v="0"/>
    <x v="2"/>
    <n v="31"/>
    <m/>
    <n v="3"/>
    <n v="1"/>
    <n v="0"/>
    <n v="0"/>
    <n v="1"/>
    <m/>
    <e v="#N/A"/>
    <m/>
  </r>
  <r>
    <s v="MCC"/>
    <m/>
    <m/>
    <x v="0"/>
    <s v="Spray Dryer 1st Floor"/>
    <x v="0"/>
    <m/>
    <s v="Spray Dryer"/>
    <s v="PCY-60205"/>
    <m/>
    <m/>
    <e v="#N/A"/>
    <s v="1st"/>
    <s v="325-01-600-PD-01"/>
    <s v="-"/>
    <e v="#N/A"/>
    <s v="Require I/O DI= 3,DO=1,AI=0,AO=0,Bus=1"/>
    <s v="PCY-60205_BUS_1"/>
    <x v="2"/>
    <n v="0"/>
    <n v="1"/>
    <s v="C0S00BUS"/>
    <s v="C0S00BUS00"/>
    <s v="C0S00,00"/>
    <s v="BUS"/>
    <s v="Require I/O DI= 3,DO=1,AI=0,AO=0,Bus=1"/>
    <x v="0"/>
    <x v="3"/>
    <n v="0"/>
    <m/>
    <n v="3"/>
    <n v="1"/>
    <n v="0"/>
    <n v="0"/>
    <n v="1"/>
    <m/>
    <s v="BUS"/>
    <m/>
  </r>
  <r>
    <s v="MCC"/>
    <m/>
    <m/>
    <x v="1"/>
    <s v="Spray Dryer 7th Floor"/>
    <x v="2"/>
    <m/>
    <s v="Spray Dryer"/>
    <s v="COM-FH-60210B"/>
    <m/>
    <m/>
    <n v="0"/>
    <s v="7th"/>
    <s v="325-01-600-PD-06"/>
    <s v="-"/>
    <s v="Communication Signal"/>
    <s v="Require I/O DI= 0,DO=0,AI=0,AO=0,Bus=1"/>
    <s v="COM-FH-60210B_BUS_1"/>
    <x v="2"/>
    <n v="0"/>
    <n v="1"/>
    <s v="C0S00BUS"/>
    <s v="C0S00BUS00"/>
    <s v="C0S00,00"/>
    <s v="BUS"/>
    <s v="Require I/O DI= 0,DO=0,AI=0,AO=0,Bus=1"/>
    <x v="0"/>
    <x v="3"/>
    <n v="0"/>
    <m/>
    <n v="0"/>
    <n v="0"/>
    <n v="0"/>
    <n v="0"/>
    <n v="1"/>
    <m/>
    <s v="BUS"/>
    <m/>
  </r>
  <r>
    <s v="MCC"/>
    <m/>
    <m/>
    <x v="2"/>
    <s v="Packing Tower 2th Floor"/>
    <x v="3"/>
    <m/>
    <s v="Packing Tower"/>
    <s v="Communication Signal"/>
    <m/>
    <m/>
    <e v="#N/A"/>
    <s v="1st"/>
    <s v="325-01-613-PD-02"/>
    <s v="-"/>
    <e v="#N/A"/>
    <s v="Require I/O DI= 0,DO=0,AI=0,AO=0,Bus=1"/>
    <s v="Communication Signal_BUS_1"/>
    <x v="2"/>
    <n v="0"/>
    <n v="1"/>
    <s v="C0S00BUS"/>
    <s v="C0S00BUS00"/>
    <s v="C0S00,00"/>
    <s v="BUS"/>
    <s v="Require I/O DI= 0,DO=0,AI=0,AO=0,Bus=1"/>
    <x v="0"/>
    <x v="3"/>
    <n v="0"/>
    <m/>
    <n v="0"/>
    <n v="0"/>
    <n v="0"/>
    <n v="0"/>
    <n v="1"/>
    <m/>
    <s v="BUS"/>
    <m/>
  </r>
  <r>
    <s v="MCC"/>
    <m/>
    <m/>
    <x v="3"/>
    <s v="MCC Room"/>
    <x v="4"/>
    <m/>
    <s v="PH Adjustment"/>
    <s v="ATY-40201"/>
    <m/>
    <m/>
    <s v="Tank Agitator"/>
    <s v="1st"/>
    <s v="325-01-400-PD-01"/>
    <s v="3-25-01-402-PD-01"/>
    <s v=" Start / Stop Command for VSD AT-40201"/>
    <s v="Require I/O DI= 3,DO=1,AI=0,AO=0,Bus=1"/>
    <s v="ATY-40201_DI_1"/>
    <x v="0"/>
    <n v="1"/>
    <n v="1"/>
    <s v="C0S01DI"/>
    <s v="C0S01DI08"/>
    <s v="C0S01,08"/>
    <s v="DI"/>
    <s v="Require I/O DI= 3,DO=1,AI=0,AO=0,Bus=1"/>
    <x v="0"/>
    <x v="4"/>
    <n v="8"/>
    <m/>
    <n v="3"/>
    <n v="1"/>
    <n v="0"/>
    <n v="0"/>
    <n v="1"/>
    <m/>
    <s v="24 VDC energized"/>
    <s v="x"/>
  </r>
  <r>
    <s v="MCC"/>
    <m/>
    <m/>
    <x v="3"/>
    <s v="MCC Room"/>
    <x v="4"/>
    <m/>
    <s v="PH Adjustment"/>
    <s v="ATY-40201"/>
    <m/>
    <m/>
    <s v="Tank Agitator"/>
    <s v="1st"/>
    <s v="325-01-400-PD-01"/>
    <s v="3-25-01-402-PD-01"/>
    <s v=" Start / Stop Command for VSD AT-40201"/>
    <s v="Require I/O DI= 3,DO=1,AI=0,AO=0,Bus=1"/>
    <s v="ATY-40201_DI_2"/>
    <x v="0"/>
    <n v="1"/>
    <n v="2"/>
    <s v="C0S01DI"/>
    <s v="C0S01DI09"/>
    <s v="C0S01,09"/>
    <s v="DI"/>
    <s v="Require I/O DI= 3,DO=1,AI=0,AO=0,Bus=1"/>
    <x v="0"/>
    <x v="4"/>
    <n v="9"/>
    <m/>
    <n v="3"/>
    <n v="1"/>
    <n v="0"/>
    <n v="0"/>
    <n v="1"/>
    <m/>
    <s v="24 VDC energized"/>
    <s v="x"/>
  </r>
  <r>
    <s v="MCC"/>
    <m/>
    <m/>
    <x v="3"/>
    <s v="MCC Room"/>
    <x v="4"/>
    <m/>
    <s v="PH Adjustment"/>
    <s v="ATY-40201"/>
    <m/>
    <m/>
    <s v="Tank Agitator"/>
    <s v="1st"/>
    <s v="325-01-400-PD-01"/>
    <s v="3-25-01-402-PD-01"/>
    <s v=" Start / Stop Command for VSD AT-40201"/>
    <s v="Require I/O DI= 3,DO=1,AI=0,AO=0,Bus=1"/>
    <s v="ATY-40201_DI_3"/>
    <x v="0"/>
    <n v="1"/>
    <n v="3"/>
    <s v="C0S01DI"/>
    <s v="C0S01DI10"/>
    <s v="C0S01,10"/>
    <s v="DI"/>
    <s v="Require I/O DI= 3,DO=1,AI=0,AO=0,Bus=1"/>
    <x v="0"/>
    <x v="4"/>
    <n v="10"/>
    <m/>
    <n v="3"/>
    <n v="1"/>
    <n v="0"/>
    <n v="0"/>
    <n v="1"/>
    <m/>
    <s v="24 VDC energized"/>
    <s v="x"/>
  </r>
  <r>
    <s v="MCC"/>
    <m/>
    <m/>
    <x v="3"/>
    <s v="MCC Room"/>
    <x v="4"/>
    <m/>
    <s v="PH Adjustment"/>
    <s v="ATY-40201"/>
    <m/>
    <m/>
    <s v="Tank Agitator"/>
    <s v="1st"/>
    <s v="325-01-400-PD-01"/>
    <s v="3-25-01-402-PD-01"/>
    <s v=" Start / Stop Command for VSD AT-40201"/>
    <s v="Require I/O DI= 3,DO=1,AI=0,AO=0,Bus=1"/>
    <s v="ATY-40201_DO_1"/>
    <x v="1"/>
    <n v="2"/>
    <n v="1"/>
    <s v="C0S05DO"/>
    <s v="C0S05DO08"/>
    <s v="C0S05,08"/>
    <s v="DO"/>
    <s v="Require I/O DI= 3,DO=1,AI=0,AO=0,Bus=1"/>
    <x v="0"/>
    <x v="5"/>
    <n v="8"/>
    <m/>
    <n v="3"/>
    <n v="1"/>
    <n v="0"/>
    <n v="0"/>
    <n v="1"/>
    <m/>
    <s v="24 VDC energized"/>
    <s v="x"/>
  </r>
  <r>
    <s v="MCC"/>
    <m/>
    <m/>
    <x v="3"/>
    <s v="MCC Room"/>
    <x v="4"/>
    <m/>
    <s v="PH Adjustment"/>
    <s v="ATY-40201"/>
    <m/>
    <m/>
    <s v="Tank Agitator"/>
    <s v="1st"/>
    <s v="325-01-400-PD-01"/>
    <s v="3-25-01-402-PD-01"/>
    <s v=" Start / Stop Command for VSD AT-40201"/>
    <s v="Require I/O DI= 3,DO=1,AI=0,AO=0,Bus=1"/>
    <s v="ATY-40201_BUS_1"/>
    <x v="2"/>
    <n v="0"/>
    <n v="1"/>
    <s v="C0S00BUS"/>
    <s v="C0S00BUS00"/>
    <s v="C0S00,00"/>
    <s v="BUS"/>
    <s v="Require I/O DI= 3,DO=1,AI=0,AO=0,Bus=1"/>
    <x v="0"/>
    <x v="3"/>
    <n v="0"/>
    <m/>
    <n v="3"/>
    <n v="1"/>
    <n v="0"/>
    <n v="0"/>
    <n v="1"/>
    <m/>
    <s v="BUS"/>
    <s v="x"/>
  </r>
  <r>
    <s v="MCC"/>
    <m/>
    <m/>
    <x v="3"/>
    <s v="MCC Room"/>
    <x v="4"/>
    <m/>
    <s v="PH Adjustment"/>
    <s v="ATY-40202"/>
    <m/>
    <m/>
    <s v="Tank Agitator"/>
    <s v="1st"/>
    <s v="325-01-400-PD-01"/>
    <s v="3-25-01-402-PD-01"/>
    <s v=" Start / Stop Command for VSD AT-40202"/>
    <s v="Require I/O DI= 3,DO=1,AI=0,AO=0,Bus=1"/>
    <s v="ATY-40202_DI_1"/>
    <x v="0"/>
    <n v="1"/>
    <n v="1"/>
    <s v="C0S01DI"/>
    <s v="C0S01DI11"/>
    <s v="C0S01,11"/>
    <s v="DI"/>
    <s v="Require I/O DI= 3,DO=1,AI=0,AO=0,Bus=1"/>
    <x v="0"/>
    <x v="4"/>
    <n v="11"/>
    <m/>
    <n v="3"/>
    <n v="1"/>
    <n v="0"/>
    <n v="0"/>
    <n v="1"/>
    <m/>
    <s v="24 VDC energized"/>
    <s v="x"/>
  </r>
  <r>
    <s v="MCC"/>
    <m/>
    <m/>
    <x v="3"/>
    <s v="MCC Room"/>
    <x v="4"/>
    <m/>
    <s v="PH Adjustment"/>
    <s v="ATY-40202"/>
    <m/>
    <m/>
    <s v="Tank Agitator"/>
    <s v="1st"/>
    <s v="325-01-400-PD-01"/>
    <s v="3-25-01-402-PD-01"/>
    <s v=" Start / Stop Command for VSD AT-40202"/>
    <s v="Require I/O DI= 3,DO=1,AI=0,AO=0,Bus=1"/>
    <s v="ATY-40202_DI_2"/>
    <x v="0"/>
    <n v="1"/>
    <n v="2"/>
    <s v="C0S01DI"/>
    <s v="C0S01DI12"/>
    <s v="C0S01,12"/>
    <s v="DI"/>
    <s v="Require I/O DI= 3,DO=1,AI=0,AO=0,Bus=1"/>
    <x v="0"/>
    <x v="4"/>
    <n v="12"/>
    <m/>
    <n v="3"/>
    <n v="1"/>
    <n v="0"/>
    <n v="0"/>
    <n v="1"/>
    <m/>
    <s v="24 VDC energized"/>
    <s v="x"/>
  </r>
  <r>
    <s v="MCC"/>
    <m/>
    <m/>
    <x v="3"/>
    <s v="MCC Room"/>
    <x v="4"/>
    <m/>
    <s v="PH Adjustment"/>
    <s v="ATY-40202"/>
    <m/>
    <m/>
    <s v="Tank Agitator"/>
    <s v="1st"/>
    <s v="325-01-400-PD-01"/>
    <s v="3-25-01-402-PD-01"/>
    <s v=" Start / Stop Command for VSD AT-40202"/>
    <s v="Require I/O DI= 3,DO=1,AI=0,AO=0,Bus=1"/>
    <s v="ATY-40202_DI_3"/>
    <x v="0"/>
    <n v="1"/>
    <n v="3"/>
    <s v="C0S01DI"/>
    <s v="C0S01DI13"/>
    <s v="C0S01,13"/>
    <s v="DI"/>
    <s v="Require I/O DI= 3,DO=1,AI=0,AO=0,Bus=1"/>
    <x v="0"/>
    <x v="4"/>
    <n v="13"/>
    <m/>
    <n v="3"/>
    <n v="1"/>
    <n v="0"/>
    <n v="0"/>
    <n v="1"/>
    <m/>
    <s v="24 VDC energized"/>
    <s v="x"/>
  </r>
  <r>
    <s v="MCC"/>
    <m/>
    <m/>
    <x v="3"/>
    <s v="MCC Room"/>
    <x v="4"/>
    <m/>
    <s v="PH Adjustment"/>
    <s v="ATY-40202"/>
    <m/>
    <m/>
    <s v="Tank Agitator"/>
    <s v="1st"/>
    <s v="325-01-400-PD-01"/>
    <s v="3-25-01-402-PD-01"/>
    <s v=" Start / Stop Command for VSD AT-40202"/>
    <s v="Require I/O DI= 1,DO=1,AI=0,AO=0,Bus=1"/>
    <s v="ATY-40202_DO_1"/>
    <x v="1"/>
    <n v="2"/>
    <n v="1"/>
    <s v="C0S05DO"/>
    <s v="C0S05DO09"/>
    <s v="C0S05,09"/>
    <s v="DO"/>
    <s v="Require I/O DI= 1,DO=1,AI=0,AO=0,Bus=1"/>
    <x v="0"/>
    <x v="5"/>
    <n v="9"/>
    <m/>
    <n v="1"/>
    <n v="1"/>
    <n v="0"/>
    <n v="0"/>
    <n v="1"/>
    <m/>
    <s v="24 VDC energized"/>
    <m/>
  </r>
  <r>
    <s v="MCC"/>
    <m/>
    <m/>
    <x v="3"/>
    <s v="MCC Room"/>
    <x v="4"/>
    <m/>
    <s v="PH Adjustment"/>
    <s v="ATY-40202"/>
    <m/>
    <m/>
    <s v="Tank Agitator"/>
    <s v="1st"/>
    <s v="325-01-400-PD-01"/>
    <s v="3-25-01-402-PD-01"/>
    <s v=" Start / Stop Command for VSD AT-40202"/>
    <s v="Require I/O DI= 3,DO=1,AI=0,AO=0,Bus=1"/>
    <s v="ATY-40202_BUS_1"/>
    <x v="2"/>
    <n v="0"/>
    <n v="1"/>
    <s v="C0S00BUS"/>
    <s v="C0S00BUS00"/>
    <s v="C0S00,00"/>
    <s v="BUS"/>
    <s v="Require I/O DI= 3,DO=1,AI=0,AO=0,Bus=1"/>
    <x v="0"/>
    <x v="3"/>
    <n v="0"/>
    <m/>
    <n v="3"/>
    <n v="1"/>
    <n v="0"/>
    <n v="0"/>
    <n v="1"/>
    <m/>
    <s v="BUS"/>
    <s v="x"/>
  </r>
  <r>
    <s v="MCC"/>
    <m/>
    <m/>
    <x v="3"/>
    <s v="MCC Room"/>
    <x v="4"/>
    <m/>
    <s v="Infeed Tank"/>
    <s v="ATY-40203"/>
    <m/>
    <m/>
    <s v="Tank Agitator"/>
    <s v="1st"/>
    <s v="325-01-400-PD-02"/>
    <s v="3-25-01-402-PD-02"/>
    <s v=" Start / Stop Command for VSD AT-40203"/>
    <s v="Require I/O DI= 3,DO=1,AI=0,AO=0,Bus=1"/>
    <s v="ATY-40203_DI_1"/>
    <x v="0"/>
    <n v="1"/>
    <n v="1"/>
    <s v="C0S01DI"/>
    <s v="C0S01DI14"/>
    <s v="C0S01,14"/>
    <s v="DI"/>
    <s v="Require I/O DI= 3,DO=1,AI=0,AO=0,Bus=1"/>
    <x v="0"/>
    <x v="4"/>
    <n v="14"/>
    <m/>
    <n v="3"/>
    <n v="1"/>
    <n v="0"/>
    <n v="0"/>
    <n v="1"/>
    <m/>
    <s v="24 VDC energized"/>
    <s v="x"/>
  </r>
  <r>
    <s v="MCC"/>
    <m/>
    <m/>
    <x v="3"/>
    <s v="MCC Room"/>
    <x v="4"/>
    <m/>
    <s v="Infeed Tank"/>
    <s v="ATY-40203"/>
    <m/>
    <m/>
    <s v="Tank Agitator"/>
    <s v="1st"/>
    <s v="325-01-400-PD-02"/>
    <s v="3-25-01-402-PD-02"/>
    <s v=" Start / Stop Command for VSD AT-40203"/>
    <s v="Require I/O DI= 3,DO=1,AI=0,AO=0,Bus=1"/>
    <s v="ATY-40203_DI_2"/>
    <x v="0"/>
    <n v="1"/>
    <n v="2"/>
    <s v="C0S01DI"/>
    <s v="C0S01DI15"/>
    <s v="C0S01,15"/>
    <s v="DI"/>
    <s v="Require I/O DI= 3,DO=1,AI=0,AO=0,Bus=1"/>
    <x v="0"/>
    <x v="4"/>
    <n v="15"/>
    <m/>
    <n v="3"/>
    <n v="1"/>
    <n v="0"/>
    <n v="0"/>
    <n v="1"/>
    <m/>
    <s v="24 VDC energized"/>
    <s v="x"/>
  </r>
  <r>
    <s v="MCC"/>
    <m/>
    <m/>
    <x v="3"/>
    <s v="MCC Room"/>
    <x v="4"/>
    <m/>
    <s v="Infeed Tank"/>
    <s v="ATY-40203"/>
    <m/>
    <m/>
    <s v="Tank Agitator"/>
    <s v="1st"/>
    <s v="325-01-400-PD-02"/>
    <s v="3-25-01-402-PD-02"/>
    <s v=" Start / Stop Command for VSD AT-40203"/>
    <s v="Require I/O DI= 3,DO=1,AI=0,AO=0,Bus=1"/>
    <s v="ATY-40203_DI_3"/>
    <x v="0"/>
    <n v="1"/>
    <n v="3"/>
    <s v="C0S01DI"/>
    <s v="C0S01DI16"/>
    <s v="C0S01,16"/>
    <s v="DI"/>
    <s v="Require I/O DI= 3,DO=1,AI=0,AO=0,Bus=1"/>
    <x v="0"/>
    <x v="4"/>
    <n v="16"/>
    <m/>
    <n v="3"/>
    <n v="1"/>
    <n v="0"/>
    <n v="0"/>
    <n v="1"/>
    <m/>
    <s v="24 VDC energized"/>
    <s v="x"/>
  </r>
  <r>
    <s v="MCC"/>
    <m/>
    <m/>
    <x v="3"/>
    <s v="MCC Room"/>
    <x v="4"/>
    <m/>
    <s v="Infeed Tank"/>
    <s v="ATY-40203"/>
    <m/>
    <m/>
    <s v="Tank Agitator"/>
    <s v="1st"/>
    <s v="325-01-400-PD-02"/>
    <s v="3-25-01-402-PD-02"/>
    <s v=" Start / Stop Command for VSD AT-40203"/>
    <s v="Require I/O DI= 3,DO=1,AI=0,AO=0,Bus=1"/>
    <s v="ATY-40203_DO_1"/>
    <x v="1"/>
    <n v="2"/>
    <n v="1"/>
    <s v="C0S05DO"/>
    <s v="C0S05DO10"/>
    <s v="C0S05,10"/>
    <s v="DO"/>
    <s v="Require I/O DI= 3,DO=1,AI=0,AO=0,Bus=1"/>
    <x v="0"/>
    <x v="5"/>
    <n v="10"/>
    <m/>
    <n v="3"/>
    <n v="1"/>
    <n v="0"/>
    <n v="0"/>
    <n v="1"/>
    <m/>
    <s v="24 VDC energized"/>
    <m/>
  </r>
  <r>
    <s v="MCC"/>
    <m/>
    <m/>
    <x v="3"/>
    <s v="MCC Room"/>
    <x v="4"/>
    <m/>
    <s v="Infeed Tank"/>
    <s v="ATY-40203"/>
    <m/>
    <m/>
    <s v="Tank Agitator"/>
    <s v="1st"/>
    <s v="325-01-400-PD-02"/>
    <s v="3-25-01-402-PD-02"/>
    <s v=" Start / Stop Command for VSD AT-40203"/>
    <s v="Require I/O DI= 3,DO=1,AI=0,AO=0,Bus=1"/>
    <s v="ATY-40203_BUS_1"/>
    <x v="2"/>
    <n v="0"/>
    <n v="1"/>
    <s v="C0S00BUS"/>
    <s v="C0S00BUS00"/>
    <s v="C0S00,00"/>
    <s v="BUS"/>
    <s v="Require I/O DI= 3,DO=1,AI=0,AO=0,Bus=1"/>
    <x v="0"/>
    <x v="3"/>
    <n v="0"/>
    <m/>
    <n v="3"/>
    <n v="1"/>
    <n v="0"/>
    <n v="0"/>
    <n v="1"/>
    <m/>
    <s v="BUS"/>
    <s v="x"/>
  </r>
  <r>
    <s v="MCC"/>
    <m/>
    <m/>
    <x v="3"/>
    <s v="MCC Room"/>
    <x v="0"/>
    <m/>
    <s v="Spray Dryer"/>
    <s v="BFY-60206"/>
    <m/>
    <m/>
    <n v="0"/>
    <s v="1st"/>
    <s v="325-01-600-PD-08"/>
    <s v="-"/>
    <s v=" Start / Stop Command for VSD FANS-31 (Cooling / Conveying Fan)"/>
    <s v="Require I/O DI= 1,DO=1,AI=0,AO=0,Bus=1"/>
    <s v="BFY-60206_DI_1"/>
    <x v="0"/>
    <n v="1"/>
    <n v="1"/>
    <s v="C0S01DI"/>
    <s v="C0S01DI26"/>
    <s v="C0S01,26"/>
    <s v="DI"/>
    <s v="Require I/O DI= 1,DO=1,AI=0,AO=0,Bus=1"/>
    <x v="0"/>
    <x v="4"/>
    <n v="26"/>
    <m/>
    <n v="1"/>
    <n v="1"/>
    <n v="0"/>
    <n v="0"/>
    <n v="1"/>
    <m/>
    <s v="24 VDC energized"/>
    <m/>
  </r>
  <r>
    <s v="MCC"/>
    <m/>
    <m/>
    <x v="3"/>
    <s v="MCC Room"/>
    <x v="0"/>
    <m/>
    <s v="Spray Dryer"/>
    <s v="BFY-60206"/>
    <m/>
    <m/>
    <n v="0"/>
    <s v="1st"/>
    <s v="325-01-600-PD-08"/>
    <s v="-"/>
    <s v=" Start / Stop Command for VSD FANS-31 (Cooling / Conveying Fan)"/>
    <s v="Require I/O DI= 1,DO=1,AI=0,AO=0,Bus=1"/>
    <s v="BFY-60206_DO_1"/>
    <x v="1"/>
    <n v="2"/>
    <n v="1"/>
    <s v="C0S05DO"/>
    <s v="C0S05DO14"/>
    <s v="C0S05,14"/>
    <s v="DO"/>
    <s v="Require I/O DI= 1,DO=1,AI=0,AO=0,Bus=1"/>
    <x v="0"/>
    <x v="5"/>
    <n v="14"/>
    <m/>
    <n v="1"/>
    <n v="1"/>
    <n v="0"/>
    <n v="0"/>
    <n v="1"/>
    <m/>
    <s v="24 VDC energized"/>
    <m/>
  </r>
  <r>
    <s v="MCC"/>
    <m/>
    <m/>
    <x v="3"/>
    <s v="MCC Room"/>
    <x v="0"/>
    <m/>
    <s v="Spray Dryer"/>
    <s v="BFY-60206"/>
    <m/>
    <m/>
    <n v="0"/>
    <s v="1st"/>
    <s v="325-01-600-PD-08"/>
    <s v="-"/>
    <s v=" Start / Stop Command for VSD FANS-31 (Cooling / Conveying Fan)"/>
    <s v="Require I/O DI= 1,DO=1,AI=0,AO=0,Bus=1"/>
    <s v="BFY-60206_BUS_1"/>
    <x v="2"/>
    <n v="0"/>
    <n v="1"/>
    <s v="C0S00BUS"/>
    <s v="C0S00BUS26"/>
    <s v="C0S00,26"/>
    <s v="BUS"/>
    <s v="Require I/O DI= 1,DO=1,AI=0,AO=0,Bus=1"/>
    <x v="0"/>
    <x v="3"/>
    <n v="26"/>
    <m/>
    <n v="1"/>
    <n v="1"/>
    <n v="0"/>
    <n v="0"/>
    <n v="1"/>
    <m/>
    <s v="BUS"/>
    <m/>
  </r>
  <r>
    <s v="MCC"/>
    <m/>
    <m/>
    <x v="3"/>
    <s v="MCC Room"/>
    <x v="5"/>
    <m/>
    <s v="Spray Dryer"/>
    <s v="BFY-60210"/>
    <m/>
    <m/>
    <n v="0"/>
    <s v="5th"/>
    <s v="325-01-600-PD-03"/>
    <s v="-"/>
    <s v=" Start / Stop Command for VSD FANS-21 (Main Supply Air Fan)"/>
    <s v="Require I/O DI= 1,DO=1,AI=0,AO=0,Bus=1"/>
    <s v="BFY-60210_DI_1"/>
    <x v="0"/>
    <n v="1"/>
    <n v="1"/>
    <s v="C0S02DI"/>
    <s v="C0S02DI11"/>
    <s v="C0S02,11"/>
    <s v="DI"/>
    <s v="Require I/O DI= 1,DO=1,AI=0,AO=0,Bus=1"/>
    <x v="0"/>
    <x v="0"/>
    <n v="11"/>
    <m/>
    <n v="1"/>
    <n v="1"/>
    <n v="0"/>
    <n v="0"/>
    <n v="1"/>
    <m/>
    <s v="24 VDC energized"/>
    <m/>
  </r>
  <r>
    <s v="MCC"/>
    <m/>
    <m/>
    <x v="3"/>
    <s v="MCC Room"/>
    <x v="5"/>
    <m/>
    <s v="Spray Dryer"/>
    <s v="BFY-60210"/>
    <m/>
    <m/>
    <n v="0"/>
    <s v="5th"/>
    <s v="325-01-600-PD-03"/>
    <s v="-"/>
    <s v=" Start / Stop Command for VSD FANS-21 (Main Supply Air Fan)"/>
    <s v="Require I/O DI= 1,DO=1,AI=0,AO=0,Bus=1"/>
    <s v="BFY-60210_DO_1"/>
    <x v="1"/>
    <n v="2"/>
    <n v="1"/>
    <s v="C0S05DO"/>
    <s v="C0S05DO30"/>
    <s v="C0S05,30"/>
    <s v="DO"/>
    <s v="Require I/O DI= 1,DO=1,AI=0,AO=0,Bus=1"/>
    <x v="0"/>
    <x v="5"/>
    <n v="30"/>
    <m/>
    <n v="1"/>
    <n v="1"/>
    <n v="0"/>
    <n v="0"/>
    <n v="1"/>
    <m/>
    <s v="24 VDC energized"/>
    <m/>
  </r>
  <r>
    <s v="MCC"/>
    <m/>
    <m/>
    <x v="3"/>
    <s v="MCC Room"/>
    <x v="5"/>
    <m/>
    <s v="Spray Dryer"/>
    <s v="BFY-60210"/>
    <m/>
    <m/>
    <n v="0"/>
    <s v="5th"/>
    <s v="325-01-600-PD-03"/>
    <s v="-"/>
    <s v=" Start / Stop Command for VSD FANS-21 (Main Supply Air Fan)"/>
    <s v="Require I/O DI= 1,DO=1,AI=0,AO=0,Bus=1"/>
    <s v="BFY-60210_BUS_1"/>
    <x v="2"/>
    <n v="0"/>
    <n v="1"/>
    <s v="C0S00BUS"/>
    <s v="C0S00BUS11"/>
    <s v="C0S00,11"/>
    <s v="BUS"/>
    <s v="Require I/O DI= 1,DO=1,AI=0,AO=0,Bus=1"/>
    <x v="0"/>
    <x v="3"/>
    <n v="11"/>
    <m/>
    <n v="1"/>
    <n v="1"/>
    <n v="0"/>
    <n v="0"/>
    <n v="1"/>
    <m/>
    <s v="BUS"/>
    <m/>
  </r>
  <r>
    <s v="MCC"/>
    <m/>
    <m/>
    <x v="3"/>
    <s v="MCC Room"/>
    <x v="5"/>
    <m/>
    <s v="Spray Dryer"/>
    <s v="BFY-60211"/>
    <m/>
    <m/>
    <n v="0"/>
    <s v="5th"/>
    <s v="325-01-600-PD-03"/>
    <s v="-"/>
    <s v=" Start / Stop Command for VSD FANC-21 (Combustion Fan)"/>
    <s v="Require I/O DI= 1,DO=1,AI=0,AO=0,Bus=1"/>
    <s v="BFY-60211_DI_1"/>
    <x v="0"/>
    <n v="1"/>
    <n v="1"/>
    <s v="C0S02DI"/>
    <s v="C0S02DI12"/>
    <s v="C0S02,12"/>
    <s v="DI"/>
    <s v="Require I/O DI= 1,DO=1,AI=0,AO=0,Bus=1"/>
    <x v="0"/>
    <x v="0"/>
    <n v="12"/>
    <m/>
    <n v="1"/>
    <n v="1"/>
    <n v="0"/>
    <n v="0"/>
    <n v="1"/>
    <m/>
    <s v="24 VDC energized"/>
    <m/>
  </r>
  <r>
    <s v="MCC"/>
    <m/>
    <m/>
    <x v="3"/>
    <s v="MCC Room"/>
    <x v="5"/>
    <m/>
    <s v="Spray Dryer"/>
    <s v="BFY-60211"/>
    <m/>
    <m/>
    <n v="0"/>
    <s v="5th"/>
    <s v="325-01-600-PD-03"/>
    <s v="-"/>
    <s v=" Start / Stop Command for VSD FANC-21 (Combustion Fan)"/>
    <s v="Require I/O DI= 1,DO=1,AI=0,AO=0,Bus=1"/>
    <s v="BFY-60211_DO_1"/>
    <x v="1"/>
    <n v="2"/>
    <n v="1"/>
    <s v="C0S05DO"/>
    <s v="C0S05DO31"/>
    <s v="C0S05,31"/>
    <s v="DO"/>
    <s v="Require I/O DI= 1,DO=1,AI=0,AO=0,Bus=1"/>
    <x v="0"/>
    <x v="5"/>
    <n v="31"/>
    <m/>
    <n v="1"/>
    <n v="1"/>
    <n v="0"/>
    <n v="0"/>
    <n v="1"/>
    <m/>
    <s v="24 VDC energized"/>
    <m/>
  </r>
  <r>
    <s v="MCC"/>
    <m/>
    <m/>
    <x v="3"/>
    <s v="MCC Room"/>
    <x v="5"/>
    <m/>
    <s v="Spray Dryer"/>
    <s v="BFY-60211"/>
    <m/>
    <m/>
    <n v="0"/>
    <s v="5th"/>
    <s v="325-01-600-PD-03"/>
    <s v="-"/>
    <s v=" Start / Stop Command for VSD FANC-21 (Combustion Fan)"/>
    <s v="Require I/O DI= 1,DO=1,AI=0,AO=0,Bus=1"/>
    <s v="BFY-60211_BUS_1"/>
    <x v="2"/>
    <n v="0"/>
    <n v="1"/>
    <s v="C0S00BUS"/>
    <s v="C0S00BUS12"/>
    <s v="C0S00,12"/>
    <s v="BUS"/>
    <s v="Require I/O DI= 1,DO=1,AI=0,AO=0,Bus=1"/>
    <x v="0"/>
    <x v="3"/>
    <n v="12"/>
    <m/>
    <n v="1"/>
    <n v="1"/>
    <n v="0"/>
    <n v="0"/>
    <n v="1"/>
    <m/>
    <s v="BUS"/>
    <m/>
  </r>
  <r>
    <s v="MCC"/>
    <m/>
    <m/>
    <x v="3"/>
    <s v="MCC Room"/>
    <x v="2"/>
    <m/>
    <s v="Spray Dryer"/>
    <s v="BFY-60220"/>
    <m/>
    <m/>
    <n v="0"/>
    <s v="7th"/>
    <s v="325-01-600-PD-04"/>
    <s v="-"/>
    <s v=" Start / Stop Command for VSD FANS-22 (Cooling Fan)"/>
    <s v="Require I/O DI= 1,DO=1,AI=0,AO=0,Bus=1"/>
    <s v="BFY-60220_DI_1"/>
    <x v="0"/>
    <n v="1"/>
    <n v="1"/>
    <s v="C0S02DI"/>
    <s v="C0S02DI17"/>
    <s v="C0S02,17"/>
    <s v="DI"/>
    <s v="Require I/O DI= 1,DO=1,AI=0,AO=0,Bus=1"/>
    <x v="0"/>
    <x v="0"/>
    <n v="17"/>
    <m/>
    <n v="1"/>
    <n v="1"/>
    <n v="0"/>
    <n v="0"/>
    <n v="1"/>
    <m/>
    <s v="24 VDC energized"/>
    <m/>
  </r>
  <r>
    <s v="MCC"/>
    <m/>
    <m/>
    <x v="3"/>
    <s v="MCC Room"/>
    <x v="2"/>
    <m/>
    <s v="Spray Dryer"/>
    <s v="BFY-60220"/>
    <m/>
    <m/>
    <n v="0"/>
    <s v="7th"/>
    <s v="325-01-600-PD-04"/>
    <s v="-"/>
    <s v=" Start / Stop Command for VSD FANS-22 (Cooling Fan)"/>
    <s v="Require I/O DI= 1,DO=1,AI=0,AO=0,Bus=1"/>
    <s v="BFY-60220_DO_1"/>
    <x v="1"/>
    <n v="2"/>
    <n v="1"/>
    <s v="C0S06DO"/>
    <s v="C0S06DO07"/>
    <s v="C0S06,07"/>
    <s v="DO"/>
    <s v="Require I/O DI= 1,DO=1,AI=0,AO=0,Bus=1"/>
    <x v="0"/>
    <x v="2"/>
    <n v="7"/>
    <m/>
    <n v="1"/>
    <n v="1"/>
    <n v="0"/>
    <n v="0"/>
    <n v="1"/>
    <m/>
    <s v="24 VDC energized"/>
    <m/>
  </r>
  <r>
    <s v="MCC"/>
    <m/>
    <m/>
    <x v="3"/>
    <s v="MCC Room"/>
    <x v="2"/>
    <m/>
    <s v="Spray Dryer"/>
    <s v="BFY-60220"/>
    <m/>
    <m/>
    <n v="0"/>
    <s v="7th"/>
    <s v="325-01-600-PD-04"/>
    <s v="-"/>
    <s v=" Start / Stop Command for VSD FANS-22 (Cooling Fan)"/>
    <s v="Require I/O DI= 1,DO=1,AI=0,AO=0,Bus=1"/>
    <s v="BFY-60220_BUS_1"/>
    <x v="2"/>
    <n v="0"/>
    <n v="1"/>
    <s v="C0S00BUS"/>
    <s v="C0S00BUS17"/>
    <s v="C0S00,17"/>
    <s v="BUS"/>
    <s v="Require I/O DI= 1,DO=1,AI=0,AO=0,Bus=1"/>
    <x v="0"/>
    <x v="3"/>
    <n v="17"/>
    <m/>
    <n v="1"/>
    <n v="1"/>
    <n v="0"/>
    <n v="0"/>
    <n v="1"/>
    <m/>
    <s v="BUS"/>
    <m/>
  </r>
  <r>
    <s v="MCC"/>
    <m/>
    <m/>
    <x v="3"/>
    <s v="MCC Room"/>
    <x v="5"/>
    <m/>
    <s v="Spray Dryer"/>
    <s v="BFY-60240"/>
    <m/>
    <m/>
    <n v="0"/>
    <s v="5th"/>
    <s v="325-01-600-PD-05"/>
    <s v="-"/>
    <s v=" Start / Stop Command for VSD FANE-21 (Exhaust Fan)"/>
    <s v="Require I/O DI= 1,DO=1,AI=0,AO=0,Bus=1"/>
    <s v="BFY-60240_DI_1"/>
    <x v="0"/>
    <n v="1"/>
    <n v="1"/>
    <s v="C0S02DI"/>
    <s v="C0S02DI13"/>
    <s v="C0S02,13"/>
    <s v="DI"/>
    <s v="Require I/O DI= 1,DO=1,AI=0,AO=0,Bus=1"/>
    <x v="0"/>
    <x v="0"/>
    <n v="13"/>
    <m/>
    <n v="1"/>
    <n v="1"/>
    <n v="0"/>
    <n v="0"/>
    <n v="1"/>
    <m/>
    <s v="24 VDC energized"/>
    <s v="x"/>
  </r>
  <r>
    <s v="MCC"/>
    <m/>
    <m/>
    <x v="3"/>
    <s v="MCC Room"/>
    <x v="5"/>
    <m/>
    <s v="Spray Dryer"/>
    <s v="BFY-60240"/>
    <m/>
    <m/>
    <n v="0"/>
    <s v="5th"/>
    <s v="325-01-600-PD-05"/>
    <s v="-"/>
    <s v=" Start / Stop Command for VSD FANE-21 (Exhaust Fan)"/>
    <s v="Require I/O DI= 1,DO=1,AI=0,AO=0,Bus=1"/>
    <s v="BFY-60240_DO_1"/>
    <x v="1"/>
    <n v="2"/>
    <n v="1"/>
    <s v="C0S06DO"/>
    <s v="C0S06DO00"/>
    <s v="C0S06,00"/>
    <s v="DO"/>
    <s v="Require I/O DI= 1,DO=1,AI=0,AO=0,Bus=1"/>
    <x v="0"/>
    <x v="2"/>
    <n v="0"/>
    <m/>
    <n v="1"/>
    <n v="1"/>
    <n v="0"/>
    <n v="0"/>
    <n v="1"/>
    <m/>
    <s v="24 VDC energized"/>
    <s v="x"/>
  </r>
  <r>
    <s v="MCC"/>
    <m/>
    <m/>
    <x v="3"/>
    <s v="MCC Room"/>
    <x v="5"/>
    <m/>
    <s v="Spray Dryer"/>
    <s v="BFY-60240"/>
    <m/>
    <m/>
    <n v="0"/>
    <s v="5th"/>
    <s v="325-01-600-PD-05"/>
    <s v="-"/>
    <s v=" Start / Stop Command for VSD FANE-21 (Exhaust Fan)"/>
    <s v="Require I/O DI= 1,DO=1,AI=0,AO=0,Bus=1"/>
    <s v="BFY-60240_BUS_1"/>
    <x v="2"/>
    <n v="0"/>
    <n v="1"/>
    <s v="C0S00BUS"/>
    <s v="C0S00BUS13"/>
    <s v="C0S00,13"/>
    <s v="BUS"/>
    <s v="Require I/O DI= 1,DO=1,AI=0,AO=0,Bus=1"/>
    <x v="0"/>
    <x v="3"/>
    <n v="13"/>
    <m/>
    <n v="1"/>
    <n v="1"/>
    <n v="0"/>
    <n v="0"/>
    <n v="1"/>
    <m/>
    <s v="BUS"/>
    <s v="x"/>
  </r>
  <r>
    <s v="MCC"/>
    <m/>
    <m/>
    <x v="3"/>
    <s v="MCC Room"/>
    <x v="6"/>
    <m/>
    <s v="Packing Tower"/>
    <s v="BFY-61301"/>
    <m/>
    <m/>
    <n v="0"/>
    <s v="8th"/>
    <s v="325-01-613-PD-01"/>
    <s v="-"/>
    <s v=" Start / Stop Command for VSD BF-61301 (Packing silo vent fan )"/>
    <s v="Require I/O DI= 1,DO=1,AI=0,AO=0,Bus=1"/>
    <s v="BFY-61301_DI_1"/>
    <x v="0"/>
    <n v="1"/>
    <n v="1"/>
    <s v="C0S03DI"/>
    <s v="C0S03DI08"/>
    <s v="C0S03,08"/>
    <s v="DI"/>
    <s v="Require I/O DI= 1,DO=1,AI=0,AO=0,Bus=1"/>
    <x v="0"/>
    <x v="1"/>
    <n v="8"/>
    <m/>
    <n v="1"/>
    <n v="1"/>
    <n v="0"/>
    <n v="0"/>
    <n v="1"/>
    <m/>
    <s v="24 VDC energized"/>
    <m/>
  </r>
  <r>
    <s v="MCC"/>
    <m/>
    <m/>
    <x v="3"/>
    <s v="MCC Room"/>
    <x v="6"/>
    <m/>
    <s v="Packing Tower"/>
    <s v="BFY-61301"/>
    <m/>
    <m/>
    <n v="0"/>
    <s v="8th"/>
    <s v="325-01-613-PD-01"/>
    <s v="-"/>
    <s v=" Start / Stop Command for VSD BF-61301 (Packing silo vent fan )"/>
    <s v="Require I/O DI= 1,DO=1,AI=0,AO=0,Bus=1"/>
    <s v="BFY-61301_DO_1"/>
    <x v="1"/>
    <n v="2"/>
    <n v="1"/>
    <s v="C0S06DO"/>
    <s v="C0S06DO19"/>
    <s v="C0S06,19"/>
    <s v="DO"/>
    <s v="Require I/O DI= 1,DO=1,AI=0,AO=0,Bus=1"/>
    <x v="0"/>
    <x v="2"/>
    <n v="19"/>
    <m/>
    <n v="1"/>
    <n v="1"/>
    <n v="0"/>
    <n v="0"/>
    <n v="1"/>
    <m/>
    <s v="24 VDC energized"/>
    <m/>
  </r>
  <r>
    <s v="MCC"/>
    <m/>
    <m/>
    <x v="3"/>
    <s v="MCC Room"/>
    <x v="6"/>
    <m/>
    <s v="Packing Tower"/>
    <s v="BFY-61301"/>
    <m/>
    <m/>
    <n v="0"/>
    <s v="8th"/>
    <s v="325-01-613-PD-01"/>
    <s v="-"/>
    <s v=" Start / Stop Command for VSD BF-61301 (Packing silo vent fan )"/>
    <s v="Require I/O DI= 1,DO=1,AI=0,AO=0,Bus=1"/>
    <s v="BFY-61301_BUS_1"/>
    <x v="2"/>
    <n v="0"/>
    <n v="1"/>
    <s v="C0S00BUS"/>
    <s v="C0S00BUS00"/>
    <s v="C0S00,00"/>
    <s v="BUS"/>
    <s v="Require I/O DI= 1,DO=1,AI=0,AO=0,Bus=1"/>
    <x v="0"/>
    <x v="3"/>
    <n v="0"/>
    <m/>
    <n v="1"/>
    <n v="1"/>
    <n v="0"/>
    <n v="0"/>
    <n v="1"/>
    <m/>
    <s v="BUS"/>
    <m/>
  </r>
  <r>
    <s v="MCC"/>
    <m/>
    <m/>
    <x v="3"/>
    <s v="MCC Room"/>
    <x v="3"/>
    <m/>
    <s v="Packing Tower"/>
    <s v="BFY-61302"/>
    <m/>
    <m/>
    <n v="0"/>
    <s v="2nd"/>
    <s v="325-01-613-PD-05"/>
    <s v="-"/>
    <s v=" Start / Stop Command for VSD BF-61302 (LEV Blower fan )"/>
    <s v="Require I/O DI= 1,DO=1,AI=0,AO=0,Bus=1"/>
    <s v="BFY-61302_DI_1"/>
    <x v="0"/>
    <n v="1"/>
    <n v="1"/>
    <s v="C0S02DI"/>
    <s v="C0S02DI18"/>
    <s v="C0S02,18"/>
    <s v="DI"/>
    <s v="Require I/O DI= 1,DO=1,AI=0,AO=0,Bus=1"/>
    <x v="0"/>
    <x v="0"/>
    <n v="18"/>
    <m/>
    <n v="1"/>
    <n v="1"/>
    <n v="0"/>
    <n v="0"/>
    <n v="1"/>
    <m/>
    <s v="24 VDC energized"/>
    <m/>
  </r>
  <r>
    <s v="MCC"/>
    <m/>
    <m/>
    <x v="3"/>
    <s v="MCC Room"/>
    <x v="3"/>
    <m/>
    <s v="Packing Tower"/>
    <s v="BFY-61302"/>
    <m/>
    <m/>
    <n v="0"/>
    <s v="2nd"/>
    <s v="325-01-613-PD-05"/>
    <s v="-"/>
    <s v=" Start / Stop Command for VSD BF-61302 (LEV Blower fan )"/>
    <s v="Require I/O DI= 1,DO=1,AI=0,AO=0,Bus=1"/>
    <s v="BFY-61302_DO_1"/>
    <x v="1"/>
    <n v="2"/>
    <n v="1"/>
    <s v="C0S06DO"/>
    <s v="C0S06DO10"/>
    <s v="C0S06,10"/>
    <s v="DO"/>
    <s v="Require I/O DI= 1,DO=1,AI=0,AO=0,Bus=1"/>
    <x v="0"/>
    <x v="2"/>
    <n v="10"/>
    <m/>
    <n v="1"/>
    <n v="1"/>
    <n v="0"/>
    <n v="0"/>
    <n v="1"/>
    <m/>
    <s v="24 VDC energized"/>
    <m/>
  </r>
  <r>
    <s v="MCC"/>
    <m/>
    <m/>
    <x v="3"/>
    <s v="MCC Room"/>
    <x v="3"/>
    <m/>
    <s v="Packing Tower"/>
    <s v="BFY-61302"/>
    <m/>
    <m/>
    <n v="0"/>
    <s v="2nd"/>
    <s v="325-01-613-PD-05"/>
    <s v="-"/>
    <s v=" Start / Stop Command for VSD BF-61302 (LEV Blower fan )"/>
    <s v="Require I/O DI= 1,DO=1,AI=0,AO=0,Bus=1"/>
    <s v="BFY-61302_BUS_1"/>
    <x v="2"/>
    <n v="0"/>
    <n v="1"/>
    <s v="C0S00BUS"/>
    <s v="C0S00BUS00"/>
    <s v="C0S00,00"/>
    <s v="BUS"/>
    <s v="Require I/O DI= 1,DO=1,AI=0,AO=0,Bus=1"/>
    <x v="0"/>
    <x v="3"/>
    <n v="0"/>
    <m/>
    <n v="1"/>
    <n v="1"/>
    <n v="0"/>
    <n v="0"/>
    <n v="1"/>
    <m/>
    <s v="BUS"/>
    <m/>
  </r>
  <r>
    <s v="MCC"/>
    <m/>
    <m/>
    <x v="3"/>
    <s v="MCC Room"/>
    <x v="6"/>
    <m/>
    <s v="Packing Tower"/>
    <s v="BFY-61303"/>
    <m/>
    <m/>
    <n v="0"/>
    <s v="9th"/>
    <s v="325-01-613-PD-01"/>
    <s v="-"/>
    <s v=" Start / Stop Command for VSD BF-61303 (Fugitive Dust Fan )"/>
    <s v="Require I/O DI= 1,DO=1,AI=0,AO=0,Bus=1"/>
    <s v="BFY-61303_DI_1"/>
    <x v="0"/>
    <n v="1"/>
    <n v="1"/>
    <s v="C0S03DI"/>
    <s v="C0S03DI09"/>
    <s v="C0S03,09"/>
    <s v="DI"/>
    <s v="Require I/O DI= 1,DO=1,AI=0,AO=0,Bus=1"/>
    <x v="0"/>
    <x v="1"/>
    <n v="9"/>
    <m/>
    <n v="1"/>
    <n v="1"/>
    <n v="0"/>
    <n v="0"/>
    <n v="1"/>
    <m/>
    <s v="24 VDC energized"/>
    <m/>
  </r>
  <r>
    <s v="MCC"/>
    <m/>
    <m/>
    <x v="3"/>
    <s v="MCC Room"/>
    <x v="6"/>
    <m/>
    <s v="Packing Tower"/>
    <s v="BFY-61303"/>
    <m/>
    <m/>
    <n v="0"/>
    <s v="9th"/>
    <s v="325-01-613-PD-01"/>
    <s v="-"/>
    <s v=" Start / Stop Command for VSD BF-61303 (Fugitive Dust Fan )"/>
    <s v="Require I/O DI= 1,DO=1,AI=0,AO=0,Bus=1"/>
    <s v="BFY-61303_DO_1"/>
    <x v="1"/>
    <n v="2"/>
    <n v="1"/>
    <s v="C0S06DO"/>
    <s v="C0S06DO20"/>
    <s v="C0S06,20"/>
    <s v="DO"/>
    <s v="Require I/O DI= 1,DO=1,AI=0,AO=0,Bus=1"/>
    <x v="0"/>
    <x v="2"/>
    <n v="20"/>
    <m/>
    <n v="1"/>
    <n v="1"/>
    <n v="0"/>
    <n v="0"/>
    <n v="1"/>
    <m/>
    <s v="24 VDC energized"/>
    <m/>
  </r>
  <r>
    <s v="MCC"/>
    <m/>
    <m/>
    <x v="3"/>
    <s v="MCC Room"/>
    <x v="6"/>
    <m/>
    <s v="Packing Tower"/>
    <s v="BFY-61303"/>
    <m/>
    <m/>
    <n v="0"/>
    <s v="9th"/>
    <s v="325-01-613-PD-01"/>
    <s v="-"/>
    <s v=" Start / Stop Command for VSD BF-61303 (Fugitive Dust Fan )"/>
    <s v="Require I/O DI= 1,DO=1,AI=0,AO=0,Bus=1"/>
    <s v="BFY-61303_BUS_1"/>
    <x v="2"/>
    <n v="0"/>
    <n v="1"/>
    <s v="C0S00BUS"/>
    <s v="C0S00BUS00"/>
    <s v="C0S00,00"/>
    <s v="BUS"/>
    <s v="Require I/O DI= 1,DO=1,AI=0,AO=0,Bus=1"/>
    <x v="0"/>
    <x v="3"/>
    <n v="0"/>
    <m/>
    <n v="1"/>
    <n v="1"/>
    <n v="0"/>
    <n v="0"/>
    <n v="1"/>
    <m/>
    <s v="BUS"/>
    <m/>
  </r>
  <r>
    <s v="MCC"/>
    <m/>
    <m/>
    <x v="3"/>
    <s v="MCC Room"/>
    <x v="6"/>
    <m/>
    <s v="Packing Tower"/>
    <s v="BLM-61302"/>
    <m/>
    <m/>
    <n v="0"/>
    <s v="5th"/>
    <s v="325-01-613-PD-01"/>
    <s v="-"/>
    <s v=" Start / Stop Command for FVNR BL-61301 ( Bin Actuator Blower )"/>
    <s v="Require I/O DI= 2,DO=2,AI=0,AO=0,Bus=0"/>
    <s v="BLM-61302_DI_1"/>
    <x v="0"/>
    <n v="1"/>
    <n v="1"/>
    <s v="C0S03DI"/>
    <s v="C0S03DI10"/>
    <s v="C0S03,10"/>
    <s v="DI"/>
    <s v="Require I/O DI= 2,DO=2,AI=0,AO=0,Bus=0"/>
    <x v="0"/>
    <x v="1"/>
    <n v="10"/>
    <m/>
    <n v="2"/>
    <n v="2"/>
    <n v="0"/>
    <n v="0"/>
    <n v="0"/>
    <m/>
    <s v="24 VDC energized"/>
    <m/>
  </r>
  <r>
    <s v="MCC"/>
    <m/>
    <m/>
    <x v="3"/>
    <s v="MCC Room"/>
    <x v="6"/>
    <m/>
    <s v="Packing Tower"/>
    <s v="BLM-61302"/>
    <m/>
    <m/>
    <n v="0"/>
    <s v="5th"/>
    <s v="325-01-613-PD-01"/>
    <s v="-"/>
    <s v=" Start / Stop Command for FVNR BL-61301 ( Bin Actuator Blower )"/>
    <s v="Require I/O DI= 2,DO=2,AI=0,AO=0,Bus=0"/>
    <s v="BLM-61302_DI_2"/>
    <x v="0"/>
    <n v="1"/>
    <n v="2"/>
    <s v="C0S03DI"/>
    <s v="C0S03DI11"/>
    <s v="C0S03,11"/>
    <s v="DI"/>
    <s v="Require I/O DI= 2,DO=2,AI=0,AO=0,Bus=0"/>
    <x v="0"/>
    <x v="1"/>
    <n v="11"/>
    <m/>
    <n v="2"/>
    <n v="2"/>
    <n v="0"/>
    <n v="0"/>
    <n v="0"/>
    <m/>
    <s v="24 VDC energized"/>
    <m/>
  </r>
  <r>
    <s v="MCC"/>
    <m/>
    <m/>
    <x v="3"/>
    <s v="MCC Room"/>
    <x v="6"/>
    <m/>
    <s v="Packing Tower"/>
    <s v="BLM-61302"/>
    <m/>
    <m/>
    <n v="0"/>
    <s v="5th"/>
    <s v="325-01-613-PD-01"/>
    <s v="-"/>
    <s v=" Start / Stop Command for FVNR BL-61301 ( Bin Actuator Blower )"/>
    <s v="Require I/O DI= 2,DO=2,AI=0,AO=0,Bus=0"/>
    <s v="BLM-61302_DO_1"/>
    <x v="1"/>
    <n v="2"/>
    <n v="1"/>
    <s v="C0S06DO"/>
    <s v="C0S06DO21"/>
    <s v="C0S06,21"/>
    <s v="DO"/>
    <s v="Require I/O DI= 2,DO=2,AI=0,AO=0,Bus=0"/>
    <x v="0"/>
    <x v="2"/>
    <n v="21"/>
    <m/>
    <n v="2"/>
    <n v="2"/>
    <n v="0"/>
    <n v="0"/>
    <n v="0"/>
    <m/>
    <s v="24 VDC energized"/>
    <m/>
  </r>
  <r>
    <s v="MCC"/>
    <m/>
    <m/>
    <x v="3"/>
    <s v="MCC Room"/>
    <x v="6"/>
    <m/>
    <s v="Packing Tower"/>
    <s v="BLM-61302"/>
    <m/>
    <m/>
    <n v="0"/>
    <s v="5th"/>
    <s v="325-01-613-PD-01"/>
    <s v="-"/>
    <s v=" Start / Stop Command for FVNR BL-61301 ( Bin Actuator Blower )"/>
    <s v="Require I/O DI= 2,DO=2,AI=0,AO=0,Bus=0"/>
    <s v="BLM-61302_DO_2"/>
    <x v="1"/>
    <n v="2"/>
    <n v="2"/>
    <s v="C0S06DO"/>
    <s v="C0S06DO22"/>
    <s v="C0S06,22"/>
    <s v="DO"/>
    <s v="Require I/O DI= 2,DO=2,AI=0,AO=0,Bus=0"/>
    <x v="0"/>
    <x v="2"/>
    <n v="22"/>
    <m/>
    <n v="2"/>
    <n v="2"/>
    <n v="0"/>
    <n v="0"/>
    <n v="0"/>
    <m/>
    <s v="24 VDC energized"/>
    <m/>
  </r>
  <r>
    <s v="MCC"/>
    <m/>
    <m/>
    <x v="3"/>
    <s v="MCC Room"/>
    <x v="6"/>
    <m/>
    <s v="Packing Tower"/>
    <s v="HS-61307A"/>
    <m/>
    <m/>
    <n v="0"/>
    <s v="8th"/>
    <s v="325-01-613-PD-03"/>
    <s v="3-25-01-613-PD-03"/>
    <s v="Start/Stop"/>
    <s v="Require I/O DI= 1,DO=0,AI=0,AO=0,Bus=0"/>
    <s v="HS-61307A_DI_1"/>
    <x v="0"/>
    <n v="1"/>
    <n v="1"/>
    <s v="C0S03DI"/>
    <s v="C0S03DI12"/>
    <s v="C0S03,12"/>
    <s v="DI"/>
    <s v="Require I/O DI= 1,DO=0,AI=0,AO=0,Bus=0"/>
    <x v="0"/>
    <x v="1"/>
    <n v="12"/>
    <m/>
    <n v="1"/>
    <n v="0"/>
    <n v="0"/>
    <n v="0"/>
    <n v="0"/>
    <m/>
    <s v="Dry Contact"/>
    <m/>
  </r>
  <r>
    <s v="MCC"/>
    <m/>
    <m/>
    <x v="3"/>
    <s v="MCC Room"/>
    <x v="6"/>
    <m/>
    <s v="Packing Tower"/>
    <s v="HS-61307B"/>
    <m/>
    <m/>
    <n v="0"/>
    <s v="8th"/>
    <s v="325-01-613-PD-03"/>
    <s v="3-25-01-613-PD-03"/>
    <s v="Start/Stop"/>
    <s v="Require I/O DI= 1,DO=0,AI=0,AO=0,Bus=0"/>
    <s v="HS-61307B_DI_1"/>
    <x v="0"/>
    <n v="1"/>
    <n v="1"/>
    <s v="C0S03DI"/>
    <s v="C0S03DI13"/>
    <s v="C0S03,13"/>
    <s v="DI"/>
    <s v="Require I/O DI= 1,DO=0,AI=0,AO=0,Bus=0"/>
    <x v="0"/>
    <x v="1"/>
    <n v="13"/>
    <m/>
    <n v="1"/>
    <n v="0"/>
    <n v="0"/>
    <n v="0"/>
    <n v="0"/>
    <m/>
    <s v="Dry Contact"/>
    <m/>
  </r>
  <r>
    <s v="MCC"/>
    <m/>
    <m/>
    <x v="3"/>
    <s v="MCC Room"/>
    <x v="6"/>
    <m/>
    <s v="Packing Tower"/>
    <s v="HS-61307C"/>
    <m/>
    <m/>
    <n v="0"/>
    <s v="7th"/>
    <s v="325-01-613-PD-03"/>
    <s v="3-25-01-613-PD-03"/>
    <s v="Start/Stop"/>
    <s v="Require I/O DI= 1,DO=0,AI=0,AO=0,Bus=0"/>
    <s v="HS-61307C_DI_1"/>
    <x v="0"/>
    <n v="1"/>
    <n v="1"/>
    <s v="C0S03DI"/>
    <s v="C0S03DI14"/>
    <s v="C0S03,14"/>
    <s v="DI"/>
    <s v="Require I/O DI= 1,DO=0,AI=0,AO=0,Bus=0"/>
    <x v="0"/>
    <x v="1"/>
    <n v="14"/>
    <m/>
    <n v="1"/>
    <n v="0"/>
    <n v="0"/>
    <n v="0"/>
    <n v="0"/>
    <m/>
    <s v="Dry Contact"/>
    <m/>
  </r>
  <r>
    <s v="MCC"/>
    <m/>
    <m/>
    <x v="3"/>
    <s v="MCC Room"/>
    <x v="6"/>
    <m/>
    <s v="Packing Tower"/>
    <s v="HS-61307D"/>
    <m/>
    <m/>
    <n v="0"/>
    <s v="5th"/>
    <s v="325-01-613-PD-03"/>
    <s v="3-25-01-613-PD-03"/>
    <s v="Start/Stop"/>
    <s v="Require I/O DI= 1,DO=0,AI=0,AO=0,Bus=0"/>
    <s v="HS-61307D_DI_1"/>
    <x v="0"/>
    <n v="1"/>
    <n v="1"/>
    <s v="C0S03DI"/>
    <s v="C0S03DI15"/>
    <s v="C0S03,15"/>
    <s v="DI"/>
    <s v="Require I/O DI= 1,DO=0,AI=0,AO=0,Bus=0"/>
    <x v="0"/>
    <x v="1"/>
    <n v="15"/>
    <m/>
    <n v="1"/>
    <n v="0"/>
    <n v="0"/>
    <n v="0"/>
    <n v="0"/>
    <m/>
    <s v="Dry Contact"/>
    <m/>
  </r>
  <r>
    <s v="MCC"/>
    <m/>
    <m/>
    <x v="3"/>
    <s v="MCC Room"/>
    <x v="6"/>
    <m/>
    <s v="Packing Tower"/>
    <s v="HS-61307E"/>
    <m/>
    <m/>
    <n v="0"/>
    <s v="5th"/>
    <s v="325-01-613-PD-03"/>
    <s v="3-25-01-613-PD-03"/>
    <s v="Start/Stop"/>
    <s v="Require I/O DI= 1,DO=0,AI=0,AO=0,Bus=0"/>
    <s v="HS-61307E_DI_1"/>
    <x v="0"/>
    <n v="1"/>
    <n v="1"/>
    <s v="C0S03DI"/>
    <s v="C0S03DI16"/>
    <s v="C0S03,16"/>
    <s v="DI"/>
    <s v="Require I/O DI= 1,DO=0,AI=0,AO=0,Bus=0"/>
    <x v="0"/>
    <x v="1"/>
    <n v="16"/>
    <m/>
    <n v="1"/>
    <n v="0"/>
    <n v="0"/>
    <n v="0"/>
    <n v="0"/>
    <m/>
    <s v="Dry Contact"/>
    <m/>
  </r>
  <r>
    <s v="MCC"/>
    <m/>
    <m/>
    <x v="3"/>
    <s v="MCC Room"/>
    <x v="3"/>
    <m/>
    <s v="Packing Tower"/>
    <s v="HS-61307F"/>
    <m/>
    <m/>
    <n v="0"/>
    <s v="4th"/>
    <s v="325-01-613-PD-03"/>
    <s v="3-25-01-613-PD-03"/>
    <s v="Start/Stop"/>
    <s v="Require I/O DI= 1,DO=0,AI=0,AO=0,Bus=0"/>
    <s v="HS-61307F_DI_1"/>
    <x v="0"/>
    <n v="1"/>
    <n v="1"/>
    <s v="C0S02DI"/>
    <s v="C0S02DI19"/>
    <s v="C0S02,19"/>
    <s v="DI"/>
    <s v="Require I/O DI= 1,DO=0,AI=0,AO=0,Bus=0"/>
    <x v="0"/>
    <x v="0"/>
    <n v="19"/>
    <m/>
    <n v="1"/>
    <n v="0"/>
    <n v="0"/>
    <n v="0"/>
    <n v="0"/>
    <m/>
    <s v="Dry Contact"/>
    <m/>
  </r>
  <r>
    <s v="MCC"/>
    <m/>
    <m/>
    <x v="3"/>
    <s v="MCC Room"/>
    <x v="3"/>
    <m/>
    <s v="Packing Tower"/>
    <s v="HS-61307G"/>
    <m/>
    <m/>
    <n v="0"/>
    <s v="3rd"/>
    <s v="325-01-613-PD-03"/>
    <s v="3-25-01-613-PD-03"/>
    <s v="Start/Stop"/>
    <s v="Require I/O DI= 1,DO=0,AI=0,AO=0,Bus=0"/>
    <s v="HS-61307G_DI_1"/>
    <x v="0"/>
    <n v="1"/>
    <n v="1"/>
    <s v="C0S02DI"/>
    <s v="C0S02DI20"/>
    <s v="C0S02,20"/>
    <s v="DI"/>
    <s v="Require I/O DI= 1,DO=0,AI=0,AO=0,Bus=0"/>
    <x v="0"/>
    <x v="0"/>
    <n v="20"/>
    <m/>
    <n v="1"/>
    <n v="0"/>
    <n v="0"/>
    <n v="0"/>
    <n v="0"/>
    <m/>
    <s v="Dry Contact"/>
    <m/>
  </r>
  <r>
    <s v="MCC"/>
    <m/>
    <m/>
    <x v="3"/>
    <s v="MCC Room"/>
    <x v="3"/>
    <m/>
    <s v="Packing Tower"/>
    <s v="HS-61307H"/>
    <m/>
    <m/>
    <n v="0"/>
    <s v="3rd"/>
    <s v="325-01-613-PD-03"/>
    <s v="3-25-01-613-PD-03"/>
    <s v="Start/Stop"/>
    <s v="Require I/O DI= 1,DO=0,AI=0,AO=0,Bus=0"/>
    <s v="HS-61307H_DI_1"/>
    <x v="0"/>
    <n v="1"/>
    <n v="1"/>
    <s v="C0S02DI"/>
    <s v="C0S02DI21"/>
    <s v="C0S02,21"/>
    <s v="DI"/>
    <s v="Require I/O DI= 1,DO=0,AI=0,AO=0,Bus=0"/>
    <x v="0"/>
    <x v="0"/>
    <n v="21"/>
    <m/>
    <n v="1"/>
    <n v="0"/>
    <n v="0"/>
    <n v="0"/>
    <n v="0"/>
    <m/>
    <s v="Dry Contact"/>
    <m/>
  </r>
  <r>
    <s v="MCC"/>
    <m/>
    <m/>
    <x v="3"/>
    <s v="MCC Room"/>
    <x v="3"/>
    <m/>
    <s v="Packing Tower"/>
    <s v="HS-61307I"/>
    <m/>
    <m/>
    <n v="0"/>
    <s v="1st"/>
    <s v="325-01-613-PD-03"/>
    <s v="3-25-01-613-PD-03"/>
    <s v="Start/Stop"/>
    <s v="Require I/O DI= 1,DO=0,AI=0,AO=0,Bus=0"/>
    <s v="HS-61307I_DI_1"/>
    <x v="0"/>
    <n v="1"/>
    <n v="1"/>
    <s v="C0S02DI"/>
    <s v="C0S02DI22"/>
    <s v="C0S02,22"/>
    <s v="DI"/>
    <s v="Require I/O DI= 1,DO=0,AI=0,AO=0,Bus=0"/>
    <x v="0"/>
    <x v="0"/>
    <n v="22"/>
    <m/>
    <n v="1"/>
    <n v="0"/>
    <n v="0"/>
    <n v="0"/>
    <n v="0"/>
    <m/>
    <s v="Dry Contact"/>
    <m/>
  </r>
  <r>
    <s v="MCC"/>
    <m/>
    <m/>
    <x v="3"/>
    <s v="MCC Room"/>
    <x v="3"/>
    <m/>
    <s v="Packing Tower"/>
    <s v="HS-61307J"/>
    <m/>
    <m/>
    <n v="0"/>
    <s v="1st"/>
    <s v="325-01-613-PD-03"/>
    <s v="3-25-01-613-PD-03"/>
    <s v="Start/Stop"/>
    <s v="Require I/O DI= 1,DO=0,AI=0,AO=0,Bus=0"/>
    <s v="HS-61307J_DI_1"/>
    <x v="0"/>
    <n v="1"/>
    <n v="1"/>
    <s v="C0S02DI"/>
    <s v="C0S02DI23"/>
    <s v="C0S02,23"/>
    <s v="DI"/>
    <s v="Require I/O DI= 1,DO=0,AI=0,AO=0,Bus=0"/>
    <x v="0"/>
    <x v="0"/>
    <n v="23"/>
    <m/>
    <n v="1"/>
    <n v="0"/>
    <n v="0"/>
    <n v="0"/>
    <n v="0"/>
    <m/>
    <s v="Dry Contact"/>
    <m/>
  </r>
  <r>
    <s v="MCC"/>
    <m/>
    <m/>
    <x v="3"/>
    <s v="MCC Room"/>
    <x v="3"/>
    <m/>
    <s v="Packing Tower"/>
    <s v="HS-61307K"/>
    <m/>
    <m/>
    <n v="0"/>
    <s v="1st"/>
    <s v="325-01-613-PD-03"/>
    <s v="3-25-01-613-PD-03"/>
    <s v="Start/Stop"/>
    <s v="Require I/O DI= 1,DO=0,AI=0,AO=0,Bus=0"/>
    <s v="HS-61307K_DI_1"/>
    <x v="0"/>
    <n v="1"/>
    <n v="1"/>
    <s v="C0S02DI"/>
    <s v="C0S02DI24"/>
    <s v="C0S02,24"/>
    <s v="DI"/>
    <s v="Require I/O DI= 1,DO=0,AI=0,AO=0,Bus=0"/>
    <x v="0"/>
    <x v="0"/>
    <n v="24"/>
    <m/>
    <n v="1"/>
    <n v="0"/>
    <n v="0"/>
    <n v="0"/>
    <n v="0"/>
    <m/>
    <s v="Dry Contact"/>
    <m/>
  </r>
  <r>
    <s v="MCC"/>
    <m/>
    <m/>
    <x v="3"/>
    <s v="MCC Room"/>
    <x v="3"/>
    <m/>
    <s v="Packing Tower"/>
    <s v="HS-61307L"/>
    <m/>
    <m/>
    <n v="0"/>
    <s v="1st"/>
    <s v="325-01-613-PD-03"/>
    <s v="3-25-01-613-PD-03"/>
    <s v="Start/Stop"/>
    <s v="Require I/O DI= 1,DO=0,AI=0,AO=0,Bus=0"/>
    <s v="HS-61307L_DI_1"/>
    <x v="0"/>
    <n v="1"/>
    <n v="1"/>
    <s v="C0S02DI"/>
    <s v="C0S02DI25"/>
    <s v="C0S02,25"/>
    <s v="DI"/>
    <s v="Require I/O DI= 1,DO=0,AI=0,AO=0,Bus=0"/>
    <x v="0"/>
    <x v="0"/>
    <n v="25"/>
    <m/>
    <n v="1"/>
    <n v="0"/>
    <n v="0"/>
    <n v="0"/>
    <n v="0"/>
    <m/>
    <s v="Dry Contact"/>
    <m/>
  </r>
  <r>
    <s v="MCC"/>
    <m/>
    <m/>
    <x v="3"/>
    <s v="MCC Room"/>
    <x v="3"/>
    <m/>
    <s v="Packing Tower"/>
    <s v="HS-61307M"/>
    <m/>
    <m/>
    <n v="0"/>
    <s v="1st"/>
    <s v="325-01-613-PD-03"/>
    <s v="3-25-01-613-PD-03"/>
    <s v="Start/Stop"/>
    <s v="Require I/O DI= 1,DO=0,AI=0,AO=0,Bus=0"/>
    <s v="HS-61307M_DI_1"/>
    <x v="0"/>
    <n v="1"/>
    <n v="1"/>
    <s v="C0S02DI"/>
    <s v="C0S02DI26"/>
    <s v="C0S02,26"/>
    <s v="DI"/>
    <s v="Require I/O DI= 1,DO=0,AI=0,AO=0,Bus=0"/>
    <x v="0"/>
    <x v="0"/>
    <n v="26"/>
    <m/>
    <n v="1"/>
    <n v="0"/>
    <n v="0"/>
    <n v="0"/>
    <n v="0"/>
    <m/>
    <s v="Dry Contact"/>
    <m/>
  </r>
  <r>
    <s v="MCC"/>
    <m/>
    <m/>
    <x v="3"/>
    <s v="MCC Room"/>
    <x v="3"/>
    <m/>
    <s v="Packing Tower"/>
    <s v="HS-61307N"/>
    <m/>
    <m/>
    <n v="0"/>
    <s v="1st"/>
    <s v="325-01-613-PD-03"/>
    <s v="3-25-01-613-PD-03"/>
    <s v="Start/Stop"/>
    <s v="Require I/O DI= 1,DO=0,AI=0,AO=0,Bus=0"/>
    <s v="HS-61307N_DI_1"/>
    <x v="0"/>
    <n v="1"/>
    <n v="1"/>
    <s v="C0S02DI"/>
    <s v="C0S02DI27"/>
    <s v="C0S02,27"/>
    <s v="DI"/>
    <s v="Require I/O DI= 1,DO=0,AI=0,AO=0,Bus=0"/>
    <x v="0"/>
    <x v="0"/>
    <n v="27"/>
    <m/>
    <n v="1"/>
    <n v="0"/>
    <n v="0"/>
    <n v="0"/>
    <n v="0"/>
    <m/>
    <s v="Dry Contact"/>
    <m/>
  </r>
  <r>
    <s v="MCC"/>
    <m/>
    <m/>
    <x v="3"/>
    <s v="MCC Room"/>
    <x v="3"/>
    <m/>
    <s v="Packing Tower"/>
    <s v="HS-61307O"/>
    <m/>
    <m/>
    <n v="0"/>
    <s v="1st"/>
    <s v="325-01-613-PD-03"/>
    <s v="3-25-01-613-PD-03"/>
    <s v="Start/Stop"/>
    <s v="Require I/O DI= 1,DO=0,AI=0,AO=0,Bus=0"/>
    <s v="HS-61307O_DI_1"/>
    <x v="0"/>
    <n v="1"/>
    <n v="1"/>
    <s v="C0S02DI"/>
    <s v="C0S02DI28"/>
    <s v="C0S02,28"/>
    <s v="DI"/>
    <s v="Require I/O DI= 1,DO=0,AI=0,AO=0,Bus=0"/>
    <x v="0"/>
    <x v="0"/>
    <n v="28"/>
    <m/>
    <n v="1"/>
    <n v="0"/>
    <n v="0"/>
    <n v="0"/>
    <n v="0"/>
    <m/>
    <s v="Dry Contact"/>
    <m/>
  </r>
  <r>
    <s v="MCC"/>
    <m/>
    <m/>
    <x v="3"/>
    <s v="MCC Room"/>
    <x v="3"/>
    <m/>
    <s v="Packing Tower"/>
    <s v="HS-61307P"/>
    <m/>
    <m/>
    <n v="0"/>
    <s v="1st"/>
    <s v="325-01-613-PD-03"/>
    <s v="3-25-01-613-PD-03"/>
    <s v="Start/Stop"/>
    <s v="Require I/O DI= 1,DO=0,AI=0,AO=0,Bus=0"/>
    <s v="HS-61307P_DI_1"/>
    <x v="0"/>
    <n v="1"/>
    <n v="1"/>
    <s v="C0S02DI"/>
    <s v="C0S02DI29"/>
    <s v="C0S02,29"/>
    <s v="DI"/>
    <s v="Require I/O DI= 1,DO=0,AI=0,AO=0,Bus=0"/>
    <x v="0"/>
    <x v="0"/>
    <n v="29"/>
    <m/>
    <n v="1"/>
    <n v="0"/>
    <n v="0"/>
    <n v="0"/>
    <n v="0"/>
    <m/>
    <s v="Dry Contact"/>
    <m/>
  </r>
  <r>
    <s v="MCC"/>
    <m/>
    <m/>
    <x v="3"/>
    <s v="MCC Room"/>
    <x v="3"/>
    <m/>
    <s v="Packing Tower"/>
    <s v="HS-61307Q"/>
    <m/>
    <m/>
    <n v="0"/>
    <s v="1st"/>
    <s v="325-01-613-PD-03"/>
    <s v="3-25-01-613-PD-03"/>
    <s v="Start/Stop"/>
    <s v="Require I/O DI= 1,DO=0,AI=0,AO=0,Bus=0"/>
    <s v="HS-61307Q_DI_1"/>
    <x v="0"/>
    <n v="1"/>
    <n v="1"/>
    <s v="C0S02DI"/>
    <s v="C0S02DI30"/>
    <s v="C0S02,30"/>
    <s v="DI"/>
    <s v="Require I/O DI= 1,DO=0,AI=0,AO=0,Bus=0"/>
    <x v="0"/>
    <x v="0"/>
    <n v="30"/>
    <m/>
    <n v="1"/>
    <n v="0"/>
    <n v="0"/>
    <n v="0"/>
    <n v="0"/>
    <m/>
    <s v="Dry Contact"/>
    <m/>
  </r>
  <r>
    <s v="MCC"/>
    <m/>
    <m/>
    <x v="3"/>
    <s v="MCC Room"/>
    <x v="3"/>
    <m/>
    <s v="Packing Tower"/>
    <s v="HS-61307R"/>
    <m/>
    <m/>
    <n v="0"/>
    <s v="1st"/>
    <s v="325-01-613-PD-03"/>
    <s v="3-25-01-613-PD-03"/>
    <s v="Start/Stop"/>
    <s v="Require I/O DI= 1,DO=0,AI=0,AO=0,Bus=0"/>
    <s v="HS-61307R_DI_1"/>
    <x v="0"/>
    <n v="1"/>
    <n v="1"/>
    <s v="C0S02DI"/>
    <s v="C0S02DI31"/>
    <s v="C0S02,31"/>
    <s v="DI"/>
    <s v="Require I/O DI= 1,DO=0,AI=0,AO=0,Bus=0"/>
    <x v="0"/>
    <x v="0"/>
    <n v="31"/>
    <m/>
    <n v="1"/>
    <n v="0"/>
    <n v="0"/>
    <n v="0"/>
    <n v="0"/>
    <m/>
    <s v="Dry Contact"/>
    <m/>
  </r>
  <r>
    <s v="MCC"/>
    <m/>
    <m/>
    <x v="3"/>
    <s v="MCC Room"/>
    <x v="0"/>
    <m/>
    <s v="Spray Dryer"/>
    <s v="PCM-60205-2"/>
    <m/>
    <m/>
    <e v="#N/A"/>
    <s v="1st"/>
    <s v="325-01-600-PD-01"/>
    <s v="-"/>
    <e v="#N/A"/>
    <s v="Require I/O DI= 2,DO=2,AI=0,AO=0,Bus=0"/>
    <s v="PCM-60205-2_DI_1"/>
    <x v="0"/>
    <n v="1"/>
    <n v="1"/>
    <s v="C0S01DI"/>
    <s v="C0S01DI27"/>
    <s v="C0S01,27"/>
    <s v="DI"/>
    <s v="Require I/O DI= 2,DO=2,AI=0,AO=0,Bus=0"/>
    <x v="0"/>
    <x v="4"/>
    <n v="27"/>
    <m/>
    <n v="2"/>
    <n v="2"/>
    <n v="0"/>
    <n v="0"/>
    <n v="0"/>
    <m/>
    <e v="#N/A"/>
    <m/>
  </r>
  <r>
    <s v="MCC"/>
    <m/>
    <m/>
    <x v="3"/>
    <s v="MCC Room"/>
    <x v="0"/>
    <m/>
    <s v="Spray Dryer"/>
    <s v="PCM-60205-2"/>
    <m/>
    <m/>
    <e v="#N/A"/>
    <s v="1st"/>
    <s v="325-01-600-PD-01"/>
    <s v="-"/>
    <e v="#N/A"/>
    <s v="Require I/O DI= 2,DO=2,AI=0,AO=0,Bus=0"/>
    <s v="PCM-60205-2_DI_2"/>
    <x v="0"/>
    <n v="1"/>
    <n v="2"/>
    <s v="C0S01DI"/>
    <s v="C0S01DI28"/>
    <s v="C0S01,28"/>
    <s v="DI"/>
    <s v="Require I/O DI= 2,DO=2,AI=0,AO=0,Bus=0"/>
    <x v="0"/>
    <x v="4"/>
    <n v="28"/>
    <m/>
    <n v="2"/>
    <n v="2"/>
    <n v="0"/>
    <n v="0"/>
    <n v="0"/>
    <m/>
    <e v="#N/A"/>
    <m/>
  </r>
  <r>
    <s v="MCC"/>
    <m/>
    <m/>
    <x v="3"/>
    <s v="MCC Room"/>
    <x v="0"/>
    <m/>
    <s v="Spray Dryer"/>
    <s v="PCM-60205-2"/>
    <m/>
    <m/>
    <e v="#N/A"/>
    <s v="1st"/>
    <s v="325-01-600-PD-01"/>
    <s v="-"/>
    <e v="#N/A"/>
    <s v="Require I/O DI= 2,DO=2,AI=0,AO=0,Bus=0"/>
    <s v="PCM-60205-2_DO_1"/>
    <x v="1"/>
    <n v="2"/>
    <n v="1"/>
    <s v="C0S05DO"/>
    <s v="C0S05DO15"/>
    <s v="C0S05,15"/>
    <s v="DO"/>
    <s v="Require I/O DI= 2,DO=2,AI=0,AO=0,Bus=0"/>
    <x v="0"/>
    <x v="5"/>
    <n v="15"/>
    <m/>
    <n v="2"/>
    <n v="2"/>
    <n v="0"/>
    <n v="0"/>
    <n v="0"/>
    <m/>
    <e v="#N/A"/>
    <m/>
  </r>
  <r>
    <s v="MCC"/>
    <m/>
    <m/>
    <x v="3"/>
    <s v="MCC Room"/>
    <x v="0"/>
    <m/>
    <s v="Spray Dryer"/>
    <s v="PCM-60205-2"/>
    <m/>
    <m/>
    <e v="#N/A"/>
    <s v="1st"/>
    <s v="325-01-600-PD-01"/>
    <s v="-"/>
    <e v="#N/A"/>
    <s v="Require I/O DI= 2,DO=2,AI=0,AO=0,Bus=0"/>
    <s v="PCM-60205-2_DO_2"/>
    <x v="1"/>
    <n v="2"/>
    <n v="2"/>
    <s v="C0S05DO"/>
    <s v="C0S05DO16"/>
    <s v="C0S05,16"/>
    <s v="DO"/>
    <s v="Require I/O DI= 2,DO=2,AI=0,AO=0,Bus=0"/>
    <x v="0"/>
    <x v="5"/>
    <n v="16"/>
    <m/>
    <n v="2"/>
    <n v="2"/>
    <n v="0"/>
    <n v="0"/>
    <n v="0"/>
    <m/>
    <e v="#N/A"/>
    <m/>
  </r>
  <r>
    <s v="MCC"/>
    <m/>
    <m/>
    <x v="3"/>
    <s v="MCC Room"/>
    <x v="0"/>
    <m/>
    <s v="Spray Dryer"/>
    <s v="PCM-60205-3"/>
    <m/>
    <m/>
    <e v="#N/A"/>
    <s v="1st"/>
    <s v="325-01-600-PD-01"/>
    <s v="-"/>
    <e v="#N/A"/>
    <s v="Require I/O DI= 2,DO=2,AI=0,AO=0,Bus=0"/>
    <s v="PCM-60205-3_DI_1"/>
    <x v="0"/>
    <n v="1"/>
    <n v="1"/>
    <s v="C0S01DI"/>
    <s v="C0S01DI29"/>
    <s v="C0S01,29"/>
    <s v="DI"/>
    <s v="Require I/O DI= 2,DO=2,AI=0,AO=0,Bus=0"/>
    <x v="0"/>
    <x v="4"/>
    <n v="29"/>
    <m/>
    <n v="2"/>
    <n v="2"/>
    <n v="0"/>
    <n v="0"/>
    <n v="0"/>
    <m/>
    <e v="#N/A"/>
    <m/>
  </r>
  <r>
    <s v="MCC"/>
    <m/>
    <m/>
    <x v="3"/>
    <s v="MCC Room"/>
    <x v="0"/>
    <m/>
    <s v="Spray Dryer"/>
    <s v="PCM-60205-3"/>
    <m/>
    <m/>
    <e v="#N/A"/>
    <s v="1st"/>
    <s v="325-01-600-PD-01"/>
    <s v="-"/>
    <e v="#N/A"/>
    <s v="Require I/O DI= 2,DO=2,AI=0,AO=0,Bus=0"/>
    <s v="PCM-60205-3_DI_2"/>
    <x v="0"/>
    <n v="1"/>
    <n v="2"/>
    <s v="C0S01DI"/>
    <s v="C0S01DI30"/>
    <s v="C0S01,30"/>
    <s v="DI"/>
    <s v="Require I/O DI= 2,DO=2,AI=0,AO=0,Bus=0"/>
    <x v="0"/>
    <x v="4"/>
    <n v="30"/>
    <m/>
    <n v="2"/>
    <n v="2"/>
    <n v="0"/>
    <n v="0"/>
    <n v="0"/>
    <m/>
    <e v="#N/A"/>
    <m/>
  </r>
  <r>
    <s v="MCC"/>
    <m/>
    <m/>
    <x v="3"/>
    <s v="MCC Room"/>
    <x v="0"/>
    <m/>
    <s v="Spray Dryer"/>
    <s v="PCM-60205-3"/>
    <m/>
    <m/>
    <e v="#N/A"/>
    <s v="1st"/>
    <s v="325-01-600-PD-01"/>
    <s v="-"/>
    <e v="#N/A"/>
    <s v="Require I/O DI= 2,DO=2,AI=0,AO=0,Bus=0"/>
    <s v="PCM-60205-3_DO_1"/>
    <x v="1"/>
    <n v="2"/>
    <n v="1"/>
    <s v="C0S05DO"/>
    <s v="C0S05DO17"/>
    <s v="C0S05,17"/>
    <s v="DO"/>
    <s v="Require I/O DI= 2,DO=2,AI=0,AO=0,Bus=0"/>
    <x v="0"/>
    <x v="5"/>
    <n v="17"/>
    <m/>
    <n v="2"/>
    <n v="2"/>
    <n v="0"/>
    <n v="0"/>
    <n v="0"/>
    <m/>
    <e v="#N/A"/>
    <m/>
  </r>
  <r>
    <s v="MCC"/>
    <m/>
    <m/>
    <x v="3"/>
    <s v="MCC Room"/>
    <x v="0"/>
    <m/>
    <s v="Spray Dryer"/>
    <s v="PCM-60205-3"/>
    <m/>
    <m/>
    <e v="#N/A"/>
    <s v="1st"/>
    <s v="325-01-600-PD-01"/>
    <s v="-"/>
    <e v="#N/A"/>
    <s v="Require I/O DI= 2,DO=2,AI=0,AO=0,Bus=0"/>
    <s v="PCM-60205-3_DO_2"/>
    <x v="1"/>
    <n v="2"/>
    <n v="2"/>
    <s v="C0S05DO"/>
    <s v="C0S05DO18"/>
    <s v="C0S05,18"/>
    <s v="DO"/>
    <s v="Require I/O DI= 2,DO=2,AI=0,AO=0,Bus=0"/>
    <x v="0"/>
    <x v="5"/>
    <n v="18"/>
    <m/>
    <n v="2"/>
    <n v="2"/>
    <n v="0"/>
    <n v="0"/>
    <n v="0"/>
    <m/>
    <e v="#N/A"/>
    <m/>
  </r>
  <r>
    <s v="MCC"/>
    <m/>
    <m/>
    <x v="3"/>
    <s v="MCC Room"/>
    <x v="0"/>
    <m/>
    <s v="Spray Dryer"/>
    <s v="PCM-60205-4"/>
    <m/>
    <m/>
    <e v="#N/A"/>
    <s v="1st"/>
    <s v="325-01-600-PD-01"/>
    <s v="-"/>
    <e v="#N/A"/>
    <s v="Require I/O DI= 2,DO=2,AI=0,AO=0,Bus=0"/>
    <s v="PCM-60205-4_DI_1"/>
    <x v="0"/>
    <n v="1"/>
    <n v="1"/>
    <s v="C0S01DI"/>
    <s v="C0S01DI31"/>
    <s v="C0S01,31"/>
    <s v="DI"/>
    <s v="Require I/O DI= 2,DO=2,AI=0,AO=0,Bus=0"/>
    <x v="0"/>
    <x v="4"/>
    <n v="31"/>
    <m/>
    <n v="2"/>
    <n v="2"/>
    <n v="0"/>
    <n v="0"/>
    <n v="0"/>
    <m/>
    <e v="#N/A"/>
    <m/>
  </r>
  <r>
    <s v="MCC"/>
    <m/>
    <m/>
    <x v="3"/>
    <s v="MCC Room"/>
    <x v="0"/>
    <m/>
    <s v="Spray Dryer"/>
    <s v="PCM-60205-4"/>
    <m/>
    <m/>
    <e v="#N/A"/>
    <s v="1st"/>
    <s v="325-01-600-PD-01"/>
    <s v="-"/>
    <e v="#N/A"/>
    <s v="Require I/O DI= 2,DO=2,AI=0,AO=0,Bus=0"/>
    <s v="PCM-60205-4_DI_2"/>
    <x v="0"/>
    <n v="1"/>
    <n v="2"/>
    <s v="C0S02DI"/>
    <s v="C0S02DI00"/>
    <s v="C0S02,00"/>
    <s v="DI"/>
    <s v="Require I/O DI= 2,DO=2,AI=0,AO=0,Bus=0"/>
    <x v="0"/>
    <x v="0"/>
    <n v="0"/>
    <m/>
    <n v="2"/>
    <n v="2"/>
    <n v="0"/>
    <n v="0"/>
    <n v="0"/>
    <m/>
    <e v="#N/A"/>
    <m/>
  </r>
  <r>
    <s v="MCC"/>
    <m/>
    <m/>
    <x v="3"/>
    <s v="MCC Room"/>
    <x v="0"/>
    <m/>
    <s v="Spray Dryer"/>
    <s v="PCM-60205-4"/>
    <m/>
    <m/>
    <e v="#N/A"/>
    <s v="1st"/>
    <s v="325-01-600-PD-01"/>
    <s v="-"/>
    <e v="#N/A"/>
    <s v="Require I/O DI= 2,DO=2,AI=0,AO=0,Bus=0"/>
    <s v="PCM-60205-4_DO_1"/>
    <x v="1"/>
    <n v="2"/>
    <n v="1"/>
    <s v="C0S05DO"/>
    <s v="C0S05DO19"/>
    <s v="C0S05,19"/>
    <s v="DO"/>
    <s v="Require I/O DI= 2,DO=2,AI=0,AO=0,Bus=0"/>
    <x v="0"/>
    <x v="5"/>
    <n v="19"/>
    <m/>
    <n v="2"/>
    <n v="2"/>
    <n v="0"/>
    <n v="0"/>
    <n v="0"/>
    <m/>
    <e v="#N/A"/>
    <m/>
  </r>
  <r>
    <s v="MCC"/>
    <m/>
    <m/>
    <x v="3"/>
    <s v="MCC Room"/>
    <x v="0"/>
    <m/>
    <s v="Spray Dryer"/>
    <s v="PCM-60205-4"/>
    <m/>
    <m/>
    <e v="#N/A"/>
    <s v="1st"/>
    <s v="325-01-600-PD-01"/>
    <s v="-"/>
    <e v="#N/A"/>
    <s v="Require I/O DI= 2,DO=2,AI=0,AO=0,Bus=0"/>
    <s v="PCM-60205-4_DO_2"/>
    <x v="1"/>
    <n v="2"/>
    <n v="2"/>
    <s v="C0S05DO"/>
    <s v="C0S05DO20"/>
    <s v="C0S05,20"/>
    <s v="DO"/>
    <s v="Require I/O DI= 2,DO=2,AI=0,AO=0,Bus=0"/>
    <x v="0"/>
    <x v="5"/>
    <n v="20"/>
    <m/>
    <n v="2"/>
    <n v="2"/>
    <n v="0"/>
    <n v="0"/>
    <n v="0"/>
    <m/>
    <e v="#N/A"/>
    <m/>
  </r>
  <r>
    <s v="MCC"/>
    <m/>
    <m/>
    <x v="3"/>
    <s v="MCC Room"/>
    <x v="0"/>
    <m/>
    <s v="Spray Dryer"/>
    <s v="PCM-60205-5"/>
    <m/>
    <m/>
    <e v="#N/A"/>
    <s v="1st"/>
    <s v="325-01-600-PD-01"/>
    <s v="-"/>
    <e v="#N/A"/>
    <s v="Require I/O DI= 2,DO=2,AI=0,AO=0,Bus=0"/>
    <s v="PCM-60205-5_DI_1"/>
    <x v="0"/>
    <n v="1"/>
    <n v="1"/>
    <s v="C0S02DI"/>
    <s v="C0S02DI01"/>
    <s v="C0S02,01"/>
    <s v="DI"/>
    <s v="Require I/O DI= 2,DO=2,AI=0,AO=0,Bus=0"/>
    <x v="0"/>
    <x v="0"/>
    <n v="1"/>
    <m/>
    <n v="2"/>
    <n v="2"/>
    <n v="0"/>
    <n v="0"/>
    <n v="0"/>
    <m/>
    <e v="#N/A"/>
    <m/>
  </r>
  <r>
    <s v="MCC"/>
    <m/>
    <m/>
    <x v="3"/>
    <s v="MCC Room"/>
    <x v="0"/>
    <m/>
    <s v="Spray Dryer"/>
    <s v="PCM-60205-5"/>
    <m/>
    <m/>
    <e v="#N/A"/>
    <s v="1st"/>
    <s v="325-01-600-PD-01"/>
    <s v="-"/>
    <e v="#N/A"/>
    <s v="Require I/O DI= 2,DO=2,AI=0,AO=0,Bus=0"/>
    <s v="PCM-60205-5_DI_2"/>
    <x v="0"/>
    <n v="1"/>
    <n v="2"/>
    <s v="C0S02DI"/>
    <s v="C0S02DI02"/>
    <s v="C0S02,02"/>
    <s v="DI"/>
    <s v="Require I/O DI= 2,DO=2,AI=0,AO=0,Bus=0"/>
    <x v="0"/>
    <x v="0"/>
    <n v="2"/>
    <m/>
    <n v="2"/>
    <n v="2"/>
    <n v="0"/>
    <n v="0"/>
    <n v="0"/>
    <m/>
    <e v="#N/A"/>
    <m/>
  </r>
  <r>
    <s v="MCC"/>
    <m/>
    <m/>
    <x v="3"/>
    <s v="MCC Room"/>
    <x v="0"/>
    <m/>
    <s v="Spray Dryer"/>
    <s v="PCM-60205-5"/>
    <m/>
    <m/>
    <e v="#N/A"/>
    <s v="1st"/>
    <s v="325-01-600-PD-01"/>
    <s v="-"/>
    <e v="#N/A"/>
    <s v="Require I/O DI= 2,DO=2,AI=0,AO=0,Bus=0"/>
    <s v="PCM-60205-5_DO_1"/>
    <x v="1"/>
    <n v="2"/>
    <n v="1"/>
    <s v="C0S05DO"/>
    <s v="C0S05DO21"/>
    <s v="C0S05,21"/>
    <s v="DO"/>
    <s v="Require I/O DI= 2,DO=2,AI=0,AO=0,Bus=0"/>
    <x v="0"/>
    <x v="5"/>
    <n v="21"/>
    <m/>
    <n v="2"/>
    <n v="2"/>
    <n v="0"/>
    <n v="0"/>
    <n v="0"/>
    <m/>
    <e v="#N/A"/>
    <m/>
  </r>
  <r>
    <s v="MCC"/>
    <m/>
    <m/>
    <x v="3"/>
    <s v="MCC Room"/>
    <x v="0"/>
    <m/>
    <s v="Spray Dryer"/>
    <s v="PCM-60205-5"/>
    <m/>
    <m/>
    <e v="#N/A"/>
    <s v="1st"/>
    <s v="325-01-600-PD-01"/>
    <s v="-"/>
    <e v="#N/A"/>
    <s v="Require I/O DI= 2,DO=2,AI=0,AO=0,Bus=0"/>
    <s v="PCM-60205-5_DO_2"/>
    <x v="1"/>
    <n v="2"/>
    <n v="2"/>
    <s v="C0S05DO"/>
    <s v="C0S05DO22"/>
    <s v="C0S05,22"/>
    <s v="DO"/>
    <s v="Require I/O DI= 2,DO=2,AI=0,AO=0,Bus=0"/>
    <x v="0"/>
    <x v="5"/>
    <n v="22"/>
    <m/>
    <n v="2"/>
    <n v="2"/>
    <n v="0"/>
    <n v="0"/>
    <n v="0"/>
    <m/>
    <e v="#N/A"/>
    <m/>
  </r>
  <r>
    <s v="MCC"/>
    <m/>
    <m/>
    <x v="3"/>
    <s v="MCC Room"/>
    <x v="4"/>
    <m/>
    <s v="PH Adjustment"/>
    <s v="PCY-40201"/>
    <m/>
    <m/>
    <s v="PUMP"/>
    <s v="1st"/>
    <s v="325-01-400-PD-01"/>
    <s v="3-25-01-402-PD-01"/>
    <s v=" Start / Stop Command for VSD PC-40201"/>
    <s v="Require I/O DI= 3,DO=1,AI=0,AO=0,Bus=1"/>
    <s v="PCY-40201_DI_1"/>
    <x v="0"/>
    <n v="1"/>
    <n v="1"/>
    <s v="C0S01DI"/>
    <s v="C0S01DI17"/>
    <s v="C0S01,17"/>
    <s v="DI"/>
    <s v="Require I/O DI= 3,DO=1,AI=0,AO=0,Bus=1"/>
    <x v="0"/>
    <x v="4"/>
    <n v="17"/>
    <m/>
    <n v="3"/>
    <n v="1"/>
    <n v="0"/>
    <n v="0"/>
    <n v="1"/>
    <m/>
    <s v="24 VDC energized"/>
    <s v="x"/>
  </r>
  <r>
    <s v="MCC"/>
    <m/>
    <m/>
    <x v="3"/>
    <s v="MCC Room"/>
    <x v="4"/>
    <m/>
    <s v="PH Adjustment"/>
    <s v="PCY-40201"/>
    <m/>
    <m/>
    <s v="PUMP"/>
    <s v="1st"/>
    <s v="325-01-400-PD-01"/>
    <s v="3-25-01-402-PD-01"/>
    <s v=" Start / Stop Command for VSD PC-40201"/>
    <s v="Require I/O DI= 3,DO=1,AI=0,AO=0,Bus=1"/>
    <s v="PCY-40201_DI_2"/>
    <x v="0"/>
    <n v="1"/>
    <n v="2"/>
    <s v="C0S01DI"/>
    <s v="C0S01DI18"/>
    <s v="C0S01,18"/>
    <s v="DI"/>
    <s v="Require I/O DI= 3,DO=1,AI=0,AO=0,Bus=1"/>
    <x v="0"/>
    <x v="4"/>
    <n v="18"/>
    <m/>
    <n v="3"/>
    <n v="1"/>
    <n v="0"/>
    <n v="0"/>
    <n v="1"/>
    <m/>
    <s v="24 VDC energized"/>
    <s v="x"/>
  </r>
  <r>
    <s v="MCC"/>
    <m/>
    <m/>
    <x v="3"/>
    <s v="MCC Room"/>
    <x v="4"/>
    <m/>
    <s v="PH Adjustment"/>
    <s v="PCY-40201"/>
    <m/>
    <m/>
    <s v="PUMP"/>
    <s v="1st"/>
    <s v="325-01-400-PD-01"/>
    <s v="3-25-01-402-PD-01"/>
    <s v=" Start / Stop Command for VSD PC-40201"/>
    <s v="Require I/O DI= 3,DO=1,AI=0,AO=0,Bus=1"/>
    <s v="PCY-40201_DI_3"/>
    <x v="0"/>
    <n v="1"/>
    <n v="3"/>
    <s v="C0S01DI"/>
    <s v="C0S01DI19"/>
    <s v="C0S01,19"/>
    <s v="DI"/>
    <s v="Require I/O DI= 3,DO=1,AI=0,AO=0,Bus=1"/>
    <x v="0"/>
    <x v="4"/>
    <n v="19"/>
    <m/>
    <n v="3"/>
    <n v="1"/>
    <n v="0"/>
    <n v="0"/>
    <n v="1"/>
    <m/>
    <s v="24 VDC energized"/>
    <s v="x"/>
  </r>
  <r>
    <s v="MCC"/>
    <m/>
    <m/>
    <x v="3"/>
    <s v="MCC Room"/>
    <x v="4"/>
    <m/>
    <s v="PH Adjustment"/>
    <s v="PCY-40201"/>
    <m/>
    <m/>
    <s v="PUMP"/>
    <s v="1st"/>
    <s v="325-01-400-PD-01"/>
    <s v="3-25-01-402-PD-01"/>
    <s v=" Start / Stop Command for VSD PC-40201"/>
    <s v="Require I/O DI= 3,DO=1,AI=0,AO=0,Bus=1"/>
    <s v="PCY-40201_DO_1"/>
    <x v="1"/>
    <n v="2"/>
    <n v="1"/>
    <s v="C0S05DO"/>
    <s v="C0S05DO11"/>
    <s v="C0S05,11"/>
    <s v="DO"/>
    <s v="Require I/O DI= 3,DO=1,AI=0,AO=0,Bus=1"/>
    <x v="0"/>
    <x v="5"/>
    <n v="11"/>
    <m/>
    <n v="3"/>
    <n v="1"/>
    <n v="0"/>
    <n v="0"/>
    <n v="1"/>
    <m/>
    <s v="24 VDC energized"/>
    <m/>
  </r>
  <r>
    <s v="MCC"/>
    <m/>
    <m/>
    <x v="3"/>
    <s v="MCC Room"/>
    <x v="4"/>
    <m/>
    <s v="PH Adjustment"/>
    <s v="PCY-40201"/>
    <m/>
    <m/>
    <s v="PUMP"/>
    <s v="1st"/>
    <s v="325-01-400-PD-01"/>
    <s v="3-25-01-402-PD-01"/>
    <s v=" Start / Stop Command for VSD PC-40201"/>
    <s v="Require I/O DI= 3,DO=1,AI=0,AO=0,Bus=1"/>
    <s v="PCY-40201_BUS_1"/>
    <x v="2"/>
    <n v="0"/>
    <n v="1"/>
    <s v="C0S00BUS"/>
    <s v="C0S00BUS00"/>
    <s v="C0S00,00"/>
    <s v="BUS"/>
    <s v="Require I/O DI= 3,DO=1,AI=0,AO=0,Bus=1"/>
    <x v="0"/>
    <x v="3"/>
    <n v="0"/>
    <m/>
    <n v="3"/>
    <n v="1"/>
    <n v="0"/>
    <n v="0"/>
    <n v="1"/>
    <m/>
    <s v="BUS"/>
    <s v="x"/>
  </r>
  <r>
    <s v="MCC"/>
    <m/>
    <m/>
    <x v="3"/>
    <s v="MCC Room"/>
    <x v="4"/>
    <m/>
    <s v="PH Adjustment"/>
    <s v="PCY-40202"/>
    <m/>
    <m/>
    <s v="PUMP"/>
    <s v="1st"/>
    <s v="325-01-400-PD-01"/>
    <s v="3-25-01-402-PD-01"/>
    <s v=" Start / Stop Command for VSD PC-40202"/>
    <s v="Require I/O DI= 3,DO=1,AI=0,AO=0,Bus=1"/>
    <s v="PCY-40202_DI_1"/>
    <x v="0"/>
    <n v="1"/>
    <n v="1"/>
    <s v="C0S01DI"/>
    <s v="C0S01DI20"/>
    <s v="C0S01,20"/>
    <s v="DI"/>
    <s v="Require I/O DI= 3,DO=1,AI=0,AO=0,Bus=1"/>
    <x v="0"/>
    <x v="4"/>
    <n v="20"/>
    <m/>
    <n v="3"/>
    <n v="1"/>
    <n v="0"/>
    <n v="0"/>
    <n v="1"/>
    <m/>
    <s v="24 VDC energized"/>
    <s v="x"/>
  </r>
  <r>
    <s v="MCC"/>
    <m/>
    <m/>
    <x v="3"/>
    <s v="MCC Room"/>
    <x v="4"/>
    <m/>
    <s v="PH Adjustment"/>
    <s v="PCY-40202"/>
    <m/>
    <m/>
    <s v="PUMP"/>
    <s v="1st"/>
    <s v="325-01-400-PD-01"/>
    <s v="3-25-01-402-PD-01"/>
    <s v=" Start / Stop Command for VSD PC-40202"/>
    <s v="Require I/O DI= 3,DO=1,AI=0,AO=0,Bus=1"/>
    <s v="PCY-40202_DI_2"/>
    <x v="0"/>
    <n v="1"/>
    <n v="2"/>
    <s v="C0S01DI"/>
    <s v="C0S01DI21"/>
    <s v="C0S01,21"/>
    <s v="DI"/>
    <s v="Require I/O DI= 3,DO=1,AI=0,AO=0,Bus=1"/>
    <x v="0"/>
    <x v="4"/>
    <n v="21"/>
    <m/>
    <n v="3"/>
    <n v="1"/>
    <n v="0"/>
    <n v="0"/>
    <n v="1"/>
    <m/>
    <s v="24 VDC energized"/>
    <s v="x"/>
  </r>
  <r>
    <s v="MCC"/>
    <m/>
    <m/>
    <x v="3"/>
    <s v="MCC Room"/>
    <x v="4"/>
    <m/>
    <s v="PH Adjustment"/>
    <s v="PCY-40202"/>
    <m/>
    <m/>
    <s v="PUMP"/>
    <s v="1st"/>
    <s v="325-01-400-PD-01"/>
    <s v="3-25-01-402-PD-01"/>
    <s v=" Start / Stop Command for VSD PC-40202"/>
    <s v="Require I/O DI= 3,DO=1,AI=0,AO=0,Bus=1"/>
    <s v="PCY-40202_DI_3"/>
    <x v="0"/>
    <n v="1"/>
    <n v="3"/>
    <s v="C0S01DI"/>
    <s v="C0S01DI22"/>
    <s v="C0S01,22"/>
    <s v="DI"/>
    <s v="Require I/O DI= 3,DO=1,AI=0,AO=0,Bus=1"/>
    <x v="0"/>
    <x v="4"/>
    <n v="22"/>
    <m/>
    <n v="3"/>
    <n v="1"/>
    <n v="0"/>
    <n v="0"/>
    <n v="1"/>
    <m/>
    <s v="24 VDC energized"/>
    <s v="x"/>
  </r>
  <r>
    <s v="MCC"/>
    <m/>
    <m/>
    <x v="3"/>
    <s v="MCC Room"/>
    <x v="4"/>
    <m/>
    <s v="PH Adjustment"/>
    <s v="PCY-40202"/>
    <m/>
    <m/>
    <s v="PUMP"/>
    <s v="1st"/>
    <s v="325-01-400-PD-01"/>
    <s v="3-25-01-402-PD-01"/>
    <s v=" Start / Stop Command for VSD PC-40202"/>
    <s v="Require I/O DI= 3,DO=1,AI=0,AO=0,Bus=1"/>
    <s v="PCY-40202_DO_1"/>
    <x v="1"/>
    <n v="2"/>
    <n v="1"/>
    <s v="C0S05DO"/>
    <s v="C0S05DO12"/>
    <s v="C0S05,12"/>
    <s v="DO"/>
    <s v="Require I/O DI= 3,DO=1,AI=0,AO=0,Bus=1"/>
    <x v="0"/>
    <x v="5"/>
    <n v="12"/>
    <m/>
    <n v="3"/>
    <n v="1"/>
    <n v="0"/>
    <n v="0"/>
    <n v="1"/>
    <m/>
    <s v="24 VDC energized"/>
    <m/>
  </r>
  <r>
    <s v="MCC"/>
    <m/>
    <m/>
    <x v="3"/>
    <s v="MCC Room"/>
    <x v="4"/>
    <m/>
    <s v="PH Adjustment"/>
    <s v="PCY-40202"/>
    <m/>
    <m/>
    <s v="PUMP"/>
    <s v="1st"/>
    <s v="325-01-400-PD-01"/>
    <s v="3-25-01-402-PD-01"/>
    <s v=" Start / Stop Command for VSD PC-40202"/>
    <s v="Require I/O DI= 3,DO=1,AI=0,AO=0,Bus=1"/>
    <s v="PCY-40202_BUS_1"/>
    <x v="2"/>
    <n v="0"/>
    <n v="1"/>
    <s v="C0S00BUS"/>
    <s v="C0S00BUS00"/>
    <s v="C0S00,00"/>
    <s v="BUS"/>
    <s v="Require I/O DI= 3,DO=1,AI=0,AO=0,Bus=1"/>
    <x v="0"/>
    <x v="3"/>
    <n v="0"/>
    <m/>
    <n v="3"/>
    <n v="1"/>
    <n v="0"/>
    <n v="0"/>
    <n v="1"/>
    <m/>
    <s v="BUS"/>
    <s v="x"/>
  </r>
  <r>
    <s v="MCC"/>
    <m/>
    <m/>
    <x v="3"/>
    <s v="MCC Room"/>
    <x v="4"/>
    <m/>
    <s v="Infeed Tank"/>
    <s v="PCY-40203"/>
    <m/>
    <m/>
    <s v="PUMP"/>
    <s v="1st"/>
    <s v="325-01-400-PD-02"/>
    <s v="3-25-01-402-PD-02"/>
    <s v=" Start / Stop Command for VSD PUCF-11 (Centrifugal Feed Pump)"/>
    <s v="Require I/O DI= 3,DO=1,AI=0,AO=0,Bus=1"/>
    <s v="PCY-40203_DI_1"/>
    <x v="0"/>
    <n v="1"/>
    <n v="1"/>
    <s v="C0S01DI"/>
    <s v="C0S01DI23"/>
    <s v="C0S01,23"/>
    <s v="DI"/>
    <s v="Require I/O DI= 3,DO=1,AI=0,AO=0,Bus=1"/>
    <x v="0"/>
    <x v="4"/>
    <n v="23"/>
    <m/>
    <n v="3"/>
    <n v="1"/>
    <n v="0"/>
    <n v="0"/>
    <n v="1"/>
    <m/>
    <s v="24 VDC energized"/>
    <s v="x"/>
  </r>
  <r>
    <s v="MCC"/>
    <m/>
    <m/>
    <x v="3"/>
    <s v="MCC Room"/>
    <x v="4"/>
    <m/>
    <s v="Infeed Tank"/>
    <s v="PCY-40203"/>
    <m/>
    <m/>
    <s v="PUMP"/>
    <s v="1st"/>
    <s v="325-01-400-PD-02"/>
    <s v="3-25-01-402-PD-02"/>
    <s v=" Start / Stop Command for VSD PUCF-11 (Centrifugal Feed Pump)"/>
    <s v="Require I/O DI= 3,DO=1,AI=0,AO=0,Bus=1"/>
    <s v="PCY-40203_DI_2"/>
    <x v="0"/>
    <n v="1"/>
    <n v="2"/>
    <s v="C0S01DI"/>
    <s v="C0S01DI24"/>
    <s v="C0S01,24"/>
    <s v="DI"/>
    <s v="Require I/O DI= 3,DO=1,AI=0,AO=0,Bus=1"/>
    <x v="0"/>
    <x v="4"/>
    <n v="24"/>
    <m/>
    <n v="3"/>
    <n v="1"/>
    <n v="0"/>
    <n v="0"/>
    <n v="1"/>
    <m/>
    <s v="24 VDC energized"/>
    <s v="x"/>
  </r>
  <r>
    <s v="MCC"/>
    <m/>
    <m/>
    <x v="3"/>
    <s v="MCC Room"/>
    <x v="4"/>
    <m/>
    <s v="Infeed Tank"/>
    <s v="PCY-40203"/>
    <m/>
    <m/>
    <s v="PUMP"/>
    <s v="1st"/>
    <s v="325-01-400-PD-02"/>
    <s v="3-25-01-402-PD-02"/>
    <s v=" Start / Stop Command for VSD PUCF-11 (Centrifugal Feed Pump)"/>
    <s v="Require I/O DI= 3,DO=1,AI=0,AO=0,Bus=1"/>
    <s v="PCY-40203_DI_3"/>
    <x v="0"/>
    <n v="1"/>
    <n v="3"/>
    <s v="C0S01DI"/>
    <s v="C0S01DI25"/>
    <s v="C0S01,25"/>
    <s v="DI"/>
    <s v="Require I/O DI= 3,DO=1,AI=0,AO=0,Bus=1"/>
    <x v="0"/>
    <x v="4"/>
    <n v="25"/>
    <m/>
    <n v="3"/>
    <n v="1"/>
    <n v="0"/>
    <n v="0"/>
    <n v="1"/>
    <m/>
    <s v="24 VDC energized"/>
    <s v="x"/>
  </r>
  <r>
    <s v="MCC"/>
    <m/>
    <m/>
    <x v="3"/>
    <s v="MCC Room"/>
    <x v="4"/>
    <m/>
    <s v="Infeed Tank"/>
    <s v="PCY-40203"/>
    <m/>
    <m/>
    <s v="PUMP"/>
    <s v="1st"/>
    <s v="325-01-400-PD-02"/>
    <s v="3-25-01-402-PD-02"/>
    <s v=" Start / Stop Command for VSD PUCF-11 (Centrifugal Feed Pump)"/>
    <s v="Require I/O DI= 3,DO=1,AI=0,AO=0,Bus=1"/>
    <s v="PCY-40203_DO_1"/>
    <x v="1"/>
    <n v="2"/>
    <n v="1"/>
    <s v="C0S05DO"/>
    <s v="C0S05DO13"/>
    <s v="C0S05,13"/>
    <s v="DO"/>
    <s v="Require I/O DI= 3,DO=1,AI=0,AO=0,Bus=1"/>
    <x v="0"/>
    <x v="5"/>
    <n v="13"/>
    <m/>
    <n v="3"/>
    <n v="1"/>
    <n v="0"/>
    <n v="0"/>
    <n v="1"/>
    <m/>
    <s v="24 VDC energized"/>
    <m/>
  </r>
  <r>
    <s v="MCC"/>
    <m/>
    <m/>
    <x v="3"/>
    <s v="MCC Room"/>
    <x v="4"/>
    <m/>
    <s v="Infeed Tank"/>
    <s v="PCY-40203"/>
    <m/>
    <m/>
    <s v="PUMP"/>
    <s v="1st"/>
    <s v="325-01-400-PD-02"/>
    <s v="3-25-01-402-PD-02"/>
    <s v=" Start / Stop Command for VSD PUCF-11 (Centrifugal Feed Pump)"/>
    <s v="Require I/O DI= 3,DO=1,AI=0,AO=0,Bus=1"/>
    <s v="PCY-40203_BUS_1"/>
    <x v="2"/>
    <n v="0"/>
    <n v="1"/>
    <s v="C0S00BUS"/>
    <s v="C0S00BUS00"/>
    <s v="C0S00,00"/>
    <s v="BUS"/>
    <s v="Require I/O DI= 3,DO=1,AI=0,AO=0,Bus=1"/>
    <x v="0"/>
    <x v="3"/>
    <n v="0"/>
    <m/>
    <n v="3"/>
    <n v="1"/>
    <n v="0"/>
    <n v="0"/>
    <n v="1"/>
    <m/>
    <s v="BUS"/>
    <s v="x"/>
  </r>
  <r>
    <s v="MCC"/>
    <m/>
    <m/>
    <x v="3"/>
    <s v="MCC Room"/>
    <x v="5"/>
    <m/>
    <s v="Spray Dryer"/>
    <s v="PCY-60215"/>
    <m/>
    <m/>
    <s v="PUMP"/>
    <s v="5th"/>
    <s v="325-01-600-PD-03"/>
    <s v="-"/>
    <s v=" Start / Stop Command for VSD PUCF-21 (Heat Recovery Centrifugal Pump)"/>
    <s v="Require I/O DI= 3,DO=1,AI=0,AO=0,Bus=1"/>
    <s v="PCY-60215_DI_1"/>
    <x v="0"/>
    <n v="1"/>
    <n v="1"/>
    <s v="C0S02DI"/>
    <s v="C0S02DI14"/>
    <s v="C0S02,14"/>
    <s v="DI"/>
    <s v="Require I/O DI= 3,DO=1,AI=0,AO=0,Bus=1"/>
    <x v="0"/>
    <x v="0"/>
    <n v="14"/>
    <m/>
    <n v="3"/>
    <n v="1"/>
    <n v="0"/>
    <n v="0"/>
    <n v="1"/>
    <m/>
    <s v="24 VDC energized"/>
    <m/>
  </r>
  <r>
    <s v="MCC"/>
    <m/>
    <m/>
    <x v="3"/>
    <s v="MCC Room"/>
    <x v="5"/>
    <m/>
    <s v="Spray Dryer"/>
    <s v="PCY-60215"/>
    <m/>
    <m/>
    <s v="PUMP"/>
    <s v="5th"/>
    <s v="325-01-600-PD-03"/>
    <s v="-"/>
    <s v=" Start / Stop Command for VSD PUCF-21 (Heat Recovery Centrifugal Pump)"/>
    <s v="Require I/O DI= 3,DO=1,AI=0,AO=0,Bus=1"/>
    <s v="PCY-60215_DI_2"/>
    <x v="0"/>
    <n v="1"/>
    <n v="2"/>
    <s v="C0S02DI"/>
    <s v="C0S02DI15"/>
    <s v="C0S02,15"/>
    <s v="DI"/>
    <s v="Require I/O DI= 3,DO=1,AI=0,AO=0,Bus=1"/>
    <x v="0"/>
    <x v="0"/>
    <n v="15"/>
    <m/>
    <n v="3"/>
    <n v="1"/>
    <n v="0"/>
    <n v="0"/>
    <n v="1"/>
    <m/>
    <s v="24 VDC energized"/>
    <m/>
  </r>
  <r>
    <s v="MCC"/>
    <m/>
    <m/>
    <x v="3"/>
    <s v="MCC Room"/>
    <x v="5"/>
    <m/>
    <s v="Spray Dryer"/>
    <s v="PCY-60215"/>
    <m/>
    <m/>
    <s v="PUMP"/>
    <s v="5th"/>
    <s v="325-01-600-PD-03"/>
    <s v="-"/>
    <s v=" Start / Stop Command for VSD PUCF-21 (Heat Recovery Centrifugal Pump)"/>
    <s v="Require I/O DI= 3,DO=1,AI=0,AO=0,Bus=1"/>
    <s v="PCY-60215_DI_3"/>
    <x v="0"/>
    <n v="1"/>
    <n v="3"/>
    <s v="C0S02DI"/>
    <s v="C0S02DI16"/>
    <s v="C0S02,16"/>
    <s v="DI"/>
    <s v="Require I/O DI= 3,DO=1,AI=0,AO=0,Bus=1"/>
    <x v="0"/>
    <x v="0"/>
    <n v="16"/>
    <m/>
    <n v="3"/>
    <n v="1"/>
    <n v="0"/>
    <n v="0"/>
    <n v="1"/>
    <m/>
    <s v="24 VDC energized"/>
    <m/>
  </r>
  <r>
    <s v="MCC"/>
    <m/>
    <m/>
    <x v="3"/>
    <s v="MCC Room"/>
    <x v="5"/>
    <m/>
    <s v="Spray Dryer"/>
    <s v="PCY-60215"/>
    <m/>
    <m/>
    <s v="PUMP"/>
    <s v="5th"/>
    <s v="325-01-600-PD-03"/>
    <s v="-"/>
    <s v=" Start / Stop Command for VSD PUCF-21 (Heat Recovery Centrifugal Pump)"/>
    <s v="Require I/O DI= 3,DO=1,AI=0,AO=0,Bus=1"/>
    <s v="PCY-60215_DO_1"/>
    <x v="1"/>
    <n v="2"/>
    <n v="1"/>
    <s v="C0S06DO"/>
    <s v="C0S06DO01"/>
    <s v="C0S06,01"/>
    <s v="DO"/>
    <s v="Require I/O DI= 3,DO=1,AI=0,AO=0,Bus=1"/>
    <x v="0"/>
    <x v="2"/>
    <n v="1"/>
    <m/>
    <n v="3"/>
    <n v="1"/>
    <n v="0"/>
    <n v="0"/>
    <n v="1"/>
    <m/>
    <s v="24 VDC energized"/>
    <m/>
  </r>
  <r>
    <s v="MCC"/>
    <m/>
    <m/>
    <x v="3"/>
    <s v="MCC Room"/>
    <x v="5"/>
    <m/>
    <s v="Spray Dryer"/>
    <s v="PCY-60215"/>
    <m/>
    <m/>
    <s v="PUMP"/>
    <s v="5th"/>
    <s v="325-01-600-PD-03"/>
    <s v="-"/>
    <s v=" Start / Stop Command for VSD PUCF-21 (Heat Recovery Centrifugal Pump)"/>
    <s v="Require I/O DI= 3,DO=1,AI=0,AO=0,Bus=1"/>
    <s v="PCY-60215_BUS_1"/>
    <x v="2"/>
    <n v="0"/>
    <n v="1"/>
    <s v="C0S00BUS"/>
    <s v="C0S00BUS00"/>
    <s v="C0S00,00"/>
    <s v="BUS"/>
    <s v="Require I/O DI= 3,DO=1,AI=0,AO=0,Bus=1"/>
    <x v="0"/>
    <x v="3"/>
    <n v="0"/>
    <m/>
    <n v="3"/>
    <n v="1"/>
    <n v="0"/>
    <n v="0"/>
    <n v="1"/>
    <m/>
    <s v="BUS"/>
    <m/>
  </r>
  <r>
    <s v="MCC"/>
    <m/>
    <m/>
    <x v="3"/>
    <s v="MCC Room"/>
    <x v="7"/>
    <m/>
    <s v="CIP Water System"/>
    <s v="PCY-814201"/>
    <m/>
    <m/>
    <s v="PUMP"/>
    <s v="2nd"/>
    <s v="3-25-01-810-PD-01"/>
    <s v="-"/>
    <s v=" Start / Stop Command to VSD PC-81001"/>
    <s v="Require I/O DI= 3,DO=1,AI=0,AO=0,Bus=1"/>
    <s v="PCY-814201_BUS_1"/>
    <x v="2"/>
    <n v="0"/>
    <n v="1"/>
    <s v="C0S00BUS"/>
    <s v="C0S00BUS00"/>
    <s v="C0S00,00"/>
    <s v="BUS"/>
    <s v="Require I/O DI= 3,DO=1,AI=0,AO=0,Bus=1"/>
    <x v="0"/>
    <x v="3"/>
    <n v="0"/>
    <m/>
    <n v="3"/>
    <n v="1"/>
    <n v="0"/>
    <n v="0"/>
    <n v="1"/>
    <m/>
    <s v="BUS"/>
    <m/>
  </r>
  <r>
    <s v="MCC"/>
    <m/>
    <m/>
    <x v="3"/>
    <s v="MCC Room"/>
    <x v="7"/>
    <m/>
    <s v="CIP Water System"/>
    <s v="PCY-814202"/>
    <m/>
    <m/>
    <s v="PUMP"/>
    <s v="2nd"/>
    <s v="3-25-01-810-PD-01"/>
    <s v="-"/>
    <s v=" Start / Stop Command to VSD PC-81002"/>
    <s v="Require I/O DI= 3,DO=1,AI=0,AO=0,Bus=1"/>
    <s v="PCY-814202_BUS_1"/>
    <x v="2"/>
    <n v="0"/>
    <n v="1"/>
    <s v="C0S00BUS"/>
    <s v="C0S00BUS00"/>
    <s v="C0S00,00"/>
    <s v="BUS"/>
    <s v="Require I/O DI= 3,DO=1,AI=0,AO=0,Bus=1"/>
    <x v="0"/>
    <x v="3"/>
    <n v="0"/>
    <m/>
    <n v="3"/>
    <n v="1"/>
    <n v="0"/>
    <n v="0"/>
    <n v="1"/>
    <m/>
    <s v="BUS"/>
    <m/>
  </r>
  <r>
    <s v="MCC"/>
    <m/>
    <m/>
    <x v="3"/>
    <s v="MCC Room"/>
    <x v="0"/>
    <m/>
    <s v="Spray Dryer"/>
    <s v="RVM-60201"/>
    <m/>
    <m/>
    <n v="0"/>
    <s v="1st"/>
    <s v="325-01-600-PD-08"/>
    <s v="-"/>
    <s v=" Start / Stop Command for FVNR RVAL-21 (Cyclone-21 Rotary Valve )"/>
    <s v="Require I/O DI= 2,DO=2,AI=0,AO=0,Bus=0"/>
    <s v="RVM-60201_DI_1"/>
    <x v="0"/>
    <n v="1"/>
    <n v="1"/>
    <s v="C0S02DI"/>
    <s v="C0S02DI05"/>
    <s v="C0S02,05"/>
    <s v="DI"/>
    <s v="Require I/O DI= 2,DO=2,AI=0,AO=0,Bus=0"/>
    <x v="0"/>
    <x v="0"/>
    <n v="5"/>
    <m/>
    <n v="2"/>
    <n v="2"/>
    <n v="0"/>
    <n v="0"/>
    <n v="0"/>
    <m/>
    <s v="24 VDC energized"/>
    <m/>
  </r>
  <r>
    <s v="MCC"/>
    <m/>
    <m/>
    <x v="3"/>
    <s v="MCC Room"/>
    <x v="0"/>
    <m/>
    <s v="Spray Dryer"/>
    <s v="RVM-60201"/>
    <m/>
    <m/>
    <n v="0"/>
    <s v="1st"/>
    <s v="325-01-600-PD-08"/>
    <s v="-"/>
    <s v=" Start / Stop Command for FVNR RVAL-21 (Cyclone-21 Rotary Valve )"/>
    <s v="Require I/O DI= 2,DO=2,AI=0,AO=0,Bus=0"/>
    <s v="RVM-60201_DI_2"/>
    <x v="0"/>
    <n v="1"/>
    <n v="2"/>
    <s v="C0S02DI"/>
    <s v="C0S02DI06"/>
    <s v="C0S02,06"/>
    <s v="DI"/>
    <s v="Require I/O DI= 2,DO=2,AI=0,AO=0,Bus=0"/>
    <x v="0"/>
    <x v="0"/>
    <n v="6"/>
    <m/>
    <n v="2"/>
    <n v="2"/>
    <n v="0"/>
    <n v="0"/>
    <n v="0"/>
    <m/>
    <s v="24 VDC energized"/>
    <m/>
  </r>
  <r>
    <s v="MCC"/>
    <m/>
    <m/>
    <x v="3"/>
    <s v="MCC Room"/>
    <x v="0"/>
    <m/>
    <s v="Spray Dryer"/>
    <s v="RVM-60201"/>
    <m/>
    <m/>
    <n v="0"/>
    <s v="1st"/>
    <s v="325-01-600-PD-08"/>
    <s v="-"/>
    <s v=" Start / Stop Command for FVNR RVAL-21 (Cyclone-21 Rotary Valve )"/>
    <s v="Require I/O DI= 2,DO=2,AI=0,AO=0,Bus=0"/>
    <s v="RVM-60201_DO_1"/>
    <x v="1"/>
    <n v="2"/>
    <n v="1"/>
    <s v="C0S05DO"/>
    <s v="C0S05DO23"/>
    <s v="C0S05,23"/>
    <s v="DO"/>
    <s v="Require I/O DI= 2,DO=2,AI=0,AO=0,Bus=0"/>
    <x v="0"/>
    <x v="5"/>
    <n v="23"/>
    <m/>
    <n v="2"/>
    <n v="2"/>
    <n v="0"/>
    <n v="0"/>
    <n v="0"/>
    <m/>
    <s v="24 VDC energized"/>
    <m/>
  </r>
  <r>
    <s v="MCC"/>
    <m/>
    <m/>
    <x v="3"/>
    <s v="MCC Room"/>
    <x v="0"/>
    <m/>
    <s v="Spray Dryer"/>
    <s v="RVM-60201"/>
    <m/>
    <m/>
    <n v="0"/>
    <s v="1st"/>
    <s v="325-01-600-PD-08"/>
    <s v="-"/>
    <s v=" Start / Stop Command for FVNR RVAL-21 (Cyclone-21 Rotary Valve )"/>
    <s v="Require I/O DI= 2,DO=2,AI=0,AO=0,Bus=0"/>
    <s v="RVM-60201_DO_2"/>
    <x v="1"/>
    <n v="2"/>
    <n v="2"/>
    <s v="C0S05DO"/>
    <s v="C0S05DO24"/>
    <s v="C0S05,24"/>
    <s v="DO"/>
    <s v="Require I/O DI= 2,DO=2,AI=0,AO=0,Bus=0"/>
    <x v="0"/>
    <x v="5"/>
    <n v="24"/>
    <m/>
    <n v="2"/>
    <n v="2"/>
    <n v="0"/>
    <n v="0"/>
    <n v="0"/>
    <m/>
    <s v="24 VDC energized"/>
    <m/>
  </r>
  <r>
    <s v="MCC"/>
    <m/>
    <m/>
    <x v="3"/>
    <s v="MCC Room"/>
    <x v="0"/>
    <m/>
    <s v="Spray Dryer"/>
    <s v="RVM-60202"/>
    <m/>
    <m/>
    <n v="0"/>
    <s v="1st"/>
    <s v="325-01-600-PD-08"/>
    <s v="-"/>
    <s v=" Start / Stop Command for FVNR RVAL-22 (Cyclone-22 Rotary Valve )"/>
    <s v="Require I/O DI= 2,DO=2,AI=0,AO=0,Bus=0"/>
    <s v="RVM-60202_DI_1"/>
    <x v="0"/>
    <n v="1"/>
    <n v="1"/>
    <s v="C0S02DI"/>
    <s v="C0S02DI07"/>
    <s v="C0S02,07"/>
    <s v="DI"/>
    <s v="Require I/O DI= 2,DO=2,AI=0,AO=0,Bus=0"/>
    <x v="0"/>
    <x v="0"/>
    <n v="7"/>
    <m/>
    <n v="2"/>
    <n v="2"/>
    <n v="0"/>
    <n v="0"/>
    <n v="0"/>
    <m/>
    <s v="24 VDC energized"/>
    <m/>
  </r>
  <r>
    <s v="MCC"/>
    <m/>
    <m/>
    <x v="3"/>
    <s v="MCC Room"/>
    <x v="0"/>
    <m/>
    <s v="Spray Dryer"/>
    <s v="RVM-60202"/>
    <m/>
    <m/>
    <n v="0"/>
    <s v="1st"/>
    <s v="325-01-600-PD-08"/>
    <s v="-"/>
    <s v=" Start / Stop Command for FVNR RVAL-22 (Cyclone-22 Rotary Valve )"/>
    <s v="Require I/O DI= 2,DO=2,AI=0,AO=0,Bus=0"/>
    <s v="RVM-60202_DI_2"/>
    <x v="0"/>
    <n v="1"/>
    <n v="2"/>
    <s v="C0S02DI"/>
    <s v="C0S02DI08"/>
    <s v="C0S02,08"/>
    <s v="DI"/>
    <s v="Require I/O DI= 2,DO=2,AI=0,AO=0,Bus=0"/>
    <x v="0"/>
    <x v="0"/>
    <n v="8"/>
    <m/>
    <n v="2"/>
    <n v="2"/>
    <n v="0"/>
    <n v="0"/>
    <n v="0"/>
    <m/>
    <s v="24 VDC energized"/>
    <m/>
  </r>
  <r>
    <s v="MCC"/>
    <m/>
    <m/>
    <x v="3"/>
    <s v="MCC Room"/>
    <x v="0"/>
    <m/>
    <s v="Spray Dryer"/>
    <s v="RVM-60202"/>
    <m/>
    <m/>
    <n v="0"/>
    <s v="1st"/>
    <s v="325-01-600-PD-08"/>
    <s v="-"/>
    <s v=" Start / Stop Command for FVNR RVAL-22 (Cyclone-22 Rotary Valve )"/>
    <s v="Require I/O DI= 2,DO=2,AI=0,AO=0,Bus=0"/>
    <s v="RVM-60202_DO_1"/>
    <x v="1"/>
    <n v="2"/>
    <n v="1"/>
    <s v="C0S05DO"/>
    <s v="C0S05DO25"/>
    <s v="C0S05,25"/>
    <s v="DO"/>
    <s v="Require I/O DI= 2,DO=2,AI=0,AO=0,Bus=0"/>
    <x v="0"/>
    <x v="5"/>
    <n v="25"/>
    <m/>
    <n v="2"/>
    <n v="2"/>
    <n v="0"/>
    <n v="0"/>
    <n v="0"/>
    <m/>
    <s v="24 VDC energized"/>
    <m/>
  </r>
  <r>
    <s v="MCC"/>
    <m/>
    <m/>
    <x v="3"/>
    <s v="MCC Room"/>
    <x v="0"/>
    <m/>
    <s v="Spray Dryer"/>
    <s v="RVM-60202"/>
    <m/>
    <m/>
    <n v="0"/>
    <s v="1st"/>
    <s v="325-01-600-PD-08"/>
    <s v="-"/>
    <s v=" Start / Stop Command for FVNR RVAL-22 (Cyclone-22 Rotary Valve )"/>
    <s v="Require I/O DI= 2,DO=2,AI=0,AO=0,Bus=0"/>
    <s v="RVM-60202_DO_2"/>
    <x v="1"/>
    <n v="2"/>
    <n v="2"/>
    <s v="C0S05DO"/>
    <s v="C0S05DO26"/>
    <s v="C0S05,26"/>
    <s v="DO"/>
    <s v="Require I/O DI= 2,DO=2,AI=0,AO=0,Bus=0"/>
    <x v="0"/>
    <x v="5"/>
    <n v="26"/>
    <m/>
    <n v="2"/>
    <n v="2"/>
    <n v="0"/>
    <n v="0"/>
    <n v="0"/>
    <m/>
    <s v="24 VDC energized"/>
    <m/>
  </r>
  <r>
    <s v="MCC"/>
    <m/>
    <m/>
    <x v="3"/>
    <s v="MCC Room"/>
    <x v="0"/>
    <m/>
    <s v="Spray Dryer"/>
    <s v="RVM-60203"/>
    <m/>
    <m/>
    <n v="0"/>
    <s v="1st"/>
    <s v="325-01-600-PD-08"/>
    <s v="-"/>
    <s v=" Start / Stop Command for FVNR RVAL-23 (Bag House Rotary Valve)"/>
    <s v="Require I/O DI= 2,DO=2,AI=0,AO=0,Bus=0"/>
    <s v="RVM-60203_DI_1"/>
    <x v="0"/>
    <n v="1"/>
    <n v="1"/>
    <s v="C0S02DI"/>
    <s v="C0S02DI09"/>
    <s v="C0S02,09"/>
    <s v="DI"/>
    <s v="Require I/O DI= 2,DO=2,AI=0,AO=0,Bus=0"/>
    <x v="0"/>
    <x v="0"/>
    <n v="9"/>
    <m/>
    <n v="2"/>
    <n v="2"/>
    <n v="0"/>
    <n v="0"/>
    <n v="0"/>
    <m/>
    <s v="24 VDC energized"/>
    <m/>
  </r>
  <r>
    <s v="MCC"/>
    <m/>
    <m/>
    <x v="3"/>
    <s v="MCC Room"/>
    <x v="0"/>
    <m/>
    <s v="Spray Dryer"/>
    <s v="RVM-60203"/>
    <m/>
    <m/>
    <n v="0"/>
    <s v="1st"/>
    <s v="325-01-600-PD-08"/>
    <s v="-"/>
    <s v=" Start / Stop Command for FVNR RVAL-23 (Bag House Rotary Valve)"/>
    <s v="Require I/O DI= 2,DO=2,AI=0,AO=0,Bus=0"/>
    <s v="RVM-60203_DI_2"/>
    <x v="0"/>
    <n v="1"/>
    <n v="2"/>
    <s v="C0S02DI"/>
    <s v="C0S02DI10"/>
    <s v="C0S02,10"/>
    <s v="DI"/>
    <s v="Require I/O DI= 2,DO=2,AI=0,AO=0,Bus=0"/>
    <x v="0"/>
    <x v="0"/>
    <n v="10"/>
    <m/>
    <n v="2"/>
    <n v="2"/>
    <n v="0"/>
    <n v="0"/>
    <n v="0"/>
    <m/>
    <s v="24 VDC energized"/>
    <m/>
  </r>
  <r>
    <s v="MCC"/>
    <m/>
    <m/>
    <x v="3"/>
    <s v="MCC Room"/>
    <x v="0"/>
    <m/>
    <s v="Spray Dryer"/>
    <s v="RVM-60203"/>
    <m/>
    <m/>
    <n v="0"/>
    <s v="1st"/>
    <s v="325-01-600-PD-08"/>
    <s v="-"/>
    <s v=" Start / Stop Command for FVNR RVAL-23 (Bag House Rotary Valve)"/>
    <s v="Require I/O DI= 2,DO=2,AI=0,AO=0,Bus=0"/>
    <s v="RVM-60203_DO_1"/>
    <x v="1"/>
    <n v="2"/>
    <n v="1"/>
    <s v="C0S05DO"/>
    <s v="C0S05DO27"/>
    <s v="C0S05,27"/>
    <s v="DO"/>
    <s v="Require I/O DI= 2,DO=2,AI=0,AO=0,Bus=0"/>
    <x v="0"/>
    <x v="5"/>
    <n v="27"/>
    <m/>
    <n v="2"/>
    <n v="2"/>
    <n v="0"/>
    <n v="0"/>
    <n v="0"/>
    <m/>
    <s v="24 VDC energized"/>
    <m/>
  </r>
  <r>
    <s v="MCC"/>
    <m/>
    <m/>
    <x v="3"/>
    <s v="MCC Room"/>
    <x v="0"/>
    <m/>
    <s v="Spray Dryer"/>
    <s v="RVM-60203"/>
    <m/>
    <m/>
    <n v="0"/>
    <s v="1st"/>
    <s v="325-01-600-PD-08"/>
    <s v="-"/>
    <s v=" Start / Stop Command for FVNR RVAL-23 (Bag House Rotary Valve)"/>
    <s v="Require I/O DI= 2,DO=2,AI=0,AO=0,Bus=0"/>
    <s v="RVM-60203_DO_2"/>
    <x v="1"/>
    <n v="2"/>
    <n v="2"/>
    <s v="C0S05DO"/>
    <s v="C0S05DO28"/>
    <s v="C0S05,28"/>
    <s v="DO"/>
    <s v="Require I/O DI= 2,DO=2,AI=0,AO=0,Bus=0"/>
    <x v="0"/>
    <x v="5"/>
    <n v="28"/>
    <m/>
    <n v="2"/>
    <n v="2"/>
    <n v="0"/>
    <n v="0"/>
    <n v="0"/>
    <m/>
    <s v="24 VDC energized"/>
    <m/>
  </r>
  <r>
    <s v="MCC"/>
    <m/>
    <m/>
    <x v="3"/>
    <s v="MCC Room"/>
    <x v="6"/>
    <m/>
    <s v="Packing Tower"/>
    <s v="RVM-60204"/>
    <m/>
    <m/>
    <n v="0"/>
    <s v="9th"/>
    <s v="325-01-600-PD-08"/>
    <s v="-"/>
    <s v=" Start / Stop Command for FVNR RV-60204 (Recycle silo Rotary Valve)"/>
    <s v="Require I/O DI= 2,DO=2,AI=0,AO=0,Bus=0"/>
    <s v="RVM-60204_DI_1"/>
    <x v="0"/>
    <n v="1"/>
    <n v="1"/>
    <s v="C0S03DI"/>
    <s v="C0S03DI17"/>
    <s v="C0S03,17"/>
    <s v="DI"/>
    <s v="Require I/O DI= 2,DO=2,AI=0,AO=0,Bus=0"/>
    <x v="0"/>
    <x v="1"/>
    <n v="17"/>
    <m/>
    <n v="2"/>
    <n v="2"/>
    <n v="0"/>
    <n v="0"/>
    <n v="0"/>
    <m/>
    <s v="24 VDC energized"/>
    <m/>
  </r>
  <r>
    <s v="MCC"/>
    <m/>
    <m/>
    <x v="3"/>
    <s v="MCC Room"/>
    <x v="6"/>
    <m/>
    <s v="Packing Tower"/>
    <s v="RVM-60204"/>
    <m/>
    <m/>
    <n v="0"/>
    <s v="9th"/>
    <s v="325-01-600-PD-08"/>
    <s v="-"/>
    <s v=" Start / Stop Command for FVNR RV-60204 (Recycle silo Rotary Valve)"/>
    <s v="Require I/O DI= 2,DO=2,AI=0,AO=0,Bus=0"/>
    <s v="RVM-60204_DI_2"/>
    <x v="0"/>
    <n v="1"/>
    <n v="2"/>
    <s v="C0S03DI"/>
    <s v="C0S03DI18"/>
    <s v="C0S03,18"/>
    <s v="DI"/>
    <s v="Require I/O DI= 2,DO=2,AI=0,AO=0,Bus=0"/>
    <x v="0"/>
    <x v="1"/>
    <n v="18"/>
    <m/>
    <n v="2"/>
    <n v="2"/>
    <n v="0"/>
    <n v="0"/>
    <n v="0"/>
    <m/>
    <s v="24 VDC energized"/>
    <m/>
  </r>
  <r>
    <s v="MCC"/>
    <m/>
    <m/>
    <x v="3"/>
    <s v="MCC Room"/>
    <x v="6"/>
    <m/>
    <s v="Packing Tower"/>
    <s v="RVM-60204"/>
    <m/>
    <m/>
    <n v="0"/>
    <s v="9th"/>
    <s v="325-01-600-PD-08"/>
    <s v="-"/>
    <s v=" Start / Stop Command for FVNR RV-60204 (Recycle silo Rotary Valve)"/>
    <s v="Require I/O DI= 2,DO=2,AI=0,AO=0,Bus=0"/>
    <s v="RVM-60204_DO_1"/>
    <x v="1"/>
    <n v="2"/>
    <n v="1"/>
    <s v="C0S06DO"/>
    <s v="C0S06DO23"/>
    <s v="C0S06,23"/>
    <s v="DO"/>
    <s v="Require I/O DI= 2,DO=2,AI=0,AO=0,Bus=0"/>
    <x v="0"/>
    <x v="2"/>
    <n v="23"/>
    <m/>
    <n v="2"/>
    <n v="2"/>
    <n v="0"/>
    <n v="0"/>
    <n v="0"/>
    <m/>
    <s v="24 VDC energized"/>
    <m/>
  </r>
  <r>
    <s v="MCC"/>
    <m/>
    <m/>
    <x v="3"/>
    <s v="MCC Room"/>
    <x v="6"/>
    <m/>
    <s v="Packing Tower"/>
    <s v="RVM-60204"/>
    <m/>
    <m/>
    <n v="0"/>
    <s v="9th"/>
    <s v="325-01-600-PD-08"/>
    <s v="-"/>
    <s v=" Start / Stop Command for FVNR RV-60204 (Recycle silo Rotary Valve)"/>
    <s v="Require I/O DI= 2,DO=2,AI=0,AO=0,Bus=0"/>
    <s v="RVM-60204_DO_2"/>
    <x v="1"/>
    <n v="2"/>
    <n v="2"/>
    <s v="C0S06DO"/>
    <s v="C0S06DO24"/>
    <s v="C0S06,24"/>
    <s v="DO"/>
    <s v="Require I/O DI= 2,DO=2,AI=0,AO=0,Bus=0"/>
    <x v="0"/>
    <x v="2"/>
    <n v="24"/>
    <m/>
    <n v="2"/>
    <n v="2"/>
    <n v="0"/>
    <n v="0"/>
    <n v="0"/>
    <m/>
    <s v="24 VDC energized"/>
    <m/>
  </r>
  <r>
    <s v="MCC"/>
    <m/>
    <m/>
    <x v="3"/>
    <s v="MCC Room"/>
    <x v="6"/>
    <m/>
    <s v="Packing Tower"/>
    <s v="RVM-61301"/>
    <m/>
    <m/>
    <n v="0"/>
    <s v="6th"/>
    <s v="325-01-613-PD-01"/>
    <s v="-"/>
    <s v=" Start / Stop Command for FVNR RV-61301"/>
    <s v="Require I/O DI= 2,DO=2,AI=0,AO=0,Bus=0"/>
    <s v="RVM-61301_DI_1"/>
    <x v="0"/>
    <n v="1"/>
    <n v="1"/>
    <s v="C0S03DI"/>
    <s v="C0S03DI19"/>
    <s v="C0S03,19"/>
    <s v="DI"/>
    <s v="Require I/O DI= 2,DO=2,AI=0,AO=0,Bus=0"/>
    <x v="0"/>
    <x v="1"/>
    <n v="19"/>
    <m/>
    <n v="2"/>
    <n v="2"/>
    <n v="0"/>
    <n v="0"/>
    <n v="0"/>
    <m/>
    <s v="24 VDC energized"/>
    <m/>
  </r>
  <r>
    <s v="MCC"/>
    <m/>
    <m/>
    <x v="3"/>
    <s v="MCC Room"/>
    <x v="6"/>
    <m/>
    <s v="Packing Tower"/>
    <s v="RVM-61301"/>
    <m/>
    <m/>
    <n v="0"/>
    <s v="6th"/>
    <s v="325-01-613-PD-01"/>
    <s v="-"/>
    <s v=" Start / Stop Command for FVNR RV-61301"/>
    <s v="Require I/O DI= 2,DO=2,AI=0,AO=0,Bus=0"/>
    <s v="RVM-61301_DI_2"/>
    <x v="0"/>
    <n v="1"/>
    <n v="2"/>
    <s v="C0S03DI"/>
    <s v="C0S03DI20"/>
    <s v="C0S03,20"/>
    <s v="DI"/>
    <s v="Require I/O DI= 2,DO=2,AI=0,AO=0,Bus=0"/>
    <x v="0"/>
    <x v="1"/>
    <n v="20"/>
    <m/>
    <n v="2"/>
    <n v="2"/>
    <n v="0"/>
    <n v="0"/>
    <n v="0"/>
    <m/>
    <s v="24 VDC energized"/>
    <m/>
  </r>
  <r>
    <s v="MCC"/>
    <m/>
    <m/>
    <x v="3"/>
    <s v="MCC Room"/>
    <x v="6"/>
    <m/>
    <s v="Packing Tower"/>
    <s v="RVM-61301"/>
    <m/>
    <m/>
    <n v="0"/>
    <s v="6th"/>
    <s v="325-01-613-PD-01"/>
    <s v="-"/>
    <s v=" Start / Stop Command for FVNR RV-61301"/>
    <s v="Require I/O DI= 2,DO=2,AI=0,AO=0,Bus=0"/>
    <s v="RVM-61301_DO_1"/>
    <x v="1"/>
    <n v="2"/>
    <n v="1"/>
    <s v="C0S06DO"/>
    <s v="C0S06DO25"/>
    <s v="C0S06,25"/>
    <s v="DO"/>
    <s v="Require I/O DI= 2,DO=2,AI=0,AO=0,Bus=0"/>
    <x v="0"/>
    <x v="2"/>
    <n v="25"/>
    <m/>
    <n v="2"/>
    <n v="2"/>
    <n v="0"/>
    <n v="0"/>
    <n v="0"/>
    <m/>
    <s v="24 VDC energized"/>
    <m/>
  </r>
  <r>
    <s v="MCC"/>
    <m/>
    <m/>
    <x v="3"/>
    <s v="MCC Room"/>
    <x v="6"/>
    <m/>
    <s v="Packing Tower"/>
    <s v="RVM-61301"/>
    <m/>
    <m/>
    <n v="0"/>
    <s v="6th"/>
    <s v="325-01-613-PD-01"/>
    <s v="-"/>
    <s v=" Start / Stop Command for FVNR RV-61301"/>
    <s v="Require I/O DI= 2,DO=2,AI=0,AO=0,Bus=0"/>
    <s v="RVM-61301_DO_2"/>
    <x v="1"/>
    <n v="2"/>
    <n v="2"/>
    <s v="C0S06DO"/>
    <s v="C0S06DO26"/>
    <s v="C0S06,26"/>
    <s v="DO"/>
    <s v="Require I/O DI= 2,DO=2,AI=0,AO=0,Bus=0"/>
    <x v="0"/>
    <x v="2"/>
    <n v="26"/>
    <m/>
    <n v="2"/>
    <n v="2"/>
    <n v="0"/>
    <n v="0"/>
    <n v="0"/>
    <m/>
    <s v="24 VDC energized"/>
    <m/>
  </r>
  <r>
    <s v="MCC"/>
    <m/>
    <m/>
    <x v="3"/>
    <s v="MCC Room"/>
    <x v="3"/>
    <m/>
    <s v="Packing Tower"/>
    <s v="RVM-61302"/>
    <m/>
    <m/>
    <n v="0"/>
    <s v="1st"/>
    <s v="325-01-613-PD-03"/>
    <s v="-"/>
    <s v=" Start / Stop Command for FVNR RV-61302"/>
    <s v="Require I/O DI= 2,DO=2,AI=0,AO=0,Bus=0"/>
    <s v="RVM-61302_DI_1"/>
    <x v="0"/>
    <n v="1"/>
    <n v="1"/>
    <s v="C0S03DI"/>
    <s v="C0S03DI00"/>
    <s v="C0S03,00"/>
    <s v="DI"/>
    <s v="Require I/O DI= 2,DO=2,AI=0,AO=0,Bus=0"/>
    <x v="0"/>
    <x v="1"/>
    <n v="0"/>
    <m/>
    <n v="2"/>
    <n v="2"/>
    <n v="0"/>
    <n v="0"/>
    <n v="0"/>
    <m/>
    <s v="24 VDC energized"/>
    <m/>
  </r>
  <r>
    <s v="MCC"/>
    <m/>
    <m/>
    <x v="3"/>
    <s v="MCC Room"/>
    <x v="3"/>
    <m/>
    <s v="Packing Tower"/>
    <s v="RVM-61302"/>
    <m/>
    <m/>
    <n v="0"/>
    <s v="1st"/>
    <s v="325-01-613-PD-03"/>
    <s v="-"/>
    <s v=" Start / Stop Command for FVNR RV-61302"/>
    <s v="Require I/O DI= 2,DO=2,AI=0,AO=0,Bus=0"/>
    <s v="RVM-61302_DI_2"/>
    <x v="0"/>
    <n v="1"/>
    <n v="2"/>
    <s v="C0S03DI"/>
    <s v="C0S03DI01"/>
    <s v="C0S03,01"/>
    <s v="DI"/>
    <s v="Require I/O DI= 2,DO=2,AI=0,AO=0,Bus=0"/>
    <x v="0"/>
    <x v="1"/>
    <n v="1"/>
    <m/>
    <n v="2"/>
    <n v="2"/>
    <n v="0"/>
    <n v="0"/>
    <n v="0"/>
    <m/>
    <s v="24 VDC energized"/>
    <m/>
  </r>
  <r>
    <s v="MCC"/>
    <m/>
    <m/>
    <x v="3"/>
    <s v="MCC Room"/>
    <x v="3"/>
    <m/>
    <s v="Packing Tower"/>
    <s v="RVM-61302"/>
    <m/>
    <m/>
    <n v="0"/>
    <s v="1st"/>
    <s v="325-01-613-PD-03"/>
    <s v="-"/>
    <s v=" Start / Stop Command for FVNR RV-61302"/>
    <s v="Require I/O DI= 2,DO=2,AI=0,AO=0,Bus=0"/>
    <s v="RVM-61302_DO_1"/>
    <x v="1"/>
    <n v="2"/>
    <n v="1"/>
    <s v="C0S06DO"/>
    <s v="C0S06DO11"/>
    <s v="C0S06,11"/>
    <s v="DO"/>
    <s v="Require I/O DI= 2,DO=2,AI=0,AO=0,Bus=0"/>
    <x v="0"/>
    <x v="2"/>
    <n v="11"/>
    <m/>
    <n v="2"/>
    <n v="2"/>
    <n v="0"/>
    <n v="0"/>
    <n v="0"/>
    <m/>
    <s v="24 VDC energized"/>
    <m/>
  </r>
  <r>
    <s v="MCC"/>
    <m/>
    <m/>
    <x v="3"/>
    <s v="MCC Room"/>
    <x v="3"/>
    <m/>
    <s v="Packing Tower"/>
    <s v="RVM-61302"/>
    <m/>
    <m/>
    <n v="0"/>
    <s v="1st"/>
    <s v="325-01-613-PD-03"/>
    <s v="-"/>
    <s v=" Start / Stop Command for FVNR RV-61302"/>
    <s v="Require I/O DI= 2,DO=2,AI=0,AO=0,Bus=0"/>
    <s v="RVM-61302_DO_2"/>
    <x v="1"/>
    <n v="2"/>
    <n v="2"/>
    <s v="C0S06DO"/>
    <s v="C0S06DO12"/>
    <s v="C0S06,12"/>
    <s v="DO"/>
    <s v="Require I/O DI= 2,DO=2,AI=0,AO=0,Bus=0"/>
    <x v="0"/>
    <x v="2"/>
    <n v="12"/>
    <m/>
    <n v="2"/>
    <n v="2"/>
    <n v="0"/>
    <n v="0"/>
    <n v="0"/>
    <m/>
    <s v="24 VDC energized"/>
    <m/>
  </r>
  <r>
    <s v="MCC"/>
    <m/>
    <m/>
    <x v="3"/>
    <s v="MCC Room"/>
    <x v="3"/>
    <m/>
    <s v="Packing Tower"/>
    <s v="RVM-61303"/>
    <m/>
    <m/>
    <n v="0"/>
    <s v="1st"/>
    <s v="325-01-613-PD-05"/>
    <s v="-"/>
    <s v=" Start / Stop Command for FVNR RV-61303"/>
    <s v="Require I/O DI= 2,DO=2,AI=0,AO=0,Bus=0"/>
    <s v="RVM-61303_DI_1"/>
    <x v="0"/>
    <n v="1"/>
    <n v="1"/>
    <s v="C0S03DI"/>
    <s v="C0S03DI02"/>
    <s v="C0S03,02"/>
    <s v="DI"/>
    <s v="Require I/O DI= 2,DO=2,AI=0,AO=0,Bus=0"/>
    <x v="0"/>
    <x v="1"/>
    <n v="2"/>
    <m/>
    <n v="2"/>
    <n v="2"/>
    <n v="0"/>
    <n v="0"/>
    <n v="0"/>
    <m/>
    <s v="24 VDC energized"/>
    <m/>
  </r>
  <r>
    <s v="MCC"/>
    <m/>
    <m/>
    <x v="3"/>
    <s v="MCC Room"/>
    <x v="3"/>
    <m/>
    <s v="Packing Tower"/>
    <s v="RVM-61303"/>
    <m/>
    <m/>
    <n v="0"/>
    <s v="1st"/>
    <s v="325-01-613-PD-05"/>
    <s v="-"/>
    <s v=" Start / Stop Command for FVNR RV-61303"/>
    <s v="Require I/O DI= 2,DO=2,AI=0,AO=0,Bus=0"/>
    <s v="RVM-61303_DI_2"/>
    <x v="0"/>
    <n v="1"/>
    <n v="2"/>
    <s v="C0S03DI"/>
    <s v="C0S03DI03"/>
    <s v="C0S03,03"/>
    <s v="DI"/>
    <s v="Require I/O DI= 2,DO=2,AI=0,AO=0,Bus=0"/>
    <x v="0"/>
    <x v="1"/>
    <n v="3"/>
    <m/>
    <n v="2"/>
    <n v="2"/>
    <n v="0"/>
    <n v="0"/>
    <n v="0"/>
    <m/>
    <s v="24 VDC energized"/>
    <m/>
  </r>
  <r>
    <s v="MCC"/>
    <m/>
    <m/>
    <x v="3"/>
    <s v="MCC Room"/>
    <x v="3"/>
    <m/>
    <s v="Packing Tower"/>
    <s v="RVM-61303"/>
    <m/>
    <m/>
    <n v="0"/>
    <s v="1st"/>
    <s v="325-01-613-PD-05"/>
    <s v="-"/>
    <s v=" Start / Stop Command for FVNR RV-61303"/>
    <s v="Require I/O DI= 2,DO=2,AI=0,AO=0,Bus=0"/>
    <s v="RVM-61303_DO_1"/>
    <x v="1"/>
    <n v="2"/>
    <n v="1"/>
    <s v="C0S06DO"/>
    <s v="C0S06DO13"/>
    <s v="C0S06,13"/>
    <s v="DO"/>
    <s v="Require I/O DI= 2,DO=2,AI=0,AO=0,Bus=0"/>
    <x v="0"/>
    <x v="2"/>
    <n v="13"/>
    <m/>
    <n v="2"/>
    <n v="2"/>
    <n v="0"/>
    <n v="0"/>
    <n v="0"/>
    <m/>
    <s v="24 VDC energized"/>
    <m/>
  </r>
  <r>
    <s v="MCC"/>
    <m/>
    <m/>
    <x v="3"/>
    <s v="MCC Room"/>
    <x v="3"/>
    <m/>
    <s v="Packing Tower"/>
    <s v="RVM-61303"/>
    <m/>
    <m/>
    <n v="0"/>
    <s v="1st"/>
    <s v="325-01-613-PD-05"/>
    <s v="-"/>
    <s v=" Start / Stop Command for FVNR RV-61303"/>
    <s v="Require I/O DI= 2,DO=2,AI=0,AO=0,Bus=0"/>
    <s v="RVM-61303_DO_2"/>
    <x v="1"/>
    <n v="2"/>
    <n v="2"/>
    <s v="C0S06DO"/>
    <s v="C0S06DO14"/>
    <s v="C0S06,14"/>
    <s v="DO"/>
    <s v="Require I/O DI= 2,DO=2,AI=0,AO=0,Bus=0"/>
    <x v="0"/>
    <x v="2"/>
    <n v="14"/>
    <m/>
    <n v="2"/>
    <n v="2"/>
    <n v="0"/>
    <n v="0"/>
    <n v="0"/>
    <m/>
    <s v="24 VDC energized"/>
    <m/>
  </r>
  <r>
    <s v="MCC"/>
    <m/>
    <m/>
    <x v="3"/>
    <s v="MCC Room"/>
    <x v="6"/>
    <m/>
    <s v="Packing Tower"/>
    <s v="RVM-61304"/>
    <m/>
    <m/>
    <n v="0"/>
    <s v="9th"/>
    <s v="325-01-613-PD-01"/>
    <s v="-"/>
    <s v=" Start / Stop Command for FVNR RV-61304"/>
    <s v="Require I/O DI= 2,DO=2,AI=0,AO=0,Bus=0"/>
    <s v="RVM-61304_DI_1"/>
    <x v="0"/>
    <n v="1"/>
    <n v="1"/>
    <s v="C0S03DI"/>
    <s v="C0S03DI21"/>
    <s v="C0S03,21"/>
    <s v="DI"/>
    <s v="Require I/O DI= 2,DO=2,AI=0,AO=0,Bus=0"/>
    <x v="0"/>
    <x v="1"/>
    <n v="21"/>
    <m/>
    <n v="2"/>
    <n v="2"/>
    <n v="0"/>
    <n v="0"/>
    <n v="0"/>
    <m/>
    <s v="24 VDC energized"/>
    <m/>
  </r>
  <r>
    <s v="MCC"/>
    <m/>
    <m/>
    <x v="3"/>
    <s v="MCC Room"/>
    <x v="6"/>
    <m/>
    <s v="Packing Tower"/>
    <s v="RVM-61304"/>
    <m/>
    <m/>
    <n v="0"/>
    <s v="9th"/>
    <s v="325-01-613-PD-01"/>
    <s v="-"/>
    <s v=" Start / Stop Command for FVNR RV-61304"/>
    <s v="Require I/O DI= 2,DO=2,AI=0,AO=0,Bus=0"/>
    <s v="RVM-61304_DI_2"/>
    <x v="0"/>
    <n v="1"/>
    <n v="2"/>
    <s v="C0S03DI"/>
    <s v="C0S03DI22"/>
    <s v="C0S03,22"/>
    <s v="DI"/>
    <s v="Require I/O DI= 2,DO=2,AI=0,AO=0,Bus=0"/>
    <x v="0"/>
    <x v="1"/>
    <n v="22"/>
    <m/>
    <n v="2"/>
    <n v="2"/>
    <n v="0"/>
    <n v="0"/>
    <n v="0"/>
    <m/>
    <s v="24 VDC energized"/>
    <m/>
  </r>
  <r>
    <s v="MCC"/>
    <m/>
    <m/>
    <x v="3"/>
    <s v="MCC Room"/>
    <x v="6"/>
    <m/>
    <s v="Packing Tower"/>
    <s v="RVM-61304"/>
    <m/>
    <m/>
    <n v="0"/>
    <s v="9th"/>
    <s v="325-01-613-PD-01"/>
    <s v="-"/>
    <s v=" Start / Stop Command for FVNR RV-61304"/>
    <s v="Require I/O DI= 2,DO=2,AI=0,AO=0,Bus=0"/>
    <s v="RVM-61304_DO_1"/>
    <x v="1"/>
    <n v="2"/>
    <n v="1"/>
    <s v="C0S06DO"/>
    <s v="C0S06DO27"/>
    <s v="C0S06,27"/>
    <s v="DO"/>
    <s v="Require I/O DI= 2,DO=2,AI=0,AO=0,Bus=0"/>
    <x v="0"/>
    <x v="2"/>
    <n v="27"/>
    <m/>
    <n v="2"/>
    <n v="2"/>
    <n v="0"/>
    <n v="0"/>
    <n v="0"/>
    <m/>
    <s v="24 VDC energized"/>
    <m/>
  </r>
  <r>
    <s v="MCC"/>
    <m/>
    <m/>
    <x v="3"/>
    <s v="MCC Room"/>
    <x v="6"/>
    <m/>
    <s v="Packing Tower"/>
    <s v="RVM-61304"/>
    <m/>
    <m/>
    <n v="0"/>
    <s v="9th"/>
    <s v="325-01-613-PD-01"/>
    <s v="-"/>
    <s v=" Start / Stop Command for FVNR RV-61304"/>
    <s v="Require I/O DI= 2,DO=2,AI=0,AO=0,Bus=0"/>
    <s v="RVM-61304_DO_2"/>
    <x v="1"/>
    <n v="2"/>
    <n v="2"/>
    <s v="C0S06DO"/>
    <s v="C0S06DO28"/>
    <s v="C0S06,28"/>
    <s v="DO"/>
    <s v="Require I/O DI= 2,DO=2,AI=0,AO=0,Bus=0"/>
    <x v="0"/>
    <x v="2"/>
    <n v="28"/>
    <m/>
    <n v="2"/>
    <n v="2"/>
    <n v="0"/>
    <n v="0"/>
    <n v="0"/>
    <m/>
    <s v="24 VDC energized"/>
    <m/>
  </r>
  <r>
    <s v="MCC"/>
    <m/>
    <m/>
    <x v="3"/>
    <s v="MCC Room"/>
    <x v="6"/>
    <m/>
    <s v="Packing Tower"/>
    <s v="RVM-61305"/>
    <m/>
    <m/>
    <n v="0"/>
    <s v="9th"/>
    <s v="325-01-613-PD-01"/>
    <s v="-"/>
    <s v=" Start / Stop Command for FVNR RV-61305"/>
    <s v="Require I/O DI= 2,DO=2,AI=0,AO=0,Bus=0"/>
    <s v="RVM-61305_DI_1"/>
    <x v="0"/>
    <n v="1"/>
    <n v="1"/>
    <s v="C0S03DI"/>
    <s v="C0S03DI23"/>
    <s v="C0S03,23"/>
    <s v="DI"/>
    <s v="Require I/O DI= 2,DO=2,AI=0,AO=0,Bus=0"/>
    <x v="0"/>
    <x v="1"/>
    <n v="23"/>
    <m/>
    <n v="2"/>
    <n v="2"/>
    <n v="0"/>
    <n v="0"/>
    <n v="0"/>
    <m/>
    <s v="24 VDC energized"/>
    <m/>
  </r>
  <r>
    <s v="MCC"/>
    <m/>
    <m/>
    <x v="3"/>
    <s v="MCC Room"/>
    <x v="6"/>
    <m/>
    <s v="Packing Tower"/>
    <s v="RVM-61305"/>
    <m/>
    <m/>
    <n v="0"/>
    <s v="9th"/>
    <s v="325-01-613-PD-01"/>
    <s v="-"/>
    <s v=" Start / Stop Command for FVNR RV-61305"/>
    <s v="Require I/O DI= 2,DO=2,AI=0,AO=0,Bus=0"/>
    <s v="RVM-61305_DI_2"/>
    <x v="0"/>
    <n v="1"/>
    <n v="2"/>
    <s v="C0S03DI"/>
    <s v="C0S03DI24"/>
    <s v="C0S03,24"/>
    <s v="DI"/>
    <s v="Require I/O DI= 2,DO=2,AI=0,AO=0,Bus=0"/>
    <x v="0"/>
    <x v="1"/>
    <n v="24"/>
    <m/>
    <n v="2"/>
    <n v="2"/>
    <n v="0"/>
    <n v="0"/>
    <n v="0"/>
    <m/>
    <s v="24 VDC energized"/>
    <m/>
  </r>
  <r>
    <s v="MCC"/>
    <m/>
    <m/>
    <x v="3"/>
    <s v="MCC Room"/>
    <x v="6"/>
    <m/>
    <s v="Packing Tower"/>
    <s v="RVM-61305"/>
    <m/>
    <m/>
    <n v="0"/>
    <s v="9th"/>
    <s v="325-01-613-PD-01"/>
    <s v="-"/>
    <s v=" Start / Stop Command for FVNR RV-61305"/>
    <s v="Require I/O DI= 2,DO=2,AI=0,AO=0,Bus=0"/>
    <s v="RVM-61305_DO_1"/>
    <x v="1"/>
    <n v="2"/>
    <n v="1"/>
    <s v="C0S06DO"/>
    <s v="C0S06DO29"/>
    <s v="C0S06,29"/>
    <s v="DO"/>
    <s v="Require I/O DI= 2,DO=2,AI=0,AO=0,Bus=0"/>
    <x v="0"/>
    <x v="2"/>
    <n v="29"/>
    <m/>
    <n v="2"/>
    <n v="2"/>
    <n v="0"/>
    <n v="0"/>
    <n v="0"/>
    <m/>
    <s v="24 VDC energized"/>
    <m/>
  </r>
  <r>
    <s v="MCC"/>
    <m/>
    <m/>
    <x v="3"/>
    <s v="MCC Room"/>
    <x v="6"/>
    <m/>
    <s v="Packing Tower"/>
    <s v="RVM-61305"/>
    <m/>
    <m/>
    <n v="0"/>
    <s v="9th"/>
    <s v="325-01-613-PD-01"/>
    <s v="-"/>
    <s v=" Start / Stop Command for FVNR RV-61305"/>
    <s v="Require I/O DI= 2,DO=2,AI=0,AO=0,Bus=0"/>
    <s v="RVM-61305_DO_2"/>
    <x v="1"/>
    <n v="2"/>
    <n v="2"/>
    <s v="C0S06DO"/>
    <s v="C0S06DO30"/>
    <s v="C0S06,30"/>
    <s v="DO"/>
    <s v="Require I/O DI= 2,DO=2,AI=0,AO=0,Bus=0"/>
    <x v="0"/>
    <x v="2"/>
    <n v="30"/>
    <m/>
    <n v="2"/>
    <n v="2"/>
    <n v="0"/>
    <n v="0"/>
    <n v="0"/>
    <m/>
    <s v="24 VDC energized"/>
    <m/>
  </r>
  <r>
    <s v="MCC"/>
    <m/>
    <m/>
    <x v="3"/>
    <s v="MCC Room"/>
    <x v="3"/>
    <m/>
    <s v="Packing Tower"/>
    <s v="SCM-61301"/>
    <m/>
    <m/>
    <n v="0"/>
    <s v="4th"/>
    <s v="325-01-613-PD-01"/>
    <s v="-"/>
    <s v=" Start / Stop Command for FVNR SC-61301 (Sifter )"/>
    <s v="Require I/O DI= 2,DO=2,AI=0,AO=0,Bus=0"/>
    <s v="SCM-61301_DI_1"/>
    <x v="0"/>
    <n v="1"/>
    <n v="1"/>
    <s v="C0S03DI"/>
    <s v="C0S03DI04"/>
    <s v="C0S03,04"/>
    <s v="DI"/>
    <s v="Require I/O DI= 2,DO=2,AI=0,AO=0,Bus=0"/>
    <x v="0"/>
    <x v="1"/>
    <n v="4"/>
    <m/>
    <n v="2"/>
    <n v="2"/>
    <n v="0"/>
    <n v="0"/>
    <n v="0"/>
    <m/>
    <s v="24 VDC energized"/>
    <m/>
  </r>
  <r>
    <s v="MCC"/>
    <m/>
    <m/>
    <x v="3"/>
    <s v="MCC Room"/>
    <x v="3"/>
    <m/>
    <s v="Packing Tower"/>
    <s v="SCM-61301"/>
    <m/>
    <m/>
    <n v="0"/>
    <s v="4th"/>
    <s v="325-01-613-PD-01"/>
    <s v="-"/>
    <s v=" Start / Stop Command for FVNR SC-61301 (Sifter )"/>
    <s v="Require I/O DI= 2,DO=2,AI=0,AO=0,Bus=0"/>
    <s v="SCM-61301_DI_2"/>
    <x v="0"/>
    <n v="1"/>
    <n v="2"/>
    <s v="C0S03DI"/>
    <s v="C0S03DI05"/>
    <s v="C0S03,05"/>
    <s v="DI"/>
    <s v="Require I/O DI= 2,DO=2,AI=0,AO=0,Bus=0"/>
    <x v="0"/>
    <x v="1"/>
    <n v="5"/>
    <m/>
    <n v="2"/>
    <n v="2"/>
    <n v="0"/>
    <n v="0"/>
    <n v="0"/>
    <m/>
    <s v="24 VDC energized"/>
    <m/>
  </r>
  <r>
    <s v="MCC"/>
    <m/>
    <m/>
    <x v="3"/>
    <s v="MCC Room"/>
    <x v="3"/>
    <m/>
    <s v="Packing Tower"/>
    <s v="SCM-61301"/>
    <m/>
    <m/>
    <n v="0"/>
    <s v="4th"/>
    <s v="325-01-613-PD-01"/>
    <s v="-"/>
    <s v=" Start / Stop Command for FVNR SC-61301 (Sifter )"/>
    <s v="Require I/O DI= 2,DO=2,AI=0,AO=0,Bus=0"/>
    <s v="SCM-61301_DO_1"/>
    <x v="1"/>
    <n v="2"/>
    <n v="1"/>
    <s v="C0S06DO"/>
    <s v="C0S06DO15"/>
    <s v="C0S06,15"/>
    <s v="DO"/>
    <s v="Require I/O DI= 2,DO=2,AI=0,AO=0,Bus=0"/>
    <x v="0"/>
    <x v="2"/>
    <n v="15"/>
    <m/>
    <n v="2"/>
    <n v="2"/>
    <n v="0"/>
    <n v="0"/>
    <n v="0"/>
    <m/>
    <s v="24 VDC energized"/>
    <m/>
  </r>
  <r>
    <s v="MCC"/>
    <m/>
    <m/>
    <x v="3"/>
    <s v="MCC Room"/>
    <x v="3"/>
    <m/>
    <s v="Packing Tower"/>
    <s v="SCM-61301"/>
    <m/>
    <m/>
    <n v="0"/>
    <s v="4th"/>
    <s v="325-01-613-PD-01"/>
    <s v="-"/>
    <s v=" Start / Stop Command for FVNR SC-61301 (Sifter )"/>
    <s v="Require I/O DI= 2,DO=2,AI=0,AO=0,Bus=0"/>
    <s v="SCM-61301_DO_2"/>
    <x v="1"/>
    <n v="2"/>
    <n v="2"/>
    <s v="C0S06DO"/>
    <s v="C0S06DO16"/>
    <s v="C0S06,16"/>
    <s v="DO"/>
    <s v="Require I/O DI= 2,DO=2,AI=0,AO=0,Bus=0"/>
    <x v="0"/>
    <x v="2"/>
    <n v="16"/>
    <m/>
    <n v="2"/>
    <n v="2"/>
    <n v="0"/>
    <n v="0"/>
    <n v="0"/>
    <m/>
    <s v="24 VDC energized"/>
    <m/>
  </r>
  <r>
    <s v="MCC"/>
    <m/>
    <m/>
    <x v="3"/>
    <s v="MCC Room"/>
    <x v="3"/>
    <m/>
    <s v="Packing Tower"/>
    <s v="SCM-61302"/>
    <m/>
    <m/>
    <n v="0"/>
    <s v="4th"/>
    <s v="325-01-613-PD-01"/>
    <s v="-"/>
    <s v=" Start / Stop Command for FVNR SC-61302 (Sifter )"/>
    <s v="Require I/O DI= 2,DO=2,AI=0,AO=0,Bus=0"/>
    <s v="SCM-61302_DI_2"/>
    <x v="0"/>
    <n v="1"/>
    <n v="2"/>
    <s v="C0S03DI"/>
    <s v="C0S03DI06"/>
    <s v="C0S03,06"/>
    <s v="DI"/>
    <s v="Require I/O DI= 2,DO=2,AI=0,AO=0,Bus=0"/>
    <x v="0"/>
    <x v="1"/>
    <n v="6"/>
    <m/>
    <n v="2"/>
    <n v="2"/>
    <n v="0"/>
    <n v="0"/>
    <n v="0"/>
    <m/>
    <s v="24 VDC energized"/>
    <m/>
  </r>
  <r>
    <s v="MCC"/>
    <m/>
    <m/>
    <x v="3"/>
    <s v="MCC Room"/>
    <x v="3"/>
    <m/>
    <s v="Packing Tower"/>
    <s v="SCM-61302"/>
    <m/>
    <m/>
    <n v="0"/>
    <s v="4th"/>
    <s v="325-01-613-PD-01"/>
    <s v="-"/>
    <s v=" Start / Stop Command for FVNR SC-61302 (Sifter )"/>
    <s v="Require I/O DI= 2,DO=2,AI=0,AO=0,Bus=0"/>
    <s v="SCM-61302_DI_1"/>
    <x v="0"/>
    <n v="1"/>
    <n v="1"/>
    <s v="C0S03DI"/>
    <s v="C0S03DI07"/>
    <s v="C0S03,07"/>
    <s v="DI"/>
    <s v="Require I/O DI= 2,DO=2,AI=0,AO=0,Bus=0"/>
    <x v="0"/>
    <x v="1"/>
    <n v="7"/>
    <m/>
    <n v="2"/>
    <n v="2"/>
    <n v="0"/>
    <n v="0"/>
    <n v="0"/>
    <m/>
    <s v="24 VDC energized"/>
    <m/>
  </r>
  <r>
    <s v="MCC"/>
    <m/>
    <m/>
    <x v="3"/>
    <s v="MCC Room"/>
    <x v="3"/>
    <m/>
    <s v="Packing Tower"/>
    <s v="SCM-61302"/>
    <m/>
    <m/>
    <n v="0"/>
    <s v="4th"/>
    <s v="325-01-613-PD-01"/>
    <s v="-"/>
    <s v=" Start / Stop Command for FVNR SC-61302 (Sifter )"/>
    <s v="Require I/O DI= 2,DO=2,AI=0,AO=0,Bus=0"/>
    <s v="SCM-61302_DO_1"/>
    <x v="1"/>
    <n v="2"/>
    <n v="1"/>
    <s v="C0S06DO"/>
    <s v="C0S06DO17"/>
    <s v="C0S06,17"/>
    <s v="DO"/>
    <s v="Require I/O DI= 2,DO=2,AI=0,AO=0,Bus=0"/>
    <x v="0"/>
    <x v="2"/>
    <n v="17"/>
    <m/>
    <n v="2"/>
    <n v="2"/>
    <n v="0"/>
    <n v="0"/>
    <n v="0"/>
    <m/>
    <s v="24 VDC energized"/>
    <m/>
  </r>
  <r>
    <s v="MCC"/>
    <m/>
    <m/>
    <x v="3"/>
    <s v="MCC Room"/>
    <x v="3"/>
    <m/>
    <s v="Packing Tower"/>
    <s v="SCM-61302"/>
    <m/>
    <m/>
    <n v="0"/>
    <s v="4th"/>
    <s v="325-01-613-PD-01"/>
    <s v="-"/>
    <s v=" Start / Stop Command for FVNR SC-61302 (Sifter )"/>
    <s v="Require I/O DI= 2,DO=2,AI=0,AO=0,Bus=0"/>
    <s v="SCM-61302_DO_2"/>
    <x v="1"/>
    <n v="2"/>
    <n v="2"/>
    <s v="C0S06DO"/>
    <s v="C0S06DO18"/>
    <s v="C0S06,18"/>
    <s v="DO"/>
    <s v="Require I/O DI= 2,DO=2,AI=0,AO=0,Bus=0"/>
    <x v="0"/>
    <x v="2"/>
    <n v="18"/>
    <m/>
    <n v="2"/>
    <n v="2"/>
    <n v="0"/>
    <n v="0"/>
    <n v="0"/>
    <m/>
    <s v="24 VDC energized"/>
    <m/>
  </r>
  <r>
    <s v="MCC"/>
    <m/>
    <m/>
    <x v="3"/>
    <s v="MCC Room"/>
    <x v="4"/>
    <m/>
    <s v="PH Adjustment"/>
    <s v="Spare"/>
    <m/>
    <m/>
    <e v="#N/A"/>
    <s v="1st"/>
    <s v="325-01-400-PD-01"/>
    <s v="3-25-01-402-PD-01"/>
    <e v="#N/A"/>
    <s v="Require I/O DI= 0,DO=0,AI=0,AO=0,Bus=0"/>
    <s v="Spare_DI_1"/>
    <x v="0"/>
    <n v="1"/>
    <n v="1"/>
    <s v="C0S01DI"/>
    <s v="C0S01DI00"/>
    <s v="C0S01,00"/>
    <s v="DI"/>
    <s v="Require I/O DI= 0,DO=0,AI=0,AO=0,Bus=0"/>
    <x v="0"/>
    <x v="4"/>
    <n v="0"/>
    <m/>
    <n v="0"/>
    <n v="0"/>
    <n v="0"/>
    <n v="0"/>
    <n v="0"/>
    <m/>
    <e v="#N/A"/>
    <m/>
  </r>
  <r>
    <s v="MCC"/>
    <m/>
    <m/>
    <x v="3"/>
    <s v="MCC Room"/>
    <x v="4"/>
    <m/>
    <s v="PH Adjustment"/>
    <s v="Spare"/>
    <m/>
    <m/>
    <e v="#N/A"/>
    <s v="1st"/>
    <s v="325-01-400-PD-01"/>
    <s v="3-25-01-402-PD-01"/>
    <e v="#N/A"/>
    <s v="Require I/O DI= 0,DO=0,AI=0,AO=0,Bus=0"/>
    <s v="Spare_DI_1"/>
    <x v="0"/>
    <n v="1"/>
    <n v="1"/>
    <s v="C0S01DI"/>
    <s v="C0S01DI01"/>
    <s v="C0S01,01"/>
    <s v="DI"/>
    <s v="Require I/O DI= 0,DO=0,AI=0,AO=0,Bus=0"/>
    <x v="0"/>
    <x v="4"/>
    <n v="1"/>
    <m/>
    <n v="0"/>
    <n v="0"/>
    <n v="0"/>
    <n v="0"/>
    <n v="0"/>
    <m/>
    <e v="#N/A"/>
    <m/>
  </r>
  <r>
    <s v="MCC"/>
    <m/>
    <m/>
    <x v="3"/>
    <s v="MCC Room"/>
    <x v="4"/>
    <m/>
    <s v="PH Adjustment"/>
    <s v="Spare"/>
    <m/>
    <m/>
    <e v="#N/A"/>
    <s v="1st"/>
    <s v="325-01-400-PD-01"/>
    <s v="3-25-01-402-PD-01"/>
    <e v="#N/A"/>
    <s v="Require I/O DI= 0,DO=0,AI=0,AO=0,Bus=0"/>
    <s v="Spare_DI_1"/>
    <x v="0"/>
    <n v="1"/>
    <n v="1"/>
    <s v="C0S01DI"/>
    <s v="C0S01DI02"/>
    <s v="C0S01,02"/>
    <s v="DI"/>
    <s v="Require I/O DI= 0,DO=0,AI=0,AO=0,Bus=0"/>
    <x v="0"/>
    <x v="4"/>
    <n v="2"/>
    <m/>
    <n v="0"/>
    <n v="0"/>
    <n v="0"/>
    <n v="0"/>
    <n v="0"/>
    <m/>
    <e v="#N/A"/>
    <m/>
  </r>
  <r>
    <s v="MCC"/>
    <m/>
    <m/>
    <x v="3"/>
    <s v="MCC Room"/>
    <x v="4"/>
    <m/>
    <s v="PH Adjustment"/>
    <s v="Spare"/>
    <m/>
    <m/>
    <e v="#N/A"/>
    <s v="1st"/>
    <s v="325-01-400-PD-01"/>
    <s v="3-25-01-402-PD-01"/>
    <e v="#N/A"/>
    <s v="Require I/O DI= 0,DO=0,AI=0,AO=0,Bus=0"/>
    <s v="Spare_DI_1"/>
    <x v="0"/>
    <n v="1"/>
    <n v="1"/>
    <s v="C0S01DI"/>
    <s v="C0S01DI03"/>
    <s v="C0S01,03"/>
    <s v="DI"/>
    <s v="Require I/O DI= 0,DO=0,AI=0,AO=0,Bus=0"/>
    <x v="0"/>
    <x v="4"/>
    <n v="3"/>
    <m/>
    <n v="0"/>
    <n v="0"/>
    <n v="0"/>
    <n v="0"/>
    <n v="0"/>
    <m/>
    <e v="#N/A"/>
    <m/>
  </r>
  <r>
    <s v="MCC"/>
    <m/>
    <m/>
    <x v="3"/>
    <s v="MCC Room"/>
    <x v="4"/>
    <m/>
    <s v="PH Adjustment"/>
    <s v="Spare"/>
    <m/>
    <m/>
    <e v="#N/A"/>
    <s v="1st"/>
    <s v="325-01-400-PD-01"/>
    <s v="3-25-01-402-PD-01"/>
    <e v="#N/A"/>
    <s v="Require I/O DI= 0,DO=0,AI=0,AO=0,Bus=0"/>
    <s v="Spare_DI_1"/>
    <x v="0"/>
    <n v="1"/>
    <n v="1"/>
    <s v="C0S01DI"/>
    <s v="C0S01DI04"/>
    <s v="C0S01,04"/>
    <s v="DI"/>
    <s v="Require I/O DI= 0,DO=0,AI=0,AO=0,Bus=0"/>
    <x v="0"/>
    <x v="4"/>
    <n v="4"/>
    <m/>
    <n v="0"/>
    <n v="0"/>
    <n v="0"/>
    <n v="0"/>
    <n v="0"/>
    <m/>
    <e v="#N/A"/>
    <m/>
  </r>
  <r>
    <s v="MCC"/>
    <m/>
    <m/>
    <x v="3"/>
    <s v="MCC Room"/>
    <x v="4"/>
    <m/>
    <s v="PH Adjustment"/>
    <s v="Spare"/>
    <m/>
    <m/>
    <e v="#N/A"/>
    <s v="1st"/>
    <s v="325-01-400-PD-01"/>
    <s v="3-25-01-402-PD-01"/>
    <e v="#N/A"/>
    <s v="Require I/O DI= 0,DO=0,AI=0,AO=0,Bus=0"/>
    <s v="Spare_DI_1"/>
    <x v="0"/>
    <n v="1"/>
    <n v="1"/>
    <s v="C0S01DI"/>
    <s v="C0S01DI05"/>
    <s v="C0S01,05"/>
    <s v="DI"/>
    <s v="Require I/O DI= 0,DO=0,AI=0,AO=0,Bus=0"/>
    <x v="0"/>
    <x v="4"/>
    <n v="5"/>
    <m/>
    <n v="0"/>
    <n v="0"/>
    <n v="0"/>
    <n v="0"/>
    <n v="0"/>
    <m/>
    <e v="#N/A"/>
    <m/>
  </r>
  <r>
    <s v="MCC"/>
    <m/>
    <m/>
    <x v="3"/>
    <s v="MCC Room"/>
    <x v="4"/>
    <m/>
    <s v="PH Adjustment"/>
    <s v="Spare"/>
    <m/>
    <m/>
    <e v="#N/A"/>
    <s v="1st"/>
    <s v="325-01-400-PD-01"/>
    <s v="3-25-01-402-PD-01"/>
    <e v="#N/A"/>
    <s v="Require I/O DI= 0,DO=0,AI=0,AO=0,Bus=0"/>
    <s v="Spare_DI_1"/>
    <x v="0"/>
    <n v="1"/>
    <n v="1"/>
    <s v="C0S01DI"/>
    <s v="C0S01DI06"/>
    <s v="C0S01,06"/>
    <s v="DI"/>
    <s v="Require I/O DI= 0,DO=0,AI=0,AO=0,Bus=0"/>
    <x v="0"/>
    <x v="4"/>
    <n v="6"/>
    <m/>
    <n v="0"/>
    <n v="0"/>
    <n v="0"/>
    <n v="0"/>
    <n v="0"/>
    <m/>
    <e v="#N/A"/>
    <m/>
  </r>
  <r>
    <s v="MCC"/>
    <m/>
    <m/>
    <x v="3"/>
    <s v="MCC Room"/>
    <x v="4"/>
    <m/>
    <s v="PH Adjustment"/>
    <s v="Spare"/>
    <m/>
    <m/>
    <e v="#N/A"/>
    <s v="1st"/>
    <s v="325-01-400-PD-01"/>
    <s v="3-25-01-402-PD-01"/>
    <e v="#N/A"/>
    <s v="Require I/O DI= 0,DO=0,AI=0,AO=0,Bus=0"/>
    <s v="Spare_DI_1"/>
    <x v="0"/>
    <n v="1"/>
    <n v="1"/>
    <s v="C0S01DI"/>
    <s v="C0S01DI07"/>
    <s v="C0S01,07"/>
    <s v="DI"/>
    <s v="Require I/O DI= 0,DO=0,AI=0,AO=0,Bus=0"/>
    <x v="0"/>
    <x v="4"/>
    <n v="7"/>
    <m/>
    <n v="0"/>
    <n v="0"/>
    <n v="0"/>
    <n v="0"/>
    <n v="0"/>
    <m/>
    <e v="#N/A"/>
    <m/>
  </r>
  <r>
    <s v="MCC"/>
    <m/>
    <m/>
    <x v="3"/>
    <s v="MCC Room"/>
    <x v="8"/>
    <m/>
    <m/>
    <s v="Spare"/>
    <m/>
    <m/>
    <e v="#N/A"/>
    <m/>
    <m/>
    <m/>
    <e v="#N/A"/>
    <s v="Require I/O DI= 0,DO=0,AI=0,AO=0,Bus=0"/>
    <s v="Spare_DI_"/>
    <x v="0"/>
    <n v="1"/>
    <m/>
    <s v="C0S04DI"/>
    <s v="C0S04DI04"/>
    <s v="C0S04,04"/>
    <s v="DI"/>
    <s v="Require I/O DI= 0,DO=0,AI=0,AO=0,Bus=0"/>
    <x v="0"/>
    <x v="6"/>
    <n v="4"/>
    <m/>
    <n v="0"/>
    <n v="0"/>
    <n v="0"/>
    <n v="0"/>
    <n v="0"/>
    <m/>
    <m/>
    <m/>
  </r>
  <r>
    <s v="MCC"/>
    <m/>
    <m/>
    <x v="3"/>
    <s v="MCC Room"/>
    <x v="8"/>
    <m/>
    <m/>
    <s v="Spare"/>
    <m/>
    <m/>
    <e v="#N/A"/>
    <m/>
    <m/>
    <m/>
    <e v="#N/A"/>
    <s v="Require I/O DI= 0,DO=0,AI=0,AO=0,Bus=0"/>
    <s v="Spare_DI_"/>
    <x v="0"/>
    <n v="1"/>
    <m/>
    <s v="C0S04DI"/>
    <s v="C0S04DI05"/>
    <s v="C0S04,05"/>
    <s v="DI"/>
    <s v="Require I/O DI= 0,DO=0,AI=0,AO=0,Bus=0"/>
    <x v="0"/>
    <x v="6"/>
    <n v="5"/>
    <m/>
    <n v="0"/>
    <n v="0"/>
    <n v="0"/>
    <n v="0"/>
    <n v="0"/>
    <m/>
    <m/>
    <m/>
  </r>
  <r>
    <s v="MCC"/>
    <m/>
    <m/>
    <x v="3"/>
    <s v="MCC Room"/>
    <x v="8"/>
    <m/>
    <m/>
    <s v="Spare"/>
    <m/>
    <m/>
    <e v="#N/A"/>
    <m/>
    <m/>
    <m/>
    <e v="#N/A"/>
    <s v="Require I/O DI= 0,DO=0,AI=0,AO=0,Bus=0"/>
    <s v="Spare_DI_"/>
    <x v="0"/>
    <n v="1"/>
    <m/>
    <s v="C0S04DI"/>
    <s v="C0S04DI06"/>
    <s v="C0S04,06"/>
    <s v="DI"/>
    <s v="Require I/O DI= 0,DO=0,AI=0,AO=0,Bus=0"/>
    <x v="0"/>
    <x v="6"/>
    <n v="6"/>
    <m/>
    <n v="0"/>
    <n v="0"/>
    <n v="0"/>
    <n v="0"/>
    <n v="0"/>
    <m/>
    <m/>
    <m/>
  </r>
  <r>
    <s v="MCC"/>
    <m/>
    <m/>
    <x v="3"/>
    <s v="MCC Room"/>
    <x v="8"/>
    <m/>
    <m/>
    <s v="Spare"/>
    <m/>
    <m/>
    <e v="#N/A"/>
    <m/>
    <m/>
    <m/>
    <e v="#N/A"/>
    <s v="Require I/O DI= 0,DO=0,AI=0,AO=0,Bus=0"/>
    <s v="Spare_DI_"/>
    <x v="0"/>
    <n v="1"/>
    <m/>
    <s v="C0S04DI"/>
    <s v="C0S04DI07"/>
    <s v="C0S04,07"/>
    <s v="DI"/>
    <s v="Require I/O DI= 0,DO=0,AI=0,AO=0,Bus=0"/>
    <x v="0"/>
    <x v="6"/>
    <n v="7"/>
    <m/>
    <n v="0"/>
    <n v="0"/>
    <n v="0"/>
    <n v="0"/>
    <n v="0"/>
    <m/>
    <m/>
    <m/>
  </r>
  <r>
    <s v="MCC"/>
    <m/>
    <m/>
    <x v="3"/>
    <s v="MCC Room"/>
    <x v="8"/>
    <m/>
    <m/>
    <s v="Spare"/>
    <m/>
    <m/>
    <e v="#N/A"/>
    <m/>
    <m/>
    <m/>
    <e v="#N/A"/>
    <s v="Require I/O DI= 0,DO=0,AI=0,AO=0,Bus=0"/>
    <s v="Spare_DI_"/>
    <x v="0"/>
    <n v="1"/>
    <m/>
    <s v="C0S04DI"/>
    <s v="C0S04DI08"/>
    <s v="C0S04,08"/>
    <s v="DI"/>
    <s v="Require I/O DI= 0,DO=0,AI=0,AO=0,Bus=0"/>
    <x v="0"/>
    <x v="6"/>
    <n v="8"/>
    <m/>
    <n v="0"/>
    <n v="0"/>
    <n v="0"/>
    <n v="0"/>
    <n v="0"/>
    <m/>
    <m/>
    <m/>
  </r>
  <r>
    <s v="MCC"/>
    <m/>
    <m/>
    <x v="3"/>
    <s v="MCC Room"/>
    <x v="8"/>
    <m/>
    <m/>
    <s v="Spare"/>
    <m/>
    <m/>
    <e v="#N/A"/>
    <m/>
    <m/>
    <m/>
    <e v="#N/A"/>
    <s v="Require I/O DI= 0,DO=0,AI=0,AO=0,Bus=0"/>
    <s v="Spare_DI_"/>
    <x v="0"/>
    <n v="1"/>
    <m/>
    <s v="C0S04DI"/>
    <s v="C0S04DI09"/>
    <s v="C0S04,09"/>
    <s v="DI"/>
    <s v="Require I/O DI= 0,DO=0,AI=0,AO=0,Bus=0"/>
    <x v="0"/>
    <x v="6"/>
    <n v="9"/>
    <m/>
    <n v="0"/>
    <n v="0"/>
    <n v="0"/>
    <n v="0"/>
    <n v="0"/>
    <m/>
    <m/>
    <m/>
  </r>
  <r>
    <s v="MCC"/>
    <m/>
    <m/>
    <x v="3"/>
    <s v="MCC Room"/>
    <x v="8"/>
    <m/>
    <m/>
    <s v="Spare"/>
    <m/>
    <m/>
    <e v="#N/A"/>
    <m/>
    <m/>
    <m/>
    <e v="#N/A"/>
    <s v="Require I/O DI= 0,DO=0,AI=0,AO=0,Bus=0"/>
    <s v="Spare_DI_"/>
    <x v="0"/>
    <n v="1"/>
    <m/>
    <s v="C0S04DI"/>
    <s v="C0S04DI10"/>
    <s v="C0S04,10"/>
    <s v="DI"/>
    <s v="Require I/O DI= 0,DO=0,AI=0,AO=0,Bus=0"/>
    <x v="0"/>
    <x v="6"/>
    <n v="10"/>
    <m/>
    <n v="0"/>
    <n v="0"/>
    <n v="0"/>
    <n v="0"/>
    <n v="0"/>
    <m/>
    <m/>
    <m/>
  </r>
  <r>
    <s v="MCC"/>
    <m/>
    <m/>
    <x v="3"/>
    <s v="MCC Room"/>
    <x v="8"/>
    <m/>
    <m/>
    <s v="Spare"/>
    <m/>
    <m/>
    <e v="#N/A"/>
    <m/>
    <m/>
    <m/>
    <e v="#N/A"/>
    <s v="Require I/O DI= 0,DO=0,AI=0,AO=0,Bus=0"/>
    <s v="Spare_DI_"/>
    <x v="0"/>
    <n v="1"/>
    <m/>
    <s v="C0S04DI"/>
    <s v="C0S04DI11"/>
    <s v="C0S04,11"/>
    <s v="DI"/>
    <s v="Require I/O DI= 0,DO=0,AI=0,AO=0,Bus=0"/>
    <x v="0"/>
    <x v="6"/>
    <n v="11"/>
    <m/>
    <n v="0"/>
    <n v="0"/>
    <n v="0"/>
    <n v="0"/>
    <n v="0"/>
    <m/>
    <m/>
    <m/>
  </r>
  <r>
    <s v="MCC"/>
    <m/>
    <m/>
    <x v="3"/>
    <s v="MCC Room"/>
    <x v="8"/>
    <m/>
    <m/>
    <s v="Spare"/>
    <m/>
    <m/>
    <e v="#N/A"/>
    <m/>
    <m/>
    <m/>
    <e v="#N/A"/>
    <s v="Require I/O DI= 0,DO=0,AI=0,AO=0,Bus=0"/>
    <s v="Spare_DI_"/>
    <x v="0"/>
    <n v="1"/>
    <m/>
    <s v="C0S04DI"/>
    <s v="C0S04DI12"/>
    <s v="C0S04,12"/>
    <s v="DI"/>
    <s v="Require I/O DI= 0,DO=0,AI=0,AO=0,Bus=0"/>
    <x v="0"/>
    <x v="6"/>
    <n v="12"/>
    <m/>
    <n v="0"/>
    <n v="0"/>
    <n v="0"/>
    <n v="0"/>
    <n v="0"/>
    <m/>
    <m/>
    <m/>
  </r>
  <r>
    <s v="MCC"/>
    <m/>
    <m/>
    <x v="3"/>
    <s v="MCC Room"/>
    <x v="8"/>
    <m/>
    <m/>
    <s v="Spare"/>
    <m/>
    <m/>
    <e v="#N/A"/>
    <m/>
    <m/>
    <m/>
    <e v="#N/A"/>
    <s v="Require I/O DI= 0,DO=0,AI=0,AO=0,Bus=0"/>
    <s v="Spare_DI_"/>
    <x v="0"/>
    <n v="1"/>
    <m/>
    <s v="C0S04DI"/>
    <s v="C0S04DI13"/>
    <s v="C0S04,13"/>
    <s v="DI"/>
    <s v="Require I/O DI= 0,DO=0,AI=0,AO=0,Bus=0"/>
    <x v="0"/>
    <x v="6"/>
    <n v="13"/>
    <m/>
    <n v="0"/>
    <n v="0"/>
    <n v="0"/>
    <n v="0"/>
    <n v="0"/>
    <m/>
    <m/>
    <m/>
  </r>
  <r>
    <s v="MCC"/>
    <m/>
    <m/>
    <x v="3"/>
    <s v="MCC Room"/>
    <x v="8"/>
    <m/>
    <m/>
    <s v="Spare"/>
    <m/>
    <m/>
    <e v="#N/A"/>
    <m/>
    <m/>
    <m/>
    <e v="#N/A"/>
    <s v="Require I/O DI= 0,DO=0,AI=0,AO=0,Bus=0"/>
    <s v="Spare_DI_"/>
    <x v="0"/>
    <n v="1"/>
    <m/>
    <s v="C0S04DI"/>
    <s v="C0S04DI14"/>
    <s v="C0S04,14"/>
    <s v="DI"/>
    <s v="Require I/O DI= 0,DO=0,AI=0,AO=0,Bus=0"/>
    <x v="0"/>
    <x v="6"/>
    <n v="14"/>
    <m/>
    <n v="0"/>
    <n v="0"/>
    <n v="0"/>
    <n v="0"/>
    <n v="0"/>
    <m/>
    <m/>
    <m/>
  </r>
  <r>
    <s v="MCC"/>
    <m/>
    <m/>
    <x v="3"/>
    <s v="MCC Room"/>
    <x v="8"/>
    <m/>
    <m/>
    <s v="Spare"/>
    <m/>
    <m/>
    <e v="#N/A"/>
    <m/>
    <m/>
    <m/>
    <e v="#N/A"/>
    <s v="Require I/O DI= 0,DO=0,AI=0,AO=0,Bus=0"/>
    <s v="Spare_DI_"/>
    <x v="0"/>
    <n v="1"/>
    <m/>
    <s v="C0S04DI"/>
    <s v="C0S04DI15"/>
    <s v="C0S04,15"/>
    <s v="DI"/>
    <s v="Require I/O DI= 0,DO=0,AI=0,AO=0,Bus=0"/>
    <x v="0"/>
    <x v="6"/>
    <n v="15"/>
    <m/>
    <n v="0"/>
    <n v="0"/>
    <n v="0"/>
    <n v="0"/>
    <n v="0"/>
    <m/>
    <m/>
    <m/>
  </r>
  <r>
    <s v="MCC"/>
    <m/>
    <m/>
    <x v="3"/>
    <s v="MCC Room"/>
    <x v="8"/>
    <m/>
    <m/>
    <s v="Spare"/>
    <m/>
    <m/>
    <e v="#N/A"/>
    <m/>
    <m/>
    <m/>
    <e v="#N/A"/>
    <s v="Require I/O DI= 0,DO=0,AI=0,AO=0,Bus=0"/>
    <s v="Spare_DI_"/>
    <x v="0"/>
    <n v="1"/>
    <m/>
    <s v="C0S04DI"/>
    <s v="C0S04DI16"/>
    <s v="C0S04,16"/>
    <s v="DI"/>
    <s v="Require I/O DI= 0,DO=0,AI=0,AO=0,Bus=0"/>
    <x v="0"/>
    <x v="6"/>
    <n v="16"/>
    <m/>
    <n v="0"/>
    <n v="0"/>
    <n v="0"/>
    <n v="0"/>
    <n v="0"/>
    <m/>
    <m/>
    <m/>
  </r>
  <r>
    <s v="MCC"/>
    <m/>
    <m/>
    <x v="3"/>
    <s v="MCC Room"/>
    <x v="8"/>
    <m/>
    <m/>
    <s v="Spare"/>
    <m/>
    <m/>
    <e v="#N/A"/>
    <m/>
    <m/>
    <m/>
    <e v="#N/A"/>
    <s v="Require I/O DI= 0,DO=0,AI=0,AO=0,Bus=0"/>
    <s v="Spare_DI_"/>
    <x v="0"/>
    <n v="1"/>
    <m/>
    <s v="C0S04DI"/>
    <s v="C0S04DI17"/>
    <s v="C0S04,17"/>
    <s v="DI"/>
    <s v="Require I/O DI= 0,DO=0,AI=0,AO=0,Bus=0"/>
    <x v="0"/>
    <x v="6"/>
    <n v="17"/>
    <m/>
    <n v="0"/>
    <n v="0"/>
    <n v="0"/>
    <n v="0"/>
    <n v="0"/>
    <m/>
    <m/>
    <m/>
  </r>
  <r>
    <s v="MCC"/>
    <m/>
    <m/>
    <x v="3"/>
    <s v="MCC Room"/>
    <x v="8"/>
    <m/>
    <m/>
    <s v="Spare"/>
    <m/>
    <m/>
    <e v="#N/A"/>
    <m/>
    <m/>
    <m/>
    <e v="#N/A"/>
    <s v="Require I/O DI= 0,DO=0,AI=0,AO=0,Bus=0"/>
    <s v="Spare_DI_"/>
    <x v="0"/>
    <n v="1"/>
    <m/>
    <s v="C0S04DI"/>
    <s v="C0S04DI18"/>
    <s v="C0S04,18"/>
    <s v="DI"/>
    <s v="Require I/O DI= 0,DO=0,AI=0,AO=0,Bus=0"/>
    <x v="0"/>
    <x v="6"/>
    <n v="18"/>
    <m/>
    <n v="0"/>
    <n v="0"/>
    <n v="0"/>
    <n v="0"/>
    <n v="0"/>
    <m/>
    <m/>
    <m/>
  </r>
  <r>
    <s v="MCC"/>
    <m/>
    <m/>
    <x v="3"/>
    <s v="MCC Room"/>
    <x v="8"/>
    <m/>
    <m/>
    <s v="Spare"/>
    <m/>
    <m/>
    <e v="#N/A"/>
    <m/>
    <m/>
    <m/>
    <e v="#N/A"/>
    <s v="Require I/O DI= 0,DO=0,AI=0,AO=0,Bus=0"/>
    <s v="Spare_DI_"/>
    <x v="0"/>
    <n v="1"/>
    <m/>
    <s v="C0S04DI"/>
    <s v="C0S04DI19"/>
    <s v="C0S04,19"/>
    <s v="DI"/>
    <s v="Require I/O DI= 0,DO=0,AI=0,AO=0,Bus=0"/>
    <x v="0"/>
    <x v="6"/>
    <n v="19"/>
    <m/>
    <n v="0"/>
    <n v="0"/>
    <n v="0"/>
    <n v="0"/>
    <n v="0"/>
    <m/>
    <m/>
    <m/>
  </r>
  <r>
    <s v="MCC"/>
    <m/>
    <m/>
    <x v="3"/>
    <s v="MCC Room"/>
    <x v="8"/>
    <m/>
    <m/>
    <s v="Spare"/>
    <m/>
    <m/>
    <e v="#N/A"/>
    <m/>
    <m/>
    <m/>
    <e v="#N/A"/>
    <s v="Require I/O DI= 0,DO=0,AI=0,AO=0,Bus=0"/>
    <s v="Spare_DI_"/>
    <x v="0"/>
    <n v="1"/>
    <m/>
    <s v="C0S04DI"/>
    <s v="C0S04DI20"/>
    <s v="C0S04,20"/>
    <s v="DI"/>
    <s v="Require I/O DI= 0,DO=0,AI=0,AO=0,Bus=0"/>
    <x v="0"/>
    <x v="6"/>
    <n v="20"/>
    <m/>
    <n v="0"/>
    <n v="0"/>
    <n v="0"/>
    <n v="0"/>
    <n v="0"/>
    <m/>
    <m/>
    <m/>
  </r>
  <r>
    <s v="MCC"/>
    <m/>
    <m/>
    <x v="3"/>
    <s v="MCC Room"/>
    <x v="8"/>
    <m/>
    <m/>
    <s v="Spare"/>
    <m/>
    <m/>
    <e v="#N/A"/>
    <m/>
    <m/>
    <m/>
    <e v="#N/A"/>
    <s v="Require I/O DI= 0,DO=0,AI=0,AO=0,Bus=0"/>
    <s v="Spare_DI_"/>
    <x v="0"/>
    <n v="1"/>
    <m/>
    <s v="C0S04DI"/>
    <s v="C0S04DI21"/>
    <s v="C0S04,21"/>
    <s v="DI"/>
    <s v="Require I/O DI= 0,DO=0,AI=0,AO=0,Bus=0"/>
    <x v="0"/>
    <x v="6"/>
    <n v="21"/>
    <m/>
    <n v="0"/>
    <n v="0"/>
    <n v="0"/>
    <n v="0"/>
    <n v="0"/>
    <m/>
    <m/>
    <m/>
  </r>
  <r>
    <s v="MCC"/>
    <m/>
    <m/>
    <x v="3"/>
    <s v="MCC Room"/>
    <x v="8"/>
    <m/>
    <m/>
    <s v="Spare"/>
    <m/>
    <m/>
    <e v="#N/A"/>
    <m/>
    <m/>
    <m/>
    <e v="#N/A"/>
    <s v="Require I/O DI= 0,DO=0,AI=0,AO=0,Bus=0"/>
    <s v="Spare_DI_"/>
    <x v="0"/>
    <n v="1"/>
    <m/>
    <s v="C0S04DI"/>
    <s v="C0S04DI22"/>
    <s v="C0S04,22"/>
    <s v="DI"/>
    <s v="Require I/O DI= 0,DO=0,AI=0,AO=0,Bus=0"/>
    <x v="0"/>
    <x v="6"/>
    <n v="22"/>
    <m/>
    <n v="0"/>
    <n v="0"/>
    <n v="0"/>
    <n v="0"/>
    <n v="0"/>
    <m/>
    <m/>
    <m/>
  </r>
  <r>
    <s v="MCC"/>
    <m/>
    <m/>
    <x v="3"/>
    <s v="MCC Room"/>
    <x v="8"/>
    <m/>
    <m/>
    <s v="Spare"/>
    <m/>
    <m/>
    <e v="#N/A"/>
    <m/>
    <m/>
    <m/>
    <e v="#N/A"/>
    <s v="Require I/O DI= 0,DO=0,AI=0,AO=0,Bus=0"/>
    <s v="Spare_DI_"/>
    <x v="0"/>
    <n v="1"/>
    <m/>
    <s v="C0S04DI"/>
    <s v="C0S04DI23"/>
    <s v="C0S04,23"/>
    <s v="DI"/>
    <s v="Require I/O DI= 0,DO=0,AI=0,AO=0,Bus=0"/>
    <x v="0"/>
    <x v="6"/>
    <n v="23"/>
    <m/>
    <n v="0"/>
    <n v="0"/>
    <n v="0"/>
    <n v="0"/>
    <n v="0"/>
    <m/>
    <m/>
    <m/>
  </r>
  <r>
    <s v="MCC"/>
    <m/>
    <m/>
    <x v="3"/>
    <s v="MCC Room"/>
    <x v="8"/>
    <m/>
    <m/>
    <s v="Spare"/>
    <m/>
    <m/>
    <e v="#N/A"/>
    <m/>
    <m/>
    <m/>
    <e v="#N/A"/>
    <s v="Require I/O DI= 0,DO=0,AI=0,AO=0,Bus=0"/>
    <s v="Spare_DI_"/>
    <x v="0"/>
    <n v="1"/>
    <m/>
    <s v="C0S04DI"/>
    <s v="C0S04DI24"/>
    <s v="C0S04,24"/>
    <s v="DI"/>
    <s v="Require I/O DI= 0,DO=0,AI=0,AO=0,Bus=0"/>
    <x v="0"/>
    <x v="6"/>
    <n v="24"/>
    <m/>
    <n v="0"/>
    <n v="0"/>
    <n v="0"/>
    <n v="0"/>
    <n v="0"/>
    <m/>
    <m/>
    <m/>
  </r>
  <r>
    <s v="MCC"/>
    <m/>
    <m/>
    <x v="3"/>
    <s v="MCC Room"/>
    <x v="8"/>
    <m/>
    <m/>
    <s v="Spare"/>
    <m/>
    <m/>
    <e v="#N/A"/>
    <m/>
    <m/>
    <m/>
    <e v="#N/A"/>
    <s v="Require I/O DI= 0,DO=0,AI=0,AO=0,Bus=0"/>
    <s v="Spare_DI_"/>
    <x v="0"/>
    <n v="1"/>
    <m/>
    <s v="C0S04DI"/>
    <s v="C0S04DI25"/>
    <s v="C0S04,25"/>
    <s v="DI"/>
    <s v="Require I/O DI= 0,DO=0,AI=0,AO=0,Bus=0"/>
    <x v="0"/>
    <x v="6"/>
    <n v="25"/>
    <m/>
    <n v="0"/>
    <n v="0"/>
    <n v="0"/>
    <n v="0"/>
    <n v="0"/>
    <m/>
    <m/>
    <m/>
  </r>
  <r>
    <s v="MCC"/>
    <m/>
    <m/>
    <x v="3"/>
    <s v="MCC Room"/>
    <x v="8"/>
    <m/>
    <m/>
    <s v="Spare"/>
    <m/>
    <m/>
    <e v="#N/A"/>
    <m/>
    <m/>
    <m/>
    <e v="#N/A"/>
    <s v="Require I/O DI= 0,DO=0,AI=0,AO=0,Bus=0"/>
    <s v="Spare_DI_"/>
    <x v="0"/>
    <n v="1"/>
    <m/>
    <s v="C0S04DI"/>
    <s v="C0S04DI26"/>
    <s v="C0S04,26"/>
    <s v="DI"/>
    <s v="Require I/O DI= 0,DO=0,AI=0,AO=0,Bus=0"/>
    <x v="0"/>
    <x v="6"/>
    <n v="26"/>
    <m/>
    <n v="0"/>
    <n v="0"/>
    <n v="0"/>
    <n v="0"/>
    <n v="0"/>
    <m/>
    <m/>
    <m/>
  </r>
  <r>
    <s v="MCC"/>
    <m/>
    <m/>
    <x v="3"/>
    <s v="MCC Room"/>
    <x v="8"/>
    <m/>
    <m/>
    <s v="Spare"/>
    <m/>
    <m/>
    <e v="#N/A"/>
    <m/>
    <m/>
    <m/>
    <e v="#N/A"/>
    <s v="Require I/O DI= 0,DO=0,AI=0,AO=0,Bus=0"/>
    <s v="Spare_DI_"/>
    <x v="0"/>
    <n v="1"/>
    <m/>
    <s v="C0S04DI"/>
    <s v="C0S04DI27"/>
    <s v="C0S04,27"/>
    <s v="DI"/>
    <s v="Require I/O DI= 0,DO=0,AI=0,AO=0,Bus=0"/>
    <x v="0"/>
    <x v="6"/>
    <n v="27"/>
    <m/>
    <n v="0"/>
    <n v="0"/>
    <n v="0"/>
    <n v="0"/>
    <n v="0"/>
    <m/>
    <m/>
    <m/>
  </r>
  <r>
    <s v="MCC"/>
    <m/>
    <m/>
    <x v="3"/>
    <s v="MCC Room"/>
    <x v="8"/>
    <m/>
    <m/>
    <s v="Spare"/>
    <m/>
    <m/>
    <e v="#N/A"/>
    <m/>
    <m/>
    <m/>
    <e v="#N/A"/>
    <s v="Require I/O DI= 0,DO=0,AI=0,AO=0,Bus=0"/>
    <s v="Spare_DI_"/>
    <x v="0"/>
    <n v="1"/>
    <m/>
    <s v="C0S04DI"/>
    <s v="C0S04DI28"/>
    <s v="C0S04,28"/>
    <s v="DI"/>
    <s v="Require I/O DI= 0,DO=0,AI=0,AO=0,Bus=0"/>
    <x v="0"/>
    <x v="6"/>
    <n v="28"/>
    <m/>
    <n v="0"/>
    <n v="0"/>
    <n v="0"/>
    <n v="0"/>
    <n v="0"/>
    <m/>
    <m/>
    <m/>
  </r>
  <r>
    <s v="MCC"/>
    <m/>
    <m/>
    <x v="3"/>
    <s v="MCC Room"/>
    <x v="8"/>
    <m/>
    <m/>
    <s v="Spare"/>
    <m/>
    <m/>
    <e v="#N/A"/>
    <m/>
    <m/>
    <m/>
    <e v="#N/A"/>
    <s v="Require I/O DI= 0,DO=0,AI=0,AO=0,Bus=0"/>
    <s v="Spare_DI_"/>
    <x v="0"/>
    <n v="1"/>
    <m/>
    <s v="C0S04DI"/>
    <s v="C0S04DI29"/>
    <s v="C0S04,29"/>
    <s v="DI"/>
    <s v="Require I/O DI= 0,DO=0,AI=0,AO=0,Bus=0"/>
    <x v="0"/>
    <x v="6"/>
    <n v="29"/>
    <m/>
    <n v="0"/>
    <n v="0"/>
    <n v="0"/>
    <n v="0"/>
    <n v="0"/>
    <m/>
    <m/>
    <m/>
  </r>
  <r>
    <s v="MCC"/>
    <m/>
    <m/>
    <x v="3"/>
    <s v="MCC Room"/>
    <x v="8"/>
    <m/>
    <m/>
    <s v="Spare"/>
    <m/>
    <m/>
    <e v="#N/A"/>
    <m/>
    <m/>
    <m/>
    <e v="#N/A"/>
    <s v="Require I/O DI= 0,DO=0,AI=0,AO=0,Bus=0"/>
    <s v="Spare_DI_"/>
    <x v="0"/>
    <n v="1"/>
    <m/>
    <s v="C0S04DI"/>
    <s v="C0S04DI30"/>
    <s v="C0S04,30"/>
    <s v="DI"/>
    <s v="Require I/O DI= 0,DO=0,AI=0,AO=0,Bus=0"/>
    <x v="0"/>
    <x v="6"/>
    <n v="30"/>
    <m/>
    <n v="0"/>
    <n v="0"/>
    <n v="0"/>
    <n v="0"/>
    <n v="0"/>
    <m/>
    <m/>
    <m/>
  </r>
  <r>
    <s v="MCC"/>
    <m/>
    <m/>
    <x v="3"/>
    <s v="MCC Room"/>
    <x v="8"/>
    <m/>
    <m/>
    <s v="Spare"/>
    <m/>
    <m/>
    <e v="#N/A"/>
    <m/>
    <m/>
    <m/>
    <e v="#N/A"/>
    <s v="Require I/O DI= 0,DO=0,AI=0,AO=0,Bus=0"/>
    <s v="Spare_DI_"/>
    <x v="0"/>
    <n v="1"/>
    <m/>
    <s v="C0S04DI"/>
    <s v="C0S04DI31"/>
    <s v="C0S04,31"/>
    <s v="DI"/>
    <s v="Require I/O DI= 0,DO=0,AI=0,AO=0,Bus=0"/>
    <x v="0"/>
    <x v="6"/>
    <n v="31"/>
    <m/>
    <n v="0"/>
    <n v="0"/>
    <n v="0"/>
    <n v="0"/>
    <n v="0"/>
    <m/>
    <m/>
    <m/>
  </r>
  <r>
    <s v="MCC"/>
    <m/>
    <m/>
    <x v="3"/>
    <s v="MCC Room"/>
    <x v="1"/>
    <m/>
    <s v="PH Adjustment"/>
    <s v="Spare"/>
    <m/>
    <m/>
    <e v="#N/A"/>
    <s v="1st"/>
    <s v="325-01-400-PD-01"/>
    <s v="3-25-01-402-PD-01"/>
    <e v="#N/A"/>
    <s v="Require I/O DI= 0,DO=0,AI=0,AO=0,Bus=0"/>
    <s v="Spare_DO_1"/>
    <x v="1"/>
    <n v="2"/>
    <n v="1"/>
    <s v="C0S05DO"/>
    <s v="C0S05DO00"/>
    <s v="C0S05,00"/>
    <s v="DO"/>
    <s v="Require I/O DI= 0,DO=0,AI=0,AO=0,Bus=0"/>
    <x v="0"/>
    <x v="5"/>
    <n v="0"/>
    <m/>
    <n v="0"/>
    <n v="0"/>
    <n v="0"/>
    <n v="0"/>
    <n v="0"/>
    <m/>
    <e v="#N/A"/>
    <m/>
  </r>
  <r>
    <s v="MCC"/>
    <m/>
    <m/>
    <x v="3"/>
    <s v="MCC Room"/>
    <x v="1"/>
    <m/>
    <s v="PH Adjustment"/>
    <s v="Spare"/>
    <m/>
    <m/>
    <e v="#N/A"/>
    <s v="1st"/>
    <s v="325-01-400-PD-01"/>
    <s v="3-25-01-402-PD-01"/>
    <e v="#N/A"/>
    <s v="Require I/O DI= 0,DO=0,AI=0,AO=0,Bus=0"/>
    <s v="Spare_DO_1"/>
    <x v="1"/>
    <n v="2"/>
    <n v="1"/>
    <s v="C0S05DO"/>
    <s v="C0S05DO01"/>
    <s v="C0S05,01"/>
    <s v="DO"/>
    <s v="Require I/O DI= 0,DO=0,AI=0,AO=0,Bus=0"/>
    <x v="0"/>
    <x v="5"/>
    <n v="1"/>
    <m/>
    <n v="0"/>
    <n v="0"/>
    <n v="0"/>
    <n v="0"/>
    <n v="0"/>
    <m/>
    <e v="#N/A"/>
    <m/>
  </r>
  <r>
    <s v="MCC"/>
    <m/>
    <m/>
    <x v="3"/>
    <s v="MCC Room"/>
    <x v="1"/>
    <m/>
    <s v="PH Adjustment"/>
    <s v="Spare"/>
    <m/>
    <m/>
    <e v="#N/A"/>
    <s v="1st"/>
    <s v="325-01-400-PD-01"/>
    <s v="3-25-01-402-PD-01"/>
    <e v="#N/A"/>
    <s v="Require I/O DI= 0,DO=0,AI=0,AO=0,Bus=0"/>
    <s v="Spare_DO_1"/>
    <x v="1"/>
    <n v="2"/>
    <n v="1"/>
    <s v="C0S05DO"/>
    <s v="C0S05DO02"/>
    <s v="C0S05,02"/>
    <s v="DO"/>
    <s v="Require I/O DI= 0,DO=0,AI=0,AO=0,Bus=0"/>
    <x v="0"/>
    <x v="5"/>
    <n v="2"/>
    <m/>
    <n v="0"/>
    <n v="0"/>
    <n v="0"/>
    <n v="0"/>
    <n v="0"/>
    <m/>
    <e v="#N/A"/>
    <m/>
  </r>
  <r>
    <s v="MCC"/>
    <m/>
    <m/>
    <x v="3"/>
    <s v="MCC Room"/>
    <x v="1"/>
    <m/>
    <s v="PH Adjustment"/>
    <s v="Spare"/>
    <m/>
    <m/>
    <e v="#N/A"/>
    <s v="1st"/>
    <s v="325-01-400-PD-01"/>
    <s v="3-25-01-402-PD-01"/>
    <e v="#N/A"/>
    <s v="Require I/O DI= 0,DO=0,AI=0,AO=0,Bus=0"/>
    <s v="Spare_DO_1"/>
    <x v="1"/>
    <n v="2"/>
    <n v="1"/>
    <s v="C0S05DO"/>
    <s v="C0S05DO03"/>
    <s v="C0S05,03"/>
    <s v="DO"/>
    <s v="Require I/O DI= 0,DO=0,AI=0,AO=0,Bus=0"/>
    <x v="0"/>
    <x v="5"/>
    <n v="3"/>
    <m/>
    <n v="0"/>
    <n v="0"/>
    <n v="0"/>
    <n v="0"/>
    <n v="0"/>
    <m/>
    <e v="#N/A"/>
    <m/>
  </r>
  <r>
    <s v="MCC"/>
    <m/>
    <m/>
    <x v="3"/>
    <s v="MCC Room"/>
    <x v="1"/>
    <m/>
    <s v="PH Adjustment"/>
    <s v="Spare"/>
    <m/>
    <m/>
    <e v="#N/A"/>
    <s v="1st"/>
    <s v="325-01-400-PD-01"/>
    <s v="3-25-01-402-PD-01"/>
    <e v="#N/A"/>
    <s v="Require I/O DI= 0,DO=0,AI=0,AO=0,Bus=0"/>
    <s v="Spare_DO_1"/>
    <x v="1"/>
    <n v="2"/>
    <n v="1"/>
    <s v="C0S05DO"/>
    <s v="C0S05DO04"/>
    <s v="C0S05,04"/>
    <s v="DO"/>
    <s v="Require I/O DI= 0,DO=0,AI=0,AO=0,Bus=0"/>
    <x v="0"/>
    <x v="5"/>
    <n v="4"/>
    <m/>
    <n v="0"/>
    <n v="0"/>
    <n v="0"/>
    <n v="0"/>
    <n v="0"/>
    <m/>
    <e v="#N/A"/>
    <m/>
  </r>
  <r>
    <s v="MCC"/>
    <m/>
    <m/>
    <x v="3"/>
    <s v="MCC Room"/>
    <x v="1"/>
    <m/>
    <s v="PH Adjustment"/>
    <s v="Spare"/>
    <m/>
    <m/>
    <e v="#N/A"/>
    <s v="1st"/>
    <s v="325-01-400-PD-01"/>
    <s v="3-25-01-402-PD-01"/>
    <e v="#N/A"/>
    <s v="Require I/O DI= 0,DO=0,AI=0,AO=0,Bus=0"/>
    <s v="Spare_DO_1"/>
    <x v="1"/>
    <n v="2"/>
    <n v="1"/>
    <s v="C0S05DO"/>
    <s v="C0S05DO05"/>
    <s v="C0S05,05"/>
    <s v="DO"/>
    <s v="Require I/O DI= 0,DO=0,AI=0,AO=0,Bus=0"/>
    <x v="0"/>
    <x v="5"/>
    <n v="5"/>
    <m/>
    <n v="0"/>
    <n v="0"/>
    <n v="0"/>
    <n v="0"/>
    <n v="0"/>
    <m/>
    <e v="#N/A"/>
    <m/>
  </r>
  <r>
    <s v="MCC"/>
    <m/>
    <m/>
    <x v="3"/>
    <s v="MCC Room"/>
    <x v="1"/>
    <m/>
    <s v="PH Adjustment"/>
    <s v="Spare"/>
    <m/>
    <m/>
    <e v="#N/A"/>
    <s v="1st"/>
    <s v="325-01-400-PD-01"/>
    <s v="3-25-01-402-PD-01"/>
    <e v="#N/A"/>
    <s v="Require I/O DI= 0,DO=0,AI=0,AO=0,Bus=0"/>
    <s v="Spare_DO_1"/>
    <x v="1"/>
    <n v="2"/>
    <n v="1"/>
    <s v="C0S05DO"/>
    <s v="C0S05DO06"/>
    <s v="C0S05,06"/>
    <s v="DO"/>
    <s v="Require I/O DI= 0,DO=0,AI=0,AO=0,Bus=0"/>
    <x v="0"/>
    <x v="5"/>
    <n v="6"/>
    <m/>
    <n v="0"/>
    <n v="0"/>
    <n v="0"/>
    <n v="0"/>
    <n v="0"/>
    <m/>
    <e v="#N/A"/>
    <m/>
  </r>
  <r>
    <s v="MCC"/>
    <m/>
    <m/>
    <x v="3"/>
    <s v="MCC Room"/>
    <x v="1"/>
    <m/>
    <s v="PH Adjustment"/>
    <s v="Spare"/>
    <m/>
    <m/>
    <e v="#N/A"/>
    <s v="1st"/>
    <s v="325-01-400-PD-01"/>
    <s v="3-25-01-402-PD-01"/>
    <e v="#N/A"/>
    <s v="Require I/O DI= 0,DO=0,AI=0,AO=0,Bus=0"/>
    <s v="Spare_DO_1"/>
    <x v="1"/>
    <n v="2"/>
    <n v="1"/>
    <s v="C0S05DO"/>
    <s v="C0S05DO07"/>
    <s v="C0S05,07"/>
    <s v="DO"/>
    <s v="Require I/O DI= 0,DO=0,AI=0,AO=0,Bus=0"/>
    <x v="0"/>
    <x v="5"/>
    <n v="7"/>
    <m/>
    <n v="0"/>
    <n v="0"/>
    <n v="0"/>
    <n v="0"/>
    <n v="0"/>
    <m/>
    <e v="#N/A"/>
    <m/>
  </r>
  <r>
    <s v="MCC"/>
    <s v="MCC"/>
    <s v="MCC Room"/>
    <x v="3"/>
    <s v="MCC Room"/>
    <x v="8"/>
    <m/>
    <m/>
    <s v="Spare"/>
    <m/>
    <m/>
    <e v="#N/A"/>
    <m/>
    <m/>
    <m/>
    <e v="#N/A"/>
    <s v="Require I/O DI= 0,DO=0,AI=0,AO=0,Bus=0"/>
    <s v="Spare_DO_1"/>
    <x v="1"/>
    <n v="2"/>
    <n v="1"/>
    <s v="C0S07DO"/>
    <s v="C0S07DO08"/>
    <s v="C0S07,08"/>
    <s v="DO"/>
    <s v="Require I/O DI= 0,DO=0,AI=0,AO=0,Bus=0"/>
    <x v="0"/>
    <x v="7"/>
    <n v="8"/>
    <m/>
    <n v="0"/>
    <n v="0"/>
    <n v="0"/>
    <n v="0"/>
    <n v="0"/>
    <m/>
    <m/>
    <m/>
  </r>
  <r>
    <s v="MCC"/>
    <s v="MCC"/>
    <s v="MCC Room"/>
    <x v="3"/>
    <s v="MCC Room"/>
    <x v="8"/>
    <m/>
    <m/>
    <s v="Spare"/>
    <m/>
    <m/>
    <e v="#N/A"/>
    <m/>
    <m/>
    <m/>
    <e v="#N/A"/>
    <s v="Require I/O DI= 0,DO=0,AI=0,AO=0,Bus=0"/>
    <s v="Spare_DO_1"/>
    <x v="1"/>
    <n v="2"/>
    <n v="1"/>
    <s v="C0S07DO"/>
    <s v="C0S07DO09"/>
    <s v="C0S07,09"/>
    <s v="DO"/>
    <s v="Require I/O DI= 0,DO=0,AI=0,AO=0,Bus=0"/>
    <x v="0"/>
    <x v="7"/>
    <n v="9"/>
    <m/>
    <n v="0"/>
    <n v="0"/>
    <n v="0"/>
    <n v="0"/>
    <n v="0"/>
    <m/>
    <m/>
    <m/>
  </r>
  <r>
    <s v="MCC"/>
    <s v="MCC"/>
    <s v="MCC Room"/>
    <x v="3"/>
    <s v="MCC Room"/>
    <x v="8"/>
    <m/>
    <m/>
    <s v="Spare"/>
    <m/>
    <m/>
    <e v="#N/A"/>
    <m/>
    <m/>
    <m/>
    <e v="#N/A"/>
    <s v="Require I/O DI= 0,DO=0,AI=0,AO=0,Bus=0"/>
    <s v="Spare_DO_1"/>
    <x v="1"/>
    <n v="2"/>
    <n v="1"/>
    <s v="C0S07DO"/>
    <s v="C0S07DO10"/>
    <s v="C0S07,10"/>
    <s v="DO"/>
    <s v="Require I/O DI= 0,DO=0,AI=0,AO=0,Bus=0"/>
    <x v="0"/>
    <x v="7"/>
    <n v="10"/>
    <m/>
    <n v="0"/>
    <n v="0"/>
    <n v="0"/>
    <n v="0"/>
    <n v="0"/>
    <m/>
    <m/>
    <m/>
  </r>
  <r>
    <s v="MCC"/>
    <s v="MCC"/>
    <s v="MCC Room"/>
    <x v="3"/>
    <s v="MCC Room"/>
    <x v="8"/>
    <m/>
    <m/>
    <s v="Spare"/>
    <m/>
    <m/>
    <e v="#N/A"/>
    <m/>
    <m/>
    <m/>
    <e v="#N/A"/>
    <s v="Require I/O DI= 0,DO=0,AI=0,AO=0,Bus=0"/>
    <s v="Spare_DO_1"/>
    <x v="1"/>
    <n v="2"/>
    <n v="1"/>
    <s v="C0S07DO"/>
    <s v="C0S07DO11"/>
    <s v="C0S07,11"/>
    <s v="DO"/>
    <s v="Require I/O DI= 0,DO=0,AI=0,AO=0,Bus=0"/>
    <x v="0"/>
    <x v="7"/>
    <n v="11"/>
    <m/>
    <n v="0"/>
    <n v="0"/>
    <n v="0"/>
    <n v="0"/>
    <n v="0"/>
    <m/>
    <m/>
    <m/>
  </r>
  <r>
    <s v="MCC"/>
    <s v="MCC"/>
    <s v="MCC Room"/>
    <x v="3"/>
    <s v="MCC Room"/>
    <x v="8"/>
    <m/>
    <m/>
    <s v="Spare"/>
    <m/>
    <m/>
    <e v="#N/A"/>
    <m/>
    <m/>
    <m/>
    <e v="#N/A"/>
    <s v="Require I/O DI= 0,DO=0,AI=0,AO=0,Bus=0"/>
    <s v="Spare_DO_1"/>
    <x v="1"/>
    <n v="2"/>
    <n v="1"/>
    <s v="C0S07DO"/>
    <s v="C0S07DO12"/>
    <s v="C0S07,12"/>
    <s v="DO"/>
    <s v="Require I/O DI= 0,DO=0,AI=0,AO=0,Bus=0"/>
    <x v="0"/>
    <x v="7"/>
    <n v="12"/>
    <m/>
    <n v="0"/>
    <n v="0"/>
    <n v="0"/>
    <n v="0"/>
    <n v="0"/>
    <m/>
    <m/>
    <m/>
  </r>
  <r>
    <s v="MCC"/>
    <s v="MCC"/>
    <s v="MCC Room"/>
    <x v="3"/>
    <s v="MCC Room"/>
    <x v="8"/>
    <m/>
    <m/>
    <s v="Spare"/>
    <m/>
    <m/>
    <e v="#N/A"/>
    <m/>
    <m/>
    <m/>
    <e v="#N/A"/>
    <s v="Require I/O DI= 0,DO=0,AI=0,AO=0,Bus=0"/>
    <s v="Spare_DO_1"/>
    <x v="1"/>
    <n v="2"/>
    <n v="1"/>
    <s v="C0S07DO"/>
    <s v="C0S07DO13"/>
    <s v="C0S07,13"/>
    <s v="DO"/>
    <s v="Require I/O DI= 0,DO=0,AI=0,AO=0,Bus=0"/>
    <x v="0"/>
    <x v="7"/>
    <n v="13"/>
    <m/>
    <n v="0"/>
    <n v="0"/>
    <n v="0"/>
    <n v="0"/>
    <n v="0"/>
    <m/>
    <m/>
    <m/>
  </r>
  <r>
    <s v="MCC"/>
    <s v="MCC"/>
    <s v="MCC Room"/>
    <x v="3"/>
    <s v="MCC Room"/>
    <x v="8"/>
    <m/>
    <m/>
    <s v="Spare"/>
    <m/>
    <m/>
    <e v="#N/A"/>
    <m/>
    <m/>
    <m/>
    <e v="#N/A"/>
    <s v="Require I/O DI= 0,DO=0,AI=0,AO=0,Bus=0"/>
    <s v="Spare_DO_1"/>
    <x v="1"/>
    <n v="2"/>
    <n v="1"/>
    <s v="C0S07DO"/>
    <s v="C0S07DO14"/>
    <s v="C0S07,14"/>
    <s v="DO"/>
    <s v="Require I/O DI= 0,DO=0,AI=0,AO=0,Bus=0"/>
    <x v="0"/>
    <x v="7"/>
    <n v="14"/>
    <m/>
    <n v="0"/>
    <n v="0"/>
    <n v="0"/>
    <n v="0"/>
    <n v="0"/>
    <m/>
    <m/>
    <m/>
  </r>
  <r>
    <s v="MCC"/>
    <s v="MCC"/>
    <s v="MCC Room"/>
    <x v="3"/>
    <s v="MCC Room"/>
    <x v="8"/>
    <m/>
    <m/>
    <s v="Spare"/>
    <m/>
    <m/>
    <e v="#N/A"/>
    <m/>
    <m/>
    <m/>
    <e v="#N/A"/>
    <s v="Require I/O DI= 0,DO=0,AI=0,AO=0,Bus=0"/>
    <s v="Spare_DO_1"/>
    <x v="1"/>
    <n v="2"/>
    <n v="1"/>
    <s v="C0S07DO"/>
    <s v="C0S07DO15"/>
    <s v="C0S07,15"/>
    <s v="DO"/>
    <s v="Require I/O DI= 0,DO=0,AI=0,AO=0,Bus=0"/>
    <x v="0"/>
    <x v="7"/>
    <n v="15"/>
    <m/>
    <n v="0"/>
    <n v="0"/>
    <n v="0"/>
    <n v="0"/>
    <n v="0"/>
    <m/>
    <m/>
    <m/>
  </r>
  <r>
    <s v="MCC"/>
    <s v="MCC"/>
    <s v="MCC Room"/>
    <x v="3"/>
    <s v="MCC Room"/>
    <x v="8"/>
    <m/>
    <m/>
    <s v="Spare"/>
    <m/>
    <m/>
    <e v="#N/A"/>
    <m/>
    <m/>
    <m/>
    <e v="#N/A"/>
    <s v="Require I/O DI= 0,DO=0,AI=0,AO=0,Bus=0"/>
    <s v="Spare_DO_1"/>
    <x v="1"/>
    <n v="2"/>
    <n v="1"/>
    <s v="C0S07DO"/>
    <s v="C0S07DO16"/>
    <s v="C0S07,16"/>
    <s v="DO"/>
    <s v="Require I/O DI= 0,DO=0,AI=0,AO=0,Bus=0"/>
    <x v="0"/>
    <x v="7"/>
    <n v="16"/>
    <m/>
    <n v="0"/>
    <n v="0"/>
    <n v="0"/>
    <n v="0"/>
    <n v="0"/>
    <m/>
    <m/>
    <m/>
  </r>
  <r>
    <s v="MCC"/>
    <s v="MCC"/>
    <s v="MCC Room"/>
    <x v="3"/>
    <s v="MCC Room"/>
    <x v="8"/>
    <m/>
    <m/>
    <s v="Spare"/>
    <m/>
    <m/>
    <e v="#N/A"/>
    <m/>
    <m/>
    <m/>
    <e v="#N/A"/>
    <s v="Require I/O DI= 0,DO=0,AI=0,AO=0,Bus=0"/>
    <s v="Spare_DO_1"/>
    <x v="1"/>
    <n v="2"/>
    <n v="1"/>
    <s v="C0S07DO"/>
    <s v="C0S07DO17"/>
    <s v="C0S07,17"/>
    <s v="DO"/>
    <s v="Require I/O DI= 0,DO=0,AI=0,AO=0,Bus=0"/>
    <x v="0"/>
    <x v="7"/>
    <n v="17"/>
    <m/>
    <n v="0"/>
    <n v="0"/>
    <n v="0"/>
    <n v="0"/>
    <n v="0"/>
    <m/>
    <m/>
    <m/>
  </r>
  <r>
    <s v="MCC"/>
    <s v="MCC"/>
    <s v="MCC Room"/>
    <x v="3"/>
    <s v="MCC Room"/>
    <x v="8"/>
    <m/>
    <m/>
    <s v="Spare"/>
    <m/>
    <m/>
    <e v="#N/A"/>
    <m/>
    <m/>
    <m/>
    <e v="#N/A"/>
    <s v="Require I/O DI= 0,DO=0,AI=0,AO=0,Bus=0"/>
    <s v="Spare_DO_1"/>
    <x v="1"/>
    <n v="2"/>
    <n v="1"/>
    <s v="C0S07DO"/>
    <s v="C0S07DO18"/>
    <s v="C0S07,18"/>
    <s v="DO"/>
    <s v="Require I/O DI= 0,DO=0,AI=0,AO=0,Bus=0"/>
    <x v="0"/>
    <x v="7"/>
    <n v="18"/>
    <m/>
    <n v="0"/>
    <n v="0"/>
    <n v="0"/>
    <n v="0"/>
    <n v="0"/>
    <m/>
    <m/>
    <m/>
  </r>
  <r>
    <s v="MCC"/>
    <s v="MCC"/>
    <s v="MCC Room"/>
    <x v="3"/>
    <s v="MCC Room"/>
    <x v="8"/>
    <m/>
    <m/>
    <s v="Spare"/>
    <m/>
    <m/>
    <e v="#N/A"/>
    <m/>
    <m/>
    <m/>
    <e v="#N/A"/>
    <s v="Require I/O DI= 0,DO=0,AI=0,AO=0,Bus=0"/>
    <s v="Spare_DO_1"/>
    <x v="1"/>
    <n v="2"/>
    <n v="1"/>
    <s v="C0S07DO"/>
    <s v="C0S07DO19"/>
    <s v="C0S07,19"/>
    <s v="DO"/>
    <s v="Require I/O DI= 0,DO=0,AI=0,AO=0,Bus=0"/>
    <x v="0"/>
    <x v="7"/>
    <n v="19"/>
    <m/>
    <n v="0"/>
    <n v="0"/>
    <n v="0"/>
    <n v="0"/>
    <n v="0"/>
    <m/>
    <m/>
    <m/>
  </r>
  <r>
    <s v="MCC"/>
    <s v="MCC"/>
    <s v="MCC Room"/>
    <x v="3"/>
    <s v="MCC Room"/>
    <x v="8"/>
    <m/>
    <m/>
    <s v="Spare"/>
    <m/>
    <m/>
    <e v="#N/A"/>
    <m/>
    <m/>
    <m/>
    <e v="#N/A"/>
    <s v="Require I/O DI= 0,DO=0,AI=0,AO=0,Bus=0"/>
    <s v="Spare_DO_1"/>
    <x v="1"/>
    <n v="2"/>
    <n v="1"/>
    <s v="C0S07DO"/>
    <s v="C0S07DO20"/>
    <s v="C0S07,20"/>
    <s v="DO"/>
    <s v="Require I/O DI= 0,DO=0,AI=0,AO=0,Bus=0"/>
    <x v="0"/>
    <x v="7"/>
    <n v="20"/>
    <m/>
    <n v="0"/>
    <n v="0"/>
    <n v="0"/>
    <n v="0"/>
    <n v="0"/>
    <m/>
    <m/>
    <m/>
  </r>
  <r>
    <s v="MCC"/>
    <s v="MCC"/>
    <s v="MCC Room"/>
    <x v="3"/>
    <s v="MCC Room"/>
    <x v="8"/>
    <m/>
    <m/>
    <s v="Spare"/>
    <m/>
    <m/>
    <e v="#N/A"/>
    <m/>
    <m/>
    <m/>
    <e v="#N/A"/>
    <s v="Require I/O DI= 0,DO=0,AI=0,AO=0,Bus=0"/>
    <s v="Spare_DO_1"/>
    <x v="1"/>
    <n v="2"/>
    <n v="1"/>
    <s v="C0S07DO"/>
    <s v="C0S07DO21"/>
    <s v="C0S07,21"/>
    <s v="DO"/>
    <s v="Require I/O DI= 0,DO=0,AI=0,AO=0,Bus=0"/>
    <x v="0"/>
    <x v="7"/>
    <n v="21"/>
    <m/>
    <n v="0"/>
    <n v="0"/>
    <n v="0"/>
    <n v="0"/>
    <n v="0"/>
    <m/>
    <m/>
    <m/>
  </r>
  <r>
    <s v="MCC"/>
    <s v="MCC"/>
    <s v="MCC Room"/>
    <x v="3"/>
    <s v="MCC Room"/>
    <x v="8"/>
    <m/>
    <m/>
    <s v="Spare"/>
    <m/>
    <m/>
    <e v="#N/A"/>
    <m/>
    <m/>
    <m/>
    <e v="#N/A"/>
    <s v="Require I/O DI= 0,DO=0,AI=0,AO=0,Bus=0"/>
    <s v="Spare_DO_1"/>
    <x v="1"/>
    <n v="2"/>
    <n v="1"/>
    <s v="C0S07DO"/>
    <s v="C0S07DO22"/>
    <s v="C0S07,22"/>
    <s v="DO"/>
    <s v="Require I/O DI= 0,DO=0,AI=0,AO=0,Bus=0"/>
    <x v="0"/>
    <x v="7"/>
    <n v="22"/>
    <m/>
    <n v="0"/>
    <n v="0"/>
    <n v="0"/>
    <n v="0"/>
    <n v="0"/>
    <m/>
    <m/>
    <m/>
  </r>
  <r>
    <s v="MCC"/>
    <s v="MCC"/>
    <s v="MCC Room"/>
    <x v="3"/>
    <s v="MCC Room"/>
    <x v="8"/>
    <m/>
    <m/>
    <s v="Spare"/>
    <m/>
    <m/>
    <e v="#N/A"/>
    <m/>
    <m/>
    <m/>
    <e v="#N/A"/>
    <s v="Require I/O DI= 0,DO=0,AI=0,AO=0,Bus=0"/>
    <s v="Spare_DO_1"/>
    <x v="1"/>
    <n v="2"/>
    <n v="1"/>
    <s v="C0S07DO"/>
    <s v="C0S07DO23"/>
    <s v="C0S07,23"/>
    <s v="DO"/>
    <s v="Require I/O DI= 0,DO=0,AI=0,AO=0,Bus=0"/>
    <x v="0"/>
    <x v="7"/>
    <n v="23"/>
    <m/>
    <n v="0"/>
    <n v="0"/>
    <n v="0"/>
    <n v="0"/>
    <n v="0"/>
    <m/>
    <m/>
    <m/>
  </r>
  <r>
    <s v="MCC"/>
    <s v="MCC"/>
    <s v="MCC Room"/>
    <x v="3"/>
    <s v="MCC Room"/>
    <x v="8"/>
    <m/>
    <m/>
    <s v="Spare"/>
    <m/>
    <m/>
    <e v="#N/A"/>
    <m/>
    <m/>
    <m/>
    <e v="#N/A"/>
    <s v="Require I/O DI= 0,DO=0,AI=0,AO=0,Bus=0"/>
    <s v="Spare_DO_1"/>
    <x v="1"/>
    <n v="2"/>
    <n v="1"/>
    <s v="C0S07DO"/>
    <s v="C0S07DO24"/>
    <s v="C0S07,24"/>
    <s v="DO"/>
    <s v="Require I/O DI= 0,DO=0,AI=0,AO=0,Bus=0"/>
    <x v="0"/>
    <x v="7"/>
    <n v="24"/>
    <m/>
    <n v="0"/>
    <n v="0"/>
    <n v="0"/>
    <n v="0"/>
    <n v="0"/>
    <m/>
    <m/>
    <m/>
  </r>
  <r>
    <s v="MCC"/>
    <s v="MCC"/>
    <s v="MCC Room"/>
    <x v="3"/>
    <s v="MCC Room"/>
    <x v="8"/>
    <m/>
    <m/>
    <s v="Spare"/>
    <m/>
    <m/>
    <e v="#N/A"/>
    <m/>
    <m/>
    <m/>
    <e v="#N/A"/>
    <s v="Require I/O DI= 0,DO=0,AI=0,AO=0,Bus=0"/>
    <s v="Spare_DO_1"/>
    <x v="1"/>
    <n v="2"/>
    <n v="1"/>
    <s v="C0S07DO"/>
    <s v="C0S07DO25"/>
    <s v="C0S07,25"/>
    <s v="DO"/>
    <s v="Require I/O DI= 0,DO=0,AI=0,AO=0,Bus=0"/>
    <x v="0"/>
    <x v="7"/>
    <n v="25"/>
    <m/>
    <n v="0"/>
    <n v="0"/>
    <n v="0"/>
    <n v="0"/>
    <n v="0"/>
    <m/>
    <m/>
    <m/>
  </r>
  <r>
    <s v="MCC"/>
    <s v="MCC"/>
    <s v="MCC Room"/>
    <x v="3"/>
    <s v="MCC Room"/>
    <x v="8"/>
    <m/>
    <m/>
    <s v="Spare"/>
    <m/>
    <m/>
    <e v="#N/A"/>
    <m/>
    <m/>
    <m/>
    <e v="#N/A"/>
    <s v="Require I/O DI= 0,DO=0,AI=0,AO=0,Bus=0"/>
    <s v="Spare_DO_1"/>
    <x v="1"/>
    <n v="2"/>
    <n v="1"/>
    <s v="C0S07DO"/>
    <s v="C0S07DO26"/>
    <s v="C0S07,26"/>
    <s v="DO"/>
    <s v="Require I/O DI= 0,DO=0,AI=0,AO=0,Bus=0"/>
    <x v="0"/>
    <x v="7"/>
    <n v="26"/>
    <m/>
    <n v="0"/>
    <n v="0"/>
    <n v="0"/>
    <n v="0"/>
    <n v="0"/>
    <m/>
    <m/>
    <m/>
  </r>
  <r>
    <s v="MCC"/>
    <s v="MCC"/>
    <s v="MCC Room"/>
    <x v="3"/>
    <s v="MCC Room"/>
    <x v="8"/>
    <m/>
    <m/>
    <s v="Spare"/>
    <m/>
    <m/>
    <e v="#N/A"/>
    <m/>
    <m/>
    <m/>
    <e v="#N/A"/>
    <s v="Require I/O DI= 0,DO=0,AI=0,AO=0,Bus=0"/>
    <s v="Spare_DO_1"/>
    <x v="1"/>
    <n v="2"/>
    <n v="1"/>
    <s v="C0S07DO"/>
    <s v="C0S07DO27"/>
    <s v="C0S07,27"/>
    <s v="DO"/>
    <s v="Require I/O DI= 0,DO=0,AI=0,AO=0,Bus=0"/>
    <x v="0"/>
    <x v="7"/>
    <n v="27"/>
    <m/>
    <n v="0"/>
    <n v="0"/>
    <n v="0"/>
    <n v="0"/>
    <n v="0"/>
    <m/>
    <m/>
    <m/>
  </r>
  <r>
    <s v="MCC"/>
    <s v="MCC"/>
    <s v="MCC Room"/>
    <x v="3"/>
    <s v="MCC Room"/>
    <x v="8"/>
    <m/>
    <m/>
    <s v="Spare"/>
    <m/>
    <m/>
    <e v="#N/A"/>
    <m/>
    <m/>
    <m/>
    <e v="#N/A"/>
    <s v="Require I/O DI= 0,DO=0,AI=0,AO=0,Bus=0"/>
    <s v="Spare_DO_1"/>
    <x v="1"/>
    <n v="2"/>
    <n v="1"/>
    <s v="C0S07DO"/>
    <s v="C0S07DO28"/>
    <s v="C0S07,28"/>
    <s v="DO"/>
    <s v="Require I/O DI= 0,DO=0,AI=0,AO=0,Bus=0"/>
    <x v="0"/>
    <x v="7"/>
    <n v="28"/>
    <m/>
    <n v="0"/>
    <n v="0"/>
    <n v="0"/>
    <n v="0"/>
    <n v="0"/>
    <m/>
    <m/>
    <m/>
  </r>
  <r>
    <s v="MCC"/>
    <s v="MCC"/>
    <s v="MCC Room"/>
    <x v="3"/>
    <s v="MCC Room"/>
    <x v="8"/>
    <m/>
    <m/>
    <s v="Spare"/>
    <m/>
    <m/>
    <e v="#N/A"/>
    <m/>
    <m/>
    <m/>
    <e v="#N/A"/>
    <s v="Require I/O DI= 0,DO=0,AI=0,AO=0,Bus=0"/>
    <s v="Spare_DO_1"/>
    <x v="1"/>
    <n v="2"/>
    <n v="1"/>
    <s v="C0S07DO"/>
    <s v="C0S07DO29"/>
    <s v="C0S07,29"/>
    <s v="DO"/>
    <s v="Require I/O DI= 0,DO=0,AI=0,AO=0,Bus=0"/>
    <x v="0"/>
    <x v="7"/>
    <n v="29"/>
    <m/>
    <n v="0"/>
    <n v="0"/>
    <n v="0"/>
    <n v="0"/>
    <n v="0"/>
    <m/>
    <m/>
    <m/>
  </r>
  <r>
    <s v="MCC"/>
    <s v="MCC"/>
    <s v="MCC Room"/>
    <x v="3"/>
    <s v="MCC Room"/>
    <x v="8"/>
    <m/>
    <m/>
    <s v="Spare"/>
    <m/>
    <m/>
    <e v="#N/A"/>
    <m/>
    <m/>
    <m/>
    <e v="#N/A"/>
    <s v="Require I/O DI= 0,DO=0,AI=0,AO=0,Bus=0"/>
    <s v="Spare_DO_1"/>
    <x v="1"/>
    <n v="2"/>
    <n v="1"/>
    <s v="C0S07DO"/>
    <s v="C0S07DO30"/>
    <s v="C0S07,30"/>
    <s v="DO"/>
    <s v="Require I/O DI= 0,DO=0,AI=0,AO=0,Bus=0"/>
    <x v="0"/>
    <x v="7"/>
    <n v="30"/>
    <m/>
    <n v="0"/>
    <n v="0"/>
    <n v="0"/>
    <n v="0"/>
    <n v="0"/>
    <m/>
    <m/>
    <m/>
  </r>
  <r>
    <s v="MCC"/>
    <s v="MCC"/>
    <s v="MCC Room"/>
    <x v="3"/>
    <s v="MCC Room"/>
    <x v="8"/>
    <m/>
    <m/>
    <s v="Spare"/>
    <m/>
    <m/>
    <e v="#N/A"/>
    <m/>
    <m/>
    <m/>
    <e v="#N/A"/>
    <s v="Require I/O DI= 0,DO=0,AI=0,AO=0,Bus=0"/>
    <s v="Spare_DO_1"/>
    <x v="1"/>
    <n v="2"/>
    <n v="1"/>
    <s v="C0S07DO"/>
    <s v="C0S07DO31"/>
    <s v="C0S07,31"/>
    <s v="DO"/>
    <s v="Require I/O DI= 0,DO=0,AI=0,AO=0,Bus=0"/>
    <x v="0"/>
    <x v="7"/>
    <n v="31"/>
    <m/>
    <n v="0"/>
    <n v="0"/>
    <n v="0"/>
    <n v="0"/>
    <n v="0"/>
    <m/>
    <m/>
    <m/>
  </r>
  <r>
    <s v="MCC"/>
    <m/>
    <m/>
    <x v="3"/>
    <s v="MCC Room"/>
    <x v="0"/>
    <m/>
    <s v="Spray Dryer"/>
    <s v="XS-60205"/>
    <m/>
    <m/>
    <n v="0"/>
    <s v="1st"/>
    <s v="325-01-600-PD-01"/>
    <s v="-"/>
    <s v=" Start / Stop Command for PUPD-11 (Positive Displacement Pump )"/>
    <s v="Require I/O DI= 0,DO=1,AI=0,AO=0,Bus=0"/>
    <s v="XS-60205_DO_1"/>
    <x v="1"/>
    <n v="2"/>
    <n v="1"/>
    <s v="C0S05DO"/>
    <s v="C0S05DO29"/>
    <s v="C0S05,29"/>
    <s v="DO"/>
    <s v="Require I/O DI= 0,DO=1,AI=0,AO=0,Bus=0"/>
    <x v="0"/>
    <x v="5"/>
    <n v="29"/>
    <m/>
    <n v="0"/>
    <n v="1"/>
    <n v="0"/>
    <n v="0"/>
    <n v="0"/>
    <m/>
    <n v="0"/>
    <m/>
  </r>
  <r>
    <s v="MCC"/>
    <m/>
    <m/>
    <x v="3"/>
    <s v="MCC Room"/>
    <x v="5"/>
    <m/>
    <s v="Spray Dryer"/>
    <s v="XS-60240A"/>
    <m/>
    <m/>
    <n v="0"/>
    <s v="4th"/>
    <s v="325-01-600-PD-05"/>
    <s v="-"/>
    <s v=" Start / Stop Command for BGHS-21 (Bag House Air Pulsing)"/>
    <s v="Require I/O DI= 0,DO=1,AI=0,AO=0,Bus=0"/>
    <s v="XS-60240A_DO_1"/>
    <x v="1"/>
    <n v="2"/>
    <n v="1"/>
    <s v="C0S06DO"/>
    <s v="C0S06DO02"/>
    <s v="C0S06,02"/>
    <s v="DO"/>
    <s v="Require I/O DI= 0,DO=1,AI=0,AO=0,Bus=0"/>
    <x v="0"/>
    <x v="2"/>
    <n v="2"/>
    <m/>
    <n v="0"/>
    <n v="1"/>
    <n v="0"/>
    <n v="0"/>
    <n v="0"/>
    <m/>
    <s v="Dry Contact"/>
    <m/>
  </r>
  <r>
    <s v="MCC"/>
    <m/>
    <m/>
    <x v="3"/>
    <s v="MCC Room"/>
    <x v="5"/>
    <m/>
    <s v="Spray Dryer"/>
    <s v="XS-60241A"/>
    <m/>
    <m/>
    <n v="0"/>
    <s v="4th"/>
    <s v="325-01-600-PD-05"/>
    <s v="-"/>
    <s v=" Start / Stop Command for HTRE-21 (Heater Control Panel)"/>
    <s v="Require I/O DI= 0,DO=1,AI=0,AO=0,Bus=0"/>
    <s v="XS-60241A_DO_1"/>
    <x v="1"/>
    <n v="2"/>
    <n v="1"/>
    <s v="C0S06DO"/>
    <s v="C0S06DO03"/>
    <s v="C0S06,03"/>
    <s v="DO"/>
    <s v="Require I/O DI= 0,DO=1,AI=0,AO=0,Bus=0"/>
    <x v="0"/>
    <x v="2"/>
    <n v="3"/>
    <m/>
    <n v="0"/>
    <n v="1"/>
    <n v="0"/>
    <n v="0"/>
    <n v="0"/>
    <m/>
    <s v="Dry Contact"/>
    <m/>
  </r>
  <r>
    <s v="MCC"/>
    <m/>
    <m/>
    <x v="3"/>
    <s v="MCC Room"/>
    <x v="5"/>
    <m/>
    <s v="Spray Dryer"/>
    <s v="XS-60242A"/>
    <m/>
    <m/>
    <n v="0"/>
    <s v="3rd"/>
    <s v="325-01-600-PD-05"/>
    <s v="-"/>
    <s v=" Start / Stop Command for HTRE-21 (Heater Control Panel)"/>
    <s v="Require I/O DI= 0,DO=1,AI=0,AO=0,Bus=0"/>
    <s v="XS-60242A_DO_1"/>
    <x v="1"/>
    <n v="2"/>
    <n v="1"/>
    <s v="C0S06DO"/>
    <s v="C0S06DO04"/>
    <s v="C0S06,04"/>
    <s v="DO"/>
    <s v="Require I/O DI= 0,DO=1,AI=0,AO=0,Bus=0"/>
    <x v="0"/>
    <x v="2"/>
    <n v="4"/>
    <m/>
    <n v="0"/>
    <n v="1"/>
    <n v="0"/>
    <n v="0"/>
    <n v="0"/>
    <m/>
    <s v="Dry Contact"/>
    <m/>
  </r>
  <r>
    <s v="MCC"/>
    <m/>
    <m/>
    <x v="3"/>
    <s v="MCC Room"/>
    <x v="5"/>
    <m/>
    <s v="Spray Dryer"/>
    <s v="XS-60243A"/>
    <m/>
    <m/>
    <n v="0"/>
    <s v="4th"/>
    <s v="325-01-600-PD-05"/>
    <s v="-"/>
    <s v=" Start / Stop Command for HTRE-21 (Heater Control Panel)"/>
    <s v="Require I/O DI= 0,DO=1,AI=0,AO=0,Bus=0"/>
    <s v="XS-60243A_DO_1"/>
    <x v="1"/>
    <n v="2"/>
    <n v="1"/>
    <s v="C0S06DO"/>
    <s v="C0S06DO04"/>
    <s v="C0S06,04"/>
    <s v="DO"/>
    <s v="Require I/O DI= 0,DO=1,AI=0,AO=0,Bus=0"/>
    <x v="0"/>
    <x v="2"/>
    <n v="4"/>
    <m/>
    <n v="0"/>
    <n v="1"/>
    <n v="0"/>
    <n v="0"/>
    <n v="0"/>
    <m/>
    <s v="Dry Contact"/>
    <m/>
  </r>
  <r>
    <s v="MCC"/>
    <m/>
    <m/>
    <x v="3"/>
    <s v="MCC Room"/>
    <x v="9"/>
    <m/>
    <s v="Spray Dryer"/>
    <s v="XS-60260"/>
    <m/>
    <m/>
    <n v="0"/>
    <s v="6th"/>
    <s v="325-01-600-PD-05"/>
    <s v="-"/>
    <s v=" Start / Stop Command for FWDP-21 (Fire Deluge)"/>
    <s v="Require I/O DI= 0,DO=1,AI=0,AO=0,Bus=0"/>
    <s v="XS-60260_DO_1"/>
    <x v="1"/>
    <n v="2"/>
    <n v="1"/>
    <s v="C0S06DO"/>
    <s v="C0S06DO06"/>
    <s v="C0S06,06"/>
    <s v="DO"/>
    <s v="Require I/O DI= 0,DO=1,AI=0,AO=0,Bus=0"/>
    <x v="0"/>
    <x v="2"/>
    <n v="6"/>
    <m/>
    <n v="0"/>
    <n v="1"/>
    <n v="0"/>
    <n v="0"/>
    <n v="0"/>
    <m/>
    <s v="24 VDC energized"/>
    <m/>
  </r>
  <r>
    <s v="MCC"/>
    <m/>
    <m/>
    <x v="3"/>
    <s v="MCC Room"/>
    <x v="2"/>
    <m/>
    <s v="Spray Dryer"/>
    <s v="XS-FH-60210A"/>
    <m/>
    <m/>
    <n v="0"/>
    <s v="7th"/>
    <s v="325-01-600-PD-06"/>
    <s v="-"/>
    <s v="Start / Stop Command Burner Remote Start for AHTR-21"/>
    <s v="Require I/O DI= 0,DO=1,AI=0,AO=0,Bus=0"/>
    <s v="XS-FH-60210A_DO_1"/>
    <x v="1"/>
    <n v="2"/>
    <n v="1"/>
    <s v="C0S06DO"/>
    <s v="C0S06DO08"/>
    <s v="C0S06,08"/>
    <s v="DO"/>
    <s v="Require I/O DI= 0,DO=1,AI=0,AO=0,Bus=0"/>
    <x v="0"/>
    <x v="2"/>
    <n v="8"/>
    <m/>
    <n v="0"/>
    <n v="1"/>
    <n v="0"/>
    <n v="0"/>
    <n v="0"/>
    <m/>
    <s v="Dry Contact"/>
    <m/>
  </r>
  <r>
    <s v="MCC"/>
    <m/>
    <m/>
    <x v="3"/>
    <s v="MCC Room"/>
    <x v="2"/>
    <m/>
    <s v="Spray Dryer"/>
    <s v="XS-FH-60210B"/>
    <m/>
    <m/>
    <n v="0"/>
    <s v="7th"/>
    <s v="325-01-600-PD-06"/>
    <s v="-"/>
    <s v="Start / Stop Command Dryer Interlocks for AHTR-21"/>
    <s v="Require I/O DI= 0,DO=1,AI=0,AO=0,Bus=0"/>
    <s v="XS-FH-60210B_DO_1"/>
    <x v="1"/>
    <n v="2"/>
    <n v="1"/>
    <s v="C0S06DO"/>
    <s v="C0S06DO09"/>
    <s v="C0S06,09"/>
    <s v="DO"/>
    <s v="Require I/O DI= 0,DO=1,AI=0,AO=0,Bus=0"/>
    <x v="0"/>
    <x v="2"/>
    <n v="9"/>
    <m/>
    <n v="0"/>
    <n v="1"/>
    <n v="0"/>
    <n v="0"/>
    <n v="0"/>
    <m/>
    <s v="Dry Contact"/>
    <m/>
  </r>
  <r>
    <s v="=CA1+MCP-M1"/>
    <m/>
    <m/>
    <x v="4"/>
    <s v="Main Control Cabinet"/>
    <x v="10"/>
    <m/>
    <s v="Main Control Cabinet"/>
    <s v="Spare"/>
    <s v="1-0"/>
    <m/>
    <e v="#N/A"/>
    <m/>
    <s v="-"/>
    <s v="-"/>
    <e v="#N/A"/>
    <s v="Require I/O DI= 0,DO=0,AI=0,AO=0,Bus=0"/>
    <s v="Spare_DI_0"/>
    <x v="0"/>
    <n v="1"/>
    <n v="0"/>
    <s v="C1S03DI"/>
    <s v="C1S03DI00"/>
    <s v="C1S03,00"/>
    <s v="DI"/>
    <s v="Require I/O DI= 0,DO=0,AI=0,AO=0,Bus=0"/>
    <x v="1"/>
    <x v="1"/>
    <n v="0"/>
    <m/>
    <n v="0"/>
    <n v="0"/>
    <n v="0"/>
    <n v="0"/>
    <n v="0"/>
    <m/>
    <e v="#N/A"/>
    <s v="x"/>
  </r>
  <r>
    <s v="=CA1+MCP-M1"/>
    <m/>
    <m/>
    <x v="4"/>
    <s v="Main Control Cabinet"/>
    <x v="10"/>
    <m/>
    <s v="Main Control Cabinet"/>
    <s v="Spare"/>
    <s v="1-0"/>
    <m/>
    <e v="#N/A"/>
    <m/>
    <s v="-"/>
    <s v="-"/>
    <e v="#N/A"/>
    <s v="Require I/O DI= 0,DO=0,AI=0,AO=0,Bus=0"/>
    <s v="Spare_DI_0"/>
    <x v="0"/>
    <n v="1"/>
    <n v="0"/>
    <s v="C1S03DI"/>
    <s v="C1S03DI01"/>
    <s v="C1S03,01"/>
    <s v="DI"/>
    <s v="Require I/O DI= 0,DO=0,AI=0,AO=0,Bus=0"/>
    <x v="1"/>
    <x v="1"/>
    <n v="1"/>
    <m/>
    <n v="0"/>
    <n v="0"/>
    <n v="0"/>
    <n v="0"/>
    <n v="0"/>
    <m/>
    <e v="#N/A"/>
    <s v="x"/>
  </r>
  <r>
    <s v="=CA1+MCP-M1"/>
    <m/>
    <m/>
    <x v="4"/>
    <s v="Main Control Cabinet"/>
    <x v="10"/>
    <m/>
    <s v="Main Control Cabinet"/>
    <s v="Spare"/>
    <s v="1-0"/>
    <m/>
    <e v="#N/A"/>
    <m/>
    <s v="-"/>
    <s v="-"/>
    <e v="#N/A"/>
    <s v="Require I/O DI= 0,DO=0,AI=0,AO=0,Bus=0"/>
    <s v="Spare_DI_0"/>
    <x v="0"/>
    <n v="1"/>
    <n v="0"/>
    <s v="C1S03DI"/>
    <s v="C1S03DI02"/>
    <s v="C1S03,02"/>
    <s v="DI"/>
    <s v="Require I/O DI= 0,DO=0,AI=0,AO=0,Bus=0"/>
    <x v="1"/>
    <x v="1"/>
    <n v="2"/>
    <m/>
    <n v="0"/>
    <n v="0"/>
    <n v="0"/>
    <n v="0"/>
    <n v="0"/>
    <m/>
    <e v="#N/A"/>
    <s v="x"/>
  </r>
  <r>
    <s v="=CA1+MCP-M1"/>
    <m/>
    <m/>
    <x v="4"/>
    <s v="Main Control Cabinet"/>
    <x v="10"/>
    <m/>
    <s v="Main Control Cabinet"/>
    <s v="Spare"/>
    <s v="1-0"/>
    <m/>
    <e v="#N/A"/>
    <m/>
    <s v="-"/>
    <s v="-"/>
    <e v="#N/A"/>
    <s v="Require I/O DI= 0,DO=0,AI=0,AO=0,Bus=0"/>
    <s v="Spare_DI_0"/>
    <x v="0"/>
    <n v="1"/>
    <n v="0"/>
    <s v="C1S03DI"/>
    <s v="C1S03DI03"/>
    <s v="C1S03,03"/>
    <s v="DI"/>
    <s v="Require I/O DI= 0,DO=0,AI=0,AO=0,Bus=0"/>
    <x v="1"/>
    <x v="1"/>
    <n v="3"/>
    <m/>
    <n v="0"/>
    <n v="0"/>
    <n v="0"/>
    <n v="0"/>
    <n v="0"/>
    <m/>
    <e v="#N/A"/>
    <s v="x"/>
  </r>
  <r>
    <s v="=CA1+MCP-M1"/>
    <m/>
    <m/>
    <x v="4"/>
    <s v="Main Control Cabinet"/>
    <x v="10"/>
    <m/>
    <s v="Main Control Cabinet"/>
    <s v="Spare"/>
    <s v="1-0"/>
    <m/>
    <e v="#N/A"/>
    <m/>
    <s v="-"/>
    <s v="-"/>
    <e v="#N/A"/>
    <s v="Require I/O DI= 0,DO=0,AI=0,AO=0,Bus=0"/>
    <s v="Spare_DI_0"/>
    <x v="0"/>
    <n v="1"/>
    <n v="0"/>
    <s v="C1S03DI"/>
    <s v="C1S03DI04"/>
    <s v="C1S03,04"/>
    <s v="DI"/>
    <s v="Require I/O DI= 0,DO=0,AI=0,AO=0,Bus=0"/>
    <x v="1"/>
    <x v="1"/>
    <n v="4"/>
    <m/>
    <n v="0"/>
    <n v="0"/>
    <n v="0"/>
    <n v="0"/>
    <n v="0"/>
    <m/>
    <e v="#N/A"/>
    <s v="x"/>
  </r>
  <r>
    <s v="=CA1+MCP-M1"/>
    <m/>
    <m/>
    <x v="4"/>
    <s v="Main Control Cabinet"/>
    <x v="10"/>
    <m/>
    <s v="Main Control Cabinet"/>
    <s v="Spare"/>
    <s v="1-0"/>
    <m/>
    <e v="#N/A"/>
    <m/>
    <s v="-"/>
    <s v="-"/>
    <e v="#N/A"/>
    <s v="Require I/O DI= 0,DO=0,AI=0,AO=0,Bus=0"/>
    <s v="Spare_DI_0"/>
    <x v="0"/>
    <n v="1"/>
    <n v="0"/>
    <s v="C1S03DI"/>
    <s v="C1S03DI05"/>
    <s v="C1S03,05"/>
    <s v="DI"/>
    <s v="Require I/O DI= 0,DO=0,AI=0,AO=0,Bus=0"/>
    <x v="1"/>
    <x v="1"/>
    <n v="5"/>
    <m/>
    <n v="0"/>
    <n v="0"/>
    <n v="0"/>
    <n v="0"/>
    <n v="0"/>
    <m/>
    <e v="#N/A"/>
    <s v="x"/>
  </r>
  <r>
    <s v="=CA1+MCP-M1"/>
    <m/>
    <m/>
    <x v="4"/>
    <s v="Main Control Cabinet"/>
    <x v="10"/>
    <m/>
    <s v="Main Control Cabinet"/>
    <s v="Spare"/>
    <s v="1-0"/>
    <m/>
    <e v="#N/A"/>
    <m/>
    <s v="-"/>
    <s v="-"/>
    <e v="#N/A"/>
    <s v="Require I/O DI= 0,DO=0,AI=0,AO=0,Bus=0"/>
    <s v="Spare_DI_0"/>
    <x v="0"/>
    <n v="1"/>
    <n v="0"/>
    <s v="C1S03DI"/>
    <s v="C1S03DI06"/>
    <s v="C1S03,06"/>
    <s v="DI"/>
    <s v="Require I/O DI= 0,DO=0,AI=0,AO=0,Bus=0"/>
    <x v="1"/>
    <x v="1"/>
    <n v="6"/>
    <m/>
    <n v="0"/>
    <n v="0"/>
    <n v="0"/>
    <n v="0"/>
    <n v="0"/>
    <m/>
    <e v="#N/A"/>
    <s v="x"/>
  </r>
  <r>
    <s v="=CA1+MCP-M1"/>
    <m/>
    <m/>
    <x v="4"/>
    <s v="Main Control Cabinet"/>
    <x v="10"/>
    <m/>
    <s v="Main Control Cabinet"/>
    <s v="Spare"/>
    <s v="1-0"/>
    <m/>
    <e v="#N/A"/>
    <m/>
    <s v="-"/>
    <s v="-"/>
    <e v="#N/A"/>
    <s v="Require I/O DI= 0,DO=0,AI=0,AO=0,Bus=0"/>
    <s v="Spare_DI_0"/>
    <x v="0"/>
    <n v="1"/>
    <n v="0"/>
    <s v="C1S03DI"/>
    <s v="C1S03DI07"/>
    <s v="C1S03,07"/>
    <s v="DI"/>
    <s v="Require I/O DI= 0,DO=0,AI=0,AO=0,Bus=0"/>
    <x v="1"/>
    <x v="1"/>
    <n v="7"/>
    <m/>
    <n v="0"/>
    <n v="0"/>
    <n v="0"/>
    <n v="0"/>
    <n v="0"/>
    <m/>
    <e v="#N/A"/>
    <s v="x"/>
  </r>
  <r>
    <s v="=CA1+MCP-M1"/>
    <m/>
    <m/>
    <x v="4"/>
    <s v="Main Control Cabinet"/>
    <x v="10"/>
    <m/>
    <s v="Main Control Cabinet"/>
    <s v="Spare"/>
    <s v="1-0"/>
    <m/>
    <e v="#N/A"/>
    <m/>
    <s v="-"/>
    <s v="-"/>
    <e v="#N/A"/>
    <s v="Require I/O DI= 0,DO=0,AI=0,AO=0,Bus=0"/>
    <s v="Spare_DI_0"/>
    <x v="0"/>
    <n v="1"/>
    <n v="0"/>
    <s v="C1S03DI"/>
    <s v="C1S03DI08"/>
    <s v="C1S03,08"/>
    <s v="DI"/>
    <s v="Require I/O DI= 0,DO=0,AI=0,AO=0,Bus=0"/>
    <x v="1"/>
    <x v="1"/>
    <n v="8"/>
    <m/>
    <n v="0"/>
    <n v="0"/>
    <n v="0"/>
    <n v="0"/>
    <n v="0"/>
    <m/>
    <e v="#N/A"/>
    <s v="x"/>
  </r>
  <r>
    <s v="=CA1+MCP-M1"/>
    <m/>
    <m/>
    <x v="4"/>
    <s v="Main Control Cabinet"/>
    <x v="10"/>
    <m/>
    <s v="Main Control Cabinet"/>
    <s v="Spare"/>
    <s v="1-0"/>
    <m/>
    <e v="#N/A"/>
    <m/>
    <s v="-"/>
    <s v="-"/>
    <e v="#N/A"/>
    <s v="Require I/O DI= 0,DO=0,AI=0,AO=0,Bus=0"/>
    <s v="Spare_DI_0"/>
    <x v="0"/>
    <n v="1"/>
    <n v="0"/>
    <s v="C1S03DI"/>
    <s v="C1S03DI09"/>
    <s v="C1S03,09"/>
    <s v="DI"/>
    <s v="Require I/O DI= 0,DO=0,AI=0,AO=0,Bus=0"/>
    <x v="1"/>
    <x v="1"/>
    <n v="9"/>
    <m/>
    <n v="0"/>
    <n v="0"/>
    <n v="0"/>
    <n v="0"/>
    <n v="0"/>
    <m/>
    <e v="#N/A"/>
    <s v="x"/>
  </r>
  <r>
    <s v="=CA1+MCP-M1"/>
    <m/>
    <m/>
    <x v="4"/>
    <s v="Main Control Cabinet"/>
    <x v="10"/>
    <m/>
    <s v="Main Control Cabinet"/>
    <s v="Spare"/>
    <s v="1-0"/>
    <m/>
    <e v="#N/A"/>
    <m/>
    <s v="-"/>
    <s v="-"/>
    <e v="#N/A"/>
    <s v="Require I/O DI= 0,DO=0,AI=0,AO=0,Bus=0"/>
    <s v="Spare_DI_0"/>
    <x v="0"/>
    <n v="1"/>
    <n v="0"/>
    <s v="C1S03DI"/>
    <s v="C1S03DI10"/>
    <s v="C1S03,10"/>
    <s v="DI"/>
    <s v="Require I/O DI= 0,DO=0,AI=0,AO=0,Bus=0"/>
    <x v="1"/>
    <x v="1"/>
    <n v="10"/>
    <m/>
    <n v="0"/>
    <n v="0"/>
    <n v="0"/>
    <n v="0"/>
    <n v="0"/>
    <m/>
    <e v="#N/A"/>
    <s v="x"/>
  </r>
  <r>
    <s v="=CA1+MCP-M1"/>
    <m/>
    <m/>
    <x v="4"/>
    <s v="Main Control Cabinet"/>
    <x v="10"/>
    <m/>
    <s v="Main Control Cabinet"/>
    <s v="Spare"/>
    <s v="1-0"/>
    <m/>
    <e v="#N/A"/>
    <m/>
    <s v="-"/>
    <s v="-"/>
    <e v="#N/A"/>
    <s v="Require I/O DI= 0,DO=0,AI=0,AO=0,Bus=0"/>
    <s v="Spare_DI_0"/>
    <x v="0"/>
    <n v="1"/>
    <n v="0"/>
    <s v="C1S03DI"/>
    <s v="C1S03DI11"/>
    <s v="C1S03,11"/>
    <s v="DI"/>
    <s v="Require I/O DI= 0,DO=0,AI=0,AO=0,Bus=0"/>
    <x v="1"/>
    <x v="1"/>
    <n v="11"/>
    <m/>
    <n v="0"/>
    <n v="0"/>
    <n v="0"/>
    <n v="0"/>
    <n v="0"/>
    <m/>
    <e v="#N/A"/>
    <s v="x"/>
  </r>
  <r>
    <s v="=CA1+MCP-M1"/>
    <m/>
    <m/>
    <x v="4"/>
    <s v="Main Control Cabinet"/>
    <x v="10"/>
    <m/>
    <s v="Main Control Cabinet"/>
    <s v="Spare"/>
    <s v="1-0"/>
    <m/>
    <e v="#N/A"/>
    <m/>
    <s v="-"/>
    <s v="-"/>
    <e v="#N/A"/>
    <s v="Require I/O DI= 0,DO=0,AI=0,AO=0,Bus=0"/>
    <s v="Spare_DI_0"/>
    <x v="0"/>
    <n v="1"/>
    <n v="0"/>
    <s v="C1S03DI"/>
    <s v="C1S03DI12"/>
    <s v="C1S03,12"/>
    <s v="DI"/>
    <s v="Require I/O DI= 0,DO=0,AI=0,AO=0,Bus=0"/>
    <x v="1"/>
    <x v="1"/>
    <n v="12"/>
    <m/>
    <n v="0"/>
    <n v="0"/>
    <n v="0"/>
    <n v="0"/>
    <n v="0"/>
    <m/>
    <e v="#N/A"/>
    <s v="x"/>
  </r>
  <r>
    <s v="=CA1+MCP-M1"/>
    <m/>
    <m/>
    <x v="4"/>
    <s v="Main Control Cabinet"/>
    <x v="10"/>
    <m/>
    <s v="Main Control Cabinet"/>
    <s v="Spare"/>
    <s v="1-0"/>
    <m/>
    <e v="#N/A"/>
    <m/>
    <s v="-"/>
    <s v="-"/>
    <e v="#N/A"/>
    <s v="Require I/O DI= 0,DO=0,AI=0,AO=0,Bus=0"/>
    <s v="Spare_DI_0"/>
    <x v="0"/>
    <n v="1"/>
    <n v="0"/>
    <s v="C1S03DI"/>
    <s v="C1S03DI13"/>
    <s v="C1S03,13"/>
    <s v="DI"/>
    <s v="Require I/O DI= 0,DO=0,AI=0,AO=0,Bus=0"/>
    <x v="1"/>
    <x v="1"/>
    <n v="13"/>
    <m/>
    <n v="0"/>
    <n v="0"/>
    <n v="0"/>
    <n v="0"/>
    <n v="0"/>
    <m/>
    <e v="#N/A"/>
    <s v="x"/>
  </r>
  <r>
    <s v="=CA1+MCP-M1"/>
    <m/>
    <m/>
    <x v="4"/>
    <s v="Main Control Cabinet"/>
    <x v="10"/>
    <m/>
    <s v="Main Control Cabinet"/>
    <s v="Spare"/>
    <s v="1-0"/>
    <m/>
    <e v="#N/A"/>
    <m/>
    <s v="-"/>
    <s v="-"/>
    <e v="#N/A"/>
    <s v="Require I/O DI= 0,DO=0,AI=0,AO=0,Bus=0"/>
    <s v="Spare_DI_0"/>
    <x v="0"/>
    <n v="1"/>
    <n v="0"/>
    <s v="C1S03DI"/>
    <s v="C1S03DI14"/>
    <s v="C1S03,14"/>
    <s v="DI"/>
    <s v="Require I/O DI= 0,DO=0,AI=0,AO=0,Bus=0"/>
    <x v="1"/>
    <x v="1"/>
    <n v="14"/>
    <m/>
    <n v="0"/>
    <n v="0"/>
    <n v="0"/>
    <n v="0"/>
    <n v="0"/>
    <m/>
    <e v="#N/A"/>
    <s v="x"/>
  </r>
  <r>
    <s v="=CA1+MCP-M1"/>
    <m/>
    <m/>
    <x v="4"/>
    <s v="Main Control Cabinet"/>
    <x v="10"/>
    <m/>
    <s v="Main Control Cabinet"/>
    <s v="Spare"/>
    <s v="1-0"/>
    <m/>
    <e v="#N/A"/>
    <m/>
    <s v="-"/>
    <s v="-"/>
    <e v="#N/A"/>
    <s v="Require I/O DI= 0,DO=0,AI=0,AO=0,Bus=0"/>
    <s v="Spare_DI_0"/>
    <x v="0"/>
    <n v="1"/>
    <n v="0"/>
    <s v="C1S03DI"/>
    <s v="C1S03DI15"/>
    <s v="C1S03,15"/>
    <s v="DI"/>
    <s v="Require I/O DI= 0,DO=0,AI=0,AO=0,Bus=0"/>
    <x v="1"/>
    <x v="1"/>
    <n v="15"/>
    <m/>
    <n v="0"/>
    <n v="0"/>
    <n v="0"/>
    <n v="0"/>
    <n v="0"/>
    <m/>
    <e v="#N/A"/>
    <s v="x"/>
  </r>
  <r>
    <s v="=CA1+MCP-M1"/>
    <m/>
    <m/>
    <x v="5"/>
    <s v="Infeed 2nd Floor"/>
    <x v="4"/>
    <m/>
    <s v="PH Adjustment"/>
    <s v="FSL-40201"/>
    <s v="1-1"/>
    <m/>
    <s v="Flow Switch"/>
    <s v="1st"/>
    <s v="-"/>
    <s v="3-25-01-402-PD-01"/>
    <s v="Slurry low flow "/>
    <s v="Require I/O DI= 1,DO=0,AI=0,AO=0,Bus=0"/>
    <s v="FSL-40201_DI_1"/>
    <x v="0"/>
    <n v="1"/>
    <n v="1"/>
    <s v="C1S03DI"/>
    <s v="C1S03DI16"/>
    <s v="C1S03,16"/>
    <s v="DI"/>
    <s v="Require I/O DI= 1,DO=0,AI=0,AO=0,Bus=0"/>
    <x v="1"/>
    <x v="1"/>
    <n v="16"/>
    <m/>
    <n v="1"/>
    <n v="0"/>
    <n v="0"/>
    <n v="0"/>
    <n v="0"/>
    <m/>
    <s v="Dry Contact"/>
    <s v="x"/>
  </r>
  <r>
    <s v="=CA1+MCP-M1"/>
    <m/>
    <m/>
    <x v="5"/>
    <s v="Infeed 2nd Floor"/>
    <x v="4"/>
    <m/>
    <s v="PH Adjustment"/>
    <s v="FSL-40202"/>
    <s v="1-1"/>
    <m/>
    <s v="Flow Switch"/>
    <s v="1st"/>
    <s v="-"/>
    <s v="3-25-01-402-PD-01"/>
    <s v="Slurry low flow "/>
    <s v="Require I/O DI= 1,DO=0,AI=0,AO=0,Bus=0"/>
    <s v="FSL-40202_DI_1"/>
    <x v="0"/>
    <n v="1"/>
    <n v="1"/>
    <s v="C1S03DI"/>
    <s v="C1S03DI17"/>
    <s v="C1S03,17"/>
    <s v="DI"/>
    <s v="Require I/O DI= 1,DO=0,AI=0,AO=0,Bus=0"/>
    <x v="1"/>
    <x v="1"/>
    <n v="17"/>
    <m/>
    <n v="1"/>
    <n v="0"/>
    <n v="0"/>
    <n v="0"/>
    <n v="0"/>
    <m/>
    <s v="Dry Contact"/>
    <s v="x"/>
  </r>
  <r>
    <s v="=CA1+MCP-M1"/>
    <m/>
    <m/>
    <x v="5"/>
    <s v="Infeed 2nd Floor"/>
    <x v="4"/>
    <m/>
    <s v="Infeed Tank"/>
    <s v="FT-40201"/>
    <s v="1-1"/>
    <m/>
    <s v="Coriolis Flow Transmitter"/>
    <s v="1st"/>
    <s v="325-01-400-PD-02"/>
    <s v="3-25-01-402-PD-02"/>
    <s v="Slurry flowrate &amp; density check transfer line  "/>
    <s v="Require I/O DI= 1,DO=0,AI=2,AO=0,Bus=0"/>
    <s v="FT-40201_DI_1"/>
    <x v="0"/>
    <n v="1"/>
    <n v="1"/>
    <s v="C1S03DI"/>
    <s v="C1S03DI18"/>
    <s v="C1S03,18"/>
    <s v="DI"/>
    <s v="Require I/O DI= 1,DO=0,AI=2,AO=0,Bus=0"/>
    <x v="1"/>
    <x v="1"/>
    <n v="18"/>
    <m/>
    <n v="1"/>
    <n v="0"/>
    <n v="2"/>
    <n v="0"/>
    <n v="0"/>
    <m/>
    <s v="4 - 20 mA,Pulse"/>
    <s v="x"/>
  </r>
  <r>
    <s v="=CA1+MCP-M1"/>
    <m/>
    <m/>
    <x v="5"/>
    <s v="Infeed 2nd Floor"/>
    <x v="4"/>
    <m/>
    <s v="Infeed Tank"/>
    <s v="FT-40201"/>
    <m/>
    <m/>
    <s v="Coriolis Flow Transmitter"/>
    <s v="1st"/>
    <s v="325-01-400-PD-02"/>
    <s v="3-25-01-402-PD-02"/>
    <s v="Slurry flowrate &amp; density check transfer line  "/>
    <s v="Require I/O DI= 1,DO=0,AI=2,AO=0,Bus=0"/>
    <s v="FT-40201_AI_1"/>
    <x v="3"/>
    <n v="3"/>
    <n v="1"/>
    <s v="C1S09AI"/>
    <s v="C1S09AI00"/>
    <s v="C1S09,00"/>
    <s v="AI"/>
    <s v="Require I/O DI= 1,DO=0,AI=2,AO=0,Bus=0"/>
    <x v="1"/>
    <x v="8"/>
    <n v="0"/>
    <m/>
    <n v="1"/>
    <n v="0"/>
    <n v="2"/>
    <n v="0"/>
    <n v="0"/>
    <m/>
    <s v="4 - 20 mA,Pulse"/>
    <m/>
  </r>
  <r>
    <s v="=CA1+MCP-M1"/>
    <m/>
    <m/>
    <x v="5"/>
    <s v="Infeed 2nd Floor"/>
    <x v="4"/>
    <m/>
    <s v="Infeed Tank"/>
    <s v="FT-40201"/>
    <m/>
    <m/>
    <s v="Coriolis Flow Transmitter"/>
    <s v="1st"/>
    <s v="325-01-400-PD-02"/>
    <s v="3-25-01-402-PD-02"/>
    <s v="Slurry flowrate &amp; density check transfer line  "/>
    <s v="Require I/O DI= 1,DO=0,AI=2,AO=0,Bus=0"/>
    <s v="FT-40201_AI_2"/>
    <x v="3"/>
    <n v="3"/>
    <n v="2"/>
    <s v="C1S09AI"/>
    <s v="C1S09AI01"/>
    <s v="C1S09,01"/>
    <s v="AI"/>
    <s v="Require I/O DI= 1,DO=0,AI=2,AO=0,Bus=0"/>
    <x v="1"/>
    <x v="8"/>
    <n v="1"/>
    <m/>
    <n v="1"/>
    <n v="0"/>
    <n v="2"/>
    <n v="0"/>
    <n v="0"/>
    <m/>
    <s v="4 - 20 mA,Pulse"/>
    <m/>
  </r>
  <r>
    <s v="=CA1+MCP-M1"/>
    <m/>
    <m/>
    <x v="5"/>
    <s v="Infeed 2nd Floor"/>
    <x v="4"/>
    <m/>
    <s v="Infeed Tank"/>
    <s v="FT-40202"/>
    <s v="1-1"/>
    <m/>
    <s v="Magnetic Flow Transmitter"/>
    <s v="1st"/>
    <s v="325-01-400-PD-02"/>
    <s v="3-25-01-402-PD-02"/>
    <s v="Feed Slurry Flow Transmitter for Pipe (PIPE)"/>
    <s v="Require I/O DI= 1,DO=0,AI=1,AO=0,Bus=0"/>
    <s v="FT-40202_DI_1"/>
    <x v="0"/>
    <n v="1"/>
    <n v="1"/>
    <s v="C1S03DI"/>
    <s v="C1S03DI19"/>
    <s v="C1S03,19"/>
    <s v="DI"/>
    <s v="Require I/O DI= 1,DO=0,AI=1,AO=0,Bus=0"/>
    <x v="1"/>
    <x v="1"/>
    <n v="19"/>
    <m/>
    <n v="1"/>
    <n v="0"/>
    <n v="1"/>
    <n v="0"/>
    <n v="0"/>
    <m/>
    <s v="4 - 20 mA,Pulse"/>
    <s v="x"/>
  </r>
  <r>
    <s v="=CA1+MCP-M1"/>
    <m/>
    <m/>
    <x v="5"/>
    <s v="Infeed 2nd Floor"/>
    <x v="4"/>
    <m/>
    <s v="Infeed Tank"/>
    <s v="FT-40202"/>
    <m/>
    <m/>
    <s v="Magnetic Flow Transmitter"/>
    <s v="1st"/>
    <s v="325-01-400-PD-02"/>
    <s v="3-25-01-402-PD-02"/>
    <s v="Feed Slurry Flow Transmitter for Pipe (PIPE)"/>
    <s v="Require I/O DI= 1,DO=0,AI=1,AO=0,Bus=0"/>
    <s v="FT-40202_AI_1"/>
    <x v="3"/>
    <n v="3"/>
    <n v="1"/>
    <s v="C1S09AI"/>
    <s v="C1S09AI02"/>
    <s v="C1S09,02"/>
    <s v="AI"/>
    <s v="Require I/O DI= 1,DO=0,AI=1,AO=0,Bus=0"/>
    <x v="1"/>
    <x v="8"/>
    <n v="2"/>
    <m/>
    <n v="1"/>
    <n v="0"/>
    <n v="1"/>
    <n v="0"/>
    <n v="0"/>
    <m/>
    <s v="4 - 20 mA,Pulse"/>
    <m/>
  </r>
  <r>
    <s v="=CA1+MCP-M1"/>
    <m/>
    <m/>
    <x v="5"/>
    <s v="Infeed 2nd Floor"/>
    <x v="4"/>
    <m/>
    <s v="PH Adjustment"/>
    <s v="HV-40201"/>
    <s v="1-1"/>
    <m/>
    <s v="Manual Valve With Position Switch "/>
    <s v="1st"/>
    <s v="325-01-400-PD-01"/>
    <s v="3-25-01-402-PD-01"/>
    <s v="Slurry Drain line"/>
    <s v="Require I/O DI= 1,DO=0,AI=0,AO=0,Bus=0"/>
    <s v="HV-40201_DI_1"/>
    <x v="0"/>
    <n v="1"/>
    <n v="1"/>
    <s v="C1S03DI"/>
    <s v="C1S03DI20"/>
    <s v="C1S03,20"/>
    <s v="DI"/>
    <s v="Require I/O DI= 1,DO=0,AI=0,AO=0,Bus=0"/>
    <x v="1"/>
    <x v="1"/>
    <n v="20"/>
    <m/>
    <n v="1"/>
    <n v="0"/>
    <n v="0"/>
    <n v="0"/>
    <n v="0"/>
    <m/>
    <s v="Dry Contact"/>
    <s v="x"/>
  </r>
  <r>
    <s v="=CA1+MCP-M1"/>
    <m/>
    <m/>
    <x v="5"/>
    <s v="Infeed 2nd Floor"/>
    <x v="4"/>
    <m/>
    <s v="PH Adjustment"/>
    <s v="HV-40202"/>
    <s v="1-1"/>
    <m/>
    <s v="Manual Valve With Position Switch "/>
    <s v="1st"/>
    <s v="325-01-400-PD-01"/>
    <s v="3-25-01-402-PD-01"/>
    <s v="Slurry Drain line"/>
    <s v="Require I/O DI= 1,DO=0,AI=0,AO=0,Bus=0"/>
    <s v="HV-40202_DI_1"/>
    <x v="0"/>
    <n v="1"/>
    <n v="1"/>
    <s v="C1S03DI"/>
    <s v="C1S03DI21"/>
    <s v="C1S03,21"/>
    <s v="DI"/>
    <s v="Require I/O DI= 1,DO=0,AI=0,AO=0,Bus=0"/>
    <x v="1"/>
    <x v="1"/>
    <n v="21"/>
    <m/>
    <n v="1"/>
    <n v="0"/>
    <n v="0"/>
    <n v="0"/>
    <n v="0"/>
    <m/>
    <s v="Dry Contact"/>
    <s v="x"/>
  </r>
  <r>
    <s v="=CA1+MCP-M1"/>
    <m/>
    <m/>
    <x v="5"/>
    <s v="Infeed 2nd Floor"/>
    <x v="4"/>
    <m/>
    <s v="PH Adjustment"/>
    <s v="HV-40203"/>
    <s v="1-1"/>
    <m/>
    <s v="Manual Valve With Position Switch "/>
    <s v="1st"/>
    <s v="325-01-400-PD-01"/>
    <s v="3-25-01-402-PD-01"/>
    <s v="Slurry Drain tank TS-40201"/>
    <s v="Require I/O DI= 1,DO=0,AI=0,AO=0,Bus=0"/>
    <s v="HV-40203_DI_1"/>
    <x v="0"/>
    <n v="1"/>
    <n v="1"/>
    <s v="C1S03DI"/>
    <s v="C1S03DI22"/>
    <s v="C1S03,22"/>
    <s v="DI"/>
    <s v="Require I/O DI= 1,DO=0,AI=0,AO=0,Bus=0"/>
    <x v="1"/>
    <x v="1"/>
    <n v="22"/>
    <m/>
    <n v="1"/>
    <n v="0"/>
    <n v="0"/>
    <n v="0"/>
    <n v="0"/>
    <m/>
    <s v="Dry Contact"/>
    <s v="x"/>
  </r>
  <r>
    <s v="=CA1+MCP-M1"/>
    <m/>
    <m/>
    <x v="5"/>
    <s v="Infeed 2nd Floor"/>
    <x v="4"/>
    <m/>
    <s v="PH Adjustment"/>
    <s v="HV-40204"/>
    <s v="1-1"/>
    <m/>
    <s v="Manual Valve With Position Switch "/>
    <s v="1st"/>
    <s v="325-01-400-PD-01"/>
    <s v="3-25-01-402-PD-01"/>
    <s v="Slurry Drain tank TS-40202"/>
    <s v="Require I/O DI= 1,DO=0,AI=0,AO=0,Bus=0"/>
    <s v="HV-40204_DI_1"/>
    <x v="0"/>
    <n v="1"/>
    <n v="1"/>
    <s v="C1S03DI"/>
    <s v="C1S03DI23"/>
    <s v="C1S03,23"/>
    <s v="DI"/>
    <s v="Require I/O DI= 1,DO=0,AI=0,AO=0,Bus=0"/>
    <x v="1"/>
    <x v="1"/>
    <n v="23"/>
    <m/>
    <n v="1"/>
    <n v="0"/>
    <n v="0"/>
    <n v="0"/>
    <n v="0"/>
    <m/>
    <s v="Dry Contact"/>
    <s v="x"/>
  </r>
  <r>
    <s v="=CA1+MCP-M1"/>
    <m/>
    <m/>
    <x v="5"/>
    <s v="Infeed 2nd Floor"/>
    <x v="4"/>
    <m/>
    <s v="Infeed Tank"/>
    <s v="HV-40205"/>
    <s v="1-1"/>
    <m/>
    <s v="Manual Valve With Position Switch "/>
    <s v="1st"/>
    <s v="325-01-400-PD-01"/>
    <s v="3-25-01-402-PD-02"/>
    <s v="Slurry Drain line"/>
    <s v="Require I/O DI= 1,DO=0,AI=0,AO=0,Bus=0"/>
    <s v="HV-40205_DI_1"/>
    <x v="0"/>
    <n v="1"/>
    <n v="1"/>
    <s v="C1S03DI"/>
    <s v="C1S03DI24"/>
    <s v="C1S03,24"/>
    <s v="DI"/>
    <s v="Require I/O DI= 1,DO=0,AI=0,AO=0,Bus=0"/>
    <x v="1"/>
    <x v="1"/>
    <n v="24"/>
    <m/>
    <n v="1"/>
    <n v="0"/>
    <n v="0"/>
    <n v="0"/>
    <n v="0"/>
    <m/>
    <s v="Dry Contact"/>
    <s v="x"/>
  </r>
  <r>
    <s v="=CA1+MCP-M1"/>
    <m/>
    <m/>
    <x v="5"/>
    <s v="Infeed 2nd Floor"/>
    <x v="4"/>
    <m/>
    <s v="Infeed Tank"/>
    <s v="HV-40206"/>
    <s v="1-1"/>
    <m/>
    <s v="Manual Valve With Position Switch "/>
    <s v="1st"/>
    <s v="325-01-400-PD-01"/>
    <s v="3-25-01-402-PD-02"/>
    <s v="Slurry Drain tank TS-40203"/>
    <s v="Require I/O DI= 1,DO=0,AI=0,AO=0,Bus=0"/>
    <s v="HV-40206_DI_1"/>
    <x v="0"/>
    <n v="1"/>
    <n v="1"/>
    <s v="C1S03DI"/>
    <s v="C1S03DI25"/>
    <s v="C1S03,25"/>
    <s v="DI"/>
    <s v="Require I/O DI= 1,DO=0,AI=0,AO=0,Bus=0"/>
    <x v="1"/>
    <x v="1"/>
    <n v="25"/>
    <m/>
    <n v="1"/>
    <n v="0"/>
    <n v="0"/>
    <n v="0"/>
    <n v="0"/>
    <m/>
    <s v="Dry Contact"/>
    <s v="x"/>
  </r>
  <r>
    <s v="=CA1+MCP-M1"/>
    <m/>
    <m/>
    <x v="5"/>
    <s v="Infeed 2nd Floor"/>
    <x v="4"/>
    <m/>
    <s v="PH Adjustment"/>
    <s v="LT-40201"/>
    <m/>
    <m/>
    <s v="Level Transmitter"/>
    <s v="1st"/>
    <s v="325-01-400-PD-01"/>
    <s v="3-25-01-402-PD-01"/>
    <s v="Level transmitter in pH Adjustment tank 1"/>
    <s v="Require I/O DI= 0,DO=0,AI=1,AO=0,Bus=0"/>
    <s v="LT-40201_AI_1"/>
    <x v="3"/>
    <n v="3"/>
    <n v="1"/>
    <s v="C1S09AI"/>
    <s v="C1S09AI04"/>
    <s v="C1S09,04"/>
    <s v="AI"/>
    <s v="Require I/O DI= 0,DO=0,AI=1,AO=0,Bus=0"/>
    <x v="1"/>
    <x v="8"/>
    <n v="4"/>
    <m/>
    <n v="0"/>
    <n v="0"/>
    <n v="1"/>
    <n v="0"/>
    <n v="0"/>
    <m/>
    <s v="4 - 20 mA"/>
    <m/>
  </r>
  <r>
    <s v="=CA1+MCP-M1"/>
    <m/>
    <m/>
    <x v="5"/>
    <s v="Infeed 2nd Floor"/>
    <x v="4"/>
    <m/>
    <s v="PH Adjustment"/>
    <s v="LT-40202"/>
    <m/>
    <m/>
    <s v="Level Transmitter"/>
    <s v="1st"/>
    <s v="325-01-400-PD-01"/>
    <s v="3-25-01-402-PD-01"/>
    <s v="Level transmitter in pH Adjustment tank 2"/>
    <s v="Require I/O DI= 0,DO=0,AI=1,AO=0,Bus=0"/>
    <s v="LT-40202_AI_1"/>
    <x v="3"/>
    <n v="3"/>
    <n v="1"/>
    <s v="C1S09AI"/>
    <s v="C1S09AI05"/>
    <s v="C1S09,05"/>
    <s v="AI"/>
    <s v="Require I/O DI= 0,DO=0,AI=1,AO=0,Bus=0"/>
    <x v="1"/>
    <x v="8"/>
    <n v="5"/>
    <m/>
    <n v="0"/>
    <n v="0"/>
    <n v="1"/>
    <n v="0"/>
    <n v="0"/>
    <m/>
    <s v="4 - 20 mA"/>
    <m/>
  </r>
  <r>
    <s v="=CA1+MCP-M1"/>
    <m/>
    <m/>
    <x v="5"/>
    <s v="Infeed 2nd Floor"/>
    <x v="4"/>
    <m/>
    <s v="Infeed Tank"/>
    <s v="LT-40203"/>
    <m/>
    <m/>
    <s v="Level Transmitter"/>
    <s v="1st"/>
    <s v="325-01-400-PD-02"/>
    <s v="3-25-01-402-PD-02"/>
    <s v="Level transmitter in Spray dryer infeed tank "/>
    <s v="Require I/O DI= 0,DO=0,AI=1,AO=0,Bus=0"/>
    <s v="LT-40203_AI_1"/>
    <x v="3"/>
    <n v="3"/>
    <n v="1"/>
    <s v="C1S09AI"/>
    <s v="C1S09AI03"/>
    <s v="C1S09,03"/>
    <s v="AI"/>
    <s v="Require I/O DI= 0,DO=0,AI=1,AO=0,Bus=0"/>
    <x v="1"/>
    <x v="8"/>
    <n v="3"/>
    <m/>
    <n v="0"/>
    <n v="0"/>
    <n v="1"/>
    <n v="0"/>
    <n v="0"/>
    <m/>
    <s v="4 - 20 mA"/>
    <m/>
  </r>
  <r>
    <s v="=CA1+MCP-M1"/>
    <m/>
    <m/>
    <x v="5"/>
    <s v="Infeed 2nd Floor"/>
    <x v="4"/>
    <m/>
    <s v="PH Adjustment"/>
    <s v="pHT-40201"/>
    <m/>
    <m/>
    <s v="PH Transmitter"/>
    <s v="1st"/>
    <s v="325-01-400-PD-01"/>
    <s v="3-25-01-402-PD-01"/>
    <s v="pH analyzer in pH Adjustment tank 1"/>
    <s v="Require I/O DI= 0,DO=0,AI=1,AO=0,Bus=0"/>
    <s v="pHT-40201_AI_1"/>
    <x v="3"/>
    <n v="3"/>
    <n v="1"/>
    <s v="C1S09AI"/>
    <s v="C1S09AI06"/>
    <s v="C1S09,06"/>
    <s v="AI"/>
    <s v="Require I/O DI= 0,DO=0,AI=1,AO=0,Bus=0"/>
    <x v="1"/>
    <x v="8"/>
    <n v="6"/>
    <m/>
    <n v="0"/>
    <n v="0"/>
    <n v="1"/>
    <n v="0"/>
    <n v="0"/>
    <m/>
    <s v="4 - 20 mA"/>
    <m/>
  </r>
  <r>
    <s v="=CA1+MCP-M1"/>
    <m/>
    <m/>
    <x v="5"/>
    <s v="Infeed 2nd Floor"/>
    <x v="4"/>
    <m/>
    <s v="PH Adjustment"/>
    <s v="pHT-40202"/>
    <m/>
    <m/>
    <s v="PH Transmitter"/>
    <s v="1st"/>
    <s v="325-01-400-PD-01"/>
    <s v="3-25-01-402-PD-01"/>
    <s v="pH analyzer in pH Adjustment tank 2"/>
    <s v="Require I/O DI= 0,DO=0,AI=1,AO=0,Bus=0"/>
    <s v="pHT-40202_AI_1"/>
    <x v="3"/>
    <n v="3"/>
    <n v="1"/>
    <s v="C1S09AI"/>
    <s v="C1S09AI07"/>
    <s v="C1S09,07"/>
    <s v="AI"/>
    <s v="Require I/O DI= 0,DO=0,AI=1,AO=0,Bus=0"/>
    <x v="1"/>
    <x v="8"/>
    <n v="7"/>
    <m/>
    <n v="0"/>
    <n v="0"/>
    <n v="1"/>
    <n v="0"/>
    <n v="0"/>
    <m/>
    <s v="4 - 20 mA"/>
    <m/>
  </r>
  <r>
    <s v="=CA1+MCP-M1"/>
    <m/>
    <m/>
    <x v="5"/>
    <s v="Infeed 2nd Floor"/>
    <x v="4"/>
    <m/>
    <s v="Infeed Tank"/>
    <s v="PT-40201"/>
    <m/>
    <m/>
    <s v="Pressure Transmitter"/>
    <s v="1st"/>
    <s v="325-01-400-PD-02"/>
    <s v="3-25-01-402-PD-02"/>
    <s v="Pressure Transmitter  for Inlet Filter Strainer (FSTR-11)"/>
    <s v="Require I/O DI= 0,DO=0,AI=1,AO=0,Bus=0"/>
    <s v="PT-40201_AI_1"/>
    <x v="3"/>
    <n v="3"/>
    <n v="1"/>
    <s v="C1S09AI"/>
    <s v="C1S09AI08"/>
    <s v="C1S09,08"/>
    <s v="AI"/>
    <s v="Require I/O DI= 0,DO=0,AI=1,AO=0,Bus=0"/>
    <x v="1"/>
    <x v="8"/>
    <n v="8"/>
    <m/>
    <n v="0"/>
    <n v="0"/>
    <n v="1"/>
    <n v="0"/>
    <n v="0"/>
    <m/>
    <s v="4 - 20 mA"/>
    <m/>
  </r>
  <r>
    <s v="=CA1+MCP-M1"/>
    <m/>
    <m/>
    <x v="5"/>
    <s v="Infeed 2nd Floor"/>
    <x v="4"/>
    <m/>
    <s v="Infeed Tank"/>
    <s v="PT-40202"/>
    <m/>
    <m/>
    <s v="Pressure Transmitter"/>
    <s v="1st"/>
    <s v="325-01-400-PD-02"/>
    <s v="3-25-01-402-PD-02"/>
    <s v="Feed Slurry Pressure Transmitter for Pipe (PIPE)"/>
    <s v="Require I/O DI= 0,DO=0,AI=1,AO=0,Bus=0"/>
    <s v="PT-40202_AI_1"/>
    <x v="3"/>
    <n v="3"/>
    <n v="1"/>
    <s v="C1S09AI"/>
    <s v="C1S09AI09"/>
    <s v="C1S09,09"/>
    <s v="AI"/>
    <s v="Require I/O DI= 0,DO=0,AI=1,AO=0,Bus=0"/>
    <x v="1"/>
    <x v="8"/>
    <n v="9"/>
    <m/>
    <n v="0"/>
    <n v="0"/>
    <n v="1"/>
    <n v="0"/>
    <n v="0"/>
    <m/>
    <s v="4 - 20 mA"/>
    <m/>
  </r>
  <r>
    <s v="=CA1+MCP-M1"/>
    <m/>
    <m/>
    <x v="5"/>
    <s v="Infeed 2nd Floor"/>
    <x v="4"/>
    <m/>
    <s v="Infeed Tank"/>
    <s v="PT-60202"/>
    <m/>
    <m/>
    <s v="Pressure Transmitter"/>
    <s v="1st"/>
    <s v="325-01-600-PD-01"/>
    <s v="3-25-01-602-PD-01"/>
    <s v="Feed Slurry Pressure Transmitter for High Pressure Pump Outlet (PUPD-11)"/>
    <s v="Require I/O DI= 0,DO=0,AI=1,AO=0,Bus=0"/>
    <s v="PT-60202_AI_1"/>
    <x v="3"/>
    <n v="3"/>
    <n v="1"/>
    <s v="C1S09AI"/>
    <s v="C1S09AI10"/>
    <s v="C1S09,10"/>
    <s v="AI"/>
    <s v="Require I/O DI= 0,DO=0,AI=1,AO=0,Bus=0"/>
    <x v="1"/>
    <x v="8"/>
    <n v="10"/>
    <m/>
    <n v="0"/>
    <n v="0"/>
    <n v="1"/>
    <n v="0"/>
    <n v="0"/>
    <m/>
    <s v="4 - 20 mA"/>
    <m/>
  </r>
  <r>
    <s v="=CA1+MCP-M1"/>
    <m/>
    <m/>
    <x v="5"/>
    <s v="Infeed 2nd Floor"/>
    <x v="4"/>
    <m/>
    <s v="JB-401"/>
    <s v="Spare"/>
    <s v="1-1"/>
    <m/>
    <e v="#N/A"/>
    <m/>
    <m/>
    <m/>
    <e v="#N/A"/>
    <s v="Require I/O DI= 0,DO=0,AI=0,AO=0,Bus=0"/>
    <s v="Spare_DI_1"/>
    <x v="0"/>
    <n v="1"/>
    <n v="1"/>
    <s v="C1S03DI"/>
    <s v="C1S03DI26"/>
    <s v="C1S03,26"/>
    <s v="DI"/>
    <s v="Require I/O DI= 0,DO=0,AI=0,AO=0,Bus=0"/>
    <x v="1"/>
    <x v="1"/>
    <n v="26"/>
    <m/>
    <n v="0"/>
    <n v="0"/>
    <n v="0"/>
    <n v="0"/>
    <n v="0"/>
    <m/>
    <e v="#N/A"/>
    <s v="x"/>
  </r>
  <r>
    <s v="=CA1+MCP-M1"/>
    <m/>
    <m/>
    <x v="5"/>
    <s v="Infeed 2nd Floor"/>
    <x v="4"/>
    <m/>
    <s v="JB-401"/>
    <s v="Spare"/>
    <s v="1-1"/>
    <m/>
    <e v="#N/A"/>
    <m/>
    <m/>
    <m/>
    <e v="#N/A"/>
    <s v="Require I/O DI= 0,DO=0,AI=0,AO=0,Bus=0"/>
    <s v="Spare_DI_1"/>
    <x v="0"/>
    <n v="1"/>
    <n v="1"/>
    <s v="C1S03DI"/>
    <s v="C1S03DI27"/>
    <s v="C1S03,27"/>
    <s v="DI"/>
    <s v="Require I/O DI= 0,DO=0,AI=0,AO=0,Bus=0"/>
    <x v="1"/>
    <x v="1"/>
    <n v="27"/>
    <m/>
    <n v="0"/>
    <n v="0"/>
    <n v="0"/>
    <n v="0"/>
    <n v="0"/>
    <m/>
    <e v="#N/A"/>
    <s v="x"/>
  </r>
  <r>
    <s v="=CA1+MCP-M1"/>
    <m/>
    <m/>
    <x v="5"/>
    <s v="Infeed 2nd Floor"/>
    <x v="4"/>
    <m/>
    <s v="JB-401"/>
    <s v="Spare"/>
    <s v="1-1"/>
    <m/>
    <e v="#N/A"/>
    <m/>
    <m/>
    <m/>
    <e v="#N/A"/>
    <s v="Require I/O DI= 0,DO=0,AI=0,AO=0,Bus=0"/>
    <s v="Spare_DI_1"/>
    <x v="0"/>
    <n v="1"/>
    <n v="1"/>
    <s v="C1S03DI"/>
    <s v="C1S03DI28"/>
    <s v="C1S03,28"/>
    <s v="DI"/>
    <s v="Require I/O DI= 0,DO=0,AI=0,AO=0,Bus=0"/>
    <x v="1"/>
    <x v="1"/>
    <n v="28"/>
    <m/>
    <n v="0"/>
    <n v="0"/>
    <n v="0"/>
    <n v="0"/>
    <n v="0"/>
    <m/>
    <e v="#N/A"/>
    <s v="x"/>
  </r>
  <r>
    <s v="=CA1+MCP-M1"/>
    <m/>
    <m/>
    <x v="5"/>
    <s v="Infeed 2nd Floor"/>
    <x v="4"/>
    <m/>
    <s v="JB-401"/>
    <s v="Spare"/>
    <s v="1-1"/>
    <m/>
    <e v="#N/A"/>
    <m/>
    <m/>
    <m/>
    <e v="#N/A"/>
    <s v="Require I/O DI= 0,DO=0,AI=0,AO=0,Bus=0"/>
    <s v="Spare_DI_1"/>
    <x v="0"/>
    <n v="1"/>
    <n v="1"/>
    <s v="C1S03DI"/>
    <s v="C1S03DI29"/>
    <s v="C1S03,29"/>
    <s v="DI"/>
    <s v="Require I/O DI= 0,DO=0,AI=0,AO=0,Bus=0"/>
    <x v="1"/>
    <x v="1"/>
    <n v="29"/>
    <m/>
    <n v="0"/>
    <n v="0"/>
    <n v="0"/>
    <n v="0"/>
    <n v="0"/>
    <m/>
    <e v="#N/A"/>
    <s v="x"/>
  </r>
  <r>
    <s v="=CA1+MCP-M1"/>
    <m/>
    <m/>
    <x v="5"/>
    <s v="Infeed 2nd Floor"/>
    <x v="4"/>
    <m/>
    <s v="JB-401"/>
    <s v="Spare"/>
    <s v="1-1"/>
    <m/>
    <e v="#N/A"/>
    <m/>
    <m/>
    <m/>
    <e v="#N/A"/>
    <s v="Require I/O DI= 0,DO=0,AI=0,AO=0,Bus=0"/>
    <s v="Spare_DI_1"/>
    <x v="0"/>
    <n v="1"/>
    <n v="1"/>
    <s v="C1S03DI"/>
    <s v="C1S03DI30"/>
    <s v="C1S03,30"/>
    <s v="DI"/>
    <s v="Require I/O DI= 0,DO=0,AI=0,AO=0,Bus=0"/>
    <x v="1"/>
    <x v="1"/>
    <n v="30"/>
    <m/>
    <n v="0"/>
    <n v="0"/>
    <n v="0"/>
    <n v="0"/>
    <n v="0"/>
    <m/>
    <e v="#N/A"/>
    <s v="x"/>
  </r>
  <r>
    <s v="=CA1+MCP-M1"/>
    <m/>
    <m/>
    <x v="5"/>
    <s v="Infeed 2nd Floor"/>
    <x v="4"/>
    <m/>
    <s v="JB-401"/>
    <s v="Spare"/>
    <s v="1-1"/>
    <m/>
    <e v="#N/A"/>
    <m/>
    <m/>
    <m/>
    <e v="#N/A"/>
    <s v="Require I/O DI= 0,DO=0,AI=0,AO=0,Bus=0"/>
    <s v="Spare_DI_1"/>
    <x v="0"/>
    <n v="1"/>
    <n v="1"/>
    <s v="C1S03DI"/>
    <s v="C1S03DI31"/>
    <s v="C1S03,31"/>
    <s v="DI"/>
    <s v="Require I/O DI= 0,DO=0,AI=0,AO=0,Bus=0"/>
    <x v="1"/>
    <x v="1"/>
    <n v="31"/>
    <m/>
    <n v="0"/>
    <n v="0"/>
    <n v="0"/>
    <n v="0"/>
    <n v="0"/>
    <m/>
    <e v="#N/A"/>
    <s v="x"/>
  </r>
  <r>
    <s v="=CA1+MCP-M1"/>
    <m/>
    <m/>
    <x v="5"/>
    <s v="Infeed 2nd Floor"/>
    <x v="4"/>
    <m/>
    <m/>
    <s v="Spare"/>
    <m/>
    <m/>
    <e v="#N/A"/>
    <m/>
    <m/>
    <m/>
    <e v="#N/A"/>
    <s v="Require I/O DI= 0,DO=0,AI=0,AO=0,Bus=0"/>
    <s v="Spare_DO_0"/>
    <x v="1"/>
    <n v="2"/>
    <n v="0"/>
    <s v="C1S07DO"/>
    <s v="C1S07DO08"/>
    <s v="C1S07,08"/>
    <s v="DO"/>
    <s v="Require I/O DI= 0,DO=0,AI=0,AO=0,Bus=0"/>
    <x v="1"/>
    <x v="7"/>
    <n v="8"/>
    <m/>
    <n v="0"/>
    <n v="0"/>
    <n v="0"/>
    <n v="0"/>
    <n v="0"/>
    <m/>
    <e v="#N/A"/>
    <m/>
  </r>
  <r>
    <s v="=CA1+MCP-M1"/>
    <m/>
    <m/>
    <x v="5"/>
    <s v="Infeed 2nd Floor"/>
    <x v="4"/>
    <m/>
    <m/>
    <s v="Spare"/>
    <m/>
    <m/>
    <e v="#N/A"/>
    <m/>
    <m/>
    <m/>
    <e v="#N/A"/>
    <s v="Require I/O DI= 0,DO=0,AI=0,AO=0,Bus=0"/>
    <s v="Spare_DO_0"/>
    <x v="1"/>
    <n v="2"/>
    <n v="0"/>
    <s v="C1S07DO"/>
    <s v="C1S07DO09"/>
    <s v="C1S07,09"/>
    <s v="DO"/>
    <s v="Require I/O DI= 0,DO=0,AI=0,AO=0,Bus=0"/>
    <x v="1"/>
    <x v="7"/>
    <n v="9"/>
    <m/>
    <n v="0"/>
    <n v="0"/>
    <n v="0"/>
    <n v="0"/>
    <n v="0"/>
    <m/>
    <e v="#N/A"/>
    <m/>
  </r>
  <r>
    <s v="=CA1+MCP-M1"/>
    <m/>
    <m/>
    <x v="5"/>
    <s v="Infeed 2nd Floor"/>
    <x v="4"/>
    <m/>
    <m/>
    <s v="Spare"/>
    <m/>
    <m/>
    <e v="#N/A"/>
    <m/>
    <m/>
    <m/>
    <e v="#N/A"/>
    <s v="Require I/O DI= 0,DO=0,AI=0,AO=0,Bus=0"/>
    <s v="Spare_DO_0"/>
    <x v="1"/>
    <n v="2"/>
    <n v="0"/>
    <s v="C1S07DO"/>
    <s v="C1S07DO10"/>
    <s v="C1S07,10"/>
    <s v="DO"/>
    <s v="Require I/O DI= 0,DO=0,AI=0,AO=0,Bus=0"/>
    <x v="1"/>
    <x v="7"/>
    <n v="10"/>
    <m/>
    <n v="0"/>
    <n v="0"/>
    <n v="0"/>
    <n v="0"/>
    <n v="0"/>
    <m/>
    <e v="#N/A"/>
    <m/>
  </r>
  <r>
    <s v="=CA1+MCP-M1"/>
    <m/>
    <m/>
    <x v="5"/>
    <s v="Infeed 2nd Floor"/>
    <x v="4"/>
    <m/>
    <m/>
    <s v="Spare"/>
    <m/>
    <m/>
    <e v="#N/A"/>
    <m/>
    <m/>
    <m/>
    <e v="#N/A"/>
    <s v="Require I/O DI= 0,DO=0,AI=0,AO=0,Bus=0"/>
    <s v="Spare_DO_0"/>
    <x v="1"/>
    <n v="2"/>
    <n v="0"/>
    <s v="C1S07DO"/>
    <s v="C1S07DO11"/>
    <s v="C1S07,11"/>
    <s v="DO"/>
    <s v="Require I/O DI= 0,DO=0,AI=0,AO=0,Bus=0"/>
    <x v="1"/>
    <x v="7"/>
    <n v="11"/>
    <m/>
    <n v="0"/>
    <n v="0"/>
    <n v="0"/>
    <n v="0"/>
    <n v="0"/>
    <m/>
    <e v="#N/A"/>
    <m/>
  </r>
  <r>
    <s v="=CA1+MCP-M1"/>
    <m/>
    <m/>
    <x v="5"/>
    <s v="Infeed 2nd Floor"/>
    <x v="4"/>
    <m/>
    <m/>
    <s v="Spare"/>
    <m/>
    <m/>
    <e v="#N/A"/>
    <m/>
    <m/>
    <m/>
    <e v="#N/A"/>
    <s v="Require I/O DI= 0,DO=0,AI=0,AO=0,Bus=0"/>
    <s v="Spare_DO_0"/>
    <x v="1"/>
    <n v="2"/>
    <n v="0"/>
    <s v="C1S07DO"/>
    <s v="C1S07DO12"/>
    <s v="C1S07,12"/>
    <s v="DO"/>
    <s v="Require I/O DI= 0,DO=0,AI=0,AO=0,Bus=0"/>
    <x v="1"/>
    <x v="7"/>
    <n v="12"/>
    <m/>
    <n v="0"/>
    <n v="0"/>
    <n v="0"/>
    <n v="0"/>
    <n v="0"/>
    <m/>
    <e v="#N/A"/>
    <m/>
  </r>
  <r>
    <s v="=CA1+MCP-M1"/>
    <m/>
    <m/>
    <x v="5"/>
    <s v="Infeed 2nd Floor"/>
    <x v="4"/>
    <m/>
    <m/>
    <s v="Spare"/>
    <m/>
    <m/>
    <e v="#N/A"/>
    <m/>
    <m/>
    <m/>
    <e v="#N/A"/>
    <s v="Require I/O DI= 0,DO=0,AI=0,AO=0,Bus=0"/>
    <s v="Spare_DO_0"/>
    <x v="1"/>
    <n v="2"/>
    <n v="0"/>
    <s v="C1S07DO"/>
    <s v="C1S07DO13"/>
    <s v="C1S07,13"/>
    <s v="DO"/>
    <s v="Require I/O DI= 0,DO=0,AI=0,AO=0,Bus=0"/>
    <x v="1"/>
    <x v="7"/>
    <n v="13"/>
    <m/>
    <n v="0"/>
    <n v="0"/>
    <n v="0"/>
    <n v="0"/>
    <n v="0"/>
    <m/>
    <e v="#N/A"/>
    <m/>
  </r>
  <r>
    <s v="=CA1+MCP-M1"/>
    <m/>
    <m/>
    <x v="5"/>
    <s v="Infeed 2nd Floor"/>
    <x v="4"/>
    <m/>
    <m/>
    <s v="Spare"/>
    <m/>
    <m/>
    <e v="#N/A"/>
    <m/>
    <m/>
    <m/>
    <e v="#N/A"/>
    <s v="Require I/O DI= 0,DO=0,AI=0,AO=0,Bus=0"/>
    <s v="Spare_DO_0"/>
    <x v="1"/>
    <n v="2"/>
    <n v="0"/>
    <s v="C1S07DO"/>
    <s v="C1S07DO14"/>
    <s v="C1S07,14"/>
    <s v="DO"/>
    <s v="Require I/O DI= 0,DO=0,AI=0,AO=0,Bus=0"/>
    <x v="1"/>
    <x v="7"/>
    <n v="14"/>
    <m/>
    <n v="0"/>
    <n v="0"/>
    <n v="0"/>
    <n v="0"/>
    <n v="0"/>
    <m/>
    <e v="#N/A"/>
    <m/>
  </r>
  <r>
    <s v="=CA1+MCP-M1"/>
    <m/>
    <m/>
    <x v="5"/>
    <s v="Infeed 2nd Floor"/>
    <x v="4"/>
    <m/>
    <m/>
    <s v="Spare"/>
    <m/>
    <m/>
    <e v="#N/A"/>
    <m/>
    <m/>
    <m/>
    <e v="#N/A"/>
    <s v="Require I/O DI= 0,DO=0,AI=0,AO=0,Bus=0"/>
    <s v="Spare_DO_0"/>
    <x v="1"/>
    <n v="2"/>
    <n v="0"/>
    <s v="C1S07DO"/>
    <s v="C1S07DO15"/>
    <s v="C1S07,15"/>
    <s v="DO"/>
    <s v="Require I/O DI= 0,DO=0,AI=0,AO=0,Bus=0"/>
    <x v="1"/>
    <x v="7"/>
    <n v="15"/>
    <m/>
    <n v="0"/>
    <n v="0"/>
    <n v="0"/>
    <n v="0"/>
    <n v="0"/>
    <m/>
    <e v="#N/A"/>
    <m/>
  </r>
  <r>
    <s v="=CA1+MCP-M1"/>
    <m/>
    <m/>
    <x v="5"/>
    <s v="Infeed 2nd Floor"/>
    <x v="4"/>
    <m/>
    <m/>
    <s v="Spare"/>
    <m/>
    <m/>
    <e v="#N/A"/>
    <m/>
    <m/>
    <m/>
    <e v="#N/A"/>
    <s v="Require I/O DI= 0,DO=0,AI=0,AO=0,Bus=0"/>
    <s v="Spare_DO_0"/>
    <x v="1"/>
    <n v="2"/>
    <n v="0"/>
    <s v="C1S07DO"/>
    <s v="C1S07DO16"/>
    <s v="C1S07,16"/>
    <s v="DO"/>
    <s v="Require I/O DI= 0,DO=0,AI=0,AO=0,Bus=0"/>
    <x v="1"/>
    <x v="7"/>
    <n v="16"/>
    <m/>
    <n v="0"/>
    <n v="0"/>
    <n v="0"/>
    <n v="0"/>
    <n v="0"/>
    <m/>
    <e v="#N/A"/>
    <m/>
  </r>
  <r>
    <s v="=CA1+MCP-M1"/>
    <m/>
    <m/>
    <x v="5"/>
    <s v="Infeed 2nd Floor"/>
    <x v="4"/>
    <m/>
    <m/>
    <s v="Spare"/>
    <m/>
    <m/>
    <e v="#N/A"/>
    <m/>
    <m/>
    <m/>
    <e v="#N/A"/>
    <s v="Require I/O DI= 0,DO=0,AI=0,AO=0,Bus=0"/>
    <s v="Spare_DO_0"/>
    <x v="1"/>
    <n v="2"/>
    <n v="0"/>
    <s v="C1S07DO"/>
    <s v="C1S07DO17"/>
    <s v="C1S07,17"/>
    <s v="DO"/>
    <s v="Require I/O DI= 0,DO=0,AI=0,AO=0,Bus=0"/>
    <x v="1"/>
    <x v="7"/>
    <n v="17"/>
    <m/>
    <n v="0"/>
    <n v="0"/>
    <n v="0"/>
    <n v="0"/>
    <n v="0"/>
    <m/>
    <e v="#N/A"/>
    <m/>
  </r>
  <r>
    <s v="=CA1+MCP-M1"/>
    <m/>
    <m/>
    <x v="5"/>
    <s v="Infeed 2nd Floor"/>
    <x v="4"/>
    <m/>
    <m/>
    <s v="Spare"/>
    <m/>
    <m/>
    <e v="#N/A"/>
    <m/>
    <m/>
    <m/>
    <e v="#N/A"/>
    <s v="Require I/O DI= 0,DO=0,AI=0,AO=0,Bus=0"/>
    <s v="Spare_DO_0"/>
    <x v="1"/>
    <n v="2"/>
    <n v="0"/>
    <s v="C1S07DO"/>
    <s v="C1S07DO18"/>
    <s v="C1S07,18"/>
    <s v="DO"/>
    <s v="Require I/O DI= 0,DO=0,AI=0,AO=0,Bus=0"/>
    <x v="1"/>
    <x v="7"/>
    <n v="18"/>
    <m/>
    <n v="0"/>
    <n v="0"/>
    <n v="0"/>
    <n v="0"/>
    <n v="0"/>
    <m/>
    <e v="#N/A"/>
    <m/>
  </r>
  <r>
    <s v="=CA1+MCP-M1"/>
    <m/>
    <m/>
    <x v="5"/>
    <s v="Infeed 2nd Floor"/>
    <x v="4"/>
    <m/>
    <m/>
    <s v="Spare"/>
    <m/>
    <m/>
    <e v="#N/A"/>
    <m/>
    <m/>
    <m/>
    <e v="#N/A"/>
    <s v="Require I/O DI= 0,DO=0,AI=0,AO=0,Bus=0"/>
    <s v="Spare_DO_0"/>
    <x v="1"/>
    <n v="2"/>
    <n v="0"/>
    <s v="C1S07DO"/>
    <s v="C1S07DO19"/>
    <s v="C1S07,19"/>
    <s v="DO"/>
    <s v="Require I/O DI= 0,DO=0,AI=0,AO=0,Bus=0"/>
    <x v="1"/>
    <x v="7"/>
    <n v="19"/>
    <m/>
    <n v="0"/>
    <n v="0"/>
    <n v="0"/>
    <n v="0"/>
    <n v="0"/>
    <m/>
    <e v="#N/A"/>
    <m/>
  </r>
  <r>
    <s v="=CA1+MCP-M1"/>
    <m/>
    <m/>
    <x v="5"/>
    <s v="Infeed 2nd Floor"/>
    <x v="4"/>
    <m/>
    <m/>
    <s v="Spare"/>
    <m/>
    <m/>
    <e v="#N/A"/>
    <m/>
    <m/>
    <m/>
    <e v="#N/A"/>
    <s v="Require I/O DI= 0,DO=0,AI=0,AO=0,Bus=0"/>
    <s v="Spare_DO_0"/>
    <x v="1"/>
    <n v="2"/>
    <n v="0"/>
    <s v="C1S07DO"/>
    <s v="C1S07DO20"/>
    <s v="C1S07,20"/>
    <s v="DO"/>
    <s v="Require I/O DI= 0,DO=0,AI=0,AO=0,Bus=0"/>
    <x v="1"/>
    <x v="7"/>
    <n v="20"/>
    <m/>
    <n v="0"/>
    <n v="0"/>
    <n v="0"/>
    <n v="0"/>
    <n v="0"/>
    <m/>
    <e v="#N/A"/>
    <m/>
  </r>
  <r>
    <s v="=CA1+MCP-M1"/>
    <m/>
    <m/>
    <x v="5"/>
    <s v="Infeed 2nd Floor"/>
    <x v="4"/>
    <m/>
    <m/>
    <s v="Spare"/>
    <m/>
    <m/>
    <e v="#N/A"/>
    <m/>
    <m/>
    <m/>
    <e v="#N/A"/>
    <s v="Require I/O DI= 0,DO=0,AI=0,AO=0,Bus=0"/>
    <s v="Spare_DO_0"/>
    <x v="1"/>
    <n v="2"/>
    <n v="0"/>
    <s v="C1S07DO"/>
    <s v="C1S07DO21"/>
    <s v="C1S07,21"/>
    <s v="DO"/>
    <s v="Require I/O DI= 0,DO=0,AI=0,AO=0,Bus=0"/>
    <x v="1"/>
    <x v="7"/>
    <n v="21"/>
    <m/>
    <n v="0"/>
    <n v="0"/>
    <n v="0"/>
    <n v="0"/>
    <n v="0"/>
    <m/>
    <e v="#N/A"/>
    <m/>
  </r>
  <r>
    <s v="=CA1+MCP-M1"/>
    <m/>
    <m/>
    <x v="5"/>
    <s v="Infeed 2nd Floor"/>
    <x v="4"/>
    <m/>
    <m/>
    <s v="Spare"/>
    <m/>
    <m/>
    <e v="#N/A"/>
    <m/>
    <m/>
    <m/>
    <e v="#N/A"/>
    <s v="Require I/O DI= 0,DO=0,AI=0,AO=0,Bus=0"/>
    <s v="Spare_DO_0"/>
    <x v="1"/>
    <n v="2"/>
    <n v="0"/>
    <s v="C1S07DO"/>
    <s v="C1S07DO22"/>
    <s v="C1S07,22"/>
    <s v="DO"/>
    <s v="Require I/O DI= 0,DO=0,AI=0,AO=0,Bus=0"/>
    <x v="1"/>
    <x v="7"/>
    <n v="22"/>
    <m/>
    <n v="0"/>
    <n v="0"/>
    <n v="0"/>
    <n v="0"/>
    <n v="0"/>
    <m/>
    <e v="#N/A"/>
    <m/>
  </r>
  <r>
    <s v="=CA1+MCP-M1"/>
    <m/>
    <m/>
    <x v="5"/>
    <s v="Infeed 2nd Floor"/>
    <x v="4"/>
    <m/>
    <m/>
    <s v="Spare"/>
    <m/>
    <m/>
    <e v="#N/A"/>
    <m/>
    <m/>
    <m/>
    <e v="#N/A"/>
    <s v="Require I/O DI= 0,DO=0,AI=0,AO=0,Bus=0"/>
    <s v="Spare_DO_0"/>
    <x v="1"/>
    <n v="2"/>
    <n v="0"/>
    <s v="C1S07DO"/>
    <s v="C1S07DO23"/>
    <s v="C1S07,23"/>
    <s v="DO"/>
    <s v="Require I/O DI= 0,DO=0,AI=0,AO=0,Bus=0"/>
    <x v="1"/>
    <x v="7"/>
    <n v="23"/>
    <m/>
    <n v="0"/>
    <n v="0"/>
    <n v="0"/>
    <n v="0"/>
    <n v="0"/>
    <m/>
    <e v="#N/A"/>
    <m/>
  </r>
  <r>
    <s v="=CA1+MCP-M1"/>
    <m/>
    <m/>
    <x v="5"/>
    <s v="Infeed 2nd Floor"/>
    <x v="4"/>
    <m/>
    <m/>
    <s v="Spare"/>
    <m/>
    <m/>
    <e v="#N/A"/>
    <m/>
    <m/>
    <m/>
    <e v="#N/A"/>
    <s v="Require I/O DI= 0,DO=0,AI=0,AO=0,Bus=0"/>
    <s v="Spare_DO_0"/>
    <x v="1"/>
    <n v="2"/>
    <n v="0"/>
    <s v="C1S07DO"/>
    <s v="C1S07DO24"/>
    <s v="C1S07,24"/>
    <s v="DO"/>
    <s v="Require I/O DI= 0,DO=0,AI=0,AO=0,Bus=0"/>
    <x v="1"/>
    <x v="7"/>
    <n v="24"/>
    <m/>
    <n v="0"/>
    <n v="0"/>
    <n v="0"/>
    <n v="0"/>
    <n v="0"/>
    <m/>
    <e v="#N/A"/>
    <m/>
  </r>
  <r>
    <s v="=CA1+MCP-M1"/>
    <m/>
    <m/>
    <x v="5"/>
    <s v="Infeed 2nd Floor"/>
    <x v="4"/>
    <m/>
    <m/>
    <s v="Spare"/>
    <m/>
    <m/>
    <e v="#N/A"/>
    <m/>
    <m/>
    <m/>
    <e v="#N/A"/>
    <s v="Require I/O DI= 0,DO=0,AI=0,AO=0,Bus=0"/>
    <s v="Spare_DO_0"/>
    <x v="1"/>
    <n v="2"/>
    <n v="0"/>
    <s v="C1S07DO"/>
    <s v="C1S07DO25"/>
    <s v="C1S07,25"/>
    <s v="DO"/>
    <s v="Require I/O DI= 0,DO=0,AI=0,AO=0,Bus=0"/>
    <x v="1"/>
    <x v="7"/>
    <n v="25"/>
    <m/>
    <n v="0"/>
    <n v="0"/>
    <n v="0"/>
    <n v="0"/>
    <n v="0"/>
    <m/>
    <e v="#N/A"/>
    <m/>
  </r>
  <r>
    <s v="=CA1+MCP-M1"/>
    <m/>
    <m/>
    <x v="5"/>
    <s v="Infeed 2nd Floor"/>
    <x v="4"/>
    <m/>
    <m/>
    <s v="Spare"/>
    <m/>
    <m/>
    <e v="#N/A"/>
    <m/>
    <m/>
    <m/>
    <e v="#N/A"/>
    <s v="Require I/O DI= 0,DO=0,AI=0,AO=0,Bus=0"/>
    <s v="Spare_DO_0"/>
    <x v="1"/>
    <n v="2"/>
    <n v="0"/>
    <s v="C1S07DO"/>
    <s v="C1S07DO26"/>
    <s v="C1S07,26"/>
    <s v="DO"/>
    <s v="Require I/O DI= 0,DO=0,AI=0,AO=0,Bus=0"/>
    <x v="1"/>
    <x v="7"/>
    <n v="26"/>
    <m/>
    <n v="0"/>
    <n v="0"/>
    <n v="0"/>
    <n v="0"/>
    <n v="0"/>
    <m/>
    <e v="#N/A"/>
    <m/>
  </r>
  <r>
    <s v="=CA1+MCP-M1"/>
    <m/>
    <m/>
    <x v="5"/>
    <s v="Infeed 2nd Floor"/>
    <x v="4"/>
    <m/>
    <m/>
    <s v="Spare"/>
    <m/>
    <m/>
    <e v="#N/A"/>
    <m/>
    <m/>
    <m/>
    <e v="#N/A"/>
    <s v="Require I/O DI= 0,DO=0,AI=0,AO=0,Bus=0"/>
    <s v="Spare_DO_0"/>
    <x v="1"/>
    <n v="2"/>
    <n v="0"/>
    <s v="C1S07DO"/>
    <s v="C1S07DO27"/>
    <s v="C1S07,27"/>
    <s v="DO"/>
    <s v="Require I/O DI= 0,DO=0,AI=0,AO=0,Bus=0"/>
    <x v="1"/>
    <x v="7"/>
    <n v="27"/>
    <m/>
    <n v="0"/>
    <n v="0"/>
    <n v="0"/>
    <n v="0"/>
    <n v="0"/>
    <m/>
    <e v="#N/A"/>
    <m/>
  </r>
  <r>
    <s v="=CA1+MCP-M1"/>
    <m/>
    <m/>
    <x v="5"/>
    <s v="Infeed 2nd Floor"/>
    <x v="4"/>
    <m/>
    <m/>
    <s v="Spare"/>
    <m/>
    <m/>
    <e v="#N/A"/>
    <m/>
    <m/>
    <m/>
    <e v="#N/A"/>
    <s v="Require I/O DI= 0,DO=0,AI=0,AO=0,Bus=0"/>
    <s v="Spare_DO_0"/>
    <x v="1"/>
    <n v="2"/>
    <n v="0"/>
    <s v="C1S07DO"/>
    <s v="C1S07DO28"/>
    <s v="C1S07,28"/>
    <s v="DO"/>
    <s v="Require I/O DI= 0,DO=0,AI=0,AO=0,Bus=0"/>
    <x v="1"/>
    <x v="7"/>
    <n v="28"/>
    <m/>
    <n v="0"/>
    <n v="0"/>
    <n v="0"/>
    <n v="0"/>
    <n v="0"/>
    <m/>
    <e v="#N/A"/>
    <m/>
  </r>
  <r>
    <s v="=CA1+MCP-M1"/>
    <m/>
    <m/>
    <x v="5"/>
    <s v="Infeed 2nd Floor"/>
    <x v="4"/>
    <m/>
    <m/>
    <s v="Spare"/>
    <m/>
    <m/>
    <e v="#N/A"/>
    <m/>
    <m/>
    <m/>
    <e v="#N/A"/>
    <s v="Require I/O DI= 0,DO=0,AI=0,AO=0,Bus=0"/>
    <s v="Spare_DO_0"/>
    <x v="1"/>
    <n v="2"/>
    <n v="0"/>
    <s v="C1S07DO"/>
    <s v="C1S07DO29"/>
    <s v="C1S07,29"/>
    <s v="DO"/>
    <s v="Require I/O DI= 0,DO=0,AI=0,AO=0,Bus=0"/>
    <x v="1"/>
    <x v="7"/>
    <n v="29"/>
    <m/>
    <n v="0"/>
    <n v="0"/>
    <n v="0"/>
    <n v="0"/>
    <n v="0"/>
    <m/>
    <e v="#N/A"/>
    <m/>
  </r>
  <r>
    <s v="=CA1+MCP-M1"/>
    <m/>
    <m/>
    <x v="5"/>
    <s v="Infeed 2nd Floor"/>
    <x v="4"/>
    <m/>
    <m/>
    <s v="Spare"/>
    <m/>
    <m/>
    <e v="#N/A"/>
    <m/>
    <m/>
    <m/>
    <e v="#N/A"/>
    <s v="Require I/O DI= 0,DO=0,AI=0,AO=0,Bus=0"/>
    <s v="Spare_DO_0"/>
    <x v="1"/>
    <n v="2"/>
    <n v="0"/>
    <s v="C1S07DO"/>
    <s v="C1S07DO30"/>
    <s v="C1S07,30"/>
    <s v="DO"/>
    <s v="Require I/O DI= 0,DO=0,AI=0,AO=0,Bus=0"/>
    <x v="1"/>
    <x v="7"/>
    <n v="30"/>
    <m/>
    <n v="0"/>
    <n v="0"/>
    <n v="0"/>
    <n v="0"/>
    <n v="0"/>
    <m/>
    <e v="#N/A"/>
    <m/>
  </r>
  <r>
    <s v="=CA1+MCP-M1"/>
    <m/>
    <m/>
    <x v="5"/>
    <s v="Infeed 2nd Floor"/>
    <x v="4"/>
    <m/>
    <m/>
    <s v="Spare"/>
    <m/>
    <m/>
    <e v="#N/A"/>
    <m/>
    <m/>
    <m/>
    <e v="#N/A"/>
    <s v="Require I/O DI= 0,DO=0,AI=0,AO=0,Bus=0"/>
    <s v="Spare_DO_0"/>
    <x v="1"/>
    <n v="2"/>
    <n v="0"/>
    <s v="C1S07DO"/>
    <s v="C1S07DO31"/>
    <s v="C1S07,31"/>
    <s v="DO"/>
    <s v="Require I/O DI= 0,DO=0,AI=0,AO=0,Bus=0"/>
    <x v="1"/>
    <x v="7"/>
    <n v="31"/>
    <m/>
    <n v="0"/>
    <n v="0"/>
    <n v="0"/>
    <n v="0"/>
    <n v="0"/>
    <m/>
    <e v="#N/A"/>
    <m/>
  </r>
  <r>
    <s v="=CA1+MCP-M1"/>
    <m/>
    <m/>
    <x v="5"/>
    <s v="Infeed 2nd Floor"/>
    <x v="4"/>
    <m/>
    <m/>
    <s v="Spare"/>
    <m/>
    <m/>
    <e v="#N/A"/>
    <m/>
    <m/>
    <m/>
    <e v="#N/A"/>
    <s v="Require I/O DI= 0,DO=0,AI=0,AO=0,Bus=0"/>
    <s v="Spare_AI_0"/>
    <x v="3"/>
    <n v="3"/>
    <n v="0"/>
    <s v="C1S09AI"/>
    <s v="C1S09AI11"/>
    <s v="C1S09,11"/>
    <s v="AI"/>
    <s v="Require I/O DI= 0,DO=0,AI=0,AO=0,Bus=0"/>
    <x v="1"/>
    <x v="8"/>
    <n v="11"/>
    <m/>
    <n v="0"/>
    <n v="0"/>
    <n v="0"/>
    <n v="0"/>
    <n v="0"/>
    <m/>
    <e v="#N/A"/>
    <m/>
  </r>
  <r>
    <s v="=CA1+MCP-M1"/>
    <m/>
    <m/>
    <x v="5"/>
    <s v="Infeed 2nd Floor"/>
    <x v="4"/>
    <m/>
    <m/>
    <s v="Spare"/>
    <m/>
    <m/>
    <e v="#N/A"/>
    <m/>
    <m/>
    <m/>
    <e v="#N/A"/>
    <s v="Require I/O DI= 0,DO=0,AI=0,AO=0,Bus=0"/>
    <s v="Spare_AI_0"/>
    <x v="3"/>
    <n v="3"/>
    <n v="0"/>
    <s v="C1S09AI"/>
    <s v="C1S09AI12"/>
    <s v="C1S09,12"/>
    <s v="AI"/>
    <s v="Require I/O DI= 0,DO=0,AI=0,AO=0,Bus=0"/>
    <x v="1"/>
    <x v="8"/>
    <n v="12"/>
    <m/>
    <n v="0"/>
    <n v="0"/>
    <n v="0"/>
    <n v="0"/>
    <n v="0"/>
    <m/>
    <e v="#N/A"/>
    <m/>
  </r>
  <r>
    <s v="=CA1+MCP-M1"/>
    <m/>
    <m/>
    <x v="5"/>
    <s v="Infeed 2nd Floor"/>
    <x v="4"/>
    <m/>
    <m/>
    <s v="Spare"/>
    <m/>
    <m/>
    <e v="#N/A"/>
    <m/>
    <m/>
    <m/>
    <e v="#N/A"/>
    <s v="Require I/O DI= 0,DO=0,AI=0,AO=0,Bus=0"/>
    <s v="Spare_AI_0"/>
    <x v="3"/>
    <n v="3"/>
    <n v="0"/>
    <s v="C1S09AI"/>
    <s v="C1S09AI13"/>
    <s v="C1S09,13"/>
    <s v="AI"/>
    <s v="Require I/O DI= 0,DO=0,AI=0,AO=0,Bus=0"/>
    <x v="1"/>
    <x v="8"/>
    <n v="13"/>
    <m/>
    <n v="0"/>
    <n v="0"/>
    <n v="0"/>
    <n v="0"/>
    <n v="0"/>
    <m/>
    <e v="#N/A"/>
    <m/>
  </r>
  <r>
    <s v="=CA1+MCP-M1"/>
    <m/>
    <m/>
    <x v="5"/>
    <s v="Infeed 2nd Floor"/>
    <x v="4"/>
    <m/>
    <m/>
    <s v="Spare"/>
    <m/>
    <m/>
    <e v="#N/A"/>
    <m/>
    <m/>
    <m/>
    <e v="#N/A"/>
    <s v="Require I/O DI= 0,DO=0,AI=0,AO=0,Bus=0"/>
    <s v="Spare_AI_0"/>
    <x v="3"/>
    <n v="3"/>
    <n v="0"/>
    <s v="C1S09AI"/>
    <s v="C1S09AI14"/>
    <s v="C1S09,14"/>
    <s v="AI"/>
    <s v="Require I/O DI= 0,DO=0,AI=0,AO=0,Bus=0"/>
    <x v="1"/>
    <x v="8"/>
    <n v="14"/>
    <m/>
    <n v="0"/>
    <n v="0"/>
    <n v="0"/>
    <n v="0"/>
    <n v="0"/>
    <m/>
    <e v="#N/A"/>
    <m/>
  </r>
  <r>
    <s v="=CA1+MCP-M1"/>
    <m/>
    <m/>
    <x v="5"/>
    <s v="Infeed 2nd Floor"/>
    <x v="4"/>
    <m/>
    <m/>
    <s v="Spare"/>
    <m/>
    <m/>
    <e v="#N/A"/>
    <m/>
    <m/>
    <m/>
    <e v="#N/A"/>
    <s v="Require I/O DI= 0,DO=0,AI=0,AO=0,Bus=0"/>
    <s v="Spare_AI_0"/>
    <x v="3"/>
    <n v="3"/>
    <n v="0"/>
    <s v="C1S09AI"/>
    <s v="C1S09AI15"/>
    <s v="C1S09,15"/>
    <s v="AI"/>
    <s v="Require I/O DI= 0,DO=0,AI=0,AO=0,Bus=0"/>
    <x v="1"/>
    <x v="8"/>
    <n v="15"/>
    <m/>
    <n v="0"/>
    <n v="0"/>
    <n v="0"/>
    <n v="0"/>
    <n v="0"/>
    <m/>
    <e v="#N/A"/>
    <m/>
  </r>
  <r>
    <s v="=CA1+MCP-M1"/>
    <m/>
    <m/>
    <x v="5"/>
    <s v="Infeed 2nd Floor"/>
    <x v="4"/>
    <m/>
    <s v="PH Adjustment"/>
    <s v="SV-40201"/>
    <m/>
    <m/>
    <n v="0"/>
    <s v="1st"/>
    <s v="325-01-400-PD-01"/>
    <s v="3-25-01-402-PD-01"/>
    <s v="Water service pH analyzer in pH Adjustment tank 1"/>
    <s v="Require I/O DI= 0,DO=1,AI=0,AO=0,Bus=0"/>
    <s v="SV-40201_DO_1"/>
    <x v="1"/>
    <n v="2"/>
    <n v="1"/>
    <s v="C1S06DO"/>
    <s v="C1S06DO16"/>
    <s v="C1S06,16"/>
    <s v="DO"/>
    <s v="Require I/O DI= 0,DO=1,AI=0,AO=0,Bus=0"/>
    <x v="1"/>
    <x v="2"/>
    <n v="16"/>
    <m/>
    <n v="0"/>
    <n v="1"/>
    <n v="0"/>
    <n v="0"/>
    <n v="0"/>
    <m/>
    <s v="24 VDC energized"/>
    <m/>
  </r>
  <r>
    <s v="=CA1+MCP-M1"/>
    <m/>
    <m/>
    <x v="5"/>
    <s v="Infeed 2nd Floor"/>
    <x v="4"/>
    <m/>
    <s v="PH Adjustment"/>
    <s v="SV-40202"/>
    <m/>
    <m/>
    <n v="0"/>
    <s v="1st"/>
    <s v="325-01-400-PD-01"/>
    <s v="3-25-01-402-PD-01"/>
    <s v="Water service pH analyzer in pH Adjustment tank 2"/>
    <s v="Require I/O DI= 0,DO=1,AI=0,AO=0,Bus=0"/>
    <s v="SV-40202_DO_1"/>
    <x v="1"/>
    <n v="2"/>
    <n v="1"/>
    <s v="C1S06DO"/>
    <s v="C1S06DO17"/>
    <s v="C1S06,17"/>
    <s v="DO"/>
    <s v="Require I/O DI= 0,DO=1,AI=0,AO=0,Bus=0"/>
    <x v="1"/>
    <x v="2"/>
    <n v="17"/>
    <m/>
    <n v="0"/>
    <n v="1"/>
    <n v="0"/>
    <n v="0"/>
    <n v="0"/>
    <m/>
    <s v="24 VDC energized"/>
    <m/>
  </r>
  <r>
    <s v="=CA1+MCP-M1"/>
    <m/>
    <m/>
    <x v="5"/>
    <s v="Infeed 2nd Floor"/>
    <x v="4"/>
    <m/>
    <s v="PH Adjustment"/>
    <s v="SV-40203"/>
    <m/>
    <m/>
    <n v="0"/>
    <s v="1st"/>
    <s v="325-01-400-PD-01"/>
    <s v="3-25-01-402-PD-01"/>
    <s v="Air service pH analyzer in pH Adjustment tank 1"/>
    <s v="Require I/O DI= 0,DO=1,AI=0,AO=0,Bus=0"/>
    <s v="SV-40203_DO_1"/>
    <x v="1"/>
    <n v="2"/>
    <n v="1"/>
    <s v="C1S06DO"/>
    <s v="C1S06DO18"/>
    <s v="C1S06,18"/>
    <s v="DO"/>
    <s v="Require I/O DI= 0,DO=1,AI=0,AO=0,Bus=0"/>
    <x v="1"/>
    <x v="2"/>
    <n v="18"/>
    <m/>
    <n v="0"/>
    <n v="1"/>
    <n v="0"/>
    <n v="0"/>
    <n v="0"/>
    <m/>
    <s v="24 VDC energized"/>
    <m/>
  </r>
  <r>
    <s v="=CA1+MCP-M1"/>
    <m/>
    <m/>
    <x v="5"/>
    <s v="Infeed 2nd Floor"/>
    <x v="4"/>
    <m/>
    <s v="PH Adjustment"/>
    <s v="SV-40204"/>
    <m/>
    <m/>
    <n v="0"/>
    <s v="1st"/>
    <s v="325-01-400-PD-01"/>
    <s v="3-25-01-402-PD-01"/>
    <s v="Air service pH analyzer in pH Adjustment tank 2"/>
    <s v="Require I/O DI= 0,DO=1,AI=0,AO=0,Bus=0"/>
    <s v="SV-40204_DO_1"/>
    <x v="1"/>
    <n v="2"/>
    <n v="1"/>
    <s v="C1S06DO"/>
    <s v="C1S06DO19"/>
    <s v="C1S06,19"/>
    <s v="DO"/>
    <s v="Require I/O DI= 0,DO=1,AI=0,AO=0,Bus=0"/>
    <x v="1"/>
    <x v="2"/>
    <n v="19"/>
    <m/>
    <n v="0"/>
    <n v="1"/>
    <n v="0"/>
    <n v="0"/>
    <n v="0"/>
    <m/>
    <s v="24 VDC energized"/>
    <m/>
  </r>
  <r>
    <s v="=CA1+MCP-M1"/>
    <m/>
    <m/>
    <x v="5"/>
    <s v="Infeed 2nd Floor"/>
    <x v="4"/>
    <m/>
    <s v="PH Adjustment"/>
    <s v="XV-40201A"/>
    <n v="1"/>
    <m/>
    <n v="0"/>
    <s v="1st"/>
    <s v="-"/>
    <s v="3-25-01-402-PD-01"/>
    <s v="Slurry feed-in pH Adjustment tank 1"/>
    <s v="Require I/O DI= 2,DO=1,AI=0,AO=0,Bus=0"/>
    <s v="XV-40201A_DO_1"/>
    <x v="1"/>
    <n v="2"/>
    <n v="1"/>
    <s v="C1S06DO"/>
    <s v="C1S06DO20"/>
    <s v="C1S06,20"/>
    <s v="DO"/>
    <s v="Require I/O DI= 2,DO=1,AI=0,AO=0,Bus=0"/>
    <x v="1"/>
    <x v="2"/>
    <n v="20"/>
    <m/>
    <n v="2"/>
    <n v="1"/>
    <n v="0"/>
    <n v="0"/>
    <n v="0"/>
    <m/>
    <s v="24 VDC energized"/>
    <s v="x"/>
  </r>
  <r>
    <s v="=CA1+MCP-M1"/>
    <m/>
    <m/>
    <x v="5"/>
    <s v="Infeed 2nd Floor"/>
    <x v="4"/>
    <m/>
    <s v="PH Adjustment"/>
    <s v="XV-40201B"/>
    <n v="1"/>
    <m/>
    <n v="0"/>
    <s v="1st"/>
    <s v="325-01-400-PD-01"/>
    <s v="3-25-01-402-PD-01"/>
    <s v="Slurry feed-out pH Adjustment tank 1"/>
    <s v="Require I/O DI= 2,DO=1,AI=0,AO=0,Bus=0"/>
    <s v="XV-40201B_DO_1"/>
    <x v="1"/>
    <n v="2"/>
    <n v="1"/>
    <s v="C1S06DO"/>
    <s v="C1S06DO21"/>
    <s v="C1S06,21"/>
    <s v="DO"/>
    <s v="Require I/O DI= 2,DO=1,AI=0,AO=0,Bus=0"/>
    <x v="1"/>
    <x v="2"/>
    <n v="21"/>
    <m/>
    <n v="2"/>
    <n v="1"/>
    <n v="0"/>
    <n v="0"/>
    <n v="0"/>
    <m/>
    <s v="24 VDC energized"/>
    <s v="x"/>
  </r>
  <r>
    <s v="=CA1+MCP-M1"/>
    <m/>
    <m/>
    <x v="5"/>
    <s v="Infeed 2nd Floor"/>
    <x v="4"/>
    <m/>
    <s v="PH Adjustment"/>
    <s v="XV-40201C"/>
    <n v="1"/>
    <m/>
    <n v="0"/>
    <s v="1st"/>
    <s v="325-01-400-PD-01"/>
    <s v="3-25-01-402-PD-01"/>
    <s v="Water washing line outlet pH Adjustment tank 1"/>
    <s v="Require I/O DI= 2,DO=1,AI=0,AO=0,Bus=0"/>
    <s v="XV-40201C_DO_1"/>
    <x v="1"/>
    <n v="2"/>
    <n v="1"/>
    <s v="C1S06DO"/>
    <s v="C1S06DO22"/>
    <s v="C1S06,22"/>
    <s v="DO"/>
    <s v="Require I/O DI= 2,DO=1,AI=0,AO=0,Bus=0"/>
    <x v="1"/>
    <x v="2"/>
    <n v="22"/>
    <m/>
    <n v="2"/>
    <n v="1"/>
    <n v="0"/>
    <n v="0"/>
    <n v="0"/>
    <m/>
    <s v="24 VDC energized"/>
    <s v="x"/>
  </r>
  <r>
    <s v="=CA1+MCP-M1"/>
    <m/>
    <m/>
    <x v="5"/>
    <s v="Infeed 2nd Floor"/>
    <x v="4"/>
    <m/>
    <s v="PH Adjustment"/>
    <s v="XV-40201D"/>
    <n v="1"/>
    <m/>
    <n v="0"/>
    <s v="1st"/>
    <s v="325-01-400-PD-01"/>
    <s v="3-25-01-402-PD-01"/>
    <s v="Slurry circulation pH Adjustment tank 1"/>
    <s v="Require I/O DI= 2,DO=1,AI=0,AO=0,Bus=0"/>
    <s v="XV-40201D_DO_1"/>
    <x v="1"/>
    <n v="2"/>
    <n v="1"/>
    <s v="C1S06DO"/>
    <s v="C1S06DO23"/>
    <s v="C1S06,23"/>
    <s v="DO"/>
    <s v="Require I/O DI= 2,DO=1,AI=0,AO=0,Bus=0"/>
    <x v="1"/>
    <x v="2"/>
    <n v="23"/>
    <m/>
    <n v="2"/>
    <n v="1"/>
    <n v="0"/>
    <n v="0"/>
    <n v="0"/>
    <m/>
    <s v="24 VDC energized"/>
    <m/>
  </r>
  <r>
    <s v="=CA1+MCP-M1"/>
    <m/>
    <m/>
    <x v="5"/>
    <s v="Infeed 2nd Floor"/>
    <x v="4"/>
    <m/>
    <s v="PH Adjustment"/>
    <s v="XV-40201E"/>
    <n v="1"/>
    <m/>
    <n v="0"/>
    <s v="1st"/>
    <s v="325-01-400-PD-01"/>
    <s v="3-25-01-402-PD-01"/>
    <s v="Slurry pH Adjustment tank 1 transfer to pH Adjustment tank 2"/>
    <s v="Require I/O DI= 2,DO=1,AI=0,AO=0,Bus=0"/>
    <s v="XV-40201E_DO_1"/>
    <x v="1"/>
    <n v="2"/>
    <n v="1"/>
    <s v="C1S06DO"/>
    <s v="C1S06DO24"/>
    <s v="C1S06,24"/>
    <s v="DO"/>
    <s v="Require I/O DI= 2,DO=1,AI=0,AO=0,Bus=0"/>
    <x v="1"/>
    <x v="2"/>
    <n v="24"/>
    <m/>
    <n v="2"/>
    <n v="1"/>
    <n v="0"/>
    <n v="0"/>
    <n v="0"/>
    <m/>
    <s v="24 VDC energized"/>
    <s v="x"/>
  </r>
  <r>
    <s v="=CA1+MCP-M1"/>
    <m/>
    <m/>
    <x v="5"/>
    <s v="Infeed 2nd Floor"/>
    <x v="4"/>
    <m/>
    <s v="PH Adjustment"/>
    <s v="XV-40201F"/>
    <n v="1"/>
    <m/>
    <n v="0"/>
    <s v="1st"/>
    <s v="325-01-400-PD-01"/>
    <s v="3-25-01-402-PD-01"/>
    <s v="Slurry feed-to spray dry tank"/>
    <s v="Require I/O DI= 2,DO=1,AI=0,AO=0,Bus=0"/>
    <s v="XV-40201F_DO_1"/>
    <x v="1"/>
    <n v="2"/>
    <n v="1"/>
    <s v="C1S06DO"/>
    <s v="C1S06DO25"/>
    <s v="C1S06,25"/>
    <s v="DO"/>
    <s v="Require I/O DI= 2,DO=1,AI=0,AO=0,Bus=0"/>
    <x v="1"/>
    <x v="2"/>
    <n v="25"/>
    <m/>
    <n v="2"/>
    <n v="1"/>
    <n v="0"/>
    <n v="0"/>
    <n v="0"/>
    <m/>
    <s v="24 VDC energized"/>
    <m/>
  </r>
  <r>
    <s v="=CA1+MCP-M1"/>
    <m/>
    <m/>
    <x v="5"/>
    <s v="Infeed 2nd Floor"/>
    <x v="4"/>
    <m/>
    <s v="PH Adjustment"/>
    <s v="XV-40201G"/>
    <n v="1"/>
    <m/>
    <n v="0"/>
    <s v="1st"/>
    <s v="325-01-400-PD-01"/>
    <s v="3-25-01-402-PD-01"/>
    <s v="CIP water washing pH Adjustment tank 1"/>
    <s v="Require I/O DI= 2,DO=1,AI=0,AO=0,Bus=0"/>
    <s v="XV-40201G_DO_1"/>
    <x v="1"/>
    <n v="2"/>
    <n v="1"/>
    <s v="C1S06DO"/>
    <s v="C1S06DO26"/>
    <s v="C1S06,26"/>
    <s v="DO"/>
    <s v="Require I/O DI= 2,DO=1,AI=0,AO=0,Bus=0"/>
    <x v="1"/>
    <x v="2"/>
    <n v="26"/>
    <m/>
    <n v="2"/>
    <n v="1"/>
    <n v="0"/>
    <n v="0"/>
    <n v="0"/>
    <m/>
    <s v="24 VDC energized"/>
    <m/>
  </r>
  <r>
    <s v="=CA1+MCP-M1"/>
    <m/>
    <m/>
    <x v="5"/>
    <s v="Infeed 2nd Floor"/>
    <x v="4"/>
    <m/>
    <s v="PH Adjustment"/>
    <s v="XV-40201H"/>
    <n v="1"/>
    <m/>
    <n v="0"/>
    <s v="1st"/>
    <s v="325-01-400-PD-01"/>
    <s v="3-25-01-402-PD-01"/>
    <s v="CIP Hight pressure water washing pH Adjustment tank 1"/>
    <s v="Require I/O DI= 2,DO=1,AI=0,AO=0,Bus=0"/>
    <s v="XV-40201H_DO_1"/>
    <x v="1"/>
    <n v="2"/>
    <n v="1"/>
    <s v="C1S06DO"/>
    <s v="C1S06DO27"/>
    <s v="C1S06,27"/>
    <s v="DO"/>
    <s v="Require I/O DI= 2,DO=1,AI=0,AO=0,Bus=0"/>
    <x v="1"/>
    <x v="2"/>
    <n v="27"/>
    <m/>
    <n v="2"/>
    <n v="1"/>
    <n v="0"/>
    <n v="0"/>
    <n v="0"/>
    <m/>
    <s v="24 VDC energized"/>
    <m/>
  </r>
  <r>
    <s v="=CA1+MCP-M1"/>
    <m/>
    <m/>
    <x v="5"/>
    <s v="Infeed 2nd Floor"/>
    <x v="4"/>
    <m/>
    <s v="PH Adjustment"/>
    <s v="XV-40202A"/>
    <n v="1"/>
    <m/>
    <n v="0"/>
    <s v="1st"/>
    <s v="325-01-400-PD-01"/>
    <s v="3-25-01-402-PD-01"/>
    <s v="Slurry feed-in pH Adjustment tank 2"/>
    <s v="Require I/O DI= 2,DO=1,AI=0,AO=0,Bus=0"/>
    <s v="XV-40202A_DO_1"/>
    <x v="1"/>
    <n v="2"/>
    <n v="1"/>
    <s v="C1S06DO"/>
    <s v="C1S06DO28"/>
    <s v="C1S06,28"/>
    <s v="DO"/>
    <s v="Require I/O DI= 2,DO=1,AI=0,AO=0,Bus=0"/>
    <x v="1"/>
    <x v="2"/>
    <n v="28"/>
    <m/>
    <n v="2"/>
    <n v="1"/>
    <n v="0"/>
    <n v="0"/>
    <n v="0"/>
    <m/>
    <s v="24 VDC energized"/>
    <m/>
  </r>
  <r>
    <s v="=CA1+MCP-M1"/>
    <m/>
    <m/>
    <x v="5"/>
    <s v="Infeed 2nd Floor"/>
    <x v="4"/>
    <m/>
    <s v="PH Adjustment"/>
    <s v="XV-40202B"/>
    <n v="1"/>
    <m/>
    <n v="0"/>
    <s v="1st"/>
    <s v="325-01-400-PD-01"/>
    <s v="3-25-01-402-PD-01"/>
    <s v="Slurry feed-out pH Adjustment tank 2"/>
    <s v="Require I/O DI= 2,DO=1,AI=0,AO=0,Bus=0"/>
    <s v="XV-40202B_DO_1"/>
    <x v="1"/>
    <n v="2"/>
    <n v="1"/>
    <s v="C1S06DO"/>
    <s v="C1S06DO29"/>
    <s v="C1S06,29"/>
    <s v="DO"/>
    <s v="Require I/O DI= 2,DO=1,AI=0,AO=0,Bus=0"/>
    <x v="1"/>
    <x v="2"/>
    <n v="29"/>
    <m/>
    <n v="2"/>
    <n v="1"/>
    <n v="0"/>
    <n v="0"/>
    <n v="0"/>
    <m/>
    <s v="24 VDC energized"/>
    <m/>
  </r>
  <r>
    <s v="=CA1+MCP-M1"/>
    <m/>
    <m/>
    <x v="5"/>
    <s v="Infeed 2nd Floor"/>
    <x v="4"/>
    <m/>
    <s v="PH Adjustment"/>
    <s v="XV-40202C"/>
    <n v="1"/>
    <m/>
    <n v="0"/>
    <s v="1st"/>
    <s v="325-01-400-PD-01"/>
    <s v="3-25-01-402-PD-01"/>
    <s v="Water washing line outlet pH Adjustment tank 2"/>
    <s v="Require I/O DI= 2,DO=1,AI=0,AO=0,Bus=0"/>
    <s v="XV-40202C_DO_1"/>
    <x v="1"/>
    <n v="2"/>
    <n v="1"/>
    <s v="C1S06DO"/>
    <s v="C1S06DO30"/>
    <s v="C1S06,30"/>
    <s v="DO"/>
    <s v="Require I/O DI= 2,DO=1,AI=0,AO=0,Bus=0"/>
    <x v="1"/>
    <x v="2"/>
    <n v="30"/>
    <m/>
    <n v="2"/>
    <n v="1"/>
    <n v="0"/>
    <n v="0"/>
    <n v="0"/>
    <m/>
    <s v="24 VDC energized"/>
    <m/>
  </r>
  <r>
    <s v="=CA1+MCP-M1"/>
    <m/>
    <m/>
    <x v="5"/>
    <s v="Infeed 2nd Floor"/>
    <x v="4"/>
    <m/>
    <s v="PH Adjustment"/>
    <s v="XV-40202D"/>
    <n v="1"/>
    <m/>
    <n v="0"/>
    <s v="1st"/>
    <s v="325-01-400-PD-01"/>
    <s v="3-25-01-402-PD-01"/>
    <s v="Slurry circulation pH Adjustment tank 2"/>
    <s v="Require I/O DI= 2,DO=1,AI=0,AO=0,Bus=0"/>
    <s v="XV-40202D_DO_1"/>
    <x v="1"/>
    <n v="2"/>
    <n v="1"/>
    <s v="C1S06DO"/>
    <s v="C1S06DO31"/>
    <s v="C1S06,31"/>
    <s v="DO"/>
    <s v="Require I/O DI= 2,DO=1,AI=0,AO=0,Bus=0"/>
    <x v="1"/>
    <x v="2"/>
    <n v="31"/>
    <m/>
    <n v="2"/>
    <n v="1"/>
    <n v="0"/>
    <n v="0"/>
    <n v="0"/>
    <m/>
    <s v="24 VDC energized"/>
    <m/>
  </r>
  <r>
    <s v="=CA1+MCP-M1"/>
    <m/>
    <m/>
    <x v="5"/>
    <s v="Infeed 2nd Floor"/>
    <x v="4"/>
    <m/>
    <s v="PH Adjustment"/>
    <s v="XV-40202E"/>
    <n v="1"/>
    <m/>
    <n v="0"/>
    <s v="1st"/>
    <s v="325-01-400-PD-01"/>
    <s v="3-25-01-402-PD-01"/>
    <s v="Slurry pH Adjustment tank 2 transfer to pH Adjustment tank 1"/>
    <s v="Require I/O DI= 2,DO=1,AI=0,AO=0,Bus=0"/>
    <s v="XV-40202E_DO_1"/>
    <x v="1"/>
    <n v="2"/>
    <n v="1"/>
    <s v="C1S07DO"/>
    <s v="C1S07DO00"/>
    <s v="C1S07,00"/>
    <s v="DO"/>
    <s v="Require I/O DI= 2,DO=1,AI=0,AO=0,Bus=0"/>
    <x v="1"/>
    <x v="7"/>
    <n v="0"/>
    <m/>
    <n v="2"/>
    <n v="1"/>
    <n v="0"/>
    <n v="0"/>
    <n v="0"/>
    <m/>
    <s v="24 VDC energized"/>
    <m/>
  </r>
  <r>
    <s v="=CA1+MCP-M1"/>
    <m/>
    <m/>
    <x v="5"/>
    <s v="Infeed 2nd Floor"/>
    <x v="4"/>
    <m/>
    <s v="PH Adjustment"/>
    <s v="XV-40202F"/>
    <n v="1"/>
    <m/>
    <n v="0"/>
    <s v="1st"/>
    <s v="325-01-400-PD-01"/>
    <s v="3-25-01-402-PD-01"/>
    <s v="Slurry feed-to spray dry tank"/>
    <s v="Require I/O DI= 2,DO=1,AI=0,AO=0,Bus=0"/>
    <s v="XV-40202F_DO_1"/>
    <x v="1"/>
    <n v="2"/>
    <n v="1"/>
    <s v="C1S07DO"/>
    <s v="C1S07DO01"/>
    <s v="C1S07,01"/>
    <s v="DO"/>
    <s v="Require I/O DI= 2,DO=1,AI=0,AO=0,Bus=0"/>
    <x v="1"/>
    <x v="7"/>
    <n v="1"/>
    <m/>
    <n v="2"/>
    <n v="1"/>
    <n v="0"/>
    <n v="0"/>
    <n v="0"/>
    <m/>
    <s v="24 VDC energized"/>
    <m/>
  </r>
  <r>
    <s v="=CA1+MCP-M1"/>
    <m/>
    <m/>
    <x v="5"/>
    <s v="Infeed 2nd Floor"/>
    <x v="4"/>
    <m/>
    <s v="PH Adjustment"/>
    <s v="XV-40202G"/>
    <n v="1"/>
    <m/>
    <n v="0"/>
    <s v="1st"/>
    <s v="325-01-400-PD-01"/>
    <s v="3-25-01-402-PD-01"/>
    <s v="CIP water washing pH Adjustment tank 2"/>
    <s v="Require I/O DI= 2,DO=1,AI=0,AO=0,Bus=0"/>
    <s v="XV-40202G_DO_1"/>
    <x v="1"/>
    <n v="2"/>
    <n v="1"/>
    <s v="C1S07DO"/>
    <s v="C1S07DO02"/>
    <s v="C1S07,02"/>
    <s v="DO"/>
    <s v="Require I/O DI= 2,DO=1,AI=0,AO=0,Bus=0"/>
    <x v="1"/>
    <x v="7"/>
    <n v="2"/>
    <m/>
    <n v="2"/>
    <n v="1"/>
    <n v="0"/>
    <n v="0"/>
    <n v="0"/>
    <m/>
    <s v="24 VDC energized"/>
    <m/>
  </r>
  <r>
    <s v="=CA1+MCP-M1"/>
    <m/>
    <m/>
    <x v="5"/>
    <s v="Infeed 2nd Floor"/>
    <x v="4"/>
    <m/>
    <s v="PH Adjustment"/>
    <s v="XV-40202H"/>
    <n v="1"/>
    <m/>
    <n v="0"/>
    <s v="1st"/>
    <s v="325-01-400-PD-01"/>
    <s v="3-25-01-402-PD-01"/>
    <s v="CIP Hight pressure water washing pH Adjustment tank 2"/>
    <s v="Require I/O DI= 2,DO=1,AI=0,AO=0,Bus=0"/>
    <s v="XV-40202H_DO_1"/>
    <x v="1"/>
    <n v="2"/>
    <n v="1"/>
    <s v="C1S07DO"/>
    <s v="C1S07DO03"/>
    <s v="C1S07,03"/>
    <s v="DO"/>
    <s v="Require I/O DI= 2,DO=1,AI=0,AO=0,Bus=0"/>
    <x v="1"/>
    <x v="7"/>
    <n v="3"/>
    <m/>
    <n v="2"/>
    <n v="1"/>
    <n v="0"/>
    <n v="0"/>
    <n v="0"/>
    <m/>
    <s v="24 VDC energized"/>
    <m/>
  </r>
  <r>
    <s v="=CA1+MCP-M1"/>
    <m/>
    <m/>
    <x v="5"/>
    <s v="Infeed 2nd Floor"/>
    <x v="4"/>
    <m/>
    <s v="Infeed Tank"/>
    <s v="XV-40203B"/>
    <n v="1"/>
    <m/>
    <n v="0"/>
    <s v="1st"/>
    <s v="325-01-400-PD-02"/>
    <s v="3-25-01-402-PD-02"/>
    <s v="Slurry feed-out Spray dryer infeed tank "/>
    <s v="Require I/O DI= 2,DO=1,AI=0,AO=0,Bus=0"/>
    <s v="XV-40203B_DO_1"/>
    <x v="1"/>
    <n v="2"/>
    <n v="1"/>
    <s v="C1S07DO"/>
    <s v="C1S07DO04"/>
    <s v="C1S07,04"/>
    <s v="DO"/>
    <s v="Require I/O DI= 2,DO=1,AI=0,AO=0,Bus=0"/>
    <x v="1"/>
    <x v="7"/>
    <n v="4"/>
    <m/>
    <n v="2"/>
    <n v="1"/>
    <n v="0"/>
    <n v="0"/>
    <n v="0"/>
    <m/>
    <s v="24 VDC energized"/>
    <m/>
  </r>
  <r>
    <s v="=CA1+MCP-M1"/>
    <m/>
    <m/>
    <x v="5"/>
    <s v="Infeed 2nd Floor"/>
    <x v="4"/>
    <m/>
    <s v="Infeed Tank"/>
    <s v="XV-40203C"/>
    <n v="1"/>
    <m/>
    <n v="0"/>
    <s v="1st"/>
    <s v="325-01-400-PD-02"/>
    <s v="3-25-01-402-PD-02"/>
    <s v="Water washing line outlet Spray dryer infeed tank "/>
    <s v="Require I/O DI= 2,DO=1,AI=0,AO=0,Bus=0"/>
    <s v="XV-40203C_DO_1"/>
    <x v="1"/>
    <n v="2"/>
    <n v="1"/>
    <s v="C1S07DO"/>
    <s v="C1S07DO05"/>
    <s v="C1S07,05"/>
    <s v="DO"/>
    <s v="Require I/O DI= 2,DO=1,AI=0,AO=0,Bus=0"/>
    <x v="1"/>
    <x v="7"/>
    <n v="5"/>
    <m/>
    <n v="2"/>
    <n v="1"/>
    <n v="0"/>
    <n v="0"/>
    <n v="0"/>
    <m/>
    <s v="24 VDC energized"/>
    <m/>
  </r>
  <r>
    <s v="=CA1+MCP-M1"/>
    <m/>
    <m/>
    <x v="5"/>
    <s v="Infeed 2nd Floor"/>
    <x v="4"/>
    <m/>
    <s v="Infeed Tank"/>
    <s v="XV-40203D"/>
    <n v="1"/>
    <m/>
    <n v="0"/>
    <s v="1st"/>
    <s v="325-01-400-PD-02"/>
    <s v="3-25-01-402-PD-02"/>
    <s v="CIP water washing Spray dryer infeed tank "/>
    <s v="Require I/O DI= 2,DO=1,AI=0,AO=0,Bus=0"/>
    <s v="XV-40203D_DO_1"/>
    <x v="1"/>
    <n v="2"/>
    <n v="1"/>
    <s v="C1S07DO"/>
    <s v="C1S07DO06"/>
    <s v="C1S07,06"/>
    <s v="DO"/>
    <s v="Require I/O DI= 2,DO=1,AI=0,AO=0,Bus=0"/>
    <x v="1"/>
    <x v="7"/>
    <n v="6"/>
    <m/>
    <n v="2"/>
    <n v="1"/>
    <n v="0"/>
    <n v="0"/>
    <n v="0"/>
    <m/>
    <s v="24 VDC energized"/>
    <m/>
  </r>
  <r>
    <s v="=CA1+MCP-M1"/>
    <m/>
    <m/>
    <x v="5"/>
    <s v="Infeed 2nd Floor"/>
    <x v="4"/>
    <m/>
    <s v="Infeed Tank"/>
    <s v="XV-40203E"/>
    <n v="1"/>
    <m/>
    <n v="0"/>
    <s v="1st"/>
    <s v="325-01-400-PD-02"/>
    <s v="3-25-01-402-PD-02"/>
    <s v="CIP hight pressure water washing Spray dryer infeed tank "/>
    <s v="Require I/O DI= 2,DO=1,AI=0,AO=0,Bus=0"/>
    <s v="XV-40203E_DO_1"/>
    <x v="1"/>
    <n v="2"/>
    <n v="1"/>
    <s v="C1S07DO"/>
    <s v="C1S07DO07"/>
    <s v="C1S07,07"/>
    <s v="DO"/>
    <s v="Require I/O DI= 2,DO=1,AI=0,AO=0,Bus=0"/>
    <x v="1"/>
    <x v="7"/>
    <n v="7"/>
    <m/>
    <n v="2"/>
    <n v="1"/>
    <n v="0"/>
    <n v="0"/>
    <n v="0"/>
    <m/>
    <s v="24 VDC energized"/>
    <m/>
  </r>
  <r>
    <s v="=CA1+MCP-M1"/>
    <m/>
    <m/>
    <x v="0"/>
    <s v="Spray Dryer 1st Floor"/>
    <x v="8"/>
    <m/>
    <m/>
    <n v="0"/>
    <m/>
    <m/>
    <n v="0"/>
    <m/>
    <m/>
    <m/>
    <s v="Lototo-01"/>
    <s v="Require I/O DI= 0,DO=0,AI=0,AO=0,Bus=0"/>
    <s v="0_DO_1"/>
    <x v="1"/>
    <n v="2"/>
    <n v="1"/>
    <s v="C1S06DO"/>
    <s v="C1S06DO00"/>
    <s v="C1S06,00"/>
    <s v="DO"/>
    <s v="Require I/O DI= 0,DO=0,AI=0,AO=0,Bus=0"/>
    <x v="1"/>
    <x v="2"/>
    <n v="0"/>
    <m/>
    <n v="0"/>
    <n v="0"/>
    <n v="0"/>
    <n v="0"/>
    <n v="0"/>
    <m/>
    <s v="Dry Contact"/>
    <s v="x"/>
  </r>
  <r>
    <s v="=CA1+MCP-M1"/>
    <m/>
    <m/>
    <x v="0"/>
    <s v="Spray Dryer 1st Floor"/>
    <x v="8"/>
    <m/>
    <m/>
    <n v="0"/>
    <m/>
    <m/>
    <n v="0"/>
    <m/>
    <m/>
    <m/>
    <s v="Lototo-01"/>
    <s v="Require I/O DI= 0,DO=0,AI=0,AO=0,Bus=0"/>
    <s v="0_DO_1"/>
    <x v="1"/>
    <n v="2"/>
    <n v="1"/>
    <s v="C1S06DO"/>
    <s v="C1S06DO01"/>
    <s v="C1S06,01"/>
    <s v="DO"/>
    <s v="Require I/O DI= 0,DO=0,AI=0,AO=0,Bus=0"/>
    <x v="1"/>
    <x v="2"/>
    <n v="1"/>
    <m/>
    <n v="0"/>
    <n v="0"/>
    <n v="0"/>
    <n v="0"/>
    <n v="0"/>
    <m/>
    <s v="Dry Contact"/>
    <s v="x"/>
  </r>
  <r>
    <s v="=CA1+MCP-M1"/>
    <m/>
    <m/>
    <x v="0"/>
    <s v="Spray Dryer 1st Floor"/>
    <x v="8"/>
    <m/>
    <m/>
    <n v="0"/>
    <m/>
    <m/>
    <n v="0"/>
    <m/>
    <m/>
    <m/>
    <s v="Lototo-01"/>
    <s v="Require I/O DI= 0,DO=0,AI=0,AO=0,Bus=0"/>
    <s v="0_DO_1"/>
    <x v="1"/>
    <n v="2"/>
    <n v="1"/>
    <s v="C1S06DO"/>
    <s v="C1S06DO02"/>
    <s v="C1S06,02"/>
    <s v="DO"/>
    <s v="Require I/O DI= 0,DO=0,AI=0,AO=0,Bus=0"/>
    <x v="1"/>
    <x v="2"/>
    <n v="2"/>
    <m/>
    <n v="0"/>
    <n v="0"/>
    <n v="0"/>
    <n v="0"/>
    <n v="0"/>
    <m/>
    <s v="Dry Contact"/>
    <s v="x"/>
  </r>
  <r>
    <s v="=CA1+MCP-M1"/>
    <m/>
    <m/>
    <x v="0"/>
    <s v="Spray Dryer 1st Floor"/>
    <x v="8"/>
    <m/>
    <m/>
    <n v="0"/>
    <m/>
    <m/>
    <n v="0"/>
    <m/>
    <m/>
    <m/>
    <s v="Lototo-01"/>
    <s v="Require I/O DI= 0,DO=0,AI=0,AO=0,Bus=0"/>
    <s v="0_DO_1"/>
    <x v="1"/>
    <n v="2"/>
    <n v="1"/>
    <s v="C1S06DO"/>
    <s v="C1S06DO03"/>
    <s v="C1S06,03"/>
    <s v="DO"/>
    <s v="Require I/O DI= 0,DO=0,AI=0,AO=0,Bus=0"/>
    <x v="1"/>
    <x v="2"/>
    <n v="3"/>
    <m/>
    <n v="0"/>
    <n v="0"/>
    <n v="0"/>
    <n v="0"/>
    <n v="0"/>
    <m/>
    <s v="Dry Contact"/>
    <s v="x"/>
  </r>
  <r>
    <s v="=CA1+MCP-M1"/>
    <m/>
    <m/>
    <x v="0"/>
    <s v="Spray Dryer 1st Floor"/>
    <x v="8"/>
    <m/>
    <m/>
    <n v="0"/>
    <m/>
    <m/>
    <n v="0"/>
    <m/>
    <m/>
    <m/>
    <s v="Lototo-01"/>
    <s v="Require I/O DI= 0,DO=0,AI=0,AO=0,Bus=0"/>
    <s v="0_DO_1"/>
    <x v="1"/>
    <n v="2"/>
    <n v="1"/>
    <s v="C1S06DO"/>
    <s v="C1S06DO04"/>
    <s v="C1S06,04"/>
    <s v="DO"/>
    <s v="Require I/O DI= 0,DO=0,AI=0,AO=0,Bus=0"/>
    <x v="1"/>
    <x v="2"/>
    <n v="4"/>
    <m/>
    <n v="0"/>
    <n v="0"/>
    <n v="0"/>
    <n v="0"/>
    <n v="0"/>
    <m/>
    <s v="Dry Contact"/>
    <s v="x"/>
  </r>
  <r>
    <s v="=CA1+MCP-M1"/>
    <m/>
    <m/>
    <x v="0"/>
    <s v="Spray Dryer 1st Floor"/>
    <x v="8"/>
    <m/>
    <m/>
    <n v="0"/>
    <m/>
    <m/>
    <n v="0"/>
    <m/>
    <m/>
    <m/>
    <s v="Lototo-01"/>
    <s v="Require I/O DI= 0,DO=0,AI=0,AO=0,Bus=0"/>
    <s v="0_DO_1"/>
    <x v="1"/>
    <n v="2"/>
    <n v="1"/>
    <s v="C1S06DO"/>
    <s v="C1S06DO05"/>
    <s v="C1S06,05"/>
    <s v="DO"/>
    <s v="Require I/O DI= 0,DO=0,AI=0,AO=0,Bus=0"/>
    <x v="1"/>
    <x v="2"/>
    <n v="5"/>
    <m/>
    <n v="0"/>
    <n v="0"/>
    <n v="0"/>
    <n v="0"/>
    <n v="0"/>
    <m/>
    <s v="Dry Contact"/>
    <s v="x"/>
  </r>
  <r>
    <s v="=CA1+MCP-M1"/>
    <m/>
    <m/>
    <x v="0"/>
    <s v="Spray Dryer 1st Floor"/>
    <x v="8"/>
    <m/>
    <m/>
    <n v="0"/>
    <m/>
    <m/>
    <n v="0"/>
    <m/>
    <m/>
    <m/>
    <s v="Lototo-01"/>
    <s v="Require I/O DI= 0,DO=0,AI=0,AO=0,Bus=0"/>
    <s v="0_DO_1"/>
    <x v="1"/>
    <n v="2"/>
    <n v="1"/>
    <s v="C1S06DO"/>
    <s v="C1S06DO06"/>
    <s v="C1S06,06"/>
    <s v="DO"/>
    <s v="Require I/O DI= 0,DO=0,AI=0,AO=0,Bus=0"/>
    <x v="1"/>
    <x v="2"/>
    <n v="6"/>
    <m/>
    <n v="0"/>
    <n v="0"/>
    <n v="0"/>
    <n v="0"/>
    <n v="0"/>
    <m/>
    <s v="Dry Contact"/>
    <s v="x"/>
  </r>
  <r>
    <s v="=CA1+MCP-M1"/>
    <m/>
    <m/>
    <x v="0"/>
    <s v="Spray Dryer 1st Floor"/>
    <x v="8"/>
    <m/>
    <m/>
    <n v="0"/>
    <m/>
    <m/>
    <n v="0"/>
    <m/>
    <m/>
    <m/>
    <s v="Lototo-01"/>
    <s v="Require I/O DI= 0,DO=0,AI=0,AO=0,Bus=0"/>
    <s v="0_DO_1"/>
    <x v="1"/>
    <n v="2"/>
    <n v="1"/>
    <s v="C1S06DO"/>
    <s v="C1S06DO07"/>
    <s v="C1S06,07"/>
    <s v="DO"/>
    <s v="Require I/O DI= 0,DO=0,AI=0,AO=0,Bus=0"/>
    <x v="1"/>
    <x v="2"/>
    <n v="7"/>
    <m/>
    <n v="0"/>
    <n v="0"/>
    <n v="0"/>
    <n v="0"/>
    <n v="0"/>
    <m/>
    <s v="Dry Contact"/>
    <s v="x"/>
  </r>
  <r>
    <s v="=CA1+MCP-M1"/>
    <m/>
    <m/>
    <x v="0"/>
    <s v="Spray Dryer 1st Floor"/>
    <x v="8"/>
    <m/>
    <m/>
    <n v="0"/>
    <m/>
    <m/>
    <n v="0"/>
    <m/>
    <m/>
    <m/>
    <s v="Lototo-01"/>
    <s v="Require I/O DI= 0,DO=0,AI=0,AO=0,Bus=0"/>
    <s v="0_DO_1"/>
    <x v="1"/>
    <n v="2"/>
    <n v="1"/>
    <s v="C1S06DO"/>
    <s v="C1S06DO08"/>
    <s v="C1S06,08"/>
    <s v="DO"/>
    <s v="Require I/O DI= 0,DO=0,AI=0,AO=0,Bus=0"/>
    <x v="1"/>
    <x v="2"/>
    <n v="8"/>
    <m/>
    <n v="0"/>
    <n v="0"/>
    <n v="0"/>
    <n v="0"/>
    <n v="0"/>
    <m/>
    <s v="Dry Contact"/>
    <s v="x"/>
  </r>
  <r>
    <s v="=CA1+MCP-M1"/>
    <m/>
    <m/>
    <x v="0"/>
    <s v="Spray Dryer 1st Floor"/>
    <x v="8"/>
    <m/>
    <m/>
    <n v="0"/>
    <m/>
    <m/>
    <n v="0"/>
    <m/>
    <m/>
    <m/>
    <s v="Lototo-01"/>
    <s v="Require I/O DI= 0,DO=0,AI=0,AO=0,Bus=0"/>
    <s v="0_DO_1"/>
    <x v="1"/>
    <n v="2"/>
    <n v="1"/>
    <s v="C1S06DO"/>
    <s v="C1S06DO09"/>
    <s v="C1S06,09"/>
    <s v="DO"/>
    <s v="Require I/O DI= 0,DO=0,AI=0,AO=0,Bus=0"/>
    <x v="1"/>
    <x v="2"/>
    <n v="9"/>
    <m/>
    <n v="0"/>
    <n v="0"/>
    <n v="0"/>
    <n v="0"/>
    <n v="0"/>
    <m/>
    <s v="Dry Contact"/>
    <s v="x"/>
  </r>
  <r>
    <s v="=CA1+MCP-M1"/>
    <m/>
    <m/>
    <x v="0"/>
    <s v="Spray Dryer 1st Floor"/>
    <x v="8"/>
    <m/>
    <m/>
    <n v="0"/>
    <m/>
    <m/>
    <n v="0"/>
    <m/>
    <m/>
    <m/>
    <s v="Lototo-01"/>
    <s v="Require I/O DI= 0,DO=0,AI=0,AO=0,Bus=0"/>
    <s v="0_DO_1"/>
    <x v="1"/>
    <n v="2"/>
    <n v="1"/>
    <s v="C1S06DO"/>
    <s v="C1S06DO10"/>
    <s v="C1S06,10"/>
    <s v="DO"/>
    <s v="Require I/O DI= 0,DO=0,AI=0,AO=0,Bus=0"/>
    <x v="1"/>
    <x v="2"/>
    <n v="10"/>
    <m/>
    <n v="0"/>
    <n v="0"/>
    <n v="0"/>
    <n v="0"/>
    <n v="0"/>
    <m/>
    <s v="Dry Contact"/>
    <s v="x"/>
  </r>
  <r>
    <s v="=CA1+MCP-M1"/>
    <m/>
    <m/>
    <x v="0"/>
    <s v="Spray Dryer 1st Floor"/>
    <x v="8"/>
    <m/>
    <m/>
    <n v="0"/>
    <m/>
    <m/>
    <n v="0"/>
    <m/>
    <m/>
    <m/>
    <s v="Lototo-01"/>
    <s v="Require I/O DI= 0,DO=0,AI=0,AO=0,Bus=0"/>
    <s v="0_DO_1"/>
    <x v="1"/>
    <n v="2"/>
    <n v="1"/>
    <s v="C1S06DO"/>
    <s v="C1S06DO11"/>
    <s v="C1S06,11"/>
    <s v="DO"/>
    <s v="Require I/O DI= 0,DO=0,AI=0,AO=0,Bus=0"/>
    <x v="1"/>
    <x v="2"/>
    <n v="11"/>
    <m/>
    <n v="0"/>
    <n v="0"/>
    <n v="0"/>
    <n v="0"/>
    <n v="0"/>
    <m/>
    <s v="Dry Contact"/>
    <s v="x"/>
  </r>
  <r>
    <s v="=CA1+MCP-M1"/>
    <m/>
    <m/>
    <x v="0"/>
    <s v="Spray Dryer 1st Floor"/>
    <x v="8"/>
    <m/>
    <m/>
    <n v="0"/>
    <m/>
    <m/>
    <n v="0"/>
    <m/>
    <m/>
    <m/>
    <s v="Lototo-01"/>
    <s v="Require I/O DI= 0,DO=0,AI=0,AO=0,Bus=0"/>
    <s v="0_DO_1"/>
    <x v="1"/>
    <n v="2"/>
    <n v="1"/>
    <s v="C1S06DO"/>
    <s v="C1S06DO12"/>
    <s v="C1S06,12"/>
    <s v="DO"/>
    <s v="Require I/O DI= 0,DO=0,AI=0,AO=0,Bus=0"/>
    <x v="1"/>
    <x v="2"/>
    <n v="12"/>
    <m/>
    <n v="0"/>
    <n v="0"/>
    <n v="0"/>
    <n v="0"/>
    <n v="0"/>
    <m/>
    <s v="Dry Contact"/>
    <s v="x"/>
  </r>
  <r>
    <s v="=CA1+MCP-M1"/>
    <m/>
    <m/>
    <x v="0"/>
    <s v="Spray Dryer 1st Floor"/>
    <x v="8"/>
    <m/>
    <m/>
    <n v="0"/>
    <m/>
    <m/>
    <n v="0"/>
    <m/>
    <m/>
    <m/>
    <s v="Lototo-01"/>
    <s v="Require I/O DI= 0,DO=0,AI=0,AO=0,Bus=0"/>
    <s v="0_DO_1"/>
    <x v="1"/>
    <n v="2"/>
    <n v="1"/>
    <s v="C1S06DO"/>
    <s v="C1S06DO13"/>
    <s v="C1S06,13"/>
    <s v="DO"/>
    <s v="Require I/O DI= 0,DO=0,AI=0,AO=0,Bus=0"/>
    <x v="1"/>
    <x v="2"/>
    <n v="13"/>
    <m/>
    <n v="0"/>
    <n v="0"/>
    <n v="0"/>
    <n v="0"/>
    <n v="0"/>
    <m/>
    <s v="Dry Contact"/>
    <s v="x"/>
  </r>
  <r>
    <s v="=CA1+MCP-M1"/>
    <m/>
    <m/>
    <x v="0"/>
    <s v="Spray Dryer 1st Floor"/>
    <x v="8"/>
    <m/>
    <m/>
    <n v="0"/>
    <m/>
    <m/>
    <n v="0"/>
    <m/>
    <m/>
    <m/>
    <s v="Lototo-01"/>
    <s v="Require I/O DI= 0,DO=0,AI=0,AO=0,Bus=0"/>
    <s v="0_DO_1"/>
    <x v="1"/>
    <n v="2"/>
    <n v="1"/>
    <s v="C1S06DO"/>
    <s v="C1S06DO14"/>
    <s v="C1S06,14"/>
    <s v="DO"/>
    <s v="Require I/O DI= 0,DO=0,AI=0,AO=0,Bus=0"/>
    <x v="1"/>
    <x v="2"/>
    <n v="14"/>
    <m/>
    <n v="0"/>
    <n v="0"/>
    <n v="0"/>
    <n v="0"/>
    <n v="0"/>
    <m/>
    <s v="Dry Contact"/>
    <s v="x"/>
  </r>
  <r>
    <s v="=CA1+MCP-M1"/>
    <m/>
    <m/>
    <x v="0"/>
    <s v="Spray Dryer 1st Floor"/>
    <x v="8"/>
    <m/>
    <m/>
    <n v="0"/>
    <m/>
    <m/>
    <n v="0"/>
    <m/>
    <m/>
    <m/>
    <s v="Lototo-01"/>
    <s v="Require I/O DI= 0,DO=0,AI=0,AO=0,Bus=0"/>
    <s v="0_DO_1"/>
    <x v="1"/>
    <n v="2"/>
    <n v="1"/>
    <s v="C1S06DO"/>
    <s v="C1S06DO15"/>
    <s v="C1S06,15"/>
    <s v="DO"/>
    <s v="Require I/O DI= 0,DO=0,AI=0,AO=0,Bus=0"/>
    <x v="1"/>
    <x v="2"/>
    <n v="15"/>
    <m/>
    <n v="0"/>
    <n v="0"/>
    <n v="0"/>
    <n v="0"/>
    <n v="0"/>
    <m/>
    <s v="Dry Contact"/>
    <s v="x"/>
  </r>
  <r>
    <s v="=CA1+MCP-M1"/>
    <m/>
    <m/>
    <x v="0"/>
    <s v="Spray Dryer 1st Floor"/>
    <x v="0"/>
    <m/>
    <s v="Spray Dryer"/>
    <s v="DPI-60240"/>
    <m/>
    <m/>
    <n v="0"/>
    <s v="1st"/>
    <s v="325-01-600-PD-05"/>
    <s v="-"/>
    <s v="Gas Pressure Differntial Pressure (Bag House Air Pulsing)"/>
    <s v="Require I/O DI= 0,DO=0,AI=1,AO=0,Bus=0"/>
    <s v="DPI-60240_AI_1"/>
    <x v="3"/>
    <n v="3"/>
    <n v="1"/>
    <s v="C1S10AI"/>
    <s v="C1S10AI00"/>
    <s v="C1S10,00"/>
    <s v="AI"/>
    <s v="Require I/O DI= 0,DO=0,AI=1,AO=0,Bus=0"/>
    <x v="1"/>
    <x v="9"/>
    <n v="0"/>
    <m/>
    <n v="0"/>
    <n v="0"/>
    <n v="1"/>
    <n v="0"/>
    <n v="0"/>
    <m/>
    <s v="4 - 20 mA"/>
    <m/>
  </r>
  <r>
    <s v="=CA1+MCP-M1"/>
    <m/>
    <m/>
    <x v="0"/>
    <s v="Spray Dryer 1st Floor"/>
    <x v="0"/>
    <m/>
    <s v="Spray Dryer"/>
    <s v="DPT-60202"/>
    <m/>
    <m/>
    <s v="Differential Pressure Transmitte"/>
    <s v="1st"/>
    <s v="325-01-600-PD-08"/>
    <s v="3-25-01-602-PD-08"/>
    <s v="Gas Pressure Differential Transmitter  for Air Filter (FICA-31)"/>
    <s v="Require I/O DI= 0,DO=0,AI=1,AO=0,Bus=0"/>
    <s v="DPT-60202_AI_1"/>
    <x v="3"/>
    <n v="3"/>
    <n v="1"/>
    <s v="C1S10AI"/>
    <s v="C1S10AI01"/>
    <s v="C1S10,01"/>
    <s v="AI"/>
    <s v="Require I/O DI= 0,DO=0,AI=1,AO=0,Bus=0"/>
    <x v="1"/>
    <x v="9"/>
    <n v="1"/>
    <m/>
    <n v="0"/>
    <n v="0"/>
    <n v="1"/>
    <n v="0"/>
    <n v="0"/>
    <m/>
    <s v="4 - 20 mA"/>
    <m/>
  </r>
  <r>
    <s v="=CA1+MCP-M1"/>
    <m/>
    <m/>
    <x v="0"/>
    <s v="Spray Dryer 1st Floor"/>
    <x v="0"/>
    <m/>
    <s v="Spray Dryer"/>
    <s v="ES-60202"/>
    <m/>
    <m/>
    <n v="0"/>
    <s v="1st"/>
    <s v="325-01-600-PD-01"/>
    <s v="-"/>
    <s v=" E-Stop  for PUPD-11 (Positive Displacement Pump )"/>
    <s v="Require I/O DI= 1,DO=0,AI=0,AO=0,Bus=0"/>
    <s v="ES-60202_DI_1"/>
    <x v="0"/>
    <n v="1"/>
    <n v="1"/>
    <s v="C1S04DI"/>
    <s v="C1S04DI00"/>
    <s v="C1S04,00"/>
    <s v="DI"/>
    <s v="Require I/O DI= 1,DO=0,AI=0,AO=0,Bus=0"/>
    <x v="1"/>
    <x v="6"/>
    <n v="0"/>
    <m/>
    <n v="1"/>
    <n v="0"/>
    <n v="0"/>
    <n v="0"/>
    <n v="0"/>
    <m/>
    <n v="0"/>
    <s v="x"/>
  </r>
  <r>
    <s v="=CA1+MCP-M1"/>
    <m/>
    <m/>
    <x v="0"/>
    <s v="Spray Dryer 1st Floor"/>
    <x v="0"/>
    <m/>
    <s v="Spray Dryer"/>
    <s v="FS-60205"/>
    <m/>
    <m/>
    <s v="Flow Switch"/>
    <s v="1st"/>
    <s v="325-01-600-PD-01"/>
    <s v="3-25-01-602-PD-01"/>
    <s v="Cooling Water Return Flow Switch for Positive Displacement Pump (PUPD-11)"/>
    <s v="Require I/O DI= 1,DO=0,AI=0,AO=0,Bus=0"/>
    <s v="FS-60205_DI_1"/>
    <x v="0"/>
    <n v="1"/>
    <n v="1"/>
    <s v="C1S04DI"/>
    <s v="C1S04DI01"/>
    <s v="C1S04,01"/>
    <s v="DI"/>
    <s v="Require I/O DI= 1,DO=0,AI=0,AO=0,Bus=0"/>
    <x v="1"/>
    <x v="6"/>
    <n v="1"/>
    <m/>
    <n v="1"/>
    <n v="0"/>
    <n v="0"/>
    <n v="0"/>
    <n v="0"/>
    <m/>
    <n v="0"/>
    <s v="x"/>
  </r>
  <r>
    <s v="=CA1+MCP-M1"/>
    <m/>
    <m/>
    <x v="0"/>
    <s v="Spray Dryer 1st Floor"/>
    <x v="0"/>
    <m/>
    <s v="Spray Dryer"/>
    <s v="FT-60201"/>
    <m/>
    <m/>
    <n v="0"/>
    <s v="1st"/>
    <s v="325-01-600-PD-08"/>
    <s v="3-25-01-602-PD-08"/>
    <s v="Gas Flow Transmitter for Cooling Conveying Cold Air Duct (DTCA-32)"/>
    <s v="Require I/O DI= 0,DO=0,AI=1,AO=0,Bus=0"/>
    <s v="FT-60201_AI_1"/>
    <x v="3"/>
    <n v="3"/>
    <n v="1"/>
    <s v="C1S10AI"/>
    <s v="C1S10AI02"/>
    <s v="C1S10,02"/>
    <s v="AI"/>
    <s v="Require I/O DI= 0,DO=0,AI=1,AO=0,Bus=0"/>
    <x v="1"/>
    <x v="9"/>
    <n v="2"/>
    <m/>
    <n v="0"/>
    <n v="0"/>
    <n v="1"/>
    <n v="0"/>
    <n v="0"/>
    <m/>
    <s v="4 - 20 mA"/>
    <m/>
  </r>
  <r>
    <s v="=CA1+MCP-M1"/>
    <m/>
    <m/>
    <x v="0"/>
    <s v="Spray Dryer 1st Floor"/>
    <x v="0"/>
    <m/>
    <s v="Spray Dryer"/>
    <s v="FT-60204"/>
    <m/>
    <m/>
    <n v="0"/>
    <s v="1st"/>
    <s v="325-01-600-PD-10"/>
    <s v="3-25-01-602-PD-10"/>
    <s v="Compressed air Flow "/>
    <s v="Require I/O DI= 0,DO=0,AI=1,AO=0,Bus=0"/>
    <s v="FT-60204_AI_1"/>
    <x v="3"/>
    <n v="3"/>
    <n v="1"/>
    <s v="C1S10AI"/>
    <s v="C1S10AI03"/>
    <s v="C1S10,03"/>
    <s v="AI"/>
    <s v="Require I/O DI= 0,DO=0,AI=1,AO=0,Bus=0"/>
    <x v="1"/>
    <x v="9"/>
    <n v="3"/>
    <m/>
    <n v="0"/>
    <n v="0"/>
    <n v="1"/>
    <n v="0"/>
    <n v="0"/>
    <m/>
    <s v="4 - 20 mA"/>
    <m/>
  </r>
  <r>
    <s v="=CA1+MCP-M1"/>
    <m/>
    <m/>
    <x v="0"/>
    <s v="Spray Dryer 1st Floor"/>
    <x v="0"/>
    <m/>
    <s v="Spray Dryer"/>
    <s v="FT-61307"/>
    <m/>
    <m/>
    <n v="0"/>
    <s v="1st"/>
    <s v="-"/>
    <s v="3-25-01-613-PD-04"/>
    <s v="Compressed air Flow "/>
    <s v="Require I/O DI= 0,DO=0,AI=1,AO=0,Bus=0"/>
    <s v="FT-61307_AI_1"/>
    <x v="3"/>
    <n v="3"/>
    <n v="1"/>
    <s v="C1S10AI"/>
    <s v="C1S10AI04"/>
    <s v="C1S10,04"/>
    <s v="AI"/>
    <s v="Require I/O DI= 0,DO=0,AI=1,AO=0,Bus=0"/>
    <x v="1"/>
    <x v="9"/>
    <n v="4"/>
    <m/>
    <n v="0"/>
    <n v="0"/>
    <n v="1"/>
    <n v="0"/>
    <n v="0"/>
    <m/>
    <s v="4 - 20 mA"/>
    <m/>
  </r>
  <r>
    <s v="=CA1+MCP-M1"/>
    <m/>
    <m/>
    <x v="0"/>
    <s v="Spray Dryer 1st Floor"/>
    <x v="0"/>
    <m/>
    <s v="Spray Dryer"/>
    <s v="LSL-60201"/>
    <m/>
    <m/>
    <n v="0"/>
    <s v="1st"/>
    <s v="325-01-600-PD-11"/>
    <s v="3-25-01-602-PD-11"/>
    <s v="Level low switch "/>
    <s v="Require I/O DI= 1,DO=0,AI=0,AO=0,Bus=0"/>
    <s v="LSL-60201_DI_1"/>
    <x v="0"/>
    <n v="1"/>
    <n v="1"/>
    <s v="C1S04DI"/>
    <s v="C1S04DI03"/>
    <s v="C1S04,03"/>
    <s v="DI"/>
    <s v="Require I/O DI= 1,DO=0,AI=0,AO=0,Bus=0"/>
    <x v="1"/>
    <x v="6"/>
    <n v="3"/>
    <m/>
    <n v="1"/>
    <n v="0"/>
    <n v="0"/>
    <n v="0"/>
    <n v="0"/>
    <m/>
    <s v="Dry Contact"/>
    <s v="x"/>
  </r>
  <r>
    <s v="=CA1+MCP-M1"/>
    <m/>
    <m/>
    <x v="0"/>
    <s v="Spray Dryer 1st Floor"/>
    <x v="0"/>
    <m/>
    <s v="Spray Dryer"/>
    <s v="PT-60203"/>
    <m/>
    <m/>
    <s v="Pressure Transmitter"/>
    <s v="1st"/>
    <s v="325-01-600-PD-08"/>
    <s v="3-25-01-602-PD-08"/>
    <s v="Gas Pressure Transmitter for Cool Air Duct (DTCA-32)"/>
    <s v="Require I/O DI= 0,DO=0,AI=1,AO=0,Bus=0"/>
    <s v="PT-60203_AI_1"/>
    <x v="3"/>
    <n v="3"/>
    <n v="1"/>
    <s v="C1S10AI"/>
    <s v="C1S10AI05"/>
    <s v="C1S10,05"/>
    <s v="AI"/>
    <s v="Require I/O DI= 0,DO=0,AI=1,AO=0,Bus=0"/>
    <x v="1"/>
    <x v="9"/>
    <n v="5"/>
    <m/>
    <n v="0"/>
    <n v="0"/>
    <n v="1"/>
    <n v="0"/>
    <n v="0"/>
    <m/>
    <s v="4 - 20 mA"/>
    <m/>
  </r>
  <r>
    <s v="=CA1+MCP-M1"/>
    <m/>
    <m/>
    <x v="0"/>
    <s v="Spray Dryer 1st Floor"/>
    <x v="0"/>
    <m/>
    <s v="Spray Dryer"/>
    <s v="PT-60204"/>
    <m/>
    <m/>
    <s v="Pressure Transmitter"/>
    <s v="1st"/>
    <s v="325-01-600-PD-10"/>
    <s v="3-25-01-602-PD-10"/>
    <s v="Pressure transmitter"/>
    <s v="Require I/O DI= 0,DO=0,AI=1,AO=0,Bus=0"/>
    <s v="PT-60204_AI_1"/>
    <x v="3"/>
    <n v="3"/>
    <n v="1"/>
    <s v="C1S10AI"/>
    <s v="C1S10AI06"/>
    <s v="C1S10,06"/>
    <s v="AI"/>
    <s v="Require I/O DI= 0,DO=0,AI=1,AO=0,Bus=0"/>
    <x v="1"/>
    <x v="9"/>
    <n v="6"/>
    <m/>
    <n v="0"/>
    <n v="0"/>
    <n v="1"/>
    <n v="0"/>
    <n v="0"/>
    <m/>
    <s v="4 - 20 mA"/>
    <m/>
  </r>
  <r>
    <s v="=CA1+MCP-M1"/>
    <m/>
    <m/>
    <x v="0"/>
    <s v="Spray Dryer 1st Floor"/>
    <x v="0"/>
    <m/>
    <s v="Spray Dryer"/>
    <s v="PT-60205"/>
    <m/>
    <m/>
    <s v="Pressure Transmitter"/>
    <s v="1st"/>
    <s v="325-01-600-PD-01"/>
    <s v="3-25-01-602-PD-01"/>
    <s v="Feed Slurry Pressure Transmitter for High Pressure Pump Outlet (PUPD-11)"/>
    <s v="Require I/O DI= 0,DO=0,AI=1,AO=0,Bus=0"/>
    <s v="PT-60205_AI_1"/>
    <x v="3"/>
    <n v="3"/>
    <n v="1"/>
    <s v="C1S10AI"/>
    <s v="C1S10AI07"/>
    <s v="C1S10,07"/>
    <s v="AI"/>
    <s v="Require I/O DI= 0,DO=0,AI=1,AO=0,Bus=0"/>
    <x v="1"/>
    <x v="9"/>
    <n v="7"/>
    <m/>
    <n v="0"/>
    <n v="0"/>
    <n v="1"/>
    <n v="0"/>
    <n v="0"/>
    <m/>
    <s v="4 - 20 mA"/>
    <m/>
  </r>
  <r>
    <s v="=CA1+MCP-M1"/>
    <m/>
    <m/>
    <x v="0"/>
    <s v="Spray Dryer 1st Floor"/>
    <x v="0"/>
    <m/>
    <m/>
    <s v="Spare"/>
    <m/>
    <m/>
    <e v="#N/A"/>
    <m/>
    <m/>
    <m/>
    <e v="#N/A"/>
    <s v="Require I/O DI= 0,DO=0,AI=0,AO=0,Bus=0"/>
    <s v="Spare_DI_1"/>
    <x v="0"/>
    <n v="1"/>
    <n v="1"/>
    <s v="C1S04DI"/>
    <s v="C1S04DI17"/>
    <s v="C1S04,17"/>
    <s v="DI"/>
    <s v="Require I/O DI= 0,DO=0,AI=0,AO=0,Bus=0"/>
    <x v="1"/>
    <x v="6"/>
    <n v="17"/>
    <m/>
    <n v="0"/>
    <n v="0"/>
    <n v="0"/>
    <n v="0"/>
    <n v="0"/>
    <m/>
    <e v="#N/A"/>
    <s v="x"/>
  </r>
  <r>
    <s v="=CA1+MCP-M1"/>
    <m/>
    <m/>
    <x v="0"/>
    <s v="Spray Dryer 1st Floor"/>
    <x v="0"/>
    <m/>
    <m/>
    <s v="Spare"/>
    <m/>
    <m/>
    <e v="#N/A"/>
    <m/>
    <m/>
    <m/>
    <e v="#N/A"/>
    <s v="Require I/O DI= 0,DO=0,AI=0,AO=0,Bus=0"/>
    <s v="Spare_DI_1"/>
    <x v="0"/>
    <n v="1"/>
    <n v="1"/>
    <s v="C1S04DI"/>
    <s v="C1S04DI18"/>
    <s v="C1S04,18"/>
    <s v="DI"/>
    <s v="Require I/O DI= 0,DO=0,AI=0,AO=0,Bus=0"/>
    <x v="1"/>
    <x v="6"/>
    <n v="18"/>
    <m/>
    <n v="0"/>
    <n v="0"/>
    <n v="0"/>
    <n v="0"/>
    <n v="0"/>
    <m/>
    <e v="#N/A"/>
    <s v="x"/>
  </r>
  <r>
    <s v="=CA1+MCP-M1"/>
    <m/>
    <m/>
    <x v="0"/>
    <s v="Spray Dryer 1st Floor"/>
    <x v="0"/>
    <m/>
    <m/>
    <s v="Spare"/>
    <m/>
    <m/>
    <e v="#N/A"/>
    <m/>
    <m/>
    <m/>
    <e v="#N/A"/>
    <s v="Require I/O DI= 0,DO=0,AI=0,AO=0,Bus=0"/>
    <s v="Spare_DI_1"/>
    <x v="0"/>
    <n v="1"/>
    <n v="1"/>
    <s v="C1S04DI"/>
    <s v="C1S04DI19"/>
    <s v="C1S04,19"/>
    <s v="DI"/>
    <s v="Require I/O DI= 0,DO=0,AI=0,AO=0,Bus=0"/>
    <x v="1"/>
    <x v="6"/>
    <n v="19"/>
    <m/>
    <n v="0"/>
    <n v="0"/>
    <n v="0"/>
    <n v="0"/>
    <n v="0"/>
    <m/>
    <e v="#N/A"/>
    <s v="x"/>
  </r>
  <r>
    <s v="=CA1+MCP-M1"/>
    <m/>
    <m/>
    <x v="0"/>
    <s v="Spray Dryer 1st Floor"/>
    <x v="0"/>
    <m/>
    <m/>
    <s v="Spare"/>
    <m/>
    <m/>
    <e v="#N/A"/>
    <m/>
    <m/>
    <m/>
    <e v="#N/A"/>
    <s v="Require I/O DI= 0,DO=0,AI=0,AO=0,Bus=0"/>
    <s v="Spare_DI_1"/>
    <x v="0"/>
    <n v="1"/>
    <n v="1"/>
    <s v="C1S04DI"/>
    <s v="C1S04DI20"/>
    <s v="C1S04,20"/>
    <s v="DI"/>
    <s v="Require I/O DI= 0,DO=0,AI=0,AO=0,Bus=0"/>
    <x v="1"/>
    <x v="6"/>
    <n v="20"/>
    <m/>
    <n v="0"/>
    <n v="0"/>
    <n v="0"/>
    <n v="0"/>
    <n v="0"/>
    <m/>
    <e v="#N/A"/>
    <s v="x"/>
  </r>
  <r>
    <s v="=CA1+MCP-M1"/>
    <m/>
    <m/>
    <x v="0"/>
    <s v="Spray Dryer 1st Floor"/>
    <x v="0"/>
    <m/>
    <m/>
    <s v="Spare"/>
    <m/>
    <m/>
    <e v="#N/A"/>
    <m/>
    <m/>
    <m/>
    <e v="#N/A"/>
    <s v="Require I/O DI= 0,DO=0,AI=0,AO=0,Bus=0"/>
    <s v="Spare_DI_1"/>
    <x v="0"/>
    <n v="1"/>
    <n v="1"/>
    <s v="C1S04DI"/>
    <s v="C1S04DI21"/>
    <s v="C1S04,21"/>
    <s v="DI"/>
    <s v="Require I/O DI= 0,DO=0,AI=0,AO=0,Bus=0"/>
    <x v="1"/>
    <x v="6"/>
    <n v="21"/>
    <m/>
    <n v="0"/>
    <n v="0"/>
    <n v="0"/>
    <n v="0"/>
    <n v="0"/>
    <m/>
    <e v="#N/A"/>
    <s v="x"/>
  </r>
  <r>
    <s v="=CA1+MCP-M1"/>
    <m/>
    <m/>
    <x v="0"/>
    <s v="Spray Dryer 1st Floor"/>
    <x v="0"/>
    <m/>
    <m/>
    <s v="Spare"/>
    <m/>
    <m/>
    <e v="#N/A"/>
    <m/>
    <m/>
    <m/>
    <e v="#N/A"/>
    <s v="Require I/O DI= 0,DO=0,AI=0,AO=0,Bus=0"/>
    <s v="Spare_DI_1"/>
    <x v="0"/>
    <n v="1"/>
    <n v="1"/>
    <s v="C1S04DI"/>
    <s v="C1S04DI22"/>
    <s v="C1S04,22"/>
    <s v="DI"/>
    <s v="Require I/O DI= 0,DO=0,AI=0,AO=0,Bus=0"/>
    <x v="1"/>
    <x v="6"/>
    <n v="22"/>
    <m/>
    <n v="0"/>
    <n v="0"/>
    <n v="0"/>
    <n v="0"/>
    <n v="0"/>
    <m/>
    <e v="#N/A"/>
    <s v="x"/>
  </r>
  <r>
    <s v="=CA1+MCP-M1"/>
    <m/>
    <m/>
    <x v="0"/>
    <s v="Spray Dryer 1st Floor"/>
    <x v="0"/>
    <m/>
    <m/>
    <s v="Spare"/>
    <m/>
    <m/>
    <e v="#N/A"/>
    <m/>
    <m/>
    <m/>
    <e v="#N/A"/>
    <s v="Require I/O DI= 0,DO=0,AI=0,AO=0,Bus=0"/>
    <s v="Spare_DI_1"/>
    <x v="0"/>
    <n v="1"/>
    <n v="1"/>
    <s v="C1S04DI"/>
    <s v="C1S04DI23"/>
    <s v="C1S04,23"/>
    <s v="DI"/>
    <s v="Require I/O DI= 0,DO=0,AI=0,AO=0,Bus=0"/>
    <x v="1"/>
    <x v="6"/>
    <n v="23"/>
    <m/>
    <n v="0"/>
    <n v="0"/>
    <n v="0"/>
    <n v="0"/>
    <n v="0"/>
    <m/>
    <e v="#N/A"/>
    <s v="x"/>
  </r>
  <r>
    <s v="=CA1+MCP-M1"/>
    <m/>
    <m/>
    <x v="0"/>
    <s v="Spray Dryer 1st Floor"/>
    <x v="0"/>
    <m/>
    <m/>
    <s v="Spare"/>
    <m/>
    <m/>
    <e v="#N/A"/>
    <m/>
    <m/>
    <m/>
    <e v="#N/A"/>
    <s v="Require I/O DI= 0,DO=0,AI=0,AO=0,Bus=0"/>
    <s v="Spare_DI_1"/>
    <x v="0"/>
    <n v="1"/>
    <n v="1"/>
    <s v="C1S04DI"/>
    <s v="C1S04DI24"/>
    <s v="C1S04,24"/>
    <s v="DI"/>
    <s v="Require I/O DI= 0,DO=0,AI=0,AO=0,Bus=0"/>
    <x v="1"/>
    <x v="6"/>
    <n v="24"/>
    <m/>
    <n v="0"/>
    <n v="0"/>
    <n v="0"/>
    <n v="0"/>
    <n v="0"/>
    <m/>
    <e v="#N/A"/>
    <s v="x"/>
  </r>
  <r>
    <s v="=CA1+MCP-M1"/>
    <m/>
    <m/>
    <x v="0"/>
    <s v="Spray Dryer 1st Floor"/>
    <x v="0"/>
    <m/>
    <m/>
    <s v="Spare"/>
    <m/>
    <m/>
    <e v="#N/A"/>
    <m/>
    <m/>
    <m/>
    <e v="#N/A"/>
    <s v="Require I/O DI= 0,DO=0,AI=0,AO=0,Bus=0"/>
    <s v="Spare_DI_1"/>
    <x v="0"/>
    <n v="1"/>
    <n v="1"/>
    <s v="C1S04DI"/>
    <s v="C1S04DI25"/>
    <s v="C1S04,25"/>
    <s v="DI"/>
    <s v="Require I/O DI= 0,DO=0,AI=0,AO=0,Bus=0"/>
    <x v="1"/>
    <x v="6"/>
    <n v="25"/>
    <m/>
    <n v="0"/>
    <n v="0"/>
    <n v="0"/>
    <n v="0"/>
    <n v="0"/>
    <m/>
    <e v="#N/A"/>
    <s v="x"/>
  </r>
  <r>
    <s v="=CA1+MCP-M1"/>
    <m/>
    <m/>
    <x v="0"/>
    <s v="Spray Dryer 1st Floor"/>
    <x v="0"/>
    <m/>
    <m/>
    <s v="Spare"/>
    <m/>
    <m/>
    <e v="#N/A"/>
    <m/>
    <m/>
    <m/>
    <e v="#N/A"/>
    <s v="Require I/O DI= 0,DO=0,AI=0,AO=0,Bus=0"/>
    <s v="Spare_DI_1"/>
    <x v="0"/>
    <n v="1"/>
    <n v="1"/>
    <s v="C1S04DI"/>
    <s v="C1S04DI26"/>
    <s v="C1S04,26"/>
    <s v="DI"/>
    <s v="Require I/O DI= 0,DO=0,AI=0,AO=0,Bus=0"/>
    <x v="1"/>
    <x v="6"/>
    <n v="26"/>
    <m/>
    <n v="0"/>
    <n v="0"/>
    <n v="0"/>
    <n v="0"/>
    <n v="0"/>
    <m/>
    <e v="#N/A"/>
    <s v="x"/>
  </r>
  <r>
    <s v="=CA1+MCP-M1"/>
    <m/>
    <m/>
    <x v="0"/>
    <s v="Spray Dryer 1st Floor"/>
    <x v="0"/>
    <m/>
    <m/>
    <s v="Spare"/>
    <m/>
    <m/>
    <e v="#N/A"/>
    <m/>
    <m/>
    <m/>
    <e v="#N/A"/>
    <s v="Require I/O DI= 0,DO=0,AI=0,AO=0,Bus=0"/>
    <s v="Spare_DI_1"/>
    <x v="0"/>
    <n v="1"/>
    <n v="1"/>
    <s v="C1S04DI"/>
    <s v="C1S04DI27"/>
    <s v="C1S04,27"/>
    <s v="DI"/>
    <s v="Require I/O DI= 0,DO=0,AI=0,AO=0,Bus=0"/>
    <x v="1"/>
    <x v="6"/>
    <n v="27"/>
    <m/>
    <n v="0"/>
    <n v="0"/>
    <n v="0"/>
    <n v="0"/>
    <n v="0"/>
    <m/>
    <e v="#N/A"/>
    <s v="x"/>
  </r>
  <r>
    <s v="=CA1+MCP-M1"/>
    <m/>
    <m/>
    <x v="0"/>
    <s v="Spray Dryer 1st Floor"/>
    <x v="0"/>
    <m/>
    <m/>
    <s v="Spare"/>
    <m/>
    <m/>
    <e v="#N/A"/>
    <m/>
    <m/>
    <m/>
    <e v="#N/A"/>
    <s v="Require I/O DI= 0,DO=0,AI=0,AO=0,Bus=0"/>
    <s v="Spare_DI_1"/>
    <x v="0"/>
    <n v="1"/>
    <n v="1"/>
    <s v="C1S04DI"/>
    <s v="C1S04DI28"/>
    <s v="C1S04,28"/>
    <s v="DI"/>
    <s v="Require I/O DI= 0,DO=0,AI=0,AO=0,Bus=0"/>
    <x v="1"/>
    <x v="6"/>
    <n v="28"/>
    <m/>
    <n v="0"/>
    <n v="0"/>
    <n v="0"/>
    <n v="0"/>
    <n v="0"/>
    <m/>
    <e v="#N/A"/>
    <s v="x"/>
  </r>
  <r>
    <s v="=CA1+MCP-M1"/>
    <m/>
    <m/>
    <x v="0"/>
    <s v="Spray Dryer 1st Floor"/>
    <x v="0"/>
    <m/>
    <m/>
    <s v="Spare"/>
    <m/>
    <m/>
    <e v="#N/A"/>
    <m/>
    <m/>
    <m/>
    <e v="#N/A"/>
    <s v="Require I/O DI= 0,DO=0,AI=0,AO=0,Bus=0"/>
    <s v="Spare_DI_1"/>
    <x v="0"/>
    <n v="1"/>
    <n v="1"/>
    <s v="C1S04DI"/>
    <s v="C1S04DI29"/>
    <s v="C1S04,29"/>
    <s v="DI"/>
    <s v="Require I/O DI= 0,DO=0,AI=0,AO=0,Bus=0"/>
    <x v="1"/>
    <x v="6"/>
    <n v="29"/>
    <m/>
    <n v="0"/>
    <n v="0"/>
    <n v="0"/>
    <n v="0"/>
    <n v="0"/>
    <m/>
    <e v="#N/A"/>
    <s v="x"/>
  </r>
  <r>
    <s v="=CA1+MCP-M1"/>
    <m/>
    <m/>
    <x v="0"/>
    <s v="Spray Dryer 1st Floor"/>
    <x v="0"/>
    <m/>
    <m/>
    <s v="Spare"/>
    <m/>
    <m/>
    <e v="#N/A"/>
    <m/>
    <m/>
    <m/>
    <e v="#N/A"/>
    <s v="Require I/O DI= 0,DO=0,AI=0,AO=0,Bus=0"/>
    <s v="Spare_DI_1"/>
    <x v="0"/>
    <n v="1"/>
    <n v="1"/>
    <s v="C1S04DI"/>
    <s v="C1S04DI30"/>
    <s v="C1S04,30"/>
    <s v="DI"/>
    <s v="Require I/O DI= 0,DO=0,AI=0,AO=0,Bus=0"/>
    <x v="1"/>
    <x v="6"/>
    <n v="30"/>
    <m/>
    <n v="0"/>
    <n v="0"/>
    <n v="0"/>
    <n v="0"/>
    <n v="0"/>
    <m/>
    <e v="#N/A"/>
    <s v="x"/>
  </r>
  <r>
    <s v="=CA1+MCP-M1"/>
    <m/>
    <m/>
    <x v="0"/>
    <s v="Spray Dryer 1st Floor"/>
    <x v="0"/>
    <m/>
    <m/>
    <s v="Spare"/>
    <m/>
    <m/>
    <e v="#N/A"/>
    <m/>
    <m/>
    <m/>
    <e v="#N/A"/>
    <s v="Require I/O DI= 0,DO=0,AI=0,AO=0,Bus=0"/>
    <s v="Spare_DI_1"/>
    <x v="0"/>
    <n v="1"/>
    <n v="1"/>
    <s v="C1S04DI"/>
    <s v="C1S04DI31"/>
    <s v="C1S04,31"/>
    <s v="DI"/>
    <s v="Require I/O DI= 0,DO=0,AI=0,AO=0,Bus=0"/>
    <x v="1"/>
    <x v="6"/>
    <n v="31"/>
    <m/>
    <n v="0"/>
    <n v="0"/>
    <n v="0"/>
    <n v="0"/>
    <n v="0"/>
    <m/>
    <e v="#N/A"/>
    <s v="x"/>
  </r>
  <r>
    <s v="=CA1+MCP-M1"/>
    <m/>
    <m/>
    <x v="0"/>
    <s v="Spray Dryer 1st Floor"/>
    <x v="0"/>
    <m/>
    <s v="Spray Dryer"/>
    <s v="Spare"/>
    <m/>
    <m/>
    <e v="#N/A"/>
    <s v="1st"/>
    <s v="-"/>
    <s v="-"/>
    <e v="#N/A"/>
    <s v="Require I/O DI= 0,DO=0,AI=0,AO=0,Bus=0"/>
    <s v="Spare_DI_0"/>
    <x v="0"/>
    <n v="1"/>
    <n v="0"/>
    <s v="C1S05DI"/>
    <s v="C1S05DI15"/>
    <s v="C1S05,15"/>
    <s v="DI"/>
    <s v="Require I/O DI= 0,DO=0,AI=0,AO=0,Bus=0"/>
    <x v="1"/>
    <x v="5"/>
    <n v="15"/>
    <m/>
    <n v="0"/>
    <n v="0"/>
    <n v="0"/>
    <n v="0"/>
    <n v="0"/>
    <m/>
    <e v="#N/A"/>
    <m/>
  </r>
  <r>
    <s v="=CA1+MCP-M1"/>
    <m/>
    <m/>
    <x v="0"/>
    <s v="Spray Dryer 1st Floor"/>
    <x v="0"/>
    <m/>
    <s v="Spray Dryer"/>
    <s v="Spare"/>
    <m/>
    <m/>
    <e v="#N/A"/>
    <s v="1st"/>
    <s v="-"/>
    <s v="-"/>
    <e v="#N/A"/>
    <s v="Require I/O DI= 0,DO=0,AI=0,AO=0,Bus=0"/>
    <s v="Spare_DI_0"/>
    <x v="0"/>
    <n v="1"/>
    <n v="0"/>
    <s v="C1S05DI"/>
    <s v="C1S05DI16"/>
    <s v="C1S05,16"/>
    <s v="DI"/>
    <s v="Require I/O DI= 0,DO=0,AI=0,AO=0,Bus=0"/>
    <x v="1"/>
    <x v="5"/>
    <n v="16"/>
    <m/>
    <n v="0"/>
    <n v="0"/>
    <n v="0"/>
    <n v="0"/>
    <n v="0"/>
    <m/>
    <e v="#N/A"/>
    <m/>
  </r>
  <r>
    <s v="=CA1+MCP-M1"/>
    <m/>
    <m/>
    <x v="0"/>
    <s v="Spray Dryer 1st Floor"/>
    <x v="0"/>
    <m/>
    <s v="Spray Dryer"/>
    <s v="Spare"/>
    <m/>
    <m/>
    <e v="#N/A"/>
    <s v="1st"/>
    <s v="-"/>
    <s v="-"/>
    <e v="#N/A"/>
    <s v="Require I/O DI= 0,DO=0,AI=0,AO=0,Bus=0"/>
    <s v="Spare_DI_0"/>
    <x v="0"/>
    <n v="1"/>
    <n v="0"/>
    <s v="C1S05DI"/>
    <s v="C1S05DI17"/>
    <s v="C1S05,17"/>
    <s v="DI"/>
    <s v="Require I/O DI= 0,DO=0,AI=0,AO=0,Bus=0"/>
    <x v="1"/>
    <x v="5"/>
    <n v="17"/>
    <m/>
    <n v="0"/>
    <n v="0"/>
    <n v="0"/>
    <n v="0"/>
    <n v="0"/>
    <m/>
    <e v="#N/A"/>
    <m/>
  </r>
  <r>
    <s v="=CA1+MCP-M1"/>
    <m/>
    <m/>
    <x v="0"/>
    <s v="Spray Dryer 1st Floor"/>
    <x v="0"/>
    <m/>
    <s v="Spray Dryer"/>
    <s v="Spare"/>
    <m/>
    <m/>
    <e v="#N/A"/>
    <s v="1st"/>
    <s v="-"/>
    <s v="-"/>
    <e v="#N/A"/>
    <s v="Require I/O DI= 0,DO=0,AI=0,AO=0,Bus=0"/>
    <s v="Spare_DI_0"/>
    <x v="0"/>
    <n v="1"/>
    <n v="0"/>
    <s v="C1S05DI"/>
    <s v="C1S05DI18"/>
    <s v="C1S05,18"/>
    <s v="DI"/>
    <s v="Require I/O DI= 0,DO=0,AI=0,AO=0,Bus=0"/>
    <x v="1"/>
    <x v="5"/>
    <n v="18"/>
    <m/>
    <n v="0"/>
    <n v="0"/>
    <n v="0"/>
    <n v="0"/>
    <n v="0"/>
    <m/>
    <e v="#N/A"/>
    <m/>
  </r>
  <r>
    <s v="=CA1+MCP-M1"/>
    <m/>
    <m/>
    <x v="0"/>
    <s v="Spray Dryer 1st Floor"/>
    <x v="0"/>
    <m/>
    <s v="Spray Dryer"/>
    <s v="Spare"/>
    <m/>
    <m/>
    <e v="#N/A"/>
    <s v="1st"/>
    <s v="-"/>
    <s v="-"/>
    <e v="#N/A"/>
    <s v="Require I/O DI= 0,DO=0,AI=0,AO=0,Bus=0"/>
    <s v="Spare_DI_0"/>
    <x v="0"/>
    <n v="1"/>
    <n v="0"/>
    <s v="C1S05DI"/>
    <s v="C1S05DI19"/>
    <s v="C1S05,19"/>
    <s v="DI"/>
    <s v="Require I/O DI= 0,DO=0,AI=0,AO=0,Bus=0"/>
    <x v="1"/>
    <x v="5"/>
    <n v="19"/>
    <m/>
    <n v="0"/>
    <n v="0"/>
    <n v="0"/>
    <n v="0"/>
    <n v="0"/>
    <m/>
    <e v="#N/A"/>
    <m/>
  </r>
  <r>
    <s v="=CA1+MCP-M1"/>
    <m/>
    <m/>
    <x v="0"/>
    <s v="Spray Dryer 1st Floor"/>
    <x v="0"/>
    <m/>
    <s v="Spray Dryer"/>
    <s v="Spare"/>
    <m/>
    <m/>
    <e v="#N/A"/>
    <s v="1st"/>
    <s v="-"/>
    <s v="-"/>
    <e v="#N/A"/>
    <s v="Require I/O DI= 0,DO=0,AI=0,AO=0,Bus=0"/>
    <s v="Spare_DI_0"/>
    <x v="0"/>
    <n v="1"/>
    <n v="0"/>
    <s v="C1S05DI"/>
    <s v="C1S05DI20"/>
    <s v="C1S05,20"/>
    <s v="DI"/>
    <s v="Require I/O DI= 0,DO=0,AI=0,AO=0,Bus=0"/>
    <x v="1"/>
    <x v="5"/>
    <n v="20"/>
    <m/>
    <n v="0"/>
    <n v="0"/>
    <n v="0"/>
    <n v="0"/>
    <n v="0"/>
    <m/>
    <e v="#N/A"/>
    <m/>
  </r>
  <r>
    <s v="=CA1+MCP-M1"/>
    <m/>
    <m/>
    <x v="0"/>
    <s v="Spray Dryer 1st Floor"/>
    <x v="0"/>
    <m/>
    <s v="Spray Dryer"/>
    <s v="Spare"/>
    <m/>
    <m/>
    <e v="#N/A"/>
    <s v="1st"/>
    <s v="-"/>
    <s v="-"/>
    <e v="#N/A"/>
    <s v="Require I/O DI= 0,DO=0,AI=0,AO=0,Bus=0"/>
    <s v="Spare_DI_0"/>
    <x v="0"/>
    <n v="1"/>
    <n v="0"/>
    <s v="C1S05DI"/>
    <s v="C1S05DI21"/>
    <s v="C1S05,21"/>
    <s v="DI"/>
    <s v="Require I/O DI= 0,DO=0,AI=0,AO=0,Bus=0"/>
    <x v="1"/>
    <x v="5"/>
    <n v="21"/>
    <m/>
    <n v="0"/>
    <n v="0"/>
    <n v="0"/>
    <n v="0"/>
    <n v="0"/>
    <m/>
    <e v="#N/A"/>
    <m/>
  </r>
  <r>
    <s v="=CA1+MCP-M1"/>
    <m/>
    <m/>
    <x v="0"/>
    <s v="Spray Dryer 1st Floor"/>
    <x v="0"/>
    <m/>
    <s v="Spray Dryer"/>
    <s v="Spare"/>
    <m/>
    <m/>
    <e v="#N/A"/>
    <s v="1st"/>
    <s v="-"/>
    <s v="-"/>
    <e v="#N/A"/>
    <s v="Require I/O DI= 0,DO=0,AI=0,AO=0,Bus=0"/>
    <s v="Spare_DI_0"/>
    <x v="0"/>
    <n v="1"/>
    <n v="0"/>
    <s v="C1S05DI"/>
    <s v="C1S05DI22"/>
    <s v="C1S05,22"/>
    <s v="DI"/>
    <s v="Require I/O DI= 0,DO=0,AI=0,AO=0,Bus=0"/>
    <x v="1"/>
    <x v="5"/>
    <n v="22"/>
    <m/>
    <n v="0"/>
    <n v="0"/>
    <n v="0"/>
    <n v="0"/>
    <n v="0"/>
    <m/>
    <e v="#N/A"/>
    <m/>
  </r>
  <r>
    <s v="=CA1+MCP-M1"/>
    <m/>
    <m/>
    <x v="0"/>
    <s v="Spray Dryer 1st Floor"/>
    <x v="0"/>
    <m/>
    <s v="Spray Dryer"/>
    <s v="Spare"/>
    <m/>
    <m/>
    <e v="#N/A"/>
    <s v="1st"/>
    <s v="-"/>
    <s v="-"/>
    <e v="#N/A"/>
    <s v="Require I/O DI= 0,DO=0,AI=0,AO=0,Bus=0"/>
    <s v="Spare_DI_0"/>
    <x v="0"/>
    <n v="1"/>
    <n v="0"/>
    <s v="C1S05DI"/>
    <s v="C1S05DI23"/>
    <s v="C1S05,23"/>
    <s v="DI"/>
    <s v="Require I/O DI= 0,DO=0,AI=0,AO=0,Bus=0"/>
    <x v="1"/>
    <x v="5"/>
    <n v="23"/>
    <m/>
    <n v="0"/>
    <n v="0"/>
    <n v="0"/>
    <n v="0"/>
    <n v="0"/>
    <m/>
    <e v="#N/A"/>
    <m/>
  </r>
  <r>
    <s v="=CA1+MCP-M1"/>
    <m/>
    <m/>
    <x v="0"/>
    <s v="Spray Dryer 1st Floor"/>
    <x v="0"/>
    <m/>
    <s v="Spray Dryer"/>
    <s v="Spare"/>
    <m/>
    <m/>
    <e v="#N/A"/>
    <s v="1st"/>
    <s v="-"/>
    <s v="-"/>
    <e v="#N/A"/>
    <s v="Require I/O DI= 0,DO=0,AI=0,AO=0,Bus=0"/>
    <s v="Spare_DI_0"/>
    <x v="0"/>
    <n v="1"/>
    <n v="0"/>
    <s v="C1S05DI"/>
    <s v="C1S05DI24"/>
    <s v="C1S05,24"/>
    <s v="DI"/>
    <s v="Require I/O DI= 0,DO=0,AI=0,AO=0,Bus=0"/>
    <x v="1"/>
    <x v="5"/>
    <n v="24"/>
    <m/>
    <n v="0"/>
    <n v="0"/>
    <n v="0"/>
    <n v="0"/>
    <n v="0"/>
    <m/>
    <e v="#N/A"/>
    <m/>
  </r>
  <r>
    <s v="=CA1+MCP-M1"/>
    <m/>
    <m/>
    <x v="0"/>
    <s v="Spray Dryer 1st Floor"/>
    <x v="0"/>
    <m/>
    <s v="Spray Dryer"/>
    <s v="Spare"/>
    <m/>
    <m/>
    <e v="#N/A"/>
    <s v="1st"/>
    <s v="-"/>
    <s v="-"/>
    <e v="#N/A"/>
    <s v="Require I/O DI= 0,DO=0,AI=0,AO=0,Bus=0"/>
    <s v="Spare_DI_0"/>
    <x v="0"/>
    <n v="1"/>
    <n v="0"/>
    <s v="C1S05DI"/>
    <s v="C1S05DI25"/>
    <s v="C1S05,25"/>
    <s v="DI"/>
    <s v="Require I/O DI= 0,DO=0,AI=0,AO=0,Bus=0"/>
    <x v="1"/>
    <x v="5"/>
    <n v="25"/>
    <m/>
    <n v="0"/>
    <n v="0"/>
    <n v="0"/>
    <n v="0"/>
    <n v="0"/>
    <m/>
    <e v="#N/A"/>
    <m/>
  </r>
  <r>
    <s v="=CA1+MCP-M1"/>
    <m/>
    <m/>
    <x v="0"/>
    <s v="Spray Dryer 1st Floor"/>
    <x v="0"/>
    <m/>
    <s v="Spray Dryer"/>
    <s v="Spare"/>
    <m/>
    <m/>
    <e v="#N/A"/>
    <s v="1st"/>
    <s v="-"/>
    <s v="-"/>
    <e v="#N/A"/>
    <s v="Require I/O DI= 0,DO=0,AI=0,AO=0,Bus=0"/>
    <s v="Spare_DI_0"/>
    <x v="0"/>
    <n v="1"/>
    <n v="0"/>
    <s v="C1S05DI"/>
    <s v="C1S05DI26"/>
    <s v="C1S05,26"/>
    <s v="DI"/>
    <s v="Require I/O DI= 0,DO=0,AI=0,AO=0,Bus=0"/>
    <x v="1"/>
    <x v="5"/>
    <n v="26"/>
    <m/>
    <n v="0"/>
    <n v="0"/>
    <n v="0"/>
    <n v="0"/>
    <n v="0"/>
    <m/>
    <e v="#N/A"/>
    <m/>
  </r>
  <r>
    <s v="=CA1+MCP-M1"/>
    <m/>
    <m/>
    <x v="0"/>
    <s v="Spray Dryer 1st Floor"/>
    <x v="0"/>
    <m/>
    <s v="Spray Dryer"/>
    <s v="Spare"/>
    <m/>
    <m/>
    <e v="#N/A"/>
    <s v="1st"/>
    <s v="-"/>
    <s v="-"/>
    <e v="#N/A"/>
    <s v="Require I/O DI= 0,DO=0,AI=0,AO=0,Bus=0"/>
    <s v="Spare_DI_0"/>
    <x v="0"/>
    <n v="1"/>
    <n v="0"/>
    <s v="C1S05DI"/>
    <s v="C1S05DI27"/>
    <s v="C1S05,27"/>
    <s v="DI"/>
    <s v="Require I/O DI= 0,DO=0,AI=0,AO=0,Bus=0"/>
    <x v="1"/>
    <x v="5"/>
    <n v="27"/>
    <m/>
    <n v="0"/>
    <n v="0"/>
    <n v="0"/>
    <n v="0"/>
    <n v="0"/>
    <m/>
    <e v="#N/A"/>
    <m/>
  </r>
  <r>
    <s v="=CA1+MCP-M1"/>
    <m/>
    <m/>
    <x v="0"/>
    <s v="Spray Dryer 1st Floor"/>
    <x v="0"/>
    <m/>
    <s v="Spray Dryer"/>
    <s v="Spare"/>
    <m/>
    <m/>
    <e v="#N/A"/>
    <s v="1st"/>
    <s v="-"/>
    <s v="-"/>
    <e v="#N/A"/>
    <s v="Require I/O DI= 0,DO=0,AI=0,AO=0,Bus=0"/>
    <s v="Spare_DI_0"/>
    <x v="0"/>
    <n v="1"/>
    <n v="0"/>
    <s v="C1S05DI"/>
    <s v="C1S05DI28"/>
    <s v="C1S05,28"/>
    <s v="DI"/>
    <s v="Require I/O DI= 0,DO=0,AI=0,AO=0,Bus=0"/>
    <x v="1"/>
    <x v="5"/>
    <n v="28"/>
    <m/>
    <n v="0"/>
    <n v="0"/>
    <n v="0"/>
    <n v="0"/>
    <n v="0"/>
    <m/>
    <e v="#N/A"/>
    <m/>
  </r>
  <r>
    <s v="=CA1+MCP-M1"/>
    <m/>
    <m/>
    <x v="0"/>
    <s v="Spray Dryer 1st Floor"/>
    <x v="0"/>
    <m/>
    <s v="Spray Dryer"/>
    <s v="Spare"/>
    <m/>
    <m/>
    <e v="#N/A"/>
    <s v="1st"/>
    <s v="-"/>
    <s v="-"/>
    <e v="#N/A"/>
    <s v="Require I/O DI= 0,DO=0,AI=0,AO=0,Bus=0"/>
    <s v="Spare_DI_0"/>
    <x v="0"/>
    <n v="1"/>
    <n v="0"/>
    <s v="C1S05DI"/>
    <s v="C1S05DI29"/>
    <s v="C1S05,29"/>
    <s v="DI"/>
    <s v="Require I/O DI= 0,DO=0,AI=0,AO=0,Bus=0"/>
    <x v="1"/>
    <x v="5"/>
    <n v="29"/>
    <m/>
    <n v="0"/>
    <n v="0"/>
    <n v="0"/>
    <n v="0"/>
    <n v="0"/>
    <m/>
    <e v="#N/A"/>
    <m/>
  </r>
  <r>
    <s v="=CA1+MCP-M1"/>
    <m/>
    <m/>
    <x v="0"/>
    <s v="Spray Dryer 1st Floor"/>
    <x v="0"/>
    <m/>
    <s v="Spray Dryer"/>
    <s v="Spare"/>
    <m/>
    <m/>
    <e v="#N/A"/>
    <s v="1st"/>
    <s v="-"/>
    <s v="-"/>
    <e v="#N/A"/>
    <s v="Require I/O DI= 0,DO=0,AI=0,AO=0,Bus=0"/>
    <s v="Spare_DI_0"/>
    <x v="0"/>
    <n v="1"/>
    <n v="0"/>
    <s v="C1S05DI"/>
    <s v="C1S05DI30"/>
    <s v="C1S05,30"/>
    <s v="DI"/>
    <s v="Require I/O DI= 0,DO=0,AI=0,AO=0,Bus=0"/>
    <x v="1"/>
    <x v="5"/>
    <n v="30"/>
    <m/>
    <n v="0"/>
    <n v="0"/>
    <n v="0"/>
    <n v="0"/>
    <n v="0"/>
    <m/>
    <e v="#N/A"/>
    <m/>
  </r>
  <r>
    <s v="=CA1+MCP-M1"/>
    <m/>
    <m/>
    <x v="0"/>
    <s v="Spray Dryer 1st Floor"/>
    <x v="0"/>
    <m/>
    <s v="Spray Dryer"/>
    <s v="Spare"/>
    <m/>
    <m/>
    <e v="#N/A"/>
    <s v="1st"/>
    <s v="-"/>
    <s v="-"/>
    <e v="#N/A"/>
    <s v="Require I/O DI= 0,DO=0,AI=0,AO=0,Bus=0"/>
    <s v="Spare_DI_0"/>
    <x v="0"/>
    <n v="1"/>
    <n v="0"/>
    <s v="C1S05DI"/>
    <s v="C1S05DI31"/>
    <s v="C1S05,31"/>
    <s v="DI"/>
    <s v="Require I/O DI= 0,DO=0,AI=0,AO=0,Bus=0"/>
    <x v="1"/>
    <x v="5"/>
    <n v="31"/>
    <m/>
    <n v="0"/>
    <n v="0"/>
    <n v="0"/>
    <n v="0"/>
    <n v="0"/>
    <m/>
    <e v="#N/A"/>
    <m/>
  </r>
  <r>
    <s v="=CA1+MCP-M1"/>
    <m/>
    <m/>
    <x v="0"/>
    <s v="Spray Dryer 1st Floor"/>
    <x v="0"/>
    <m/>
    <m/>
    <s v="Spare"/>
    <m/>
    <m/>
    <e v="#N/A"/>
    <m/>
    <m/>
    <m/>
    <e v="#N/A"/>
    <s v="Require I/O DI= 0,DO=0,AI=0,AO=0,Bus=0"/>
    <s v="Spare_DO_1"/>
    <x v="1"/>
    <n v="2"/>
    <n v="1"/>
    <s v="C1S08DO"/>
    <s v="C1S08DO12"/>
    <s v="C1S08,12"/>
    <s v="DO"/>
    <s v="Require I/O DI= 0,DO=0,AI=0,AO=0,Bus=0"/>
    <x v="1"/>
    <x v="10"/>
    <n v="12"/>
    <m/>
    <n v="0"/>
    <n v="0"/>
    <n v="0"/>
    <n v="0"/>
    <n v="0"/>
    <m/>
    <e v="#N/A"/>
    <m/>
  </r>
  <r>
    <s v="=CA1+MCP-M1"/>
    <m/>
    <m/>
    <x v="0"/>
    <s v="Spray Dryer 1st Floor"/>
    <x v="0"/>
    <m/>
    <m/>
    <s v="Spare"/>
    <m/>
    <m/>
    <e v="#N/A"/>
    <m/>
    <m/>
    <m/>
    <e v="#N/A"/>
    <s v="Require I/O DI= 0,DO=0,AI=0,AO=0,Bus=0"/>
    <s v="Spare_DO_1"/>
    <x v="1"/>
    <n v="2"/>
    <n v="1"/>
    <s v="C1S08DO"/>
    <s v="C1S08DO13"/>
    <s v="C1S08,13"/>
    <s v="DO"/>
    <s v="Require I/O DI= 0,DO=0,AI=0,AO=0,Bus=0"/>
    <x v="1"/>
    <x v="10"/>
    <n v="13"/>
    <m/>
    <n v="0"/>
    <n v="0"/>
    <n v="0"/>
    <n v="0"/>
    <n v="0"/>
    <m/>
    <e v="#N/A"/>
    <m/>
  </r>
  <r>
    <s v="=CA1+MCP-M1"/>
    <m/>
    <m/>
    <x v="0"/>
    <s v="Spray Dryer 1st Floor"/>
    <x v="0"/>
    <m/>
    <m/>
    <s v="Spare"/>
    <m/>
    <m/>
    <e v="#N/A"/>
    <m/>
    <m/>
    <m/>
    <e v="#N/A"/>
    <s v="Require I/O DI= 0,DO=0,AI=0,AO=0,Bus=0"/>
    <s v="Spare_DO_1"/>
    <x v="1"/>
    <n v="2"/>
    <n v="1"/>
    <s v="C1S08DO"/>
    <s v="C1S08DO14"/>
    <s v="C1S08,14"/>
    <s v="DO"/>
    <s v="Require I/O DI= 0,DO=0,AI=0,AO=0,Bus=0"/>
    <x v="1"/>
    <x v="10"/>
    <n v="14"/>
    <m/>
    <n v="0"/>
    <n v="0"/>
    <n v="0"/>
    <n v="0"/>
    <n v="0"/>
    <m/>
    <e v="#N/A"/>
    <m/>
  </r>
  <r>
    <s v="=CA1+MCP-M1"/>
    <m/>
    <m/>
    <x v="0"/>
    <s v="Spray Dryer 1st Floor"/>
    <x v="0"/>
    <m/>
    <m/>
    <s v="Spare"/>
    <m/>
    <m/>
    <e v="#N/A"/>
    <m/>
    <m/>
    <m/>
    <e v="#N/A"/>
    <s v="Require I/O DI= 0,DO=0,AI=0,AO=0,Bus=0"/>
    <s v="Spare_DO_1"/>
    <x v="1"/>
    <n v="2"/>
    <n v="1"/>
    <s v="C1S08DO"/>
    <s v="C1S08DO15"/>
    <s v="C1S08,15"/>
    <s v="DO"/>
    <s v="Require I/O DI= 0,DO=0,AI=0,AO=0,Bus=0"/>
    <x v="1"/>
    <x v="10"/>
    <n v="15"/>
    <m/>
    <n v="0"/>
    <n v="0"/>
    <n v="0"/>
    <n v="0"/>
    <n v="0"/>
    <m/>
    <e v="#N/A"/>
    <m/>
  </r>
  <r>
    <s v="=CA1+MCP-M1"/>
    <m/>
    <m/>
    <x v="0"/>
    <s v="Spray Dryer 1st Floor"/>
    <x v="0"/>
    <m/>
    <m/>
    <s v="Spare"/>
    <m/>
    <m/>
    <e v="#N/A"/>
    <m/>
    <m/>
    <m/>
    <e v="#N/A"/>
    <s v="Require I/O DI= 0,DO=0,AI=0,AO=0,Bus=0"/>
    <s v="Spare_DO_1"/>
    <x v="1"/>
    <n v="2"/>
    <n v="1"/>
    <s v="C1S08DO"/>
    <s v="C1S08DO16"/>
    <s v="C1S08,16"/>
    <s v="DO"/>
    <s v="Require I/O DI= 0,DO=0,AI=0,AO=0,Bus=0"/>
    <x v="1"/>
    <x v="10"/>
    <n v="16"/>
    <m/>
    <n v="0"/>
    <n v="0"/>
    <n v="0"/>
    <n v="0"/>
    <n v="0"/>
    <m/>
    <e v="#N/A"/>
    <m/>
  </r>
  <r>
    <s v="=CA1+MCP-M1"/>
    <m/>
    <m/>
    <x v="0"/>
    <s v="Spray Dryer 1st Floor"/>
    <x v="0"/>
    <m/>
    <m/>
    <s v="Spare"/>
    <m/>
    <m/>
    <e v="#N/A"/>
    <m/>
    <m/>
    <m/>
    <e v="#N/A"/>
    <s v="Require I/O DI= 0,DO=0,AI=0,AO=0,Bus=0"/>
    <s v="Spare_DO_1"/>
    <x v="1"/>
    <n v="2"/>
    <n v="1"/>
    <s v="C1S08DO"/>
    <s v="C1S08DO17"/>
    <s v="C1S08,17"/>
    <s v="DO"/>
    <s v="Require I/O DI= 0,DO=0,AI=0,AO=0,Bus=0"/>
    <x v="1"/>
    <x v="10"/>
    <n v="17"/>
    <m/>
    <n v="0"/>
    <n v="0"/>
    <n v="0"/>
    <n v="0"/>
    <n v="0"/>
    <m/>
    <e v="#N/A"/>
    <m/>
  </r>
  <r>
    <s v="=CA1+MCP-M1"/>
    <m/>
    <m/>
    <x v="0"/>
    <s v="Spray Dryer 1st Floor"/>
    <x v="0"/>
    <m/>
    <m/>
    <s v="Spare"/>
    <m/>
    <m/>
    <e v="#N/A"/>
    <m/>
    <m/>
    <m/>
    <e v="#N/A"/>
    <s v="Require I/O DI= 0,DO=0,AI=0,AO=0,Bus=0"/>
    <s v="Spare_DO_1"/>
    <x v="1"/>
    <n v="2"/>
    <n v="1"/>
    <s v="C1S08DO"/>
    <s v="C1S08DO18"/>
    <s v="C1S08,18"/>
    <s v="DO"/>
    <s v="Require I/O DI= 0,DO=0,AI=0,AO=0,Bus=0"/>
    <x v="1"/>
    <x v="10"/>
    <n v="18"/>
    <m/>
    <n v="0"/>
    <n v="0"/>
    <n v="0"/>
    <n v="0"/>
    <n v="0"/>
    <m/>
    <e v="#N/A"/>
    <m/>
  </r>
  <r>
    <s v="=CA1+MCP-M1"/>
    <m/>
    <m/>
    <x v="0"/>
    <s v="Spray Dryer 1st Floor"/>
    <x v="0"/>
    <m/>
    <m/>
    <s v="Spare"/>
    <m/>
    <m/>
    <e v="#N/A"/>
    <m/>
    <m/>
    <m/>
    <e v="#N/A"/>
    <s v="Require I/O DI= 0,DO=0,AI=0,AO=0,Bus=0"/>
    <s v="Spare_DO_1"/>
    <x v="1"/>
    <n v="2"/>
    <n v="1"/>
    <s v="C1S08DO"/>
    <s v="C1S08DO19"/>
    <s v="C1S08,19"/>
    <s v="DO"/>
    <s v="Require I/O DI= 0,DO=0,AI=0,AO=0,Bus=0"/>
    <x v="1"/>
    <x v="10"/>
    <n v="19"/>
    <m/>
    <n v="0"/>
    <n v="0"/>
    <n v="0"/>
    <n v="0"/>
    <n v="0"/>
    <m/>
    <e v="#N/A"/>
    <m/>
  </r>
  <r>
    <s v="=CA1+MCP-M1"/>
    <m/>
    <m/>
    <x v="0"/>
    <s v="Spray Dryer 1st Floor"/>
    <x v="0"/>
    <m/>
    <m/>
    <s v="Spare"/>
    <m/>
    <m/>
    <e v="#N/A"/>
    <m/>
    <m/>
    <m/>
    <e v="#N/A"/>
    <s v="Require I/O DI= 0,DO=0,AI=0,AO=0,Bus=0"/>
    <s v="Spare_DO_1"/>
    <x v="1"/>
    <n v="2"/>
    <n v="1"/>
    <s v="C1S08DO"/>
    <s v="C1S08DO20"/>
    <s v="C1S08,20"/>
    <s v="DO"/>
    <s v="Require I/O DI= 0,DO=0,AI=0,AO=0,Bus=0"/>
    <x v="1"/>
    <x v="10"/>
    <n v="20"/>
    <m/>
    <n v="0"/>
    <n v="0"/>
    <n v="0"/>
    <n v="0"/>
    <n v="0"/>
    <m/>
    <e v="#N/A"/>
    <m/>
  </r>
  <r>
    <s v="=CA1+MCP-M1"/>
    <m/>
    <m/>
    <x v="0"/>
    <s v="Spray Dryer 1st Floor"/>
    <x v="0"/>
    <m/>
    <m/>
    <s v="Spare"/>
    <m/>
    <m/>
    <e v="#N/A"/>
    <m/>
    <m/>
    <m/>
    <e v="#N/A"/>
    <s v="Require I/O DI= 0,DO=0,AI=0,AO=0,Bus=0"/>
    <s v="Spare_DO_1"/>
    <x v="1"/>
    <n v="2"/>
    <n v="1"/>
    <s v="C1S08DO"/>
    <s v="C1S08DO21"/>
    <s v="C1S08,21"/>
    <s v="DO"/>
    <s v="Require I/O DI= 0,DO=0,AI=0,AO=0,Bus=0"/>
    <x v="1"/>
    <x v="10"/>
    <n v="21"/>
    <m/>
    <n v="0"/>
    <n v="0"/>
    <n v="0"/>
    <n v="0"/>
    <n v="0"/>
    <m/>
    <e v="#N/A"/>
    <m/>
  </r>
  <r>
    <s v="=CA1+MCP-M1"/>
    <m/>
    <m/>
    <x v="0"/>
    <s v="Spray Dryer 1st Floor"/>
    <x v="0"/>
    <m/>
    <m/>
    <s v="Spare"/>
    <m/>
    <m/>
    <e v="#N/A"/>
    <m/>
    <m/>
    <m/>
    <e v="#N/A"/>
    <s v="Require I/O DI= 0,DO=0,AI=0,AO=0,Bus=0"/>
    <s v="Spare_DO_1"/>
    <x v="1"/>
    <n v="2"/>
    <n v="1"/>
    <s v="C1S08DO"/>
    <s v="C1S08DO22"/>
    <s v="C1S08,22"/>
    <s v="DO"/>
    <s v="Require I/O DI= 0,DO=0,AI=0,AO=0,Bus=0"/>
    <x v="1"/>
    <x v="10"/>
    <n v="22"/>
    <m/>
    <n v="0"/>
    <n v="0"/>
    <n v="0"/>
    <n v="0"/>
    <n v="0"/>
    <m/>
    <e v="#N/A"/>
    <m/>
  </r>
  <r>
    <s v="=CA1+MCP-M1"/>
    <m/>
    <m/>
    <x v="0"/>
    <s v="Spray Dryer 1st Floor"/>
    <x v="0"/>
    <m/>
    <m/>
    <s v="Spare"/>
    <m/>
    <m/>
    <e v="#N/A"/>
    <m/>
    <m/>
    <m/>
    <e v="#N/A"/>
    <s v="Require I/O DI= 0,DO=0,AI=0,AO=0,Bus=0"/>
    <s v="Spare_DO_1"/>
    <x v="1"/>
    <n v="2"/>
    <n v="1"/>
    <s v="C1S08DO"/>
    <s v="C1S08DO23"/>
    <s v="C1S08,23"/>
    <s v="DO"/>
    <s v="Require I/O DI= 0,DO=0,AI=0,AO=0,Bus=0"/>
    <x v="1"/>
    <x v="10"/>
    <n v="23"/>
    <m/>
    <n v="0"/>
    <n v="0"/>
    <n v="0"/>
    <n v="0"/>
    <n v="0"/>
    <m/>
    <e v="#N/A"/>
    <m/>
  </r>
  <r>
    <s v="=CA1+MCP-M1"/>
    <m/>
    <m/>
    <x v="0"/>
    <s v="Spray Dryer 1st Floor"/>
    <x v="0"/>
    <m/>
    <m/>
    <s v="Spare"/>
    <m/>
    <m/>
    <e v="#N/A"/>
    <m/>
    <m/>
    <m/>
    <e v="#N/A"/>
    <s v="Require I/O DI= 0,DO=0,AI=0,AO=0,Bus=0"/>
    <s v="Spare_DO_1"/>
    <x v="1"/>
    <n v="2"/>
    <n v="1"/>
    <s v="C1S08DO"/>
    <s v="C1S08DO24"/>
    <s v="C1S08,24"/>
    <s v="DO"/>
    <s v="Require I/O DI= 0,DO=0,AI=0,AO=0,Bus=0"/>
    <x v="1"/>
    <x v="10"/>
    <n v="24"/>
    <m/>
    <n v="0"/>
    <n v="0"/>
    <n v="0"/>
    <n v="0"/>
    <n v="0"/>
    <m/>
    <e v="#N/A"/>
    <m/>
  </r>
  <r>
    <s v="=CA1+MCP-M1"/>
    <m/>
    <m/>
    <x v="0"/>
    <s v="Spray Dryer 1st Floor"/>
    <x v="0"/>
    <m/>
    <m/>
    <s v="Spare"/>
    <m/>
    <m/>
    <e v="#N/A"/>
    <m/>
    <m/>
    <m/>
    <e v="#N/A"/>
    <s v="Require I/O DI= 0,DO=0,AI=0,AO=0,Bus=0"/>
    <s v="Spare_DO_1"/>
    <x v="1"/>
    <n v="2"/>
    <n v="1"/>
    <s v="C1S08DO"/>
    <s v="C1S08DO25"/>
    <s v="C1S08,25"/>
    <s v="DO"/>
    <s v="Require I/O DI= 0,DO=0,AI=0,AO=0,Bus=0"/>
    <x v="1"/>
    <x v="10"/>
    <n v="25"/>
    <m/>
    <n v="0"/>
    <n v="0"/>
    <n v="0"/>
    <n v="0"/>
    <n v="0"/>
    <m/>
    <e v="#N/A"/>
    <m/>
  </r>
  <r>
    <s v="=CA1+MCP-M1"/>
    <m/>
    <m/>
    <x v="0"/>
    <s v="Spray Dryer 1st Floor"/>
    <x v="0"/>
    <m/>
    <m/>
    <s v="Spare"/>
    <m/>
    <m/>
    <e v="#N/A"/>
    <m/>
    <m/>
    <m/>
    <e v="#N/A"/>
    <s v="Require I/O DI= 0,DO=0,AI=0,AO=0,Bus=0"/>
    <s v="Spare_DO_1"/>
    <x v="1"/>
    <n v="2"/>
    <n v="1"/>
    <s v="C1S08DO"/>
    <s v="C1S08DO26"/>
    <s v="C1S08,26"/>
    <s v="DO"/>
    <s v="Require I/O DI= 0,DO=0,AI=0,AO=0,Bus=0"/>
    <x v="1"/>
    <x v="10"/>
    <n v="26"/>
    <m/>
    <n v="0"/>
    <n v="0"/>
    <n v="0"/>
    <n v="0"/>
    <n v="0"/>
    <m/>
    <e v="#N/A"/>
    <m/>
  </r>
  <r>
    <s v="=CA1+MCP-M1"/>
    <m/>
    <m/>
    <x v="0"/>
    <s v="Spray Dryer 1st Floor"/>
    <x v="0"/>
    <m/>
    <m/>
    <s v="Spare"/>
    <m/>
    <m/>
    <e v="#N/A"/>
    <m/>
    <m/>
    <m/>
    <e v="#N/A"/>
    <s v="Require I/O DI= 0,DO=0,AI=0,AO=0,Bus=0"/>
    <s v="Spare_DO_1"/>
    <x v="1"/>
    <n v="2"/>
    <n v="1"/>
    <s v="C1S08DO"/>
    <s v="C1S08DO27"/>
    <s v="C1S08,27"/>
    <s v="DO"/>
    <s v="Require I/O DI= 0,DO=0,AI=0,AO=0,Bus=0"/>
    <x v="1"/>
    <x v="10"/>
    <n v="27"/>
    <m/>
    <n v="0"/>
    <n v="0"/>
    <n v="0"/>
    <n v="0"/>
    <n v="0"/>
    <m/>
    <e v="#N/A"/>
    <m/>
  </r>
  <r>
    <s v="=CA1+MCP-M1"/>
    <m/>
    <m/>
    <x v="0"/>
    <s v="Spray Dryer 1st Floor"/>
    <x v="0"/>
    <m/>
    <m/>
    <s v="Spare"/>
    <m/>
    <m/>
    <e v="#N/A"/>
    <m/>
    <m/>
    <m/>
    <e v="#N/A"/>
    <s v="Require I/O DI= 0,DO=0,AI=0,AO=0,Bus=0"/>
    <s v="Spare_DO_1"/>
    <x v="1"/>
    <n v="2"/>
    <n v="1"/>
    <s v="C1S08DO"/>
    <s v="C1S08DO28"/>
    <s v="C1S08,28"/>
    <s v="DO"/>
    <s v="Require I/O DI= 0,DO=0,AI=0,AO=0,Bus=0"/>
    <x v="1"/>
    <x v="10"/>
    <n v="28"/>
    <m/>
    <n v="0"/>
    <n v="0"/>
    <n v="0"/>
    <n v="0"/>
    <n v="0"/>
    <m/>
    <e v="#N/A"/>
    <m/>
  </r>
  <r>
    <s v="=CA1+MCP-M1"/>
    <m/>
    <m/>
    <x v="0"/>
    <s v="Spray Dryer 1st Floor"/>
    <x v="0"/>
    <m/>
    <m/>
    <s v="Spare"/>
    <m/>
    <m/>
    <e v="#N/A"/>
    <m/>
    <m/>
    <m/>
    <e v="#N/A"/>
    <s v="Require I/O DI= 0,DO=0,AI=0,AO=0,Bus=0"/>
    <s v="Spare_DO_1"/>
    <x v="1"/>
    <n v="2"/>
    <n v="1"/>
    <s v="C1S08DO"/>
    <s v="C1S08DO29"/>
    <s v="C1S08,29"/>
    <s v="DO"/>
    <s v="Require I/O DI= 0,DO=0,AI=0,AO=0,Bus=0"/>
    <x v="1"/>
    <x v="10"/>
    <n v="29"/>
    <m/>
    <n v="0"/>
    <n v="0"/>
    <n v="0"/>
    <n v="0"/>
    <n v="0"/>
    <m/>
    <e v="#N/A"/>
    <m/>
  </r>
  <r>
    <s v="=CA1+MCP-M1"/>
    <m/>
    <m/>
    <x v="0"/>
    <s v="Spray Dryer 1st Floor"/>
    <x v="0"/>
    <m/>
    <m/>
    <s v="Spare"/>
    <m/>
    <m/>
    <e v="#N/A"/>
    <m/>
    <m/>
    <m/>
    <e v="#N/A"/>
    <s v="Require I/O DI= 0,DO=0,AI=0,AO=0,Bus=0"/>
    <s v="Spare_DO_1"/>
    <x v="1"/>
    <n v="2"/>
    <n v="1"/>
    <s v="C1S08DO"/>
    <s v="C1S08DO30"/>
    <s v="C1S08,30"/>
    <s v="DO"/>
    <s v="Require I/O DI= 0,DO=0,AI=0,AO=0,Bus=0"/>
    <x v="1"/>
    <x v="10"/>
    <n v="30"/>
    <m/>
    <n v="0"/>
    <n v="0"/>
    <n v="0"/>
    <n v="0"/>
    <n v="0"/>
    <m/>
    <e v="#N/A"/>
    <m/>
  </r>
  <r>
    <s v="=CA1+MCP-M1"/>
    <m/>
    <m/>
    <x v="0"/>
    <s v="Spray Dryer 1st Floor"/>
    <x v="0"/>
    <m/>
    <m/>
    <s v="Spare"/>
    <m/>
    <m/>
    <e v="#N/A"/>
    <m/>
    <m/>
    <m/>
    <e v="#N/A"/>
    <s v="Require I/O DI= 0,DO=0,AI=0,AO=0,Bus=0"/>
    <s v="Spare_DO_1"/>
    <x v="1"/>
    <n v="2"/>
    <n v="1"/>
    <s v="C1S08DO"/>
    <s v="C1S08DO31"/>
    <s v="C1S08,31"/>
    <s v="DO"/>
    <s v="Require I/O DI= 0,DO=0,AI=0,AO=0,Bus=0"/>
    <x v="1"/>
    <x v="10"/>
    <n v="31"/>
    <m/>
    <n v="0"/>
    <n v="0"/>
    <n v="0"/>
    <n v="0"/>
    <n v="0"/>
    <m/>
    <e v="#N/A"/>
    <m/>
  </r>
  <r>
    <s v="=CA1+MCP-M1"/>
    <m/>
    <m/>
    <x v="0"/>
    <s v="Spray Dryer 1st Floor"/>
    <x v="0"/>
    <m/>
    <m/>
    <s v="Spare"/>
    <m/>
    <m/>
    <e v="#N/A"/>
    <m/>
    <m/>
    <m/>
    <e v="#N/A"/>
    <s v="Require I/O DI= 0,DO=0,AI=0,AO=0,Bus=0"/>
    <s v="Spare_AI_1"/>
    <x v="3"/>
    <n v="3"/>
    <n v="1"/>
    <s v="C1S10AI"/>
    <s v="C1S10AI08"/>
    <s v="C1S10,08"/>
    <s v="AI"/>
    <s v="Require I/O DI= 0,DO=0,AI=0,AO=0,Bus=0"/>
    <x v="1"/>
    <x v="9"/>
    <n v="8"/>
    <m/>
    <n v="0"/>
    <n v="0"/>
    <n v="0"/>
    <n v="0"/>
    <n v="0"/>
    <m/>
    <e v="#N/A"/>
    <m/>
  </r>
  <r>
    <s v="=CA1+MCP-M1"/>
    <m/>
    <m/>
    <x v="0"/>
    <s v="Spray Dryer 1st Floor"/>
    <x v="0"/>
    <m/>
    <m/>
    <s v="Spare"/>
    <m/>
    <m/>
    <e v="#N/A"/>
    <m/>
    <m/>
    <m/>
    <e v="#N/A"/>
    <s v="Require I/O DI= 0,DO=0,AI=0,AO=0,Bus=0"/>
    <s v="Spare_AI_1"/>
    <x v="3"/>
    <n v="3"/>
    <n v="1"/>
    <s v="C1S10AI"/>
    <s v="C1S10AI09"/>
    <s v="C1S10,09"/>
    <s v="AI"/>
    <s v="Require I/O DI= 0,DO=0,AI=0,AO=0,Bus=0"/>
    <x v="1"/>
    <x v="9"/>
    <n v="9"/>
    <m/>
    <n v="0"/>
    <n v="0"/>
    <n v="0"/>
    <n v="0"/>
    <n v="0"/>
    <m/>
    <e v="#N/A"/>
    <m/>
  </r>
  <r>
    <s v="=CA1+MCP-M1"/>
    <m/>
    <m/>
    <x v="0"/>
    <s v="Spray Dryer 1st Floor"/>
    <x v="0"/>
    <m/>
    <m/>
    <s v="Spare"/>
    <m/>
    <m/>
    <e v="#N/A"/>
    <m/>
    <m/>
    <m/>
    <e v="#N/A"/>
    <s v="Require I/O DI= 0,DO=0,AI=0,AO=0,Bus=0"/>
    <s v="Spare_AI_1"/>
    <x v="3"/>
    <n v="3"/>
    <n v="1"/>
    <s v="C1S10AI"/>
    <s v="C1S10AI10"/>
    <s v="C1S10,10"/>
    <s v="AI"/>
    <s v="Require I/O DI= 0,DO=0,AI=0,AO=0,Bus=0"/>
    <x v="1"/>
    <x v="9"/>
    <n v="10"/>
    <m/>
    <n v="0"/>
    <n v="0"/>
    <n v="0"/>
    <n v="0"/>
    <n v="0"/>
    <m/>
    <e v="#N/A"/>
    <m/>
  </r>
  <r>
    <s v="=CA1+MCP-M1"/>
    <m/>
    <m/>
    <x v="0"/>
    <s v="Spray Dryer 1st Floor"/>
    <x v="0"/>
    <m/>
    <m/>
    <s v="Spare"/>
    <m/>
    <m/>
    <e v="#N/A"/>
    <m/>
    <m/>
    <m/>
    <e v="#N/A"/>
    <s v="Require I/O DI= 0,DO=0,AI=0,AO=0,Bus=0"/>
    <s v="Spare_AI_1"/>
    <x v="3"/>
    <n v="3"/>
    <n v="1"/>
    <s v="C1S10AI"/>
    <s v="C1S10AI11"/>
    <s v="C1S10,11"/>
    <s v="AI"/>
    <s v="Require I/O DI= 0,DO=0,AI=0,AO=0,Bus=0"/>
    <x v="1"/>
    <x v="9"/>
    <n v="11"/>
    <m/>
    <n v="0"/>
    <n v="0"/>
    <n v="0"/>
    <n v="0"/>
    <n v="0"/>
    <m/>
    <e v="#N/A"/>
    <m/>
  </r>
  <r>
    <s v="=CA1+MCP-M1"/>
    <m/>
    <m/>
    <x v="0"/>
    <s v="Spray Dryer 1st Floor"/>
    <x v="0"/>
    <m/>
    <m/>
    <s v="Spare"/>
    <m/>
    <m/>
    <e v="#N/A"/>
    <m/>
    <m/>
    <m/>
    <e v="#N/A"/>
    <s v="Require I/O DI= 0,DO=0,AI=0,AO=0,Bus=0"/>
    <s v="Spare_AI_1"/>
    <x v="3"/>
    <n v="3"/>
    <n v="1"/>
    <s v="C1S10AI"/>
    <s v="C1S10AI12"/>
    <s v="C1S10,12"/>
    <s v="AI"/>
    <s v="Require I/O DI= 0,DO=0,AI=0,AO=0,Bus=0"/>
    <x v="1"/>
    <x v="9"/>
    <n v="12"/>
    <m/>
    <n v="0"/>
    <n v="0"/>
    <n v="0"/>
    <n v="0"/>
    <n v="0"/>
    <m/>
    <e v="#N/A"/>
    <m/>
  </r>
  <r>
    <s v="=CA1+MCP-M1"/>
    <m/>
    <m/>
    <x v="0"/>
    <s v="Spray Dryer 1st Floor"/>
    <x v="0"/>
    <m/>
    <m/>
    <s v="Spare"/>
    <m/>
    <m/>
    <e v="#N/A"/>
    <m/>
    <m/>
    <m/>
    <e v="#N/A"/>
    <s v="Require I/O DI= 0,DO=0,AI=0,AO=0,Bus=0"/>
    <s v="Spare_AI_1"/>
    <x v="3"/>
    <n v="3"/>
    <n v="1"/>
    <s v="C1S10AI"/>
    <s v="C1S10AI13"/>
    <s v="C1S10,13"/>
    <s v="AI"/>
    <s v="Require I/O DI= 0,DO=0,AI=0,AO=0,Bus=0"/>
    <x v="1"/>
    <x v="9"/>
    <n v="13"/>
    <m/>
    <n v="0"/>
    <n v="0"/>
    <n v="0"/>
    <n v="0"/>
    <n v="0"/>
    <m/>
    <e v="#N/A"/>
    <m/>
  </r>
  <r>
    <s v="=CA1+MCP-M1"/>
    <m/>
    <m/>
    <x v="0"/>
    <s v="Spray Dryer 1st Floor"/>
    <x v="0"/>
    <m/>
    <m/>
    <s v="Spare"/>
    <m/>
    <m/>
    <e v="#N/A"/>
    <m/>
    <m/>
    <m/>
    <e v="#N/A"/>
    <s v="Require I/O DI= 0,DO=0,AI=0,AO=0,Bus=0"/>
    <s v="Spare_AI_1"/>
    <x v="3"/>
    <n v="3"/>
    <n v="1"/>
    <s v="C1S10AI"/>
    <s v="C1S10AI14"/>
    <s v="C1S10,14"/>
    <s v="AI"/>
    <s v="Require I/O DI= 0,DO=0,AI=0,AO=0,Bus=0"/>
    <x v="1"/>
    <x v="9"/>
    <n v="14"/>
    <m/>
    <n v="0"/>
    <n v="0"/>
    <n v="0"/>
    <n v="0"/>
    <n v="0"/>
    <m/>
    <e v="#N/A"/>
    <m/>
  </r>
  <r>
    <s v="=CA1+MCP-M1"/>
    <m/>
    <m/>
    <x v="0"/>
    <s v="Spray Dryer 1st Floor"/>
    <x v="0"/>
    <m/>
    <m/>
    <s v="Spare"/>
    <m/>
    <m/>
    <e v="#N/A"/>
    <m/>
    <m/>
    <m/>
    <e v="#N/A"/>
    <s v="Require I/O DI= 0,DO=0,AI=0,AO=0,Bus=0"/>
    <s v="Spare_AI_1"/>
    <x v="3"/>
    <n v="3"/>
    <n v="1"/>
    <s v="C1S10AI"/>
    <s v="C1S10AI15"/>
    <s v="C1S10,15"/>
    <s v="AI"/>
    <s v="Require I/O DI= 0,DO=0,AI=0,AO=0,Bus=0"/>
    <x v="1"/>
    <x v="9"/>
    <n v="15"/>
    <m/>
    <n v="0"/>
    <n v="0"/>
    <n v="0"/>
    <n v="0"/>
    <n v="0"/>
    <m/>
    <e v="#N/A"/>
    <m/>
  </r>
  <r>
    <s v="=CA1+MCP-M1"/>
    <m/>
    <m/>
    <x v="0"/>
    <s v="Spray Dryer 1st Floor"/>
    <x v="0"/>
    <m/>
    <s v="Spray Dryer"/>
    <s v="SV-60201"/>
    <m/>
    <m/>
    <n v="0"/>
    <s v="1st"/>
    <s v="325-01-600-PD-08"/>
    <s v="3-25-01-602-PD-08"/>
    <s v="PA On/Off Valve for Cyclone-21 Rotary Valve (RVAL-21)"/>
    <s v="Require I/O DI= 2,DO=1,AI=0,AO=0,Bus=0"/>
    <s v="SV-60201_DI_1"/>
    <x v="0"/>
    <n v="1"/>
    <n v="1"/>
    <s v="C1S04DI"/>
    <s v="C1S04DI04"/>
    <s v="C1S04,04"/>
    <s v="DI"/>
    <s v="Require I/O DI= 2,DO=1,AI=0,AO=0,Bus=0"/>
    <x v="1"/>
    <x v="6"/>
    <n v="4"/>
    <m/>
    <n v="2"/>
    <n v="1"/>
    <n v="0"/>
    <n v="0"/>
    <n v="0"/>
    <m/>
    <s v="24 VDC energized"/>
    <s v="x"/>
  </r>
  <r>
    <s v="=CA1+MCP-M1"/>
    <m/>
    <m/>
    <x v="0"/>
    <s v="Spray Dryer 1st Floor"/>
    <x v="0"/>
    <m/>
    <s v="Spray Dryer"/>
    <s v="SV-60201"/>
    <m/>
    <m/>
    <n v="0"/>
    <s v="1st"/>
    <s v="325-01-600-PD-08"/>
    <s v="3-25-01-602-PD-08"/>
    <s v="PA On/Off Valve for Cyclone-21 Rotary Valve (RVAL-21)"/>
    <s v="Require I/O DI= 2,DO=1,AI=0,AO=0,Bus=0"/>
    <s v="SV-60201_DI_2"/>
    <x v="0"/>
    <n v="1"/>
    <n v="2"/>
    <s v="C1S04DI"/>
    <s v="C1S04DI05"/>
    <s v="C1S04,05"/>
    <s v="DI"/>
    <s v="Require I/O DI= 2,DO=1,AI=0,AO=0,Bus=0"/>
    <x v="1"/>
    <x v="6"/>
    <n v="5"/>
    <m/>
    <n v="2"/>
    <n v="1"/>
    <n v="0"/>
    <n v="0"/>
    <n v="0"/>
    <m/>
    <s v="24 VDC energized"/>
    <s v="x"/>
  </r>
  <r>
    <s v="=CA1+MCP-M1"/>
    <m/>
    <m/>
    <x v="0"/>
    <s v="Spray Dryer 1st Floor"/>
    <x v="0"/>
    <m/>
    <s v="Spray Dryer"/>
    <s v="SV-60201"/>
    <m/>
    <m/>
    <n v="0"/>
    <s v="1st"/>
    <s v="325-01-600-PD-08"/>
    <s v="3-25-01-602-PD-08"/>
    <s v="PA On/Off Valve for Cyclone-21 Rotary Valve (RVAL-21)"/>
    <s v="Require I/O DI= 2,DO=1,AI=0,AO=0,Bus=0"/>
    <s v="SV-60201_DO_1"/>
    <x v="1"/>
    <n v="2"/>
    <n v="1"/>
    <s v="C1S08DO"/>
    <s v="C1S08DO00"/>
    <s v="C1S08,00"/>
    <s v="DO"/>
    <s v="Require I/O DI= 2,DO=1,AI=0,AO=0,Bus=0"/>
    <x v="1"/>
    <x v="10"/>
    <n v="0"/>
    <m/>
    <n v="2"/>
    <n v="1"/>
    <n v="0"/>
    <n v="0"/>
    <n v="0"/>
    <m/>
    <s v="24 VDC energized"/>
    <m/>
  </r>
  <r>
    <s v="=CA1+MCP-M1"/>
    <m/>
    <m/>
    <x v="0"/>
    <s v="Spray Dryer 1st Floor"/>
    <x v="0"/>
    <m/>
    <s v="Spray Dryer"/>
    <s v="SV-60202"/>
    <m/>
    <m/>
    <n v="0"/>
    <s v="1st"/>
    <s v="325-01-600-PD-08"/>
    <s v="3-25-01-602-PD-08"/>
    <s v="PA On/Off Valve for Cyclone-22 Rotary Valve (RVAL-22)"/>
    <s v="Require I/O DI= 2,DO=1,AI=0,AO=0,Bus=0"/>
    <s v="SV-60202_DI_1"/>
    <x v="0"/>
    <n v="1"/>
    <n v="1"/>
    <s v="C1S04DI"/>
    <s v="C1S04DI06"/>
    <s v="C1S04,06"/>
    <s v="DI"/>
    <s v="Require I/O DI= 2,DO=1,AI=0,AO=0,Bus=0"/>
    <x v="1"/>
    <x v="6"/>
    <n v="6"/>
    <m/>
    <n v="2"/>
    <n v="1"/>
    <n v="0"/>
    <n v="0"/>
    <n v="0"/>
    <m/>
    <s v="24 VDC energized"/>
    <s v="x"/>
  </r>
  <r>
    <s v="=CA1+MCP-M1"/>
    <m/>
    <m/>
    <x v="0"/>
    <s v="Spray Dryer 1st Floor"/>
    <x v="0"/>
    <m/>
    <s v="Spray Dryer"/>
    <s v="SV-60202"/>
    <m/>
    <m/>
    <n v="0"/>
    <s v="1st"/>
    <s v="325-01-600-PD-08"/>
    <s v="3-25-01-602-PD-08"/>
    <s v="PA On/Off Valve for Cyclone-22 Rotary Valve (RVAL-22)"/>
    <s v="Require I/O DI= 2,DO=1,AI=0,AO=0,Bus=0"/>
    <s v="SV-60202_DI_2"/>
    <x v="0"/>
    <n v="1"/>
    <n v="2"/>
    <s v="C1S04DI"/>
    <s v="C1S04DI07"/>
    <s v="C1S04,07"/>
    <s v="DI"/>
    <s v="Require I/O DI= 2,DO=1,AI=0,AO=0,Bus=0"/>
    <x v="1"/>
    <x v="6"/>
    <n v="7"/>
    <m/>
    <n v="2"/>
    <n v="1"/>
    <n v="0"/>
    <n v="0"/>
    <n v="0"/>
    <m/>
    <s v="24 VDC energized"/>
    <s v="x"/>
  </r>
  <r>
    <s v="=CA1+MCP-M1"/>
    <m/>
    <m/>
    <x v="0"/>
    <s v="Spray Dryer 1st Floor"/>
    <x v="0"/>
    <m/>
    <s v="Spray Dryer"/>
    <s v="SV-60202"/>
    <m/>
    <m/>
    <n v="0"/>
    <s v="1st"/>
    <s v="325-01-600-PD-08"/>
    <s v="3-25-01-602-PD-08"/>
    <s v="PA On/Off Valve for Cyclone-22 Rotary Valve (RVAL-22)"/>
    <s v="Require I/O DI= 2,DO=1,AI=0,AO=0,Bus=0"/>
    <s v="SV-60202_DO_1"/>
    <x v="1"/>
    <n v="2"/>
    <n v="1"/>
    <s v="C1S08DO"/>
    <s v="C1S08DO01"/>
    <s v="C1S08,01"/>
    <s v="DO"/>
    <s v="Require I/O DI= 2,DO=1,AI=0,AO=0,Bus=0"/>
    <x v="1"/>
    <x v="10"/>
    <n v="1"/>
    <m/>
    <n v="2"/>
    <n v="1"/>
    <n v="0"/>
    <n v="0"/>
    <n v="0"/>
    <m/>
    <s v="24 VDC energized"/>
    <m/>
  </r>
  <r>
    <s v="=CA1+MCP-M1"/>
    <m/>
    <m/>
    <x v="0"/>
    <s v="Spray Dryer 1st Floor"/>
    <x v="0"/>
    <m/>
    <s v="Spray Dryer"/>
    <s v="SV-60203"/>
    <m/>
    <m/>
    <n v="0"/>
    <s v="1st"/>
    <s v="325-01-600-PD-08"/>
    <s v="3-25-01-602-PD-08"/>
    <s v="PA On/Off Valve for Bag House Rotary Valve (RVAL-23)"/>
    <s v="Require I/O DI= 2,DO=1,AI=0,AO=0,Bus=0"/>
    <s v="SV-60203_DI_1"/>
    <x v="0"/>
    <n v="1"/>
    <n v="1"/>
    <s v="C1S04DI"/>
    <s v="C1S04DI08"/>
    <s v="C1S04,08"/>
    <s v="DI"/>
    <s v="Require I/O DI= 2,DO=1,AI=0,AO=0,Bus=0"/>
    <x v="1"/>
    <x v="6"/>
    <n v="8"/>
    <m/>
    <n v="2"/>
    <n v="1"/>
    <n v="0"/>
    <n v="0"/>
    <n v="0"/>
    <m/>
    <s v="24 VDC energized"/>
    <s v="x"/>
  </r>
  <r>
    <s v="=CA1+MCP-M1"/>
    <m/>
    <m/>
    <x v="0"/>
    <s v="Spray Dryer 1st Floor"/>
    <x v="0"/>
    <m/>
    <s v="Spray Dryer"/>
    <s v="SV-60203"/>
    <m/>
    <m/>
    <n v="0"/>
    <s v="1st"/>
    <s v="325-01-600-PD-08"/>
    <s v="3-25-01-602-PD-08"/>
    <s v="PA On/Off Valve for Bag House Rotary Valve (RVAL-23)"/>
    <s v="Require I/O DI= 2,DO=1,AI=0,AO=0,Bus=0"/>
    <s v="SV-60203_DI_2"/>
    <x v="0"/>
    <n v="1"/>
    <n v="2"/>
    <s v="C1S04DI"/>
    <s v="C1S04DI09"/>
    <s v="C1S04,09"/>
    <s v="DI"/>
    <s v="Require I/O DI= 2,DO=1,AI=0,AO=0,Bus=0"/>
    <x v="1"/>
    <x v="6"/>
    <n v="9"/>
    <m/>
    <n v="2"/>
    <n v="1"/>
    <n v="0"/>
    <n v="0"/>
    <n v="0"/>
    <m/>
    <s v="24 VDC energized"/>
    <s v="x"/>
  </r>
  <r>
    <s v="=CA1+MCP-M1"/>
    <m/>
    <m/>
    <x v="0"/>
    <s v="Spray Dryer 1st Floor"/>
    <x v="0"/>
    <m/>
    <s v="Spray Dryer"/>
    <s v="SV-60203"/>
    <m/>
    <m/>
    <n v="0"/>
    <s v="1st"/>
    <s v="325-01-600-PD-08"/>
    <s v="3-25-01-602-PD-08"/>
    <s v="PA On/Off Valve for Bag House Rotary Valve (RVAL-23)"/>
    <s v="Require I/O DI= 2,DO=1,AI=0,AO=0,Bus=0"/>
    <s v="SV-60203_DO_1"/>
    <x v="1"/>
    <n v="2"/>
    <n v="1"/>
    <s v="C1S08DO"/>
    <s v="C1S08DO03"/>
    <s v="C1S08,03"/>
    <s v="DO"/>
    <s v="Require I/O DI= 2,DO=1,AI=0,AO=0,Bus=0"/>
    <x v="1"/>
    <x v="10"/>
    <n v="3"/>
    <m/>
    <n v="2"/>
    <n v="1"/>
    <n v="0"/>
    <n v="0"/>
    <n v="0"/>
    <m/>
    <s v="24 VDC energized"/>
    <m/>
  </r>
  <r>
    <s v="=CA1+MCP-M1"/>
    <m/>
    <m/>
    <x v="0"/>
    <s v="Spray Dryer 1st Floor"/>
    <x v="0"/>
    <m/>
    <s v="Spray Dryer"/>
    <s v="SV-60230"/>
    <m/>
    <m/>
    <n v="0"/>
    <s v="1st"/>
    <s v="325-01-600-PD-04"/>
    <s v="3-25-01-602-PD-04"/>
    <s v="PA On/Off Valve for Cyclone Air Hammer 27 (CYCL-21)"/>
    <s v="Require I/O DI= 0,DO=1,AI=0,AO=0,Bus=0"/>
    <s v="SV-60230_DO_1"/>
    <x v="1"/>
    <n v="2"/>
    <n v="1"/>
    <s v="C1S08DO"/>
    <s v="C1S08DO02"/>
    <s v="C1S08,02"/>
    <s v="DO"/>
    <s v="Require I/O DI= 0,DO=1,AI=0,AO=0,Bus=0"/>
    <x v="1"/>
    <x v="10"/>
    <n v="2"/>
    <m/>
    <n v="0"/>
    <n v="1"/>
    <n v="0"/>
    <n v="0"/>
    <n v="0"/>
    <m/>
    <s v="24 VDC energized"/>
    <m/>
  </r>
  <r>
    <s v="=CA1+MCP-M1"/>
    <m/>
    <m/>
    <x v="0"/>
    <s v="Spray Dryer 1st Floor"/>
    <x v="0"/>
    <m/>
    <s v="Spray Dryer"/>
    <s v="SV-60231"/>
    <m/>
    <m/>
    <n v="0"/>
    <s v="1st"/>
    <s v="325-01-600-PD-04"/>
    <s v="3-25-01-602-PD-04"/>
    <s v="PA On/Off Valve for Cyclone Air Hammer 28 (CYCL-22)"/>
    <s v="Require I/O DI= 0,DO=1,AI=0,AO=0,Bus=0"/>
    <s v="SV-60231_DO_1"/>
    <x v="1"/>
    <n v="2"/>
    <n v="1"/>
    <s v="C1S08DO"/>
    <s v="C1S08DO05"/>
    <s v="C1S08,05"/>
    <s v="DO"/>
    <s v="Require I/O DI= 0,DO=1,AI=0,AO=0,Bus=0"/>
    <x v="1"/>
    <x v="10"/>
    <n v="5"/>
    <m/>
    <n v="0"/>
    <n v="1"/>
    <n v="0"/>
    <n v="0"/>
    <n v="0"/>
    <m/>
    <s v="24 VDC energized"/>
    <m/>
  </r>
  <r>
    <s v="=CA1+MCP-M1"/>
    <m/>
    <m/>
    <x v="0"/>
    <s v="Spray Dryer 1st Floor"/>
    <x v="0"/>
    <m/>
    <s v="Spray Dryer"/>
    <s v="SV-60240A"/>
    <m/>
    <m/>
    <n v="0"/>
    <s v="1st"/>
    <s v="325-01-600-PD-05"/>
    <s v="3-25-01-602-PD-05"/>
    <s v="PA On/Off Valve for Cyclone Air Hammer 29A (BGHS-21)"/>
    <s v="Require I/O DI= 0,DO=1,AI=0,AO=0,Bus=0"/>
    <s v="SV-60240A_DO_1"/>
    <x v="1"/>
    <n v="2"/>
    <n v="1"/>
    <s v="C1S08DO"/>
    <s v="C1S08DO04"/>
    <s v="C1S08,04"/>
    <s v="DO"/>
    <s v="Require I/O DI= 0,DO=1,AI=0,AO=0,Bus=0"/>
    <x v="1"/>
    <x v="10"/>
    <n v="4"/>
    <m/>
    <n v="0"/>
    <n v="1"/>
    <n v="0"/>
    <n v="0"/>
    <n v="0"/>
    <m/>
    <s v="24 VDC energized"/>
    <m/>
  </r>
  <r>
    <s v="=CA1+MCP-M1"/>
    <m/>
    <m/>
    <x v="0"/>
    <s v="Spray Dryer 1st Floor"/>
    <x v="0"/>
    <m/>
    <s v="Spray Dryer"/>
    <s v="SV-60240B"/>
    <m/>
    <m/>
    <n v="0"/>
    <s v="1st"/>
    <s v="325-01-600-PD-05"/>
    <s v="3-25-01-602-PD-05"/>
    <s v="PA On/Off Valve for Cyclone Air Hammer 29B (BGHS-21)"/>
    <s v="Require I/O DI= 0,DO=1,AI=0,AO=0,Bus=0"/>
    <s v="SV-60240B_DO_1"/>
    <x v="1"/>
    <n v="2"/>
    <n v="1"/>
    <s v="C1S08DO"/>
    <s v="C1S08DO06"/>
    <s v="C1S08,06"/>
    <s v="DO"/>
    <s v="Require I/O DI= 0,DO=1,AI=0,AO=0,Bus=0"/>
    <x v="1"/>
    <x v="10"/>
    <n v="6"/>
    <m/>
    <n v="0"/>
    <n v="1"/>
    <n v="0"/>
    <n v="0"/>
    <n v="0"/>
    <m/>
    <s v="24 VDC energized"/>
    <m/>
  </r>
  <r>
    <s v="=CA1+MCP-M1"/>
    <m/>
    <m/>
    <x v="0"/>
    <s v="Spray Dryer 1st Floor"/>
    <x v="0"/>
    <m/>
    <s v="Spray Dryer"/>
    <s v="SV-60240C"/>
    <m/>
    <m/>
    <n v="0"/>
    <s v="1st"/>
    <s v="325-01-600-PD-05"/>
    <s v="3-25-01-602-PD-05"/>
    <s v="PA On/Off Valve for Cyclone Air Hammer 29C (BGHS-21)"/>
    <s v="Require I/O DI= 0,DO=1,AI=0,AO=0,Bus=0"/>
    <s v="SV-60240C_DO_1"/>
    <x v="1"/>
    <n v="2"/>
    <n v="1"/>
    <s v="C1S08DO"/>
    <s v="C1S08DO07"/>
    <s v="C1S08,07"/>
    <s v="DO"/>
    <s v="Require I/O DI= 0,DO=1,AI=0,AO=0,Bus=0"/>
    <x v="1"/>
    <x v="10"/>
    <n v="7"/>
    <m/>
    <n v="0"/>
    <n v="1"/>
    <n v="0"/>
    <n v="0"/>
    <n v="0"/>
    <m/>
    <s v="24 VDC energized"/>
    <m/>
  </r>
  <r>
    <s v="=CA1+MCP-M1"/>
    <m/>
    <m/>
    <x v="0"/>
    <s v="Spray Dryer 1st Floor"/>
    <x v="0"/>
    <m/>
    <s v="Spray Dryer"/>
    <s v="VS-60205"/>
    <m/>
    <m/>
    <s v="Vibration Switch"/>
    <s v="1st"/>
    <s v="325-01-600-PD-01"/>
    <s v="3-25-01-602-PD-01"/>
    <s v="Vibration Gear Box Vibration Switch for Switch Vibration for PUPD-11 (PUPD-11)"/>
    <s v="Require I/O DI= 1,DO=0,AI=0,AO=0,Bus=0"/>
    <s v="VS-60205_DI_1"/>
    <x v="0"/>
    <n v="1"/>
    <n v="1"/>
    <s v="C1S04DI"/>
    <s v="C1S04DI02"/>
    <s v="C1S04,02"/>
    <s v="DI"/>
    <s v="Require I/O DI= 1,DO=0,AI=0,AO=0,Bus=0"/>
    <x v="1"/>
    <x v="6"/>
    <n v="2"/>
    <m/>
    <n v="1"/>
    <n v="0"/>
    <n v="0"/>
    <n v="0"/>
    <n v="0"/>
    <m/>
    <s v="Dry Contact"/>
    <s v="x"/>
  </r>
  <r>
    <s v="=CA1+MCP-M1"/>
    <m/>
    <m/>
    <x v="0"/>
    <s v="Spray Dryer 1st Floor"/>
    <x v="0"/>
    <m/>
    <s v="Spray Dryer"/>
    <s v="XA-60202A"/>
    <m/>
    <m/>
    <n v="0"/>
    <s v="1st"/>
    <s v="325-01-600-PD-08"/>
    <s v="-"/>
    <s v=" General Alarm Emergency Stop Actuation for XSUP-5601 (Supression Panel)"/>
    <s v="Require I/O DI= 1,DO=0,AI=0,AO=0,Bus=0"/>
    <s v="XA-60202A_DI_1"/>
    <x v="0"/>
    <n v="1"/>
    <n v="1"/>
    <s v="C1S04DI"/>
    <s v="C1S04DI10"/>
    <s v="C1S04,10"/>
    <s v="DI"/>
    <s v="Require I/O DI= 1,DO=0,AI=0,AO=0,Bus=0"/>
    <x v="1"/>
    <x v="6"/>
    <n v="10"/>
    <m/>
    <n v="1"/>
    <n v="0"/>
    <n v="0"/>
    <n v="0"/>
    <n v="0"/>
    <m/>
    <s v="Dry Contact"/>
    <s v="x"/>
  </r>
  <r>
    <s v="=CA1+MCP-M1"/>
    <m/>
    <m/>
    <x v="0"/>
    <s v="Spray Dryer 1st Floor"/>
    <x v="0"/>
    <m/>
    <s v="Spray Dryer"/>
    <s v="XA-60202B"/>
    <m/>
    <m/>
    <n v="0"/>
    <s v="1st"/>
    <s v="325-01-600-PD-08"/>
    <s v="-"/>
    <s v=" General Fault Controlled Stop for XSUP-5601 (Supression Panel)"/>
    <s v="Require I/O DI= 1,DO=0,AI=0,AO=0,Bus=0"/>
    <s v="XA-60202B_DI_1"/>
    <x v="0"/>
    <n v="1"/>
    <n v="1"/>
    <s v="C1S04DI"/>
    <s v="C1S04DI11"/>
    <s v="C1S04,11"/>
    <s v="DI"/>
    <s v="Require I/O DI= 1,DO=0,AI=0,AO=0,Bus=0"/>
    <x v="1"/>
    <x v="6"/>
    <n v="11"/>
    <m/>
    <n v="1"/>
    <n v="0"/>
    <n v="0"/>
    <n v="0"/>
    <n v="0"/>
    <m/>
    <s v="Dry Contact"/>
    <s v="x"/>
  </r>
  <r>
    <s v="=CA1+MCP-M1"/>
    <m/>
    <m/>
    <x v="0"/>
    <s v="Spray Dryer 1st Floor"/>
    <x v="0"/>
    <m/>
    <s v="Spray Dryer"/>
    <s v="XA-60202C"/>
    <m/>
    <m/>
    <n v="0"/>
    <s v="1st"/>
    <s v="325-01-600-PD-08"/>
    <s v="-"/>
    <s v=" General Armed Status Indicator for XSUP-5601 (Supression Panel)"/>
    <s v="Require I/O DI= 1,DO=0,AI=0,AO=0,Bus=0"/>
    <s v="XA-60202C_DI_1"/>
    <x v="0"/>
    <n v="1"/>
    <n v="1"/>
    <s v="C1S04DI"/>
    <s v="C1S04DI12"/>
    <s v="C1S04,12"/>
    <s v="DI"/>
    <s v="Require I/O DI= 1,DO=0,AI=0,AO=0,Bus=0"/>
    <x v="1"/>
    <x v="6"/>
    <n v="12"/>
    <m/>
    <n v="1"/>
    <n v="0"/>
    <n v="0"/>
    <n v="0"/>
    <n v="0"/>
    <m/>
    <s v="Dry Contact"/>
    <s v="x"/>
  </r>
  <r>
    <s v="=CA1+MCP-M1"/>
    <m/>
    <m/>
    <x v="0"/>
    <s v="Spray Dryer 1st Floor"/>
    <x v="0"/>
    <m/>
    <s v="Spray Dryer"/>
    <s v="XA-60202D"/>
    <m/>
    <m/>
    <n v="0"/>
    <s v="1st"/>
    <s v="325-01-600-PD-08"/>
    <s v="-"/>
    <s v=" Power Fault Status Indicator for XSUP-5601 (Supression Panel)"/>
    <s v="Require I/O DI= 1,DO=0,AI=0,AO=0,Bus=0"/>
    <s v="XA-60202D_DI_1"/>
    <x v="0"/>
    <n v="1"/>
    <n v="1"/>
    <s v="C1S04DI"/>
    <s v="C1S04DI13"/>
    <s v="C1S04,13"/>
    <s v="DI"/>
    <s v="Require I/O DI= 1,DO=0,AI=0,AO=0,Bus=0"/>
    <x v="1"/>
    <x v="6"/>
    <n v="13"/>
    <m/>
    <n v="1"/>
    <n v="0"/>
    <n v="0"/>
    <n v="0"/>
    <n v="0"/>
    <m/>
    <s v="Dry Contact"/>
    <s v="x"/>
  </r>
  <r>
    <s v="=CA1+MCP-M1"/>
    <m/>
    <m/>
    <x v="0"/>
    <s v="Spray Dryer 1st Floor"/>
    <x v="0"/>
    <m/>
    <s v="Spray Dryer"/>
    <s v="XA-60202E"/>
    <m/>
    <m/>
    <n v="0"/>
    <s v="1st"/>
    <s v="325-01-600-PD-08"/>
    <s v="-"/>
    <s v=" Dryer CHAM-21 Emergency Stop Actuation for XSUP-5601 (Supression Panel)"/>
    <s v="Require I/O DI= 1,DO=0,AI=0,AO=0,Bus=0"/>
    <s v="XA-60202E_DI_1"/>
    <x v="0"/>
    <n v="1"/>
    <n v="1"/>
    <s v="C1S04DI"/>
    <s v="C1S04DI14"/>
    <s v="C1S04,14"/>
    <s v="DI"/>
    <s v="Require I/O DI= 1,DO=0,AI=0,AO=0,Bus=0"/>
    <x v="1"/>
    <x v="6"/>
    <n v="14"/>
    <m/>
    <n v="1"/>
    <n v="0"/>
    <n v="0"/>
    <n v="0"/>
    <n v="0"/>
    <m/>
    <s v="Dry Contact"/>
    <s v="x"/>
  </r>
  <r>
    <s v="=CA1+MCP-M1"/>
    <m/>
    <m/>
    <x v="0"/>
    <s v="Spray Dryer 1st Floor"/>
    <x v="0"/>
    <m/>
    <s v="Spray Dryer"/>
    <s v="XA-60202F"/>
    <m/>
    <m/>
    <n v="0"/>
    <s v="1st"/>
    <s v="325-01-600-PD-08"/>
    <s v="-"/>
    <s v=" CHAM-21 Controlled Stop Trouble (No Protection) for XSUP-5601 (Supression Panel)"/>
    <s v="Require I/O DI= 1,DO=0,AI=0,AO=0,Bus=0"/>
    <s v="XA-60202F_DI_1"/>
    <x v="0"/>
    <n v="1"/>
    <n v="1"/>
    <s v="C1S04DI"/>
    <s v="C1S04DI15"/>
    <s v="C1S04,15"/>
    <s v="DI"/>
    <s v="Require I/O DI= 1,DO=0,AI=0,AO=0,Bus=0"/>
    <x v="1"/>
    <x v="6"/>
    <n v="15"/>
    <m/>
    <n v="1"/>
    <n v="0"/>
    <n v="0"/>
    <n v="0"/>
    <n v="0"/>
    <m/>
    <s v="Dry Contact"/>
    <s v="x"/>
  </r>
  <r>
    <s v="=CA1+MCP-M1"/>
    <m/>
    <m/>
    <x v="0"/>
    <s v="Spray Dryer 1st Floor"/>
    <x v="0"/>
    <m/>
    <s v="Spray Dryer"/>
    <s v="XA-60202G"/>
    <m/>
    <m/>
    <n v="0"/>
    <s v="1st"/>
    <s v="325-01-600-PD-08"/>
    <s v="-"/>
    <s v=" CYCL-21/22 Emergency Stop Actuation for XSUP-5601 (Supression Panel)"/>
    <s v="Require I/O DI= 1,DO=0,AI=0,AO=0,Bus=0"/>
    <s v="XA-60202G_DI_1"/>
    <x v="0"/>
    <n v="1"/>
    <n v="1"/>
    <s v="C1S04DI"/>
    <s v="C1S04DI16"/>
    <s v="C1S04,16"/>
    <s v="DI"/>
    <s v="Require I/O DI= 1,DO=0,AI=0,AO=0,Bus=0"/>
    <x v="1"/>
    <x v="6"/>
    <n v="16"/>
    <m/>
    <n v="1"/>
    <n v="0"/>
    <n v="0"/>
    <n v="0"/>
    <n v="0"/>
    <m/>
    <s v="Dry Contact"/>
    <s v="x"/>
  </r>
  <r>
    <s v="=CA1+MCP-M1"/>
    <m/>
    <m/>
    <x v="0"/>
    <s v="Spray Dryer 1st Floor"/>
    <x v="0"/>
    <m/>
    <s v="Spray Dryer"/>
    <s v="XA-60202H"/>
    <m/>
    <m/>
    <n v="0"/>
    <s v="1st"/>
    <s v="325-01-600-PD-08"/>
    <s v="-"/>
    <s v=" CYCL-21/22 Controlled Stop Trouble (No Protection) for XSUP-5601 (Supression Panel)"/>
    <s v="Require I/O DI= 1,DO=0,AI=0,AO=0,Bus=0"/>
    <s v="XA-60202H_DI_1"/>
    <x v="0"/>
    <n v="1"/>
    <n v="1"/>
    <s v="C1S05DI"/>
    <s v="C1S05DI00"/>
    <s v="C1S05,00"/>
    <s v="DI"/>
    <s v="Require I/O DI= 1,DO=0,AI=0,AO=0,Bus=0"/>
    <x v="1"/>
    <x v="5"/>
    <n v="0"/>
    <m/>
    <n v="1"/>
    <n v="0"/>
    <n v="0"/>
    <n v="0"/>
    <n v="0"/>
    <m/>
    <s v="Dry Contact"/>
    <m/>
  </r>
  <r>
    <s v="=CA1+MCP-M1"/>
    <m/>
    <m/>
    <x v="0"/>
    <s v="Spray Dryer 1st Floor"/>
    <x v="0"/>
    <m/>
    <s v="Spray Dryer"/>
    <s v="XA-60202J"/>
    <m/>
    <m/>
    <n v="0"/>
    <s v="1st"/>
    <s v="325-01-600-PD-08"/>
    <s v="-"/>
    <s v=" BGHS-21 Emergency Stop Actuation for XSUP-5601 (Supression Panel)"/>
    <s v="Require I/O DI= 1,DO=0,AI=0,AO=0,Bus=0"/>
    <s v="XA-60202J_DI_1"/>
    <x v="0"/>
    <n v="1"/>
    <n v="1"/>
    <s v="C1S05DI"/>
    <s v="C1S05DI01"/>
    <s v="C1S05,01"/>
    <s v="DI"/>
    <s v="Require I/O DI= 1,DO=0,AI=0,AO=0,Bus=0"/>
    <x v="1"/>
    <x v="5"/>
    <n v="1"/>
    <m/>
    <n v="1"/>
    <n v="0"/>
    <n v="0"/>
    <n v="0"/>
    <n v="0"/>
    <m/>
    <s v="Dry Contact"/>
    <m/>
  </r>
  <r>
    <s v="=CA1+MCP-M1"/>
    <m/>
    <m/>
    <x v="0"/>
    <s v="Spray Dryer 1st Floor"/>
    <x v="0"/>
    <m/>
    <s v="Spray Dryer"/>
    <s v="XA-60202K"/>
    <m/>
    <m/>
    <n v="0"/>
    <s v="1st"/>
    <s v="325-01-600-PD-08"/>
    <s v="-"/>
    <s v=" BGHS-21 Controlled Stop Trouble (No Protection) for XSUP-5601 (Supression Panel)"/>
    <s v="Require I/O DI= 1,DO=0,AI=0,AO=0,Bus=0"/>
    <s v="XA-60202K_DI_1"/>
    <x v="0"/>
    <n v="1"/>
    <n v="1"/>
    <s v="C1S05DI"/>
    <s v="C1S05DI02"/>
    <s v="C1S05,02"/>
    <s v="DI"/>
    <s v="Require I/O DI= 1,DO=0,AI=0,AO=0,Bus=0"/>
    <x v="1"/>
    <x v="5"/>
    <n v="2"/>
    <m/>
    <n v="1"/>
    <n v="0"/>
    <n v="0"/>
    <n v="0"/>
    <n v="0"/>
    <m/>
    <s v="Dry Contact"/>
    <m/>
  </r>
  <r>
    <s v="=CA1+MCP-M1"/>
    <m/>
    <m/>
    <x v="0"/>
    <s v="Spray Dryer 1st Floor"/>
    <x v="0"/>
    <m/>
    <s v="Spray Dryer"/>
    <s v="XA-60202L"/>
    <m/>
    <m/>
    <n v="0"/>
    <s v="1st"/>
    <s v="325-01-600-PD-08"/>
    <s v="-"/>
    <s v=" CYCL-31 Emergency Stop Actuation for XSUP-5601 (Supression Panel)"/>
    <s v="Require I/O DI= 1,DO=0,AI=0,AO=0,Bus=0"/>
    <s v="XA-60202L_DI_1"/>
    <x v="0"/>
    <n v="1"/>
    <n v="1"/>
    <s v="C1S05DI"/>
    <s v="C1S05DI03"/>
    <s v="C1S05,03"/>
    <s v="DI"/>
    <s v="Require I/O DI= 1,DO=0,AI=0,AO=0,Bus=0"/>
    <x v="1"/>
    <x v="5"/>
    <n v="3"/>
    <m/>
    <n v="1"/>
    <n v="0"/>
    <n v="0"/>
    <n v="0"/>
    <n v="0"/>
    <m/>
    <s v="Dry Contact"/>
    <m/>
  </r>
  <r>
    <s v="=CA1+MCP-M1"/>
    <m/>
    <m/>
    <x v="0"/>
    <s v="Spray Dryer 1st Floor"/>
    <x v="0"/>
    <m/>
    <s v="Spray Dryer"/>
    <s v="XA-60202M"/>
    <m/>
    <m/>
    <n v="0"/>
    <s v="1st"/>
    <s v="325-01-600-PD-08"/>
    <s v="-"/>
    <s v=" CYCL-31 Controlled Stop Trouble (No Protection) for XSUP-5601 (Supression Panel)"/>
    <s v="Require I/O DI= 1,DO=0,AI=0,AO=0,Bus=0"/>
    <s v="XA-60202M_DI_1"/>
    <x v="0"/>
    <n v="1"/>
    <n v="1"/>
    <s v="C1S05DI"/>
    <s v="C1S05DI04"/>
    <s v="C1S05,04"/>
    <s v="DI"/>
    <s v="Require I/O DI= 1,DO=0,AI=0,AO=0,Bus=0"/>
    <x v="1"/>
    <x v="5"/>
    <n v="4"/>
    <m/>
    <n v="1"/>
    <n v="0"/>
    <n v="0"/>
    <n v="0"/>
    <n v="0"/>
    <m/>
    <s v="Dry Contact"/>
    <m/>
  </r>
  <r>
    <s v="=CA1+MCP-M1"/>
    <m/>
    <m/>
    <x v="0"/>
    <s v="Spray Dryer 1st Floor"/>
    <x v="0"/>
    <m/>
    <s v="Spray Dryer"/>
    <s v="XV-60202"/>
    <n v="1"/>
    <m/>
    <n v="0"/>
    <s v="1st"/>
    <s v="325-01-600-PD-11"/>
    <s v="3-25-01-602-PD-11"/>
    <s v="High Pressure Water On/Off Valve for Drain Pipe "/>
    <s v="Require I/O DI= 2,DO=1,AI=0,AO=0,Bus=0"/>
    <s v="XV-60202_DI_1"/>
    <x v="0"/>
    <n v="1"/>
    <n v="1"/>
    <s v="C1S05DI"/>
    <s v="C1S05DI05"/>
    <s v="C1S05,05"/>
    <s v="DI"/>
    <s v="Require I/O DI= 2,DO=1,AI=0,AO=0,Bus=0"/>
    <x v="1"/>
    <x v="5"/>
    <n v="5"/>
    <m/>
    <n v="2"/>
    <n v="1"/>
    <n v="0"/>
    <n v="0"/>
    <n v="0"/>
    <m/>
    <s v="24 VDC energized"/>
    <m/>
  </r>
  <r>
    <s v="=CA1+MCP-M1"/>
    <m/>
    <m/>
    <x v="0"/>
    <s v="Spray Dryer 1st Floor"/>
    <x v="0"/>
    <m/>
    <s v="Spray Dryer"/>
    <s v="XV-60202"/>
    <n v="1"/>
    <m/>
    <n v="0"/>
    <s v="1st"/>
    <s v="325-01-600-PD-11"/>
    <s v="3-25-01-602-PD-11"/>
    <s v="High Pressure Water On/Off Valve for Drain Pipe "/>
    <s v="Require I/O DI= 2,DO=1,AI=0,AO=0,Bus=0"/>
    <s v="XV-60202_DI_2"/>
    <x v="0"/>
    <n v="1"/>
    <n v="2"/>
    <s v="C1S05DI"/>
    <s v="C1S05DI07"/>
    <s v="C1S05,07"/>
    <s v="DI"/>
    <s v="Require I/O DI= 2,DO=1,AI=0,AO=0,Bus=0"/>
    <x v="1"/>
    <x v="5"/>
    <n v="7"/>
    <m/>
    <n v="2"/>
    <n v="1"/>
    <n v="0"/>
    <n v="0"/>
    <n v="0"/>
    <m/>
    <s v="24 VDC energized"/>
    <m/>
  </r>
  <r>
    <s v="=CA1+MCP-M1"/>
    <m/>
    <m/>
    <x v="0"/>
    <s v="Spray Dryer 1st Floor"/>
    <x v="0"/>
    <m/>
    <s v="Spray Dryer"/>
    <s v="XV-60202"/>
    <n v="1"/>
    <m/>
    <n v="0"/>
    <s v="1st"/>
    <s v="325-01-600-PD-11"/>
    <s v="3-25-01-602-PD-11"/>
    <s v="High Pressure Water On/Off Valve for Drain Pipe "/>
    <s v="Require I/O DI= 2,DO=1,AI=0,AO=0,Bus=0"/>
    <s v="XV-60202_DO_1"/>
    <x v="1"/>
    <n v="2"/>
    <n v="1"/>
    <s v="C1S08DO"/>
    <s v="C1S08DO10"/>
    <s v="C1S08,10"/>
    <s v="DO"/>
    <s v="Require I/O DI= 2,DO=1,AI=0,AO=0,Bus=0"/>
    <x v="1"/>
    <x v="10"/>
    <n v="10"/>
    <m/>
    <n v="2"/>
    <n v="1"/>
    <n v="0"/>
    <n v="0"/>
    <n v="0"/>
    <m/>
    <s v="24 VDC energized"/>
    <m/>
  </r>
  <r>
    <s v="=CA1+MCP-M1"/>
    <m/>
    <m/>
    <x v="0"/>
    <s v="Spray Dryer 1st Floor"/>
    <x v="0"/>
    <m/>
    <s v="Spray Dryer"/>
    <s v="XV-60205A"/>
    <n v="1"/>
    <m/>
    <n v="0"/>
    <s v="1st"/>
    <s v="325-01-600-PD-01"/>
    <s v="3-25-01-602-PD-01"/>
    <s v="Cooling Water On/Off Valve for Cooling Water Supply for PUPD-11 (PUPD-11)"/>
    <s v="Require I/O DI= 2,DO=1,AI=0,AO=0,Bus=0"/>
    <s v="XV-60205A_DI_1"/>
    <x v="0"/>
    <n v="1"/>
    <n v="1"/>
    <s v="C1S05DI"/>
    <s v="C1S05DI06"/>
    <s v="C1S05,06"/>
    <s v="DI"/>
    <s v="Require I/O DI= 2,DO=1,AI=0,AO=0,Bus=0"/>
    <x v="1"/>
    <x v="5"/>
    <n v="6"/>
    <m/>
    <n v="2"/>
    <n v="1"/>
    <n v="0"/>
    <n v="0"/>
    <n v="0"/>
    <m/>
    <s v="24 VDC energized,Dry Contact"/>
    <m/>
  </r>
  <r>
    <s v="=CA1+MCP-M1"/>
    <m/>
    <m/>
    <x v="0"/>
    <s v="Spray Dryer 1st Floor"/>
    <x v="0"/>
    <m/>
    <s v="Spray Dryer"/>
    <s v="XV-60205A"/>
    <n v="1"/>
    <m/>
    <n v="0"/>
    <s v="1st"/>
    <s v="325-01-600-PD-01"/>
    <s v="3-25-01-602-PD-01"/>
    <s v="Cooling Water On/Off Valve for Cooling Water Supply for PUPD-11 (PUPD-11)"/>
    <s v="Require I/O DI= 2,DO=1,AI=0,AO=0,Bus=0"/>
    <s v="XV-60205A_DI_2"/>
    <x v="0"/>
    <n v="1"/>
    <n v="2"/>
    <s v="C1S05DI"/>
    <s v="C1S05DI08"/>
    <s v="C1S05,08"/>
    <s v="DI"/>
    <s v="Require I/O DI= 2,DO=1,AI=0,AO=0,Bus=0"/>
    <x v="1"/>
    <x v="5"/>
    <n v="8"/>
    <m/>
    <n v="2"/>
    <n v="1"/>
    <n v="0"/>
    <n v="0"/>
    <n v="0"/>
    <m/>
    <s v="24 VDC energized,Dry Contact"/>
    <m/>
  </r>
  <r>
    <s v="=CA1+MCP-M1"/>
    <m/>
    <m/>
    <x v="0"/>
    <s v="Spray Dryer 1st Floor"/>
    <x v="0"/>
    <m/>
    <s v="Spray Dryer"/>
    <s v="XV-60205A"/>
    <n v="1"/>
    <m/>
    <n v="0"/>
    <s v="1st"/>
    <s v="325-01-600-PD-01"/>
    <s v="3-25-01-602-PD-01"/>
    <s v="Cooling Water On/Off Valve for Cooling Water Supply for PUPD-11 (PUPD-11)"/>
    <s v="Require I/O DI= 2,DO=1,AI=0,AO=0,Bus=0"/>
    <s v="XV-60205A_DO_1"/>
    <x v="1"/>
    <n v="2"/>
    <n v="1"/>
    <s v="C1S08DO"/>
    <s v="C1S08DO11"/>
    <s v="C1S08,11"/>
    <s v="DO"/>
    <s v="Require I/O DI= 2,DO=1,AI=0,AO=0,Bus=0"/>
    <x v="1"/>
    <x v="10"/>
    <n v="11"/>
    <m/>
    <n v="2"/>
    <n v="1"/>
    <n v="0"/>
    <n v="0"/>
    <n v="0"/>
    <m/>
    <s v="24 VDC energized,Dry Contact"/>
    <m/>
  </r>
  <r>
    <s v="=CA1+MCP-M1"/>
    <m/>
    <m/>
    <x v="0"/>
    <s v="Spray Dryer 1st Floor"/>
    <x v="0"/>
    <m/>
    <s v="Spray Dryer"/>
    <s v="XV-60240D"/>
    <n v="1"/>
    <m/>
    <e v="#N/A"/>
    <s v="1st"/>
    <s v="325-01-600-PD-05"/>
    <s v="-"/>
    <e v="#N/A"/>
    <s v="Require I/O DI= 2,DO=1,AI=0,AO=0,Bus=0"/>
    <s v="XV-60240D_DI_1"/>
    <x v="0"/>
    <n v="1"/>
    <n v="1"/>
    <s v="C1S05DI"/>
    <s v="C1S05DI09"/>
    <s v="C1S05,09"/>
    <s v="DI"/>
    <s v="Require I/O DI= 2,DO=1,AI=0,AO=0,Bus=0"/>
    <x v="1"/>
    <x v="5"/>
    <n v="9"/>
    <m/>
    <n v="2"/>
    <n v="1"/>
    <n v="0"/>
    <n v="0"/>
    <n v="0"/>
    <m/>
    <e v="#N/A"/>
    <m/>
  </r>
  <r>
    <s v="=CA1+MCP-M1"/>
    <m/>
    <m/>
    <x v="0"/>
    <s v="Spray Dryer 1st Floor"/>
    <x v="0"/>
    <m/>
    <s v="Spray Dryer"/>
    <s v="XV-60240D"/>
    <n v="1"/>
    <m/>
    <e v="#N/A"/>
    <s v="1st"/>
    <s v="325-01-600-PD-08"/>
    <s v="3-25-01-602-PD-05"/>
    <e v="#N/A"/>
    <s v="Require I/O DI= 2,DO=1,AI=0,AO=0,Bus=0"/>
    <s v="XV-60240D_DI_2"/>
    <x v="0"/>
    <n v="1"/>
    <n v="2"/>
    <s v="C1S05DI"/>
    <s v="C1S05DI10"/>
    <s v="C1S05,10"/>
    <s v="DI"/>
    <s v="Require I/O DI= 2,DO=1,AI=0,AO=0,Bus=0"/>
    <x v="1"/>
    <x v="5"/>
    <n v="10"/>
    <m/>
    <n v="2"/>
    <n v="1"/>
    <n v="0"/>
    <n v="0"/>
    <n v="0"/>
    <m/>
    <e v="#N/A"/>
    <m/>
  </r>
  <r>
    <s v="=CA1+MCP-M1"/>
    <m/>
    <m/>
    <x v="0"/>
    <s v="Spray Dryer 1st Floor"/>
    <x v="0"/>
    <m/>
    <s v="Spray Dryer"/>
    <s v="XV-60240D"/>
    <n v="1"/>
    <m/>
    <e v="#N/A"/>
    <s v="1st"/>
    <s v="325-01-600-PD-05"/>
    <s v="-"/>
    <e v="#N/A"/>
    <s v="Require I/O DI= 2,DO=1,AI=0,AO=0,Bus=0"/>
    <s v="XV-60240D_DI_1"/>
    <x v="0"/>
    <n v="1"/>
    <n v="1"/>
    <s v="C1S05DI"/>
    <s v="C1S05DI11"/>
    <s v="C1S05,11"/>
    <s v="DI"/>
    <s v="Require I/O DI= 2,DO=1,AI=0,AO=0,Bus=0"/>
    <x v="1"/>
    <x v="5"/>
    <n v="11"/>
    <m/>
    <n v="2"/>
    <n v="1"/>
    <n v="0"/>
    <n v="0"/>
    <n v="0"/>
    <m/>
    <e v="#N/A"/>
    <m/>
  </r>
  <r>
    <s v="=CA1+MCP-M1"/>
    <m/>
    <m/>
    <x v="0"/>
    <s v="Spray Dryer 1st Floor"/>
    <x v="0"/>
    <m/>
    <s v="Spray Dryer"/>
    <s v="XV-60240D"/>
    <n v="1"/>
    <m/>
    <e v="#N/A"/>
    <s v="1st"/>
    <s v="325-01-600-PD-08"/>
    <s v="3-25-01-602-PD-05"/>
    <e v="#N/A"/>
    <s v="Require I/O DI= 2,DO=1,AI=0,AO=0,Bus=0"/>
    <s v="XV-60240D_DI_2"/>
    <x v="0"/>
    <n v="1"/>
    <n v="2"/>
    <s v="C1S05DI"/>
    <s v="C1S05DI12"/>
    <s v="C1S05,12"/>
    <s v="DI"/>
    <s v="Require I/O DI= 2,DO=1,AI=0,AO=0,Bus=0"/>
    <x v="1"/>
    <x v="5"/>
    <n v="12"/>
    <m/>
    <n v="2"/>
    <n v="1"/>
    <n v="0"/>
    <n v="0"/>
    <n v="0"/>
    <m/>
    <e v="#N/A"/>
    <m/>
  </r>
  <r>
    <s v="=CA1+MCP-M1"/>
    <m/>
    <m/>
    <x v="0"/>
    <s v="Spray Dryer 1st Floor"/>
    <x v="0"/>
    <m/>
    <s v="Spray Dryer"/>
    <s v="XV-60240D"/>
    <n v="1"/>
    <m/>
    <e v="#N/A"/>
    <s v="1st"/>
    <s v="325-01-600-PD-05"/>
    <s v="-"/>
    <e v="#N/A"/>
    <s v="Require I/O DI= 2,DO=1,AI=0,AO=0,Bus=0"/>
    <s v="XV-60240D_DO_1"/>
    <x v="1"/>
    <n v="2"/>
    <n v="1"/>
    <s v="C1S08DO"/>
    <s v="C1S08DO08"/>
    <s v="C1S08,08"/>
    <s v="DO"/>
    <s v="Require I/O DI= 2,DO=1,AI=0,AO=0,Bus=0"/>
    <x v="1"/>
    <x v="10"/>
    <n v="8"/>
    <m/>
    <n v="2"/>
    <n v="1"/>
    <n v="0"/>
    <n v="0"/>
    <n v="0"/>
    <m/>
    <e v="#N/A"/>
    <m/>
  </r>
  <r>
    <s v="=CA1+MCP-M1"/>
    <m/>
    <m/>
    <x v="0"/>
    <s v="Spray Dryer 1st Floor"/>
    <x v="0"/>
    <m/>
    <s v="Infeed Tank"/>
    <s v="XV-60251"/>
    <n v="1"/>
    <m/>
    <n v="0"/>
    <s v="1st"/>
    <s v="325-01-600-PD-01"/>
    <s v="3-25-01-602-PD-01"/>
    <s v="Liquid On/Off Valve for Drain Pipe (PIPE)"/>
    <s v="Require I/O DI= 2,DO=1,AI=0,AO=0,Bus=0"/>
    <s v="XV-60251_DO_1"/>
    <x v="1"/>
    <n v="2"/>
    <n v="1"/>
    <s v="C1S08DO"/>
    <s v="C1S08DO09"/>
    <s v="C1S08,09"/>
    <s v="DO"/>
    <s v="Require I/O DI= 2,DO=1,AI=0,AO=0,Bus=0"/>
    <x v="1"/>
    <x v="10"/>
    <n v="9"/>
    <m/>
    <n v="2"/>
    <n v="1"/>
    <n v="0"/>
    <n v="0"/>
    <n v="0"/>
    <m/>
    <s v="24 VDC energized"/>
    <m/>
  </r>
  <r>
    <s v="=CA1+MCP-M1"/>
    <m/>
    <m/>
    <x v="0"/>
    <s v="Spray Dryer 1st Floor"/>
    <x v="0"/>
    <m/>
    <s v="Spray Dryer"/>
    <s v="YA-60205"/>
    <m/>
    <m/>
    <n v="0"/>
    <s v="1st"/>
    <s v="325-01-600-PD-01"/>
    <s v="-"/>
    <s v="Fault Command "/>
    <s v="Require I/O DI= 1,DO=0,AI=0,AO=0,Bus=0"/>
    <s v="YA-60205_DI_1"/>
    <x v="0"/>
    <n v="1"/>
    <n v="1"/>
    <s v="C1S05DI"/>
    <s v="C1S05DI13"/>
    <s v="C1S05,13"/>
    <s v="DI"/>
    <s v="Require I/O DI= 1,DO=0,AI=0,AO=0,Bus=0"/>
    <x v="1"/>
    <x v="5"/>
    <n v="13"/>
    <m/>
    <n v="1"/>
    <n v="0"/>
    <n v="0"/>
    <n v="0"/>
    <n v="0"/>
    <m/>
    <n v="0"/>
    <m/>
  </r>
  <r>
    <s v="=CA1+MCP-M1"/>
    <m/>
    <m/>
    <x v="0"/>
    <s v="Spray Dryer 1st Floor"/>
    <x v="0"/>
    <m/>
    <s v="Spray Dryer"/>
    <s v="YI-60205"/>
    <m/>
    <m/>
    <n v="0"/>
    <s v="1st"/>
    <s v="325-01-600-PD-01"/>
    <s v="-"/>
    <s v="Run Command"/>
    <s v="Require I/O DI= 1,DO=0,AI=0,AO=0,Bus=0"/>
    <s v="YI-60205_DI_1"/>
    <x v="0"/>
    <n v="1"/>
    <n v="1"/>
    <s v="C1S05DI"/>
    <s v="C1S05DI14"/>
    <s v="C1S05,14"/>
    <s v="DI"/>
    <s v="Require I/O DI= 1,DO=0,AI=0,AO=0,Bus=0"/>
    <x v="1"/>
    <x v="5"/>
    <n v="14"/>
    <m/>
    <n v="1"/>
    <n v="0"/>
    <n v="0"/>
    <n v="0"/>
    <n v="0"/>
    <m/>
    <n v="0"/>
    <m/>
  </r>
  <r>
    <s v="=CA1+MCP-M2"/>
    <m/>
    <m/>
    <x v="6"/>
    <s v="Jet Cooker 2nd Floor"/>
    <x v="8"/>
    <m/>
    <m/>
    <n v="0"/>
    <m/>
    <m/>
    <n v="0"/>
    <m/>
    <m/>
    <m/>
    <s v="Lototo-01"/>
    <s v="Require I/O DI= 0,DO=0,AI=0,AO=0,Bus=0"/>
    <s v="0_AI_"/>
    <x v="3"/>
    <n v="3"/>
    <m/>
    <s v="C2S06AI"/>
    <s v="C2S06AI07"/>
    <s v="C2S06,07"/>
    <s v="AI"/>
    <s v="Require I/O DI= 0,DO=0,AI=0,AO=0,Bus=0"/>
    <x v="2"/>
    <x v="2"/>
    <n v="7"/>
    <m/>
    <n v="0"/>
    <n v="0"/>
    <n v="0"/>
    <n v="0"/>
    <n v="0"/>
    <m/>
    <s v="Dry Contact"/>
    <m/>
  </r>
  <r>
    <s v="=CA1+MCP-M2"/>
    <m/>
    <m/>
    <x v="6"/>
    <s v="Jet Cooker 2nd Floor"/>
    <x v="8"/>
    <m/>
    <m/>
    <n v="0"/>
    <m/>
    <m/>
    <n v="0"/>
    <m/>
    <m/>
    <m/>
    <s v="Lototo-01"/>
    <s v="Require I/O DI= 0,DO=0,AI=0,AO=0,Bus=0"/>
    <s v="0_AI_"/>
    <x v="3"/>
    <n v="3"/>
    <m/>
    <s v="C2S06AI"/>
    <s v="C2S06AI08"/>
    <s v="C2S06,08"/>
    <s v="AI"/>
    <s v="Require I/O DI= 0,DO=0,AI=0,AO=0,Bus=0"/>
    <x v="2"/>
    <x v="2"/>
    <n v="8"/>
    <m/>
    <n v="0"/>
    <n v="0"/>
    <n v="0"/>
    <n v="0"/>
    <n v="0"/>
    <m/>
    <s v="Dry Contact"/>
    <m/>
  </r>
  <r>
    <s v="=CA1+MCP-M2"/>
    <m/>
    <m/>
    <x v="6"/>
    <s v="Jet Cooker 2nd Floor"/>
    <x v="8"/>
    <m/>
    <m/>
    <n v="0"/>
    <m/>
    <m/>
    <n v="0"/>
    <m/>
    <m/>
    <m/>
    <s v="Lototo-01"/>
    <s v="Require I/O DI= 0,DO=0,AI=0,AO=0,Bus=0"/>
    <s v="0_AI_"/>
    <x v="3"/>
    <n v="3"/>
    <m/>
    <s v="C2S06AI"/>
    <s v="C2S06AI09"/>
    <s v="C2S06,09"/>
    <s v="AI"/>
    <s v="Require I/O DI= 0,DO=0,AI=0,AO=0,Bus=0"/>
    <x v="2"/>
    <x v="2"/>
    <n v="9"/>
    <m/>
    <n v="0"/>
    <n v="0"/>
    <n v="0"/>
    <n v="0"/>
    <n v="0"/>
    <m/>
    <s v="Dry Contact"/>
    <m/>
  </r>
  <r>
    <s v="=CA1+MCP-M2"/>
    <m/>
    <m/>
    <x v="6"/>
    <s v="Jet Cooker 2nd Floor"/>
    <x v="8"/>
    <m/>
    <m/>
    <n v="0"/>
    <m/>
    <m/>
    <n v="0"/>
    <m/>
    <m/>
    <m/>
    <s v="Lototo-01"/>
    <s v="Require I/O DI= 0,DO=0,AI=0,AO=0,Bus=0"/>
    <s v="0_AI_"/>
    <x v="3"/>
    <n v="3"/>
    <m/>
    <s v="C2S06AI"/>
    <s v="C2S06AI10"/>
    <s v="C2S06,10"/>
    <s v="AI"/>
    <s v="Require I/O DI= 0,DO=0,AI=0,AO=0,Bus=0"/>
    <x v="2"/>
    <x v="2"/>
    <n v="10"/>
    <m/>
    <n v="0"/>
    <n v="0"/>
    <n v="0"/>
    <n v="0"/>
    <n v="0"/>
    <m/>
    <s v="Dry Contact"/>
    <m/>
  </r>
  <r>
    <s v="=CA1+MCP-M2"/>
    <m/>
    <m/>
    <x v="6"/>
    <s v="Jet Cooker 2nd Floor"/>
    <x v="8"/>
    <m/>
    <m/>
    <n v="0"/>
    <m/>
    <m/>
    <n v="0"/>
    <m/>
    <m/>
    <m/>
    <s v="Lototo-01"/>
    <s v="Require I/O DI= 0,DO=0,AI=0,AO=0,Bus=0"/>
    <s v="0_AI_"/>
    <x v="3"/>
    <n v="3"/>
    <m/>
    <s v="C2S06AI"/>
    <s v="C2S06AI11"/>
    <s v="C2S06,11"/>
    <s v="AI"/>
    <s v="Require I/O DI= 0,DO=0,AI=0,AO=0,Bus=0"/>
    <x v="2"/>
    <x v="2"/>
    <n v="11"/>
    <m/>
    <n v="0"/>
    <n v="0"/>
    <n v="0"/>
    <n v="0"/>
    <n v="0"/>
    <m/>
    <s v="Dry Contact"/>
    <m/>
  </r>
  <r>
    <s v="=CA1+MCP-M2"/>
    <m/>
    <m/>
    <x v="6"/>
    <s v="Jet Cooker 2nd Floor"/>
    <x v="8"/>
    <m/>
    <m/>
    <n v="0"/>
    <m/>
    <m/>
    <n v="0"/>
    <m/>
    <m/>
    <m/>
    <s v="Lototo-01"/>
    <s v="Require I/O DI= 0,DO=0,AI=0,AO=0,Bus=0"/>
    <s v="0_AI_"/>
    <x v="3"/>
    <n v="3"/>
    <m/>
    <s v="C2S06AI"/>
    <s v="C2S06AI12"/>
    <s v="C2S06,12"/>
    <s v="AI"/>
    <s v="Require I/O DI= 0,DO=0,AI=0,AO=0,Bus=0"/>
    <x v="2"/>
    <x v="2"/>
    <n v="12"/>
    <m/>
    <n v="0"/>
    <n v="0"/>
    <n v="0"/>
    <n v="0"/>
    <n v="0"/>
    <m/>
    <s v="Dry Contact"/>
    <m/>
  </r>
  <r>
    <s v="=CA1+MCP-M2"/>
    <m/>
    <m/>
    <x v="6"/>
    <s v="Jet Cooker 2nd Floor"/>
    <x v="8"/>
    <m/>
    <m/>
    <n v="0"/>
    <m/>
    <m/>
    <n v="0"/>
    <m/>
    <m/>
    <m/>
    <s v="Lototo-01"/>
    <s v="Require I/O DI= 0,DO=0,AI=0,AO=0,Bus=0"/>
    <s v="0_AI_"/>
    <x v="3"/>
    <n v="3"/>
    <m/>
    <s v="C2S06AI"/>
    <s v="C2S06AI13"/>
    <s v="C2S06,13"/>
    <s v="AI"/>
    <s v="Require I/O DI= 0,DO=0,AI=0,AO=0,Bus=0"/>
    <x v="2"/>
    <x v="2"/>
    <n v="13"/>
    <m/>
    <n v="0"/>
    <n v="0"/>
    <n v="0"/>
    <n v="0"/>
    <n v="0"/>
    <m/>
    <s v="Dry Contact"/>
    <m/>
  </r>
  <r>
    <s v="=CA1+MCP-M2"/>
    <m/>
    <m/>
    <x v="6"/>
    <s v="Jet Cooker 2nd Floor"/>
    <x v="8"/>
    <m/>
    <m/>
    <n v="0"/>
    <m/>
    <m/>
    <n v="0"/>
    <m/>
    <m/>
    <m/>
    <s v="Lototo-01"/>
    <s v="Require I/O DI= 0,DO=0,AI=0,AO=0,Bus=0"/>
    <s v="0_AI_"/>
    <x v="3"/>
    <n v="3"/>
    <m/>
    <s v="C2S06AI"/>
    <s v="C2S06AI14"/>
    <s v="C2S06,14"/>
    <s v="AI"/>
    <s v="Require I/O DI= 0,DO=0,AI=0,AO=0,Bus=0"/>
    <x v="2"/>
    <x v="2"/>
    <n v="14"/>
    <m/>
    <n v="0"/>
    <n v="0"/>
    <n v="0"/>
    <n v="0"/>
    <n v="0"/>
    <m/>
    <s v="Dry Contact"/>
    <m/>
  </r>
  <r>
    <s v="=CA1+MCP-M2"/>
    <m/>
    <m/>
    <x v="6"/>
    <s v="Jet Cooker 2nd Floor"/>
    <x v="8"/>
    <m/>
    <m/>
    <n v="0"/>
    <m/>
    <m/>
    <n v="0"/>
    <m/>
    <m/>
    <m/>
    <s v="Lototo-01"/>
    <s v="Require I/O DI= 0,DO=0,AI=0,AO=0,Bus=0"/>
    <s v="0_AI_"/>
    <x v="3"/>
    <n v="3"/>
    <m/>
    <s v="C2S06AI"/>
    <s v="C2S06AI15"/>
    <s v="C2S06,15"/>
    <s v="AI"/>
    <s v="Require I/O DI= 0,DO=0,AI=0,AO=0,Bus=0"/>
    <x v="2"/>
    <x v="2"/>
    <n v="15"/>
    <m/>
    <n v="0"/>
    <n v="0"/>
    <n v="0"/>
    <n v="0"/>
    <n v="0"/>
    <m/>
    <s v="Dry Contact"/>
    <m/>
  </r>
  <r>
    <s v="=CA1+MCP-M2"/>
    <m/>
    <m/>
    <x v="6"/>
    <s v="Jet Cooker 2nd Floor"/>
    <x v="11"/>
    <m/>
    <s v="Jet Cooker "/>
    <s v="FS-40204"/>
    <m/>
    <m/>
    <s v="Flow Switch"/>
    <s v="2nd"/>
    <s v="-"/>
    <s v="325-01-402-PD-01"/>
    <s v="Jet Cooker "/>
    <s v="Require I/O DI= 1,DO=0,AI=0,AO=0,Bus=0"/>
    <s v="FS-40204_DI_1"/>
    <x v="0"/>
    <n v="1"/>
    <n v="1"/>
    <s v="C2S01DI"/>
    <s v="C2S01DI00"/>
    <s v="C2S01,00"/>
    <s v="DI"/>
    <s v="Require I/O DI= 1,DO=0,AI=0,AO=0,Bus=0"/>
    <x v="2"/>
    <x v="4"/>
    <n v="0"/>
    <m/>
    <n v="1"/>
    <n v="0"/>
    <n v="0"/>
    <n v="0"/>
    <n v="0"/>
    <m/>
    <s v="Dry Contact"/>
    <m/>
  </r>
  <r>
    <s v="=CA1+MCP-M2"/>
    <m/>
    <m/>
    <x v="6"/>
    <s v="Jet Cooker 2nd Floor"/>
    <x v="11"/>
    <m/>
    <s v="Jet Cooker "/>
    <s v="FS-40205"/>
    <m/>
    <m/>
    <s v="Flow Switch"/>
    <s v="2nd"/>
    <s v="-"/>
    <s v="325-01-402-PD-02"/>
    <s v="Jet Cooker "/>
    <s v="Require I/O DI= 1,DO=0,AI=0,AO=0,Bus=0"/>
    <s v="FS-40205_DI_1"/>
    <x v="0"/>
    <n v="1"/>
    <n v="1"/>
    <s v="C2S01DI"/>
    <s v="C2S01DI01"/>
    <s v="C2S01,01"/>
    <s v="DI"/>
    <s v="Require I/O DI= 1,DO=0,AI=0,AO=0,Bus=0"/>
    <x v="2"/>
    <x v="4"/>
    <n v="1"/>
    <m/>
    <n v="1"/>
    <n v="0"/>
    <n v="0"/>
    <n v="0"/>
    <n v="0"/>
    <m/>
    <s v="Dry Contact"/>
    <m/>
  </r>
  <r>
    <s v="=CA1+MCP-M2"/>
    <m/>
    <m/>
    <x v="6"/>
    <s v="Jet Cooker 2nd Floor"/>
    <x v="11"/>
    <m/>
    <s v="Jet Cooker "/>
    <s v="FT-40221"/>
    <m/>
    <m/>
    <s v="Coriolis Flow Transmitter"/>
    <s v="2nd"/>
    <s v="-"/>
    <s v="325-01-402-PD-02"/>
    <s v="Jet Cooker "/>
    <s v="Require I/O DI= 1,DO=0,AI=2,AO=0,Bus=0"/>
    <s v="FT-40221_DI_1"/>
    <x v="0"/>
    <n v="1"/>
    <n v="1"/>
    <s v="C2S01DI"/>
    <s v="C2S01DI02"/>
    <s v="C2S01,02"/>
    <s v="DI"/>
    <s v="Require I/O DI= 1,DO=0,AI=2,AO=0,Bus=0"/>
    <x v="2"/>
    <x v="4"/>
    <n v="2"/>
    <m/>
    <n v="1"/>
    <n v="0"/>
    <n v="2"/>
    <n v="0"/>
    <n v="0"/>
    <m/>
    <s v="4 - 20 mA,Pulse"/>
    <m/>
  </r>
  <r>
    <s v="=CA1+MCP-M2"/>
    <m/>
    <m/>
    <x v="6"/>
    <s v="Jet Cooker 2nd Floor"/>
    <x v="11"/>
    <m/>
    <s v="Jet Cooker "/>
    <s v="FT-40221"/>
    <m/>
    <m/>
    <s v="Coriolis Flow Transmitter"/>
    <s v="2nd"/>
    <s v="-"/>
    <s v="325-01-402-PD-02"/>
    <s v="Jet Cooker "/>
    <s v="Require I/O DI= 1,DO=0,AI=2,AO=0,Bus=0"/>
    <s v="FT-40221_AI_1"/>
    <x v="3"/>
    <n v="3"/>
    <n v="1"/>
    <s v="C2S06AI"/>
    <s v="C2S06AI00"/>
    <s v="C2S06,00"/>
    <s v="AI"/>
    <s v="Require I/O DI= 1,DO=0,AI=2,AO=0,Bus=0"/>
    <x v="2"/>
    <x v="2"/>
    <n v="0"/>
    <m/>
    <n v="1"/>
    <n v="0"/>
    <n v="2"/>
    <n v="0"/>
    <n v="0"/>
    <m/>
    <s v="4 - 20 mA,Pulse"/>
    <m/>
  </r>
  <r>
    <s v="=CA1+MCP-M2"/>
    <m/>
    <m/>
    <x v="6"/>
    <s v="Jet Cooker 2nd Floor"/>
    <x v="11"/>
    <m/>
    <s v="Jet Cooker "/>
    <s v="FT-40221"/>
    <m/>
    <m/>
    <s v="Coriolis Flow Transmitter"/>
    <s v="2nd"/>
    <s v="-"/>
    <s v="325-01-402-PD-02"/>
    <s v="Jet Cooker "/>
    <s v="Require I/O DI= 1,DO=0,AI=2,AO=0,Bus=0"/>
    <s v="FT-40221_AI_2"/>
    <x v="3"/>
    <n v="3"/>
    <n v="2"/>
    <s v="C2S06AI"/>
    <s v="C2S06AI01"/>
    <s v="C2S06,01"/>
    <s v="AI"/>
    <s v="Require I/O DI= 1,DO=0,AI=2,AO=0,Bus=0"/>
    <x v="2"/>
    <x v="2"/>
    <n v="1"/>
    <m/>
    <n v="1"/>
    <n v="0"/>
    <n v="2"/>
    <n v="0"/>
    <n v="0"/>
    <m/>
    <s v="4 - 20 mA,Pulse"/>
    <m/>
  </r>
  <r>
    <s v="=CA1+MCP-M2"/>
    <m/>
    <m/>
    <x v="6"/>
    <s v="Jet Cooker 2nd Floor"/>
    <x v="11"/>
    <m/>
    <s v="Jet Cooker "/>
    <s v="FT-40222"/>
    <m/>
    <m/>
    <s v="Coriolis Flow Transmitter"/>
    <s v="2nd"/>
    <s v="-"/>
    <s v="325-01-402-PD-02"/>
    <s v="Jet Cooker "/>
    <s v="Require I/O DI= 1,DO=0,AI=2,AO=0,Bus=0"/>
    <s v="FT-40222_DI_1"/>
    <x v="0"/>
    <n v="1"/>
    <n v="1"/>
    <s v="C2S01DI"/>
    <s v="C2S01DI03"/>
    <s v="C2S01,03"/>
    <s v="DI"/>
    <s v="Require I/O DI= 1,DO=0,AI=2,AO=0,Bus=0"/>
    <x v="2"/>
    <x v="4"/>
    <n v="3"/>
    <m/>
    <n v="1"/>
    <n v="0"/>
    <n v="2"/>
    <n v="0"/>
    <n v="0"/>
    <m/>
    <s v="4 - 20 mA,Pulse"/>
    <m/>
  </r>
  <r>
    <s v="=CA1+MCP-M2"/>
    <m/>
    <m/>
    <x v="6"/>
    <s v="Jet Cooker 2nd Floor"/>
    <x v="11"/>
    <m/>
    <s v="Jet Cooker "/>
    <s v="FT-40222"/>
    <m/>
    <m/>
    <s v="Coriolis Flow Transmitter"/>
    <s v="2nd"/>
    <s v="-"/>
    <s v="325-01-402-PD-02"/>
    <s v="Jet Cooker "/>
    <s v="Require I/O DI= 1,DO=0,AI=2,AO=0,Bus=0"/>
    <s v="FT-40222_AI_1"/>
    <x v="3"/>
    <n v="3"/>
    <n v="1"/>
    <s v="C2S06AI"/>
    <s v="C2S06AI02"/>
    <s v="C2S06,02"/>
    <s v="AI"/>
    <s v="Require I/O DI= 1,DO=0,AI=2,AO=0,Bus=0"/>
    <x v="2"/>
    <x v="2"/>
    <n v="2"/>
    <m/>
    <n v="1"/>
    <n v="0"/>
    <n v="2"/>
    <n v="0"/>
    <n v="0"/>
    <m/>
    <s v="4 - 20 mA,Pulse"/>
    <m/>
  </r>
  <r>
    <s v="=CA1+MCP-M2"/>
    <m/>
    <m/>
    <x v="6"/>
    <s v="Jet Cooker 2nd Floor"/>
    <x v="11"/>
    <m/>
    <s v="Jet Cooker "/>
    <s v="FT-40222"/>
    <m/>
    <m/>
    <s v="Coriolis Flow Transmitter"/>
    <s v="2nd"/>
    <s v="-"/>
    <s v="325-01-402-PD-02"/>
    <s v="Jet Cooker "/>
    <s v="Require I/O DI= 1,DO=0,AI=2,AO=0,Bus=0"/>
    <s v="FT-40222_AI_2"/>
    <x v="3"/>
    <n v="3"/>
    <n v="2"/>
    <s v="C2S06AI"/>
    <s v="C2S06AI03"/>
    <s v="C2S06,03"/>
    <s v="AI"/>
    <s v="Require I/O DI= 1,DO=0,AI=2,AO=0,Bus=0"/>
    <x v="2"/>
    <x v="2"/>
    <n v="3"/>
    <m/>
    <n v="1"/>
    <n v="0"/>
    <n v="2"/>
    <n v="0"/>
    <n v="0"/>
    <m/>
    <s v="4 - 20 mA,Pulse"/>
    <m/>
  </r>
  <r>
    <s v="=CA1+MCP-M2"/>
    <m/>
    <m/>
    <x v="6"/>
    <s v="Jet Cooker 2nd Floor"/>
    <x v="11"/>
    <m/>
    <s v="Jet Cooker "/>
    <s v="HV-40207"/>
    <m/>
    <m/>
    <s v="Manual Valve With Position Switch "/>
    <s v="2nd"/>
    <s v="-"/>
    <s v="325-01-402-PD-01"/>
    <s v="Jet Cooker "/>
    <s v="Require I/O DI= 1,DO=0,AI=0,AO=0,Bus=0"/>
    <s v="HV-40207_DI_1"/>
    <x v="0"/>
    <n v="1"/>
    <n v="1"/>
    <s v="C2S01DI"/>
    <s v="C2S01DI04"/>
    <s v="C2S01,04"/>
    <s v="DI"/>
    <s v="Require I/O DI= 1,DO=0,AI=0,AO=0,Bus=0"/>
    <x v="2"/>
    <x v="4"/>
    <n v="4"/>
    <m/>
    <n v="1"/>
    <n v="0"/>
    <n v="0"/>
    <n v="0"/>
    <n v="0"/>
    <m/>
    <s v="Dry Contact"/>
    <m/>
  </r>
  <r>
    <s v="=CA1+MCP-M2"/>
    <m/>
    <m/>
    <x v="6"/>
    <s v="Jet Cooker 2nd Floor"/>
    <x v="11"/>
    <m/>
    <s v="Jet Cooker "/>
    <s v="HV-40208"/>
    <m/>
    <m/>
    <s v="Manual Valve With Position Switch "/>
    <s v="2nd"/>
    <s v="-"/>
    <s v="325-01-402-PD-01"/>
    <s v="Jet Cooker "/>
    <s v="Require I/O DI= 1,DO=0,AI=0,AO=0,Bus=0"/>
    <s v="HV-40208_DI_1"/>
    <x v="0"/>
    <n v="1"/>
    <n v="1"/>
    <s v="C2S01DI"/>
    <s v="C2S01DI05"/>
    <s v="C2S01,05"/>
    <s v="DI"/>
    <s v="Require I/O DI= 1,DO=0,AI=0,AO=0,Bus=0"/>
    <x v="2"/>
    <x v="4"/>
    <n v="5"/>
    <m/>
    <n v="1"/>
    <n v="0"/>
    <n v="0"/>
    <n v="0"/>
    <n v="0"/>
    <m/>
    <s v="Dry Contact"/>
    <m/>
  </r>
  <r>
    <s v="=CA1+MCP-M2"/>
    <m/>
    <m/>
    <x v="6"/>
    <s v="Jet Cooker 2nd Floor"/>
    <x v="11"/>
    <m/>
    <s v="Jet Cooker "/>
    <s v="PT-40222"/>
    <m/>
    <m/>
    <s v="Pressure Transmitter"/>
    <s v="2nd"/>
    <s v="-"/>
    <s v="325-01-402-PD-02"/>
    <s v="Jet Cooker "/>
    <s v="Require I/O DI= 0,DO=0,AI=1,AO=0,Bus=0"/>
    <s v="PT-40222_AI_1"/>
    <x v="3"/>
    <n v="3"/>
    <n v="1"/>
    <s v="C2S06AI"/>
    <s v="C2S06AI04"/>
    <s v="C2S06,04"/>
    <s v="AI"/>
    <s v="Require I/O DI= 0,DO=0,AI=1,AO=0,Bus=0"/>
    <x v="2"/>
    <x v="2"/>
    <n v="4"/>
    <m/>
    <n v="0"/>
    <n v="0"/>
    <n v="1"/>
    <n v="0"/>
    <n v="0"/>
    <m/>
    <s v="4 - 20 mA"/>
    <m/>
  </r>
  <r>
    <s v="=CA1+MCP-M2"/>
    <m/>
    <m/>
    <x v="6"/>
    <s v="Jet Cooker 2nd Floor"/>
    <x v="8"/>
    <m/>
    <m/>
    <s v="Spare"/>
    <m/>
    <m/>
    <e v="#N/A"/>
    <m/>
    <m/>
    <m/>
    <e v="#N/A"/>
    <s v="Require I/O DI= 0,DO=0,AI=0,AO=0,Bus=0"/>
    <s v="Spare_DI_1"/>
    <x v="0"/>
    <n v="1"/>
    <n v="1"/>
    <s v="C2S01DI"/>
    <s v="C2S01DI06"/>
    <s v="C2S01,06"/>
    <s v="DI"/>
    <s v="Require I/O DI= 0,DO=0,AI=0,AO=0,Bus=0"/>
    <x v="2"/>
    <x v="4"/>
    <n v="6"/>
    <m/>
    <n v="0"/>
    <n v="0"/>
    <n v="0"/>
    <n v="0"/>
    <n v="0"/>
    <m/>
    <e v="#N/A"/>
    <m/>
  </r>
  <r>
    <s v="=CA1+MCP-M2"/>
    <m/>
    <m/>
    <x v="6"/>
    <s v="Jet Cooker 2nd Floor"/>
    <x v="8"/>
    <m/>
    <m/>
    <s v="Spare"/>
    <m/>
    <m/>
    <e v="#N/A"/>
    <m/>
    <m/>
    <m/>
    <e v="#N/A"/>
    <s v="Require I/O DI= 0,DO=0,AI=0,AO=0,Bus=0"/>
    <s v="Spare_DI_1"/>
    <x v="0"/>
    <n v="1"/>
    <n v="1"/>
    <s v="C2S01DI"/>
    <s v="C2S01DI07"/>
    <s v="C2S01,07"/>
    <s v="DI"/>
    <s v="Require I/O DI= 0,DO=0,AI=0,AO=0,Bus=0"/>
    <x v="2"/>
    <x v="4"/>
    <n v="7"/>
    <m/>
    <n v="0"/>
    <n v="0"/>
    <n v="0"/>
    <n v="0"/>
    <n v="0"/>
    <m/>
    <e v="#N/A"/>
    <m/>
  </r>
  <r>
    <s v="=CA1+MCP-M2"/>
    <m/>
    <m/>
    <x v="6"/>
    <s v="Jet Cooker 2nd Floor"/>
    <x v="8"/>
    <m/>
    <m/>
    <s v="Spare"/>
    <m/>
    <m/>
    <e v="#N/A"/>
    <m/>
    <m/>
    <m/>
    <e v="#N/A"/>
    <s v="Require I/O DI= 0,DO=0,AI=0,AO=0,Bus=0"/>
    <s v="Spare_DI_1"/>
    <x v="0"/>
    <n v="1"/>
    <n v="1"/>
    <s v="C2S01DI"/>
    <s v="C2S01DI08"/>
    <s v="C2S01,08"/>
    <s v="DI"/>
    <s v="Require I/O DI= 0,DO=0,AI=0,AO=0,Bus=0"/>
    <x v="2"/>
    <x v="4"/>
    <n v="8"/>
    <m/>
    <n v="0"/>
    <n v="0"/>
    <n v="0"/>
    <n v="0"/>
    <n v="0"/>
    <m/>
    <e v="#N/A"/>
    <m/>
  </r>
  <r>
    <s v="=CA1+MCP-M2"/>
    <m/>
    <m/>
    <x v="6"/>
    <s v="Jet Cooker 2nd Floor"/>
    <x v="8"/>
    <m/>
    <m/>
    <s v="Spare"/>
    <m/>
    <m/>
    <e v="#N/A"/>
    <m/>
    <m/>
    <m/>
    <e v="#N/A"/>
    <s v="Require I/O DI= 0,DO=0,AI=0,AO=0,Bus=0"/>
    <s v="Spare_DI_1"/>
    <x v="0"/>
    <n v="1"/>
    <n v="1"/>
    <s v="C2S01DI"/>
    <s v="C2S01DI09"/>
    <s v="C2S01,09"/>
    <s v="DI"/>
    <s v="Require I/O DI= 0,DO=0,AI=0,AO=0,Bus=0"/>
    <x v="2"/>
    <x v="4"/>
    <n v="9"/>
    <m/>
    <n v="0"/>
    <n v="0"/>
    <n v="0"/>
    <n v="0"/>
    <n v="0"/>
    <m/>
    <e v="#N/A"/>
    <m/>
  </r>
  <r>
    <s v="=CA1+MCP-M2"/>
    <m/>
    <m/>
    <x v="6"/>
    <s v="Jet Cooker 2nd Floor"/>
    <x v="8"/>
    <m/>
    <m/>
    <s v="Spare"/>
    <m/>
    <m/>
    <e v="#N/A"/>
    <m/>
    <m/>
    <m/>
    <e v="#N/A"/>
    <s v="Require I/O DI= 0,DO=0,AI=0,AO=0,Bus=0"/>
    <s v="Spare_DI_1"/>
    <x v="0"/>
    <n v="1"/>
    <n v="1"/>
    <s v="C2S01DI"/>
    <s v="C2S01DI10"/>
    <s v="C2S01,10"/>
    <s v="DI"/>
    <s v="Require I/O DI= 0,DO=0,AI=0,AO=0,Bus=0"/>
    <x v="2"/>
    <x v="4"/>
    <n v="10"/>
    <m/>
    <n v="0"/>
    <n v="0"/>
    <n v="0"/>
    <n v="0"/>
    <n v="0"/>
    <m/>
    <e v="#N/A"/>
    <m/>
  </r>
  <r>
    <s v="=CA1+MCP-M2"/>
    <m/>
    <m/>
    <x v="6"/>
    <s v="Jet Cooker 2nd Floor"/>
    <x v="8"/>
    <m/>
    <m/>
    <s v="Spare"/>
    <m/>
    <m/>
    <e v="#N/A"/>
    <m/>
    <m/>
    <m/>
    <e v="#N/A"/>
    <s v="Require I/O DI= 0,DO=0,AI=0,AO=0,Bus=0"/>
    <s v="Spare_DI_1"/>
    <x v="0"/>
    <n v="1"/>
    <n v="1"/>
    <s v="C2S01DI"/>
    <s v="C2S01DI12"/>
    <s v="C2S01,12"/>
    <s v="DI"/>
    <s v="Require I/O DI= 0,DO=0,AI=0,AO=0,Bus=0"/>
    <x v="2"/>
    <x v="4"/>
    <n v="12"/>
    <m/>
    <n v="0"/>
    <n v="0"/>
    <n v="0"/>
    <n v="0"/>
    <n v="0"/>
    <m/>
    <e v="#N/A"/>
    <m/>
  </r>
  <r>
    <s v="=CA1+MCP-M2"/>
    <m/>
    <m/>
    <x v="6"/>
    <s v="Jet Cooker 2nd Floor"/>
    <x v="8"/>
    <m/>
    <m/>
    <s v="Spare"/>
    <m/>
    <m/>
    <e v="#N/A"/>
    <m/>
    <m/>
    <m/>
    <e v="#N/A"/>
    <s v="Require I/O DI= 0,DO=0,AI=0,AO=0,Bus=0"/>
    <s v="Spare_DI_1"/>
    <x v="0"/>
    <n v="1"/>
    <n v="1"/>
    <s v="C2S01DI"/>
    <s v="C2S01DI13"/>
    <s v="C2S01,13"/>
    <s v="DI"/>
    <s v="Require I/O DI= 0,DO=0,AI=0,AO=0,Bus=0"/>
    <x v="2"/>
    <x v="4"/>
    <n v="13"/>
    <m/>
    <n v="0"/>
    <n v="0"/>
    <n v="0"/>
    <n v="0"/>
    <n v="0"/>
    <m/>
    <e v="#N/A"/>
    <m/>
  </r>
  <r>
    <s v="=CA1+MCP-M2"/>
    <m/>
    <m/>
    <x v="6"/>
    <s v="Jet Cooker 2nd Floor"/>
    <x v="8"/>
    <m/>
    <m/>
    <s v="Spare"/>
    <m/>
    <m/>
    <e v="#N/A"/>
    <m/>
    <m/>
    <m/>
    <e v="#N/A"/>
    <s v="Require I/O DI= 0,DO=0,AI=0,AO=0,Bus=0"/>
    <s v="Spare_DI_1"/>
    <x v="0"/>
    <n v="1"/>
    <n v="1"/>
    <s v="C2S01DI"/>
    <s v="C2S01DI14"/>
    <s v="C2S01,14"/>
    <s v="DI"/>
    <s v="Require I/O DI= 0,DO=0,AI=0,AO=0,Bus=0"/>
    <x v="2"/>
    <x v="4"/>
    <n v="14"/>
    <m/>
    <n v="0"/>
    <n v="0"/>
    <n v="0"/>
    <n v="0"/>
    <n v="0"/>
    <m/>
    <e v="#N/A"/>
    <m/>
  </r>
  <r>
    <s v="=CA1+MCP-M2"/>
    <m/>
    <m/>
    <x v="6"/>
    <s v="Jet Cooker 2nd Floor"/>
    <x v="8"/>
    <m/>
    <m/>
    <s v="Spare"/>
    <m/>
    <m/>
    <e v="#N/A"/>
    <m/>
    <m/>
    <m/>
    <e v="#N/A"/>
    <s v="Require I/O DI= 0,DO=0,AI=0,AO=0,Bus=0"/>
    <s v="Spare_DI_1"/>
    <x v="0"/>
    <n v="1"/>
    <n v="1"/>
    <s v="C2S01DI"/>
    <s v="C2S01DI14"/>
    <s v="C2S01,14"/>
    <s v="DI"/>
    <s v="Require I/O DI= 0,DO=0,AI=0,AO=0,Bus=0"/>
    <x v="2"/>
    <x v="4"/>
    <n v="14"/>
    <m/>
    <n v="0"/>
    <n v="0"/>
    <n v="0"/>
    <n v="0"/>
    <n v="0"/>
    <m/>
    <e v="#N/A"/>
    <m/>
  </r>
  <r>
    <s v="=CA1+MCP-M2"/>
    <m/>
    <m/>
    <x v="6"/>
    <s v="Jet Cooker 2nd Floor"/>
    <x v="8"/>
    <m/>
    <m/>
    <s v="Spare"/>
    <m/>
    <m/>
    <e v="#N/A"/>
    <m/>
    <m/>
    <m/>
    <e v="#N/A"/>
    <s v="Require I/O DI= 0,DO=0,AI=0,AO=0,Bus=0"/>
    <s v="Spare_DI_1"/>
    <x v="0"/>
    <n v="1"/>
    <n v="1"/>
    <s v="C2S01DI"/>
    <s v="C2S01DI15"/>
    <s v="C2S01,15"/>
    <s v="DI"/>
    <s v="Require I/O DI= 0,DO=0,AI=0,AO=0,Bus=0"/>
    <x v="2"/>
    <x v="4"/>
    <n v="15"/>
    <m/>
    <n v="0"/>
    <n v="0"/>
    <n v="0"/>
    <n v="0"/>
    <n v="0"/>
    <m/>
    <e v="#N/A"/>
    <m/>
  </r>
  <r>
    <s v="=CA1+MCP-M2"/>
    <m/>
    <m/>
    <x v="6"/>
    <s v="Jet Cooker 2nd Floor"/>
    <x v="8"/>
    <m/>
    <m/>
    <s v="Spare"/>
    <m/>
    <m/>
    <e v="#N/A"/>
    <m/>
    <m/>
    <m/>
    <e v="#N/A"/>
    <s v="Require I/O DI= 0,DO=0,AI=0,AO=0,Bus=0"/>
    <s v="Spare_DO_"/>
    <x v="1"/>
    <n v="2"/>
    <m/>
    <s v="C2S03DO"/>
    <s v="C2S03DO09"/>
    <s v="C2S03,09"/>
    <s v="DO"/>
    <s v="Require I/O DI= 0,DO=0,AI=0,AO=0,Bus=0"/>
    <x v="2"/>
    <x v="1"/>
    <n v="9"/>
    <m/>
    <n v="0"/>
    <n v="0"/>
    <n v="0"/>
    <n v="0"/>
    <n v="0"/>
    <m/>
    <e v="#N/A"/>
    <m/>
  </r>
  <r>
    <s v="=CA1+MCP-M2"/>
    <m/>
    <m/>
    <x v="6"/>
    <s v="Jet Cooker 2nd Floor"/>
    <x v="8"/>
    <m/>
    <m/>
    <s v="Spare"/>
    <m/>
    <m/>
    <e v="#N/A"/>
    <m/>
    <m/>
    <m/>
    <e v="#N/A"/>
    <s v="Require I/O DI= 0,DO=0,AI=0,AO=0,Bus=0"/>
    <s v="Spare_DO_"/>
    <x v="1"/>
    <n v="2"/>
    <m/>
    <s v="C2S03DO"/>
    <s v="C2S03DO10"/>
    <s v="C2S03,10"/>
    <s v="DO"/>
    <s v="Require I/O DI= 0,DO=0,AI=0,AO=0,Bus=0"/>
    <x v="2"/>
    <x v="1"/>
    <n v="10"/>
    <m/>
    <n v="0"/>
    <n v="0"/>
    <n v="0"/>
    <n v="0"/>
    <n v="0"/>
    <m/>
    <e v="#N/A"/>
    <m/>
  </r>
  <r>
    <s v="=CA1+MCP-M2"/>
    <m/>
    <m/>
    <x v="6"/>
    <s v="Jet Cooker 2nd Floor"/>
    <x v="8"/>
    <m/>
    <m/>
    <s v="Spare"/>
    <m/>
    <m/>
    <e v="#N/A"/>
    <m/>
    <m/>
    <m/>
    <e v="#N/A"/>
    <s v="Require I/O DI= 0,DO=0,AI=0,AO=0,Bus=0"/>
    <s v="Spare_DO_"/>
    <x v="1"/>
    <n v="2"/>
    <m/>
    <s v="C2S03DO"/>
    <s v="C2S03DO11"/>
    <s v="C2S03,11"/>
    <s v="DO"/>
    <s v="Require I/O DI= 0,DO=0,AI=0,AO=0,Bus=0"/>
    <x v="2"/>
    <x v="1"/>
    <n v="11"/>
    <m/>
    <n v="0"/>
    <n v="0"/>
    <n v="0"/>
    <n v="0"/>
    <n v="0"/>
    <m/>
    <e v="#N/A"/>
    <m/>
  </r>
  <r>
    <s v="=CA1+MCP-M2"/>
    <m/>
    <m/>
    <x v="6"/>
    <s v="Jet Cooker 2nd Floor"/>
    <x v="8"/>
    <m/>
    <m/>
    <s v="Spare"/>
    <m/>
    <m/>
    <e v="#N/A"/>
    <m/>
    <m/>
    <m/>
    <e v="#N/A"/>
    <s v="Require I/O DI= 0,DO=0,AI=0,AO=0,Bus=0"/>
    <s v="Spare_DO_"/>
    <x v="1"/>
    <n v="2"/>
    <m/>
    <s v="C2S03DO"/>
    <s v="C2S03DO12"/>
    <s v="C2S03,12"/>
    <s v="DO"/>
    <s v="Require I/O DI= 0,DO=0,AI=0,AO=0,Bus=0"/>
    <x v="2"/>
    <x v="1"/>
    <n v="12"/>
    <m/>
    <n v="0"/>
    <n v="0"/>
    <n v="0"/>
    <n v="0"/>
    <n v="0"/>
    <m/>
    <e v="#N/A"/>
    <m/>
  </r>
  <r>
    <s v="=CA1+MCP-M2"/>
    <m/>
    <m/>
    <x v="6"/>
    <s v="Jet Cooker 2nd Floor"/>
    <x v="8"/>
    <m/>
    <m/>
    <s v="Spare"/>
    <m/>
    <m/>
    <e v="#N/A"/>
    <m/>
    <m/>
    <m/>
    <e v="#N/A"/>
    <s v="Require I/O DI= 0,DO=0,AI=0,AO=0,Bus=0"/>
    <s v="Spare_DO_"/>
    <x v="1"/>
    <n v="2"/>
    <m/>
    <s v="C2S03DO"/>
    <s v="C2S03DO13"/>
    <s v="C2S03,13"/>
    <s v="DO"/>
    <s v="Require I/O DI= 0,DO=0,AI=0,AO=0,Bus=0"/>
    <x v="2"/>
    <x v="1"/>
    <n v="13"/>
    <m/>
    <n v="0"/>
    <n v="0"/>
    <n v="0"/>
    <n v="0"/>
    <n v="0"/>
    <m/>
    <e v="#N/A"/>
    <m/>
  </r>
  <r>
    <s v="=CA1+MCP-M2"/>
    <m/>
    <m/>
    <x v="6"/>
    <s v="Jet Cooker 2nd Floor"/>
    <x v="8"/>
    <m/>
    <m/>
    <s v="Spare"/>
    <m/>
    <m/>
    <e v="#N/A"/>
    <m/>
    <m/>
    <m/>
    <e v="#N/A"/>
    <s v="Require I/O DI= 0,DO=0,AI=0,AO=0,Bus=0"/>
    <s v="Spare_DO_"/>
    <x v="1"/>
    <n v="2"/>
    <m/>
    <s v="C2S03DO"/>
    <s v="C2S03DO14"/>
    <s v="C2S03,14"/>
    <s v="DO"/>
    <s v="Require I/O DI= 0,DO=0,AI=0,AO=0,Bus=0"/>
    <x v="2"/>
    <x v="1"/>
    <n v="14"/>
    <m/>
    <n v="0"/>
    <n v="0"/>
    <n v="0"/>
    <n v="0"/>
    <n v="0"/>
    <m/>
    <e v="#N/A"/>
    <m/>
  </r>
  <r>
    <s v="=CA1+MCP-M2"/>
    <m/>
    <m/>
    <x v="6"/>
    <s v="Jet Cooker 2nd Floor"/>
    <x v="8"/>
    <m/>
    <m/>
    <s v="Spare"/>
    <m/>
    <m/>
    <e v="#N/A"/>
    <m/>
    <m/>
    <m/>
    <e v="#N/A"/>
    <s v="Require I/O DI= 0,DO=0,AI=0,AO=0,Bus=0"/>
    <s v="Spare_DO_"/>
    <x v="1"/>
    <n v="2"/>
    <m/>
    <s v="C2S03DO"/>
    <s v="C2S03DO15"/>
    <s v="C2S03,15"/>
    <s v="DO"/>
    <s v="Require I/O DI= 0,DO=0,AI=0,AO=0,Bus=0"/>
    <x v="2"/>
    <x v="1"/>
    <n v="15"/>
    <m/>
    <n v="0"/>
    <n v="0"/>
    <n v="0"/>
    <n v="0"/>
    <n v="0"/>
    <m/>
    <e v="#N/A"/>
    <m/>
  </r>
  <r>
    <s v="=CA1+MCP-M2"/>
    <m/>
    <m/>
    <x v="6"/>
    <s v="Jet Cooker 2nd Floor"/>
    <x v="11"/>
    <m/>
    <s v="Jet Cooker "/>
    <s v="TCV-40222"/>
    <m/>
    <m/>
    <n v="0"/>
    <s v="2nd"/>
    <s v="-"/>
    <s v="325-01-402-PD-02"/>
    <s v="Jet Cooker "/>
    <s v="Require I/O DI= 0,DO=0,AI=0,AO=1,Bus=0"/>
    <s v="TCV-40222_AO_1"/>
    <x v="4"/>
    <n v="4"/>
    <n v="1"/>
    <s v="C2S11AO"/>
    <s v="C2S11AO00"/>
    <s v="C2S11,00"/>
    <s v="AO"/>
    <s v="Require I/O DI= 0,DO=0,AI=0,AO=1,Bus=0"/>
    <x v="2"/>
    <x v="11"/>
    <n v="0"/>
    <m/>
    <n v="0"/>
    <n v="0"/>
    <n v="0"/>
    <n v="1"/>
    <n v="0"/>
    <m/>
    <s v="4 - 20 mA"/>
    <m/>
  </r>
  <r>
    <s v="=CA1+MCP-M2"/>
    <m/>
    <m/>
    <x v="6"/>
    <s v="Jet Cooker 2nd Floor"/>
    <x v="11"/>
    <m/>
    <s v="Jet Cooker "/>
    <s v="TT-40221"/>
    <m/>
    <m/>
    <n v="0"/>
    <s v="2nd"/>
    <s v="-"/>
    <s v="325-01-402-PD-02"/>
    <s v="Jet Cooker "/>
    <s v="Require I/O DI= 0,DO=0,AI=1,AO=0,Bus=0"/>
    <s v="TT-40221_AI_1"/>
    <x v="3"/>
    <n v="3"/>
    <n v="1"/>
    <s v="C2S06AI"/>
    <s v="C2S06AI05"/>
    <s v="C2S06,05"/>
    <s v="AI"/>
    <s v="Require I/O DI= 0,DO=0,AI=1,AO=0,Bus=0"/>
    <x v="2"/>
    <x v="2"/>
    <n v="5"/>
    <m/>
    <n v="0"/>
    <n v="0"/>
    <n v="1"/>
    <n v="0"/>
    <n v="0"/>
    <m/>
    <s v="4 - 20 mA"/>
    <m/>
  </r>
  <r>
    <s v="=CA1+MCP-M2"/>
    <m/>
    <m/>
    <x v="6"/>
    <s v="Jet Cooker 2nd Floor"/>
    <x v="11"/>
    <m/>
    <s v="Jet Cooker "/>
    <s v="TT-40222"/>
    <m/>
    <m/>
    <n v="0"/>
    <s v="2nd"/>
    <s v="-"/>
    <s v="325-01-402-PD-02"/>
    <s v="Jet Cooker "/>
    <s v="Require I/O DI= 0,DO=0,AI=1,AO=0,Bus=0"/>
    <s v="TT-40222_AI_1"/>
    <x v="3"/>
    <n v="3"/>
    <n v="1"/>
    <s v="C2S06AI"/>
    <s v="C2S06AI06"/>
    <s v="C2S06,06"/>
    <s v="AI"/>
    <s v="Require I/O DI= 0,DO=0,AI=1,AO=0,Bus=0"/>
    <x v="2"/>
    <x v="2"/>
    <n v="6"/>
    <m/>
    <n v="0"/>
    <n v="0"/>
    <n v="1"/>
    <n v="0"/>
    <n v="0"/>
    <m/>
    <s v="4 - 20 mA"/>
    <m/>
  </r>
  <r>
    <s v="=CA1+MCP-M2"/>
    <m/>
    <m/>
    <x v="6"/>
    <s v="Jet Cooker 2nd Floor"/>
    <x v="11"/>
    <m/>
    <s v="Jet Cooker "/>
    <s v="XV-40203F"/>
    <n v="1"/>
    <m/>
    <n v="0"/>
    <s v="2nd"/>
    <s v="-"/>
    <s v="325-01-402-PD-02"/>
    <s v="Jet Cooker "/>
    <s v="Require I/O DI= 2,DO=1,AI=0,AO=0,Bus=0"/>
    <s v="XV-40203F_DO_1"/>
    <x v="1"/>
    <n v="2"/>
    <n v="1"/>
    <s v="C2S03DO"/>
    <s v="C2S03DO00"/>
    <s v="C2S03,00"/>
    <s v="DO"/>
    <s v="Require I/O DI= 2,DO=1,AI=0,AO=0,Bus=0"/>
    <x v="2"/>
    <x v="1"/>
    <n v="0"/>
    <m/>
    <n v="2"/>
    <n v="1"/>
    <n v="0"/>
    <n v="0"/>
    <n v="0"/>
    <m/>
    <s v="24 VDC energized"/>
    <m/>
  </r>
  <r>
    <s v="=CA1+MCP-M2"/>
    <m/>
    <m/>
    <x v="6"/>
    <s v="Jet Cooker 2nd Floor"/>
    <x v="11"/>
    <m/>
    <s v="Jet Cooker "/>
    <s v="XV-40204B"/>
    <n v="1"/>
    <m/>
    <n v="0"/>
    <s v="2nd"/>
    <s v="-"/>
    <s v="325-01-402-PD-01"/>
    <s v="Jet Cooker "/>
    <s v="Require I/O DI= 2,DO=1,AI=0,AO=0,Bus=0"/>
    <s v="XV-40204B_DO_1"/>
    <x v="1"/>
    <n v="2"/>
    <n v="1"/>
    <s v="C2S03DO"/>
    <s v="C2S03DO01"/>
    <s v="C2S03,01"/>
    <s v="DO"/>
    <s v="Require I/O DI= 2,DO=1,AI=0,AO=0,Bus=0"/>
    <x v="2"/>
    <x v="1"/>
    <n v="1"/>
    <m/>
    <n v="2"/>
    <n v="1"/>
    <n v="0"/>
    <n v="0"/>
    <n v="0"/>
    <m/>
    <s v="24 VDC energized"/>
    <m/>
  </r>
  <r>
    <s v="=CA1+MCP-M2"/>
    <m/>
    <m/>
    <x v="6"/>
    <s v="Jet Cooker 2nd Floor"/>
    <x v="11"/>
    <m/>
    <s v="Jet Cooker "/>
    <s v="XV-40204C"/>
    <n v="1"/>
    <m/>
    <n v="0"/>
    <s v="2nd"/>
    <s v="-"/>
    <s v="325-01-402-PD-01"/>
    <s v="Jet Cooker "/>
    <s v="Require I/O DI= 2,DO=1,AI=0,AO=0,Bus=0"/>
    <s v="XV-40204C_DO_1"/>
    <x v="1"/>
    <n v="2"/>
    <n v="1"/>
    <s v="C2S03DO"/>
    <s v="C2S03DO02"/>
    <s v="C2S03,02"/>
    <s v="DO"/>
    <s v="Require I/O DI= 2,DO=1,AI=0,AO=0,Bus=0"/>
    <x v="2"/>
    <x v="1"/>
    <n v="2"/>
    <m/>
    <n v="2"/>
    <n v="1"/>
    <n v="0"/>
    <n v="0"/>
    <n v="0"/>
    <m/>
    <s v="24 VDC energized"/>
    <m/>
  </r>
  <r>
    <s v="=CA1+MCP-M2"/>
    <m/>
    <m/>
    <x v="6"/>
    <s v="Jet Cooker 2nd Floor"/>
    <x v="11"/>
    <m/>
    <s v="Jet Cooker "/>
    <s v="XV-40205A"/>
    <n v="1"/>
    <m/>
    <n v="0"/>
    <s v="2nd"/>
    <s v="-"/>
    <s v="325-01-402-PD-02"/>
    <s v="Jet Cooker "/>
    <s v="Require I/O DI= 2,DO=1,AI=0,AO=0,Bus=0"/>
    <s v="XV-40205A_DO_1"/>
    <x v="1"/>
    <n v="2"/>
    <n v="1"/>
    <s v="C2S03DO"/>
    <s v="C2S03DO03"/>
    <s v="C2S03,03"/>
    <s v="DO"/>
    <s v="Require I/O DI= 2,DO=1,AI=0,AO=0,Bus=0"/>
    <x v="2"/>
    <x v="1"/>
    <n v="3"/>
    <m/>
    <n v="2"/>
    <n v="1"/>
    <n v="0"/>
    <n v="0"/>
    <n v="0"/>
    <m/>
    <s v="24 VDC energized"/>
    <m/>
  </r>
  <r>
    <s v="=CA1+MCP-M2"/>
    <m/>
    <m/>
    <x v="6"/>
    <s v="Jet Cooker 2nd Floor"/>
    <x v="11"/>
    <m/>
    <s v="Jet Cooker "/>
    <s v="XV-40205B"/>
    <n v="1"/>
    <m/>
    <n v="0"/>
    <s v="2nd"/>
    <s v="-"/>
    <s v="325-01-402-PD-02"/>
    <s v="Jet Cooker "/>
    <s v="Require I/O DI= 2,DO=1,AI=0,AO=0,Bus=0"/>
    <s v="XV-40205B_DO_1"/>
    <x v="1"/>
    <n v="2"/>
    <n v="1"/>
    <s v="C2S03DO"/>
    <s v="C2S03DO04"/>
    <s v="C2S03,04"/>
    <s v="DO"/>
    <s v="Require I/O DI= 2,DO=1,AI=0,AO=0,Bus=0"/>
    <x v="2"/>
    <x v="1"/>
    <n v="4"/>
    <m/>
    <n v="2"/>
    <n v="1"/>
    <n v="0"/>
    <n v="0"/>
    <n v="0"/>
    <m/>
    <s v="24 VDC energized"/>
    <m/>
  </r>
  <r>
    <s v="=CA1+MCP-M2"/>
    <m/>
    <m/>
    <x v="6"/>
    <s v="Jet Cooker 2nd Floor"/>
    <x v="11"/>
    <m/>
    <s v="Jet Cooker "/>
    <s v="XV-40205C"/>
    <n v="1"/>
    <m/>
    <n v="0"/>
    <s v="2nd"/>
    <s v="-"/>
    <s v="325-01-402-PD-02"/>
    <s v="Jet Cooker "/>
    <s v="Require I/O DI= 2,DO=1,AI=0,AO=0,Bus=0"/>
    <s v="XV-40205C_DO_1"/>
    <x v="1"/>
    <n v="2"/>
    <n v="1"/>
    <s v="C2S03DO"/>
    <s v="C2S03DO05"/>
    <s v="C2S03,05"/>
    <s v="DO"/>
    <s v="Require I/O DI= 2,DO=1,AI=0,AO=0,Bus=0"/>
    <x v="2"/>
    <x v="1"/>
    <n v="5"/>
    <m/>
    <n v="2"/>
    <n v="1"/>
    <n v="0"/>
    <n v="0"/>
    <n v="0"/>
    <m/>
    <s v="24 VDC energized"/>
    <m/>
  </r>
  <r>
    <s v="=CA1+MCP-M2"/>
    <m/>
    <m/>
    <x v="6"/>
    <s v="Jet Cooker 2nd Floor"/>
    <x v="11"/>
    <m/>
    <s v="Jet Cooker "/>
    <s v="XV-40205D"/>
    <n v="1"/>
    <m/>
    <n v="0"/>
    <s v="2nd"/>
    <s v="-"/>
    <s v="325-01-402-PD-02"/>
    <s v="Jet Cooker "/>
    <s v="Require I/O DI= 2,DO=1,AI=0,AO=0,Bus=0"/>
    <s v="XV-40205D_DO_1"/>
    <x v="1"/>
    <n v="2"/>
    <n v="1"/>
    <s v="C2S03DO"/>
    <s v="C2S03DO06"/>
    <s v="C2S03,06"/>
    <s v="DO"/>
    <s v="Require I/O DI= 2,DO=1,AI=0,AO=0,Bus=0"/>
    <x v="2"/>
    <x v="1"/>
    <n v="6"/>
    <m/>
    <n v="2"/>
    <n v="1"/>
    <n v="0"/>
    <n v="0"/>
    <n v="0"/>
    <m/>
    <s v="24 VDC energized"/>
    <m/>
  </r>
  <r>
    <s v="=CA1+MCP-M2"/>
    <m/>
    <m/>
    <x v="6"/>
    <s v="Jet Cooker 2nd Floor"/>
    <x v="11"/>
    <m/>
    <s v="Jet Cooker "/>
    <s v="XV-40205F"/>
    <n v="1"/>
    <m/>
    <n v="0"/>
    <s v="2nd"/>
    <s v="-"/>
    <s v="325-01-402-PD-02"/>
    <s v="Jet Cooker "/>
    <s v="Require I/O DI= 2,DO=1,AI=0,AO=0,Bus=0"/>
    <s v="XV-40205F_DO_1"/>
    <x v="1"/>
    <n v="2"/>
    <n v="1"/>
    <s v="C2S03DO"/>
    <s v="C2S03DO07"/>
    <s v="C2S03,07"/>
    <s v="DO"/>
    <s v="Require I/O DI= 2,DO=1,AI=0,AO=0,Bus=0"/>
    <x v="2"/>
    <x v="1"/>
    <n v="7"/>
    <m/>
    <n v="2"/>
    <n v="1"/>
    <n v="0"/>
    <n v="0"/>
    <n v="0"/>
    <m/>
    <s v="24 VDC energized"/>
    <m/>
  </r>
  <r>
    <s v="=CA1+MCP-M2"/>
    <m/>
    <m/>
    <x v="6"/>
    <s v="Jet Cooker 2nd Floor"/>
    <x v="11"/>
    <m/>
    <s v="Jet Cooker "/>
    <s v="XV-40222"/>
    <n v="1"/>
    <m/>
    <n v="0"/>
    <s v="2nd"/>
    <s v="-"/>
    <s v="325-01-402-PD-02"/>
    <s v="Jet Cooker "/>
    <s v="Require I/O DI= 2,DO=1,AI=0,AO=0,Bus=0"/>
    <s v="XV-40222_DO_1"/>
    <x v="1"/>
    <n v="2"/>
    <n v="1"/>
    <s v="C2S03DO"/>
    <s v="C2S03DO08"/>
    <s v="C2S03,08"/>
    <s v="DO"/>
    <s v="Require I/O DI= 2,DO=1,AI=0,AO=0,Bus=0"/>
    <x v="2"/>
    <x v="1"/>
    <n v="8"/>
    <m/>
    <n v="2"/>
    <n v="1"/>
    <n v="0"/>
    <n v="0"/>
    <n v="0"/>
    <m/>
    <s v="24 VDC energized"/>
    <m/>
  </r>
  <r>
    <s v="=CA1+MCP-M2"/>
    <m/>
    <m/>
    <x v="7"/>
    <s v="Spray Dryer 3rd Floor"/>
    <x v="5"/>
    <m/>
    <s v="Spray Dryer"/>
    <s v="AT-60241"/>
    <m/>
    <m/>
    <s v="Dust Analyzer Transmitter"/>
    <s v="5th"/>
    <s v="325-01-600-PD-05"/>
    <s v="3-25-01-602-PD-05"/>
    <s v="Dust Analyzer Transmitter for Exhaust Duct (DTEX-22)"/>
    <s v="Require I/O DI= 0,DO=0,AI=1,AO=0,Bus=0"/>
    <s v="AT-60241_AI_1"/>
    <x v="3"/>
    <n v="3"/>
    <n v="1"/>
    <s v="C2S07AI"/>
    <s v="C2S07AI00"/>
    <s v="C2S07,00"/>
    <s v="AI"/>
    <s v="Require I/O DI= 0,DO=0,AI=1,AO=0,Bus=0"/>
    <x v="2"/>
    <x v="7"/>
    <n v="0"/>
    <m/>
    <n v="0"/>
    <n v="0"/>
    <n v="1"/>
    <n v="0"/>
    <n v="0"/>
    <m/>
    <s v="4 - 20 mA"/>
    <m/>
  </r>
  <r>
    <s v="=CA1+MCP-M2"/>
    <m/>
    <m/>
    <x v="7"/>
    <s v="Spray Dryer 3rd Floor"/>
    <x v="5"/>
    <m/>
    <s v="Spray Dryer"/>
    <s v="DPT-60203"/>
    <m/>
    <m/>
    <s v="Differential Pressure Transmitte"/>
    <s v="5th"/>
    <s v="325-01-600-PD-03"/>
    <s v="3-25-01-602-PD-03"/>
    <s v="Gas Pressure Differential Transmitter  for Air Filter (FICA-21)"/>
    <s v="Require I/O DI= 0,DO=0,AI=1,AO=0,Bus=0"/>
    <s v="DPT-60203_AI_1"/>
    <x v="3"/>
    <n v="3"/>
    <n v="1"/>
    <s v="C2S07AI"/>
    <s v="C2S07AI01"/>
    <s v="C2S07,01"/>
    <s v="AI"/>
    <s v="Require I/O DI= 0,DO=0,AI=1,AO=0,Bus=0"/>
    <x v="2"/>
    <x v="7"/>
    <n v="1"/>
    <m/>
    <n v="0"/>
    <n v="0"/>
    <n v="1"/>
    <n v="0"/>
    <n v="0"/>
    <m/>
    <s v="4 - 20 mA"/>
    <m/>
  </r>
  <r>
    <s v="=CA1+MCP-M2"/>
    <m/>
    <m/>
    <x v="7"/>
    <s v="Spray Dryer 3rd Floor"/>
    <x v="5"/>
    <m/>
    <s v="Spray Dryer"/>
    <s v="FT-60202"/>
    <m/>
    <m/>
    <n v="0"/>
    <s v="5th"/>
    <s v="325-01-600-PD-09"/>
    <s v="3-25-01-602-PD-09"/>
    <s v="Steam feed to Spray dryer "/>
    <s v="Require I/O DI= 1,DO=0,AI=1,AO=0,Bus=0"/>
    <s v="FT-60202_DI_1"/>
    <x v="0"/>
    <n v="1"/>
    <n v="1"/>
    <s v="C2S02DI"/>
    <s v="C2S02DI00"/>
    <s v="C2S02,00"/>
    <s v="DI"/>
    <s v="Require I/O DI= 1,DO=0,AI=1,AO=0,Bus=0"/>
    <x v="2"/>
    <x v="0"/>
    <n v="0"/>
    <m/>
    <n v="1"/>
    <n v="0"/>
    <n v="1"/>
    <n v="0"/>
    <n v="0"/>
    <m/>
    <s v="4 - 20 mA"/>
    <m/>
  </r>
  <r>
    <s v="=CA1+MCP-M2"/>
    <m/>
    <m/>
    <x v="7"/>
    <s v="Spray Dryer 3rd Floor"/>
    <x v="5"/>
    <m/>
    <s v="Spray Dryer"/>
    <s v="FT-60202"/>
    <m/>
    <m/>
    <n v="0"/>
    <s v="5th"/>
    <s v="325-01-600-PD-09"/>
    <s v="3-25-01-602-PD-09"/>
    <s v="Steam feed to Spray dryer "/>
    <s v="Require I/O DI= 1,DO=0,AI=1,AO=0,Bus=0"/>
    <s v="FT-60202_AI_1"/>
    <x v="3"/>
    <n v="3"/>
    <n v="1"/>
    <s v="C2S07AI"/>
    <s v="C2S07AI02"/>
    <s v="C2S07,02"/>
    <s v="AI"/>
    <s v="Require I/O DI= 1,DO=0,AI=1,AO=0,Bus=0"/>
    <x v="2"/>
    <x v="7"/>
    <n v="2"/>
    <m/>
    <n v="1"/>
    <n v="0"/>
    <n v="1"/>
    <n v="0"/>
    <n v="0"/>
    <m/>
    <s v="4 - 20 mA"/>
    <m/>
  </r>
  <r>
    <s v="=CA1+MCP-M2"/>
    <m/>
    <m/>
    <x v="7"/>
    <s v="Spray Dryer 3rd Floor"/>
    <x v="5"/>
    <m/>
    <s v="Spray Dryer"/>
    <s v="FT-60210"/>
    <m/>
    <m/>
    <n v="0"/>
    <s v="5th"/>
    <s v="325-01-600-PD-03"/>
    <s v="3-25-01-602-PD-03"/>
    <s v="Gas Flow Element for Dryer Hot Air Duct (DTHA-21B)"/>
    <s v="Require I/O DI= 0,DO=0,AI=2,AO=0,Bus=0"/>
    <s v="FT-60210_AI_1"/>
    <x v="3"/>
    <n v="3"/>
    <n v="1"/>
    <s v="C2S08AI"/>
    <s v="C2S08AI09"/>
    <s v="C2S08,09"/>
    <s v="AI"/>
    <s v="Require I/O DI= 0,DO=0,AI=2,AO=0,Bus=0"/>
    <x v="2"/>
    <x v="10"/>
    <n v="9"/>
    <m/>
    <n v="0"/>
    <n v="0"/>
    <n v="2"/>
    <n v="0"/>
    <n v="0"/>
    <m/>
    <s v="4 - 20 mA"/>
    <m/>
  </r>
  <r>
    <s v="=CA1+MCP-M2"/>
    <m/>
    <m/>
    <x v="7"/>
    <s v="Spray Dryer 3rd Floor"/>
    <x v="5"/>
    <m/>
    <s v="Spray Dryer"/>
    <s v="FT-60210"/>
    <m/>
    <m/>
    <n v="0"/>
    <s v="5th"/>
    <s v="325-01-600-PD-03"/>
    <s v="3-25-01-602-PD-03"/>
    <s v="Gas Flow Element for Dryer Hot Air Duct (DTHA-21B)"/>
    <s v="Require I/O DI= 0,DO=0,AI=2,AO=0,Bus=0"/>
    <s v="FT-60210_AI_2"/>
    <x v="3"/>
    <n v="3"/>
    <n v="2"/>
    <s v="C2S08AI"/>
    <s v="C2S08AI11"/>
    <s v="C2S08,11"/>
    <s v="AI"/>
    <s v="Require I/O DI= 0,DO=0,AI=2,AO=0,Bus=0"/>
    <x v="2"/>
    <x v="10"/>
    <n v="11"/>
    <m/>
    <n v="0"/>
    <n v="0"/>
    <n v="2"/>
    <n v="0"/>
    <n v="0"/>
    <m/>
    <s v="4 - 20 mA"/>
    <m/>
  </r>
  <r>
    <s v="=CA1+MCP-M2"/>
    <m/>
    <m/>
    <x v="7"/>
    <s v="Spray Dryer 3rd Floor"/>
    <x v="5"/>
    <m/>
    <s v="Spray Dryer"/>
    <s v="FT-60211"/>
    <m/>
    <m/>
    <n v="0"/>
    <s v="5th"/>
    <s v="325-01-600-PD-03"/>
    <s v="3-25-01-602-PD-03"/>
    <s v="Gas Flow Element for Dryer Hot Air Duct (DTHA-21A)"/>
    <s v="Require I/O DI= 0,DO=0,AI=2,AO=0,Bus=0"/>
    <s v="FT-60211_AI_1"/>
    <x v="3"/>
    <n v="3"/>
    <n v="1"/>
    <s v="C2S08AI"/>
    <s v="C2S08AI10"/>
    <s v="C2S08,10"/>
    <s v="AI"/>
    <s v="Require I/O DI= 0,DO=0,AI=2,AO=0,Bus=0"/>
    <x v="2"/>
    <x v="10"/>
    <n v="10"/>
    <m/>
    <n v="0"/>
    <n v="0"/>
    <n v="2"/>
    <n v="0"/>
    <n v="0"/>
    <m/>
    <s v="4 - 20 mA"/>
    <m/>
  </r>
  <r>
    <s v="=CA1+MCP-M2"/>
    <m/>
    <m/>
    <x v="7"/>
    <s v="Spray Dryer 3rd Floor"/>
    <x v="5"/>
    <m/>
    <s v="Spray Dryer"/>
    <s v="FT-60211"/>
    <m/>
    <m/>
    <n v="0"/>
    <s v="5th"/>
    <s v="325-01-600-PD-03"/>
    <s v="3-25-01-602-PD-03"/>
    <s v="Gas Flow Element for Dryer Hot Air Duct (DTHA-21A)"/>
    <s v="Require I/O DI= 0,DO=0,AI=2,AO=0,Bus=0"/>
    <s v="FT-60211_AI_2"/>
    <x v="3"/>
    <n v="3"/>
    <n v="2"/>
    <s v="C2S08AI"/>
    <s v="C2S08AI12"/>
    <s v="C2S08,12"/>
    <s v="AI"/>
    <s v="Require I/O DI= 0,DO=0,AI=2,AO=0,Bus=0"/>
    <x v="2"/>
    <x v="10"/>
    <n v="12"/>
    <m/>
    <n v="0"/>
    <n v="0"/>
    <n v="2"/>
    <n v="0"/>
    <n v="0"/>
    <m/>
    <s v="4 - 20 mA"/>
    <m/>
  </r>
  <r>
    <s v="=CA1+MCP-M2"/>
    <m/>
    <m/>
    <x v="7"/>
    <s v="Spray Dryer 3rd Floor"/>
    <x v="5"/>
    <m/>
    <s v="Spray Dryer"/>
    <s v="LSH-60251"/>
    <m/>
    <m/>
    <n v="0"/>
    <s v="4th"/>
    <s v="325-01-600-PD-04"/>
    <s v="3-25-01-602-PD-04"/>
    <s v="Water Level Switch High for Fire Deluge Pipe (FWDP-22)"/>
    <s v="Require I/O DI= 1,DO=0,AI=0,AO=0,Bus=0"/>
    <s v="LSH-60251_DI_1"/>
    <x v="0"/>
    <n v="1"/>
    <n v="1"/>
    <s v="C2S02DI"/>
    <s v="C2S02DI01"/>
    <s v="C2S02,01"/>
    <s v="DI"/>
    <s v="Require I/O DI= 1,DO=0,AI=0,AO=0,Bus=0"/>
    <x v="2"/>
    <x v="0"/>
    <n v="1"/>
    <m/>
    <n v="1"/>
    <n v="0"/>
    <n v="0"/>
    <n v="0"/>
    <n v="0"/>
    <m/>
    <s v="Dry Contact"/>
    <m/>
  </r>
  <r>
    <s v="=CA1+MCP-M2"/>
    <m/>
    <m/>
    <x v="7"/>
    <s v="Spray Dryer 3rd Floor"/>
    <x v="5"/>
    <m/>
    <s v="Spray Dryer"/>
    <s v="PSL-60220"/>
    <m/>
    <m/>
    <n v="0"/>
    <s v="5th"/>
    <s v="325-01-600-PD-04"/>
    <s v="3-25-01-602-PD-04"/>
    <s v="Gas Pressure Switch Low for Spray Chamber (CHAM-21)"/>
    <s v="Require I/O DI= 1,DO=0,AI=0,AO=0,Bus=0"/>
    <s v="PSL-60220_DI_1"/>
    <x v="0"/>
    <n v="1"/>
    <n v="1"/>
    <s v="C2S02DI"/>
    <s v="C2S02DI02"/>
    <s v="C2S02,02"/>
    <s v="DI"/>
    <s v="Require I/O DI= 1,DO=0,AI=0,AO=0,Bus=0"/>
    <x v="2"/>
    <x v="0"/>
    <n v="2"/>
    <m/>
    <n v="1"/>
    <n v="0"/>
    <n v="0"/>
    <n v="0"/>
    <n v="0"/>
    <m/>
    <s v="Dry Contact"/>
    <m/>
  </r>
  <r>
    <s v="=CA1+MCP-M2"/>
    <m/>
    <m/>
    <x v="7"/>
    <s v="Spray Dryer 3rd Floor"/>
    <x v="5"/>
    <m/>
    <s v="Spray Dryer"/>
    <s v="PT-60210"/>
    <m/>
    <m/>
    <s v="Pressure Transmitter"/>
    <s v="5th"/>
    <s v="325-01-600-PD-03"/>
    <s v="3-25-01-602-PD-03"/>
    <s v="Gas Pressure Transmitter for Hot Air Duct (DTHA-21)"/>
    <s v="Require I/O DI= 0,DO=0,AI=1,AO=0,Bus=0"/>
    <s v="PT-60210_AI_1"/>
    <x v="3"/>
    <n v="3"/>
    <n v="1"/>
    <s v="C2S07AI"/>
    <s v="C2S07AI03"/>
    <s v="C2S07,03"/>
    <s v="AI"/>
    <s v="Require I/O DI= 0,DO=0,AI=1,AO=0,Bus=0"/>
    <x v="2"/>
    <x v="7"/>
    <n v="3"/>
    <m/>
    <n v="0"/>
    <n v="0"/>
    <n v="1"/>
    <n v="0"/>
    <n v="0"/>
    <m/>
    <s v="4 - 20 mA"/>
    <m/>
  </r>
  <r>
    <s v="=CA1+MCP-M2"/>
    <m/>
    <m/>
    <x v="7"/>
    <s v="Spray Dryer 3rd Floor"/>
    <x v="5"/>
    <m/>
    <s v="Spray Dryer"/>
    <s v="PT-60215"/>
    <m/>
    <m/>
    <s v="Pressure Transmitter"/>
    <s v="5th"/>
    <s v="325-01-600-PD-03"/>
    <s v="3-25-01-602-PD-03"/>
    <s v="15% Polypropylene Glycol Pressure Indicator Transmitter for Heat Recovery Pumping Skid (PUCF-21)"/>
    <s v="Require I/O DI= 0,DO=0,AI=1,AO=0,Bus=0"/>
    <s v="PT-60215_AI_1"/>
    <x v="3"/>
    <n v="3"/>
    <n v="1"/>
    <s v="C2S07AI"/>
    <s v="C2S07AI04"/>
    <s v="C2S07,04"/>
    <s v="AI"/>
    <s v="Require I/O DI= 0,DO=0,AI=1,AO=0,Bus=0"/>
    <x v="2"/>
    <x v="7"/>
    <n v="4"/>
    <m/>
    <n v="0"/>
    <n v="0"/>
    <n v="1"/>
    <n v="0"/>
    <n v="0"/>
    <m/>
    <s v="4 - 20 mA"/>
    <m/>
  </r>
  <r>
    <s v="=CA1+MCP-M2"/>
    <m/>
    <m/>
    <x v="7"/>
    <s v="Spray Dryer 3rd Floor"/>
    <x v="5"/>
    <m/>
    <s v="Spray Dryer"/>
    <s v="PT-60216"/>
    <m/>
    <m/>
    <s v="Pressure Transmitter"/>
    <s v="5th"/>
    <s v="325-01-600-PD-03"/>
    <s v="3-25-01-602-PD-03"/>
    <s v="Gas Pressure Transmitter for Combustion Air Burner Duct (DTCB-21)"/>
    <s v="Require I/O DI= 0,DO=0,AI=1,AO=0,Bus=0"/>
    <s v="PT-60216_AI_1"/>
    <x v="3"/>
    <n v="3"/>
    <n v="1"/>
    <s v="C2S07AI"/>
    <s v="C2S07AI05"/>
    <s v="C2S07,05"/>
    <s v="AI"/>
    <s v="Require I/O DI= 0,DO=0,AI=1,AO=0,Bus=0"/>
    <x v="2"/>
    <x v="7"/>
    <n v="5"/>
    <m/>
    <n v="0"/>
    <n v="0"/>
    <n v="1"/>
    <n v="0"/>
    <n v="0"/>
    <m/>
    <s v="4 - 20 mA"/>
    <m/>
  </r>
  <r>
    <s v="=CA1+MCP-M2"/>
    <m/>
    <m/>
    <x v="7"/>
    <s v="Spray Dryer 3rd Floor"/>
    <x v="5"/>
    <m/>
    <s v="Spray Dryer"/>
    <s v="PT-60240"/>
    <m/>
    <m/>
    <s v="Pressure Transmitter"/>
    <s v="5th"/>
    <s v="325-01-600-PD-05"/>
    <s v="3-25-01-602-PD-05"/>
    <s v="Gas Pressure Transmitter for Bag House Exhaust Duct (DTEX-22)"/>
    <s v="Require I/O DI= 0,DO=0,AI=1,AO=0,Bus=0"/>
    <s v="PT-60240_AI_1"/>
    <x v="3"/>
    <n v="3"/>
    <n v="1"/>
    <s v="C2S07AI"/>
    <s v="C2S07AI06"/>
    <s v="C2S07,06"/>
    <s v="AI"/>
    <s v="Require I/O DI= 0,DO=0,AI=1,AO=0,Bus=0"/>
    <x v="2"/>
    <x v="7"/>
    <n v="6"/>
    <m/>
    <n v="0"/>
    <n v="0"/>
    <n v="1"/>
    <n v="0"/>
    <n v="0"/>
    <m/>
    <s v="4 - 20 mA"/>
    <m/>
  </r>
  <r>
    <s v="=CA1+MCP-M2"/>
    <m/>
    <m/>
    <x v="7"/>
    <s v="Spray Dryer 3rd Floor"/>
    <x v="5"/>
    <m/>
    <s v="Spray Dryer"/>
    <s v="PT-60241"/>
    <m/>
    <m/>
    <s v="Pressure Transmitter"/>
    <s v="5th"/>
    <s v="325-01-600-PD-05"/>
    <s v="3-25-01-602-PD-05"/>
    <s v="Gas Pressure Transmitter for Exhaust Fan (FANE-21)"/>
    <s v="Require I/O DI= 0,DO=0,AI=1,AO=0,Bus=0"/>
    <s v="PT-60241_AI_1"/>
    <x v="3"/>
    <n v="3"/>
    <n v="1"/>
    <s v="C2S07AI"/>
    <s v="C2S07AI07"/>
    <s v="C2S07,07"/>
    <s v="AI"/>
    <s v="Require I/O DI= 0,DO=0,AI=1,AO=0,Bus=0"/>
    <x v="2"/>
    <x v="7"/>
    <n v="7"/>
    <m/>
    <n v="0"/>
    <n v="0"/>
    <n v="1"/>
    <n v="0"/>
    <n v="0"/>
    <m/>
    <s v="4 - 20 mA"/>
    <m/>
  </r>
  <r>
    <s v="=CA1+MCP-M2"/>
    <m/>
    <m/>
    <x v="7"/>
    <s v="Spray Dryer 3rd Floor"/>
    <x v="8"/>
    <m/>
    <m/>
    <s v="Spare"/>
    <m/>
    <m/>
    <e v="#N/A"/>
    <m/>
    <m/>
    <m/>
    <e v="#N/A"/>
    <s v="Require I/O DI= 0,DO=0,AI=0,AO=0,Bus=0"/>
    <s v="Spare_DI_0"/>
    <x v="0"/>
    <n v="1"/>
    <n v="0"/>
    <s v="C2S02DI"/>
    <s v="C2S02DI19"/>
    <s v="C2S02,19"/>
    <s v="DI"/>
    <s v="Require I/O DI= 0,DO=0,AI=0,AO=0,Bus=0"/>
    <x v="2"/>
    <x v="0"/>
    <n v="19"/>
    <m/>
    <n v="0"/>
    <n v="0"/>
    <n v="0"/>
    <n v="0"/>
    <n v="0"/>
    <m/>
    <e v="#N/A"/>
    <m/>
  </r>
  <r>
    <s v="=CA1+MCP-M2"/>
    <m/>
    <m/>
    <x v="7"/>
    <s v="Spray Dryer 3rd Floor"/>
    <x v="8"/>
    <m/>
    <m/>
    <s v="Spare"/>
    <m/>
    <m/>
    <e v="#N/A"/>
    <m/>
    <m/>
    <m/>
    <e v="#N/A"/>
    <s v="Require I/O DI= 0,DO=0,AI=0,AO=0,Bus=0"/>
    <s v="Spare_DI_0"/>
    <x v="0"/>
    <n v="1"/>
    <n v="0"/>
    <s v="C2S02DI"/>
    <s v="C2S02DI20"/>
    <s v="C2S02,20"/>
    <s v="DI"/>
    <s v="Require I/O DI= 0,DO=0,AI=0,AO=0,Bus=0"/>
    <x v="2"/>
    <x v="0"/>
    <n v="20"/>
    <m/>
    <n v="0"/>
    <n v="0"/>
    <n v="0"/>
    <n v="0"/>
    <n v="0"/>
    <m/>
    <e v="#N/A"/>
    <m/>
  </r>
  <r>
    <s v="=CA1+MCP-M2"/>
    <m/>
    <m/>
    <x v="7"/>
    <s v="Spray Dryer 3rd Floor"/>
    <x v="8"/>
    <m/>
    <m/>
    <s v="Spare"/>
    <m/>
    <m/>
    <e v="#N/A"/>
    <m/>
    <m/>
    <m/>
    <e v="#N/A"/>
    <s v="Require I/O DI= 0,DO=0,AI=0,AO=0,Bus=0"/>
    <s v="Spare_DI_0"/>
    <x v="0"/>
    <n v="1"/>
    <n v="0"/>
    <s v="C2S02DI"/>
    <s v="C2S02DI21"/>
    <s v="C2S02,21"/>
    <s v="DI"/>
    <s v="Require I/O DI= 0,DO=0,AI=0,AO=0,Bus=0"/>
    <x v="2"/>
    <x v="0"/>
    <n v="21"/>
    <m/>
    <n v="0"/>
    <n v="0"/>
    <n v="0"/>
    <n v="0"/>
    <n v="0"/>
    <m/>
    <e v="#N/A"/>
    <m/>
  </r>
  <r>
    <s v="=CA1+MCP-M2"/>
    <m/>
    <m/>
    <x v="7"/>
    <s v="Spray Dryer 3rd Floor"/>
    <x v="8"/>
    <m/>
    <m/>
    <s v="Spare"/>
    <m/>
    <m/>
    <e v="#N/A"/>
    <m/>
    <m/>
    <m/>
    <e v="#N/A"/>
    <s v="Require I/O DI= 0,DO=0,AI=0,AO=0,Bus=0"/>
    <s v="Spare_DI_0"/>
    <x v="0"/>
    <n v="1"/>
    <n v="0"/>
    <s v="C2S02DI"/>
    <s v="C2S02DI22"/>
    <s v="C2S02,22"/>
    <s v="DI"/>
    <s v="Require I/O DI= 0,DO=0,AI=0,AO=0,Bus=0"/>
    <x v="2"/>
    <x v="0"/>
    <n v="22"/>
    <m/>
    <n v="0"/>
    <n v="0"/>
    <n v="0"/>
    <n v="0"/>
    <n v="0"/>
    <m/>
    <e v="#N/A"/>
    <m/>
  </r>
  <r>
    <s v="=CA1+MCP-M2"/>
    <m/>
    <m/>
    <x v="7"/>
    <s v="Spray Dryer 3rd Floor"/>
    <x v="8"/>
    <m/>
    <m/>
    <s v="Spare"/>
    <m/>
    <m/>
    <e v="#N/A"/>
    <m/>
    <m/>
    <m/>
    <e v="#N/A"/>
    <s v="Require I/O DI= 0,DO=0,AI=0,AO=0,Bus=0"/>
    <s v="Spare_DI_0"/>
    <x v="0"/>
    <n v="1"/>
    <n v="0"/>
    <s v="C2S02DI"/>
    <s v="C2S02DI23"/>
    <s v="C2S02,23"/>
    <s v="DI"/>
    <s v="Require I/O DI= 0,DO=0,AI=0,AO=0,Bus=0"/>
    <x v="2"/>
    <x v="0"/>
    <n v="23"/>
    <m/>
    <n v="0"/>
    <n v="0"/>
    <n v="0"/>
    <n v="0"/>
    <n v="0"/>
    <m/>
    <e v="#N/A"/>
    <m/>
  </r>
  <r>
    <s v="=CA1+MCP-M2"/>
    <m/>
    <m/>
    <x v="7"/>
    <s v="Spray Dryer 3rd Floor"/>
    <x v="8"/>
    <m/>
    <m/>
    <s v="Spare"/>
    <m/>
    <m/>
    <e v="#N/A"/>
    <m/>
    <m/>
    <m/>
    <e v="#N/A"/>
    <s v="Require I/O DI= 0,DO=0,AI=0,AO=0,Bus=0"/>
    <s v="Spare_DI_0"/>
    <x v="0"/>
    <n v="1"/>
    <n v="0"/>
    <s v="C2S02DI"/>
    <s v="C2S02DI24"/>
    <s v="C2S02,24"/>
    <s v="DI"/>
    <s v="Require I/O DI= 0,DO=0,AI=0,AO=0,Bus=0"/>
    <x v="2"/>
    <x v="0"/>
    <n v="24"/>
    <m/>
    <n v="0"/>
    <n v="0"/>
    <n v="0"/>
    <n v="0"/>
    <n v="0"/>
    <m/>
    <e v="#N/A"/>
    <m/>
  </r>
  <r>
    <s v="=CA1+MCP-M2"/>
    <m/>
    <m/>
    <x v="7"/>
    <s v="Spray Dryer 3rd Floor"/>
    <x v="8"/>
    <m/>
    <m/>
    <s v="Spare"/>
    <m/>
    <m/>
    <e v="#N/A"/>
    <m/>
    <m/>
    <m/>
    <e v="#N/A"/>
    <s v="Require I/O DI= 0,DO=0,AI=0,AO=0,Bus=0"/>
    <s v="Spare_DI_0"/>
    <x v="0"/>
    <n v="1"/>
    <n v="0"/>
    <s v="C2S02DI"/>
    <s v="C2S02DI25"/>
    <s v="C2S02,25"/>
    <s v="DI"/>
    <s v="Require I/O DI= 0,DO=0,AI=0,AO=0,Bus=0"/>
    <x v="2"/>
    <x v="0"/>
    <n v="25"/>
    <m/>
    <n v="0"/>
    <n v="0"/>
    <n v="0"/>
    <n v="0"/>
    <n v="0"/>
    <m/>
    <e v="#N/A"/>
    <m/>
  </r>
  <r>
    <s v="=CA1+MCP-M2"/>
    <m/>
    <m/>
    <x v="7"/>
    <s v="Spray Dryer 3rd Floor"/>
    <x v="8"/>
    <m/>
    <m/>
    <s v="Spare"/>
    <m/>
    <m/>
    <e v="#N/A"/>
    <m/>
    <m/>
    <m/>
    <e v="#N/A"/>
    <s v="Require I/O DI= 0,DO=0,AI=0,AO=0,Bus=0"/>
    <s v="Spare_DI_0"/>
    <x v="0"/>
    <n v="1"/>
    <n v="0"/>
    <s v="C2S02DI"/>
    <s v="C2S02DI26"/>
    <s v="C2S02,26"/>
    <s v="DI"/>
    <s v="Require I/O DI= 0,DO=0,AI=0,AO=0,Bus=0"/>
    <x v="2"/>
    <x v="0"/>
    <n v="26"/>
    <m/>
    <n v="0"/>
    <n v="0"/>
    <n v="0"/>
    <n v="0"/>
    <n v="0"/>
    <m/>
    <e v="#N/A"/>
    <m/>
  </r>
  <r>
    <s v="=CA1+MCP-M2"/>
    <m/>
    <m/>
    <x v="7"/>
    <s v="Spray Dryer 3rd Floor"/>
    <x v="8"/>
    <m/>
    <m/>
    <s v="Spare"/>
    <m/>
    <m/>
    <e v="#N/A"/>
    <m/>
    <m/>
    <m/>
    <e v="#N/A"/>
    <s v="Require I/O DI= 0,DO=0,AI=0,AO=0,Bus=0"/>
    <s v="Spare_DI_0"/>
    <x v="0"/>
    <n v="1"/>
    <n v="0"/>
    <s v="C2S02DI"/>
    <s v="C2S02DI27"/>
    <s v="C2S02,27"/>
    <s v="DI"/>
    <s v="Require I/O DI= 0,DO=0,AI=0,AO=0,Bus=0"/>
    <x v="2"/>
    <x v="0"/>
    <n v="27"/>
    <m/>
    <n v="0"/>
    <n v="0"/>
    <n v="0"/>
    <n v="0"/>
    <n v="0"/>
    <m/>
    <e v="#N/A"/>
    <m/>
  </r>
  <r>
    <s v="=CA1+MCP-M2"/>
    <m/>
    <m/>
    <x v="7"/>
    <s v="Spray Dryer 3rd Floor"/>
    <x v="8"/>
    <m/>
    <m/>
    <s v="Spare"/>
    <m/>
    <m/>
    <e v="#N/A"/>
    <m/>
    <m/>
    <m/>
    <e v="#N/A"/>
    <s v="Require I/O DI= 0,DO=0,AI=0,AO=0,Bus=0"/>
    <s v="Spare_DI_0"/>
    <x v="0"/>
    <n v="1"/>
    <n v="0"/>
    <s v="C2S02DI"/>
    <s v="C2S02DI28"/>
    <s v="C2S02,28"/>
    <s v="DI"/>
    <s v="Require I/O DI= 0,DO=0,AI=0,AO=0,Bus=0"/>
    <x v="2"/>
    <x v="0"/>
    <n v="28"/>
    <m/>
    <n v="0"/>
    <n v="0"/>
    <n v="0"/>
    <n v="0"/>
    <n v="0"/>
    <m/>
    <e v="#N/A"/>
    <m/>
  </r>
  <r>
    <s v="=CA1+MCP-M2"/>
    <m/>
    <m/>
    <x v="7"/>
    <s v="Spray Dryer 3rd Floor"/>
    <x v="8"/>
    <m/>
    <m/>
    <s v="Spare"/>
    <m/>
    <m/>
    <e v="#N/A"/>
    <m/>
    <m/>
    <m/>
    <e v="#N/A"/>
    <s v="Require I/O DI= 0,DO=0,AI=0,AO=0,Bus=0"/>
    <s v="Spare_DI_0"/>
    <x v="0"/>
    <n v="1"/>
    <n v="0"/>
    <s v="C2S02DI"/>
    <s v="C2S02DI29"/>
    <s v="C2S02,29"/>
    <s v="DI"/>
    <s v="Require I/O DI= 0,DO=0,AI=0,AO=0,Bus=0"/>
    <x v="2"/>
    <x v="0"/>
    <n v="29"/>
    <m/>
    <n v="0"/>
    <n v="0"/>
    <n v="0"/>
    <n v="0"/>
    <n v="0"/>
    <m/>
    <e v="#N/A"/>
    <m/>
  </r>
  <r>
    <s v="=CA1+MCP-M2"/>
    <m/>
    <m/>
    <x v="7"/>
    <s v="Spray Dryer 3rd Floor"/>
    <x v="8"/>
    <m/>
    <m/>
    <s v="Spare"/>
    <m/>
    <m/>
    <e v="#N/A"/>
    <m/>
    <m/>
    <m/>
    <e v="#N/A"/>
    <s v="Require I/O DI= 0,DO=0,AI=0,AO=0,Bus=0"/>
    <s v="Spare_DI_0"/>
    <x v="0"/>
    <n v="1"/>
    <n v="0"/>
    <s v="C2S02DI"/>
    <s v="C2S02DI30"/>
    <s v="C2S02,30"/>
    <s v="DI"/>
    <s v="Require I/O DI= 0,DO=0,AI=0,AO=0,Bus=0"/>
    <x v="2"/>
    <x v="0"/>
    <n v="30"/>
    <m/>
    <n v="0"/>
    <n v="0"/>
    <n v="0"/>
    <n v="0"/>
    <n v="0"/>
    <m/>
    <e v="#N/A"/>
    <m/>
  </r>
  <r>
    <s v="=CA1+MCP-M2"/>
    <m/>
    <m/>
    <x v="7"/>
    <s v="Spray Dryer 3rd Floor"/>
    <x v="8"/>
    <m/>
    <m/>
    <s v="Spare"/>
    <m/>
    <m/>
    <e v="#N/A"/>
    <m/>
    <m/>
    <m/>
    <e v="#N/A"/>
    <s v="Require I/O DI= 0,DO=0,AI=0,AO=0,Bus=0"/>
    <s v="Spare_DI_0"/>
    <x v="0"/>
    <n v="1"/>
    <n v="0"/>
    <s v="C2S02DI"/>
    <s v="C2S02DI31"/>
    <s v="C2S02,31"/>
    <s v="DI"/>
    <s v="Require I/O DI= 0,DO=0,AI=0,AO=0,Bus=0"/>
    <x v="2"/>
    <x v="0"/>
    <n v="31"/>
    <m/>
    <n v="0"/>
    <n v="0"/>
    <n v="0"/>
    <n v="0"/>
    <n v="0"/>
    <m/>
    <e v="#N/A"/>
    <m/>
  </r>
  <r>
    <s v="=CA1+MCP-M2"/>
    <m/>
    <m/>
    <x v="7"/>
    <s v="Spray Dryer 3rd Floor"/>
    <x v="8"/>
    <m/>
    <m/>
    <s v="Spare"/>
    <m/>
    <m/>
    <e v="#N/A"/>
    <m/>
    <m/>
    <m/>
    <e v="#N/A"/>
    <s v="Require I/O DI= 0,DO=0,AI=0,AO=0,Bus=0"/>
    <s v="Spare_DO_1"/>
    <x v="1"/>
    <n v="2"/>
    <n v="1"/>
    <s v="C2S03DO"/>
    <s v="C2S03DO19"/>
    <s v="C2S03,19"/>
    <s v="DO"/>
    <s v="Require I/O DI= 0,DO=0,AI=0,AO=0,Bus=0"/>
    <x v="2"/>
    <x v="1"/>
    <n v="19"/>
    <m/>
    <n v="0"/>
    <n v="0"/>
    <n v="0"/>
    <n v="0"/>
    <n v="0"/>
    <m/>
    <m/>
    <m/>
  </r>
  <r>
    <s v="=CA1+MCP-M2"/>
    <m/>
    <m/>
    <x v="7"/>
    <s v="Spray Dryer 3rd Floor"/>
    <x v="8"/>
    <m/>
    <m/>
    <s v="Spare"/>
    <m/>
    <m/>
    <e v="#N/A"/>
    <m/>
    <m/>
    <m/>
    <e v="#N/A"/>
    <s v="Require I/O DI= 0,DO=0,AI=0,AO=0,Bus=0"/>
    <s v="Spare_DO_1"/>
    <x v="1"/>
    <n v="2"/>
    <n v="1"/>
    <s v="C2S03DO"/>
    <s v="C2S03DO20"/>
    <s v="C2S03,20"/>
    <s v="DO"/>
    <s v="Require I/O DI= 0,DO=0,AI=0,AO=0,Bus=0"/>
    <x v="2"/>
    <x v="1"/>
    <n v="20"/>
    <m/>
    <n v="0"/>
    <n v="0"/>
    <n v="0"/>
    <n v="0"/>
    <n v="0"/>
    <m/>
    <m/>
    <m/>
  </r>
  <r>
    <s v="=CA1+MCP-M2"/>
    <m/>
    <m/>
    <x v="7"/>
    <s v="Spray Dryer 3rd Floor"/>
    <x v="8"/>
    <m/>
    <m/>
    <s v="Spare"/>
    <m/>
    <m/>
    <e v="#N/A"/>
    <m/>
    <m/>
    <m/>
    <e v="#N/A"/>
    <s v="Require I/O DI= 0,DO=0,AI=0,AO=0,Bus=0"/>
    <s v="Spare_DO_1"/>
    <x v="1"/>
    <n v="2"/>
    <n v="1"/>
    <s v="C2S03DO"/>
    <s v="C2S03DO21"/>
    <s v="C2S03,21"/>
    <s v="DO"/>
    <s v="Require I/O DI= 0,DO=0,AI=0,AO=0,Bus=0"/>
    <x v="2"/>
    <x v="1"/>
    <n v="21"/>
    <m/>
    <n v="0"/>
    <n v="0"/>
    <n v="0"/>
    <n v="0"/>
    <n v="0"/>
    <m/>
    <m/>
    <m/>
  </r>
  <r>
    <s v="=CA1+MCP-M2"/>
    <m/>
    <m/>
    <x v="7"/>
    <s v="Spray Dryer 3rd Floor"/>
    <x v="8"/>
    <m/>
    <m/>
    <s v="Spare"/>
    <m/>
    <m/>
    <e v="#N/A"/>
    <m/>
    <m/>
    <m/>
    <e v="#N/A"/>
    <s v="Require I/O DI= 0,DO=0,AI=0,AO=0,Bus=0"/>
    <s v="Spare_DO_1"/>
    <x v="1"/>
    <n v="2"/>
    <n v="1"/>
    <s v="C2S03DO"/>
    <s v="C2S03DO22"/>
    <s v="C2S03,22"/>
    <s v="DO"/>
    <s v="Require I/O DI= 0,DO=0,AI=0,AO=0,Bus=0"/>
    <x v="2"/>
    <x v="1"/>
    <n v="22"/>
    <m/>
    <n v="0"/>
    <n v="0"/>
    <n v="0"/>
    <n v="0"/>
    <n v="0"/>
    <m/>
    <m/>
    <m/>
  </r>
  <r>
    <s v="=CA1+MCP-M2"/>
    <m/>
    <m/>
    <x v="7"/>
    <s v="Spray Dryer 3rd Floor"/>
    <x v="8"/>
    <m/>
    <m/>
    <s v="Spare"/>
    <m/>
    <m/>
    <e v="#N/A"/>
    <m/>
    <m/>
    <m/>
    <e v="#N/A"/>
    <s v="Require I/O DI= 0,DO=0,AI=0,AO=0,Bus=0"/>
    <s v="Spare_DO_1"/>
    <x v="1"/>
    <n v="2"/>
    <n v="1"/>
    <s v="C2S03DO"/>
    <s v="C2S03DO23"/>
    <s v="C2S03,23"/>
    <s v="DO"/>
    <s v="Require I/O DI= 0,DO=0,AI=0,AO=0,Bus=0"/>
    <x v="2"/>
    <x v="1"/>
    <n v="23"/>
    <m/>
    <n v="0"/>
    <n v="0"/>
    <n v="0"/>
    <n v="0"/>
    <n v="0"/>
    <m/>
    <m/>
    <m/>
  </r>
  <r>
    <s v="=CA1+MCP-M2"/>
    <m/>
    <m/>
    <x v="7"/>
    <s v="Spray Dryer 3rd Floor"/>
    <x v="8"/>
    <m/>
    <m/>
    <s v="Spare"/>
    <m/>
    <m/>
    <e v="#N/A"/>
    <m/>
    <m/>
    <m/>
    <e v="#N/A"/>
    <s v="Require I/O DI= 0,DO=0,AI=0,AO=0,Bus=0"/>
    <s v="Spare_DO_1"/>
    <x v="1"/>
    <n v="2"/>
    <n v="1"/>
    <s v="C2S03DO"/>
    <s v="C2S03DO24"/>
    <s v="C2S03,24"/>
    <s v="DO"/>
    <s v="Require I/O DI= 0,DO=0,AI=0,AO=0,Bus=0"/>
    <x v="2"/>
    <x v="1"/>
    <n v="24"/>
    <m/>
    <n v="0"/>
    <n v="0"/>
    <n v="0"/>
    <n v="0"/>
    <n v="0"/>
    <m/>
    <m/>
    <m/>
  </r>
  <r>
    <s v="=CA1+MCP-M2"/>
    <m/>
    <m/>
    <x v="7"/>
    <s v="Spray Dryer 3rd Floor"/>
    <x v="8"/>
    <m/>
    <m/>
    <s v="Spare"/>
    <m/>
    <m/>
    <e v="#N/A"/>
    <m/>
    <m/>
    <m/>
    <e v="#N/A"/>
    <s v="Require I/O DI= 0,DO=0,AI=0,AO=0,Bus=0"/>
    <s v="Spare_DO_1"/>
    <x v="1"/>
    <n v="2"/>
    <n v="1"/>
    <s v="C2S03DO"/>
    <s v="C2S03DO25"/>
    <s v="C2S03,25"/>
    <s v="DO"/>
    <s v="Require I/O DI= 0,DO=0,AI=0,AO=0,Bus=0"/>
    <x v="2"/>
    <x v="1"/>
    <n v="25"/>
    <m/>
    <n v="0"/>
    <n v="0"/>
    <n v="0"/>
    <n v="0"/>
    <n v="0"/>
    <m/>
    <m/>
    <m/>
  </r>
  <r>
    <s v="=CA1+MCP-M2"/>
    <m/>
    <m/>
    <x v="7"/>
    <s v="Spray Dryer 3rd Floor"/>
    <x v="8"/>
    <m/>
    <m/>
    <s v="Spare"/>
    <m/>
    <m/>
    <e v="#N/A"/>
    <m/>
    <m/>
    <m/>
    <e v="#N/A"/>
    <s v="Require I/O DI= 0,DO=0,AI=0,AO=0,Bus=0"/>
    <s v="Spare_DO_1"/>
    <x v="1"/>
    <n v="2"/>
    <n v="1"/>
    <s v="C2S03DO"/>
    <s v="C2S03DO26"/>
    <s v="C2S03,26"/>
    <s v="DO"/>
    <s v="Require I/O DI= 0,DO=0,AI=0,AO=0,Bus=0"/>
    <x v="2"/>
    <x v="1"/>
    <n v="26"/>
    <m/>
    <n v="0"/>
    <n v="0"/>
    <n v="0"/>
    <n v="0"/>
    <n v="0"/>
    <m/>
    <m/>
    <m/>
  </r>
  <r>
    <s v="=CA1+MCP-M2"/>
    <m/>
    <m/>
    <x v="7"/>
    <s v="Spray Dryer 3rd Floor"/>
    <x v="8"/>
    <m/>
    <m/>
    <s v="Spare"/>
    <m/>
    <m/>
    <e v="#N/A"/>
    <m/>
    <m/>
    <m/>
    <e v="#N/A"/>
    <s v="Require I/O DI= 0,DO=0,AI=0,AO=0,Bus=0"/>
    <s v="Spare_DO_"/>
    <x v="1"/>
    <n v="2"/>
    <m/>
    <s v="C2S03DO"/>
    <s v="C2S03DO27"/>
    <s v="C2S03,27"/>
    <s v="DO"/>
    <s v="Require I/O DI= 0,DO=0,AI=0,AO=0,Bus=0"/>
    <x v="2"/>
    <x v="1"/>
    <n v="27"/>
    <m/>
    <n v="0"/>
    <n v="0"/>
    <n v="0"/>
    <n v="0"/>
    <n v="0"/>
    <m/>
    <e v="#N/A"/>
    <m/>
  </r>
  <r>
    <s v="=CA1+MCP-M2"/>
    <m/>
    <m/>
    <x v="7"/>
    <s v="Spray Dryer 3rd Floor"/>
    <x v="8"/>
    <m/>
    <m/>
    <s v="Spare"/>
    <m/>
    <m/>
    <e v="#N/A"/>
    <m/>
    <m/>
    <m/>
    <e v="#N/A"/>
    <s v="Require I/O DI= 0,DO=0,AI=0,AO=0,Bus=0"/>
    <s v="Spare_DO_"/>
    <x v="1"/>
    <n v="2"/>
    <m/>
    <s v="C2S03DO"/>
    <s v="C2S03DO28"/>
    <s v="C2S03,28"/>
    <s v="DO"/>
    <s v="Require I/O DI= 0,DO=0,AI=0,AO=0,Bus=0"/>
    <x v="2"/>
    <x v="1"/>
    <n v="28"/>
    <m/>
    <n v="0"/>
    <n v="0"/>
    <n v="0"/>
    <n v="0"/>
    <n v="0"/>
    <m/>
    <e v="#N/A"/>
    <m/>
  </r>
  <r>
    <s v="=CA1+MCP-M2"/>
    <m/>
    <m/>
    <x v="7"/>
    <s v="Spray Dryer 3rd Floor"/>
    <x v="8"/>
    <m/>
    <m/>
    <s v="Spare"/>
    <m/>
    <m/>
    <e v="#N/A"/>
    <m/>
    <m/>
    <m/>
    <e v="#N/A"/>
    <s v="Require I/O DI= 0,DO=0,AI=0,AO=0,Bus=0"/>
    <s v="Spare_DO_"/>
    <x v="1"/>
    <n v="2"/>
    <m/>
    <s v="C2S03DO"/>
    <s v="C2S03DO29"/>
    <s v="C2S03,29"/>
    <s v="DO"/>
    <s v="Require I/O DI= 0,DO=0,AI=0,AO=0,Bus=0"/>
    <x v="2"/>
    <x v="1"/>
    <n v="29"/>
    <m/>
    <n v="0"/>
    <n v="0"/>
    <n v="0"/>
    <n v="0"/>
    <n v="0"/>
    <m/>
    <e v="#N/A"/>
    <m/>
  </r>
  <r>
    <s v="=CA1+MCP-M2"/>
    <m/>
    <m/>
    <x v="7"/>
    <s v="Spray Dryer 3rd Floor"/>
    <x v="8"/>
    <m/>
    <m/>
    <s v="Spare"/>
    <m/>
    <m/>
    <e v="#N/A"/>
    <m/>
    <m/>
    <m/>
    <e v="#N/A"/>
    <s v="Require I/O DI= 0,DO=0,AI=0,AO=0,Bus=0"/>
    <s v="Spare_DO_"/>
    <x v="1"/>
    <n v="2"/>
    <m/>
    <s v="C2S03DO"/>
    <s v="C2S03DO30"/>
    <s v="C2S03,30"/>
    <s v="DO"/>
    <s v="Require I/O DI= 0,DO=0,AI=0,AO=0,Bus=0"/>
    <x v="2"/>
    <x v="1"/>
    <n v="30"/>
    <m/>
    <n v="0"/>
    <n v="0"/>
    <n v="0"/>
    <n v="0"/>
    <n v="0"/>
    <m/>
    <e v="#N/A"/>
    <m/>
  </r>
  <r>
    <s v="=CA1+MCP-M2"/>
    <m/>
    <m/>
    <x v="7"/>
    <s v="Spray Dryer 3rd Floor"/>
    <x v="8"/>
    <m/>
    <m/>
    <s v="Spare"/>
    <m/>
    <m/>
    <e v="#N/A"/>
    <m/>
    <m/>
    <m/>
    <e v="#N/A"/>
    <s v="Require I/O DI= 0,DO=0,AI=0,AO=0,Bus=0"/>
    <s v="Spare_DO_"/>
    <x v="1"/>
    <n v="2"/>
    <m/>
    <s v="C2S03DO"/>
    <s v="C2S03DO31"/>
    <s v="C2S03,31"/>
    <s v="DO"/>
    <s v="Require I/O DI= 0,DO=0,AI=0,AO=0,Bus=0"/>
    <x v="2"/>
    <x v="1"/>
    <n v="31"/>
    <m/>
    <n v="0"/>
    <n v="0"/>
    <n v="0"/>
    <n v="0"/>
    <n v="0"/>
    <m/>
    <e v="#N/A"/>
    <m/>
  </r>
  <r>
    <s v="=CA1+MCP-M2"/>
    <m/>
    <m/>
    <x v="7"/>
    <s v="Spray Dryer 3rd Floor"/>
    <x v="8"/>
    <m/>
    <m/>
    <s v="Spare"/>
    <m/>
    <m/>
    <e v="#N/A"/>
    <m/>
    <m/>
    <m/>
    <e v="#N/A"/>
    <s v="Require I/O DI= 0,DO=0,AI=0,AO=0,Bus=0"/>
    <s v="Spare_AI_0"/>
    <x v="3"/>
    <n v="3"/>
    <n v="0"/>
    <s v="C2S08AI"/>
    <s v="C2S08AI13"/>
    <s v="C2S08,13"/>
    <s v="AI"/>
    <s v="Require I/O DI= 0,DO=0,AI=0,AO=0,Bus=0"/>
    <x v="2"/>
    <x v="10"/>
    <n v="13"/>
    <m/>
    <n v="0"/>
    <n v="0"/>
    <n v="0"/>
    <n v="0"/>
    <n v="0"/>
    <m/>
    <e v="#N/A"/>
    <m/>
  </r>
  <r>
    <s v="=CA1+MCP-M2"/>
    <m/>
    <m/>
    <x v="7"/>
    <s v="Spray Dryer 3rd Floor"/>
    <x v="8"/>
    <m/>
    <m/>
    <s v="Spare"/>
    <m/>
    <m/>
    <e v="#N/A"/>
    <m/>
    <m/>
    <m/>
    <e v="#N/A"/>
    <s v="Require I/O DI= 0,DO=0,AI=0,AO=0,Bus=0"/>
    <s v="Spare_AI_0"/>
    <x v="3"/>
    <n v="3"/>
    <n v="0"/>
    <s v="C2S08AI"/>
    <s v="C2S08AI14"/>
    <s v="C2S08,14"/>
    <s v="AI"/>
    <s v="Require I/O DI= 0,DO=0,AI=0,AO=0,Bus=0"/>
    <x v="2"/>
    <x v="10"/>
    <n v="14"/>
    <m/>
    <n v="0"/>
    <n v="0"/>
    <n v="0"/>
    <n v="0"/>
    <n v="0"/>
    <m/>
    <e v="#N/A"/>
    <m/>
  </r>
  <r>
    <s v="=CA1+MCP-M2"/>
    <m/>
    <m/>
    <x v="7"/>
    <s v="Spray Dryer 3rd Floor"/>
    <x v="8"/>
    <m/>
    <m/>
    <s v="Spare"/>
    <m/>
    <m/>
    <e v="#N/A"/>
    <m/>
    <m/>
    <m/>
    <e v="#N/A"/>
    <s v="Require I/O DI= 0,DO=0,AI=0,AO=0,Bus=0"/>
    <s v="Spare_AI_0"/>
    <x v="3"/>
    <n v="3"/>
    <n v="0"/>
    <s v="C2S08AI"/>
    <s v="C2S08AI15"/>
    <s v="C2S08,15"/>
    <s v="AI"/>
    <s v="Require I/O DI= 0,DO=0,AI=0,AO=0,Bus=0"/>
    <x v="2"/>
    <x v="10"/>
    <n v="15"/>
    <m/>
    <n v="0"/>
    <n v="0"/>
    <n v="0"/>
    <n v="0"/>
    <n v="0"/>
    <m/>
    <e v="#N/A"/>
    <m/>
  </r>
  <r>
    <s v="=CA1+MCP-M2"/>
    <m/>
    <m/>
    <x v="7"/>
    <s v="Spray Dryer 3rd Floor"/>
    <x v="5"/>
    <m/>
    <s v="Spray Dryer"/>
    <s v="TSH-60230"/>
    <m/>
    <m/>
    <n v="0"/>
    <s v="3rd"/>
    <s v="325-01-600-PD-04"/>
    <s v="3-25-01-602-PD-04"/>
    <s v="Gas and Powder Temperature Switch High for Conveying Duct (DTCO-21)"/>
    <s v="Require I/O DI= 1,DO=0,AI=0,AO=0,Bus=0"/>
    <s v="TSH-60230_DI_1"/>
    <x v="0"/>
    <n v="1"/>
    <n v="1"/>
    <s v="C2S02DI"/>
    <s v="C2S02DI03"/>
    <s v="C2S02,03"/>
    <s v="DI"/>
    <s v="Require I/O DI= 1,DO=0,AI=0,AO=0,Bus=0"/>
    <x v="2"/>
    <x v="0"/>
    <n v="3"/>
    <m/>
    <n v="1"/>
    <n v="0"/>
    <n v="0"/>
    <n v="0"/>
    <n v="0"/>
    <m/>
    <s v="Dry Contact"/>
    <m/>
  </r>
  <r>
    <s v="=CA1+MCP-M2"/>
    <m/>
    <m/>
    <x v="7"/>
    <s v="Spray Dryer 3rd Floor"/>
    <x v="5"/>
    <m/>
    <s v="Spray Dryer"/>
    <s v="TSH-60240"/>
    <m/>
    <m/>
    <n v="0"/>
    <s v="5th"/>
    <s v="325-01-600-PD-05"/>
    <s v="3-25-01-602-PD-05"/>
    <s v="Gas and Powder Temperature Switch High for Exhaust Duct (DTEX-22)"/>
    <s v="Require I/O DI= 1,DO=0,AI=0,AO=0,Bus=0"/>
    <s v="TSH-60240_DI_1"/>
    <x v="0"/>
    <n v="1"/>
    <n v="1"/>
    <s v="C2S02DI"/>
    <s v="C2S02DI04"/>
    <s v="C2S02,04"/>
    <s v="DI"/>
    <s v="Require I/O DI= 1,DO=0,AI=0,AO=0,Bus=0"/>
    <x v="2"/>
    <x v="0"/>
    <n v="4"/>
    <m/>
    <n v="1"/>
    <n v="0"/>
    <n v="0"/>
    <n v="0"/>
    <n v="0"/>
    <m/>
    <s v="Dry Contact"/>
    <m/>
  </r>
  <r>
    <s v="=CA1+MCP-M2"/>
    <m/>
    <m/>
    <x v="7"/>
    <s v="Spray Dryer 3rd Floor"/>
    <x v="5"/>
    <m/>
    <s v="Spray Dryer"/>
    <s v="TSH-60241A"/>
    <m/>
    <m/>
    <n v="0"/>
    <s v="4th"/>
    <s v="325-01-600-PD-05"/>
    <s v="3-25-01-602-PD-05"/>
    <s v="Surface Heating Temperature switch high for bag house cone (BGHS-21)"/>
    <s v="Require I/O DI= 1,DO=0,AI=0,AO=0,Bus=0"/>
    <s v="TSH-60241A_DI_1"/>
    <x v="0"/>
    <n v="1"/>
    <n v="1"/>
    <s v="C2S02DI"/>
    <s v="C2S02DI05"/>
    <s v="C2S02,05"/>
    <s v="DI"/>
    <s v="Require I/O DI= 1,DO=0,AI=0,AO=0,Bus=0"/>
    <x v="2"/>
    <x v="0"/>
    <n v="5"/>
    <m/>
    <n v="1"/>
    <n v="0"/>
    <n v="0"/>
    <n v="0"/>
    <n v="0"/>
    <m/>
    <s v="Dry Contact"/>
    <m/>
  </r>
  <r>
    <s v="=CA1+MCP-M2"/>
    <m/>
    <m/>
    <x v="7"/>
    <s v="Spray Dryer 3rd Floor"/>
    <x v="5"/>
    <m/>
    <s v="Spray Dryer"/>
    <s v="TSH-60242A"/>
    <m/>
    <m/>
    <n v="0"/>
    <s v="3rd"/>
    <s v="325-01-600-PD-05"/>
    <s v="3-25-01-602-PD-05"/>
    <s v="Surface Heating Temperature switch high for bag house cone (BGHS-21)"/>
    <s v="Require I/O DI= 1,DO=0,AI=0,AO=0,Bus=0"/>
    <s v="TSH-60242A_DI_1"/>
    <x v="0"/>
    <n v="1"/>
    <n v="1"/>
    <s v="C2S02DI"/>
    <s v="C2S02DI06"/>
    <s v="C2S02,06"/>
    <s v="DI"/>
    <s v="Require I/O DI= 1,DO=0,AI=0,AO=0,Bus=0"/>
    <x v="2"/>
    <x v="0"/>
    <n v="6"/>
    <m/>
    <n v="1"/>
    <n v="0"/>
    <n v="0"/>
    <n v="0"/>
    <n v="0"/>
    <m/>
    <s v="Dry Contact"/>
    <m/>
  </r>
  <r>
    <s v="=CA1+MCP-M2"/>
    <m/>
    <m/>
    <x v="7"/>
    <s v="Spray Dryer 3rd Floor"/>
    <x v="5"/>
    <m/>
    <s v="Spray Dryer"/>
    <s v="TSH-60243A"/>
    <m/>
    <m/>
    <n v="0"/>
    <s v="4th"/>
    <s v="325-01-600-PD-05"/>
    <s v="3-25-01-602-PD-05"/>
    <s v="Surface Heating Temperature switch high for bag house cone (BGHS-21)"/>
    <s v="Require I/O DI= 1,DO=0,AI=0,AO=0,Bus=0"/>
    <s v="TSH-60243A_DI_1"/>
    <x v="0"/>
    <n v="1"/>
    <n v="1"/>
    <s v="C2S02DI"/>
    <s v="C2S02DI07"/>
    <s v="C2S02,07"/>
    <s v="DI"/>
    <s v="Require I/O DI= 1,DO=0,AI=0,AO=0,Bus=0"/>
    <x v="2"/>
    <x v="0"/>
    <n v="7"/>
    <m/>
    <n v="1"/>
    <n v="0"/>
    <n v="0"/>
    <n v="0"/>
    <n v="0"/>
    <m/>
    <s v="Dry Contact"/>
    <m/>
  </r>
  <r>
    <s v="=CA1+MCP-M2"/>
    <m/>
    <m/>
    <x v="7"/>
    <s v="Spray Dryer 3rd Floor"/>
    <x v="5"/>
    <m/>
    <s v="Spray Dryer"/>
    <s v="TSL-60241B"/>
    <m/>
    <m/>
    <n v="0"/>
    <s v="4th"/>
    <s v="325-01-600-PD-05"/>
    <s v="3-25-01-602-PD-05"/>
    <s v="Surface Heating Temperature switch low for bag house cone (BGHS-21)"/>
    <s v="Require I/O DI= 1,DO=0,AI=0,AO=0,Bus=0"/>
    <s v="TSL-60241B_DI_1"/>
    <x v="0"/>
    <n v="1"/>
    <n v="1"/>
    <s v="C2S02DI"/>
    <s v="C2S02DI08"/>
    <s v="C2S02,08"/>
    <s v="DI"/>
    <s v="Require I/O DI= 1,DO=0,AI=0,AO=0,Bus=0"/>
    <x v="2"/>
    <x v="0"/>
    <n v="8"/>
    <m/>
    <n v="1"/>
    <n v="0"/>
    <n v="0"/>
    <n v="0"/>
    <n v="0"/>
    <m/>
    <s v="Dry Contact"/>
    <m/>
  </r>
  <r>
    <s v="=CA1+MCP-M2"/>
    <m/>
    <m/>
    <x v="7"/>
    <s v="Spray Dryer 3rd Floor"/>
    <x v="5"/>
    <m/>
    <s v="Spray Dryer"/>
    <s v="TSL-60242B"/>
    <m/>
    <m/>
    <n v="0"/>
    <s v="3rd"/>
    <s v="325-01-600-PD-05"/>
    <s v="3-25-01-602-PD-05"/>
    <s v="Surface Heating Temperature switch low for bag house cone (BGHS-21)"/>
    <s v="Require I/O DI= 1,DO=0,AI=0,AO=0,Bus=0"/>
    <s v="TSL-60242B_DI_1"/>
    <x v="0"/>
    <n v="1"/>
    <n v="1"/>
    <s v="C2S02DI"/>
    <s v="C2S02DI09"/>
    <s v="C2S02,09"/>
    <s v="DI"/>
    <s v="Require I/O DI= 1,DO=0,AI=0,AO=0,Bus=0"/>
    <x v="2"/>
    <x v="0"/>
    <n v="9"/>
    <m/>
    <n v="1"/>
    <n v="0"/>
    <n v="0"/>
    <n v="0"/>
    <n v="0"/>
    <m/>
    <s v="Dry Contact"/>
    <m/>
  </r>
  <r>
    <s v="=CA1+MCP-M2"/>
    <m/>
    <m/>
    <x v="7"/>
    <s v="Spray Dryer 3rd Floor"/>
    <x v="5"/>
    <m/>
    <s v="Spray Dryer"/>
    <s v="TSL-60243B"/>
    <m/>
    <m/>
    <n v="0"/>
    <s v="4th"/>
    <s v="325-01-600-PD-05"/>
    <s v="3-25-01-602-PD-05"/>
    <s v="Surface Heating Temperature switch low for bag house cone (BGHS-21)"/>
    <s v="Require I/O DI= 1,DO=0,AI=0,AO=0,Bus=0"/>
    <s v="TSL-60243B_DI_1"/>
    <x v="0"/>
    <n v="1"/>
    <n v="1"/>
    <s v="C2S02DI"/>
    <s v="C2S02DI10"/>
    <s v="C2S02,10"/>
    <s v="DI"/>
    <s v="Require I/O DI= 1,DO=0,AI=0,AO=0,Bus=0"/>
    <x v="2"/>
    <x v="0"/>
    <n v="10"/>
    <m/>
    <n v="1"/>
    <n v="0"/>
    <n v="0"/>
    <n v="0"/>
    <n v="0"/>
    <m/>
    <s v="Dry Contact"/>
    <m/>
  </r>
  <r>
    <s v="=CA1+MCP-M2"/>
    <m/>
    <m/>
    <x v="7"/>
    <s v="Spray Dryer 3rd Floor"/>
    <x v="5"/>
    <m/>
    <s v="Spray Dryer"/>
    <s v="TT-60210"/>
    <m/>
    <m/>
    <n v="0"/>
    <s v="5th"/>
    <s v="325-01-600-PD-03"/>
    <s v="3-25-01-602-PD-03"/>
    <s v="Gas Temperature Element for Hot Air Duct (DTHA-21)"/>
    <s v="Require I/O DI= 0,DO=0,AI=1,AO=0,Bus=0"/>
    <s v="TT-60210_AI_1"/>
    <x v="3"/>
    <n v="3"/>
    <n v="1"/>
    <s v="C2S07AI"/>
    <s v="C2S07AI08"/>
    <s v="C2S07,08"/>
    <s v="AI"/>
    <s v="Require I/O DI= 0,DO=0,AI=1,AO=0,Bus=0"/>
    <x v="2"/>
    <x v="7"/>
    <n v="8"/>
    <m/>
    <n v="0"/>
    <n v="0"/>
    <n v="1"/>
    <n v="0"/>
    <n v="0"/>
    <m/>
    <s v="4 - 20 mA"/>
    <m/>
  </r>
  <r>
    <s v="=CA1+MCP-M2"/>
    <m/>
    <m/>
    <x v="7"/>
    <s v="Spray Dryer 3rd Floor"/>
    <x v="5"/>
    <m/>
    <s v="Spray Dryer"/>
    <s v="TT-60210A"/>
    <m/>
    <m/>
    <e v="#N/A"/>
    <s v="5th"/>
    <s v="325-01-600-PD-03"/>
    <s v="-"/>
    <e v="#N/A"/>
    <s v="Require I/O DI= 0,DO=0,AI=1,AO=0,Bus=0"/>
    <s v="TT-60210A_AI_1"/>
    <x v="3"/>
    <n v="3"/>
    <n v="1"/>
    <s v="C2S07AI"/>
    <s v="C2S07AI09"/>
    <s v="C2S07,09"/>
    <s v="AI"/>
    <s v="Require I/O DI= 0,DO=0,AI=1,AO=0,Bus=0"/>
    <x v="2"/>
    <x v="7"/>
    <n v="9"/>
    <m/>
    <n v="0"/>
    <n v="0"/>
    <n v="1"/>
    <n v="0"/>
    <n v="0"/>
    <m/>
    <e v="#N/A"/>
    <m/>
  </r>
  <r>
    <s v="=CA1+MCP-M2"/>
    <m/>
    <m/>
    <x v="7"/>
    <s v="Spray Dryer 3rd Floor"/>
    <x v="5"/>
    <m/>
    <s v="Spray Dryer"/>
    <s v="TT-60210B"/>
    <m/>
    <m/>
    <e v="#N/A"/>
    <s v="5th"/>
    <s v="325-01-600-PD-03"/>
    <s v="-"/>
    <e v="#N/A"/>
    <s v="Require I/O DI= 0,DO=0,AI=1,AO=0,Bus=0"/>
    <s v="TT-60210B_AI_1"/>
    <x v="3"/>
    <n v="3"/>
    <n v="1"/>
    <s v="C2S07AI"/>
    <s v="C2S07AI10"/>
    <s v="C2S07,10"/>
    <s v="AI"/>
    <s v="Require I/O DI= 0,DO=0,AI=1,AO=0,Bus=0"/>
    <x v="2"/>
    <x v="7"/>
    <n v="10"/>
    <m/>
    <n v="0"/>
    <n v="0"/>
    <n v="1"/>
    <n v="0"/>
    <n v="0"/>
    <m/>
    <e v="#N/A"/>
    <m/>
  </r>
  <r>
    <s v="=CA1+MCP-M2"/>
    <m/>
    <m/>
    <x v="7"/>
    <s v="Spray Dryer 3rd Floor"/>
    <x v="5"/>
    <m/>
    <s v="Spray Dryer"/>
    <s v="TT-60211"/>
    <m/>
    <m/>
    <n v="0"/>
    <s v="5th"/>
    <s v="325-01-600-PD-03"/>
    <s v="3-25-01-602-PD-03"/>
    <s v="Gas Temperature Element for Hot Air Duct (DTHA-21)"/>
    <s v="Require I/O DI= 0,DO=0,AI=1,AO=0,Bus=0"/>
    <s v="TT-60211_AI_1"/>
    <x v="3"/>
    <n v="3"/>
    <n v="1"/>
    <s v="C2S07AI"/>
    <s v="C2S07AI11"/>
    <s v="C2S07,11"/>
    <s v="AI"/>
    <s v="Require I/O DI= 0,DO=0,AI=1,AO=0,Bus=0"/>
    <x v="2"/>
    <x v="7"/>
    <n v="11"/>
    <m/>
    <n v="0"/>
    <n v="0"/>
    <n v="1"/>
    <n v="0"/>
    <n v="0"/>
    <m/>
    <s v="4 - 20 mA"/>
    <m/>
  </r>
  <r>
    <s v="=CA1+MCP-M2"/>
    <m/>
    <m/>
    <x v="7"/>
    <s v="Spray Dryer 3rd Floor"/>
    <x v="5"/>
    <m/>
    <s v="Spray Dryer"/>
    <s v="TT-60212A"/>
    <m/>
    <m/>
    <n v="0"/>
    <s v="5th"/>
    <s v="325-01-600-PD-03"/>
    <s v="3-25-01-602-PD-03"/>
    <s v=" Bearing Temperature Transmitter for Main Supply Air Fan (FANS-21)"/>
    <s v="Require I/O DI= 0,DO=0,AI=1,AO=0,Bus=0"/>
    <s v="TT-60212A_AI_1"/>
    <x v="3"/>
    <n v="3"/>
    <n v="1"/>
    <s v="C2S07AI"/>
    <s v="C2S07AI12"/>
    <s v="C2S07,12"/>
    <s v="AI"/>
    <s v="Require I/O DI= 0,DO=0,AI=1,AO=0,Bus=0"/>
    <x v="2"/>
    <x v="7"/>
    <n v="12"/>
    <m/>
    <n v="0"/>
    <n v="0"/>
    <n v="1"/>
    <n v="0"/>
    <n v="0"/>
    <m/>
    <s v="4 - 20 mA"/>
    <m/>
  </r>
  <r>
    <s v="=CA1+MCP-M2"/>
    <m/>
    <m/>
    <x v="7"/>
    <s v="Spray Dryer 3rd Floor"/>
    <x v="5"/>
    <m/>
    <s v="Spray Dryer"/>
    <s v="TT-60212B"/>
    <m/>
    <m/>
    <n v="0"/>
    <s v="5th"/>
    <s v="325-01-600-PD-03"/>
    <s v="3-25-01-602-PD-03"/>
    <s v=" Bearing Temperature Transmitter for Main Supply Air Fan (FANS-21)"/>
    <s v="Require I/O DI= 0,DO=0,AI=1,AO=0,Bus=0"/>
    <s v="TT-60212B_AI_1"/>
    <x v="3"/>
    <n v="3"/>
    <n v="1"/>
    <s v="C2S07AI"/>
    <s v="C2S07AI13"/>
    <s v="C2S07,13"/>
    <s v="AI"/>
    <s v="Require I/O DI= 0,DO=0,AI=1,AO=0,Bus=0"/>
    <x v="2"/>
    <x v="7"/>
    <n v="13"/>
    <m/>
    <n v="0"/>
    <n v="0"/>
    <n v="1"/>
    <n v="0"/>
    <n v="0"/>
    <m/>
    <s v="4 - 20 mA"/>
    <m/>
  </r>
  <r>
    <s v="=CA1+MCP-M2"/>
    <m/>
    <m/>
    <x v="7"/>
    <s v="Spray Dryer 3rd Floor"/>
    <x v="5"/>
    <m/>
    <s v="Spray Dryer"/>
    <s v="TT-60214"/>
    <m/>
    <m/>
    <n v="0"/>
    <s v="5th"/>
    <s v="325-01-600-PD-03"/>
    <s v="3-25-01-602-PD-03"/>
    <s v="Steam Temperature Transmitter for Cold Air Duct (DTCA-23)"/>
    <s v="Require I/O DI= 0,DO=0,AI=1,AO=0,Bus=0"/>
    <s v="TT-60214_AI_1"/>
    <x v="3"/>
    <n v="3"/>
    <n v="1"/>
    <s v="C2S07AI"/>
    <s v="C2S07AI14"/>
    <s v="C2S07,14"/>
    <s v="AI"/>
    <s v="Require I/O DI= 0,DO=0,AI=1,AO=0,Bus=0"/>
    <x v="2"/>
    <x v="7"/>
    <n v="14"/>
    <m/>
    <n v="0"/>
    <n v="0"/>
    <n v="1"/>
    <n v="0"/>
    <n v="0"/>
    <m/>
    <s v="4 - 20 mA"/>
    <m/>
  </r>
  <r>
    <s v="=CA1+MCP-M2"/>
    <m/>
    <m/>
    <x v="7"/>
    <s v="Spray Dryer 3rd Floor"/>
    <x v="5"/>
    <m/>
    <s v="Spray Dryer"/>
    <s v="TT-60215A"/>
    <m/>
    <m/>
    <n v="0"/>
    <s v="5th"/>
    <s v="325-01-600-PD-03"/>
    <s v="3-25-01-602-PD-03"/>
    <s v="Liquid Temperature Transmitter for Heat Recovery (HXCR-21)"/>
    <s v="Require I/O DI= 0,DO=0,AI=1,AO=0,Bus=0"/>
    <s v="TT-60215A_AI_1"/>
    <x v="3"/>
    <n v="3"/>
    <n v="1"/>
    <s v="C2S07AI"/>
    <s v="C2S07AI15"/>
    <s v="C2S07,15"/>
    <s v="AI"/>
    <s v="Require I/O DI= 0,DO=0,AI=1,AO=0,Bus=0"/>
    <x v="2"/>
    <x v="7"/>
    <n v="15"/>
    <m/>
    <n v="0"/>
    <n v="0"/>
    <n v="1"/>
    <n v="0"/>
    <n v="0"/>
    <m/>
    <s v="4 - 20 mA"/>
    <m/>
  </r>
  <r>
    <s v="=CA1+MCP-M2"/>
    <m/>
    <m/>
    <x v="7"/>
    <s v="Spray Dryer 3rd Floor"/>
    <x v="5"/>
    <m/>
    <s v="Spray Dryer"/>
    <s v="TT-60215B"/>
    <m/>
    <m/>
    <n v="0"/>
    <s v="5th"/>
    <s v="325-01-600-PD-03"/>
    <s v="3-25-01-602-PD-03"/>
    <s v="Liquid Temperature Transmitter for Heat Recovery (HXCR-21)"/>
    <s v="Require I/O DI= 0,DO=0,AI=1,AO=0,Bus=0"/>
    <s v="TT-60215B_AI_1"/>
    <x v="3"/>
    <n v="3"/>
    <n v="1"/>
    <s v="C2S08AI"/>
    <s v="C2S08AI00"/>
    <s v="C2S08,00"/>
    <s v="AI"/>
    <s v="Require I/O DI= 0,DO=0,AI=1,AO=0,Bus=0"/>
    <x v="2"/>
    <x v="10"/>
    <n v="0"/>
    <m/>
    <n v="0"/>
    <n v="0"/>
    <n v="1"/>
    <n v="0"/>
    <n v="0"/>
    <m/>
    <s v="4 - 20 mA"/>
    <m/>
  </r>
  <r>
    <s v="=CA1+MCP-M2"/>
    <m/>
    <m/>
    <x v="7"/>
    <s v="Spray Dryer 3rd Floor"/>
    <x v="5"/>
    <m/>
    <s v="Spray Dryer"/>
    <s v="TT-60216"/>
    <m/>
    <m/>
    <n v="0"/>
    <s v="5th"/>
    <s v="325-01-600-PD-03"/>
    <s v="3-25-01-602-PD-03"/>
    <s v="Gas Temperature Transmitter for Combustion Air Burner Duct (DTCB-21)"/>
    <s v="Require I/O DI= 0,DO=0,AI=1,AO=0,Bus=0"/>
    <s v="TT-60216_AI_1"/>
    <x v="3"/>
    <n v="3"/>
    <n v="1"/>
    <s v="C2S08AI"/>
    <s v="C2S08AI01"/>
    <s v="C2S08,01"/>
    <s v="AI"/>
    <s v="Require I/O DI= 0,DO=0,AI=1,AO=0,Bus=0"/>
    <x v="2"/>
    <x v="10"/>
    <n v="1"/>
    <m/>
    <n v="0"/>
    <n v="0"/>
    <n v="1"/>
    <n v="0"/>
    <n v="0"/>
    <m/>
    <s v="4 - 20 mA"/>
    <m/>
  </r>
  <r>
    <s v="=CA1+MCP-M2"/>
    <m/>
    <m/>
    <x v="7"/>
    <s v="Spray Dryer 3rd Floor"/>
    <x v="5"/>
    <m/>
    <s v="Spray Dryer"/>
    <s v="TT-60240"/>
    <m/>
    <m/>
    <n v="0"/>
    <s v="5th"/>
    <s v="325-01-600-PD-05"/>
    <s v="3-25-01-602-PD-05"/>
    <s v="Gas Temperature Transmitter for Exhaust Fan (FANE-21)"/>
    <s v="Require I/O DI= 0,DO=0,AI=1,AO=0,Bus=0"/>
    <s v="TT-60240_AI_1"/>
    <x v="3"/>
    <n v="3"/>
    <n v="1"/>
    <s v="C2S08AI"/>
    <s v="C2S08AI02"/>
    <s v="C2S08,02"/>
    <s v="AI"/>
    <s v="Require I/O DI= 0,DO=0,AI=1,AO=0,Bus=0"/>
    <x v="2"/>
    <x v="10"/>
    <n v="2"/>
    <m/>
    <n v="0"/>
    <n v="0"/>
    <n v="1"/>
    <n v="0"/>
    <n v="0"/>
    <m/>
    <s v="4 - 20 mA"/>
    <m/>
  </r>
  <r>
    <s v="=CA1+MCP-M2"/>
    <m/>
    <m/>
    <x v="7"/>
    <s v="Spray Dryer 3rd Floor"/>
    <x v="5"/>
    <m/>
    <s v="Spray Dryer"/>
    <s v="TT-60241A"/>
    <m/>
    <m/>
    <n v="0"/>
    <s v="5th"/>
    <s v="325-01-600-PD-05"/>
    <s v="3-25-01-602-PD-05"/>
    <s v=" Bearing Temperature Transmitter for Main Exhaust Air Fan (FANE-21)"/>
    <s v="Require I/O DI= 0,DO=0,AI=1,AO=0,Bus=0"/>
    <s v="TT-60241A_AI_1"/>
    <x v="3"/>
    <n v="3"/>
    <n v="1"/>
    <s v="C2S08AI"/>
    <s v="C2S08AI03"/>
    <s v="C2S08,03"/>
    <s v="AI"/>
    <s v="Require I/O DI= 0,DO=0,AI=1,AO=0,Bus=0"/>
    <x v="2"/>
    <x v="10"/>
    <n v="3"/>
    <m/>
    <n v="0"/>
    <n v="0"/>
    <n v="1"/>
    <n v="0"/>
    <n v="0"/>
    <m/>
    <s v="4 - 20 mA"/>
    <m/>
  </r>
  <r>
    <s v="=CA1+MCP-M2"/>
    <m/>
    <m/>
    <x v="7"/>
    <s v="Spray Dryer 3rd Floor"/>
    <x v="5"/>
    <m/>
    <s v="Spray Dryer"/>
    <s v="TT-60241B"/>
    <m/>
    <m/>
    <n v="0"/>
    <s v="5th"/>
    <s v="325-01-600-PD-05"/>
    <s v="3-25-01-602-PD-05"/>
    <s v=" Bearing Temperature Transmitter for Main Exhaust Air Fan (FANE-21)"/>
    <s v="Require I/O DI= 0,DO=0,AI=1,AO=0,Bus=0"/>
    <s v="TT-60241B_AI_1"/>
    <x v="3"/>
    <n v="3"/>
    <n v="1"/>
    <s v="C2S08AI"/>
    <s v="C2S08AI04"/>
    <s v="C2S08,04"/>
    <s v="AI"/>
    <s v="Require I/O DI= 0,DO=0,AI=1,AO=0,Bus=0"/>
    <x v="2"/>
    <x v="10"/>
    <n v="4"/>
    <m/>
    <n v="0"/>
    <n v="0"/>
    <n v="1"/>
    <n v="0"/>
    <n v="0"/>
    <m/>
    <s v="4 - 20 mA"/>
    <m/>
  </r>
  <r>
    <s v="=CA1+MCP-M2"/>
    <m/>
    <m/>
    <x v="7"/>
    <s v="Spray Dryer 3rd Floor"/>
    <x v="5"/>
    <m/>
    <s v="Spray Dryer"/>
    <s v="TV-60202"/>
    <m/>
    <m/>
    <e v="#N/A"/>
    <s v="3rd"/>
    <s v="325-01-600-PD-07"/>
    <s v="3-25-01-602-PD-07"/>
    <e v="#N/A"/>
    <s v="Require I/O DI= 0,DO=0,AI=0,AO=1,Bus=0"/>
    <s v="TV-60202_AO_1"/>
    <x v="4"/>
    <n v="4"/>
    <n v="1"/>
    <s v="C2S11AO"/>
    <s v="C2S11AO01"/>
    <s v="C2S11,01"/>
    <s v="AO"/>
    <s v="Require I/O DI= 0,DO=0,AI=0,AO=1,Bus=0"/>
    <x v="2"/>
    <x v="11"/>
    <n v="1"/>
    <m/>
    <n v="0"/>
    <n v="0"/>
    <n v="0"/>
    <n v="1"/>
    <n v="0"/>
    <m/>
    <e v="#N/A"/>
    <m/>
  </r>
  <r>
    <s v="=CA1+MCP-M2"/>
    <m/>
    <m/>
    <x v="7"/>
    <s v="Spray Dryer 3rd Floor"/>
    <x v="5"/>
    <m/>
    <s v="Spray Dryer"/>
    <s v="TV-60214"/>
    <m/>
    <m/>
    <e v="#N/A"/>
    <s v="5th"/>
    <s v="325-01-600-PD-03"/>
    <s v="3-25-01-602-PD-03"/>
    <e v="#N/A"/>
    <s v="Require I/O DI= 0,DO=0,AI=0,AO=1,Bus=0"/>
    <s v="TV-60214_AO_1"/>
    <x v="4"/>
    <n v="4"/>
    <n v="1"/>
    <s v="C2S11AO"/>
    <s v="C2S11AO02"/>
    <s v="C2S11,02"/>
    <s v="AO"/>
    <s v="Require I/O DI= 0,DO=0,AI=0,AO=1,Bus=0"/>
    <x v="2"/>
    <x v="11"/>
    <n v="2"/>
    <m/>
    <n v="0"/>
    <n v="0"/>
    <n v="0"/>
    <n v="1"/>
    <n v="0"/>
    <m/>
    <e v="#N/A"/>
    <m/>
  </r>
  <r>
    <s v="=CA1+MCP-M2"/>
    <m/>
    <m/>
    <x v="7"/>
    <s v="Spray Dryer 3rd Floor"/>
    <x v="5"/>
    <m/>
    <s v="Spray Dryer"/>
    <s v="VT-60210A"/>
    <m/>
    <m/>
    <n v="0"/>
    <s v="5th"/>
    <s v="325-01-600-PD-03"/>
    <s v="3-25-01-602-PD-03"/>
    <s v=" Vibration Transmitter for Main Supply Air Fan (FANS-21)"/>
    <s v="Require I/O DI= 0,DO=0,AI=1,AO=0,Bus=0"/>
    <s v="VT-60210A_AI_1"/>
    <x v="3"/>
    <n v="3"/>
    <n v="1"/>
    <s v="C2S08AI"/>
    <s v="C2S08AI05"/>
    <s v="C2S08,05"/>
    <s v="AI"/>
    <s v="Require I/O DI= 0,DO=0,AI=1,AO=0,Bus=0"/>
    <x v="2"/>
    <x v="10"/>
    <n v="5"/>
    <m/>
    <n v="0"/>
    <n v="0"/>
    <n v="1"/>
    <n v="0"/>
    <n v="0"/>
    <m/>
    <s v="4 - 20 mA"/>
    <m/>
  </r>
  <r>
    <s v="=CA1+MCP-M2"/>
    <m/>
    <m/>
    <x v="7"/>
    <s v="Spray Dryer 3rd Floor"/>
    <x v="5"/>
    <m/>
    <s v="Spray Dryer"/>
    <s v="VT-60210B"/>
    <m/>
    <m/>
    <n v="0"/>
    <s v="5th"/>
    <s v="325-01-600-PD-03"/>
    <s v="3-25-01-602-PD-03"/>
    <s v=" Vibration Transmitter for Main Supply Air Fan (FANS-21)"/>
    <s v="Require I/O DI= 0,DO=0,AI=1,AO=0,Bus=0"/>
    <s v="VT-60210B_AI_1"/>
    <x v="3"/>
    <n v="3"/>
    <n v="1"/>
    <s v="C2S08AI"/>
    <s v="C2S08AI06"/>
    <s v="C2S08,06"/>
    <s v="AI"/>
    <s v="Require I/O DI= 0,DO=0,AI=1,AO=0,Bus=0"/>
    <x v="2"/>
    <x v="10"/>
    <n v="6"/>
    <m/>
    <n v="0"/>
    <n v="0"/>
    <n v="1"/>
    <n v="0"/>
    <n v="0"/>
    <m/>
    <s v="4 - 20 mA"/>
    <m/>
  </r>
  <r>
    <s v="=CA1+MCP-M2"/>
    <m/>
    <m/>
    <x v="7"/>
    <s v="Spray Dryer 3rd Floor"/>
    <x v="5"/>
    <m/>
    <s v="Spray Dryer"/>
    <s v="VT-60241A"/>
    <m/>
    <m/>
    <n v="0"/>
    <s v="5th"/>
    <s v="325-01-600-PD-05"/>
    <s v="3-25-01-602-PD-05"/>
    <s v=" Vibration Transmitter for Main Exhaust Air Fan (FANE-21)"/>
    <s v="Require I/O DI= 0,DO=0,AI=1,AO=0,Bus=0"/>
    <s v="VT-60241A_AI_1"/>
    <x v="3"/>
    <n v="3"/>
    <n v="1"/>
    <s v="C2S08AI"/>
    <s v="C2S08AI07"/>
    <s v="C2S08,07"/>
    <s v="AI"/>
    <s v="Require I/O DI= 0,DO=0,AI=1,AO=0,Bus=0"/>
    <x v="2"/>
    <x v="10"/>
    <n v="7"/>
    <m/>
    <n v="0"/>
    <n v="0"/>
    <n v="1"/>
    <n v="0"/>
    <n v="0"/>
    <m/>
    <s v="4 - 20 mA"/>
    <m/>
  </r>
  <r>
    <s v="=CA1+MCP-M2"/>
    <m/>
    <m/>
    <x v="7"/>
    <s v="Spray Dryer 3rd Floor"/>
    <x v="5"/>
    <m/>
    <s v="Spray Dryer"/>
    <s v="VT-60241B"/>
    <m/>
    <m/>
    <n v="0"/>
    <s v="5th"/>
    <s v="325-01-600-PD-05"/>
    <s v="3-25-01-602-PD-05"/>
    <s v=" Vibration Transmitter for Main Exhaust Air Fan (FANE-21)"/>
    <s v="Require I/O DI= 0,DO=0,AI=1,AO=0,Bus=0"/>
    <s v="VT-60241B_AI_1"/>
    <x v="3"/>
    <n v="3"/>
    <n v="1"/>
    <s v="C2S08AI"/>
    <s v="C2S08AI08"/>
    <s v="C2S08,08"/>
    <s v="AI"/>
    <s v="Require I/O DI= 0,DO=0,AI=1,AO=0,Bus=0"/>
    <x v="2"/>
    <x v="10"/>
    <n v="8"/>
    <m/>
    <n v="0"/>
    <n v="0"/>
    <n v="1"/>
    <n v="0"/>
    <n v="0"/>
    <m/>
    <s v="4 - 20 mA"/>
    <m/>
  </r>
  <r>
    <s v="=CA1+MCP-M2"/>
    <m/>
    <m/>
    <x v="7"/>
    <s v="Spray Dryer 3rd Floor"/>
    <x v="5"/>
    <m/>
    <s v="Spray Dryer"/>
    <s v="XA-60240A"/>
    <m/>
    <m/>
    <n v="0"/>
    <s v="4th"/>
    <s v="325-01-600-PD-05"/>
    <s v="-"/>
    <s v="Alarm 1 for BGHS-21 (Bag House Air Pulsing)"/>
    <s v="Require I/O DI= 1,DO=0,AI=0,AO=0,Bus=0"/>
    <s v="XA-60240A_DI_1"/>
    <x v="0"/>
    <n v="1"/>
    <n v="1"/>
    <s v="C2S02DI"/>
    <s v="C2S02DI11"/>
    <s v="C2S02,11"/>
    <s v="DI"/>
    <s v="Require I/O DI= 1,DO=0,AI=0,AO=0,Bus=0"/>
    <x v="2"/>
    <x v="0"/>
    <n v="11"/>
    <m/>
    <n v="1"/>
    <n v="0"/>
    <n v="0"/>
    <n v="0"/>
    <n v="0"/>
    <m/>
    <s v="Dry Contact"/>
    <m/>
  </r>
  <r>
    <s v="=CA1+MCP-M2"/>
    <m/>
    <m/>
    <x v="7"/>
    <s v="Spray Dryer 3rd Floor"/>
    <x v="5"/>
    <m/>
    <s v="Spray Dryer"/>
    <s v="XA-60240B"/>
    <m/>
    <m/>
    <n v="0"/>
    <s v="4th"/>
    <s v="325-01-600-PD-05"/>
    <s v="-"/>
    <s v="Alarm 2 for BGHS-21 (Bag House Air Pulsing)"/>
    <s v="Require I/O DI= 1,DO=0,AI=0,AO=0,Bus=0"/>
    <s v="XA-60240B_DI_1"/>
    <x v="0"/>
    <n v="1"/>
    <n v="1"/>
    <s v="C2S02DI"/>
    <s v="C2S02DI12"/>
    <s v="C2S02,12"/>
    <s v="DI"/>
    <s v="Require I/O DI= 1,DO=0,AI=0,AO=0,Bus=0"/>
    <x v="2"/>
    <x v="0"/>
    <n v="12"/>
    <m/>
    <n v="1"/>
    <n v="0"/>
    <n v="0"/>
    <n v="0"/>
    <n v="0"/>
    <m/>
    <s v="Dry Contact"/>
    <m/>
  </r>
  <r>
    <s v="=CA1+MCP-M2"/>
    <m/>
    <m/>
    <x v="7"/>
    <s v="Spray Dryer 3rd Floor"/>
    <x v="5"/>
    <m/>
    <s v="Spray Dryer"/>
    <s v="XA-60241A"/>
    <m/>
    <m/>
    <n v="0"/>
    <s v="4th"/>
    <s v="325-01-600-PD-05"/>
    <s v="-"/>
    <s v="Alarm 1 for BGHS-21 (Bag House Air Pulsing)"/>
    <s v="Require I/O DI= 1,DO=0,AI=0,AO=0,Bus=0"/>
    <s v="XA-60241A_DI_1"/>
    <x v="0"/>
    <n v="1"/>
    <n v="1"/>
    <s v="C2S02DI"/>
    <s v="C2S02DI13"/>
    <s v="C2S02,13"/>
    <s v="DI"/>
    <s v="Require I/O DI= 1,DO=0,AI=0,AO=0,Bus=0"/>
    <x v="2"/>
    <x v="0"/>
    <n v="13"/>
    <m/>
    <n v="1"/>
    <n v="0"/>
    <n v="0"/>
    <n v="0"/>
    <n v="0"/>
    <m/>
    <s v="Dry Contact"/>
    <m/>
  </r>
  <r>
    <s v="=CA1+MCP-M2"/>
    <m/>
    <m/>
    <x v="7"/>
    <s v="Spray Dryer 3rd Floor"/>
    <x v="5"/>
    <m/>
    <s v="Spray Dryer"/>
    <s v="XA-60241B"/>
    <m/>
    <m/>
    <n v="0"/>
    <s v="4th"/>
    <s v="325-01-600-PD-05"/>
    <s v="-"/>
    <s v="Alarm 2 for BGHS-21 (Bag House Air Pulsing)"/>
    <s v="Require I/O DI= 1,DO=0,AI=0,AO=0,Bus=0"/>
    <s v="XA-60241B_DI_1"/>
    <x v="0"/>
    <n v="1"/>
    <n v="1"/>
    <s v="C2S02DI"/>
    <s v="C2S02DI14"/>
    <s v="C2S02,14"/>
    <s v="DI"/>
    <s v="Require I/O DI= 1,DO=0,AI=0,AO=0,Bus=0"/>
    <x v="2"/>
    <x v="0"/>
    <n v="14"/>
    <m/>
    <n v="1"/>
    <n v="0"/>
    <n v="0"/>
    <n v="0"/>
    <n v="0"/>
    <m/>
    <s v="Dry Contact"/>
    <m/>
  </r>
  <r>
    <s v="=CA1+MCP-M2"/>
    <m/>
    <m/>
    <x v="7"/>
    <s v="Spray Dryer 3rd Floor"/>
    <x v="5"/>
    <m/>
    <s v="Spray Dryer"/>
    <s v="XA-60242A"/>
    <m/>
    <m/>
    <n v="0"/>
    <s v="3rd"/>
    <s v="325-01-600-PD-05"/>
    <s v="-"/>
    <s v="Alarm 1 for BGHS-21 (Bag House Air Pulsing)"/>
    <s v="Require I/O DI= 1,DO=0,AI=0,AO=0,Bus=0"/>
    <s v="XA-60242A_DI_1"/>
    <x v="0"/>
    <n v="1"/>
    <n v="1"/>
    <s v="C2S02DI"/>
    <s v="C2S02DI15"/>
    <s v="C2S02,15"/>
    <s v="DI"/>
    <s v="Require I/O DI= 1,DO=0,AI=0,AO=0,Bus=0"/>
    <x v="2"/>
    <x v="0"/>
    <n v="15"/>
    <m/>
    <n v="1"/>
    <n v="0"/>
    <n v="0"/>
    <n v="0"/>
    <n v="0"/>
    <m/>
    <s v="Dry Contact"/>
    <m/>
  </r>
  <r>
    <s v="=CA1+MCP-M2"/>
    <m/>
    <m/>
    <x v="7"/>
    <s v="Spray Dryer 3rd Floor"/>
    <x v="5"/>
    <m/>
    <s v="Spray Dryer"/>
    <s v="XA-60242B"/>
    <m/>
    <m/>
    <n v="0"/>
    <s v="3rd"/>
    <s v="325-01-600-PD-05"/>
    <s v="-"/>
    <s v="Alarm 2 for BGHS-21 (Bag House Air Pulsing)"/>
    <s v="Require I/O DI= 1,DO=0,AI=0,AO=0,Bus=0"/>
    <s v="XA-60242B_DI_1"/>
    <x v="0"/>
    <n v="1"/>
    <n v="1"/>
    <s v="C2S02DI"/>
    <s v="C2S02DI16"/>
    <s v="C2S02,16"/>
    <s v="DI"/>
    <s v="Require I/O DI= 1,DO=0,AI=0,AO=0,Bus=0"/>
    <x v="2"/>
    <x v="0"/>
    <n v="16"/>
    <m/>
    <n v="1"/>
    <n v="0"/>
    <n v="0"/>
    <n v="0"/>
    <n v="0"/>
    <m/>
    <s v="Dry Contact"/>
    <m/>
  </r>
  <r>
    <s v="=CA1+MCP-M2"/>
    <m/>
    <m/>
    <x v="7"/>
    <s v="Spray Dryer 3rd Floor"/>
    <x v="5"/>
    <m/>
    <s v="Spray Dryer"/>
    <s v="XA-60243A"/>
    <m/>
    <m/>
    <n v="0"/>
    <s v="4th"/>
    <s v="325-01-600-PD-05"/>
    <s v="-"/>
    <s v="Alarm 1 for BGHS-21 (Bag House Air Pulsing)"/>
    <s v="Require I/O DI= 1,DO=0,AI=0,AO=0,Bus=0"/>
    <s v="XA-60243A_DI_1"/>
    <x v="0"/>
    <n v="1"/>
    <n v="1"/>
    <s v="C2S02DI"/>
    <s v="C2S02DI17"/>
    <s v="C2S02,17"/>
    <s v="DI"/>
    <s v="Require I/O DI= 1,DO=0,AI=0,AO=0,Bus=0"/>
    <x v="2"/>
    <x v="0"/>
    <n v="17"/>
    <m/>
    <n v="1"/>
    <n v="0"/>
    <n v="0"/>
    <n v="0"/>
    <n v="0"/>
    <m/>
    <s v="Dry Contact"/>
    <m/>
  </r>
  <r>
    <s v="=CA1+MCP-M2"/>
    <m/>
    <m/>
    <x v="7"/>
    <s v="Spray Dryer 3rd Floor"/>
    <x v="5"/>
    <m/>
    <s v="Spray Dryer"/>
    <s v="XA-60243B"/>
    <m/>
    <m/>
    <n v="0"/>
    <s v="4th"/>
    <s v="325-01-600-PD-05"/>
    <s v="-"/>
    <s v="Alarm 2 for BGHS-21 (Bag House Air Pulsing)"/>
    <s v="Require I/O DI= 1,DO=0,AI=0,AO=0,Bus=0"/>
    <s v="XA-60243B_DI_1"/>
    <x v="0"/>
    <n v="1"/>
    <n v="1"/>
    <s v="C2S02DI"/>
    <s v="C2S02DI18"/>
    <s v="C2S02,18"/>
    <s v="DI"/>
    <s v="Require I/O DI= 1,DO=0,AI=0,AO=0,Bus=0"/>
    <x v="2"/>
    <x v="0"/>
    <n v="18"/>
    <m/>
    <n v="1"/>
    <n v="0"/>
    <n v="0"/>
    <n v="0"/>
    <n v="0"/>
    <m/>
    <s v="Dry Contact"/>
    <m/>
  </r>
  <r>
    <s v="=CA1+MCP-M2"/>
    <m/>
    <m/>
    <x v="7"/>
    <s v="Spray Dryer 3rd Floor"/>
    <x v="5"/>
    <m/>
    <s v="Spray Dryer"/>
    <s v="XS-60240B"/>
    <m/>
    <m/>
    <n v="0"/>
    <s v="4th"/>
    <s v="325-01-600-PD-05"/>
    <s v="-"/>
    <s v=" Fan Command for BGHS-21 (Bag House Air Pulsing)"/>
    <s v="Require I/O DI= 0,DO=1,AI=0,AO=0,Bus=0"/>
    <s v="XS-60240B_DO_1"/>
    <x v="1"/>
    <n v="2"/>
    <n v="1"/>
    <s v="C2S03DO"/>
    <s v="C2S03DO16"/>
    <s v="C2S03,16"/>
    <s v="DO"/>
    <s v="Require I/O DI= 0,DO=1,AI=0,AO=0,Bus=0"/>
    <x v="2"/>
    <x v="1"/>
    <n v="16"/>
    <m/>
    <n v="0"/>
    <n v="1"/>
    <n v="0"/>
    <n v="0"/>
    <n v="0"/>
    <m/>
    <s v="Dry Contact"/>
    <m/>
  </r>
  <r>
    <s v="=CA1+MCP-M2"/>
    <m/>
    <m/>
    <x v="7"/>
    <s v="Spray Dryer 3rd Floor"/>
    <x v="5"/>
    <m/>
    <s v="Spray Dryer"/>
    <s v="XV-60214"/>
    <n v="1"/>
    <m/>
    <n v="0"/>
    <s v="5th"/>
    <s v="325-01-600-PD-03"/>
    <s v="3-25-01-602-PD-03"/>
    <s v="Steam feed to Spray dryer "/>
    <s v="Require I/O DI= 2,DO=1,AI=0,AO=0,Bus=0"/>
    <s v="XV-60214_DO_1"/>
    <x v="1"/>
    <n v="2"/>
    <n v="1"/>
    <s v="C2S03DO"/>
    <s v="C2S03DO17"/>
    <s v="C2S03,17"/>
    <s v="DO"/>
    <s v="Require I/O DI= 2,DO=1,AI=0,AO=0,Bus=0"/>
    <x v="2"/>
    <x v="1"/>
    <n v="17"/>
    <m/>
    <n v="2"/>
    <n v="1"/>
    <n v="0"/>
    <n v="0"/>
    <n v="0"/>
    <m/>
    <s v="24 VDC energized"/>
    <m/>
  </r>
  <r>
    <s v="=CA1+MCP-M2"/>
    <m/>
    <m/>
    <x v="7"/>
    <s v="Spray Dryer 3rd Floor"/>
    <x v="5"/>
    <m/>
    <s v="Spray Dryer"/>
    <s v="XV-60241"/>
    <n v="1"/>
    <m/>
    <n v="0"/>
    <s v="5th"/>
    <s v="325-01-600-PD-05"/>
    <s v="3-25-01-602-PD-05"/>
    <s v="Gas On/Off Valve for Bag House Isolation Damper (DMPR-22)"/>
    <s v="Require I/O DI= 2,DO=1,AI=0,AO=0,Bus=0"/>
    <s v="XV-60241_DO_1"/>
    <x v="1"/>
    <n v="2"/>
    <n v="1"/>
    <s v="C2S03DO"/>
    <s v="C2S03DO18"/>
    <s v="C2S03,18"/>
    <s v="DO"/>
    <s v="Require I/O DI= 2,DO=1,AI=0,AO=0,Bus=0"/>
    <x v="2"/>
    <x v="1"/>
    <n v="18"/>
    <m/>
    <n v="2"/>
    <n v="1"/>
    <n v="0"/>
    <n v="0"/>
    <n v="0"/>
    <m/>
    <s v="24 VDC energized,Dry Contact"/>
    <m/>
  </r>
  <r>
    <s v="=CA1+MCP-M2"/>
    <m/>
    <m/>
    <x v="1"/>
    <s v="Spray Dryer 7th Floor"/>
    <x v="8"/>
    <m/>
    <m/>
    <n v="0"/>
    <m/>
    <m/>
    <n v="0"/>
    <m/>
    <m/>
    <m/>
    <s v="Lototo-01"/>
    <s v="Require I/O DI= 0,DO=0,AI=0,AO=0,Bus=0"/>
    <s v="0_DO_"/>
    <x v="1"/>
    <n v="2"/>
    <m/>
    <s v="C2S05DO"/>
    <s v="C2S05DO09"/>
    <s v="C2S05,09"/>
    <s v="DO"/>
    <s v="Require I/O DI= 0,DO=0,AI=0,AO=0,Bus=0"/>
    <x v="2"/>
    <x v="5"/>
    <n v="9"/>
    <m/>
    <n v="0"/>
    <n v="0"/>
    <n v="0"/>
    <n v="0"/>
    <n v="0"/>
    <m/>
    <s v="Dry Contact"/>
    <m/>
  </r>
  <r>
    <s v="=CA1+MCP-M2"/>
    <m/>
    <m/>
    <x v="1"/>
    <s v="Spray Dryer 7th Floor"/>
    <x v="8"/>
    <m/>
    <m/>
    <n v="0"/>
    <m/>
    <m/>
    <n v="0"/>
    <m/>
    <m/>
    <m/>
    <s v="Lototo-01"/>
    <s v="Require I/O DI= 0,DO=0,AI=0,AO=0,Bus=0"/>
    <s v="0_DO_"/>
    <x v="1"/>
    <n v="2"/>
    <m/>
    <s v="C2S05DO"/>
    <s v="C2S05DO10"/>
    <s v="C2S05,10"/>
    <s v="DO"/>
    <s v="Require I/O DI= 0,DO=0,AI=0,AO=0,Bus=0"/>
    <x v="2"/>
    <x v="5"/>
    <n v="10"/>
    <m/>
    <n v="0"/>
    <n v="0"/>
    <n v="0"/>
    <n v="0"/>
    <n v="0"/>
    <m/>
    <s v="Dry Contact"/>
    <m/>
  </r>
  <r>
    <s v="=CA1+MCP-M2"/>
    <m/>
    <m/>
    <x v="1"/>
    <s v="Spray Dryer 7th Floor"/>
    <x v="8"/>
    <m/>
    <m/>
    <n v="0"/>
    <m/>
    <m/>
    <n v="0"/>
    <m/>
    <m/>
    <m/>
    <s v="Lototo-01"/>
    <s v="Require I/O DI= 0,DO=0,AI=0,AO=0,Bus=0"/>
    <s v="0_DO_"/>
    <x v="1"/>
    <n v="2"/>
    <m/>
    <s v="C2S05DO"/>
    <s v="C2S05DO11"/>
    <s v="C2S05,11"/>
    <s v="DO"/>
    <s v="Require I/O DI= 0,DO=0,AI=0,AO=0,Bus=0"/>
    <x v="2"/>
    <x v="5"/>
    <n v="11"/>
    <m/>
    <n v="0"/>
    <n v="0"/>
    <n v="0"/>
    <n v="0"/>
    <n v="0"/>
    <m/>
    <s v="Dry Contact"/>
    <m/>
  </r>
  <r>
    <s v="=CA1+MCP-M2"/>
    <m/>
    <m/>
    <x v="1"/>
    <s v="Spray Dryer 7th Floor"/>
    <x v="8"/>
    <m/>
    <m/>
    <n v="0"/>
    <m/>
    <m/>
    <n v="0"/>
    <m/>
    <m/>
    <m/>
    <s v="Lototo-01"/>
    <s v="Require I/O DI= 0,DO=0,AI=0,AO=0,Bus=0"/>
    <s v="0_DO_"/>
    <x v="1"/>
    <n v="2"/>
    <m/>
    <s v="C2S05DO"/>
    <s v="C2S05DO12"/>
    <s v="C2S05,12"/>
    <s v="DO"/>
    <s v="Require I/O DI= 0,DO=0,AI=0,AO=0,Bus=0"/>
    <x v="2"/>
    <x v="5"/>
    <n v="12"/>
    <m/>
    <n v="0"/>
    <n v="0"/>
    <n v="0"/>
    <n v="0"/>
    <n v="0"/>
    <m/>
    <s v="Dry Contact"/>
    <m/>
  </r>
  <r>
    <s v="=CA1+MCP-M2"/>
    <m/>
    <m/>
    <x v="1"/>
    <s v="Spray Dryer 7th Floor"/>
    <x v="8"/>
    <m/>
    <m/>
    <n v="0"/>
    <m/>
    <m/>
    <n v="0"/>
    <m/>
    <m/>
    <m/>
    <s v="Lototo-01"/>
    <s v="Require I/O DI= 0,DO=0,AI=0,AO=0,Bus=0"/>
    <s v="0_DO_"/>
    <x v="1"/>
    <n v="2"/>
    <m/>
    <s v="C2S05DO"/>
    <s v="C2S05DO13"/>
    <s v="C2S05,13"/>
    <s v="DO"/>
    <s v="Require I/O DI= 0,DO=0,AI=0,AO=0,Bus=0"/>
    <x v="2"/>
    <x v="5"/>
    <n v="13"/>
    <m/>
    <n v="0"/>
    <n v="0"/>
    <n v="0"/>
    <n v="0"/>
    <n v="0"/>
    <m/>
    <s v="Dry Contact"/>
    <m/>
  </r>
  <r>
    <s v="=CA1+MCP-M2"/>
    <m/>
    <m/>
    <x v="1"/>
    <s v="Spray Dryer 7th Floor"/>
    <x v="8"/>
    <m/>
    <m/>
    <n v="0"/>
    <m/>
    <m/>
    <n v="0"/>
    <m/>
    <m/>
    <m/>
    <s v="Lototo-01"/>
    <s v="Require I/O DI= 0,DO=0,AI=0,AO=0,Bus=0"/>
    <s v="0_DO_"/>
    <x v="1"/>
    <n v="2"/>
    <m/>
    <s v="C2S05DO"/>
    <s v="C2S05DO14"/>
    <s v="C2S05,14"/>
    <s v="DO"/>
    <s v="Require I/O DI= 0,DO=0,AI=0,AO=0,Bus=0"/>
    <x v="2"/>
    <x v="5"/>
    <n v="14"/>
    <m/>
    <n v="0"/>
    <n v="0"/>
    <n v="0"/>
    <n v="0"/>
    <n v="0"/>
    <m/>
    <s v="Dry Contact"/>
    <m/>
  </r>
  <r>
    <s v="=CA1+MCP-M2"/>
    <m/>
    <m/>
    <x v="1"/>
    <s v="Spray Dryer 7th Floor"/>
    <x v="8"/>
    <m/>
    <m/>
    <n v="0"/>
    <m/>
    <m/>
    <n v="0"/>
    <m/>
    <m/>
    <m/>
    <s v="Lototo-01"/>
    <s v="Require I/O DI= 0,DO=0,AI=0,AO=0,Bus=0"/>
    <s v="0_DO_"/>
    <x v="1"/>
    <n v="2"/>
    <m/>
    <s v="C2S05DO"/>
    <s v="C2S05DO15"/>
    <s v="C2S05,15"/>
    <s v="DO"/>
    <s v="Require I/O DI= 0,DO=0,AI=0,AO=0,Bus=0"/>
    <x v="2"/>
    <x v="5"/>
    <n v="15"/>
    <m/>
    <n v="0"/>
    <n v="0"/>
    <n v="0"/>
    <n v="0"/>
    <n v="0"/>
    <m/>
    <s v="Dry Contact"/>
    <m/>
  </r>
  <r>
    <s v="=CA1+MCP-M2"/>
    <m/>
    <m/>
    <x v="1"/>
    <s v="Spray Dryer 7th Floor"/>
    <x v="8"/>
    <m/>
    <m/>
    <n v="0"/>
    <m/>
    <m/>
    <n v="0"/>
    <m/>
    <m/>
    <m/>
    <s v="Lototo-01"/>
    <s v="Require I/O DI= 0,DO=0,AI=0,AO=0,Bus=0"/>
    <s v="0_DO_"/>
    <x v="1"/>
    <n v="2"/>
    <m/>
    <s v="C2S05DO"/>
    <s v="C2S05DO16"/>
    <s v="C2S05,16"/>
    <s v="DO"/>
    <s v="Require I/O DI= 0,DO=0,AI=0,AO=0,Bus=0"/>
    <x v="2"/>
    <x v="5"/>
    <n v="16"/>
    <m/>
    <n v="0"/>
    <n v="0"/>
    <n v="0"/>
    <n v="0"/>
    <n v="0"/>
    <m/>
    <s v="Dry Contact"/>
    <m/>
  </r>
  <r>
    <s v="=CA1+MCP-M2"/>
    <m/>
    <m/>
    <x v="1"/>
    <s v="Spray Dryer 7th Floor"/>
    <x v="8"/>
    <m/>
    <m/>
    <n v="0"/>
    <m/>
    <m/>
    <n v="0"/>
    <m/>
    <m/>
    <m/>
    <s v="Lototo-01"/>
    <s v="Require I/O DI= 0,DO=0,AI=0,AO=0,Bus=0"/>
    <s v="0_DO_"/>
    <x v="1"/>
    <n v="2"/>
    <m/>
    <s v="C2S05DO"/>
    <s v="C2S05DO17"/>
    <s v="C2S05,17"/>
    <s v="DO"/>
    <s v="Require I/O DI= 0,DO=0,AI=0,AO=0,Bus=0"/>
    <x v="2"/>
    <x v="5"/>
    <n v="17"/>
    <m/>
    <n v="0"/>
    <n v="0"/>
    <n v="0"/>
    <n v="0"/>
    <n v="0"/>
    <m/>
    <s v="Dry Contact"/>
    <m/>
  </r>
  <r>
    <s v="=CA1+MCP-M2"/>
    <m/>
    <m/>
    <x v="1"/>
    <s v="Spray Dryer 7th Floor"/>
    <x v="8"/>
    <m/>
    <m/>
    <n v="0"/>
    <m/>
    <m/>
    <n v="0"/>
    <m/>
    <m/>
    <m/>
    <s v="Lototo-01"/>
    <s v="Require I/O DI= 0,DO=0,AI=0,AO=0,Bus=0"/>
    <s v="0_DO_"/>
    <x v="1"/>
    <n v="2"/>
    <m/>
    <s v="C2S05DO"/>
    <s v="C2S05DO18"/>
    <s v="C2S05,18"/>
    <s v="DO"/>
    <s v="Require I/O DI= 0,DO=0,AI=0,AO=0,Bus=0"/>
    <x v="2"/>
    <x v="5"/>
    <n v="18"/>
    <m/>
    <n v="0"/>
    <n v="0"/>
    <n v="0"/>
    <n v="0"/>
    <n v="0"/>
    <m/>
    <s v="Dry Contact"/>
    <m/>
  </r>
  <r>
    <s v="=CA1+MCP-M2"/>
    <m/>
    <m/>
    <x v="1"/>
    <s v="Spray Dryer 7th Floor"/>
    <x v="8"/>
    <m/>
    <m/>
    <n v="0"/>
    <m/>
    <m/>
    <n v="0"/>
    <m/>
    <m/>
    <m/>
    <s v="Lototo-01"/>
    <s v="Require I/O DI= 0,DO=0,AI=0,AO=0,Bus=0"/>
    <s v="0_DO_"/>
    <x v="1"/>
    <n v="2"/>
    <m/>
    <s v="C2S05DO"/>
    <s v="C2S05DO19"/>
    <s v="C2S05,19"/>
    <s v="DO"/>
    <s v="Require I/O DI= 0,DO=0,AI=0,AO=0,Bus=0"/>
    <x v="2"/>
    <x v="5"/>
    <n v="19"/>
    <m/>
    <n v="0"/>
    <n v="0"/>
    <n v="0"/>
    <n v="0"/>
    <n v="0"/>
    <m/>
    <s v="Dry Contact"/>
    <m/>
  </r>
  <r>
    <s v="=CA1+MCP-M2"/>
    <m/>
    <m/>
    <x v="1"/>
    <s v="Spray Dryer 7th Floor"/>
    <x v="8"/>
    <m/>
    <m/>
    <n v="0"/>
    <m/>
    <m/>
    <n v="0"/>
    <m/>
    <m/>
    <m/>
    <s v="Lototo-01"/>
    <s v="Require I/O DI= 0,DO=0,AI=0,AO=0,Bus=0"/>
    <s v="0_DO_"/>
    <x v="1"/>
    <n v="2"/>
    <m/>
    <s v="C2S05DO"/>
    <s v="C2S05DO20"/>
    <s v="C2S05,20"/>
    <s v="DO"/>
    <s v="Require I/O DI= 0,DO=0,AI=0,AO=0,Bus=0"/>
    <x v="2"/>
    <x v="5"/>
    <n v="20"/>
    <m/>
    <n v="0"/>
    <n v="0"/>
    <n v="0"/>
    <n v="0"/>
    <n v="0"/>
    <m/>
    <s v="Dry Contact"/>
    <m/>
  </r>
  <r>
    <s v="=CA1+MCP-M2"/>
    <m/>
    <m/>
    <x v="1"/>
    <s v="Spray Dryer 7th Floor"/>
    <x v="8"/>
    <m/>
    <m/>
    <n v="0"/>
    <m/>
    <m/>
    <n v="0"/>
    <m/>
    <m/>
    <m/>
    <s v="Lototo-01"/>
    <s v="Require I/O DI= 0,DO=0,AI=0,AO=0,Bus=0"/>
    <s v="0_DO_"/>
    <x v="1"/>
    <n v="2"/>
    <m/>
    <s v="C2S05DO"/>
    <s v="C2S05DO21"/>
    <s v="C2S05,21"/>
    <s v="DO"/>
    <s v="Require I/O DI= 0,DO=0,AI=0,AO=0,Bus=0"/>
    <x v="2"/>
    <x v="5"/>
    <n v="21"/>
    <m/>
    <n v="0"/>
    <n v="0"/>
    <n v="0"/>
    <n v="0"/>
    <n v="0"/>
    <m/>
    <s v="Dry Contact"/>
    <m/>
  </r>
  <r>
    <s v="=CA1+MCP-M2"/>
    <m/>
    <m/>
    <x v="1"/>
    <s v="Spray Dryer 7th Floor"/>
    <x v="8"/>
    <m/>
    <m/>
    <n v="0"/>
    <m/>
    <m/>
    <n v="0"/>
    <m/>
    <m/>
    <m/>
    <s v="Lototo-01"/>
    <s v="Require I/O DI= 0,DO=0,AI=0,AO=0,Bus=0"/>
    <s v="0_DO_"/>
    <x v="1"/>
    <n v="2"/>
    <m/>
    <s v="C2S05DO"/>
    <s v="C2S05DO22"/>
    <s v="C2S05,22"/>
    <s v="DO"/>
    <s v="Require I/O DI= 0,DO=0,AI=0,AO=0,Bus=0"/>
    <x v="2"/>
    <x v="5"/>
    <n v="22"/>
    <m/>
    <n v="0"/>
    <n v="0"/>
    <n v="0"/>
    <n v="0"/>
    <n v="0"/>
    <m/>
    <s v="Dry Contact"/>
    <m/>
  </r>
  <r>
    <s v="=CA1+MCP-M2"/>
    <m/>
    <m/>
    <x v="1"/>
    <s v="Spray Dryer 7th Floor"/>
    <x v="8"/>
    <m/>
    <m/>
    <n v="0"/>
    <m/>
    <m/>
    <n v="0"/>
    <m/>
    <m/>
    <m/>
    <s v="Lototo-01"/>
    <s v="Require I/O DI= 0,DO=0,AI=0,AO=0,Bus=0"/>
    <s v="0_DO_"/>
    <x v="1"/>
    <n v="2"/>
    <m/>
    <s v="C2S05DO"/>
    <s v="C2S05DO23"/>
    <s v="C2S05,23"/>
    <s v="DO"/>
    <s v="Require I/O DI= 0,DO=0,AI=0,AO=0,Bus=0"/>
    <x v="2"/>
    <x v="5"/>
    <n v="23"/>
    <m/>
    <n v="0"/>
    <n v="0"/>
    <n v="0"/>
    <n v="0"/>
    <n v="0"/>
    <m/>
    <s v="Dry Contact"/>
    <m/>
  </r>
  <r>
    <s v="=CA1+MCP-M2"/>
    <m/>
    <m/>
    <x v="1"/>
    <s v="Spray Dryer 7th Floor"/>
    <x v="8"/>
    <m/>
    <m/>
    <n v="0"/>
    <m/>
    <m/>
    <n v="0"/>
    <m/>
    <m/>
    <m/>
    <s v="Lototo-01"/>
    <s v="Require I/O DI= 0,DO=0,AI=0,AO=0,Bus=0"/>
    <s v="0_DO_"/>
    <x v="1"/>
    <n v="2"/>
    <m/>
    <s v="C2S05DO"/>
    <s v="C2S05DO24"/>
    <s v="C2S05,24"/>
    <s v="DO"/>
    <s v="Require I/O DI= 0,DO=0,AI=0,AO=0,Bus=0"/>
    <x v="2"/>
    <x v="5"/>
    <n v="24"/>
    <m/>
    <n v="0"/>
    <n v="0"/>
    <n v="0"/>
    <n v="0"/>
    <n v="0"/>
    <m/>
    <s v="Dry Contact"/>
    <m/>
  </r>
  <r>
    <s v="=CA1+MCP-M2"/>
    <m/>
    <m/>
    <x v="1"/>
    <s v="Spray Dryer 7th Floor"/>
    <x v="8"/>
    <m/>
    <m/>
    <n v="0"/>
    <m/>
    <m/>
    <n v="0"/>
    <m/>
    <m/>
    <m/>
    <s v="Lototo-01"/>
    <s v="Require I/O DI= 0,DO=0,AI=0,AO=0,Bus=0"/>
    <s v="0_DO_"/>
    <x v="1"/>
    <n v="2"/>
    <m/>
    <s v="C2S05DO"/>
    <s v="C2S05DO25"/>
    <s v="C2S05,25"/>
    <s v="DO"/>
    <s v="Require I/O DI= 0,DO=0,AI=0,AO=0,Bus=0"/>
    <x v="2"/>
    <x v="5"/>
    <n v="25"/>
    <m/>
    <n v="0"/>
    <n v="0"/>
    <n v="0"/>
    <n v="0"/>
    <n v="0"/>
    <m/>
    <s v="Dry Contact"/>
    <m/>
  </r>
  <r>
    <s v="=CA1+MCP-M2"/>
    <m/>
    <m/>
    <x v="1"/>
    <s v="Spray Dryer 7th Floor"/>
    <x v="8"/>
    <m/>
    <m/>
    <n v="0"/>
    <m/>
    <m/>
    <n v="0"/>
    <m/>
    <m/>
    <m/>
    <s v="Lototo-01"/>
    <s v="Require I/O DI= 0,DO=0,AI=0,AO=0,Bus=0"/>
    <s v="0_DO_"/>
    <x v="1"/>
    <n v="2"/>
    <m/>
    <s v="C2S05DO"/>
    <s v="C2S05DO26"/>
    <s v="C2S05,26"/>
    <s v="DO"/>
    <s v="Require I/O DI= 0,DO=0,AI=0,AO=0,Bus=0"/>
    <x v="2"/>
    <x v="5"/>
    <n v="26"/>
    <m/>
    <n v="0"/>
    <n v="0"/>
    <n v="0"/>
    <n v="0"/>
    <n v="0"/>
    <m/>
    <s v="Dry Contact"/>
    <m/>
  </r>
  <r>
    <s v="=CA1+MCP-M2"/>
    <m/>
    <m/>
    <x v="1"/>
    <s v="Spray Dryer 7th Floor"/>
    <x v="8"/>
    <m/>
    <m/>
    <n v="0"/>
    <m/>
    <m/>
    <n v="0"/>
    <m/>
    <m/>
    <m/>
    <s v="Lototo-01"/>
    <s v="Require I/O DI= 0,DO=0,AI=0,AO=0,Bus=0"/>
    <s v="0_DO_"/>
    <x v="1"/>
    <n v="2"/>
    <m/>
    <s v="C2S05DO"/>
    <s v="C2S05DO27"/>
    <s v="C2S05,27"/>
    <s v="DO"/>
    <s v="Require I/O DI= 0,DO=0,AI=0,AO=0,Bus=0"/>
    <x v="2"/>
    <x v="5"/>
    <n v="27"/>
    <m/>
    <n v="0"/>
    <n v="0"/>
    <n v="0"/>
    <n v="0"/>
    <n v="0"/>
    <m/>
    <s v="Dry Contact"/>
    <m/>
  </r>
  <r>
    <s v="=CA1+MCP-M2"/>
    <m/>
    <m/>
    <x v="1"/>
    <s v="Spray Dryer 7th Floor"/>
    <x v="8"/>
    <m/>
    <m/>
    <n v="0"/>
    <m/>
    <m/>
    <n v="0"/>
    <m/>
    <m/>
    <m/>
    <s v="Lototo-01"/>
    <s v="Require I/O DI= 0,DO=0,AI=0,AO=0,Bus=0"/>
    <s v="0_DO_"/>
    <x v="1"/>
    <n v="2"/>
    <m/>
    <s v="C2S05DO"/>
    <s v="C2S05DO28"/>
    <s v="C2S05,28"/>
    <s v="DO"/>
    <s v="Require I/O DI= 0,DO=0,AI=0,AO=0,Bus=0"/>
    <x v="2"/>
    <x v="5"/>
    <n v="28"/>
    <m/>
    <n v="0"/>
    <n v="0"/>
    <n v="0"/>
    <n v="0"/>
    <n v="0"/>
    <m/>
    <s v="Dry Contact"/>
    <m/>
  </r>
  <r>
    <s v="=CA1+MCP-M2"/>
    <m/>
    <m/>
    <x v="1"/>
    <s v="Spray Dryer 7th Floor"/>
    <x v="8"/>
    <m/>
    <m/>
    <n v="0"/>
    <m/>
    <m/>
    <n v="0"/>
    <m/>
    <m/>
    <m/>
    <s v="Lototo-01"/>
    <s v="Require I/O DI= 0,DO=0,AI=0,AO=0,Bus=0"/>
    <s v="0_DO_"/>
    <x v="1"/>
    <n v="2"/>
    <m/>
    <s v="C2S05DO"/>
    <s v="C2S05DO29"/>
    <s v="C2S05,29"/>
    <s v="DO"/>
    <s v="Require I/O DI= 0,DO=0,AI=0,AO=0,Bus=0"/>
    <x v="2"/>
    <x v="5"/>
    <n v="29"/>
    <m/>
    <n v="0"/>
    <n v="0"/>
    <n v="0"/>
    <n v="0"/>
    <n v="0"/>
    <m/>
    <s v="Dry Contact"/>
    <m/>
  </r>
  <r>
    <s v="=CA1+MCP-M2"/>
    <m/>
    <m/>
    <x v="1"/>
    <s v="Spray Dryer 7th Floor"/>
    <x v="8"/>
    <m/>
    <m/>
    <n v="0"/>
    <m/>
    <m/>
    <n v="0"/>
    <m/>
    <m/>
    <m/>
    <s v="Lototo-01"/>
    <s v="Require I/O DI= 0,DO=0,AI=0,AO=0,Bus=0"/>
    <s v="0_DO_"/>
    <x v="1"/>
    <n v="2"/>
    <m/>
    <s v="C2S05DO"/>
    <s v="C2S05DO30"/>
    <s v="C2S05,30"/>
    <s v="DO"/>
    <s v="Require I/O DI= 0,DO=0,AI=0,AO=0,Bus=0"/>
    <x v="2"/>
    <x v="5"/>
    <n v="30"/>
    <m/>
    <n v="0"/>
    <n v="0"/>
    <n v="0"/>
    <n v="0"/>
    <n v="0"/>
    <m/>
    <s v="Dry Contact"/>
    <m/>
  </r>
  <r>
    <s v="=CA1+MCP-M2"/>
    <m/>
    <m/>
    <x v="1"/>
    <s v="Spray Dryer 7th Floor"/>
    <x v="8"/>
    <m/>
    <m/>
    <n v="0"/>
    <m/>
    <m/>
    <n v="0"/>
    <m/>
    <m/>
    <m/>
    <s v="Lototo-01"/>
    <s v="Require I/O DI= 0,DO=0,AI=0,AO=0,Bus=0"/>
    <s v="0_DO_"/>
    <x v="1"/>
    <n v="2"/>
    <m/>
    <s v="C2S05DO"/>
    <s v="C2S05DO31"/>
    <s v="C2S05,31"/>
    <s v="DO"/>
    <s v="Require I/O DI= 0,DO=0,AI=0,AO=0,Bus=0"/>
    <x v="2"/>
    <x v="5"/>
    <n v="31"/>
    <m/>
    <n v="0"/>
    <n v="0"/>
    <n v="0"/>
    <n v="0"/>
    <n v="0"/>
    <m/>
    <s v="Dry Contact"/>
    <m/>
  </r>
  <r>
    <s v="=CA1+MCP-M2"/>
    <m/>
    <m/>
    <x v="1"/>
    <s v="Spray Dryer 7th Floor"/>
    <x v="2"/>
    <m/>
    <s v="Spray Dryer"/>
    <s v="FT-60207"/>
    <m/>
    <m/>
    <n v="0"/>
    <s v="7th"/>
    <s v="325-01-600-PD-07"/>
    <s v="3-25-01-602-PD-07"/>
    <s v="Instr. Air Flow Transmitter for Camera #4 (ACAM-21)"/>
    <s v="Require I/O DI= 0,DO=0,AI=1,AO=0,Bus=0"/>
    <s v="FT-60207_AI_1"/>
    <x v="3"/>
    <n v="3"/>
    <n v="1"/>
    <s v="C2S09AI"/>
    <s v="C2S09AI00"/>
    <s v="C2S09,00"/>
    <s v="AI"/>
    <s v="Require I/O DI= 0,DO=0,AI=1,AO=0,Bus=0"/>
    <x v="2"/>
    <x v="8"/>
    <n v="0"/>
    <m/>
    <n v="0"/>
    <n v="0"/>
    <n v="1"/>
    <n v="0"/>
    <n v="0"/>
    <m/>
    <s v="4 - 20 mA"/>
    <m/>
  </r>
  <r>
    <s v="=CA1+MCP-M2"/>
    <m/>
    <m/>
    <x v="1"/>
    <s v="Spray Dryer 7th Floor"/>
    <x v="2"/>
    <m/>
    <s v="Spray Dryer"/>
    <s v="FT-60221"/>
    <m/>
    <m/>
    <n v="0"/>
    <s v="7th"/>
    <s v="325-01-600-PD-04"/>
    <s v="3-25-01-602-PD-04"/>
    <s v="Cool air Flow "/>
    <s v="Require I/O DI= 0,DO=0,AI=1,AO=0,Bus=0"/>
    <s v="FT-60221_AI_1"/>
    <x v="3"/>
    <n v="3"/>
    <n v="1"/>
    <s v="C2S09AI"/>
    <s v="C2S09AI01"/>
    <s v="C2S09,01"/>
    <s v="AI"/>
    <s v="Require I/O DI= 0,DO=0,AI=1,AO=0,Bus=0"/>
    <x v="2"/>
    <x v="8"/>
    <n v="1"/>
    <m/>
    <n v="0"/>
    <n v="0"/>
    <n v="1"/>
    <n v="0"/>
    <n v="0"/>
    <m/>
    <s v="4 - 20 mA"/>
    <m/>
  </r>
  <r>
    <s v="=CA1+MCP-M2"/>
    <m/>
    <m/>
    <x v="1"/>
    <s v="Spray Dryer 7th Floor"/>
    <x v="2"/>
    <m/>
    <s v="Spray Dryer"/>
    <s v="FT-60261FA"/>
    <m/>
    <m/>
    <n v="0"/>
    <s v="7th"/>
    <s v="325-01-600-PD-02"/>
    <s v="3-25-01-602-PD-02"/>
    <s v="Feed Slurry Flow Transmitter for Nozzle #1 (AMTV-11A)"/>
    <s v="Require I/O DI= 0,DO=0,AI=1,AO=0,Bus=0"/>
    <s v="FT-60261FA_AI_1"/>
    <x v="3"/>
    <n v="3"/>
    <n v="1"/>
    <s v="C2S09AI"/>
    <s v="C2S09AI02"/>
    <s v="C2S09,02"/>
    <s v="AI"/>
    <s v="Require I/O DI= 0,DO=0,AI=1,AO=0,Bus=0"/>
    <x v="2"/>
    <x v="8"/>
    <n v="2"/>
    <m/>
    <n v="0"/>
    <n v="0"/>
    <n v="1"/>
    <n v="0"/>
    <n v="0"/>
    <m/>
    <s v="4 - 20 mA"/>
    <m/>
  </r>
  <r>
    <s v="=CA1+MCP-M2"/>
    <m/>
    <m/>
    <x v="1"/>
    <s v="Spray Dryer 7th Floor"/>
    <x v="2"/>
    <m/>
    <s v="Spray Dryer"/>
    <s v="FT-60261FB"/>
    <m/>
    <m/>
    <n v="0"/>
    <s v="7th"/>
    <s v="325-01-600-PD-02"/>
    <s v="3-25-01-602-PD-02"/>
    <s v="Feed Slurry Flow Transmitter for Nozzle #2 (AMTV-11A)"/>
    <s v="Require I/O DI= 0,DO=0,AI=1,AO=0,Bus=0"/>
    <s v="FT-60261FB_AI_1"/>
    <x v="3"/>
    <n v="3"/>
    <n v="1"/>
    <s v="C2S09AI"/>
    <s v="C2S09AI03"/>
    <s v="C2S09,03"/>
    <s v="AI"/>
    <s v="Require I/O DI= 0,DO=0,AI=1,AO=0,Bus=0"/>
    <x v="2"/>
    <x v="8"/>
    <n v="3"/>
    <m/>
    <n v="0"/>
    <n v="0"/>
    <n v="1"/>
    <n v="0"/>
    <n v="0"/>
    <m/>
    <s v="4 - 20 mA"/>
    <m/>
  </r>
  <r>
    <s v="=CA1+MCP-M2"/>
    <m/>
    <m/>
    <x v="1"/>
    <s v="Spray Dryer 7th Floor"/>
    <x v="2"/>
    <m/>
    <s v="Spray Dryer"/>
    <s v="FT-60261FC"/>
    <m/>
    <m/>
    <n v="0"/>
    <s v="7th"/>
    <s v="325-01-600-PD-02"/>
    <s v="3-25-01-602-PD-02"/>
    <s v="Feed Slurry Flow Transmitter for Nozzle #3 (AMTV-11A)"/>
    <s v="Require I/O DI= 0,DO=0,AI=1,AO=0,Bus=0"/>
    <s v="FT-60261FC_AI_1"/>
    <x v="3"/>
    <n v="3"/>
    <n v="1"/>
    <s v="C2S09AI"/>
    <s v="C2S09AI04"/>
    <s v="C2S09,04"/>
    <s v="AI"/>
    <s v="Require I/O DI= 0,DO=0,AI=1,AO=0,Bus=0"/>
    <x v="2"/>
    <x v="8"/>
    <n v="4"/>
    <m/>
    <n v="0"/>
    <n v="0"/>
    <n v="1"/>
    <n v="0"/>
    <n v="0"/>
    <m/>
    <s v="4 - 20 mA"/>
    <m/>
  </r>
  <r>
    <s v="=CA1+MCP-M2"/>
    <m/>
    <m/>
    <x v="1"/>
    <s v="Spray Dryer 7th Floor"/>
    <x v="2"/>
    <m/>
    <s v="Spray Dryer"/>
    <s v="FT-60261FD"/>
    <m/>
    <m/>
    <n v="0"/>
    <s v="7th"/>
    <s v="325-01-600-PD-02"/>
    <s v="3-25-01-602-PD-02"/>
    <s v="Feed Slurry Flow Transmitter for Nozzle #4 (AMTV-11A)"/>
    <s v="Require I/O DI= 0,DO=0,AI=1,AO=0,Bus=0"/>
    <s v="FT-60261FD_AI_1"/>
    <x v="3"/>
    <n v="3"/>
    <n v="1"/>
    <s v="C2S09AI"/>
    <s v="C2S09AI05"/>
    <s v="C2S09,05"/>
    <s v="AI"/>
    <s v="Require I/O DI= 0,DO=0,AI=1,AO=0,Bus=0"/>
    <x v="2"/>
    <x v="8"/>
    <n v="5"/>
    <m/>
    <n v="0"/>
    <n v="0"/>
    <n v="1"/>
    <n v="0"/>
    <n v="0"/>
    <m/>
    <s v="4 - 20 mA"/>
    <m/>
  </r>
  <r>
    <s v="=CA1+MCP-M2"/>
    <m/>
    <m/>
    <x v="1"/>
    <s v="Spray Dryer 7th Floor"/>
    <x v="2"/>
    <m/>
    <s v="Spray Dryer"/>
    <s v="FT-60262FE"/>
    <m/>
    <m/>
    <n v="0"/>
    <s v="7th"/>
    <s v="325-01-600-PD-02"/>
    <s v="3-25-01-602-PD-02"/>
    <s v="Feed Slurry Flow Transmitter for Nozzle #5 (AMTV-11B)"/>
    <s v="Require I/O DI= 0,DO=0,AI=1,AO=0,Bus=0"/>
    <s v="FT-60262FE_AI_1"/>
    <x v="3"/>
    <n v="3"/>
    <n v="1"/>
    <s v="C2S09AI"/>
    <s v="C2S09AI06"/>
    <s v="C2S09,06"/>
    <s v="AI"/>
    <s v="Require I/O DI= 0,DO=0,AI=1,AO=0,Bus=0"/>
    <x v="2"/>
    <x v="8"/>
    <n v="6"/>
    <m/>
    <n v="0"/>
    <n v="0"/>
    <n v="1"/>
    <n v="0"/>
    <n v="0"/>
    <m/>
    <s v="4 - 20 mA"/>
    <m/>
  </r>
  <r>
    <s v="=CA1+MCP-M2"/>
    <m/>
    <m/>
    <x v="1"/>
    <s v="Spray Dryer 7th Floor"/>
    <x v="2"/>
    <m/>
    <s v="Spray Dryer"/>
    <s v="FT-60262FF"/>
    <m/>
    <m/>
    <n v="0"/>
    <s v="7th"/>
    <s v="325-01-600-PD-02"/>
    <s v="3-25-01-602-PD-02"/>
    <s v="Feed Slurry Flow Transmitter for Nozzle #6 (AMTV-11B)"/>
    <s v="Require I/O DI= 0,DO=0,AI=1,AO=0,Bus=0"/>
    <s v="FT-60262FF_AI_1"/>
    <x v="3"/>
    <n v="3"/>
    <n v="1"/>
    <s v="C2S09AI"/>
    <s v="C2S09AI07"/>
    <s v="C2S09,07"/>
    <s v="AI"/>
    <s v="Require I/O DI= 0,DO=0,AI=1,AO=0,Bus=0"/>
    <x v="2"/>
    <x v="8"/>
    <n v="7"/>
    <m/>
    <n v="0"/>
    <n v="0"/>
    <n v="1"/>
    <n v="0"/>
    <n v="0"/>
    <m/>
    <s v="4 - 20 mA"/>
    <m/>
  </r>
  <r>
    <s v="=CA1+MCP-M2"/>
    <m/>
    <m/>
    <x v="1"/>
    <s v="Spray Dryer 7th Floor"/>
    <x v="2"/>
    <m/>
    <s v="Spray Dryer"/>
    <s v="FT-60262FG"/>
    <m/>
    <m/>
    <n v="0"/>
    <s v="7th"/>
    <s v="325-01-600-PD-02"/>
    <s v="3-25-01-602-PD-02"/>
    <s v="Feed Slurry Flow Transmitter for Nozzle #7 (AMTV-11B)"/>
    <s v="Require I/O DI= 0,DO=0,AI=1,AO=0,Bus=0"/>
    <s v="FT-60262FG_AI_1"/>
    <x v="3"/>
    <n v="3"/>
    <n v="1"/>
    <s v="C2S09AI"/>
    <s v="C2S09AI08"/>
    <s v="C2S09,08"/>
    <s v="AI"/>
    <s v="Require I/O DI= 0,DO=0,AI=1,AO=0,Bus=0"/>
    <x v="2"/>
    <x v="8"/>
    <n v="8"/>
    <m/>
    <n v="0"/>
    <n v="0"/>
    <n v="1"/>
    <n v="0"/>
    <n v="0"/>
    <m/>
    <s v="4 - 20 mA"/>
    <m/>
  </r>
  <r>
    <s v="=CA1+MCP-M2"/>
    <m/>
    <m/>
    <x v="1"/>
    <s v="Spray Dryer 7th Floor"/>
    <x v="2"/>
    <m/>
    <s v="Spray Dryer"/>
    <s v="FT-60262FH"/>
    <m/>
    <m/>
    <n v="0"/>
    <s v="7th"/>
    <s v="325-01-600-PD-02"/>
    <s v="3-25-01-602-PD-02"/>
    <s v="Feed Slurry Flow Transmitter for Nozzle #8 (AMTV-11B)"/>
    <s v="Require I/O DI= 0,DO=0,AI=1,AO=0,Bus=0"/>
    <s v="FT-60262FH_AI_1"/>
    <x v="3"/>
    <n v="3"/>
    <n v="1"/>
    <s v="C2S09AI"/>
    <s v="C2S09AI09"/>
    <s v="C2S09,09"/>
    <s v="AI"/>
    <s v="Require I/O DI= 0,DO=0,AI=1,AO=0,Bus=0"/>
    <x v="2"/>
    <x v="8"/>
    <n v="9"/>
    <m/>
    <n v="0"/>
    <n v="0"/>
    <n v="1"/>
    <n v="0"/>
    <n v="0"/>
    <m/>
    <s v="4 - 20 mA"/>
    <m/>
  </r>
  <r>
    <s v="=CA1+MCP-M2"/>
    <m/>
    <m/>
    <x v="1"/>
    <s v="Spray Dryer 7th Floor"/>
    <x v="2"/>
    <m/>
    <s v="Spray Dryer"/>
    <s v="FT-60263FJ"/>
    <m/>
    <m/>
    <n v="0"/>
    <s v="7th"/>
    <s v="325-01-600-PD-02"/>
    <s v="3-25-01-602-PD-02"/>
    <s v="Feed Slurry Flow Transmitter for Nozzle #9 (AMTV-11C)"/>
    <s v="Require I/O DI= 0,DO=0,AI=1,AO=0,Bus=0"/>
    <s v="FT-60263FJ_AI_1"/>
    <x v="3"/>
    <n v="3"/>
    <n v="1"/>
    <s v="C2S09AI"/>
    <s v="C2S09AI10"/>
    <s v="C2S09,10"/>
    <s v="AI"/>
    <s v="Require I/O DI= 0,DO=0,AI=1,AO=0,Bus=0"/>
    <x v="2"/>
    <x v="8"/>
    <n v="10"/>
    <m/>
    <n v="0"/>
    <n v="0"/>
    <n v="1"/>
    <n v="0"/>
    <n v="0"/>
    <m/>
    <s v="4 - 20 mA"/>
    <m/>
  </r>
  <r>
    <s v="=CA1+MCP-M2"/>
    <m/>
    <m/>
    <x v="1"/>
    <s v="Spray Dryer 7th Floor"/>
    <x v="2"/>
    <m/>
    <s v="Spray Dryer"/>
    <s v="FT-60263FK"/>
    <m/>
    <m/>
    <n v="0"/>
    <s v="7th"/>
    <s v="325-01-600-PD-02"/>
    <s v="3-25-01-602-PD-02"/>
    <s v="Feed Slurry Flow Transmitter for Nozzle #10 (AMTV-11C)"/>
    <s v="Require I/O DI= 0,DO=0,AI=1,AO=0,Bus=0"/>
    <s v="FT-60263FK_AI_1"/>
    <x v="3"/>
    <n v="3"/>
    <n v="1"/>
    <s v="C2S09AI"/>
    <s v="C2S09AI11"/>
    <s v="C2S09,11"/>
    <s v="AI"/>
    <s v="Require I/O DI= 0,DO=0,AI=1,AO=0,Bus=0"/>
    <x v="2"/>
    <x v="8"/>
    <n v="11"/>
    <m/>
    <n v="0"/>
    <n v="0"/>
    <n v="1"/>
    <n v="0"/>
    <n v="0"/>
    <m/>
    <s v="4 - 20 mA"/>
    <m/>
  </r>
  <r>
    <s v="=CA1+MCP-M2"/>
    <m/>
    <m/>
    <x v="1"/>
    <s v="Spray Dryer 7th Floor"/>
    <x v="2"/>
    <m/>
    <s v="Spray Dryer"/>
    <s v="FT-60263FL"/>
    <m/>
    <m/>
    <n v="0"/>
    <s v="7th"/>
    <s v="325-01-600-PD-02"/>
    <s v="3-25-01-602-PD-02"/>
    <s v="Feed Slurry Flow Transmitter for Nozzle #11 (AMTV-11C)"/>
    <s v="Require I/O DI= 0,DO=0,AI=1,AO=0,Bus=0"/>
    <s v="FT-60263FL_AI_1"/>
    <x v="3"/>
    <n v="3"/>
    <n v="1"/>
    <s v="C2S09AI"/>
    <s v="C2S09AI12"/>
    <s v="C2S09,12"/>
    <s v="AI"/>
    <s v="Require I/O DI= 0,DO=0,AI=1,AO=0,Bus=0"/>
    <x v="2"/>
    <x v="8"/>
    <n v="12"/>
    <m/>
    <n v="0"/>
    <n v="0"/>
    <n v="1"/>
    <n v="0"/>
    <n v="0"/>
    <m/>
    <s v="4 - 20 mA"/>
    <m/>
  </r>
  <r>
    <s v="=CA1+MCP-M2"/>
    <m/>
    <m/>
    <x v="1"/>
    <s v="Spray Dryer 7th Floor"/>
    <x v="2"/>
    <m/>
    <s v="Spray Dryer"/>
    <s v="FT-60263FM"/>
    <m/>
    <m/>
    <n v="0"/>
    <s v="7th"/>
    <s v="325-01-600-PD-02"/>
    <s v="3-25-01-602-PD-02"/>
    <s v="Feed Slurry Flow Transmitter for Nozzle #12 (AMTV-11C)"/>
    <s v="Require I/O DI= 0,DO=0,AI=1,AO=0,Bus=0"/>
    <s v="FT-60263FM_AI_1"/>
    <x v="3"/>
    <n v="3"/>
    <n v="1"/>
    <s v="C2S09AI"/>
    <s v="C2S09AI13"/>
    <s v="C2S09,13"/>
    <s v="AI"/>
    <s v="Require I/O DI= 0,DO=0,AI=1,AO=0,Bus=0"/>
    <x v="2"/>
    <x v="8"/>
    <n v="13"/>
    <m/>
    <n v="0"/>
    <n v="0"/>
    <n v="1"/>
    <n v="0"/>
    <n v="0"/>
    <m/>
    <s v="4 - 20 mA"/>
    <m/>
  </r>
  <r>
    <s v="=CA1+MCP-M2"/>
    <m/>
    <m/>
    <x v="1"/>
    <s v="Spray Dryer 7th Floor"/>
    <x v="2"/>
    <m/>
    <s v="Spray Dryer"/>
    <s v="FT-60264FN"/>
    <m/>
    <m/>
    <n v="0"/>
    <s v="7th"/>
    <s v="325-01-600-PD-02"/>
    <s v="3-25-01-602-PD-02"/>
    <s v="Feed Slurry Flow Transmitter for Nozzle #13 (AMTV-11D)"/>
    <s v="Require I/O DI= 0,DO=0,AI=1,AO=0,Bus=0"/>
    <s v="FT-60264FN_AI_1"/>
    <x v="3"/>
    <n v="3"/>
    <n v="1"/>
    <s v="C2S09AI"/>
    <s v="C2S09AI14"/>
    <s v="C2S09,14"/>
    <s v="AI"/>
    <s v="Require I/O DI= 0,DO=0,AI=1,AO=0,Bus=0"/>
    <x v="2"/>
    <x v="8"/>
    <n v="14"/>
    <m/>
    <n v="0"/>
    <n v="0"/>
    <n v="1"/>
    <n v="0"/>
    <n v="0"/>
    <m/>
    <s v="4 - 20 mA"/>
    <m/>
  </r>
  <r>
    <s v="=CA1+MCP-M2"/>
    <m/>
    <m/>
    <x v="1"/>
    <s v="Spray Dryer 7th Floor"/>
    <x v="2"/>
    <m/>
    <s v="Spray Dryer"/>
    <s v="FT-60264FP"/>
    <m/>
    <m/>
    <n v="0"/>
    <s v="7th"/>
    <s v="325-01-600-PD-02"/>
    <s v="3-25-01-602-PD-02"/>
    <s v="Feed Slurry Flow Transmitter for Nozzle #14 (AMTV-11D)"/>
    <s v="Require I/O DI= 0,DO=0,AI=1,AO=0,Bus=0"/>
    <s v="FT-60264FP_AI_1"/>
    <x v="3"/>
    <n v="3"/>
    <n v="1"/>
    <s v="C2S09AI"/>
    <s v="C2S09AI15"/>
    <s v="C2S09,15"/>
    <s v="AI"/>
    <s v="Require I/O DI= 0,DO=0,AI=1,AO=0,Bus=0"/>
    <x v="2"/>
    <x v="8"/>
    <n v="15"/>
    <m/>
    <n v="0"/>
    <n v="0"/>
    <n v="1"/>
    <n v="0"/>
    <n v="0"/>
    <m/>
    <s v="4 - 20 mA"/>
    <m/>
  </r>
  <r>
    <s v="=CA1+MCP-M2"/>
    <m/>
    <m/>
    <x v="1"/>
    <s v="Spray Dryer 7th Floor"/>
    <x v="2"/>
    <m/>
    <s v="Spray Dryer"/>
    <s v="FT-60264FQ"/>
    <m/>
    <m/>
    <n v="0"/>
    <s v="7th"/>
    <s v="325-01-600-PD-02"/>
    <s v="3-25-01-602-PD-02"/>
    <s v="Feed Slurry Flow Transmitter for Nozzle #15 (AMTV-11D)"/>
    <s v="Require I/O DI= 0,DO=0,AI=1,AO=0,Bus=0"/>
    <s v="FT-60264FQ_AI_1"/>
    <x v="3"/>
    <n v="3"/>
    <n v="1"/>
    <s v="C2S10AI"/>
    <s v="C2S10AI00"/>
    <s v="C2S10,00"/>
    <s v="AI"/>
    <s v="Require I/O DI= 0,DO=0,AI=1,AO=0,Bus=0"/>
    <x v="2"/>
    <x v="9"/>
    <n v="0"/>
    <m/>
    <n v="0"/>
    <n v="0"/>
    <n v="1"/>
    <n v="0"/>
    <n v="0"/>
    <m/>
    <s v="4 - 20 mA"/>
    <m/>
  </r>
  <r>
    <s v="=CA1+MCP-M2"/>
    <m/>
    <m/>
    <x v="1"/>
    <s v="Spray Dryer 7th Floor"/>
    <x v="2"/>
    <m/>
    <s v="Spray Dryer"/>
    <s v="FT-60264FR"/>
    <m/>
    <m/>
    <n v="0"/>
    <s v="7th"/>
    <s v="325-01-600-PD-02"/>
    <s v="3-25-01-602-PD-02"/>
    <s v="Feed Slurry Flow Transmitter for Nozzle #16 (AMTV-11D)"/>
    <s v="Require I/O DI= 0,DO=0,AI=1,AO=0,Bus=0"/>
    <s v="FT-60264FR_AI_1"/>
    <x v="3"/>
    <n v="3"/>
    <n v="1"/>
    <s v="C2S10AI"/>
    <s v="C2S10AI01"/>
    <s v="C2S10,01"/>
    <s v="AI"/>
    <s v="Require I/O DI= 0,DO=0,AI=1,AO=0,Bus=0"/>
    <x v="2"/>
    <x v="9"/>
    <n v="1"/>
    <m/>
    <n v="0"/>
    <n v="0"/>
    <n v="1"/>
    <n v="0"/>
    <n v="0"/>
    <m/>
    <s v="4 - 20 mA"/>
    <m/>
  </r>
  <r>
    <s v="=CA1+MCP-M2"/>
    <m/>
    <m/>
    <x v="1"/>
    <s v="Spray Dryer 7th Floor"/>
    <x v="2"/>
    <m/>
    <s v="Spray Dryer"/>
    <s v="PT-60201"/>
    <m/>
    <m/>
    <s v="Pressure Transmitter"/>
    <s v="7th"/>
    <s v="-"/>
    <s v="3-25-01-602-PD-02"/>
    <s v="Steam feed to Spray dryer "/>
    <s v="Require I/O DI= 0,DO=0,AI=1,AO=0,Bus=0"/>
    <s v="PT-60201_AI_1"/>
    <x v="3"/>
    <n v="3"/>
    <n v="1"/>
    <s v="C2S10AI"/>
    <s v="C2S10AI02"/>
    <s v="C2S10,02"/>
    <s v="AI"/>
    <s v="Require I/O DI= 0,DO=0,AI=1,AO=0,Bus=0"/>
    <x v="2"/>
    <x v="9"/>
    <n v="2"/>
    <m/>
    <n v="0"/>
    <n v="0"/>
    <n v="1"/>
    <n v="0"/>
    <n v="0"/>
    <m/>
    <s v="4 - 20 mA"/>
    <m/>
  </r>
  <r>
    <s v="=CA1+MCP-M2"/>
    <m/>
    <m/>
    <x v="1"/>
    <s v="Spray Dryer 7th Floor"/>
    <x v="2"/>
    <m/>
    <s v="Spray Dryer"/>
    <s v="PT-60207"/>
    <m/>
    <m/>
    <s v="Pressure Transmitter"/>
    <s v="7th"/>
    <s v="325-01-600-PD-07"/>
    <s v="3-25-01-602-PD-07"/>
    <s v="Instr. Air Pressure Transmitter for Camera #4 (ACAM-21)"/>
    <s v="Require I/O DI= 0,DO=0,AI=1,AO=0,Bus=0"/>
    <s v="PT-60207_AI_1"/>
    <x v="3"/>
    <n v="3"/>
    <n v="1"/>
    <s v="C2S10AI"/>
    <s v="C2S10AI03"/>
    <s v="C2S10,03"/>
    <s v="AI"/>
    <s v="Require I/O DI= 0,DO=0,AI=1,AO=0,Bus=0"/>
    <x v="2"/>
    <x v="9"/>
    <n v="3"/>
    <m/>
    <n v="0"/>
    <n v="0"/>
    <n v="1"/>
    <n v="0"/>
    <n v="0"/>
    <m/>
    <s v="4 - 20 mA"/>
    <m/>
  </r>
  <r>
    <s v="=CA1+MCP-M2"/>
    <m/>
    <m/>
    <x v="1"/>
    <s v="Spray Dryer 7th Floor"/>
    <x v="2"/>
    <m/>
    <s v="Spray Dryer"/>
    <s v="PT-60221"/>
    <m/>
    <m/>
    <s v="Pressure Transmitter"/>
    <s v="7th"/>
    <s v="325-01-600-PD-02"/>
    <s v="3-25-01-602-PD-04"/>
    <s v="Gas Pressure Transmitter for Cooling Air Duct (DTCA-25)"/>
    <s v="Require I/O DI= 0,DO=0,AI=1,AO=0,Bus=0"/>
    <s v="PT-60221_AI_1"/>
    <x v="3"/>
    <n v="3"/>
    <n v="1"/>
    <s v="C2S10AI"/>
    <s v="C2S10AI04"/>
    <s v="C2S10,04"/>
    <s v="AI"/>
    <s v="Require I/O DI= 0,DO=0,AI=1,AO=0,Bus=0"/>
    <x v="2"/>
    <x v="9"/>
    <n v="4"/>
    <m/>
    <n v="0"/>
    <n v="0"/>
    <n v="1"/>
    <n v="0"/>
    <n v="0"/>
    <m/>
    <s v="4 - 20 mA"/>
    <m/>
  </r>
  <r>
    <s v="=CA1+MCP-M2"/>
    <m/>
    <m/>
    <x v="1"/>
    <s v="Spray Dryer 7th Floor"/>
    <x v="2"/>
    <m/>
    <s v="Spray Dryer"/>
    <s v="PT-60221"/>
    <m/>
    <m/>
    <s v="Pressure Transmitter"/>
    <s v="7th"/>
    <s v="325-01-600-PD-04"/>
    <s v="3-25-01-602-PD-04"/>
    <s v="Gas Pressure Transmitter for Cooling Air Duct (DTCA-25)"/>
    <s v="Require I/O DI= 0,DO=0,AI=1,AO=0,Bus=0"/>
    <s v="PT-60221_AI_1"/>
    <x v="3"/>
    <n v="3"/>
    <n v="1"/>
    <s v="C2S10AI"/>
    <s v="C2S10AI05"/>
    <s v="C2S10,05"/>
    <s v="AI"/>
    <s v="Require I/O DI= 0,DO=0,AI=1,AO=0,Bus=0"/>
    <x v="2"/>
    <x v="9"/>
    <n v="5"/>
    <m/>
    <n v="0"/>
    <n v="0"/>
    <n v="1"/>
    <n v="0"/>
    <n v="0"/>
    <m/>
    <s v="4 - 20 mA"/>
    <m/>
  </r>
  <r>
    <s v="=CA1+MCP-M2"/>
    <m/>
    <m/>
    <x v="1"/>
    <s v="Spray Dryer 7th Floor"/>
    <x v="2"/>
    <m/>
    <s v="Spray Dryer"/>
    <s v="PV-60201"/>
    <m/>
    <m/>
    <e v="#N/A"/>
    <s v="7th"/>
    <s v="325-01-600-PD-02"/>
    <s v="3-25-01-602-PD-02"/>
    <e v="#N/A"/>
    <s v="Require I/O DI= 0,DO=0,AI=0,AO=1,Bus=0"/>
    <s v="PV-60201_AO_1"/>
    <x v="4"/>
    <n v="4"/>
    <n v="1"/>
    <s v="C2S11AO"/>
    <s v="C2S11AO03"/>
    <s v="C2S11,03"/>
    <s v="AO"/>
    <s v="Require I/O DI= 0,DO=0,AI=0,AO=1,Bus=0"/>
    <x v="2"/>
    <x v="11"/>
    <n v="3"/>
    <m/>
    <n v="0"/>
    <n v="0"/>
    <n v="0"/>
    <n v="1"/>
    <n v="0"/>
    <m/>
    <e v="#N/A"/>
    <m/>
  </r>
  <r>
    <s v="=CA1+MCP-M2"/>
    <m/>
    <m/>
    <x v="1"/>
    <s v="Spray Dryer 7th Floor"/>
    <x v="8"/>
    <m/>
    <m/>
    <s v="Spare"/>
    <m/>
    <m/>
    <e v="#N/A"/>
    <m/>
    <m/>
    <m/>
    <e v="#N/A"/>
    <s v="Require I/O DI= 0,DO=0,AI=0,AO=0,Bus=0"/>
    <s v="Spare_DI_"/>
    <x v="0"/>
    <n v="1"/>
    <m/>
    <s v="C2S01DI"/>
    <s v="C2S01DI21"/>
    <s v="C2S01,21"/>
    <s v="DI"/>
    <s v="Require I/O DI= 0,DO=0,AI=0,AO=0,Bus=0"/>
    <x v="2"/>
    <x v="4"/>
    <n v="21"/>
    <m/>
    <n v="0"/>
    <n v="0"/>
    <n v="0"/>
    <n v="0"/>
    <n v="0"/>
    <m/>
    <e v="#N/A"/>
    <m/>
  </r>
  <r>
    <s v="=CA1+MCP-M2"/>
    <m/>
    <m/>
    <x v="1"/>
    <s v="Spray Dryer 7th Floor"/>
    <x v="8"/>
    <m/>
    <m/>
    <s v="Spare"/>
    <m/>
    <m/>
    <e v="#N/A"/>
    <m/>
    <m/>
    <m/>
    <e v="#N/A"/>
    <s v="Require I/O DI= 0,DO=0,AI=0,AO=0,Bus=0"/>
    <s v="Spare_DI_"/>
    <x v="0"/>
    <n v="1"/>
    <m/>
    <s v="C2S01DI"/>
    <s v="C2S01DI22"/>
    <s v="C2S01,22"/>
    <s v="DI"/>
    <s v="Require I/O DI= 0,DO=0,AI=0,AO=0,Bus=0"/>
    <x v="2"/>
    <x v="4"/>
    <n v="22"/>
    <m/>
    <n v="0"/>
    <n v="0"/>
    <n v="0"/>
    <n v="0"/>
    <n v="0"/>
    <m/>
    <e v="#N/A"/>
    <m/>
  </r>
  <r>
    <s v="=CA1+MCP-M2"/>
    <m/>
    <m/>
    <x v="1"/>
    <s v="Spray Dryer 7th Floor"/>
    <x v="8"/>
    <m/>
    <m/>
    <s v="Spare"/>
    <m/>
    <m/>
    <e v="#N/A"/>
    <m/>
    <m/>
    <m/>
    <e v="#N/A"/>
    <s v="Require I/O DI= 0,DO=0,AI=0,AO=0,Bus=0"/>
    <s v="Spare_DI_"/>
    <x v="0"/>
    <n v="1"/>
    <m/>
    <s v="C2S01DI"/>
    <s v="C2S01DI23"/>
    <s v="C2S01,23"/>
    <s v="DI"/>
    <s v="Require I/O DI= 0,DO=0,AI=0,AO=0,Bus=0"/>
    <x v="2"/>
    <x v="4"/>
    <n v="23"/>
    <m/>
    <n v="0"/>
    <n v="0"/>
    <n v="0"/>
    <n v="0"/>
    <n v="0"/>
    <m/>
    <e v="#N/A"/>
    <m/>
  </r>
  <r>
    <s v="=CA1+MCP-M2"/>
    <m/>
    <m/>
    <x v="1"/>
    <s v="Spray Dryer 7th Floor"/>
    <x v="8"/>
    <m/>
    <m/>
    <s v="Spare"/>
    <m/>
    <m/>
    <e v="#N/A"/>
    <m/>
    <m/>
    <m/>
    <e v="#N/A"/>
    <s v="Require I/O DI= 0,DO=0,AI=0,AO=0,Bus=0"/>
    <s v="Spare_DI_"/>
    <x v="0"/>
    <n v="1"/>
    <m/>
    <s v="C2S01DI"/>
    <s v="C2S01DI24"/>
    <s v="C2S01,24"/>
    <s v="DI"/>
    <s v="Require I/O DI= 0,DO=0,AI=0,AO=0,Bus=0"/>
    <x v="2"/>
    <x v="4"/>
    <n v="24"/>
    <m/>
    <n v="0"/>
    <n v="0"/>
    <n v="0"/>
    <n v="0"/>
    <n v="0"/>
    <m/>
    <e v="#N/A"/>
    <m/>
  </r>
  <r>
    <s v="=CA1+MCP-M2"/>
    <m/>
    <m/>
    <x v="1"/>
    <s v="Spray Dryer 7th Floor"/>
    <x v="8"/>
    <m/>
    <m/>
    <s v="Spare"/>
    <m/>
    <m/>
    <e v="#N/A"/>
    <m/>
    <m/>
    <m/>
    <e v="#N/A"/>
    <s v="Require I/O DI= 0,DO=0,AI=0,AO=0,Bus=0"/>
    <s v="Spare_DI_"/>
    <x v="0"/>
    <n v="1"/>
    <m/>
    <s v="C2S01DI"/>
    <s v="C2S01DI25"/>
    <s v="C2S01,25"/>
    <s v="DI"/>
    <s v="Require I/O DI= 0,DO=0,AI=0,AO=0,Bus=0"/>
    <x v="2"/>
    <x v="4"/>
    <n v="25"/>
    <m/>
    <n v="0"/>
    <n v="0"/>
    <n v="0"/>
    <n v="0"/>
    <n v="0"/>
    <m/>
    <e v="#N/A"/>
    <m/>
  </r>
  <r>
    <s v="=CA1+MCP-M2"/>
    <m/>
    <m/>
    <x v="1"/>
    <s v="Spray Dryer 7th Floor"/>
    <x v="8"/>
    <m/>
    <m/>
    <s v="Spare"/>
    <m/>
    <m/>
    <e v="#N/A"/>
    <m/>
    <m/>
    <m/>
    <e v="#N/A"/>
    <s v="Require I/O DI= 0,DO=0,AI=0,AO=0,Bus=0"/>
    <s v="Spare_DI_"/>
    <x v="0"/>
    <n v="1"/>
    <m/>
    <s v="C2S01DI"/>
    <s v="C2S01DI26"/>
    <s v="C2S01,26"/>
    <s v="DI"/>
    <s v="Require I/O DI= 0,DO=0,AI=0,AO=0,Bus=0"/>
    <x v="2"/>
    <x v="4"/>
    <n v="26"/>
    <m/>
    <n v="0"/>
    <n v="0"/>
    <n v="0"/>
    <n v="0"/>
    <n v="0"/>
    <m/>
    <e v="#N/A"/>
    <m/>
  </r>
  <r>
    <s v="=CA1+MCP-M2"/>
    <m/>
    <m/>
    <x v="1"/>
    <s v="Spray Dryer 7th Floor"/>
    <x v="8"/>
    <m/>
    <m/>
    <s v="Spare"/>
    <m/>
    <m/>
    <e v="#N/A"/>
    <m/>
    <m/>
    <m/>
    <e v="#N/A"/>
    <s v="Require I/O DI= 0,DO=0,AI=0,AO=0,Bus=0"/>
    <s v="Spare_DI_"/>
    <x v="0"/>
    <n v="1"/>
    <m/>
    <s v="C2S01DI"/>
    <s v="C2S01DI27"/>
    <s v="C2S01,27"/>
    <s v="DI"/>
    <s v="Require I/O DI= 0,DO=0,AI=0,AO=0,Bus=0"/>
    <x v="2"/>
    <x v="4"/>
    <n v="27"/>
    <m/>
    <n v="0"/>
    <n v="0"/>
    <n v="0"/>
    <n v="0"/>
    <n v="0"/>
    <m/>
    <e v="#N/A"/>
    <m/>
  </r>
  <r>
    <s v="=CA1+MCP-M2"/>
    <m/>
    <m/>
    <x v="1"/>
    <s v="Spray Dryer 7th Floor"/>
    <x v="8"/>
    <m/>
    <m/>
    <s v="Spare"/>
    <m/>
    <m/>
    <e v="#N/A"/>
    <m/>
    <m/>
    <m/>
    <e v="#N/A"/>
    <s v="Require I/O DI= 0,DO=0,AI=0,AO=0,Bus=0"/>
    <s v="Spare_DI_"/>
    <x v="0"/>
    <n v="1"/>
    <m/>
    <s v="C2S01DI"/>
    <s v="C2S01DI28"/>
    <s v="C2S01,28"/>
    <s v="DI"/>
    <s v="Require I/O DI= 0,DO=0,AI=0,AO=0,Bus=0"/>
    <x v="2"/>
    <x v="4"/>
    <n v="28"/>
    <m/>
    <n v="0"/>
    <n v="0"/>
    <n v="0"/>
    <n v="0"/>
    <n v="0"/>
    <m/>
    <e v="#N/A"/>
    <m/>
  </r>
  <r>
    <s v="=CA1+MCP-M2"/>
    <m/>
    <m/>
    <x v="1"/>
    <s v="Spray Dryer 7th Floor"/>
    <x v="8"/>
    <m/>
    <m/>
    <s v="Spare"/>
    <m/>
    <m/>
    <e v="#N/A"/>
    <m/>
    <m/>
    <m/>
    <e v="#N/A"/>
    <s v="Require I/O DI= 0,DO=0,AI=0,AO=0,Bus=0"/>
    <s v="Spare_DI_"/>
    <x v="0"/>
    <n v="1"/>
    <m/>
    <s v="C2S01DI"/>
    <s v="C2S01DI29"/>
    <s v="C2S01,29"/>
    <s v="DI"/>
    <s v="Require I/O DI= 0,DO=0,AI=0,AO=0,Bus=0"/>
    <x v="2"/>
    <x v="4"/>
    <n v="29"/>
    <m/>
    <n v="0"/>
    <n v="0"/>
    <n v="0"/>
    <n v="0"/>
    <n v="0"/>
    <m/>
    <e v="#N/A"/>
    <m/>
  </r>
  <r>
    <s v="=CA1+MCP-M2"/>
    <m/>
    <m/>
    <x v="1"/>
    <s v="Spray Dryer 7th Floor"/>
    <x v="8"/>
    <m/>
    <m/>
    <s v="Spare"/>
    <m/>
    <m/>
    <e v="#N/A"/>
    <m/>
    <m/>
    <m/>
    <e v="#N/A"/>
    <s v="Require I/O DI= 0,DO=0,AI=0,AO=0,Bus=0"/>
    <s v="Spare_DI_"/>
    <x v="0"/>
    <n v="1"/>
    <m/>
    <s v="C2S01DI"/>
    <s v="C2S01DI30"/>
    <s v="C2S01,30"/>
    <s v="DI"/>
    <s v="Require I/O DI= 0,DO=0,AI=0,AO=0,Bus=0"/>
    <x v="2"/>
    <x v="4"/>
    <n v="30"/>
    <m/>
    <n v="0"/>
    <n v="0"/>
    <n v="0"/>
    <n v="0"/>
    <n v="0"/>
    <m/>
    <e v="#N/A"/>
    <m/>
  </r>
  <r>
    <s v="=CA1+MCP-M2"/>
    <m/>
    <m/>
    <x v="1"/>
    <s v="Spray Dryer 7th Floor"/>
    <x v="8"/>
    <m/>
    <m/>
    <s v="Spare"/>
    <m/>
    <m/>
    <e v="#N/A"/>
    <m/>
    <m/>
    <m/>
    <e v="#N/A"/>
    <s v="Require I/O DI= 0,DO=0,AI=0,AO=0,Bus=0"/>
    <s v="Spare_DI_"/>
    <x v="0"/>
    <n v="1"/>
    <m/>
    <s v="C2S01DI"/>
    <s v="C2S01DI31"/>
    <s v="C2S01,31"/>
    <s v="DI"/>
    <s v="Require I/O DI= 0,DO=0,AI=0,AO=0,Bus=0"/>
    <x v="2"/>
    <x v="4"/>
    <n v="31"/>
    <m/>
    <n v="0"/>
    <n v="0"/>
    <n v="0"/>
    <n v="0"/>
    <n v="0"/>
    <m/>
    <e v="#N/A"/>
    <m/>
  </r>
  <r>
    <s v="=CA1+MCP-M2"/>
    <m/>
    <m/>
    <x v="1"/>
    <s v="Spray Dryer 7th Floor"/>
    <x v="8"/>
    <m/>
    <m/>
    <s v="Spare"/>
    <m/>
    <m/>
    <e v="#N/A"/>
    <m/>
    <m/>
    <m/>
    <e v="#N/A"/>
    <s v="Require I/O DI= 0,DO=0,AI=0,AO=0,Bus=0"/>
    <s v="Spare_DO_1"/>
    <x v="1"/>
    <n v="2"/>
    <n v="1"/>
    <s v="C2S04DO"/>
    <s v="C2S04DO31"/>
    <s v="C2S04,31"/>
    <s v="DO"/>
    <s v="Require I/O DI= 0,DO=0,AI=0,AO=0,Bus=0"/>
    <x v="2"/>
    <x v="6"/>
    <n v="31"/>
    <m/>
    <n v="0"/>
    <n v="0"/>
    <n v="0"/>
    <n v="0"/>
    <n v="0"/>
    <m/>
    <m/>
    <m/>
  </r>
  <r>
    <s v="=CA1+MCP-M2"/>
    <m/>
    <m/>
    <x v="1"/>
    <s v="Spray Dryer 7th Floor"/>
    <x v="8"/>
    <m/>
    <m/>
    <s v="Spare"/>
    <m/>
    <m/>
    <e v="#N/A"/>
    <m/>
    <m/>
    <m/>
    <e v="#N/A"/>
    <s v="Require I/O DI= 0,DO=0,AI=0,AO=0,Bus=0"/>
    <s v="Spare_AI_"/>
    <x v="3"/>
    <n v="3"/>
    <m/>
    <s v="C2S10AI"/>
    <s v="C2S10AI11"/>
    <s v="C2S10,11"/>
    <s v="AI"/>
    <s v="Require I/O DI= 0,DO=0,AI=0,AO=0,Bus=0"/>
    <x v="2"/>
    <x v="9"/>
    <n v="11"/>
    <m/>
    <n v="0"/>
    <n v="0"/>
    <n v="0"/>
    <n v="0"/>
    <n v="0"/>
    <m/>
    <e v="#N/A"/>
    <m/>
  </r>
  <r>
    <s v="=CA1+MCP-M2"/>
    <m/>
    <m/>
    <x v="1"/>
    <s v="Spray Dryer 7th Floor"/>
    <x v="8"/>
    <m/>
    <m/>
    <s v="Spare"/>
    <m/>
    <m/>
    <e v="#N/A"/>
    <m/>
    <m/>
    <m/>
    <e v="#N/A"/>
    <s v="Require I/O DI= 0,DO=0,AI=0,AO=0,Bus=0"/>
    <s v="Spare_AI_"/>
    <x v="3"/>
    <n v="3"/>
    <m/>
    <s v="C2S10AI"/>
    <s v="C2S10AI12"/>
    <s v="C2S10,12"/>
    <s v="AI"/>
    <s v="Require I/O DI= 0,DO=0,AI=0,AO=0,Bus=0"/>
    <x v="2"/>
    <x v="9"/>
    <n v="12"/>
    <m/>
    <n v="0"/>
    <n v="0"/>
    <n v="0"/>
    <n v="0"/>
    <n v="0"/>
    <m/>
    <e v="#N/A"/>
    <m/>
  </r>
  <r>
    <s v="=CA1+MCP-M2"/>
    <m/>
    <m/>
    <x v="1"/>
    <s v="Spray Dryer 7th Floor"/>
    <x v="8"/>
    <m/>
    <m/>
    <s v="Spare"/>
    <m/>
    <m/>
    <e v="#N/A"/>
    <m/>
    <m/>
    <m/>
    <e v="#N/A"/>
    <s v="Require I/O DI= 0,DO=0,AI=0,AO=0,Bus=0"/>
    <s v="Spare_AI_"/>
    <x v="3"/>
    <n v="3"/>
    <m/>
    <s v="C2S10AI"/>
    <s v="C2S10AI13"/>
    <s v="C2S10,13"/>
    <s v="AI"/>
    <s v="Require I/O DI= 0,DO=0,AI=0,AO=0,Bus=0"/>
    <x v="2"/>
    <x v="9"/>
    <n v="13"/>
    <m/>
    <n v="0"/>
    <n v="0"/>
    <n v="0"/>
    <n v="0"/>
    <n v="0"/>
    <m/>
    <e v="#N/A"/>
    <m/>
  </r>
  <r>
    <s v="=CA1+MCP-M2"/>
    <m/>
    <m/>
    <x v="1"/>
    <s v="Spray Dryer 7th Floor"/>
    <x v="8"/>
    <m/>
    <m/>
    <s v="Spare"/>
    <m/>
    <m/>
    <e v="#N/A"/>
    <m/>
    <m/>
    <m/>
    <e v="#N/A"/>
    <s v="Require I/O DI= 0,DO=0,AI=0,AO=0,Bus=0"/>
    <s v="Spare_AI_"/>
    <x v="3"/>
    <n v="3"/>
    <m/>
    <s v="C2S10AI"/>
    <s v="C2S10AI14"/>
    <s v="C2S10,14"/>
    <s v="AI"/>
    <s v="Require I/O DI= 0,DO=0,AI=0,AO=0,Bus=0"/>
    <x v="2"/>
    <x v="9"/>
    <n v="14"/>
    <m/>
    <n v="0"/>
    <n v="0"/>
    <n v="0"/>
    <n v="0"/>
    <n v="0"/>
    <m/>
    <e v="#N/A"/>
    <m/>
  </r>
  <r>
    <s v="=CA1+MCP-M2"/>
    <m/>
    <m/>
    <x v="1"/>
    <s v="Spray Dryer 7th Floor"/>
    <x v="8"/>
    <m/>
    <m/>
    <s v="Spare"/>
    <m/>
    <m/>
    <e v="#N/A"/>
    <m/>
    <m/>
    <m/>
    <e v="#N/A"/>
    <s v="Require I/O DI= 0,DO=0,AI=0,AO=0,Bus=0"/>
    <s v="Spare_AI_"/>
    <x v="3"/>
    <n v="3"/>
    <m/>
    <s v="C2S10AI"/>
    <s v="C2S10AI15"/>
    <s v="C2S10,15"/>
    <s v="AI"/>
    <s v="Require I/O DI= 0,DO=0,AI=0,AO=0,Bus=0"/>
    <x v="2"/>
    <x v="9"/>
    <n v="15"/>
    <m/>
    <n v="0"/>
    <n v="0"/>
    <n v="0"/>
    <n v="0"/>
    <n v="0"/>
    <m/>
    <e v="#N/A"/>
    <m/>
  </r>
  <r>
    <s v="=CA1+MCP-M2"/>
    <m/>
    <m/>
    <x v="1"/>
    <s v="Spray Dryer 7th Floor"/>
    <x v="8"/>
    <m/>
    <m/>
    <s v="Spare"/>
    <m/>
    <m/>
    <e v="#N/A"/>
    <m/>
    <m/>
    <m/>
    <e v="#N/A"/>
    <s v="Require I/O DI= 0,DO=0,AI=0,AO=0,Bus=0"/>
    <s v="Spare_AO_"/>
    <x v="4"/>
    <n v="4"/>
    <m/>
    <s v="C2S11AO"/>
    <s v="C2S11AO05"/>
    <s v="C2S11,05"/>
    <s v="AO"/>
    <s v="Require I/O DI= 0,DO=0,AI=0,AO=0,Bus=0"/>
    <x v="2"/>
    <x v="11"/>
    <n v="5"/>
    <m/>
    <n v="0"/>
    <n v="0"/>
    <n v="0"/>
    <n v="0"/>
    <n v="0"/>
    <m/>
    <e v="#N/A"/>
    <m/>
  </r>
  <r>
    <s v="=CA1+MCP-M2"/>
    <m/>
    <m/>
    <x v="1"/>
    <s v="Spray Dryer 7th Floor"/>
    <x v="8"/>
    <m/>
    <m/>
    <s v="Spare"/>
    <m/>
    <m/>
    <e v="#N/A"/>
    <m/>
    <m/>
    <m/>
    <e v="#N/A"/>
    <s v="Require I/O DI= 0,DO=0,AI=0,AO=0,Bus=0"/>
    <s v="Spare_AO_"/>
    <x v="4"/>
    <n v="4"/>
    <m/>
    <s v="C2S11AO"/>
    <s v="C2S11AO06"/>
    <s v="C2S11,06"/>
    <s v="AO"/>
    <s v="Require I/O DI= 0,DO=0,AI=0,AO=0,Bus=0"/>
    <x v="2"/>
    <x v="11"/>
    <n v="6"/>
    <m/>
    <n v="0"/>
    <n v="0"/>
    <n v="0"/>
    <n v="0"/>
    <n v="0"/>
    <m/>
    <e v="#N/A"/>
    <m/>
  </r>
  <r>
    <s v="=CA1+MCP-M2"/>
    <m/>
    <m/>
    <x v="1"/>
    <s v="Spray Dryer 7th Floor"/>
    <x v="8"/>
    <m/>
    <m/>
    <s v="Spare"/>
    <m/>
    <m/>
    <e v="#N/A"/>
    <m/>
    <m/>
    <m/>
    <e v="#N/A"/>
    <s v="Require I/O DI= 0,DO=0,AI=0,AO=0,Bus=0"/>
    <s v="Spare_AO_"/>
    <x v="4"/>
    <n v="4"/>
    <m/>
    <s v="C2S11AO"/>
    <s v="C2S11AO07"/>
    <s v="C2S11,07"/>
    <s v="AO"/>
    <s v="Require I/O DI= 0,DO=0,AI=0,AO=0,Bus=0"/>
    <x v="2"/>
    <x v="11"/>
    <n v="7"/>
    <m/>
    <n v="0"/>
    <n v="0"/>
    <n v="0"/>
    <n v="0"/>
    <n v="0"/>
    <m/>
    <e v="#N/A"/>
    <m/>
  </r>
  <r>
    <s v="=CA1+MCP-M2"/>
    <m/>
    <m/>
    <x v="1"/>
    <s v="Spray Dryer 7th Floor"/>
    <x v="2"/>
    <m/>
    <s v="Spray Dryer"/>
    <s v="SV-60207"/>
    <m/>
    <m/>
    <n v="0"/>
    <s v="7th"/>
    <s v="325-01-600-PD-07"/>
    <s v="3-25-01-602-PD-07"/>
    <s v="Instr. Air On/Off Valve for Camera #4 (ACAM-21)"/>
    <s v="Require I/O DI= 2,DO=1,AI=0,AO=0,Bus=0"/>
    <s v="SV-60207_DO_1"/>
    <x v="1"/>
    <n v="2"/>
    <n v="1"/>
    <s v="C2S04DO"/>
    <s v="C2S04DO00"/>
    <s v="C2S04,00"/>
    <s v="DO"/>
    <s v="Require I/O DI= 2,DO=1,AI=0,AO=0,Bus=0"/>
    <x v="2"/>
    <x v="6"/>
    <n v="0"/>
    <m/>
    <n v="2"/>
    <n v="1"/>
    <n v="0"/>
    <n v="0"/>
    <n v="0"/>
    <m/>
    <s v="24 VDC energized"/>
    <m/>
  </r>
  <r>
    <s v="=CA1+MCP-M2"/>
    <m/>
    <m/>
    <x v="1"/>
    <s v="Spray Dryer 7th Floor"/>
    <x v="2"/>
    <m/>
    <s v="Spray Dryer"/>
    <s v="TI-FH-60210"/>
    <m/>
    <m/>
    <n v="0"/>
    <s v="7th"/>
    <s v="325-01-600-PD-06"/>
    <s v="-"/>
    <s v="Gas Burner Firing Rate Temp Signal to AHTR-21"/>
    <s v="Require I/O DI= 0,DO=0,AI=1,AO=0,Bus=0"/>
    <s v="TI-FH-60210_AI_1"/>
    <x v="3"/>
    <n v="3"/>
    <n v="1"/>
    <s v="C2S10AI"/>
    <s v="C2S10AI06"/>
    <s v="C2S10,06"/>
    <s v="AI"/>
    <s v="Require I/O DI= 0,DO=0,AI=1,AO=0,Bus=0"/>
    <x v="2"/>
    <x v="9"/>
    <n v="6"/>
    <m/>
    <n v="0"/>
    <n v="0"/>
    <n v="1"/>
    <n v="0"/>
    <n v="0"/>
    <m/>
    <s v="4 - 20 mA"/>
    <m/>
  </r>
  <r>
    <s v="=CA1+MCP-M2"/>
    <m/>
    <m/>
    <x v="1"/>
    <s v="Spray Dryer 7th Floor"/>
    <x v="2"/>
    <m/>
    <s v="Spray Dryer"/>
    <s v="TT-60201"/>
    <m/>
    <m/>
    <n v="0"/>
    <s v="7th"/>
    <s v="325-01-600-PD-02"/>
    <s v="3-25-01-602-PD-02"/>
    <s v="Steam feed to Spray dryer "/>
    <s v="Require I/O DI= 0,DO=0,AI=1,AO=0,Bus=0"/>
    <s v="TT-60201_AI_1"/>
    <x v="3"/>
    <n v="3"/>
    <n v="1"/>
    <s v="C2S10AI"/>
    <s v="C2S10AI07"/>
    <s v="C2S10,07"/>
    <s v="AI"/>
    <s v="Require I/O DI= 0,DO=0,AI=1,AO=0,Bus=0"/>
    <x v="2"/>
    <x v="9"/>
    <n v="7"/>
    <m/>
    <n v="0"/>
    <n v="0"/>
    <n v="1"/>
    <n v="0"/>
    <n v="0"/>
    <m/>
    <s v="4 - 20 mA"/>
    <m/>
  </r>
  <r>
    <s v="=CA1+MCP-M2"/>
    <m/>
    <m/>
    <x v="1"/>
    <s v="Spray Dryer 7th Floor"/>
    <x v="2"/>
    <m/>
    <s v="Spray Dryer"/>
    <s v="TT-60202"/>
    <m/>
    <m/>
    <n v="0"/>
    <s v="7th"/>
    <s v="325-01-600-PD-07"/>
    <s v="3-25-01-602-PD-07"/>
    <s v="Compress air temp to camera "/>
    <s v="Require I/O DI= 0,DO=0,AI=1,AO=0,Bus=0"/>
    <s v="TT-60202_AI_1"/>
    <x v="3"/>
    <n v="3"/>
    <n v="1"/>
    <s v="C2S10AI"/>
    <s v="C2S10AI08"/>
    <s v="C2S10,08"/>
    <s v="AI"/>
    <s v="Require I/O DI= 0,DO=0,AI=1,AO=0,Bus=0"/>
    <x v="2"/>
    <x v="9"/>
    <n v="8"/>
    <m/>
    <n v="0"/>
    <n v="0"/>
    <n v="1"/>
    <n v="0"/>
    <n v="0"/>
    <m/>
    <s v="4 - 20 mA"/>
    <m/>
  </r>
  <r>
    <s v="=CA1+MCP-M2"/>
    <m/>
    <m/>
    <x v="1"/>
    <s v="Spray Dryer 7th Floor"/>
    <x v="2"/>
    <m/>
    <s v="Spray Dryer"/>
    <s v="TT-60207"/>
    <m/>
    <m/>
    <n v="0"/>
    <s v="7th"/>
    <s v="325-01-600-PD-07"/>
    <s v="3-25-01-602-PD-07"/>
    <s v="Instr. Air Temperature Transmitter for Air Manifold - Camera #4 (ACAM-21)"/>
    <s v="Require I/O DI= 0,DO=0,AI=1,AO=0,Bus=0"/>
    <s v="TT-60207_AI_1"/>
    <x v="3"/>
    <n v="3"/>
    <n v="1"/>
    <s v="C2S10AI"/>
    <s v="C2S10AI09"/>
    <s v="C2S10,09"/>
    <s v="AI"/>
    <s v="Require I/O DI= 0,DO=0,AI=1,AO=0,Bus=0"/>
    <x v="2"/>
    <x v="9"/>
    <n v="9"/>
    <m/>
    <n v="0"/>
    <n v="0"/>
    <n v="1"/>
    <n v="0"/>
    <n v="0"/>
    <m/>
    <s v="4 - 20 mA"/>
    <m/>
  </r>
  <r>
    <s v="=CA1+MCP-M2"/>
    <m/>
    <m/>
    <x v="1"/>
    <s v="Spray Dryer 7th Floor"/>
    <x v="2"/>
    <m/>
    <s v="Spray Dryer"/>
    <s v="UY-FH-60210A"/>
    <m/>
    <m/>
    <n v="0"/>
    <s v="7th"/>
    <s v="325-01-600-PD-06"/>
    <s v="-"/>
    <s v="Comb fan VFD Speed Control"/>
    <s v="Require I/O DI= 0,DO=0,AI=1,AO=0,Bus=0"/>
    <s v="UY-FH-60210A_AI_1"/>
    <x v="3"/>
    <n v="3"/>
    <n v="1"/>
    <s v="C2S10AI"/>
    <s v="C2S10AI10"/>
    <s v="C2S10,10"/>
    <s v="AI"/>
    <s v="Require I/O DI= 0,DO=0,AI=1,AO=0,Bus=0"/>
    <x v="2"/>
    <x v="9"/>
    <n v="10"/>
    <m/>
    <n v="0"/>
    <n v="0"/>
    <n v="1"/>
    <n v="0"/>
    <n v="0"/>
    <m/>
    <s v="4 - 20 mA"/>
    <m/>
  </r>
  <r>
    <s v="=CA1+MCP-M2"/>
    <m/>
    <m/>
    <x v="1"/>
    <s v="Spray Dryer 7th Floor"/>
    <x v="2"/>
    <m/>
    <s v="Spray Dryer"/>
    <s v="UY-FH-60210B"/>
    <m/>
    <m/>
    <n v="0"/>
    <s v="7th"/>
    <s v="325-01-600-PD-06"/>
    <s v="-"/>
    <s v="Demand Signal"/>
    <s v="Require I/O DI= 0,DO=0,AI=0,AO=1,Bus=0"/>
    <s v="UY-FH-60210B_AO_1"/>
    <x v="4"/>
    <n v="4"/>
    <n v="1"/>
    <s v="C2S11AO"/>
    <s v="C2S11AO04"/>
    <s v="C2S11,04"/>
    <s v="AO"/>
    <s v="Require I/O DI= 0,DO=0,AI=0,AO=1,Bus=0"/>
    <x v="2"/>
    <x v="11"/>
    <n v="4"/>
    <m/>
    <n v="0"/>
    <n v="0"/>
    <n v="0"/>
    <n v="1"/>
    <n v="0"/>
    <m/>
    <s v="4 - 20 mA"/>
    <m/>
  </r>
  <r>
    <s v="=CA1+MCP-M2"/>
    <m/>
    <m/>
    <x v="1"/>
    <s v="Spray Dryer 7th Floor"/>
    <x v="2"/>
    <m/>
    <s v="Spray Dryer"/>
    <s v="XA-FH-60210A"/>
    <m/>
    <m/>
    <n v="0"/>
    <s v="7th"/>
    <s v="325-01-600-PD-06"/>
    <s v="-"/>
    <s v="BMS PANEL POWER ON for AHTR-21"/>
    <s v="Require I/O DI= 1,DO=0,AI=0,AO=0,Bus=0"/>
    <s v="XA-FH-60210A_DI_1"/>
    <x v="0"/>
    <n v="1"/>
    <n v="1"/>
    <s v="C2S01DI"/>
    <s v="C2S01DI16"/>
    <s v="C2S01,16"/>
    <s v="DI"/>
    <s v="Require I/O DI= 1,DO=0,AI=0,AO=0,Bus=0"/>
    <x v="2"/>
    <x v="4"/>
    <n v="16"/>
    <m/>
    <n v="1"/>
    <n v="0"/>
    <n v="0"/>
    <n v="0"/>
    <n v="0"/>
    <m/>
    <s v="Dry Contact"/>
    <m/>
  </r>
  <r>
    <s v="=CA1+MCP-M2"/>
    <m/>
    <m/>
    <x v="1"/>
    <s v="Spray Dryer 7th Floor"/>
    <x v="2"/>
    <m/>
    <s v="Spray Dryer"/>
    <s v="XA-FH-60210B"/>
    <m/>
    <m/>
    <n v="0"/>
    <s v="7th"/>
    <s v="325-01-600-PD-06"/>
    <s v="-"/>
    <s v="BMS Burner High Fire Purge for AHTR-21"/>
    <s v="Require I/O DI= 1,DO=0,AI=0,AO=0,Bus=0"/>
    <s v="XA-FH-60210B_DI_1"/>
    <x v="0"/>
    <n v="1"/>
    <n v="1"/>
    <s v="C2S01DI"/>
    <s v="C2S01DI17"/>
    <s v="C2S01,17"/>
    <s v="DI"/>
    <s v="Require I/O DI= 1,DO=0,AI=0,AO=0,Bus=0"/>
    <x v="2"/>
    <x v="4"/>
    <n v="17"/>
    <m/>
    <n v="1"/>
    <n v="0"/>
    <n v="0"/>
    <n v="0"/>
    <n v="0"/>
    <m/>
    <s v="Dry Contact"/>
    <m/>
  </r>
  <r>
    <s v="=CA1+MCP-M2"/>
    <m/>
    <m/>
    <x v="1"/>
    <s v="Spray Dryer 7th Floor"/>
    <x v="2"/>
    <m/>
    <s v="Spray Dryer"/>
    <s v="XA-FH-60210C"/>
    <m/>
    <m/>
    <n v="0"/>
    <s v="7th"/>
    <s v="325-01-600-PD-06"/>
    <s v="-"/>
    <s v="BMS Burner On for AHTR-21"/>
    <s v="Require I/O DI= 1,DO=0,AI=0,AO=0,Bus=0"/>
    <s v="XA-FH-60210C_DI_1"/>
    <x v="0"/>
    <n v="1"/>
    <n v="1"/>
    <s v="C2S01DI"/>
    <s v="C2S01DI18"/>
    <s v="C2S01,18"/>
    <s v="DI"/>
    <s v="Require I/O DI= 1,DO=0,AI=0,AO=0,Bus=0"/>
    <x v="2"/>
    <x v="4"/>
    <n v="18"/>
    <m/>
    <n v="1"/>
    <n v="0"/>
    <n v="0"/>
    <n v="0"/>
    <n v="0"/>
    <m/>
    <s v="Dry Contact"/>
    <m/>
  </r>
  <r>
    <s v="=CA1+MCP-M2"/>
    <m/>
    <m/>
    <x v="1"/>
    <s v="Spray Dryer 7th Floor"/>
    <x v="2"/>
    <m/>
    <s v="Spray Dryer"/>
    <s v="XA-FH-60210D"/>
    <m/>
    <m/>
    <n v="0"/>
    <s v="7th"/>
    <s v="325-01-600-PD-06"/>
    <s v="-"/>
    <s v="BMS BMS Lockout for AHTR-21"/>
    <s v="Require I/O DI= 1,DO=0,AI=0,AO=0,Bus=0"/>
    <s v="XA-FH-60210D_DI_1"/>
    <x v="0"/>
    <n v="1"/>
    <n v="1"/>
    <s v="C2S01DI"/>
    <s v="C2S01DI19"/>
    <s v="C2S01,19"/>
    <s v="DI"/>
    <s v="Require I/O DI= 1,DO=0,AI=0,AO=0,Bus=0"/>
    <x v="2"/>
    <x v="4"/>
    <n v="19"/>
    <m/>
    <n v="1"/>
    <n v="0"/>
    <n v="0"/>
    <n v="0"/>
    <n v="0"/>
    <m/>
    <s v="Dry Contact"/>
    <m/>
  </r>
  <r>
    <s v="=CA1+MCP-M2"/>
    <m/>
    <m/>
    <x v="1"/>
    <s v="Spray Dryer 7th Floor"/>
    <x v="2"/>
    <m/>
    <s v="Spray Dryer"/>
    <s v="XA-FH-60210E"/>
    <m/>
    <m/>
    <n v="0"/>
    <s v="7th"/>
    <s v="325-01-600-PD-06"/>
    <s v="-"/>
    <s v="BMS Remote Modet for AHTR-21"/>
    <s v="Require I/O DI= 1,DO=0,AI=0,AO=0,Bus=0"/>
    <s v="XA-FH-60210E_DI_1"/>
    <x v="0"/>
    <n v="1"/>
    <n v="1"/>
    <s v="C2S01DI"/>
    <s v="C2S01DI20"/>
    <s v="C2S01,20"/>
    <s v="DI"/>
    <s v="Require I/O DI= 1,DO=0,AI=0,AO=0,Bus=0"/>
    <x v="2"/>
    <x v="4"/>
    <n v="20"/>
    <m/>
    <n v="1"/>
    <n v="0"/>
    <n v="0"/>
    <n v="0"/>
    <n v="0"/>
    <m/>
    <s v="Dry Contact"/>
    <m/>
  </r>
  <r>
    <s v="=CA1+MCP-M2"/>
    <m/>
    <m/>
    <x v="1"/>
    <s v="Spray Dryer 7th Floor"/>
    <x v="2"/>
    <m/>
    <s v="Spray Dryer"/>
    <s v="XS-FH-60210C"/>
    <m/>
    <m/>
    <n v="0"/>
    <s v="7th"/>
    <s v="325-01-600-PD-06"/>
    <s v="-"/>
    <s v="Command Remote Reset for AHTR-21"/>
    <s v="Require I/O DI= 0,DO=1,AI=0,AO=0,Bus=0"/>
    <s v="XS-FH-60210C_DO_1"/>
    <x v="1"/>
    <n v="2"/>
    <n v="1"/>
    <s v="C2S04DO"/>
    <s v="C2S04DO01"/>
    <s v="C2S04,01"/>
    <s v="DO"/>
    <s v="Require I/O DI= 0,DO=1,AI=0,AO=0,Bus=0"/>
    <x v="2"/>
    <x v="6"/>
    <n v="1"/>
    <m/>
    <n v="0"/>
    <n v="1"/>
    <n v="0"/>
    <n v="0"/>
    <n v="0"/>
    <m/>
    <s v="Dry Contact"/>
    <m/>
  </r>
  <r>
    <s v="=CA1+MCP-M2"/>
    <m/>
    <m/>
    <x v="1"/>
    <s v="Spray Dryer 7th Floor"/>
    <x v="2"/>
    <m/>
    <s v="Spray Dryer"/>
    <s v="XS-FH-60210D"/>
    <m/>
    <m/>
    <n v="0"/>
    <s v="7th"/>
    <s v="325-01-600-PD-06"/>
    <s v="-"/>
    <s v="Spare"/>
    <s v="Require I/O DI= 0,DO=1,AI=0,AO=0,Bus=0"/>
    <s v="XS-FH-60210D_DO_1"/>
    <x v="1"/>
    <n v="2"/>
    <n v="1"/>
    <s v="C2S04DO"/>
    <s v="C2S04DO02"/>
    <s v="C2S04,02"/>
    <s v="DO"/>
    <s v="Require I/O DI= 0,DO=1,AI=0,AO=0,Bus=0"/>
    <x v="2"/>
    <x v="6"/>
    <n v="2"/>
    <m/>
    <n v="0"/>
    <n v="1"/>
    <n v="0"/>
    <n v="0"/>
    <n v="0"/>
    <m/>
    <s v="Dry Contact"/>
    <m/>
  </r>
  <r>
    <s v="=CA1+MCP-M2"/>
    <m/>
    <m/>
    <x v="1"/>
    <s v="Spray Dryer 7th Floor"/>
    <x v="2"/>
    <m/>
    <s v="Spray Dryer"/>
    <s v="XV-60201"/>
    <n v="1"/>
    <m/>
    <n v="0"/>
    <s v="7th"/>
    <s v="325-01-600-PD-02"/>
    <s v="3-25-01-602-PD-02"/>
    <s v="Steam feed to Spray dryer "/>
    <s v="Require I/O DI= 2,DO=1,AI=0,AO=0,Bus=0"/>
    <s v="XV-60201_DO_1"/>
    <x v="1"/>
    <n v="2"/>
    <n v="1"/>
    <s v="C2S04DO"/>
    <s v="C2S04DO03"/>
    <s v="C2S04,03"/>
    <s v="DO"/>
    <s v="Require I/O DI= 2,DO=1,AI=0,AO=0,Bus=0"/>
    <x v="2"/>
    <x v="6"/>
    <n v="3"/>
    <m/>
    <n v="2"/>
    <n v="1"/>
    <n v="0"/>
    <n v="0"/>
    <n v="0"/>
    <m/>
    <s v="24 VDC energized"/>
    <m/>
  </r>
  <r>
    <s v="=CA1+MCP-M2"/>
    <m/>
    <m/>
    <x v="1"/>
    <s v="Spray Dryer 7th Floor"/>
    <x v="2"/>
    <m/>
    <s v="Spray Dryer"/>
    <s v="XV-60261"/>
    <n v="1"/>
    <m/>
    <e v="#N/A"/>
    <s v="7th"/>
    <s v="325-01-600-PD-02"/>
    <s v="-"/>
    <e v="#N/A"/>
    <s v="Require I/O DI= 2,DO=1,AI=0,AO=0,Bus=0"/>
    <s v="XV-60261_DO_1"/>
    <x v="1"/>
    <n v="2"/>
    <n v="1"/>
    <s v="C2S04DO"/>
    <s v="C2S04DO04"/>
    <s v="C2S04,04"/>
    <s v="DO"/>
    <s v="Require I/O DI= 2,DO=1,AI=0,AO=0,Bus=0"/>
    <x v="2"/>
    <x v="6"/>
    <n v="4"/>
    <m/>
    <n v="2"/>
    <n v="1"/>
    <n v="0"/>
    <n v="0"/>
    <n v="0"/>
    <m/>
    <e v="#N/A"/>
    <m/>
  </r>
  <r>
    <s v="=CA1+MCP-M2"/>
    <m/>
    <m/>
    <x v="1"/>
    <s v="Spray Dryer 7th Floor"/>
    <x v="2"/>
    <m/>
    <s v="Spray Dryer"/>
    <s v="XV-60261FA"/>
    <n v="1"/>
    <m/>
    <n v="0"/>
    <s v="7th"/>
    <s v="325-01-600-PD-02"/>
    <s v="3-25-01-602-PD-02"/>
    <s v="Feed Slurry On/Off Valve for Nozzle #1 (ATVM-11A)"/>
    <s v="Require I/O DI= 2,DO=1,AI=0,AO=0,Bus=0"/>
    <s v="XV-60261FA_DO_1"/>
    <x v="1"/>
    <n v="2"/>
    <n v="1"/>
    <s v="C2S04DO"/>
    <s v="C2S04DO05"/>
    <s v="C2S04,05"/>
    <s v="DO"/>
    <s v="Require I/O DI= 2,DO=1,AI=0,AO=0,Bus=0"/>
    <x v="2"/>
    <x v="6"/>
    <n v="5"/>
    <m/>
    <n v="2"/>
    <n v="1"/>
    <n v="0"/>
    <n v="0"/>
    <n v="0"/>
    <m/>
    <s v="24 VDC energized,Dry Contact"/>
    <m/>
  </r>
  <r>
    <s v="=CA1+MCP-M2"/>
    <m/>
    <m/>
    <x v="1"/>
    <s v="Spray Dryer 7th Floor"/>
    <x v="2"/>
    <m/>
    <s v="Spray Dryer"/>
    <s v="XV-60261FB"/>
    <n v="1"/>
    <m/>
    <n v="0"/>
    <s v="7th"/>
    <s v="325-01-600-PD-02"/>
    <s v="3-25-01-602-PD-02"/>
    <s v="Feed Slurry On/Off Valve for Nozzle #2 (ATVM-11A)"/>
    <s v="Require I/O DI= 2,DO=1,AI=0,AO=0,Bus=0"/>
    <s v="XV-60261FB_DO_1"/>
    <x v="1"/>
    <n v="2"/>
    <n v="1"/>
    <s v="C2S04DO"/>
    <s v="C2S04DO06"/>
    <s v="C2S04,06"/>
    <s v="DO"/>
    <s v="Require I/O DI= 2,DO=1,AI=0,AO=0,Bus=0"/>
    <x v="2"/>
    <x v="6"/>
    <n v="6"/>
    <m/>
    <n v="2"/>
    <n v="1"/>
    <n v="0"/>
    <n v="0"/>
    <n v="0"/>
    <m/>
    <s v="24 VDC energized,Dry Contact"/>
    <m/>
  </r>
  <r>
    <s v="=CA1+MCP-M2"/>
    <m/>
    <m/>
    <x v="1"/>
    <s v="Spray Dryer 7th Floor"/>
    <x v="2"/>
    <m/>
    <s v="Spray Dryer"/>
    <s v="XV-60261FC"/>
    <n v="1"/>
    <m/>
    <n v="0"/>
    <s v="7th"/>
    <s v="325-01-600-PD-02"/>
    <s v="3-25-01-602-PD-02"/>
    <s v="Feed Slurry On/Off Valve for Nozzle #3 (ATVM-11A)"/>
    <s v="Require I/O DI= 2,DO=1,AI=0,AO=0,Bus=0"/>
    <s v="XV-60261FC_DO_1"/>
    <x v="1"/>
    <n v="2"/>
    <n v="1"/>
    <s v="C2S04DO"/>
    <s v="C2S04DO07"/>
    <s v="C2S04,07"/>
    <s v="DO"/>
    <s v="Require I/O DI= 2,DO=1,AI=0,AO=0,Bus=0"/>
    <x v="2"/>
    <x v="6"/>
    <n v="7"/>
    <m/>
    <n v="2"/>
    <n v="1"/>
    <n v="0"/>
    <n v="0"/>
    <n v="0"/>
    <m/>
    <s v="24 VDC energized,Dry Contact"/>
    <m/>
  </r>
  <r>
    <s v="=CA1+MCP-M2"/>
    <m/>
    <m/>
    <x v="1"/>
    <s v="Spray Dryer 7th Floor"/>
    <x v="2"/>
    <m/>
    <s v="Spray Dryer"/>
    <s v="XV-60261FD"/>
    <n v="1"/>
    <m/>
    <n v="0"/>
    <s v="7th"/>
    <s v="325-01-600-PD-02"/>
    <s v="3-25-01-602-PD-02"/>
    <s v="Feed Slurry On/Off Valve for Nozzle #4 (ATVM-11A)"/>
    <s v="Require I/O DI= 2,DO=1,AI=0,AO=0,Bus=0"/>
    <s v="XV-60261FD_DO_1"/>
    <x v="1"/>
    <n v="2"/>
    <n v="1"/>
    <s v="C2S04DO"/>
    <s v="C2S04DO08"/>
    <s v="C2S04,08"/>
    <s v="DO"/>
    <s v="Require I/O DI= 2,DO=1,AI=0,AO=0,Bus=0"/>
    <x v="2"/>
    <x v="6"/>
    <n v="8"/>
    <m/>
    <n v="2"/>
    <n v="1"/>
    <n v="0"/>
    <n v="0"/>
    <n v="0"/>
    <m/>
    <s v="24 VDC energized,Dry Contact"/>
    <m/>
  </r>
  <r>
    <s v="=CA1+MCP-M2"/>
    <m/>
    <m/>
    <x v="1"/>
    <s v="Spray Dryer 7th Floor"/>
    <x v="2"/>
    <m/>
    <s v="Spray Dryer"/>
    <s v="XV-60261SA"/>
    <n v="1"/>
    <m/>
    <n v="0"/>
    <s v="7th"/>
    <s v="325-01-600-PD-02"/>
    <s v="3-25-01-602-PD-02"/>
    <s v="Steam On/Off Valve for Nozzle #1 (ATVM-11A)"/>
    <s v="Require I/O DI= 2,DO=1,AI=0,AO=0,Bus=0"/>
    <s v="XV-60261SA_DO_1"/>
    <x v="1"/>
    <n v="2"/>
    <n v="1"/>
    <s v="C2S04DO"/>
    <s v="C2S04DO09"/>
    <s v="C2S04,09"/>
    <s v="DO"/>
    <s v="Require I/O DI= 2,DO=1,AI=0,AO=0,Bus=0"/>
    <x v="2"/>
    <x v="6"/>
    <n v="9"/>
    <m/>
    <n v="2"/>
    <n v="1"/>
    <n v="0"/>
    <n v="0"/>
    <n v="0"/>
    <m/>
    <s v="24 VDC energized,Dry Contact"/>
    <m/>
  </r>
  <r>
    <s v="=CA1+MCP-M2"/>
    <m/>
    <m/>
    <x v="1"/>
    <s v="Spray Dryer 7th Floor"/>
    <x v="2"/>
    <m/>
    <s v="Spray Dryer"/>
    <s v="XV-60261SB"/>
    <n v="1"/>
    <m/>
    <n v="0"/>
    <s v="7th"/>
    <s v="325-01-600-PD-02"/>
    <s v="3-25-01-602-PD-02"/>
    <s v="Steam On/Off Valve for Nozzle #2 (ATVM-11A)"/>
    <s v="Require I/O DI= 2,DO=1,AI=0,AO=0,Bus=0"/>
    <s v="XV-60261SB_DO_1"/>
    <x v="1"/>
    <n v="2"/>
    <n v="1"/>
    <s v="C2S04DO"/>
    <s v="C2S04DO10"/>
    <s v="C2S04,10"/>
    <s v="DO"/>
    <s v="Require I/O DI= 2,DO=1,AI=0,AO=0,Bus=0"/>
    <x v="2"/>
    <x v="6"/>
    <n v="10"/>
    <m/>
    <n v="2"/>
    <n v="1"/>
    <n v="0"/>
    <n v="0"/>
    <n v="0"/>
    <m/>
    <s v="24 VDC energized,Dry Contact"/>
    <m/>
  </r>
  <r>
    <s v="=CA1+MCP-M2"/>
    <m/>
    <m/>
    <x v="1"/>
    <s v="Spray Dryer 7th Floor"/>
    <x v="2"/>
    <m/>
    <s v="Spray Dryer"/>
    <s v="XV-60261SC"/>
    <n v="1"/>
    <m/>
    <n v="0"/>
    <s v="7th"/>
    <s v="325-01-600-PD-02"/>
    <s v="3-25-01-602-PD-02"/>
    <s v="Steam On/Off Valve for Nozzle #3 (ATVM-11A)"/>
    <s v="Require I/O DI= 2,DO=1,AI=0,AO=0,Bus=0"/>
    <s v="XV-60261SC_DO_1"/>
    <x v="1"/>
    <n v="2"/>
    <n v="1"/>
    <s v="C2S04DO"/>
    <s v="C2S04DO11"/>
    <s v="C2S04,11"/>
    <s v="DO"/>
    <s v="Require I/O DI= 2,DO=1,AI=0,AO=0,Bus=0"/>
    <x v="2"/>
    <x v="6"/>
    <n v="11"/>
    <m/>
    <n v="2"/>
    <n v="1"/>
    <n v="0"/>
    <n v="0"/>
    <n v="0"/>
    <m/>
    <s v="24 VDC energized,Dry Contact"/>
    <m/>
  </r>
  <r>
    <s v="=CA1+MCP-M2"/>
    <m/>
    <m/>
    <x v="1"/>
    <s v="Spray Dryer 7th Floor"/>
    <x v="2"/>
    <m/>
    <s v="Spray Dryer"/>
    <s v="XV-60261SD"/>
    <n v="1"/>
    <m/>
    <n v="0"/>
    <s v="7th"/>
    <s v="325-01-600-PD-02"/>
    <s v="3-25-01-602-PD-02"/>
    <s v="Steam On/Off Valve for Nozzle #4 (ATVM-11A)"/>
    <s v="Require I/O DI= 2,DO=1,AI=0,AO=0,Bus=0"/>
    <s v="XV-60261SD_DO_1"/>
    <x v="1"/>
    <n v="2"/>
    <n v="1"/>
    <s v="C2S04DO"/>
    <s v="C2S04DO12"/>
    <s v="C2S04,12"/>
    <s v="DO"/>
    <s v="Require I/O DI= 2,DO=1,AI=0,AO=0,Bus=0"/>
    <x v="2"/>
    <x v="6"/>
    <n v="12"/>
    <m/>
    <n v="2"/>
    <n v="1"/>
    <n v="0"/>
    <n v="0"/>
    <n v="0"/>
    <m/>
    <s v="24 VDC energized,Dry Contact"/>
    <m/>
  </r>
  <r>
    <s v="=CA1+MCP-M2"/>
    <m/>
    <m/>
    <x v="1"/>
    <s v="Spray Dryer 7th Floor"/>
    <x v="2"/>
    <m/>
    <s v="Spray Dryer"/>
    <s v="XV-60262"/>
    <n v="1"/>
    <m/>
    <e v="#N/A"/>
    <s v="7th"/>
    <s v="325-01-600-PD-02"/>
    <s v="-"/>
    <e v="#N/A"/>
    <s v="Require I/O DI= 2,DO=1,AI=0,AO=0,Bus=0"/>
    <s v="XV-60262_DO_1"/>
    <x v="1"/>
    <n v="2"/>
    <n v="1"/>
    <s v="C2S04DO"/>
    <s v="C2S04DO13"/>
    <s v="C2S04,13"/>
    <s v="DO"/>
    <s v="Require I/O DI= 2,DO=1,AI=0,AO=0,Bus=0"/>
    <x v="2"/>
    <x v="6"/>
    <n v="13"/>
    <m/>
    <n v="2"/>
    <n v="1"/>
    <n v="0"/>
    <n v="0"/>
    <n v="0"/>
    <m/>
    <e v="#N/A"/>
    <m/>
  </r>
  <r>
    <s v="=CA1+MCP-M2"/>
    <m/>
    <m/>
    <x v="1"/>
    <s v="Spray Dryer 7th Floor"/>
    <x v="2"/>
    <m/>
    <s v="Spray Dryer"/>
    <s v="XV-60262FE"/>
    <n v="1"/>
    <m/>
    <n v="0"/>
    <s v="7th"/>
    <s v="325-01-600-PD-02"/>
    <s v="3-25-01-602-PD-02"/>
    <s v="Feed Slurry On/Off Valve for Nozzle #5 (ATVM-11B)"/>
    <s v="Require I/O DI= 2,DO=1,AI=0,AO=0,Bus=0"/>
    <s v="XV-60262FE_DO_1"/>
    <x v="1"/>
    <n v="2"/>
    <n v="1"/>
    <s v="C2S04DO"/>
    <s v="C2S04DO14"/>
    <s v="C2S04,14"/>
    <s v="DO"/>
    <s v="Require I/O DI= 2,DO=1,AI=0,AO=0,Bus=0"/>
    <x v="2"/>
    <x v="6"/>
    <n v="14"/>
    <m/>
    <n v="2"/>
    <n v="1"/>
    <n v="0"/>
    <n v="0"/>
    <n v="0"/>
    <m/>
    <s v="24 VDC energized,Dry Contact"/>
    <m/>
  </r>
  <r>
    <s v="=CA1+MCP-M2"/>
    <m/>
    <m/>
    <x v="1"/>
    <s v="Spray Dryer 7th Floor"/>
    <x v="2"/>
    <m/>
    <s v="Spray Dryer"/>
    <s v="XV-60262FF"/>
    <n v="1"/>
    <m/>
    <n v="0"/>
    <s v="7th"/>
    <s v="325-01-600-PD-02"/>
    <s v="3-25-01-602-PD-02"/>
    <s v="Feed Slurry On/Off Valve for Nozzle #6 (ATVM-11B)"/>
    <s v="Require I/O DI= 2,DO=1,AI=0,AO=0,Bus=0"/>
    <s v="XV-60262FF_DO_1"/>
    <x v="1"/>
    <n v="2"/>
    <n v="1"/>
    <s v="C2S04DO"/>
    <s v="C2S04DO15"/>
    <s v="C2S04,15"/>
    <s v="DO"/>
    <s v="Require I/O DI= 2,DO=1,AI=0,AO=0,Bus=0"/>
    <x v="2"/>
    <x v="6"/>
    <n v="15"/>
    <m/>
    <n v="2"/>
    <n v="1"/>
    <n v="0"/>
    <n v="0"/>
    <n v="0"/>
    <m/>
    <s v="24 VDC energized,Dry Contact"/>
    <m/>
  </r>
  <r>
    <s v="=CA1+MCP-M2"/>
    <m/>
    <m/>
    <x v="1"/>
    <s v="Spray Dryer 7th Floor"/>
    <x v="2"/>
    <m/>
    <s v="Spray Dryer"/>
    <s v="XV-60262FG"/>
    <n v="1"/>
    <m/>
    <n v="0"/>
    <s v="7th"/>
    <s v="325-01-600-PD-02"/>
    <s v="3-25-01-602-PD-02"/>
    <s v="Feed Slurry On/Off Valve for Nozzle #7 (ATVM-11B)"/>
    <s v="Require I/O DI= 2,DO=1,AI=0,AO=0,Bus=0"/>
    <s v="XV-60262FG_DO_1"/>
    <x v="1"/>
    <n v="2"/>
    <n v="1"/>
    <s v="C2S04DO"/>
    <s v="C2S04DO16"/>
    <s v="C2S04,16"/>
    <s v="DO"/>
    <s v="Require I/O DI= 2,DO=1,AI=0,AO=0,Bus=0"/>
    <x v="2"/>
    <x v="6"/>
    <n v="16"/>
    <m/>
    <n v="2"/>
    <n v="1"/>
    <n v="0"/>
    <n v="0"/>
    <n v="0"/>
    <m/>
    <s v="24 VDC energized,Dry Contact"/>
    <m/>
  </r>
  <r>
    <s v="=CA1+MCP-M2"/>
    <m/>
    <m/>
    <x v="1"/>
    <s v="Spray Dryer 7th Floor"/>
    <x v="2"/>
    <m/>
    <s v="Spray Dryer"/>
    <s v="XV-60262FH"/>
    <n v="1"/>
    <m/>
    <n v="0"/>
    <s v="7th"/>
    <s v="325-01-600-PD-02"/>
    <s v="3-25-01-602-PD-02"/>
    <s v="Feed Slurry On/Off Valve for Nozzle #8 (ATVM-11B)"/>
    <s v="Require I/O DI= 2,DO=1,AI=0,AO=0,Bus=0"/>
    <s v="XV-60262FH_DO_1"/>
    <x v="1"/>
    <n v="2"/>
    <n v="1"/>
    <s v="C2S04DO"/>
    <s v="C2S04DO17"/>
    <s v="C2S04,17"/>
    <s v="DO"/>
    <s v="Require I/O DI= 2,DO=1,AI=0,AO=0,Bus=0"/>
    <x v="2"/>
    <x v="6"/>
    <n v="17"/>
    <m/>
    <n v="2"/>
    <n v="1"/>
    <n v="0"/>
    <n v="0"/>
    <n v="0"/>
    <m/>
    <s v="24 VDC energized,Dry Contact"/>
    <m/>
  </r>
  <r>
    <s v="=CA1+MCP-M2"/>
    <m/>
    <m/>
    <x v="1"/>
    <s v="Spray Dryer 7th Floor"/>
    <x v="2"/>
    <m/>
    <s v="Spray Dryer"/>
    <s v="XV-60262SE"/>
    <n v="1"/>
    <m/>
    <n v="0"/>
    <s v="7th"/>
    <s v="325-01-600-PD-02"/>
    <s v="3-25-01-602-PD-02"/>
    <s v="Steam On/Off Valve for Nozzle #5 (ATVM-11B)"/>
    <s v="Require I/O DI= 2,DO=1,AI=0,AO=0,Bus=0"/>
    <s v="XV-60262SE_DO_1"/>
    <x v="1"/>
    <n v="2"/>
    <n v="1"/>
    <s v="C2S04DO"/>
    <s v="C2S04DO18"/>
    <s v="C2S04,18"/>
    <s v="DO"/>
    <s v="Require I/O DI= 2,DO=1,AI=0,AO=0,Bus=0"/>
    <x v="2"/>
    <x v="6"/>
    <n v="18"/>
    <m/>
    <n v="2"/>
    <n v="1"/>
    <n v="0"/>
    <n v="0"/>
    <n v="0"/>
    <m/>
    <s v="24 VDC energized,Dry Contact"/>
    <m/>
  </r>
  <r>
    <s v="=CA1+MCP-M2"/>
    <m/>
    <m/>
    <x v="1"/>
    <s v="Spray Dryer 7th Floor"/>
    <x v="2"/>
    <m/>
    <s v="Spray Dryer"/>
    <s v="XV-60262SF"/>
    <n v="1"/>
    <m/>
    <n v="0"/>
    <s v="7th"/>
    <s v="325-01-600-PD-02"/>
    <s v="3-25-01-602-PD-02"/>
    <s v="Steam On/Off Valve for Nozzle #6 (ATVM-11B)"/>
    <s v="Require I/O DI= 2,DO=1,AI=0,AO=0,Bus=0"/>
    <s v="XV-60262SF_DO_1"/>
    <x v="1"/>
    <n v="2"/>
    <n v="1"/>
    <s v="C2S04DO"/>
    <s v="C2S04DO19"/>
    <s v="C2S04,19"/>
    <s v="DO"/>
    <s v="Require I/O DI= 2,DO=1,AI=0,AO=0,Bus=0"/>
    <x v="2"/>
    <x v="6"/>
    <n v="19"/>
    <m/>
    <n v="2"/>
    <n v="1"/>
    <n v="0"/>
    <n v="0"/>
    <n v="0"/>
    <m/>
    <s v="24 VDC energized,Dry Contact"/>
    <m/>
  </r>
  <r>
    <s v="=CA1+MCP-M2"/>
    <m/>
    <m/>
    <x v="1"/>
    <s v="Spray Dryer 7th Floor"/>
    <x v="2"/>
    <m/>
    <s v="Spray Dryer"/>
    <s v="XV-60262SG"/>
    <n v="1"/>
    <m/>
    <n v="0"/>
    <s v="7th"/>
    <s v="325-01-600-PD-02"/>
    <s v="3-25-01-602-PD-02"/>
    <s v="Steam On/Off Valve for Nozzle #7 (ATVM-11B)"/>
    <s v="Require I/O DI= 2,DO=1,AI=0,AO=0,Bus=0"/>
    <s v="XV-60262SG_DO_1"/>
    <x v="1"/>
    <n v="2"/>
    <n v="1"/>
    <s v="C2S04DO"/>
    <s v="C2S04DO20"/>
    <s v="C2S04,20"/>
    <s v="DO"/>
    <s v="Require I/O DI= 2,DO=1,AI=0,AO=0,Bus=0"/>
    <x v="2"/>
    <x v="6"/>
    <n v="20"/>
    <m/>
    <n v="2"/>
    <n v="1"/>
    <n v="0"/>
    <n v="0"/>
    <n v="0"/>
    <m/>
    <s v="24 VDC energized,Dry Contact"/>
    <m/>
  </r>
  <r>
    <s v="=CA1+MCP-M2"/>
    <m/>
    <m/>
    <x v="1"/>
    <s v="Spray Dryer 7th Floor"/>
    <x v="2"/>
    <m/>
    <s v="Spray Dryer"/>
    <s v="XV-60262SH"/>
    <n v="1"/>
    <m/>
    <n v="0"/>
    <s v="7th"/>
    <s v="325-01-600-PD-02"/>
    <s v="3-25-01-602-PD-02"/>
    <s v="Steam On/Off Valve for Nozzle #8 (ATVM-11B)"/>
    <s v="Require I/O DI= 2,DO=1,AI=0,AO=0,Bus=0"/>
    <s v="XV-60262SH_DO_1"/>
    <x v="1"/>
    <n v="2"/>
    <n v="1"/>
    <s v="C2S04DO"/>
    <s v="C2S04DO21"/>
    <s v="C2S04,21"/>
    <s v="DO"/>
    <s v="Require I/O DI= 2,DO=1,AI=0,AO=0,Bus=0"/>
    <x v="2"/>
    <x v="6"/>
    <n v="21"/>
    <m/>
    <n v="2"/>
    <n v="1"/>
    <n v="0"/>
    <n v="0"/>
    <n v="0"/>
    <m/>
    <s v="24 VDC energized,Dry Contact"/>
    <m/>
  </r>
  <r>
    <s v="=CA1+MCP-M2"/>
    <m/>
    <m/>
    <x v="1"/>
    <s v="Spray Dryer 7th Floor"/>
    <x v="2"/>
    <m/>
    <s v="Spray Dryer"/>
    <s v="XV-60263"/>
    <n v="1"/>
    <m/>
    <e v="#N/A"/>
    <s v="7th"/>
    <s v="325-01-600-PD-02"/>
    <s v="-"/>
    <e v="#N/A"/>
    <s v="Require I/O DI= 2,DO=1,AI=0,AO=0,Bus=0"/>
    <s v="XV-60263_DO_1"/>
    <x v="1"/>
    <n v="2"/>
    <n v="1"/>
    <s v="C2S04DO"/>
    <s v="C2S04DO22"/>
    <s v="C2S04,22"/>
    <s v="DO"/>
    <s v="Require I/O DI= 2,DO=1,AI=0,AO=0,Bus=0"/>
    <x v="2"/>
    <x v="6"/>
    <n v="22"/>
    <m/>
    <n v="2"/>
    <n v="1"/>
    <n v="0"/>
    <n v="0"/>
    <n v="0"/>
    <m/>
    <e v="#N/A"/>
    <m/>
  </r>
  <r>
    <s v="=CA1+MCP-M2"/>
    <m/>
    <m/>
    <x v="1"/>
    <s v="Spray Dryer 7th Floor"/>
    <x v="2"/>
    <m/>
    <s v="Spray Dryer"/>
    <s v="XV-60263FJ"/>
    <n v="1"/>
    <m/>
    <n v="0"/>
    <s v="7th"/>
    <s v="325-01-600-PD-02"/>
    <s v="3-25-01-602-PD-02"/>
    <s v="Feed Slurry On/Off Valve for Nozzle #9 (ATVM-11C)"/>
    <s v="Require I/O DI= 2,DO=1,AI=0,AO=0,Bus=0"/>
    <s v="XV-60263FJ_DO_1"/>
    <x v="1"/>
    <n v="2"/>
    <n v="1"/>
    <s v="C2S04DO"/>
    <s v="C2S04DO23"/>
    <s v="C2S04,23"/>
    <s v="DO"/>
    <s v="Require I/O DI= 2,DO=1,AI=0,AO=0,Bus=0"/>
    <x v="2"/>
    <x v="6"/>
    <n v="23"/>
    <m/>
    <n v="2"/>
    <n v="1"/>
    <n v="0"/>
    <n v="0"/>
    <n v="0"/>
    <m/>
    <s v="24 VDC energized,Dry Contact"/>
    <m/>
  </r>
  <r>
    <s v="=CA1+MCP-M2"/>
    <m/>
    <m/>
    <x v="1"/>
    <s v="Spray Dryer 7th Floor"/>
    <x v="2"/>
    <m/>
    <s v="Spray Dryer"/>
    <s v="XV-60263FK"/>
    <n v="1"/>
    <m/>
    <n v="0"/>
    <s v="7th"/>
    <s v="325-01-600-PD-02"/>
    <s v="3-25-01-602-PD-02"/>
    <s v="Feed Slurry On/Off Valve for Nozzle #10 (ATVM-11C)"/>
    <s v="Require I/O DI= 2,DO=1,AI=0,AO=0,Bus=0"/>
    <s v="XV-60263FK_DO_1"/>
    <x v="1"/>
    <n v="2"/>
    <n v="1"/>
    <s v="C2S04DO"/>
    <s v="C2S04DO24"/>
    <s v="C2S04,24"/>
    <s v="DO"/>
    <s v="Require I/O DI= 2,DO=1,AI=0,AO=0,Bus=0"/>
    <x v="2"/>
    <x v="6"/>
    <n v="24"/>
    <m/>
    <n v="2"/>
    <n v="1"/>
    <n v="0"/>
    <n v="0"/>
    <n v="0"/>
    <m/>
    <s v="24 VDC energized,Dry Contact"/>
    <m/>
  </r>
  <r>
    <s v="=CA1+MCP-M2"/>
    <m/>
    <m/>
    <x v="1"/>
    <s v="Spray Dryer 7th Floor"/>
    <x v="2"/>
    <m/>
    <s v="Spray Dryer"/>
    <s v="XV-60263FL"/>
    <n v="1"/>
    <m/>
    <n v="0"/>
    <s v="7th"/>
    <s v="325-01-600-PD-02"/>
    <s v="3-25-01-602-PD-02"/>
    <s v="Feed Slurry On/Off Valve for Nozzle #11 (ATVM-11C)"/>
    <s v="Require I/O DI= 2,DO=1,AI=0,AO=0,Bus=0"/>
    <s v="XV-60263FL_DO_1"/>
    <x v="1"/>
    <n v="2"/>
    <n v="1"/>
    <s v="C2S04DO"/>
    <s v="C2S04DO25"/>
    <s v="C2S04,25"/>
    <s v="DO"/>
    <s v="Require I/O DI= 2,DO=1,AI=0,AO=0,Bus=0"/>
    <x v="2"/>
    <x v="6"/>
    <n v="25"/>
    <m/>
    <n v="2"/>
    <n v="1"/>
    <n v="0"/>
    <n v="0"/>
    <n v="0"/>
    <m/>
    <s v="24 VDC energized,Dry Contact"/>
    <m/>
  </r>
  <r>
    <s v="=CA1+MCP-M2"/>
    <m/>
    <m/>
    <x v="1"/>
    <s v="Spray Dryer 7th Floor"/>
    <x v="2"/>
    <m/>
    <s v="Spray Dryer"/>
    <s v="XV-60263FM"/>
    <n v="1"/>
    <m/>
    <n v="0"/>
    <s v="7th"/>
    <s v="325-01-600-PD-02"/>
    <s v="3-25-01-602-PD-02"/>
    <s v="Feed Slurry On/Off Valve for Nozzle #12 (ATVM-11C)"/>
    <s v="Require I/O DI= 2,DO=1,AI=0,AO=0,Bus=0"/>
    <s v="XV-60263FM_DO_1"/>
    <x v="1"/>
    <n v="2"/>
    <n v="1"/>
    <s v="C2S04DO"/>
    <s v="C2S04DO26"/>
    <s v="C2S04,26"/>
    <s v="DO"/>
    <s v="Require I/O DI= 2,DO=1,AI=0,AO=0,Bus=0"/>
    <x v="2"/>
    <x v="6"/>
    <n v="26"/>
    <m/>
    <n v="2"/>
    <n v="1"/>
    <n v="0"/>
    <n v="0"/>
    <n v="0"/>
    <m/>
    <s v="24 VDC energized,Dry Contact"/>
    <m/>
  </r>
  <r>
    <s v="=CA1+MCP-M2"/>
    <m/>
    <m/>
    <x v="1"/>
    <s v="Spray Dryer 7th Floor"/>
    <x v="2"/>
    <m/>
    <s v="Spray Dryer"/>
    <s v="XV-60263SJ"/>
    <n v="1"/>
    <m/>
    <n v="0"/>
    <s v="7th"/>
    <s v="325-01-600-PD-02"/>
    <s v="3-25-01-602-PD-02"/>
    <s v="Steam On/Off Valve for Nozzle #9 (ATVM-11C)"/>
    <s v="Require I/O DI= 2,DO=1,AI=0,AO=0,Bus=0"/>
    <s v="XV-60263SJ_DO_1"/>
    <x v="1"/>
    <n v="2"/>
    <n v="1"/>
    <s v="C2S04DO"/>
    <s v="C2S04DO27"/>
    <s v="C2S04,27"/>
    <s v="DO"/>
    <s v="Require I/O DI= 2,DO=1,AI=0,AO=0,Bus=0"/>
    <x v="2"/>
    <x v="6"/>
    <n v="27"/>
    <m/>
    <n v="2"/>
    <n v="1"/>
    <n v="0"/>
    <n v="0"/>
    <n v="0"/>
    <m/>
    <s v="24 VDC energized,Dry Contact"/>
    <m/>
  </r>
  <r>
    <s v="=CA1+MCP-M2"/>
    <m/>
    <m/>
    <x v="1"/>
    <s v="Spray Dryer 7th Floor"/>
    <x v="2"/>
    <m/>
    <s v="Spray Dryer"/>
    <s v="XV-60263SK"/>
    <n v="1"/>
    <m/>
    <n v="0"/>
    <s v="7th"/>
    <s v="325-01-600-PD-02"/>
    <s v="3-25-01-602-PD-02"/>
    <s v="Steam On/Off Valve for Nozzle #10 (ATVM-11C)"/>
    <s v="Require I/O DI= 2,DO=1,AI=0,AO=0,Bus=0"/>
    <s v="XV-60263SK_DO_1"/>
    <x v="1"/>
    <n v="2"/>
    <n v="1"/>
    <s v="C2S04DO"/>
    <s v="C2S04DO28"/>
    <s v="C2S04,28"/>
    <s v="DO"/>
    <s v="Require I/O DI= 2,DO=1,AI=0,AO=0,Bus=0"/>
    <x v="2"/>
    <x v="6"/>
    <n v="28"/>
    <m/>
    <n v="2"/>
    <n v="1"/>
    <n v="0"/>
    <n v="0"/>
    <n v="0"/>
    <m/>
    <s v="24 VDC energized,Dry Contact"/>
    <m/>
  </r>
  <r>
    <s v="=CA1+MCP-M2"/>
    <m/>
    <m/>
    <x v="1"/>
    <s v="Spray Dryer 7th Floor"/>
    <x v="2"/>
    <m/>
    <s v="Spray Dryer"/>
    <s v="XV-60263SL"/>
    <n v="1"/>
    <m/>
    <n v="0"/>
    <s v="7th"/>
    <s v="325-01-600-PD-02"/>
    <s v="3-25-01-602-PD-02"/>
    <s v="Steam On/Off Valve for Nozzle #11 (ATVM-11C)"/>
    <s v="Require I/O DI= 2,DO=1,AI=0,AO=0,Bus=0"/>
    <s v="XV-60263SL_DO_1"/>
    <x v="1"/>
    <n v="2"/>
    <n v="1"/>
    <s v="C2S04DO"/>
    <s v="C2S04DO29"/>
    <s v="C2S04,29"/>
    <s v="DO"/>
    <s v="Require I/O DI= 2,DO=1,AI=0,AO=0,Bus=0"/>
    <x v="2"/>
    <x v="6"/>
    <n v="29"/>
    <m/>
    <n v="2"/>
    <n v="1"/>
    <n v="0"/>
    <n v="0"/>
    <n v="0"/>
    <m/>
    <s v="24 VDC energized,Dry Contact"/>
    <m/>
  </r>
  <r>
    <s v="=CA1+MCP-M2"/>
    <m/>
    <m/>
    <x v="1"/>
    <s v="Spray Dryer 7th Floor"/>
    <x v="2"/>
    <m/>
    <s v="Spray Dryer"/>
    <s v="XV-60263SM"/>
    <n v="1"/>
    <m/>
    <n v="0"/>
    <s v="7th"/>
    <s v="325-01-600-PD-02"/>
    <s v="3-25-01-602-PD-02"/>
    <s v="Steam On/Off Valve for Nozzle #12 (ATVM-11C)"/>
    <s v="Require I/O DI= 2,DO=1,AI=0,AO=0,Bus=0"/>
    <s v="XV-60263SM_DO_1"/>
    <x v="1"/>
    <n v="2"/>
    <n v="1"/>
    <s v="C2S04DO"/>
    <s v="C2S04DO30"/>
    <s v="C2S04,30"/>
    <s v="DO"/>
    <s v="Require I/O DI= 2,DO=1,AI=0,AO=0,Bus=0"/>
    <x v="2"/>
    <x v="6"/>
    <n v="30"/>
    <m/>
    <n v="2"/>
    <n v="1"/>
    <n v="0"/>
    <n v="0"/>
    <n v="0"/>
    <m/>
    <s v="24 VDC energized,Dry Contact"/>
    <m/>
  </r>
  <r>
    <s v="=CA1+MCP-M2"/>
    <m/>
    <m/>
    <x v="1"/>
    <s v="Spray Dryer 7th Floor"/>
    <x v="2"/>
    <m/>
    <s v="Spray Dryer"/>
    <s v="XV-60264"/>
    <n v="1"/>
    <m/>
    <e v="#N/A"/>
    <s v="7th"/>
    <s v="325-01-600-PD-02"/>
    <s v="-"/>
    <e v="#N/A"/>
    <s v="Require I/O DI= 2,DO=1,AI=0,AO=0,Bus=0"/>
    <s v="XV-60264_DO_1"/>
    <x v="1"/>
    <n v="2"/>
    <n v="1"/>
    <s v="C2S05DO"/>
    <s v="C2S05DO00"/>
    <s v="C2S05,00"/>
    <s v="DO"/>
    <s v="Require I/O DI= 2,DO=1,AI=0,AO=0,Bus=0"/>
    <x v="2"/>
    <x v="5"/>
    <n v="0"/>
    <m/>
    <n v="2"/>
    <n v="1"/>
    <n v="0"/>
    <n v="0"/>
    <n v="0"/>
    <m/>
    <e v="#N/A"/>
    <m/>
  </r>
  <r>
    <s v="=CA1+MCP-M2"/>
    <m/>
    <m/>
    <x v="1"/>
    <s v="Spray Dryer 7th Floor"/>
    <x v="2"/>
    <m/>
    <s v="Spray Dryer"/>
    <s v="XV-60264FN"/>
    <n v="1"/>
    <m/>
    <n v="0"/>
    <s v="7th"/>
    <s v="325-01-600-PD-02"/>
    <s v="3-25-01-602-PD-02"/>
    <s v="Feed Slurry On/Off Valve for Nozzle #13 (ATVM-11D)"/>
    <s v="Require I/O DI= 2,DO=1,AI=0,AO=0,Bus=0"/>
    <s v="XV-60264FN_DO_1"/>
    <x v="1"/>
    <n v="2"/>
    <n v="1"/>
    <s v="C2S05DO"/>
    <s v="C2S05DO01"/>
    <s v="C2S05,01"/>
    <s v="DO"/>
    <s v="Require I/O DI= 2,DO=1,AI=0,AO=0,Bus=0"/>
    <x v="2"/>
    <x v="5"/>
    <n v="1"/>
    <m/>
    <n v="2"/>
    <n v="1"/>
    <n v="0"/>
    <n v="0"/>
    <n v="0"/>
    <m/>
    <s v="24 VDC energized,Dry Contact"/>
    <m/>
  </r>
  <r>
    <s v="=CA1+MCP-M2"/>
    <m/>
    <m/>
    <x v="1"/>
    <s v="Spray Dryer 7th Floor"/>
    <x v="2"/>
    <m/>
    <s v="Spray Dryer"/>
    <s v="XV-60264FP"/>
    <n v="1"/>
    <m/>
    <n v="0"/>
    <s v="7th"/>
    <s v="325-01-600-PD-02"/>
    <s v="3-25-01-602-PD-02"/>
    <s v="Feed Slurry On/Off Valve for Nozzle #14 (ATVM-11D)"/>
    <s v="Require I/O DI= 2,DO=1,AI=0,AO=0,Bus=0"/>
    <s v="XV-60264FP_DO_1"/>
    <x v="1"/>
    <n v="2"/>
    <n v="1"/>
    <s v="C2S05DO"/>
    <s v="C2S05DO02"/>
    <s v="C2S05,02"/>
    <s v="DO"/>
    <s v="Require I/O DI= 2,DO=1,AI=0,AO=0,Bus=0"/>
    <x v="2"/>
    <x v="5"/>
    <n v="2"/>
    <m/>
    <n v="2"/>
    <n v="1"/>
    <n v="0"/>
    <n v="0"/>
    <n v="0"/>
    <m/>
    <s v="24 VDC energized,Dry Contact"/>
    <m/>
  </r>
  <r>
    <s v="=CA1+MCP-M2"/>
    <m/>
    <m/>
    <x v="1"/>
    <s v="Spray Dryer 7th Floor"/>
    <x v="2"/>
    <m/>
    <s v="Spray Dryer"/>
    <s v="XV-60264FQ"/>
    <n v="1"/>
    <m/>
    <n v="0"/>
    <s v="7th"/>
    <s v="325-01-600-PD-02"/>
    <s v="3-25-01-602-PD-02"/>
    <s v="Feed Slurry On/Off Valve for Nozzle #15 (ATVM-11D)"/>
    <s v="Require I/O DI= 2,DO=1,AI=0,AO=0,Bus=0"/>
    <s v="XV-60264FQ_DO_1"/>
    <x v="1"/>
    <n v="2"/>
    <n v="1"/>
    <s v="C2S05DO"/>
    <s v="C2S05DO03"/>
    <s v="C2S05,03"/>
    <s v="DO"/>
    <s v="Require I/O DI= 2,DO=1,AI=0,AO=0,Bus=0"/>
    <x v="2"/>
    <x v="5"/>
    <n v="3"/>
    <m/>
    <n v="2"/>
    <n v="1"/>
    <n v="0"/>
    <n v="0"/>
    <n v="0"/>
    <m/>
    <s v="24 VDC energized,Dry Contact"/>
    <m/>
  </r>
  <r>
    <s v="=CA1+MCP-M2"/>
    <m/>
    <m/>
    <x v="1"/>
    <s v="Spray Dryer 7th Floor"/>
    <x v="2"/>
    <m/>
    <s v="Spray Dryer"/>
    <s v="XV-60264FR"/>
    <n v="1"/>
    <m/>
    <n v="0"/>
    <s v="7th"/>
    <s v="325-01-600-PD-02"/>
    <s v="3-25-01-602-PD-02"/>
    <s v="Feed Slurry On/Off Valve for Nozzle #16 (ATVM-11D)"/>
    <s v="Require I/O DI= 2,DO=1,AI=0,AO=0,Bus=0"/>
    <s v="XV-60264FR_DO_1"/>
    <x v="1"/>
    <n v="2"/>
    <n v="1"/>
    <s v="C2S05DO"/>
    <s v="C2S05DO04"/>
    <s v="C2S05,04"/>
    <s v="DO"/>
    <s v="Require I/O DI= 2,DO=1,AI=0,AO=0,Bus=0"/>
    <x v="2"/>
    <x v="5"/>
    <n v="4"/>
    <m/>
    <n v="2"/>
    <n v="1"/>
    <n v="0"/>
    <n v="0"/>
    <n v="0"/>
    <m/>
    <s v="24 VDC energized,Dry Contact"/>
    <m/>
  </r>
  <r>
    <s v="=CA1+MCP-M2"/>
    <m/>
    <m/>
    <x v="1"/>
    <s v="Spray Dryer 7th Floor"/>
    <x v="2"/>
    <m/>
    <s v="Spray Dryer"/>
    <s v="XV-60264SN"/>
    <n v="1"/>
    <m/>
    <n v="0"/>
    <s v="7th"/>
    <s v="325-01-600-PD-02"/>
    <s v="3-25-01-602-PD-02"/>
    <s v="Steam On/Off Valve for Nozzle #13 (ATVM-11D)"/>
    <s v="Require I/O DI= 2,DO=1,AI=0,AO=0,Bus=0"/>
    <s v="XV-60264SN_DO_1"/>
    <x v="1"/>
    <n v="2"/>
    <n v="1"/>
    <s v="C2S05DO"/>
    <s v="C2S05DO05"/>
    <s v="C2S05,05"/>
    <s v="DO"/>
    <s v="Require I/O DI= 2,DO=1,AI=0,AO=0,Bus=0"/>
    <x v="2"/>
    <x v="5"/>
    <n v="5"/>
    <m/>
    <n v="2"/>
    <n v="1"/>
    <n v="0"/>
    <n v="0"/>
    <n v="0"/>
    <m/>
    <s v="24 VDC energized,Dry Contact"/>
    <m/>
  </r>
  <r>
    <s v="=CA1+MCP-M2"/>
    <m/>
    <m/>
    <x v="1"/>
    <s v="Spray Dryer 7th Floor"/>
    <x v="2"/>
    <m/>
    <s v="Spray Dryer"/>
    <s v="XV-60264SP"/>
    <n v="1"/>
    <m/>
    <n v="0"/>
    <s v="7th"/>
    <s v="325-01-600-PD-02"/>
    <s v="3-25-01-602-PD-02"/>
    <s v="Steam On/Off Valve for Nozzle #14 (ATVM-11D)"/>
    <s v="Require I/O DI= 2,DO=1,AI=0,AO=0,Bus=0"/>
    <s v="XV-60264SP_DO_1"/>
    <x v="1"/>
    <n v="2"/>
    <n v="1"/>
    <s v="C2S05DO"/>
    <s v="C2S05DO06"/>
    <s v="C2S05,06"/>
    <s v="DO"/>
    <s v="Require I/O DI= 2,DO=1,AI=0,AO=0,Bus=0"/>
    <x v="2"/>
    <x v="5"/>
    <n v="6"/>
    <m/>
    <n v="2"/>
    <n v="1"/>
    <n v="0"/>
    <n v="0"/>
    <n v="0"/>
    <m/>
    <s v="24 VDC energized,Dry Contact"/>
    <m/>
  </r>
  <r>
    <s v="=CA1+MCP-M2"/>
    <m/>
    <m/>
    <x v="1"/>
    <s v="Spray Dryer 7th Floor"/>
    <x v="2"/>
    <m/>
    <s v="Spray Dryer"/>
    <s v="XV-60264SQ"/>
    <n v="1"/>
    <m/>
    <n v="0"/>
    <s v="7th"/>
    <s v="325-01-600-PD-02"/>
    <s v="3-25-01-602-PD-02"/>
    <s v="Steam On/Off Valve for Nozzle #15 (ATVM-11D)"/>
    <s v="Require I/O DI= 2,DO=1,AI=0,AO=0,Bus=0"/>
    <s v="XV-60264SQ_DO_1"/>
    <x v="1"/>
    <n v="2"/>
    <n v="1"/>
    <s v="C2S05DO"/>
    <s v="C2S05DO07"/>
    <s v="C2S05,07"/>
    <s v="DO"/>
    <s v="Require I/O DI= 2,DO=1,AI=0,AO=0,Bus=0"/>
    <x v="2"/>
    <x v="5"/>
    <n v="7"/>
    <m/>
    <n v="2"/>
    <n v="1"/>
    <n v="0"/>
    <n v="0"/>
    <n v="0"/>
    <m/>
    <s v="24 VDC energized,Dry Contact"/>
    <m/>
  </r>
  <r>
    <s v="=CA1+MCP-M2"/>
    <m/>
    <m/>
    <x v="1"/>
    <s v="Spray Dryer 7th Floor"/>
    <x v="2"/>
    <m/>
    <s v="Spray Dryer"/>
    <s v="XV-60264SR"/>
    <n v="1"/>
    <m/>
    <n v="0"/>
    <s v="7th"/>
    <s v="325-01-600-PD-02"/>
    <s v="3-25-01-602-PD-02"/>
    <s v="Steam On/Off Valve for Nozzle #16 (ATVM-11D)"/>
    <s v="Require I/O DI= 2,DO=1,AI=0,AO=0,Bus=0"/>
    <s v="XV-60264SR_DO_1"/>
    <x v="1"/>
    <n v="2"/>
    <n v="1"/>
    <s v="C2S05DO"/>
    <s v="C2S05DO08"/>
    <s v="C2S05,08"/>
    <s v="DO"/>
    <s v="Require I/O DI= 2,DO=1,AI=0,AO=0,Bus=0"/>
    <x v="2"/>
    <x v="5"/>
    <n v="8"/>
    <m/>
    <n v="2"/>
    <n v="1"/>
    <n v="0"/>
    <n v="0"/>
    <n v="0"/>
    <m/>
    <s v="24 VDC energized,Dry Contact"/>
    <m/>
  </r>
  <r>
    <s v="=CA1+MCP-M3"/>
    <m/>
    <m/>
    <x v="8"/>
    <s v="Spray Dryer 3rd Floor"/>
    <x v="12"/>
    <m/>
    <s v="Spray Dryer"/>
    <s v="AT-40201"/>
    <m/>
    <m/>
    <e v="#N/A"/>
    <s v="3rd"/>
    <s v="-"/>
    <s v="-"/>
    <e v="#N/A"/>
    <s v="Require I/O DI= 1,DO=0,AI=0,AO=0,Bus=0"/>
    <s v="AT-40201_DI_1"/>
    <x v="0"/>
    <n v="1"/>
    <n v="1"/>
    <s v="C3S01DI"/>
    <s v="C3S01DI00"/>
    <s v="C3S01,00"/>
    <s v="DI"/>
    <s v="Require I/O DI= 1,DO=0,AI=0,AO=0,Bus=0"/>
    <x v="3"/>
    <x v="4"/>
    <n v="0"/>
    <m/>
    <n v="1"/>
    <n v="0"/>
    <n v="0"/>
    <n v="0"/>
    <n v="0"/>
    <m/>
    <e v="#N/A"/>
    <s v="Y"/>
  </r>
  <r>
    <s v="=CA1+MCP-M3"/>
    <m/>
    <m/>
    <x v="8"/>
    <s v="Spray Dryer 3rd Floor"/>
    <x v="12"/>
    <m/>
    <s v="Spray Dryer"/>
    <s v="AT-40202"/>
    <m/>
    <m/>
    <e v="#N/A"/>
    <s v="3rd"/>
    <s v="-"/>
    <s v="-"/>
    <e v="#N/A"/>
    <s v="Require I/O DI= 1,DO=0,AI=0,AO=0,Bus=0"/>
    <s v="AT-40202_DI_1"/>
    <x v="0"/>
    <n v="1"/>
    <n v="1"/>
    <s v="C3S01DI"/>
    <s v="C3S01DI01"/>
    <s v="C3S01,01"/>
    <s v="DI"/>
    <s v="Require I/O DI= 1,DO=0,AI=0,AO=0,Bus=0"/>
    <x v="3"/>
    <x v="4"/>
    <n v="1"/>
    <m/>
    <n v="1"/>
    <n v="0"/>
    <n v="0"/>
    <n v="0"/>
    <n v="0"/>
    <m/>
    <e v="#N/A"/>
    <s v="Y"/>
  </r>
  <r>
    <s v="=CA1+MCP-M3"/>
    <m/>
    <m/>
    <x v="8"/>
    <s v="Spray Dryer 3rd Floor"/>
    <x v="12"/>
    <m/>
    <s v="Spray Dryer"/>
    <s v="AT-40203"/>
    <m/>
    <m/>
    <e v="#N/A"/>
    <s v="3rd"/>
    <s v="-"/>
    <s v="-"/>
    <e v="#N/A"/>
    <s v="Require I/O DI= 1,DO=0,AI=0,AO=0,Bus=0"/>
    <s v="AT-40203_DI_1"/>
    <x v="0"/>
    <n v="1"/>
    <n v="1"/>
    <s v="C3S01DI"/>
    <s v="C3S01DI02"/>
    <s v="C3S01,02"/>
    <s v="DI"/>
    <s v="Require I/O DI= 1,DO=0,AI=0,AO=0,Bus=0"/>
    <x v="3"/>
    <x v="4"/>
    <n v="2"/>
    <m/>
    <n v="1"/>
    <n v="0"/>
    <n v="0"/>
    <n v="0"/>
    <n v="0"/>
    <m/>
    <e v="#N/A"/>
    <s v="Y"/>
  </r>
  <r>
    <s v="=CA1+MCP-M3"/>
    <m/>
    <m/>
    <x v="8"/>
    <s v="Spray Dryer 3rd Floor"/>
    <x v="12"/>
    <m/>
    <s v="Spray Dryer"/>
    <s v="LSH-60230"/>
    <m/>
    <m/>
    <n v="0"/>
    <s v="1st"/>
    <s v="325-01-600-PD-04"/>
    <s v="3-25-01-602-PD-04"/>
    <s v="Powder Level Switch High for Cyclone (CYCL-21)"/>
    <s v="Require I/O DI= 1,DO=0,AI=0,AO=0,Bus=0"/>
    <s v="LSH-60230_DI_1"/>
    <x v="0"/>
    <n v="1"/>
    <n v="1"/>
    <s v="C3S01DI"/>
    <s v="C3S01DI03"/>
    <s v="C3S01,03"/>
    <s v="DI"/>
    <s v="Require I/O DI= 1,DO=0,AI=0,AO=0,Bus=0"/>
    <x v="3"/>
    <x v="4"/>
    <n v="3"/>
    <m/>
    <n v="1"/>
    <n v="0"/>
    <n v="0"/>
    <n v="0"/>
    <n v="0"/>
    <m/>
    <s v="Dry Contact"/>
    <s v="Y"/>
  </r>
  <r>
    <s v="=CA1+MCP-M3"/>
    <m/>
    <m/>
    <x v="8"/>
    <s v="Spray Dryer 3rd Floor"/>
    <x v="12"/>
    <m/>
    <s v="Spray Dryer"/>
    <s v="LSH-60231"/>
    <m/>
    <m/>
    <n v="0"/>
    <s v="1st"/>
    <s v="325-01-600-PD-04"/>
    <s v="3-25-01-602-PD-04"/>
    <s v="Powder Level Switch High for Cyclone (CYCL-22)"/>
    <s v="Require I/O DI= 1,DO=0,AI=0,AO=0,Bus=0"/>
    <s v="LSH-60231_DI_1"/>
    <x v="0"/>
    <n v="1"/>
    <n v="1"/>
    <s v="C3S01DI"/>
    <s v="C3S01DI04"/>
    <s v="C3S01,04"/>
    <s v="DI"/>
    <s v="Require I/O DI= 1,DO=0,AI=0,AO=0,Bus=0"/>
    <x v="3"/>
    <x v="4"/>
    <n v="4"/>
    <m/>
    <n v="1"/>
    <n v="0"/>
    <n v="0"/>
    <n v="0"/>
    <n v="0"/>
    <m/>
    <s v="Dry Contact"/>
    <s v="Y"/>
  </r>
  <r>
    <s v="=CA1+MCP-M3"/>
    <m/>
    <m/>
    <x v="8"/>
    <s v="Spray Dryer 3rd Floor"/>
    <x v="12"/>
    <m/>
    <s v="Spray Dryer"/>
    <s v="LSH-60240"/>
    <m/>
    <m/>
    <n v="0"/>
    <s v="1st"/>
    <s v="325-01-600-PD-05"/>
    <s v="3-25-01-602-PD-05"/>
    <s v="Powder Level Switch High for Bag House (BGHS-21)"/>
    <s v="Require I/O DI= 1,DO=0,AI=0,AO=0,Bus=0"/>
    <s v="LSH-60240_DI_1"/>
    <x v="0"/>
    <n v="1"/>
    <n v="1"/>
    <s v="C3S01DI"/>
    <s v="C3S01DI05"/>
    <s v="C3S01,05"/>
    <s v="DI"/>
    <s v="Require I/O DI= 1,DO=0,AI=0,AO=0,Bus=0"/>
    <x v="3"/>
    <x v="4"/>
    <n v="5"/>
    <m/>
    <n v="1"/>
    <n v="0"/>
    <n v="0"/>
    <n v="0"/>
    <n v="0"/>
    <m/>
    <s v="Dry Contact"/>
    <s v="Y"/>
  </r>
  <r>
    <s v="=CA1+MCP-M3"/>
    <m/>
    <m/>
    <x v="8"/>
    <s v="Spray Dryer 3rd Floor"/>
    <x v="12"/>
    <m/>
    <s v="Spray Dryer"/>
    <s v="PD-60202"/>
    <m/>
    <m/>
    <e v="#N/A"/>
    <s v="3rd"/>
    <s v="-"/>
    <s v="-"/>
    <e v="#N/A"/>
    <s v="Require I/O DI= 1,DO=0,AI=0,AO=0,Bus=0"/>
    <s v="PD-60202_DI_1"/>
    <x v="0"/>
    <n v="1"/>
    <n v="1"/>
    <s v="C3S01DI"/>
    <s v="C3S01DI06"/>
    <s v="C3S01,06"/>
    <s v="DI"/>
    <s v="Require I/O DI= 1,DO=0,AI=0,AO=0,Bus=0"/>
    <x v="3"/>
    <x v="4"/>
    <n v="6"/>
    <m/>
    <n v="1"/>
    <n v="0"/>
    <n v="0"/>
    <n v="0"/>
    <n v="0"/>
    <m/>
    <e v="#N/A"/>
    <s v="Y"/>
  </r>
  <r>
    <s v="=CA1+MCP-M3"/>
    <m/>
    <m/>
    <x v="8"/>
    <s v="Spray Dryer 3rd Floor"/>
    <x v="12"/>
    <m/>
    <s v="Spray Dryer"/>
    <s v="PT-60230"/>
    <m/>
    <m/>
    <s v="Pressure Transmitter"/>
    <s v="4th"/>
    <s v="325-01-600-PD-04"/>
    <s v="3-25-01-602-PD-04"/>
    <s v="Gas Pressure Transmitter for Conveying Duct (DTCO-21)"/>
    <s v="Require I/O DI= 0,DO=0,AI=1,AO=0,Bus=0"/>
    <s v="PT-60230_AI_1"/>
    <x v="3"/>
    <n v="3"/>
    <n v="1"/>
    <s v="C3S04AI"/>
    <s v="C3S04AI00"/>
    <s v="C3S04,00"/>
    <s v="AI"/>
    <s v="Require I/O DI= 0,DO=0,AI=1,AO=0,Bus=0"/>
    <x v="3"/>
    <x v="6"/>
    <n v="0"/>
    <m/>
    <n v="0"/>
    <n v="0"/>
    <n v="1"/>
    <n v="0"/>
    <n v="0"/>
    <m/>
    <s v="4 - 20 mA"/>
    <s v="Y"/>
  </r>
  <r>
    <s v="=CA1+MCP-M3"/>
    <m/>
    <m/>
    <x v="8"/>
    <s v="Spray Dryer 3rd Floor"/>
    <x v="12"/>
    <m/>
    <s v="Spray Dryer"/>
    <s v="PT-60231"/>
    <m/>
    <m/>
    <s v="Pressure Transmitter"/>
    <s v="4th"/>
    <s v="325-01-600-PD-04"/>
    <s v="3-25-01-602-PD-04"/>
    <s v="Gas Pressure Transmitter for Cyclone Exhaust Duct (DTCE-21)"/>
    <s v="Require I/O DI= 0,DO=0,AI=1,AO=0,Bus=0"/>
    <s v="PT-60231_AI_1"/>
    <x v="3"/>
    <n v="3"/>
    <n v="1"/>
    <s v="C3S04AI"/>
    <s v="C3S04AI01"/>
    <s v="C3S04,01"/>
    <s v="AI"/>
    <s v="Require I/O DI= 0,DO=0,AI=1,AO=0,Bus=0"/>
    <x v="3"/>
    <x v="6"/>
    <n v="1"/>
    <m/>
    <n v="0"/>
    <n v="0"/>
    <n v="1"/>
    <n v="0"/>
    <n v="0"/>
    <m/>
    <s v="4 - 20 mA"/>
    <s v="Y"/>
  </r>
  <r>
    <s v="=CA1+MCP-M3"/>
    <m/>
    <m/>
    <x v="8"/>
    <s v="Spray Dryer 3rd Floor"/>
    <x v="12"/>
    <m/>
    <s v="Spray Dryer"/>
    <s v="RV-60204"/>
    <m/>
    <m/>
    <e v="#N/A"/>
    <s v="3rd"/>
    <s v="-"/>
    <s v="-"/>
    <e v="#N/A"/>
    <s v="Require I/O DI= 1,DO=0,AI=0,AO=0,Bus=0"/>
    <s v="RV-60204_DI_1"/>
    <x v="0"/>
    <n v="1"/>
    <n v="1"/>
    <s v="C3S01DI"/>
    <s v="C3S01DI07"/>
    <s v="C3S01,07"/>
    <s v="DI"/>
    <s v="Require I/O DI= 1,DO=0,AI=0,AO=0,Bus=0"/>
    <x v="3"/>
    <x v="4"/>
    <n v="7"/>
    <m/>
    <n v="1"/>
    <n v="0"/>
    <n v="0"/>
    <n v="0"/>
    <n v="0"/>
    <m/>
    <e v="#N/A"/>
    <s v="Y"/>
  </r>
  <r>
    <s v="=CA1+MCP-M3"/>
    <m/>
    <m/>
    <x v="8"/>
    <s v="Spray Dryer 3rd Floor"/>
    <x v="8"/>
    <m/>
    <m/>
    <s v="Spare"/>
    <m/>
    <m/>
    <e v="#N/A"/>
    <m/>
    <m/>
    <m/>
    <e v="#N/A"/>
    <s v="Require I/O DI= 0,DO=0,AI=0,AO=0,Bus=0"/>
    <s v="Spare_DI_"/>
    <x v="0"/>
    <n v="1"/>
    <m/>
    <s v="C3S01DI"/>
    <s v="C3S01DI15"/>
    <s v="C3S01,15"/>
    <s v="DI"/>
    <s v="Require I/O DI= 0,DO=0,AI=0,AO=0,Bus=0"/>
    <x v="3"/>
    <x v="4"/>
    <n v="15"/>
    <m/>
    <n v="0"/>
    <n v="0"/>
    <n v="0"/>
    <n v="0"/>
    <n v="0"/>
    <m/>
    <e v="#N/A"/>
    <m/>
  </r>
  <r>
    <s v="=CA1+MCP-M3"/>
    <m/>
    <m/>
    <x v="8"/>
    <s v="Spray Dryer 3rd Floor"/>
    <x v="8"/>
    <m/>
    <m/>
    <s v="Spare"/>
    <m/>
    <m/>
    <e v="#N/A"/>
    <m/>
    <m/>
    <m/>
    <e v="#N/A"/>
    <s v="Require I/O DI= 0,DO=0,AI=0,AO=0,Bus=0"/>
    <s v="Spare_AI_"/>
    <x v="3"/>
    <n v="3"/>
    <m/>
    <s v="C3S04AI"/>
    <s v="C3S04AI07"/>
    <s v="C3S04,07"/>
    <s v="AI"/>
    <s v="Require I/O DI= 0,DO=0,AI=0,AO=0,Bus=0"/>
    <x v="3"/>
    <x v="6"/>
    <n v="7"/>
    <m/>
    <n v="0"/>
    <n v="0"/>
    <n v="0"/>
    <n v="0"/>
    <n v="0"/>
    <m/>
    <e v="#N/A"/>
    <m/>
  </r>
  <r>
    <s v="=CA1+MCP-M3"/>
    <m/>
    <m/>
    <x v="8"/>
    <s v="Spray Dryer 3rd Floor"/>
    <x v="8"/>
    <m/>
    <m/>
    <s v="Spare"/>
    <m/>
    <m/>
    <e v="#N/A"/>
    <m/>
    <m/>
    <m/>
    <e v="#N/A"/>
    <s v="Require I/O DI= 0,DO=0,AI=0,AO=0,Bus=0"/>
    <s v="Spare_AI_"/>
    <x v="3"/>
    <n v="3"/>
    <m/>
    <s v="C3S04AI"/>
    <s v="C3S04AI08"/>
    <s v="C3S04,08"/>
    <s v="AI"/>
    <s v="Require I/O DI= 0,DO=0,AI=0,AO=0,Bus=0"/>
    <x v="3"/>
    <x v="6"/>
    <n v="8"/>
    <m/>
    <n v="0"/>
    <n v="0"/>
    <n v="0"/>
    <n v="0"/>
    <n v="0"/>
    <m/>
    <e v="#N/A"/>
    <m/>
  </r>
  <r>
    <s v="=CA1+MCP-M3"/>
    <m/>
    <m/>
    <x v="8"/>
    <s v="Spray Dryer 3rd Floor"/>
    <x v="8"/>
    <m/>
    <m/>
    <s v="Spare"/>
    <m/>
    <m/>
    <e v="#N/A"/>
    <m/>
    <m/>
    <m/>
    <e v="#N/A"/>
    <s v="Require I/O DI= 0,DO=0,AI=0,AO=0,Bus=0"/>
    <s v="Spare_AI_"/>
    <x v="3"/>
    <n v="3"/>
    <m/>
    <s v="C3S04AI"/>
    <s v="C3S04AI09"/>
    <s v="C3S04,09"/>
    <s v="AI"/>
    <s v="Require I/O DI= 0,DO=0,AI=0,AO=0,Bus=0"/>
    <x v="3"/>
    <x v="6"/>
    <n v="9"/>
    <m/>
    <n v="0"/>
    <n v="0"/>
    <n v="0"/>
    <n v="0"/>
    <n v="0"/>
    <m/>
    <e v="#N/A"/>
    <m/>
  </r>
  <r>
    <s v="=CA1+MCP-M3"/>
    <m/>
    <m/>
    <x v="8"/>
    <s v="Spray Dryer 3rd Floor"/>
    <x v="8"/>
    <m/>
    <m/>
    <s v="Spare"/>
    <m/>
    <m/>
    <e v="#N/A"/>
    <m/>
    <m/>
    <m/>
    <e v="#N/A"/>
    <s v="Require I/O DI= 0,DO=0,AI=0,AO=0,Bus=0"/>
    <s v="Spare_AI_"/>
    <x v="3"/>
    <n v="3"/>
    <m/>
    <s v="C3S04AI"/>
    <s v="C3S04AI10"/>
    <s v="C3S04,10"/>
    <s v="AI"/>
    <s v="Require I/O DI= 0,DO=0,AI=0,AO=0,Bus=0"/>
    <x v="3"/>
    <x v="6"/>
    <n v="10"/>
    <m/>
    <n v="0"/>
    <n v="0"/>
    <n v="0"/>
    <n v="0"/>
    <n v="0"/>
    <m/>
    <e v="#N/A"/>
    <m/>
  </r>
  <r>
    <s v="=CA1+MCP-M3"/>
    <m/>
    <m/>
    <x v="8"/>
    <s v="Spray Dryer 3rd Floor"/>
    <x v="8"/>
    <m/>
    <m/>
    <s v="Spare"/>
    <m/>
    <m/>
    <e v="#N/A"/>
    <m/>
    <m/>
    <m/>
    <e v="#N/A"/>
    <s v="Require I/O DI= 0,DO=0,AI=0,AO=0,Bus=0"/>
    <s v="Spare_AI_"/>
    <x v="3"/>
    <n v="3"/>
    <m/>
    <s v="C3S04AI"/>
    <s v="C3S04AI11"/>
    <s v="C3S04,11"/>
    <s v="AI"/>
    <s v="Require I/O DI= 0,DO=0,AI=0,AO=0,Bus=0"/>
    <x v="3"/>
    <x v="6"/>
    <n v="11"/>
    <m/>
    <n v="0"/>
    <n v="0"/>
    <n v="0"/>
    <n v="0"/>
    <n v="0"/>
    <m/>
    <e v="#N/A"/>
    <m/>
  </r>
  <r>
    <s v="=CA1+MCP-M3"/>
    <m/>
    <m/>
    <x v="8"/>
    <s v="Spray Dryer 3rd Floor"/>
    <x v="8"/>
    <m/>
    <m/>
    <s v="Spare"/>
    <m/>
    <m/>
    <e v="#N/A"/>
    <m/>
    <m/>
    <m/>
    <e v="#N/A"/>
    <s v="Require I/O DI= 0,DO=0,AI=0,AO=0,Bus=0"/>
    <s v="Spare_AI_"/>
    <x v="3"/>
    <n v="3"/>
    <m/>
    <s v="C3S04AI"/>
    <s v="C3S04AI12"/>
    <s v="C3S04,12"/>
    <s v="AI"/>
    <s v="Require I/O DI= 0,DO=0,AI=0,AO=0,Bus=0"/>
    <x v="3"/>
    <x v="6"/>
    <n v="12"/>
    <m/>
    <n v="0"/>
    <n v="0"/>
    <n v="0"/>
    <n v="0"/>
    <n v="0"/>
    <m/>
    <e v="#N/A"/>
    <m/>
  </r>
  <r>
    <s v="=CA1+MCP-M3"/>
    <m/>
    <m/>
    <x v="8"/>
    <s v="Spray Dryer 3rd Floor"/>
    <x v="8"/>
    <m/>
    <m/>
    <s v="Spare"/>
    <m/>
    <m/>
    <e v="#N/A"/>
    <m/>
    <m/>
    <m/>
    <e v="#N/A"/>
    <s v="Require I/O DI= 0,DO=0,AI=0,AO=0,Bus=0"/>
    <s v="Spare_AI_"/>
    <x v="3"/>
    <n v="3"/>
    <m/>
    <s v="C3S04AI"/>
    <s v="C3S04AI13"/>
    <s v="C3S04,13"/>
    <s v="AI"/>
    <s v="Require I/O DI= 0,DO=0,AI=0,AO=0,Bus=0"/>
    <x v="3"/>
    <x v="6"/>
    <n v="13"/>
    <m/>
    <n v="0"/>
    <n v="0"/>
    <n v="0"/>
    <n v="0"/>
    <n v="0"/>
    <m/>
    <e v="#N/A"/>
    <m/>
  </r>
  <r>
    <s v="=CA1+MCP-M3"/>
    <m/>
    <m/>
    <x v="8"/>
    <s v="Spray Dryer 3rd Floor"/>
    <x v="8"/>
    <m/>
    <m/>
    <s v="Spare"/>
    <m/>
    <m/>
    <e v="#N/A"/>
    <m/>
    <m/>
    <m/>
    <e v="#N/A"/>
    <s v="Require I/O DI= 0,DO=0,AI=0,AO=0,Bus=0"/>
    <s v="Spare_AI_"/>
    <x v="3"/>
    <n v="3"/>
    <m/>
    <s v="C3S04AI"/>
    <s v="C3S04AI14"/>
    <s v="C3S04,14"/>
    <s v="AI"/>
    <s v="Require I/O DI= 0,DO=0,AI=0,AO=0,Bus=0"/>
    <x v="3"/>
    <x v="6"/>
    <n v="14"/>
    <m/>
    <n v="0"/>
    <n v="0"/>
    <n v="0"/>
    <n v="0"/>
    <n v="0"/>
    <m/>
    <e v="#N/A"/>
    <m/>
  </r>
  <r>
    <s v="=CA1+MCP-M3"/>
    <m/>
    <m/>
    <x v="8"/>
    <s v="Spray Dryer 3rd Floor"/>
    <x v="8"/>
    <m/>
    <m/>
    <s v="Spare"/>
    <m/>
    <m/>
    <e v="#N/A"/>
    <m/>
    <m/>
    <m/>
    <e v="#N/A"/>
    <s v="Require I/O DI= 0,DO=0,AI=0,AO=0,Bus=0"/>
    <s v="Spare_AI_"/>
    <x v="3"/>
    <n v="3"/>
    <m/>
    <s v="C3S04AI"/>
    <s v="C3S04AI15"/>
    <s v="C3S04,15"/>
    <s v="AI"/>
    <s v="Require I/O DI= 0,DO=0,AI=0,AO=0,Bus=0"/>
    <x v="3"/>
    <x v="6"/>
    <n v="15"/>
    <m/>
    <n v="0"/>
    <n v="0"/>
    <n v="0"/>
    <n v="0"/>
    <n v="0"/>
    <m/>
    <e v="#N/A"/>
    <m/>
  </r>
  <r>
    <s v="=CA1+MCP-M3"/>
    <m/>
    <m/>
    <x v="8"/>
    <s v="Spray Dryer 3rd Floor"/>
    <x v="12"/>
    <m/>
    <s v="Spray Dryer"/>
    <s v="TT-60224"/>
    <m/>
    <m/>
    <n v="0"/>
    <s v="4th"/>
    <s v="325-01-600-PD-04"/>
    <s v="3-25-01-602-PD-04"/>
    <s v="Gas and Powder Temperature Transmitter for Spray Chamber (CHAM-21)"/>
    <s v="Require I/O DI= 0,DO=0,AI=1,AO=0,Bus=0"/>
    <s v="TT-60224_AI_1"/>
    <x v="3"/>
    <n v="3"/>
    <n v="1"/>
    <s v="C3S04AI"/>
    <s v="C3S04AI02"/>
    <s v="C3S04,02"/>
    <s v="AI"/>
    <s v="Require I/O DI= 0,DO=0,AI=1,AO=0,Bus=0"/>
    <x v="3"/>
    <x v="6"/>
    <n v="2"/>
    <m/>
    <n v="0"/>
    <n v="0"/>
    <n v="1"/>
    <n v="0"/>
    <n v="0"/>
    <m/>
    <s v="4 - 20 mA"/>
    <s v="Y"/>
  </r>
  <r>
    <s v="=CA1+MCP-M3"/>
    <m/>
    <m/>
    <x v="8"/>
    <s v="Spray Dryer 3rd Floor"/>
    <x v="12"/>
    <m/>
    <s v="Spray Dryer"/>
    <s v="TT-60225"/>
    <m/>
    <m/>
    <n v="0"/>
    <s v="3rd"/>
    <s v="325-01-600-PD-04"/>
    <s v="3-25-01-602-PD-04"/>
    <s v="Gas and Powder Temperature Transmitter for Spray Chamber (CHAM-21)"/>
    <s v="Require I/O DI= 0,DO=0,AI=1,AO=0,Bus=0"/>
    <s v="TT-60225_AI_1"/>
    <x v="3"/>
    <n v="3"/>
    <n v="1"/>
    <s v="C3S04AI"/>
    <s v="C3S04AI03"/>
    <s v="C3S04,03"/>
    <s v="AI"/>
    <s v="Require I/O DI= 0,DO=0,AI=1,AO=0,Bus=0"/>
    <x v="3"/>
    <x v="6"/>
    <n v="3"/>
    <m/>
    <n v="0"/>
    <n v="0"/>
    <n v="1"/>
    <n v="0"/>
    <n v="0"/>
    <m/>
    <s v="4 - 20 mA"/>
    <s v="Y"/>
  </r>
  <r>
    <s v="=CA1+MCP-M3"/>
    <m/>
    <m/>
    <x v="8"/>
    <s v="Spray Dryer 3rd Floor"/>
    <x v="12"/>
    <m/>
    <s v="Spray Dryer"/>
    <s v="TT-60226"/>
    <m/>
    <m/>
    <n v="0"/>
    <s v="2nd"/>
    <s v="325-01-600-PD-04"/>
    <s v="3-25-01-602-PD-04"/>
    <s v="Gas and Powder Temperature Transmitter for Spray Chamber (CHAM-21)"/>
    <s v="Require I/O DI= 0,DO=0,AI=1,AO=0,Bus=0"/>
    <s v="TT-60226_AI_1"/>
    <x v="3"/>
    <n v="3"/>
    <n v="1"/>
    <s v="C3S04AI"/>
    <s v="C3S04AI04"/>
    <s v="C3S04,04"/>
    <s v="AI"/>
    <s v="Require I/O DI= 0,DO=0,AI=1,AO=0,Bus=0"/>
    <x v="3"/>
    <x v="6"/>
    <n v="4"/>
    <m/>
    <n v="0"/>
    <n v="0"/>
    <n v="1"/>
    <n v="0"/>
    <n v="0"/>
    <m/>
    <s v="4 - 20 mA"/>
    <s v="Y"/>
  </r>
  <r>
    <s v="=CA1+MCP-M3"/>
    <m/>
    <m/>
    <x v="8"/>
    <s v="Spray Dryer 3rd Floor"/>
    <x v="12"/>
    <m/>
    <s v="Spray Dryer"/>
    <s v="TT-60227"/>
    <m/>
    <m/>
    <n v="0"/>
    <s v="1st"/>
    <s v="325-01-600-PD-04"/>
    <s v="3-25-01-602-PD-04"/>
    <s v="Gas and Powder Temperature Transmitter for Spray Chamber (CHAM-21)"/>
    <s v="Require I/O DI= 0,DO=0,AI=1,AO=0,Bus=0"/>
    <s v="TT-60227_AI_1"/>
    <x v="3"/>
    <n v="3"/>
    <n v="1"/>
    <s v="C3S04AI"/>
    <s v="C3S04AI05"/>
    <s v="C3S04,05"/>
    <s v="AI"/>
    <s v="Require I/O DI= 0,DO=0,AI=1,AO=0,Bus=0"/>
    <x v="3"/>
    <x v="6"/>
    <n v="5"/>
    <m/>
    <n v="0"/>
    <n v="0"/>
    <n v="1"/>
    <n v="0"/>
    <n v="0"/>
    <m/>
    <s v="4 - 20 mA"/>
    <s v="Y"/>
  </r>
  <r>
    <s v="=CA1+MCP-M3"/>
    <m/>
    <m/>
    <x v="8"/>
    <s v="Spray Dryer 3rd Floor"/>
    <x v="12"/>
    <m/>
    <s v="Spray Dryer"/>
    <s v="TT-60230"/>
    <m/>
    <m/>
    <n v="0"/>
    <s v="3rd"/>
    <s v="325-01-600-PD-04"/>
    <s v="3-25-01-602-PD-04"/>
    <s v="Gas and Powder Temperature Transmitter for Conveying Duct (DTCO-21)"/>
    <s v="Require I/O DI= 0,DO=0,AI=1,AO=0,Bus=0"/>
    <s v="TT-60230_AI_1"/>
    <x v="3"/>
    <n v="3"/>
    <n v="1"/>
    <s v="C3S04AI"/>
    <s v="C3S04AI06"/>
    <s v="C3S04,06"/>
    <s v="AI"/>
    <s v="Require I/O DI= 0,DO=0,AI=1,AO=0,Bus=0"/>
    <x v="3"/>
    <x v="6"/>
    <n v="6"/>
    <m/>
    <n v="0"/>
    <n v="0"/>
    <n v="1"/>
    <n v="0"/>
    <n v="0"/>
    <m/>
    <s v="4 - 20 mA"/>
    <s v="Y"/>
  </r>
  <r>
    <s v="=CA1+MCP-M3"/>
    <m/>
    <m/>
    <x v="8"/>
    <s v="Spray Dryer 3rd Floor"/>
    <x v="12"/>
    <m/>
    <s v="Spray Dryer"/>
    <s v="ZS-60201C"/>
    <m/>
    <m/>
    <n v="0"/>
    <s v="4th"/>
    <s v="325-01-600-PD-04"/>
    <s v="3-25-01-602-PD-04"/>
    <s v=" Limit Switch for CHAM-21 (Spray Chamber)"/>
    <s v="Require I/O DI= 1,DO=0,AI=0,AO=0,Bus=0"/>
    <s v="ZS-60201C_DI_1"/>
    <x v="0"/>
    <n v="1"/>
    <n v="1"/>
    <s v="C3S01DI"/>
    <s v="C3S01DI08"/>
    <s v="C3S01,08"/>
    <s v="DI"/>
    <s v="Require I/O DI= 1,DO=0,AI=0,AO=0,Bus=0"/>
    <x v="3"/>
    <x v="4"/>
    <n v="8"/>
    <m/>
    <n v="1"/>
    <n v="0"/>
    <n v="0"/>
    <n v="0"/>
    <n v="0"/>
    <m/>
    <s v="Dry Contact"/>
    <s v="Y"/>
  </r>
  <r>
    <s v="=CA1+MCP-M3"/>
    <m/>
    <m/>
    <x v="8"/>
    <s v="Spray Dryer 3rd Floor"/>
    <x v="12"/>
    <m/>
    <s v="Spray Dryer"/>
    <s v="ZS-60201D"/>
    <m/>
    <m/>
    <n v="0"/>
    <s v="4th"/>
    <s v="325-01-600-PD-04"/>
    <s v="3-25-01-602-PD-04"/>
    <s v=" Limit Switch for CHAM-21 (Spray Chamber)"/>
    <s v="Require I/O DI= 1,DO=0,AI=0,AO=0,Bus=0"/>
    <s v="ZS-60201D_DI_1"/>
    <x v="0"/>
    <n v="1"/>
    <n v="1"/>
    <s v="C3S01DI"/>
    <s v="C3S01DI09"/>
    <s v="C3S01,09"/>
    <s v="DI"/>
    <s v="Require I/O DI= 1,DO=0,AI=0,AO=0,Bus=0"/>
    <x v="3"/>
    <x v="4"/>
    <n v="9"/>
    <m/>
    <n v="1"/>
    <n v="0"/>
    <n v="0"/>
    <n v="0"/>
    <n v="0"/>
    <m/>
    <s v="Dry Contact"/>
    <s v="Y"/>
  </r>
  <r>
    <s v="=CA1+MCP-M3"/>
    <m/>
    <m/>
    <x v="8"/>
    <s v="Spray Dryer 3rd Floor"/>
    <x v="12"/>
    <m/>
    <s v="Spray Dryer"/>
    <s v="ZS-60201E"/>
    <m/>
    <m/>
    <n v="0"/>
    <s v="1st"/>
    <s v="325-01-600-PD-04"/>
    <s v="3-25-01-602-PD-04"/>
    <s v=" Limit Switch for CHAM-21 (Spray Chamber)"/>
    <s v="Require I/O DI= 1,DO=0,AI=0,AO=0,Bus=0"/>
    <s v="ZS-60201E_DI_1"/>
    <x v="0"/>
    <n v="1"/>
    <n v="1"/>
    <s v="C3S01DI"/>
    <s v="C3S01DI10"/>
    <s v="C3S01,10"/>
    <s v="DI"/>
    <s v="Require I/O DI= 1,DO=0,AI=0,AO=0,Bus=0"/>
    <x v="3"/>
    <x v="4"/>
    <n v="10"/>
    <m/>
    <n v="1"/>
    <n v="0"/>
    <n v="0"/>
    <n v="0"/>
    <n v="0"/>
    <m/>
    <s v="Dry Contact"/>
    <s v="Y"/>
  </r>
  <r>
    <s v="=CA1+MCP-M3"/>
    <m/>
    <m/>
    <x v="8"/>
    <s v="Spray Dryer 3rd Floor"/>
    <x v="12"/>
    <m/>
    <s v="Spray Dryer"/>
    <s v="ZS-60229"/>
    <m/>
    <m/>
    <n v="0"/>
    <s v="4th"/>
    <s v="-"/>
    <s v="3-25-01-602-PD-04"/>
    <s v=" Limit Switch for CY-60230  (Door Service)"/>
    <s v="Require I/O DI= 1,DO=0,AI=0,AO=0,Bus=0"/>
    <s v="ZS-60229_DI_1"/>
    <x v="0"/>
    <n v="1"/>
    <n v="1"/>
    <s v="C3S01DI"/>
    <s v="C3S01DI11"/>
    <s v="C3S01,11"/>
    <s v="DI"/>
    <s v="Require I/O DI= 1,DO=0,AI=0,AO=0,Bus=0"/>
    <x v="3"/>
    <x v="4"/>
    <n v="11"/>
    <m/>
    <n v="1"/>
    <n v="0"/>
    <n v="0"/>
    <n v="0"/>
    <n v="0"/>
    <m/>
    <s v="Dry Contact"/>
    <s v="Y"/>
  </r>
  <r>
    <s v="=CA1+MCP-M3"/>
    <m/>
    <m/>
    <x v="8"/>
    <s v="Spray Dryer 3rd Floor"/>
    <x v="12"/>
    <m/>
    <s v="Spray Dryer"/>
    <s v="ZS-60230"/>
    <m/>
    <m/>
    <n v="0"/>
    <s v="4th"/>
    <s v="-"/>
    <s v="3-25-01-602-PD-04"/>
    <s v=" Limit Switch for CY-60231  (Door Service)"/>
    <s v="Require I/O DI= 1,DO=0,AI=0,AO=0,Bus=0"/>
    <s v="ZS-60230_DI_1"/>
    <x v="0"/>
    <n v="1"/>
    <n v="1"/>
    <s v="C3S01DI"/>
    <s v="C3S01DI12"/>
    <s v="C3S01,12"/>
    <s v="DI"/>
    <s v="Require I/O DI= 1,DO=0,AI=0,AO=0,Bus=0"/>
    <x v="3"/>
    <x v="4"/>
    <n v="12"/>
    <m/>
    <n v="1"/>
    <n v="0"/>
    <n v="0"/>
    <n v="0"/>
    <n v="0"/>
    <m/>
    <s v="Dry Contact"/>
    <s v="Y"/>
  </r>
  <r>
    <s v="=CA1+MCP-M3"/>
    <m/>
    <m/>
    <x v="8"/>
    <s v="Spray Dryer 3rd Floor"/>
    <x v="12"/>
    <m/>
    <s v="Spray Dryer"/>
    <s v="ZS-60231A"/>
    <m/>
    <m/>
    <n v="0"/>
    <s v="4th"/>
    <s v="325-01-600-PD-05"/>
    <s v="3-25-01-602-PD-05"/>
    <s v="Gas Limit Switch for DTEX-21 (Bag House Face Spectacle Inserted)"/>
    <s v="Require I/O DI= 1,DO=0,AI=0,AO=0,Bus=0"/>
    <s v="ZS-60231A_DI_1"/>
    <x v="0"/>
    <n v="1"/>
    <n v="1"/>
    <s v="C3S01DI"/>
    <s v="C3S01DI13"/>
    <s v="C3S01,13"/>
    <s v="DI"/>
    <s v="Require I/O DI= 1,DO=0,AI=0,AO=0,Bus=0"/>
    <x v="3"/>
    <x v="4"/>
    <n v="13"/>
    <m/>
    <n v="1"/>
    <n v="0"/>
    <n v="0"/>
    <n v="0"/>
    <n v="0"/>
    <m/>
    <s v="Dry Contact"/>
    <s v="Y"/>
  </r>
  <r>
    <s v="=CA1+MCP-M3"/>
    <m/>
    <m/>
    <x v="8"/>
    <s v="Spray Dryer 3rd Floor"/>
    <x v="12"/>
    <m/>
    <s v="Spray Dryer"/>
    <s v="ZS-60231B"/>
    <m/>
    <m/>
    <n v="0"/>
    <s v="4th"/>
    <s v="325-01-600-PD-05"/>
    <s v="3-25-01-602-PD-05"/>
    <s v="Gas Limit Switch for DTEX-21 (Bag House Face Blind Inserted)"/>
    <s v="Require I/O DI= 1,DO=0,AI=0,AO=0,Bus=0"/>
    <s v="ZS-60231B_DI_1"/>
    <x v="0"/>
    <n v="1"/>
    <n v="1"/>
    <s v="C3S01DI"/>
    <s v="C3S01DI14"/>
    <s v="C3S01,14"/>
    <s v="DI"/>
    <s v="Require I/O DI= 1,DO=0,AI=0,AO=0,Bus=0"/>
    <x v="3"/>
    <x v="4"/>
    <n v="14"/>
    <m/>
    <n v="1"/>
    <n v="0"/>
    <n v="0"/>
    <n v="0"/>
    <n v="0"/>
    <m/>
    <s v="Dry Contact"/>
    <s v="Y"/>
  </r>
  <r>
    <s v="=CA1+MCP-M3"/>
    <m/>
    <m/>
    <x v="9"/>
    <s v="Packing Tower 8th Floor"/>
    <x v="6"/>
    <m/>
    <s v="Packing Tower"/>
    <s v="DPT-61301"/>
    <m/>
    <m/>
    <s v="Differential Pressure Transmitte"/>
    <s v="8th"/>
    <s v="325-01-613-PD-01"/>
    <s v="3-25-01-613-PD-01"/>
    <s v="Vent filter pressure"/>
    <s v="Require I/O DI= 0,DO=0,AI=1,AO=0,Bus=0"/>
    <s v="DPT-61301_AI_1"/>
    <x v="3"/>
    <n v="3"/>
    <n v="1"/>
    <s v="C3S05AI"/>
    <s v="C3S05AI04"/>
    <s v="C3S05,04"/>
    <s v="AI"/>
    <s v="Require I/O DI= 0,DO=0,AI=1,AO=0,Bus=0"/>
    <x v="3"/>
    <x v="5"/>
    <n v="4"/>
    <m/>
    <n v="0"/>
    <n v="0"/>
    <n v="1"/>
    <n v="0"/>
    <n v="0"/>
    <m/>
    <s v="4 - 20 mA"/>
    <s v="Y"/>
  </r>
  <r>
    <s v="=CA1+MCP-M3"/>
    <m/>
    <m/>
    <x v="9"/>
    <s v="Packing Tower 8th Floor"/>
    <x v="6"/>
    <m/>
    <s v="Packing Tower"/>
    <s v="DPT-61302"/>
    <m/>
    <m/>
    <s v="Differential Pressure Transmitte"/>
    <s v="9th"/>
    <s v="325-01-613-PD-01"/>
    <s v="3-25-01-613-PD-01"/>
    <s v="Vent filter pressure"/>
    <s v="Require I/O DI= 0,DO=0,AI=1,AO=0,Bus=0"/>
    <s v="DPT-61302_AI_1"/>
    <x v="3"/>
    <n v="3"/>
    <n v="1"/>
    <s v="C3S05AI"/>
    <s v="C3S05AI05"/>
    <s v="C3S05,05"/>
    <s v="AI"/>
    <s v="Require I/O DI= 0,DO=0,AI=1,AO=0,Bus=0"/>
    <x v="3"/>
    <x v="5"/>
    <n v="5"/>
    <m/>
    <n v="0"/>
    <n v="0"/>
    <n v="1"/>
    <n v="0"/>
    <n v="0"/>
    <m/>
    <s v="4 - 20 mA"/>
    <s v="Y"/>
  </r>
  <r>
    <s v="=CA1+MCP-M3"/>
    <m/>
    <m/>
    <x v="9"/>
    <s v="Packing Tower 8th Floor"/>
    <x v="6"/>
    <m/>
    <s v="Packing Tower"/>
    <s v="ISV-61301"/>
    <m/>
    <m/>
    <e v="#N/A"/>
    <s v="9th"/>
    <s v="325-01-613-PD-01"/>
    <s v="3-25-01-613-PD-01"/>
    <e v="#N/A"/>
    <s v="Require I/O DI= 1,DO=0,AI=0,AO=0,Bus=0"/>
    <s v="ISV-61301_DI_1"/>
    <x v="0"/>
    <n v="1"/>
    <n v="1"/>
    <s v="C3S02DI"/>
    <s v="C3S02DI00"/>
    <s v="C3S02,00"/>
    <s v="DI"/>
    <s v="Require I/O DI= 1,DO=0,AI=0,AO=0,Bus=0"/>
    <x v="3"/>
    <x v="0"/>
    <n v="0"/>
    <m/>
    <n v="1"/>
    <n v="0"/>
    <n v="0"/>
    <n v="0"/>
    <n v="0"/>
    <m/>
    <e v="#N/A"/>
    <s v="Y"/>
  </r>
  <r>
    <s v="=CA1+MCP-M3"/>
    <m/>
    <m/>
    <x v="9"/>
    <s v="Packing Tower 8th Floor"/>
    <x v="6"/>
    <m/>
    <s v="Packing Tower"/>
    <s v="LSH-61301"/>
    <m/>
    <m/>
    <n v="0"/>
    <s v="7th"/>
    <s v="325-01-613-PD-01"/>
    <s v="3-25-01-613-PD-01"/>
    <s v="Level alarm high "/>
    <s v="Require I/O DI= 1,DO=0,AI=0,AO=0,Bus=0"/>
    <s v="LSH-61301_DI_1"/>
    <x v="0"/>
    <n v="1"/>
    <n v="1"/>
    <s v="C3S02DI"/>
    <s v="C3S02DI01"/>
    <s v="C3S02,01"/>
    <s v="DI"/>
    <s v="Require I/O DI= 1,DO=0,AI=0,AO=0,Bus=0"/>
    <x v="3"/>
    <x v="0"/>
    <n v="1"/>
    <m/>
    <n v="1"/>
    <n v="0"/>
    <n v="0"/>
    <n v="0"/>
    <n v="0"/>
    <m/>
    <s v="Dry Contact"/>
    <s v="Y"/>
  </r>
  <r>
    <s v="=CA1+MCP-M3"/>
    <m/>
    <m/>
    <x v="9"/>
    <s v="Packing Tower 8th Floor"/>
    <x v="6"/>
    <m/>
    <s v="Packing Tower"/>
    <s v="LSH-61303"/>
    <m/>
    <m/>
    <e v="#N/A"/>
    <s v="7th"/>
    <s v="325-01-613-PD-01"/>
    <s v="-"/>
    <e v="#N/A"/>
    <s v="Require I/O DI= 1,DO=0,AI=0,AO=0,Bus=0"/>
    <s v="LSH-61303_DI_1"/>
    <x v="0"/>
    <n v="1"/>
    <n v="1"/>
    <s v="C3S02DI"/>
    <s v="C3S02DI02"/>
    <s v="C3S02,02"/>
    <s v="DI"/>
    <s v="Require I/O DI= 1,DO=0,AI=0,AO=0,Bus=0"/>
    <x v="3"/>
    <x v="0"/>
    <n v="2"/>
    <m/>
    <n v="1"/>
    <n v="0"/>
    <n v="0"/>
    <n v="0"/>
    <n v="0"/>
    <m/>
    <e v="#N/A"/>
    <s v="Y"/>
  </r>
  <r>
    <s v="=CA1+MCP-M3"/>
    <m/>
    <m/>
    <x v="9"/>
    <s v="Packing Tower 8th Floor"/>
    <x v="6"/>
    <m/>
    <s v="Packing Tower"/>
    <s v="LSH-61306"/>
    <m/>
    <m/>
    <n v="0"/>
    <s v="9th"/>
    <s v="325-01-613-PD-01"/>
    <s v="3-25-01-613-PD-01"/>
    <s v="Level alarm high"/>
    <s v="Require I/O DI= 1,DO=0,AI=0,AO=0,Bus=0"/>
    <s v="LSH-61306_DI_1"/>
    <x v="0"/>
    <n v="1"/>
    <n v="1"/>
    <s v="C3S02DI"/>
    <s v="C3S02DI03"/>
    <s v="C3S02,03"/>
    <s v="DI"/>
    <s v="Require I/O DI= 1,DO=0,AI=0,AO=0,Bus=0"/>
    <x v="3"/>
    <x v="0"/>
    <n v="3"/>
    <m/>
    <n v="1"/>
    <n v="0"/>
    <n v="0"/>
    <n v="0"/>
    <n v="0"/>
    <m/>
    <s v="Dry Contact"/>
    <s v="Y"/>
  </r>
  <r>
    <s v="=CA1+MCP-M3"/>
    <m/>
    <m/>
    <x v="9"/>
    <s v="Packing Tower 8th Floor"/>
    <x v="6"/>
    <m/>
    <s v="Packing Tower"/>
    <s v="LSH-61308"/>
    <m/>
    <m/>
    <n v="0"/>
    <s v="8th"/>
    <s v="-"/>
    <s v="3-25-01-613-PD-01"/>
    <s v="High Level alarm Cooling cyclone"/>
    <s v="Require I/O DI= 1,DO=0,AI=0,AO=0,Bus=0"/>
    <s v="LSH-61308_DI_1"/>
    <x v="0"/>
    <n v="1"/>
    <n v="1"/>
    <s v="C3S02DI"/>
    <s v="C3S02DI04"/>
    <s v="C3S02,04"/>
    <s v="DI"/>
    <s v="Require I/O DI= 1,DO=0,AI=0,AO=0,Bus=0"/>
    <x v="3"/>
    <x v="0"/>
    <n v="4"/>
    <m/>
    <n v="1"/>
    <n v="0"/>
    <n v="0"/>
    <n v="0"/>
    <n v="0"/>
    <m/>
    <s v="Dry Contact"/>
    <s v="Y"/>
  </r>
  <r>
    <s v="=CA1+MCP-M3"/>
    <m/>
    <m/>
    <x v="9"/>
    <s v="Packing Tower 8th Floor"/>
    <x v="6"/>
    <m/>
    <s v="Packing Tower"/>
    <s v="LSL-61302"/>
    <m/>
    <m/>
    <n v="0"/>
    <s v="6th"/>
    <s v="325-01-613-PD-01"/>
    <s v="3-25-01-613-PD-01"/>
    <s v="Level alarm low"/>
    <s v="Require I/O DI= 1,DO=0,AI=0,AO=0,Bus=0"/>
    <s v="LSL-61302_DI_1"/>
    <x v="0"/>
    <n v="1"/>
    <n v="1"/>
    <s v="C3S02DI"/>
    <s v="C3S02DI05"/>
    <s v="C3S02,05"/>
    <s v="DI"/>
    <s v="Require I/O DI= 1,DO=0,AI=0,AO=0,Bus=0"/>
    <x v="3"/>
    <x v="0"/>
    <n v="5"/>
    <m/>
    <n v="1"/>
    <n v="0"/>
    <n v="0"/>
    <n v="0"/>
    <n v="0"/>
    <m/>
    <s v="Dry Contact"/>
    <s v="Y"/>
  </r>
  <r>
    <s v="=CA1+MCP-M3"/>
    <m/>
    <m/>
    <x v="9"/>
    <s v="Packing Tower 8th Floor"/>
    <x v="6"/>
    <m/>
    <s v="Packing Tower"/>
    <s v="LT-61301"/>
    <m/>
    <m/>
    <s v="Level Transmitter"/>
    <s v="8th"/>
    <s v="325-01-613-PD-01"/>
    <s v="3-25-01-613-PD-01"/>
    <s v="Level powder in silo"/>
    <s v="Require I/O DI= 0,DO=0,AI=1,AO=0,Bus=0"/>
    <s v="LT-61301_AI_1"/>
    <x v="3"/>
    <n v="3"/>
    <n v="1"/>
    <s v="C3S05AI"/>
    <s v="C3S05AI06"/>
    <s v="C3S05,06"/>
    <s v="AI"/>
    <s v="Require I/O DI= 0,DO=0,AI=1,AO=0,Bus=0"/>
    <x v="3"/>
    <x v="5"/>
    <n v="6"/>
    <m/>
    <n v="0"/>
    <n v="0"/>
    <n v="1"/>
    <n v="0"/>
    <n v="0"/>
    <m/>
    <s v="4 - 20 mA"/>
    <s v="Y"/>
  </r>
  <r>
    <s v="=CA1+MCP-M3"/>
    <m/>
    <m/>
    <x v="9"/>
    <s v="Packing Tower 8th Floor"/>
    <x v="6"/>
    <m/>
    <s v="Packing Tower"/>
    <s v="PSE-61300"/>
    <m/>
    <m/>
    <n v="0"/>
    <s v="9th"/>
    <s v="325-01-613-PD-01"/>
    <s v="3-25-01-613-PD-01"/>
    <s v="Explosion Vent PSE-61300"/>
    <s v="Require I/O DI= 1,DO=0,AI=0,AO=0,Bus=0"/>
    <s v="PSE-61300_DI_1"/>
    <x v="0"/>
    <n v="1"/>
    <n v="1"/>
    <s v="C3S02DI"/>
    <s v="C3S02DI06"/>
    <s v="C3S02,06"/>
    <s v="DI"/>
    <s v="Require I/O DI= 1,DO=0,AI=0,AO=0,Bus=0"/>
    <x v="3"/>
    <x v="0"/>
    <n v="6"/>
    <m/>
    <n v="1"/>
    <n v="0"/>
    <n v="0"/>
    <n v="0"/>
    <n v="0"/>
    <m/>
    <s v="Dry Contact"/>
    <s v="Y"/>
  </r>
  <r>
    <s v="=CA1+MCP-M3"/>
    <m/>
    <m/>
    <x v="9"/>
    <s v="Packing Tower 8th Floor"/>
    <x v="6"/>
    <m/>
    <s v="Packing Tower"/>
    <s v="PSE-61301"/>
    <m/>
    <m/>
    <n v="0"/>
    <s v="8th"/>
    <s v="325-01-613-PD-01"/>
    <s v="3-25-01-613-PD-01"/>
    <s v="Explosion Vent PSE-61301"/>
    <s v="Require I/O DI= 1,DO=0,AI=0,AO=0,Bus=0"/>
    <s v="PSE-61301_DI_1"/>
    <x v="0"/>
    <n v="1"/>
    <n v="1"/>
    <s v="C3S02DI"/>
    <s v="C3S02DI07"/>
    <s v="C3S02,07"/>
    <s v="DI"/>
    <s v="Require I/O DI= 1,DO=0,AI=0,AO=0,Bus=0"/>
    <x v="3"/>
    <x v="0"/>
    <n v="7"/>
    <m/>
    <n v="1"/>
    <n v="0"/>
    <n v="0"/>
    <n v="0"/>
    <n v="0"/>
    <m/>
    <s v="Dry Contact"/>
    <s v="Y"/>
  </r>
  <r>
    <s v="=CA1+MCP-M3"/>
    <m/>
    <m/>
    <x v="9"/>
    <s v="Packing Tower 8th Floor"/>
    <x v="6"/>
    <m/>
    <s v="Packing Tower"/>
    <s v="PSE-61304"/>
    <m/>
    <m/>
    <n v="0"/>
    <s v="9th"/>
    <s v="325-01-613-PD-01"/>
    <s v="3-25-01-613-PD-01"/>
    <s v="Explosion Vent PSE-61304"/>
    <s v="Require I/O DI= 1,DO=0,AI=0,AO=0,Bus=0"/>
    <s v="PSE-61304_DI_1"/>
    <x v="0"/>
    <n v="1"/>
    <n v="1"/>
    <s v="C3S02DI"/>
    <s v="C3S02DI08"/>
    <s v="C3S02,08"/>
    <s v="DI"/>
    <s v="Require I/O DI= 1,DO=0,AI=0,AO=0,Bus=0"/>
    <x v="3"/>
    <x v="0"/>
    <n v="8"/>
    <m/>
    <n v="1"/>
    <n v="0"/>
    <n v="0"/>
    <n v="0"/>
    <n v="0"/>
    <m/>
    <s v="Dry Contact"/>
    <s v="Y"/>
  </r>
  <r>
    <s v="=CA1+MCP-M3"/>
    <m/>
    <m/>
    <x v="9"/>
    <s v="Packing Tower 8th Floor"/>
    <x v="6"/>
    <m/>
    <s v="Packing Tower"/>
    <s v="PSV-61301A"/>
    <m/>
    <m/>
    <e v="#N/A"/>
    <s v="8th"/>
    <s v="325-01-613-PD-01"/>
    <s v="325-01-613-PD-01"/>
    <e v="#N/A"/>
    <s v="Require I/O DI= 1,DO=0,AI=0,AO=0,Bus=0"/>
    <s v="PSV-61301A_DI_1"/>
    <x v="0"/>
    <n v="1"/>
    <n v="1"/>
    <s v="C3S02DI"/>
    <s v="C3S02DI09"/>
    <s v="C3S02,09"/>
    <s v="DI"/>
    <s v="Require I/O DI= 1,DO=0,AI=0,AO=0,Bus=0"/>
    <x v="3"/>
    <x v="0"/>
    <n v="9"/>
    <m/>
    <n v="1"/>
    <n v="0"/>
    <n v="0"/>
    <n v="0"/>
    <n v="0"/>
    <m/>
    <e v="#N/A"/>
    <s v="Y"/>
  </r>
  <r>
    <s v="=CA1+MCP-M3"/>
    <m/>
    <m/>
    <x v="9"/>
    <s v="Packing Tower 8th Floor"/>
    <x v="6"/>
    <m/>
    <s v="Packing Tower"/>
    <s v="PSV-61301B"/>
    <m/>
    <m/>
    <e v="#N/A"/>
    <s v="8th"/>
    <s v="325-01-613-PD-01"/>
    <s v="325-01-613-PD-01"/>
    <e v="#N/A"/>
    <s v="Require I/O DI= 1,DO=0,AI=0,AO=0,Bus=0"/>
    <s v="PSV-61301B_DI_1"/>
    <x v="0"/>
    <n v="1"/>
    <n v="1"/>
    <s v="C3S02DI"/>
    <s v="C3S02DI10"/>
    <s v="C3S02,10"/>
    <s v="DI"/>
    <s v="Require I/O DI= 1,DO=0,AI=0,AO=0,Bus=0"/>
    <x v="3"/>
    <x v="0"/>
    <n v="10"/>
    <m/>
    <n v="1"/>
    <n v="0"/>
    <n v="0"/>
    <n v="0"/>
    <n v="0"/>
    <m/>
    <e v="#N/A"/>
    <s v="Y"/>
  </r>
  <r>
    <s v="=CA1+MCP-M3"/>
    <m/>
    <m/>
    <x v="9"/>
    <s v="Packing Tower 8th Floor"/>
    <x v="6"/>
    <m/>
    <s v="Packing Tower"/>
    <s v="PT-61301"/>
    <m/>
    <m/>
    <s v="Pressure Transmitter"/>
    <s v="8th"/>
    <s v="325-01-613-PD-01"/>
    <s v="3-25-01-613-PD-01"/>
    <s v="Pressure in silo"/>
    <s v="Require I/O DI= 0,DO=0,AI=1,AO=0,Bus=0"/>
    <s v="PT-61301_AI_1"/>
    <x v="3"/>
    <n v="3"/>
    <n v="1"/>
    <s v="C3S05AI"/>
    <s v="C3S05AI07"/>
    <s v="C3S05,07"/>
    <s v="AI"/>
    <s v="Require I/O DI= 0,DO=0,AI=1,AO=0,Bus=0"/>
    <x v="3"/>
    <x v="5"/>
    <n v="7"/>
    <m/>
    <n v="0"/>
    <n v="0"/>
    <n v="1"/>
    <n v="0"/>
    <n v="0"/>
    <m/>
    <s v="4 - 20 mA"/>
    <s v="Y"/>
  </r>
  <r>
    <s v="=CA1+MCP-M3"/>
    <m/>
    <m/>
    <x v="9"/>
    <s v="Packing Tower 8th Floor"/>
    <x v="6"/>
    <m/>
    <s v="Packing Tower"/>
    <s v="PT-61303"/>
    <m/>
    <m/>
    <s v="Pressure Transmitter"/>
    <s v="8th"/>
    <s v="325-01-613-PD-01"/>
    <s v="3-25-01-613-PD-01"/>
    <s v="Powder Pressure Transmitter for Cooling / Conveyor Cyclone (CYCL-31)"/>
    <s v="Require I/O DI= 0,DO=0,AI=1,AO=0,Bus=0"/>
    <s v="PT-61303_AI_1"/>
    <x v="3"/>
    <n v="3"/>
    <n v="1"/>
    <s v="C3S05AI"/>
    <s v="C3S05AI08"/>
    <s v="C3S05,08"/>
    <s v="AI"/>
    <s v="Require I/O DI= 0,DO=0,AI=1,AO=0,Bus=0"/>
    <x v="3"/>
    <x v="5"/>
    <n v="8"/>
    <m/>
    <n v="0"/>
    <n v="0"/>
    <n v="1"/>
    <n v="0"/>
    <n v="0"/>
    <m/>
    <s v="4 - 20 mA"/>
    <s v="Y"/>
  </r>
  <r>
    <s v="=CA1+MCP-M3"/>
    <m/>
    <m/>
    <x v="9"/>
    <s v="Packing Tower 8th Floor"/>
    <x v="6"/>
    <m/>
    <s v="Packing Tower"/>
    <s v="PT-61304"/>
    <m/>
    <m/>
    <s v="Pressure Transmitter"/>
    <s v="9th"/>
    <s v="325-01-613-PD-01"/>
    <s v="3-25-01-613-PD-01"/>
    <s v="Gas Pressure Transmitter for Storage Bin Cyclone Inlet Duct (CYCL-31)"/>
    <s v="Require I/O DI= 0,DO=0,AI=1,AO=0,Bus=0"/>
    <s v="PT-61304_AI_1"/>
    <x v="3"/>
    <n v="3"/>
    <n v="1"/>
    <s v="C3S05AI"/>
    <s v="C3S05AI09"/>
    <s v="C3S05,09"/>
    <s v="AI"/>
    <s v="Require I/O DI= 0,DO=0,AI=1,AO=0,Bus=0"/>
    <x v="3"/>
    <x v="5"/>
    <n v="9"/>
    <m/>
    <n v="0"/>
    <n v="0"/>
    <n v="1"/>
    <n v="0"/>
    <n v="0"/>
    <m/>
    <s v="4 - 20 mA"/>
    <s v="Y"/>
  </r>
  <r>
    <s v="=CA1+MCP-M3"/>
    <m/>
    <m/>
    <x v="9"/>
    <s v="Packing Tower 8th Floor"/>
    <x v="6"/>
    <m/>
    <s v="Packing Tower"/>
    <s v="PT-61305"/>
    <m/>
    <m/>
    <s v="Pressure Transmitter"/>
    <s v="9th"/>
    <s v="325-01-613-PD-01"/>
    <s v="3-25-01-613-PD-01"/>
    <s v="Gas Pressure Transmitter for Exhaust Duct (DTEX-31)"/>
    <s v="Require I/O DI= 0,DO=0,AI=1,AO=0,Bus=0"/>
    <s v="PT-61305_AI_1"/>
    <x v="3"/>
    <n v="3"/>
    <n v="1"/>
    <s v="C3S05AI"/>
    <s v="C3S05AI10"/>
    <s v="C3S05,10"/>
    <s v="AI"/>
    <s v="Require I/O DI= 0,DO=0,AI=1,AO=0,Bus=0"/>
    <x v="3"/>
    <x v="5"/>
    <n v="10"/>
    <m/>
    <n v="0"/>
    <n v="0"/>
    <n v="1"/>
    <n v="0"/>
    <n v="0"/>
    <m/>
    <s v="4 - 20 mA"/>
    <s v="Y"/>
  </r>
  <r>
    <s v="=CA1+MCP-M3"/>
    <m/>
    <m/>
    <x v="9"/>
    <s v="Packing Tower 8th Floor"/>
    <x v="6"/>
    <m/>
    <s v="Packing Tower"/>
    <s v="Spare"/>
    <m/>
    <m/>
    <e v="#N/A"/>
    <s v="5th"/>
    <s v="325-01-613-PD-01"/>
    <s v="3-25-01-613-PD-01"/>
    <e v="#N/A"/>
    <s v="Require I/O DI= 0,DO=0,AI=0,AO=0,Bus=0"/>
    <s v="Spare_DI_1"/>
    <x v="0"/>
    <n v="1"/>
    <n v="1"/>
    <s v="C3S02DI"/>
    <s v="C3S02DI13"/>
    <s v="C3S02,13"/>
    <s v="DI"/>
    <s v="Require I/O DI= 0,DO=0,AI=0,AO=0,Bus=0"/>
    <x v="3"/>
    <x v="0"/>
    <n v="13"/>
    <m/>
    <n v="0"/>
    <n v="0"/>
    <n v="0"/>
    <n v="0"/>
    <n v="0"/>
    <m/>
    <e v="#N/A"/>
    <s v="Y"/>
  </r>
  <r>
    <s v="=CA1+MCP-M3"/>
    <m/>
    <m/>
    <x v="9"/>
    <s v="Packing Tower 8th Floor"/>
    <x v="6"/>
    <m/>
    <s v="Packing Tower"/>
    <s v="Spare"/>
    <m/>
    <m/>
    <e v="#N/A"/>
    <s v="5th"/>
    <s v="325-01-613-PD-01"/>
    <s v="3-25-01-613-PD-01"/>
    <e v="#N/A"/>
    <s v="Require I/O DI= 0,DO=0,AI=0,AO=0,Bus=0"/>
    <s v="Spare_DI_1"/>
    <x v="0"/>
    <n v="1"/>
    <n v="1"/>
    <s v="C3S02DI"/>
    <s v="C3S02DI14"/>
    <s v="C3S02,14"/>
    <s v="DI"/>
    <s v="Require I/O DI= 0,DO=0,AI=0,AO=0,Bus=0"/>
    <x v="3"/>
    <x v="0"/>
    <n v="14"/>
    <m/>
    <n v="0"/>
    <n v="0"/>
    <n v="0"/>
    <n v="0"/>
    <n v="0"/>
    <m/>
    <e v="#N/A"/>
    <s v="Y"/>
  </r>
  <r>
    <s v="=CA1+MCP-M3"/>
    <m/>
    <m/>
    <x v="9"/>
    <s v="Packing Tower 8th Floor"/>
    <x v="6"/>
    <m/>
    <s v="Packing Tower"/>
    <s v="Spare"/>
    <m/>
    <m/>
    <e v="#N/A"/>
    <s v="5th"/>
    <s v="325-01-613-PD-01"/>
    <s v="3-25-01-613-PD-01"/>
    <e v="#N/A"/>
    <s v="Require I/O DI= 0,DO=0,AI=0,AO=0,Bus=0"/>
    <s v="Spare_DI_1"/>
    <x v="0"/>
    <n v="1"/>
    <n v="1"/>
    <s v="C3S02DI"/>
    <s v="C3S02DI15"/>
    <s v="C3S02,15"/>
    <s v="DI"/>
    <s v="Require I/O DI= 0,DO=0,AI=0,AO=0,Bus=0"/>
    <x v="3"/>
    <x v="0"/>
    <n v="15"/>
    <m/>
    <n v="0"/>
    <n v="0"/>
    <n v="0"/>
    <n v="0"/>
    <n v="0"/>
    <m/>
    <e v="#N/A"/>
    <s v="Y"/>
  </r>
  <r>
    <s v="=CA1+MCP-M3"/>
    <m/>
    <m/>
    <x v="9"/>
    <s v="Packing Tower 8th Floor"/>
    <x v="6"/>
    <m/>
    <s v="Packing Tower"/>
    <s v="Spare"/>
    <m/>
    <m/>
    <e v="#N/A"/>
    <s v="5th"/>
    <s v="325-01-613-PD-01"/>
    <s v="3-25-01-613-PD-01"/>
    <e v="#N/A"/>
    <s v="Require I/O DI= 0,DO=0,AI=0,AO=0,Bus=0"/>
    <s v="Spare_DI_1"/>
    <x v="0"/>
    <n v="1"/>
    <n v="1"/>
    <s v="C3S02DI"/>
    <s v="C3S02DI16"/>
    <s v="C3S02,16"/>
    <s v="DI"/>
    <s v="Require I/O DI= 0,DO=0,AI=0,AO=0,Bus=0"/>
    <x v="3"/>
    <x v="0"/>
    <n v="16"/>
    <m/>
    <n v="0"/>
    <n v="0"/>
    <n v="0"/>
    <n v="0"/>
    <n v="0"/>
    <m/>
    <e v="#N/A"/>
    <s v="Y"/>
  </r>
  <r>
    <s v="=CA1+MCP-M3"/>
    <m/>
    <m/>
    <x v="9"/>
    <s v="Packing Tower 8th Floor"/>
    <x v="6"/>
    <m/>
    <s v="Packing Tower"/>
    <s v="Spare"/>
    <m/>
    <m/>
    <e v="#N/A"/>
    <s v="5th"/>
    <s v="325-01-613-PD-01"/>
    <s v="3-25-01-613-PD-01"/>
    <e v="#N/A"/>
    <s v="Require I/O DI= 0,DO=0,AI=0,AO=0,Bus=0"/>
    <s v="Spare_DI_1"/>
    <x v="0"/>
    <n v="1"/>
    <n v="1"/>
    <s v="C3S02DI"/>
    <s v="C3S02DI17"/>
    <s v="C3S02,17"/>
    <s v="DI"/>
    <s v="Require I/O DI= 0,DO=0,AI=0,AO=0,Bus=0"/>
    <x v="3"/>
    <x v="0"/>
    <n v="17"/>
    <m/>
    <n v="0"/>
    <n v="0"/>
    <n v="0"/>
    <n v="0"/>
    <n v="0"/>
    <m/>
    <e v="#N/A"/>
    <s v="Y"/>
  </r>
  <r>
    <s v="=CA1+MCP-M3"/>
    <m/>
    <m/>
    <x v="9"/>
    <s v="Packing Tower 8th Floor"/>
    <x v="6"/>
    <m/>
    <s v="Packing Tower"/>
    <s v="Spare"/>
    <m/>
    <m/>
    <e v="#N/A"/>
    <s v="5th"/>
    <s v="325-01-613-PD-01"/>
    <s v="3-25-01-613-PD-01"/>
    <e v="#N/A"/>
    <s v="Require I/O DI= 0,DO=0,AI=0,AO=0,Bus=0"/>
    <s v="Spare_DI_1"/>
    <x v="0"/>
    <n v="1"/>
    <n v="1"/>
    <s v="C3S02DI"/>
    <s v="C3S02DI18"/>
    <s v="C3S02,18"/>
    <s v="DI"/>
    <s v="Require I/O DI= 0,DO=0,AI=0,AO=0,Bus=0"/>
    <x v="3"/>
    <x v="0"/>
    <n v="18"/>
    <m/>
    <n v="0"/>
    <n v="0"/>
    <n v="0"/>
    <n v="0"/>
    <n v="0"/>
    <m/>
    <e v="#N/A"/>
    <s v="Y"/>
  </r>
  <r>
    <s v="=CA1+MCP-M3"/>
    <m/>
    <m/>
    <x v="9"/>
    <s v="Packing Tower 8th Floor"/>
    <x v="6"/>
    <m/>
    <s v="Packing Tower"/>
    <s v="Spare"/>
    <m/>
    <m/>
    <e v="#N/A"/>
    <s v="5th"/>
    <s v="325-01-613-PD-01"/>
    <s v="3-25-01-613-PD-01"/>
    <e v="#N/A"/>
    <s v="Require I/O DI= 0,DO=0,AI=0,AO=0,Bus=0"/>
    <s v="Spare_DI_1"/>
    <x v="0"/>
    <n v="1"/>
    <n v="1"/>
    <s v="C3S02DI"/>
    <s v="C3S02DI19"/>
    <s v="C3S02,19"/>
    <s v="DI"/>
    <s v="Require I/O DI= 0,DO=0,AI=0,AO=0,Bus=0"/>
    <x v="3"/>
    <x v="0"/>
    <n v="19"/>
    <m/>
    <n v="0"/>
    <n v="0"/>
    <n v="0"/>
    <n v="0"/>
    <n v="0"/>
    <m/>
    <e v="#N/A"/>
    <s v="Y"/>
  </r>
  <r>
    <s v="=CA1+MCP-M3"/>
    <m/>
    <m/>
    <x v="9"/>
    <s v="Packing Tower 8th Floor"/>
    <x v="6"/>
    <m/>
    <s v="Packing Tower"/>
    <s v="Spare"/>
    <m/>
    <m/>
    <e v="#N/A"/>
    <s v="5th"/>
    <s v="325-01-613-PD-01"/>
    <s v="3-25-01-613-PD-01"/>
    <e v="#N/A"/>
    <s v="Require I/O DI= 0,DO=0,AI=0,AO=0,Bus=0"/>
    <s v="Spare_DI_1"/>
    <x v="0"/>
    <n v="1"/>
    <n v="1"/>
    <s v="C3S02DI"/>
    <s v="C3S02DI20"/>
    <s v="C3S02,20"/>
    <s v="DI"/>
    <s v="Require I/O DI= 0,DO=0,AI=0,AO=0,Bus=0"/>
    <x v="3"/>
    <x v="0"/>
    <n v="20"/>
    <m/>
    <n v="0"/>
    <n v="0"/>
    <n v="0"/>
    <n v="0"/>
    <n v="0"/>
    <m/>
    <e v="#N/A"/>
    <s v="Y"/>
  </r>
  <r>
    <s v="=CA1+MCP-M3"/>
    <m/>
    <m/>
    <x v="9"/>
    <s v="Packing Tower 8th Floor"/>
    <x v="6"/>
    <m/>
    <s v="Packing Tower"/>
    <s v="Spare"/>
    <m/>
    <m/>
    <e v="#N/A"/>
    <s v="5th"/>
    <s v="325-01-613-PD-01"/>
    <s v="3-25-01-613-PD-01"/>
    <e v="#N/A"/>
    <s v="Require I/O DI= 0,DO=0,AI=0,AO=0,Bus=0"/>
    <s v="Spare_DI_1"/>
    <x v="0"/>
    <n v="1"/>
    <n v="1"/>
    <s v="C3S02DI"/>
    <s v="C3S02DI21"/>
    <s v="C3S02,21"/>
    <s v="DI"/>
    <s v="Require I/O DI= 0,DO=0,AI=0,AO=0,Bus=0"/>
    <x v="3"/>
    <x v="0"/>
    <n v="21"/>
    <m/>
    <n v="0"/>
    <n v="0"/>
    <n v="0"/>
    <n v="0"/>
    <n v="0"/>
    <m/>
    <e v="#N/A"/>
    <s v="Y"/>
  </r>
  <r>
    <s v="=CA1+MCP-M3"/>
    <m/>
    <m/>
    <x v="9"/>
    <s v="Packing Tower 8th Floor"/>
    <x v="6"/>
    <m/>
    <s v="Packing Tower"/>
    <s v="Spare"/>
    <m/>
    <m/>
    <e v="#N/A"/>
    <s v="5th"/>
    <s v="325-01-613-PD-01"/>
    <s v="3-25-01-613-PD-01"/>
    <e v="#N/A"/>
    <s v="Require I/O DI= 0,DO=0,AI=0,AO=0,Bus=0"/>
    <s v="Spare_DI_1"/>
    <x v="0"/>
    <n v="1"/>
    <n v="1"/>
    <s v="C3S02DI"/>
    <s v="C3S02DI22"/>
    <s v="C3S02,22"/>
    <s v="DI"/>
    <s v="Require I/O DI= 0,DO=0,AI=0,AO=0,Bus=0"/>
    <x v="3"/>
    <x v="0"/>
    <n v="22"/>
    <m/>
    <n v="0"/>
    <n v="0"/>
    <n v="0"/>
    <n v="0"/>
    <n v="0"/>
    <m/>
    <e v="#N/A"/>
    <s v="Y"/>
  </r>
  <r>
    <s v="=CA1+MCP-M3"/>
    <m/>
    <m/>
    <x v="9"/>
    <s v="Packing Tower 8th Floor"/>
    <x v="6"/>
    <m/>
    <s v="Packing Tower"/>
    <s v="Spare"/>
    <m/>
    <m/>
    <e v="#N/A"/>
    <s v="5th"/>
    <s v="325-01-613-PD-01"/>
    <s v="3-25-01-613-PD-01"/>
    <e v="#N/A"/>
    <s v="Require I/O DI= 0,DO=0,AI=0,AO=0,Bus=0"/>
    <s v="Spare_DI_1"/>
    <x v="0"/>
    <n v="1"/>
    <n v="1"/>
    <s v="C3S02DI"/>
    <s v="C3S02DI23"/>
    <s v="C3S02,23"/>
    <s v="DI"/>
    <s v="Require I/O DI= 0,DO=0,AI=0,AO=0,Bus=0"/>
    <x v="3"/>
    <x v="0"/>
    <n v="23"/>
    <m/>
    <n v="0"/>
    <n v="0"/>
    <n v="0"/>
    <n v="0"/>
    <n v="0"/>
    <m/>
    <e v="#N/A"/>
    <s v="Y"/>
  </r>
  <r>
    <s v="=CA1+MCP-M3"/>
    <m/>
    <m/>
    <x v="9"/>
    <s v="Packing Tower 8th Floor"/>
    <x v="6"/>
    <m/>
    <s v="Packing Tower"/>
    <s v="Spare"/>
    <m/>
    <m/>
    <e v="#N/A"/>
    <s v="5th"/>
    <s v="325-01-613-PD-01"/>
    <s v="3-25-01-613-PD-01"/>
    <e v="#N/A"/>
    <s v="Require I/O DI= 0,DO=0,AI=0,AO=0,Bus=0"/>
    <s v="Spare_DI_1"/>
    <x v="0"/>
    <n v="1"/>
    <n v="1"/>
    <s v="C3S02DI"/>
    <s v="C3S02DI24"/>
    <s v="C3S02,24"/>
    <s v="DI"/>
    <s v="Require I/O DI= 0,DO=0,AI=0,AO=0,Bus=0"/>
    <x v="3"/>
    <x v="0"/>
    <n v="24"/>
    <m/>
    <n v="0"/>
    <n v="0"/>
    <n v="0"/>
    <n v="0"/>
    <n v="0"/>
    <m/>
    <e v="#N/A"/>
    <s v="Y"/>
  </r>
  <r>
    <s v="=CA1+MCP-M3"/>
    <m/>
    <m/>
    <x v="9"/>
    <s v="Packing Tower 8th Floor"/>
    <x v="6"/>
    <m/>
    <s v="Packing Tower"/>
    <s v="Spare"/>
    <m/>
    <m/>
    <e v="#N/A"/>
    <s v="5th"/>
    <s v="325-01-613-PD-01"/>
    <s v="3-25-01-613-PD-01"/>
    <e v="#N/A"/>
    <s v="Require I/O DI= 0,DO=0,AI=0,AO=0,Bus=0"/>
    <s v="Spare_DI_1"/>
    <x v="0"/>
    <n v="1"/>
    <n v="1"/>
    <s v="C3S02DI"/>
    <s v="C3S02DI25"/>
    <s v="C3S02,25"/>
    <s v="DI"/>
    <s v="Require I/O DI= 0,DO=0,AI=0,AO=0,Bus=0"/>
    <x v="3"/>
    <x v="0"/>
    <n v="25"/>
    <m/>
    <n v="0"/>
    <n v="0"/>
    <n v="0"/>
    <n v="0"/>
    <n v="0"/>
    <m/>
    <e v="#N/A"/>
    <s v="Y"/>
  </r>
  <r>
    <s v="=CA1+MCP-M3"/>
    <m/>
    <m/>
    <x v="9"/>
    <s v="Packing Tower 8th Floor"/>
    <x v="6"/>
    <m/>
    <s v="Packing Tower"/>
    <s v="Spare"/>
    <m/>
    <m/>
    <e v="#N/A"/>
    <s v="5th"/>
    <s v="325-01-613-PD-01"/>
    <s v="3-25-01-613-PD-01"/>
    <e v="#N/A"/>
    <s v="Require I/O DI= 0,DO=0,AI=0,AO=0,Bus=0"/>
    <s v="Spare_DI_1"/>
    <x v="0"/>
    <n v="1"/>
    <n v="1"/>
    <s v="C3S02DI"/>
    <s v="C3S02DI26"/>
    <s v="C3S02,26"/>
    <s v="DI"/>
    <s v="Require I/O DI= 0,DO=0,AI=0,AO=0,Bus=0"/>
    <x v="3"/>
    <x v="0"/>
    <n v="26"/>
    <m/>
    <n v="0"/>
    <n v="0"/>
    <n v="0"/>
    <n v="0"/>
    <n v="0"/>
    <m/>
    <e v="#N/A"/>
    <s v="Y"/>
  </r>
  <r>
    <s v="=CA1+MCP-M3"/>
    <m/>
    <m/>
    <x v="9"/>
    <s v="Packing Tower 8th Floor"/>
    <x v="6"/>
    <m/>
    <s v="Packing Tower"/>
    <s v="Spare"/>
    <m/>
    <m/>
    <e v="#N/A"/>
    <s v="5th"/>
    <s v="325-01-613-PD-01"/>
    <s v="3-25-01-613-PD-01"/>
    <e v="#N/A"/>
    <s v="Require I/O DI= 0,DO=0,AI=0,AO=0,Bus=0"/>
    <s v="Spare_DI_1"/>
    <x v="0"/>
    <n v="1"/>
    <n v="1"/>
    <s v="C3S02DI"/>
    <s v="C3S02DI27"/>
    <s v="C3S02,27"/>
    <s v="DI"/>
    <s v="Require I/O DI= 0,DO=0,AI=0,AO=0,Bus=0"/>
    <x v="3"/>
    <x v="0"/>
    <n v="27"/>
    <m/>
    <n v="0"/>
    <n v="0"/>
    <n v="0"/>
    <n v="0"/>
    <n v="0"/>
    <m/>
    <e v="#N/A"/>
    <s v="Y"/>
  </r>
  <r>
    <s v="=CA1+MCP-M3"/>
    <m/>
    <m/>
    <x v="9"/>
    <s v="Packing Tower 8th Floor"/>
    <x v="6"/>
    <m/>
    <s v="Packing Tower"/>
    <s v="Spare"/>
    <m/>
    <m/>
    <e v="#N/A"/>
    <s v="5th"/>
    <s v="325-01-613-PD-01"/>
    <s v="3-25-01-613-PD-01"/>
    <e v="#N/A"/>
    <s v="Require I/O DI= 0,DO=0,AI=0,AO=0,Bus=0"/>
    <s v="Spare_DI_1"/>
    <x v="0"/>
    <n v="1"/>
    <n v="1"/>
    <s v="C3S02DI"/>
    <s v="C3S02DI28"/>
    <s v="C3S02,28"/>
    <s v="DI"/>
    <s v="Require I/O DI= 0,DO=0,AI=0,AO=0,Bus=0"/>
    <x v="3"/>
    <x v="0"/>
    <n v="28"/>
    <m/>
    <n v="0"/>
    <n v="0"/>
    <n v="0"/>
    <n v="0"/>
    <n v="0"/>
    <m/>
    <e v="#N/A"/>
    <s v="Y"/>
  </r>
  <r>
    <s v="=CA1+MCP-M3"/>
    <m/>
    <m/>
    <x v="9"/>
    <s v="Packing Tower 8th Floor"/>
    <x v="6"/>
    <m/>
    <s v="Packing Tower"/>
    <s v="Spare"/>
    <m/>
    <m/>
    <e v="#N/A"/>
    <s v="5th"/>
    <s v="325-01-613-PD-01"/>
    <s v="3-25-01-613-PD-01"/>
    <e v="#N/A"/>
    <s v="Require I/O DI= 0,DO=0,AI=0,AO=0,Bus=0"/>
    <s v="Spare_DI_1"/>
    <x v="0"/>
    <n v="1"/>
    <n v="1"/>
    <s v="C3S02DI"/>
    <s v="C3S02DI29"/>
    <s v="C3S02,29"/>
    <s v="DI"/>
    <s v="Require I/O DI= 0,DO=0,AI=0,AO=0,Bus=0"/>
    <x v="3"/>
    <x v="0"/>
    <n v="29"/>
    <m/>
    <n v="0"/>
    <n v="0"/>
    <n v="0"/>
    <n v="0"/>
    <n v="0"/>
    <m/>
    <e v="#N/A"/>
    <s v="Y"/>
  </r>
  <r>
    <s v="=CA1+MCP-M3"/>
    <m/>
    <m/>
    <x v="9"/>
    <s v="Packing Tower 8th Floor"/>
    <x v="6"/>
    <m/>
    <s v="Packing Tower"/>
    <s v="Spare"/>
    <m/>
    <m/>
    <e v="#N/A"/>
    <s v="5th"/>
    <s v="325-01-613-PD-01"/>
    <s v="3-25-01-613-PD-01"/>
    <e v="#N/A"/>
    <s v="Require I/O DI= 0,DO=0,AI=0,AO=0,Bus=0"/>
    <s v="Spare_DI_1"/>
    <x v="0"/>
    <n v="1"/>
    <n v="1"/>
    <s v="C3S02DI"/>
    <s v="C3S02DI30"/>
    <s v="C3S02,30"/>
    <s v="DI"/>
    <s v="Require I/O DI= 0,DO=0,AI=0,AO=0,Bus=0"/>
    <x v="3"/>
    <x v="0"/>
    <n v="30"/>
    <m/>
    <n v="0"/>
    <n v="0"/>
    <n v="0"/>
    <n v="0"/>
    <n v="0"/>
    <m/>
    <e v="#N/A"/>
    <s v="Y"/>
  </r>
  <r>
    <s v="=CA1+MCP-M3"/>
    <m/>
    <m/>
    <x v="9"/>
    <s v="Packing Tower 8th Floor"/>
    <x v="6"/>
    <m/>
    <s v="Packing Tower"/>
    <s v="Spare"/>
    <m/>
    <m/>
    <e v="#N/A"/>
    <s v="5th"/>
    <s v="325-01-613-PD-01"/>
    <s v="3-25-01-613-PD-01"/>
    <e v="#N/A"/>
    <s v="Require I/O DI= 0,DO=0,AI=0,AO=0,Bus=0"/>
    <s v="Spare_DI_1"/>
    <x v="0"/>
    <n v="1"/>
    <n v="1"/>
    <s v="C3S02DI"/>
    <s v="C3S02DI31"/>
    <s v="C3S02,31"/>
    <s v="DI"/>
    <s v="Require I/O DI= 0,DO=0,AI=0,AO=0,Bus=0"/>
    <x v="3"/>
    <x v="0"/>
    <n v="31"/>
    <m/>
    <n v="0"/>
    <n v="0"/>
    <n v="0"/>
    <n v="0"/>
    <n v="0"/>
    <m/>
    <e v="#N/A"/>
    <s v="Y"/>
  </r>
  <r>
    <s v="=CA1+MCP-M3"/>
    <m/>
    <m/>
    <x v="9"/>
    <s v="Packing Tower 8th Floor"/>
    <x v="8"/>
    <m/>
    <m/>
    <s v="Spare"/>
    <m/>
    <m/>
    <e v="#N/A"/>
    <m/>
    <m/>
    <m/>
    <e v="#N/A"/>
    <s v="Require I/O DI= 0,DO=0,AI=0,AO=0,Bus=0"/>
    <s v="Spare_AI_"/>
    <x v="3"/>
    <n v="3"/>
    <m/>
    <s v="C3S05AI"/>
    <s v="C3S05AI13"/>
    <s v="C3S05,13"/>
    <s v="AI"/>
    <s v="Require I/O DI= 0,DO=0,AI=0,AO=0,Bus=0"/>
    <x v="3"/>
    <x v="5"/>
    <n v="13"/>
    <m/>
    <n v="0"/>
    <n v="0"/>
    <n v="0"/>
    <n v="0"/>
    <n v="0"/>
    <m/>
    <e v="#N/A"/>
    <m/>
  </r>
  <r>
    <s v="=CA1+MCP-M3"/>
    <m/>
    <m/>
    <x v="9"/>
    <s v="Packing Tower 8th Floor"/>
    <x v="8"/>
    <m/>
    <m/>
    <s v="Spare"/>
    <m/>
    <m/>
    <e v="#N/A"/>
    <m/>
    <m/>
    <m/>
    <e v="#N/A"/>
    <s v="Require I/O DI= 0,DO=0,AI=0,AO=0,Bus=0"/>
    <s v="Spare_AI_"/>
    <x v="3"/>
    <n v="3"/>
    <m/>
    <s v="C3S05AI"/>
    <s v="C3S05AI14"/>
    <s v="C3S05,14"/>
    <s v="AI"/>
    <s v="Require I/O DI= 0,DO=0,AI=0,AO=0,Bus=0"/>
    <x v="3"/>
    <x v="5"/>
    <n v="14"/>
    <m/>
    <n v="0"/>
    <n v="0"/>
    <n v="0"/>
    <n v="0"/>
    <n v="0"/>
    <m/>
    <e v="#N/A"/>
    <m/>
  </r>
  <r>
    <s v="=CA1+MCP-M3"/>
    <m/>
    <m/>
    <x v="9"/>
    <s v="Packing Tower 8th Floor"/>
    <x v="8"/>
    <m/>
    <m/>
    <s v="Spare"/>
    <m/>
    <m/>
    <e v="#N/A"/>
    <m/>
    <m/>
    <m/>
    <e v="#N/A"/>
    <s v="Require I/O DI= 0,DO=0,AI=0,AO=0,Bus=0"/>
    <s v="Spare_AI_"/>
    <x v="3"/>
    <n v="3"/>
    <m/>
    <s v="C3S05AI"/>
    <s v="C3S05AI15"/>
    <s v="C3S05,15"/>
    <s v="AI"/>
    <s v="Require I/O DI= 0,DO=0,AI=0,AO=0,Bus=0"/>
    <x v="3"/>
    <x v="5"/>
    <n v="15"/>
    <m/>
    <n v="0"/>
    <n v="0"/>
    <n v="0"/>
    <n v="0"/>
    <n v="0"/>
    <m/>
    <e v="#N/A"/>
    <m/>
  </r>
  <r>
    <s v="=CA1+MCP-M3"/>
    <m/>
    <m/>
    <x v="9"/>
    <s v="Packing Tower 8th Floor"/>
    <x v="6"/>
    <m/>
    <s v="Packing Tower"/>
    <s v="TT-61301"/>
    <m/>
    <m/>
    <n v="0"/>
    <s v="9th"/>
    <s v="325-01-613-PD-01"/>
    <s v="3-25-01-613-PD-01"/>
    <s v="Gas Temperature Transmitter for Cold Air Duct (DTCA-32)"/>
    <s v="Require I/O DI= 0,DO=0,AI=1,AO=0,Bus=0"/>
    <s v="TT-61301_AI_1"/>
    <x v="3"/>
    <n v="3"/>
    <n v="1"/>
    <s v="C3S05AI"/>
    <s v="C3S05AI11"/>
    <s v="C3S05,11"/>
    <s v="AI"/>
    <s v="Require I/O DI= 0,DO=0,AI=1,AO=0,Bus=0"/>
    <x v="3"/>
    <x v="5"/>
    <n v="11"/>
    <m/>
    <n v="0"/>
    <n v="0"/>
    <n v="1"/>
    <n v="0"/>
    <n v="0"/>
    <m/>
    <s v="4 - 20 mA"/>
    <s v="Y"/>
  </r>
  <r>
    <s v="=CA1+MCP-M3"/>
    <m/>
    <m/>
    <x v="9"/>
    <s v="Packing Tower 8th Floor"/>
    <x v="6"/>
    <m/>
    <s v="Packing Tower"/>
    <s v="TT-61302"/>
    <m/>
    <m/>
    <n v="0"/>
    <s v="9th"/>
    <s v="325-01-613-PD-01"/>
    <s v="3-25-01-613-PD-01"/>
    <s v="Gas and Powder Temperature Transmitter for Cooling Cyclone (CYCL-31)"/>
    <s v="Require I/O DI= 0,DO=0,AI=1,AO=0,Bus=0"/>
    <s v="TT-61302_AI_1"/>
    <x v="3"/>
    <n v="3"/>
    <n v="1"/>
    <s v="C3S05AI"/>
    <s v="C3S05AI12"/>
    <s v="C3S05,12"/>
    <s v="AI"/>
    <s v="Require I/O DI= 0,DO=0,AI=1,AO=0,Bus=0"/>
    <x v="3"/>
    <x v="5"/>
    <n v="12"/>
    <m/>
    <n v="0"/>
    <n v="0"/>
    <n v="1"/>
    <n v="0"/>
    <n v="0"/>
    <m/>
    <s v="4 - 20 mA"/>
    <s v="Y"/>
  </r>
  <r>
    <s v="=CA1+MCP-M3"/>
    <m/>
    <m/>
    <x v="9"/>
    <s v="Packing Tower 8th Floor"/>
    <x v="6"/>
    <m/>
    <s v="Packing Tower"/>
    <s v="ZS-61310"/>
    <m/>
    <m/>
    <n v="0"/>
    <s v="5th"/>
    <s v="325-01-613-PD-01"/>
    <s v="3-25-01-613-PD-01"/>
    <s v="Position Magnet Door"/>
    <s v="Require I/O DI= 1,DO=0,AI=0,AO=0,Bus=0"/>
    <s v="ZS-61310_DI_1"/>
    <x v="0"/>
    <n v="1"/>
    <n v="1"/>
    <s v="C3S02DI"/>
    <s v="C3S02DI11"/>
    <s v="C3S02,11"/>
    <s v="DI"/>
    <s v="Require I/O DI= 1,DO=0,AI=0,AO=0,Bus=0"/>
    <x v="3"/>
    <x v="0"/>
    <n v="11"/>
    <m/>
    <n v="1"/>
    <n v="0"/>
    <n v="0"/>
    <n v="0"/>
    <n v="0"/>
    <m/>
    <s v="Dry Contact"/>
    <s v="Y"/>
  </r>
  <r>
    <s v="=CA1+MCP-M3"/>
    <m/>
    <m/>
    <x v="9"/>
    <s v="Packing Tower 8th Floor"/>
    <x v="6"/>
    <m/>
    <s v="Packing Tower"/>
    <s v="ZS-61311"/>
    <m/>
    <m/>
    <n v="0"/>
    <s v="5th"/>
    <s v="325-01-613-PD-01"/>
    <s v="3-25-01-613-PD-01"/>
    <s v="Position Magnet Door"/>
    <s v="Require I/O DI= 1,DO=0,AI=0,AO=0,Bus=0"/>
    <s v="ZS-61311_DI_1"/>
    <x v="0"/>
    <n v="1"/>
    <n v="1"/>
    <s v="C3S02DI"/>
    <s v="C3S02DI12"/>
    <s v="C3S02,12"/>
    <s v="DI"/>
    <s v="Require I/O DI= 1,DO=0,AI=0,AO=0,Bus=0"/>
    <x v="3"/>
    <x v="0"/>
    <n v="12"/>
    <m/>
    <n v="1"/>
    <n v="0"/>
    <n v="0"/>
    <n v="0"/>
    <n v="0"/>
    <m/>
    <s v="Dry Contact"/>
    <s v="Y"/>
  </r>
  <r>
    <s v="=CA1+MCP-M3"/>
    <m/>
    <m/>
    <x v="10"/>
    <s v="Packing Tower 8th Floor"/>
    <x v="6"/>
    <m/>
    <s v="Packing Tower"/>
    <s v="DV-61301"/>
    <m/>
    <m/>
    <n v="0"/>
    <s v="5th"/>
    <s v="325-01-613-PD-01"/>
    <s v="3-25-01-613-PD-01"/>
    <s v="On/Off Valve for Diverter Valve DV-61301"/>
    <s v="Require I/O DI= 2,DO=1,AI=0,AO=0,Bus=0"/>
    <s v="DV-61301_DI_1"/>
    <x v="0"/>
    <n v="1"/>
    <n v="1"/>
    <s v="C3S01DI"/>
    <s v="C3S01DI16"/>
    <s v="C3S01,16"/>
    <s v="DI"/>
    <s v="Require I/O DI= 2,DO=1,AI=0,AO=0,Bus=0"/>
    <x v="3"/>
    <x v="4"/>
    <n v="16"/>
    <m/>
    <n v="2"/>
    <n v="1"/>
    <n v="0"/>
    <n v="0"/>
    <n v="0"/>
    <m/>
    <s v="24 VDC energized"/>
    <m/>
  </r>
  <r>
    <s v="=CA1+MCP-M3"/>
    <m/>
    <m/>
    <x v="10"/>
    <s v="Packing Tower 8th Floor"/>
    <x v="6"/>
    <m/>
    <s v="Packing Tower"/>
    <s v="DV-61301"/>
    <m/>
    <m/>
    <n v="0"/>
    <s v="5th"/>
    <s v="325-01-613-PD-01"/>
    <s v="3-25-01-613-PD-01"/>
    <s v="On/Off Valve for Diverter Valve DV-61301"/>
    <s v="Require I/O DI= 2,DO=1,AI=0,AO=0,Bus=0"/>
    <s v="DV-61301_DI_2"/>
    <x v="0"/>
    <n v="1"/>
    <n v="2"/>
    <s v="C3S01DI"/>
    <s v="C3S01DI17"/>
    <s v="C3S01,17"/>
    <s v="DI"/>
    <s v="Require I/O DI= 2,DO=1,AI=0,AO=0,Bus=0"/>
    <x v="3"/>
    <x v="4"/>
    <n v="17"/>
    <m/>
    <n v="2"/>
    <n v="1"/>
    <n v="0"/>
    <n v="0"/>
    <n v="0"/>
    <m/>
    <s v="24 VDC energized"/>
    <m/>
  </r>
  <r>
    <s v="=CA1+MCP-M3"/>
    <m/>
    <m/>
    <x v="10"/>
    <s v="Packing Tower 8th Floor"/>
    <x v="6"/>
    <m/>
    <s v="Packing Tower"/>
    <s v="DV-61301"/>
    <m/>
    <m/>
    <n v="0"/>
    <s v="5th"/>
    <s v="325-01-613-PD-01"/>
    <s v="3-25-01-613-PD-01"/>
    <s v="On/Off Valve for Diverter Valve DV-61301"/>
    <s v="Require I/O DI= 2,DO=1,AI=0,AO=0,Bus=0"/>
    <s v="DV-61301_DO_1"/>
    <x v="1"/>
    <n v="2"/>
    <n v="1"/>
    <s v="C3S03DO"/>
    <s v="C3S03DO00"/>
    <s v="C3S03,00"/>
    <s v="DO"/>
    <s v="Require I/O DI= 2,DO=1,AI=0,AO=0,Bus=0"/>
    <x v="3"/>
    <x v="1"/>
    <n v="0"/>
    <m/>
    <n v="2"/>
    <n v="1"/>
    <n v="0"/>
    <n v="0"/>
    <n v="0"/>
    <m/>
    <s v="24 VDC energized"/>
    <m/>
  </r>
  <r>
    <s v="=CA1+MCP-M3"/>
    <m/>
    <m/>
    <x v="10"/>
    <s v="Packing Tower 8th Floor"/>
    <x v="6"/>
    <m/>
    <s v="Packing Tower"/>
    <s v="DV-61302"/>
    <m/>
    <m/>
    <n v="0"/>
    <s v="9th"/>
    <s v="-"/>
    <s v="3-25-01-613-PD-01"/>
    <s v="On/Off Valve for Diverter Valve DV-61302"/>
    <s v="Require I/O DI= 2,DO=1,AI=0,AO=0,Bus=0"/>
    <s v="DV-61302_DI_1"/>
    <x v="0"/>
    <n v="1"/>
    <n v="1"/>
    <s v="C3S01DI"/>
    <s v="C3S01DI18"/>
    <s v="C3S01,18"/>
    <s v="DI"/>
    <s v="Require I/O DI= 2,DO=1,AI=0,AO=0,Bus=0"/>
    <x v="3"/>
    <x v="4"/>
    <n v="18"/>
    <m/>
    <n v="2"/>
    <n v="1"/>
    <n v="0"/>
    <n v="0"/>
    <n v="0"/>
    <m/>
    <s v="24 VDC energized"/>
    <m/>
  </r>
  <r>
    <s v="=CA1+MCP-M3"/>
    <m/>
    <m/>
    <x v="10"/>
    <s v="Packing Tower 8th Floor"/>
    <x v="6"/>
    <m/>
    <s v="Packing Tower"/>
    <s v="DV-61302"/>
    <m/>
    <m/>
    <n v="0"/>
    <s v="9th"/>
    <s v="-"/>
    <s v="3-25-01-613-PD-01"/>
    <s v="On/Off Valve for Diverter Valve DV-61302"/>
    <s v="Require I/O DI= 2,DO=1,AI=0,AO=0,Bus=0"/>
    <s v="DV-61302_DI_2"/>
    <x v="0"/>
    <n v="1"/>
    <n v="2"/>
    <s v="C3S01DI"/>
    <s v="C3S01DI19"/>
    <s v="C3S01,19"/>
    <s v="DI"/>
    <s v="Require I/O DI= 2,DO=1,AI=0,AO=0,Bus=0"/>
    <x v="3"/>
    <x v="4"/>
    <n v="19"/>
    <m/>
    <n v="2"/>
    <n v="1"/>
    <n v="0"/>
    <n v="0"/>
    <n v="0"/>
    <m/>
    <s v="24 VDC energized"/>
    <m/>
  </r>
  <r>
    <s v="=CA1+MCP-M3"/>
    <m/>
    <m/>
    <x v="10"/>
    <s v="Packing Tower 8th Floor"/>
    <x v="6"/>
    <m/>
    <s v="Packing Tower"/>
    <s v="DV-61302"/>
    <m/>
    <m/>
    <n v="0"/>
    <s v="9th"/>
    <s v="-"/>
    <s v="3-25-01-613-PD-01"/>
    <s v="On/Off Valve for Diverter Valve DV-61302"/>
    <s v="Require I/O DI= 2,DO=1,AI=0,AO=0,Bus=0"/>
    <s v="DV-61302_DO_1"/>
    <x v="1"/>
    <n v="2"/>
    <n v="1"/>
    <s v="C3S03DO"/>
    <s v="C3S03DO01"/>
    <s v="C3S03,01"/>
    <s v="DO"/>
    <s v="Require I/O DI= 2,DO=1,AI=0,AO=0,Bus=0"/>
    <x v="3"/>
    <x v="1"/>
    <n v="1"/>
    <m/>
    <n v="2"/>
    <n v="1"/>
    <n v="0"/>
    <n v="0"/>
    <n v="0"/>
    <m/>
    <s v="24 VDC energized"/>
    <m/>
  </r>
  <r>
    <s v="=CA1+MCP-M3"/>
    <m/>
    <m/>
    <x v="10"/>
    <s v="Packing Tower 8th Floor"/>
    <x v="6"/>
    <m/>
    <s v="Packing Tower"/>
    <s v="LS-61303"/>
    <m/>
    <m/>
    <n v="0"/>
    <s v="7th"/>
    <s v="-"/>
    <s v="3-25-01-613-PD-01"/>
    <s v="Level switch"/>
    <s v="Require I/O DI= 1,DO=0,AI=0,AO=0,Bus=0"/>
    <s v="LS-61303_DI_1"/>
    <x v="0"/>
    <n v="1"/>
    <n v="1"/>
    <s v="C3S01DI"/>
    <s v="C3S01DI20"/>
    <s v="C3S01,20"/>
    <s v="DI"/>
    <s v="Require I/O DI= 1,DO=0,AI=0,AO=0,Bus=0"/>
    <x v="3"/>
    <x v="4"/>
    <n v="20"/>
    <m/>
    <n v="1"/>
    <n v="0"/>
    <n v="0"/>
    <n v="0"/>
    <n v="0"/>
    <m/>
    <s v="Dry Contact"/>
    <m/>
  </r>
  <r>
    <s v="=CA1+MCP-M3"/>
    <m/>
    <m/>
    <x v="10"/>
    <s v="Packing Tower 8th Floor"/>
    <x v="6"/>
    <m/>
    <s v="Packing Tower"/>
    <s v="PSL-61301"/>
    <m/>
    <m/>
    <n v="0"/>
    <s v="5th"/>
    <s v="325-01-613-PD-01"/>
    <s v="-"/>
    <s v="Pressure alarm low"/>
    <s v="Require I/O DI= 1,DO=0,AI=0,AO=0,Bus=0"/>
    <s v="PSL-61301_DI_1"/>
    <x v="0"/>
    <n v="1"/>
    <n v="1"/>
    <s v="C3S01DI"/>
    <s v="C3S01DI21"/>
    <s v="C3S01,21"/>
    <s v="DI"/>
    <s v="Require I/O DI= 1,DO=0,AI=0,AO=0,Bus=0"/>
    <x v="3"/>
    <x v="4"/>
    <n v="21"/>
    <m/>
    <n v="1"/>
    <n v="0"/>
    <n v="0"/>
    <n v="0"/>
    <n v="0"/>
    <m/>
    <s v="Dry Contact"/>
    <m/>
  </r>
  <r>
    <s v="=CA1+MCP-M3"/>
    <m/>
    <m/>
    <x v="10"/>
    <s v="Packing Tower 8th Floor"/>
    <x v="6"/>
    <m/>
    <s v="Packing Tower"/>
    <s v="PSL-61302"/>
    <m/>
    <m/>
    <n v="0"/>
    <s v="9th"/>
    <s v="325-01-613-PD-01"/>
    <s v="3-25-01-613-PD-01"/>
    <s v="Pressure alarm low"/>
    <s v="Require I/O DI= 1,DO=0,AI=0,AO=0,Bus=0"/>
    <s v="PSL-61302_DI_1"/>
    <x v="0"/>
    <n v="1"/>
    <n v="1"/>
    <s v="C3S01DI"/>
    <s v="C3S01DI22"/>
    <s v="C3S01,22"/>
    <s v="DI"/>
    <s v="Require I/O DI= 1,DO=0,AI=0,AO=0,Bus=0"/>
    <x v="3"/>
    <x v="4"/>
    <n v="22"/>
    <m/>
    <n v="1"/>
    <n v="0"/>
    <n v="0"/>
    <n v="0"/>
    <n v="0"/>
    <m/>
    <s v="Dry Contact"/>
    <m/>
  </r>
  <r>
    <s v="=CA1+MCP-M3"/>
    <m/>
    <m/>
    <x v="10"/>
    <s v="Packing Tower 8th Floor"/>
    <x v="6"/>
    <m/>
    <s v="Packing Tower"/>
    <s v="PSL-61311"/>
    <m/>
    <m/>
    <n v="0"/>
    <s v="8th"/>
    <s v="325-01-613-PD-04"/>
    <s v="3-25-01-613-PD-04"/>
    <s v="Pressure alarm low"/>
    <s v="Require I/O DI= 1,DO=0,AI=0,AO=0,Bus=0"/>
    <s v="PSL-61311_DI_1"/>
    <x v="0"/>
    <n v="1"/>
    <n v="1"/>
    <s v="C3S02DI"/>
    <s v="C3S02DI23"/>
    <s v="C3S02,23"/>
    <s v="DI"/>
    <s v="Require I/O DI= 1,DO=0,AI=0,AO=0,Bus=0"/>
    <x v="3"/>
    <x v="0"/>
    <n v="23"/>
    <m/>
    <n v="1"/>
    <n v="0"/>
    <n v="0"/>
    <n v="0"/>
    <n v="0"/>
    <m/>
    <s v="Dry Contact"/>
    <m/>
  </r>
  <r>
    <s v="=CA1+MCP-M3"/>
    <m/>
    <m/>
    <x v="10"/>
    <s v="Packing Tower 8th Floor"/>
    <x v="6"/>
    <m/>
    <s v="Packing Tower"/>
    <s v="PT-61303"/>
    <m/>
    <m/>
    <s v="Pressure Transmitter"/>
    <s v="8th"/>
    <s v="-"/>
    <s v="3-25-01-613-PD-01"/>
    <s v="Powder Pressure Transmitter for Cooling / Conveyor Cyclone (CYCL-31)"/>
    <s v="Require I/O DI= 0,DO=0,AI=1,AO=0,Bus=0"/>
    <s v="PT-61303_AI_1"/>
    <x v="3"/>
    <n v="3"/>
    <n v="1"/>
    <s v="C3S05AI"/>
    <s v="C3S05AI00"/>
    <s v="C3S05,00"/>
    <s v="AI"/>
    <s v="Require I/O DI= 0,DO=0,AI=1,AO=0,Bus=0"/>
    <x v="3"/>
    <x v="5"/>
    <n v="0"/>
    <m/>
    <n v="0"/>
    <n v="0"/>
    <n v="1"/>
    <n v="0"/>
    <n v="0"/>
    <m/>
    <s v="4 - 20 mA"/>
    <m/>
  </r>
  <r>
    <s v="=CA1+MCP-M3"/>
    <m/>
    <m/>
    <x v="10"/>
    <s v="Packing Tower 8th Floor"/>
    <x v="6"/>
    <m/>
    <s v="Packing Tower"/>
    <s v="PT-61306"/>
    <m/>
    <m/>
    <e v="#N/A"/>
    <s v="8th"/>
    <s v="-"/>
    <s v="3-25-01-613-PD-01"/>
    <e v="#N/A"/>
    <s v="Require I/O DI= 0,DO=0,AI=1,AO=0,Bus=0"/>
    <s v="PT-61306_AI_1"/>
    <x v="3"/>
    <n v="3"/>
    <n v="1"/>
    <s v="C3S05AI"/>
    <s v="C3S05AI01"/>
    <s v="C3S05,01"/>
    <s v="AI"/>
    <s v="Require I/O DI= 0,DO=0,AI=1,AO=0,Bus=0"/>
    <x v="3"/>
    <x v="5"/>
    <n v="1"/>
    <m/>
    <n v="0"/>
    <n v="0"/>
    <n v="1"/>
    <n v="0"/>
    <n v="0"/>
    <m/>
    <e v="#N/A"/>
    <m/>
  </r>
  <r>
    <s v="=CA1+MCP-M3"/>
    <m/>
    <m/>
    <x v="10"/>
    <s v="Packing Tower 8th Floor"/>
    <x v="8"/>
    <m/>
    <m/>
    <s v="Spare"/>
    <m/>
    <m/>
    <e v="#N/A"/>
    <m/>
    <m/>
    <m/>
    <e v="#N/A"/>
    <s v="Require I/O DI= 0,DO=0,AI=0,AO=0,Bus=0"/>
    <s v="Spare_DI_"/>
    <x v="0"/>
    <n v="1"/>
    <m/>
    <s v="C3S02DI"/>
    <s v="C3S02DI28"/>
    <s v="C3S02,28"/>
    <s v="DI"/>
    <s v="Require I/O DI= 0,DO=0,AI=0,AO=0,Bus=0"/>
    <x v="3"/>
    <x v="0"/>
    <n v="28"/>
    <m/>
    <n v="0"/>
    <n v="0"/>
    <n v="0"/>
    <n v="0"/>
    <n v="0"/>
    <m/>
    <e v="#N/A"/>
    <m/>
  </r>
  <r>
    <s v="=CA1+MCP-M3"/>
    <m/>
    <m/>
    <x v="10"/>
    <s v="Packing Tower 8th Floor"/>
    <x v="8"/>
    <m/>
    <m/>
    <s v="Spare"/>
    <m/>
    <m/>
    <e v="#N/A"/>
    <m/>
    <m/>
    <m/>
    <e v="#N/A"/>
    <s v="Require I/O DI= 0,DO=0,AI=0,AO=0,Bus=0"/>
    <s v="Spare_DI_"/>
    <x v="0"/>
    <n v="1"/>
    <m/>
    <s v="C3S02DI"/>
    <s v="C3S02DI29"/>
    <s v="C3S02,29"/>
    <s v="DI"/>
    <s v="Require I/O DI= 0,DO=0,AI=0,AO=0,Bus=0"/>
    <x v="3"/>
    <x v="0"/>
    <n v="29"/>
    <m/>
    <n v="0"/>
    <n v="0"/>
    <n v="0"/>
    <n v="0"/>
    <n v="0"/>
    <m/>
    <e v="#N/A"/>
    <m/>
  </r>
  <r>
    <s v="=CA1+MCP-M3"/>
    <m/>
    <m/>
    <x v="10"/>
    <s v="Packing Tower 8th Floor"/>
    <x v="8"/>
    <m/>
    <m/>
    <s v="Spare"/>
    <m/>
    <m/>
    <e v="#N/A"/>
    <m/>
    <m/>
    <m/>
    <e v="#N/A"/>
    <s v="Require I/O DI= 0,DO=0,AI=0,AO=0,Bus=0"/>
    <s v="Spare_DI_"/>
    <x v="0"/>
    <n v="1"/>
    <m/>
    <s v="C3S02DI"/>
    <s v="C3S02DI30"/>
    <s v="C3S02,30"/>
    <s v="DI"/>
    <s v="Require I/O DI= 0,DO=0,AI=0,AO=0,Bus=0"/>
    <x v="3"/>
    <x v="0"/>
    <n v="30"/>
    <m/>
    <n v="0"/>
    <n v="0"/>
    <n v="0"/>
    <n v="0"/>
    <n v="0"/>
    <m/>
    <e v="#N/A"/>
    <m/>
  </r>
  <r>
    <s v="=CA1+MCP-M3"/>
    <m/>
    <m/>
    <x v="10"/>
    <s v="Packing Tower 8th Floor"/>
    <x v="8"/>
    <m/>
    <m/>
    <s v="Spare"/>
    <m/>
    <m/>
    <e v="#N/A"/>
    <m/>
    <m/>
    <m/>
    <e v="#N/A"/>
    <s v="Require I/O DI= 0,DO=0,AI=0,AO=0,Bus=0"/>
    <s v="Spare_DI_"/>
    <x v="0"/>
    <n v="1"/>
    <m/>
    <s v="C3S02DI"/>
    <s v="C3S02DI31"/>
    <s v="C3S02,31"/>
    <s v="DI"/>
    <s v="Require I/O DI= 0,DO=0,AI=0,AO=0,Bus=0"/>
    <x v="3"/>
    <x v="0"/>
    <n v="31"/>
    <m/>
    <n v="0"/>
    <n v="0"/>
    <n v="0"/>
    <n v="0"/>
    <n v="0"/>
    <m/>
    <e v="#N/A"/>
    <m/>
  </r>
  <r>
    <s v="=CA1+MCP-M3"/>
    <m/>
    <m/>
    <x v="10"/>
    <s v="Packing Tower 8th Floor"/>
    <x v="8"/>
    <m/>
    <m/>
    <s v="Spare"/>
    <m/>
    <m/>
    <e v="#N/A"/>
    <m/>
    <m/>
    <m/>
    <e v="#N/A"/>
    <s v="Require I/O DI= 0,DO=0,AI=0,AO=0,Bus=0"/>
    <s v="Spare_DO_"/>
    <x v="1"/>
    <n v="2"/>
    <m/>
    <s v="C3S03DO"/>
    <s v="C3S03DO09"/>
    <s v="C3S03,09"/>
    <s v="DO"/>
    <s v="Require I/O DI= 0,DO=0,AI=0,AO=0,Bus=0"/>
    <x v="3"/>
    <x v="1"/>
    <n v="9"/>
    <m/>
    <n v="0"/>
    <n v="0"/>
    <n v="0"/>
    <n v="0"/>
    <n v="0"/>
    <m/>
    <e v="#N/A"/>
    <m/>
  </r>
  <r>
    <s v="=CA1+MCP-M3"/>
    <m/>
    <m/>
    <x v="10"/>
    <s v="Packing Tower 8th Floor"/>
    <x v="8"/>
    <m/>
    <m/>
    <s v="Spare"/>
    <m/>
    <m/>
    <e v="#N/A"/>
    <m/>
    <m/>
    <m/>
    <e v="#N/A"/>
    <s v="Require I/O DI= 0,DO=0,AI=0,AO=0,Bus=0"/>
    <s v="Spare_DO_"/>
    <x v="1"/>
    <n v="2"/>
    <m/>
    <s v="C3S03DO"/>
    <s v="C3S03DO10"/>
    <s v="C3S03,10"/>
    <s v="DO"/>
    <s v="Require I/O DI= 0,DO=0,AI=0,AO=0,Bus=0"/>
    <x v="3"/>
    <x v="1"/>
    <n v="10"/>
    <m/>
    <n v="0"/>
    <n v="0"/>
    <n v="0"/>
    <n v="0"/>
    <n v="0"/>
    <m/>
    <e v="#N/A"/>
    <m/>
  </r>
  <r>
    <s v="=CA1+MCP-M3"/>
    <m/>
    <m/>
    <x v="10"/>
    <s v="Packing Tower 8th Floor"/>
    <x v="8"/>
    <m/>
    <m/>
    <s v="Spare"/>
    <m/>
    <m/>
    <e v="#N/A"/>
    <m/>
    <m/>
    <m/>
    <e v="#N/A"/>
    <s v="Require I/O DI= 0,DO=0,AI=0,AO=0,Bus=0"/>
    <s v="Spare_DO_"/>
    <x v="1"/>
    <n v="2"/>
    <m/>
    <s v="C3S03DO"/>
    <s v="C3S03DO11"/>
    <s v="C3S03,11"/>
    <s v="DO"/>
    <s v="Require I/O DI= 0,DO=0,AI=0,AO=0,Bus=0"/>
    <x v="3"/>
    <x v="1"/>
    <n v="11"/>
    <m/>
    <n v="0"/>
    <n v="0"/>
    <n v="0"/>
    <n v="0"/>
    <n v="0"/>
    <m/>
    <e v="#N/A"/>
    <m/>
  </r>
  <r>
    <s v="=CA1+MCP-M3"/>
    <m/>
    <m/>
    <x v="10"/>
    <s v="Packing Tower 8th Floor"/>
    <x v="8"/>
    <m/>
    <m/>
    <s v="Spare"/>
    <m/>
    <m/>
    <e v="#N/A"/>
    <m/>
    <m/>
    <m/>
    <e v="#N/A"/>
    <s v="Require I/O DI= 0,DO=0,AI=0,AO=0,Bus=0"/>
    <s v="Spare_DO_"/>
    <x v="1"/>
    <n v="2"/>
    <m/>
    <s v="C3S03DO"/>
    <s v="C3S03DO12"/>
    <s v="C3S03,12"/>
    <s v="DO"/>
    <s v="Require I/O DI= 0,DO=0,AI=0,AO=0,Bus=0"/>
    <x v="3"/>
    <x v="1"/>
    <n v="12"/>
    <m/>
    <n v="0"/>
    <n v="0"/>
    <n v="0"/>
    <n v="0"/>
    <n v="0"/>
    <m/>
    <e v="#N/A"/>
    <m/>
  </r>
  <r>
    <s v="=CA1+MCP-M3"/>
    <m/>
    <m/>
    <x v="10"/>
    <s v="Packing Tower 8th Floor"/>
    <x v="8"/>
    <m/>
    <m/>
    <s v="Spare"/>
    <m/>
    <m/>
    <e v="#N/A"/>
    <m/>
    <m/>
    <m/>
    <e v="#N/A"/>
    <s v="Require I/O DI= 0,DO=0,AI=0,AO=0,Bus=0"/>
    <s v="Spare_DO_"/>
    <x v="1"/>
    <n v="2"/>
    <m/>
    <s v="C3S03DO"/>
    <s v="C3S03DO13"/>
    <s v="C3S03,13"/>
    <s v="DO"/>
    <s v="Require I/O DI= 0,DO=0,AI=0,AO=0,Bus=0"/>
    <x v="3"/>
    <x v="1"/>
    <n v="13"/>
    <m/>
    <n v="0"/>
    <n v="0"/>
    <n v="0"/>
    <n v="0"/>
    <n v="0"/>
    <m/>
    <e v="#N/A"/>
    <m/>
  </r>
  <r>
    <s v="=CA1+MCP-M3"/>
    <m/>
    <m/>
    <x v="10"/>
    <s v="Packing Tower 8th Floor"/>
    <x v="8"/>
    <m/>
    <m/>
    <s v="Spare"/>
    <m/>
    <m/>
    <e v="#N/A"/>
    <m/>
    <m/>
    <m/>
    <e v="#N/A"/>
    <s v="Require I/O DI= 0,DO=0,AI=0,AO=0,Bus=0"/>
    <s v="Spare_DO_"/>
    <x v="1"/>
    <n v="2"/>
    <m/>
    <s v="C3S03DO"/>
    <s v="C3S03DO14"/>
    <s v="C3S03,14"/>
    <s v="DO"/>
    <s v="Require I/O DI= 0,DO=0,AI=0,AO=0,Bus=0"/>
    <x v="3"/>
    <x v="1"/>
    <n v="14"/>
    <m/>
    <n v="0"/>
    <n v="0"/>
    <n v="0"/>
    <n v="0"/>
    <n v="0"/>
    <m/>
    <e v="#N/A"/>
    <m/>
  </r>
  <r>
    <s v="=CA1+MCP-M3"/>
    <m/>
    <m/>
    <x v="10"/>
    <s v="Packing Tower 8th Floor"/>
    <x v="8"/>
    <m/>
    <m/>
    <s v="Spare"/>
    <m/>
    <m/>
    <e v="#N/A"/>
    <m/>
    <m/>
    <m/>
    <e v="#N/A"/>
    <s v="Require I/O DI= 0,DO=0,AI=0,AO=0,Bus=0"/>
    <s v="Spare_DO_"/>
    <x v="1"/>
    <n v="2"/>
    <m/>
    <s v="C3S03DO"/>
    <s v="C3S03DO15"/>
    <s v="C3S03,15"/>
    <s v="DO"/>
    <s v="Require I/O DI= 0,DO=0,AI=0,AO=0,Bus=0"/>
    <x v="3"/>
    <x v="1"/>
    <n v="15"/>
    <m/>
    <n v="0"/>
    <n v="0"/>
    <n v="0"/>
    <n v="0"/>
    <n v="0"/>
    <m/>
    <e v="#N/A"/>
    <m/>
  </r>
  <r>
    <s v="=CA1+MCP-M3"/>
    <m/>
    <m/>
    <x v="10"/>
    <s v="Packing Tower 8th Floor"/>
    <x v="8"/>
    <m/>
    <m/>
    <s v="Spare"/>
    <m/>
    <m/>
    <e v="#N/A"/>
    <m/>
    <m/>
    <m/>
    <e v="#N/A"/>
    <s v="Require I/O DI= 0,DO=0,AI=0,AO=0,Bus=0"/>
    <s v="Spare_DO_"/>
    <x v="1"/>
    <n v="2"/>
    <m/>
    <s v="C3S03DO"/>
    <s v="C3S03DO16"/>
    <s v="C3S03,16"/>
    <s v="DO"/>
    <s v="Require I/O DI= 0,DO=0,AI=0,AO=0,Bus=0"/>
    <x v="3"/>
    <x v="1"/>
    <n v="16"/>
    <m/>
    <n v="0"/>
    <n v="0"/>
    <n v="0"/>
    <n v="0"/>
    <n v="0"/>
    <m/>
    <e v="#N/A"/>
    <m/>
  </r>
  <r>
    <s v="=CA1+MCP-M3"/>
    <m/>
    <m/>
    <x v="10"/>
    <s v="Packing Tower 8th Floor"/>
    <x v="8"/>
    <m/>
    <m/>
    <s v="Spare"/>
    <m/>
    <m/>
    <e v="#N/A"/>
    <m/>
    <m/>
    <m/>
    <e v="#N/A"/>
    <s v="Require I/O DI= 0,DO=0,AI=0,AO=0,Bus=0"/>
    <s v="Spare_DO_"/>
    <x v="1"/>
    <n v="2"/>
    <m/>
    <s v="C3S03DO"/>
    <s v="C3S03DO17"/>
    <s v="C3S03,17"/>
    <s v="DO"/>
    <s v="Require I/O DI= 0,DO=0,AI=0,AO=0,Bus=0"/>
    <x v="3"/>
    <x v="1"/>
    <n v="17"/>
    <m/>
    <n v="0"/>
    <n v="0"/>
    <n v="0"/>
    <n v="0"/>
    <n v="0"/>
    <m/>
    <e v="#N/A"/>
    <m/>
  </r>
  <r>
    <s v="=CA1+MCP-M3"/>
    <m/>
    <m/>
    <x v="10"/>
    <s v="Packing Tower 8th Floor"/>
    <x v="8"/>
    <m/>
    <m/>
    <s v="Spare"/>
    <m/>
    <m/>
    <e v="#N/A"/>
    <m/>
    <m/>
    <m/>
    <e v="#N/A"/>
    <s v="Require I/O DI= 0,DO=0,AI=0,AO=0,Bus=0"/>
    <s v="Spare_DO_"/>
    <x v="1"/>
    <n v="2"/>
    <m/>
    <s v="C3S03DO"/>
    <s v="C3S03DO18"/>
    <s v="C3S03,18"/>
    <s v="DO"/>
    <s v="Require I/O DI= 0,DO=0,AI=0,AO=0,Bus=0"/>
    <x v="3"/>
    <x v="1"/>
    <n v="18"/>
    <m/>
    <n v="0"/>
    <n v="0"/>
    <n v="0"/>
    <n v="0"/>
    <n v="0"/>
    <m/>
    <e v="#N/A"/>
    <m/>
  </r>
  <r>
    <s v="=CA1+MCP-M3"/>
    <m/>
    <m/>
    <x v="10"/>
    <s v="Packing Tower 8th Floor"/>
    <x v="8"/>
    <m/>
    <m/>
    <s v="Spare"/>
    <m/>
    <m/>
    <e v="#N/A"/>
    <m/>
    <m/>
    <m/>
    <e v="#N/A"/>
    <s v="Require I/O DI= 0,DO=0,AI=0,AO=0,Bus=0"/>
    <s v="Spare_DO_"/>
    <x v="1"/>
    <n v="2"/>
    <m/>
    <s v="C3S03DO"/>
    <s v="C3S03DO19"/>
    <s v="C3S03,19"/>
    <s v="DO"/>
    <s v="Require I/O DI= 0,DO=0,AI=0,AO=0,Bus=0"/>
    <x v="3"/>
    <x v="1"/>
    <n v="19"/>
    <m/>
    <n v="0"/>
    <n v="0"/>
    <n v="0"/>
    <n v="0"/>
    <n v="0"/>
    <m/>
    <e v="#N/A"/>
    <m/>
  </r>
  <r>
    <s v="=CA1+MCP-M3"/>
    <m/>
    <m/>
    <x v="10"/>
    <s v="Packing Tower 8th Floor"/>
    <x v="8"/>
    <m/>
    <m/>
    <s v="Spare"/>
    <m/>
    <m/>
    <e v="#N/A"/>
    <m/>
    <m/>
    <m/>
    <e v="#N/A"/>
    <s v="Require I/O DI= 0,DO=0,AI=0,AO=0,Bus=0"/>
    <s v="Spare_DO_"/>
    <x v="1"/>
    <n v="2"/>
    <m/>
    <s v="C3S03DO"/>
    <s v="C3S03DO20"/>
    <s v="C3S03,20"/>
    <s v="DO"/>
    <s v="Require I/O DI= 0,DO=0,AI=0,AO=0,Bus=0"/>
    <x v="3"/>
    <x v="1"/>
    <n v="20"/>
    <m/>
    <n v="0"/>
    <n v="0"/>
    <n v="0"/>
    <n v="0"/>
    <n v="0"/>
    <m/>
    <e v="#N/A"/>
    <m/>
  </r>
  <r>
    <s v="=CA1+MCP-M3"/>
    <m/>
    <m/>
    <x v="10"/>
    <s v="Packing Tower 8th Floor"/>
    <x v="8"/>
    <m/>
    <m/>
    <s v="Spare"/>
    <m/>
    <m/>
    <e v="#N/A"/>
    <m/>
    <m/>
    <m/>
    <e v="#N/A"/>
    <s v="Require I/O DI= 0,DO=0,AI=0,AO=0,Bus=0"/>
    <s v="Spare_DO_"/>
    <x v="1"/>
    <n v="2"/>
    <m/>
    <s v="C3S03DO"/>
    <s v="C3S03DO21"/>
    <s v="C3S03,21"/>
    <s v="DO"/>
    <s v="Require I/O DI= 0,DO=0,AI=0,AO=0,Bus=0"/>
    <x v="3"/>
    <x v="1"/>
    <n v="21"/>
    <m/>
    <n v="0"/>
    <n v="0"/>
    <n v="0"/>
    <n v="0"/>
    <n v="0"/>
    <m/>
    <e v="#N/A"/>
    <m/>
  </r>
  <r>
    <s v="=CA1+MCP-M3"/>
    <m/>
    <m/>
    <x v="10"/>
    <s v="Packing Tower 8th Floor"/>
    <x v="8"/>
    <m/>
    <m/>
    <s v="Spare"/>
    <m/>
    <m/>
    <e v="#N/A"/>
    <m/>
    <m/>
    <m/>
    <e v="#N/A"/>
    <s v="Require I/O DI= 0,DO=0,AI=0,AO=0,Bus=0"/>
    <s v="Spare_DO_"/>
    <x v="1"/>
    <n v="2"/>
    <m/>
    <s v="C3S03DO"/>
    <s v="C3S03DO22"/>
    <s v="C3S03,22"/>
    <s v="DO"/>
    <s v="Require I/O DI= 0,DO=0,AI=0,AO=0,Bus=0"/>
    <x v="3"/>
    <x v="1"/>
    <n v="22"/>
    <m/>
    <n v="0"/>
    <n v="0"/>
    <n v="0"/>
    <n v="0"/>
    <n v="0"/>
    <m/>
    <e v="#N/A"/>
    <m/>
  </r>
  <r>
    <s v="=CA1+MCP-M3"/>
    <m/>
    <m/>
    <x v="10"/>
    <s v="Packing Tower 8th Floor"/>
    <x v="8"/>
    <m/>
    <m/>
    <s v="Spare"/>
    <m/>
    <m/>
    <e v="#N/A"/>
    <m/>
    <m/>
    <m/>
    <e v="#N/A"/>
    <s v="Require I/O DI= 0,DO=0,AI=0,AO=0,Bus=0"/>
    <s v="Spare_DO_"/>
    <x v="1"/>
    <n v="2"/>
    <m/>
    <s v="C3S03DO"/>
    <s v="C3S03DO23"/>
    <s v="C3S03,23"/>
    <s v="DO"/>
    <s v="Require I/O DI= 0,DO=0,AI=0,AO=0,Bus=0"/>
    <x v="3"/>
    <x v="1"/>
    <n v="23"/>
    <m/>
    <n v="0"/>
    <n v="0"/>
    <n v="0"/>
    <n v="0"/>
    <n v="0"/>
    <m/>
    <e v="#N/A"/>
    <m/>
  </r>
  <r>
    <s v="=CA1+MCP-M3"/>
    <m/>
    <m/>
    <x v="10"/>
    <s v="Packing Tower 8th Floor"/>
    <x v="8"/>
    <m/>
    <m/>
    <s v="Spare"/>
    <m/>
    <m/>
    <e v="#N/A"/>
    <m/>
    <m/>
    <m/>
    <e v="#N/A"/>
    <s v="Require I/O DI= 0,DO=0,AI=0,AO=0,Bus=0"/>
    <s v="Spare_DO_"/>
    <x v="1"/>
    <n v="2"/>
    <m/>
    <s v="C3S03DO"/>
    <s v="C3S03DO24"/>
    <s v="C3S03,24"/>
    <s v="DO"/>
    <s v="Require I/O DI= 0,DO=0,AI=0,AO=0,Bus=0"/>
    <x v="3"/>
    <x v="1"/>
    <n v="24"/>
    <m/>
    <n v="0"/>
    <n v="0"/>
    <n v="0"/>
    <n v="0"/>
    <n v="0"/>
    <m/>
    <e v="#N/A"/>
    <m/>
  </r>
  <r>
    <s v="=CA1+MCP-M3"/>
    <m/>
    <m/>
    <x v="10"/>
    <s v="Packing Tower 8th Floor"/>
    <x v="8"/>
    <m/>
    <m/>
    <s v="Spare"/>
    <m/>
    <m/>
    <e v="#N/A"/>
    <m/>
    <m/>
    <m/>
    <e v="#N/A"/>
    <s v="Require I/O DI= 0,DO=0,AI=0,AO=0,Bus=0"/>
    <s v="Spare_DO_"/>
    <x v="1"/>
    <n v="2"/>
    <m/>
    <s v="C3S03DO"/>
    <s v="C3S03DO25"/>
    <s v="C3S03,25"/>
    <s v="DO"/>
    <s v="Require I/O DI= 0,DO=0,AI=0,AO=0,Bus=0"/>
    <x v="3"/>
    <x v="1"/>
    <n v="25"/>
    <m/>
    <n v="0"/>
    <n v="0"/>
    <n v="0"/>
    <n v="0"/>
    <n v="0"/>
    <m/>
    <e v="#N/A"/>
    <m/>
  </r>
  <r>
    <s v="=CA1+MCP-M3"/>
    <m/>
    <m/>
    <x v="10"/>
    <s v="Packing Tower 8th Floor"/>
    <x v="8"/>
    <m/>
    <m/>
    <s v="Spare"/>
    <m/>
    <m/>
    <e v="#N/A"/>
    <m/>
    <m/>
    <m/>
    <e v="#N/A"/>
    <s v="Require I/O DI= 0,DO=0,AI=0,AO=0,Bus=0"/>
    <s v="Spare_DO_"/>
    <x v="1"/>
    <n v="2"/>
    <m/>
    <s v="C3S03DO"/>
    <s v="C3S03DO26"/>
    <s v="C3S03,26"/>
    <s v="DO"/>
    <s v="Require I/O DI= 0,DO=0,AI=0,AO=0,Bus=0"/>
    <x v="3"/>
    <x v="1"/>
    <n v="26"/>
    <m/>
    <n v="0"/>
    <n v="0"/>
    <n v="0"/>
    <n v="0"/>
    <n v="0"/>
    <m/>
    <e v="#N/A"/>
    <m/>
  </r>
  <r>
    <s v="=CA1+MCP-M3"/>
    <m/>
    <m/>
    <x v="10"/>
    <s v="Packing Tower 8th Floor"/>
    <x v="8"/>
    <m/>
    <m/>
    <s v="Spare"/>
    <m/>
    <m/>
    <e v="#N/A"/>
    <m/>
    <m/>
    <m/>
    <e v="#N/A"/>
    <s v="Require I/O DI= 0,DO=0,AI=0,AO=0,Bus=0"/>
    <s v="Spare_DO_"/>
    <x v="1"/>
    <n v="2"/>
    <m/>
    <s v="C3S03DO"/>
    <s v="C3S03DO27"/>
    <s v="C3S03,27"/>
    <s v="DO"/>
    <s v="Require I/O DI= 0,DO=0,AI=0,AO=0,Bus=0"/>
    <x v="3"/>
    <x v="1"/>
    <n v="27"/>
    <m/>
    <n v="0"/>
    <n v="0"/>
    <n v="0"/>
    <n v="0"/>
    <n v="0"/>
    <m/>
    <e v="#N/A"/>
    <m/>
  </r>
  <r>
    <s v="=CA1+MCP-M3"/>
    <m/>
    <m/>
    <x v="10"/>
    <s v="Packing Tower 8th Floor"/>
    <x v="8"/>
    <m/>
    <m/>
    <s v="Spare"/>
    <m/>
    <m/>
    <e v="#N/A"/>
    <m/>
    <m/>
    <m/>
    <e v="#N/A"/>
    <s v="Require I/O DI= 0,DO=0,AI=0,AO=0,Bus=0"/>
    <s v="Spare_DO_"/>
    <x v="1"/>
    <n v="2"/>
    <m/>
    <s v="C3S03DO"/>
    <s v="C3S03DO28"/>
    <s v="C3S03,28"/>
    <s v="DO"/>
    <s v="Require I/O DI= 0,DO=0,AI=0,AO=0,Bus=0"/>
    <x v="3"/>
    <x v="1"/>
    <n v="28"/>
    <m/>
    <n v="0"/>
    <n v="0"/>
    <n v="0"/>
    <n v="0"/>
    <n v="0"/>
    <m/>
    <e v="#N/A"/>
    <m/>
  </r>
  <r>
    <s v="=CA1+MCP-M3"/>
    <m/>
    <m/>
    <x v="10"/>
    <s v="Packing Tower 8th Floor"/>
    <x v="8"/>
    <m/>
    <m/>
    <s v="Spare"/>
    <m/>
    <m/>
    <e v="#N/A"/>
    <m/>
    <m/>
    <m/>
    <e v="#N/A"/>
    <s v="Require I/O DI= 0,DO=0,AI=0,AO=0,Bus=0"/>
    <s v="Spare_DO_"/>
    <x v="1"/>
    <n v="2"/>
    <m/>
    <s v="C3S03DO"/>
    <s v="C3S03DO29"/>
    <s v="C3S03,29"/>
    <s v="DO"/>
    <s v="Require I/O DI= 0,DO=0,AI=0,AO=0,Bus=0"/>
    <x v="3"/>
    <x v="1"/>
    <n v="29"/>
    <m/>
    <n v="0"/>
    <n v="0"/>
    <n v="0"/>
    <n v="0"/>
    <n v="0"/>
    <m/>
    <e v="#N/A"/>
    <m/>
  </r>
  <r>
    <s v="=CA1+MCP-M3"/>
    <m/>
    <m/>
    <x v="10"/>
    <s v="Packing Tower 8th Floor"/>
    <x v="8"/>
    <m/>
    <m/>
    <s v="Spare"/>
    <m/>
    <m/>
    <e v="#N/A"/>
    <m/>
    <m/>
    <m/>
    <e v="#N/A"/>
    <s v="Require I/O DI= 0,DO=0,AI=0,AO=0,Bus=0"/>
    <s v="Spare_DO_"/>
    <x v="1"/>
    <n v="2"/>
    <m/>
    <s v="C3S03DO"/>
    <s v="C3S03DO30"/>
    <s v="C3S03,30"/>
    <s v="DO"/>
    <s v="Require I/O DI= 0,DO=0,AI=0,AO=0,Bus=0"/>
    <x v="3"/>
    <x v="1"/>
    <n v="30"/>
    <m/>
    <n v="0"/>
    <n v="0"/>
    <n v="0"/>
    <n v="0"/>
    <n v="0"/>
    <m/>
    <e v="#N/A"/>
    <m/>
  </r>
  <r>
    <s v="=CA1+MCP-M3"/>
    <m/>
    <m/>
    <x v="10"/>
    <s v="Packing Tower 8th Floor"/>
    <x v="8"/>
    <m/>
    <m/>
    <s v="Spare"/>
    <m/>
    <m/>
    <e v="#N/A"/>
    <m/>
    <m/>
    <m/>
    <e v="#N/A"/>
    <s v="Require I/O DI= 0,DO=0,AI=0,AO=0,Bus=0"/>
    <s v="Spare_DO_"/>
    <x v="1"/>
    <n v="2"/>
    <m/>
    <s v="C3S03DO"/>
    <s v="C3S03DO31"/>
    <s v="C3S03,31"/>
    <s v="DO"/>
    <s v="Require I/O DI= 0,DO=0,AI=0,AO=0,Bus=0"/>
    <x v="3"/>
    <x v="1"/>
    <n v="31"/>
    <m/>
    <n v="0"/>
    <n v="0"/>
    <n v="0"/>
    <n v="0"/>
    <n v="0"/>
    <m/>
    <e v="#N/A"/>
    <m/>
  </r>
  <r>
    <s v="=CA1+MCP-M3"/>
    <m/>
    <m/>
    <x v="10"/>
    <s v="Packing Tower 8th Floor"/>
    <x v="6"/>
    <m/>
    <s v="Packing Tower"/>
    <s v="SV-61301"/>
    <m/>
    <m/>
    <n v="0"/>
    <s v="8th"/>
    <s v="325-01-613-PD-01"/>
    <s v="-"/>
    <s v="Timer compress air pluse solenoid valve"/>
    <s v="Require I/O DI= 0,DO=1,AI=0,AO=0,Bus=0"/>
    <s v="SV-61301_DO_1"/>
    <x v="1"/>
    <n v="2"/>
    <n v="1"/>
    <s v="C3S03DO"/>
    <s v="C3S03DO02"/>
    <s v="C3S03,02"/>
    <s v="DO"/>
    <s v="Require I/O DI= 0,DO=1,AI=0,AO=0,Bus=0"/>
    <x v="3"/>
    <x v="1"/>
    <n v="2"/>
    <m/>
    <n v="0"/>
    <n v="1"/>
    <n v="0"/>
    <n v="0"/>
    <n v="0"/>
    <m/>
    <s v="24 VDC energized"/>
    <m/>
  </r>
  <r>
    <s v="=CA1+MCP-M3"/>
    <m/>
    <m/>
    <x v="10"/>
    <s v="Packing Tower 8th Floor"/>
    <x v="6"/>
    <m/>
    <s v="Packing Tower"/>
    <s v="SV-61302"/>
    <m/>
    <m/>
    <n v="0"/>
    <s v="7th"/>
    <s v="325-01-613-PD-01"/>
    <s v="3-25-01-613-PD-01"/>
    <s v="Air service"/>
    <s v="Require I/O DI= 0,DO=1,AI=0,AO=0,Bus=0"/>
    <s v="SV-61302_DO_1"/>
    <x v="1"/>
    <n v="2"/>
    <n v="1"/>
    <s v="C3S03DO"/>
    <s v="C3S03DO03"/>
    <s v="C3S03,03"/>
    <s v="DO"/>
    <s v="Require I/O DI= 0,DO=1,AI=0,AO=0,Bus=0"/>
    <x v="3"/>
    <x v="1"/>
    <n v="3"/>
    <m/>
    <n v="0"/>
    <n v="1"/>
    <n v="0"/>
    <n v="0"/>
    <n v="0"/>
    <m/>
    <s v="24 VDC energized"/>
    <m/>
  </r>
  <r>
    <s v="=CA1+MCP-M3"/>
    <m/>
    <m/>
    <x v="10"/>
    <s v="Packing Tower 8th Floor"/>
    <x v="6"/>
    <m/>
    <s v="Packing Tower"/>
    <s v="SV-61303"/>
    <m/>
    <m/>
    <n v="0"/>
    <s v="5th"/>
    <s v="325-01-613-PD-01"/>
    <s v="3-25-01-613-PD-01"/>
    <s v="Timer compress air pluse solenoid valve"/>
    <s v="Require I/O DI= 0,DO=1,AI=0,AO=0,Bus=0"/>
    <s v="SV-61303_DO_1"/>
    <x v="1"/>
    <n v="2"/>
    <n v="1"/>
    <s v="C3S03DO"/>
    <s v="C3S03DO04"/>
    <s v="C3S03,04"/>
    <s v="DO"/>
    <s v="Require I/O DI= 0,DO=1,AI=0,AO=0,Bus=0"/>
    <x v="3"/>
    <x v="1"/>
    <n v="4"/>
    <m/>
    <n v="0"/>
    <n v="1"/>
    <n v="0"/>
    <n v="0"/>
    <n v="0"/>
    <m/>
    <s v="24 VDC energized"/>
    <m/>
  </r>
  <r>
    <s v="=CA1+MCP-M3"/>
    <m/>
    <m/>
    <x v="10"/>
    <s v="Packing Tower 8th Floor"/>
    <x v="6"/>
    <m/>
    <s v="Packing Tower"/>
    <s v="SV-61304"/>
    <m/>
    <m/>
    <n v="0"/>
    <s v="9th"/>
    <s v="325-01-613-PD-01"/>
    <s v="3-25-01-613-PD-01"/>
    <s v="PA On/Off Valve for Conveying Cooler Cyclone-31 Rotary Valve (RV-61304)"/>
    <s v="Require I/O DI= 2,DO=1,AI=0,AO=0,Bus=0"/>
    <s v="SV-61304_DI_1"/>
    <x v="0"/>
    <n v="1"/>
    <n v="1"/>
    <s v="C3S02DI"/>
    <s v="C3S02DI24"/>
    <s v="C3S02,24"/>
    <s v="DI"/>
    <s v="Require I/O DI= 2,DO=1,AI=0,AO=0,Bus=0"/>
    <x v="3"/>
    <x v="0"/>
    <n v="24"/>
    <m/>
    <n v="2"/>
    <n v="1"/>
    <n v="0"/>
    <n v="0"/>
    <n v="0"/>
    <m/>
    <s v="24 VDC energized"/>
    <m/>
  </r>
  <r>
    <s v="=CA1+MCP-M3"/>
    <m/>
    <m/>
    <x v="10"/>
    <s v="Packing Tower 8th Floor"/>
    <x v="6"/>
    <m/>
    <s v="Packing Tower"/>
    <s v="SV-61304"/>
    <m/>
    <m/>
    <n v="0"/>
    <s v="9th"/>
    <s v="325-01-613-PD-01"/>
    <s v="3-25-01-613-PD-01"/>
    <s v="PA On/Off Valve for Conveying Cooler Cyclone-31 Rotary Valve (RV-61304)"/>
    <s v="Require I/O DI= 2,DO=1,AI=0,AO=0,Bus=0"/>
    <s v="SV-61304_DI_2"/>
    <x v="0"/>
    <n v="1"/>
    <n v="2"/>
    <s v="C3S02DI"/>
    <s v="C3S02DI25"/>
    <s v="C3S02,25"/>
    <s v="DI"/>
    <s v="Require I/O DI= 2,DO=1,AI=0,AO=0,Bus=0"/>
    <x v="3"/>
    <x v="0"/>
    <n v="25"/>
    <m/>
    <n v="2"/>
    <n v="1"/>
    <n v="0"/>
    <n v="0"/>
    <n v="0"/>
    <m/>
    <s v="24 VDC energized"/>
    <m/>
  </r>
  <r>
    <s v="=CA1+MCP-M3"/>
    <m/>
    <m/>
    <x v="10"/>
    <s v="Packing Tower 8th Floor"/>
    <x v="6"/>
    <m/>
    <s v="Packing Tower"/>
    <s v="SV-61304"/>
    <m/>
    <m/>
    <n v="0"/>
    <s v="9th"/>
    <s v="325-01-613-PD-01"/>
    <s v="3-25-01-613-PD-01"/>
    <s v="PA On/Off Valve for Conveying Cooler Cyclone-31 Rotary Valve (RV-61304)"/>
    <s v="Require I/O DI= 2,DO=1,AI=0,AO=0,Bus=0"/>
    <s v="SV-61304_DO_1"/>
    <x v="1"/>
    <n v="2"/>
    <n v="1"/>
    <s v="C3S03DO"/>
    <s v="C3S03DO05"/>
    <s v="C3S03,05"/>
    <s v="DO"/>
    <s v="Require I/O DI= 2,DO=1,AI=0,AO=0,Bus=0"/>
    <x v="3"/>
    <x v="1"/>
    <n v="5"/>
    <m/>
    <n v="2"/>
    <n v="1"/>
    <n v="0"/>
    <n v="0"/>
    <n v="0"/>
    <m/>
    <s v="24 VDC energized"/>
    <m/>
  </r>
  <r>
    <s v="=CA1+MCP-M3"/>
    <m/>
    <m/>
    <x v="10"/>
    <s v="Packing Tower 8th Floor"/>
    <x v="6"/>
    <m/>
    <s v="Packing Tower"/>
    <s v="SV-61305"/>
    <m/>
    <m/>
    <n v="0"/>
    <s v="9th"/>
    <s v="325-01-613-PD-01"/>
    <s v="3-25-01-613-PD-01"/>
    <s v="Air service"/>
    <s v="Require I/O DI= 0,DO=1,AI=0,AO=0,Bus=0"/>
    <s v="SV-61305_DO_1"/>
    <x v="1"/>
    <n v="2"/>
    <n v="1"/>
    <s v="C3S03DO"/>
    <s v="C3S03DO06"/>
    <s v="C3S03,06"/>
    <s v="DO"/>
    <s v="Require I/O DI= 0,DO=1,AI=0,AO=0,Bus=0"/>
    <x v="3"/>
    <x v="1"/>
    <n v="6"/>
    <m/>
    <n v="0"/>
    <n v="1"/>
    <n v="0"/>
    <n v="0"/>
    <n v="0"/>
    <m/>
    <s v="24 VDC energized"/>
    <m/>
  </r>
  <r>
    <s v="=CA1+MCP-M3"/>
    <m/>
    <m/>
    <x v="10"/>
    <s v="Packing Tower 8th Floor"/>
    <x v="6"/>
    <m/>
    <s v="Packing Tower"/>
    <s v="SV-61306"/>
    <m/>
    <m/>
    <e v="#N/A"/>
    <s v="5th"/>
    <s v="-"/>
    <s v="3-25-01-613-PD-01"/>
    <e v="#N/A"/>
    <s v="Require I/O DI= 0,DO=1,AI=0,AO=0,Bus=0"/>
    <s v="SV-61306_DO_1"/>
    <x v="1"/>
    <n v="2"/>
    <n v="1"/>
    <s v="C3S03DO"/>
    <s v="C3S03DO07"/>
    <s v="C3S03,07"/>
    <s v="DO"/>
    <s v="Require I/O DI= 0,DO=1,AI=0,AO=0,Bus=0"/>
    <x v="3"/>
    <x v="1"/>
    <n v="7"/>
    <m/>
    <n v="0"/>
    <n v="1"/>
    <n v="0"/>
    <n v="0"/>
    <n v="0"/>
    <m/>
    <e v="#N/A"/>
    <m/>
  </r>
  <r>
    <s v="=CA1+MCP-M3"/>
    <m/>
    <m/>
    <x v="10"/>
    <s v="Packing Tower 8th Floor"/>
    <x v="6"/>
    <m/>
    <s v="Packing Tower"/>
    <s v="TT-61303"/>
    <m/>
    <m/>
    <e v="#N/A"/>
    <s v="8th"/>
    <s v="-"/>
    <s v="3-25-01-613-PD-01"/>
    <e v="#N/A"/>
    <s v="Require I/O DI= 0,DO=0,AI=1,AO=0,Bus=0"/>
    <s v="TT-61303_AI_1"/>
    <x v="3"/>
    <n v="3"/>
    <n v="1"/>
    <s v="C3S05AI"/>
    <s v="C3S05AI02"/>
    <s v="C3S05,02"/>
    <s v="AI"/>
    <s v="Require I/O DI= 0,DO=0,AI=1,AO=0,Bus=0"/>
    <x v="3"/>
    <x v="5"/>
    <n v="2"/>
    <m/>
    <n v="0"/>
    <n v="0"/>
    <n v="1"/>
    <n v="0"/>
    <n v="0"/>
    <m/>
    <e v="#N/A"/>
    <m/>
  </r>
  <r>
    <s v="=CA1+MCP-M3"/>
    <m/>
    <m/>
    <x v="10"/>
    <s v="Packing Tower 8th Floor"/>
    <x v="6"/>
    <m/>
    <s v="Packing Tower"/>
    <s v="TT-61304"/>
    <m/>
    <m/>
    <e v="#N/A"/>
    <s v="8th"/>
    <s v="-"/>
    <s v="3-25-01-613-PD-01"/>
    <e v="#N/A"/>
    <s v="Require I/O DI= 0,DO=0,AI=1,AO=0,Bus=0"/>
    <s v="TT-61304_AI_1"/>
    <x v="3"/>
    <n v="3"/>
    <n v="1"/>
    <s v="C3S05AI"/>
    <s v="C3S05AI03"/>
    <s v="C3S05,03"/>
    <s v="AI"/>
    <s v="Require I/O DI= 0,DO=0,AI=1,AO=0,Bus=0"/>
    <x v="3"/>
    <x v="5"/>
    <n v="3"/>
    <m/>
    <n v="0"/>
    <n v="0"/>
    <n v="1"/>
    <n v="0"/>
    <n v="0"/>
    <m/>
    <e v="#N/A"/>
    <m/>
  </r>
  <r>
    <s v="=CA1+MCP-M3"/>
    <m/>
    <m/>
    <x v="10"/>
    <s v="Packing Tower 8th Floor"/>
    <x v="6"/>
    <m/>
    <s v="Packing Tower"/>
    <s v="XV-61301"/>
    <n v="1"/>
    <m/>
    <n v="0"/>
    <s v="5th"/>
    <s v="-"/>
    <s v="3-25-01-613-PD-01"/>
    <s v="Product feed-out Packing silo "/>
    <s v="Require I/O DI= 2,DO=1,AI=0,AO=0,Bus=0"/>
    <s v="XV-61301_DI_1"/>
    <x v="0"/>
    <n v="1"/>
    <n v="1"/>
    <s v="C3S02DI"/>
    <s v="C3S02DI26"/>
    <s v="C3S02,26"/>
    <s v="DI"/>
    <s v="Require I/O DI= 2,DO=1,AI=0,AO=0,Bus=0"/>
    <x v="3"/>
    <x v="0"/>
    <n v="26"/>
    <m/>
    <n v="2"/>
    <n v="1"/>
    <n v="0"/>
    <n v="0"/>
    <n v="0"/>
    <m/>
    <s v="24 VDC energized"/>
    <m/>
  </r>
  <r>
    <s v="=CA1+MCP-M3"/>
    <m/>
    <m/>
    <x v="10"/>
    <s v="Packing Tower 8th Floor"/>
    <x v="6"/>
    <m/>
    <s v="Packing Tower"/>
    <s v="XV-61301"/>
    <n v="1"/>
    <m/>
    <n v="0"/>
    <s v="5th"/>
    <s v="-"/>
    <s v="3-25-01-613-PD-01"/>
    <s v="Product feed-out Packing silo "/>
    <s v="Require I/O DI= 2,DO=1,AI=0,AO=0,Bus=0"/>
    <s v="XV-61301_DI_2"/>
    <x v="0"/>
    <n v="1"/>
    <n v="2"/>
    <s v="C3S02DI"/>
    <s v="C3S02DI27"/>
    <s v="C3S02,27"/>
    <s v="DI"/>
    <s v="Require I/O DI= 2,DO=1,AI=0,AO=0,Bus=0"/>
    <x v="3"/>
    <x v="0"/>
    <n v="27"/>
    <m/>
    <n v="2"/>
    <n v="1"/>
    <n v="0"/>
    <n v="0"/>
    <n v="0"/>
    <m/>
    <s v="24 VDC energized"/>
    <m/>
  </r>
  <r>
    <s v="=CA1+MCP-M3"/>
    <m/>
    <m/>
    <x v="10"/>
    <s v="Packing Tower 8th Floor"/>
    <x v="6"/>
    <m/>
    <s v="Packing Tower"/>
    <s v="XV-61301"/>
    <n v="1"/>
    <m/>
    <n v="0"/>
    <s v="5th"/>
    <s v="-"/>
    <s v="3-25-01-613-PD-01"/>
    <s v="Product feed-out Packing silo "/>
    <s v="Require I/O DI= 2,DO=1,AI=0,AO=0,Bus=0"/>
    <s v="XV-61301_DO_1"/>
    <x v="1"/>
    <n v="2"/>
    <n v="1"/>
    <s v="C3S03DO"/>
    <s v="C3S03DO08"/>
    <s v="C3S03,08"/>
    <s v="DO"/>
    <s v="Require I/O DI= 2,DO=1,AI=0,AO=0,Bus=0"/>
    <x v="3"/>
    <x v="1"/>
    <n v="8"/>
    <m/>
    <n v="2"/>
    <n v="1"/>
    <n v="0"/>
    <n v="0"/>
    <n v="0"/>
    <m/>
    <s v="24 VDC energized"/>
    <m/>
  </r>
  <r>
    <s v="=CA1+MCP-M4"/>
    <m/>
    <m/>
    <x v="11"/>
    <s v="Spray Dryer 8th Floor"/>
    <x v="13"/>
    <m/>
    <s v="Spray Dryer"/>
    <s v="PT-60220"/>
    <m/>
    <m/>
    <s v="Pressure Transmitter"/>
    <s v="6th"/>
    <s v="325-01-600-PD-04"/>
    <s v="3-25-01-602-PD-04"/>
    <s v="Gas Pressure Transmitter for Chamber (CHAM-21)"/>
    <s v="Require I/O DI= 0,DO=0,AI=1,AO=0,Bus=0"/>
    <s v="PT-60220_AI_1"/>
    <x v="3"/>
    <n v="3"/>
    <n v="1"/>
    <s v="C4S05AI"/>
    <s v="C4S05AI02"/>
    <s v="C4S05,02"/>
    <s v="AI"/>
    <s v="Require I/O DI= 0,DO=0,AI=1,AO=0,Bus=0"/>
    <x v="4"/>
    <x v="5"/>
    <n v="2"/>
    <m/>
    <n v="0"/>
    <n v="0"/>
    <n v="1"/>
    <n v="0"/>
    <n v="0"/>
    <m/>
    <s v="4 - 20 mA"/>
    <s v="Y"/>
  </r>
  <r>
    <s v="=CA1+MCP-M4"/>
    <m/>
    <m/>
    <x v="11"/>
    <s v="Spray Dryer 8th Floor"/>
    <x v="13"/>
    <m/>
    <s v="Spray Dryer"/>
    <s v="TT-60220"/>
    <m/>
    <m/>
    <n v="0"/>
    <s v="6th"/>
    <s v="325-01-600-PD-04"/>
    <s v="3-25-01-602-PD-04"/>
    <s v="Gas and Powder Temperature Transmitter for Spray Chamber (CHAM-21)"/>
    <s v="Require I/O DI= 0,DO=0,AI=1,AO=0,Bus=0"/>
    <s v="TT-60220_AI_1"/>
    <x v="3"/>
    <n v="3"/>
    <n v="1"/>
    <s v="C4S05AI"/>
    <s v="C4S05AI03"/>
    <s v="C4S05,03"/>
    <s v="AI"/>
    <s v="Require I/O DI= 0,DO=0,AI=1,AO=0,Bus=0"/>
    <x v="4"/>
    <x v="5"/>
    <n v="3"/>
    <m/>
    <n v="0"/>
    <n v="0"/>
    <n v="1"/>
    <n v="0"/>
    <n v="0"/>
    <m/>
    <s v="4 - 20 mA"/>
    <s v="Y"/>
  </r>
  <r>
    <s v="=CA1+MCP-M4"/>
    <m/>
    <m/>
    <x v="11"/>
    <s v="Spray Dryer 8th Floor"/>
    <x v="13"/>
    <m/>
    <s v="Spray Dryer"/>
    <s v="TT-60221"/>
    <m/>
    <m/>
    <n v="0"/>
    <s v="6th"/>
    <s v="325-01-600-PD-04"/>
    <s v="3-25-01-602-PD-04"/>
    <s v="Gas and Powder Temperature Transmitter for Spray Chamber (CHAM-21)"/>
    <s v="Require I/O DI= 0,DO=0,AI=1,AO=0,Bus=0"/>
    <s v="TT-60221_AI_1"/>
    <x v="3"/>
    <n v="3"/>
    <n v="1"/>
    <s v="C4S05AI"/>
    <s v="C4S05AI04"/>
    <s v="C4S05,04"/>
    <s v="AI"/>
    <s v="Require I/O DI= 0,DO=0,AI=1,AO=0,Bus=0"/>
    <x v="4"/>
    <x v="5"/>
    <n v="4"/>
    <m/>
    <n v="0"/>
    <n v="0"/>
    <n v="1"/>
    <n v="0"/>
    <n v="0"/>
    <m/>
    <s v="4 - 20 mA"/>
    <s v="Y"/>
  </r>
  <r>
    <s v="=CA1+MCP-M4"/>
    <m/>
    <m/>
    <x v="11"/>
    <s v="Spray Dryer 8th Floor"/>
    <x v="13"/>
    <m/>
    <s v="Spray Dryer"/>
    <s v="TT-60222"/>
    <m/>
    <m/>
    <n v="0"/>
    <s v="5th"/>
    <s v="325-01-600-PD-04"/>
    <s v="3-25-01-602-PD-04"/>
    <s v="Gas and Powder Temperature Transmitter for Spray Chamber (CHAM-21)"/>
    <s v="Require I/O DI= 0,DO=0,AI=1,AO=0,Bus=0"/>
    <s v="TT-60222_AI_1"/>
    <x v="3"/>
    <n v="3"/>
    <n v="1"/>
    <s v="C4S05AI"/>
    <s v="C4S05AI05"/>
    <s v="C4S05,05"/>
    <s v="AI"/>
    <s v="Require I/O DI= 0,DO=0,AI=1,AO=0,Bus=0"/>
    <x v="4"/>
    <x v="5"/>
    <n v="5"/>
    <m/>
    <n v="0"/>
    <n v="0"/>
    <n v="1"/>
    <n v="0"/>
    <n v="0"/>
    <m/>
    <s v="4 - 20 mA"/>
    <s v="Y"/>
  </r>
  <r>
    <s v="=CA1+MCP-M4"/>
    <m/>
    <m/>
    <x v="11"/>
    <s v="Spray Dryer 8th Floor"/>
    <x v="13"/>
    <m/>
    <s v="Spray Dryer"/>
    <s v="TT-60223"/>
    <m/>
    <m/>
    <n v="0"/>
    <s v="5th"/>
    <s v="325-01-600-PD-04"/>
    <s v="3-25-01-602-PD-04"/>
    <s v="Gas and Powder Temperature Transmitter for Spray Chamber (CHAM-21)"/>
    <s v="Require I/O DI= 0,DO=0,AI=1,AO=0,Bus=0"/>
    <s v="TT-60223_AI_1"/>
    <x v="3"/>
    <n v="3"/>
    <n v="1"/>
    <s v="C4S05AI"/>
    <s v="C4S05AI06"/>
    <s v="C4S05,06"/>
    <s v="AI"/>
    <s v="Require I/O DI= 0,DO=0,AI=1,AO=0,Bus=0"/>
    <x v="4"/>
    <x v="5"/>
    <n v="6"/>
    <m/>
    <n v="0"/>
    <n v="0"/>
    <n v="1"/>
    <n v="0"/>
    <n v="0"/>
    <m/>
    <s v="4 - 20 mA"/>
    <s v="Y"/>
  </r>
  <r>
    <s v="=CA1+MCP-M4"/>
    <m/>
    <m/>
    <x v="11"/>
    <s v="Spray Dryer 8th Floor"/>
    <x v="13"/>
    <m/>
    <s v="Spray Dryer"/>
    <s v="XA-60201"/>
    <m/>
    <m/>
    <n v="0"/>
    <s v="5th"/>
    <s v="325-01-600-PD-03"/>
    <s v="3-25-01-602-PD-03"/>
    <s v="LEL gas Buzzer Alarm"/>
    <s v="Require I/O DI= 0,DO=1,AI=0,AO=0,Bus=0"/>
    <s v="XA-60201_DO_1"/>
    <x v="1"/>
    <n v="2"/>
    <n v="1"/>
    <s v="C4S04DO"/>
    <s v="C4S04DO02"/>
    <s v="C4S04,02"/>
    <s v="DO"/>
    <s v="Require I/O DI= 0,DO=1,AI=0,AO=0,Bus=0"/>
    <x v="4"/>
    <x v="6"/>
    <n v="2"/>
    <m/>
    <n v="0"/>
    <n v="1"/>
    <n v="0"/>
    <n v="0"/>
    <n v="0"/>
    <m/>
    <s v="4 - 20 mA"/>
    <s v="Y"/>
  </r>
  <r>
    <s v="=CA1+MCP-M4"/>
    <m/>
    <m/>
    <x v="11"/>
    <s v="Spray Dryer 8th Floor"/>
    <x v="13"/>
    <m/>
    <s v="Spray Dryer"/>
    <s v="XT-60201"/>
    <m/>
    <m/>
    <n v="0"/>
    <s v="5th"/>
    <s v="325-01-600-PD-03"/>
    <s v="3-25-01-602-PD-03"/>
    <s v="LEL gas analyzer"/>
    <s v="Require I/O DI= 0,DO=0,AI=1,AO=0,Bus=0"/>
    <s v="XT-60201_AI_1"/>
    <x v="3"/>
    <n v="3"/>
    <n v="1"/>
    <s v="C4S05AI"/>
    <s v="C4S05AI08"/>
    <s v="C4S05,08"/>
    <s v="AI"/>
    <s v="Require I/O DI= 0,DO=0,AI=1,AO=0,Bus=0"/>
    <x v="4"/>
    <x v="5"/>
    <n v="8"/>
    <m/>
    <n v="0"/>
    <n v="0"/>
    <n v="1"/>
    <n v="0"/>
    <n v="0"/>
    <m/>
    <s v="4 - 20 mA"/>
    <s v="Y"/>
  </r>
  <r>
    <s v="=CA1+MCP-M4"/>
    <m/>
    <m/>
    <x v="11"/>
    <s v="Spray Dryer 8th Floor"/>
    <x v="13"/>
    <m/>
    <s v="Spray Dryer"/>
    <s v="ZS-60201A"/>
    <m/>
    <m/>
    <n v="0"/>
    <s v="6th"/>
    <s v="325-01-600-PD-04"/>
    <s v="3-25-01-602-PD-04"/>
    <s v=" Limit Switch for CHAM-21 (Spray Chamber)"/>
    <s v="Require I/O DI= 1,DO=0,AI=0,AO=0,Bus=0"/>
    <s v="ZS-60201A_DI_1"/>
    <x v="0"/>
    <n v="1"/>
    <n v="1"/>
    <s v="C4S01DI"/>
    <s v="C4S01DI09"/>
    <s v="C4S01,09"/>
    <s v="DI"/>
    <s v="Require I/O DI= 1,DO=0,AI=0,AO=0,Bus=0"/>
    <x v="4"/>
    <x v="4"/>
    <n v="9"/>
    <m/>
    <n v="1"/>
    <n v="0"/>
    <n v="0"/>
    <n v="0"/>
    <n v="0"/>
    <m/>
    <s v="Dry Contact"/>
    <s v="Y"/>
  </r>
  <r>
    <s v="=CA1+MCP-M4"/>
    <m/>
    <m/>
    <x v="11"/>
    <s v="Spray Dryer 8th Floor"/>
    <x v="13"/>
    <m/>
    <s v="Spray Dryer"/>
    <s v="ZS-60201B"/>
    <m/>
    <m/>
    <n v="0"/>
    <s v="6th"/>
    <s v="325-01-600-PD-04"/>
    <s v="3-25-01-602-PD-04"/>
    <s v=" Limit Switch for CHAM-21 (Spray Chamber)"/>
    <s v="Require I/O DI= 1,DO=0,AI=0,AO=0,Bus=0"/>
    <s v="ZS-60201B_DI_1"/>
    <x v="0"/>
    <n v="1"/>
    <n v="1"/>
    <s v="C4S01DI"/>
    <s v="C4S01DI10"/>
    <s v="C4S01,10"/>
    <s v="DI"/>
    <s v="Require I/O DI= 1,DO=0,AI=0,AO=0,Bus=0"/>
    <x v="4"/>
    <x v="4"/>
    <n v="10"/>
    <m/>
    <n v="1"/>
    <n v="0"/>
    <n v="0"/>
    <n v="0"/>
    <n v="0"/>
    <m/>
    <s v="Dry Contact"/>
    <s v="Y"/>
  </r>
  <r>
    <s v="=CA1+MCP-M4"/>
    <m/>
    <m/>
    <x v="11"/>
    <s v="Spray Dryer 8th Floor"/>
    <x v="13"/>
    <m/>
    <s v="Spray Dryer"/>
    <s v="ZS-60231C"/>
    <m/>
    <m/>
    <n v="0"/>
    <s v="5th"/>
    <s v="325-01-600-PD-04"/>
    <s v="3-25-01-602-PD-04"/>
    <s v="Gas Limit Switch for DTEX-23 (Bag House By-Pass Inlet Spool Inserted)"/>
    <s v="Require I/O DI= 1,DO=0,AI=0,AO=0,Bus=0"/>
    <s v="ZS-60231C_DI_1"/>
    <x v="0"/>
    <n v="1"/>
    <n v="1"/>
    <s v="C4S01DI"/>
    <s v="C4S01DI11"/>
    <s v="C4S01,11"/>
    <s v="DI"/>
    <s v="Require I/O DI= 1,DO=0,AI=0,AO=0,Bus=0"/>
    <x v="4"/>
    <x v="4"/>
    <n v="11"/>
    <m/>
    <n v="1"/>
    <n v="0"/>
    <n v="0"/>
    <n v="0"/>
    <n v="0"/>
    <m/>
    <s v="Dry Contact"/>
    <s v="Y"/>
  </r>
  <r>
    <s v="=CA1+MCP-M4"/>
    <m/>
    <m/>
    <x v="11"/>
    <s v="Spray Dryer 8th Floor"/>
    <x v="13"/>
    <m/>
    <s v="Spray Dryer"/>
    <s v="ZS-60231D"/>
    <m/>
    <m/>
    <n v="0"/>
    <s v="5th"/>
    <s v="325-01-600-PD-04"/>
    <s v="3-25-01-602-PD-04"/>
    <s v="Gas Limit Switch for DTEX-23 (Bag House By-Pass Inlet Blind Inserted)"/>
    <s v="Require I/O DI= 1,DO=0,AI=0,AO=0,Bus=0"/>
    <s v="ZS-60231D_DI_1"/>
    <x v="0"/>
    <n v="1"/>
    <n v="1"/>
    <s v="C4S01DI"/>
    <s v="C4S01DI12"/>
    <s v="C4S01,12"/>
    <s v="DI"/>
    <s v="Require I/O DI= 1,DO=0,AI=0,AO=0,Bus=0"/>
    <x v="4"/>
    <x v="4"/>
    <n v="12"/>
    <m/>
    <n v="1"/>
    <n v="0"/>
    <n v="0"/>
    <n v="0"/>
    <n v="0"/>
    <m/>
    <s v="Dry Contact"/>
    <s v="Y"/>
  </r>
  <r>
    <s v="=CA1+MCP-M4"/>
    <m/>
    <m/>
    <x v="11"/>
    <s v="Spray Dryer 8th Floor"/>
    <x v="13"/>
    <m/>
    <s v="Spray Dryer"/>
    <s v="ZS-60231E"/>
    <m/>
    <m/>
    <n v="0"/>
    <s v="5th"/>
    <s v="325-01-600-PD-05"/>
    <s v="3-25-01-602-PD-05"/>
    <s v="Gas Limit Switch for DTEX-23 (Bag House By-Pass Outlet Spool Inserted)"/>
    <s v="Require I/O DI= 1,DO=0,AI=0,AO=0,Bus=0"/>
    <s v="ZS-60231E_DI_1"/>
    <x v="0"/>
    <n v="1"/>
    <n v="1"/>
    <s v="C4S01DI"/>
    <s v="C4S01DI13"/>
    <s v="C4S01,13"/>
    <s v="DI"/>
    <s v="Require I/O DI= 1,DO=0,AI=0,AO=0,Bus=0"/>
    <x v="4"/>
    <x v="4"/>
    <n v="13"/>
    <m/>
    <n v="1"/>
    <n v="0"/>
    <n v="0"/>
    <n v="0"/>
    <n v="0"/>
    <m/>
    <s v="Dry Contact"/>
    <s v="Y"/>
  </r>
  <r>
    <s v="=CA1+MCP-M4"/>
    <m/>
    <m/>
    <x v="11"/>
    <s v="Spray Dryer 8th Floor"/>
    <x v="13"/>
    <m/>
    <s v="Spray Dryer"/>
    <s v="ZS-60231F"/>
    <m/>
    <m/>
    <n v="0"/>
    <s v="5th"/>
    <s v="325-01-600-PD-05"/>
    <s v="3-25-01-602-PD-05"/>
    <s v="Gas Limit Switch for DTEX-23 (Bag House By-Pass Outlet Blind Inserted)"/>
    <s v="Require I/O DI= 1,DO=0,AI=0,AO=0,Bus=0"/>
    <s v="ZS-60231F_DI_1"/>
    <x v="0"/>
    <n v="1"/>
    <n v="1"/>
    <s v="C4S01DI"/>
    <s v="C4S01DI14"/>
    <s v="C4S01,14"/>
    <s v="DI"/>
    <s v="Require I/O DI= 1,DO=0,AI=0,AO=0,Bus=0"/>
    <x v="4"/>
    <x v="4"/>
    <n v="14"/>
    <m/>
    <n v="1"/>
    <n v="0"/>
    <n v="0"/>
    <n v="0"/>
    <n v="0"/>
    <m/>
    <s v="Dry Contact"/>
    <s v="Y"/>
  </r>
  <r>
    <s v="=CA1+MCP-M4"/>
    <m/>
    <m/>
    <x v="11"/>
    <s v="Spray Dryer 8th Floor"/>
    <x v="13"/>
    <m/>
    <s v="Spray Dryer"/>
    <s v="ZS-60240"/>
    <m/>
    <m/>
    <n v="0"/>
    <s v="6th"/>
    <s v="-"/>
    <s v="3-25-01-602-PD-05"/>
    <s v=" Limit Switch for FA-60240  (Door Service)"/>
    <s v="Require I/O DI= 1,DO=0,AI=0,AO=0,Bus=0"/>
    <s v="ZS-60240_DI_1"/>
    <x v="0"/>
    <n v="1"/>
    <n v="1"/>
    <s v="C4S01DI"/>
    <s v="C4S01DI15"/>
    <s v="C4S01,15"/>
    <s v="DI"/>
    <s v="Require I/O DI= 1,DO=0,AI=0,AO=0,Bus=0"/>
    <x v="4"/>
    <x v="4"/>
    <n v="15"/>
    <m/>
    <n v="1"/>
    <n v="0"/>
    <n v="0"/>
    <n v="0"/>
    <n v="0"/>
    <m/>
    <s v="Dry Contact"/>
    <s v="Y"/>
  </r>
  <r>
    <s v="=CA1+MCP-M4"/>
    <m/>
    <m/>
    <x v="12"/>
    <s v="Packing Tower 2th Floor"/>
    <x v="3"/>
    <m/>
    <s v="Packing Tower"/>
    <s v="DPT-61310"/>
    <m/>
    <m/>
    <s v="Differential Pressure Transmitte"/>
    <s v="2nd"/>
    <s v="325-01-613-PD-03"/>
    <s v="3-25-01-613-PD-03"/>
    <s v="Vent filter pressure"/>
    <s v="Require I/O DI= 0,DO=0,AI=1,AO=0,Bus=0"/>
    <s v="DPT-61310_AI_1"/>
    <x v="3"/>
    <n v="3"/>
    <n v="1"/>
    <s v="C4S05AI"/>
    <s v="C4S05AI09"/>
    <s v="C4S05,09"/>
    <s v="AI"/>
    <s v="Require I/O DI= 0,DO=0,AI=1,AO=0,Bus=0"/>
    <x v="4"/>
    <x v="5"/>
    <n v="9"/>
    <m/>
    <n v="0"/>
    <n v="0"/>
    <n v="1"/>
    <n v="0"/>
    <n v="0"/>
    <m/>
    <s v="4 - 20 mA"/>
    <s v="Y"/>
  </r>
  <r>
    <s v="=CA1+MCP-M4"/>
    <m/>
    <m/>
    <x v="12"/>
    <s v="Packing Tower 2th Floor"/>
    <x v="3"/>
    <m/>
    <s v="Packing Tower"/>
    <s v="DPT-61312"/>
    <m/>
    <m/>
    <e v="#N/A"/>
    <s v="2nd"/>
    <s v="325-01-613-PD-05"/>
    <s v="3-25-01-613-PD-05"/>
    <e v="#N/A"/>
    <s v="Require I/O DI= 0,DO=0,AI=1,AO=0,Bus=0"/>
    <s v="DPT-61312_AI_1"/>
    <x v="3"/>
    <n v="3"/>
    <n v="1"/>
    <s v="C4S05AI"/>
    <s v="C4S05AI10"/>
    <s v="C4S05,10"/>
    <s v="AI"/>
    <s v="Require I/O DI= 0,DO=0,AI=1,AO=0,Bus=0"/>
    <x v="4"/>
    <x v="5"/>
    <n v="10"/>
    <m/>
    <n v="0"/>
    <n v="0"/>
    <n v="1"/>
    <n v="0"/>
    <n v="0"/>
    <m/>
    <e v="#N/A"/>
    <s v="Y"/>
  </r>
  <r>
    <s v="=CA1+MCP-M4"/>
    <m/>
    <m/>
    <x v="12"/>
    <s v="Packing Tower 2th Floor"/>
    <x v="3"/>
    <m/>
    <s v="Packing Tower"/>
    <s v="ISV-61303"/>
    <m/>
    <m/>
    <n v="0"/>
    <s v="2nd"/>
    <s v="325-01-613-PD-03"/>
    <s v="3-25-01-613-PD-03"/>
    <s v="Explosion isolation flap valve ISV-61303"/>
    <s v="Require I/O DI= 1,DO=0,AI=0,AO=0,Bus=0"/>
    <s v="ISV-61303_DI_1"/>
    <x v="0"/>
    <n v="1"/>
    <n v="1"/>
    <s v="C4S03DI"/>
    <s v="C4S03DI00"/>
    <s v="C4S03,00"/>
    <s v="DI"/>
    <s v="Require I/O DI= 1,DO=0,AI=0,AO=0,Bus=0"/>
    <x v="4"/>
    <x v="1"/>
    <n v="0"/>
    <m/>
    <n v="1"/>
    <n v="0"/>
    <n v="0"/>
    <n v="0"/>
    <n v="0"/>
    <m/>
    <s v="Dry Contact"/>
    <s v="Y"/>
  </r>
  <r>
    <s v="=CA1+MCP-M4"/>
    <m/>
    <m/>
    <x v="12"/>
    <s v="Packing Tower 2th Floor"/>
    <x v="3"/>
    <m/>
    <s v="Packing Tower"/>
    <s v="ISV-61304"/>
    <m/>
    <m/>
    <n v="0"/>
    <s v="2nd"/>
    <s v="325-01-613-PD-05"/>
    <s v="3-25-01-613-PD-05"/>
    <s v="Explosion isolation flap valve ISV-61304"/>
    <s v="Require I/O DI= 1,DO=0,AI=0,AO=0,Bus=0"/>
    <s v="ISV-61304_DI_1"/>
    <x v="0"/>
    <n v="1"/>
    <n v="1"/>
    <s v="C4S03DI"/>
    <s v="C4S03DI01"/>
    <s v="C4S03,01"/>
    <s v="DI"/>
    <s v="Require I/O DI= 1,DO=0,AI=0,AO=0,Bus=0"/>
    <x v="4"/>
    <x v="1"/>
    <n v="1"/>
    <m/>
    <n v="1"/>
    <n v="0"/>
    <n v="0"/>
    <n v="0"/>
    <n v="0"/>
    <m/>
    <s v="Dry Contact"/>
    <s v="Y"/>
  </r>
  <r>
    <s v="=CA1+MCP-M4"/>
    <m/>
    <m/>
    <x v="12"/>
    <s v="Packing Tower 2th Floor"/>
    <x v="3"/>
    <m/>
    <s v="Packing Tower"/>
    <s v="LSH-61304"/>
    <m/>
    <m/>
    <n v="0"/>
    <s v="1st"/>
    <s v="325-01-613-PD-03"/>
    <s v="3-25-01-613-PD-03"/>
    <s v="Big bag level alarm high"/>
    <s v="Require I/O DI= 1,DO=0,AI=0,AO=0,Bus=0"/>
    <s v="LSH-61304_DI_1"/>
    <x v="0"/>
    <n v="1"/>
    <n v="1"/>
    <s v="C4S03DI"/>
    <s v="C4S03DI02"/>
    <s v="C4S03,02"/>
    <s v="DI"/>
    <s v="Require I/O DI= 1,DO=0,AI=0,AO=0,Bus=0"/>
    <x v="4"/>
    <x v="1"/>
    <n v="2"/>
    <m/>
    <n v="1"/>
    <n v="0"/>
    <n v="0"/>
    <n v="0"/>
    <n v="0"/>
    <m/>
    <s v="Dry Contact"/>
    <s v="Y"/>
  </r>
  <r>
    <s v="=CA1+MCP-M4"/>
    <m/>
    <m/>
    <x v="12"/>
    <s v="Packing Tower 2th Floor"/>
    <x v="3"/>
    <m/>
    <s v="Packing Tower"/>
    <s v="LSH-61305"/>
    <m/>
    <m/>
    <n v="0"/>
    <s v="1st"/>
    <s v="325-01-613-PD-05"/>
    <s v="3-25-01-613-PD-05"/>
    <s v="Big bag level alarm high"/>
    <s v="Require I/O DI= 1,DO=0,AI=0,AO=0,Bus=0"/>
    <s v="LSH-61305_DI_1"/>
    <x v="0"/>
    <n v="1"/>
    <n v="1"/>
    <s v="C4S03DI"/>
    <s v="C4S03DI03"/>
    <s v="C4S03,03"/>
    <s v="DI"/>
    <s v="Require I/O DI= 1,DO=0,AI=0,AO=0,Bus=0"/>
    <x v="4"/>
    <x v="1"/>
    <n v="3"/>
    <m/>
    <n v="1"/>
    <n v="0"/>
    <n v="0"/>
    <n v="0"/>
    <n v="0"/>
    <m/>
    <s v="Dry Contact"/>
    <s v="Y"/>
  </r>
  <r>
    <s v="=CA1+MCP-M4"/>
    <m/>
    <m/>
    <x v="12"/>
    <s v="Packing Tower 2th Floor"/>
    <x v="3"/>
    <m/>
    <s v="Packing Tower"/>
    <s v="LSH-61307"/>
    <m/>
    <m/>
    <n v="0"/>
    <s v="1st"/>
    <s v="-"/>
    <s v="3-25-01-613-PD-01"/>
    <s v="High Level alarm reject screen"/>
    <s v="Require I/O DI= 1,DO=0,AI=0,AO=0,Bus=0"/>
    <s v="LSH-61307_DI_1"/>
    <x v="0"/>
    <n v="1"/>
    <n v="1"/>
    <s v="C4S03DI"/>
    <s v="C4S03DI04"/>
    <s v="C4S03,04"/>
    <s v="DI"/>
    <s v="Require I/O DI= 1,DO=0,AI=0,AO=0,Bus=0"/>
    <x v="4"/>
    <x v="1"/>
    <n v="4"/>
    <m/>
    <n v="1"/>
    <n v="0"/>
    <n v="0"/>
    <n v="0"/>
    <n v="0"/>
    <m/>
    <s v="Dry Contact"/>
    <s v="Y"/>
  </r>
  <r>
    <s v="=CA1+MCP-M4"/>
    <m/>
    <m/>
    <x v="12"/>
    <s v="Packing Tower 2th Floor"/>
    <x v="3"/>
    <m/>
    <s v="Packing Tower"/>
    <s v="LSH-61312"/>
    <m/>
    <m/>
    <n v="0"/>
    <s v="2nd"/>
    <s v="325-01-613-PD-05"/>
    <s v="3-25-01-613-PD-05"/>
    <s v="Level alarm high"/>
    <s v="Require I/O DI= 1,DO=0,AI=0,AO=0,Bus=0"/>
    <s v="LSH-61312_DI_1"/>
    <x v="0"/>
    <n v="1"/>
    <n v="1"/>
    <s v="C4S03DI"/>
    <s v="C4S03DI05"/>
    <s v="C4S03,05"/>
    <s v="DI"/>
    <s v="Require I/O DI= 1,DO=0,AI=0,AO=0,Bus=0"/>
    <x v="4"/>
    <x v="1"/>
    <n v="5"/>
    <m/>
    <n v="1"/>
    <n v="0"/>
    <n v="0"/>
    <n v="0"/>
    <n v="0"/>
    <m/>
    <s v="Dry Contact"/>
    <s v="Y"/>
  </r>
  <r>
    <s v="=CA1+MCP-M4"/>
    <m/>
    <m/>
    <x v="12"/>
    <s v="Packing Tower 2th Floor"/>
    <x v="3"/>
    <m/>
    <s v="Packing Tower"/>
    <s v="PSE-61302"/>
    <m/>
    <m/>
    <n v="0"/>
    <s v="2nd"/>
    <s v="325-01-613-PD-03"/>
    <s v="3-25-01-613-PD-03"/>
    <s v="Explosion Vent PSE-61302"/>
    <s v="Require I/O DI= 1,DO=0,AI=0,AO=0,Bus=0"/>
    <s v="PSE-61302_DI_1"/>
    <x v="0"/>
    <n v="1"/>
    <n v="1"/>
    <s v="C4S03DI"/>
    <s v="C4S03DI06"/>
    <s v="C4S03,06"/>
    <s v="DI"/>
    <s v="Require I/O DI= 1,DO=0,AI=0,AO=0,Bus=0"/>
    <x v="4"/>
    <x v="1"/>
    <n v="6"/>
    <m/>
    <n v="1"/>
    <n v="0"/>
    <n v="0"/>
    <n v="0"/>
    <n v="0"/>
    <m/>
    <s v="Dry Contact"/>
    <s v="Y"/>
  </r>
  <r>
    <s v="=CA1+MCP-M4"/>
    <m/>
    <m/>
    <x v="12"/>
    <s v="Packing Tower 2th Floor"/>
    <x v="3"/>
    <m/>
    <s v="Packing Tower"/>
    <s v="PSE-61303"/>
    <m/>
    <m/>
    <n v="0"/>
    <s v="2nd"/>
    <s v="325-01-613-PD-05"/>
    <s v="3-25-01-613-PD-05"/>
    <s v="Explosion Vent PSE-61303"/>
    <s v="Require I/O DI= 1,DO=0,AI=0,AO=0,Bus=0"/>
    <s v="PSE-61303_DI_1"/>
    <x v="0"/>
    <n v="1"/>
    <n v="1"/>
    <s v="C4S03DI"/>
    <s v="C4S03DI07"/>
    <s v="C4S03,07"/>
    <s v="DI"/>
    <s v="Require I/O DI= 1,DO=0,AI=0,AO=0,Bus=0"/>
    <x v="4"/>
    <x v="1"/>
    <n v="7"/>
    <m/>
    <n v="1"/>
    <n v="0"/>
    <n v="0"/>
    <n v="0"/>
    <n v="0"/>
    <m/>
    <s v="Dry Contact"/>
    <s v="Y"/>
  </r>
  <r>
    <s v="=CA1+MCP-M4"/>
    <m/>
    <m/>
    <x v="12"/>
    <s v="Packing Tower 2th Floor"/>
    <x v="3"/>
    <m/>
    <s v="Packing Tower"/>
    <s v="RV-61301"/>
    <m/>
    <m/>
    <e v="#N/A"/>
    <s v="2nd"/>
    <s v="-"/>
    <s v="-"/>
    <e v="#N/A"/>
    <s v="Require I/O DI= 1,DO=0,AI=0,AO=0,Bus=0"/>
    <s v="RV-61301_DI_1"/>
    <x v="0"/>
    <n v="1"/>
    <n v="1"/>
    <s v="C4S03DI"/>
    <s v="C4S03DI09"/>
    <s v="C4S03,09"/>
    <s v="DI"/>
    <s v="Require I/O DI= 1,DO=0,AI=0,AO=0,Bus=0"/>
    <x v="4"/>
    <x v="1"/>
    <n v="9"/>
    <m/>
    <n v="1"/>
    <n v="0"/>
    <n v="0"/>
    <n v="0"/>
    <n v="0"/>
    <m/>
    <e v="#N/A"/>
    <s v="Y"/>
  </r>
  <r>
    <s v="=CA1+MCP-M4"/>
    <m/>
    <m/>
    <x v="12"/>
    <s v="Packing Tower 2th Floor"/>
    <x v="3"/>
    <m/>
    <s v="Packing Tower"/>
    <s v="RV-61304"/>
    <m/>
    <m/>
    <e v="#N/A"/>
    <s v="2nd"/>
    <s v="-"/>
    <s v="-"/>
    <e v="#N/A"/>
    <s v="Require I/O DI= 1,DO=0,AI=0,AO=0,Bus=0"/>
    <s v="RV-61304_DI_1"/>
    <x v="0"/>
    <n v="1"/>
    <n v="1"/>
    <s v="C4S03DI"/>
    <s v="C4S03DI10"/>
    <s v="C4S03,10"/>
    <s v="DI"/>
    <s v="Require I/O DI= 1,DO=0,AI=0,AO=0,Bus=0"/>
    <x v="4"/>
    <x v="1"/>
    <n v="10"/>
    <m/>
    <n v="1"/>
    <n v="0"/>
    <n v="0"/>
    <n v="0"/>
    <n v="0"/>
    <m/>
    <e v="#N/A"/>
    <s v="Y"/>
  </r>
  <r>
    <s v="=CA1+MCP-M4"/>
    <m/>
    <m/>
    <x v="12"/>
    <s v="Packing Tower 2th Floor"/>
    <x v="3"/>
    <m/>
    <s v="Packing Tower"/>
    <s v="RV-61305"/>
    <m/>
    <m/>
    <e v="#N/A"/>
    <s v="2nd"/>
    <s v="-"/>
    <s v="-"/>
    <e v="#N/A"/>
    <s v="Require I/O DI= 1,DO=0,AI=0,AO=0,Bus=0"/>
    <s v="RV-61305_DI_1"/>
    <x v="0"/>
    <n v="1"/>
    <n v="1"/>
    <s v="C4S03DI"/>
    <s v="C4S03DI11"/>
    <s v="C4S03,11"/>
    <s v="DI"/>
    <s v="Require I/O DI= 1,DO=0,AI=0,AO=0,Bus=0"/>
    <x v="4"/>
    <x v="1"/>
    <n v="11"/>
    <m/>
    <n v="1"/>
    <n v="0"/>
    <n v="0"/>
    <n v="0"/>
    <n v="0"/>
    <m/>
    <e v="#N/A"/>
    <s v="Y"/>
  </r>
  <r>
    <s v="=CA1+MCP-M4"/>
    <m/>
    <m/>
    <x v="12"/>
    <s v="Packing Tower 2th Floor"/>
    <x v="3"/>
    <m/>
    <s v="Packing Tower"/>
    <s v="SC-61301"/>
    <m/>
    <m/>
    <e v="#N/A"/>
    <s v="2nd"/>
    <s v="-"/>
    <s v="-"/>
    <e v="#N/A"/>
    <s v="Require I/O DI= 1,DO=0,AI=0,AO=0,Bus=0"/>
    <s v="SC-61301_DI_1"/>
    <x v="0"/>
    <n v="1"/>
    <n v="1"/>
    <s v="C4S03DI"/>
    <s v="C4S03DI12"/>
    <s v="C4S03,12"/>
    <s v="DI"/>
    <s v="Require I/O DI= 1,DO=0,AI=0,AO=0,Bus=0"/>
    <x v="4"/>
    <x v="1"/>
    <n v="12"/>
    <m/>
    <n v="1"/>
    <n v="0"/>
    <n v="0"/>
    <n v="0"/>
    <n v="0"/>
    <m/>
    <e v="#N/A"/>
    <s v="Y"/>
  </r>
  <r>
    <s v="=CA1+MCP-M4"/>
    <m/>
    <m/>
    <x v="12"/>
    <s v="Packing Tower 2th Floor"/>
    <x v="3"/>
    <m/>
    <s v="Packing Tower"/>
    <s v="SC-61302"/>
    <m/>
    <m/>
    <e v="#N/A"/>
    <s v="2nd"/>
    <s v="-"/>
    <s v="-"/>
    <e v="#N/A"/>
    <s v="Require I/O DI= 1,DO=0,AI=0,AO=0,Bus=0"/>
    <s v="SC-61302_DI_1"/>
    <x v="0"/>
    <n v="1"/>
    <n v="1"/>
    <s v="C4S03DI"/>
    <s v="C4S03DI13"/>
    <s v="C4S03,13"/>
    <s v="DI"/>
    <s v="Require I/O DI= 1,DO=0,AI=0,AO=0,Bus=0"/>
    <x v="4"/>
    <x v="1"/>
    <n v="13"/>
    <m/>
    <n v="1"/>
    <n v="0"/>
    <n v="0"/>
    <n v="0"/>
    <n v="0"/>
    <m/>
    <e v="#N/A"/>
    <s v="Y"/>
  </r>
  <r>
    <s v="=CA1+MCP-M4"/>
    <m/>
    <m/>
    <x v="12"/>
    <s v="Packing Tower 2th Floor"/>
    <x v="3"/>
    <m/>
    <s v="Packing Tower"/>
    <s v="ZS-61312"/>
    <m/>
    <m/>
    <n v="0"/>
    <s v="3rd"/>
    <s v="325-01-613-PD-01"/>
    <s v="3-25-01-613-PD-01"/>
    <s v="Position Magnet Door"/>
    <s v="Require I/O DI= 1,DO=0,AI=0,AO=0,Bus=0"/>
    <s v="ZS-61312_DI_1"/>
    <x v="0"/>
    <n v="1"/>
    <n v="1"/>
    <s v="C4S03DI"/>
    <s v="C4S03DI14"/>
    <s v="C4S03,14"/>
    <s v="DI"/>
    <s v="Require I/O DI= 1,DO=0,AI=0,AO=0,Bus=0"/>
    <x v="4"/>
    <x v="1"/>
    <n v="14"/>
    <m/>
    <n v="1"/>
    <n v="0"/>
    <n v="0"/>
    <n v="0"/>
    <n v="0"/>
    <m/>
    <s v="Dry Contact"/>
    <s v="Y"/>
  </r>
  <r>
    <s v="=CA1+MCP-M4"/>
    <m/>
    <m/>
    <x v="12"/>
    <s v="Packing Tower 2th Floor"/>
    <x v="3"/>
    <m/>
    <s v="Packing Tower"/>
    <s v="ZS-61313"/>
    <m/>
    <m/>
    <n v="0"/>
    <s v="3rd"/>
    <s v="325-01-613-PD-01"/>
    <s v="3-25-01-613-PD-01"/>
    <s v="Position Magnet Door"/>
    <s v="Require I/O DI= 1,DO=0,AI=0,AO=0,Bus=0"/>
    <s v="ZS-61313_DI_1"/>
    <x v="0"/>
    <n v="1"/>
    <n v="1"/>
    <s v="C4S03DI"/>
    <s v="C4S03DI15"/>
    <s v="C4S03,15"/>
    <s v="DI"/>
    <s v="Require I/O DI= 1,DO=0,AI=0,AO=0,Bus=0"/>
    <x v="4"/>
    <x v="1"/>
    <n v="15"/>
    <m/>
    <n v="1"/>
    <n v="0"/>
    <n v="0"/>
    <n v="0"/>
    <n v="0"/>
    <m/>
    <s v="Dry Contact"/>
    <s v="Y"/>
  </r>
  <r>
    <s v="=CA1+MCP-M4"/>
    <m/>
    <m/>
    <x v="13"/>
    <s v="Spray Dryer 6th Floor"/>
    <x v="9"/>
    <m/>
    <s v="Spray Dryer"/>
    <s v="DPT-60201"/>
    <m/>
    <m/>
    <s v="Differential Pressure Transmitte"/>
    <s v="6th"/>
    <s v="325-01-600-PD-09"/>
    <s v="3-25-01-602-PD-09"/>
    <s v="Steam filter pressure"/>
    <s v="Require I/O DI= 0,DO=0,AI=1,AO=0,Bus=0"/>
    <s v="DPT-60201_AI_1"/>
    <x v="3"/>
    <n v="3"/>
    <n v="1"/>
    <s v="C4S05AI"/>
    <s v="C4S05AI00"/>
    <s v="C4S05,00"/>
    <s v="AI"/>
    <s v="Require I/O DI= 0,DO=0,AI=1,AO=0,Bus=0"/>
    <x v="4"/>
    <x v="5"/>
    <n v="0"/>
    <m/>
    <n v="0"/>
    <n v="0"/>
    <n v="1"/>
    <n v="0"/>
    <n v="0"/>
    <m/>
    <s v="4 - 20 mA"/>
    <m/>
  </r>
  <r>
    <s v="=CA1+MCP-M4"/>
    <m/>
    <m/>
    <x v="13"/>
    <s v="Spray Dryer 6th Floor"/>
    <x v="9"/>
    <m/>
    <s v="Spray Dryer"/>
    <s v="FT-60203"/>
    <m/>
    <m/>
    <n v="0"/>
    <s v="6th"/>
    <s v="325-01-600-PD-09"/>
    <s v="3-25-01-602-PD-09"/>
    <s v="Culinary steam feed to Spray dryer "/>
    <s v="Require I/O DI= 1,DO=0,AI=1,AO=0,Bus=0"/>
    <s v="FT-60203_DI_1"/>
    <x v="0"/>
    <n v="1"/>
    <n v="1"/>
    <s v="C4S01DI"/>
    <s v="C4S01DI00"/>
    <s v="C4S01,00"/>
    <s v="DI"/>
    <s v="Require I/O DI= 1,DO=0,AI=1,AO=0,Bus=0"/>
    <x v="4"/>
    <x v="4"/>
    <n v="0"/>
    <m/>
    <n v="1"/>
    <n v="0"/>
    <n v="1"/>
    <n v="0"/>
    <n v="0"/>
    <m/>
    <s v="4 - 20 mA"/>
    <m/>
  </r>
  <r>
    <s v="=CA1+MCP-M4"/>
    <m/>
    <m/>
    <x v="13"/>
    <s v="Spray Dryer 6th Floor"/>
    <x v="9"/>
    <m/>
    <s v="Spray Dryer"/>
    <s v="FT-60203"/>
    <m/>
    <m/>
    <n v="0"/>
    <s v="6th"/>
    <s v="325-01-600-PD-09"/>
    <s v="3-25-01-602-PD-09"/>
    <s v="Culinary steam feed to Spray dryer "/>
    <s v="Require I/O DI= 1,DO=0,AI=1,AO=0,Bus=0"/>
    <s v="FT-60203_AI_1"/>
    <x v="3"/>
    <n v="3"/>
    <n v="1"/>
    <s v="C4S05AI"/>
    <s v="C4S05AI01"/>
    <s v="C4S05,01"/>
    <s v="AI"/>
    <s v="Require I/O DI= 1,DO=0,AI=1,AO=0,Bus=0"/>
    <x v="4"/>
    <x v="5"/>
    <n v="1"/>
    <m/>
    <n v="1"/>
    <n v="0"/>
    <n v="1"/>
    <n v="0"/>
    <n v="0"/>
    <m/>
    <s v="4 - 20 mA"/>
    <m/>
  </r>
  <r>
    <s v="=CA1+MCP-M4"/>
    <m/>
    <m/>
    <x v="13"/>
    <s v="Spray Dryer 6th Floor"/>
    <x v="9"/>
    <m/>
    <s v="Spray Dryer"/>
    <s v="LSH-60250"/>
    <m/>
    <m/>
    <n v="0"/>
    <s v="6th"/>
    <s v="325-01-600-PD-05"/>
    <s v="3-25-01-602-PD-05"/>
    <s v="Water Level Switch High for Fire Deluge Pipe (FWDP-21)"/>
    <s v="Require I/O DI= 1,DO=0,AI=0,AO=0,Bus=0"/>
    <s v="LSH-60250_DI_1"/>
    <x v="0"/>
    <n v="1"/>
    <n v="1"/>
    <s v="C4S01DI"/>
    <s v="C4S01DI01"/>
    <s v="C4S01,01"/>
    <s v="DI"/>
    <s v="Require I/O DI= 1,DO=0,AI=0,AO=0,Bus=0"/>
    <x v="4"/>
    <x v="4"/>
    <n v="1"/>
    <m/>
    <n v="1"/>
    <n v="0"/>
    <n v="0"/>
    <n v="0"/>
    <n v="0"/>
    <m/>
    <s v="Dry Contact"/>
    <m/>
  </r>
  <r>
    <s v="=CA1+MCP-M4"/>
    <m/>
    <m/>
    <x v="13"/>
    <s v="Spray Dryer 6th Floor"/>
    <x v="9"/>
    <m/>
    <s v="Spray Dryer"/>
    <s v="SV-60220"/>
    <m/>
    <m/>
    <n v="0"/>
    <s v="6th"/>
    <s v="325-01-600-PD-04"/>
    <s v="3-25-01-602-PD-04"/>
    <s v="PA On/Off Valve for Chamber PSE purge air (CHAM-21)"/>
    <s v="Require I/O DI= 0,DO=1,AI=0,AO=0,Bus=0"/>
    <s v="SV-60220_DO_1"/>
    <x v="1"/>
    <n v="2"/>
    <n v="1"/>
    <s v="C4S04DO"/>
    <s v="C4S04DO00"/>
    <s v="C4S04,00"/>
    <s v="DO"/>
    <s v="Require I/O DI= 0,DO=1,AI=0,AO=0,Bus=0"/>
    <x v="4"/>
    <x v="6"/>
    <n v="0"/>
    <m/>
    <n v="0"/>
    <n v="1"/>
    <n v="0"/>
    <n v="0"/>
    <n v="0"/>
    <m/>
    <s v="24 VDC energized"/>
    <m/>
  </r>
  <r>
    <s v="=CA1+MCP-M4"/>
    <m/>
    <m/>
    <x v="13"/>
    <s v="Spray Dryer 6th Floor"/>
    <x v="9"/>
    <m/>
    <s v="Spray Dryer"/>
    <s v="XA-60261"/>
    <m/>
    <m/>
    <n v="0"/>
    <s v="6th"/>
    <s v="325-01-600-PD-05"/>
    <s v="-"/>
    <s v=" Fire Deluge Fault (No Protection) for FWDP-21 (Fire Deluge)"/>
    <s v="Require I/O DI= 1,DO=0,AI=0,AO=0,Bus=0"/>
    <s v="XA-60261_DI_1"/>
    <x v="0"/>
    <n v="1"/>
    <n v="1"/>
    <s v="C4S01DI"/>
    <s v="C4S01DI02"/>
    <s v="C4S01,02"/>
    <s v="DI"/>
    <s v="Require I/O DI= 1,DO=0,AI=0,AO=0,Bus=0"/>
    <x v="4"/>
    <x v="4"/>
    <n v="2"/>
    <m/>
    <n v="1"/>
    <n v="0"/>
    <n v="0"/>
    <n v="0"/>
    <n v="0"/>
    <m/>
    <s v="Dry Contact"/>
    <m/>
  </r>
  <r>
    <s v="=CA1+MCP-M4"/>
    <m/>
    <m/>
    <x v="13"/>
    <s v="Spray Dryer 6th Floor"/>
    <x v="9"/>
    <m/>
    <s v="Spray Dryer"/>
    <s v="XA-60262"/>
    <m/>
    <m/>
    <n v="0"/>
    <s v="6th"/>
    <s v="325-01-600-PD-05"/>
    <s v="-"/>
    <s v=" Fire Deluge Alarm (Deluge Activated) for FWDP-21 (Fire Deluge)"/>
    <s v="Require I/O DI= 1,DO=0,AI=0,AO=0,Bus=0"/>
    <s v="XA-60262_DI_1"/>
    <x v="0"/>
    <n v="1"/>
    <n v="1"/>
    <s v="C4S01DI"/>
    <s v="C4S01DI03"/>
    <s v="C4S01,03"/>
    <s v="DI"/>
    <s v="Require I/O DI= 1,DO=0,AI=0,AO=0,Bus=0"/>
    <x v="4"/>
    <x v="4"/>
    <n v="3"/>
    <m/>
    <n v="1"/>
    <n v="0"/>
    <n v="0"/>
    <n v="0"/>
    <n v="0"/>
    <m/>
    <s v="Dry Contact"/>
    <m/>
  </r>
  <r>
    <s v="=CA1+MCP-M4"/>
    <m/>
    <m/>
    <x v="14"/>
    <s v="Spray Dryer 8th Floor"/>
    <x v="13"/>
    <m/>
    <s v="Spray Dryer"/>
    <s v="TT-60245"/>
    <m/>
    <m/>
    <n v="0"/>
    <s v="8th"/>
    <s v="325-01-600-PD-05"/>
    <s v="3-25-01-602-PD-05"/>
    <s v="Gas Temperature Transmitter for Exhaust Stack (DTXS-21)"/>
    <s v="Require I/O DI= 0,DO=0,AI=1,AO=0,Bus=0"/>
    <s v="TT-60245_AI_1"/>
    <x v="3"/>
    <n v="3"/>
    <n v="1"/>
    <s v="C4S05AI"/>
    <s v="C4S05AI07"/>
    <s v="C4S05,07"/>
    <s v="AI"/>
    <s v="Require I/O DI= 0,DO=0,AI=1,AO=0,Bus=0"/>
    <x v="4"/>
    <x v="5"/>
    <n v="7"/>
    <m/>
    <n v="0"/>
    <n v="0"/>
    <n v="1"/>
    <n v="0"/>
    <n v="0"/>
    <m/>
    <s v="4 - 20 mA"/>
    <m/>
  </r>
  <r>
    <s v="=CA1+MCP-M4"/>
    <m/>
    <m/>
    <x v="2"/>
    <s v="Packing Tower 2th Floor"/>
    <x v="3"/>
    <m/>
    <s v="Packing Tower"/>
    <s v="PSL-61305"/>
    <m/>
    <m/>
    <n v="0"/>
    <s v="1st"/>
    <s v="325-01-613-PD-03"/>
    <s v="3-25-01-613-PD-03"/>
    <s v="Pressure alarm low"/>
    <s v="Require I/O DI= 1,DO=0,AI=0,AO=0,Bus=0"/>
    <s v="PSL-61305_DI_1"/>
    <x v="0"/>
    <n v="1"/>
    <n v="1"/>
    <s v="C4S02DI"/>
    <s v="C4S02DI00"/>
    <s v="C4S02,00"/>
    <s v="DI"/>
    <s v="Require I/O DI= 1,DO=0,AI=0,AO=0,Bus=0"/>
    <x v="4"/>
    <x v="0"/>
    <n v="0"/>
    <m/>
    <n v="1"/>
    <n v="0"/>
    <n v="0"/>
    <n v="0"/>
    <n v="0"/>
    <m/>
    <s v="Dry Contact"/>
    <m/>
  </r>
  <r>
    <s v="=CA1+MCP-M4"/>
    <m/>
    <m/>
    <x v="2"/>
    <s v="Packing Tower 2th Floor"/>
    <x v="3"/>
    <m/>
    <s v="Packing Tower"/>
    <s v="PSL-61306"/>
    <m/>
    <m/>
    <n v="0"/>
    <s v="1st"/>
    <s v="325-01-613-PD-05"/>
    <s v="3-25-01-613-PD-05"/>
    <s v="Pressure alarm low"/>
    <s v="Require I/O DI= 1,DO=0,AI=0,AO=0,Bus=0"/>
    <s v="PSL-61306_DI_1"/>
    <x v="0"/>
    <n v="1"/>
    <n v="1"/>
    <s v="C4S02DI"/>
    <s v="C4S02DI01"/>
    <s v="C4S02,01"/>
    <s v="DI"/>
    <s v="Require I/O DI= 1,DO=0,AI=0,AO=0,Bus=0"/>
    <x v="4"/>
    <x v="0"/>
    <n v="1"/>
    <m/>
    <n v="1"/>
    <n v="0"/>
    <n v="0"/>
    <n v="0"/>
    <n v="0"/>
    <m/>
    <s v="Dry Contact"/>
    <m/>
  </r>
  <r>
    <s v="=CA1+MCP-M4"/>
    <m/>
    <m/>
    <x v="2"/>
    <s v="Packing Tower 2th Floor"/>
    <x v="3"/>
    <m/>
    <s v="Packing Tower"/>
    <s v="PT-61302"/>
    <m/>
    <m/>
    <s v="Pressure Transmitter"/>
    <s v="2nd"/>
    <s v="325-01-613-PD-03"/>
    <s v="3-25-01-613-PD-03"/>
    <s v="Pressure in vacuum line "/>
    <s v="Require I/O DI= 0,DO=0,AI=1,AO=0,Bus=0"/>
    <s v="PT-61302_AI_1"/>
    <x v="3"/>
    <n v="3"/>
    <n v="1"/>
    <s v="C4S05AI"/>
    <s v="C4S05AI11"/>
    <s v="C4S05,11"/>
    <s v="AI"/>
    <s v="Require I/O DI= 0,DO=0,AI=1,AO=0,Bus=0"/>
    <x v="4"/>
    <x v="5"/>
    <n v="11"/>
    <m/>
    <n v="0"/>
    <n v="0"/>
    <n v="1"/>
    <n v="0"/>
    <n v="0"/>
    <m/>
    <s v="4 - 20 mA"/>
    <m/>
  </r>
  <r>
    <s v="=CA1+MCP-M4"/>
    <m/>
    <m/>
    <x v="2"/>
    <s v="Packing Tower 2th Floor"/>
    <x v="3"/>
    <m/>
    <s v="Packing Tower"/>
    <s v="PT-61309"/>
    <m/>
    <m/>
    <s v="Pressure Transmitter"/>
    <s v="1st"/>
    <s v="325-01-613-PD-04"/>
    <s v="3-25-01-613-PD-04"/>
    <s v="Pressure transmitter"/>
    <s v="Require I/O DI= 0,DO=0,AI=1,AO=0,Bus=0"/>
    <s v="PT-61309_AI_1"/>
    <x v="3"/>
    <n v="3"/>
    <n v="1"/>
    <s v="C4S05AI"/>
    <s v="C4S05AI12"/>
    <s v="C4S05,12"/>
    <s v="AI"/>
    <s v="Require I/O DI= 0,DO=0,AI=1,AO=0,Bus=0"/>
    <x v="4"/>
    <x v="5"/>
    <n v="12"/>
    <m/>
    <n v="0"/>
    <n v="0"/>
    <n v="1"/>
    <n v="0"/>
    <n v="0"/>
    <m/>
    <s v="4 - 20 mA"/>
    <m/>
  </r>
  <r>
    <s v="=CA1+MCP-M4"/>
    <m/>
    <m/>
    <x v="2"/>
    <s v="Packing Tower 2th Floor"/>
    <x v="3"/>
    <m/>
    <s v="Packing Tower"/>
    <s v="PVM-61301"/>
    <m/>
    <m/>
    <e v="#N/A"/>
    <s v="2nd"/>
    <s v="325-01-613-PD-03"/>
    <s v="-"/>
    <e v="#N/A"/>
    <s v="Require I/O DI= 2,DO=2,AI=0,AO=0,Bus=0"/>
    <s v="PVM-61301_DI_1"/>
    <x v="0"/>
    <n v="1"/>
    <n v="1"/>
    <s v="C4S02DI"/>
    <s v="C4S02DI02"/>
    <s v="C4S02,02"/>
    <s v="DI"/>
    <s v="Require I/O DI= 2,DO=2,AI=0,AO=0,Bus=0"/>
    <x v="4"/>
    <x v="0"/>
    <n v="2"/>
    <m/>
    <n v="2"/>
    <n v="2"/>
    <n v="0"/>
    <n v="0"/>
    <n v="0"/>
    <m/>
    <e v="#N/A"/>
    <m/>
  </r>
  <r>
    <s v="=CA1+MCP-M4"/>
    <m/>
    <m/>
    <x v="2"/>
    <s v="Packing Tower 2th Floor"/>
    <x v="3"/>
    <m/>
    <s v="Packing Tower"/>
    <s v="PVM-61301"/>
    <m/>
    <m/>
    <e v="#N/A"/>
    <s v="2nd"/>
    <s v="325-01-613-PD-03"/>
    <s v="-"/>
    <e v="#N/A"/>
    <s v="Require I/O DI= 2,DO=2,AI=0,AO=0,Bus=0"/>
    <s v="PVM-61301_DI_2"/>
    <x v="0"/>
    <n v="1"/>
    <n v="2"/>
    <s v="C4S02DI"/>
    <s v="C4S02DI03"/>
    <s v="C4S02,03"/>
    <s v="DI"/>
    <s v="Require I/O DI= 2,DO=2,AI=0,AO=0,Bus=0"/>
    <x v="4"/>
    <x v="0"/>
    <n v="3"/>
    <m/>
    <n v="2"/>
    <n v="2"/>
    <n v="0"/>
    <n v="0"/>
    <n v="0"/>
    <m/>
    <e v="#N/A"/>
    <m/>
  </r>
  <r>
    <s v="=CA1+MCP-M4"/>
    <m/>
    <m/>
    <x v="2"/>
    <s v="Packing Tower 2th Floor"/>
    <x v="3"/>
    <m/>
    <s v="Packing Tower"/>
    <s v="PVM-61301"/>
    <m/>
    <m/>
    <e v="#N/A"/>
    <s v="2nd"/>
    <s v="325-01-613-PD-03"/>
    <s v="-"/>
    <e v="#N/A"/>
    <s v="Require I/O DI= 2,DO=2,AI=0,AO=0,Bus=0"/>
    <s v="PVM-61301_DO_1"/>
    <x v="1"/>
    <n v="2"/>
    <n v="1"/>
    <s v="C4S04DO"/>
    <s v="C4S04DO04"/>
    <s v="C4S04,04"/>
    <s v="DO"/>
    <s v="Require I/O DI= 2,DO=2,AI=0,AO=0,Bus=0"/>
    <x v="4"/>
    <x v="6"/>
    <n v="4"/>
    <m/>
    <n v="2"/>
    <n v="2"/>
    <n v="0"/>
    <n v="0"/>
    <n v="0"/>
    <m/>
    <e v="#N/A"/>
    <m/>
  </r>
  <r>
    <s v="=CA1+MCP-M4"/>
    <m/>
    <m/>
    <x v="2"/>
    <s v="Packing Tower 2th Floor"/>
    <x v="3"/>
    <m/>
    <s v="Packing Tower"/>
    <s v="PVM-61301"/>
    <m/>
    <m/>
    <e v="#N/A"/>
    <s v="2nd"/>
    <s v="325-01-613-PD-03"/>
    <s v="-"/>
    <e v="#N/A"/>
    <s v="Require I/O DI= 2,DO=2,AI=0,AO=0,Bus=0"/>
    <s v="PVM-61301_DO_2"/>
    <x v="1"/>
    <n v="2"/>
    <n v="2"/>
    <s v="C4S04DO"/>
    <s v="C4S04DO05"/>
    <s v="C4S04,05"/>
    <s v="DO"/>
    <s v="Require I/O DI= 2,DO=2,AI=0,AO=0,Bus=0"/>
    <x v="4"/>
    <x v="6"/>
    <n v="5"/>
    <m/>
    <n v="2"/>
    <n v="2"/>
    <n v="0"/>
    <n v="0"/>
    <n v="0"/>
    <m/>
    <e v="#N/A"/>
    <m/>
  </r>
  <r>
    <s v="=CA1+MCP-M4"/>
    <m/>
    <m/>
    <x v="2"/>
    <s v="Packing Tower 2th Floor"/>
    <x v="3"/>
    <m/>
    <s v="Packing Tower"/>
    <s v="Spare "/>
    <m/>
    <m/>
    <e v="#N/A"/>
    <s v="1st"/>
    <s v="325-01-613-PD-02"/>
    <s v="-"/>
    <e v="#N/A"/>
    <s v="Require I/O DI= 0,DO=0,AI=0,AO=0,Bus=0"/>
    <s v="Spare _DI_1"/>
    <x v="0"/>
    <n v="1"/>
    <n v="1"/>
    <s v="C4S02DI"/>
    <s v="C4S02DI13"/>
    <s v="C4S02,13"/>
    <s v="DI"/>
    <s v="Require I/O DI= 0,DO=0,AI=0,AO=0,Bus=0"/>
    <x v="4"/>
    <x v="0"/>
    <n v="13"/>
    <m/>
    <n v="0"/>
    <n v="0"/>
    <n v="0"/>
    <n v="0"/>
    <n v="0"/>
    <m/>
    <e v="#N/A"/>
    <m/>
  </r>
  <r>
    <s v="=CA1+MCP-M4"/>
    <m/>
    <m/>
    <x v="2"/>
    <s v="Packing Tower 2th Floor"/>
    <x v="3"/>
    <m/>
    <s v="Packing Tower"/>
    <s v="Spare "/>
    <m/>
    <m/>
    <e v="#N/A"/>
    <s v="1st"/>
    <s v="325-01-613-PD-02"/>
    <s v="-"/>
    <e v="#N/A"/>
    <s v="Require I/O DI= 0,DO=0,AI=0,AO=0,Bus=0"/>
    <s v="Spare _DO_1"/>
    <x v="1"/>
    <n v="2"/>
    <n v="1"/>
    <s v="C4S04DO"/>
    <s v="C4S04DO15"/>
    <s v="C4S04,15"/>
    <s v="DO"/>
    <s v="Require I/O DI= 0,DO=0,AI=0,AO=0,Bus=0"/>
    <x v="4"/>
    <x v="6"/>
    <n v="15"/>
    <m/>
    <n v="0"/>
    <n v="0"/>
    <n v="0"/>
    <n v="0"/>
    <n v="0"/>
    <m/>
    <e v="#N/A"/>
    <m/>
  </r>
  <r>
    <s v="=CA1+MCP-M4"/>
    <m/>
    <m/>
    <x v="2"/>
    <s v="Packing Tower 2th Floor"/>
    <x v="3"/>
    <m/>
    <s v="Packing Tower"/>
    <s v="Spare "/>
    <m/>
    <m/>
    <e v="#N/A"/>
    <s v="1st"/>
    <s v="325-01-613-PD-02"/>
    <s v="-"/>
    <e v="#N/A"/>
    <s v="Require I/O DI= 0,DO=0,AI=0,AO=0,Bus=0"/>
    <s v="Spare _DO_1"/>
    <x v="1"/>
    <n v="2"/>
    <n v="1"/>
    <s v="C4S04DO"/>
    <s v="C4S04DO16"/>
    <s v="C4S04,16"/>
    <s v="DO"/>
    <s v="Require I/O DI= 0,DO=0,AI=0,AO=0,Bus=0"/>
    <x v="4"/>
    <x v="6"/>
    <n v="16"/>
    <m/>
    <n v="0"/>
    <n v="0"/>
    <n v="0"/>
    <n v="0"/>
    <n v="0"/>
    <m/>
    <e v="#N/A"/>
    <m/>
  </r>
  <r>
    <s v="=CA1+MCP-M4"/>
    <m/>
    <m/>
    <x v="2"/>
    <s v="Packing Tower 2th Floor"/>
    <x v="3"/>
    <m/>
    <s v="Packing Tower"/>
    <s v="SV-61307"/>
    <m/>
    <m/>
    <e v="#N/A"/>
    <s v="3rd"/>
    <s v="-"/>
    <s v="3-25-01-613-PD-01"/>
    <e v="#N/A"/>
    <s v="Require I/O DI= 0,DO=1,AI=0,AO=0,Bus=0"/>
    <s v="SV-61307_DO_1"/>
    <x v="1"/>
    <n v="2"/>
    <n v="1"/>
    <s v="C4S04DO"/>
    <s v="C4S04DO17"/>
    <s v="C4S04,17"/>
    <s v="DO"/>
    <s v="Require I/O DI= 0,DO=1,AI=0,AO=0,Bus=0"/>
    <x v="4"/>
    <x v="6"/>
    <n v="17"/>
    <m/>
    <n v="0"/>
    <n v="1"/>
    <n v="0"/>
    <n v="0"/>
    <n v="0"/>
    <m/>
    <e v="#N/A"/>
    <m/>
  </r>
  <r>
    <s v="=CA1+MCP-M4"/>
    <m/>
    <m/>
    <x v="2"/>
    <s v="Packing Tower 2th Floor"/>
    <x v="3"/>
    <m/>
    <s v="Packing Tower"/>
    <s v="SV-61308"/>
    <m/>
    <m/>
    <n v="0"/>
    <s v="2nd"/>
    <s v="325-01-613-PD-03"/>
    <s v="-"/>
    <s v="Timer compress air pluse solenoid valve"/>
    <s v="Require I/O DI= 0,DO=1,AI=0,AO=0,Bus=0"/>
    <s v="SV-61308_DO_1"/>
    <x v="1"/>
    <n v="2"/>
    <n v="1"/>
    <s v="C4S04DO"/>
    <s v="C4S04DO18"/>
    <s v="C4S04,18"/>
    <s v="DO"/>
    <s v="Require I/O DI= 0,DO=1,AI=0,AO=0,Bus=0"/>
    <x v="4"/>
    <x v="6"/>
    <n v="18"/>
    <m/>
    <n v="0"/>
    <n v="1"/>
    <n v="0"/>
    <n v="0"/>
    <n v="0"/>
    <m/>
    <s v="24 VDC energized"/>
    <m/>
  </r>
  <r>
    <s v="=CA1+MCP-M4"/>
    <m/>
    <m/>
    <x v="2"/>
    <s v="Packing Tower 2th Floor"/>
    <x v="3"/>
    <m/>
    <s v="Packing Tower"/>
    <s v="SV-61309"/>
    <m/>
    <m/>
    <n v="0"/>
    <s v="2nd"/>
    <s v="325-01-613-PD-03"/>
    <s v="3-25-01-613-PD-03"/>
    <s v="Air service"/>
    <s v="Require I/O DI= 0,DO=1,AI=0,AO=0,Bus=0"/>
    <s v="SV-61309_DO_1"/>
    <x v="1"/>
    <n v="2"/>
    <n v="1"/>
    <s v="C4S04DO"/>
    <s v="C4S04DO19"/>
    <s v="C4S04,19"/>
    <s v="DO"/>
    <s v="Require I/O DI= 0,DO=1,AI=0,AO=0,Bus=0"/>
    <x v="4"/>
    <x v="6"/>
    <n v="19"/>
    <m/>
    <n v="0"/>
    <n v="1"/>
    <n v="0"/>
    <n v="0"/>
    <n v="0"/>
    <m/>
    <s v="24 VDC energized"/>
    <m/>
  </r>
  <r>
    <s v="=CA1+MCP-M4"/>
    <m/>
    <m/>
    <x v="2"/>
    <s v="Packing Tower 2th Floor"/>
    <x v="3"/>
    <m/>
    <s v="Packing Tower"/>
    <s v="SV-61310"/>
    <m/>
    <m/>
    <n v="0"/>
    <s v="2nd"/>
    <s v="325-01-613-PD-05"/>
    <s v="-"/>
    <s v="Timer compress air pluse solenoid valve"/>
    <s v="Require I/O DI= 0,DO=1,AI=0,AO=0,Bus=0"/>
    <s v="SV-61310_DO_1"/>
    <x v="1"/>
    <n v="2"/>
    <n v="1"/>
    <s v="C4S04DO"/>
    <s v="C4S04DO20"/>
    <s v="C4S04,20"/>
    <s v="DO"/>
    <s v="Require I/O DI= 0,DO=1,AI=0,AO=0,Bus=0"/>
    <x v="4"/>
    <x v="6"/>
    <n v="20"/>
    <m/>
    <n v="0"/>
    <n v="1"/>
    <n v="0"/>
    <n v="0"/>
    <n v="0"/>
    <m/>
    <s v="24 VDC energized"/>
    <m/>
  </r>
  <r>
    <s v="=CA1+MCP-M4"/>
    <m/>
    <m/>
    <x v="2"/>
    <s v="Packing Tower 2th Floor"/>
    <x v="3"/>
    <m/>
    <s v="Packing Tower"/>
    <s v="SV-61311"/>
    <m/>
    <m/>
    <n v="0"/>
    <s v="1st"/>
    <s v="325-01-613-PD-05"/>
    <s v="3-25-01-613-PD-05"/>
    <s v="Air service"/>
    <s v="Require I/O DI= 0,DO=1,AI=0,AO=0,Bus=0"/>
    <s v="SV-61311_DO_1"/>
    <x v="1"/>
    <n v="2"/>
    <n v="1"/>
    <s v="C4S04DO"/>
    <s v="C4S04DO21"/>
    <s v="C4S04,21"/>
    <s v="DO"/>
    <s v="Require I/O DI= 0,DO=1,AI=0,AO=0,Bus=0"/>
    <x v="4"/>
    <x v="6"/>
    <n v="21"/>
    <m/>
    <n v="0"/>
    <n v="1"/>
    <n v="0"/>
    <n v="0"/>
    <n v="0"/>
    <m/>
    <s v="24 VDC energized"/>
    <m/>
  </r>
  <r>
    <s v="=CA1+MCP-M4"/>
    <m/>
    <m/>
    <x v="2"/>
    <s v="Packing Tower 2th Floor"/>
    <x v="3"/>
    <m/>
    <s v="Packing Tower"/>
    <s v="XA-61301A"/>
    <m/>
    <m/>
    <n v="0"/>
    <s v="1st"/>
    <s v="325-01-613-PD-02"/>
    <s v="-"/>
    <s v="Request filter plant "/>
    <s v="Require I/O DI= 1,DO=0,AI=0,AO=0,Bus=0"/>
    <s v="XA-61301A_DI_1"/>
    <x v="0"/>
    <n v="1"/>
    <n v="1"/>
    <s v="C4S02DI"/>
    <s v="C4S02DI14"/>
    <s v="C4S02,14"/>
    <s v="DI"/>
    <s v="Require I/O DI= 1,DO=0,AI=0,AO=0,Bus=0"/>
    <x v="4"/>
    <x v="0"/>
    <n v="14"/>
    <m/>
    <n v="1"/>
    <n v="0"/>
    <n v="0"/>
    <n v="0"/>
    <n v="0"/>
    <m/>
    <s v="Dry Contact"/>
    <m/>
  </r>
  <r>
    <s v="=CA1+MCP-M4"/>
    <m/>
    <m/>
    <x v="2"/>
    <s v="Packing Tower 2th Floor"/>
    <x v="3"/>
    <m/>
    <s v="Packing Tower"/>
    <s v="XA-61301B"/>
    <m/>
    <m/>
    <n v="0"/>
    <s v="1st"/>
    <s v="325-01-613-PD-02"/>
    <s v="-"/>
    <s v="Request material transport"/>
    <s v="Require I/O DI= 1,DO=0,AI=0,AO=0,Bus=0"/>
    <s v="XA-61301B_DI_1"/>
    <x v="0"/>
    <n v="1"/>
    <n v="1"/>
    <s v="C4S02DI"/>
    <s v="C4S02DI15"/>
    <s v="C4S02,15"/>
    <s v="DI"/>
    <s v="Require I/O DI= 1,DO=0,AI=0,AO=0,Bus=0"/>
    <x v="4"/>
    <x v="0"/>
    <n v="15"/>
    <m/>
    <n v="1"/>
    <n v="0"/>
    <n v="0"/>
    <n v="0"/>
    <n v="0"/>
    <m/>
    <s v="Dry Contact"/>
    <m/>
  </r>
  <r>
    <s v="=CA1+MCP-M4"/>
    <m/>
    <m/>
    <x v="2"/>
    <s v="Packing Tower 2th Floor"/>
    <x v="3"/>
    <m/>
    <s v="Packing Tower"/>
    <s v="XA-61301C"/>
    <m/>
    <m/>
    <n v="0"/>
    <s v="1st"/>
    <s v="325-01-613-PD-02"/>
    <s v="-"/>
    <s v="Request belt plant "/>
    <s v="Require I/O DI= 1,DO=0,AI=0,AO=0,Bus=0"/>
    <s v="XA-61301C_DI_1"/>
    <x v="0"/>
    <n v="1"/>
    <n v="1"/>
    <s v="C4S02DI"/>
    <s v="C4S02DI16"/>
    <s v="C4S02,16"/>
    <s v="DI"/>
    <s v="Require I/O DI= 1,DO=0,AI=0,AO=0,Bus=0"/>
    <x v="4"/>
    <x v="0"/>
    <n v="16"/>
    <m/>
    <n v="1"/>
    <n v="0"/>
    <n v="0"/>
    <n v="0"/>
    <n v="0"/>
    <m/>
    <s v="Dry Contact"/>
    <m/>
  </r>
  <r>
    <s v="=CA1+MCP-M4"/>
    <m/>
    <m/>
    <x v="2"/>
    <s v="Packing Tower 2th Floor"/>
    <x v="3"/>
    <m/>
    <s v="Packing Tower"/>
    <s v="XA-61301D"/>
    <m/>
    <m/>
    <n v="0"/>
    <s v="1st"/>
    <s v="325-01-613-PD-02"/>
    <s v="-"/>
    <s v="Machine in operation"/>
    <s v="Require I/O DI= 1,DO=0,AI=0,AO=0,Bus=0"/>
    <s v="XA-61301D_DI_1"/>
    <x v="0"/>
    <n v="1"/>
    <n v="1"/>
    <s v="C4S02DI"/>
    <s v="C4S02DI17"/>
    <s v="C4S02,17"/>
    <s v="DI"/>
    <s v="Require I/O DI= 1,DO=0,AI=0,AO=0,Bus=0"/>
    <x v="4"/>
    <x v="0"/>
    <n v="17"/>
    <m/>
    <n v="1"/>
    <n v="0"/>
    <n v="0"/>
    <n v="0"/>
    <n v="0"/>
    <m/>
    <s v="Dry Contact"/>
    <m/>
  </r>
  <r>
    <s v="=CA1+MCP-M4"/>
    <m/>
    <m/>
    <x v="2"/>
    <s v="Packing Tower 2th Floor"/>
    <x v="3"/>
    <m/>
    <s v="Packing Tower"/>
    <s v="XA-61301E"/>
    <m/>
    <m/>
    <n v="0"/>
    <s v="1st"/>
    <s v="325-01-613-PD-02"/>
    <s v="-"/>
    <s v="General Fault "/>
    <s v="Require I/O DI= 1,DO=0,AI=0,AO=0,Bus=0"/>
    <s v="XA-61301E_DI_1"/>
    <x v="0"/>
    <n v="1"/>
    <n v="1"/>
    <s v="C4S02DI"/>
    <s v="C4S02DI18"/>
    <s v="C4S02,18"/>
    <s v="DI"/>
    <s v="Require I/O DI= 1,DO=0,AI=0,AO=0,Bus=0"/>
    <x v="4"/>
    <x v="0"/>
    <n v="18"/>
    <m/>
    <n v="1"/>
    <n v="0"/>
    <n v="0"/>
    <n v="0"/>
    <n v="0"/>
    <m/>
    <s v="Dry Contact"/>
    <m/>
  </r>
  <r>
    <s v="=CA1+MCP-M4"/>
    <m/>
    <m/>
    <x v="2"/>
    <s v="Packing Tower 2th Floor"/>
    <x v="3"/>
    <m/>
    <s v="Packing Tower"/>
    <s v="XA-61301F"/>
    <m/>
    <m/>
    <n v="0"/>
    <s v="1st"/>
    <s v="325-01-613-PD-02"/>
    <s v="-"/>
    <s v="Machine is ready "/>
    <s v="Require I/O DI= 1,DO=0,AI=0,AO=0,Bus=0"/>
    <s v="XA-61301F_DI_1"/>
    <x v="0"/>
    <n v="1"/>
    <n v="1"/>
    <s v="C4S02DI"/>
    <s v="C4S02DI19"/>
    <s v="C4S02,19"/>
    <s v="DI"/>
    <s v="Require I/O DI= 1,DO=0,AI=0,AO=0,Bus=0"/>
    <x v="4"/>
    <x v="0"/>
    <n v="19"/>
    <m/>
    <n v="1"/>
    <n v="0"/>
    <n v="0"/>
    <n v="0"/>
    <n v="0"/>
    <m/>
    <s v="Dry Contact"/>
    <m/>
  </r>
  <r>
    <s v="=CA1+MCP-M4"/>
    <m/>
    <m/>
    <x v="2"/>
    <s v="Packing Tower 2th Floor"/>
    <x v="3"/>
    <m/>
    <s v="Packing Tower"/>
    <s v="XA-61301G"/>
    <m/>
    <m/>
    <n v="0"/>
    <s v="1st"/>
    <s v="325-01-613-PD-02"/>
    <s v="-"/>
    <s v="Emergency stop activated"/>
    <s v="Require I/O DI= 1,DO=0,AI=0,AO=0,Bus=0"/>
    <s v="XA-61301G_DI_1"/>
    <x v="0"/>
    <n v="1"/>
    <n v="1"/>
    <s v="C4S02DI"/>
    <s v="C4S02DI20"/>
    <s v="C4S02,20"/>
    <s v="DI"/>
    <s v="Require I/O DI= 1,DO=0,AI=0,AO=0,Bus=0"/>
    <x v="4"/>
    <x v="0"/>
    <n v="20"/>
    <m/>
    <n v="1"/>
    <n v="0"/>
    <n v="0"/>
    <n v="0"/>
    <n v="0"/>
    <m/>
    <s v="Dry Contact"/>
    <m/>
  </r>
  <r>
    <s v="=CA1+MCP-M4"/>
    <m/>
    <m/>
    <x v="2"/>
    <s v="Packing Tower 2th Floor"/>
    <x v="3"/>
    <m/>
    <s v="Packing Tower"/>
    <s v="XA-61301H"/>
    <m/>
    <m/>
    <n v="0"/>
    <s v="1st"/>
    <s v="325-01-613-PD-02"/>
    <s v="-"/>
    <s v="Silo minimum"/>
    <s v="Require I/O DI= 1,DO=0,AI=0,AO=0,Bus=0"/>
    <s v="XA-61301H_DI_1"/>
    <x v="0"/>
    <n v="1"/>
    <n v="1"/>
    <s v="C4S02DI"/>
    <s v="C4S02DI21"/>
    <s v="C4S02,21"/>
    <s v="DI"/>
    <s v="Require I/O DI= 1,DO=0,AI=0,AO=0,Bus=0"/>
    <x v="4"/>
    <x v="0"/>
    <n v="21"/>
    <m/>
    <n v="1"/>
    <n v="0"/>
    <n v="0"/>
    <n v="0"/>
    <n v="0"/>
    <m/>
    <s v="Dry Contact"/>
    <m/>
  </r>
  <r>
    <s v="=CA1+MCP-M4"/>
    <m/>
    <m/>
    <x v="2"/>
    <s v="Packing Tower 2th Floor"/>
    <x v="3"/>
    <m/>
    <s v="Packing Tower"/>
    <s v="XA-61301J"/>
    <m/>
    <m/>
    <n v="0"/>
    <s v="1st"/>
    <s v="325-01-613-PD-02"/>
    <s v="-"/>
    <s v="Silo maximum "/>
    <s v="Require I/O DI= 1,DO=0,AI=0,AO=0,Bus=0"/>
    <s v="XA-61301J_DI_1"/>
    <x v="0"/>
    <n v="1"/>
    <n v="1"/>
    <s v="C4S02DI"/>
    <s v="C4S02DI22"/>
    <s v="C4S02,22"/>
    <s v="DI"/>
    <s v="Require I/O DI= 1,DO=0,AI=0,AO=0,Bus=0"/>
    <x v="4"/>
    <x v="0"/>
    <n v="22"/>
    <m/>
    <n v="1"/>
    <n v="0"/>
    <n v="0"/>
    <n v="0"/>
    <n v="0"/>
    <m/>
    <s v="Dry Contact"/>
    <m/>
  </r>
  <r>
    <s v="=CA1+MCP-M4"/>
    <m/>
    <m/>
    <x v="2"/>
    <s v="Packing Tower 2th Floor"/>
    <x v="3"/>
    <m/>
    <s v="Packing Tower"/>
    <s v="XS-61301A"/>
    <m/>
    <m/>
    <n v="0"/>
    <s v="1st"/>
    <s v="325-01-613-PD-02"/>
    <s v="-"/>
    <s v="Filter plant in operation "/>
    <s v="Require I/O DI= 0,DO=1,AI=0,AO=0,Bus=0"/>
    <s v="XS-61301A_DO_1"/>
    <x v="1"/>
    <n v="2"/>
    <n v="1"/>
    <s v="C4S04DO"/>
    <s v="C4S04DO22"/>
    <s v="C4S04,22"/>
    <s v="DO"/>
    <s v="Require I/O DI= 0,DO=1,AI=0,AO=0,Bus=0"/>
    <x v="4"/>
    <x v="6"/>
    <n v="22"/>
    <m/>
    <n v="0"/>
    <n v="1"/>
    <n v="0"/>
    <n v="0"/>
    <n v="0"/>
    <m/>
    <s v="24 VDC energized"/>
    <m/>
  </r>
  <r>
    <s v="=CA1+MCP-M4"/>
    <m/>
    <m/>
    <x v="2"/>
    <s v="Packing Tower 2th Floor"/>
    <x v="3"/>
    <m/>
    <s v="Packing Tower"/>
    <s v="XS-61301B"/>
    <m/>
    <m/>
    <n v="0"/>
    <s v="1st"/>
    <s v="325-01-613-PD-02"/>
    <s v="-"/>
    <s v="Material transport in operation "/>
    <s v="Require I/O DI= 0,DO=1,AI=0,AO=0,Bus=0"/>
    <s v="XS-61301B_DO_1"/>
    <x v="1"/>
    <n v="2"/>
    <n v="1"/>
    <s v="C4S04DO"/>
    <s v="C4S04DO23"/>
    <s v="C4S04,23"/>
    <s v="DO"/>
    <s v="Require I/O DI= 0,DO=1,AI=0,AO=0,Bus=0"/>
    <x v="4"/>
    <x v="6"/>
    <n v="23"/>
    <m/>
    <n v="0"/>
    <n v="1"/>
    <n v="0"/>
    <n v="0"/>
    <n v="0"/>
    <m/>
    <s v="24 VDC energized"/>
    <m/>
  </r>
  <r>
    <s v="=CA1+MCP-M4"/>
    <m/>
    <m/>
    <x v="2"/>
    <s v="Packing Tower 2th Floor"/>
    <x v="3"/>
    <m/>
    <s v="Packing Tower"/>
    <s v="XS-61301C"/>
    <m/>
    <m/>
    <n v="0"/>
    <s v="1st"/>
    <s v="325-01-613-PD-02"/>
    <s v="-"/>
    <s v="Belt plant in operation "/>
    <s v="Require I/O DI= 0,DO=1,AI=0,AO=0,Bus=0"/>
    <s v="XS-61301C_DO_1"/>
    <x v="1"/>
    <n v="2"/>
    <n v="1"/>
    <s v="C4S04DO"/>
    <s v="C4S04DO24"/>
    <s v="C4S04,24"/>
    <s v="DO"/>
    <s v="Require I/O DI= 0,DO=1,AI=0,AO=0,Bus=0"/>
    <x v="4"/>
    <x v="6"/>
    <n v="24"/>
    <m/>
    <n v="0"/>
    <n v="1"/>
    <n v="0"/>
    <n v="0"/>
    <n v="0"/>
    <m/>
    <s v="24 VDC energized"/>
    <m/>
  </r>
  <r>
    <s v="=CA1+MCP-M4"/>
    <m/>
    <m/>
    <x v="2"/>
    <s v="Packing Tower 2th Floor"/>
    <x v="3"/>
    <m/>
    <s v="Packing Tower"/>
    <s v="XS-61301D"/>
    <m/>
    <m/>
    <n v="0"/>
    <s v="1st"/>
    <s v="325-01-613-PD-02"/>
    <s v="-"/>
    <s v="Sequence Stop"/>
    <s v="Require I/O DI= 0,DO=1,AI=0,AO=0,Bus=0"/>
    <s v="XS-61301D_DO_1"/>
    <x v="1"/>
    <n v="2"/>
    <n v="1"/>
    <s v="C4S04DO"/>
    <s v="C4S04DO25"/>
    <s v="C4S04,25"/>
    <s v="DO"/>
    <s v="Require I/O DI= 0,DO=1,AI=0,AO=0,Bus=0"/>
    <x v="4"/>
    <x v="6"/>
    <n v="25"/>
    <m/>
    <n v="0"/>
    <n v="1"/>
    <n v="0"/>
    <n v="0"/>
    <n v="0"/>
    <m/>
    <s v="24 VDC energized"/>
    <m/>
  </r>
  <r>
    <s v="=CA1+MCP-M4"/>
    <m/>
    <m/>
    <x v="2"/>
    <s v="Packing Tower 2th Floor"/>
    <x v="3"/>
    <m/>
    <s v="Packing Tower"/>
    <s v="XS-61301E"/>
    <m/>
    <m/>
    <n v="0"/>
    <s v="1st"/>
    <s v="325-01-613-PD-02"/>
    <s v="-"/>
    <s v="Status from Customer Emergency stop "/>
    <s v="Require I/O DI= 0,DO=1,AI=0,AO=0,Bus=0"/>
    <s v="XS-61301E_DO_1"/>
    <x v="1"/>
    <n v="2"/>
    <n v="1"/>
    <s v="C4S04DO"/>
    <s v="C4S04DO26"/>
    <s v="C4S04,26"/>
    <s v="DO"/>
    <s v="Require I/O DI= 0,DO=1,AI=0,AO=0,Bus=0"/>
    <x v="4"/>
    <x v="6"/>
    <n v="26"/>
    <m/>
    <n v="0"/>
    <n v="1"/>
    <n v="0"/>
    <n v="0"/>
    <n v="0"/>
    <m/>
    <s v="24 VDC energized"/>
    <m/>
  </r>
  <r>
    <s v="=CA1+MCP-M4"/>
    <m/>
    <m/>
    <x v="2"/>
    <s v="Packing Tower 2th Floor"/>
    <x v="3"/>
    <m/>
    <s v="Packing Tower"/>
    <s v="XS-61301F"/>
    <m/>
    <m/>
    <n v="0"/>
    <s v="1st"/>
    <s v="325-01-613-PD-02"/>
    <s v="-"/>
    <s v="Operation Release "/>
    <s v="Require I/O DI= 0,DO=1,AI=0,AO=0,Bus=0"/>
    <s v="XS-61301F_DO_1"/>
    <x v="1"/>
    <n v="2"/>
    <n v="1"/>
    <s v="C4S04DO"/>
    <s v="C4S04DO27"/>
    <s v="C4S04,27"/>
    <s v="DO"/>
    <s v="Require I/O DI= 0,DO=1,AI=0,AO=0,Bus=0"/>
    <x v="4"/>
    <x v="6"/>
    <n v="27"/>
    <m/>
    <n v="0"/>
    <n v="1"/>
    <n v="0"/>
    <n v="0"/>
    <n v="0"/>
    <m/>
    <s v="24 VDC energized"/>
    <m/>
  </r>
  <r>
    <s v="=CA1+MCP-M4"/>
    <m/>
    <m/>
    <x v="2"/>
    <s v="Packing Tower 2th Floor"/>
    <x v="3"/>
    <m/>
    <s v="Packing Tower"/>
    <s v="XV-61302"/>
    <n v="1"/>
    <m/>
    <n v="0"/>
    <s v="2nd"/>
    <s v="325-01-613-PD-02"/>
    <s v="3-25-01-613-PD-02"/>
    <s v="Dust collector feed vent"/>
    <s v="Require I/O DI= 2,DO=1,AI=0,AO=0,Bus=0"/>
    <s v="XV-61302_DI_1"/>
    <x v="0"/>
    <n v="1"/>
    <n v="1"/>
    <s v="C4S02DI"/>
    <s v="C4S02DI23"/>
    <s v="C4S02,23"/>
    <s v="DI"/>
    <s v="Require I/O DI= 2,DO=1,AI=0,AO=0,Bus=0"/>
    <x v="4"/>
    <x v="0"/>
    <n v="23"/>
    <m/>
    <n v="2"/>
    <n v="1"/>
    <n v="0"/>
    <n v="0"/>
    <n v="0"/>
    <m/>
    <s v="24 VDC energized"/>
    <m/>
  </r>
  <r>
    <s v="=CA1+MCP-M4"/>
    <m/>
    <m/>
    <x v="2"/>
    <s v="Packing Tower 2th Floor"/>
    <x v="3"/>
    <m/>
    <s v="Packing Tower"/>
    <s v="XV-61302"/>
    <n v="1"/>
    <m/>
    <n v="0"/>
    <s v="2nd"/>
    <s v="325-01-613-PD-02"/>
    <s v="3-25-01-613-PD-02"/>
    <s v="Dust collector feed vent"/>
    <s v="Require I/O DI= 2,DO=1,AI=0,AO=0,Bus=0"/>
    <s v="XV-61302_DI_2"/>
    <x v="0"/>
    <n v="1"/>
    <n v="2"/>
    <s v="C4S02DI"/>
    <s v="C4S02DI24"/>
    <s v="C4S02,24"/>
    <s v="DI"/>
    <s v="Require I/O DI= 2,DO=1,AI=0,AO=0,Bus=0"/>
    <x v="4"/>
    <x v="0"/>
    <n v="24"/>
    <m/>
    <n v="2"/>
    <n v="1"/>
    <n v="0"/>
    <n v="0"/>
    <n v="0"/>
    <m/>
    <s v="24 VDC energized"/>
    <m/>
  </r>
  <r>
    <s v="=CA1+MCP-M4"/>
    <m/>
    <m/>
    <x v="2"/>
    <s v="Packing Tower 2th Floor"/>
    <x v="3"/>
    <m/>
    <s v="Packing Tower"/>
    <s v="XV-61302"/>
    <n v="1"/>
    <m/>
    <n v="0"/>
    <s v="2nd"/>
    <s v="325-01-613-PD-02"/>
    <s v="3-25-01-613-PD-02"/>
    <s v="Dust collector feed vent"/>
    <s v="Require I/O DI= 2,DO=1,AI=0,AO=0,Bus=0"/>
    <s v="XV-61302_DO_1"/>
    <x v="1"/>
    <n v="2"/>
    <n v="1"/>
    <s v="C4S04DO"/>
    <s v="C4S04DO28"/>
    <s v="C4S04,28"/>
    <s v="DO"/>
    <s v="Require I/O DI= 2,DO=1,AI=0,AO=0,Bus=0"/>
    <x v="4"/>
    <x v="6"/>
    <n v="28"/>
    <m/>
    <n v="2"/>
    <n v="1"/>
    <n v="0"/>
    <n v="0"/>
    <n v="0"/>
    <m/>
    <s v="24 VDC energized"/>
    <m/>
  </r>
  <r>
    <s v="=CA1+MCP-M4"/>
    <m/>
    <m/>
    <x v="2"/>
    <s v="Packing Tower 2th Floor"/>
    <x v="3"/>
    <m/>
    <s v="Packing Tower"/>
    <s v="XV-61303"/>
    <n v="1"/>
    <m/>
    <n v="0"/>
    <s v="2nd"/>
    <s v="325-01-613-PD-02"/>
    <s v="3-25-01-613-PD-02"/>
    <s v="Dust collector feed from packer"/>
    <s v="Require I/O DI= 2,DO=1,AI=0,AO=0,Bus=0"/>
    <s v="XV-61303_DI_1"/>
    <x v="0"/>
    <n v="1"/>
    <n v="1"/>
    <s v="C4S02DI"/>
    <s v="C4S02DI25"/>
    <s v="C4S02,25"/>
    <s v="DI"/>
    <s v="Require I/O DI= 2,DO=1,AI=0,AO=0,Bus=0"/>
    <x v="4"/>
    <x v="0"/>
    <n v="25"/>
    <m/>
    <n v="2"/>
    <n v="1"/>
    <n v="0"/>
    <n v="0"/>
    <n v="0"/>
    <m/>
    <s v="24 VDC energized"/>
    <m/>
  </r>
  <r>
    <s v="=CA1+MCP-M4"/>
    <m/>
    <m/>
    <x v="2"/>
    <s v="Packing Tower 2th Floor"/>
    <x v="3"/>
    <m/>
    <s v="Packing Tower"/>
    <s v="XV-61303"/>
    <n v="1"/>
    <m/>
    <n v="0"/>
    <s v="2nd"/>
    <s v="325-01-613-PD-02"/>
    <s v="3-25-01-613-PD-02"/>
    <s v="Dust collector feed from packer"/>
    <s v="Require I/O DI= 2,DO=1,AI=0,AO=0,Bus=0"/>
    <s v="XV-61303_DI_2"/>
    <x v="0"/>
    <n v="1"/>
    <n v="2"/>
    <s v="C4S02DI"/>
    <s v="C4S02DI26"/>
    <s v="C4S02,26"/>
    <s v="DI"/>
    <s v="Require I/O DI= 2,DO=1,AI=0,AO=0,Bus=0"/>
    <x v="4"/>
    <x v="0"/>
    <n v="26"/>
    <m/>
    <n v="2"/>
    <n v="1"/>
    <n v="0"/>
    <n v="0"/>
    <n v="0"/>
    <m/>
    <s v="24 VDC energized"/>
    <m/>
  </r>
  <r>
    <s v="=CA1+MCP-M4"/>
    <m/>
    <m/>
    <x v="2"/>
    <s v="Packing Tower 2th Floor"/>
    <x v="3"/>
    <m/>
    <s v="Packing Tower"/>
    <s v="XV-61303"/>
    <n v="1"/>
    <m/>
    <n v="0"/>
    <s v="2nd"/>
    <s v="325-01-613-PD-02"/>
    <s v="3-25-01-613-PD-02"/>
    <s v="Dust collector feed from packer"/>
    <s v="Require I/O DI= 2,DO=1,AI=0,AO=0,Bus=0"/>
    <s v="XV-61303_DO_1"/>
    <x v="1"/>
    <n v="2"/>
    <n v="1"/>
    <s v="C4S04DO"/>
    <s v="C4S04DO29"/>
    <s v="C4S04,29"/>
    <s v="DO"/>
    <s v="Require I/O DI= 2,DO=1,AI=0,AO=0,Bus=0"/>
    <x v="4"/>
    <x v="6"/>
    <n v="29"/>
    <m/>
    <n v="2"/>
    <n v="1"/>
    <n v="0"/>
    <n v="0"/>
    <n v="0"/>
    <m/>
    <s v="24 VDC energized"/>
    <m/>
  </r>
  <r>
    <s v="=CA1+MCP-M4"/>
    <m/>
    <m/>
    <x v="15"/>
    <e v="#N/A"/>
    <x v="8"/>
    <m/>
    <m/>
    <n v="0"/>
    <m/>
    <m/>
    <n v="0"/>
    <m/>
    <m/>
    <m/>
    <s v="Lototo-01"/>
    <s v="Require I/O DI= 0,DO=0,AI=0,AO=0,Bus=0"/>
    <s v="0_DI_"/>
    <x v="0"/>
    <n v="1"/>
    <m/>
    <s v="C4S01DI"/>
    <s v="C4S01DI04"/>
    <s v="C4S01,04"/>
    <s v="DI"/>
    <s v="Require I/O DI= 0,DO=0,AI=0,AO=0,Bus=0"/>
    <x v="4"/>
    <x v="4"/>
    <n v="4"/>
    <m/>
    <n v="0"/>
    <n v="0"/>
    <n v="0"/>
    <n v="0"/>
    <n v="0"/>
    <m/>
    <s v="Dry Contact"/>
    <m/>
  </r>
  <r>
    <s v="=CA1+MCP-M4"/>
    <m/>
    <m/>
    <x v="15"/>
    <e v="#N/A"/>
    <x v="8"/>
    <m/>
    <m/>
    <n v="0"/>
    <m/>
    <m/>
    <n v="0"/>
    <m/>
    <m/>
    <m/>
    <s v="Lototo-01"/>
    <s v="Require I/O DI= 0,DO=0,AI=0,AO=0,Bus=0"/>
    <s v="0_DI_"/>
    <x v="0"/>
    <n v="1"/>
    <m/>
    <s v="C4S01DI"/>
    <s v="C4S01DI05"/>
    <s v="C4S01,05"/>
    <s v="DI"/>
    <s v="Require I/O DI= 0,DO=0,AI=0,AO=0,Bus=0"/>
    <x v="4"/>
    <x v="4"/>
    <n v="5"/>
    <m/>
    <n v="0"/>
    <n v="0"/>
    <n v="0"/>
    <n v="0"/>
    <n v="0"/>
    <m/>
    <s v="Dry Contact"/>
    <m/>
  </r>
  <r>
    <s v="=CA1+MCP-M4"/>
    <m/>
    <m/>
    <x v="15"/>
    <e v="#N/A"/>
    <x v="8"/>
    <m/>
    <m/>
    <n v="0"/>
    <m/>
    <m/>
    <n v="0"/>
    <m/>
    <m/>
    <m/>
    <s v="Lototo-01"/>
    <s v="Require I/O DI= 0,DO=0,AI=0,AO=0,Bus=0"/>
    <s v="0_DI_"/>
    <x v="0"/>
    <n v="1"/>
    <m/>
    <s v="C4S01DI"/>
    <s v="C4S01DI06"/>
    <s v="C4S01,06"/>
    <s v="DI"/>
    <s v="Require I/O DI= 0,DO=0,AI=0,AO=0,Bus=0"/>
    <x v="4"/>
    <x v="4"/>
    <n v="6"/>
    <m/>
    <n v="0"/>
    <n v="0"/>
    <n v="0"/>
    <n v="0"/>
    <n v="0"/>
    <m/>
    <s v="Dry Contact"/>
    <m/>
  </r>
  <r>
    <s v="=CA1+MCP-M4"/>
    <m/>
    <m/>
    <x v="15"/>
    <e v="#N/A"/>
    <x v="8"/>
    <m/>
    <m/>
    <n v="0"/>
    <m/>
    <m/>
    <n v="0"/>
    <m/>
    <m/>
    <m/>
    <s v="Lototo-01"/>
    <s v="Require I/O DI= 0,DO=0,AI=0,AO=0,Bus=0"/>
    <s v="0_DI_"/>
    <x v="0"/>
    <n v="1"/>
    <m/>
    <s v="C4S01DI"/>
    <s v="C4S01DI07"/>
    <s v="C4S01,07"/>
    <s v="DI"/>
    <s v="Require I/O DI= 0,DO=0,AI=0,AO=0,Bus=0"/>
    <x v="4"/>
    <x v="4"/>
    <n v="7"/>
    <m/>
    <n v="0"/>
    <n v="0"/>
    <n v="0"/>
    <n v="0"/>
    <n v="0"/>
    <m/>
    <s v="Dry Contact"/>
    <m/>
  </r>
  <r>
    <s v="=CA1+MCP-M4"/>
    <m/>
    <m/>
    <x v="15"/>
    <e v="#N/A"/>
    <x v="8"/>
    <m/>
    <m/>
    <n v="0"/>
    <m/>
    <m/>
    <n v="0"/>
    <m/>
    <m/>
    <m/>
    <s v="Lototo-01"/>
    <s v="Require I/O DI= 0,DO=0,AI=0,AO=0,Bus=0"/>
    <s v="0_DI_"/>
    <x v="0"/>
    <n v="1"/>
    <m/>
    <s v="C4S02DI"/>
    <s v="C4S02DI27"/>
    <s v="C4S02,27"/>
    <s v="DI"/>
    <s v="Require I/O DI= 0,DO=0,AI=0,AO=0,Bus=0"/>
    <x v="4"/>
    <x v="0"/>
    <n v="27"/>
    <m/>
    <n v="0"/>
    <n v="0"/>
    <n v="0"/>
    <n v="0"/>
    <n v="0"/>
    <m/>
    <s v="Dry Contact"/>
    <m/>
  </r>
  <r>
    <s v="=CA1+MCP-M4"/>
    <m/>
    <m/>
    <x v="15"/>
    <e v="#N/A"/>
    <x v="8"/>
    <m/>
    <m/>
    <n v="0"/>
    <m/>
    <m/>
    <n v="0"/>
    <m/>
    <m/>
    <m/>
    <s v="Lototo-01"/>
    <s v="Require I/O DI= 0,DO=0,AI=0,AO=0,Bus=0"/>
    <s v="0_DI_"/>
    <x v="0"/>
    <n v="1"/>
    <m/>
    <s v="C4S02DI"/>
    <s v="C4S02DI28"/>
    <s v="C4S02,28"/>
    <s v="DI"/>
    <s v="Require I/O DI= 0,DO=0,AI=0,AO=0,Bus=0"/>
    <x v="4"/>
    <x v="0"/>
    <n v="28"/>
    <m/>
    <n v="0"/>
    <n v="0"/>
    <n v="0"/>
    <n v="0"/>
    <n v="0"/>
    <m/>
    <s v="Dry Contact"/>
    <m/>
  </r>
  <r>
    <s v="=CA1+MCP-M4"/>
    <m/>
    <m/>
    <x v="15"/>
    <e v="#N/A"/>
    <x v="8"/>
    <m/>
    <m/>
    <n v="0"/>
    <m/>
    <m/>
    <n v="0"/>
    <m/>
    <m/>
    <m/>
    <s v="Lototo-01"/>
    <s v="Require I/O DI= 0,DO=0,AI=0,AO=0,Bus=0"/>
    <s v="0_DI_"/>
    <x v="0"/>
    <n v="1"/>
    <m/>
    <s v="C4S02DI"/>
    <s v="C4S02DI29"/>
    <s v="C4S02,29"/>
    <s v="DI"/>
    <s v="Require I/O DI= 0,DO=0,AI=0,AO=0,Bus=0"/>
    <x v="4"/>
    <x v="0"/>
    <n v="29"/>
    <m/>
    <n v="0"/>
    <n v="0"/>
    <n v="0"/>
    <n v="0"/>
    <n v="0"/>
    <m/>
    <s v="Dry Contact"/>
    <m/>
  </r>
  <r>
    <s v="=CA1+MCP-M4"/>
    <m/>
    <m/>
    <x v="15"/>
    <e v="#N/A"/>
    <x v="8"/>
    <m/>
    <m/>
    <n v="0"/>
    <m/>
    <m/>
    <n v="0"/>
    <m/>
    <m/>
    <m/>
    <s v="Lototo-01"/>
    <s v="Require I/O DI= 0,DO=0,AI=0,AO=0,Bus=0"/>
    <s v="0_DI_"/>
    <x v="0"/>
    <n v="1"/>
    <m/>
    <s v="C4S02DI"/>
    <s v="C4S02DI30"/>
    <s v="C4S02,30"/>
    <s v="DI"/>
    <s v="Require I/O DI= 0,DO=0,AI=0,AO=0,Bus=0"/>
    <x v="4"/>
    <x v="0"/>
    <n v="30"/>
    <m/>
    <n v="0"/>
    <n v="0"/>
    <n v="0"/>
    <n v="0"/>
    <n v="0"/>
    <m/>
    <s v="Dry Contact"/>
    <m/>
  </r>
  <r>
    <s v="=CA1+MCP-M4"/>
    <m/>
    <m/>
    <x v="15"/>
    <e v="#N/A"/>
    <x v="8"/>
    <m/>
    <m/>
    <n v="0"/>
    <m/>
    <m/>
    <n v="0"/>
    <m/>
    <m/>
    <m/>
    <s v="Lototo-01"/>
    <s v="Require I/O DI= 0,DO=0,AI=0,AO=0,Bus=0"/>
    <s v="0_DI_"/>
    <x v="0"/>
    <n v="1"/>
    <m/>
    <s v="C4S02DI"/>
    <s v="C4S02DI31"/>
    <s v="C4S02,31"/>
    <s v="DI"/>
    <s v="Require I/O DI= 0,DO=0,AI=0,AO=0,Bus=0"/>
    <x v="4"/>
    <x v="0"/>
    <n v="31"/>
    <m/>
    <n v="0"/>
    <n v="0"/>
    <n v="0"/>
    <n v="0"/>
    <n v="0"/>
    <m/>
    <s v="Dry Contact"/>
    <m/>
  </r>
  <r>
    <s v="=CA1+MCP-M4"/>
    <m/>
    <m/>
    <x v="15"/>
    <e v="#N/A"/>
    <x v="8"/>
    <m/>
    <m/>
    <n v="0"/>
    <m/>
    <m/>
    <n v="0"/>
    <m/>
    <m/>
    <m/>
    <s v="Lototo-01"/>
    <s v="Require I/O DI= 0,DO=0,AI=0,AO=0,Bus=0"/>
    <s v="0_DI_"/>
    <x v="0"/>
    <n v="1"/>
    <m/>
    <s v="C4S03DI"/>
    <s v="C4S03DI16"/>
    <s v="C4S03,16"/>
    <s v="DI"/>
    <s v="Require I/O DI= 0,DO=0,AI=0,AO=0,Bus=0"/>
    <x v="4"/>
    <x v="1"/>
    <n v="16"/>
    <m/>
    <n v="0"/>
    <n v="0"/>
    <n v="0"/>
    <n v="0"/>
    <n v="0"/>
    <m/>
    <s v="Dry Contact"/>
    <m/>
  </r>
  <r>
    <s v="=CA1+MCP-M4"/>
    <m/>
    <m/>
    <x v="15"/>
    <e v="#N/A"/>
    <x v="8"/>
    <m/>
    <m/>
    <n v="0"/>
    <m/>
    <m/>
    <n v="0"/>
    <m/>
    <m/>
    <m/>
    <s v="Lototo-01"/>
    <s v="Require I/O DI= 0,DO=0,AI=0,AO=0,Bus=0"/>
    <s v="0_DI_"/>
    <x v="0"/>
    <n v="1"/>
    <m/>
    <s v="C4S03DI"/>
    <s v="C4S03DI17"/>
    <s v="C4S03,17"/>
    <s v="DI"/>
    <s v="Require I/O DI= 0,DO=0,AI=0,AO=0,Bus=0"/>
    <x v="4"/>
    <x v="1"/>
    <n v="17"/>
    <m/>
    <n v="0"/>
    <n v="0"/>
    <n v="0"/>
    <n v="0"/>
    <n v="0"/>
    <m/>
    <s v="Dry Contact"/>
    <m/>
  </r>
  <r>
    <s v="=CA1+MCP-M4"/>
    <m/>
    <m/>
    <x v="15"/>
    <e v="#N/A"/>
    <x v="8"/>
    <m/>
    <m/>
    <n v="0"/>
    <m/>
    <m/>
    <n v="0"/>
    <m/>
    <m/>
    <m/>
    <s v="Lototo-01"/>
    <s v="Require I/O DI= 0,DO=0,AI=0,AO=0,Bus=0"/>
    <s v="0_DI_"/>
    <x v="0"/>
    <n v="1"/>
    <m/>
    <s v="C4S03DI"/>
    <s v="C4S03DI18"/>
    <s v="C4S03,18"/>
    <s v="DI"/>
    <s v="Require I/O DI= 0,DO=0,AI=0,AO=0,Bus=0"/>
    <x v="4"/>
    <x v="1"/>
    <n v="18"/>
    <m/>
    <n v="0"/>
    <n v="0"/>
    <n v="0"/>
    <n v="0"/>
    <n v="0"/>
    <m/>
    <s v="Dry Contact"/>
    <m/>
  </r>
  <r>
    <s v="=CA1+MCP-M4"/>
    <m/>
    <m/>
    <x v="15"/>
    <e v="#N/A"/>
    <x v="8"/>
    <m/>
    <m/>
    <n v="0"/>
    <m/>
    <m/>
    <n v="0"/>
    <m/>
    <m/>
    <m/>
    <s v="Lototo-01"/>
    <s v="Require I/O DI= 0,DO=0,AI=0,AO=0,Bus=0"/>
    <s v="0_DI_"/>
    <x v="0"/>
    <n v="1"/>
    <m/>
    <s v="C4S03DI"/>
    <s v="C4S03DI19"/>
    <s v="C4S03,19"/>
    <s v="DI"/>
    <s v="Require I/O DI= 0,DO=0,AI=0,AO=0,Bus=0"/>
    <x v="4"/>
    <x v="1"/>
    <n v="19"/>
    <m/>
    <n v="0"/>
    <n v="0"/>
    <n v="0"/>
    <n v="0"/>
    <n v="0"/>
    <m/>
    <s v="Dry Contact"/>
    <m/>
  </r>
  <r>
    <s v="=CA1+MCP-M4"/>
    <m/>
    <m/>
    <x v="15"/>
    <e v="#N/A"/>
    <x v="8"/>
    <m/>
    <m/>
    <n v="0"/>
    <m/>
    <m/>
    <n v="0"/>
    <m/>
    <m/>
    <m/>
    <s v="Lototo-01"/>
    <s v="Require I/O DI= 0,DO=0,AI=0,AO=0,Bus=0"/>
    <s v="0_DI_"/>
    <x v="0"/>
    <n v="1"/>
    <m/>
    <s v="C4S03DI"/>
    <s v="C4S03DI20"/>
    <s v="C4S03,20"/>
    <s v="DI"/>
    <s v="Require I/O DI= 0,DO=0,AI=0,AO=0,Bus=0"/>
    <x v="4"/>
    <x v="1"/>
    <n v="20"/>
    <m/>
    <n v="0"/>
    <n v="0"/>
    <n v="0"/>
    <n v="0"/>
    <n v="0"/>
    <m/>
    <s v="Dry Contact"/>
    <m/>
  </r>
  <r>
    <s v="=CA1+MCP-M4"/>
    <m/>
    <m/>
    <x v="15"/>
    <e v="#N/A"/>
    <x v="8"/>
    <m/>
    <m/>
    <n v="0"/>
    <m/>
    <m/>
    <n v="0"/>
    <m/>
    <m/>
    <m/>
    <s v="Lototo-01"/>
    <s v="Require I/O DI= 0,DO=0,AI=0,AO=0,Bus=0"/>
    <s v="0_DI_"/>
    <x v="0"/>
    <n v="1"/>
    <m/>
    <s v="C4S03DI"/>
    <s v="C4S03DI21"/>
    <s v="C4S03,21"/>
    <s v="DI"/>
    <s v="Require I/O DI= 0,DO=0,AI=0,AO=0,Bus=0"/>
    <x v="4"/>
    <x v="1"/>
    <n v="21"/>
    <m/>
    <n v="0"/>
    <n v="0"/>
    <n v="0"/>
    <n v="0"/>
    <n v="0"/>
    <m/>
    <s v="Dry Contact"/>
    <m/>
  </r>
  <r>
    <s v="=CA1+MCP-M4"/>
    <m/>
    <m/>
    <x v="15"/>
    <e v="#N/A"/>
    <x v="8"/>
    <m/>
    <m/>
    <n v="0"/>
    <m/>
    <m/>
    <n v="0"/>
    <m/>
    <m/>
    <m/>
    <s v="Lototo-01"/>
    <s v="Require I/O DI= 0,DO=0,AI=0,AO=0,Bus=0"/>
    <s v="0_DI_"/>
    <x v="0"/>
    <n v="1"/>
    <m/>
    <s v="C4S03DI"/>
    <s v="C4S03DI22"/>
    <s v="C4S03,22"/>
    <s v="DI"/>
    <s v="Require I/O DI= 0,DO=0,AI=0,AO=0,Bus=0"/>
    <x v="4"/>
    <x v="1"/>
    <n v="22"/>
    <m/>
    <n v="0"/>
    <n v="0"/>
    <n v="0"/>
    <n v="0"/>
    <n v="0"/>
    <m/>
    <s v="Dry Contact"/>
    <m/>
  </r>
  <r>
    <s v="=CA1+MCP-M4"/>
    <m/>
    <m/>
    <x v="15"/>
    <e v="#N/A"/>
    <x v="8"/>
    <m/>
    <m/>
    <n v="0"/>
    <m/>
    <m/>
    <n v="0"/>
    <m/>
    <m/>
    <m/>
    <s v="Lototo-01"/>
    <s v="Require I/O DI= 0,DO=0,AI=0,AO=0,Bus=0"/>
    <s v="0_DI_"/>
    <x v="0"/>
    <n v="1"/>
    <m/>
    <s v="C4S03DI"/>
    <s v="C4S03DI23"/>
    <s v="C4S03,23"/>
    <s v="DI"/>
    <s v="Require I/O DI= 0,DO=0,AI=0,AO=0,Bus=0"/>
    <x v="4"/>
    <x v="1"/>
    <n v="23"/>
    <m/>
    <n v="0"/>
    <n v="0"/>
    <n v="0"/>
    <n v="0"/>
    <n v="0"/>
    <m/>
    <s v="Dry Contact"/>
    <m/>
  </r>
  <r>
    <s v="=CA1+MCP-M4"/>
    <m/>
    <m/>
    <x v="15"/>
    <e v="#N/A"/>
    <x v="8"/>
    <m/>
    <m/>
    <n v="0"/>
    <m/>
    <m/>
    <n v="0"/>
    <m/>
    <m/>
    <m/>
    <s v="Lototo-01"/>
    <s v="Require I/O DI= 0,DO=0,AI=0,AO=0,Bus=0"/>
    <s v="0_DI_"/>
    <x v="0"/>
    <n v="1"/>
    <m/>
    <s v="C4S03DI"/>
    <s v="C4S03DI24"/>
    <s v="C4S03,24"/>
    <s v="DI"/>
    <s v="Require I/O DI= 0,DO=0,AI=0,AO=0,Bus=0"/>
    <x v="4"/>
    <x v="1"/>
    <n v="24"/>
    <m/>
    <n v="0"/>
    <n v="0"/>
    <n v="0"/>
    <n v="0"/>
    <n v="0"/>
    <m/>
    <s v="Dry Contact"/>
    <m/>
  </r>
  <r>
    <s v="=CA1+MCP-M4"/>
    <m/>
    <m/>
    <x v="15"/>
    <e v="#N/A"/>
    <x v="8"/>
    <m/>
    <m/>
    <n v="0"/>
    <m/>
    <m/>
    <n v="0"/>
    <m/>
    <m/>
    <m/>
    <s v="Lototo-01"/>
    <s v="Require I/O DI= 0,DO=0,AI=0,AO=0,Bus=0"/>
    <s v="0_DI_"/>
    <x v="0"/>
    <n v="1"/>
    <m/>
    <s v="C4S03DI"/>
    <s v="C4S03DI25"/>
    <s v="C4S03,25"/>
    <s v="DI"/>
    <s v="Require I/O DI= 0,DO=0,AI=0,AO=0,Bus=0"/>
    <x v="4"/>
    <x v="1"/>
    <n v="25"/>
    <m/>
    <n v="0"/>
    <n v="0"/>
    <n v="0"/>
    <n v="0"/>
    <n v="0"/>
    <m/>
    <s v="Dry Contact"/>
    <m/>
  </r>
  <r>
    <s v="=CA1+MCP-M4"/>
    <m/>
    <m/>
    <x v="15"/>
    <e v="#N/A"/>
    <x v="8"/>
    <m/>
    <m/>
    <n v="0"/>
    <m/>
    <m/>
    <n v="0"/>
    <m/>
    <m/>
    <m/>
    <s v="Lototo-01"/>
    <s v="Require I/O DI= 0,DO=0,AI=0,AO=0,Bus=0"/>
    <s v="0_DI_"/>
    <x v="0"/>
    <n v="1"/>
    <m/>
    <s v="C4S03DI"/>
    <s v="C4S03DI26"/>
    <s v="C4S03,26"/>
    <s v="DI"/>
    <s v="Require I/O DI= 0,DO=0,AI=0,AO=0,Bus=0"/>
    <x v="4"/>
    <x v="1"/>
    <n v="26"/>
    <m/>
    <n v="0"/>
    <n v="0"/>
    <n v="0"/>
    <n v="0"/>
    <n v="0"/>
    <m/>
    <s v="Dry Contact"/>
    <m/>
  </r>
  <r>
    <s v="=CA1+MCP-M4"/>
    <m/>
    <m/>
    <x v="15"/>
    <e v="#N/A"/>
    <x v="8"/>
    <m/>
    <m/>
    <n v="0"/>
    <m/>
    <m/>
    <n v="0"/>
    <m/>
    <m/>
    <m/>
    <s v="Lototo-01"/>
    <s v="Require I/O DI= 0,DO=0,AI=0,AO=0,Bus=0"/>
    <s v="0_DI_"/>
    <x v="0"/>
    <n v="1"/>
    <m/>
    <s v="C4S03DI"/>
    <s v="C4S03DI27"/>
    <s v="C4S03,27"/>
    <s v="DI"/>
    <s v="Require I/O DI= 0,DO=0,AI=0,AO=0,Bus=0"/>
    <x v="4"/>
    <x v="1"/>
    <n v="27"/>
    <m/>
    <n v="0"/>
    <n v="0"/>
    <n v="0"/>
    <n v="0"/>
    <n v="0"/>
    <m/>
    <s v="Dry Contact"/>
    <m/>
  </r>
  <r>
    <s v="=CA1+MCP-M4"/>
    <m/>
    <m/>
    <x v="15"/>
    <e v="#N/A"/>
    <x v="8"/>
    <m/>
    <m/>
    <n v="0"/>
    <m/>
    <m/>
    <n v="0"/>
    <m/>
    <m/>
    <m/>
    <s v="Lototo-01"/>
    <s v="Require I/O DI= 0,DO=0,AI=0,AO=0,Bus=0"/>
    <s v="0_DI_"/>
    <x v="0"/>
    <n v="1"/>
    <m/>
    <s v="C4S03DI"/>
    <s v="C4S03DI28"/>
    <s v="C4S03,28"/>
    <s v="DI"/>
    <s v="Require I/O DI= 0,DO=0,AI=0,AO=0,Bus=0"/>
    <x v="4"/>
    <x v="1"/>
    <n v="28"/>
    <m/>
    <n v="0"/>
    <n v="0"/>
    <n v="0"/>
    <n v="0"/>
    <n v="0"/>
    <m/>
    <s v="Dry Contact"/>
    <m/>
  </r>
  <r>
    <s v="=CA1+MCP-M4"/>
    <m/>
    <m/>
    <x v="15"/>
    <e v="#N/A"/>
    <x v="8"/>
    <m/>
    <m/>
    <n v="0"/>
    <m/>
    <m/>
    <n v="0"/>
    <m/>
    <m/>
    <m/>
    <s v="Lototo-01"/>
    <s v="Require I/O DI= 0,DO=0,AI=0,AO=0,Bus=0"/>
    <s v="0_DI_"/>
    <x v="0"/>
    <n v="1"/>
    <m/>
    <s v="C4S03DI"/>
    <s v="C4S03DI29"/>
    <s v="C4S03,29"/>
    <s v="DI"/>
    <s v="Require I/O DI= 0,DO=0,AI=0,AO=0,Bus=0"/>
    <x v="4"/>
    <x v="1"/>
    <n v="29"/>
    <m/>
    <n v="0"/>
    <n v="0"/>
    <n v="0"/>
    <n v="0"/>
    <n v="0"/>
    <m/>
    <s v="Dry Contact"/>
    <m/>
  </r>
  <r>
    <s v="=CA1+MCP-M4"/>
    <m/>
    <m/>
    <x v="15"/>
    <e v="#N/A"/>
    <x v="8"/>
    <m/>
    <m/>
    <n v="0"/>
    <m/>
    <m/>
    <n v="0"/>
    <m/>
    <m/>
    <m/>
    <s v="Lototo-01"/>
    <s v="Require I/O DI= 0,DO=0,AI=0,AO=0,Bus=0"/>
    <s v="0_DI_"/>
    <x v="0"/>
    <n v="1"/>
    <m/>
    <s v="C4S03DI"/>
    <s v="C4S03DI30"/>
    <s v="C4S03,30"/>
    <s v="DI"/>
    <s v="Require I/O DI= 0,DO=0,AI=0,AO=0,Bus=0"/>
    <x v="4"/>
    <x v="1"/>
    <n v="30"/>
    <m/>
    <n v="0"/>
    <n v="0"/>
    <n v="0"/>
    <n v="0"/>
    <n v="0"/>
    <m/>
    <s v="Dry Contact"/>
    <m/>
  </r>
  <r>
    <s v="=CA1+MCP-M4"/>
    <m/>
    <m/>
    <x v="15"/>
    <e v="#N/A"/>
    <x v="8"/>
    <m/>
    <m/>
    <n v="0"/>
    <m/>
    <m/>
    <n v="0"/>
    <m/>
    <m/>
    <m/>
    <s v="Lototo-01"/>
    <s v="Require I/O DI= 0,DO=0,AI=0,AO=0,Bus=0"/>
    <s v="0_DI_"/>
    <x v="0"/>
    <n v="1"/>
    <m/>
    <s v="C4S03DI"/>
    <s v="C4S03DI31"/>
    <s v="C4S03,31"/>
    <s v="DI"/>
    <s v="Require I/O DI= 0,DO=0,AI=0,AO=0,Bus=0"/>
    <x v="4"/>
    <x v="1"/>
    <n v="31"/>
    <m/>
    <n v="0"/>
    <n v="0"/>
    <n v="0"/>
    <n v="0"/>
    <n v="0"/>
    <m/>
    <s v="Dry Contact"/>
    <m/>
  </r>
  <r>
    <s v="=CA1+MCP-M4"/>
    <m/>
    <m/>
    <x v="15"/>
    <e v="#N/A"/>
    <x v="8"/>
    <m/>
    <m/>
    <n v="0"/>
    <m/>
    <m/>
    <n v="0"/>
    <m/>
    <m/>
    <m/>
    <s v="Lototo-01"/>
    <s v="Require I/O DI= 0,DO=0,AI=0,AO=0,Bus=0"/>
    <s v="0_AI_"/>
    <x v="3"/>
    <n v="3"/>
    <m/>
    <s v="C4S05AI"/>
    <s v="C4S05AI13"/>
    <s v="C4S05,13"/>
    <s v="AI"/>
    <s v="Require I/O DI= 0,DO=0,AI=0,AO=0,Bus=0"/>
    <x v="4"/>
    <x v="5"/>
    <n v="13"/>
    <m/>
    <n v="0"/>
    <n v="0"/>
    <n v="0"/>
    <n v="0"/>
    <n v="0"/>
    <m/>
    <s v="Dry Contact"/>
    <m/>
  </r>
  <r>
    <s v="=CA1+MCP-M4"/>
    <m/>
    <m/>
    <x v="15"/>
    <e v="#N/A"/>
    <x v="8"/>
    <m/>
    <m/>
    <n v="0"/>
    <m/>
    <m/>
    <n v="0"/>
    <m/>
    <m/>
    <m/>
    <s v="Lototo-01"/>
    <s v="Require I/O DI= 0,DO=0,AI=0,AO=0,Bus=0"/>
    <s v="0_AI_"/>
    <x v="3"/>
    <n v="3"/>
    <m/>
    <s v="C4S05AI"/>
    <s v="C4S05AI14"/>
    <s v="C4S05,14"/>
    <s v="AI"/>
    <s v="Require I/O DI= 0,DO=0,AI=0,AO=0,Bus=0"/>
    <x v="4"/>
    <x v="5"/>
    <n v="14"/>
    <m/>
    <n v="0"/>
    <n v="0"/>
    <n v="0"/>
    <n v="0"/>
    <n v="0"/>
    <m/>
    <s v="Dry Contact"/>
    <m/>
  </r>
  <r>
    <s v="=CA1+MCP-M4"/>
    <m/>
    <m/>
    <x v="15"/>
    <e v="#N/A"/>
    <x v="8"/>
    <m/>
    <m/>
    <n v="0"/>
    <m/>
    <m/>
    <n v="0"/>
    <m/>
    <m/>
    <m/>
    <s v="Lototo-01"/>
    <s v="Require I/O DI= 0,DO=0,AI=0,AO=0,Bus=0"/>
    <s v="0_AI_"/>
    <x v="3"/>
    <n v="3"/>
    <m/>
    <s v="C4S05AI"/>
    <s v="C4S05AI15"/>
    <s v="C4S05,15"/>
    <s v="AI"/>
    <s v="Require I/O DI= 0,DO=0,AI=0,AO=0,Bus=0"/>
    <x v="4"/>
    <x v="5"/>
    <n v="15"/>
    <m/>
    <n v="0"/>
    <n v="0"/>
    <n v="0"/>
    <n v="0"/>
    <n v="0"/>
    <m/>
    <s v="Dry Contact"/>
    <m/>
  </r>
  <r>
    <s v="MCC"/>
    <m/>
    <m/>
    <x v="3"/>
    <s v="MCC Room"/>
    <x v="7"/>
    <m/>
    <s v="Slurry - Out Building"/>
    <s v="PCM-2030"/>
    <m/>
    <m/>
    <e v="#N/A"/>
    <s v="1st"/>
    <s v="325-01-200-PD-01"/>
    <s v="3-25-01-202-PD-01"/>
    <e v="#N/A"/>
    <s v="Require I/O DI= 2,DO=2,AI=0,AO=0,Bus=0"/>
    <s v="PCM-2030_DI_1"/>
    <x v="0"/>
    <n v="1"/>
    <n v="1"/>
    <s v="C5S06DI"/>
    <s v="C5S06DI00"/>
    <s v="C5S06,00"/>
    <s v="DI"/>
    <s v="Require I/O DI= 2,DO=2,AI=0,AO=0,Bus=0"/>
    <x v="5"/>
    <x v="2"/>
    <n v="0"/>
    <m/>
    <n v="2"/>
    <n v="2"/>
    <n v="0"/>
    <n v="0"/>
    <n v="0"/>
    <m/>
    <e v="#N/A"/>
    <m/>
  </r>
  <r>
    <s v="MCC"/>
    <m/>
    <m/>
    <x v="3"/>
    <s v="MCC Room"/>
    <x v="7"/>
    <m/>
    <s v="Slurry - Out Building"/>
    <s v="PCM-2030"/>
    <m/>
    <m/>
    <e v="#N/A"/>
    <s v="1st"/>
    <s v="325-01-200-PD-01"/>
    <s v="3-25-01-202-PD-01"/>
    <e v="#N/A"/>
    <s v="Require I/O DI= 2,DO=2,AI=0,AO=0,Bus=0"/>
    <s v="PCM-2030_DI_2"/>
    <x v="0"/>
    <n v="1"/>
    <n v="2"/>
    <s v="C5S06DI"/>
    <s v="C5S06DI01"/>
    <s v="C5S06,01"/>
    <s v="DI"/>
    <s v="Require I/O DI= 2,DO=2,AI=0,AO=0,Bus=0"/>
    <x v="5"/>
    <x v="2"/>
    <n v="1"/>
    <m/>
    <n v="2"/>
    <n v="2"/>
    <n v="0"/>
    <n v="0"/>
    <n v="0"/>
    <m/>
    <e v="#N/A"/>
    <m/>
  </r>
  <r>
    <s v="MCC"/>
    <m/>
    <m/>
    <x v="3"/>
    <s v="MCC Room"/>
    <x v="7"/>
    <m/>
    <s v="Slurry - Out Building"/>
    <s v="PCM-2030"/>
    <m/>
    <m/>
    <e v="#N/A"/>
    <s v="1st"/>
    <s v="325-01-200-PD-01"/>
    <s v="3-25-01-202-PD-01"/>
    <e v="#N/A"/>
    <s v="Require I/O DI= 2,DO=2,AI=0,AO=0,Bus=0"/>
    <s v="PCM-2030_DO_1"/>
    <x v="1"/>
    <n v="2"/>
    <n v="1"/>
    <s v="C5S05DO"/>
    <s v="C5S05DO00"/>
    <s v="C5S05,00"/>
    <s v="DO"/>
    <s v="Require I/O DI= 2,DO=2,AI=0,AO=0,Bus=0"/>
    <x v="5"/>
    <x v="5"/>
    <n v="0"/>
    <m/>
    <n v="2"/>
    <n v="2"/>
    <n v="0"/>
    <n v="0"/>
    <n v="0"/>
    <m/>
    <e v="#N/A"/>
    <m/>
  </r>
  <r>
    <s v="MCC"/>
    <m/>
    <m/>
    <x v="3"/>
    <s v="MCC Room"/>
    <x v="7"/>
    <m/>
    <s v="Slurry - Out Building"/>
    <s v="PCM-2030"/>
    <m/>
    <m/>
    <e v="#N/A"/>
    <s v="1st"/>
    <s v="325-01-200-PD-01"/>
    <s v="3-25-01-202-PD-01"/>
    <e v="#N/A"/>
    <s v="Require I/O DI= 2,DO=2,AI=0,AO=0,Bus=0"/>
    <s v="PCM-2030_DO_2"/>
    <x v="1"/>
    <n v="2"/>
    <n v="2"/>
    <s v="C5S05DO"/>
    <s v="C5S05DO01"/>
    <s v="C5S05,01"/>
    <s v="DO"/>
    <s v="Require I/O DI= 2,DO=2,AI=0,AO=0,Bus=0"/>
    <x v="5"/>
    <x v="5"/>
    <n v="1"/>
    <m/>
    <n v="2"/>
    <n v="2"/>
    <n v="0"/>
    <n v="0"/>
    <n v="0"/>
    <m/>
    <e v="#N/A"/>
    <m/>
  </r>
  <r>
    <s v="MCC"/>
    <m/>
    <m/>
    <x v="3"/>
    <s v="MCC Room"/>
    <x v="7"/>
    <m/>
    <s v="Slurry - Out Building"/>
    <s v="PCM-2031"/>
    <m/>
    <m/>
    <n v="0"/>
    <s v="1st"/>
    <s v="325-01-200-PD-01"/>
    <s v="3-25-01-202-PD-01"/>
    <s v=" Start / Stop Command for FVNR PC-2031"/>
    <s v="Require I/O DI= 2,DO=2,AI=0,AO=0,Bus=0"/>
    <s v="PCM-2031_DI_1"/>
    <x v="0"/>
    <n v="1"/>
    <n v="1"/>
    <s v="C5S06DI"/>
    <s v="C5S06DI02"/>
    <s v="C5S06,02"/>
    <s v="DI"/>
    <s v="Require I/O DI= 2,DO=2,AI=0,AO=0,Bus=0"/>
    <x v="5"/>
    <x v="2"/>
    <n v="2"/>
    <m/>
    <n v="2"/>
    <n v="2"/>
    <n v="0"/>
    <n v="0"/>
    <n v="0"/>
    <m/>
    <s v="24 VDC energized"/>
    <m/>
  </r>
  <r>
    <s v="MCC"/>
    <m/>
    <m/>
    <x v="3"/>
    <s v="MCC Room"/>
    <x v="7"/>
    <m/>
    <s v="Slurry - Out Building"/>
    <s v="PCM-2031"/>
    <m/>
    <m/>
    <n v="0"/>
    <s v="1st"/>
    <s v="325-01-200-PD-01"/>
    <s v="3-25-01-202-PD-01"/>
    <s v=" Start / Stop Command for FVNR PC-2031"/>
    <s v="Require I/O DI= 2,DO=2,AI=0,AO=0,Bus=0"/>
    <s v="PCM-2031_DI_2"/>
    <x v="0"/>
    <n v="1"/>
    <n v="2"/>
    <s v="C5S06DI"/>
    <s v="C5S06DI03"/>
    <s v="C5S06,03"/>
    <s v="DI"/>
    <s v="Require I/O DI= 2,DO=2,AI=0,AO=0,Bus=0"/>
    <x v="5"/>
    <x v="2"/>
    <n v="3"/>
    <m/>
    <n v="2"/>
    <n v="2"/>
    <n v="0"/>
    <n v="0"/>
    <n v="0"/>
    <m/>
    <s v="24 VDC energized"/>
    <m/>
  </r>
  <r>
    <s v="MCC"/>
    <m/>
    <m/>
    <x v="3"/>
    <s v="MCC Room"/>
    <x v="7"/>
    <m/>
    <s v="Slurry - Out Building"/>
    <s v="PCM-2031"/>
    <m/>
    <m/>
    <n v="0"/>
    <s v="1st"/>
    <s v="325-01-200-PD-01"/>
    <s v="3-25-01-202-PD-01"/>
    <s v=" Start / Stop Command for FVNR PC-2031"/>
    <s v="Require I/O DI= 2,DO=2,AI=0,AO=0,Bus=0"/>
    <s v="PCM-2031_DO_1"/>
    <x v="1"/>
    <n v="2"/>
    <n v="1"/>
    <s v="C5S05DO"/>
    <s v="C5S05DO02"/>
    <s v="C5S05,02"/>
    <s v="DO"/>
    <s v="Require I/O DI= 2,DO=2,AI=0,AO=0,Bus=0"/>
    <x v="5"/>
    <x v="5"/>
    <n v="2"/>
    <m/>
    <n v="2"/>
    <n v="2"/>
    <n v="0"/>
    <n v="0"/>
    <n v="0"/>
    <m/>
    <s v="24 VDC energized"/>
    <m/>
  </r>
  <r>
    <s v="MCC"/>
    <m/>
    <m/>
    <x v="3"/>
    <s v="MCC Room"/>
    <x v="7"/>
    <m/>
    <s v="Slurry - Out Building"/>
    <s v="PCM-2031"/>
    <m/>
    <m/>
    <n v="0"/>
    <s v="1st"/>
    <s v="325-01-200-PD-01"/>
    <s v="3-25-01-202-PD-01"/>
    <s v=" Start / Stop Command for FVNR PC-2031"/>
    <s v="Require I/O DI= 2,DO=2,AI=0,AO=0,Bus=0"/>
    <s v="PCM-2031_DO_2"/>
    <x v="1"/>
    <n v="2"/>
    <n v="2"/>
    <s v="C5S05DO"/>
    <s v="C5S05DO03"/>
    <s v="C5S05,03"/>
    <s v="DO"/>
    <s v="Require I/O DI= 2,DO=2,AI=0,AO=0,Bus=0"/>
    <x v="5"/>
    <x v="5"/>
    <n v="3"/>
    <m/>
    <n v="2"/>
    <n v="2"/>
    <n v="0"/>
    <n v="0"/>
    <n v="0"/>
    <m/>
    <s v="24 VDC energized"/>
    <m/>
  </r>
  <r>
    <s v="MCC"/>
    <m/>
    <m/>
    <x v="3"/>
    <s v="MCC Room"/>
    <x v="7"/>
    <m/>
    <s v="CIP Water System"/>
    <s v="PCY-814201"/>
    <m/>
    <m/>
    <s v="PUMP"/>
    <s v="2nd"/>
    <s v="3-25-01-810-PD-01"/>
    <s v="-"/>
    <s v=" Start / Stop Command to VSD PC-81001"/>
    <s v="Require I/O DI= 3,DO=1,AI=0,AO=0,Bus=1"/>
    <s v="PCY-814201_DI_1"/>
    <x v="0"/>
    <n v="1"/>
    <n v="1"/>
    <s v="C5S06DI"/>
    <s v="C5S06DI04"/>
    <s v="C5S06,04"/>
    <s v="DI"/>
    <s v="Require I/O DI= 3,DO=1,AI=0,AO=0,Bus=1"/>
    <x v="5"/>
    <x v="2"/>
    <n v="4"/>
    <m/>
    <n v="3"/>
    <n v="1"/>
    <n v="0"/>
    <n v="0"/>
    <n v="1"/>
    <m/>
    <s v="24 VDC energized"/>
    <m/>
  </r>
  <r>
    <s v="MCC"/>
    <m/>
    <m/>
    <x v="3"/>
    <s v="MCC Room"/>
    <x v="7"/>
    <m/>
    <s v="CIP Water System"/>
    <s v="PCY-814201"/>
    <m/>
    <m/>
    <s v="PUMP"/>
    <s v="2nd"/>
    <s v="3-25-01-810-PD-01"/>
    <s v="-"/>
    <s v=" Start / Stop Command to VSD PC-81001"/>
    <s v="Require I/O DI= 3,DO=1,AI=0,AO=0,Bus=1"/>
    <s v="PCY-814201_DI_2"/>
    <x v="0"/>
    <n v="1"/>
    <n v="2"/>
    <s v="C5S06DI"/>
    <s v="C5S06DI05"/>
    <s v="C5S06,05"/>
    <s v="DI"/>
    <s v="Require I/O DI= 3,DO=1,AI=0,AO=0,Bus=1"/>
    <x v="5"/>
    <x v="2"/>
    <n v="5"/>
    <m/>
    <n v="3"/>
    <n v="1"/>
    <n v="0"/>
    <n v="0"/>
    <n v="1"/>
    <m/>
    <s v="24 VDC energized"/>
    <m/>
  </r>
  <r>
    <s v="MCC"/>
    <m/>
    <m/>
    <x v="3"/>
    <s v="MCC Room"/>
    <x v="7"/>
    <m/>
    <s v="CIP Water System"/>
    <s v="PCY-814201"/>
    <m/>
    <m/>
    <s v="PUMP"/>
    <s v="2nd"/>
    <s v="3-25-01-810-PD-01"/>
    <s v="-"/>
    <s v=" Start / Stop Command to VSD PC-81001"/>
    <s v="Require I/O DI= 3,DO=1,AI=0,AO=0,Bus=1"/>
    <s v="PCY-814201_DI_3"/>
    <x v="0"/>
    <n v="1"/>
    <n v="3"/>
    <s v="C5S06DI"/>
    <s v="C5S06DI06"/>
    <s v="C5S06,06"/>
    <s v="DI"/>
    <s v="Require I/O DI= 3,DO=1,AI=0,AO=0,Bus=1"/>
    <x v="5"/>
    <x v="2"/>
    <n v="6"/>
    <m/>
    <n v="3"/>
    <n v="1"/>
    <n v="0"/>
    <n v="0"/>
    <n v="1"/>
    <m/>
    <s v="24 VDC energized"/>
    <m/>
  </r>
  <r>
    <s v="MCC"/>
    <m/>
    <m/>
    <x v="3"/>
    <s v="MCC Room"/>
    <x v="7"/>
    <m/>
    <s v="CIP Water System"/>
    <s v="PCY-814201"/>
    <m/>
    <m/>
    <s v="PUMP"/>
    <s v="2nd"/>
    <s v="3-25-01-810-PD-01"/>
    <s v="-"/>
    <s v=" Start / Stop Command to VSD PC-81001"/>
    <s v="Require I/O DI= 3,DO=1,AI=0,AO=0,Bus=1"/>
    <s v="PCY-814201_DO_1"/>
    <x v="1"/>
    <n v="2"/>
    <n v="1"/>
    <s v="C5S05DO"/>
    <s v="C5S05DO04"/>
    <s v="C5S05,04"/>
    <s v="DO"/>
    <s v="Require I/O DI= 3,DO=1,AI=0,AO=0,Bus=1"/>
    <x v="5"/>
    <x v="5"/>
    <n v="4"/>
    <m/>
    <n v="3"/>
    <n v="1"/>
    <n v="0"/>
    <n v="0"/>
    <n v="1"/>
    <m/>
    <s v="24 VDC energized"/>
    <m/>
  </r>
  <r>
    <s v="MCC"/>
    <m/>
    <m/>
    <x v="3"/>
    <s v="MCC Room"/>
    <x v="7"/>
    <m/>
    <s v="CIP Water System"/>
    <s v="PCY-814202"/>
    <m/>
    <m/>
    <s v="PUMP"/>
    <s v="2nd"/>
    <s v="3-25-01-810-PD-01"/>
    <s v="-"/>
    <s v=" Start / Stop Command to VSD PC-81002"/>
    <s v="Require I/O DI= 3,DO=1,AI=0,AO=0,Bus=1"/>
    <s v="PCY-814202_DI_1"/>
    <x v="0"/>
    <n v="1"/>
    <n v="1"/>
    <s v="C5S06DI"/>
    <s v="C5S06DI07"/>
    <s v="C5S06,07"/>
    <s v="DI"/>
    <s v="Require I/O DI= 3,DO=1,AI=0,AO=0,Bus=1"/>
    <x v="5"/>
    <x v="2"/>
    <n v="7"/>
    <m/>
    <n v="3"/>
    <n v="1"/>
    <n v="0"/>
    <n v="0"/>
    <n v="1"/>
    <m/>
    <s v="24 VDC energized"/>
    <m/>
  </r>
  <r>
    <s v="MCC"/>
    <m/>
    <m/>
    <x v="3"/>
    <s v="MCC Room"/>
    <x v="7"/>
    <m/>
    <s v="CIP Water System"/>
    <s v="PCY-814202"/>
    <m/>
    <m/>
    <s v="PUMP"/>
    <s v="2nd"/>
    <s v="3-25-01-810-PD-01"/>
    <s v="-"/>
    <s v=" Start / Stop Command to VSD PC-81002"/>
    <s v="Require I/O DI= 3,DO=1,AI=0,AO=0,Bus=1"/>
    <s v="PCY-814202_DI_2"/>
    <x v="0"/>
    <n v="1"/>
    <n v="2"/>
    <s v="C5S06DI"/>
    <s v="C5S06DI08"/>
    <s v="C5S06,08"/>
    <s v="DI"/>
    <s v="Require I/O DI= 3,DO=1,AI=0,AO=0,Bus=1"/>
    <x v="5"/>
    <x v="2"/>
    <n v="8"/>
    <m/>
    <n v="3"/>
    <n v="1"/>
    <n v="0"/>
    <n v="0"/>
    <n v="1"/>
    <m/>
    <s v="24 VDC energized"/>
    <m/>
  </r>
  <r>
    <s v="MCC"/>
    <m/>
    <m/>
    <x v="3"/>
    <s v="MCC Room"/>
    <x v="7"/>
    <m/>
    <s v="CIP Water System"/>
    <s v="PCY-814202"/>
    <m/>
    <m/>
    <s v="PUMP"/>
    <s v="2nd"/>
    <s v="3-25-01-810-PD-01"/>
    <s v="-"/>
    <s v=" Start / Stop Command to VSD PC-81002"/>
    <s v="Require I/O DI= 3,DO=1,AI=0,AO=0,Bus=1"/>
    <s v="PCY-814202_DI_3"/>
    <x v="0"/>
    <n v="1"/>
    <n v="3"/>
    <s v="C5S06DI"/>
    <s v="C5S06DI09"/>
    <s v="C5S06,09"/>
    <s v="DI"/>
    <s v="Require I/O DI= 3,DO=1,AI=0,AO=0,Bus=1"/>
    <x v="5"/>
    <x v="2"/>
    <n v="9"/>
    <m/>
    <n v="3"/>
    <n v="1"/>
    <n v="0"/>
    <n v="0"/>
    <n v="1"/>
    <m/>
    <s v="24 VDC energized"/>
    <m/>
  </r>
  <r>
    <s v="MCC"/>
    <m/>
    <m/>
    <x v="3"/>
    <s v="MCC Room"/>
    <x v="7"/>
    <m/>
    <s v="CIP Water System"/>
    <s v="PCY-814202"/>
    <m/>
    <m/>
    <s v="PUMP"/>
    <s v="2nd"/>
    <s v="3-25-01-810-PD-01"/>
    <s v="-"/>
    <s v=" Start / Stop Command to VSD PC-81002"/>
    <s v="Require I/O DI= 3,DO=1,AI=0,AO=0,Bus=1"/>
    <s v="PCY-814202_DO_1"/>
    <x v="1"/>
    <n v="2"/>
    <n v="1"/>
    <s v="C5S05DO"/>
    <s v="C5S05DO05"/>
    <s v="C5S05,05"/>
    <s v="DO"/>
    <s v="Require I/O DI= 3,DO=1,AI=0,AO=0,Bus=1"/>
    <x v="5"/>
    <x v="5"/>
    <n v="5"/>
    <m/>
    <n v="3"/>
    <n v="1"/>
    <n v="0"/>
    <n v="0"/>
    <n v="1"/>
    <m/>
    <s v="24 VDC energized"/>
    <m/>
  </r>
  <r>
    <s v="MCC"/>
    <m/>
    <m/>
    <x v="3"/>
    <s v="MCC Room"/>
    <x v="7"/>
    <m/>
    <s v="LPG System"/>
    <s v="XS-80305"/>
    <m/>
    <m/>
    <n v="0"/>
    <s v="1st"/>
    <s v="325-01-803-PD-02"/>
    <s v="-"/>
    <s v=" Start / Stop Command for Gas Vaporizer 5"/>
    <s v="Require I/O DI= 0,DO=1,AI=0,AO=0,Bus=0"/>
    <s v="XS-80305_DO_1"/>
    <x v="1"/>
    <n v="2"/>
    <n v="1"/>
    <s v="C5S05DO"/>
    <s v="C5S05DO06"/>
    <s v="C5S05,06"/>
    <s v="DO"/>
    <s v="Require I/O DI= 0,DO=1,AI=0,AO=0,Bus=0"/>
    <x v="5"/>
    <x v="5"/>
    <n v="6"/>
    <m/>
    <n v="0"/>
    <n v="1"/>
    <n v="0"/>
    <n v="0"/>
    <n v="0"/>
    <m/>
    <s v="24 VDC energized"/>
    <m/>
  </r>
  <r>
    <s v="MCC"/>
    <m/>
    <m/>
    <x v="3"/>
    <s v="MCC Room"/>
    <x v="7"/>
    <m/>
    <s v="LPG System"/>
    <s v="XS-80306"/>
    <m/>
    <m/>
    <s v="Pressure Transmitter"/>
    <s v="1st"/>
    <s v="325-01-803-PD-02"/>
    <s v="-"/>
    <s v=" Start / Stop Command for Gas Vaporizer 6"/>
    <s v="Require I/O DI= 0,DO=1,AI=0,AO=0,Bus=0"/>
    <s v="XS-80306_DO_1"/>
    <x v="1"/>
    <n v="2"/>
    <n v="1"/>
    <s v="C5S05DO"/>
    <s v="C5S05DO07"/>
    <s v="C5S05,07"/>
    <s v="DO"/>
    <s v="Require I/O DI= 0,DO=1,AI=0,AO=0,Bus=0"/>
    <x v="5"/>
    <x v="5"/>
    <n v="7"/>
    <m/>
    <n v="0"/>
    <n v="1"/>
    <n v="0"/>
    <n v="0"/>
    <n v="0"/>
    <m/>
    <s v="24 VDC energized"/>
    <m/>
  </r>
  <r>
    <s v="=CA1+MCP-M5"/>
    <m/>
    <m/>
    <x v="16"/>
    <s v="Slurry - Out Building 2nd Floor"/>
    <x v="7"/>
    <m/>
    <s v="Boiler System"/>
    <s v="EXT-BIILER"/>
    <m/>
    <m/>
    <e v="#N/A"/>
    <s v="1st"/>
    <m/>
    <s v="External Remote Setpoint"/>
    <e v="#N/A"/>
    <s v="Require I/O DI= 0,DO=0,AI=1,AO=0,Bus=0"/>
    <s v="EXT-BIILER_AI_1"/>
    <x v="3"/>
    <n v="3"/>
    <n v="1"/>
    <s v="C5S04AI"/>
    <s v="C5S04AI00"/>
    <s v="C5S04,00"/>
    <s v="AI"/>
    <s v="Require I/O DI= 0,DO=0,AI=1,AO=0,Bus=0"/>
    <x v="5"/>
    <x v="6"/>
    <n v="0"/>
    <m/>
    <n v="0"/>
    <n v="0"/>
    <n v="1"/>
    <n v="0"/>
    <n v="0"/>
    <m/>
    <e v="#N/A"/>
    <s v="x"/>
  </r>
  <r>
    <s v="=CA1+MCP-M5"/>
    <m/>
    <m/>
    <x v="16"/>
    <s v="Slurry - Out Building 2nd Floor"/>
    <x v="7"/>
    <m/>
    <s v="Slurry - Out Building"/>
    <s v="FS-20201"/>
    <m/>
    <m/>
    <e v="#N/A"/>
    <s v="1st"/>
    <s v="-"/>
    <s v="3-25-01-202-PD-01"/>
    <e v="#N/A"/>
    <s v="Require I/O DI= 1,DO=0,AI=0,AO=0,Bus=0"/>
    <s v="FS-20201_DI_1"/>
    <x v="0"/>
    <n v="1"/>
    <n v="1"/>
    <s v="C5S01DI"/>
    <s v="C5S01DI00"/>
    <s v="C5S01,00"/>
    <s v="DI"/>
    <s v="Require I/O DI= 1,DO=0,AI=0,AO=0,Bus=0"/>
    <x v="5"/>
    <x v="4"/>
    <n v="0"/>
    <m/>
    <n v="1"/>
    <n v="0"/>
    <n v="0"/>
    <n v="0"/>
    <n v="0"/>
    <m/>
    <e v="#N/A"/>
    <s v="x"/>
  </r>
  <r>
    <s v="=CA1+MCP-M5"/>
    <m/>
    <m/>
    <x v="16"/>
    <s v="Slurry - Out Building 2nd Floor"/>
    <x v="7"/>
    <m/>
    <s v="LPG System"/>
    <s v="FT-913201"/>
    <m/>
    <m/>
    <n v="0"/>
    <s v="1st"/>
    <s v="325-01-803-PD-02"/>
    <s v="3-25-01-913-PD-02"/>
    <s v="Flow outlet LPG line"/>
    <s v="Require I/O DI= 1,DO=0,AI=2,AO=0,Bus=0"/>
    <s v="FT-913201_DI_1"/>
    <x v="0"/>
    <n v="1"/>
    <n v="1"/>
    <s v="C5S01DI"/>
    <s v="C5S01DI01"/>
    <s v="C5S01,01"/>
    <s v="DI"/>
    <s v="Require I/O DI= 1,DO=0,AI=2,AO=0,Bus=0"/>
    <x v="5"/>
    <x v="4"/>
    <n v="1"/>
    <m/>
    <n v="1"/>
    <n v="0"/>
    <n v="2"/>
    <n v="0"/>
    <n v="0"/>
    <m/>
    <s v="4 - 20 mA,Pulse"/>
    <s v="x"/>
  </r>
  <r>
    <s v="=CA1+MCP-M5"/>
    <m/>
    <m/>
    <x v="16"/>
    <s v="Slurry - Out Building 2nd Floor"/>
    <x v="7"/>
    <m/>
    <s v="LPG System"/>
    <s v="FT-913201"/>
    <m/>
    <m/>
    <n v="0"/>
    <s v="1st"/>
    <s v="325-01-803-PD-02"/>
    <s v="3-25-01-913-PD-02"/>
    <s v="Flow outlet LPG line"/>
    <s v="Require I/O DI= 1,DO=0,AI=2,AO=0,Bus=0"/>
    <s v="FT-913201_AI_1"/>
    <x v="3"/>
    <n v="3"/>
    <n v="1"/>
    <s v="C5S04AI"/>
    <s v="C5S04AI01"/>
    <s v="C5S04,01"/>
    <s v="AI"/>
    <s v="Require I/O DI= 1,DO=0,AI=2,AO=0,Bus=0"/>
    <x v="5"/>
    <x v="6"/>
    <n v="1"/>
    <m/>
    <n v="1"/>
    <n v="0"/>
    <n v="2"/>
    <n v="0"/>
    <n v="0"/>
    <m/>
    <s v="4 - 20 mA,Pulse"/>
    <s v="x"/>
  </r>
  <r>
    <s v="=CA1+MCP-M5"/>
    <m/>
    <m/>
    <x v="16"/>
    <s v="Slurry - Out Building 2nd Floor"/>
    <x v="7"/>
    <m/>
    <s v="LPG System"/>
    <s v="FT-913201"/>
    <m/>
    <m/>
    <n v="0"/>
    <s v="1st"/>
    <s v="325-01-803-PD-02"/>
    <s v="3-25-01-913-PD-02"/>
    <s v="Flow outlet LPG line"/>
    <s v="Require I/O DI= 1,DO=0,AI=2,AO=0,Bus=0"/>
    <s v="FT-913201_AI_2"/>
    <x v="3"/>
    <n v="3"/>
    <n v="2"/>
    <s v="C5S04AI"/>
    <s v="C5S04AI02"/>
    <s v="C5S04,02"/>
    <s v="AI"/>
    <s v="Require I/O DI= 1,DO=0,AI=2,AO=0,Bus=0"/>
    <x v="5"/>
    <x v="6"/>
    <n v="2"/>
    <m/>
    <n v="1"/>
    <n v="0"/>
    <n v="2"/>
    <n v="0"/>
    <n v="0"/>
    <m/>
    <s v="4 - 20 mA,Pulse"/>
    <s v="x"/>
  </r>
  <r>
    <s v="=CA1+MCP-M5"/>
    <m/>
    <m/>
    <x v="16"/>
    <s v="Slurry - Out Building 2nd Floor"/>
    <x v="7"/>
    <m/>
    <s v="Process Water"/>
    <s v="FT-936201"/>
    <m/>
    <m/>
    <n v="0"/>
    <s v="1st"/>
    <s v="325-01-930-PD-01"/>
    <s v="3-25-01-930-PD-08"/>
    <s v="Process Water"/>
    <s v="Require I/O DI= 1,DO=0,AI=1,AO=0,Bus=0"/>
    <s v="FT-936201_DI_1"/>
    <x v="0"/>
    <n v="1"/>
    <n v="1"/>
    <s v="C5S01DI"/>
    <s v="C5S01DI02"/>
    <s v="C5S01,02"/>
    <s v="DI"/>
    <s v="Require I/O DI= 1,DO=0,AI=1,AO=0,Bus=0"/>
    <x v="5"/>
    <x v="4"/>
    <n v="2"/>
    <m/>
    <n v="1"/>
    <n v="0"/>
    <n v="1"/>
    <n v="0"/>
    <n v="0"/>
    <m/>
    <s v="4 - 20 mA,Pulse"/>
    <s v="x"/>
  </r>
  <r>
    <s v="=CA1+MCP-M5"/>
    <m/>
    <m/>
    <x v="16"/>
    <s v="Slurry - Out Building 2nd Floor"/>
    <x v="7"/>
    <m/>
    <s v="Process Water"/>
    <s v="FT-936201"/>
    <m/>
    <m/>
    <n v="0"/>
    <s v="1st"/>
    <s v="325-01-930-PD-01"/>
    <s v="3-25-01-930-PD-08"/>
    <s v="Process Water"/>
    <s v="Require I/O DI= 1,DO=0,AI=1,AO=0,Bus=0"/>
    <s v="FT-936201_AI_1"/>
    <x v="3"/>
    <n v="3"/>
    <n v="1"/>
    <s v="C5S04AI"/>
    <s v="C5S04AI03"/>
    <s v="C5S04,03"/>
    <s v="AI"/>
    <s v="Require I/O DI= 1,DO=0,AI=1,AO=0,Bus=0"/>
    <x v="5"/>
    <x v="6"/>
    <n v="3"/>
    <m/>
    <n v="1"/>
    <n v="0"/>
    <n v="1"/>
    <n v="0"/>
    <n v="0"/>
    <m/>
    <s v="4 - 20 mA,Pulse"/>
    <s v="x"/>
  </r>
  <r>
    <s v="=CA1+MCP-M5"/>
    <m/>
    <m/>
    <x v="16"/>
    <s v="Slurry - Out Building 2nd Floor"/>
    <x v="7"/>
    <m/>
    <s v="Process Water"/>
    <s v="FT-936202"/>
    <m/>
    <m/>
    <n v="0"/>
    <s v="1st"/>
    <s v="325-01-930-PD-02"/>
    <s v="3-25-01-930-PD-07"/>
    <s v="Process Water"/>
    <s v="Require I/O DI= 1,DO=0,AI=1,AO=0,Bus=0"/>
    <s v="FT-936202_DI_1"/>
    <x v="0"/>
    <n v="1"/>
    <n v="1"/>
    <s v="C5S01DI"/>
    <s v="C5S01DI03"/>
    <s v="C5S01,03"/>
    <s v="DI"/>
    <s v="Require I/O DI= 1,DO=0,AI=1,AO=0,Bus=0"/>
    <x v="5"/>
    <x v="4"/>
    <n v="3"/>
    <m/>
    <n v="1"/>
    <n v="0"/>
    <n v="1"/>
    <n v="0"/>
    <n v="0"/>
    <m/>
    <s v="4 - 20 mA,Pulse"/>
    <s v="x"/>
  </r>
  <r>
    <s v="=CA1+MCP-M5"/>
    <m/>
    <m/>
    <x v="16"/>
    <s v="Slurry - Out Building 2nd Floor"/>
    <x v="7"/>
    <m/>
    <s v="Process Water"/>
    <s v="FT-936202"/>
    <m/>
    <m/>
    <n v="0"/>
    <s v="1st"/>
    <s v="325-01-930-PD-02"/>
    <s v="3-25-01-930-PD-07"/>
    <s v="Process Water"/>
    <s v="Require I/O DI= 1,DO=0,AI=1,AO=0,Bus=0"/>
    <s v="FT-936202_AI_1"/>
    <x v="3"/>
    <n v="3"/>
    <n v="1"/>
    <s v="C5S04AI"/>
    <s v="C5S04AI04"/>
    <s v="C5S04,04"/>
    <s v="AI"/>
    <s v="Require I/O DI= 1,DO=0,AI=1,AO=0,Bus=0"/>
    <x v="5"/>
    <x v="6"/>
    <n v="4"/>
    <m/>
    <n v="1"/>
    <n v="0"/>
    <n v="1"/>
    <n v="0"/>
    <n v="0"/>
    <m/>
    <s v="4 - 20 mA,Pulse"/>
    <s v="x"/>
  </r>
  <r>
    <s v="=CA1+MCP-M5"/>
    <m/>
    <m/>
    <x v="16"/>
    <s v="Slurry - Out Building 2nd Floor"/>
    <x v="7"/>
    <m/>
    <s v="Slurry - Out Building"/>
    <s v="HV-20204"/>
    <m/>
    <m/>
    <s v="Manual Valve With Position Switch "/>
    <s v="1st"/>
    <s v="325-01-200-PD-01"/>
    <s v="3-25-01-202-PD-01"/>
    <s v="Slurry Drain line"/>
    <s v="Require I/O DI= 1,DO=0,AI=0,AO=0,Bus=0"/>
    <s v="HV-20204_DI_1"/>
    <x v="0"/>
    <n v="1"/>
    <n v="1"/>
    <s v="C5S01DI"/>
    <s v="C5S01DI07"/>
    <s v="C5S01,07"/>
    <s v="DI"/>
    <s v="Require I/O DI= 1,DO=0,AI=0,AO=0,Bus=0"/>
    <x v="5"/>
    <x v="4"/>
    <n v="7"/>
    <m/>
    <n v="1"/>
    <n v="0"/>
    <n v="0"/>
    <n v="0"/>
    <n v="0"/>
    <m/>
    <s v="Dry Contact"/>
    <m/>
  </r>
  <r>
    <s v="=CA1+MCP-M5"/>
    <m/>
    <m/>
    <x v="16"/>
    <s v="Slurry - Out Building 2nd Floor"/>
    <x v="7"/>
    <m/>
    <s v="Slurry - Out Building"/>
    <s v="HV-20205"/>
    <m/>
    <m/>
    <s v="Manual Valve With Position Switch "/>
    <s v="1st"/>
    <s v="325-01-200-PD-01"/>
    <s v="3-25-01-202-PD-01"/>
    <s v="Slurry Drain line"/>
    <s v="Require I/O DI= 1,DO=0,AI=0,AO=0,Bus=0"/>
    <s v="HV-20205_DI_1"/>
    <x v="0"/>
    <n v="1"/>
    <n v="1"/>
    <s v="C5S01DI"/>
    <s v="C5S01DI08"/>
    <s v="C5S01,08"/>
    <s v="DI"/>
    <s v="Require I/O DI= 1,DO=0,AI=0,AO=0,Bus=0"/>
    <x v="5"/>
    <x v="4"/>
    <n v="8"/>
    <m/>
    <n v="1"/>
    <n v="0"/>
    <n v="0"/>
    <n v="0"/>
    <n v="0"/>
    <m/>
    <s v="Dry Contact"/>
    <m/>
  </r>
  <r>
    <s v="=CA1+MCP-M5"/>
    <m/>
    <m/>
    <x v="16"/>
    <s v="Slurry - Out Building 2nd Floor"/>
    <x v="7"/>
    <m/>
    <s v="Slurry - Out Building"/>
    <s v="HV-20206"/>
    <m/>
    <m/>
    <s v="Manual Valve With Position Switch "/>
    <s v="1st"/>
    <s v="325-01-200-PD-01"/>
    <s v="3-25-01-202-PD-01"/>
    <s v="Slurry Drain line"/>
    <s v="Require I/O DI= 1,DO=0,AI=0,AO=0,Bus=0"/>
    <s v="HV-20206_DI_1"/>
    <x v="0"/>
    <n v="1"/>
    <n v="1"/>
    <s v="C5S01DI"/>
    <s v="C5S01DI09"/>
    <s v="C5S01,09"/>
    <s v="DI"/>
    <s v="Require I/O DI= 1,DO=0,AI=0,AO=0,Bus=0"/>
    <x v="5"/>
    <x v="4"/>
    <n v="9"/>
    <m/>
    <n v="1"/>
    <n v="0"/>
    <n v="0"/>
    <n v="0"/>
    <n v="0"/>
    <m/>
    <s v="Dry Contact"/>
    <m/>
  </r>
  <r>
    <s v="=CA1+MCP-M5"/>
    <m/>
    <m/>
    <x v="16"/>
    <s v="Slurry - Out Building 2nd Floor"/>
    <x v="7"/>
    <m/>
    <s v="Slurry - Out Building"/>
    <s v="HV-20207"/>
    <m/>
    <m/>
    <s v="Manual Valve With Position Switch "/>
    <s v="1st"/>
    <s v="325-01-200-PD-01"/>
    <s v="3-25-01-202-PD-01"/>
    <s v="Slurry Drain line"/>
    <s v="Require I/O DI= 1,DO=0,AI=0,AO=0,Bus=0"/>
    <s v="HV-20207_DI_1"/>
    <x v="0"/>
    <n v="1"/>
    <n v="1"/>
    <s v="C5S01DI"/>
    <s v="C5S01DI10"/>
    <s v="C5S01,10"/>
    <s v="DI"/>
    <s v="Require I/O DI= 1,DO=0,AI=0,AO=0,Bus=0"/>
    <x v="5"/>
    <x v="4"/>
    <n v="10"/>
    <m/>
    <n v="1"/>
    <n v="0"/>
    <n v="0"/>
    <n v="0"/>
    <n v="0"/>
    <m/>
    <s v="Dry Contact"/>
    <m/>
  </r>
  <r>
    <s v="=CA1+MCP-M5"/>
    <m/>
    <m/>
    <x v="16"/>
    <s v="Slurry - Out Building 2nd Floor"/>
    <x v="7"/>
    <m/>
    <s v="Slurry - Out Building"/>
    <s v="HV-20208"/>
    <m/>
    <m/>
    <s v="Manual Valve With Position Switch "/>
    <s v="1st"/>
    <s v="325-01-200-PD-02"/>
    <s v="3-25-01-202-PD-02"/>
    <s v="Slurry Drain line"/>
    <s v="Require I/O DI= 1,DO=0,AI=0,AO=0,Bus=0"/>
    <s v="HV-20208_DI_1"/>
    <x v="0"/>
    <n v="1"/>
    <n v="1"/>
    <s v="C5S01DI"/>
    <s v="C5S01DI11"/>
    <s v="C5S01,11"/>
    <s v="DI"/>
    <s v="Require I/O DI= 1,DO=0,AI=0,AO=0,Bus=0"/>
    <x v="5"/>
    <x v="4"/>
    <n v="11"/>
    <m/>
    <n v="1"/>
    <n v="0"/>
    <n v="0"/>
    <n v="0"/>
    <n v="0"/>
    <m/>
    <s v="Dry Contact"/>
    <m/>
  </r>
  <r>
    <s v="=CA1+MCP-M5"/>
    <m/>
    <m/>
    <x v="16"/>
    <s v="Slurry - Out Building 2nd Floor"/>
    <x v="7"/>
    <m/>
    <s v="Slurry - Out Building"/>
    <s v="HV-20209"/>
    <m/>
    <m/>
    <s v="Manual Valve With Position Switch "/>
    <s v="1st"/>
    <s v="325-01-200-PD-02"/>
    <s v="3-25-01-202-PD-02"/>
    <s v="Slurry Drain line"/>
    <s v="Require I/O DI= 1,DO=0,AI=0,AO=0,Bus=0"/>
    <s v="HV-20209_DI_1"/>
    <x v="0"/>
    <n v="1"/>
    <n v="1"/>
    <s v="C5S01DI"/>
    <s v="C5S01DI12"/>
    <s v="C5S01,12"/>
    <s v="DI"/>
    <s v="Require I/O DI= 1,DO=0,AI=0,AO=0,Bus=0"/>
    <x v="5"/>
    <x v="4"/>
    <n v="12"/>
    <m/>
    <n v="1"/>
    <n v="0"/>
    <n v="0"/>
    <n v="0"/>
    <n v="0"/>
    <m/>
    <s v="Dry Contact"/>
    <m/>
  </r>
  <r>
    <s v="=CA1+MCP-M5"/>
    <m/>
    <m/>
    <x v="16"/>
    <s v="Slurry - Out Building 2nd Floor"/>
    <x v="7"/>
    <m/>
    <s v="Slurry - Out Building"/>
    <s v="HV-20210"/>
    <m/>
    <m/>
    <s v="Manual Valve With Position Switch "/>
    <s v="1st"/>
    <s v="325-01-200-PD-02"/>
    <s v="3-25-01-202-PD-02"/>
    <s v="Slurry Drain line"/>
    <s v="Require I/O DI= 1,DO=0,AI=0,AO=0,Bus=0"/>
    <s v="HV-20210_DI_1"/>
    <x v="0"/>
    <n v="1"/>
    <n v="1"/>
    <s v="C5S01DI"/>
    <s v="C5S01DI13"/>
    <s v="C5S01,13"/>
    <s v="DI"/>
    <s v="Require I/O DI= 1,DO=0,AI=0,AO=0,Bus=0"/>
    <x v="5"/>
    <x v="4"/>
    <n v="13"/>
    <m/>
    <n v="1"/>
    <n v="0"/>
    <n v="0"/>
    <n v="0"/>
    <n v="0"/>
    <m/>
    <s v="Dry Contact"/>
    <m/>
  </r>
  <r>
    <s v="=CA1+MCP-M5"/>
    <m/>
    <m/>
    <x v="16"/>
    <s v="Slurry - Out Building 2nd Floor"/>
    <x v="7"/>
    <m/>
    <s v="CIP Water System"/>
    <s v="LSL-814201"/>
    <m/>
    <m/>
    <n v="0"/>
    <s v="1st"/>
    <s v="-"/>
    <s v="3-25-01-814-PD-01"/>
    <s v="Low Level alarm "/>
    <s v="Require I/O DI= 1,DO=0,AI=0,AO=0,Bus=0"/>
    <s v="LSL-814201_DI_1"/>
    <x v="0"/>
    <n v="1"/>
    <n v="1"/>
    <s v="C5S01DI"/>
    <s v="C5S01DI04"/>
    <s v="C5S01,04"/>
    <s v="DI"/>
    <s v="Require I/O DI= 1,DO=0,AI=0,AO=0,Bus=0"/>
    <x v="5"/>
    <x v="4"/>
    <n v="4"/>
    <m/>
    <n v="1"/>
    <n v="0"/>
    <n v="0"/>
    <n v="0"/>
    <n v="0"/>
    <m/>
    <s v="Dry Contact"/>
    <s v="Y"/>
  </r>
  <r>
    <s v="=CA1+MCP-M5"/>
    <m/>
    <m/>
    <x v="16"/>
    <s v="Slurry - Out Building 2nd Floor"/>
    <x v="7"/>
    <m/>
    <s v="LPG System"/>
    <s v="LT-913201"/>
    <m/>
    <m/>
    <s v="Level Transmitter"/>
    <s v="1st"/>
    <s v="325-01-803-PD-01"/>
    <s v="3-25-01-913-PD-01"/>
    <s v="Level LPG in storage"/>
    <s v="Require I/O DI= 0,DO=0,AI=1,AO=0,Bus=0"/>
    <s v="LT-913201_AI_1"/>
    <x v="3"/>
    <n v="3"/>
    <n v="1"/>
    <s v="C5S04AI"/>
    <s v="C5S04AI05"/>
    <s v="C5S04,05"/>
    <s v="AI"/>
    <s v="Require I/O DI= 0,DO=0,AI=1,AO=0,Bus=0"/>
    <x v="5"/>
    <x v="6"/>
    <n v="5"/>
    <m/>
    <n v="0"/>
    <n v="0"/>
    <n v="1"/>
    <n v="0"/>
    <n v="0"/>
    <m/>
    <s v="4 - 20 mA"/>
    <s v="Y"/>
  </r>
  <r>
    <s v="=CA1+MCP-M5"/>
    <m/>
    <m/>
    <x v="16"/>
    <s v="Slurry - Out Building 2nd Floor"/>
    <x v="7"/>
    <m/>
    <s v="LPG System"/>
    <s v="PK-913201"/>
    <m/>
    <m/>
    <e v="#N/A"/>
    <s v="1st"/>
    <s v="-"/>
    <s v="-"/>
    <e v="#N/A"/>
    <s v="Require I/O DI= 1,DO=0,AI=0,AO=0,Bus=0"/>
    <s v="PK-913201_DI_1"/>
    <x v="0"/>
    <n v="1"/>
    <n v="1"/>
    <s v="C5S01DI"/>
    <s v="C5S01DI05"/>
    <s v="C5S01,05"/>
    <s v="DI"/>
    <s v="Require I/O DI= 1,DO=0,AI=0,AO=0,Bus=0"/>
    <x v="5"/>
    <x v="4"/>
    <n v="5"/>
    <m/>
    <n v="1"/>
    <n v="0"/>
    <n v="0"/>
    <n v="0"/>
    <n v="0"/>
    <m/>
    <e v="#N/A"/>
    <s v="Y"/>
  </r>
  <r>
    <s v="=CA1+MCP-M5"/>
    <m/>
    <m/>
    <x v="16"/>
    <s v="Slurry - Out Building 2nd Floor"/>
    <x v="7"/>
    <m/>
    <s v="LPG System"/>
    <s v="PK-913202"/>
    <m/>
    <m/>
    <e v="#N/A"/>
    <s v="1st"/>
    <s v="-"/>
    <s v="-"/>
    <e v="#N/A"/>
    <s v="Require I/O DI= 1,DO=0,AI=0,AO=0,Bus=0"/>
    <s v="PK-913202_DI_1"/>
    <x v="0"/>
    <n v="1"/>
    <n v="1"/>
    <s v="C5S01DI"/>
    <s v="C5S01DI06"/>
    <s v="C5S01,06"/>
    <s v="DI"/>
    <s v="Require I/O DI= 1,DO=0,AI=0,AO=0,Bus=0"/>
    <x v="5"/>
    <x v="4"/>
    <n v="6"/>
    <m/>
    <n v="1"/>
    <n v="0"/>
    <n v="0"/>
    <n v="0"/>
    <n v="0"/>
    <m/>
    <e v="#N/A"/>
    <s v="Y"/>
  </r>
  <r>
    <s v="=CA1+MCP-M5"/>
    <m/>
    <m/>
    <x v="16"/>
    <s v="Slurry - Out Building 2nd Floor"/>
    <x v="7"/>
    <m/>
    <s v="LPG System"/>
    <s v="PT-913201"/>
    <m/>
    <m/>
    <s v="Pressure Transmitter"/>
    <s v="1st"/>
    <s v="325-01-803-PD-02"/>
    <s v="3-25-01-913-PD-02"/>
    <s v="Pressure outlet LPG line"/>
    <s v="Require I/O DI= 0,DO=0,AI=1,AO=0,Bus=0"/>
    <s v="PT-913201_AI_1"/>
    <x v="3"/>
    <n v="3"/>
    <n v="1"/>
    <s v="C5S04AI"/>
    <s v="C5S04AI06"/>
    <s v="C5S04,06"/>
    <s v="AI"/>
    <s v="Require I/O DI= 0,DO=0,AI=1,AO=0,Bus=0"/>
    <x v="5"/>
    <x v="6"/>
    <n v="6"/>
    <m/>
    <n v="0"/>
    <n v="0"/>
    <n v="1"/>
    <n v="0"/>
    <n v="0"/>
    <m/>
    <s v="4 - 20 mA"/>
    <m/>
  </r>
  <r>
    <s v="=CA1+MCP-M5"/>
    <s v="RIO-200"/>
    <m/>
    <x v="16"/>
    <s v="Slurry - Out Building 2nd Floor"/>
    <x v="8"/>
    <m/>
    <m/>
    <s v="Spare"/>
    <m/>
    <m/>
    <e v="#N/A"/>
    <m/>
    <m/>
    <m/>
    <e v="#N/A"/>
    <s v="Require I/O DI= 0,DO=0,AI=0,AO=0,Bus=0"/>
    <s v="Spare_DI_"/>
    <x v="0"/>
    <n v="1"/>
    <m/>
    <s v="C5S02DI"/>
    <s v="C5S02DI08"/>
    <s v="C5S02,08"/>
    <s v="DI"/>
    <s v="Require I/O DI= 0,DO=0,AI=0,AO=0,Bus=0"/>
    <x v="5"/>
    <x v="0"/>
    <n v="8"/>
    <m/>
    <n v="0"/>
    <n v="0"/>
    <n v="0"/>
    <n v="0"/>
    <n v="0"/>
    <m/>
    <e v="#N/A"/>
    <m/>
  </r>
  <r>
    <s v="=CA1+MCP-M5"/>
    <s v="RIO-200"/>
    <m/>
    <x v="16"/>
    <s v="Slurry - Out Building 2nd Floor"/>
    <x v="8"/>
    <m/>
    <m/>
    <s v="Spare"/>
    <m/>
    <m/>
    <e v="#N/A"/>
    <m/>
    <m/>
    <m/>
    <e v="#N/A"/>
    <s v="Require I/O DI= 0,DO=0,AI=0,AO=0,Bus=0"/>
    <s v="Spare_DI_"/>
    <x v="0"/>
    <n v="1"/>
    <m/>
    <s v="C5S02DI"/>
    <s v="C5S02DI09"/>
    <s v="C5S02,09"/>
    <s v="DI"/>
    <s v="Require I/O DI= 0,DO=0,AI=0,AO=0,Bus=0"/>
    <x v="5"/>
    <x v="0"/>
    <n v="9"/>
    <m/>
    <n v="0"/>
    <n v="0"/>
    <n v="0"/>
    <n v="0"/>
    <n v="0"/>
    <m/>
    <e v="#N/A"/>
    <m/>
  </r>
  <r>
    <s v="=CA1+MCP-M5"/>
    <m/>
    <m/>
    <x v="16"/>
    <s v="Slurry - Out Building 2nd Floor"/>
    <x v="8"/>
    <m/>
    <m/>
    <s v="Spare"/>
    <m/>
    <m/>
    <e v="#N/A"/>
    <m/>
    <m/>
    <m/>
    <e v="#N/A"/>
    <s v="Require I/O DI= 0,DO=0,AI=0,AO=0,Bus=0"/>
    <s v="Spare_DI_"/>
    <x v="0"/>
    <n v="1"/>
    <m/>
    <s v="C5S02DI"/>
    <s v="C5S02DI10"/>
    <s v="C5S02,10"/>
    <s v="DI"/>
    <s v="Require I/O DI= 0,DO=0,AI=0,AO=0,Bus=0"/>
    <x v="5"/>
    <x v="0"/>
    <n v="10"/>
    <m/>
    <n v="0"/>
    <n v="0"/>
    <n v="0"/>
    <n v="0"/>
    <n v="0"/>
    <m/>
    <e v="#N/A"/>
    <m/>
  </r>
  <r>
    <s v="=CA1+MCP-M5"/>
    <m/>
    <m/>
    <x v="16"/>
    <s v="Slurry - Out Building 2nd Floor"/>
    <x v="8"/>
    <m/>
    <m/>
    <s v="Spare"/>
    <m/>
    <m/>
    <e v="#N/A"/>
    <m/>
    <m/>
    <m/>
    <e v="#N/A"/>
    <s v="Require I/O DI= 0,DO=0,AI=0,AO=0,Bus=0"/>
    <s v="Spare_DI_"/>
    <x v="0"/>
    <n v="1"/>
    <m/>
    <s v="C5S02DI"/>
    <s v="C5S02DI11"/>
    <s v="C5S02,11"/>
    <s v="DI"/>
    <s v="Require I/O DI= 0,DO=0,AI=0,AO=0,Bus=0"/>
    <x v="5"/>
    <x v="0"/>
    <n v="11"/>
    <m/>
    <n v="0"/>
    <n v="0"/>
    <n v="0"/>
    <n v="0"/>
    <n v="0"/>
    <m/>
    <e v="#N/A"/>
    <m/>
  </r>
  <r>
    <s v="=CA1+MCP-M5"/>
    <m/>
    <m/>
    <x v="16"/>
    <s v="Slurry - Out Building 2nd Floor"/>
    <x v="8"/>
    <m/>
    <m/>
    <s v="Spare"/>
    <m/>
    <m/>
    <e v="#N/A"/>
    <m/>
    <m/>
    <m/>
    <e v="#N/A"/>
    <s v="Require I/O DI= 0,DO=0,AI=0,AO=0,Bus=0"/>
    <s v="Spare_DI_"/>
    <x v="0"/>
    <n v="1"/>
    <m/>
    <s v="C5S02DI"/>
    <s v="C5S02DI12"/>
    <s v="C5S02,12"/>
    <s v="DI"/>
    <s v="Require I/O DI= 0,DO=0,AI=0,AO=0,Bus=0"/>
    <x v="5"/>
    <x v="0"/>
    <n v="12"/>
    <m/>
    <n v="0"/>
    <n v="0"/>
    <n v="0"/>
    <n v="0"/>
    <n v="0"/>
    <m/>
    <e v="#N/A"/>
    <m/>
  </r>
  <r>
    <s v="=CA1+MCP-M5"/>
    <m/>
    <m/>
    <x v="16"/>
    <s v="Slurry - Out Building 2nd Floor"/>
    <x v="8"/>
    <m/>
    <m/>
    <s v="Spare"/>
    <m/>
    <m/>
    <e v="#N/A"/>
    <m/>
    <m/>
    <m/>
    <e v="#N/A"/>
    <s v="Require I/O DI= 0,DO=0,AI=0,AO=0,Bus=0"/>
    <s v="Spare_DI_"/>
    <x v="0"/>
    <n v="1"/>
    <m/>
    <s v="C5S02DI"/>
    <s v="C5S02DI13"/>
    <s v="C5S02,13"/>
    <s v="DI"/>
    <s v="Require I/O DI= 0,DO=0,AI=0,AO=0,Bus=0"/>
    <x v="5"/>
    <x v="0"/>
    <n v="13"/>
    <m/>
    <n v="0"/>
    <n v="0"/>
    <n v="0"/>
    <n v="0"/>
    <n v="0"/>
    <m/>
    <e v="#N/A"/>
    <m/>
  </r>
  <r>
    <s v="=CA1+MCP-M5"/>
    <m/>
    <m/>
    <x v="16"/>
    <s v="Slurry - Out Building 2nd Floor"/>
    <x v="8"/>
    <m/>
    <m/>
    <s v="Spare"/>
    <m/>
    <m/>
    <e v="#N/A"/>
    <m/>
    <m/>
    <m/>
    <e v="#N/A"/>
    <s v="Require I/O DI= 0,DO=0,AI=0,AO=0,Bus=0"/>
    <s v="Spare_DI_"/>
    <x v="0"/>
    <n v="1"/>
    <m/>
    <s v="C5S02DI"/>
    <s v="C5S02DI14"/>
    <s v="C5S02,14"/>
    <s v="DI"/>
    <s v="Require I/O DI= 0,DO=0,AI=0,AO=0,Bus=0"/>
    <x v="5"/>
    <x v="0"/>
    <n v="14"/>
    <m/>
    <n v="0"/>
    <n v="0"/>
    <n v="0"/>
    <n v="0"/>
    <n v="0"/>
    <m/>
    <e v="#N/A"/>
    <m/>
  </r>
  <r>
    <s v="=CA1+MCP-M5"/>
    <m/>
    <m/>
    <x v="16"/>
    <s v="Slurry - Out Building 2nd Floor"/>
    <x v="8"/>
    <m/>
    <m/>
    <s v="Spare"/>
    <m/>
    <m/>
    <e v="#N/A"/>
    <m/>
    <m/>
    <m/>
    <e v="#N/A"/>
    <s v="Require I/O DI= 0,DO=0,AI=0,AO=0,Bus=0"/>
    <s v="Spare_DI_"/>
    <x v="0"/>
    <n v="1"/>
    <m/>
    <s v="C5S02DI"/>
    <s v="C5S02DI15"/>
    <s v="C5S02,15"/>
    <s v="DI"/>
    <s v="Require I/O DI= 0,DO=0,AI=0,AO=0,Bus=0"/>
    <x v="5"/>
    <x v="0"/>
    <n v="15"/>
    <m/>
    <n v="0"/>
    <n v="0"/>
    <n v="0"/>
    <n v="0"/>
    <n v="0"/>
    <m/>
    <e v="#N/A"/>
    <m/>
  </r>
  <r>
    <s v="=CA1+MCP-M5"/>
    <m/>
    <m/>
    <x v="16"/>
    <s v="Slurry - Out Building 2nd Floor"/>
    <x v="8"/>
    <m/>
    <m/>
    <s v="Spare"/>
    <m/>
    <m/>
    <e v="#N/A"/>
    <m/>
    <m/>
    <m/>
    <e v="#N/A"/>
    <s v="Require I/O DI= 0,DO=0,AI=0,AO=0,Bus=0"/>
    <s v="Spare_DI_"/>
    <x v="0"/>
    <n v="1"/>
    <m/>
    <s v="C5S02DI"/>
    <s v="C5S02DI16"/>
    <s v="C5S02,16"/>
    <s v="DI"/>
    <s v="Require I/O DI= 0,DO=0,AI=0,AO=0,Bus=0"/>
    <x v="5"/>
    <x v="0"/>
    <n v="16"/>
    <m/>
    <n v="0"/>
    <n v="0"/>
    <n v="0"/>
    <n v="0"/>
    <n v="0"/>
    <m/>
    <e v="#N/A"/>
    <m/>
  </r>
  <r>
    <s v="=CA1+MCP-M5"/>
    <m/>
    <m/>
    <x v="16"/>
    <s v="Slurry - Out Building 2nd Floor"/>
    <x v="8"/>
    <m/>
    <m/>
    <s v="Spare"/>
    <m/>
    <m/>
    <e v="#N/A"/>
    <m/>
    <m/>
    <m/>
    <e v="#N/A"/>
    <s v="Require I/O DI= 0,DO=0,AI=0,AO=0,Bus=0"/>
    <s v="Spare_DI_"/>
    <x v="0"/>
    <n v="1"/>
    <m/>
    <s v="C5S02DI"/>
    <s v="C5S02DI17"/>
    <s v="C5S02,17"/>
    <s v="DI"/>
    <s v="Require I/O DI= 0,DO=0,AI=0,AO=0,Bus=0"/>
    <x v="5"/>
    <x v="0"/>
    <n v="17"/>
    <m/>
    <n v="0"/>
    <n v="0"/>
    <n v="0"/>
    <n v="0"/>
    <n v="0"/>
    <m/>
    <e v="#N/A"/>
    <m/>
  </r>
  <r>
    <s v="=CA1+MCP-M5"/>
    <m/>
    <m/>
    <x v="16"/>
    <s v="Slurry - Out Building 2nd Floor"/>
    <x v="8"/>
    <m/>
    <m/>
    <s v="Spare"/>
    <m/>
    <m/>
    <e v="#N/A"/>
    <m/>
    <m/>
    <m/>
    <e v="#N/A"/>
    <s v="Require I/O DI= 0,DO=0,AI=0,AO=0,Bus=0"/>
    <s v="Spare_DI_"/>
    <x v="0"/>
    <n v="1"/>
    <m/>
    <s v="C5S02DI"/>
    <s v="C5S02DI18"/>
    <s v="C5S02,18"/>
    <s v="DI"/>
    <s v="Require I/O DI= 0,DO=0,AI=0,AO=0,Bus=0"/>
    <x v="5"/>
    <x v="0"/>
    <n v="18"/>
    <m/>
    <n v="0"/>
    <n v="0"/>
    <n v="0"/>
    <n v="0"/>
    <n v="0"/>
    <m/>
    <e v="#N/A"/>
    <m/>
  </r>
  <r>
    <s v="=CA1+MCP-M5"/>
    <m/>
    <m/>
    <x v="16"/>
    <s v="Slurry - Out Building 2nd Floor"/>
    <x v="8"/>
    <m/>
    <m/>
    <s v="Spare"/>
    <m/>
    <m/>
    <e v="#N/A"/>
    <m/>
    <m/>
    <m/>
    <e v="#N/A"/>
    <s v="Require I/O DI= 0,DO=0,AI=0,AO=0,Bus=0"/>
    <s v="Spare_DI_"/>
    <x v="0"/>
    <n v="1"/>
    <m/>
    <s v="C5S02DI"/>
    <s v="C5S02DI19"/>
    <s v="C5S02,19"/>
    <s v="DI"/>
    <s v="Require I/O DI= 0,DO=0,AI=0,AO=0,Bus=0"/>
    <x v="5"/>
    <x v="0"/>
    <n v="19"/>
    <m/>
    <n v="0"/>
    <n v="0"/>
    <n v="0"/>
    <n v="0"/>
    <n v="0"/>
    <m/>
    <e v="#N/A"/>
    <m/>
  </r>
  <r>
    <s v="=CA1+MCP-M5"/>
    <m/>
    <m/>
    <x v="16"/>
    <s v="Slurry - Out Building 2nd Floor"/>
    <x v="8"/>
    <m/>
    <m/>
    <s v="Spare"/>
    <m/>
    <m/>
    <e v="#N/A"/>
    <m/>
    <m/>
    <m/>
    <e v="#N/A"/>
    <s v="Require I/O DI= 0,DO=0,AI=0,AO=0,Bus=0"/>
    <s v="Spare_DI_"/>
    <x v="0"/>
    <n v="1"/>
    <m/>
    <s v="C5S02DI"/>
    <s v="C5S02DI20"/>
    <s v="C5S02,20"/>
    <s v="DI"/>
    <s v="Require I/O DI= 0,DO=0,AI=0,AO=0,Bus=0"/>
    <x v="5"/>
    <x v="0"/>
    <n v="20"/>
    <m/>
    <n v="0"/>
    <n v="0"/>
    <n v="0"/>
    <n v="0"/>
    <n v="0"/>
    <m/>
    <e v="#N/A"/>
    <m/>
  </r>
  <r>
    <s v="=CA1+MCP-M5"/>
    <m/>
    <m/>
    <x v="16"/>
    <s v="Slurry - Out Building 2nd Floor"/>
    <x v="8"/>
    <m/>
    <m/>
    <s v="Spare"/>
    <m/>
    <m/>
    <e v="#N/A"/>
    <m/>
    <m/>
    <m/>
    <e v="#N/A"/>
    <s v="Require I/O DI= 0,DO=0,AI=0,AO=0,Bus=0"/>
    <s v="Spare_DI_"/>
    <x v="0"/>
    <n v="1"/>
    <m/>
    <s v="C5S02DI"/>
    <s v="C5S02DI21"/>
    <s v="C5S02,21"/>
    <s v="DI"/>
    <s v="Require I/O DI= 0,DO=0,AI=0,AO=0,Bus=0"/>
    <x v="5"/>
    <x v="0"/>
    <n v="21"/>
    <m/>
    <n v="0"/>
    <n v="0"/>
    <n v="0"/>
    <n v="0"/>
    <n v="0"/>
    <m/>
    <e v="#N/A"/>
    <m/>
  </r>
  <r>
    <s v="=CA1+MCP-M5"/>
    <m/>
    <m/>
    <x v="16"/>
    <s v="Slurry - Out Building 2nd Floor"/>
    <x v="8"/>
    <m/>
    <m/>
    <s v="Spare"/>
    <m/>
    <m/>
    <e v="#N/A"/>
    <m/>
    <m/>
    <m/>
    <e v="#N/A"/>
    <s v="Require I/O DI= 0,DO=0,AI=0,AO=0,Bus=0"/>
    <s v="Spare_DI_"/>
    <x v="0"/>
    <n v="1"/>
    <m/>
    <s v="C5S02DI"/>
    <s v="C5S02DI22"/>
    <s v="C5S02,22"/>
    <s v="DI"/>
    <s v="Require I/O DI= 0,DO=0,AI=0,AO=0,Bus=0"/>
    <x v="5"/>
    <x v="0"/>
    <n v="22"/>
    <m/>
    <n v="0"/>
    <n v="0"/>
    <n v="0"/>
    <n v="0"/>
    <n v="0"/>
    <m/>
    <e v="#N/A"/>
    <m/>
  </r>
  <r>
    <s v="=CA1+MCP-M5"/>
    <m/>
    <m/>
    <x v="16"/>
    <s v="Slurry - Out Building 2nd Floor"/>
    <x v="8"/>
    <m/>
    <m/>
    <s v="Spare"/>
    <m/>
    <m/>
    <e v="#N/A"/>
    <m/>
    <m/>
    <m/>
    <e v="#N/A"/>
    <s v="Require I/O DI= 0,DO=0,AI=0,AO=0,Bus=0"/>
    <s v="Spare_DI_"/>
    <x v="0"/>
    <n v="1"/>
    <m/>
    <s v="C5S02DI"/>
    <s v="C5S02DI23"/>
    <s v="C5S02,23"/>
    <s v="DI"/>
    <s v="Require I/O DI= 0,DO=0,AI=0,AO=0,Bus=0"/>
    <x v="5"/>
    <x v="0"/>
    <n v="23"/>
    <m/>
    <n v="0"/>
    <n v="0"/>
    <n v="0"/>
    <n v="0"/>
    <n v="0"/>
    <m/>
    <e v="#N/A"/>
    <m/>
  </r>
  <r>
    <s v="=CA1+MCP-M5"/>
    <m/>
    <m/>
    <x v="16"/>
    <s v="Slurry - Out Building 2nd Floor"/>
    <x v="8"/>
    <m/>
    <m/>
    <s v="Spare"/>
    <m/>
    <m/>
    <e v="#N/A"/>
    <m/>
    <m/>
    <m/>
    <e v="#N/A"/>
    <s v="Require I/O DI= 0,DO=0,AI=0,AO=0,Bus=0"/>
    <s v="Spare_DI_"/>
    <x v="0"/>
    <n v="1"/>
    <m/>
    <s v="C5S02DI"/>
    <s v="C5S02DI24"/>
    <s v="C5S02,24"/>
    <s v="DI"/>
    <s v="Require I/O DI= 0,DO=0,AI=0,AO=0,Bus=0"/>
    <x v="5"/>
    <x v="0"/>
    <n v="24"/>
    <m/>
    <n v="0"/>
    <n v="0"/>
    <n v="0"/>
    <n v="0"/>
    <n v="0"/>
    <m/>
    <e v="#N/A"/>
    <m/>
  </r>
  <r>
    <s v="=CA1+MCP-M5"/>
    <m/>
    <m/>
    <x v="16"/>
    <s v="Slurry - Out Building 2nd Floor"/>
    <x v="8"/>
    <m/>
    <m/>
    <s v="Spare"/>
    <m/>
    <m/>
    <e v="#N/A"/>
    <m/>
    <m/>
    <m/>
    <e v="#N/A"/>
    <s v="Require I/O DI= 0,DO=0,AI=0,AO=0,Bus=0"/>
    <s v="Spare_DI_"/>
    <x v="0"/>
    <n v="1"/>
    <m/>
    <s v="C5S02DI"/>
    <s v="C5S02DI25"/>
    <s v="C5S02,25"/>
    <s v="DI"/>
    <s v="Require I/O DI= 0,DO=0,AI=0,AO=0,Bus=0"/>
    <x v="5"/>
    <x v="0"/>
    <n v="25"/>
    <m/>
    <n v="0"/>
    <n v="0"/>
    <n v="0"/>
    <n v="0"/>
    <n v="0"/>
    <m/>
    <e v="#N/A"/>
    <m/>
  </r>
  <r>
    <s v="=CA1+MCP-M5"/>
    <m/>
    <m/>
    <x v="16"/>
    <s v="Slurry - Out Building 2nd Floor"/>
    <x v="8"/>
    <m/>
    <m/>
    <s v="Spare"/>
    <m/>
    <m/>
    <e v="#N/A"/>
    <m/>
    <m/>
    <m/>
    <e v="#N/A"/>
    <s v="Require I/O DI= 0,DO=0,AI=0,AO=0,Bus=0"/>
    <s v="Spare_DI_"/>
    <x v="0"/>
    <n v="1"/>
    <m/>
    <s v="C5S02DI"/>
    <s v="C5S02DI26"/>
    <s v="C5S02,26"/>
    <s v="DI"/>
    <s v="Require I/O DI= 0,DO=0,AI=0,AO=0,Bus=0"/>
    <x v="5"/>
    <x v="0"/>
    <n v="26"/>
    <m/>
    <n v="0"/>
    <n v="0"/>
    <n v="0"/>
    <n v="0"/>
    <n v="0"/>
    <m/>
    <e v="#N/A"/>
    <m/>
  </r>
  <r>
    <s v="=CA1+MCP-M5"/>
    <m/>
    <m/>
    <x v="16"/>
    <s v="Slurry - Out Building 2nd Floor"/>
    <x v="8"/>
    <m/>
    <m/>
    <s v="Spare"/>
    <m/>
    <m/>
    <e v="#N/A"/>
    <m/>
    <m/>
    <m/>
    <e v="#N/A"/>
    <s v="Require I/O DI= 0,DO=0,AI=0,AO=0,Bus=0"/>
    <s v="Spare_DI_"/>
    <x v="0"/>
    <n v="1"/>
    <m/>
    <s v="C5S02DI"/>
    <s v="C5S02DI27"/>
    <s v="C5S02,27"/>
    <s v="DI"/>
    <s v="Require I/O DI= 0,DO=0,AI=0,AO=0,Bus=0"/>
    <x v="5"/>
    <x v="0"/>
    <n v="27"/>
    <m/>
    <n v="0"/>
    <n v="0"/>
    <n v="0"/>
    <n v="0"/>
    <n v="0"/>
    <m/>
    <e v="#N/A"/>
    <m/>
  </r>
  <r>
    <s v="=CA1+MCP-M5"/>
    <m/>
    <m/>
    <x v="16"/>
    <s v="Slurry - Out Building 2nd Floor"/>
    <x v="8"/>
    <m/>
    <m/>
    <s v="Spare"/>
    <m/>
    <m/>
    <e v="#N/A"/>
    <m/>
    <m/>
    <m/>
    <e v="#N/A"/>
    <s v="Require I/O DI= 0,DO=0,AI=0,AO=0,Bus=0"/>
    <s v="Spare_DI_"/>
    <x v="0"/>
    <n v="1"/>
    <m/>
    <s v="C5S02DI"/>
    <s v="C5S02DI28"/>
    <s v="C5S02,28"/>
    <s v="DI"/>
    <s v="Require I/O DI= 0,DO=0,AI=0,AO=0,Bus=0"/>
    <x v="5"/>
    <x v="0"/>
    <n v="28"/>
    <m/>
    <n v="0"/>
    <n v="0"/>
    <n v="0"/>
    <n v="0"/>
    <n v="0"/>
    <m/>
    <e v="#N/A"/>
    <m/>
  </r>
  <r>
    <s v="=CA1+MCP-M5"/>
    <m/>
    <m/>
    <x v="16"/>
    <s v="Slurry - Out Building 2nd Floor"/>
    <x v="8"/>
    <m/>
    <m/>
    <s v="Spare"/>
    <m/>
    <m/>
    <e v="#N/A"/>
    <m/>
    <m/>
    <m/>
    <e v="#N/A"/>
    <s v="Require I/O DI= 0,DO=0,AI=0,AO=0,Bus=0"/>
    <s v="Spare_DI_"/>
    <x v="0"/>
    <n v="1"/>
    <m/>
    <s v="C5S02DI"/>
    <s v="C5S02DI29"/>
    <s v="C5S02,29"/>
    <s v="DI"/>
    <s v="Require I/O DI= 0,DO=0,AI=0,AO=0,Bus=0"/>
    <x v="5"/>
    <x v="0"/>
    <n v="29"/>
    <m/>
    <n v="0"/>
    <n v="0"/>
    <n v="0"/>
    <n v="0"/>
    <n v="0"/>
    <m/>
    <e v="#N/A"/>
    <m/>
  </r>
  <r>
    <s v="=CA1+MCP-M5"/>
    <m/>
    <m/>
    <x v="16"/>
    <s v="Slurry - Out Building 2nd Floor"/>
    <x v="8"/>
    <m/>
    <m/>
    <s v="Spare"/>
    <m/>
    <m/>
    <e v="#N/A"/>
    <m/>
    <m/>
    <m/>
    <e v="#N/A"/>
    <s v="Require I/O DI= 0,DO=0,AI=0,AO=0,Bus=0"/>
    <s v="Spare_DI_"/>
    <x v="0"/>
    <n v="1"/>
    <m/>
    <s v="C5S02DI"/>
    <s v="C5S02DI30"/>
    <s v="C5S02,30"/>
    <s v="DI"/>
    <s v="Require I/O DI= 0,DO=0,AI=0,AO=0,Bus=0"/>
    <x v="5"/>
    <x v="0"/>
    <n v="30"/>
    <m/>
    <n v="0"/>
    <n v="0"/>
    <n v="0"/>
    <n v="0"/>
    <n v="0"/>
    <m/>
    <e v="#N/A"/>
    <m/>
  </r>
  <r>
    <s v="=CA1+MCP-M5"/>
    <m/>
    <m/>
    <x v="16"/>
    <s v="Slurry - Out Building 2nd Floor"/>
    <x v="8"/>
    <m/>
    <m/>
    <s v="Spare"/>
    <m/>
    <m/>
    <e v="#N/A"/>
    <m/>
    <m/>
    <m/>
    <e v="#N/A"/>
    <s v="Require I/O DI= 0,DO=0,AI=0,AO=0,Bus=0"/>
    <s v="Spare_DI_"/>
    <x v="0"/>
    <n v="1"/>
    <m/>
    <s v="C5S02DI"/>
    <s v="C5S02DI31"/>
    <s v="C5S02,31"/>
    <s v="DI"/>
    <s v="Require I/O DI= 0,DO=0,AI=0,AO=0,Bus=0"/>
    <x v="5"/>
    <x v="0"/>
    <n v="31"/>
    <m/>
    <n v="0"/>
    <n v="0"/>
    <n v="0"/>
    <n v="0"/>
    <n v="0"/>
    <m/>
    <e v="#N/A"/>
    <m/>
  </r>
  <r>
    <s v="=CA1+MCP-M5"/>
    <m/>
    <m/>
    <x v="16"/>
    <s v="Slurry - Out Building 2nd Floor"/>
    <x v="8"/>
    <m/>
    <m/>
    <s v="Spare"/>
    <m/>
    <m/>
    <e v="#N/A"/>
    <m/>
    <m/>
    <m/>
    <e v="#N/A"/>
    <s v="Require I/O DI= 0,DO=0,AI=0,AO=0,Bus=0"/>
    <s v="Spare_DO_"/>
    <x v="1"/>
    <n v="2"/>
    <m/>
    <s v="C5S03DO"/>
    <s v="C5S03DO08"/>
    <s v="C5S03,08"/>
    <s v="DO"/>
    <s v="Require I/O DI= 0,DO=0,AI=0,AO=0,Bus=0"/>
    <x v="5"/>
    <x v="1"/>
    <n v="8"/>
    <m/>
    <n v="0"/>
    <n v="0"/>
    <n v="0"/>
    <n v="0"/>
    <n v="0"/>
    <m/>
    <e v="#N/A"/>
    <m/>
  </r>
  <r>
    <s v="=CA1+MCP-M5"/>
    <m/>
    <m/>
    <x v="16"/>
    <s v="Slurry - Out Building 2nd Floor"/>
    <x v="8"/>
    <m/>
    <m/>
    <s v="Spare"/>
    <m/>
    <m/>
    <e v="#N/A"/>
    <m/>
    <m/>
    <m/>
    <e v="#N/A"/>
    <s v="Require I/O DI= 0,DO=0,AI=0,AO=0,Bus=0"/>
    <s v="Spare_DO_"/>
    <x v="1"/>
    <n v="2"/>
    <m/>
    <s v="C5S03DO"/>
    <s v="C5S03DO09"/>
    <s v="C5S03,09"/>
    <s v="DO"/>
    <s v="Require I/O DI= 0,DO=0,AI=0,AO=0,Bus=0"/>
    <x v="5"/>
    <x v="1"/>
    <n v="9"/>
    <m/>
    <n v="0"/>
    <n v="0"/>
    <n v="0"/>
    <n v="0"/>
    <n v="0"/>
    <m/>
    <e v="#N/A"/>
    <m/>
  </r>
  <r>
    <s v="=CA1+MCP-M5"/>
    <m/>
    <m/>
    <x v="16"/>
    <s v="Slurry - Out Building 2nd Floor"/>
    <x v="8"/>
    <m/>
    <m/>
    <s v="Spare"/>
    <m/>
    <m/>
    <e v="#N/A"/>
    <m/>
    <m/>
    <m/>
    <e v="#N/A"/>
    <s v="Require I/O DI= 0,DO=0,AI=0,AO=0,Bus=0"/>
    <s v="Spare_DO_"/>
    <x v="1"/>
    <n v="2"/>
    <m/>
    <s v="C5S03DO"/>
    <s v="C5S03DO10"/>
    <s v="C5S03,10"/>
    <s v="DO"/>
    <s v="Require I/O DI= 0,DO=0,AI=0,AO=0,Bus=0"/>
    <x v="5"/>
    <x v="1"/>
    <n v="10"/>
    <m/>
    <n v="0"/>
    <n v="0"/>
    <n v="0"/>
    <n v="0"/>
    <n v="0"/>
    <m/>
    <e v="#N/A"/>
    <m/>
  </r>
  <r>
    <s v="=CA1+MCP-M5"/>
    <m/>
    <m/>
    <x v="16"/>
    <s v="Slurry - Out Building 2nd Floor"/>
    <x v="8"/>
    <m/>
    <m/>
    <s v="Spare"/>
    <m/>
    <m/>
    <e v="#N/A"/>
    <m/>
    <m/>
    <m/>
    <e v="#N/A"/>
    <s v="Require I/O DI= 0,DO=0,AI=0,AO=0,Bus=0"/>
    <s v="Spare_DO_"/>
    <x v="1"/>
    <n v="2"/>
    <m/>
    <s v="C5S03DO"/>
    <s v="C5S03DO11"/>
    <s v="C5S03,11"/>
    <s v="DO"/>
    <s v="Require I/O DI= 0,DO=0,AI=0,AO=0,Bus=0"/>
    <x v="5"/>
    <x v="1"/>
    <n v="11"/>
    <m/>
    <n v="0"/>
    <n v="0"/>
    <n v="0"/>
    <n v="0"/>
    <n v="0"/>
    <m/>
    <e v="#N/A"/>
    <m/>
  </r>
  <r>
    <s v="=CA1+MCP-M5"/>
    <m/>
    <m/>
    <x v="16"/>
    <s v="Slurry - Out Building 2nd Floor"/>
    <x v="8"/>
    <m/>
    <m/>
    <s v="Spare"/>
    <m/>
    <m/>
    <e v="#N/A"/>
    <m/>
    <m/>
    <m/>
    <e v="#N/A"/>
    <s v="Require I/O DI= 0,DO=0,AI=0,AO=0,Bus=0"/>
    <s v="Spare_DO_"/>
    <x v="1"/>
    <n v="2"/>
    <m/>
    <s v="C5S03DO"/>
    <s v="C5S03DO12"/>
    <s v="C5S03,12"/>
    <s v="DO"/>
    <s v="Require I/O DI= 0,DO=0,AI=0,AO=0,Bus=0"/>
    <x v="5"/>
    <x v="1"/>
    <n v="12"/>
    <m/>
    <n v="0"/>
    <n v="0"/>
    <n v="0"/>
    <n v="0"/>
    <n v="0"/>
    <m/>
    <e v="#N/A"/>
    <m/>
  </r>
  <r>
    <s v="=CA1+MCP-M5"/>
    <m/>
    <m/>
    <x v="16"/>
    <s v="Slurry - Out Building 2nd Floor"/>
    <x v="8"/>
    <m/>
    <m/>
    <s v="Spare"/>
    <m/>
    <m/>
    <e v="#N/A"/>
    <m/>
    <m/>
    <m/>
    <e v="#N/A"/>
    <s v="Require I/O DI= 0,DO=0,AI=0,AO=0,Bus=0"/>
    <s v="Spare_DO_"/>
    <x v="1"/>
    <n v="2"/>
    <m/>
    <s v="C5S03DO"/>
    <s v="C5S03DO13"/>
    <s v="C5S03,13"/>
    <s v="DO"/>
    <s v="Require I/O DI= 0,DO=0,AI=0,AO=0,Bus=0"/>
    <x v="5"/>
    <x v="1"/>
    <n v="13"/>
    <m/>
    <n v="0"/>
    <n v="0"/>
    <n v="0"/>
    <n v="0"/>
    <n v="0"/>
    <m/>
    <e v="#N/A"/>
    <m/>
  </r>
  <r>
    <s v="=CA1+MCP-M5"/>
    <m/>
    <m/>
    <x v="16"/>
    <s v="Slurry - Out Building 2nd Floor"/>
    <x v="8"/>
    <m/>
    <m/>
    <s v="Spare"/>
    <m/>
    <m/>
    <e v="#N/A"/>
    <m/>
    <m/>
    <m/>
    <e v="#N/A"/>
    <s v="Require I/O DI= 0,DO=0,AI=0,AO=0,Bus=0"/>
    <s v="Spare_DO_"/>
    <x v="1"/>
    <n v="2"/>
    <m/>
    <s v="C5S03DO"/>
    <s v="C5S03DO14"/>
    <s v="C5S03,14"/>
    <s v="DO"/>
    <s v="Require I/O DI= 0,DO=0,AI=0,AO=0,Bus=0"/>
    <x v="5"/>
    <x v="1"/>
    <n v="14"/>
    <m/>
    <n v="0"/>
    <n v="0"/>
    <n v="0"/>
    <n v="0"/>
    <n v="0"/>
    <m/>
    <e v="#N/A"/>
    <m/>
  </r>
  <r>
    <s v="=CA1+MCP-M5"/>
    <m/>
    <m/>
    <x v="16"/>
    <s v="Slurry - Out Building 2nd Floor"/>
    <x v="8"/>
    <m/>
    <m/>
    <s v="Spare"/>
    <m/>
    <m/>
    <e v="#N/A"/>
    <m/>
    <m/>
    <m/>
    <e v="#N/A"/>
    <s v="Require I/O DI= 0,DO=0,AI=0,AO=0,Bus=0"/>
    <s v="Spare_DO_"/>
    <x v="1"/>
    <n v="2"/>
    <m/>
    <s v="C5S03DO"/>
    <s v="C5S03DO15"/>
    <s v="C5S03,15"/>
    <s v="DO"/>
    <s v="Require I/O DI= 0,DO=0,AI=0,AO=0,Bus=0"/>
    <x v="5"/>
    <x v="1"/>
    <n v="15"/>
    <m/>
    <n v="0"/>
    <n v="0"/>
    <n v="0"/>
    <n v="0"/>
    <n v="0"/>
    <m/>
    <e v="#N/A"/>
    <m/>
  </r>
  <r>
    <s v="=CA1+MCP-M5"/>
    <m/>
    <m/>
    <x v="16"/>
    <s v="Slurry - Out Building 2nd Floor"/>
    <x v="8"/>
    <m/>
    <m/>
    <s v="Spare"/>
    <m/>
    <m/>
    <e v="#N/A"/>
    <m/>
    <m/>
    <m/>
    <e v="#N/A"/>
    <s v="Require I/O DI= 0,DO=0,AI=0,AO=0,Bus=0"/>
    <s v="Spare_DO_"/>
    <x v="1"/>
    <n v="2"/>
    <m/>
    <s v="C5S03DO"/>
    <s v="C5S03DO16"/>
    <s v="C5S03,16"/>
    <s v="DO"/>
    <s v="Require I/O DI= 0,DO=0,AI=0,AO=0,Bus=0"/>
    <x v="5"/>
    <x v="1"/>
    <n v="16"/>
    <m/>
    <n v="0"/>
    <n v="0"/>
    <n v="0"/>
    <n v="0"/>
    <n v="0"/>
    <m/>
    <e v="#N/A"/>
    <m/>
  </r>
  <r>
    <s v="=CA1+MCP-M5"/>
    <m/>
    <m/>
    <x v="16"/>
    <s v="Slurry - Out Building 2nd Floor"/>
    <x v="8"/>
    <m/>
    <m/>
    <s v="Spare"/>
    <m/>
    <m/>
    <e v="#N/A"/>
    <m/>
    <m/>
    <m/>
    <e v="#N/A"/>
    <s v="Require I/O DI= 0,DO=0,AI=0,AO=0,Bus=0"/>
    <s v="Spare_DO_"/>
    <x v="1"/>
    <n v="2"/>
    <m/>
    <s v="C5S03DO"/>
    <s v="C5S03DO17"/>
    <s v="C5S03,17"/>
    <s v="DO"/>
    <s v="Require I/O DI= 0,DO=0,AI=0,AO=0,Bus=0"/>
    <x v="5"/>
    <x v="1"/>
    <n v="17"/>
    <m/>
    <n v="0"/>
    <n v="0"/>
    <n v="0"/>
    <n v="0"/>
    <n v="0"/>
    <m/>
    <e v="#N/A"/>
    <m/>
  </r>
  <r>
    <s v="=CA1+MCP-M5"/>
    <m/>
    <m/>
    <x v="16"/>
    <s v="Slurry - Out Building 2nd Floor"/>
    <x v="8"/>
    <m/>
    <m/>
    <s v="Spare"/>
    <m/>
    <m/>
    <e v="#N/A"/>
    <m/>
    <m/>
    <m/>
    <e v="#N/A"/>
    <s v="Require I/O DI= 0,DO=0,AI=0,AO=0,Bus=0"/>
    <s v="Spare_DO_"/>
    <x v="1"/>
    <n v="2"/>
    <m/>
    <s v="C5S03DO"/>
    <s v="C5S03DO18"/>
    <s v="C5S03,18"/>
    <s v="DO"/>
    <s v="Require I/O DI= 0,DO=0,AI=0,AO=0,Bus=0"/>
    <x v="5"/>
    <x v="1"/>
    <n v="18"/>
    <m/>
    <n v="0"/>
    <n v="0"/>
    <n v="0"/>
    <n v="0"/>
    <n v="0"/>
    <m/>
    <e v="#N/A"/>
    <m/>
  </r>
  <r>
    <s v="=CA1+MCP-M5"/>
    <m/>
    <m/>
    <x v="16"/>
    <s v="Slurry - Out Building 2nd Floor"/>
    <x v="8"/>
    <m/>
    <m/>
    <s v="Spare"/>
    <m/>
    <m/>
    <e v="#N/A"/>
    <m/>
    <m/>
    <m/>
    <e v="#N/A"/>
    <s v="Require I/O DI= 0,DO=0,AI=0,AO=0,Bus=0"/>
    <s v="Spare_DO_"/>
    <x v="1"/>
    <n v="2"/>
    <m/>
    <s v="C5S03DO"/>
    <s v="C5S03DO19"/>
    <s v="C5S03,19"/>
    <s v="DO"/>
    <s v="Require I/O DI= 0,DO=0,AI=0,AO=0,Bus=0"/>
    <x v="5"/>
    <x v="1"/>
    <n v="19"/>
    <m/>
    <n v="0"/>
    <n v="0"/>
    <n v="0"/>
    <n v="0"/>
    <n v="0"/>
    <m/>
    <e v="#N/A"/>
    <m/>
  </r>
  <r>
    <s v="=CA1+MCP-M5"/>
    <m/>
    <m/>
    <x v="16"/>
    <s v="Slurry - Out Building 2nd Floor"/>
    <x v="8"/>
    <m/>
    <m/>
    <s v="Spare"/>
    <m/>
    <m/>
    <e v="#N/A"/>
    <m/>
    <m/>
    <m/>
    <e v="#N/A"/>
    <s v="Require I/O DI= 0,DO=0,AI=0,AO=0,Bus=0"/>
    <s v="Spare_DO_"/>
    <x v="1"/>
    <n v="2"/>
    <m/>
    <s v="C5S03DO"/>
    <s v="C5S03DO20"/>
    <s v="C5S03,20"/>
    <s v="DO"/>
    <s v="Require I/O DI= 0,DO=0,AI=0,AO=0,Bus=0"/>
    <x v="5"/>
    <x v="1"/>
    <n v="20"/>
    <m/>
    <n v="0"/>
    <n v="0"/>
    <n v="0"/>
    <n v="0"/>
    <n v="0"/>
    <m/>
    <e v="#N/A"/>
    <m/>
  </r>
  <r>
    <s v="=CA1+MCP-M5"/>
    <m/>
    <m/>
    <x v="16"/>
    <s v="Slurry - Out Building 2nd Floor"/>
    <x v="8"/>
    <m/>
    <m/>
    <s v="Spare"/>
    <m/>
    <m/>
    <e v="#N/A"/>
    <m/>
    <m/>
    <m/>
    <e v="#N/A"/>
    <s v="Require I/O DI= 0,DO=0,AI=0,AO=0,Bus=0"/>
    <s v="Spare_DO_"/>
    <x v="1"/>
    <n v="2"/>
    <m/>
    <s v="C5S03DO"/>
    <s v="C5S03DO21"/>
    <s v="C5S03,21"/>
    <s v="DO"/>
    <s v="Require I/O DI= 0,DO=0,AI=0,AO=0,Bus=0"/>
    <x v="5"/>
    <x v="1"/>
    <n v="21"/>
    <m/>
    <n v="0"/>
    <n v="0"/>
    <n v="0"/>
    <n v="0"/>
    <n v="0"/>
    <m/>
    <e v="#N/A"/>
    <m/>
  </r>
  <r>
    <s v="=CA1+MCP-M5"/>
    <m/>
    <m/>
    <x v="16"/>
    <s v="Slurry - Out Building 2nd Floor"/>
    <x v="8"/>
    <m/>
    <m/>
    <s v="Spare"/>
    <m/>
    <m/>
    <e v="#N/A"/>
    <m/>
    <m/>
    <m/>
    <e v="#N/A"/>
    <s v="Require I/O DI= 0,DO=0,AI=0,AO=0,Bus=0"/>
    <s v="Spare_DO_"/>
    <x v="1"/>
    <n v="2"/>
    <m/>
    <s v="C5S03DO"/>
    <s v="C5S03DO22"/>
    <s v="C5S03,22"/>
    <s v="DO"/>
    <s v="Require I/O DI= 0,DO=0,AI=0,AO=0,Bus=0"/>
    <x v="5"/>
    <x v="1"/>
    <n v="22"/>
    <m/>
    <n v="0"/>
    <n v="0"/>
    <n v="0"/>
    <n v="0"/>
    <n v="0"/>
    <m/>
    <e v="#N/A"/>
    <m/>
  </r>
  <r>
    <s v="=CA1+MCP-M5"/>
    <m/>
    <m/>
    <x v="16"/>
    <s v="Slurry - Out Building 2nd Floor"/>
    <x v="8"/>
    <m/>
    <m/>
    <s v="Spare"/>
    <m/>
    <m/>
    <e v="#N/A"/>
    <m/>
    <m/>
    <m/>
    <e v="#N/A"/>
    <s v="Require I/O DI= 0,DO=0,AI=0,AO=0,Bus=0"/>
    <s v="Spare_DO_"/>
    <x v="1"/>
    <n v="2"/>
    <m/>
    <s v="C5S03DO"/>
    <s v="C5S03DO23"/>
    <s v="C5S03,23"/>
    <s v="DO"/>
    <s v="Require I/O DI= 0,DO=0,AI=0,AO=0,Bus=0"/>
    <x v="5"/>
    <x v="1"/>
    <n v="23"/>
    <m/>
    <n v="0"/>
    <n v="0"/>
    <n v="0"/>
    <n v="0"/>
    <n v="0"/>
    <m/>
    <e v="#N/A"/>
    <m/>
  </r>
  <r>
    <s v="=CA1+MCP-M5"/>
    <m/>
    <m/>
    <x v="16"/>
    <s v="Slurry - Out Building 2nd Floor"/>
    <x v="8"/>
    <m/>
    <m/>
    <s v="Spare"/>
    <m/>
    <m/>
    <e v="#N/A"/>
    <m/>
    <m/>
    <m/>
    <e v="#N/A"/>
    <s v="Require I/O DI= 0,DO=0,AI=0,AO=0,Bus=0"/>
    <s v="Spare_DO_"/>
    <x v="1"/>
    <n v="2"/>
    <m/>
    <s v="C5S03DO"/>
    <s v="C5S03DO24"/>
    <s v="C5S03,24"/>
    <s v="DO"/>
    <s v="Require I/O DI= 0,DO=0,AI=0,AO=0,Bus=0"/>
    <x v="5"/>
    <x v="1"/>
    <n v="24"/>
    <m/>
    <n v="0"/>
    <n v="0"/>
    <n v="0"/>
    <n v="0"/>
    <n v="0"/>
    <m/>
    <e v="#N/A"/>
    <m/>
  </r>
  <r>
    <s v="=CA1+MCP-M5"/>
    <m/>
    <m/>
    <x v="16"/>
    <s v="Slurry - Out Building 2nd Floor"/>
    <x v="8"/>
    <m/>
    <m/>
    <s v="Spare"/>
    <m/>
    <m/>
    <e v="#N/A"/>
    <m/>
    <m/>
    <m/>
    <e v="#N/A"/>
    <s v="Require I/O DI= 0,DO=0,AI=0,AO=0,Bus=0"/>
    <s v="Spare_DO_"/>
    <x v="1"/>
    <n v="2"/>
    <m/>
    <s v="C5S03DO"/>
    <s v="C5S03DO25"/>
    <s v="C5S03,25"/>
    <s v="DO"/>
    <s v="Require I/O DI= 0,DO=0,AI=0,AO=0,Bus=0"/>
    <x v="5"/>
    <x v="1"/>
    <n v="25"/>
    <m/>
    <n v="0"/>
    <n v="0"/>
    <n v="0"/>
    <n v="0"/>
    <n v="0"/>
    <m/>
    <e v="#N/A"/>
    <m/>
  </r>
  <r>
    <s v="=CA1+MCP-M5"/>
    <m/>
    <m/>
    <x v="16"/>
    <s v="Slurry - Out Building 2nd Floor"/>
    <x v="8"/>
    <m/>
    <m/>
    <s v="Spare"/>
    <m/>
    <m/>
    <e v="#N/A"/>
    <m/>
    <m/>
    <m/>
    <e v="#N/A"/>
    <s v="Require I/O DI= 0,DO=0,AI=0,AO=0,Bus=0"/>
    <s v="Spare_DO_"/>
    <x v="1"/>
    <n v="2"/>
    <m/>
    <s v="C5S03DO"/>
    <s v="C5S03DO26"/>
    <s v="C5S03,26"/>
    <s v="DO"/>
    <s v="Require I/O DI= 0,DO=0,AI=0,AO=0,Bus=0"/>
    <x v="5"/>
    <x v="1"/>
    <n v="26"/>
    <m/>
    <n v="0"/>
    <n v="0"/>
    <n v="0"/>
    <n v="0"/>
    <n v="0"/>
    <m/>
    <e v="#N/A"/>
    <m/>
  </r>
  <r>
    <s v="=CA1+MCP-M5"/>
    <m/>
    <m/>
    <x v="16"/>
    <s v="Slurry - Out Building 2nd Floor"/>
    <x v="8"/>
    <m/>
    <m/>
    <s v="Spare"/>
    <m/>
    <m/>
    <e v="#N/A"/>
    <m/>
    <m/>
    <m/>
    <e v="#N/A"/>
    <s v="Require I/O DI= 0,DO=0,AI=0,AO=0,Bus=0"/>
    <s v="Spare_DO_"/>
    <x v="1"/>
    <n v="2"/>
    <m/>
    <s v="C5S03DO"/>
    <s v="C5S03DO27"/>
    <s v="C5S03,27"/>
    <s v="DO"/>
    <s v="Require I/O DI= 0,DO=0,AI=0,AO=0,Bus=0"/>
    <x v="5"/>
    <x v="1"/>
    <n v="27"/>
    <m/>
    <n v="0"/>
    <n v="0"/>
    <n v="0"/>
    <n v="0"/>
    <n v="0"/>
    <m/>
    <e v="#N/A"/>
    <m/>
  </r>
  <r>
    <s v="=CA1+MCP-M5"/>
    <m/>
    <m/>
    <x v="16"/>
    <s v="Slurry - Out Building 2nd Floor"/>
    <x v="8"/>
    <m/>
    <m/>
    <s v="Spare"/>
    <m/>
    <m/>
    <e v="#N/A"/>
    <m/>
    <m/>
    <m/>
    <e v="#N/A"/>
    <s v="Require I/O DI= 0,DO=0,AI=0,AO=0,Bus=0"/>
    <s v="Spare_DO_"/>
    <x v="1"/>
    <n v="2"/>
    <m/>
    <s v="C5S03DO"/>
    <s v="C5S03DO28"/>
    <s v="C5S03,28"/>
    <s v="DO"/>
    <s v="Require I/O DI= 0,DO=0,AI=0,AO=0,Bus=0"/>
    <x v="5"/>
    <x v="1"/>
    <n v="28"/>
    <m/>
    <n v="0"/>
    <n v="0"/>
    <n v="0"/>
    <n v="0"/>
    <n v="0"/>
    <m/>
    <e v="#N/A"/>
    <m/>
  </r>
  <r>
    <s v="=CA1+MCP-M5"/>
    <m/>
    <m/>
    <x v="16"/>
    <s v="Slurry - Out Building 2nd Floor"/>
    <x v="8"/>
    <m/>
    <m/>
    <s v="Spare"/>
    <m/>
    <m/>
    <e v="#N/A"/>
    <m/>
    <m/>
    <m/>
    <e v="#N/A"/>
    <s v="Require I/O DI= 0,DO=0,AI=0,AO=0,Bus=0"/>
    <s v="Spare_DO_"/>
    <x v="1"/>
    <n v="2"/>
    <m/>
    <s v="C5S03DO"/>
    <s v="C5S03DO29"/>
    <s v="C5S03,29"/>
    <s v="DO"/>
    <s v="Require I/O DI= 0,DO=0,AI=0,AO=0,Bus=0"/>
    <x v="5"/>
    <x v="1"/>
    <n v="29"/>
    <m/>
    <n v="0"/>
    <n v="0"/>
    <n v="0"/>
    <n v="0"/>
    <n v="0"/>
    <m/>
    <e v="#N/A"/>
    <m/>
  </r>
  <r>
    <s v="=CA1+MCP-M5"/>
    <m/>
    <m/>
    <x v="16"/>
    <s v="Slurry - Out Building 2nd Floor"/>
    <x v="8"/>
    <m/>
    <m/>
    <s v="Spare"/>
    <m/>
    <m/>
    <e v="#N/A"/>
    <m/>
    <m/>
    <m/>
    <e v="#N/A"/>
    <s v="Require I/O DI= 0,DO=0,AI=0,AO=0,Bus=0"/>
    <s v="Spare_DO_"/>
    <x v="1"/>
    <n v="2"/>
    <m/>
    <s v="C5S03DO"/>
    <s v="C5S03DO30"/>
    <s v="C5S03,30"/>
    <s v="DO"/>
    <s v="Require I/O DI= 0,DO=0,AI=0,AO=0,Bus=0"/>
    <x v="5"/>
    <x v="1"/>
    <n v="30"/>
    <m/>
    <n v="0"/>
    <n v="0"/>
    <n v="0"/>
    <n v="0"/>
    <n v="0"/>
    <m/>
    <e v="#N/A"/>
    <m/>
  </r>
  <r>
    <s v="=CA1+MCP-M5"/>
    <m/>
    <m/>
    <x v="16"/>
    <s v="Slurry - Out Building 2nd Floor"/>
    <x v="8"/>
    <m/>
    <m/>
    <s v="Spare"/>
    <m/>
    <m/>
    <e v="#N/A"/>
    <m/>
    <m/>
    <m/>
    <e v="#N/A"/>
    <s v="Require I/O DI= 0,DO=0,AI=0,AO=0,Bus=0"/>
    <s v="Spare_DO_"/>
    <x v="1"/>
    <n v="2"/>
    <m/>
    <s v="C5S03DO"/>
    <s v="C5S03DO31"/>
    <s v="C5S03,31"/>
    <s v="DO"/>
    <s v="Require I/O DI= 0,DO=0,AI=0,AO=0,Bus=0"/>
    <x v="5"/>
    <x v="1"/>
    <n v="31"/>
    <m/>
    <n v="0"/>
    <n v="0"/>
    <n v="0"/>
    <n v="0"/>
    <n v="0"/>
    <m/>
    <e v="#N/A"/>
    <m/>
  </r>
  <r>
    <s v="=CA1+MCP-M5"/>
    <m/>
    <m/>
    <x v="16"/>
    <s v="Slurry - Out Building 2nd Floor"/>
    <x v="7"/>
    <m/>
    <s v="LPG System"/>
    <s v="Spare"/>
    <n v="1"/>
    <m/>
    <e v="#N/A"/>
    <s v="1st"/>
    <s v="-"/>
    <s v="3-25-01-913-PD-02"/>
    <e v="#N/A"/>
    <s v="Require I/O DI= 0,DO=0,AI=0,AO=0,Bus=0"/>
    <s v="Spare_AI_1"/>
    <x v="3"/>
    <n v="3"/>
    <n v="1"/>
    <s v="C5S04AI"/>
    <s v="C5S04AI09"/>
    <s v="C5S04,09"/>
    <s v="AI"/>
    <s v="Require I/O DI= 0,DO=0,AI=0,AO=0,Bus=0"/>
    <x v="5"/>
    <x v="6"/>
    <n v="9"/>
    <m/>
    <n v="0"/>
    <n v="0"/>
    <n v="0"/>
    <n v="0"/>
    <n v="0"/>
    <m/>
    <e v="#N/A"/>
    <m/>
  </r>
  <r>
    <s v="=CA1+MCP-M5"/>
    <m/>
    <m/>
    <x v="16"/>
    <s v="Slurry - Out Building 2nd Floor"/>
    <x v="7"/>
    <m/>
    <s v="LPG System"/>
    <s v="Spare"/>
    <n v="1"/>
    <m/>
    <e v="#N/A"/>
    <s v="1st"/>
    <s v="-"/>
    <s v="3-25-01-913-PD-02"/>
    <e v="#N/A"/>
    <s v="Require I/O DI= 0,DO=0,AI=0,AO=0,Bus=0"/>
    <s v="Spare_AI_1"/>
    <x v="3"/>
    <n v="3"/>
    <n v="1"/>
    <s v="C5S04AI"/>
    <s v="C5S04AI10"/>
    <s v="C5S04,10"/>
    <s v="AI"/>
    <s v="Require I/O DI= 0,DO=0,AI=0,AO=0,Bus=0"/>
    <x v="5"/>
    <x v="6"/>
    <n v="10"/>
    <m/>
    <n v="0"/>
    <n v="0"/>
    <n v="0"/>
    <n v="0"/>
    <n v="0"/>
    <m/>
    <e v="#N/A"/>
    <m/>
  </r>
  <r>
    <s v="=CA1+MCP-M5"/>
    <m/>
    <m/>
    <x v="16"/>
    <s v="Slurry - Out Building 2nd Floor"/>
    <x v="7"/>
    <m/>
    <s v="LPG System"/>
    <s v="Spare"/>
    <n v="1"/>
    <m/>
    <e v="#N/A"/>
    <s v="1st"/>
    <s v="-"/>
    <s v="3-25-01-913-PD-02"/>
    <e v="#N/A"/>
    <s v="Require I/O DI= 0,DO=0,AI=0,AO=0,Bus=0"/>
    <s v="Spare_AI_1"/>
    <x v="3"/>
    <n v="3"/>
    <n v="1"/>
    <s v="C5S04AI"/>
    <s v="C5S04AI11"/>
    <s v="C5S04,11"/>
    <s v="AI"/>
    <s v="Require I/O DI= 0,DO=0,AI=0,AO=0,Bus=0"/>
    <x v="5"/>
    <x v="6"/>
    <n v="11"/>
    <m/>
    <n v="0"/>
    <n v="0"/>
    <n v="0"/>
    <n v="0"/>
    <n v="0"/>
    <m/>
    <e v="#N/A"/>
    <m/>
  </r>
  <r>
    <s v="=CA1+MCP-M5"/>
    <m/>
    <m/>
    <x v="16"/>
    <s v="Slurry - Out Building 2nd Floor"/>
    <x v="7"/>
    <m/>
    <s v="LPG System"/>
    <s v="Spare"/>
    <n v="1"/>
    <m/>
    <e v="#N/A"/>
    <s v="1st"/>
    <s v="-"/>
    <s v="3-25-01-913-PD-02"/>
    <e v="#N/A"/>
    <s v="Require I/O DI= 0,DO=0,AI=0,AO=0,Bus=0"/>
    <s v="Spare_AI_1"/>
    <x v="3"/>
    <n v="3"/>
    <n v="1"/>
    <s v="C5S04AI"/>
    <s v="C5S04AI12"/>
    <s v="C5S04,12"/>
    <s v="AI"/>
    <s v="Require I/O DI= 0,DO=0,AI=0,AO=0,Bus=0"/>
    <x v="5"/>
    <x v="6"/>
    <n v="12"/>
    <m/>
    <n v="0"/>
    <n v="0"/>
    <n v="0"/>
    <n v="0"/>
    <n v="0"/>
    <m/>
    <e v="#N/A"/>
    <m/>
  </r>
  <r>
    <s v="=CA1+MCP-M5"/>
    <m/>
    <m/>
    <x v="16"/>
    <s v="Slurry - Out Building 2nd Floor"/>
    <x v="7"/>
    <m/>
    <s v="LPG System"/>
    <s v="Spare"/>
    <n v="1"/>
    <m/>
    <e v="#N/A"/>
    <s v="1st"/>
    <s v="-"/>
    <s v="3-25-01-913-PD-02"/>
    <e v="#N/A"/>
    <s v="Require I/O DI= 0,DO=0,AI=0,AO=0,Bus=0"/>
    <s v="Spare_AI_1"/>
    <x v="3"/>
    <n v="3"/>
    <n v="1"/>
    <s v="C5S04AI"/>
    <s v="C5S04AI13"/>
    <s v="C5S04,13"/>
    <s v="AI"/>
    <s v="Require I/O DI= 0,DO=0,AI=0,AO=0,Bus=0"/>
    <x v="5"/>
    <x v="6"/>
    <n v="13"/>
    <m/>
    <n v="0"/>
    <n v="0"/>
    <n v="0"/>
    <n v="0"/>
    <n v="0"/>
    <m/>
    <e v="#N/A"/>
    <m/>
  </r>
  <r>
    <s v="=CA1+MCP-M5"/>
    <m/>
    <m/>
    <x v="16"/>
    <s v="Slurry - Out Building 2nd Floor"/>
    <x v="8"/>
    <m/>
    <m/>
    <s v="Spare"/>
    <m/>
    <m/>
    <e v="#N/A"/>
    <m/>
    <m/>
    <m/>
    <e v="#N/A"/>
    <s v="Require I/O DI= 0,DO=0,AI=0,AO=0,Bus=0"/>
    <s v="Spare_AI_"/>
    <x v="3"/>
    <n v="3"/>
    <m/>
    <s v="C5S04AI"/>
    <s v="C5S04AI14"/>
    <s v="C5S04,14"/>
    <s v="AI"/>
    <s v="Require I/O DI= 0,DO=0,AI=0,AO=0,Bus=0"/>
    <x v="5"/>
    <x v="6"/>
    <n v="14"/>
    <m/>
    <n v="0"/>
    <n v="0"/>
    <n v="0"/>
    <n v="0"/>
    <n v="0"/>
    <m/>
    <e v="#N/A"/>
    <m/>
  </r>
  <r>
    <s v="=CA1+MCP-M5"/>
    <m/>
    <m/>
    <x v="16"/>
    <s v="Slurry - Out Building 2nd Floor"/>
    <x v="8"/>
    <m/>
    <m/>
    <s v="Spare"/>
    <m/>
    <m/>
    <e v="#N/A"/>
    <m/>
    <m/>
    <m/>
    <e v="#N/A"/>
    <s v="Require I/O DI= 0,DO=0,AI=0,AO=0,Bus=0"/>
    <s v="Spare_AI_"/>
    <x v="3"/>
    <n v="3"/>
    <m/>
    <s v="C5S04AI"/>
    <s v="C5S04AI15"/>
    <s v="C5S04,15"/>
    <s v="AI"/>
    <s v="Require I/O DI= 0,DO=0,AI=0,AO=0,Bus=0"/>
    <x v="5"/>
    <x v="6"/>
    <n v="15"/>
    <m/>
    <n v="0"/>
    <n v="0"/>
    <n v="0"/>
    <n v="0"/>
    <n v="0"/>
    <m/>
    <e v="#N/A"/>
    <m/>
  </r>
  <r>
    <s v="=CA1+MCP-M5"/>
    <m/>
    <m/>
    <x v="16"/>
    <s v="Slurry - Out Building 2nd Floor"/>
    <x v="7"/>
    <m/>
    <s v="LPG System"/>
    <s v="XA-80305A"/>
    <m/>
    <m/>
    <n v="0"/>
    <s v="1st"/>
    <s v="325-01-803-PD-02"/>
    <s v="-"/>
    <s v="Gas Vaporizer 5 control status"/>
    <s v="Require I/O DI= 1,DO=0,AI=0,AO=0,Bus=0"/>
    <s v="XA-80305A_DI_1"/>
    <x v="0"/>
    <n v="1"/>
    <n v="1"/>
    <s v="C5S01DI"/>
    <s v="C5S01DI14"/>
    <s v="C5S01,14"/>
    <s v="DI"/>
    <s v="Require I/O DI= 1,DO=0,AI=0,AO=0,Bus=0"/>
    <x v="5"/>
    <x v="4"/>
    <n v="14"/>
    <m/>
    <n v="1"/>
    <n v="0"/>
    <n v="0"/>
    <n v="0"/>
    <n v="0"/>
    <m/>
    <s v="Dry Contact"/>
    <m/>
  </r>
  <r>
    <s v="=CA1+MCP-M5"/>
    <m/>
    <m/>
    <x v="16"/>
    <s v="Slurry - Out Building 2nd Floor"/>
    <x v="7"/>
    <m/>
    <s v="LPG System"/>
    <s v="XA-80305B"/>
    <m/>
    <m/>
    <n v="0"/>
    <s v="1st"/>
    <s v="325-01-803-PD-02"/>
    <s v="-"/>
    <s v="Gas Vaporizer 5 control status"/>
    <s v="Require I/O DI= 1,DO=0,AI=0,AO=0,Bus=0"/>
    <s v="XA-80305B_DI_1"/>
    <x v="0"/>
    <n v="1"/>
    <n v="1"/>
    <s v="C5S01DI"/>
    <s v="C5S01DI15"/>
    <s v="C5S01,15"/>
    <s v="DI"/>
    <s v="Require I/O DI= 1,DO=0,AI=0,AO=0,Bus=0"/>
    <x v="5"/>
    <x v="4"/>
    <n v="15"/>
    <m/>
    <n v="1"/>
    <n v="0"/>
    <n v="0"/>
    <n v="0"/>
    <n v="0"/>
    <m/>
    <s v="Dry Contact"/>
    <m/>
  </r>
  <r>
    <s v="=CA1+MCP-M5"/>
    <m/>
    <m/>
    <x v="16"/>
    <s v="Slurry - Out Building 2nd Floor"/>
    <x v="7"/>
    <m/>
    <s v="LPG System"/>
    <s v="XA-80305C"/>
    <m/>
    <m/>
    <n v="0"/>
    <s v="1st"/>
    <s v="325-01-803-PD-02"/>
    <s v="-"/>
    <s v="Gas Vaporizer 5 control status"/>
    <s v="Require I/O DI= 1,DO=0,AI=0,AO=0,Bus=0"/>
    <s v="XA-80305C_DI_1"/>
    <x v="0"/>
    <n v="1"/>
    <n v="1"/>
    <s v="C5S01DI"/>
    <s v="C5S01DI16"/>
    <s v="C5S01,16"/>
    <s v="DI"/>
    <s v="Require I/O DI= 1,DO=0,AI=0,AO=0,Bus=0"/>
    <x v="5"/>
    <x v="4"/>
    <n v="16"/>
    <m/>
    <n v="1"/>
    <n v="0"/>
    <n v="0"/>
    <n v="0"/>
    <n v="0"/>
    <m/>
    <s v="Dry Contact"/>
    <m/>
  </r>
  <r>
    <s v="=CA1+MCP-M5"/>
    <m/>
    <m/>
    <x v="16"/>
    <s v="Slurry - Out Building 2nd Floor"/>
    <x v="7"/>
    <m/>
    <s v="LPG System"/>
    <s v="XA-80305D"/>
    <m/>
    <m/>
    <n v="0"/>
    <s v="1st"/>
    <s v="325-01-803-PD-02"/>
    <s v="-"/>
    <s v="Gas Vaporizer 5 control status"/>
    <s v="Require I/O DI= 1,DO=0,AI=0,AO=0,Bus=0"/>
    <s v="XA-80305D_DI_1"/>
    <x v="0"/>
    <n v="1"/>
    <n v="1"/>
    <s v="C5S01DI"/>
    <s v="C5S01DI17"/>
    <s v="C5S01,17"/>
    <s v="DI"/>
    <s v="Require I/O DI= 1,DO=0,AI=0,AO=0,Bus=0"/>
    <x v="5"/>
    <x v="4"/>
    <n v="17"/>
    <m/>
    <n v="1"/>
    <n v="0"/>
    <n v="0"/>
    <n v="0"/>
    <n v="0"/>
    <m/>
    <s v="Dry Contact"/>
    <m/>
  </r>
  <r>
    <s v="=CA1+MCP-M5"/>
    <m/>
    <m/>
    <x v="16"/>
    <s v="Slurry - Out Building 2nd Floor"/>
    <x v="7"/>
    <m/>
    <s v="LPG System"/>
    <s v="XA-80305E"/>
    <m/>
    <m/>
    <n v="0"/>
    <s v="1st"/>
    <s v="325-01-803-PD-02"/>
    <s v="-"/>
    <s v="Gas Vaporizer 5 control status"/>
    <s v="Require I/O DI= 1,DO=0,AI=0,AO=0,Bus=0"/>
    <s v="XA-80305E_DI_1"/>
    <x v="0"/>
    <n v="1"/>
    <n v="1"/>
    <s v="C5S01DI"/>
    <s v="C5S01DI18"/>
    <s v="C5S01,18"/>
    <s v="DI"/>
    <s v="Require I/O DI= 1,DO=0,AI=0,AO=0,Bus=0"/>
    <x v="5"/>
    <x v="4"/>
    <n v="18"/>
    <m/>
    <n v="1"/>
    <n v="0"/>
    <n v="0"/>
    <n v="0"/>
    <n v="0"/>
    <m/>
    <s v="Dry Contact"/>
    <m/>
  </r>
  <r>
    <s v="=CA1+MCP-M5"/>
    <m/>
    <m/>
    <x v="16"/>
    <s v="Slurry - Out Building 2nd Floor"/>
    <x v="7"/>
    <m/>
    <s v="LPG System"/>
    <s v="XA-80305F"/>
    <m/>
    <m/>
    <n v="0"/>
    <s v="1st"/>
    <s v="325-01-803-PD-02"/>
    <s v="-"/>
    <s v="Gas Vaporizer 5 control status"/>
    <s v="Require I/O DI= 1,DO=0,AI=0,AO=0,Bus=0"/>
    <s v="XA-80305F_DI_1"/>
    <x v="0"/>
    <n v="1"/>
    <n v="1"/>
    <s v="C5S01DI"/>
    <s v="C5S01DI19"/>
    <s v="C5S01,19"/>
    <s v="DI"/>
    <s v="Require I/O DI= 1,DO=0,AI=0,AO=0,Bus=0"/>
    <x v="5"/>
    <x v="4"/>
    <n v="19"/>
    <m/>
    <n v="1"/>
    <n v="0"/>
    <n v="0"/>
    <n v="0"/>
    <n v="0"/>
    <m/>
    <s v="Dry Contact"/>
    <m/>
  </r>
  <r>
    <s v="=CA1+MCP-M5"/>
    <m/>
    <m/>
    <x v="16"/>
    <s v="Slurry - Out Building 2nd Floor"/>
    <x v="7"/>
    <m/>
    <s v="LPG System"/>
    <s v="XA-80306A"/>
    <m/>
    <m/>
    <n v="0"/>
    <s v="1st"/>
    <s v="325-01-803-PD-02"/>
    <s v="-"/>
    <s v="Gas Vaporizer 6 control status"/>
    <s v="Require I/O DI= 1,DO=0,AI=0,AO=0,Bus=0"/>
    <s v="XA-80306A_DI_1"/>
    <x v="0"/>
    <n v="1"/>
    <n v="1"/>
    <s v="C5S01DI"/>
    <s v="C5S01DI20"/>
    <s v="C5S01,20"/>
    <s v="DI"/>
    <s v="Require I/O DI= 1,DO=0,AI=0,AO=0,Bus=0"/>
    <x v="5"/>
    <x v="4"/>
    <n v="20"/>
    <m/>
    <n v="1"/>
    <n v="0"/>
    <n v="0"/>
    <n v="0"/>
    <n v="0"/>
    <m/>
    <s v="Dry Contact"/>
    <m/>
  </r>
  <r>
    <s v="=CA1+MCP-M5"/>
    <m/>
    <m/>
    <x v="16"/>
    <s v="Slurry - Out Building 2nd Floor"/>
    <x v="7"/>
    <m/>
    <s v="LPG System"/>
    <s v="XA-80306B"/>
    <m/>
    <m/>
    <n v="0"/>
    <s v="1st"/>
    <s v="325-01-803-PD-02"/>
    <s v="-"/>
    <s v="Gas Vaporizer 6 control status"/>
    <s v="Require I/O DI= 1,DO=0,AI=0,AO=0,Bus=0"/>
    <s v="XA-80306B_DI_1"/>
    <x v="0"/>
    <n v="1"/>
    <n v="1"/>
    <s v="C5S01DI"/>
    <s v="C5S01DI21"/>
    <s v="C5S01,21"/>
    <s v="DI"/>
    <s v="Require I/O DI= 1,DO=0,AI=0,AO=0,Bus=0"/>
    <x v="5"/>
    <x v="4"/>
    <n v="21"/>
    <m/>
    <n v="1"/>
    <n v="0"/>
    <n v="0"/>
    <n v="0"/>
    <n v="0"/>
    <m/>
    <s v="Dry Contact"/>
    <m/>
  </r>
  <r>
    <s v="=CA1+MCP-M5"/>
    <m/>
    <m/>
    <x v="16"/>
    <s v="Slurry - Out Building 2nd Floor"/>
    <x v="7"/>
    <m/>
    <s v="LPG System"/>
    <s v="XA-80306C"/>
    <m/>
    <m/>
    <n v="0"/>
    <s v="1st"/>
    <s v="325-01-803-PD-02"/>
    <s v="-"/>
    <s v="Gas Vaporizer 6 control status"/>
    <s v="Require I/O DI= 1,DO=0,AI=0,AO=0,Bus=0"/>
    <s v="XA-80306C_DI_1"/>
    <x v="0"/>
    <n v="1"/>
    <n v="1"/>
    <s v="C5S01DI"/>
    <s v="C5S01DI22"/>
    <s v="C5S01,22"/>
    <s v="DI"/>
    <s v="Require I/O DI= 1,DO=0,AI=0,AO=0,Bus=0"/>
    <x v="5"/>
    <x v="4"/>
    <n v="22"/>
    <m/>
    <n v="1"/>
    <n v="0"/>
    <n v="0"/>
    <n v="0"/>
    <n v="0"/>
    <m/>
    <s v="Dry Contact"/>
    <m/>
  </r>
  <r>
    <s v="=CA1+MCP-M5"/>
    <m/>
    <m/>
    <x v="16"/>
    <s v="Slurry - Out Building 2nd Floor"/>
    <x v="7"/>
    <m/>
    <s v="LPG System"/>
    <s v="XA-80306D"/>
    <m/>
    <m/>
    <n v="0"/>
    <s v="1st"/>
    <s v="325-01-803-PD-02"/>
    <s v="-"/>
    <s v="Gas Vaporizer 6 control status"/>
    <s v="Require I/O DI= 1,DO=0,AI=0,AO=0,Bus=0"/>
    <s v="XA-80306D_DI_1"/>
    <x v="0"/>
    <n v="1"/>
    <n v="1"/>
    <s v="C5S01DI"/>
    <s v="C5S01DI23"/>
    <s v="C5S01,23"/>
    <s v="DI"/>
    <s v="Require I/O DI= 1,DO=0,AI=0,AO=0,Bus=0"/>
    <x v="5"/>
    <x v="4"/>
    <n v="23"/>
    <m/>
    <n v="1"/>
    <n v="0"/>
    <n v="0"/>
    <n v="0"/>
    <n v="0"/>
    <m/>
    <s v="Dry Contact"/>
    <m/>
  </r>
  <r>
    <s v="=CA1+MCP-M5"/>
    <m/>
    <m/>
    <x v="16"/>
    <s v="Slurry - Out Building 2nd Floor"/>
    <x v="7"/>
    <m/>
    <s v="LPG System"/>
    <s v="XA-80306E"/>
    <m/>
    <m/>
    <n v="0"/>
    <s v="1st"/>
    <s v="325-01-803-PD-02"/>
    <s v="-"/>
    <s v="Gas Vaporizer 6 control status"/>
    <s v="Require I/O DI= 1,DO=0,AI=0,AO=0,Bus=0"/>
    <s v="XA-80306E_DI_1"/>
    <x v="0"/>
    <n v="1"/>
    <n v="1"/>
    <s v="C5S01DI"/>
    <s v="C5S01DI24"/>
    <s v="C5S01,24"/>
    <s v="DI"/>
    <s v="Require I/O DI= 1,DO=0,AI=0,AO=0,Bus=0"/>
    <x v="5"/>
    <x v="4"/>
    <n v="24"/>
    <m/>
    <n v="1"/>
    <n v="0"/>
    <n v="0"/>
    <n v="0"/>
    <n v="0"/>
    <m/>
    <s v="Dry Contact"/>
    <m/>
  </r>
  <r>
    <s v="=CA1+MCP-M5"/>
    <m/>
    <m/>
    <x v="16"/>
    <s v="Slurry - Out Building 2nd Floor"/>
    <x v="7"/>
    <m/>
    <s v="LPG System"/>
    <s v="XA-80306F"/>
    <m/>
    <m/>
    <n v="0"/>
    <s v="1st"/>
    <s v="325-01-803-PD-02"/>
    <s v="-"/>
    <s v="Gas Vaporizer 6 control status"/>
    <s v="Require I/O DI= 1,DO=0,AI=0,AO=0,Bus=0"/>
    <s v="XA-80306F_DI_1"/>
    <x v="0"/>
    <n v="1"/>
    <n v="1"/>
    <s v="C5S01DI"/>
    <s v="C5S01DI25"/>
    <s v="C5S01,25"/>
    <s v="DI"/>
    <s v="Require I/O DI= 1,DO=0,AI=0,AO=0,Bus=0"/>
    <x v="5"/>
    <x v="4"/>
    <n v="25"/>
    <m/>
    <n v="1"/>
    <n v="0"/>
    <n v="0"/>
    <n v="0"/>
    <n v="0"/>
    <m/>
    <s v="Dry Contact"/>
    <m/>
  </r>
  <r>
    <s v="=CA1+MCP-M5"/>
    <m/>
    <m/>
    <x v="16"/>
    <s v="Slurry - Out Building 2nd Floor"/>
    <x v="7"/>
    <m/>
    <s v="Boiler System"/>
    <s v="XA-92201"/>
    <m/>
    <m/>
    <n v="0"/>
    <s v="1st"/>
    <s v="325-01-923-PD-03"/>
    <s v="3-25-01-922-PD-03"/>
    <s v="LEL gas Buzzer Alarm"/>
    <s v="Require I/O DI= 0,DO=1,AI=0,AO=0,Bus=0"/>
    <s v="XA-92201_DO_1"/>
    <x v="1"/>
    <n v="2"/>
    <n v="1"/>
    <s v="C5S03DO"/>
    <s v="C5S03DO00"/>
    <s v="C5S03,00"/>
    <s v="DO"/>
    <s v="Require I/O DI= 0,DO=1,AI=0,AO=0,Bus=0"/>
    <x v="5"/>
    <x v="1"/>
    <n v="0"/>
    <m/>
    <n v="0"/>
    <n v="1"/>
    <n v="0"/>
    <n v="0"/>
    <n v="0"/>
    <m/>
    <s v="4 - 20 mA"/>
    <s v="Y"/>
  </r>
  <r>
    <s v="=CA1+MCP-M5"/>
    <m/>
    <m/>
    <x v="16"/>
    <s v="Slurry - Out Building 2nd Floor"/>
    <x v="7"/>
    <m/>
    <s v="Boiler System"/>
    <s v="XT-92201"/>
    <m/>
    <m/>
    <n v="0"/>
    <s v="1st"/>
    <s v="325-01-923-PD-03"/>
    <s v="3-25-01-922-PD-03"/>
    <s v="LEL gas analyzer"/>
    <s v="Require I/O DI= 0,DO=0,AI=1,AO=0,Bus=0"/>
    <s v="XT-92201_AI_1"/>
    <x v="3"/>
    <n v="3"/>
    <n v="1"/>
    <s v="C5S04AI"/>
    <s v="C5S04AI07"/>
    <s v="C5S04,07"/>
    <s v="AI"/>
    <s v="Require I/O DI= 0,DO=0,AI=1,AO=0,Bus=0"/>
    <x v="5"/>
    <x v="6"/>
    <n v="7"/>
    <m/>
    <n v="0"/>
    <n v="0"/>
    <n v="1"/>
    <n v="0"/>
    <n v="0"/>
    <m/>
    <s v="4 - 20 mA"/>
    <s v="Y"/>
  </r>
  <r>
    <s v="=CA1+MCP-M5"/>
    <m/>
    <m/>
    <x v="16"/>
    <s v="Slurry - Out Building 2nd Floor"/>
    <x v="7"/>
    <m/>
    <s v="Slurry - Out Building"/>
    <s v="XV-20201"/>
    <n v="1"/>
    <m/>
    <n v="0"/>
    <s v="1st"/>
    <s v="325-01-200-PD-01"/>
    <s v="3-25-01-202-PD-01"/>
    <s v="Slurry Preparation Tank 1"/>
    <s v="Require I/O DI= 2,DO=1,AI=0,AO=0,Bus=0"/>
    <s v="XV-20201_DI_1"/>
    <x v="0"/>
    <n v="1"/>
    <n v="1"/>
    <s v="C5S01DI"/>
    <s v="C5S01DI26"/>
    <s v="C5S01,26"/>
    <s v="DI"/>
    <s v="Require I/O DI= 2,DO=1,AI=0,AO=0,Bus=0"/>
    <x v="5"/>
    <x v="4"/>
    <n v="26"/>
    <m/>
    <n v="2"/>
    <n v="1"/>
    <n v="0"/>
    <n v="0"/>
    <n v="0"/>
    <m/>
    <s v="24 VDC energized"/>
    <m/>
  </r>
  <r>
    <s v="=CA1+MCP-M5"/>
    <m/>
    <m/>
    <x v="16"/>
    <s v="Slurry - Out Building 2nd Floor"/>
    <x v="7"/>
    <m/>
    <s v="Slurry - Out Building"/>
    <s v="XV-20201"/>
    <n v="1"/>
    <m/>
    <n v="0"/>
    <s v="1st"/>
    <s v="325-01-200-PD-01"/>
    <s v="3-25-01-202-PD-01"/>
    <s v="Slurry Preparation Tank 1"/>
    <s v="Require I/O DI= 2,DO=1,AI=0,AO=0,Bus=0"/>
    <s v="XV-20201_DI_2"/>
    <x v="0"/>
    <n v="1"/>
    <n v="2"/>
    <s v="C5S01DI"/>
    <s v="C5S01DI27"/>
    <s v="C5S01,27"/>
    <s v="DI"/>
    <s v="Require I/O DI= 2,DO=1,AI=0,AO=0,Bus=0"/>
    <x v="5"/>
    <x v="4"/>
    <n v="27"/>
    <m/>
    <n v="2"/>
    <n v="1"/>
    <n v="0"/>
    <n v="0"/>
    <n v="0"/>
    <m/>
    <s v="24 VDC energized"/>
    <m/>
  </r>
  <r>
    <s v="=CA1+MCP-M5"/>
    <m/>
    <m/>
    <x v="16"/>
    <s v="Slurry - Out Building 2nd Floor"/>
    <x v="7"/>
    <m/>
    <s v="Slurry - Out Building"/>
    <s v="XV-20201"/>
    <n v="1"/>
    <m/>
    <n v="0"/>
    <s v="1st"/>
    <s v="325-01-200-PD-01"/>
    <s v="3-25-01-202-PD-01"/>
    <s v="Slurry Preparation Tank 1"/>
    <s v="Require I/O DI= 2,DO=1,AI=0,AO=0,Bus=0"/>
    <s v="XV-20201_DO_1"/>
    <x v="1"/>
    <n v="2"/>
    <n v="1"/>
    <s v="C5S03DO"/>
    <s v="C5S03DO01"/>
    <s v="C5S03,01"/>
    <s v="DO"/>
    <s v="Require I/O DI= 2,DO=1,AI=0,AO=0,Bus=0"/>
    <x v="5"/>
    <x v="1"/>
    <n v="1"/>
    <m/>
    <n v="2"/>
    <n v="1"/>
    <n v="0"/>
    <n v="0"/>
    <n v="0"/>
    <m/>
    <s v="24 VDC energized"/>
    <m/>
  </r>
  <r>
    <s v="=CA1+MCP-M5"/>
    <m/>
    <m/>
    <x v="16"/>
    <s v="Slurry - Out Building 2nd Floor"/>
    <x v="7"/>
    <m/>
    <s v="Slurry - Out Building"/>
    <s v="XV-20202"/>
    <n v="1"/>
    <m/>
    <n v="0"/>
    <s v="1st"/>
    <s v="325-01-200-PD-01"/>
    <s v="3-25-01-202-PD-01"/>
    <s v="Slurry Preparation Tank 1"/>
    <s v="Require I/O DI= 2,DO=1,AI=0,AO=0,Bus=0"/>
    <s v="XV-20202_DI_1"/>
    <x v="0"/>
    <n v="1"/>
    <n v="1"/>
    <s v="C5S01DI"/>
    <s v="C5S01DI28"/>
    <s v="C5S01,28"/>
    <s v="DI"/>
    <s v="Require I/O DI= 2,DO=1,AI=0,AO=0,Bus=0"/>
    <x v="5"/>
    <x v="4"/>
    <n v="28"/>
    <m/>
    <n v="2"/>
    <n v="1"/>
    <n v="0"/>
    <n v="0"/>
    <n v="0"/>
    <m/>
    <s v="24 VDC energized"/>
    <m/>
  </r>
  <r>
    <s v="=CA1+MCP-M5"/>
    <m/>
    <m/>
    <x v="16"/>
    <s v="Slurry - Out Building 2nd Floor"/>
    <x v="7"/>
    <m/>
    <s v="Slurry - Out Building"/>
    <s v="XV-20202"/>
    <n v="1"/>
    <m/>
    <n v="0"/>
    <s v="1st"/>
    <s v="325-01-200-PD-01"/>
    <s v="3-25-01-202-PD-01"/>
    <s v="Slurry Preparation Tank 1"/>
    <s v="Require I/O DI= 2,DO=1,AI=0,AO=0,Bus=0"/>
    <s v="XV-20202_DI_2"/>
    <x v="0"/>
    <n v="1"/>
    <n v="2"/>
    <s v="C5S01DI"/>
    <s v="C5S01DI29"/>
    <s v="C5S01,29"/>
    <s v="DI"/>
    <s v="Require I/O DI= 2,DO=1,AI=0,AO=0,Bus=0"/>
    <x v="5"/>
    <x v="4"/>
    <n v="29"/>
    <m/>
    <n v="2"/>
    <n v="1"/>
    <n v="0"/>
    <n v="0"/>
    <n v="0"/>
    <m/>
    <s v="24 VDC energized"/>
    <m/>
  </r>
  <r>
    <s v="=CA1+MCP-M5"/>
    <m/>
    <m/>
    <x v="16"/>
    <s v="Slurry - Out Building 2nd Floor"/>
    <x v="7"/>
    <m/>
    <s v="Slurry - Out Building"/>
    <s v="XV-20202"/>
    <n v="1"/>
    <m/>
    <n v="0"/>
    <s v="1st"/>
    <s v="325-01-200-PD-01"/>
    <s v="3-25-01-202-PD-01"/>
    <s v="Slurry Preparation Tank 1"/>
    <s v="Require I/O DI= 2,DO=1,AI=0,AO=0,Bus=0"/>
    <s v="XV-20202_DO_1"/>
    <x v="1"/>
    <n v="2"/>
    <n v="1"/>
    <s v="C5S03DO"/>
    <s v="C5S03DO02"/>
    <s v="C5S03,02"/>
    <s v="DO"/>
    <s v="Require I/O DI= 2,DO=1,AI=0,AO=0,Bus=0"/>
    <x v="5"/>
    <x v="1"/>
    <n v="2"/>
    <m/>
    <n v="2"/>
    <n v="1"/>
    <n v="0"/>
    <n v="0"/>
    <n v="0"/>
    <m/>
    <s v="24 VDC energized"/>
    <m/>
  </r>
  <r>
    <s v="=CA1+MCP-M5"/>
    <m/>
    <m/>
    <x v="16"/>
    <s v="Slurry - Out Building 2nd Floor"/>
    <x v="7"/>
    <m/>
    <s v="Slurry - Out Building"/>
    <s v="XV-20203"/>
    <n v="1"/>
    <m/>
    <n v="0"/>
    <s v="1st"/>
    <s v="325-01-200-PD-01"/>
    <s v="3-25-01-202-PD-01"/>
    <s v="Slurry Preparation Tank 1"/>
    <s v="Require I/O DI= 2,DO=1,AI=0,AO=0,Bus=0"/>
    <s v="XV-20203_DI_1"/>
    <x v="0"/>
    <n v="1"/>
    <n v="1"/>
    <s v="C5S01DI"/>
    <s v="C5S01DI30"/>
    <s v="C5S01,30"/>
    <s v="DI"/>
    <s v="Require I/O DI= 2,DO=1,AI=0,AO=0,Bus=0"/>
    <x v="5"/>
    <x v="4"/>
    <n v="30"/>
    <m/>
    <n v="2"/>
    <n v="1"/>
    <n v="0"/>
    <n v="0"/>
    <n v="0"/>
    <m/>
    <s v="24 VDC energized"/>
    <m/>
  </r>
  <r>
    <s v="=CA1+MCP-M5"/>
    <m/>
    <m/>
    <x v="16"/>
    <s v="Slurry - Out Building 2nd Floor"/>
    <x v="7"/>
    <m/>
    <s v="Slurry - Out Building"/>
    <s v="XV-20203"/>
    <n v="1"/>
    <m/>
    <n v="0"/>
    <s v="1st"/>
    <s v="325-01-200-PD-01"/>
    <s v="3-25-01-202-PD-01"/>
    <s v="Slurry Preparation Tank 1"/>
    <s v="Require I/O DI= 2,DO=1,AI=0,AO=0,Bus=0"/>
    <s v="XV-20203_DI_2"/>
    <x v="0"/>
    <n v="1"/>
    <n v="2"/>
    <s v="C5S01DI"/>
    <s v="C5S01DI31"/>
    <s v="C5S01,31"/>
    <s v="DI"/>
    <s v="Require I/O DI= 2,DO=1,AI=0,AO=0,Bus=0"/>
    <x v="5"/>
    <x v="4"/>
    <n v="31"/>
    <m/>
    <n v="2"/>
    <n v="1"/>
    <n v="0"/>
    <n v="0"/>
    <n v="0"/>
    <m/>
    <s v="24 VDC energized"/>
    <m/>
  </r>
  <r>
    <s v="=CA1+MCP-M5"/>
    <m/>
    <m/>
    <x v="16"/>
    <s v="Slurry - Out Building 2nd Floor"/>
    <x v="7"/>
    <m/>
    <s v="Slurry - Out Building"/>
    <s v="XV-20203"/>
    <n v="1"/>
    <m/>
    <n v="0"/>
    <s v="1st"/>
    <s v="325-01-200-PD-01"/>
    <s v="3-25-01-202-PD-01"/>
    <s v="Slurry Preparation Tank 1"/>
    <s v="Require I/O DI= 2,DO=1,AI=0,AO=0,Bus=0"/>
    <s v="XV-20203_DO_1"/>
    <x v="1"/>
    <n v="2"/>
    <n v="1"/>
    <s v="C5S03DO"/>
    <s v="C5S03DO03"/>
    <s v="C5S03,03"/>
    <s v="DO"/>
    <s v="Require I/O DI= 2,DO=1,AI=0,AO=0,Bus=0"/>
    <x v="5"/>
    <x v="1"/>
    <n v="3"/>
    <m/>
    <n v="2"/>
    <n v="1"/>
    <n v="0"/>
    <n v="0"/>
    <n v="0"/>
    <m/>
    <s v="24 VDC energized"/>
    <m/>
  </r>
  <r>
    <s v="=CA1+MCP-M5"/>
    <m/>
    <m/>
    <x v="16"/>
    <s v="Slurry - Out Building 2nd Floor"/>
    <x v="7"/>
    <m/>
    <s v="Slurry - Out Building"/>
    <s v="XV-20211"/>
    <n v="1"/>
    <m/>
    <n v="0"/>
    <s v="1st"/>
    <s v="325-01-200-PD-01"/>
    <s v="3-25-01-202-PD-01"/>
    <s v="Slurry Preparation Tank 2"/>
    <s v="Require I/O DI= 2,DO=1,AI=0,AO=0,Bus=0"/>
    <s v="XV-20211_DI_1"/>
    <x v="0"/>
    <n v="1"/>
    <n v="1"/>
    <s v="C5S02DI"/>
    <s v="C5S02DI00"/>
    <s v="C5S02,00"/>
    <s v="DI"/>
    <s v="Require I/O DI= 2,DO=1,AI=0,AO=0,Bus=0"/>
    <x v="5"/>
    <x v="0"/>
    <n v="0"/>
    <m/>
    <n v="2"/>
    <n v="1"/>
    <n v="0"/>
    <n v="0"/>
    <n v="0"/>
    <m/>
    <s v="24 VDC energized"/>
    <m/>
  </r>
  <r>
    <s v="=CA1+MCP-M5"/>
    <m/>
    <m/>
    <x v="16"/>
    <s v="Slurry - Out Building 2nd Floor"/>
    <x v="7"/>
    <m/>
    <s v="Slurry - Out Building"/>
    <s v="XV-20211"/>
    <n v="1"/>
    <m/>
    <n v="0"/>
    <s v="1st"/>
    <s v="325-01-200-PD-01"/>
    <s v="3-25-01-202-PD-01"/>
    <s v="Slurry Preparation Tank 2"/>
    <s v="Require I/O DI= 2,DO=1,AI=0,AO=0,Bus=0"/>
    <s v="XV-20211_DI_2"/>
    <x v="0"/>
    <n v="1"/>
    <n v="2"/>
    <s v="C5S02DI"/>
    <s v="C5S02DI01"/>
    <s v="C5S02,01"/>
    <s v="DI"/>
    <s v="Require I/O DI= 2,DO=1,AI=0,AO=0,Bus=0"/>
    <x v="5"/>
    <x v="0"/>
    <n v="1"/>
    <m/>
    <n v="2"/>
    <n v="1"/>
    <n v="0"/>
    <n v="0"/>
    <n v="0"/>
    <m/>
    <s v="24 VDC energized"/>
    <m/>
  </r>
  <r>
    <s v="=CA1+MCP-M5"/>
    <m/>
    <m/>
    <x v="16"/>
    <s v="Slurry - Out Building 2nd Floor"/>
    <x v="7"/>
    <m/>
    <s v="Slurry - Out Building"/>
    <s v="XV-20211"/>
    <n v="1"/>
    <m/>
    <n v="0"/>
    <s v="1st"/>
    <s v="325-01-200-PD-01"/>
    <s v="3-25-01-202-PD-01"/>
    <s v="Slurry Preparation Tank 2"/>
    <s v="Require I/O DI= 2,DO=1,AI=0,AO=0,Bus=0"/>
    <s v="XV-20211_DO_1"/>
    <x v="1"/>
    <n v="2"/>
    <n v="1"/>
    <s v="C5S03DO"/>
    <s v="C5S03DO04"/>
    <s v="C5S03,04"/>
    <s v="DO"/>
    <s v="Require I/O DI= 2,DO=1,AI=0,AO=0,Bus=0"/>
    <x v="5"/>
    <x v="1"/>
    <n v="4"/>
    <m/>
    <n v="2"/>
    <n v="1"/>
    <n v="0"/>
    <n v="0"/>
    <n v="0"/>
    <m/>
    <s v="24 VDC energized"/>
    <m/>
  </r>
  <r>
    <s v="=CA1+MCP-M5"/>
    <m/>
    <m/>
    <x v="16"/>
    <s v="Slurry - Out Building 2nd Floor"/>
    <x v="7"/>
    <m/>
    <s v="Slurry - Out Building"/>
    <s v="XV-20212"/>
    <n v="1"/>
    <m/>
    <n v="0"/>
    <s v="1st"/>
    <s v="325-01-200-PD-01"/>
    <s v="3-25-01-202-PD-01"/>
    <s v="Slurry Preparation Tank 2"/>
    <s v="Require I/O DI= 2,DO=1,AI=0,AO=0,Bus=0"/>
    <s v="XV-20212_DI_1"/>
    <x v="0"/>
    <n v="1"/>
    <n v="1"/>
    <s v="C5S02DI"/>
    <s v="C5S02DI02"/>
    <s v="C5S02,02"/>
    <s v="DI"/>
    <s v="Require I/O DI= 2,DO=1,AI=0,AO=0,Bus=0"/>
    <x v="5"/>
    <x v="0"/>
    <n v="2"/>
    <m/>
    <n v="2"/>
    <n v="1"/>
    <n v="0"/>
    <n v="0"/>
    <n v="0"/>
    <m/>
    <s v="24 VDC energized"/>
    <m/>
  </r>
  <r>
    <s v="=CA1+MCP-M5"/>
    <m/>
    <m/>
    <x v="16"/>
    <s v="Slurry - Out Building 2nd Floor"/>
    <x v="7"/>
    <m/>
    <s v="Slurry - Out Building"/>
    <s v="XV-20212"/>
    <n v="1"/>
    <m/>
    <n v="0"/>
    <s v="1st"/>
    <s v="325-01-200-PD-01"/>
    <s v="3-25-01-202-PD-01"/>
    <s v="Slurry Preparation Tank 2"/>
    <s v="Require I/O DI= 2,DO=1,AI=0,AO=0,Bus=0"/>
    <s v="XV-20212_DI_2"/>
    <x v="0"/>
    <n v="1"/>
    <n v="2"/>
    <s v="C5S02DI"/>
    <s v="C5S02DI03"/>
    <s v="C5S02,03"/>
    <s v="DI"/>
    <s v="Require I/O DI= 2,DO=1,AI=0,AO=0,Bus=0"/>
    <x v="5"/>
    <x v="0"/>
    <n v="3"/>
    <m/>
    <n v="2"/>
    <n v="1"/>
    <n v="0"/>
    <n v="0"/>
    <n v="0"/>
    <m/>
    <s v="24 VDC energized"/>
    <m/>
  </r>
  <r>
    <s v="=CA1+MCP-M5"/>
    <m/>
    <m/>
    <x v="16"/>
    <s v="Slurry - Out Building 2nd Floor"/>
    <x v="7"/>
    <m/>
    <s v="Slurry - Out Building"/>
    <s v="XV-20212"/>
    <n v="1"/>
    <m/>
    <n v="0"/>
    <s v="1st"/>
    <s v="325-01-200-PD-01"/>
    <s v="3-25-01-202-PD-01"/>
    <s v="Slurry Preparation Tank 2"/>
    <s v="Require I/O DI= 2,DO=1,AI=0,AO=0,Bus=0"/>
    <s v="XV-20212_DO_1"/>
    <x v="1"/>
    <n v="2"/>
    <n v="1"/>
    <s v="C5S03DO"/>
    <s v="C5S03DO05"/>
    <s v="C5S03,05"/>
    <s v="DO"/>
    <s v="Require I/O DI= 2,DO=1,AI=0,AO=0,Bus=0"/>
    <x v="5"/>
    <x v="1"/>
    <n v="5"/>
    <m/>
    <n v="2"/>
    <n v="1"/>
    <n v="0"/>
    <n v="0"/>
    <n v="0"/>
    <m/>
    <s v="24 VDC energized"/>
    <m/>
  </r>
  <r>
    <s v="=CA1+MCP-M5"/>
    <m/>
    <m/>
    <x v="16"/>
    <s v="Slurry - Out Building 2nd Floor"/>
    <x v="7"/>
    <m/>
    <s v="Slurry - Out Building"/>
    <s v="XV-20213"/>
    <n v="1"/>
    <m/>
    <n v="0"/>
    <s v="1st"/>
    <s v="325-01-200-PD-01"/>
    <s v="3-25-01-202-PD-01"/>
    <s v="Slurry Preparation Tank 2"/>
    <s v="Require I/O DI= 2,DO=1,AI=0,AO=0,Bus=0"/>
    <s v="XV-20213_DI_1"/>
    <x v="0"/>
    <n v="1"/>
    <n v="1"/>
    <s v="C5S02DI"/>
    <s v="C5S02DI04"/>
    <s v="C5S02,04"/>
    <s v="DI"/>
    <s v="Require I/O DI= 2,DO=1,AI=0,AO=0,Bus=0"/>
    <x v="5"/>
    <x v="0"/>
    <n v="4"/>
    <m/>
    <n v="2"/>
    <n v="1"/>
    <n v="0"/>
    <n v="0"/>
    <n v="0"/>
    <m/>
    <s v="24 VDC energized"/>
    <m/>
  </r>
  <r>
    <s v="=CA1+MCP-M5"/>
    <m/>
    <m/>
    <x v="16"/>
    <s v="Slurry - Out Building 2nd Floor"/>
    <x v="7"/>
    <m/>
    <s v="Slurry - Out Building"/>
    <s v="XV-20213"/>
    <n v="1"/>
    <m/>
    <n v="0"/>
    <s v="1st"/>
    <s v="325-01-200-PD-01"/>
    <s v="3-25-01-202-PD-01"/>
    <s v="Slurry Preparation Tank 2"/>
    <s v="Require I/O DI= 2,DO=1,AI=0,AO=0,Bus=0"/>
    <s v="XV-20213_DI_2"/>
    <x v="0"/>
    <n v="1"/>
    <n v="2"/>
    <s v="C5S02DI"/>
    <s v="C5S02DI05"/>
    <s v="C5S02,05"/>
    <s v="DI"/>
    <s v="Require I/O DI= 2,DO=1,AI=0,AO=0,Bus=0"/>
    <x v="5"/>
    <x v="0"/>
    <n v="5"/>
    <m/>
    <n v="2"/>
    <n v="1"/>
    <n v="0"/>
    <n v="0"/>
    <n v="0"/>
    <m/>
    <s v="24 VDC energized"/>
    <m/>
  </r>
  <r>
    <s v="=CA1+MCP-M5"/>
    <m/>
    <m/>
    <x v="16"/>
    <s v="Slurry - Out Building 2nd Floor"/>
    <x v="7"/>
    <m/>
    <s v="Slurry - Out Building"/>
    <s v="XV-20213"/>
    <n v="1"/>
    <m/>
    <n v="0"/>
    <s v="1st"/>
    <s v="325-01-200-PD-01"/>
    <s v="3-25-01-202-PD-01"/>
    <s v="Slurry Preparation Tank 2"/>
    <s v="Require I/O DI= 2,DO=1,AI=0,AO=0,Bus=0"/>
    <s v="XV-20213_DO_1"/>
    <x v="1"/>
    <n v="2"/>
    <n v="1"/>
    <s v="C5S03DO"/>
    <s v="C5S03DO06"/>
    <s v="C5S03,06"/>
    <s v="DO"/>
    <s v="Require I/O DI= 2,DO=1,AI=0,AO=0,Bus=0"/>
    <x v="5"/>
    <x v="1"/>
    <n v="6"/>
    <m/>
    <n v="2"/>
    <n v="1"/>
    <n v="0"/>
    <n v="0"/>
    <n v="0"/>
    <m/>
    <s v="24 VDC energized"/>
    <m/>
  </r>
  <r>
    <s v="=CA1+MCP-M5"/>
    <m/>
    <m/>
    <x v="16"/>
    <s v="Slurry - Out Building 2nd Floor"/>
    <x v="7"/>
    <m/>
    <s v="LPG System"/>
    <s v="XV-913201"/>
    <n v="1"/>
    <m/>
    <n v="0"/>
    <s v="1st"/>
    <s v="-"/>
    <s v="3-25-01-913-PD-02"/>
    <s v="Outlet LPG line"/>
    <s v="Require I/O DI= 2,DO=1,AI=1,AO=0,Bus=0"/>
    <s v="XV-913201_DI_1"/>
    <x v="0"/>
    <n v="1"/>
    <n v="1"/>
    <s v="C5S02DI"/>
    <s v="C5S02DI06"/>
    <s v="C5S02,06"/>
    <s v="DI"/>
    <s v="Require I/O DI= 2,DO=1,AI=1,AO=0,Bus=0"/>
    <x v="5"/>
    <x v="0"/>
    <n v="6"/>
    <m/>
    <n v="2"/>
    <n v="1"/>
    <n v="1"/>
    <n v="0"/>
    <n v="0"/>
    <m/>
    <s v="24 VDC energized"/>
    <m/>
  </r>
  <r>
    <s v="=CA1+MCP-M5"/>
    <m/>
    <m/>
    <x v="16"/>
    <s v="Slurry - Out Building 2nd Floor"/>
    <x v="7"/>
    <m/>
    <s v="LPG System"/>
    <s v="XV-913201"/>
    <n v="1"/>
    <m/>
    <n v="0"/>
    <s v="1st"/>
    <s v="-"/>
    <s v="3-25-01-913-PD-02"/>
    <s v="Outlet LPG line"/>
    <s v="Require I/O DI= 2,DO=1,AI=1,AO=0,Bus=0"/>
    <s v="XV-913201_DI_1"/>
    <x v="0"/>
    <n v="1"/>
    <n v="1"/>
    <s v="C5S02DI"/>
    <s v="C5S02DI07"/>
    <s v="C5S02,07"/>
    <s v="DI"/>
    <s v="Require I/O DI= 2,DO=1,AI=1,AO=0,Bus=0"/>
    <x v="5"/>
    <x v="0"/>
    <n v="7"/>
    <m/>
    <n v="2"/>
    <n v="1"/>
    <n v="1"/>
    <n v="0"/>
    <n v="0"/>
    <m/>
    <s v="24 VDC energized"/>
    <m/>
  </r>
  <r>
    <s v="=CA1+MCP-M5"/>
    <m/>
    <m/>
    <x v="16"/>
    <s v="Slurry - Out Building 2nd Floor"/>
    <x v="7"/>
    <m/>
    <s v="LPG System"/>
    <s v="XV-913201"/>
    <n v="1"/>
    <m/>
    <n v="0"/>
    <s v="1st"/>
    <s v="-"/>
    <s v="3-25-01-913-PD-02"/>
    <s v="Outlet LPG line"/>
    <s v="Require I/O DI= 2,DO=1,AI=1,AO=0,Bus=0"/>
    <s v="XV-913201_DO_1"/>
    <x v="1"/>
    <n v="2"/>
    <n v="1"/>
    <s v="C5S03DO"/>
    <s v="C5S03DO07"/>
    <s v="C5S03,07"/>
    <s v="DO"/>
    <s v="Require I/O DI= 2,DO=1,AI=1,AO=0,Bus=0"/>
    <x v="5"/>
    <x v="1"/>
    <n v="7"/>
    <m/>
    <n v="2"/>
    <n v="1"/>
    <n v="1"/>
    <n v="0"/>
    <n v="0"/>
    <m/>
    <s v="24 VDC energized"/>
    <m/>
  </r>
  <r>
    <s v="=CA1+MCP-M5"/>
    <m/>
    <m/>
    <x v="16"/>
    <s v="Slurry - Out Building 2nd Floor"/>
    <x v="7"/>
    <m/>
    <s v="LPG System"/>
    <s v="XV-913201"/>
    <n v="1"/>
    <m/>
    <n v="0"/>
    <s v="1st"/>
    <s v="-"/>
    <s v="3-25-01-913-PD-02"/>
    <s v="Outlet LPG line"/>
    <s v="Require I/O DI= 0,DO=0,AI=0,AO=0,Bus=0"/>
    <s v="XV-913201_AI_1"/>
    <x v="3"/>
    <n v="3"/>
    <n v="1"/>
    <s v="C5S04AI"/>
    <s v="C5S04AI08"/>
    <s v="C5S04,08"/>
    <s v="AI"/>
    <s v="Require I/O DI= 0,DO=0,AI=0,AO=0,Bus=0"/>
    <x v="5"/>
    <x v="6"/>
    <n v="8"/>
    <m/>
    <n v="0"/>
    <n v="0"/>
    <n v="0"/>
    <n v="0"/>
    <n v="0"/>
    <m/>
    <s v="24 VDC energized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1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3:G22" firstHeaderRow="1" firstDataRow="2" firstDataCol="1"/>
  <pivotFields count="38">
    <pivotField showAll="0"/>
    <pivotField showAll="0"/>
    <pivotField showAll="0"/>
    <pivotField axis="axisRow" showAll="0" sortType="ascending">
      <items count="18">
        <item x="15"/>
        <item x="4"/>
        <item x="8"/>
        <item x="11"/>
        <item x="12"/>
        <item x="9"/>
        <item x="5"/>
        <item x="6"/>
        <item x="0"/>
        <item x="7"/>
        <item x="13"/>
        <item x="1"/>
        <item x="14"/>
        <item x="2"/>
        <item x="10"/>
        <item x="3"/>
        <item x="16"/>
        <item t="default"/>
      </items>
    </pivotField>
    <pivotField showAll="0"/>
    <pivotField showAll="0">
      <items count="15">
        <item x="4"/>
        <item x="0"/>
        <item x="5"/>
        <item x="12"/>
        <item x="2"/>
        <item x="7"/>
        <item x="8"/>
        <item x="3"/>
        <item x="6"/>
        <item x="9"/>
        <item x="11"/>
        <item x="13"/>
        <item x="1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3"/>
        <item x="4"/>
        <item x="2"/>
        <item x="0"/>
        <item x="1"/>
        <item m="1"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18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ount of I/O Type" fld="18" subtotal="count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2000000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A94" firstHeaderRow="1" firstDataRow="1" firstDataCol="1"/>
  <pivotFields count="3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3"/>
        <item x="4"/>
        <item x="2"/>
        <item x="0"/>
        <item x="1"/>
        <item m="1"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1"/>
        <item x="2"/>
        <item x="3"/>
        <item x="4"/>
        <item x="5"/>
        <item m="1" x="6"/>
        <item x="0"/>
        <item t="default"/>
      </items>
    </pivotField>
    <pivotField axis="axisRow" showAll="0">
      <items count="13">
        <item x="4"/>
        <item x="0"/>
        <item x="1"/>
        <item x="6"/>
        <item x="5"/>
        <item x="2"/>
        <item x="7"/>
        <item x="10"/>
        <item x="8"/>
        <item x="9"/>
        <item x="1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26"/>
    <field x="27"/>
    <field x="18"/>
  </rowFields>
  <rowItems count="93">
    <i>
      <x/>
    </i>
    <i r="1">
      <x v="2"/>
    </i>
    <i r="2">
      <x v="3"/>
    </i>
    <i r="1">
      <x v="3"/>
    </i>
    <i r="2">
      <x v="3"/>
    </i>
    <i r="1">
      <x v="4"/>
    </i>
    <i r="2">
      <x v="3"/>
    </i>
    <i r="1">
      <x v="5"/>
    </i>
    <i r="2">
      <x v="4"/>
    </i>
    <i r="1">
      <x v="6"/>
    </i>
    <i r="2">
      <x v="4"/>
    </i>
    <i r="1">
      <x v="7"/>
    </i>
    <i r="2">
      <x v="4"/>
    </i>
    <i r="1">
      <x v="8"/>
    </i>
    <i r="2">
      <x/>
    </i>
    <i r="1">
      <x v="9"/>
    </i>
    <i r="2">
      <x/>
    </i>
    <i>
      <x v="1"/>
    </i>
    <i r="1">
      <x/>
    </i>
    <i r="2">
      <x v="3"/>
    </i>
    <i r="1">
      <x v="1"/>
    </i>
    <i r="2">
      <x v="3"/>
    </i>
    <i r="1">
      <x v="2"/>
    </i>
    <i r="2">
      <x v="4"/>
    </i>
    <i r="1">
      <x v="3"/>
    </i>
    <i r="2">
      <x v="4"/>
    </i>
    <i r="1">
      <x v="4"/>
    </i>
    <i r="2">
      <x v="4"/>
    </i>
    <i r="1">
      <x v="5"/>
    </i>
    <i r="2">
      <x/>
    </i>
    <i r="1">
      <x v="6"/>
    </i>
    <i r="2">
      <x/>
    </i>
    <i r="1">
      <x v="7"/>
    </i>
    <i r="2">
      <x/>
    </i>
    <i r="1">
      <x v="8"/>
    </i>
    <i r="2">
      <x/>
    </i>
    <i r="1">
      <x v="9"/>
    </i>
    <i r="2">
      <x/>
    </i>
    <i r="1">
      <x v="10"/>
    </i>
    <i r="2">
      <x v="1"/>
    </i>
    <i>
      <x v="2"/>
    </i>
    <i r="1">
      <x/>
    </i>
    <i r="2">
      <x v="3"/>
    </i>
    <i r="1">
      <x v="1"/>
    </i>
    <i r="2">
      <x v="3"/>
    </i>
    <i r="1">
      <x v="2"/>
    </i>
    <i r="2">
      <x v="4"/>
    </i>
    <i r="1">
      <x v="3"/>
    </i>
    <i r="2">
      <x/>
    </i>
    <i r="1">
      <x v="4"/>
    </i>
    <i r="2">
      <x/>
    </i>
    <i>
      <x v="3"/>
    </i>
    <i r="1">
      <x/>
    </i>
    <i r="2">
      <x v="3"/>
    </i>
    <i r="1">
      <x v="1"/>
    </i>
    <i r="2">
      <x v="3"/>
    </i>
    <i r="1">
      <x v="2"/>
    </i>
    <i r="2">
      <x v="3"/>
    </i>
    <i r="1">
      <x v="3"/>
    </i>
    <i r="2">
      <x v="4"/>
    </i>
    <i r="1">
      <x v="4"/>
    </i>
    <i r="2">
      <x/>
    </i>
    <i>
      <x v="4"/>
    </i>
    <i r="1">
      <x/>
    </i>
    <i r="2">
      <x v="3"/>
    </i>
    <i r="1">
      <x v="1"/>
    </i>
    <i r="2">
      <x v="3"/>
    </i>
    <i r="1">
      <x v="2"/>
    </i>
    <i r="2">
      <x v="4"/>
    </i>
    <i r="1">
      <x v="3"/>
    </i>
    <i r="2">
      <x/>
    </i>
    <i r="1">
      <x v="4"/>
    </i>
    <i r="2">
      <x v="4"/>
    </i>
    <i r="1">
      <x v="5"/>
    </i>
    <i r="2">
      <x v="3"/>
    </i>
    <i>
      <x v="6"/>
    </i>
    <i r="1">
      <x/>
    </i>
    <i r="2">
      <x v="3"/>
    </i>
    <i r="1">
      <x v="1"/>
    </i>
    <i r="2">
      <x v="3"/>
    </i>
    <i r="1">
      <x v="2"/>
    </i>
    <i r="2">
      <x v="3"/>
    </i>
    <i r="1">
      <x v="3"/>
    </i>
    <i r="2">
      <x v="3"/>
    </i>
    <i r="1">
      <x v="4"/>
    </i>
    <i r="2">
      <x v="4"/>
    </i>
    <i r="1">
      <x v="5"/>
    </i>
    <i r="2">
      <x v="4"/>
    </i>
    <i r="1">
      <x v="6"/>
    </i>
    <i r="2">
      <x v="4"/>
    </i>
    <i r="1">
      <x v="11"/>
    </i>
    <i r="2">
      <x v="2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Instruement_List" displayName="tbl_Instruement_List" ref="B4:U505" totalsRowShown="0" headerRowDxfId="192" dataDxfId="191" tableBorderDxfId="190" headerRowCellStyle="Standard_Tabelle1">
  <autoFilter ref="B4:U505" xr:uid="{00000000-0009-0000-0100-000001000000}"/>
  <tableColumns count="20">
    <tableColumn id="20" xr3:uid="{00000000-0010-0000-0000-000014000000}" name="Instruement Tag" dataDxfId="189" dataCellStyle="Standard_MSR_List_Polen_V1">
      <calculatedColumnFormula>IF(tbl_Instruement_List[[#This Row],[Tag_New]]="",tbl_Instruement_List[[#This Row],[Tag]],tbl_Instruement_List[[#This Row],[Tag_New]])</calculatedColumnFormula>
    </tableColumn>
    <tableColumn id="21" xr3:uid="{00000000-0010-0000-0000-000015000000}" name="Instruement Description" dataDxfId="188" dataCellStyle="Standard_MSR_List_Polen_V1"/>
    <tableColumn id="2" xr3:uid="{00000000-0010-0000-0000-000002000000}" name="Tag" dataDxfId="187" dataCellStyle="Standard_MSR_List_Polen_V1"/>
    <tableColumn id="3" xr3:uid="{00000000-0010-0000-0000-000003000000}" name="Tag_New" dataDxfId="186" dataCellStyle="Standard_MSR_List_Polen_V1"/>
    <tableColumn id="4" xr3:uid="{00000000-0010-0000-0000-000004000000}" name="P&amp;ID No." dataDxfId="185" dataCellStyle="Standard_MSR_List_Polen_V1"/>
    <tableColumn id="5" xr3:uid="{00000000-0010-0000-0000-000005000000}" name="Description" dataDxfId="184" dataCellStyle="Standard_MSR_List_Polen_V1"/>
    <tableColumn id="6" xr3:uid="{00000000-0010-0000-0000-000006000000}" name=" Instrument Name" dataDxfId="183" dataCellStyle="Standard_MSR_List_Polen_V1"/>
    <tableColumn id="22" xr3:uid="{00000000-0010-0000-0000-000016000000}" name="Column1" dataDxfId="182" dataCellStyle="Standard_MSR_List_Polen_V1"/>
    <tableColumn id="7" xr3:uid="{00000000-0010-0000-0000-000007000000}" name="DO" dataDxfId="181" dataCellStyle="Standard_MSR_List_Polen_V1"/>
    <tableColumn id="8" xr3:uid="{00000000-0010-0000-0000-000008000000}" name="DI" dataDxfId="180" dataCellStyle="Standard_MSR_List_Polen_V1"/>
    <tableColumn id="9" xr3:uid="{00000000-0010-0000-0000-000009000000}" name="AO" dataDxfId="179" dataCellStyle="Standard_MSR_List_Polen_V1"/>
    <tableColumn id="10" xr3:uid="{00000000-0010-0000-0000-00000A000000}" name="AI" dataDxfId="178" dataCellStyle="Standard_MSR_List_Polen_V1"/>
    <tableColumn id="11" xr3:uid="{00000000-0010-0000-0000-00000B000000}" name="Bus" dataDxfId="177" dataCellStyle="Standard_MSR_List_Polen_V1"/>
    <tableColumn id="12" xr3:uid="{00000000-0010-0000-0000-00000C000000}" name="Signal type" dataDxfId="176" dataCellStyle="Standard_MSR_List_Polen_V1"/>
    <tableColumn id="13" xr3:uid="{00000000-0010-0000-0000-00000D000000}" name="Signal to" dataDxfId="175" dataCellStyle="Standard_MSR_List_Polen_V1"/>
    <tableColumn id="14" xr3:uid="{00000000-0010-0000-0000-00000E000000}" name="Range" dataDxfId="174" dataCellStyle="Standard_MSR_List_Polen_V1"/>
    <tableColumn id="15" xr3:uid="{00000000-0010-0000-0000-00000F000000}" name=" Function" dataDxfId="173" dataCellStyle="Normal 3"/>
    <tableColumn id="16" xr3:uid="{00000000-0010-0000-0000-000010000000}" name="Cable Type" dataDxfId="172" dataCellStyle="Standard_MSR_List_Polen_V1"/>
    <tableColumn id="17" xr3:uid="{00000000-0010-0000-0000-000011000000}" name="Type of Protection " dataDxfId="171" dataCellStyle="Standard_MSR_List_Polen_V1"/>
    <tableColumn id="18" xr3:uid="{00000000-0010-0000-0000-000012000000}" name="Remark" dataDxfId="170" dataCellStyle="Standard_MSR_List_Polen_V1"/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IO_List" displayName="tbl_IO_List" ref="A1:AU1223" totalsRowCount="1" headerRowDxfId="101" dataDxfId="99" totalsRowDxfId="100">
  <autoFilter ref="A1:AU1222" xr:uid="{00000000-0009-0000-0100-000004000000}">
    <filterColumn colId="29">
      <filters>
        <filter val="DI"/>
        <filter val="DO"/>
      </filters>
    </filterColumn>
    <filterColumn colId="30">
      <filters>
        <filter val="C2"/>
      </filters>
    </filterColumn>
    <filterColumn colId="31">
      <filters>
        <filter val="1"/>
        <filter val="10"/>
        <filter val="2"/>
        <filter val="3"/>
        <filter val="4"/>
        <filter val="5"/>
        <filter val="6"/>
        <filter val="7"/>
        <filter val="8"/>
        <filter val="9"/>
      </filters>
    </filterColumn>
  </autoFilter>
  <tableColumns count="47">
    <tableColumn id="16" xr3:uid="{00000000-0010-0000-0300-000010000000}" name=" Reference Designation" totalsRowLabel="Total" dataDxfId="143" totalsRowDxfId="97"/>
    <tableColumn id="1" xr3:uid="{00000000-0010-0000-0300-000001000000}" name="Destination" totalsRowFunction="count" dataDxfId="142" totalsRowDxfId="96"/>
    <tableColumn id="35" xr3:uid="{00000000-0010-0000-0300-000023000000}" name="Column7" dataDxfId="141" totalsRowDxfId="95">
      <calculatedColumnFormula>tbl_IO_List[[#This Row],[Column3]]</calculatedColumnFormula>
    </tableColumn>
    <tableColumn id="25" xr3:uid="{00000000-0010-0000-0300-000019000000}" name="Column5" dataDxfId="140" totalsRowDxfId="94">
      <calculatedColumnFormula>tbl_IO_List[[#This Row],[Card]]</calculatedColumnFormula>
    </tableColumn>
    <tableColumn id="38" xr3:uid="{00000000-0010-0000-0300-000026000000}" name="Column52" dataDxfId="139" totalsRowDxfId="93"/>
    <tableColumn id="30" xr3:uid="{00000000-0010-0000-0300-00001E000000}" name="Terminal" dataDxfId="138" totalsRowDxfId="92">
      <calculatedColumnFormula>tbl_IO_List[[#This Row],[Column23]]&amp;"-" &amp;tbl_IO_List[[#This Row],[Column52]]</calculatedColumnFormula>
    </tableColumn>
    <tableColumn id="34" xr3:uid="{00000000-0010-0000-0300-000022000000}" name="Column6" dataDxfId="137" totalsRowDxfId="91">
      <calculatedColumnFormula>tbl_IO_List[[#This Row],[PLC_Tag]]</calculatedColumnFormula>
    </tableColumn>
    <tableColumn id="32" xr3:uid="{00000000-0010-0000-0300-000020000000}" name="Terminal Label" dataDxfId="136" totalsRowDxfId="90"/>
    <tableColumn id="15" xr3:uid="{00000000-0010-0000-0300-00000F000000}" name="Junction Box Location" dataDxfId="135" totalsRowDxfId="89">
      <calculatedColumnFormula>VLOOKUP(tbl_IO_List[[#This Row],[Destination]],tbl_Junction[],2,FALSE)</calculatedColumnFormula>
    </tableColumn>
    <tableColumn id="26" xr3:uid="{00000000-0010-0000-0300-00001A000000}" name="Master Zone" totalsRowFunction="sum" dataDxfId="134" totalsRowDxfId="88"/>
    <tableColumn id="3" xr3:uid="{00000000-0010-0000-0300-000003000000}" name="Zone" dataDxfId="133" totalsRowDxfId="87"/>
    <tableColumn id="23" xr3:uid="{00000000-0010-0000-0300-000017000000}" name="Instruement Tag" totalsRowFunction="count" dataDxfId="132" totalsRowDxfId="86"/>
    <tableColumn id="42" xr3:uid="{00000000-0010-0000-0300-00002A000000}" name="Instruement_Description" dataDxfId="131" totalsRowDxfId="85">
      <calculatedColumnFormula>VLOOKUP(tbl_IO_List[[#This Row],[Instruement Tag]],tbl_Instruement_List[],2,FALSE)</calculatedColumnFormula>
    </tableColumn>
    <tableColumn id="4" xr3:uid="{00000000-0010-0000-0300-000004000000}" name="Floor" dataDxfId="130" totalsRowDxfId="84"/>
    <tableColumn id="6" xr3:uid="{00000000-0010-0000-0300-000006000000}" name="P&amp;ID No. 3.3" dataDxfId="129" totalsRowDxfId="83"/>
    <tableColumn id="8" xr3:uid="{00000000-0010-0000-0300-000008000000}" name="P&amp;ID No. 3.5" dataDxfId="128" totalsRowDxfId="82"/>
    <tableColumn id="37" xr3:uid="{00000000-0010-0000-0300-000025000000}" name="Control Description" dataDxfId="127" totalsRowDxfId="81">
      <calculatedColumnFormula>VLOOKUP(tbl_IO_List[[#This Row],[Instruement Tag]],tbl_Instruement_List[],6,FALSE)</calculatedColumnFormula>
    </tableColumn>
    <tableColumn id="5" xr3:uid="{00000000-0010-0000-0300-000005000000}" name="Column1" dataDxfId="126" totalsRowDxfId="80"/>
    <tableColumn id="43" xr3:uid="{00000000-0010-0000-0300-00002B000000}" name="Require IO" dataDxfId="125" totalsRowDxfId="79">
      <calculatedColumnFormula>"Require I/O DI= "&amp;tbl_IO_List[[#This Row],[DI]]&amp;",DO="&amp;tbl_IO_List[[#This Row],[DO]]&amp;",AI="&amp;tbl_IO_List[[#This Row],[AI]]&amp;",AO="&amp;tbl_IO_List[[#This Row],[AO]]&amp;",Bus="&amp;tbl_IO_List[[#This Row],[Bus]]</calculatedColumnFormula>
    </tableColumn>
    <tableColumn id="21" xr3:uid="{00000000-0010-0000-0300-000015000000}" name="PLC_Tag" dataDxfId="124" totalsRowDxfId="78">
      <calculatedColumnFormula>tbl_IO_List[[#This Row],[Instruement Tag]]&amp;"_"&amp;tbl_IO_List[[#This Row],[I/O Type]]&amp;"_"&amp;tbl_IO_List[[#This Row],[IO-Point 
(Instruement)]]</calculatedColumnFormula>
    </tableColumn>
    <tableColumn id="17" xr3:uid="{00000000-0010-0000-0300-000011000000}" name="I/O Type" totalsRowFunction="count" dataDxfId="123" totalsRowDxfId="77"/>
    <tableColumn id="27" xr3:uid="{00000000-0010-0000-0300-00001B000000}" name="IO_ID" dataDxfId="122" totalsRowDxfId="76">
      <calculatedColumnFormula>VLOOKUP(tbl_IO_List[[#This Row],[I/O Type]],tbl_Slot_Group[],2,FALSE)</calculatedColumnFormula>
    </tableColumn>
    <tableColumn id="22" xr3:uid="{00000000-0010-0000-0300-000016000000}" name="IO-Point _x000a_(Instruement)" dataDxfId="121" totalsRowDxfId="75"/>
    <tableColumn id="36" xr3:uid="{00000000-0010-0000-0300-000024000000}" name="Column23" dataDxfId="120" totalsRowDxfId="74">
      <calculatedColumnFormula>tbl_IO_List[[#This Row],[Chassis]]&amp;"S"&amp;TEXT(tbl_IO_List[[#This Row],[Slot]],"00")</calculatedColumnFormula>
    </tableColumn>
    <tableColumn id="33" xr3:uid="{00000000-0010-0000-0300-000021000000}" name="Column22" dataDxfId="119" totalsRowDxfId="73">
      <calculatedColumnFormula>tbl_IO_List[[#This Row],[Chassis]]&amp;"S"&amp;TEXT(tbl_IO_List[[#This Row],[Slot]],"00")&amp;tbl_IO_List[[#This Row],[I/O Type]]&amp;TEXT(tbl_IO_List[[#This Row],[Point]],"00")</calculatedColumnFormula>
    </tableColumn>
    <tableColumn id="31" xr3:uid="{00000000-0010-0000-0300-00001F000000}" name="Column3" dataDxfId="118" totalsRowDxfId="72">
      <calculatedColumnFormula>tbl_IO_List[[#This Row],[Chassis]]&amp;"S"&amp;TEXT(tbl_IO_List[[#This Row],[Slot]],"00")&amp;","&amp;TEXT(tbl_IO_List[[#This Row],[Point]],"00")</calculatedColumnFormula>
    </tableColumn>
    <tableColumn id="24" xr3:uid="{00000000-0010-0000-0300-000018000000}" name="Card" dataDxfId="117" totalsRowDxfId="71">
      <calculatedColumnFormula>VLOOKUP(tbl_IO_List[[#This Row],[Column23]],tbl_RackConfig[],5,FALSE) &amp;"-"&amp;tbl_IO_List[[#This Row],[Point]]</calculatedColumnFormula>
    </tableColumn>
    <tableColumn id="40" xr3:uid="{00000000-0010-0000-0300-000028000000}" name="Signal Type" dataDxfId="116" totalsRowDxfId="70"/>
    <tableColumn id="18" xr3:uid="{00000000-0010-0000-0300-000012000000}" name="Column4" dataDxfId="115" totalsRowDxfId="69"/>
    <tableColumn id="53" xr3:uid="{00000000-0010-0000-0300-000035000000}" name="Column332" dataDxfId="114" totalsRowDxfId="68">
      <calculatedColumnFormula>tbl_IO_List[[#This Row],[I/O Type]]</calculatedColumnFormula>
    </tableColumn>
    <tableColumn id="29" xr3:uid="{00000000-0010-0000-0300-00001D000000}" name="Chassis" totalsRowFunction="count" dataDxfId="113" totalsRowDxfId="67"/>
    <tableColumn id="19" xr3:uid="{00000000-0010-0000-0300-000013000000}" name="Slot" dataDxfId="112" totalsRowDxfId="66"/>
    <tableColumn id="20" xr3:uid="{00000000-0010-0000-0300-000014000000}" name="Point" dataDxfId="111" totalsRowDxfId="65"/>
    <tableColumn id="41" xr3:uid="{87825DD4-9CAA-A148-99CC-B821C97AC552}" name="Point-Count" dataDxfId="98" totalsRowDxfId="64"/>
    <tableColumn id="28" xr3:uid="{739AB7A6-ECAA-B941-A313-89245B657790}" name="Front Terminal Number" dataDxfId="110" totalsRowDxfId="63"/>
    <tableColumn id="10" xr3:uid="{00000000-0010-0000-0300-00000A000000}" name="DI" totalsRowFunction="sum" dataDxfId="109" totalsRowDxfId="62"/>
    <tableColumn id="9" xr3:uid="{00000000-0010-0000-0300-000009000000}" name="DO" totalsRowFunction="sum" dataDxfId="108" totalsRowDxfId="61"/>
    <tableColumn id="12" xr3:uid="{00000000-0010-0000-0300-00000C000000}" name="AI" totalsRowFunction="sum" dataDxfId="107" totalsRowDxfId="60"/>
    <tableColumn id="11" xr3:uid="{00000000-0010-0000-0300-00000B000000}" name="AO" totalsRowLabel="0" dataDxfId="106" totalsRowDxfId="59"/>
    <tableColumn id="13" xr3:uid="{00000000-0010-0000-0300-00000D000000}" name="Bus" totalsRowFunction="sum" dataDxfId="105" totalsRowDxfId="58"/>
    <tableColumn id="2" xr3:uid="{00000000-0010-0000-0300-000002000000}" name="Bus Address" dataDxfId="104" totalsRowDxfId="57"/>
    <tableColumn id="14" xr3:uid="{00000000-0010-0000-0300-00000E000000}" name="Signal Type2" totalsRowFunction="count" dataDxfId="103" totalsRowDxfId="56"/>
    <tableColumn id="44" xr3:uid="{8CC88D88-C2A2-234C-9FD8-F4F5C006D0A2}" name="Front Terminal Tagging" dataDxfId="52" totalsRowDxfId="53">
      <calculatedColumnFormula>tbl_IO_List[[#This Row],[Chassis]]&amp;"S"&amp;tbl_IO_List[[#This Row],[Slot]]&amp;"-"&amp;tbl_IO_List[[#This Row],[Front Terminal Number]]</calculatedColumnFormula>
    </tableColumn>
    <tableColumn id="7" xr3:uid="{BAE6B00C-5C37-E546-BB2A-7B140216150D}" name="Terminal Tagging" dataDxfId="102" totalsRowDxfId="55"/>
    <tableColumn id="39" xr3:uid="{0CC58478-8EF9-5047-8543-4399128C8E89}" name="Terminal Tagging-Item" dataDxfId="49" totalsRowDxfId="54">
      <calculatedColumnFormula>tbl_IO_List[[#This Row],[Terminal Tagging]]&amp;"-"&amp;tbl_IO_List[[#This Row],[Point-Count]]</calculatedColumnFormula>
    </tableColumn>
    <tableColumn id="45" xr3:uid="{4A97DAE4-9AA0-FE46-BAAB-500A0DEC1D8D}" name="Tagging PLC Side" dataDxfId="50" totalsRowDxfId="51">
      <calculatedColumnFormula>tbl_IO_List[[#This Row],[Front Terminal Tagging]]&amp;"/"&amp;tbl_IO_List[[#This Row],[Terminal Tagging-Item]]</calculatedColumnFormula>
    </tableColumn>
    <tableColumn id="46" xr3:uid="{41BE618A-9189-2C47-A4A8-4D3E71D55D43}" name="Tagging Terminal Side" dataDxfId="47" totalsRowDxfId="48">
      <calculatedColumnFormula>tbl_IO_List[[#This Row],[Terminal Tagging-Item]]&amp;"/"&amp;tbl_IO_List[[#This Row],[Front Terminal Tagging]]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CardType" displayName="tbl_CardType" ref="B2:E10" totalsRowShown="0">
  <autoFilter ref="B2:E10" xr:uid="{00000000-0009-0000-0100-000002000000}"/>
  <tableColumns count="4">
    <tableColumn id="1" xr3:uid="{00000000-0010-0000-0100-000001000000}" name="Card"/>
    <tableColumn id="2" xr3:uid="{00000000-0010-0000-0100-000002000000}" name="Slot Desc"/>
    <tableColumn id="4" xr3:uid="{00000000-0010-0000-0100-000004000000}" name="IO_Type"/>
    <tableColumn id="3" xr3:uid="{00000000-0010-0000-0100-000003000000}" name="Q'T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RackConfig" displayName="tbl_RackConfig" ref="A16:F95" totalsRowShown="0">
  <autoFilter ref="A16:F95" xr:uid="{00000000-0009-0000-0100-000003000000}"/>
  <tableColumns count="6">
    <tableColumn id="5" xr3:uid="{00000000-0010-0000-0200-000005000000}" name="Column1" dataDxfId="169">
      <calculatedColumnFormula>tbl_RackConfig[[#This Row],[Rack]]&amp;"S"&amp;TEXT(tbl_RackConfig[[#This Row],[Slot]],"00")</calculatedColumnFormula>
    </tableColumn>
    <tableColumn id="1" xr3:uid="{00000000-0010-0000-0200-000001000000}" name="Rack"/>
    <tableColumn id="2" xr3:uid="{00000000-0010-0000-0200-000002000000}" name="Slot"/>
    <tableColumn id="3" xr3:uid="{00000000-0010-0000-0200-000003000000}" name="Card"/>
    <tableColumn id="4" xr3:uid="{00000000-0010-0000-0200-000004000000}" name="Card Description">
      <calculatedColumnFormula>VLOOKUP(tbl_RackConfig[[#This Row],[Card]],tbl_CardType[],2,FALSE)</calculatedColumnFormula>
    </tableColumn>
    <tableColumn id="6" xr3:uid="{00000000-0010-0000-0200-000006000000}" name="Signal Type" dataDxfId="168">
      <calculatedColumnFormula>VLOOKUP(tbl_RackConfig[[#This Row],[Card]],tbl_CardType[],3,FALSE)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1C18318-D244-0A48-8431-A087C42B17DC}" name="Table1" displayName="Table1" ref="A4:F134" totalsRowShown="0" headerRowDxfId="167" dataDxfId="166">
  <autoFilter ref="A4:F134" xr:uid="{FF70B8E9-5959-8445-A9C5-523BA0F24CFA}"/>
  <tableColumns count="6">
    <tableColumn id="1" xr3:uid="{4F3CCA17-97F2-1E4C-B3DA-E074B2D5F1C1}" name="Terminal Index" dataDxfId="165">
      <calculatedColumnFormula>Table1[[#This Row],[Card_ID]]&amp;"-"&amp;Table1[[#This Row],[Terminal Number]]</calculatedColumnFormula>
    </tableColumn>
    <tableColumn id="2" xr3:uid="{B9ED5203-113B-5444-8E37-CB2580D8F74C}" name="Card_ID" dataDxfId="164"/>
    <tableColumn id="3" xr3:uid="{3D414198-C63F-5041-BD1C-44A8F9A869C9}" name="Terminal Number" dataDxfId="163"/>
    <tableColumn id="11" xr3:uid="{EE6C92B3-7F31-8143-B763-2DC628ACF95F}" name="Point"/>
    <tableColumn id="4" xr3:uid="{BB6E5FCF-B204-064D-A48A-CB8B59BCDEC3}" name="Terminal Function" dataDxfId="162"/>
    <tableColumn id="5" xr3:uid="{6A2E9536-B621-494F-8B3E-7E26070DA88D}" name="WireColor" dataDxfId="16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Junction" displayName="tbl_Junction" ref="B2:F19" totalsRowCount="1" headerRowDxfId="160" dataDxfId="159">
  <autoFilter ref="B2:F18" xr:uid="{00000000-0009-0000-0100-000005000000}"/>
  <tableColumns count="5">
    <tableColumn id="1" xr3:uid="{00000000-0010-0000-0400-000001000000}" name="Junction Name" totalsRowLabel="Total" dataDxfId="158" totalsRowDxfId="157"/>
    <tableColumn id="2" xr3:uid="{00000000-0010-0000-0400-000002000000}" name="Junction Loc" totalsRowFunction="count" dataDxfId="156" totalsRowDxfId="155"/>
    <tableColumn id="5" xr3:uid="{00000000-0010-0000-0400-000005000000}" name="Size" dataDxfId="154" totalsRowDxfId="153"/>
    <tableColumn id="3" xr3:uid="{00000000-0010-0000-0400-000003000000}" name="LS" totalsRowFunction="count" dataDxfId="152" totalsRowDxfId="151"/>
    <tableColumn id="4" xr3:uid="{00000000-0010-0000-0400-000004000000}" name="JB" dataDxfId="150" totalsRowDxfId="149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Slot_Group" displayName="tbl_Slot_Group" ref="B3:C9" totalsRowShown="0">
  <autoFilter ref="B3:C9" xr:uid="{00000000-0009-0000-0100-000006000000}"/>
  <tableColumns count="2">
    <tableColumn id="1" xr3:uid="{00000000-0010-0000-0500-000001000000}" name="Column1"/>
    <tableColumn id="2" xr3:uid="{00000000-0010-0000-0500-000002000000}" name="Column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Rack" displayName="tbl_Rack" ref="B12:C18" totalsRowShown="0">
  <autoFilter ref="B12:C18" xr:uid="{00000000-0009-0000-0100-000007000000}"/>
  <tableColumns count="2">
    <tableColumn id="1" xr3:uid="{00000000-0010-0000-0600-000001000000}" name="Rack"/>
    <tableColumn id="2" xr3:uid="{00000000-0010-0000-0600-000002000000}" name="Chassi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8" displayName="Table8" ref="B2:F130" totalsRowShown="0">
  <autoFilter ref="B2:F130" xr:uid="{00000000-0009-0000-0100-000008000000}"/>
  <sortState xmlns:xlrd2="http://schemas.microsoft.com/office/spreadsheetml/2017/richdata2" ref="C3:F130">
    <sortCondition ref="C3:C130"/>
    <sortCondition ref="E3:E130"/>
  </sortState>
  <tableColumns count="5">
    <tableColumn id="5" xr3:uid="{00000000-0010-0000-0700-000005000000}" name="Column1" dataDxfId="148">
      <calculatedColumnFormula>Table8[[#This Row],[Card Model]]&amp;"-"&amp;Table8[[#This Row],[Signal//Chanel]]</calculatedColumnFormula>
    </tableColumn>
    <tableColumn id="1" xr3:uid="{00000000-0010-0000-0700-000001000000}" name="Card Model" dataDxfId="147"/>
    <tableColumn id="4" xr3:uid="{00000000-0010-0000-0700-000004000000}" name="IO-Symbol" dataDxfId="146"/>
    <tableColumn id="2" xr3:uid="{00000000-0010-0000-0700-000002000000}" name="Signal//Chanel" dataDxfId="145"/>
    <tableColumn id="3" xr3:uid="{00000000-0010-0000-0700-000003000000}" name="Terminal" dataDxfId="14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2" displayName="Table2" ref="A2:L474" totalsRowShown="0">
  <autoFilter ref="A2:L474" xr:uid="{00000000-0009-0000-0100-000009000000}"/>
  <sortState xmlns:xlrd2="http://schemas.microsoft.com/office/spreadsheetml/2017/richdata2" ref="A3:L474">
    <sortCondition ref="B2:B474"/>
  </sortState>
  <tableColumns count="12">
    <tableColumn id="1" xr3:uid="{00000000-0010-0000-0800-000001000000}" name="Tag. No. 3.5" dataCellStyle="Normal 2 3"/>
    <tableColumn id="2" xr3:uid="{00000000-0010-0000-0800-000002000000}" name="Junction Box"/>
    <tableColumn id="3" xr3:uid="{00000000-0010-0000-0800-000003000000}" name="Zone"/>
    <tableColumn id="4" xr3:uid="{00000000-0010-0000-0800-000004000000}" name="Floor"/>
    <tableColumn id="6" xr3:uid="{00000000-0010-0000-0800-000006000000}" name="P&amp;ID No. 3.3"/>
    <tableColumn id="7" xr3:uid="{00000000-0010-0000-0800-000007000000}" name="Tag. No. 3.52"/>
    <tableColumn id="8" xr3:uid="{00000000-0010-0000-0800-000008000000}" name="P&amp;ID No. 3.5"/>
    <tableColumn id="9" xr3:uid="{00000000-0010-0000-0800-000009000000}" name="DO"/>
    <tableColumn id="10" xr3:uid="{00000000-0010-0000-0800-00000A000000}" name="DI"/>
    <tableColumn id="11" xr3:uid="{00000000-0010-0000-0800-00000B000000}" name="AO"/>
    <tableColumn id="12" xr3:uid="{00000000-0010-0000-0800-00000C000000}" name="AI"/>
    <tableColumn id="13" xr3:uid="{00000000-0010-0000-0800-00000D000000}" name="B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W713"/>
  <sheetViews>
    <sheetView topLeftCell="A48" zoomScale="240" workbookViewId="0">
      <selection activeCell="B456" sqref="B456"/>
    </sheetView>
  </sheetViews>
  <sheetFormatPr baseColWidth="10" defaultColWidth="8.83203125" defaultRowHeight="15"/>
  <cols>
    <col min="1" max="1" width="8.83203125" style="23" customWidth="1"/>
    <col min="2" max="2" width="30.33203125" style="23" bestFit="1" customWidth="1"/>
    <col min="3" max="3" width="25.6640625" style="23" bestFit="1" customWidth="1"/>
    <col min="4" max="4" width="30.33203125" style="23" bestFit="1" customWidth="1"/>
    <col min="5" max="5" width="13.6640625" style="23" customWidth="1"/>
    <col min="6" max="6" width="28.5" style="23" customWidth="1"/>
    <col min="7" max="7" width="72.6640625" style="23" customWidth="1"/>
    <col min="8" max="8" width="37.5" style="23" bestFit="1" customWidth="1"/>
    <col min="9" max="9" width="37.5" style="23" customWidth="1"/>
    <col min="10" max="14" width="6.1640625" style="23" customWidth="1"/>
    <col min="15" max="15" width="22.5" style="23" bestFit="1" customWidth="1"/>
    <col min="16" max="16" width="23.6640625" style="23" bestFit="1" customWidth="1"/>
    <col min="17" max="17" width="31" style="23" customWidth="1"/>
    <col min="18" max="18" width="27.1640625" style="23" bestFit="1" customWidth="1"/>
    <col min="19" max="19" width="28.33203125" style="23" customWidth="1"/>
    <col min="20" max="20" width="18.5" style="23" bestFit="1" customWidth="1"/>
    <col min="21" max="21" width="10.5" style="23" customWidth="1"/>
    <col min="22" max="22" width="8.83203125" style="23" customWidth="1"/>
    <col min="23" max="16384" width="8.83203125" style="23"/>
  </cols>
  <sheetData>
    <row r="1" spans="2:23" ht="18" customHeight="1">
      <c r="B1" s="24"/>
      <c r="C1" s="24"/>
      <c r="D1" s="24"/>
      <c r="E1" s="107"/>
      <c r="F1" s="108"/>
      <c r="G1" s="108"/>
      <c r="H1" s="108"/>
      <c r="I1" s="108"/>
      <c r="J1" s="108"/>
      <c r="K1" s="108"/>
      <c r="L1" s="108"/>
      <c r="M1" s="108"/>
      <c r="N1" s="108"/>
      <c r="O1" s="25" t="s">
        <v>436</v>
      </c>
      <c r="P1" s="26"/>
      <c r="Q1" s="109" t="s">
        <v>437</v>
      </c>
      <c r="R1" s="108"/>
      <c r="S1" s="28" t="s">
        <v>438</v>
      </c>
      <c r="T1" s="28"/>
      <c r="U1" s="29"/>
    </row>
    <row r="2" spans="2:23" ht="18.75" customHeight="1">
      <c r="B2" s="24"/>
      <c r="C2" s="24"/>
      <c r="D2" s="24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26" t="s">
        <v>439</v>
      </c>
      <c r="P2" s="26"/>
      <c r="Q2" s="109" t="s">
        <v>440</v>
      </c>
      <c r="R2" s="108"/>
      <c r="S2" s="27" t="s">
        <v>441</v>
      </c>
      <c r="T2" s="27"/>
      <c r="U2" s="30"/>
    </row>
    <row r="3" spans="2:23" s="77" customFormat="1" ht="18.75" customHeight="1">
      <c r="B3" s="78" t="s">
        <v>442</v>
      </c>
      <c r="C3" s="78" t="s">
        <v>443</v>
      </c>
      <c r="D3" s="78" t="s">
        <v>444</v>
      </c>
      <c r="E3" s="79" t="s">
        <v>445</v>
      </c>
      <c r="F3" s="79" t="s">
        <v>446</v>
      </c>
      <c r="G3" s="79" t="s">
        <v>447</v>
      </c>
      <c r="H3" s="79" t="s">
        <v>448</v>
      </c>
      <c r="I3" s="79" t="s">
        <v>449</v>
      </c>
      <c r="J3" s="79" t="s">
        <v>450</v>
      </c>
      <c r="K3" s="79" t="s">
        <v>451</v>
      </c>
      <c r="L3" s="79" t="s">
        <v>452</v>
      </c>
      <c r="M3" s="79" t="s">
        <v>453</v>
      </c>
      <c r="N3" s="79" t="s">
        <v>454</v>
      </c>
      <c r="O3" s="79" t="s">
        <v>455</v>
      </c>
      <c r="P3" s="80"/>
      <c r="Q3" s="81"/>
      <c r="R3" s="81"/>
      <c r="S3" s="81"/>
      <c r="T3" s="81"/>
      <c r="U3" s="78"/>
    </row>
    <row r="4" spans="2:23" s="31" customFormat="1" ht="20" customHeight="1">
      <c r="B4" s="74" t="s">
        <v>456</v>
      </c>
      <c r="C4" s="38" t="s">
        <v>457</v>
      </c>
      <c r="D4" s="32" t="s">
        <v>458</v>
      </c>
      <c r="E4" s="32" t="s">
        <v>459</v>
      </c>
      <c r="F4" s="33" t="s">
        <v>460</v>
      </c>
      <c r="G4" s="34" t="s">
        <v>461</v>
      </c>
      <c r="H4" s="35" t="s">
        <v>462</v>
      </c>
      <c r="I4" s="35" t="s">
        <v>463</v>
      </c>
      <c r="J4" s="36" t="s">
        <v>7</v>
      </c>
      <c r="K4" s="36" t="s">
        <v>8</v>
      </c>
      <c r="L4" s="36" t="s">
        <v>9</v>
      </c>
      <c r="M4" s="36" t="s">
        <v>10</v>
      </c>
      <c r="N4" s="36" t="s">
        <v>11</v>
      </c>
      <c r="O4" s="37" t="s">
        <v>464</v>
      </c>
      <c r="P4" s="38" t="s">
        <v>465</v>
      </c>
      <c r="Q4" s="38" t="s">
        <v>466</v>
      </c>
      <c r="R4" s="38" t="s">
        <v>467</v>
      </c>
      <c r="S4" s="38" t="s">
        <v>468</v>
      </c>
      <c r="T4" s="37" t="s">
        <v>469</v>
      </c>
      <c r="U4" s="37" t="s">
        <v>470</v>
      </c>
      <c r="V4" s="39"/>
      <c r="W4" s="39"/>
    </row>
    <row r="5" spans="2:23" s="40" customFormat="1" ht="13" customHeight="1">
      <c r="B5" s="75" t="str">
        <f>IF(tbl_Instruement_List[[#This Row],[Tag_New]]="",tbl_Instruement_List[[#This Row],[Tag]],tbl_Instruement_List[[#This Row],[Tag_New]])</f>
        <v>AT-60241</v>
      </c>
      <c r="C5" s="75" t="s">
        <v>471</v>
      </c>
      <c r="D5" s="41" t="s">
        <v>220</v>
      </c>
      <c r="E5" s="41"/>
      <c r="F5" s="42" t="s">
        <v>472</v>
      </c>
      <c r="G5" s="41" t="s">
        <v>473</v>
      </c>
      <c r="H5" s="41" t="s">
        <v>471</v>
      </c>
      <c r="I5" s="41"/>
      <c r="J5" s="43"/>
      <c r="K5" s="43"/>
      <c r="L5" s="43"/>
      <c r="M5" s="43">
        <v>1</v>
      </c>
      <c r="N5" s="44" t="s">
        <v>18</v>
      </c>
      <c r="O5" s="44" t="s">
        <v>474</v>
      </c>
      <c r="P5" s="43" t="s">
        <v>475</v>
      </c>
      <c r="Q5" s="45" t="s">
        <v>476</v>
      </c>
      <c r="R5" s="46" t="s">
        <v>477</v>
      </c>
      <c r="S5" s="46" t="s">
        <v>478</v>
      </c>
      <c r="T5" s="44" t="s">
        <v>18</v>
      </c>
      <c r="U5" s="44" t="s">
        <v>18</v>
      </c>
      <c r="V5" s="44"/>
      <c r="W5" s="44"/>
    </row>
    <row r="6" spans="2:23" s="40" customFormat="1" ht="12.75" customHeight="1">
      <c r="B6" s="75" t="str">
        <f>IF(tbl_Instruement_List[[#This Row],[Tag_New]]="",tbl_Instruement_List[[#This Row],[Tag]],tbl_Instruement_List[[#This Row],[Tag_New]])</f>
        <v>DPT-60201</v>
      </c>
      <c r="C6" s="75" t="s">
        <v>479</v>
      </c>
      <c r="D6" s="41" t="s">
        <v>480</v>
      </c>
      <c r="E6" s="41" t="s">
        <v>264</v>
      </c>
      <c r="F6" s="42" t="s">
        <v>481</v>
      </c>
      <c r="G6" s="41" t="s">
        <v>482</v>
      </c>
      <c r="H6" s="41" t="s">
        <v>483</v>
      </c>
      <c r="I6" s="41"/>
      <c r="J6" s="44" t="s">
        <v>18</v>
      </c>
      <c r="K6" s="44" t="s">
        <v>18</v>
      </c>
      <c r="L6" s="44" t="s">
        <v>18</v>
      </c>
      <c r="M6" s="44">
        <v>1</v>
      </c>
      <c r="N6" s="44" t="s">
        <v>18</v>
      </c>
      <c r="O6" s="44" t="s">
        <v>474</v>
      </c>
      <c r="P6" s="44" t="s">
        <v>475</v>
      </c>
      <c r="Q6" s="44" t="s">
        <v>484</v>
      </c>
      <c r="R6" s="44" t="s">
        <v>477</v>
      </c>
      <c r="S6" s="46" t="s">
        <v>485</v>
      </c>
      <c r="T6" s="47" t="s">
        <v>18</v>
      </c>
      <c r="U6" s="47" t="s">
        <v>18</v>
      </c>
      <c r="V6" s="47"/>
      <c r="W6" s="47"/>
    </row>
    <row r="7" spans="2:23" s="40" customFormat="1" ht="12.75" customHeight="1">
      <c r="B7" s="75" t="str">
        <f>IF(tbl_Instruement_List[[#This Row],[Tag_New]]="",tbl_Instruement_List[[#This Row],[Tag]],tbl_Instruement_List[[#This Row],[Tag_New]])</f>
        <v>DPT-61301</v>
      </c>
      <c r="C7" s="75" t="s">
        <v>479</v>
      </c>
      <c r="D7" s="41" t="s">
        <v>89</v>
      </c>
      <c r="E7" s="41"/>
      <c r="F7" s="42" t="s">
        <v>78</v>
      </c>
      <c r="G7" s="41" t="s">
        <v>486</v>
      </c>
      <c r="H7" s="41" t="s">
        <v>483</v>
      </c>
      <c r="I7" s="41"/>
      <c r="J7" s="44" t="s">
        <v>18</v>
      </c>
      <c r="K7" s="44" t="s">
        <v>18</v>
      </c>
      <c r="L7" s="44" t="s">
        <v>18</v>
      </c>
      <c r="M7" s="44">
        <v>1</v>
      </c>
      <c r="N7" s="44" t="s">
        <v>18</v>
      </c>
      <c r="O7" s="44" t="s">
        <v>474</v>
      </c>
      <c r="P7" s="44" t="s">
        <v>475</v>
      </c>
      <c r="Q7" s="44"/>
      <c r="R7" s="44" t="s">
        <v>487</v>
      </c>
      <c r="S7" s="46" t="s">
        <v>485</v>
      </c>
      <c r="T7" s="44" t="s">
        <v>488</v>
      </c>
      <c r="U7" s="44" t="s">
        <v>489</v>
      </c>
      <c r="V7" s="44"/>
      <c r="W7" s="44"/>
    </row>
    <row r="8" spans="2:23" s="40" customFormat="1" ht="12.75" customHeight="1">
      <c r="B8" s="75" t="str">
        <f>IF(tbl_Instruement_List[[#This Row],[Tag_New]]="",tbl_Instruement_List[[#This Row],[Tag]],tbl_Instruement_List[[#This Row],[Tag_New]])</f>
        <v>DPT-61302</v>
      </c>
      <c r="C8" s="75" t="s">
        <v>479</v>
      </c>
      <c r="D8" s="41" t="s">
        <v>92</v>
      </c>
      <c r="E8" s="41"/>
      <c r="F8" s="42" t="s">
        <v>78</v>
      </c>
      <c r="G8" s="41" t="s">
        <v>486</v>
      </c>
      <c r="H8" s="41" t="s">
        <v>483</v>
      </c>
      <c r="I8" s="41"/>
      <c r="J8" s="44" t="s">
        <v>18</v>
      </c>
      <c r="K8" s="44" t="s">
        <v>18</v>
      </c>
      <c r="L8" s="44" t="s">
        <v>18</v>
      </c>
      <c r="M8" s="44">
        <v>1</v>
      </c>
      <c r="N8" s="44" t="s">
        <v>18</v>
      </c>
      <c r="O8" s="44" t="s">
        <v>474</v>
      </c>
      <c r="P8" s="44" t="s">
        <v>475</v>
      </c>
      <c r="Q8" s="44"/>
      <c r="R8" s="44" t="s">
        <v>487</v>
      </c>
      <c r="S8" s="46" t="s">
        <v>485</v>
      </c>
      <c r="T8" s="44" t="s">
        <v>488</v>
      </c>
      <c r="U8" s="44" t="s">
        <v>489</v>
      </c>
      <c r="V8" s="44"/>
      <c r="W8" s="44"/>
    </row>
    <row r="9" spans="2:23" s="48" customFormat="1" ht="12.75" customHeight="1">
      <c r="B9" s="75" t="str">
        <f>IF(tbl_Instruement_List[[#This Row],[Tag_New]]="",tbl_Instruement_List[[#This Row],[Tag]],tbl_Instruement_List[[#This Row],[Tag_New]])</f>
        <v>DPT-61310</v>
      </c>
      <c r="C9" s="75" t="s">
        <v>479</v>
      </c>
      <c r="D9" s="41" t="s">
        <v>64</v>
      </c>
      <c r="E9" s="41"/>
      <c r="F9" s="42" t="s">
        <v>67</v>
      </c>
      <c r="G9" s="41" t="s">
        <v>486</v>
      </c>
      <c r="H9" s="41" t="s">
        <v>483</v>
      </c>
      <c r="I9" s="41"/>
      <c r="J9" s="44" t="s">
        <v>18</v>
      </c>
      <c r="K9" s="44" t="s">
        <v>18</v>
      </c>
      <c r="L9" s="44" t="s">
        <v>18</v>
      </c>
      <c r="M9" s="44">
        <v>1</v>
      </c>
      <c r="N9" s="44" t="s">
        <v>18</v>
      </c>
      <c r="O9" s="44" t="s">
        <v>474</v>
      </c>
      <c r="P9" s="44" t="s">
        <v>475</v>
      </c>
      <c r="Q9" s="44"/>
      <c r="R9" s="47" t="s">
        <v>490</v>
      </c>
      <c r="S9" s="46" t="s">
        <v>485</v>
      </c>
      <c r="T9" s="44" t="s">
        <v>488</v>
      </c>
      <c r="U9" s="44" t="s">
        <v>489</v>
      </c>
      <c r="V9" s="44"/>
      <c r="W9" s="44"/>
    </row>
    <row r="10" spans="2:23" s="48" customFormat="1" ht="12.75" customHeight="1">
      <c r="B10" s="75" t="str">
        <f>IF(tbl_Instruement_List[[#This Row],[Tag_New]]="",tbl_Instruement_List[[#This Row],[Tag]],tbl_Instruement_List[[#This Row],[Tag_New]])</f>
        <v>DPT-60202</v>
      </c>
      <c r="C10" s="75" t="s">
        <v>479</v>
      </c>
      <c r="D10" s="41" t="s">
        <v>190</v>
      </c>
      <c r="E10" s="41"/>
      <c r="F10" s="42" t="s">
        <v>491</v>
      </c>
      <c r="G10" s="41" t="s">
        <v>492</v>
      </c>
      <c r="H10" s="41" t="s">
        <v>483</v>
      </c>
      <c r="I10" s="41"/>
      <c r="J10" s="44" t="s">
        <v>18</v>
      </c>
      <c r="K10" s="44" t="s">
        <v>18</v>
      </c>
      <c r="L10" s="44" t="s">
        <v>18</v>
      </c>
      <c r="M10" s="49">
        <v>1</v>
      </c>
      <c r="N10" s="44" t="s">
        <v>18</v>
      </c>
      <c r="O10" s="44" t="s">
        <v>474</v>
      </c>
      <c r="P10" s="43" t="s">
        <v>475</v>
      </c>
      <c r="Q10" s="50" t="s">
        <v>493</v>
      </c>
      <c r="R10" s="50" t="s">
        <v>494</v>
      </c>
      <c r="S10" s="46" t="s">
        <v>485</v>
      </c>
      <c r="T10" s="44" t="s">
        <v>18</v>
      </c>
      <c r="U10" s="44" t="s">
        <v>18</v>
      </c>
      <c r="V10" s="44"/>
      <c r="W10" s="44"/>
    </row>
    <row r="11" spans="2:23" s="48" customFormat="1" ht="12.75" customHeight="1">
      <c r="B11" s="75" t="str">
        <f>IF(tbl_Instruement_List[[#This Row],[Tag_New]]="",tbl_Instruement_List[[#This Row],[Tag]],tbl_Instruement_List[[#This Row],[Tag_New]])</f>
        <v>DPT-60203</v>
      </c>
      <c r="C11" s="75" t="s">
        <v>479</v>
      </c>
      <c r="D11" s="41" t="s">
        <v>222</v>
      </c>
      <c r="E11" s="41"/>
      <c r="F11" s="42" t="s">
        <v>495</v>
      </c>
      <c r="G11" s="41" t="s">
        <v>496</v>
      </c>
      <c r="H11" s="41" t="s">
        <v>483</v>
      </c>
      <c r="I11" s="41"/>
      <c r="J11" s="44" t="s">
        <v>18</v>
      </c>
      <c r="K11" s="44" t="s">
        <v>18</v>
      </c>
      <c r="L11" s="44" t="s">
        <v>18</v>
      </c>
      <c r="M11" s="49">
        <v>1</v>
      </c>
      <c r="N11" s="44" t="s">
        <v>18</v>
      </c>
      <c r="O11" s="44" t="s">
        <v>474</v>
      </c>
      <c r="P11" s="43" t="s">
        <v>475</v>
      </c>
      <c r="Q11" s="50" t="s">
        <v>493</v>
      </c>
      <c r="R11" s="47" t="s">
        <v>497</v>
      </c>
      <c r="S11" s="46" t="s">
        <v>485</v>
      </c>
      <c r="T11" s="44" t="s">
        <v>18</v>
      </c>
      <c r="U11" s="44" t="s">
        <v>18</v>
      </c>
      <c r="V11" s="44"/>
      <c r="W11" s="44"/>
    </row>
    <row r="12" spans="2:23" s="40" customFormat="1" ht="12.75" customHeight="1">
      <c r="B12" s="75" t="str">
        <f>IF(tbl_Instruement_List[[#This Row],[Tag_New]]="",tbl_Instruement_List[[#This Row],[Tag]],tbl_Instruement_List[[#This Row],[Tag_New]])</f>
        <v>FSL-20201</v>
      </c>
      <c r="C12" s="41" t="s">
        <v>498</v>
      </c>
      <c r="D12" s="41"/>
      <c r="E12" s="41" t="s">
        <v>499</v>
      </c>
      <c r="F12" s="42" t="s">
        <v>500</v>
      </c>
      <c r="G12" s="41" t="s">
        <v>501</v>
      </c>
      <c r="H12" s="41" t="s">
        <v>498</v>
      </c>
      <c r="I12" s="41"/>
      <c r="J12" s="44" t="s">
        <v>18</v>
      </c>
      <c r="K12" s="44">
        <v>1</v>
      </c>
      <c r="L12" s="44" t="s">
        <v>18</v>
      </c>
      <c r="M12" s="44" t="s">
        <v>18</v>
      </c>
      <c r="N12" s="44" t="s">
        <v>18</v>
      </c>
      <c r="O12" s="44" t="s">
        <v>502</v>
      </c>
      <c r="P12" s="44" t="s">
        <v>475</v>
      </c>
      <c r="Q12" s="44"/>
      <c r="R12" s="44" t="s">
        <v>503</v>
      </c>
      <c r="S12" s="44" t="s">
        <v>504</v>
      </c>
      <c r="T12" s="44" t="s">
        <v>18</v>
      </c>
      <c r="U12" s="44" t="s">
        <v>18</v>
      </c>
      <c r="V12" s="44"/>
      <c r="W12" s="44"/>
    </row>
    <row r="13" spans="2:23" s="40" customFormat="1" ht="12.75" customHeight="1">
      <c r="B13" s="75" t="str">
        <f>IF(tbl_Instruement_List[[#This Row],[Tag_New]]="",tbl_Instruement_List[[#This Row],[Tag]],tbl_Instruement_List[[#This Row],[Tag_New]])</f>
        <v>FSL-40201</v>
      </c>
      <c r="C13" s="41" t="s">
        <v>498</v>
      </c>
      <c r="D13" s="41"/>
      <c r="E13" s="41" t="s">
        <v>505</v>
      </c>
      <c r="F13" s="42" t="s">
        <v>170</v>
      </c>
      <c r="G13" s="41" t="s">
        <v>501</v>
      </c>
      <c r="H13" s="41" t="s">
        <v>498</v>
      </c>
      <c r="I13" s="41"/>
      <c r="J13" s="44" t="s">
        <v>18</v>
      </c>
      <c r="K13" s="44">
        <v>1</v>
      </c>
      <c r="L13" s="44" t="s">
        <v>18</v>
      </c>
      <c r="M13" s="44" t="s">
        <v>18</v>
      </c>
      <c r="N13" s="44" t="s">
        <v>18</v>
      </c>
      <c r="O13" s="44" t="s">
        <v>502</v>
      </c>
      <c r="P13" s="44" t="s">
        <v>475</v>
      </c>
      <c r="Q13" s="44"/>
      <c r="R13" s="44" t="s">
        <v>503</v>
      </c>
      <c r="S13" s="44" t="s">
        <v>504</v>
      </c>
      <c r="T13" s="44" t="s">
        <v>18</v>
      </c>
      <c r="U13" s="44" t="s">
        <v>18</v>
      </c>
      <c r="V13" s="44"/>
      <c r="W13" s="44"/>
    </row>
    <row r="14" spans="2:23" s="40" customFormat="1" ht="12.75" customHeight="1">
      <c r="B14" s="75" t="str">
        <f>IF(tbl_Instruement_List[[#This Row],[Tag_New]]="",tbl_Instruement_List[[#This Row],[Tag]],tbl_Instruement_List[[#This Row],[Tag_New]])</f>
        <v>FSL-40202</v>
      </c>
      <c r="C14" s="41" t="s">
        <v>498</v>
      </c>
      <c r="D14" s="41"/>
      <c r="E14" s="41" t="s">
        <v>506</v>
      </c>
      <c r="F14" s="42" t="s">
        <v>170</v>
      </c>
      <c r="G14" s="41" t="s">
        <v>501</v>
      </c>
      <c r="H14" s="41" t="s">
        <v>498</v>
      </c>
      <c r="I14" s="41"/>
      <c r="J14" s="44" t="s">
        <v>18</v>
      </c>
      <c r="K14" s="44">
        <v>1</v>
      </c>
      <c r="L14" s="44" t="s">
        <v>18</v>
      </c>
      <c r="M14" s="44" t="s">
        <v>18</v>
      </c>
      <c r="N14" s="44" t="s">
        <v>18</v>
      </c>
      <c r="O14" s="44" t="s">
        <v>502</v>
      </c>
      <c r="P14" s="44" t="s">
        <v>475</v>
      </c>
      <c r="Q14" s="44"/>
      <c r="R14" s="44" t="s">
        <v>503</v>
      </c>
      <c r="S14" s="44" t="s">
        <v>504</v>
      </c>
      <c r="T14" s="44" t="s">
        <v>18</v>
      </c>
      <c r="U14" s="44" t="s">
        <v>18</v>
      </c>
      <c r="V14" s="44"/>
      <c r="W14" s="44"/>
    </row>
    <row r="15" spans="2:23" s="40" customFormat="1" ht="12.75" customHeight="1">
      <c r="B15" s="75" t="str">
        <f>IF(tbl_Instruement_List[[#This Row],[Tag_New]]="",tbl_Instruement_List[[#This Row],[Tag]],tbl_Instruement_List[[#This Row],[Tag_New]])</f>
        <v>FS-40204</v>
      </c>
      <c r="C15" s="41" t="s">
        <v>498</v>
      </c>
      <c r="D15" s="41"/>
      <c r="E15" s="41" t="s">
        <v>167</v>
      </c>
      <c r="F15" s="42" t="s">
        <v>170</v>
      </c>
      <c r="G15" s="41" t="s">
        <v>169</v>
      </c>
      <c r="H15" s="41" t="s">
        <v>498</v>
      </c>
      <c r="I15" s="41"/>
      <c r="J15" s="44" t="s">
        <v>18</v>
      </c>
      <c r="K15" s="44">
        <v>1</v>
      </c>
      <c r="L15" s="44" t="s">
        <v>18</v>
      </c>
      <c r="M15" s="44" t="s">
        <v>18</v>
      </c>
      <c r="N15" s="44" t="s">
        <v>18</v>
      </c>
      <c r="O15" s="44" t="s">
        <v>502</v>
      </c>
      <c r="P15" s="44" t="s">
        <v>475</v>
      </c>
      <c r="Q15" s="44"/>
      <c r="R15" s="44" t="s">
        <v>503</v>
      </c>
      <c r="S15" s="44" t="s">
        <v>504</v>
      </c>
      <c r="T15" s="44" t="s">
        <v>18</v>
      </c>
      <c r="U15" s="44" t="s">
        <v>18</v>
      </c>
      <c r="V15" s="44"/>
      <c r="W15" s="44"/>
    </row>
    <row r="16" spans="2:23" s="40" customFormat="1" ht="12.75" customHeight="1">
      <c r="B16" s="75" t="str">
        <f>IF(tbl_Instruement_List[[#This Row],[Tag_New]]="",tbl_Instruement_List[[#This Row],[Tag]],tbl_Instruement_List[[#This Row],[Tag_New]])</f>
        <v>FS-40205</v>
      </c>
      <c r="C16" s="41" t="s">
        <v>498</v>
      </c>
      <c r="D16" s="41"/>
      <c r="E16" s="41" t="s">
        <v>171</v>
      </c>
      <c r="F16" s="42" t="s">
        <v>172</v>
      </c>
      <c r="G16" s="41" t="s">
        <v>169</v>
      </c>
      <c r="H16" s="41" t="s">
        <v>498</v>
      </c>
      <c r="I16" s="41"/>
      <c r="J16" s="44" t="s">
        <v>18</v>
      </c>
      <c r="K16" s="44">
        <v>1</v>
      </c>
      <c r="L16" s="44" t="s">
        <v>18</v>
      </c>
      <c r="M16" s="44" t="s">
        <v>18</v>
      </c>
      <c r="N16" s="44" t="s">
        <v>18</v>
      </c>
      <c r="O16" s="44" t="s">
        <v>502</v>
      </c>
      <c r="P16" s="44" t="s">
        <v>475</v>
      </c>
      <c r="Q16" s="44"/>
      <c r="R16" s="44" t="s">
        <v>503</v>
      </c>
      <c r="S16" s="44" t="s">
        <v>504</v>
      </c>
      <c r="T16" s="44" t="s">
        <v>18</v>
      </c>
      <c r="U16" s="44" t="s">
        <v>18</v>
      </c>
      <c r="V16" s="44"/>
      <c r="W16" s="44"/>
    </row>
    <row r="17" spans="2:23" s="40" customFormat="1" ht="13" customHeight="1">
      <c r="B17" s="75" t="str">
        <f>IF(tbl_Instruement_List[[#This Row],[Tag_New]]="",tbl_Instruement_List[[#This Row],[Tag]],tbl_Instruement_List[[#This Row],[Tag_New]])</f>
        <v>FT-40201</v>
      </c>
      <c r="C17" s="41" t="s">
        <v>507</v>
      </c>
      <c r="D17" s="41" t="s">
        <v>118</v>
      </c>
      <c r="E17" s="41"/>
      <c r="F17" s="42" t="s">
        <v>172</v>
      </c>
      <c r="G17" s="41" t="s">
        <v>508</v>
      </c>
      <c r="H17" s="41" t="s">
        <v>507</v>
      </c>
      <c r="I17" s="41"/>
      <c r="J17" s="44" t="s">
        <v>18</v>
      </c>
      <c r="K17" s="44">
        <v>1</v>
      </c>
      <c r="L17" s="44" t="s">
        <v>18</v>
      </c>
      <c r="M17" s="43">
        <v>2</v>
      </c>
      <c r="N17" s="44" t="s">
        <v>18</v>
      </c>
      <c r="O17" s="44" t="s">
        <v>509</v>
      </c>
      <c r="P17" s="44" t="s">
        <v>475</v>
      </c>
      <c r="Q17" s="42" t="s">
        <v>510</v>
      </c>
      <c r="R17" s="44" t="s">
        <v>511</v>
      </c>
      <c r="S17" s="46" t="s">
        <v>512</v>
      </c>
      <c r="T17" s="44" t="s">
        <v>18</v>
      </c>
      <c r="U17" s="44" t="s">
        <v>18</v>
      </c>
      <c r="V17" s="44"/>
      <c r="W17" s="44"/>
    </row>
    <row r="18" spans="2:23" s="40" customFormat="1" ht="13" customHeight="1">
      <c r="B18" s="75" t="str">
        <f>IF(tbl_Instruement_List[[#This Row],[Tag_New]]="",tbl_Instruement_List[[#This Row],[Tag]],tbl_Instruement_List[[#This Row],[Tag_New]])</f>
        <v>FT-40202</v>
      </c>
      <c r="C18" s="41" t="s">
        <v>513</v>
      </c>
      <c r="D18" s="41" t="s">
        <v>119</v>
      </c>
      <c r="E18" s="41"/>
      <c r="F18" s="42" t="s">
        <v>172</v>
      </c>
      <c r="G18" s="41" t="s">
        <v>514</v>
      </c>
      <c r="H18" s="41" t="s">
        <v>513</v>
      </c>
      <c r="I18" s="41"/>
      <c r="J18" s="44" t="s">
        <v>18</v>
      </c>
      <c r="K18" s="43">
        <v>1</v>
      </c>
      <c r="L18" s="44" t="s">
        <v>18</v>
      </c>
      <c r="M18" s="43">
        <v>1</v>
      </c>
      <c r="N18" s="44" t="s">
        <v>18</v>
      </c>
      <c r="O18" s="44" t="s">
        <v>509</v>
      </c>
      <c r="P18" s="44" t="s">
        <v>475</v>
      </c>
      <c r="Q18" s="51" t="s">
        <v>515</v>
      </c>
      <c r="R18" s="46" t="s">
        <v>477</v>
      </c>
      <c r="S18" s="46" t="s">
        <v>478</v>
      </c>
      <c r="T18" s="44" t="s">
        <v>18</v>
      </c>
      <c r="U18" s="44" t="s">
        <v>18</v>
      </c>
      <c r="V18" s="44"/>
      <c r="W18" s="44"/>
    </row>
    <row r="19" spans="2:23" s="40" customFormat="1" ht="13" customHeight="1">
      <c r="B19" s="75" t="str">
        <f>IF(tbl_Instruement_List[[#This Row],[Tag_New]]="",tbl_Instruement_List[[#This Row],[Tag]],tbl_Instruement_List[[#This Row],[Tag_New]])</f>
        <v>FT-40221</v>
      </c>
      <c r="C19" s="41" t="s">
        <v>507</v>
      </c>
      <c r="D19" s="41"/>
      <c r="E19" s="41" t="s">
        <v>173</v>
      </c>
      <c r="F19" s="42" t="s">
        <v>172</v>
      </c>
      <c r="G19" s="41" t="s">
        <v>169</v>
      </c>
      <c r="H19" s="41" t="s">
        <v>507</v>
      </c>
      <c r="I19" s="41"/>
      <c r="J19" s="44" t="s">
        <v>18</v>
      </c>
      <c r="K19" s="44">
        <v>1</v>
      </c>
      <c r="L19" s="44" t="s">
        <v>18</v>
      </c>
      <c r="M19" s="43">
        <v>2</v>
      </c>
      <c r="N19" s="44" t="s">
        <v>18</v>
      </c>
      <c r="O19" s="44" t="s">
        <v>509</v>
      </c>
      <c r="P19" s="44" t="s">
        <v>475</v>
      </c>
      <c r="Q19" s="42" t="s">
        <v>516</v>
      </c>
      <c r="R19" s="44" t="s">
        <v>511</v>
      </c>
      <c r="S19" s="46" t="s">
        <v>512</v>
      </c>
      <c r="T19" s="44" t="s">
        <v>18</v>
      </c>
      <c r="U19" s="44" t="s">
        <v>18</v>
      </c>
      <c r="V19" s="44"/>
      <c r="W19" s="44"/>
    </row>
    <row r="20" spans="2:23" s="40" customFormat="1" ht="13" customHeight="1">
      <c r="B20" s="75" t="str">
        <f>IF(tbl_Instruement_List[[#This Row],[Tag_New]]="",tbl_Instruement_List[[#This Row],[Tag]],tbl_Instruement_List[[#This Row],[Tag_New]])</f>
        <v>FT-40222</v>
      </c>
      <c r="C20" s="41" t="s">
        <v>507</v>
      </c>
      <c r="D20" s="41"/>
      <c r="E20" s="41" t="s">
        <v>174</v>
      </c>
      <c r="F20" s="42" t="s">
        <v>172</v>
      </c>
      <c r="G20" s="41" t="s">
        <v>169</v>
      </c>
      <c r="H20" s="41" t="s">
        <v>507</v>
      </c>
      <c r="I20" s="41"/>
      <c r="J20" s="44" t="s">
        <v>18</v>
      </c>
      <c r="K20" s="44">
        <v>1</v>
      </c>
      <c r="L20" s="44" t="s">
        <v>18</v>
      </c>
      <c r="M20" s="43">
        <v>2</v>
      </c>
      <c r="N20" s="44" t="s">
        <v>18</v>
      </c>
      <c r="O20" s="44" t="s">
        <v>509</v>
      </c>
      <c r="P20" s="44" t="s">
        <v>475</v>
      </c>
      <c r="Q20" s="42" t="s">
        <v>517</v>
      </c>
      <c r="R20" s="44" t="s">
        <v>511</v>
      </c>
      <c r="S20" s="46" t="s">
        <v>512</v>
      </c>
      <c r="T20" s="44" t="s">
        <v>18</v>
      </c>
      <c r="U20" s="44" t="s">
        <v>18</v>
      </c>
      <c r="V20" s="44"/>
      <c r="W20" s="44"/>
    </row>
    <row r="21" spans="2:23" s="40" customFormat="1" ht="12.75" customHeight="1">
      <c r="B21" s="75" t="str">
        <f>IF(tbl_Instruement_List[[#This Row],[Tag_New]]="",tbl_Instruement_List[[#This Row],[Tag]],tbl_Instruement_List[[#This Row],[Tag_New]])</f>
        <v>FT-60221</v>
      </c>
      <c r="C21" s="75"/>
      <c r="D21" s="41" t="s">
        <v>269</v>
      </c>
      <c r="E21" s="41"/>
      <c r="F21" s="42" t="s">
        <v>518</v>
      </c>
      <c r="G21" s="41" t="s">
        <v>519</v>
      </c>
      <c r="H21" s="41" t="s">
        <v>520</v>
      </c>
      <c r="I21" s="41"/>
      <c r="J21" s="44" t="s">
        <v>18</v>
      </c>
      <c r="K21" s="44" t="s">
        <v>18</v>
      </c>
      <c r="L21" s="44" t="s">
        <v>18</v>
      </c>
      <c r="M21" s="43">
        <v>1</v>
      </c>
      <c r="N21" s="44" t="s">
        <v>18</v>
      </c>
      <c r="O21" s="44" t="s">
        <v>474</v>
      </c>
      <c r="P21" s="44" t="s">
        <v>475</v>
      </c>
      <c r="Q21" s="44" t="s">
        <v>521</v>
      </c>
      <c r="R21" s="44" t="s">
        <v>503</v>
      </c>
      <c r="S21" s="46" t="s">
        <v>485</v>
      </c>
      <c r="T21" s="44" t="s">
        <v>18</v>
      </c>
      <c r="U21" s="44" t="s">
        <v>18</v>
      </c>
      <c r="V21" s="44"/>
      <c r="W21" s="44"/>
    </row>
    <row r="22" spans="2:23" s="40" customFormat="1" ht="13">
      <c r="B22" s="75" t="str">
        <f>IF(tbl_Instruement_List[[#This Row],[Tag_New]]="",tbl_Instruement_List[[#This Row],[Tag]],tbl_Instruement_List[[#This Row],[Tag_New]])</f>
        <v>FT-60201</v>
      </c>
      <c r="C22" s="75"/>
      <c r="D22" s="41" t="s">
        <v>194</v>
      </c>
      <c r="E22" s="41"/>
      <c r="F22" s="42" t="s">
        <v>491</v>
      </c>
      <c r="G22" s="41" t="s">
        <v>522</v>
      </c>
      <c r="H22" s="41" t="s">
        <v>520</v>
      </c>
      <c r="I22" s="41"/>
      <c r="J22" s="44" t="s">
        <v>18</v>
      </c>
      <c r="K22" s="44" t="s">
        <v>18</v>
      </c>
      <c r="L22" s="44" t="s">
        <v>18</v>
      </c>
      <c r="M22" s="43">
        <v>1</v>
      </c>
      <c r="N22" s="44" t="s">
        <v>18</v>
      </c>
      <c r="O22" s="44" t="s">
        <v>474</v>
      </c>
      <c r="P22" s="44" t="s">
        <v>475</v>
      </c>
      <c r="Q22" s="52" t="s">
        <v>523</v>
      </c>
      <c r="R22" s="46" t="s">
        <v>477</v>
      </c>
      <c r="S22" s="46" t="s">
        <v>485</v>
      </c>
      <c r="T22" s="44" t="s">
        <v>18</v>
      </c>
      <c r="U22" s="44" t="s">
        <v>18</v>
      </c>
      <c r="V22" s="44"/>
      <c r="W22" s="44"/>
    </row>
    <row r="23" spans="2:23" s="40" customFormat="1" ht="12.75" customHeight="1">
      <c r="B23" s="75" t="str">
        <f>IF(tbl_Instruement_List[[#This Row],[Tag_New]]="",tbl_Instruement_List[[#This Row],[Tag]],tbl_Instruement_List[[#This Row],[Tag_New]])</f>
        <v>FT-60210</v>
      </c>
      <c r="C23" s="75"/>
      <c r="D23" s="41" t="s">
        <v>223</v>
      </c>
      <c r="E23" s="41"/>
      <c r="F23" s="42" t="s">
        <v>495</v>
      </c>
      <c r="G23" s="41" t="s">
        <v>524</v>
      </c>
      <c r="H23" s="41" t="s">
        <v>520</v>
      </c>
      <c r="I23" s="41"/>
      <c r="J23" s="44" t="s">
        <v>18</v>
      </c>
      <c r="K23" s="44" t="s">
        <v>18</v>
      </c>
      <c r="L23" s="44" t="s">
        <v>18</v>
      </c>
      <c r="M23" s="43">
        <v>2</v>
      </c>
      <c r="N23" s="44" t="s">
        <v>18</v>
      </c>
      <c r="O23" s="44" t="s">
        <v>474</v>
      </c>
      <c r="P23" s="43" t="s">
        <v>475</v>
      </c>
      <c r="Q23" s="52" t="s">
        <v>525</v>
      </c>
      <c r="R23" s="46" t="s">
        <v>477</v>
      </c>
      <c r="S23" s="46" t="s">
        <v>526</v>
      </c>
      <c r="T23" s="44" t="s">
        <v>18</v>
      </c>
      <c r="U23" s="44" t="s">
        <v>18</v>
      </c>
      <c r="V23" s="44"/>
      <c r="W23" s="44"/>
    </row>
    <row r="24" spans="2:23" s="40" customFormat="1" ht="12.75" customHeight="1">
      <c r="B24" s="75" t="str">
        <f>IF(tbl_Instruement_List[[#This Row],[Tag_New]]="",tbl_Instruement_List[[#This Row],[Tag]],tbl_Instruement_List[[#This Row],[Tag_New]])</f>
        <v>FT-60211</v>
      </c>
      <c r="C24" s="75"/>
      <c r="D24" s="41" t="s">
        <v>224</v>
      </c>
      <c r="E24" s="41"/>
      <c r="F24" s="42" t="s">
        <v>495</v>
      </c>
      <c r="G24" s="41" t="s">
        <v>527</v>
      </c>
      <c r="H24" s="41" t="s">
        <v>520</v>
      </c>
      <c r="I24" s="41"/>
      <c r="J24" s="44" t="s">
        <v>18</v>
      </c>
      <c r="K24" s="44" t="s">
        <v>18</v>
      </c>
      <c r="L24" s="44" t="s">
        <v>18</v>
      </c>
      <c r="M24" s="43">
        <v>2</v>
      </c>
      <c r="N24" s="44" t="s">
        <v>18</v>
      </c>
      <c r="O24" s="44" t="s">
        <v>474</v>
      </c>
      <c r="P24" s="43" t="s">
        <v>475</v>
      </c>
      <c r="Q24" s="52" t="s">
        <v>525</v>
      </c>
      <c r="R24" s="46" t="s">
        <v>477</v>
      </c>
      <c r="S24" s="46" t="s">
        <v>526</v>
      </c>
      <c r="T24" s="44" t="s">
        <v>18</v>
      </c>
      <c r="U24" s="44" t="s">
        <v>18</v>
      </c>
      <c r="V24" s="44"/>
      <c r="W24" s="44"/>
    </row>
    <row r="25" spans="2:23" s="53" customFormat="1" ht="12.75" customHeight="1">
      <c r="B25" s="75" t="str">
        <f>IF(tbl_Instruement_List[[#This Row],[Tag_New]]="",tbl_Instruement_List[[#This Row],[Tag]],tbl_Instruement_List[[#This Row],[Tag_New]])</f>
        <v>FT-60261FA</v>
      </c>
      <c r="C25" s="75"/>
      <c r="D25" s="41" t="s">
        <v>271</v>
      </c>
      <c r="E25" s="41"/>
      <c r="F25" s="42" t="s">
        <v>528</v>
      </c>
      <c r="G25" s="41" t="s">
        <v>529</v>
      </c>
      <c r="H25" s="41" t="s">
        <v>530</v>
      </c>
      <c r="I25" s="41"/>
      <c r="J25" s="44" t="s">
        <v>18</v>
      </c>
      <c r="K25" s="44" t="s">
        <v>18</v>
      </c>
      <c r="L25" s="44" t="s">
        <v>18</v>
      </c>
      <c r="M25" s="43">
        <v>1</v>
      </c>
      <c r="N25" s="44" t="s">
        <v>18</v>
      </c>
      <c r="O25" s="44" t="s">
        <v>474</v>
      </c>
      <c r="P25" s="43" t="s">
        <v>475</v>
      </c>
      <c r="Q25" s="51" t="s">
        <v>531</v>
      </c>
      <c r="R25" s="46" t="s">
        <v>477</v>
      </c>
      <c r="S25" s="46" t="s">
        <v>485</v>
      </c>
      <c r="T25" s="44" t="s">
        <v>18</v>
      </c>
      <c r="U25" s="44" t="s">
        <v>18</v>
      </c>
      <c r="V25" s="44"/>
      <c r="W25" s="44"/>
    </row>
    <row r="26" spans="2:23" s="40" customFormat="1" ht="12.75" customHeight="1">
      <c r="B26" s="75" t="str">
        <f>IF(tbl_Instruement_List[[#This Row],[Tag_New]]="",tbl_Instruement_List[[#This Row],[Tag]],tbl_Instruement_List[[#This Row],[Tag_New]])</f>
        <v>FT-60261FB</v>
      </c>
      <c r="C26" s="75"/>
      <c r="D26" s="41" t="s">
        <v>274</v>
      </c>
      <c r="E26" s="41"/>
      <c r="F26" s="42" t="s">
        <v>528</v>
      </c>
      <c r="G26" s="41" t="s">
        <v>532</v>
      </c>
      <c r="H26" s="41" t="s">
        <v>530</v>
      </c>
      <c r="I26" s="41"/>
      <c r="J26" s="44" t="s">
        <v>18</v>
      </c>
      <c r="K26" s="44" t="s">
        <v>18</v>
      </c>
      <c r="L26" s="44" t="s">
        <v>18</v>
      </c>
      <c r="M26" s="43">
        <v>1</v>
      </c>
      <c r="N26" s="44" t="s">
        <v>18</v>
      </c>
      <c r="O26" s="44" t="s">
        <v>474</v>
      </c>
      <c r="P26" s="43" t="s">
        <v>475</v>
      </c>
      <c r="Q26" s="51" t="s">
        <v>531</v>
      </c>
      <c r="R26" s="46" t="s">
        <v>477</v>
      </c>
      <c r="S26" s="46" t="s">
        <v>485</v>
      </c>
      <c r="T26" s="44" t="s">
        <v>18</v>
      </c>
      <c r="U26" s="44" t="s">
        <v>18</v>
      </c>
      <c r="V26" s="44"/>
      <c r="W26" s="44"/>
    </row>
    <row r="27" spans="2:23" s="40" customFormat="1" ht="12.75" customHeight="1">
      <c r="B27" s="75" t="str">
        <f>IF(tbl_Instruement_List[[#This Row],[Tag_New]]="",tbl_Instruement_List[[#This Row],[Tag]],tbl_Instruement_List[[#This Row],[Tag_New]])</f>
        <v>FT-60261FC</v>
      </c>
      <c r="C27" s="75"/>
      <c r="D27" s="41" t="s">
        <v>275</v>
      </c>
      <c r="E27" s="41"/>
      <c r="F27" s="42" t="s">
        <v>528</v>
      </c>
      <c r="G27" s="41" t="s">
        <v>533</v>
      </c>
      <c r="H27" s="41" t="s">
        <v>530</v>
      </c>
      <c r="I27" s="41"/>
      <c r="J27" s="44" t="s">
        <v>18</v>
      </c>
      <c r="K27" s="44" t="s">
        <v>18</v>
      </c>
      <c r="L27" s="44" t="s">
        <v>18</v>
      </c>
      <c r="M27" s="43">
        <v>1</v>
      </c>
      <c r="N27" s="44" t="s">
        <v>18</v>
      </c>
      <c r="O27" s="44" t="s">
        <v>474</v>
      </c>
      <c r="P27" s="43" t="s">
        <v>475</v>
      </c>
      <c r="Q27" s="51" t="s">
        <v>531</v>
      </c>
      <c r="R27" s="46" t="s">
        <v>477</v>
      </c>
      <c r="S27" s="46" t="s">
        <v>485</v>
      </c>
      <c r="T27" s="44" t="s">
        <v>18</v>
      </c>
      <c r="U27" s="44" t="s">
        <v>18</v>
      </c>
      <c r="V27" s="44"/>
      <c r="W27" s="44"/>
    </row>
    <row r="28" spans="2:23" s="40" customFormat="1" ht="12.75" customHeight="1">
      <c r="B28" s="75" t="str">
        <f>IF(tbl_Instruement_List[[#This Row],[Tag_New]]="",tbl_Instruement_List[[#This Row],[Tag]],tbl_Instruement_List[[#This Row],[Tag_New]])</f>
        <v>FT-60261FD</v>
      </c>
      <c r="C28" s="75"/>
      <c r="D28" s="41" t="s">
        <v>276</v>
      </c>
      <c r="E28" s="41"/>
      <c r="F28" s="42" t="s">
        <v>528</v>
      </c>
      <c r="G28" s="41" t="s">
        <v>534</v>
      </c>
      <c r="H28" s="41" t="s">
        <v>530</v>
      </c>
      <c r="I28" s="41"/>
      <c r="J28" s="44" t="s">
        <v>18</v>
      </c>
      <c r="K28" s="44" t="s">
        <v>18</v>
      </c>
      <c r="L28" s="44" t="s">
        <v>18</v>
      </c>
      <c r="M28" s="43">
        <v>1</v>
      </c>
      <c r="N28" s="44" t="s">
        <v>18</v>
      </c>
      <c r="O28" s="44" t="s">
        <v>474</v>
      </c>
      <c r="P28" s="43" t="s">
        <v>475</v>
      </c>
      <c r="Q28" s="51" t="s">
        <v>531</v>
      </c>
      <c r="R28" s="46" t="s">
        <v>477</v>
      </c>
      <c r="S28" s="46" t="s">
        <v>485</v>
      </c>
      <c r="T28" s="44" t="s">
        <v>18</v>
      </c>
      <c r="U28" s="44" t="s">
        <v>18</v>
      </c>
      <c r="V28" s="44"/>
      <c r="W28" s="44"/>
    </row>
    <row r="29" spans="2:23" s="40" customFormat="1" ht="12.75" customHeight="1">
      <c r="B29" s="75" t="str">
        <f>IF(tbl_Instruement_List[[#This Row],[Tag_New]]="",tbl_Instruement_List[[#This Row],[Tag]],tbl_Instruement_List[[#This Row],[Tag_New]])</f>
        <v>FT-60262FE</v>
      </c>
      <c r="C29" s="75"/>
      <c r="D29" s="41" t="s">
        <v>277</v>
      </c>
      <c r="E29" s="41"/>
      <c r="F29" s="42" t="s">
        <v>528</v>
      </c>
      <c r="G29" s="41" t="s">
        <v>535</v>
      </c>
      <c r="H29" s="41" t="s">
        <v>530</v>
      </c>
      <c r="I29" s="41"/>
      <c r="J29" s="44" t="s">
        <v>18</v>
      </c>
      <c r="K29" s="44" t="s">
        <v>18</v>
      </c>
      <c r="L29" s="44" t="s">
        <v>18</v>
      </c>
      <c r="M29" s="43">
        <v>1</v>
      </c>
      <c r="N29" s="44" t="s">
        <v>18</v>
      </c>
      <c r="O29" s="44" t="s">
        <v>474</v>
      </c>
      <c r="P29" s="43" t="s">
        <v>475</v>
      </c>
      <c r="Q29" s="51" t="s">
        <v>531</v>
      </c>
      <c r="R29" s="46" t="s">
        <v>477</v>
      </c>
      <c r="S29" s="46" t="s">
        <v>485</v>
      </c>
      <c r="T29" s="44" t="s">
        <v>18</v>
      </c>
      <c r="U29" s="44" t="s">
        <v>18</v>
      </c>
      <c r="V29" s="44"/>
      <c r="W29" s="44"/>
    </row>
    <row r="30" spans="2:23" s="40" customFormat="1" ht="12.75" customHeight="1">
      <c r="B30" s="75" t="str">
        <f>IF(tbl_Instruement_List[[#This Row],[Tag_New]]="",tbl_Instruement_List[[#This Row],[Tag]],tbl_Instruement_List[[#This Row],[Tag_New]])</f>
        <v>FT-60262FF</v>
      </c>
      <c r="C30" s="75"/>
      <c r="D30" s="41" t="s">
        <v>278</v>
      </c>
      <c r="E30" s="41"/>
      <c r="F30" s="42" t="s">
        <v>528</v>
      </c>
      <c r="G30" s="41" t="s">
        <v>536</v>
      </c>
      <c r="H30" s="41" t="s">
        <v>530</v>
      </c>
      <c r="I30" s="41"/>
      <c r="J30" s="44" t="s">
        <v>18</v>
      </c>
      <c r="K30" s="44" t="s">
        <v>18</v>
      </c>
      <c r="L30" s="44" t="s">
        <v>18</v>
      </c>
      <c r="M30" s="43">
        <v>1</v>
      </c>
      <c r="N30" s="44" t="s">
        <v>18</v>
      </c>
      <c r="O30" s="44" t="s">
        <v>474</v>
      </c>
      <c r="P30" s="43" t="s">
        <v>475</v>
      </c>
      <c r="Q30" s="51" t="s">
        <v>531</v>
      </c>
      <c r="R30" s="46" t="s">
        <v>477</v>
      </c>
      <c r="S30" s="46" t="s">
        <v>485</v>
      </c>
      <c r="T30" s="44" t="s">
        <v>18</v>
      </c>
      <c r="U30" s="44" t="s">
        <v>18</v>
      </c>
      <c r="V30" s="44"/>
      <c r="W30" s="44"/>
    </row>
    <row r="31" spans="2:23" s="40" customFormat="1" ht="12.75" customHeight="1">
      <c r="B31" s="75" t="str">
        <f>IF(tbl_Instruement_List[[#This Row],[Tag_New]]="",tbl_Instruement_List[[#This Row],[Tag]],tbl_Instruement_List[[#This Row],[Tag_New]])</f>
        <v>FT-60262FG</v>
      </c>
      <c r="C31" s="75"/>
      <c r="D31" s="41" t="s">
        <v>279</v>
      </c>
      <c r="E31" s="41"/>
      <c r="F31" s="42" t="s">
        <v>528</v>
      </c>
      <c r="G31" s="41" t="s">
        <v>537</v>
      </c>
      <c r="H31" s="41" t="s">
        <v>530</v>
      </c>
      <c r="I31" s="41"/>
      <c r="J31" s="44" t="s">
        <v>18</v>
      </c>
      <c r="K31" s="44" t="s">
        <v>18</v>
      </c>
      <c r="L31" s="44" t="s">
        <v>18</v>
      </c>
      <c r="M31" s="43">
        <v>1</v>
      </c>
      <c r="N31" s="44" t="s">
        <v>18</v>
      </c>
      <c r="O31" s="44" t="s">
        <v>474</v>
      </c>
      <c r="P31" s="43" t="s">
        <v>475</v>
      </c>
      <c r="Q31" s="51" t="s">
        <v>531</v>
      </c>
      <c r="R31" s="46" t="s">
        <v>477</v>
      </c>
      <c r="S31" s="46" t="s">
        <v>485</v>
      </c>
      <c r="T31" s="44" t="s">
        <v>18</v>
      </c>
      <c r="U31" s="44" t="s">
        <v>18</v>
      </c>
      <c r="V31" s="44"/>
      <c r="W31" s="44"/>
    </row>
    <row r="32" spans="2:23" s="40" customFormat="1" ht="12.75" customHeight="1">
      <c r="B32" s="75" t="str">
        <f>IF(tbl_Instruement_List[[#This Row],[Tag_New]]="",tbl_Instruement_List[[#This Row],[Tag]],tbl_Instruement_List[[#This Row],[Tag_New]])</f>
        <v>FT-60262FH</v>
      </c>
      <c r="C32" s="75"/>
      <c r="D32" s="41" t="s">
        <v>280</v>
      </c>
      <c r="E32" s="41"/>
      <c r="F32" s="42" t="s">
        <v>528</v>
      </c>
      <c r="G32" s="41" t="s">
        <v>538</v>
      </c>
      <c r="H32" s="41" t="s">
        <v>530</v>
      </c>
      <c r="I32" s="41"/>
      <c r="J32" s="44" t="s">
        <v>18</v>
      </c>
      <c r="K32" s="44" t="s">
        <v>18</v>
      </c>
      <c r="L32" s="43"/>
      <c r="M32" s="43">
        <v>1</v>
      </c>
      <c r="N32" s="44" t="s">
        <v>18</v>
      </c>
      <c r="O32" s="44" t="s">
        <v>474</v>
      </c>
      <c r="P32" s="43" t="s">
        <v>475</v>
      </c>
      <c r="Q32" s="51" t="s">
        <v>531</v>
      </c>
      <c r="R32" s="46" t="s">
        <v>477</v>
      </c>
      <c r="S32" s="46" t="s">
        <v>485</v>
      </c>
      <c r="T32" s="44" t="s">
        <v>18</v>
      </c>
      <c r="U32" s="44" t="s">
        <v>18</v>
      </c>
      <c r="V32" s="44"/>
      <c r="W32" s="44"/>
    </row>
    <row r="33" spans="2:23" s="40" customFormat="1" ht="12.75" customHeight="1">
      <c r="B33" s="75" t="str">
        <f>IF(tbl_Instruement_List[[#This Row],[Tag_New]]="",tbl_Instruement_List[[#This Row],[Tag]],tbl_Instruement_List[[#This Row],[Tag_New]])</f>
        <v>FT-60263FJ</v>
      </c>
      <c r="C33" s="75"/>
      <c r="D33" s="41" t="s">
        <v>281</v>
      </c>
      <c r="E33" s="41"/>
      <c r="F33" s="42" t="s">
        <v>528</v>
      </c>
      <c r="G33" s="41" t="s">
        <v>539</v>
      </c>
      <c r="H33" s="41" t="s">
        <v>530</v>
      </c>
      <c r="I33" s="41"/>
      <c r="J33" s="44" t="s">
        <v>18</v>
      </c>
      <c r="K33" s="44" t="s">
        <v>18</v>
      </c>
      <c r="L33" s="44" t="s">
        <v>18</v>
      </c>
      <c r="M33" s="43">
        <v>1</v>
      </c>
      <c r="N33" s="44" t="s">
        <v>18</v>
      </c>
      <c r="O33" s="44" t="s">
        <v>474</v>
      </c>
      <c r="P33" s="43" t="s">
        <v>475</v>
      </c>
      <c r="Q33" s="51" t="s">
        <v>531</v>
      </c>
      <c r="R33" s="46" t="s">
        <v>477</v>
      </c>
      <c r="S33" s="46" t="s">
        <v>485</v>
      </c>
      <c r="T33" s="44" t="s">
        <v>18</v>
      </c>
      <c r="U33" s="44" t="s">
        <v>18</v>
      </c>
      <c r="V33" s="44"/>
      <c r="W33" s="44"/>
    </row>
    <row r="34" spans="2:23" s="40" customFormat="1" ht="12.75" customHeight="1">
      <c r="B34" s="75" t="str">
        <f>IF(tbl_Instruement_List[[#This Row],[Tag_New]]="",tbl_Instruement_List[[#This Row],[Tag]],tbl_Instruement_List[[#This Row],[Tag_New]])</f>
        <v>FT-60263FK</v>
      </c>
      <c r="C34" s="75"/>
      <c r="D34" s="41" t="s">
        <v>282</v>
      </c>
      <c r="E34" s="41"/>
      <c r="F34" s="42" t="s">
        <v>528</v>
      </c>
      <c r="G34" s="41" t="s">
        <v>540</v>
      </c>
      <c r="H34" s="41" t="s">
        <v>530</v>
      </c>
      <c r="I34" s="41"/>
      <c r="J34" s="44" t="s">
        <v>18</v>
      </c>
      <c r="K34" s="44" t="s">
        <v>18</v>
      </c>
      <c r="L34" s="44" t="s">
        <v>18</v>
      </c>
      <c r="M34" s="43">
        <v>1</v>
      </c>
      <c r="N34" s="44" t="s">
        <v>18</v>
      </c>
      <c r="O34" s="44" t="s">
        <v>474</v>
      </c>
      <c r="P34" s="43" t="s">
        <v>475</v>
      </c>
      <c r="Q34" s="51" t="s">
        <v>531</v>
      </c>
      <c r="R34" s="46" t="s">
        <v>477</v>
      </c>
      <c r="S34" s="46" t="s">
        <v>485</v>
      </c>
      <c r="T34" s="44" t="s">
        <v>18</v>
      </c>
      <c r="U34" s="44" t="s">
        <v>18</v>
      </c>
      <c r="V34" s="44"/>
      <c r="W34" s="44"/>
    </row>
    <row r="35" spans="2:23" s="40" customFormat="1" ht="12.75" customHeight="1">
      <c r="B35" s="75" t="str">
        <f>IF(tbl_Instruement_List[[#This Row],[Tag_New]]="",tbl_Instruement_List[[#This Row],[Tag]],tbl_Instruement_List[[#This Row],[Tag_New]])</f>
        <v>FT-60263FL</v>
      </c>
      <c r="C35" s="75"/>
      <c r="D35" s="41" t="s">
        <v>283</v>
      </c>
      <c r="E35" s="41"/>
      <c r="F35" s="42" t="s">
        <v>528</v>
      </c>
      <c r="G35" s="41" t="s">
        <v>541</v>
      </c>
      <c r="H35" s="41" t="s">
        <v>530</v>
      </c>
      <c r="I35" s="41"/>
      <c r="J35" s="44" t="s">
        <v>18</v>
      </c>
      <c r="K35" s="44" t="s">
        <v>18</v>
      </c>
      <c r="L35" s="44" t="s">
        <v>18</v>
      </c>
      <c r="M35" s="43">
        <v>1</v>
      </c>
      <c r="N35" s="44" t="s">
        <v>18</v>
      </c>
      <c r="O35" s="44" t="s">
        <v>474</v>
      </c>
      <c r="P35" s="43" t="s">
        <v>475</v>
      </c>
      <c r="Q35" s="51" t="s">
        <v>531</v>
      </c>
      <c r="R35" s="46" t="s">
        <v>477</v>
      </c>
      <c r="S35" s="46" t="s">
        <v>485</v>
      </c>
      <c r="T35" s="44" t="s">
        <v>18</v>
      </c>
      <c r="U35" s="44" t="s">
        <v>18</v>
      </c>
      <c r="V35" s="44"/>
      <c r="W35" s="44"/>
    </row>
    <row r="36" spans="2:23" s="40" customFormat="1" ht="12.75" customHeight="1">
      <c r="B36" s="75" t="str">
        <f>IF(tbl_Instruement_List[[#This Row],[Tag_New]]="",tbl_Instruement_List[[#This Row],[Tag]],tbl_Instruement_List[[#This Row],[Tag_New]])</f>
        <v>FT-60263FM</v>
      </c>
      <c r="C36" s="75"/>
      <c r="D36" s="41" t="s">
        <v>284</v>
      </c>
      <c r="E36" s="41"/>
      <c r="F36" s="42" t="s">
        <v>528</v>
      </c>
      <c r="G36" s="41" t="s">
        <v>542</v>
      </c>
      <c r="H36" s="41" t="s">
        <v>530</v>
      </c>
      <c r="I36" s="41"/>
      <c r="J36" s="44" t="s">
        <v>18</v>
      </c>
      <c r="K36" s="44" t="s">
        <v>18</v>
      </c>
      <c r="L36" s="44" t="s">
        <v>18</v>
      </c>
      <c r="M36" s="43">
        <v>1</v>
      </c>
      <c r="N36" s="44" t="s">
        <v>18</v>
      </c>
      <c r="O36" s="44" t="s">
        <v>474</v>
      </c>
      <c r="P36" s="43" t="s">
        <v>475</v>
      </c>
      <c r="Q36" s="51" t="s">
        <v>531</v>
      </c>
      <c r="R36" s="46" t="s">
        <v>477</v>
      </c>
      <c r="S36" s="46" t="s">
        <v>485</v>
      </c>
      <c r="T36" s="44" t="s">
        <v>18</v>
      </c>
      <c r="U36" s="44" t="s">
        <v>18</v>
      </c>
      <c r="V36" s="44"/>
      <c r="W36" s="44"/>
    </row>
    <row r="37" spans="2:23" s="40" customFormat="1" ht="12.75" customHeight="1">
      <c r="B37" s="75" t="str">
        <f>IF(tbl_Instruement_List[[#This Row],[Tag_New]]="",tbl_Instruement_List[[#This Row],[Tag]],tbl_Instruement_List[[#This Row],[Tag_New]])</f>
        <v>FT-60264FN</v>
      </c>
      <c r="C37" s="75"/>
      <c r="D37" s="41" t="s">
        <v>285</v>
      </c>
      <c r="E37" s="41"/>
      <c r="F37" s="42" t="s">
        <v>528</v>
      </c>
      <c r="G37" s="41" t="s">
        <v>543</v>
      </c>
      <c r="H37" s="41" t="s">
        <v>530</v>
      </c>
      <c r="I37" s="41"/>
      <c r="J37" s="44" t="s">
        <v>18</v>
      </c>
      <c r="K37" s="44" t="s">
        <v>18</v>
      </c>
      <c r="L37" s="44" t="s">
        <v>18</v>
      </c>
      <c r="M37" s="43">
        <v>1</v>
      </c>
      <c r="N37" s="44" t="s">
        <v>18</v>
      </c>
      <c r="O37" s="44" t="s">
        <v>474</v>
      </c>
      <c r="P37" s="43" t="s">
        <v>475</v>
      </c>
      <c r="Q37" s="51" t="s">
        <v>531</v>
      </c>
      <c r="R37" s="46" t="s">
        <v>477</v>
      </c>
      <c r="S37" s="46" t="s">
        <v>485</v>
      </c>
      <c r="T37" s="44" t="s">
        <v>18</v>
      </c>
      <c r="U37" s="44" t="s">
        <v>18</v>
      </c>
      <c r="V37" s="44"/>
      <c r="W37" s="44"/>
    </row>
    <row r="38" spans="2:23" s="40" customFormat="1" ht="12.75" customHeight="1">
      <c r="B38" s="75" t="str">
        <f>IF(tbl_Instruement_List[[#This Row],[Tag_New]]="",tbl_Instruement_List[[#This Row],[Tag]],tbl_Instruement_List[[#This Row],[Tag_New]])</f>
        <v>FT-60264FP</v>
      </c>
      <c r="C38" s="75"/>
      <c r="D38" s="41" t="s">
        <v>286</v>
      </c>
      <c r="E38" s="41"/>
      <c r="F38" s="42" t="s">
        <v>528</v>
      </c>
      <c r="G38" s="41" t="s">
        <v>544</v>
      </c>
      <c r="H38" s="41" t="s">
        <v>530</v>
      </c>
      <c r="I38" s="41"/>
      <c r="J38" s="44" t="s">
        <v>18</v>
      </c>
      <c r="K38" s="44" t="s">
        <v>18</v>
      </c>
      <c r="L38" s="44" t="s">
        <v>18</v>
      </c>
      <c r="M38" s="43">
        <v>1</v>
      </c>
      <c r="N38" s="44" t="s">
        <v>18</v>
      </c>
      <c r="O38" s="44" t="s">
        <v>474</v>
      </c>
      <c r="P38" s="43" t="s">
        <v>475</v>
      </c>
      <c r="Q38" s="51" t="s">
        <v>531</v>
      </c>
      <c r="R38" s="46" t="s">
        <v>477</v>
      </c>
      <c r="S38" s="46" t="s">
        <v>485</v>
      </c>
      <c r="T38" s="44" t="s">
        <v>18</v>
      </c>
      <c r="U38" s="44" t="s">
        <v>18</v>
      </c>
      <c r="V38" s="44"/>
      <c r="W38" s="44"/>
    </row>
    <row r="39" spans="2:23" s="40" customFormat="1" ht="12.75" customHeight="1">
      <c r="B39" s="75" t="str">
        <f>IF(tbl_Instruement_List[[#This Row],[Tag_New]]="",tbl_Instruement_List[[#This Row],[Tag]],tbl_Instruement_List[[#This Row],[Tag_New]])</f>
        <v>FT-60264FQ</v>
      </c>
      <c r="C39" s="75"/>
      <c r="D39" s="41" t="s">
        <v>287</v>
      </c>
      <c r="E39" s="41"/>
      <c r="F39" s="42" t="s">
        <v>528</v>
      </c>
      <c r="G39" s="41" t="s">
        <v>545</v>
      </c>
      <c r="H39" s="41" t="s">
        <v>530</v>
      </c>
      <c r="I39" s="41"/>
      <c r="J39" s="44" t="s">
        <v>18</v>
      </c>
      <c r="K39" s="44" t="s">
        <v>18</v>
      </c>
      <c r="L39" s="44" t="s">
        <v>18</v>
      </c>
      <c r="M39" s="43">
        <v>1</v>
      </c>
      <c r="N39" s="44" t="s">
        <v>18</v>
      </c>
      <c r="O39" s="44" t="s">
        <v>474</v>
      </c>
      <c r="P39" s="43" t="s">
        <v>475</v>
      </c>
      <c r="Q39" s="51" t="s">
        <v>531</v>
      </c>
      <c r="R39" s="46" t="s">
        <v>477</v>
      </c>
      <c r="S39" s="46" t="s">
        <v>485</v>
      </c>
      <c r="T39" s="44" t="s">
        <v>18</v>
      </c>
      <c r="U39" s="44" t="s">
        <v>18</v>
      </c>
      <c r="V39" s="44"/>
      <c r="W39" s="44"/>
    </row>
    <row r="40" spans="2:23" s="40" customFormat="1" ht="12.75" customHeight="1">
      <c r="B40" s="75" t="str">
        <f>IF(tbl_Instruement_List[[#This Row],[Tag_New]]="",tbl_Instruement_List[[#This Row],[Tag]],tbl_Instruement_List[[#This Row],[Tag_New]])</f>
        <v>FT-60264FR</v>
      </c>
      <c r="C40" s="75"/>
      <c r="D40" s="41" t="s">
        <v>288</v>
      </c>
      <c r="E40" s="41"/>
      <c r="F40" s="42" t="s">
        <v>528</v>
      </c>
      <c r="G40" s="41" t="s">
        <v>546</v>
      </c>
      <c r="H40" s="41" t="s">
        <v>530</v>
      </c>
      <c r="I40" s="41"/>
      <c r="J40" s="44" t="s">
        <v>18</v>
      </c>
      <c r="K40" s="44" t="s">
        <v>18</v>
      </c>
      <c r="L40" s="44" t="s">
        <v>18</v>
      </c>
      <c r="M40" s="43">
        <v>1</v>
      </c>
      <c r="N40" s="44" t="s">
        <v>18</v>
      </c>
      <c r="O40" s="44" t="s">
        <v>474</v>
      </c>
      <c r="P40" s="43" t="s">
        <v>475</v>
      </c>
      <c r="Q40" s="51" t="s">
        <v>531</v>
      </c>
      <c r="R40" s="46" t="s">
        <v>477</v>
      </c>
      <c r="S40" s="46" t="s">
        <v>485</v>
      </c>
      <c r="T40" s="44" t="s">
        <v>18</v>
      </c>
      <c r="U40" s="44" t="s">
        <v>18</v>
      </c>
      <c r="V40" s="44"/>
      <c r="W40" s="44"/>
    </row>
    <row r="41" spans="2:23" s="40" customFormat="1" ht="12.75" customHeight="1">
      <c r="B41" s="75" t="str">
        <f>IF(tbl_Instruement_List[[#This Row],[Tag_New]]="",tbl_Instruement_List[[#This Row],[Tag]],tbl_Instruement_List[[#This Row],[Tag_New]])</f>
        <v>FT-61307</v>
      </c>
      <c r="C41" s="75"/>
      <c r="D41" s="41" t="s">
        <v>195</v>
      </c>
      <c r="E41" s="41" t="s">
        <v>195</v>
      </c>
      <c r="F41" s="42" t="s">
        <v>197</v>
      </c>
      <c r="G41" s="41" t="s">
        <v>547</v>
      </c>
      <c r="H41" s="41" t="s">
        <v>520</v>
      </c>
      <c r="I41" s="41"/>
      <c r="J41" s="44" t="s">
        <v>18</v>
      </c>
      <c r="K41" s="44" t="s">
        <v>18</v>
      </c>
      <c r="L41" s="44" t="s">
        <v>18</v>
      </c>
      <c r="M41" s="44">
        <v>1</v>
      </c>
      <c r="N41" s="44" t="s">
        <v>18</v>
      </c>
      <c r="O41" s="44" t="s">
        <v>474</v>
      </c>
      <c r="P41" s="44" t="s">
        <v>475</v>
      </c>
      <c r="Q41" s="47" t="s">
        <v>548</v>
      </c>
      <c r="R41" s="46" t="s">
        <v>477</v>
      </c>
      <c r="S41" s="46" t="s">
        <v>485</v>
      </c>
      <c r="T41" s="44" t="s">
        <v>18</v>
      </c>
      <c r="U41" s="44" t="s">
        <v>18</v>
      </c>
      <c r="V41" s="44"/>
      <c r="W41" s="44"/>
    </row>
    <row r="42" spans="2:23" s="40" customFormat="1" ht="12.75" customHeight="1">
      <c r="B42" s="75" t="str">
        <f>IF(tbl_Instruement_List[[#This Row],[Tag_New]]="",tbl_Instruement_List[[#This Row],[Tag]],tbl_Instruement_List[[#This Row],[Tag_New]])</f>
        <v>FT-60203</v>
      </c>
      <c r="C42" s="75"/>
      <c r="D42" s="41" t="s">
        <v>549</v>
      </c>
      <c r="E42" s="41" t="s">
        <v>266</v>
      </c>
      <c r="F42" s="42" t="s">
        <v>481</v>
      </c>
      <c r="G42" s="41" t="s">
        <v>550</v>
      </c>
      <c r="H42" s="41" t="s">
        <v>551</v>
      </c>
      <c r="I42" s="41"/>
      <c r="J42" s="44" t="s">
        <v>18</v>
      </c>
      <c r="K42" s="44">
        <v>1</v>
      </c>
      <c r="L42" s="44" t="s">
        <v>18</v>
      </c>
      <c r="M42" s="44">
        <v>1</v>
      </c>
      <c r="N42" s="44" t="s">
        <v>18</v>
      </c>
      <c r="O42" s="44" t="s">
        <v>474</v>
      </c>
      <c r="P42" s="44" t="s">
        <v>475</v>
      </c>
      <c r="Q42" s="47" t="s">
        <v>552</v>
      </c>
      <c r="R42" s="46" t="s">
        <v>477</v>
      </c>
      <c r="S42" s="46" t="s">
        <v>526</v>
      </c>
      <c r="T42" s="44" t="s">
        <v>18</v>
      </c>
      <c r="U42" s="44" t="s">
        <v>18</v>
      </c>
      <c r="V42" s="44"/>
      <c r="W42" s="44"/>
    </row>
    <row r="43" spans="2:23" s="40" customFormat="1" ht="13" customHeight="1">
      <c r="B43" s="75" t="str">
        <f>IF(tbl_Instruement_List[[#This Row],[Tag_New]]="",tbl_Instruement_List[[#This Row],[Tag]],tbl_Instruement_List[[#This Row],[Tag_New]])</f>
        <v>FT-60202</v>
      </c>
      <c r="C43" s="75"/>
      <c r="D43" s="41" t="s">
        <v>553</v>
      </c>
      <c r="E43" s="41" t="s">
        <v>225</v>
      </c>
      <c r="F43" s="42" t="s">
        <v>481</v>
      </c>
      <c r="G43" s="41" t="s">
        <v>554</v>
      </c>
      <c r="H43" s="41" t="s">
        <v>551</v>
      </c>
      <c r="I43" s="41"/>
      <c r="J43" s="44" t="s">
        <v>18</v>
      </c>
      <c r="K43" s="44">
        <v>1</v>
      </c>
      <c r="L43" s="44" t="s">
        <v>18</v>
      </c>
      <c r="M43" s="44">
        <v>1</v>
      </c>
      <c r="N43" s="44" t="s">
        <v>18</v>
      </c>
      <c r="O43" s="44" t="s">
        <v>474</v>
      </c>
      <c r="P43" s="44" t="s">
        <v>475</v>
      </c>
      <c r="Q43" s="47" t="s">
        <v>555</v>
      </c>
      <c r="R43" s="46" t="s">
        <v>477</v>
      </c>
      <c r="S43" s="46" t="s">
        <v>526</v>
      </c>
      <c r="T43" s="44" t="s">
        <v>18</v>
      </c>
      <c r="U43" s="44" t="s">
        <v>18</v>
      </c>
      <c r="V43" s="44"/>
      <c r="W43" s="44"/>
    </row>
    <row r="44" spans="2:23" s="40" customFormat="1" ht="12.75" customHeight="1">
      <c r="B44" s="75" t="str">
        <f>IF(tbl_Instruement_List[[#This Row],[Tag_New]]="",tbl_Instruement_List[[#This Row],[Tag]],tbl_Instruement_List[[#This Row],[Tag_New]])</f>
        <v>FT-60204</v>
      </c>
      <c r="C44" s="75"/>
      <c r="D44" s="41" t="s">
        <v>556</v>
      </c>
      <c r="E44" s="41" t="s">
        <v>198</v>
      </c>
      <c r="F44" s="42" t="s">
        <v>557</v>
      </c>
      <c r="G44" s="41" t="s">
        <v>547</v>
      </c>
      <c r="H44" s="41" t="s">
        <v>520</v>
      </c>
      <c r="I44" s="41"/>
      <c r="J44" s="44" t="s">
        <v>18</v>
      </c>
      <c r="K44" s="44" t="s">
        <v>18</v>
      </c>
      <c r="L44" s="44" t="s">
        <v>18</v>
      </c>
      <c r="M44" s="44">
        <v>1</v>
      </c>
      <c r="N44" s="44" t="s">
        <v>18</v>
      </c>
      <c r="O44" s="44" t="s">
        <v>474</v>
      </c>
      <c r="P44" s="44" t="s">
        <v>475</v>
      </c>
      <c r="Q44" s="47" t="s">
        <v>548</v>
      </c>
      <c r="R44" s="46" t="s">
        <v>477</v>
      </c>
      <c r="S44" s="46" t="s">
        <v>478</v>
      </c>
      <c r="T44" s="44" t="s">
        <v>18</v>
      </c>
      <c r="U44" s="44" t="s">
        <v>18</v>
      </c>
      <c r="V44" s="44"/>
      <c r="W44" s="44"/>
    </row>
    <row r="45" spans="2:23" s="40" customFormat="1" ht="13" customHeight="1">
      <c r="B45" s="75" t="str">
        <f>IF(tbl_Instruement_List[[#This Row],[Tag_New]]="",tbl_Instruement_List[[#This Row],[Tag]],tbl_Instruement_List[[#This Row],[Tag_New]])</f>
        <v>FT-936201</v>
      </c>
      <c r="C45" s="75"/>
      <c r="D45" s="41" t="s">
        <v>558</v>
      </c>
      <c r="E45" s="41" t="s">
        <v>422</v>
      </c>
      <c r="F45" s="42" t="s">
        <v>423</v>
      </c>
      <c r="G45" s="41" t="s">
        <v>419</v>
      </c>
      <c r="H45" s="41" t="s">
        <v>513</v>
      </c>
      <c r="I45" s="41"/>
      <c r="J45" s="44" t="s">
        <v>18</v>
      </c>
      <c r="K45" s="44">
        <v>1</v>
      </c>
      <c r="L45" s="44" t="s">
        <v>18</v>
      </c>
      <c r="M45" s="44">
        <v>1</v>
      </c>
      <c r="N45" s="44" t="s">
        <v>18</v>
      </c>
      <c r="O45" s="44" t="s">
        <v>509</v>
      </c>
      <c r="P45" s="44" t="s">
        <v>475</v>
      </c>
      <c r="Q45" s="44" t="s">
        <v>559</v>
      </c>
      <c r="R45" s="44" t="s">
        <v>511</v>
      </c>
      <c r="S45" s="46" t="s">
        <v>478</v>
      </c>
      <c r="T45" s="44" t="s">
        <v>18</v>
      </c>
      <c r="U45" s="44" t="s">
        <v>18</v>
      </c>
      <c r="V45" s="44"/>
      <c r="W45" s="44"/>
    </row>
    <row r="46" spans="2:23" s="40" customFormat="1" ht="13" customHeight="1">
      <c r="B46" s="75" t="str">
        <f>IF(tbl_Instruement_List[[#This Row],[Tag_New]]="",tbl_Instruement_List[[#This Row],[Tag]],tbl_Instruement_List[[#This Row],[Tag_New]])</f>
        <v>FT-936202</v>
      </c>
      <c r="C46" s="75"/>
      <c r="D46" s="41" t="s">
        <v>560</v>
      </c>
      <c r="E46" s="41" t="s">
        <v>418</v>
      </c>
      <c r="F46" s="42" t="s">
        <v>420</v>
      </c>
      <c r="G46" s="41" t="s">
        <v>419</v>
      </c>
      <c r="H46" s="41" t="s">
        <v>513</v>
      </c>
      <c r="I46" s="41"/>
      <c r="J46" s="44" t="s">
        <v>18</v>
      </c>
      <c r="K46" s="44">
        <v>1</v>
      </c>
      <c r="L46" s="44" t="s">
        <v>18</v>
      </c>
      <c r="M46" s="44">
        <v>1</v>
      </c>
      <c r="N46" s="44" t="s">
        <v>18</v>
      </c>
      <c r="O46" s="44" t="s">
        <v>509</v>
      </c>
      <c r="P46" s="44" t="s">
        <v>475</v>
      </c>
      <c r="Q46" s="44" t="s">
        <v>561</v>
      </c>
      <c r="R46" s="46" t="s">
        <v>477</v>
      </c>
      <c r="S46" s="46" t="s">
        <v>478</v>
      </c>
      <c r="T46" s="44" t="s">
        <v>18</v>
      </c>
      <c r="U46" s="44" t="s">
        <v>18</v>
      </c>
      <c r="V46" s="44"/>
      <c r="W46" s="44"/>
    </row>
    <row r="47" spans="2:23" s="40" customFormat="1" ht="13" customHeight="1">
      <c r="B47" s="75" t="str">
        <f>IF(tbl_Instruement_List[[#This Row],[Tag_New]]="",tbl_Instruement_List[[#This Row],[Tag]],tbl_Instruement_List[[#This Row],[Tag_New]])</f>
        <v>HS-61307A</v>
      </c>
      <c r="C47" s="75"/>
      <c r="D47" s="41" t="s">
        <v>359</v>
      </c>
      <c r="E47" s="41"/>
      <c r="F47" s="42" t="s">
        <v>67</v>
      </c>
      <c r="G47" s="41" t="s">
        <v>562</v>
      </c>
      <c r="H47" s="41" t="s">
        <v>563</v>
      </c>
      <c r="I47" s="41"/>
      <c r="J47" s="44" t="s">
        <v>18</v>
      </c>
      <c r="K47" s="44">
        <v>2</v>
      </c>
      <c r="L47" s="44" t="s">
        <v>18</v>
      </c>
      <c r="M47" s="44" t="s">
        <v>18</v>
      </c>
      <c r="N47" s="44" t="s">
        <v>18</v>
      </c>
      <c r="O47" s="44" t="s">
        <v>502</v>
      </c>
      <c r="P47" s="44" t="s">
        <v>475</v>
      </c>
      <c r="Q47" s="44"/>
      <c r="R47" s="44"/>
      <c r="S47" s="44" t="s">
        <v>504</v>
      </c>
      <c r="T47" s="44" t="s">
        <v>564</v>
      </c>
      <c r="U47" s="44" t="s">
        <v>18</v>
      </c>
      <c r="V47" s="44"/>
      <c r="W47" s="44"/>
    </row>
    <row r="48" spans="2:23" s="40" customFormat="1" ht="12.75" customHeight="1">
      <c r="B48" s="75" t="str">
        <f>IF(tbl_Instruement_List[[#This Row],[Tag_New]]="",tbl_Instruement_List[[#This Row],[Tag]],tbl_Instruement_List[[#This Row],[Tag_New]])</f>
        <v>HS-61307B</v>
      </c>
      <c r="C48" s="75"/>
      <c r="D48" s="41" t="s">
        <v>361</v>
      </c>
      <c r="E48" s="41"/>
      <c r="F48" s="42" t="s">
        <v>67</v>
      </c>
      <c r="G48" s="41" t="s">
        <v>562</v>
      </c>
      <c r="H48" s="41" t="s">
        <v>563</v>
      </c>
      <c r="I48" s="41"/>
      <c r="J48" s="44"/>
      <c r="K48" s="44"/>
      <c r="L48" s="44"/>
      <c r="M48" s="44"/>
      <c r="N48" s="44" t="s">
        <v>18</v>
      </c>
      <c r="O48" s="44" t="s">
        <v>502</v>
      </c>
      <c r="P48" s="44" t="s">
        <v>475</v>
      </c>
      <c r="Q48" s="44"/>
      <c r="R48" s="44"/>
      <c r="S48" s="44" t="s">
        <v>504</v>
      </c>
      <c r="T48" s="44" t="s">
        <v>564</v>
      </c>
      <c r="U48" s="44" t="s">
        <v>18</v>
      </c>
      <c r="V48" s="44"/>
      <c r="W48" s="44"/>
    </row>
    <row r="49" spans="2:23" s="40" customFormat="1" ht="12.75" customHeight="1">
      <c r="B49" s="75" t="str">
        <f>IF(tbl_Instruement_List[[#This Row],[Tag_New]]="",tbl_Instruement_List[[#This Row],[Tag]],tbl_Instruement_List[[#This Row],[Tag_New]])</f>
        <v>HS-61307C</v>
      </c>
      <c r="C49" s="75"/>
      <c r="D49" s="41" t="s">
        <v>362</v>
      </c>
      <c r="E49" s="41"/>
      <c r="F49" s="42" t="s">
        <v>67</v>
      </c>
      <c r="G49" s="41" t="s">
        <v>562</v>
      </c>
      <c r="H49" s="41" t="s">
        <v>563</v>
      </c>
      <c r="I49" s="41"/>
      <c r="J49" s="44"/>
      <c r="K49" s="44"/>
      <c r="L49" s="44"/>
      <c r="M49" s="44"/>
      <c r="N49" s="44" t="s">
        <v>18</v>
      </c>
      <c r="O49" s="44" t="s">
        <v>502</v>
      </c>
      <c r="P49" s="44" t="s">
        <v>475</v>
      </c>
      <c r="Q49" s="44"/>
      <c r="R49" s="44"/>
      <c r="S49" s="44" t="s">
        <v>504</v>
      </c>
      <c r="T49" s="44" t="s">
        <v>564</v>
      </c>
      <c r="U49" s="44" t="s">
        <v>18</v>
      </c>
      <c r="V49" s="44"/>
      <c r="W49" s="44"/>
    </row>
    <row r="50" spans="2:23" s="40" customFormat="1" ht="15" customHeight="1">
      <c r="B50" s="75" t="str">
        <f>IF(tbl_Instruement_List[[#This Row],[Tag_New]]="",tbl_Instruement_List[[#This Row],[Tag]],tbl_Instruement_List[[#This Row],[Tag_New]])</f>
        <v>HS-61307D</v>
      </c>
      <c r="C50" s="75"/>
      <c r="D50" s="41" t="s">
        <v>363</v>
      </c>
      <c r="E50" s="41"/>
      <c r="F50" s="42" t="s">
        <v>67</v>
      </c>
      <c r="G50" s="41" t="s">
        <v>562</v>
      </c>
      <c r="H50" s="41" t="s">
        <v>563</v>
      </c>
      <c r="I50" s="41"/>
      <c r="J50" s="44"/>
      <c r="K50" s="44"/>
      <c r="L50" s="44"/>
      <c r="M50" s="44"/>
      <c r="N50" s="44" t="s">
        <v>18</v>
      </c>
      <c r="O50" s="44" t="s">
        <v>502</v>
      </c>
      <c r="P50" s="44" t="s">
        <v>475</v>
      </c>
      <c r="Q50" s="44"/>
      <c r="R50" s="44"/>
      <c r="S50" s="44" t="s">
        <v>504</v>
      </c>
      <c r="T50" s="44" t="s">
        <v>564</v>
      </c>
      <c r="U50" s="44" t="s">
        <v>18</v>
      </c>
      <c r="V50" s="44"/>
      <c r="W50" s="44"/>
    </row>
    <row r="51" spans="2:23" s="40" customFormat="1" ht="15" customHeight="1">
      <c r="B51" s="75" t="str">
        <f>IF(tbl_Instruement_List[[#This Row],[Tag_New]]="",tbl_Instruement_List[[#This Row],[Tag]],tbl_Instruement_List[[#This Row],[Tag_New]])</f>
        <v>HS-61307E</v>
      </c>
      <c r="C51" s="75"/>
      <c r="D51" s="41" t="s">
        <v>364</v>
      </c>
      <c r="E51" s="41"/>
      <c r="F51" s="42" t="s">
        <v>67</v>
      </c>
      <c r="G51" s="41" t="s">
        <v>562</v>
      </c>
      <c r="H51" s="41" t="s">
        <v>563</v>
      </c>
      <c r="I51" s="41"/>
      <c r="J51" s="44"/>
      <c r="K51" s="44"/>
      <c r="L51" s="44"/>
      <c r="M51" s="44"/>
      <c r="N51" s="44" t="s">
        <v>18</v>
      </c>
      <c r="O51" s="44" t="s">
        <v>502</v>
      </c>
      <c r="P51" s="44" t="s">
        <v>475</v>
      </c>
      <c r="Q51" s="44"/>
      <c r="R51" s="44"/>
      <c r="S51" s="44" t="s">
        <v>504</v>
      </c>
      <c r="T51" s="44" t="s">
        <v>564</v>
      </c>
      <c r="U51" s="44" t="s">
        <v>18</v>
      </c>
      <c r="V51" s="44"/>
      <c r="W51" s="44"/>
    </row>
    <row r="52" spans="2:23" s="40" customFormat="1" ht="12.75" customHeight="1">
      <c r="B52" s="75" t="str">
        <f>IF(tbl_Instruement_List[[#This Row],[Tag_New]]="",tbl_Instruement_List[[#This Row],[Tag]],tbl_Instruement_List[[#This Row],[Tag_New]])</f>
        <v>HS-61307F</v>
      </c>
      <c r="C52" s="75"/>
      <c r="D52" s="41" t="s">
        <v>334</v>
      </c>
      <c r="E52" s="41"/>
      <c r="F52" s="42" t="s">
        <v>67</v>
      </c>
      <c r="G52" s="41" t="s">
        <v>562</v>
      </c>
      <c r="H52" s="41" t="s">
        <v>563</v>
      </c>
      <c r="I52" s="41"/>
      <c r="J52" s="44"/>
      <c r="K52" s="44"/>
      <c r="L52" s="44"/>
      <c r="M52" s="44"/>
      <c r="N52" s="44" t="s">
        <v>18</v>
      </c>
      <c r="O52" s="44" t="s">
        <v>502</v>
      </c>
      <c r="P52" s="44" t="s">
        <v>475</v>
      </c>
      <c r="Q52" s="44"/>
      <c r="R52" s="44"/>
      <c r="S52" s="44" t="s">
        <v>504</v>
      </c>
      <c r="T52" s="44" t="s">
        <v>564</v>
      </c>
      <c r="U52" s="44" t="s">
        <v>18</v>
      </c>
      <c r="V52" s="44"/>
      <c r="W52" s="44"/>
    </row>
    <row r="53" spans="2:23" s="40" customFormat="1" ht="12.75" customHeight="1">
      <c r="B53" s="75" t="str">
        <f>IF(tbl_Instruement_List[[#This Row],[Tag_New]]="",tbl_Instruement_List[[#This Row],[Tag]],tbl_Instruement_List[[#This Row],[Tag_New]])</f>
        <v>HS-61307G</v>
      </c>
      <c r="C53" s="75"/>
      <c r="D53" s="41" t="s">
        <v>336</v>
      </c>
      <c r="E53" s="41"/>
      <c r="F53" s="42" t="s">
        <v>67</v>
      </c>
      <c r="G53" s="41" t="s">
        <v>562</v>
      </c>
      <c r="H53" s="41" t="s">
        <v>563</v>
      </c>
      <c r="I53" s="41"/>
      <c r="J53" s="44"/>
      <c r="K53" s="44"/>
      <c r="L53" s="44"/>
      <c r="M53" s="44"/>
      <c r="N53" s="44" t="s">
        <v>18</v>
      </c>
      <c r="O53" s="44" t="s">
        <v>502</v>
      </c>
      <c r="P53" s="44" t="s">
        <v>475</v>
      </c>
      <c r="Q53" s="44"/>
      <c r="R53" s="44"/>
      <c r="S53" s="44" t="s">
        <v>504</v>
      </c>
      <c r="T53" s="44" t="s">
        <v>564</v>
      </c>
      <c r="U53" s="44" t="s">
        <v>18</v>
      </c>
      <c r="V53" s="44"/>
      <c r="W53" s="44"/>
    </row>
    <row r="54" spans="2:23" s="40" customFormat="1" ht="12.75" customHeight="1">
      <c r="B54" s="75" t="str">
        <f>IF(tbl_Instruement_List[[#This Row],[Tag_New]]="",tbl_Instruement_List[[#This Row],[Tag]],tbl_Instruement_List[[#This Row],[Tag_New]])</f>
        <v>HS-61307H</v>
      </c>
      <c r="C54" s="75"/>
      <c r="D54" s="41" t="s">
        <v>337</v>
      </c>
      <c r="E54" s="41"/>
      <c r="F54" s="42" t="s">
        <v>67</v>
      </c>
      <c r="G54" s="41" t="s">
        <v>562</v>
      </c>
      <c r="H54" s="41" t="s">
        <v>563</v>
      </c>
      <c r="I54" s="41"/>
      <c r="J54" s="44"/>
      <c r="K54" s="44"/>
      <c r="L54" s="44"/>
      <c r="M54" s="44"/>
      <c r="N54" s="44" t="s">
        <v>18</v>
      </c>
      <c r="O54" s="44" t="s">
        <v>502</v>
      </c>
      <c r="P54" s="44" t="s">
        <v>475</v>
      </c>
      <c r="Q54" s="44"/>
      <c r="R54" s="44"/>
      <c r="S54" s="44" t="s">
        <v>504</v>
      </c>
      <c r="T54" s="44" t="s">
        <v>564</v>
      </c>
      <c r="U54" s="44" t="s">
        <v>18</v>
      </c>
      <c r="V54" s="44"/>
      <c r="W54" s="44"/>
    </row>
    <row r="55" spans="2:23" s="40" customFormat="1" ht="12.75" customHeight="1">
      <c r="B55" s="75" t="str">
        <f>IF(tbl_Instruement_List[[#This Row],[Tag_New]]="",tbl_Instruement_List[[#This Row],[Tag]],tbl_Instruement_List[[#This Row],[Tag_New]])</f>
        <v>HS-61307I</v>
      </c>
      <c r="C55" s="75"/>
      <c r="D55" s="41" t="s">
        <v>338</v>
      </c>
      <c r="E55" s="41"/>
      <c r="F55" s="42" t="s">
        <v>67</v>
      </c>
      <c r="G55" s="41" t="s">
        <v>562</v>
      </c>
      <c r="H55" s="41" t="s">
        <v>563</v>
      </c>
      <c r="I55" s="41"/>
      <c r="J55" s="44"/>
      <c r="K55" s="44"/>
      <c r="L55" s="44"/>
      <c r="M55" s="44"/>
      <c r="N55" s="44" t="s">
        <v>18</v>
      </c>
      <c r="O55" s="44" t="s">
        <v>502</v>
      </c>
      <c r="P55" s="44" t="s">
        <v>475</v>
      </c>
      <c r="Q55" s="44"/>
      <c r="R55" s="44"/>
      <c r="S55" s="44" t="s">
        <v>504</v>
      </c>
      <c r="T55" s="44" t="s">
        <v>564</v>
      </c>
      <c r="U55" s="44" t="s">
        <v>18</v>
      </c>
      <c r="V55" s="44"/>
      <c r="W55" s="44"/>
    </row>
    <row r="56" spans="2:23" s="40" customFormat="1" ht="12.75" customHeight="1">
      <c r="B56" s="75" t="str">
        <f>IF(tbl_Instruement_List[[#This Row],[Tag_New]]="",tbl_Instruement_List[[#This Row],[Tag]],tbl_Instruement_List[[#This Row],[Tag_New]])</f>
        <v>HS-61307J</v>
      </c>
      <c r="C56" s="75"/>
      <c r="D56" s="41" t="s">
        <v>339</v>
      </c>
      <c r="E56" s="41"/>
      <c r="F56" s="42" t="s">
        <v>67</v>
      </c>
      <c r="G56" s="41" t="s">
        <v>562</v>
      </c>
      <c r="H56" s="41" t="s">
        <v>563</v>
      </c>
      <c r="I56" s="41"/>
      <c r="J56" s="44"/>
      <c r="K56" s="44"/>
      <c r="L56" s="44"/>
      <c r="M56" s="44"/>
      <c r="N56" s="44" t="s">
        <v>18</v>
      </c>
      <c r="O56" s="44" t="s">
        <v>502</v>
      </c>
      <c r="P56" s="44" t="s">
        <v>475</v>
      </c>
      <c r="Q56" s="44"/>
      <c r="R56" s="44"/>
      <c r="S56" s="44" t="s">
        <v>504</v>
      </c>
      <c r="T56" s="44" t="s">
        <v>564</v>
      </c>
      <c r="U56" s="44" t="s">
        <v>18</v>
      </c>
      <c r="V56" s="44"/>
      <c r="W56" s="44"/>
    </row>
    <row r="57" spans="2:23" s="40" customFormat="1" ht="12.75" customHeight="1">
      <c r="B57" s="75" t="str">
        <f>IF(tbl_Instruement_List[[#This Row],[Tag_New]]="",tbl_Instruement_List[[#This Row],[Tag]],tbl_Instruement_List[[#This Row],[Tag_New]])</f>
        <v>HS-61307K</v>
      </c>
      <c r="C57" s="75"/>
      <c r="D57" s="41" t="s">
        <v>340</v>
      </c>
      <c r="E57" s="41"/>
      <c r="F57" s="42" t="s">
        <v>67</v>
      </c>
      <c r="G57" s="41" t="s">
        <v>562</v>
      </c>
      <c r="H57" s="41" t="s">
        <v>563</v>
      </c>
      <c r="I57" s="41"/>
      <c r="J57" s="44"/>
      <c r="K57" s="44"/>
      <c r="L57" s="44"/>
      <c r="M57" s="44"/>
      <c r="N57" s="44" t="s">
        <v>18</v>
      </c>
      <c r="O57" s="44" t="s">
        <v>502</v>
      </c>
      <c r="P57" s="44" t="s">
        <v>475</v>
      </c>
      <c r="Q57" s="44"/>
      <c r="R57" s="44"/>
      <c r="S57" s="44" t="s">
        <v>504</v>
      </c>
      <c r="T57" s="44" t="s">
        <v>564</v>
      </c>
      <c r="U57" s="44" t="s">
        <v>18</v>
      </c>
      <c r="V57" s="44"/>
      <c r="W57" s="44"/>
    </row>
    <row r="58" spans="2:23" s="40" customFormat="1" ht="12.75" customHeight="1">
      <c r="B58" s="75" t="str">
        <f>IF(tbl_Instruement_List[[#This Row],[Tag_New]]="",tbl_Instruement_List[[#This Row],[Tag]],tbl_Instruement_List[[#This Row],[Tag_New]])</f>
        <v>HS-61307L</v>
      </c>
      <c r="C58" s="75"/>
      <c r="D58" s="41" t="s">
        <v>341</v>
      </c>
      <c r="E58" s="41"/>
      <c r="F58" s="42" t="s">
        <v>67</v>
      </c>
      <c r="G58" s="41" t="s">
        <v>562</v>
      </c>
      <c r="H58" s="41" t="s">
        <v>563</v>
      </c>
      <c r="I58" s="41"/>
      <c r="J58" s="44"/>
      <c r="K58" s="44"/>
      <c r="L58" s="44"/>
      <c r="M58" s="44"/>
      <c r="N58" s="44" t="s">
        <v>18</v>
      </c>
      <c r="O58" s="44" t="s">
        <v>502</v>
      </c>
      <c r="P58" s="44" t="s">
        <v>475</v>
      </c>
      <c r="Q58" s="44"/>
      <c r="R58" s="44"/>
      <c r="S58" s="44" t="s">
        <v>504</v>
      </c>
      <c r="T58" s="44" t="s">
        <v>564</v>
      </c>
      <c r="U58" s="44" t="s">
        <v>18</v>
      </c>
      <c r="V58" s="44"/>
      <c r="W58" s="44"/>
    </row>
    <row r="59" spans="2:23" s="40" customFormat="1" ht="12.75" customHeight="1">
      <c r="B59" s="75" t="str">
        <f>IF(tbl_Instruement_List[[#This Row],[Tag_New]]="",tbl_Instruement_List[[#This Row],[Tag]],tbl_Instruement_List[[#This Row],[Tag_New]])</f>
        <v>HS-61307M</v>
      </c>
      <c r="C59" s="75"/>
      <c r="D59" s="41" t="s">
        <v>342</v>
      </c>
      <c r="E59" s="41"/>
      <c r="F59" s="42" t="s">
        <v>67</v>
      </c>
      <c r="G59" s="41" t="s">
        <v>562</v>
      </c>
      <c r="H59" s="41" t="s">
        <v>563</v>
      </c>
      <c r="I59" s="41"/>
      <c r="J59" s="44"/>
      <c r="K59" s="44"/>
      <c r="L59" s="44"/>
      <c r="M59" s="44"/>
      <c r="N59" s="44" t="s">
        <v>18</v>
      </c>
      <c r="O59" s="44" t="s">
        <v>502</v>
      </c>
      <c r="P59" s="44" t="s">
        <v>475</v>
      </c>
      <c r="Q59" s="44"/>
      <c r="R59" s="44"/>
      <c r="S59" s="44" t="s">
        <v>504</v>
      </c>
      <c r="T59" s="44" t="s">
        <v>564</v>
      </c>
      <c r="U59" s="44" t="s">
        <v>18</v>
      </c>
      <c r="V59" s="44"/>
      <c r="W59" s="44"/>
    </row>
    <row r="60" spans="2:23" s="40" customFormat="1" ht="12.75" customHeight="1">
      <c r="B60" s="75" t="str">
        <f>IF(tbl_Instruement_List[[#This Row],[Tag_New]]="",tbl_Instruement_List[[#This Row],[Tag]],tbl_Instruement_List[[#This Row],[Tag_New]])</f>
        <v>HS-61307N</v>
      </c>
      <c r="C60" s="75"/>
      <c r="D60" s="41" t="s">
        <v>343</v>
      </c>
      <c r="E60" s="41"/>
      <c r="F60" s="42" t="s">
        <v>67</v>
      </c>
      <c r="G60" s="41" t="s">
        <v>562</v>
      </c>
      <c r="H60" s="41" t="s">
        <v>563</v>
      </c>
      <c r="I60" s="41"/>
      <c r="J60" s="44"/>
      <c r="K60" s="44"/>
      <c r="L60" s="44"/>
      <c r="M60" s="44"/>
      <c r="N60" s="44" t="s">
        <v>18</v>
      </c>
      <c r="O60" s="44" t="s">
        <v>502</v>
      </c>
      <c r="P60" s="44" t="s">
        <v>475</v>
      </c>
      <c r="Q60" s="44"/>
      <c r="R60" s="44"/>
      <c r="S60" s="44" t="s">
        <v>504</v>
      </c>
      <c r="T60" s="44" t="s">
        <v>564</v>
      </c>
      <c r="U60" s="44" t="s">
        <v>18</v>
      </c>
      <c r="V60" s="44"/>
      <c r="W60" s="44"/>
    </row>
    <row r="61" spans="2:23" s="40" customFormat="1" ht="12.75" customHeight="1">
      <c r="B61" s="75" t="str">
        <f>IF(tbl_Instruement_List[[#This Row],[Tag_New]]="",tbl_Instruement_List[[#This Row],[Tag]],tbl_Instruement_List[[#This Row],[Tag_New]])</f>
        <v>HS-61307O</v>
      </c>
      <c r="C61" s="75"/>
      <c r="D61" s="41" t="s">
        <v>344</v>
      </c>
      <c r="E61" s="41"/>
      <c r="F61" s="42" t="s">
        <v>67</v>
      </c>
      <c r="G61" s="41" t="s">
        <v>562</v>
      </c>
      <c r="H61" s="41" t="s">
        <v>563</v>
      </c>
      <c r="I61" s="41"/>
      <c r="J61" s="44"/>
      <c r="K61" s="44"/>
      <c r="L61" s="44"/>
      <c r="M61" s="44"/>
      <c r="N61" s="44" t="s">
        <v>18</v>
      </c>
      <c r="O61" s="44" t="s">
        <v>502</v>
      </c>
      <c r="P61" s="44" t="s">
        <v>475</v>
      </c>
      <c r="Q61" s="44"/>
      <c r="R61" s="44"/>
      <c r="S61" s="44" t="s">
        <v>504</v>
      </c>
      <c r="T61" s="44" t="s">
        <v>564</v>
      </c>
      <c r="U61" s="44" t="s">
        <v>18</v>
      </c>
      <c r="V61" s="44"/>
      <c r="W61" s="44"/>
    </row>
    <row r="62" spans="2:23" s="40" customFormat="1" ht="12.75" customHeight="1">
      <c r="B62" s="75" t="str">
        <f>IF(tbl_Instruement_List[[#This Row],[Tag_New]]="",tbl_Instruement_List[[#This Row],[Tag]],tbl_Instruement_List[[#This Row],[Tag_New]])</f>
        <v>HS-61307P</v>
      </c>
      <c r="C62" s="75"/>
      <c r="D62" s="41" t="s">
        <v>345</v>
      </c>
      <c r="E62" s="41"/>
      <c r="F62" s="42" t="s">
        <v>67</v>
      </c>
      <c r="G62" s="41" t="s">
        <v>562</v>
      </c>
      <c r="H62" s="41" t="s">
        <v>563</v>
      </c>
      <c r="I62" s="41"/>
      <c r="J62" s="44"/>
      <c r="K62" s="44"/>
      <c r="L62" s="44"/>
      <c r="M62" s="44"/>
      <c r="N62" s="44" t="s">
        <v>18</v>
      </c>
      <c r="O62" s="44" t="s">
        <v>502</v>
      </c>
      <c r="P62" s="44" t="s">
        <v>475</v>
      </c>
      <c r="Q62" s="44"/>
      <c r="R62" s="44"/>
      <c r="S62" s="44" t="s">
        <v>504</v>
      </c>
      <c r="T62" s="44" t="s">
        <v>564</v>
      </c>
      <c r="U62" s="44" t="s">
        <v>18</v>
      </c>
      <c r="V62" s="44"/>
      <c r="W62" s="44"/>
    </row>
    <row r="63" spans="2:23" s="40" customFormat="1" ht="12.75" customHeight="1">
      <c r="B63" s="75" t="str">
        <f>IF(tbl_Instruement_List[[#This Row],[Tag_New]]="",tbl_Instruement_List[[#This Row],[Tag]],tbl_Instruement_List[[#This Row],[Tag_New]])</f>
        <v>HS-61307Q</v>
      </c>
      <c r="C63" s="75"/>
      <c r="D63" s="41" t="s">
        <v>346</v>
      </c>
      <c r="E63" s="41"/>
      <c r="F63" s="42" t="s">
        <v>67</v>
      </c>
      <c r="G63" s="41" t="s">
        <v>562</v>
      </c>
      <c r="H63" s="41" t="s">
        <v>563</v>
      </c>
      <c r="I63" s="41"/>
      <c r="J63" s="44"/>
      <c r="K63" s="44"/>
      <c r="L63" s="44"/>
      <c r="M63" s="44"/>
      <c r="N63" s="44" t="s">
        <v>18</v>
      </c>
      <c r="O63" s="44" t="s">
        <v>502</v>
      </c>
      <c r="P63" s="44" t="s">
        <v>475</v>
      </c>
      <c r="Q63" s="44"/>
      <c r="R63" s="44"/>
      <c r="S63" s="44" t="s">
        <v>504</v>
      </c>
      <c r="T63" s="44" t="s">
        <v>564</v>
      </c>
      <c r="U63" s="44" t="s">
        <v>18</v>
      </c>
      <c r="V63" s="44"/>
      <c r="W63" s="44"/>
    </row>
    <row r="64" spans="2:23" s="40" customFormat="1" ht="12.75" customHeight="1">
      <c r="B64" s="75" t="str">
        <f>IF(tbl_Instruement_List[[#This Row],[Tag_New]]="",tbl_Instruement_List[[#This Row],[Tag]],tbl_Instruement_List[[#This Row],[Tag_New]])</f>
        <v>HS-61307R</v>
      </c>
      <c r="C64" s="75"/>
      <c r="D64" s="41" t="s">
        <v>347</v>
      </c>
      <c r="E64" s="41"/>
      <c r="F64" s="42" t="s">
        <v>67</v>
      </c>
      <c r="G64" s="41" t="s">
        <v>562</v>
      </c>
      <c r="H64" s="41" t="s">
        <v>563</v>
      </c>
      <c r="I64" s="41"/>
      <c r="J64" s="44"/>
      <c r="K64" s="44"/>
      <c r="L64" s="44"/>
      <c r="M64" s="44"/>
      <c r="N64" s="44" t="s">
        <v>18</v>
      </c>
      <c r="O64" s="44" t="s">
        <v>502</v>
      </c>
      <c r="P64" s="44" t="s">
        <v>475</v>
      </c>
      <c r="Q64" s="44"/>
      <c r="R64" s="44"/>
      <c r="S64" s="44" t="s">
        <v>504</v>
      </c>
      <c r="T64" s="44" t="s">
        <v>564</v>
      </c>
      <c r="U64" s="44" t="s">
        <v>18</v>
      </c>
      <c r="V64" s="44"/>
      <c r="W64" s="44"/>
    </row>
    <row r="65" spans="2:23" s="40" customFormat="1" ht="12.75" customHeight="1">
      <c r="B65" s="75" t="str">
        <f>IF(tbl_Instruement_List[[#This Row],[Tag_New]]="",tbl_Instruement_List[[#This Row],[Tag]],tbl_Instruement_List[[#This Row],[Tag_New]])</f>
        <v>HV-40203</v>
      </c>
      <c r="C65" s="75" t="s">
        <v>565</v>
      </c>
      <c r="D65" s="41" t="s">
        <v>566</v>
      </c>
      <c r="E65" s="41" t="s">
        <v>139</v>
      </c>
      <c r="F65" s="42" t="s">
        <v>170</v>
      </c>
      <c r="G65" s="41" t="s">
        <v>567</v>
      </c>
      <c r="H65" s="41" t="s">
        <v>568</v>
      </c>
      <c r="I65" s="41"/>
      <c r="J65" s="44" t="s">
        <v>18</v>
      </c>
      <c r="K65" s="44">
        <v>1</v>
      </c>
      <c r="L65" s="44" t="s">
        <v>18</v>
      </c>
      <c r="M65" s="44" t="s">
        <v>18</v>
      </c>
      <c r="N65" s="44" t="s">
        <v>18</v>
      </c>
      <c r="O65" s="44" t="s">
        <v>502</v>
      </c>
      <c r="P65" s="44" t="s">
        <v>475</v>
      </c>
      <c r="Q65" s="44" t="s">
        <v>569</v>
      </c>
      <c r="R65" s="44" t="s">
        <v>570</v>
      </c>
      <c r="S65" s="44" t="s">
        <v>504</v>
      </c>
      <c r="T65" s="44" t="s">
        <v>18</v>
      </c>
      <c r="U65" s="44" t="s">
        <v>18</v>
      </c>
      <c r="V65" s="44"/>
      <c r="W65" s="44"/>
    </row>
    <row r="66" spans="2:23" s="40" customFormat="1" ht="12.75" customHeight="1">
      <c r="B66" s="75" t="str">
        <f>IF(tbl_Instruement_List[[#This Row],[Tag_New]]="",tbl_Instruement_List[[#This Row],[Tag]],tbl_Instruement_List[[#This Row],[Tag_New]])</f>
        <v>HV-40201</v>
      </c>
      <c r="C66" s="75" t="s">
        <v>565</v>
      </c>
      <c r="D66" s="41" t="s">
        <v>571</v>
      </c>
      <c r="E66" s="41" t="s">
        <v>140</v>
      </c>
      <c r="F66" s="42" t="s">
        <v>170</v>
      </c>
      <c r="G66" s="41" t="s">
        <v>572</v>
      </c>
      <c r="H66" s="41" t="s">
        <v>568</v>
      </c>
      <c r="I66" s="41"/>
      <c r="J66" s="44" t="s">
        <v>18</v>
      </c>
      <c r="K66" s="44">
        <v>1</v>
      </c>
      <c r="L66" s="44" t="s">
        <v>18</v>
      </c>
      <c r="M66" s="44" t="s">
        <v>18</v>
      </c>
      <c r="N66" s="44" t="s">
        <v>18</v>
      </c>
      <c r="O66" s="44" t="s">
        <v>502</v>
      </c>
      <c r="P66" s="44" t="s">
        <v>475</v>
      </c>
      <c r="Q66" s="44" t="s">
        <v>569</v>
      </c>
      <c r="R66" s="44" t="s">
        <v>570</v>
      </c>
      <c r="S66" s="44" t="s">
        <v>504</v>
      </c>
      <c r="T66" s="44" t="s">
        <v>18</v>
      </c>
      <c r="U66" s="44" t="s">
        <v>18</v>
      </c>
      <c r="V66" s="44"/>
      <c r="W66" s="44"/>
    </row>
    <row r="67" spans="2:23" s="40" customFormat="1" ht="12.75" customHeight="1">
      <c r="B67" s="75" t="str">
        <f>IF(tbl_Instruement_List[[#This Row],[Tag_New]]="",tbl_Instruement_List[[#This Row],[Tag]],tbl_Instruement_List[[#This Row],[Tag_New]])</f>
        <v>HV-40204</v>
      </c>
      <c r="C67" s="75" t="s">
        <v>565</v>
      </c>
      <c r="D67" s="41" t="s">
        <v>573</v>
      </c>
      <c r="E67" s="41" t="s">
        <v>141</v>
      </c>
      <c r="F67" s="42" t="s">
        <v>170</v>
      </c>
      <c r="G67" s="41" t="s">
        <v>574</v>
      </c>
      <c r="H67" s="41" t="s">
        <v>568</v>
      </c>
      <c r="I67" s="41"/>
      <c r="J67" s="44" t="s">
        <v>18</v>
      </c>
      <c r="K67" s="44">
        <v>1</v>
      </c>
      <c r="L67" s="44" t="s">
        <v>18</v>
      </c>
      <c r="M67" s="44" t="s">
        <v>18</v>
      </c>
      <c r="N67" s="44" t="s">
        <v>18</v>
      </c>
      <c r="O67" s="44" t="s">
        <v>502</v>
      </c>
      <c r="P67" s="44" t="s">
        <v>475</v>
      </c>
      <c r="Q67" s="44" t="s">
        <v>569</v>
      </c>
      <c r="R67" s="44" t="s">
        <v>570</v>
      </c>
      <c r="S67" s="44" t="s">
        <v>504</v>
      </c>
      <c r="T67" s="44" t="s">
        <v>18</v>
      </c>
      <c r="U67" s="44" t="s">
        <v>18</v>
      </c>
      <c r="V67" s="44"/>
      <c r="W67" s="44"/>
    </row>
    <row r="68" spans="2:23" s="40" customFormat="1" ht="12.75" customHeight="1">
      <c r="B68" s="75" t="str">
        <f>IF(tbl_Instruement_List[[#This Row],[Tag_New]]="",tbl_Instruement_List[[#This Row],[Tag]],tbl_Instruement_List[[#This Row],[Tag_New]])</f>
        <v>HV-40202</v>
      </c>
      <c r="C68" s="75" t="s">
        <v>565</v>
      </c>
      <c r="D68" s="41" t="s">
        <v>575</v>
      </c>
      <c r="E68" s="41" t="s">
        <v>142</v>
      </c>
      <c r="F68" s="42" t="s">
        <v>170</v>
      </c>
      <c r="G68" s="41" t="s">
        <v>572</v>
      </c>
      <c r="H68" s="41" t="s">
        <v>568</v>
      </c>
      <c r="I68" s="41"/>
      <c r="J68" s="44" t="s">
        <v>18</v>
      </c>
      <c r="K68" s="44">
        <v>1</v>
      </c>
      <c r="L68" s="44" t="s">
        <v>18</v>
      </c>
      <c r="M68" s="44" t="s">
        <v>18</v>
      </c>
      <c r="N68" s="44" t="s">
        <v>18</v>
      </c>
      <c r="O68" s="44" t="s">
        <v>502</v>
      </c>
      <c r="P68" s="44" t="s">
        <v>475</v>
      </c>
      <c r="Q68" s="44" t="s">
        <v>569</v>
      </c>
      <c r="R68" s="44" t="s">
        <v>570</v>
      </c>
      <c r="S68" s="44" t="s">
        <v>504</v>
      </c>
      <c r="T68" s="44" t="s">
        <v>18</v>
      </c>
      <c r="U68" s="44" t="s">
        <v>18</v>
      </c>
      <c r="V68" s="44"/>
      <c r="W68" s="44"/>
    </row>
    <row r="69" spans="2:23" s="40" customFormat="1" ht="12.75" customHeight="1">
      <c r="B69" s="75" t="str">
        <f>IF(tbl_Instruement_List[[#This Row],[Tag_New]]="",tbl_Instruement_List[[#This Row],[Tag]],tbl_Instruement_List[[#This Row],[Tag_New]])</f>
        <v>HV-40206</v>
      </c>
      <c r="C69" s="75" t="s">
        <v>565</v>
      </c>
      <c r="D69" s="41" t="s">
        <v>576</v>
      </c>
      <c r="E69" s="41" t="s">
        <v>120</v>
      </c>
      <c r="F69" s="42" t="s">
        <v>170</v>
      </c>
      <c r="G69" s="41" t="s">
        <v>577</v>
      </c>
      <c r="H69" s="41" t="s">
        <v>568</v>
      </c>
      <c r="I69" s="41"/>
      <c r="J69" s="44" t="s">
        <v>18</v>
      </c>
      <c r="K69" s="44">
        <v>1</v>
      </c>
      <c r="L69" s="44" t="s">
        <v>18</v>
      </c>
      <c r="M69" s="44" t="s">
        <v>18</v>
      </c>
      <c r="N69" s="44" t="s">
        <v>18</v>
      </c>
      <c r="O69" s="44" t="s">
        <v>502</v>
      </c>
      <c r="P69" s="44" t="s">
        <v>475</v>
      </c>
      <c r="Q69" s="44" t="s">
        <v>569</v>
      </c>
      <c r="R69" s="44" t="s">
        <v>570</v>
      </c>
      <c r="S69" s="44" t="s">
        <v>504</v>
      </c>
      <c r="T69" s="44" t="s">
        <v>18</v>
      </c>
      <c r="U69" s="44" t="s">
        <v>18</v>
      </c>
      <c r="V69" s="44"/>
      <c r="W69" s="44"/>
    </row>
    <row r="70" spans="2:23" s="40" customFormat="1" ht="12.75" customHeight="1">
      <c r="B70" s="75" t="str">
        <f>IF(tbl_Instruement_List[[#This Row],[Tag_New]]="",tbl_Instruement_List[[#This Row],[Tag]],tbl_Instruement_List[[#This Row],[Tag_New]])</f>
        <v>HV-40205</v>
      </c>
      <c r="C70" s="75" t="s">
        <v>565</v>
      </c>
      <c r="D70" s="41" t="s">
        <v>578</v>
      </c>
      <c r="E70" s="41" t="s">
        <v>122</v>
      </c>
      <c r="F70" s="42" t="s">
        <v>170</v>
      </c>
      <c r="G70" s="41" t="s">
        <v>572</v>
      </c>
      <c r="H70" s="41" t="s">
        <v>568</v>
      </c>
      <c r="I70" s="41"/>
      <c r="J70" s="44" t="s">
        <v>18</v>
      </c>
      <c r="K70" s="44">
        <v>1</v>
      </c>
      <c r="L70" s="44" t="s">
        <v>18</v>
      </c>
      <c r="M70" s="44" t="s">
        <v>18</v>
      </c>
      <c r="N70" s="44" t="s">
        <v>18</v>
      </c>
      <c r="O70" s="44" t="s">
        <v>502</v>
      </c>
      <c r="P70" s="44" t="s">
        <v>475</v>
      </c>
      <c r="Q70" s="44" t="s">
        <v>569</v>
      </c>
      <c r="R70" s="44" t="s">
        <v>570</v>
      </c>
      <c r="S70" s="44" t="s">
        <v>504</v>
      </c>
      <c r="T70" s="44" t="s">
        <v>18</v>
      </c>
      <c r="U70" s="44" t="s">
        <v>18</v>
      </c>
      <c r="V70" s="44"/>
      <c r="W70" s="44"/>
    </row>
    <row r="71" spans="2:23" s="40" customFormat="1" ht="12.75" customHeight="1">
      <c r="B71" s="75" t="str">
        <f>IF(tbl_Instruement_List[[#This Row],[Tag_New]]="",tbl_Instruement_List[[#This Row],[Tag]],tbl_Instruement_List[[#This Row],[Tag_New]])</f>
        <v>HV-40207</v>
      </c>
      <c r="C71" s="75" t="s">
        <v>565</v>
      </c>
      <c r="D71" s="41"/>
      <c r="E71" s="41" t="s">
        <v>175</v>
      </c>
      <c r="F71" s="42" t="s">
        <v>170</v>
      </c>
      <c r="G71" s="41" t="s">
        <v>169</v>
      </c>
      <c r="H71" s="41" t="s">
        <v>568</v>
      </c>
      <c r="I71" s="41"/>
      <c r="J71" s="44" t="s">
        <v>18</v>
      </c>
      <c r="K71" s="44">
        <v>1</v>
      </c>
      <c r="L71" s="44" t="s">
        <v>18</v>
      </c>
      <c r="M71" s="44" t="s">
        <v>18</v>
      </c>
      <c r="N71" s="44" t="s">
        <v>18</v>
      </c>
      <c r="O71" s="44" t="s">
        <v>502</v>
      </c>
      <c r="P71" s="44" t="s">
        <v>475</v>
      </c>
      <c r="Q71" s="44" t="s">
        <v>569</v>
      </c>
      <c r="R71" s="44" t="s">
        <v>570</v>
      </c>
      <c r="S71" s="44" t="s">
        <v>504</v>
      </c>
      <c r="T71" s="44" t="s">
        <v>18</v>
      </c>
      <c r="U71" s="44" t="s">
        <v>18</v>
      </c>
      <c r="V71" s="44"/>
      <c r="W71" s="44"/>
    </row>
    <row r="72" spans="2:23" s="40" customFormat="1" ht="12.75" customHeight="1">
      <c r="B72" s="75" t="str">
        <f>IF(tbl_Instruement_List[[#This Row],[Tag_New]]="",tbl_Instruement_List[[#This Row],[Tag]],tbl_Instruement_List[[#This Row],[Tag_New]])</f>
        <v>HV-40208</v>
      </c>
      <c r="C72" s="75" t="s">
        <v>565</v>
      </c>
      <c r="D72" s="41"/>
      <c r="E72" s="41" t="s">
        <v>176</v>
      </c>
      <c r="F72" s="42" t="s">
        <v>170</v>
      </c>
      <c r="G72" s="41" t="s">
        <v>169</v>
      </c>
      <c r="H72" s="41" t="s">
        <v>568</v>
      </c>
      <c r="I72" s="41"/>
      <c r="J72" s="44" t="s">
        <v>18</v>
      </c>
      <c r="K72" s="44">
        <v>1</v>
      </c>
      <c r="L72" s="44" t="s">
        <v>18</v>
      </c>
      <c r="M72" s="44" t="s">
        <v>18</v>
      </c>
      <c r="N72" s="44" t="s">
        <v>18</v>
      </c>
      <c r="O72" s="44" t="s">
        <v>502</v>
      </c>
      <c r="P72" s="44" t="s">
        <v>475</v>
      </c>
      <c r="Q72" s="44" t="s">
        <v>569</v>
      </c>
      <c r="R72" s="44" t="s">
        <v>570</v>
      </c>
      <c r="S72" s="44" t="s">
        <v>504</v>
      </c>
      <c r="T72" s="44" t="s">
        <v>18</v>
      </c>
      <c r="U72" s="44" t="s">
        <v>18</v>
      </c>
      <c r="V72" s="44"/>
      <c r="W72" s="44"/>
    </row>
    <row r="73" spans="2:23" s="40" customFormat="1" ht="12.75" customHeight="1">
      <c r="B73" s="75" t="str">
        <f>IF(tbl_Instruement_List[[#This Row],[Tag_New]]="",tbl_Instruement_List[[#This Row],[Tag]],tbl_Instruement_List[[#This Row],[Tag_New]])</f>
        <v>LSH-60230</v>
      </c>
      <c r="C73" s="75"/>
      <c r="D73" s="41" t="s">
        <v>12</v>
      </c>
      <c r="E73" s="41"/>
      <c r="F73" s="42" t="s">
        <v>518</v>
      </c>
      <c r="G73" s="41" t="s">
        <v>579</v>
      </c>
      <c r="H73" s="41" t="s">
        <v>580</v>
      </c>
      <c r="I73" s="41"/>
      <c r="J73" s="43"/>
      <c r="K73" s="49">
        <v>1</v>
      </c>
      <c r="L73" s="43"/>
      <c r="M73" s="43"/>
      <c r="N73" s="44" t="s">
        <v>18</v>
      </c>
      <c r="O73" s="44" t="s">
        <v>502</v>
      </c>
      <c r="P73" s="43" t="s">
        <v>475</v>
      </c>
      <c r="Q73" s="44"/>
      <c r="R73" s="44" t="s">
        <v>581</v>
      </c>
      <c r="S73" s="44" t="s">
        <v>582</v>
      </c>
      <c r="T73" s="44" t="s">
        <v>488</v>
      </c>
      <c r="U73" s="44" t="s">
        <v>489</v>
      </c>
      <c r="V73" s="44"/>
      <c r="W73" s="44"/>
    </row>
    <row r="74" spans="2:23" s="40" customFormat="1" ht="12.75" customHeight="1">
      <c r="B74" s="75" t="str">
        <f>IF(tbl_Instruement_List[[#This Row],[Tag_New]]="",tbl_Instruement_List[[#This Row],[Tag]],tbl_Instruement_List[[#This Row],[Tag_New]])</f>
        <v>LSH-60231</v>
      </c>
      <c r="C74" s="75"/>
      <c r="D74" s="41" t="s">
        <v>19</v>
      </c>
      <c r="E74" s="41"/>
      <c r="F74" s="42" t="s">
        <v>518</v>
      </c>
      <c r="G74" s="41" t="s">
        <v>583</v>
      </c>
      <c r="H74" s="41" t="s">
        <v>580</v>
      </c>
      <c r="I74" s="41"/>
      <c r="J74" s="43"/>
      <c r="K74" s="49">
        <v>1</v>
      </c>
      <c r="L74" s="43"/>
      <c r="M74" s="43"/>
      <c r="N74" s="44" t="s">
        <v>18</v>
      </c>
      <c r="O74" s="44" t="s">
        <v>502</v>
      </c>
      <c r="P74" s="43" t="s">
        <v>475</v>
      </c>
      <c r="Q74" s="44"/>
      <c r="R74" s="44" t="s">
        <v>581</v>
      </c>
      <c r="S74" s="44" t="s">
        <v>582</v>
      </c>
      <c r="T74" s="44" t="s">
        <v>488</v>
      </c>
      <c r="U74" s="44" t="s">
        <v>489</v>
      </c>
      <c r="V74" s="44"/>
      <c r="W74" s="44"/>
    </row>
    <row r="75" spans="2:23" s="40" customFormat="1" ht="12.75" customHeight="1">
      <c r="B75" s="75" t="str">
        <f>IF(tbl_Instruement_List[[#This Row],[Tag_New]]="",tbl_Instruement_List[[#This Row],[Tag]],tbl_Instruement_List[[#This Row],[Tag_New]])</f>
        <v>LSH-60240</v>
      </c>
      <c r="C75" s="75"/>
      <c r="D75" s="41" t="s">
        <v>20</v>
      </c>
      <c r="E75" s="41"/>
      <c r="F75" s="42" t="s">
        <v>472</v>
      </c>
      <c r="G75" s="41" t="s">
        <v>584</v>
      </c>
      <c r="H75" s="41" t="s">
        <v>580</v>
      </c>
      <c r="I75" s="41"/>
      <c r="J75" s="43"/>
      <c r="K75" s="49">
        <v>1</v>
      </c>
      <c r="L75" s="43"/>
      <c r="M75" s="43"/>
      <c r="N75" s="44" t="s">
        <v>18</v>
      </c>
      <c r="O75" s="44" t="s">
        <v>502</v>
      </c>
      <c r="P75" s="43" t="s">
        <v>475</v>
      </c>
      <c r="Q75" s="44"/>
      <c r="R75" s="44" t="s">
        <v>581</v>
      </c>
      <c r="S75" s="44" t="s">
        <v>582</v>
      </c>
      <c r="T75" s="44" t="s">
        <v>488</v>
      </c>
      <c r="U75" s="44" t="s">
        <v>489</v>
      </c>
      <c r="V75" s="44"/>
      <c r="W75" s="44"/>
    </row>
    <row r="76" spans="2:23" s="40" customFormat="1" ht="12.75" customHeight="1">
      <c r="B76" s="75" t="str">
        <f>IF(tbl_Instruement_List[[#This Row],[Tag_New]]="",tbl_Instruement_List[[#This Row],[Tag]],tbl_Instruement_List[[#This Row],[Tag_New]])</f>
        <v>LSH-60250</v>
      </c>
      <c r="C76" s="75"/>
      <c r="D76" s="41" t="s">
        <v>267</v>
      </c>
      <c r="E76" s="41"/>
      <c r="F76" s="42" t="s">
        <v>472</v>
      </c>
      <c r="G76" s="41" t="s">
        <v>585</v>
      </c>
      <c r="H76" s="41" t="s">
        <v>580</v>
      </c>
      <c r="I76" s="41"/>
      <c r="J76" s="43"/>
      <c r="K76" s="49">
        <v>1</v>
      </c>
      <c r="L76" s="43"/>
      <c r="M76" s="43"/>
      <c r="N76" s="44" t="s">
        <v>18</v>
      </c>
      <c r="O76" s="44" t="s">
        <v>502</v>
      </c>
      <c r="P76" s="43" t="s">
        <v>475</v>
      </c>
      <c r="Q76" s="44"/>
      <c r="R76" s="44" t="s">
        <v>581</v>
      </c>
      <c r="S76" s="44" t="s">
        <v>582</v>
      </c>
      <c r="T76" s="44" t="s">
        <v>18</v>
      </c>
      <c r="U76" s="44" t="s">
        <v>18</v>
      </c>
      <c r="V76" s="44"/>
      <c r="W76" s="44"/>
    </row>
    <row r="77" spans="2:23" s="40" customFormat="1" ht="12.75" customHeight="1">
      <c r="B77" s="75" t="str">
        <f>IF(tbl_Instruement_List[[#This Row],[Tag_New]]="",tbl_Instruement_List[[#This Row],[Tag]],tbl_Instruement_List[[#This Row],[Tag_New]])</f>
        <v>LSH-60251</v>
      </c>
      <c r="C77" s="75"/>
      <c r="D77" s="41" t="s">
        <v>228</v>
      </c>
      <c r="E77" s="41"/>
      <c r="F77" s="42" t="s">
        <v>518</v>
      </c>
      <c r="G77" s="41" t="s">
        <v>586</v>
      </c>
      <c r="H77" s="41" t="s">
        <v>580</v>
      </c>
      <c r="I77" s="41"/>
      <c r="J77" s="43"/>
      <c r="K77" s="49">
        <v>1</v>
      </c>
      <c r="L77" s="43"/>
      <c r="M77" s="43"/>
      <c r="N77" s="44" t="s">
        <v>18</v>
      </c>
      <c r="O77" s="44" t="s">
        <v>502</v>
      </c>
      <c r="P77" s="43" t="s">
        <v>475</v>
      </c>
      <c r="Q77" s="44"/>
      <c r="R77" s="44" t="s">
        <v>581</v>
      </c>
      <c r="S77" s="44" t="s">
        <v>582</v>
      </c>
      <c r="T77" s="44" t="s">
        <v>18</v>
      </c>
      <c r="U77" s="44" t="s">
        <v>18</v>
      </c>
      <c r="V77" s="44"/>
      <c r="W77" s="44"/>
    </row>
    <row r="78" spans="2:23" s="40" customFormat="1" ht="12.75" customHeight="1">
      <c r="B78" s="75" t="str">
        <f>IF(tbl_Instruement_List[[#This Row],[Tag_New]]="",tbl_Instruement_List[[#This Row],[Tag]],tbl_Instruement_List[[#This Row],[Tag_New]])</f>
        <v>LSL-60201</v>
      </c>
      <c r="C78" s="75"/>
      <c r="D78" s="41" t="s">
        <v>587</v>
      </c>
      <c r="E78" s="41" t="s">
        <v>201</v>
      </c>
      <c r="F78" s="42" t="s">
        <v>588</v>
      </c>
      <c r="G78" s="41" t="s">
        <v>589</v>
      </c>
      <c r="H78" s="41" t="s">
        <v>580</v>
      </c>
      <c r="I78" s="41"/>
      <c r="J78" s="44" t="s">
        <v>18</v>
      </c>
      <c r="K78" s="44">
        <v>1</v>
      </c>
      <c r="L78" s="44" t="s">
        <v>18</v>
      </c>
      <c r="M78" s="44" t="s">
        <v>18</v>
      </c>
      <c r="N78" s="44" t="s">
        <v>18</v>
      </c>
      <c r="O78" s="44" t="s">
        <v>502</v>
      </c>
      <c r="P78" s="44" t="s">
        <v>475</v>
      </c>
      <c r="Q78" s="44"/>
      <c r="R78" s="44" t="s">
        <v>590</v>
      </c>
      <c r="S78" s="44" t="s">
        <v>582</v>
      </c>
      <c r="T78" s="44" t="s">
        <v>18</v>
      </c>
      <c r="U78" s="44" t="s">
        <v>18</v>
      </c>
      <c r="V78" s="44"/>
      <c r="W78" s="44"/>
    </row>
    <row r="79" spans="2:23" s="40" customFormat="1" ht="12.75" customHeight="1">
      <c r="B79" s="75" t="str">
        <f>IF(tbl_Instruement_List[[#This Row],[Tag_New]]="",tbl_Instruement_List[[#This Row],[Tag]],tbl_Instruement_List[[#This Row],[Tag_New]])</f>
        <v>LSH-61301</v>
      </c>
      <c r="C79" s="75"/>
      <c r="D79" s="41" t="s">
        <v>94</v>
      </c>
      <c r="E79" s="41"/>
      <c r="F79" s="42" t="s">
        <v>78</v>
      </c>
      <c r="G79" s="41" t="s">
        <v>591</v>
      </c>
      <c r="H79" s="41" t="s">
        <v>580</v>
      </c>
      <c r="I79" s="41"/>
      <c r="J79" s="44" t="s">
        <v>18</v>
      </c>
      <c r="K79" s="44">
        <v>1</v>
      </c>
      <c r="L79" s="44" t="s">
        <v>18</v>
      </c>
      <c r="M79" s="44" t="s">
        <v>18</v>
      </c>
      <c r="N79" s="44" t="s">
        <v>18</v>
      </c>
      <c r="O79" s="44" t="s">
        <v>502</v>
      </c>
      <c r="P79" s="44" t="s">
        <v>475</v>
      </c>
      <c r="Q79" s="44"/>
      <c r="R79" s="44" t="s">
        <v>592</v>
      </c>
      <c r="S79" s="44" t="s">
        <v>582</v>
      </c>
      <c r="T79" s="44" t="s">
        <v>488</v>
      </c>
      <c r="U79" s="44" t="s">
        <v>489</v>
      </c>
      <c r="V79" s="44"/>
      <c r="W79" s="44"/>
    </row>
    <row r="80" spans="2:23" s="40" customFormat="1" ht="12.75" customHeight="1">
      <c r="B80" s="75" t="str">
        <f>IF(tbl_Instruement_List[[#This Row],[Tag_New]]="",tbl_Instruement_List[[#This Row],[Tag]],tbl_Instruement_List[[#This Row],[Tag_New]])</f>
        <v>LSL-61302</v>
      </c>
      <c r="C80" s="75"/>
      <c r="D80" s="41" t="s">
        <v>96</v>
      </c>
      <c r="E80" s="41"/>
      <c r="F80" s="42" t="s">
        <v>78</v>
      </c>
      <c r="G80" s="41" t="s">
        <v>593</v>
      </c>
      <c r="H80" s="41" t="s">
        <v>580</v>
      </c>
      <c r="I80" s="41"/>
      <c r="J80" s="44" t="s">
        <v>18</v>
      </c>
      <c r="K80" s="44">
        <v>1</v>
      </c>
      <c r="L80" s="44" t="s">
        <v>18</v>
      </c>
      <c r="M80" s="44" t="s">
        <v>18</v>
      </c>
      <c r="N80" s="44" t="s">
        <v>18</v>
      </c>
      <c r="O80" s="44" t="s">
        <v>502</v>
      </c>
      <c r="P80" s="44" t="s">
        <v>475</v>
      </c>
      <c r="Q80" s="44"/>
      <c r="R80" s="44" t="s">
        <v>594</v>
      </c>
      <c r="S80" s="44" t="s">
        <v>582</v>
      </c>
      <c r="T80" s="44" t="s">
        <v>488</v>
      </c>
      <c r="U80" s="44" t="s">
        <v>489</v>
      </c>
      <c r="V80" s="44"/>
      <c r="W80" s="44"/>
    </row>
    <row r="81" spans="2:23" s="48" customFormat="1" ht="12.75" customHeight="1">
      <c r="B81" s="75" t="str">
        <f>IF(tbl_Instruement_List[[#This Row],[Tag_New]]="",tbl_Instruement_List[[#This Row],[Tag]],tbl_Instruement_List[[#This Row],[Tag_New]])</f>
        <v>LS-61303</v>
      </c>
      <c r="C81" s="75"/>
      <c r="D81" s="41" t="s">
        <v>365</v>
      </c>
      <c r="E81" s="41"/>
      <c r="F81" s="42" t="s">
        <v>78</v>
      </c>
      <c r="G81" s="41" t="s">
        <v>580</v>
      </c>
      <c r="H81" s="41" t="s">
        <v>580</v>
      </c>
      <c r="I81" s="41"/>
      <c r="J81" s="44" t="s">
        <v>18</v>
      </c>
      <c r="K81" s="44">
        <v>1</v>
      </c>
      <c r="L81" s="44" t="s">
        <v>18</v>
      </c>
      <c r="M81" s="44" t="s">
        <v>18</v>
      </c>
      <c r="N81" s="44" t="s">
        <v>18</v>
      </c>
      <c r="O81" s="44" t="s">
        <v>502</v>
      </c>
      <c r="P81" s="44" t="s">
        <v>475</v>
      </c>
      <c r="Q81" s="44"/>
      <c r="R81" s="44" t="s">
        <v>581</v>
      </c>
      <c r="S81" s="44" t="s">
        <v>582</v>
      </c>
      <c r="T81" s="44" t="s">
        <v>488</v>
      </c>
      <c r="U81" s="44" t="s">
        <v>489</v>
      </c>
      <c r="V81" s="44"/>
      <c r="W81" s="44"/>
    </row>
    <row r="82" spans="2:23" s="48" customFormat="1" ht="12.75" customHeight="1">
      <c r="B82" s="75" t="str">
        <f>IF(tbl_Instruement_List[[#This Row],[Tag_New]]="",tbl_Instruement_List[[#This Row],[Tag]],tbl_Instruement_List[[#This Row],[Tag_New]])</f>
        <v>LSH-61304</v>
      </c>
      <c r="C82" s="75"/>
      <c r="D82" s="41" t="s">
        <v>72</v>
      </c>
      <c r="E82" s="41"/>
      <c r="F82" s="42" t="s">
        <v>67</v>
      </c>
      <c r="G82" s="41" t="s">
        <v>595</v>
      </c>
      <c r="H82" s="41" t="s">
        <v>580</v>
      </c>
      <c r="I82" s="41"/>
      <c r="J82" s="44" t="s">
        <v>18</v>
      </c>
      <c r="K82" s="44">
        <v>1</v>
      </c>
      <c r="L82" s="44" t="s">
        <v>18</v>
      </c>
      <c r="M82" s="44" t="s">
        <v>18</v>
      </c>
      <c r="N82" s="44" t="s">
        <v>18</v>
      </c>
      <c r="O82" s="44" t="s">
        <v>502</v>
      </c>
      <c r="P82" s="44" t="s">
        <v>475</v>
      </c>
      <c r="Q82" s="44"/>
      <c r="R82" s="44" t="s">
        <v>596</v>
      </c>
      <c r="S82" s="44" t="s">
        <v>582</v>
      </c>
      <c r="T82" s="44" t="s">
        <v>488</v>
      </c>
      <c r="U82" s="44" t="s">
        <v>489</v>
      </c>
      <c r="V82" s="44"/>
      <c r="W82" s="44"/>
    </row>
    <row r="83" spans="2:23" s="40" customFormat="1" ht="12.75" customHeight="1">
      <c r="B83" s="75" t="str">
        <f>IF(tbl_Instruement_List[[#This Row],[Tag_New]]="",tbl_Instruement_List[[#This Row],[Tag]],tbl_Instruement_List[[#This Row],[Tag_New]])</f>
        <v>LSH-61305</v>
      </c>
      <c r="C83" s="75"/>
      <c r="D83" s="41" t="s">
        <v>73</v>
      </c>
      <c r="E83" s="41"/>
      <c r="F83" s="42" t="s">
        <v>70</v>
      </c>
      <c r="G83" s="41" t="s">
        <v>595</v>
      </c>
      <c r="H83" s="41" t="s">
        <v>580</v>
      </c>
      <c r="I83" s="41"/>
      <c r="J83" s="44" t="s">
        <v>18</v>
      </c>
      <c r="K83" s="44">
        <v>1</v>
      </c>
      <c r="L83" s="44" t="s">
        <v>18</v>
      </c>
      <c r="M83" s="44" t="s">
        <v>18</v>
      </c>
      <c r="N83" s="44" t="s">
        <v>18</v>
      </c>
      <c r="O83" s="44" t="s">
        <v>502</v>
      </c>
      <c r="P83" s="44" t="s">
        <v>475</v>
      </c>
      <c r="Q83" s="44"/>
      <c r="R83" s="44" t="s">
        <v>596</v>
      </c>
      <c r="S83" s="44" t="s">
        <v>582</v>
      </c>
      <c r="T83" s="44" t="s">
        <v>488</v>
      </c>
      <c r="U83" s="44" t="s">
        <v>489</v>
      </c>
      <c r="V83" s="44"/>
      <c r="W83" s="44"/>
    </row>
    <row r="84" spans="2:23" s="40" customFormat="1" ht="12.75" customHeight="1">
      <c r="B84" s="75" t="str">
        <f>IF(tbl_Instruement_List[[#This Row],[Tag_New]]="",tbl_Instruement_List[[#This Row],[Tag]],tbl_Instruement_List[[#This Row],[Tag_New]])</f>
        <v>LSH-61306</v>
      </c>
      <c r="C84" s="75"/>
      <c r="D84" s="41" t="s">
        <v>97</v>
      </c>
      <c r="E84" s="41"/>
      <c r="F84" s="42" t="s">
        <v>78</v>
      </c>
      <c r="G84" s="41" t="s">
        <v>597</v>
      </c>
      <c r="H84" s="41" t="s">
        <v>580</v>
      </c>
      <c r="I84" s="41"/>
      <c r="J84" s="44" t="s">
        <v>18</v>
      </c>
      <c r="K84" s="44">
        <v>1</v>
      </c>
      <c r="L84" s="44" t="s">
        <v>18</v>
      </c>
      <c r="M84" s="44" t="s">
        <v>18</v>
      </c>
      <c r="N84" s="44" t="s">
        <v>18</v>
      </c>
      <c r="O84" s="44" t="s">
        <v>502</v>
      </c>
      <c r="P84" s="44" t="s">
        <v>475</v>
      </c>
      <c r="Q84" s="44"/>
      <c r="R84" s="44" t="s">
        <v>596</v>
      </c>
      <c r="S84" s="44" t="s">
        <v>582</v>
      </c>
      <c r="T84" s="44" t="s">
        <v>488</v>
      </c>
      <c r="U84" s="44" t="s">
        <v>489</v>
      </c>
      <c r="V84" s="44"/>
      <c r="W84" s="44"/>
    </row>
    <row r="85" spans="2:23" s="40" customFormat="1" ht="12.75" customHeight="1">
      <c r="B85" s="75" t="str">
        <f>IF(tbl_Instruement_List[[#This Row],[Tag_New]]="",tbl_Instruement_List[[#This Row],[Tag]],tbl_Instruement_List[[#This Row],[Tag_New]])</f>
        <v>LSH-61307</v>
      </c>
      <c r="C85" s="75"/>
      <c r="D85" s="41"/>
      <c r="E85" s="41" t="s">
        <v>74</v>
      </c>
      <c r="F85" s="42" t="s">
        <v>78</v>
      </c>
      <c r="G85" s="41" t="s">
        <v>598</v>
      </c>
      <c r="H85" s="41" t="s">
        <v>580</v>
      </c>
      <c r="I85" s="41"/>
      <c r="J85" s="44" t="s">
        <v>18</v>
      </c>
      <c r="K85" s="44">
        <v>1</v>
      </c>
      <c r="L85" s="44" t="s">
        <v>18</v>
      </c>
      <c r="M85" s="44" t="s">
        <v>18</v>
      </c>
      <c r="N85" s="44" t="s">
        <v>18</v>
      </c>
      <c r="O85" s="44" t="s">
        <v>502</v>
      </c>
      <c r="P85" s="44" t="s">
        <v>475</v>
      </c>
      <c r="Q85" s="44"/>
      <c r="R85" s="44" t="s">
        <v>596</v>
      </c>
      <c r="S85" s="44" t="s">
        <v>582</v>
      </c>
      <c r="T85" s="44" t="s">
        <v>488</v>
      </c>
      <c r="U85" s="44" t="s">
        <v>489</v>
      </c>
      <c r="V85" s="44"/>
      <c r="W85" s="44"/>
    </row>
    <row r="86" spans="2:23" s="40" customFormat="1" ht="12.75" customHeight="1">
      <c r="B86" s="75" t="str">
        <f>IF(tbl_Instruement_List[[#This Row],[Tag_New]]="",tbl_Instruement_List[[#This Row],[Tag]],tbl_Instruement_List[[#This Row],[Tag_New]])</f>
        <v>LSH-61308</v>
      </c>
      <c r="C86" s="75"/>
      <c r="D86" s="41"/>
      <c r="E86" s="41" t="s">
        <v>98</v>
      </c>
      <c r="F86" s="42" t="s">
        <v>78</v>
      </c>
      <c r="G86" s="41" t="s">
        <v>599</v>
      </c>
      <c r="H86" s="41" t="s">
        <v>580</v>
      </c>
      <c r="I86" s="41"/>
      <c r="J86" s="44" t="s">
        <v>18</v>
      </c>
      <c r="K86" s="44">
        <v>1</v>
      </c>
      <c r="L86" s="44" t="s">
        <v>18</v>
      </c>
      <c r="M86" s="44" t="s">
        <v>18</v>
      </c>
      <c r="N86" s="44" t="s">
        <v>18</v>
      </c>
      <c r="O86" s="44" t="s">
        <v>502</v>
      </c>
      <c r="P86" s="44" t="s">
        <v>475</v>
      </c>
      <c r="Q86" s="44"/>
      <c r="R86" s="44" t="s">
        <v>596</v>
      </c>
      <c r="S86" s="44" t="s">
        <v>582</v>
      </c>
      <c r="T86" s="44" t="s">
        <v>488</v>
      </c>
      <c r="U86" s="44" t="s">
        <v>489</v>
      </c>
      <c r="V86" s="44"/>
      <c r="W86" s="44"/>
    </row>
    <row r="87" spans="2:23" s="40" customFormat="1" ht="12.75" customHeight="1">
      <c r="B87" s="75" t="str">
        <f>IF(tbl_Instruement_List[[#This Row],[Tag_New]]="",tbl_Instruement_List[[#This Row],[Tag]],tbl_Instruement_List[[#This Row],[Tag_New]])</f>
        <v>LSH-61312</v>
      </c>
      <c r="C87" s="75"/>
      <c r="D87" s="41" t="s">
        <v>76</v>
      </c>
      <c r="E87" s="41"/>
      <c r="F87" s="42" t="s">
        <v>70</v>
      </c>
      <c r="G87" s="41" t="s">
        <v>597</v>
      </c>
      <c r="H87" s="41" t="s">
        <v>580</v>
      </c>
      <c r="I87" s="41"/>
      <c r="J87" s="44" t="s">
        <v>18</v>
      </c>
      <c r="K87" s="44">
        <v>1</v>
      </c>
      <c r="L87" s="44" t="s">
        <v>18</v>
      </c>
      <c r="M87" s="44" t="s">
        <v>18</v>
      </c>
      <c r="N87" s="44" t="s">
        <v>18</v>
      </c>
      <c r="O87" s="44" t="s">
        <v>502</v>
      </c>
      <c r="P87" s="44" t="s">
        <v>475</v>
      </c>
      <c r="Q87" s="44"/>
      <c r="R87" s="44" t="s">
        <v>596</v>
      </c>
      <c r="S87" s="44" t="s">
        <v>582</v>
      </c>
      <c r="T87" s="44" t="s">
        <v>488</v>
      </c>
      <c r="U87" s="44" t="s">
        <v>489</v>
      </c>
      <c r="V87" s="44"/>
      <c r="W87" s="44"/>
    </row>
    <row r="88" spans="2:23" s="40" customFormat="1" ht="12.75" customHeight="1">
      <c r="B88" s="75" t="str">
        <f>IF(tbl_Instruement_List[[#This Row],[Tag_New]]="",tbl_Instruement_List[[#This Row],[Tag]],tbl_Instruement_List[[#This Row],[Tag_New]])</f>
        <v>LSL-814201</v>
      </c>
      <c r="C88" s="75"/>
      <c r="D88" s="41" t="s">
        <v>600</v>
      </c>
      <c r="E88" s="41" t="s">
        <v>425</v>
      </c>
      <c r="F88" s="42" t="s">
        <v>601</v>
      </c>
      <c r="G88" s="41" t="s">
        <v>602</v>
      </c>
      <c r="H88" s="41"/>
      <c r="I88" s="41"/>
      <c r="J88" s="44" t="s">
        <v>18</v>
      </c>
      <c r="K88" s="44">
        <v>1</v>
      </c>
      <c r="L88" s="44" t="s">
        <v>18</v>
      </c>
      <c r="M88" s="44" t="s">
        <v>18</v>
      </c>
      <c r="N88" s="44" t="s">
        <v>18</v>
      </c>
      <c r="O88" s="44" t="s">
        <v>502</v>
      </c>
      <c r="P88" s="44" t="s">
        <v>475</v>
      </c>
      <c r="Q88" s="44"/>
      <c r="R88" s="44" t="s">
        <v>594</v>
      </c>
      <c r="S88" s="44" t="s">
        <v>582</v>
      </c>
      <c r="T88" s="44" t="s">
        <v>488</v>
      </c>
      <c r="U88" s="44" t="s">
        <v>489</v>
      </c>
      <c r="V88" s="44"/>
      <c r="W88" s="44"/>
    </row>
    <row r="89" spans="2:23" s="40" customFormat="1" ht="12.75" customHeight="1">
      <c r="B89" s="75" t="str">
        <f>IF(tbl_Instruement_List[[#This Row],[Tag_New]]="",tbl_Instruement_List[[#This Row],[Tag]],tbl_Instruement_List[[#This Row],[Tag_New]])</f>
        <v>LT-40201</v>
      </c>
      <c r="C89" s="75" t="s">
        <v>603</v>
      </c>
      <c r="D89" s="41" t="s">
        <v>604</v>
      </c>
      <c r="E89" s="41" t="s">
        <v>143</v>
      </c>
      <c r="F89" s="42" t="s">
        <v>170</v>
      </c>
      <c r="G89" s="41" t="s">
        <v>605</v>
      </c>
      <c r="H89" s="41" t="s">
        <v>606</v>
      </c>
      <c r="I89" s="41"/>
      <c r="J89" s="44" t="s">
        <v>18</v>
      </c>
      <c r="K89" s="44" t="s">
        <v>18</v>
      </c>
      <c r="L89" s="44" t="s">
        <v>18</v>
      </c>
      <c r="M89" s="44">
        <v>1</v>
      </c>
      <c r="N89" s="44" t="s">
        <v>18</v>
      </c>
      <c r="O89" s="44" t="s">
        <v>474</v>
      </c>
      <c r="P89" s="44" t="s">
        <v>475</v>
      </c>
      <c r="Q89" s="44" t="s">
        <v>607</v>
      </c>
      <c r="R89" s="44" t="s">
        <v>477</v>
      </c>
      <c r="S89" s="46" t="s">
        <v>485</v>
      </c>
      <c r="T89" s="44" t="s">
        <v>18</v>
      </c>
      <c r="U89" s="44" t="s">
        <v>18</v>
      </c>
      <c r="V89" s="44"/>
      <c r="W89" s="44"/>
    </row>
    <row r="90" spans="2:23" s="40" customFormat="1" ht="12.75" customHeight="1">
      <c r="B90" s="75" t="str">
        <f>IF(tbl_Instruement_List[[#This Row],[Tag_New]]="",tbl_Instruement_List[[#This Row],[Tag]],tbl_Instruement_List[[#This Row],[Tag_New]])</f>
        <v>LT-40202</v>
      </c>
      <c r="C90" s="75" t="s">
        <v>603</v>
      </c>
      <c r="D90" s="41" t="s">
        <v>608</v>
      </c>
      <c r="E90" s="41" t="s">
        <v>144</v>
      </c>
      <c r="F90" s="42" t="s">
        <v>170</v>
      </c>
      <c r="G90" s="41" t="s">
        <v>609</v>
      </c>
      <c r="H90" s="41" t="s">
        <v>606</v>
      </c>
      <c r="I90" s="41"/>
      <c r="J90" s="44" t="s">
        <v>18</v>
      </c>
      <c r="K90" s="44" t="s">
        <v>18</v>
      </c>
      <c r="L90" s="44" t="s">
        <v>18</v>
      </c>
      <c r="M90" s="44">
        <v>1</v>
      </c>
      <c r="N90" s="44" t="s">
        <v>18</v>
      </c>
      <c r="O90" s="44" t="s">
        <v>474</v>
      </c>
      <c r="P90" s="44" t="s">
        <v>475</v>
      </c>
      <c r="Q90" s="44" t="s">
        <v>607</v>
      </c>
      <c r="R90" s="44" t="s">
        <v>477</v>
      </c>
      <c r="S90" s="46" t="s">
        <v>485</v>
      </c>
      <c r="T90" s="44" t="s">
        <v>18</v>
      </c>
      <c r="U90" s="44" t="s">
        <v>18</v>
      </c>
      <c r="V90" s="44"/>
      <c r="W90" s="44"/>
    </row>
    <row r="91" spans="2:23" s="48" customFormat="1" ht="13.5" customHeight="1">
      <c r="B91" s="75" t="str">
        <f>IF(tbl_Instruement_List[[#This Row],[Tag_New]]="",tbl_Instruement_List[[#This Row],[Tag]],tbl_Instruement_List[[#This Row],[Tag_New]])</f>
        <v>LT-40203</v>
      </c>
      <c r="C91" s="75" t="s">
        <v>603</v>
      </c>
      <c r="D91" s="41" t="s">
        <v>143</v>
      </c>
      <c r="E91" s="41" t="s">
        <v>123</v>
      </c>
      <c r="F91" s="42" t="s">
        <v>172</v>
      </c>
      <c r="G91" s="41" t="s">
        <v>610</v>
      </c>
      <c r="H91" s="41" t="s">
        <v>606</v>
      </c>
      <c r="I91" s="41"/>
      <c r="J91" s="44" t="s">
        <v>18</v>
      </c>
      <c r="K91" s="44" t="s">
        <v>18</v>
      </c>
      <c r="L91" s="44" t="s">
        <v>18</v>
      </c>
      <c r="M91" s="44">
        <v>1</v>
      </c>
      <c r="N91" s="44" t="s">
        <v>18</v>
      </c>
      <c r="O91" s="44" t="s">
        <v>474</v>
      </c>
      <c r="P91" s="44" t="s">
        <v>475</v>
      </c>
      <c r="Q91" s="44" t="s">
        <v>607</v>
      </c>
      <c r="R91" s="44" t="s">
        <v>477</v>
      </c>
      <c r="S91" s="46" t="s">
        <v>485</v>
      </c>
      <c r="T91" s="44" t="s">
        <v>18</v>
      </c>
      <c r="U91" s="44" t="s">
        <v>18</v>
      </c>
      <c r="V91" s="44"/>
      <c r="W91" s="44"/>
    </row>
    <row r="92" spans="2:23" s="40" customFormat="1" ht="12.75" customHeight="1">
      <c r="B92" s="75" t="str">
        <f>IF(tbl_Instruement_List[[#This Row],[Tag_New]]="",tbl_Instruement_List[[#This Row],[Tag]],tbl_Instruement_List[[#This Row],[Tag_New]])</f>
        <v>LT-61301</v>
      </c>
      <c r="C92" s="75" t="s">
        <v>603</v>
      </c>
      <c r="D92" s="41" t="s">
        <v>99</v>
      </c>
      <c r="E92" s="41"/>
      <c r="F92" s="42" t="s">
        <v>78</v>
      </c>
      <c r="G92" s="41" t="s">
        <v>611</v>
      </c>
      <c r="H92" s="41" t="s">
        <v>606</v>
      </c>
      <c r="I92" s="41"/>
      <c r="J92" s="44" t="s">
        <v>18</v>
      </c>
      <c r="K92" s="44" t="s">
        <v>18</v>
      </c>
      <c r="L92" s="44" t="s">
        <v>18</v>
      </c>
      <c r="M92" s="44">
        <v>1</v>
      </c>
      <c r="N92" s="44" t="s">
        <v>18</v>
      </c>
      <c r="O92" s="44" t="s">
        <v>474</v>
      </c>
      <c r="P92" s="44" t="s">
        <v>475</v>
      </c>
      <c r="Q92" s="44"/>
      <c r="R92" s="44" t="s">
        <v>477</v>
      </c>
      <c r="S92" s="46" t="s">
        <v>485</v>
      </c>
      <c r="T92" s="44" t="s">
        <v>612</v>
      </c>
      <c r="U92" s="44" t="s">
        <v>489</v>
      </c>
      <c r="V92" s="44"/>
      <c r="W92" s="44"/>
    </row>
    <row r="93" spans="2:23" s="40" customFormat="1" ht="13" customHeight="1">
      <c r="B93" s="75" t="str">
        <f>IF(tbl_Instruement_List[[#This Row],[Tag_New]]="",tbl_Instruement_List[[#This Row],[Tag]],tbl_Instruement_List[[#This Row],[Tag_New]])</f>
        <v>pHT-40201</v>
      </c>
      <c r="C93" s="75" t="s">
        <v>613</v>
      </c>
      <c r="D93" s="41" t="s">
        <v>614</v>
      </c>
      <c r="E93" s="41" t="s">
        <v>145</v>
      </c>
      <c r="F93" s="42" t="s">
        <v>170</v>
      </c>
      <c r="G93" s="41" t="s">
        <v>615</v>
      </c>
      <c r="H93" s="41" t="s">
        <v>616</v>
      </c>
      <c r="I93" s="41"/>
      <c r="J93" s="44" t="s">
        <v>18</v>
      </c>
      <c r="K93" s="44">
        <v>1</v>
      </c>
      <c r="L93" s="44" t="s">
        <v>18</v>
      </c>
      <c r="M93" s="44">
        <v>1</v>
      </c>
      <c r="N93" s="44" t="s">
        <v>18</v>
      </c>
      <c r="O93" s="44" t="s">
        <v>474</v>
      </c>
      <c r="P93" s="44" t="s">
        <v>475</v>
      </c>
      <c r="Q93" s="54" t="s">
        <v>617</v>
      </c>
      <c r="R93" s="46" t="s">
        <v>477</v>
      </c>
      <c r="S93" s="46" t="s">
        <v>478</v>
      </c>
      <c r="T93" s="44" t="s">
        <v>18</v>
      </c>
      <c r="U93" s="44" t="s">
        <v>18</v>
      </c>
      <c r="V93" s="44"/>
      <c r="W93" s="44"/>
    </row>
    <row r="94" spans="2:23" s="40" customFormat="1" ht="13" customHeight="1">
      <c r="B94" s="75" t="str">
        <f>IF(tbl_Instruement_List[[#This Row],[Tag_New]]="",tbl_Instruement_List[[#This Row],[Tag]],tbl_Instruement_List[[#This Row],[Tag_New]])</f>
        <v>pHT-40202</v>
      </c>
      <c r="C94" s="75" t="s">
        <v>613</v>
      </c>
      <c r="D94" s="41" t="s">
        <v>618</v>
      </c>
      <c r="E94" s="41" t="s">
        <v>146</v>
      </c>
      <c r="F94" s="42" t="s">
        <v>170</v>
      </c>
      <c r="G94" s="41" t="s">
        <v>619</v>
      </c>
      <c r="H94" s="41" t="s">
        <v>616</v>
      </c>
      <c r="I94" s="41"/>
      <c r="J94" s="44" t="s">
        <v>18</v>
      </c>
      <c r="K94" s="44">
        <v>1</v>
      </c>
      <c r="L94" s="44" t="s">
        <v>18</v>
      </c>
      <c r="M94" s="44">
        <v>1</v>
      </c>
      <c r="N94" s="44" t="s">
        <v>18</v>
      </c>
      <c r="O94" s="44" t="s">
        <v>474</v>
      </c>
      <c r="P94" s="44" t="s">
        <v>475</v>
      </c>
      <c r="Q94" s="47" t="s">
        <v>617</v>
      </c>
      <c r="R94" s="46" t="s">
        <v>477</v>
      </c>
      <c r="S94" s="46" t="s">
        <v>478</v>
      </c>
      <c r="T94" s="44" t="s">
        <v>18</v>
      </c>
      <c r="U94" s="44" t="s">
        <v>18</v>
      </c>
      <c r="V94" s="44"/>
      <c r="W94" s="44"/>
    </row>
    <row r="95" spans="2:23" s="40" customFormat="1" ht="12.75" customHeight="1">
      <c r="B95" s="75" t="str">
        <f>IF(tbl_Instruement_List[[#This Row],[Tag_New]]="",tbl_Instruement_List[[#This Row],[Tag]],tbl_Instruement_List[[#This Row],[Tag_New]])</f>
        <v>PSL-60220</v>
      </c>
      <c r="C95" s="75"/>
      <c r="D95" s="41" t="s">
        <v>229</v>
      </c>
      <c r="E95" s="41"/>
      <c r="F95" s="42" t="s">
        <v>518</v>
      </c>
      <c r="G95" s="41" t="s">
        <v>620</v>
      </c>
      <c r="H95" s="41" t="s">
        <v>621</v>
      </c>
      <c r="I95" s="41"/>
      <c r="J95" s="49"/>
      <c r="K95" s="49">
        <v>1</v>
      </c>
      <c r="L95" s="49"/>
      <c r="M95" s="49"/>
      <c r="N95" s="44" t="s">
        <v>18</v>
      </c>
      <c r="O95" s="44" t="s">
        <v>502</v>
      </c>
      <c r="P95" s="49" t="s">
        <v>622</v>
      </c>
      <c r="Q95" s="47" t="s">
        <v>623</v>
      </c>
      <c r="R95" s="49" t="s">
        <v>624</v>
      </c>
      <c r="S95" s="44" t="s">
        <v>582</v>
      </c>
      <c r="T95" s="44" t="s">
        <v>18</v>
      </c>
      <c r="U95" s="44" t="s">
        <v>18</v>
      </c>
      <c r="V95" s="44"/>
      <c r="W95" s="44"/>
    </row>
    <row r="96" spans="2:23" s="40" customFormat="1" ht="12.75" customHeight="1">
      <c r="B96" s="75" t="str">
        <f>IF(tbl_Instruement_List[[#This Row],[Tag_New]]="",tbl_Instruement_List[[#This Row],[Tag]],tbl_Instruement_List[[#This Row],[Tag_New]])</f>
        <v>PSL-61301</v>
      </c>
      <c r="C96" s="75"/>
      <c r="D96" s="41"/>
      <c r="E96" s="41" t="s">
        <v>366</v>
      </c>
      <c r="F96" s="42" t="s">
        <v>78</v>
      </c>
      <c r="G96" s="41" t="s">
        <v>625</v>
      </c>
      <c r="H96" s="41" t="s">
        <v>621</v>
      </c>
      <c r="I96" s="41"/>
      <c r="J96" s="44" t="s">
        <v>18</v>
      </c>
      <c r="K96" s="44">
        <v>1</v>
      </c>
      <c r="L96" s="44" t="s">
        <v>18</v>
      </c>
      <c r="M96" s="44" t="s">
        <v>18</v>
      </c>
      <c r="N96" s="44" t="s">
        <v>18</v>
      </c>
      <c r="O96" s="44" t="s">
        <v>502</v>
      </c>
      <c r="P96" s="44" t="s">
        <v>475</v>
      </c>
      <c r="Q96" s="44" t="s">
        <v>626</v>
      </c>
      <c r="R96" s="44" t="s">
        <v>627</v>
      </c>
      <c r="S96" s="44" t="s">
        <v>582</v>
      </c>
      <c r="T96" s="44" t="s">
        <v>18</v>
      </c>
      <c r="U96" s="44" t="s">
        <v>18</v>
      </c>
      <c r="V96" s="44"/>
      <c r="W96" s="44"/>
    </row>
    <row r="97" spans="2:23" s="40" customFormat="1" ht="12.75" customHeight="1">
      <c r="B97" s="75" t="str">
        <f>IF(tbl_Instruement_List[[#This Row],[Tag_New]]="",tbl_Instruement_List[[#This Row],[Tag]],tbl_Instruement_List[[#This Row],[Tag_New]])</f>
        <v>PSL-61302</v>
      </c>
      <c r="C97" s="75"/>
      <c r="D97" s="41" t="s">
        <v>367</v>
      </c>
      <c r="E97" s="41"/>
      <c r="F97" s="42" t="s">
        <v>78</v>
      </c>
      <c r="G97" s="41" t="s">
        <v>625</v>
      </c>
      <c r="H97" s="41" t="s">
        <v>621</v>
      </c>
      <c r="I97" s="41"/>
      <c r="J97" s="44" t="s">
        <v>18</v>
      </c>
      <c r="K97" s="44">
        <v>1</v>
      </c>
      <c r="L97" s="44" t="s">
        <v>18</v>
      </c>
      <c r="M97" s="44" t="s">
        <v>18</v>
      </c>
      <c r="N97" s="44" t="s">
        <v>18</v>
      </c>
      <c r="O97" s="44" t="s">
        <v>502</v>
      </c>
      <c r="P97" s="44" t="s">
        <v>475</v>
      </c>
      <c r="Q97" s="44" t="s">
        <v>628</v>
      </c>
      <c r="R97" s="44" t="s">
        <v>627</v>
      </c>
      <c r="S97" s="44" t="s">
        <v>582</v>
      </c>
      <c r="T97" s="44" t="s">
        <v>18</v>
      </c>
      <c r="U97" s="44" t="s">
        <v>18</v>
      </c>
      <c r="V97" s="44"/>
      <c r="W97" s="44"/>
    </row>
    <row r="98" spans="2:23" s="40" customFormat="1" ht="12.75" customHeight="1">
      <c r="B98" s="75" t="str">
        <f>IF(tbl_Instruement_List[[#This Row],[Tag_New]]="",tbl_Instruement_List[[#This Row],[Tag]],tbl_Instruement_List[[#This Row],[Tag_New]])</f>
        <v>PSL-61305</v>
      </c>
      <c r="C98" s="75"/>
      <c r="D98" s="41" t="s">
        <v>348</v>
      </c>
      <c r="E98" s="41"/>
      <c r="F98" s="42" t="s">
        <v>67</v>
      </c>
      <c r="G98" s="41" t="s">
        <v>625</v>
      </c>
      <c r="H98" s="41" t="s">
        <v>621</v>
      </c>
      <c r="I98" s="41"/>
      <c r="J98" s="44" t="s">
        <v>18</v>
      </c>
      <c r="K98" s="44">
        <v>1</v>
      </c>
      <c r="L98" s="44" t="s">
        <v>18</v>
      </c>
      <c r="M98" s="44" t="s">
        <v>18</v>
      </c>
      <c r="N98" s="44" t="s">
        <v>18</v>
      </c>
      <c r="O98" s="44" t="s">
        <v>502</v>
      </c>
      <c r="P98" s="44" t="s">
        <v>475</v>
      </c>
      <c r="Q98" s="44"/>
      <c r="R98" s="44" t="s">
        <v>627</v>
      </c>
      <c r="S98" s="44" t="s">
        <v>582</v>
      </c>
      <c r="T98" s="44" t="s">
        <v>18</v>
      </c>
      <c r="U98" s="44" t="s">
        <v>18</v>
      </c>
      <c r="V98" s="44"/>
      <c r="W98" s="44"/>
    </row>
    <row r="99" spans="2:23" s="40" customFormat="1" ht="12.75" customHeight="1">
      <c r="B99" s="75" t="str">
        <f>IF(tbl_Instruement_List[[#This Row],[Tag_New]]="",tbl_Instruement_List[[#This Row],[Tag]],tbl_Instruement_List[[#This Row],[Tag_New]])</f>
        <v>PSL-61306</v>
      </c>
      <c r="C99" s="75"/>
      <c r="D99" s="41" t="s">
        <v>349</v>
      </c>
      <c r="E99" s="41"/>
      <c r="F99" s="42" t="s">
        <v>70</v>
      </c>
      <c r="G99" s="41" t="s">
        <v>625</v>
      </c>
      <c r="H99" s="41" t="s">
        <v>621</v>
      </c>
      <c r="I99" s="41"/>
      <c r="J99" s="44" t="s">
        <v>18</v>
      </c>
      <c r="K99" s="44">
        <v>1</v>
      </c>
      <c r="L99" s="44" t="s">
        <v>18</v>
      </c>
      <c r="M99" s="44" t="s">
        <v>18</v>
      </c>
      <c r="N99" s="44" t="s">
        <v>18</v>
      </c>
      <c r="O99" s="44" t="s">
        <v>502</v>
      </c>
      <c r="P99" s="44" t="s">
        <v>475</v>
      </c>
      <c r="Q99" s="44"/>
      <c r="R99" s="44" t="s">
        <v>627</v>
      </c>
      <c r="S99" s="44" t="s">
        <v>582</v>
      </c>
      <c r="T99" s="44" t="s">
        <v>18</v>
      </c>
      <c r="U99" s="44" t="s">
        <v>18</v>
      </c>
      <c r="V99" s="44"/>
      <c r="W99" s="44"/>
    </row>
    <row r="100" spans="2:23" s="40" customFormat="1" ht="12.75" customHeight="1">
      <c r="B100" s="75" t="str">
        <f>IF(tbl_Instruement_List[[#This Row],[Tag_New]]="",tbl_Instruement_List[[#This Row],[Tag]],tbl_Instruement_List[[#This Row],[Tag_New]])</f>
        <v>PSL-61311</v>
      </c>
      <c r="C100" s="75"/>
      <c r="D100" s="41" t="s">
        <v>368</v>
      </c>
      <c r="E100" s="41"/>
      <c r="F100" s="42" t="s">
        <v>197</v>
      </c>
      <c r="G100" s="41" t="s">
        <v>625</v>
      </c>
      <c r="H100" s="41" t="s">
        <v>621</v>
      </c>
      <c r="I100" s="41"/>
      <c r="J100" s="44" t="s">
        <v>18</v>
      </c>
      <c r="K100" s="44">
        <v>1</v>
      </c>
      <c r="L100" s="44" t="s">
        <v>18</v>
      </c>
      <c r="M100" s="44" t="s">
        <v>18</v>
      </c>
      <c r="N100" s="44" t="s">
        <v>18</v>
      </c>
      <c r="O100" s="44" t="s">
        <v>502</v>
      </c>
      <c r="P100" s="44" t="s">
        <v>475</v>
      </c>
      <c r="Q100" s="44"/>
      <c r="R100" s="44" t="s">
        <v>627</v>
      </c>
      <c r="S100" s="44" t="s">
        <v>582</v>
      </c>
      <c r="T100" s="44" t="s">
        <v>18</v>
      </c>
      <c r="U100" s="44" t="s">
        <v>18</v>
      </c>
      <c r="V100" s="44"/>
      <c r="W100" s="44"/>
    </row>
    <row r="101" spans="2:23" s="40" customFormat="1" ht="12.75" customHeight="1">
      <c r="B101" s="75" t="str">
        <f>IF(tbl_Instruement_List[[#This Row],[Tag_New]]="",tbl_Instruement_List[[#This Row],[Tag]],tbl_Instruement_List[[#This Row],[Tag_New]])</f>
        <v>PT-40201</v>
      </c>
      <c r="C101" s="75" t="s">
        <v>629</v>
      </c>
      <c r="D101" s="41" t="s">
        <v>113</v>
      </c>
      <c r="E101" s="41"/>
      <c r="F101" s="42" t="s">
        <v>172</v>
      </c>
      <c r="G101" s="41" t="s">
        <v>630</v>
      </c>
      <c r="H101" s="41" t="s">
        <v>631</v>
      </c>
      <c r="I101" s="41"/>
      <c r="J101" s="44" t="s">
        <v>18</v>
      </c>
      <c r="K101" s="44" t="s">
        <v>18</v>
      </c>
      <c r="L101" s="44" t="s">
        <v>18</v>
      </c>
      <c r="M101" s="49">
        <v>1</v>
      </c>
      <c r="N101" s="44" t="s">
        <v>18</v>
      </c>
      <c r="O101" s="44" t="s">
        <v>474</v>
      </c>
      <c r="P101" s="43" t="s">
        <v>475</v>
      </c>
      <c r="Q101" s="50" t="s">
        <v>493</v>
      </c>
      <c r="R101" s="47" t="s">
        <v>490</v>
      </c>
      <c r="S101" s="46" t="s">
        <v>485</v>
      </c>
      <c r="T101" s="44" t="s">
        <v>18</v>
      </c>
      <c r="U101" s="44" t="s">
        <v>18</v>
      </c>
      <c r="V101" s="44"/>
      <c r="W101" s="44"/>
    </row>
    <row r="102" spans="2:23" s="40" customFormat="1" ht="12.75" customHeight="1">
      <c r="B102" s="75" t="str">
        <f>IF(tbl_Instruement_List[[#This Row],[Tag_New]]="",tbl_Instruement_List[[#This Row],[Tag]],tbl_Instruement_List[[#This Row],[Tag_New]])</f>
        <v>PT-40202</v>
      </c>
      <c r="C102" s="75" t="s">
        <v>629</v>
      </c>
      <c r="D102" s="41" t="s">
        <v>124</v>
      </c>
      <c r="E102" s="41"/>
      <c r="F102" s="42" t="s">
        <v>172</v>
      </c>
      <c r="G102" s="41" t="s">
        <v>632</v>
      </c>
      <c r="H102" s="41" t="s">
        <v>629</v>
      </c>
      <c r="I102" s="41"/>
      <c r="J102" s="49"/>
      <c r="K102" s="49"/>
      <c r="L102" s="49"/>
      <c r="M102" s="44">
        <v>1</v>
      </c>
      <c r="N102" s="44" t="s">
        <v>18</v>
      </c>
      <c r="O102" s="44" t="s">
        <v>474</v>
      </c>
      <c r="P102" s="44" t="s">
        <v>475</v>
      </c>
      <c r="Q102" s="44" t="s">
        <v>633</v>
      </c>
      <c r="R102" s="47" t="s">
        <v>634</v>
      </c>
      <c r="S102" s="46" t="s">
        <v>485</v>
      </c>
      <c r="T102" s="44" t="s">
        <v>18</v>
      </c>
      <c r="U102" s="44" t="s">
        <v>18</v>
      </c>
      <c r="V102" s="44"/>
      <c r="W102" s="44"/>
    </row>
    <row r="103" spans="2:23" s="40" customFormat="1" ht="12.75" customHeight="1">
      <c r="B103" s="75" t="str">
        <f>IF(tbl_Instruement_List[[#This Row],[Tag_New]]="",tbl_Instruement_List[[#This Row],[Tag]],tbl_Instruement_List[[#This Row],[Tag_New]])</f>
        <v>PT-40222</v>
      </c>
      <c r="C103" s="75" t="s">
        <v>629</v>
      </c>
      <c r="D103" s="41"/>
      <c r="E103" s="41" t="s">
        <v>177</v>
      </c>
      <c r="F103" s="42" t="s">
        <v>172</v>
      </c>
      <c r="G103" s="41" t="s">
        <v>169</v>
      </c>
      <c r="H103" s="41" t="s">
        <v>629</v>
      </c>
      <c r="I103" s="41"/>
      <c r="J103" s="49"/>
      <c r="K103" s="49"/>
      <c r="L103" s="49"/>
      <c r="M103" s="44">
        <v>1</v>
      </c>
      <c r="N103" s="44" t="s">
        <v>18</v>
      </c>
      <c r="O103" s="44" t="s">
        <v>474</v>
      </c>
      <c r="P103" s="44" t="s">
        <v>475</v>
      </c>
      <c r="Q103" s="44" t="s">
        <v>635</v>
      </c>
      <c r="R103" s="47" t="s">
        <v>634</v>
      </c>
      <c r="S103" s="46" t="s">
        <v>485</v>
      </c>
      <c r="T103" s="44" t="s">
        <v>18</v>
      </c>
      <c r="U103" s="44" t="s">
        <v>18</v>
      </c>
      <c r="V103" s="44"/>
      <c r="W103" s="44"/>
    </row>
    <row r="104" spans="2:23" s="48" customFormat="1" ht="12.75" customHeight="1">
      <c r="B104" s="75" t="str">
        <f>IF(tbl_Instruement_List[[#This Row],[Tag_New]]="",tbl_Instruement_List[[#This Row],[Tag]],tbl_Instruement_List[[#This Row],[Tag_New]])</f>
        <v>PT-60201</v>
      </c>
      <c r="C104" s="75" t="s">
        <v>629</v>
      </c>
      <c r="D104" s="41" t="s">
        <v>289</v>
      </c>
      <c r="E104" s="41"/>
      <c r="F104" s="42" t="s">
        <v>528</v>
      </c>
      <c r="G104" s="41" t="s">
        <v>554</v>
      </c>
      <c r="H104" s="41" t="s">
        <v>629</v>
      </c>
      <c r="I104" s="41"/>
      <c r="J104" s="44" t="s">
        <v>18</v>
      </c>
      <c r="K104" s="44" t="s">
        <v>18</v>
      </c>
      <c r="L104" s="44" t="s">
        <v>18</v>
      </c>
      <c r="M104" s="44">
        <v>1</v>
      </c>
      <c r="N104" s="44" t="s">
        <v>18</v>
      </c>
      <c r="O104" s="44" t="s">
        <v>474</v>
      </c>
      <c r="P104" s="44" t="s">
        <v>475</v>
      </c>
      <c r="Q104" s="47" t="s">
        <v>636</v>
      </c>
      <c r="R104" s="44" t="s">
        <v>637</v>
      </c>
      <c r="S104" s="46" t="s">
        <v>485</v>
      </c>
      <c r="T104" s="55" t="s">
        <v>18</v>
      </c>
      <c r="U104" s="55" t="s">
        <v>18</v>
      </c>
      <c r="V104" s="55"/>
      <c r="W104" s="55"/>
    </row>
    <row r="105" spans="2:23" s="48" customFormat="1" ht="12.75" customHeight="1">
      <c r="B105" s="75" t="str">
        <f>IF(tbl_Instruement_List[[#This Row],[Tag_New]]="",tbl_Instruement_List[[#This Row],[Tag]],tbl_Instruement_List[[#This Row],[Tag_New]])</f>
        <v>PT-60202</v>
      </c>
      <c r="C105" s="75" t="s">
        <v>629</v>
      </c>
      <c r="D105" s="41" t="s">
        <v>125</v>
      </c>
      <c r="E105" s="41"/>
      <c r="F105" s="42" t="s">
        <v>638</v>
      </c>
      <c r="G105" s="41" t="s">
        <v>639</v>
      </c>
      <c r="H105" s="41" t="s">
        <v>629</v>
      </c>
      <c r="I105" s="41"/>
      <c r="J105" s="56"/>
      <c r="K105" s="56"/>
      <c r="L105" s="56"/>
      <c r="M105" s="44">
        <v>1</v>
      </c>
      <c r="N105" s="44" t="s">
        <v>18</v>
      </c>
      <c r="O105" s="44" t="s">
        <v>474</v>
      </c>
      <c r="P105" s="44" t="s">
        <v>475</v>
      </c>
      <c r="Q105" s="47" t="s">
        <v>640</v>
      </c>
      <c r="R105" s="44" t="s">
        <v>641</v>
      </c>
      <c r="S105" s="46" t="s">
        <v>485</v>
      </c>
      <c r="T105" s="44" t="s">
        <v>18</v>
      </c>
      <c r="U105" s="44" t="s">
        <v>18</v>
      </c>
      <c r="V105" s="44"/>
      <c r="W105" s="44"/>
    </row>
    <row r="106" spans="2:23" s="48" customFormat="1" ht="12.75" customHeight="1">
      <c r="B106" s="75" t="str">
        <f>IF(tbl_Instruement_List[[#This Row],[Tag_New]]="",tbl_Instruement_List[[#This Row],[Tag]],tbl_Instruement_List[[#This Row],[Tag_New]])</f>
        <v>PT-60203</v>
      </c>
      <c r="C106" s="75" t="s">
        <v>629</v>
      </c>
      <c r="D106" s="41" t="s">
        <v>204</v>
      </c>
      <c r="E106" s="41"/>
      <c r="F106" s="42" t="s">
        <v>491</v>
      </c>
      <c r="G106" s="41" t="s">
        <v>642</v>
      </c>
      <c r="H106" s="41" t="s">
        <v>629</v>
      </c>
      <c r="I106" s="41"/>
      <c r="J106" s="49"/>
      <c r="K106" s="49"/>
      <c r="L106" s="49"/>
      <c r="M106" s="44">
        <v>1</v>
      </c>
      <c r="N106" s="44" t="s">
        <v>18</v>
      </c>
      <c r="O106" s="44" t="s">
        <v>474</v>
      </c>
      <c r="P106" s="44" t="s">
        <v>475</v>
      </c>
      <c r="Q106" s="47" t="s">
        <v>643</v>
      </c>
      <c r="R106" s="44" t="s">
        <v>641</v>
      </c>
      <c r="S106" s="46" t="s">
        <v>485</v>
      </c>
      <c r="T106" s="44" t="s">
        <v>18</v>
      </c>
      <c r="U106" s="44" t="s">
        <v>18</v>
      </c>
      <c r="V106" s="55"/>
      <c r="W106" s="55"/>
    </row>
    <row r="107" spans="2:23" s="48" customFormat="1" ht="12.75" customHeight="1">
      <c r="B107" s="75" t="str">
        <f>IF(tbl_Instruement_List[[#This Row],[Tag_New]]="",tbl_Instruement_List[[#This Row],[Tag]],tbl_Instruement_List[[#This Row],[Tag_New]])</f>
        <v>PT-60210</v>
      </c>
      <c r="C107" s="75" t="s">
        <v>629</v>
      </c>
      <c r="D107" s="41" t="s">
        <v>230</v>
      </c>
      <c r="E107" s="41"/>
      <c r="F107" s="42" t="s">
        <v>495</v>
      </c>
      <c r="G107" s="41" t="s">
        <v>644</v>
      </c>
      <c r="H107" s="41" t="s">
        <v>629</v>
      </c>
      <c r="I107" s="41"/>
      <c r="J107" s="49"/>
      <c r="K107" s="49"/>
      <c r="L107" s="49"/>
      <c r="M107" s="44">
        <v>1</v>
      </c>
      <c r="N107" s="44" t="s">
        <v>18</v>
      </c>
      <c r="O107" s="44" t="s">
        <v>474</v>
      </c>
      <c r="P107" s="44" t="s">
        <v>475</v>
      </c>
      <c r="Q107" s="47" t="s">
        <v>643</v>
      </c>
      <c r="R107" s="44" t="s">
        <v>641</v>
      </c>
      <c r="S107" s="46" t="s">
        <v>485</v>
      </c>
      <c r="T107" s="44" t="s">
        <v>18</v>
      </c>
      <c r="U107" s="44" t="s">
        <v>18</v>
      </c>
      <c r="V107" s="55"/>
      <c r="W107" s="55"/>
    </row>
    <row r="108" spans="2:23" s="40" customFormat="1" ht="12.75" customHeight="1">
      <c r="B108" s="75" t="str">
        <f>IF(tbl_Instruement_List[[#This Row],[Tag_New]]="",tbl_Instruement_List[[#This Row],[Tag]],tbl_Instruement_List[[#This Row],[Tag_New]])</f>
        <v>PT-60215</v>
      </c>
      <c r="C108" s="75" t="s">
        <v>629</v>
      </c>
      <c r="D108" s="41" t="s">
        <v>231</v>
      </c>
      <c r="E108" s="41"/>
      <c r="F108" s="42" t="s">
        <v>495</v>
      </c>
      <c r="G108" s="41" t="s">
        <v>645</v>
      </c>
      <c r="H108" s="41" t="s">
        <v>629</v>
      </c>
      <c r="I108" s="41"/>
      <c r="J108" s="49"/>
      <c r="K108" s="49"/>
      <c r="L108" s="49"/>
      <c r="M108" s="44">
        <v>1</v>
      </c>
      <c r="N108" s="44" t="s">
        <v>18</v>
      </c>
      <c r="O108" s="44" t="s">
        <v>474</v>
      </c>
      <c r="P108" s="44" t="s">
        <v>475</v>
      </c>
      <c r="Q108" s="47" t="s">
        <v>646</v>
      </c>
      <c r="R108" s="44" t="s">
        <v>641</v>
      </c>
      <c r="S108" s="46" t="s">
        <v>485</v>
      </c>
      <c r="T108" s="55" t="s">
        <v>18</v>
      </c>
      <c r="U108" s="55" t="s">
        <v>18</v>
      </c>
      <c r="V108" s="55"/>
      <c r="W108" s="55"/>
    </row>
    <row r="109" spans="2:23" s="40" customFormat="1" ht="12.75" customHeight="1">
      <c r="B109" s="75" t="str">
        <f>IF(tbl_Instruement_List[[#This Row],[Tag_New]]="",tbl_Instruement_List[[#This Row],[Tag]],tbl_Instruement_List[[#This Row],[Tag_New]])</f>
        <v>PT-60216</v>
      </c>
      <c r="C109" s="75" t="s">
        <v>629</v>
      </c>
      <c r="D109" s="41" t="s">
        <v>232</v>
      </c>
      <c r="E109" s="41"/>
      <c r="F109" s="42" t="s">
        <v>495</v>
      </c>
      <c r="G109" s="41" t="s">
        <v>647</v>
      </c>
      <c r="H109" s="41" t="s">
        <v>629</v>
      </c>
      <c r="I109" s="41"/>
      <c r="J109" s="57"/>
      <c r="K109" s="57"/>
      <c r="L109" s="57"/>
      <c r="M109" s="44">
        <v>1</v>
      </c>
      <c r="N109" s="44" t="s">
        <v>18</v>
      </c>
      <c r="O109" s="44" t="s">
        <v>474</v>
      </c>
      <c r="P109" s="44" t="s">
        <v>475</v>
      </c>
      <c r="Q109" s="47" t="s">
        <v>648</v>
      </c>
      <c r="R109" s="44" t="s">
        <v>641</v>
      </c>
      <c r="S109" s="46" t="s">
        <v>485</v>
      </c>
      <c r="T109" s="55" t="s">
        <v>18</v>
      </c>
      <c r="U109" s="55" t="s">
        <v>18</v>
      </c>
      <c r="V109" s="55"/>
      <c r="W109" s="55"/>
    </row>
    <row r="110" spans="2:23" s="40" customFormat="1" ht="12.75" customHeight="1">
      <c r="B110" s="75" t="str">
        <f>IF(tbl_Instruement_List[[#This Row],[Tag_New]]="",tbl_Instruement_List[[#This Row],[Tag]],tbl_Instruement_List[[#This Row],[Tag_New]])</f>
        <v>PT-60220</v>
      </c>
      <c r="C110" s="75" t="s">
        <v>629</v>
      </c>
      <c r="D110" s="41" t="s">
        <v>57</v>
      </c>
      <c r="E110" s="41"/>
      <c r="F110" s="42" t="s">
        <v>518</v>
      </c>
      <c r="G110" s="41" t="s">
        <v>649</v>
      </c>
      <c r="H110" s="41" t="s">
        <v>629</v>
      </c>
      <c r="I110" s="41"/>
      <c r="J110" s="49"/>
      <c r="K110" s="49"/>
      <c r="L110" s="49"/>
      <c r="M110" s="44">
        <v>1</v>
      </c>
      <c r="N110" s="44" t="s">
        <v>18</v>
      </c>
      <c r="O110" s="44" t="s">
        <v>474</v>
      </c>
      <c r="P110" s="44" t="s">
        <v>475</v>
      </c>
      <c r="Q110" s="47" t="s">
        <v>650</v>
      </c>
      <c r="R110" s="44" t="s">
        <v>641</v>
      </c>
      <c r="S110" s="46" t="s">
        <v>485</v>
      </c>
      <c r="T110" s="44" t="s">
        <v>651</v>
      </c>
      <c r="U110" s="44" t="s">
        <v>489</v>
      </c>
      <c r="V110" s="55"/>
      <c r="W110" s="55"/>
    </row>
    <row r="111" spans="2:23" s="40" customFormat="1" ht="12.75" customHeight="1">
      <c r="B111" s="75" t="str">
        <f>IF(tbl_Instruement_List[[#This Row],[Tag_New]]="",tbl_Instruement_List[[#This Row],[Tag]],tbl_Instruement_List[[#This Row],[Tag_New]])</f>
        <v>PT-60221</v>
      </c>
      <c r="C111" s="75" t="s">
        <v>629</v>
      </c>
      <c r="D111" s="41" t="s">
        <v>290</v>
      </c>
      <c r="E111" s="41"/>
      <c r="F111" s="42" t="s">
        <v>518</v>
      </c>
      <c r="G111" s="41" t="s">
        <v>652</v>
      </c>
      <c r="H111" s="41" t="s">
        <v>629</v>
      </c>
      <c r="I111" s="41"/>
      <c r="J111" s="49"/>
      <c r="K111" s="49"/>
      <c r="L111" s="49"/>
      <c r="M111" s="44">
        <v>1</v>
      </c>
      <c r="N111" s="44" t="s">
        <v>18</v>
      </c>
      <c r="O111" s="44" t="s">
        <v>474</v>
      </c>
      <c r="P111" s="44" t="s">
        <v>475</v>
      </c>
      <c r="Q111" s="47" t="s">
        <v>643</v>
      </c>
      <c r="R111" s="44" t="s">
        <v>641</v>
      </c>
      <c r="S111" s="46" t="s">
        <v>485</v>
      </c>
      <c r="T111" s="55" t="s">
        <v>18</v>
      </c>
      <c r="U111" s="55" t="s">
        <v>18</v>
      </c>
      <c r="V111" s="55"/>
      <c r="W111" s="55"/>
    </row>
    <row r="112" spans="2:23" s="48" customFormat="1" ht="12.75" customHeight="1">
      <c r="B112" s="75" t="str">
        <f>IF(tbl_Instruement_List[[#This Row],[Tag_New]]="",tbl_Instruement_List[[#This Row],[Tag]],tbl_Instruement_List[[#This Row],[Tag_New]])</f>
        <v>PT-60230</v>
      </c>
      <c r="C112" s="75" t="s">
        <v>629</v>
      </c>
      <c r="D112" s="41" t="s">
        <v>30</v>
      </c>
      <c r="E112" s="41"/>
      <c r="F112" s="42" t="s">
        <v>518</v>
      </c>
      <c r="G112" s="41" t="s">
        <v>653</v>
      </c>
      <c r="H112" s="41" t="s">
        <v>629</v>
      </c>
      <c r="I112" s="41"/>
      <c r="J112" s="58"/>
      <c r="K112" s="58"/>
      <c r="L112" s="58"/>
      <c r="M112" s="44">
        <v>1</v>
      </c>
      <c r="N112" s="44" t="s">
        <v>18</v>
      </c>
      <c r="O112" s="44" t="s">
        <v>474</v>
      </c>
      <c r="P112" s="44" t="s">
        <v>475</v>
      </c>
      <c r="Q112" s="47" t="s">
        <v>643</v>
      </c>
      <c r="R112" s="44" t="s">
        <v>641</v>
      </c>
      <c r="S112" s="46" t="s">
        <v>485</v>
      </c>
      <c r="T112" s="44" t="s">
        <v>651</v>
      </c>
      <c r="U112" s="44" t="s">
        <v>489</v>
      </c>
      <c r="V112" s="55"/>
      <c r="W112" s="55"/>
    </row>
    <row r="113" spans="2:23" s="40" customFormat="1" ht="12.75" customHeight="1">
      <c r="B113" s="75" t="str">
        <f>IF(tbl_Instruement_List[[#This Row],[Tag_New]]="",tbl_Instruement_List[[#This Row],[Tag]],tbl_Instruement_List[[#This Row],[Tag_New]])</f>
        <v>PT-60231</v>
      </c>
      <c r="C113" s="75" t="s">
        <v>629</v>
      </c>
      <c r="D113" s="41" t="s">
        <v>32</v>
      </c>
      <c r="E113" s="41"/>
      <c r="F113" s="42" t="s">
        <v>518</v>
      </c>
      <c r="G113" s="41" t="s">
        <v>654</v>
      </c>
      <c r="H113" s="41" t="s">
        <v>629</v>
      </c>
      <c r="I113" s="41"/>
      <c r="J113" s="58"/>
      <c r="K113" s="58"/>
      <c r="L113" s="58"/>
      <c r="M113" s="44">
        <v>1</v>
      </c>
      <c r="N113" s="44" t="s">
        <v>18</v>
      </c>
      <c r="O113" s="44" t="s">
        <v>474</v>
      </c>
      <c r="P113" s="44" t="s">
        <v>475</v>
      </c>
      <c r="Q113" s="47" t="s">
        <v>655</v>
      </c>
      <c r="R113" s="44" t="s">
        <v>641</v>
      </c>
      <c r="S113" s="46" t="s">
        <v>485</v>
      </c>
      <c r="T113" s="44" t="s">
        <v>651</v>
      </c>
      <c r="U113" s="44" t="s">
        <v>489</v>
      </c>
      <c r="V113" s="55"/>
      <c r="W113" s="55"/>
    </row>
    <row r="114" spans="2:23" s="48" customFormat="1" ht="12.75" customHeight="1">
      <c r="B114" s="75" t="str">
        <f>IF(tbl_Instruement_List[[#This Row],[Tag_New]]="",tbl_Instruement_List[[#This Row],[Tag]],tbl_Instruement_List[[#This Row],[Tag_New]])</f>
        <v>PT-60240</v>
      </c>
      <c r="C114" s="75" t="s">
        <v>629</v>
      </c>
      <c r="D114" s="41" t="s">
        <v>233</v>
      </c>
      <c r="E114" s="41"/>
      <c r="F114" s="42" t="s">
        <v>472</v>
      </c>
      <c r="G114" s="41" t="s">
        <v>656</v>
      </c>
      <c r="H114" s="41" t="s">
        <v>629</v>
      </c>
      <c r="I114" s="41"/>
      <c r="J114" s="58"/>
      <c r="K114" s="58"/>
      <c r="L114" s="58"/>
      <c r="M114" s="44">
        <v>1</v>
      </c>
      <c r="N114" s="44" t="s">
        <v>18</v>
      </c>
      <c r="O114" s="44" t="s">
        <v>474</v>
      </c>
      <c r="P114" s="44" t="s">
        <v>475</v>
      </c>
      <c r="Q114" s="47" t="s">
        <v>655</v>
      </c>
      <c r="R114" s="44" t="s">
        <v>641</v>
      </c>
      <c r="S114" s="46" t="s">
        <v>485</v>
      </c>
      <c r="T114" s="55" t="s">
        <v>18</v>
      </c>
      <c r="U114" s="55" t="s">
        <v>18</v>
      </c>
      <c r="V114" s="55"/>
      <c r="W114" s="55"/>
    </row>
    <row r="115" spans="2:23" s="40" customFormat="1" ht="12.75" customHeight="1">
      <c r="B115" s="75" t="str">
        <f>IF(tbl_Instruement_List[[#This Row],[Tag_New]]="",tbl_Instruement_List[[#This Row],[Tag]],tbl_Instruement_List[[#This Row],[Tag_New]])</f>
        <v>PT-60241</v>
      </c>
      <c r="C115" s="75" t="s">
        <v>629</v>
      </c>
      <c r="D115" s="41" t="s">
        <v>234</v>
      </c>
      <c r="E115" s="41"/>
      <c r="F115" s="42" t="s">
        <v>472</v>
      </c>
      <c r="G115" s="41" t="s">
        <v>657</v>
      </c>
      <c r="H115" s="41" t="s">
        <v>629</v>
      </c>
      <c r="I115" s="41"/>
      <c r="J115" s="58"/>
      <c r="K115" s="58"/>
      <c r="L115" s="58"/>
      <c r="M115" s="44">
        <v>1</v>
      </c>
      <c r="N115" s="44" t="s">
        <v>18</v>
      </c>
      <c r="O115" s="44" t="s">
        <v>474</v>
      </c>
      <c r="P115" s="44" t="s">
        <v>475</v>
      </c>
      <c r="Q115" s="47" t="s">
        <v>643</v>
      </c>
      <c r="R115" s="44" t="s">
        <v>641</v>
      </c>
      <c r="S115" s="46" t="s">
        <v>485</v>
      </c>
      <c r="T115" s="55" t="s">
        <v>18</v>
      </c>
      <c r="U115" s="55" t="s">
        <v>18</v>
      </c>
      <c r="V115" s="55"/>
      <c r="W115" s="55"/>
    </row>
    <row r="116" spans="2:23" s="40" customFormat="1" ht="12.75" customHeight="1">
      <c r="B116" s="75" t="str">
        <f>IF(tbl_Instruement_List[[#This Row],[Tag_New]]="",tbl_Instruement_List[[#This Row],[Tag]],tbl_Instruement_List[[#This Row],[Tag_New]])</f>
        <v>PT-60204</v>
      </c>
      <c r="C116" s="75" t="s">
        <v>629</v>
      </c>
      <c r="D116" s="41" t="s">
        <v>658</v>
      </c>
      <c r="E116" s="41" t="s">
        <v>205</v>
      </c>
      <c r="F116" s="42" t="s">
        <v>557</v>
      </c>
      <c r="G116" s="41" t="s">
        <v>659</v>
      </c>
      <c r="H116" s="41" t="s">
        <v>629</v>
      </c>
      <c r="I116" s="41"/>
      <c r="J116" s="44" t="s">
        <v>18</v>
      </c>
      <c r="K116" s="44" t="s">
        <v>18</v>
      </c>
      <c r="L116" s="44" t="s">
        <v>18</v>
      </c>
      <c r="M116" s="44">
        <v>1</v>
      </c>
      <c r="N116" s="44" t="s">
        <v>18</v>
      </c>
      <c r="O116" s="44" t="s">
        <v>474</v>
      </c>
      <c r="P116" s="44" t="s">
        <v>475</v>
      </c>
      <c r="Q116" s="47" t="s">
        <v>660</v>
      </c>
      <c r="R116" s="44" t="s">
        <v>641</v>
      </c>
      <c r="S116" s="46" t="s">
        <v>485</v>
      </c>
      <c r="T116" s="55" t="s">
        <v>18</v>
      </c>
      <c r="U116" s="55" t="s">
        <v>18</v>
      </c>
      <c r="V116" s="55"/>
      <c r="W116" s="55"/>
    </row>
    <row r="117" spans="2:23">
      <c r="B117" s="75" t="str">
        <f>IF(tbl_Instruement_List[[#This Row],[Tag_New]]="",tbl_Instruement_List[[#This Row],[Tag]],tbl_Instruement_List[[#This Row],[Tag_New]])</f>
        <v>PT-61301</v>
      </c>
      <c r="C117" s="75" t="s">
        <v>629</v>
      </c>
      <c r="D117" s="41" t="s">
        <v>100</v>
      </c>
      <c r="E117" s="41"/>
      <c r="F117" s="42" t="s">
        <v>78</v>
      </c>
      <c r="G117" s="41" t="s">
        <v>661</v>
      </c>
      <c r="H117" s="41" t="s">
        <v>629</v>
      </c>
      <c r="I117" s="41"/>
      <c r="J117" s="44" t="s">
        <v>18</v>
      </c>
      <c r="K117" s="44" t="s">
        <v>18</v>
      </c>
      <c r="L117" s="44" t="s">
        <v>18</v>
      </c>
      <c r="M117" s="44">
        <v>1</v>
      </c>
      <c r="N117" s="44" t="s">
        <v>18</v>
      </c>
      <c r="O117" s="44" t="s">
        <v>474</v>
      </c>
      <c r="P117" s="44" t="s">
        <v>475</v>
      </c>
      <c r="Q117" s="47" t="s">
        <v>662</v>
      </c>
      <c r="R117" s="44" t="s">
        <v>641</v>
      </c>
      <c r="S117" s="46" t="s">
        <v>485</v>
      </c>
      <c r="T117" s="44" t="s">
        <v>651</v>
      </c>
      <c r="U117" s="44" t="s">
        <v>489</v>
      </c>
      <c r="V117" s="55"/>
      <c r="W117" s="55"/>
    </row>
    <row r="118" spans="2:23">
      <c r="B118" s="75" t="str">
        <f>IF(tbl_Instruement_List[[#This Row],[Tag_New]]="",tbl_Instruement_List[[#This Row],[Tag]],tbl_Instruement_List[[#This Row],[Tag_New]])</f>
        <v>PT-61302</v>
      </c>
      <c r="C118" s="75" t="s">
        <v>629</v>
      </c>
      <c r="D118" s="41" t="s">
        <v>350</v>
      </c>
      <c r="E118" s="41"/>
      <c r="F118" s="42" t="s">
        <v>67</v>
      </c>
      <c r="G118" s="41" t="s">
        <v>663</v>
      </c>
      <c r="H118" s="41" t="s">
        <v>629</v>
      </c>
      <c r="I118" s="41"/>
      <c r="J118" s="44" t="s">
        <v>18</v>
      </c>
      <c r="K118" s="44" t="s">
        <v>18</v>
      </c>
      <c r="L118" s="44" t="s">
        <v>18</v>
      </c>
      <c r="M118" s="44">
        <v>1</v>
      </c>
      <c r="N118" s="44" t="s">
        <v>18</v>
      </c>
      <c r="O118" s="44" t="s">
        <v>474</v>
      </c>
      <c r="P118" s="44" t="s">
        <v>475</v>
      </c>
      <c r="Q118" s="47" t="s">
        <v>664</v>
      </c>
      <c r="R118" s="44" t="s">
        <v>641</v>
      </c>
      <c r="S118" s="46" t="s">
        <v>485</v>
      </c>
      <c r="T118" s="55" t="s">
        <v>18</v>
      </c>
      <c r="U118" s="55" t="s">
        <v>18</v>
      </c>
      <c r="V118" s="55"/>
      <c r="W118" s="55"/>
    </row>
    <row r="119" spans="2:23">
      <c r="B119" s="75" t="str">
        <f>IF(tbl_Instruement_List[[#This Row],[Tag_New]]="",tbl_Instruement_List[[#This Row],[Tag]],tbl_Instruement_List[[#This Row],[Tag_New]])</f>
        <v>PT-61303</v>
      </c>
      <c r="C119" s="75" t="s">
        <v>629</v>
      </c>
      <c r="D119" s="41" t="s">
        <v>369</v>
      </c>
      <c r="E119" s="41"/>
      <c r="F119" s="42" t="s">
        <v>78</v>
      </c>
      <c r="G119" s="41" t="s">
        <v>665</v>
      </c>
      <c r="H119" s="41" t="s">
        <v>629</v>
      </c>
      <c r="I119" s="41"/>
      <c r="J119" s="56"/>
      <c r="K119" s="49"/>
      <c r="L119" s="56"/>
      <c r="M119" s="44">
        <v>1</v>
      </c>
      <c r="N119" s="44" t="s">
        <v>18</v>
      </c>
      <c r="O119" s="44" t="s">
        <v>474</v>
      </c>
      <c r="P119" s="44" t="s">
        <v>475</v>
      </c>
      <c r="Q119" s="47" t="s">
        <v>655</v>
      </c>
      <c r="R119" s="44" t="s">
        <v>641</v>
      </c>
      <c r="S119" s="46" t="s">
        <v>485</v>
      </c>
      <c r="T119" s="44" t="s">
        <v>651</v>
      </c>
      <c r="U119" s="44" t="s">
        <v>489</v>
      </c>
      <c r="V119" s="55"/>
      <c r="W119" s="55"/>
    </row>
    <row r="120" spans="2:23">
      <c r="B120" s="75" t="str">
        <f>IF(tbl_Instruement_List[[#This Row],[Tag_New]]="",tbl_Instruement_List[[#This Row],[Tag]],tbl_Instruement_List[[#This Row],[Tag_New]])</f>
        <v>PT-61304</v>
      </c>
      <c r="C120" s="75" t="s">
        <v>629</v>
      </c>
      <c r="D120" s="41" t="s">
        <v>101</v>
      </c>
      <c r="E120" s="41"/>
      <c r="F120" s="42" t="s">
        <v>78</v>
      </c>
      <c r="G120" s="41" t="s">
        <v>666</v>
      </c>
      <c r="H120" s="41" t="s">
        <v>629</v>
      </c>
      <c r="I120" s="41"/>
      <c r="J120" s="58"/>
      <c r="K120" s="58"/>
      <c r="L120" s="58"/>
      <c r="M120" s="44">
        <v>1</v>
      </c>
      <c r="N120" s="44" t="s">
        <v>18</v>
      </c>
      <c r="O120" s="44" t="s">
        <v>474</v>
      </c>
      <c r="P120" s="44" t="s">
        <v>475</v>
      </c>
      <c r="Q120" s="47" t="s">
        <v>655</v>
      </c>
      <c r="R120" s="44" t="s">
        <v>641</v>
      </c>
      <c r="S120" s="46" t="s">
        <v>485</v>
      </c>
      <c r="T120" s="44" t="s">
        <v>651</v>
      </c>
      <c r="U120" s="44" t="s">
        <v>489</v>
      </c>
      <c r="V120" s="55"/>
      <c r="W120" s="55"/>
    </row>
    <row r="121" spans="2:23">
      <c r="B121" s="75" t="str">
        <f>IF(tbl_Instruement_List[[#This Row],[Tag_New]]="",tbl_Instruement_List[[#This Row],[Tag]],tbl_Instruement_List[[#This Row],[Tag_New]])</f>
        <v>PT-61305</v>
      </c>
      <c r="C121" s="75" t="s">
        <v>629</v>
      </c>
      <c r="D121" s="41" t="s">
        <v>102</v>
      </c>
      <c r="E121" s="41"/>
      <c r="F121" s="42" t="s">
        <v>78</v>
      </c>
      <c r="G121" s="41" t="s">
        <v>667</v>
      </c>
      <c r="H121" s="41" t="s">
        <v>629</v>
      </c>
      <c r="I121" s="41"/>
      <c r="J121" s="58"/>
      <c r="K121" s="58"/>
      <c r="L121" s="58"/>
      <c r="M121" s="44">
        <v>1</v>
      </c>
      <c r="N121" s="44" t="s">
        <v>18</v>
      </c>
      <c r="O121" s="44" t="s">
        <v>474</v>
      </c>
      <c r="P121" s="44" t="s">
        <v>475</v>
      </c>
      <c r="Q121" s="47" t="s">
        <v>655</v>
      </c>
      <c r="R121" s="44" t="s">
        <v>641</v>
      </c>
      <c r="S121" s="46" t="s">
        <v>485</v>
      </c>
      <c r="T121" s="44" t="s">
        <v>651</v>
      </c>
      <c r="U121" s="44" t="s">
        <v>489</v>
      </c>
      <c r="V121" s="55"/>
      <c r="W121" s="55"/>
    </row>
    <row r="122" spans="2:23">
      <c r="B122" s="75" t="str">
        <f>IF(tbl_Instruement_List[[#This Row],[Tag_New]]="",tbl_Instruement_List[[#This Row],[Tag]],tbl_Instruement_List[[#This Row],[Tag_New]])</f>
        <v>PT-61309</v>
      </c>
      <c r="C122" s="75" t="s">
        <v>629</v>
      </c>
      <c r="D122" s="41" t="s">
        <v>351</v>
      </c>
      <c r="E122" s="41"/>
      <c r="F122" s="42" t="s">
        <v>197</v>
      </c>
      <c r="G122" s="41" t="s">
        <v>659</v>
      </c>
      <c r="H122" s="41" t="s">
        <v>629</v>
      </c>
      <c r="I122" s="41"/>
      <c r="J122" s="44" t="s">
        <v>18</v>
      </c>
      <c r="K122" s="44" t="s">
        <v>18</v>
      </c>
      <c r="L122" s="44" t="s">
        <v>18</v>
      </c>
      <c r="M122" s="44">
        <v>1</v>
      </c>
      <c r="N122" s="44" t="s">
        <v>18</v>
      </c>
      <c r="O122" s="44" t="s">
        <v>474</v>
      </c>
      <c r="P122" s="44" t="s">
        <v>475</v>
      </c>
      <c r="Q122" s="44" t="s">
        <v>660</v>
      </c>
      <c r="R122" s="44" t="s">
        <v>668</v>
      </c>
      <c r="S122" s="46" t="s">
        <v>485</v>
      </c>
      <c r="T122" s="44" t="s">
        <v>18</v>
      </c>
      <c r="U122" s="44" t="s">
        <v>18</v>
      </c>
      <c r="V122" s="44"/>
      <c r="W122" s="44"/>
    </row>
    <row r="123" spans="2:23">
      <c r="B123" s="75" t="str">
        <f>IF(tbl_Instruement_List[[#This Row],[Tag_New]]="",tbl_Instruement_List[[#This Row],[Tag]],tbl_Instruement_List[[#This Row],[Tag_New]])</f>
        <v>PCV-60201</v>
      </c>
      <c r="C123" s="75"/>
      <c r="D123" s="41" t="s">
        <v>291</v>
      </c>
      <c r="E123" s="41" t="s">
        <v>669</v>
      </c>
      <c r="F123" s="42" t="s">
        <v>528</v>
      </c>
      <c r="G123" s="41" t="s">
        <v>554</v>
      </c>
      <c r="H123" s="41" t="s">
        <v>670</v>
      </c>
      <c r="I123" s="41"/>
      <c r="J123" s="44" t="s">
        <v>18</v>
      </c>
      <c r="K123" s="44" t="s">
        <v>18</v>
      </c>
      <c r="L123" s="44">
        <v>1</v>
      </c>
      <c r="M123" s="44" t="s">
        <v>18</v>
      </c>
      <c r="N123" s="44" t="s">
        <v>18</v>
      </c>
      <c r="O123" s="44" t="s">
        <v>474</v>
      </c>
      <c r="P123" s="44" t="s">
        <v>475</v>
      </c>
      <c r="Q123" s="44" t="s">
        <v>477</v>
      </c>
      <c r="R123" s="44" t="s">
        <v>671</v>
      </c>
      <c r="S123" s="46" t="s">
        <v>526</v>
      </c>
      <c r="T123" s="44" t="s">
        <v>18</v>
      </c>
      <c r="U123" s="44" t="s">
        <v>18</v>
      </c>
      <c r="V123" s="44"/>
      <c r="W123" s="44"/>
    </row>
    <row r="124" spans="2:23">
      <c r="B124" s="75" t="str">
        <f>IF(tbl_Instruement_List[[#This Row],[Tag_New]]="",tbl_Instruement_List[[#This Row],[Tag]],tbl_Instruement_List[[#This Row],[Tag_New]])</f>
        <v>SV-40201</v>
      </c>
      <c r="C124" s="75"/>
      <c r="D124" s="41" t="s">
        <v>672</v>
      </c>
      <c r="E124" s="41" t="s">
        <v>147</v>
      </c>
      <c r="F124" s="42" t="s">
        <v>170</v>
      </c>
      <c r="G124" s="41" t="s">
        <v>673</v>
      </c>
      <c r="H124" s="41" t="s">
        <v>674</v>
      </c>
      <c r="I124" s="41"/>
      <c r="J124" s="49">
        <v>1</v>
      </c>
      <c r="K124" s="47" t="s">
        <v>18</v>
      </c>
      <c r="L124" s="44" t="s">
        <v>18</v>
      </c>
      <c r="M124" s="44" t="s">
        <v>18</v>
      </c>
      <c r="N124" s="44" t="s">
        <v>18</v>
      </c>
      <c r="O124" s="44" t="s">
        <v>675</v>
      </c>
      <c r="P124" s="44" t="s">
        <v>475</v>
      </c>
      <c r="Q124" s="44" t="s">
        <v>569</v>
      </c>
      <c r="R124" s="44" t="s">
        <v>676</v>
      </c>
      <c r="S124" s="44" t="s">
        <v>677</v>
      </c>
      <c r="T124" s="44" t="s">
        <v>18</v>
      </c>
      <c r="U124" s="44" t="s">
        <v>18</v>
      </c>
      <c r="V124" s="44"/>
      <c r="W124" s="44"/>
    </row>
    <row r="125" spans="2:23">
      <c r="B125" s="75" t="str">
        <f>IF(tbl_Instruement_List[[#This Row],[Tag_New]]="",tbl_Instruement_List[[#This Row],[Tag]],tbl_Instruement_List[[#This Row],[Tag_New]])</f>
        <v>SV-40202</v>
      </c>
      <c r="C125" s="75"/>
      <c r="D125" s="41" t="s">
        <v>678</v>
      </c>
      <c r="E125" s="41" t="s">
        <v>148</v>
      </c>
      <c r="F125" s="42" t="s">
        <v>170</v>
      </c>
      <c r="G125" s="41" t="s">
        <v>679</v>
      </c>
      <c r="H125" s="41" t="s">
        <v>674</v>
      </c>
      <c r="I125" s="41"/>
      <c r="J125" s="49">
        <v>1</v>
      </c>
      <c r="K125" s="47" t="s">
        <v>18</v>
      </c>
      <c r="L125" s="44" t="s">
        <v>18</v>
      </c>
      <c r="M125" s="44" t="s">
        <v>18</v>
      </c>
      <c r="N125" s="44" t="s">
        <v>18</v>
      </c>
      <c r="O125" s="44" t="s">
        <v>675</v>
      </c>
      <c r="P125" s="44" t="s">
        <v>475</v>
      </c>
      <c r="Q125" s="44" t="s">
        <v>569</v>
      </c>
      <c r="R125" s="44" t="s">
        <v>676</v>
      </c>
      <c r="S125" s="44" t="s">
        <v>677</v>
      </c>
      <c r="T125" s="44" t="s">
        <v>18</v>
      </c>
      <c r="U125" s="44" t="s">
        <v>18</v>
      </c>
      <c r="V125" s="44"/>
      <c r="W125" s="44"/>
    </row>
    <row r="126" spans="2:23">
      <c r="B126" s="75" t="str">
        <f>IF(tbl_Instruement_List[[#This Row],[Tag_New]]="",tbl_Instruement_List[[#This Row],[Tag]],tbl_Instruement_List[[#This Row],[Tag_New]])</f>
        <v>SV-40203</v>
      </c>
      <c r="C126" s="75"/>
      <c r="D126" s="41" t="s">
        <v>680</v>
      </c>
      <c r="E126" s="41" t="s">
        <v>149</v>
      </c>
      <c r="F126" s="42" t="s">
        <v>170</v>
      </c>
      <c r="G126" s="41" t="s">
        <v>681</v>
      </c>
      <c r="H126" s="41" t="s">
        <v>674</v>
      </c>
      <c r="I126" s="41"/>
      <c r="J126" s="49">
        <v>1</v>
      </c>
      <c r="K126" s="47" t="s">
        <v>18</v>
      </c>
      <c r="L126" s="44" t="s">
        <v>18</v>
      </c>
      <c r="M126" s="44" t="s">
        <v>18</v>
      </c>
      <c r="N126" s="44" t="s">
        <v>18</v>
      </c>
      <c r="O126" s="44" t="s">
        <v>675</v>
      </c>
      <c r="P126" s="44" t="s">
        <v>475</v>
      </c>
      <c r="Q126" s="44" t="s">
        <v>569</v>
      </c>
      <c r="R126" s="44" t="s">
        <v>676</v>
      </c>
      <c r="S126" s="44" t="s">
        <v>677</v>
      </c>
      <c r="T126" s="44" t="s">
        <v>18</v>
      </c>
      <c r="U126" s="44" t="s">
        <v>18</v>
      </c>
      <c r="V126" s="44"/>
      <c r="W126" s="44"/>
    </row>
    <row r="127" spans="2:23">
      <c r="B127" s="75" t="str">
        <f>IF(tbl_Instruement_List[[#This Row],[Tag_New]]="",tbl_Instruement_List[[#This Row],[Tag]],tbl_Instruement_List[[#This Row],[Tag_New]])</f>
        <v>SV-40204</v>
      </c>
      <c r="C127" s="75"/>
      <c r="D127" s="41" t="s">
        <v>682</v>
      </c>
      <c r="E127" s="41" t="s">
        <v>150</v>
      </c>
      <c r="F127" s="42" t="s">
        <v>170</v>
      </c>
      <c r="G127" s="41" t="s">
        <v>683</v>
      </c>
      <c r="H127" s="41" t="s">
        <v>674</v>
      </c>
      <c r="I127" s="41"/>
      <c r="J127" s="49">
        <v>1</v>
      </c>
      <c r="K127" s="47" t="s">
        <v>18</v>
      </c>
      <c r="L127" s="44" t="s">
        <v>18</v>
      </c>
      <c r="M127" s="44" t="s">
        <v>18</v>
      </c>
      <c r="N127" s="44" t="s">
        <v>18</v>
      </c>
      <c r="O127" s="44" t="s">
        <v>675</v>
      </c>
      <c r="P127" s="44" t="s">
        <v>475</v>
      </c>
      <c r="Q127" s="44" t="s">
        <v>569</v>
      </c>
      <c r="R127" s="44" t="s">
        <v>676</v>
      </c>
      <c r="S127" s="44" t="s">
        <v>677</v>
      </c>
      <c r="T127" s="44" t="s">
        <v>18</v>
      </c>
      <c r="U127" s="44" t="s">
        <v>18</v>
      </c>
      <c r="V127" s="44"/>
      <c r="W127" s="44"/>
    </row>
    <row r="128" spans="2:23">
      <c r="B128" s="75" t="str">
        <f>IF(tbl_Instruement_List[[#This Row],[Tag_New]]="",tbl_Instruement_List[[#This Row],[Tag]],tbl_Instruement_List[[#This Row],[Tag_New]])</f>
        <v>SV-60220</v>
      </c>
      <c r="C128" s="75"/>
      <c r="D128" s="41" t="s">
        <v>268</v>
      </c>
      <c r="E128" s="41"/>
      <c r="F128" s="42" t="s">
        <v>518</v>
      </c>
      <c r="G128" s="41" t="s">
        <v>684</v>
      </c>
      <c r="H128" s="41" t="s">
        <v>674</v>
      </c>
      <c r="I128" s="41"/>
      <c r="J128" s="49">
        <v>1</v>
      </c>
      <c r="K128" s="47" t="s">
        <v>18</v>
      </c>
      <c r="L128" s="44" t="s">
        <v>18</v>
      </c>
      <c r="M128" s="44" t="s">
        <v>18</v>
      </c>
      <c r="N128" s="44" t="s">
        <v>18</v>
      </c>
      <c r="O128" s="44" t="s">
        <v>675</v>
      </c>
      <c r="P128" s="44" t="s">
        <v>475</v>
      </c>
      <c r="Q128" s="44" t="s">
        <v>569</v>
      </c>
      <c r="R128" s="44" t="s">
        <v>676</v>
      </c>
      <c r="S128" s="44" t="s">
        <v>677</v>
      </c>
      <c r="T128" s="44" t="s">
        <v>18</v>
      </c>
      <c r="U128" s="44" t="s">
        <v>18</v>
      </c>
      <c r="V128" s="44"/>
      <c r="W128" s="44"/>
    </row>
    <row r="129" spans="2:23">
      <c r="B129" s="75" t="str">
        <f>IF(tbl_Instruement_List[[#This Row],[Tag_New]]="",tbl_Instruement_List[[#This Row],[Tag]],tbl_Instruement_List[[#This Row],[Tag_New]])</f>
        <v>SV-60230</v>
      </c>
      <c r="C129" s="75"/>
      <c r="D129" s="41" t="s">
        <v>206</v>
      </c>
      <c r="E129" s="41"/>
      <c r="F129" s="42" t="s">
        <v>518</v>
      </c>
      <c r="G129" s="41" t="s">
        <v>685</v>
      </c>
      <c r="H129" s="41" t="s">
        <v>674</v>
      </c>
      <c r="I129" s="41"/>
      <c r="J129" s="49">
        <v>1</v>
      </c>
      <c r="K129" s="47" t="s">
        <v>18</v>
      </c>
      <c r="L129" s="44" t="s">
        <v>18</v>
      </c>
      <c r="M129" s="44" t="s">
        <v>18</v>
      </c>
      <c r="N129" s="44" t="s">
        <v>18</v>
      </c>
      <c r="O129" s="44" t="s">
        <v>675</v>
      </c>
      <c r="P129" s="44" t="s">
        <v>475</v>
      </c>
      <c r="Q129" s="44" t="s">
        <v>569</v>
      </c>
      <c r="R129" s="44" t="s">
        <v>676</v>
      </c>
      <c r="S129" s="44" t="s">
        <v>677</v>
      </c>
      <c r="T129" s="44" t="s">
        <v>18</v>
      </c>
      <c r="U129" s="44" t="s">
        <v>18</v>
      </c>
      <c r="V129" s="44"/>
      <c r="W129" s="44"/>
    </row>
    <row r="130" spans="2:23">
      <c r="B130" s="75" t="str">
        <f>IF(tbl_Instruement_List[[#This Row],[Tag_New]]="",tbl_Instruement_List[[#This Row],[Tag]],tbl_Instruement_List[[#This Row],[Tag_New]])</f>
        <v>SV-60231</v>
      </c>
      <c r="C130" s="75"/>
      <c r="D130" s="41" t="s">
        <v>207</v>
      </c>
      <c r="E130" s="41"/>
      <c r="F130" s="42" t="s">
        <v>518</v>
      </c>
      <c r="G130" s="41" t="s">
        <v>686</v>
      </c>
      <c r="H130" s="41" t="s">
        <v>674</v>
      </c>
      <c r="I130" s="41"/>
      <c r="J130" s="49">
        <v>1</v>
      </c>
      <c r="K130" s="47" t="s">
        <v>18</v>
      </c>
      <c r="L130" s="44" t="s">
        <v>18</v>
      </c>
      <c r="M130" s="44" t="s">
        <v>18</v>
      </c>
      <c r="N130" s="44" t="s">
        <v>18</v>
      </c>
      <c r="O130" s="44" t="s">
        <v>675</v>
      </c>
      <c r="P130" s="44" t="s">
        <v>475</v>
      </c>
      <c r="Q130" s="44" t="s">
        <v>569</v>
      </c>
      <c r="R130" s="44" t="s">
        <v>676</v>
      </c>
      <c r="S130" s="44" t="s">
        <v>677</v>
      </c>
      <c r="T130" s="44" t="s">
        <v>18</v>
      </c>
      <c r="U130" s="44" t="s">
        <v>18</v>
      </c>
      <c r="V130" s="44"/>
      <c r="W130" s="44"/>
    </row>
    <row r="131" spans="2:23">
      <c r="B131" s="75" t="str">
        <f>IF(tbl_Instruement_List[[#This Row],[Tag_New]]="",tbl_Instruement_List[[#This Row],[Tag]],tbl_Instruement_List[[#This Row],[Tag_New]])</f>
        <v>SV-60240A</v>
      </c>
      <c r="C131" s="75"/>
      <c r="D131" s="41" t="s">
        <v>208</v>
      </c>
      <c r="E131" s="41"/>
      <c r="F131" s="42" t="s">
        <v>472</v>
      </c>
      <c r="G131" s="41" t="s">
        <v>687</v>
      </c>
      <c r="H131" s="41" t="s">
        <v>674</v>
      </c>
      <c r="I131" s="41"/>
      <c r="J131" s="49">
        <v>1</v>
      </c>
      <c r="K131" s="47" t="s">
        <v>18</v>
      </c>
      <c r="L131" s="44" t="s">
        <v>18</v>
      </c>
      <c r="M131" s="44" t="s">
        <v>18</v>
      </c>
      <c r="N131" s="44" t="s">
        <v>18</v>
      </c>
      <c r="O131" s="44" t="s">
        <v>675</v>
      </c>
      <c r="P131" s="44" t="s">
        <v>475</v>
      </c>
      <c r="Q131" s="44" t="s">
        <v>569</v>
      </c>
      <c r="R131" s="44" t="s">
        <v>676</v>
      </c>
      <c r="S131" s="44" t="s">
        <v>677</v>
      </c>
      <c r="T131" s="44" t="s">
        <v>18</v>
      </c>
      <c r="U131" s="44" t="s">
        <v>18</v>
      </c>
      <c r="V131" s="44"/>
      <c r="W131" s="44"/>
    </row>
    <row r="132" spans="2:23">
      <c r="B132" s="75" t="str">
        <f>IF(tbl_Instruement_List[[#This Row],[Tag_New]]="",tbl_Instruement_List[[#This Row],[Tag]],tbl_Instruement_List[[#This Row],[Tag_New]])</f>
        <v>SV-60240B</v>
      </c>
      <c r="C132" s="75"/>
      <c r="D132" s="41" t="s">
        <v>209</v>
      </c>
      <c r="E132" s="41"/>
      <c r="F132" s="42" t="s">
        <v>472</v>
      </c>
      <c r="G132" s="41" t="s">
        <v>688</v>
      </c>
      <c r="H132" s="41" t="s">
        <v>674</v>
      </c>
      <c r="I132" s="41"/>
      <c r="J132" s="49">
        <v>1</v>
      </c>
      <c r="K132" s="47" t="s">
        <v>18</v>
      </c>
      <c r="L132" s="44" t="s">
        <v>18</v>
      </c>
      <c r="M132" s="44" t="s">
        <v>18</v>
      </c>
      <c r="N132" s="44" t="s">
        <v>18</v>
      </c>
      <c r="O132" s="44" t="s">
        <v>675</v>
      </c>
      <c r="P132" s="44" t="s">
        <v>475</v>
      </c>
      <c r="Q132" s="44" t="s">
        <v>569</v>
      </c>
      <c r="R132" s="44" t="s">
        <v>676</v>
      </c>
      <c r="S132" s="44" t="s">
        <v>677</v>
      </c>
      <c r="T132" s="44" t="s">
        <v>18</v>
      </c>
      <c r="U132" s="44" t="s">
        <v>18</v>
      </c>
      <c r="V132" s="44"/>
      <c r="W132" s="44"/>
    </row>
    <row r="133" spans="2:23">
      <c r="B133" s="75" t="str">
        <f>IF(tbl_Instruement_List[[#This Row],[Tag_New]]="",tbl_Instruement_List[[#This Row],[Tag]],tbl_Instruement_List[[#This Row],[Tag_New]])</f>
        <v>SV-60240C</v>
      </c>
      <c r="C133" s="75"/>
      <c r="D133" s="41" t="s">
        <v>210</v>
      </c>
      <c r="E133" s="41"/>
      <c r="F133" s="42" t="s">
        <v>472</v>
      </c>
      <c r="G133" s="41" t="s">
        <v>689</v>
      </c>
      <c r="H133" s="41" t="s">
        <v>674</v>
      </c>
      <c r="I133" s="41"/>
      <c r="J133" s="49">
        <v>1</v>
      </c>
      <c r="K133" s="47" t="s">
        <v>18</v>
      </c>
      <c r="L133" s="44" t="s">
        <v>18</v>
      </c>
      <c r="M133" s="44" t="s">
        <v>18</v>
      </c>
      <c r="N133" s="44" t="s">
        <v>18</v>
      </c>
      <c r="O133" s="44" t="s">
        <v>675</v>
      </c>
      <c r="P133" s="44" t="s">
        <v>475</v>
      </c>
      <c r="Q133" s="44" t="s">
        <v>569</v>
      </c>
      <c r="R133" s="44" t="s">
        <v>676</v>
      </c>
      <c r="S133" s="44" t="s">
        <v>677</v>
      </c>
      <c r="T133" s="44" t="s">
        <v>18</v>
      </c>
      <c r="U133" s="44" t="s">
        <v>18</v>
      </c>
      <c r="V133" s="44"/>
      <c r="W133" s="44"/>
    </row>
    <row r="134" spans="2:23">
      <c r="B134" s="75" t="str">
        <f>IF(tbl_Instruement_List[[#This Row],[Tag_New]]="",tbl_Instruement_List[[#This Row],[Tag]],tbl_Instruement_List[[#This Row],[Tag_New]])</f>
        <v>SV-61301</v>
      </c>
      <c r="C134" s="75"/>
      <c r="D134" s="41" t="s">
        <v>690</v>
      </c>
      <c r="E134" s="41"/>
      <c r="F134" s="42" t="s">
        <v>78</v>
      </c>
      <c r="G134" s="41" t="s">
        <v>691</v>
      </c>
      <c r="H134" s="41" t="s">
        <v>674</v>
      </c>
      <c r="I134" s="41"/>
      <c r="J134" s="44">
        <v>1</v>
      </c>
      <c r="K134" s="47" t="s">
        <v>18</v>
      </c>
      <c r="L134" s="44" t="s">
        <v>18</v>
      </c>
      <c r="M134" s="44" t="s">
        <v>18</v>
      </c>
      <c r="N134" s="44" t="s">
        <v>18</v>
      </c>
      <c r="O134" s="44" t="s">
        <v>675</v>
      </c>
      <c r="P134" s="44" t="s">
        <v>475</v>
      </c>
      <c r="Q134" s="44" t="s">
        <v>569</v>
      </c>
      <c r="R134" s="44" t="s">
        <v>676</v>
      </c>
      <c r="S134" s="44" t="s">
        <v>677</v>
      </c>
      <c r="T134" s="44" t="s">
        <v>18</v>
      </c>
      <c r="U134" s="44" t="s">
        <v>18</v>
      </c>
      <c r="V134" s="44"/>
      <c r="W134" s="44"/>
    </row>
    <row r="135" spans="2:23">
      <c r="B135" s="75" t="str">
        <f>IF(tbl_Instruement_List[[#This Row],[Tag_New]]="",tbl_Instruement_List[[#This Row],[Tag]],tbl_Instruement_List[[#This Row],[Tag_New]])</f>
        <v>SV-61302</v>
      </c>
      <c r="C135" s="75"/>
      <c r="D135" s="41" t="s">
        <v>373</v>
      </c>
      <c r="E135" s="41"/>
      <c r="F135" s="42" t="s">
        <v>78</v>
      </c>
      <c r="G135" s="41" t="s">
        <v>692</v>
      </c>
      <c r="H135" s="41" t="s">
        <v>674</v>
      </c>
      <c r="I135" s="41"/>
      <c r="J135" s="44">
        <v>1</v>
      </c>
      <c r="K135" s="47" t="s">
        <v>18</v>
      </c>
      <c r="L135" s="44" t="s">
        <v>18</v>
      </c>
      <c r="M135" s="44" t="s">
        <v>18</v>
      </c>
      <c r="N135" s="44" t="s">
        <v>18</v>
      </c>
      <c r="O135" s="44" t="s">
        <v>675</v>
      </c>
      <c r="P135" s="44" t="s">
        <v>475</v>
      </c>
      <c r="Q135" s="44" t="s">
        <v>569</v>
      </c>
      <c r="R135" s="44" t="s">
        <v>676</v>
      </c>
      <c r="S135" s="44" t="s">
        <v>677</v>
      </c>
      <c r="T135" s="44" t="s">
        <v>18</v>
      </c>
      <c r="U135" s="44" t="s">
        <v>18</v>
      </c>
      <c r="V135" s="44"/>
      <c r="W135" s="44"/>
    </row>
    <row r="136" spans="2:23">
      <c r="B136" s="75" t="str">
        <f>IF(tbl_Instruement_List[[#This Row],[Tag_New]]="",tbl_Instruement_List[[#This Row],[Tag]],tbl_Instruement_List[[#This Row],[Tag_New]])</f>
        <v>SV-61303</v>
      </c>
      <c r="C136" s="75"/>
      <c r="D136" s="41" t="s">
        <v>374</v>
      </c>
      <c r="E136" s="41"/>
      <c r="F136" s="42" t="s">
        <v>78</v>
      </c>
      <c r="G136" s="41" t="s">
        <v>691</v>
      </c>
      <c r="H136" s="41" t="s">
        <v>674</v>
      </c>
      <c r="I136" s="41"/>
      <c r="J136" s="44">
        <v>1</v>
      </c>
      <c r="K136" s="47" t="s">
        <v>18</v>
      </c>
      <c r="L136" s="44" t="s">
        <v>18</v>
      </c>
      <c r="M136" s="44" t="s">
        <v>18</v>
      </c>
      <c r="N136" s="44" t="s">
        <v>18</v>
      </c>
      <c r="O136" s="44" t="s">
        <v>675</v>
      </c>
      <c r="P136" s="44" t="s">
        <v>475</v>
      </c>
      <c r="Q136" s="44" t="s">
        <v>569</v>
      </c>
      <c r="R136" s="44" t="s">
        <v>676</v>
      </c>
      <c r="S136" s="44" t="s">
        <v>677</v>
      </c>
      <c r="T136" s="44" t="s">
        <v>18</v>
      </c>
      <c r="U136" s="44" t="s">
        <v>18</v>
      </c>
      <c r="V136" s="44"/>
      <c r="W136" s="44"/>
    </row>
    <row r="137" spans="2:23">
      <c r="B137" s="75" t="str">
        <f>IF(tbl_Instruement_List[[#This Row],[Tag_New]]="",tbl_Instruement_List[[#This Row],[Tag]],tbl_Instruement_List[[#This Row],[Tag_New]])</f>
        <v>SV-61305</v>
      </c>
      <c r="C137" s="75"/>
      <c r="D137" s="41" t="s">
        <v>375</v>
      </c>
      <c r="E137" s="41"/>
      <c r="F137" s="42" t="s">
        <v>78</v>
      </c>
      <c r="G137" s="41" t="s">
        <v>692</v>
      </c>
      <c r="H137" s="41" t="s">
        <v>674</v>
      </c>
      <c r="I137" s="41"/>
      <c r="J137" s="44">
        <v>1</v>
      </c>
      <c r="K137" s="47" t="s">
        <v>18</v>
      </c>
      <c r="L137" s="44" t="s">
        <v>18</v>
      </c>
      <c r="M137" s="44" t="s">
        <v>18</v>
      </c>
      <c r="N137" s="44" t="s">
        <v>18</v>
      </c>
      <c r="O137" s="44" t="s">
        <v>675</v>
      </c>
      <c r="P137" s="44" t="s">
        <v>475</v>
      </c>
      <c r="Q137" s="44" t="s">
        <v>569</v>
      </c>
      <c r="R137" s="44" t="s">
        <v>676</v>
      </c>
      <c r="S137" s="44" t="s">
        <v>677</v>
      </c>
      <c r="T137" s="44" t="s">
        <v>18</v>
      </c>
      <c r="U137" s="44" t="s">
        <v>18</v>
      </c>
      <c r="V137" s="44"/>
      <c r="W137" s="44"/>
    </row>
    <row r="138" spans="2:23">
      <c r="B138" s="75" t="str">
        <f>IF(tbl_Instruement_List[[#This Row],[Tag_New]]="",tbl_Instruement_List[[#This Row],[Tag]],tbl_Instruement_List[[#This Row],[Tag_New]])</f>
        <v>SV-61308</v>
      </c>
      <c r="C138" s="75"/>
      <c r="D138" s="41" t="s">
        <v>693</v>
      </c>
      <c r="E138" s="41"/>
      <c r="F138" s="42" t="s">
        <v>67</v>
      </c>
      <c r="G138" s="41" t="s">
        <v>691</v>
      </c>
      <c r="H138" s="41" t="s">
        <v>674</v>
      </c>
      <c r="I138" s="41"/>
      <c r="J138" s="44">
        <v>1</v>
      </c>
      <c r="K138" s="47" t="s">
        <v>18</v>
      </c>
      <c r="L138" s="44" t="s">
        <v>18</v>
      </c>
      <c r="M138" s="44" t="s">
        <v>18</v>
      </c>
      <c r="N138" s="44" t="s">
        <v>18</v>
      </c>
      <c r="O138" s="44" t="s">
        <v>675</v>
      </c>
      <c r="P138" s="44" t="s">
        <v>475</v>
      </c>
      <c r="Q138" s="44" t="s">
        <v>569</v>
      </c>
      <c r="R138" s="44" t="s">
        <v>676</v>
      </c>
      <c r="S138" s="44" t="s">
        <v>677</v>
      </c>
      <c r="T138" s="44" t="s">
        <v>18</v>
      </c>
      <c r="U138" s="44" t="s">
        <v>18</v>
      </c>
      <c r="V138" s="44"/>
      <c r="W138" s="44"/>
    </row>
    <row r="139" spans="2:23">
      <c r="B139" s="75" t="str">
        <f>IF(tbl_Instruement_List[[#This Row],[Tag_New]]="",tbl_Instruement_List[[#This Row],[Tag]],tbl_Instruement_List[[#This Row],[Tag_New]])</f>
        <v>SV-61309</v>
      </c>
      <c r="C139" s="75"/>
      <c r="D139" s="41" t="s">
        <v>353</v>
      </c>
      <c r="E139" s="41"/>
      <c r="F139" s="42" t="s">
        <v>67</v>
      </c>
      <c r="G139" s="41" t="s">
        <v>692</v>
      </c>
      <c r="H139" s="41" t="s">
        <v>674</v>
      </c>
      <c r="I139" s="41"/>
      <c r="J139" s="44">
        <v>1</v>
      </c>
      <c r="K139" s="47" t="s">
        <v>18</v>
      </c>
      <c r="L139" s="44" t="s">
        <v>18</v>
      </c>
      <c r="M139" s="44" t="s">
        <v>18</v>
      </c>
      <c r="N139" s="44" t="s">
        <v>18</v>
      </c>
      <c r="O139" s="44" t="s">
        <v>675</v>
      </c>
      <c r="P139" s="44" t="s">
        <v>475</v>
      </c>
      <c r="Q139" s="44" t="s">
        <v>569</v>
      </c>
      <c r="R139" s="44" t="s">
        <v>676</v>
      </c>
      <c r="S139" s="44" t="s">
        <v>677</v>
      </c>
      <c r="T139" s="44" t="s">
        <v>18</v>
      </c>
      <c r="U139" s="44" t="s">
        <v>18</v>
      </c>
      <c r="V139" s="44"/>
      <c r="W139" s="44"/>
    </row>
    <row r="140" spans="2:23">
      <c r="B140" s="75" t="str">
        <f>IF(tbl_Instruement_List[[#This Row],[Tag_New]]="",tbl_Instruement_List[[#This Row],[Tag]],tbl_Instruement_List[[#This Row],[Tag_New]])</f>
        <v>SV-61310</v>
      </c>
      <c r="C140" s="75"/>
      <c r="D140" s="41" t="s">
        <v>694</v>
      </c>
      <c r="E140" s="41"/>
      <c r="F140" s="42" t="s">
        <v>70</v>
      </c>
      <c r="G140" s="41" t="s">
        <v>691</v>
      </c>
      <c r="H140" s="41" t="s">
        <v>674</v>
      </c>
      <c r="I140" s="41"/>
      <c r="J140" s="44">
        <v>1</v>
      </c>
      <c r="K140" s="47" t="s">
        <v>18</v>
      </c>
      <c r="L140" s="44" t="s">
        <v>18</v>
      </c>
      <c r="M140" s="44" t="s">
        <v>18</v>
      </c>
      <c r="N140" s="44" t="s">
        <v>18</v>
      </c>
      <c r="O140" s="44" t="s">
        <v>675</v>
      </c>
      <c r="P140" s="44" t="s">
        <v>475</v>
      </c>
      <c r="Q140" s="44" t="s">
        <v>569</v>
      </c>
      <c r="R140" s="44" t="s">
        <v>676</v>
      </c>
      <c r="S140" s="44" t="s">
        <v>677</v>
      </c>
      <c r="T140" s="44" t="s">
        <v>18</v>
      </c>
      <c r="U140" s="44" t="s">
        <v>18</v>
      </c>
      <c r="V140" s="44"/>
      <c r="W140" s="44"/>
    </row>
    <row r="141" spans="2:23">
      <c r="B141" s="75" t="str">
        <f>IF(tbl_Instruement_List[[#This Row],[Tag_New]]="",tbl_Instruement_List[[#This Row],[Tag]],tbl_Instruement_List[[#This Row],[Tag_New]])</f>
        <v>SV-61311</v>
      </c>
      <c r="C141" s="75"/>
      <c r="D141" s="41" t="s">
        <v>354</v>
      </c>
      <c r="E141" s="41"/>
      <c r="F141" s="42" t="s">
        <v>70</v>
      </c>
      <c r="G141" s="41" t="s">
        <v>692</v>
      </c>
      <c r="H141" s="41" t="s">
        <v>674</v>
      </c>
      <c r="I141" s="41"/>
      <c r="J141" s="44">
        <v>1</v>
      </c>
      <c r="K141" s="47" t="s">
        <v>18</v>
      </c>
      <c r="L141" s="44" t="s">
        <v>18</v>
      </c>
      <c r="M141" s="44" t="s">
        <v>18</v>
      </c>
      <c r="N141" s="44" t="s">
        <v>18</v>
      </c>
      <c r="O141" s="44" t="s">
        <v>675</v>
      </c>
      <c r="P141" s="44" t="s">
        <v>475</v>
      </c>
      <c r="Q141" s="44" t="s">
        <v>569</v>
      </c>
      <c r="R141" s="44" t="s">
        <v>676</v>
      </c>
      <c r="S141" s="44" t="s">
        <v>677</v>
      </c>
      <c r="T141" s="44" t="s">
        <v>18</v>
      </c>
      <c r="U141" s="44" t="s">
        <v>18</v>
      </c>
      <c r="V141" s="44"/>
      <c r="W141" s="44"/>
    </row>
    <row r="142" spans="2:23">
      <c r="B142" s="75" t="str">
        <f>IF(tbl_Instruement_List[[#This Row],[Tag_New]]="",tbl_Instruement_List[[#This Row],[Tag]],tbl_Instruement_List[[#This Row],[Tag_New]])</f>
        <v>TSH-60230</v>
      </c>
      <c r="C142" s="75"/>
      <c r="D142" s="41" t="s">
        <v>235</v>
      </c>
      <c r="E142" s="41"/>
      <c r="F142" s="42" t="s">
        <v>518</v>
      </c>
      <c r="G142" s="41" t="s">
        <v>695</v>
      </c>
      <c r="H142" s="41" t="s">
        <v>696</v>
      </c>
      <c r="I142" s="41"/>
      <c r="J142" s="59"/>
      <c r="K142" s="57">
        <v>1</v>
      </c>
      <c r="L142" s="42"/>
      <c r="M142" s="42"/>
      <c r="N142" s="44" t="s">
        <v>18</v>
      </c>
      <c r="O142" s="44" t="s">
        <v>502</v>
      </c>
      <c r="P142" s="44" t="s">
        <v>697</v>
      </c>
      <c r="Q142" s="44" t="s">
        <v>698</v>
      </c>
      <c r="R142" s="60">
        <v>140</v>
      </c>
      <c r="S142" s="44" t="s">
        <v>582</v>
      </c>
      <c r="T142" s="44" t="s">
        <v>564</v>
      </c>
      <c r="U142" s="44" t="s">
        <v>18</v>
      </c>
      <c r="V142" s="44"/>
      <c r="W142" s="44"/>
    </row>
    <row r="143" spans="2:23">
      <c r="B143" s="75" t="str">
        <f>IF(tbl_Instruement_List[[#This Row],[Tag_New]]="",tbl_Instruement_List[[#This Row],[Tag]],tbl_Instruement_List[[#This Row],[Tag_New]])</f>
        <v>TSH-60240</v>
      </c>
      <c r="C143" s="75"/>
      <c r="D143" s="41" t="s">
        <v>236</v>
      </c>
      <c r="E143" s="41"/>
      <c r="F143" s="42" t="s">
        <v>472</v>
      </c>
      <c r="G143" s="41" t="s">
        <v>699</v>
      </c>
      <c r="H143" s="41" t="s">
        <v>696</v>
      </c>
      <c r="I143" s="41"/>
      <c r="J143" s="59"/>
      <c r="K143" s="57">
        <v>1</v>
      </c>
      <c r="L143" s="42"/>
      <c r="M143" s="42"/>
      <c r="N143" s="44" t="s">
        <v>18</v>
      </c>
      <c r="O143" s="44" t="s">
        <v>502</v>
      </c>
      <c r="P143" s="44" t="s">
        <v>697</v>
      </c>
      <c r="Q143" s="44" t="s">
        <v>698</v>
      </c>
      <c r="R143" s="60">
        <v>140</v>
      </c>
      <c r="S143" s="44" t="s">
        <v>582</v>
      </c>
      <c r="T143" s="44" t="s">
        <v>564</v>
      </c>
      <c r="U143" s="44" t="s">
        <v>18</v>
      </c>
      <c r="V143" s="44"/>
      <c r="W143" s="44"/>
    </row>
    <row r="144" spans="2:23">
      <c r="B144" s="75" t="str">
        <f>IF(tbl_Instruement_List[[#This Row],[Tag_New]]="",tbl_Instruement_List[[#This Row],[Tag]],tbl_Instruement_List[[#This Row],[Tag_New]])</f>
        <v>TT-40221</v>
      </c>
      <c r="C144" s="75"/>
      <c r="D144" s="41"/>
      <c r="E144" s="41" t="s">
        <v>178</v>
      </c>
      <c r="F144" s="42" t="s">
        <v>172</v>
      </c>
      <c r="G144" s="41" t="s">
        <v>169</v>
      </c>
      <c r="H144" s="41" t="s">
        <v>700</v>
      </c>
      <c r="I144" s="41"/>
      <c r="J144" s="44" t="s">
        <v>18</v>
      </c>
      <c r="K144" s="44" t="s">
        <v>18</v>
      </c>
      <c r="L144" s="42" t="s">
        <v>18</v>
      </c>
      <c r="M144" s="42">
        <v>1</v>
      </c>
      <c r="N144" s="44" t="s">
        <v>18</v>
      </c>
      <c r="O144" s="44" t="s">
        <v>474</v>
      </c>
      <c r="P144" s="44" t="s">
        <v>475</v>
      </c>
      <c r="Q144" s="44" t="s">
        <v>701</v>
      </c>
      <c r="R144" s="60" t="s">
        <v>702</v>
      </c>
      <c r="S144" s="46" t="s">
        <v>485</v>
      </c>
      <c r="T144" s="44" t="s">
        <v>18</v>
      </c>
      <c r="U144" s="44" t="s">
        <v>18</v>
      </c>
      <c r="V144" s="44"/>
      <c r="W144" s="44"/>
    </row>
    <row r="145" spans="2:23">
      <c r="B145" s="75" t="str">
        <f>IF(tbl_Instruement_List[[#This Row],[Tag_New]]="",tbl_Instruement_List[[#This Row],[Tag]],tbl_Instruement_List[[#This Row],[Tag_New]])</f>
        <v>TT-40222</v>
      </c>
      <c r="C145" s="75"/>
      <c r="D145" s="41"/>
      <c r="E145" s="41" t="s">
        <v>179</v>
      </c>
      <c r="F145" s="42" t="s">
        <v>172</v>
      </c>
      <c r="G145" s="41" t="s">
        <v>169</v>
      </c>
      <c r="H145" s="41" t="s">
        <v>700</v>
      </c>
      <c r="I145" s="41"/>
      <c r="J145" s="44" t="s">
        <v>18</v>
      </c>
      <c r="K145" s="44" t="s">
        <v>18</v>
      </c>
      <c r="L145" s="42" t="s">
        <v>18</v>
      </c>
      <c r="M145" s="42">
        <v>1</v>
      </c>
      <c r="N145" s="44" t="s">
        <v>18</v>
      </c>
      <c r="O145" s="44" t="s">
        <v>474</v>
      </c>
      <c r="P145" s="44" t="s">
        <v>475</v>
      </c>
      <c r="Q145" s="44" t="s">
        <v>703</v>
      </c>
      <c r="R145" s="60" t="s">
        <v>702</v>
      </c>
      <c r="S145" s="46" t="s">
        <v>485</v>
      </c>
      <c r="T145" s="44" t="s">
        <v>18</v>
      </c>
      <c r="U145" s="44" t="s">
        <v>18</v>
      </c>
      <c r="V145" s="44"/>
      <c r="W145" s="44"/>
    </row>
    <row r="146" spans="2:23">
      <c r="B146" s="75" t="str">
        <f>IF(tbl_Instruement_List[[#This Row],[Tag_New]]="",tbl_Instruement_List[[#This Row],[Tag]],tbl_Instruement_List[[#This Row],[Tag_New]])</f>
        <v>TT-60201</v>
      </c>
      <c r="C146" s="75"/>
      <c r="D146" s="41" t="s">
        <v>292</v>
      </c>
      <c r="E146" s="41"/>
      <c r="F146" s="42" t="s">
        <v>528</v>
      </c>
      <c r="G146" s="41" t="s">
        <v>554</v>
      </c>
      <c r="H146" s="41" t="s">
        <v>700</v>
      </c>
      <c r="I146" s="41"/>
      <c r="J146" s="44" t="s">
        <v>18</v>
      </c>
      <c r="K146" s="44" t="s">
        <v>18</v>
      </c>
      <c r="L146" s="42" t="s">
        <v>18</v>
      </c>
      <c r="M146" s="42">
        <v>1</v>
      </c>
      <c r="N146" s="44" t="s">
        <v>18</v>
      </c>
      <c r="O146" s="44" t="s">
        <v>474</v>
      </c>
      <c r="P146" s="44" t="s">
        <v>475</v>
      </c>
      <c r="Q146" s="44" t="s">
        <v>702</v>
      </c>
      <c r="R146" s="60" t="s">
        <v>702</v>
      </c>
      <c r="S146" s="46" t="s">
        <v>485</v>
      </c>
      <c r="T146" s="44" t="s">
        <v>18</v>
      </c>
      <c r="U146" s="44" t="s">
        <v>18</v>
      </c>
      <c r="V146" s="44"/>
      <c r="W146" s="44"/>
    </row>
    <row r="147" spans="2:23">
      <c r="B147" s="75" t="str">
        <f>IF(tbl_Instruement_List[[#This Row],[Tag_New]]="",tbl_Instruement_List[[#This Row],[Tag]],tbl_Instruement_List[[#This Row],[Tag_New]])</f>
        <v>TT-60210</v>
      </c>
      <c r="C147" s="75"/>
      <c r="D147" s="41" t="s">
        <v>237</v>
      </c>
      <c r="E147" s="41"/>
      <c r="F147" s="42" t="s">
        <v>495</v>
      </c>
      <c r="G147" s="41" t="s">
        <v>704</v>
      </c>
      <c r="H147" s="41" t="s">
        <v>700</v>
      </c>
      <c r="I147" s="41"/>
      <c r="J147" s="57"/>
      <c r="K147" s="57"/>
      <c r="L147" s="42"/>
      <c r="M147" s="42">
        <v>1</v>
      </c>
      <c r="N147" s="44" t="s">
        <v>18</v>
      </c>
      <c r="O147" s="44" t="s">
        <v>474</v>
      </c>
      <c r="P147" s="44" t="s">
        <v>475</v>
      </c>
      <c r="Q147" s="44" t="s">
        <v>705</v>
      </c>
      <c r="R147" s="60" t="s">
        <v>706</v>
      </c>
      <c r="S147" s="46" t="s">
        <v>485</v>
      </c>
      <c r="T147" s="44" t="s">
        <v>18</v>
      </c>
      <c r="U147" s="44" t="s">
        <v>18</v>
      </c>
      <c r="V147" s="44"/>
      <c r="W147" s="44"/>
    </row>
    <row r="148" spans="2:23" s="61" customFormat="1" ht="14" customHeight="1">
      <c r="B148" s="75" t="str">
        <f>IF(tbl_Instruement_List[[#This Row],[Tag_New]]="",tbl_Instruement_List[[#This Row],[Tag]],tbl_Instruement_List[[#This Row],[Tag_New]])</f>
        <v>TT-60212A</v>
      </c>
      <c r="C148" s="75"/>
      <c r="D148" s="41" t="s">
        <v>250</v>
      </c>
      <c r="E148" s="41"/>
      <c r="F148" s="42" t="s">
        <v>495</v>
      </c>
      <c r="G148" s="41" t="s">
        <v>707</v>
      </c>
      <c r="H148" s="41" t="s">
        <v>700</v>
      </c>
      <c r="I148" s="41"/>
      <c r="J148" s="49"/>
      <c r="K148" s="49"/>
      <c r="L148" s="42"/>
      <c r="M148" s="42">
        <v>1</v>
      </c>
      <c r="N148" s="44" t="s">
        <v>18</v>
      </c>
      <c r="O148" s="44" t="s">
        <v>474</v>
      </c>
      <c r="P148" s="44" t="s">
        <v>475</v>
      </c>
      <c r="Q148" s="44" t="s">
        <v>708</v>
      </c>
      <c r="R148" s="60" t="s">
        <v>709</v>
      </c>
      <c r="S148" s="46" t="s">
        <v>485</v>
      </c>
      <c r="T148" s="44" t="s">
        <v>18</v>
      </c>
      <c r="U148" s="44" t="s">
        <v>18</v>
      </c>
      <c r="V148" s="44"/>
      <c r="W148" s="44"/>
    </row>
    <row r="149" spans="2:23">
      <c r="B149" s="75" t="str">
        <f>IF(tbl_Instruement_List[[#This Row],[Tag_New]]="",tbl_Instruement_List[[#This Row],[Tag]],tbl_Instruement_List[[#This Row],[Tag_New]])</f>
        <v>TT-60212B</v>
      </c>
      <c r="C149" s="75"/>
      <c r="D149" s="41" t="s">
        <v>251</v>
      </c>
      <c r="E149" s="41"/>
      <c r="F149" s="42" t="s">
        <v>495</v>
      </c>
      <c r="G149" s="41" t="s">
        <v>707</v>
      </c>
      <c r="H149" s="41" t="s">
        <v>700</v>
      </c>
      <c r="I149" s="41"/>
      <c r="J149" s="49"/>
      <c r="K149" s="49"/>
      <c r="L149" s="42"/>
      <c r="M149" s="42">
        <v>1</v>
      </c>
      <c r="N149" s="44" t="s">
        <v>18</v>
      </c>
      <c r="O149" s="44" t="s">
        <v>474</v>
      </c>
      <c r="P149" s="44" t="s">
        <v>475</v>
      </c>
      <c r="Q149" s="44" t="s">
        <v>708</v>
      </c>
      <c r="R149" s="60" t="s">
        <v>709</v>
      </c>
      <c r="S149" s="46" t="s">
        <v>485</v>
      </c>
      <c r="T149" s="44" t="s">
        <v>18</v>
      </c>
      <c r="U149" s="44" t="s">
        <v>18</v>
      </c>
      <c r="V149" s="44"/>
      <c r="W149" s="44"/>
    </row>
    <row r="150" spans="2:23">
      <c r="B150" s="75" t="str">
        <f>IF(tbl_Instruement_List[[#This Row],[Tag_New]]="",tbl_Instruement_List[[#This Row],[Tag]],tbl_Instruement_List[[#This Row],[Tag_New]])</f>
        <v>TT-60211</v>
      </c>
      <c r="C150" s="75"/>
      <c r="D150" s="41" t="s">
        <v>238</v>
      </c>
      <c r="E150" s="41"/>
      <c r="F150" s="42" t="s">
        <v>495</v>
      </c>
      <c r="G150" s="41" t="s">
        <v>704</v>
      </c>
      <c r="H150" s="41" t="s">
        <v>700</v>
      </c>
      <c r="I150" s="41"/>
      <c r="J150" s="57"/>
      <c r="K150" s="57"/>
      <c r="L150" s="42"/>
      <c r="M150" s="42">
        <v>1</v>
      </c>
      <c r="N150" s="44" t="s">
        <v>18</v>
      </c>
      <c r="O150" s="44" t="s">
        <v>474</v>
      </c>
      <c r="P150" s="44" t="s">
        <v>475</v>
      </c>
      <c r="Q150" s="44" t="s">
        <v>705</v>
      </c>
      <c r="R150" s="60" t="s">
        <v>706</v>
      </c>
      <c r="S150" s="46" t="s">
        <v>485</v>
      </c>
      <c r="T150" s="44" t="s">
        <v>18</v>
      </c>
      <c r="U150" s="44" t="s">
        <v>18</v>
      </c>
      <c r="V150" s="44"/>
      <c r="W150" s="44"/>
    </row>
    <row r="151" spans="2:23">
      <c r="B151" s="75" t="str">
        <f>IF(tbl_Instruement_List[[#This Row],[Tag_New]]="",tbl_Instruement_List[[#This Row],[Tag]],tbl_Instruement_List[[#This Row],[Tag_New]])</f>
        <v>TT-60214</v>
      </c>
      <c r="C151" s="75"/>
      <c r="D151" s="41" t="s">
        <v>239</v>
      </c>
      <c r="E151" s="41"/>
      <c r="F151" s="42" t="s">
        <v>495</v>
      </c>
      <c r="G151" s="41" t="s">
        <v>710</v>
      </c>
      <c r="H151" s="41" t="s">
        <v>700</v>
      </c>
      <c r="I151" s="41"/>
      <c r="J151" s="49"/>
      <c r="K151" s="49"/>
      <c r="L151" s="42"/>
      <c r="M151" s="42">
        <v>1</v>
      </c>
      <c r="N151" s="44" t="s">
        <v>18</v>
      </c>
      <c r="O151" s="44" t="s">
        <v>474</v>
      </c>
      <c r="P151" s="44" t="s">
        <v>475</v>
      </c>
      <c r="Q151" s="44" t="s">
        <v>711</v>
      </c>
      <c r="R151" s="60" t="s">
        <v>712</v>
      </c>
      <c r="S151" s="46" t="s">
        <v>485</v>
      </c>
      <c r="T151" s="44" t="s">
        <v>18</v>
      </c>
      <c r="U151" s="44" t="s">
        <v>18</v>
      </c>
      <c r="V151" s="44"/>
      <c r="W151" s="44"/>
    </row>
    <row r="152" spans="2:23">
      <c r="B152" s="75" t="str">
        <f>IF(tbl_Instruement_List[[#This Row],[Tag_New]]="",tbl_Instruement_List[[#This Row],[Tag]],tbl_Instruement_List[[#This Row],[Tag_New]])</f>
        <v>TT-60215A</v>
      </c>
      <c r="C152" s="75"/>
      <c r="D152" s="41" t="s">
        <v>240</v>
      </c>
      <c r="E152" s="41"/>
      <c r="F152" s="42" t="s">
        <v>495</v>
      </c>
      <c r="G152" s="41" t="s">
        <v>713</v>
      </c>
      <c r="H152" s="41" t="s">
        <v>700</v>
      </c>
      <c r="I152" s="41"/>
      <c r="J152" s="49"/>
      <c r="K152" s="49"/>
      <c r="L152" s="42"/>
      <c r="M152" s="42">
        <v>1</v>
      </c>
      <c r="N152" s="44" t="s">
        <v>18</v>
      </c>
      <c r="O152" s="44" t="s">
        <v>474</v>
      </c>
      <c r="P152" s="44" t="s">
        <v>475</v>
      </c>
      <c r="Q152" s="44" t="s">
        <v>714</v>
      </c>
      <c r="R152" s="60" t="s">
        <v>715</v>
      </c>
      <c r="S152" s="46" t="s">
        <v>485</v>
      </c>
      <c r="T152" s="44" t="s">
        <v>18</v>
      </c>
      <c r="U152" s="44" t="s">
        <v>18</v>
      </c>
      <c r="V152" s="44"/>
      <c r="W152" s="44"/>
    </row>
    <row r="153" spans="2:23">
      <c r="B153" s="75" t="str">
        <f>IF(tbl_Instruement_List[[#This Row],[Tag_New]]="",tbl_Instruement_List[[#This Row],[Tag]],tbl_Instruement_List[[#This Row],[Tag_New]])</f>
        <v>TT-60215B</v>
      </c>
      <c r="C153" s="75"/>
      <c r="D153" s="41" t="s">
        <v>241</v>
      </c>
      <c r="E153" s="41"/>
      <c r="F153" s="42" t="s">
        <v>495</v>
      </c>
      <c r="G153" s="41" t="s">
        <v>713</v>
      </c>
      <c r="H153" s="41" t="s">
        <v>700</v>
      </c>
      <c r="I153" s="41"/>
      <c r="J153" s="49"/>
      <c r="K153" s="49"/>
      <c r="L153" s="42"/>
      <c r="M153" s="42">
        <v>1</v>
      </c>
      <c r="N153" s="44" t="s">
        <v>18</v>
      </c>
      <c r="O153" s="44" t="s">
        <v>474</v>
      </c>
      <c r="P153" s="44" t="s">
        <v>475</v>
      </c>
      <c r="Q153" s="44" t="s">
        <v>714</v>
      </c>
      <c r="R153" s="60" t="s">
        <v>715</v>
      </c>
      <c r="S153" s="46" t="s">
        <v>485</v>
      </c>
      <c r="T153" s="44" t="s">
        <v>18</v>
      </c>
      <c r="U153" s="44" t="s">
        <v>18</v>
      </c>
      <c r="V153" s="44"/>
      <c r="W153" s="44"/>
    </row>
    <row r="154" spans="2:23">
      <c r="B154" s="75" t="str">
        <f>IF(tbl_Instruement_List[[#This Row],[Tag_New]]="",tbl_Instruement_List[[#This Row],[Tag]],tbl_Instruement_List[[#This Row],[Tag_New]])</f>
        <v>TT-60216</v>
      </c>
      <c r="C154" s="75"/>
      <c r="D154" s="41" t="s">
        <v>242</v>
      </c>
      <c r="E154" s="41"/>
      <c r="F154" s="42" t="s">
        <v>495</v>
      </c>
      <c r="G154" s="41" t="s">
        <v>716</v>
      </c>
      <c r="H154" s="41" t="s">
        <v>700</v>
      </c>
      <c r="I154" s="41"/>
      <c r="J154" s="57"/>
      <c r="K154" s="57"/>
      <c r="L154" s="42"/>
      <c r="M154" s="42">
        <v>1</v>
      </c>
      <c r="N154" s="44" t="s">
        <v>18</v>
      </c>
      <c r="O154" s="44" t="s">
        <v>474</v>
      </c>
      <c r="P154" s="44" t="s">
        <v>475</v>
      </c>
      <c r="Q154" s="44" t="s">
        <v>717</v>
      </c>
      <c r="R154" s="60" t="s">
        <v>718</v>
      </c>
      <c r="S154" s="46" t="s">
        <v>485</v>
      </c>
      <c r="T154" s="44" t="s">
        <v>18</v>
      </c>
      <c r="U154" s="44" t="s">
        <v>18</v>
      </c>
      <c r="V154" s="44"/>
      <c r="W154" s="44"/>
    </row>
    <row r="155" spans="2:23">
      <c r="B155" s="75" t="str">
        <f>IF(tbl_Instruement_List[[#This Row],[Tag_New]]="",tbl_Instruement_List[[#This Row],[Tag]],tbl_Instruement_List[[#This Row],[Tag_New]])</f>
        <v>TT-60220</v>
      </c>
      <c r="C155" s="75"/>
      <c r="D155" s="41" t="s">
        <v>59</v>
      </c>
      <c r="E155" s="41"/>
      <c r="F155" s="42" t="s">
        <v>518</v>
      </c>
      <c r="G155" s="41" t="s">
        <v>719</v>
      </c>
      <c r="H155" s="41" t="s">
        <v>700</v>
      </c>
      <c r="I155" s="41"/>
      <c r="J155" s="49"/>
      <c r="K155" s="49"/>
      <c r="L155" s="42"/>
      <c r="M155" s="42">
        <v>1</v>
      </c>
      <c r="N155" s="44" t="s">
        <v>18</v>
      </c>
      <c r="O155" s="44" t="s">
        <v>474</v>
      </c>
      <c r="P155" s="44" t="s">
        <v>475</v>
      </c>
      <c r="Q155" s="44" t="s">
        <v>705</v>
      </c>
      <c r="R155" s="60" t="s">
        <v>706</v>
      </c>
      <c r="S155" s="46" t="s">
        <v>485</v>
      </c>
      <c r="T155" s="44" t="s">
        <v>651</v>
      </c>
      <c r="U155" s="44" t="s">
        <v>489</v>
      </c>
      <c r="V155" s="44"/>
      <c r="W155" s="44"/>
    </row>
    <row r="156" spans="2:23">
      <c r="B156" s="75" t="str">
        <f>IF(tbl_Instruement_List[[#This Row],[Tag_New]]="",tbl_Instruement_List[[#This Row],[Tag]],tbl_Instruement_List[[#This Row],[Tag_New]])</f>
        <v>TT-60221</v>
      </c>
      <c r="C156" s="75"/>
      <c r="D156" s="41" t="s">
        <v>60</v>
      </c>
      <c r="E156" s="41"/>
      <c r="F156" s="42" t="s">
        <v>518</v>
      </c>
      <c r="G156" s="41" t="s">
        <v>719</v>
      </c>
      <c r="H156" s="41" t="s">
        <v>700</v>
      </c>
      <c r="I156" s="41"/>
      <c r="J156" s="49"/>
      <c r="K156" s="49"/>
      <c r="L156" s="42"/>
      <c r="M156" s="42">
        <v>1</v>
      </c>
      <c r="N156" s="44" t="s">
        <v>18</v>
      </c>
      <c r="O156" s="44" t="s">
        <v>474</v>
      </c>
      <c r="P156" s="44" t="s">
        <v>475</v>
      </c>
      <c r="Q156" s="44" t="s">
        <v>705</v>
      </c>
      <c r="R156" s="60" t="s">
        <v>706</v>
      </c>
      <c r="S156" s="46" t="s">
        <v>485</v>
      </c>
      <c r="T156" s="44" t="s">
        <v>651</v>
      </c>
      <c r="U156" s="44" t="s">
        <v>489</v>
      </c>
      <c r="V156" s="44"/>
      <c r="W156" s="44"/>
    </row>
    <row r="157" spans="2:23">
      <c r="B157" s="75" t="str">
        <f>IF(tbl_Instruement_List[[#This Row],[Tag_New]]="",tbl_Instruement_List[[#This Row],[Tag]],tbl_Instruement_List[[#This Row],[Tag_New]])</f>
        <v>TT-60222</v>
      </c>
      <c r="C157" s="75"/>
      <c r="D157" s="41" t="s">
        <v>45</v>
      </c>
      <c r="E157" s="41"/>
      <c r="F157" s="42" t="s">
        <v>518</v>
      </c>
      <c r="G157" s="41" t="s">
        <v>719</v>
      </c>
      <c r="H157" s="41" t="s">
        <v>700</v>
      </c>
      <c r="I157" s="41"/>
      <c r="J157" s="49"/>
      <c r="K157" s="49"/>
      <c r="L157" s="42"/>
      <c r="M157" s="42">
        <v>1</v>
      </c>
      <c r="N157" s="44" t="s">
        <v>18</v>
      </c>
      <c r="O157" s="44" t="s">
        <v>474</v>
      </c>
      <c r="P157" s="44" t="s">
        <v>475</v>
      </c>
      <c r="Q157" s="44" t="s">
        <v>705</v>
      </c>
      <c r="R157" s="60" t="s">
        <v>706</v>
      </c>
      <c r="S157" s="46" t="s">
        <v>485</v>
      </c>
      <c r="T157" s="44" t="s">
        <v>651</v>
      </c>
      <c r="U157" s="44" t="s">
        <v>489</v>
      </c>
      <c r="V157" s="44"/>
      <c r="W157" s="44"/>
    </row>
    <row r="158" spans="2:23">
      <c r="B158" s="75" t="str">
        <f>IF(tbl_Instruement_List[[#This Row],[Tag_New]]="",tbl_Instruement_List[[#This Row],[Tag]],tbl_Instruement_List[[#This Row],[Tag_New]])</f>
        <v>TT-60223</v>
      </c>
      <c r="C158" s="75"/>
      <c r="D158" s="41" t="s">
        <v>48</v>
      </c>
      <c r="E158" s="41"/>
      <c r="F158" s="42" t="s">
        <v>518</v>
      </c>
      <c r="G158" s="41" t="s">
        <v>719</v>
      </c>
      <c r="H158" s="41" t="s">
        <v>700</v>
      </c>
      <c r="I158" s="41"/>
      <c r="J158" s="49"/>
      <c r="K158" s="49"/>
      <c r="L158" s="42"/>
      <c r="M158" s="42">
        <v>1</v>
      </c>
      <c r="N158" s="44" t="s">
        <v>18</v>
      </c>
      <c r="O158" s="44" t="s">
        <v>474</v>
      </c>
      <c r="P158" s="44" t="s">
        <v>475</v>
      </c>
      <c r="Q158" s="44" t="s">
        <v>705</v>
      </c>
      <c r="R158" s="60" t="s">
        <v>706</v>
      </c>
      <c r="S158" s="46" t="s">
        <v>485</v>
      </c>
      <c r="T158" s="44" t="s">
        <v>651</v>
      </c>
      <c r="U158" s="44" t="s">
        <v>489</v>
      </c>
      <c r="V158" s="44"/>
      <c r="W158" s="44"/>
    </row>
    <row r="159" spans="2:23">
      <c r="B159" s="75" t="str">
        <f>IF(tbl_Instruement_List[[#This Row],[Tag_New]]="",tbl_Instruement_List[[#This Row],[Tag]],tbl_Instruement_List[[#This Row],[Tag_New]])</f>
        <v>TT-60224</v>
      </c>
      <c r="C159" s="75"/>
      <c r="D159" s="41" t="s">
        <v>33</v>
      </c>
      <c r="E159" s="41"/>
      <c r="F159" s="42" t="s">
        <v>518</v>
      </c>
      <c r="G159" s="41" t="s">
        <v>719</v>
      </c>
      <c r="H159" s="41" t="s">
        <v>700</v>
      </c>
      <c r="I159" s="41"/>
      <c r="J159" s="49"/>
      <c r="K159" s="49"/>
      <c r="L159" s="42"/>
      <c r="M159" s="42">
        <v>1</v>
      </c>
      <c r="N159" s="44" t="s">
        <v>18</v>
      </c>
      <c r="O159" s="44" t="s">
        <v>474</v>
      </c>
      <c r="P159" s="44" t="s">
        <v>475</v>
      </c>
      <c r="Q159" s="44" t="s">
        <v>705</v>
      </c>
      <c r="R159" s="60" t="s">
        <v>706</v>
      </c>
      <c r="S159" s="46" t="s">
        <v>485</v>
      </c>
      <c r="T159" s="44" t="s">
        <v>651</v>
      </c>
      <c r="U159" s="44" t="s">
        <v>489</v>
      </c>
      <c r="V159" s="44"/>
      <c r="W159" s="44"/>
    </row>
    <row r="160" spans="2:23">
      <c r="B160" s="75" t="str">
        <f>IF(tbl_Instruement_List[[#This Row],[Tag_New]]="",tbl_Instruement_List[[#This Row],[Tag]],tbl_Instruement_List[[#This Row],[Tag_New]])</f>
        <v>TT-60225</v>
      </c>
      <c r="C160" s="75"/>
      <c r="D160" s="41" t="s">
        <v>27</v>
      </c>
      <c r="E160" s="41"/>
      <c r="F160" s="42" t="s">
        <v>518</v>
      </c>
      <c r="G160" s="41" t="s">
        <v>719</v>
      </c>
      <c r="H160" s="41" t="s">
        <v>700</v>
      </c>
      <c r="I160" s="41"/>
      <c r="J160" s="49"/>
      <c r="K160" s="49"/>
      <c r="L160" s="42"/>
      <c r="M160" s="42">
        <v>1</v>
      </c>
      <c r="N160" s="44" t="s">
        <v>18</v>
      </c>
      <c r="O160" s="44" t="s">
        <v>474</v>
      </c>
      <c r="P160" s="44" t="s">
        <v>475</v>
      </c>
      <c r="Q160" s="44" t="s">
        <v>705</v>
      </c>
      <c r="R160" s="60" t="s">
        <v>706</v>
      </c>
      <c r="S160" s="46" t="s">
        <v>485</v>
      </c>
      <c r="T160" s="44" t="s">
        <v>651</v>
      </c>
      <c r="U160" s="44" t="s">
        <v>489</v>
      </c>
      <c r="V160" s="44"/>
      <c r="W160" s="44"/>
    </row>
    <row r="161" spans="2:23">
      <c r="B161" s="75" t="str">
        <f>IF(tbl_Instruement_List[[#This Row],[Tag_New]]="",tbl_Instruement_List[[#This Row],[Tag]],tbl_Instruement_List[[#This Row],[Tag_New]])</f>
        <v>TT-60226</v>
      </c>
      <c r="C161" s="75"/>
      <c r="D161" s="41" t="s">
        <v>23</v>
      </c>
      <c r="E161" s="41"/>
      <c r="F161" s="42" t="s">
        <v>518</v>
      </c>
      <c r="G161" s="41" t="s">
        <v>719</v>
      </c>
      <c r="H161" s="41" t="s">
        <v>700</v>
      </c>
      <c r="I161" s="41"/>
      <c r="J161" s="49"/>
      <c r="K161" s="49"/>
      <c r="L161" s="42"/>
      <c r="M161" s="42">
        <v>1</v>
      </c>
      <c r="N161" s="44" t="s">
        <v>18</v>
      </c>
      <c r="O161" s="44" t="s">
        <v>474</v>
      </c>
      <c r="P161" s="44" t="s">
        <v>475</v>
      </c>
      <c r="Q161" s="44" t="s">
        <v>705</v>
      </c>
      <c r="R161" s="60" t="s">
        <v>706</v>
      </c>
      <c r="S161" s="46" t="s">
        <v>485</v>
      </c>
      <c r="T161" s="44" t="s">
        <v>651</v>
      </c>
      <c r="U161" s="44" t="s">
        <v>489</v>
      </c>
      <c r="V161" s="44"/>
      <c r="W161" s="44"/>
    </row>
    <row r="162" spans="2:23">
      <c r="B162" s="75" t="str">
        <f>IF(tbl_Instruement_List[[#This Row],[Tag_New]]="",tbl_Instruement_List[[#This Row],[Tag]],tbl_Instruement_List[[#This Row],[Tag_New]])</f>
        <v>TT-60227</v>
      </c>
      <c r="C162" s="75"/>
      <c r="D162" s="41" t="s">
        <v>25</v>
      </c>
      <c r="E162" s="41"/>
      <c r="F162" s="42" t="s">
        <v>518</v>
      </c>
      <c r="G162" s="41" t="s">
        <v>719</v>
      </c>
      <c r="H162" s="41" t="s">
        <v>700</v>
      </c>
      <c r="I162" s="41"/>
      <c r="J162" s="49"/>
      <c r="K162" s="49"/>
      <c r="L162" s="42"/>
      <c r="M162" s="42">
        <v>1</v>
      </c>
      <c r="N162" s="44" t="s">
        <v>18</v>
      </c>
      <c r="O162" s="44" t="s">
        <v>474</v>
      </c>
      <c r="P162" s="44" t="s">
        <v>475</v>
      </c>
      <c r="Q162" s="44" t="s">
        <v>705</v>
      </c>
      <c r="R162" s="60" t="s">
        <v>706</v>
      </c>
      <c r="S162" s="46" t="s">
        <v>485</v>
      </c>
      <c r="T162" s="44" t="s">
        <v>651</v>
      </c>
      <c r="U162" s="44" t="s">
        <v>489</v>
      </c>
      <c r="V162" s="44"/>
      <c r="W162" s="44"/>
    </row>
    <row r="163" spans="2:23">
      <c r="B163" s="75" t="str">
        <f>IF(tbl_Instruement_List[[#This Row],[Tag_New]]="",tbl_Instruement_List[[#This Row],[Tag]],tbl_Instruement_List[[#This Row],[Tag_New]])</f>
        <v>TT-60230</v>
      </c>
      <c r="C163" s="75"/>
      <c r="D163" s="41" t="s">
        <v>29</v>
      </c>
      <c r="E163" s="41"/>
      <c r="F163" s="42" t="s">
        <v>518</v>
      </c>
      <c r="G163" s="41" t="s">
        <v>720</v>
      </c>
      <c r="H163" s="41" t="s">
        <v>700</v>
      </c>
      <c r="I163" s="41"/>
      <c r="J163" s="43"/>
      <c r="K163" s="43"/>
      <c r="L163" s="42"/>
      <c r="M163" s="42">
        <v>1</v>
      </c>
      <c r="N163" s="44" t="s">
        <v>18</v>
      </c>
      <c r="O163" s="44" t="s">
        <v>474</v>
      </c>
      <c r="P163" s="44" t="s">
        <v>475</v>
      </c>
      <c r="Q163" s="44" t="s">
        <v>705</v>
      </c>
      <c r="R163" s="60" t="s">
        <v>706</v>
      </c>
      <c r="S163" s="46" t="s">
        <v>485</v>
      </c>
      <c r="T163" s="44" t="s">
        <v>651</v>
      </c>
      <c r="U163" s="44" t="s">
        <v>489</v>
      </c>
      <c r="V163" s="44"/>
      <c r="W163" s="44"/>
    </row>
    <row r="164" spans="2:23">
      <c r="B164" s="75" t="str">
        <f>IF(tbl_Instruement_List[[#This Row],[Tag_New]]="",tbl_Instruement_List[[#This Row],[Tag]],tbl_Instruement_List[[#This Row],[Tag_New]])</f>
        <v>TT-60240</v>
      </c>
      <c r="C164" s="75"/>
      <c r="D164" s="41" t="s">
        <v>243</v>
      </c>
      <c r="E164" s="41"/>
      <c r="F164" s="42" t="s">
        <v>472</v>
      </c>
      <c r="G164" s="41" t="s">
        <v>721</v>
      </c>
      <c r="H164" s="41" t="s">
        <v>700</v>
      </c>
      <c r="I164" s="41"/>
      <c r="J164" s="49"/>
      <c r="K164" s="49"/>
      <c r="L164" s="42"/>
      <c r="M164" s="42">
        <v>1</v>
      </c>
      <c r="N164" s="44" t="s">
        <v>18</v>
      </c>
      <c r="O164" s="44" t="s">
        <v>474</v>
      </c>
      <c r="P164" s="44" t="s">
        <v>475</v>
      </c>
      <c r="Q164" s="44" t="s">
        <v>705</v>
      </c>
      <c r="R164" s="60" t="s">
        <v>706</v>
      </c>
      <c r="S164" s="46" t="s">
        <v>485</v>
      </c>
      <c r="T164" s="44" t="s">
        <v>18</v>
      </c>
      <c r="U164" s="44" t="s">
        <v>18</v>
      </c>
      <c r="V164" s="44"/>
      <c r="W164" s="44"/>
    </row>
    <row r="165" spans="2:23">
      <c r="B165" s="75" t="str">
        <f>IF(tbl_Instruement_List[[#This Row],[Tag_New]]="",tbl_Instruement_List[[#This Row],[Tag]],tbl_Instruement_List[[#This Row],[Tag_New]])</f>
        <v>TT-60241A</v>
      </c>
      <c r="C165" s="75"/>
      <c r="D165" s="41" t="s">
        <v>244</v>
      </c>
      <c r="E165" s="41"/>
      <c r="F165" s="42" t="s">
        <v>472</v>
      </c>
      <c r="G165" s="41" t="s">
        <v>722</v>
      </c>
      <c r="H165" s="41" t="s">
        <v>700</v>
      </c>
      <c r="I165" s="41"/>
      <c r="J165" s="49"/>
      <c r="K165" s="49"/>
      <c r="L165" s="42"/>
      <c r="M165" s="42">
        <v>1</v>
      </c>
      <c r="N165" s="44" t="s">
        <v>18</v>
      </c>
      <c r="O165" s="44" t="s">
        <v>474</v>
      </c>
      <c r="P165" s="44" t="s">
        <v>475</v>
      </c>
      <c r="Q165" s="44" t="s">
        <v>708</v>
      </c>
      <c r="R165" s="60" t="s">
        <v>709</v>
      </c>
      <c r="S165" s="46" t="s">
        <v>485</v>
      </c>
      <c r="T165" s="44" t="s">
        <v>18</v>
      </c>
      <c r="U165" s="44" t="s">
        <v>18</v>
      </c>
      <c r="V165" s="44"/>
      <c r="W165" s="44"/>
    </row>
    <row r="166" spans="2:23">
      <c r="B166" s="75" t="str">
        <f>IF(tbl_Instruement_List[[#This Row],[Tag_New]]="",tbl_Instruement_List[[#This Row],[Tag]],tbl_Instruement_List[[#This Row],[Tag_New]])</f>
        <v>TT-60241B</v>
      </c>
      <c r="C166" s="75"/>
      <c r="D166" s="41" t="s">
        <v>245</v>
      </c>
      <c r="E166" s="41"/>
      <c r="F166" s="42" t="s">
        <v>472</v>
      </c>
      <c r="G166" s="41" t="s">
        <v>722</v>
      </c>
      <c r="H166" s="41" t="s">
        <v>700</v>
      </c>
      <c r="I166" s="41"/>
      <c r="J166" s="49"/>
      <c r="K166" s="49"/>
      <c r="L166" s="42"/>
      <c r="M166" s="42">
        <v>1</v>
      </c>
      <c r="N166" s="44" t="s">
        <v>18</v>
      </c>
      <c r="O166" s="44" t="s">
        <v>474</v>
      </c>
      <c r="P166" s="44" t="s">
        <v>475</v>
      </c>
      <c r="Q166" s="44" t="s">
        <v>708</v>
      </c>
      <c r="R166" s="60" t="s">
        <v>709</v>
      </c>
      <c r="S166" s="46" t="s">
        <v>485</v>
      </c>
      <c r="T166" s="44" t="s">
        <v>18</v>
      </c>
      <c r="U166" s="44" t="s">
        <v>18</v>
      </c>
      <c r="V166" s="44"/>
      <c r="W166" s="44"/>
    </row>
    <row r="167" spans="2:23">
      <c r="B167" s="75" t="str">
        <f>IF(tbl_Instruement_List[[#This Row],[Tag_New]]="",tbl_Instruement_List[[#This Row],[Tag]],tbl_Instruement_List[[#This Row],[Tag_New]])</f>
        <v>TT-60245</v>
      </c>
      <c r="C167" s="75"/>
      <c r="D167" s="41" t="s">
        <v>332</v>
      </c>
      <c r="E167" s="41"/>
      <c r="F167" s="42" t="s">
        <v>472</v>
      </c>
      <c r="G167" s="41" t="s">
        <v>723</v>
      </c>
      <c r="H167" s="41" t="s">
        <v>700</v>
      </c>
      <c r="I167" s="41"/>
      <c r="J167" s="49"/>
      <c r="K167" s="49"/>
      <c r="L167" s="42"/>
      <c r="M167" s="42">
        <v>1</v>
      </c>
      <c r="N167" s="44" t="s">
        <v>18</v>
      </c>
      <c r="O167" s="44" t="s">
        <v>474</v>
      </c>
      <c r="P167" s="44" t="s">
        <v>475</v>
      </c>
      <c r="Q167" s="44" t="s">
        <v>714</v>
      </c>
      <c r="R167" s="60" t="s">
        <v>715</v>
      </c>
      <c r="S167" s="46" t="s">
        <v>485</v>
      </c>
      <c r="T167" s="44" t="s">
        <v>18</v>
      </c>
      <c r="U167" s="44" t="s">
        <v>18</v>
      </c>
      <c r="V167" s="44"/>
      <c r="W167" s="44"/>
    </row>
    <row r="168" spans="2:23">
      <c r="B168" s="75" t="str">
        <f>IF(tbl_Instruement_List[[#This Row],[Tag_New]]="",tbl_Instruement_List[[#This Row],[Tag]],tbl_Instruement_List[[#This Row],[Tag_New]])</f>
        <v>TT-60202</v>
      </c>
      <c r="C168" s="75"/>
      <c r="D168" s="41" t="s">
        <v>724</v>
      </c>
      <c r="E168" s="41" t="s">
        <v>293</v>
      </c>
      <c r="F168" s="42" t="s">
        <v>725</v>
      </c>
      <c r="G168" s="41" t="s">
        <v>726</v>
      </c>
      <c r="H168" s="41" t="s">
        <v>700</v>
      </c>
      <c r="I168" s="41"/>
      <c r="J168" s="44" t="s">
        <v>18</v>
      </c>
      <c r="K168" s="44" t="s">
        <v>18</v>
      </c>
      <c r="L168" s="42" t="s">
        <v>18</v>
      </c>
      <c r="M168" s="42">
        <v>1</v>
      </c>
      <c r="N168" s="44" t="s">
        <v>18</v>
      </c>
      <c r="O168" s="44" t="s">
        <v>474</v>
      </c>
      <c r="P168" s="44" t="s">
        <v>475</v>
      </c>
      <c r="Q168" s="44" t="s">
        <v>727</v>
      </c>
      <c r="R168" s="60" t="s">
        <v>728</v>
      </c>
      <c r="S168" s="46" t="s">
        <v>485</v>
      </c>
      <c r="T168" s="44" t="s">
        <v>18</v>
      </c>
      <c r="U168" s="44" t="s">
        <v>18</v>
      </c>
      <c r="V168" s="44"/>
      <c r="W168" s="44"/>
    </row>
    <row r="169" spans="2:23">
      <c r="B169" s="75" t="str">
        <f>IF(tbl_Instruement_List[[#This Row],[Tag_New]]="",tbl_Instruement_List[[#This Row],[Tag]],tbl_Instruement_List[[#This Row],[Tag_New]])</f>
        <v>TT-61301</v>
      </c>
      <c r="C169" s="75"/>
      <c r="D169" s="41" t="s">
        <v>103</v>
      </c>
      <c r="E169" s="41"/>
      <c r="F169" s="42" t="s">
        <v>78</v>
      </c>
      <c r="G169" s="41" t="s">
        <v>729</v>
      </c>
      <c r="H169" s="41" t="s">
        <v>700</v>
      </c>
      <c r="I169" s="41"/>
      <c r="J169" s="49"/>
      <c r="K169" s="49"/>
      <c r="L169" s="42"/>
      <c r="M169" s="42">
        <v>1</v>
      </c>
      <c r="N169" s="44" t="s">
        <v>18</v>
      </c>
      <c r="O169" s="44" t="s">
        <v>474</v>
      </c>
      <c r="P169" s="44" t="s">
        <v>475</v>
      </c>
      <c r="Q169" s="44" t="s">
        <v>705</v>
      </c>
      <c r="R169" s="60" t="s">
        <v>706</v>
      </c>
      <c r="S169" s="46" t="s">
        <v>485</v>
      </c>
      <c r="T169" s="44" t="s">
        <v>651</v>
      </c>
      <c r="U169" s="44" t="s">
        <v>489</v>
      </c>
      <c r="V169" s="44"/>
      <c r="W169" s="44"/>
    </row>
    <row r="170" spans="2:23">
      <c r="B170" s="75" t="str">
        <f>IF(tbl_Instruement_List[[#This Row],[Tag_New]]="",tbl_Instruement_List[[#This Row],[Tag]],tbl_Instruement_List[[#This Row],[Tag_New]])</f>
        <v>TT-61302</v>
      </c>
      <c r="C170" s="75"/>
      <c r="D170" s="41" t="s">
        <v>104</v>
      </c>
      <c r="E170" s="41"/>
      <c r="F170" s="42" t="s">
        <v>78</v>
      </c>
      <c r="G170" s="41" t="s">
        <v>730</v>
      </c>
      <c r="H170" s="41" t="s">
        <v>700</v>
      </c>
      <c r="I170" s="41"/>
      <c r="J170" s="43"/>
      <c r="K170" s="43"/>
      <c r="L170" s="42"/>
      <c r="M170" s="42">
        <v>1</v>
      </c>
      <c r="N170" s="44" t="s">
        <v>18</v>
      </c>
      <c r="O170" s="44" t="s">
        <v>474</v>
      </c>
      <c r="P170" s="44" t="s">
        <v>475</v>
      </c>
      <c r="Q170" s="44" t="s">
        <v>705</v>
      </c>
      <c r="R170" s="60" t="s">
        <v>706</v>
      </c>
      <c r="S170" s="46" t="s">
        <v>485</v>
      </c>
      <c r="T170" s="44" t="s">
        <v>651</v>
      </c>
      <c r="U170" s="44" t="s">
        <v>489</v>
      </c>
      <c r="V170" s="44"/>
      <c r="W170" s="44"/>
    </row>
    <row r="171" spans="2:23" s="40" customFormat="1" ht="15" customHeight="1">
      <c r="B171" s="75" t="str">
        <f>IF(tbl_Instruement_List[[#This Row],[Tag_New]]="",tbl_Instruement_List[[#This Row],[Tag]],tbl_Instruement_List[[#This Row],[Tag_New]])</f>
        <v>TCV-40222</v>
      </c>
      <c r="C171" s="75"/>
      <c r="D171" s="41"/>
      <c r="E171" s="41" t="s">
        <v>180</v>
      </c>
      <c r="F171" s="42" t="s">
        <v>172</v>
      </c>
      <c r="G171" s="41" t="s">
        <v>169</v>
      </c>
      <c r="H171" s="41" t="s">
        <v>670</v>
      </c>
      <c r="I171" s="41"/>
      <c r="J171" s="44" t="s">
        <v>18</v>
      </c>
      <c r="K171" s="44" t="s">
        <v>18</v>
      </c>
      <c r="L171" s="44">
        <v>1</v>
      </c>
      <c r="M171" s="44" t="s">
        <v>18</v>
      </c>
      <c r="N171" s="44" t="s">
        <v>18</v>
      </c>
      <c r="O171" s="44" t="s">
        <v>474</v>
      </c>
      <c r="P171" s="44" t="s">
        <v>475</v>
      </c>
      <c r="Q171" s="44" t="s">
        <v>477</v>
      </c>
      <c r="R171" s="44" t="s">
        <v>731</v>
      </c>
      <c r="S171" s="46" t="s">
        <v>485</v>
      </c>
      <c r="T171" s="44" t="s">
        <v>18</v>
      </c>
      <c r="U171" s="44" t="s">
        <v>18</v>
      </c>
      <c r="V171" s="44"/>
      <c r="W171" s="44"/>
    </row>
    <row r="172" spans="2:23" s="40" customFormat="1" ht="15" customHeight="1">
      <c r="B172" s="75" t="str">
        <f>IF(tbl_Instruement_List[[#This Row],[Tag_New]]="",tbl_Instruement_List[[#This Row],[Tag]],tbl_Instruement_List[[#This Row],[Tag_New]])</f>
        <v>TCV-60214</v>
      </c>
      <c r="C172" s="75"/>
      <c r="D172" s="41" t="s">
        <v>246</v>
      </c>
      <c r="E172" s="41" t="s">
        <v>732</v>
      </c>
      <c r="F172" s="42" t="s">
        <v>495</v>
      </c>
      <c r="G172" s="41" t="s">
        <v>733</v>
      </c>
      <c r="H172" s="41" t="s">
        <v>670</v>
      </c>
      <c r="I172" s="41"/>
      <c r="J172" s="44" t="s">
        <v>18</v>
      </c>
      <c r="K172" s="44" t="s">
        <v>18</v>
      </c>
      <c r="L172" s="44">
        <v>1</v>
      </c>
      <c r="M172" s="44" t="s">
        <v>18</v>
      </c>
      <c r="N172" s="44" t="s">
        <v>18</v>
      </c>
      <c r="O172" s="44" t="s">
        <v>474</v>
      </c>
      <c r="P172" s="44" t="s">
        <v>475</v>
      </c>
      <c r="Q172" s="44" t="s">
        <v>477</v>
      </c>
      <c r="R172" s="44" t="s">
        <v>731</v>
      </c>
      <c r="S172" s="46" t="s">
        <v>485</v>
      </c>
      <c r="T172" s="44" t="s">
        <v>18</v>
      </c>
      <c r="U172" s="44" t="s">
        <v>18</v>
      </c>
      <c r="V172" s="44"/>
      <c r="W172" s="44"/>
    </row>
    <row r="173" spans="2:23">
      <c r="B173" s="75" t="str">
        <f>IF(tbl_Instruement_List[[#This Row],[Tag_New]]="",tbl_Instruement_List[[#This Row],[Tag]],tbl_Instruement_List[[#This Row],[Tag_New]])</f>
        <v>TCV-60202</v>
      </c>
      <c r="C173" s="75"/>
      <c r="D173" s="41" t="s">
        <v>734</v>
      </c>
      <c r="E173" s="41" t="s">
        <v>735</v>
      </c>
      <c r="F173" s="42" t="s">
        <v>725</v>
      </c>
      <c r="G173" s="41" t="s">
        <v>736</v>
      </c>
      <c r="H173" s="41" t="s">
        <v>737</v>
      </c>
      <c r="I173" s="41"/>
      <c r="J173" s="44" t="s">
        <v>18</v>
      </c>
      <c r="K173" s="44" t="s">
        <v>18</v>
      </c>
      <c r="L173" s="42">
        <v>1</v>
      </c>
      <c r="M173" s="42"/>
      <c r="N173" s="44" t="s">
        <v>18</v>
      </c>
      <c r="O173" s="44" t="s">
        <v>474</v>
      </c>
      <c r="P173" s="44" t="s">
        <v>475</v>
      </c>
      <c r="Q173" s="44" t="s">
        <v>477</v>
      </c>
      <c r="R173" s="60" t="s">
        <v>671</v>
      </c>
      <c r="S173" s="60"/>
      <c r="T173" s="44" t="s">
        <v>18</v>
      </c>
      <c r="U173" s="44" t="s">
        <v>18</v>
      </c>
      <c r="V173" s="44"/>
      <c r="W173" s="44"/>
    </row>
    <row r="174" spans="2:23">
      <c r="B174" s="75" t="str">
        <f>IF(tbl_Instruement_List[[#This Row],[Tag_New]]="",tbl_Instruement_List[[#This Row],[Tag]],tbl_Instruement_List[[#This Row],[Tag_New]])</f>
        <v>VT-60210A</v>
      </c>
      <c r="C174" s="75"/>
      <c r="D174" s="41" t="s">
        <v>252</v>
      </c>
      <c r="E174" s="41"/>
      <c r="F174" s="42" t="s">
        <v>495</v>
      </c>
      <c r="G174" s="41" t="s">
        <v>738</v>
      </c>
      <c r="H174" s="41" t="s">
        <v>739</v>
      </c>
      <c r="I174" s="41"/>
      <c r="J174" s="57"/>
      <c r="K174" s="57"/>
      <c r="L174" s="42"/>
      <c r="M174" s="42">
        <v>1</v>
      </c>
      <c r="N174" s="44" t="s">
        <v>18</v>
      </c>
      <c r="O174" s="44" t="s">
        <v>474</v>
      </c>
      <c r="P174" s="44" t="s">
        <v>475</v>
      </c>
      <c r="Q174" s="44" t="s">
        <v>740</v>
      </c>
      <c r="R174" s="60" t="s">
        <v>741</v>
      </c>
      <c r="S174" s="46" t="s">
        <v>485</v>
      </c>
      <c r="T174" s="44" t="s">
        <v>18</v>
      </c>
      <c r="U174" s="44" t="s">
        <v>18</v>
      </c>
      <c r="V174" s="44"/>
      <c r="W174" s="44"/>
    </row>
    <row r="175" spans="2:23">
      <c r="B175" s="75" t="str">
        <f>IF(tbl_Instruement_List[[#This Row],[Tag_New]]="",tbl_Instruement_List[[#This Row],[Tag]],tbl_Instruement_List[[#This Row],[Tag_New]])</f>
        <v>VT-60210B</v>
      </c>
      <c r="C175" s="75"/>
      <c r="D175" s="41" t="s">
        <v>253</v>
      </c>
      <c r="E175" s="41"/>
      <c r="F175" s="42" t="s">
        <v>495</v>
      </c>
      <c r="G175" s="41" t="s">
        <v>738</v>
      </c>
      <c r="H175" s="41" t="s">
        <v>739</v>
      </c>
      <c r="I175" s="41"/>
      <c r="J175" s="57"/>
      <c r="K175" s="57"/>
      <c r="L175" s="42"/>
      <c r="M175" s="42">
        <v>1</v>
      </c>
      <c r="N175" s="44" t="s">
        <v>18</v>
      </c>
      <c r="O175" s="44" t="s">
        <v>474</v>
      </c>
      <c r="P175" s="44" t="s">
        <v>475</v>
      </c>
      <c r="Q175" s="44" t="s">
        <v>740</v>
      </c>
      <c r="R175" s="60" t="s">
        <v>741</v>
      </c>
      <c r="S175" s="46" t="s">
        <v>485</v>
      </c>
      <c r="T175" s="44" t="s">
        <v>18</v>
      </c>
      <c r="U175" s="44" t="s">
        <v>18</v>
      </c>
      <c r="V175" s="44"/>
      <c r="W175" s="44"/>
    </row>
    <row r="176" spans="2:23">
      <c r="B176" s="75" t="str">
        <f>IF(tbl_Instruement_List[[#This Row],[Tag_New]]="",tbl_Instruement_List[[#This Row],[Tag]],tbl_Instruement_List[[#This Row],[Tag_New]])</f>
        <v>VT-60241A</v>
      </c>
      <c r="C176" s="75"/>
      <c r="D176" s="41" t="s">
        <v>254</v>
      </c>
      <c r="E176" s="41"/>
      <c r="F176" s="42" t="s">
        <v>472</v>
      </c>
      <c r="G176" s="41" t="s">
        <v>742</v>
      </c>
      <c r="H176" s="41" t="s">
        <v>739</v>
      </c>
      <c r="I176" s="41"/>
      <c r="J176" s="57"/>
      <c r="K176" s="57"/>
      <c r="L176" s="42"/>
      <c r="M176" s="42">
        <v>1</v>
      </c>
      <c r="N176" s="44" t="s">
        <v>18</v>
      </c>
      <c r="O176" s="44" t="s">
        <v>474</v>
      </c>
      <c r="P176" s="44" t="s">
        <v>475</v>
      </c>
      <c r="Q176" s="44" t="s">
        <v>740</v>
      </c>
      <c r="R176" s="60" t="s">
        <v>741</v>
      </c>
      <c r="S176" s="46" t="s">
        <v>485</v>
      </c>
      <c r="T176" s="44" t="s">
        <v>18</v>
      </c>
      <c r="U176" s="44" t="s">
        <v>18</v>
      </c>
      <c r="V176" s="44"/>
      <c r="W176" s="44"/>
    </row>
    <row r="177" spans="2:23">
      <c r="B177" s="75" t="str">
        <f>IF(tbl_Instruement_List[[#This Row],[Tag_New]]="",tbl_Instruement_List[[#This Row],[Tag]],tbl_Instruement_List[[#This Row],[Tag_New]])</f>
        <v>VT-60241B</v>
      </c>
      <c r="C177" s="75"/>
      <c r="D177" s="41" t="s">
        <v>255</v>
      </c>
      <c r="E177" s="41"/>
      <c r="F177" s="42" t="s">
        <v>472</v>
      </c>
      <c r="G177" s="41" t="s">
        <v>742</v>
      </c>
      <c r="H177" s="41" t="s">
        <v>739</v>
      </c>
      <c r="I177" s="41"/>
      <c r="J177" s="57"/>
      <c r="K177" s="57"/>
      <c r="L177" s="42"/>
      <c r="M177" s="42">
        <v>1</v>
      </c>
      <c r="N177" s="44" t="s">
        <v>18</v>
      </c>
      <c r="O177" s="44" t="s">
        <v>474</v>
      </c>
      <c r="P177" s="44" t="s">
        <v>475</v>
      </c>
      <c r="Q177" s="44" t="s">
        <v>740</v>
      </c>
      <c r="R177" s="60" t="s">
        <v>741</v>
      </c>
      <c r="S177" s="46" t="s">
        <v>485</v>
      </c>
      <c r="T177" s="44" t="s">
        <v>18</v>
      </c>
      <c r="U177" s="44" t="s">
        <v>18</v>
      </c>
      <c r="V177" s="44"/>
      <c r="W177" s="44"/>
    </row>
    <row r="178" spans="2:23">
      <c r="B178" s="75" t="str">
        <f>IF(tbl_Instruement_List[[#This Row],[Tag_New]]="",tbl_Instruement_List[[#This Row],[Tag]],tbl_Instruement_List[[#This Row],[Tag_New]])</f>
        <v>XT-60201</v>
      </c>
      <c r="C178" s="75"/>
      <c r="D178" s="41" t="s">
        <v>743</v>
      </c>
      <c r="E178" s="41" t="s">
        <v>49</v>
      </c>
      <c r="F178" s="42" t="s">
        <v>744</v>
      </c>
      <c r="G178" s="41" t="s">
        <v>745</v>
      </c>
      <c r="H178" s="41" t="s">
        <v>746</v>
      </c>
      <c r="I178" s="41"/>
      <c r="J178" s="57" t="s">
        <v>18</v>
      </c>
      <c r="K178" s="57" t="s">
        <v>18</v>
      </c>
      <c r="L178" s="42" t="s">
        <v>18</v>
      </c>
      <c r="M178" s="42">
        <v>1</v>
      </c>
      <c r="N178" s="44" t="s">
        <v>18</v>
      </c>
      <c r="O178" s="44" t="s">
        <v>474</v>
      </c>
      <c r="P178" s="44" t="s">
        <v>475</v>
      </c>
      <c r="Q178" s="44" t="s">
        <v>747</v>
      </c>
      <c r="R178" s="60" t="s">
        <v>477</v>
      </c>
      <c r="S178" s="46" t="s">
        <v>478</v>
      </c>
      <c r="T178" s="44" t="s">
        <v>651</v>
      </c>
      <c r="U178" s="44" t="s">
        <v>489</v>
      </c>
      <c r="V178" s="44"/>
      <c r="W178" s="44"/>
    </row>
    <row r="179" spans="2:23">
      <c r="B179" s="75" t="str">
        <f>IF(tbl_Instruement_List[[#This Row],[Tag_New]]="",tbl_Instruement_List[[#This Row],[Tag]],tbl_Instruement_List[[#This Row],[Tag_New]])</f>
        <v>XA-60201</v>
      </c>
      <c r="C179" s="75"/>
      <c r="D179" s="41" t="s">
        <v>748</v>
      </c>
      <c r="E179" s="41" t="s">
        <v>52</v>
      </c>
      <c r="F179" s="42" t="s">
        <v>744</v>
      </c>
      <c r="G179" s="41" t="s">
        <v>749</v>
      </c>
      <c r="H179" s="41" t="s">
        <v>746</v>
      </c>
      <c r="I179" s="41"/>
      <c r="J179" s="57">
        <v>1</v>
      </c>
      <c r="K179" s="57" t="s">
        <v>18</v>
      </c>
      <c r="L179" s="42" t="s">
        <v>18</v>
      </c>
      <c r="M179" s="42"/>
      <c r="N179" s="44" t="s">
        <v>18</v>
      </c>
      <c r="O179" s="44" t="s">
        <v>474</v>
      </c>
      <c r="P179" s="44" t="s">
        <v>475</v>
      </c>
      <c r="Q179" s="44" t="s">
        <v>747</v>
      </c>
      <c r="R179" s="60" t="s">
        <v>477</v>
      </c>
      <c r="S179" s="46" t="s">
        <v>478</v>
      </c>
      <c r="T179" s="44" t="s">
        <v>651</v>
      </c>
      <c r="U179" s="44" t="s">
        <v>489</v>
      </c>
      <c r="V179" s="44"/>
      <c r="W179" s="44"/>
    </row>
    <row r="180" spans="2:23">
      <c r="B180" s="75" t="str">
        <f>IF(tbl_Instruement_List[[#This Row],[Tag_New]]="",tbl_Instruement_List[[#This Row],[Tag]],tbl_Instruement_List[[#This Row],[Tag_New]])</f>
        <v>XT-92201</v>
      </c>
      <c r="C180" s="75"/>
      <c r="D180" s="41" t="s">
        <v>430</v>
      </c>
      <c r="E180" s="41"/>
      <c r="F180" s="42" t="s">
        <v>431</v>
      </c>
      <c r="G180" s="41" t="s">
        <v>745</v>
      </c>
      <c r="H180" s="41" t="s">
        <v>746</v>
      </c>
      <c r="I180" s="41"/>
      <c r="J180" s="57" t="s">
        <v>18</v>
      </c>
      <c r="K180" s="57" t="s">
        <v>18</v>
      </c>
      <c r="L180" s="42" t="s">
        <v>18</v>
      </c>
      <c r="M180" s="42">
        <v>1</v>
      </c>
      <c r="N180" s="44" t="s">
        <v>18</v>
      </c>
      <c r="O180" s="44" t="s">
        <v>474</v>
      </c>
      <c r="P180" s="44" t="s">
        <v>475</v>
      </c>
      <c r="Q180" s="44" t="s">
        <v>747</v>
      </c>
      <c r="R180" s="60" t="s">
        <v>477</v>
      </c>
      <c r="S180" s="46" t="s">
        <v>478</v>
      </c>
      <c r="T180" s="44" t="s">
        <v>651</v>
      </c>
      <c r="U180" s="44" t="s">
        <v>489</v>
      </c>
      <c r="V180" s="44"/>
      <c r="W180" s="44"/>
    </row>
    <row r="181" spans="2:23">
      <c r="B181" s="75" t="str">
        <f>IF(tbl_Instruement_List[[#This Row],[Tag_New]]="",tbl_Instruement_List[[#This Row],[Tag]],tbl_Instruement_List[[#This Row],[Tag_New]])</f>
        <v>XA-92201</v>
      </c>
      <c r="C181" s="75"/>
      <c r="D181" s="41" t="s">
        <v>433</v>
      </c>
      <c r="E181" s="41"/>
      <c r="F181" s="42" t="s">
        <v>431</v>
      </c>
      <c r="G181" s="41" t="s">
        <v>749</v>
      </c>
      <c r="H181" s="41" t="s">
        <v>746</v>
      </c>
      <c r="I181" s="41"/>
      <c r="J181" s="57">
        <v>1</v>
      </c>
      <c r="K181" s="57" t="s">
        <v>18</v>
      </c>
      <c r="L181" s="42" t="s">
        <v>18</v>
      </c>
      <c r="M181" s="42"/>
      <c r="N181" s="44" t="s">
        <v>18</v>
      </c>
      <c r="O181" s="44" t="s">
        <v>474</v>
      </c>
      <c r="P181" s="44" t="s">
        <v>475</v>
      </c>
      <c r="Q181" s="44" t="s">
        <v>747</v>
      </c>
      <c r="R181" s="60" t="s">
        <v>477</v>
      </c>
      <c r="S181" s="46" t="s">
        <v>478</v>
      </c>
      <c r="T181" s="44" t="s">
        <v>651</v>
      </c>
      <c r="U181" s="44" t="s">
        <v>489</v>
      </c>
      <c r="V181" s="44"/>
      <c r="W181" s="44"/>
    </row>
    <row r="182" spans="2:23">
      <c r="B182" s="75" t="str">
        <f>IF(tbl_Instruement_List[[#This Row],[Tag_New]]="",tbl_Instruement_List[[#This Row],[Tag]],tbl_Instruement_List[[#This Row],[Tag_New]])</f>
        <v>XV-40201A</v>
      </c>
      <c r="C182" s="75"/>
      <c r="D182" s="41" t="s">
        <v>750</v>
      </c>
      <c r="E182" s="41" t="s">
        <v>151</v>
      </c>
      <c r="F182" s="42" t="s">
        <v>170</v>
      </c>
      <c r="G182" s="41" t="s">
        <v>751</v>
      </c>
      <c r="H182" s="41" t="s">
        <v>752</v>
      </c>
      <c r="I182" s="41"/>
      <c r="J182" s="44">
        <v>1</v>
      </c>
      <c r="K182" s="47">
        <v>2</v>
      </c>
      <c r="L182" s="44" t="s">
        <v>18</v>
      </c>
      <c r="M182" s="44" t="s">
        <v>18</v>
      </c>
      <c r="N182" s="44" t="s">
        <v>18</v>
      </c>
      <c r="O182" s="44" t="s">
        <v>675</v>
      </c>
      <c r="P182" s="44" t="s">
        <v>475</v>
      </c>
      <c r="Q182" s="44" t="s">
        <v>569</v>
      </c>
      <c r="R182" s="44" t="s">
        <v>676</v>
      </c>
      <c r="S182" s="44" t="s">
        <v>753</v>
      </c>
      <c r="T182" s="44" t="s">
        <v>18</v>
      </c>
      <c r="U182" s="44" t="s">
        <v>18</v>
      </c>
      <c r="V182" s="44"/>
      <c r="W182" s="44"/>
    </row>
    <row r="183" spans="2:23">
      <c r="B183" s="75" t="str">
        <f>IF(tbl_Instruement_List[[#This Row],[Tag_New]]="",tbl_Instruement_List[[#This Row],[Tag]],tbl_Instruement_List[[#This Row],[Tag_New]])</f>
        <v>XV-40201B</v>
      </c>
      <c r="C183" s="75"/>
      <c r="D183" s="41" t="s">
        <v>754</v>
      </c>
      <c r="E183" s="41" t="s">
        <v>152</v>
      </c>
      <c r="F183" s="42" t="s">
        <v>170</v>
      </c>
      <c r="G183" s="41" t="s">
        <v>755</v>
      </c>
      <c r="H183" s="41" t="s">
        <v>752</v>
      </c>
      <c r="I183" s="41"/>
      <c r="J183" s="44">
        <v>1</v>
      </c>
      <c r="K183" s="47">
        <v>2</v>
      </c>
      <c r="L183" s="44" t="s">
        <v>18</v>
      </c>
      <c r="M183" s="44" t="s">
        <v>18</v>
      </c>
      <c r="N183" s="44" t="s">
        <v>18</v>
      </c>
      <c r="O183" s="44" t="s">
        <v>675</v>
      </c>
      <c r="P183" s="44" t="s">
        <v>475</v>
      </c>
      <c r="Q183" s="44" t="s">
        <v>569</v>
      </c>
      <c r="R183" s="44" t="s">
        <v>676</v>
      </c>
      <c r="S183" s="44" t="s">
        <v>753</v>
      </c>
      <c r="T183" s="44" t="s">
        <v>18</v>
      </c>
      <c r="U183" s="44" t="s">
        <v>18</v>
      </c>
      <c r="V183" s="44"/>
      <c r="W183" s="44"/>
    </row>
    <row r="184" spans="2:23">
      <c r="B184" s="75" t="str">
        <f>IF(tbl_Instruement_List[[#This Row],[Tag_New]]="",tbl_Instruement_List[[#This Row],[Tag]],tbl_Instruement_List[[#This Row],[Tag_New]])</f>
        <v>XV-40201C</v>
      </c>
      <c r="C184" s="75"/>
      <c r="D184" s="41" t="s">
        <v>756</v>
      </c>
      <c r="E184" s="41" t="s">
        <v>153</v>
      </c>
      <c r="F184" s="42" t="s">
        <v>170</v>
      </c>
      <c r="G184" s="41" t="s">
        <v>757</v>
      </c>
      <c r="H184" s="41" t="s">
        <v>752</v>
      </c>
      <c r="I184" s="41"/>
      <c r="J184" s="44">
        <v>1</v>
      </c>
      <c r="K184" s="47">
        <v>2</v>
      </c>
      <c r="L184" s="44" t="s">
        <v>18</v>
      </c>
      <c r="M184" s="44" t="s">
        <v>18</v>
      </c>
      <c r="N184" s="44" t="s">
        <v>18</v>
      </c>
      <c r="O184" s="44" t="s">
        <v>675</v>
      </c>
      <c r="P184" s="44" t="s">
        <v>475</v>
      </c>
      <c r="Q184" s="44" t="s">
        <v>569</v>
      </c>
      <c r="R184" s="44" t="s">
        <v>676</v>
      </c>
      <c r="S184" s="44" t="s">
        <v>753</v>
      </c>
      <c r="T184" s="44" t="s">
        <v>18</v>
      </c>
      <c r="U184" s="44" t="s">
        <v>18</v>
      </c>
      <c r="V184" s="44"/>
      <c r="W184" s="44"/>
    </row>
    <row r="185" spans="2:23">
      <c r="B185" s="75" t="str">
        <f>IF(tbl_Instruement_List[[#This Row],[Tag_New]]="",tbl_Instruement_List[[#This Row],[Tag]],tbl_Instruement_List[[#This Row],[Tag_New]])</f>
        <v>XV-40201D</v>
      </c>
      <c r="C185" s="75"/>
      <c r="D185" s="41" t="s">
        <v>758</v>
      </c>
      <c r="E185" s="41" t="s">
        <v>154</v>
      </c>
      <c r="F185" s="42" t="s">
        <v>170</v>
      </c>
      <c r="G185" s="41" t="s">
        <v>759</v>
      </c>
      <c r="H185" s="41" t="s">
        <v>752</v>
      </c>
      <c r="I185" s="41"/>
      <c r="J185" s="44">
        <v>1</v>
      </c>
      <c r="K185" s="47">
        <v>2</v>
      </c>
      <c r="L185" s="44" t="s">
        <v>18</v>
      </c>
      <c r="M185" s="44" t="s">
        <v>18</v>
      </c>
      <c r="N185" s="44" t="s">
        <v>18</v>
      </c>
      <c r="O185" s="44" t="s">
        <v>675</v>
      </c>
      <c r="P185" s="44" t="s">
        <v>475</v>
      </c>
      <c r="Q185" s="44" t="s">
        <v>569</v>
      </c>
      <c r="R185" s="44" t="s">
        <v>676</v>
      </c>
      <c r="S185" s="44" t="s">
        <v>753</v>
      </c>
      <c r="T185" s="44" t="s">
        <v>18</v>
      </c>
      <c r="U185" s="44" t="s">
        <v>18</v>
      </c>
      <c r="V185" s="44"/>
      <c r="W185" s="44"/>
    </row>
    <row r="186" spans="2:23">
      <c r="B186" s="75" t="str">
        <f>IF(tbl_Instruement_List[[#This Row],[Tag_New]]="",tbl_Instruement_List[[#This Row],[Tag]],tbl_Instruement_List[[#This Row],[Tag_New]])</f>
        <v>XV-40201E</v>
      </c>
      <c r="C186" s="75"/>
      <c r="D186" s="41" t="s">
        <v>760</v>
      </c>
      <c r="E186" s="41" t="s">
        <v>155</v>
      </c>
      <c r="F186" s="42" t="s">
        <v>170</v>
      </c>
      <c r="G186" s="41" t="s">
        <v>761</v>
      </c>
      <c r="H186" s="41" t="s">
        <v>752</v>
      </c>
      <c r="I186" s="41"/>
      <c r="J186" s="44">
        <v>1</v>
      </c>
      <c r="K186" s="47">
        <v>2</v>
      </c>
      <c r="L186" s="44" t="s">
        <v>18</v>
      </c>
      <c r="M186" s="44" t="s">
        <v>18</v>
      </c>
      <c r="N186" s="44" t="s">
        <v>18</v>
      </c>
      <c r="O186" s="44" t="s">
        <v>675</v>
      </c>
      <c r="P186" s="44" t="s">
        <v>475</v>
      </c>
      <c r="Q186" s="44" t="s">
        <v>569</v>
      </c>
      <c r="R186" s="44" t="s">
        <v>676</v>
      </c>
      <c r="S186" s="44" t="s">
        <v>753</v>
      </c>
      <c r="T186" s="44" t="s">
        <v>18</v>
      </c>
      <c r="U186" s="44" t="s">
        <v>18</v>
      </c>
      <c r="V186" s="44"/>
      <c r="W186" s="44"/>
    </row>
    <row r="187" spans="2:23">
      <c r="B187" s="75" t="str">
        <f>IF(tbl_Instruement_List[[#This Row],[Tag_New]]="",tbl_Instruement_List[[#This Row],[Tag]],tbl_Instruement_List[[#This Row],[Tag_New]])</f>
        <v>XV-40201F</v>
      </c>
      <c r="C187" s="75"/>
      <c r="D187" s="41" t="s">
        <v>762</v>
      </c>
      <c r="E187" s="41" t="s">
        <v>156</v>
      </c>
      <c r="F187" s="42" t="s">
        <v>170</v>
      </c>
      <c r="G187" s="41" t="s">
        <v>763</v>
      </c>
      <c r="H187" s="41" t="s">
        <v>752</v>
      </c>
      <c r="I187" s="41"/>
      <c r="J187" s="44">
        <v>1</v>
      </c>
      <c r="K187" s="47">
        <v>2</v>
      </c>
      <c r="L187" s="44" t="s">
        <v>18</v>
      </c>
      <c r="M187" s="44" t="s">
        <v>18</v>
      </c>
      <c r="N187" s="44" t="s">
        <v>18</v>
      </c>
      <c r="O187" s="44" t="s">
        <v>675</v>
      </c>
      <c r="P187" s="44" t="s">
        <v>475</v>
      </c>
      <c r="Q187" s="44" t="s">
        <v>569</v>
      </c>
      <c r="R187" s="44" t="s">
        <v>676</v>
      </c>
      <c r="S187" s="44" t="s">
        <v>753</v>
      </c>
      <c r="T187" s="44" t="s">
        <v>18</v>
      </c>
      <c r="U187" s="44" t="s">
        <v>18</v>
      </c>
      <c r="V187" s="44"/>
      <c r="W187" s="44"/>
    </row>
    <row r="188" spans="2:23">
      <c r="B188" s="75" t="str">
        <f>IF(tbl_Instruement_List[[#This Row],[Tag_New]]="",tbl_Instruement_List[[#This Row],[Tag]],tbl_Instruement_List[[#This Row],[Tag_New]])</f>
        <v>XV-40201G</v>
      </c>
      <c r="C188" s="75"/>
      <c r="D188" s="41" t="s">
        <v>764</v>
      </c>
      <c r="E188" s="41" t="s">
        <v>157</v>
      </c>
      <c r="F188" s="42" t="s">
        <v>170</v>
      </c>
      <c r="G188" s="41" t="s">
        <v>765</v>
      </c>
      <c r="H188" s="41" t="s">
        <v>752</v>
      </c>
      <c r="I188" s="41"/>
      <c r="J188" s="44">
        <v>1</v>
      </c>
      <c r="K188" s="47">
        <v>2</v>
      </c>
      <c r="L188" s="44" t="s">
        <v>18</v>
      </c>
      <c r="M188" s="44" t="s">
        <v>18</v>
      </c>
      <c r="N188" s="44" t="s">
        <v>18</v>
      </c>
      <c r="O188" s="44" t="s">
        <v>675</v>
      </c>
      <c r="P188" s="44" t="s">
        <v>475</v>
      </c>
      <c r="Q188" s="44" t="s">
        <v>569</v>
      </c>
      <c r="R188" s="44" t="s">
        <v>676</v>
      </c>
      <c r="S188" s="44" t="s">
        <v>753</v>
      </c>
      <c r="T188" s="44" t="s">
        <v>18</v>
      </c>
      <c r="U188" s="44" t="s">
        <v>18</v>
      </c>
      <c r="V188" s="44"/>
      <c r="W188" s="44"/>
    </row>
    <row r="189" spans="2:23">
      <c r="B189" s="75" t="str">
        <f>IF(tbl_Instruement_List[[#This Row],[Tag_New]]="",tbl_Instruement_List[[#This Row],[Tag]],tbl_Instruement_List[[#This Row],[Tag_New]])</f>
        <v>XV-40201H</v>
      </c>
      <c r="C189" s="75"/>
      <c r="D189" s="41" t="s">
        <v>766</v>
      </c>
      <c r="E189" s="41" t="s">
        <v>158</v>
      </c>
      <c r="F189" s="42" t="s">
        <v>170</v>
      </c>
      <c r="G189" s="41" t="s">
        <v>767</v>
      </c>
      <c r="H189" s="41" t="s">
        <v>752</v>
      </c>
      <c r="I189" s="41"/>
      <c r="J189" s="44">
        <v>1</v>
      </c>
      <c r="K189" s="47">
        <v>2</v>
      </c>
      <c r="L189" s="44" t="s">
        <v>18</v>
      </c>
      <c r="M189" s="44" t="s">
        <v>18</v>
      </c>
      <c r="N189" s="44" t="s">
        <v>18</v>
      </c>
      <c r="O189" s="44" t="s">
        <v>675</v>
      </c>
      <c r="P189" s="44" t="s">
        <v>475</v>
      </c>
      <c r="Q189" s="44" t="s">
        <v>569</v>
      </c>
      <c r="R189" s="44" t="s">
        <v>676</v>
      </c>
      <c r="S189" s="44" t="s">
        <v>753</v>
      </c>
      <c r="T189" s="44" t="s">
        <v>18</v>
      </c>
      <c r="U189" s="44" t="s">
        <v>18</v>
      </c>
      <c r="V189" s="44"/>
      <c r="W189" s="44"/>
    </row>
    <row r="190" spans="2:23">
      <c r="B190" s="75" t="str">
        <f>IF(tbl_Instruement_List[[#This Row],[Tag_New]]="",tbl_Instruement_List[[#This Row],[Tag]],tbl_Instruement_List[[#This Row],[Tag_New]])</f>
        <v>XV-40202A</v>
      </c>
      <c r="C190" s="75"/>
      <c r="D190" s="41" t="s">
        <v>768</v>
      </c>
      <c r="E190" s="41" t="s">
        <v>159</v>
      </c>
      <c r="F190" s="42" t="s">
        <v>170</v>
      </c>
      <c r="G190" s="41" t="s">
        <v>769</v>
      </c>
      <c r="H190" s="41" t="s">
        <v>752</v>
      </c>
      <c r="I190" s="41"/>
      <c r="J190" s="44">
        <v>1</v>
      </c>
      <c r="K190" s="47">
        <v>2</v>
      </c>
      <c r="L190" s="44" t="s">
        <v>18</v>
      </c>
      <c r="M190" s="44" t="s">
        <v>18</v>
      </c>
      <c r="N190" s="44" t="s">
        <v>18</v>
      </c>
      <c r="O190" s="44" t="s">
        <v>675</v>
      </c>
      <c r="P190" s="44" t="s">
        <v>475</v>
      </c>
      <c r="Q190" s="44" t="s">
        <v>569</v>
      </c>
      <c r="R190" s="44" t="s">
        <v>676</v>
      </c>
      <c r="S190" s="44" t="s">
        <v>753</v>
      </c>
      <c r="T190" s="44" t="s">
        <v>18</v>
      </c>
      <c r="U190" s="44" t="s">
        <v>18</v>
      </c>
      <c r="V190" s="44"/>
      <c r="W190" s="44"/>
    </row>
    <row r="191" spans="2:23">
      <c r="B191" s="75" t="str">
        <f>IF(tbl_Instruement_List[[#This Row],[Tag_New]]="",tbl_Instruement_List[[#This Row],[Tag]],tbl_Instruement_List[[#This Row],[Tag_New]])</f>
        <v>XV-40202B</v>
      </c>
      <c r="C191" s="75"/>
      <c r="D191" s="41" t="s">
        <v>770</v>
      </c>
      <c r="E191" s="41" t="s">
        <v>160</v>
      </c>
      <c r="F191" s="42" t="s">
        <v>170</v>
      </c>
      <c r="G191" s="41" t="s">
        <v>771</v>
      </c>
      <c r="H191" s="41" t="s">
        <v>752</v>
      </c>
      <c r="I191" s="41"/>
      <c r="J191" s="44">
        <v>1</v>
      </c>
      <c r="K191" s="47">
        <v>2</v>
      </c>
      <c r="L191" s="44" t="s">
        <v>18</v>
      </c>
      <c r="M191" s="44" t="s">
        <v>18</v>
      </c>
      <c r="N191" s="44" t="s">
        <v>18</v>
      </c>
      <c r="O191" s="44" t="s">
        <v>675</v>
      </c>
      <c r="P191" s="44" t="s">
        <v>475</v>
      </c>
      <c r="Q191" s="44" t="s">
        <v>569</v>
      </c>
      <c r="R191" s="44" t="s">
        <v>676</v>
      </c>
      <c r="S191" s="44" t="s">
        <v>753</v>
      </c>
      <c r="T191" s="44" t="s">
        <v>18</v>
      </c>
      <c r="U191" s="44" t="s">
        <v>18</v>
      </c>
      <c r="V191" s="44"/>
      <c r="W191" s="44"/>
    </row>
    <row r="192" spans="2:23">
      <c r="B192" s="75" t="str">
        <f>IF(tbl_Instruement_List[[#This Row],[Tag_New]]="",tbl_Instruement_List[[#This Row],[Tag]],tbl_Instruement_List[[#This Row],[Tag_New]])</f>
        <v>XV-40202C</v>
      </c>
      <c r="C192" s="75"/>
      <c r="D192" s="41" t="s">
        <v>772</v>
      </c>
      <c r="E192" s="41" t="s">
        <v>161</v>
      </c>
      <c r="F192" s="42" t="s">
        <v>170</v>
      </c>
      <c r="G192" s="41" t="s">
        <v>773</v>
      </c>
      <c r="H192" s="41" t="s">
        <v>752</v>
      </c>
      <c r="I192" s="41"/>
      <c r="J192" s="44">
        <v>1</v>
      </c>
      <c r="K192" s="47">
        <v>2</v>
      </c>
      <c r="L192" s="44" t="s">
        <v>18</v>
      </c>
      <c r="M192" s="44" t="s">
        <v>18</v>
      </c>
      <c r="N192" s="44" t="s">
        <v>18</v>
      </c>
      <c r="O192" s="44" t="s">
        <v>675</v>
      </c>
      <c r="P192" s="44" t="s">
        <v>475</v>
      </c>
      <c r="Q192" s="44" t="s">
        <v>569</v>
      </c>
      <c r="R192" s="44" t="s">
        <v>676</v>
      </c>
      <c r="S192" s="44" t="s">
        <v>753</v>
      </c>
      <c r="T192" s="44" t="s">
        <v>18</v>
      </c>
      <c r="U192" s="44" t="s">
        <v>18</v>
      </c>
      <c r="V192" s="44"/>
      <c r="W192" s="44"/>
    </row>
    <row r="193" spans="2:23">
      <c r="B193" s="75" t="str">
        <f>IF(tbl_Instruement_List[[#This Row],[Tag_New]]="",tbl_Instruement_List[[#This Row],[Tag]],tbl_Instruement_List[[#This Row],[Tag_New]])</f>
        <v>XV-40202D</v>
      </c>
      <c r="C193" s="75"/>
      <c r="D193" s="41" t="s">
        <v>774</v>
      </c>
      <c r="E193" s="41" t="s">
        <v>162</v>
      </c>
      <c r="F193" s="42" t="s">
        <v>170</v>
      </c>
      <c r="G193" s="41" t="s">
        <v>775</v>
      </c>
      <c r="H193" s="41" t="s">
        <v>752</v>
      </c>
      <c r="I193" s="41"/>
      <c r="J193" s="44">
        <v>1</v>
      </c>
      <c r="K193" s="47">
        <v>2</v>
      </c>
      <c r="L193" s="44" t="s">
        <v>18</v>
      </c>
      <c r="M193" s="44" t="s">
        <v>18</v>
      </c>
      <c r="N193" s="44" t="s">
        <v>18</v>
      </c>
      <c r="O193" s="44" t="s">
        <v>675</v>
      </c>
      <c r="P193" s="44" t="s">
        <v>475</v>
      </c>
      <c r="Q193" s="44" t="s">
        <v>569</v>
      </c>
      <c r="R193" s="44" t="s">
        <v>676</v>
      </c>
      <c r="S193" s="44" t="s">
        <v>753</v>
      </c>
      <c r="T193" s="44" t="s">
        <v>18</v>
      </c>
      <c r="U193" s="44" t="s">
        <v>18</v>
      </c>
      <c r="V193" s="44"/>
      <c r="W193" s="44"/>
    </row>
    <row r="194" spans="2:23">
      <c r="B194" s="75" t="str">
        <f>IF(tbl_Instruement_List[[#This Row],[Tag_New]]="",tbl_Instruement_List[[#This Row],[Tag]],tbl_Instruement_List[[#This Row],[Tag_New]])</f>
        <v>XV-40202E</v>
      </c>
      <c r="C194" s="75"/>
      <c r="D194" s="41" t="s">
        <v>776</v>
      </c>
      <c r="E194" s="41" t="s">
        <v>163</v>
      </c>
      <c r="F194" s="42" t="s">
        <v>170</v>
      </c>
      <c r="G194" s="41" t="s">
        <v>777</v>
      </c>
      <c r="H194" s="41" t="s">
        <v>752</v>
      </c>
      <c r="I194" s="41"/>
      <c r="J194" s="44">
        <v>1</v>
      </c>
      <c r="K194" s="47">
        <v>2</v>
      </c>
      <c r="L194" s="44" t="s">
        <v>18</v>
      </c>
      <c r="M194" s="44" t="s">
        <v>18</v>
      </c>
      <c r="N194" s="44" t="s">
        <v>18</v>
      </c>
      <c r="O194" s="44" t="s">
        <v>675</v>
      </c>
      <c r="P194" s="44" t="s">
        <v>475</v>
      </c>
      <c r="Q194" s="44" t="s">
        <v>569</v>
      </c>
      <c r="R194" s="44" t="s">
        <v>676</v>
      </c>
      <c r="S194" s="44" t="s">
        <v>753</v>
      </c>
      <c r="T194" s="44" t="s">
        <v>18</v>
      </c>
      <c r="U194" s="44" t="s">
        <v>18</v>
      </c>
      <c r="V194" s="44"/>
      <c r="W194" s="44"/>
    </row>
    <row r="195" spans="2:23">
      <c r="B195" s="75" t="str">
        <f>IF(tbl_Instruement_List[[#This Row],[Tag_New]]="",tbl_Instruement_List[[#This Row],[Tag]],tbl_Instruement_List[[#This Row],[Tag_New]])</f>
        <v>XV-40202F</v>
      </c>
      <c r="C195" s="75"/>
      <c r="D195" s="41" t="s">
        <v>778</v>
      </c>
      <c r="E195" s="41" t="s">
        <v>164</v>
      </c>
      <c r="F195" s="42" t="s">
        <v>170</v>
      </c>
      <c r="G195" s="41" t="s">
        <v>763</v>
      </c>
      <c r="H195" s="41" t="s">
        <v>752</v>
      </c>
      <c r="I195" s="41"/>
      <c r="J195" s="44">
        <v>1</v>
      </c>
      <c r="K195" s="47">
        <v>2</v>
      </c>
      <c r="L195" s="44" t="s">
        <v>18</v>
      </c>
      <c r="M195" s="44" t="s">
        <v>18</v>
      </c>
      <c r="N195" s="44" t="s">
        <v>18</v>
      </c>
      <c r="O195" s="44" t="s">
        <v>675</v>
      </c>
      <c r="P195" s="44" t="s">
        <v>475</v>
      </c>
      <c r="Q195" s="44" t="s">
        <v>569</v>
      </c>
      <c r="R195" s="44" t="s">
        <v>676</v>
      </c>
      <c r="S195" s="44" t="s">
        <v>753</v>
      </c>
      <c r="T195" s="44" t="s">
        <v>18</v>
      </c>
      <c r="U195" s="44" t="s">
        <v>18</v>
      </c>
      <c r="V195" s="44"/>
      <c r="W195" s="44"/>
    </row>
    <row r="196" spans="2:23">
      <c r="B196" s="75" t="str">
        <f>IF(tbl_Instruement_List[[#This Row],[Tag_New]]="",tbl_Instruement_List[[#This Row],[Tag]],tbl_Instruement_List[[#This Row],[Tag_New]])</f>
        <v>XV-40202G</v>
      </c>
      <c r="C196" s="75"/>
      <c r="D196" s="41" t="s">
        <v>779</v>
      </c>
      <c r="E196" s="41" t="s">
        <v>165</v>
      </c>
      <c r="F196" s="42" t="s">
        <v>170</v>
      </c>
      <c r="G196" s="41" t="s">
        <v>780</v>
      </c>
      <c r="H196" s="41" t="s">
        <v>752</v>
      </c>
      <c r="I196" s="41"/>
      <c r="J196" s="44">
        <v>1</v>
      </c>
      <c r="K196" s="47">
        <v>2</v>
      </c>
      <c r="L196" s="44" t="s">
        <v>18</v>
      </c>
      <c r="M196" s="44" t="s">
        <v>18</v>
      </c>
      <c r="N196" s="44" t="s">
        <v>18</v>
      </c>
      <c r="O196" s="44" t="s">
        <v>675</v>
      </c>
      <c r="P196" s="44" t="s">
        <v>475</v>
      </c>
      <c r="Q196" s="44" t="s">
        <v>569</v>
      </c>
      <c r="R196" s="44" t="s">
        <v>676</v>
      </c>
      <c r="S196" s="44" t="s">
        <v>753</v>
      </c>
      <c r="T196" s="44" t="s">
        <v>18</v>
      </c>
      <c r="U196" s="44" t="s">
        <v>18</v>
      </c>
      <c r="V196" s="44"/>
      <c r="W196" s="44"/>
    </row>
    <row r="197" spans="2:23">
      <c r="B197" s="75" t="str">
        <f>IF(tbl_Instruement_List[[#This Row],[Tag_New]]="",tbl_Instruement_List[[#This Row],[Tag]],tbl_Instruement_List[[#This Row],[Tag_New]])</f>
        <v>XV-40202H</v>
      </c>
      <c r="C197" s="75"/>
      <c r="D197" s="41" t="s">
        <v>781</v>
      </c>
      <c r="E197" s="41" t="s">
        <v>166</v>
      </c>
      <c r="F197" s="42" t="s">
        <v>170</v>
      </c>
      <c r="G197" s="41" t="s">
        <v>782</v>
      </c>
      <c r="H197" s="41" t="s">
        <v>752</v>
      </c>
      <c r="I197" s="41"/>
      <c r="J197" s="44">
        <v>1</v>
      </c>
      <c r="K197" s="47">
        <v>2</v>
      </c>
      <c r="L197" s="44" t="s">
        <v>18</v>
      </c>
      <c r="M197" s="44" t="s">
        <v>18</v>
      </c>
      <c r="N197" s="44" t="s">
        <v>18</v>
      </c>
      <c r="O197" s="44" t="s">
        <v>675</v>
      </c>
      <c r="P197" s="44" t="s">
        <v>475</v>
      </c>
      <c r="Q197" s="44" t="s">
        <v>569</v>
      </c>
      <c r="R197" s="44" t="s">
        <v>676</v>
      </c>
      <c r="S197" s="44" t="s">
        <v>753</v>
      </c>
      <c r="T197" s="44" t="s">
        <v>18</v>
      </c>
      <c r="U197" s="44" t="s">
        <v>18</v>
      </c>
      <c r="V197" s="44"/>
      <c r="W197" s="44"/>
    </row>
    <row r="198" spans="2:23">
      <c r="B198" s="75" t="str">
        <f>IF(tbl_Instruement_List[[#This Row],[Tag_New]]="",tbl_Instruement_List[[#This Row],[Tag]],tbl_Instruement_List[[#This Row],[Tag_New]])</f>
        <v>XV-40203B</v>
      </c>
      <c r="C198" s="75"/>
      <c r="D198" s="41" t="s">
        <v>152</v>
      </c>
      <c r="E198" s="41" t="s">
        <v>128</v>
      </c>
      <c r="F198" s="42" t="s">
        <v>172</v>
      </c>
      <c r="G198" s="41" t="s">
        <v>783</v>
      </c>
      <c r="H198" s="41" t="s">
        <v>752</v>
      </c>
      <c r="I198" s="41"/>
      <c r="J198" s="44">
        <v>1</v>
      </c>
      <c r="K198" s="47">
        <v>2</v>
      </c>
      <c r="L198" s="44" t="s">
        <v>18</v>
      </c>
      <c r="M198" s="44" t="s">
        <v>18</v>
      </c>
      <c r="N198" s="44" t="s">
        <v>18</v>
      </c>
      <c r="O198" s="44" t="s">
        <v>675</v>
      </c>
      <c r="P198" s="44" t="s">
        <v>475</v>
      </c>
      <c r="Q198" s="44" t="s">
        <v>569</v>
      </c>
      <c r="R198" s="44" t="s">
        <v>676</v>
      </c>
      <c r="S198" s="44" t="s">
        <v>753</v>
      </c>
      <c r="T198" s="44" t="s">
        <v>18</v>
      </c>
      <c r="U198" s="44" t="s">
        <v>18</v>
      </c>
      <c r="V198" s="44"/>
      <c r="W198" s="44"/>
    </row>
    <row r="199" spans="2:23">
      <c r="B199" s="75" t="str">
        <f>IF(tbl_Instruement_List[[#This Row],[Tag_New]]="",tbl_Instruement_List[[#This Row],[Tag]],tbl_Instruement_List[[#This Row],[Tag_New]])</f>
        <v>XV-40203C</v>
      </c>
      <c r="C199" s="75"/>
      <c r="D199" s="41" t="s">
        <v>153</v>
      </c>
      <c r="E199" s="41" t="s">
        <v>129</v>
      </c>
      <c r="F199" s="42" t="s">
        <v>172</v>
      </c>
      <c r="G199" s="41" t="s">
        <v>784</v>
      </c>
      <c r="H199" s="41" t="s">
        <v>752</v>
      </c>
      <c r="I199" s="41"/>
      <c r="J199" s="44">
        <v>1</v>
      </c>
      <c r="K199" s="47">
        <v>2</v>
      </c>
      <c r="L199" s="44" t="s">
        <v>18</v>
      </c>
      <c r="M199" s="44" t="s">
        <v>18</v>
      </c>
      <c r="N199" s="44" t="s">
        <v>18</v>
      </c>
      <c r="O199" s="44" t="s">
        <v>675</v>
      </c>
      <c r="P199" s="44" t="s">
        <v>475</v>
      </c>
      <c r="Q199" s="44" t="s">
        <v>569</v>
      </c>
      <c r="R199" s="44" t="s">
        <v>676</v>
      </c>
      <c r="S199" s="44" t="s">
        <v>753</v>
      </c>
      <c r="T199" s="44" t="s">
        <v>18</v>
      </c>
      <c r="U199" s="44" t="s">
        <v>18</v>
      </c>
      <c r="V199" s="44"/>
      <c r="W199" s="44"/>
    </row>
    <row r="200" spans="2:23">
      <c r="B200" s="75" t="str">
        <f>IF(tbl_Instruement_List[[#This Row],[Tag_New]]="",tbl_Instruement_List[[#This Row],[Tag]],tbl_Instruement_List[[#This Row],[Tag_New]])</f>
        <v>XV-40203D</v>
      </c>
      <c r="C200" s="75"/>
      <c r="D200" s="41" t="s">
        <v>154</v>
      </c>
      <c r="E200" s="41" t="s">
        <v>130</v>
      </c>
      <c r="F200" s="42" t="s">
        <v>172</v>
      </c>
      <c r="G200" s="41" t="s">
        <v>785</v>
      </c>
      <c r="H200" s="41" t="s">
        <v>752</v>
      </c>
      <c r="I200" s="41"/>
      <c r="J200" s="44">
        <v>1</v>
      </c>
      <c r="K200" s="47">
        <v>2</v>
      </c>
      <c r="L200" s="44" t="s">
        <v>18</v>
      </c>
      <c r="M200" s="44" t="s">
        <v>18</v>
      </c>
      <c r="N200" s="44" t="s">
        <v>18</v>
      </c>
      <c r="O200" s="44" t="s">
        <v>675</v>
      </c>
      <c r="P200" s="44" t="s">
        <v>475</v>
      </c>
      <c r="Q200" s="44" t="s">
        <v>569</v>
      </c>
      <c r="R200" s="44" t="s">
        <v>676</v>
      </c>
      <c r="S200" s="44" t="s">
        <v>753</v>
      </c>
      <c r="T200" s="44" t="s">
        <v>18</v>
      </c>
      <c r="U200" s="44" t="s">
        <v>18</v>
      </c>
      <c r="V200" s="44"/>
      <c r="W200" s="44"/>
    </row>
    <row r="201" spans="2:23">
      <c r="B201" s="75" t="str">
        <f>IF(tbl_Instruement_List[[#This Row],[Tag_New]]="",tbl_Instruement_List[[#This Row],[Tag]],tbl_Instruement_List[[#This Row],[Tag_New]])</f>
        <v>XV-40203E</v>
      </c>
      <c r="C201" s="75"/>
      <c r="D201" s="41" t="s">
        <v>155</v>
      </c>
      <c r="E201" s="41" t="s">
        <v>131</v>
      </c>
      <c r="F201" s="42" t="s">
        <v>172</v>
      </c>
      <c r="G201" s="41" t="s">
        <v>786</v>
      </c>
      <c r="H201" s="41" t="s">
        <v>752</v>
      </c>
      <c r="I201" s="41"/>
      <c r="J201" s="44">
        <v>1</v>
      </c>
      <c r="K201" s="47">
        <v>2</v>
      </c>
      <c r="L201" s="44" t="s">
        <v>18</v>
      </c>
      <c r="M201" s="44" t="s">
        <v>18</v>
      </c>
      <c r="N201" s="44" t="s">
        <v>18</v>
      </c>
      <c r="O201" s="44" t="s">
        <v>675</v>
      </c>
      <c r="P201" s="44" t="s">
        <v>475</v>
      </c>
      <c r="Q201" s="44" t="s">
        <v>569</v>
      </c>
      <c r="R201" s="44" t="s">
        <v>676</v>
      </c>
      <c r="S201" s="44" t="s">
        <v>753</v>
      </c>
      <c r="T201" s="44" t="s">
        <v>18</v>
      </c>
      <c r="U201" s="44" t="s">
        <v>18</v>
      </c>
      <c r="V201" s="44"/>
      <c r="W201" s="44"/>
    </row>
    <row r="202" spans="2:23">
      <c r="B202" s="75" t="str">
        <f>IF(tbl_Instruement_List[[#This Row],[Tag_New]]="",tbl_Instruement_List[[#This Row],[Tag]],tbl_Instruement_List[[#This Row],[Tag_New]])</f>
        <v>XV-40203F</v>
      </c>
      <c r="C202" s="75"/>
      <c r="D202" s="41"/>
      <c r="E202" s="41" t="s">
        <v>181</v>
      </c>
      <c r="F202" s="42" t="s">
        <v>172</v>
      </c>
      <c r="G202" s="41" t="s">
        <v>169</v>
      </c>
      <c r="H202" s="41" t="s">
        <v>752</v>
      </c>
      <c r="I202" s="41"/>
      <c r="J202" s="44">
        <v>1</v>
      </c>
      <c r="K202" s="47">
        <v>2</v>
      </c>
      <c r="L202" s="44" t="s">
        <v>18</v>
      </c>
      <c r="M202" s="44" t="s">
        <v>18</v>
      </c>
      <c r="N202" s="44" t="s">
        <v>18</v>
      </c>
      <c r="O202" s="44" t="s">
        <v>675</v>
      </c>
      <c r="P202" s="44" t="s">
        <v>475</v>
      </c>
      <c r="Q202" s="44" t="s">
        <v>569</v>
      </c>
      <c r="R202" s="44" t="s">
        <v>676</v>
      </c>
      <c r="S202" s="44" t="s">
        <v>753</v>
      </c>
      <c r="T202" s="44" t="s">
        <v>18</v>
      </c>
      <c r="U202" s="44" t="s">
        <v>18</v>
      </c>
      <c r="V202" s="44"/>
      <c r="W202" s="44"/>
    </row>
    <row r="203" spans="2:23">
      <c r="B203" s="75" t="str">
        <f>IF(tbl_Instruement_List[[#This Row],[Tag_New]]="",tbl_Instruement_List[[#This Row],[Tag]],tbl_Instruement_List[[#This Row],[Tag_New]])</f>
        <v>XV-40204B</v>
      </c>
      <c r="C203" s="75"/>
      <c r="D203" s="41"/>
      <c r="E203" s="41" t="s">
        <v>182</v>
      </c>
      <c r="F203" s="42" t="s">
        <v>170</v>
      </c>
      <c r="G203" s="41" t="s">
        <v>169</v>
      </c>
      <c r="H203" s="41" t="s">
        <v>752</v>
      </c>
      <c r="I203" s="41"/>
      <c r="J203" s="44">
        <v>1</v>
      </c>
      <c r="K203" s="47">
        <v>2</v>
      </c>
      <c r="L203" s="44" t="s">
        <v>18</v>
      </c>
      <c r="M203" s="44" t="s">
        <v>18</v>
      </c>
      <c r="N203" s="44" t="s">
        <v>18</v>
      </c>
      <c r="O203" s="44" t="s">
        <v>675</v>
      </c>
      <c r="P203" s="44" t="s">
        <v>475</v>
      </c>
      <c r="Q203" s="44" t="s">
        <v>569</v>
      </c>
      <c r="R203" s="44" t="s">
        <v>676</v>
      </c>
      <c r="S203" s="44" t="s">
        <v>753</v>
      </c>
      <c r="T203" s="44" t="s">
        <v>18</v>
      </c>
      <c r="U203" s="44" t="s">
        <v>18</v>
      </c>
      <c r="V203" s="44"/>
      <c r="W203" s="44"/>
    </row>
    <row r="204" spans="2:23">
      <c r="B204" s="75" t="str">
        <f>IF(tbl_Instruement_List[[#This Row],[Tag_New]]="",tbl_Instruement_List[[#This Row],[Tag]],tbl_Instruement_List[[#This Row],[Tag_New]])</f>
        <v>XV-40204C</v>
      </c>
      <c r="C204" s="75"/>
      <c r="D204" s="41"/>
      <c r="E204" s="41" t="s">
        <v>183</v>
      </c>
      <c r="F204" s="42" t="s">
        <v>170</v>
      </c>
      <c r="G204" s="41" t="s">
        <v>169</v>
      </c>
      <c r="H204" s="41" t="s">
        <v>752</v>
      </c>
      <c r="I204" s="41"/>
      <c r="J204" s="44">
        <v>1</v>
      </c>
      <c r="K204" s="47">
        <v>2</v>
      </c>
      <c r="L204" s="44" t="s">
        <v>18</v>
      </c>
      <c r="M204" s="44" t="s">
        <v>18</v>
      </c>
      <c r="N204" s="44" t="s">
        <v>18</v>
      </c>
      <c r="O204" s="44" t="s">
        <v>675</v>
      </c>
      <c r="P204" s="44" t="s">
        <v>475</v>
      </c>
      <c r="Q204" s="44" t="s">
        <v>569</v>
      </c>
      <c r="R204" s="44" t="s">
        <v>676</v>
      </c>
      <c r="S204" s="44" t="s">
        <v>753</v>
      </c>
      <c r="T204" s="44" t="s">
        <v>18</v>
      </c>
      <c r="U204" s="44" t="s">
        <v>18</v>
      </c>
      <c r="V204" s="44"/>
      <c r="W204" s="44"/>
    </row>
    <row r="205" spans="2:23">
      <c r="B205" s="75" t="str">
        <f>IF(tbl_Instruement_List[[#This Row],[Tag_New]]="",tbl_Instruement_List[[#This Row],[Tag]],tbl_Instruement_List[[#This Row],[Tag_New]])</f>
        <v>XV-40205A</v>
      </c>
      <c r="C205" s="75"/>
      <c r="D205" s="41"/>
      <c r="E205" s="41" t="s">
        <v>184</v>
      </c>
      <c r="F205" s="42" t="s">
        <v>172</v>
      </c>
      <c r="G205" s="41" t="s">
        <v>169</v>
      </c>
      <c r="H205" s="41" t="s">
        <v>752</v>
      </c>
      <c r="I205" s="41"/>
      <c r="J205" s="44">
        <v>1</v>
      </c>
      <c r="K205" s="47">
        <v>2</v>
      </c>
      <c r="L205" s="44" t="s">
        <v>18</v>
      </c>
      <c r="M205" s="44" t="s">
        <v>18</v>
      </c>
      <c r="N205" s="44" t="s">
        <v>18</v>
      </c>
      <c r="O205" s="44" t="s">
        <v>675</v>
      </c>
      <c r="P205" s="44" t="s">
        <v>475</v>
      </c>
      <c r="Q205" s="44" t="s">
        <v>569</v>
      </c>
      <c r="R205" s="44" t="s">
        <v>676</v>
      </c>
      <c r="S205" s="44" t="s">
        <v>753</v>
      </c>
      <c r="T205" s="44" t="s">
        <v>18</v>
      </c>
      <c r="U205" s="44" t="s">
        <v>18</v>
      </c>
      <c r="V205" s="44"/>
      <c r="W205" s="44"/>
    </row>
    <row r="206" spans="2:23">
      <c r="B206" s="75" t="str">
        <f>IF(tbl_Instruement_List[[#This Row],[Tag_New]]="",tbl_Instruement_List[[#This Row],[Tag]],tbl_Instruement_List[[#This Row],[Tag_New]])</f>
        <v>XV-40205B</v>
      </c>
      <c r="C206" s="75"/>
      <c r="D206" s="41"/>
      <c r="E206" s="41" t="s">
        <v>185</v>
      </c>
      <c r="F206" s="42" t="s">
        <v>172</v>
      </c>
      <c r="G206" s="41" t="s">
        <v>169</v>
      </c>
      <c r="H206" s="41" t="s">
        <v>752</v>
      </c>
      <c r="I206" s="41"/>
      <c r="J206" s="44">
        <v>1</v>
      </c>
      <c r="K206" s="47">
        <v>2</v>
      </c>
      <c r="L206" s="44" t="s">
        <v>18</v>
      </c>
      <c r="M206" s="44" t="s">
        <v>18</v>
      </c>
      <c r="N206" s="44" t="s">
        <v>18</v>
      </c>
      <c r="O206" s="44" t="s">
        <v>675</v>
      </c>
      <c r="P206" s="44" t="s">
        <v>475</v>
      </c>
      <c r="Q206" s="44" t="s">
        <v>569</v>
      </c>
      <c r="R206" s="44" t="s">
        <v>676</v>
      </c>
      <c r="S206" s="44" t="s">
        <v>753</v>
      </c>
      <c r="T206" s="44" t="s">
        <v>18</v>
      </c>
      <c r="U206" s="44" t="s">
        <v>18</v>
      </c>
      <c r="V206" s="44"/>
      <c r="W206" s="44"/>
    </row>
    <row r="207" spans="2:23">
      <c r="B207" s="75" t="str">
        <f>IF(tbl_Instruement_List[[#This Row],[Tag_New]]="",tbl_Instruement_List[[#This Row],[Tag]],tbl_Instruement_List[[#This Row],[Tag_New]])</f>
        <v>XV-40205C</v>
      </c>
      <c r="C207" s="75"/>
      <c r="D207" s="41"/>
      <c r="E207" s="41" t="s">
        <v>186</v>
      </c>
      <c r="F207" s="42" t="s">
        <v>172</v>
      </c>
      <c r="G207" s="41" t="s">
        <v>169</v>
      </c>
      <c r="H207" s="41" t="s">
        <v>752</v>
      </c>
      <c r="I207" s="41"/>
      <c r="J207" s="44">
        <v>1</v>
      </c>
      <c r="K207" s="47">
        <v>2</v>
      </c>
      <c r="L207" s="44" t="s">
        <v>18</v>
      </c>
      <c r="M207" s="44" t="s">
        <v>18</v>
      </c>
      <c r="N207" s="44" t="s">
        <v>18</v>
      </c>
      <c r="O207" s="44" t="s">
        <v>675</v>
      </c>
      <c r="P207" s="44" t="s">
        <v>475</v>
      </c>
      <c r="Q207" s="44" t="s">
        <v>569</v>
      </c>
      <c r="R207" s="44" t="s">
        <v>676</v>
      </c>
      <c r="S207" s="44" t="s">
        <v>753</v>
      </c>
      <c r="T207" s="44" t="s">
        <v>18</v>
      </c>
      <c r="U207" s="44" t="s">
        <v>18</v>
      </c>
      <c r="V207" s="44"/>
      <c r="W207" s="44"/>
    </row>
    <row r="208" spans="2:23">
      <c r="B208" s="75" t="str">
        <f>IF(tbl_Instruement_List[[#This Row],[Tag_New]]="",tbl_Instruement_List[[#This Row],[Tag]],tbl_Instruement_List[[#This Row],[Tag_New]])</f>
        <v>XV-40205D</v>
      </c>
      <c r="C208" s="75"/>
      <c r="D208" s="41"/>
      <c r="E208" s="41" t="s">
        <v>187</v>
      </c>
      <c r="F208" s="42" t="s">
        <v>172</v>
      </c>
      <c r="G208" s="41" t="s">
        <v>169</v>
      </c>
      <c r="H208" s="41" t="s">
        <v>752</v>
      </c>
      <c r="I208" s="41"/>
      <c r="J208" s="44">
        <v>1</v>
      </c>
      <c r="K208" s="47">
        <v>2</v>
      </c>
      <c r="L208" s="44" t="s">
        <v>18</v>
      </c>
      <c r="M208" s="44" t="s">
        <v>18</v>
      </c>
      <c r="N208" s="44" t="s">
        <v>18</v>
      </c>
      <c r="O208" s="44" t="s">
        <v>675</v>
      </c>
      <c r="P208" s="44" t="s">
        <v>475</v>
      </c>
      <c r="Q208" s="44" t="s">
        <v>569</v>
      </c>
      <c r="R208" s="44" t="s">
        <v>676</v>
      </c>
      <c r="S208" s="44" t="s">
        <v>753</v>
      </c>
      <c r="T208" s="44" t="s">
        <v>18</v>
      </c>
      <c r="U208" s="44" t="s">
        <v>18</v>
      </c>
      <c r="V208" s="44"/>
      <c r="W208" s="44"/>
    </row>
    <row r="209" spans="2:23">
      <c r="B209" s="75" t="str">
        <f>IF(tbl_Instruement_List[[#This Row],[Tag_New]]="",tbl_Instruement_List[[#This Row],[Tag]],tbl_Instruement_List[[#This Row],[Tag_New]])</f>
        <v>XV-40205F</v>
      </c>
      <c r="C209" s="75"/>
      <c r="D209" s="41"/>
      <c r="E209" s="41" t="s">
        <v>188</v>
      </c>
      <c r="F209" s="42" t="s">
        <v>172</v>
      </c>
      <c r="G209" s="41" t="s">
        <v>169</v>
      </c>
      <c r="H209" s="41" t="s">
        <v>752</v>
      </c>
      <c r="I209" s="41"/>
      <c r="J209" s="44">
        <v>1</v>
      </c>
      <c r="K209" s="47">
        <v>2</v>
      </c>
      <c r="L209" s="44" t="s">
        <v>18</v>
      </c>
      <c r="M209" s="44" t="s">
        <v>18</v>
      </c>
      <c r="N209" s="44" t="s">
        <v>18</v>
      </c>
      <c r="O209" s="44" t="s">
        <v>675</v>
      </c>
      <c r="P209" s="44" t="s">
        <v>475</v>
      </c>
      <c r="Q209" s="44" t="s">
        <v>569</v>
      </c>
      <c r="R209" s="44" t="s">
        <v>676</v>
      </c>
      <c r="S209" s="44" t="s">
        <v>753</v>
      </c>
      <c r="T209" s="44" t="s">
        <v>18</v>
      </c>
      <c r="U209" s="44" t="s">
        <v>18</v>
      </c>
      <c r="V209" s="44"/>
      <c r="W209" s="44"/>
    </row>
    <row r="210" spans="2:23">
      <c r="B210" s="75" t="str">
        <f>IF(tbl_Instruement_List[[#This Row],[Tag_New]]="",tbl_Instruement_List[[#This Row],[Tag]],tbl_Instruement_List[[#This Row],[Tag_New]])</f>
        <v>XV-40222</v>
      </c>
      <c r="C210" s="75"/>
      <c r="D210" s="41"/>
      <c r="E210" s="41" t="s">
        <v>189</v>
      </c>
      <c r="F210" s="42" t="s">
        <v>172</v>
      </c>
      <c r="G210" s="41" t="s">
        <v>169</v>
      </c>
      <c r="H210" s="41" t="s">
        <v>752</v>
      </c>
      <c r="I210" s="41"/>
      <c r="J210" s="44">
        <v>1</v>
      </c>
      <c r="K210" s="47">
        <v>2</v>
      </c>
      <c r="L210" s="44" t="s">
        <v>18</v>
      </c>
      <c r="M210" s="44" t="s">
        <v>18</v>
      </c>
      <c r="N210" s="44" t="s">
        <v>18</v>
      </c>
      <c r="O210" s="44" t="s">
        <v>675</v>
      </c>
      <c r="P210" s="44" t="s">
        <v>475</v>
      </c>
      <c r="Q210" s="44" t="s">
        <v>569</v>
      </c>
      <c r="R210" s="44" t="s">
        <v>676</v>
      </c>
      <c r="S210" s="44" t="s">
        <v>753</v>
      </c>
      <c r="T210" s="44" t="s">
        <v>18</v>
      </c>
      <c r="U210" s="44" t="s">
        <v>18</v>
      </c>
      <c r="V210" s="44"/>
      <c r="W210" s="44"/>
    </row>
    <row r="211" spans="2:23">
      <c r="B211" s="75" t="str">
        <f>IF(tbl_Instruement_List[[#This Row],[Tag_New]]="",tbl_Instruement_List[[#This Row],[Tag]],tbl_Instruement_List[[#This Row],[Tag_New]])</f>
        <v>XV-60201</v>
      </c>
      <c r="C211" s="75"/>
      <c r="D211" s="41" t="s">
        <v>294</v>
      </c>
      <c r="E211" s="41"/>
      <c r="F211" s="42" t="s">
        <v>528</v>
      </c>
      <c r="G211" s="41" t="s">
        <v>554</v>
      </c>
      <c r="H211" s="41" t="s">
        <v>752</v>
      </c>
      <c r="I211" s="41"/>
      <c r="J211" s="44">
        <v>1</v>
      </c>
      <c r="K211" s="47">
        <v>2</v>
      </c>
      <c r="L211" s="44" t="s">
        <v>18</v>
      </c>
      <c r="M211" s="44" t="s">
        <v>18</v>
      </c>
      <c r="N211" s="44" t="s">
        <v>18</v>
      </c>
      <c r="O211" s="44" t="s">
        <v>675</v>
      </c>
      <c r="P211" s="44" t="s">
        <v>475</v>
      </c>
      <c r="Q211" s="44" t="s">
        <v>569</v>
      </c>
      <c r="R211" s="44" t="s">
        <v>676</v>
      </c>
      <c r="S211" s="44" t="s">
        <v>753</v>
      </c>
      <c r="T211" s="44" t="s">
        <v>18</v>
      </c>
      <c r="U211" s="44" t="s">
        <v>18</v>
      </c>
      <c r="V211" s="44"/>
      <c r="W211" s="44"/>
    </row>
    <row r="212" spans="2:23">
      <c r="B212" s="75" t="str">
        <f>IF(tbl_Instruement_List[[#This Row],[Tag_New]]="",tbl_Instruement_List[[#This Row],[Tag]],tbl_Instruement_List[[#This Row],[Tag_New]])</f>
        <v>XV-60251</v>
      </c>
      <c r="C212" s="75"/>
      <c r="D212" s="41" t="s">
        <v>132</v>
      </c>
      <c r="E212" s="41"/>
      <c r="F212" s="42" t="s">
        <v>638</v>
      </c>
      <c r="G212" s="41" t="s">
        <v>787</v>
      </c>
      <c r="H212" s="41" t="s">
        <v>752</v>
      </c>
      <c r="I212" s="41"/>
      <c r="J212" s="44">
        <v>1</v>
      </c>
      <c r="K212" s="47">
        <v>2</v>
      </c>
      <c r="L212" s="44" t="s">
        <v>18</v>
      </c>
      <c r="M212" s="44" t="s">
        <v>18</v>
      </c>
      <c r="N212" s="44" t="s">
        <v>18</v>
      </c>
      <c r="O212" s="44" t="s">
        <v>675</v>
      </c>
      <c r="P212" s="44" t="s">
        <v>475</v>
      </c>
      <c r="Q212" s="44" t="s">
        <v>569</v>
      </c>
      <c r="R212" s="44" t="s">
        <v>676</v>
      </c>
      <c r="S212" s="44" t="s">
        <v>753</v>
      </c>
      <c r="T212" s="44" t="s">
        <v>18</v>
      </c>
      <c r="U212" s="44" t="s">
        <v>18</v>
      </c>
      <c r="V212" s="44"/>
      <c r="W212" s="44"/>
    </row>
    <row r="213" spans="2:23">
      <c r="B213" s="75" t="str">
        <f>IF(tbl_Instruement_List[[#This Row],[Tag_New]]="",tbl_Instruement_List[[#This Row],[Tag]],tbl_Instruement_List[[#This Row],[Tag_New]])</f>
        <v>XV-60214</v>
      </c>
      <c r="C213" s="75"/>
      <c r="D213" s="41" t="s">
        <v>788</v>
      </c>
      <c r="E213" s="41" t="s">
        <v>256</v>
      </c>
      <c r="F213" s="42" t="s">
        <v>495</v>
      </c>
      <c r="G213" s="41" t="s">
        <v>554</v>
      </c>
      <c r="H213" s="41" t="s">
        <v>752</v>
      </c>
      <c r="I213" s="41"/>
      <c r="J213" s="44">
        <v>1</v>
      </c>
      <c r="K213" s="47">
        <v>2</v>
      </c>
      <c r="L213" s="44" t="s">
        <v>18</v>
      </c>
      <c r="M213" s="44" t="s">
        <v>18</v>
      </c>
      <c r="N213" s="44" t="s">
        <v>18</v>
      </c>
      <c r="O213" s="44" t="s">
        <v>675</v>
      </c>
      <c r="P213" s="44" t="s">
        <v>475</v>
      </c>
      <c r="Q213" s="44" t="s">
        <v>569</v>
      </c>
      <c r="R213" s="44" t="s">
        <v>676</v>
      </c>
      <c r="S213" s="44" t="s">
        <v>753</v>
      </c>
      <c r="T213" s="44" t="s">
        <v>18</v>
      </c>
      <c r="U213" s="44" t="s">
        <v>18</v>
      </c>
      <c r="V213" s="44"/>
      <c r="W213" s="44"/>
    </row>
    <row r="214" spans="2:23">
      <c r="B214" s="75" t="str">
        <f>IF(tbl_Instruement_List[[#This Row],[Tag_New]]="",tbl_Instruement_List[[#This Row],[Tag]],tbl_Instruement_List[[#This Row],[Tag_New]])</f>
        <v>XV-60202</v>
      </c>
      <c r="C214" s="75"/>
      <c r="D214" s="41" t="s">
        <v>789</v>
      </c>
      <c r="E214" s="41" t="s">
        <v>211</v>
      </c>
      <c r="F214" s="42" t="s">
        <v>588</v>
      </c>
      <c r="G214" s="41" t="s">
        <v>790</v>
      </c>
      <c r="H214" s="41" t="s">
        <v>752</v>
      </c>
      <c r="I214" s="41"/>
      <c r="J214" s="44">
        <v>1</v>
      </c>
      <c r="K214" s="47">
        <v>2</v>
      </c>
      <c r="L214" s="44" t="s">
        <v>18</v>
      </c>
      <c r="M214" s="44" t="s">
        <v>18</v>
      </c>
      <c r="N214" s="44" t="s">
        <v>18</v>
      </c>
      <c r="O214" s="44" t="s">
        <v>675</v>
      </c>
      <c r="P214" s="44" t="s">
        <v>475</v>
      </c>
      <c r="Q214" s="44" t="s">
        <v>569</v>
      </c>
      <c r="R214" s="44" t="s">
        <v>676</v>
      </c>
      <c r="S214" s="44" t="s">
        <v>753</v>
      </c>
      <c r="T214" s="44" t="s">
        <v>18</v>
      </c>
      <c r="U214" s="44" t="s">
        <v>18</v>
      </c>
      <c r="V214" s="44"/>
      <c r="W214" s="44"/>
    </row>
    <row r="215" spans="2:23" ht="16" customHeight="1">
      <c r="B215" s="75" t="str">
        <f>IF(tbl_Instruement_List[[#This Row],[Tag_New]]="",tbl_Instruement_List[[#This Row],[Tag]],tbl_Instruement_List[[#This Row],[Tag_New]])</f>
        <v>XV-61301</v>
      </c>
      <c r="C215" s="75"/>
      <c r="D215" s="41" t="s">
        <v>791</v>
      </c>
      <c r="E215" s="41" t="s">
        <v>792</v>
      </c>
      <c r="F215" s="42" t="s">
        <v>78</v>
      </c>
      <c r="G215" s="41" t="s">
        <v>793</v>
      </c>
      <c r="H215" s="41" t="s">
        <v>752</v>
      </c>
      <c r="I215" s="41"/>
      <c r="J215" s="62" t="s">
        <v>18</v>
      </c>
      <c r="K215" s="47">
        <v>2</v>
      </c>
      <c r="L215" s="44" t="s">
        <v>18</v>
      </c>
      <c r="M215" s="44" t="s">
        <v>18</v>
      </c>
      <c r="N215" s="44" t="s">
        <v>18</v>
      </c>
      <c r="O215" s="44" t="s">
        <v>675</v>
      </c>
      <c r="P215" s="44" t="s">
        <v>475</v>
      </c>
      <c r="Q215" s="44" t="s">
        <v>569</v>
      </c>
      <c r="R215" s="44" t="s">
        <v>676</v>
      </c>
      <c r="S215" s="44" t="s">
        <v>753</v>
      </c>
      <c r="T215" s="44" t="s">
        <v>564</v>
      </c>
      <c r="U215" s="44" t="s">
        <v>18</v>
      </c>
      <c r="V215" s="44"/>
      <c r="W215" s="44"/>
    </row>
    <row r="216" spans="2:23">
      <c r="B216" s="75" t="str">
        <f>IF(tbl_Instruement_List[[#This Row],[Tag_New]]="",tbl_Instruement_List[[#This Row],[Tag]],tbl_Instruement_List[[#This Row],[Tag_New]])</f>
        <v>XV-61302</v>
      </c>
      <c r="C216" s="75"/>
      <c r="D216" s="41" t="s">
        <v>355</v>
      </c>
      <c r="E216" s="41"/>
      <c r="F216" s="42" t="s">
        <v>356</v>
      </c>
      <c r="G216" s="41" t="s">
        <v>794</v>
      </c>
      <c r="H216" s="41" t="s">
        <v>752</v>
      </c>
      <c r="I216" s="41"/>
      <c r="J216" s="44">
        <v>1</v>
      </c>
      <c r="K216" s="47">
        <v>2</v>
      </c>
      <c r="L216" s="44" t="s">
        <v>18</v>
      </c>
      <c r="M216" s="44" t="s">
        <v>18</v>
      </c>
      <c r="N216" s="44" t="s">
        <v>18</v>
      </c>
      <c r="O216" s="44" t="s">
        <v>675</v>
      </c>
      <c r="P216" s="44" t="s">
        <v>475</v>
      </c>
      <c r="Q216" s="44" t="s">
        <v>569</v>
      </c>
      <c r="R216" s="44" t="s">
        <v>676</v>
      </c>
      <c r="S216" s="44" t="s">
        <v>753</v>
      </c>
      <c r="T216" s="44" t="s">
        <v>564</v>
      </c>
      <c r="U216" s="44" t="s">
        <v>18</v>
      </c>
      <c r="V216" s="44"/>
      <c r="W216" s="44"/>
    </row>
    <row r="217" spans="2:23">
      <c r="B217" s="75" t="str">
        <f>IF(tbl_Instruement_List[[#This Row],[Tag_New]]="",tbl_Instruement_List[[#This Row],[Tag]],tbl_Instruement_List[[#This Row],[Tag_New]])</f>
        <v>XV-61303</v>
      </c>
      <c r="C217" s="75"/>
      <c r="D217" s="41" t="s">
        <v>358</v>
      </c>
      <c r="E217" s="41"/>
      <c r="F217" s="42" t="s">
        <v>356</v>
      </c>
      <c r="G217" s="41" t="s">
        <v>795</v>
      </c>
      <c r="H217" s="41" t="s">
        <v>752</v>
      </c>
      <c r="I217" s="41"/>
      <c r="J217" s="44">
        <v>1</v>
      </c>
      <c r="K217" s="47">
        <v>2</v>
      </c>
      <c r="L217" s="44" t="s">
        <v>18</v>
      </c>
      <c r="M217" s="44" t="s">
        <v>18</v>
      </c>
      <c r="N217" s="44" t="s">
        <v>18</v>
      </c>
      <c r="O217" s="44" t="s">
        <v>675</v>
      </c>
      <c r="P217" s="44" t="s">
        <v>475</v>
      </c>
      <c r="Q217" s="44" t="s">
        <v>569</v>
      </c>
      <c r="R217" s="44" t="s">
        <v>676</v>
      </c>
      <c r="S217" s="44" t="s">
        <v>753</v>
      </c>
      <c r="T217" s="44" t="s">
        <v>564</v>
      </c>
      <c r="U217" s="44" t="s">
        <v>18</v>
      </c>
      <c r="V217" s="44"/>
      <c r="W217" s="44"/>
    </row>
    <row r="218" spans="2:23">
      <c r="B218" s="75" t="str">
        <f>IF(tbl_Instruement_List[[#This Row],[Tag_New]]="",tbl_Instruement_List[[#This Row],[Tag]],tbl_Instruement_List[[#This Row],[Tag_New]])</f>
        <v>DV-61301</v>
      </c>
      <c r="C218" s="75"/>
      <c r="D218" s="41"/>
      <c r="E218" s="41" t="s">
        <v>378</v>
      </c>
      <c r="F218" s="42" t="s">
        <v>78</v>
      </c>
      <c r="G218" s="41" t="s">
        <v>796</v>
      </c>
      <c r="H218" s="41" t="s">
        <v>752</v>
      </c>
      <c r="I218" s="41"/>
      <c r="J218" s="44">
        <v>1</v>
      </c>
      <c r="K218" s="47">
        <v>2</v>
      </c>
      <c r="L218" s="44" t="s">
        <v>18</v>
      </c>
      <c r="M218" s="44" t="s">
        <v>18</v>
      </c>
      <c r="N218" s="44" t="s">
        <v>18</v>
      </c>
      <c r="O218" s="44" t="s">
        <v>675</v>
      </c>
      <c r="P218" s="44" t="s">
        <v>475</v>
      </c>
      <c r="Q218" s="44" t="s">
        <v>569</v>
      </c>
      <c r="R218" s="44" t="s">
        <v>676</v>
      </c>
      <c r="S218" s="44" t="s">
        <v>753</v>
      </c>
      <c r="T218" s="44" t="s">
        <v>564</v>
      </c>
      <c r="U218" s="44" t="s">
        <v>18</v>
      </c>
      <c r="V218" s="44"/>
      <c r="W218" s="44"/>
    </row>
    <row r="219" spans="2:23">
      <c r="B219" s="75" t="str">
        <f>IF(tbl_Instruement_List[[#This Row],[Tag_New]]="",tbl_Instruement_List[[#This Row],[Tag]],tbl_Instruement_List[[#This Row],[Tag_New]])</f>
        <v>DV-61302</v>
      </c>
      <c r="C219" s="75"/>
      <c r="D219" s="41"/>
      <c r="E219" s="41" t="s">
        <v>379</v>
      </c>
      <c r="F219" s="42" t="s">
        <v>78</v>
      </c>
      <c r="G219" s="41" t="s">
        <v>797</v>
      </c>
      <c r="H219" s="41" t="s">
        <v>752</v>
      </c>
      <c r="I219" s="41"/>
      <c r="J219" s="44">
        <v>1</v>
      </c>
      <c r="K219" s="47">
        <v>2</v>
      </c>
      <c r="L219" s="44" t="s">
        <v>18</v>
      </c>
      <c r="M219" s="44" t="s">
        <v>18</v>
      </c>
      <c r="N219" s="44" t="s">
        <v>18</v>
      </c>
      <c r="O219" s="44" t="s">
        <v>675</v>
      </c>
      <c r="P219" s="44" t="s">
        <v>475</v>
      </c>
      <c r="Q219" s="44" t="s">
        <v>569</v>
      </c>
      <c r="R219" s="44" t="s">
        <v>676</v>
      </c>
      <c r="S219" s="44" t="s">
        <v>753</v>
      </c>
      <c r="T219" s="44" t="s">
        <v>564</v>
      </c>
      <c r="U219" s="44" t="s">
        <v>18</v>
      </c>
      <c r="V219" s="44"/>
      <c r="W219" s="44"/>
    </row>
    <row r="220" spans="2:23">
      <c r="B220" s="75" t="str">
        <f>IF(tbl_Instruement_List[[#This Row],[Tag_New]]="",tbl_Instruement_List[[#This Row],[Tag]],tbl_Instruement_List[[#This Row],[Tag_New]])</f>
        <v>ZS-60201A</v>
      </c>
      <c r="C220" s="75"/>
      <c r="D220" s="41" t="s">
        <v>61</v>
      </c>
      <c r="E220" s="41"/>
      <c r="F220" s="42" t="s">
        <v>518</v>
      </c>
      <c r="G220" s="41" t="s">
        <v>798</v>
      </c>
      <c r="H220" s="41" t="s">
        <v>799</v>
      </c>
      <c r="I220" s="41"/>
      <c r="J220" s="44" t="s">
        <v>18</v>
      </c>
      <c r="K220" s="49">
        <v>1</v>
      </c>
      <c r="L220" s="44" t="s">
        <v>18</v>
      </c>
      <c r="M220" s="44" t="s">
        <v>18</v>
      </c>
      <c r="N220" s="44" t="s">
        <v>18</v>
      </c>
      <c r="O220" s="44" t="s">
        <v>502</v>
      </c>
      <c r="P220" s="44" t="s">
        <v>475</v>
      </c>
      <c r="Q220" s="44" t="s">
        <v>569</v>
      </c>
      <c r="R220" s="57" t="s">
        <v>503</v>
      </c>
      <c r="S220" s="44" t="s">
        <v>504</v>
      </c>
      <c r="T220" s="44" t="s">
        <v>651</v>
      </c>
      <c r="U220" s="44" t="s">
        <v>489</v>
      </c>
      <c r="V220" s="44"/>
      <c r="W220" s="44"/>
    </row>
    <row r="221" spans="2:23">
      <c r="B221" s="75" t="str">
        <f>IF(tbl_Instruement_List[[#This Row],[Tag_New]]="",tbl_Instruement_List[[#This Row],[Tag]],tbl_Instruement_List[[#This Row],[Tag_New]])</f>
        <v>ZS-60201B</v>
      </c>
      <c r="C221" s="75"/>
      <c r="D221" s="41" t="s">
        <v>62</v>
      </c>
      <c r="E221" s="41"/>
      <c r="F221" s="42" t="s">
        <v>518</v>
      </c>
      <c r="G221" s="41" t="s">
        <v>798</v>
      </c>
      <c r="H221" s="41" t="s">
        <v>799</v>
      </c>
      <c r="I221" s="41"/>
      <c r="J221" s="44" t="s">
        <v>18</v>
      </c>
      <c r="K221" s="49">
        <v>1</v>
      </c>
      <c r="L221" s="44" t="s">
        <v>18</v>
      </c>
      <c r="M221" s="44" t="s">
        <v>18</v>
      </c>
      <c r="N221" s="44" t="s">
        <v>18</v>
      </c>
      <c r="O221" s="44" t="s">
        <v>502</v>
      </c>
      <c r="P221" s="44" t="s">
        <v>475</v>
      </c>
      <c r="Q221" s="44" t="s">
        <v>569</v>
      </c>
      <c r="R221" s="57" t="s">
        <v>503</v>
      </c>
      <c r="S221" s="44" t="s">
        <v>504</v>
      </c>
      <c r="T221" s="44" t="s">
        <v>651</v>
      </c>
      <c r="U221" s="44" t="s">
        <v>489</v>
      </c>
      <c r="V221" s="44"/>
      <c r="W221" s="44"/>
    </row>
    <row r="222" spans="2:23">
      <c r="B222" s="75" t="str">
        <f>IF(tbl_Instruement_List[[#This Row],[Tag_New]]="",tbl_Instruement_List[[#This Row],[Tag]],tbl_Instruement_List[[#This Row],[Tag_New]])</f>
        <v>ZS-60201C</v>
      </c>
      <c r="C222" s="75"/>
      <c r="D222" s="41" t="s">
        <v>34</v>
      </c>
      <c r="E222" s="41"/>
      <c r="F222" s="42" t="s">
        <v>518</v>
      </c>
      <c r="G222" s="41" t="s">
        <v>798</v>
      </c>
      <c r="H222" s="41" t="s">
        <v>799</v>
      </c>
      <c r="I222" s="41"/>
      <c r="J222" s="44" t="s">
        <v>18</v>
      </c>
      <c r="K222" s="49">
        <v>1</v>
      </c>
      <c r="L222" s="44" t="s">
        <v>18</v>
      </c>
      <c r="M222" s="44" t="s">
        <v>18</v>
      </c>
      <c r="N222" s="44" t="s">
        <v>18</v>
      </c>
      <c r="O222" s="44" t="s">
        <v>502</v>
      </c>
      <c r="P222" s="44" t="s">
        <v>475</v>
      </c>
      <c r="Q222" s="44" t="s">
        <v>569</v>
      </c>
      <c r="R222" s="57" t="s">
        <v>503</v>
      </c>
      <c r="S222" s="44" t="s">
        <v>504</v>
      </c>
      <c r="T222" s="44" t="s">
        <v>651</v>
      </c>
      <c r="U222" s="44" t="s">
        <v>489</v>
      </c>
      <c r="V222" s="44"/>
      <c r="W222" s="44"/>
    </row>
    <row r="223" spans="2:23">
      <c r="B223" s="75" t="str">
        <f>IF(tbl_Instruement_List[[#This Row],[Tag_New]]="",tbl_Instruement_List[[#This Row],[Tag]],tbl_Instruement_List[[#This Row],[Tag_New]])</f>
        <v>ZS-60201D</v>
      </c>
      <c r="C223" s="75"/>
      <c r="D223" s="41" t="s">
        <v>35</v>
      </c>
      <c r="E223" s="41"/>
      <c r="F223" s="42" t="s">
        <v>518</v>
      </c>
      <c r="G223" s="41" t="s">
        <v>798</v>
      </c>
      <c r="H223" s="41" t="s">
        <v>799</v>
      </c>
      <c r="I223" s="41"/>
      <c r="J223" s="44" t="s">
        <v>18</v>
      </c>
      <c r="K223" s="49">
        <v>1</v>
      </c>
      <c r="L223" s="44" t="s">
        <v>18</v>
      </c>
      <c r="M223" s="44" t="s">
        <v>18</v>
      </c>
      <c r="N223" s="44" t="s">
        <v>18</v>
      </c>
      <c r="O223" s="44" t="s">
        <v>502</v>
      </c>
      <c r="P223" s="44" t="s">
        <v>475</v>
      </c>
      <c r="Q223" s="44" t="s">
        <v>569</v>
      </c>
      <c r="R223" s="57" t="s">
        <v>503</v>
      </c>
      <c r="S223" s="44" t="s">
        <v>504</v>
      </c>
      <c r="T223" s="44" t="s">
        <v>651</v>
      </c>
      <c r="U223" s="44" t="s">
        <v>489</v>
      </c>
      <c r="V223" s="44"/>
      <c r="W223" s="44"/>
    </row>
    <row r="224" spans="2:23">
      <c r="B224" s="75" t="str">
        <f>IF(tbl_Instruement_List[[#This Row],[Tag_New]]="",tbl_Instruement_List[[#This Row],[Tag]],tbl_Instruement_List[[#This Row],[Tag_New]])</f>
        <v>ZS-60201E</v>
      </c>
      <c r="C224" s="75"/>
      <c r="D224" s="41" t="s">
        <v>26</v>
      </c>
      <c r="E224" s="41"/>
      <c r="F224" s="42" t="s">
        <v>518</v>
      </c>
      <c r="G224" s="41" t="s">
        <v>798</v>
      </c>
      <c r="H224" s="41" t="s">
        <v>799</v>
      </c>
      <c r="I224" s="41"/>
      <c r="J224" s="44" t="s">
        <v>18</v>
      </c>
      <c r="K224" s="49">
        <v>1</v>
      </c>
      <c r="L224" s="44" t="s">
        <v>18</v>
      </c>
      <c r="M224" s="44" t="s">
        <v>18</v>
      </c>
      <c r="N224" s="44" t="s">
        <v>18</v>
      </c>
      <c r="O224" s="44" t="s">
        <v>502</v>
      </c>
      <c r="P224" s="44" t="s">
        <v>475</v>
      </c>
      <c r="Q224" s="44" t="s">
        <v>569</v>
      </c>
      <c r="R224" s="57" t="s">
        <v>503</v>
      </c>
      <c r="S224" s="44" t="s">
        <v>504</v>
      </c>
      <c r="T224" s="44" t="s">
        <v>651</v>
      </c>
      <c r="U224" s="44" t="s">
        <v>489</v>
      </c>
      <c r="V224" s="44"/>
      <c r="W224" s="44"/>
    </row>
    <row r="225" spans="2:23">
      <c r="B225" s="75" t="str">
        <f>IF(tbl_Instruement_List[[#This Row],[Tag_New]]="",tbl_Instruement_List[[#This Row],[Tag]],tbl_Instruement_List[[#This Row],[Tag_New]])</f>
        <v>ZS-60229</v>
      </c>
      <c r="C225" s="75"/>
      <c r="D225" s="41"/>
      <c r="E225" s="41" t="s">
        <v>36</v>
      </c>
      <c r="F225" s="42" t="s">
        <v>518</v>
      </c>
      <c r="G225" s="41" t="s">
        <v>800</v>
      </c>
      <c r="H225" s="41" t="s">
        <v>799</v>
      </c>
      <c r="I225" s="41"/>
      <c r="J225" s="44" t="s">
        <v>18</v>
      </c>
      <c r="K225" s="49">
        <v>1</v>
      </c>
      <c r="L225" s="44" t="s">
        <v>18</v>
      </c>
      <c r="M225" s="44" t="s">
        <v>18</v>
      </c>
      <c r="N225" s="44" t="s">
        <v>18</v>
      </c>
      <c r="O225" s="44" t="s">
        <v>502</v>
      </c>
      <c r="P225" s="44" t="s">
        <v>475</v>
      </c>
      <c r="Q225" s="44" t="s">
        <v>569</v>
      </c>
      <c r="R225" s="57" t="s">
        <v>503</v>
      </c>
      <c r="S225" s="44" t="s">
        <v>504</v>
      </c>
      <c r="T225" s="44" t="s">
        <v>651</v>
      </c>
      <c r="U225" s="44" t="s">
        <v>489</v>
      </c>
      <c r="V225" s="44"/>
      <c r="W225" s="44"/>
    </row>
    <row r="226" spans="2:23">
      <c r="B226" s="75" t="str">
        <f>IF(tbl_Instruement_List[[#This Row],[Tag_New]]="",tbl_Instruement_List[[#This Row],[Tag]],tbl_Instruement_List[[#This Row],[Tag_New]])</f>
        <v>ZS-60230</v>
      </c>
      <c r="C226" s="75"/>
      <c r="D226" s="41"/>
      <c r="E226" s="41" t="s">
        <v>37</v>
      </c>
      <c r="F226" s="42" t="s">
        <v>518</v>
      </c>
      <c r="G226" s="41" t="s">
        <v>801</v>
      </c>
      <c r="H226" s="41" t="s">
        <v>799</v>
      </c>
      <c r="I226" s="41"/>
      <c r="J226" s="44" t="s">
        <v>18</v>
      </c>
      <c r="K226" s="49">
        <v>1</v>
      </c>
      <c r="L226" s="44" t="s">
        <v>18</v>
      </c>
      <c r="M226" s="44" t="s">
        <v>18</v>
      </c>
      <c r="N226" s="44" t="s">
        <v>18</v>
      </c>
      <c r="O226" s="44" t="s">
        <v>502</v>
      </c>
      <c r="P226" s="44" t="s">
        <v>475</v>
      </c>
      <c r="Q226" s="44" t="s">
        <v>569</v>
      </c>
      <c r="R226" s="57" t="s">
        <v>503</v>
      </c>
      <c r="S226" s="44" t="s">
        <v>504</v>
      </c>
      <c r="T226" s="44" t="s">
        <v>651</v>
      </c>
      <c r="U226" s="44" t="s">
        <v>489</v>
      </c>
      <c r="V226" s="44"/>
      <c r="W226" s="44"/>
    </row>
    <row r="227" spans="2:23">
      <c r="B227" s="75" t="str">
        <f>IF(tbl_Instruement_List[[#This Row],[Tag_New]]="",tbl_Instruement_List[[#This Row],[Tag]],tbl_Instruement_List[[#This Row],[Tag_New]])</f>
        <v>ZS-60231A</v>
      </c>
      <c r="C227" s="75"/>
      <c r="D227" s="41" t="s">
        <v>38</v>
      </c>
      <c r="E227" s="41"/>
      <c r="F227" s="42" t="s">
        <v>472</v>
      </c>
      <c r="G227" s="41" t="s">
        <v>802</v>
      </c>
      <c r="H227" s="41" t="s">
        <v>799</v>
      </c>
      <c r="I227" s="41"/>
      <c r="J227" s="44" t="s">
        <v>18</v>
      </c>
      <c r="K227" s="49">
        <v>1</v>
      </c>
      <c r="L227" s="44" t="s">
        <v>18</v>
      </c>
      <c r="M227" s="44" t="s">
        <v>18</v>
      </c>
      <c r="N227" s="44" t="s">
        <v>18</v>
      </c>
      <c r="O227" s="44" t="s">
        <v>502</v>
      </c>
      <c r="P227" s="44" t="s">
        <v>475</v>
      </c>
      <c r="Q227" s="44" t="s">
        <v>569</v>
      </c>
      <c r="R227" s="57" t="s">
        <v>503</v>
      </c>
      <c r="S227" s="44" t="s">
        <v>504</v>
      </c>
      <c r="T227" s="44" t="s">
        <v>651</v>
      </c>
      <c r="U227" s="44" t="s">
        <v>489</v>
      </c>
      <c r="V227" s="44"/>
      <c r="W227" s="44"/>
    </row>
    <row r="228" spans="2:23">
      <c r="B228" s="75" t="str">
        <f>IF(tbl_Instruement_List[[#This Row],[Tag_New]]="",tbl_Instruement_List[[#This Row],[Tag]],tbl_Instruement_List[[#This Row],[Tag_New]])</f>
        <v>ZS-60231B</v>
      </c>
      <c r="C228" s="75"/>
      <c r="D228" s="41" t="s">
        <v>39</v>
      </c>
      <c r="E228" s="41"/>
      <c r="F228" s="42" t="s">
        <v>472</v>
      </c>
      <c r="G228" s="41" t="s">
        <v>803</v>
      </c>
      <c r="H228" s="41" t="s">
        <v>799</v>
      </c>
      <c r="I228" s="41"/>
      <c r="J228" s="44" t="s">
        <v>18</v>
      </c>
      <c r="K228" s="49">
        <v>1</v>
      </c>
      <c r="L228" s="44" t="s">
        <v>18</v>
      </c>
      <c r="M228" s="44" t="s">
        <v>18</v>
      </c>
      <c r="N228" s="44" t="s">
        <v>18</v>
      </c>
      <c r="O228" s="44" t="s">
        <v>502</v>
      </c>
      <c r="P228" s="44" t="s">
        <v>475</v>
      </c>
      <c r="Q228" s="44" t="s">
        <v>569</v>
      </c>
      <c r="R228" s="57" t="s">
        <v>503</v>
      </c>
      <c r="S228" s="44" t="s">
        <v>504</v>
      </c>
      <c r="T228" s="44" t="s">
        <v>651</v>
      </c>
      <c r="U228" s="44" t="s">
        <v>489</v>
      </c>
      <c r="V228" s="44"/>
      <c r="W228" s="44"/>
    </row>
    <row r="229" spans="2:23">
      <c r="B229" s="75" t="str">
        <f>IF(tbl_Instruement_List[[#This Row],[Tag_New]]="",tbl_Instruement_List[[#This Row],[Tag]],tbl_Instruement_List[[#This Row],[Tag_New]])</f>
        <v>ZS-60231C</v>
      </c>
      <c r="C229" s="75"/>
      <c r="D229" s="41" t="s">
        <v>53</v>
      </c>
      <c r="E229" s="41"/>
      <c r="F229" s="42" t="s">
        <v>472</v>
      </c>
      <c r="G229" s="41" t="s">
        <v>804</v>
      </c>
      <c r="H229" s="41" t="s">
        <v>799</v>
      </c>
      <c r="I229" s="41"/>
      <c r="J229" s="44" t="s">
        <v>18</v>
      </c>
      <c r="K229" s="49">
        <v>1</v>
      </c>
      <c r="L229" s="44" t="s">
        <v>18</v>
      </c>
      <c r="M229" s="44" t="s">
        <v>18</v>
      </c>
      <c r="N229" s="44" t="s">
        <v>18</v>
      </c>
      <c r="O229" s="44" t="s">
        <v>502</v>
      </c>
      <c r="P229" s="44" t="s">
        <v>475</v>
      </c>
      <c r="Q229" s="44" t="s">
        <v>569</v>
      </c>
      <c r="R229" s="57" t="s">
        <v>503</v>
      </c>
      <c r="S229" s="44" t="s">
        <v>504</v>
      </c>
      <c r="T229" s="44" t="s">
        <v>651</v>
      </c>
      <c r="U229" s="44" t="s">
        <v>489</v>
      </c>
      <c r="V229" s="44"/>
      <c r="W229" s="44"/>
    </row>
    <row r="230" spans="2:23">
      <c r="B230" s="75" t="str">
        <f>IF(tbl_Instruement_List[[#This Row],[Tag_New]]="",tbl_Instruement_List[[#This Row],[Tag]],tbl_Instruement_List[[#This Row],[Tag_New]])</f>
        <v>ZS-60231D</v>
      </c>
      <c r="C230" s="75"/>
      <c r="D230" s="41" t="s">
        <v>54</v>
      </c>
      <c r="E230" s="41"/>
      <c r="F230" s="42" t="s">
        <v>472</v>
      </c>
      <c r="G230" s="41" t="s">
        <v>805</v>
      </c>
      <c r="H230" s="41" t="s">
        <v>799</v>
      </c>
      <c r="I230" s="41"/>
      <c r="J230" s="44" t="s">
        <v>18</v>
      </c>
      <c r="K230" s="49">
        <v>1</v>
      </c>
      <c r="L230" s="44" t="s">
        <v>18</v>
      </c>
      <c r="M230" s="44" t="s">
        <v>18</v>
      </c>
      <c r="N230" s="44" t="s">
        <v>18</v>
      </c>
      <c r="O230" s="44" t="s">
        <v>502</v>
      </c>
      <c r="P230" s="44" t="s">
        <v>475</v>
      </c>
      <c r="Q230" s="44" t="s">
        <v>569</v>
      </c>
      <c r="R230" s="57" t="s">
        <v>503</v>
      </c>
      <c r="S230" s="44" t="s">
        <v>504</v>
      </c>
      <c r="T230" s="44" t="s">
        <v>651</v>
      </c>
      <c r="U230" s="44" t="s">
        <v>489</v>
      </c>
      <c r="V230" s="44"/>
      <c r="W230" s="44"/>
    </row>
    <row r="231" spans="2:23">
      <c r="B231" s="75" t="str">
        <f>IF(tbl_Instruement_List[[#This Row],[Tag_New]]="",tbl_Instruement_List[[#This Row],[Tag]],tbl_Instruement_List[[#This Row],[Tag_New]])</f>
        <v>ZS-60231E</v>
      </c>
      <c r="C231" s="75"/>
      <c r="D231" s="41" t="s">
        <v>55</v>
      </c>
      <c r="E231" s="41"/>
      <c r="F231" s="42" t="s">
        <v>472</v>
      </c>
      <c r="G231" s="41" t="s">
        <v>806</v>
      </c>
      <c r="H231" s="41" t="s">
        <v>799</v>
      </c>
      <c r="I231" s="41"/>
      <c r="J231" s="44" t="s">
        <v>18</v>
      </c>
      <c r="K231" s="49">
        <v>1</v>
      </c>
      <c r="L231" s="44" t="s">
        <v>18</v>
      </c>
      <c r="M231" s="44" t="s">
        <v>18</v>
      </c>
      <c r="N231" s="44" t="s">
        <v>18</v>
      </c>
      <c r="O231" s="44" t="s">
        <v>502</v>
      </c>
      <c r="P231" s="44" t="s">
        <v>475</v>
      </c>
      <c r="Q231" s="44" t="s">
        <v>569</v>
      </c>
      <c r="R231" s="57" t="s">
        <v>503</v>
      </c>
      <c r="S231" s="44" t="s">
        <v>504</v>
      </c>
      <c r="T231" s="44" t="s">
        <v>651</v>
      </c>
      <c r="U231" s="44" t="s">
        <v>489</v>
      </c>
      <c r="V231" s="44"/>
      <c r="W231" s="44"/>
    </row>
    <row r="232" spans="2:23">
      <c r="B232" s="75" t="str">
        <f>IF(tbl_Instruement_List[[#This Row],[Tag_New]]="",tbl_Instruement_List[[#This Row],[Tag]],tbl_Instruement_List[[#This Row],[Tag_New]])</f>
        <v>ZS-60231F</v>
      </c>
      <c r="C232" s="75"/>
      <c r="D232" s="41" t="s">
        <v>56</v>
      </c>
      <c r="E232" s="41"/>
      <c r="F232" s="42" t="s">
        <v>472</v>
      </c>
      <c r="G232" s="41" t="s">
        <v>807</v>
      </c>
      <c r="H232" s="41" t="s">
        <v>799</v>
      </c>
      <c r="I232" s="41"/>
      <c r="J232" s="44" t="s">
        <v>18</v>
      </c>
      <c r="K232" s="49">
        <v>1</v>
      </c>
      <c r="L232" s="44" t="s">
        <v>18</v>
      </c>
      <c r="M232" s="44" t="s">
        <v>18</v>
      </c>
      <c r="N232" s="44" t="s">
        <v>18</v>
      </c>
      <c r="O232" s="44" t="s">
        <v>502</v>
      </c>
      <c r="P232" s="44" t="s">
        <v>475</v>
      </c>
      <c r="Q232" s="44" t="s">
        <v>569</v>
      </c>
      <c r="R232" s="57" t="s">
        <v>503</v>
      </c>
      <c r="S232" s="44" t="s">
        <v>504</v>
      </c>
      <c r="T232" s="44" t="s">
        <v>651</v>
      </c>
      <c r="U232" s="44" t="s">
        <v>489</v>
      </c>
      <c r="V232" s="44"/>
      <c r="W232" s="44"/>
    </row>
    <row r="233" spans="2:23">
      <c r="B233" s="75" t="str">
        <f>IF(tbl_Instruement_List[[#This Row],[Tag_New]]="",tbl_Instruement_List[[#This Row],[Tag]],tbl_Instruement_List[[#This Row],[Tag_New]])</f>
        <v>ZS-60240</v>
      </c>
      <c r="C233" s="75"/>
      <c r="D233" s="41"/>
      <c r="E233" s="41" t="s">
        <v>63</v>
      </c>
      <c r="F233" s="42" t="s">
        <v>472</v>
      </c>
      <c r="G233" s="41" t="s">
        <v>808</v>
      </c>
      <c r="H233" s="41" t="s">
        <v>799</v>
      </c>
      <c r="I233" s="41"/>
      <c r="J233" s="44" t="s">
        <v>18</v>
      </c>
      <c r="K233" s="49">
        <v>1</v>
      </c>
      <c r="L233" s="44" t="s">
        <v>18</v>
      </c>
      <c r="M233" s="44" t="s">
        <v>18</v>
      </c>
      <c r="N233" s="44" t="s">
        <v>18</v>
      </c>
      <c r="O233" s="44" t="s">
        <v>502</v>
      </c>
      <c r="P233" s="44" t="s">
        <v>475</v>
      </c>
      <c r="Q233" s="44" t="s">
        <v>569</v>
      </c>
      <c r="R233" s="57" t="s">
        <v>503</v>
      </c>
      <c r="S233" s="44" t="s">
        <v>504</v>
      </c>
      <c r="T233" s="44" t="s">
        <v>651</v>
      </c>
      <c r="U233" s="44" t="s">
        <v>489</v>
      </c>
      <c r="V233" s="44"/>
      <c r="W233" s="44"/>
    </row>
    <row r="234" spans="2:23">
      <c r="B234" s="75" t="str">
        <f>IF(tbl_Instruement_List[[#This Row],[Tag_New]]="",tbl_Instruement_List[[#This Row],[Tag]],tbl_Instruement_List[[#This Row],[Tag_New]])</f>
        <v>ZS-61310</v>
      </c>
      <c r="C234" s="75"/>
      <c r="D234" s="41" t="s">
        <v>105</v>
      </c>
      <c r="E234" s="41"/>
      <c r="F234" s="42" t="s">
        <v>78</v>
      </c>
      <c r="G234" s="41" t="s">
        <v>809</v>
      </c>
      <c r="H234" s="41" t="s">
        <v>799</v>
      </c>
      <c r="I234" s="41"/>
      <c r="J234" s="44" t="s">
        <v>18</v>
      </c>
      <c r="K234" s="49">
        <v>1</v>
      </c>
      <c r="L234" s="44" t="s">
        <v>18</v>
      </c>
      <c r="M234" s="44" t="s">
        <v>18</v>
      </c>
      <c r="N234" s="44" t="s">
        <v>18</v>
      </c>
      <c r="O234" s="44" t="s">
        <v>502</v>
      </c>
      <c r="P234" s="44" t="s">
        <v>475</v>
      </c>
      <c r="Q234" s="44" t="s">
        <v>569</v>
      </c>
      <c r="R234" s="57" t="s">
        <v>503</v>
      </c>
      <c r="S234" s="44" t="s">
        <v>504</v>
      </c>
      <c r="T234" s="44" t="s">
        <v>651</v>
      </c>
      <c r="U234" s="44" t="s">
        <v>489</v>
      </c>
      <c r="V234" s="44"/>
      <c r="W234" s="44"/>
    </row>
    <row r="235" spans="2:23">
      <c r="B235" s="75" t="str">
        <f>IF(tbl_Instruement_List[[#This Row],[Tag_New]]="",tbl_Instruement_List[[#This Row],[Tag]],tbl_Instruement_List[[#This Row],[Tag_New]])</f>
        <v>ZS-61311</v>
      </c>
      <c r="C235" s="75"/>
      <c r="D235" s="41" t="s">
        <v>106</v>
      </c>
      <c r="E235" s="41"/>
      <c r="F235" s="42" t="s">
        <v>78</v>
      </c>
      <c r="G235" s="41" t="s">
        <v>809</v>
      </c>
      <c r="H235" s="41" t="s">
        <v>810</v>
      </c>
      <c r="I235" s="41"/>
      <c r="J235" s="44" t="s">
        <v>18</v>
      </c>
      <c r="K235" s="44">
        <v>1</v>
      </c>
      <c r="L235" s="44" t="s">
        <v>18</v>
      </c>
      <c r="M235" s="44" t="s">
        <v>18</v>
      </c>
      <c r="N235" s="44" t="s">
        <v>18</v>
      </c>
      <c r="O235" s="44" t="s">
        <v>502</v>
      </c>
      <c r="P235" s="44" t="s">
        <v>475</v>
      </c>
      <c r="Q235" s="44" t="s">
        <v>569</v>
      </c>
      <c r="R235" s="44" t="s">
        <v>811</v>
      </c>
      <c r="S235" s="44" t="s">
        <v>504</v>
      </c>
      <c r="T235" s="44" t="s">
        <v>651</v>
      </c>
      <c r="U235" s="44" t="s">
        <v>489</v>
      </c>
      <c r="V235" s="44"/>
      <c r="W235" s="44"/>
    </row>
    <row r="236" spans="2:23">
      <c r="B236" s="75" t="str">
        <f>IF(tbl_Instruement_List[[#This Row],[Tag_New]]="",tbl_Instruement_List[[#This Row],[Tag]],tbl_Instruement_List[[#This Row],[Tag_New]])</f>
        <v>ZS-61312</v>
      </c>
      <c r="C236" s="75"/>
      <c r="D236" s="41" t="s">
        <v>77</v>
      </c>
      <c r="E236" s="41"/>
      <c r="F236" s="42" t="s">
        <v>78</v>
      </c>
      <c r="G236" s="41" t="s">
        <v>809</v>
      </c>
      <c r="H236" s="41" t="s">
        <v>810</v>
      </c>
      <c r="I236" s="41"/>
      <c r="J236" s="44" t="s">
        <v>18</v>
      </c>
      <c r="K236" s="44">
        <v>1</v>
      </c>
      <c r="L236" s="44" t="s">
        <v>18</v>
      </c>
      <c r="M236" s="44" t="s">
        <v>18</v>
      </c>
      <c r="N236" s="44" t="s">
        <v>18</v>
      </c>
      <c r="O236" s="44" t="s">
        <v>502</v>
      </c>
      <c r="P236" s="44" t="s">
        <v>475</v>
      </c>
      <c r="Q236" s="44" t="s">
        <v>569</v>
      </c>
      <c r="R236" s="44" t="s">
        <v>811</v>
      </c>
      <c r="S236" s="44" t="s">
        <v>504</v>
      </c>
      <c r="T236" s="44" t="s">
        <v>651</v>
      </c>
      <c r="U236" s="44" t="s">
        <v>489</v>
      </c>
      <c r="V236" s="44"/>
      <c r="W236" s="44"/>
    </row>
    <row r="237" spans="2:23">
      <c r="B237" s="75" t="str">
        <f>IF(tbl_Instruement_List[[#This Row],[Tag_New]]="",tbl_Instruement_List[[#This Row],[Tag]],tbl_Instruement_List[[#This Row],[Tag_New]])</f>
        <v>ZS-61313</v>
      </c>
      <c r="C237" s="75"/>
      <c r="D237" s="41" t="s">
        <v>79</v>
      </c>
      <c r="E237" s="41"/>
      <c r="F237" s="42" t="s">
        <v>78</v>
      </c>
      <c r="G237" s="41" t="s">
        <v>809</v>
      </c>
      <c r="H237" s="41" t="s">
        <v>810</v>
      </c>
      <c r="I237" s="41"/>
      <c r="J237" s="44" t="s">
        <v>18</v>
      </c>
      <c r="K237" s="44">
        <v>1</v>
      </c>
      <c r="L237" s="44" t="s">
        <v>18</v>
      </c>
      <c r="M237" s="44" t="s">
        <v>18</v>
      </c>
      <c r="N237" s="44" t="s">
        <v>18</v>
      </c>
      <c r="O237" s="44" t="s">
        <v>502</v>
      </c>
      <c r="P237" s="44" t="s">
        <v>475</v>
      </c>
      <c r="Q237" s="44" t="s">
        <v>569</v>
      </c>
      <c r="R237" s="44" t="s">
        <v>811</v>
      </c>
      <c r="S237" s="44" t="s">
        <v>504</v>
      </c>
      <c r="T237" s="44" t="s">
        <v>651</v>
      </c>
      <c r="U237" s="44" t="s">
        <v>489</v>
      </c>
      <c r="V237" s="44"/>
      <c r="W237" s="44"/>
    </row>
    <row r="238" spans="2:23">
      <c r="B238" s="75">
        <f>IF(tbl_Instruement_List[[#This Row],[Tag_New]]="",tbl_Instruement_List[[#This Row],[Tag]],tbl_Instruement_List[[#This Row],[Tag_New]])</f>
        <v>0</v>
      </c>
      <c r="C238" s="75"/>
      <c r="D238" s="41"/>
      <c r="E238" s="41"/>
      <c r="F238" s="42"/>
      <c r="G238" s="41" t="s">
        <v>812</v>
      </c>
      <c r="H238" s="41" t="s">
        <v>810</v>
      </c>
      <c r="I238" s="41"/>
      <c r="J238" s="44" t="s">
        <v>18</v>
      </c>
      <c r="K238" s="44">
        <v>1</v>
      </c>
      <c r="L238" s="44" t="s">
        <v>18</v>
      </c>
      <c r="M238" s="44" t="s">
        <v>18</v>
      </c>
      <c r="N238" s="44" t="s">
        <v>18</v>
      </c>
      <c r="O238" s="44" t="s">
        <v>502</v>
      </c>
      <c r="P238" s="44" t="s">
        <v>475</v>
      </c>
      <c r="Q238" s="44" t="s">
        <v>569</v>
      </c>
      <c r="R238" s="44" t="s">
        <v>811</v>
      </c>
      <c r="S238" s="44" t="s">
        <v>504</v>
      </c>
      <c r="T238" s="44" t="s">
        <v>651</v>
      </c>
      <c r="U238" s="44" t="s">
        <v>489</v>
      </c>
      <c r="V238" s="44"/>
      <c r="W238" s="44"/>
    </row>
    <row r="239" spans="2:23">
      <c r="B239" s="75">
        <f>IF(tbl_Instruement_List[[#This Row],[Tag_New]]="",tbl_Instruement_List[[#This Row],[Tag]],tbl_Instruement_List[[#This Row],[Tag_New]])</f>
        <v>0</v>
      </c>
      <c r="C239" s="75"/>
      <c r="D239" s="41"/>
      <c r="E239" s="41"/>
      <c r="F239" s="42"/>
      <c r="G239" s="41" t="s">
        <v>813</v>
      </c>
      <c r="H239" s="41" t="s">
        <v>810</v>
      </c>
      <c r="I239" s="41"/>
      <c r="J239" s="44" t="s">
        <v>18</v>
      </c>
      <c r="K239" s="44">
        <v>1</v>
      </c>
      <c r="L239" s="44" t="s">
        <v>18</v>
      </c>
      <c r="M239" s="44" t="s">
        <v>18</v>
      </c>
      <c r="N239" s="44" t="s">
        <v>18</v>
      </c>
      <c r="O239" s="44" t="s">
        <v>502</v>
      </c>
      <c r="P239" s="44" t="s">
        <v>475</v>
      </c>
      <c r="Q239" s="44" t="s">
        <v>569</v>
      </c>
      <c r="R239" s="44" t="s">
        <v>811</v>
      </c>
      <c r="S239" s="44" t="s">
        <v>504</v>
      </c>
      <c r="T239" s="44" t="s">
        <v>651</v>
      </c>
      <c r="U239" s="44" t="s">
        <v>489</v>
      </c>
      <c r="V239" s="44"/>
      <c r="W239" s="44"/>
    </row>
    <row r="240" spans="2:23">
      <c r="B240" s="75">
        <f>IF(tbl_Instruement_List[[#This Row],[Tag_New]]="",tbl_Instruement_List[[#This Row],[Tag]],tbl_Instruement_List[[#This Row],[Tag_New]])</f>
        <v>0</v>
      </c>
      <c r="C240" s="75"/>
      <c r="D240" s="41"/>
      <c r="E240" s="41"/>
      <c r="F240" s="42"/>
      <c r="G240" s="41" t="s">
        <v>814</v>
      </c>
      <c r="H240" s="41" t="s">
        <v>810</v>
      </c>
      <c r="I240" s="41"/>
      <c r="J240" s="44" t="s">
        <v>18</v>
      </c>
      <c r="K240" s="44">
        <v>1</v>
      </c>
      <c r="L240" s="44" t="s">
        <v>18</v>
      </c>
      <c r="M240" s="44" t="s">
        <v>18</v>
      </c>
      <c r="N240" s="44" t="s">
        <v>18</v>
      </c>
      <c r="O240" s="44" t="s">
        <v>502</v>
      </c>
      <c r="P240" s="44" t="s">
        <v>475</v>
      </c>
      <c r="Q240" s="44" t="s">
        <v>569</v>
      </c>
      <c r="R240" s="44" t="s">
        <v>811</v>
      </c>
      <c r="S240" s="44" t="s">
        <v>504</v>
      </c>
      <c r="T240" s="44" t="s">
        <v>651</v>
      </c>
      <c r="U240" s="44" t="s">
        <v>489</v>
      </c>
      <c r="V240" s="44"/>
      <c r="W240" s="44"/>
    </row>
    <row r="241" spans="2:23">
      <c r="B241" s="75">
        <f>IF(tbl_Instruement_List[[#This Row],[Tag_New]]="",tbl_Instruement_List[[#This Row],[Tag]],tbl_Instruement_List[[#This Row],[Tag_New]])</f>
        <v>0</v>
      </c>
      <c r="C241" s="75"/>
      <c r="D241" s="41"/>
      <c r="E241" s="41"/>
      <c r="F241" s="42"/>
      <c r="G241" s="41" t="s">
        <v>815</v>
      </c>
      <c r="H241" s="41" t="s">
        <v>810</v>
      </c>
      <c r="I241" s="41"/>
      <c r="J241" s="44" t="s">
        <v>18</v>
      </c>
      <c r="K241" s="44">
        <v>1</v>
      </c>
      <c r="L241" s="44" t="s">
        <v>18</v>
      </c>
      <c r="M241" s="44" t="s">
        <v>18</v>
      </c>
      <c r="N241" s="44" t="s">
        <v>18</v>
      </c>
      <c r="O241" s="44" t="s">
        <v>502</v>
      </c>
      <c r="P241" s="44" t="s">
        <v>475</v>
      </c>
      <c r="Q241" s="44" t="s">
        <v>569</v>
      </c>
      <c r="R241" s="44" t="s">
        <v>811</v>
      </c>
      <c r="S241" s="44" t="s">
        <v>504</v>
      </c>
      <c r="T241" s="44" t="s">
        <v>651</v>
      </c>
      <c r="U241" s="44" t="s">
        <v>489</v>
      </c>
      <c r="V241" s="44"/>
      <c r="W241" s="44"/>
    </row>
    <row r="242" spans="2:23">
      <c r="B242" s="75">
        <f>IF(tbl_Instruement_List[[#This Row],[Tag_New]]="",tbl_Instruement_List[[#This Row],[Tag]],tbl_Instruement_List[[#This Row],[Tag_New]])</f>
        <v>0</v>
      </c>
      <c r="C242" s="75"/>
      <c r="D242" s="41"/>
      <c r="E242" s="41"/>
      <c r="F242" s="42"/>
      <c r="G242" s="41" t="s">
        <v>816</v>
      </c>
      <c r="H242" s="41" t="s">
        <v>810</v>
      </c>
      <c r="I242" s="41"/>
      <c r="J242" s="44" t="s">
        <v>18</v>
      </c>
      <c r="K242" s="44">
        <v>1</v>
      </c>
      <c r="L242" s="44" t="s">
        <v>18</v>
      </c>
      <c r="M242" s="44" t="s">
        <v>18</v>
      </c>
      <c r="N242" s="44" t="s">
        <v>18</v>
      </c>
      <c r="O242" s="44" t="s">
        <v>502</v>
      </c>
      <c r="P242" s="44" t="s">
        <v>475</v>
      </c>
      <c r="Q242" s="44" t="s">
        <v>569</v>
      </c>
      <c r="R242" s="44" t="s">
        <v>811</v>
      </c>
      <c r="S242" s="44" t="s">
        <v>504</v>
      </c>
      <c r="T242" s="44" t="s">
        <v>651</v>
      </c>
      <c r="U242" s="44" t="s">
        <v>489</v>
      </c>
      <c r="V242" s="44"/>
      <c r="W242" s="44"/>
    </row>
    <row r="243" spans="2:23">
      <c r="B243" s="75">
        <f>IF(tbl_Instruement_List[[#This Row],[Tag_New]]="",tbl_Instruement_List[[#This Row],[Tag]],tbl_Instruement_List[[#This Row],[Tag_New]])</f>
        <v>0</v>
      </c>
      <c r="C243" s="75"/>
      <c r="D243" s="41"/>
      <c r="E243" s="41"/>
      <c r="F243" s="42"/>
      <c r="G243" s="41" t="s">
        <v>817</v>
      </c>
      <c r="H243" s="41" t="s">
        <v>810</v>
      </c>
      <c r="I243" s="41"/>
      <c r="J243" s="44" t="s">
        <v>18</v>
      </c>
      <c r="K243" s="44">
        <v>1</v>
      </c>
      <c r="L243" s="44" t="s">
        <v>18</v>
      </c>
      <c r="M243" s="44" t="s">
        <v>18</v>
      </c>
      <c r="N243" s="44" t="s">
        <v>18</v>
      </c>
      <c r="O243" s="44" t="s">
        <v>502</v>
      </c>
      <c r="P243" s="44" t="s">
        <v>475</v>
      </c>
      <c r="Q243" s="44" t="s">
        <v>569</v>
      </c>
      <c r="R243" s="44" t="s">
        <v>811</v>
      </c>
      <c r="S243" s="44" t="s">
        <v>504</v>
      </c>
      <c r="T243" s="44" t="s">
        <v>651</v>
      </c>
      <c r="U243" s="44" t="s">
        <v>489</v>
      </c>
      <c r="V243" s="44"/>
      <c r="W243" s="44"/>
    </row>
    <row r="244" spans="2:23">
      <c r="B244" s="75">
        <f>IF(tbl_Instruement_List[[#This Row],[Tag_New]]="",tbl_Instruement_List[[#This Row],[Tag]],tbl_Instruement_List[[#This Row],[Tag_New]])</f>
        <v>0</v>
      </c>
      <c r="C244" s="75"/>
      <c r="D244" s="41"/>
      <c r="E244" s="41"/>
      <c r="F244" s="42"/>
      <c r="G244" s="41" t="s">
        <v>818</v>
      </c>
      <c r="H244" s="41" t="s">
        <v>810</v>
      </c>
      <c r="I244" s="41"/>
      <c r="J244" s="44" t="s">
        <v>18</v>
      </c>
      <c r="K244" s="44">
        <v>1</v>
      </c>
      <c r="L244" s="44" t="s">
        <v>18</v>
      </c>
      <c r="M244" s="44" t="s">
        <v>18</v>
      </c>
      <c r="N244" s="44" t="s">
        <v>18</v>
      </c>
      <c r="O244" s="44" t="s">
        <v>502</v>
      </c>
      <c r="P244" s="44" t="s">
        <v>475</v>
      </c>
      <c r="Q244" s="44" t="s">
        <v>569</v>
      </c>
      <c r="R244" s="44" t="s">
        <v>811</v>
      </c>
      <c r="S244" s="44" t="s">
        <v>504</v>
      </c>
      <c r="T244" s="44" t="s">
        <v>651</v>
      </c>
      <c r="U244" s="44" t="s">
        <v>489</v>
      </c>
      <c r="V244" s="44"/>
      <c r="W244" s="44"/>
    </row>
    <row r="245" spans="2:23">
      <c r="B245" s="75">
        <f>IF(tbl_Instruement_List[[#This Row],[Tag_New]]="",tbl_Instruement_List[[#This Row],[Tag]],tbl_Instruement_List[[#This Row],[Tag_New]])</f>
        <v>0</v>
      </c>
      <c r="C245" s="75"/>
      <c r="D245" s="41"/>
      <c r="E245" s="41"/>
      <c r="F245" s="42"/>
      <c r="G245" s="41" t="s">
        <v>819</v>
      </c>
      <c r="H245" s="41" t="s">
        <v>810</v>
      </c>
      <c r="I245" s="41"/>
      <c r="J245" s="44" t="s">
        <v>18</v>
      </c>
      <c r="K245" s="44">
        <v>1</v>
      </c>
      <c r="L245" s="44" t="s">
        <v>18</v>
      </c>
      <c r="M245" s="44" t="s">
        <v>18</v>
      </c>
      <c r="N245" s="44" t="s">
        <v>18</v>
      </c>
      <c r="O245" s="44" t="s">
        <v>502</v>
      </c>
      <c r="P245" s="44" t="s">
        <v>475</v>
      </c>
      <c r="Q245" s="44" t="s">
        <v>569</v>
      </c>
      <c r="R245" s="44" t="s">
        <v>811</v>
      </c>
      <c r="S245" s="44" t="s">
        <v>504</v>
      </c>
      <c r="T245" s="44" t="s">
        <v>651</v>
      </c>
      <c r="U245" s="44" t="s">
        <v>489</v>
      </c>
      <c r="V245" s="44"/>
      <c r="W245" s="44"/>
    </row>
    <row r="246" spans="2:23">
      <c r="B246" s="75">
        <f>IF(tbl_Instruement_List[[#This Row],[Tag_New]]="",tbl_Instruement_List[[#This Row],[Tag]],tbl_Instruement_List[[#This Row],[Tag_New]])</f>
        <v>0</v>
      </c>
      <c r="C246" s="75"/>
      <c r="D246" s="41"/>
      <c r="E246" s="41"/>
      <c r="F246" s="42"/>
      <c r="G246" s="41" t="s">
        <v>820</v>
      </c>
      <c r="H246" s="41" t="s">
        <v>810</v>
      </c>
      <c r="I246" s="41"/>
      <c r="J246" s="44" t="s">
        <v>18</v>
      </c>
      <c r="K246" s="44">
        <v>1</v>
      </c>
      <c r="L246" s="44" t="s">
        <v>18</v>
      </c>
      <c r="M246" s="44" t="s">
        <v>18</v>
      </c>
      <c r="N246" s="44" t="s">
        <v>18</v>
      </c>
      <c r="O246" s="44" t="s">
        <v>502</v>
      </c>
      <c r="P246" s="44" t="s">
        <v>475</v>
      </c>
      <c r="Q246" s="44" t="s">
        <v>569</v>
      </c>
      <c r="R246" s="44" t="s">
        <v>811</v>
      </c>
      <c r="S246" s="44" t="s">
        <v>504</v>
      </c>
      <c r="T246" s="44" t="s">
        <v>651</v>
      </c>
      <c r="U246" s="44" t="s">
        <v>489</v>
      </c>
      <c r="V246" s="44"/>
      <c r="W246" s="44"/>
    </row>
    <row r="247" spans="2:23">
      <c r="B247" s="75">
        <f>IF(tbl_Instruement_List[[#This Row],[Tag_New]]="",tbl_Instruement_List[[#This Row],[Tag]],tbl_Instruement_List[[#This Row],[Tag_New]])</f>
        <v>0</v>
      </c>
      <c r="C247" s="75"/>
      <c r="D247" s="41"/>
      <c r="E247" s="41"/>
      <c r="F247" s="42"/>
      <c r="G247" s="41" t="s">
        <v>821</v>
      </c>
      <c r="H247" s="41" t="s">
        <v>810</v>
      </c>
      <c r="I247" s="41"/>
      <c r="J247" s="44" t="s">
        <v>18</v>
      </c>
      <c r="K247" s="44">
        <v>1</v>
      </c>
      <c r="L247" s="44" t="s">
        <v>18</v>
      </c>
      <c r="M247" s="44" t="s">
        <v>18</v>
      </c>
      <c r="N247" s="44" t="s">
        <v>18</v>
      </c>
      <c r="O247" s="44" t="s">
        <v>502</v>
      </c>
      <c r="P247" s="44" t="s">
        <v>475</v>
      </c>
      <c r="Q247" s="44" t="s">
        <v>569</v>
      </c>
      <c r="R247" s="44" t="s">
        <v>811</v>
      </c>
      <c r="S247" s="44" t="s">
        <v>504</v>
      </c>
      <c r="T247" s="44" t="s">
        <v>651</v>
      </c>
      <c r="U247" s="44" t="s">
        <v>489</v>
      </c>
      <c r="V247" s="44"/>
      <c r="W247" s="44"/>
    </row>
    <row r="248" spans="2:23">
      <c r="B248" s="75">
        <f>IF(tbl_Instruement_List[[#This Row],[Tag_New]]="",tbl_Instruement_List[[#This Row],[Tag]],tbl_Instruement_List[[#This Row],[Tag_New]])</f>
        <v>0</v>
      </c>
      <c r="C248" s="75"/>
      <c r="D248" s="41"/>
      <c r="E248" s="41"/>
      <c r="F248" s="42"/>
      <c r="G248" s="41" t="s">
        <v>822</v>
      </c>
      <c r="H248" s="41" t="s">
        <v>810</v>
      </c>
      <c r="I248" s="41"/>
      <c r="J248" s="44" t="s">
        <v>18</v>
      </c>
      <c r="K248" s="44">
        <v>1</v>
      </c>
      <c r="L248" s="44" t="s">
        <v>18</v>
      </c>
      <c r="M248" s="44" t="s">
        <v>18</v>
      </c>
      <c r="N248" s="44" t="s">
        <v>18</v>
      </c>
      <c r="O248" s="44" t="s">
        <v>502</v>
      </c>
      <c r="P248" s="44" t="s">
        <v>475</v>
      </c>
      <c r="Q248" s="44" t="s">
        <v>569</v>
      </c>
      <c r="R248" s="44" t="s">
        <v>811</v>
      </c>
      <c r="S248" s="44" t="s">
        <v>504</v>
      </c>
      <c r="T248" s="44" t="s">
        <v>651</v>
      </c>
      <c r="U248" s="44" t="s">
        <v>489</v>
      </c>
      <c r="V248" s="44"/>
      <c r="W248" s="44"/>
    </row>
    <row r="249" spans="2:23">
      <c r="B249" s="75">
        <f>IF(tbl_Instruement_List[[#This Row],[Tag_New]]="",tbl_Instruement_List[[#This Row],[Tag]],tbl_Instruement_List[[#This Row],[Tag_New]])</f>
        <v>0</v>
      </c>
      <c r="C249" s="75"/>
      <c r="D249" s="41"/>
      <c r="E249" s="41"/>
      <c r="F249" s="42"/>
      <c r="G249" s="41" t="s">
        <v>823</v>
      </c>
      <c r="H249" s="41" t="s">
        <v>810</v>
      </c>
      <c r="I249" s="41"/>
      <c r="J249" s="44" t="s">
        <v>18</v>
      </c>
      <c r="K249" s="44">
        <v>1</v>
      </c>
      <c r="L249" s="44" t="s">
        <v>18</v>
      </c>
      <c r="M249" s="44" t="s">
        <v>18</v>
      </c>
      <c r="N249" s="44" t="s">
        <v>18</v>
      </c>
      <c r="O249" s="44" t="s">
        <v>502</v>
      </c>
      <c r="P249" s="44" t="s">
        <v>475</v>
      </c>
      <c r="Q249" s="44" t="s">
        <v>569</v>
      </c>
      <c r="R249" s="44" t="s">
        <v>811</v>
      </c>
      <c r="S249" s="44" t="s">
        <v>504</v>
      </c>
      <c r="T249" s="44" t="s">
        <v>651</v>
      </c>
      <c r="U249" s="44" t="s">
        <v>489</v>
      </c>
      <c r="V249" s="44"/>
      <c r="W249" s="44"/>
    </row>
    <row r="250" spans="2:23">
      <c r="B250" s="75" t="str">
        <f>IF(tbl_Instruement_List[[#This Row],[Tag_New]]="",tbl_Instruement_List[[#This Row],[Tag]],tbl_Instruement_List[[#This Row],[Tag_New]])</f>
        <v>Machine Equipment Supply</v>
      </c>
      <c r="C250" s="75"/>
      <c r="D250" s="32" t="s">
        <v>824</v>
      </c>
      <c r="E250" s="32"/>
      <c r="F250" s="63"/>
      <c r="G250" s="63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</row>
    <row r="251" spans="2:23">
      <c r="B251" s="75" t="str">
        <f>IF(tbl_Instruement_List[[#This Row],[Tag_New]]="",tbl_Instruement_List[[#This Row],[Tag]],tbl_Instruement_List[[#This Row],[Tag_New]])</f>
        <v>PSE-61300</v>
      </c>
      <c r="C251" s="75"/>
      <c r="D251" s="41" t="s">
        <v>107</v>
      </c>
      <c r="E251" s="41"/>
      <c r="F251" s="42" t="s">
        <v>78</v>
      </c>
      <c r="G251" s="41" t="s">
        <v>825</v>
      </c>
      <c r="H251" s="41" t="s">
        <v>810</v>
      </c>
      <c r="I251" s="41"/>
      <c r="J251" s="44" t="s">
        <v>18</v>
      </c>
      <c r="K251" s="44">
        <v>1</v>
      </c>
      <c r="L251" s="44" t="s">
        <v>18</v>
      </c>
      <c r="M251" s="44" t="s">
        <v>18</v>
      </c>
      <c r="N251" s="44" t="s">
        <v>18</v>
      </c>
      <c r="O251" s="44" t="s">
        <v>502</v>
      </c>
      <c r="P251" s="44" t="s">
        <v>475</v>
      </c>
      <c r="Q251" s="44" t="s">
        <v>569</v>
      </c>
      <c r="R251" s="44" t="s">
        <v>811</v>
      </c>
      <c r="S251" s="44" t="s">
        <v>504</v>
      </c>
      <c r="T251" s="44" t="s">
        <v>651</v>
      </c>
      <c r="U251" s="44" t="s">
        <v>489</v>
      </c>
      <c r="V251" s="44"/>
      <c r="W251" s="44"/>
    </row>
    <row r="252" spans="2:23">
      <c r="B252" s="75" t="str">
        <f>IF(tbl_Instruement_List[[#This Row],[Tag_New]]="",tbl_Instruement_List[[#This Row],[Tag]],tbl_Instruement_List[[#This Row],[Tag_New]])</f>
        <v>PSE-61301</v>
      </c>
      <c r="C252" s="75"/>
      <c r="D252" s="41" t="s">
        <v>108</v>
      </c>
      <c r="E252" s="41"/>
      <c r="F252" s="42" t="s">
        <v>78</v>
      </c>
      <c r="G252" s="41" t="s">
        <v>826</v>
      </c>
      <c r="H252" s="41" t="s">
        <v>810</v>
      </c>
      <c r="I252" s="41"/>
      <c r="J252" s="44" t="s">
        <v>18</v>
      </c>
      <c r="K252" s="44">
        <v>1</v>
      </c>
      <c r="L252" s="44" t="s">
        <v>18</v>
      </c>
      <c r="M252" s="44" t="s">
        <v>18</v>
      </c>
      <c r="N252" s="44" t="s">
        <v>18</v>
      </c>
      <c r="O252" s="44" t="s">
        <v>502</v>
      </c>
      <c r="P252" s="44" t="s">
        <v>475</v>
      </c>
      <c r="Q252" s="44" t="s">
        <v>569</v>
      </c>
      <c r="R252" s="44" t="s">
        <v>811</v>
      </c>
      <c r="S252" s="44" t="s">
        <v>504</v>
      </c>
      <c r="T252" s="44" t="s">
        <v>651</v>
      </c>
      <c r="U252" s="44" t="s">
        <v>489</v>
      </c>
      <c r="V252" s="44"/>
      <c r="W252" s="44"/>
    </row>
    <row r="253" spans="2:23">
      <c r="B253" s="75" t="str">
        <f>IF(tbl_Instruement_List[[#This Row],[Tag_New]]="",tbl_Instruement_List[[#This Row],[Tag]],tbl_Instruement_List[[#This Row],[Tag_New]])</f>
        <v>ISV-61302</v>
      </c>
      <c r="C253" s="75"/>
      <c r="D253" s="41" t="s">
        <v>827</v>
      </c>
      <c r="E253" s="41"/>
      <c r="F253" s="42" t="s">
        <v>78</v>
      </c>
      <c r="G253" s="41" t="s">
        <v>828</v>
      </c>
      <c r="H253" s="41" t="s">
        <v>810</v>
      </c>
      <c r="I253" s="41"/>
      <c r="J253" s="44" t="s">
        <v>18</v>
      </c>
      <c r="K253" s="44">
        <v>1</v>
      </c>
      <c r="L253" s="44" t="s">
        <v>18</v>
      </c>
      <c r="M253" s="44" t="s">
        <v>18</v>
      </c>
      <c r="N253" s="44" t="s">
        <v>18</v>
      </c>
      <c r="O253" s="44" t="s">
        <v>502</v>
      </c>
      <c r="P253" s="44" t="s">
        <v>475</v>
      </c>
      <c r="Q253" s="44" t="s">
        <v>569</v>
      </c>
      <c r="R253" s="44" t="s">
        <v>811</v>
      </c>
      <c r="S253" s="44" t="s">
        <v>504</v>
      </c>
      <c r="T253" s="44" t="s">
        <v>651</v>
      </c>
      <c r="U253" s="44" t="s">
        <v>489</v>
      </c>
      <c r="V253" s="44"/>
      <c r="W253" s="44"/>
    </row>
    <row r="254" spans="2:23">
      <c r="B254" s="75" t="str">
        <f>IF(tbl_Instruement_List[[#This Row],[Tag_New]]="",tbl_Instruement_List[[#This Row],[Tag]],tbl_Instruement_List[[#This Row],[Tag_New]])</f>
        <v>PSE-61302</v>
      </c>
      <c r="C254" s="75"/>
      <c r="D254" s="41" t="s">
        <v>80</v>
      </c>
      <c r="E254" s="41"/>
      <c r="F254" s="42" t="s">
        <v>67</v>
      </c>
      <c r="G254" s="41" t="s">
        <v>829</v>
      </c>
      <c r="H254" s="41" t="s">
        <v>810</v>
      </c>
      <c r="I254" s="41"/>
      <c r="J254" s="44" t="s">
        <v>18</v>
      </c>
      <c r="K254" s="44">
        <v>1</v>
      </c>
      <c r="L254" s="44" t="s">
        <v>18</v>
      </c>
      <c r="M254" s="44" t="s">
        <v>18</v>
      </c>
      <c r="N254" s="44" t="s">
        <v>18</v>
      </c>
      <c r="O254" s="44" t="s">
        <v>502</v>
      </c>
      <c r="P254" s="44" t="s">
        <v>475</v>
      </c>
      <c r="Q254" s="44" t="s">
        <v>569</v>
      </c>
      <c r="R254" s="44" t="s">
        <v>811</v>
      </c>
      <c r="S254" s="44" t="s">
        <v>504</v>
      </c>
      <c r="T254" s="44" t="s">
        <v>651</v>
      </c>
      <c r="U254" s="44" t="s">
        <v>489</v>
      </c>
      <c r="V254" s="44"/>
      <c r="W254" s="44"/>
    </row>
    <row r="255" spans="2:23">
      <c r="B255" s="75" t="str">
        <f>IF(tbl_Instruement_List[[#This Row],[Tag_New]]="",tbl_Instruement_List[[#This Row],[Tag]],tbl_Instruement_List[[#This Row],[Tag_New]])</f>
        <v>PSE-61303</v>
      </c>
      <c r="C255" s="75"/>
      <c r="D255" s="41" t="s">
        <v>81</v>
      </c>
      <c r="E255" s="41"/>
      <c r="F255" s="42" t="s">
        <v>70</v>
      </c>
      <c r="G255" s="41" t="s">
        <v>830</v>
      </c>
      <c r="H255" s="41" t="s">
        <v>810</v>
      </c>
      <c r="I255" s="41"/>
      <c r="J255" s="44" t="s">
        <v>18</v>
      </c>
      <c r="K255" s="44">
        <v>1</v>
      </c>
      <c r="L255" s="44" t="s">
        <v>18</v>
      </c>
      <c r="M255" s="44" t="s">
        <v>18</v>
      </c>
      <c r="N255" s="44" t="s">
        <v>18</v>
      </c>
      <c r="O255" s="44" t="s">
        <v>502</v>
      </c>
      <c r="P255" s="44" t="s">
        <v>475</v>
      </c>
      <c r="Q255" s="44" t="s">
        <v>569</v>
      </c>
      <c r="R255" s="44" t="s">
        <v>811</v>
      </c>
      <c r="S255" s="44" t="s">
        <v>504</v>
      </c>
      <c r="T255" s="44" t="s">
        <v>651</v>
      </c>
      <c r="U255" s="44" t="s">
        <v>489</v>
      </c>
      <c r="V255" s="44"/>
      <c r="W255" s="44"/>
    </row>
    <row r="256" spans="2:23">
      <c r="B256" s="75" t="str">
        <f>IF(tbl_Instruement_List[[#This Row],[Tag_New]]="",tbl_Instruement_List[[#This Row],[Tag]],tbl_Instruement_List[[#This Row],[Tag_New]])</f>
        <v>PSE-61304</v>
      </c>
      <c r="C256" s="75"/>
      <c r="D256" s="41" t="s">
        <v>110</v>
      </c>
      <c r="E256" s="41"/>
      <c r="F256" s="42" t="s">
        <v>78</v>
      </c>
      <c r="G256" s="41" t="s">
        <v>831</v>
      </c>
      <c r="H256" s="41" t="s">
        <v>810</v>
      </c>
      <c r="I256" s="41"/>
      <c r="J256" s="44" t="s">
        <v>18</v>
      </c>
      <c r="K256" s="44">
        <v>1</v>
      </c>
      <c r="L256" s="44" t="s">
        <v>18</v>
      </c>
      <c r="M256" s="44" t="s">
        <v>18</v>
      </c>
      <c r="N256" s="44" t="s">
        <v>18</v>
      </c>
      <c r="O256" s="44" t="s">
        <v>502</v>
      </c>
      <c r="P256" s="44" t="s">
        <v>475</v>
      </c>
      <c r="Q256" s="44" t="s">
        <v>569</v>
      </c>
      <c r="R256" s="44" t="s">
        <v>811</v>
      </c>
      <c r="S256" s="44" t="s">
        <v>504</v>
      </c>
      <c r="T256" s="44" t="s">
        <v>651</v>
      </c>
      <c r="U256" s="44" t="s">
        <v>489</v>
      </c>
      <c r="V256" s="44"/>
      <c r="W256" s="44"/>
    </row>
    <row r="257" spans="2:23">
      <c r="B257" s="75" t="str">
        <f>IF(tbl_Instruement_List[[#This Row],[Tag_New]]="",tbl_Instruement_List[[#This Row],[Tag]],tbl_Instruement_List[[#This Row],[Tag_New]])</f>
        <v>ZS-61306</v>
      </c>
      <c r="C257" s="75"/>
      <c r="D257" s="41" t="s">
        <v>111</v>
      </c>
      <c r="E257" s="41" t="s">
        <v>832</v>
      </c>
      <c r="F257" s="42" t="s">
        <v>78</v>
      </c>
      <c r="G257" s="41" t="s">
        <v>833</v>
      </c>
      <c r="H257" s="41" t="s">
        <v>810</v>
      </c>
      <c r="I257" s="41"/>
      <c r="J257" s="44" t="s">
        <v>18</v>
      </c>
      <c r="K257" s="44">
        <v>1</v>
      </c>
      <c r="L257" s="44" t="s">
        <v>18</v>
      </c>
      <c r="M257" s="44" t="s">
        <v>18</v>
      </c>
      <c r="N257" s="44" t="s">
        <v>18</v>
      </c>
      <c r="O257" s="44" t="s">
        <v>502</v>
      </c>
      <c r="P257" s="44" t="s">
        <v>475</v>
      </c>
      <c r="Q257" s="44" t="s">
        <v>569</v>
      </c>
      <c r="R257" s="44" t="s">
        <v>811</v>
      </c>
      <c r="S257" s="44" t="s">
        <v>504</v>
      </c>
      <c r="T257" s="44" t="s">
        <v>651</v>
      </c>
      <c r="U257" s="44" t="s">
        <v>489</v>
      </c>
      <c r="V257" s="44"/>
      <c r="W257" s="44"/>
    </row>
    <row r="258" spans="2:23">
      <c r="B258" s="75" t="str">
        <f>IF(tbl_Instruement_List[[#This Row],[Tag_New]]="",tbl_Instruement_List[[#This Row],[Tag]],tbl_Instruement_List[[#This Row],[Tag_New]])</f>
        <v>ZS-61307</v>
      </c>
      <c r="C258" s="75"/>
      <c r="D258" s="41" t="s">
        <v>112</v>
      </c>
      <c r="E258" s="41" t="s">
        <v>834</v>
      </c>
      <c r="F258" s="42" t="s">
        <v>78</v>
      </c>
      <c r="G258" s="41" t="s">
        <v>835</v>
      </c>
      <c r="H258" s="41" t="s">
        <v>810</v>
      </c>
      <c r="I258" s="41"/>
      <c r="J258" s="44" t="s">
        <v>18</v>
      </c>
      <c r="K258" s="44">
        <v>1</v>
      </c>
      <c r="L258" s="44" t="s">
        <v>18</v>
      </c>
      <c r="M258" s="44" t="s">
        <v>18</v>
      </c>
      <c r="N258" s="44" t="s">
        <v>18</v>
      </c>
      <c r="O258" s="44" t="s">
        <v>502</v>
      </c>
      <c r="P258" s="44" t="s">
        <v>475</v>
      </c>
      <c r="Q258" s="44" t="s">
        <v>569</v>
      </c>
      <c r="R258" s="44" t="s">
        <v>811</v>
      </c>
      <c r="S258" s="44" t="s">
        <v>504</v>
      </c>
      <c r="T258" s="44" t="s">
        <v>651</v>
      </c>
      <c r="U258" s="44" t="s">
        <v>489</v>
      </c>
      <c r="V258" s="44"/>
      <c r="W258" s="44"/>
    </row>
    <row r="259" spans="2:23">
      <c r="B259" s="75" t="str">
        <f>IF(tbl_Instruement_List[[#This Row],[Tag_New]]="",tbl_Instruement_List[[#This Row],[Tag]],tbl_Instruement_List[[#This Row],[Tag_New]])</f>
        <v>ISV-61303</v>
      </c>
      <c r="C259" s="75"/>
      <c r="D259" s="41" t="s">
        <v>82</v>
      </c>
      <c r="E259" s="41"/>
      <c r="F259" s="42" t="s">
        <v>67</v>
      </c>
      <c r="G259" s="41" t="s">
        <v>836</v>
      </c>
      <c r="H259" s="41" t="s">
        <v>810</v>
      </c>
      <c r="I259" s="41"/>
      <c r="J259" s="44" t="s">
        <v>18</v>
      </c>
      <c r="K259" s="44">
        <v>1</v>
      </c>
      <c r="L259" s="44" t="s">
        <v>18</v>
      </c>
      <c r="M259" s="44" t="s">
        <v>18</v>
      </c>
      <c r="N259" s="44" t="s">
        <v>18</v>
      </c>
      <c r="O259" s="44" t="s">
        <v>502</v>
      </c>
      <c r="P259" s="44" t="s">
        <v>475</v>
      </c>
      <c r="Q259" s="44" t="s">
        <v>569</v>
      </c>
      <c r="R259" s="44" t="s">
        <v>811</v>
      </c>
      <c r="S259" s="44" t="s">
        <v>504</v>
      </c>
      <c r="T259" s="44" t="s">
        <v>651</v>
      </c>
      <c r="U259" s="44" t="s">
        <v>489</v>
      </c>
      <c r="V259" s="44"/>
      <c r="W259" s="44"/>
    </row>
    <row r="260" spans="2:23" ht="16.5" customHeight="1">
      <c r="B260" s="75" t="str">
        <f>IF(tbl_Instruement_List[[#This Row],[Tag_New]]="",tbl_Instruement_List[[#This Row],[Tag]],tbl_Instruement_List[[#This Row],[Tag_New]])</f>
        <v>ISV-61304</v>
      </c>
      <c r="C260" s="75"/>
      <c r="D260" s="41" t="s">
        <v>83</v>
      </c>
      <c r="E260" s="41"/>
      <c r="F260" s="42" t="s">
        <v>70</v>
      </c>
      <c r="G260" s="41" t="s">
        <v>837</v>
      </c>
      <c r="H260" s="41" t="s">
        <v>810</v>
      </c>
      <c r="I260" s="41"/>
      <c r="J260" s="44" t="s">
        <v>18</v>
      </c>
      <c r="K260" s="44">
        <v>1</v>
      </c>
      <c r="L260" s="44" t="s">
        <v>18</v>
      </c>
      <c r="M260" s="44" t="s">
        <v>18</v>
      </c>
      <c r="N260" s="44" t="s">
        <v>18</v>
      </c>
      <c r="O260" s="44" t="s">
        <v>502</v>
      </c>
      <c r="P260" s="44" t="s">
        <v>475</v>
      </c>
      <c r="Q260" s="44" t="s">
        <v>569</v>
      </c>
      <c r="R260" s="44" t="s">
        <v>811</v>
      </c>
      <c r="S260" s="44" t="s">
        <v>504</v>
      </c>
      <c r="T260" s="44" t="s">
        <v>651</v>
      </c>
      <c r="U260" s="44" t="s">
        <v>489</v>
      </c>
      <c r="V260" s="44"/>
      <c r="W260" s="44"/>
    </row>
    <row r="261" spans="2:23">
      <c r="B261" s="75" t="str">
        <f>IF(tbl_Instruement_List[[#This Row],[Tag_New]]="",tbl_Instruement_List[[#This Row],[Tag]],tbl_Instruement_List[[#This Row],[Tag_New]])</f>
        <v>MCC ROOM</v>
      </c>
      <c r="C261" s="75"/>
      <c r="D261" s="32" t="s">
        <v>838</v>
      </c>
      <c r="E261" s="32"/>
      <c r="F261" s="63"/>
      <c r="G261" s="63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</row>
    <row r="262" spans="2:23">
      <c r="B262" s="75" t="str">
        <f>IF(tbl_Instruement_List[[#This Row],[Tag_New]]="",tbl_Instruement_List[[#This Row],[Tag]],tbl_Instruement_List[[#This Row],[Tag_New]])</f>
        <v>ATY-40201</v>
      </c>
      <c r="C262" s="75" t="s">
        <v>839</v>
      </c>
      <c r="D262" s="41" t="s">
        <v>840</v>
      </c>
      <c r="E262" s="41" t="s">
        <v>841</v>
      </c>
      <c r="F262" s="42" t="s">
        <v>170</v>
      </c>
      <c r="G262" s="41" t="s">
        <v>842</v>
      </c>
      <c r="H262" s="41"/>
      <c r="I262" s="41"/>
      <c r="J262" s="44">
        <v>1</v>
      </c>
      <c r="K262" s="47">
        <v>3</v>
      </c>
      <c r="L262" s="44" t="s">
        <v>18</v>
      </c>
      <c r="M262" s="44" t="s">
        <v>18</v>
      </c>
      <c r="N262" s="44">
        <v>1</v>
      </c>
      <c r="O262" s="44" t="s">
        <v>675</v>
      </c>
      <c r="P262" s="44" t="s">
        <v>475</v>
      </c>
      <c r="Q262" s="44" t="s">
        <v>569</v>
      </c>
      <c r="S262" s="44" t="s">
        <v>843</v>
      </c>
    </row>
    <row r="263" spans="2:23">
      <c r="B263" s="75" t="str">
        <f>IF(tbl_Instruement_List[[#This Row],[Tag_New]]="",tbl_Instruement_List[[#This Row],[Tag]],tbl_Instruement_List[[#This Row],[Tag_New]])</f>
        <v>ATY-40202</v>
      </c>
      <c r="C263" s="75" t="s">
        <v>839</v>
      </c>
      <c r="D263" s="41" t="s">
        <v>844</v>
      </c>
      <c r="E263" s="41" t="s">
        <v>845</v>
      </c>
      <c r="F263" s="42" t="s">
        <v>170</v>
      </c>
      <c r="G263" s="41" t="s">
        <v>846</v>
      </c>
      <c r="H263" s="41"/>
      <c r="I263" s="41"/>
      <c r="J263" s="44">
        <v>1</v>
      </c>
      <c r="K263" s="47">
        <v>3</v>
      </c>
      <c r="L263" s="44" t="s">
        <v>18</v>
      </c>
      <c r="M263" s="44" t="s">
        <v>18</v>
      </c>
      <c r="N263" s="44">
        <v>1</v>
      </c>
      <c r="O263" s="44" t="s">
        <v>675</v>
      </c>
      <c r="P263" s="44" t="s">
        <v>475</v>
      </c>
      <c r="Q263" s="44" t="s">
        <v>569</v>
      </c>
      <c r="S263" s="44"/>
    </row>
    <row r="264" spans="2:23">
      <c r="B264" s="75" t="str">
        <f>IF(tbl_Instruement_List[[#This Row],[Tag_New]]="",tbl_Instruement_List[[#This Row],[Tag]],tbl_Instruement_List[[#This Row],[Tag_New]])</f>
        <v>ATY-40203</v>
      </c>
      <c r="C264" s="75" t="s">
        <v>839</v>
      </c>
      <c r="D264" s="41" t="s">
        <v>841</v>
      </c>
      <c r="E264" s="41" t="s">
        <v>133</v>
      </c>
      <c r="F264" s="42" t="s">
        <v>172</v>
      </c>
      <c r="G264" s="41" t="s">
        <v>847</v>
      </c>
      <c r="H264" s="41"/>
      <c r="I264" s="41"/>
      <c r="J264" s="44">
        <v>1</v>
      </c>
      <c r="K264" s="47">
        <v>3</v>
      </c>
      <c r="L264" s="44" t="s">
        <v>18</v>
      </c>
      <c r="M264" s="44" t="s">
        <v>18</v>
      </c>
      <c r="N264" s="44">
        <v>1</v>
      </c>
      <c r="O264" s="44" t="s">
        <v>675</v>
      </c>
      <c r="P264" s="44" t="s">
        <v>475</v>
      </c>
      <c r="Q264" s="44" t="s">
        <v>569</v>
      </c>
      <c r="S264" s="44"/>
    </row>
    <row r="265" spans="2:23">
      <c r="B265" s="75" t="str">
        <f>IF(tbl_Instruement_List[[#This Row],[Tag_New]]="",tbl_Instruement_List[[#This Row],[Tag]],tbl_Instruement_List[[#This Row],[Tag_New]])</f>
        <v>BFY-60210</v>
      </c>
      <c r="C265" s="75"/>
      <c r="D265" s="41" t="s">
        <v>848</v>
      </c>
      <c r="E265" s="41"/>
      <c r="F265" s="42" t="s">
        <v>495</v>
      </c>
      <c r="G265" s="41" t="s">
        <v>849</v>
      </c>
      <c r="H265" s="41"/>
      <c r="I265" s="41"/>
      <c r="J265" s="44">
        <v>1</v>
      </c>
      <c r="K265" s="47">
        <v>3</v>
      </c>
      <c r="L265" s="44" t="s">
        <v>18</v>
      </c>
      <c r="M265" s="44" t="s">
        <v>18</v>
      </c>
      <c r="N265" s="44">
        <v>1</v>
      </c>
      <c r="O265" s="44" t="s">
        <v>675</v>
      </c>
      <c r="P265" s="44" t="s">
        <v>475</v>
      </c>
      <c r="Q265" s="44" t="s">
        <v>569</v>
      </c>
      <c r="S265" s="44"/>
    </row>
    <row r="266" spans="2:23">
      <c r="B266" s="75" t="str">
        <f>IF(tbl_Instruement_List[[#This Row],[Tag_New]]="",tbl_Instruement_List[[#This Row],[Tag]],tbl_Instruement_List[[#This Row],[Tag_New]])</f>
        <v>BFY-60211</v>
      </c>
      <c r="C266" s="75"/>
      <c r="D266" s="41" t="s">
        <v>850</v>
      </c>
      <c r="E266" s="41"/>
      <c r="F266" s="42" t="s">
        <v>495</v>
      </c>
      <c r="G266" s="41" t="s">
        <v>851</v>
      </c>
      <c r="H266" s="41"/>
      <c r="I266" s="41"/>
      <c r="J266" s="44">
        <v>1</v>
      </c>
      <c r="K266" s="47">
        <v>3</v>
      </c>
      <c r="L266" s="44" t="s">
        <v>18</v>
      </c>
      <c r="M266" s="44" t="s">
        <v>18</v>
      </c>
      <c r="N266" s="44">
        <v>1</v>
      </c>
      <c r="O266" s="44" t="s">
        <v>675</v>
      </c>
      <c r="P266" s="44" t="s">
        <v>475</v>
      </c>
      <c r="Q266" s="44" t="s">
        <v>569</v>
      </c>
      <c r="S266" s="44"/>
    </row>
    <row r="267" spans="2:23">
      <c r="B267" s="75" t="str">
        <f>IF(tbl_Instruement_List[[#This Row],[Tag_New]]="",tbl_Instruement_List[[#This Row],[Tag]],tbl_Instruement_List[[#This Row],[Tag_New]])</f>
        <v>BFY-60240</v>
      </c>
      <c r="C267" s="75"/>
      <c r="D267" s="41" t="s">
        <v>852</v>
      </c>
      <c r="E267" s="41"/>
      <c r="F267" s="42" t="s">
        <v>472</v>
      </c>
      <c r="G267" s="41" t="s">
        <v>853</v>
      </c>
      <c r="H267" s="41"/>
      <c r="I267" s="41"/>
      <c r="J267" s="44">
        <v>1</v>
      </c>
      <c r="K267" s="47">
        <v>3</v>
      </c>
      <c r="L267" s="44" t="s">
        <v>18</v>
      </c>
      <c r="M267" s="44" t="s">
        <v>18</v>
      </c>
      <c r="N267" s="44">
        <v>1</v>
      </c>
      <c r="O267" s="44" t="s">
        <v>675</v>
      </c>
      <c r="P267" s="44" t="s">
        <v>475</v>
      </c>
      <c r="Q267" s="44" t="s">
        <v>569</v>
      </c>
      <c r="S267" s="44"/>
    </row>
    <row r="268" spans="2:23">
      <c r="B268" s="75" t="str">
        <f>IF(tbl_Instruement_List[[#This Row],[Tag_New]]="",tbl_Instruement_List[[#This Row],[Tag]],tbl_Instruement_List[[#This Row],[Tag_New]])</f>
        <v>BFY-60220</v>
      </c>
      <c r="C268" s="75"/>
      <c r="D268" s="41" t="s">
        <v>854</v>
      </c>
      <c r="E268" s="41"/>
      <c r="F268" s="42" t="s">
        <v>518</v>
      </c>
      <c r="G268" s="41" t="s">
        <v>855</v>
      </c>
      <c r="H268" s="41"/>
      <c r="I268" s="41"/>
      <c r="J268" s="44">
        <v>1</v>
      </c>
      <c r="K268" s="47">
        <v>3</v>
      </c>
      <c r="L268" s="44" t="s">
        <v>18</v>
      </c>
      <c r="M268" s="44" t="s">
        <v>18</v>
      </c>
      <c r="N268" s="44">
        <v>1</v>
      </c>
      <c r="O268" s="44" t="s">
        <v>675</v>
      </c>
      <c r="P268" s="44" t="s">
        <v>475</v>
      </c>
      <c r="Q268" s="44" t="s">
        <v>569</v>
      </c>
      <c r="S268" s="44"/>
    </row>
    <row r="269" spans="2:23">
      <c r="B269" s="75" t="str">
        <f>IF(tbl_Instruement_List[[#This Row],[Tag_New]]="",tbl_Instruement_List[[#This Row],[Tag]],tbl_Instruement_List[[#This Row],[Tag_New]])</f>
        <v>BFY-60206</v>
      </c>
      <c r="C269" s="75"/>
      <c r="D269" s="41" t="s">
        <v>856</v>
      </c>
      <c r="E269" s="41"/>
      <c r="F269" s="42" t="s">
        <v>491</v>
      </c>
      <c r="G269" s="41" t="s">
        <v>857</v>
      </c>
      <c r="H269" s="41"/>
      <c r="I269" s="41"/>
      <c r="J269" s="44">
        <v>1</v>
      </c>
      <c r="K269" s="47">
        <v>3</v>
      </c>
      <c r="L269" s="44" t="s">
        <v>18</v>
      </c>
      <c r="M269" s="44" t="s">
        <v>18</v>
      </c>
      <c r="N269" s="44">
        <v>1</v>
      </c>
      <c r="O269" s="44" t="s">
        <v>675</v>
      </c>
      <c r="P269" s="44" t="s">
        <v>475</v>
      </c>
      <c r="Q269" s="44" t="s">
        <v>569</v>
      </c>
      <c r="S269" s="44"/>
    </row>
    <row r="270" spans="2:23">
      <c r="B270" s="75" t="str">
        <f>IF(tbl_Instruement_List[[#This Row],[Tag_New]]="",tbl_Instruement_List[[#This Row],[Tag]],tbl_Instruement_List[[#This Row],[Tag_New]])</f>
        <v>BFY-61301</v>
      </c>
      <c r="C270" s="75"/>
      <c r="D270" s="41" t="s">
        <v>858</v>
      </c>
      <c r="E270" s="41"/>
      <c r="F270" s="42" t="s">
        <v>78</v>
      </c>
      <c r="G270" s="41" t="s">
        <v>859</v>
      </c>
      <c r="H270" s="41"/>
      <c r="I270" s="41"/>
      <c r="J270" s="44">
        <v>1</v>
      </c>
      <c r="K270" s="47">
        <v>3</v>
      </c>
      <c r="L270" s="44" t="s">
        <v>18</v>
      </c>
      <c r="M270" s="44" t="s">
        <v>18</v>
      </c>
      <c r="N270" s="44">
        <v>1</v>
      </c>
      <c r="O270" s="44" t="s">
        <v>675</v>
      </c>
      <c r="P270" s="44" t="s">
        <v>475</v>
      </c>
      <c r="Q270" s="44" t="s">
        <v>569</v>
      </c>
      <c r="S270" s="44"/>
    </row>
    <row r="271" spans="2:23">
      <c r="B271" s="75" t="str">
        <f>IF(tbl_Instruement_List[[#This Row],[Tag_New]]="",tbl_Instruement_List[[#This Row],[Tag]],tbl_Instruement_List[[#This Row],[Tag_New]])</f>
        <v>BFY-61302</v>
      </c>
      <c r="C271" s="75"/>
      <c r="D271" s="41" t="s">
        <v>860</v>
      </c>
      <c r="E271" s="41"/>
      <c r="F271" s="42" t="s">
        <v>70</v>
      </c>
      <c r="G271" s="41" t="s">
        <v>861</v>
      </c>
      <c r="H271" s="41"/>
      <c r="I271" s="41"/>
      <c r="J271" s="44">
        <v>1</v>
      </c>
      <c r="K271" s="47">
        <v>3</v>
      </c>
      <c r="L271" s="44" t="s">
        <v>18</v>
      </c>
      <c r="M271" s="44" t="s">
        <v>18</v>
      </c>
      <c r="N271" s="44">
        <v>1</v>
      </c>
      <c r="O271" s="44" t="s">
        <v>675</v>
      </c>
      <c r="P271" s="44" t="s">
        <v>475</v>
      </c>
      <c r="Q271" s="44" t="s">
        <v>569</v>
      </c>
      <c r="S271" s="44"/>
    </row>
    <row r="272" spans="2:23">
      <c r="B272" s="75" t="str">
        <f>IF(tbl_Instruement_List[[#This Row],[Tag_New]]="",tbl_Instruement_List[[#This Row],[Tag]],tbl_Instruement_List[[#This Row],[Tag_New]])</f>
        <v>BFY-61303</v>
      </c>
      <c r="C272" s="75"/>
      <c r="D272" s="41" t="s">
        <v>862</v>
      </c>
      <c r="E272" s="41"/>
      <c r="F272" s="42" t="s">
        <v>78</v>
      </c>
      <c r="G272" s="41" t="s">
        <v>863</v>
      </c>
      <c r="H272" s="41"/>
      <c r="I272" s="41"/>
      <c r="J272" s="44">
        <v>1</v>
      </c>
      <c r="K272" s="47">
        <v>3</v>
      </c>
      <c r="L272" s="44" t="s">
        <v>18</v>
      </c>
      <c r="M272" s="44" t="s">
        <v>18</v>
      </c>
      <c r="N272" s="44">
        <v>1</v>
      </c>
      <c r="O272" s="44" t="s">
        <v>675</v>
      </c>
      <c r="P272" s="44" t="s">
        <v>475</v>
      </c>
      <c r="Q272" s="44" t="s">
        <v>569</v>
      </c>
      <c r="S272" s="44"/>
    </row>
    <row r="273" spans="2:19">
      <c r="B273" s="75" t="str">
        <f>IF(tbl_Instruement_List[[#This Row],[Tag_New]]="",tbl_Instruement_List[[#This Row],[Tag]],tbl_Instruement_List[[#This Row],[Tag_New]])</f>
        <v>BLM-61302</v>
      </c>
      <c r="C273" s="75"/>
      <c r="D273" s="64" t="s">
        <v>864</v>
      </c>
      <c r="E273" s="64"/>
      <c r="F273" s="65" t="s">
        <v>78</v>
      </c>
      <c r="G273" s="64" t="s">
        <v>865</v>
      </c>
      <c r="H273" s="64"/>
      <c r="I273" s="64"/>
      <c r="J273" s="66">
        <v>2</v>
      </c>
      <c r="K273" s="67">
        <v>2</v>
      </c>
      <c r="L273" s="66" t="s">
        <v>18</v>
      </c>
      <c r="M273" s="66" t="s">
        <v>18</v>
      </c>
      <c r="N273" s="66" t="s">
        <v>18</v>
      </c>
      <c r="O273" s="66" t="s">
        <v>675</v>
      </c>
      <c r="P273" s="66" t="s">
        <v>475</v>
      </c>
      <c r="Q273" s="66" t="s">
        <v>569</v>
      </c>
      <c r="S273" s="44"/>
    </row>
    <row r="274" spans="2:19">
      <c r="B274" s="75" t="str">
        <f>IF(tbl_Instruement_List[[#This Row],[Tag_New]]="",tbl_Instruement_List[[#This Row],[Tag]],tbl_Instruement_List[[#This Row],[Tag_New]])</f>
        <v>PDM-60202B</v>
      </c>
      <c r="C274" s="75"/>
      <c r="D274" s="41" t="s">
        <v>866</v>
      </c>
      <c r="E274" s="41" t="s">
        <v>867</v>
      </c>
      <c r="F274" s="42" t="s">
        <v>638</v>
      </c>
      <c r="G274" s="41" t="s">
        <v>868</v>
      </c>
      <c r="H274" s="41"/>
      <c r="I274" s="41"/>
      <c r="J274" s="44">
        <v>1</v>
      </c>
      <c r="K274" s="47">
        <v>3</v>
      </c>
      <c r="L274" s="44" t="s">
        <v>18</v>
      </c>
      <c r="M274" s="44" t="s">
        <v>18</v>
      </c>
      <c r="N274" s="44" t="s">
        <v>18</v>
      </c>
      <c r="O274" s="44" t="s">
        <v>675</v>
      </c>
      <c r="P274" s="44" t="s">
        <v>475</v>
      </c>
      <c r="Q274" s="44" t="s">
        <v>569</v>
      </c>
      <c r="S274" s="44"/>
    </row>
    <row r="275" spans="2:19">
      <c r="B275" s="75" t="str">
        <f>IF(tbl_Instruement_List[[#This Row],[Tag_New]]="",tbl_Instruement_List[[#This Row],[Tag]],tbl_Instruement_List[[#This Row],[Tag_New]])</f>
        <v>PDM-60202C</v>
      </c>
      <c r="C275" s="75"/>
      <c r="D275" s="41" t="s">
        <v>869</v>
      </c>
      <c r="E275" s="41" t="s">
        <v>870</v>
      </c>
      <c r="F275" s="42" t="s">
        <v>638</v>
      </c>
      <c r="G275" s="41" t="s">
        <v>871</v>
      </c>
      <c r="H275" s="41"/>
      <c r="I275" s="41"/>
      <c r="J275" s="44">
        <v>1</v>
      </c>
      <c r="K275" s="47">
        <v>3</v>
      </c>
      <c r="L275" s="44" t="s">
        <v>18</v>
      </c>
      <c r="M275" s="44" t="s">
        <v>18</v>
      </c>
      <c r="N275" s="44" t="s">
        <v>18</v>
      </c>
      <c r="O275" s="44" t="s">
        <v>675</v>
      </c>
      <c r="P275" s="44" t="s">
        <v>475</v>
      </c>
      <c r="Q275" s="44" t="s">
        <v>569</v>
      </c>
      <c r="S275" s="44"/>
    </row>
    <row r="276" spans="2:19">
      <c r="B276" s="75" t="str">
        <f>IF(tbl_Instruement_List[[#This Row],[Tag_New]]="",tbl_Instruement_List[[#This Row],[Tag]],tbl_Instruement_List[[#This Row],[Tag_New]])</f>
        <v>PDM-60202D</v>
      </c>
      <c r="C276" s="75"/>
      <c r="D276" s="41" t="s">
        <v>872</v>
      </c>
      <c r="E276" s="41" t="s">
        <v>873</v>
      </c>
      <c r="F276" s="42" t="s">
        <v>638</v>
      </c>
      <c r="G276" s="41" t="s">
        <v>874</v>
      </c>
      <c r="H276" s="41"/>
      <c r="I276" s="41"/>
      <c r="J276" s="44">
        <v>1</v>
      </c>
      <c r="K276" s="47">
        <v>3</v>
      </c>
      <c r="L276" s="44" t="s">
        <v>18</v>
      </c>
      <c r="M276" s="44" t="s">
        <v>18</v>
      </c>
      <c r="N276" s="44" t="s">
        <v>18</v>
      </c>
      <c r="O276" s="44" t="s">
        <v>675</v>
      </c>
      <c r="P276" s="44" t="s">
        <v>475</v>
      </c>
      <c r="Q276" s="44" t="s">
        <v>569</v>
      </c>
      <c r="S276" s="44"/>
    </row>
    <row r="277" spans="2:19">
      <c r="B277" s="75" t="str">
        <f>IF(tbl_Instruement_List[[#This Row],[Tag_New]]="",tbl_Instruement_List[[#This Row],[Tag]],tbl_Instruement_List[[#This Row],[Tag_New]])</f>
        <v>PDM-60202E</v>
      </c>
      <c r="C277" s="75"/>
      <c r="D277" s="41" t="s">
        <v>875</v>
      </c>
      <c r="E277" s="41" t="s">
        <v>876</v>
      </c>
      <c r="F277" s="42" t="s">
        <v>638</v>
      </c>
      <c r="G277" s="41" t="s">
        <v>877</v>
      </c>
      <c r="H277" s="41"/>
      <c r="I277" s="41"/>
      <c r="J277" s="44">
        <v>1</v>
      </c>
      <c r="K277" s="47">
        <v>3</v>
      </c>
      <c r="L277" s="44" t="s">
        <v>18</v>
      </c>
      <c r="M277" s="44" t="s">
        <v>18</v>
      </c>
      <c r="N277" s="44" t="s">
        <v>18</v>
      </c>
      <c r="O277" s="44" t="s">
        <v>675</v>
      </c>
      <c r="P277" s="44" t="s">
        <v>475</v>
      </c>
      <c r="Q277" s="44" t="s">
        <v>569</v>
      </c>
      <c r="S277" s="44"/>
    </row>
    <row r="278" spans="2:19">
      <c r="B278" s="75" t="str">
        <f>IF(tbl_Instruement_List[[#This Row],[Tag_New]]="",tbl_Instruement_List[[#This Row],[Tag]],tbl_Instruement_List[[#This Row],[Tag_New]])</f>
        <v>PCY-40203</v>
      </c>
      <c r="C278" s="75" t="s">
        <v>878</v>
      </c>
      <c r="D278" s="41" t="s">
        <v>879</v>
      </c>
      <c r="E278" s="41" t="s">
        <v>134</v>
      </c>
      <c r="F278" s="42" t="s">
        <v>172</v>
      </c>
      <c r="G278" s="41" t="s">
        <v>880</v>
      </c>
      <c r="H278" s="41"/>
      <c r="I278" s="41"/>
      <c r="J278" s="44">
        <v>1</v>
      </c>
      <c r="K278" s="47">
        <v>3</v>
      </c>
      <c r="L278" s="44" t="s">
        <v>18</v>
      </c>
      <c r="M278" s="44" t="s">
        <v>18</v>
      </c>
      <c r="N278" s="44">
        <v>1</v>
      </c>
      <c r="O278" s="44" t="s">
        <v>675</v>
      </c>
      <c r="P278" s="44" t="s">
        <v>475</v>
      </c>
      <c r="Q278" s="44" t="s">
        <v>569</v>
      </c>
      <c r="S278" s="44"/>
    </row>
    <row r="279" spans="2:19">
      <c r="B279" s="75" t="str">
        <f>IF(tbl_Instruement_List[[#This Row],[Tag_New]]="",tbl_Instruement_List[[#This Row],[Tag]],tbl_Instruement_List[[#This Row],[Tag_New]])</f>
        <v>PCY-40201</v>
      </c>
      <c r="C279" s="75" t="s">
        <v>878</v>
      </c>
      <c r="D279" s="41" t="s">
        <v>881</v>
      </c>
      <c r="E279" s="41" t="s">
        <v>879</v>
      </c>
      <c r="F279" s="42" t="s">
        <v>170</v>
      </c>
      <c r="G279" s="41" t="s">
        <v>882</v>
      </c>
      <c r="H279" s="41"/>
      <c r="I279" s="41"/>
      <c r="J279" s="44">
        <v>1</v>
      </c>
      <c r="K279" s="47">
        <v>3</v>
      </c>
      <c r="L279" s="44" t="s">
        <v>18</v>
      </c>
      <c r="M279" s="44" t="s">
        <v>18</v>
      </c>
      <c r="N279" s="44">
        <v>1</v>
      </c>
      <c r="O279" s="44" t="s">
        <v>675</v>
      </c>
      <c r="P279" s="44" t="s">
        <v>475</v>
      </c>
      <c r="Q279" s="44" t="s">
        <v>569</v>
      </c>
      <c r="S279" s="44"/>
    </row>
    <row r="280" spans="2:19">
      <c r="B280" s="75" t="str">
        <f>IF(tbl_Instruement_List[[#This Row],[Tag_New]]="",tbl_Instruement_List[[#This Row],[Tag]],tbl_Instruement_List[[#This Row],[Tag_New]])</f>
        <v>PCY-40202</v>
      </c>
      <c r="C280" s="75" t="s">
        <v>878</v>
      </c>
      <c r="D280" s="41" t="s">
        <v>883</v>
      </c>
      <c r="E280" s="41" t="s">
        <v>884</v>
      </c>
      <c r="F280" s="42" t="s">
        <v>170</v>
      </c>
      <c r="G280" s="41" t="s">
        <v>885</v>
      </c>
      <c r="H280" s="41"/>
      <c r="I280" s="41"/>
      <c r="J280" s="44">
        <v>1</v>
      </c>
      <c r="K280" s="47">
        <v>3</v>
      </c>
      <c r="L280" s="44" t="s">
        <v>18</v>
      </c>
      <c r="M280" s="44" t="s">
        <v>18</v>
      </c>
      <c r="N280" s="44">
        <v>1</v>
      </c>
      <c r="O280" s="44" t="s">
        <v>675</v>
      </c>
      <c r="P280" s="44" t="s">
        <v>475</v>
      </c>
      <c r="Q280" s="44" t="s">
        <v>569</v>
      </c>
      <c r="S280" s="44"/>
    </row>
    <row r="281" spans="2:19">
      <c r="B281" s="75" t="str">
        <f>IF(tbl_Instruement_List[[#This Row],[Tag_New]]="",tbl_Instruement_List[[#This Row],[Tag]],tbl_Instruement_List[[#This Row],[Tag_New]])</f>
        <v>PDY-40204</v>
      </c>
      <c r="C281" s="75"/>
      <c r="D281" s="41"/>
      <c r="E281" s="41" t="s">
        <v>886</v>
      </c>
      <c r="F281" s="42" t="s">
        <v>170</v>
      </c>
      <c r="G281" s="41" t="s">
        <v>887</v>
      </c>
      <c r="H281" s="41"/>
      <c r="I281" s="41"/>
      <c r="J281" s="44">
        <v>1</v>
      </c>
      <c r="K281" s="47">
        <v>3</v>
      </c>
      <c r="L281" s="44" t="s">
        <v>18</v>
      </c>
      <c r="M281" s="44" t="s">
        <v>18</v>
      </c>
      <c r="N281" s="44">
        <v>1</v>
      </c>
      <c r="O281" s="44" t="s">
        <v>675</v>
      </c>
      <c r="P281" s="44" t="s">
        <v>475</v>
      </c>
      <c r="Q281" s="44" t="s">
        <v>569</v>
      </c>
      <c r="S281" s="44"/>
    </row>
    <row r="282" spans="2:19">
      <c r="B282" s="75" t="str">
        <f>IF(tbl_Instruement_List[[#This Row],[Tag_New]]="",tbl_Instruement_List[[#This Row],[Tag]],tbl_Instruement_List[[#This Row],[Tag_New]])</f>
        <v>PDY-40205</v>
      </c>
      <c r="C282" s="75"/>
      <c r="D282" s="41"/>
      <c r="E282" s="41" t="s">
        <v>888</v>
      </c>
      <c r="F282" s="42" t="s">
        <v>170</v>
      </c>
      <c r="G282" s="41" t="s">
        <v>889</v>
      </c>
      <c r="H282" s="41"/>
      <c r="I282" s="41"/>
      <c r="J282" s="44">
        <v>1</v>
      </c>
      <c r="K282" s="47">
        <v>3</v>
      </c>
      <c r="L282" s="44" t="s">
        <v>18</v>
      </c>
      <c r="M282" s="44" t="s">
        <v>18</v>
      </c>
      <c r="N282" s="44">
        <v>1</v>
      </c>
      <c r="O282" s="44" t="s">
        <v>675</v>
      </c>
      <c r="P282" s="44" t="s">
        <v>475</v>
      </c>
      <c r="Q282" s="44" t="s">
        <v>569</v>
      </c>
      <c r="S282" s="44"/>
    </row>
    <row r="283" spans="2:19">
      <c r="B283" s="75" t="str">
        <f>IF(tbl_Instruement_List[[#This Row],[Tag_New]]="",tbl_Instruement_List[[#This Row],[Tag]],tbl_Instruement_List[[#This Row],[Tag_New]])</f>
        <v>PDY-60202A</v>
      </c>
      <c r="C283" s="75"/>
      <c r="D283" s="41" t="s">
        <v>890</v>
      </c>
      <c r="E283" s="41" t="s">
        <v>891</v>
      </c>
      <c r="F283" s="42" t="s">
        <v>638</v>
      </c>
      <c r="G283" s="41" t="s">
        <v>892</v>
      </c>
      <c r="H283" s="41"/>
      <c r="I283" s="41"/>
      <c r="J283" s="44">
        <v>1</v>
      </c>
      <c r="K283" s="47">
        <v>3</v>
      </c>
      <c r="L283" s="44" t="s">
        <v>18</v>
      </c>
      <c r="M283" s="44" t="s">
        <v>18</v>
      </c>
      <c r="N283" s="44">
        <v>1</v>
      </c>
      <c r="O283" s="44" t="s">
        <v>675</v>
      </c>
      <c r="P283" s="44" t="s">
        <v>475</v>
      </c>
      <c r="Q283" s="44" t="s">
        <v>569</v>
      </c>
      <c r="S283" s="44"/>
    </row>
    <row r="284" spans="2:19">
      <c r="B284" s="75" t="str">
        <f>IF(tbl_Instruement_List[[#This Row],[Tag_New]]="",tbl_Instruement_List[[#This Row],[Tag]],tbl_Instruement_List[[#This Row],[Tag_New]])</f>
        <v>PCY-60215</v>
      </c>
      <c r="C284" s="75" t="s">
        <v>878</v>
      </c>
      <c r="D284" s="41" t="s">
        <v>893</v>
      </c>
      <c r="E284" s="41"/>
      <c r="F284" s="42" t="s">
        <v>495</v>
      </c>
      <c r="G284" s="41" t="s">
        <v>894</v>
      </c>
      <c r="H284" s="41"/>
      <c r="I284" s="41"/>
      <c r="J284" s="44">
        <v>1</v>
      </c>
      <c r="K284" s="47">
        <v>3</v>
      </c>
      <c r="L284" s="44" t="s">
        <v>18</v>
      </c>
      <c r="M284" s="44" t="s">
        <v>18</v>
      </c>
      <c r="N284" s="44">
        <v>1</v>
      </c>
      <c r="O284" s="44" t="s">
        <v>675</v>
      </c>
      <c r="P284" s="44" t="s">
        <v>475</v>
      </c>
      <c r="Q284" s="44" t="s">
        <v>569</v>
      </c>
      <c r="S284" s="44"/>
    </row>
    <row r="285" spans="2:19">
      <c r="B285" s="75" t="str">
        <f>IF(tbl_Instruement_List[[#This Row],[Tag_New]]="",tbl_Instruement_List[[#This Row],[Tag]],tbl_Instruement_List[[#This Row],[Tag_New]])</f>
        <v>BLM-61301</v>
      </c>
      <c r="C285" s="75"/>
      <c r="D285" s="41" t="s">
        <v>895</v>
      </c>
      <c r="E285" s="41" t="s">
        <v>896</v>
      </c>
      <c r="F285" s="42" t="s">
        <v>67</v>
      </c>
      <c r="G285" s="41" t="s">
        <v>897</v>
      </c>
      <c r="H285" s="41"/>
      <c r="I285" s="41"/>
      <c r="J285" s="44">
        <v>1</v>
      </c>
      <c r="K285" s="47">
        <v>3</v>
      </c>
      <c r="L285" s="44" t="s">
        <v>18</v>
      </c>
      <c r="M285" s="44" t="s">
        <v>18</v>
      </c>
      <c r="N285" s="44" t="s">
        <v>18</v>
      </c>
      <c r="O285" s="44" t="s">
        <v>675</v>
      </c>
      <c r="P285" s="44" t="s">
        <v>475</v>
      </c>
      <c r="Q285" s="44" t="s">
        <v>569</v>
      </c>
      <c r="S285" s="44"/>
    </row>
    <row r="286" spans="2:19">
      <c r="B286" s="75" t="str">
        <f>IF(tbl_Instruement_List[[#This Row],[Tag_New]]="",tbl_Instruement_List[[#This Row],[Tag]],tbl_Instruement_List[[#This Row],[Tag_New]])</f>
        <v>RVM-60201</v>
      </c>
      <c r="C286" s="75"/>
      <c r="D286" s="41" t="s">
        <v>898</v>
      </c>
      <c r="E286" s="41"/>
      <c r="F286" s="42" t="s">
        <v>491</v>
      </c>
      <c r="G286" s="41" t="s">
        <v>899</v>
      </c>
      <c r="H286" s="41"/>
      <c r="I286" s="41"/>
      <c r="J286" s="44">
        <v>1</v>
      </c>
      <c r="K286" s="47">
        <v>3</v>
      </c>
      <c r="L286" s="44" t="s">
        <v>18</v>
      </c>
      <c r="M286" s="44" t="s">
        <v>18</v>
      </c>
      <c r="N286" s="44" t="s">
        <v>18</v>
      </c>
      <c r="O286" s="44" t="s">
        <v>675</v>
      </c>
      <c r="P286" s="44" t="s">
        <v>475</v>
      </c>
      <c r="Q286" s="44" t="s">
        <v>569</v>
      </c>
      <c r="S286" s="44"/>
    </row>
    <row r="287" spans="2:19">
      <c r="B287" s="75" t="str">
        <f>IF(tbl_Instruement_List[[#This Row],[Tag_New]]="",tbl_Instruement_List[[#This Row],[Tag]],tbl_Instruement_List[[#This Row],[Tag_New]])</f>
        <v>RVM-60202</v>
      </c>
      <c r="C287" s="75"/>
      <c r="D287" s="41" t="s">
        <v>900</v>
      </c>
      <c r="E287" s="41"/>
      <c r="F287" s="42" t="s">
        <v>491</v>
      </c>
      <c r="G287" s="41" t="s">
        <v>901</v>
      </c>
      <c r="H287" s="41"/>
      <c r="I287" s="41"/>
      <c r="J287" s="44">
        <v>1</v>
      </c>
      <c r="K287" s="47">
        <v>3</v>
      </c>
      <c r="L287" s="44" t="s">
        <v>18</v>
      </c>
      <c r="M287" s="44" t="s">
        <v>18</v>
      </c>
      <c r="N287" s="44" t="s">
        <v>18</v>
      </c>
      <c r="O287" s="44" t="s">
        <v>675</v>
      </c>
      <c r="P287" s="44" t="s">
        <v>475</v>
      </c>
      <c r="Q287" s="44" t="s">
        <v>569</v>
      </c>
      <c r="S287" s="44"/>
    </row>
    <row r="288" spans="2:19">
      <c r="B288" s="75" t="str">
        <f>IF(tbl_Instruement_List[[#This Row],[Tag_New]]="",tbl_Instruement_List[[#This Row],[Tag]],tbl_Instruement_List[[#This Row],[Tag_New]])</f>
        <v>RVM-60203</v>
      </c>
      <c r="C288" s="75"/>
      <c r="D288" s="41" t="s">
        <v>902</v>
      </c>
      <c r="E288" s="41"/>
      <c r="F288" s="42" t="s">
        <v>491</v>
      </c>
      <c r="G288" s="41" t="s">
        <v>903</v>
      </c>
      <c r="H288" s="41"/>
      <c r="I288" s="41"/>
      <c r="J288" s="44">
        <v>1</v>
      </c>
      <c r="K288" s="47">
        <v>3</v>
      </c>
      <c r="L288" s="44" t="s">
        <v>18</v>
      </c>
      <c r="M288" s="44" t="s">
        <v>18</v>
      </c>
      <c r="N288" s="44" t="s">
        <v>18</v>
      </c>
      <c r="O288" s="44" t="s">
        <v>675</v>
      </c>
      <c r="P288" s="44" t="s">
        <v>475</v>
      </c>
      <c r="Q288" s="44" t="s">
        <v>569</v>
      </c>
      <c r="S288" s="44"/>
    </row>
    <row r="289" spans="2:23">
      <c r="B289" s="75" t="str">
        <f>IF(tbl_Instruement_List[[#This Row],[Tag_New]]="",tbl_Instruement_List[[#This Row],[Tag]],tbl_Instruement_List[[#This Row],[Tag_New]])</f>
        <v>RVM-60204</v>
      </c>
      <c r="C289" s="75"/>
      <c r="D289" s="41" t="s">
        <v>904</v>
      </c>
      <c r="E289" s="41"/>
      <c r="F289" s="42" t="s">
        <v>491</v>
      </c>
      <c r="G289" s="41" t="s">
        <v>905</v>
      </c>
      <c r="H289" s="41"/>
      <c r="I289" s="41"/>
      <c r="J289" s="44">
        <v>1</v>
      </c>
      <c r="K289" s="47">
        <v>3</v>
      </c>
      <c r="L289" s="44" t="s">
        <v>18</v>
      </c>
      <c r="M289" s="44" t="s">
        <v>18</v>
      </c>
      <c r="N289" s="44" t="s">
        <v>18</v>
      </c>
      <c r="O289" s="44" t="s">
        <v>675</v>
      </c>
      <c r="P289" s="44" t="s">
        <v>475</v>
      </c>
      <c r="Q289" s="44" t="s">
        <v>569</v>
      </c>
      <c r="S289" s="44"/>
    </row>
    <row r="290" spans="2:23">
      <c r="B290" s="75" t="str">
        <f>IF(tbl_Instruement_List[[#This Row],[Tag_New]]="",tbl_Instruement_List[[#This Row],[Tag]],tbl_Instruement_List[[#This Row],[Tag_New]])</f>
        <v>RVM-61301</v>
      </c>
      <c r="C290" s="75"/>
      <c r="D290" s="41" t="s">
        <v>906</v>
      </c>
      <c r="E290" s="41"/>
      <c r="F290" s="42" t="s">
        <v>78</v>
      </c>
      <c r="G290" s="41" t="s">
        <v>907</v>
      </c>
      <c r="H290" s="41"/>
      <c r="I290" s="41"/>
      <c r="J290" s="44">
        <v>1</v>
      </c>
      <c r="K290" s="47">
        <v>3</v>
      </c>
      <c r="L290" s="44" t="s">
        <v>18</v>
      </c>
      <c r="M290" s="44" t="s">
        <v>18</v>
      </c>
      <c r="N290" s="44" t="s">
        <v>18</v>
      </c>
      <c r="O290" s="44" t="s">
        <v>675</v>
      </c>
      <c r="P290" s="44" t="s">
        <v>475</v>
      </c>
      <c r="Q290" s="44" t="s">
        <v>569</v>
      </c>
      <c r="S290" s="44"/>
    </row>
    <row r="291" spans="2:23">
      <c r="B291" s="75" t="str">
        <f>IF(tbl_Instruement_List[[#This Row],[Tag_New]]="",tbl_Instruement_List[[#This Row],[Tag]],tbl_Instruement_List[[#This Row],[Tag_New]])</f>
        <v>RVM-61302</v>
      </c>
      <c r="C291" s="75"/>
      <c r="D291" s="41" t="s">
        <v>908</v>
      </c>
      <c r="E291" s="41"/>
      <c r="F291" s="42" t="s">
        <v>67</v>
      </c>
      <c r="G291" s="41" t="s">
        <v>909</v>
      </c>
      <c r="H291" s="41"/>
      <c r="I291" s="41"/>
      <c r="J291" s="44">
        <v>1</v>
      </c>
      <c r="K291" s="47">
        <v>3</v>
      </c>
      <c r="L291" s="44" t="s">
        <v>18</v>
      </c>
      <c r="M291" s="44" t="s">
        <v>18</v>
      </c>
      <c r="N291" s="44" t="s">
        <v>18</v>
      </c>
      <c r="O291" s="44" t="s">
        <v>675</v>
      </c>
      <c r="P291" s="44" t="s">
        <v>475</v>
      </c>
      <c r="Q291" s="44" t="s">
        <v>569</v>
      </c>
      <c r="S291" s="44"/>
    </row>
    <row r="292" spans="2:23">
      <c r="B292" s="75" t="str">
        <f>IF(tbl_Instruement_List[[#This Row],[Tag_New]]="",tbl_Instruement_List[[#This Row],[Tag]],tbl_Instruement_List[[#This Row],[Tag_New]])</f>
        <v>RVM-61303</v>
      </c>
      <c r="C292" s="75"/>
      <c r="D292" s="41" t="s">
        <v>910</v>
      </c>
      <c r="E292" s="41"/>
      <c r="F292" s="42" t="s">
        <v>70</v>
      </c>
      <c r="G292" s="41" t="s">
        <v>911</v>
      </c>
      <c r="H292" s="41"/>
      <c r="I292" s="41"/>
      <c r="J292" s="44">
        <v>1</v>
      </c>
      <c r="K292" s="47">
        <v>3</v>
      </c>
      <c r="L292" s="44" t="s">
        <v>18</v>
      </c>
      <c r="M292" s="44" t="s">
        <v>18</v>
      </c>
      <c r="N292" s="44" t="s">
        <v>18</v>
      </c>
      <c r="O292" s="44" t="s">
        <v>675</v>
      </c>
      <c r="P292" s="44" t="s">
        <v>475</v>
      </c>
      <c r="Q292" s="44" t="s">
        <v>569</v>
      </c>
      <c r="S292" s="44"/>
    </row>
    <row r="293" spans="2:23">
      <c r="B293" s="75" t="str">
        <f>IF(tbl_Instruement_List[[#This Row],[Tag_New]]="",tbl_Instruement_List[[#This Row],[Tag]],tbl_Instruement_List[[#This Row],[Tag_New]])</f>
        <v>RVM-61304</v>
      </c>
      <c r="C293" s="75"/>
      <c r="D293" s="41" t="s">
        <v>912</v>
      </c>
      <c r="E293" s="41"/>
      <c r="F293" s="42" t="s">
        <v>78</v>
      </c>
      <c r="G293" s="41" t="s">
        <v>913</v>
      </c>
      <c r="H293" s="41"/>
      <c r="I293" s="41"/>
      <c r="J293" s="44">
        <v>1</v>
      </c>
      <c r="K293" s="47">
        <v>3</v>
      </c>
      <c r="L293" s="44" t="s">
        <v>18</v>
      </c>
      <c r="M293" s="44" t="s">
        <v>18</v>
      </c>
      <c r="N293" s="44" t="s">
        <v>18</v>
      </c>
      <c r="O293" s="44" t="s">
        <v>675</v>
      </c>
      <c r="P293" s="44" t="s">
        <v>475</v>
      </c>
      <c r="Q293" s="44" t="s">
        <v>569</v>
      </c>
      <c r="S293" s="44"/>
    </row>
    <row r="294" spans="2:23">
      <c r="B294" s="75" t="str">
        <f>IF(tbl_Instruement_List[[#This Row],[Tag_New]]="",tbl_Instruement_List[[#This Row],[Tag]],tbl_Instruement_List[[#This Row],[Tag_New]])</f>
        <v>RVM-61305</v>
      </c>
      <c r="C294" s="75"/>
      <c r="D294" s="41" t="s">
        <v>914</v>
      </c>
      <c r="E294" s="41"/>
      <c r="F294" s="42" t="s">
        <v>78</v>
      </c>
      <c r="G294" s="41" t="s">
        <v>915</v>
      </c>
      <c r="H294" s="41"/>
      <c r="I294" s="41"/>
      <c r="J294" s="44">
        <v>1</v>
      </c>
      <c r="K294" s="47">
        <v>3</v>
      </c>
      <c r="L294" s="44" t="s">
        <v>18</v>
      </c>
      <c r="M294" s="44" t="s">
        <v>18</v>
      </c>
      <c r="N294" s="44" t="s">
        <v>18</v>
      </c>
      <c r="O294" s="44" t="s">
        <v>675</v>
      </c>
      <c r="P294" s="44" t="s">
        <v>475</v>
      </c>
      <c r="Q294" s="44" t="s">
        <v>569</v>
      </c>
      <c r="S294" s="44"/>
    </row>
    <row r="295" spans="2:23">
      <c r="B295" s="75" t="str">
        <f>IF(tbl_Instruement_List[[#This Row],[Tag_New]]="",tbl_Instruement_List[[#This Row],[Tag]],tbl_Instruement_List[[#This Row],[Tag_New]])</f>
        <v>SCM-61301</v>
      </c>
      <c r="C295" s="75"/>
      <c r="D295" s="41" t="s">
        <v>916</v>
      </c>
      <c r="E295" s="41"/>
      <c r="F295" s="42" t="s">
        <v>78</v>
      </c>
      <c r="G295" s="41" t="s">
        <v>917</v>
      </c>
      <c r="H295" s="41"/>
      <c r="I295" s="41"/>
      <c r="J295" s="44">
        <v>1</v>
      </c>
      <c r="K295" s="47">
        <v>3</v>
      </c>
      <c r="L295" s="44" t="s">
        <v>18</v>
      </c>
      <c r="M295" s="44" t="s">
        <v>18</v>
      </c>
      <c r="N295" s="44" t="s">
        <v>18</v>
      </c>
      <c r="O295" s="44" t="s">
        <v>675</v>
      </c>
      <c r="P295" s="44" t="s">
        <v>475</v>
      </c>
      <c r="Q295" s="44" t="s">
        <v>569</v>
      </c>
      <c r="S295" s="44"/>
    </row>
    <row r="296" spans="2:23">
      <c r="B296" s="75" t="str">
        <f>IF(tbl_Instruement_List[[#This Row],[Tag_New]]="",tbl_Instruement_List[[#This Row],[Tag]],tbl_Instruement_List[[#This Row],[Tag_New]])</f>
        <v>SCM-61302</v>
      </c>
      <c r="C296" s="75"/>
      <c r="D296" s="41" t="s">
        <v>918</v>
      </c>
      <c r="E296" s="41"/>
      <c r="F296" s="42" t="s">
        <v>78</v>
      </c>
      <c r="G296" s="41" t="s">
        <v>919</v>
      </c>
      <c r="H296" s="41"/>
      <c r="I296" s="41"/>
      <c r="J296" s="44">
        <v>1</v>
      </c>
      <c r="K296" s="47">
        <v>3</v>
      </c>
      <c r="L296" s="44" t="s">
        <v>18</v>
      </c>
      <c r="M296" s="44" t="s">
        <v>18</v>
      </c>
      <c r="N296" s="44" t="s">
        <v>18</v>
      </c>
      <c r="O296" s="44" t="s">
        <v>675</v>
      </c>
      <c r="P296" s="44" t="s">
        <v>475</v>
      </c>
      <c r="Q296" s="44" t="s">
        <v>569</v>
      </c>
      <c r="S296" s="44"/>
    </row>
    <row r="297" spans="2:23">
      <c r="B297" s="75" t="str">
        <f>IF(tbl_Instruement_List[[#This Row],[Tag_New]]="",tbl_Instruement_List[[#This Row],[Tag]],tbl_Instruement_List[[#This Row],[Tag_New]])</f>
        <v>DEDERT SUPPLY EQUIPMENT</v>
      </c>
      <c r="C297" s="75"/>
      <c r="D297" s="41" t="s">
        <v>920</v>
      </c>
      <c r="E297" s="41"/>
      <c r="F297" s="42"/>
      <c r="G297" s="42"/>
      <c r="H297" s="42"/>
      <c r="I297" s="42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</row>
    <row r="298" spans="2:23">
      <c r="B298" s="75" t="str">
        <f>IF(tbl_Instruement_List[[#This Row],[Tag_New]]="",tbl_Instruement_List[[#This Row],[Tag]],tbl_Instruement_List[[#This Row],[Tag_New]])</f>
        <v>FT-60207</v>
      </c>
      <c r="C298" s="75"/>
      <c r="D298" s="41" t="s">
        <v>921</v>
      </c>
      <c r="E298" s="41" t="s">
        <v>295</v>
      </c>
      <c r="F298" s="42" t="s">
        <v>725</v>
      </c>
      <c r="G298" s="41" t="s">
        <v>922</v>
      </c>
      <c r="H298" s="41" t="s">
        <v>923</v>
      </c>
      <c r="I298" s="41"/>
      <c r="J298" s="44" t="s">
        <v>18</v>
      </c>
      <c r="K298" s="44" t="s">
        <v>18</v>
      </c>
      <c r="L298" s="44" t="s">
        <v>18</v>
      </c>
      <c r="M298" s="44">
        <v>1</v>
      </c>
      <c r="N298" s="44" t="s">
        <v>18</v>
      </c>
      <c r="O298" s="44" t="s">
        <v>474</v>
      </c>
      <c r="P298" s="44" t="s">
        <v>475</v>
      </c>
      <c r="S298" s="46" t="s">
        <v>485</v>
      </c>
    </row>
    <row r="299" spans="2:23">
      <c r="B299" s="75" t="str">
        <f>IF(tbl_Instruement_List[[#This Row],[Tag_New]]="",tbl_Instruement_List[[#This Row],[Tag]],tbl_Instruement_List[[#This Row],[Tag_New]])</f>
        <v>PT-60207</v>
      </c>
      <c r="C299" s="75" t="s">
        <v>629</v>
      </c>
      <c r="D299" s="41" t="s">
        <v>924</v>
      </c>
      <c r="E299" s="41" t="s">
        <v>296</v>
      </c>
      <c r="F299" s="42" t="s">
        <v>725</v>
      </c>
      <c r="G299" s="41" t="s">
        <v>925</v>
      </c>
      <c r="H299" s="41" t="s">
        <v>629</v>
      </c>
      <c r="I299" s="41"/>
      <c r="J299" s="44" t="s">
        <v>18</v>
      </c>
      <c r="K299" s="47" t="s">
        <v>18</v>
      </c>
      <c r="L299" s="44" t="s">
        <v>18</v>
      </c>
      <c r="M299" s="44">
        <v>1</v>
      </c>
      <c r="N299" s="44" t="s">
        <v>18</v>
      </c>
      <c r="O299" s="44" t="s">
        <v>474</v>
      </c>
      <c r="P299" s="44" t="s">
        <v>475</v>
      </c>
      <c r="S299" s="46" t="s">
        <v>485</v>
      </c>
    </row>
    <row r="300" spans="2:23">
      <c r="B300" s="75" t="str">
        <f>IF(tbl_Instruement_List[[#This Row],[Tag_New]]="",tbl_Instruement_List[[#This Row],[Tag]],tbl_Instruement_List[[#This Row],[Tag_New]])</f>
        <v>SV-60240D</v>
      </c>
      <c r="C300" s="75"/>
      <c r="D300" s="41" t="s">
        <v>926</v>
      </c>
      <c r="E300" s="41"/>
      <c r="F300" s="42" t="s">
        <v>472</v>
      </c>
      <c r="G300" s="41" t="s">
        <v>927</v>
      </c>
      <c r="H300" s="41" t="s">
        <v>928</v>
      </c>
      <c r="I300" s="41"/>
      <c r="J300" s="44">
        <v>1</v>
      </c>
      <c r="K300" s="44">
        <v>2</v>
      </c>
      <c r="L300" s="44" t="s">
        <v>18</v>
      </c>
      <c r="M300" s="44" t="s">
        <v>18</v>
      </c>
      <c r="N300" s="44" t="s">
        <v>18</v>
      </c>
      <c r="O300" s="44" t="s">
        <v>929</v>
      </c>
      <c r="P300" s="44" t="s">
        <v>475</v>
      </c>
      <c r="Q300" s="44" t="s">
        <v>569</v>
      </c>
      <c r="S300" s="44" t="s">
        <v>753</v>
      </c>
    </row>
    <row r="301" spans="2:23">
      <c r="B301" s="75" t="str">
        <f>IF(tbl_Instruement_List[[#This Row],[Tag_New]]="",tbl_Instruement_List[[#This Row],[Tag]],tbl_Instruement_List[[#This Row],[Tag_New]])</f>
        <v>SV-60207</v>
      </c>
      <c r="C301" s="75"/>
      <c r="D301" s="41" t="s">
        <v>930</v>
      </c>
      <c r="E301" s="41" t="s">
        <v>297</v>
      </c>
      <c r="F301" s="42" t="s">
        <v>725</v>
      </c>
      <c r="G301" s="41" t="s">
        <v>931</v>
      </c>
      <c r="H301" s="41" t="s">
        <v>928</v>
      </c>
      <c r="I301" s="41"/>
      <c r="J301" s="44">
        <v>1</v>
      </c>
      <c r="K301" s="47">
        <v>2</v>
      </c>
      <c r="L301" s="44" t="s">
        <v>18</v>
      </c>
      <c r="M301" s="44" t="s">
        <v>18</v>
      </c>
      <c r="N301" s="44" t="s">
        <v>18</v>
      </c>
      <c r="O301" s="44" t="s">
        <v>675</v>
      </c>
      <c r="P301" s="44" t="s">
        <v>475</v>
      </c>
      <c r="Q301" s="44" t="s">
        <v>569</v>
      </c>
      <c r="S301" s="44" t="s">
        <v>753</v>
      </c>
    </row>
    <row r="302" spans="2:23">
      <c r="B302" s="75" t="str">
        <f>IF(tbl_Instruement_List[[#This Row],[Tag_New]]="",tbl_Instruement_List[[#This Row],[Tag]],tbl_Instruement_List[[#This Row],[Tag_New]])</f>
        <v>SV-60201</v>
      </c>
      <c r="C302" s="75"/>
      <c r="D302" s="41" t="s">
        <v>212</v>
      </c>
      <c r="E302" s="41"/>
      <c r="F302" s="42" t="s">
        <v>491</v>
      </c>
      <c r="G302" s="41" t="s">
        <v>932</v>
      </c>
      <c r="H302" s="41" t="s">
        <v>928</v>
      </c>
      <c r="I302" s="41"/>
      <c r="J302" s="44">
        <v>1</v>
      </c>
      <c r="K302" s="47">
        <v>2</v>
      </c>
      <c r="L302" s="44" t="s">
        <v>18</v>
      </c>
      <c r="M302" s="44" t="s">
        <v>18</v>
      </c>
      <c r="N302" s="44" t="s">
        <v>18</v>
      </c>
      <c r="O302" s="44" t="s">
        <v>675</v>
      </c>
      <c r="P302" s="44" t="s">
        <v>475</v>
      </c>
      <c r="Q302" s="44" t="s">
        <v>569</v>
      </c>
      <c r="S302" s="44" t="s">
        <v>753</v>
      </c>
    </row>
    <row r="303" spans="2:23">
      <c r="B303" s="75" t="str">
        <f>IF(tbl_Instruement_List[[#This Row],[Tag_New]]="",tbl_Instruement_List[[#This Row],[Tag]],tbl_Instruement_List[[#This Row],[Tag_New]])</f>
        <v>SV-60202</v>
      </c>
      <c r="C303" s="75"/>
      <c r="D303" s="41" t="s">
        <v>213</v>
      </c>
      <c r="E303" s="41"/>
      <c r="F303" s="42" t="s">
        <v>491</v>
      </c>
      <c r="G303" s="41" t="s">
        <v>933</v>
      </c>
      <c r="H303" s="41" t="s">
        <v>928</v>
      </c>
      <c r="I303" s="41"/>
      <c r="J303" s="44">
        <v>1</v>
      </c>
      <c r="K303" s="47">
        <v>2</v>
      </c>
      <c r="L303" s="44" t="s">
        <v>18</v>
      </c>
      <c r="M303" s="44" t="s">
        <v>18</v>
      </c>
      <c r="N303" s="44" t="s">
        <v>18</v>
      </c>
      <c r="O303" s="44" t="s">
        <v>675</v>
      </c>
      <c r="P303" s="44" t="s">
        <v>475</v>
      </c>
      <c r="Q303" s="44" t="s">
        <v>569</v>
      </c>
      <c r="S303" s="44" t="s">
        <v>753</v>
      </c>
    </row>
    <row r="304" spans="2:23">
      <c r="B304" s="75" t="str">
        <f>IF(tbl_Instruement_List[[#This Row],[Tag_New]]="",tbl_Instruement_List[[#This Row],[Tag]],tbl_Instruement_List[[#This Row],[Tag_New]])</f>
        <v>SV-60203</v>
      </c>
      <c r="C304" s="75"/>
      <c r="D304" s="41" t="s">
        <v>214</v>
      </c>
      <c r="E304" s="41"/>
      <c r="F304" s="42" t="s">
        <v>491</v>
      </c>
      <c r="G304" s="41" t="s">
        <v>934</v>
      </c>
      <c r="H304" s="41" t="s">
        <v>928</v>
      </c>
      <c r="I304" s="41"/>
      <c r="J304" s="44">
        <v>1</v>
      </c>
      <c r="K304" s="47">
        <v>2</v>
      </c>
      <c r="L304" s="44" t="s">
        <v>18</v>
      </c>
      <c r="M304" s="44" t="s">
        <v>18</v>
      </c>
      <c r="N304" s="44" t="s">
        <v>18</v>
      </c>
      <c r="O304" s="44" t="s">
        <v>675</v>
      </c>
      <c r="P304" s="44" t="s">
        <v>475</v>
      </c>
      <c r="Q304" s="44" t="s">
        <v>569</v>
      </c>
      <c r="S304" s="44" t="s">
        <v>753</v>
      </c>
    </row>
    <row r="305" spans="2:19">
      <c r="B305" s="75" t="str">
        <f>IF(tbl_Instruement_List[[#This Row],[Tag_New]]="",tbl_Instruement_List[[#This Row],[Tag]],tbl_Instruement_List[[#This Row],[Tag_New]])</f>
        <v>SV-61304</v>
      </c>
      <c r="C305" s="75"/>
      <c r="D305" s="41" t="s">
        <v>380</v>
      </c>
      <c r="E305" s="41"/>
      <c r="F305" s="42" t="s">
        <v>78</v>
      </c>
      <c r="G305" s="41" t="s">
        <v>935</v>
      </c>
      <c r="H305" s="41" t="s">
        <v>928</v>
      </c>
      <c r="I305" s="41"/>
      <c r="J305" s="44">
        <v>1</v>
      </c>
      <c r="K305" s="47">
        <v>2</v>
      </c>
      <c r="L305" s="44" t="s">
        <v>18</v>
      </c>
      <c r="M305" s="44" t="s">
        <v>18</v>
      </c>
      <c r="N305" s="44" t="s">
        <v>18</v>
      </c>
      <c r="O305" s="44" t="s">
        <v>675</v>
      </c>
      <c r="P305" s="44" t="s">
        <v>475</v>
      </c>
      <c r="Q305" s="44" t="s">
        <v>569</v>
      </c>
      <c r="S305" s="44" t="s">
        <v>753</v>
      </c>
    </row>
    <row r="306" spans="2:19">
      <c r="B306" s="75" t="str">
        <f>IF(tbl_Instruement_List[[#This Row],[Tag_New]]="",tbl_Instruement_List[[#This Row],[Tag]],tbl_Instruement_List[[#This Row],[Tag_New]])</f>
        <v>TT-60207</v>
      </c>
      <c r="C306" s="75"/>
      <c r="D306" s="41" t="s">
        <v>936</v>
      </c>
      <c r="E306" s="41" t="s">
        <v>298</v>
      </c>
      <c r="F306" s="42" t="s">
        <v>725</v>
      </c>
      <c r="G306" s="41" t="s">
        <v>937</v>
      </c>
      <c r="H306" s="41" t="s">
        <v>700</v>
      </c>
      <c r="I306" s="41"/>
      <c r="J306" s="44" t="s">
        <v>18</v>
      </c>
      <c r="K306" s="47" t="s">
        <v>18</v>
      </c>
      <c r="L306" s="44" t="s">
        <v>18</v>
      </c>
      <c r="M306" s="44">
        <v>1</v>
      </c>
      <c r="N306" s="44" t="s">
        <v>18</v>
      </c>
      <c r="O306" s="44" t="s">
        <v>474</v>
      </c>
      <c r="P306" s="44" t="s">
        <v>475</v>
      </c>
      <c r="S306" s="46" t="s">
        <v>485</v>
      </c>
    </row>
    <row r="307" spans="2:19">
      <c r="B307" s="75" t="str">
        <f>IF(tbl_Instruement_List[[#This Row],[Tag_New]]="",tbl_Instruement_List[[#This Row],[Tag]],tbl_Instruement_List[[#This Row],[Tag_New]])</f>
        <v>XV-60261FA</v>
      </c>
      <c r="C307" s="75"/>
      <c r="D307" s="41" t="s">
        <v>299</v>
      </c>
      <c r="E307" s="41"/>
      <c r="F307" s="42" t="s">
        <v>528</v>
      </c>
      <c r="G307" s="41" t="s">
        <v>938</v>
      </c>
      <c r="H307" s="41" t="s">
        <v>928</v>
      </c>
      <c r="I307" s="41"/>
      <c r="J307" s="44">
        <v>1</v>
      </c>
      <c r="K307" s="47">
        <v>2</v>
      </c>
      <c r="L307" s="44" t="s">
        <v>18</v>
      </c>
      <c r="M307" s="44" t="s">
        <v>18</v>
      </c>
      <c r="N307" s="44" t="s">
        <v>18</v>
      </c>
      <c r="O307" s="44" t="s">
        <v>929</v>
      </c>
      <c r="P307" s="44" t="s">
        <v>475</v>
      </c>
      <c r="Q307" s="44" t="s">
        <v>569</v>
      </c>
      <c r="R307" s="44" t="s">
        <v>676</v>
      </c>
      <c r="S307" s="44" t="s">
        <v>753</v>
      </c>
    </row>
    <row r="308" spans="2:19">
      <c r="B308" s="75" t="str">
        <f>IF(tbl_Instruement_List[[#This Row],[Tag_New]]="",tbl_Instruement_List[[#This Row],[Tag]],tbl_Instruement_List[[#This Row],[Tag_New]])</f>
        <v>XV-60261FB</v>
      </c>
      <c r="C308" s="75"/>
      <c r="D308" s="41" t="s">
        <v>300</v>
      </c>
      <c r="E308" s="41"/>
      <c r="F308" s="42" t="s">
        <v>528</v>
      </c>
      <c r="G308" s="41" t="s">
        <v>939</v>
      </c>
      <c r="H308" s="41" t="s">
        <v>928</v>
      </c>
      <c r="I308" s="41"/>
      <c r="J308" s="44">
        <v>1</v>
      </c>
      <c r="K308" s="47">
        <v>2</v>
      </c>
      <c r="L308" s="44" t="s">
        <v>18</v>
      </c>
      <c r="M308" s="44" t="s">
        <v>18</v>
      </c>
      <c r="N308" s="44" t="s">
        <v>18</v>
      </c>
      <c r="O308" s="44" t="s">
        <v>929</v>
      </c>
      <c r="P308" s="44" t="s">
        <v>475</v>
      </c>
      <c r="Q308" s="44" t="s">
        <v>569</v>
      </c>
      <c r="R308" s="44" t="s">
        <v>676</v>
      </c>
      <c r="S308" s="44" t="s">
        <v>753</v>
      </c>
    </row>
    <row r="309" spans="2:19">
      <c r="B309" s="75" t="str">
        <f>IF(tbl_Instruement_List[[#This Row],[Tag_New]]="",tbl_Instruement_List[[#This Row],[Tag]],tbl_Instruement_List[[#This Row],[Tag_New]])</f>
        <v>XV-60261FC</v>
      </c>
      <c r="C309" s="75"/>
      <c r="D309" s="41" t="s">
        <v>301</v>
      </c>
      <c r="E309" s="41"/>
      <c r="F309" s="42" t="s">
        <v>528</v>
      </c>
      <c r="G309" s="41" t="s">
        <v>940</v>
      </c>
      <c r="H309" s="41" t="s">
        <v>928</v>
      </c>
      <c r="I309" s="41"/>
      <c r="J309" s="44">
        <v>1</v>
      </c>
      <c r="K309" s="47">
        <v>2</v>
      </c>
      <c r="L309" s="44" t="s">
        <v>18</v>
      </c>
      <c r="M309" s="44" t="s">
        <v>18</v>
      </c>
      <c r="N309" s="44" t="s">
        <v>18</v>
      </c>
      <c r="O309" s="44" t="s">
        <v>929</v>
      </c>
      <c r="P309" s="44" t="s">
        <v>475</v>
      </c>
      <c r="Q309" s="44" t="s">
        <v>569</v>
      </c>
      <c r="R309" s="44" t="s">
        <v>676</v>
      </c>
      <c r="S309" s="44" t="s">
        <v>753</v>
      </c>
    </row>
    <row r="310" spans="2:19">
      <c r="B310" s="75" t="str">
        <f>IF(tbl_Instruement_List[[#This Row],[Tag_New]]="",tbl_Instruement_List[[#This Row],[Tag]],tbl_Instruement_List[[#This Row],[Tag_New]])</f>
        <v>XV-60261FD</v>
      </c>
      <c r="C310" s="75"/>
      <c r="D310" s="41" t="s">
        <v>302</v>
      </c>
      <c r="E310" s="41"/>
      <c r="F310" s="42" t="s">
        <v>528</v>
      </c>
      <c r="G310" s="41" t="s">
        <v>941</v>
      </c>
      <c r="H310" s="41" t="s">
        <v>928</v>
      </c>
      <c r="I310" s="41"/>
      <c r="J310" s="44">
        <v>1</v>
      </c>
      <c r="K310" s="47">
        <v>2</v>
      </c>
      <c r="L310" s="44" t="s">
        <v>18</v>
      </c>
      <c r="M310" s="44" t="s">
        <v>18</v>
      </c>
      <c r="N310" s="44" t="s">
        <v>18</v>
      </c>
      <c r="O310" s="44" t="s">
        <v>929</v>
      </c>
      <c r="P310" s="44" t="s">
        <v>475</v>
      </c>
      <c r="Q310" s="44" t="s">
        <v>569</v>
      </c>
      <c r="R310" s="44" t="s">
        <v>676</v>
      </c>
      <c r="S310" s="44" t="s">
        <v>753</v>
      </c>
    </row>
    <row r="311" spans="2:19">
      <c r="B311" s="75" t="str">
        <f>IF(tbl_Instruement_List[[#This Row],[Tag_New]]="",tbl_Instruement_List[[#This Row],[Tag]],tbl_Instruement_List[[#This Row],[Tag_New]])</f>
        <v>XV-60261SA</v>
      </c>
      <c r="C311" s="75"/>
      <c r="D311" s="41" t="s">
        <v>303</v>
      </c>
      <c r="E311" s="41"/>
      <c r="F311" s="42" t="s">
        <v>528</v>
      </c>
      <c r="G311" s="41" t="s">
        <v>942</v>
      </c>
      <c r="H311" s="41" t="s">
        <v>928</v>
      </c>
      <c r="I311" s="41"/>
      <c r="J311" s="44">
        <v>1</v>
      </c>
      <c r="K311" s="47">
        <v>2</v>
      </c>
      <c r="L311" s="44" t="s">
        <v>18</v>
      </c>
      <c r="M311" s="44" t="s">
        <v>18</v>
      </c>
      <c r="N311" s="44" t="s">
        <v>18</v>
      </c>
      <c r="O311" s="44" t="s">
        <v>929</v>
      </c>
      <c r="P311" s="44" t="s">
        <v>475</v>
      </c>
      <c r="Q311" s="44" t="s">
        <v>569</v>
      </c>
      <c r="R311" s="44" t="s">
        <v>676</v>
      </c>
      <c r="S311" s="44" t="s">
        <v>753</v>
      </c>
    </row>
    <row r="312" spans="2:19">
      <c r="B312" s="75" t="str">
        <f>IF(tbl_Instruement_List[[#This Row],[Tag_New]]="",tbl_Instruement_List[[#This Row],[Tag]],tbl_Instruement_List[[#This Row],[Tag_New]])</f>
        <v>XV-60261SB</v>
      </c>
      <c r="C312" s="75"/>
      <c r="D312" s="41" t="s">
        <v>304</v>
      </c>
      <c r="E312" s="41"/>
      <c r="F312" s="42" t="s">
        <v>528</v>
      </c>
      <c r="G312" s="41" t="s">
        <v>943</v>
      </c>
      <c r="H312" s="41" t="s">
        <v>928</v>
      </c>
      <c r="I312" s="41"/>
      <c r="J312" s="44">
        <v>1</v>
      </c>
      <c r="K312" s="47">
        <v>2</v>
      </c>
      <c r="L312" s="44" t="s">
        <v>18</v>
      </c>
      <c r="M312" s="44" t="s">
        <v>18</v>
      </c>
      <c r="N312" s="44" t="s">
        <v>18</v>
      </c>
      <c r="O312" s="44" t="s">
        <v>929</v>
      </c>
      <c r="P312" s="44" t="s">
        <v>475</v>
      </c>
      <c r="Q312" s="44" t="s">
        <v>569</v>
      </c>
      <c r="R312" s="44" t="s">
        <v>676</v>
      </c>
      <c r="S312" s="44" t="s">
        <v>753</v>
      </c>
    </row>
    <row r="313" spans="2:19">
      <c r="B313" s="75" t="str">
        <f>IF(tbl_Instruement_List[[#This Row],[Tag_New]]="",tbl_Instruement_List[[#This Row],[Tag]],tbl_Instruement_List[[#This Row],[Tag_New]])</f>
        <v>XV-60261SC</v>
      </c>
      <c r="C313" s="75"/>
      <c r="D313" s="41" t="s">
        <v>305</v>
      </c>
      <c r="E313" s="41"/>
      <c r="F313" s="42" t="s">
        <v>528</v>
      </c>
      <c r="G313" s="41" t="s">
        <v>944</v>
      </c>
      <c r="H313" s="41" t="s">
        <v>928</v>
      </c>
      <c r="I313" s="41"/>
      <c r="J313" s="44">
        <v>1</v>
      </c>
      <c r="K313" s="47">
        <v>2</v>
      </c>
      <c r="L313" s="44" t="s">
        <v>18</v>
      </c>
      <c r="M313" s="44" t="s">
        <v>18</v>
      </c>
      <c r="N313" s="44" t="s">
        <v>18</v>
      </c>
      <c r="O313" s="44" t="s">
        <v>929</v>
      </c>
      <c r="P313" s="44" t="s">
        <v>475</v>
      </c>
      <c r="Q313" s="44" t="s">
        <v>569</v>
      </c>
      <c r="R313" s="44" t="s">
        <v>676</v>
      </c>
      <c r="S313" s="44" t="s">
        <v>753</v>
      </c>
    </row>
    <row r="314" spans="2:19">
      <c r="B314" s="75" t="str">
        <f>IF(tbl_Instruement_List[[#This Row],[Tag_New]]="",tbl_Instruement_List[[#This Row],[Tag]],tbl_Instruement_List[[#This Row],[Tag_New]])</f>
        <v>XV-60261SD</v>
      </c>
      <c r="C314" s="75"/>
      <c r="D314" s="41" t="s">
        <v>306</v>
      </c>
      <c r="E314" s="41"/>
      <c r="F314" s="42" t="s">
        <v>528</v>
      </c>
      <c r="G314" s="41" t="s">
        <v>945</v>
      </c>
      <c r="H314" s="41" t="s">
        <v>928</v>
      </c>
      <c r="I314" s="41"/>
      <c r="J314" s="44">
        <v>1</v>
      </c>
      <c r="K314" s="47">
        <v>2</v>
      </c>
      <c r="L314" s="44" t="s">
        <v>18</v>
      </c>
      <c r="M314" s="44" t="s">
        <v>18</v>
      </c>
      <c r="N314" s="44" t="s">
        <v>18</v>
      </c>
      <c r="O314" s="44" t="s">
        <v>929</v>
      </c>
      <c r="P314" s="44" t="s">
        <v>475</v>
      </c>
      <c r="Q314" s="44" t="s">
        <v>569</v>
      </c>
      <c r="R314" s="44" t="s">
        <v>676</v>
      </c>
      <c r="S314" s="44" t="s">
        <v>753</v>
      </c>
    </row>
    <row r="315" spans="2:19">
      <c r="B315" s="75" t="str">
        <f>IF(tbl_Instruement_List[[#This Row],[Tag_New]]="",tbl_Instruement_List[[#This Row],[Tag]],tbl_Instruement_List[[#This Row],[Tag_New]])</f>
        <v>XV-60262FE</v>
      </c>
      <c r="C315" s="75"/>
      <c r="D315" s="41" t="s">
        <v>307</v>
      </c>
      <c r="E315" s="41"/>
      <c r="F315" s="42" t="s">
        <v>528</v>
      </c>
      <c r="G315" s="41" t="s">
        <v>946</v>
      </c>
      <c r="H315" s="41" t="s">
        <v>928</v>
      </c>
      <c r="I315" s="41"/>
      <c r="J315" s="44">
        <v>1</v>
      </c>
      <c r="K315" s="47">
        <v>2</v>
      </c>
      <c r="L315" s="44" t="s">
        <v>18</v>
      </c>
      <c r="M315" s="44" t="s">
        <v>18</v>
      </c>
      <c r="N315" s="44" t="s">
        <v>18</v>
      </c>
      <c r="O315" s="44" t="s">
        <v>929</v>
      </c>
      <c r="P315" s="44" t="s">
        <v>475</v>
      </c>
      <c r="Q315" s="44" t="s">
        <v>569</v>
      </c>
      <c r="R315" s="44" t="s">
        <v>676</v>
      </c>
      <c r="S315" s="44" t="s">
        <v>753</v>
      </c>
    </row>
    <row r="316" spans="2:19">
      <c r="B316" s="75" t="str">
        <f>IF(tbl_Instruement_List[[#This Row],[Tag_New]]="",tbl_Instruement_List[[#This Row],[Tag]],tbl_Instruement_List[[#This Row],[Tag_New]])</f>
        <v>XV-60262FF</v>
      </c>
      <c r="C316" s="75"/>
      <c r="D316" s="41" t="s">
        <v>308</v>
      </c>
      <c r="E316" s="41"/>
      <c r="F316" s="42" t="s">
        <v>528</v>
      </c>
      <c r="G316" s="41" t="s">
        <v>947</v>
      </c>
      <c r="H316" s="41" t="s">
        <v>928</v>
      </c>
      <c r="I316" s="41"/>
      <c r="J316" s="44">
        <v>1</v>
      </c>
      <c r="K316" s="47">
        <v>2</v>
      </c>
      <c r="L316" s="44" t="s">
        <v>18</v>
      </c>
      <c r="M316" s="44" t="s">
        <v>18</v>
      </c>
      <c r="N316" s="44" t="s">
        <v>18</v>
      </c>
      <c r="O316" s="44" t="s">
        <v>929</v>
      </c>
      <c r="P316" s="44" t="s">
        <v>475</v>
      </c>
      <c r="Q316" s="44" t="s">
        <v>569</v>
      </c>
      <c r="R316" s="44" t="s">
        <v>676</v>
      </c>
      <c r="S316" s="44" t="s">
        <v>753</v>
      </c>
    </row>
    <row r="317" spans="2:19">
      <c r="B317" s="75" t="str">
        <f>IF(tbl_Instruement_List[[#This Row],[Tag_New]]="",tbl_Instruement_List[[#This Row],[Tag]],tbl_Instruement_List[[#This Row],[Tag_New]])</f>
        <v>XV-60262FG</v>
      </c>
      <c r="C317" s="75"/>
      <c r="D317" s="41" t="s">
        <v>309</v>
      </c>
      <c r="E317" s="41"/>
      <c r="F317" s="42" t="s">
        <v>528</v>
      </c>
      <c r="G317" s="41" t="s">
        <v>948</v>
      </c>
      <c r="H317" s="41" t="s">
        <v>928</v>
      </c>
      <c r="I317" s="41"/>
      <c r="J317" s="44">
        <v>1</v>
      </c>
      <c r="K317" s="47">
        <v>2</v>
      </c>
      <c r="L317" s="44" t="s">
        <v>18</v>
      </c>
      <c r="M317" s="44" t="s">
        <v>18</v>
      </c>
      <c r="N317" s="44" t="s">
        <v>18</v>
      </c>
      <c r="O317" s="44" t="s">
        <v>929</v>
      </c>
      <c r="P317" s="44" t="s">
        <v>475</v>
      </c>
      <c r="Q317" s="44" t="s">
        <v>569</v>
      </c>
      <c r="R317" s="44" t="s">
        <v>676</v>
      </c>
      <c r="S317" s="44" t="s">
        <v>753</v>
      </c>
    </row>
    <row r="318" spans="2:19">
      <c r="B318" s="75" t="str">
        <f>IF(tbl_Instruement_List[[#This Row],[Tag_New]]="",tbl_Instruement_List[[#This Row],[Tag]],tbl_Instruement_List[[#This Row],[Tag_New]])</f>
        <v>XV-60262FH</v>
      </c>
      <c r="C318" s="75"/>
      <c r="D318" s="41" t="s">
        <v>310</v>
      </c>
      <c r="E318" s="41"/>
      <c r="F318" s="42" t="s">
        <v>528</v>
      </c>
      <c r="G318" s="41" t="s">
        <v>949</v>
      </c>
      <c r="H318" s="41" t="s">
        <v>928</v>
      </c>
      <c r="I318" s="41"/>
      <c r="J318" s="44">
        <v>1</v>
      </c>
      <c r="K318" s="47">
        <v>2</v>
      </c>
      <c r="L318" s="44" t="s">
        <v>18</v>
      </c>
      <c r="M318" s="44" t="s">
        <v>18</v>
      </c>
      <c r="N318" s="44" t="s">
        <v>18</v>
      </c>
      <c r="O318" s="44" t="s">
        <v>929</v>
      </c>
      <c r="P318" s="44" t="s">
        <v>475</v>
      </c>
      <c r="Q318" s="44" t="s">
        <v>569</v>
      </c>
      <c r="R318" s="44" t="s">
        <v>676</v>
      </c>
      <c r="S318" s="44" t="s">
        <v>753</v>
      </c>
    </row>
    <row r="319" spans="2:19">
      <c r="B319" s="75" t="str">
        <f>IF(tbl_Instruement_List[[#This Row],[Tag_New]]="",tbl_Instruement_List[[#This Row],[Tag]],tbl_Instruement_List[[#This Row],[Tag_New]])</f>
        <v>XV-60262SE</v>
      </c>
      <c r="C319" s="75"/>
      <c r="D319" s="41" t="s">
        <v>311</v>
      </c>
      <c r="E319" s="41"/>
      <c r="F319" s="42" t="s">
        <v>528</v>
      </c>
      <c r="G319" s="41" t="s">
        <v>950</v>
      </c>
      <c r="H319" s="41" t="s">
        <v>928</v>
      </c>
      <c r="I319" s="41"/>
      <c r="J319" s="44">
        <v>1</v>
      </c>
      <c r="K319" s="47">
        <v>2</v>
      </c>
      <c r="L319" s="44" t="s">
        <v>18</v>
      </c>
      <c r="M319" s="44" t="s">
        <v>18</v>
      </c>
      <c r="N319" s="44" t="s">
        <v>18</v>
      </c>
      <c r="O319" s="44" t="s">
        <v>929</v>
      </c>
      <c r="P319" s="44" t="s">
        <v>475</v>
      </c>
      <c r="Q319" s="44" t="s">
        <v>569</v>
      </c>
      <c r="R319" s="44" t="s">
        <v>676</v>
      </c>
      <c r="S319" s="44" t="s">
        <v>753</v>
      </c>
    </row>
    <row r="320" spans="2:19">
      <c r="B320" s="75" t="str">
        <f>IF(tbl_Instruement_List[[#This Row],[Tag_New]]="",tbl_Instruement_List[[#This Row],[Tag]],tbl_Instruement_List[[#This Row],[Tag_New]])</f>
        <v>XV-60262SF</v>
      </c>
      <c r="C320" s="75"/>
      <c r="D320" s="41" t="s">
        <v>312</v>
      </c>
      <c r="E320" s="41"/>
      <c r="F320" s="42" t="s">
        <v>528</v>
      </c>
      <c r="G320" s="41" t="s">
        <v>951</v>
      </c>
      <c r="H320" s="41" t="s">
        <v>928</v>
      </c>
      <c r="I320" s="41"/>
      <c r="J320" s="44">
        <v>1</v>
      </c>
      <c r="K320" s="47">
        <v>2</v>
      </c>
      <c r="L320" s="44" t="s">
        <v>18</v>
      </c>
      <c r="M320" s="44" t="s">
        <v>18</v>
      </c>
      <c r="N320" s="44" t="s">
        <v>18</v>
      </c>
      <c r="O320" s="44" t="s">
        <v>929</v>
      </c>
      <c r="P320" s="44" t="s">
        <v>475</v>
      </c>
      <c r="Q320" s="44" t="s">
        <v>569</v>
      </c>
      <c r="R320" s="44" t="s">
        <v>676</v>
      </c>
      <c r="S320" s="44" t="s">
        <v>753</v>
      </c>
    </row>
    <row r="321" spans="2:19">
      <c r="B321" s="75" t="str">
        <f>IF(tbl_Instruement_List[[#This Row],[Tag_New]]="",tbl_Instruement_List[[#This Row],[Tag]],tbl_Instruement_List[[#This Row],[Tag_New]])</f>
        <v>XV-60262SG</v>
      </c>
      <c r="C321" s="75"/>
      <c r="D321" s="41" t="s">
        <v>313</v>
      </c>
      <c r="E321" s="41"/>
      <c r="F321" s="42" t="s">
        <v>528</v>
      </c>
      <c r="G321" s="41" t="s">
        <v>952</v>
      </c>
      <c r="H321" s="41" t="s">
        <v>928</v>
      </c>
      <c r="I321" s="41"/>
      <c r="J321" s="44">
        <v>1</v>
      </c>
      <c r="K321" s="47">
        <v>2</v>
      </c>
      <c r="L321" s="44" t="s">
        <v>18</v>
      </c>
      <c r="M321" s="44" t="s">
        <v>18</v>
      </c>
      <c r="N321" s="44" t="s">
        <v>18</v>
      </c>
      <c r="O321" s="44" t="s">
        <v>929</v>
      </c>
      <c r="P321" s="44" t="s">
        <v>475</v>
      </c>
      <c r="Q321" s="44" t="s">
        <v>569</v>
      </c>
      <c r="R321" s="44" t="s">
        <v>676</v>
      </c>
      <c r="S321" s="44" t="s">
        <v>753</v>
      </c>
    </row>
    <row r="322" spans="2:19">
      <c r="B322" s="75" t="str">
        <f>IF(tbl_Instruement_List[[#This Row],[Tag_New]]="",tbl_Instruement_List[[#This Row],[Tag]],tbl_Instruement_List[[#This Row],[Tag_New]])</f>
        <v>XV-60262SH</v>
      </c>
      <c r="C322" s="75"/>
      <c r="D322" s="41" t="s">
        <v>314</v>
      </c>
      <c r="E322" s="41"/>
      <c r="F322" s="42" t="s">
        <v>528</v>
      </c>
      <c r="G322" s="41" t="s">
        <v>953</v>
      </c>
      <c r="H322" s="41" t="s">
        <v>928</v>
      </c>
      <c r="I322" s="41"/>
      <c r="J322" s="44">
        <v>1</v>
      </c>
      <c r="K322" s="47">
        <v>2</v>
      </c>
      <c r="L322" s="44" t="s">
        <v>18</v>
      </c>
      <c r="M322" s="44" t="s">
        <v>18</v>
      </c>
      <c r="N322" s="44" t="s">
        <v>18</v>
      </c>
      <c r="O322" s="44" t="s">
        <v>929</v>
      </c>
      <c r="P322" s="44" t="s">
        <v>475</v>
      </c>
      <c r="Q322" s="44" t="s">
        <v>569</v>
      </c>
      <c r="R322" s="44" t="s">
        <v>676</v>
      </c>
      <c r="S322" s="44" t="s">
        <v>753</v>
      </c>
    </row>
    <row r="323" spans="2:19">
      <c r="B323" s="75" t="str">
        <f>IF(tbl_Instruement_List[[#This Row],[Tag_New]]="",tbl_Instruement_List[[#This Row],[Tag]],tbl_Instruement_List[[#This Row],[Tag_New]])</f>
        <v>XV-60263FJ</v>
      </c>
      <c r="C323" s="75"/>
      <c r="D323" s="41" t="s">
        <v>315</v>
      </c>
      <c r="E323" s="41"/>
      <c r="F323" s="42" t="s">
        <v>528</v>
      </c>
      <c r="G323" s="41" t="s">
        <v>954</v>
      </c>
      <c r="H323" s="41" t="s">
        <v>928</v>
      </c>
      <c r="I323" s="41"/>
      <c r="J323" s="44">
        <v>1</v>
      </c>
      <c r="K323" s="47">
        <v>2</v>
      </c>
      <c r="L323" s="44" t="s">
        <v>18</v>
      </c>
      <c r="M323" s="44" t="s">
        <v>18</v>
      </c>
      <c r="N323" s="44" t="s">
        <v>18</v>
      </c>
      <c r="O323" s="44" t="s">
        <v>929</v>
      </c>
      <c r="P323" s="44" t="s">
        <v>475</v>
      </c>
      <c r="Q323" s="44" t="s">
        <v>569</v>
      </c>
      <c r="R323" s="44" t="s">
        <v>676</v>
      </c>
      <c r="S323" s="44" t="s">
        <v>753</v>
      </c>
    </row>
    <row r="324" spans="2:19">
      <c r="B324" s="75" t="str">
        <f>IF(tbl_Instruement_List[[#This Row],[Tag_New]]="",tbl_Instruement_List[[#This Row],[Tag]],tbl_Instruement_List[[#This Row],[Tag_New]])</f>
        <v>XV-60263FK</v>
      </c>
      <c r="C324" s="75"/>
      <c r="D324" s="41" t="s">
        <v>316</v>
      </c>
      <c r="E324" s="41"/>
      <c r="F324" s="42" t="s">
        <v>528</v>
      </c>
      <c r="G324" s="41" t="s">
        <v>955</v>
      </c>
      <c r="H324" s="41" t="s">
        <v>928</v>
      </c>
      <c r="I324" s="41"/>
      <c r="J324" s="44">
        <v>1</v>
      </c>
      <c r="K324" s="47">
        <v>2</v>
      </c>
      <c r="L324" s="44" t="s">
        <v>18</v>
      </c>
      <c r="M324" s="44" t="s">
        <v>18</v>
      </c>
      <c r="N324" s="44" t="s">
        <v>18</v>
      </c>
      <c r="O324" s="44" t="s">
        <v>929</v>
      </c>
      <c r="P324" s="44" t="s">
        <v>475</v>
      </c>
      <c r="Q324" s="44" t="s">
        <v>569</v>
      </c>
      <c r="R324" s="44" t="s">
        <v>676</v>
      </c>
      <c r="S324" s="44" t="s">
        <v>753</v>
      </c>
    </row>
    <row r="325" spans="2:19">
      <c r="B325" s="75" t="str">
        <f>IF(tbl_Instruement_List[[#This Row],[Tag_New]]="",tbl_Instruement_List[[#This Row],[Tag]],tbl_Instruement_List[[#This Row],[Tag_New]])</f>
        <v>XV-60263FL</v>
      </c>
      <c r="C325" s="75"/>
      <c r="D325" s="41" t="s">
        <v>317</v>
      </c>
      <c r="E325" s="41"/>
      <c r="F325" s="42" t="s">
        <v>528</v>
      </c>
      <c r="G325" s="41" t="s">
        <v>956</v>
      </c>
      <c r="H325" s="41" t="s">
        <v>928</v>
      </c>
      <c r="I325" s="41"/>
      <c r="J325" s="44">
        <v>1</v>
      </c>
      <c r="K325" s="47">
        <v>2</v>
      </c>
      <c r="L325" s="44" t="s">
        <v>18</v>
      </c>
      <c r="M325" s="44" t="s">
        <v>18</v>
      </c>
      <c r="N325" s="44" t="s">
        <v>18</v>
      </c>
      <c r="O325" s="44" t="s">
        <v>929</v>
      </c>
      <c r="P325" s="44" t="s">
        <v>475</v>
      </c>
      <c r="Q325" s="44" t="s">
        <v>569</v>
      </c>
      <c r="R325" s="44" t="s">
        <v>676</v>
      </c>
      <c r="S325" s="44" t="s">
        <v>753</v>
      </c>
    </row>
    <row r="326" spans="2:19">
      <c r="B326" s="75" t="str">
        <f>IF(tbl_Instruement_List[[#This Row],[Tag_New]]="",tbl_Instruement_List[[#This Row],[Tag]],tbl_Instruement_List[[#This Row],[Tag_New]])</f>
        <v>XV-60263FM</v>
      </c>
      <c r="C326" s="75"/>
      <c r="D326" s="41" t="s">
        <v>318</v>
      </c>
      <c r="E326" s="41"/>
      <c r="F326" s="42" t="s">
        <v>528</v>
      </c>
      <c r="G326" s="41" t="s">
        <v>957</v>
      </c>
      <c r="H326" s="41" t="s">
        <v>928</v>
      </c>
      <c r="I326" s="41"/>
      <c r="J326" s="44">
        <v>1</v>
      </c>
      <c r="K326" s="47">
        <v>2</v>
      </c>
      <c r="L326" s="44" t="s">
        <v>18</v>
      </c>
      <c r="M326" s="44" t="s">
        <v>18</v>
      </c>
      <c r="N326" s="44" t="s">
        <v>18</v>
      </c>
      <c r="O326" s="44" t="s">
        <v>929</v>
      </c>
      <c r="P326" s="44" t="s">
        <v>475</v>
      </c>
      <c r="Q326" s="44" t="s">
        <v>569</v>
      </c>
      <c r="R326" s="44" t="s">
        <v>676</v>
      </c>
      <c r="S326" s="44" t="s">
        <v>753</v>
      </c>
    </row>
    <row r="327" spans="2:19">
      <c r="B327" s="75" t="str">
        <f>IF(tbl_Instruement_List[[#This Row],[Tag_New]]="",tbl_Instruement_List[[#This Row],[Tag]],tbl_Instruement_List[[#This Row],[Tag_New]])</f>
        <v>XV-60263SJ</v>
      </c>
      <c r="C327" s="75"/>
      <c r="D327" s="41" t="s">
        <v>319</v>
      </c>
      <c r="E327" s="41"/>
      <c r="F327" s="42" t="s">
        <v>528</v>
      </c>
      <c r="G327" s="41" t="s">
        <v>958</v>
      </c>
      <c r="H327" s="41" t="s">
        <v>928</v>
      </c>
      <c r="I327" s="41"/>
      <c r="J327" s="44">
        <v>1</v>
      </c>
      <c r="K327" s="47">
        <v>2</v>
      </c>
      <c r="L327" s="44" t="s">
        <v>18</v>
      </c>
      <c r="M327" s="44" t="s">
        <v>18</v>
      </c>
      <c r="N327" s="44" t="s">
        <v>18</v>
      </c>
      <c r="O327" s="44" t="s">
        <v>929</v>
      </c>
      <c r="P327" s="44" t="s">
        <v>475</v>
      </c>
      <c r="Q327" s="44" t="s">
        <v>569</v>
      </c>
      <c r="R327" s="44" t="s">
        <v>676</v>
      </c>
      <c r="S327" s="44" t="s">
        <v>753</v>
      </c>
    </row>
    <row r="328" spans="2:19">
      <c r="B328" s="75" t="str">
        <f>IF(tbl_Instruement_List[[#This Row],[Tag_New]]="",tbl_Instruement_List[[#This Row],[Tag]],tbl_Instruement_List[[#This Row],[Tag_New]])</f>
        <v>XV-60263SK</v>
      </c>
      <c r="C328" s="75"/>
      <c r="D328" s="41" t="s">
        <v>320</v>
      </c>
      <c r="E328" s="41"/>
      <c r="F328" s="42" t="s">
        <v>528</v>
      </c>
      <c r="G328" s="41" t="s">
        <v>959</v>
      </c>
      <c r="H328" s="41" t="s">
        <v>928</v>
      </c>
      <c r="I328" s="41"/>
      <c r="J328" s="44">
        <v>1</v>
      </c>
      <c r="K328" s="47">
        <v>2</v>
      </c>
      <c r="L328" s="44" t="s">
        <v>18</v>
      </c>
      <c r="M328" s="44" t="s">
        <v>18</v>
      </c>
      <c r="N328" s="44" t="s">
        <v>18</v>
      </c>
      <c r="O328" s="44" t="s">
        <v>929</v>
      </c>
      <c r="P328" s="44" t="s">
        <v>475</v>
      </c>
      <c r="Q328" s="44" t="s">
        <v>569</v>
      </c>
      <c r="R328" s="44" t="s">
        <v>676</v>
      </c>
      <c r="S328" s="44" t="s">
        <v>753</v>
      </c>
    </row>
    <row r="329" spans="2:19">
      <c r="B329" s="75" t="str">
        <f>IF(tbl_Instruement_List[[#This Row],[Tag_New]]="",tbl_Instruement_List[[#This Row],[Tag]],tbl_Instruement_List[[#This Row],[Tag_New]])</f>
        <v>XV-60263SL</v>
      </c>
      <c r="C329" s="75"/>
      <c r="D329" s="41" t="s">
        <v>321</v>
      </c>
      <c r="E329" s="41"/>
      <c r="F329" s="42" t="s">
        <v>528</v>
      </c>
      <c r="G329" s="41" t="s">
        <v>960</v>
      </c>
      <c r="H329" s="41" t="s">
        <v>928</v>
      </c>
      <c r="I329" s="41"/>
      <c r="J329" s="44">
        <v>1</v>
      </c>
      <c r="K329" s="47">
        <v>2</v>
      </c>
      <c r="L329" s="44" t="s">
        <v>18</v>
      </c>
      <c r="M329" s="44" t="s">
        <v>18</v>
      </c>
      <c r="N329" s="44" t="s">
        <v>18</v>
      </c>
      <c r="O329" s="44" t="s">
        <v>929</v>
      </c>
      <c r="P329" s="44" t="s">
        <v>475</v>
      </c>
      <c r="Q329" s="44" t="s">
        <v>569</v>
      </c>
      <c r="R329" s="44" t="s">
        <v>676</v>
      </c>
      <c r="S329" s="44" t="s">
        <v>753</v>
      </c>
    </row>
    <row r="330" spans="2:19">
      <c r="B330" s="75" t="str">
        <f>IF(tbl_Instruement_List[[#This Row],[Tag_New]]="",tbl_Instruement_List[[#This Row],[Tag]],tbl_Instruement_List[[#This Row],[Tag_New]])</f>
        <v>XV-60263SM</v>
      </c>
      <c r="C330" s="75"/>
      <c r="D330" s="41" t="s">
        <v>322</v>
      </c>
      <c r="E330" s="41"/>
      <c r="F330" s="42" t="s">
        <v>528</v>
      </c>
      <c r="G330" s="41" t="s">
        <v>961</v>
      </c>
      <c r="H330" s="41" t="s">
        <v>928</v>
      </c>
      <c r="I330" s="41"/>
      <c r="J330" s="44">
        <v>1</v>
      </c>
      <c r="K330" s="47">
        <v>2</v>
      </c>
      <c r="L330" s="44" t="s">
        <v>18</v>
      </c>
      <c r="M330" s="44" t="s">
        <v>18</v>
      </c>
      <c r="N330" s="44" t="s">
        <v>18</v>
      </c>
      <c r="O330" s="44" t="s">
        <v>929</v>
      </c>
      <c r="P330" s="44" t="s">
        <v>475</v>
      </c>
      <c r="Q330" s="44" t="s">
        <v>569</v>
      </c>
      <c r="R330" s="44" t="s">
        <v>676</v>
      </c>
      <c r="S330" s="44" t="s">
        <v>753</v>
      </c>
    </row>
    <row r="331" spans="2:19">
      <c r="B331" s="75" t="str">
        <f>IF(tbl_Instruement_List[[#This Row],[Tag_New]]="",tbl_Instruement_List[[#This Row],[Tag]],tbl_Instruement_List[[#This Row],[Tag_New]])</f>
        <v>XV-60264FN</v>
      </c>
      <c r="C331" s="75"/>
      <c r="D331" s="41" t="s">
        <v>323</v>
      </c>
      <c r="E331" s="41"/>
      <c r="F331" s="42" t="s">
        <v>528</v>
      </c>
      <c r="G331" s="41" t="s">
        <v>962</v>
      </c>
      <c r="H331" s="41" t="s">
        <v>928</v>
      </c>
      <c r="I331" s="41"/>
      <c r="J331" s="44">
        <v>1</v>
      </c>
      <c r="K331" s="47">
        <v>2</v>
      </c>
      <c r="L331" s="44" t="s">
        <v>18</v>
      </c>
      <c r="M331" s="44" t="s">
        <v>18</v>
      </c>
      <c r="N331" s="44" t="s">
        <v>18</v>
      </c>
      <c r="O331" s="44" t="s">
        <v>929</v>
      </c>
      <c r="P331" s="44" t="s">
        <v>475</v>
      </c>
      <c r="Q331" s="44" t="s">
        <v>569</v>
      </c>
      <c r="R331" s="44" t="s">
        <v>676</v>
      </c>
      <c r="S331" s="44" t="s">
        <v>753</v>
      </c>
    </row>
    <row r="332" spans="2:19">
      <c r="B332" s="75" t="str">
        <f>IF(tbl_Instruement_List[[#This Row],[Tag_New]]="",tbl_Instruement_List[[#This Row],[Tag]],tbl_Instruement_List[[#This Row],[Tag_New]])</f>
        <v>XV-60264FP</v>
      </c>
      <c r="C332" s="75"/>
      <c r="D332" s="41" t="s">
        <v>324</v>
      </c>
      <c r="E332" s="41"/>
      <c r="F332" s="42" t="s">
        <v>528</v>
      </c>
      <c r="G332" s="41" t="s">
        <v>963</v>
      </c>
      <c r="H332" s="41" t="s">
        <v>928</v>
      </c>
      <c r="I332" s="41"/>
      <c r="J332" s="44">
        <v>1</v>
      </c>
      <c r="K332" s="47">
        <v>2</v>
      </c>
      <c r="L332" s="44" t="s">
        <v>18</v>
      </c>
      <c r="M332" s="44" t="s">
        <v>18</v>
      </c>
      <c r="N332" s="44" t="s">
        <v>18</v>
      </c>
      <c r="O332" s="44" t="s">
        <v>929</v>
      </c>
      <c r="P332" s="44" t="s">
        <v>475</v>
      </c>
      <c r="Q332" s="44" t="s">
        <v>569</v>
      </c>
      <c r="R332" s="44" t="s">
        <v>676</v>
      </c>
      <c r="S332" s="44" t="s">
        <v>753</v>
      </c>
    </row>
    <row r="333" spans="2:19">
      <c r="B333" s="75" t="str">
        <f>IF(tbl_Instruement_List[[#This Row],[Tag_New]]="",tbl_Instruement_List[[#This Row],[Tag]],tbl_Instruement_List[[#This Row],[Tag_New]])</f>
        <v>XV-60264FQ</v>
      </c>
      <c r="C333" s="75"/>
      <c r="D333" s="41" t="s">
        <v>325</v>
      </c>
      <c r="E333" s="41"/>
      <c r="F333" s="42" t="s">
        <v>528</v>
      </c>
      <c r="G333" s="41" t="s">
        <v>964</v>
      </c>
      <c r="H333" s="41" t="s">
        <v>928</v>
      </c>
      <c r="I333" s="41"/>
      <c r="J333" s="44">
        <v>1</v>
      </c>
      <c r="K333" s="47">
        <v>2</v>
      </c>
      <c r="L333" s="44" t="s">
        <v>18</v>
      </c>
      <c r="M333" s="44" t="s">
        <v>18</v>
      </c>
      <c r="N333" s="44" t="s">
        <v>18</v>
      </c>
      <c r="O333" s="44" t="s">
        <v>929</v>
      </c>
      <c r="P333" s="44" t="s">
        <v>475</v>
      </c>
      <c r="Q333" s="44" t="s">
        <v>569</v>
      </c>
      <c r="R333" s="44" t="s">
        <v>676</v>
      </c>
      <c r="S333" s="44" t="s">
        <v>753</v>
      </c>
    </row>
    <row r="334" spans="2:19">
      <c r="B334" s="75" t="str">
        <f>IF(tbl_Instruement_List[[#This Row],[Tag_New]]="",tbl_Instruement_List[[#This Row],[Tag]],tbl_Instruement_List[[#This Row],[Tag_New]])</f>
        <v>XV-60264FR</v>
      </c>
      <c r="C334" s="75"/>
      <c r="D334" s="41" t="s">
        <v>326</v>
      </c>
      <c r="E334" s="41"/>
      <c r="F334" s="42" t="s">
        <v>528</v>
      </c>
      <c r="G334" s="41" t="s">
        <v>965</v>
      </c>
      <c r="H334" s="41" t="s">
        <v>928</v>
      </c>
      <c r="I334" s="41"/>
      <c r="J334" s="44">
        <v>1</v>
      </c>
      <c r="K334" s="47">
        <v>2</v>
      </c>
      <c r="L334" s="44" t="s">
        <v>18</v>
      </c>
      <c r="M334" s="44" t="s">
        <v>18</v>
      </c>
      <c r="N334" s="44" t="s">
        <v>18</v>
      </c>
      <c r="O334" s="44" t="s">
        <v>929</v>
      </c>
      <c r="P334" s="44" t="s">
        <v>475</v>
      </c>
      <c r="Q334" s="44" t="s">
        <v>569</v>
      </c>
      <c r="R334" s="44" t="s">
        <v>676</v>
      </c>
      <c r="S334" s="44" t="s">
        <v>753</v>
      </c>
    </row>
    <row r="335" spans="2:19">
      <c r="B335" s="75" t="str">
        <f>IF(tbl_Instruement_List[[#This Row],[Tag_New]]="",tbl_Instruement_List[[#This Row],[Tag]],tbl_Instruement_List[[#This Row],[Tag_New]])</f>
        <v>XV-60264SN</v>
      </c>
      <c r="C335" s="75"/>
      <c r="D335" s="41" t="s">
        <v>327</v>
      </c>
      <c r="E335" s="41"/>
      <c r="F335" s="42" t="s">
        <v>528</v>
      </c>
      <c r="G335" s="41" t="s">
        <v>966</v>
      </c>
      <c r="H335" s="41" t="s">
        <v>928</v>
      </c>
      <c r="I335" s="41"/>
      <c r="J335" s="44">
        <v>1</v>
      </c>
      <c r="K335" s="47">
        <v>2</v>
      </c>
      <c r="L335" s="44" t="s">
        <v>18</v>
      </c>
      <c r="M335" s="44" t="s">
        <v>18</v>
      </c>
      <c r="N335" s="44" t="s">
        <v>18</v>
      </c>
      <c r="O335" s="44" t="s">
        <v>929</v>
      </c>
      <c r="P335" s="44" t="s">
        <v>475</v>
      </c>
      <c r="Q335" s="44" t="s">
        <v>569</v>
      </c>
      <c r="R335" s="44" t="s">
        <v>676</v>
      </c>
      <c r="S335" s="44" t="s">
        <v>753</v>
      </c>
    </row>
    <row r="336" spans="2:19">
      <c r="B336" s="75" t="str">
        <f>IF(tbl_Instruement_List[[#This Row],[Tag_New]]="",tbl_Instruement_List[[#This Row],[Tag]],tbl_Instruement_List[[#This Row],[Tag_New]])</f>
        <v>XV-60264SP</v>
      </c>
      <c r="C336" s="75"/>
      <c r="D336" s="41" t="s">
        <v>328</v>
      </c>
      <c r="E336" s="41"/>
      <c r="F336" s="42" t="s">
        <v>528</v>
      </c>
      <c r="G336" s="41" t="s">
        <v>967</v>
      </c>
      <c r="H336" s="41" t="s">
        <v>928</v>
      </c>
      <c r="I336" s="41"/>
      <c r="J336" s="44">
        <v>1</v>
      </c>
      <c r="K336" s="47">
        <v>2</v>
      </c>
      <c r="L336" s="44" t="s">
        <v>18</v>
      </c>
      <c r="M336" s="44" t="s">
        <v>18</v>
      </c>
      <c r="N336" s="44" t="s">
        <v>18</v>
      </c>
      <c r="O336" s="44" t="s">
        <v>929</v>
      </c>
      <c r="P336" s="44" t="s">
        <v>475</v>
      </c>
      <c r="Q336" s="44" t="s">
        <v>569</v>
      </c>
      <c r="R336" s="44" t="s">
        <v>676</v>
      </c>
      <c r="S336" s="44" t="s">
        <v>753</v>
      </c>
    </row>
    <row r="337" spans="2:19">
      <c r="B337" s="75" t="str">
        <f>IF(tbl_Instruement_List[[#This Row],[Tag_New]]="",tbl_Instruement_List[[#This Row],[Tag]],tbl_Instruement_List[[#This Row],[Tag_New]])</f>
        <v>XV-60264SQ</v>
      </c>
      <c r="C337" s="75"/>
      <c r="D337" s="41" t="s">
        <v>329</v>
      </c>
      <c r="E337" s="41"/>
      <c r="F337" s="42" t="s">
        <v>528</v>
      </c>
      <c r="G337" s="41" t="s">
        <v>968</v>
      </c>
      <c r="H337" s="41" t="s">
        <v>928</v>
      </c>
      <c r="I337" s="41"/>
      <c r="J337" s="44">
        <v>1</v>
      </c>
      <c r="K337" s="47">
        <v>2</v>
      </c>
      <c r="L337" s="44" t="s">
        <v>18</v>
      </c>
      <c r="M337" s="44" t="s">
        <v>18</v>
      </c>
      <c r="N337" s="44" t="s">
        <v>18</v>
      </c>
      <c r="O337" s="44" t="s">
        <v>929</v>
      </c>
      <c r="P337" s="44" t="s">
        <v>475</v>
      </c>
      <c r="Q337" s="44" t="s">
        <v>569</v>
      </c>
      <c r="R337" s="44" t="s">
        <v>676</v>
      </c>
      <c r="S337" s="44" t="s">
        <v>753</v>
      </c>
    </row>
    <row r="338" spans="2:19">
      <c r="B338" s="75" t="str">
        <f>IF(tbl_Instruement_List[[#This Row],[Tag_New]]="",tbl_Instruement_List[[#This Row],[Tag]],tbl_Instruement_List[[#This Row],[Tag_New]])</f>
        <v>XV-60264SR</v>
      </c>
      <c r="C338" s="75"/>
      <c r="D338" s="41" t="s">
        <v>330</v>
      </c>
      <c r="E338" s="41"/>
      <c r="F338" s="42" t="s">
        <v>528</v>
      </c>
      <c r="G338" s="41" t="s">
        <v>969</v>
      </c>
      <c r="H338" s="41" t="s">
        <v>928</v>
      </c>
      <c r="I338" s="41"/>
      <c r="J338" s="44">
        <v>1</v>
      </c>
      <c r="K338" s="47">
        <v>2</v>
      </c>
      <c r="L338" s="44" t="s">
        <v>18</v>
      </c>
      <c r="M338" s="44" t="s">
        <v>18</v>
      </c>
      <c r="N338" s="44" t="s">
        <v>18</v>
      </c>
      <c r="O338" s="44" t="s">
        <v>929</v>
      </c>
      <c r="P338" s="44" t="s">
        <v>475</v>
      </c>
      <c r="Q338" s="44" t="s">
        <v>569</v>
      </c>
      <c r="R338" s="44" t="s">
        <v>676</v>
      </c>
      <c r="S338" s="44" t="s">
        <v>753</v>
      </c>
    </row>
    <row r="339" spans="2:19">
      <c r="B339" s="75" t="str">
        <f>IF(tbl_Instruement_List[[#This Row],[Tag_New]]="",tbl_Instruement_List[[#This Row],[Tag]],tbl_Instruement_List[[#This Row],[Tag_New]])</f>
        <v>XV-60261DA</v>
      </c>
      <c r="C339" s="75"/>
      <c r="D339" s="41" t="s">
        <v>970</v>
      </c>
      <c r="E339" s="41"/>
      <c r="F339" s="42" t="s">
        <v>528</v>
      </c>
      <c r="G339" s="41" t="s">
        <v>971</v>
      </c>
      <c r="H339" s="41" t="s">
        <v>928</v>
      </c>
      <c r="I339" s="41"/>
      <c r="J339" s="44">
        <v>1</v>
      </c>
      <c r="K339" s="47">
        <v>2</v>
      </c>
      <c r="L339" s="44" t="s">
        <v>18</v>
      </c>
      <c r="M339" s="44" t="s">
        <v>18</v>
      </c>
      <c r="N339" s="44" t="s">
        <v>18</v>
      </c>
      <c r="O339" s="44" t="s">
        <v>929</v>
      </c>
      <c r="P339" s="44" t="s">
        <v>475</v>
      </c>
      <c r="Q339" s="44" t="s">
        <v>569</v>
      </c>
      <c r="R339" s="44" t="s">
        <v>676</v>
      </c>
      <c r="S339" s="44" t="s">
        <v>753</v>
      </c>
    </row>
    <row r="340" spans="2:19">
      <c r="B340" s="75" t="str">
        <f>IF(tbl_Instruement_List[[#This Row],[Tag_New]]="",tbl_Instruement_List[[#This Row],[Tag]],tbl_Instruement_List[[#This Row],[Tag_New]])</f>
        <v>XV-60262DE</v>
      </c>
      <c r="C340" s="75"/>
      <c r="D340" s="41" t="s">
        <v>972</v>
      </c>
      <c r="E340" s="41"/>
      <c r="F340" s="42" t="s">
        <v>528</v>
      </c>
      <c r="G340" s="41" t="s">
        <v>973</v>
      </c>
      <c r="H340" s="41" t="s">
        <v>928</v>
      </c>
      <c r="I340" s="41"/>
      <c r="J340" s="44">
        <v>1</v>
      </c>
      <c r="K340" s="47">
        <v>2</v>
      </c>
      <c r="L340" s="44" t="s">
        <v>18</v>
      </c>
      <c r="M340" s="44" t="s">
        <v>18</v>
      </c>
      <c r="N340" s="44" t="s">
        <v>18</v>
      </c>
      <c r="O340" s="44" t="s">
        <v>929</v>
      </c>
      <c r="P340" s="44" t="s">
        <v>475</v>
      </c>
      <c r="Q340" s="44" t="s">
        <v>569</v>
      </c>
      <c r="R340" s="44" t="s">
        <v>676</v>
      </c>
      <c r="S340" s="44" t="s">
        <v>753</v>
      </c>
    </row>
    <row r="341" spans="2:19">
      <c r="B341" s="75" t="str">
        <f>IF(tbl_Instruement_List[[#This Row],[Tag_New]]="",tbl_Instruement_List[[#This Row],[Tag]],tbl_Instruement_List[[#This Row],[Tag_New]])</f>
        <v>XV-60263DN</v>
      </c>
      <c r="C341" s="75"/>
      <c r="D341" s="41" t="s">
        <v>974</v>
      </c>
      <c r="E341" s="41"/>
      <c r="F341" s="42" t="s">
        <v>528</v>
      </c>
      <c r="G341" s="41" t="s">
        <v>975</v>
      </c>
      <c r="H341" s="41" t="s">
        <v>928</v>
      </c>
      <c r="I341" s="41"/>
      <c r="J341" s="44">
        <v>1</v>
      </c>
      <c r="K341" s="47">
        <v>2</v>
      </c>
      <c r="L341" s="44" t="s">
        <v>18</v>
      </c>
      <c r="M341" s="44" t="s">
        <v>18</v>
      </c>
      <c r="N341" s="44" t="s">
        <v>18</v>
      </c>
      <c r="O341" s="44" t="s">
        <v>929</v>
      </c>
      <c r="P341" s="44" t="s">
        <v>475</v>
      </c>
      <c r="Q341" s="44" t="s">
        <v>569</v>
      </c>
      <c r="R341" s="44" t="s">
        <v>676</v>
      </c>
      <c r="S341" s="44" t="s">
        <v>753</v>
      </c>
    </row>
    <row r="342" spans="2:19">
      <c r="B342" s="75" t="str">
        <f>IF(tbl_Instruement_List[[#This Row],[Tag_New]]="",tbl_Instruement_List[[#This Row],[Tag]],tbl_Instruement_List[[#This Row],[Tag_New]])</f>
        <v>XV-60264DJ</v>
      </c>
      <c r="C342" s="75"/>
      <c r="D342" s="41" t="s">
        <v>976</v>
      </c>
      <c r="E342" s="41"/>
      <c r="F342" s="42" t="s">
        <v>528</v>
      </c>
      <c r="G342" s="41" t="s">
        <v>977</v>
      </c>
      <c r="H342" s="41" t="s">
        <v>928</v>
      </c>
      <c r="I342" s="41"/>
      <c r="J342" s="44">
        <v>1</v>
      </c>
      <c r="K342" s="47">
        <v>2</v>
      </c>
      <c r="L342" s="44" t="s">
        <v>18</v>
      </c>
      <c r="M342" s="44" t="s">
        <v>18</v>
      </c>
      <c r="N342" s="44" t="s">
        <v>18</v>
      </c>
      <c r="O342" s="44" t="s">
        <v>929</v>
      </c>
      <c r="P342" s="44" t="s">
        <v>475</v>
      </c>
      <c r="Q342" s="44" t="s">
        <v>569</v>
      </c>
      <c r="R342" s="44" t="s">
        <v>676</v>
      </c>
      <c r="S342" s="44" t="s">
        <v>753</v>
      </c>
    </row>
    <row r="343" spans="2:19">
      <c r="B343" s="75" t="str">
        <f>IF(tbl_Instruement_List[[#This Row],[Tag_New]]="",tbl_Instruement_List[[#This Row],[Tag]],tbl_Instruement_List[[#This Row],[Tag_New]])</f>
        <v>XV-60241</v>
      </c>
      <c r="C343" s="75"/>
      <c r="D343" s="41" t="s">
        <v>257</v>
      </c>
      <c r="E343" s="41"/>
      <c r="F343" s="42" t="s">
        <v>472</v>
      </c>
      <c r="G343" s="41" t="s">
        <v>978</v>
      </c>
      <c r="H343" s="41" t="s">
        <v>928</v>
      </c>
      <c r="I343" s="41"/>
      <c r="J343" s="44">
        <v>1</v>
      </c>
      <c r="K343" s="47">
        <v>2</v>
      </c>
      <c r="L343" s="44" t="s">
        <v>18</v>
      </c>
      <c r="M343" s="44" t="s">
        <v>18</v>
      </c>
      <c r="N343" s="44" t="s">
        <v>18</v>
      </c>
      <c r="O343" s="44" t="s">
        <v>929</v>
      </c>
      <c r="P343" s="44" t="s">
        <v>475</v>
      </c>
      <c r="Q343" s="44" t="s">
        <v>569</v>
      </c>
      <c r="S343" s="44" t="s">
        <v>753</v>
      </c>
    </row>
    <row r="344" spans="2:19">
      <c r="B344" s="75" t="str">
        <f>IF(tbl_Instruement_List[[#This Row],[Tag_New]]="",tbl_Instruement_List[[#This Row],[Tag]],tbl_Instruement_List[[#This Row],[Tag_New]])</f>
        <v>XA-60202A</v>
      </c>
      <c r="C344" s="75"/>
      <c r="D344" s="41" t="s">
        <v>979</v>
      </c>
      <c r="E344" s="41"/>
      <c r="F344" s="42" t="s">
        <v>491</v>
      </c>
      <c r="G344" s="41" t="s">
        <v>980</v>
      </c>
      <c r="H344" s="41" t="s">
        <v>981</v>
      </c>
      <c r="I344" s="41"/>
      <c r="J344" s="44" t="s">
        <v>18</v>
      </c>
      <c r="K344" s="47">
        <v>1</v>
      </c>
      <c r="L344" s="44" t="s">
        <v>18</v>
      </c>
      <c r="M344" s="44" t="s">
        <v>18</v>
      </c>
      <c r="N344" s="44" t="s">
        <v>18</v>
      </c>
      <c r="O344" s="44" t="s">
        <v>502</v>
      </c>
      <c r="P344" s="44" t="s">
        <v>475</v>
      </c>
      <c r="Q344" s="44" t="s">
        <v>569</v>
      </c>
      <c r="S344" s="44" t="s">
        <v>504</v>
      </c>
    </row>
    <row r="345" spans="2:19">
      <c r="B345" s="75" t="str">
        <f>IF(tbl_Instruement_List[[#This Row],[Tag_New]]="",tbl_Instruement_List[[#This Row],[Tag]],tbl_Instruement_List[[#This Row],[Tag_New]])</f>
        <v>XA-60202B</v>
      </c>
      <c r="C345" s="75"/>
      <c r="D345" s="41" t="s">
        <v>982</v>
      </c>
      <c r="E345" s="41"/>
      <c r="F345" s="42" t="s">
        <v>491</v>
      </c>
      <c r="G345" s="41" t="s">
        <v>983</v>
      </c>
      <c r="H345" s="41" t="s">
        <v>984</v>
      </c>
      <c r="I345" s="41"/>
      <c r="J345" s="44" t="s">
        <v>18</v>
      </c>
      <c r="K345" s="47">
        <v>1</v>
      </c>
      <c r="L345" s="44" t="s">
        <v>18</v>
      </c>
      <c r="M345" s="44" t="s">
        <v>18</v>
      </c>
      <c r="N345" s="44" t="s">
        <v>18</v>
      </c>
      <c r="O345" s="44" t="s">
        <v>502</v>
      </c>
      <c r="P345" s="44" t="s">
        <v>475</v>
      </c>
      <c r="Q345" s="44" t="s">
        <v>569</v>
      </c>
      <c r="S345" s="44" t="s">
        <v>504</v>
      </c>
    </row>
    <row r="346" spans="2:19">
      <c r="B346" s="75" t="str">
        <f>IF(tbl_Instruement_List[[#This Row],[Tag_New]]="",tbl_Instruement_List[[#This Row],[Tag]],tbl_Instruement_List[[#This Row],[Tag_New]])</f>
        <v>XA-60202C</v>
      </c>
      <c r="C346" s="75"/>
      <c r="D346" s="41" t="s">
        <v>985</v>
      </c>
      <c r="E346" s="41"/>
      <c r="F346" s="42" t="s">
        <v>491</v>
      </c>
      <c r="G346" s="41" t="s">
        <v>986</v>
      </c>
      <c r="H346" s="41" t="s">
        <v>987</v>
      </c>
      <c r="I346" s="41"/>
      <c r="J346" s="44" t="s">
        <v>18</v>
      </c>
      <c r="K346" s="47">
        <v>1</v>
      </c>
      <c r="L346" s="44" t="s">
        <v>18</v>
      </c>
      <c r="M346" s="44" t="s">
        <v>18</v>
      </c>
      <c r="N346" s="44" t="s">
        <v>18</v>
      </c>
      <c r="O346" s="44" t="s">
        <v>502</v>
      </c>
      <c r="P346" s="44" t="s">
        <v>475</v>
      </c>
      <c r="Q346" s="44" t="s">
        <v>569</v>
      </c>
      <c r="S346" s="44" t="s">
        <v>504</v>
      </c>
    </row>
    <row r="347" spans="2:19">
      <c r="B347" s="75" t="str">
        <f>IF(tbl_Instruement_List[[#This Row],[Tag_New]]="",tbl_Instruement_List[[#This Row],[Tag]],tbl_Instruement_List[[#This Row],[Tag_New]])</f>
        <v>XA-60202D</v>
      </c>
      <c r="C347" s="75"/>
      <c r="D347" s="41" t="s">
        <v>988</v>
      </c>
      <c r="E347" s="41"/>
      <c r="F347" s="42" t="s">
        <v>491</v>
      </c>
      <c r="G347" s="41" t="s">
        <v>989</v>
      </c>
      <c r="H347" s="41" t="s">
        <v>990</v>
      </c>
      <c r="I347" s="41"/>
      <c r="J347" s="44" t="s">
        <v>18</v>
      </c>
      <c r="K347" s="47">
        <v>1</v>
      </c>
      <c r="L347" s="44" t="s">
        <v>18</v>
      </c>
      <c r="M347" s="44" t="s">
        <v>18</v>
      </c>
      <c r="N347" s="44" t="s">
        <v>18</v>
      </c>
      <c r="O347" s="44" t="s">
        <v>502</v>
      </c>
      <c r="P347" s="44" t="s">
        <v>475</v>
      </c>
      <c r="Q347" s="44" t="s">
        <v>569</v>
      </c>
      <c r="S347" s="44" t="s">
        <v>504</v>
      </c>
    </row>
    <row r="348" spans="2:19">
      <c r="B348" s="75" t="str">
        <f>IF(tbl_Instruement_List[[#This Row],[Tag_New]]="",tbl_Instruement_List[[#This Row],[Tag]],tbl_Instruement_List[[#This Row],[Tag_New]])</f>
        <v>XA-60202E</v>
      </c>
      <c r="C348" s="75"/>
      <c r="D348" s="41" t="s">
        <v>991</v>
      </c>
      <c r="E348" s="41"/>
      <c r="F348" s="42" t="s">
        <v>491</v>
      </c>
      <c r="G348" s="41" t="s">
        <v>992</v>
      </c>
      <c r="H348" s="41" t="s">
        <v>993</v>
      </c>
      <c r="I348" s="41"/>
      <c r="J348" s="44" t="s">
        <v>18</v>
      </c>
      <c r="K348" s="47">
        <v>1</v>
      </c>
      <c r="L348" s="44" t="s">
        <v>18</v>
      </c>
      <c r="M348" s="44" t="s">
        <v>18</v>
      </c>
      <c r="N348" s="44" t="s">
        <v>18</v>
      </c>
      <c r="O348" s="44" t="s">
        <v>502</v>
      </c>
      <c r="P348" s="44" t="s">
        <v>475</v>
      </c>
      <c r="Q348" s="44" t="s">
        <v>569</v>
      </c>
      <c r="S348" s="44" t="s">
        <v>504</v>
      </c>
    </row>
    <row r="349" spans="2:19">
      <c r="B349" s="75" t="str">
        <f>IF(tbl_Instruement_List[[#This Row],[Tag_New]]="",tbl_Instruement_List[[#This Row],[Tag]],tbl_Instruement_List[[#This Row],[Tag_New]])</f>
        <v>XA-60202F</v>
      </c>
      <c r="C349" s="75"/>
      <c r="D349" s="41" t="s">
        <v>994</v>
      </c>
      <c r="E349" s="41"/>
      <c r="F349" s="42" t="s">
        <v>491</v>
      </c>
      <c r="G349" s="41" t="s">
        <v>995</v>
      </c>
      <c r="H349" s="41" t="s">
        <v>996</v>
      </c>
      <c r="I349" s="41"/>
      <c r="J349" s="44" t="s">
        <v>18</v>
      </c>
      <c r="K349" s="47">
        <v>1</v>
      </c>
      <c r="L349" s="44" t="s">
        <v>18</v>
      </c>
      <c r="M349" s="44" t="s">
        <v>18</v>
      </c>
      <c r="N349" s="44" t="s">
        <v>18</v>
      </c>
      <c r="O349" s="44" t="s">
        <v>502</v>
      </c>
      <c r="P349" s="44" t="s">
        <v>475</v>
      </c>
      <c r="Q349" s="44" t="s">
        <v>569</v>
      </c>
      <c r="S349" s="44" t="s">
        <v>504</v>
      </c>
    </row>
    <row r="350" spans="2:19">
      <c r="B350" s="75" t="str">
        <f>IF(tbl_Instruement_List[[#This Row],[Tag_New]]="",tbl_Instruement_List[[#This Row],[Tag]],tbl_Instruement_List[[#This Row],[Tag_New]])</f>
        <v>XA-60202G</v>
      </c>
      <c r="C350" s="75"/>
      <c r="D350" s="41" t="s">
        <v>997</v>
      </c>
      <c r="E350" s="41"/>
      <c r="F350" s="42" t="s">
        <v>491</v>
      </c>
      <c r="G350" s="41" t="s">
        <v>998</v>
      </c>
      <c r="H350" s="41" t="s">
        <v>999</v>
      </c>
      <c r="I350" s="41"/>
      <c r="J350" s="44" t="s">
        <v>18</v>
      </c>
      <c r="K350" s="47">
        <v>1</v>
      </c>
      <c r="L350" s="44" t="s">
        <v>18</v>
      </c>
      <c r="M350" s="44" t="s">
        <v>18</v>
      </c>
      <c r="N350" s="44" t="s">
        <v>18</v>
      </c>
      <c r="O350" s="44" t="s">
        <v>502</v>
      </c>
      <c r="P350" s="44" t="s">
        <v>475</v>
      </c>
      <c r="Q350" s="44" t="s">
        <v>569</v>
      </c>
      <c r="S350" s="44" t="s">
        <v>504</v>
      </c>
    </row>
    <row r="351" spans="2:19">
      <c r="B351" s="75" t="str">
        <f>IF(tbl_Instruement_List[[#This Row],[Tag_New]]="",tbl_Instruement_List[[#This Row],[Tag]],tbl_Instruement_List[[#This Row],[Tag_New]])</f>
        <v>XA-60202H</v>
      </c>
      <c r="C351" s="75"/>
      <c r="D351" s="41" t="s">
        <v>1000</v>
      </c>
      <c r="E351" s="41"/>
      <c r="F351" s="42" t="s">
        <v>491</v>
      </c>
      <c r="G351" s="41" t="s">
        <v>1001</v>
      </c>
      <c r="H351" s="41" t="s">
        <v>1002</v>
      </c>
      <c r="I351" s="41"/>
      <c r="J351" s="44" t="s">
        <v>18</v>
      </c>
      <c r="K351" s="47">
        <v>1</v>
      </c>
      <c r="L351" s="44" t="s">
        <v>18</v>
      </c>
      <c r="M351" s="44" t="s">
        <v>18</v>
      </c>
      <c r="N351" s="44" t="s">
        <v>18</v>
      </c>
      <c r="O351" s="44" t="s">
        <v>502</v>
      </c>
      <c r="P351" s="44" t="s">
        <v>475</v>
      </c>
      <c r="Q351" s="44" t="s">
        <v>569</v>
      </c>
      <c r="S351" s="44" t="s">
        <v>504</v>
      </c>
    </row>
    <row r="352" spans="2:19">
      <c r="B352" s="75" t="str">
        <f>IF(tbl_Instruement_List[[#This Row],[Tag_New]]="",tbl_Instruement_List[[#This Row],[Tag]],tbl_Instruement_List[[#This Row],[Tag_New]])</f>
        <v>XA-60202J</v>
      </c>
      <c r="C352" s="75"/>
      <c r="D352" s="41" t="s">
        <v>1003</v>
      </c>
      <c r="E352" s="41"/>
      <c r="F352" s="42" t="s">
        <v>491</v>
      </c>
      <c r="G352" s="41" t="s">
        <v>1004</v>
      </c>
      <c r="H352" s="41" t="s">
        <v>1005</v>
      </c>
      <c r="I352" s="41"/>
      <c r="J352" s="44" t="s">
        <v>18</v>
      </c>
      <c r="K352" s="47">
        <v>1</v>
      </c>
      <c r="L352" s="44" t="s">
        <v>18</v>
      </c>
      <c r="M352" s="44" t="s">
        <v>18</v>
      </c>
      <c r="N352" s="44" t="s">
        <v>18</v>
      </c>
      <c r="O352" s="44" t="s">
        <v>502</v>
      </c>
      <c r="P352" s="44" t="s">
        <v>475</v>
      </c>
      <c r="Q352" s="44" t="s">
        <v>569</v>
      </c>
      <c r="S352" s="44" t="s">
        <v>504</v>
      </c>
    </row>
    <row r="353" spans="2:23">
      <c r="B353" s="75" t="str">
        <f>IF(tbl_Instruement_List[[#This Row],[Tag_New]]="",tbl_Instruement_List[[#This Row],[Tag]],tbl_Instruement_List[[#This Row],[Tag_New]])</f>
        <v>XA-60202K</v>
      </c>
      <c r="C353" s="75"/>
      <c r="D353" s="41" t="s">
        <v>1006</v>
      </c>
      <c r="E353" s="41"/>
      <c r="F353" s="42" t="s">
        <v>491</v>
      </c>
      <c r="G353" s="41" t="s">
        <v>1007</v>
      </c>
      <c r="H353" s="41" t="s">
        <v>1008</v>
      </c>
      <c r="I353" s="41"/>
      <c r="J353" s="44" t="s">
        <v>18</v>
      </c>
      <c r="K353" s="47">
        <v>1</v>
      </c>
      <c r="L353" s="44" t="s">
        <v>18</v>
      </c>
      <c r="M353" s="44" t="s">
        <v>18</v>
      </c>
      <c r="N353" s="44" t="s">
        <v>18</v>
      </c>
      <c r="O353" s="44" t="s">
        <v>502</v>
      </c>
      <c r="P353" s="44" t="s">
        <v>475</v>
      </c>
      <c r="Q353" s="44" t="s">
        <v>569</v>
      </c>
      <c r="S353" s="44" t="s">
        <v>504</v>
      </c>
    </row>
    <row r="354" spans="2:23">
      <c r="B354" s="75" t="str">
        <f>IF(tbl_Instruement_List[[#This Row],[Tag_New]]="",tbl_Instruement_List[[#This Row],[Tag]],tbl_Instruement_List[[#This Row],[Tag_New]])</f>
        <v>XA-60202L</v>
      </c>
      <c r="C354" s="75"/>
      <c r="D354" s="41" t="s">
        <v>1009</v>
      </c>
      <c r="E354" s="41"/>
      <c r="F354" s="42" t="s">
        <v>491</v>
      </c>
      <c r="G354" s="41" t="s">
        <v>1010</v>
      </c>
      <c r="H354" s="41" t="s">
        <v>1011</v>
      </c>
      <c r="I354" s="41"/>
      <c r="J354" s="44" t="s">
        <v>18</v>
      </c>
      <c r="K354" s="47">
        <v>1</v>
      </c>
      <c r="L354" s="44" t="s">
        <v>18</v>
      </c>
      <c r="M354" s="44" t="s">
        <v>18</v>
      </c>
      <c r="N354" s="44" t="s">
        <v>18</v>
      </c>
      <c r="O354" s="44" t="s">
        <v>502</v>
      </c>
      <c r="P354" s="44" t="s">
        <v>475</v>
      </c>
      <c r="Q354" s="44" t="s">
        <v>569</v>
      </c>
      <c r="S354" s="44" t="s">
        <v>504</v>
      </c>
    </row>
    <row r="355" spans="2:23">
      <c r="B355" s="75" t="str">
        <f>IF(tbl_Instruement_List[[#This Row],[Tag_New]]="",tbl_Instruement_List[[#This Row],[Tag]],tbl_Instruement_List[[#This Row],[Tag_New]])</f>
        <v>XA-60202M</v>
      </c>
      <c r="C355" s="75"/>
      <c r="D355" s="41" t="s">
        <v>1012</v>
      </c>
      <c r="E355" s="41"/>
      <c r="F355" s="42" t="s">
        <v>491</v>
      </c>
      <c r="G355" s="41" t="s">
        <v>1013</v>
      </c>
      <c r="H355" s="41" t="s">
        <v>1014</v>
      </c>
      <c r="I355" s="41"/>
      <c r="J355" s="44" t="s">
        <v>18</v>
      </c>
      <c r="K355" s="47">
        <v>1</v>
      </c>
      <c r="L355" s="44" t="s">
        <v>18</v>
      </c>
      <c r="M355" s="44" t="s">
        <v>18</v>
      </c>
      <c r="N355" s="44" t="s">
        <v>18</v>
      </c>
      <c r="O355" s="44" t="s">
        <v>502</v>
      </c>
      <c r="P355" s="44" t="s">
        <v>475</v>
      </c>
      <c r="Q355" s="44" t="s">
        <v>569</v>
      </c>
      <c r="S355" s="44" t="s">
        <v>504</v>
      </c>
    </row>
    <row r="356" spans="2:23">
      <c r="B356" s="75" t="str">
        <f>IF(tbl_Instruement_List[[#This Row],[Tag_New]]="",tbl_Instruement_List[[#This Row],[Tag]],tbl_Instruement_List[[#This Row],[Tag_New]])</f>
        <v>XA-60261</v>
      </c>
      <c r="C356" s="75"/>
      <c r="D356" s="41" t="s">
        <v>1015</v>
      </c>
      <c r="E356" s="41"/>
      <c r="F356" s="42" t="s">
        <v>472</v>
      </c>
      <c r="G356" s="41" t="s">
        <v>1016</v>
      </c>
      <c r="H356" s="41" t="s">
        <v>1017</v>
      </c>
      <c r="I356" s="41"/>
      <c r="J356" s="44" t="s">
        <v>18</v>
      </c>
      <c r="K356" s="47">
        <v>1</v>
      </c>
      <c r="L356" s="44" t="s">
        <v>18</v>
      </c>
      <c r="M356" s="44" t="s">
        <v>18</v>
      </c>
      <c r="N356" s="44" t="s">
        <v>18</v>
      </c>
      <c r="O356" s="44" t="s">
        <v>502</v>
      </c>
      <c r="P356" s="44" t="s">
        <v>475</v>
      </c>
      <c r="Q356" s="44" t="s">
        <v>569</v>
      </c>
      <c r="S356" s="44" t="s">
        <v>504</v>
      </c>
    </row>
    <row r="357" spans="2:23">
      <c r="B357" s="75" t="str">
        <f>IF(tbl_Instruement_List[[#This Row],[Tag_New]]="",tbl_Instruement_List[[#This Row],[Tag]],tbl_Instruement_List[[#This Row],[Tag_New]])</f>
        <v>XA-60262</v>
      </c>
      <c r="C357" s="75"/>
      <c r="D357" s="41" t="s">
        <v>1018</v>
      </c>
      <c r="E357" s="41"/>
      <c r="F357" s="42" t="s">
        <v>472</v>
      </c>
      <c r="G357" s="41" t="s">
        <v>1019</v>
      </c>
      <c r="H357" s="41" t="s">
        <v>1020</v>
      </c>
      <c r="I357" s="41"/>
      <c r="J357" s="44" t="s">
        <v>18</v>
      </c>
      <c r="K357" s="47">
        <v>1</v>
      </c>
      <c r="L357" s="44" t="s">
        <v>18</v>
      </c>
      <c r="M357" s="44" t="s">
        <v>18</v>
      </c>
      <c r="N357" s="44" t="s">
        <v>18</v>
      </c>
      <c r="O357" s="44" t="s">
        <v>502</v>
      </c>
      <c r="P357" s="44" t="s">
        <v>475</v>
      </c>
      <c r="Q357" s="44" t="s">
        <v>569</v>
      </c>
      <c r="S357" s="44" t="s">
        <v>504</v>
      </c>
    </row>
    <row r="358" spans="2:23">
      <c r="B358" s="75" t="str">
        <f>IF(tbl_Instruement_List[[#This Row],[Tag_New]]="",tbl_Instruement_List[[#This Row],[Tag]],tbl_Instruement_List[[#This Row],[Tag_New]])</f>
        <v>XS-60260</v>
      </c>
      <c r="C358" s="75"/>
      <c r="D358" s="41" t="s">
        <v>1021</v>
      </c>
      <c r="E358" s="41"/>
      <c r="F358" s="42" t="s">
        <v>472</v>
      </c>
      <c r="G358" s="41" t="s">
        <v>1022</v>
      </c>
      <c r="H358" s="41" t="s">
        <v>1023</v>
      </c>
      <c r="I358" s="41"/>
      <c r="J358" s="44">
        <v>1</v>
      </c>
      <c r="K358" s="47" t="s">
        <v>18</v>
      </c>
      <c r="L358" s="44" t="s">
        <v>18</v>
      </c>
      <c r="M358" s="44" t="s">
        <v>18</v>
      </c>
      <c r="N358" s="44" t="s">
        <v>18</v>
      </c>
      <c r="O358" s="44" t="s">
        <v>675</v>
      </c>
      <c r="P358" s="44" t="s">
        <v>475</v>
      </c>
      <c r="Q358" s="44" t="s">
        <v>569</v>
      </c>
      <c r="S358" s="44" t="s">
        <v>1024</v>
      </c>
    </row>
    <row r="359" spans="2:23">
      <c r="B359" s="75" t="str">
        <f>IF(tbl_Instruement_List[[#This Row],[Tag_New]]="",tbl_Instruement_List[[#This Row],[Tag]],tbl_Instruement_List[[#This Row],[Tag_New]])</f>
        <v>XV-60240</v>
      </c>
      <c r="C359" s="75"/>
      <c r="D359" s="41" t="s">
        <v>1025</v>
      </c>
      <c r="E359" s="41"/>
      <c r="F359" s="42" t="s">
        <v>491</v>
      </c>
      <c r="G359" s="41" t="s">
        <v>1026</v>
      </c>
      <c r="H359" s="41" t="s">
        <v>928</v>
      </c>
      <c r="I359" s="41"/>
      <c r="J359" s="44">
        <v>1</v>
      </c>
      <c r="K359" s="47">
        <v>2</v>
      </c>
      <c r="L359" s="44" t="s">
        <v>18</v>
      </c>
      <c r="M359" s="44" t="s">
        <v>18</v>
      </c>
      <c r="N359" s="44" t="s">
        <v>18</v>
      </c>
      <c r="O359" s="44" t="s">
        <v>675</v>
      </c>
      <c r="P359" s="44" t="s">
        <v>475</v>
      </c>
      <c r="Q359" s="44" t="s">
        <v>569</v>
      </c>
      <c r="S359" s="44" t="s">
        <v>753</v>
      </c>
    </row>
    <row r="360" spans="2:23">
      <c r="B360" s="75" t="str">
        <f>IF(tbl_Instruement_List[[#This Row],[Tag_New]]="",tbl_Instruement_List[[#This Row],[Tag]],tbl_Instruement_List[[#This Row],[Tag_New]])</f>
        <v xml:space="preserve"> Haver &amp; Boecker. EQUIPMENT</v>
      </c>
      <c r="C360" s="75"/>
      <c r="D360" s="41" t="s">
        <v>1027</v>
      </c>
      <c r="E360" s="41"/>
      <c r="F360" s="42"/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</row>
    <row r="361" spans="2:23">
      <c r="B361" s="75" t="str">
        <f>IF(tbl_Instruement_List[[#This Row],[Tag_New]]="",tbl_Instruement_List[[#This Row],[Tag]],tbl_Instruement_List[[#This Row],[Tag_New]])</f>
        <v>XA-61301A</v>
      </c>
      <c r="C361" s="75"/>
      <c r="D361" s="41" t="s">
        <v>1028</v>
      </c>
      <c r="E361" s="41"/>
      <c r="F361" s="42" t="s">
        <v>356</v>
      </c>
      <c r="G361" s="41" t="s">
        <v>1029</v>
      </c>
      <c r="H361" s="41" t="s">
        <v>1029</v>
      </c>
      <c r="I361" s="41"/>
      <c r="J361" s="44" t="s">
        <v>18</v>
      </c>
      <c r="K361" s="47">
        <v>1</v>
      </c>
      <c r="L361" s="44" t="s">
        <v>18</v>
      </c>
      <c r="M361" s="44" t="s">
        <v>18</v>
      </c>
      <c r="N361" s="44" t="s">
        <v>18</v>
      </c>
      <c r="O361" s="44" t="s">
        <v>502</v>
      </c>
      <c r="P361" s="44" t="s">
        <v>475</v>
      </c>
      <c r="Q361" s="44" t="s">
        <v>569</v>
      </c>
      <c r="S361" s="44" t="s">
        <v>1030</v>
      </c>
      <c r="T361" s="44" t="s">
        <v>18</v>
      </c>
      <c r="U361" s="44" t="s">
        <v>18</v>
      </c>
    </row>
    <row r="362" spans="2:23">
      <c r="B362" s="75" t="str">
        <f>IF(tbl_Instruement_List[[#This Row],[Tag_New]]="",tbl_Instruement_List[[#This Row],[Tag]],tbl_Instruement_List[[#This Row],[Tag_New]])</f>
        <v>XA-61301B</v>
      </c>
      <c r="C362" s="75"/>
      <c r="D362" s="41" t="s">
        <v>1031</v>
      </c>
      <c r="E362" s="41"/>
      <c r="F362" s="42" t="s">
        <v>356</v>
      </c>
      <c r="G362" s="41" t="s">
        <v>1032</v>
      </c>
      <c r="H362" s="41" t="s">
        <v>1032</v>
      </c>
      <c r="I362" s="41"/>
      <c r="J362" s="44" t="s">
        <v>18</v>
      </c>
      <c r="K362" s="47">
        <v>1</v>
      </c>
      <c r="L362" s="44" t="s">
        <v>18</v>
      </c>
      <c r="M362" s="44" t="s">
        <v>18</v>
      </c>
      <c r="N362" s="44" t="s">
        <v>18</v>
      </c>
      <c r="O362" s="44" t="s">
        <v>502</v>
      </c>
      <c r="P362" s="44" t="s">
        <v>475</v>
      </c>
      <c r="Q362" s="44" t="s">
        <v>569</v>
      </c>
      <c r="S362" s="44"/>
      <c r="T362" s="44" t="s">
        <v>18</v>
      </c>
      <c r="U362" s="44" t="s">
        <v>18</v>
      </c>
    </row>
    <row r="363" spans="2:23">
      <c r="B363" s="75" t="str">
        <f>IF(tbl_Instruement_List[[#This Row],[Tag_New]]="",tbl_Instruement_List[[#This Row],[Tag]],tbl_Instruement_List[[#This Row],[Tag_New]])</f>
        <v>XA-61301C</v>
      </c>
      <c r="C363" s="75"/>
      <c r="D363" s="41" t="s">
        <v>1033</v>
      </c>
      <c r="E363" s="41"/>
      <c r="F363" s="42" t="s">
        <v>356</v>
      </c>
      <c r="G363" s="41" t="s">
        <v>1034</v>
      </c>
      <c r="H363" s="41" t="s">
        <v>1034</v>
      </c>
      <c r="I363" s="41"/>
      <c r="J363" s="44" t="s">
        <v>18</v>
      </c>
      <c r="K363" s="47">
        <v>1</v>
      </c>
      <c r="L363" s="44" t="s">
        <v>18</v>
      </c>
      <c r="M363" s="44" t="s">
        <v>18</v>
      </c>
      <c r="N363" s="44" t="s">
        <v>18</v>
      </c>
      <c r="O363" s="44" t="s">
        <v>502</v>
      </c>
      <c r="P363" s="44" t="s">
        <v>475</v>
      </c>
      <c r="Q363" s="44" t="s">
        <v>569</v>
      </c>
      <c r="S363" s="44"/>
      <c r="T363" s="44" t="s">
        <v>18</v>
      </c>
      <c r="U363" s="44" t="s">
        <v>18</v>
      </c>
    </row>
    <row r="364" spans="2:23">
      <c r="B364" s="75" t="str">
        <f>IF(tbl_Instruement_List[[#This Row],[Tag_New]]="",tbl_Instruement_List[[#This Row],[Tag]],tbl_Instruement_List[[#This Row],[Tag_New]])</f>
        <v>XA-61301D</v>
      </c>
      <c r="C364" s="75"/>
      <c r="D364" s="41" t="s">
        <v>1035</v>
      </c>
      <c r="E364" s="41"/>
      <c r="F364" s="42" t="s">
        <v>356</v>
      </c>
      <c r="G364" s="41" t="s">
        <v>1036</v>
      </c>
      <c r="H364" s="41" t="s">
        <v>1036</v>
      </c>
      <c r="I364" s="41"/>
      <c r="J364" s="44" t="s">
        <v>18</v>
      </c>
      <c r="K364" s="47">
        <v>1</v>
      </c>
      <c r="L364" s="44" t="s">
        <v>18</v>
      </c>
      <c r="M364" s="44" t="s">
        <v>18</v>
      </c>
      <c r="N364" s="44" t="s">
        <v>18</v>
      </c>
      <c r="O364" s="44" t="s">
        <v>502</v>
      </c>
      <c r="P364" s="44" t="s">
        <v>475</v>
      </c>
      <c r="Q364" s="44" t="s">
        <v>569</v>
      </c>
      <c r="S364" s="44"/>
      <c r="T364" s="44" t="s">
        <v>18</v>
      </c>
      <c r="U364" s="44" t="s">
        <v>18</v>
      </c>
    </row>
    <row r="365" spans="2:23">
      <c r="B365" s="75" t="str">
        <f>IF(tbl_Instruement_List[[#This Row],[Tag_New]]="",tbl_Instruement_List[[#This Row],[Tag]],tbl_Instruement_List[[#This Row],[Tag_New]])</f>
        <v>XA-61301E</v>
      </c>
      <c r="C365" s="75"/>
      <c r="D365" s="41" t="s">
        <v>1037</v>
      </c>
      <c r="E365" s="41"/>
      <c r="F365" s="42" t="s">
        <v>356</v>
      </c>
      <c r="G365" s="41" t="s">
        <v>1038</v>
      </c>
      <c r="H365" s="41" t="s">
        <v>1038</v>
      </c>
      <c r="I365" s="41"/>
      <c r="J365" s="44" t="s">
        <v>18</v>
      </c>
      <c r="K365" s="47">
        <v>1</v>
      </c>
      <c r="L365" s="44" t="s">
        <v>18</v>
      </c>
      <c r="M365" s="44" t="s">
        <v>18</v>
      </c>
      <c r="N365" s="44" t="s">
        <v>18</v>
      </c>
      <c r="O365" s="44" t="s">
        <v>502</v>
      </c>
      <c r="P365" s="44" t="s">
        <v>475</v>
      </c>
      <c r="Q365" s="44" t="s">
        <v>569</v>
      </c>
      <c r="S365" s="44"/>
      <c r="T365" s="44" t="s">
        <v>18</v>
      </c>
      <c r="U365" s="44" t="s">
        <v>18</v>
      </c>
    </row>
    <row r="366" spans="2:23">
      <c r="B366" s="75" t="str">
        <f>IF(tbl_Instruement_List[[#This Row],[Tag_New]]="",tbl_Instruement_List[[#This Row],[Tag]],tbl_Instruement_List[[#This Row],[Tag_New]])</f>
        <v>XA-61301F</v>
      </c>
      <c r="C366" s="75"/>
      <c r="D366" s="41" t="s">
        <v>1039</v>
      </c>
      <c r="E366" s="41"/>
      <c r="F366" s="42" t="s">
        <v>356</v>
      </c>
      <c r="G366" s="41" t="s">
        <v>1040</v>
      </c>
      <c r="H366" s="41" t="s">
        <v>1040</v>
      </c>
      <c r="I366" s="41"/>
      <c r="J366" s="44" t="s">
        <v>18</v>
      </c>
      <c r="K366" s="47">
        <v>1</v>
      </c>
      <c r="L366" s="44" t="s">
        <v>18</v>
      </c>
      <c r="M366" s="44" t="s">
        <v>18</v>
      </c>
      <c r="N366" s="44" t="s">
        <v>18</v>
      </c>
      <c r="O366" s="44" t="s">
        <v>502</v>
      </c>
      <c r="P366" s="44" t="s">
        <v>475</v>
      </c>
      <c r="Q366" s="44" t="s">
        <v>569</v>
      </c>
      <c r="S366" s="44"/>
      <c r="T366" s="44" t="s">
        <v>18</v>
      </c>
      <c r="U366" s="44" t="s">
        <v>18</v>
      </c>
    </row>
    <row r="367" spans="2:23">
      <c r="B367" s="75" t="str">
        <f>IF(tbl_Instruement_List[[#This Row],[Tag_New]]="",tbl_Instruement_List[[#This Row],[Tag]],tbl_Instruement_List[[#This Row],[Tag_New]])</f>
        <v>XA-61301G</v>
      </c>
      <c r="C367" s="75"/>
      <c r="D367" s="41" t="s">
        <v>1041</v>
      </c>
      <c r="E367" s="41"/>
      <c r="F367" s="42" t="s">
        <v>356</v>
      </c>
      <c r="G367" s="41" t="s">
        <v>1042</v>
      </c>
      <c r="H367" s="41" t="s">
        <v>1042</v>
      </c>
      <c r="I367" s="41"/>
      <c r="J367" s="44" t="s">
        <v>18</v>
      </c>
      <c r="K367" s="47">
        <v>1</v>
      </c>
      <c r="L367" s="44" t="s">
        <v>18</v>
      </c>
      <c r="M367" s="44" t="s">
        <v>18</v>
      </c>
      <c r="N367" s="44" t="s">
        <v>18</v>
      </c>
      <c r="O367" s="44" t="s">
        <v>502</v>
      </c>
      <c r="P367" s="44" t="s">
        <v>475</v>
      </c>
      <c r="Q367" s="44" t="s">
        <v>569</v>
      </c>
      <c r="S367" s="44"/>
      <c r="T367" s="44" t="s">
        <v>18</v>
      </c>
      <c r="U367" s="44" t="s">
        <v>18</v>
      </c>
    </row>
    <row r="368" spans="2:23">
      <c r="B368" s="75" t="str">
        <f>IF(tbl_Instruement_List[[#This Row],[Tag_New]]="",tbl_Instruement_List[[#This Row],[Tag]],tbl_Instruement_List[[#This Row],[Tag_New]])</f>
        <v>XA-61301H</v>
      </c>
      <c r="C368" s="75"/>
      <c r="D368" s="41" t="s">
        <v>1043</v>
      </c>
      <c r="E368" s="41"/>
      <c r="F368" s="42" t="s">
        <v>356</v>
      </c>
      <c r="G368" s="41" t="s">
        <v>1044</v>
      </c>
      <c r="H368" s="41" t="s">
        <v>1044</v>
      </c>
      <c r="I368" s="41"/>
      <c r="J368" s="44" t="s">
        <v>18</v>
      </c>
      <c r="K368" s="47">
        <v>1</v>
      </c>
      <c r="L368" s="44" t="s">
        <v>18</v>
      </c>
      <c r="M368" s="44" t="s">
        <v>18</v>
      </c>
      <c r="N368" s="44" t="s">
        <v>18</v>
      </c>
      <c r="O368" s="44" t="s">
        <v>502</v>
      </c>
      <c r="P368" s="44" t="s">
        <v>475</v>
      </c>
      <c r="Q368" s="44" t="s">
        <v>569</v>
      </c>
      <c r="S368" s="44"/>
      <c r="T368" s="44" t="s">
        <v>18</v>
      </c>
      <c r="U368" s="44" t="s">
        <v>18</v>
      </c>
    </row>
    <row r="369" spans="2:23">
      <c r="B369" s="75" t="str">
        <f>IF(tbl_Instruement_List[[#This Row],[Tag_New]]="",tbl_Instruement_List[[#This Row],[Tag]],tbl_Instruement_List[[#This Row],[Tag_New]])</f>
        <v>XA-61301J</v>
      </c>
      <c r="C369" s="75"/>
      <c r="D369" s="41" t="s">
        <v>1045</v>
      </c>
      <c r="E369" s="41"/>
      <c r="F369" s="42" t="s">
        <v>356</v>
      </c>
      <c r="G369" s="41" t="s">
        <v>1046</v>
      </c>
      <c r="H369" s="41" t="s">
        <v>1046</v>
      </c>
      <c r="I369" s="41"/>
      <c r="J369" s="44" t="s">
        <v>18</v>
      </c>
      <c r="K369" s="47">
        <v>1</v>
      </c>
      <c r="L369" s="44" t="s">
        <v>18</v>
      </c>
      <c r="M369" s="44" t="s">
        <v>18</v>
      </c>
      <c r="N369" s="44" t="s">
        <v>18</v>
      </c>
      <c r="O369" s="44" t="s">
        <v>502</v>
      </c>
      <c r="P369" s="44" t="s">
        <v>475</v>
      </c>
      <c r="Q369" s="44" t="s">
        <v>569</v>
      </c>
      <c r="S369" s="44"/>
      <c r="T369" s="44" t="s">
        <v>18</v>
      </c>
      <c r="U369" s="44" t="s">
        <v>18</v>
      </c>
    </row>
    <row r="370" spans="2:23">
      <c r="B370" s="75" t="str">
        <f>IF(tbl_Instruement_List[[#This Row],[Tag_New]]="",tbl_Instruement_List[[#This Row],[Tag]],tbl_Instruement_List[[#This Row],[Tag_New]])</f>
        <v>XS-61301A</v>
      </c>
      <c r="C370" s="75"/>
      <c r="D370" s="41" t="s">
        <v>1047</v>
      </c>
      <c r="E370" s="41"/>
      <c r="F370" s="42" t="s">
        <v>356</v>
      </c>
      <c r="G370" s="41" t="s">
        <v>1048</v>
      </c>
      <c r="H370" s="41" t="s">
        <v>1048</v>
      </c>
      <c r="I370" s="41"/>
      <c r="J370" s="44">
        <v>1</v>
      </c>
      <c r="K370" s="44" t="s">
        <v>18</v>
      </c>
      <c r="L370" s="44" t="s">
        <v>18</v>
      </c>
      <c r="M370" s="44" t="s">
        <v>18</v>
      </c>
      <c r="N370" s="44" t="s">
        <v>18</v>
      </c>
      <c r="O370" s="44" t="s">
        <v>675</v>
      </c>
      <c r="P370" s="44" t="s">
        <v>475</v>
      </c>
      <c r="Q370" s="44" t="s">
        <v>569</v>
      </c>
      <c r="S370" s="44"/>
      <c r="T370" s="44" t="s">
        <v>18</v>
      </c>
      <c r="U370" s="44" t="s">
        <v>18</v>
      </c>
    </row>
    <row r="371" spans="2:23">
      <c r="B371" s="75" t="str">
        <f>IF(tbl_Instruement_List[[#This Row],[Tag_New]]="",tbl_Instruement_List[[#This Row],[Tag]],tbl_Instruement_List[[#This Row],[Tag_New]])</f>
        <v>XS-61301B</v>
      </c>
      <c r="C371" s="75"/>
      <c r="D371" s="41" t="s">
        <v>1049</v>
      </c>
      <c r="E371" s="41"/>
      <c r="F371" s="42" t="s">
        <v>356</v>
      </c>
      <c r="G371" s="41" t="s">
        <v>1050</v>
      </c>
      <c r="H371" s="41" t="s">
        <v>1050</v>
      </c>
      <c r="I371" s="41"/>
      <c r="J371" s="44">
        <v>1</v>
      </c>
      <c r="K371" s="44" t="s">
        <v>18</v>
      </c>
      <c r="L371" s="44" t="s">
        <v>18</v>
      </c>
      <c r="M371" s="44" t="s">
        <v>18</v>
      </c>
      <c r="N371" s="44" t="s">
        <v>18</v>
      </c>
      <c r="O371" s="44" t="s">
        <v>675</v>
      </c>
      <c r="P371" s="44" t="s">
        <v>475</v>
      </c>
      <c r="Q371" s="44" t="s">
        <v>569</v>
      </c>
      <c r="S371" s="44"/>
      <c r="T371" s="44" t="s">
        <v>18</v>
      </c>
      <c r="U371" s="44" t="s">
        <v>18</v>
      </c>
    </row>
    <row r="372" spans="2:23">
      <c r="B372" s="75" t="str">
        <f>IF(tbl_Instruement_List[[#This Row],[Tag_New]]="",tbl_Instruement_List[[#This Row],[Tag]],tbl_Instruement_List[[#This Row],[Tag_New]])</f>
        <v>XS-61301C</v>
      </c>
      <c r="C372" s="75"/>
      <c r="D372" s="41" t="s">
        <v>1051</v>
      </c>
      <c r="E372" s="41"/>
      <c r="F372" s="42" t="s">
        <v>356</v>
      </c>
      <c r="G372" s="41" t="s">
        <v>1052</v>
      </c>
      <c r="H372" s="41" t="s">
        <v>1052</v>
      </c>
      <c r="I372" s="41"/>
      <c r="J372" s="44">
        <v>1</v>
      </c>
      <c r="K372" s="44" t="s">
        <v>18</v>
      </c>
      <c r="L372" s="44" t="s">
        <v>18</v>
      </c>
      <c r="M372" s="44" t="s">
        <v>18</v>
      </c>
      <c r="N372" s="44" t="s">
        <v>18</v>
      </c>
      <c r="O372" s="44" t="s">
        <v>675</v>
      </c>
      <c r="P372" s="44" t="s">
        <v>475</v>
      </c>
      <c r="Q372" s="44" t="s">
        <v>569</v>
      </c>
      <c r="S372" s="44"/>
      <c r="T372" s="44" t="s">
        <v>18</v>
      </c>
      <c r="U372" s="44" t="s">
        <v>18</v>
      </c>
    </row>
    <row r="373" spans="2:23">
      <c r="B373" s="75" t="str">
        <f>IF(tbl_Instruement_List[[#This Row],[Tag_New]]="",tbl_Instruement_List[[#This Row],[Tag]],tbl_Instruement_List[[#This Row],[Tag_New]])</f>
        <v>XS-61301D</v>
      </c>
      <c r="C373" s="75"/>
      <c r="D373" s="41" t="s">
        <v>1053</v>
      </c>
      <c r="E373" s="41"/>
      <c r="F373" s="42" t="s">
        <v>356</v>
      </c>
      <c r="G373" s="41" t="s">
        <v>1054</v>
      </c>
      <c r="H373" s="41" t="s">
        <v>1054</v>
      </c>
      <c r="I373" s="41"/>
      <c r="J373" s="44">
        <v>1</v>
      </c>
      <c r="K373" s="44" t="s">
        <v>18</v>
      </c>
      <c r="L373" s="44" t="s">
        <v>18</v>
      </c>
      <c r="M373" s="44" t="s">
        <v>18</v>
      </c>
      <c r="N373" s="44" t="s">
        <v>18</v>
      </c>
      <c r="O373" s="44" t="s">
        <v>675</v>
      </c>
      <c r="P373" s="44" t="s">
        <v>475</v>
      </c>
      <c r="Q373" s="44" t="s">
        <v>569</v>
      </c>
      <c r="S373" s="44"/>
      <c r="T373" s="44" t="s">
        <v>18</v>
      </c>
      <c r="U373" s="44" t="s">
        <v>18</v>
      </c>
    </row>
    <row r="374" spans="2:23">
      <c r="B374" s="75" t="str">
        <f>IF(tbl_Instruement_List[[#This Row],[Tag_New]]="",tbl_Instruement_List[[#This Row],[Tag]],tbl_Instruement_List[[#This Row],[Tag_New]])</f>
        <v>XS-61301E</v>
      </c>
      <c r="C374" s="75"/>
      <c r="D374" s="41" t="s">
        <v>1055</v>
      </c>
      <c r="E374" s="41"/>
      <c r="F374" s="42" t="s">
        <v>356</v>
      </c>
      <c r="G374" s="41" t="s">
        <v>1056</v>
      </c>
      <c r="H374" s="41" t="s">
        <v>1056</v>
      </c>
      <c r="I374" s="41"/>
      <c r="J374" s="44">
        <v>1</v>
      </c>
      <c r="K374" s="44" t="s">
        <v>18</v>
      </c>
      <c r="L374" s="44" t="s">
        <v>18</v>
      </c>
      <c r="M374" s="44" t="s">
        <v>18</v>
      </c>
      <c r="N374" s="44" t="s">
        <v>18</v>
      </c>
      <c r="O374" s="44" t="s">
        <v>675</v>
      </c>
      <c r="P374" s="44" t="s">
        <v>475</v>
      </c>
      <c r="Q374" s="44" t="s">
        <v>569</v>
      </c>
      <c r="S374" s="44"/>
      <c r="T374" s="44" t="s">
        <v>18</v>
      </c>
      <c r="U374" s="44" t="s">
        <v>18</v>
      </c>
    </row>
    <row r="375" spans="2:23">
      <c r="B375" s="75" t="str">
        <f>IF(tbl_Instruement_List[[#This Row],[Tag_New]]="",tbl_Instruement_List[[#This Row],[Tag]],tbl_Instruement_List[[#This Row],[Tag_New]])</f>
        <v>XS-61301F</v>
      </c>
      <c r="C375" s="75"/>
      <c r="D375" s="41" t="s">
        <v>1057</v>
      </c>
      <c r="E375" s="41"/>
      <c r="F375" s="42" t="s">
        <v>356</v>
      </c>
      <c r="G375" s="41" t="s">
        <v>1058</v>
      </c>
      <c r="H375" s="41" t="s">
        <v>1058</v>
      </c>
      <c r="I375" s="41"/>
      <c r="J375" s="44">
        <v>1</v>
      </c>
      <c r="K375" s="44" t="s">
        <v>18</v>
      </c>
      <c r="L375" s="44" t="s">
        <v>18</v>
      </c>
      <c r="M375" s="44" t="s">
        <v>18</v>
      </c>
      <c r="N375" s="44" t="s">
        <v>18</v>
      </c>
      <c r="O375" s="44" t="s">
        <v>675</v>
      </c>
      <c r="P375" s="44" t="s">
        <v>475</v>
      </c>
      <c r="Q375" s="44" t="s">
        <v>569</v>
      </c>
      <c r="S375" s="44"/>
      <c r="T375" s="44" t="s">
        <v>18</v>
      </c>
      <c r="U375" s="44" t="s">
        <v>18</v>
      </c>
    </row>
    <row r="376" spans="2:23">
      <c r="B376" s="75">
        <f>IF(tbl_Instruement_List[[#This Row],[Tag_New]]="",tbl_Instruement_List[[#This Row],[Tag]],tbl_Instruement_List[[#This Row],[Tag_New]])</f>
        <v>0</v>
      </c>
      <c r="C376" s="75"/>
      <c r="D376" s="41"/>
      <c r="E376" s="41"/>
      <c r="F376" s="42" t="s">
        <v>356</v>
      </c>
      <c r="G376" s="41" t="s">
        <v>1059</v>
      </c>
      <c r="H376" s="41"/>
      <c r="I376" s="41"/>
      <c r="J376" s="44" t="s">
        <v>18</v>
      </c>
      <c r="K376" s="47">
        <v>1</v>
      </c>
      <c r="L376" s="44" t="s">
        <v>18</v>
      </c>
      <c r="M376" s="44" t="s">
        <v>18</v>
      </c>
      <c r="N376" s="44" t="s">
        <v>18</v>
      </c>
      <c r="O376" s="44" t="s">
        <v>502</v>
      </c>
      <c r="P376" s="44" t="s">
        <v>475</v>
      </c>
      <c r="Q376" s="44" t="s">
        <v>569</v>
      </c>
      <c r="S376" s="44"/>
      <c r="T376" s="44" t="s">
        <v>18</v>
      </c>
      <c r="U376" s="44" t="s">
        <v>18</v>
      </c>
    </row>
    <row r="377" spans="2:23">
      <c r="B377" s="75">
        <f>IF(tbl_Instruement_List[[#This Row],[Tag_New]]="",tbl_Instruement_List[[#This Row],[Tag]],tbl_Instruement_List[[#This Row],[Tag_New]])</f>
        <v>0</v>
      </c>
      <c r="C377" s="75"/>
      <c r="D377" s="41"/>
      <c r="E377" s="41"/>
      <c r="F377" s="42" t="s">
        <v>356</v>
      </c>
      <c r="G377" s="41" t="s">
        <v>1059</v>
      </c>
      <c r="H377" s="41"/>
      <c r="I377" s="41"/>
      <c r="J377" s="44">
        <v>1</v>
      </c>
      <c r="K377" s="44" t="s">
        <v>18</v>
      </c>
      <c r="L377" s="44" t="s">
        <v>18</v>
      </c>
      <c r="M377" s="44" t="s">
        <v>18</v>
      </c>
      <c r="N377" s="44" t="s">
        <v>18</v>
      </c>
      <c r="O377" s="44" t="s">
        <v>675</v>
      </c>
      <c r="P377" s="44" t="s">
        <v>475</v>
      </c>
      <c r="Q377" s="44" t="s">
        <v>569</v>
      </c>
      <c r="S377" s="44"/>
      <c r="T377" s="44" t="s">
        <v>18</v>
      </c>
      <c r="U377" s="44" t="s">
        <v>18</v>
      </c>
    </row>
    <row r="378" spans="2:23">
      <c r="B378" s="75">
        <f>IF(tbl_Instruement_List[[#This Row],[Tag_New]]="",tbl_Instruement_List[[#This Row],[Tag]],tbl_Instruement_List[[#This Row],[Tag_New]])</f>
        <v>0</v>
      </c>
      <c r="C378" s="75"/>
      <c r="D378" s="41"/>
      <c r="E378" s="41"/>
      <c r="F378" s="42" t="s">
        <v>356</v>
      </c>
      <c r="G378" s="41" t="s">
        <v>1059</v>
      </c>
      <c r="H378" s="41"/>
      <c r="I378" s="41"/>
      <c r="J378" s="44">
        <v>1</v>
      </c>
      <c r="K378" s="44" t="s">
        <v>18</v>
      </c>
      <c r="L378" s="44" t="s">
        <v>18</v>
      </c>
      <c r="M378" s="44" t="s">
        <v>18</v>
      </c>
      <c r="N378" s="44" t="s">
        <v>18</v>
      </c>
      <c r="O378" s="44" t="s">
        <v>675</v>
      </c>
      <c r="P378" s="44" t="s">
        <v>475</v>
      </c>
      <c r="Q378" s="44" t="s">
        <v>569</v>
      </c>
      <c r="S378" s="44"/>
      <c r="T378" s="44" t="s">
        <v>18</v>
      </c>
      <c r="U378" s="44" t="s">
        <v>18</v>
      </c>
    </row>
    <row r="379" spans="2:23">
      <c r="B379" s="75">
        <f>IF(tbl_Instruement_List[[#This Row],[Tag_New]]="",tbl_Instruement_List[[#This Row],[Tag]],tbl_Instruement_List[[#This Row],[Tag_New]])</f>
        <v>0</v>
      </c>
      <c r="C379" s="75"/>
      <c r="D379" s="41"/>
      <c r="E379" s="41"/>
      <c r="F379" s="42" t="s">
        <v>356</v>
      </c>
      <c r="G379" s="41" t="s">
        <v>1060</v>
      </c>
      <c r="H379" s="41"/>
      <c r="I379" s="41"/>
      <c r="J379" s="44" t="s">
        <v>18</v>
      </c>
      <c r="K379" s="44" t="s">
        <v>18</v>
      </c>
      <c r="L379" s="44" t="s">
        <v>18</v>
      </c>
      <c r="M379" s="44" t="s">
        <v>18</v>
      </c>
      <c r="N379" s="44">
        <v>1</v>
      </c>
      <c r="O379" s="44" t="s">
        <v>675</v>
      </c>
      <c r="P379" s="44" t="s">
        <v>475</v>
      </c>
      <c r="Q379" s="44" t="s">
        <v>569</v>
      </c>
      <c r="S379" s="44"/>
      <c r="T379" s="44" t="s">
        <v>18</v>
      </c>
      <c r="U379" s="44" t="s">
        <v>18</v>
      </c>
    </row>
    <row r="380" spans="2:23">
      <c r="B380" s="75" t="str">
        <f>IF(tbl_Instruement_List[[#This Row],[Tag_New]]="",tbl_Instruement_List[[#This Row],[Tag]],tbl_Instruement_List[[#This Row],[Tag_New]])</f>
        <v>BGHS-21 Filter Control Panel</v>
      </c>
      <c r="C380" s="75"/>
      <c r="D380" s="41" t="s">
        <v>1061</v>
      </c>
      <c r="E380" s="41"/>
      <c r="F380" s="42"/>
      <c r="G380" s="42"/>
      <c r="H380" s="42"/>
      <c r="I380" s="42"/>
      <c r="J380" s="42"/>
      <c r="K380" s="42"/>
      <c r="L380" s="42"/>
      <c r="M380" s="42"/>
      <c r="N380" s="42"/>
      <c r="O380" s="42"/>
      <c r="P380" s="42"/>
      <c r="Q380" s="42"/>
      <c r="R380" s="42"/>
      <c r="S380" s="42"/>
      <c r="T380" s="42"/>
      <c r="U380" s="42"/>
      <c r="V380" s="63"/>
      <c r="W380" s="63"/>
    </row>
    <row r="381" spans="2:23">
      <c r="B381" s="75" t="str">
        <f>IF(tbl_Instruement_List[[#This Row],[Tag_New]]="",tbl_Instruement_List[[#This Row],[Tag]],tbl_Instruement_List[[#This Row],[Tag_New]])</f>
        <v>XS-60240A</v>
      </c>
      <c r="C381" s="75"/>
      <c r="D381" s="41" t="s">
        <v>1062</v>
      </c>
      <c r="E381" s="41"/>
      <c r="F381" s="42" t="s">
        <v>472</v>
      </c>
      <c r="G381" s="41" t="s">
        <v>1063</v>
      </c>
      <c r="H381" s="41"/>
      <c r="I381" s="41"/>
      <c r="J381" s="44">
        <v>1</v>
      </c>
      <c r="K381" s="44" t="s">
        <v>18</v>
      </c>
      <c r="L381" s="44" t="s">
        <v>18</v>
      </c>
      <c r="M381" s="44" t="s">
        <v>18</v>
      </c>
      <c r="N381" s="44" t="s">
        <v>18</v>
      </c>
      <c r="O381" s="44" t="s">
        <v>502</v>
      </c>
      <c r="P381" s="44" t="s">
        <v>475</v>
      </c>
      <c r="Q381" s="44" t="s">
        <v>569</v>
      </c>
      <c r="S381" s="44" t="s">
        <v>1030</v>
      </c>
      <c r="T381" s="44" t="s">
        <v>18</v>
      </c>
      <c r="U381" s="44" t="s">
        <v>18</v>
      </c>
    </row>
    <row r="382" spans="2:23">
      <c r="B382" s="75" t="str">
        <f>IF(tbl_Instruement_List[[#This Row],[Tag_New]]="",tbl_Instruement_List[[#This Row],[Tag]],tbl_Instruement_List[[#This Row],[Tag_New]])</f>
        <v>XS-60240B</v>
      </c>
      <c r="C382" s="75"/>
      <c r="D382" s="41" t="s">
        <v>1064</v>
      </c>
      <c r="E382" s="41"/>
      <c r="F382" s="42" t="s">
        <v>472</v>
      </c>
      <c r="G382" s="41" t="s">
        <v>1065</v>
      </c>
      <c r="H382" s="41"/>
      <c r="I382" s="41"/>
      <c r="J382" s="44">
        <v>1</v>
      </c>
      <c r="K382" s="44" t="s">
        <v>18</v>
      </c>
      <c r="L382" s="44" t="s">
        <v>18</v>
      </c>
      <c r="M382" s="44" t="s">
        <v>18</v>
      </c>
      <c r="N382" s="44" t="s">
        <v>18</v>
      </c>
      <c r="O382" s="44" t="s">
        <v>502</v>
      </c>
      <c r="P382" s="44" t="s">
        <v>475</v>
      </c>
      <c r="Q382" s="44" t="s">
        <v>569</v>
      </c>
      <c r="S382" s="44"/>
      <c r="T382" s="44" t="s">
        <v>18</v>
      </c>
      <c r="U382" s="44" t="s">
        <v>18</v>
      </c>
    </row>
    <row r="383" spans="2:23">
      <c r="B383" s="75" t="str">
        <f>IF(tbl_Instruement_List[[#This Row],[Tag_New]]="",tbl_Instruement_List[[#This Row],[Tag]],tbl_Instruement_List[[#This Row],[Tag_New]])</f>
        <v>XA-60240A</v>
      </c>
      <c r="C383" s="75"/>
      <c r="D383" s="41" t="s">
        <v>1066</v>
      </c>
      <c r="E383" s="41"/>
      <c r="F383" s="42" t="s">
        <v>472</v>
      </c>
      <c r="G383" s="41" t="s">
        <v>1067</v>
      </c>
      <c r="H383" s="41"/>
      <c r="I383" s="41"/>
      <c r="J383" s="44" t="s">
        <v>18</v>
      </c>
      <c r="K383" s="44">
        <v>1</v>
      </c>
      <c r="L383" s="44" t="s">
        <v>18</v>
      </c>
      <c r="M383" s="44" t="s">
        <v>18</v>
      </c>
      <c r="N383" s="44" t="s">
        <v>18</v>
      </c>
      <c r="O383" s="44" t="s">
        <v>502</v>
      </c>
      <c r="P383" s="44" t="s">
        <v>475</v>
      </c>
      <c r="Q383" s="44" t="s">
        <v>569</v>
      </c>
      <c r="S383" s="44"/>
      <c r="T383" s="44" t="s">
        <v>18</v>
      </c>
      <c r="U383" s="44" t="s">
        <v>18</v>
      </c>
    </row>
    <row r="384" spans="2:23">
      <c r="B384" s="75" t="str">
        <f>IF(tbl_Instruement_List[[#This Row],[Tag_New]]="",tbl_Instruement_List[[#This Row],[Tag]],tbl_Instruement_List[[#This Row],[Tag_New]])</f>
        <v>XA-60240B</v>
      </c>
      <c r="C384" s="75"/>
      <c r="D384" s="41" t="s">
        <v>1068</v>
      </c>
      <c r="E384" s="41"/>
      <c r="F384" s="42" t="s">
        <v>472</v>
      </c>
      <c r="G384" s="41" t="s">
        <v>1069</v>
      </c>
      <c r="H384" s="41"/>
      <c r="I384" s="41"/>
      <c r="J384" s="44" t="s">
        <v>18</v>
      </c>
      <c r="K384" s="44">
        <v>1</v>
      </c>
      <c r="L384" s="44" t="s">
        <v>18</v>
      </c>
      <c r="M384" s="44" t="s">
        <v>18</v>
      </c>
      <c r="N384" s="44" t="s">
        <v>18</v>
      </c>
      <c r="O384" s="44" t="s">
        <v>502</v>
      </c>
      <c r="P384" s="44" t="s">
        <v>475</v>
      </c>
      <c r="Q384" s="44" t="s">
        <v>569</v>
      </c>
      <c r="S384" s="44"/>
      <c r="T384" s="44" t="s">
        <v>18</v>
      </c>
      <c r="U384" s="44" t="s">
        <v>18</v>
      </c>
    </row>
    <row r="385" spans="2:23">
      <c r="B385" s="75" t="str">
        <f>IF(tbl_Instruement_List[[#This Row],[Tag_New]]="",tbl_Instruement_List[[#This Row],[Tag]],tbl_Instruement_List[[#This Row],[Tag_New]])</f>
        <v>DPI-60240</v>
      </c>
      <c r="C385" s="75"/>
      <c r="D385" s="41" t="s">
        <v>1070</v>
      </c>
      <c r="E385" s="41"/>
      <c r="F385" s="42" t="s">
        <v>472</v>
      </c>
      <c r="G385" s="41" t="s">
        <v>1071</v>
      </c>
      <c r="H385" s="41"/>
      <c r="I385" s="41"/>
      <c r="J385" s="44" t="s">
        <v>18</v>
      </c>
      <c r="K385" s="44" t="s">
        <v>18</v>
      </c>
      <c r="L385" s="44" t="s">
        <v>18</v>
      </c>
      <c r="M385" s="44">
        <v>1</v>
      </c>
      <c r="N385" s="44" t="s">
        <v>18</v>
      </c>
      <c r="O385" s="44" t="s">
        <v>474</v>
      </c>
      <c r="P385" s="44" t="s">
        <v>475</v>
      </c>
      <c r="Q385" s="44"/>
      <c r="S385" s="44"/>
      <c r="T385" s="44" t="s">
        <v>18</v>
      </c>
      <c r="U385" s="44" t="s">
        <v>18</v>
      </c>
    </row>
    <row r="386" spans="2:23">
      <c r="B386" s="75" t="str">
        <f>IF(tbl_Instruement_List[[#This Row],[Tag_New]]="",tbl_Instruement_List[[#This Row],[Tag]],tbl_Instruement_List[[#This Row],[Tag_New]])</f>
        <v>HTRE-21 Heater Control Panel (TRACING)</v>
      </c>
      <c r="C386" s="75"/>
      <c r="D386" s="41" t="s">
        <v>1072</v>
      </c>
      <c r="E386" s="41"/>
      <c r="F386" s="42"/>
      <c r="G386" s="42"/>
      <c r="H386" s="42"/>
      <c r="I386" s="42"/>
      <c r="J386" s="42"/>
      <c r="K386" s="42"/>
      <c r="L386" s="42"/>
      <c r="M386" s="42"/>
      <c r="N386" s="42"/>
      <c r="O386" s="42"/>
      <c r="P386" s="42"/>
      <c r="Q386" s="42"/>
      <c r="R386" s="42"/>
      <c r="S386" s="42"/>
      <c r="T386" s="42"/>
      <c r="U386" s="42"/>
      <c r="V386" s="63"/>
      <c r="W386" s="63"/>
    </row>
    <row r="387" spans="2:23">
      <c r="B387" s="75" t="str">
        <f>IF(tbl_Instruement_List[[#This Row],[Tag_New]]="",tbl_Instruement_List[[#This Row],[Tag]],tbl_Instruement_List[[#This Row],[Tag_New]])</f>
        <v>XS-60241A</v>
      </c>
      <c r="C387" s="75"/>
      <c r="D387" s="41" t="s">
        <v>1073</v>
      </c>
      <c r="E387" s="41"/>
      <c r="F387" s="42" t="s">
        <v>472</v>
      </c>
      <c r="G387" s="41" t="s">
        <v>1074</v>
      </c>
      <c r="H387" s="41"/>
      <c r="I387" s="41"/>
      <c r="J387" s="44">
        <v>1</v>
      </c>
      <c r="K387" s="44" t="s">
        <v>18</v>
      </c>
      <c r="L387" s="44" t="s">
        <v>18</v>
      </c>
      <c r="M387" s="44" t="s">
        <v>18</v>
      </c>
      <c r="N387" s="44" t="s">
        <v>18</v>
      </c>
      <c r="O387" s="44" t="s">
        <v>502</v>
      </c>
      <c r="P387" s="44" t="s">
        <v>475</v>
      </c>
      <c r="Q387" s="44" t="s">
        <v>569</v>
      </c>
      <c r="S387" s="44" t="s">
        <v>1030</v>
      </c>
      <c r="T387" s="44" t="s">
        <v>18</v>
      </c>
      <c r="U387" s="44" t="s">
        <v>18</v>
      </c>
    </row>
    <row r="388" spans="2:23">
      <c r="B388" s="75" t="str">
        <f>IF(tbl_Instruement_List[[#This Row],[Tag_New]]="",tbl_Instruement_List[[#This Row],[Tag]],tbl_Instruement_List[[#This Row],[Tag_New]])</f>
        <v>XA-60241A</v>
      </c>
      <c r="C388" s="75"/>
      <c r="D388" s="41" t="s">
        <v>1075</v>
      </c>
      <c r="E388" s="41"/>
      <c r="F388" s="42" t="s">
        <v>472</v>
      </c>
      <c r="G388" s="41" t="s">
        <v>1067</v>
      </c>
      <c r="H388" s="41"/>
      <c r="I388" s="41"/>
      <c r="J388" s="44" t="s">
        <v>18</v>
      </c>
      <c r="K388" s="44">
        <v>1</v>
      </c>
      <c r="L388" s="44" t="s">
        <v>18</v>
      </c>
      <c r="M388" s="44" t="s">
        <v>18</v>
      </c>
      <c r="N388" s="44" t="s">
        <v>18</v>
      </c>
      <c r="O388" s="44" t="s">
        <v>502</v>
      </c>
      <c r="P388" s="44" t="s">
        <v>475</v>
      </c>
      <c r="Q388" s="44" t="s">
        <v>569</v>
      </c>
      <c r="S388" s="44"/>
      <c r="T388" s="44" t="s">
        <v>18</v>
      </c>
      <c r="U388" s="44" t="s">
        <v>18</v>
      </c>
    </row>
    <row r="389" spans="2:23">
      <c r="B389" s="75" t="str">
        <f>IF(tbl_Instruement_List[[#This Row],[Tag_New]]="",tbl_Instruement_List[[#This Row],[Tag]],tbl_Instruement_List[[#This Row],[Tag_New]])</f>
        <v>XA-60241B</v>
      </c>
      <c r="C389" s="75"/>
      <c r="D389" s="41" t="s">
        <v>1076</v>
      </c>
      <c r="E389" s="41"/>
      <c r="F389" s="42" t="s">
        <v>472</v>
      </c>
      <c r="G389" s="41" t="s">
        <v>1069</v>
      </c>
      <c r="H389" s="41"/>
      <c r="I389" s="41"/>
      <c r="J389" s="44" t="s">
        <v>18</v>
      </c>
      <c r="K389" s="44">
        <v>1</v>
      </c>
      <c r="L389" s="44" t="s">
        <v>18</v>
      </c>
      <c r="M389" s="44" t="s">
        <v>18</v>
      </c>
      <c r="N389" s="44" t="s">
        <v>18</v>
      </c>
      <c r="O389" s="44" t="s">
        <v>502</v>
      </c>
      <c r="P389" s="44" t="s">
        <v>475</v>
      </c>
      <c r="Q389" s="44" t="s">
        <v>569</v>
      </c>
      <c r="S389" s="44"/>
      <c r="T389" s="44" t="s">
        <v>18</v>
      </c>
      <c r="U389" s="44" t="s">
        <v>18</v>
      </c>
    </row>
    <row r="390" spans="2:23">
      <c r="B390" s="75" t="str">
        <f>IF(tbl_Instruement_List[[#This Row],[Tag_New]]="",tbl_Instruement_List[[#This Row],[Tag]],tbl_Instruement_List[[#This Row],[Tag_New]])</f>
        <v>TSH-60241A</v>
      </c>
      <c r="C390" s="75"/>
      <c r="D390" s="41" t="s">
        <v>258</v>
      </c>
      <c r="E390" s="41"/>
      <c r="F390" s="42" t="s">
        <v>472</v>
      </c>
      <c r="G390" s="41" t="s">
        <v>1077</v>
      </c>
      <c r="H390" s="41" t="s">
        <v>696</v>
      </c>
      <c r="I390" s="41"/>
      <c r="J390" s="59"/>
      <c r="K390" s="57">
        <v>1</v>
      </c>
      <c r="L390" s="42"/>
      <c r="M390" s="42"/>
      <c r="N390" s="44" t="s">
        <v>18</v>
      </c>
      <c r="O390" s="44" t="s">
        <v>502</v>
      </c>
      <c r="P390" s="44" t="s">
        <v>1078</v>
      </c>
      <c r="Q390" s="44" t="s">
        <v>708</v>
      </c>
      <c r="R390" s="60">
        <v>140</v>
      </c>
      <c r="S390" s="44" t="s">
        <v>582</v>
      </c>
      <c r="T390" s="44" t="s">
        <v>564</v>
      </c>
      <c r="U390" s="44" t="s">
        <v>18</v>
      </c>
      <c r="V390" s="44"/>
      <c r="W390" s="44"/>
    </row>
    <row r="391" spans="2:23">
      <c r="B391" s="75" t="str">
        <f>IF(tbl_Instruement_List[[#This Row],[Tag_New]]="",tbl_Instruement_List[[#This Row],[Tag]],tbl_Instruement_List[[#This Row],[Tag_New]])</f>
        <v>TSL-60241B</v>
      </c>
      <c r="C391" s="75"/>
      <c r="D391" s="41" t="s">
        <v>259</v>
      </c>
      <c r="E391" s="41"/>
      <c r="F391" s="42" t="s">
        <v>472</v>
      </c>
      <c r="G391" s="41" t="s">
        <v>1079</v>
      </c>
      <c r="H391" s="41" t="s">
        <v>696</v>
      </c>
      <c r="I391" s="41"/>
      <c r="J391" s="59"/>
      <c r="K391" s="57">
        <v>1</v>
      </c>
      <c r="L391" s="42"/>
      <c r="M391" s="42"/>
      <c r="N391" s="44" t="s">
        <v>18</v>
      </c>
      <c r="O391" s="44" t="s">
        <v>502</v>
      </c>
      <c r="P391" s="44" t="s">
        <v>1078</v>
      </c>
      <c r="Q391" s="44" t="s">
        <v>708</v>
      </c>
      <c r="R391" s="60">
        <v>140</v>
      </c>
      <c r="S391" s="44" t="s">
        <v>582</v>
      </c>
      <c r="T391" s="44" t="s">
        <v>564</v>
      </c>
      <c r="U391" s="44" t="s">
        <v>18</v>
      </c>
      <c r="V391" s="44"/>
      <c r="W391" s="44"/>
    </row>
    <row r="392" spans="2:23">
      <c r="B392" s="75" t="str">
        <f>IF(tbl_Instruement_List[[#This Row],[Tag_New]]="",tbl_Instruement_List[[#This Row],[Tag]],tbl_Instruement_List[[#This Row],[Tag_New]])</f>
        <v>HTRE-22 Heater Control Panel (TRACING)</v>
      </c>
      <c r="C392" s="75"/>
      <c r="D392" s="41" t="s">
        <v>1080</v>
      </c>
      <c r="E392" s="41"/>
      <c r="F392" s="42"/>
      <c r="G392" s="42"/>
      <c r="H392" s="42"/>
      <c r="I392" s="42"/>
      <c r="J392" s="42"/>
      <c r="K392" s="42"/>
      <c r="L392" s="42"/>
      <c r="M392" s="42"/>
      <c r="N392" s="42"/>
      <c r="O392" s="42"/>
      <c r="P392" s="42"/>
      <c r="Q392" s="42"/>
      <c r="R392" s="42"/>
      <c r="S392" s="42"/>
      <c r="T392" s="42"/>
      <c r="U392" s="42"/>
      <c r="V392" s="63"/>
      <c r="W392" s="63"/>
    </row>
    <row r="393" spans="2:23">
      <c r="B393" s="75" t="str">
        <f>IF(tbl_Instruement_List[[#This Row],[Tag_New]]="",tbl_Instruement_List[[#This Row],[Tag]],tbl_Instruement_List[[#This Row],[Tag_New]])</f>
        <v>XS-60242A</v>
      </c>
      <c r="C393" s="75"/>
      <c r="D393" s="41" t="s">
        <v>1081</v>
      </c>
      <c r="E393" s="41"/>
      <c r="F393" s="42" t="s">
        <v>472</v>
      </c>
      <c r="G393" s="41" t="s">
        <v>1074</v>
      </c>
      <c r="H393" s="41"/>
      <c r="I393" s="41"/>
      <c r="J393" s="44">
        <v>1</v>
      </c>
      <c r="K393" s="44" t="s">
        <v>18</v>
      </c>
      <c r="L393" s="44" t="s">
        <v>18</v>
      </c>
      <c r="M393" s="44" t="s">
        <v>18</v>
      </c>
      <c r="N393" s="44" t="s">
        <v>18</v>
      </c>
      <c r="O393" s="44" t="s">
        <v>502</v>
      </c>
      <c r="P393" s="44" t="s">
        <v>475</v>
      </c>
      <c r="Q393" s="44" t="s">
        <v>569</v>
      </c>
      <c r="S393" s="44" t="s">
        <v>1030</v>
      </c>
      <c r="T393" s="44" t="s">
        <v>18</v>
      </c>
      <c r="U393" s="44" t="s">
        <v>18</v>
      </c>
    </row>
    <row r="394" spans="2:23">
      <c r="B394" s="75" t="str">
        <f>IF(tbl_Instruement_List[[#This Row],[Tag_New]]="",tbl_Instruement_List[[#This Row],[Tag]],tbl_Instruement_List[[#This Row],[Tag_New]])</f>
        <v>XA-60242A</v>
      </c>
      <c r="C394" s="75"/>
      <c r="D394" s="41" t="s">
        <v>1082</v>
      </c>
      <c r="E394" s="41"/>
      <c r="F394" s="42" t="s">
        <v>472</v>
      </c>
      <c r="G394" s="41" t="s">
        <v>1067</v>
      </c>
      <c r="H394" s="41"/>
      <c r="I394" s="41"/>
      <c r="J394" s="44" t="s">
        <v>18</v>
      </c>
      <c r="K394" s="44">
        <v>1</v>
      </c>
      <c r="L394" s="44" t="s">
        <v>18</v>
      </c>
      <c r="M394" s="44" t="s">
        <v>18</v>
      </c>
      <c r="N394" s="44" t="s">
        <v>18</v>
      </c>
      <c r="O394" s="44" t="s">
        <v>502</v>
      </c>
      <c r="P394" s="44" t="s">
        <v>475</v>
      </c>
      <c r="Q394" s="44" t="s">
        <v>569</v>
      </c>
      <c r="S394" s="44"/>
      <c r="T394" s="44" t="s">
        <v>18</v>
      </c>
      <c r="U394" s="44" t="s">
        <v>18</v>
      </c>
    </row>
    <row r="395" spans="2:23">
      <c r="B395" s="75" t="str">
        <f>IF(tbl_Instruement_List[[#This Row],[Tag_New]]="",tbl_Instruement_List[[#This Row],[Tag]],tbl_Instruement_List[[#This Row],[Tag_New]])</f>
        <v>XA-60242B</v>
      </c>
      <c r="C395" s="75"/>
      <c r="D395" s="41" t="s">
        <v>1083</v>
      </c>
      <c r="E395" s="41"/>
      <c r="F395" s="42" t="s">
        <v>472</v>
      </c>
      <c r="G395" s="41" t="s">
        <v>1069</v>
      </c>
      <c r="H395" s="41"/>
      <c r="I395" s="41"/>
      <c r="J395" s="44" t="s">
        <v>18</v>
      </c>
      <c r="K395" s="44">
        <v>1</v>
      </c>
      <c r="L395" s="44" t="s">
        <v>18</v>
      </c>
      <c r="M395" s="44" t="s">
        <v>18</v>
      </c>
      <c r="N395" s="44" t="s">
        <v>18</v>
      </c>
      <c r="O395" s="44" t="s">
        <v>502</v>
      </c>
      <c r="P395" s="44" t="s">
        <v>475</v>
      </c>
      <c r="Q395" s="44" t="s">
        <v>569</v>
      </c>
      <c r="S395" s="44"/>
      <c r="T395" s="44" t="s">
        <v>18</v>
      </c>
      <c r="U395" s="44" t="s">
        <v>18</v>
      </c>
    </row>
    <row r="396" spans="2:23">
      <c r="B396" s="75" t="str">
        <f>IF(tbl_Instruement_List[[#This Row],[Tag_New]]="",tbl_Instruement_List[[#This Row],[Tag]],tbl_Instruement_List[[#This Row],[Tag_New]])</f>
        <v>TSH-60242A</v>
      </c>
      <c r="C396" s="75"/>
      <c r="D396" s="41" t="s">
        <v>260</v>
      </c>
      <c r="E396" s="41"/>
      <c r="F396" s="42" t="s">
        <v>472</v>
      </c>
      <c r="G396" s="41" t="s">
        <v>1077</v>
      </c>
      <c r="H396" s="41" t="s">
        <v>696</v>
      </c>
      <c r="I396" s="41"/>
      <c r="J396" s="59"/>
      <c r="K396" s="57">
        <v>1</v>
      </c>
      <c r="L396" s="42"/>
      <c r="M396" s="42"/>
      <c r="N396" s="44" t="s">
        <v>18</v>
      </c>
      <c r="O396" s="44" t="s">
        <v>502</v>
      </c>
      <c r="P396" s="44" t="s">
        <v>1084</v>
      </c>
      <c r="Q396" s="44" t="s">
        <v>708</v>
      </c>
      <c r="R396" s="60">
        <v>140</v>
      </c>
      <c r="S396" s="44" t="s">
        <v>582</v>
      </c>
      <c r="T396" s="44" t="s">
        <v>564</v>
      </c>
      <c r="U396" s="44" t="s">
        <v>18</v>
      </c>
      <c r="V396" s="44"/>
      <c r="W396" s="44"/>
    </row>
    <row r="397" spans="2:23">
      <c r="B397" s="75" t="str">
        <f>IF(tbl_Instruement_List[[#This Row],[Tag_New]]="",tbl_Instruement_List[[#This Row],[Tag]],tbl_Instruement_List[[#This Row],[Tag_New]])</f>
        <v>TSL-60242B</v>
      </c>
      <c r="C397" s="75"/>
      <c r="D397" s="41" t="s">
        <v>261</v>
      </c>
      <c r="E397" s="41"/>
      <c r="F397" s="42" t="s">
        <v>472</v>
      </c>
      <c r="G397" s="41" t="s">
        <v>1079</v>
      </c>
      <c r="H397" s="41" t="s">
        <v>696</v>
      </c>
      <c r="I397" s="41"/>
      <c r="J397" s="59"/>
      <c r="K397" s="57">
        <v>1</v>
      </c>
      <c r="L397" s="42"/>
      <c r="M397" s="42"/>
      <c r="N397" s="44" t="s">
        <v>18</v>
      </c>
      <c r="O397" s="44" t="s">
        <v>502</v>
      </c>
      <c r="P397" s="44" t="s">
        <v>1084</v>
      </c>
      <c r="Q397" s="44" t="s">
        <v>708</v>
      </c>
      <c r="R397" s="60">
        <v>140</v>
      </c>
      <c r="S397" s="44" t="s">
        <v>582</v>
      </c>
      <c r="T397" s="44" t="s">
        <v>564</v>
      </c>
      <c r="U397" s="44" t="s">
        <v>18</v>
      </c>
      <c r="V397" s="44"/>
      <c r="W397" s="44"/>
    </row>
    <row r="398" spans="2:23">
      <c r="B398" s="75" t="str">
        <f>IF(tbl_Instruement_List[[#This Row],[Tag_New]]="",tbl_Instruement_List[[#This Row],[Tag]],tbl_Instruement_List[[#This Row],[Tag_New]])</f>
        <v>HTRE-23 Heater Control Panel (TRACING)</v>
      </c>
      <c r="C398" s="75"/>
      <c r="D398" s="41" t="s">
        <v>1085</v>
      </c>
      <c r="E398" s="41"/>
      <c r="F398" s="42"/>
      <c r="G398" s="42"/>
      <c r="H398" s="42"/>
      <c r="I398" s="42"/>
      <c r="J398" s="42"/>
      <c r="K398" s="42"/>
      <c r="L398" s="42"/>
      <c r="M398" s="42"/>
      <c r="N398" s="42"/>
      <c r="O398" s="42"/>
      <c r="P398" s="42"/>
      <c r="Q398" s="42"/>
      <c r="R398" s="42"/>
      <c r="S398" s="42"/>
      <c r="T398" s="42"/>
      <c r="U398" s="42"/>
      <c r="V398" s="63"/>
      <c r="W398" s="63"/>
    </row>
    <row r="399" spans="2:23">
      <c r="B399" s="75" t="str">
        <f>IF(tbl_Instruement_List[[#This Row],[Tag_New]]="",tbl_Instruement_List[[#This Row],[Tag]],tbl_Instruement_List[[#This Row],[Tag_New]])</f>
        <v>XS-60243A</v>
      </c>
      <c r="C399" s="75"/>
      <c r="D399" s="41" t="s">
        <v>1086</v>
      </c>
      <c r="E399" s="41"/>
      <c r="F399" s="42" t="s">
        <v>472</v>
      </c>
      <c r="G399" s="41" t="s">
        <v>1074</v>
      </c>
      <c r="H399" s="41"/>
      <c r="I399" s="41"/>
      <c r="J399" s="44">
        <v>1</v>
      </c>
      <c r="K399" s="44" t="s">
        <v>18</v>
      </c>
      <c r="L399" s="44" t="s">
        <v>18</v>
      </c>
      <c r="M399" s="44" t="s">
        <v>18</v>
      </c>
      <c r="N399" s="44" t="s">
        <v>18</v>
      </c>
      <c r="O399" s="44" t="s">
        <v>502</v>
      </c>
      <c r="P399" s="44" t="s">
        <v>475</v>
      </c>
      <c r="Q399" s="44" t="s">
        <v>569</v>
      </c>
      <c r="S399" s="44" t="s">
        <v>1030</v>
      </c>
      <c r="T399" s="44" t="s">
        <v>18</v>
      </c>
      <c r="U399" s="44" t="s">
        <v>18</v>
      </c>
    </row>
    <row r="400" spans="2:23">
      <c r="B400" s="75" t="str">
        <f>IF(tbl_Instruement_List[[#This Row],[Tag_New]]="",tbl_Instruement_List[[#This Row],[Tag]],tbl_Instruement_List[[#This Row],[Tag_New]])</f>
        <v>XA-60243A</v>
      </c>
      <c r="C400" s="75"/>
      <c r="D400" s="41" t="s">
        <v>1087</v>
      </c>
      <c r="E400" s="41"/>
      <c r="F400" s="42" t="s">
        <v>472</v>
      </c>
      <c r="G400" s="41" t="s">
        <v>1067</v>
      </c>
      <c r="H400" s="41"/>
      <c r="I400" s="41"/>
      <c r="J400" s="44" t="s">
        <v>18</v>
      </c>
      <c r="K400" s="44">
        <v>1</v>
      </c>
      <c r="L400" s="44" t="s">
        <v>18</v>
      </c>
      <c r="M400" s="44" t="s">
        <v>18</v>
      </c>
      <c r="N400" s="44" t="s">
        <v>18</v>
      </c>
      <c r="O400" s="44" t="s">
        <v>502</v>
      </c>
      <c r="P400" s="44" t="s">
        <v>475</v>
      </c>
      <c r="Q400" s="44" t="s">
        <v>569</v>
      </c>
      <c r="S400" s="44"/>
      <c r="T400" s="44" t="s">
        <v>18</v>
      </c>
      <c r="U400" s="44" t="s">
        <v>18</v>
      </c>
    </row>
    <row r="401" spans="2:23">
      <c r="B401" s="75" t="str">
        <f>IF(tbl_Instruement_List[[#This Row],[Tag_New]]="",tbl_Instruement_List[[#This Row],[Tag]],tbl_Instruement_List[[#This Row],[Tag_New]])</f>
        <v>XA-60243B</v>
      </c>
      <c r="C401" s="75"/>
      <c r="D401" s="41" t="s">
        <v>1088</v>
      </c>
      <c r="E401" s="41"/>
      <c r="F401" s="42" t="s">
        <v>472</v>
      </c>
      <c r="G401" s="41" t="s">
        <v>1069</v>
      </c>
      <c r="H401" s="41"/>
      <c r="I401" s="41"/>
      <c r="J401" s="44" t="s">
        <v>18</v>
      </c>
      <c r="K401" s="44">
        <v>1</v>
      </c>
      <c r="L401" s="44" t="s">
        <v>18</v>
      </c>
      <c r="M401" s="44" t="s">
        <v>18</v>
      </c>
      <c r="N401" s="44" t="s">
        <v>18</v>
      </c>
      <c r="O401" s="44" t="s">
        <v>502</v>
      </c>
      <c r="P401" s="44" t="s">
        <v>475</v>
      </c>
      <c r="Q401" s="44" t="s">
        <v>569</v>
      </c>
      <c r="S401" s="44"/>
      <c r="T401" s="44" t="s">
        <v>18</v>
      </c>
      <c r="U401" s="44" t="s">
        <v>18</v>
      </c>
    </row>
    <row r="402" spans="2:23">
      <c r="B402" s="75" t="str">
        <f>IF(tbl_Instruement_List[[#This Row],[Tag_New]]="",tbl_Instruement_List[[#This Row],[Tag]],tbl_Instruement_List[[#This Row],[Tag_New]])</f>
        <v>TSH-60243A</v>
      </c>
      <c r="C402" s="75"/>
      <c r="D402" s="41" t="s">
        <v>262</v>
      </c>
      <c r="E402" s="41"/>
      <c r="F402" s="42" t="s">
        <v>472</v>
      </c>
      <c r="G402" s="41" t="s">
        <v>1077</v>
      </c>
      <c r="H402" s="41" t="s">
        <v>696</v>
      </c>
      <c r="I402" s="41"/>
      <c r="J402" s="59"/>
      <c r="K402" s="57">
        <v>1</v>
      </c>
      <c r="L402" s="42"/>
      <c r="M402" s="42"/>
      <c r="N402" s="44" t="s">
        <v>18</v>
      </c>
      <c r="O402" s="44" t="s">
        <v>502</v>
      </c>
      <c r="P402" s="44" t="s">
        <v>1089</v>
      </c>
      <c r="Q402" s="44" t="s">
        <v>708</v>
      </c>
      <c r="R402" s="60">
        <v>140</v>
      </c>
      <c r="S402" s="44" t="s">
        <v>582</v>
      </c>
      <c r="T402" s="44" t="s">
        <v>564</v>
      </c>
      <c r="U402" s="44" t="s">
        <v>18</v>
      </c>
      <c r="V402" s="44"/>
      <c r="W402" s="44"/>
    </row>
    <row r="403" spans="2:23">
      <c r="B403" s="75" t="str">
        <f>IF(tbl_Instruement_List[[#This Row],[Tag_New]]="",tbl_Instruement_List[[#This Row],[Tag]],tbl_Instruement_List[[#This Row],[Tag_New]])</f>
        <v>TSL-60243B</v>
      </c>
      <c r="C403" s="75"/>
      <c r="D403" s="41" t="s">
        <v>263</v>
      </c>
      <c r="E403" s="41"/>
      <c r="F403" s="42" t="s">
        <v>472</v>
      </c>
      <c r="G403" s="41" t="s">
        <v>1079</v>
      </c>
      <c r="H403" s="41" t="s">
        <v>696</v>
      </c>
      <c r="I403" s="41"/>
      <c r="J403" s="59"/>
      <c r="K403" s="57">
        <v>1</v>
      </c>
      <c r="L403" s="42"/>
      <c r="M403" s="42"/>
      <c r="N403" s="44" t="s">
        <v>18</v>
      </c>
      <c r="O403" s="44" t="s">
        <v>502</v>
      </c>
      <c r="P403" s="44" t="s">
        <v>1089</v>
      </c>
      <c r="Q403" s="44" t="s">
        <v>708</v>
      </c>
      <c r="R403" s="60">
        <v>140</v>
      </c>
      <c r="S403" s="44" t="s">
        <v>582</v>
      </c>
      <c r="T403" s="44" t="s">
        <v>564</v>
      </c>
      <c r="U403" s="44" t="s">
        <v>18</v>
      </c>
      <c r="V403" s="44"/>
      <c r="W403" s="44"/>
    </row>
    <row r="404" spans="2:23">
      <c r="B404" s="75" t="str">
        <f>IF(tbl_Instruement_List[[#This Row],[Tag_New]]="",tbl_Instruement_List[[#This Row],[Tag]],tbl_Instruement_List[[#This Row],[Tag_New]])</f>
        <v xml:space="preserve">AHTR-21 Air Heater Control Panel </v>
      </c>
      <c r="C404" s="75"/>
      <c r="D404" s="41" t="s">
        <v>1090</v>
      </c>
      <c r="E404" s="41"/>
      <c r="F404" s="42"/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63"/>
      <c r="W404" s="63"/>
    </row>
    <row r="405" spans="2:23">
      <c r="B405" s="75" t="str">
        <f>IF(tbl_Instruement_List[[#This Row],[Tag_New]]="",tbl_Instruement_List[[#This Row],[Tag]],tbl_Instruement_List[[#This Row],[Tag_New]])</f>
        <v>XA-FH-60210A</v>
      </c>
      <c r="C405" s="75"/>
      <c r="D405" s="41" t="s">
        <v>1091</v>
      </c>
      <c r="E405" s="41"/>
      <c r="F405" s="42" t="s">
        <v>1092</v>
      </c>
      <c r="G405" s="41" t="s">
        <v>1093</v>
      </c>
      <c r="H405" s="41"/>
      <c r="I405" s="41"/>
      <c r="J405" s="44" t="s">
        <v>18</v>
      </c>
      <c r="K405" s="44">
        <v>1</v>
      </c>
      <c r="L405" s="44" t="s">
        <v>18</v>
      </c>
      <c r="M405" s="44" t="s">
        <v>18</v>
      </c>
      <c r="N405" s="44" t="s">
        <v>18</v>
      </c>
      <c r="O405" s="44" t="s">
        <v>502</v>
      </c>
      <c r="P405" s="44" t="s">
        <v>475</v>
      </c>
      <c r="Q405" s="44" t="s">
        <v>569</v>
      </c>
      <c r="S405" s="44" t="s">
        <v>1094</v>
      </c>
      <c r="T405" s="44" t="s">
        <v>18</v>
      </c>
      <c r="U405" s="44" t="s">
        <v>18</v>
      </c>
    </row>
    <row r="406" spans="2:23">
      <c r="B406" s="75" t="str">
        <f>IF(tbl_Instruement_List[[#This Row],[Tag_New]]="",tbl_Instruement_List[[#This Row],[Tag]],tbl_Instruement_List[[#This Row],[Tag_New]])</f>
        <v>XA-FH-60210B</v>
      </c>
      <c r="C406" s="75"/>
      <c r="D406" s="41" t="s">
        <v>1095</v>
      </c>
      <c r="E406" s="41"/>
      <c r="F406" s="42" t="s">
        <v>1092</v>
      </c>
      <c r="G406" s="41" t="s">
        <v>1096</v>
      </c>
      <c r="H406" s="41"/>
      <c r="I406" s="41"/>
      <c r="J406" s="44" t="s">
        <v>18</v>
      </c>
      <c r="K406" s="44">
        <v>1</v>
      </c>
      <c r="L406" s="44" t="s">
        <v>18</v>
      </c>
      <c r="M406" s="44" t="s">
        <v>18</v>
      </c>
      <c r="N406" s="44" t="s">
        <v>18</v>
      </c>
      <c r="O406" s="44" t="s">
        <v>502</v>
      </c>
      <c r="P406" s="44" t="s">
        <v>475</v>
      </c>
      <c r="Q406" s="44" t="s">
        <v>569</v>
      </c>
      <c r="S406" s="44"/>
      <c r="T406" s="44" t="s">
        <v>18</v>
      </c>
      <c r="U406" s="44" t="s">
        <v>18</v>
      </c>
    </row>
    <row r="407" spans="2:23">
      <c r="B407" s="75" t="str">
        <f>IF(tbl_Instruement_List[[#This Row],[Tag_New]]="",tbl_Instruement_List[[#This Row],[Tag]],tbl_Instruement_List[[#This Row],[Tag_New]])</f>
        <v>XA-FH-60210C</v>
      </c>
      <c r="C407" s="75"/>
      <c r="D407" s="41" t="s">
        <v>1097</v>
      </c>
      <c r="E407" s="41"/>
      <c r="F407" s="42" t="s">
        <v>1092</v>
      </c>
      <c r="G407" s="41" t="s">
        <v>1098</v>
      </c>
      <c r="H407" s="41"/>
      <c r="I407" s="41"/>
      <c r="J407" s="44" t="s">
        <v>18</v>
      </c>
      <c r="K407" s="44">
        <v>1</v>
      </c>
      <c r="L407" s="44" t="s">
        <v>18</v>
      </c>
      <c r="M407" s="44" t="s">
        <v>18</v>
      </c>
      <c r="N407" s="44" t="s">
        <v>18</v>
      </c>
      <c r="O407" s="44" t="s">
        <v>502</v>
      </c>
      <c r="P407" s="44" t="s">
        <v>475</v>
      </c>
      <c r="Q407" s="44" t="s">
        <v>569</v>
      </c>
      <c r="S407" s="44"/>
      <c r="T407" s="44" t="s">
        <v>18</v>
      </c>
      <c r="U407" s="44" t="s">
        <v>18</v>
      </c>
    </row>
    <row r="408" spans="2:23">
      <c r="B408" s="75" t="str">
        <f>IF(tbl_Instruement_List[[#This Row],[Tag_New]]="",tbl_Instruement_List[[#This Row],[Tag]],tbl_Instruement_List[[#This Row],[Tag_New]])</f>
        <v>XA-FH-60210D</v>
      </c>
      <c r="C408" s="75"/>
      <c r="D408" s="41" t="s">
        <v>1099</v>
      </c>
      <c r="E408" s="41"/>
      <c r="F408" s="42" t="s">
        <v>1092</v>
      </c>
      <c r="G408" s="41" t="s">
        <v>1100</v>
      </c>
      <c r="H408" s="41"/>
      <c r="I408" s="41"/>
      <c r="J408" s="44" t="s">
        <v>18</v>
      </c>
      <c r="K408" s="44">
        <v>1</v>
      </c>
      <c r="L408" s="44" t="s">
        <v>18</v>
      </c>
      <c r="M408" s="44" t="s">
        <v>18</v>
      </c>
      <c r="N408" s="44" t="s">
        <v>18</v>
      </c>
      <c r="O408" s="44" t="s">
        <v>502</v>
      </c>
      <c r="P408" s="44" t="s">
        <v>475</v>
      </c>
      <c r="Q408" s="44" t="s">
        <v>569</v>
      </c>
      <c r="S408" s="44"/>
      <c r="T408" s="44" t="s">
        <v>18</v>
      </c>
      <c r="U408" s="44" t="s">
        <v>18</v>
      </c>
    </row>
    <row r="409" spans="2:23">
      <c r="B409" s="75" t="str">
        <f>IF(tbl_Instruement_List[[#This Row],[Tag_New]]="",tbl_Instruement_List[[#This Row],[Tag]],tbl_Instruement_List[[#This Row],[Tag_New]])</f>
        <v>XA-FH-60210E</v>
      </c>
      <c r="C409" s="75"/>
      <c r="D409" s="41" t="s">
        <v>1101</v>
      </c>
      <c r="E409" s="41"/>
      <c r="F409" s="42" t="s">
        <v>1092</v>
      </c>
      <c r="G409" s="41" t="s">
        <v>1102</v>
      </c>
      <c r="H409" s="41"/>
      <c r="I409" s="41"/>
      <c r="J409" s="44" t="s">
        <v>18</v>
      </c>
      <c r="K409" s="44">
        <v>1</v>
      </c>
      <c r="L409" s="44" t="s">
        <v>18</v>
      </c>
      <c r="M409" s="44" t="s">
        <v>18</v>
      </c>
      <c r="N409" s="44" t="s">
        <v>18</v>
      </c>
      <c r="O409" s="44" t="s">
        <v>502</v>
      </c>
      <c r="P409" s="44" t="s">
        <v>475</v>
      </c>
      <c r="Q409" s="44" t="s">
        <v>569</v>
      </c>
      <c r="S409" s="44"/>
      <c r="T409" s="44" t="s">
        <v>18</v>
      </c>
      <c r="U409" s="44" t="s">
        <v>18</v>
      </c>
    </row>
    <row r="410" spans="2:23">
      <c r="B410" s="75" t="str">
        <f>IF(tbl_Instruement_List[[#This Row],[Tag_New]]="",tbl_Instruement_List[[#This Row],[Tag]],tbl_Instruement_List[[#This Row],[Tag_New]])</f>
        <v>XS-FH-60210A</v>
      </c>
      <c r="C410" s="75"/>
      <c r="D410" s="41" t="s">
        <v>1103</v>
      </c>
      <c r="E410" s="41"/>
      <c r="F410" s="42" t="s">
        <v>1092</v>
      </c>
      <c r="G410" s="41" t="s">
        <v>1104</v>
      </c>
      <c r="H410" s="41"/>
      <c r="I410" s="41"/>
      <c r="J410" s="44">
        <v>1</v>
      </c>
      <c r="K410" s="44" t="s">
        <v>18</v>
      </c>
      <c r="L410" s="44" t="s">
        <v>18</v>
      </c>
      <c r="M410" s="44" t="s">
        <v>18</v>
      </c>
      <c r="N410" s="44" t="s">
        <v>18</v>
      </c>
      <c r="O410" s="44" t="s">
        <v>502</v>
      </c>
      <c r="P410" s="44" t="s">
        <v>475</v>
      </c>
      <c r="Q410" s="44" t="s">
        <v>569</v>
      </c>
      <c r="S410" s="44"/>
      <c r="T410" s="44" t="s">
        <v>18</v>
      </c>
      <c r="U410" s="44" t="s">
        <v>18</v>
      </c>
    </row>
    <row r="411" spans="2:23">
      <c r="B411" s="75" t="str">
        <f>IF(tbl_Instruement_List[[#This Row],[Tag_New]]="",tbl_Instruement_List[[#This Row],[Tag]],tbl_Instruement_List[[#This Row],[Tag_New]])</f>
        <v>XS-FH-60210B</v>
      </c>
      <c r="C411" s="75"/>
      <c r="D411" s="41" t="s">
        <v>1105</v>
      </c>
      <c r="E411" s="41"/>
      <c r="F411" s="42" t="s">
        <v>1092</v>
      </c>
      <c r="G411" s="41" t="s">
        <v>1106</v>
      </c>
      <c r="H411" s="41"/>
      <c r="I411" s="41"/>
      <c r="J411" s="44">
        <v>1</v>
      </c>
      <c r="K411" s="44" t="s">
        <v>18</v>
      </c>
      <c r="L411" s="44" t="s">
        <v>18</v>
      </c>
      <c r="M411" s="44" t="s">
        <v>18</v>
      </c>
      <c r="N411" s="44" t="s">
        <v>18</v>
      </c>
      <c r="O411" s="44" t="s">
        <v>502</v>
      </c>
      <c r="P411" s="44" t="s">
        <v>475</v>
      </c>
      <c r="Q411" s="44" t="s">
        <v>569</v>
      </c>
      <c r="S411" s="44"/>
      <c r="T411" s="44" t="s">
        <v>18</v>
      </c>
      <c r="U411" s="44" t="s">
        <v>18</v>
      </c>
    </row>
    <row r="412" spans="2:23">
      <c r="B412" s="75" t="str">
        <f>IF(tbl_Instruement_List[[#This Row],[Tag_New]]="",tbl_Instruement_List[[#This Row],[Tag]],tbl_Instruement_List[[#This Row],[Tag_New]])</f>
        <v>XS-FH-60210C</v>
      </c>
      <c r="C412" s="75"/>
      <c r="D412" s="41" t="s">
        <v>1107</v>
      </c>
      <c r="E412" s="41"/>
      <c r="F412" s="42" t="s">
        <v>1092</v>
      </c>
      <c r="G412" s="41" t="s">
        <v>1108</v>
      </c>
      <c r="H412" s="41"/>
      <c r="I412" s="41"/>
      <c r="J412" s="44">
        <v>1</v>
      </c>
      <c r="K412" s="44" t="s">
        <v>18</v>
      </c>
      <c r="L412" s="44" t="s">
        <v>18</v>
      </c>
      <c r="M412" s="44" t="s">
        <v>18</v>
      </c>
      <c r="N412" s="44" t="s">
        <v>18</v>
      </c>
      <c r="O412" s="44" t="s">
        <v>502</v>
      </c>
      <c r="P412" s="44" t="s">
        <v>475</v>
      </c>
      <c r="Q412" s="44" t="s">
        <v>569</v>
      </c>
      <c r="S412" s="44"/>
      <c r="T412" s="44" t="s">
        <v>18</v>
      </c>
      <c r="U412" s="44" t="s">
        <v>18</v>
      </c>
    </row>
    <row r="413" spans="2:23">
      <c r="B413" s="75" t="str">
        <f>IF(tbl_Instruement_List[[#This Row],[Tag_New]]="",tbl_Instruement_List[[#This Row],[Tag]],tbl_Instruement_List[[#This Row],[Tag_New]])</f>
        <v>XS-FH-60210D</v>
      </c>
      <c r="C413" s="75"/>
      <c r="D413" s="41" t="s">
        <v>1109</v>
      </c>
      <c r="E413" s="41"/>
      <c r="F413" s="42" t="s">
        <v>1092</v>
      </c>
      <c r="G413" s="41" t="s">
        <v>411</v>
      </c>
      <c r="H413" s="41"/>
      <c r="I413" s="41"/>
      <c r="J413" s="44">
        <v>1</v>
      </c>
      <c r="K413" s="44" t="s">
        <v>18</v>
      </c>
      <c r="L413" s="44" t="s">
        <v>18</v>
      </c>
      <c r="M413" s="44" t="s">
        <v>18</v>
      </c>
      <c r="N413" s="44" t="s">
        <v>18</v>
      </c>
      <c r="O413" s="44" t="s">
        <v>502</v>
      </c>
      <c r="P413" s="44" t="s">
        <v>475</v>
      </c>
      <c r="Q413" s="44" t="s">
        <v>569</v>
      </c>
      <c r="S413" s="44"/>
      <c r="T413" s="44" t="s">
        <v>18</v>
      </c>
      <c r="U413" s="44" t="s">
        <v>18</v>
      </c>
    </row>
    <row r="414" spans="2:23">
      <c r="B414" s="75" t="str">
        <f>IF(tbl_Instruement_List[[#This Row],[Tag_New]]="",tbl_Instruement_List[[#This Row],[Tag]],tbl_Instruement_List[[#This Row],[Tag_New]])</f>
        <v>TI-FH-60210</v>
      </c>
      <c r="C414" s="75"/>
      <c r="D414" s="41" t="s">
        <v>1110</v>
      </c>
      <c r="E414" s="41"/>
      <c r="F414" s="42" t="s">
        <v>1092</v>
      </c>
      <c r="G414" s="41" t="s">
        <v>1111</v>
      </c>
      <c r="H414" s="41"/>
      <c r="I414" s="41"/>
      <c r="J414" s="44" t="s">
        <v>18</v>
      </c>
      <c r="K414" s="44" t="s">
        <v>18</v>
      </c>
      <c r="L414" s="44" t="s">
        <v>18</v>
      </c>
      <c r="M414" s="44">
        <v>1</v>
      </c>
      <c r="N414" s="44" t="s">
        <v>18</v>
      </c>
      <c r="O414" s="44" t="s">
        <v>474</v>
      </c>
      <c r="P414" s="44" t="s">
        <v>475</v>
      </c>
      <c r="Q414" s="44" t="s">
        <v>569</v>
      </c>
      <c r="S414" s="44" t="s">
        <v>1112</v>
      </c>
      <c r="T414" s="44" t="s">
        <v>18</v>
      </c>
      <c r="U414" s="44" t="s">
        <v>18</v>
      </c>
    </row>
    <row r="415" spans="2:23">
      <c r="B415" s="75" t="str">
        <f>IF(tbl_Instruement_List[[#This Row],[Tag_New]]="",tbl_Instruement_List[[#This Row],[Tag]],tbl_Instruement_List[[#This Row],[Tag_New]])</f>
        <v>UY-FH-60210A</v>
      </c>
      <c r="C415" s="75"/>
      <c r="D415" s="41" t="s">
        <v>1113</v>
      </c>
      <c r="E415" s="41"/>
      <c r="F415" s="42" t="s">
        <v>1092</v>
      </c>
      <c r="G415" s="41" t="s">
        <v>1114</v>
      </c>
      <c r="H415" s="41"/>
      <c r="I415" s="41"/>
      <c r="J415" s="44" t="s">
        <v>18</v>
      </c>
      <c r="K415" s="44" t="s">
        <v>18</v>
      </c>
      <c r="L415" s="44" t="s">
        <v>18</v>
      </c>
      <c r="M415" s="44">
        <v>1</v>
      </c>
      <c r="N415" s="44" t="s">
        <v>18</v>
      </c>
      <c r="O415" s="44" t="s">
        <v>474</v>
      </c>
      <c r="P415" s="44" t="s">
        <v>475</v>
      </c>
      <c r="Q415" s="44" t="s">
        <v>569</v>
      </c>
      <c r="S415" s="44"/>
      <c r="T415" s="44" t="s">
        <v>18</v>
      </c>
      <c r="U415" s="44" t="s">
        <v>18</v>
      </c>
    </row>
    <row r="416" spans="2:23">
      <c r="B416" s="75" t="str">
        <f>IF(tbl_Instruement_List[[#This Row],[Tag_New]]="",tbl_Instruement_List[[#This Row],[Tag]],tbl_Instruement_List[[#This Row],[Tag_New]])</f>
        <v>UY-FH-60210B</v>
      </c>
      <c r="C416" s="75"/>
      <c r="D416" s="41" t="s">
        <v>1115</v>
      </c>
      <c r="E416" s="41"/>
      <c r="F416" s="42" t="s">
        <v>1092</v>
      </c>
      <c r="G416" s="41" t="s">
        <v>1116</v>
      </c>
      <c r="H416" s="41"/>
      <c r="I416" s="41"/>
      <c r="J416" s="44" t="s">
        <v>18</v>
      </c>
      <c r="K416" s="44" t="s">
        <v>18</v>
      </c>
      <c r="L416" s="44">
        <v>1</v>
      </c>
      <c r="M416" s="44" t="s">
        <v>18</v>
      </c>
      <c r="N416" s="44" t="s">
        <v>18</v>
      </c>
      <c r="O416" s="44" t="s">
        <v>474</v>
      </c>
      <c r="P416" s="44" t="s">
        <v>475</v>
      </c>
      <c r="Q416" s="44" t="s">
        <v>569</v>
      </c>
      <c r="S416" s="44"/>
      <c r="T416" s="44" t="s">
        <v>18</v>
      </c>
      <c r="U416" s="44" t="s">
        <v>18</v>
      </c>
    </row>
    <row r="417" spans="2:21">
      <c r="B417" s="75" t="str">
        <f>IF(tbl_Instruement_List[[#This Row],[Tag_New]]="",tbl_Instruement_List[[#This Row],[Tag]],tbl_Instruement_List[[#This Row],[Tag_New]])</f>
        <v>COM-FH-60210B</v>
      </c>
      <c r="C417" s="75"/>
      <c r="D417" s="41" t="s">
        <v>1117</v>
      </c>
      <c r="E417" s="41"/>
      <c r="F417" s="42" t="s">
        <v>1092</v>
      </c>
      <c r="G417" s="41" t="s">
        <v>1060</v>
      </c>
      <c r="H417" s="41"/>
      <c r="I417" s="41"/>
      <c r="J417" s="44" t="s">
        <v>18</v>
      </c>
      <c r="K417" s="44" t="s">
        <v>18</v>
      </c>
      <c r="L417" s="44" t="s">
        <v>18</v>
      </c>
      <c r="M417" s="44" t="s">
        <v>18</v>
      </c>
      <c r="N417" s="44">
        <v>1</v>
      </c>
      <c r="O417" s="44" t="s">
        <v>1118</v>
      </c>
      <c r="P417" s="44" t="s">
        <v>475</v>
      </c>
      <c r="Q417" s="44"/>
      <c r="S417" s="44" t="s">
        <v>1119</v>
      </c>
      <c r="T417" s="44" t="s">
        <v>18</v>
      </c>
      <c r="U417" s="44" t="s">
        <v>18</v>
      </c>
    </row>
    <row r="418" spans="2:21">
      <c r="B418" s="75" t="str">
        <f>IF(tbl_Instruement_List[[#This Row],[Tag_New]]="",tbl_Instruement_List[[#This Row],[Tag]],tbl_Instruement_List[[#This Row],[Tag_New]])</f>
        <v>TE-60212</v>
      </c>
      <c r="C418" s="75"/>
      <c r="D418" s="41" t="s">
        <v>1120</v>
      </c>
      <c r="E418" s="41"/>
      <c r="G418" s="41" t="s">
        <v>704</v>
      </c>
      <c r="H418" s="41" t="s">
        <v>1121</v>
      </c>
      <c r="I418" s="41"/>
      <c r="O418" s="44" t="s">
        <v>1122</v>
      </c>
      <c r="P418" s="44" t="s">
        <v>1123</v>
      </c>
      <c r="S418" s="46" t="s">
        <v>485</v>
      </c>
      <c r="T418" s="44" t="s">
        <v>18</v>
      </c>
      <c r="U418" s="44" t="s">
        <v>18</v>
      </c>
    </row>
    <row r="419" spans="2:21">
      <c r="B419" s="75" t="str">
        <f>IF(tbl_Instruement_List[[#This Row],[Tag_New]]="",tbl_Instruement_List[[#This Row],[Tag]],tbl_Instruement_List[[#This Row],[Tag_New]])</f>
        <v>DPHL-60230</v>
      </c>
      <c r="C419" s="75"/>
      <c r="D419" s="41" t="s">
        <v>1124</v>
      </c>
      <c r="E419" s="41"/>
      <c r="G419" s="41" t="s">
        <v>1125</v>
      </c>
      <c r="H419" s="41" t="s">
        <v>1126</v>
      </c>
      <c r="I419" s="41"/>
      <c r="P419" s="44" t="s">
        <v>1123</v>
      </c>
      <c r="S419" s="44" t="s">
        <v>1024</v>
      </c>
      <c r="T419" s="44" t="s">
        <v>18</v>
      </c>
      <c r="U419" s="44" t="s">
        <v>18</v>
      </c>
    </row>
    <row r="420" spans="2:21">
      <c r="B420" s="75" t="str">
        <f>IF(tbl_Instruement_List[[#This Row],[Tag_New]]="",tbl_Instruement_List[[#This Row],[Tag]],tbl_Instruement_List[[#This Row],[Tag_New]])</f>
        <v>DPSL-60211</v>
      </c>
      <c r="C420" s="75"/>
      <c r="D420" s="41" t="s">
        <v>1127</v>
      </c>
      <c r="E420" s="41"/>
      <c r="G420" s="41" t="s">
        <v>1128</v>
      </c>
      <c r="H420" s="41" t="s">
        <v>1129</v>
      </c>
      <c r="I420" s="41"/>
      <c r="P420" s="44" t="s">
        <v>1123</v>
      </c>
      <c r="S420" s="44" t="s">
        <v>1024</v>
      </c>
      <c r="T420" s="44" t="s">
        <v>18</v>
      </c>
      <c r="U420" s="44" t="s">
        <v>18</v>
      </c>
    </row>
    <row r="421" spans="2:21">
      <c r="B421" s="75" t="str">
        <f>IF(tbl_Instruement_List[[#This Row],[Tag_New]]="",tbl_Instruement_List[[#This Row],[Tag]],tbl_Instruement_List[[#This Row],[Tag_New]])</f>
        <v>FCV-60211B</v>
      </c>
      <c r="C421" s="75"/>
      <c r="D421" s="41" t="s">
        <v>1130</v>
      </c>
      <c r="E421" s="41"/>
      <c r="G421" s="41" t="s">
        <v>1131</v>
      </c>
      <c r="H421" s="41" t="s">
        <v>1132</v>
      </c>
      <c r="I421" s="41"/>
      <c r="P421" s="44" t="s">
        <v>1123</v>
      </c>
      <c r="S421" s="46" t="s">
        <v>1133</v>
      </c>
      <c r="T421" s="44" t="s">
        <v>18</v>
      </c>
      <c r="U421" s="44" t="s">
        <v>18</v>
      </c>
    </row>
    <row r="422" spans="2:21">
      <c r="B422" s="75" t="str">
        <f>IF(tbl_Instruement_List[[#This Row],[Tag_New]]="",tbl_Instruement_List[[#This Row],[Tag]],tbl_Instruement_List[[#This Row],[Tag_New]])</f>
        <v>ZT-60211B</v>
      </c>
      <c r="C422" s="75"/>
      <c r="D422" s="41" t="s">
        <v>1134</v>
      </c>
      <c r="E422" s="41"/>
      <c r="G422" s="41" t="s">
        <v>1135</v>
      </c>
      <c r="H422" s="41" t="s">
        <v>1136</v>
      </c>
      <c r="I422" s="41"/>
      <c r="P422" s="44" t="s">
        <v>1123</v>
      </c>
      <c r="S422" s="46"/>
      <c r="T422" s="44" t="s">
        <v>18</v>
      </c>
      <c r="U422" s="44" t="s">
        <v>18</v>
      </c>
    </row>
    <row r="423" spans="2:21">
      <c r="B423" s="75" t="str">
        <f>IF(tbl_Instruement_List[[#This Row],[Tag_New]]="",tbl_Instruement_List[[#This Row],[Tag]],tbl_Instruement_List[[#This Row],[Tag_New]])</f>
        <v>ZSL-60211B</v>
      </c>
      <c r="C423" s="75"/>
      <c r="D423" s="41" t="s">
        <v>1137</v>
      </c>
      <c r="E423" s="41"/>
      <c r="G423" s="41" t="s">
        <v>1138</v>
      </c>
      <c r="H423" s="41" t="s">
        <v>1139</v>
      </c>
      <c r="I423" s="41"/>
      <c r="P423" s="44" t="s">
        <v>1123</v>
      </c>
      <c r="S423" s="44" t="s">
        <v>504</v>
      </c>
      <c r="T423" s="44" t="s">
        <v>18</v>
      </c>
      <c r="U423" s="44" t="s">
        <v>18</v>
      </c>
    </row>
    <row r="424" spans="2:21">
      <c r="B424" s="75" t="str">
        <f>IF(tbl_Instruement_List[[#This Row],[Tag_New]]="",tbl_Instruement_List[[#This Row],[Tag]],tbl_Instruement_List[[#This Row],[Tag_New]])</f>
        <v>ZSH-60211B</v>
      </c>
      <c r="C424" s="75"/>
      <c r="D424" s="41" t="s">
        <v>1140</v>
      </c>
      <c r="E424" s="41"/>
      <c r="G424" s="41" t="s">
        <v>1141</v>
      </c>
      <c r="H424" s="41" t="s">
        <v>1142</v>
      </c>
      <c r="I424" s="41"/>
      <c r="P424" s="44" t="s">
        <v>1123</v>
      </c>
      <c r="S424" s="44"/>
      <c r="T424" s="44" t="s">
        <v>18</v>
      </c>
      <c r="U424" s="44" t="s">
        <v>18</v>
      </c>
    </row>
    <row r="425" spans="2:21">
      <c r="B425" s="75" t="str">
        <f>IF(tbl_Instruement_List[[#This Row],[Tag_New]]="",tbl_Instruement_List[[#This Row],[Tag]],tbl_Instruement_List[[#This Row],[Tag_New]])</f>
        <v>VJ-01 (24VDC)</v>
      </c>
      <c r="C425" s="75"/>
      <c r="D425" s="41" t="s">
        <v>1143</v>
      </c>
      <c r="E425" s="41"/>
      <c r="G425" s="41" t="s">
        <v>1144</v>
      </c>
      <c r="H425" s="41" t="s">
        <v>1145</v>
      </c>
      <c r="I425" s="41"/>
      <c r="P425" s="44" t="s">
        <v>1123</v>
      </c>
      <c r="S425" s="44" t="s">
        <v>1146</v>
      </c>
      <c r="T425" s="44" t="s">
        <v>18</v>
      </c>
      <c r="U425" s="44" t="s">
        <v>18</v>
      </c>
    </row>
    <row r="426" spans="2:21">
      <c r="B426" s="75" t="str">
        <f>IF(tbl_Instruement_List[[#This Row],[Tag_New]]="",tbl_Instruement_List[[#This Row],[Tag]],tbl_Instruement_List[[#This Row],[Tag_New]])</f>
        <v>VJ-01 (220VAC)</v>
      </c>
      <c r="C426" s="75"/>
      <c r="D426" s="41" t="s">
        <v>1147</v>
      </c>
      <c r="E426" s="41"/>
      <c r="G426" s="41" t="s">
        <v>1144</v>
      </c>
      <c r="H426" s="41" t="s">
        <v>1145</v>
      </c>
      <c r="I426" s="41"/>
      <c r="P426" s="44" t="s">
        <v>1123</v>
      </c>
      <c r="S426" s="44" t="s">
        <v>1148</v>
      </c>
      <c r="T426" s="44" t="s">
        <v>18</v>
      </c>
      <c r="U426" s="44" t="s">
        <v>18</v>
      </c>
    </row>
    <row r="427" spans="2:21">
      <c r="B427" s="75" t="str">
        <f>IF(tbl_Instruement_List[[#This Row],[Tag_New]]="",tbl_Instruement_List[[#This Row],[Tag]],tbl_Instruement_List[[#This Row],[Tag_New]])</f>
        <v>UJ-01 (24VDC)</v>
      </c>
      <c r="C427" s="75"/>
      <c r="D427" s="41" t="s">
        <v>1149</v>
      </c>
      <c r="E427" s="41"/>
      <c r="G427" s="41" t="s">
        <v>1144</v>
      </c>
      <c r="H427" s="41" t="s">
        <v>1145</v>
      </c>
      <c r="I427" s="41"/>
      <c r="P427" s="44" t="s">
        <v>1123</v>
      </c>
      <c r="S427" s="44" t="s">
        <v>1150</v>
      </c>
      <c r="T427" s="44" t="s">
        <v>18</v>
      </c>
      <c r="U427" s="44" t="s">
        <v>18</v>
      </c>
    </row>
    <row r="428" spans="2:21">
      <c r="B428" s="75" t="str">
        <f>IF(tbl_Instruement_List[[#This Row],[Tag_New]]="",tbl_Instruement_List[[#This Row],[Tag]],tbl_Instruement_List[[#This Row],[Tag_New]])</f>
        <v>UJ-01 (220VAC)</v>
      </c>
      <c r="C428" s="75"/>
      <c r="D428" s="41" t="s">
        <v>1151</v>
      </c>
      <c r="E428" s="41"/>
      <c r="G428" s="41" t="s">
        <v>1144</v>
      </c>
      <c r="H428" s="41" t="s">
        <v>1145</v>
      </c>
      <c r="I428" s="41"/>
      <c r="P428" s="44" t="s">
        <v>1123</v>
      </c>
      <c r="S428" s="44" t="s">
        <v>1152</v>
      </c>
      <c r="T428" s="44" t="s">
        <v>18</v>
      </c>
      <c r="U428" s="44" t="s">
        <v>18</v>
      </c>
    </row>
    <row r="429" spans="2:21">
      <c r="B429" s="75" t="str">
        <f>IF(tbl_Instruement_List[[#This Row],[Tag_New]]="",tbl_Instruement_List[[#This Row],[Tag]],tbl_Instruement_List[[#This Row],[Tag_New]])</f>
        <v>PV-60210A</v>
      </c>
      <c r="C429" s="75"/>
      <c r="D429" s="41" t="s">
        <v>1153</v>
      </c>
      <c r="E429" s="41"/>
      <c r="G429" s="41" t="s">
        <v>1154</v>
      </c>
      <c r="H429" s="41" t="s">
        <v>1155</v>
      </c>
      <c r="I429" s="41"/>
      <c r="P429" s="44" t="s">
        <v>1156</v>
      </c>
      <c r="S429" s="46" t="s">
        <v>485</v>
      </c>
    </row>
    <row r="430" spans="2:21">
      <c r="B430" s="75" t="str">
        <f>IF(tbl_Instruement_List[[#This Row],[Tag_New]]="",tbl_Instruement_List[[#This Row],[Tag]],tbl_Instruement_List[[#This Row],[Tag_New]])</f>
        <v>PV-60210B</v>
      </c>
      <c r="C430" s="75"/>
      <c r="D430" s="41" t="s">
        <v>1157</v>
      </c>
      <c r="E430" s="41"/>
      <c r="G430" s="41" t="s">
        <v>1154</v>
      </c>
      <c r="H430" s="41" t="s">
        <v>1155</v>
      </c>
      <c r="I430" s="41"/>
      <c r="P430" s="44" t="s">
        <v>1156</v>
      </c>
      <c r="S430" s="46" t="s">
        <v>485</v>
      </c>
    </row>
    <row r="431" spans="2:21">
      <c r="B431" s="75" t="str">
        <f>IF(tbl_Instruement_List[[#This Row],[Tag_New]]="",tbl_Instruement_List[[#This Row],[Tag]],tbl_Instruement_List[[#This Row],[Tag_New]])</f>
        <v>DPT-60210</v>
      </c>
      <c r="C431" s="75" t="s">
        <v>479</v>
      </c>
      <c r="D431" s="41" t="s">
        <v>1158</v>
      </c>
      <c r="E431" s="41"/>
      <c r="G431" s="41" t="s">
        <v>1159</v>
      </c>
      <c r="H431" s="41" t="s">
        <v>1129</v>
      </c>
      <c r="I431" s="41"/>
      <c r="P431" s="44" t="s">
        <v>1156</v>
      </c>
      <c r="S431" s="46" t="s">
        <v>485</v>
      </c>
    </row>
    <row r="432" spans="2:21">
      <c r="B432" s="75" t="str">
        <f>IF(tbl_Instruement_List[[#This Row],[Tag_New]]="",tbl_Instruement_List[[#This Row],[Tag]],tbl_Instruement_List[[#This Row],[Tag_New]])</f>
        <v>DPSL-60210B</v>
      </c>
      <c r="C432" s="75"/>
      <c r="D432" s="41" t="s">
        <v>1160</v>
      </c>
      <c r="E432" s="41"/>
      <c r="G432" s="41" t="s">
        <v>1161</v>
      </c>
      <c r="H432" s="41" t="s">
        <v>1129</v>
      </c>
      <c r="I432" s="41"/>
      <c r="P432" s="44" t="s">
        <v>1156</v>
      </c>
      <c r="S432" s="44" t="s">
        <v>504</v>
      </c>
    </row>
    <row r="433" spans="2:19">
      <c r="B433" s="75" t="str">
        <f>IF(tbl_Instruement_List[[#This Row],[Tag_New]]="",tbl_Instruement_List[[#This Row],[Tag]],tbl_Instruement_List[[#This Row],[Tag_New]])</f>
        <v>DPSH-60210C</v>
      </c>
      <c r="C433" s="75"/>
      <c r="D433" s="41" t="s">
        <v>1162</v>
      </c>
      <c r="E433" s="41"/>
      <c r="G433" s="41" t="s">
        <v>1163</v>
      </c>
      <c r="H433" s="41" t="s">
        <v>1164</v>
      </c>
      <c r="I433" s="41"/>
      <c r="P433" s="44" t="s">
        <v>1156</v>
      </c>
      <c r="S433" s="44" t="s">
        <v>504</v>
      </c>
    </row>
    <row r="434" spans="2:19">
      <c r="B434" s="75" t="str">
        <f>IF(tbl_Instruement_List[[#This Row],[Tag_New]]="",tbl_Instruement_List[[#This Row],[Tag]],tbl_Instruement_List[[#This Row],[Tag_New]])</f>
        <v>BE-60210A</v>
      </c>
      <c r="C434" s="75"/>
      <c r="D434" s="41" t="s">
        <v>1165</v>
      </c>
      <c r="E434" s="41"/>
      <c r="G434" s="41" t="s">
        <v>1166</v>
      </c>
      <c r="H434" s="41" t="s">
        <v>1167</v>
      </c>
      <c r="I434" s="41"/>
      <c r="P434" s="44" t="s">
        <v>1156</v>
      </c>
      <c r="S434" s="44" t="s">
        <v>504</v>
      </c>
    </row>
    <row r="435" spans="2:19">
      <c r="B435" s="75" t="str">
        <f>IF(tbl_Instruement_List[[#This Row],[Tag_New]]="",tbl_Instruement_List[[#This Row],[Tag]],tbl_Instruement_List[[#This Row],[Tag_New]])</f>
        <v>BE-60210B</v>
      </c>
      <c r="C435" s="75"/>
      <c r="D435" s="41" t="s">
        <v>1168</v>
      </c>
      <c r="E435" s="41"/>
      <c r="G435" s="41" t="s">
        <v>1166</v>
      </c>
      <c r="H435" s="41" t="s">
        <v>1167</v>
      </c>
      <c r="I435" s="41"/>
      <c r="P435" s="44" t="s">
        <v>1156</v>
      </c>
      <c r="S435" s="44" t="s">
        <v>504</v>
      </c>
    </row>
    <row r="436" spans="2:19">
      <c r="B436" s="75" t="str">
        <f>IF(tbl_Instruement_List[[#This Row],[Tag_New]]="",tbl_Instruement_List[[#This Row],[Tag]],tbl_Instruement_List[[#This Row],[Tag_New]])</f>
        <v>IX-60210A</v>
      </c>
      <c r="C436" s="75"/>
      <c r="D436" s="41" t="s">
        <v>1169</v>
      </c>
      <c r="E436" s="41"/>
      <c r="G436" s="41" t="s">
        <v>1170</v>
      </c>
      <c r="H436" s="41" t="s">
        <v>1171</v>
      </c>
      <c r="I436" s="41"/>
      <c r="P436" s="44" t="s">
        <v>1156</v>
      </c>
      <c r="S436" s="46" t="s">
        <v>485</v>
      </c>
    </row>
    <row r="437" spans="2:19">
      <c r="B437" s="75" t="str">
        <f>IF(tbl_Instruement_List[[#This Row],[Tag_New]]="",tbl_Instruement_List[[#This Row],[Tag]],tbl_Instruement_List[[#This Row],[Tag_New]])</f>
        <v>FCV-60210A</v>
      </c>
      <c r="C437" s="75"/>
      <c r="D437" s="41" t="s">
        <v>1172</v>
      </c>
      <c r="E437" s="41"/>
      <c r="G437" s="41" t="s">
        <v>1173</v>
      </c>
      <c r="H437" s="41" t="s">
        <v>1174</v>
      </c>
      <c r="I437" s="41"/>
      <c r="P437" s="44" t="s">
        <v>1156</v>
      </c>
      <c r="S437" s="46" t="s">
        <v>1133</v>
      </c>
    </row>
    <row r="438" spans="2:19">
      <c r="B438" s="75" t="str">
        <f>IF(tbl_Instruement_List[[#This Row],[Tag_New]]="",tbl_Instruement_List[[#This Row],[Tag]],tbl_Instruement_List[[#This Row],[Tag_New]])</f>
        <v>ZSL-60210A</v>
      </c>
      <c r="C438" s="75"/>
      <c r="D438" s="41" t="s">
        <v>1175</v>
      </c>
      <c r="E438" s="41"/>
      <c r="G438" s="41" t="s">
        <v>1176</v>
      </c>
      <c r="H438" s="41" t="s">
        <v>1139</v>
      </c>
      <c r="I438" s="41"/>
      <c r="P438" s="44" t="s">
        <v>1156</v>
      </c>
      <c r="S438" s="44" t="s">
        <v>504</v>
      </c>
    </row>
    <row r="439" spans="2:19">
      <c r="B439" s="75" t="str">
        <f>IF(tbl_Instruement_List[[#This Row],[Tag_New]]="",tbl_Instruement_List[[#This Row],[Tag]],tbl_Instruement_List[[#This Row],[Tag_New]])</f>
        <v>ZT-60210A</v>
      </c>
      <c r="C439" s="75"/>
      <c r="D439" s="41" t="s">
        <v>1177</v>
      </c>
      <c r="E439" s="41"/>
      <c r="G439" s="41" t="s">
        <v>1178</v>
      </c>
      <c r="H439" s="41" t="s">
        <v>1136</v>
      </c>
      <c r="I439" s="41"/>
      <c r="P439" s="44" t="s">
        <v>1156</v>
      </c>
      <c r="S439" s="46" t="s">
        <v>485</v>
      </c>
    </row>
    <row r="440" spans="2:19">
      <c r="B440" s="75" t="str">
        <f>IF(tbl_Instruement_List[[#This Row],[Tag_New]]="",tbl_Instruement_List[[#This Row],[Tag]],tbl_Instruement_List[[#This Row],[Tag_New]])</f>
        <v>PSH-60210</v>
      </c>
      <c r="C440" s="75"/>
      <c r="D440" s="41" t="s">
        <v>1179</v>
      </c>
      <c r="E440" s="41"/>
      <c r="G440" s="41" t="s">
        <v>1180</v>
      </c>
      <c r="H440" s="41" t="s">
        <v>1181</v>
      </c>
      <c r="I440" s="41"/>
      <c r="P440" s="44" t="s">
        <v>1156</v>
      </c>
      <c r="S440" s="44" t="s">
        <v>504</v>
      </c>
    </row>
    <row r="441" spans="2:19">
      <c r="B441" s="75" t="str">
        <f>IF(tbl_Instruement_List[[#This Row],[Tag_New]]="",tbl_Instruement_List[[#This Row],[Tag]],tbl_Instruement_List[[#This Row],[Tag_New]])</f>
        <v>BV-60210B</v>
      </c>
      <c r="C441" s="75"/>
      <c r="D441" s="41" t="s">
        <v>1182</v>
      </c>
      <c r="E441" s="41"/>
      <c r="G441" s="41" t="s">
        <v>1183</v>
      </c>
      <c r="H441" s="41" t="s">
        <v>1184</v>
      </c>
      <c r="I441" s="41"/>
      <c r="P441" s="44" t="s">
        <v>1156</v>
      </c>
      <c r="S441" s="44" t="s">
        <v>1024</v>
      </c>
    </row>
    <row r="442" spans="2:19">
      <c r="B442" s="75" t="str">
        <f>IF(tbl_Instruement_List[[#This Row],[Tag_New]]="",tbl_Instruement_List[[#This Row],[Tag]],tbl_Instruement_List[[#This Row],[Tag_New]])</f>
        <v>ZSO-60210B</v>
      </c>
      <c r="C442" s="75"/>
      <c r="D442" s="41" t="s">
        <v>1185</v>
      </c>
      <c r="E442" s="41"/>
      <c r="G442" s="41" t="s">
        <v>1186</v>
      </c>
      <c r="H442" s="41" t="s">
        <v>1187</v>
      </c>
      <c r="I442" s="41"/>
      <c r="P442" s="44" t="s">
        <v>1156</v>
      </c>
      <c r="S442" s="59" t="s">
        <v>504</v>
      </c>
    </row>
    <row r="443" spans="2:19">
      <c r="B443" s="75" t="str">
        <f>IF(tbl_Instruement_List[[#This Row],[Tag_New]]="",tbl_Instruement_List[[#This Row],[Tag]],tbl_Instruement_List[[#This Row],[Tag_New]])</f>
        <v>ZSC-60210B</v>
      </c>
      <c r="C443" s="75"/>
      <c r="D443" s="41" t="s">
        <v>1188</v>
      </c>
      <c r="E443" s="41"/>
      <c r="G443" s="41" t="s">
        <v>1189</v>
      </c>
      <c r="H443" s="41" t="s">
        <v>1190</v>
      </c>
      <c r="I443" s="41"/>
      <c r="P443" s="44" t="s">
        <v>1156</v>
      </c>
      <c r="S443" s="59"/>
    </row>
    <row r="444" spans="2:19">
      <c r="B444" s="75" t="str">
        <f>IF(tbl_Instruement_List[[#This Row],[Tag_New]]="",tbl_Instruement_List[[#This Row],[Tag]],tbl_Instruement_List[[#This Row],[Tag_New]])</f>
        <v>VV-60210</v>
      </c>
      <c r="C444" s="75"/>
      <c r="D444" s="41" t="s">
        <v>1191</v>
      </c>
      <c r="E444" s="41"/>
      <c r="G444" s="41" t="s">
        <v>1192</v>
      </c>
      <c r="H444" s="41" t="s">
        <v>1193</v>
      </c>
      <c r="I444" s="41"/>
      <c r="P444" s="44" t="s">
        <v>1156</v>
      </c>
      <c r="S444" s="44" t="s">
        <v>1024</v>
      </c>
    </row>
    <row r="445" spans="2:19">
      <c r="B445" s="75" t="str">
        <f>IF(tbl_Instruement_List[[#This Row],[Tag_New]]="",tbl_Instruement_List[[#This Row],[Tag]],tbl_Instruement_List[[#This Row],[Tag_New]])</f>
        <v>ZSO-60210C</v>
      </c>
      <c r="C445" s="75"/>
      <c r="D445" s="41" t="s">
        <v>1194</v>
      </c>
      <c r="E445" s="41"/>
      <c r="G445" s="41" t="s">
        <v>1186</v>
      </c>
      <c r="H445" s="41" t="s">
        <v>1187</v>
      </c>
      <c r="I445" s="41"/>
      <c r="P445" s="44" t="s">
        <v>1156</v>
      </c>
      <c r="S445" s="59" t="s">
        <v>504</v>
      </c>
    </row>
    <row r="446" spans="2:19">
      <c r="B446" s="75" t="str">
        <f>IF(tbl_Instruement_List[[#This Row],[Tag_New]]="",tbl_Instruement_List[[#This Row],[Tag]],tbl_Instruement_List[[#This Row],[Tag_New]])</f>
        <v>ZSC-60210C</v>
      </c>
      <c r="C446" s="75"/>
      <c r="D446" s="41" t="s">
        <v>1195</v>
      </c>
      <c r="E446" s="41"/>
      <c r="G446" s="41" t="s">
        <v>1189</v>
      </c>
      <c r="H446" s="41" t="s">
        <v>1190</v>
      </c>
      <c r="I446" s="41"/>
      <c r="P446" s="44" t="s">
        <v>1156</v>
      </c>
      <c r="S446" s="59"/>
    </row>
    <row r="447" spans="2:19">
      <c r="B447" s="75" t="str">
        <f>IF(tbl_Instruement_List[[#This Row],[Tag_New]]="",tbl_Instruement_List[[#This Row],[Tag]],tbl_Instruement_List[[#This Row],[Tag_New]])</f>
        <v>PSL-60210</v>
      </c>
      <c r="C447" s="75"/>
      <c r="D447" s="41" t="s">
        <v>1196</v>
      </c>
      <c r="E447" s="41"/>
      <c r="G447" s="41" t="s">
        <v>1197</v>
      </c>
      <c r="H447" s="41" t="s">
        <v>1198</v>
      </c>
      <c r="I447" s="41"/>
      <c r="P447" s="44" t="s">
        <v>1156</v>
      </c>
      <c r="S447" s="44" t="s">
        <v>504</v>
      </c>
    </row>
    <row r="448" spans="2:19">
      <c r="B448" s="75" t="str">
        <f>IF(tbl_Instruement_List[[#This Row],[Tag_New]]="",tbl_Instruement_List[[#This Row],[Tag]],tbl_Instruement_List[[#This Row],[Tag_New]])</f>
        <v>BV-60210A</v>
      </c>
      <c r="C448" s="75"/>
      <c r="D448" s="41" t="s">
        <v>1199</v>
      </c>
      <c r="E448" s="41"/>
      <c r="G448" s="41" t="s">
        <v>1183</v>
      </c>
      <c r="H448" s="41" t="s">
        <v>1184</v>
      </c>
      <c r="I448" s="41"/>
      <c r="P448" s="44" t="s">
        <v>1156</v>
      </c>
      <c r="S448" s="44" t="s">
        <v>1024</v>
      </c>
    </row>
    <row r="449" spans="2:23">
      <c r="B449" s="75" t="str">
        <f>IF(tbl_Instruement_List[[#This Row],[Tag_New]]="",tbl_Instruement_List[[#This Row],[Tag]],tbl_Instruement_List[[#This Row],[Tag_New]])</f>
        <v>ZSO-60210A</v>
      </c>
      <c r="C449" s="75"/>
      <c r="D449" s="41" t="s">
        <v>1200</v>
      </c>
      <c r="E449" s="41"/>
      <c r="G449" s="41" t="s">
        <v>1186</v>
      </c>
      <c r="H449" s="41" t="s">
        <v>1187</v>
      </c>
      <c r="I449" s="41"/>
      <c r="P449" s="44" t="s">
        <v>1156</v>
      </c>
      <c r="S449" s="59" t="s">
        <v>504</v>
      </c>
    </row>
    <row r="450" spans="2:23">
      <c r="B450" s="75" t="str">
        <f>IF(tbl_Instruement_List[[#This Row],[Tag_New]]="",tbl_Instruement_List[[#This Row],[Tag]],tbl_Instruement_List[[#This Row],[Tag_New]])</f>
        <v>ZSC-60210A</v>
      </c>
      <c r="C450" s="75"/>
      <c r="D450" s="41" t="s">
        <v>1201</v>
      </c>
      <c r="E450" s="41"/>
      <c r="G450" s="41" t="s">
        <v>1189</v>
      </c>
      <c r="H450" s="41" t="s">
        <v>1190</v>
      </c>
      <c r="I450" s="41"/>
      <c r="P450" s="44" t="s">
        <v>1156</v>
      </c>
      <c r="S450" s="59"/>
    </row>
    <row r="451" spans="2:23">
      <c r="B451" s="75" t="str">
        <f>IF(tbl_Instruement_List[[#This Row],[Tag_New]]="",tbl_Instruement_List[[#This Row],[Tag]],tbl_Instruement_List[[#This Row],[Tag_New]])</f>
        <v>PUPD Pump Control Panel</v>
      </c>
      <c r="C451" s="75"/>
      <c r="D451" s="41" t="s">
        <v>1202</v>
      </c>
      <c r="E451" s="41"/>
      <c r="F451" s="42"/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42"/>
      <c r="R451" s="42"/>
      <c r="S451" s="42"/>
      <c r="T451" s="42"/>
      <c r="U451" s="42"/>
      <c r="V451" s="63"/>
      <c r="W451" s="63"/>
    </row>
    <row r="452" spans="2:23" s="40" customFormat="1" ht="13" customHeight="1">
      <c r="B452" s="75" t="str">
        <f>IF(tbl_Instruement_List[[#This Row],[Tag_New]]="",tbl_Instruement_List[[#This Row],[Tag]],tbl_Instruement_List[[#This Row],[Tag_New]])</f>
        <v>ES-60202</v>
      </c>
      <c r="C452" s="75"/>
      <c r="D452" s="41" t="s">
        <v>1203</v>
      </c>
      <c r="E452" s="41"/>
      <c r="F452" s="42" t="s">
        <v>638</v>
      </c>
      <c r="G452" s="41" t="s">
        <v>1204</v>
      </c>
      <c r="H452" s="41" t="s">
        <v>1205</v>
      </c>
      <c r="I452" s="41"/>
      <c r="J452" s="44"/>
      <c r="K452" s="44">
        <v>1</v>
      </c>
      <c r="L452" s="44"/>
      <c r="M452" s="44"/>
      <c r="N452" s="44"/>
      <c r="O452" s="44"/>
      <c r="P452" s="44" t="s">
        <v>475</v>
      </c>
      <c r="Q452" s="44"/>
      <c r="R452" s="44" t="s">
        <v>503</v>
      </c>
      <c r="S452" s="44" t="s">
        <v>504</v>
      </c>
      <c r="T452" s="44" t="s">
        <v>18</v>
      </c>
      <c r="U452" s="44" t="s">
        <v>18</v>
      </c>
      <c r="V452" s="44"/>
      <c r="W452" s="44"/>
    </row>
    <row r="453" spans="2:23">
      <c r="B453" s="75" t="str">
        <f>IF(tbl_Instruement_List[[#This Row],[Tag_New]]="",tbl_Instruement_List[[#This Row],[Tag]],tbl_Instruement_List[[#This Row],[Tag_New]])</f>
        <v>PT-60205</v>
      </c>
      <c r="C453" s="75" t="s">
        <v>629</v>
      </c>
      <c r="D453" s="41" t="s">
        <v>216</v>
      </c>
      <c r="E453" s="41"/>
      <c r="F453" s="42" t="s">
        <v>638</v>
      </c>
      <c r="G453" s="41" t="s">
        <v>639</v>
      </c>
      <c r="H453" s="41" t="s">
        <v>629</v>
      </c>
      <c r="I453" s="41"/>
      <c r="J453" s="44" t="s">
        <v>18</v>
      </c>
      <c r="K453" s="47" t="s">
        <v>18</v>
      </c>
      <c r="L453" s="44" t="s">
        <v>18</v>
      </c>
      <c r="M453" s="44" t="s">
        <v>18</v>
      </c>
      <c r="N453" s="44" t="s">
        <v>18</v>
      </c>
      <c r="O453" s="44" t="s">
        <v>474</v>
      </c>
      <c r="P453" s="44" t="s">
        <v>1206</v>
      </c>
      <c r="S453" s="46" t="s">
        <v>485</v>
      </c>
    </row>
    <row r="454" spans="2:23">
      <c r="B454" s="75" t="str">
        <f>IF(tbl_Instruement_List[[#This Row],[Tag_New]]="",tbl_Instruement_List[[#This Row],[Tag]],tbl_Instruement_List[[#This Row],[Tag_New]])</f>
        <v>FS-60205</v>
      </c>
      <c r="C454" s="41" t="s">
        <v>498</v>
      </c>
      <c r="D454" s="41" t="s">
        <v>217</v>
      </c>
      <c r="E454" s="41"/>
      <c r="F454" s="42" t="s">
        <v>638</v>
      </c>
      <c r="G454" s="41" t="s">
        <v>1207</v>
      </c>
      <c r="H454" s="41" t="s">
        <v>498</v>
      </c>
      <c r="I454" s="41"/>
      <c r="J454" s="44" t="s">
        <v>18</v>
      </c>
      <c r="K454" s="47" t="s">
        <v>18</v>
      </c>
      <c r="L454" s="44" t="s">
        <v>18</v>
      </c>
      <c r="M454" s="44" t="s">
        <v>18</v>
      </c>
      <c r="N454" s="44" t="s">
        <v>18</v>
      </c>
      <c r="O454" s="44"/>
      <c r="P454" s="44" t="s">
        <v>1206</v>
      </c>
      <c r="Q454" s="44"/>
      <c r="R454" s="44"/>
      <c r="S454" s="44" t="s">
        <v>504</v>
      </c>
      <c r="T454" s="44" t="s">
        <v>18</v>
      </c>
      <c r="U454" s="44" t="s">
        <v>18</v>
      </c>
      <c r="V454" s="44"/>
      <c r="W454" s="44"/>
    </row>
    <row r="455" spans="2:23">
      <c r="B455" s="75" t="str">
        <f>IF(tbl_Instruement_List[[#This Row],[Tag_New]]="",tbl_Instruement_List[[#This Row],[Tag]],tbl_Instruement_List[[#This Row],[Tag_New]])</f>
        <v>XS-60205</v>
      </c>
      <c r="C455" s="75"/>
      <c r="D455" s="68" t="s">
        <v>1208</v>
      </c>
      <c r="E455" s="68"/>
      <c r="F455" s="42" t="s">
        <v>638</v>
      </c>
      <c r="G455" s="41" t="s">
        <v>1209</v>
      </c>
      <c r="H455" s="41" t="s">
        <v>1210</v>
      </c>
      <c r="I455" s="41"/>
      <c r="J455" s="44">
        <v>1</v>
      </c>
      <c r="K455" s="47" t="s">
        <v>18</v>
      </c>
      <c r="L455" s="44" t="s">
        <v>18</v>
      </c>
      <c r="M455" s="44" t="s">
        <v>18</v>
      </c>
      <c r="N455" s="44" t="s">
        <v>18</v>
      </c>
      <c r="P455" s="44" t="s">
        <v>475</v>
      </c>
      <c r="S455" s="46"/>
      <c r="T455" s="44"/>
      <c r="U455" s="44"/>
    </row>
    <row r="456" spans="2:23">
      <c r="B456" s="75" t="str">
        <f>IF(tbl_Instruement_List[[#This Row],[Tag_New]]="",tbl_Instruement_List[[#This Row],[Tag]],tbl_Instruement_List[[#This Row],[Tag_New]])</f>
        <v>VS-60205</v>
      </c>
      <c r="C456" s="75" t="s">
        <v>1211</v>
      </c>
      <c r="D456" s="41" t="s">
        <v>218</v>
      </c>
      <c r="E456" s="41"/>
      <c r="F456" s="42" t="s">
        <v>638</v>
      </c>
      <c r="G456" s="41" t="s">
        <v>1212</v>
      </c>
      <c r="H456" s="41" t="s">
        <v>1211</v>
      </c>
      <c r="I456" s="41"/>
      <c r="J456" s="44" t="s">
        <v>18</v>
      </c>
      <c r="K456" s="44" t="s">
        <v>18</v>
      </c>
      <c r="L456" s="44" t="s">
        <v>18</v>
      </c>
      <c r="M456" s="44" t="s">
        <v>18</v>
      </c>
      <c r="N456" s="44" t="s">
        <v>18</v>
      </c>
      <c r="O456" s="44" t="s">
        <v>502</v>
      </c>
      <c r="P456" s="44" t="s">
        <v>1206</v>
      </c>
      <c r="Q456" s="44" t="s">
        <v>569</v>
      </c>
      <c r="S456" s="44" t="s">
        <v>504</v>
      </c>
    </row>
    <row r="457" spans="2:23">
      <c r="B457" s="75" t="str">
        <f>IF(tbl_Instruement_List[[#This Row],[Tag_New]]="",tbl_Instruement_List[[#This Row],[Tag]],tbl_Instruement_List[[#This Row],[Tag_New]])</f>
        <v>XV-60205A</v>
      </c>
      <c r="C457" s="75"/>
      <c r="D457" s="41" t="s">
        <v>219</v>
      </c>
      <c r="E457" s="41"/>
      <c r="F457" s="42" t="s">
        <v>638</v>
      </c>
      <c r="G457" s="41" t="s">
        <v>1213</v>
      </c>
      <c r="H457" s="41" t="s">
        <v>928</v>
      </c>
      <c r="I457" s="41"/>
      <c r="J457" s="44" t="s">
        <v>18</v>
      </c>
      <c r="K457" s="44" t="s">
        <v>18</v>
      </c>
      <c r="L457" s="44" t="s">
        <v>18</v>
      </c>
      <c r="M457" s="44" t="s">
        <v>18</v>
      </c>
      <c r="N457" s="44" t="s">
        <v>18</v>
      </c>
      <c r="O457" s="44" t="s">
        <v>929</v>
      </c>
      <c r="P457" s="44" t="s">
        <v>1206</v>
      </c>
      <c r="Q457" s="44" t="s">
        <v>569</v>
      </c>
      <c r="R457" s="44" t="s">
        <v>676</v>
      </c>
      <c r="S457" s="44" t="s">
        <v>753</v>
      </c>
    </row>
    <row r="458" spans="2:23">
      <c r="B458" s="75" t="str">
        <f>IF(tbl_Instruement_List[[#This Row],[Tag_New]]="",tbl_Instruement_List[[#This Row],[Tag]],tbl_Instruement_List[[#This Row],[Tag_New]])</f>
        <v>YA-60205</v>
      </c>
      <c r="C458" s="75"/>
      <c r="D458" s="68" t="s">
        <v>1214</v>
      </c>
      <c r="E458" s="68"/>
      <c r="F458" s="42" t="s">
        <v>638</v>
      </c>
      <c r="G458" s="41" t="s">
        <v>1215</v>
      </c>
      <c r="H458" s="41"/>
      <c r="I458" s="41"/>
      <c r="K458" s="47">
        <v>1</v>
      </c>
      <c r="M458" s="44"/>
      <c r="P458" s="44" t="s">
        <v>475</v>
      </c>
      <c r="S458" s="46"/>
      <c r="T458" s="44"/>
      <c r="U458" s="44"/>
    </row>
    <row r="459" spans="2:23">
      <c r="B459" s="75" t="str">
        <f>IF(tbl_Instruement_List[[#This Row],[Tag_New]]="",tbl_Instruement_List[[#This Row],[Tag]],tbl_Instruement_List[[#This Row],[Tag_New]])</f>
        <v>YI-60205</v>
      </c>
      <c r="C459" s="75"/>
      <c r="D459" s="68" t="s">
        <v>1216</v>
      </c>
      <c r="E459" s="68"/>
      <c r="F459" s="42" t="s">
        <v>638</v>
      </c>
      <c r="G459" s="41" t="s">
        <v>1217</v>
      </c>
      <c r="H459" s="41"/>
      <c r="I459" s="41"/>
      <c r="K459" s="47">
        <v>1</v>
      </c>
      <c r="M459" s="44"/>
      <c r="P459" s="44" t="s">
        <v>475</v>
      </c>
      <c r="S459" s="46"/>
      <c r="T459" s="44"/>
      <c r="U459" s="44"/>
    </row>
    <row r="460" spans="2:23">
      <c r="B460" s="75" t="str">
        <f>IF(tbl_Instruement_List[[#This Row],[Tag_New]]="",tbl_Instruement_List[[#This Row],[Tag]],tbl_Instruement_List[[#This Row],[Tag_New]])</f>
        <v>Suppression Panel</v>
      </c>
      <c r="C460" s="75"/>
      <c r="D460" s="41" t="s">
        <v>1218</v>
      </c>
      <c r="E460" s="41"/>
      <c r="F460" s="42"/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2"/>
      <c r="U460" s="42"/>
      <c r="V460" s="63"/>
      <c r="W460" s="63"/>
    </row>
    <row r="461" spans="2:23">
      <c r="B461" s="75" t="str">
        <f>IF(tbl_Instruement_List[[#This Row],[Tag_New]]="",tbl_Instruement_List[[#This Row],[Tag]],tbl_Instruement_List[[#This Row],[Tag_New]])</f>
        <v>PSH-61301</v>
      </c>
      <c r="C461" s="75"/>
      <c r="D461" s="41" t="s">
        <v>1219</v>
      </c>
      <c r="E461" s="41"/>
      <c r="F461" s="42" t="s">
        <v>78</v>
      </c>
      <c r="G461" s="41" t="s">
        <v>1220</v>
      </c>
      <c r="H461" s="41" t="s">
        <v>1181</v>
      </c>
      <c r="I461" s="41"/>
      <c r="P461" s="44" t="s">
        <v>1221</v>
      </c>
      <c r="S461" s="44" t="s">
        <v>582</v>
      </c>
    </row>
    <row r="462" spans="2:23">
      <c r="B462" s="75" t="str">
        <f>IF(tbl_Instruement_List[[#This Row],[Tag_New]]="",tbl_Instruement_List[[#This Row],[Tag]],tbl_Instruement_List[[#This Row],[Tag_New]])</f>
        <v>PSH-60220</v>
      </c>
      <c r="C462" s="75"/>
      <c r="D462" s="41" t="s">
        <v>1222</v>
      </c>
      <c r="E462" s="41"/>
      <c r="F462" s="42" t="s">
        <v>518</v>
      </c>
      <c r="G462" s="41" t="s">
        <v>1223</v>
      </c>
      <c r="H462" s="41" t="s">
        <v>1224</v>
      </c>
      <c r="I462" s="41"/>
      <c r="P462" s="44" t="s">
        <v>1221</v>
      </c>
      <c r="S462" s="44" t="s">
        <v>582</v>
      </c>
    </row>
    <row r="463" spans="2:23">
      <c r="B463" s="75" t="str">
        <f>IF(tbl_Instruement_List[[#This Row],[Tag_New]]="",tbl_Instruement_List[[#This Row],[Tag]],tbl_Instruement_List[[#This Row],[Tag_New]])</f>
        <v>PSH-60230</v>
      </c>
      <c r="C463" s="75"/>
      <c r="D463" s="41" t="s">
        <v>1225</v>
      </c>
      <c r="E463" s="41"/>
      <c r="F463" s="42" t="s">
        <v>518</v>
      </c>
      <c r="G463" s="41" t="s">
        <v>1226</v>
      </c>
      <c r="H463" s="41" t="s">
        <v>1181</v>
      </c>
      <c r="I463" s="41"/>
      <c r="P463" s="44" t="s">
        <v>1221</v>
      </c>
      <c r="S463" s="44" t="s">
        <v>582</v>
      </c>
    </row>
    <row r="464" spans="2:23">
      <c r="B464" s="75" t="str">
        <f>IF(tbl_Instruement_List[[#This Row],[Tag_New]]="",tbl_Instruement_List[[#This Row],[Tag]],tbl_Instruement_List[[#This Row],[Tag_New]])</f>
        <v>PSH-60231</v>
      </c>
      <c r="C464" s="75"/>
      <c r="D464" s="41" t="s">
        <v>1227</v>
      </c>
      <c r="E464" s="41"/>
      <c r="F464" s="42" t="s">
        <v>518</v>
      </c>
      <c r="G464" s="41" t="s">
        <v>1228</v>
      </c>
      <c r="H464" s="41" t="s">
        <v>1181</v>
      </c>
      <c r="I464" s="41"/>
      <c r="P464" s="44" t="s">
        <v>1221</v>
      </c>
      <c r="S464" s="44" t="s">
        <v>582</v>
      </c>
    </row>
    <row r="465" spans="2:23">
      <c r="B465" s="75" t="str">
        <f>IF(tbl_Instruement_List[[#This Row],[Tag_New]]="",tbl_Instruement_List[[#This Row],[Tag]],tbl_Instruement_List[[#This Row],[Tag_New]])</f>
        <v>PSH-60224</v>
      </c>
      <c r="C465" s="75"/>
      <c r="D465" s="41" t="s">
        <v>1229</v>
      </c>
      <c r="E465" s="41"/>
      <c r="F465" s="42" t="s">
        <v>472</v>
      </c>
      <c r="G465" s="41" t="s">
        <v>1230</v>
      </c>
      <c r="H465" s="41" t="s">
        <v>1181</v>
      </c>
      <c r="I465" s="41"/>
      <c r="P465" s="44" t="s">
        <v>1221</v>
      </c>
      <c r="S465" s="44" t="s">
        <v>582</v>
      </c>
    </row>
    <row r="466" spans="2:23">
      <c r="B466" s="75" t="str">
        <f>IF(tbl_Instruement_List[[#This Row],[Tag_New]]="",tbl_Instruement_List[[#This Row],[Tag]],tbl_Instruement_List[[#This Row],[Tag_New]])</f>
        <v>REMOTE I-O Area-200</v>
      </c>
      <c r="C466" s="75"/>
      <c r="D466" s="32" t="s">
        <v>1231</v>
      </c>
      <c r="E466" s="32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</row>
    <row r="467" spans="2:23">
      <c r="B467" s="75" t="str">
        <f>IF(tbl_Instruement_List[[#This Row],[Tag_New]]="",tbl_Instruement_List[[#This Row],[Tag]],tbl_Instruement_List[[#This Row],[Tag_New]])</f>
        <v>HV-20204</v>
      </c>
      <c r="C467" s="75" t="s">
        <v>565</v>
      </c>
      <c r="D467" s="41" t="s">
        <v>1232</v>
      </c>
      <c r="E467" s="41" t="s">
        <v>385</v>
      </c>
      <c r="F467" s="42" t="s">
        <v>500</v>
      </c>
      <c r="G467" s="41" t="s">
        <v>572</v>
      </c>
      <c r="H467" s="41" t="s">
        <v>568</v>
      </c>
      <c r="I467" s="41"/>
      <c r="J467" s="44" t="s">
        <v>18</v>
      </c>
      <c r="K467" s="44">
        <v>1</v>
      </c>
      <c r="L467" s="42" t="s">
        <v>18</v>
      </c>
      <c r="M467" s="42" t="s">
        <v>18</v>
      </c>
      <c r="N467" s="44" t="s">
        <v>18</v>
      </c>
      <c r="O467" s="44" t="s">
        <v>502</v>
      </c>
      <c r="P467" s="44" t="s">
        <v>382</v>
      </c>
      <c r="Q467" s="44" t="s">
        <v>569</v>
      </c>
      <c r="R467" s="44" t="s">
        <v>570</v>
      </c>
      <c r="S467" s="44" t="s">
        <v>504</v>
      </c>
      <c r="T467" s="44" t="s">
        <v>18</v>
      </c>
      <c r="U467" s="44" t="s">
        <v>18</v>
      </c>
      <c r="V467" s="44"/>
      <c r="W467" s="44"/>
    </row>
    <row r="468" spans="2:23">
      <c r="B468" s="75" t="str">
        <f>IF(tbl_Instruement_List[[#This Row],[Tag_New]]="",tbl_Instruement_List[[#This Row],[Tag]],tbl_Instruement_List[[#This Row],[Tag_New]])</f>
        <v>HV-20205</v>
      </c>
      <c r="C468" s="75" t="s">
        <v>565</v>
      </c>
      <c r="D468" s="41" t="s">
        <v>1233</v>
      </c>
      <c r="E468" s="41" t="s">
        <v>387</v>
      </c>
      <c r="F468" s="42" t="s">
        <v>500</v>
      </c>
      <c r="G468" s="41" t="s">
        <v>572</v>
      </c>
      <c r="H468" s="41" t="s">
        <v>568</v>
      </c>
      <c r="I468" s="41"/>
      <c r="J468" s="44" t="s">
        <v>18</v>
      </c>
      <c r="K468" s="44">
        <v>1</v>
      </c>
      <c r="L468" s="44" t="s">
        <v>18</v>
      </c>
      <c r="M468" s="44" t="s">
        <v>18</v>
      </c>
      <c r="N468" s="44" t="s">
        <v>18</v>
      </c>
      <c r="O468" s="44" t="s">
        <v>502</v>
      </c>
      <c r="P468" s="44" t="s">
        <v>382</v>
      </c>
      <c r="Q468" s="44" t="s">
        <v>569</v>
      </c>
      <c r="R468" s="44" t="s">
        <v>570</v>
      </c>
      <c r="S468" s="44" t="s">
        <v>504</v>
      </c>
      <c r="T468" s="44" t="s">
        <v>18</v>
      </c>
      <c r="U468" s="44" t="s">
        <v>18</v>
      </c>
      <c r="V468" s="44"/>
      <c r="W468" s="44"/>
    </row>
    <row r="469" spans="2:23">
      <c r="B469" s="75" t="str">
        <f>IF(tbl_Instruement_List[[#This Row],[Tag_New]]="",tbl_Instruement_List[[#This Row],[Tag]],tbl_Instruement_List[[#This Row],[Tag_New]])</f>
        <v>HV-20206</v>
      </c>
      <c r="C469" s="75" t="s">
        <v>565</v>
      </c>
      <c r="D469" s="41" t="s">
        <v>1234</v>
      </c>
      <c r="E469" s="41" t="s">
        <v>388</v>
      </c>
      <c r="F469" s="42" t="s">
        <v>500</v>
      </c>
      <c r="G469" s="41" t="s">
        <v>572</v>
      </c>
      <c r="H469" s="41" t="s">
        <v>568</v>
      </c>
      <c r="I469" s="41"/>
      <c r="J469" s="44" t="s">
        <v>18</v>
      </c>
      <c r="K469" s="44">
        <v>1</v>
      </c>
      <c r="L469" s="44" t="s">
        <v>18</v>
      </c>
      <c r="M469" s="44" t="s">
        <v>18</v>
      </c>
      <c r="N469" s="44" t="s">
        <v>18</v>
      </c>
      <c r="O469" s="44" t="s">
        <v>502</v>
      </c>
      <c r="P469" s="44" t="s">
        <v>382</v>
      </c>
      <c r="Q469" s="44" t="s">
        <v>569</v>
      </c>
      <c r="R469" s="44" t="s">
        <v>570</v>
      </c>
      <c r="S469" s="44" t="s">
        <v>504</v>
      </c>
      <c r="T469" s="44" t="s">
        <v>18</v>
      </c>
      <c r="U469" s="44" t="s">
        <v>18</v>
      </c>
      <c r="V469" s="44"/>
      <c r="W469" s="44"/>
    </row>
    <row r="470" spans="2:23">
      <c r="B470" s="75" t="str">
        <f>IF(tbl_Instruement_List[[#This Row],[Tag_New]]="",tbl_Instruement_List[[#This Row],[Tag]],tbl_Instruement_List[[#This Row],[Tag_New]])</f>
        <v>HV-20207</v>
      </c>
      <c r="C470" s="75" t="s">
        <v>565</v>
      </c>
      <c r="D470" s="41" t="s">
        <v>1235</v>
      </c>
      <c r="E470" s="41" t="s">
        <v>389</v>
      </c>
      <c r="F470" s="42" t="s">
        <v>500</v>
      </c>
      <c r="G470" s="41" t="s">
        <v>572</v>
      </c>
      <c r="H470" s="41" t="s">
        <v>568</v>
      </c>
      <c r="I470" s="41"/>
      <c r="J470" s="44" t="s">
        <v>18</v>
      </c>
      <c r="K470" s="44">
        <v>1</v>
      </c>
      <c r="L470" s="44" t="s">
        <v>18</v>
      </c>
      <c r="M470" s="44" t="s">
        <v>18</v>
      </c>
      <c r="N470" s="44" t="s">
        <v>18</v>
      </c>
      <c r="O470" s="44" t="s">
        <v>502</v>
      </c>
      <c r="P470" s="44" t="s">
        <v>382</v>
      </c>
      <c r="Q470" s="44" t="s">
        <v>569</v>
      </c>
      <c r="R470" s="44" t="s">
        <v>570</v>
      </c>
      <c r="S470" s="44" t="s">
        <v>504</v>
      </c>
      <c r="T470" s="44" t="s">
        <v>18</v>
      </c>
      <c r="U470" s="44" t="s">
        <v>18</v>
      </c>
      <c r="V470" s="44"/>
      <c r="W470" s="44"/>
    </row>
    <row r="471" spans="2:23">
      <c r="B471" s="75" t="str">
        <f>IF(tbl_Instruement_List[[#This Row],[Tag_New]]="",tbl_Instruement_List[[#This Row],[Tag]],tbl_Instruement_List[[#This Row],[Tag_New]])</f>
        <v>HV-20208</v>
      </c>
      <c r="C471" s="75" t="s">
        <v>565</v>
      </c>
      <c r="D471" s="41" t="s">
        <v>1236</v>
      </c>
      <c r="E471" s="41" t="s">
        <v>390</v>
      </c>
      <c r="F471" s="42" t="s">
        <v>1237</v>
      </c>
      <c r="G471" s="41" t="s">
        <v>572</v>
      </c>
      <c r="H471" s="41" t="s">
        <v>568</v>
      </c>
      <c r="I471" s="41"/>
      <c r="J471" s="44" t="s">
        <v>18</v>
      </c>
      <c r="K471" s="44">
        <v>1</v>
      </c>
      <c r="L471" s="44" t="s">
        <v>18</v>
      </c>
      <c r="M471" s="44" t="s">
        <v>18</v>
      </c>
      <c r="N471" s="44" t="s">
        <v>18</v>
      </c>
      <c r="O471" s="44" t="s">
        <v>502</v>
      </c>
      <c r="P471" s="44" t="s">
        <v>382</v>
      </c>
      <c r="Q471" s="44" t="s">
        <v>569</v>
      </c>
      <c r="R471" s="44" t="s">
        <v>570</v>
      </c>
      <c r="S471" s="44" t="s">
        <v>504</v>
      </c>
      <c r="T471" s="44" t="s">
        <v>18</v>
      </c>
      <c r="U471" s="44" t="s">
        <v>18</v>
      </c>
      <c r="V471" s="44"/>
      <c r="W471" s="44"/>
    </row>
    <row r="472" spans="2:23">
      <c r="B472" s="75" t="str">
        <f>IF(tbl_Instruement_List[[#This Row],[Tag_New]]="",tbl_Instruement_List[[#This Row],[Tag]],tbl_Instruement_List[[#This Row],[Tag_New]])</f>
        <v>HV-20209</v>
      </c>
      <c r="C472" s="75" t="s">
        <v>565</v>
      </c>
      <c r="D472" s="41" t="s">
        <v>1238</v>
      </c>
      <c r="E472" s="41" t="s">
        <v>393</v>
      </c>
      <c r="F472" s="42" t="s">
        <v>1237</v>
      </c>
      <c r="G472" s="41" t="s">
        <v>572</v>
      </c>
      <c r="H472" s="41" t="s">
        <v>568</v>
      </c>
      <c r="I472" s="41"/>
      <c r="J472" s="44" t="s">
        <v>18</v>
      </c>
      <c r="K472" s="44">
        <v>1</v>
      </c>
      <c r="L472" s="44" t="s">
        <v>18</v>
      </c>
      <c r="M472" s="44" t="s">
        <v>18</v>
      </c>
      <c r="N472" s="44" t="s">
        <v>18</v>
      </c>
      <c r="O472" s="44" t="s">
        <v>502</v>
      </c>
      <c r="P472" s="44" t="s">
        <v>382</v>
      </c>
      <c r="Q472" s="44" t="s">
        <v>569</v>
      </c>
      <c r="R472" s="44" t="s">
        <v>570</v>
      </c>
      <c r="S472" s="44" t="s">
        <v>504</v>
      </c>
      <c r="T472" s="44" t="s">
        <v>18</v>
      </c>
      <c r="U472" s="44" t="s">
        <v>18</v>
      </c>
      <c r="V472" s="44"/>
      <c r="W472" s="44"/>
    </row>
    <row r="473" spans="2:23">
      <c r="B473" s="75" t="str">
        <f>IF(tbl_Instruement_List[[#This Row],[Tag_New]]="",tbl_Instruement_List[[#This Row],[Tag]],tbl_Instruement_List[[#This Row],[Tag_New]])</f>
        <v>HV-20210</v>
      </c>
      <c r="C473" s="75" t="s">
        <v>565</v>
      </c>
      <c r="D473" s="41" t="s">
        <v>1239</v>
      </c>
      <c r="E473" s="41" t="s">
        <v>394</v>
      </c>
      <c r="F473" s="42" t="s">
        <v>1237</v>
      </c>
      <c r="G473" s="41" t="s">
        <v>572</v>
      </c>
      <c r="H473" s="41" t="s">
        <v>568</v>
      </c>
      <c r="I473" s="41"/>
      <c r="J473" s="44" t="s">
        <v>18</v>
      </c>
      <c r="K473" s="44">
        <v>1</v>
      </c>
      <c r="L473" s="44" t="s">
        <v>18</v>
      </c>
      <c r="M473" s="44" t="s">
        <v>18</v>
      </c>
      <c r="N473" s="44" t="s">
        <v>18</v>
      </c>
      <c r="O473" s="44" t="s">
        <v>502</v>
      </c>
      <c r="P473" s="44" t="s">
        <v>382</v>
      </c>
      <c r="Q473" s="44" t="s">
        <v>569</v>
      </c>
      <c r="R473" s="44" t="s">
        <v>570</v>
      </c>
      <c r="S473" s="44" t="s">
        <v>504</v>
      </c>
      <c r="T473" s="44" t="s">
        <v>18</v>
      </c>
      <c r="U473" s="44" t="s">
        <v>18</v>
      </c>
      <c r="V473" s="44"/>
      <c r="W473" s="44"/>
    </row>
    <row r="474" spans="2:23">
      <c r="B474" s="75" t="str">
        <f>IF(tbl_Instruement_List[[#This Row],[Tag_New]]="",tbl_Instruement_List[[#This Row],[Tag]],tbl_Instruement_List[[#This Row],[Tag_New]])</f>
        <v>XV-20201</v>
      </c>
      <c r="C474" s="75"/>
      <c r="D474" s="41" t="s">
        <v>395</v>
      </c>
      <c r="E474" s="41"/>
      <c r="F474" s="42" t="s">
        <v>500</v>
      </c>
      <c r="G474" s="41" t="s">
        <v>1240</v>
      </c>
      <c r="H474" s="41" t="s">
        <v>752</v>
      </c>
      <c r="I474" s="41"/>
      <c r="J474" s="57">
        <v>1</v>
      </c>
      <c r="K474" s="57">
        <v>2</v>
      </c>
      <c r="L474" s="42" t="s">
        <v>18</v>
      </c>
      <c r="M474" s="42" t="s">
        <v>18</v>
      </c>
      <c r="N474" s="44" t="s">
        <v>18</v>
      </c>
      <c r="O474" s="44" t="s">
        <v>675</v>
      </c>
      <c r="P474" s="44" t="s">
        <v>382</v>
      </c>
      <c r="Q474" s="44" t="s">
        <v>569</v>
      </c>
      <c r="R474" s="60" t="s">
        <v>676</v>
      </c>
      <c r="S474" s="46" t="s">
        <v>753</v>
      </c>
      <c r="T474" s="44" t="s">
        <v>564</v>
      </c>
      <c r="U474" s="44" t="s">
        <v>18</v>
      </c>
      <c r="V474" s="44"/>
      <c r="W474" s="44"/>
    </row>
    <row r="475" spans="2:23">
      <c r="B475" s="75" t="str">
        <f>IF(tbl_Instruement_List[[#This Row],[Tag_New]]="",tbl_Instruement_List[[#This Row],[Tag]],tbl_Instruement_List[[#This Row],[Tag_New]])</f>
        <v>XV-20202</v>
      </c>
      <c r="C475" s="75"/>
      <c r="D475" s="41" t="s">
        <v>396</v>
      </c>
      <c r="E475" s="41"/>
      <c r="F475" s="42" t="s">
        <v>500</v>
      </c>
      <c r="G475" s="41" t="s">
        <v>1240</v>
      </c>
      <c r="H475" s="41" t="s">
        <v>752</v>
      </c>
      <c r="I475" s="41"/>
      <c r="J475" s="44">
        <v>1</v>
      </c>
      <c r="K475" s="47">
        <v>2</v>
      </c>
      <c r="L475" s="44" t="s">
        <v>18</v>
      </c>
      <c r="M475" s="44" t="s">
        <v>18</v>
      </c>
      <c r="N475" s="44" t="s">
        <v>18</v>
      </c>
      <c r="O475" s="44" t="s">
        <v>675</v>
      </c>
      <c r="P475" s="44" t="s">
        <v>382</v>
      </c>
      <c r="Q475" s="44" t="s">
        <v>569</v>
      </c>
      <c r="R475" s="44" t="s">
        <v>676</v>
      </c>
      <c r="S475" s="44" t="s">
        <v>753</v>
      </c>
      <c r="T475" s="44" t="s">
        <v>564</v>
      </c>
      <c r="U475" s="44" t="s">
        <v>18</v>
      </c>
      <c r="V475" s="44"/>
      <c r="W475" s="44"/>
    </row>
    <row r="476" spans="2:23">
      <c r="B476" s="75" t="str">
        <f>IF(tbl_Instruement_List[[#This Row],[Tag_New]]="",tbl_Instruement_List[[#This Row],[Tag]],tbl_Instruement_List[[#This Row],[Tag_New]])</f>
        <v>XV-20203</v>
      </c>
      <c r="C476" s="75"/>
      <c r="D476" s="41" t="s">
        <v>397</v>
      </c>
      <c r="E476" s="41"/>
      <c r="F476" s="42" t="s">
        <v>500</v>
      </c>
      <c r="G476" s="41" t="s">
        <v>1240</v>
      </c>
      <c r="H476" s="41" t="s">
        <v>752</v>
      </c>
      <c r="I476" s="41"/>
      <c r="J476" s="44">
        <v>1</v>
      </c>
      <c r="K476" s="47">
        <v>2</v>
      </c>
      <c r="L476" s="44" t="s">
        <v>18</v>
      </c>
      <c r="M476" s="44" t="s">
        <v>18</v>
      </c>
      <c r="N476" s="44" t="s">
        <v>18</v>
      </c>
      <c r="O476" s="44" t="s">
        <v>675</v>
      </c>
      <c r="P476" s="44" t="s">
        <v>382</v>
      </c>
      <c r="Q476" s="44" t="s">
        <v>569</v>
      </c>
      <c r="R476" s="44" t="s">
        <v>676</v>
      </c>
      <c r="S476" s="44" t="s">
        <v>753</v>
      </c>
      <c r="T476" s="44" t="s">
        <v>564</v>
      </c>
      <c r="U476" s="44" t="s">
        <v>18</v>
      </c>
      <c r="V476" s="44"/>
      <c r="W476" s="44"/>
    </row>
    <row r="477" spans="2:23">
      <c r="B477" s="75" t="str">
        <f>IF(tbl_Instruement_List[[#This Row],[Tag_New]]="",tbl_Instruement_List[[#This Row],[Tag]],tbl_Instruement_List[[#This Row],[Tag_New]])</f>
        <v>XV-20211</v>
      </c>
      <c r="C477" s="75"/>
      <c r="D477" s="41" t="s">
        <v>398</v>
      </c>
      <c r="E477" s="41"/>
      <c r="F477" s="42" t="s">
        <v>500</v>
      </c>
      <c r="G477" s="41" t="s">
        <v>1241</v>
      </c>
      <c r="H477" s="41" t="s">
        <v>752</v>
      </c>
      <c r="I477" s="41"/>
      <c r="J477" s="44">
        <v>1</v>
      </c>
      <c r="K477" s="47">
        <v>2</v>
      </c>
      <c r="L477" s="44" t="s">
        <v>18</v>
      </c>
      <c r="M477" s="44" t="s">
        <v>18</v>
      </c>
      <c r="N477" s="44" t="s">
        <v>18</v>
      </c>
      <c r="O477" s="44" t="s">
        <v>675</v>
      </c>
      <c r="P477" s="44" t="s">
        <v>382</v>
      </c>
      <c r="Q477" s="44" t="s">
        <v>569</v>
      </c>
      <c r="R477" s="44" t="s">
        <v>676</v>
      </c>
      <c r="S477" s="44" t="s">
        <v>753</v>
      </c>
      <c r="T477" s="44" t="s">
        <v>564</v>
      </c>
      <c r="U477" s="44" t="s">
        <v>18</v>
      </c>
      <c r="V477" s="44"/>
      <c r="W477" s="44"/>
    </row>
    <row r="478" spans="2:23">
      <c r="B478" s="75" t="str">
        <f>IF(tbl_Instruement_List[[#This Row],[Tag_New]]="",tbl_Instruement_List[[#This Row],[Tag]],tbl_Instruement_List[[#This Row],[Tag_New]])</f>
        <v>XV-20212</v>
      </c>
      <c r="C478" s="75"/>
      <c r="D478" s="41" t="s">
        <v>399</v>
      </c>
      <c r="E478" s="41"/>
      <c r="F478" s="42" t="s">
        <v>500</v>
      </c>
      <c r="G478" s="41" t="s">
        <v>1241</v>
      </c>
      <c r="H478" s="41" t="s">
        <v>752</v>
      </c>
      <c r="I478" s="41"/>
      <c r="J478" s="44">
        <v>1</v>
      </c>
      <c r="K478" s="47">
        <v>2</v>
      </c>
      <c r="L478" s="44" t="s">
        <v>18</v>
      </c>
      <c r="M478" s="44" t="s">
        <v>18</v>
      </c>
      <c r="N478" s="44" t="s">
        <v>18</v>
      </c>
      <c r="O478" s="44" t="s">
        <v>675</v>
      </c>
      <c r="P478" s="44" t="s">
        <v>382</v>
      </c>
      <c r="Q478" s="44" t="s">
        <v>569</v>
      </c>
      <c r="R478" s="44" t="s">
        <v>676</v>
      </c>
      <c r="S478" s="44" t="s">
        <v>753</v>
      </c>
      <c r="T478" s="44" t="s">
        <v>564</v>
      </c>
      <c r="U478" s="44" t="s">
        <v>18</v>
      </c>
      <c r="V478" s="44"/>
      <c r="W478" s="44"/>
    </row>
    <row r="479" spans="2:23">
      <c r="B479" s="75" t="str">
        <f>IF(tbl_Instruement_List[[#This Row],[Tag_New]]="",tbl_Instruement_List[[#This Row],[Tag]],tbl_Instruement_List[[#This Row],[Tag_New]])</f>
        <v>XV-20213</v>
      </c>
      <c r="C479" s="75"/>
      <c r="D479" s="41" t="s">
        <v>400</v>
      </c>
      <c r="E479" s="41"/>
      <c r="F479" s="42" t="s">
        <v>500</v>
      </c>
      <c r="G479" s="41" t="s">
        <v>1241</v>
      </c>
      <c r="H479" s="41" t="s">
        <v>752</v>
      </c>
      <c r="I479" s="41"/>
      <c r="J479" s="44">
        <v>1</v>
      </c>
      <c r="K479" s="47">
        <v>2</v>
      </c>
      <c r="L479" s="44" t="s">
        <v>18</v>
      </c>
      <c r="M479" s="44" t="s">
        <v>18</v>
      </c>
      <c r="N479" s="44" t="s">
        <v>18</v>
      </c>
      <c r="O479" s="44" t="s">
        <v>675</v>
      </c>
      <c r="P479" s="44" t="s">
        <v>382</v>
      </c>
      <c r="Q479" s="44" t="s">
        <v>569</v>
      </c>
      <c r="R479" s="44" t="s">
        <v>676</v>
      </c>
      <c r="S479" s="44" t="s">
        <v>753</v>
      </c>
      <c r="T479" s="44" t="s">
        <v>564</v>
      </c>
      <c r="U479" s="44" t="s">
        <v>18</v>
      </c>
      <c r="V479" s="44"/>
      <c r="W479" s="44"/>
    </row>
    <row r="480" spans="2:23" s="40" customFormat="1" ht="13" customHeight="1">
      <c r="B480" s="75" t="str">
        <f>IF(tbl_Instruement_List[[#This Row],[Tag_New]]="",tbl_Instruement_List[[#This Row],[Tag]],tbl_Instruement_List[[#This Row],[Tag_New]])</f>
        <v>LS-814201</v>
      </c>
      <c r="C480" s="75"/>
      <c r="D480" s="41" t="s">
        <v>1242</v>
      </c>
      <c r="E480" s="41" t="s">
        <v>1243</v>
      </c>
      <c r="F480" s="42" t="s">
        <v>601</v>
      </c>
      <c r="G480" s="41" t="s">
        <v>593</v>
      </c>
      <c r="H480" s="41" t="s">
        <v>580</v>
      </c>
      <c r="I480" s="41"/>
      <c r="J480" s="44" t="s">
        <v>18</v>
      </c>
      <c r="K480" s="44">
        <v>1</v>
      </c>
      <c r="L480" s="44" t="s">
        <v>18</v>
      </c>
      <c r="M480" s="44" t="s">
        <v>18</v>
      </c>
      <c r="N480" s="44" t="s">
        <v>18</v>
      </c>
      <c r="O480" s="44" t="s">
        <v>502</v>
      </c>
      <c r="P480" s="44" t="s">
        <v>382</v>
      </c>
      <c r="Q480" s="44" t="s">
        <v>569</v>
      </c>
      <c r="R480" s="44" t="s">
        <v>596</v>
      </c>
      <c r="S480" s="44" t="s">
        <v>582</v>
      </c>
      <c r="T480" s="44" t="s">
        <v>651</v>
      </c>
      <c r="U480" s="44" t="s">
        <v>489</v>
      </c>
      <c r="V480" s="44"/>
      <c r="W480" s="44"/>
    </row>
    <row r="481" spans="2:23">
      <c r="B481" s="75" t="str">
        <f>IF(tbl_Instruement_List[[#This Row],[Tag_New]]="",tbl_Instruement_List[[#This Row],[Tag]],tbl_Instruement_List[[#This Row],[Tag_New]])</f>
        <v>PCM-20201</v>
      </c>
      <c r="C481" s="75"/>
      <c r="D481" s="41" t="s">
        <v>1244</v>
      </c>
      <c r="E481" s="41" t="s">
        <v>1245</v>
      </c>
      <c r="F481" s="42" t="s">
        <v>500</v>
      </c>
      <c r="G481" s="41" t="s">
        <v>1246</v>
      </c>
      <c r="H481" s="41"/>
      <c r="I481" s="41"/>
      <c r="J481" s="44">
        <v>1</v>
      </c>
      <c r="K481" s="47">
        <v>3</v>
      </c>
      <c r="L481" s="44" t="s">
        <v>18</v>
      </c>
      <c r="M481" s="44" t="s">
        <v>18</v>
      </c>
      <c r="N481" s="44" t="s">
        <v>18</v>
      </c>
      <c r="O481" s="44" t="s">
        <v>675</v>
      </c>
      <c r="P481" s="44" t="s">
        <v>382</v>
      </c>
      <c r="Q481" s="44" t="s">
        <v>569</v>
      </c>
      <c r="S481" s="44" t="s">
        <v>1247</v>
      </c>
      <c r="U481" s="23" t="s">
        <v>1248</v>
      </c>
    </row>
    <row r="482" spans="2:23" s="69" customFormat="1">
      <c r="B482" s="75" t="str">
        <f>IF(tbl_Instruement_List[[#This Row],[Tag_New]]="",tbl_Instruement_List[[#This Row],[Tag]],tbl_Instruement_List[[#This Row],[Tag_New]])</f>
        <v>PCM-2031</v>
      </c>
      <c r="C482" s="75"/>
      <c r="D482" s="70" t="s">
        <v>1249</v>
      </c>
      <c r="E482" s="70"/>
      <c r="F482" s="71" t="s">
        <v>500</v>
      </c>
      <c r="G482" s="70" t="s">
        <v>1250</v>
      </c>
      <c r="H482" s="70"/>
      <c r="I482" s="70"/>
      <c r="J482" s="72">
        <v>2</v>
      </c>
      <c r="K482" s="73">
        <v>2</v>
      </c>
      <c r="L482" s="72" t="s">
        <v>18</v>
      </c>
      <c r="M482" s="72" t="s">
        <v>18</v>
      </c>
      <c r="N482" s="72" t="s">
        <v>18</v>
      </c>
      <c r="O482" s="72" t="s">
        <v>675</v>
      </c>
      <c r="P482" s="72" t="s">
        <v>382</v>
      </c>
      <c r="Q482" s="72" t="s">
        <v>569</v>
      </c>
      <c r="R482" s="23"/>
      <c r="S482" s="72"/>
      <c r="U482" s="69" t="s">
        <v>1248</v>
      </c>
    </row>
    <row r="483" spans="2:23">
      <c r="B483" s="75" t="str">
        <f>IF(tbl_Instruement_List[[#This Row],[Tag_New]]="",tbl_Instruement_List[[#This Row],[Tag]],tbl_Instruement_List[[#This Row],[Tag_New]])</f>
        <v>PCY-814201</v>
      </c>
      <c r="C483" s="75" t="s">
        <v>878</v>
      </c>
      <c r="D483" s="41" t="s">
        <v>1251</v>
      </c>
      <c r="E483" s="41" t="s">
        <v>1252</v>
      </c>
      <c r="F483" s="42" t="s">
        <v>601</v>
      </c>
      <c r="G483" s="41" t="s">
        <v>1253</v>
      </c>
      <c r="H483" s="41"/>
      <c r="I483" s="41"/>
      <c r="J483" s="44">
        <v>1</v>
      </c>
      <c r="K483" s="47">
        <v>3</v>
      </c>
      <c r="L483" s="44" t="s">
        <v>18</v>
      </c>
      <c r="M483" s="44" t="s">
        <v>18</v>
      </c>
      <c r="N483" s="44">
        <v>1</v>
      </c>
      <c r="O483" s="44" t="s">
        <v>675</v>
      </c>
      <c r="P483" s="44" t="s">
        <v>382</v>
      </c>
      <c r="Q483" s="44" t="s">
        <v>569</v>
      </c>
      <c r="S483" s="44" t="s">
        <v>1254</v>
      </c>
    </row>
    <row r="484" spans="2:23">
      <c r="B484" s="75" t="str">
        <f>IF(tbl_Instruement_List[[#This Row],[Tag_New]]="",tbl_Instruement_List[[#This Row],[Tag]],tbl_Instruement_List[[#This Row],[Tag_New]])</f>
        <v>PCY-814202</v>
      </c>
      <c r="C484" s="75" t="s">
        <v>878</v>
      </c>
      <c r="D484" s="41" t="s">
        <v>1255</v>
      </c>
      <c r="E484" s="41" t="s">
        <v>1256</v>
      </c>
      <c r="F484" s="42" t="s">
        <v>601</v>
      </c>
      <c r="G484" s="41" t="s">
        <v>1257</v>
      </c>
      <c r="H484" s="41"/>
      <c r="I484" s="41"/>
      <c r="J484" s="44">
        <v>1</v>
      </c>
      <c r="K484" s="47">
        <v>3</v>
      </c>
      <c r="L484" s="44" t="s">
        <v>18</v>
      </c>
      <c r="M484" s="44" t="s">
        <v>18</v>
      </c>
      <c r="N484" s="44">
        <v>1</v>
      </c>
      <c r="O484" s="44" t="s">
        <v>675</v>
      </c>
      <c r="P484" s="44" t="s">
        <v>382</v>
      </c>
      <c r="Q484" s="44" t="s">
        <v>569</v>
      </c>
      <c r="S484" s="44"/>
    </row>
    <row r="485" spans="2:23">
      <c r="B485" s="75" t="str">
        <f>IF(tbl_Instruement_List[[#This Row],[Tag_New]]="",tbl_Instruement_List[[#This Row],[Tag]],tbl_Instruement_List[[#This Row],[Tag_New]])</f>
        <v>LPG Station</v>
      </c>
      <c r="C485" s="75"/>
      <c r="D485" s="41" t="s">
        <v>1258</v>
      </c>
      <c r="E485" s="41"/>
      <c r="F485" s="42"/>
      <c r="G485" s="42"/>
      <c r="H485" s="42"/>
      <c r="I485" s="42"/>
      <c r="J485" s="42"/>
      <c r="K485" s="42"/>
      <c r="L485" s="42"/>
      <c r="M485" s="42"/>
      <c r="N485" s="42"/>
      <c r="O485" s="42"/>
      <c r="P485" s="42"/>
      <c r="Q485" s="42"/>
      <c r="R485" s="42"/>
      <c r="S485" s="42"/>
      <c r="T485" s="42"/>
      <c r="U485" s="42"/>
      <c r="V485" s="63"/>
      <c r="W485" s="63"/>
    </row>
    <row r="486" spans="2:23" s="40" customFormat="1" ht="12.75" customHeight="1">
      <c r="B486" s="75" t="str">
        <f>IF(tbl_Instruement_List[[#This Row],[Tag_New]]="",tbl_Instruement_List[[#This Row],[Tag]],tbl_Instruement_List[[#This Row],[Tag_New]])</f>
        <v>FT-913201</v>
      </c>
      <c r="C486" s="75"/>
      <c r="D486" s="41" t="s">
        <v>1259</v>
      </c>
      <c r="E486" s="41" t="s">
        <v>403</v>
      </c>
      <c r="F486" s="42" t="s">
        <v>1260</v>
      </c>
      <c r="G486" s="41" t="s">
        <v>1261</v>
      </c>
      <c r="H486" s="41" t="s">
        <v>507</v>
      </c>
      <c r="I486" s="41"/>
      <c r="J486" s="44" t="s">
        <v>18</v>
      </c>
      <c r="K486" s="44">
        <v>1</v>
      </c>
      <c r="L486" s="44" t="s">
        <v>18</v>
      </c>
      <c r="M486" s="43">
        <v>2</v>
      </c>
      <c r="N486" s="44" t="s">
        <v>18</v>
      </c>
      <c r="O486" s="44" t="s">
        <v>509</v>
      </c>
      <c r="P486" s="44" t="s">
        <v>382</v>
      </c>
      <c r="Q486" s="44" t="s">
        <v>1262</v>
      </c>
      <c r="R486" s="44" t="s">
        <v>511</v>
      </c>
      <c r="S486" s="46" t="s">
        <v>512</v>
      </c>
      <c r="T486" s="44" t="s">
        <v>564</v>
      </c>
      <c r="U486" s="44" t="s">
        <v>18</v>
      </c>
      <c r="V486" s="44"/>
      <c r="W486" s="44"/>
    </row>
    <row r="487" spans="2:23" s="40" customFormat="1" ht="12.75" customHeight="1">
      <c r="B487" s="75" t="str">
        <f>IF(tbl_Instruement_List[[#This Row],[Tag_New]]="",tbl_Instruement_List[[#This Row],[Tag]],tbl_Instruement_List[[#This Row],[Tag_New]])</f>
        <v>LT-913201</v>
      </c>
      <c r="C487" s="75" t="s">
        <v>603</v>
      </c>
      <c r="D487" s="41" t="s">
        <v>1263</v>
      </c>
      <c r="E487" s="41" t="s">
        <v>427</v>
      </c>
      <c r="F487" s="42" t="s">
        <v>1264</v>
      </c>
      <c r="G487" s="41" t="s">
        <v>1265</v>
      </c>
      <c r="H487" s="41" t="s">
        <v>606</v>
      </c>
      <c r="I487" s="41"/>
      <c r="J487" s="44" t="s">
        <v>18</v>
      </c>
      <c r="K487" s="44" t="s">
        <v>18</v>
      </c>
      <c r="L487" s="44" t="s">
        <v>18</v>
      </c>
      <c r="M487" s="44">
        <v>1</v>
      </c>
      <c r="N487" s="44" t="s">
        <v>18</v>
      </c>
      <c r="O487" s="44" t="s">
        <v>474</v>
      </c>
      <c r="P487" s="44" t="s">
        <v>382</v>
      </c>
      <c r="Q487" s="44"/>
      <c r="R487" s="44" t="s">
        <v>477</v>
      </c>
      <c r="S487" s="46" t="s">
        <v>485</v>
      </c>
      <c r="T487" s="44" t="s">
        <v>612</v>
      </c>
      <c r="U487" s="44" t="s">
        <v>489</v>
      </c>
      <c r="V487" s="44"/>
      <c r="W487" s="44"/>
    </row>
    <row r="488" spans="2:23">
      <c r="B488" s="75" t="str">
        <f>IF(tbl_Instruement_List[[#This Row],[Tag_New]]="",tbl_Instruement_List[[#This Row],[Tag]],tbl_Instruement_List[[#This Row],[Tag_New]])</f>
        <v>PT-913201</v>
      </c>
      <c r="C488" s="75" t="s">
        <v>629</v>
      </c>
      <c r="D488" s="41" t="s">
        <v>1266</v>
      </c>
      <c r="E488" s="41" t="s">
        <v>407</v>
      </c>
      <c r="F488" s="42" t="s">
        <v>1260</v>
      </c>
      <c r="G488" s="41" t="s">
        <v>1267</v>
      </c>
      <c r="H488" s="41" t="s">
        <v>629</v>
      </c>
      <c r="I488" s="41"/>
      <c r="J488" s="44" t="s">
        <v>18</v>
      </c>
      <c r="K488" s="44" t="s">
        <v>18</v>
      </c>
      <c r="L488" s="44" t="s">
        <v>18</v>
      </c>
      <c r="M488" s="44">
        <v>1</v>
      </c>
      <c r="N488" s="44" t="s">
        <v>18</v>
      </c>
      <c r="O488" s="44" t="s">
        <v>474</v>
      </c>
      <c r="P488" s="44" t="s">
        <v>382</v>
      </c>
      <c r="Q488" s="44" t="s">
        <v>660</v>
      </c>
      <c r="R488" s="44" t="s">
        <v>668</v>
      </c>
      <c r="S488" s="46" t="s">
        <v>485</v>
      </c>
      <c r="T488" s="44" t="s">
        <v>564</v>
      </c>
      <c r="U488" s="44" t="s">
        <v>18</v>
      </c>
      <c r="V488" s="44"/>
      <c r="W488" s="44"/>
    </row>
    <row r="489" spans="2:23">
      <c r="B489" s="75" t="str">
        <f>IF(tbl_Instruement_List[[#This Row],[Tag_New]]="",tbl_Instruement_List[[#This Row],[Tag]],tbl_Instruement_List[[#This Row],[Tag_New]])</f>
        <v>XV-913201</v>
      </c>
      <c r="C489" s="75"/>
      <c r="D489" s="41"/>
      <c r="E489" s="41" t="s">
        <v>408</v>
      </c>
      <c r="F489" s="42" t="s">
        <v>1260</v>
      </c>
      <c r="G489" s="41" t="s">
        <v>1268</v>
      </c>
      <c r="H489" s="41" t="s">
        <v>752</v>
      </c>
      <c r="I489" s="41"/>
      <c r="J489" s="44">
        <v>1</v>
      </c>
      <c r="K489" s="47">
        <v>2</v>
      </c>
      <c r="L489" s="44" t="s">
        <v>18</v>
      </c>
      <c r="M489" s="44" t="s">
        <v>18</v>
      </c>
      <c r="N489" s="44" t="s">
        <v>18</v>
      </c>
      <c r="O489" s="44" t="s">
        <v>675</v>
      </c>
      <c r="P489" s="44" t="s">
        <v>382</v>
      </c>
      <c r="Q489" s="44" t="s">
        <v>569</v>
      </c>
      <c r="R489" s="44" t="s">
        <v>676</v>
      </c>
      <c r="S489" s="44" t="s">
        <v>753</v>
      </c>
      <c r="T489" s="44" t="s">
        <v>564</v>
      </c>
      <c r="U489" s="44" t="s">
        <v>18</v>
      </c>
      <c r="V489" s="44"/>
      <c r="W489" s="44"/>
    </row>
    <row r="490" spans="2:23">
      <c r="B490" s="75" t="str">
        <f>IF(tbl_Instruement_List[[#This Row],[Tag_New]]="",tbl_Instruement_List[[#This Row],[Tag]],tbl_Instruement_List[[#This Row],[Tag_New]])</f>
        <v>Gas Vaporizer 5</v>
      </c>
      <c r="C490" s="75"/>
      <c r="D490" s="41" t="s">
        <v>1269</v>
      </c>
      <c r="E490" s="41"/>
      <c r="F490" s="42"/>
      <c r="G490" s="42"/>
      <c r="H490" s="42"/>
      <c r="I490" s="42"/>
      <c r="J490" s="42"/>
      <c r="K490" s="42"/>
      <c r="L490" s="42"/>
      <c r="M490" s="42"/>
      <c r="N490" s="42"/>
      <c r="O490" s="42"/>
      <c r="P490" s="42"/>
      <c r="Q490" s="42"/>
      <c r="R490" s="42"/>
      <c r="S490" s="42"/>
      <c r="T490" s="42"/>
      <c r="U490" s="42"/>
      <c r="V490" s="63"/>
      <c r="W490" s="63"/>
    </row>
    <row r="491" spans="2:23">
      <c r="B491" s="75" t="str">
        <f>IF(tbl_Instruement_List[[#This Row],[Tag_New]]="",tbl_Instruement_List[[#This Row],[Tag]],tbl_Instruement_List[[#This Row],[Tag_New]])</f>
        <v>XA-80305A</v>
      </c>
      <c r="C491" s="75"/>
      <c r="D491" s="41" t="s">
        <v>1270</v>
      </c>
      <c r="E491" s="41"/>
      <c r="F491" s="42" t="s">
        <v>405</v>
      </c>
      <c r="G491" s="41" t="s">
        <v>1271</v>
      </c>
      <c r="H491" s="41" t="s">
        <v>1272</v>
      </c>
      <c r="I491" s="41"/>
      <c r="J491" s="44" t="s">
        <v>18</v>
      </c>
      <c r="K491" s="47">
        <v>1</v>
      </c>
      <c r="L491" s="44" t="s">
        <v>18</v>
      </c>
      <c r="M491" s="44" t="s">
        <v>18</v>
      </c>
      <c r="N491" s="44" t="s">
        <v>18</v>
      </c>
      <c r="O491" s="44" t="s">
        <v>502</v>
      </c>
      <c r="P491" s="44" t="s">
        <v>382</v>
      </c>
      <c r="Q491" s="44" t="s">
        <v>569</v>
      </c>
      <c r="S491" s="44" t="s">
        <v>1273</v>
      </c>
      <c r="T491" s="44" t="s">
        <v>18</v>
      </c>
      <c r="U491" s="44" t="s">
        <v>18</v>
      </c>
    </row>
    <row r="492" spans="2:23">
      <c r="B492" s="75" t="str">
        <f>IF(tbl_Instruement_List[[#This Row],[Tag_New]]="",tbl_Instruement_List[[#This Row],[Tag]],tbl_Instruement_List[[#This Row],[Tag_New]])</f>
        <v>XA-80305B</v>
      </c>
      <c r="C492" s="75"/>
      <c r="D492" s="41" t="s">
        <v>1274</v>
      </c>
      <c r="E492" s="41"/>
      <c r="F492" s="42" t="s">
        <v>405</v>
      </c>
      <c r="G492" s="41" t="s">
        <v>1271</v>
      </c>
      <c r="H492" s="41" t="s">
        <v>1275</v>
      </c>
      <c r="I492" s="41"/>
      <c r="J492" s="44" t="s">
        <v>18</v>
      </c>
      <c r="K492" s="47">
        <v>1</v>
      </c>
      <c r="L492" s="44" t="s">
        <v>18</v>
      </c>
      <c r="M492" s="44" t="s">
        <v>18</v>
      </c>
      <c r="N492" s="44" t="s">
        <v>18</v>
      </c>
      <c r="O492" s="44" t="s">
        <v>502</v>
      </c>
      <c r="P492" s="44" t="s">
        <v>382</v>
      </c>
      <c r="Q492" s="44" t="s">
        <v>569</v>
      </c>
      <c r="S492" s="44"/>
      <c r="T492" s="44" t="s">
        <v>18</v>
      </c>
      <c r="U492" s="44" t="s">
        <v>18</v>
      </c>
    </row>
    <row r="493" spans="2:23">
      <c r="B493" s="75" t="str">
        <f>IF(tbl_Instruement_List[[#This Row],[Tag_New]]="",tbl_Instruement_List[[#This Row],[Tag]],tbl_Instruement_List[[#This Row],[Tag_New]])</f>
        <v>XA-80305C</v>
      </c>
      <c r="C493" s="75"/>
      <c r="D493" s="41" t="s">
        <v>1276</v>
      </c>
      <c r="E493" s="41"/>
      <c r="F493" s="42" t="s">
        <v>405</v>
      </c>
      <c r="G493" s="41" t="s">
        <v>1271</v>
      </c>
      <c r="H493" s="41" t="s">
        <v>1277</v>
      </c>
      <c r="I493" s="41"/>
      <c r="J493" s="44" t="s">
        <v>18</v>
      </c>
      <c r="K493" s="47">
        <v>1</v>
      </c>
      <c r="L493" s="44" t="s">
        <v>18</v>
      </c>
      <c r="M493" s="44" t="s">
        <v>18</v>
      </c>
      <c r="N493" s="44" t="s">
        <v>18</v>
      </c>
      <c r="O493" s="44" t="s">
        <v>502</v>
      </c>
      <c r="P493" s="44" t="s">
        <v>382</v>
      </c>
      <c r="Q493" s="44" t="s">
        <v>569</v>
      </c>
      <c r="S493" s="44"/>
      <c r="T493" s="44" t="s">
        <v>18</v>
      </c>
      <c r="U493" s="44" t="s">
        <v>18</v>
      </c>
    </row>
    <row r="494" spans="2:23">
      <c r="B494" s="75" t="str">
        <f>IF(tbl_Instruement_List[[#This Row],[Tag_New]]="",tbl_Instruement_List[[#This Row],[Tag]],tbl_Instruement_List[[#This Row],[Tag_New]])</f>
        <v>XA-80305D</v>
      </c>
      <c r="C494" s="75"/>
      <c r="D494" s="41" t="s">
        <v>1278</v>
      </c>
      <c r="E494" s="41"/>
      <c r="F494" s="42" t="s">
        <v>405</v>
      </c>
      <c r="G494" s="41" t="s">
        <v>1271</v>
      </c>
      <c r="H494" s="41" t="s">
        <v>1279</v>
      </c>
      <c r="I494" s="41"/>
      <c r="J494" s="44" t="s">
        <v>18</v>
      </c>
      <c r="K494" s="47">
        <v>1</v>
      </c>
      <c r="L494" s="44" t="s">
        <v>18</v>
      </c>
      <c r="M494" s="44" t="s">
        <v>18</v>
      </c>
      <c r="N494" s="44" t="s">
        <v>18</v>
      </c>
      <c r="O494" s="44" t="s">
        <v>502</v>
      </c>
      <c r="P494" s="44" t="s">
        <v>382</v>
      </c>
      <c r="Q494" s="44" t="s">
        <v>569</v>
      </c>
      <c r="S494" s="44"/>
      <c r="T494" s="44" t="s">
        <v>18</v>
      </c>
      <c r="U494" s="44" t="s">
        <v>18</v>
      </c>
    </row>
    <row r="495" spans="2:23">
      <c r="B495" s="75" t="str">
        <f>IF(tbl_Instruement_List[[#This Row],[Tag_New]]="",tbl_Instruement_List[[#This Row],[Tag]],tbl_Instruement_List[[#This Row],[Tag_New]])</f>
        <v>XA-80305E</v>
      </c>
      <c r="C495" s="75"/>
      <c r="D495" s="41" t="s">
        <v>1280</v>
      </c>
      <c r="E495" s="41"/>
      <c r="F495" s="42" t="s">
        <v>405</v>
      </c>
      <c r="G495" s="41" t="s">
        <v>1271</v>
      </c>
      <c r="H495" s="41" t="s">
        <v>1281</v>
      </c>
      <c r="I495" s="41"/>
      <c r="J495" s="44" t="s">
        <v>18</v>
      </c>
      <c r="K495" s="47">
        <v>1</v>
      </c>
      <c r="L495" s="44" t="s">
        <v>18</v>
      </c>
      <c r="M495" s="44" t="s">
        <v>18</v>
      </c>
      <c r="N495" s="44" t="s">
        <v>18</v>
      </c>
      <c r="O495" s="44" t="s">
        <v>502</v>
      </c>
      <c r="P495" s="44" t="s">
        <v>382</v>
      </c>
      <c r="Q495" s="44" t="s">
        <v>569</v>
      </c>
      <c r="S495" s="44"/>
      <c r="T495" s="44" t="s">
        <v>18</v>
      </c>
      <c r="U495" s="44" t="s">
        <v>18</v>
      </c>
    </row>
    <row r="496" spans="2:23">
      <c r="B496" s="75" t="str">
        <f>IF(tbl_Instruement_List[[#This Row],[Tag_New]]="",tbl_Instruement_List[[#This Row],[Tag]],tbl_Instruement_List[[#This Row],[Tag_New]])</f>
        <v>XA-80305F</v>
      </c>
      <c r="C496" s="75"/>
      <c r="D496" s="41" t="s">
        <v>1282</v>
      </c>
      <c r="E496" s="41"/>
      <c r="F496" s="42" t="s">
        <v>405</v>
      </c>
      <c r="G496" s="41" t="s">
        <v>1271</v>
      </c>
      <c r="H496" s="41" t="s">
        <v>1283</v>
      </c>
      <c r="I496" s="41"/>
      <c r="J496" s="44" t="s">
        <v>18</v>
      </c>
      <c r="K496" s="47">
        <v>1</v>
      </c>
      <c r="L496" s="44" t="s">
        <v>18</v>
      </c>
      <c r="M496" s="44" t="s">
        <v>18</v>
      </c>
      <c r="N496" s="44" t="s">
        <v>18</v>
      </c>
      <c r="O496" s="44" t="s">
        <v>502</v>
      </c>
      <c r="P496" s="44" t="s">
        <v>382</v>
      </c>
      <c r="Q496" s="44" t="s">
        <v>569</v>
      </c>
      <c r="S496" s="44"/>
      <c r="T496" s="44" t="s">
        <v>18</v>
      </c>
      <c r="U496" s="44" t="s">
        <v>18</v>
      </c>
    </row>
    <row r="497" spans="2:23">
      <c r="B497" s="75" t="str">
        <f>IF(tbl_Instruement_List[[#This Row],[Tag_New]]="",tbl_Instruement_List[[#This Row],[Tag]],tbl_Instruement_List[[#This Row],[Tag_New]])</f>
        <v>XS-80305</v>
      </c>
      <c r="C497" s="75"/>
      <c r="D497" s="41" t="s">
        <v>1284</v>
      </c>
      <c r="E497" s="41"/>
      <c r="F497" s="42" t="s">
        <v>405</v>
      </c>
      <c r="G497" s="41" t="s">
        <v>1285</v>
      </c>
      <c r="H497" s="41" t="s">
        <v>1023</v>
      </c>
      <c r="I497" s="41"/>
      <c r="J497" s="44">
        <v>1</v>
      </c>
      <c r="K497" s="47" t="s">
        <v>18</v>
      </c>
      <c r="L497" s="44" t="s">
        <v>18</v>
      </c>
      <c r="M497" s="44" t="s">
        <v>18</v>
      </c>
      <c r="N497" s="44" t="s">
        <v>18</v>
      </c>
      <c r="O497" s="44" t="s">
        <v>675</v>
      </c>
      <c r="P497" s="44" t="s">
        <v>382</v>
      </c>
      <c r="Q497" s="44" t="s">
        <v>569</v>
      </c>
      <c r="S497" s="44"/>
      <c r="T497" s="44" t="s">
        <v>18</v>
      </c>
      <c r="U497" s="44" t="s">
        <v>18</v>
      </c>
    </row>
    <row r="498" spans="2:23">
      <c r="B498" s="75" t="str">
        <f>IF(tbl_Instruement_List[[#This Row],[Tag_New]]="",tbl_Instruement_List[[#This Row],[Tag]],tbl_Instruement_List[[#This Row],[Tag_New]])</f>
        <v>Gas Vaporizer 6</v>
      </c>
      <c r="C498" s="75"/>
      <c r="D498" s="41" t="s">
        <v>1286</v>
      </c>
      <c r="E498" s="41"/>
      <c r="F498" s="42"/>
      <c r="G498" s="42"/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2"/>
      <c r="U498" s="42"/>
      <c r="V498" s="63"/>
      <c r="W498" s="63"/>
    </row>
    <row r="499" spans="2:23">
      <c r="B499" s="75" t="str">
        <f>IF(tbl_Instruement_List[[#This Row],[Tag_New]]="",tbl_Instruement_List[[#This Row],[Tag]],tbl_Instruement_List[[#This Row],[Tag_New]])</f>
        <v>XA-80306A</v>
      </c>
      <c r="C499" s="75"/>
      <c r="D499" s="41" t="s">
        <v>1287</v>
      </c>
      <c r="E499" s="41"/>
      <c r="F499" s="42" t="s">
        <v>405</v>
      </c>
      <c r="G499" s="41" t="s">
        <v>1288</v>
      </c>
      <c r="H499" s="41" t="s">
        <v>1272</v>
      </c>
      <c r="I499" s="41"/>
      <c r="J499" s="44" t="s">
        <v>18</v>
      </c>
      <c r="K499" s="47">
        <v>1</v>
      </c>
      <c r="L499" s="44" t="s">
        <v>18</v>
      </c>
      <c r="M499" s="44" t="s">
        <v>18</v>
      </c>
      <c r="N499" s="44" t="s">
        <v>18</v>
      </c>
      <c r="O499" s="44" t="s">
        <v>502</v>
      </c>
      <c r="P499" s="44" t="s">
        <v>382</v>
      </c>
      <c r="Q499" s="44" t="s">
        <v>569</v>
      </c>
      <c r="S499" s="44" t="s">
        <v>1273</v>
      </c>
      <c r="T499" s="44" t="s">
        <v>18</v>
      </c>
      <c r="U499" s="44" t="s">
        <v>18</v>
      </c>
    </row>
    <row r="500" spans="2:23">
      <c r="B500" s="75" t="str">
        <f>IF(tbl_Instruement_List[[#This Row],[Tag_New]]="",tbl_Instruement_List[[#This Row],[Tag]],tbl_Instruement_List[[#This Row],[Tag_New]])</f>
        <v>XA-80306B</v>
      </c>
      <c r="C500" s="75"/>
      <c r="D500" s="41" t="s">
        <v>1289</v>
      </c>
      <c r="E500" s="41"/>
      <c r="F500" s="42" t="s">
        <v>405</v>
      </c>
      <c r="G500" s="41" t="s">
        <v>1288</v>
      </c>
      <c r="H500" s="41" t="s">
        <v>1275</v>
      </c>
      <c r="I500" s="41"/>
      <c r="J500" s="44" t="s">
        <v>18</v>
      </c>
      <c r="K500" s="47">
        <v>1</v>
      </c>
      <c r="L500" s="44" t="s">
        <v>18</v>
      </c>
      <c r="M500" s="44" t="s">
        <v>18</v>
      </c>
      <c r="N500" s="44" t="s">
        <v>18</v>
      </c>
      <c r="O500" s="44" t="s">
        <v>502</v>
      </c>
      <c r="P500" s="44" t="s">
        <v>382</v>
      </c>
      <c r="Q500" s="44" t="s">
        <v>569</v>
      </c>
      <c r="S500" s="44"/>
      <c r="T500" s="44" t="s">
        <v>18</v>
      </c>
      <c r="U500" s="44" t="s">
        <v>18</v>
      </c>
    </row>
    <row r="501" spans="2:23">
      <c r="B501" s="75" t="str">
        <f>IF(tbl_Instruement_List[[#This Row],[Tag_New]]="",tbl_Instruement_List[[#This Row],[Tag]],tbl_Instruement_List[[#This Row],[Tag_New]])</f>
        <v>XA-80306C</v>
      </c>
      <c r="C501" s="75"/>
      <c r="D501" s="41" t="s">
        <v>1290</v>
      </c>
      <c r="E501" s="41"/>
      <c r="F501" s="42" t="s">
        <v>405</v>
      </c>
      <c r="G501" s="41" t="s">
        <v>1288</v>
      </c>
      <c r="H501" s="41" t="s">
        <v>1277</v>
      </c>
      <c r="I501" s="41"/>
      <c r="J501" s="44" t="s">
        <v>18</v>
      </c>
      <c r="K501" s="47">
        <v>1</v>
      </c>
      <c r="L501" s="44" t="s">
        <v>18</v>
      </c>
      <c r="M501" s="44" t="s">
        <v>18</v>
      </c>
      <c r="N501" s="44" t="s">
        <v>18</v>
      </c>
      <c r="O501" s="44" t="s">
        <v>502</v>
      </c>
      <c r="P501" s="44" t="s">
        <v>382</v>
      </c>
      <c r="Q501" s="44" t="s">
        <v>569</v>
      </c>
      <c r="S501" s="44"/>
      <c r="T501" s="44" t="s">
        <v>18</v>
      </c>
      <c r="U501" s="44" t="s">
        <v>18</v>
      </c>
    </row>
    <row r="502" spans="2:23">
      <c r="B502" s="75" t="str">
        <f>IF(tbl_Instruement_List[[#This Row],[Tag_New]]="",tbl_Instruement_List[[#This Row],[Tag]],tbl_Instruement_List[[#This Row],[Tag_New]])</f>
        <v>XA-80306D</v>
      </c>
      <c r="C502" s="75"/>
      <c r="D502" s="41" t="s">
        <v>1291</v>
      </c>
      <c r="E502" s="41"/>
      <c r="F502" s="42" t="s">
        <v>405</v>
      </c>
      <c r="G502" s="41" t="s">
        <v>1288</v>
      </c>
      <c r="H502" s="41" t="s">
        <v>1279</v>
      </c>
      <c r="I502" s="41"/>
      <c r="J502" s="44" t="s">
        <v>18</v>
      </c>
      <c r="K502" s="47">
        <v>1</v>
      </c>
      <c r="L502" s="44" t="s">
        <v>18</v>
      </c>
      <c r="M502" s="44" t="s">
        <v>18</v>
      </c>
      <c r="N502" s="44" t="s">
        <v>18</v>
      </c>
      <c r="O502" s="44" t="s">
        <v>502</v>
      </c>
      <c r="P502" s="44" t="s">
        <v>382</v>
      </c>
      <c r="Q502" s="44" t="s">
        <v>569</v>
      </c>
      <c r="S502" s="44"/>
      <c r="T502" s="44" t="s">
        <v>18</v>
      </c>
      <c r="U502" s="44" t="s">
        <v>18</v>
      </c>
    </row>
    <row r="503" spans="2:23">
      <c r="B503" s="75" t="str">
        <f>IF(tbl_Instruement_List[[#This Row],[Tag_New]]="",tbl_Instruement_List[[#This Row],[Tag]],tbl_Instruement_List[[#This Row],[Tag_New]])</f>
        <v>XA-80306E</v>
      </c>
      <c r="C503" s="75"/>
      <c r="D503" s="41" t="s">
        <v>1292</v>
      </c>
      <c r="E503" s="41"/>
      <c r="F503" s="42" t="s">
        <v>405</v>
      </c>
      <c r="G503" s="41" t="s">
        <v>1288</v>
      </c>
      <c r="H503" s="41" t="s">
        <v>1281</v>
      </c>
      <c r="I503" s="41"/>
      <c r="J503" s="44" t="s">
        <v>18</v>
      </c>
      <c r="K503" s="47">
        <v>1</v>
      </c>
      <c r="L503" s="44" t="s">
        <v>18</v>
      </c>
      <c r="M503" s="44" t="s">
        <v>18</v>
      </c>
      <c r="N503" s="44" t="s">
        <v>18</v>
      </c>
      <c r="O503" s="44" t="s">
        <v>502</v>
      </c>
      <c r="P503" s="44" t="s">
        <v>382</v>
      </c>
      <c r="Q503" s="44" t="s">
        <v>569</v>
      </c>
      <c r="S503" s="44"/>
      <c r="T503" s="44" t="s">
        <v>18</v>
      </c>
      <c r="U503" s="44" t="s">
        <v>18</v>
      </c>
    </row>
    <row r="504" spans="2:23">
      <c r="B504" s="75" t="str">
        <f>IF(tbl_Instruement_List[[#This Row],[Tag_New]]="",tbl_Instruement_List[[#This Row],[Tag]],tbl_Instruement_List[[#This Row],[Tag_New]])</f>
        <v>XA-80306F</v>
      </c>
      <c r="C504" s="75"/>
      <c r="D504" s="41" t="s">
        <v>1293</v>
      </c>
      <c r="E504" s="41"/>
      <c r="F504" s="42" t="s">
        <v>405</v>
      </c>
      <c r="G504" s="41" t="s">
        <v>1288</v>
      </c>
      <c r="H504" s="41" t="s">
        <v>1283</v>
      </c>
      <c r="I504" s="41"/>
      <c r="J504" s="44" t="s">
        <v>18</v>
      </c>
      <c r="K504" s="47">
        <v>1</v>
      </c>
      <c r="L504" s="44" t="s">
        <v>18</v>
      </c>
      <c r="M504" s="44" t="s">
        <v>18</v>
      </c>
      <c r="N504" s="44" t="s">
        <v>18</v>
      </c>
      <c r="O504" s="44" t="s">
        <v>502</v>
      </c>
      <c r="P504" s="44" t="s">
        <v>382</v>
      </c>
      <c r="Q504" s="44" t="s">
        <v>569</v>
      </c>
      <c r="S504" s="44"/>
      <c r="T504" s="44" t="s">
        <v>18</v>
      </c>
      <c r="U504" s="44" t="s">
        <v>18</v>
      </c>
    </row>
    <row r="505" spans="2:23">
      <c r="B505" s="75" t="str">
        <f>IF(tbl_Instruement_List[[#This Row],[Tag_New]]="",tbl_Instruement_List[[#This Row],[Tag]],tbl_Instruement_List[[#This Row],[Tag_New]])</f>
        <v>XS-80306</v>
      </c>
      <c r="C505" s="75" t="s">
        <v>629</v>
      </c>
      <c r="D505" s="41" t="s">
        <v>1294</v>
      </c>
      <c r="E505" s="41"/>
      <c r="F505" s="42" t="s">
        <v>405</v>
      </c>
      <c r="G505" s="41" t="s">
        <v>1295</v>
      </c>
      <c r="H505" s="41" t="s">
        <v>1023</v>
      </c>
      <c r="I505" s="41"/>
      <c r="J505" s="44">
        <v>1</v>
      </c>
      <c r="K505" s="47" t="s">
        <v>18</v>
      </c>
      <c r="L505" s="44" t="s">
        <v>18</v>
      </c>
      <c r="M505" s="44" t="s">
        <v>18</v>
      </c>
      <c r="N505" s="44" t="s">
        <v>18</v>
      </c>
      <c r="O505" s="44" t="s">
        <v>675</v>
      </c>
      <c r="P505" s="44" t="s">
        <v>382</v>
      </c>
      <c r="Q505" s="44" t="s">
        <v>569</v>
      </c>
      <c r="S505" s="44"/>
      <c r="T505" s="44" t="s">
        <v>18</v>
      </c>
      <c r="U505" s="44" t="s">
        <v>18</v>
      </c>
    </row>
    <row r="506" spans="2:23">
      <c r="B506" s="76"/>
      <c r="C506" s="76"/>
      <c r="D506" s="42"/>
      <c r="E506" s="41"/>
      <c r="F506" s="41"/>
      <c r="G506" s="44"/>
      <c r="H506" s="44"/>
      <c r="I506" s="44"/>
      <c r="J506" s="44"/>
      <c r="K506" s="44"/>
      <c r="L506" s="44"/>
      <c r="M506" s="44"/>
      <c r="N506" s="44"/>
      <c r="O506" s="44"/>
      <c r="P506" s="44"/>
      <c r="Q506" s="44"/>
      <c r="R506" s="44"/>
      <c r="S506" s="44"/>
      <c r="T506" s="44"/>
      <c r="U506" s="44"/>
    </row>
    <row r="507" spans="2:23">
      <c r="B507" s="76"/>
      <c r="C507" s="76"/>
      <c r="D507" s="42"/>
      <c r="E507" s="41"/>
      <c r="F507" s="41"/>
      <c r="G507" s="44"/>
      <c r="H507" s="44"/>
      <c r="I507" s="44"/>
      <c r="J507" s="44"/>
      <c r="K507" s="44"/>
      <c r="L507" s="44"/>
      <c r="M507" s="44"/>
      <c r="N507" s="44"/>
      <c r="O507" s="44"/>
      <c r="P507" s="44"/>
      <c r="Q507" s="44"/>
      <c r="R507" s="44"/>
      <c r="S507" s="44"/>
      <c r="T507" s="44"/>
      <c r="U507" s="44"/>
    </row>
    <row r="508" spans="2:23">
      <c r="B508" s="76"/>
      <c r="C508" s="76"/>
      <c r="D508" s="42"/>
      <c r="E508" s="41"/>
      <c r="F508" s="41"/>
      <c r="G508" s="44"/>
      <c r="H508" s="44"/>
      <c r="I508" s="44"/>
      <c r="J508" s="44"/>
      <c r="K508" s="44"/>
      <c r="L508" s="44"/>
      <c r="M508" s="44"/>
      <c r="N508" s="44"/>
      <c r="O508" s="44"/>
      <c r="P508" s="44"/>
      <c r="Q508" s="44"/>
      <c r="R508" s="44"/>
      <c r="S508" s="44"/>
      <c r="T508" s="44"/>
      <c r="U508" s="44"/>
    </row>
    <row r="509" spans="2:23">
      <c r="B509" s="76"/>
      <c r="C509" s="76"/>
      <c r="D509" s="42"/>
      <c r="E509" s="41"/>
      <c r="F509" s="41"/>
      <c r="G509" s="44"/>
      <c r="H509" s="44"/>
      <c r="I509" s="44"/>
      <c r="J509" s="44"/>
      <c r="K509" s="44"/>
      <c r="L509" s="44"/>
      <c r="M509" s="44"/>
      <c r="N509" s="44"/>
      <c r="O509" s="44"/>
      <c r="P509" s="44"/>
      <c r="Q509" s="44"/>
      <c r="R509" s="44"/>
      <c r="S509" s="44"/>
      <c r="T509" s="44"/>
      <c r="U509" s="44"/>
    </row>
    <row r="510" spans="2:23">
      <c r="B510" s="76"/>
      <c r="C510" s="76"/>
      <c r="D510" s="42"/>
      <c r="E510" s="41"/>
      <c r="F510" s="41"/>
      <c r="G510" s="44"/>
      <c r="H510" s="44"/>
      <c r="I510" s="44"/>
      <c r="J510" s="44"/>
      <c r="K510" s="44"/>
      <c r="L510" s="44"/>
      <c r="M510" s="44"/>
      <c r="N510" s="44"/>
      <c r="O510" s="44"/>
      <c r="P510" s="44"/>
      <c r="Q510" s="44"/>
      <c r="R510" s="44"/>
      <c r="S510" s="44"/>
      <c r="T510" s="44"/>
      <c r="U510" s="44"/>
    </row>
    <row r="511" spans="2:23">
      <c r="B511" s="76"/>
      <c r="C511" s="76"/>
      <c r="D511" s="42"/>
      <c r="E511" s="41"/>
      <c r="F511" s="41"/>
      <c r="G511" s="44"/>
      <c r="H511" s="44"/>
      <c r="I511" s="44"/>
      <c r="J511" s="44"/>
      <c r="K511" s="44"/>
      <c r="L511" s="44"/>
      <c r="M511" s="44"/>
      <c r="N511" s="44"/>
      <c r="O511" s="44"/>
      <c r="P511" s="44"/>
      <c r="Q511" s="44"/>
      <c r="R511" s="44"/>
      <c r="S511" s="44"/>
      <c r="T511" s="44"/>
      <c r="U511" s="44"/>
    </row>
    <row r="512" spans="2:23">
      <c r="B512" s="76"/>
      <c r="C512" s="76"/>
      <c r="D512" s="42"/>
      <c r="E512" s="41"/>
      <c r="F512" s="41"/>
      <c r="G512" s="44">
        <f>SUM(J5:J249,J251:J260,J262:J296,J298:J359,J361:J379,J381:J384,J387:J391,J393:J397,J399:J403,J405:J450,J452:J459,J467:J484,J486:J489,J491:J497,J499:J505)</f>
        <v>170</v>
      </c>
      <c r="H512" s="44">
        <f>SUM(K5:K249,K251:K260,K262:K296,K298:K359,K361:K379,K381:K384,K387:K391,K393:K397,K399:K403,K405:K450,K452:K459,K467:K484,K486:K489,K491:K497,K499:K505)</f>
        <v>449</v>
      </c>
      <c r="I512" s="44"/>
      <c r="J512" s="44">
        <f>SUM(L5:L249,L251:L260,L262:L296,L298:L359,L361:L379,L381:L384,L387:L391,L393:L397,L399:L403,L405:L450,L452:L459,L467:L484,L486:L489,L491:L497,L499:L505)</f>
        <v>5</v>
      </c>
      <c r="K512" s="44">
        <f>SUM(M5:M249,M251:M260,M262:M296,M298:M359,M361:M379,M381:M384,M387:M391,M393:M397,M399:M403,M405:M450,M452:M459,M467:M484,M486:M489,M491:M497,M499:M505)</f>
        <v>112</v>
      </c>
      <c r="L512" s="44"/>
      <c r="M512" s="44"/>
      <c r="N512" s="44"/>
      <c r="O512" s="44"/>
      <c r="P512" s="44"/>
      <c r="Q512" s="44"/>
      <c r="R512" s="44"/>
      <c r="S512" s="44"/>
      <c r="T512" s="44"/>
      <c r="U512" s="44"/>
    </row>
    <row r="513" spans="2:21">
      <c r="B513" s="76"/>
      <c r="C513" s="76"/>
      <c r="D513" s="42"/>
      <c r="E513" s="41"/>
      <c r="F513" s="41"/>
      <c r="G513" s="44"/>
      <c r="H513" s="44"/>
      <c r="I513" s="44"/>
      <c r="J513" s="44"/>
      <c r="K513" s="44"/>
      <c r="L513" s="44"/>
      <c r="M513" s="44"/>
      <c r="N513" s="44"/>
      <c r="O513" s="44"/>
      <c r="P513" s="44"/>
      <c r="Q513" s="44"/>
      <c r="R513" s="44"/>
      <c r="S513" s="44"/>
      <c r="T513" s="44"/>
      <c r="U513" s="44"/>
    </row>
    <row r="713" spans="7:11">
      <c r="G713" s="23">
        <f>SUM(G5:G513)</f>
        <v>170</v>
      </c>
      <c r="H713" s="23">
        <f>SUM(H5:H513)</f>
        <v>449</v>
      </c>
      <c r="J713" s="23">
        <f>SUM(J5:J513)</f>
        <v>175</v>
      </c>
      <c r="K713" s="23">
        <f>SUM(K5:K513)</f>
        <v>561</v>
      </c>
    </row>
  </sheetData>
  <mergeCells count="3">
    <mergeCell ref="E1:N2"/>
    <mergeCell ref="Q2:R2"/>
    <mergeCell ref="Q1:R1"/>
  </mergeCells>
  <conditionalFormatting sqref="B1:C3 B506:C513 B713:C1048576 E5:E277 E283:E505">
    <cfRule type="duplicateValues" dxfId="46" priority="39"/>
  </conditionalFormatting>
  <conditionalFormatting sqref="B1:C3">
    <cfRule type="duplicateValues" dxfId="45" priority="49"/>
  </conditionalFormatting>
  <conditionalFormatting sqref="E6">
    <cfRule type="duplicateValues" dxfId="44" priority="25"/>
  </conditionalFormatting>
  <conditionalFormatting sqref="E41:E46 E486">
    <cfRule type="duplicateValues" dxfId="43" priority="9"/>
  </conditionalFormatting>
  <conditionalFormatting sqref="E45 E486">
    <cfRule type="duplicateValues" dxfId="42" priority="11"/>
  </conditionalFormatting>
  <conditionalFormatting sqref="E45">
    <cfRule type="duplicateValues" dxfId="41" priority="10"/>
  </conditionalFormatting>
  <conditionalFormatting sqref="E65:E72">
    <cfRule type="duplicateValues" dxfId="40" priority="23"/>
  </conditionalFormatting>
  <conditionalFormatting sqref="E78">
    <cfRule type="duplicateValues" dxfId="39" priority="22"/>
  </conditionalFormatting>
  <conditionalFormatting sqref="E85:E86">
    <cfRule type="duplicateValues" dxfId="38" priority="7"/>
  </conditionalFormatting>
  <conditionalFormatting sqref="E88">
    <cfRule type="duplicateValues" dxfId="37" priority="6"/>
  </conditionalFormatting>
  <conditionalFormatting sqref="E89:E91">
    <cfRule type="duplicateValues" dxfId="36" priority="21"/>
  </conditionalFormatting>
  <conditionalFormatting sqref="E93:E94">
    <cfRule type="duplicateValues" dxfId="35" priority="20"/>
  </conditionalFormatting>
  <conditionalFormatting sqref="E116">
    <cfRule type="duplicateValues" dxfId="34" priority="19"/>
  </conditionalFormatting>
  <conditionalFormatting sqref="E124:E127">
    <cfRule type="duplicateValues" dxfId="33" priority="18"/>
  </conditionalFormatting>
  <conditionalFormatting sqref="E168">
    <cfRule type="duplicateValues" dxfId="32" priority="16"/>
  </conditionalFormatting>
  <conditionalFormatting sqref="E173">
    <cfRule type="duplicateValues" dxfId="31" priority="17"/>
  </conditionalFormatting>
  <conditionalFormatting sqref="E178:E179">
    <cfRule type="duplicateValues" dxfId="30" priority="15"/>
  </conditionalFormatting>
  <conditionalFormatting sqref="E182:E210">
    <cfRule type="duplicateValues" dxfId="29" priority="48"/>
  </conditionalFormatting>
  <conditionalFormatting sqref="E189:E210">
    <cfRule type="duplicateValues" dxfId="28" priority="47"/>
  </conditionalFormatting>
  <conditionalFormatting sqref="E213">
    <cfRule type="duplicateValues" dxfId="27" priority="13"/>
  </conditionalFormatting>
  <conditionalFormatting sqref="E213:E215">
    <cfRule type="duplicateValues" dxfId="26" priority="12"/>
  </conditionalFormatting>
  <conditionalFormatting sqref="E218:E219 E489">
    <cfRule type="duplicateValues" dxfId="25" priority="4"/>
  </conditionalFormatting>
  <conditionalFormatting sqref="E218:E219">
    <cfRule type="duplicateValues" dxfId="24" priority="3"/>
  </conditionalFormatting>
  <conditionalFormatting sqref="E225:E226">
    <cfRule type="duplicateValues" dxfId="23" priority="2"/>
  </conditionalFormatting>
  <conditionalFormatting sqref="E233">
    <cfRule type="duplicateValues" dxfId="22" priority="1"/>
  </conditionalFormatting>
  <conditionalFormatting sqref="E262">
    <cfRule type="duplicateValues" dxfId="21" priority="35" stopIfTrue="1"/>
  </conditionalFormatting>
  <conditionalFormatting sqref="E262:E264 E481:E482">
    <cfRule type="duplicateValues" dxfId="20" priority="41"/>
  </conditionalFormatting>
  <conditionalFormatting sqref="E262:E277 E283:E389 E392:E395 E398:E401 E404:E466 E481:E485 E490">
    <cfRule type="duplicateValues" dxfId="19" priority="31"/>
  </conditionalFormatting>
  <conditionalFormatting sqref="E263">
    <cfRule type="duplicateValues" dxfId="18" priority="34" stopIfTrue="1"/>
  </conditionalFormatting>
  <conditionalFormatting sqref="E264">
    <cfRule type="duplicateValues" dxfId="17" priority="33" stopIfTrue="1"/>
  </conditionalFormatting>
  <conditionalFormatting sqref="E265:E277 E283:E389 E392:E395 E398:E401 E404:E466 E483:E485 E490">
    <cfRule type="duplicateValues" dxfId="16" priority="40" stopIfTrue="1"/>
  </conditionalFormatting>
  <conditionalFormatting sqref="E298:E359 E361:E379 E381:E389 E392:E395 E398:E401 E404:E450 E452:E459 E461:E466">
    <cfRule type="duplicateValues" dxfId="15" priority="43"/>
  </conditionalFormatting>
  <conditionalFormatting sqref="E298:E359 E361:E379 E381:E389 E392:E395 E398:E401 E404:E450 E453:E459 E461:E466">
    <cfRule type="duplicateValues" dxfId="14" priority="44" stopIfTrue="1"/>
  </conditionalFormatting>
  <conditionalFormatting sqref="E381:E389 E392:E395 E398:E401 E404:E417">
    <cfRule type="duplicateValues" dxfId="13" priority="30" stopIfTrue="1"/>
  </conditionalFormatting>
  <conditionalFormatting sqref="E455 E458:E459">
    <cfRule type="duplicateValues" dxfId="12" priority="42" stopIfTrue="1"/>
  </conditionalFormatting>
  <conditionalFormatting sqref="E467:E473">
    <cfRule type="duplicateValues" dxfId="11" priority="24"/>
  </conditionalFormatting>
  <conditionalFormatting sqref="E481">
    <cfRule type="duplicateValues" dxfId="10" priority="37" stopIfTrue="1"/>
  </conditionalFormatting>
  <conditionalFormatting sqref="E482">
    <cfRule type="duplicateValues" dxfId="9" priority="36" stopIfTrue="1"/>
  </conditionalFormatting>
  <conditionalFormatting sqref="E483:E485 E490">
    <cfRule type="duplicateValues" dxfId="8" priority="32"/>
  </conditionalFormatting>
  <conditionalFormatting sqref="E485">
    <cfRule type="duplicateValues" dxfId="7" priority="26" stopIfTrue="1"/>
  </conditionalFormatting>
  <conditionalFormatting sqref="E486">
    <cfRule type="duplicateValues" dxfId="6" priority="8"/>
  </conditionalFormatting>
  <conditionalFormatting sqref="E487">
    <cfRule type="duplicateValues" dxfId="5" priority="5"/>
  </conditionalFormatting>
  <conditionalFormatting sqref="E488">
    <cfRule type="duplicateValues" dxfId="4" priority="14"/>
  </conditionalFormatting>
  <conditionalFormatting sqref="E490">
    <cfRule type="duplicateValues" dxfId="3" priority="27" stopIfTrue="1"/>
  </conditionalFormatting>
  <conditionalFormatting sqref="E491:E505">
    <cfRule type="duplicateValues" dxfId="2" priority="45" stopIfTrue="1"/>
  </conditionalFormatting>
  <conditionalFormatting sqref="E497:E505">
    <cfRule type="duplicateValues" dxfId="1" priority="46" stopIfTrue="1"/>
  </conditionalFormatting>
  <conditionalFormatting sqref="E498">
    <cfRule type="duplicateValues" dxfId="0" priority="28"/>
  </conditionalFormatting>
  <pageMargins left="0.3" right="0.27" top="0.33" bottom="0.31" header="0.21" footer="0.2"/>
  <pageSetup paperSize="8" scale="65" fitToHeight="0" orientation="landscape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Y22"/>
  <sheetViews>
    <sheetView workbookViewId="0">
      <selection activeCell="A11" sqref="A11:XFD11"/>
    </sheetView>
  </sheetViews>
  <sheetFormatPr baseColWidth="10" defaultRowHeight="16"/>
  <cols>
    <col min="1" max="1" width="15" bestFit="1" customWidth="1"/>
    <col min="2" max="8" width="16.6640625" customWidth="1"/>
    <col min="9" max="9" width="7.33203125" bestFit="1" customWidth="1"/>
    <col min="10" max="10" width="5.83203125" bestFit="1" customWidth="1"/>
    <col min="11" max="11" width="8.1640625" bestFit="1" customWidth="1"/>
    <col min="12" max="12" width="9" bestFit="1" customWidth="1"/>
    <col min="13" max="13" width="11.33203125" bestFit="1" customWidth="1"/>
    <col min="14" max="15" width="11.33203125" style="8" customWidth="1"/>
    <col min="16" max="16" width="10.5" bestFit="1" customWidth="1"/>
    <col min="17" max="18" width="11.33203125" style="8" customWidth="1"/>
    <col min="19" max="19" width="8.1640625" bestFit="1" customWidth="1"/>
    <col min="20" max="21" width="11.33203125" style="8" customWidth="1"/>
    <col min="22" max="22" width="9" bestFit="1" customWidth="1"/>
    <col min="23" max="24" width="11.33203125" style="8" customWidth="1"/>
    <col min="25" max="25" width="16.5" customWidth="1"/>
  </cols>
  <sheetData>
    <row r="3" spans="1:25">
      <c r="A3" s="5" t="s">
        <v>1296</v>
      </c>
      <c r="B3" s="5" t="s">
        <v>1297</v>
      </c>
    </row>
    <row r="4" spans="1:25">
      <c r="A4" s="5" t="s">
        <v>1298</v>
      </c>
      <c r="B4" t="s">
        <v>10</v>
      </c>
      <c r="C4" t="s">
        <v>9</v>
      </c>
      <c r="D4" t="s">
        <v>1299</v>
      </c>
      <c r="E4" t="s">
        <v>8</v>
      </c>
      <c r="F4" t="s">
        <v>7</v>
      </c>
      <c r="G4" t="s">
        <v>1300</v>
      </c>
      <c r="L4" t="s">
        <v>1301</v>
      </c>
      <c r="M4" t="s">
        <v>8</v>
      </c>
      <c r="N4" s="8" t="s">
        <v>1302</v>
      </c>
      <c r="P4" t="s">
        <v>7</v>
      </c>
      <c r="Q4" s="8" t="s">
        <v>1302</v>
      </c>
      <c r="S4" t="s">
        <v>10</v>
      </c>
      <c r="T4" s="8" t="s">
        <v>1302</v>
      </c>
      <c r="V4" t="s">
        <v>9</v>
      </c>
      <c r="W4" s="8" t="s">
        <v>1302</v>
      </c>
      <c r="Y4" t="s">
        <v>1303</v>
      </c>
    </row>
    <row r="5" spans="1:25">
      <c r="A5" s="6" t="s">
        <v>1305</v>
      </c>
      <c r="B5">
        <v>3</v>
      </c>
      <c r="E5">
        <v>25</v>
      </c>
      <c r="G5">
        <v>28</v>
      </c>
      <c r="L5">
        <v>0</v>
      </c>
      <c r="M5">
        <v>68</v>
      </c>
      <c r="N5" s="8">
        <f>M5/32</f>
        <v>2.125</v>
      </c>
      <c r="O5" s="8">
        <f>ROUNDUP(N5,0)</f>
        <v>3</v>
      </c>
      <c r="P5">
        <v>60</v>
      </c>
      <c r="Q5" s="8">
        <f>P5/32</f>
        <v>1.875</v>
      </c>
      <c r="R5" s="8">
        <f>ROUNDUP(Q5,0)</f>
        <v>2</v>
      </c>
      <c r="S5">
        <v>19</v>
      </c>
      <c r="T5" s="8">
        <f>S5/16</f>
        <v>1.1875</v>
      </c>
      <c r="U5" s="8">
        <f>ROUNDUP(T5,0)</f>
        <v>2</v>
      </c>
      <c r="V5">
        <v>0</v>
      </c>
      <c r="W5" s="8">
        <f>V5/8</f>
        <v>0</v>
      </c>
      <c r="X5" s="8">
        <f>ROUNDUP(W5,0)</f>
        <v>0</v>
      </c>
      <c r="Y5">
        <f>O5+R5+U5+X5</f>
        <v>7</v>
      </c>
    </row>
    <row r="6" spans="1:25">
      <c r="A6" s="6" t="s">
        <v>1306</v>
      </c>
      <c r="E6">
        <v>16</v>
      </c>
      <c r="G6">
        <v>16</v>
      </c>
      <c r="L6">
        <v>1</v>
      </c>
      <c r="M6">
        <v>35</v>
      </c>
      <c r="N6" s="8">
        <f>M6/32</f>
        <v>1.09375</v>
      </c>
      <c r="O6" s="8">
        <f>ROUNDUP(N6,0)</f>
        <v>2</v>
      </c>
      <c r="P6">
        <v>63</v>
      </c>
      <c r="Q6" s="8">
        <f>P6/32</f>
        <v>1.96875</v>
      </c>
      <c r="R6" s="8">
        <f>ROUNDUP(Q6,0)</f>
        <v>2</v>
      </c>
      <c r="S6">
        <v>59</v>
      </c>
      <c r="T6" s="8">
        <f>S6/16</f>
        <v>3.6875</v>
      </c>
      <c r="U6" s="8">
        <f>ROUNDUP(T6,0)</f>
        <v>4</v>
      </c>
      <c r="V6">
        <v>5</v>
      </c>
      <c r="W6" s="8">
        <v>1</v>
      </c>
      <c r="X6" s="8">
        <f>ROUNDUP(W6,0)</f>
        <v>1</v>
      </c>
      <c r="Y6">
        <f>O6+R6+U6+X6</f>
        <v>9</v>
      </c>
    </row>
    <row r="7" spans="1:25">
      <c r="A7" s="6" t="s">
        <v>13</v>
      </c>
      <c r="B7">
        <v>16</v>
      </c>
      <c r="E7">
        <v>16</v>
      </c>
      <c r="G7">
        <v>32</v>
      </c>
      <c r="L7">
        <v>2</v>
      </c>
      <c r="M7">
        <v>57</v>
      </c>
      <c r="N7" s="8">
        <f>M7/32</f>
        <v>1.78125</v>
      </c>
      <c r="O7" s="8">
        <f>ROUNDUP(N7,0)</f>
        <v>2</v>
      </c>
      <c r="P7">
        <v>21</v>
      </c>
      <c r="Q7" s="8">
        <f>P7/32</f>
        <v>0.65625</v>
      </c>
      <c r="R7" s="8">
        <f>ROUNDUP(Q7,0)</f>
        <v>1</v>
      </c>
      <c r="S7">
        <v>20</v>
      </c>
      <c r="T7" s="8">
        <f>S7/16</f>
        <v>1.25</v>
      </c>
      <c r="U7" s="8">
        <f>ROUNDUP(T7,0)</f>
        <v>2</v>
      </c>
      <c r="V7">
        <v>0</v>
      </c>
      <c r="W7" s="8">
        <f>V7/32</f>
        <v>0</v>
      </c>
      <c r="X7" s="8">
        <f>ROUNDUP(W7,0)</f>
        <v>0</v>
      </c>
      <c r="Y7">
        <f>O7+R7+U7+X7</f>
        <v>5</v>
      </c>
    </row>
    <row r="8" spans="1:25">
      <c r="A8" s="6" t="s">
        <v>46</v>
      </c>
      <c r="B8">
        <v>6</v>
      </c>
      <c r="E8">
        <v>7</v>
      </c>
      <c r="F8">
        <v>1</v>
      </c>
      <c r="G8">
        <v>14</v>
      </c>
      <c r="L8">
        <v>3</v>
      </c>
      <c r="M8">
        <v>66</v>
      </c>
      <c r="N8" s="8">
        <f>M8/32</f>
        <v>2.0625</v>
      </c>
      <c r="O8" s="8">
        <f>ROUNDUP(N8,0)</f>
        <v>3</v>
      </c>
      <c r="P8">
        <v>29</v>
      </c>
      <c r="Q8" s="8">
        <f>P8/32</f>
        <v>0.90625</v>
      </c>
      <c r="R8" s="8">
        <f>ROUNDUP(Q8,0)</f>
        <v>1</v>
      </c>
      <c r="S8">
        <v>13</v>
      </c>
      <c r="T8" s="8">
        <f>S8/16</f>
        <v>0.8125</v>
      </c>
      <c r="U8" s="8">
        <f>ROUNDUP(T8,0)</f>
        <v>1</v>
      </c>
      <c r="V8">
        <v>0</v>
      </c>
      <c r="W8" s="8">
        <f t="array" ref="W8">V8:W8/8</f>
        <v>0</v>
      </c>
      <c r="X8" s="8">
        <f>ROUNDUP(W8,0)</f>
        <v>0</v>
      </c>
      <c r="Y8">
        <f>O8+R8+U8+X8</f>
        <v>5</v>
      </c>
    </row>
    <row r="9" spans="1:25">
      <c r="A9" s="6" t="s">
        <v>65</v>
      </c>
      <c r="B9">
        <v>2</v>
      </c>
      <c r="E9">
        <v>15</v>
      </c>
      <c r="G9">
        <v>17</v>
      </c>
      <c r="L9">
        <v>4</v>
      </c>
      <c r="M9">
        <v>52</v>
      </c>
      <c r="N9" s="8">
        <f>M9/32</f>
        <v>1.625</v>
      </c>
      <c r="O9" s="8">
        <f>ROUNDUP(N9,0)</f>
        <v>2</v>
      </c>
      <c r="P9">
        <v>22</v>
      </c>
      <c r="Q9" s="8">
        <f>P9/32</f>
        <v>0.6875</v>
      </c>
      <c r="R9" s="8">
        <f>ROUNDUP(Q9,0)</f>
        <v>1</v>
      </c>
      <c r="S9">
        <v>9</v>
      </c>
      <c r="T9" s="8">
        <f>S9/16</f>
        <v>0.5625</v>
      </c>
      <c r="U9" s="8">
        <f>ROUNDUP(T9,0)</f>
        <v>1</v>
      </c>
      <c r="V9">
        <v>0</v>
      </c>
      <c r="W9" s="8">
        <f t="array" ref="W9">V9:W9/8</f>
        <v>0</v>
      </c>
      <c r="X9" s="8">
        <f>ROUNDUP(W9,0)</f>
        <v>0</v>
      </c>
      <c r="Y9">
        <f>O9+R9+U9+X9</f>
        <v>4</v>
      </c>
    </row>
    <row r="10" spans="1:25">
      <c r="A10" s="6" t="s">
        <v>90</v>
      </c>
      <c r="B10">
        <v>12</v>
      </c>
      <c r="E10">
        <v>32</v>
      </c>
      <c r="G10">
        <v>44</v>
      </c>
    </row>
    <row r="11" spans="1:25">
      <c r="A11" s="6" t="s">
        <v>114</v>
      </c>
      <c r="B11">
        <v>16</v>
      </c>
      <c r="E11">
        <v>16</v>
      </c>
      <c r="F11">
        <v>48</v>
      </c>
      <c r="G11">
        <v>80</v>
      </c>
      <c r="M11">
        <f>SUM(M5:M10)</f>
        <v>278</v>
      </c>
      <c r="N11">
        <f>SUM(N5:N10)</f>
        <v>8.6875</v>
      </c>
      <c r="O11" s="8">
        <f>SUM(O5:O9)</f>
        <v>12</v>
      </c>
      <c r="P11">
        <f>SUM(P5:P10)</f>
        <v>195</v>
      </c>
      <c r="Q11">
        <f>SUM(Q5:Q10)</f>
        <v>6.09375</v>
      </c>
      <c r="R11" s="8">
        <f>SUM(R5:R9)</f>
        <v>7</v>
      </c>
      <c r="S11">
        <f>SUM(S5:S10)</f>
        <v>120</v>
      </c>
      <c r="T11">
        <f>SUM(T5:T10)</f>
        <v>7.5</v>
      </c>
      <c r="U11" s="8">
        <f>SUM(U5:U9)</f>
        <v>10</v>
      </c>
      <c r="V11">
        <f>SUM(V5:V10)</f>
        <v>5</v>
      </c>
      <c r="W11">
        <f>SUM(W5:W10)</f>
        <v>1</v>
      </c>
      <c r="X11" s="8">
        <f>SUM(X5:X9)</f>
        <v>1</v>
      </c>
    </row>
    <row r="12" spans="1:25">
      <c r="A12" s="6" t="s">
        <v>168</v>
      </c>
      <c r="B12">
        <v>16</v>
      </c>
      <c r="C12">
        <v>1</v>
      </c>
      <c r="E12">
        <v>16</v>
      </c>
      <c r="F12">
        <v>16</v>
      </c>
      <c r="G12">
        <v>49</v>
      </c>
    </row>
    <row r="13" spans="1:25">
      <c r="A13" s="6" t="s">
        <v>191</v>
      </c>
      <c r="B13">
        <v>16</v>
      </c>
      <c r="D13">
        <v>1</v>
      </c>
      <c r="E13">
        <v>67</v>
      </c>
      <c r="F13">
        <v>49</v>
      </c>
      <c r="G13">
        <v>133</v>
      </c>
    </row>
    <row r="14" spans="1:25">
      <c r="A14" s="6" t="s">
        <v>221</v>
      </c>
      <c r="B14">
        <v>32</v>
      </c>
      <c r="C14">
        <v>2</v>
      </c>
      <c r="E14">
        <v>32</v>
      </c>
      <c r="F14">
        <v>16</v>
      </c>
      <c r="G14">
        <v>82</v>
      </c>
    </row>
    <row r="15" spans="1:25">
      <c r="A15" s="6" t="s">
        <v>265</v>
      </c>
      <c r="B15">
        <v>2</v>
      </c>
      <c r="E15">
        <v>4</v>
      </c>
      <c r="F15">
        <v>1</v>
      </c>
      <c r="G15">
        <v>7</v>
      </c>
    </row>
    <row r="16" spans="1:25">
      <c r="A16" s="6" t="s">
        <v>270</v>
      </c>
      <c r="B16">
        <v>32</v>
      </c>
      <c r="C16">
        <v>5</v>
      </c>
      <c r="D16">
        <v>1</v>
      </c>
      <c r="E16">
        <v>16</v>
      </c>
      <c r="F16">
        <v>64</v>
      </c>
      <c r="G16">
        <v>118</v>
      </c>
    </row>
    <row r="17" spans="1:7">
      <c r="A17" s="6" t="s">
        <v>333</v>
      </c>
      <c r="B17">
        <v>1</v>
      </c>
      <c r="G17">
        <v>1</v>
      </c>
    </row>
    <row r="18" spans="1:7">
      <c r="A18" s="6" t="s">
        <v>335</v>
      </c>
      <c r="B18">
        <v>2</v>
      </c>
      <c r="D18">
        <v>1</v>
      </c>
      <c r="E18">
        <v>18</v>
      </c>
      <c r="F18">
        <v>17</v>
      </c>
      <c r="G18">
        <v>38</v>
      </c>
    </row>
    <row r="19" spans="1:7">
      <c r="A19" s="6" t="s">
        <v>360</v>
      </c>
      <c r="B19">
        <v>4</v>
      </c>
      <c r="E19">
        <v>16</v>
      </c>
      <c r="F19">
        <v>32</v>
      </c>
      <c r="G19">
        <v>52</v>
      </c>
    </row>
    <row r="20" spans="1:7">
      <c r="A20" s="6" t="s">
        <v>1307</v>
      </c>
      <c r="D20">
        <v>17</v>
      </c>
      <c r="E20">
        <v>125</v>
      </c>
      <c r="F20">
        <v>95</v>
      </c>
      <c r="G20">
        <v>237</v>
      </c>
    </row>
    <row r="21" spans="1:7">
      <c r="A21" s="6" t="s">
        <v>382</v>
      </c>
      <c r="B21">
        <v>16</v>
      </c>
      <c r="E21">
        <v>64</v>
      </c>
      <c r="F21">
        <v>32</v>
      </c>
      <c r="G21">
        <v>112</v>
      </c>
    </row>
    <row r="22" spans="1:7">
      <c r="A22" s="6" t="s">
        <v>1300</v>
      </c>
      <c r="B22">
        <v>176</v>
      </c>
      <c r="C22">
        <v>8</v>
      </c>
      <c r="D22">
        <v>20</v>
      </c>
      <c r="E22">
        <v>485</v>
      </c>
      <c r="F22">
        <v>371</v>
      </c>
      <c r="G22">
        <v>1060</v>
      </c>
    </row>
  </sheetData>
  <sortState xmlns:xlrd2="http://schemas.microsoft.com/office/spreadsheetml/2017/richdata2" ref="A3:G22">
    <sortCondition ref="A5"/>
  </sortState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1223"/>
  <sheetViews>
    <sheetView tabSelected="1" topLeftCell="R358" zoomScale="89" workbookViewId="0">
      <selection activeCell="R391" sqref="A391:XFD391"/>
    </sheetView>
  </sheetViews>
  <sheetFormatPr baseColWidth="10" defaultRowHeight="16"/>
  <cols>
    <col min="1" max="1" width="21.83203125" style="142" bestFit="1" customWidth="1"/>
    <col min="2" max="2" width="12.83203125" style="142" bestFit="1" customWidth="1"/>
    <col min="3" max="3" width="13" style="142" customWidth="1"/>
    <col min="4" max="4" width="19.33203125" style="142" customWidth="1"/>
    <col min="5" max="6" width="12.33203125" style="142" customWidth="1"/>
    <col min="7" max="7" width="24.33203125" style="142" customWidth="1"/>
    <col min="8" max="8" width="23.5" style="142" customWidth="1"/>
    <col min="9" max="9" width="23.6640625" style="142" customWidth="1"/>
    <col min="10" max="10" width="16.83203125" style="142" customWidth="1"/>
    <col min="11" max="11" width="18.1640625" style="142" customWidth="1"/>
    <col min="12" max="12" width="18.5" style="142" bestFit="1" customWidth="1"/>
    <col min="13" max="13" width="27.6640625" style="142" bestFit="1" customWidth="1"/>
    <col min="14" max="14" width="15.83203125" style="142" customWidth="1"/>
    <col min="15" max="15" width="19.6640625" style="142" customWidth="1"/>
    <col min="16" max="16" width="20.1640625" style="142" bestFit="1" customWidth="1"/>
    <col min="17" max="17" width="50.6640625" style="142" customWidth="1"/>
    <col min="18" max="19" width="35" style="142" bestFit="1" customWidth="1"/>
    <col min="20" max="20" width="24.33203125" style="142" bestFit="1" customWidth="1"/>
    <col min="21" max="21" width="10.83203125" style="142" customWidth="1"/>
    <col min="22" max="22" width="7.6640625" style="142" bestFit="1" customWidth="1"/>
    <col min="23" max="24" width="11.83203125" style="142" bestFit="1" customWidth="1"/>
    <col min="25" max="25" width="12.83203125" style="142" bestFit="1" customWidth="1"/>
    <col min="26" max="26" width="18.1640625" style="142" customWidth="1"/>
    <col min="27" max="27" width="26.83203125" style="142" customWidth="1"/>
    <col min="28" max="28" width="12.33203125" style="142" customWidth="1"/>
    <col min="29" max="29" width="12.83203125" style="142" bestFit="1" customWidth="1"/>
    <col min="30" max="30" width="9.6640625" style="142" bestFit="1" customWidth="1"/>
    <col min="31" max="31" width="6.83203125" style="142" bestFit="1" customWidth="1"/>
    <col min="32" max="32" width="7.83203125" style="142" bestFit="1" customWidth="1"/>
    <col min="33" max="33" width="10.5" style="142" bestFit="1" customWidth="1"/>
    <col min="34" max="35" width="21.83203125" style="142" bestFit="1" customWidth="1"/>
    <col min="36" max="36" width="5.1640625" style="142" bestFit="1" customWidth="1"/>
    <col min="37" max="37" width="5.83203125" style="142" bestFit="1" customWidth="1"/>
    <col min="38" max="38" width="6.5" style="142" bestFit="1" customWidth="1"/>
    <col min="39" max="39" width="14" style="142" bestFit="1" customWidth="1"/>
    <col min="40" max="40" width="23.5" style="142" bestFit="1" customWidth="1"/>
    <col min="41" max="41" width="24.1640625" style="142" bestFit="1" customWidth="1"/>
    <col min="42" max="42" width="16.5" style="142" bestFit="1" customWidth="1"/>
    <col min="43" max="43" width="34" style="142" customWidth="1"/>
    <col min="44" max="44" width="19.6640625" style="142" customWidth="1"/>
    <col min="45" max="45" width="20.83203125" style="142" bestFit="1" customWidth="1"/>
    <col min="46" max="46" width="25.83203125" style="142" customWidth="1"/>
    <col min="47" max="47" width="20.5" style="142" bestFit="1" customWidth="1"/>
    <col min="48" max="16384" width="10.83203125" style="142"/>
  </cols>
  <sheetData>
    <row r="1" spans="1:47" s="139" customFormat="1" ht="48" customHeight="1">
      <c r="A1" s="137" t="s">
        <v>1338</v>
      </c>
      <c r="B1" s="137" t="s">
        <v>1339</v>
      </c>
      <c r="C1" s="137" t="s">
        <v>1340</v>
      </c>
      <c r="D1" s="137" t="s">
        <v>1341</v>
      </c>
      <c r="E1" s="137" t="s">
        <v>1342</v>
      </c>
      <c r="F1" s="137" t="s">
        <v>1343</v>
      </c>
      <c r="G1" s="137" t="s">
        <v>1344</v>
      </c>
      <c r="H1" s="137" t="s">
        <v>1345</v>
      </c>
      <c r="I1" s="137" t="s">
        <v>1346</v>
      </c>
      <c r="J1" s="139" t="s">
        <v>1347</v>
      </c>
      <c r="K1" s="137" t="s">
        <v>2</v>
      </c>
      <c r="L1" s="137" t="s">
        <v>456</v>
      </c>
      <c r="M1" s="145" t="s">
        <v>1348</v>
      </c>
      <c r="N1" s="145" t="s">
        <v>3</v>
      </c>
      <c r="O1" s="145" t="s">
        <v>4</v>
      </c>
      <c r="P1" s="145" t="s">
        <v>6</v>
      </c>
      <c r="Q1" s="137" t="s">
        <v>1349</v>
      </c>
      <c r="R1" s="137" t="s">
        <v>463</v>
      </c>
      <c r="S1" s="137" t="s">
        <v>1350</v>
      </c>
      <c r="T1" s="137" t="s">
        <v>1352</v>
      </c>
      <c r="U1" s="137" t="s">
        <v>1353</v>
      </c>
      <c r="V1" s="137" t="s">
        <v>1354</v>
      </c>
      <c r="W1" s="146" t="s">
        <v>1355</v>
      </c>
      <c r="X1" s="137" t="s">
        <v>1356</v>
      </c>
      <c r="Y1" s="137" t="s">
        <v>1357</v>
      </c>
      <c r="Z1" s="137" t="s">
        <v>1358</v>
      </c>
      <c r="AA1" s="137" t="s">
        <v>1308</v>
      </c>
      <c r="AB1" s="137" t="s">
        <v>1331</v>
      </c>
      <c r="AC1" s="137" t="s">
        <v>1359</v>
      </c>
      <c r="AD1" s="137" t="s">
        <v>1360</v>
      </c>
      <c r="AE1" s="137" t="s">
        <v>1361</v>
      </c>
      <c r="AF1" s="137" t="s">
        <v>1329</v>
      </c>
      <c r="AG1" s="137" t="s">
        <v>1362</v>
      </c>
      <c r="AH1" s="138" t="s">
        <v>1856</v>
      </c>
      <c r="AI1" s="137" t="s">
        <v>1848</v>
      </c>
      <c r="AJ1" s="137" t="s">
        <v>8</v>
      </c>
      <c r="AK1" s="137" t="s">
        <v>7</v>
      </c>
      <c r="AL1" s="137" t="s">
        <v>10</v>
      </c>
      <c r="AM1" s="137" t="s">
        <v>9</v>
      </c>
      <c r="AN1" s="137" t="s">
        <v>11</v>
      </c>
      <c r="AO1" s="137" t="s">
        <v>1363</v>
      </c>
      <c r="AP1" s="137" t="s">
        <v>1364</v>
      </c>
      <c r="AQ1" s="138" t="s">
        <v>1857</v>
      </c>
      <c r="AR1" s="145" t="s">
        <v>1847</v>
      </c>
      <c r="AS1" s="140" t="s">
        <v>1858</v>
      </c>
      <c r="AT1" s="145" t="s">
        <v>1859</v>
      </c>
      <c r="AU1" s="140" t="s">
        <v>1860</v>
      </c>
    </row>
    <row r="2" spans="1:47" hidden="1">
      <c r="A2" s="147" t="s">
        <v>1369</v>
      </c>
      <c r="B2" s="136" t="s">
        <v>1306</v>
      </c>
      <c r="C2" s="136" t="str">
        <f>tbl_IO_List[[#This Row],[Column3]]</f>
        <v>C1S00,00</v>
      </c>
      <c r="D2" s="136" t="str">
        <f>tbl_IO_List[[#This Row],[Card]]</f>
        <v>1756-L950TPSXT-0</v>
      </c>
      <c r="E2" s="136" t="s">
        <v>1366</v>
      </c>
      <c r="F2" s="136" t="str">
        <f>tbl_IO_List[[#This Row],[Column23]]&amp;"-" &amp;tbl_IO_List[[#This Row],[Column52]]</f>
        <v>C1S00-X1</v>
      </c>
      <c r="G2" s="136">
        <f>tbl_IO_List[[#This Row],[PLC_Tag]]</f>
        <v>0</v>
      </c>
      <c r="H2" s="136"/>
      <c r="I2" s="136" t="str">
        <f>VLOOKUP(tbl_IO_List[[#This Row],[Destination]],tbl_Junction[],2,FALSE)</f>
        <v>Main Control Cabinet</v>
      </c>
      <c r="J2" s="136" t="s">
        <v>1306</v>
      </c>
      <c r="K2" s="136" t="s">
        <v>1382</v>
      </c>
      <c r="L2" s="136" t="s">
        <v>411</v>
      </c>
      <c r="M2" s="136" t="e">
        <f>VLOOKUP(tbl_IO_List[[#This Row],[Instruement Tag]],tbl_Instruement_List[],2,FALSE)</f>
        <v>#N/A</v>
      </c>
      <c r="N2" s="136"/>
      <c r="O2" s="136" t="s">
        <v>18</v>
      </c>
      <c r="P2" s="136" t="s">
        <v>18</v>
      </c>
      <c r="Q2" s="136" t="e">
        <f>VLOOKUP(tbl_IO_List[[#This Row],[Instruement Tag]],tbl_Instruement_List[],6,FALSE)</f>
        <v>#N/A</v>
      </c>
      <c r="R2" s="136"/>
      <c r="S2" s="136"/>
      <c r="T2" s="136"/>
      <c r="U2" s="136" t="s">
        <v>1323</v>
      </c>
      <c r="V2" s="136" t="e">
        <f>VLOOKUP(tbl_IO_List[[#This Row],[I/O Type]],tbl_Slot_Group[],2,FALSE)</f>
        <v>#N/A</v>
      </c>
      <c r="W2" s="136">
        <v>0</v>
      </c>
      <c r="X2" s="136" t="str">
        <f>tbl_IO_List[[#This Row],[Chassis]]&amp;"S"&amp;TEXT(tbl_IO_List[[#This Row],[Slot]],"00")</f>
        <v>C1S00</v>
      </c>
      <c r="Y2" s="136" t="str">
        <f>tbl_IO_List[[#This Row],[Chassis]]&amp;"S"&amp;TEXT(tbl_IO_List[[#This Row],[Slot]],"00")&amp;tbl_IO_List[[#This Row],[I/O Type]]&amp;TEXT(tbl_IO_List[[#This Row],[Point]],"00")</f>
        <v>C1S00CPU00</v>
      </c>
      <c r="Z2" s="136" t="str">
        <f>tbl_IO_List[[#This Row],[Chassis]]&amp;"S"&amp;TEXT(tbl_IO_List[[#This Row],[Slot]],"00")&amp;","&amp;TEXT(tbl_IO_List[[#This Row],[Point]],"00")</f>
        <v>C1S00,00</v>
      </c>
      <c r="AA2" s="136" t="str">
        <f>VLOOKUP(tbl_IO_List[[#This Row],[Column23]],tbl_RackConfig[],5,FALSE) &amp;"-"&amp;tbl_IO_List[[#This Row],[Point]]</f>
        <v>1756-L950TPSXT-0</v>
      </c>
      <c r="AB2" s="136"/>
      <c r="AC2" s="136" t="s">
        <v>1370</v>
      </c>
      <c r="AD2" s="136" t="str">
        <f>tbl_IO_List[[#This Row],[I/O Type]]</f>
        <v>CPU</v>
      </c>
      <c r="AE2" s="136" t="s">
        <v>1332</v>
      </c>
      <c r="AF2" s="136">
        <v>0</v>
      </c>
      <c r="AG2" s="136">
        <v>0</v>
      </c>
      <c r="AH2" s="136"/>
      <c r="AI2" s="136"/>
      <c r="AJ2" s="136">
        <v>0</v>
      </c>
      <c r="AK2" s="136">
        <v>0</v>
      </c>
      <c r="AL2" s="136">
        <v>0</v>
      </c>
      <c r="AM2" s="136">
        <v>0</v>
      </c>
      <c r="AN2" s="136">
        <v>1</v>
      </c>
      <c r="AO2" s="136"/>
      <c r="AP2" s="143" t="e">
        <f>VLOOKUP(tbl_IO_List[[#This Row],[Instruement Tag]],tbl_Instruement_List[],14,FALSE)</f>
        <v>#N/A</v>
      </c>
      <c r="AQ2" s="143" t="str">
        <f>tbl_IO_List[[#This Row],[Chassis]]&amp;"S"&amp;tbl_IO_List[[#This Row],[Slot]]&amp;"-"&amp;tbl_IO_List[[#This Row],[Front Terminal Number]]</f>
        <v>C1S0-</v>
      </c>
      <c r="AR2" s="143"/>
      <c r="AS2" s="136" t="str">
        <f>tbl_IO_List[[#This Row],[Terminal Tagging]]&amp;"-"&amp;tbl_IO_List[[#This Row],[Point-Count]]</f>
        <v>-</v>
      </c>
      <c r="AT2" s="136" t="str">
        <f>tbl_IO_List[[#This Row],[Front Terminal Tagging]]&amp;"/"&amp;tbl_IO_List[[#This Row],[Terminal Tagging-Item]]</f>
        <v>C1S0-/-</v>
      </c>
      <c r="AU2" s="136" t="str">
        <f>tbl_IO_List[[#This Row],[Terminal Tagging-Item]]&amp;"/"&amp;tbl_IO_List[[#This Row],[Front Terminal Tagging]]</f>
        <v>-/C1S0-</v>
      </c>
    </row>
    <row r="3" spans="1:47" hidden="1">
      <c r="A3" s="147" t="s">
        <v>1369</v>
      </c>
      <c r="B3" s="136" t="s">
        <v>1306</v>
      </c>
      <c r="C3" s="136" t="str">
        <f>tbl_IO_List[[#This Row],[Column3]]</f>
        <v>C1S01,00</v>
      </c>
      <c r="D3" s="136" t="str">
        <f>tbl_IO_List[[#This Row],[Card]]</f>
        <v>1756-EN4TR-0</v>
      </c>
      <c r="E3" s="136" t="s">
        <v>1366</v>
      </c>
      <c r="F3" s="136" t="str">
        <f>tbl_IO_List[[#This Row],[Column23]]&amp;"-" &amp;tbl_IO_List[[#This Row],[Column52]]</f>
        <v>C1S01-X1</v>
      </c>
      <c r="G3" s="136">
        <f>tbl_IO_List[[#This Row],[PLC_Tag]]</f>
        <v>0</v>
      </c>
      <c r="H3" s="136"/>
      <c r="I3" s="136" t="str">
        <f>VLOOKUP(tbl_IO_List[[#This Row],[Destination]],tbl_Junction[],2,FALSE)</f>
        <v>Main Control Cabinet</v>
      </c>
      <c r="J3" s="136" t="s">
        <v>1306</v>
      </c>
      <c r="K3" s="136" t="s">
        <v>1382</v>
      </c>
      <c r="L3" s="136" t="s">
        <v>411</v>
      </c>
      <c r="M3" s="136" t="e">
        <f>VLOOKUP(tbl_IO_List[[#This Row],[Instruement Tag]],tbl_Instruement_List[],2,FALSE)</f>
        <v>#N/A</v>
      </c>
      <c r="N3" s="136"/>
      <c r="O3" s="136" t="s">
        <v>18</v>
      </c>
      <c r="P3" s="136" t="s">
        <v>18</v>
      </c>
      <c r="Q3" s="136" t="e">
        <f>VLOOKUP(tbl_IO_List[[#This Row],[Instruement Tag]],tbl_Instruement_List[],6,FALSE)</f>
        <v>#N/A</v>
      </c>
      <c r="R3" s="136"/>
      <c r="S3" s="136"/>
      <c r="T3" s="136"/>
      <c r="U3" s="136" t="s">
        <v>1844</v>
      </c>
      <c r="V3" s="136" t="e">
        <f>VLOOKUP(tbl_IO_List[[#This Row],[I/O Type]],tbl_Slot_Group[],2,FALSE)</f>
        <v>#N/A</v>
      </c>
      <c r="W3" s="136">
        <v>0</v>
      </c>
      <c r="X3" s="136" t="str">
        <f>tbl_IO_List[[#This Row],[Chassis]]&amp;"S"&amp;TEXT(tbl_IO_List[[#This Row],[Slot]],"00")</f>
        <v>C1S01</v>
      </c>
      <c r="Y3" s="136" t="str">
        <f>tbl_IO_List[[#This Row],[Chassis]]&amp;"S"&amp;TEXT(tbl_IO_List[[#This Row],[Slot]],"00")&amp;tbl_IO_List[[#This Row],[I/O Type]]&amp;TEXT(tbl_IO_List[[#This Row],[Point]],"00")</f>
        <v>C1S01ETH-100</v>
      </c>
      <c r="Z3" s="136" t="str">
        <f>tbl_IO_List[[#This Row],[Chassis]]&amp;"S"&amp;TEXT(tbl_IO_List[[#This Row],[Slot]],"00")&amp;","&amp;TEXT(tbl_IO_List[[#This Row],[Point]],"00")</f>
        <v>C1S01,00</v>
      </c>
      <c r="AA3" s="136" t="str">
        <f>VLOOKUP(tbl_IO_List[[#This Row],[Column23]],tbl_RackConfig[],5,FALSE) &amp;"-"&amp;tbl_IO_List[[#This Row],[Point]]</f>
        <v>1756-EN4TR-0</v>
      </c>
      <c r="AB3" s="136"/>
      <c r="AC3" s="136" t="s">
        <v>1370</v>
      </c>
      <c r="AD3" s="136" t="str">
        <f>tbl_IO_List[[#This Row],[I/O Type]]</f>
        <v>ETH-1</v>
      </c>
      <c r="AE3" s="136" t="s">
        <v>1332</v>
      </c>
      <c r="AF3" s="136">
        <v>1</v>
      </c>
      <c r="AG3" s="136">
        <v>0</v>
      </c>
      <c r="AH3" s="136"/>
      <c r="AI3" s="136"/>
      <c r="AJ3" s="136">
        <v>1</v>
      </c>
      <c r="AK3" s="136">
        <v>0</v>
      </c>
      <c r="AL3" s="136">
        <v>0</v>
      </c>
      <c r="AM3" s="136">
        <v>0</v>
      </c>
      <c r="AN3" s="136">
        <v>1</v>
      </c>
      <c r="AO3" s="136"/>
      <c r="AP3" s="143" t="e">
        <f>VLOOKUP(tbl_IO_List[[#This Row],[Instruement Tag]],tbl_Instruement_List[],14,FALSE)</f>
        <v>#N/A</v>
      </c>
      <c r="AQ3" s="143" t="str">
        <f>tbl_IO_List[[#This Row],[Chassis]]&amp;"S"&amp;tbl_IO_List[[#This Row],[Slot]]&amp;"-"&amp;tbl_IO_List[[#This Row],[Front Terminal Number]]</f>
        <v>C1S1-</v>
      </c>
      <c r="AR3" s="143"/>
      <c r="AS3" s="136" t="str">
        <f>tbl_IO_List[[#This Row],[Terminal Tagging]]&amp;"-"&amp;tbl_IO_List[[#This Row],[Point-Count]]</f>
        <v>-</v>
      </c>
      <c r="AT3" s="136" t="str">
        <f>tbl_IO_List[[#This Row],[Front Terminal Tagging]]&amp;"/"&amp;tbl_IO_List[[#This Row],[Terminal Tagging-Item]]</f>
        <v>C1S1-/-</v>
      </c>
      <c r="AU3" s="136" t="str">
        <f>tbl_IO_List[[#This Row],[Terminal Tagging-Item]]&amp;"/"&amp;tbl_IO_List[[#This Row],[Front Terminal Tagging]]</f>
        <v>-/C1S1-</v>
      </c>
    </row>
    <row r="4" spans="1:47" hidden="1">
      <c r="A4" s="147" t="s">
        <v>1369</v>
      </c>
      <c r="B4" s="136" t="s">
        <v>1306</v>
      </c>
      <c r="C4" s="136" t="str">
        <f>tbl_IO_List[[#This Row],[Column3]]</f>
        <v>C1S02,00</v>
      </c>
      <c r="D4" s="136" t="str">
        <f>tbl_IO_List[[#This Row],[Card]]</f>
        <v>1756-EN4TR-0</v>
      </c>
      <c r="E4" s="136" t="s">
        <v>1366</v>
      </c>
      <c r="F4" s="136" t="str">
        <f>tbl_IO_List[[#This Row],[Column23]]&amp;"-" &amp;tbl_IO_List[[#This Row],[Column52]]</f>
        <v>C1S02-X1</v>
      </c>
      <c r="G4" s="136">
        <f>tbl_IO_List[[#This Row],[PLC_Tag]]</f>
        <v>0</v>
      </c>
      <c r="H4" s="136"/>
      <c r="I4" s="136" t="str">
        <f>VLOOKUP(tbl_IO_List[[#This Row],[Destination]],tbl_Junction[],2,FALSE)</f>
        <v>Main Control Cabinet</v>
      </c>
      <c r="J4" s="136" t="s">
        <v>1306</v>
      </c>
      <c r="K4" s="136" t="s">
        <v>1382</v>
      </c>
      <c r="L4" s="136" t="s">
        <v>411</v>
      </c>
      <c r="M4" s="136" t="e">
        <f>VLOOKUP(tbl_IO_List[[#This Row],[Instruement Tag]],tbl_Instruement_List[],2,FALSE)</f>
        <v>#N/A</v>
      </c>
      <c r="N4" s="136"/>
      <c r="O4" s="136" t="s">
        <v>18</v>
      </c>
      <c r="P4" s="136" t="s">
        <v>18</v>
      </c>
      <c r="Q4" s="136" t="e">
        <f>VLOOKUP(tbl_IO_List[[#This Row],[Instruement Tag]],tbl_Instruement_List[],6,FALSE)</f>
        <v>#N/A</v>
      </c>
      <c r="R4" s="136"/>
      <c r="S4" s="136"/>
      <c r="T4" s="136"/>
      <c r="U4" s="136" t="s">
        <v>1845</v>
      </c>
      <c r="V4" s="136" t="e">
        <f>VLOOKUP(tbl_IO_List[[#This Row],[I/O Type]],tbl_Slot_Group[],2,FALSE)</f>
        <v>#N/A</v>
      </c>
      <c r="W4" s="136">
        <v>0</v>
      </c>
      <c r="X4" s="136" t="str">
        <f>tbl_IO_List[[#This Row],[Chassis]]&amp;"S"&amp;TEXT(tbl_IO_List[[#This Row],[Slot]],"00")</f>
        <v>C1S02</v>
      </c>
      <c r="Y4" s="136" t="str">
        <f>tbl_IO_List[[#This Row],[Chassis]]&amp;"S"&amp;TEXT(tbl_IO_List[[#This Row],[Slot]],"00")&amp;tbl_IO_List[[#This Row],[I/O Type]]&amp;TEXT(tbl_IO_List[[#This Row],[Point]],"00")</f>
        <v>C1S02ETH-200</v>
      </c>
      <c r="Z4" s="136" t="str">
        <f>tbl_IO_List[[#This Row],[Chassis]]&amp;"S"&amp;TEXT(tbl_IO_List[[#This Row],[Slot]],"00")&amp;","&amp;TEXT(tbl_IO_List[[#This Row],[Point]],"00")</f>
        <v>C1S02,00</v>
      </c>
      <c r="AA4" s="136" t="str">
        <f>VLOOKUP(tbl_IO_List[[#This Row],[Column23]],tbl_RackConfig[],5,FALSE) &amp;"-"&amp;tbl_IO_List[[#This Row],[Point]]</f>
        <v>1756-EN4TR-0</v>
      </c>
      <c r="AB4" s="136"/>
      <c r="AC4" s="136" t="s">
        <v>1370</v>
      </c>
      <c r="AD4" s="136" t="str">
        <f>tbl_IO_List[[#This Row],[I/O Type]]</f>
        <v>ETH-2</v>
      </c>
      <c r="AE4" s="136" t="s">
        <v>1332</v>
      </c>
      <c r="AF4" s="136">
        <v>2</v>
      </c>
      <c r="AG4" s="136">
        <v>0</v>
      </c>
      <c r="AH4" s="136"/>
      <c r="AI4" s="136"/>
      <c r="AJ4" s="136">
        <v>1</v>
      </c>
      <c r="AK4" s="136">
        <v>0</v>
      </c>
      <c r="AL4" s="136">
        <v>0</v>
      </c>
      <c r="AM4" s="136">
        <v>0</v>
      </c>
      <c r="AN4" s="136">
        <v>1</v>
      </c>
      <c r="AO4" s="136"/>
      <c r="AP4" s="143" t="e">
        <f>VLOOKUP(tbl_IO_List[[#This Row],[Instruement Tag]],tbl_Instruement_List[],14,FALSE)</f>
        <v>#N/A</v>
      </c>
      <c r="AQ4" s="143" t="str">
        <f>tbl_IO_List[[#This Row],[Chassis]]&amp;"S"&amp;tbl_IO_List[[#This Row],[Slot]]&amp;"-"&amp;tbl_IO_List[[#This Row],[Front Terminal Number]]</f>
        <v>C1S2-</v>
      </c>
      <c r="AR4" s="143"/>
      <c r="AS4" s="136" t="str">
        <f>tbl_IO_List[[#This Row],[Terminal Tagging]]&amp;"-"&amp;tbl_IO_List[[#This Row],[Point-Count]]</f>
        <v>-</v>
      </c>
      <c r="AT4" s="136" t="str">
        <f>tbl_IO_List[[#This Row],[Front Terminal Tagging]]&amp;"/"&amp;tbl_IO_List[[#This Row],[Terminal Tagging-Item]]</f>
        <v>C1S2-/-</v>
      </c>
      <c r="AU4" s="136" t="str">
        <f>tbl_IO_List[[#This Row],[Terminal Tagging-Item]]&amp;"/"&amp;tbl_IO_List[[#This Row],[Front Terminal Tagging]]</f>
        <v>-/C1S2-</v>
      </c>
    </row>
    <row r="5" spans="1:47" hidden="1">
      <c r="A5" s="147" t="s">
        <v>1369</v>
      </c>
      <c r="B5" s="136" t="s">
        <v>1306</v>
      </c>
      <c r="C5" s="136" t="str">
        <f>tbl_IO_List[[#This Row],[Column3]]</f>
        <v>C1S03,00</v>
      </c>
      <c r="D5" s="136" t="str">
        <f>tbl_IO_List[[#This Row],[Card]]</f>
        <v>1756-EN4TR-0</v>
      </c>
      <c r="E5" s="136" t="s">
        <v>1366</v>
      </c>
      <c r="F5" s="136" t="str">
        <f>tbl_IO_List[[#This Row],[Column23]]&amp;"-" &amp;tbl_IO_List[[#This Row],[Column52]]</f>
        <v>C1S03-X1</v>
      </c>
      <c r="G5" s="136">
        <f>tbl_IO_List[[#This Row],[PLC_Tag]]</f>
        <v>0</v>
      </c>
      <c r="H5" s="136"/>
      <c r="I5" s="136" t="str">
        <f>VLOOKUP(tbl_IO_List[[#This Row],[Destination]],tbl_Junction[],2,FALSE)</f>
        <v>Main Control Cabinet</v>
      </c>
      <c r="J5" s="136" t="s">
        <v>1306</v>
      </c>
      <c r="K5" s="136" t="s">
        <v>1382</v>
      </c>
      <c r="L5" s="136" t="s">
        <v>411</v>
      </c>
      <c r="M5" s="136" t="e">
        <f>VLOOKUP(tbl_IO_List[[#This Row],[Instruement Tag]],tbl_Instruement_List[],2,FALSE)</f>
        <v>#N/A</v>
      </c>
      <c r="N5" s="136"/>
      <c r="O5" s="136" t="s">
        <v>18</v>
      </c>
      <c r="P5" s="136" t="s">
        <v>18</v>
      </c>
      <c r="Q5" s="136" t="e">
        <f>VLOOKUP(tbl_IO_List[[#This Row],[Instruement Tag]],tbl_Instruement_List[],6,FALSE)</f>
        <v>#N/A</v>
      </c>
      <c r="R5" s="136"/>
      <c r="S5" s="136"/>
      <c r="T5" s="136"/>
      <c r="U5" s="136" t="s">
        <v>1846</v>
      </c>
      <c r="V5" s="136" t="e">
        <f>VLOOKUP(tbl_IO_List[[#This Row],[I/O Type]],tbl_Slot_Group[],2,FALSE)</f>
        <v>#N/A</v>
      </c>
      <c r="W5" s="136">
        <v>0</v>
      </c>
      <c r="X5" s="136" t="str">
        <f>tbl_IO_List[[#This Row],[Chassis]]&amp;"S"&amp;TEXT(tbl_IO_List[[#This Row],[Slot]],"00")</f>
        <v>C1S03</v>
      </c>
      <c r="Y5" s="136" t="str">
        <f>tbl_IO_List[[#This Row],[Chassis]]&amp;"S"&amp;TEXT(tbl_IO_List[[#This Row],[Slot]],"00")&amp;tbl_IO_List[[#This Row],[I/O Type]]&amp;TEXT(tbl_IO_List[[#This Row],[Point]],"00")</f>
        <v>C1S03ETH-300</v>
      </c>
      <c r="Z5" s="136" t="str">
        <f>tbl_IO_List[[#This Row],[Chassis]]&amp;"S"&amp;TEXT(tbl_IO_List[[#This Row],[Slot]],"00")&amp;","&amp;TEXT(tbl_IO_List[[#This Row],[Point]],"00")</f>
        <v>C1S03,00</v>
      </c>
      <c r="AA5" s="136" t="str">
        <f>VLOOKUP(tbl_IO_List[[#This Row],[Column23]],tbl_RackConfig[],5,FALSE) &amp;"-"&amp;tbl_IO_List[[#This Row],[Point]]</f>
        <v>1756-EN4TR-0</v>
      </c>
      <c r="AB5" s="136"/>
      <c r="AC5" s="136" t="s">
        <v>1370</v>
      </c>
      <c r="AD5" s="136" t="str">
        <f>tbl_IO_List[[#This Row],[I/O Type]]</f>
        <v>ETH-3</v>
      </c>
      <c r="AE5" s="136" t="s">
        <v>1332</v>
      </c>
      <c r="AF5" s="136">
        <v>3</v>
      </c>
      <c r="AG5" s="136">
        <v>0</v>
      </c>
      <c r="AH5" s="136"/>
      <c r="AI5" s="136"/>
      <c r="AJ5" s="136">
        <v>1</v>
      </c>
      <c r="AK5" s="136">
        <v>0</v>
      </c>
      <c r="AL5" s="136">
        <v>0</v>
      </c>
      <c r="AM5" s="136">
        <v>0</v>
      </c>
      <c r="AN5" s="136">
        <v>1</v>
      </c>
      <c r="AO5" s="136"/>
      <c r="AP5" s="143" t="e">
        <f>VLOOKUP(tbl_IO_List[[#This Row],[Instruement Tag]],tbl_Instruement_List[],14,FALSE)</f>
        <v>#N/A</v>
      </c>
      <c r="AQ5" s="143" t="str">
        <f>tbl_IO_List[[#This Row],[Chassis]]&amp;"S"&amp;tbl_IO_List[[#This Row],[Slot]]&amp;"-"&amp;tbl_IO_List[[#This Row],[Front Terminal Number]]</f>
        <v>C1S3-</v>
      </c>
      <c r="AR5" s="143"/>
      <c r="AS5" s="136" t="str">
        <f>tbl_IO_List[[#This Row],[Terminal Tagging]]&amp;"-"&amp;tbl_IO_List[[#This Row],[Point-Count]]</f>
        <v>-</v>
      </c>
      <c r="AT5" s="136" t="str">
        <f>tbl_IO_List[[#This Row],[Front Terminal Tagging]]&amp;"/"&amp;tbl_IO_List[[#This Row],[Terminal Tagging-Item]]</f>
        <v>C1S3-/-</v>
      </c>
      <c r="AU5" s="136" t="str">
        <f>tbl_IO_List[[#This Row],[Terminal Tagging-Item]]&amp;"/"&amp;tbl_IO_List[[#This Row],[Front Terminal Tagging]]</f>
        <v>-/C1S3-</v>
      </c>
    </row>
    <row r="6" spans="1:47" hidden="1">
      <c r="A6" s="147" t="s">
        <v>1369</v>
      </c>
      <c r="B6" s="136" t="s">
        <v>1306</v>
      </c>
      <c r="C6" s="136" t="str">
        <f>tbl_IO_List[[#This Row],[Column3]]</f>
        <v>C1S04,00</v>
      </c>
      <c r="D6" s="136" t="str">
        <f>tbl_IO_List[[#This Row],[Card]]</f>
        <v>1756-IB32-0</v>
      </c>
      <c r="E6" s="136" t="s">
        <v>1366</v>
      </c>
      <c r="F6" s="136" t="str">
        <f>tbl_IO_List[[#This Row],[Column23]]&amp;"-" &amp;tbl_IO_List[[#This Row],[Column52]]</f>
        <v>C1S04-X1</v>
      </c>
      <c r="G6" s="136" t="str">
        <f>tbl_IO_List[[#This Row],[PLC_Tag]]</f>
        <v>Spare_DI_0</v>
      </c>
      <c r="H6" s="136"/>
      <c r="I6" s="136" t="str">
        <f>VLOOKUP(tbl_IO_List[[#This Row],[Destination]],tbl_Junction[],2,FALSE)</f>
        <v>Main Control Cabinet</v>
      </c>
      <c r="J6" s="136" t="s">
        <v>1306</v>
      </c>
      <c r="K6" s="136" t="s">
        <v>1382</v>
      </c>
      <c r="L6" s="136" t="s">
        <v>411</v>
      </c>
      <c r="M6" s="136" t="e">
        <f>VLOOKUP(tbl_IO_List[[#This Row],[Instruement Tag]],tbl_Instruement_List[],2,FALSE)</f>
        <v>#N/A</v>
      </c>
      <c r="N6" s="136"/>
      <c r="O6" s="136" t="s">
        <v>18</v>
      </c>
      <c r="P6" s="136" t="s">
        <v>18</v>
      </c>
      <c r="Q6" s="136" t="e">
        <f>VLOOKUP(tbl_IO_List[[#This Row],[Instruement Tag]],tbl_Instruement_List[],6,FALSE)</f>
        <v>#N/A</v>
      </c>
      <c r="R6" s="136"/>
      <c r="S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6" s="136" t="str">
        <f>tbl_IO_List[[#This Row],[Instruement Tag]]&amp;"_"&amp;tbl_IO_List[[#This Row],[I/O Type]]&amp;"_"&amp;tbl_IO_List[[#This Row],[IO-Point 
(Instruement)]]</f>
        <v>Spare_DI_0</v>
      </c>
      <c r="U6" s="136" t="s">
        <v>8</v>
      </c>
      <c r="V6" s="136">
        <f>VLOOKUP(tbl_IO_List[[#This Row],[I/O Type]],tbl_Slot_Group[],2,FALSE)</f>
        <v>1</v>
      </c>
      <c r="W6" s="136">
        <v>0</v>
      </c>
      <c r="X6" s="136" t="str">
        <f>tbl_IO_List[[#This Row],[Chassis]]&amp;"S"&amp;TEXT(tbl_IO_List[[#This Row],[Slot]],"00")</f>
        <v>C1S04</v>
      </c>
      <c r="Y6" s="136" t="str">
        <f>tbl_IO_List[[#This Row],[Chassis]]&amp;"S"&amp;TEXT(tbl_IO_List[[#This Row],[Slot]],"00")&amp;tbl_IO_List[[#This Row],[I/O Type]]&amp;TEXT(tbl_IO_List[[#This Row],[Point]],"00")</f>
        <v>C1S04DI00</v>
      </c>
      <c r="Z6" s="136" t="str">
        <f>tbl_IO_List[[#This Row],[Chassis]]&amp;"S"&amp;TEXT(tbl_IO_List[[#This Row],[Slot]],"00")&amp;","&amp;TEXT(tbl_IO_List[[#This Row],[Point]],"00")</f>
        <v>C1S04,00</v>
      </c>
      <c r="AA6" s="136" t="str">
        <f>VLOOKUP(tbl_IO_List[[#This Row],[Column23]],tbl_RackConfig[],5,FALSE) &amp;"-"&amp;tbl_IO_List[[#This Row],[Point]]</f>
        <v>1756-IB32-0</v>
      </c>
      <c r="AB6" s="136"/>
      <c r="AC6" s="136" t="s">
        <v>1370</v>
      </c>
      <c r="AD6" s="136" t="str">
        <f>tbl_IO_List[[#This Row],[I/O Type]]</f>
        <v>DI</v>
      </c>
      <c r="AE6" s="136" t="s">
        <v>1332</v>
      </c>
      <c r="AF6" s="136">
        <v>4</v>
      </c>
      <c r="AG6" s="136">
        <v>0</v>
      </c>
      <c r="AH6" s="136">
        <v>1</v>
      </c>
      <c r="AI6" s="136">
        <v>1</v>
      </c>
      <c r="AJ6" s="136">
        <v>1</v>
      </c>
      <c r="AK6" s="136">
        <v>0</v>
      </c>
      <c r="AL6" s="136">
        <v>0</v>
      </c>
      <c r="AM6" s="136">
        <v>0</v>
      </c>
      <c r="AN6" s="136">
        <v>0</v>
      </c>
      <c r="AO6" s="136"/>
      <c r="AP6" s="143" t="e">
        <f>VLOOKUP(tbl_IO_List[[#This Row],[Instruement Tag]],tbl_Instruement_List[],14,FALSE)</f>
        <v>#N/A</v>
      </c>
      <c r="AQ6" s="141" t="str">
        <f>tbl_IO_List[[#This Row],[Chassis]]&amp;"S"&amp;tbl_IO_List[[#This Row],[Slot]]&amp;"-"&amp;tbl_IO_List[[#This Row],[Front Terminal Number]]</f>
        <v>C1S4-1</v>
      </c>
      <c r="AR6" s="141" t="s">
        <v>1849</v>
      </c>
      <c r="AS6" s="136" t="str">
        <f>tbl_IO_List[[#This Row],[Terminal Tagging]]&amp;"-"&amp;tbl_IO_List[[#This Row],[Point-Count]]</f>
        <v>P1-TBDI1-1</v>
      </c>
      <c r="AT6" s="136" t="str">
        <f>tbl_IO_List[[#This Row],[Front Terminal Tagging]]&amp;"/"&amp;tbl_IO_List[[#This Row],[Terminal Tagging-Item]]</f>
        <v>C1S4-1/P1-TBDI1-1</v>
      </c>
      <c r="AU6" s="136" t="str">
        <f>tbl_IO_List[[#This Row],[Terminal Tagging-Item]]&amp;"/"&amp;tbl_IO_List[[#This Row],[Front Terminal Tagging]]</f>
        <v>P1-TBDI1-1/C1S4-1</v>
      </c>
    </row>
    <row r="7" spans="1:47" hidden="1">
      <c r="A7" s="147" t="s">
        <v>1369</v>
      </c>
      <c r="B7" s="136" t="s">
        <v>1306</v>
      </c>
      <c r="C7" s="136" t="str">
        <f>tbl_IO_List[[#This Row],[Column3]]</f>
        <v>C1S04,01</v>
      </c>
      <c r="D7" s="136" t="str">
        <f>tbl_IO_List[[#This Row],[Card]]</f>
        <v>1756-IB32-1</v>
      </c>
      <c r="E7" s="136" t="s">
        <v>1366</v>
      </c>
      <c r="F7" s="136" t="str">
        <f>tbl_IO_List[[#This Row],[Column23]]&amp;"-" &amp;tbl_IO_List[[#This Row],[Column52]]</f>
        <v>C1S04-X1</v>
      </c>
      <c r="G7" s="136" t="str">
        <f>tbl_IO_List[[#This Row],[PLC_Tag]]</f>
        <v>Spare_DI_0</v>
      </c>
      <c r="H7" s="136"/>
      <c r="I7" s="136" t="str">
        <f>VLOOKUP(tbl_IO_List[[#This Row],[Destination]],tbl_Junction[],2,FALSE)</f>
        <v>Main Control Cabinet</v>
      </c>
      <c r="J7" s="136" t="s">
        <v>1306</v>
      </c>
      <c r="K7" s="136" t="s">
        <v>1382</v>
      </c>
      <c r="L7" s="136" t="s">
        <v>411</v>
      </c>
      <c r="M7" s="136" t="e">
        <f>VLOOKUP(tbl_IO_List[[#This Row],[Instruement Tag]],tbl_Instruement_List[],2,FALSE)</f>
        <v>#N/A</v>
      </c>
      <c r="N7" s="136"/>
      <c r="O7" s="136" t="s">
        <v>18</v>
      </c>
      <c r="P7" s="136" t="s">
        <v>18</v>
      </c>
      <c r="Q7" s="136" t="e">
        <f>VLOOKUP(tbl_IO_List[[#This Row],[Instruement Tag]],tbl_Instruement_List[],6,FALSE)</f>
        <v>#N/A</v>
      </c>
      <c r="R7" s="136"/>
      <c r="S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" s="136" t="str">
        <f>tbl_IO_List[[#This Row],[Instruement Tag]]&amp;"_"&amp;tbl_IO_List[[#This Row],[I/O Type]]&amp;"_"&amp;tbl_IO_List[[#This Row],[IO-Point 
(Instruement)]]</f>
        <v>Spare_DI_0</v>
      </c>
      <c r="U7" s="136" t="s">
        <v>8</v>
      </c>
      <c r="V7" s="136">
        <f>VLOOKUP(tbl_IO_List[[#This Row],[I/O Type]],tbl_Slot_Group[],2,FALSE)</f>
        <v>1</v>
      </c>
      <c r="W7" s="136">
        <v>0</v>
      </c>
      <c r="X7" s="136" t="str">
        <f>tbl_IO_List[[#This Row],[Chassis]]&amp;"S"&amp;TEXT(tbl_IO_List[[#This Row],[Slot]],"00")</f>
        <v>C1S04</v>
      </c>
      <c r="Y7" s="136" t="str">
        <f>tbl_IO_List[[#This Row],[Chassis]]&amp;"S"&amp;TEXT(tbl_IO_List[[#This Row],[Slot]],"00")&amp;tbl_IO_List[[#This Row],[I/O Type]]&amp;TEXT(tbl_IO_List[[#This Row],[Point]],"00")</f>
        <v>C1S04DI01</v>
      </c>
      <c r="Z7" s="136" t="str">
        <f>tbl_IO_List[[#This Row],[Chassis]]&amp;"S"&amp;TEXT(tbl_IO_List[[#This Row],[Slot]],"00")&amp;","&amp;TEXT(tbl_IO_List[[#This Row],[Point]],"00")</f>
        <v>C1S04,01</v>
      </c>
      <c r="AA7" s="136" t="str">
        <f>VLOOKUP(tbl_IO_List[[#This Row],[Column23]],tbl_RackConfig[],5,FALSE) &amp;"-"&amp;tbl_IO_List[[#This Row],[Point]]</f>
        <v>1756-IB32-1</v>
      </c>
      <c r="AB7" s="136"/>
      <c r="AC7" s="136" t="s">
        <v>1370</v>
      </c>
      <c r="AD7" s="136" t="str">
        <f>tbl_IO_List[[#This Row],[I/O Type]]</f>
        <v>DI</v>
      </c>
      <c r="AE7" s="136" t="s">
        <v>1332</v>
      </c>
      <c r="AF7" s="136">
        <v>4</v>
      </c>
      <c r="AG7" s="136">
        <v>1</v>
      </c>
      <c r="AH7" s="136">
        <v>2</v>
      </c>
      <c r="AI7" s="136">
        <v>2</v>
      </c>
      <c r="AJ7" s="136">
        <v>1</v>
      </c>
      <c r="AK7" s="136">
        <v>0</v>
      </c>
      <c r="AL7" s="136">
        <v>0</v>
      </c>
      <c r="AM7" s="136">
        <v>0</v>
      </c>
      <c r="AN7" s="136">
        <v>0</v>
      </c>
      <c r="AO7" s="136"/>
      <c r="AP7" s="143" t="e">
        <f>VLOOKUP(tbl_IO_List[[#This Row],[Instruement Tag]],tbl_Instruement_List[],14,FALSE)</f>
        <v>#N/A</v>
      </c>
      <c r="AQ7" s="143" t="str">
        <f>tbl_IO_List[[#This Row],[Chassis]]&amp;"S"&amp;tbl_IO_List[[#This Row],[Slot]]&amp;"-"&amp;tbl_IO_List[[#This Row],[Front Terminal Number]]</f>
        <v>C1S4-2</v>
      </c>
      <c r="AR7" s="141" t="s">
        <v>1849</v>
      </c>
      <c r="AS7" s="136" t="str">
        <f>tbl_IO_List[[#This Row],[Terminal Tagging]]&amp;"-"&amp;tbl_IO_List[[#This Row],[Point-Count]]</f>
        <v>P1-TBDI1-2</v>
      </c>
      <c r="AT7" s="136" t="str">
        <f>tbl_IO_List[[#This Row],[Front Terminal Tagging]]&amp;"/"&amp;tbl_IO_List[[#This Row],[Terminal Tagging-Item]]</f>
        <v>C1S4-2/P1-TBDI1-2</v>
      </c>
      <c r="AU7" s="136" t="str">
        <f>tbl_IO_List[[#This Row],[Terminal Tagging-Item]]&amp;"/"&amp;tbl_IO_List[[#This Row],[Front Terminal Tagging]]</f>
        <v>P1-TBDI1-2/C1S4-2</v>
      </c>
    </row>
    <row r="8" spans="1:47" hidden="1">
      <c r="A8" s="147" t="s">
        <v>1369</v>
      </c>
      <c r="B8" s="136" t="s">
        <v>1306</v>
      </c>
      <c r="C8" s="136" t="str">
        <f>tbl_IO_List[[#This Row],[Column3]]</f>
        <v>C1S04,02</v>
      </c>
      <c r="D8" s="136" t="str">
        <f>tbl_IO_List[[#This Row],[Card]]</f>
        <v>1756-IB32-2</v>
      </c>
      <c r="E8" s="136" t="s">
        <v>1366</v>
      </c>
      <c r="F8" s="136" t="str">
        <f>tbl_IO_List[[#This Row],[Column23]]&amp;"-" &amp;tbl_IO_List[[#This Row],[Column52]]</f>
        <v>C1S04-X1</v>
      </c>
      <c r="G8" s="136" t="str">
        <f>tbl_IO_List[[#This Row],[PLC_Tag]]</f>
        <v>Spare_DI_0</v>
      </c>
      <c r="H8" s="136"/>
      <c r="I8" s="136" t="str">
        <f>VLOOKUP(tbl_IO_List[[#This Row],[Destination]],tbl_Junction[],2,FALSE)</f>
        <v>Main Control Cabinet</v>
      </c>
      <c r="J8" s="136" t="s">
        <v>1306</v>
      </c>
      <c r="K8" s="136" t="s">
        <v>1382</v>
      </c>
      <c r="L8" s="136" t="s">
        <v>411</v>
      </c>
      <c r="M8" s="136" t="e">
        <f>VLOOKUP(tbl_IO_List[[#This Row],[Instruement Tag]],tbl_Instruement_List[],2,FALSE)</f>
        <v>#N/A</v>
      </c>
      <c r="N8" s="136"/>
      <c r="O8" s="136" t="s">
        <v>18</v>
      </c>
      <c r="P8" s="136" t="s">
        <v>18</v>
      </c>
      <c r="Q8" s="136" t="e">
        <f>VLOOKUP(tbl_IO_List[[#This Row],[Instruement Tag]],tbl_Instruement_List[],6,FALSE)</f>
        <v>#N/A</v>
      </c>
      <c r="R8" s="136"/>
      <c r="S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8" s="136" t="str">
        <f>tbl_IO_List[[#This Row],[Instruement Tag]]&amp;"_"&amp;tbl_IO_List[[#This Row],[I/O Type]]&amp;"_"&amp;tbl_IO_List[[#This Row],[IO-Point 
(Instruement)]]</f>
        <v>Spare_DI_0</v>
      </c>
      <c r="U8" s="136" t="s">
        <v>8</v>
      </c>
      <c r="V8" s="136">
        <f>VLOOKUP(tbl_IO_List[[#This Row],[I/O Type]],tbl_Slot_Group[],2,FALSE)</f>
        <v>1</v>
      </c>
      <c r="W8" s="136">
        <v>0</v>
      </c>
      <c r="X8" s="136" t="str">
        <f>tbl_IO_List[[#This Row],[Chassis]]&amp;"S"&amp;TEXT(tbl_IO_List[[#This Row],[Slot]],"00")</f>
        <v>C1S04</v>
      </c>
      <c r="Y8" s="136" t="str">
        <f>tbl_IO_List[[#This Row],[Chassis]]&amp;"S"&amp;TEXT(tbl_IO_List[[#This Row],[Slot]],"00")&amp;tbl_IO_List[[#This Row],[I/O Type]]&amp;TEXT(tbl_IO_List[[#This Row],[Point]],"00")</f>
        <v>C1S04DI02</v>
      </c>
      <c r="Z8" s="136" t="str">
        <f>tbl_IO_List[[#This Row],[Chassis]]&amp;"S"&amp;TEXT(tbl_IO_List[[#This Row],[Slot]],"00")&amp;","&amp;TEXT(tbl_IO_List[[#This Row],[Point]],"00")</f>
        <v>C1S04,02</v>
      </c>
      <c r="AA8" s="136" t="str">
        <f>VLOOKUP(tbl_IO_List[[#This Row],[Column23]],tbl_RackConfig[],5,FALSE) &amp;"-"&amp;tbl_IO_List[[#This Row],[Point]]</f>
        <v>1756-IB32-2</v>
      </c>
      <c r="AB8" s="136"/>
      <c r="AC8" s="136" t="s">
        <v>1370</v>
      </c>
      <c r="AD8" s="136" t="str">
        <f>tbl_IO_List[[#This Row],[I/O Type]]</f>
        <v>DI</v>
      </c>
      <c r="AE8" s="136" t="s">
        <v>1332</v>
      </c>
      <c r="AF8" s="136">
        <v>4</v>
      </c>
      <c r="AG8" s="136">
        <v>2</v>
      </c>
      <c r="AH8" s="136">
        <v>3</v>
      </c>
      <c r="AI8" s="136">
        <v>3</v>
      </c>
      <c r="AJ8" s="136">
        <v>1</v>
      </c>
      <c r="AK8" s="136">
        <v>0</v>
      </c>
      <c r="AL8" s="136">
        <v>0</v>
      </c>
      <c r="AM8" s="136">
        <v>0</v>
      </c>
      <c r="AN8" s="136">
        <v>0</v>
      </c>
      <c r="AO8" s="136"/>
      <c r="AP8" s="143" t="e">
        <f>VLOOKUP(tbl_IO_List[[#This Row],[Instruement Tag]],tbl_Instruement_List[],14,FALSE)</f>
        <v>#N/A</v>
      </c>
      <c r="AQ8" s="143" t="str">
        <f>tbl_IO_List[[#This Row],[Chassis]]&amp;"S"&amp;tbl_IO_List[[#This Row],[Slot]]&amp;"-"&amp;tbl_IO_List[[#This Row],[Front Terminal Number]]</f>
        <v>C1S4-3</v>
      </c>
      <c r="AR8" s="141" t="s">
        <v>1849</v>
      </c>
      <c r="AS8" s="136" t="str">
        <f>tbl_IO_List[[#This Row],[Terminal Tagging]]&amp;"-"&amp;tbl_IO_List[[#This Row],[Point-Count]]</f>
        <v>P1-TBDI1-3</v>
      </c>
      <c r="AT8" s="136" t="str">
        <f>tbl_IO_List[[#This Row],[Front Terminal Tagging]]&amp;"/"&amp;tbl_IO_List[[#This Row],[Terminal Tagging-Item]]</f>
        <v>C1S4-3/P1-TBDI1-3</v>
      </c>
      <c r="AU8" s="136" t="str">
        <f>tbl_IO_List[[#This Row],[Terminal Tagging-Item]]&amp;"/"&amp;tbl_IO_List[[#This Row],[Front Terminal Tagging]]</f>
        <v>P1-TBDI1-3/C1S4-3</v>
      </c>
    </row>
    <row r="9" spans="1:47" hidden="1">
      <c r="A9" s="147" t="s">
        <v>1369</v>
      </c>
      <c r="B9" s="136" t="s">
        <v>1306</v>
      </c>
      <c r="C9" s="136" t="str">
        <f>tbl_IO_List[[#This Row],[Column3]]</f>
        <v>C1S04,03</v>
      </c>
      <c r="D9" s="136" t="str">
        <f>tbl_IO_List[[#This Row],[Card]]</f>
        <v>1756-IB32-3</v>
      </c>
      <c r="E9" s="136" t="s">
        <v>1366</v>
      </c>
      <c r="F9" s="136" t="str">
        <f>tbl_IO_List[[#This Row],[Column23]]&amp;"-" &amp;tbl_IO_List[[#This Row],[Column52]]</f>
        <v>C1S04-X1</v>
      </c>
      <c r="G9" s="136" t="str">
        <f>tbl_IO_List[[#This Row],[PLC_Tag]]</f>
        <v>Spare_DI_0</v>
      </c>
      <c r="H9" s="136"/>
      <c r="I9" s="136" t="str">
        <f>VLOOKUP(tbl_IO_List[[#This Row],[Destination]],tbl_Junction[],2,FALSE)</f>
        <v>Main Control Cabinet</v>
      </c>
      <c r="J9" s="136" t="s">
        <v>1306</v>
      </c>
      <c r="K9" s="136" t="s">
        <v>1382</v>
      </c>
      <c r="L9" s="136" t="s">
        <v>411</v>
      </c>
      <c r="M9" s="136" t="e">
        <f>VLOOKUP(tbl_IO_List[[#This Row],[Instruement Tag]],tbl_Instruement_List[],2,FALSE)</f>
        <v>#N/A</v>
      </c>
      <c r="N9" s="136"/>
      <c r="O9" s="136" t="s">
        <v>18</v>
      </c>
      <c r="P9" s="136" t="s">
        <v>18</v>
      </c>
      <c r="Q9" s="136" t="e">
        <f>VLOOKUP(tbl_IO_List[[#This Row],[Instruement Tag]],tbl_Instruement_List[],6,FALSE)</f>
        <v>#N/A</v>
      </c>
      <c r="R9" s="136"/>
      <c r="S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" s="136" t="str">
        <f>tbl_IO_List[[#This Row],[Instruement Tag]]&amp;"_"&amp;tbl_IO_List[[#This Row],[I/O Type]]&amp;"_"&amp;tbl_IO_List[[#This Row],[IO-Point 
(Instruement)]]</f>
        <v>Spare_DI_0</v>
      </c>
      <c r="U9" s="136" t="s">
        <v>8</v>
      </c>
      <c r="V9" s="136">
        <f>VLOOKUP(tbl_IO_List[[#This Row],[I/O Type]],tbl_Slot_Group[],2,FALSE)</f>
        <v>1</v>
      </c>
      <c r="W9" s="136">
        <v>0</v>
      </c>
      <c r="X9" s="136" t="str">
        <f>tbl_IO_List[[#This Row],[Chassis]]&amp;"S"&amp;TEXT(tbl_IO_List[[#This Row],[Slot]],"00")</f>
        <v>C1S04</v>
      </c>
      <c r="Y9" s="136" t="str">
        <f>tbl_IO_List[[#This Row],[Chassis]]&amp;"S"&amp;TEXT(tbl_IO_List[[#This Row],[Slot]],"00")&amp;tbl_IO_List[[#This Row],[I/O Type]]&amp;TEXT(tbl_IO_List[[#This Row],[Point]],"00")</f>
        <v>C1S04DI03</v>
      </c>
      <c r="Z9" s="136" t="str">
        <f>tbl_IO_List[[#This Row],[Chassis]]&amp;"S"&amp;TEXT(tbl_IO_List[[#This Row],[Slot]],"00")&amp;","&amp;TEXT(tbl_IO_List[[#This Row],[Point]],"00")</f>
        <v>C1S04,03</v>
      </c>
      <c r="AA9" s="136" t="str">
        <f>VLOOKUP(tbl_IO_List[[#This Row],[Column23]],tbl_RackConfig[],5,FALSE) &amp;"-"&amp;tbl_IO_List[[#This Row],[Point]]</f>
        <v>1756-IB32-3</v>
      </c>
      <c r="AB9" s="136"/>
      <c r="AC9" s="136" t="s">
        <v>1370</v>
      </c>
      <c r="AD9" s="136" t="str">
        <f>tbl_IO_List[[#This Row],[I/O Type]]</f>
        <v>DI</v>
      </c>
      <c r="AE9" s="136" t="s">
        <v>1332</v>
      </c>
      <c r="AF9" s="136">
        <v>4</v>
      </c>
      <c r="AG9" s="136">
        <v>3</v>
      </c>
      <c r="AH9" s="136">
        <v>4</v>
      </c>
      <c r="AI9" s="136">
        <v>4</v>
      </c>
      <c r="AJ9" s="136">
        <v>1</v>
      </c>
      <c r="AK9" s="136">
        <v>0</v>
      </c>
      <c r="AL9" s="136">
        <v>0</v>
      </c>
      <c r="AM9" s="136">
        <v>0</v>
      </c>
      <c r="AN9" s="136">
        <v>0</v>
      </c>
      <c r="AO9" s="136"/>
      <c r="AP9" s="143" t="e">
        <f>VLOOKUP(tbl_IO_List[[#This Row],[Instruement Tag]],tbl_Instruement_List[],14,FALSE)</f>
        <v>#N/A</v>
      </c>
      <c r="AQ9" s="143" t="str">
        <f>tbl_IO_List[[#This Row],[Chassis]]&amp;"S"&amp;tbl_IO_List[[#This Row],[Slot]]&amp;"-"&amp;tbl_IO_List[[#This Row],[Front Terminal Number]]</f>
        <v>C1S4-4</v>
      </c>
      <c r="AR9" s="141" t="s">
        <v>1849</v>
      </c>
      <c r="AS9" s="136" t="str">
        <f>tbl_IO_List[[#This Row],[Terminal Tagging]]&amp;"-"&amp;tbl_IO_List[[#This Row],[Point-Count]]</f>
        <v>P1-TBDI1-4</v>
      </c>
      <c r="AT9" s="136" t="str">
        <f>tbl_IO_List[[#This Row],[Front Terminal Tagging]]&amp;"/"&amp;tbl_IO_List[[#This Row],[Terminal Tagging-Item]]</f>
        <v>C1S4-4/P1-TBDI1-4</v>
      </c>
      <c r="AU9" s="136" t="str">
        <f>tbl_IO_List[[#This Row],[Terminal Tagging-Item]]&amp;"/"&amp;tbl_IO_List[[#This Row],[Front Terminal Tagging]]</f>
        <v>P1-TBDI1-4/C1S4-4</v>
      </c>
    </row>
    <row r="10" spans="1:47" hidden="1">
      <c r="A10" s="147" t="s">
        <v>1369</v>
      </c>
      <c r="B10" s="136" t="s">
        <v>1306</v>
      </c>
      <c r="C10" s="136" t="str">
        <f>tbl_IO_List[[#This Row],[Column3]]</f>
        <v>C1S04,04</v>
      </c>
      <c r="D10" s="136" t="str">
        <f>tbl_IO_List[[#This Row],[Card]]</f>
        <v>1756-IB32-4</v>
      </c>
      <c r="E10" s="136" t="s">
        <v>1366</v>
      </c>
      <c r="F10" s="136" t="str">
        <f>tbl_IO_List[[#This Row],[Column23]]&amp;"-" &amp;tbl_IO_List[[#This Row],[Column52]]</f>
        <v>C1S04-X1</v>
      </c>
      <c r="G10" s="136" t="str">
        <f>tbl_IO_List[[#This Row],[PLC_Tag]]</f>
        <v>Spare_DI_0</v>
      </c>
      <c r="H10" s="136"/>
      <c r="I10" s="136" t="str">
        <f>VLOOKUP(tbl_IO_List[[#This Row],[Destination]],tbl_Junction[],2,FALSE)</f>
        <v>Main Control Cabinet</v>
      </c>
      <c r="J10" s="136" t="s">
        <v>1306</v>
      </c>
      <c r="K10" s="136" t="s">
        <v>1382</v>
      </c>
      <c r="L10" s="136" t="s">
        <v>411</v>
      </c>
      <c r="M10" s="136" t="e">
        <f>VLOOKUP(tbl_IO_List[[#This Row],[Instruement Tag]],tbl_Instruement_List[],2,FALSE)</f>
        <v>#N/A</v>
      </c>
      <c r="N10" s="136"/>
      <c r="O10" s="136" t="s">
        <v>18</v>
      </c>
      <c r="P10" s="136" t="s">
        <v>18</v>
      </c>
      <c r="Q10" s="136" t="e">
        <f>VLOOKUP(tbl_IO_List[[#This Row],[Instruement Tag]],tbl_Instruement_List[],6,FALSE)</f>
        <v>#N/A</v>
      </c>
      <c r="R10" s="136"/>
      <c r="S1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0" s="136" t="str">
        <f>tbl_IO_List[[#This Row],[Instruement Tag]]&amp;"_"&amp;tbl_IO_List[[#This Row],[I/O Type]]&amp;"_"&amp;tbl_IO_List[[#This Row],[IO-Point 
(Instruement)]]</f>
        <v>Spare_DI_0</v>
      </c>
      <c r="U10" s="136" t="s">
        <v>8</v>
      </c>
      <c r="V10" s="136">
        <f>VLOOKUP(tbl_IO_List[[#This Row],[I/O Type]],tbl_Slot_Group[],2,FALSE)</f>
        <v>1</v>
      </c>
      <c r="W10" s="136">
        <v>0</v>
      </c>
      <c r="X10" s="136" t="str">
        <f>tbl_IO_List[[#This Row],[Chassis]]&amp;"S"&amp;TEXT(tbl_IO_List[[#This Row],[Slot]],"00")</f>
        <v>C1S04</v>
      </c>
      <c r="Y10" s="136" t="str">
        <f>tbl_IO_List[[#This Row],[Chassis]]&amp;"S"&amp;TEXT(tbl_IO_List[[#This Row],[Slot]],"00")&amp;tbl_IO_List[[#This Row],[I/O Type]]&amp;TEXT(tbl_IO_List[[#This Row],[Point]],"00")</f>
        <v>C1S04DI04</v>
      </c>
      <c r="Z10" s="136" t="str">
        <f>tbl_IO_List[[#This Row],[Chassis]]&amp;"S"&amp;TEXT(tbl_IO_List[[#This Row],[Slot]],"00")&amp;","&amp;TEXT(tbl_IO_List[[#This Row],[Point]],"00")</f>
        <v>C1S04,04</v>
      </c>
      <c r="AA10" s="136" t="str">
        <f>VLOOKUP(tbl_IO_List[[#This Row],[Column23]],tbl_RackConfig[],5,FALSE) &amp;"-"&amp;tbl_IO_List[[#This Row],[Point]]</f>
        <v>1756-IB32-4</v>
      </c>
      <c r="AB10" s="136"/>
      <c r="AC10" s="136" t="s">
        <v>1370</v>
      </c>
      <c r="AD10" s="136" t="str">
        <f>tbl_IO_List[[#This Row],[I/O Type]]</f>
        <v>DI</v>
      </c>
      <c r="AE10" s="136" t="s">
        <v>1332</v>
      </c>
      <c r="AF10" s="136">
        <v>4</v>
      </c>
      <c r="AG10" s="136">
        <v>4</v>
      </c>
      <c r="AH10" s="136">
        <v>5</v>
      </c>
      <c r="AI10" s="136">
        <v>5</v>
      </c>
      <c r="AJ10" s="136">
        <v>1</v>
      </c>
      <c r="AK10" s="136">
        <v>0</v>
      </c>
      <c r="AL10" s="136">
        <v>0</v>
      </c>
      <c r="AM10" s="136">
        <v>0</v>
      </c>
      <c r="AN10" s="136">
        <v>0</v>
      </c>
      <c r="AO10" s="136"/>
      <c r="AP10" s="143" t="e">
        <f>VLOOKUP(tbl_IO_List[[#This Row],[Instruement Tag]],tbl_Instruement_List[],14,FALSE)</f>
        <v>#N/A</v>
      </c>
      <c r="AQ10" s="143" t="str">
        <f>tbl_IO_List[[#This Row],[Chassis]]&amp;"S"&amp;tbl_IO_List[[#This Row],[Slot]]&amp;"-"&amp;tbl_IO_List[[#This Row],[Front Terminal Number]]</f>
        <v>C1S4-5</v>
      </c>
      <c r="AR10" s="141" t="s">
        <v>1849</v>
      </c>
      <c r="AS10" s="136" t="str">
        <f>tbl_IO_List[[#This Row],[Terminal Tagging]]&amp;"-"&amp;tbl_IO_List[[#This Row],[Point-Count]]</f>
        <v>P1-TBDI1-5</v>
      </c>
      <c r="AT10" s="136" t="str">
        <f>tbl_IO_List[[#This Row],[Front Terminal Tagging]]&amp;"/"&amp;tbl_IO_List[[#This Row],[Terminal Tagging-Item]]</f>
        <v>C1S4-5/P1-TBDI1-5</v>
      </c>
      <c r="AU10" s="136" t="str">
        <f>tbl_IO_List[[#This Row],[Terminal Tagging-Item]]&amp;"/"&amp;tbl_IO_List[[#This Row],[Front Terminal Tagging]]</f>
        <v>P1-TBDI1-5/C1S4-5</v>
      </c>
    </row>
    <row r="11" spans="1:47" hidden="1">
      <c r="A11" s="147" t="s">
        <v>1369</v>
      </c>
      <c r="B11" s="136" t="s">
        <v>1306</v>
      </c>
      <c r="C11" s="136" t="str">
        <f>tbl_IO_List[[#This Row],[Column3]]</f>
        <v>C1S04,05</v>
      </c>
      <c r="D11" s="136" t="str">
        <f>tbl_IO_List[[#This Row],[Card]]</f>
        <v>1756-IB32-5</v>
      </c>
      <c r="E11" s="136" t="s">
        <v>1366</v>
      </c>
      <c r="F11" s="136" t="str">
        <f>tbl_IO_List[[#This Row],[Column23]]&amp;"-" &amp;tbl_IO_List[[#This Row],[Column52]]</f>
        <v>C1S04-X1</v>
      </c>
      <c r="G11" s="136" t="str">
        <f>tbl_IO_List[[#This Row],[PLC_Tag]]</f>
        <v>Spare_DI_0</v>
      </c>
      <c r="H11" s="136"/>
      <c r="I11" s="136" t="str">
        <f>VLOOKUP(tbl_IO_List[[#This Row],[Destination]],tbl_Junction[],2,FALSE)</f>
        <v>Main Control Cabinet</v>
      </c>
      <c r="J11" s="136" t="s">
        <v>1306</v>
      </c>
      <c r="K11" s="136" t="s">
        <v>1382</v>
      </c>
      <c r="L11" s="136" t="s">
        <v>411</v>
      </c>
      <c r="M11" s="136" t="e">
        <f>VLOOKUP(tbl_IO_List[[#This Row],[Instruement Tag]],tbl_Instruement_List[],2,FALSE)</f>
        <v>#N/A</v>
      </c>
      <c r="N11" s="136"/>
      <c r="O11" s="136" t="s">
        <v>18</v>
      </c>
      <c r="P11" s="136" t="s">
        <v>18</v>
      </c>
      <c r="Q11" s="136" t="e">
        <f>VLOOKUP(tbl_IO_List[[#This Row],[Instruement Tag]],tbl_Instruement_List[],6,FALSE)</f>
        <v>#N/A</v>
      </c>
      <c r="R11" s="136"/>
      <c r="S1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" s="136" t="str">
        <f>tbl_IO_List[[#This Row],[Instruement Tag]]&amp;"_"&amp;tbl_IO_List[[#This Row],[I/O Type]]&amp;"_"&amp;tbl_IO_List[[#This Row],[IO-Point 
(Instruement)]]</f>
        <v>Spare_DI_0</v>
      </c>
      <c r="U11" s="136" t="s">
        <v>8</v>
      </c>
      <c r="V11" s="136">
        <f>VLOOKUP(tbl_IO_List[[#This Row],[I/O Type]],tbl_Slot_Group[],2,FALSE)</f>
        <v>1</v>
      </c>
      <c r="W11" s="136">
        <v>0</v>
      </c>
      <c r="X11" s="136" t="str">
        <f>tbl_IO_List[[#This Row],[Chassis]]&amp;"S"&amp;TEXT(tbl_IO_List[[#This Row],[Slot]],"00")</f>
        <v>C1S04</v>
      </c>
      <c r="Y11" s="136" t="str">
        <f>tbl_IO_List[[#This Row],[Chassis]]&amp;"S"&amp;TEXT(tbl_IO_List[[#This Row],[Slot]],"00")&amp;tbl_IO_List[[#This Row],[I/O Type]]&amp;TEXT(tbl_IO_List[[#This Row],[Point]],"00")</f>
        <v>C1S04DI05</v>
      </c>
      <c r="Z11" s="136" t="str">
        <f>tbl_IO_List[[#This Row],[Chassis]]&amp;"S"&amp;TEXT(tbl_IO_List[[#This Row],[Slot]],"00")&amp;","&amp;TEXT(tbl_IO_List[[#This Row],[Point]],"00")</f>
        <v>C1S04,05</v>
      </c>
      <c r="AA11" s="136" t="str">
        <f>VLOOKUP(tbl_IO_List[[#This Row],[Column23]],tbl_RackConfig[],5,FALSE) &amp;"-"&amp;tbl_IO_List[[#This Row],[Point]]</f>
        <v>1756-IB32-5</v>
      </c>
      <c r="AB11" s="136"/>
      <c r="AC11" s="136" t="s">
        <v>1370</v>
      </c>
      <c r="AD11" s="136" t="str">
        <f>tbl_IO_List[[#This Row],[I/O Type]]</f>
        <v>DI</v>
      </c>
      <c r="AE11" s="136" t="s">
        <v>1332</v>
      </c>
      <c r="AF11" s="136">
        <v>4</v>
      </c>
      <c r="AG11" s="136">
        <v>5</v>
      </c>
      <c r="AH11" s="136">
        <v>6</v>
      </c>
      <c r="AI11" s="136">
        <v>6</v>
      </c>
      <c r="AJ11" s="136">
        <v>1</v>
      </c>
      <c r="AK11" s="136">
        <v>0</v>
      </c>
      <c r="AL11" s="136">
        <v>0</v>
      </c>
      <c r="AM11" s="136">
        <v>0</v>
      </c>
      <c r="AN11" s="136">
        <v>0</v>
      </c>
      <c r="AO11" s="136"/>
      <c r="AP11" s="143" t="e">
        <f>VLOOKUP(tbl_IO_List[[#This Row],[Instruement Tag]],tbl_Instruement_List[],14,FALSE)</f>
        <v>#N/A</v>
      </c>
      <c r="AQ11" s="143" t="str">
        <f>tbl_IO_List[[#This Row],[Chassis]]&amp;"S"&amp;tbl_IO_List[[#This Row],[Slot]]&amp;"-"&amp;tbl_IO_List[[#This Row],[Front Terminal Number]]</f>
        <v>C1S4-6</v>
      </c>
      <c r="AR11" s="141" t="s">
        <v>1849</v>
      </c>
      <c r="AS11" s="136" t="str">
        <f>tbl_IO_List[[#This Row],[Terminal Tagging]]&amp;"-"&amp;tbl_IO_List[[#This Row],[Point-Count]]</f>
        <v>P1-TBDI1-6</v>
      </c>
      <c r="AT11" s="136" t="str">
        <f>tbl_IO_List[[#This Row],[Front Terminal Tagging]]&amp;"/"&amp;tbl_IO_List[[#This Row],[Terminal Tagging-Item]]</f>
        <v>C1S4-6/P1-TBDI1-6</v>
      </c>
      <c r="AU11" s="136" t="str">
        <f>tbl_IO_List[[#This Row],[Terminal Tagging-Item]]&amp;"/"&amp;tbl_IO_List[[#This Row],[Front Terminal Tagging]]</f>
        <v>P1-TBDI1-6/C1S4-6</v>
      </c>
    </row>
    <row r="12" spans="1:47" hidden="1">
      <c r="A12" s="147" t="s">
        <v>1369</v>
      </c>
      <c r="B12" s="136" t="s">
        <v>1306</v>
      </c>
      <c r="C12" s="136" t="str">
        <f>tbl_IO_List[[#This Row],[Column3]]</f>
        <v>C1S04,06</v>
      </c>
      <c r="D12" s="136" t="str">
        <f>tbl_IO_List[[#This Row],[Card]]</f>
        <v>1756-IB32-6</v>
      </c>
      <c r="E12" s="136" t="s">
        <v>1366</v>
      </c>
      <c r="F12" s="136" t="str">
        <f>tbl_IO_List[[#This Row],[Column23]]&amp;"-" &amp;tbl_IO_List[[#This Row],[Column52]]</f>
        <v>C1S04-X1</v>
      </c>
      <c r="G12" s="136" t="str">
        <f>tbl_IO_List[[#This Row],[PLC_Tag]]</f>
        <v>Spare_DI_0</v>
      </c>
      <c r="H12" s="136"/>
      <c r="I12" s="136" t="str">
        <f>VLOOKUP(tbl_IO_List[[#This Row],[Destination]],tbl_Junction[],2,FALSE)</f>
        <v>Main Control Cabinet</v>
      </c>
      <c r="J12" s="136" t="s">
        <v>1306</v>
      </c>
      <c r="K12" s="136" t="s">
        <v>1382</v>
      </c>
      <c r="L12" s="136" t="s">
        <v>411</v>
      </c>
      <c r="M12" s="136" t="e">
        <f>VLOOKUP(tbl_IO_List[[#This Row],[Instruement Tag]],tbl_Instruement_List[],2,FALSE)</f>
        <v>#N/A</v>
      </c>
      <c r="N12" s="136"/>
      <c r="O12" s="136" t="s">
        <v>18</v>
      </c>
      <c r="P12" s="136" t="s">
        <v>18</v>
      </c>
      <c r="Q12" s="136" t="e">
        <f>VLOOKUP(tbl_IO_List[[#This Row],[Instruement Tag]],tbl_Instruement_List[],6,FALSE)</f>
        <v>#N/A</v>
      </c>
      <c r="R12" s="136"/>
      <c r="S1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2" s="136" t="str">
        <f>tbl_IO_List[[#This Row],[Instruement Tag]]&amp;"_"&amp;tbl_IO_List[[#This Row],[I/O Type]]&amp;"_"&amp;tbl_IO_List[[#This Row],[IO-Point 
(Instruement)]]</f>
        <v>Spare_DI_0</v>
      </c>
      <c r="U12" s="136" t="s">
        <v>8</v>
      </c>
      <c r="V12" s="136">
        <f>VLOOKUP(tbl_IO_List[[#This Row],[I/O Type]],tbl_Slot_Group[],2,FALSE)</f>
        <v>1</v>
      </c>
      <c r="W12" s="136">
        <v>0</v>
      </c>
      <c r="X12" s="136" t="str">
        <f>tbl_IO_List[[#This Row],[Chassis]]&amp;"S"&amp;TEXT(tbl_IO_List[[#This Row],[Slot]],"00")</f>
        <v>C1S04</v>
      </c>
      <c r="Y12" s="136" t="str">
        <f>tbl_IO_List[[#This Row],[Chassis]]&amp;"S"&amp;TEXT(tbl_IO_List[[#This Row],[Slot]],"00")&amp;tbl_IO_List[[#This Row],[I/O Type]]&amp;TEXT(tbl_IO_List[[#This Row],[Point]],"00")</f>
        <v>C1S04DI06</v>
      </c>
      <c r="Z12" s="136" t="str">
        <f>tbl_IO_List[[#This Row],[Chassis]]&amp;"S"&amp;TEXT(tbl_IO_List[[#This Row],[Slot]],"00")&amp;","&amp;TEXT(tbl_IO_List[[#This Row],[Point]],"00")</f>
        <v>C1S04,06</v>
      </c>
      <c r="AA12" s="136" t="str">
        <f>VLOOKUP(tbl_IO_List[[#This Row],[Column23]],tbl_RackConfig[],5,FALSE) &amp;"-"&amp;tbl_IO_List[[#This Row],[Point]]</f>
        <v>1756-IB32-6</v>
      </c>
      <c r="AB12" s="136"/>
      <c r="AC12" s="136" t="s">
        <v>1370</v>
      </c>
      <c r="AD12" s="136" t="str">
        <f>tbl_IO_List[[#This Row],[I/O Type]]</f>
        <v>DI</v>
      </c>
      <c r="AE12" s="136" t="s">
        <v>1332</v>
      </c>
      <c r="AF12" s="136">
        <v>4</v>
      </c>
      <c r="AG12" s="136">
        <v>6</v>
      </c>
      <c r="AH12" s="136">
        <v>7</v>
      </c>
      <c r="AI12" s="136">
        <v>7</v>
      </c>
      <c r="AJ12" s="136">
        <v>1</v>
      </c>
      <c r="AK12" s="136">
        <v>0</v>
      </c>
      <c r="AL12" s="136">
        <v>0</v>
      </c>
      <c r="AM12" s="136">
        <v>0</v>
      </c>
      <c r="AN12" s="136">
        <v>0</v>
      </c>
      <c r="AO12" s="136"/>
      <c r="AP12" s="143" t="e">
        <f>VLOOKUP(tbl_IO_List[[#This Row],[Instruement Tag]],tbl_Instruement_List[],14,FALSE)</f>
        <v>#N/A</v>
      </c>
      <c r="AQ12" s="143" t="str">
        <f>tbl_IO_List[[#This Row],[Chassis]]&amp;"S"&amp;tbl_IO_List[[#This Row],[Slot]]&amp;"-"&amp;tbl_IO_List[[#This Row],[Front Terminal Number]]</f>
        <v>C1S4-7</v>
      </c>
      <c r="AR12" s="141" t="s">
        <v>1849</v>
      </c>
      <c r="AS12" s="136" t="str">
        <f>tbl_IO_List[[#This Row],[Terminal Tagging]]&amp;"-"&amp;tbl_IO_List[[#This Row],[Point-Count]]</f>
        <v>P1-TBDI1-7</v>
      </c>
      <c r="AT12" s="136" t="str">
        <f>tbl_IO_List[[#This Row],[Front Terminal Tagging]]&amp;"/"&amp;tbl_IO_List[[#This Row],[Terminal Tagging-Item]]</f>
        <v>C1S4-7/P1-TBDI1-7</v>
      </c>
      <c r="AU12" s="136" t="str">
        <f>tbl_IO_List[[#This Row],[Terminal Tagging-Item]]&amp;"/"&amp;tbl_IO_List[[#This Row],[Front Terminal Tagging]]</f>
        <v>P1-TBDI1-7/C1S4-7</v>
      </c>
    </row>
    <row r="13" spans="1:47" hidden="1">
      <c r="A13" s="147" t="s">
        <v>1369</v>
      </c>
      <c r="B13" s="136" t="s">
        <v>1306</v>
      </c>
      <c r="C13" s="136" t="str">
        <f>tbl_IO_List[[#This Row],[Column3]]</f>
        <v>C1S04,07</v>
      </c>
      <c r="D13" s="136" t="str">
        <f>tbl_IO_List[[#This Row],[Card]]</f>
        <v>1756-IB32-7</v>
      </c>
      <c r="E13" s="136" t="s">
        <v>1366</v>
      </c>
      <c r="F13" s="136" t="str">
        <f>tbl_IO_List[[#This Row],[Column23]]&amp;"-" &amp;tbl_IO_List[[#This Row],[Column52]]</f>
        <v>C1S04-X1</v>
      </c>
      <c r="G13" s="136" t="str">
        <f>tbl_IO_List[[#This Row],[PLC_Tag]]</f>
        <v>Spare_DI_0</v>
      </c>
      <c r="H13" s="136"/>
      <c r="I13" s="136" t="str">
        <f>VLOOKUP(tbl_IO_List[[#This Row],[Destination]],tbl_Junction[],2,FALSE)</f>
        <v>Main Control Cabinet</v>
      </c>
      <c r="J13" s="136" t="s">
        <v>1306</v>
      </c>
      <c r="K13" s="136" t="s">
        <v>1382</v>
      </c>
      <c r="L13" s="136" t="s">
        <v>411</v>
      </c>
      <c r="M13" s="136" t="e">
        <f>VLOOKUP(tbl_IO_List[[#This Row],[Instruement Tag]],tbl_Instruement_List[],2,FALSE)</f>
        <v>#N/A</v>
      </c>
      <c r="N13" s="136"/>
      <c r="O13" s="136" t="s">
        <v>18</v>
      </c>
      <c r="P13" s="136" t="s">
        <v>18</v>
      </c>
      <c r="Q13" s="136" t="e">
        <f>VLOOKUP(tbl_IO_List[[#This Row],[Instruement Tag]],tbl_Instruement_List[],6,FALSE)</f>
        <v>#N/A</v>
      </c>
      <c r="R13" s="136"/>
      <c r="S1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3" s="136" t="str">
        <f>tbl_IO_List[[#This Row],[Instruement Tag]]&amp;"_"&amp;tbl_IO_List[[#This Row],[I/O Type]]&amp;"_"&amp;tbl_IO_List[[#This Row],[IO-Point 
(Instruement)]]</f>
        <v>Spare_DI_0</v>
      </c>
      <c r="U13" s="136" t="s">
        <v>8</v>
      </c>
      <c r="V13" s="136">
        <f>VLOOKUP(tbl_IO_List[[#This Row],[I/O Type]],tbl_Slot_Group[],2,FALSE)</f>
        <v>1</v>
      </c>
      <c r="W13" s="136">
        <v>0</v>
      </c>
      <c r="X13" s="136" t="str">
        <f>tbl_IO_List[[#This Row],[Chassis]]&amp;"S"&amp;TEXT(tbl_IO_List[[#This Row],[Slot]],"00")</f>
        <v>C1S04</v>
      </c>
      <c r="Y13" s="136" t="str">
        <f>tbl_IO_List[[#This Row],[Chassis]]&amp;"S"&amp;TEXT(tbl_IO_List[[#This Row],[Slot]],"00")&amp;tbl_IO_List[[#This Row],[I/O Type]]&amp;TEXT(tbl_IO_List[[#This Row],[Point]],"00")</f>
        <v>C1S04DI07</v>
      </c>
      <c r="Z13" s="136" t="str">
        <f>tbl_IO_List[[#This Row],[Chassis]]&amp;"S"&amp;TEXT(tbl_IO_List[[#This Row],[Slot]],"00")&amp;","&amp;TEXT(tbl_IO_List[[#This Row],[Point]],"00")</f>
        <v>C1S04,07</v>
      </c>
      <c r="AA13" s="136" t="str">
        <f>VLOOKUP(tbl_IO_List[[#This Row],[Column23]],tbl_RackConfig[],5,FALSE) &amp;"-"&amp;tbl_IO_List[[#This Row],[Point]]</f>
        <v>1756-IB32-7</v>
      </c>
      <c r="AB13" s="136"/>
      <c r="AC13" s="136" t="s">
        <v>1370</v>
      </c>
      <c r="AD13" s="136" t="str">
        <f>tbl_IO_List[[#This Row],[I/O Type]]</f>
        <v>DI</v>
      </c>
      <c r="AE13" s="136" t="s">
        <v>1332</v>
      </c>
      <c r="AF13" s="136">
        <v>4</v>
      </c>
      <c r="AG13" s="136">
        <v>7</v>
      </c>
      <c r="AH13" s="136">
        <v>8</v>
      </c>
      <c r="AI13" s="136">
        <v>8</v>
      </c>
      <c r="AJ13" s="136">
        <v>1</v>
      </c>
      <c r="AK13" s="136">
        <v>0</v>
      </c>
      <c r="AL13" s="136">
        <v>0</v>
      </c>
      <c r="AM13" s="136">
        <v>0</v>
      </c>
      <c r="AN13" s="136">
        <v>0</v>
      </c>
      <c r="AO13" s="136"/>
      <c r="AP13" s="143" t="e">
        <f>VLOOKUP(tbl_IO_List[[#This Row],[Instruement Tag]],tbl_Instruement_List[],14,FALSE)</f>
        <v>#N/A</v>
      </c>
      <c r="AQ13" s="143" t="str">
        <f>tbl_IO_List[[#This Row],[Chassis]]&amp;"S"&amp;tbl_IO_List[[#This Row],[Slot]]&amp;"-"&amp;tbl_IO_List[[#This Row],[Front Terminal Number]]</f>
        <v>C1S4-8</v>
      </c>
      <c r="AR13" s="141" t="s">
        <v>1849</v>
      </c>
      <c r="AS13" s="136" t="str">
        <f>tbl_IO_List[[#This Row],[Terminal Tagging]]&amp;"-"&amp;tbl_IO_List[[#This Row],[Point-Count]]</f>
        <v>P1-TBDI1-8</v>
      </c>
      <c r="AT13" s="136" t="str">
        <f>tbl_IO_List[[#This Row],[Front Terminal Tagging]]&amp;"/"&amp;tbl_IO_List[[#This Row],[Terminal Tagging-Item]]</f>
        <v>C1S4-8/P1-TBDI1-8</v>
      </c>
      <c r="AU13" s="136" t="str">
        <f>tbl_IO_List[[#This Row],[Terminal Tagging-Item]]&amp;"/"&amp;tbl_IO_List[[#This Row],[Front Terminal Tagging]]</f>
        <v>P1-TBDI1-8/C1S4-8</v>
      </c>
    </row>
    <row r="14" spans="1:47" hidden="1">
      <c r="A14" s="147" t="s">
        <v>1369</v>
      </c>
      <c r="B14" s="136" t="s">
        <v>1306</v>
      </c>
      <c r="C14" s="136" t="str">
        <f>tbl_IO_List[[#This Row],[Column3]]</f>
        <v>C1S04,08</v>
      </c>
      <c r="D14" s="136" t="str">
        <f>tbl_IO_List[[#This Row],[Card]]</f>
        <v>1756-IB32-8</v>
      </c>
      <c r="E14" s="136" t="s">
        <v>1366</v>
      </c>
      <c r="F14" s="136" t="str">
        <f>tbl_IO_List[[#This Row],[Column23]]&amp;"-" &amp;tbl_IO_List[[#This Row],[Column52]]</f>
        <v>C1S04-X1</v>
      </c>
      <c r="G14" s="136" t="str">
        <f>tbl_IO_List[[#This Row],[PLC_Tag]]</f>
        <v>Spare_DI_0</v>
      </c>
      <c r="H14" s="136"/>
      <c r="I14" s="136" t="str">
        <f>VLOOKUP(tbl_IO_List[[#This Row],[Destination]],tbl_Junction[],2,FALSE)</f>
        <v>Main Control Cabinet</v>
      </c>
      <c r="J14" s="136" t="s">
        <v>1306</v>
      </c>
      <c r="K14" s="136" t="s">
        <v>1382</v>
      </c>
      <c r="L14" s="136" t="s">
        <v>411</v>
      </c>
      <c r="M14" s="136" t="e">
        <f>VLOOKUP(tbl_IO_List[[#This Row],[Instruement Tag]],tbl_Instruement_List[],2,FALSE)</f>
        <v>#N/A</v>
      </c>
      <c r="N14" s="136"/>
      <c r="O14" s="136" t="s">
        <v>18</v>
      </c>
      <c r="P14" s="136" t="s">
        <v>18</v>
      </c>
      <c r="Q14" s="136" t="e">
        <f>VLOOKUP(tbl_IO_List[[#This Row],[Instruement Tag]],tbl_Instruement_List[],6,FALSE)</f>
        <v>#N/A</v>
      </c>
      <c r="R14" s="136"/>
      <c r="S1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4" s="136" t="str">
        <f>tbl_IO_List[[#This Row],[Instruement Tag]]&amp;"_"&amp;tbl_IO_List[[#This Row],[I/O Type]]&amp;"_"&amp;tbl_IO_List[[#This Row],[IO-Point 
(Instruement)]]</f>
        <v>Spare_DI_0</v>
      </c>
      <c r="U14" s="136" t="s">
        <v>8</v>
      </c>
      <c r="V14" s="136">
        <f>VLOOKUP(tbl_IO_List[[#This Row],[I/O Type]],tbl_Slot_Group[],2,FALSE)</f>
        <v>1</v>
      </c>
      <c r="W14" s="136">
        <v>0</v>
      </c>
      <c r="X14" s="136" t="str">
        <f>tbl_IO_List[[#This Row],[Chassis]]&amp;"S"&amp;TEXT(tbl_IO_List[[#This Row],[Slot]],"00")</f>
        <v>C1S04</v>
      </c>
      <c r="Y14" s="136" t="str">
        <f>tbl_IO_List[[#This Row],[Chassis]]&amp;"S"&amp;TEXT(tbl_IO_List[[#This Row],[Slot]],"00")&amp;tbl_IO_List[[#This Row],[I/O Type]]&amp;TEXT(tbl_IO_List[[#This Row],[Point]],"00")</f>
        <v>C1S04DI08</v>
      </c>
      <c r="Z14" s="136" t="str">
        <f>tbl_IO_List[[#This Row],[Chassis]]&amp;"S"&amp;TEXT(tbl_IO_List[[#This Row],[Slot]],"00")&amp;","&amp;TEXT(tbl_IO_List[[#This Row],[Point]],"00")</f>
        <v>C1S04,08</v>
      </c>
      <c r="AA14" s="136" t="str">
        <f>VLOOKUP(tbl_IO_List[[#This Row],[Column23]],tbl_RackConfig[],5,FALSE) &amp;"-"&amp;tbl_IO_List[[#This Row],[Point]]</f>
        <v>1756-IB32-8</v>
      </c>
      <c r="AB14" s="136"/>
      <c r="AC14" s="136" t="s">
        <v>1370</v>
      </c>
      <c r="AD14" s="136" t="str">
        <f>tbl_IO_List[[#This Row],[I/O Type]]</f>
        <v>DI</v>
      </c>
      <c r="AE14" s="136" t="s">
        <v>1332</v>
      </c>
      <c r="AF14" s="136">
        <v>4</v>
      </c>
      <c r="AG14" s="136">
        <v>8</v>
      </c>
      <c r="AH14" s="136">
        <v>9</v>
      </c>
      <c r="AI14" s="136">
        <v>9</v>
      </c>
      <c r="AJ14" s="136">
        <v>1</v>
      </c>
      <c r="AK14" s="136">
        <v>0</v>
      </c>
      <c r="AL14" s="136">
        <v>0</v>
      </c>
      <c r="AM14" s="136">
        <v>0</v>
      </c>
      <c r="AN14" s="136">
        <v>0</v>
      </c>
      <c r="AO14" s="136"/>
      <c r="AP14" s="143" t="e">
        <f>VLOOKUP(tbl_IO_List[[#This Row],[Instruement Tag]],tbl_Instruement_List[],14,FALSE)</f>
        <v>#N/A</v>
      </c>
      <c r="AQ14" s="143" t="str">
        <f>tbl_IO_List[[#This Row],[Chassis]]&amp;"S"&amp;tbl_IO_List[[#This Row],[Slot]]&amp;"-"&amp;tbl_IO_List[[#This Row],[Front Terminal Number]]</f>
        <v>C1S4-9</v>
      </c>
      <c r="AR14" s="141" t="s">
        <v>1849</v>
      </c>
      <c r="AS14" s="136" t="str">
        <f>tbl_IO_List[[#This Row],[Terminal Tagging]]&amp;"-"&amp;tbl_IO_List[[#This Row],[Point-Count]]</f>
        <v>P1-TBDI1-9</v>
      </c>
      <c r="AT14" s="136" t="str">
        <f>tbl_IO_List[[#This Row],[Front Terminal Tagging]]&amp;"/"&amp;tbl_IO_List[[#This Row],[Terminal Tagging-Item]]</f>
        <v>C1S4-9/P1-TBDI1-9</v>
      </c>
      <c r="AU14" s="136" t="str">
        <f>tbl_IO_List[[#This Row],[Terminal Tagging-Item]]&amp;"/"&amp;tbl_IO_List[[#This Row],[Front Terminal Tagging]]</f>
        <v>P1-TBDI1-9/C1S4-9</v>
      </c>
    </row>
    <row r="15" spans="1:47" hidden="1">
      <c r="A15" s="147" t="s">
        <v>1369</v>
      </c>
      <c r="B15" s="136" t="s">
        <v>1306</v>
      </c>
      <c r="C15" s="136" t="str">
        <f>tbl_IO_List[[#This Row],[Column3]]</f>
        <v>C1S04,09</v>
      </c>
      <c r="D15" s="136" t="str">
        <f>tbl_IO_List[[#This Row],[Card]]</f>
        <v>1756-IB32-9</v>
      </c>
      <c r="E15" s="136" t="s">
        <v>1366</v>
      </c>
      <c r="F15" s="136" t="str">
        <f>tbl_IO_List[[#This Row],[Column23]]&amp;"-" &amp;tbl_IO_List[[#This Row],[Column52]]</f>
        <v>C1S04-X1</v>
      </c>
      <c r="G15" s="136" t="str">
        <f>tbl_IO_List[[#This Row],[PLC_Tag]]</f>
        <v>Spare_DI_0</v>
      </c>
      <c r="H15" s="136"/>
      <c r="I15" s="136" t="str">
        <f>VLOOKUP(tbl_IO_List[[#This Row],[Destination]],tbl_Junction[],2,FALSE)</f>
        <v>Main Control Cabinet</v>
      </c>
      <c r="J15" s="136" t="s">
        <v>1306</v>
      </c>
      <c r="K15" s="136" t="s">
        <v>1382</v>
      </c>
      <c r="L15" s="136" t="s">
        <v>411</v>
      </c>
      <c r="M15" s="136" t="e">
        <f>VLOOKUP(tbl_IO_List[[#This Row],[Instruement Tag]],tbl_Instruement_List[],2,FALSE)</f>
        <v>#N/A</v>
      </c>
      <c r="N15" s="136"/>
      <c r="O15" s="136" t="s">
        <v>18</v>
      </c>
      <c r="P15" s="136" t="s">
        <v>18</v>
      </c>
      <c r="Q15" s="136" t="e">
        <f>VLOOKUP(tbl_IO_List[[#This Row],[Instruement Tag]],tbl_Instruement_List[],6,FALSE)</f>
        <v>#N/A</v>
      </c>
      <c r="R15" s="136"/>
      <c r="S1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5" s="136" t="str">
        <f>tbl_IO_List[[#This Row],[Instruement Tag]]&amp;"_"&amp;tbl_IO_List[[#This Row],[I/O Type]]&amp;"_"&amp;tbl_IO_List[[#This Row],[IO-Point 
(Instruement)]]</f>
        <v>Spare_DI_0</v>
      </c>
      <c r="U15" s="136" t="s">
        <v>8</v>
      </c>
      <c r="V15" s="136">
        <f>VLOOKUP(tbl_IO_List[[#This Row],[I/O Type]],tbl_Slot_Group[],2,FALSE)</f>
        <v>1</v>
      </c>
      <c r="W15" s="136">
        <v>0</v>
      </c>
      <c r="X15" s="136" t="str">
        <f>tbl_IO_List[[#This Row],[Chassis]]&amp;"S"&amp;TEXT(tbl_IO_List[[#This Row],[Slot]],"00")</f>
        <v>C1S04</v>
      </c>
      <c r="Y15" s="136" t="str">
        <f>tbl_IO_List[[#This Row],[Chassis]]&amp;"S"&amp;TEXT(tbl_IO_List[[#This Row],[Slot]],"00")&amp;tbl_IO_List[[#This Row],[I/O Type]]&amp;TEXT(tbl_IO_List[[#This Row],[Point]],"00")</f>
        <v>C1S04DI09</v>
      </c>
      <c r="Z15" s="136" t="str">
        <f>tbl_IO_List[[#This Row],[Chassis]]&amp;"S"&amp;TEXT(tbl_IO_List[[#This Row],[Slot]],"00")&amp;","&amp;TEXT(tbl_IO_List[[#This Row],[Point]],"00")</f>
        <v>C1S04,09</v>
      </c>
      <c r="AA15" s="136" t="str">
        <f>VLOOKUP(tbl_IO_List[[#This Row],[Column23]],tbl_RackConfig[],5,FALSE) &amp;"-"&amp;tbl_IO_List[[#This Row],[Point]]</f>
        <v>1756-IB32-9</v>
      </c>
      <c r="AB15" s="136"/>
      <c r="AC15" s="136" t="s">
        <v>1370</v>
      </c>
      <c r="AD15" s="136" t="str">
        <f>tbl_IO_List[[#This Row],[I/O Type]]</f>
        <v>DI</v>
      </c>
      <c r="AE15" s="136" t="s">
        <v>1332</v>
      </c>
      <c r="AF15" s="136">
        <v>4</v>
      </c>
      <c r="AG15" s="136">
        <v>9</v>
      </c>
      <c r="AH15" s="136">
        <v>10</v>
      </c>
      <c r="AI15" s="136">
        <v>10</v>
      </c>
      <c r="AJ15" s="136">
        <v>1</v>
      </c>
      <c r="AK15" s="136">
        <v>0</v>
      </c>
      <c r="AL15" s="136">
        <v>0</v>
      </c>
      <c r="AM15" s="136">
        <v>0</v>
      </c>
      <c r="AN15" s="136">
        <v>0</v>
      </c>
      <c r="AO15" s="136"/>
      <c r="AP15" s="143" t="e">
        <f>VLOOKUP(tbl_IO_List[[#This Row],[Instruement Tag]],tbl_Instruement_List[],14,FALSE)</f>
        <v>#N/A</v>
      </c>
      <c r="AQ15" s="143" t="str">
        <f>tbl_IO_List[[#This Row],[Chassis]]&amp;"S"&amp;tbl_IO_List[[#This Row],[Slot]]&amp;"-"&amp;tbl_IO_List[[#This Row],[Front Terminal Number]]</f>
        <v>C1S4-10</v>
      </c>
      <c r="AR15" s="141" t="s">
        <v>1849</v>
      </c>
      <c r="AS15" s="136" t="str">
        <f>tbl_IO_List[[#This Row],[Terminal Tagging]]&amp;"-"&amp;tbl_IO_List[[#This Row],[Point-Count]]</f>
        <v>P1-TBDI1-10</v>
      </c>
      <c r="AT15" s="136" t="str">
        <f>tbl_IO_List[[#This Row],[Front Terminal Tagging]]&amp;"/"&amp;tbl_IO_List[[#This Row],[Terminal Tagging-Item]]</f>
        <v>C1S4-10/P1-TBDI1-10</v>
      </c>
      <c r="AU15" s="136" t="str">
        <f>tbl_IO_List[[#This Row],[Terminal Tagging-Item]]&amp;"/"&amp;tbl_IO_List[[#This Row],[Front Terminal Tagging]]</f>
        <v>P1-TBDI1-10/C1S4-10</v>
      </c>
    </row>
    <row r="16" spans="1:47" hidden="1">
      <c r="A16" s="147" t="s">
        <v>1369</v>
      </c>
      <c r="B16" s="136" t="s">
        <v>1306</v>
      </c>
      <c r="C16" s="136" t="str">
        <f>tbl_IO_List[[#This Row],[Column3]]</f>
        <v>C1S04,10</v>
      </c>
      <c r="D16" s="136" t="str">
        <f>tbl_IO_List[[#This Row],[Card]]</f>
        <v>1756-IB32-10</v>
      </c>
      <c r="E16" s="136" t="s">
        <v>1366</v>
      </c>
      <c r="F16" s="136" t="str">
        <f>tbl_IO_List[[#This Row],[Column23]]&amp;"-" &amp;tbl_IO_List[[#This Row],[Column52]]</f>
        <v>C1S04-X1</v>
      </c>
      <c r="G16" s="136" t="str">
        <f>tbl_IO_List[[#This Row],[PLC_Tag]]</f>
        <v>Spare_DI_0</v>
      </c>
      <c r="H16" s="136"/>
      <c r="I16" s="136" t="str">
        <f>VLOOKUP(tbl_IO_List[[#This Row],[Destination]],tbl_Junction[],2,FALSE)</f>
        <v>Main Control Cabinet</v>
      </c>
      <c r="J16" s="136" t="s">
        <v>1306</v>
      </c>
      <c r="K16" s="136" t="s">
        <v>1382</v>
      </c>
      <c r="L16" s="136" t="s">
        <v>411</v>
      </c>
      <c r="M16" s="136" t="e">
        <f>VLOOKUP(tbl_IO_List[[#This Row],[Instruement Tag]],tbl_Instruement_List[],2,FALSE)</f>
        <v>#N/A</v>
      </c>
      <c r="N16" s="136"/>
      <c r="O16" s="136" t="s">
        <v>18</v>
      </c>
      <c r="P16" s="136" t="s">
        <v>18</v>
      </c>
      <c r="Q16" s="136" t="e">
        <f>VLOOKUP(tbl_IO_List[[#This Row],[Instruement Tag]],tbl_Instruement_List[],6,FALSE)</f>
        <v>#N/A</v>
      </c>
      <c r="R16" s="136"/>
      <c r="S1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6" s="136" t="str">
        <f>tbl_IO_List[[#This Row],[Instruement Tag]]&amp;"_"&amp;tbl_IO_List[[#This Row],[I/O Type]]&amp;"_"&amp;tbl_IO_List[[#This Row],[IO-Point 
(Instruement)]]</f>
        <v>Spare_DI_0</v>
      </c>
      <c r="U16" s="136" t="s">
        <v>8</v>
      </c>
      <c r="V16" s="136">
        <f>VLOOKUP(tbl_IO_List[[#This Row],[I/O Type]],tbl_Slot_Group[],2,FALSE)</f>
        <v>1</v>
      </c>
      <c r="W16" s="136">
        <v>0</v>
      </c>
      <c r="X16" s="136" t="str">
        <f>tbl_IO_List[[#This Row],[Chassis]]&amp;"S"&amp;TEXT(tbl_IO_List[[#This Row],[Slot]],"00")</f>
        <v>C1S04</v>
      </c>
      <c r="Y16" s="136" t="str">
        <f>tbl_IO_List[[#This Row],[Chassis]]&amp;"S"&amp;TEXT(tbl_IO_List[[#This Row],[Slot]],"00")&amp;tbl_IO_List[[#This Row],[I/O Type]]&amp;TEXT(tbl_IO_List[[#This Row],[Point]],"00")</f>
        <v>C1S04DI10</v>
      </c>
      <c r="Z16" s="136" t="str">
        <f>tbl_IO_List[[#This Row],[Chassis]]&amp;"S"&amp;TEXT(tbl_IO_List[[#This Row],[Slot]],"00")&amp;","&amp;TEXT(tbl_IO_List[[#This Row],[Point]],"00")</f>
        <v>C1S04,10</v>
      </c>
      <c r="AA16" s="136" t="str">
        <f>VLOOKUP(tbl_IO_List[[#This Row],[Column23]],tbl_RackConfig[],5,FALSE) &amp;"-"&amp;tbl_IO_List[[#This Row],[Point]]</f>
        <v>1756-IB32-10</v>
      </c>
      <c r="AB16" s="136"/>
      <c r="AC16" s="136" t="s">
        <v>1370</v>
      </c>
      <c r="AD16" s="136" t="str">
        <f>tbl_IO_List[[#This Row],[I/O Type]]</f>
        <v>DI</v>
      </c>
      <c r="AE16" s="136" t="s">
        <v>1332</v>
      </c>
      <c r="AF16" s="136">
        <v>4</v>
      </c>
      <c r="AG16" s="136">
        <v>10</v>
      </c>
      <c r="AH16" s="136">
        <v>11</v>
      </c>
      <c r="AI16" s="136">
        <v>11</v>
      </c>
      <c r="AJ16" s="136">
        <v>1</v>
      </c>
      <c r="AK16" s="136">
        <v>0</v>
      </c>
      <c r="AL16" s="136">
        <v>0</v>
      </c>
      <c r="AM16" s="136">
        <v>0</v>
      </c>
      <c r="AN16" s="136">
        <v>0</v>
      </c>
      <c r="AO16" s="136"/>
      <c r="AP16" s="143" t="e">
        <f>VLOOKUP(tbl_IO_List[[#This Row],[Instruement Tag]],tbl_Instruement_List[],14,FALSE)</f>
        <v>#N/A</v>
      </c>
      <c r="AQ16" s="143" t="str">
        <f>tbl_IO_List[[#This Row],[Chassis]]&amp;"S"&amp;tbl_IO_List[[#This Row],[Slot]]&amp;"-"&amp;tbl_IO_List[[#This Row],[Front Terminal Number]]</f>
        <v>C1S4-11</v>
      </c>
      <c r="AR16" s="141" t="s">
        <v>1849</v>
      </c>
      <c r="AS16" s="136" t="str">
        <f>tbl_IO_List[[#This Row],[Terminal Tagging]]&amp;"-"&amp;tbl_IO_List[[#This Row],[Point-Count]]</f>
        <v>P1-TBDI1-11</v>
      </c>
      <c r="AT16" s="136" t="str">
        <f>tbl_IO_List[[#This Row],[Front Terminal Tagging]]&amp;"/"&amp;tbl_IO_List[[#This Row],[Terminal Tagging-Item]]</f>
        <v>C1S4-11/P1-TBDI1-11</v>
      </c>
      <c r="AU16" s="136" t="str">
        <f>tbl_IO_List[[#This Row],[Terminal Tagging-Item]]&amp;"/"&amp;tbl_IO_List[[#This Row],[Front Terminal Tagging]]</f>
        <v>P1-TBDI1-11/C1S4-11</v>
      </c>
    </row>
    <row r="17" spans="1:47" hidden="1">
      <c r="A17" s="147" t="s">
        <v>1369</v>
      </c>
      <c r="B17" s="136" t="s">
        <v>1306</v>
      </c>
      <c r="C17" s="136" t="str">
        <f>tbl_IO_List[[#This Row],[Column3]]</f>
        <v>C1S04,11</v>
      </c>
      <c r="D17" s="136" t="str">
        <f>tbl_IO_List[[#This Row],[Card]]</f>
        <v>1756-IB32-11</v>
      </c>
      <c r="E17" s="136" t="s">
        <v>1366</v>
      </c>
      <c r="F17" s="136" t="str">
        <f>tbl_IO_List[[#This Row],[Column23]]&amp;"-" &amp;tbl_IO_List[[#This Row],[Column52]]</f>
        <v>C1S04-X1</v>
      </c>
      <c r="G17" s="136" t="str">
        <f>tbl_IO_List[[#This Row],[PLC_Tag]]</f>
        <v>Spare_DI_0</v>
      </c>
      <c r="H17" s="136"/>
      <c r="I17" s="136" t="str">
        <f>VLOOKUP(tbl_IO_List[[#This Row],[Destination]],tbl_Junction[],2,FALSE)</f>
        <v>Main Control Cabinet</v>
      </c>
      <c r="J17" s="136" t="s">
        <v>1306</v>
      </c>
      <c r="K17" s="136" t="s">
        <v>1382</v>
      </c>
      <c r="L17" s="136" t="s">
        <v>411</v>
      </c>
      <c r="M17" s="136" t="e">
        <f>VLOOKUP(tbl_IO_List[[#This Row],[Instruement Tag]],tbl_Instruement_List[],2,FALSE)</f>
        <v>#N/A</v>
      </c>
      <c r="N17" s="136"/>
      <c r="O17" s="136" t="s">
        <v>18</v>
      </c>
      <c r="P17" s="136" t="s">
        <v>18</v>
      </c>
      <c r="Q17" s="136" t="e">
        <f>VLOOKUP(tbl_IO_List[[#This Row],[Instruement Tag]],tbl_Instruement_List[],6,FALSE)</f>
        <v>#N/A</v>
      </c>
      <c r="R17" s="136"/>
      <c r="S1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7" s="136" t="str">
        <f>tbl_IO_List[[#This Row],[Instruement Tag]]&amp;"_"&amp;tbl_IO_List[[#This Row],[I/O Type]]&amp;"_"&amp;tbl_IO_List[[#This Row],[IO-Point 
(Instruement)]]</f>
        <v>Spare_DI_0</v>
      </c>
      <c r="U17" s="136" t="s">
        <v>8</v>
      </c>
      <c r="V17" s="136">
        <f>VLOOKUP(tbl_IO_List[[#This Row],[I/O Type]],tbl_Slot_Group[],2,FALSE)</f>
        <v>1</v>
      </c>
      <c r="W17" s="136">
        <v>0</v>
      </c>
      <c r="X17" s="136" t="str">
        <f>tbl_IO_List[[#This Row],[Chassis]]&amp;"S"&amp;TEXT(tbl_IO_List[[#This Row],[Slot]],"00")</f>
        <v>C1S04</v>
      </c>
      <c r="Y17" s="136" t="str">
        <f>tbl_IO_List[[#This Row],[Chassis]]&amp;"S"&amp;TEXT(tbl_IO_List[[#This Row],[Slot]],"00")&amp;tbl_IO_List[[#This Row],[I/O Type]]&amp;TEXT(tbl_IO_List[[#This Row],[Point]],"00")</f>
        <v>C1S04DI11</v>
      </c>
      <c r="Z17" s="136" t="str">
        <f>tbl_IO_List[[#This Row],[Chassis]]&amp;"S"&amp;TEXT(tbl_IO_List[[#This Row],[Slot]],"00")&amp;","&amp;TEXT(tbl_IO_List[[#This Row],[Point]],"00")</f>
        <v>C1S04,11</v>
      </c>
      <c r="AA17" s="136" t="str">
        <f>VLOOKUP(tbl_IO_List[[#This Row],[Column23]],tbl_RackConfig[],5,FALSE) &amp;"-"&amp;tbl_IO_List[[#This Row],[Point]]</f>
        <v>1756-IB32-11</v>
      </c>
      <c r="AB17" s="136"/>
      <c r="AC17" s="136" t="s">
        <v>1370</v>
      </c>
      <c r="AD17" s="136" t="str">
        <f>tbl_IO_List[[#This Row],[I/O Type]]</f>
        <v>DI</v>
      </c>
      <c r="AE17" s="136" t="s">
        <v>1332</v>
      </c>
      <c r="AF17" s="136">
        <v>4</v>
      </c>
      <c r="AG17" s="136">
        <v>11</v>
      </c>
      <c r="AH17" s="136">
        <v>12</v>
      </c>
      <c r="AI17" s="136">
        <v>12</v>
      </c>
      <c r="AJ17" s="136">
        <v>1</v>
      </c>
      <c r="AK17" s="136">
        <v>0</v>
      </c>
      <c r="AL17" s="136">
        <v>0</v>
      </c>
      <c r="AM17" s="136">
        <v>0</v>
      </c>
      <c r="AN17" s="136">
        <v>0</v>
      </c>
      <c r="AO17" s="136"/>
      <c r="AP17" s="143" t="e">
        <f>VLOOKUP(tbl_IO_List[[#This Row],[Instruement Tag]],tbl_Instruement_List[],14,FALSE)</f>
        <v>#N/A</v>
      </c>
      <c r="AQ17" s="143" t="str">
        <f>tbl_IO_List[[#This Row],[Chassis]]&amp;"S"&amp;tbl_IO_List[[#This Row],[Slot]]&amp;"-"&amp;tbl_IO_List[[#This Row],[Front Terminal Number]]</f>
        <v>C1S4-12</v>
      </c>
      <c r="AR17" s="141" t="s">
        <v>1849</v>
      </c>
      <c r="AS17" s="136" t="str">
        <f>tbl_IO_List[[#This Row],[Terminal Tagging]]&amp;"-"&amp;tbl_IO_List[[#This Row],[Point-Count]]</f>
        <v>P1-TBDI1-12</v>
      </c>
      <c r="AT17" s="136" t="str">
        <f>tbl_IO_List[[#This Row],[Front Terminal Tagging]]&amp;"/"&amp;tbl_IO_List[[#This Row],[Terminal Tagging-Item]]</f>
        <v>C1S4-12/P1-TBDI1-12</v>
      </c>
      <c r="AU17" s="136" t="str">
        <f>tbl_IO_List[[#This Row],[Terminal Tagging-Item]]&amp;"/"&amp;tbl_IO_List[[#This Row],[Front Terminal Tagging]]</f>
        <v>P1-TBDI1-12/C1S4-12</v>
      </c>
    </row>
    <row r="18" spans="1:47" hidden="1">
      <c r="A18" s="147" t="s">
        <v>1369</v>
      </c>
      <c r="B18" s="136" t="s">
        <v>1306</v>
      </c>
      <c r="C18" s="136" t="str">
        <f>tbl_IO_List[[#This Row],[Column3]]</f>
        <v>C1S04,12</v>
      </c>
      <c r="D18" s="136" t="str">
        <f>tbl_IO_List[[#This Row],[Card]]</f>
        <v>1756-IB32-12</v>
      </c>
      <c r="E18" s="136" t="s">
        <v>1366</v>
      </c>
      <c r="F18" s="136" t="str">
        <f>tbl_IO_List[[#This Row],[Column23]]&amp;"-" &amp;tbl_IO_List[[#This Row],[Column52]]</f>
        <v>C1S04-X1</v>
      </c>
      <c r="G18" s="136" t="str">
        <f>tbl_IO_List[[#This Row],[PLC_Tag]]</f>
        <v>Spare_DI_0</v>
      </c>
      <c r="H18" s="136"/>
      <c r="I18" s="136" t="str">
        <f>VLOOKUP(tbl_IO_List[[#This Row],[Destination]],tbl_Junction[],2,FALSE)</f>
        <v>Main Control Cabinet</v>
      </c>
      <c r="J18" s="136" t="s">
        <v>1306</v>
      </c>
      <c r="K18" s="136" t="s">
        <v>1382</v>
      </c>
      <c r="L18" s="136" t="s">
        <v>411</v>
      </c>
      <c r="M18" s="136" t="e">
        <f>VLOOKUP(tbl_IO_List[[#This Row],[Instruement Tag]],tbl_Instruement_List[],2,FALSE)</f>
        <v>#N/A</v>
      </c>
      <c r="N18" s="136"/>
      <c r="O18" s="136" t="s">
        <v>18</v>
      </c>
      <c r="P18" s="136" t="s">
        <v>18</v>
      </c>
      <c r="Q18" s="136" t="e">
        <f>VLOOKUP(tbl_IO_List[[#This Row],[Instruement Tag]],tbl_Instruement_List[],6,FALSE)</f>
        <v>#N/A</v>
      </c>
      <c r="R18" s="136"/>
      <c r="S1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8" s="136" t="str">
        <f>tbl_IO_List[[#This Row],[Instruement Tag]]&amp;"_"&amp;tbl_IO_List[[#This Row],[I/O Type]]&amp;"_"&amp;tbl_IO_List[[#This Row],[IO-Point 
(Instruement)]]</f>
        <v>Spare_DI_0</v>
      </c>
      <c r="U18" s="136" t="s">
        <v>8</v>
      </c>
      <c r="V18" s="136">
        <f>VLOOKUP(tbl_IO_List[[#This Row],[I/O Type]],tbl_Slot_Group[],2,FALSE)</f>
        <v>1</v>
      </c>
      <c r="W18" s="136">
        <v>0</v>
      </c>
      <c r="X18" s="136" t="str">
        <f>tbl_IO_List[[#This Row],[Chassis]]&amp;"S"&amp;TEXT(tbl_IO_List[[#This Row],[Slot]],"00")</f>
        <v>C1S04</v>
      </c>
      <c r="Y18" s="136" t="str">
        <f>tbl_IO_List[[#This Row],[Chassis]]&amp;"S"&amp;TEXT(tbl_IO_List[[#This Row],[Slot]],"00")&amp;tbl_IO_List[[#This Row],[I/O Type]]&amp;TEXT(tbl_IO_List[[#This Row],[Point]],"00")</f>
        <v>C1S04DI12</v>
      </c>
      <c r="Z18" s="136" t="str">
        <f>tbl_IO_List[[#This Row],[Chassis]]&amp;"S"&amp;TEXT(tbl_IO_List[[#This Row],[Slot]],"00")&amp;","&amp;TEXT(tbl_IO_List[[#This Row],[Point]],"00")</f>
        <v>C1S04,12</v>
      </c>
      <c r="AA18" s="136" t="str">
        <f>VLOOKUP(tbl_IO_List[[#This Row],[Column23]],tbl_RackConfig[],5,FALSE) &amp;"-"&amp;tbl_IO_List[[#This Row],[Point]]</f>
        <v>1756-IB32-12</v>
      </c>
      <c r="AB18" s="136"/>
      <c r="AC18" s="136" t="s">
        <v>1370</v>
      </c>
      <c r="AD18" s="136" t="str">
        <f>tbl_IO_List[[#This Row],[I/O Type]]</f>
        <v>DI</v>
      </c>
      <c r="AE18" s="136" t="s">
        <v>1332</v>
      </c>
      <c r="AF18" s="136">
        <v>4</v>
      </c>
      <c r="AG18" s="136">
        <v>12</v>
      </c>
      <c r="AH18" s="136">
        <v>13</v>
      </c>
      <c r="AI18" s="136">
        <v>13</v>
      </c>
      <c r="AJ18" s="136">
        <v>1</v>
      </c>
      <c r="AK18" s="136">
        <v>0</v>
      </c>
      <c r="AL18" s="136">
        <v>0</v>
      </c>
      <c r="AM18" s="136">
        <v>0</v>
      </c>
      <c r="AN18" s="136">
        <v>0</v>
      </c>
      <c r="AO18" s="136"/>
      <c r="AP18" s="143" t="e">
        <f>VLOOKUP(tbl_IO_List[[#This Row],[Instruement Tag]],tbl_Instruement_List[],14,FALSE)</f>
        <v>#N/A</v>
      </c>
      <c r="AQ18" s="143" t="str">
        <f>tbl_IO_List[[#This Row],[Chassis]]&amp;"S"&amp;tbl_IO_List[[#This Row],[Slot]]&amp;"-"&amp;tbl_IO_List[[#This Row],[Front Terminal Number]]</f>
        <v>C1S4-13</v>
      </c>
      <c r="AR18" s="141" t="s">
        <v>1849</v>
      </c>
      <c r="AS18" s="136" t="str">
        <f>tbl_IO_List[[#This Row],[Terminal Tagging]]&amp;"-"&amp;tbl_IO_List[[#This Row],[Point-Count]]</f>
        <v>P1-TBDI1-13</v>
      </c>
      <c r="AT18" s="136" t="str">
        <f>tbl_IO_List[[#This Row],[Front Terminal Tagging]]&amp;"/"&amp;tbl_IO_List[[#This Row],[Terminal Tagging-Item]]</f>
        <v>C1S4-13/P1-TBDI1-13</v>
      </c>
      <c r="AU18" s="136" t="str">
        <f>tbl_IO_List[[#This Row],[Terminal Tagging-Item]]&amp;"/"&amp;tbl_IO_List[[#This Row],[Front Terminal Tagging]]</f>
        <v>P1-TBDI1-13/C1S4-13</v>
      </c>
    </row>
    <row r="19" spans="1:47" hidden="1">
      <c r="A19" s="147" t="s">
        <v>1369</v>
      </c>
      <c r="B19" s="136" t="s">
        <v>1306</v>
      </c>
      <c r="C19" s="136" t="str">
        <f>tbl_IO_List[[#This Row],[Column3]]</f>
        <v>C1S04,13</v>
      </c>
      <c r="D19" s="136" t="str">
        <f>tbl_IO_List[[#This Row],[Card]]</f>
        <v>1756-IB32-13</v>
      </c>
      <c r="E19" s="136" t="s">
        <v>1366</v>
      </c>
      <c r="F19" s="136" t="str">
        <f>tbl_IO_List[[#This Row],[Column23]]&amp;"-" &amp;tbl_IO_List[[#This Row],[Column52]]</f>
        <v>C1S04-X1</v>
      </c>
      <c r="G19" s="136" t="str">
        <f>tbl_IO_List[[#This Row],[PLC_Tag]]</f>
        <v>Spare_DI_0</v>
      </c>
      <c r="H19" s="136"/>
      <c r="I19" s="136" t="str">
        <f>VLOOKUP(tbl_IO_List[[#This Row],[Destination]],tbl_Junction[],2,FALSE)</f>
        <v>Main Control Cabinet</v>
      </c>
      <c r="J19" s="136" t="s">
        <v>1306</v>
      </c>
      <c r="K19" s="136" t="s">
        <v>1382</v>
      </c>
      <c r="L19" s="136" t="s">
        <v>411</v>
      </c>
      <c r="M19" s="136" t="e">
        <f>VLOOKUP(tbl_IO_List[[#This Row],[Instruement Tag]],tbl_Instruement_List[],2,FALSE)</f>
        <v>#N/A</v>
      </c>
      <c r="N19" s="136"/>
      <c r="O19" s="136" t="s">
        <v>18</v>
      </c>
      <c r="P19" s="136" t="s">
        <v>18</v>
      </c>
      <c r="Q19" s="136" t="e">
        <f>VLOOKUP(tbl_IO_List[[#This Row],[Instruement Tag]],tbl_Instruement_List[],6,FALSE)</f>
        <v>#N/A</v>
      </c>
      <c r="R19" s="136"/>
      <c r="S1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9" s="136" t="str">
        <f>tbl_IO_List[[#This Row],[Instruement Tag]]&amp;"_"&amp;tbl_IO_List[[#This Row],[I/O Type]]&amp;"_"&amp;tbl_IO_List[[#This Row],[IO-Point 
(Instruement)]]</f>
        <v>Spare_DI_0</v>
      </c>
      <c r="U19" s="136" t="s">
        <v>8</v>
      </c>
      <c r="V19" s="136">
        <f>VLOOKUP(tbl_IO_List[[#This Row],[I/O Type]],tbl_Slot_Group[],2,FALSE)</f>
        <v>1</v>
      </c>
      <c r="W19" s="136">
        <v>0</v>
      </c>
      <c r="X19" s="136" t="str">
        <f>tbl_IO_List[[#This Row],[Chassis]]&amp;"S"&amp;TEXT(tbl_IO_List[[#This Row],[Slot]],"00")</f>
        <v>C1S04</v>
      </c>
      <c r="Y19" s="136" t="str">
        <f>tbl_IO_List[[#This Row],[Chassis]]&amp;"S"&amp;TEXT(tbl_IO_List[[#This Row],[Slot]],"00")&amp;tbl_IO_List[[#This Row],[I/O Type]]&amp;TEXT(tbl_IO_List[[#This Row],[Point]],"00")</f>
        <v>C1S04DI13</v>
      </c>
      <c r="Z19" s="136" t="str">
        <f>tbl_IO_List[[#This Row],[Chassis]]&amp;"S"&amp;TEXT(tbl_IO_List[[#This Row],[Slot]],"00")&amp;","&amp;TEXT(tbl_IO_List[[#This Row],[Point]],"00")</f>
        <v>C1S04,13</v>
      </c>
      <c r="AA19" s="136" t="str">
        <f>VLOOKUP(tbl_IO_List[[#This Row],[Column23]],tbl_RackConfig[],5,FALSE) &amp;"-"&amp;tbl_IO_List[[#This Row],[Point]]</f>
        <v>1756-IB32-13</v>
      </c>
      <c r="AB19" s="136"/>
      <c r="AC19" s="136" t="s">
        <v>1370</v>
      </c>
      <c r="AD19" s="136" t="str">
        <f>tbl_IO_List[[#This Row],[I/O Type]]</f>
        <v>DI</v>
      </c>
      <c r="AE19" s="136" t="s">
        <v>1332</v>
      </c>
      <c r="AF19" s="136">
        <v>4</v>
      </c>
      <c r="AG19" s="136">
        <v>13</v>
      </c>
      <c r="AH19" s="136">
        <v>14</v>
      </c>
      <c r="AI19" s="136">
        <v>14</v>
      </c>
      <c r="AJ19" s="136">
        <v>1</v>
      </c>
      <c r="AK19" s="136">
        <v>0</v>
      </c>
      <c r="AL19" s="136">
        <v>0</v>
      </c>
      <c r="AM19" s="136">
        <v>0</v>
      </c>
      <c r="AN19" s="136">
        <v>0</v>
      </c>
      <c r="AO19" s="136"/>
      <c r="AP19" s="143" t="e">
        <f>VLOOKUP(tbl_IO_List[[#This Row],[Instruement Tag]],tbl_Instruement_List[],14,FALSE)</f>
        <v>#N/A</v>
      </c>
      <c r="AQ19" s="143" t="str">
        <f>tbl_IO_List[[#This Row],[Chassis]]&amp;"S"&amp;tbl_IO_List[[#This Row],[Slot]]&amp;"-"&amp;tbl_IO_List[[#This Row],[Front Terminal Number]]</f>
        <v>C1S4-14</v>
      </c>
      <c r="AR19" s="141" t="s">
        <v>1849</v>
      </c>
      <c r="AS19" s="136" t="str">
        <f>tbl_IO_List[[#This Row],[Terminal Tagging]]&amp;"-"&amp;tbl_IO_List[[#This Row],[Point-Count]]</f>
        <v>P1-TBDI1-14</v>
      </c>
      <c r="AT19" s="136" t="str">
        <f>tbl_IO_List[[#This Row],[Front Terminal Tagging]]&amp;"/"&amp;tbl_IO_List[[#This Row],[Terminal Tagging-Item]]</f>
        <v>C1S4-14/P1-TBDI1-14</v>
      </c>
      <c r="AU19" s="136" t="str">
        <f>tbl_IO_List[[#This Row],[Terminal Tagging-Item]]&amp;"/"&amp;tbl_IO_List[[#This Row],[Front Terminal Tagging]]</f>
        <v>P1-TBDI1-14/C1S4-14</v>
      </c>
    </row>
    <row r="20" spans="1:47" hidden="1">
      <c r="A20" s="147" t="s">
        <v>1369</v>
      </c>
      <c r="B20" s="136" t="s">
        <v>1306</v>
      </c>
      <c r="C20" s="136" t="str">
        <f>tbl_IO_List[[#This Row],[Column3]]</f>
        <v>C1S04,14</v>
      </c>
      <c r="D20" s="136" t="str">
        <f>tbl_IO_List[[#This Row],[Card]]</f>
        <v>1756-IB32-14</v>
      </c>
      <c r="E20" s="136" t="s">
        <v>1366</v>
      </c>
      <c r="F20" s="136" t="str">
        <f>tbl_IO_List[[#This Row],[Column23]]&amp;"-" &amp;tbl_IO_List[[#This Row],[Column52]]</f>
        <v>C1S04-X1</v>
      </c>
      <c r="G20" s="136" t="str">
        <f>tbl_IO_List[[#This Row],[PLC_Tag]]</f>
        <v>Spare_DI_0</v>
      </c>
      <c r="H20" s="136"/>
      <c r="I20" s="136" t="str">
        <f>VLOOKUP(tbl_IO_List[[#This Row],[Destination]],tbl_Junction[],2,FALSE)</f>
        <v>Main Control Cabinet</v>
      </c>
      <c r="J20" s="136" t="s">
        <v>1306</v>
      </c>
      <c r="K20" s="136" t="s">
        <v>1382</v>
      </c>
      <c r="L20" s="136" t="s">
        <v>411</v>
      </c>
      <c r="M20" s="136" t="e">
        <f>VLOOKUP(tbl_IO_List[[#This Row],[Instruement Tag]],tbl_Instruement_List[],2,FALSE)</f>
        <v>#N/A</v>
      </c>
      <c r="N20" s="136"/>
      <c r="O20" s="136" t="s">
        <v>18</v>
      </c>
      <c r="P20" s="136" t="s">
        <v>18</v>
      </c>
      <c r="Q20" s="136" t="e">
        <f>VLOOKUP(tbl_IO_List[[#This Row],[Instruement Tag]],tbl_Instruement_List[],6,FALSE)</f>
        <v>#N/A</v>
      </c>
      <c r="R20" s="136"/>
      <c r="S2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0" s="136" t="str">
        <f>tbl_IO_List[[#This Row],[Instruement Tag]]&amp;"_"&amp;tbl_IO_List[[#This Row],[I/O Type]]&amp;"_"&amp;tbl_IO_List[[#This Row],[IO-Point 
(Instruement)]]</f>
        <v>Spare_DI_0</v>
      </c>
      <c r="U20" s="136" t="s">
        <v>8</v>
      </c>
      <c r="V20" s="136">
        <f>VLOOKUP(tbl_IO_List[[#This Row],[I/O Type]],tbl_Slot_Group[],2,FALSE)</f>
        <v>1</v>
      </c>
      <c r="W20" s="136">
        <v>0</v>
      </c>
      <c r="X20" s="136" t="str">
        <f>tbl_IO_List[[#This Row],[Chassis]]&amp;"S"&amp;TEXT(tbl_IO_List[[#This Row],[Slot]],"00")</f>
        <v>C1S04</v>
      </c>
      <c r="Y20" s="136" t="str">
        <f>tbl_IO_List[[#This Row],[Chassis]]&amp;"S"&amp;TEXT(tbl_IO_List[[#This Row],[Slot]],"00")&amp;tbl_IO_List[[#This Row],[I/O Type]]&amp;TEXT(tbl_IO_List[[#This Row],[Point]],"00")</f>
        <v>C1S04DI14</v>
      </c>
      <c r="Z20" s="136" t="str">
        <f>tbl_IO_List[[#This Row],[Chassis]]&amp;"S"&amp;TEXT(tbl_IO_List[[#This Row],[Slot]],"00")&amp;","&amp;TEXT(tbl_IO_List[[#This Row],[Point]],"00")</f>
        <v>C1S04,14</v>
      </c>
      <c r="AA20" s="136" t="str">
        <f>VLOOKUP(tbl_IO_List[[#This Row],[Column23]],tbl_RackConfig[],5,FALSE) &amp;"-"&amp;tbl_IO_List[[#This Row],[Point]]</f>
        <v>1756-IB32-14</v>
      </c>
      <c r="AB20" s="136"/>
      <c r="AC20" s="136" t="s">
        <v>1370</v>
      </c>
      <c r="AD20" s="136" t="str">
        <f>tbl_IO_List[[#This Row],[I/O Type]]</f>
        <v>DI</v>
      </c>
      <c r="AE20" s="136" t="s">
        <v>1332</v>
      </c>
      <c r="AF20" s="136">
        <v>4</v>
      </c>
      <c r="AG20" s="136">
        <v>14</v>
      </c>
      <c r="AH20" s="136">
        <v>15</v>
      </c>
      <c r="AI20" s="136">
        <v>15</v>
      </c>
      <c r="AJ20" s="136">
        <v>1</v>
      </c>
      <c r="AK20" s="136">
        <v>0</v>
      </c>
      <c r="AL20" s="136">
        <v>0</v>
      </c>
      <c r="AM20" s="136">
        <v>0</v>
      </c>
      <c r="AN20" s="136">
        <v>0</v>
      </c>
      <c r="AO20" s="136"/>
      <c r="AP20" s="143" t="e">
        <f>VLOOKUP(tbl_IO_List[[#This Row],[Instruement Tag]],tbl_Instruement_List[],14,FALSE)</f>
        <v>#N/A</v>
      </c>
      <c r="AQ20" s="143" t="str">
        <f>tbl_IO_List[[#This Row],[Chassis]]&amp;"S"&amp;tbl_IO_List[[#This Row],[Slot]]&amp;"-"&amp;tbl_IO_List[[#This Row],[Front Terminal Number]]</f>
        <v>C1S4-15</v>
      </c>
      <c r="AR20" s="141" t="s">
        <v>1849</v>
      </c>
      <c r="AS20" s="136" t="str">
        <f>tbl_IO_List[[#This Row],[Terminal Tagging]]&amp;"-"&amp;tbl_IO_List[[#This Row],[Point-Count]]</f>
        <v>P1-TBDI1-15</v>
      </c>
      <c r="AT20" s="136" t="str">
        <f>tbl_IO_List[[#This Row],[Front Terminal Tagging]]&amp;"/"&amp;tbl_IO_List[[#This Row],[Terminal Tagging-Item]]</f>
        <v>C1S4-15/P1-TBDI1-15</v>
      </c>
      <c r="AU20" s="136" t="str">
        <f>tbl_IO_List[[#This Row],[Terminal Tagging-Item]]&amp;"/"&amp;tbl_IO_List[[#This Row],[Front Terminal Tagging]]</f>
        <v>P1-TBDI1-15/C1S4-15</v>
      </c>
    </row>
    <row r="21" spans="1:47" hidden="1">
      <c r="A21" s="147" t="s">
        <v>1369</v>
      </c>
      <c r="B21" s="136" t="s">
        <v>1306</v>
      </c>
      <c r="C21" s="136" t="str">
        <f>tbl_IO_List[[#This Row],[Column3]]</f>
        <v>C1S04,15</v>
      </c>
      <c r="D21" s="136" t="str">
        <f>tbl_IO_List[[#This Row],[Card]]</f>
        <v>1756-IB32-15</v>
      </c>
      <c r="E21" s="136" t="s">
        <v>1366</v>
      </c>
      <c r="F21" s="136" t="str">
        <f>tbl_IO_List[[#This Row],[Column23]]&amp;"-" &amp;tbl_IO_List[[#This Row],[Column52]]</f>
        <v>C1S04-X1</v>
      </c>
      <c r="G21" s="136" t="str">
        <f>tbl_IO_List[[#This Row],[PLC_Tag]]</f>
        <v>Spare_DI_0</v>
      </c>
      <c r="H21" s="136"/>
      <c r="I21" s="136" t="str">
        <f>VLOOKUP(tbl_IO_List[[#This Row],[Destination]],tbl_Junction[],2,FALSE)</f>
        <v>Main Control Cabinet</v>
      </c>
      <c r="J21" s="136" t="s">
        <v>1306</v>
      </c>
      <c r="K21" s="136" t="s">
        <v>1382</v>
      </c>
      <c r="L21" s="136" t="s">
        <v>411</v>
      </c>
      <c r="M21" s="136" t="e">
        <f>VLOOKUP(tbl_IO_List[[#This Row],[Instruement Tag]],tbl_Instruement_List[],2,FALSE)</f>
        <v>#N/A</v>
      </c>
      <c r="N21" s="136"/>
      <c r="O21" s="136" t="s">
        <v>18</v>
      </c>
      <c r="P21" s="136" t="s">
        <v>18</v>
      </c>
      <c r="Q21" s="136" t="e">
        <f>VLOOKUP(tbl_IO_List[[#This Row],[Instruement Tag]],tbl_Instruement_List[],6,FALSE)</f>
        <v>#N/A</v>
      </c>
      <c r="R21" s="136"/>
      <c r="S2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1" s="136" t="str">
        <f>tbl_IO_List[[#This Row],[Instruement Tag]]&amp;"_"&amp;tbl_IO_List[[#This Row],[I/O Type]]&amp;"_"&amp;tbl_IO_List[[#This Row],[IO-Point 
(Instruement)]]</f>
        <v>Spare_DI_0</v>
      </c>
      <c r="U21" s="136" t="s">
        <v>8</v>
      </c>
      <c r="V21" s="136">
        <f>VLOOKUP(tbl_IO_List[[#This Row],[I/O Type]],tbl_Slot_Group[],2,FALSE)</f>
        <v>1</v>
      </c>
      <c r="W21" s="136">
        <v>0</v>
      </c>
      <c r="X21" s="136" t="str">
        <f>tbl_IO_List[[#This Row],[Chassis]]&amp;"S"&amp;TEXT(tbl_IO_List[[#This Row],[Slot]],"00")</f>
        <v>C1S04</v>
      </c>
      <c r="Y21" s="136" t="str">
        <f>tbl_IO_List[[#This Row],[Chassis]]&amp;"S"&amp;TEXT(tbl_IO_List[[#This Row],[Slot]],"00")&amp;tbl_IO_List[[#This Row],[I/O Type]]&amp;TEXT(tbl_IO_List[[#This Row],[Point]],"00")</f>
        <v>C1S04DI15</v>
      </c>
      <c r="Z21" s="136" t="str">
        <f>tbl_IO_List[[#This Row],[Chassis]]&amp;"S"&amp;TEXT(tbl_IO_List[[#This Row],[Slot]],"00")&amp;","&amp;TEXT(tbl_IO_List[[#This Row],[Point]],"00")</f>
        <v>C1S04,15</v>
      </c>
      <c r="AA21" s="136" t="str">
        <f>VLOOKUP(tbl_IO_List[[#This Row],[Column23]],tbl_RackConfig[],5,FALSE) &amp;"-"&amp;tbl_IO_List[[#This Row],[Point]]</f>
        <v>1756-IB32-15</v>
      </c>
      <c r="AB21" s="136"/>
      <c r="AC21" s="136" t="s">
        <v>1370</v>
      </c>
      <c r="AD21" s="136" t="str">
        <f>tbl_IO_List[[#This Row],[I/O Type]]</f>
        <v>DI</v>
      </c>
      <c r="AE21" s="136" t="s">
        <v>1332</v>
      </c>
      <c r="AF21" s="136">
        <v>4</v>
      </c>
      <c r="AG21" s="136">
        <v>15</v>
      </c>
      <c r="AH21" s="136">
        <v>16</v>
      </c>
      <c r="AI21" s="136">
        <v>16</v>
      </c>
      <c r="AJ21" s="136">
        <v>1</v>
      </c>
      <c r="AK21" s="136">
        <v>0</v>
      </c>
      <c r="AL21" s="136">
        <v>0</v>
      </c>
      <c r="AM21" s="136">
        <v>0</v>
      </c>
      <c r="AN21" s="136">
        <v>0</v>
      </c>
      <c r="AO21" s="136"/>
      <c r="AP21" s="143" t="e">
        <f>VLOOKUP(tbl_IO_List[[#This Row],[Instruement Tag]],tbl_Instruement_List[],14,FALSE)</f>
        <v>#N/A</v>
      </c>
      <c r="AQ21" s="143" t="str">
        <f>tbl_IO_List[[#This Row],[Chassis]]&amp;"S"&amp;tbl_IO_List[[#This Row],[Slot]]&amp;"-"&amp;tbl_IO_List[[#This Row],[Front Terminal Number]]</f>
        <v>C1S4-16</v>
      </c>
      <c r="AR21" s="141" t="s">
        <v>1849</v>
      </c>
      <c r="AS21" s="136" t="str">
        <f>tbl_IO_List[[#This Row],[Terminal Tagging]]&amp;"-"&amp;tbl_IO_List[[#This Row],[Point-Count]]</f>
        <v>P1-TBDI1-16</v>
      </c>
      <c r="AT21" s="136" t="str">
        <f>tbl_IO_List[[#This Row],[Front Terminal Tagging]]&amp;"/"&amp;tbl_IO_List[[#This Row],[Terminal Tagging-Item]]</f>
        <v>C1S4-16/P1-TBDI1-16</v>
      </c>
      <c r="AU21" s="136" t="str">
        <f>tbl_IO_List[[#This Row],[Terminal Tagging-Item]]&amp;"/"&amp;tbl_IO_List[[#This Row],[Front Terminal Tagging]]</f>
        <v>P1-TBDI1-16/C1S4-16</v>
      </c>
    </row>
    <row r="22" spans="1:47" hidden="1">
      <c r="A22" s="147" t="s">
        <v>1369</v>
      </c>
      <c r="B22" s="136" t="s">
        <v>114</v>
      </c>
      <c r="C22" s="136" t="str">
        <f>tbl_IO_List[[#This Row],[Column3]]</f>
        <v>C1S04,16</v>
      </c>
      <c r="D22" s="136" t="str">
        <f>tbl_IO_List[[#This Row],[Card]]</f>
        <v>1756-IB32-16</v>
      </c>
      <c r="E22" s="136" t="s">
        <v>1372</v>
      </c>
      <c r="F22" s="136" t="str">
        <f>tbl_IO_List[[#This Row],[Column23]]&amp;"-" &amp;tbl_IO_List[[#This Row],[Column52]]</f>
        <v>C1S04-X2</v>
      </c>
      <c r="G22" s="136" t="str">
        <f>tbl_IO_List[[#This Row],[PLC_Tag]]</f>
        <v>FSL-40201_DI_1</v>
      </c>
      <c r="H22" s="136"/>
      <c r="I22" s="136" t="str">
        <f>VLOOKUP(tbl_IO_List[[#This Row],[Destination]],tbl_Junction[],2,FALSE)</f>
        <v>Infeed 2nd Floor</v>
      </c>
      <c r="J22" s="136" t="s">
        <v>114</v>
      </c>
      <c r="K22" s="136" t="s">
        <v>136</v>
      </c>
      <c r="L22" s="136" t="s">
        <v>505</v>
      </c>
      <c r="M22" s="136" t="str">
        <f>VLOOKUP(tbl_IO_List[[#This Row],[Instruement Tag]],tbl_Instruement_List[],2,FALSE)</f>
        <v>Flow Switch</v>
      </c>
      <c r="N22" s="136" t="s">
        <v>15</v>
      </c>
      <c r="O22" s="136" t="s">
        <v>18</v>
      </c>
      <c r="P22" s="136" t="s">
        <v>137</v>
      </c>
      <c r="Q22" s="136" t="str">
        <f>VLOOKUP(tbl_IO_List[[#This Row],[Instruement Tag]],tbl_Instruement_List[],6,FALSE)</f>
        <v xml:space="preserve">Slurry low flow </v>
      </c>
      <c r="R22" s="136"/>
      <c r="S2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2" s="136" t="str">
        <f>tbl_IO_List[[#This Row],[Instruement Tag]]&amp;"_"&amp;tbl_IO_List[[#This Row],[I/O Type]]&amp;"_"&amp;tbl_IO_List[[#This Row],[IO-Point 
(Instruement)]]</f>
        <v>FSL-40201_DI_1</v>
      </c>
      <c r="U22" s="136" t="s">
        <v>8</v>
      </c>
      <c r="V22" s="136">
        <f>VLOOKUP(tbl_IO_List[[#This Row],[I/O Type]],tbl_Slot_Group[],2,FALSE)</f>
        <v>1</v>
      </c>
      <c r="W22" s="136">
        <v>1</v>
      </c>
      <c r="X22" s="136" t="str">
        <f>tbl_IO_List[[#This Row],[Chassis]]&amp;"S"&amp;TEXT(tbl_IO_List[[#This Row],[Slot]],"00")</f>
        <v>C1S04</v>
      </c>
      <c r="Y22" s="136" t="str">
        <f>tbl_IO_List[[#This Row],[Chassis]]&amp;"S"&amp;TEXT(tbl_IO_List[[#This Row],[Slot]],"00")&amp;tbl_IO_List[[#This Row],[I/O Type]]&amp;TEXT(tbl_IO_List[[#This Row],[Point]],"00")</f>
        <v>C1S04DI16</v>
      </c>
      <c r="Z22" s="136" t="str">
        <f>tbl_IO_List[[#This Row],[Chassis]]&amp;"S"&amp;TEXT(tbl_IO_List[[#This Row],[Slot]],"00")&amp;","&amp;TEXT(tbl_IO_List[[#This Row],[Point]],"00")</f>
        <v>C1S04,16</v>
      </c>
      <c r="AA22" s="136" t="str">
        <f>VLOOKUP(tbl_IO_List[[#This Row],[Column23]],tbl_RackConfig[],5,FALSE) &amp;"-"&amp;tbl_IO_List[[#This Row],[Point]]</f>
        <v>1756-IB32-16</v>
      </c>
      <c r="AB22" s="136"/>
      <c r="AC22" s="136" t="s">
        <v>1370</v>
      </c>
      <c r="AD22" s="136" t="str">
        <f>tbl_IO_List[[#This Row],[I/O Type]]</f>
        <v>DI</v>
      </c>
      <c r="AE22" s="136" t="s">
        <v>1332</v>
      </c>
      <c r="AF22" s="136">
        <v>4</v>
      </c>
      <c r="AG22" s="136">
        <v>16</v>
      </c>
      <c r="AH22" s="136">
        <v>17</v>
      </c>
      <c r="AI22" s="136">
        <v>19</v>
      </c>
      <c r="AJ22" s="136">
        <v>1</v>
      </c>
      <c r="AK22" s="136">
        <v>0</v>
      </c>
      <c r="AL22" s="136">
        <v>0</v>
      </c>
      <c r="AM22" s="136">
        <v>0</v>
      </c>
      <c r="AN22" s="136">
        <v>0</v>
      </c>
      <c r="AO22" s="136"/>
      <c r="AP22" s="143" t="str">
        <f>VLOOKUP(tbl_IO_List[[#This Row],[Instruement Tag]],tbl_Instruement_List[],14,FALSE)</f>
        <v>Dry Contact</v>
      </c>
      <c r="AQ22" s="143" t="str">
        <f>tbl_IO_List[[#This Row],[Chassis]]&amp;"S"&amp;tbl_IO_List[[#This Row],[Slot]]&amp;"-"&amp;tbl_IO_List[[#This Row],[Front Terminal Number]]</f>
        <v>C1S4-19</v>
      </c>
      <c r="AR22" s="141" t="s">
        <v>1849</v>
      </c>
      <c r="AS22" s="136" t="str">
        <f>tbl_IO_List[[#This Row],[Terminal Tagging]]&amp;"-"&amp;tbl_IO_List[[#This Row],[Point-Count]]</f>
        <v>P1-TBDI1-17</v>
      </c>
      <c r="AT22" s="136" t="str">
        <f>tbl_IO_List[[#This Row],[Front Terminal Tagging]]&amp;"/"&amp;tbl_IO_List[[#This Row],[Terminal Tagging-Item]]</f>
        <v>C1S4-19/P1-TBDI1-17</v>
      </c>
      <c r="AU22" s="136" t="str">
        <f>tbl_IO_List[[#This Row],[Terminal Tagging-Item]]&amp;"/"&amp;tbl_IO_List[[#This Row],[Front Terminal Tagging]]</f>
        <v>P1-TBDI1-17/C1S4-19</v>
      </c>
    </row>
    <row r="23" spans="1:47" hidden="1">
      <c r="A23" s="147" t="s">
        <v>1369</v>
      </c>
      <c r="B23" s="136" t="s">
        <v>114</v>
      </c>
      <c r="C23" s="136" t="str">
        <f>tbl_IO_List[[#This Row],[Column3]]</f>
        <v>C1S04,17</v>
      </c>
      <c r="D23" s="136" t="str">
        <f>tbl_IO_List[[#This Row],[Card]]</f>
        <v>1756-IB32-17</v>
      </c>
      <c r="E23" s="136" t="s">
        <v>1372</v>
      </c>
      <c r="F23" s="136" t="str">
        <f>tbl_IO_List[[#This Row],[Column23]]&amp;"-" &amp;tbl_IO_List[[#This Row],[Column52]]</f>
        <v>C1S04-X2</v>
      </c>
      <c r="G23" s="136" t="str">
        <f>tbl_IO_List[[#This Row],[PLC_Tag]]</f>
        <v>FSL-40202_DI_1</v>
      </c>
      <c r="H23" s="136"/>
      <c r="I23" s="136" t="str">
        <f>VLOOKUP(tbl_IO_List[[#This Row],[Destination]],tbl_Junction[],2,FALSE)</f>
        <v>Infeed 2nd Floor</v>
      </c>
      <c r="J23" s="136" t="s">
        <v>114</v>
      </c>
      <c r="K23" s="136" t="s">
        <v>136</v>
      </c>
      <c r="L23" s="136" t="s">
        <v>506</v>
      </c>
      <c r="M23" s="136" t="str">
        <f>VLOOKUP(tbl_IO_List[[#This Row],[Instruement Tag]],tbl_Instruement_List[],2,FALSE)</f>
        <v>Flow Switch</v>
      </c>
      <c r="N23" s="136" t="s">
        <v>15</v>
      </c>
      <c r="O23" s="136" t="s">
        <v>18</v>
      </c>
      <c r="P23" s="136" t="s">
        <v>137</v>
      </c>
      <c r="Q23" s="136" t="str">
        <f>VLOOKUP(tbl_IO_List[[#This Row],[Instruement Tag]],tbl_Instruement_List[],6,FALSE)</f>
        <v xml:space="preserve">Slurry low flow </v>
      </c>
      <c r="R23" s="136"/>
      <c r="S2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3" s="136" t="str">
        <f>tbl_IO_List[[#This Row],[Instruement Tag]]&amp;"_"&amp;tbl_IO_List[[#This Row],[I/O Type]]&amp;"_"&amp;tbl_IO_List[[#This Row],[IO-Point 
(Instruement)]]</f>
        <v>FSL-40202_DI_1</v>
      </c>
      <c r="U23" s="136" t="s">
        <v>8</v>
      </c>
      <c r="V23" s="136">
        <f>VLOOKUP(tbl_IO_List[[#This Row],[I/O Type]],tbl_Slot_Group[],2,FALSE)</f>
        <v>1</v>
      </c>
      <c r="W23" s="136">
        <v>1</v>
      </c>
      <c r="X23" s="136" t="str">
        <f>tbl_IO_List[[#This Row],[Chassis]]&amp;"S"&amp;TEXT(tbl_IO_List[[#This Row],[Slot]],"00")</f>
        <v>C1S04</v>
      </c>
      <c r="Y23" s="136" t="str">
        <f>tbl_IO_List[[#This Row],[Chassis]]&amp;"S"&amp;TEXT(tbl_IO_List[[#This Row],[Slot]],"00")&amp;tbl_IO_List[[#This Row],[I/O Type]]&amp;TEXT(tbl_IO_List[[#This Row],[Point]],"00")</f>
        <v>C1S04DI17</v>
      </c>
      <c r="Z23" s="136" t="str">
        <f>tbl_IO_List[[#This Row],[Chassis]]&amp;"S"&amp;TEXT(tbl_IO_List[[#This Row],[Slot]],"00")&amp;","&amp;TEXT(tbl_IO_List[[#This Row],[Point]],"00")</f>
        <v>C1S04,17</v>
      </c>
      <c r="AA23" s="136" t="str">
        <f>VLOOKUP(tbl_IO_List[[#This Row],[Column23]],tbl_RackConfig[],5,FALSE) &amp;"-"&amp;tbl_IO_List[[#This Row],[Point]]</f>
        <v>1756-IB32-17</v>
      </c>
      <c r="AB23" s="136"/>
      <c r="AC23" s="136" t="s">
        <v>1370</v>
      </c>
      <c r="AD23" s="136" t="str">
        <f>tbl_IO_List[[#This Row],[I/O Type]]</f>
        <v>DI</v>
      </c>
      <c r="AE23" s="136" t="s">
        <v>1332</v>
      </c>
      <c r="AF23" s="136">
        <v>4</v>
      </c>
      <c r="AG23" s="136">
        <v>17</v>
      </c>
      <c r="AH23" s="136">
        <v>18</v>
      </c>
      <c r="AI23" s="136">
        <v>20</v>
      </c>
      <c r="AJ23" s="136">
        <v>1</v>
      </c>
      <c r="AK23" s="136">
        <v>0</v>
      </c>
      <c r="AL23" s="136">
        <v>0</v>
      </c>
      <c r="AM23" s="136">
        <v>0</v>
      </c>
      <c r="AN23" s="136">
        <v>0</v>
      </c>
      <c r="AO23" s="136"/>
      <c r="AP23" s="143" t="str">
        <f>VLOOKUP(tbl_IO_List[[#This Row],[Instruement Tag]],tbl_Instruement_List[],14,FALSE)</f>
        <v>Dry Contact</v>
      </c>
      <c r="AQ23" s="143" t="str">
        <f>tbl_IO_List[[#This Row],[Chassis]]&amp;"S"&amp;tbl_IO_List[[#This Row],[Slot]]&amp;"-"&amp;tbl_IO_List[[#This Row],[Front Terminal Number]]</f>
        <v>C1S4-20</v>
      </c>
      <c r="AR23" s="141" t="s">
        <v>1849</v>
      </c>
      <c r="AS23" s="136" t="str">
        <f>tbl_IO_List[[#This Row],[Terminal Tagging]]&amp;"-"&amp;tbl_IO_List[[#This Row],[Point-Count]]</f>
        <v>P1-TBDI1-18</v>
      </c>
      <c r="AT23" s="136" t="str">
        <f>tbl_IO_List[[#This Row],[Front Terminal Tagging]]&amp;"/"&amp;tbl_IO_List[[#This Row],[Terminal Tagging-Item]]</f>
        <v>C1S4-20/P1-TBDI1-18</v>
      </c>
      <c r="AU23" s="136" t="str">
        <f>tbl_IO_List[[#This Row],[Terminal Tagging-Item]]&amp;"/"&amp;tbl_IO_List[[#This Row],[Front Terminal Tagging]]</f>
        <v>P1-TBDI1-18/C1S4-20</v>
      </c>
    </row>
    <row r="24" spans="1:47" hidden="1">
      <c r="A24" s="147" t="s">
        <v>1369</v>
      </c>
      <c r="B24" s="136" t="s">
        <v>114</v>
      </c>
      <c r="C24" s="136" t="str">
        <f>tbl_IO_List[[#This Row],[Column3]]</f>
        <v>C1S04,18</v>
      </c>
      <c r="D24" s="136" t="str">
        <f>tbl_IO_List[[#This Row],[Card]]</f>
        <v>1756-IB32-18</v>
      </c>
      <c r="E24" s="136" t="s">
        <v>1372</v>
      </c>
      <c r="F24" s="136" t="str">
        <f>tbl_IO_List[[#This Row],[Column23]]&amp;"-" &amp;tbl_IO_List[[#This Row],[Column52]]</f>
        <v>C1S04-X2</v>
      </c>
      <c r="G24" s="136" t="str">
        <f>tbl_IO_List[[#This Row],[PLC_Tag]]</f>
        <v>FT-40201_DI_1</v>
      </c>
      <c r="H24" s="136"/>
      <c r="I24" s="136" t="str">
        <f>VLOOKUP(tbl_IO_List[[#This Row],[Destination]],tbl_Junction[],2,FALSE)</f>
        <v>Infeed 2nd Floor</v>
      </c>
      <c r="J24" s="136" t="s">
        <v>114</v>
      </c>
      <c r="K24" s="136" t="s">
        <v>115</v>
      </c>
      <c r="L24" s="136" t="s">
        <v>118</v>
      </c>
      <c r="M24" s="136" t="str">
        <f>VLOOKUP(tbl_IO_List[[#This Row],[Instruement Tag]],tbl_Instruement_List[],2,FALSE)</f>
        <v>Coriolis Flow Transmitter</v>
      </c>
      <c r="N24" s="136" t="s">
        <v>15</v>
      </c>
      <c r="O24" s="136" t="s">
        <v>116</v>
      </c>
      <c r="P24" s="136" t="s">
        <v>117</v>
      </c>
      <c r="Q24" s="136" t="str">
        <f>VLOOKUP(tbl_IO_List[[#This Row],[Instruement Tag]],tbl_Instruement_List[],6,FALSE)</f>
        <v xml:space="preserve">Slurry flowrate &amp; density check transfer line  </v>
      </c>
      <c r="R24" s="136"/>
      <c r="S2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1,DO=0,AI=2,AO=0,Bus=0</v>
      </c>
      <c r="T24" s="136" t="str">
        <f>tbl_IO_List[[#This Row],[Instruement Tag]]&amp;"_"&amp;tbl_IO_List[[#This Row],[I/O Type]]&amp;"_"&amp;tbl_IO_List[[#This Row],[IO-Point 
(Instruement)]]</f>
        <v>FT-40201_DI_1</v>
      </c>
      <c r="U24" s="136" t="s">
        <v>8</v>
      </c>
      <c r="V24" s="136">
        <f>VLOOKUP(tbl_IO_List[[#This Row],[I/O Type]],tbl_Slot_Group[],2,FALSE)</f>
        <v>1</v>
      </c>
      <c r="W24" s="136">
        <v>1</v>
      </c>
      <c r="X24" s="136" t="str">
        <f>tbl_IO_List[[#This Row],[Chassis]]&amp;"S"&amp;TEXT(tbl_IO_List[[#This Row],[Slot]],"00")</f>
        <v>C1S04</v>
      </c>
      <c r="Y24" s="136" t="str">
        <f>tbl_IO_List[[#This Row],[Chassis]]&amp;"S"&amp;TEXT(tbl_IO_List[[#This Row],[Slot]],"00")&amp;tbl_IO_List[[#This Row],[I/O Type]]&amp;TEXT(tbl_IO_List[[#This Row],[Point]],"00")</f>
        <v>C1S04DI18</v>
      </c>
      <c r="Z24" s="136" t="str">
        <f>tbl_IO_List[[#This Row],[Chassis]]&amp;"S"&amp;TEXT(tbl_IO_List[[#This Row],[Slot]],"00")&amp;","&amp;TEXT(tbl_IO_List[[#This Row],[Point]],"00")</f>
        <v>C1S04,18</v>
      </c>
      <c r="AA24" s="136" t="str">
        <f>VLOOKUP(tbl_IO_List[[#This Row],[Column23]],tbl_RackConfig[],5,FALSE) &amp;"-"&amp;tbl_IO_List[[#This Row],[Point]]</f>
        <v>1756-IB32-18</v>
      </c>
      <c r="AB24" s="136"/>
      <c r="AC24" s="136" t="s">
        <v>1370</v>
      </c>
      <c r="AD24" s="136" t="str">
        <f>tbl_IO_List[[#This Row],[I/O Type]]</f>
        <v>DI</v>
      </c>
      <c r="AE24" s="136" t="s">
        <v>1332</v>
      </c>
      <c r="AF24" s="136">
        <v>4</v>
      </c>
      <c r="AG24" s="136">
        <v>18</v>
      </c>
      <c r="AH24" s="136">
        <v>19</v>
      </c>
      <c r="AI24" s="136">
        <v>21</v>
      </c>
      <c r="AJ24" s="136">
        <v>1</v>
      </c>
      <c r="AK24" s="136">
        <v>0</v>
      </c>
      <c r="AL24" s="136">
        <v>2</v>
      </c>
      <c r="AM24" s="136">
        <v>0</v>
      </c>
      <c r="AN24" s="136">
        <v>0</v>
      </c>
      <c r="AO24" s="136"/>
      <c r="AP24" s="143" t="str">
        <f>VLOOKUP(tbl_IO_List[[#This Row],[Instruement Tag]],tbl_Instruement_List[],14,FALSE)</f>
        <v>4 - 20 mA,Pulse</v>
      </c>
      <c r="AQ24" s="143" t="str">
        <f>tbl_IO_List[[#This Row],[Chassis]]&amp;"S"&amp;tbl_IO_List[[#This Row],[Slot]]&amp;"-"&amp;tbl_IO_List[[#This Row],[Front Terminal Number]]</f>
        <v>C1S4-21</v>
      </c>
      <c r="AR24" s="141" t="s">
        <v>1849</v>
      </c>
      <c r="AS24" s="136" t="str">
        <f>tbl_IO_List[[#This Row],[Terminal Tagging]]&amp;"-"&amp;tbl_IO_List[[#This Row],[Point-Count]]</f>
        <v>P1-TBDI1-19</v>
      </c>
      <c r="AT24" s="136" t="str">
        <f>tbl_IO_List[[#This Row],[Front Terminal Tagging]]&amp;"/"&amp;tbl_IO_List[[#This Row],[Terminal Tagging-Item]]</f>
        <v>C1S4-21/P1-TBDI1-19</v>
      </c>
      <c r="AU24" s="136" t="str">
        <f>tbl_IO_List[[#This Row],[Terminal Tagging-Item]]&amp;"/"&amp;tbl_IO_List[[#This Row],[Front Terminal Tagging]]</f>
        <v>P1-TBDI1-19/C1S4-21</v>
      </c>
    </row>
    <row r="25" spans="1:47" hidden="1">
      <c r="A25" s="147" t="s">
        <v>1369</v>
      </c>
      <c r="B25" s="136" t="s">
        <v>114</v>
      </c>
      <c r="C25" s="136" t="str">
        <f>tbl_IO_List[[#This Row],[Column3]]</f>
        <v>C1S04,19</v>
      </c>
      <c r="D25" s="136" t="str">
        <f>tbl_IO_List[[#This Row],[Card]]</f>
        <v>1756-IB32-19</v>
      </c>
      <c r="E25" s="136" t="s">
        <v>1372</v>
      </c>
      <c r="F25" s="136" t="str">
        <f>tbl_IO_List[[#This Row],[Column23]]&amp;"-" &amp;tbl_IO_List[[#This Row],[Column52]]</f>
        <v>C1S04-X2</v>
      </c>
      <c r="G25" s="136" t="str">
        <f>tbl_IO_List[[#This Row],[PLC_Tag]]</f>
        <v>FT-40202_DI_1</v>
      </c>
      <c r="H25" s="136"/>
      <c r="I25" s="136" t="str">
        <f>VLOOKUP(tbl_IO_List[[#This Row],[Destination]],tbl_Junction[],2,FALSE)</f>
        <v>Infeed 2nd Floor</v>
      </c>
      <c r="J25" s="136" t="s">
        <v>114</v>
      </c>
      <c r="K25" s="136" t="s">
        <v>115</v>
      </c>
      <c r="L25" s="136" t="s">
        <v>119</v>
      </c>
      <c r="M25" s="136" t="str">
        <f>VLOOKUP(tbl_IO_List[[#This Row],[Instruement Tag]],tbl_Instruement_List[],2,FALSE)</f>
        <v>Magnetic Flow Transmitter</v>
      </c>
      <c r="N25" s="136" t="s">
        <v>15</v>
      </c>
      <c r="O25" s="136" t="s">
        <v>116</v>
      </c>
      <c r="P25" s="136" t="s">
        <v>117</v>
      </c>
      <c r="Q25" s="136" t="str">
        <f>VLOOKUP(tbl_IO_List[[#This Row],[Instruement Tag]],tbl_Instruement_List[],6,FALSE)</f>
        <v>Feed Slurry Flow Transmitter for Pipe (PIPE)</v>
      </c>
      <c r="R25" s="136"/>
      <c r="S2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1,DO=0,AI=1,AO=0,Bus=0</v>
      </c>
      <c r="T25" s="136" t="str">
        <f>tbl_IO_List[[#This Row],[Instruement Tag]]&amp;"_"&amp;tbl_IO_List[[#This Row],[I/O Type]]&amp;"_"&amp;tbl_IO_List[[#This Row],[IO-Point 
(Instruement)]]</f>
        <v>FT-40202_DI_1</v>
      </c>
      <c r="U25" s="136" t="s">
        <v>8</v>
      </c>
      <c r="V25" s="136">
        <f>VLOOKUP(tbl_IO_List[[#This Row],[I/O Type]],tbl_Slot_Group[],2,FALSE)</f>
        <v>1</v>
      </c>
      <c r="W25" s="136">
        <v>1</v>
      </c>
      <c r="X25" s="136" t="str">
        <f>tbl_IO_List[[#This Row],[Chassis]]&amp;"S"&amp;TEXT(tbl_IO_List[[#This Row],[Slot]],"00")</f>
        <v>C1S04</v>
      </c>
      <c r="Y25" s="136" t="str">
        <f>tbl_IO_List[[#This Row],[Chassis]]&amp;"S"&amp;TEXT(tbl_IO_List[[#This Row],[Slot]],"00")&amp;tbl_IO_List[[#This Row],[I/O Type]]&amp;TEXT(tbl_IO_List[[#This Row],[Point]],"00")</f>
        <v>C1S04DI19</v>
      </c>
      <c r="Z25" s="136" t="str">
        <f>tbl_IO_List[[#This Row],[Chassis]]&amp;"S"&amp;TEXT(tbl_IO_List[[#This Row],[Slot]],"00")&amp;","&amp;TEXT(tbl_IO_List[[#This Row],[Point]],"00")</f>
        <v>C1S04,19</v>
      </c>
      <c r="AA25" s="136" t="str">
        <f>VLOOKUP(tbl_IO_List[[#This Row],[Column23]],tbl_RackConfig[],5,FALSE) &amp;"-"&amp;tbl_IO_List[[#This Row],[Point]]</f>
        <v>1756-IB32-19</v>
      </c>
      <c r="AB25" s="136"/>
      <c r="AC25" s="136" t="s">
        <v>1370</v>
      </c>
      <c r="AD25" s="136" t="str">
        <f>tbl_IO_List[[#This Row],[I/O Type]]</f>
        <v>DI</v>
      </c>
      <c r="AE25" s="136" t="s">
        <v>1332</v>
      </c>
      <c r="AF25" s="136">
        <v>4</v>
      </c>
      <c r="AG25" s="136">
        <v>19</v>
      </c>
      <c r="AH25" s="136">
        <v>20</v>
      </c>
      <c r="AI25" s="136">
        <v>22</v>
      </c>
      <c r="AJ25" s="136">
        <v>1</v>
      </c>
      <c r="AK25" s="136">
        <v>0</v>
      </c>
      <c r="AL25" s="136">
        <v>1</v>
      </c>
      <c r="AM25" s="136">
        <v>0</v>
      </c>
      <c r="AN25" s="136">
        <v>0</v>
      </c>
      <c r="AO25" s="136"/>
      <c r="AP25" s="143" t="str">
        <f>VLOOKUP(tbl_IO_List[[#This Row],[Instruement Tag]],tbl_Instruement_List[],14,FALSE)</f>
        <v>4 - 20 mA,Pulse</v>
      </c>
      <c r="AQ25" s="143" t="str">
        <f>tbl_IO_List[[#This Row],[Chassis]]&amp;"S"&amp;tbl_IO_List[[#This Row],[Slot]]&amp;"-"&amp;tbl_IO_List[[#This Row],[Front Terminal Number]]</f>
        <v>C1S4-22</v>
      </c>
      <c r="AR25" s="141" t="s">
        <v>1849</v>
      </c>
      <c r="AS25" s="136" t="str">
        <f>tbl_IO_List[[#This Row],[Terminal Tagging]]&amp;"-"&amp;tbl_IO_List[[#This Row],[Point-Count]]</f>
        <v>P1-TBDI1-20</v>
      </c>
      <c r="AT25" s="136" t="str">
        <f>tbl_IO_List[[#This Row],[Front Terminal Tagging]]&amp;"/"&amp;tbl_IO_List[[#This Row],[Terminal Tagging-Item]]</f>
        <v>C1S4-22/P1-TBDI1-20</v>
      </c>
      <c r="AU25" s="136" t="str">
        <f>tbl_IO_List[[#This Row],[Terminal Tagging-Item]]&amp;"/"&amp;tbl_IO_List[[#This Row],[Front Terminal Tagging]]</f>
        <v>P1-TBDI1-20/C1S4-22</v>
      </c>
    </row>
    <row r="26" spans="1:47" hidden="1">
      <c r="A26" s="147" t="s">
        <v>1369</v>
      </c>
      <c r="B26" s="136" t="s">
        <v>114</v>
      </c>
      <c r="C26" s="136" t="str">
        <f>tbl_IO_List[[#This Row],[Column3]]</f>
        <v>C1S04,20</v>
      </c>
      <c r="D26" s="136" t="str">
        <f>tbl_IO_List[[#This Row],[Card]]</f>
        <v>1756-IB32-20</v>
      </c>
      <c r="E26" s="136" t="s">
        <v>1372</v>
      </c>
      <c r="F26" s="136" t="str">
        <f>tbl_IO_List[[#This Row],[Column23]]&amp;"-" &amp;tbl_IO_List[[#This Row],[Column52]]</f>
        <v>C1S04-X2</v>
      </c>
      <c r="G26" s="136" t="str">
        <f>tbl_IO_List[[#This Row],[PLC_Tag]]</f>
        <v>HV-40201_DI_1</v>
      </c>
      <c r="H26" s="136"/>
      <c r="I26" s="136" t="str">
        <f>VLOOKUP(tbl_IO_List[[#This Row],[Destination]],tbl_Junction[],2,FALSE)</f>
        <v>Infeed 2nd Floor</v>
      </c>
      <c r="J26" s="136" t="s">
        <v>114</v>
      </c>
      <c r="K26" s="136" t="s">
        <v>136</v>
      </c>
      <c r="L26" s="136" t="s">
        <v>140</v>
      </c>
      <c r="M26" s="136" t="str">
        <f>VLOOKUP(tbl_IO_List[[#This Row],[Instruement Tag]],tbl_Instruement_List[],2,FALSE)</f>
        <v xml:space="preserve">Manual Valve With Position Switch </v>
      </c>
      <c r="N26" s="136" t="s">
        <v>15</v>
      </c>
      <c r="O26" s="136" t="s">
        <v>121</v>
      </c>
      <c r="P26" s="136" t="s">
        <v>137</v>
      </c>
      <c r="Q26" s="136" t="str">
        <f>VLOOKUP(tbl_IO_List[[#This Row],[Instruement Tag]],tbl_Instruement_List[],6,FALSE)</f>
        <v>Slurry Drain line</v>
      </c>
      <c r="R26" s="136"/>
      <c r="S2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6" s="136" t="str">
        <f>tbl_IO_List[[#This Row],[Instruement Tag]]&amp;"_"&amp;tbl_IO_List[[#This Row],[I/O Type]]&amp;"_"&amp;tbl_IO_List[[#This Row],[IO-Point 
(Instruement)]]</f>
        <v>HV-40201_DI_1</v>
      </c>
      <c r="U26" s="136" t="s">
        <v>8</v>
      </c>
      <c r="V26" s="136">
        <f>VLOOKUP(tbl_IO_List[[#This Row],[I/O Type]],tbl_Slot_Group[],2,FALSE)</f>
        <v>1</v>
      </c>
      <c r="W26" s="136">
        <v>1</v>
      </c>
      <c r="X26" s="136" t="str">
        <f>tbl_IO_List[[#This Row],[Chassis]]&amp;"S"&amp;TEXT(tbl_IO_List[[#This Row],[Slot]],"00")</f>
        <v>C1S04</v>
      </c>
      <c r="Y26" s="136" t="str">
        <f>tbl_IO_List[[#This Row],[Chassis]]&amp;"S"&amp;TEXT(tbl_IO_List[[#This Row],[Slot]],"00")&amp;tbl_IO_List[[#This Row],[I/O Type]]&amp;TEXT(tbl_IO_List[[#This Row],[Point]],"00")</f>
        <v>C1S04DI20</v>
      </c>
      <c r="Z26" s="136" t="str">
        <f>tbl_IO_List[[#This Row],[Chassis]]&amp;"S"&amp;TEXT(tbl_IO_List[[#This Row],[Slot]],"00")&amp;","&amp;TEXT(tbl_IO_List[[#This Row],[Point]],"00")</f>
        <v>C1S04,20</v>
      </c>
      <c r="AA26" s="136" t="str">
        <f>VLOOKUP(tbl_IO_List[[#This Row],[Column23]],tbl_RackConfig[],5,FALSE) &amp;"-"&amp;tbl_IO_List[[#This Row],[Point]]</f>
        <v>1756-IB32-20</v>
      </c>
      <c r="AB26" s="136"/>
      <c r="AC26" s="136" t="s">
        <v>1370</v>
      </c>
      <c r="AD26" s="136" t="str">
        <f>tbl_IO_List[[#This Row],[I/O Type]]</f>
        <v>DI</v>
      </c>
      <c r="AE26" s="136" t="s">
        <v>1332</v>
      </c>
      <c r="AF26" s="136">
        <v>4</v>
      </c>
      <c r="AG26" s="136">
        <v>20</v>
      </c>
      <c r="AH26" s="136">
        <v>21</v>
      </c>
      <c r="AI26" s="136">
        <v>23</v>
      </c>
      <c r="AJ26" s="136">
        <v>1</v>
      </c>
      <c r="AK26" s="136">
        <v>0</v>
      </c>
      <c r="AL26" s="136">
        <v>0</v>
      </c>
      <c r="AM26" s="136">
        <v>0</v>
      </c>
      <c r="AN26" s="136">
        <v>0</v>
      </c>
      <c r="AO26" s="136"/>
      <c r="AP26" s="143" t="str">
        <f>VLOOKUP(tbl_IO_List[[#This Row],[Instruement Tag]],tbl_Instruement_List[],14,FALSE)</f>
        <v>Dry Contact</v>
      </c>
      <c r="AQ26" s="143" t="str">
        <f>tbl_IO_List[[#This Row],[Chassis]]&amp;"S"&amp;tbl_IO_List[[#This Row],[Slot]]&amp;"-"&amp;tbl_IO_List[[#This Row],[Front Terminal Number]]</f>
        <v>C1S4-23</v>
      </c>
      <c r="AR26" s="141" t="s">
        <v>1849</v>
      </c>
      <c r="AS26" s="136" t="str">
        <f>tbl_IO_List[[#This Row],[Terminal Tagging]]&amp;"-"&amp;tbl_IO_List[[#This Row],[Point-Count]]</f>
        <v>P1-TBDI1-21</v>
      </c>
      <c r="AT26" s="136" t="str">
        <f>tbl_IO_List[[#This Row],[Front Terminal Tagging]]&amp;"/"&amp;tbl_IO_List[[#This Row],[Terminal Tagging-Item]]</f>
        <v>C1S4-23/P1-TBDI1-21</v>
      </c>
      <c r="AU26" s="136" t="str">
        <f>tbl_IO_List[[#This Row],[Terminal Tagging-Item]]&amp;"/"&amp;tbl_IO_List[[#This Row],[Front Terminal Tagging]]</f>
        <v>P1-TBDI1-21/C1S4-23</v>
      </c>
    </row>
    <row r="27" spans="1:47" hidden="1">
      <c r="A27" s="147" t="s">
        <v>1369</v>
      </c>
      <c r="B27" s="136" t="s">
        <v>114</v>
      </c>
      <c r="C27" s="136" t="str">
        <f>tbl_IO_List[[#This Row],[Column3]]</f>
        <v>C1S04,21</v>
      </c>
      <c r="D27" s="136" t="str">
        <f>tbl_IO_List[[#This Row],[Card]]</f>
        <v>1756-IB32-21</v>
      </c>
      <c r="E27" s="136" t="s">
        <v>1372</v>
      </c>
      <c r="F27" s="136" t="str">
        <f>tbl_IO_List[[#This Row],[Column23]]&amp;"-" &amp;tbl_IO_List[[#This Row],[Column52]]</f>
        <v>C1S04-X2</v>
      </c>
      <c r="G27" s="136" t="str">
        <f>tbl_IO_List[[#This Row],[PLC_Tag]]</f>
        <v>HV-40202_DI_1</v>
      </c>
      <c r="H27" s="136"/>
      <c r="I27" s="136" t="str">
        <f>VLOOKUP(tbl_IO_List[[#This Row],[Destination]],tbl_Junction[],2,FALSE)</f>
        <v>Infeed 2nd Floor</v>
      </c>
      <c r="J27" s="136" t="s">
        <v>114</v>
      </c>
      <c r="K27" s="136" t="s">
        <v>136</v>
      </c>
      <c r="L27" s="136" t="s">
        <v>142</v>
      </c>
      <c r="M27" s="136" t="str">
        <f>VLOOKUP(tbl_IO_List[[#This Row],[Instruement Tag]],tbl_Instruement_List[],2,FALSE)</f>
        <v xml:space="preserve">Manual Valve With Position Switch </v>
      </c>
      <c r="N27" s="136" t="s">
        <v>15</v>
      </c>
      <c r="O27" s="136" t="s">
        <v>121</v>
      </c>
      <c r="P27" s="136" t="s">
        <v>137</v>
      </c>
      <c r="Q27" s="136" t="str">
        <f>VLOOKUP(tbl_IO_List[[#This Row],[Instruement Tag]],tbl_Instruement_List[],6,FALSE)</f>
        <v>Slurry Drain line</v>
      </c>
      <c r="R27" s="136"/>
      <c r="S2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7" s="136" t="str">
        <f>tbl_IO_List[[#This Row],[Instruement Tag]]&amp;"_"&amp;tbl_IO_List[[#This Row],[I/O Type]]&amp;"_"&amp;tbl_IO_List[[#This Row],[IO-Point 
(Instruement)]]</f>
        <v>HV-40202_DI_1</v>
      </c>
      <c r="U27" s="136" t="s">
        <v>8</v>
      </c>
      <c r="V27" s="136">
        <f>VLOOKUP(tbl_IO_List[[#This Row],[I/O Type]],tbl_Slot_Group[],2,FALSE)</f>
        <v>1</v>
      </c>
      <c r="W27" s="136">
        <v>1</v>
      </c>
      <c r="X27" s="136" t="str">
        <f>tbl_IO_List[[#This Row],[Chassis]]&amp;"S"&amp;TEXT(tbl_IO_List[[#This Row],[Slot]],"00")</f>
        <v>C1S04</v>
      </c>
      <c r="Y27" s="136" t="str">
        <f>tbl_IO_List[[#This Row],[Chassis]]&amp;"S"&amp;TEXT(tbl_IO_List[[#This Row],[Slot]],"00")&amp;tbl_IO_List[[#This Row],[I/O Type]]&amp;TEXT(tbl_IO_List[[#This Row],[Point]],"00")</f>
        <v>C1S04DI21</v>
      </c>
      <c r="Z27" s="136" t="str">
        <f>tbl_IO_List[[#This Row],[Chassis]]&amp;"S"&amp;TEXT(tbl_IO_List[[#This Row],[Slot]],"00")&amp;","&amp;TEXT(tbl_IO_List[[#This Row],[Point]],"00")</f>
        <v>C1S04,21</v>
      </c>
      <c r="AA27" s="136" t="str">
        <f>VLOOKUP(tbl_IO_List[[#This Row],[Column23]],tbl_RackConfig[],5,FALSE) &amp;"-"&amp;tbl_IO_List[[#This Row],[Point]]</f>
        <v>1756-IB32-21</v>
      </c>
      <c r="AB27" s="136"/>
      <c r="AC27" s="136" t="s">
        <v>1370</v>
      </c>
      <c r="AD27" s="136" t="str">
        <f>tbl_IO_List[[#This Row],[I/O Type]]</f>
        <v>DI</v>
      </c>
      <c r="AE27" s="136" t="s">
        <v>1332</v>
      </c>
      <c r="AF27" s="136">
        <v>4</v>
      </c>
      <c r="AG27" s="136">
        <v>21</v>
      </c>
      <c r="AH27" s="136">
        <v>22</v>
      </c>
      <c r="AI27" s="136">
        <v>24</v>
      </c>
      <c r="AJ27" s="136">
        <v>1</v>
      </c>
      <c r="AK27" s="136">
        <v>0</v>
      </c>
      <c r="AL27" s="136">
        <v>0</v>
      </c>
      <c r="AM27" s="136">
        <v>0</v>
      </c>
      <c r="AN27" s="136">
        <v>0</v>
      </c>
      <c r="AO27" s="136"/>
      <c r="AP27" s="143" t="str">
        <f>VLOOKUP(tbl_IO_List[[#This Row],[Instruement Tag]],tbl_Instruement_List[],14,FALSE)</f>
        <v>Dry Contact</v>
      </c>
      <c r="AQ27" s="143" t="str">
        <f>tbl_IO_List[[#This Row],[Chassis]]&amp;"S"&amp;tbl_IO_List[[#This Row],[Slot]]&amp;"-"&amp;tbl_IO_List[[#This Row],[Front Terminal Number]]</f>
        <v>C1S4-24</v>
      </c>
      <c r="AR27" s="141" t="s">
        <v>1849</v>
      </c>
      <c r="AS27" s="136" t="str">
        <f>tbl_IO_List[[#This Row],[Terminal Tagging]]&amp;"-"&amp;tbl_IO_List[[#This Row],[Point-Count]]</f>
        <v>P1-TBDI1-22</v>
      </c>
      <c r="AT27" s="136" t="str">
        <f>tbl_IO_List[[#This Row],[Front Terminal Tagging]]&amp;"/"&amp;tbl_IO_List[[#This Row],[Terminal Tagging-Item]]</f>
        <v>C1S4-24/P1-TBDI1-22</v>
      </c>
      <c r="AU27" s="136" t="str">
        <f>tbl_IO_List[[#This Row],[Terminal Tagging-Item]]&amp;"/"&amp;tbl_IO_List[[#This Row],[Front Terminal Tagging]]</f>
        <v>P1-TBDI1-22/C1S4-24</v>
      </c>
    </row>
    <row r="28" spans="1:47" hidden="1">
      <c r="A28" s="147" t="s">
        <v>1369</v>
      </c>
      <c r="B28" s="136" t="s">
        <v>114</v>
      </c>
      <c r="C28" s="136" t="str">
        <f>tbl_IO_List[[#This Row],[Column3]]</f>
        <v>C1S04,22</v>
      </c>
      <c r="D28" s="136" t="str">
        <f>tbl_IO_List[[#This Row],[Card]]</f>
        <v>1756-IB32-22</v>
      </c>
      <c r="E28" s="136" t="s">
        <v>1372</v>
      </c>
      <c r="F28" s="136" t="str">
        <f>tbl_IO_List[[#This Row],[Column23]]&amp;"-" &amp;tbl_IO_List[[#This Row],[Column52]]</f>
        <v>C1S04-X2</v>
      </c>
      <c r="G28" s="136" t="str">
        <f>tbl_IO_List[[#This Row],[PLC_Tag]]</f>
        <v>HV-40203_DI_1</v>
      </c>
      <c r="H28" s="136"/>
      <c r="I28" s="136" t="str">
        <f>VLOOKUP(tbl_IO_List[[#This Row],[Destination]],tbl_Junction[],2,FALSE)</f>
        <v>Infeed 2nd Floor</v>
      </c>
      <c r="J28" s="136" t="s">
        <v>114</v>
      </c>
      <c r="K28" s="136" t="s">
        <v>136</v>
      </c>
      <c r="L28" s="136" t="s">
        <v>139</v>
      </c>
      <c r="M28" s="136" t="str">
        <f>VLOOKUP(tbl_IO_List[[#This Row],[Instruement Tag]],tbl_Instruement_List[],2,FALSE)</f>
        <v xml:space="preserve">Manual Valve With Position Switch </v>
      </c>
      <c r="N28" s="136" t="s">
        <v>15</v>
      </c>
      <c r="O28" s="136" t="s">
        <v>121</v>
      </c>
      <c r="P28" s="136" t="s">
        <v>137</v>
      </c>
      <c r="Q28" s="136" t="str">
        <f>VLOOKUP(tbl_IO_List[[#This Row],[Instruement Tag]],tbl_Instruement_List[],6,FALSE)</f>
        <v>Slurry Drain tank TS-40201</v>
      </c>
      <c r="R28" s="136"/>
      <c r="S2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8" s="136" t="str">
        <f>tbl_IO_List[[#This Row],[Instruement Tag]]&amp;"_"&amp;tbl_IO_List[[#This Row],[I/O Type]]&amp;"_"&amp;tbl_IO_List[[#This Row],[IO-Point 
(Instruement)]]</f>
        <v>HV-40203_DI_1</v>
      </c>
      <c r="U28" s="136" t="s">
        <v>8</v>
      </c>
      <c r="V28" s="136">
        <f>VLOOKUP(tbl_IO_List[[#This Row],[I/O Type]],tbl_Slot_Group[],2,FALSE)</f>
        <v>1</v>
      </c>
      <c r="W28" s="136">
        <v>1</v>
      </c>
      <c r="X28" s="136" t="str">
        <f>tbl_IO_List[[#This Row],[Chassis]]&amp;"S"&amp;TEXT(tbl_IO_List[[#This Row],[Slot]],"00")</f>
        <v>C1S04</v>
      </c>
      <c r="Y28" s="136" t="str">
        <f>tbl_IO_List[[#This Row],[Chassis]]&amp;"S"&amp;TEXT(tbl_IO_List[[#This Row],[Slot]],"00")&amp;tbl_IO_List[[#This Row],[I/O Type]]&amp;TEXT(tbl_IO_List[[#This Row],[Point]],"00")</f>
        <v>C1S04DI22</v>
      </c>
      <c r="Z28" s="136" t="str">
        <f>tbl_IO_List[[#This Row],[Chassis]]&amp;"S"&amp;TEXT(tbl_IO_List[[#This Row],[Slot]],"00")&amp;","&amp;TEXT(tbl_IO_List[[#This Row],[Point]],"00")</f>
        <v>C1S04,22</v>
      </c>
      <c r="AA28" s="136" t="str">
        <f>VLOOKUP(tbl_IO_List[[#This Row],[Column23]],tbl_RackConfig[],5,FALSE) &amp;"-"&amp;tbl_IO_List[[#This Row],[Point]]</f>
        <v>1756-IB32-22</v>
      </c>
      <c r="AB28" s="136"/>
      <c r="AC28" s="136" t="s">
        <v>1370</v>
      </c>
      <c r="AD28" s="136" t="str">
        <f>tbl_IO_List[[#This Row],[I/O Type]]</f>
        <v>DI</v>
      </c>
      <c r="AE28" s="136" t="s">
        <v>1332</v>
      </c>
      <c r="AF28" s="136">
        <v>4</v>
      </c>
      <c r="AG28" s="136">
        <v>22</v>
      </c>
      <c r="AH28" s="136">
        <v>23</v>
      </c>
      <c r="AI28" s="136">
        <v>25</v>
      </c>
      <c r="AJ28" s="136">
        <v>1</v>
      </c>
      <c r="AK28" s="136">
        <v>0</v>
      </c>
      <c r="AL28" s="136">
        <v>0</v>
      </c>
      <c r="AM28" s="136">
        <v>0</v>
      </c>
      <c r="AN28" s="136">
        <v>0</v>
      </c>
      <c r="AO28" s="136"/>
      <c r="AP28" s="143" t="str">
        <f>VLOOKUP(tbl_IO_List[[#This Row],[Instruement Tag]],tbl_Instruement_List[],14,FALSE)</f>
        <v>Dry Contact</v>
      </c>
      <c r="AQ28" s="143" t="str">
        <f>tbl_IO_List[[#This Row],[Chassis]]&amp;"S"&amp;tbl_IO_List[[#This Row],[Slot]]&amp;"-"&amp;tbl_IO_List[[#This Row],[Front Terminal Number]]</f>
        <v>C1S4-25</v>
      </c>
      <c r="AR28" s="141" t="s">
        <v>1849</v>
      </c>
      <c r="AS28" s="136" t="str">
        <f>tbl_IO_List[[#This Row],[Terminal Tagging]]&amp;"-"&amp;tbl_IO_List[[#This Row],[Point-Count]]</f>
        <v>P1-TBDI1-23</v>
      </c>
      <c r="AT28" s="136" t="str">
        <f>tbl_IO_List[[#This Row],[Front Terminal Tagging]]&amp;"/"&amp;tbl_IO_List[[#This Row],[Terminal Tagging-Item]]</f>
        <v>C1S4-25/P1-TBDI1-23</v>
      </c>
      <c r="AU28" s="136" t="str">
        <f>tbl_IO_List[[#This Row],[Terminal Tagging-Item]]&amp;"/"&amp;tbl_IO_List[[#This Row],[Front Terminal Tagging]]</f>
        <v>P1-TBDI1-23/C1S4-25</v>
      </c>
    </row>
    <row r="29" spans="1:47" hidden="1">
      <c r="A29" s="147" t="s">
        <v>1369</v>
      </c>
      <c r="B29" s="136" t="s">
        <v>114</v>
      </c>
      <c r="C29" s="136" t="str">
        <f>tbl_IO_List[[#This Row],[Column3]]</f>
        <v>C1S04,23</v>
      </c>
      <c r="D29" s="136" t="str">
        <f>tbl_IO_List[[#This Row],[Card]]</f>
        <v>1756-IB32-23</v>
      </c>
      <c r="E29" s="136" t="s">
        <v>1372</v>
      </c>
      <c r="F29" s="136" t="str">
        <f>tbl_IO_List[[#This Row],[Column23]]&amp;"-" &amp;tbl_IO_List[[#This Row],[Column52]]</f>
        <v>C1S04-X2</v>
      </c>
      <c r="G29" s="136" t="str">
        <f>tbl_IO_List[[#This Row],[PLC_Tag]]</f>
        <v>HV-40204_DI_1</v>
      </c>
      <c r="H29" s="136"/>
      <c r="I29" s="136" t="str">
        <f>VLOOKUP(tbl_IO_List[[#This Row],[Destination]],tbl_Junction[],2,FALSE)</f>
        <v>Infeed 2nd Floor</v>
      </c>
      <c r="J29" s="136" t="s">
        <v>114</v>
      </c>
      <c r="K29" s="136" t="s">
        <v>136</v>
      </c>
      <c r="L29" s="136" t="s">
        <v>141</v>
      </c>
      <c r="M29" s="136" t="str">
        <f>VLOOKUP(tbl_IO_List[[#This Row],[Instruement Tag]],tbl_Instruement_List[],2,FALSE)</f>
        <v xml:space="preserve">Manual Valve With Position Switch </v>
      </c>
      <c r="N29" s="136" t="s">
        <v>15</v>
      </c>
      <c r="O29" s="136" t="s">
        <v>121</v>
      </c>
      <c r="P29" s="136" t="s">
        <v>137</v>
      </c>
      <c r="Q29" s="136" t="str">
        <f>VLOOKUP(tbl_IO_List[[#This Row],[Instruement Tag]],tbl_Instruement_List[],6,FALSE)</f>
        <v>Slurry Drain tank TS-40202</v>
      </c>
      <c r="R29" s="136"/>
      <c r="S2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9" s="136" t="str">
        <f>tbl_IO_List[[#This Row],[Instruement Tag]]&amp;"_"&amp;tbl_IO_List[[#This Row],[I/O Type]]&amp;"_"&amp;tbl_IO_List[[#This Row],[IO-Point 
(Instruement)]]</f>
        <v>HV-40204_DI_1</v>
      </c>
      <c r="U29" s="136" t="s">
        <v>8</v>
      </c>
      <c r="V29" s="136">
        <f>VLOOKUP(tbl_IO_List[[#This Row],[I/O Type]],tbl_Slot_Group[],2,FALSE)</f>
        <v>1</v>
      </c>
      <c r="W29" s="136">
        <v>1</v>
      </c>
      <c r="X29" s="136" t="str">
        <f>tbl_IO_List[[#This Row],[Chassis]]&amp;"S"&amp;TEXT(tbl_IO_List[[#This Row],[Slot]],"00")</f>
        <v>C1S04</v>
      </c>
      <c r="Y29" s="136" t="str">
        <f>tbl_IO_List[[#This Row],[Chassis]]&amp;"S"&amp;TEXT(tbl_IO_List[[#This Row],[Slot]],"00")&amp;tbl_IO_List[[#This Row],[I/O Type]]&amp;TEXT(tbl_IO_List[[#This Row],[Point]],"00")</f>
        <v>C1S04DI23</v>
      </c>
      <c r="Z29" s="136" t="str">
        <f>tbl_IO_List[[#This Row],[Chassis]]&amp;"S"&amp;TEXT(tbl_IO_List[[#This Row],[Slot]],"00")&amp;","&amp;TEXT(tbl_IO_List[[#This Row],[Point]],"00")</f>
        <v>C1S04,23</v>
      </c>
      <c r="AA29" s="136" t="str">
        <f>VLOOKUP(tbl_IO_List[[#This Row],[Column23]],tbl_RackConfig[],5,FALSE) &amp;"-"&amp;tbl_IO_List[[#This Row],[Point]]</f>
        <v>1756-IB32-23</v>
      </c>
      <c r="AB29" s="136"/>
      <c r="AC29" s="136" t="s">
        <v>1370</v>
      </c>
      <c r="AD29" s="136" t="str">
        <f>tbl_IO_List[[#This Row],[I/O Type]]</f>
        <v>DI</v>
      </c>
      <c r="AE29" s="136" t="s">
        <v>1332</v>
      </c>
      <c r="AF29" s="136">
        <v>4</v>
      </c>
      <c r="AG29" s="136">
        <v>23</v>
      </c>
      <c r="AH29" s="136">
        <v>24</v>
      </c>
      <c r="AI29" s="136">
        <v>26</v>
      </c>
      <c r="AJ29" s="136">
        <v>1</v>
      </c>
      <c r="AK29" s="136">
        <v>0</v>
      </c>
      <c r="AL29" s="136">
        <v>0</v>
      </c>
      <c r="AM29" s="136">
        <v>0</v>
      </c>
      <c r="AN29" s="136">
        <v>0</v>
      </c>
      <c r="AO29" s="136"/>
      <c r="AP29" s="143" t="str">
        <f>VLOOKUP(tbl_IO_List[[#This Row],[Instruement Tag]],tbl_Instruement_List[],14,FALSE)</f>
        <v>Dry Contact</v>
      </c>
      <c r="AQ29" s="143" t="str">
        <f>tbl_IO_List[[#This Row],[Chassis]]&amp;"S"&amp;tbl_IO_List[[#This Row],[Slot]]&amp;"-"&amp;tbl_IO_List[[#This Row],[Front Terminal Number]]</f>
        <v>C1S4-26</v>
      </c>
      <c r="AR29" s="141" t="s">
        <v>1849</v>
      </c>
      <c r="AS29" s="136" t="str">
        <f>tbl_IO_List[[#This Row],[Terminal Tagging]]&amp;"-"&amp;tbl_IO_List[[#This Row],[Point-Count]]</f>
        <v>P1-TBDI1-24</v>
      </c>
      <c r="AT29" s="136" t="str">
        <f>tbl_IO_List[[#This Row],[Front Terminal Tagging]]&amp;"/"&amp;tbl_IO_List[[#This Row],[Terminal Tagging-Item]]</f>
        <v>C1S4-26/P1-TBDI1-24</v>
      </c>
      <c r="AU29" s="136" t="str">
        <f>tbl_IO_List[[#This Row],[Terminal Tagging-Item]]&amp;"/"&amp;tbl_IO_List[[#This Row],[Front Terminal Tagging]]</f>
        <v>P1-TBDI1-24/C1S4-26</v>
      </c>
    </row>
    <row r="30" spans="1:47" hidden="1">
      <c r="A30" s="147" t="s">
        <v>1369</v>
      </c>
      <c r="B30" s="136" t="s">
        <v>114</v>
      </c>
      <c r="C30" s="136" t="str">
        <f>tbl_IO_List[[#This Row],[Column3]]</f>
        <v>C1S04,24</v>
      </c>
      <c r="D30" s="136" t="str">
        <f>tbl_IO_List[[#This Row],[Card]]</f>
        <v>1756-IB32-24</v>
      </c>
      <c r="E30" s="136" t="s">
        <v>1372</v>
      </c>
      <c r="F30" s="136" t="str">
        <f>tbl_IO_List[[#This Row],[Column23]]&amp;"-" &amp;tbl_IO_List[[#This Row],[Column52]]</f>
        <v>C1S04-X2</v>
      </c>
      <c r="G30" s="136" t="str">
        <f>tbl_IO_List[[#This Row],[PLC_Tag]]</f>
        <v>HV-40205_DI_1</v>
      </c>
      <c r="H30" s="136"/>
      <c r="I30" s="136" t="str">
        <f>VLOOKUP(tbl_IO_List[[#This Row],[Destination]],tbl_Junction[],2,FALSE)</f>
        <v>Infeed 2nd Floor</v>
      </c>
      <c r="J30" s="136" t="s">
        <v>114</v>
      </c>
      <c r="K30" s="136" t="s">
        <v>115</v>
      </c>
      <c r="L30" s="136" t="s">
        <v>122</v>
      </c>
      <c r="M30" s="136" t="str">
        <f>VLOOKUP(tbl_IO_List[[#This Row],[Instruement Tag]],tbl_Instruement_List[],2,FALSE)</f>
        <v xml:space="preserve">Manual Valve With Position Switch </v>
      </c>
      <c r="N30" s="136" t="s">
        <v>15</v>
      </c>
      <c r="O30" s="136" t="s">
        <v>121</v>
      </c>
      <c r="P30" s="136" t="s">
        <v>117</v>
      </c>
      <c r="Q30" s="136" t="str">
        <f>VLOOKUP(tbl_IO_List[[#This Row],[Instruement Tag]],tbl_Instruement_List[],6,FALSE)</f>
        <v>Slurry Drain line</v>
      </c>
      <c r="R30" s="136"/>
      <c r="S3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30" s="136" t="str">
        <f>tbl_IO_List[[#This Row],[Instruement Tag]]&amp;"_"&amp;tbl_IO_List[[#This Row],[I/O Type]]&amp;"_"&amp;tbl_IO_List[[#This Row],[IO-Point 
(Instruement)]]</f>
        <v>HV-40205_DI_1</v>
      </c>
      <c r="U30" s="136" t="s">
        <v>8</v>
      </c>
      <c r="V30" s="136">
        <f>VLOOKUP(tbl_IO_List[[#This Row],[I/O Type]],tbl_Slot_Group[],2,FALSE)</f>
        <v>1</v>
      </c>
      <c r="W30" s="136">
        <v>1</v>
      </c>
      <c r="X30" s="136" t="str">
        <f>tbl_IO_List[[#This Row],[Chassis]]&amp;"S"&amp;TEXT(tbl_IO_List[[#This Row],[Slot]],"00")</f>
        <v>C1S04</v>
      </c>
      <c r="Y30" s="136" t="str">
        <f>tbl_IO_List[[#This Row],[Chassis]]&amp;"S"&amp;TEXT(tbl_IO_List[[#This Row],[Slot]],"00")&amp;tbl_IO_List[[#This Row],[I/O Type]]&amp;TEXT(tbl_IO_List[[#This Row],[Point]],"00")</f>
        <v>C1S04DI24</v>
      </c>
      <c r="Z30" s="136" t="str">
        <f>tbl_IO_List[[#This Row],[Chassis]]&amp;"S"&amp;TEXT(tbl_IO_List[[#This Row],[Slot]],"00")&amp;","&amp;TEXT(tbl_IO_List[[#This Row],[Point]],"00")</f>
        <v>C1S04,24</v>
      </c>
      <c r="AA30" s="136" t="str">
        <f>VLOOKUP(tbl_IO_List[[#This Row],[Column23]],tbl_RackConfig[],5,FALSE) &amp;"-"&amp;tbl_IO_List[[#This Row],[Point]]</f>
        <v>1756-IB32-24</v>
      </c>
      <c r="AB30" s="136"/>
      <c r="AC30" s="136" t="s">
        <v>1370</v>
      </c>
      <c r="AD30" s="136" t="str">
        <f>tbl_IO_List[[#This Row],[I/O Type]]</f>
        <v>DI</v>
      </c>
      <c r="AE30" s="136" t="s">
        <v>1332</v>
      </c>
      <c r="AF30" s="136">
        <v>4</v>
      </c>
      <c r="AG30" s="136">
        <v>24</v>
      </c>
      <c r="AH30" s="136">
        <v>25</v>
      </c>
      <c r="AI30" s="136">
        <v>27</v>
      </c>
      <c r="AJ30" s="136">
        <v>1</v>
      </c>
      <c r="AK30" s="136">
        <v>0</v>
      </c>
      <c r="AL30" s="136">
        <v>0</v>
      </c>
      <c r="AM30" s="136">
        <v>0</v>
      </c>
      <c r="AN30" s="136">
        <v>0</v>
      </c>
      <c r="AO30" s="136"/>
      <c r="AP30" s="143" t="str">
        <f>VLOOKUP(tbl_IO_List[[#This Row],[Instruement Tag]],tbl_Instruement_List[],14,FALSE)</f>
        <v>Dry Contact</v>
      </c>
      <c r="AQ30" s="143" t="str">
        <f>tbl_IO_List[[#This Row],[Chassis]]&amp;"S"&amp;tbl_IO_List[[#This Row],[Slot]]&amp;"-"&amp;tbl_IO_List[[#This Row],[Front Terminal Number]]</f>
        <v>C1S4-27</v>
      </c>
      <c r="AR30" s="141" t="s">
        <v>1849</v>
      </c>
      <c r="AS30" s="136" t="str">
        <f>tbl_IO_List[[#This Row],[Terminal Tagging]]&amp;"-"&amp;tbl_IO_List[[#This Row],[Point-Count]]</f>
        <v>P1-TBDI1-25</v>
      </c>
      <c r="AT30" s="136" t="str">
        <f>tbl_IO_List[[#This Row],[Front Terminal Tagging]]&amp;"/"&amp;tbl_IO_List[[#This Row],[Terminal Tagging-Item]]</f>
        <v>C1S4-27/P1-TBDI1-25</v>
      </c>
      <c r="AU30" s="136" t="str">
        <f>tbl_IO_List[[#This Row],[Terminal Tagging-Item]]&amp;"/"&amp;tbl_IO_List[[#This Row],[Front Terminal Tagging]]</f>
        <v>P1-TBDI1-25/C1S4-27</v>
      </c>
    </row>
    <row r="31" spans="1:47" hidden="1">
      <c r="A31" s="147" t="s">
        <v>1369</v>
      </c>
      <c r="B31" s="136" t="s">
        <v>114</v>
      </c>
      <c r="C31" s="136" t="str">
        <f>tbl_IO_List[[#This Row],[Column3]]</f>
        <v>C1S04,25</v>
      </c>
      <c r="D31" s="136" t="str">
        <f>tbl_IO_List[[#This Row],[Card]]</f>
        <v>1756-IB32-25</v>
      </c>
      <c r="E31" s="136" t="s">
        <v>1372</v>
      </c>
      <c r="F31" s="136" t="str">
        <f>tbl_IO_List[[#This Row],[Column23]]&amp;"-" &amp;tbl_IO_List[[#This Row],[Column52]]</f>
        <v>C1S04-X2</v>
      </c>
      <c r="G31" s="136" t="str">
        <f>tbl_IO_List[[#This Row],[PLC_Tag]]</f>
        <v>HV-40206_DI_1</v>
      </c>
      <c r="H31" s="136"/>
      <c r="I31" s="136" t="str">
        <f>VLOOKUP(tbl_IO_List[[#This Row],[Destination]],tbl_Junction[],2,FALSE)</f>
        <v>Infeed 2nd Floor</v>
      </c>
      <c r="J31" s="136" t="s">
        <v>114</v>
      </c>
      <c r="K31" s="136" t="s">
        <v>115</v>
      </c>
      <c r="L31" s="136" t="s">
        <v>120</v>
      </c>
      <c r="M31" s="136" t="str">
        <f>VLOOKUP(tbl_IO_List[[#This Row],[Instruement Tag]],tbl_Instruement_List[],2,FALSE)</f>
        <v xml:space="preserve">Manual Valve With Position Switch </v>
      </c>
      <c r="N31" s="136" t="s">
        <v>15</v>
      </c>
      <c r="O31" s="136" t="s">
        <v>121</v>
      </c>
      <c r="P31" s="136" t="s">
        <v>117</v>
      </c>
      <c r="Q31" s="136" t="str">
        <f>VLOOKUP(tbl_IO_List[[#This Row],[Instruement Tag]],tbl_Instruement_List[],6,FALSE)</f>
        <v>Slurry Drain tank TS-40203</v>
      </c>
      <c r="R31" s="136"/>
      <c r="S3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31" s="136" t="str">
        <f>tbl_IO_List[[#This Row],[Instruement Tag]]&amp;"_"&amp;tbl_IO_List[[#This Row],[I/O Type]]&amp;"_"&amp;tbl_IO_List[[#This Row],[IO-Point 
(Instruement)]]</f>
        <v>HV-40206_DI_1</v>
      </c>
      <c r="U31" s="136" t="s">
        <v>8</v>
      </c>
      <c r="V31" s="136">
        <f>VLOOKUP(tbl_IO_List[[#This Row],[I/O Type]],tbl_Slot_Group[],2,FALSE)</f>
        <v>1</v>
      </c>
      <c r="W31" s="136">
        <v>1</v>
      </c>
      <c r="X31" s="136" t="str">
        <f>tbl_IO_List[[#This Row],[Chassis]]&amp;"S"&amp;TEXT(tbl_IO_List[[#This Row],[Slot]],"00")</f>
        <v>C1S04</v>
      </c>
      <c r="Y31" s="136" t="str">
        <f>tbl_IO_List[[#This Row],[Chassis]]&amp;"S"&amp;TEXT(tbl_IO_List[[#This Row],[Slot]],"00")&amp;tbl_IO_List[[#This Row],[I/O Type]]&amp;TEXT(tbl_IO_List[[#This Row],[Point]],"00")</f>
        <v>C1S04DI25</v>
      </c>
      <c r="Z31" s="136" t="str">
        <f>tbl_IO_List[[#This Row],[Chassis]]&amp;"S"&amp;TEXT(tbl_IO_List[[#This Row],[Slot]],"00")&amp;","&amp;TEXT(tbl_IO_List[[#This Row],[Point]],"00")</f>
        <v>C1S04,25</v>
      </c>
      <c r="AA31" s="136" t="str">
        <f>VLOOKUP(tbl_IO_List[[#This Row],[Column23]],tbl_RackConfig[],5,FALSE) &amp;"-"&amp;tbl_IO_List[[#This Row],[Point]]</f>
        <v>1756-IB32-25</v>
      </c>
      <c r="AB31" s="136"/>
      <c r="AC31" s="136" t="s">
        <v>1370</v>
      </c>
      <c r="AD31" s="136" t="str">
        <f>tbl_IO_List[[#This Row],[I/O Type]]</f>
        <v>DI</v>
      </c>
      <c r="AE31" s="136" t="s">
        <v>1332</v>
      </c>
      <c r="AF31" s="136">
        <v>4</v>
      </c>
      <c r="AG31" s="136">
        <v>25</v>
      </c>
      <c r="AH31" s="136">
        <v>26</v>
      </c>
      <c r="AI31" s="136">
        <v>28</v>
      </c>
      <c r="AJ31" s="136">
        <v>1</v>
      </c>
      <c r="AK31" s="136">
        <v>0</v>
      </c>
      <c r="AL31" s="136">
        <v>0</v>
      </c>
      <c r="AM31" s="136">
        <v>0</v>
      </c>
      <c r="AN31" s="136">
        <v>0</v>
      </c>
      <c r="AO31" s="136"/>
      <c r="AP31" s="143" t="str">
        <f>VLOOKUP(tbl_IO_List[[#This Row],[Instruement Tag]],tbl_Instruement_List[],14,FALSE)</f>
        <v>Dry Contact</v>
      </c>
      <c r="AQ31" s="143" t="str">
        <f>tbl_IO_List[[#This Row],[Chassis]]&amp;"S"&amp;tbl_IO_List[[#This Row],[Slot]]&amp;"-"&amp;tbl_IO_List[[#This Row],[Front Terminal Number]]</f>
        <v>C1S4-28</v>
      </c>
      <c r="AR31" s="141" t="s">
        <v>1849</v>
      </c>
      <c r="AS31" s="136" t="str">
        <f>tbl_IO_List[[#This Row],[Terminal Tagging]]&amp;"-"&amp;tbl_IO_List[[#This Row],[Point-Count]]</f>
        <v>P1-TBDI1-26</v>
      </c>
      <c r="AT31" s="136" t="str">
        <f>tbl_IO_List[[#This Row],[Front Terminal Tagging]]&amp;"/"&amp;tbl_IO_List[[#This Row],[Terminal Tagging-Item]]</f>
        <v>C1S4-28/P1-TBDI1-26</v>
      </c>
      <c r="AU31" s="136" t="str">
        <f>tbl_IO_List[[#This Row],[Terminal Tagging-Item]]&amp;"/"&amp;tbl_IO_List[[#This Row],[Front Terminal Tagging]]</f>
        <v>P1-TBDI1-26/C1S4-28</v>
      </c>
    </row>
    <row r="32" spans="1:47" hidden="1">
      <c r="A32" s="147" t="s">
        <v>1369</v>
      </c>
      <c r="B32" s="136" t="s">
        <v>114</v>
      </c>
      <c r="C32" s="136" t="str">
        <f>tbl_IO_List[[#This Row],[Column3]]</f>
        <v>C1S04,26</v>
      </c>
      <c r="D32" s="136" t="str">
        <f>tbl_IO_List[[#This Row],[Card]]</f>
        <v>1756-IB32-26</v>
      </c>
      <c r="E32" s="136" t="s">
        <v>1372</v>
      </c>
      <c r="F32" s="136" t="str">
        <f>tbl_IO_List[[#This Row],[Column23]]&amp;"-" &amp;tbl_IO_List[[#This Row],[Column52]]</f>
        <v>C1S04-X2</v>
      </c>
      <c r="G32" s="136" t="str">
        <f>tbl_IO_List[[#This Row],[PLC_Tag]]</f>
        <v>XV-40201A_DI_1</v>
      </c>
      <c r="H32" s="136"/>
      <c r="I32" s="136" t="str">
        <f>VLOOKUP(tbl_IO_List[[#This Row],[Destination]],tbl_Junction[],2,FALSE)</f>
        <v>Infeed 2nd Floor</v>
      </c>
      <c r="J32" s="136" t="s">
        <v>114</v>
      </c>
      <c r="K32" s="136" t="s">
        <v>136</v>
      </c>
      <c r="L32" s="136" t="s">
        <v>151</v>
      </c>
      <c r="M32" s="136">
        <f>VLOOKUP(tbl_IO_List[[#This Row],[Instruement Tag]],tbl_Instruement_List[],2,FALSE)</f>
        <v>0</v>
      </c>
      <c r="N32" s="136" t="s">
        <v>15</v>
      </c>
      <c r="O32" s="136" t="s">
        <v>18</v>
      </c>
      <c r="P32" s="136" t="s">
        <v>137</v>
      </c>
      <c r="Q32" s="136" t="str">
        <f>VLOOKUP(tbl_IO_List[[#This Row],[Instruement Tag]],tbl_Instruement_List[],6,FALSE)</f>
        <v>Slurry feed-in pH Adjustment tank 1</v>
      </c>
      <c r="R32" s="136"/>
      <c r="S3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2" s="136" t="str">
        <f>tbl_IO_List[[#This Row],[Instruement Tag]]&amp;"_"&amp;tbl_IO_List[[#This Row],[I/O Type]]&amp;"_"&amp;tbl_IO_List[[#This Row],[IO-Point 
(Instruement)]]</f>
        <v>XV-40201A_DI_1</v>
      </c>
      <c r="U32" s="136" t="s">
        <v>8</v>
      </c>
      <c r="V32" s="136">
        <f>VLOOKUP(tbl_IO_List[[#This Row],[I/O Type]],tbl_Slot_Group[],2,FALSE)</f>
        <v>1</v>
      </c>
      <c r="W32" s="136">
        <v>1</v>
      </c>
      <c r="X32" s="136" t="str">
        <f>tbl_IO_List[[#This Row],[Chassis]]&amp;"S"&amp;TEXT(tbl_IO_List[[#This Row],[Slot]],"00")</f>
        <v>C1S04</v>
      </c>
      <c r="Y32" s="136" t="str">
        <f>tbl_IO_List[[#This Row],[Chassis]]&amp;"S"&amp;TEXT(tbl_IO_List[[#This Row],[Slot]],"00")&amp;tbl_IO_List[[#This Row],[I/O Type]]&amp;TEXT(tbl_IO_List[[#This Row],[Point]],"00")</f>
        <v>C1S04DI26</v>
      </c>
      <c r="Z32" s="136" t="str">
        <f>tbl_IO_List[[#This Row],[Chassis]]&amp;"S"&amp;TEXT(tbl_IO_List[[#This Row],[Slot]],"00")&amp;","&amp;TEXT(tbl_IO_List[[#This Row],[Point]],"00")</f>
        <v>C1S04,26</v>
      </c>
      <c r="AA32" s="136" t="str">
        <f>VLOOKUP(tbl_IO_List[[#This Row],[Column23]],tbl_RackConfig[],5,FALSE) &amp;"-"&amp;tbl_IO_List[[#This Row],[Point]]</f>
        <v>1756-IB32-26</v>
      </c>
      <c r="AB32" s="136"/>
      <c r="AC32" s="136" t="s">
        <v>1370</v>
      </c>
      <c r="AD32" s="136" t="str">
        <f>tbl_IO_List[[#This Row],[I/O Type]]</f>
        <v>DI</v>
      </c>
      <c r="AE32" s="136" t="s">
        <v>1332</v>
      </c>
      <c r="AF32" s="136">
        <v>4</v>
      </c>
      <c r="AG32" s="136">
        <v>26</v>
      </c>
      <c r="AH32" s="136">
        <v>27</v>
      </c>
      <c r="AI32" s="136">
        <v>29</v>
      </c>
      <c r="AJ32" s="136">
        <v>2</v>
      </c>
      <c r="AK32" s="136">
        <v>1</v>
      </c>
      <c r="AL32" s="136">
        <v>0</v>
      </c>
      <c r="AM32" s="136">
        <v>0</v>
      </c>
      <c r="AN32" s="136">
        <v>0</v>
      </c>
      <c r="AO32" s="136"/>
      <c r="AP32" s="143" t="str">
        <f>VLOOKUP(tbl_IO_List[[#This Row],[Instruement Tag]],tbl_Instruement_List[],14,FALSE)</f>
        <v>24 VDC energized</v>
      </c>
      <c r="AQ32" s="143" t="str">
        <f>tbl_IO_List[[#This Row],[Chassis]]&amp;"S"&amp;tbl_IO_List[[#This Row],[Slot]]&amp;"-"&amp;tbl_IO_List[[#This Row],[Front Terminal Number]]</f>
        <v>C1S4-29</v>
      </c>
      <c r="AR32" s="141" t="s">
        <v>1849</v>
      </c>
      <c r="AS32" s="136" t="str">
        <f>tbl_IO_List[[#This Row],[Terminal Tagging]]&amp;"-"&amp;tbl_IO_List[[#This Row],[Point-Count]]</f>
        <v>P1-TBDI1-27</v>
      </c>
      <c r="AT32" s="136" t="str">
        <f>tbl_IO_List[[#This Row],[Front Terminal Tagging]]&amp;"/"&amp;tbl_IO_List[[#This Row],[Terminal Tagging-Item]]</f>
        <v>C1S4-29/P1-TBDI1-27</v>
      </c>
      <c r="AU32" s="136" t="str">
        <f>tbl_IO_List[[#This Row],[Terminal Tagging-Item]]&amp;"/"&amp;tbl_IO_List[[#This Row],[Front Terminal Tagging]]</f>
        <v>P1-TBDI1-27/C1S4-29</v>
      </c>
    </row>
    <row r="33" spans="1:47" hidden="1">
      <c r="A33" s="147" t="s">
        <v>1369</v>
      </c>
      <c r="B33" s="136" t="s">
        <v>114</v>
      </c>
      <c r="C33" s="136" t="str">
        <f>tbl_IO_List[[#This Row],[Column3]]</f>
        <v>C1S04,27</v>
      </c>
      <c r="D33" s="136" t="str">
        <f>tbl_IO_List[[#This Row],[Card]]</f>
        <v>1756-IB32-27</v>
      </c>
      <c r="E33" s="136" t="s">
        <v>1372</v>
      </c>
      <c r="F33" s="136" t="str">
        <f>tbl_IO_List[[#This Row],[Column23]]&amp;"-" &amp;tbl_IO_List[[#This Row],[Column52]]</f>
        <v>C1S04-X2</v>
      </c>
      <c r="G33" s="136" t="str">
        <f>tbl_IO_List[[#This Row],[PLC_Tag]]</f>
        <v>XV-40201A_DI_2</v>
      </c>
      <c r="H33" s="136"/>
      <c r="I33" s="136" t="str">
        <f>VLOOKUP(tbl_IO_List[[#This Row],[Destination]],tbl_Junction[],2,FALSE)</f>
        <v>Infeed 2nd Floor</v>
      </c>
      <c r="J33" s="136" t="s">
        <v>114</v>
      </c>
      <c r="K33" s="136" t="s">
        <v>136</v>
      </c>
      <c r="L33" s="136" t="s">
        <v>151</v>
      </c>
      <c r="M33" s="136">
        <f>VLOOKUP(tbl_IO_List[[#This Row],[Instruement Tag]],tbl_Instruement_List[],2,FALSE)</f>
        <v>0</v>
      </c>
      <c r="N33" s="136" t="s">
        <v>15</v>
      </c>
      <c r="O33" s="136" t="s">
        <v>18</v>
      </c>
      <c r="P33" s="136" t="s">
        <v>137</v>
      </c>
      <c r="Q33" s="136" t="str">
        <f>VLOOKUP(tbl_IO_List[[#This Row],[Instruement Tag]],tbl_Instruement_List[],6,FALSE)</f>
        <v>Slurry feed-in pH Adjustment tank 1</v>
      </c>
      <c r="R33" s="136"/>
      <c r="S3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3" s="136" t="str">
        <f>tbl_IO_List[[#This Row],[Instruement Tag]]&amp;"_"&amp;tbl_IO_List[[#This Row],[I/O Type]]&amp;"_"&amp;tbl_IO_List[[#This Row],[IO-Point 
(Instruement)]]</f>
        <v>XV-40201A_DI_2</v>
      </c>
      <c r="U33" s="136" t="s">
        <v>8</v>
      </c>
      <c r="V33" s="136">
        <f>VLOOKUP(tbl_IO_List[[#This Row],[I/O Type]],tbl_Slot_Group[],2,FALSE)</f>
        <v>1</v>
      </c>
      <c r="W33" s="136">
        <v>2</v>
      </c>
      <c r="X33" s="136" t="str">
        <f>tbl_IO_List[[#This Row],[Chassis]]&amp;"S"&amp;TEXT(tbl_IO_List[[#This Row],[Slot]],"00")</f>
        <v>C1S04</v>
      </c>
      <c r="Y33" s="136" t="str">
        <f>tbl_IO_List[[#This Row],[Chassis]]&amp;"S"&amp;TEXT(tbl_IO_List[[#This Row],[Slot]],"00")&amp;tbl_IO_List[[#This Row],[I/O Type]]&amp;TEXT(tbl_IO_List[[#This Row],[Point]],"00")</f>
        <v>C1S04DI27</v>
      </c>
      <c r="Z33" s="136" t="str">
        <f>tbl_IO_List[[#This Row],[Chassis]]&amp;"S"&amp;TEXT(tbl_IO_List[[#This Row],[Slot]],"00")&amp;","&amp;TEXT(tbl_IO_List[[#This Row],[Point]],"00")</f>
        <v>C1S04,27</v>
      </c>
      <c r="AA33" s="136" t="str">
        <f>VLOOKUP(tbl_IO_List[[#This Row],[Column23]],tbl_RackConfig[],5,FALSE) &amp;"-"&amp;tbl_IO_List[[#This Row],[Point]]</f>
        <v>1756-IB32-27</v>
      </c>
      <c r="AB33" s="136"/>
      <c r="AC33" s="136" t="s">
        <v>1370</v>
      </c>
      <c r="AD33" s="136" t="str">
        <f>tbl_IO_List[[#This Row],[I/O Type]]</f>
        <v>DI</v>
      </c>
      <c r="AE33" s="136" t="s">
        <v>1332</v>
      </c>
      <c r="AF33" s="136">
        <v>4</v>
      </c>
      <c r="AG33" s="136">
        <v>27</v>
      </c>
      <c r="AH33" s="136">
        <v>28</v>
      </c>
      <c r="AI33" s="136">
        <v>30</v>
      </c>
      <c r="AJ33" s="136">
        <v>2</v>
      </c>
      <c r="AK33" s="136">
        <v>1</v>
      </c>
      <c r="AL33" s="136">
        <v>0</v>
      </c>
      <c r="AM33" s="136">
        <v>0</v>
      </c>
      <c r="AN33" s="136">
        <v>0</v>
      </c>
      <c r="AO33" s="136"/>
      <c r="AP33" s="143" t="str">
        <f>VLOOKUP(tbl_IO_List[[#This Row],[Instruement Tag]],tbl_Instruement_List[],14,FALSE)</f>
        <v>24 VDC energized</v>
      </c>
      <c r="AQ33" s="143" t="str">
        <f>tbl_IO_List[[#This Row],[Chassis]]&amp;"S"&amp;tbl_IO_List[[#This Row],[Slot]]&amp;"-"&amp;tbl_IO_List[[#This Row],[Front Terminal Number]]</f>
        <v>C1S4-30</v>
      </c>
      <c r="AR33" s="141" t="s">
        <v>1849</v>
      </c>
      <c r="AS33" s="136" t="str">
        <f>tbl_IO_List[[#This Row],[Terminal Tagging]]&amp;"-"&amp;tbl_IO_List[[#This Row],[Point-Count]]</f>
        <v>P1-TBDI1-28</v>
      </c>
      <c r="AT33" s="136" t="str">
        <f>tbl_IO_List[[#This Row],[Front Terminal Tagging]]&amp;"/"&amp;tbl_IO_List[[#This Row],[Terminal Tagging-Item]]</f>
        <v>C1S4-30/P1-TBDI1-28</v>
      </c>
      <c r="AU33" s="136" t="str">
        <f>tbl_IO_List[[#This Row],[Terminal Tagging-Item]]&amp;"/"&amp;tbl_IO_List[[#This Row],[Front Terminal Tagging]]</f>
        <v>P1-TBDI1-28/C1S4-30</v>
      </c>
    </row>
    <row r="34" spans="1:47" hidden="1">
      <c r="A34" s="147" t="s">
        <v>1369</v>
      </c>
      <c r="B34" s="136" t="s">
        <v>114</v>
      </c>
      <c r="C34" s="136" t="str">
        <f>tbl_IO_List[[#This Row],[Column3]]</f>
        <v>C1S04,28</v>
      </c>
      <c r="D34" s="136" t="str">
        <f>tbl_IO_List[[#This Row],[Card]]</f>
        <v>1756-IB32-28</v>
      </c>
      <c r="E34" s="136" t="s">
        <v>1372</v>
      </c>
      <c r="F34" s="136" t="str">
        <f>tbl_IO_List[[#This Row],[Column23]]&amp;"-" &amp;tbl_IO_List[[#This Row],[Column52]]</f>
        <v>C1S04-X2</v>
      </c>
      <c r="G34" s="136" t="str">
        <f>tbl_IO_List[[#This Row],[PLC_Tag]]</f>
        <v>XV-40201B_DI_1</v>
      </c>
      <c r="H34" s="136"/>
      <c r="I34" s="136" t="str">
        <f>VLOOKUP(tbl_IO_List[[#This Row],[Destination]],tbl_Junction[],2,FALSE)</f>
        <v>Infeed 2nd Floor</v>
      </c>
      <c r="J34" s="136" t="s">
        <v>114</v>
      </c>
      <c r="K34" s="136" t="s">
        <v>136</v>
      </c>
      <c r="L34" s="136" t="s">
        <v>152</v>
      </c>
      <c r="M34" s="136">
        <f>VLOOKUP(tbl_IO_List[[#This Row],[Instruement Tag]],tbl_Instruement_List[],2,FALSE)</f>
        <v>0</v>
      </c>
      <c r="N34" s="136" t="s">
        <v>15</v>
      </c>
      <c r="O34" s="136" t="s">
        <v>121</v>
      </c>
      <c r="P34" s="136" t="s">
        <v>137</v>
      </c>
      <c r="Q34" s="136" t="str">
        <f>VLOOKUP(tbl_IO_List[[#This Row],[Instruement Tag]],tbl_Instruement_List[],6,FALSE)</f>
        <v>Slurry feed-out pH Adjustment tank 1</v>
      </c>
      <c r="R34" s="136"/>
      <c r="S3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4" s="136" t="str">
        <f>tbl_IO_List[[#This Row],[Instruement Tag]]&amp;"_"&amp;tbl_IO_List[[#This Row],[I/O Type]]&amp;"_"&amp;tbl_IO_List[[#This Row],[IO-Point 
(Instruement)]]</f>
        <v>XV-40201B_DI_1</v>
      </c>
      <c r="U34" s="136" t="s">
        <v>8</v>
      </c>
      <c r="V34" s="136">
        <f>VLOOKUP(tbl_IO_List[[#This Row],[I/O Type]],tbl_Slot_Group[],2,FALSE)</f>
        <v>1</v>
      </c>
      <c r="W34" s="136">
        <v>1</v>
      </c>
      <c r="X34" s="136" t="str">
        <f>tbl_IO_List[[#This Row],[Chassis]]&amp;"S"&amp;TEXT(tbl_IO_List[[#This Row],[Slot]],"00")</f>
        <v>C1S04</v>
      </c>
      <c r="Y34" s="136" t="str">
        <f>tbl_IO_List[[#This Row],[Chassis]]&amp;"S"&amp;TEXT(tbl_IO_List[[#This Row],[Slot]],"00")&amp;tbl_IO_List[[#This Row],[I/O Type]]&amp;TEXT(tbl_IO_List[[#This Row],[Point]],"00")</f>
        <v>C1S04DI28</v>
      </c>
      <c r="Z34" s="136" t="str">
        <f>tbl_IO_List[[#This Row],[Chassis]]&amp;"S"&amp;TEXT(tbl_IO_List[[#This Row],[Slot]],"00")&amp;","&amp;TEXT(tbl_IO_List[[#This Row],[Point]],"00")</f>
        <v>C1S04,28</v>
      </c>
      <c r="AA34" s="136" t="str">
        <f>VLOOKUP(tbl_IO_List[[#This Row],[Column23]],tbl_RackConfig[],5,FALSE) &amp;"-"&amp;tbl_IO_List[[#This Row],[Point]]</f>
        <v>1756-IB32-28</v>
      </c>
      <c r="AB34" s="136"/>
      <c r="AC34" s="136" t="s">
        <v>1370</v>
      </c>
      <c r="AD34" s="136" t="str">
        <f>tbl_IO_List[[#This Row],[I/O Type]]</f>
        <v>DI</v>
      </c>
      <c r="AE34" s="136" t="s">
        <v>1332</v>
      </c>
      <c r="AF34" s="136">
        <v>4</v>
      </c>
      <c r="AG34" s="136">
        <v>28</v>
      </c>
      <c r="AH34" s="136">
        <v>29</v>
      </c>
      <c r="AI34" s="136">
        <v>31</v>
      </c>
      <c r="AJ34" s="136">
        <v>2</v>
      </c>
      <c r="AK34" s="136">
        <v>1</v>
      </c>
      <c r="AL34" s="136">
        <v>0</v>
      </c>
      <c r="AM34" s="136">
        <v>0</v>
      </c>
      <c r="AN34" s="136">
        <v>0</v>
      </c>
      <c r="AO34" s="136"/>
      <c r="AP34" s="143" t="str">
        <f>VLOOKUP(tbl_IO_List[[#This Row],[Instruement Tag]],tbl_Instruement_List[],14,FALSE)</f>
        <v>24 VDC energized</v>
      </c>
      <c r="AQ34" s="143" t="str">
        <f>tbl_IO_List[[#This Row],[Chassis]]&amp;"S"&amp;tbl_IO_List[[#This Row],[Slot]]&amp;"-"&amp;tbl_IO_List[[#This Row],[Front Terminal Number]]</f>
        <v>C1S4-31</v>
      </c>
      <c r="AR34" s="141" t="s">
        <v>1849</v>
      </c>
      <c r="AS34" s="136" t="str">
        <f>tbl_IO_List[[#This Row],[Terminal Tagging]]&amp;"-"&amp;tbl_IO_List[[#This Row],[Point-Count]]</f>
        <v>P1-TBDI1-29</v>
      </c>
      <c r="AT34" s="136" t="str">
        <f>tbl_IO_List[[#This Row],[Front Terminal Tagging]]&amp;"/"&amp;tbl_IO_List[[#This Row],[Terminal Tagging-Item]]</f>
        <v>C1S4-31/P1-TBDI1-29</v>
      </c>
      <c r="AU34" s="136" t="str">
        <f>tbl_IO_List[[#This Row],[Terminal Tagging-Item]]&amp;"/"&amp;tbl_IO_List[[#This Row],[Front Terminal Tagging]]</f>
        <v>P1-TBDI1-29/C1S4-31</v>
      </c>
    </row>
    <row r="35" spans="1:47" hidden="1">
      <c r="A35" s="147" t="s">
        <v>1369</v>
      </c>
      <c r="B35" s="136" t="s">
        <v>114</v>
      </c>
      <c r="C35" s="136" t="str">
        <f>tbl_IO_List[[#This Row],[Column3]]</f>
        <v>C1S04,29</v>
      </c>
      <c r="D35" s="136" t="str">
        <f>tbl_IO_List[[#This Row],[Card]]</f>
        <v>1756-IB32-29</v>
      </c>
      <c r="E35" s="136" t="s">
        <v>1372</v>
      </c>
      <c r="F35" s="136" t="str">
        <f>tbl_IO_List[[#This Row],[Column23]]&amp;"-" &amp;tbl_IO_List[[#This Row],[Column52]]</f>
        <v>C1S04-X2</v>
      </c>
      <c r="G35" s="136" t="str">
        <f>tbl_IO_List[[#This Row],[PLC_Tag]]</f>
        <v>XV-40201B_DI_2</v>
      </c>
      <c r="H35" s="136"/>
      <c r="I35" s="136" t="str">
        <f>VLOOKUP(tbl_IO_List[[#This Row],[Destination]],tbl_Junction[],2,FALSE)</f>
        <v>Infeed 2nd Floor</v>
      </c>
      <c r="J35" s="136" t="s">
        <v>114</v>
      </c>
      <c r="K35" s="136" t="s">
        <v>136</v>
      </c>
      <c r="L35" s="136" t="s">
        <v>152</v>
      </c>
      <c r="M35" s="136">
        <f>VLOOKUP(tbl_IO_List[[#This Row],[Instruement Tag]],tbl_Instruement_List[],2,FALSE)</f>
        <v>0</v>
      </c>
      <c r="N35" s="136" t="s">
        <v>15</v>
      </c>
      <c r="O35" s="136" t="s">
        <v>121</v>
      </c>
      <c r="P35" s="136" t="s">
        <v>137</v>
      </c>
      <c r="Q35" s="136" t="str">
        <f>VLOOKUP(tbl_IO_List[[#This Row],[Instruement Tag]],tbl_Instruement_List[],6,FALSE)</f>
        <v>Slurry feed-out pH Adjustment tank 1</v>
      </c>
      <c r="R35" s="136"/>
      <c r="S3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5" s="136" t="str">
        <f>tbl_IO_List[[#This Row],[Instruement Tag]]&amp;"_"&amp;tbl_IO_List[[#This Row],[I/O Type]]&amp;"_"&amp;tbl_IO_List[[#This Row],[IO-Point 
(Instruement)]]</f>
        <v>XV-40201B_DI_2</v>
      </c>
      <c r="U35" s="136" t="s">
        <v>8</v>
      </c>
      <c r="V35" s="136">
        <f>VLOOKUP(tbl_IO_List[[#This Row],[I/O Type]],tbl_Slot_Group[],2,FALSE)</f>
        <v>1</v>
      </c>
      <c r="W35" s="136">
        <v>2</v>
      </c>
      <c r="X35" s="136" t="str">
        <f>tbl_IO_List[[#This Row],[Chassis]]&amp;"S"&amp;TEXT(tbl_IO_List[[#This Row],[Slot]],"00")</f>
        <v>C1S04</v>
      </c>
      <c r="Y35" s="136" t="str">
        <f>tbl_IO_List[[#This Row],[Chassis]]&amp;"S"&amp;TEXT(tbl_IO_List[[#This Row],[Slot]],"00")&amp;tbl_IO_List[[#This Row],[I/O Type]]&amp;TEXT(tbl_IO_List[[#This Row],[Point]],"00")</f>
        <v>C1S04DI29</v>
      </c>
      <c r="Z35" s="136" t="str">
        <f>tbl_IO_List[[#This Row],[Chassis]]&amp;"S"&amp;TEXT(tbl_IO_List[[#This Row],[Slot]],"00")&amp;","&amp;TEXT(tbl_IO_List[[#This Row],[Point]],"00")</f>
        <v>C1S04,29</v>
      </c>
      <c r="AA35" s="136" t="str">
        <f>VLOOKUP(tbl_IO_List[[#This Row],[Column23]],tbl_RackConfig[],5,FALSE) &amp;"-"&amp;tbl_IO_List[[#This Row],[Point]]</f>
        <v>1756-IB32-29</v>
      </c>
      <c r="AB35" s="136"/>
      <c r="AC35" s="136" t="s">
        <v>1370</v>
      </c>
      <c r="AD35" s="136" t="str">
        <f>tbl_IO_List[[#This Row],[I/O Type]]</f>
        <v>DI</v>
      </c>
      <c r="AE35" s="136" t="s">
        <v>1332</v>
      </c>
      <c r="AF35" s="136">
        <v>4</v>
      </c>
      <c r="AG35" s="136">
        <v>29</v>
      </c>
      <c r="AH35" s="136">
        <v>30</v>
      </c>
      <c r="AI35" s="136">
        <v>32</v>
      </c>
      <c r="AJ35" s="136">
        <v>2</v>
      </c>
      <c r="AK35" s="136">
        <v>1</v>
      </c>
      <c r="AL35" s="136">
        <v>0</v>
      </c>
      <c r="AM35" s="136">
        <v>0</v>
      </c>
      <c r="AN35" s="136">
        <v>0</v>
      </c>
      <c r="AO35" s="136"/>
      <c r="AP35" s="143" t="str">
        <f>VLOOKUP(tbl_IO_List[[#This Row],[Instruement Tag]],tbl_Instruement_List[],14,FALSE)</f>
        <v>24 VDC energized</v>
      </c>
      <c r="AQ35" s="143" t="str">
        <f>tbl_IO_List[[#This Row],[Chassis]]&amp;"S"&amp;tbl_IO_List[[#This Row],[Slot]]&amp;"-"&amp;tbl_IO_List[[#This Row],[Front Terminal Number]]</f>
        <v>C1S4-32</v>
      </c>
      <c r="AR35" s="141" t="s">
        <v>1849</v>
      </c>
      <c r="AS35" s="136" t="str">
        <f>tbl_IO_List[[#This Row],[Terminal Tagging]]&amp;"-"&amp;tbl_IO_List[[#This Row],[Point-Count]]</f>
        <v>P1-TBDI1-30</v>
      </c>
      <c r="AT35" s="136" t="str">
        <f>tbl_IO_List[[#This Row],[Front Terminal Tagging]]&amp;"/"&amp;tbl_IO_List[[#This Row],[Terminal Tagging-Item]]</f>
        <v>C1S4-32/P1-TBDI1-30</v>
      </c>
      <c r="AU35" s="136" t="str">
        <f>tbl_IO_List[[#This Row],[Terminal Tagging-Item]]&amp;"/"&amp;tbl_IO_List[[#This Row],[Front Terminal Tagging]]</f>
        <v>P1-TBDI1-30/C1S4-32</v>
      </c>
    </row>
    <row r="36" spans="1:47" hidden="1">
      <c r="A36" s="147" t="s">
        <v>1369</v>
      </c>
      <c r="B36" s="136" t="s">
        <v>114</v>
      </c>
      <c r="C36" s="136" t="str">
        <f>tbl_IO_List[[#This Row],[Column3]]</f>
        <v>C1S04,30</v>
      </c>
      <c r="D36" s="136" t="str">
        <f>tbl_IO_List[[#This Row],[Card]]</f>
        <v>1756-IB32-30</v>
      </c>
      <c r="E36" s="136" t="s">
        <v>1372</v>
      </c>
      <c r="F36" s="136" t="str">
        <f>tbl_IO_List[[#This Row],[Column23]]&amp;"-" &amp;tbl_IO_List[[#This Row],[Column52]]</f>
        <v>C1S04-X2</v>
      </c>
      <c r="G36" s="136" t="str">
        <f>tbl_IO_List[[#This Row],[PLC_Tag]]</f>
        <v>XV-40201C_DI_1</v>
      </c>
      <c r="H36" s="136"/>
      <c r="I36" s="136" t="str">
        <f>VLOOKUP(tbl_IO_List[[#This Row],[Destination]],tbl_Junction[],2,FALSE)</f>
        <v>Infeed 2nd Floor</v>
      </c>
      <c r="J36" s="136" t="s">
        <v>114</v>
      </c>
      <c r="K36" s="136" t="s">
        <v>136</v>
      </c>
      <c r="L36" s="136" t="s">
        <v>153</v>
      </c>
      <c r="M36" s="136">
        <f>VLOOKUP(tbl_IO_List[[#This Row],[Instruement Tag]],tbl_Instruement_List[],2,FALSE)</f>
        <v>0</v>
      </c>
      <c r="N36" s="136" t="s">
        <v>15</v>
      </c>
      <c r="O36" s="136" t="s">
        <v>121</v>
      </c>
      <c r="P36" s="136" t="s">
        <v>137</v>
      </c>
      <c r="Q36" s="136" t="str">
        <f>VLOOKUP(tbl_IO_List[[#This Row],[Instruement Tag]],tbl_Instruement_List[],6,FALSE)</f>
        <v>Water washing line outlet pH Adjustment tank 1</v>
      </c>
      <c r="R36" s="136"/>
      <c r="S3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6" s="136" t="str">
        <f>tbl_IO_List[[#This Row],[Instruement Tag]]&amp;"_"&amp;tbl_IO_List[[#This Row],[I/O Type]]&amp;"_"&amp;tbl_IO_List[[#This Row],[IO-Point 
(Instruement)]]</f>
        <v>XV-40201C_DI_1</v>
      </c>
      <c r="U36" s="136" t="s">
        <v>8</v>
      </c>
      <c r="V36" s="136">
        <f>VLOOKUP(tbl_IO_List[[#This Row],[I/O Type]],tbl_Slot_Group[],2,FALSE)</f>
        <v>1</v>
      </c>
      <c r="W36" s="136">
        <v>1</v>
      </c>
      <c r="X36" s="136" t="str">
        <f>tbl_IO_List[[#This Row],[Chassis]]&amp;"S"&amp;TEXT(tbl_IO_List[[#This Row],[Slot]],"00")</f>
        <v>C1S04</v>
      </c>
      <c r="Y36" s="136" t="str">
        <f>tbl_IO_List[[#This Row],[Chassis]]&amp;"S"&amp;TEXT(tbl_IO_List[[#This Row],[Slot]],"00")&amp;tbl_IO_List[[#This Row],[I/O Type]]&amp;TEXT(tbl_IO_List[[#This Row],[Point]],"00")</f>
        <v>C1S04DI30</v>
      </c>
      <c r="Z36" s="136" t="str">
        <f>tbl_IO_List[[#This Row],[Chassis]]&amp;"S"&amp;TEXT(tbl_IO_List[[#This Row],[Slot]],"00")&amp;","&amp;TEXT(tbl_IO_List[[#This Row],[Point]],"00")</f>
        <v>C1S04,30</v>
      </c>
      <c r="AA36" s="136" t="str">
        <f>VLOOKUP(tbl_IO_List[[#This Row],[Column23]],tbl_RackConfig[],5,FALSE) &amp;"-"&amp;tbl_IO_List[[#This Row],[Point]]</f>
        <v>1756-IB32-30</v>
      </c>
      <c r="AB36" s="136"/>
      <c r="AC36" s="136" t="s">
        <v>1370</v>
      </c>
      <c r="AD36" s="136" t="str">
        <f>tbl_IO_List[[#This Row],[I/O Type]]</f>
        <v>DI</v>
      </c>
      <c r="AE36" s="136" t="s">
        <v>1332</v>
      </c>
      <c r="AF36" s="136">
        <v>4</v>
      </c>
      <c r="AG36" s="136">
        <v>30</v>
      </c>
      <c r="AH36" s="136">
        <v>31</v>
      </c>
      <c r="AI36" s="136">
        <v>33</v>
      </c>
      <c r="AJ36" s="136">
        <v>2</v>
      </c>
      <c r="AK36" s="136">
        <v>1</v>
      </c>
      <c r="AL36" s="136">
        <v>0</v>
      </c>
      <c r="AM36" s="136">
        <v>0</v>
      </c>
      <c r="AN36" s="136">
        <v>0</v>
      </c>
      <c r="AO36" s="136"/>
      <c r="AP36" s="143" t="str">
        <f>VLOOKUP(tbl_IO_List[[#This Row],[Instruement Tag]],tbl_Instruement_List[],14,FALSE)</f>
        <v>24 VDC energized</v>
      </c>
      <c r="AQ36" s="143" t="str">
        <f>tbl_IO_List[[#This Row],[Chassis]]&amp;"S"&amp;tbl_IO_List[[#This Row],[Slot]]&amp;"-"&amp;tbl_IO_List[[#This Row],[Front Terminal Number]]</f>
        <v>C1S4-33</v>
      </c>
      <c r="AR36" s="141" t="s">
        <v>1849</v>
      </c>
      <c r="AS36" s="136" t="str">
        <f>tbl_IO_List[[#This Row],[Terminal Tagging]]&amp;"-"&amp;tbl_IO_List[[#This Row],[Point-Count]]</f>
        <v>P1-TBDI1-31</v>
      </c>
      <c r="AT36" s="136" t="str">
        <f>tbl_IO_List[[#This Row],[Front Terminal Tagging]]&amp;"/"&amp;tbl_IO_List[[#This Row],[Terminal Tagging-Item]]</f>
        <v>C1S4-33/P1-TBDI1-31</v>
      </c>
      <c r="AU36" s="136" t="str">
        <f>tbl_IO_List[[#This Row],[Terminal Tagging-Item]]&amp;"/"&amp;tbl_IO_List[[#This Row],[Front Terminal Tagging]]</f>
        <v>P1-TBDI1-31/C1S4-33</v>
      </c>
    </row>
    <row r="37" spans="1:47" hidden="1">
      <c r="A37" s="147" t="s">
        <v>1369</v>
      </c>
      <c r="B37" s="136" t="s">
        <v>114</v>
      </c>
      <c r="C37" s="136" t="str">
        <f>tbl_IO_List[[#This Row],[Column3]]</f>
        <v>C1S04,31</v>
      </c>
      <c r="D37" s="136" t="str">
        <f>tbl_IO_List[[#This Row],[Card]]</f>
        <v>1756-IB32-31</v>
      </c>
      <c r="E37" s="136" t="s">
        <v>1372</v>
      </c>
      <c r="F37" s="136" t="str">
        <f>tbl_IO_List[[#This Row],[Column23]]&amp;"-" &amp;tbl_IO_List[[#This Row],[Column52]]</f>
        <v>C1S04-X2</v>
      </c>
      <c r="G37" s="136" t="str">
        <f>tbl_IO_List[[#This Row],[PLC_Tag]]</f>
        <v>XV-40201C_DI_2</v>
      </c>
      <c r="H37" s="136"/>
      <c r="I37" s="136" t="str">
        <f>VLOOKUP(tbl_IO_List[[#This Row],[Destination]],tbl_Junction[],2,FALSE)</f>
        <v>Infeed 2nd Floor</v>
      </c>
      <c r="J37" s="136" t="s">
        <v>114</v>
      </c>
      <c r="K37" s="136" t="s">
        <v>136</v>
      </c>
      <c r="L37" s="136" t="s">
        <v>153</v>
      </c>
      <c r="M37" s="136">
        <f>VLOOKUP(tbl_IO_List[[#This Row],[Instruement Tag]],tbl_Instruement_List[],2,FALSE)</f>
        <v>0</v>
      </c>
      <c r="N37" s="136" t="s">
        <v>15</v>
      </c>
      <c r="O37" s="136" t="s">
        <v>121</v>
      </c>
      <c r="P37" s="136" t="s">
        <v>137</v>
      </c>
      <c r="Q37" s="136" t="str">
        <f>VLOOKUP(tbl_IO_List[[#This Row],[Instruement Tag]],tbl_Instruement_List[],6,FALSE)</f>
        <v>Water washing line outlet pH Adjustment tank 1</v>
      </c>
      <c r="R37" s="136"/>
      <c r="S3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7" s="136" t="str">
        <f>tbl_IO_List[[#This Row],[Instruement Tag]]&amp;"_"&amp;tbl_IO_List[[#This Row],[I/O Type]]&amp;"_"&amp;tbl_IO_List[[#This Row],[IO-Point 
(Instruement)]]</f>
        <v>XV-40201C_DI_2</v>
      </c>
      <c r="U37" s="136" t="s">
        <v>8</v>
      </c>
      <c r="V37" s="136">
        <f>VLOOKUP(tbl_IO_List[[#This Row],[I/O Type]],tbl_Slot_Group[],2,FALSE)</f>
        <v>1</v>
      </c>
      <c r="W37" s="136">
        <v>2</v>
      </c>
      <c r="X37" s="136" t="str">
        <f>tbl_IO_List[[#This Row],[Chassis]]&amp;"S"&amp;TEXT(tbl_IO_List[[#This Row],[Slot]],"00")</f>
        <v>C1S04</v>
      </c>
      <c r="Y37" s="136" t="str">
        <f>tbl_IO_List[[#This Row],[Chassis]]&amp;"S"&amp;TEXT(tbl_IO_List[[#This Row],[Slot]],"00")&amp;tbl_IO_List[[#This Row],[I/O Type]]&amp;TEXT(tbl_IO_List[[#This Row],[Point]],"00")</f>
        <v>C1S04DI31</v>
      </c>
      <c r="Z37" s="136" t="str">
        <f>tbl_IO_List[[#This Row],[Chassis]]&amp;"S"&amp;TEXT(tbl_IO_List[[#This Row],[Slot]],"00")&amp;","&amp;TEXT(tbl_IO_List[[#This Row],[Point]],"00")</f>
        <v>C1S04,31</v>
      </c>
      <c r="AA37" s="136" t="str">
        <f>VLOOKUP(tbl_IO_List[[#This Row],[Column23]],tbl_RackConfig[],5,FALSE) &amp;"-"&amp;tbl_IO_List[[#This Row],[Point]]</f>
        <v>1756-IB32-31</v>
      </c>
      <c r="AB37" s="136"/>
      <c r="AC37" s="136" t="s">
        <v>1370</v>
      </c>
      <c r="AD37" s="136" t="str">
        <f>tbl_IO_List[[#This Row],[I/O Type]]</f>
        <v>DI</v>
      </c>
      <c r="AE37" s="136" t="s">
        <v>1332</v>
      </c>
      <c r="AF37" s="136">
        <v>4</v>
      </c>
      <c r="AG37" s="136">
        <v>31</v>
      </c>
      <c r="AH37" s="136">
        <v>32</v>
      </c>
      <c r="AI37" s="136">
        <v>34</v>
      </c>
      <c r="AJ37" s="136">
        <v>2</v>
      </c>
      <c r="AK37" s="136">
        <v>1</v>
      </c>
      <c r="AL37" s="136">
        <v>0</v>
      </c>
      <c r="AM37" s="136">
        <v>0</v>
      </c>
      <c r="AN37" s="136">
        <v>0</v>
      </c>
      <c r="AO37" s="136"/>
      <c r="AP37" s="143" t="str">
        <f>VLOOKUP(tbl_IO_List[[#This Row],[Instruement Tag]],tbl_Instruement_List[],14,FALSE)</f>
        <v>24 VDC energized</v>
      </c>
      <c r="AQ37" s="143" t="str">
        <f>tbl_IO_List[[#This Row],[Chassis]]&amp;"S"&amp;tbl_IO_List[[#This Row],[Slot]]&amp;"-"&amp;tbl_IO_List[[#This Row],[Front Terminal Number]]</f>
        <v>C1S4-34</v>
      </c>
      <c r="AR37" s="141" t="s">
        <v>1849</v>
      </c>
      <c r="AS37" s="136" t="str">
        <f>tbl_IO_List[[#This Row],[Terminal Tagging]]&amp;"-"&amp;tbl_IO_List[[#This Row],[Point-Count]]</f>
        <v>P1-TBDI1-32</v>
      </c>
      <c r="AT37" s="136" t="str">
        <f>tbl_IO_List[[#This Row],[Front Terminal Tagging]]&amp;"/"&amp;tbl_IO_List[[#This Row],[Terminal Tagging-Item]]</f>
        <v>C1S4-34/P1-TBDI1-32</v>
      </c>
      <c r="AU37" s="136" t="str">
        <f>tbl_IO_List[[#This Row],[Terminal Tagging-Item]]&amp;"/"&amp;tbl_IO_List[[#This Row],[Front Terminal Tagging]]</f>
        <v>P1-TBDI1-32/C1S4-34</v>
      </c>
    </row>
    <row r="38" spans="1:47" hidden="1">
      <c r="A38" s="147" t="s">
        <v>1369</v>
      </c>
      <c r="B38" s="136" t="s">
        <v>114</v>
      </c>
      <c r="C38" s="136" t="str">
        <f>tbl_IO_List[[#This Row],[Column3]]</f>
        <v>C1S05,00</v>
      </c>
      <c r="D38" s="136" t="str">
        <f>tbl_IO_List[[#This Row],[Card]]</f>
        <v>1756-IB32-0</v>
      </c>
      <c r="E38" s="136" t="s">
        <v>1366</v>
      </c>
      <c r="F38" s="136" t="str">
        <f>tbl_IO_List[[#This Row],[Column23]]&amp;"-" &amp;tbl_IO_List[[#This Row],[Column52]]</f>
        <v>C1S05-X1</v>
      </c>
      <c r="G38" s="136" t="str">
        <f>tbl_IO_List[[#This Row],[PLC_Tag]]</f>
        <v>XV-40201D_DI_1</v>
      </c>
      <c r="H38" s="136"/>
      <c r="I38" s="136" t="str">
        <f>VLOOKUP(tbl_IO_List[[#This Row],[Destination]],tbl_Junction[],2,FALSE)</f>
        <v>Infeed 2nd Floor</v>
      </c>
      <c r="J38" s="136" t="s">
        <v>114</v>
      </c>
      <c r="K38" s="136" t="s">
        <v>136</v>
      </c>
      <c r="L38" s="136" t="s">
        <v>154</v>
      </c>
      <c r="M38" s="136">
        <f>VLOOKUP(tbl_IO_List[[#This Row],[Instruement Tag]],tbl_Instruement_List[],2,FALSE)</f>
        <v>0</v>
      </c>
      <c r="N38" s="136" t="s">
        <v>15</v>
      </c>
      <c r="O38" s="136" t="s">
        <v>121</v>
      </c>
      <c r="P38" s="136" t="s">
        <v>137</v>
      </c>
      <c r="Q38" s="136" t="str">
        <f>VLOOKUP(tbl_IO_List[[#This Row],[Instruement Tag]],tbl_Instruement_List[],6,FALSE)</f>
        <v>Slurry circulation pH Adjustment tank 1</v>
      </c>
      <c r="R38" s="136"/>
      <c r="S3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8" s="136" t="str">
        <f>tbl_IO_List[[#This Row],[Instruement Tag]]&amp;"_"&amp;tbl_IO_List[[#This Row],[I/O Type]]&amp;"_"&amp;tbl_IO_List[[#This Row],[IO-Point 
(Instruement)]]</f>
        <v>XV-40201D_DI_1</v>
      </c>
      <c r="U38" s="136" t="s">
        <v>8</v>
      </c>
      <c r="V38" s="136">
        <f>VLOOKUP(tbl_IO_List[[#This Row],[I/O Type]],tbl_Slot_Group[],2,FALSE)</f>
        <v>1</v>
      </c>
      <c r="W38" s="136">
        <v>1</v>
      </c>
      <c r="X38" s="136" t="str">
        <f>tbl_IO_List[[#This Row],[Chassis]]&amp;"S"&amp;TEXT(tbl_IO_List[[#This Row],[Slot]],"00")</f>
        <v>C1S05</v>
      </c>
      <c r="Y38" s="136" t="str">
        <f>tbl_IO_List[[#This Row],[Chassis]]&amp;"S"&amp;TEXT(tbl_IO_List[[#This Row],[Slot]],"00")&amp;tbl_IO_List[[#This Row],[I/O Type]]&amp;TEXT(tbl_IO_List[[#This Row],[Point]],"00")</f>
        <v>C1S05DI00</v>
      </c>
      <c r="Z38" s="136" t="str">
        <f>tbl_IO_List[[#This Row],[Chassis]]&amp;"S"&amp;TEXT(tbl_IO_List[[#This Row],[Slot]],"00")&amp;","&amp;TEXT(tbl_IO_List[[#This Row],[Point]],"00")</f>
        <v>C1S05,00</v>
      </c>
      <c r="AA38" s="136" t="str">
        <f>VLOOKUP(tbl_IO_List[[#This Row],[Column23]],tbl_RackConfig[],5,FALSE) &amp;"-"&amp;tbl_IO_List[[#This Row],[Point]]</f>
        <v>1756-IB32-0</v>
      </c>
      <c r="AB38" s="136"/>
      <c r="AC38" s="136" t="s">
        <v>1370</v>
      </c>
      <c r="AD38" s="136" t="str">
        <f>tbl_IO_List[[#This Row],[I/O Type]]</f>
        <v>DI</v>
      </c>
      <c r="AE38" s="136" t="s">
        <v>1332</v>
      </c>
      <c r="AF38" s="136">
        <v>5</v>
      </c>
      <c r="AG38" s="136">
        <v>0</v>
      </c>
      <c r="AH38" s="136">
        <v>1</v>
      </c>
      <c r="AI38" s="136">
        <v>1</v>
      </c>
      <c r="AJ38" s="136">
        <v>2</v>
      </c>
      <c r="AK38" s="136">
        <v>1</v>
      </c>
      <c r="AL38" s="136">
        <v>0</v>
      </c>
      <c r="AM38" s="136">
        <v>0</v>
      </c>
      <c r="AN38" s="136">
        <v>0</v>
      </c>
      <c r="AO38" s="136"/>
      <c r="AP38" s="143" t="str">
        <f>VLOOKUP(tbl_IO_List[[#This Row],[Instruement Tag]],tbl_Instruement_List[],14,FALSE)</f>
        <v>24 VDC energized</v>
      </c>
      <c r="AQ38" s="143" t="str">
        <f>tbl_IO_List[[#This Row],[Chassis]]&amp;"S"&amp;tbl_IO_List[[#This Row],[Slot]]&amp;"-"&amp;tbl_IO_List[[#This Row],[Front Terminal Number]]</f>
        <v>C1S5-1</v>
      </c>
      <c r="AR38" s="141" t="s">
        <v>1850</v>
      </c>
      <c r="AS38" s="136" t="str">
        <f>tbl_IO_List[[#This Row],[Terminal Tagging]]&amp;"-"&amp;tbl_IO_List[[#This Row],[Point-Count]]</f>
        <v>P1-TBDI2-1</v>
      </c>
      <c r="AT38" s="136" t="str">
        <f>tbl_IO_List[[#This Row],[Front Terminal Tagging]]&amp;"/"&amp;tbl_IO_List[[#This Row],[Terminal Tagging-Item]]</f>
        <v>C1S5-1/P1-TBDI2-1</v>
      </c>
      <c r="AU38" s="136" t="str">
        <f>tbl_IO_List[[#This Row],[Terminal Tagging-Item]]&amp;"/"&amp;tbl_IO_List[[#This Row],[Front Terminal Tagging]]</f>
        <v>P1-TBDI2-1/C1S5-1</v>
      </c>
    </row>
    <row r="39" spans="1:47" hidden="1">
      <c r="A39" s="147" t="s">
        <v>1369</v>
      </c>
      <c r="B39" s="136" t="s">
        <v>114</v>
      </c>
      <c r="C39" s="136" t="str">
        <f>tbl_IO_List[[#This Row],[Column3]]</f>
        <v>C1S05,01</v>
      </c>
      <c r="D39" s="136" t="str">
        <f>tbl_IO_List[[#This Row],[Card]]</f>
        <v>1756-IB32-1</v>
      </c>
      <c r="E39" s="136" t="s">
        <v>1366</v>
      </c>
      <c r="F39" s="136" t="str">
        <f>tbl_IO_List[[#This Row],[Column23]]&amp;"-" &amp;tbl_IO_List[[#This Row],[Column52]]</f>
        <v>C1S05-X1</v>
      </c>
      <c r="G39" s="136" t="str">
        <f>tbl_IO_List[[#This Row],[PLC_Tag]]</f>
        <v>XV-40201D_DI_2</v>
      </c>
      <c r="H39" s="136"/>
      <c r="I39" s="136" t="str">
        <f>VLOOKUP(tbl_IO_List[[#This Row],[Destination]],tbl_Junction[],2,FALSE)</f>
        <v>Infeed 2nd Floor</v>
      </c>
      <c r="J39" s="136" t="s">
        <v>114</v>
      </c>
      <c r="K39" s="136" t="s">
        <v>136</v>
      </c>
      <c r="L39" s="136" t="s">
        <v>154</v>
      </c>
      <c r="M39" s="136">
        <f>VLOOKUP(tbl_IO_List[[#This Row],[Instruement Tag]],tbl_Instruement_List[],2,FALSE)</f>
        <v>0</v>
      </c>
      <c r="N39" s="136" t="s">
        <v>15</v>
      </c>
      <c r="O39" s="136" t="s">
        <v>121</v>
      </c>
      <c r="P39" s="136" t="s">
        <v>137</v>
      </c>
      <c r="Q39" s="136" t="str">
        <f>VLOOKUP(tbl_IO_List[[#This Row],[Instruement Tag]],tbl_Instruement_List[],6,FALSE)</f>
        <v>Slurry circulation pH Adjustment tank 1</v>
      </c>
      <c r="R39" s="136"/>
      <c r="S3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9" s="136" t="str">
        <f>tbl_IO_List[[#This Row],[Instruement Tag]]&amp;"_"&amp;tbl_IO_List[[#This Row],[I/O Type]]&amp;"_"&amp;tbl_IO_List[[#This Row],[IO-Point 
(Instruement)]]</f>
        <v>XV-40201D_DI_2</v>
      </c>
      <c r="U39" s="136" t="s">
        <v>8</v>
      </c>
      <c r="V39" s="136">
        <f>VLOOKUP(tbl_IO_List[[#This Row],[I/O Type]],tbl_Slot_Group[],2,FALSE)</f>
        <v>1</v>
      </c>
      <c r="W39" s="136">
        <v>2</v>
      </c>
      <c r="X39" s="136" t="str">
        <f>tbl_IO_List[[#This Row],[Chassis]]&amp;"S"&amp;TEXT(tbl_IO_List[[#This Row],[Slot]],"00")</f>
        <v>C1S05</v>
      </c>
      <c r="Y39" s="136" t="str">
        <f>tbl_IO_List[[#This Row],[Chassis]]&amp;"S"&amp;TEXT(tbl_IO_List[[#This Row],[Slot]],"00")&amp;tbl_IO_List[[#This Row],[I/O Type]]&amp;TEXT(tbl_IO_List[[#This Row],[Point]],"00")</f>
        <v>C1S05DI01</v>
      </c>
      <c r="Z39" s="136" t="str">
        <f>tbl_IO_List[[#This Row],[Chassis]]&amp;"S"&amp;TEXT(tbl_IO_List[[#This Row],[Slot]],"00")&amp;","&amp;TEXT(tbl_IO_List[[#This Row],[Point]],"00")</f>
        <v>C1S05,01</v>
      </c>
      <c r="AA39" s="136" t="str">
        <f>VLOOKUP(tbl_IO_List[[#This Row],[Column23]],tbl_RackConfig[],5,FALSE) &amp;"-"&amp;tbl_IO_List[[#This Row],[Point]]</f>
        <v>1756-IB32-1</v>
      </c>
      <c r="AB39" s="136"/>
      <c r="AC39" s="136" t="s">
        <v>1370</v>
      </c>
      <c r="AD39" s="136" t="str">
        <f>tbl_IO_List[[#This Row],[I/O Type]]</f>
        <v>DI</v>
      </c>
      <c r="AE39" s="136" t="s">
        <v>1332</v>
      </c>
      <c r="AF39" s="136">
        <v>5</v>
      </c>
      <c r="AG39" s="136">
        <v>1</v>
      </c>
      <c r="AH39" s="136">
        <v>2</v>
      </c>
      <c r="AI39" s="136">
        <v>2</v>
      </c>
      <c r="AJ39" s="136">
        <v>2</v>
      </c>
      <c r="AK39" s="136">
        <v>1</v>
      </c>
      <c r="AL39" s="136">
        <v>0</v>
      </c>
      <c r="AM39" s="136">
        <v>0</v>
      </c>
      <c r="AN39" s="136">
        <v>0</v>
      </c>
      <c r="AO39" s="136"/>
      <c r="AP39" s="143" t="str">
        <f>VLOOKUP(tbl_IO_List[[#This Row],[Instruement Tag]],tbl_Instruement_List[],14,FALSE)</f>
        <v>24 VDC energized</v>
      </c>
      <c r="AQ39" s="143" t="str">
        <f>tbl_IO_List[[#This Row],[Chassis]]&amp;"S"&amp;tbl_IO_List[[#This Row],[Slot]]&amp;"-"&amp;tbl_IO_List[[#This Row],[Front Terminal Number]]</f>
        <v>C1S5-2</v>
      </c>
      <c r="AR39" s="141" t="s">
        <v>1850</v>
      </c>
      <c r="AS39" s="136" t="str">
        <f>tbl_IO_List[[#This Row],[Terminal Tagging]]&amp;"-"&amp;tbl_IO_List[[#This Row],[Point-Count]]</f>
        <v>P1-TBDI2-2</v>
      </c>
      <c r="AT39" s="136" t="str">
        <f>tbl_IO_List[[#This Row],[Front Terminal Tagging]]&amp;"/"&amp;tbl_IO_List[[#This Row],[Terminal Tagging-Item]]</f>
        <v>C1S5-2/P1-TBDI2-2</v>
      </c>
      <c r="AU39" s="136" t="str">
        <f>tbl_IO_List[[#This Row],[Terminal Tagging-Item]]&amp;"/"&amp;tbl_IO_List[[#This Row],[Front Terminal Tagging]]</f>
        <v>P1-TBDI2-2/C1S5-2</v>
      </c>
    </row>
    <row r="40" spans="1:47" hidden="1">
      <c r="A40" s="147" t="s">
        <v>1369</v>
      </c>
      <c r="B40" s="136" t="s">
        <v>114</v>
      </c>
      <c r="C40" s="136" t="str">
        <f>tbl_IO_List[[#This Row],[Column3]]</f>
        <v>C1S05,02</v>
      </c>
      <c r="D40" s="136" t="str">
        <f>tbl_IO_List[[#This Row],[Card]]</f>
        <v>1756-IB32-2</v>
      </c>
      <c r="E40" s="136" t="s">
        <v>1366</v>
      </c>
      <c r="F40" s="136" t="str">
        <f>tbl_IO_List[[#This Row],[Column23]]&amp;"-" &amp;tbl_IO_List[[#This Row],[Column52]]</f>
        <v>C1S05-X1</v>
      </c>
      <c r="G40" s="136" t="str">
        <f>tbl_IO_List[[#This Row],[PLC_Tag]]</f>
        <v>XV-40201E_DI_1</v>
      </c>
      <c r="H40" s="136"/>
      <c r="I40" s="136" t="str">
        <f>VLOOKUP(tbl_IO_List[[#This Row],[Destination]],tbl_Junction[],2,FALSE)</f>
        <v>Infeed 2nd Floor</v>
      </c>
      <c r="J40" s="136" t="s">
        <v>114</v>
      </c>
      <c r="K40" s="136" t="s">
        <v>136</v>
      </c>
      <c r="L40" s="136" t="s">
        <v>155</v>
      </c>
      <c r="M40" s="136">
        <f>VLOOKUP(tbl_IO_List[[#This Row],[Instruement Tag]],tbl_Instruement_List[],2,FALSE)</f>
        <v>0</v>
      </c>
      <c r="N40" s="136" t="s">
        <v>15</v>
      </c>
      <c r="O40" s="136" t="s">
        <v>121</v>
      </c>
      <c r="P40" s="136" t="s">
        <v>137</v>
      </c>
      <c r="Q40" s="136" t="str">
        <f>VLOOKUP(tbl_IO_List[[#This Row],[Instruement Tag]],tbl_Instruement_List[],6,FALSE)</f>
        <v>Slurry pH Adjustment tank 1 transfer to pH Adjustment tank 2</v>
      </c>
      <c r="R40" s="136"/>
      <c r="S4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40" s="136" t="str">
        <f>tbl_IO_List[[#This Row],[Instruement Tag]]&amp;"_"&amp;tbl_IO_List[[#This Row],[I/O Type]]&amp;"_"&amp;tbl_IO_List[[#This Row],[IO-Point 
(Instruement)]]</f>
        <v>XV-40201E_DI_1</v>
      </c>
      <c r="U40" s="136" t="s">
        <v>8</v>
      </c>
      <c r="V40" s="136">
        <f>VLOOKUP(tbl_IO_List[[#This Row],[I/O Type]],tbl_Slot_Group[],2,FALSE)</f>
        <v>1</v>
      </c>
      <c r="W40" s="136">
        <v>1</v>
      </c>
      <c r="X40" s="136" t="str">
        <f>tbl_IO_List[[#This Row],[Chassis]]&amp;"S"&amp;TEXT(tbl_IO_List[[#This Row],[Slot]],"00")</f>
        <v>C1S05</v>
      </c>
      <c r="Y40" s="136" t="str">
        <f>tbl_IO_List[[#This Row],[Chassis]]&amp;"S"&amp;TEXT(tbl_IO_List[[#This Row],[Slot]],"00")&amp;tbl_IO_List[[#This Row],[I/O Type]]&amp;TEXT(tbl_IO_List[[#This Row],[Point]],"00")</f>
        <v>C1S05DI02</v>
      </c>
      <c r="Z40" s="136" t="str">
        <f>tbl_IO_List[[#This Row],[Chassis]]&amp;"S"&amp;TEXT(tbl_IO_List[[#This Row],[Slot]],"00")&amp;","&amp;TEXT(tbl_IO_List[[#This Row],[Point]],"00")</f>
        <v>C1S05,02</v>
      </c>
      <c r="AA40" s="136" t="str">
        <f>VLOOKUP(tbl_IO_List[[#This Row],[Column23]],tbl_RackConfig[],5,FALSE) &amp;"-"&amp;tbl_IO_List[[#This Row],[Point]]</f>
        <v>1756-IB32-2</v>
      </c>
      <c r="AB40" s="136"/>
      <c r="AC40" s="136" t="s">
        <v>1370</v>
      </c>
      <c r="AD40" s="136" t="str">
        <f>tbl_IO_List[[#This Row],[I/O Type]]</f>
        <v>DI</v>
      </c>
      <c r="AE40" s="136" t="s">
        <v>1332</v>
      </c>
      <c r="AF40" s="136">
        <v>5</v>
      </c>
      <c r="AG40" s="136">
        <v>2</v>
      </c>
      <c r="AH40" s="136">
        <v>3</v>
      </c>
      <c r="AI40" s="136">
        <v>3</v>
      </c>
      <c r="AJ40" s="136">
        <v>2</v>
      </c>
      <c r="AK40" s="136">
        <v>1</v>
      </c>
      <c r="AL40" s="136">
        <v>0</v>
      </c>
      <c r="AM40" s="136">
        <v>0</v>
      </c>
      <c r="AN40" s="136">
        <v>0</v>
      </c>
      <c r="AO40" s="136"/>
      <c r="AP40" s="143" t="str">
        <f>VLOOKUP(tbl_IO_List[[#This Row],[Instruement Tag]],tbl_Instruement_List[],14,FALSE)</f>
        <v>24 VDC energized</v>
      </c>
      <c r="AQ40" s="143" t="str">
        <f>tbl_IO_List[[#This Row],[Chassis]]&amp;"S"&amp;tbl_IO_List[[#This Row],[Slot]]&amp;"-"&amp;tbl_IO_List[[#This Row],[Front Terminal Number]]</f>
        <v>C1S5-3</v>
      </c>
      <c r="AR40" s="141" t="s">
        <v>1850</v>
      </c>
      <c r="AS40" s="136" t="str">
        <f>tbl_IO_List[[#This Row],[Terminal Tagging]]&amp;"-"&amp;tbl_IO_List[[#This Row],[Point-Count]]</f>
        <v>P1-TBDI2-3</v>
      </c>
      <c r="AT40" s="136" t="str">
        <f>tbl_IO_List[[#This Row],[Front Terminal Tagging]]&amp;"/"&amp;tbl_IO_List[[#This Row],[Terminal Tagging-Item]]</f>
        <v>C1S5-3/P1-TBDI2-3</v>
      </c>
      <c r="AU40" s="136" t="str">
        <f>tbl_IO_List[[#This Row],[Terminal Tagging-Item]]&amp;"/"&amp;tbl_IO_List[[#This Row],[Front Terminal Tagging]]</f>
        <v>P1-TBDI2-3/C1S5-3</v>
      </c>
    </row>
    <row r="41" spans="1:47" hidden="1">
      <c r="A41" s="147" t="s">
        <v>1369</v>
      </c>
      <c r="B41" s="136" t="s">
        <v>114</v>
      </c>
      <c r="C41" s="136" t="str">
        <f>tbl_IO_List[[#This Row],[Column3]]</f>
        <v>C1S05,03</v>
      </c>
      <c r="D41" s="136" t="str">
        <f>tbl_IO_List[[#This Row],[Card]]</f>
        <v>1756-IB32-3</v>
      </c>
      <c r="E41" s="136" t="s">
        <v>1366</v>
      </c>
      <c r="F41" s="136" t="str">
        <f>tbl_IO_List[[#This Row],[Column23]]&amp;"-" &amp;tbl_IO_List[[#This Row],[Column52]]</f>
        <v>C1S05-X1</v>
      </c>
      <c r="G41" s="136" t="str">
        <f>tbl_IO_List[[#This Row],[PLC_Tag]]</f>
        <v>XV-40201E_DI_2</v>
      </c>
      <c r="H41" s="136"/>
      <c r="I41" s="136" t="str">
        <f>VLOOKUP(tbl_IO_List[[#This Row],[Destination]],tbl_Junction[],2,FALSE)</f>
        <v>Infeed 2nd Floor</v>
      </c>
      <c r="J41" s="136" t="s">
        <v>114</v>
      </c>
      <c r="K41" s="136" t="s">
        <v>136</v>
      </c>
      <c r="L41" s="136" t="s">
        <v>155</v>
      </c>
      <c r="M41" s="136">
        <f>VLOOKUP(tbl_IO_List[[#This Row],[Instruement Tag]],tbl_Instruement_List[],2,FALSE)</f>
        <v>0</v>
      </c>
      <c r="N41" s="136" t="s">
        <v>15</v>
      </c>
      <c r="O41" s="136" t="s">
        <v>121</v>
      </c>
      <c r="P41" s="136" t="s">
        <v>137</v>
      </c>
      <c r="Q41" s="136" t="str">
        <f>VLOOKUP(tbl_IO_List[[#This Row],[Instruement Tag]],tbl_Instruement_List[],6,FALSE)</f>
        <v>Slurry pH Adjustment tank 1 transfer to pH Adjustment tank 2</v>
      </c>
      <c r="R41" s="136"/>
      <c r="S4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41" s="136" t="str">
        <f>tbl_IO_List[[#This Row],[Instruement Tag]]&amp;"_"&amp;tbl_IO_List[[#This Row],[I/O Type]]&amp;"_"&amp;tbl_IO_List[[#This Row],[IO-Point 
(Instruement)]]</f>
        <v>XV-40201E_DI_2</v>
      </c>
      <c r="U41" s="136" t="s">
        <v>8</v>
      </c>
      <c r="V41" s="136">
        <f>VLOOKUP(tbl_IO_List[[#This Row],[I/O Type]],tbl_Slot_Group[],2,FALSE)</f>
        <v>1</v>
      </c>
      <c r="W41" s="136">
        <v>2</v>
      </c>
      <c r="X41" s="136" t="str">
        <f>tbl_IO_List[[#This Row],[Chassis]]&amp;"S"&amp;TEXT(tbl_IO_List[[#This Row],[Slot]],"00")</f>
        <v>C1S05</v>
      </c>
      <c r="Y41" s="136" t="str">
        <f>tbl_IO_List[[#This Row],[Chassis]]&amp;"S"&amp;TEXT(tbl_IO_List[[#This Row],[Slot]],"00")&amp;tbl_IO_List[[#This Row],[I/O Type]]&amp;TEXT(tbl_IO_List[[#This Row],[Point]],"00")</f>
        <v>C1S05DI03</v>
      </c>
      <c r="Z41" s="136" t="str">
        <f>tbl_IO_List[[#This Row],[Chassis]]&amp;"S"&amp;TEXT(tbl_IO_List[[#This Row],[Slot]],"00")&amp;","&amp;TEXT(tbl_IO_List[[#This Row],[Point]],"00")</f>
        <v>C1S05,03</v>
      </c>
      <c r="AA41" s="136" t="str">
        <f>VLOOKUP(tbl_IO_List[[#This Row],[Column23]],tbl_RackConfig[],5,FALSE) &amp;"-"&amp;tbl_IO_List[[#This Row],[Point]]</f>
        <v>1756-IB32-3</v>
      </c>
      <c r="AB41" s="136"/>
      <c r="AC41" s="136" t="s">
        <v>1370</v>
      </c>
      <c r="AD41" s="136" t="str">
        <f>tbl_IO_List[[#This Row],[I/O Type]]</f>
        <v>DI</v>
      </c>
      <c r="AE41" s="136" t="s">
        <v>1332</v>
      </c>
      <c r="AF41" s="136">
        <v>5</v>
      </c>
      <c r="AG41" s="136">
        <v>3</v>
      </c>
      <c r="AH41" s="136">
        <v>4</v>
      </c>
      <c r="AI41" s="136">
        <v>4</v>
      </c>
      <c r="AJ41" s="136">
        <v>2</v>
      </c>
      <c r="AK41" s="136">
        <v>1</v>
      </c>
      <c r="AL41" s="136">
        <v>0</v>
      </c>
      <c r="AM41" s="136">
        <v>0</v>
      </c>
      <c r="AN41" s="136">
        <v>0</v>
      </c>
      <c r="AO41" s="136"/>
      <c r="AP41" s="143" t="str">
        <f>VLOOKUP(tbl_IO_List[[#This Row],[Instruement Tag]],tbl_Instruement_List[],14,FALSE)</f>
        <v>24 VDC energized</v>
      </c>
      <c r="AQ41" s="143" t="str">
        <f>tbl_IO_List[[#This Row],[Chassis]]&amp;"S"&amp;tbl_IO_List[[#This Row],[Slot]]&amp;"-"&amp;tbl_IO_List[[#This Row],[Front Terminal Number]]</f>
        <v>C1S5-4</v>
      </c>
      <c r="AR41" s="141" t="s">
        <v>1850</v>
      </c>
      <c r="AS41" s="136" t="str">
        <f>tbl_IO_List[[#This Row],[Terminal Tagging]]&amp;"-"&amp;tbl_IO_List[[#This Row],[Point-Count]]</f>
        <v>P1-TBDI2-4</v>
      </c>
      <c r="AT41" s="136" t="str">
        <f>tbl_IO_List[[#This Row],[Front Terminal Tagging]]&amp;"/"&amp;tbl_IO_List[[#This Row],[Terminal Tagging-Item]]</f>
        <v>C1S5-4/P1-TBDI2-4</v>
      </c>
      <c r="AU41" s="136" t="str">
        <f>tbl_IO_List[[#This Row],[Terminal Tagging-Item]]&amp;"/"&amp;tbl_IO_List[[#This Row],[Front Terminal Tagging]]</f>
        <v>P1-TBDI2-4/C1S5-4</v>
      </c>
    </row>
    <row r="42" spans="1:47" hidden="1">
      <c r="A42" s="147" t="s">
        <v>1369</v>
      </c>
      <c r="B42" s="136" t="s">
        <v>114</v>
      </c>
      <c r="C42" s="136" t="str">
        <f>tbl_IO_List[[#This Row],[Column3]]</f>
        <v>C1S05,04</v>
      </c>
      <c r="D42" s="136" t="str">
        <f>tbl_IO_List[[#This Row],[Card]]</f>
        <v>1756-IB32-4</v>
      </c>
      <c r="E42" s="136" t="s">
        <v>1366</v>
      </c>
      <c r="F42" s="136" t="str">
        <f>tbl_IO_List[[#This Row],[Column23]]&amp;"-" &amp;tbl_IO_List[[#This Row],[Column52]]</f>
        <v>C1S05-X1</v>
      </c>
      <c r="G42" s="136" t="str">
        <f>tbl_IO_List[[#This Row],[PLC_Tag]]</f>
        <v>XV-40201F_DI_1</v>
      </c>
      <c r="H42" s="136"/>
      <c r="I42" s="136" t="str">
        <f>VLOOKUP(tbl_IO_List[[#This Row],[Destination]],tbl_Junction[],2,FALSE)</f>
        <v>Infeed 2nd Floor</v>
      </c>
      <c r="J42" s="136" t="s">
        <v>114</v>
      </c>
      <c r="K42" s="136" t="s">
        <v>136</v>
      </c>
      <c r="L42" s="136" t="s">
        <v>156</v>
      </c>
      <c r="M42" s="136">
        <f>VLOOKUP(tbl_IO_List[[#This Row],[Instruement Tag]],tbl_Instruement_List[],2,FALSE)</f>
        <v>0</v>
      </c>
      <c r="N42" s="136" t="s">
        <v>15</v>
      </c>
      <c r="O42" s="136" t="s">
        <v>121</v>
      </c>
      <c r="P42" s="136" t="s">
        <v>137</v>
      </c>
      <c r="Q42" s="136" t="str">
        <f>VLOOKUP(tbl_IO_List[[#This Row],[Instruement Tag]],tbl_Instruement_List[],6,FALSE)</f>
        <v>Slurry feed-to spray dry tank</v>
      </c>
      <c r="R42" s="136"/>
      <c r="S4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42" s="136" t="str">
        <f>tbl_IO_List[[#This Row],[Instruement Tag]]&amp;"_"&amp;tbl_IO_List[[#This Row],[I/O Type]]&amp;"_"&amp;tbl_IO_List[[#This Row],[IO-Point 
(Instruement)]]</f>
        <v>XV-40201F_DI_1</v>
      </c>
      <c r="U42" s="136" t="s">
        <v>8</v>
      </c>
      <c r="V42" s="136">
        <f>VLOOKUP(tbl_IO_List[[#This Row],[I/O Type]],tbl_Slot_Group[],2,FALSE)</f>
        <v>1</v>
      </c>
      <c r="W42" s="136">
        <v>1</v>
      </c>
      <c r="X42" s="136" t="str">
        <f>tbl_IO_List[[#This Row],[Chassis]]&amp;"S"&amp;TEXT(tbl_IO_List[[#This Row],[Slot]],"00")</f>
        <v>C1S05</v>
      </c>
      <c r="Y42" s="136" t="str">
        <f>tbl_IO_List[[#This Row],[Chassis]]&amp;"S"&amp;TEXT(tbl_IO_List[[#This Row],[Slot]],"00")&amp;tbl_IO_List[[#This Row],[I/O Type]]&amp;TEXT(tbl_IO_List[[#This Row],[Point]],"00")</f>
        <v>C1S05DI04</v>
      </c>
      <c r="Z42" s="136" t="str">
        <f>tbl_IO_List[[#This Row],[Chassis]]&amp;"S"&amp;TEXT(tbl_IO_List[[#This Row],[Slot]],"00")&amp;","&amp;TEXT(tbl_IO_List[[#This Row],[Point]],"00")</f>
        <v>C1S05,04</v>
      </c>
      <c r="AA42" s="136" t="str">
        <f>VLOOKUP(tbl_IO_List[[#This Row],[Column23]],tbl_RackConfig[],5,FALSE) &amp;"-"&amp;tbl_IO_List[[#This Row],[Point]]</f>
        <v>1756-IB32-4</v>
      </c>
      <c r="AB42" s="136"/>
      <c r="AC42" s="136" t="s">
        <v>1370</v>
      </c>
      <c r="AD42" s="136" t="str">
        <f>tbl_IO_List[[#This Row],[I/O Type]]</f>
        <v>DI</v>
      </c>
      <c r="AE42" s="136" t="s">
        <v>1332</v>
      </c>
      <c r="AF42" s="136">
        <v>5</v>
      </c>
      <c r="AG42" s="136">
        <v>4</v>
      </c>
      <c r="AH42" s="136">
        <v>5</v>
      </c>
      <c r="AI42" s="136">
        <v>5</v>
      </c>
      <c r="AJ42" s="136">
        <v>2</v>
      </c>
      <c r="AK42" s="136">
        <v>1</v>
      </c>
      <c r="AL42" s="136">
        <v>0</v>
      </c>
      <c r="AM42" s="136">
        <v>0</v>
      </c>
      <c r="AN42" s="136">
        <v>0</v>
      </c>
      <c r="AO42" s="136"/>
      <c r="AP42" s="143" t="str">
        <f>VLOOKUP(tbl_IO_List[[#This Row],[Instruement Tag]],tbl_Instruement_List[],14,FALSE)</f>
        <v>24 VDC energized</v>
      </c>
      <c r="AQ42" s="143" t="str">
        <f>tbl_IO_List[[#This Row],[Chassis]]&amp;"S"&amp;tbl_IO_List[[#This Row],[Slot]]&amp;"-"&amp;tbl_IO_List[[#This Row],[Front Terminal Number]]</f>
        <v>C1S5-5</v>
      </c>
      <c r="AR42" s="141" t="s">
        <v>1850</v>
      </c>
      <c r="AS42" s="136" t="str">
        <f>tbl_IO_List[[#This Row],[Terminal Tagging]]&amp;"-"&amp;tbl_IO_List[[#This Row],[Point-Count]]</f>
        <v>P1-TBDI2-5</v>
      </c>
      <c r="AT42" s="136" t="str">
        <f>tbl_IO_List[[#This Row],[Front Terminal Tagging]]&amp;"/"&amp;tbl_IO_List[[#This Row],[Terminal Tagging-Item]]</f>
        <v>C1S5-5/P1-TBDI2-5</v>
      </c>
      <c r="AU42" s="136" t="str">
        <f>tbl_IO_List[[#This Row],[Terminal Tagging-Item]]&amp;"/"&amp;tbl_IO_List[[#This Row],[Front Terminal Tagging]]</f>
        <v>P1-TBDI2-5/C1S5-5</v>
      </c>
    </row>
    <row r="43" spans="1:47" hidden="1">
      <c r="A43" s="147" t="s">
        <v>1369</v>
      </c>
      <c r="B43" s="136" t="s">
        <v>114</v>
      </c>
      <c r="C43" s="136" t="str">
        <f>tbl_IO_List[[#This Row],[Column3]]</f>
        <v>C1S05,05</v>
      </c>
      <c r="D43" s="136" t="str">
        <f>tbl_IO_List[[#This Row],[Card]]</f>
        <v>1756-IB32-5</v>
      </c>
      <c r="E43" s="136" t="s">
        <v>1366</v>
      </c>
      <c r="F43" s="136" t="str">
        <f>tbl_IO_List[[#This Row],[Column23]]&amp;"-" &amp;tbl_IO_List[[#This Row],[Column52]]</f>
        <v>C1S05-X1</v>
      </c>
      <c r="G43" s="136" t="str">
        <f>tbl_IO_List[[#This Row],[PLC_Tag]]</f>
        <v>XV-40201F_DI_2</v>
      </c>
      <c r="H43" s="136"/>
      <c r="I43" s="136" t="str">
        <f>VLOOKUP(tbl_IO_List[[#This Row],[Destination]],tbl_Junction[],2,FALSE)</f>
        <v>Infeed 2nd Floor</v>
      </c>
      <c r="J43" s="136" t="s">
        <v>114</v>
      </c>
      <c r="K43" s="136" t="s">
        <v>136</v>
      </c>
      <c r="L43" s="136" t="s">
        <v>156</v>
      </c>
      <c r="M43" s="136">
        <f>VLOOKUP(tbl_IO_List[[#This Row],[Instruement Tag]],tbl_Instruement_List[],2,FALSE)</f>
        <v>0</v>
      </c>
      <c r="N43" s="136" t="s">
        <v>15</v>
      </c>
      <c r="O43" s="136" t="s">
        <v>121</v>
      </c>
      <c r="P43" s="136" t="s">
        <v>137</v>
      </c>
      <c r="Q43" s="136" t="str">
        <f>VLOOKUP(tbl_IO_List[[#This Row],[Instruement Tag]],tbl_Instruement_List[],6,FALSE)</f>
        <v>Slurry feed-to spray dry tank</v>
      </c>
      <c r="R43" s="136"/>
      <c r="S4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43" s="136" t="str">
        <f>tbl_IO_List[[#This Row],[Instruement Tag]]&amp;"_"&amp;tbl_IO_List[[#This Row],[I/O Type]]&amp;"_"&amp;tbl_IO_List[[#This Row],[IO-Point 
(Instruement)]]</f>
        <v>XV-40201F_DI_2</v>
      </c>
      <c r="U43" s="136" t="s">
        <v>8</v>
      </c>
      <c r="V43" s="136">
        <f>VLOOKUP(tbl_IO_List[[#This Row],[I/O Type]],tbl_Slot_Group[],2,FALSE)</f>
        <v>1</v>
      </c>
      <c r="W43" s="136">
        <v>2</v>
      </c>
      <c r="X43" s="136" t="str">
        <f>tbl_IO_List[[#This Row],[Chassis]]&amp;"S"&amp;TEXT(tbl_IO_List[[#This Row],[Slot]],"00")</f>
        <v>C1S05</v>
      </c>
      <c r="Y43" s="136" t="str">
        <f>tbl_IO_List[[#This Row],[Chassis]]&amp;"S"&amp;TEXT(tbl_IO_List[[#This Row],[Slot]],"00")&amp;tbl_IO_List[[#This Row],[I/O Type]]&amp;TEXT(tbl_IO_List[[#This Row],[Point]],"00")</f>
        <v>C1S05DI05</v>
      </c>
      <c r="Z43" s="136" t="str">
        <f>tbl_IO_List[[#This Row],[Chassis]]&amp;"S"&amp;TEXT(tbl_IO_List[[#This Row],[Slot]],"00")&amp;","&amp;TEXT(tbl_IO_List[[#This Row],[Point]],"00")</f>
        <v>C1S05,05</v>
      </c>
      <c r="AA43" s="136" t="str">
        <f>VLOOKUP(tbl_IO_List[[#This Row],[Column23]],tbl_RackConfig[],5,FALSE) &amp;"-"&amp;tbl_IO_List[[#This Row],[Point]]</f>
        <v>1756-IB32-5</v>
      </c>
      <c r="AB43" s="136"/>
      <c r="AC43" s="136" t="s">
        <v>1370</v>
      </c>
      <c r="AD43" s="136" t="str">
        <f>tbl_IO_List[[#This Row],[I/O Type]]</f>
        <v>DI</v>
      </c>
      <c r="AE43" s="136" t="s">
        <v>1332</v>
      </c>
      <c r="AF43" s="136">
        <v>5</v>
      </c>
      <c r="AG43" s="136">
        <v>5</v>
      </c>
      <c r="AH43" s="136">
        <v>6</v>
      </c>
      <c r="AI43" s="136">
        <v>6</v>
      </c>
      <c r="AJ43" s="136">
        <v>2</v>
      </c>
      <c r="AK43" s="136">
        <v>1</v>
      </c>
      <c r="AL43" s="136">
        <v>0</v>
      </c>
      <c r="AM43" s="136">
        <v>0</v>
      </c>
      <c r="AN43" s="136">
        <v>0</v>
      </c>
      <c r="AO43" s="136"/>
      <c r="AP43" s="143" t="str">
        <f>VLOOKUP(tbl_IO_List[[#This Row],[Instruement Tag]],tbl_Instruement_List[],14,FALSE)</f>
        <v>24 VDC energized</v>
      </c>
      <c r="AQ43" s="143" t="str">
        <f>tbl_IO_List[[#This Row],[Chassis]]&amp;"S"&amp;tbl_IO_List[[#This Row],[Slot]]&amp;"-"&amp;tbl_IO_List[[#This Row],[Front Terminal Number]]</f>
        <v>C1S5-6</v>
      </c>
      <c r="AR43" s="141" t="s">
        <v>1850</v>
      </c>
      <c r="AS43" s="136" t="str">
        <f>tbl_IO_List[[#This Row],[Terminal Tagging]]&amp;"-"&amp;tbl_IO_List[[#This Row],[Point-Count]]</f>
        <v>P1-TBDI2-6</v>
      </c>
      <c r="AT43" s="136" t="str">
        <f>tbl_IO_List[[#This Row],[Front Terminal Tagging]]&amp;"/"&amp;tbl_IO_List[[#This Row],[Terminal Tagging-Item]]</f>
        <v>C1S5-6/P1-TBDI2-6</v>
      </c>
      <c r="AU43" s="136" t="str">
        <f>tbl_IO_List[[#This Row],[Terminal Tagging-Item]]&amp;"/"&amp;tbl_IO_List[[#This Row],[Front Terminal Tagging]]</f>
        <v>P1-TBDI2-6/C1S5-6</v>
      </c>
    </row>
    <row r="44" spans="1:47" hidden="1">
      <c r="A44" s="147" t="s">
        <v>1369</v>
      </c>
      <c r="B44" s="136" t="s">
        <v>114</v>
      </c>
      <c r="C44" s="136" t="str">
        <f>tbl_IO_List[[#This Row],[Column3]]</f>
        <v>C1S05,06</v>
      </c>
      <c r="D44" s="136" t="str">
        <f>tbl_IO_List[[#This Row],[Card]]</f>
        <v>1756-IB32-6</v>
      </c>
      <c r="E44" s="136" t="s">
        <v>1366</v>
      </c>
      <c r="F44" s="136" t="str">
        <f>tbl_IO_List[[#This Row],[Column23]]&amp;"-" &amp;tbl_IO_List[[#This Row],[Column52]]</f>
        <v>C1S05-X1</v>
      </c>
      <c r="G44" s="136" t="str">
        <f>tbl_IO_List[[#This Row],[PLC_Tag]]</f>
        <v>XV-40201G_DI_1</v>
      </c>
      <c r="H44" s="136"/>
      <c r="I44" s="136" t="str">
        <f>VLOOKUP(tbl_IO_List[[#This Row],[Destination]],tbl_Junction[],2,FALSE)</f>
        <v>Infeed 2nd Floor</v>
      </c>
      <c r="J44" s="136" t="s">
        <v>114</v>
      </c>
      <c r="K44" s="136" t="s">
        <v>136</v>
      </c>
      <c r="L44" s="136" t="s">
        <v>157</v>
      </c>
      <c r="M44" s="136">
        <f>VLOOKUP(tbl_IO_List[[#This Row],[Instruement Tag]],tbl_Instruement_List[],2,FALSE)</f>
        <v>0</v>
      </c>
      <c r="N44" s="136" t="s">
        <v>15</v>
      </c>
      <c r="O44" s="136" t="s">
        <v>121</v>
      </c>
      <c r="P44" s="136" t="s">
        <v>137</v>
      </c>
      <c r="Q44" s="136" t="str">
        <f>VLOOKUP(tbl_IO_List[[#This Row],[Instruement Tag]],tbl_Instruement_List[],6,FALSE)</f>
        <v>CIP water washing pH Adjustment tank 1</v>
      </c>
      <c r="R44" s="136"/>
      <c r="S4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44" s="136" t="str">
        <f>tbl_IO_List[[#This Row],[Instruement Tag]]&amp;"_"&amp;tbl_IO_List[[#This Row],[I/O Type]]&amp;"_"&amp;tbl_IO_List[[#This Row],[IO-Point 
(Instruement)]]</f>
        <v>XV-40201G_DI_1</v>
      </c>
      <c r="U44" s="136" t="s">
        <v>8</v>
      </c>
      <c r="V44" s="136">
        <f>VLOOKUP(tbl_IO_List[[#This Row],[I/O Type]],tbl_Slot_Group[],2,FALSE)</f>
        <v>1</v>
      </c>
      <c r="W44" s="136">
        <v>1</v>
      </c>
      <c r="X44" s="136" t="str">
        <f>tbl_IO_List[[#This Row],[Chassis]]&amp;"S"&amp;TEXT(tbl_IO_List[[#This Row],[Slot]],"00")</f>
        <v>C1S05</v>
      </c>
      <c r="Y44" s="136" t="str">
        <f>tbl_IO_List[[#This Row],[Chassis]]&amp;"S"&amp;TEXT(tbl_IO_List[[#This Row],[Slot]],"00")&amp;tbl_IO_List[[#This Row],[I/O Type]]&amp;TEXT(tbl_IO_List[[#This Row],[Point]],"00")</f>
        <v>C1S05DI06</v>
      </c>
      <c r="Z44" s="136" t="str">
        <f>tbl_IO_List[[#This Row],[Chassis]]&amp;"S"&amp;TEXT(tbl_IO_List[[#This Row],[Slot]],"00")&amp;","&amp;TEXT(tbl_IO_List[[#This Row],[Point]],"00")</f>
        <v>C1S05,06</v>
      </c>
      <c r="AA44" s="136" t="str">
        <f>VLOOKUP(tbl_IO_List[[#This Row],[Column23]],tbl_RackConfig[],5,FALSE) &amp;"-"&amp;tbl_IO_List[[#This Row],[Point]]</f>
        <v>1756-IB32-6</v>
      </c>
      <c r="AB44" s="136"/>
      <c r="AC44" s="136" t="s">
        <v>1370</v>
      </c>
      <c r="AD44" s="136" t="str">
        <f>tbl_IO_List[[#This Row],[I/O Type]]</f>
        <v>DI</v>
      </c>
      <c r="AE44" s="136" t="s">
        <v>1332</v>
      </c>
      <c r="AF44" s="136">
        <v>5</v>
      </c>
      <c r="AG44" s="136">
        <v>6</v>
      </c>
      <c r="AH44" s="136">
        <v>7</v>
      </c>
      <c r="AI44" s="136">
        <v>7</v>
      </c>
      <c r="AJ44" s="136">
        <v>2</v>
      </c>
      <c r="AK44" s="136">
        <v>1</v>
      </c>
      <c r="AL44" s="136">
        <v>0</v>
      </c>
      <c r="AM44" s="136">
        <v>0</v>
      </c>
      <c r="AN44" s="136">
        <v>0</v>
      </c>
      <c r="AO44" s="136"/>
      <c r="AP44" s="143" t="str">
        <f>VLOOKUP(tbl_IO_List[[#This Row],[Instruement Tag]],tbl_Instruement_List[],14,FALSE)</f>
        <v>24 VDC energized</v>
      </c>
      <c r="AQ44" s="143" t="str">
        <f>tbl_IO_List[[#This Row],[Chassis]]&amp;"S"&amp;tbl_IO_List[[#This Row],[Slot]]&amp;"-"&amp;tbl_IO_List[[#This Row],[Front Terminal Number]]</f>
        <v>C1S5-7</v>
      </c>
      <c r="AR44" s="141" t="s">
        <v>1850</v>
      </c>
      <c r="AS44" s="136" t="str">
        <f>tbl_IO_List[[#This Row],[Terminal Tagging]]&amp;"-"&amp;tbl_IO_List[[#This Row],[Point-Count]]</f>
        <v>P1-TBDI2-7</v>
      </c>
      <c r="AT44" s="136" t="str">
        <f>tbl_IO_List[[#This Row],[Front Terminal Tagging]]&amp;"/"&amp;tbl_IO_List[[#This Row],[Terminal Tagging-Item]]</f>
        <v>C1S5-7/P1-TBDI2-7</v>
      </c>
      <c r="AU44" s="136" t="str">
        <f>tbl_IO_List[[#This Row],[Terminal Tagging-Item]]&amp;"/"&amp;tbl_IO_List[[#This Row],[Front Terminal Tagging]]</f>
        <v>P1-TBDI2-7/C1S5-7</v>
      </c>
    </row>
    <row r="45" spans="1:47" hidden="1">
      <c r="A45" s="147" t="s">
        <v>1369</v>
      </c>
      <c r="B45" s="136" t="s">
        <v>114</v>
      </c>
      <c r="C45" s="136" t="str">
        <f>tbl_IO_List[[#This Row],[Column3]]</f>
        <v>C1S05,07</v>
      </c>
      <c r="D45" s="136" t="str">
        <f>tbl_IO_List[[#This Row],[Card]]</f>
        <v>1756-IB32-7</v>
      </c>
      <c r="E45" s="136" t="s">
        <v>1366</v>
      </c>
      <c r="F45" s="136" t="str">
        <f>tbl_IO_List[[#This Row],[Column23]]&amp;"-" &amp;tbl_IO_List[[#This Row],[Column52]]</f>
        <v>C1S05-X1</v>
      </c>
      <c r="G45" s="136" t="str">
        <f>tbl_IO_List[[#This Row],[PLC_Tag]]</f>
        <v>XV-40201G_DI_2</v>
      </c>
      <c r="H45" s="136"/>
      <c r="I45" s="136" t="str">
        <f>VLOOKUP(tbl_IO_List[[#This Row],[Destination]],tbl_Junction[],2,FALSE)</f>
        <v>Infeed 2nd Floor</v>
      </c>
      <c r="J45" s="136" t="s">
        <v>114</v>
      </c>
      <c r="K45" s="136" t="s">
        <v>136</v>
      </c>
      <c r="L45" s="136" t="s">
        <v>157</v>
      </c>
      <c r="M45" s="136">
        <f>VLOOKUP(tbl_IO_List[[#This Row],[Instruement Tag]],tbl_Instruement_List[],2,FALSE)</f>
        <v>0</v>
      </c>
      <c r="N45" s="136" t="s">
        <v>15</v>
      </c>
      <c r="O45" s="136" t="s">
        <v>121</v>
      </c>
      <c r="P45" s="136" t="s">
        <v>137</v>
      </c>
      <c r="Q45" s="136" t="str">
        <f>VLOOKUP(tbl_IO_List[[#This Row],[Instruement Tag]],tbl_Instruement_List[],6,FALSE)</f>
        <v>CIP water washing pH Adjustment tank 1</v>
      </c>
      <c r="R45" s="136"/>
      <c r="S4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45" s="136" t="str">
        <f>tbl_IO_List[[#This Row],[Instruement Tag]]&amp;"_"&amp;tbl_IO_List[[#This Row],[I/O Type]]&amp;"_"&amp;tbl_IO_List[[#This Row],[IO-Point 
(Instruement)]]</f>
        <v>XV-40201G_DI_2</v>
      </c>
      <c r="U45" s="136" t="s">
        <v>8</v>
      </c>
      <c r="V45" s="136">
        <f>VLOOKUP(tbl_IO_List[[#This Row],[I/O Type]],tbl_Slot_Group[],2,FALSE)</f>
        <v>1</v>
      </c>
      <c r="W45" s="136">
        <v>2</v>
      </c>
      <c r="X45" s="136" t="str">
        <f>tbl_IO_List[[#This Row],[Chassis]]&amp;"S"&amp;TEXT(tbl_IO_List[[#This Row],[Slot]],"00")</f>
        <v>C1S05</v>
      </c>
      <c r="Y45" s="136" t="str">
        <f>tbl_IO_List[[#This Row],[Chassis]]&amp;"S"&amp;TEXT(tbl_IO_List[[#This Row],[Slot]],"00")&amp;tbl_IO_List[[#This Row],[I/O Type]]&amp;TEXT(tbl_IO_List[[#This Row],[Point]],"00")</f>
        <v>C1S05DI07</v>
      </c>
      <c r="Z45" s="136" t="str">
        <f>tbl_IO_List[[#This Row],[Chassis]]&amp;"S"&amp;TEXT(tbl_IO_List[[#This Row],[Slot]],"00")&amp;","&amp;TEXT(tbl_IO_List[[#This Row],[Point]],"00")</f>
        <v>C1S05,07</v>
      </c>
      <c r="AA45" s="136" t="str">
        <f>VLOOKUP(tbl_IO_List[[#This Row],[Column23]],tbl_RackConfig[],5,FALSE) &amp;"-"&amp;tbl_IO_List[[#This Row],[Point]]</f>
        <v>1756-IB32-7</v>
      </c>
      <c r="AB45" s="136"/>
      <c r="AC45" s="136" t="s">
        <v>1370</v>
      </c>
      <c r="AD45" s="136" t="str">
        <f>tbl_IO_List[[#This Row],[I/O Type]]</f>
        <v>DI</v>
      </c>
      <c r="AE45" s="136" t="s">
        <v>1332</v>
      </c>
      <c r="AF45" s="136">
        <v>5</v>
      </c>
      <c r="AG45" s="136">
        <v>7</v>
      </c>
      <c r="AH45" s="136">
        <v>8</v>
      </c>
      <c r="AI45" s="136">
        <v>8</v>
      </c>
      <c r="AJ45" s="136">
        <v>2</v>
      </c>
      <c r="AK45" s="136">
        <v>1</v>
      </c>
      <c r="AL45" s="136">
        <v>0</v>
      </c>
      <c r="AM45" s="136">
        <v>0</v>
      </c>
      <c r="AN45" s="136">
        <v>0</v>
      </c>
      <c r="AO45" s="136"/>
      <c r="AP45" s="143" t="str">
        <f>VLOOKUP(tbl_IO_List[[#This Row],[Instruement Tag]],tbl_Instruement_List[],14,FALSE)</f>
        <v>24 VDC energized</v>
      </c>
      <c r="AQ45" s="143" t="str">
        <f>tbl_IO_List[[#This Row],[Chassis]]&amp;"S"&amp;tbl_IO_List[[#This Row],[Slot]]&amp;"-"&amp;tbl_IO_List[[#This Row],[Front Terminal Number]]</f>
        <v>C1S5-8</v>
      </c>
      <c r="AR45" s="141" t="s">
        <v>1850</v>
      </c>
      <c r="AS45" s="136" t="str">
        <f>tbl_IO_List[[#This Row],[Terminal Tagging]]&amp;"-"&amp;tbl_IO_List[[#This Row],[Point-Count]]</f>
        <v>P1-TBDI2-8</v>
      </c>
      <c r="AT45" s="136" t="str">
        <f>tbl_IO_List[[#This Row],[Front Terminal Tagging]]&amp;"/"&amp;tbl_IO_List[[#This Row],[Terminal Tagging-Item]]</f>
        <v>C1S5-8/P1-TBDI2-8</v>
      </c>
      <c r="AU45" s="136" t="str">
        <f>tbl_IO_List[[#This Row],[Terminal Tagging-Item]]&amp;"/"&amp;tbl_IO_List[[#This Row],[Front Terminal Tagging]]</f>
        <v>P1-TBDI2-8/C1S5-8</v>
      </c>
    </row>
    <row r="46" spans="1:47" hidden="1">
      <c r="A46" s="147" t="s">
        <v>1369</v>
      </c>
      <c r="B46" s="136" t="s">
        <v>114</v>
      </c>
      <c r="C46" s="136" t="str">
        <f>tbl_IO_List[[#This Row],[Column3]]</f>
        <v>C1S05,08</v>
      </c>
      <c r="D46" s="136" t="str">
        <f>tbl_IO_List[[#This Row],[Card]]</f>
        <v>1756-IB32-8</v>
      </c>
      <c r="E46" s="136" t="s">
        <v>1366</v>
      </c>
      <c r="F46" s="136" t="str">
        <f>tbl_IO_List[[#This Row],[Column23]]&amp;"-" &amp;tbl_IO_List[[#This Row],[Column52]]</f>
        <v>C1S05-X1</v>
      </c>
      <c r="G46" s="136" t="str">
        <f>tbl_IO_List[[#This Row],[PLC_Tag]]</f>
        <v>XV-40201H_DI_1</v>
      </c>
      <c r="H46" s="136"/>
      <c r="I46" s="136" t="str">
        <f>VLOOKUP(tbl_IO_List[[#This Row],[Destination]],tbl_Junction[],2,FALSE)</f>
        <v>Infeed 2nd Floor</v>
      </c>
      <c r="J46" s="136" t="s">
        <v>114</v>
      </c>
      <c r="K46" s="136" t="s">
        <v>136</v>
      </c>
      <c r="L46" s="136" t="s">
        <v>158</v>
      </c>
      <c r="M46" s="136">
        <f>VLOOKUP(tbl_IO_List[[#This Row],[Instruement Tag]],tbl_Instruement_List[],2,FALSE)</f>
        <v>0</v>
      </c>
      <c r="N46" s="136" t="s">
        <v>15</v>
      </c>
      <c r="O46" s="136" t="s">
        <v>121</v>
      </c>
      <c r="P46" s="136" t="s">
        <v>137</v>
      </c>
      <c r="Q46" s="136" t="str">
        <f>VLOOKUP(tbl_IO_List[[#This Row],[Instruement Tag]],tbl_Instruement_List[],6,FALSE)</f>
        <v>CIP Hight pressure water washing pH Adjustment tank 1</v>
      </c>
      <c r="R46" s="136"/>
      <c r="S4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46" s="136" t="str">
        <f>tbl_IO_List[[#This Row],[Instruement Tag]]&amp;"_"&amp;tbl_IO_List[[#This Row],[I/O Type]]&amp;"_"&amp;tbl_IO_List[[#This Row],[IO-Point 
(Instruement)]]</f>
        <v>XV-40201H_DI_1</v>
      </c>
      <c r="U46" s="136" t="s">
        <v>8</v>
      </c>
      <c r="V46" s="136">
        <f>VLOOKUP(tbl_IO_List[[#This Row],[I/O Type]],tbl_Slot_Group[],2,FALSE)</f>
        <v>1</v>
      </c>
      <c r="W46" s="136">
        <v>1</v>
      </c>
      <c r="X46" s="136" t="str">
        <f>tbl_IO_List[[#This Row],[Chassis]]&amp;"S"&amp;TEXT(tbl_IO_List[[#This Row],[Slot]],"00")</f>
        <v>C1S05</v>
      </c>
      <c r="Y46" s="136" t="str">
        <f>tbl_IO_List[[#This Row],[Chassis]]&amp;"S"&amp;TEXT(tbl_IO_List[[#This Row],[Slot]],"00")&amp;tbl_IO_List[[#This Row],[I/O Type]]&amp;TEXT(tbl_IO_List[[#This Row],[Point]],"00")</f>
        <v>C1S05DI08</v>
      </c>
      <c r="Z46" s="136" t="str">
        <f>tbl_IO_List[[#This Row],[Chassis]]&amp;"S"&amp;TEXT(tbl_IO_List[[#This Row],[Slot]],"00")&amp;","&amp;TEXT(tbl_IO_List[[#This Row],[Point]],"00")</f>
        <v>C1S05,08</v>
      </c>
      <c r="AA46" s="136" t="str">
        <f>VLOOKUP(tbl_IO_List[[#This Row],[Column23]],tbl_RackConfig[],5,FALSE) &amp;"-"&amp;tbl_IO_List[[#This Row],[Point]]</f>
        <v>1756-IB32-8</v>
      </c>
      <c r="AB46" s="136"/>
      <c r="AC46" s="136" t="s">
        <v>1370</v>
      </c>
      <c r="AD46" s="136" t="str">
        <f>tbl_IO_List[[#This Row],[I/O Type]]</f>
        <v>DI</v>
      </c>
      <c r="AE46" s="136" t="s">
        <v>1332</v>
      </c>
      <c r="AF46" s="136">
        <v>5</v>
      </c>
      <c r="AG46" s="136">
        <v>8</v>
      </c>
      <c r="AH46" s="136">
        <v>9</v>
      </c>
      <c r="AI46" s="136">
        <v>9</v>
      </c>
      <c r="AJ46" s="136">
        <v>2</v>
      </c>
      <c r="AK46" s="136">
        <v>1</v>
      </c>
      <c r="AL46" s="136">
        <v>0</v>
      </c>
      <c r="AM46" s="136">
        <v>0</v>
      </c>
      <c r="AN46" s="136">
        <v>0</v>
      </c>
      <c r="AO46" s="136"/>
      <c r="AP46" s="143" t="str">
        <f>VLOOKUP(tbl_IO_List[[#This Row],[Instruement Tag]],tbl_Instruement_List[],14,FALSE)</f>
        <v>24 VDC energized</v>
      </c>
      <c r="AQ46" s="143" t="str">
        <f>tbl_IO_List[[#This Row],[Chassis]]&amp;"S"&amp;tbl_IO_List[[#This Row],[Slot]]&amp;"-"&amp;tbl_IO_List[[#This Row],[Front Terminal Number]]</f>
        <v>C1S5-9</v>
      </c>
      <c r="AR46" s="141" t="s">
        <v>1850</v>
      </c>
      <c r="AS46" s="136" t="str">
        <f>tbl_IO_List[[#This Row],[Terminal Tagging]]&amp;"-"&amp;tbl_IO_List[[#This Row],[Point-Count]]</f>
        <v>P1-TBDI2-9</v>
      </c>
      <c r="AT46" s="136" t="str">
        <f>tbl_IO_List[[#This Row],[Front Terminal Tagging]]&amp;"/"&amp;tbl_IO_List[[#This Row],[Terminal Tagging-Item]]</f>
        <v>C1S5-9/P1-TBDI2-9</v>
      </c>
      <c r="AU46" s="136" t="str">
        <f>tbl_IO_List[[#This Row],[Terminal Tagging-Item]]&amp;"/"&amp;tbl_IO_List[[#This Row],[Front Terminal Tagging]]</f>
        <v>P1-TBDI2-9/C1S5-9</v>
      </c>
    </row>
    <row r="47" spans="1:47" hidden="1">
      <c r="A47" s="147" t="s">
        <v>1369</v>
      </c>
      <c r="B47" s="136" t="s">
        <v>114</v>
      </c>
      <c r="C47" s="136" t="str">
        <f>tbl_IO_List[[#This Row],[Column3]]</f>
        <v>C1S05,09</v>
      </c>
      <c r="D47" s="136" t="str">
        <f>tbl_IO_List[[#This Row],[Card]]</f>
        <v>1756-IB32-9</v>
      </c>
      <c r="E47" s="136" t="s">
        <v>1366</v>
      </c>
      <c r="F47" s="136" t="str">
        <f>tbl_IO_List[[#This Row],[Column23]]&amp;"-" &amp;tbl_IO_List[[#This Row],[Column52]]</f>
        <v>C1S05-X1</v>
      </c>
      <c r="G47" s="136" t="str">
        <f>tbl_IO_List[[#This Row],[PLC_Tag]]</f>
        <v>XV-40201H_DI_2</v>
      </c>
      <c r="H47" s="136"/>
      <c r="I47" s="136" t="str">
        <f>VLOOKUP(tbl_IO_List[[#This Row],[Destination]],tbl_Junction[],2,FALSE)</f>
        <v>Infeed 2nd Floor</v>
      </c>
      <c r="J47" s="136" t="s">
        <v>114</v>
      </c>
      <c r="K47" s="136" t="s">
        <v>136</v>
      </c>
      <c r="L47" s="136" t="s">
        <v>158</v>
      </c>
      <c r="M47" s="136">
        <f>VLOOKUP(tbl_IO_List[[#This Row],[Instruement Tag]],tbl_Instruement_List[],2,FALSE)</f>
        <v>0</v>
      </c>
      <c r="N47" s="136" t="s">
        <v>15</v>
      </c>
      <c r="O47" s="136" t="s">
        <v>121</v>
      </c>
      <c r="P47" s="136" t="s">
        <v>137</v>
      </c>
      <c r="Q47" s="136" t="str">
        <f>VLOOKUP(tbl_IO_List[[#This Row],[Instruement Tag]],tbl_Instruement_List[],6,FALSE)</f>
        <v>CIP Hight pressure water washing pH Adjustment tank 1</v>
      </c>
      <c r="R47" s="136"/>
      <c r="S4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47" s="136" t="str">
        <f>tbl_IO_List[[#This Row],[Instruement Tag]]&amp;"_"&amp;tbl_IO_List[[#This Row],[I/O Type]]&amp;"_"&amp;tbl_IO_List[[#This Row],[IO-Point 
(Instruement)]]</f>
        <v>XV-40201H_DI_2</v>
      </c>
      <c r="U47" s="136" t="s">
        <v>8</v>
      </c>
      <c r="V47" s="136">
        <f>VLOOKUP(tbl_IO_List[[#This Row],[I/O Type]],tbl_Slot_Group[],2,FALSE)</f>
        <v>1</v>
      </c>
      <c r="W47" s="136">
        <v>2</v>
      </c>
      <c r="X47" s="136" t="str">
        <f>tbl_IO_List[[#This Row],[Chassis]]&amp;"S"&amp;TEXT(tbl_IO_List[[#This Row],[Slot]],"00")</f>
        <v>C1S05</v>
      </c>
      <c r="Y47" s="136" t="str">
        <f>tbl_IO_List[[#This Row],[Chassis]]&amp;"S"&amp;TEXT(tbl_IO_List[[#This Row],[Slot]],"00")&amp;tbl_IO_List[[#This Row],[I/O Type]]&amp;TEXT(tbl_IO_List[[#This Row],[Point]],"00")</f>
        <v>C1S05DI09</v>
      </c>
      <c r="Z47" s="136" t="str">
        <f>tbl_IO_List[[#This Row],[Chassis]]&amp;"S"&amp;TEXT(tbl_IO_List[[#This Row],[Slot]],"00")&amp;","&amp;TEXT(tbl_IO_List[[#This Row],[Point]],"00")</f>
        <v>C1S05,09</v>
      </c>
      <c r="AA47" s="136" t="str">
        <f>VLOOKUP(tbl_IO_List[[#This Row],[Column23]],tbl_RackConfig[],5,FALSE) &amp;"-"&amp;tbl_IO_List[[#This Row],[Point]]</f>
        <v>1756-IB32-9</v>
      </c>
      <c r="AB47" s="136"/>
      <c r="AC47" s="136" t="s">
        <v>1370</v>
      </c>
      <c r="AD47" s="136" t="str">
        <f>tbl_IO_List[[#This Row],[I/O Type]]</f>
        <v>DI</v>
      </c>
      <c r="AE47" s="136" t="s">
        <v>1332</v>
      </c>
      <c r="AF47" s="136">
        <v>5</v>
      </c>
      <c r="AG47" s="136">
        <v>9</v>
      </c>
      <c r="AH47" s="136">
        <v>10</v>
      </c>
      <c r="AI47" s="136">
        <v>10</v>
      </c>
      <c r="AJ47" s="136">
        <v>2</v>
      </c>
      <c r="AK47" s="136">
        <v>1</v>
      </c>
      <c r="AL47" s="136">
        <v>0</v>
      </c>
      <c r="AM47" s="136">
        <v>0</v>
      </c>
      <c r="AN47" s="136">
        <v>0</v>
      </c>
      <c r="AO47" s="136"/>
      <c r="AP47" s="143" t="str">
        <f>VLOOKUP(tbl_IO_List[[#This Row],[Instruement Tag]],tbl_Instruement_List[],14,FALSE)</f>
        <v>24 VDC energized</v>
      </c>
      <c r="AQ47" s="143" t="str">
        <f>tbl_IO_List[[#This Row],[Chassis]]&amp;"S"&amp;tbl_IO_List[[#This Row],[Slot]]&amp;"-"&amp;tbl_IO_List[[#This Row],[Front Terminal Number]]</f>
        <v>C1S5-10</v>
      </c>
      <c r="AR47" s="141" t="s">
        <v>1850</v>
      </c>
      <c r="AS47" s="136" t="str">
        <f>tbl_IO_List[[#This Row],[Terminal Tagging]]&amp;"-"&amp;tbl_IO_List[[#This Row],[Point-Count]]</f>
        <v>P1-TBDI2-10</v>
      </c>
      <c r="AT47" s="136" t="str">
        <f>tbl_IO_List[[#This Row],[Front Terminal Tagging]]&amp;"/"&amp;tbl_IO_List[[#This Row],[Terminal Tagging-Item]]</f>
        <v>C1S5-10/P1-TBDI2-10</v>
      </c>
      <c r="AU47" s="136" t="str">
        <f>tbl_IO_List[[#This Row],[Terminal Tagging-Item]]&amp;"/"&amp;tbl_IO_List[[#This Row],[Front Terminal Tagging]]</f>
        <v>P1-TBDI2-10/C1S5-10</v>
      </c>
    </row>
    <row r="48" spans="1:47" hidden="1">
      <c r="A48" s="147" t="s">
        <v>1369</v>
      </c>
      <c r="B48" s="136" t="s">
        <v>114</v>
      </c>
      <c r="C48" s="136" t="str">
        <f>tbl_IO_List[[#This Row],[Column3]]</f>
        <v>C1S05,11</v>
      </c>
      <c r="D48" s="136" t="str">
        <f>tbl_IO_List[[#This Row],[Card]]</f>
        <v>1756-IB32-11</v>
      </c>
      <c r="E48" s="136" t="s">
        <v>1366</v>
      </c>
      <c r="F48" s="136" t="str">
        <f>tbl_IO_List[[#This Row],[Column23]]&amp;"-" &amp;tbl_IO_List[[#This Row],[Column52]]</f>
        <v>C1S05-X1</v>
      </c>
      <c r="G48" s="136" t="str">
        <f>tbl_IO_List[[#This Row],[PLC_Tag]]</f>
        <v>XV-40202A_DI_2</v>
      </c>
      <c r="H48" s="136"/>
      <c r="I48" s="136" t="str">
        <f>VLOOKUP(tbl_IO_List[[#This Row],[Destination]],tbl_Junction[],2,FALSE)</f>
        <v>Infeed 2nd Floor</v>
      </c>
      <c r="J48" s="136" t="s">
        <v>114</v>
      </c>
      <c r="K48" s="136" t="s">
        <v>136</v>
      </c>
      <c r="L48" s="136" t="s">
        <v>159</v>
      </c>
      <c r="M48" s="136">
        <f>VLOOKUP(tbl_IO_List[[#This Row],[Instruement Tag]],tbl_Instruement_List[],2,FALSE)</f>
        <v>0</v>
      </c>
      <c r="N48" s="136" t="s">
        <v>15</v>
      </c>
      <c r="O48" s="136" t="s">
        <v>121</v>
      </c>
      <c r="P48" s="136" t="s">
        <v>137</v>
      </c>
      <c r="Q48" s="136" t="str">
        <f>VLOOKUP(tbl_IO_List[[#This Row],[Instruement Tag]],tbl_Instruement_List[],6,FALSE)</f>
        <v>Slurry feed-in pH Adjustment tank 2</v>
      </c>
      <c r="R48" s="136"/>
      <c r="S4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48" s="136" t="str">
        <f>tbl_IO_List[[#This Row],[Instruement Tag]]&amp;"_"&amp;tbl_IO_List[[#This Row],[I/O Type]]&amp;"_"&amp;tbl_IO_List[[#This Row],[IO-Point 
(Instruement)]]</f>
        <v>XV-40202A_DI_2</v>
      </c>
      <c r="U48" s="136" t="s">
        <v>8</v>
      </c>
      <c r="V48" s="136">
        <f>VLOOKUP(tbl_IO_List[[#This Row],[I/O Type]],tbl_Slot_Group[],2,FALSE)</f>
        <v>1</v>
      </c>
      <c r="W48" s="136">
        <v>2</v>
      </c>
      <c r="X48" s="136" t="str">
        <f>tbl_IO_List[[#This Row],[Chassis]]&amp;"S"&amp;TEXT(tbl_IO_List[[#This Row],[Slot]],"00")</f>
        <v>C1S05</v>
      </c>
      <c r="Y48" s="136" t="str">
        <f>tbl_IO_List[[#This Row],[Chassis]]&amp;"S"&amp;TEXT(tbl_IO_List[[#This Row],[Slot]],"00")&amp;tbl_IO_List[[#This Row],[I/O Type]]&amp;TEXT(tbl_IO_List[[#This Row],[Point]],"00")</f>
        <v>C1S05DI11</v>
      </c>
      <c r="Z48" s="136" t="str">
        <f>tbl_IO_List[[#This Row],[Chassis]]&amp;"S"&amp;TEXT(tbl_IO_List[[#This Row],[Slot]],"00")&amp;","&amp;TEXT(tbl_IO_List[[#This Row],[Point]],"00")</f>
        <v>C1S05,11</v>
      </c>
      <c r="AA48" s="136" t="str">
        <f>VLOOKUP(tbl_IO_List[[#This Row],[Column23]],tbl_RackConfig[],5,FALSE) &amp;"-"&amp;tbl_IO_List[[#This Row],[Point]]</f>
        <v>1756-IB32-11</v>
      </c>
      <c r="AB48" s="136"/>
      <c r="AC48" s="136" t="s">
        <v>1370</v>
      </c>
      <c r="AD48" s="136" t="str">
        <f>tbl_IO_List[[#This Row],[I/O Type]]</f>
        <v>DI</v>
      </c>
      <c r="AE48" s="136" t="s">
        <v>1332</v>
      </c>
      <c r="AF48" s="136">
        <v>5</v>
      </c>
      <c r="AG48" s="136">
        <v>11</v>
      </c>
      <c r="AH48" s="136">
        <v>11</v>
      </c>
      <c r="AI48" s="136">
        <v>11</v>
      </c>
      <c r="AJ48" s="136">
        <v>2</v>
      </c>
      <c r="AK48" s="136">
        <v>1</v>
      </c>
      <c r="AL48" s="136">
        <v>0</v>
      </c>
      <c r="AM48" s="136">
        <v>0</v>
      </c>
      <c r="AN48" s="136">
        <v>0</v>
      </c>
      <c r="AO48" s="136"/>
      <c r="AP48" s="143" t="str">
        <f>VLOOKUP(tbl_IO_List[[#This Row],[Instruement Tag]],tbl_Instruement_List[],14,FALSE)</f>
        <v>24 VDC energized</v>
      </c>
      <c r="AQ48" s="143" t="str">
        <f>tbl_IO_List[[#This Row],[Chassis]]&amp;"S"&amp;tbl_IO_List[[#This Row],[Slot]]&amp;"-"&amp;tbl_IO_List[[#This Row],[Front Terminal Number]]</f>
        <v>C1S5-11</v>
      </c>
      <c r="AR48" s="141" t="s">
        <v>1850</v>
      </c>
      <c r="AS48" s="136" t="str">
        <f>tbl_IO_List[[#This Row],[Terminal Tagging]]&amp;"-"&amp;tbl_IO_List[[#This Row],[Point-Count]]</f>
        <v>P1-TBDI2-11</v>
      </c>
      <c r="AT48" s="136" t="str">
        <f>tbl_IO_List[[#This Row],[Front Terminal Tagging]]&amp;"/"&amp;tbl_IO_List[[#This Row],[Terminal Tagging-Item]]</f>
        <v>C1S5-11/P1-TBDI2-11</v>
      </c>
      <c r="AU48" s="136" t="str">
        <f>tbl_IO_List[[#This Row],[Terminal Tagging-Item]]&amp;"/"&amp;tbl_IO_List[[#This Row],[Front Terminal Tagging]]</f>
        <v>P1-TBDI2-11/C1S5-11</v>
      </c>
    </row>
    <row r="49" spans="1:47" hidden="1">
      <c r="A49" s="147" t="s">
        <v>1369</v>
      </c>
      <c r="B49" s="136" t="s">
        <v>114</v>
      </c>
      <c r="C49" s="136" t="str">
        <f>tbl_IO_List[[#This Row],[Column3]]</f>
        <v>C1S05,12</v>
      </c>
      <c r="D49" s="136" t="str">
        <f>tbl_IO_List[[#This Row],[Card]]</f>
        <v>1756-IB32-12</v>
      </c>
      <c r="E49" s="136" t="s">
        <v>1366</v>
      </c>
      <c r="F49" s="136" t="str">
        <f>tbl_IO_List[[#This Row],[Column23]]&amp;"-" &amp;tbl_IO_List[[#This Row],[Column52]]</f>
        <v>C1S05-X1</v>
      </c>
      <c r="G49" s="136" t="str">
        <f>tbl_IO_List[[#This Row],[PLC_Tag]]</f>
        <v>XV-40202B_DI_1</v>
      </c>
      <c r="H49" s="136"/>
      <c r="I49" s="136" t="str">
        <f>VLOOKUP(tbl_IO_List[[#This Row],[Destination]],tbl_Junction[],2,FALSE)</f>
        <v>Infeed 2nd Floor</v>
      </c>
      <c r="J49" s="136" t="s">
        <v>114</v>
      </c>
      <c r="K49" s="136" t="s">
        <v>136</v>
      </c>
      <c r="L49" s="136" t="s">
        <v>160</v>
      </c>
      <c r="M49" s="136">
        <f>VLOOKUP(tbl_IO_List[[#This Row],[Instruement Tag]],tbl_Instruement_List[],2,FALSE)</f>
        <v>0</v>
      </c>
      <c r="N49" s="136" t="s">
        <v>15</v>
      </c>
      <c r="O49" s="136" t="s">
        <v>121</v>
      </c>
      <c r="P49" s="136" t="s">
        <v>137</v>
      </c>
      <c r="Q49" s="136" t="str">
        <f>VLOOKUP(tbl_IO_List[[#This Row],[Instruement Tag]],tbl_Instruement_List[],6,FALSE)</f>
        <v>Slurry feed-out pH Adjustment tank 2</v>
      </c>
      <c r="R49" s="136"/>
      <c r="S4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49" s="136" t="str">
        <f>tbl_IO_List[[#This Row],[Instruement Tag]]&amp;"_"&amp;tbl_IO_List[[#This Row],[I/O Type]]&amp;"_"&amp;tbl_IO_List[[#This Row],[IO-Point 
(Instruement)]]</f>
        <v>XV-40202B_DI_1</v>
      </c>
      <c r="U49" s="136" t="s">
        <v>8</v>
      </c>
      <c r="V49" s="136">
        <f>VLOOKUP(tbl_IO_List[[#This Row],[I/O Type]],tbl_Slot_Group[],2,FALSE)</f>
        <v>1</v>
      </c>
      <c r="W49" s="136">
        <v>1</v>
      </c>
      <c r="X49" s="136" t="str">
        <f>tbl_IO_List[[#This Row],[Chassis]]&amp;"S"&amp;TEXT(tbl_IO_List[[#This Row],[Slot]],"00")</f>
        <v>C1S05</v>
      </c>
      <c r="Y49" s="136" t="str">
        <f>tbl_IO_List[[#This Row],[Chassis]]&amp;"S"&amp;TEXT(tbl_IO_List[[#This Row],[Slot]],"00")&amp;tbl_IO_List[[#This Row],[I/O Type]]&amp;TEXT(tbl_IO_List[[#This Row],[Point]],"00")</f>
        <v>C1S05DI12</v>
      </c>
      <c r="Z49" s="136" t="str">
        <f>tbl_IO_List[[#This Row],[Chassis]]&amp;"S"&amp;TEXT(tbl_IO_List[[#This Row],[Slot]],"00")&amp;","&amp;TEXT(tbl_IO_List[[#This Row],[Point]],"00")</f>
        <v>C1S05,12</v>
      </c>
      <c r="AA49" s="136" t="str">
        <f>VLOOKUP(tbl_IO_List[[#This Row],[Column23]],tbl_RackConfig[],5,FALSE) &amp;"-"&amp;tbl_IO_List[[#This Row],[Point]]</f>
        <v>1756-IB32-12</v>
      </c>
      <c r="AB49" s="136"/>
      <c r="AC49" s="136" t="s">
        <v>1370</v>
      </c>
      <c r="AD49" s="136" t="str">
        <f>tbl_IO_List[[#This Row],[I/O Type]]</f>
        <v>DI</v>
      </c>
      <c r="AE49" s="136" t="s">
        <v>1332</v>
      </c>
      <c r="AF49" s="136">
        <v>5</v>
      </c>
      <c r="AG49" s="136">
        <v>12</v>
      </c>
      <c r="AH49" s="136">
        <v>12</v>
      </c>
      <c r="AI49" s="136">
        <v>12</v>
      </c>
      <c r="AJ49" s="136">
        <v>2</v>
      </c>
      <c r="AK49" s="136">
        <v>1</v>
      </c>
      <c r="AL49" s="136">
        <v>0</v>
      </c>
      <c r="AM49" s="136">
        <v>0</v>
      </c>
      <c r="AN49" s="136">
        <v>0</v>
      </c>
      <c r="AO49" s="136"/>
      <c r="AP49" s="143" t="str">
        <f>VLOOKUP(tbl_IO_List[[#This Row],[Instruement Tag]],tbl_Instruement_List[],14,FALSE)</f>
        <v>24 VDC energized</v>
      </c>
      <c r="AQ49" s="143" t="str">
        <f>tbl_IO_List[[#This Row],[Chassis]]&amp;"S"&amp;tbl_IO_List[[#This Row],[Slot]]&amp;"-"&amp;tbl_IO_List[[#This Row],[Front Terminal Number]]</f>
        <v>C1S5-12</v>
      </c>
      <c r="AR49" s="141" t="s">
        <v>1850</v>
      </c>
      <c r="AS49" s="136" t="str">
        <f>tbl_IO_List[[#This Row],[Terminal Tagging]]&amp;"-"&amp;tbl_IO_List[[#This Row],[Point-Count]]</f>
        <v>P1-TBDI2-12</v>
      </c>
      <c r="AT49" s="136" t="str">
        <f>tbl_IO_List[[#This Row],[Front Terminal Tagging]]&amp;"/"&amp;tbl_IO_List[[#This Row],[Terminal Tagging-Item]]</f>
        <v>C1S5-12/P1-TBDI2-12</v>
      </c>
      <c r="AU49" s="136" t="str">
        <f>tbl_IO_List[[#This Row],[Terminal Tagging-Item]]&amp;"/"&amp;tbl_IO_List[[#This Row],[Front Terminal Tagging]]</f>
        <v>P1-TBDI2-12/C1S5-12</v>
      </c>
    </row>
    <row r="50" spans="1:47" hidden="1">
      <c r="A50" s="147" t="s">
        <v>1369</v>
      </c>
      <c r="B50" s="136" t="s">
        <v>114</v>
      </c>
      <c r="C50" s="136" t="str">
        <f>tbl_IO_List[[#This Row],[Column3]]</f>
        <v>C1S05,13</v>
      </c>
      <c r="D50" s="136" t="str">
        <f>tbl_IO_List[[#This Row],[Card]]</f>
        <v>1756-IB32-13</v>
      </c>
      <c r="E50" s="136" t="s">
        <v>1366</v>
      </c>
      <c r="F50" s="136" t="str">
        <f>tbl_IO_List[[#This Row],[Column23]]&amp;"-" &amp;tbl_IO_List[[#This Row],[Column52]]</f>
        <v>C1S05-X1</v>
      </c>
      <c r="G50" s="136" t="str">
        <f>tbl_IO_List[[#This Row],[PLC_Tag]]</f>
        <v>XV-40202B_DI_2</v>
      </c>
      <c r="H50" s="136"/>
      <c r="I50" s="136" t="str">
        <f>VLOOKUP(tbl_IO_List[[#This Row],[Destination]],tbl_Junction[],2,FALSE)</f>
        <v>Infeed 2nd Floor</v>
      </c>
      <c r="J50" s="136" t="s">
        <v>114</v>
      </c>
      <c r="K50" s="136" t="s">
        <v>136</v>
      </c>
      <c r="L50" s="136" t="s">
        <v>160</v>
      </c>
      <c r="M50" s="136">
        <f>VLOOKUP(tbl_IO_List[[#This Row],[Instruement Tag]],tbl_Instruement_List[],2,FALSE)</f>
        <v>0</v>
      </c>
      <c r="N50" s="136" t="s">
        <v>15</v>
      </c>
      <c r="O50" s="136" t="s">
        <v>121</v>
      </c>
      <c r="P50" s="136" t="s">
        <v>137</v>
      </c>
      <c r="Q50" s="136" t="str">
        <f>VLOOKUP(tbl_IO_List[[#This Row],[Instruement Tag]],tbl_Instruement_List[],6,FALSE)</f>
        <v>Slurry feed-out pH Adjustment tank 2</v>
      </c>
      <c r="R50" s="136"/>
      <c r="S5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50" s="136" t="str">
        <f>tbl_IO_List[[#This Row],[Instruement Tag]]&amp;"_"&amp;tbl_IO_List[[#This Row],[I/O Type]]&amp;"_"&amp;tbl_IO_List[[#This Row],[IO-Point 
(Instruement)]]</f>
        <v>XV-40202B_DI_2</v>
      </c>
      <c r="U50" s="136" t="s">
        <v>8</v>
      </c>
      <c r="V50" s="136">
        <f>VLOOKUP(tbl_IO_List[[#This Row],[I/O Type]],tbl_Slot_Group[],2,FALSE)</f>
        <v>1</v>
      </c>
      <c r="W50" s="136">
        <v>2</v>
      </c>
      <c r="X50" s="136" t="str">
        <f>tbl_IO_List[[#This Row],[Chassis]]&amp;"S"&amp;TEXT(tbl_IO_List[[#This Row],[Slot]],"00")</f>
        <v>C1S05</v>
      </c>
      <c r="Y50" s="136" t="str">
        <f>tbl_IO_List[[#This Row],[Chassis]]&amp;"S"&amp;TEXT(tbl_IO_List[[#This Row],[Slot]],"00")&amp;tbl_IO_List[[#This Row],[I/O Type]]&amp;TEXT(tbl_IO_List[[#This Row],[Point]],"00")</f>
        <v>C1S05DI13</v>
      </c>
      <c r="Z50" s="136" t="str">
        <f>tbl_IO_List[[#This Row],[Chassis]]&amp;"S"&amp;TEXT(tbl_IO_List[[#This Row],[Slot]],"00")&amp;","&amp;TEXT(tbl_IO_List[[#This Row],[Point]],"00")</f>
        <v>C1S05,13</v>
      </c>
      <c r="AA50" s="136" t="str">
        <f>VLOOKUP(tbl_IO_List[[#This Row],[Column23]],tbl_RackConfig[],5,FALSE) &amp;"-"&amp;tbl_IO_List[[#This Row],[Point]]</f>
        <v>1756-IB32-13</v>
      </c>
      <c r="AB50" s="136"/>
      <c r="AC50" s="136" t="s">
        <v>1370</v>
      </c>
      <c r="AD50" s="136" t="str">
        <f>tbl_IO_List[[#This Row],[I/O Type]]</f>
        <v>DI</v>
      </c>
      <c r="AE50" s="136" t="s">
        <v>1332</v>
      </c>
      <c r="AF50" s="136">
        <v>5</v>
      </c>
      <c r="AG50" s="136">
        <v>13</v>
      </c>
      <c r="AH50" s="136">
        <v>13</v>
      </c>
      <c r="AI50" s="136">
        <v>13</v>
      </c>
      <c r="AJ50" s="136">
        <v>2</v>
      </c>
      <c r="AK50" s="136">
        <v>1</v>
      </c>
      <c r="AL50" s="136">
        <v>0</v>
      </c>
      <c r="AM50" s="136">
        <v>0</v>
      </c>
      <c r="AN50" s="136">
        <v>0</v>
      </c>
      <c r="AO50" s="136"/>
      <c r="AP50" s="143" t="str">
        <f>VLOOKUP(tbl_IO_List[[#This Row],[Instruement Tag]],tbl_Instruement_List[],14,FALSE)</f>
        <v>24 VDC energized</v>
      </c>
      <c r="AQ50" s="143" t="str">
        <f>tbl_IO_List[[#This Row],[Chassis]]&amp;"S"&amp;tbl_IO_List[[#This Row],[Slot]]&amp;"-"&amp;tbl_IO_List[[#This Row],[Front Terminal Number]]</f>
        <v>C1S5-13</v>
      </c>
      <c r="AR50" s="141" t="s">
        <v>1850</v>
      </c>
      <c r="AS50" s="136" t="str">
        <f>tbl_IO_List[[#This Row],[Terminal Tagging]]&amp;"-"&amp;tbl_IO_List[[#This Row],[Point-Count]]</f>
        <v>P1-TBDI2-13</v>
      </c>
      <c r="AT50" s="136" t="str">
        <f>tbl_IO_List[[#This Row],[Front Terminal Tagging]]&amp;"/"&amp;tbl_IO_List[[#This Row],[Terminal Tagging-Item]]</f>
        <v>C1S5-13/P1-TBDI2-13</v>
      </c>
      <c r="AU50" s="136" t="str">
        <f>tbl_IO_List[[#This Row],[Terminal Tagging-Item]]&amp;"/"&amp;tbl_IO_List[[#This Row],[Front Terminal Tagging]]</f>
        <v>P1-TBDI2-13/C1S5-13</v>
      </c>
    </row>
    <row r="51" spans="1:47" hidden="1">
      <c r="A51" s="147" t="s">
        <v>1369</v>
      </c>
      <c r="B51" s="136" t="s">
        <v>114</v>
      </c>
      <c r="C51" s="136" t="str">
        <f>tbl_IO_List[[#This Row],[Column3]]</f>
        <v>C1S05,14</v>
      </c>
      <c r="D51" s="136" t="str">
        <f>tbl_IO_List[[#This Row],[Card]]</f>
        <v>1756-IB32-14</v>
      </c>
      <c r="E51" s="136" t="s">
        <v>1366</v>
      </c>
      <c r="F51" s="136" t="str">
        <f>tbl_IO_List[[#This Row],[Column23]]&amp;"-" &amp;tbl_IO_List[[#This Row],[Column52]]</f>
        <v>C1S05-X1</v>
      </c>
      <c r="G51" s="136" t="str">
        <f>tbl_IO_List[[#This Row],[PLC_Tag]]</f>
        <v>XV-40202C_DI_1</v>
      </c>
      <c r="H51" s="136"/>
      <c r="I51" s="136" t="str">
        <f>VLOOKUP(tbl_IO_List[[#This Row],[Destination]],tbl_Junction[],2,FALSE)</f>
        <v>Infeed 2nd Floor</v>
      </c>
      <c r="J51" s="136" t="s">
        <v>114</v>
      </c>
      <c r="K51" s="136" t="s">
        <v>136</v>
      </c>
      <c r="L51" s="136" t="s">
        <v>161</v>
      </c>
      <c r="M51" s="136">
        <f>VLOOKUP(tbl_IO_List[[#This Row],[Instruement Tag]],tbl_Instruement_List[],2,FALSE)</f>
        <v>0</v>
      </c>
      <c r="N51" s="136" t="s">
        <v>15</v>
      </c>
      <c r="O51" s="136" t="s">
        <v>121</v>
      </c>
      <c r="P51" s="136" t="s">
        <v>137</v>
      </c>
      <c r="Q51" s="136" t="str">
        <f>VLOOKUP(tbl_IO_List[[#This Row],[Instruement Tag]],tbl_Instruement_List[],6,FALSE)</f>
        <v>Water washing line outlet pH Adjustment tank 2</v>
      </c>
      <c r="R51" s="136"/>
      <c r="S5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51" s="136" t="str">
        <f>tbl_IO_List[[#This Row],[Instruement Tag]]&amp;"_"&amp;tbl_IO_List[[#This Row],[I/O Type]]&amp;"_"&amp;tbl_IO_List[[#This Row],[IO-Point 
(Instruement)]]</f>
        <v>XV-40202C_DI_1</v>
      </c>
      <c r="U51" s="136" t="s">
        <v>8</v>
      </c>
      <c r="V51" s="136">
        <f>VLOOKUP(tbl_IO_List[[#This Row],[I/O Type]],tbl_Slot_Group[],2,FALSE)</f>
        <v>1</v>
      </c>
      <c r="W51" s="136">
        <v>1</v>
      </c>
      <c r="X51" s="136" t="str">
        <f>tbl_IO_List[[#This Row],[Chassis]]&amp;"S"&amp;TEXT(tbl_IO_List[[#This Row],[Slot]],"00")</f>
        <v>C1S05</v>
      </c>
      <c r="Y51" s="136" t="str">
        <f>tbl_IO_List[[#This Row],[Chassis]]&amp;"S"&amp;TEXT(tbl_IO_List[[#This Row],[Slot]],"00")&amp;tbl_IO_List[[#This Row],[I/O Type]]&amp;TEXT(tbl_IO_List[[#This Row],[Point]],"00")</f>
        <v>C1S05DI14</v>
      </c>
      <c r="Z51" s="136" t="str">
        <f>tbl_IO_List[[#This Row],[Chassis]]&amp;"S"&amp;TEXT(tbl_IO_List[[#This Row],[Slot]],"00")&amp;","&amp;TEXT(tbl_IO_List[[#This Row],[Point]],"00")</f>
        <v>C1S05,14</v>
      </c>
      <c r="AA51" s="136" t="str">
        <f>VLOOKUP(tbl_IO_List[[#This Row],[Column23]],tbl_RackConfig[],5,FALSE) &amp;"-"&amp;tbl_IO_List[[#This Row],[Point]]</f>
        <v>1756-IB32-14</v>
      </c>
      <c r="AB51" s="136"/>
      <c r="AC51" s="136" t="s">
        <v>1370</v>
      </c>
      <c r="AD51" s="136" t="str">
        <f>tbl_IO_List[[#This Row],[I/O Type]]</f>
        <v>DI</v>
      </c>
      <c r="AE51" s="136" t="s">
        <v>1332</v>
      </c>
      <c r="AF51" s="136">
        <v>5</v>
      </c>
      <c r="AG51" s="136">
        <v>14</v>
      </c>
      <c r="AH51" s="136">
        <v>14</v>
      </c>
      <c r="AI51" s="136">
        <v>14</v>
      </c>
      <c r="AJ51" s="136">
        <v>2</v>
      </c>
      <c r="AK51" s="136">
        <v>1</v>
      </c>
      <c r="AL51" s="136">
        <v>0</v>
      </c>
      <c r="AM51" s="136">
        <v>0</v>
      </c>
      <c r="AN51" s="136">
        <v>0</v>
      </c>
      <c r="AO51" s="136"/>
      <c r="AP51" s="143" t="str">
        <f>VLOOKUP(tbl_IO_List[[#This Row],[Instruement Tag]],tbl_Instruement_List[],14,FALSE)</f>
        <v>24 VDC energized</v>
      </c>
      <c r="AQ51" s="143" t="str">
        <f>tbl_IO_List[[#This Row],[Chassis]]&amp;"S"&amp;tbl_IO_List[[#This Row],[Slot]]&amp;"-"&amp;tbl_IO_List[[#This Row],[Front Terminal Number]]</f>
        <v>C1S5-14</v>
      </c>
      <c r="AR51" s="141" t="s">
        <v>1850</v>
      </c>
      <c r="AS51" s="136" t="str">
        <f>tbl_IO_List[[#This Row],[Terminal Tagging]]&amp;"-"&amp;tbl_IO_List[[#This Row],[Point-Count]]</f>
        <v>P1-TBDI2-14</v>
      </c>
      <c r="AT51" s="136" t="str">
        <f>tbl_IO_List[[#This Row],[Front Terminal Tagging]]&amp;"/"&amp;tbl_IO_List[[#This Row],[Terminal Tagging-Item]]</f>
        <v>C1S5-14/P1-TBDI2-14</v>
      </c>
      <c r="AU51" s="136" t="str">
        <f>tbl_IO_List[[#This Row],[Terminal Tagging-Item]]&amp;"/"&amp;tbl_IO_List[[#This Row],[Front Terminal Tagging]]</f>
        <v>P1-TBDI2-14/C1S5-14</v>
      </c>
    </row>
    <row r="52" spans="1:47" hidden="1">
      <c r="A52" s="147" t="s">
        <v>1369</v>
      </c>
      <c r="B52" s="136" t="s">
        <v>114</v>
      </c>
      <c r="C52" s="136" t="str">
        <f>tbl_IO_List[[#This Row],[Column3]]</f>
        <v>C1S05,15</v>
      </c>
      <c r="D52" s="136" t="str">
        <f>tbl_IO_List[[#This Row],[Card]]</f>
        <v>1756-IB32-15</v>
      </c>
      <c r="E52" s="136" t="s">
        <v>1366</v>
      </c>
      <c r="F52" s="136" t="str">
        <f>tbl_IO_List[[#This Row],[Column23]]&amp;"-" &amp;tbl_IO_List[[#This Row],[Column52]]</f>
        <v>C1S05-X1</v>
      </c>
      <c r="G52" s="136" t="str">
        <f>tbl_IO_List[[#This Row],[PLC_Tag]]</f>
        <v>XV-40202C_DI_2</v>
      </c>
      <c r="H52" s="136"/>
      <c r="I52" s="136" t="str">
        <f>VLOOKUP(tbl_IO_List[[#This Row],[Destination]],tbl_Junction[],2,FALSE)</f>
        <v>Infeed 2nd Floor</v>
      </c>
      <c r="J52" s="136" t="s">
        <v>114</v>
      </c>
      <c r="K52" s="136" t="s">
        <v>136</v>
      </c>
      <c r="L52" s="136" t="s">
        <v>161</v>
      </c>
      <c r="M52" s="136">
        <f>VLOOKUP(tbl_IO_List[[#This Row],[Instruement Tag]],tbl_Instruement_List[],2,FALSE)</f>
        <v>0</v>
      </c>
      <c r="N52" s="136" t="s">
        <v>15</v>
      </c>
      <c r="O52" s="136" t="s">
        <v>121</v>
      </c>
      <c r="P52" s="136" t="s">
        <v>137</v>
      </c>
      <c r="Q52" s="136" t="str">
        <f>VLOOKUP(tbl_IO_List[[#This Row],[Instruement Tag]],tbl_Instruement_List[],6,FALSE)</f>
        <v>Water washing line outlet pH Adjustment tank 2</v>
      </c>
      <c r="R52" s="136"/>
      <c r="S5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52" s="136" t="str">
        <f>tbl_IO_List[[#This Row],[Instruement Tag]]&amp;"_"&amp;tbl_IO_List[[#This Row],[I/O Type]]&amp;"_"&amp;tbl_IO_List[[#This Row],[IO-Point 
(Instruement)]]</f>
        <v>XV-40202C_DI_2</v>
      </c>
      <c r="U52" s="136" t="s">
        <v>8</v>
      </c>
      <c r="V52" s="136">
        <f>VLOOKUP(tbl_IO_List[[#This Row],[I/O Type]],tbl_Slot_Group[],2,FALSE)</f>
        <v>1</v>
      </c>
      <c r="W52" s="136">
        <v>2</v>
      </c>
      <c r="X52" s="136" t="str">
        <f>tbl_IO_List[[#This Row],[Chassis]]&amp;"S"&amp;TEXT(tbl_IO_List[[#This Row],[Slot]],"00")</f>
        <v>C1S05</v>
      </c>
      <c r="Y52" s="136" t="str">
        <f>tbl_IO_List[[#This Row],[Chassis]]&amp;"S"&amp;TEXT(tbl_IO_List[[#This Row],[Slot]],"00")&amp;tbl_IO_List[[#This Row],[I/O Type]]&amp;TEXT(tbl_IO_List[[#This Row],[Point]],"00")</f>
        <v>C1S05DI15</v>
      </c>
      <c r="Z52" s="136" t="str">
        <f>tbl_IO_List[[#This Row],[Chassis]]&amp;"S"&amp;TEXT(tbl_IO_List[[#This Row],[Slot]],"00")&amp;","&amp;TEXT(tbl_IO_List[[#This Row],[Point]],"00")</f>
        <v>C1S05,15</v>
      </c>
      <c r="AA52" s="136" t="str">
        <f>VLOOKUP(tbl_IO_List[[#This Row],[Column23]],tbl_RackConfig[],5,FALSE) &amp;"-"&amp;tbl_IO_List[[#This Row],[Point]]</f>
        <v>1756-IB32-15</v>
      </c>
      <c r="AB52" s="136"/>
      <c r="AC52" s="136" t="s">
        <v>1370</v>
      </c>
      <c r="AD52" s="136" t="str">
        <f>tbl_IO_List[[#This Row],[I/O Type]]</f>
        <v>DI</v>
      </c>
      <c r="AE52" s="136" t="s">
        <v>1332</v>
      </c>
      <c r="AF52" s="136">
        <v>5</v>
      </c>
      <c r="AG52" s="136">
        <v>15</v>
      </c>
      <c r="AH52" s="136">
        <v>15</v>
      </c>
      <c r="AI52" s="136">
        <v>15</v>
      </c>
      <c r="AJ52" s="136">
        <v>2</v>
      </c>
      <c r="AK52" s="136">
        <v>1</v>
      </c>
      <c r="AL52" s="136">
        <v>0</v>
      </c>
      <c r="AM52" s="136">
        <v>0</v>
      </c>
      <c r="AN52" s="136">
        <v>0</v>
      </c>
      <c r="AO52" s="136"/>
      <c r="AP52" s="143" t="str">
        <f>VLOOKUP(tbl_IO_List[[#This Row],[Instruement Tag]],tbl_Instruement_List[],14,FALSE)</f>
        <v>24 VDC energized</v>
      </c>
      <c r="AQ52" s="143" t="str">
        <f>tbl_IO_List[[#This Row],[Chassis]]&amp;"S"&amp;tbl_IO_List[[#This Row],[Slot]]&amp;"-"&amp;tbl_IO_List[[#This Row],[Front Terminal Number]]</f>
        <v>C1S5-15</v>
      </c>
      <c r="AR52" s="141" t="s">
        <v>1850</v>
      </c>
      <c r="AS52" s="136" t="str">
        <f>tbl_IO_List[[#This Row],[Terminal Tagging]]&amp;"-"&amp;tbl_IO_List[[#This Row],[Point-Count]]</f>
        <v>P1-TBDI2-15</v>
      </c>
      <c r="AT52" s="136" t="str">
        <f>tbl_IO_List[[#This Row],[Front Terminal Tagging]]&amp;"/"&amp;tbl_IO_List[[#This Row],[Terminal Tagging-Item]]</f>
        <v>C1S5-15/P1-TBDI2-15</v>
      </c>
      <c r="AU52" s="136" t="str">
        <f>tbl_IO_List[[#This Row],[Terminal Tagging-Item]]&amp;"/"&amp;tbl_IO_List[[#This Row],[Front Terminal Tagging]]</f>
        <v>P1-TBDI2-15/C1S5-15</v>
      </c>
    </row>
    <row r="53" spans="1:47" hidden="1">
      <c r="A53" s="147" t="s">
        <v>1369</v>
      </c>
      <c r="B53" s="136" t="s">
        <v>114</v>
      </c>
      <c r="C53" s="136" t="str">
        <f>tbl_IO_List[[#This Row],[Column3]]</f>
        <v>C1S05,16</v>
      </c>
      <c r="D53" s="136" t="str">
        <f>tbl_IO_List[[#This Row],[Card]]</f>
        <v>1756-IB32-16</v>
      </c>
      <c r="E53" s="136" t="s">
        <v>1372</v>
      </c>
      <c r="F53" s="136" t="str">
        <f>tbl_IO_List[[#This Row],[Column23]]&amp;"-" &amp;tbl_IO_List[[#This Row],[Column52]]</f>
        <v>C1S05-X2</v>
      </c>
      <c r="G53" s="136" t="str">
        <f>tbl_IO_List[[#This Row],[PLC_Tag]]</f>
        <v>XV-40202D_DI_1</v>
      </c>
      <c r="H53" s="136"/>
      <c r="I53" s="136" t="str">
        <f>VLOOKUP(tbl_IO_List[[#This Row],[Destination]],tbl_Junction[],2,FALSE)</f>
        <v>Infeed 2nd Floor</v>
      </c>
      <c r="J53" s="136" t="s">
        <v>114</v>
      </c>
      <c r="K53" s="136" t="s">
        <v>136</v>
      </c>
      <c r="L53" s="136" t="s">
        <v>162</v>
      </c>
      <c r="M53" s="136">
        <f>VLOOKUP(tbl_IO_List[[#This Row],[Instruement Tag]],tbl_Instruement_List[],2,FALSE)</f>
        <v>0</v>
      </c>
      <c r="N53" s="136" t="s">
        <v>15</v>
      </c>
      <c r="O53" s="136" t="s">
        <v>121</v>
      </c>
      <c r="P53" s="136" t="s">
        <v>137</v>
      </c>
      <c r="Q53" s="136" t="str">
        <f>VLOOKUP(tbl_IO_List[[#This Row],[Instruement Tag]],tbl_Instruement_List[],6,FALSE)</f>
        <v>Slurry circulation pH Adjustment tank 2</v>
      </c>
      <c r="R53" s="136"/>
      <c r="S5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53" s="136" t="str">
        <f>tbl_IO_List[[#This Row],[Instruement Tag]]&amp;"_"&amp;tbl_IO_List[[#This Row],[I/O Type]]&amp;"_"&amp;tbl_IO_List[[#This Row],[IO-Point 
(Instruement)]]</f>
        <v>XV-40202D_DI_1</v>
      </c>
      <c r="U53" s="136" t="s">
        <v>8</v>
      </c>
      <c r="V53" s="136">
        <f>VLOOKUP(tbl_IO_List[[#This Row],[I/O Type]],tbl_Slot_Group[],2,FALSE)</f>
        <v>1</v>
      </c>
      <c r="W53" s="136">
        <v>1</v>
      </c>
      <c r="X53" s="136" t="str">
        <f>tbl_IO_List[[#This Row],[Chassis]]&amp;"S"&amp;TEXT(tbl_IO_List[[#This Row],[Slot]],"00")</f>
        <v>C1S05</v>
      </c>
      <c r="Y53" s="136" t="str">
        <f>tbl_IO_List[[#This Row],[Chassis]]&amp;"S"&amp;TEXT(tbl_IO_List[[#This Row],[Slot]],"00")&amp;tbl_IO_List[[#This Row],[I/O Type]]&amp;TEXT(tbl_IO_List[[#This Row],[Point]],"00")</f>
        <v>C1S05DI16</v>
      </c>
      <c r="Z53" s="136" t="str">
        <f>tbl_IO_List[[#This Row],[Chassis]]&amp;"S"&amp;TEXT(tbl_IO_List[[#This Row],[Slot]],"00")&amp;","&amp;TEXT(tbl_IO_List[[#This Row],[Point]],"00")</f>
        <v>C1S05,16</v>
      </c>
      <c r="AA53" s="136" t="str">
        <f>VLOOKUP(tbl_IO_List[[#This Row],[Column23]],tbl_RackConfig[],5,FALSE) &amp;"-"&amp;tbl_IO_List[[#This Row],[Point]]</f>
        <v>1756-IB32-16</v>
      </c>
      <c r="AB53" s="136"/>
      <c r="AC53" s="136" t="s">
        <v>1370</v>
      </c>
      <c r="AD53" s="136" t="str">
        <f>tbl_IO_List[[#This Row],[I/O Type]]</f>
        <v>DI</v>
      </c>
      <c r="AE53" s="136" t="s">
        <v>1332</v>
      </c>
      <c r="AF53" s="136">
        <v>5</v>
      </c>
      <c r="AG53" s="136">
        <v>16</v>
      </c>
      <c r="AH53" s="136">
        <v>16</v>
      </c>
      <c r="AI53" s="136">
        <v>16</v>
      </c>
      <c r="AJ53" s="136">
        <v>2</v>
      </c>
      <c r="AK53" s="136">
        <v>1</v>
      </c>
      <c r="AL53" s="136">
        <v>0</v>
      </c>
      <c r="AM53" s="136">
        <v>0</v>
      </c>
      <c r="AN53" s="136">
        <v>0</v>
      </c>
      <c r="AO53" s="136"/>
      <c r="AP53" s="143" t="str">
        <f>VLOOKUP(tbl_IO_List[[#This Row],[Instruement Tag]],tbl_Instruement_List[],14,FALSE)</f>
        <v>24 VDC energized</v>
      </c>
      <c r="AQ53" s="143" t="str">
        <f>tbl_IO_List[[#This Row],[Chassis]]&amp;"S"&amp;tbl_IO_List[[#This Row],[Slot]]&amp;"-"&amp;tbl_IO_List[[#This Row],[Front Terminal Number]]</f>
        <v>C1S5-16</v>
      </c>
      <c r="AR53" s="141" t="s">
        <v>1850</v>
      </c>
      <c r="AS53" s="136" t="str">
        <f>tbl_IO_List[[#This Row],[Terminal Tagging]]&amp;"-"&amp;tbl_IO_List[[#This Row],[Point-Count]]</f>
        <v>P1-TBDI2-16</v>
      </c>
      <c r="AT53" s="136" t="str">
        <f>tbl_IO_List[[#This Row],[Front Terminal Tagging]]&amp;"/"&amp;tbl_IO_List[[#This Row],[Terminal Tagging-Item]]</f>
        <v>C1S5-16/P1-TBDI2-16</v>
      </c>
      <c r="AU53" s="136" t="str">
        <f>tbl_IO_List[[#This Row],[Terminal Tagging-Item]]&amp;"/"&amp;tbl_IO_List[[#This Row],[Front Terminal Tagging]]</f>
        <v>P1-TBDI2-16/C1S5-16</v>
      </c>
    </row>
    <row r="54" spans="1:47" hidden="1">
      <c r="A54" s="147" t="s">
        <v>1369</v>
      </c>
      <c r="B54" s="136" t="s">
        <v>114</v>
      </c>
      <c r="C54" s="136" t="str">
        <f>tbl_IO_List[[#This Row],[Column3]]</f>
        <v>C1S05,17</v>
      </c>
      <c r="D54" s="136" t="str">
        <f>tbl_IO_List[[#This Row],[Card]]</f>
        <v>1756-IB32-17</v>
      </c>
      <c r="E54" s="136" t="s">
        <v>1372</v>
      </c>
      <c r="F54" s="136" t="str">
        <f>tbl_IO_List[[#This Row],[Column23]]&amp;"-" &amp;tbl_IO_List[[#This Row],[Column52]]</f>
        <v>C1S05-X2</v>
      </c>
      <c r="G54" s="136" t="str">
        <f>tbl_IO_List[[#This Row],[PLC_Tag]]</f>
        <v>XV-40202D_DI_2</v>
      </c>
      <c r="H54" s="136"/>
      <c r="I54" s="136" t="str">
        <f>VLOOKUP(tbl_IO_List[[#This Row],[Destination]],tbl_Junction[],2,FALSE)</f>
        <v>Infeed 2nd Floor</v>
      </c>
      <c r="J54" s="136" t="s">
        <v>114</v>
      </c>
      <c r="K54" s="136" t="s">
        <v>136</v>
      </c>
      <c r="L54" s="136" t="s">
        <v>162</v>
      </c>
      <c r="M54" s="136">
        <f>VLOOKUP(tbl_IO_List[[#This Row],[Instruement Tag]],tbl_Instruement_List[],2,FALSE)</f>
        <v>0</v>
      </c>
      <c r="N54" s="136" t="s">
        <v>15</v>
      </c>
      <c r="O54" s="136" t="s">
        <v>121</v>
      </c>
      <c r="P54" s="136" t="s">
        <v>137</v>
      </c>
      <c r="Q54" s="136" t="str">
        <f>VLOOKUP(tbl_IO_List[[#This Row],[Instruement Tag]],tbl_Instruement_List[],6,FALSE)</f>
        <v>Slurry circulation pH Adjustment tank 2</v>
      </c>
      <c r="R54" s="136"/>
      <c r="S5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54" s="136" t="str">
        <f>tbl_IO_List[[#This Row],[Instruement Tag]]&amp;"_"&amp;tbl_IO_List[[#This Row],[I/O Type]]&amp;"_"&amp;tbl_IO_List[[#This Row],[IO-Point 
(Instruement)]]</f>
        <v>XV-40202D_DI_2</v>
      </c>
      <c r="U54" s="136" t="s">
        <v>8</v>
      </c>
      <c r="V54" s="136">
        <f>VLOOKUP(tbl_IO_List[[#This Row],[I/O Type]],tbl_Slot_Group[],2,FALSE)</f>
        <v>1</v>
      </c>
      <c r="W54" s="136">
        <v>2</v>
      </c>
      <c r="X54" s="136" t="str">
        <f>tbl_IO_List[[#This Row],[Chassis]]&amp;"S"&amp;TEXT(tbl_IO_List[[#This Row],[Slot]],"00")</f>
        <v>C1S05</v>
      </c>
      <c r="Y54" s="136" t="str">
        <f>tbl_IO_List[[#This Row],[Chassis]]&amp;"S"&amp;TEXT(tbl_IO_List[[#This Row],[Slot]],"00")&amp;tbl_IO_List[[#This Row],[I/O Type]]&amp;TEXT(tbl_IO_List[[#This Row],[Point]],"00")</f>
        <v>C1S05DI17</v>
      </c>
      <c r="Z54" s="136" t="str">
        <f>tbl_IO_List[[#This Row],[Chassis]]&amp;"S"&amp;TEXT(tbl_IO_List[[#This Row],[Slot]],"00")&amp;","&amp;TEXT(tbl_IO_List[[#This Row],[Point]],"00")</f>
        <v>C1S05,17</v>
      </c>
      <c r="AA54" s="136" t="str">
        <f>VLOOKUP(tbl_IO_List[[#This Row],[Column23]],tbl_RackConfig[],5,FALSE) &amp;"-"&amp;tbl_IO_List[[#This Row],[Point]]</f>
        <v>1756-IB32-17</v>
      </c>
      <c r="AB54" s="136"/>
      <c r="AC54" s="136" t="s">
        <v>1370</v>
      </c>
      <c r="AD54" s="136" t="str">
        <f>tbl_IO_List[[#This Row],[I/O Type]]</f>
        <v>DI</v>
      </c>
      <c r="AE54" s="136" t="s">
        <v>1332</v>
      </c>
      <c r="AF54" s="136">
        <v>5</v>
      </c>
      <c r="AG54" s="136">
        <v>17</v>
      </c>
      <c r="AH54" s="136">
        <v>17</v>
      </c>
      <c r="AI54" s="136">
        <v>19</v>
      </c>
      <c r="AJ54" s="136">
        <v>2</v>
      </c>
      <c r="AK54" s="136">
        <v>1</v>
      </c>
      <c r="AL54" s="136">
        <v>0</v>
      </c>
      <c r="AM54" s="136">
        <v>0</v>
      </c>
      <c r="AN54" s="136">
        <v>0</v>
      </c>
      <c r="AO54" s="136"/>
      <c r="AP54" s="143" t="str">
        <f>VLOOKUP(tbl_IO_List[[#This Row],[Instruement Tag]],tbl_Instruement_List[],14,FALSE)</f>
        <v>24 VDC energized</v>
      </c>
      <c r="AQ54" s="143" t="str">
        <f>tbl_IO_List[[#This Row],[Chassis]]&amp;"S"&amp;tbl_IO_List[[#This Row],[Slot]]&amp;"-"&amp;tbl_IO_List[[#This Row],[Front Terminal Number]]</f>
        <v>C1S5-19</v>
      </c>
      <c r="AR54" s="141" t="s">
        <v>1850</v>
      </c>
      <c r="AS54" s="136" t="str">
        <f>tbl_IO_List[[#This Row],[Terminal Tagging]]&amp;"-"&amp;tbl_IO_List[[#This Row],[Point-Count]]</f>
        <v>P1-TBDI2-17</v>
      </c>
      <c r="AT54" s="136" t="str">
        <f>tbl_IO_List[[#This Row],[Front Terminal Tagging]]&amp;"/"&amp;tbl_IO_List[[#This Row],[Terminal Tagging-Item]]</f>
        <v>C1S5-19/P1-TBDI2-17</v>
      </c>
      <c r="AU54" s="136" t="str">
        <f>tbl_IO_List[[#This Row],[Terminal Tagging-Item]]&amp;"/"&amp;tbl_IO_List[[#This Row],[Front Terminal Tagging]]</f>
        <v>P1-TBDI2-17/C1S5-19</v>
      </c>
    </row>
    <row r="55" spans="1:47" hidden="1">
      <c r="A55" s="147" t="s">
        <v>1369</v>
      </c>
      <c r="B55" s="136" t="s">
        <v>114</v>
      </c>
      <c r="C55" s="136" t="str">
        <f>tbl_IO_List[[#This Row],[Column3]]</f>
        <v>C1S05,18</v>
      </c>
      <c r="D55" s="136" t="str">
        <f>tbl_IO_List[[#This Row],[Card]]</f>
        <v>1756-IB32-18</v>
      </c>
      <c r="E55" s="136" t="s">
        <v>1372</v>
      </c>
      <c r="F55" s="136" t="str">
        <f>tbl_IO_List[[#This Row],[Column23]]&amp;"-" &amp;tbl_IO_List[[#This Row],[Column52]]</f>
        <v>C1S05-X2</v>
      </c>
      <c r="G55" s="136" t="str">
        <f>tbl_IO_List[[#This Row],[PLC_Tag]]</f>
        <v>XV-40202E_DI_1</v>
      </c>
      <c r="H55" s="136"/>
      <c r="I55" s="136" t="str">
        <f>VLOOKUP(tbl_IO_List[[#This Row],[Destination]],tbl_Junction[],2,FALSE)</f>
        <v>Infeed 2nd Floor</v>
      </c>
      <c r="J55" s="136" t="s">
        <v>114</v>
      </c>
      <c r="K55" s="136" t="s">
        <v>136</v>
      </c>
      <c r="L55" s="136" t="s">
        <v>163</v>
      </c>
      <c r="M55" s="136">
        <f>VLOOKUP(tbl_IO_List[[#This Row],[Instruement Tag]],tbl_Instruement_List[],2,FALSE)</f>
        <v>0</v>
      </c>
      <c r="N55" s="136" t="s">
        <v>15</v>
      </c>
      <c r="O55" s="136" t="s">
        <v>121</v>
      </c>
      <c r="P55" s="136" t="s">
        <v>137</v>
      </c>
      <c r="Q55" s="136" t="str">
        <f>VLOOKUP(tbl_IO_List[[#This Row],[Instruement Tag]],tbl_Instruement_List[],6,FALSE)</f>
        <v>Slurry pH Adjustment tank 2 transfer to pH Adjustment tank 1</v>
      </c>
      <c r="R55" s="136"/>
      <c r="S5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55" s="136" t="str">
        <f>tbl_IO_List[[#This Row],[Instruement Tag]]&amp;"_"&amp;tbl_IO_List[[#This Row],[I/O Type]]&amp;"_"&amp;tbl_IO_List[[#This Row],[IO-Point 
(Instruement)]]</f>
        <v>XV-40202E_DI_1</v>
      </c>
      <c r="U55" s="136" t="s">
        <v>8</v>
      </c>
      <c r="V55" s="136">
        <f>VLOOKUP(tbl_IO_List[[#This Row],[I/O Type]],tbl_Slot_Group[],2,FALSE)</f>
        <v>1</v>
      </c>
      <c r="W55" s="136">
        <v>1</v>
      </c>
      <c r="X55" s="136" t="str">
        <f>tbl_IO_List[[#This Row],[Chassis]]&amp;"S"&amp;TEXT(tbl_IO_List[[#This Row],[Slot]],"00")</f>
        <v>C1S05</v>
      </c>
      <c r="Y55" s="136" t="str">
        <f>tbl_IO_List[[#This Row],[Chassis]]&amp;"S"&amp;TEXT(tbl_IO_List[[#This Row],[Slot]],"00")&amp;tbl_IO_List[[#This Row],[I/O Type]]&amp;TEXT(tbl_IO_List[[#This Row],[Point]],"00")</f>
        <v>C1S05DI18</v>
      </c>
      <c r="Z55" s="136" t="str">
        <f>tbl_IO_List[[#This Row],[Chassis]]&amp;"S"&amp;TEXT(tbl_IO_List[[#This Row],[Slot]],"00")&amp;","&amp;TEXT(tbl_IO_List[[#This Row],[Point]],"00")</f>
        <v>C1S05,18</v>
      </c>
      <c r="AA55" s="136" t="str">
        <f>VLOOKUP(tbl_IO_List[[#This Row],[Column23]],tbl_RackConfig[],5,FALSE) &amp;"-"&amp;tbl_IO_List[[#This Row],[Point]]</f>
        <v>1756-IB32-18</v>
      </c>
      <c r="AB55" s="136"/>
      <c r="AC55" s="136" t="s">
        <v>1370</v>
      </c>
      <c r="AD55" s="136" t="str">
        <f>tbl_IO_List[[#This Row],[I/O Type]]</f>
        <v>DI</v>
      </c>
      <c r="AE55" s="136" t="s">
        <v>1332</v>
      </c>
      <c r="AF55" s="136">
        <v>5</v>
      </c>
      <c r="AG55" s="136">
        <v>18</v>
      </c>
      <c r="AH55" s="136">
        <v>18</v>
      </c>
      <c r="AI55" s="136">
        <v>20</v>
      </c>
      <c r="AJ55" s="136">
        <v>2</v>
      </c>
      <c r="AK55" s="136">
        <v>1</v>
      </c>
      <c r="AL55" s="136">
        <v>0</v>
      </c>
      <c r="AM55" s="136">
        <v>0</v>
      </c>
      <c r="AN55" s="136">
        <v>0</v>
      </c>
      <c r="AO55" s="136"/>
      <c r="AP55" s="143" t="str">
        <f>VLOOKUP(tbl_IO_List[[#This Row],[Instruement Tag]],tbl_Instruement_List[],14,FALSE)</f>
        <v>24 VDC energized</v>
      </c>
      <c r="AQ55" s="143" t="str">
        <f>tbl_IO_List[[#This Row],[Chassis]]&amp;"S"&amp;tbl_IO_List[[#This Row],[Slot]]&amp;"-"&amp;tbl_IO_List[[#This Row],[Front Terminal Number]]</f>
        <v>C1S5-20</v>
      </c>
      <c r="AR55" s="141" t="s">
        <v>1850</v>
      </c>
      <c r="AS55" s="136" t="str">
        <f>tbl_IO_List[[#This Row],[Terminal Tagging]]&amp;"-"&amp;tbl_IO_List[[#This Row],[Point-Count]]</f>
        <v>P1-TBDI2-18</v>
      </c>
      <c r="AT55" s="136" t="str">
        <f>tbl_IO_List[[#This Row],[Front Terminal Tagging]]&amp;"/"&amp;tbl_IO_List[[#This Row],[Terminal Tagging-Item]]</f>
        <v>C1S5-20/P1-TBDI2-18</v>
      </c>
      <c r="AU55" s="136" t="str">
        <f>tbl_IO_List[[#This Row],[Terminal Tagging-Item]]&amp;"/"&amp;tbl_IO_List[[#This Row],[Front Terminal Tagging]]</f>
        <v>P1-TBDI2-18/C1S5-20</v>
      </c>
    </row>
    <row r="56" spans="1:47" hidden="1">
      <c r="A56" s="147" t="s">
        <v>1369</v>
      </c>
      <c r="B56" s="136" t="s">
        <v>114</v>
      </c>
      <c r="C56" s="136" t="str">
        <f>tbl_IO_List[[#This Row],[Column3]]</f>
        <v>C1S05,19</v>
      </c>
      <c r="D56" s="136" t="str">
        <f>tbl_IO_List[[#This Row],[Card]]</f>
        <v>1756-IB32-19</v>
      </c>
      <c r="E56" s="136" t="s">
        <v>1372</v>
      </c>
      <c r="F56" s="136" t="str">
        <f>tbl_IO_List[[#This Row],[Column23]]&amp;"-" &amp;tbl_IO_List[[#This Row],[Column52]]</f>
        <v>C1S05-X2</v>
      </c>
      <c r="G56" s="136" t="str">
        <f>tbl_IO_List[[#This Row],[PLC_Tag]]</f>
        <v>XV-40202A_DI_1</v>
      </c>
      <c r="H56" s="136"/>
      <c r="I56" s="136" t="str">
        <f>VLOOKUP(tbl_IO_List[[#This Row],[Destination]],tbl_Junction[],2,FALSE)</f>
        <v>Infeed 2nd Floor</v>
      </c>
      <c r="J56" s="136" t="s">
        <v>114</v>
      </c>
      <c r="K56" s="136" t="s">
        <v>136</v>
      </c>
      <c r="L56" s="136" t="s">
        <v>159</v>
      </c>
      <c r="M56" s="136">
        <f>VLOOKUP(tbl_IO_List[[#This Row],[Instruement Tag]],tbl_Instruement_List[],2,FALSE)</f>
        <v>0</v>
      </c>
      <c r="N56" s="136" t="s">
        <v>15</v>
      </c>
      <c r="O56" s="136" t="s">
        <v>121</v>
      </c>
      <c r="P56" s="136" t="s">
        <v>137</v>
      </c>
      <c r="Q56" s="136" t="str">
        <f>VLOOKUP(tbl_IO_List[[#This Row],[Instruement Tag]],tbl_Instruement_List[],6,FALSE)</f>
        <v>Slurry feed-in pH Adjustment tank 2</v>
      </c>
      <c r="R56" s="136"/>
      <c r="S5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56" s="136" t="str">
        <f>tbl_IO_List[[#This Row],[Instruement Tag]]&amp;"_"&amp;tbl_IO_List[[#This Row],[I/O Type]]&amp;"_"&amp;tbl_IO_List[[#This Row],[IO-Point 
(Instruement)]]</f>
        <v>XV-40202A_DI_1</v>
      </c>
      <c r="U56" s="136" t="s">
        <v>8</v>
      </c>
      <c r="V56" s="136">
        <f>VLOOKUP(tbl_IO_List[[#This Row],[I/O Type]],tbl_Slot_Group[],2,FALSE)</f>
        <v>1</v>
      </c>
      <c r="W56" s="136">
        <v>1</v>
      </c>
      <c r="X56" s="136" t="str">
        <f>tbl_IO_List[[#This Row],[Chassis]]&amp;"S"&amp;TEXT(tbl_IO_List[[#This Row],[Slot]],"00")</f>
        <v>C1S05</v>
      </c>
      <c r="Y56" s="136" t="str">
        <f>tbl_IO_List[[#This Row],[Chassis]]&amp;"S"&amp;TEXT(tbl_IO_List[[#This Row],[Slot]],"00")&amp;tbl_IO_List[[#This Row],[I/O Type]]&amp;TEXT(tbl_IO_List[[#This Row],[Point]],"00")</f>
        <v>C1S05DI19</v>
      </c>
      <c r="Z56" s="136" t="str">
        <f>tbl_IO_List[[#This Row],[Chassis]]&amp;"S"&amp;TEXT(tbl_IO_List[[#This Row],[Slot]],"00")&amp;","&amp;TEXT(tbl_IO_List[[#This Row],[Point]],"00")</f>
        <v>C1S05,19</v>
      </c>
      <c r="AA56" s="136" t="str">
        <f>VLOOKUP(tbl_IO_List[[#This Row],[Column23]],tbl_RackConfig[],5,FALSE) &amp;"-"&amp;tbl_IO_List[[#This Row],[Point]]</f>
        <v>1756-IB32-19</v>
      </c>
      <c r="AB56" s="136"/>
      <c r="AC56" s="136" t="s">
        <v>1370</v>
      </c>
      <c r="AD56" s="136" t="str">
        <f>tbl_IO_List[[#This Row],[I/O Type]]</f>
        <v>DI</v>
      </c>
      <c r="AE56" s="136" t="s">
        <v>1332</v>
      </c>
      <c r="AF56" s="136">
        <v>5</v>
      </c>
      <c r="AG56" s="136">
        <v>19</v>
      </c>
      <c r="AH56" s="136">
        <v>19</v>
      </c>
      <c r="AI56" s="136">
        <v>21</v>
      </c>
      <c r="AJ56" s="136">
        <v>2</v>
      </c>
      <c r="AK56" s="136">
        <v>1</v>
      </c>
      <c r="AL56" s="136">
        <v>0</v>
      </c>
      <c r="AM56" s="136">
        <v>0</v>
      </c>
      <c r="AN56" s="136">
        <v>0</v>
      </c>
      <c r="AO56" s="136"/>
      <c r="AP56" s="143" t="str">
        <f>VLOOKUP(tbl_IO_List[[#This Row],[Instruement Tag]],tbl_Instruement_List[],14,FALSE)</f>
        <v>24 VDC energized</v>
      </c>
      <c r="AQ56" s="143" t="str">
        <f>tbl_IO_List[[#This Row],[Chassis]]&amp;"S"&amp;tbl_IO_List[[#This Row],[Slot]]&amp;"-"&amp;tbl_IO_List[[#This Row],[Front Terminal Number]]</f>
        <v>C1S5-21</v>
      </c>
      <c r="AR56" s="141" t="s">
        <v>1850</v>
      </c>
      <c r="AS56" s="136" t="str">
        <f>tbl_IO_List[[#This Row],[Terminal Tagging]]&amp;"-"&amp;tbl_IO_List[[#This Row],[Point-Count]]</f>
        <v>P1-TBDI2-19</v>
      </c>
      <c r="AT56" s="136" t="str">
        <f>tbl_IO_List[[#This Row],[Front Terminal Tagging]]&amp;"/"&amp;tbl_IO_List[[#This Row],[Terminal Tagging-Item]]</f>
        <v>C1S5-21/P1-TBDI2-19</v>
      </c>
      <c r="AU56" s="136" t="str">
        <f>tbl_IO_List[[#This Row],[Terminal Tagging-Item]]&amp;"/"&amp;tbl_IO_List[[#This Row],[Front Terminal Tagging]]</f>
        <v>P1-TBDI2-19/C1S5-21</v>
      </c>
    </row>
    <row r="57" spans="1:47" hidden="1">
      <c r="A57" s="147" t="s">
        <v>1369</v>
      </c>
      <c r="B57" s="136" t="s">
        <v>114</v>
      </c>
      <c r="C57" s="136" t="str">
        <f>tbl_IO_List[[#This Row],[Column3]]</f>
        <v>C1S05,19</v>
      </c>
      <c r="D57" s="136" t="str">
        <f>tbl_IO_List[[#This Row],[Card]]</f>
        <v>1756-IB32-19</v>
      </c>
      <c r="E57" s="136" t="s">
        <v>1372</v>
      </c>
      <c r="F57" s="136" t="str">
        <f>tbl_IO_List[[#This Row],[Column23]]&amp;"-" &amp;tbl_IO_List[[#This Row],[Column52]]</f>
        <v>C1S05-X2</v>
      </c>
      <c r="G57" s="136" t="str">
        <f>tbl_IO_List[[#This Row],[PLC_Tag]]</f>
        <v>XV-40202E_DI_2</v>
      </c>
      <c r="H57" s="136"/>
      <c r="I57" s="136" t="str">
        <f>VLOOKUP(tbl_IO_List[[#This Row],[Destination]],tbl_Junction[],2,FALSE)</f>
        <v>Infeed 2nd Floor</v>
      </c>
      <c r="J57" s="136" t="s">
        <v>114</v>
      </c>
      <c r="K57" s="136" t="s">
        <v>136</v>
      </c>
      <c r="L57" s="136" t="s">
        <v>163</v>
      </c>
      <c r="M57" s="136">
        <f>VLOOKUP(tbl_IO_List[[#This Row],[Instruement Tag]],tbl_Instruement_List[],2,FALSE)</f>
        <v>0</v>
      </c>
      <c r="N57" s="136" t="s">
        <v>15</v>
      </c>
      <c r="O57" s="136" t="s">
        <v>121</v>
      </c>
      <c r="P57" s="136" t="s">
        <v>137</v>
      </c>
      <c r="Q57" s="136" t="str">
        <f>VLOOKUP(tbl_IO_List[[#This Row],[Instruement Tag]],tbl_Instruement_List[],6,FALSE)</f>
        <v>Slurry pH Adjustment tank 2 transfer to pH Adjustment tank 1</v>
      </c>
      <c r="R57" s="136"/>
      <c r="S5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57" s="136" t="str">
        <f>tbl_IO_List[[#This Row],[Instruement Tag]]&amp;"_"&amp;tbl_IO_List[[#This Row],[I/O Type]]&amp;"_"&amp;tbl_IO_List[[#This Row],[IO-Point 
(Instruement)]]</f>
        <v>XV-40202E_DI_2</v>
      </c>
      <c r="U57" s="136" t="s">
        <v>8</v>
      </c>
      <c r="V57" s="136">
        <f>VLOOKUP(tbl_IO_List[[#This Row],[I/O Type]],tbl_Slot_Group[],2,FALSE)</f>
        <v>1</v>
      </c>
      <c r="W57" s="136">
        <v>2</v>
      </c>
      <c r="X57" s="136" t="str">
        <f>tbl_IO_List[[#This Row],[Chassis]]&amp;"S"&amp;TEXT(tbl_IO_List[[#This Row],[Slot]],"00")</f>
        <v>C1S05</v>
      </c>
      <c r="Y57" s="136" t="str">
        <f>tbl_IO_List[[#This Row],[Chassis]]&amp;"S"&amp;TEXT(tbl_IO_List[[#This Row],[Slot]],"00")&amp;tbl_IO_List[[#This Row],[I/O Type]]&amp;TEXT(tbl_IO_List[[#This Row],[Point]],"00")</f>
        <v>C1S05DI19</v>
      </c>
      <c r="Z57" s="136" t="str">
        <f>tbl_IO_List[[#This Row],[Chassis]]&amp;"S"&amp;TEXT(tbl_IO_List[[#This Row],[Slot]],"00")&amp;","&amp;TEXT(tbl_IO_List[[#This Row],[Point]],"00")</f>
        <v>C1S05,19</v>
      </c>
      <c r="AA57" s="136" t="str">
        <f>VLOOKUP(tbl_IO_List[[#This Row],[Column23]],tbl_RackConfig[],5,FALSE) &amp;"-"&amp;tbl_IO_List[[#This Row],[Point]]</f>
        <v>1756-IB32-19</v>
      </c>
      <c r="AB57" s="136"/>
      <c r="AC57" s="136" t="s">
        <v>1370</v>
      </c>
      <c r="AD57" s="136" t="str">
        <f>tbl_IO_List[[#This Row],[I/O Type]]</f>
        <v>DI</v>
      </c>
      <c r="AE57" s="136" t="s">
        <v>1332</v>
      </c>
      <c r="AF57" s="136">
        <v>5</v>
      </c>
      <c r="AG57" s="136">
        <v>19</v>
      </c>
      <c r="AH57" s="136">
        <v>20</v>
      </c>
      <c r="AI57" s="136">
        <v>22</v>
      </c>
      <c r="AJ57" s="136">
        <v>2</v>
      </c>
      <c r="AK57" s="136">
        <v>1</v>
      </c>
      <c r="AL57" s="136">
        <v>0</v>
      </c>
      <c r="AM57" s="136">
        <v>0</v>
      </c>
      <c r="AN57" s="136">
        <v>0</v>
      </c>
      <c r="AO57" s="136"/>
      <c r="AP57" s="143" t="str">
        <f>VLOOKUP(tbl_IO_List[[#This Row],[Instruement Tag]],tbl_Instruement_List[],14,FALSE)</f>
        <v>24 VDC energized</v>
      </c>
      <c r="AQ57" s="143" t="str">
        <f>tbl_IO_List[[#This Row],[Chassis]]&amp;"S"&amp;tbl_IO_List[[#This Row],[Slot]]&amp;"-"&amp;tbl_IO_List[[#This Row],[Front Terminal Number]]</f>
        <v>C1S5-22</v>
      </c>
      <c r="AR57" s="141" t="s">
        <v>1850</v>
      </c>
      <c r="AS57" s="136" t="str">
        <f>tbl_IO_List[[#This Row],[Terminal Tagging]]&amp;"-"&amp;tbl_IO_List[[#This Row],[Point-Count]]</f>
        <v>P1-TBDI2-20</v>
      </c>
      <c r="AT57" s="136" t="str">
        <f>tbl_IO_List[[#This Row],[Front Terminal Tagging]]&amp;"/"&amp;tbl_IO_List[[#This Row],[Terminal Tagging-Item]]</f>
        <v>C1S5-22/P1-TBDI2-20</v>
      </c>
      <c r="AU57" s="136" t="str">
        <f>tbl_IO_List[[#This Row],[Terminal Tagging-Item]]&amp;"/"&amp;tbl_IO_List[[#This Row],[Front Terminal Tagging]]</f>
        <v>P1-TBDI2-20/C1S5-22</v>
      </c>
    </row>
    <row r="58" spans="1:47" hidden="1">
      <c r="A58" s="147" t="s">
        <v>1369</v>
      </c>
      <c r="B58" s="136" t="s">
        <v>114</v>
      </c>
      <c r="C58" s="136" t="str">
        <f>tbl_IO_List[[#This Row],[Column3]]</f>
        <v>C1S05,20</v>
      </c>
      <c r="D58" s="136" t="str">
        <f>tbl_IO_List[[#This Row],[Card]]</f>
        <v>1756-IB32-20</v>
      </c>
      <c r="E58" s="136" t="s">
        <v>1372</v>
      </c>
      <c r="F58" s="136" t="str">
        <f>tbl_IO_List[[#This Row],[Column23]]&amp;"-" &amp;tbl_IO_List[[#This Row],[Column52]]</f>
        <v>C1S05-X2</v>
      </c>
      <c r="G58" s="136" t="str">
        <f>tbl_IO_List[[#This Row],[PLC_Tag]]</f>
        <v>XV-40202F_DI_1</v>
      </c>
      <c r="H58" s="136"/>
      <c r="I58" s="136" t="str">
        <f>VLOOKUP(tbl_IO_List[[#This Row],[Destination]],tbl_Junction[],2,FALSE)</f>
        <v>Infeed 2nd Floor</v>
      </c>
      <c r="J58" s="136" t="s">
        <v>114</v>
      </c>
      <c r="K58" s="136" t="s">
        <v>136</v>
      </c>
      <c r="L58" s="136" t="s">
        <v>164</v>
      </c>
      <c r="M58" s="136">
        <f>VLOOKUP(tbl_IO_List[[#This Row],[Instruement Tag]],tbl_Instruement_List[],2,FALSE)</f>
        <v>0</v>
      </c>
      <c r="N58" s="136" t="s">
        <v>15</v>
      </c>
      <c r="O58" s="136" t="s">
        <v>121</v>
      </c>
      <c r="P58" s="136" t="s">
        <v>137</v>
      </c>
      <c r="Q58" s="136" t="str">
        <f>VLOOKUP(tbl_IO_List[[#This Row],[Instruement Tag]],tbl_Instruement_List[],6,FALSE)</f>
        <v>Slurry feed-to spray dry tank</v>
      </c>
      <c r="R58" s="136"/>
      <c r="S5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58" s="136" t="str">
        <f>tbl_IO_List[[#This Row],[Instruement Tag]]&amp;"_"&amp;tbl_IO_List[[#This Row],[I/O Type]]&amp;"_"&amp;tbl_IO_List[[#This Row],[IO-Point 
(Instruement)]]</f>
        <v>XV-40202F_DI_1</v>
      </c>
      <c r="U58" s="136" t="s">
        <v>8</v>
      </c>
      <c r="V58" s="136">
        <f>VLOOKUP(tbl_IO_List[[#This Row],[I/O Type]],tbl_Slot_Group[],2,FALSE)</f>
        <v>1</v>
      </c>
      <c r="W58" s="136">
        <v>1</v>
      </c>
      <c r="X58" s="136" t="str">
        <f>tbl_IO_List[[#This Row],[Chassis]]&amp;"S"&amp;TEXT(tbl_IO_List[[#This Row],[Slot]],"00")</f>
        <v>C1S05</v>
      </c>
      <c r="Y58" s="136" t="str">
        <f>tbl_IO_List[[#This Row],[Chassis]]&amp;"S"&amp;TEXT(tbl_IO_List[[#This Row],[Slot]],"00")&amp;tbl_IO_List[[#This Row],[I/O Type]]&amp;TEXT(tbl_IO_List[[#This Row],[Point]],"00")</f>
        <v>C1S05DI20</v>
      </c>
      <c r="Z58" s="136" t="str">
        <f>tbl_IO_List[[#This Row],[Chassis]]&amp;"S"&amp;TEXT(tbl_IO_List[[#This Row],[Slot]],"00")&amp;","&amp;TEXT(tbl_IO_List[[#This Row],[Point]],"00")</f>
        <v>C1S05,20</v>
      </c>
      <c r="AA58" s="136" t="str">
        <f>VLOOKUP(tbl_IO_List[[#This Row],[Column23]],tbl_RackConfig[],5,FALSE) &amp;"-"&amp;tbl_IO_List[[#This Row],[Point]]</f>
        <v>1756-IB32-20</v>
      </c>
      <c r="AB58" s="136"/>
      <c r="AC58" s="136" t="s">
        <v>1370</v>
      </c>
      <c r="AD58" s="136" t="str">
        <f>tbl_IO_List[[#This Row],[I/O Type]]</f>
        <v>DI</v>
      </c>
      <c r="AE58" s="136" t="s">
        <v>1332</v>
      </c>
      <c r="AF58" s="136">
        <v>5</v>
      </c>
      <c r="AG58" s="136">
        <v>20</v>
      </c>
      <c r="AH58" s="136">
        <v>21</v>
      </c>
      <c r="AI58" s="136">
        <v>23</v>
      </c>
      <c r="AJ58" s="136">
        <v>2</v>
      </c>
      <c r="AK58" s="136">
        <v>1</v>
      </c>
      <c r="AL58" s="136">
        <v>0</v>
      </c>
      <c r="AM58" s="136">
        <v>0</v>
      </c>
      <c r="AN58" s="136">
        <v>0</v>
      </c>
      <c r="AO58" s="136"/>
      <c r="AP58" s="143" t="str">
        <f>VLOOKUP(tbl_IO_List[[#This Row],[Instruement Tag]],tbl_Instruement_List[],14,FALSE)</f>
        <v>24 VDC energized</v>
      </c>
      <c r="AQ58" s="143" t="str">
        <f>tbl_IO_List[[#This Row],[Chassis]]&amp;"S"&amp;tbl_IO_List[[#This Row],[Slot]]&amp;"-"&amp;tbl_IO_List[[#This Row],[Front Terminal Number]]</f>
        <v>C1S5-23</v>
      </c>
      <c r="AR58" s="141" t="s">
        <v>1850</v>
      </c>
      <c r="AS58" s="136" t="str">
        <f>tbl_IO_List[[#This Row],[Terminal Tagging]]&amp;"-"&amp;tbl_IO_List[[#This Row],[Point-Count]]</f>
        <v>P1-TBDI2-21</v>
      </c>
      <c r="AT58" s="136" t="str">
        <f>tbl_IO_List[[#This Row],[Front Terminal Tagging]]&amp;"/"&amp;tbl_IO_List[[#This Row],[Terminal Tagging-Item]]</f>
        <v>C1S5-23/P1-TBDI2-21</v>
      </c>
      <c r="AU58" s="136" t="str">
        <f>tbl_IO_List[[#This Row],[Terminal Tagging-Item]]&amp;"/"&amp;tbl_IO_List[[#This Row],[Front Terminal Tagging]]</f>
        <v>P1-TBDI2-21/C1S5-23</v>
      </c>
    </row>
    <row r="59" spans="1:47" hidden="1">
      <c r="A59" s="147" t="s">
        <v>1369</v>
      </c>
      <c r="B59" s="136" t="s">
        <v>114</v>
      </c>
      <c r="C59" s="136" t="str">
        <f>tbl_IO_List[[#This Row],[Column3]]</f>
        <v>C1S05,21</v>
      </c>
      <c r="D59" s="136" t="str">
        <f>tbl_IO_List[[#This Row],[Card]]</f>
        <v>1756-IB32-21</v>
      </c>
      <c r="E59" s="136" t="s">
        <v>1372</v>
      </c>
      <c r="F59" s="136" t="str">
        <f>tbl_IO_List[[#This Row],[Column23]]&amp;"-" &amp;tbl_IO_List[[#This Row],[Column52]]</f>
        <v>C1S05-X2</v>
      </c>
      <c r="G59" s="136" t="str">
        <f>tbl_IO_List[[#This Row],[PLC_Tag]]</f>
        <v>XV-40202F_DI_2</v>
      </c>
      <c r="H59" s="136"/>
      <c r="I59" s="136" t="str">
        <f>VLOOKUP(tbl_IO_List[[#This Row],[Destination]],tbl_Junction[],2,FALSE)</f>
        <v>Infeed 2nd Floor</v>
      </c>
      <c r="J59" s="136" t="s">
        <v>114</v>
      </c>
      <c r="K59" s="136" t="s">
        <v>136</v>
      </c>
      <c r="L59" s="136" t="s">
        <v>164</v>
      </c>
      <c r="M59" s="136">
        <f>VLOOKUP(tbl_IO_List[[#This Row],[Instruement Tag]],tbl_Instruement_List[],2,FALSE)</f>
        <v>0</v>
      </c>
      <c r="N59" s="136" t="s">
        <v>15</v>
      </c>
      <c r="O59" s="136" t="s">
        <v>121</v>
      </c>
      <c r="P59" s="136" t="s">
        <v>137</v>
      </c>
      <c r="Q59" s="136" t="str">
        <f>VLOOKUP(tbl_IO_List[[#This Row],[Instruement Tag]],tbl_Instruement_List[],6,FALSE)</f>
        <v>Slurry feed-to spray dry tank</v>
      </c>
      <c r="R59" s="136"/>
      <c r="S5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59" s="136" t="str">
        <f>tbl_IO_List[[#This Row],[Instruement Tag]]&amp;"_"&amp;tbl_IO_List[[#This Row],[I/O Type]]&amp;"_"&amp;tbl_IO_List[[#This Row],[IO-Point 
(Instruement)]]</f>
        <v>XV-40202F_DI_2</v>
      </c>
      <c r="U59" s="136" t="s">
        <v>8</v>
      </c>
      <c r="V59" s="136">
        <f>VLOOKUP(tbl_IO_List[[#This Row],[I/O Type]],tbl_Slot_Group[],2,FALSE)</f>
        <v>1</v>
      </c>
      <c r="W59" s="136">
        <v>2</v>
      </c>
      <c r="X59" s="136" t="str">
        <f>tbl_IO_List[[#This Row],[Chassis]]&amp;"S"&amp;TEXT(tbl_IO_List[[#This Row],[Slot]],"00")</f>
        <v>C1S05</v>
      </c>
      <c r="Y59" s="136" t="str">
        <f>tbl_IO_List[[#This Row],[Chassis]]&amp;"S"&amp;TEXT(tbl_IO_List[[#This Row],[Slot]],"00")&amp;tbl_IO_List[[#This Row],[I/O Type]]&amp;TEXT(tbl_IO_List[[#This Row],[Point]],"00")</f>
        <v>C1S05DI21</v>
      </c>
      <c r="Z59" s="136" t="str">
        <f>tbl_IO_List[[#This Row],[Chassis]]&amp;"S"&amp;TEXT(tbl_IO_List[[#This Row],[Slot]],"00")&amp;","&amp;TEXT(tbl_IO_List[[#This Row],[Point]],"00")</f>
        <v>C1S05,21</v>
      </c>
      <c r="AA59" s="136" t="str">
        <f>VLOOKUP(tbl_IO_List[[#This Row],[Column23]],tbl_RackConfig[],5,FALSE) &amp;"-"&amp;tbl_IO_List[[#This Row],[Point]]</f>
        <v>1756-IB32-21</v>
      </c>
      <c r="AB59" s="136"/>
      <c r="AC59" s="136" t="s">
        <v>1370</v>
      </c>
      <c r="AD59" s="136" t="str">
        <f>tbl_IO_List[[#This Row],[I/O Type]]</f>
        <v>DI</v>
      </c>
      <c r="AE59" s="136" t="s">
        <v>1332</v>
      </c>
      <c r="AF59" s="136">
        <v>5</v>
      </c>
      <c r="AG59" s="136">
        <v>21</v>
      </c>
      <c r="AH59" s="136">
        <v>22</v>
      </c>
      <c r="AI59" s="136">
        <v>24</v>
      </c>
      <c r="AJ59" s="136">
        <v>2</v>
      </c>
      <c r="AK59" s="136">
        <v>1</v>
      </c>
      <c r="AL59" s="136">
        <v>0</v>
      </c>
      <c r="AM59" s="136">
        <v>0</v>
      </c>
      <c r="AN59" s="136">
        <v>0</v>
      </c>
      <c r="AO59" s="136"/>
      <c r="AP59" s="143" t="str">
        <f>VLOOKUP(tbl_IO_List[[#This Row],[Instruement Tag]],tbl_Instruement_List[],14,FALSE)</f>
        <v>24 VDC energized</v>
      </c>
      <c r="AQ59" s="143" t="str">
        <f>tbl_IO_List[[#This Row],[Chassis]]&amp;"S"&amp;tbl_IO_List[[#This Row],[Slot]]&amp;"-"&amp;tbl_IO_List[[#This Row],[Front Terminal Number]]</f>
        <v>C1S5-24</v>
      </c>
      <c r="AR59" s="141" t="s">
        <v>1850</v>
      </c>
      <c r="AS59" s="136" t="str">
        <f>tbl_IO_List[[#This Row],[Terminal Tagging]]&amp;"-"&amp;tbl_IO_List[[#This Row],[Point-Count]]</f>
        <v>P1-TBDI2-22</v>
      </c>
      <c r="AT59" s="136" t="str">
        <f>tbl_IO_List[[#This Row],[Front Terminal Tagging]]&amp;"/"&amp;tbl_IO_List[[#This Row],[Terminal Tagging-Item]]</f>
        <v>C1S5-24/P1-TBDI2-22</v>
      </c>
      <c r="AU59" s="136" t="str">
        <f>tbl_IO_List[[#This Row],[Terminal Tagging-Item]]&amp;"/"&amp;tbl_IO_List[[#This Row],[Front Terminal Tagging]]</f>
        <v>P1-TBDI2-22/C1S5-24</v>
      </c>
    </row>
    <row r="60" spans="1:47" hidden="1">
      <c r="A60" s="147" t="s">
        <v>1369</v>
      </c>
      <c r="B60" s="136" t="s">
        <v>114</v>
      </c>
      <c r="C60" s="136" t="str">
        <f>tbl_IO_List[[#This Row],[Column3]]</f>
        <v>C1S05,22</v>
      </c>
      <c r="D60" s="136" t="str">
        <f>tbl_IO_List[[#This Row],[Card]]</f>
        <v>1756-IB32-22</v>
      </c>
      <c r="E60" s="136" t="s">
        <v>1372</v>
      </c>
      <c r="F60" s="136" t="str">
        <f>tbl_IO_List[[#This Row],[Column23]]&amp;"-" &amp;tbl_IO_List[[#This Row],[Column52]]</f>
        <v>C1S05-X2</v>
      </c>
      <c r="G60" s="136" t="str">
        <f>tbl_IO_List[[#This Row],[PLC_Tag]]</f>
        <v>XV-40202G_DI_1</v>
      </c>
      <c r="H60" s="136"/>
      <c r="I60" s="136" t="str">
        <f>VLOOKUP(tbl_IO_List[[#This Row],[Destination]],tbl_Junction[],2,FALSE)</f>
        <v>Infeed 2nd Floor</v>
      </c>
      <c r="J60" s="136" t="s">
        <v>114</v>
      </c>
      <c r="K60" s="136" t="s">
        <v>136</v>
      </c>
      <c r="L60" s="136" t="s">
        <v>165</v>
      </c>
      <c r="M60" s="136">
        <f>VLOOKUP(tbl_IO_List[[#This Row],[Instruement Tag]],tbl_Instruement_List[],2,FALSE)</f>
        <v>0</v>
      </c>
      <c r="N60" s="136" t="s">
        <v>15</v>
      </c>
      <c r="O60" s="136" t="s">
        <v>121</v>
      </c>
      <c r="P60" s="136" t="s">
        <v>137</v>
      </c>
      <c r="Q60" s="136" t="str">
        <f>VLOOKUP(tbl_IO_List[[#This Row],[Instruement Tag]],tbl_Instruement_List[],6,FALSE)</f>
        <v>CIP water washing pH Adjustment tank 2</v>
      </c>
      <c r="R60" s="136"/>
      <c r="S6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60" s="136" t="str">
        <f>tbl_IO_List[[#This Row],[Instruement Tag]]&amp;"_"&amp;tbl_IO_List[[#This Row],[I/O Type]]&amp;"_"&amp;tbl_IO_List[[#This Row],[IO-Point 
(Instruement)]]</f>
        <v>XV-40202G_DI_1</v>
      </c>
      <c r="U60" s="136" t="s">
        <v>8</v>
      </c>
      <c r="V60" s="136">
        <f>VLOOKUP(tbl_IO_List[[#This Row],[I/O Type]],tbl_Slot_Group[],2,FALSE)</f>
        <v>1</v>
      </c>
      <c r="W60" s="136">
        <v>1</v>
      </c>
      <c r="X60" s="136" t="str">
        <f>tbl_IO_List[[#This Row],[Chassis]]&amp;"S"&amp;TEXT(tbl_IO_List[[#This Row],[Slot]],"00")</f>
        <v>C1S05</v>
      </c>
      <c r="Y60" s="136" t="str">
        <f>tbl_IO_List[[#This Row],[Chassis]]&amp;"S"&amp;TEXT(tbl_IO_List[[#This Row],[Slot]],"00")&amp;tbl_IO_List[[#This Row],[I/O Type]]&amp;TEXT(tbl_IO_List[[#This Row],[Point]],"00")</f>
        <v>C1S05DI22</v>
      </c>
      <c r="Z60" s="136" t="str">
        <f>tbl_IO_List[[#This Row],[Chassis]]&amp;"S"&amp;TEXT(tbl_IO_List[[#This Row],[Slot]],"00")&amp;","&amp;TEXT(tbl_IO_List[[#This Row],[Point]],"00")</f>
        <v>C1S05,22</v>
      </c>
      <c r="AA60" s="136" t="str">
        <f>VLOOKUP(tbl_IO_List[[#This Row],[Column23]],tbl_RackConfig[],5,FALSE) &amp;"-"&amp;tbl_IO_List[[#This Row],[Point]]</f>
        <v>1756-IB32-22</v>
      </c>
      <c r="AB60" s="136"/>
      <c r="AC60" s="136" t="s">
        <v>1370</v>
      </c>
      <c r="AD60" s="136" t="str">
        <f>tbl_IO_List[[#This Row],[I/O Type]]</f>
        <v>DI</v>
      </c>
      <c r="AE60" s="136" t="s">
        <v>1332</v>
      </c>
      <c r="AF60" s="136">
        <v>5</v>
      </c>
      <c r="AG60" s="136">
        <v>22</v>
      </c>
      <c r="AH60" s="136">
        <v>23</v>
      </c>
      <c r="AI60" s="136">
        <v>25</v>
      </c>
      <c r="AJ60" s="136">
        <v>2</v>
      </c>
      <c r="AK60" s="136">
        <v>1</v>
      </c>
      <c r="AL60" s="136">
        <v>0</v>
      </c>
      <c r="AM60" s="136">
        <v>0</v>
      </c>
      <c r="AN60" s="136">
        <v>0</v>
      </c>
      <c r="AO60" s="136"/>
      <c r="AP60" s="143" t="str">
        <f>VLOOKUP(tbl_IO_List[[#This Row],[Instruement Tag]],tbl_Instruement_List[],14,FALSE)</f>
        <v>24 VDC energized</v>
      </c>
      <c r="AQ60" s="143" t="str">
        <f>tbl_IO_List[[#This Row],[Chassis]]&amp;"S"&amp;tbl_IO_List[[#This Row],[Slot]]&amp;"-"&amp;tbl_IO_List[[#This Row],[Front Terminal Number]]</f>
        <v>C1S5-25</v>
      </c>
      <c r="AR60" s="141" t="s">
        <v>1850</v>
      </c>
      <c r="AS60" s="136" t="str">
        <f>tbl_IO_List[[#This Row],[Terminal Tagging]]&amp;"-"&amp;tbl_IO_List[[#This Row],[Point-Count]]</f>
        <v>P1-TBDI2-23</v>
      </c>
      <c r="AT60" s="136" t="str">
        <f>tbl_IO_List[[#This Row],[Front Terminal Tagging]]&amp;"/"&amp;tbl_IO_List[[#This Row],[Terminal Tagging-Item]]</f>
        <v>C1S5-25/P1-TBDI2-23</v>
      </c>
      <c r="AU60" s="136" t="str">
        <f>tbl_IO_List[[#This Row],[Terminal Tagging-Item]]&amp;"/"&amp;tbl_IO_List[[#This Row],[Front Terminal Tagging]]</f>
        <v>P1-TBDI2-23/C1S5-25</v>
      </c>
    </row>
    <row r="61" spans="1:47" hidden="1">
      <c r="A61" s="147" t="s">
        <v>1369</v>
      </c>
      <c r="B61" s="136" t="s">
        <v>114</v>
      </c>
      <c r="C61" s="136" t="str">
        <f>tbl_IO_List[[#This Row],[Column3]]</f>
        <v>C1S05,23</v>
      </c>
      <c r="D61" s="136" t="str">
        <f>tbl_IO_List[[#This Row],[Card]]</f>
        <v>1756-IB32-23</v>
      </c>
      <c r="E61" s="136" t="s">
        <v>1372</v>
      </c>
      <c r="F61" s="136" t="str">
        <f>tbl_IO_List[[#This Row],[Column23]]&amp;"-" &amp;tbl_IO_List[[#This Row],[Column52]]</f>
        <v>C1S05-X2</v>
      </c>
      <c r="G61" s="136" t="str">
        <f>tbl_IO_List[[#This Row],[PLC_Tag]]</f>
        <v>XV-40202G_DI_2</v>
      </c>
      <c r="H61" s="136"/>
      <c r="I61" s="136" t="str">
        <f>VLOOKUP(tbl_IO_List[[#This Row],[Destination]],tbl_Junction[],2,FALSE)</f>
        <v>Infeed 2nd Floor</v>
      </c>
      <c r="J61" s="136" t="s">
        <v>114</v>
      </c>
      <c r="K61" s="136" t="s">
        <v>136</v>
      </c>
      <c r="L61" s="136" t="s">
        <v>165</v>
      </c>
      <c r="M61" s="136">
        <f>VLOOKUP(tbl_IO_List[[#This Row],[Instruement Tag]],tbl_Instruement_List[],2,FALSE)</f>
        <v>0</v>
      </c>
      <c r="N61" s="136" t="s">
        <v>15</v>
      </c>
      <c r="O61" s="136" t="s">
        <v>121</v>
      </c>
      <c r="P61" s="136" t="s">
        <v>137</v>
      </c>
      <c r="Q61" s="136" t="str">
        <f>VLOOKUP(tbl_IO_List[[#This Row],[Instruement Tag]],tbl_Instruement_List[],6,FALSE)</f>
        <v>CIP water washing pH Adjustment tank 2</v>
      </c>
      <c r="R61" s="136"/>
      <c r="S6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61" s="136" t="str">
        <f>tbl_IO_List[[#This Row],[Instruement Tag]]&amp;"_"&amp;tbl_IO_List[[#This Row],[I/O Type]]&amp;"_"&amp;tbl_IO_List[[#This Row],[IO-Point 
(Instruement)]]</f>
        <v>XV-40202G_DI_2</v>
      </c>
      <c r="U61" s="136" t="s">
        <v>8</v>
      </c>
      <c r="V61" s="136">
        <f>VLOOKUP(tbl_IO_List[[#This Row],[I/O Type]],tbl_Slot_Group[],2,FALSE)</f>
        <v>1</v>
      </c>
      <c r="W61" s="136">
        <v>2</v>
      </c>
      <c r="X61" s="136" t="str">
        <f>tbl_IO_List[[#This Row],[Chassis]]&amp;"S"&amp;TEXT(tbl_IO_List[[#This Row],[Slot]],"00")</f>
        <v>C1S05</v>
      </c>
      <c r="Y61" s="136" t="str">
        <f>tbl_IO_List[[#This Row],[Chassis]]&amp;"S"&amp;TEXT(tbl_IO_List[[#This Row],[Slot]],"00")&amp;tbl_IO_List[[#This Row],[I/O Type]]&amp;TEXT(tbl_IO_List[[#This Row],[Point]],"00")</f>
        <v>C1S05DI23</v>
      </c>
      <c r="Z61" s="136" t="str">
        <f>tbl_IO_List[[#This Row],[Chassis]]&amp;"S"&amp;TEXT(tbl_IO_List[[#This Row],[Slot]],"00")&amp;","&amp;TEXT(tbl_IO_List[[#This Row],[Point]],"00")</f>
        <v>C1S05,23</v>
      </c>
      <c r="AA61" s="136" t="str">
        <f>VLOOKUP(tbl_IO_List[[#This Row],[Column23]],tbl_RackConfig[],5,FALSE) &amp;"-"&amp;tbl_IO_List[[#This Row],[Point]]</f>
        <v>1756-IB32-23</v>
      </c>
      <c r="AB61" s="136"/>
      <c r="AC61" s="136" t="s">
        <v>1370</v>
      </c>
      <c r="AD61" s="136" t="str">
        <f>tbl_IO_List[[#This Row],[I/O Type]]</f>
        <v>DI</v>
      </c>
      <c r="AE61" s="136" t="s">
        <v>1332</v>
      </c>
      <c r="AF61" s="136">
        <v>5</v>
      </c>
      <c r="AG61" s="136">
        <v>23</v>
      </c>
      <c r="AH61" s="136">
        <v>24</v>
      </c>
      <c r="AI61" s="136">
        <v>26</v>
      </c>
      <c r="AJ61" s="136">
        <v>2</v>
      </c>
      <c r="AK61" s="136">
        <v>1</v>
      </c>
      <c r="AL61" s="136">
        <v>0</v>
      </c>
      <c r="AM61" s="136">
        <v>0</v>
      </c>
      <c r="AN61" s="136">
        <v>0</v>
      </c>
      <c r="AO61" s="136"/>
      <c r="AP61" s="143" t="str">
        <f>VLOOKUP(tbl_IO_List[[#This Row],[Instruement Tag]],tbl_Instruement_List[],14,FALSE)</f>
        <v>24 VDC energized</v>
      </c>
      <c r="AQ61" s="143" t="str">
        <f>tbl_IO_List[[#This Row],[Chassis]]&amp;"S"&amp;tbl_IO_List[[#This Row],[Slot]]&amp;"-"&amp;tbl_IO_List[[#This Row],[Front Terminal Number]]</f>
        <v>C1S5-26</v>
      </c>
      <c r="AR61" s="141" t="s">
        <v>1850</v>
      </c>
      <c r="AS61" s="136" t="str">
        <f>tbl_IO_List[[#This Row],[Terminal Tagging]]&amp;"-"&amp;tbl_IO_List[[#This Row],[Point-Count]]</f>
        <v>P1-TBDI2-24</v>
      </c>
      <c r="AT61" s="136" t="str">
        <f>tbl_IO_List[[#This Row],[Front Terminal Tagging]]&amp;"/"&amp;tbl_IO_List[[#This Row],[Terminal Tagging-Item]]</f>
        <v>C1S5-26/P1-TBDI2-24</v>
      </c>
      <c r="AU61" s="136" t="str">
        <f>tbl_IO_List[[#This Row],[Terminal Tagging-Item]]&amp;"/"&amp;tbl_IO_List[[#This Row],[Front Terminal Tagging]]</f>
        <v>P1-TBDI2-24/C1S5-26</v>
      </c>
    </row>
    <row r="62" spans="1:47" hidden="1">
      <c r="A62" s="147" t="s">
        <v>1369</v>
      </c>
      <c r="B62" s="136" t="s">
        <v>114</v>
      </c>
      <c r="C62" s="136" t="str">
        <f>tbl_IO_List[[#This Row],[Column3]]</f>
        <v>C1S05,24</v>
      </c>
      <c r="D62" s="136" t="str">
        <f>tbl_IO_List[[#This Row],[Card]]</f>
        <v>1756-IB32-24</v>
      </c>
      <c r="E62" s="136" t="s">
        <v>1372</v>
      </c>
      <c r="F62" s="136" t="str">
        <f>tbl_IO_List[[#This Row],[Column23]]&amp;"-" &amp;tbl_IO_List[[#This Row],[Column52]]</f>
        <v>C1S05-X2</v>
      </c>
      <c r="G62" s="136" t="str">
        <f>tbl_IO_List[[#This Row],[PLC_Tag]]</f>
        <v>XV-40202H_DI_1</v>
      </c>
      <c r="H62" s="136"/>
      <c r="I62" s="136" t="str">
        <f>VLOOKUP(tbl_IO_List[[#This Row],[Destination]],tbl_Junction[],2,FALSE)</f>
        <v>Infeed 2nd Floor</v>
      </c>
      <c r="J62" s="136" t="s">
        <v>114</v>
      </c>
      <c r="K62" s="136" t="s">
        <v>136</v>
      </c>
      <c r="L62" s="136" t="s">
        <v>166</v>
      </c>
      <c r="M62" s="136">
        <f>VLOOKUP(tbl_IO_List[[#This Row],[Instruement Tag]],tbl_Instruement_List[],2,FALSE)</f>
        <v>0</v>
      </c>
      <c r="N62" s="136" t="s">
        <v>15</v>
      </c>
      <c r="O62" s="136" t="s">
        <v>121</v>
      </c>
      <c r="P62" s="136" t="s">
        <v>137</v>
      </c>
      <c r="Q62" s="136" t="str">
        <f>VLOOKUP(tbl_IO_List[[#This Row],[Instruement Tag]],tbl_Instruement_List[],6,FALSE)</f>
        <v>CIP Hight pressure water washing pH Adjustment tank 2</v>
      </c>
      <c r="R62" s="136"/>
      <c r="S6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62" s="136" t="str">
        <f>tbl_IO_List[[#This Row],[Instruement Tag]]&amp;"_"&amp;tbl_IO_List[[#This Row],[I/O Type]]&amp;"_"&amp;tbl_IO_List[[#This Row],[IO-Point 
(Instruement)]]</f>
        <v>XV-40202H_DI_1</v>
      </c>
      <c r="U62" s="136" t="s">
        <v>8</v>
      </c>
      <c r="V62" s="136">
        <f>VLOOKUP(tbl_IO_List[[#This Row],[I/O Type]],tbl_Slot_Group[],2,FALSE)</f>
        <v>1</v>
      </c>
      <c r="W62" s="136">
        <v>1</v>
      </c>
      <c r="X62" s="136" t="str">
        <f>tbl_IO_List[[#This Row],[Chassis]]&amp;"S"&amp;TEXT(tbl_IO_List[[#This Row],[Slot]],"00")</f>
        <v>C1S05</v>
      </c>
      <c r="Y62" s="136" t="str">
        <f>tbl_IO_List[[#This Row],[Chassis]]&amp;"S"&amp;TEXT(tbl_IO_List[[#This Row],[Slot]],"00")&amp;tbl_IO_List[[#This Row],[I/O Type]]&amp;TEXT(tbl_IO_List[[#This Row],[Point]],"00")</f>
        <v>C1S05DI24</v>
      </c>
      <c r="Z62" s="136" t="str">
        <f>tbl_IO_List[[#This Row],[Chassis]]&amp;"S"&amp;TEXT(tbl_IO_List[[#This Row],[Slot]],"00")&amp;","&amp;TEXT(tbl_IO_List[[#This Row],[Point]],"00")</f>
        <v>C1S05,24</v>
      </c>
      <c r="AA62" s="136" t="str">
        <f>VLOOKUP(tbl_IO_List[[#This Row],[Column23]],tbl_RackConfig[],5,FALSE) &amp;"-"&amp;tbl_IO_List[[#This Row],[Point]]</f>
        <v>1756-IB32-24</v>
      </c>
      <c r="AB62" s="136"/>
      <c r="AC62" s="136" t="s">
        <v>1370</v>
      </c>
      <c r="AD62" s="136" t="str">
        <f>tbl_IO_List[[#This Row],[I/O Type]]</f>
        <v>DI</v>
      </c>
      <c r="AE62" s="136" t="s">
        <v>1332</v>
      </c>
      <c r="AF62" s="136">
        <v>5</v>
      </c>
      <c r="AG62" s="136">
        <v>24</v>
      </c>
      <c r="AH62" s="136">
        <v>25</v>
      </c>
      <c r="AI62" s="136">
        <v>27</v>
      </c>
      <c r="AJ62" s="136">
        <v>2</v>
      </c>
      <c r="AK62" s="136">
        <v>1</v>
      </c>
      <c r="AL62" s="136">
        <v>0</v>
      </c>
      <c r="AM62" s="136">
        <v>0</v>
      </c>
      <c r="AN62" s="136">
        <v>0</v>
      </c>
      <c r="AO62" s="136"/>
      <c r="AP62" s="143" t="str">
        <f>VLOOKUP(tbl_IO_List[[#This Row],[Instruement Tag]],tbl_Instruement_List[],14,FALSE)</f>
        <v>24 VDC energized</v>
      </c>
      <c r="AQ62" s="143" t="str">
        <f>tbl_IO_List[[#This Row],[Chassis]]&amp;"S"&amp;tbl_IO_List[[#This Row],[Slot]]&amp;"-"&amp;tbl_IO_List[[#This Row],[Front Terminal Number]]</f>
        <v>C1S5-27</v>
      </c>
      <c r="AR62" s="141" t="s">
        <v>1850</v>
      </c>
      <c r="AS62" s="136" t="str">
        <f>tbl_IO_List[[#This Row],[Terminal Tagging]]&amp;"-"&amp;tbl_IO_List[[#This Row],[Point-Count]]</f>
        <v>P1-TBDI2-25</v>
      </c>
      <c r="AT62" s="136" t="str">
        <f>tbl_IO_List[[#This Row],[Front Terminal Tagging]]&amp;"/"&amp;tbl_IO_List[[#This Row],[Terminal Tagging-Item]]</f>
        <v>C1S5-27/P1-TBDI2-25</v>
      </c>
      <c r="AU62" s="136" t="str">
        <f>tbl_IO_List[[#This Row],[Terminal Tagging-Item]]&amp;"/"&amp;tbl_IO_List[[#This Row],[Front Terminal Tagging]]</f>
        <v>P1-TBDI2-25/C1S5-27</v>
      </c>
    </row>
    <row r="63" spans="1:47" hidden="1">
      <c r="A63" s="147" t="s">
        <v>1369</v>
      </c>
      <c r="B63" s="136" t="s">
        <v>114</v>
      </c>
      <c r="C63" s="136" t="str">
        <f>tbl_IO_List[[#This Row],[Column3]]</f>
        <v>C1S05,25</v>
      </c>
      <c r="D63" s="136" t="str">
        <f>tbl_IO_List[[#This Row],[Card]]</f>
        <v>1756-IB32-25</v>
      </c>
      <c r="E63" s="136" t="s">
        <v>1372</v>
      </c>
      <c r="F63" s="136" t="str">
        <f>tbl_IO_List[[#This Row],[Column23]]&amp;"-" &amp;tbl_IO_List[[#This Row],[Column52]]</f>
        <v>C1S05-X2</v>
      </c>
      <c r="G63" s="136" t="str">
        <f>tbl_IO_List[[#This Row],[PLC_Tag]]</f>
        <v>XV-40202H_DI_2</v>
      </c>
      <c r="H63" s="136"/>
      <c r="I63" s="136" t="str">
        <f>VLOOKUP(tbl_IO_List[[#This Row],[Destination]],tbl_Junction[],2,FALSE)</f>
        <v>Infeed 2nd Floor</v>
      </c>
      <c r="J63" s="136" t="s">
        <v>114</v>
      </c>
      <c r="K63" s="136" t="s">
        <v>136</v>
      </c>
      <c r="L63" s="136" t="s">
        <v>166</v>
      </c>
      <c r="M63" s="136">
        <f>VLOOKUP(tbl_IO_List[[#This Row],[Instruement Tag]],tbl_Instruement_List[],2,FALSE)</f>
        <v>0</v>
      </c>
      <c r="N63" s="136" t="s">
        <v>15</v>
      </c>
      <c r="O63" s="136" t="s">
        <v>121</v>
      </c>
      <c r="P63" s="136" t="s">
        <v>137</v>
      </c>
      <c r="Q63" s="136" t="str">
        <f>VLOOKUP(tbl_IO_List[[#This Row],[Instruement Tag]],tbl_Instruement_List[],6,FALSE)</f>
        <v>CIP Hight pressure water washing pH Adjustment tank 2</v>
      </c>
      <c r="R63" s="136"/>
      <c r="S6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63" s="136" t="str">
        <f>tbl_IO_List[[#This Row],[Instruement Tag]]&amp;"_"&amp;tbl_IO_List[[#This Row],[I/O Type]]&amp;"_"&amp;tbl_IO_List[[#This Row],[IO-Point 
(Instruement)]]</f>
        <v>XV-40202H_DI_2</v>
      </c>
      <c r="U63" s="136" t="s">
        <v>8</v>
      </c>
      <c r="V63" s="136">
        <f>VLOOKUP(tbl_IO_List[[#This Row],[I/O Type]],tbl_Slot_Group[],2,FALSE)</f>
        <v>1</v>
      </c>
      <c r="W63" s="136">
        <v>2</v>
      </c>
      <c r="X63" s="136" t="str">
        <f>tbl_IO_List[[#This Row],[Chassis]]&amp;"S"&amp;TEXT(tbl_IO_List[[#This Row],[Slot]],"00")</f>
        <v>C1S05</v>
      </c>
      <c r="Y63" s="136" t="str">
        <f>tbl_IO_List[[#This Row],[Chassis]]&amp;"S"&amp;TEXT(tbl_IO_List[[#This Row],[Slot]],"00")&amp;tbl_IO_List[[#This Row],[I/O Type]]&amp;TEXT(tbl_IO_List[[#This Row],[Point]],"00")</f>
        <v>C1S05DI25</v>
      </c>
      <c r="Z63" s="136" t="str">
        <f>tbl_IO_List[[#This Row],[Chassis]]&amp;"S"&amp;TEXT(tbl_IO_List[[#This Row],[Slot]],"00")&amp;","&amp;TEXT(tbl_IO_List[[#This Row],[Point]],"00")</f>
        <v>C1S05,25</v>
      </c>
      <c r="AA63" s="136" t="str">
        <f>VLOOKUP(tbl_IO_List[[#This Row],[Column23]],tbl_RackConfig[],5,FALSE) &amp;"-"&amp;tbl_IO_List[[#This Row],[Point]]</f>
        <v>1756-IB32-25</v>
      </c>
      <c r="AB63" s="136"/>
      <c r="AC63" s="136" t="s">
        <v>1370</v>
      </c>
      <c r="AD63" s="136" t="str">
        <f>tbl_IO_List[[#This Row],[I/O Type]]</f>
        <v>DI</v>
      </c>
      <c r="AE63" s="136" t="s">
        <v>1332</v>
      </c>
      <c r="AF63" s="136">
        <v>5</v>
      </c>
      <c r="AG63" s="136">
        <v>25</v>
      </c>
      <c r="AH63" s="136">
        <v>26</v>
      </c>
      <c r="AI63" s="136">
        <v>28</v>
      </c>
      <c r="AJ63" s="136">
        <v>2</v>
      </c>
      <c r="AK63" s="136">
        <v>1</v>
      </c>
      <c r="AL63" s="136">
        <v>0</v>
      </c>
      <c r="AM63" s="136">
        <v>0</v>
      </c>
      <c r="AN63" s="136">
        <v>0</v>
      </c>
      <c r="AO63" s="136"/>
      <c r="AP63" s="143" t="str">
        <f>VLOOKUP(tbl_IO_List[[#This Row],[Instruement Tag]],tbl_Instruement_List[],14,FALSE)</f>
        <v>24 VDC energized</v>
      </c>
      <c r="AQ63" s="143" t="str">
        <f>tbl_IO_List[[#This Row],[Chassis]]&amp;"S"&amp;tbl_IO_List[[#This Row],[Slot]]&amp;"-"&amp;tbl_IO_List[[#This Row],[Front Terminal Number]]</f>
        <v>C1S5-28</v>
      </c>
      <c r="AR63" s="141" t="s">
        <v>1850</v>
      </c>
      <c r="AS63" s="136" t="str">
        <f>tbl_IO_List[[#This Row],[Terminal Tagging]]&amp;"-"&amp;tbl_IO_List[[#This Row],[Point-Count]]</f>
        <v>P1-TBDI2-26</v>
      </c>
      <c r="AT63" s="136" t="str">
        <f>tbl_IO_List[[#This Row],[Front Terminal Tagging]]&amp;"/"&amp;tbl_IO_List[[#This Row],[Terminal Tagging-Item]]</f>
        <v>C1S5-28/P1-TBDI2-26</v>
      </c>
      <c r="AU63" s="136" t="str">
        <f>tbl_IO_List[[#This Row],[Terminal Tagging-Item]]&amp;"/"&amp;tbl_IO_List[[#This Row],[Front Terminal Tagging]]</f>
        <v>P1-TBDI2-26/C1S5-28</v>
      </c>
    </row>
    <row r="64" spans="1:47" hidden="1">
      <c r="A64" s="147" t="s">
        <v>1369</v>
      </c>
      <c r="B64" s="136" t="s">
        <v>114</v>
      </c>
      <c r="C64" s="136" t="str">
        <f>tbl_IO_List[[#This Row],[Column3]]</f>
        <v>C1S05,26</v>
      </c>
      <c r="D64" s="136" t="str">
        <f>tbl_IO_List[[#This Row],[Card]]</f>
        <v>1756-IB32-26</v>
      </c>
      <c r="E64" s="136" t="s">
        <v>1372</v>
      </c>
      <c r="F64" s="136" t="str">
        <f>tbl_IO_List[[#This Row],[Column23]]&amp;"-" &amp;tbl_IO_List[[#This Row],[Column52]]</f>
        <v>C1S05-X2</v>
      </c>
      <c r="G64" s="136" t="str">
        <f>tbl_IO_List[[#This Row],[PLC_Tag]]</f>
        <v>XV-40203B_DI_1</v>
      </c>
      <c r="H64" s="136"/>
      <c r="I64" s="136" t="str">
        <f>VLOOKUP(tbl_IO_List[[#This Row],[Destination]],tbl_Junction[],2,FALSE)</f>
        <v>Infeed 2nd Floor</v>
      </c>
      <c r="J64" s="136" t="s">
        <v>114</v>
      </c>
      <c r="K64" s="136" t="s">
        <v>115</v>
      </c>
      <c r="L64" s="136" t="s">
        <v>128</v>
      </c>
      <c r="M64" s="136">
        <f>VLOOKUP(tbl_IO_List[[#This Row],[Instruement Tag]],tbl_Instruement_List[],2,FALSE)</f>
        <v>0</v>
      </c>
      <c r="N64" s="136" t="s">
        <v>15</v>
      </c>
      <c r="O64" s="136" t="s">
        <v>116</v>
      </c>
      <c r="P64" s="136" t="s">
        <v>117</v>
      </c>
      <c r="Q64" s="136" t="str">
        <f>VLOOKUP(tbl_IO_List[[#This Row],[Instruement Tag]],tbl_Instruement_List[],6,FALSE)</f>
        <v xml:space="preserve">Slurry feed-out Spray dryer infeed tank </v>
      </c>
      <c r="R64" s="136"/>
      <c r="S6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64" s="136" t="str">
        <f>tbl_IO_List[[#This Row],[Instruement Tag]]&amp;"_"&amp;tbl_IO_List[[#This Row],[I/O Type]]&amp;"_"&amp;tbl_IO_List[[#This Row],[IO-Point 
(Instruement)]]</f>
        <v>XV-40203B_DI_1</v>
      </c>
      <c r="U64" s="136" t="s">
        <v>8</v>
      </c>
      <c r="V64" s="136">
        <f>VLOOKUP(tbl_IO_List[[#This Row],[I/O Type]],tbl_Slot_Group[],2,FALSE)</f>
        <v>1</v>
      </c>
      <c r="W64" s="136">
        <v>1</v>
      </c>
      <c r="X64" s="136" t="str">
        <f>tbl_IO_List[[#This Row],[Chassis]]&amp;"S"&amp;TEXT(tbl_IO_List[[#This Row],[Slot]],"00")</f>
        <v>C1S05</v>
      </c>
      <c r="Y64" s="136" t="str">
        <f>tbl_IO_List[[#This Row],[Chassis]]&amp;"S"&amp;TEXT(tbl_IO_List[[#This Row],[Slot]],"00")&amp;tbl_IO_List[[#This Row],[I/O Type]]&amp;TEXT(tbl_IO_List[[#This Row],[Point]],"00")</f>
        <v>C1S05DI26</v>
      </c>
      <c r="Z64" s="136" t="str">
        <f>tbl_IO_List[[#This Row],[Chassis]]&amp;"S"&amp;TEXT(tbl_IO_List[[#This Row],[Slot]],"00")&amp;","&amp;TEXT(tbl_IO_List[[#This Row],[Point]],"00")</f>
        <v>C1S05,26</v>
      </c>
      <c r="AA64" s="136" t="str">
        <f>VLOOKUP(tbl_IO_List[[#This Row],[Column23]],tbl_RackConfig[],5,FALSE) &amp;"-"&amp;tbl_IO_List[[#This Row],[Point]]</f>
        <v>1756-IB32-26</v>
      </c>
      <c r="AB64" s="136"/>
      <c r="AC64" s="136" t="s">
        <v>1370</v>
      </c>
      <c r="AD64" s="136" t="str">
        <f>tbl_IO_List[[#This Row],[I/O Type]]</f>
        <v>DI</v>
      </c>
      <c r="AE64" s="136" t="s">
        <v>1332</v>
      </c>
      <c r="AF64" s="136">
        <v>5</v>
      </c>
      <c r="AG64" s="136">
        <v>26</v>
      </c>
      <c r="AH64" s="136">
        <v>27</v>
      </c>
      <c r="AI64" s="136">
        <v>29</v>
      </c>
      <c r="AJ64" s="136">
        <v>2</v>
      </c>
      <c r="AK64" s="136">
        <v>1</v>
      </c>
      <c r="AL64" s="136">
        <v>0</v>
      </c>
      <c r="AM64" s="136">
        <v>0</v>
      </c>
      <c r="AN64" s="136">
        <v>0</v>
      </c>
      <c r="AO64" s="136"/>
      <c r="AP64" s="143" t="str">
        <f>VLOOKUP(tbl_IO_List[[#This Row],[Instruement Tag]],tbl_Instruement_List[],14,FALSE)</f>
        <v>24 VDC energized</v>
      </c>
      <c r="AQ64" s="143" t="str">
        <f>tbl_IO_List[[#This Row],[Chassis]]&amp;"S"&amp;tbl_IO_List[[#This Row],[Slot]]&amp;"-"&amp;tbl_IO_List[[#This Row],[Front Terminal Number]]</f>
        <v>C1S5-29</v>
      </c>
      <c r="AR64" s="141" t="s">
        <v>1850</v>
      </c>
      <c r="AS64" s="136" t="str">
        <f>tbl_IO_List[[#This Row],[Terminal Tagging]]&amp;"-"&amp;tbl_IO_List[[#This Row],[Point-Count]]</f>
        <v>P1-TBDI2-27</v>
      </c>
      <c r="AT64" s="136" t="str">
        <f>tbl_IO_List[[#This Row],[Front Terminal Tagging]]&amp;"/"&amp;tbl_IO_List[[#This Row],[Terminal Tagging-Item]]</f>
        <v>C1S5-29/P1-TBDI2-27</v>
      </c>
      <c r="AU64" s="136" t="str">
        <f>tbl_IO_List[[#This Row],[Terminal Tagging-Item]]&amp;"/"&amp;tbl_IO_List[[#This Row],[Front Terminal Tagging]]</f>
        <v>P1-TBDI2-27/C1S5-29</v>
      </c>
    </row>
    <row r="65" spans="1:47" hidden="1">
      <c r="A65" s="147" t="s">
        <v>1369</v>
      </c>
      <c r="B65" s="136" t="s">
        <v>114</v>
      </c>
      <c r="C65" s="136" t="str">
        <f>tbl_IO_List[[#This Row],[Column3]]</f>
        <v>C1S05,27</v>
      </c>
      <c r="D65" s="136" t="str">
        <f>tbl_IO_List[[#This Row],[Card]]</f>
        <v>1756-IB32-27</v>
      </c>
      <c r="E65" s="136" t="s">
        <v>1372</v>
      </c>
      <c r="F65" s="136" t="str">
        <f>tbl_IO_List[[#This Row],[Column23]]&amp;"-" &amp;tbl_IO_List[[#This Row],[Column52]]</f>
        <v>C1S05-X2</v>
      </c>
      <c r="G65" s="136" t="str">
        <f>tbl_IO_List[[#This Row],[PLC_Tag]]</f>
        <v>XV-40203B_DI_2</v>
      </c>
      <c r="H65" s="136"/>
      <c r="I65" s="136" t="str">
        <f>VLOOKUP(tbl_IO_List[[#This Row],[Destination]],tbl_Junction[],2,FALSE)</f>
        <v>Infeed 2nd Floor</v>
      </c>
      <c r="J65" s="136" t="s">
        <v>114</v>
      </c>
      <c r="K65" s="136" t="s">
        <v>115</v>
      </c>
      <c r="L65" s="136" t="s">
        <v>128</v>
      </c>
      <c r="M65" s="136">
        <f>VLOOKUP(tbl_IO_List[[#This Row],[Instruement Tag]],tbl_Instruement_List[],2,FALSE)</f>
        <v>0</v>
      </c>
      <c r="N65" s="136" t="s">
        <v>15</v>
      </c>
      <c r="O65" s="136" t="s">
        <v>116</v>
      </c>
      <c r="P65" s="136" t="s">
        <v>117</v>
      </c>
      <c r="Q65" s="136" t="str">
        <f>VLOOKUP(tbl_IO_List[[#This Row],[Instruement Tag]],tbl_Instruement_List[],6,FALSE)</f>
        <v xml:space="preserve">Slurry feed-out Spray dryer infeed tank </v>
      </c>
      <c r="R65" s="136"/>
      <c r="S6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65" s="136" t="str">
        <f>tbl_IO_List[[#This Row],[Instruement Tag]]&amp;"_"&amp;tbl_IO_List[[#This Row],[I/O Type]]&amp;"_"&amp;tbl_IO_List[[#This Row],[IO-Point 
(Instruement)]]</f>
        <v>XV-40203B_DI_2</v>
      </c>
      <c r="U65" s="136" t="s">
        <v>8</v>
      </c>
      <c r="V65" s="136">
        <f>VLOOKUP(tbl_IO_List[[#This Row],[I/O Type]],tbl_Slot_Group[],2,FALSE)</f>
        <v>1</v>
      </c>
      <c r="W65" s="136">
        <v>2</v>
      </c>
      <c r="X65" s="136" t="str">
        <f>tbl_IO_List[[#This Row],[Chassis]]&amp;"S"&amp;TEXT(tbl_IO_List[[#This Row],[Slot]],"00")</f>
        <v>C1S05</v>
      </c>
      <c r="Y65" s="136" t="str">
        <f>tbl_IO_List[[#This Row],[Chassis]]&amp;"S"&amp;TEXT(tbl_IO_List[[#This Row],[Slot]],"00")&amp;tbl_IO_List[[#This Row],[I/O Type]]&amp;TEXT(tbl_IO_List[[#This Row],[Point]],"00")</f>
        <v>C1S05DI27</v>
      </c>
      <c r="Z65" s="136" t="str">
        <f>tbl_IO_List[[#This Row],[Chassis]]&amp;"S"&amp;TEXT(tbl_IO_List[[#This Row],[Slot]],"00")&amp;","&amp;TEXT(tbl_IO_List[[#This Row],[Point]],"00")</f>
        <v>C1S05,27</v>
      </c>
      <c r="AA65" s="136" t="str">
        <f>VLOOKUP(tbl_IO_List[[#This Row],[Column23]],tbl_RackConfig[],5,FALSE) &amp;"-"&amp;tbl_IO_List[[#This Row],[Point]]</f>
        <v>1756-IB32-27</v>
      </c>
      <c r="AB65" s="136"/>
      <c r="AC65" s="136" t="s">
        <v>1370</v>
      </c>
      <c r="AD65" s="136" t="str">
        <f>tbl_IO_List[[#This Row],[I/O Type]]</f>
        <v>DI</v>
      </c>
      <c r="AE65" s="136" t="s">
        <v>1332</v>
      </c>
      <c r="AF65" s="136">
        <v>5</v>
      </c>
      <c r="AG65" s="136">
        <v>27</v>
      </c>
      <c r="AH65" s="136">
        <v>28</v>
      </c>
      <c r="AI65" s="136">
        <v>30</v>
      </c>
      <c r="AJ65" s="136">
        <v>2</v>
      </c>
      <c r="AK65" s="136">
        <v>1</v>
      </c>
      <c r="AL65" s="136">
        <v>0</v>
      </c>
      <c r="AM65" s="136">
        <v>0</v>
      </c>
      <c r="AN65" s="136">
        <v>0</v>
      </c>
      <c r="AO65" s="136"/>
      <c r="AP65" s="143" t="str">
        <f>VLOOKUP(tbl_IO_List[[#This Row],[Instruement Tag]],tbl_Instruement_List[],14,FALSE)</f>
        <v>24 VDC energized</v>
      </c>
      <c r="AQ65" s="143" t="str">
        <f>tbl_IO_List[[#This Row],[Chassis]]&amp;"S"&amp;tbl_IO_List[[#This Row],[Slot]]&amp;"-"&amp;tbl_IO_List[[#This Row],[Front Terminal Number]]</f>
        <v>C1S5-30</v>
      </c>
      <c r="AR65" s="141" t="s">
        <v>1850</v>
      </c>
      <c r="AS65" s="136" t="str">
        <f>tbl_IO_List[[#This Row],[Terminal Tagging]]&amp;"-"&amp;tbl_IO_List[[#This Row],[Point-Count]]</f>
        <v>P1-TBDI2-28</v>
      </c>
      <c r="AT65" s="136" t="str">
        <f>tbl_IO_List[[#This Row],[Front Terminal Tagging]]&amp;"/"&amp;tbl_IO_List[[#This Row],[Terminal Tagging-Item]]</f>
        <v>C1S5-30/P1-TBDI2-28</v>
      </c>
      <c r="AU65" s="136" t="str">
        <f>tbl_IO_List[[#This Row],[Terminal Tagging-Item]]&amp;"/"&amp;tbl_IO_List[[#This Row],[Front Terminal Tagging]]</f>
        <v>P1-TBDI2-28/C1S5-30</v>
      </c>
    </row>
    <row r="66" spans="1:47" hidden="1">
      <c r="A66" s="147" t="s">
        <v>1369</v>
      </c>
      <c r="B66" s="136" t="s">
        <v>114</v>
      </c>
      <c r="C66" s="136" t="str">
        <f>tbl_IO_List[[#This Row],[Column3]]</f>
        <v>C1S05,28</v>
      </c>
      <c r="D66" s="136" t="str">
        <f>tbl_IO_List[[#This Row],[Card]]</f>
        <v>1756-IB32-28</v>
      </c>
      <c r="E66" s="136" t="s">
        <v>1372</v>
      </c>
      <c r="F66" s="136" t="str">
        <f>tbl_IO_List[[#This Row],[Column23]]&amp;"-" &amp;tbl_IO_List[[#This Row],[Column52]]</f>
        <v>C1S05-X2</v>
      </c>
      <c r="G66" s="136" t="str">
        <f>tbl_IO_List[[#This Row],[PLC_Tag]]</f>
        <v>XV-40203C_DI_1</v>
      </c>
      <c r="H66" s="136"/>
      <c r="I66" s="136" t="str">
        <f>VLOOKUP(tbl_IO_List[[#This Row],[Destination]],tbl_Junction[],2,FALSE)</f>
        <v>Infeed 2nd Floor</v>
      </c>
      <c r="J66" s="136" t="s">
        <v>114</v>
      </c>
      <c r="K66" s="136" t="s">
        <v>115</v>
      </c>
      <c r="L66" s="136" t="s">
        <v>129</v>
      </c>
      <c r="M66" s="136">
        <f>VLOOKUP(tbl_IO_List[[#This Row],[Instruement Tag]],tbl_Instruement_List[],2,FALSE)</f>
        <v>0</v>
      </c>
      <c r="N66" s="136" t="s">
        <v>15</v>
      </c>
      <c r="O66" s="136" t="s">
        <v>116</v>
      </c>
      <c r="P66" s="136" t="s">
        <v>117</v>
      </c>
      <c r="Q66" s="136" t="str">
        <f>VLOOKUP(tbl_IO_List[[#This Row],[Instruement Tag]],tbl_Instruement_List[],6,FALSE)</f>
        <v xml:space="preserve">Water washing line outlet Spray dryer infeed tank </v>
      </c>
      <c r="R66" s="136"/>
      <c r="S6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66" s="136" t="str">
        <f>tbl_IO_List[[#This Row],[Instruement Tag]]&amp;"_"&amp;tbl_IO_List[[#This Row],[I/O Type]]&amp;"_"&amp;tbl_IO_List[[#This Row],[IO-Point 
(Instruement)]]</f>
        <v>XV-40203C_DI_1</v>
      </c>
      <c r="U66" s="136" t="s">
        <v>8</v>
      </c>
      <c r="V66" s="136">
        <f>VLOOKUP(tbl_IO_List[[#This Row],[I/O Type]],tbl_Slot_Group[],2,FALSE)</f>
        <v>1</v>
      </c>
      <c r="W66" s="136">
        <v>1</v>
      </c>
      <c r="X66" s="136" t="str">
        <f>tbl_IO_List[[#This Row],[Chassis]]&amp;"S"&amp;TEXT(tbl_IO_List[[#This Row],[Slot]],"00")</f>
        <v>C1S05</v>
      </c>
      <c r="Y66" s="136" t="str">
        <f>tbl_IO_List[[#This Row],[Chassis]]&amp;"S"&amp;TEXT(tbl_IO_List[[#This Row],[Slot]],"00")&amp;tbl_IO_List[[#This Row],[I/O Type]]&amp;TEXT(tbl_IO_List[[#This Row],[Point]],"00")</f>
        <v>C1S05DI28</v>
      </c>
      <c r="Z66" s="136" t="str">
        <f>tbl_IO_List[[#This Row],[Chassis]]&amp;"S"&amp;TEXT(tbl_IO_List[[#This Row],[Slot]],"00")&amp;","&amp;TEXT(tbl_IO_List[[#This Row],[Point]],"00")</f>
        <v>C1S05,28</v>
      </c>
      <c r="AA66" s="136" t="str">
        <f>VLOOKUP(tbl_IO_List[[#This Row],[Column23]],tbl_RackConfig[],5,FALSE) &amp;"-"&amp;tbl_IO_List[[#This Row],[Point]]</f>
        <v>1756-IB32-28</v>
      </c>
      <c r="AB66" s="136"/>
      <c r="AC66" s="136" t="s">
        <v>1370</v>
      </c>
      <c r="AD66" s="136" t="str">
        <f>tbl_IO_List[[#This Row],[I/O Type]]</f>
        <v>DI</v>
      </c>
      <c r="AE66" s="136" t="s">
        <v>1332</v>
      </c>
      <c r="AF66" s="136">
        <v>5</v>
      </c>
      <c r="AG66" s="136">
        <v>28</v>
      </c>
      <c r="AH66" s="136">
        <v>29</v>
      </c>
      <c r="AI66" s="136">
        <v>31</v>
      </c>
      <c r="AJ66" s="136">
        <v>2</v>
      </c>
      <c r="AK66" s="136">
        <v>1</v>
      </c>
      <c r="AL66" s="136">
        <v>0</v>
      </c>
      <c r="AM66" s="136">
        <v>0</v>
      </c>
      <c r="AN66" s="136">
        <v>0</v>
      </c>
      <c r="AO66" s="136"/>
      <c r="AP66" s="143" t="str">
        <f>VLOOKUP(tbl_IO_List[[#This Row],[Instruement Tag]],tbl_Instruement_List[],14,FALSE)</f>
        <v>24 VDC energized</v>
      </c>
      <c r="AQ66" s="143" t="str">
        <f>tbl_IO_List[[#This Row],[Chassis]]&amp;"S"&amp;tbl_IO_List[[#This Row],[Slot]]&amp;"-"&amp;tbl_IO_List[[#This Row],[Front Terminal Number]]</f>
        <v>C1S5-31</v>
      </c>
      <c r="AR66" s="141" t="s">
        <v>1850</v>
      </c>
      <c r="AS66" s="136" t="str">
        <f>tbl_IO_List[[#This Row],[Terminal Tagging]]&amp;"-"&amp;tbl_IO_List[[#This Row],[Point-Count]]</f>
        <v>P1-TBDI2-29</v>
      </c>
      <c r="AT66" s="136" t="str">
        <f>tbl_IO_List[[#This Row],[Front Terminal Tagging]]&amp;"/"&amp;tbl_IO_List[[#This Row],[Terminal Tagging-Item]]</f>
        <v>C1S5-31/P1-TBDI2-29</v>
      </c>
      <c r="AU66" s="136" t="str">
        <f>tbl_IO_List[[#This Row],[Terminal Tagging-Item]]&amp;"/"&amp;tbl_IO_List[[#This Row],[Front Terminal Tagging]]</f>
        <v>P1-TBDI2-29/C1S5-31</v>
      </c>
    </row>
    <row r="67" spans="1:47" hidden="1">
      <c r="A67" s="147" t="s">
        <v>1369</v>
      </c>
      <c r="B67" s="136" t="s">
        <v>114</v>
      </c>
      <c r="C67" s="136" t="str">
        <f>tbl_IO_List[[#This Row],[Column3]]</f>
        <v>C1S05,29</v>
      </c>
      <c r="D67" s="136" t="str">
        <f>tbl_IO_List[[#This Row],[Card]]</f>
        <v>1756-IB32-29</v>
      </c>
      <c r="E67" s="136" t="s">
        <v>1372</v>
      </c>
      <c r="F67" s="136" t="str">
        <f>tbl_IO_List[[#This Row],[Column23]]&amp;"-" &amp;tbl_IO_List[[#This Row],[Column52]]</f>
        <v>C1S05-X2</v>
      </c>
      <c r="G67" s="136" t="str">
        <f>tbl_IO_List[[#This Row],[PLC_Tag]]</f>
        <v>XV-40203C_DI_2</v>
      </c>
      <c r="H67" s="136"/>
      <c r="I67" s="136" t="str">
        <f>VLOOKUP(tbl_IO_List[[#This Row],[Destination]],tbl_Junction[],2,FALSE)</f>
        <v>Infeed 2nd Floor</v>
      </c>
      <c r="J67" s="136" t="s">
        <v>114</v>
      </c>
      <c r="K67" s="136" t="s">
        <v>115</v>
      </c>
      <c r="L67" s="136" t="s">
        <v>129</v>
      </c>
      <c r="M67" s="136">
        <f>VLOOKUP(tbl_IO_List[[#This Row],[Instruement Tag]],tbl_Instruement_List[],2,FALSE)</f>
        <v>0</v>
      </c>
      <c r="N67" s="136" t="s">
        <v>15</v>
      </c>
      <c r="O67" s="136" t="s">
        <v>116</v>
      </c>
      <c r="P67" s="136" t="s">
        <v>117</v>
      </c>
      <c r="Q67" s="136" t="str">
        <f>VLOOKUP(tbl_IO_List[[#This Row],[Instruement Tag]],tbl_Instruement_List[],6,FALSE)</f>
        <v xml:space="preserve">Water washing line outlet Spray dryer infeed tank </v>
      </c>
      <c r="R67" s="136"/>
      <c r="S6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67" s="136" t="str">
        <f>tbl_IO_List[[#This Row],[Instruement Tag]]&amp;"_"&amp;tbl_IO_List[[#This Row],[I/O Type]]&amp;"_"&amp;tbl_IO_List[[#This Row],[IO-Point 
(Instruement)]]</f>
        <v>XV-40203C_DI_2</v>
      </c>
      <c r="U67" s="136" t="s">
        <v>8</v>
      </c>
      <c r="V67" s="136">
        <f>VLOOKUP(tbl_IO_List[[#This Row],[I/O Type]],tbl_Slot_Group[],2,FALSE)</f>
        <v>1</v>
      </c>
      <c r="W67" s="136">
        <v>2</v>
      </c>
      <c r="X67" s="136" t="str">
        <f>tbl_IO_List[[#This Row],[Chassis]]&amp;"S"&amp;TEXT(tbl_IO_List[[#This Row],[Slot]],"00")</f>
        <v>C1S05</v>
      </c>
      <c r="Y67" s="136" t="str">
        <f>tbl_IO_List[[#This Row],[Chassis]]&amp;"S"&amp;TEXT(tbl_IO_List[[#This Row],[Slot]],"00")&amp;tbl_IO_List[[#This Row],[I/O Type]]&amp;TEXT(tbl_IO_List[[#This Row],[Point]],"00")</f>
        <v>C1S05DI29</v>
      </c>
      <c r="Z67" s="136" t="str">
        <f>tbl_IO_List[[#This Row],[Chassis]]&amp;"S"&amp;TEXT(tbl_IO_List[[#This Row],[Slot]],"00")&amp;","&amp;TEXT(tbl_IO_List[[#This Row],[Point]],"00")</f>
        <v>C1S05,29</v>
      </c>
      <c r="AA67" s="136" t="str">
        <f>VLOOKUP(tbl_IO_List[[#This Row],[Column23]],tbl_RackConfig[],5,FALSE) &amp;"-"&amp;tbl_IO_List[[#This Row],[Point]]</f>
        <v>1756-IB32-29</v>
      </c>
      <c r="AB67" s="136"/>
      <c r="AC67" s="136" t="s">
        <v>1370</v>
      </c>
      <c r="AD67" s="136" t="str">
        <f>tbl_IO_List[[#This Row],[I/O Type]]</f>
        <v>DI</v>
      </c>
      <c r="AE67" s="136" t="s">
        <v>1332</v>
      </c>
      <c r="AF67" s="136">
        <v>5</v>
      </c>
      <c r="AG67" s="136">
        <v>29</v>
      </c>
      <c r="AH67" s="136">
        <v>30</v>
      </c>
      <c r="AI67" s="136">
        <v>32</v>
      </c>
      <c r="AJ67" s="136">
        <v>2</v>
      </c>
      <c r="AK67" s="136">
        <v>1</v>
      </c>
      <c r="AL67" s="136">
        <v>0</v>
      </c>
      <c r="AM67" s="136">
        <v>0</v>
      </c>
      <c r="AN67" s="136">
        <v>0</v>
      </c>
      <c r="AO67" s="136"/>
      <c r="AP67" s="143" t="str">
        <f>VLOOKUP(tbl_IO_List[[#This Row],[Instruement Tag]],tbl_Instruement_List[],14,FALSE)</f>
        <v>24 VDC energized</v>
      </c>
      <c r="AQ67" s="143" t="str">
        <f>tbl_IO_List[[#This Row],[Chassis]]&amp;"S"&amp;tbl_IO_List[[#This Row],[Slot]]&amp;"-"&amp;tbl_IO_List[[#This Row],[Front Terminal Number]]</f>
        <v>C1S5-32</v>
      </c>
      <c r="AR67" s="141" t="s">
        <v>1850</v>
      </c>
      <c r="AS67" s="136" t="str">
        <f>tbl_IO_List[[#This Row],[Terminal Tagging]]&amp;"-"&amp;tbl_IO_List[[#This Row],[Point-Count]]</f>
        <v>P1-TBDI2-30</v>
      </c>
      <c r="AT67" s="136" t="str">
        <f>tbl_IO_List[[#This Row],[Front Terminal Tagging]]&amp;"/"&amp;tbl_IO_List[[#This Row],[Terminal Tagging-Item]]</f>
        <v>C1S5-32/P1-TBDI2-30</v>
      </c>
      <c r="AU67" s="136" t="str">
        <f>tbl_IO_List[[#This Row],[Terminal Tagging-Item]]&amp;"/"&amp;tbl_IO_List[[#This Row],[Front Terminal Tagging]]</f>
        <v>P1-TBDI2-30/C1S5-32</v>
      </c>
    </row>
    <row r="68" spans="1:47" hidden="1">
      <c r="A68" s="147" t="s">
        <v>1369</v>
      </c>
      <c r="B68" s="136" t="s">
        <v>114</v>
      </c>
      <c r="C68" s="136" t="str">
        <f>tbl_IO_List[[#This Row],[Column3]]</f>
        <v>C1S05,30</v>
      </c>
      <c r="D68" s="136" t="str">
        <f>tbl_IO_List[[#This Row],[Card]]</f>
        <v>1756-IB32-30</v>
      </c>
      <c r="E68" s="136" t="s">
        <v>1372</v>
      </c>
      <c r="F68" s="136" t="str">
        <f>tbl_IO_List[[#This Row],[Column23]]&amp;"-" &amp;tbl_IO_List[[#This Row],[Column52]]</f>
        <v>C1S05-X2</v>
      </c>
      <c r="G68" s="136" t="str">
        <f>tbl_IO_List[[#This Row],[PLC_Tag]]</f>
        <v>XV-40203D_DI_1</v>
      </c>
      <c r="H68" s="136"/>
      <c r="I68" s="136" t="str">
        <f>VLOOKUP(tbl_IO_List[[#This Row],[Destination]],tbl_Junction[],2,FALSE)</f>
        <v>Infeed 2nd Floor</v>
      </c>
      <c r="J68" s="136" t="s">
        <v>114</v>
      </c>
      <c r="K68" s="136" t="s">
        <v>115</v>
      </c>
      <c r="L68" s="136" t="s">
        <v>130</v>
      </c>
      <c r="M68" s="136">
        <f>VLOOKUP(tbl_IO_List[[#This Row],[Instruement Tag]],tbl_Instruement_List[],2,FALSE)</f>
        <v>0</v>
      </c>
      <c r="N68" s="136" t="s">
        <v>15</v>
      </c>
      <c r="O68" s="136" t="s">
        <v>116</v>
      </c>
      <c r="P68" s="136" t="s">
        <v>117</v>
      </c>
      <c r="Q68" s="136" t="str">
        <f>VLOOKUP(tbl_IO_List[[#This Row],[Instruement Tag]],tbl_Instruement_List[],6,FALSE)</f>
        <v xml:space="preserve">CIP water washing Spray dryer infeed tank </v>
      </c>
      <c r="R68" s="136"/>
      <c r="S6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68" s="136" t="str">
        <f>tbl_IO_List[[#This Row],[Instruement Tag]]&amp;"_"&amp;tbl_IO_List[[#This Row],[I/O Type]]&amp;"_"&amp;tbl_IO_List[[#This Row],[IO-Point 
(Instruement)]]</f>
        <v>XV-40203D_DI_1</v>
      </c>
      <c r="U68" s="136" t="s">
        <v>8</v>
      </c>
      <c r="V68" s="136">
        <f>VLOOKUP(tbl_IO_List[[#This Row],[I/O Type]],tbl_Slot_Group[],2,FALSE)</f>
        <v>1</v>
      </c>
      <c r="W68" s="136">
        <v>1</v>
      </c>
      <c r="X68" s="136" t="str">
        <f>tbl_IO_List[[#This Row],[Chassis]]&amp;"S"&amp;TEXT(tbl_IO_List[[#This Row],[Slot]],"00")</f>
        <v>C1S05</v>
      </c>
      <c r="Y68" s="136" t="str">
        <f>tbl_IO_List[[#This Row],[Chassis]]&amp;"S"&amp;TEXT(tbl_IO_List[[#This Row],[Slot]],"00")&amp;tbl_IO_List[[#This Row],[I/O Type]]&amp;TEXT(tbl_IO_List[[#This Row],[Point]],"00")</f>
        <v>C1S05DI30</v>
      </c>
      <c r="Z68" s="136" t="str">
        <f>tbl_IO_List[[#This Row],[Chassis]]&amp;"S"&amp;TEXT(tbl_IO_List[[#This Row],[Slot]],"00")&amp;","&amp;TEXT(tbl_IO_List[[#This Row],[Point]],"00")</f>
        <v>C1S05,30</v>
      </c>
      <c r="AA68" s="136" t="str">
        <f>VLOOKUP(tbl_IO_List[[#This Row],[Column23]],tbl_RackConfig[],5,FALSE) &amp;"-"&amp;tbl_IO_List[[#This Row],[Point]]</f>
        <v>1756-IB32-30</v>
      </c>
      <c r="AB68" s="136"/>
      <c r="AC68" s="136" t="s">
        <v>1370</v>
      </c>
      <c r="AD68" s="136" t="str">
        <f>tbl_IO_List[[#This Row],[I/O Type]]</f>
        <v>DI</v>
      </c>
      <c r="AE68" s="136" t="s">
        <v>1332</v>
      </c>
      <c r="AF68" s="136">
        <v>5</v>
      </c>
      <c r="AG68" s="136">
        <v>30</v>
      </c>
      <c r="AH68" s="136">
        <v>31</v>
      </c>
      <c r="AI68" s="136">
        <v>33</v>
      </c>
      <c r="AJ68" s="136">
        <v>2</v>
      </c>
      <c r="AK68" s="136">
        <v>1</v>
      </c>
      <c r="AL68" s="136">
        <v>0</v>
      </c>
      <c r="AM68" s="136">
        <v>0</v>
      </c>
      <c r="AN68" s="136">
        <v>0</v>
      </c>
      <c r="AO68" s="136"/>
      <c r="AP68" s="143" t="str">
        <f>VLOOKUP(tbl_IO_List[[#This Row],[Instruement Tag]],tbl_Instruement_List[],14,FALSE)</f>
        <v>24 VDC energized</v>
      </c>
      <c r="AQ68" s="143" t="str">
        <f>tbl_IO_List[[#This Row],[Chassis]]&amp;"S"&amp;tbl_IO_List[[#This Row],[Slot]]&amp;"-"&amp;tbl_IO_List[[#This Row],[Front Terminal Number]]</f>
        <v>C1S5-33</v>
      </c>
      <c r="AR68" s="141" t="s">
        <v>1850</v>
      </c>
      <c r="AS68" s="136" t="str">
        <f>tbl_IO_List[[#This Row],[Terminal Tagging]]&amp;"-"&amp;tbl_IO_List[[#This Row],[Point-Count]]</f>
        <v>P1-TBDI2-31</v>
      </c>
      <c r="AT68" s="136" t="str">
        <f>tbl_IO_List[[#This Row],[Front Terminal Tagging]]&amp;"/"&amp;tbl_IO_List[[#This Row],[Terminal Tagging-Item]]</f>
        <v>C1S5-33/P1-TBDI2-31</v>
      </c>
      <c r="AU68" s="136" t="str">
        <f>tbl_IO_List[[#This Row],[Terminal Tagging-Item]]&amp;"/"&amp;tbl_IO_List[[#This Row],[Front Terminal Tagging]]</f>
        <v>P1-TBDI2-31/C1S5-33</v>
      </c>
    </row>
    <row r="69" spans="1:47" hidden="1">
      <c r="A69" s="147" t="s">
        <v>1369</v>
      </c>
      <c r="B69" s="136" t="s">
        <v>114</v>
      </c>
      <c r="C69" s="136" t="str">
        <f>tbl_IO_List[[#This Row],[Column3]]</f>
        <v>C1S05,31</v>
      </c>
      <c r="D69" s="136" t="str">
        <f>tbl_IO_List[[#This Row],[Card]]</f>
        <v>1756-IB32-31</v>
      </c>
      <c r="E69" s="136" t="s">
        <v>1372</v>
      </c>
      <c r="F69" s="136" t="str">
        <f>tbl_IO_List[[#This Row],[Column23]]&amp;"-" &amp;tbl_IO_List[[#This Row],[Column52]]</f>
        <v>C1S05-X2</v>
      </c>
      <c r="G69" s="136" t="str">
        <f>tbl_IO_List[[#This Row],[PLC_Tag]]</f>
        <v>XV-40203D_DI_2</v>
      </c>
      <c r="H69" s="136"/>
      <c r="I69" s="136" t="str">
        <f>VLOOKUP(tbl_IO_List[[#This Row],[Destination]],tbl_Junction[],2,FALSE)</f>
        <v>Infeed 2nd Floor</v>
      </c>
      <c r="J69" s="136" t="s">
        <v>114</v>
      </c>
      <c r="K69" s="136" t="s">
        <v>115</v>
      </c>
      <c r="L69" s="136" t="s">
        <v>130</v>
      </c>
      <c r="M69" s="136">
        <f>VLOOKUP(tbl_IO_List[[#This Row],[Instruement Tag]],tbl_Instruement_List[],2,FALSE)</f>
        <v>0</v>
      </c>
      <c r="N69" s="136" t="s">
        <v>15</v>
      </c>
      <c r="O69" s="136" t="s">
        <v>116</v>
      </c>
      <c r="P69" s="136" t="s">
        <v>117</v>
      </c>
      <c r="Q69" s="136" t="str">
        <f>VLOOKUP(tbl_IO_List[[#This Row],[Instruement Tag]],tbl_Instruement_List[],6,FALSE)</f>
        <v xml:space="preserve">CIP water washing Spray dryer infeed tank </v>
      </c>
      <c r="R69" s="136"/>
      <c r="S6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69" s="136" t="str">
        <f>tbl_IO_List[[#This Row],[Instruement Tag]]&amp;"_"&amp;tbl_IO_List[[#This Row],[I/O Type]]&amp;"_"&amp;tbl_IO_List[[#This Row],[IO-Point 
(Instruement)]]</f>
        <v>XV-40203D_DI_2</v>
      </c>
      <c r="U69" s="136" t="s">
        <v>8</v>
      </c>
      <c r="V69" s="136">
        <f>VLOOKUP(tbl_IO_List[[#This Row],[I/O Type]],tbl_Slot_Group[],2,FALSE)</f>
        <v>1</v>
      </c>
      <c r="W69" s="136">
        <v>2</v>
      </c>
      <c r="X69" s="136" t="str">
        <f>tbl_IO_List[[#This Row],[Chassis]]&amp;"S"&amp;TEXT(tbl_IO_List[[#This Row],[Slot]],"00")</f>
        <v>C1S05</v>
      </c>
      <c r="Y69" s="136" t="str">
        <f>tbl_IO_List[[#This Row],[Chassis]]&amp;"S"&amp;TEXT(tbl_IO_List[[#This Row],[Slot]],"00")&amp;tbl_IO_List[[#This Row],[I/O Type]]&amp;TEXT(tbl_IO_List[[#This Row],[Point]],"00")</f>
        <v>C1S05DI31</v>
      </c>
      <c r="Z69" s="136" t="str">
        <f>tbl_IO_List[[#This Row],[Chassis]]&amp;"S"&amp;TEXT(tbl_IO_List[[#This Row],[Slot]],"00")&amp;","&amp;TEXT(tbl_IO_List[[#This Row],[Point]],"00")</f>
        <v>C1S05,31</v>
      </c>
      <c r="AA69" s="136" t="str">
        <f>VLOOKUP(tbl_IO_List[[#This Row],[Column23]],tbl_RackConfig[],5,FALSE) &amp;"-"&amp;tbl_IO_List[[#This Row],[Point]]</f>
        <v>1756-IB32-31</v>
      </c>
      <c r="AB69" s="136"/>
      <c r="AC69" s="136" t="s">
        <v>1370</v>
      </c>
      <c r="AD69" s="136" t="str">
        <f>tbl_IO_List[[#This Row],[I/O Type]]</f>
        <v>DI</v>
      </c>
      <c r="AE69" s="136" t="s">
        <v>1332</v>
      </c>
      <c r="AF69" s="136">
        <v>5</v>
      </c>
      <c r="AG69" s="136">
        <v>31</v>
      </c>
      <c r="AH69" s="136">
        <v>32</v>
      </c>
      <c r="AI69" s="136">
        <v>34</v>
      </c>
      <c r="AJ69" s="136">
        <v>2</v>
      </c>
      <c r="AK69" s="136">
        <v>1</v>
      </c>
      <c r="AL69" s="136">
        <v>0</v>
      </c>
      <c r="AM69" s="136">
        <v>0</v>
      </c>
      <c r="AN69" s="136">
        <v>0</v>
      </c>
      <c r="AO69" s="136"/>
      <c r="AP69" s="143" t="str">
        <f>VLOOKUP(tbl_IO_List[[#This Row],[Instruement Tag]],tbl_Instruement_List[],14,FALSE)</f>
        <v>24 VDC energized</v>
      </c>
      <c r="AQ69" s="143" t="str">
        <f>tbl_IO_List[[#This Row],[Chassis]]&amp;"S"&amp;tbl_IO_List[[#This Row],[Slot]]&amp;"-"&amp;tbl_IO_List[[#This Row],[Front Terminal Number]]</f>
        <v>C1S5-34</v>
      </c>
      <c r="AR69" s="141" t="s">
        <v>1850</v>
      </c>
      <c r="AS69" s="136" t="str">
        <f>tbl_IO_List[[#This Row],[Terminal Tagging]]&amp;"-"&amp;tbl_IO_List[[#This Row],[Point-Count]]</f>
        <v>P1-TBDI2-32</v>
      </c>
      <c r="AT69" s="136" t="str">
        <f>tbl_IO_List[[#This Row],[Front Terminal Tagging]]&amp;"/"&amp;tbl_IO_List[[#This Row],[Terminal Tagging-Item]]</f>
        <v>C1S5-34/P1-TBDI2-32</v>
      </c>
      <c r="AU69" s="136" t="str">
        <f>tbl_IO_List[[#This Row],[Terminal Tagging-Item]]&amp;"/"&amp;tbl_IO_List[[#This Row],[Front Terminal Tagging]]</f>
        <v>P1-TBDI2-32/C1S5-34</v>
      </c>
    </row>
    <row r="70" spans="1:47" hidden="1">
      <c r="A70" s="147" t="s">
        <v>1369</v>
      </c>
      <c r="B70" s="136" t="s">
        <v>114</v>
      </c>
      <c r="C70" s="136" t="str">
        <f>tbl_IO_List[[#This Row],[Column3]]</f>
        <v>C1S06,00</v>
      </c>
      <c r="D70" s="136" t="str">
        <f>tbl_IO_List[[#This Row],[Card]]</f>
        <v>1756-IB32-0</v>
      </c>
      <c r="E70" s="136" t="s">
        <v>1366</v>
      </c>
      <c r="F70" s="136" t="str">
        <f>tbl_IO_List[[#This Row],[Column23]]&amp;"-" &amp;tbl_IO_List[[#This Row],[Column52]]</f>
        <v>C1S06-X1</v>
      </c>
      <c r="G70" s="136" t="str">
        <f>tbl_IO_List[[#This Row],[PLC_Tag]]</f>
        <v>XV-40203E_DI_1</v>
      </c>
      <c r="H70" s="136"/>
      <c r="I70" s="136" t="str">
        <f>VLOOKUP(tbl_IO_List[[#This Row],[Destination]],tbl_Junction[],2,FALSE)</f>
        <v>Infeed 2nd Floor</v>
      </c>
      <c r="J70" s="136" t="s">
        <v>114</v>
      </c>
      <c r="K70" s="136" t="s">
        <v>115</v>
      </c>
      <c r="L70" s="136" t="s">
        <v>131</v>
      </c>
      <c r="M70" s="136">
        <f>VLOOKUP(tbl_IO_List[[#This Row],[Instruement Tag]],tbl_Instruement_List[],2,FALSE)</f>
        <v>0</v>
      </c>
      <c r="N70" s="136" t="s">
        <v>15</v>
      </c>
      <c r="O70" s="136" t="s">
        <v>116</v>
      </c>
      <c r="P70" s="136" t="s">
        <v>117</v>
      </c>
      <c r="Q70" s="136" t="str">
        <f>VLOOKUP(tbl_IO_List[[#This Row],[Instruement Tag]],tbl_Instruement_List[],6,FALSE)</f>
        <v xml:space="preserve">CIP hight pressure water washing Spray dryer infeed tank </v>
      </c>
      <c r="R70" s="136"/>
      <c r="S7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70" s="136" t="str">
        <f>tbl_IO_List[[#This Row],[Instruement Tag]]&amp;"_"&amp;tbl_IO_List[[#This Row],[I/O Type]]&amp;"_"&amp;tbl_IO_List[[#This Row],[IO-Point 
(Instruement)]]</f>
        <v>XV-40203E_DI_1</v>
      </c>
      <c r="U70" s="136" t="s">
        <v>8</v>
      </c>
      <c r="V70" s="136">
        <f>VLOOKUP(tbl_IO_List[[#This Row],[I/O Type]],tbl_Slot_Group[],2,FALSE)</f>
        <v>1</v>
      </c>
      <c r="W70" s="136">
        <v>1</v>
      </c>
      <c r="X70" s="136" t="str">
        <f>tbl_IO_List[[#This Row],[Chassis]]&amp;"S"&amp;TEXT(tbl_IO_List[[#This Row],[Slot]],"00")</f>
        <v>C1S06</v>
      </c>
      <c r="Y70" s="136" t="str">
        <f>tbl_IO_List[[#This Row],[Chassis]]&amp;"S"&amp;TEXT(tbl_IO_List[[#This Row],[Slot]],"00")&amp;tbl_IO_List[[#This Row],[I/O Type]]&amp;TEXT(tbl_IO_List[[#This Row],[Point]],"00")</f>
        <v>C1S06DI00</v>
      </c>
      <c r="Z70" s="136" t="str">
        <f>tbl_IO_List[[#This Row],[Chassis]]&amp;"S"&amp;TEXT(tbl_IO_List[[#This Row],[Slot]],"00")&amp;","&amp;TEXT(tbl_IO_List[[#This Row],[Point]],"00")</f>
        <v>C1S06,00</v>
      </c>
      <c r="AA70" s="136" t="str">
        <f>VLOOKUP(tbl_IO_List[[#This Row],[Column23]],tbl_RackConfig[],5,FALSE) &amp;"-"&amp;tbl_IO_List[[#This Row],[Point]]</f>
        <v>1756-IB32-0</v>
      </c>
      <c r="AB70" s="136"/>
      <c r="AC70" s="136" t="s">
        <v>1370</v>
      </c>
      <c r="AD70" s="136" t="str">
        <f>tbl_IO_List[[#This Row],[I/O Type]]</f>
        <v>DI</v>
      </c>
      <c r="AE70" s="136" t="s">
        <v>1332</v>
      </c>
      <c r="AF70" s="136">
        <v>6</v>
      </c>
      <c r="AG70" s="136">
        <v>0</v>
      </c>
      <c r="AH70" s="136">
        <v>1</v>
      </c>
      <c r="AI70" s="136">
        <v>1</v>
      </c>
      <c r="AJ70" s="136">
        <v>2</v>
      </c>
      <c r="AK70" s="136">
        <v>1</v>
      </c>
      <c r="AL70" s="136">
        <v>0</v>
      </c>
      <c r="AM70" s="136">
        <v>0</v>
      </c>
      <c r="AN70" s="136">
        <v>0</v>
      </c>
      <c r="AO70" s="136"/>
      <c r="AP70" s="143" t="str">
        <f>VLOOKUP(tbl_IO_List[[#This Row],[Instruement Tag]],tbl_Instruement_List[],14,FALSE)</f>
        <v>24 VDC energized</v>
      </c>
      <c r="AQ70" s="143" t="str">
        <f>tbl_IO_List[[#This Row],[Chassis]]&amp;"S"&amp;tbl_IO_List[[#This Row],[Slot]]&amp;"-"&amp;tbl_IO_List[[#This Row],[Front Terminal Number]]</f>
        <v>C1S6-1</v>
      </c>
      <c r="AR70" s="141" t="s">
        <v>1851</v>
      </c>
      <c r="AS70" s="136" t="str">
        <f>tbl_IO_List[[#This Row],[Terminal Tagging]]&amp;"-"&amp;tbl_IO_List[[#This Row],[Point-Count]]</f>
        <v>P1-TBDI3-1</v>
      </c>
      <c r="AT70" s="136" t="str">
        <f>tbl_IO_List[[#This Row],[Front Terminal Tagging]]&amp;"/"&amp;tbl_IO_List[[#This Row],[Terminal Tagging-Item]]</f>
        <v>C1S6-1/P1-TBDI3-1</v>
      </c>
      <c r="AU70" s="136" t="str">
        <f>tbl_IO_List[[#This Row],[Terminal Tagging-Item]]&amp;"/"&amp;tbl_IO_List[[#This Row],[Front Terminal Tagging]]</f>
        <v>P1-TBDI3-1/C1S6-1</v>
      </c>
    </row>
    <row r="71" spans="1:47" hidden="1">
      <c r="A71" s="147" t="s">
        <v>1369</v>
      </c>
      <c r="B71" s="136" t="s">
        <v>114</v>
      </c>
      <c r="C71" s="136" t="str">
        <f>tbl_IO_List[[#This Row],[Column3]]</f>
        <v>C1S06,01</v>
      </c>
      <c r="D71" s="136" t="str">
        <f>tbl_IO_List[[#This Row],[Card]]</f>
        <v>1756-IB32-1</v>
      </c>
      <c r="E71" s="136" t="s">
        <v>1366</v>
      </c>
      <c r="F71" s="136" t="str">
        <f>tbl_IO_List[[#This Row],[Column23]]&amp;"-" &amp;tbl_IO_List[[#This Row],[Column52]]</f>
        <v>C1S06-X1</v>
      </c>
      <c r="G71" s="136" t="str">
        <f>tbl_IO_List[[#This Row],[PLC_Tag]]</f>
        <v>XV-40203E_DI_2</v>
      </c>
      <c r="H71" s="136"/>
      <c r="I71" s="136" t="str">
        <f>VLOOKUP(tbl_IO_List[[#This Row],[Destination]],tbl_Junction[],2,FALSE)</f>
        <v>Infeed 2nd Floor</v>
      </c>
      <c r="J71" s="136" t="s">
        <v>114</v>
      </c>
      <c r="K71" s="136" t="s">
        <v>115</v>
      </c>
      <c r="L71" s="136" t="s">
        <v>131</v>
      </c>
      <c r="M71" s="136">
        <f>VLOOKUP(tbl_IO_List[[#This Row],[Instruement Tag]],tbl_Instruement_List[],2,FALSE)</f>
        <v>0</v>
      </c>
      <c r="N71" s="136" t="s">
        <v>15</v>
      </c>
      <c r="O71" s="136" t="s">
        <v>116</v>
      </c>
      <c r="P71" s="136" t="s">
        <v>117</v>
      </c>
      <c r="Q71" s="136" t="str">
        <f>VLOOKUP(tbl_IO_List[[#This Row],[Instruement Tag]],tbl_Instruement_List[],6,FALSE)</f>
        <v xml:space="preserve">CIP hight pressure water washing Spray dryer infeed tank </v>
      </c>
      <c r="R71" s="136"/>
      <c r="S7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71" s="136" t="str">
        <f>tbl_IO_List[[#This Row],[Instruement Tag]]&amp;"_"&amp;tbl_IO_List[[#This Row],[I/O Type]]&amp;"_"&amp;tbl_IO_List[[#This Row],[IO-Point 
(Instruement)]]</f>
        <v>XV-40203E_DI_2</v>
      </c>
      <c r="U71" s="136" t="s">
        <v>8</v>
      </c>
      <c r="V71" s="136">
        <f>VLOOKUP(tbl_IO_List[[#This Row],[I/O Type]],tbl_Slot_Group[],2,FALSE)</f>
        <v>1</v>
      </c>
      <c r="W71" s="136">
        <v>2</v>
      </c>
      <c r="X71" s="136" t="str">
        <f>tbl_IO_List[[#This Row],[Chassis]]&amp;"S"&amp;TEXT(tbl_IO_List[[#This Row],[Slot]],"00")</f>
        <v>C1S06</v>
      </c>
      <c r="Y71" s="136" t="str">
        <f>tbl_IO_List[[#This Row],[Chassis]]&amp;"S"&amp;TEXT(tbl_IO_List[[#This Row],[Slot]],"00")&amp;tbl_IO_List[[#This Row],[I/O Type]]&amp;TEXT(tbl_IO_List[[#This Row],[Point]],"00")</f>
        <v>C1S06DI01</v>
      </c>
      <c r="Z71" s="136" t="str">
        <f>tbl_IO_List[[#This Row],[Chassis]]&amp;"S"&amp;TEXT(tbl_IO_List[[#This Row],[Slot]],"00")&amp;","&amp;TEXT(tbl_IO_List[[#This Row],[Point]],"00")</f>
        <v>C1S06,01</v>
      </c>
      <c r="AA71" s="136" t="str">
        <f>VLOOKUP(tbl_IO_List[[#This Row],[Column23]],tbl_RackConfig[],5,FALSE) &amp;"-"&amp;tbl_IO_List[[#This Row],[Point]]</f>
        <v>1756-IB32-1</v>
      </c>
      <c r="AB71" s="136"/>
      <c r="AC71" s="136" t="s">
        <v>1370</v>
      </c>
      <c r="AD71" s="136" t="str">
        <f>tbl_IO_List[[#This Row],[I/O Type]]</f>
        <v>DI</v>
      </c>
      <c r="AE71" s="136" t="s">
        <v>1332</v>
      </c>
      <c r="AF71" s="136">
        <v>6</v>
      </c>
      <c r="AG71" s="136">
        <v>1</v>
      </c>
      <c r="AH71" s="136">
        <v>2</v>
      </c>
      <c r="AI71" s="136">
        <v>2</v>
      </c>
      <c r="AJ71" s="136">
        <v>2</v>
      </c>
      <c r="AK71" s="136">
        <v>1</v>
      </c>
      <c r="AL71" s="136">
        <v>0</v>
      </c>
      <c r="AM71" s="136">
        <v>0</v>
      </c>
      <c r="AN71" s="136">
        <v>0</v>
      </c>
      <c r="AO71" s="136"/>
      <c r="AP71" s="143" t="str">
        <f>VLOOKUP(tbl_IO_List[[#This Row],[Instruement Tag]],tbl_Instruement_List[],14,FALSE)</f>
        <v>24 VDC energized</v>
      </c>
      <c r="AQ71" s="143" t="str">
        <f>tbl_IO_List[[#This Row],[Chassis]]&amp;"S"&amp;tbl_IO_List[[#This Row],[Slot]]&amp;"-"&amp;tbl_IO_List[[#This Row],[Front Terminal Number]]</f>
        <v>C1S6-2</v>
      </c>
      <c r="AR71" s="141" t="s">
        <v>1851</v>
      </c>
      <c r="AS71" s="136" t="str">
        <f>tbl_IO_List[[#This Row],[Terminal Tagging]]&amp;"-"&amp;tbl_IO_List[[#This Row],[Point-Count]]</f>
        <v>P1-TBDI3-2</v>
      </c>
      <c r="AT71" s="136" t="str">
        <f>tbl_IO_List[[#This Row],[Front Terminal Tagging]]&amp;"/"&amp;tbl_IO_List[[#This Row],[Terminal Tagging-Item]]</f>
        <v>C1S6-2/P1-TBDI3-2</v>
      </c>
      <c r="AU71" s="136" t="str">
        <f>tbl_IO_List[[#This Row],[Terminal Tagging-Item]]&amp;"/"&amp;tbl_IO_List[[#This Row],[Front Terminal Tagging]]</f>
        <v>P1-TBDI3-2/C1S6-2</v>
      </c>
    </row>
    <row r="72" spans="1:47" hidden="1">
      <c r="A72" s="147" t="s">
        <v>1369</v>
      </c>
      <c r="B72" s="136" t="s">
        <v>114</v>
      </c>
      <c r="C72" s="136" t="str">
        <f>tbl_IO_List[[#This Row],[Column3]]</f>
        <v>C1S06,02</v>
      </c>
      <c r="D72" s="136" t="str">
        <f>tbl_IO_List[[#This Row],[Card]]</f>
        <v>1756-IB32-2</v>
      </c>
      <c r="E72" s="136" t="s">
        <v>1366</v>
      </c>
      <c r="F72" s="136" t="str">
        <f>tbl_IO_List[[#This Row],[Column23]]&amp;"-" &amp;tbl_IO_List[[#This Row],[Column52]]</f>
        <v>C1S06-X1</v>
      </c>
      <c r="G72" s="136" t="str">
        <f>tbl_IO_List[[#This Row],[PLC_Tag]]</f>
        <v>Spare_DI_0</v>
      </c>
      <c r="H72" s="136"/>
      <c r="I72" s="136" t="str">
        <f>VLOOKUP(tbl_IO_List[[#This Row],[Destination]],tbl_Junction[],2,FALSE)</f>
        <v>Infeed 2nd Floor</v>
      </c>
      <c r="J72" s="136" t="s">
        <v>114</v>
      </c>
      <c r="K72" s="136"/>
      <c r="L72" s="136" t="s">
        <v>411</v>
      </c>
      <c r="M72" s="136" t="e">
        <f>VLOOKUP(tbl_IO_List[[#This Row],[Instruement Tag]],tbl_Instruement_List[],2,FALSE)</f>
        <v>#N/A</v>
      </c>
      <c r="N72" s="136"/>
      <c r="O72" s="136"/>
      <c r="P72" s="136"/>
      <c r="Q72" s="136" t="e">
        <f>VLOOKUP(tbl_IO_List[[#This Row],[Instruement Tag]],tbl_Instruement_List[],6,FALSE)</f>
        <v>#N/A</v>
      </c>
      <c r="R72" s="136"/>
      <c r="S7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2" s="136" t="str">
        <f>tbl_IO_List[[#This Row],[Instruement Tag]]&amp;"_"&amp;tbl_IO_List[[#This Row],[I/O Type]]&amp;"_"&amp;tbl_IO_List[[#This Row],[IO-Point 
(Instruement)]]</f>
        <v>Spare_DI_0</v>
      </c>
      <c r="U72" s="136" t="s">
        <v>8</v>
      </c>
      <c r="V72" s="136">
        <f>VLOOKUP(tbl_IO_List[[#This Row],[I/O Type]],tbl_Slot_Group[],2,FALSE)</f>
        <v>1</v>
      </c>
      <c r="W72" s="136">
        <v>0</v>
      </c>
      <c r="X72" s="136" t="str">
        <f>tbl_IO_List[[#This Row],[Chassis]]&amp;"S"&amp;TEXT(tbl_IO_List[[#This Row],[Slot]],"00")</f>
        <v>C1S06</v>
      </c>
      <c r="Y72" s="136" t="str">
        <f>tbl_IO_List[[#This Row],[Chassis]]&amp;"S"&amp;TEXT(tbl_IO_List[[#This Row],[Slot]],"00")&amp;tbl_IO_List[[#This Row],[I/O Type]]&amp;TEXT(tbl_IO_List[[#This Row],[Point]],"00")</f>
        <v>C1S06DI02</v>
      </c>
      <c r="Z72" s="136" t="str">
        <f>tbl_IO_List[[#This Row],[Chassis]]&amp;"S"&amp;TEXT(tbl_IO_List[[#This Row],[Slot]],"00")&amp;","&amp;TEXT(tbl_IO_List[[#This Row],[Point]],"00")</f>
        <v>C1S06,02</v>
      </c>
      <c r="AA72" s="136" t="str">
        <f>VLOOKUP(tbl_IO_List[[#This Row],[Column23]],tbl_RackConfig[],5,FALSE) &amp;"-"&amp;tbl_IO_List[[#This Row],[Point]]</f>
        <v>1756-IB32-2</v>
      </c>
      <c r="AB72" s="136"/>
      <c r="AC72" s="136" t="s">
        <v>1370</v>
      </c>
      <c r="AD72" s="136" t="str">
        <f>tbl_IO_List[[#This Row],[I/O Type]]</f>
        <v>DI</v>
      </c>
      <c r="AE72" s="136" t="s">
        <v>1332</v>
      </c>
      <c r="AF72" s="136">
        <v>6</v>
      </c>
      <c r="AG72" s="136">
        <v>2</v>
      </c>
      <c r="AH72" s="136">
        <v>3</v>
      </c>
      <c r="AI72" s="136">
        <v>3</v>
      </c>
      <c r="AJ72" s="136">
        <v>1</v>
      </c>
      <c r="AK72" s="136">
        <v>0</v>
      </c>
      <c r="AL72" s="136">
        <v>0</v>
      </c>
      <c r="AM72" s="136">
        <v>0</v>
      </c>
      <c r="AN72" s="136">
        <v>0</v>
      </c>
      <c r="AO72" s="136"/>
      <c r="AP72" s="143" t="e">
        <f>VLOOKUP(tbl_IO_List[[#This Row],[Instruement Tag]],tbl_Instruement_List[],14,FALSE)</f>
        <v>#N/A</v>
      </c>
      <c r="AQ72" s="143" t="str">
        <f>tbl_IO_List[[#This Row],[Chassis]]&amp;"S"&amp;tbl_IO_List[[#This Row],[Slot]]&amp;"-"&amp;tbl_IO_List[[#This Row],[Front Terminal Number]]</f>
        <v>C1S6-3</v>
      </c>
      <c r="AR72" s="141" t="s">
        <v>1851</v>
      </c>
      <c r="AS72" s="136" t="str">
        <f>tbl_IO_List[[#This Row],[Terminal Tagging]]&amp;"-"&amp;tbl_IO_List[[#This Row],[Point-Count]]</f>
        <v>P1-TBDI3-3</v>
      </c>
      <c r="AT72" s="136" t="str">
        <f>tbl_IO_List[[#This Row],[Front Terminal Tagging]]&amp;"/"&amp;tbl_IO_List[[#This Row],[Terminal Tagging-Item]]</f>
        <v>C1S6-3/P1-TBDI3-3</v>
      </c>
      <c r="AU72" s="136" t="str">
        <f>tbl_IO_List[[#This Row],[Terminal Tagging-Item]]&amp;"/"&amp;tbl_IO_List[[#This Row],[Front Terminal Tagging]]</f>
        <v>P1-TBDI3-3/C1S6-3</v>
      </c>
    </row>
    <row r="73" spans="1:47" hidden="1">
      <c r="A73" s="147" t="s">
        <v>1369</v>
      </c>
      <c r="B73" s="136" t="s">
        <v>114</v>
      </c>
      <c r="C73" s="136" t="str">
        <f>tbl_IO_List[[#This Row],[Column3]]</f>
        <v>C1S06,03</v>
      </c>
      <c r="D73" s="136" t="str">
        <f>tbl_IO_List[[#This Row],[Card]]</f>
        <v>1756-IB32-3</v>
      </c>
      <c r="E73" s="136" t="s">
        <v>1366</v>
      </c>
      <c r="F73" s="136" t="str">
        <f>tbl_IO_List[[#This Row],[Column23]]&amp;"-" &amp;tbl_IO_List[[#This Row],[Column52]]</f>
        <v>C1S06-X1</v>
      </c>
      <c r="G73" s="136" t="str">
        <f>tbl_IO_List[[#This Row],[PLC_Tag]]</f>
        <v>Spare_DI_0</v>
      </c>
      <c r="H73" s="136"/>
      <c r="I73" s="136" t="str">
        <f>VLOOKUP(tbl_IO_List[[#This Row],[Destination]],tbl_Junction[],2,FALSE)</f>
        <v>Infeed 2nd Floor</v>
      </c>
      <c r="J73" s="136" t="s">
        <v>114</v>
      </c>
      <c r="K73" s="136"/>
      <c r="L73" s="136" t="s">
        <v>411</v>
      </c>
      <c r="M73" s="136" t="e">
        <f>VLOOKUP(tbl_IO_List[[#This Row],[Instruement Tag]],tbl_Instruement_List[],2,FALSE)</f>
        <v>#N/A</v>
      </c>
      <c r="N73" s="136"/>
      <c r="O73" s="136"/>
      <c r="P73" s="136"/>
      <c r="Q73" s="136" t="e">
        <f>VLOOKUP(tbl_IO_List[[#This Row],[Instruement Tag]],tbl_Instruement_List[],6,FALSE)</f>
        <v>#N/A</v>
      </c>
      <c r="R73" s="136"/>
      <c r="S7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3" s="136" t="str">
        <f>tbl_IO_List[[#This Row],[Instruement Tag]]&amp;"_"&amp;tbl_IO_List[[#This Row],[I/O Type]]&amp;"_"&amp;tbl_IO_List[[#This Row],[IO-Point 
(Instruement)]]</f>
        <v>Spare_DI_0</v>
      </c>
      <c r="U73" s="136" t="s">
        <v>8</v>
      </c>
      <c r="V73" s="136">
        <f>VLOOKUP(tbl_IO_List[[#This Row],[I/O Type]],tbl_Slot_Group[],2,FALSE)</f>
        <v>1</v>
      </c>
      <c r="W73" s="136">
        <v>0</v>
      </c>
      <c r="X73" s="136" t="str">
        <f>tbl_IO_List[[#This Row],[Chassis]]&amp;"S"&amp;TEXT(tbl_IO_List[[#This Row],[Slot]],"00")</f>
        <v>C1S06</v>
      </c>
      <c r="Y73" s="136" t="str">
        <f>tbl_IO_List[[#This Row],[Chassis]]&amp;"S"&amp;TEXT(tbl_IO_List[[#This Row],[Slot]],"00")&amp;tbl_IO_List[[#This Row],[I/O Type]]&amp;TEXT(tbl_IO_List[[#This Row],[Point]],"00")</f>
        <v>C1S06DI03</v>
      </c>
      <c r="Z73" s="136" t="str">
        <f>tbl_IO_List[[#This Row],[Chassis]]&amp;"S"&amp;TEXT(tbl_IO_List[[#This Row],[Slot]],"00")&amp;","&amp;TEXT(tbl_IO_List[[#This Row],[Point]],"00")</f>
        <v>C1S06,03</v>
      </c>
      <c r="AA73" s="136" t="str">
        <f>VLOOKUP(tbl_IO_List[[#This Row],[Column23]],tbl_RackConfig[],5,FALSE) &amp;"-"&amp;tbl_IO_List[[#This Row],[Point]]</f>
        <v>1756-IB32-3</v>
      </c>
      <c r="AB73" s="136"/>
      <c r="AC73" s="136" t="s">
        <v>1370</v>
      </c>
      <c r="AD73" s="136" t="str">
        <f>tbl_IO_List[[#This Row],[I/O Type]]</f>
        <v>DI</v>
      </c>
      <c r="AE73" s="136" t="s">
        <v>1332</v>
      </c>
      <c r="AF73" s="136">
        <v>6</v>
      </c>
      <c r="AG73" s="136">
        <v>3</v>
      </c>
      <c r="AH73" s="136">
        <v>4</v>
      </c>
      <c r="AI73" s="136">
        <v>4</v>
      </c>
      <c r="AJ73" s="136">
        <v>1</v>
      </c>
      <c r="AK73" s="136">
        <v>0</v>
      </c>
      <c r="AL73" s="136">
        <v>0</v>
      </c>
      <c r="AM73" s="136">
        <v>0</v>
      </c>
      <c r="AN73" s="136">
        <v>0</v>
      </c>
      <c r="AO73" s="136"/>
      <c r="AP73" s="143" t="e">
        <f>VLOOKUP(tbl_IO_List[[#This Row],[Instruement Tag]],tbl_Instruement_List[],14,FALSE)</f>
        <v>#N/A</v>
      </c>
      <c r="AQ73" s="143" t="str">
        <f>tbl_IO_List[[#This Row],[Chassis]]&amp;"S"&amp;tbl_IO_List[[#This Row],[Slot]]&amp;"-"&amp;tbl_IO_List[[#This Row],[Front Terminal Number]]</f>
        <v>C1S6-4</v>
      </c>
      <c r="AR73" s="141" t="s">
        <v>1851</v>
      </c>
      <c r="AS73" s="136" t="str">
        <f>tbl_IO_List[[#This Row],[Terminal Tagging]]&amp;"-"&amp;tbl_IO_List[[#This Row],[Point-Count]]</f>
        <v>P1-TBDI3-4</v>
      </c>
      <c r="AT73" s="136" t="str">
        <f>tbl_IO_List[[#This Row],[Front Terminal Tagging]]&amp;"/"&amp;tbl_IO_List[[#This Row],[Terminal Tagging-Item]]</f>
        <v>C1S6-4/P1-TBDI3-4</v>
      </c>
      <c r="AU73" s="136" t="str">
        <f>tbl_IO_List[[#This Row],[Terminal Tagging-Item]]&amp;"/"&amp;tbl_IO_List[[#This Row],[Front Terminal Tagging]]</f>
        <v>P1-TBDI3-4/C1S6-4</v>
      </c>
    </row>
    <row r="74" spans="1:47" hidden="1">
      <c r="A74" s="147" t="s">
        <v>1369</v>
      </c>
      <c r="B74" s="136" t="s">
        <v>114</v>
      </c>
      <c r="C74" s="136" t="str">
        <f>tbl_IO_List[[#This Row],[Column3]]</f>
        <v>C1S06,04</v>
      </c>
      <c r="D74" s="136" t="str">
        <f>tbl_IO_List[[#This Row],[Card]]</f>
        <v>1756-IB32-4</v>
      </c>
      <c r="E74" s="136" t="s">
        <v>1366</v>
      </c>
      <c r="F74" s="136" t="str">
        <f>tbl_IO_List[[#This Row],[Column23]]&amp;"-" &amp;tbl_IO_List[[#This Row],[Column52]]</f>
        <v>C1S06-X1</v>
      </c>
      <c r="G74" s="136" t="str">
        <f>tbl_IO_List[[#This Row],[PLC_Tag]]</f>
        <v>Spare_DI_0</v>
      </c>
      <c r="H74" s="136"/>
      <c r="I74" s="136" t="str">
        <f>VLOOKUP(tbl_IO_List[[#This Row],[Destination]],tbl_Junction[],2,FALSE)</f>
        <v>Infeed 2nd Floor</v>
      </c>
      <c r="J74" s="136" t="s">
        <v>114</v>
      </c>
      <c r="K74" s="136"/>
      <c r="L74" s="136" t="s">
        <v>411</v>
      </c>
      <c r="M74" s="136" t="e">
        <f>VLOOKUP(tbl_IO_List[[#This Row],[Instruement Tag]],tbl_Instruement_List[],2,FALSE)</f>
        <v>#N/A</v>
      </c>
      <c r="N74" s="136"/>
      <c r="O74" s="136"/>
      <c r="P74" s="136"/>
      <c r="Q74" s="136" t="e">
        <f>VLOOKUP(tbl_IO_List[[#This Row],[Instruement Tag]],tbl_Instruement_List[],6,FALSE)</f>
        <v>#N/A</v>
      </c>
      <c r="R74" s="136"/>
      <c r="S7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4" s="136" t="str">
        <f>tbl_IO_List[[#This Row],[Instruement Tag]]&amp;"_"&amp;tbl_IO_List[[#This Row],[I/O Type]]&amp;"_"&amp;tbl_IO_List[[#This Row],[IO-Point 
(Instruement)]]</f>
        <v>Spare_DI_0</v>
      </c>
      <c r="U74" s="136" t="s">
        <v>8</v>
      </c>
      <c r="V74" s="136">
        <f>VLOOKUP(tbl_IO_List[[#This Row],[I/O Type]],tbl_Slot_Group[],2,FALSE)</f>
        <v>1</v>
      </c>
      <c r="W74" s="136">
        <v>0</v>
      </c>
      <c r="X74" s="136" t="str">
        <f>tbl_IO_List[[#This Row],[Chassis]]&amp;"S"&amp;TEXT(tbl_IO_List[[#This Row],[Slot]],"00")</f>
        <v>C1S06</v>
      </c>
      <c r="Y74" s="136" t="str">
        <f>tbl_IO_List[[#This Row],[Chassis]]&amp;"S"&amp;TEXT(tbl_IO_List[[#This Row],[Slot]],"00")&amp;tbl_IO_List[[#This Row],[I/O Type]]&amp;TEXT(tbl_IO_List[[#This Row],[Point]],"00")</f>
        <v>C1S06DI04</v>
      </c>
      <c r="Z74" s="136" t="str">
        <f>tbl_IO_List[[#This Row],[Chassis]]&amp;"S"&amp;TEXT(tbl_IO_List[[#This Row],[Slot]],"00")&amp;","&amp;TEXT(tbl_IO_List[[#This Row],[Point]],"00")</f>
        <v>C1S06,04</v>
      </c>
      <c r="AA74" s="136" t="str">
        <f>VLOOKUP(tbl_IO_List[[#This Row],[Column23]],tbl_RackConfig[],5,FALSE) &amp;"-"&amp;tbl_IO_List[[#This Row],[Point]]</f>
        <v>1756-IB32-4</v>
      </c>
      <c r="AB74" s="136"/>
      <c r="AC74" s="136" t="s">
        <v>1370</v>
      </c>
      <c r="AD74" s="136" t="str">
        <f>tbl_IO_List[[#This Row],[I/O Type]]</f>
        <v>DI</v>
      </c>
      <c r="AE74" s="136" t="s">
        <v>1332</v>
      </c>
      <c r="AF74" s="136">
        <v>6</v>
      </c>
      <c r="AG74" s="136">
        <v>4</v>
      </c>
      <c r="AH74" s="136">
        <v>5</v>
      </c>
      <c r="AI74" s="136">
        <v>5</v>
      </c>
      <c r="AJ74" s="136">
        <v>1</v>
      </c>
      <c r="AK74" s="136">
        <v>0</v>
      </c>
      <c r="AL74" s="136">
        <v>0</v>
      </c>
      <c r="AM74" s="136">
        <v>0</v>
      </c>
      <c r="AN74" s="136">
        <v>0</v>
      </c>
      <c r="AO74" s="136"/>
      <c r="AP74" s="143" t="e">
        <f>VLOOKUP(tbl_IO_List[[#This Row],[Instruement Tag]],tbl_Instruement_List[],14,FALSE)</f>
        <v>#N/A</v>
      </c>
      <c r="AQ74" s="143" t="str">
        <f>tbl_IO_List[[#This Row],[Chassis]]&amp;"S"&amp;tbl_IO_List[[#This Row],[Slot]]&amp;"-"&amp;tbl_IO_List[[#This Row],[Front Terminal Number]]</f>
        <v>C1S6-5</v>
      </c>
      <c r="AR74" s="141" t="s">
        <v>1851</v>
      </c>
      <c r="AS74" s="136" t="str">
        <f>tbl_IO_List[[#This Row],[Terminal Tagging]]&amp;"-"&amp;tbl_IO_List[[#This Row],[Point-Count]]</f>
        <v>P1-TBDI3-5</v>
      </c>
      <c r="AT74" s="136" t="str">
        <f>tbl_IO_List[[#This Row],[Front Terminal Tagging]]&amp;"/"&amp;tbl_IO_List[[#This Row],[Terminal Tagging-Item]]</f>
        <v>C1S6-5/P1-TBDI3-5</v>
      </c>
      <c r="AU74" s="136" t="str">
        <f>tbl_IO_List[[#This Row],[Terminal Tagging-Item]]&amp;"/"&amp;tbl_IO_List[[#This Row],[Front Terminal Tagging]]</f>
        <v>P1-TBDI3-5/C1S6-5</v>
      </c>
    </row>
    <row r="75" spans="1:47" hidden="1">
      <c r="A75" s="147" t="s">
        <v>1369</v>
      </c>
      <c r="B75" s="136" t="s">
        <v>114</v>
      </c>
      <c r="C75" s="136" t="str">
        <f>tbl_IO_List[[#This Row],[Column3]]</f>
        <v>C1S06,05</v>
      </c>
      <c r="D75" s="136" t="str">
        <f>tbl_IO_List[[#This Row],[Card]]</f>
        <v>1756-IB32-5</v>
      </c>
      <c r="E75" s="136" t="s">
        <v>1366</v>
      </c>
      <c r="F75" s="136" t="str">
        <f>tbl_IO_List[[#This Row],[Column23]]&amp;"-" &amp;tbl_IO_List[[#This Row],[Column52]]</f>
        <v>C1S06-X1</v>
      </c>
      <c r="G75" s="136" t="str">
        <f>tbl_IO_List[[#This Row],[PLC_Tag]]</f>
        <v>Spare_DI_0</v>
      </c>
      <c r="H75" s="136"/>
      <c r="I75" s="136" t="str">
        <f>VLOOKUP(tbl_IO_List[[#This Row],[Destination]],tbl_Junction[],2,FALSE)</f>
        <v>Infeed 2nd Floor</v>
      </c>
      <c r="J75" s="136" t="s">
        <v>114</v>
      </c>
      <c r="K75" s="136"/>
      <c r="L75" s="136" t="s">
        <v>411</v>
      </c>
      <c r="M75" s="136" t="e">
        <f>VLOOKUP(tbl_IO_List[[#This Row],[Instruement Tag]],tbl_Instruement_List[],2,FALSE)</f>
        <v>#N/A</v>
      </c>
      <c r="N75" s="136"/>
      <c r="O75" s="136"/>
      <c r="P75" s="136"/>
      <c r="Q75" s="136" t="e">
        <f>VLOOKUP(tbl_IO_List[[#This Row],[Instruement Tag]],tbl_Instruement_List[],6,FALSE)</f>
        <v>#N/A</v>
      </c>
      <c r="R75" s="136"/>
      <c r="S7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5" s="136" t="str">
        <f>tbl_IO_List[[#This Row],[Instruement Tag]]&amp;"_"&amp;tbl_IO_List[[#This Row],[I/O Type]]&amp;"_"&amp;tbl_IO_List[[#This Row],[IO-Point 
(Instruement)]]</f>
        <v>Spare_DI_0</v>
      </c>
      <c r="U75" s="136" t="s">
        <v>8</v>
      </c>
      <c r="V75" s="136">
        <f>VLOOKUP(tbl_IO_List[[#This Row],[I/O Type]],tbl_Slot_Group[],2,FALSE)</f>
        <v>1</v>
      </c>
      <c r="W75" s="136">
        <v>0</v>
      </c>
      <c r="X75" s="136" t="str">
        <f>tbl_IO_List[[#This Row],[Chassis]]&amp;"S"&amp;TEXT(tbl_IO_List[[#This Row],[Slot]],"00")</f>
        <v>C1S06</v>
      </c>
      <c r="Y75" s="136" t="str">
        <f>tbl_IO_List[[#This Row],[Chassis]]&amp;"S"&amp;TEXT(tbl_IO_List[[#This Row],[Slot]],"00")&amp;tbl_IO_List[[#This Row],[I/O Type]]&amp;TEXT(tbl_IO_List[[#This Row],[Point]],"00")</f>
        <v>C1S06DI05</v>
      </c>
      <c r="Z75" s="136" t="str">
        <f>tbl_IO_List[[#This Row],[Chassis]]&amp;"S"&amp;TEXT(tbl_IO_List[[#This Row],[Slot]],"00")&amp;","&amp;TEXT(tbl_IO_List[[#This Row],[Point]],"00")</f>
        <v>C1S06,05</v>
      </c>
      <c r="AA75" s="136" t="str">
        <f>VLOOKUP(tbl_IO_List[[#This Row],[Column23]],tbl_RackConfig[],5,FALSE) &amp;"-"&amp;tbl_IO_List[[#This Row],[Point]]</f>
        <v>1756-IB32-5</v>
      </c>
      <c r="AB75" s="136"/>
      <c r="AC75" s="136" t="s">
        <v>1370</v>
      </c>
      <c r="AD75" s="136" t="str">
        <f>tbl_IO_List[[#This Row],[I/O Type]]</f>
        <v>DI</v>
      </c>
      <c r="AE75" s="136" t="s">
        <v>1332</v>
      </c>
      <c r="AF75" s="136">
        <v>6</v>
      </c>
      <c r="AG75" s="136">
        <v>5</v>
      </c>
      <c r="AH75" s="136">
        <v>6</v>
      </c>
      <c r="AI75" s="136">
        <v>6</v>
      </c>
      <c r="AJ75" s="136">
        <v>1</v>
      </c>
      <c r="AK75" s="136">
        <v>0</v>
      </c>
      <c r="AL75" s="136">
        <v>0</v>
      </c>
      <c r="AM75" s="136">
        <v>0</v>
      </c>
      <c r="AN75" s="136">
        <v>0</v>
      </c>
      <c r="AO75" s="136"/>
      <c r="AP75" s="143" t="e">
        <f>VLOOKUP(tbl_IO_List[[#This Row],[Instruement Tag]],tbl_Instruement_List[],14,FALSE)</f>
        <v>#N/A</v>
      </c>
      <c r="AQ75" s="143" t="str">
        <f>tbl_IO_List[[#This Row],[Chassis]]&amp;"S"&amp;tbl_IO_List[[#This Row],[Slot]]&amp;"-"&amp;tbl_IO_List[[#This Row],[Front Terminal Number]]</f>
        <v>C1S6-6</v>
      </c>
      <c r="AR75" s="141" t="s">
        <v>1851</v>
      </c>
      <c r="AS75" s="136" t="str">
        <f>tbl_IO_List[[#This Row],[Terminal Tagging]]&amp;"-"&amp;tbl_IO_List[[#This Row],[Point-Count]]</f>
        <v>P1-TBDI3-6</v>
      </c>
      <c r="AT75" s="136" t="str">
        <f>tbl_IO_List[[#This Row],[Front Terminal Tagging]]&amp;"/"&amp;tbl_IO_List[[#This Row],[Terminal Tagging-Item]]</f>
        <v>C1S6-6/P1-TBDI3-6</v>
      </c>
      <c r="AU75" s="136" t="str">
        <f>tbl_IO_List[[#This Row],[Terminal Tagging-Item]]&amp;"/"&amp;tbl_IO_List[[#This Row],[Front Terminal Tagging]]</f>
        <v>P1-TBDI3-6/C1S6-6</v>
      </c>
    </row>
    <row r="76" spans="1:47" hidden="1">
      <c r="A76" s="147" t="s">
        <v>1369</v>
      </c>
      <c r="B76" s="136" t="s">
        <v>114</v>
      </c>
      <c r="C76" s="136" t="str">
        <f>tbl_IO_List[[#This Row],[Column3]]</f>
        <v>C1S06,06</v>
      </c>
      <c r="D76" s="136" t="str">
        <f>tbl_IO_List[[#This Row],[Card]]</f>
        <v>1756-IB32-6</v>
      </c>
      <c r="E76" s="136" t="s">
        <v>1366</v>
      </c>
      <c r="F76" s="136" t="str">
        <f>tbl_IO_List[[#This Row],[Column23]]&amp;"-" &amp;tbl_IO_List[[#This Row],[Column52]]</f>
        <v>C1S06-X1</v>
      </c>
      <c r="G76" s="136" t="str">
        <f>tbl_IO_List[[#This Row],[PLC_Tag]]</f>
        <v>Spare_DI_0</v>
      </c>
      <c r="H76" s="136"/>
      <c r="I76" s="136" t="str">
        <f>VLOOKUP(tbl_IO_List[[#This Row],[Destination]],tbl_Junction[],2,FALSE)</f>
        <v>Infeed 2nd Floor</v>
      </c>
      <c r="J76" s="136" t="s">
        <v>114</v>
      </c>
      <c r="K76" s="136"/>
      <c r="L76" s="136" t="s">
        <v>411</v>
      </c>
      <c r="M76" s="136" t="e">
        <f>VLOOKUP(tbl_IO_List[[#This Row],[Instruement Tag]],tbl_Instruement_List[],2,FALSE)</f>
        <v>#N/A</v>
      </c>
      <c r="N76" s="136"/>
      <c r="O76" s="136"/>
      <c r="P76" s="136"/>
      <c r="Q76" s="136" t="e">
        <f>VLOOKUP(tbl_IO_List[[#This Row],[Instruement Tag]],tbl_Instruement_List[],6,FALSE)</f>
        <v>#N/A</v>
      </c>
      <c r="R76" s="136"/>
      <c r="S7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6" s="136" t="str">
        <f>tbl_IO_List[[#This Row],[Instruement Tag]]&amp;"_"&amp;tbl_IO_List[[#This Row],[I/O Type]]&amp;"_"&amp;tbl_IO_List[[#This Row],[IO-Point 
(Instruement)]]</f>
        <v>Spare_DI_0</v>
      </c>
      <c r="U76" s="136" t="s">
        <v>8</v>
      </c>
      <c r="V76" s="136">
        <f>VLOOKUP(tbl_IO_List[[#This Row],[I/O Type]],tbl_Slot_Group[],2,FALSE)</f>
        <v>1</v>
      </c>
      <c r="W76" s="136">
        <v>0</v>
      </c>
      <c r="X76" s="136" t="str">
        <f>tbl_IO_List[[#This Row],[Chassis]]&amp;"S"&amp;TEXT(tbl_IO_List[[#This Row],[Slot]],"00")</f>
        <v>C1S06</v>
      </c>
      <c r="Y76" s="136" t="str">
        <f>tbl_IO_List[[#This Row],[Chassis]]&amp;"S"&amp;TEXT(tbl_IO_List[[#This Row],[Slot]],"00")&amp;tbl_IO_List[[#This Row],[I/O Type]]&amp;TEXT(tbl_IO_List[[#This Row],[Point]],"00")</f>
        <v>C1S06DI06</v>
      </c>
      <c r="Z76" s="136" t="str">
        <f>tbl_IO_List[[#This Row],[Chassis]]&amp;"S"&amp;TEXT(tbl_IO_List[[#This Row],[Slot]],"00")&amp;","&amp;TEXT(tbl_IO_List[[#This Row],[Point]],"00")</f>
        <v>C1S06,06</v>
      </c>
      <c r="AA76" s="136" t="str">
        <f>VLOOKUP(tbl_IO_List[[#This Row],[Column23]],tbl_RackConfig[],5,FALSE) &amp;"-"&amp;tbl_IO_List[[#This Row],[Point]]</f>
        <v>1756-IB32-6</v>
      </c>
      <c r="AB76" s="136"/>
      <c r="AC76" s="136" t="s">
        <v>1370</v>
      </c>
      <c r="AD76" s="136" t="str">
        <f>tbl_IO_List[[#This Row],[I/O Type]]</f>
        <v>DI</v>
      </c>
      <c r="AE76" s="136" t="s">
        <v>1332</v>
      </c>
      <c r="AF76" s="136">
        <v>6</v>
      </c>
      <c r="AG76" s="136">
        <v>6</v>
      </c>
      <c r="AH76" s="136">
        <v>7</v>
      </c>
      <c r="AI76" s="136">
        <v>7</v>
      </c>
      <c r="AJ76" s="136">
        <v>1</v>
      </c>
      <c r="AK76" s="136">
        <v>0</v>
      </c>
      <c r="AL76" s="136">
        <v>0</v>
      </c>
      <c r="AM76" s="136">
        <v>0</v>
      </c>
      <c r="AN76" s="136">
        <v>0</v>
      </c>
      <c r="AO76" s="136"/>
      <c r="AP76" s="143" t="e">
        <f>VLOOKUP(tbl_IO_List[[#This Row],[Instruement Tag]],tbl_Instruement_List[],14,FALSE)</f>
        <v>#N/A</v>
      </c>
      <c r="AQ76" s="143" t="str">
        <f>tbl_IO_List[[#This Row],[Chassis]]&amp;"S"&amp;tbl_IO_List[[#This Row],[Slot]]&amp;"-"&amp;tbl_IO_List[[#This Row],[Front Terminal Number]]</f>
        <v>C1S6-7</v>
      </c>
      <c r="AR76" s="141" t="s">
        <v>1851</v>
      </c>
      <c r="AS76" s="136" t="str">
        <f>tbl_IO_List[[#This Row],[Terminal Tagging]]&amp;"-"&amp;tbl_IO_List[[#This Row],[Point-Count]]</f>
        <v>P1-TBDI3-7</v>
      </c>
      <c r="AT76" s="136" t="str">
        <f>tbl_IO_List[[#This Row],[Front Terminal Tagging]]&amp;"/"&amp;tbl_IO_List[[#This Row],[Terminal Tagging-Item]]</f>
        <v>C1S6-7/P1-TBDI3-7</v>
      </c>
      <c r="AU76" s="136" t="str">
        <f>tbl_IO_List[[#This Row],[Terminal Tagging-Item]]&amp;"/"&amp;tbl_IO_List[[#This Row],[Front Terminal Tagging]]</f>
        <v>P1-TBDI3-7/C1S6-7</v>
      </c>
    </row>
    <row r="77" spans="1:47" hidden="1">
      <c r="A77" s="147" t="s">
        <v>1369</v>
      </c>
      <c r="B77" s="136" t="s">
        <v>114</v>
      </c>
      <c r="C77" s="136" t="str">
        <f>tbl_IO_List[[#This Row],[Column3]]</f>
        <v>C1S06,07</v>
      </c>
      <c r="D77" s="136" t="str">
        <f>tbl_IO_List[[#This Row],[Card]]</f>
        <v>1756-IB32-7</v>
      </c>
      <c r="E77" s="136" t="s">
        <v>1366</v>
      </c>
      <c r="F77" s="136" t="str">
        <f>tbl_IO_List[[#This Row],[Column23]]&amp;"-" &amp;tbl_IO_List[[#This Row],[Column52]]</f>
        <v>C1S06-X1</v>
      </c>
      <c r="G77" s="136" t="str">
        <f>tbl_IO_List[[#This Row],[PLC_Tag]]</f>
        <v>Spare_DI_0</v>
      </c>
      <c r="H77" s="136"/>
      <c r="I77" s="136" t="str">
        <f>VLOOKUP(tbl_IO_List[[#This Row],[Destination]],tbl_Junction[],2,FALSE)</f>
        <v>Infeed 2nd Floor</v>
      </c>
      <c r="J77" s="136" t="s">
        <v>114</v>
      </c>
      <c r="K77" s="136"/>
      <c r="L77" s="136" t="s">
        <v>411</v>
      </c>
      <c r="M77" s="136" t="e">
        <f>VLOOKUP(tbl_IO_List[[#This Row],[Instruement Tag]],tbl_Instruement_List[],2,FALSE)</f>
        <v>#N/A</v>
      </c>
      <c r="N77" s="136"/>
      <c r="O77" s="136"/>
      <c r="P77" s="136"/>
      <c r="Q77" s="136" t="e">
        <f>VLOOKUP(tbl_IO_List[[#This Row],[Instruement Tag]],tbl_Instruement_List[],6,FALSE)</f>
        <v>#N/A</v>
      </c>
      <c r="R77" s="136"/>
      <c r="S7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7" s="136" t="str">
        <f>tbl_IO_List[[#This Row],[Instruement Tag]]&amp;"_"&amp;tbl_IO_List[[#This Row],[I/O Type]]&amp;"_"&amp;tbl_IO_List[[#This Row],[IO-Point 
(Instruement)]]</f>
        <v>Spare_DI_0</v>
      </c>
      <c r="U77" s="136" t="s">
        <v>8</v>
      </c>
      <c r="V77" s="136">
        <f>VLOOKUP(tbl_IO_List[[#This Row],[I/O Type]],tbl_Slot_Group[],2,FALSE)</f>
        <v>1</v>
      </c>
      <c r="W77" s="136">
        <v>0</v>
      </c>
      <c r="X77" s="136" t="str">
        <f>tbl_IO_List[[#This Row],[Chassis]]&amp;"S"&amp;TEXT(tbl_IO_List[[#This Row],[Slot]],"00")</f>
        <v>C1S06</v>
      </c>
      <c r="Y77" s="136" t="str">
        <f>tbl_IO_List[[#This Row],[Chassis]]&amp;"S"&amp;TEXT(tbl_IO_List[[#This Row],[Slot]],"00")&amp;tbl_IO_List[[#This Row],[I/O Type]]&amp;TEXT(tbl_IO_List[[#This Row],[Point]],"00")</f>
        <v>C1S06DI07</v>
      </c>
      <c r="Z77" s="136" t="str">
        <f>tbl_IO_List[[#This Row],[Chassis]]&amp;"S"&amp;TEXT(tbl_IO_List[[#This Row],[Slot]],"00")&amp;","&amp;TEXT(tbl_IO_List[[#This Row],[Point]],"00")</f>
        <v>C1S06,07</v>
      </c>
      <c r="AA77" s="136" t="str">
        <f>VLOOKUP(tbl_IO_List[[#This Row],[Column23]],tbl_RackConfig[],5,FALSE) &amp;"-"&amp;tbl_IO_List[[#This Row],[Point]]</f>
        <v>1756-IB32-7</v>
      </c>
      <c r="AB77" s="136"/>
      <c r="AC77" s="136" t="s">
        <v>1370</v>
      </c>
      <c r="AD77" s="136" t="str">
        <f>tbl_IO_List[[#This Row],[I/O Type]]</f>
        <v>DI</v>
      </c>
      <c r="AE77" s="136" t="s">
        <v>1332</v>
      </c>
      <c r="AF77" s="136">
        <v>6</v>
      </c>
      <c r="AG77" s="136">
        <v>7</v>
      </c>
      <c r="AH77" s="136">
        <v>8</v>
      </c>
      <c r="AI77" s="136">
        <v>8</v>
      </c>
      <c r="AJ77" s="136">
        <v>1</v>
      </c>
      <c r="AK77" s="136">
        <v>0</v>
      </c>
      <c r="AL77" s="136">
        <v>0</v>
      </c>
      <c r="AM77" s="136">
        <v>0</v>
      </c>
      <c r="AN77" s="136">
        <v>0</v>
      </c>
      <c r="AO77" s="136"/>
      <c r="AP77" s="143" t="e">
        <f>VLOOKUP(tbl_IO_List[[#This Row],[Instruement Tag]],tbl_Instruement_List[],14,FALSE)</f>
        <v>#N/A</v>
      </c>
      <c r="AQ77" s="143" t="str">
        <f>tbl_IO_List[[#This Row],[Chassis]]&amp;"S"&amp;tbl_IO_List[[#This Row],[Slot]]&amp;"-"&amp;tbl_IO_List[[#This Row],[Front Terminal Number]]</f>
        <v>C1S6-8</v>
      </c>
      <c r="AR77" s="141" t="s">
        <v>1851</v>
      </c>
      <c r="AS77" s="136" t="str">
        <f>tbl_IO_List[[#This Row],[Terminal Tagging]]&amp;"-"&amp;tbl_IO_List[[#This Row],[Point-Count]]</f>
        <v>P1-TBDI3-8</v>
      </c>
      <c r="AT77" s="136" t="str">
        <f>tbl_IO_List[[#This Row],[Front Terminal Tagging]]&amp;"/"&amp;tbl_IO_List[[#This Row],[Terminal Tagging-Item]]</f>
        <v>C1S6-8/P1-TBDI3-8</v>
      </c>
      <c r="AU77" s="136" t="str">
        <f>tbl_IO_List[[#This Row],[Terminal Tagging-Item]]&amp;"/"&amp;tbl_IO_List[[#This Row],[Front Terminal Tagging]]</f>
        <v>P1-TBDI3-8/C1S6-8</v>
      </c>
    </row>
    <row r="78" spans="1:47" hidden="1">
      <c r="A78" s="147" t="s">
        <v>1369</v>
      </c>
      <c r="B78" s="136" t="s">
        <v>114</v>
      </c>
      <c r="C78" s="136" t="str">
        <f>tbl_IO_List[[#This Row],[Column3]]</f>
        <v>C1S06,08</v>
      </c>
      <c r="D78" s="136" t="str">
        <f>tbl_IO_List[[#This Row],[Card]]</f>
        <v>1756-IB32-8</v>
      </c>
      <c r="E78" s="136" t="s">
        <v>1366</v>
      </c>
      <c r="F78" s="136" t="str">
        <f>tbl_IO_List[[#This Row],[Column23]]&amp;"-" &amp;tbl_IO_List[[#This Row],[Column52]]</f>
        <v>C1S06-X1</v>
      </c>
      <c r="G78" s="136" t="str">
        <f>tbl_IO_List[[#This Row],[PLC_Tag]]</f>
        <v>Spare_DI_0</v>
      </c>
      <c r="H78" s="136"/>
      <c r="I78" s="136" t="str">
        <f>VLOOKUP(tbl_IO_List[[#This Row],[Destination]],tbl_Junction[],2,FALSE)</f>
        <v>Infeed 2nd Floor</v>
      </c>
      <c r="J78" s="136" t="s">
        <v>114</v>
      </c>
      <c r="K78" s="136"/>
      <c r="L78" s="136" t="s">
        <v>411</v>
      </c>
      <c r="M78" s="136" t="e">
        <f>VLOOKUP(tbl_IO_List[[#This Row],[Instruement Tag]],tbl_Instruement_List[],2,FALSE)</f>
        <v>#N/A</v>
      </c>
      <c r="N78" s="136"/>
      <c r="O78" s="136"/>
      <c r="P78" s="136"/>
      <c r="Q78" s="136" t="e">
        <f>VLOOKUP(tbl_IO_List[[#This Row],[Instruement Tag]],tbl_Instruement_List[],6,FALSE)</f>
        <v>#N/A</v>
      </c>
      <c r="R78" s="136"/>
      <c r="S7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8" s="136" t="str">
        <f>tbl_IO_List[[#This Row],[Instruement Tag]]&amp;"_"&amp;tbl_IO_List[[#This Row],[I/O Type]]&amp;"_"&amp;tbl_IO_List[[#This Row],[IO-Point 
(Instruement)]]</f>
        <v>Spare_DI_0</v>
      </c>
      <c r="U78" s="136" t="s">
        <v>8</v>
      </c>
      <c r="V78" s="136">
        <f>VLOOKUP(tbl_IO_List[[#This Row],[I/O Type]],tbl_Slot_Group[],2,FALSE)</f>
        <v>1</v>
      </c>
      <c r="W78" s="136">
        <v>0</v>
      </c>
      <c r="X78" s="136" t="str">
        <f>tbl_IO_List[[#This Row],[Chassis]]&amp;"S"&amp;TEXT(tbl_IO_List[[#This Row],[Slot]],"00")</f>
        <v>C1S06</v>
      </c>
      <c r="Y78" s="136" t="str">
        <f>tbl_IO_List[[#This Row],[Chassis]]&amp;"S"&amp;TEXT(tbl_IO_List[[#This Row],[Slot]],"00")&amp;tbl_IO_List[[#This Row],[I/O Type]]&amp;TEXT(tbl_IO_List[[#This Row],[Point]],"00")</f>
        <v>C1S06DI08</v>
      </c>
      <c r="Z78" s="136" t="str">
        <f>tbl_IO_List[[#This Row],[Chassis]]&amp;"S"&amp;TEXT(tbl_IO_List[[#This Row],[Slot]],"00")&amp;","&amp;TEXT(tbl_IO_List[[#This Row],[Point]],"00")</f>
        <v>C1S06,08</v>
      </c>
      <c r="AA78" s="136" t="str">
        <f>VLOOKUP(tbl_IO_List[[#This Row],[Column23]],tbl_RackConfig[],5,FALSE) &amp;"-"&amp;tbl_IO_List[[#This Row],[Point]]</f>
        <v>1756-IB32-8</v>
      </c>
      <c r="AB78" s="136"/>
      <c r="AC78" s="136" t="s">
        <v>1370</v>
      </c>
      <c r="AD78" s="136" t="str">
        <f>tbl_IO_List[[#This Row],[I/O Type]]</f>
        <v>DI</v>
      </c>
      <c r="AE78" s="136" t="s">
        <v>1332</v>
      </c>
      <c r="AF78" s="136">
        <v>6</v>
      </c>
      <c r="AG78" s="136">
        <v>8</v>
      </c>
      <c r="AH78" s="136">
        <v>9</v>
      </c>
      <c r="AI78" s="136">
        <v>9</v>
      </c>
      <c r="AJ78" s="136">
        <v>1</v>
      </c>
      <c r="AK78" s="136">
        <v>0</v>
      </c>
      <c r="AL78" s="136">
        <v>0</v>
      </c>
      <c r="AM78" s="136">
        <v>0</v>
      </c>
      <c r="AN78" s="136">
        <v>0</v>
      </c>
      <c r="AO78" s="136"/>
      <c r="AP78" s="143" t="e">
        <f>VLOOKUP(tbl_IO_List[[#This Row],[Instruement Tag]],tbl_Instruement_List[],14,FALSE)</f>
        <v>#N/A</v>
      </c>
      <c r="AQ78" s="143" t="str">
        <f>tbl_IO_List[[#This Row],[Chassis]]&amp;"S"&amp;tbl_IO_List[[#This Row],[Slot]]&amp;"-"&amp;tbl_IO_List[[#This Row],[Front Terminal Number]]</f>
        <v>C1S6-9</v>
      </c>
      <c r="AR78" s="141" t="s">
        <v>1851</v>
      </c>
      <c r="AS78" s="136" t="str">
        <f>tbl_IO_List[[#This Row],[Terminal Tagging]]&amp;"-"&amp;tbl_IO_List[[#This Row],[Point-Count]]</f>
        <v>P1-TBDI3-9</v>
      </c>
      <c r="AT78" s="136" t="str">
        <f>tbl_IO_List[[#This Row],[Front Terminal Tagging]]&amp;"/"&amp;tbl_IO_List[[#This Row],[Terminal Tagging-Item]]</f>
        <v>C1S6-9/P1-TBDI3-9</v>
      </c>
      <c r="AU78" s="136" t="str">
        <f>tbl_IO_List[[#This Row],[Terminal Tagging-Item]]&amp;"/"&amp;tbl_IO_List[[#This Row],[Front Terminal Tagging]]</f>
        <v>P1-TBDI3-9/C1S6-9</v>
      </c>
    </row>
    <row r="79" spans="1:47" hidden="1">
      <c r="A79" s="147" t="s">
        <v>1369</v>
      </c>
      <c r="B79" s="136" t="s">
        <v>114</v>
      </c>
      <c r="C79" s="136" t="str">
        <f>tbl_IO_List[[#This Row],[Column3]]</f>
        <v>C1S06,09</v>
      </c>
      <c r="D79" s="136" t="str">
        <f>tbl_IO_List[[#This Row],[Card]]</f>
        <v>1756-IB32-9</v>
      </c>
      <c r="E79" s="136" t="s">
        <v>1366</v>
      </c>
      <c r="F79" s="136" t="str">
        <f>tbl_IO_List[[#This Row],[Column23]]&amp;"-" &amp;tbl_IO_List[[#This Row],[Column52]]</f>
        <v>C1S06-X1</v>
      </c>
      <c r="G79" s="136" t="str">
        <f>tbl_IO_List[[#This Row],[PLC_Tag]]</f>
        <v>Spare_DI_0</v>
      </c>
      <c r="H79" s="136"/>
      <c r="I79" s="136" t="str">
        <f>VLOOKUP(tbl_IO_List[[#This Row],[Destination]],tbl_Junction[],2,FALSE)</f>
        <v>Infeed 2nd Floor</v>
      </c>
      <c r="J79" s="136" t="s">
        <v>114</v>
      </c>
      <c r="K79" s="136"/>
      <c r="L79" s="136" t="s">
        <v>411</v>
      </c>
      <c r="M79" s="136" t="e">
        <f>VLOOKUP(tbl_IO_List[[#This Row],[Instruement Tag]],tbl_Instruement_List[],2,FALSE)</f>
        <v>#N/A</v>
      </c>
      <c r="N79" s="136"/>
      <c r="O79" s="136"/>
      <c r="P79" s="136"/>
      <c r="Q79" s="136" t="e">
        <f>VLOOKUP(tbl_IO_List[[#This Row],[Instruement Tag]],tbl_Instruement_List[],6,FALSE)</f>
        <v>#N/A</v>
      </c>
      <c r="R79" s="136"/>
      <c r="S7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9" s="136" t="str">
        <f>tbl_IO_List[[#This Row],[Instruement Tag]]&amp;"_"&amp;tbl_IO_List[[#This Row],[I/O Type]]&amp;"_"&amp;tbl_IO_List[[#This Row],[IO-Point 
(Instruement)]]</f>
        <v>Spare_DI_0</v>
      </c>
      <c r="U79" s="136" t="s">
        <v>8</v>
      </c>
      <c r="V79" s="136">
        <f>VLOOKUP(tbl_IO_List[[#This Row],[I/O Type]],tbl_Slot_Group[],2,FALSE)</f>
        <v>1</v>
      </c>
      <c r="W79" s="136">
        <v>0</v>
      </c>
      <c r="X79" s="136" t="str">
        <f>tbl_IO_List[[#This Row],[Chassis]]&amp;"S"&amp;TEXT(tbl_IO_List[[#This Row],[Slot]],"00")</f>
        <v>C1S06</v>
      </c>
      <c r="Y79" s="136" t="str">
        <f>tbl_IO_List[[#This Row],[Chassis]]&amp;"S"&amp;TEXT(tbl_IO_List[[#This Row],[Slot]],"00")&amp;tbl_IO_List[[#This Row],[I/O Type]]&amp;TEXT(tbl_IO_List[[#This Row],[Point]],"00")</f>
        <v>C1S06DI09</v>
      </c>
      <c r="Z79" s="136" t="str">
        <f>tbl_IO_List[[#This Row],[Chassis]]&amp;"S"&amp;TEXT(tbl_IO_List[[#This Row],[Slot]],"00")&amp;","&amp;TEXT(tbl_IO_List[[#This Row],[Point]],"00")</f>
        <v>C1S06,09</v>
      </c>
      <c r="AA79" s="136" t="str">
        <f>VLOOKUP(tbl_IO_List[[#This Row],[Column23]],tbl_RackConfig[],5,FALSE) &amp;"-"&amp;tbl_IO_List[[#This Row],[Point]]</f>
        <v>1756-IB32-9</v>
      </c>
      <c r="AB79" s="136"/>
      <c r="AC79" s="136" t="s">
        <v>1370</v>
      </c>
      <c r="AD79" s="136" t="str">
        <f>tbl_IO_List[[#This Row],[I/O Type]]</f>
        <v>DI</v>
      </c>
      <c r="AE79" s="136" t="s">
        <v>1332</v>
      </c>
      <c r="AF79" s="136">
        <v>6</v>
      </c>
      <c r="AG79" s="136">
        <v>9</v>
      </c>
      <c r="AH79" s="136">
        <v>10</v>
      </c>
      <c r="AI79" s="136">
        <v>10</v>
      </c>
      <c r="AJ79" s="136">
        <v>1</v>
      </c>
      <c r="AK79" s="136">
        <v>0</v>
      </c>
      <c r="AL79" s="136">
        <v>0</v>
      </c>
      <c r="AM79" s="136">
        <v>0</v>
      </c>
      <c r="AN79" s="136">
        <v>0</v>
      </c>
      <c r="AO79" s="136"/>
      <c r="AP79" s="143" t="e">
        <f>VLOOKUP(tbl_IO_List[[#This Row],[Instruement Tag]],tbl_Instruement_List[],14,FALSE)</f>
        <v>#N/A</v>
      </c>
      <c r="AQ79" s="143" t="str">
        <f>tbl_IO_List[[#This Row],[Chassis]]&amp;"S"&amp;tbl_IO_List[[#This Row],[Slot]]&amp;"-"&amp;tbl_IO_List[[#This Row],[Front Terminal Number]]</f>
        <v>C1S6-10</v>
      </c>
      <c r="AR79" s="141" t="s">
        <v>1851</v>
      </c>
      <c r="AS79" s="136" t="str">
        <f>tbl_IO_List[[#This Row],[Terminal Tagging]]&amp;"-"&amp;tbl_IO_List[[#This Row],[Point-Count]]</f>
        <v>P1-TBDI3-10</v>
      </c>
      <c r="AT79" s="136" t="str">
        <f>tbl_IO_List[[#This Row],[Front Terminal Tagging]]&amp;"/"&amp;tbl_IO_List[[#This Row],[Terminal Tagging-Item]]</f>
        <v>C1S6-10/P1-TBDI3-10</v>
      </c>
      <c r="AU79" s="136" t="str">
        <f>tbl_IO_List[[#This Row],[Terminal Tagging-Item]]&amp;"/"&amp;tbl_IO_List[[#This Row],[Front Terminal Tagging]]</f>
        <v>P1-TBDI3-10/C1S6-10</v>
      </c>
    </row>
    <row r="80" spans="1:47" hidden="1">
      <c r="A80" s="147" t="s">
        <v>1369</v>
      </c>
      <c r="B80" s="136" t="s">
        <v>114</v>
      </c>
      <c r="C80" s="136" t="str">
        <f>tbl_IO_List[[#This Row],[Column3]]</f>
        <v>C1S06,10</v>
      </c>
      <c r="D80" s="136" t="str">
        <f>tbl_IO_List[[#This Row],[Card]]</f>
        <v>1756-IB32-10</v>
      </c>
      <c r="E80" s="136" t="s">
        <v>1366</v>
      </c>
      <c r="F80" s="136" t="str">
        <f>tbl_IO_List[[#This Row],[Column23]]&amp;"-" &amp;tbl_IO_List[[#This Row],[Column52]]</f>
        <v>C1S06-X1</v>
      </c>
      <c r="G80" s="136" t="str">
        <f>tbl_IO_List[[#This Row],[PLC_Tag]]</f>
        <v>Spare_DI_0</v>
      </c>
      <c r="H80" s="136"/>
      <c r="I80" s="136" t="str">
        <f>VLOOKUP(tbl_IO_List[[#This Row],[Destination]],tbl_Junction[],2,FALSE)</f>
        <v>Infeed 2nd Floor</v>
      </c>
      <c r="J80" s="136" t="s">
        <v>114</v>
      </c>
      <c r="K80" s="136"/>
      <c r="L80" s="136" t="s">
        <v>411</v>
      </c>
      <c r="M80" s="136" t="e">
        <f>VLOOKUP(tbl_IO_List[[#This Row],[Instruement Tag]],tbl_Instruement_List[],2,FALSE)</f>
        <v>#N/A</v>
      </c>
      <c r="N80" s="136"/>
      <c r="O80" s="136"/>
      <c r="P80" s="136"/>
      <c r="Q80" s="136" t="e">
        <f>VLOOKUP(tbl_IO_List[[#This Row],[Instruement Tag]],tbl_Instruement_List[],6,FALSE)</f>
        <v>#N/A</v>
      </c>
      <c r="R80" s="136"/>
      <c r="S8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80" s="136" t="str">
        <f>tbl_IO_List[[#This Row],[Instruement Tag]]&amp;"_"&amp;tbl_IO_List[[#This Row],[I/O Type]]&amp;"_"&amp;tbl_IO_List[[#This Row],[IO-Point 
(Instruement)]]</f>
        <v>Spare_DI_0</v>
      </c>
      <c r="U80" s="136" t="s">
        <v>8</v>
      </c>
      <c r="V80" s="136">
        <f>VLOOKUP(tbl_IO_List[[#This Row],[I/O Type]],tbl_Slot_Group[],2,FALSE)</f>
        <v>1</v>
      </c>
      <c r="W80" s="136">
        <v>0</v>
      </c>
      <c r="X80" s="136" t="str">
        <f>tbl_IO_List[[#This Row],[Chassis]]&amp;"S"&amp;TEXT(tbl_IO_List[[#This Row],[Slot]],"00")</f>
        <v>C1S06</v>
      </c>
      <c r="Y80" s="136" t="str">
        <f>tbl_IO_List[[#This Row],[Chassis]]&amp;"S"&amp;TEXT(tbl_IO_List[[#This Row],[Slot]],"00")&amp;tbl_IO_List[[#This Row],[I/O Type]]&amp;TEXT(tbl_IO_List[[#This Row],[Point]],"00")</f>
        <v>C1S06DI10</v>
      </c>
      <c r="Z80" s="136" t="str">
        <f>tbl_IO_List[[#This Row],[Chassis]]&amp;"S"&amp;TEXT(tbl_IO_List[[#This Row],[Slot]],"00")&amp;","&amp;TEXT(tbl_IO_List[[#This Row],[Point]],"00")</f>
        <v>C1S06,10</v>
      </c>
      <c r="AA80" s="136" t="str">
        <f>VLOOKUP(tbl_IO_List[[#This Row],[Column23]],tbl_RackConfig[],5,FALSE) &amp;"-"&amp;tbl_IO_List[[#This Row],[Point]]</f>
        <v>1756-IB32-10</v>
      </c>
      <c r="AB80" s="136"/>
      <c r="AC80" s="136" t="s">
        <v>1370</v>
      </c>
      <c r="AD80" s="136" t="str">
        <f>tbl_IO_List[[#This Row],[I/O Type]]</f>
        <v>DI</v>
      </c>
      <c r="AE80" s="136" t="s">
        <v>1332</v>
      </c>
      <c r="AF80" s="136">
        <v>6</v>
      </c>
      <c r="AG80" s="136">
        <v>10</v>
      </c>
      <c r="AH80" s="136">
        <v>11</v>
      </c>
      <c r="AI80" s="136">
        <v>11</v>
      </c>
      <c r="AJ80" s="136">
        <v>1</v>
      </c>
      <c r="AK80" s="136">
        <v>0</v>
      </c>
      <c r="AL80" s="136">
        <v>0</v>
      </c>
      <c r="AM80" s="136">
        <v>0</v>
      </c>
      <c r="AN80" s="136">
        <v>0</v>
      </c>
      <c r="AO80" s="136"/>
      <c r="AP80" s="143" t="e">
        <f>VLOOKUP(tbl_IO_List[[#This Row],[Instruement Tag]],tbl_Instruement_List[],14,FALSE)</f>
        <v>#N/A</v>
      </c>
      <c r="AQ80" s="143" t="str">
        <f>tbl_IO_List[[#This Row],[Chassis]]&amp;"S"&amp;tbl_IO_List[[#This Row],[Slot]]&amp;"-"&amp;tbl_IO_List[[#This Row],[Front Terminal Number]]</f>
        <v>C1S6-11</v>
      </c>
      <c r="AR80" s="141" t="s">
        <v>1851</v>
      </c>
      <c r="AS80" s="136" t="str">
        <f>tbl_IO_List[[#This Row],[Terminal Tagging]]&amp;"-"&amp;tbl_IO_List[[#This Row],[Point-Count]]</f>
        <v>P1-TBDI3-11</v>
      </c>
      <c r="AT80" s="136" t="str">
        <f>tbl_IO_List[[#This Row],[Front Terminal Tagging]]&amp;"/"&amp;tbl_IO_List[[#This Row],[Terminal Tagging-Item]]</f>
        <v>C1S6-11/P1-TBDI3-11</v>
      </c>
      <c r="AU80" s="136" t="str">
        <f>tbl_IO_List[[#This Row],[Terminal Tagging-Item]]&amp;"/"&amp;tbl_IO_List[[#This Row],[Front Terminal Tagging]]</f>
        <v>P1-TBDI3-11/C1S6-11</v>
      </c>
    </row>
    <row r="81" spans="1:47" hidden="1">
      <c r="A81" s="147" t="s">
        <v>1369</v>
      </c>
      <c r="B81" s="136" t="s">
        <v>114</v>
      </c>
      <c r="C81" s="136" t="str">
        <f>tbl_IO_List[[#This Row],[Column3]]</f>
        <v>C1S06,11</v>
      </c>
      <c r="D81" s="136" t="str">
        <f>tbl_IO_List[[#This Row],[Card]]</f>
        <v>1756-IB32-11</v>
      </c>
      <c r="E81" s="136" t="s">
        <v>1366</v>
      </c>
      <c r="F81" s="136" t="str">
        <f>tbl_IO_List[[#This Row],[Column23]]&amp;"-" &amp;tbl_IO_List[[#This Row],[Column52]]</f>
        <v>C1S06-X1</v>
      </c>
      <c r="G81" s="136" t="str">
        <f>tbl_IO_List[[#This Row],[PLC_Tag]]</f>
        <v>Spare_DI_0</v>
      </c>
      <c r="H81" s="136"/>
      <c r="I81" s="136" t="str">
        <f>VLOOKUP(tbl_IO_List[[#This Row],[Destination]],tbl_Junction[],2,FALSE)</f>
        <v>Infeed 2nd Floor</v>
      </c>
      <c r="J81" s="136" t="s">
        <v>114</v>
      </c>
      <c r="K81" s="136"/>
      <c r="L81" s="136" t="s">
        <v>411</v>
      </c>
      <c r="M81" s="136" t="e">
        <f>VLOOKUP(tbl_IO_List[[#This Row],[Instruement Tag]],tbl_Instruement_List[],2,FALSE)</f>
        <v>#N/A</v>
      </c>
      <c r="N81" s="136"/>
      <c r="O81" s="136"/>
      <c r="P81" s="136"/>
      <c r="Q81" s="136" t="e">
        <f>VLOOKUP(tbl_IO_List[[#This Row],[Instruement Tag]],tbl_Instruement_List[],6,FALSE)</f>
        <v>#N/A</v>
      </c>
      <c r="R81" s="136"/>
      <c r="S8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81" s="136" t="str">
        <f>tbl_IO_List[[#This Row],[Instruement Tag]]&amp;"_"&amp;tbl_IO_List[[#This Row],[I/O Type]]&amp;"_"&amp;tbl_IO_List[[#This Row],[IO-Point 
(Instruement)]]</f>
        <v>Spare_DI_0</v>
      </c>
      <c r="U81" s="136" t="s">
        <v>8</v>
      </c>
      <c r="V81" s="136">
        <f>VLOOKUP(tbl_IO_List[[#This Row],[I/O Type]],tbl_Slot_Group[],2,FALSE)</f>
        <v>1</v>
      </c>
      <c r="W81" s="136">
        <v>0</v>
      </c>
      <c r="X81" s="136" t="str">
        <f>tbl_IO_List[[#This Row],[Chassis]]&amp;"S"&amp;TEXT(tbl_IO_List[[#This Row],[Slot]],"00")</f>
        <v>C1S06</v>
      </c>
      <c r="Y81" s="136" t="str">
        <f>tbl_IO_List[[#This Row],[Chassis]]&amp;"S"&amp;TEXT(tbl_IO_List[[#This Row],[Slot]],"00")&amp;tbl_IO_List[[#This Row],[I/O Type]]&amp;TEXT(tbl_IO_List[[#This Row],[Point]],"00")</f>
        <v>C1S06DI11</v>
      </c>
      <c r="Z81" s="136" t="str">
        <f>tbl_IO_List[[#This Row],[Chassis]]&amp;"S"&amp;TEXT(tbl_IO_List[[#This Row],[Slot]],"00")&amp;","&amp;TEXT(tbl_IO_List[[#This Row],[Point]],"00")</f>
        <v>C1S06,11</v>
      </c>
      <c r="AA81" s="136" t="str">
        <f>VLOOKUP(tbl_IO_List[[#This Row],[Column23]],tbl_RackConfig[],5,FALSE) &amp;"-"&amp;tbl_IO_List[[#This Row],[Point]]</f>
        <v>1756-IB32-11</v>
      </c>
      <c r="AB81" s="136"/>
      <c r="AC81" s="136" t="s">
        <v>1370</v>
      </c>
      <c r="AD81" s="136" t="str">
        <f>tbl_IO_List[[#This Row],[I/O Type]]</f>
        <v>DI</v>
      </c>
      <c r="AE81" s="136" t="s">
        <v>1332</v>
      </c>
      <c r="AF81" s="136">
        <v>6</v>
      </c>
      <c r="AG81" s="136">
        <v>11</v>
      </c>
      <c r="AH81" s="136">
        <v>12</v>
      </c>
      <c r="AI81" s="136">
        <v>12</v>
      </c>
      <c r="AJ81" s="136">
        <v>1</v>
      </c>
      <c r="AK81" s="136">
        <v>0</v>
      </c>
      <c r="AL81" s="136">
        <v>0</v>
      </c>
      <c r="AM81" s="136">
        <v>0</v>
      </c>
      <c r="AN81" s="136">
        <v>0</v>
      </c>
      <c r="AO81" s="136"/>
      <c r="AP81" s="143" t="e">
        <f>VLOOKUP(tbl_IO_List[[#This Row],[Instruement Tag]],tbl_Instruement_List[],14,FALSE)</f>
        <v>#N/A</v>
      </c>
      <c r="AQ81" s="143" t="str">
        <f>tbl_IO_List[[#This Row],[Chassis]]&amp;"S"&amp;tbl_IO_List[[#This Row],[Slot]]&amp;"-"&amp;tbl_IO_List[[#This Row],[Front Terminal Number]]</f>
        <v>C1S6-12</v>
      </c>
      <c r="AR81" s="141" t="s">
        <v>1851</v>
      </c>
      <c r="AS81" s="136" t="str">
        <f>tbl_IO_List[[#This Row],[Terminal Tagging]]&amp;"-"&amp;tbl_IO_List[[#This Row],[Point-Count]]</f>
        <v>P1-TBDI3-12</v>
      </c>
      <c r="AT81" s="136" t="str">
        <f>tbl_IO_List[[#This Row],[Front Terminal Tagging]]&amp;"/"&amp;tbl_IO_List[[#This Row],[Terminal Tagging-Item]]</f>
        <v>C1S6-12/P1-TBDI3-12</v>
      </c>
      <c r="AU81" s="136" t="str">
        <f>tbl_IO_List[[#This Row],[Terminal Tagging-Item]]&amp;"/"&amp;tbl_IO_List[[#This Row],[Front Terminal Tagging]]</f>
        <v>P1-TBDI3-12/C1S6-12</v>
      </c>
    </row>
    <row r="82" spans="1:47" hidden="1">
      <c r="A82" s="147" t="s">
        <v>1369</v>
      </c>
      <c r="B82" s="136" t="s">
        <v>114</v>
      </c>
      <c r="C82" s="136" t="str">
        <f>tbl_IO_List[[#This Row],[Column3]]</f>
        <v>C1S06,12</v>
      </c>
      <c r="D82" s="136" t="str">
        <f>tbl_IO_List[[#This Row],[Card]]</f>
        <v>1756-IB32-12</v>
      </c>
      <c r="E82" s="136" t="s">
        <v>1366</v>
      </c>
      <c r="F82" s="136" t="str">
        <f>tbl_IO_List[[#This Row],[Column23]]&amp;"-" &amp;tbl_IO_List[[#This Row],[Column52]]</f>
        <v>C1S06-X1</v>
      </c>
      <c r="G82" s="136" t="str">
        <f>tbl_IO_List[[#This Row],[PLC_Tag]]</f>
        <v>Spare_DI_0</v>
      </c>
      <c r="H82" s="136"/>
      <c r="I82" s="136" t="str">
        <f>VLOOKUP(tbl_IO_List[[#This Row],[Destination]],tbl_Junction[],2,FALSE)</f>
        <v>Infeed 2nd Floor</v>
      </c>
      <c r="J82" s="136" t="s">
        <v>114</v>
      </c>
      <c r="K82" s="136"/>
      <c r="L82" s="136" t="s">
        <v>411</v>
      </c>
      <c r="M82" s="136" t="e">
        <f>VLOOKUP(tbl_IO_List[[#This Row],[Instruement Tag]],tbl_Instruement_List[],2,FALSE)</f>
        <v>#N/A</v>
      </c>
      <c r="N82" s="136"/>
      <c r="O82" s="136"/>
      <c r="P82" s="136"/>
      <c r="Q82" s="136" t="e">
        <f>VLOOKUP(tbl_IO_List[[#This Row],[Instruement Tag]],tbl_Instruement_List[],6,FALSE)</f>
        <v>#N/A</v>
      </c>
      <c r="R82" s="136"/>
      <c r="S8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82" s="136" t="str">
        <f>tbl_IO_List[[#This Row],[Instruement Tag]]&amp;"_"&amp;tbl_IO_List[[#This Row],[I/O Type]]&amp;"_"&amp;tbl_IO_List[[#This Row],[IO-Point 
(Instruement)]]</f>
        <v>Spare_DI_0</v>
      </c>
      <c r="U82" s="136" t="s">
        <v>8</v>
      </c>
      <c r="V82" s="136">
        <f>VLOOKUP(tbl_IO_List[[#This Row],[I/O Type]],tbl_Slot_Group[],2,FALSE)</f>
        <v>1</v>
      </c>
      <c r="W82" s="136">
        <v>0</v>
      </c>
      <c r="X82" s="136" t="str">
        <f>tbl_IO_List[[#This Row],[Chassis]]&amp;"S"&amp;TEXT(tbl_IO_List[[#This Row],[Slot]],"00")</f>
        <v>C1S06</v>
      </c>
      <c r="Y82" s="136" t="str">
        <f>tbl_IO_List[[#This Row],[Chassis]]&amp;"S"&amp;TEXT(tbl_IO_List[[#This Row],[Slot]],"00")&amp;tbl_IO_List[[#This Row],[I/O Type]]&amp;TEXT(tbl_IO_List[[#This Row],[Point]],"00")</f>
        <v>C1S06DI12</v>
      </c>
      <c r="Z82" s="136" t="str">
        <f>tbl_IO_List[[#This Row],[Chassis]]&amp;"S"&amp;TEXT(tbl_IO_List[[#This Row],[Slot]],"00")&amp;","&amp;TEXT(tbl_IO_List[[#This Row],[Point]],"00")</f>
        <v>C1S06,12</v>
      </c>
      <c r="AA82" s="136" t="str">
        <f>VLOOKUP(tbl_IO_List[[#This Row],[Column23]],tbl_RackConfig[],5,FALSE) &amp;"-"&amp;tbl_IO_List[[#This Row],[Point]]</f>
        <v>1756-IB32-12</v>
      </c>
      <c r="AB82" s="136"/>
      <c r="AC82" s="136" t="s">
        <v>1370</v>
      </c>
      <c r="AD82" s="136" t="str">
        <f>tbl_IO_List[[#This Row],[I/O Type]]</f>
        <v>DI</v>
      </c>
      <c r="AE82" s="136" t="s">
        <v>1332</v>
      </c>
      <c r="AF82" s="136">
        <v>6</v>
      </c>
      <c r="AG82" s="136">
        <v>12</v>
      </c>
      <c r="AH82" s="136">
        <v>13</v>
      </c>
      <c r="AI82" s="136">
        <v>13</v>
      </c>
      <c r="AJ82" s="136">
        <v>1</v>
      </c>
      <c r="AK82" s="136">
        <v>0</v>
      </c>
      <c r="AL82" s="136">
        <v>0</v>
      </c>
      <c r="AM82" s="136">
        <v>0</v>
      </c>
      <c r="AN82" s="136">
        <v>0</v>
      </c>
      <c r="AO82" s="136"/>
      <c r="AP82" s="143" t="e">
        <f>VLOOKUP(tbl_IO_List[[#This Row],[Instruement Tag]],tbl_Instruement_List[],14,FALSE)</f>
        <v>#N/A</v>
      </c>
      <c r="AQ82" s="143" t="str">
        <f>tbl_IO_List[[#This Row],[Chassis]]&amp;"S"&amp;tbl_IO_List[[#This Row],[Slot]]&amp;"-"&amp;tbl_IO_List[[#This Row],[Front Terminal Number]]</f>
        <v>C1S6-13</v>
      </c>
      <c r="AR82" s="141" t="s">
        <v>1851</v>
      </c>
      <c r="AS82" s="136" t="str">
        <f>tbl_IO_List[[#This Row],[Terminal Tagging]]&amp;"-"&amp;tbl_IO_List[[#This Row],[Point-Count]]</f>
        <v>P1-TBDI3-13</v>
      </c>
      <c r="AT82" s="136" t="str">
        <f>tbl_IO_List[[#This Row],[Front Terminal Tagging]]&amp;"/"&amp;tbl_IO_List[[#This Row],[Terminal Tagging-Item]]</f>
        <v>C1S6-13/P1-TBDI3-13</v>
      </c>
      <c r="AU82" s="136" t="str">
        <f>tbl_IO_List[[#This Row],[Terminal Tagging-Item]]&amp;"/"&amp;tbl_IO_List[[#This Row],[Front Terminal Tagging]]</f>
        <v>P1-TBDI3-13/C1S6-13</v>
      </c>
    </row>
    <row r="83" spans="1:47" hidden="1">
      <c r="A83" s="147" t="s">
        <v>1369</v>
      </c>
      <c r="B83" s="136" t="s">
        <v>114</v>
      </c>
      <c r="C83" s="136" t="str">
        <f>tbl_IO_List[[#This Row],[Column3]]</f>
        <v>C1S06,13</v>
      </c>
      <c r="D83" s="136" t="str">
        <f>tbl_IO_List[[#This Row],[Card]]</f>
        <v>1756-IB32-13</v>
      </c>
      <c r="E83" s="136" t="s">
        <v>1366</v>
      </c>
      <c r="F83" s="136" t="str">
        <f>tbl_IO_List[[#This Row],[Column23]]&amp;"-" &amp;tbl_IO_List[[#This Row],[Column52]]</f>
        <v>C1S06-X1</v>
      </c>
      <c r="G83" s="136" t="str">
        <f>tbl_IO_List[[#This Row],[PLC_Tag]]</f>
        <v>Spare_DI_0</v>
      </c>
      <c r="H83" s="136"/>
      <c r="I83" s="136" t="str">
        <f>VLOOKUP(tbl_IO_List[[#This Row],[Destination]],tbl_Junction[],2,FALSE)</f>
        <v>Infeed 2nd Floor</v>
      </c>
      <c r="J83" s="136" t="s">
        <v>114</v>
      </c>
      <c r="K83" s="136"/>
      <c r="L83" s="136" t="s">
        <v>411</v>
      </c>
      <c r="M83" s="136" t="e">
        <f>VLOOKUP(tbl_IO_List[[#This Row],[Instruement Tag]],tbl_Instruement_List[],2,FALSE)</f>
        <v>#N/A</v>
      </c>
      <c r="N83" s="136"/>
      <c r="O83" s="136"/>
      <c r="P83" s="136"/>
      <c r="Q83" s="136" t="e">
        <f>VLOOKUP(tbl_IO_List[[#This Row],[Instruement Tag]],tbl_Instruement_List[],6,FALSE)</f>
        <v>#N/A</v>
      </c>
      <c r="R83" s="136"/>
      <c r="S8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83" s="136" t="str">
        <f>tbl_IO_List[[#This Row],[Instruement Tag]]&amp;"_"&amp;tbl_IO_List[[#This Row],[I/O Type]]&amp;"_"&amp;tbl_IO_List[[#This Row],[IO-Point 
(Instruement)]]</f>
        <v>Spare_DI_0</v>
      </c>
      <c r="U83" s="136" t="s">
        <v>8</v>
      </c>
      <c r="V83" s="136">
        <f>VLOOKUP(tbl_IO_List[[#This Row],[I/O Type]],tbl_Slot_Group[],2,FALSE)</f>
        <v>1</v>
      </c>
      <c r="W83" s="136">
        <v>0</v>
      </c>
      <c r="X83" s="136" t="str">
        <f>tbl_IO_List[[#This Row],[Chassis]]&amp;"S"&amp;TEXT(tbl_IO_List[[#This Row],[Slot]],"00")</f>
        <v>C1S06</v>
      </c>
      <c r="Y83" s="136" t="str">
        <f>tbl_IO_List[[#This Row],[Chassis]]&amp;"S"&amp;TEXT(tbl_IO_List[[#This Row],[Slot]],"00")&amp;tbl_IO_List[[#This Row],[I/O Type]]&amp;TEXT(tbl_IO_List[[#This Row],[Point]],"00")</f>
        <v>C1S06DI13</v>
      </c>
      <c r="Z83" s="136" t="str">
        <f>tbl_IO_List[[#This Row],[Chassis]]&amp;"S"&amp;TEXT(tbl_IO_List[[#This Row],[Slot]],"00")&amp;","&amp;TEXT(tbl_IO_List[[#This Row],[Point]],"00")</f>
        <v>C1S06,13</v>
      </c>
      <c r="AA83" s="136" t="str">
        <f>VLOOKUP(tbl_IO_List[[#This Row],[Column23]],tbl_RackConfig[],5,FALSE) &amp;"-"&amp;tbl_IO_List[[#This Row],[Point]]</f>
        <v>1756-IB32-13</v>
      </c>
      <c r="AB83" s="136"/>
      <c r="AC83" s="136" t="s">
        <v>1370</v>
      </c>
      <c r="AD83" s="136" t="str">
        <f>tbl_IO_List[[#This Row],[I/O Type]]</f>
        <v>DI</v>
      </c>
      <c r="AE83" s="136" t="s">
        <v>1332</v>
      </c>
      <c r="AF83" s="136">
        <v>6</v>
      </c>
      <c r="AG83" s="136">
        <v>13</v>
      </c>
      <c r="AH83" s="136">
        <v>14</v>
      </c>
      <c r="AI83" s="136">
        <v>14</v>
      </c>
      <c r="AJ83" s="136">
        <v>1</v>
      </c>
      <c r="AK83" s="136">
        <v>0</v>
      </c>
      <c r="AL83" s="136">
        <v>0</v>
      </c>
      <c r="AM83" s="136">
        <v>0</v>
      </c>
      <c r="AN83" s="136">
        <v>0</v>
      </c>
      <c r="AO83" s="136"/>
      <c r="AP83" s="143" t="e">
        <f>VLOOKUP(tbl_IO_List[[#This Row],[Instruement Tag]],tbl_Instruement_List[],14,FALSE)</f>
        <v>#N/A</v>
      </c>
      <c r="AQ83" s="143" t="str">
        <f>tbl_IO_List[[#This Row],[Chassis]]&amp;"S"&amp;tbl_IO_List[[#This Row],[Slot]]&amp;"-"&amp;tbl_IO_List[[#This Row],[Front Terminal Number]]</f>
        <v>C1S6-14</v>
      </c>
      <c r="AR83" s="141" t="s">
        <v>1851</v>
      </c>
      <c r="AS83" s="136" t="str">
        <f>tbl_IO_List[[#This Row],[Terminal Tagging]]&amp;"-"&amp;tbl_IO_List[[#This Row],[Point-Count]]</f>
        <v>P1-TBDI3-14</v>
      </c>
      <c r="AT83" s="136" t="str">
        <f>tbl_IO_List[[#This Row],[Front Terminal Tagging]]&amp;"/"&amp;tbl_IO_List[[#This Row],[Terminal Tagging-Item]]</f>
        <v>C1S6-14/P1-TBDI3-14</v>
      </c>
      <c r="AU83" s="136" t="str">
        <f>tbl_IO_List[[#This Row],[Terminal Tagging-Item]]&amp;"/"&amp;tbl_IO_List[[#This Row],[Front Terminal Tagging]]</f>
        <v>P1-TBDI3-14/C1S6-14</v>
      </c>
    </row>
    <row r="84" spans="1:47" hidden="1">
      <c r="A84" s="147" t="s">
        <v>1369</v>
      </c>
      <c r="B84" s="136" t="s">
        <v>114</v>
      </c>
      <c r="C84" s="136" t="str">
        <f>tbl_IO_List[[#This Row],[Column3]]</f>
        <v>C1S06,14</v>
      </c>
      <c r="D84" s="136" t="str">
        <f>tbl_IO_List[[#This Row],[Card]]</f>
        <v>1756-IB32-14</v>
      </c>
      <c r="E84" s="136" t="s">
        <v>1366</v>
      </c>
      <c r="F84" s="136" t="str">
        <f>tbl_IO_List[[#This Row],[Column23]]&amp;"-" &amp;tbl_IO_List[[#This Row],[Column52]]</f>
        <v>C1S06-X1</v>
      </c>
      <c r="G84" s="136" t="str">
        <f>tbl_IO_List[[#This Row],[PLC_Tag]]</f>
        <v>Spare_DI_0</v>
      </c>
      <c r="H84" s="136"/>
      <c r="I84" s="136" t="str">
        <f>VLOOKUP(tbl_IO_List[[#This Row],[Destination]],tbl_Junction[],2,FALSE)</f>
        <v>Infeed 2nd Floor</v>
      </c>
      <c r="J84" s="136" t="s">
        <v>114</v>
      </c>
      <c r="K84" s="136"/>
      <c r="L84" s="136" t="s">
        <v>411</v>
      </c>
      <c r="M84" s="136" t="e">
        <f>VLOOKUP(tbl_IO_List[[#This Row],[Instruement Tag]],tbl_Instruement_List[],2,FALSE)</f>
        <v>#N/A</v>
      </c>
      <c r="N84" s="136"/>
      <c r="O84" s="136"/>
      <c r="P84" s="136"/>
      <c r="Q84" s="136" t="e">
        <f>VLOOKUP(tbl_IO_List[[#This Row],[Instruement Tag]],tbl_Instruement_List[],6,FALSE)</f>
        <v>#N/A</v>
      </c>
      <c r="R84" s="136"/>
      <c r="S8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84" s="136" t="str">
        <f>tbl_IO_List[[#This Row],[Instruement Tag]]&amp;"_"&amp;tbl_IO_List[[#This Row],[I/O Type]]&amp;"_"&amp;tbl_IO_List[[#This Row],[IO-Point 
(Instruement)]]</f>
        <v>Spare_DI_0</v>
      </c>
      <c r="U84" s="136" t="s">
        <v>8</v>
      </c>
      <c r="V84" s="136">
        <f>VLOOKUP(tbl_IO_List[[#This Row],[I/O Type]],tbl_Slot_Group[],2,FALSE)</f>
        <v>1</v>
      </c>
      <c r="W84" s="136">
        <v>0</v>
      </c>
      <c r="X84" s="136" t="str">
        <f>tbl_IO_List[[#This Row],[Chassis]]&amp;"S"&amp;TEXT(tbl_IO_List[[#This Row],[Slot]],"00")</f>
        <v>C1S06</v>
      </c>
      <c r="Y84" s="136" t="str">
        <f>tbl_IO_List[[#This Row],[Chassis]]&amp;"S"&amp;TEXT(tbl_IO_List[[#This Row],[Slot]],"00")&amp;tbl_IO_List[[#This Row],[I/O Type]]&amp;TEXT(tbl_IO_List[[#This Row],[Point]],"00")</f>
        <v>C1S06DI14</v>
      </c>
      <c r="Z84" s="136" t="str">
        <f>tbl_IO_List[[#This Row],[Chassis]]&amp;"S"&amp;TEXT(tbl_IO_List[[#This Row],[Slot]],"00")&amp;","&amp;TEXT(tbl_IO_List[[#This Row],[Point]],"00")</f>
        <v>C1S06,14</v>
      </c>
      <c r="AA84" s="136" t="str">
        <f>VLOOKUP(tbl_IO_List[[#This Row],[Column23]],tbl_RackConfig[],5,FALSE) &amp;"-"&amp;tbl_IO_List[[#This Row],[Point]]</f>
        <v>1756-IB32-14</v>
      </c>
      <c r="AB84" s="136"/>
      <c r="AC84" s="136" t="s">
        <v>1370</v>
      </c>
      <c r="AD84" s="136" t="str">
        <f>tbl_IO_List[[#This Row],[I/O Type]]</f>
        <v>DI</v>
      </c>
      <c r="AE84" s="136" t="s">
        <v>1332</v>
      </c>
      <c r="AF84" s="136">
        <v>6</v>
      </c>
      <c r="AG84" s="136">
        <v>14</v>
      </c>
      <c r="AH84" s="136">
        <v>15</v>
      </c>
      <c r="AI84" s="136">
        <v>15</v>
      </c>
      <c r="AJ84" s="136">
        <v>1</v>
      </c>
      <c r="AK84" s="136">
        <v>0</v>
      </c>
      <c r="AL84" s="136">
        <v>0</v>
      </c>
      <c r="AM84" s="136">
        <v>0</v>
      </c>
      <c r="AN84" s="136">
        <v>0</v>
      </c>
      <c r="AO84" s="136"/>
      <c r="AP84" s="143" t="e">
        <f>VLOOKUP(tbl_IO_List[[#This Row],[Instruement Tag]],tbl_Instruement_List[],14,FALSE)</f>
        <v>#N/A</v>
      </c>
      <c r="AQ84" s="143" t="str">
        <f>tbl_IO_List[[#This Row],[Chassis]]&amp;"S"&amp;tbl_IO_List[[#This Row],[Slot]]&amp;"-"&amp;tbl_IO_List[[#This Row],[Front Terminal Number]]</f>
        <v>C1S6-15</v>
      </c>
      <c r="AR84" s="141" t="s">
        <v>1851</v>
      </c>
      <c r="AS84" s="136" t="str">
        <f>tbl_IO_List[[#This Row],[Terminal Tagging]]&amp;"-"&amp;tbl_IO_List[[#This Row],[Point-Count]]</f>
        <v>P1-TBDI3-15</v>
      </c>
      <c r="AT84" s="136" t="str">
        <f>tbl_IO_List[[#This Row],[Front Terminal Tagging]]&amp;"/"&amp;tbl_IO_List[[#This Row],[Terminal Tagging-Item]]</f>
        <v>C1S6-15/P1-TBDI3-15</v>
      </c>
      <c r="AU84" s="136" t="str">
        <f>tbl_IO_List[[#This Row],[Terminal Tagging-Item]]&amp;"/"&amp;tbl_IO_List[[#This Row],[Front Terminal Tagging]]</f>
        <v>P1-TBDI3-15/C1S6-15</v>
      </c>
    </row>
    <row r="85" spans="1:47" hidden="1">
      <c r="A85" s="147" t="s">
        <v>1369</v>
      </c>
      <c r="B85" s="136" t="s">
        <v>114</v>
      </c>
      <c r="C85" s="136" t="str">
        <f>tbl_IO_List[[#This Row],[Column3]]</f>
        <v>C1S06,15</v>
      </c>
      <c r="D85" s="136" t="str">
        <f>tbl_IO_List[[#This Row],[Card]]</f>
        <v>1756-IB32-15</v>
      </c>
      <c r="E85" s="136" t="s">
        <v>1366</v>
      </c>
      <c r="F85" s="136" t="str">
        <f>tbl_IO_List[[#This Row],[Column23]]&amp;"-" &amp;tbl_IO_List[[#This Row],[Column52]]</f>
        <v>C1S06-X1</v>
      </c>
      <c r="G85" s="136" t="str">
        <f>tbl_IO_List[[#This Row],[PLC_Tag]]</f>
        <v>Spare_DI_0</v>
      </c>
      <c r="H85" s="136"/>
      <c r="I85" s="136" t="str">
        <f>VLOOKUP(tbl_IO_List[[#This Row],[Destination]],tbl_Junction[],2,FALSE)</f>
        <v>Infeed 2nd Floor</v>
      </c>
      <c r="J85" s="136" t="s">
        <v>114</v>
      </c>
      <c r="K85" s="136"/>
      <c r="L85" s="136" t="s">
        <v>411</v>
      </c>
      <c r="M85" s="136" t="e">
        <f>VLOOKUP(tbl_IO_List[[#This Row],[Instruement Tag]],tbl_Instruement_List[],2,FALSE)</f>
        <v>#N/A</v>
      </c>
      <c r="N85" s="136"/>
      <c r="O85" s="136"/>
      <c r="P85" s="136"/>
      <c r="Q85" s="136" t="e">
        <f>VLOOKUP(tbl_IO_List[[#This Row],[Instruement Tag]],tbl_Instruement_List[],6,FALSE)</f>
        <v>#N/A</v>
      </c>
      <c r="R85" s="136"/>
      <c r="S8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85" s="136" t="str">
        <f>tbl_IO_List[[#This Row],[Instruement Tag]]&amp;"_"&amp;tbl_IO_List[[#This Row],[I/O Type]]&amp;"_"&amp;tbl_IO_List[[#This Row],[IO-Point 
(Instruement)]]</f>
        <v>Spare_DI_0</v>
      </c>
      <c r="U85" s="136" t="s">
        <v>8</v>
      </c>
      <c r="V85" s="136">
        <f>VLOOKUP(tbl_IO_List[[#This Row],[I/O Type]],tbl_Slot_Group[],2,FALSE)</f>
        <v>1</v>
      </c>
      <c r="W85" s="136">
        <v>0</v>
      </c>
      <c r="X85" s="136" t="str">
        <f>tbl_IO_List[[#This Row],[Chassis]]&amp;"S"&amp;TEXT(tbl_IO_List[[#This Row],[Slot]],"00")</f>
        <v>C1S06</v>
      </c>
      <c r="Y85" s="136" t="str">
        <f>tbl_IO_List[[#This Row],[Chassis]]&amp;"S"&amp;TEXT(tbl_IO_List[[#This Row],[Slot]],"00")&amp;tbl_IO_List[[#This Row],[I/O Type]]&amp;TEXT(tbl_IO_List[[#This Row],[Point]],"00")</f>
        <v>C1S06DI15</v>
      </c>
      <c r="Z85" s="136" t="str">
        <f>tbl_IO_List[[#This Row],[Chassis]]&amp;"S"&amp;TEXT(tbl_IO_List[[#This Row],[Slot]],"00")&amp;","&amp;TEXT(tbl_IO_List[[#This Row],[Point]],"00")</f>
        <v>C1S06,15</v>
      </c>
      <c r="AA85" s="136" t="str">
        <f>VLOOKUP(tbl_IO_List[[#This Row],[Column23]],tbl_RackConfig[],5,FALSE) &amp;"-"&amp;tbl_IO_List[[#This Row],[Point]]</f>
        <v>1756-IB32-15</v>
      </c>
      <c r="AB85" s="136"/>
      <c r="AC85" s="136" t="s">
        <v>1370</v>
      </c>
      <c r="AD85" s="136" t="str">
        <f>tbl_IO_List[[#This Row],[I/O Type]]</f>
        <v>DI</v>
      </c>
      <c r="AE85" s="136" t="s">
        <v>1332</v>
      </c>
      <c r="AF85" s="136">
        <v>6</v>
      </c>
      <c r="AG85" s="136">
        <v>15</v>
      </c>
      <c r="AH85" s="136">
        <v>16</v>
      </c>
      <c r="AI85" s="136">
        <v>16</v>
      </c>
      <c r="AJ85" s="136">
        <v>1</v>
      </c>
      <c r="AK85" s="136">
        <v>0</v>
      </c>
      <c r="AL85" s="136">
        <v>0</v>
      </c>
      <c r="AM85" s="136">
        <v>0</v>
      </c>
      <c r="AN85" s="136">
        <v>0</v>
      </c>
      <c r="AO85" s="136"/>
      <c r="AP85" s="143" t="e">
        <f>VLOOKUP(tbl_IO_List[[#This Row],[Instruement Tag]],tbl_Instruement_List[],14,FALSE)</f>
        <v>#N/A</v>
      </c>
      <c r="AQ85" s="143" t="str">
        <f>tbl_IO_List[[#This Row],[Chassis]]&amp;"S"&amp;tbl_IO_List[[#This Row],[Slot]]&amp;"-"&amp;tbl_IO_List[[#This Row],[Front Terminal Number]]</f>
        <v>C1S6-16</v>
      </c>
      <c r="AR85" s="141" t="s">
        <v>1851</v>
      </c>
      <c r="AS85" s="136" t="str">
        <f>tbl_IO_List[[#This Row],[Terminal Tagging]]&amp;"-"&amp;tbl_IO_List[[#This Row],[Point-Count]]</f>
        <v>P1-TBDI3-16</v>
      </c>
      <c r="AT85" s="136" t="str">
        <f>tbl_IO_List[[#This Row],[Front Terminal Tagging]]&amp;"/"&amp;tbl_IO_List[[#This Row],[Terminal Tagging-Item]]</f>
        <v>C1S6-16/P1-TBDI3-16</v>
      </c>
      <c r="AU85" s="136" t="str">
        <f>tbl_IO_List[[#This Row],[Terminal Tagging-Item]]&amp;"/"&amp;tbl_IO_List[[#This Row],[Front Terminal Tagging]]</f>
        <v>P1-TBDI3-16/C1S6-16</v>
      </c>
    </row>
    <row r="86" spans="1:47" hidden="1">
      <c r="A86" s="147" t="s">
        <v>1369</v>
      </c>
      <c r="B86" s="136" t="s">
        <v>191</v>
      </c>
      <c r="C86" s="136" t="str">
        <f>tbl_IO_List[[#This Row],[Column3]]</f>
        <v>C1S06,16</v>
      </c>
      <c r="D86" s="136" t="str">
        <f>tbl_IO_List[[#This Row],[Card]]</f>
        <v>1756-IB32-16</v>
      </c>
      <c r="E86" s="136" t="s">
        <v>1372</v>
      </c>
      <c r="F86" s="136" t="str">
        <f>tbl_IO_List[[#This Row],[Column23]]&amp;"-" &amp;tbl_IO_List[[#This Row],[Column52]]</f>
        <v>C1S06-X2</v>
      </c>
      <c r="G86" s="136" t="str">
        <f>tbl_IO_List[[#This Row],[PLC_Tag]]</f>
        <v>ES-60202_DI_1</v>
      </c>
      <c r="H86" s="136"/>
      <c r="I86" s="136" t="str">
        <f>VLOOKUP(tbl_IO_List[[#This Row],[Destination]],tbl_Junction[],2,FALSE)</f>
        <v>Spray Dryer 1st Floor</v>
      </c>
      <c r="J86" s="136" t="s">
        <v>191</v>
      </c>
      <c r="K86" s="136" t="s">
        <v>14</v>
      </c>
      <c r="L86" s="136" t="s">
        <v>1203</v>
      </c>
      <c r="M86" s="136">
        <f>VLOOKUP(tbl_IO_List[[#This Row],[Instruement Tag]],tbl_Instruement_List[],2,FALSE)</f>
        <v>0</v>
      </c>
      <c r="N86" s="136" t="s">
        <v>15</v>
      </c>
      <c r="O86" s="136" t="s">
        <v>126</v>
      </c>
      <c r="P86" s="136" t="s">
        <v>18</v>
      </c>
      <c r="Q86" s="136" t="str">
        <f>VLOOKUP(tbl_IO_List[[#This Row],[Instruement Tag]],tbl_Instruement_List[],6,FALSE)</f>
        <v xml:space="preserve"> E-Stop  for PUPD-11 (Positive Displacement Pump )</v>
      </c>
      <c r="R86" s="136" t="s">
        <v>1370</v>
      </c>
      <c r="S8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86" s="136" t="str">
        <f>tbl_IO_List[[#This Row],[Instruement Tag]]&amp;"_"&amp;tbl_IO_List[[#This Row],[I/O Type]]&amp;"_"&amp;tbl_IO_List[[#This Row],[IO-Point 
(Instruement)]]</f>
        <v>ES-60202_DI_1</v>
      </c>
      <c r="U86" s="136" t="s">
        <v>8</v>
      </c>
      <c r="V86" s="136">
        <f>VLOOKUP(tbl_IO_List[[#This Row],[I/O Type]],tbl_Slot_Group[],2,FALSE)</f>
        <v>1</v>
      </c>
      <c r="W86" s="136">
        <v>1</v>
      </c>
      <c r="X86" s="136" t="str">
        <f>tbl_IO_List[[#This Row],[Chassis]]&amp;"S"&amp;TEXT(tbl_IO_List[[#This Row],[Slot]],"00")</f>
        <v>C1S06</v>
      </c>
      <c r="Y86" s="136" t="str">
        <f>tbl_IO_List[[#This Row],[Chassis]]&amp;"S"&amp;TEXT(tbl_IO_List[[#This Row],[Slot]],"00")&amp;tbl_IO_List[[#This Row],[I/O Type]]&amp;TEXT(tbl_IO_List[[#This Row],[Point]],"00")</f>
        <v>C1S06DI16</v>
      </c>
      <c r="Z86" s="136" t="str">
        <f>tbl_IO_List[[#This Row],[Chassis]]&amp;"S"&amp;TEXT(tbl_IO_List[[#This Row],[Slot]],"00")&amp;","&amp;TEXT(tbl_IO_List[[#This Row],[Point]],"00")</f>
        <v>C1S06,16</v>
      </c>
      <c r="AA86" s="136" t="str">
        <f>VLOOKUP(tbl_IO_List[[#This Row],[Column23]],tbl_RackConfig[],5,FALSE) &amp;"-"&amp;tbl_IO_List[[#This Row],[Point]]</f>
        <v>1756-IB32-16</v>
      </c>
      <c r="AB86" s="136"/>
      <c r="AC86" s="136" t="s">
        <v>1370</v>
      </c>
      <c r="AD86" s="136" t="str">
        <f>tbl_IO_List[[#This Row],[I/O Type]]</f>
        <v>DI</v>
      </c>
      <c r="AE86" s="136" t="s">
        <v>1332</v>
      </c>
      <c r="AF86" s="136">
        <v>6</v>
      </c>
      <c r="AG86" s="136">
        <v>16</v>
      </c>
      <c r="AH86" s="136">
        <v>17</v>
      </c>
      <c r="AI86" s="136">
        <v>19</v>
      </c>
      <c r="AJ86" s="136">
        <v>1</v>
      </c>
      <c r="AK86" s="136">
        <v>0</v>
      </c>
      <c r="AL86" s="136">
        <v>0</v>
      </c>
      <c r="AM86" s="136">
        <v>0</v>
      </c>
      <c r="AN86" s="136">
        <v>0</v>
      </c>
      <c r="AO86" s="136"/>
      <c r="AP86" s="143">
        <f>VLOOKUP(tbl_IO_List[[#This Row],[Instruement Tag]],tbl_Instruement_List[],14,FALSE)</f>
        <v>0</v>
      </c>
      <c r="AQ86" s="143" t="str">
        <f>tbl_IO_List[[#This Row],[Chassis]]&amp;"S"&amp;tbl_IO_List[[#This Row],[Slot]]&amp;"-"&amp;tbl_IO_List[[#This Row],[Front Terminal Number]]</f>
        <v>C1S6-19</v>
      </c>
      <c r="AR86" s="141" t="s">
        <v>1851</v>
      </c>
      <c r="AS86" s="136" t="str">
        <f>tbl_IO_List[[#This Row],[Terminal Tagging]]&amp;"-"&amp;tbl_IO_List[[#This Row],[Point-Count]]</f>
        <v>P1-TBDI3-17</v>
      </c>
      <c r="AT86" s="136" t="str">
        <f>tbl_IO_List[[#This Row],[Front Terminal Tagging]]&amp;"/"&amp;tbl_IO_List[[#This Row],[Terminal Tagging-Item]]</f>
        <v>C1S6-19/P1-TBDI3-17</v>
      </c>
      <c r="AU86" s="136" t="str">
        <f>tbl_IO_List[[#This Row],[Terminal Tagging-Item]]&amp;"/"&amp;tbl_IO_List[[#This Row],[Front Terminal Tagging]]</f>
        <v>P1-TBDI3-17/C1S6-19</v>
      </c>
    </row>
    <row r="87" spans="1:47" hidden="1">
      <c r="A87" s="147" t="s">
        <v>1369</v>
      </c>
      <c r="B87" s="136" t="s">
        <v>191</v>
      </c>
      <c r="C87" s="136" t="str">
        <f>tbl_IO_List[[#This Row],[Column3]]</f>
        <v>C1S06,17</v>
      </c>
      <c r="D87" s="136" t="str">
        <f>tbl_IO_List[[#This Row],[Card]]</f>
        <v>1756-IB32-17</v>
      </c>
      <c r="E87" s="136" t="s">
        <v>1372</v>
      </c>
      <c r="F87" s="136" t="str">
        <f>tbl_IO_List[[#This Row],[Column23]]&amp;"-" &amp;tbl_IO_List[[#This Row],[Column52]]</f>
        <v>C1S06-X2</v>
      </c>
      <c r="G87" s="136" t="str">
        <f>tbl_IO_List[[#This Row],[PLC_Tag]]</f>
        <v>FS-60205_DI_1</v>
      </c>
      <c r="H87" s="136"/>
      <c r="I87" s="136" t="str">
        <f>VLOOKUP(tbl_IO_List[[#This Row],[Destination]],tbl_Junction[],2,FALSE)</f>
        <v>Spray Dryer 1st Floor</v>
      </c>
      <c r="J87" s="136" t="s">
        <v>191</v>
      </c>
      <c r="K87" s="136" t="s">
        <v>14</v>
      </c>
      <c r="L87" s="136" t="s">
        <v>217</v>
      </c>
      <c r="M87" s="136" t="str">
        <f>VLOOKUP(tbl_IO_List[[#This Row],[Instruement Tag]],tbl_Instruement_List[],2,FALSE)</f>
        <v>Flow Switch</v>
      </c>
      <c r="N87" s="136" t="s">
        <v>15</v>
      </c>
      <c r="O87" s="136" t="s">
        <v>126</v>
      </c>
      <c r="P87" s="136" t="s">
        <v>127</v>
      </c>
      <c r="Q87" s="136" t="str">
        <f>VLOOKUP(tbl_IO_List[[#This Row],[Instruement Tag]],tbl_Instruement_List[],6,FALSE)</f>
        <v>Cooling Water Return Flow Switch for Positive Displacement Pump (PUPD-11)</v>
      </c>
      <c r="R87" s="136" t="s">
        <v>1370</v>
      </c>
      <c r="S8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87" s="136" t="str">
        <f>tbl_IO_List[[#This Row],[Instruement Tag]]&amp;"_"&amp;tbl_IO_List[[#This Row],[I/O Type]]&amp;"_"&amp;tbl_IO_List[[#This Row],[IO-Point 
(Instruement)]]</f>
        <v>FS-60205_DI_1</v>
      </c>
      <c r="U87" s="136" t="s">
        <v>8</v>
      </c>
      <c r="V87" s="136">
        <f>VLOOKUP(tbl_IO_List[[#This Row],[I/O Type]],tbl_Slot_Group[],2,FALSE)</f>
        <v>1</v>
      </c>
      <c r="W87" s="136">
        <v>1</v>
      </c>
      <c r="X87" s="136" t="str">
        <f>tbl_IO_List[[#This Row],[Chassis]]&amp;"S"&amp;TEXT(tbl_IO_List[[#This Row],[Slot]],"00")</f>
        <v>C1S06</v>
      </c>
      <c r="Y87" s="136" t="str">
        <f>tbl_IO_List[[#This Row],[Chassis]]&amp;"S"&amp;TEXT(tbl_IO_List[[#This Row],[Slot]],"00")&amp;tbl_IO_List[[#This Row],[I/O Type]]&amp;TEXT(tbl_IO_List[[#This Row],[Point]],"00")</f>
        <v>C1S06DI17</v>
      </c>
      <c r="Z87" s="136" t="str">
        <f>tbl_IO_List[[#This Row],[Chassis]]&amp;"S"&amp;TEXT(tbl_IO_List[[#This Row],[Slot]],"00")&amp;","&amp;TEXT(tbl_IO_List[[#This Row],[Point]],"00")</f>
        <v>C1S06,17</v>
      </c>
      <c r="AA87" s="136" t="str">
        <f>VLOOKUP(tbl_IO_List[[#This Row],[Column23]],tbl_RackConfig[],5,FALSE) &amp;"-"&amp;tbl_IO_List[[#This Row],[Point]]</f>
        <v>1756-IB32-17</v>
      </c>
      <c r="AB87" s="136"/>
      <c r="AC87" s="136" t="s">
        <v>1370</v>
      </c>
      <c r="AD87" s="136" t="str">
        <f>tbl_IO_List[[#This Row],[I/O Type]]</f>
        <v>DI</v>
      </c>
      <c r="AE87" s="136" t="s">
        <v>1332</v>
      </c>
      <c r="AF87" s="136">
        <v>6</v>
      </c>
      <c r="AG87" s="136">
        <v>17</v>
      </c>
      <c r="AH87" s="136">
        <v>18</v>
      </c>
      <c r="AI87" s="136">
        <v>20</v>
      </c>
      <c r="AJ87" s="136">
        <v>1</v>
      </c>
      <c r="AK87" s="136">
        <v>0</v>
      </c>
      <c r="AL87" s="136">
        <v>0</v>
      </c>
      <c r="AM87" s="136">
        <v>0</v>
      </c>
      <c r="AN87" s="136">
        <v>0</v>
      </c>
      <c r="AO87" s="136"/>
      <c r="AP87" s="143">
        <f>VLOOKUP(tbl_IO_List[[#This Row],[Instruement Tag]],tbl_Instruement_List[],14,FALSE)</f>
        <v>0</v>
      </c>
      <c r="AQ87" s="143" t="str">
        <f>tbl_IO_List[[#This Row],[Chassis]]&amp;"S"&amp;tbl_IO_List[[#This Row],[Slot]]&amp;"-"&amp;tbl_IO_List[[#This Row],[Front Terminal Number]]</f>
        <v>C1S6-20</v>
      </c>
      <c r="AR87" s="141" t="s">
        <v>1851</v>
      </c>
      <c r="AS87" s="136" t="str">
        <f>tbl_IO_List[[#This Row],[Terminal Tagging]]&amp;"-"&amp;tbl_IO_List[[#This Row],[Point-Count]]</f>
        <v>P1-TBDI3-18</v>
      </c>
      <c r="AT87" s="136" t="str">
        <f>tbl_IO_List[[#This Row],[Front Terminal Tagging]]&amp;"/"&amp;tbl_IO_List[[#This Row],[Terminal Tagging-Item]]</f>
        <v>C1S6-20/P1-TBDI3-18</v>
      </c>
      <c r="AU87" s="136" t="str">
        <f>tbl_IO_List[[#This Row],[Terminal Tagging-Item]]&amp;"/"&amp;tbl_IO_List[[#This Row],[Front Terminal Tagging]]</f>
        <v>P1-TBDI3-18/C1S6-20</v>
      </c>
    </row>
    <row r="88" spans="1:47" hidden="1">
      <c r="A88" s="147" t="s">
        <v>1369</v>
      </c>
      <c r="B88" s="136" t="s">
        <v>191</v>
      </c>
      <c r="C88" s="136" t="str">
        <f>tbl_IO_List[[#This Row],[Column3]]</f>
        <v>C1S06,18</v>
      </c>
      <c r="D88" s="136" t="str">
        <f>tbl_IO_List[[#This Row],[Card]]</f>
        <v>1756-IB32-18</v>
      </c>
      <c r="E88" s="136" t="s">
        <v>1372</v>
      </c>
      <c r="F88" s="136" t="str">
        <f>tbl_IO_List[[#This Row],[Column23]]&amp;"-" &amp;tbl_IO_List[[#This Row],[Column52]]</f>
        <v>C1S06-X2</v>
      </c>
      <c r="G88" s="136" t="str">
        <f>tbl_IO_List[[#This Row],[PLC_Tag]]</f>
        <v>LSL-60201_DI_1</v>
      </c>
      <c r="H88" s="136"/>
      <c r="I88" s="136" t="str">
        <f>VLOOKUP(tbl_IO_List[[#This Row],[Destination]],tbl_Junction[],2,FALSE)</f>
        <v>Spray Dryer 1st Floor</v>
      </c>
      <c r="J88" s="136" t="s">
        <v>191</v>
      </c>
      <c r="K88" s="136" t="s">
        <v>14</v>
      </c>
      <c r="L88" s="136" t="s">
        <v>201</v>
      </c>
      <c r="M88" s="136">
        <f>VLOOKUP(tbl_IO_List[[#This Row],[Instruement Tag]],tbl_Instruement_List[],2,FALSE)</f>
        <v>0</v>
      </c>
      <c r="N88" s="136" t="s">
        <v>15</v>
      </c>
      <c r="O88" s="136" t="s">
        <v>202</v>
      </c>
      <c r="P88" s="136" t="s">
        <v>203</v>
      </c>
      <c r="Q88" s="136" t="str">
        <f>VLOOKUP(tbl_IO_List[[#This Row],[Instruement Tag]],tbl_Instruement_List[],6,FALSE)</f>
        <v xml:space="preserve">Level low switch </v>
      </c>
      <c r="R88" s="136"/>
      <c r="S8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88" s="136" t="str">
        <f>tbl_IO_List[[#This Row],[Instruement Tag]]&amp;"_"&amp;tbl_IO_List[[#This Row],[I/O Type]]&amp;"_"&amp;tbl_IO_List[[#This Row],[IO-Point 
(Instruement)]]</f>
        <v>LSL-60201_DI_1</v>
      </c>
      <c r="U88" s="136" t="s">
        <v>8</v>
      </c>
      <c r="V88" s="136">
        <f>VLOOKUP(tbl_IO_List[[#This Row],[I/O Type]],tbl_Slot_Group[],2,FALSE)</f>
        <v>1</v>
      </c>
      <c r="W88" s="136">
        <v>1</v>
      </c>
      <c r="X88" s="136" t="str">
        <f>tbl_IO_List[[#This Row],[Chassis]]&amp;"S"&amp;TEXT(tbl_IO_List[[#This Row],[Slot]],"00")</f>
        <v>C1S06</v>
      </c>
      <c r="Y88" s="136" t="str">
        <f>tbl_IO_List[[#This Row],[Chassis]]&amp;"S"&amp;TEXT(tbl_IO_List[[#This Row],[Slot]],"00")&amp;tbl_IO_List[[#This Row],[I/O Type]]&amp;TEXT(tbl_IO_List[[#This Row],[Point]],"00")</f>
        <v>C1S06DI18</v>
      </c>
      <c r="Z88" s="136" t="str">
        <f>tbl_IO_List[[#This Row],[Chassis]]&amp;"S"&amp;TEXT(tbl_IO_List[[#This Row],[Slot]],"00")&amp;","&amp;TEXT(tbl_IO_List[[#This Row],[Point]],"00")</f>
        <v>C1S06,18</v>
      </c>
      <c r="AA88" s="136" t="str">
        <f>VLOOKUP(tbl_IO_List[[#This Row],[Column23]],tbl_RackConfig[],5,FALSE) &amp;"-"&amp;tbl_IO_List[[#This Row],[Point]]</f>
        <v>1756-IB32-18</v>
      </c>
      <c r="AB88" s="136"/>
      <c r="AC88" s="136" t="s">
        <v>1370</v>
      </c>
      <c r="AD88" s="136" t="str">
        <f>tbl_IO_List[[#This Row],[I/O Type]]</f>
        <v>DI</v>
      </c>
      <c r="AE88" s="136" t="s">
        <v>1332</v>
      </c>
      <c r="AF88" s="136">
        <v>6</v>
      </c>
      <c r="AG88" s="136">
        <v>18</v>
      </c>
      <c r="AH88" s="136">
        <v>19</v>
      </c>
      <c r="AI88" s="136">
        <v>21</v>
      </c>
      <c r="AJ88" s="136">
        <v>1</v>
      </c>
      <c r="AK88" s="136">
        <v>0</v>
      </c>
      <c r="AL88" s="136">
        <v>0</v>
      </c>
      <c r="AM88" s="136">
        <v>0</v>
      </c>
      <c r="AN88" s="136">
        <v>0</v>
      </c>
      <c r="AO88" s="136"/>
      <c r="AP88" s="143" t="str">
        <f>VLOOKUP(tbl_IO_List[[#This Row],[Instruement Tag]],tbl_Instruement_List[],14,FALSE)</f>
        <v>Dry Contact</v>
      </c>
      <c r="AQ88" s="143" t="str">
        <f>tbl_IO_List[[#This Row],[Chassis]]&amp;"S"&amp;tbl_IO_List[[#This Row],[Slot]]&amp;"-"&amp;tbl_IO_List[[#This Row],[Front Terminal Number]]</f>
        <v>C1S6-21</v>
      </c>
      <c r="AR88" s="141" t="s">
        <v>1851</v>
      </c>
      <c r="AS88" s="136" t="str">
        <f>tbl_IO_List[[#This Row],[Terminal Tagging]]&amp;"-"&amp;tbl_IO_List[[#This Row],[Point-Count]]</f>
        <v>P1-TBDI3-19</v>
      </c>
      <c r="AT88" s="136" t="str">
        <f>tbl_IO_List[[#This Row],[Front Terminal Tagging]]&amp;"/"&amp;tbl_IO_List[[#This Row],[Terminal Tagging-Item]]</f>
        <v>C1S6-21/P1-TBDI3-19</v>
      </c>
      <c r="AU88" s="136" t="str">
        <f>tbl_IO_List[[#This Row],[Terminal Tagging-Item]]&amp;"/"&amp;tbl_IO_List[[#This Row],[Front Terminal Tagging]]</f>
        <v>P1-TBDI3-19/C1S6-21</v>
      </c>
    </row>
    <row r="89" spans="1:47" hidden="1">
      <c r="A89" s="147" t="s">
        <v>1369</v>
      </c>
      <c r="B89" s="136" t="s">
        <v>191</v>
      </c>
      <c r="C89" s="136" t="str">
        <f>tbl_IO_List[[#This Row],[Column3]]</f>
        <v>C1S06,19</v>
      </c>
      <c r="D89" s="136" t="str">
        <f>tbl_IO_List[[#This Row],[Card]]</f>
        <v>1756-IB32-19</v>
      </c>
      <c r="E89" s="136" t="s">
        <v>1372</v>
      </c>
      <c r="F89" s="136" t="str">
        <f>tbl_IO_List[[#This Row],[Column23]]&amp;"-" &amp;tbl_IO_List[[#This Row],[Column52]]</f>
        <v>C1S06-X2</v>
      </c>
      <c r="G89" s="136" t="str">
        <f>tbl_IO_List[[#This Row],[PLC_Tag]]</f>
        <v>SV-60201_DI_1</v>
      </c>
      <c r="H89" s="136"/>
      <c r="I89" s="136" t="str">
        <f>VLOOKUP(tbl_IO_List[[#This Row],[Destination]],tbl_Junction[],2,FALSE)</f>
        <v>Spray Dryer 1st Floor</v>
      </c>
      <c r="J89" s="136" t="s">
        <v>191</v>
      </c>
      <c r="K89" s="136" t="s">
        <v>14</v>
      </c>
      <c r="L89" s="136" t="s">
        <v>212</v>
      </c>
      <c r="M89" s="136">
        <f>VLOOKUP(tbl_IO_List[[#This Row],[Instruement Tag]],tbl_Instruement_List[],2,FALSE)</f>
        <v>0</v>
      </c>
      <c r="N89" s="136" t="s">
        <v>15</v>
      </c>
      <c r="O89" s="136" t="s">
        <v>192</v>
      </c>
      <c r="P89" s="136" t="s">
        <v>193</v>
      </c>
      <c r="Q89" s="136" t="str">
        <f>VLOOKUP(tbl_IO_List[[#This Row],[Instruement Tag]],tbl_Instruement_List[],6,FALSE)</f>
        <v>PA On/Off Valve for Cyclone-21 Rotary Valve (RVAL-21)</v>
      </c>
      <c r="R89" s="136"/>
      <c r="S8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89" s="136" t="str">
        <f>tbl_IO_List[[#This Row],[Instruement Tag]]&amp;"_"&amp;tbl_IO_List[[#This Row],[I/O Type]]&amp;"_"&amp;tbl_IO_List[[#This Row],[IO-Point 
(Instruement)]]</f>
        <v>SV-60201_DI_1</v>
      </c>
      <c r="U89" s="136" t="s">
        <v>8</v>
      </c>
      <c r="V89" s="136">
        <f>VLOOKUP(tbl_IO_List[[#This Row],[I/O Type]],tbl_Slot_Group[],2,FALSE)</f>
        <v>1</v>
      </c>
      <c r="W89" s="136">
        <v>1</v>
      </c>
      <c r="X89" s="136" t="str">
        <f>tbl_IO_List[[#This Row],[Chassis]]&amp;"S"&amp;TEXT(tbl_IO_List[[#This Row],[Slot]],"00")</f>
        <v>C1S06</v>
      </c>
      <c r="Y89" s="136" t="str">
        <f>tbl_IO_List[[#This Row],[Chassis]]&amp;"S"&amp;TEXT(tbl_IO_List[[#This Row],[Slot]],"00")&amp;tbl_IO_List[[#This Row],[I/O Type]]&amp;TEXT(tbl_IO_List[[#This Row],[Point]],"00")</f>
        <v>C1S06DI19</v>
      </c>
      <c r="Z89" s="136" t="str">
        <f>tbl_IO_List[[#This Row],[Chassis]]&amp;"S"&amp;TEXT(tbl_IO_List[[#This Row],[Slot]],"00")&amp;","&amp;TEXT(tbl_IO_List[[#This Row],[Point]],"00")</f>
        <v>C1S06,19</v>
      </c>
      <c r="AA89" s="136" t="str">
        <f>VLOOKUP(tbl_IO_List[[#This Row],[Column23]],tbl_RackConfig[],5,FALSE) &amp;"-"&amp;tbl_IO_List[[#This Row],[Point]]</f>
        <v>1756-IB32-19</v>
      </c>
      <c r="AB89" s="136"/>
      <c r="AC89" s="136" t="s">
        <v>1370</v>
      </c>
      <c r="AD89" s="136" t="str">
        <f>tbl_IO_List[[#This Row],[I/O Type]]</f>
        <v>DI</v>
      </c>
      <c r="AE89" s="136" t="s">
        <v>1332</v>
      </c>
      <c r="AF89" s="136">
        <v>6</v>
      </c>
      <c r="AG89" s="136">
        <v>19</v>
      </c>
      <c r="AH89" s="136">
        <v>20</v>
      </c>
      <c r="AI89" s="136">
        <v>22</v>
      </c>
      <c r="AJ89" s="136">
        <v>2</v>
      </c>
      <c r="AK89" s="136">
        <v>1</v>
      </c>
      <c r="AL89" s="136">
        <v>0</v>
      </c>
      <c r="AM89" s="136">
        <v>0</v>
      </c>
      <c r="AN89" s="136">
        <v>0</v>
      </c>
      <c r="AO89" s="136"/>
      <c r="AP89" s="143" t="str">
        <f>VLOOKUP(tbl_IO_List[[#This Row],[Instruement Tag]],tbl_Instruement_List[],14,FALSE)</f>
        <v>24 VDC energized</v>
      </c>
      <c r="AQ89" s="143" t="str">
        <f>tbl_IO_List[[#This Row],[Chassis]]&amp;"S"&amp;tbl_IO_List[[#This Row],[Slot]]&amp;"-"&amp;tbl_IO_List[[#This Row],[Front Terminal Number]]</f>
        <v>C1S6-22</v>
      </c>
      <c r="AR89" s="141" t="s">
        <v>1851</v>
      </c>
      <c r="AS89" s="136" t="str">
        <f>tbl_IO_List[[#This Row],[Terminal Tagging]]&amp;"-"&amp;tbl_IO_List[[#This Row],[Point-Count]]</f>
        <v>P1-TBDI3-20</v>
      </c>
      <c r="AT89" s="136" t="str">
        <f>tbl_IO_List[[#This Row],[Front Terminal Tagging]]&amp;"/"&amp;tbl_IO_List[[#This Row],[Terminal Tagging-Item]]</f>
        <v>C1S6-22/P1-TBDI3-20</v>
      </c>
      <c r="AU89" s="136" t="str">
        <f>tbl_IO_List[[#This Row],[Terminal Tagging-Item]]&amp;"/"&amp;tbl_IO_List[[#This Row],[Front Terminal Tagging]]</f>
        <v>P1-TBDI3-20/C1S6-22</v>
      </c>
    </row>
    <row r="90" spans="1:47" hidden="1">
      <c r="A90" s="147" t="s">
        <v>1369</v>
      </c>
      <c r="B90" s="136" t="s">
        <v>191</v>
      </c>
      <c r="C90" s="136" t="str">
        <f>tbl_IO_List[[#This Row],[Column3]]</f>
        <v>C1S06,20</v>
      </c>
      <c r="D90" s="136" t="str">
        <f>tbl_IO_List[[#This Row],[Card]]</f>
        <v>1756-IB32-20</v>
      </c>
      <c r="E90" s="136" t="s">
        <v>1372</v>
      </c>
      <c r="F90" s="136" t="str">
        <f>tbl_IO_List[[#This Row],[Column23]]&amp;"-" &amp;tbl_IO_List[[#This Row],[Column52]]</f>
        <v>C1S06-X2</v>
      </c>
      <c r="G90" s="136" t="str">
        <f>tbl_IO_List[[#This Row],[PLC_Tag]]</f>
        <v>SV-60201_DI_2</v>
      </c>
      <c r="H90" s="136"/>
      <c r="I90" s="136" t="str">
        <f>VLOOKUP(tbl_IO_List[[#This Row],[Destination]],tbl_Junction[],2,FALSE)</f>
        <v>Spray Dryer 1st Floor</v>
      </c>
      <c r="J90" s="136" t="s">
        <v>191</v>
      </c>
      <c r="K90" s="136" t="s">
        <v>14</v>
      </c>
      <c r="L90" s="136" t="s">
        <v>212</v>
      </c>
      <c r="M90" s="136">
        <f>VLOOKUP(tbl_IO_List[[#This Row],[Instruement Tag]],tbl_Instruement_List[],2,FALSE)</f>
        <v>0</v>
      </c>
      <c r="N90" s="136" t="s">
        <v>15</v>
      </c>
      <c r="O90" s="136" t="s">
        <v>192</v>
      </c>
      <c r="P90" s="136" t="s">
        <v>193</v>
      </c>
      <c r="Q90" s="136" t="str">
        <f>VLOOKUP(tbl_IO_List[[#This Row],[Instruement Tag]],tbl_Instruement_List[],6,FALSE)</f>
        <v>PA On/Off Valve for Cyclone-21 Rotary Valve (RVAL-21)</v>
      </c>
      <c r="R90" s="136"/>
      <c r="S9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90" s="136" t="str">
        <f>tbl_IO_List[[#This Row],[Instruement Tag]]&amp;"_"&amp;tbl_IO_List[[#This Row],[I/O Type]]&amp;"_"&amp;tbl_IO_List[[#This Row],[IO-Point 
(Instruement)]]</f>
        <v>SV-60201_DI_2</v>
      </c>
      <c r="U90" s="136" t="s">
        <v>8</v>
      </c>
      <c r="V90" s="136">
        <f>VLOOKUP(tbl_IO_List[[#This Row],[I/O Type]],tbl_Slot_Group[],2,FALSE)</f>
        <v>1</v>
      </c>
      <c r="W90" s="136">
        <v>2</v>
      </c>
      <c r="X90" s="136" t="str">
        <f>tbl_IO_List[[#This Row],[Chassis]]&amp;"S"&amp;TEXT(tbl_IO_List[[#This Row],[Slot]],"00")</f>
        <v>C1S06</v>
      </c>
      <c r="Y90" s="136" t="str">
        <f>tbl_IO_List[[#This Row],[Chassis]]&amp;"S"&amp;TEXT(tbl_IO_List[[#This Row],[Slot]],"00")&amp;tbl_IO_List[[#This Row],[I/O Type]]&amp;TEXT(tbl_IO_List[[#This Row],[Point]],"00")</f>
        <v>C1S06DI20</v>
      </c>
      <c r="Z90" s="136" t="str">
        <f>tbl_IO_List[[#This Row],[Chassis]]&amp;"S"&amp;TEXT(tbl_IO_List[[#This Row],[Slot]],"00")&amp;","&amp;TEXT(tbl_IO_List[[#This Row],[Point]],"00")</f>
        <v>C1S06,20</v>
      </c>
      <c r="AA90" s="136" t="str">
        <f>VLOOKUP(tbl_IO_List[[#This Row],[Column23]],tbl_RackConfig[],5,FALSE) &amp;"-"&amp;tbl_IO_List[[#This Row],[Point]]</f>
        <v>1756-IB32-20</v>
      </c>
      <c r="AB90" s="136"/>
      <c r="AC90" s="136" t="s">
        <v>1370</v>
      </c>
      <c r="AD90" s="136" t="str">
        <f>tbl_IO_List[[#This Row],[I/O Type]]</f>
        <v>DI</v>
      </c>
      <c r="AE90" s="136" t="s">
        <v>1332</v>
      </c>
      <c r="AF90" s="136">
        <v>6</v>
      </c>
      <c r="AG90" s="136">
        <v>20</v>
      </c>
      <c r="AH90" s="136">
        <v>21</v>
      </c>
      <c r="AI90" s="136">
        <v>23</v>
      </c>
      <c r="AJ90" s="136">
        <v>2</v>
      </c>
      <c r="AK90" s="136">
        <v>1</v>
      </c>
      <c r="AL90" s="136">
        <v>0</v>
      </c>
      <c r="AM90" s="136">
        <v>0</v>
      </c>
      <c r="AN90" s="136">
        <v>0</v>
      </c>
      <c r="AO90" s="136"/>
      <c r="AP90" s="143" t="str">
        <f>VLOOKUP(tbl_IO_List[[#This Row],[Instruement Tag]],tbl_Instruement_List[],14,FALSE)</f>
        <v>24 VDC energized</v>
      </c>
      <c r="AQ90" s="143" t="str">
        <f>tbl_IO_List[[#This Row],[Chassis]]&amp;"S"&amp;tbl_IO_List[[#This Row],[Slot]]&amp;"-"&amp;tbl_IO_List[[#This Row],[Front Terminal Number]]</f>
        <v>C1S6-23</v>
      </c>
      <c r="AR90" s="141" t="s">
        <v>1851</v>
      </c>
      <c r="AS90" s="136" t="str">
        <f>tbl_IO_List[[#This Row],[Terminal Tagging]]&amp;"-"&amp;tbl_IO_List[[#This Row],[Point-Count]]</f>
        <v>P1-TBDI3-21</v>
      </c>
      <c r="AT90" s="136" t="str">
        <f>tbl_IO_List[[#This Row],[Front Terminal Tagging]]&amp;"/"&amp;tbl_IO_List[[#This Row],[Terminal Tagging-Item]]</f>
        <v>C1S6-23/P1-TBDI3-21</v>
      </c>
      <c r="AU90" s="136" t="str">
        <f>tbl_IO_List[[#This Row],[Terminal Tagging-Item]]&amp;"/"&amp;tbl_IO_List[[#This Row],[Front Terminal Tagging]]</f>
        <v>P1-TBDI3-21/C1S6-23</v>
      </c>
    </row>
    <row r="91" spans="1:47" hidden="1">
      <c r="A91" s="147" t="s">
        <v>1369</v>
      </c>
      <c r="B91" s="136" t="s">
        <v>191</v>
      </c>
      <c r="C91" s="136" t="str">
        <f>tbl_IO_List[[#This Row],[Column3]]</f>
        <v>C1S06,21</v>
      </c>
      <c r="D91" s="136" t="str">
        <f>tbl_IO_List[[#This Row],[Card]]</f>
        <v>1756-IB32-21</v>
      </c>
      <c r="E91" s="136" t="s">
        <v>1372</v>
      </c>
      <c r="F91" s="136" t="str">
        <f>tbl_IO_List[[#This Row],[Column23]]&amp;"-" &amp;tbl_IO_List[[#This Row],[Column52]]</f>
        <v>C1S06-X2</v>
      </c>
      <c r="G91" s="136" t="str">
        <f>tbl_IO_List[[#This Row],[PLC_Tag]]</f>
        <v>SV-60202_DI_1</v>
      </c>
      <c r="H91" s="136"/>
      <c r="I91" s="136" t="str">
        <f>VLOOKUP(tbl_IO_List[[#This Row],[Destination]],tbl_Junction[],2,FALSE)</f>
        <v>Spray Dryer 1st Floor</v>
      </c>
      <c r="J91" s="136" t="s">
        <v>191</v>
      </c>
      <c r="K91" s="136" t="s">
        <v>14</v>
      </c>
      <c r="L91" s="136" t="s">
        <v>213</v>
      </c>
      <c r="M91" s="136">
        <f>VLOOKUP(tbl_IO_List[[#This Row],[Instruement Tag]],tbl_Instruement_List[],2,FALSE)</f>
        <v>0</v>
      </c>
      <c r="N91" s="136" t="s">
        <v>15</v>
      </c>
      <c r="O91" s="136" t="s">
        <v>192</v>
      </c>
      <c r="P91" s="136" t="s">
        <v>193</v>
      </c>
      <c r="Q91" s="136" t="str">
        <f>VLOOKUP(tbl_IO_List[[#This Row],[Instruement Tag]],tbl_Instruement_List[],6,FALSE)</f>
        <v>PA On/Off Valve for Cyclone-22 Rotary Valve (RVAL-22)</v>
      </c>
      <c r="R91" s="136"/>
      <c r="S9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91" s="136" t="str">
        <f>tbl_IO_List[[#This Row],[Instruement Tag]]&amp;"_"&amp;tbl_IO_List[[#This Row],[I/O Type]]&amp;"_"&amp;tbl_IO_List[[#This Row],[IO-Point 
(Instruement)]]</f>
        <v>SV-60202_DI_1</v>
      </c>
      <c r="U91" s="136" t="s">
        <v>8</v>
      </c>
      <c r="V91" s="136">
        <f>VLOOKUP(tbl_IO_List[[#This Row],[I/O Type]],tbl_Slot_Group[],2,FALSE)</f>
        <v>1</v>
      </c>
      <c r="W91" s="136">
        <v>1</v>
      </c>
      <c r="X91" s="136" t="str">
        <f>tbl_IO_List[[#This Row],[Chassis]]&amp;"S"&amp;TEXT(tbl_IO_List[[#This Row],[Slot]],"00")</f>
        <v>C1S06</v>
      </c>
      <c r="Y91" s="136" t="str">
        <f>tbl_IO_List[[#This Row],[Chassis]]&amp;"S"&amp;TEXT(tbl_IO_List[[#This Row],[Slot]],"00")&amp;tbl_IO_List[[#This Row],[I/O Type]]&amp;TEXT(tbl_IO_List[[#This Row],[Point]],"00")</f>
        <v>C1S06DI21</v>
      </c>
      <c r="Z91" s="136" t="str">
        <f>tbl_IO_List[[#This Row],[Chassis]]&amp;"S"&amp;TEXT(tbl_IO_List[[#This Row],[Slot]],"00")&amp;","&amp;TEXT(tbl_IO_List[[#This Row],[Point]],"00")</f>
        <v>C1S06,21</v>
      </c>
      <c r="AA91" s="136" t="str">
        <f>VLOOKUP(tbl_IO_List[[#This Row],[Column23]],tbl_RackConfig[],5,FALSE) &amp;"-"&amp;tbl_IO_List[[#This Row],[Point]]</f>
        <v>1756-IB32-21</v>
      </c>
      <c r="AB91" s="136"/>
      <c r="AC91" s="136" t="s">
        <v>1370</v>
      </c>
      <c r="AD91" s="136" t="str">
        <f>tbl_IO_List[[#This Row],[I/O Type]]</f>
        <v>DI</v>
      </c>
      <c r="AE91" s="136" t="s">
        <v>1332</v>
      </c>
      <c r="AF91" s="136">
        <v>6</v>
      </c>
      <c r="AG91" s="136">
        <v>21</v>
      </c>
      <c r="AH91" s="136">
        <v>22</v>
      </c>
      <c r="AI91" s="136">
        <v>24</v>
      </c>
      <c r="AJ91" s="136">
        <v>2</v>
      </c>
      <c r="AK91" s="136">
        <v>1</v>
      </c>
      <c r="AL91" s="136">
        <v>0</v>
      </c>
      <c r="AM91" s="136">
        <v>0</v>
      </c>
      <c r="AN91" s="136">
        <v>0</v>
      </c>
      <c r="AO91" s="136"/>
      <c r="AP91" s="143" t="str">
        <f>VLOOKUP(tbl_IO_List[[#This Row],[Instruement Tag]],tbl_Instruement_List[],14,FALSE)</f>
        <v>24 VDC energized</v>
      </c>
      <c r="AQ91" s="143" t="str">
        <f>tbl_IO_List[[#This Row],[Chassis]]&amp;"S"&amp;tbl_IO_List[[#This Row],[Slot]]&amp;"-"&amp;tbl_IO_List[[#This Row],[Front Terminal Number]]</f>
        <v>C1S6-24</v>
      </c>
      <c r="AR91" s="141" t="s">
        <v>1851</v>
      </c>
      <c r="AS91" s="136" t="str">
        <f>tbl_IO_List[[#This Row],[Terminal Tagging]]&amp;"-"&amp;tbl_IO_List[[#This Row],[Point-Count]]</f>
        <v>P1-TBDI3-22</v>
      </c>
      <c r="AT91" s="136" t="str">
        <f>tbl_IO_List[[#This Row],[Front Terminal Tagging]]&amp;"/"&amp;tbl_IO_List[[#This Row],[Terminal Tagging-Item]]</f>
        <v>C1S6-24/P1-TBDI3-22</v>
      </c>
      <c r="AU91" s="136" t="str">
        <f>tbl_IO_List[[#This Row],[Terminal Tagging-Item]]&amp;"/"&amp;tbl_IO_List[[#This Row],[Front Terminal Tagging]]</f>
        <v>P1-TBDI3-22/C1S6-24</v>
      </c>
    </row>
    <row r="92" spans="1:47" hidden="1">
      <c r="A92" s="147" t="s">
        <v>1369</v>
      </c>
      <c r="B92" s="136" t="s">
        <v>191</v>
      </c>
      <c r="C92" s="136" t="str">
        <f>tbl_IO_List[[#This Row],[Column3]]</f>
        <v>C1S06,22</v>
      </c>
      <c r="D92" s="136" t="str">
        <f>tbl_IO_List[[#This Row],[Card]]</f>
        <v>1756-IB32-22</v>
      </c>
      <c r="E92" s="136" t="s">
        <v>1372</v>
      </c>
      <c r="F92" s="136" t="str">
        <f>tbl_IO_List[[#This Row],[Column23]]&amp;"-" &amp;tbl_IO_List[[#This Row],[Column52]]</f>
        <v>C1S06-X2</v>
      </c>
      <c r="G92" s="136" t="str">
        <f>tbl_IO_List[[#This Row],[PLC_Tag]]</f>
        <v>SV-60202_DI_2</v>
      </c>
      <c r="H92" s="136"/>
      <c r="I92" s="136" t="str">
        <f>VLOOKUP(tbl_IO_List[[#This Row],[Destination]],tbl_Junction[],2,FALSE)</f>
        <v>Spray Dryer 1st Floor</v>
      </c>
      <c r="J92" s="136" t="s">
        <v>191</v>
      </c>
      <c r="K92" s="136" t="s">
        <v>14</v>
      </c>
      <c r="L92" s="136" t="s">
        <v>213</v>
      </c>
      <c r="M92" s="136">
        <f>VLOOKUP(tbl_IO_List[[#This Row],[Instruement Tag]],tbl_Instruement_List[],2,FALSE)</f>
        <v>0</v>
      </c>
      <c r="N92" s="136" t="s">
        <v>15</v>
      </c>
      <c r="O92" s="136" t="s">
        <v>192</v>
      </c>
      <c r="P92" s="136" t="s">
        <v>193</v>
      </c>
      <c r="Q92" s="136" t="str">
        <f>VLOOKUP(tbl_IO_List[[#This Row],[Instruement Tag]],tbl_Instruement_List[],6,FALSE)</f>
        <v>PA On/Off Valve for Cyclone-22 Rotary Valve (RVAL-22)</v>
      </c>
      <c r="R92" s="136"/>
      <c r="S9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92" s="136" t="str">
        <f>tbl_IO_List[[#This Row],[Instruement Tag]]&amp;"_"&amp;tbl_IO_List[[#This Row],[I/O Type]]&amp;"_"&amp;tbl_IO_List[[#This Row],[IO-Point 
(Instruement)]]</f>
        <v>SV-60202_DI_2</v>
      </c>
      <c r="U92" s="136" t="s">
        <v>8</v>
      </c>
      <c r="V92" s="136">
        <f>VLOOKUP(tbl_IO_List[[#This Row],[I/O Type]],tbl_Slot_Group[],2,FALSE)</f>
        <v>1</v>
      </c>
      <c r="W92" s="136">
        <v>2</v>
      </c>
      <c r="X92" s="136" t="str">
        <f>tbl_IO_List[[#This Row],[Chassis]]&amp;"S"&amp;TEXT(tbl_IO_List[[#This Row],[Slot]],"00")</f>
        <v>C1S06</v>
      </c>
      <c r="Y92" s="136" t="str">
        <f>tbl_IO_List[[#This Row],[Chassis]]&amp;"S"&amp;TEXT(tbl_IO_List[[#This Row],[Slot]],"00")&amp;tbl_IO_List[[#This Row],[I/O Type]]&amp;TEXT(tbl_IO_List[[#This Row],[Point]],"00")</f>
        <v>C1S06DI22</v>
      </c>
      <c r="Z92" s="136" t="str">
        <f>tbl_IO_List[[#This Row],[Chassis]]&amp;"S"&amp;TEXT(tbl_IO_List[[#This Row],[Slot]],"00")&amp;","&amp;TEXT(tbl_IO_List[[#This Row],[Point]],"00")</f>
        <v>C1S06,22</v>
      </c>
      <c r="AA92" s="136" t="str">
        <f>VLOOKUP(tbl_IO_List[[#This Row],[Column23]],tbl_RackConfig[],5,FALSE) &amp;"-"&amp;tbl_IO_List[[#This Row],[Point]]</f>
        <v>1756-IB32-22</v>
      </c>
      <c r="AB92" s="136"/>
      <c r="AC92" s="136" t="s">
        <v>1370</v>
      </c>
      <c r="AD92" s="136" t="str">
        <f>tbl_IO_List[[#This Row],[I/O Type]]</f>
        <v>DI</v>
      </c>
      <c r="AE92" s="136" t="s">
        <v>1332</v>
      </c>
      <c r="AF92" s="136">
        <v>6</v>
      </c>
      <c r="AG92" s="136">
        <v>22</v>
      </c>
      <c r="AH92" s="136">
        <v>23</v>
      </c>
      <c r="AI92" s="136">
        <v>25</v>
      </c>
      <c r="AJ92" s="136">
        <v>2</v>
      </c>
      <c r="AK92" s="136">
        <v>1</v>
      </c>
      <c r="AL92" s="136">
        <v>0</v>
      </c>
      <c r="AM92" s="136">
        <v>0</v>
      </c>
      <c r="AN92" s="136">
        <v>0</v>
      </c>
      <c r="AO92" s="136"/>
      <c r="AP92" s="143" t="str">
        <f>VLOOKUP(tbl_IO_List[[#This Row],[Instruement Tag]],tbl_Instruement_List[],14,FALSE)</f>
        <v>24 VDC energized</v>
      </c>
      <c r="AQ92" s="143" t="str">
        <f>tbl_IO_List[[#This Row],[Chassis]]&amp;"S"&amp;tbl_IO_List[[#This Row],[Slot]]&amp;"-"&amp;tbl_IO_List[[#This Row],[Front Terminal Number]]</f>
        <v>C1S6-25</v>
      </c>
      <c r="AR92" s="141" t="s">
        <v>1851</v>
      </c>
      <c r="AS92" s="136" t="str">
        <f>tbl_IO_List[[#This Row],[Terminal Tagging]]&amp;"-"&amp;tbl_IO_List[[#This Row],[Point-Count]]</f>
        <v>P1-TBDI3-23</v>
      </c>
      <c r="AT92" s="136" t="str">
        <f>tbl_IO_List[[#This Row],[Front Terminal Tagging]]&amp;"/"&amp;tbl_IO_List[[#This Row],[Terminal Tagging-Item]]</f>
        <v>C1S6-25/P1-TBDI3-23</v>
      </c>
      <c r="AU92" s="136" t="str">
        <f>tbl_IO_List[[#This Row],[Terminal Tagging-Item]]&amp;"/"&amp;tbl_IO_List[[#This Row],[Front Terminal Tagging]]</f>
        <v>P1-TBDI3-23/C1S6-25</v>
      </c>
    </row>
    <row r="93" spans="1:47" hidden="1">
      <c r="A93" s="147" t="s">
        <v>1369</v>
      </c>
      <c r="B93" s="136" t="s">
        <v>191</v>
      </c>
      <c r="C93" s="136" t="str">
        <f>tbl_IO_List[[#This Row],[Column3]]</f>
        <v>C1S06,23</v>
      </c>
      <c r="D93" s="136" t="str">
        <f>tbl_IO_List[[#This Row],[Card]]</f>
        <v>1756-IB32-23</v>
      </c>
      <c r="E93" s="136" t="s">
        <v>1372</v>
      </c>
      <c r="F93" s="136" t="str">
        <f>tbl_IO_List[[#This Row],[Column23]]&amp;"-" &amp;tbl_IO_List[[#This Row],[Column52]]</f>
        <v>C1S06-X2</v>
      </c>
      <c r="G93" s="136" t="str">
        <f>tbl_IO_List[[#This Row],[PLC_Tag]]</f>
        <v>SV-60203_DI_1</v>
      </c>
      <c r="H93" s="136"/>
      <c r="I93" s="136" t="str">
        <f>VLOOKUP(tbl_IO_List[[#This Row],[Destination]],tbl_Junction[],2,FALSE)</f>
        <v>Spray Dryer 1st Floor</v>
      </c>
      <c r="J93" s="136" t="s">
        <v>191</v>
      </c>
      <c r="K93" s="136" t="s">
        <v>14</v>
      </c>
      <c r="L93" s="136" t="s">
        <v>214</v>
      </c>
      <c r="M93" s="136">
        <f>VLOOKUP(tbl_IO_List[[#This Row],[Instruement Tag]],tbl_Instruement_List[],2,FALSE)</f>
        <v>0</v>
      </c>
      <c r="N93" s="136" t="s">
        <v>15</v>
      </c>
      <c r="O93" s="136" t="s">
        <v>192</v>
      </c>
      <c r="P93" s="136" t="s">
        <v>193</v>
      </c>
      <c r="Q93" s="136" t="str">
        <f>VLOOKUP(tbl_IO_List[[#This Row],[Instruement Tag]],tbl_Instruement_List[],6,FALSE)</f>
        <v>PA On/Off Valve for Bag House Rotary Valve (RVAL-23)</v>
      </c>
      <c r="R93" s="136"/>
      <c r="S9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93" s="136" t="str">
        <f>tbl_IO_List[[#This Row],[Instruement Tag]]&amp;"_"&amp;tbl_IO_List[[#This Row],[I/O Type]]&amp;"_"&amp;tbl_IO_List[[#This Row],[IO-Point 
(Instruement)]]</f>
        <v>SV-60203_DI_1</v>
      </c>
      <c r="U93" s="136" t="s">
        <v>8</v>
      </c>
      <c r="V93" s="136">
        <f>VLOOKUP(tbl_IO_List[[#This Row],[I/O Type]],tbl_Slot_Group[],2,FALSE)</f>
        <v>1</v>
      </c>
      <c r="W93" s="136">
        <v>1</v>
      </c>
      <c r="X93" s="136" t="str">
        <f>tbl_IO_List[[#This Row],[Chassis]]&amp;"S"&amp;TEXT(tbl_IO_List[[#This Row],[Slot]],"00")</f>
        <v>C1S06</v>
      </c>
      <c r="Y93" s="136" t="str">
        <f>tbl_IO_List[[#This Row],[Chassis]]&amp;"S"&amp;TEXT(tbl_IO_List[[#This Row],[Slot]],"00")&amp;tbl_IO_List[[#This Row],[I/O Type]]&amp;TEXT(tbl_IO_List[[#This Row],[Point]],"00")</f>
        <v>C1S06DI23</v>
      </c>
      <c r="Z93" s="136" t="str">
        <f>tbl_IO_List[[#This Row],[Chassis]]&amp;"S"&amp;TEXT(tbl_IO_List[[#This Row],[Slot]],"00")&amp;","&amp;TEXT(tbl_IO_List[[#This Row],[Point]],"00")</f>
        <v>C1S06,23</v>
      </c>
      <c r="AA93" s="136" t="str">
        <f>VLOOKUP(tbl_IO_List[[#This Row],[Column23]],tbl_RackConfig[],5,FALSE) &amp;"-"&amp;tbl_IO_List[[#This Row],[Point]]</f>
        <v>1756-IB32-23</v>
      </c>
      <c r="AB93" s="136"/>
      <c r="AC93" s="136" t="s">
        <v>1370</v>
      </c>
      <c r="AD93" s="136" t="str">
        <f>tbl_IO_List[[#This Row],[I/O Type]]</f>
        <v>DI</v>
      </c>
      <c r="AE93" s="136" t="s">
        <v>1332</v>
      </c>
      <c r="AF93" s="136">
        <v>6</v>
      </c>
      <c r="AG93" s="136">
        <v>23</v>
      </c>
      <c r="AH93" s="136">
        <v>24</v>
      </c>
      <c r="AI93" s="136">
        <v>26</v>
      </c>
      <c r="AJ93" s="136">
        <v>2</v>
      </c>
      <c r="AK93" s="136">
        <v>1</v>
      </c>
      <c r="AL93" s="136">
        <v>0</v>
      </c>
      <c r="AM93" s="136">
        <v>0</v>
      </c>
      <c r="AN93" s="136">
        <v>0</v>
      </c>
      <c r="AO93" s="136"/>
      <c r="AP93" s="143" t="str">
        <f>VLOOKUP(tbl_IO_List[[#This Row],[Instruement Tag]],tbl_Instruement_List[],14,FALSE)</f>
        <v>24 VDC energized</v>
      </c>
      <c r="AQ93" s="143" t="str">
        <f>tbl_IO_List[[#This Row],[Chassis]]&amp;"S"&amp;tbl_IO_List[[#This Row],[Slot]]&amp;"-"&amp;tbl_IO_List[[#This Row],[Front Terminal Number]]</f>
        <v>C1S6-26</v>
      </c>
      <c r="AR93" s="141" t="s">
        <v>1851</v>
      </c>
      <c r="AS93" s="136" t="str">
        <f>tbl_IO_List[[#This Row],[Terminal Tagging]]&amp;"-"&amp;tbl_IO_List[[#This Row],[Point-Count]]</f>
        <v>P1-TBDI3-24</v>
      </c>
      <c r="AT93" s="136" t="str">
        <f>tbl_IO_List[[#This Row],[Front Terminal Tagging]]&amp;"/"&amp;tbl_IO_List[[#This Row],[Terminal Tagging-Item]]</f>
        <v>C1S6-26/P1-TBDI3-24</v>
      </c>
      <c r="AU93" s="136" t="str">
        <f>tbl_IO_List[[#This Row],[Terminal Tagging-Item]]&amp;"/"&amp;tbl_IO_List[[#This Row],[Front Terminal Tagging]]</f>
        <v>P1-TBDI3-24/C1S6-26</v>
      </c>
    </row>
    <row r="94" spans="1:47" hidden="1">
      <c r="A94" s="147" t="s">
        <v>1369</v>
      </c>
      <c r="B94" s="136" t="s">
        <v>191</v>
      </c>
      <c r="C94" s="136" t="str">
        <f>tbl_IO_List[[#This Row],[Column3]]</f>
        <v>C1S06,24</v>
      </c>
      <c r="D94" s="136" t="str">
        <f>tbl_IO_List[[#This Row],[Card]]</f>
        <v>1756-IB32-24</v>
      </c>
      <c r="E94" s="136" t="s">
        <v>1372</v>
      </c>
      <c r="F94" s="136" t="str">
        <f>tbl_IO_List[[#This Row],[Column23]]&amp;"-" &amp;tbl_IO_List[[#This Row],[Column52]]</f>
        <v>C1S06-X2</v>
      </c>
      <c r="G94" s="136" t="str">
        <f>tbl_IO_List[[#This Row],[PLC_Tag]]</f>
        <v>SV-60203_DI_2</v>
      </c>
      <c r="H94" s="136"/>
      <c r="I94" s="136" t="str">
        <f>VLOOKUP(tbl_IO_List[[#This Row],[Destination]],tbl_Junction[],2,FALSE)</f>
        <v>Spray Dryer 1st Floor</v>
      </c>
      <c r="J94" s="136" t="s">
        <v>191</v>
      </c>
      <c r="K94" s="136" t="s">
        <v>14</v>
      </c>
      <c r="L94" s="136" t="s">
        <v>214</v>
      </c>
      <c r="M94" s="136">
        <f>VLOOKUP(tbl_IO_List[[#This Row],[Instruement Tag]],tbl_Instruement_List[],2,FALSE)</f>
        <v>0</v>
      </c>
      <c r="N94" s="136" t="s">
        <v>15</v>
      </c>
      <c r="O94" s="136" t="s">
        <v>192</v>
      </c>
      <c r="P94" s="136" t="s">
        <v>193</v>
      </c>
      <c r="Q94" s="136" t="str">
        <f>VLOOKUP(tbl_IO_List[[#This Row],[Instruement Tag]],tbl_Instruement_List[],6,FALSE)</f>
        <v>PA On/Off Valve for Bag House Rotary Valve (RVAL-23)</v>
      </c>
      <c r="R94" s="136"/>
      <c r="S9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94" s="136" t="str">
        <f>tbl_IO_List[[#This Row],[Instruement Tag]]&amp;"_"&amp;tbl_IO_List[[#This Row],[I/O Type]]&amp;"_"&amp;tbl_IO_List[[#This Row],[IO-Point 
(Instruement)]]</f>
        <v>SV-60203_DI_2</v>
      </c>
      <c r="U94" s="136" t="s">
        <v>8</v>
      </c>
      <c r="V94" s="136">
        <f>VLOOKUP(tbl_IO_List[[#This Row],[I/O Type]],tbl_Slot_Group[],2,FALSE)</f>
        <v>1</v>
      </c>
      <c r="W94" s="136">
        <v>2</v>
      </c>
      <c r="X94" s="136" t="str">
        <f>tbl_IO_List[[#This Row],[Chassis]]&amp;"S"&amp;TEXT(tbl_IO_List[[#This Row],[Slot]],"00")</f>
        <v>C1S06</v>
      </c>
      <c r="Y94" s="136" t="str">
        <f>tbl_IO_List[[#This Row],[Chassis]]&amp;"S"&amp;TEXT(tbl_IO_List[[#This Row],[Slot]],"00")&amp;tbl_IO_List[[#This Row],[I/O Type]]&amp;TEXT(tbl_IO_List[[#This Row],[Point]],"00")</f>
        <v>C1S06DI24</v>
      </c>
      <c r="Z94" s="136" t="str">
        <f>tbl_IO_List[[#This Row],[Chassis]]&amp;"S"&amp;TEXT(tbl_IO_List[[#This Row],[Slot]],"00")&amp;","&amp;TEXT(tbl_IO_List[[#This Row],[Point]],"00")</f>
        <v>C1S06,24</v>
      </c>
      <c r="AA94" s="136" t="str">
        <f>VLOOKUP(tbl_IO_List[[#This Row],[Column23]],tbl_RackConfig[],5,FALSE) &amp;"-"&amp;tbl_IO_List[[#This Row],[Point]]</f>
        <v>1756-IB32-24</v>
      </c>
      <c r="AB94" s="136"/>
      <c r="AC94" s="136" t="s">
        <v>1370</v>
      </c>
      <c r="AD94" s="136" t="str">
        <f>tbl_IO_List[[#This Row],[I/O Type]]</f>
        <v>DI</v>
      </c>
      <c r="AE94" s="136" t="s">
        <v>1332</v>
      </c>
      <c r="AF94" s="136">
        <v>6</v>
      </c>
      <c r="AG94" s="136">
        <v>24</v>
      </c>
      <c r="AH94" s="136">
        <v>25</v>
      </c>
      <c r="AI94" s="136">
        <v>27</v>
      </c>
      <c r="AJ94" s="136">
        <v>2</v>
      </c>
      <c r="AK94" s="136">
        <v>1</v>
      </c>
      <c r="AL94" s="136">
        <v>0</v>
      </c>
      <c r="AM94" s="136">
        <v>0</v>
      </c>
      <c r="AN94" s="136">
        <v>0</v>
      </c>
      <c r="AO94" s="136"/>
      <c r="AP94" s="143" t="str">
        <f>VLOOKUP(tbl_IO_List[[#This Row],[Instruement Tag]],tbl_Instruement_List[],14,FALSE)</f>
        <v>24 VDC energized</v>
      </c>
      <c r="AQ94" s="143" t="str">
        <f>tbl_IO_List[[#This Row],[Chassis]]&amp;"S"&amp;tbl_IO_List[[#This Row],[Slot]]&amp;"-"&amp;tbl_IO_List[[#This Row],[Front Terminal Number]]</f>
        <v>C1S6-27</v>
      </c>
      <c r="AR94" s="141" t="s">
        <v>1851</v>
      </c>
      <c r="AS94" s="136" t="str">
        <f>tbl_IO_List[[#This Row],[Terminal Tagging]]&amp;"-"&amp;tbl_IO_List[[#This Row],[Point-Count]]</f>
        <v>P1-TBDI3-25</v>
      </c>
      <c r="AT94" s="136" t="str">
        <f>tbl_IO_List[[#This Row],[Front Terminal Tagging]]&amp;"/"&amp;tbl_IO_List[[#This Row],[Terminal Tagging-Item]]</f>
        <v>C1S6-27/P1-TBDI3-25</v>
      </c>
      <c r="AU94" s="136" t="str">
        <f>tbl_IO_List[[#This Row],[Terminal Tagging-Item]]&amp;"/"&amp;tbl_IO_List[[#This Row],[Front Terminal Tagging]]</f>
        <v>P1-TBDI3-25/C1S6-27</v>
      </c>
    </row>
    <row r="95" spans="1:47" hidden="1">
      <c r="A95" s="147" t="s">
        <v>1369</v>
      </c>
      <c r="B95" s="136" t="s">
        <v>191</v>
      </c>
      <c r="C95" s="136" t="str">
        <f>tbl_IO_List[[#This Row],[Column3]]</f>
        <v>C1S06,25</v>
      </c>
      <c r="D95" s="136" t="str">
        <f>tbl_IO_List[[#This Row],[Card]]</f>
        <v>1756-IB32-25</v>
      </c>
      <c r="E95" s="136" t="s">
        <v>1372</v>
      </c>
      <c r="F95" s="136" t="str">
        <f>tbl_IO_List[[#This Row],[Column23]]&amp;"-" &amp;tbl_IO_List[[#This Row],[Column52]]</f>
        <v>C1S06-X2</v>
      </c>
      <c r="G95" s="136" t="str">
        <f>tbl_IO_List[[#This Row],[PLC_Tag]]</f>
        <v>VS-60205_DI_1</v>
      </c>
      <c r="H95" s="136"/>
      <c r="I95" s="136" t="str">
        <f>VLOOKUP(tbl_IO_List[[#This Row],[Destination]],tbl_Junction[],2,FALSE)</f>
        <v>Spray Dryer 1st Floor</v>
      </c>
      <c r="J95" s="136" t="s">
        <v>191</v>
      </c>
      <c r="K95" s="136" t="s">
        <v>14</v>
      </c>
      <c r="L95" s="136" t="s">
        <v>218</v>
      </c>
      <c r="M95" s="136" t="str">
        <f>VLOOKUP(tbl_IO_List[[#This Row],[Instruement Tag]],tbl_Instruement_List[],2,FALSE)</f>
        <v>Vibration Switch</v>
      </c>
      <c r="N95" s="136" t="s">
        <v>15</v>
      </c>
      <c r="O95" s="136" t="s">
        <v>126</v>
      </c>
      <c r="P95" s="136" t="s">
        <v>127</v>
      </c>
      <c r="Q95" s="136" t="str">
        <f>VLOOKUP(tbl_IO_List[[#This Row],[Instruement Tag]],tbl_Instruement_List[],6,FALSE)</f>
        <v>Vibration Gear Box Vibration Switch for Switch Vibration for PUPD-11 (PUPD-11)</v>
      </c>
      <c r="R95" s="136"/>
      <c r="S9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5" s="136" t="str">
        <f>tbl_IO_List[[#This Row],[Instruement Tag]]&amp;"_"&amp;tbl_IO_List[[#This Row],[I/O Type]]&amp;"_"&amp;tbl_IO_List[[#This Row],[IO-Point 
(Instruement)]]</f>
        <v>VS-60205_DI_1</v>
      </c>
      <c r="U95" s="136" t="s">
        <v>8</v>
      </c>
      <c r="V95" s="136">
        <f>VLOOKUP(tbl_IO_List[[#This Row],[I/O Type]],tbl_Slot_Group[],2,FALSE)</f>
        <v>1</v>
      </c>
      <c r="W95" s="136">
        <v>1</v>
      </c>
      <c r="X95" s="136" t="str">
        <f>tbl_IO_List[[#This Row],[Chassis]]&amp;"S"&amp;TEXT(tbl_IO_List[[#This Row],[Slot]],"00")</f>
        <v>C1S06</v>
      </c>
      <c r="Y95" s="136" t="str">
        <f>tbl_IO_List[[#This Row],[Chassis]]&amp;"S"&amp;TEXT(tbl_IO_List[[#This Row],[Slot]],"00")&amp;tbl_IO_List[[#This Row],[I/O Type]]&amp;TEXT(tbl_IO_List[[#This Row],[Point]],"00")</f>
        <v>C1S06DI25</v>
      </c>
      <c r="Z95" s="136" t="str">
        <f>tbl_IO_List[[#This Row],[Chassis]]&amp;"S"&amp;TEXT(tbl_IO_List[[#This Row],[Slot]],"00")&amp;","&amp;TEXT(tbl_IO_List[[#This Row],[Point]],"00")</f>
        <v>C1S06,25</v>
      </c>
      <c r="AA95" s="136" t="str">
        <f>VLOOKUP(tbl_IO_List[[#This Row],[Column23]],tbl_RackConfig[],5,FALSE) &amp;"-"&amp;tbl_IO_List[[#This Row],[Point]]</f>
        <v>1756-IB32-25</v>
      </c>
      <c r="AB95" s="136"/>
      <c r="AC95" s="136" t="s">
        <v>1370</v>
      </c>
      <c r="AD95" s="136" t="str">
        <f>tbl_IO_List[[#This Row],[I/O Type]]</f>
        <v>DI</v>
      </c>
      <c r="AE95" s="136" t="s">
        <v>1332</v>
      </c>
      <c r="AF95" s="136">
        <v>6</v>
      </c>
      <c r="AG95" s="136">
        <v>25</v>
      </c>
      <c r="AH95" s="136">
        <v>26</v>
      </c>
      <c r="AI95" s="136">
        <v>28</v>
      </c>
      <c r="AJ95" s="136">
        <v>1</v>
      </c>
      <c r="AK95" s="136">
        <v>0</v>
      </c>
      <c r="AL95" s="136">
        <v>0</v>
      </c>
      <c r="AM95" s="136">
        <v>0</v>
      </c>
      <c r="AN95" s="136">
        <v>0</v>
      </c>
      <c r="AO95" s="136"/>
      <c r="AP95" s="143" t="str">
        <f>VLOOKUP(tbl_IO_List[[#This Row],[Instruement Tag]],tbl_Instruement_List[],14,FALSE)</f>
        <v>Dry Contact</v>
      </c>
      <c r="AQ95" s="143" t="str">
        <f>tbl_IO_List[[#This Row],[Chassis]]&amp;"S"&amp;tbl_IO_List[[#This Row],[Slot]]&amp;"-"&amp;tbl_IO_List[[#This Row],[Front Terminal Number]]</f>
        <v>C1S6-28</v>
      </c>
      <c r="AR95" s="141" t="s">
        <v>1851</v>
      </c>
      <c r="AS95" s="136" t="str">
        <f>tbl_IO_List[[#This Row],[Terminal Tagging]]&amp;"-"&amp;tbl_IO_List[[#This Row],[Point-Count]]</f>
        <v>P1-TBDI3-26</v>
      </c>
      <c r="AT95" s="136" t="str">
        <f>tbl_IO_List[[#This Row],[Front Terminal Tagging]]&amp;"/"&amp;tbl_IO_List[[#This Row],[Terminal Tagging-Item]]</f>
        <v>C1S6-28/P1-TBDI3-26</v>
      </c>
      <c r="AU95" s="136" t="str">
        <f>tbl_IO_List[[#This Row],[Terminal Tagging-Item]]&amp;"/"&amp;tbl_IO_List[[#This Row],[Front Terminal Tagging]]</f>
        <v>P1-TBDI3-26/C1S6-28</v>
      </c>
    </row>
    <row r="96" spans="1:47" hidden="1">
      <c r="A96" s="147" t="s">
        <v>1369</v>
      </c>
      <c r="B96" s="136" t="s">
        <v>191</v>
      </c>
      <c r="C96" s="136" t="str">
        <f>tbl_IO_List[[#This Row],[Column3]]</f>
        <v>C1S06,26</v>
      </c>
      <c r="D96" s="136" t="str">
        <f>tbl_IO_List[[#This Row],[Card]]</f>
        <v>1756-IB32-26</v>
      </c>
      <c r="E96" s="136" t="s">
        <v>1372</v>
      </c>
      <c r="F96" s="136" t="str">
        <f>tbl_IO_List[[#This Row],[Column23]]&amp;"-" &amp;tbl_IO_List[[#This Row],[Column52]]</f>
        <v>C1S06-X2</v>
      </c>
      <c r="G96" s="136" t="str">
        <f>tbl_IO_List[[#This Row],[PLC_Tag]]</f>
        <v>Spare_DI_0</v>
      </c>
      <c r="H96" s="136"/>
      <c r="I96" s="136" t="str">
        <f>VLOOKUP(tbl_IO_List[[#This Row],[Destination]],tbl_Junction[],2,FALSE)</f>
        <v>Spray Dryer 1st Floor</v>
      </c>
      <c r="J96" s="136" t="s">
        <v>191</v>
      </c>
      <c r="K96" s="136"/>
      <c r="L96" s="136" t="s">
        <v>411</v>
      </c>
      <c r="M96" s="136" t="e">
        <f>VLOOKUP(tbl_IO_List[[#This Row],[Instruement Tag]],tbl_Instruement_List[],2,FALSE)</f>
        <v>#N/A</v>
      </c>
      <c r="N96" s="136"/>
      <c r="O96" s="136"/>
      <c r="P96" s="136"/>
      <c r="Q96" s="136" t="e">
        <f>VLOOKUP(tbl_IO_List[[#This Row],[Instruement Tag]],tbl_Instruement_List[],6,FALSE)</f>
        <v>#N/A</v>
      </c>
      <c r="R96" s="136"/>
      <c r="S9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6" s="136" t="str">
        <f>tbl_IO_List[[#This Row],[Instruement Tag]]&amp;"_"&amp;tbl_IO_List[[#This Row],[I/O Type]]&amp;"_"&amp;tbl_IO_List[[#This Row],[IO-Point 
(Instruement)]]</f>
        <v>Spare_DI_0</v>
      </c>
      <c r="U96" s="136" t="s">
        <v>8</v>
      </c>
      <c r="V96" s="136">
        <f>VLOOKUP(tbl_IO_List[[#This Row],[I/O Type]],tbl_Slot_Group[],2,FALSE)</f>
        <v>1</v>
      </c>
      <c r="W96" s="136">
        <v>0</v>
      </c>
      <c r="X96" s="136" t="str">
        <f>tbl_IO_List[[#This Row],[Chassis]]&amp;"S"&amp;TEXT(tbl_IO_List[[#This Row],[Slot]],"00")</f>
        <v>C1S06</v>
      </c>
      <c r="Y96" s="136" t="str">
        <f>tbl_IO_List[[#This Row],[Chassis]]&amp;"S"&amp;TEXT(tbl_IO_List[[#This Row],[Slot]],"00")&amp;tbl_IO_List[[#This Row],[I/O Type]]&amp;TEXT(tbl_IO_List[[#This Row],[Point]],"00")</f>
        <v>C1S06DI26</v>
      </c>
      <c r="Z96" s="136" t="str">
        <f>tbl_IO_List[[#This Row],[Chassis]]&amp;"S"&amp;TEXT(tbl_IO_List[[#This Row],[Slot]],"00")&amp;","&amp;TEXT(tbl_IO_List[[#This Row],[Point]],"00")</f>
        <v>C1S06,26</v>
      </c>
      <c r="AA96" s="136" t="str">
        <f>VLOOKUP(tbl_IO_List[[#This Row],[Column23]],tbl_RackConfig[],5,FALSE) &amp;"-"&amp;tbl_IO_List[[#This Row],[Point]]</f>
        <v>1756-IB32-26</v>
      </c>
      <c r="AB96" s="136"/>
      <c r="AC96" s="136" t="s">
        <v>1370</v>
      </c>
      <c r="AD96" s="136" t="str">
        <f>tbl_IO_List[[#This Row],[I/O Type]]</f>
        <v>DI</v>
      </c>
      <c r="AE96" s="136" t="s">
        <v>1332</v>
      </c>
      <c r="AF96" s="136">
        <v>6</v>
      </c>
      <c r="AG96" s="136">
        <v>26</v>
      </c>
      <c r="AH96" s="136">
        <v>27</v>
      </c>
      <c r="AI96" s="136">
        <v>29</v>
      </c>
      <c r="AJ96" s="136">
        <v>1</v>
      </c>
      <c r="AK96" s="136">
        <v>0</v>
      </c>
      <c r="AL96" s="136">
        <v>0</v>
      </c>
      <c r="AM96" s="136">
        <v>0</v>
      </c>
      <c r="AN96" s="136">
        <v>0</v>
      </c>
      <c r="AO96" s="136"/>
      <c r="AP96" s="143" t="e">
        <f>VLOOKUP(tbl_IO_List[[#This Row],[Instruement Tag]],tbl_Instruement_List[],14,FALSE)</f>
        <v>#N/A</v>
      </c>
      <c r="AQ96" s="143" t="str">
        <f>tbl_IO_List[[#This Row],[Chassis]]&amp;"S"&amp;tbl_IO_List[[#This Row],[Slot]]&amp;"-"&amp;tbl_IO_List[[#This Row],[Front Terminal Number]]</f>
        <v>C1S6-29</v>
      </c>
      <c r="AR96" s="141" t="s">
        <v>1851</v>
      </c>
      <c r="AS96" s="136" t="str">
        <f>tbl_IO_List[[#This Row],[Terminal Tagging]]&amp;"-"&amp;tbl_IO_List[[#This Row],[Point-Count]]</f>
        <v>P1-TBDI3-27</v>
      </c>
      <c r="AT96" s="136" t="str">
        <f>tbl_IO_List[[#This Row],[Front Terminal Tagging]]&amp;"/"&amp;tbl_IO_List[[#This Row],[Terminal Tagging-Item]]</f>
        <v>C1S6-29/P1-TBDI3-27</v>
      </c>
      <c r="AU96" s="136" t="str">
        <f>tbl_IO_List[[#This Row],[Terminal Tagging-Item]]&amp;"/"&amp;tbl_IO_List[[#This Row],[Front Terminal Tagging]]</f>
        <v>P1-TBDI3-27/C1S6-29</v>
      </c>
    </row>
    <row r="97" spans="1:47" hidden="1">
      <c r="A97" s="147" t="s">
        <v>1369</v>
      </c>
      <c r="B97" s="136" t="s">
        <v>191</v>
      </c>
      <c r="C97" s="136" t="str">
        <f>tbl_IO_List[[#This Row],[Column3]]</f>
        <v>C1S06,27</v>
      </c>
      <c r="D97" s="136" t="str">
        <f>tbl_IO_List[[#This Row],[Card]]</f>
        <v>1756-IB32-27</v>
      </c>
      <c r="E97" s="136" t="s">
        <v>1372</v>
      </c>
      <c r="F97" s="136" t="str">
        <f>tbl_IO_List[[#This Row],[Column23]]&amp;"-" &amp;tbl_IO_List[[#This Row],[Column52]]</f>
        <v>C1S06-X2</v>
      </c>
      <c r="G97" s="136" t="str">
        <f>tbl_IO_List[[#This Row],[PLC_Tag]]</f>
        <v>Spare_DI_0</v>
      </c>
      <c r="H97" s="136"/>
      <c r="I97" s="136" t="str">
        <f>VLOOKUP(tbl_IO_List[[#This Row],[Destination]],tbl_Junction[],2,FALSE)</f>
        <v>Spray Dryer 1st Floor</v>
      </c>
      <c r="J97" s="136" t="s">
        <v>191</v>
      </c>
      <c r="K97" s="136"/>
      <c r="L97" s="136" t="s">
        <v>411</v>
      </c>
      <c r="M97" s="136" t="e">
        <f>VLOOKUP(tbl_IO_List[[#This Row],[Instruement Tag]],tbl_Instruement_List[],2,FALSE)</f>
        <v>#N/A</v>
      </c>
      <c r="N97" s="136"/>
      <c r="O97" s="136"/>
      <c r="P97" s="136"/>
      <c r="Q97" s="136" t="e">
        <f>VLOOKUP(tbl_IO_List[[#This Row],[Instruement Tag]],tbl_Instruement_List[],6,FALSE)</f>
        <v>#N/A</v>
      </c>
      <c r="R97" s="136"/>
      <c r="S9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7" s="136" t="str">
        <f>tbl_IO_List[[#This Row],[Instruement Tag]]&amp;"_"&amp;tbl_IO_List[[#This Row],[I/O Type]]&amp;"_"&amp;tbl_IO_List[[#This Row],[IO-Point 
(Instruement)]]</f>
        <v>Spare_DI_0</v>
      </c>
      <c r="U97" s="136" t="s">
        <v>8</v>
      </c>
      <c r="V97" s="136">
        <f>VLOOKUP(tbl_IO_List[[#This Row],[I/O Type]],tbl_Slot_Group[],2,FALSE)</f>
        <v>1</v>
      </c>
      <c r="W97" s="136">
        <v>0</v>
      </c>
      <c r="X97" s="136" t="str">
        <f>tbl_IO_List[[#This Row],[Chassis]]&amp;"S"&amp;TEXT(tbl_IO_List[[#This Row],[Slot]],"00")</f>
        <v>C1S06</v>
      </c>
      <c r="Y97" s="136" t="str">
        <f>tbl_IO_List[[#This Row],[Chassis]]&amp;"S"&amp;TEXT(tbl_IO_List[[#This Row],[Slot]],"00")&amp;tbl_IO_List[[#This Row],[I/O Type]]&amp;TEXT(tbl_IO_List[[#This Row],[Point]],"00")</f>
        <v>C1S06DI27</v>
      </c>
      <c r="Z97" s="136" t="str">
        <f>tbl_IO_List[[#This Row],[Chassis]]&amp;"S"&amp;TEXT(tbl_IO_List[[#This Row],[Slot]],"00")&amp;","&amp;TEXT(tbl_IO_List[[#This Row],[Point]],"00")</f>
        <v>C1S06,27</v>
      </c>
      <c r="AA97" s="136" t="str">
        <f>VLOOKUP(tbl_IO_List[[#This Row],[Column23]],tbl_RackConfig[],5,FALSE) &amp;"-"&amp;tbl_IO_List[[#This Row],[Point]]</f>
        <v>1756-IB32-27</v>
      </c>
      <c r="AB97" s="136"/>
      <c r="AC97" s="136" t="s">
        <v>1370</v>
      </c>
      <c r="AD97" s="136" t="str">
        <f>tbl_IO_List[[#This Row],[I/O Type]]</f>
        <v>DI</v>
      </c>
      <c r="AE97" s="136" t="s">
        <v>1332</v>
      </c>
      <c r="AF97" s="136">
        <v>6</v>
      </c>
      <c r="AG97" s="136">
        <v>27</v>
      </c>
      <c r="AH97" s="136">
        <v>28</v>
      </c>
      <c r="AI97" s="136">
        <v>30</v>
      </c>
      <c r="AJ97" s="136">
        <v>1</v>
      </c>
      <c r="AK97" s="136">
        <v>0</v>
      </c>
      <c r="AL97" s="136">
        <v>0</v>
      </c>
      <c r="AM97" s="136">
        <v>0</v>
      </c>
      <c r="AN97" s="136">
        <v>0</v>
      </c>
      <c r="AO97" s="136"/>
      <c r="AP97" s="143" t="e">
        <f>VLOOKUP(tbl_IO_List[[#This Row],[Instruement Tag]],tbl_Instruement_List[],14,FALSE)</f>
        <v>#N/A</v>
      </c>
      <c r="AQ97" s="143" t="str">
        <f>tbl_IO_List[[#This Row],[Chassis]]&amp;"S"&amp;tbl_IO_List[[#This Row],[Slot]]&amp;"-"&amp;tbl_IO_List[[#This Row],[Front Terminal Number]]</f>
        <v>C1S6-30</v>
      </c>
      <c r="AR97" s="141" t="s">
        <v>1851</v>
      </c>
      <c r="AS97" s="136" t="str">
        <f>tbl_IO_List[[#This Row],[Terminal Tagging]]&amp;"-"&amp;tbl_IO_List[[#This Row],[Point-Count]]</f>
        <v>P1-TBDI3-28</v>
      </c>
      <c r="AT97" s="136" t="str">
        <f>tbl_IO_List[[#This Row],[Front Terminal Tagging]]&amp;"/"&amp;tbl_IO_List[[#This Row],[Terminal Tagging-Item]]</f>
        <v>C1S6-30/P1-TBDI3-28</v>
      </c>
      <c r="AU97" s="136" t="str">
        <f>tbl_IO_List[[#This Row],[Terminal Tagging-Item]]&amp;"/"&amp;tbl_IO_List[[#This Row],[Front Terminal Tagging]]</f>
        <v>P1-TBDI3-28/C1S6-30</v>
      </c>
    </row>
    <row r="98" spans="1:47" hidden="1">
      <c r="A98" s="147" t="s">
        <v>1369</v>
      </c>
      <c r="B98" s="136" t="s">
        <v>191</v>
      </c>
      <c r="C98" s="136" t="str">
        <f>tbl_IO_List[[#This Row],[Column3]]</f>
        <v>C1S06,28</v>
      </c>
      <c r="D98" s="136" t="str">
        <f>tbl_IO_List[[#This Row],[Card]]</f>
        <v>1756-IB32-28</v>
      </c>
      <c r="E98" s="136" t="s">
        <v>1372</v>
      </c>
      <c r="F98" s="136" t="str">
        <f>tbl_IO_List[[#This Row],[Column23]]&amp;"-" &amp;tbl_IO_List[[#This Row],[Column52]]</f>
        <v>C1S06-X2</v>
      </c>
      <c r="G98" s="136" t="str">
        <f>tbl_IO_List[[#This Row],[PLC_Tag]]</f>
        <v>Spare_DI_0</v>
      </c>
      <c r="H98" s="136"/>
      <c r="I98" s="136" t="str">
        <f>VLOOKUP(tbl_IO_List[[#This Row],[Destination]],tbl_Junction[],2,FALSE)</f>
        <v>Spray Dryer 1st Floor</v>
      </c>
      <c r="J98" s="136" t="s">
        <v>191</v>
      </c>
      <c r="K98" s="136"/>
      <c r="L98" s="136" t="s">
        <v>411</v>
      </c>
      <c r="M98" s="136" t="e">
        <f>VLOOKUP(tbl_IO_List[[#This Row],[Instruement Tag]],tbl_Instruement_List[],2,FALSE)</f>
        <v>#N/A</v>
      </c>
      <c r="N98" s="136"/>
      <c r="O98" s="136"/>
      <c r="P98" s="136"/>
      <c r="Q98" s="136" t="e">
        <f>VLOOKUP(tbl_IO_List[[#This Row],[Instruement Tag]],tbl_Instruement_List[],6,FALSE)</f>
        <v>#N/A</v>
      </c>
      <c r="R98" s="136"/>
      <c r="S9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8" s="136" t="str">
        <f>tbl_IO_List[[#This Row],[Instruement Tag]]&amp;"_"&amp;tbl_IO_List[[#This Row],[I/O Type]]&amp;"_"&amp;tbl_IO_List[[#This Row],[IO-Point 
(Instruement)]]</f>
        <v>Spare_DI_0</v>
      </c>
      <c r="U98" s="136" t="s">
        <v>8</v>
      </c>
      <c r="V98" s="136">
        <f>VLOOKUP(tbl_IO_List[[#This Row],[I/O Type]],tbl_Slot_Group[],2,FALSE)</f>
        <v>1</v>
      </c>
      <c r="W98" s="136">
        <v>0</v>
      </c>
      <c r="X98" s="136" t="str">
        <f>tbl_IO_List[[#This Row],[Chassis]]&amp;"S"&amp;TEXT(tbl_IO_List[[#This Row],[Slot]],"00")</f>
        <v>C1S06</v>
      </c>
      <c r="Y98" s="136" t="str">
        <f>tbl_IO_List[[#This Row],[Chassis]]&amp;"S"&amp;TEXT(tbl_IO_List[[#This Row],[Slot]],"00")&amp;tbl_IO_List[[#This Row],[I/O Type]]&amp;TEXT(tbl_IO_List[[#This Row],[Point]],"00")</f>
        <v>C1S06DI28</v>
      </c>
      <c r="Z98" s="136" t="str">
        <f>tbl_IO_List[[#This Row],[Chassis]]&amp;"S"&amp;TEXT(tbl_IO_List[[#This Row],[Slot]],"00")&amp;","&amp;TEXT(tbl_IO_List[[#This Row],[Point]],"00")</f>
        <v>C1S06,28</v>
      </c>
      <c r="AA98" s="136" t="str">
        <f>VLOOKUP(tbl_IO_List[[#This Row],[Column23]],tbl_RackConfig[],5,FALSE) &amp;"-"&amp;tbl_IO_List[[#This Row],[Point]]</f>
        <v>1756-IB32-28</v>
      </c>
      <c r="AB98" s="136"/>
      <c r="AC98" s="136" t="s">
        <v>1370</v>
      </c>
      <c r="AD98" s="136" t="str">
        <f>tbl_IO_List[[#This Row],[I/O Type]]</f>
        <v>DI</v>
      </c>
      <c r="AE98" s="136" t="s">
        <v>1332</v>
      </c>
      <c r="AF98" s="136">
        <v>6</v>
      </c>
      <c r="AG98" s="136">
        <v>28</v>
      </c>
      <c r="AH98" s="136">
        <v>29</v>
      </c>
      <c r="AI98" s="136">
        <v>31</v>
      </c>
      <c r="AJ98" s="136">
        <v>1</v>
      </c>
      <c r="AK98" s="136">
        <v>0</v>
      </c>
      <c r="AL98" s="136">
        <v>0</v>
      </c>
      <c r="AM98" s="136">
        <v>0</v>
      </c>
      <c r="AN98" s="136">
        <v>0</v>
      </c>
      <c r="AO98" s="136"/>
      <c r="AP98" s="143" t="e">
        <f>VLOOKUP(tbl_IO_List[[#This Row],[Instruement Tag]],tbl_Instruement_List[],14,FALSE)</f>
        <v>#N/A</v>
      </c>
      <c r="AQ98" s="143" t="str">
        <f>tbl_IO_List[[#This Row],[Chassis]]&amp;"S"&amp;tbl_IO_List[[#This Row],[Slot]]&amp;"-"&amp;tbl_IO_List[[#This Row],[Front Terminal Number]]</f>
        <v>C1S6-31</v>
      </c>
      <c r="AR98" s="141" t="s">
        <v>1851</v>
      </c>
      <c r="AS98" s="136" t="str">
        <f>tbl_IO_List[[#This Row],[Terminal Tagging]]&amp;"-"&amp;tbl_IO_List[[#This Row],[Point-Count]]</f>
        <v>P1-TBDI3-29</v>
      </c>
      <c r="AT98" s="136" t="str">
        <f>tbl_IO_List[[#This Row],[Front Terminal Tagging]]&amp;"/"&amp;tbl_IO_List[[#This Row],[Terminal Tagging-Item]]</f>
        <v>C1S6-31/P1-TBDI3-29</v>
      </c>
      <c r="AU98" s="136" t="str">
        <f>tbl_IO_List[[#This Row],[Terminal Tagging-Item]]&amp;"/"&amp;tbl_IO_List[[#This Row],[Front Terminal Tagging]]</f>
        <v>P1-TBDI3-29/C1S6-31</v>
      </c>
    </row>
    <row r="99" spans="1:47" hidden="1">
      <c r="A99" s="147" t="s">
        <v>1369</v>
      </c>
      <c r="B99" s="136" t="s">
        <v>191</v>
      </c>
      <c r="C99" s="136" t="str">
        <f>tbl_IO_List[[#This Row],[Column3]]</f>
        <v>C1S06,29</v>
      </c>
      <c r="D99" s="136" t="str">
        <f>tbl_IO_List[[#This Row],[Card]]</f>
        <v>1756-IB32-29</v>
      </c>
      <c r="E99" s="136" t="s">
        <v>1372</v>
      </c>
      <c r="F99" s="136" t="str">
        <f>tbl_IO_List[[#This Row],[Column23]]&amp;"-" &amp;tbl_IO_List[[#This Row],[Column52]]</f>
        <v>C1S06-X2</v>
      </c>
      <c r="G99" s="136" t="str">
        <f>tbl_IO_List[[#This Row],[PLC_Tag]]</f>
        <v>Spare_DI_0</v>
      </c>
      <c r="H99" s="136"/>
      <c r="I99" s="136" t="str">
        <f>VLOOKUP(tbl_IO_List[[#This Row],[Destination]],tbl_Junction[],2,FALSE)</f>
        <v>Spray Dryer 1st Floor</v>
      </c>
      <c r="J99" s="136" t="s">
        <v>191</v>
      </c>
      <c r="K99" s="136"/>
      <c r="L99" s="136" t="s">
        <v>411</v>
      </c>
      <c r="M99" s="136" t="e">
        <f>VLOOKUP(tbl_IO_List[[#This Row],[Instruement Tag]],tbl_Instruement_List[],2,FALSE)</f>
        <v>#N/A</v>
      </c>
      <c r="N99" s="136"/>
      <c r="O99" s="136"/>
      <c r="P99" s="136"/>
      <c r="Q99" s="136" t="e">
        <f>VLOOKUP(tbl_IO_List[[#This Row],[Instruement Tag]],tbl_Instruement_List[],6,FALSE)</f>
        <v>#N/A</v>
      </c>
      <c r="R99" s="136"/>
      <c r="S9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9" s="136" t="str">
        <f>tbl_IO_List[[#This Row],[Instruement Tag]]&amp;"_"&amp;tbl_IO_List[[#This Row],[I/O Type]]&amp;"_"&amp;tbl_IO_List[[#This Row],[IO-Point 
(Instruement)]]</f>
        <v>Spare_DI_0</v>
      </c>
      <c r="U99" s="136" t="s">
        <v>8</v>
      </c>
      <c r="V99" s="136">
        <f>VLOOKUP(tbl_IO_List[[#This Row],[I/O Type]],tbl_Slot_Group[],2,FALSE)</f>
        <v>1</v>
      </c>
      <c r="W99" s="136">
        <v>0</v>
      </c>
      <c r="X99" s="136" t="str">
        <f>tbl_IO_List[[#This Row],[Chassis]]&amp;"S"&amp;TEXT(tbl_IO_List[[#This Row],[Slot]],"00")</f>
        <v>C1S06</v>
      </c>
      <c r="Y99" s="136" t="str">
        <f>tbl_IO_List[[#This Row],[Chassis]]&amp;"S"&amp;TEXT(tbl_IO_List[[#This Row],[Slot]],"00")&amp;tbl_IO_List[[#This Row],[I/O Type]]&amp;TEXT(tbl_IO_List[[#This Row],[Point]],"00")</f>
        <v>C1S06DI29</v>
      </c>
      <c r="Z99" s="136" t="str">
        <f>tbl_IO_List[[#This Row],[Chassis]]&amp;"S"&amp;TEXT(tbl_IO_List[[#This Row],[Slot]],"00")&amp;","&amp;TEXT(tbl_IO_List[[#This Row],[Point]],"00")</f>
        <v>C1S06,29</v>
      </c>
      <c r="AA99" s="136" t="str">
        <f>VLOOKUP(tbl_IO_List[[#This Row],[Column23]],tbl_RackConfig[],5,FALSE) &amp;"-"&amp;tbl_IO_List[[#This Row],[Point]]</f>
        <v>1756-IB32-29</v>
      </c>
      <c r="AB99" s="136"/>
      <c r="AC99" s="136" t="s">
        <v>1370</v>
      </c>
      <c r="AD99" s="136" t="str">
        <f>tbl_IO_List[[#This Row],[I/O Type]]</f>
        <v>DI</v>
      </c>
      <c r="AE99" s="136" t="s">
        <v>1332</v>
      </c>
      <c r="AF99" s="136">
        <v>6</v>
      </c>
      <c r="AG99" s="136">
        <v>29</v>
      </c>
      <c r="AH99" s="136">
        <v>30</v>
      </c>
      <c r="AI99" s="136">
        <v>32</v>
      </c>
      <c r="AJ99" s="136">
        <v>1</v>
      </c>
      <c r="AK99" s="136">
        <v>0</v>
      </c>
      <c r="AL99" s="136">
        <v>0</v>
      </c>
      <c r="AM99" s="136">
        <v>0</v>
      </c>
      <c r="AN99" s="136">
        <v>0</v>
      </c>
      <c r="AO99" s="136"/>
      <c r="AP99" s="143" t="e">
        <f>VLOOKUP(tbl_IO_List[[#This Row],[Instruement Tag]],tbl_Instruement_List[],14,FALSE)</f>
        <v>#N/A</v>
      </c>
      <c r="AQ99" s="143" t="str">
        <f>tbl_IO_List[[#This Row],[Chassis]]&amp;"S"&amp;tbl_IO_List[[#This Row],[Slot]]&amp;"-"&amp;tbl_IO_List[[#This Row],[Front Terminal Number]]</f>
        <v>C1S6-32</v>
      </c>
      <c r="AR99" s="141" t="s">
        <v>1851</v>
      </c>
      <c r="AS99" s="136" t="str">
        <f>tbl_IO_List[[#This Row],[Terminal Tagging]]&amp;"-"&amp;tbl_IO_List[[#This Row],[Point-Count]]</f>
        <v>P1-TBDI3-30</v>
      </c>
      <c r="AT99" s="136" t="str">
        <f>tbl_IO_List[[#This Row],[Front Terminal Tagging]]&amp;"/"&amp;tbl_IO_List[[#This Row],[Terminal Tagging-Item]]</f>
        <v>C1S6-32/P1-TBDI3-30</v>
      </c>
      <c r="AU99" s="136" t="str">
        <f>tbl_IO_List[[#This Row],[Terminal Tagging-Item]]&amp;"/"&amp;tbl_IO_List[[#This Row],[Front Terminal Tagging]]</f>
        <v>P1-TBDI3-30/C1S6-32</v>
      </c>
    </row>
    <row r="100" spans="1:47" hidden="1">
      <c r="A100" s="147" t="s">
        <v>1369</v>
      </c>
      <c r="B100" s="136" t="s">
        <v>191</v>
      </c>
      <c r="C100" s="136" t="str">
        <f>tbl_IO_List[[#This Row],[Column3]]</f>
        <v>C1S06,30</v>
      </c>
      <c r="D100" s="136" t="str">
        <f>tbl_IO_List[[#This Row],[Card]]</f>
        <v>1756-IB32-30</v>
      </c>
      <c r="E100" s="136" t="s">
        <v>1372</v>
      </c>
      <c r="F100" s="136" t="str">
        <f>tbl_IO_List[[#This Row],[Column23]]&amp;"-" &amp;tbl_IO_List[[#This Row],[Column52]]</f>
        <v>C1S06-X2</v>
      </c>
      <c r="G100" s="136" t="str">
        <f>tbl_IO_List[[#This Row],[PLC_Tag]]</f>
        <v>Spare_DI_0</v>
      </c>
      <c r="H100" s="136"/>
      <c r="I100" s="136" t="str">
        <f>VLOOKUP(tbl_IO_List[[#This Row],[Destination]],tbl_Junction[],2,FALSE)</f>
        <v>Spray Dryer 1st Floor</v>
      </c>
      <c r="J100" s="136" t="s">
        <v>191</v>
      </c>
      <c r="K100" s="136"/>
      <c r="L100" s="136" t="s">
        <v>411</v>
      </c>
      <c r="M100" s="136" t="e">
        <f>VLOOKUP(tbl_IO_List[[#This Row],[Instruement Tag]],tbl_Instruement_List[],2,FALSE)</f>
        <v>#N/A</v>
      </c>
      <c r="N100" s="136"/>
      <c r="O100" s="136"/>
      <c r="P100" s="136"/>
      <c r="Q100" s="136" t="e">
        <f>VLOOKUP(tbl_IO_List[[#This Row],[Instruement Tag]],tbl_Instruement_List[],6,FALSE)</f>
        <v>#N/A</v>
      </c>
      <c r="R100" s="136"/>
      <c r="S10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00" s="136" t="str">
        <f>tbl_IO_List[[#This Row],[Instruement Tag]]&amp;"_"&amp;tbl_IO_List[[#This Row],[I/O Type]]&amp;"_"&amp;tbl_IO_List[[#This Row],[IO-Point 
(Instruement)]]</f>
        <v>Spare_DI_0</v>
      </c>
      <c r="U100" s="136" t="s">
        <v>8</v>
      </c>
      <c r="V100" s="136">
        <f>VLOOKUP(tbl_IO_List[[#This Row],[I/O Type]],tbl_Slot_Group[],2,FALSE)</f>
        <v>1</v>
      </c>
      <c r="W100" s="136">
        <v>0</v>
      </c>
      <c r="X100" s="136" t="str">
        <f>tbl_IO_List[[#This Row],[Chassis]]&amp;"S"&amp;TEXT(tbl_IO_List[[#This Row],[Slot]],"00")</f>
        <v>C1S06</v>
      </c>
      <c r="Y100" s="136" t="str">
        <f>tbl_IO_List[[#This Row],[Chassis]]&amp;"S"&amp;TEXT(tbl_IO_List[[#This Row],[Slot]],"00")&amp;tbl_IO_List[[#This Row],[I/O Type]]&amp;TEXT(tbl_IO_List[[#This Row],[Point]],"00")</f>
        <v>C1S06DI30</v>
      </c>
      <c r="Z100" s="136" t="str">
        <f>tbl_IO_List[[#This Row],[Chassis]]&amp;"S"&amp;TEXT(tbl_IO_List[[#This Row],[Slot]],"00")&amp;","&amp;TEXT(tbl_IO_List[[#This Row],[Point]],"00")</f>
        <v>C1S06,30</v>
      </c>
      <c r="AA100" s="136" t="str">
        <f>VLOOKUP(tbl_IO_List[[#This Row],[Column23]],tbl_RackConfig[],5,FALSE) &amp;"-"&amp;tbl_IO_List[[#This Row],[Point]]</f>
        <v>1756-IB32-30</v>
      </c>
      <c r="AB100" s="136"/>
      <c r="AC100" s="136" t="s">
        <v>1370</v>
      </c>
      <c r="AD100" s="136" t="str">
        <f>tbl_IO_List[[#This Row],[I/O Type]]</f>
        <v>DI</v>
      </c>
      <c r="AE100" s="136" t="s">
        <v>1332</v>
      </c>
      <c r="AF100" s="136">
        <v>6</v>
      </c>
      <c r="AG100" s="136">
        <v>30</v>
      </c>
      <c r="AH100" s="136">
        <v>31</v>
      </c>
      <c r="AI100" s="136">
        <v>33</v>
      </c>
      <c r="AJ100" s="136">
        <v>1</v>
      </c>
      <c r="AK100" s="136">
        <v>0</v>
      </c>
      <c r="AL100" s="136">
        <v>0</v>
      </c>
      <c r="AM100" s="136">
        <v>0</v>
      </c>
      <c r="AN100" s="136">
        <v>0</v>
      </c>
      <c r="AO100" s="136"/>
      <c r="AP100" s="143" t="e">
        <f>VLOOKUP(tbl_IO_List[[#This Row],[Instruement Tag]],tbl_Instruement_List[],14,FALSE)</f>
        <v>#N/A</v>
      </c>
      <c r="AQ100" s="143" t="str">
        <f>tbl_IO_List[[#This Row],[Chassis]]&amp;"S"&amp;tbl_IO_List[[#This Row],[Slot]]&amp;"-"&amp;tbl_IO_List[[#This Row],[Front Terminal Number]]</f>
        <v>C1S6-33</v>
      </c>
      <c r="AR100" s="141" t="s">
        <v>1851</v>
      </c>
      <c r="AS100" s="136" t="str">
        <f>tbl_IO_List[[#This Row],[Terminal Tagging]]&amp;"-"&amp;tbl_IO_List[[#This Row],[Point-Count]]</f>
        <v>P1-TBDI3-31</v>
      </c>
      <c r="AT100" s="136" t="str">
        <f>tbl_IO_List[[#This Row],[Front Terminal Tagging]]&amp;"/"&amp;tbl_IO_List[[#This Row],[Terminal Tagging-Item]]</f>
        <v>C1S6-33/P1-TBDI3-31</v>
      </c>
      <c r="AU100" s="136" t="str">
        <f>tbl_IO_List[[#This Row],[Terminal Tagging-Item]]&amp;"/"&amp;tbl_IO_List[[#This Row],[Front Terminal Tagging]]</f>
        <v>P1-TBDI3-31/C1S6-33</v>
      </c>
    </row>
    <row r="101" spans="1:47" hidden="1">
      <c r="A101" s="147" t="s">
        <v>1369</v>
      </c>
      <c r="B101" s="136" t="s">
        <v>191</v>
      </c>
      <c r="C101" s="136" t="str">
        <f>tbl_IO_List[[#This Row],[Column3]]</f>
        <v>C1S06,31</v>
      </c>
      <c r="D101" s="136" t="str">
        <f>tbl_IO_List[[#This Row],[Card]]</f>
        <v>1756-IB32-31</v>
      </c>
      <c r="E101" s="136" t="s">
        <v>1372</v>
      </c>
      <c r="F101" s="136" t="str">
        <f>tbl_IO_List[[#This Row],[Column23]]&amp;"-" &amp;tbl_IO_List[[#This Row],[Column52]]</f>
        <v>C1S06-X2</v>
      </c>
      <c r="G101" s="136" t="str">
        <f>tbl_IO_List[[#This Row],[PLC_Tag]]</f>
        <v>Spare_DI_0</v>
      </c>
      <c r="H101" s="136"/>
      <c r="I101" s="136" t="str">
        <f>VLOOKUP(tbl_IO_List[[#This Row],[Destination]],tbl_Junction[],2,FALSE)</f>
        <v>Spray Dryer 1st Floor</v>
      </c>
      <c r="J101" s="136" t="s">
        <v>191</v>
      </c>
      <c r="K101" s="136"/>
      <c r="L101" s="136" t="s">
        <v>411</v>
      </c>
      <c r="M101" s="136" t="e">
        <f>VLOOKUP(tbl_IO_List[[#This Row],[Instruement Tag]],tbl_Instruement_List[],2,FALSE)</f>
        <v>#N/A</v>
      </c>
      <c r="N101" s="136"/>
      <c r="O101" s="136"/>
      <c r="P101" s="136"/>
      <c r="Q101" s="136" t="e">
        <f>VLOOKUP(tbl_IO_List[[#This Row],[Instruement Tag]],tbl_Instruement_List[],6,FALSE)</f>
        <v>#N/A</v>
      </c>
      <c r="R101" s="136"/>
      <c r="S10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01" s="136" t="str">
        <f>tbl_IO_List[[#This Row],[Instruement Tag]]&amp;"_"&amp;tbl_IO_List[[#This Row],[I/O Type]]&amp;"_"&amp;tbl_IO_List[[#This Row],[IO-Point 
(Instruement)]]</f>
        <v>Spare_DI_0</v>
      </c>
      <c r="U101" s="136" t="s">
        <v>8</v>
      </c>
      <c r="V101" s="136">
        <f>VLOOKUP(tbl_IO_List[[#This Row],[I/O Type]],tbl_Slot_Group[],2,FALSE)</f>
        <v>1</v>
      </c>
      <c r="W101" s="136">
        <v>0</v>
      </c>
      <c r="X101" s="136" t="str">
        <f>tbl_IO_List[[#This Row],[Chassis]]&amp;"S"&amp;TEXT(tbl_IO_List[[#This Row],[Slot]],"00")</f>
        <v>C1S06</v>
      </c>
      <c r="Y101" s="136" t="str">
        <f>tbl_IO_List[[#This Row],[Chassis]]&amp;"S"&amp;TEXT(tbl_IO_List[[#This Row],[Slot]],"00")&amp;tbl_IO_List[[#This Row],[I/O Type]]&amp;TEXT(tbl_IO_List[[#This Row],[Point]],"00")</f>
        <v>C1S06DI31</v>
      </c>
      <c r="Z101" s="136" t="str">
        <f>tbl_IO_List[[#This Row],[Chassis]]&amp;"S"&amp;TEXT(tbl_IO_List[[#This Row],[Slot]],"00")&amp;","&amp;TEXT(tbl_IO_List[[#This Row],[Point]],"00")</f>
        <v>C1S06,31</v>
      </c>
      <c r="AA101" s="136" t="str">
        <f>VLOOKUP(tbl_IO_List[[#This Row],[Column23]],tbl_RackConfig[],5,FALSE) &amp;"-"&amp;tbl_IO_List[[#This Row],[Point]]</f>
        <v>1756-IB32-31</v>
      </c>
      <c r="AB101" s="136"/>
      <c r="AC101" s="136" t="s">
        <v>1370</v>
      </c>
      <c r="AD101" s="136" t="str">
        <f>tbl_IO_List[[#This Row],[I/O Type]]</f>
        <v>DI</v>
      </c>
      <c r="AE101" s="136" t="s">
        <v>1332</v>
      </c>
      <c r="AF101" s="136">
        <v>6</v>
      </c>
      <c r="AG101" s="136">
        <v>31</v>
      </c>
      <c r="AH101" s="136">
        <v>32</v>
      </c>
      <c r="AI101" s="136">
        <v>34</v>
      </c>
      <c r="AJ101" s="136">
        <v>1</v>
      </c>
      <c r="AK101" s="136">
        <v>0</v>
      </c>
      <c r="AL101" s="136">
        <v>0</v>
      </c>
      <c r="AM101" s="136">
        <v>0</v>
      </c>
      <c r="AN101" s="136">
        <v>0</v>
      </c>
      <c r="AO101" s="136"/>
      <c r="AP101" s="143" t="e">
        <f>VLOOKUP(tbl_IO_List[[#This Row],[Instruement Tag]],tbl_Instruement_List[],14,FALSE)</f>
        <v>#N/A</v>
      </c>
      <c r="AQ101" s="143" t="str">
        <f>tbl_IO_List[[#This Row],[Chassis]]&amp;"S"&amp;tbl_IO_List[[#This Row],[Slot]]&amp;"-"&amp;tbl_IO_List[[#This Row],[Front Terminal Number]]</f>
        <v>C1S6-34</v>
      </c>
      <c r="AR101" s="141" t="s">
        <v>1851</v>
      </c>
      <c r="AS101" s="136" t="str">
        <f>tbl_IO_List[[#This Row],[Terminal Tagging]]&amp;"-"&amp;tbl_IO_List[[#This Row],[Point-Count]]</f>
        <v>P1-TBDI3-32</v>
      </c>
      <c r="AT101" s="136" t="str">
        <f>tbl_IO_List[[#This Row],[Front Terminal Tagging]]&amp;"/"&amp;tbl_IO_List[[#This Row],[Terminal Tagging-Item]]</f>
        <v>C1S6-34/P1-TBDI3-32</v>
      </c>
      <c r="AU101" s="136" t="str">
        <f>tbl_IO_List[[#This Row],[Terminal Tagging-Item]]&amp;"/"&amp;tbl_IO_List[[#This Row],[Front Terminal Tagging]]</f>
        <v>P1-TBDI3-32/C1S6-34</v>
      </c>
    </row>
    <row r="102" spans="1:47" hidden="1">
      <c r="A102" s="147" t="s">
        <v>1369</v>
      </c>
      <c r="B102" s="136" t="s">
        <v>191</v>
      </c>
      <c r="C102" s="136" t="str">
        <f>tbl_IO_List[[#This Row],[Column3]]</f>
        <v>C1S07,00</v>
      </c>
      <c r="D102" s="136" t="str">
        <f>tbl_IO_List[[#This Row],[Card]]</f>
        <v>1756-IB32-0</v>
      </c>
      <c r="E102" s="136" t="s">
        <v>1366</v>
      </c>
      <c r="F102" s="136" t="str">
        <f>tbl_IO_List[[#This Row],[Column23]]&amp;"-" &amp;tbl_IO_List[[#This Row],[Column52]]</f>
        <v>C1S07-X1</v>
      </c>
      <c r="G102" s="136" t="str">
        <f>tbl_IO_List[[#This Row],[PLC_Tag]]</f>
        <v>XA-60202A_DI_1</v>
      </c>
      <c r="H102" s="136"/>
      <c r="I102" s="136" t="str">
        <f>VLOOKUP(tbl_IO_List[[#This Row],[Destination]],tbl_Junction[],2,FALSE)</f>
        <v>Spray Dryer 1st Floor</v>
      </c>
      <c r="J102" s="136" t="s">
        <v>191</v>
      </c>
      <c r="K102" s="136" t="s">
        <v>14</v>
      </c>
      <c r="L102" s="136" t="s">
        <v>979</v>
      </c>
      <c r="M102" s="136">
        <f>VLOOKUP(tbl_IO_List[[#This Row],[Instruement Tag]],tbl_Instruement_List[],2,FALSE)</f>
        <v>0</v>
      </c>
      <c r="N102" s="136" t="s">
        <v>15</v>
      </c>
      <c r="O102" s="136" t="s">
        <v>192</v>
      </c>
      <c r="P102" s="136" t="s">
        <v>18</v>
      </c>
      <c r="Q102" s="136" t="str">
        <f>VLOOKUP(tbl_IO_List[[#This Row],[Instruement Tag]],tbl_Instruement_List[],6,FALSE)</f>
        <v xml:space="preserve"> General Alarm Emergency Stop Actuation for XSUP-5601 (Supression Panel)</v>
      </c>
      <c r="R102" s="136"/>
      <c r="S10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02" s="136" t="str">
        <f>tbl_IO_List[[#This Row],[Instruement Tag]]&amp;"_"&amp;tbl_IO_List[[#This Row],[I/O Type]]&amp;"_"&amp;tbl_IO_List[[#This Row],[IO-Point 
(Instruement)]]</f>
        <v>XA-60202A_DI_1</v>
      </c>
      <c r="U102" s="136" t="s">
        <v>8</v>
      </c>
      <c r="V102" s="136">
        <f>VLOOKUP(tbl_IO_List[[#This Row],[I/O Type]],tbl_Slot_Group[],2,FALSE)</f>
        <v>1</v>
      </c>
      <c r="W102" s="136">
        <v>1</v>
      </c>
      <c r="X102" s="136" t="str">
        <f>tbl_IO_List[[#This Row],[Chassis]]&amp;"S"&amp;TEXT(tbl_IO_List[[#This Row],[Slot]],"00")</f>
        <v>C1S07</v>
      </c>
      <c r="Y102" s="136" t="str">
        <f>tbl_IO_List[[#This Row],[Chassis]]&amp;"S"&amp;TEXT(tbl_IO_List[[#This Row],[Slot]],"00")&amp;tbl_IO_List[[#This Row],[I/O Type]]&amp;TEXT(tbl_IO_List[[#This Row],[Point]],"00")</f>
        <v>C1S07DI00</v>
      </c>
      <c r="Z102" s="136" t="str">
        <f>tbl_IO_List[[#This Row],[Chassis]]&amp;"S"&amp;TEXT(tbl_IO_List[[#This Row],[Slot]],"00")&amp;","&amp;TEXT(tbl_IO_List[[#This Row],[Point]],"00")</f>
        <v>C1S07,00</v>
      </c>
      <c r="AA102" s="136" t="str">
        <f>VLOOKUP(tbl_IO_List[[#This Row],[Column23]],tbl_RackConfig[],5,FALSE) &amp;"-"&amp;tbl_IO_List[[#This Row],[Point]]</f>
        <v>1756-IB32-0</v>
      </c>
      <c r="AB102" s="136"/>
      <c r="AC102" s="136" t="s">
        <v>1370</v>
      </c>
      <c r="AD102" s="136" t="str">
        <f>tbl_IO_List[[#This Row],[I/O Type]]</f>
        <v>DI</v>
      </c>
      <c r="AE102" s="136" t="s">
        <v>1332</v>
      </c>
      <c r="AF102" s="136">
        <v>7</v>
      </c>
      <c r="AG102" s="136">
        <v>0</v>
      </c>
      <c r="AH102" s="136">
        <v>1</v>
      </c>
      <c r="AI102" s="136">
        <v>1</v>
      </c>
      <c r="AJ102" s="136">
        <v>1</v>
      </c>
      <c r="AK102" s="136">
        <v>0</v>
      </c>
      <c r="AL102" s="136">
        <v>0</v>
      </c>
      <c r="AM102" s="136">
        <v>0</v>
      </c>
      <c r="AN102" s="136">
        <v>0</v>
      </c>
      <c r="AO102" s="136"/>
      <c r="AP102" s="143" t="str">
        <f>VLOOKUP(tbl_IO_List[[#This Row],[Instruement Tag]],tbl_Instruement_List[],14,FALSE)</f>
        <v>Dry Contact</v>
      </c>
      <c r="AQ102" s="143" t="str">
        <f>tbl_IO_List[[#This Row],[Chassis]]&amp;"S"&amp;tbl_IO_List[[#This Row],[Slot]]&amp;"-"&amp;tbl_IO_List[[#This Row],[Front Terminal Number]]</f>
        <v>C1S7-1</v>
      </c>
      <c r="AR102" s="141" t="s">
        <v>1852</v>
      </c>
      <c r="AS102" s="136" t="str">
        <f>tbl_IO_List[[#This Row],[Terminal Tagging]]&amp;"-"&amp;tbl_IO_List[[#This Row],[Point-Count]]</f>
        <v>P1-TBDI4-1</v>
      </c>
      <c r="AT102" s="136" t="str">
        <f>tbl_IO_List[[#This Row],[Front Terminal Tagging]]&amp;"/"&amp;tbl_IO_List[[#This Row],[Terminal Tagging-Item]]</f>
        <v>C1S7-1/P1-TBDI4-1</v>
      </c>
      <c r="AU102" s="136" t="str">
        <f>tbl_IO_List[[#This Row],[Terminal Tagging-Item]]&amp;"/"&amp;tbl_IO_List[[#This Row],[Front Terminal Tagging]]</f>
        <v>P1-TBDI4-1/C1S7-1</v>
      </c>
    </row>
    <row r="103" spans="1:47" hidden="1">
      <c r="A103" s="147" t="s">
        <v>1369</v>
      </c>
      <c r="B103" s="136" t="s">
        <v>191</v>
      </c>
      <c r="C103" s="136" t="str">
        <f>tbl_IO_List[[#This Row],[Column3]]</f>
        <v>C1S07,01</v>
      </c>
      <c r="D103" s="136" t="str">
        <f>tbl_IO_List[[#This Row],[Card]]</f>
        <v>1756-IB32-1</v>
      </c>
      <c r="E103" s="136" t="s">
        <v>1366</v>
      </c>
      <c r="F103" s="136" t="str">
        <f>tbl_IO_List[[#This Row],[Column23]]&amp;"-" &amp;tbl_IO_List[[#This Row],[Column52]]</f>
        <v>C1S07-X1</v>
      </c>
      <c r="G103" s="136" t="str">
        <f>tbl_IO_List[[#This Row],[PLC_Tag]]</f>
        <v>XA-60202B_DI_1</v>
      </c>
      <c r="H103" s="136"/>
      <c r="I103" s="136" t="str">
        <f>VLOOKUP(tbl_IO_List[[#This Row],[Destination]],tbl_Junction[],2,FALSE)</f>
        <v>Spray Dryer 1st Floor</v>
      </c>
      <c r="J103" s="136" t="s">
        <v>191</v>
      </c>
      <c r="K103" s="136" t="s">
        <v>14</v>
      </c>
      <c r="L103" s="136" t="s">
        <v>982</v>
      </c>
      <c r="M103" s="136">
        <f>VLOOKUP(tbl_IO_List[[#This Row],[Instruement Tag]],tbl_Instruement_List[],2,FALSE)</f>
        <v>0</v>
      </c>
      <c r="N103" s="136" t="s">
        <v>15</v>
      </c>
      <c r="O103" s="136" t="s">
        <v>192</v>
      </c>
      <c r="P103" s="136" t="s">
        <v>18</v>
      </c>
      <c r="Q103" s="136" t="str">
        <f>VLOOKUP(tbl_IO_List[[#This Row],[Instruement Tag]],tbl_Instruement_List[],6,FALSE)</f>
        <v xml:space="preserve"> General Fault Controlled Stop for XSUP-5601 (Supression Panel)</v>
      </c>
      <c r="R103" s="136"/>
      <c r="S10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03" s="136" t="str">
        <f>tbl_IO_List[[#This Row],[Instruement Tag]]&amp;"_"&amp;tbl_IO_List[[#This Row],[I/O Type]]&amp;"_"&amp;tbl_IO_List[[#This Row],[IO-Point 
(Instruement)]]</f>
        <v>XA-60202B_DI_1</v>
      </c>
      <c r="U103" s="136" t="s">
        <v>8</v>
      </c>
      <c r="V103" s="136">
        <f>VLOOKUP(tbl_IO_List[[#This Row],[I/O Type]],tbl_Slot_Group[],2,FALSE)</f>
        <v>1</v>
      </c>
      <c r="W103" s="136">
        <v>1</v>
      </c>
      <c r="X103" s="136" t="str">
        <f>tbl_IO_List[[#This Row],[Chassis]]&amp;"S"&amp;TEXT(tbl_IO_List[[#This Row],[Slot]],"00")</f>
        <v>C1S07</v>
      </c>
      <c r="Y103" s="136" t="str">
        <f>tbl_IO_List[[#This Row],[Chassis]]&amp;"S"&amp;TEXT(tbl_IO_List[[#This Row],[Slot]],"00")&amp;tbl_IO_List[[#This Row],[I/O Type]]&amp;TEXT(tbl_IO_List[[#This Row],[Point]],"00")</f>
        <v>C1S07DI01</v>
      </c>
      <c r="Z103" s="136" t="str">
        <f>tbl_IO_List[[#This Row],[Chassis]]&amp;"S"&amp;TEXT(tbl_IO_List[[#This Row],[Slot]],"00")&amp;","&amp;TEXT(tbl_IO_List[[#This Row],[Point]],"00")</f>
        <v>C1S07,01</v>
      </c>
      <c r="AA103" s="136" t="str">
        <f>VLOOKUP(tbl_IO_List[[#This Row],[Column23]],tbl_RackConfig[],5,FALSE) &amp;"-"&amp;tbl_IO_List[[#This Row],[Point]]</f>
        <v>1756-IB32-1</v>
      </c>
      <c r="AB103" s="136"/>
      <c r="AC103" s="136" t="s">
        <v>1370</v>
      </c>
      <c r="AD103" s="136" t="str">
        <f>tbl_IO_List[[#This Row],[I/O Type]]</f>
        <v>DI</v>
      </c>
      <c r="AE103" s="136" t="s">
        <v>1332</v>
      </c>
      <c r="AF103" s="136">
        <v>7</v>
      </c>
      <c r="AG103" s="136">
        <v>1</v>
      </c>
      <c r="AH103" s="136">
        <v>2</v>
      </c>
      <c r="AI103" s="136">
        <v>2</v>
      </c>
      <c r="AJ103" s="136">
        <v>1</v>
      </c>
      <c r="AK103" s="136">
        <v>0</v>
      </c>
      <c r="AL103" s="136">
        <v>0</v>
      </c>
      <c r="AM103" s="136">
        <v>0</v>
      </c>
      <c r="AN103" s="136">
        <v>0</v>
      </c>
      <c r="AO103" s="136"/>
      <c r="AP103" s="143" t="str">
        <f>VLOOKUP(tbl_IO_List[[#This Row],[Instruement Tag]],tbl_Instruement_List[],14,FALSE)</f>
        <v>Dry Contact</v>
      </c>
      <c r="AQ103" s="143" t="str">
        <f>tbl_IO_List[[#This Row],[Chassis]]&amp;"S"&amp;tbl_IO_List[[#This Row],[Slot]]&amp;"-"&amp;tbl_IO_List[[#This Row],[Front Terminal Number]]</f>
        <v>C1S7-2</v>
      </c>
      <c r="AR103" s="141" t="s">
        <v>1852</v>
      </c>
      <c r="AS103" s="136" t="str">
        <f>tbl_IO_List[[#This Row],[Terminal Tagging]]&amp;"-"&amp;tbl_IO_List[[#This Row],[Point-Count]]</f>
        <v>P1-TBDI4-2</v>
      </c>
      <c r="AT103" s="136" t="str">
        <f>tbl_IO_List[[#This Row],[Front Terminal Tagging]]&amp;"/"&amp;tbl_IO_List[[#This Row],[Terminal Tagging-Item]]</f>
        <v>C1S7-2/P1-TBDI4-2</v>
      </c>
      <c r="AU103" s="136" t="str">
        <f>tbl_IO_List[[#This Row],[Terminal Tagging-Item]]&amp;"/"&amp;tbl_IO_List[[#This Row],[Front Terminal Tagging]]</f>
        <v>P1-TBDI4-2/C1S7-2</v>
      </c>
    </row>
    <row r="104" spans="1:47" hidden="1">
      <c r="A104" s="147" t="s">
        <v>1369</v>
      </c>
      <c r="B104" s="136" t="s">
        <v>191</v>
      </c>
      <c r="C104" s="136" t="str">
        <f>tbl_IO_List[[#This Row],[Column3]]</f>
        <v>C1S07,02</v>
      </c>
      <c r="D104" s="136" t="str">
        <f>tbl_IO_List[[#This Row],[Card]]</f>
        <v>1756-IB32-2</v>
      </c>
      <c r="E104" s="136" t="s">
        <v>1366</v>
      </c>
      <c r="F104" s="136" t="str">
        <f>tbl_IO_List[[#This Row],[Column23]]&amp;"-" &amp;tbl_IO_List[[#This Row],[Column52]]</f>
        <v>C1S07-X1</v>
      </c>
      <c r="G104" s="136" t="str">
        <f>tbl_IO_List[[#This Row],[PLC_Tag]]</f>
        <v>XA-60202C_DI_1</v>
      </c>
      <c r="H104" s="136"/>
      <c r="I104" s="136" t="str">
        <f>VLOOKUP(tbl_IO_List[[#This Row],[Destination]],tbl_Junction[],2,FALSE)</f>
        <v>Spray Dryer 1st Floor</v>
      </c>
      <c r="J104" s="136" t="s">
        <v>191</v>
      </c>
      <c r="K104" s="136" t="s">
        <v>14</v>
      </c>
      <c r="L104" s="136" t="s">
        <v>985</v>
      </c>
      <c r="M104" s="136">
        <f>VLOOKUP(tbl_IO_List[[#This Row],[Instruement Tag]],tbl_Instruement_List[],2,FALSE)</f>
        <v>0</v>
      </c>
      <c r="N104" s="136" t="s">
        <v>15</v>
      </c>
      <c r="O104" s="136" t="s">
        <v>192</v>
      </c>
      <c r="P104" s="136" t="s">
        <v>18</v>
      </c>
      <c r="Q104" s="136" t="str">
        <f>VLOOKUP(tbl_IO_List[[#This Row],[Instruement Tag]],tbl_Instruement_List[],6,FALSE)</f>
        <v xml:space="preserve"> General Armed Status Indicator for XSUP-5601 (Supression Panel)</v>
      </c>
      <c r="R104" s="136"/>
      <c r="S10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04" s="136" t="str">
        <f>tbl_IO_List[[#This Row],[Instruement Tag]]&amp;"_"&amp;tbl_IO_List[[#This Row],[I/O Type]]&amp;"_"&amp;tbl_IO_List[[#This Row],[IO-Point 
(Instruement)]]</f>
        <v>XA-60202C_DI_1</v>
      </c>
      <c r="U104" s="136" t="s">
        <v>8</v>
      </c>
      <c r="V104" s="136">
        <f>VLOOKUP(tbl_IO_List[[#This Row],[I/O Type]],tbl_Slot_Group[],2,FALSE)</f>
        <v>1</v>
      </c>
      <c r="W104" s="136">
        <v>1</v>
      </c>
      <c r="X104" s="136" t="str">
        <f>tbl_IO_List[[#This Row],[Chassis]]&amp;"S"&amp;TEXT(tbl_IO_List[[#This Row],[Slot]],"00")</f>
        <v>C1S07</v>
      </c>
      <c r="Y104" s="136" t="str">
        <f>tbl_IO_List[[#This Row],[Chassis]]&amp;"S"&amp;TEXT(tbl_IO_List[[#This Row],[Slot]],"00")&amp;tbl_IO_List[[#This Row],[I/O Type]]&amp;TEXT(tbl_IO_List[[#This Row],[Point]],"00")</f>
        <v>C1S07DI02</v>
      </c>
      <c r="Z104" s="136" t="str">
        <f>tbl_IO_List[[#This Row],[Chassis]]&amp;"S"&amp;TEXT(tbl_IO_List[[#This Row],[Slot]],"00")&amp;","&amp;TEXT(tbl_IO_List[[#This Row],[Point]],"00")</f>
        <v>C1S07,02</v>
      </c>
      <c r="AA104" s="136" t="str">
        <f>VLOOKUP(tbl_IO_List[[#This Row],[Column23]],tbl_RackConfig[],5,FALSE) &amp;"-"&amp;tbl_IO_List[[#This Row],[Point]]</f>
        <v>1756-IB32-2</v>
      </c>
      <c r="AB104" s="136"/>
      <c r="AC104" s="136" t="s">
        <v>1370</v>
      </c>
      <c r="AD104" s="136" t="str">
        <f>tbl_IO_List[[#This Row],[I/O Type]]</f>
        <v>DI</v>
      </c>
      <c r="AE104" s="136" t="s">
        <v>1332</v>
      </c>
      <c r="AF104" s="136">
        <v>7</v>
      </c>
      <c r="AG104" s="136">
        <v>2</v>
      </c>
      <c r="AH104" s="136">
        <v>3</v>
      </c>
      <c r="AI104" s="136">
        <v>3</v>
      </c>
      <c r="AJ104" s="136">
        <v>1</v>
      </c>
      <c r="AK104" s="136">
        <v>0</v>
      </c>
      <c r="AL104" s="136">
        <v>0</v>
      </c>
      <c r="AM104" s="136">
        <v>0</v>
      </c>
      <c r="AN104" s="136">
        <v>0</v>
      </c>
      <c r="AO104" s="136"/>
      <c r="AP104" s="143" t="str">
        <f>VLOOKUP(tbl_IO_List[[#This Row],[Instruement Tag]],tbl_Instruement_List[],14,FALSE)</f>
        <v>Dry Contact</v>
      </c>
      <c r="AQ104" s="143" t="str">
        <f>tbl_IO_List[[#This Row],[Chassis]]&amp;"S"&amp;tbl_IO_List[[#This Row],[Slot]]&amp;"-"&amp;tbl_IO_List[[#This Row],[Front Terminal Number]]</f>
        <v>C1S7-3</v>
      </c>
      <c r="AR104" s="141" t="s">
        <v>1852</v>
      </c>
      <c r="AS104" s="136" t="str">
        <f>tbl_IO_List[[#This Row],[Terminal Tagging]]&amp;"-"&amp;tbl_IO_List[[#This Row],[Point-Count]]</f>
        <v>P1-TBDI4-3</v>
      </c>
      <c r="AT104" s="136" t="str">
        <f>tbl_IO_List[[#This Row],[Front Terminal Tagging]]&amp;"/"&amp;tbl_IO_List[[#This Row],[Terminal Tagging-Item]]</f>
        <v>C1S7-3/P1-TBDI4-3</v>
      </c>
      <c r="AU104" s="136" t="str">
        <f>tbl_IO_List[[#This Row],[Terminal Tagging-Item]]&amp;"/"&amp;tbl_IO_List[[#This Row],[Front Terminal Tagging]]</f>
        <v>P1-TBDI4-3/C1S7-3</v>
      </c>
    </row>
    <row r="105" spans="1:47" hidden="1">
      <c r="A105" s="147" t="s">
        <v>1369</v>
      </c>
      <c r="B105" s="136" t="s">
        <v>191</v>
      </c>
      <c r="C105" s="136" t="str">
        <f>tbl_IO_List[[#This Row],[Column3]]</f>
        <v>C1S07,03</v>
      </c>
      <c r="D105" s="136" t="str">
        <f>tbl_IO_List[[#This Row],[Card]]</f>
        <v>1756-IB32-3</v>
      </c>
      <c r="E105" s="136" t="s">
        <v>1366</v>
      </c>
      <c r="F105" s="136" t="str">
        <f>tbl_IO_List[[#This Row],[Column23]]&amp;"-" &amp;tbl_IO_List[[#This Row],[Column52]]</f>
        <v>C1S07-X1</v>
      </c>
      <c r="G105" s="136" t="str">
        <f>tbl_IO_List[[#This Row],[PLC_Tag]]</f>
        <v>XA-60202D_DI_1</v>
      </c>
      <c r="H105" s="136"/>
      <c r="I105" s="136" t="str">
        <f>VLOOKUP(tbl_IO_List[[#This Row],[Destination]],tbl_Junction[],2,FALSE)</f>
        <v>Spray Dryer 1st Floor</v>
      </c>
      <c r="J105" s="136" t="s">
        <v>191</v>
      </c>
      <c r="K105" s="136" t="s">
        <v>14</v>
      </c>
      <c r="L105" s="136" t="s">
        <v>988</v>
      </c>
      <c r="M105" s="136">
        <f>VLOOKUP(tbl_IO_List[[#This Row],[Instruement Tag]],tbl_Instruement_List[],2,FALSE)</f>
        <v>0</v>
      </c>
      <c r="N105" s="136" t="s">
        <v>15</v>
      </c>
      <c r="O105" s="136" t="s">
        <v>192</v>
      </c>
      <c r="P105" s="136" t="s">
        <v>18</v>
      </c>
      <c r="Q105" s="136" t="str">
        <f>VLOOKUP(tbl_IO_List[[#This Row],[Instruement Tag]],tbl_Instruement_List[],6,FALSE)</f>
        <v xml:space="preserve"> Power Fault Status Indicator for XSUP-5601 (Supression Panel)</v>
      </c>
      <c r="R105" s="136"/>
      <c r="S10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05" s="136" t="str">
        <f>tbl_IO_List[[#This Row],[Instruement Tag]]&amp;"_"&amp;tbl_IO_List[[#This Row],[I/O Type]]&amp;"_"&amp;tbl_IO_List[[#This Row],[IO-Point 
(Instruement)]]</f>
        <v>XA-60202D_DI_1</v>
      </c>
      <c r="U105" s="136" t="s">
        <v>8</v>
      </c>
      <c r="V105" s="136">
        <f>VLOOKUP(tbl_IO_List[[#This Row],[I/O Type]],tbl_Slot_Group[],2,FALSE)</f>
        <v>1</v>
      </c>
      <c r="W105" s="136">
        <v>1</v>
      </c>
      <c r="X105" s="136" t="str">
        <f>tbl_IO_List[[#This Row],[Chassis]]&amp;"S"&amp;TEXT(tbl_IO_List[[#This Row],[Slot]],"00")</f>
        <v>C1S07</v>
      </c>
      <c r="Y105" s="136" t="str">
        <f>tbl_IO_List[[#This Row],[Chassis]]&amp;"S"&amp;TEXT(tbl_IO_List[[#This Row],[Slot]],"00")&amp;tbl_IO_List[[#This Row],[I/O Type]]&amp;TEXT(tbl_IO_List[[#This Row],[Point]],"00")</f>
        <v>C1S07DI03</v>
      </c>
      <c r="Z105" s="136" t="str">
        <f>tbl_IO_List[[#This Row],[Chassis]]&amp;"S"&amp;TEXT(tbl_IO_List[[#This Row],[Slot]],"00")&amp;","&amp;TEXT(tbl_IO_List[[#This Row],[Point]],"00")</f>
        <v>C1S07,03</v>
      </c>
      <c r="AA105" s="136" t="str">
        <f>VLOOKUP(tbl_IO_List[[#This Row],[Column23]],tbl_RackConfig[],5,FALSE) &amp;"-"&amp;tbl_IO_List[[#This Row],[Point]]</f>
        <v>1756-IB32-3</v>
      </c>
      <c r="AB105" s="136"/>
      <c r="AC105" s="136" t="s">
        <v>1370</v>
      </c>
      <c r="AD105" s="136" t="str">
        <f>tbl_IO_List[[#This Row],[I/O Type]]</f>
        <v>DI</v>
      </c>
      <c r="AE105" s="136" t="s">
        <v>1332</v>
      </c>
      <c r="AF105" s="136">
        <v>7</v>
      </c>
      <c r="AG105" s="136">
        <v>3</v>
      </c>
      <c r="AH105" s="136">
        <v>4</v>
      </c>
      <c r="AI105" s="136">
        <v>4</v>
      </c>
      <c r="AJ105" s="136">
        <v>1</v>
      </c>
      <c r="AK105" s="136">
        <v>0</v>
      </c>
      <c r="AL105" s="136">
        <v>0</v>
      </c>
      <c r="AM105" s="136">
        <v>0</v>
      </c>
      <c r="AN105" s="136">
        <v>0</v>
      </c>
      <c r="AO105" s="136"/>
      <c r="AP105" s="143" t="str">
        <f>VLOOKUP(tbl_IO_List[[#This Row],[Instruement Tag]],tbl_Instruement_List[],14,FALSE)</f>
        <v>Dry Contact</v>
      </c>
      <c r="AQ105" s="143" t="str">
        <f>tbl_IO_List[[#This Row],[Chassis]]&amp;"S"&amp;tbl_IO_List[[#This Row],[Slot]]&amp;"-"&amp;tbl_IO_List[[#This Row],[Front Terminal Number]]</f>
        <v>C1S7-4</v>
      </c>
      <c r="AR105" s="141" t="s">
        <v>1852</v>
      </c>
      <c r="AS105" s="136" t="str">
        <f>tbl_IO_List[[#This Row],[Terminal Tagging]]&amp;"-"&amp;tbl_IO_List[[#This Row],[Point-Count]]</f>
        <v>P1-TBDI4-4</v>
      </c>
      <c r="AT105" s="136" t="str">
        <f>tbl_IO_List[[#This Row],[Front Terminal Tagging]]&amp;"/"&amp;tbl_IO_List[[#This Row],[Terminal Tagging-Item]]</f>
        <v>C1S7-4/P1-TBDI4-4</v>
      </c>
      <c r="AU105" s="136" t="str">
        <f>tbl_IO_List[[#This Row],[Terminal Tagging-Item]]&amp;"/"&amp;tbl_IO_List[[#This Row],[Front Terminal Tagging]]</f>
        <v>P1-TBDI4-4/C1S7-4</v>
      </c>
    </row>
    <row r="106" spans="1:47" hidden="1">
      <c r="A106" s="147" t="s">
        <v>1369</v>
      </c>
      <c r="B106" s="136" t="s">
        <v>191</v>
      </c>
      <c r="C106" s="136" t="str">
        <f>tbl_IO_List[[#This Row],[Column3]]</f>
        <v>C1S07,04</v>
      </c>
      <c r="D106" s="136" t="str">
        <f>tbl_IO_List[[#This Row],[Card]]</f>
        <v>1756-IB32-4</v>
      </c>
      <c r="E106" s="136" t="s">
        <v>1366</v>
      </c>
      <c r="F106" s="136" t="str">
        <f>tbl_IO_List[[#This Row],[Column23]]&amp;"-" &amp;tbl_IO_List[[#This Row],[Column52]]</f>
        <v>C1S07-X1</v>
      </c>
      <c r="G106" s="136" t="str">
        <f>tbl_IO_List[[#This Row],[PLC_Tag]]</f>
        <v>XA-60202E_DI_1</v>
      </c>
      <c r="H106" s="136"/>
      <c r="I106" s="136" t="str">
        <f>VLOOKUP(tbl_IO_List[[#This Row],[Destination]],tbl_Junction[],2,FALSE)</f>
        <v>Spray Dryer 1st Floor</v>
      </c>
      <c r="J106" s="136" t="s">
        <v>191</v>
      </c>
      <c r="K106" s="136" t="s">
        <v>14</v>
      </c>
      <c r="L106" s="136" t="s">
        <v>991</v>
      </c>
      <c r="M106" s="136">
        <f>VLOOKUP(tbl_IO_List[[#This Row],[Instruement Tag]],tbl_Instruement_List[],2,FALSE)</f>
        <v>0</v>
      </c>
      <c r="N106" s="136" t="s">
        <v>15</v>
      </c>
      <c r="O106" s="136" t="s">
        <v>192</v>
      </c>
      <c r="P106" s="136" t="s">
        <v>18</v>
      </c>
      <c r="Q106" s="136" t="str">
        <f>VLOOKUP(tbl_IO_List[[#This Row],[Instruement Tag]],tbl_Instruement_List[],6,FALSE)</f>
        <v xml:space="preserve"> Dryer CHAM-21 Emergency Stop Actuation for XSUP-5601 (Supression Panel)</v>
      </c>
      <c r="R106" s="136"/>
      <c r="S10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06" s="136" t="str">
        <f>tbl_IO_List[[#This Row],[Instruement Tag]]&amp;"_"&amp;tbl_IO_List[[#This Row],[I/O Type]]&amp;"_"&amp;tbl_IO_List[[#This Row],[IO-Point 
(Instruement)]]</f>
        <v>XA-60202E_DI_1</v>
      </c>
      <c r="U106" s="136" t="s">
        <v>8</v>
      </c>
      <c r="V106" s="136">
        <f>VLOOKUP(tbl_IO_List[[#This Row],[I/O Type]],tbl_Slot_Group[],2,FALSE)</f>
        <v>1</v>
      </c>
      <c r="W106" s="136">
        <v>1</v>
      </c>
      <c r="X106" s="136" t="str">
        <f>tbl_IO_List[[#This Row],[Chassis]]&amp;"S"&amp;TEXT(tbl_IO_List[[#This Row],[Slot]],"00")</f>
        <v>C1S07</v>
      </c>
      <c r="Y106" s="136" t="str">
        <f>tbl_IO_List[[#This Row],[Chassis]]&amp;"S"&amp;TEXT(tbl_IO_List[[#This Row],[Slot]],"00")&amp;tbl_IO_List[[#This Row],[I/O Type]]&amp;TEXT(tbl_IO_List[[#This Row],[Point]],"00")</f>
        <v>C1S07DI04</v>
      </c>
      <c r="Z106" s="136" t="str">
        <f>tbl_IO_List[[#This Row],[Chassis]]&amp;"S"&amp;TEXT(tbl_IO_List[[#This Row],[Slot]],"00")&amp;","&amp;TEXT(tbl_IO_List[[#This Row],[Point]],"00")</f>
        <v>C1S07,04</v>
      </c>
      <c r="AA106" s="136" t="str">
        <f>VLOOKUP(tbl_IO_List[[#This Row],[Column23]],tbl_RackConfig[],5,FALSE) &amp;"-"&amp;tbl_IO_List[[#This Row],[Point]]</f>
        <v>1756-IB32-4</v>
      </c>
      <c r="AB106" s="136"/>
      <c r="AC106" s="136" t="s">
        <v>1370</v>
      </c>
      <c r="AD106" s="136" t="str">
        <f>tbl_IO_List[[#This Row],[I/O Type]]</f>
        <v>DI</v>
      </c>
      <c r="AE106" s="136" t="s">
        <v>1332</v>
      </c>
      <c r="AF106" s="136">
        <v>7</v>
      </c>
      <c r="AG106" s="136">
        <v>4</v>
      </c>
      <c r="AH106" s="136">
        <v>5</v>
      </c>
      <c r="AI106" s="136">
        <v>5</v>
      </c>
      <c r="AJ106" s="136">
        <v>1</v>
      </c>
      <c r="AK106" s="136">
        <v>0</v>
      </c>
      <c r="AL106" s="136">
        <v>0</v>
      </c>
      <c r="AM106" s="136">
        <v>0</v>
      </c>
      <c r="AN106" s="136">
        <v>0</v>
      </c>
      <c r="AO106" s="136"/>
      <c r="AP106" s="143" t="str">
        <f>VLOOKUP(tbl_IO_List[[#This Row],[Instruement Tag]],tbl_Instruement_List[],14,FALSE)</f>
        <v>Dry Contact</v>
      </c>
      <c r="AQ106" s="143" t="str">
        <f>tbl_IO_List[[#This Row],[Chassis]]&amp;"S"&amp;tbl_IO_List[[#This Row],[Slot]]&amp;"-"&amp;tbl_IO_List[[#This Row],[Front Terminal Number]]</f>
        <v>C1S7-5</v>
      </c>
      <c r="AR106" s="141" t="s">
        <v>1852</v>
      </c>
      <c r="AS106" s="136" t="str">
        <f>tbl_IO_List[[#This Row],[Terminal Tagging]]&amp;"-"&amp;tbl_IO_List[[#This Row],[Point-Count]]</f>
        <v>P1-TBDI4-5</v>
      </c>
      <c r="AT106" s="136" t="str">
        <f>tbl_IO_List[[#This Row],[Front Terminal Tagging]]&amp;"/"&amp;tbl_IO_List[[#This Row],[Terminal Tagging-Item]]</f>
        <v>C1S7-5/P1-TBDI4-5</v>
      </c>
      <c r="AU106" s="136" t="str">
        <f>tbl_IO_List[[#This Row],[Terminal Tagging-Item]]&amp;"/"&amp;tbl_IO_List[[#This Row],[Front Terminal Tagging]]</f>
        <v>P1-TBDI4-5/C1S7-5</v>
      </c>
    </row>
    <row r="107" spans="1:47" hidden="1">
      <c r="A107" s="147" t="s">
        <v>1369</v>
      </c>
      <c r="B107" s="136" t="s">
        <v>191</v>
      </c>
      <c r="C107" s="136" t="str">
        <f>tbl_IO_List[[#This Row],[Column3]]</f>
        <v>C1S07,05</v>
      </c>
      <c r="D107" s="136" t="str">
        <f>tbl_IO_List[[#This Row],[Card]]</f>
        <v>1756-IB32-5</v>
      </c>
      <c r="E107" s="136" t="s">
        <v>1366</v>
      </c>
      <c r="F107" s="136" t="str">
        <f>tbl_IO_List[[#This Row],[Column23]]&amp;"-" &amp;tbl_IO_List[[#This Row],[Column52]]</f>
        <v>C1S07-X1</v>
      </c>
      <c r="G107" s="136" t="str">
        <f>tbl_IO_List[[#This Row],[PLC_Tag]]</f>
        <v>XA-60202F_DI_1</v>
      </c>
      <c r="H107" s="136"/>
      <c r="I107" s="136" t="str">
        <f>VLOOKUP(tbl_IO_List[[#This Row],[Destination]],tbl_Junction[],2,FALSE)</f>
        <v>Spray Dryer 1st Floor</v>
      </c>
      <c r="J107" s="136" t="s">
        <v>191</v>
      </c>
      <c r="K107" s="136" t="s">
        <v>14</v>
      </c>
      <c r="L107" s="136" t="s">
        <v>994</v>
      </c>
      <c r="M107" s="136">
        <f>VLOOKUP(tbl_IO_List[[#This Row],[Instruement Tag]],tbl_Instruement_List[],2,FALSE)</f>
        <v>0</v>
      </c>
      <c r="N107" s="136" t="s">
        <v>15</v>
      </c>
      <c r="O107" s="136" t="s">
        <v>192</v>
      </c>
      <c r="P107" s="136" t="s">
        <v>18</v>
      </c>
      <c r="Q107" s="136" t="str">
        <f>VLOOKUP(tbl_IO_List[[#This Row],[Instruement Tag]],tbl_Instruement_List[],6,FALSE)</f>
        <v xml:space="preserve"> CHAM-21 Controlled Stop Trouble (No Protection) for XSUP-5601 (Supression Panel)</v>
      </c>
      <c r="R107" s="136"/>
      <c r="S10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07" s="136" t="str">
        <f>tbl_IO_List[[#This Row],[Instruement Tag]]&amp;"_"&amp;tbl_IO_List[[#This Row],[I/O Type]]&amp;"_"&amp;tbl_IO_List[[#This Row],[IO-Point 
(Instruement)]]</f>
        <v>XA-60202F_DI_1</v>
      </c>
      <c r="U107" s="136" t="s">
        <v>8</v>
      </c>
      <c r="V107" s="136">
        <f>VLOOKUP(tbl_IO_List[[#This Row],[I/O Type]],tbl_Slot_Group[],2,FALSE)</f>
        <v>1</v>
      </c>
      <c r="W107" s="136">
        <v>1</v>
      </c>
      <c r="X107" s="136" t="str">
        <f>tbl_IO_List[[#This Row],[Chassis]]&amp;"S"&amp;TEXT(tbl_IO_List[[#This Row],[Slot]],"00")</f>
        <v>C1S07</v>
      </c>
      <c r="Y107" s="136" t="str">
        <f>tbl_IO_List[[#This Row],[Chassis]]&amp;"S"&amp;TEXT(tbl_IO_List[[#This Row],[Slot]],"00")&amp;tbl_IO_List[[#This Row],[I/O Type]]&amp;TEXT(tbl_IO_List[[#This Row],[Point]],"00")</f>
        <v>C1S07DI05</v>
      </c>
      <c r="Z107" s="136" t="str">
        <f>tbl_IO_List[[#This Row],[Chassis]]&amp;"S"&amp;TEXT(tbl_IO_List[[#This Row],[Slot]],"00")&amp;","&amp;TEXT(tbl_IO_List[[#This Row],[Point]],"00")</f>
        <v>C1S07,05</v>
      </c>
      <c r="AA107" s="136" t="str">
        <f>VLOOKUP(tbl_IO_List[[#This Row],[Column23]],tbl_RackConfig[],5,FALSE) &amp;"-"&amp;tbl_IO_List[[#This Row],[Point]]</f>
        <v>1756-IB32-5</v>
      </c>
      <c r="AB107" s="136"/>
      <c r="AC107" s="136" t="s">
        <v>1370</v>
      </c>
      <c r="AD107" s="136" t="str">
        <f>tbl_IO_List[[#This Row],[I/O Type]]</f>
        <v>DI</v>
      </c>
      <c r="AE107" s="136" t="s">
        <v>1332</v>
      </c>
      <c r="AF107" s="136">
        <v>7</v>
      </c>
      <c r="AG107" s="136">
        <v>5</v>
      </c>
      <c r="AH107" s="136">
        <v>6</v>
      </c>
      <c r="AI107" s="136">
        <v>6</v>
      </c>
      <c r="AJ107" s="136">
        <v>1</v>
      </c>
      <c r="AK107" s="136">
        <v>0</v>
      </c>
      <c r="AL107" s="136">
        <v>0</v>
      </c>
      <c r="AM107" s="136">
        <v>0</v>
      </c>
      <c r="AN107" s="136">
        <v>0</v>
      </c>
      <c r="AO107" s="136"/>
      <c r="AP107" s="143" t="str">
        <f>VLOOKUP(tbl_IO_List[[#This Row],[Instruement Tag]],tbl_Instruement_List[],14,FALSE)</f>
        <v>Dry Contact</v>
      </c>
      <c r="AQ107" s="143" t="str">
        <f>tbl_IO_List[[#This Row],[Chassis]]&amp;"S"&amp;tbl_IO_List[[#This Row],[Slot]]&amp;"-"&amp;tbl_IO_List[[#This Row],[Front Terminal Number]]</f>
        <v>C1S7-6</v>
      </c>
      <c r="AR107" s="141" t="s">
        <v>1852</v>
      </c>
      <c r="AS107" s="136" t="str">
        <f>tbl_IO_List[[#This Row],[Terminal Tagging]]&amp;"-"&amp;tbl_IO_List[[#This Row],[Point-Count]]</f>
        <v>P1-TBDI4-6</v>
      </c>
      <c r="AT107" s="136" t="str">
        <f>tbl_IO_List[[#This Row],[Front Terminal Tagging]]&amp;"/"&amp;tbl_IO_List[[#This Row],[Terminal Tagging-Item]]</f>
        <v>C1S7-6/P1-TBDI4-6</v>
      </c>
      <c r="AU107" s="136" t="str">
        <f>tbl_IO_List[[#This Row],[Terminal Tagging-Item]]&amp;"/"&amp;tbl_IO_List[[#This Row],[Front Terminal Tagging]]</f>
        <v>P1-TBDI4-6/C1S7-6</v>
      </c>
    </row>
    <row r="108" spans="1:47" hidden="1">
      <c r="A108" s="147" t="s">
        <v>1369</v>
      </c>
      <c r="B108" s="136" t="s">
        <v>191</v>
      </c>
      <c r="C108" s="136" t="str">
        <f>tbl_IO_List[[#This Row],[Column3]]</f>
        <v>C1S07,06</v>
      </c>
      <c r="D108" s="136" t="str">
        <f>tbl_IO_List[[#This Row],[Card]]</f>
        <v>1756-IB32-6</v>
      </c>
      <c r="E108" s="136" t="s">
        <v>1366</v>
      </c>
      <c r="F108" s="136" t="str">
        <f>tbl_IO_List[[#This Row],[Column23]]&amp;"-" &amp;tbl_IO_List[[#This Row],[Column52]]</f>
        <v>C1S07-X1</v>
      </c>
      <c r="G108" s="136" t="str">
        <f>tbl_IO_List[[#This Row],[PLC_Tag]]</f>
        <v>XA-60202G_DI_1</v>
      </c>
      <c r="H108" s="136"/>
      <c r="I108" s="136" t="str">
        <f>VLOOKUP(tbl_IO_List[[#This Row],[Destination]],tbl_Junction[],2,FALSE)</f>
        <v>Spray Dryer 1st Floor</v>
      </c>
      <c r="J108" s="136" t="s">
        <v>191</v>
      </c>
      <c r="K108" s="136" t="s">
        <v>14</v>
      </c>
      <c r="L108" s="136" t="s">
        <v>997</v>
      </c>
      <c r="M108" s="136">
        <f>VLOOKUP(tbl_IO_List[[#This Row],[Instruement Tag]],tbl_Instruement_List[],2,FALSE)</f>
        <v>0</v>
      </c>
      <c r="N108" s="136" t="s">
        <v>15</v>
      </c>
      <c r="O108" s="136" t="s">
        <v>192</v>
      </c>
      <c r="P108" s="136" t="s">
        <v>18</v>
      </c>
      <c r="Q108" s="136" t="str">
        <f>VLOOKUP(tbl_IO_List[[#This Row],[Instruement Tag]],tbl_Instruement_List[],6,FALSE)</f>
        <v xml:space="preserve"> CYCL-21/22 Emergency Stop Actuation for XSUP-5601 (Supression Panel)</v>
      </c>
      <c r="R108" s="136"/>
      <c r="S10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08" s="136" t="str">
        <f>tbl_IO_List[[#This Row],[Instruement Tag]]&amp;"_"&amp;tbl_IO_List[[#This Row],[I/O Type]]&amp;"_"&amp;tbl_IO_List[[#This Row],[IO-Point 
(Instruement)]]</f>
        <v>XA-60202G_DI_1</v>
      </c>
      <c r="U108" s="136" t="s">
        <v>8</v>
      </c>
      <c r="V108" s="136">
        <f>VLOOKUP(tbl_IO_List[[#This Row],[I/O Type]],tbl_Slot_Group[],2,FALSE)</f>
        <v>1</v>
      </c>
      <c r="W108" s="136">
        <v>1</v>
      </c>
      <c r="X108" s="136" t="str">
        <f>tbl_IO_List[[#This Row],[Chassis]]&amp;"S"&amp;TEXT(tbl_IO_List[[#This Row],[Slot]],"00")</f>
        <v>C1S07</v>
      </c>
      <c r="Y108" s="136" t="str">
        <f>tbl_IO_List[[#This Row],[Chassis]]&amp;"S"&amp;TEXT(tbl_IO_List[[#This Row],[Slot]],"00")&amp;tbl_IO_List[[#This Row],[I/O Type]]&amp;TEXT(tbl_IO_List[[#This Row],[Point]],"00")</f>
        <v>C1S07DI06</v>
      </c>
      <c r="Z108" s="136" t="str">
        <f>tbl_IO_List[[#This Row],[Chassis]]&amp;"S"&amp;TEXT(tbl_IO_List[[#This Row],[Slot]],"00")&amp;","&amp;TEXT(tbl_IO_List[[#This Row],[Point]],"00")</f>
        <v>C1S07,06</v>
      </c>
      <c r="AA108" s="136" t="str">
        <f>VLOOKUP(tbl_IO_List[[#This Row],[Column23]],tbl_RackConfig[],5,FALSE) &amp;"-"&amp;tbl_IO_List[[#This Row],[Point]]</f>
        <v>1756-IB32-6</v>
      </c>
      <c r="AB108" s="136"/>
      <c r="AC108" s="136" t="s">
        <v>1370</v>
      </c>
      <c r="AD108" s="136" t="str">
        <f>tbl_IO_List[[#This Row],[I/O Type]]</f>
        <v>DI</v>
      </c>
      <c r="AE108" s="136" t="s">
        <v>1332</v>
      </c>
      <c r="AF108" s="136">
        <v>7</v>
      </c>
      <c r="AG108" s="136">
        <v>6</v>
      </c>
      <c r="AH108" s="136">
        <v>7</v>
      </c>
      <c r="AI108" s="136">
        <v>7</v>
      </c>
      <c r="AJ108" s="136">
        <v>1</v>
      </c>
      <c r="AK108" s="136">
        <v>0</v>
      </c>
      <c r="AL108" s="136">
        <v>0</v>
      </c>
      <c r="AM108" s="136">
        <v>0</v>
      </c>
      <c r="AN108" s="136">
        <v>0</v>
      </c>
      <c r="AO108" s="136"/>
      <c r="AP108" s="143" t="str">
        <f>VLOOKUP(tbl_IO_List[[#This Row],[Instruement Tag]],tbl_Instruement_List[],14,FALSE)</f>
        <v>Dry Contact</v>
      </c>
      <c r="AQ108" s="143" t="str">
        <f>tbl_IO_List[[#This Row],[Chassis]]&amp;"S"&amp;tbl_IO_List[[#This Row],[Slot]]&amp;"-"&amp;tbl_IO_List[[#This Row],[Front Terminal Number]]</f>
        <v>C1S7-7</v>
      </c>
      <c r="AR108" s="141" t="s">
        <v>1852</v>
      </c>
      <c r="AS108" s="136" t="str">
        <f>tbl_IO_List[[#This Row],[Terminal Tagging]]&amp;"-"&amp;tbl_IO_List[[#This Row],[Point-Count]]</f>
        <v>P1-TBDI4-7</v>
      </c>
      <c r="AT108" s="136" t="str">
        <f>tbl_IO_List[[#This Row],[Front Terminal Tagging]]&amp;"/"&amp;tbl_IO_List[[#This Row],[Terminal Tagging-Item]]</f>
        <v>C1S7-7/P1-TBDI4-7</v>
      </c>
      <c r="AU108" s="136" t="str">
        <f>tbl_IO_List[[#This Row],[Terminal Tagging-Item]]&amp;"/"&amp;tbl_IO_List[[#This Row],[Front Terminal Tagging]]</f>
        <v>P1-TBDI4-7/C1S7-7</v>
      </c>
    </row>
    <row r="109" spans="1:47" hidden="1">
      <c r="A109" s="147" t="s">
        <v>1369</v>
      </c>
      <c r="B109" s="136" t="s">
        <v>191</v>
      </c>
      <c r="C109" s="136" t="str">
        <f>tbl_IO_List[[#This Row],[Column3]]</f>
        <v>C1S07,07</v>
      </c>
      <c r="D109" s="136" t="str">
        <f>tbl_IO_List[[#This Row],[Card]]</f>
        <v>1756-IB32-7</v>
      </c>
      <c r="E109" s="136" t="s">
        <v>1366</v>
      </c>
      <c r="F109" s="136" t="str">
        <f>tbl_IO_List[[#This Row],[Column23]]&amp;"-" &amp;tbl_IO_List[[#This Row],[Column52]]</f>
        <v>C1S07-X1</v>
      </c>
      <c r="G109" s="136" t="str">
        <f>tbl_IO_List[[#This Row],[PLC_Tag]]</f>
        <v>XA-60202H_DI_1</v>
      </c>
      <c r="H109" s="136"/>
      <c r="I109" s="136" t="str">
        <f>VLOOKUP(tbl_IO_List[[#This Row],[Destination]],tbl_Junction[],2,FALSE)</f>
        <v>Spray Dryer 1st Floor</v>
      </c>
      <c r="J109" s="136" t="s">
        <v>191</v>
      </c>
      <c r="K109" s="136" t="s">
        <v>14</v>
      </c>
      <c r="L109" s="136" t="s">
        <v>1000</v>
      </c>
      <c r="M109" s="136">
        <f>VLOOKUP(tbl_IO_List[[#This Row],[Instruement Tag]],tbl_Instruement_List[],2,FALSE)</f>
        <v>0</v>
      </c>
      <c r="N109" s="136" t="s">
        <v>15</v>
      </c>
      <c r="O109" s="136" t="s">
        <v>192</v>
      </c>
      <c r="P109" s="136" t="s">
        <v>18</v>
      </c>
      <c r="Q109" s="136" t="str">
        <f>VLOOKUP(tbl_IO_List[[#This Row],[Instruement Tag]],tbl_Instruement_List[],6,FALSE)</f>
        <v xml:space="preserve"> CYCL-21/22 Controlled Stop Trouble (No Protection) for XSUP-5601 (Supression Panel)</v>
      </c>
      <c r="R109" s="136"/>
      <c r="S10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09" s="136" t="str">
        <f>tbl_IO_List[[#This Row],[Instruement Tag]]&amp;"_"&amp;tbl_IO_List[[#This Row],[I/O Type]]&amp;"_"&amp;tbl_IO_List[[#This Row],[IO-Point 
(Instruement)]]</f>
        <v>XA-60202H_DI_1</v>
      </c>
      <c r="U109" s="136" t="s">
        <v>8</v>
      </c>
      <c r="V109" s="136">
        <f>VLOOKUP(tbl_IO_List[[#This Row],[I/O Type]],tbl_Slot_Group[],2,FALSE)</f>
        <v>1</v>
      </c>
      <c r="W109" s="136">
        <v>1</v>
      </c>
      <c r="X109" s="136" t="str">
        <f>tbl_IO_List[[#This Row],[Chassis]]&amp;"S"&amp;TEXT(tbl_IO_List[[#This Row],[Slot]],"00")</f>
        <v>C1S07</v>
      </c>
      <c r="Y109" s="136" t="str">
        <f>tbl_IO_List[[#This Row],[Chassis]]&amp;"S"&amp;TEXT(tbl_IO_List[[#This Row],[Slot]],"00")&amp;tbl_IO_List[[#This Row],[I/O Type]]&amp;TEXT(tbl_IO_List[[#This Row],[Point]],"00")</f>
        <v>C1S07DI07</v>
      </c>
      <c r="Z109" s="136" t="str">
        <f>tbl_IO_List[[#This Row],[Chassis]]&amp;"S"&amp;TEXT(tbl_IO_List[[#This Row],[Slot]],"00")&amp;","&amp;TEXT(tbl_IO_List[[#This Row],[Point]],"00")</f>
        <v>C1S07,07</v>
      </c>
      <c r="AA109" s="136" t="str">
        <f>VLOOKUP(tbl_IO_List[[#This Row],[Column23]],tbl_RackConfig[],5,FALSE) &amp;"-"&amp;tbl_IO_List[[#This Row],[Point]]</f>
        <v>1756-IB32-7</v>
      </c>
      <c r="AB109" s="136"/>
      <c r="AC109" s="136" t="s">
        <v>1370</v>
      </c>
      <c r="AD109" s="136" t="str">
        <f>tbl_IO_List[[#This Row],[I/O Type]]</f>
        <v>DI</v>
      </c>
      <c r="AE109" s="136" t="s">
        <v>1332</v>
      </c>
      <c r="AF109" s="136">
        <v>7</v>
      </c>
      <c r="AG109" s="136">
        <v>7</v>
      </c>
      <c r="AH109" s="136">
        <v>8</v>
      </c>
      <c r="AI109" s="136">
        <v>8</v>
      </c>
      <c r="AJ109" s="136">
        <v>1</v>
      </c>
      <c r="AK109" s="136">
        <v>0</v>
      </c>
      <c r="AL109" s="136">
        <v>0</v>
      </c>
      <c r="AM109" s="136">
        <v>0</v>
      </c>
      <c r="AN109" s="136">
        <v>0</v>
      </c>
      <c r="AO109" s="136"/>
      <c r="AP109" s="143" t="str">
        <f>VLOOKUP(tbl_IO_List[[#This Row],[Instruement Tag]],tbl_Instruement_List[],14,FALSE)</f>
        <v>Dry Contact</v>
      </c>
      <c r="AQ109" s="143" t="str">
        <f>tbl_IO_List[[#This Row],[Chassis]]&amp;"S"&amp;tbl_IO_List[[#This Row],[Slot]]&amp;"-"&amp;tbl_IO_List[[#This Row],[Front Terminal Number]]</f>
        <v>C1S7-8</v>
      </c>
      <c r="AR109" s="141" t="s">
        <v>1852</v>
      </c>
      <c r="AS109" s="136" t="str">
        <f>tbl_IO_List[[#This Row],[Terminal Tagging]]&amp;"-"&amp;tbl_IO_List[[#This Row],[Point-Count]]</f>
        <v>P1-TBDI4-8</v>
      </c>
      <c r="AT109" s="136" t="str">
        <f>tbl_IO_List[[#This Row],[Front Terminal Tagging]]&amp;"/"&amp;tbl_IO_List[[#This Row],[Terminal Tagging-Item]]</f>
        <v>C1S7-8/P1-TBDI4-8</v>
      </c>
      <c r="AU109" s="136" t="str">
        <f>tbl_IO_List[[#This Row],[Terminal Tagging-Item]]&amp;"/"&amp;tbl_IO_List[[#This Row],[Front Terminal Tagging]]</f>
        <v>P1-TBDI4-8/C1S7-8</v>
      </c>
    </row>
    <row r="110" spans="1:47" hidden="1">
      <c r="A110" s="147" t="s">
        <v>1369</v>
      </c>
      <c r="B110" s="136" t="s">
        <v>191</v>
      </c>
      <c r="C110" s="136" t="str">
        <f>tbl_IO_List[[#This Row],[Column3]]</f>
        <v>C1S07,08</v>
      </c>
      <c r="D110" s="136" t="str">
        <f>tbl_IO_List[[#This Row],[Card]]</f>
        <v>1756-IB32-8</v>
      </c>
      <c r="E110" s="136" t="s">
        <v>1366</v>
      </c>
      <c r="F110" s="136" t="str">
        <f>tbl_IO_List[[#This Row],[Column23]]&amp;"-" &amp;tbl_IO_List[[#This Row],[Column52]]</f>
        <v>C1S07-X1</v>
      </c>
      <c r="G110" s="136" t="str">
        <f>tbl_IO_List[[#This Row],[PLC_Tag]]</f>
        <v>XA-60202I_DI_1</v>
      </c>
      <c r="H110" s="136"/>
      <c r="I110" s="136" t="str">
        <f>VLOOKUP(tbl_IO_List[[#This Row],[Destination]],tbl_Junction[],2,FALSE)</f>
        <v>Spray Dryer 1st Floor</v>
      </c>
      <c r="J110" s="136" t="s">
        <v>191</v>
      </c>
      <c r="K110" s="136" t="s">
        <v>14</v>
      </c>
      <c r="L110" s="136" t="s">
        <v>1385</v>
      </c>
      <c r="M110" s="136" t="e">
        <f>VLOOKUP(tbl_IO_List[[#This Row],[Instruement Tag]],tbl_Instruement_List[],2,FALSE)</f>
        <v>#N/A</v>
      </c>
      <c r="N110" s="136" t="s">
        <v>15</v>
      </c>
      <c r="O110" s="136" t="s">
        <v>192</v>
      </c>
      <c r="P110" s="136" t="s">
        <v>18</v>
      </c>
      <c r="Q110" s="136" t="e">
        <f>VLOOKUP(tbl_IO_List[[#This Row],[Instruement Tag]],tbl_Instruement_List[],6,FALSE)</f>
        <v>#N/A</v>
      </c>
      <c r="R110" s="136"/>
      <c r="S11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0" s="136" t="str">
        <f>tbl_IO_List[[#This Row],[Instruement Tag]]&amp;"_"&amp;tbl_IO_List[[#This Row],[I/O Type]]&amp;"_"&amp;tbl_IO_List[[#This Row],[IO-Point 
(Instruement)]]</f>
        <v>XA-60202I_DI_1</v>
      </c>
      <c r="U110" s="136" t="s">
        <v>8</v>
      </c>
      <c r="V110" s="136">
        <f>VLOOKUP(tbl_IO_List[[#This Row],[I/O Type]],tbl_Slot_Group[],2,FALSE)</f>
        <v>1</v>
      </c>
      <c r="W110" s="136">
        <v>1</v>
      </c>
      <c r="X110" s="136" t="str">
        <f>tbl_IO_List[[#This Row],[Chassis]]&amp;"S"&amp;TEXT(tbl_IO_List[[#This Row],[Slot]],"00")</f>
        <v>C1S07</v>
      </c>
      <c r="Y110" s="136" t="str">
        <f>tbl_IO_List[[#This Row],[Chassis]]&amp;"S"&amp;TEXT(tbl_IO_List[[#This Row],[Slot]],"00")&amp;tbl_IO_List[[#This Row],[I/O Type]]&amp;TEXT(tbl_IO_List[[#This Row],[Point]],"00")</f>
        <v>C1S07DI08</v>
      </c>
      <c r="Z110" s="136" t="str">
        <f>tbl_IO_List[[#This Row],[Chassis]]&amp;"S"&amp;TEXT(tbl_IO_List[[#This Row],[Slot]],"00")&amp;","&amp;TEXT(tbl_IO_List[[#This Row],[Point]],"00")</f>
        <v>C1S07,08</v>
      </c>
      <c r="AA110" s="136" t="str">
        <f>VLOOKUP(tbl_IO_List[[#This Row],[Column23]],tbl_RackConfig[],5,FALSE) &amp;"-"&amp;tbl_IO_List[[#This Row],[Point]]</f>
        <v>1756-IB32-8</v>
      </c>
      <c r="AB110" s="136"/>
      <c r="AC110" s="136" t="s">
        <v>1370</v>
      </c>
      <c r="AD110" s="136" t="str">
        <f>tbl_IO_List[[#This Row],[I/O Type]]</f>
        <v>DI</v>
      </c>
      <c r="AE110" s="136" t="s">
        <v>1332</v>
      </c>
      <c r="AF110" s="136">
        <v>7</v>
      </c>
      <c r="AG110" s="136">
        <v>8</v>
      </c>
      <c r="AH110" s="136">
        <v>9</v>
      </c>
      <c r="AI110" s="136">
        <v>9</v>
      </c>
      <c r="AJ110" s="136">
        <v>1</v>
      </c>
      <c r="AK110" s="136">
        <v>0</v>
      </c>
      <c r="AL110" s="136">
        <v>0</v>
      </c>
      <c r="AM110" s="136">
        <v>0</v>
      </c>
      <c r="AN110" s="136">
        <v>0</v>
      </c>
      <c r="AO110" s="136"/>
      <c r="AP110" s="143" t="e">
        <f>VLOOKUP(tbl_IO_List[[#This Row],[Instruement Tag]],tbl_Instruement_List[],14,FALSE)</f>
        <v>#N/A</v>
      </c>
      <c r="AQ110" s="143" t="str">
        <f>tbl_IO_List[[#This Row],[Chassis]]&amp;"S"&amp;tbl_IO_List[[#This Row],[Slot]]&amp;"-"&amp;tbl_IO_List[[#This Row],[Front Terminal Number]]</f>
        <v>C1S7-9</v>
      </c>
      <c r="AR110" s="141" t="s">
        <v>1852</v>
      </c>
      <c r="AS110" s="136" t="str">
        <f>tbl_IO_List[[#This Row],[Terminal Tagging]]&amp;"-"&amp;tbl_IO_List[[#This Row],[Point-Count]]</f>
        <v>P1-TBDI4-9</v>
      </c>
      <c r="AT110" s="136" t="str">
        <f>tbl_IO_List[[#This Row],[Front Terminal Tagging]]&amp;"/"&amp;tbl_IO_List[[#This Row],[Terminal Tagging-Item]]</f>
        <v>C1S7-9/P1-TBDI4-9</v>
      </c>
      <c r="AU110" s="136" t="str">
        <f>tbl_IO_List[[#This Row],[Terminal Tagging-Item]]&amp;"/"&amp;tbl_IO_List[[#This Row],[Front Terminal Tagging]]</f>
        <v>P1-TBDI4-9/C1S7-9</v>
      </c>
    </row>
    <row r="111" spans="1:47" hidden="1">
      <c r="A111" s="147" t="s">
        <v>1369</v>
      </c>
      <c r="B111" s="136" t="s">
        <v>191</v>
      </c>
      <c r="C111" s="136" t="str">
        <f>tbl_IO_List[[#This Row],[Column3]]</f>
        <v>C1S07,09</v>
      </c>
      <c r="D111" s="136" t="str">
        <f>tbl_IO_List[[#This Row],[Card]]</f>
        <v>1756-IB32-9</v>
      </c>
      <c r="E111" s="136" t="s">
        <v>1366</v>
      </c>
      <c r="F111" s="136" t="str">
        <f>tbl_IO_List[[#This Row],[Column23]]&amp;"-" &amp;tbl_IO_List[[#This Row],[Column52]]</f>
        <v>C1S07-X1</v>
      </c>
      <c r="G111" s="136" t="str">
        <f>tbl_IO_List[[#This Row],[PLC_Tag]]</f>
        <v>XA-60202J_DI_1</v>
      </c>
      <c r="H111" s="136"/>
      <c r="I111" s="136" t="str">
        <f>VLOOKUP(tbl_IO_List[[#This Row],[Destination]],tbl_Junction[],2,FALSE)</f>
        <v>Spray Dryer 1st Floor</v>
      </c>
      <c r="J111" s="136" t="s">
        <v>191</v>
      </c>
      <c r="K111" s="136" t="s">
        <v>14</v>
      </c>
      <c r="L111" s="136" t="s">
        <v>1003</v>
      </c>
      <c r="M111" s="136">
        <f>VLOOKUP(tbl_IO_List[[#This Row],[Instruement Tag]],tbl_Instruement_List[],2,FALSE)</f>
        <v>0</v>
      </c>
      <c r="N111" s="136" t="s">
        <v>15</v>
      </c>
      <c r="O111" s="136" t="s">
        <v>192</v>
      </c>
      <c r="P111" s="136" t="s">
        <v>18</v>
      </c>
      <c r="Q111" s="136" t="str">
        <f>VLOOKUP(tbl_IO_List[[#This Row],[Instruement Tag]],tbl_Instruement_List[],6,FALSE)</f>
        <v xml:space="preserve"> BGHS-21 Emergency Stop Actuation for XSUP-5601 (Supression Panel)</v>
      </c>
      <c r="R111" s="136"/>
      <c r="S11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1" s="136" t="str">
        <f>tbl_IO_List[[#This Row],[Instruement Tag]]&amp;"_"&amp;tbl_IO_List[[#This Row],[I/O Type]]&amp;"_"&amp;tbl_IO_List[[#This Row],[IO-Point 
(Instruement)]]</f>
        <v>XA-60202J_DI_1</v>
      </c>
      <c r="U111" s="136" t="s">
        <v>8</v>
      </c>
      <c r="V111" s="136">
        <f>VLOOKUP(tbl_IO_List[[#This Row],[I/O Type]],tbl_Slot_Group[],2,FALSE)</f>
        <v>1</v>
      </c>
      <c r="W111" s="136">
        <v>1</v>
      </c>
      <c r="X111" s="136" t="str">
        <f>tbl_IO_List[[#This Row],[Chassis]]&amp;"S"&amp;TEXT(tbl_IO_List[[#This Row],[Slot]],"00")</f>
        <v>C1S07</v>
      </c>
      <c r="Y111" s="136" t="str">
        <f>tbl_IO_List[[#This Row],[Chassis]]&amp;"S"&amp;TEXT(tbl_IO_List[[#This Row],[Slot]],"00")&amp;tbl_IO_List[[#This Row],[I/O Type]]&amp;TEXT(tbl_IO_List[[#This Row],[Point]],"00")</f>
        <v>C1S07DI09</v>
      </c>
      <c r="Z111" s="136" t="str">
        <f>tbl_IO_List[[#This Row],[Chassis]]&amp;"S"&amp;TEXT(tbl_IO_List[[#This Row],[Slot]],"00")&amp;","&amp;TEXT(tbl_IO_List[[#This Row],[Point]],"00")</f>
        <v>C1S07,09</v>
      </c>
      <c r="AA111" s="136" t="str">
        <f>VLOOKUP(tbl_IO_List[[#This Row],[Column23]],tbl_RackConfig[],5,FALSE) &amp;"-"&amp;tbl_IO_List[[#This Row],[Point]]</f>
        <v>1756-IB32-9</v>
      </c>
      <c r="AB111" s="136"/>
      <c r="AC111" s="136" t="s">
        <v>1370</v>
      </c>
      <c r="AD111" s="136" t="str">
        <f>tbl_IO_List[[#This Row],[I/O Type]]</f>
        <v>DI</v>
      </c>
      <c r="AE111" s="136" t="s">
        <v>1332</v>
      </c>
      <c r="AF111" s="136">
        <v>7</v>
      </c>
      <c r="AG111" s="136">
        <v>9</v>
      </c>
      <c r="AH111" s="136">
        <v>10</v>
      </c>
      <c r="AI111" s="136">
        <v>10</v>
      </c>
      <c r="AJ111" s="136">
        <v>1</v>
      </c>
      <c r="AK111" s="136">
        <v>0</v>
      </c>
      <c r="AL111" s="136">
        <v>0</v>
      </c>
      <c r="AM111" s="136">
        <v>0</v>
      </c>
      <c r="AN111" s="136">
        <v>0</v>
      </c>
      <c r="AO111" s="136"/>
      <c r="AP111" s="143" t="str">
        <f>VLOOKUP(tbl_IO_List[[#This Row],[Instruement Tag]],tbl_Instruement_List[],14,FALSE)</f>
        <v>Dry Contact</v>
      </c>
      <c r="AQ111" s="143" t="str">
        <f>tbl_IO_List[[#This Row],[Chassis]]&amp;"S"&amp;tbl_IO_List[[#This Row],[Slot]]&amp;"-"&amp;tbl_IO_List[[#This Row],[Front Terminal Number]]</f>
        <v>C1S7-10</v>
      </c>
      <c r="AR111" s="141" t="s">
        <v>1852</v>
      </c>
      <c r="AS111" s="136" t="str">
        <f>tbl_IO_List[[#This Row],[Terminal Tagging]]&amp;"-"&amp;tbl_IO_List[[#This Row],[Point-Count]]</f>
        <v>P1-TBDI4-10</v>
      </c>
      <c r="AT111" s="136" t="str">
        <f>tbl_IO_List[[#This Row],[Front Terminal Tagging]]&amp;"/"&amp;tbl_IO_List[[#This Row],[Terminal Tagging-Item]]</f>
        <v>C1S7-10/P1-TBDI4-10</v>
      </c>
      <c r="AU111" s="136" t="str">
        <f>tbl_IO_List[[#This Row],[Terminal Tagging-Item]]&amp;"/"&amp;tbl_IO_List[[#This Row],[Front Terminal Tagging]]</f>
        <v>P1-TBDI4-10/C1S7-10</v>
      </c>
    </row>
    <row r="112" spans="1:47" hidden="1">
      <c r="A112" s="147" t="s">
        <v>1369</v>
      </c>
      <c r="B112" s="136" t="s">
        <v>191</v>
      </c>
      <c r="C112" s="136" t="str">
        <f>tbl_IO_List[[#This Row],[Column3]]</f>
        <v>C1S07,10</v>
      </c>
      <c r="D112" s="136" t="str">
        <f>tbl_IO_List[[#This Row],[Card]]</f>
        <v>1756-IB32-10</v>
      </c>
      <c r="E112" s="136" t="s">
        <v>1366</v>
      </c>
      <c r="F112" s="136" t="str">
        <f>tbl_IO_List[[#This Row],[Column23]]&amp;"-" &amp;tbl_IO_List[[#This Row],[Column52]]</f>
        <v>C1S07-X1</v>
      </c>
      <c r="G112" s="136" t="str">
        <f>tbl_IO_List[[#This Row],[PLC_Tag]]</f>
        <v>XA-60202K_DI_1</v>
      </c>
      <c r="H112" s="136"/>
      <c r="I112" s="136" t="str">
        <f>VLOOKUP(tbl_IO_List[[#This Row],[Destination]],tbl_Junction[],2,FALSE)</f>
        <v>Spray Dryer 1st Floor</v>
      </c>
      <c r="J112" s="136" t="s">
        <v>191</v>
      </c>
      <c r="K112" s="136" t="s">
        <v>14</v>
      </c>
      <c r="L112" s="136" t="s">
        <v>1006</v>
      </c>
      <c r="M112" s="136">
        <f>VLOOKUP(tbl_IO_List[[#This Row],[Instruement Tag]],tbl_Instruement_List[],2,FALSE)</f>
        <v>0</v>
      </c>
      <c r="N112" s="136" t="s">
        <v>15</v>
      </c>
      <c r="O112" s="136" t="s">
        <v>192</v>
      </c>
      <c r="P112" s="136" t="s">
        <v>18</v>
      </c>
      <c r="Q112" s="136" t="str">
        <f>VLOOKUP(tbl_IO_List[[#This Row],[Instruement Tag]],tbl_Instruement_List[],6,FALSE)</f>
        <v xml:space="preserve"> BGHS-21 Controlled Stop Trouble (No Protection) for XSUP-5601 (Supression Panel)</v>
      </c>
      <c r="R112" s="136"/>
      <c r="S11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2" s="136" t="str">
        <f>tbl_IO_List[[#This Row],[Instruement Tag]]&amp;"_"&amp;tbl_IO_List[[#This Row],[I/O Type]]&amp;"_"&amp;tbl_IO_List[[#This Row],[IO-Point 
(Instruement)]]</f>
        <v>XA-60202K_DI_1</v>
      </c>
      <c r="U112" s="136" t="s">
        <v>8</v>
      </c>
      <c r="V112" s="136">
        <f>VLOOKUP(tbl_IO_List[[#This Row],[I/O Type]],tbl_Slot_Group[],2,FALSE)</f>
        <v>1</v>
      </c>
      <c r="W112" s="136">
        <v>1</v>
      </c>
      <c r="X112" s="136" t="str">
        <f>tbl_IO_List[[#This Row],[Chassis]]&amp;"S"&amp;TEXT(tbl_IO_List[[#This Row],[Slot]],"00")</f>
        <v>C1S07</v>
      </c>
      <c r="Y112" s="136" t="str">
        <f>tbl_IO_List[[#This Row],[Chassis]]&amp;"S"&amp;TEXT(tbl_IO_List[[#This Row],[Slot]],"00")&amp;tbl_IO_List[[#This Row],[I/O Type]]&amp;TEXT(tbl_IO_List[[#This Row],[Point]],"00")</f>
        <v>C1S07DI10</v>
      </c>
      <c r="Z112" s="136" t="str">
        <f>tbl_IO_List[[#This Row],[Chassis]]&amp;"S"&amp;TEXT(tbl_IO_List[[#This Row],[Slot]],"00")&amp;","&amp;TEXT(tbl_IO_List[[#This Row],[Point]],"00")</f>
        <v>C1S07,10</v>
      </c>
      <c r="AA112" s="136" t="str">
        <f>VLOOKUP(tbl_IO_List[[#This Row],[Column23]],tbl_RackConfig[],5,FALSE) &amp;"-"&amp;tbl_IO_List[[#This Row],[Point]]</f>
        <v>1756-IB32-10</v>
      </c>
      <c r="AB112" s="136"/>
      <c r="AC112" s="136" t="s">
        <v>1370</v>
      </c>
      <c r="AD112" s="136" t="str">
        <f>tbl_IO_List[[#This Row],[I/O Type]]</f>
        <v>DI</v>
      </c>
      <c r="AE112" s="136" t="s">
        <v>1332</v>
      </c>
      <c r="AF112" s="136">
        <v>7</v>
      </c>
      <c r="AG112" s="136">
        <v>10</v>
      </c>
      <c r="AH112" s="136">
        <v>11</v>
      </c>
      <c r="AI112" s="136">
        <v>11</v>
      </c>
      <c r="AJ112" s="136">
        <v>1</v>
      </c>
      <c r="AK112" s="136">
        <v>0</v>
      </c>
      <c r="AL112" s="136">
        <v>0</v>
      </c>
      <c r="AM112" s="136">
        <v>0</v>
      </c>
      <c r="AN112" s="136">
        <v>0</v>
      </c>
      <c r="AO112" s="136"/>
      <c r="AP112" s="143" t="str">
        <f>VLOOKUP(tbl_IO_List[[#This Row],[Instruement Tag]],tbl_Instruement_List[],14,FALSE)</f>
        <v>Dry Contact</v>
      </c>
      <c r="AQ112" s="143" t="str">
        <f>tbl_IO_List[[#This Row],[Chassis]]&amp;"S"&amp;tbl_IO_List[[#This Row],[Slot]]&amp;"-"&amp;tbl_IO_List[[#This Row],[Front Terminal Number]]</f>
        <v>C1S7-11</v>
      </c>
      <c r="AR112" s="141" t="s">
        <v>1852</v>
      </c>
      <c r="AS112" s="136" t="str">
        <f>tbl_IO_List[[#This Row],[Terminal Tagging]]&amp;"-"&amp;tbl_IO_List[[#This Row],[Point-Count]]</f>
        <v>P1-TBDI4-11</v>
      </c>
      <c r="AT112" s="136" t="str">
        <f>tbl_IO_List[[#This Row],[Front Terminal Tagging]]&amp;"/"&amp;tbl_IO_List[[#This Row],[Terminal Tagging-Item]]</f>
        <v>C1S7-11/P1-TBDI4-11</v>
      </c>
      <c r="AU112" s="136" t="str">
        <f>tbl_IO_List[[#This Row],[Terminal Tagging-Item]]&amp;"/"&amp;tbl_IO_List[[#This Row],[Front Terminal Tagging]]</f>
        <v>P1-TBDI4-11/C1S7-11</v>
      </c>
    </row>
    <row r="113" spans="1:47" hidden="1">
      <c r="A113" s="147" t="s">
        <v>1369</v>
      </c>
      <c r="B113" s="136" t="s">
        <v>191</v>
      </c>
      <c r="C113" s="136" t="str">
        <f>tbl_IO_List[[#This Row],[Column3]]</f>
        <v>C1S07,11</v>
      </c>
      <c r="D113" s="136" t="str">
        <f>tbl_IO_List[[#This Row],[Card]]</f>
        <v>1756-IB32-11</v>
      </c>
      <c r="E113" s="136" t="s">
        <v>1366</v>
      </c>
      <c r="F113" s="136" t="str">
        <f>tbl_IO_List[[#This Row],[Column23]]&amp;"-" &amp;tbl_IO_List[[#This Row],[Column52]]</f>
        <v>C1S07-X1</v>
      </c>
      <c r="G113" s="136" t="str">
        <f>tbl_IO_List[[#This Row],[PLC_Tag]]</f>
        <v>XA-60202L_DI_1</v>
      </c>
      <c r="H113" s="136"/>
      <c r="I113" s="136" t="str">
        <f>VLOOKUP(tbl_IO_List[[#This Row],[Destination]],tbl_Junction[],2,FALSE)</f>
        <v>Spray Dryer 1st Floor</v>
      </c>
      <c r="J113" s="136" t="s">
        <v>191</v>
      </c>
      <c r="K113" s="136" t="s">
        <v>14</v>
      </c>
      <c r="L113" s="136" t="s">
        <v>1009</v>
      </c>
      <c r="M113" s="136">
        <f>VLOOKUP(tbl_IO_List[[#This Row],[Instruement Tag]],tbl_Instruement_List[],2,FALSE)</f>
        <v>0</v>
      </c>
      <c r="N113" s="136" t="s">
        <v>15</v>
      </c>
      <c r="O113" s="136" t="s">
        <v>192</v>
      </c>
      <c r="P113" s="136" t="s">
        <v>18</v>
      </c>
      <c r="Q113" s="136" t="str">
        <f>VLOOKUP(tbl_IO_List[[#This Row],[Instruement Tag]],tbl_Instruement_List[],6,FALSE)</f>
        <v xml:space="preserve"> CYCL-31 Emergency Stop Actuation for XSUP-5601 (Supression Panel)</v>
      </c>
      <c r="R113" s="136"/>
      <c r="S11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3" s="136" t="str">
        <f>tbl_IO_List[[#This Row],[Instruement Tag]]&amp;"_"&amp;tbl_IO_List[[#This Row],[I/O Type]]&amp;"_"&amp;tbl_IO_List[[#This Row],[IO-Point 
(Instruement)]]</f>
        <v>XA-60202L_DI_1</v>
      </c>
      <c r="U113" s="136" t="s">
        <v>8</v>
      </c>
      <c r="V113" s="136">
        <f>VLOOKUP(tbl_IO_List[[#This Row],[I/O Type]],tbl_Slot_Group[],2,FALSE)</f>
        <v>1</v>
      </c>
      <c r="W113" s="136">
        <v>1</v>
      </c>
      <c r="X113" s="136" t="str">
        <f>tbl_IO_List[[#This Row],[Chassis]]&amp;"S"&amp;TEXT(tbl_IO_List[[#This Row],[Slot]],"00")</f>
        <v>C1S07</v>
      </c>
      <c r="Y113" s="136" t="str">
        <f>tbl_IO_List[[#This Row],[Chassis]]&amp;"S"&amp;TEXT(tbl_IO_List[[#This Row],[Slot]],"00")&amp;tbl_IO_List[[#This Row],[I/O Type]]&amp;TEXT(tbl_IO_List[[#This Row],[Point]],"00")</f>
        <v>C1S07DI11</v>
      </c>
      <c r="Z113" s="136" t="str">
        <f>tbl_IO_List[[#This Row],[Chassis]]&amp;"S"&amp;TEXT(tbl_IO_List[[#This Row],[Slot]],"00")&amp;","&amp;TEXT(tbl_IO_List[[#This Row],[Point]],"00")</f>
        <v>C1S07,11</v>
      </c>
      <c r="AA113" s="136" t="str">
        <f>VLOOKUP(tbl_IO_List[[#This Row],[Column23]],tbl_RackConfig[],5,FALSE) &amp;"-"&amp;tbl_IO_List[[#This Row],[Point]]</f>
        <v>1756-IB32-11</v>
      </c>
      <c r="AB113" s="136"/>
      <c r="AC113" s="136" t="s">
        <v>1370</v>
      </c>
      <c r="AD113" s="136" t="str">
        <f>tbl_IO_List[[#This Row],[I/O Type]]</f>
        <v>DI</v>
      </c>
      <c r="AE113" s="136" t="s">
        <v>1332</v>
      </c>
      <c r="AF113" s="136">
        <v>7</v>
      </c>
      <c r="AG113" s="136">
        <v>11</v>
      </c>
      <c r="AH113" s="136">
        <v>12</v>
      </c>
      <c r="AI113" s="136">
        <v>12</v>
      </c>
      <c r="AJ113" s="136">
        <v>1</v>
      </c>
      <c r="AK113" s="136">
        <v>0</v>
      </c>
      <c r="AL113" s="136">
        <v>0</v>
      </c>
      <c r="AM113" s="136">
        <v>0</v>
      </c>
      <c r="AN113" s="136">
        <v>0</v>
      </c>
      <c r="AO113" s="136"/>
      <c r="AP113" s="143" t="str">
        <f>VLOOKUP(tbl_IO_List[[#This Row],[Instruement Tag]],tbl_Instruement_List[],14,FALSE)</f>
        <v>Dry Contact</v>
      </c>
      <c r="AQ113" s="143" t="str">
        <f>tbl_IO_List[[#This Row],[Chassis]]&amp;"S"&amp;tbl_IO_List[[#This Row],[Slot]]&amp;"-"&amp;tbl_IO_List[[#This Row],[Front Terminal Number]]</f>
        <v>C1S7-12</v>
      </c>
      <c r="AR113" s="141" t="s">
        <v>1852</v>
      </c>
      <c r="AS113" s="136" t="str">
        <f>tbl_IO_List[[#This Row],[Terminal Tagging]]&amp;"-"&amp;tbl_IO_List[[#This Row],[Point-Count]]</f>
        <v>P1-TBDI4-12</v>
      </c>
      <c r="AT113" s="136" t="str">
        <f>tbl_IO_List[[#This Row],[Front Terminal Tagging]]&amp;"/"&amp;tbl_IO_List[[#This Row],[Terminal Tagging-Item]]</f>
        <v>C1S7-12/P1-TBDI4-12</v>
      </c>
      <c r="AU113" s="136" t="str">
        <f>tbl_IO_List[[#This Row],[Terminal Tagging-Item]]&amp;"/"&amp;tbl_IO_List[[#This Row],[Front Terminal Tagging]]</f>
        <v>P1-TBDI4-12/C1S7-12</v>
      </c>
    </row>
    <row r="114" spans="1:47" hidden="1">
      <c r="A114" s="147" t="s">
        <v>1369</v>
      </c>
      <c r="B114" s="136" t="s">
        <v>191</v>
      </c>
      <c r="C114" s="136" t="str">
        <f>tbl_IO_List[[#This Row],[Column3]]</f>
        <v>C1S07,12</v>
      </c>
      <c r="D114" s="136" t="str">
        <f>tbl_IO_List[[#This Row],[Card]]</f>
        <v>1756-IB32-12</v>
      </c>
      <c r="E114" s="136" t="s">
        <v>1366</v>
      </c>
      <c r="F114" s="136" t="str">
        <f>tbl_IO_List[[#This Row],[Column23]]&amp;"-" &amp;tbl_IO_List[[#This Row],[Column52]]</f>
        <v>C1S07-X1</v>
      </c>
      <c r="G114" s="136" t="str">
        <f>tbl_IO_List[[#This Row],[PLC_Tag]]</f>
        <v>XA-60202M_DI_1</v>
      </c>
      <c r="H114" s="136"/>
      <c r="I114" s="136" t="str">
        <f>VLOOKUP(tbl_IO_List[[#This Row],[Destination]],tbl_Junction[],2,FALSE)</f>
        <v>Spray Dryer 1st Floor</v>
      </c>
      <c r="J114" s="136" t="s">
        <v>191</v>
      </c>
      <c r="K114" s="136" t="s">
        <v>14</v>
      </c>
      <c r="L114" s="136" t="s">
        <v>1012</v>
      </c>
      <c r="M114" s="136">
        <f>VLOOKUP(tbl_IO_List[[#This Row],[Instruement Tag]],tbl_Instruement_List[],2,FALSE)</f>
        <v>0</v>
      </c>
      <c r="N114" s="136" t="s">
        <v>15</v>
      </c>
      <c r="O114" s="136" t="s">
        <v>192</v>
      </c>
      <c r="P114" s="136" t="s">
        <v>18</v>
      </c>
      <c r="Q114" s="136" t="str">
        <f>VLOOKUP(tbl_IO_List[[#This Row],[Instruement Tag]],tbl_Instruement_List[],6,FALSE)</f>
        <v xml:space="preserve"> CYCL-31 Controlled Stop Trouble (No Protection) for XSUP-5601 (Supression Panel)</v>
      </c>
      <c r="R114" s="136"/>
      <c r="S11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4" s="136" t="str">
        <f>tbl_IO_List[[#This Row],[Instruement Tag]]&amp;"_"&amp;tbl_IO_List[[#This Row],[I/O Type]]&amp;"_"&amp;tbl_IO_List[[#This Row],[IO-Point 
(Instruement)]]</f>
        <v>XA-60202M_DI_1</v>
      </c>
      <c r="U114" s="136" t="s">
        <v>8</v>
      </c>
      <c r="V114" s="136">
        <f>VLOOKUP(tbl_IO_List[[#This Row],[I/O Type]],tbl_Slot_Group[],2,FALSE)</f>
        <v>1</v>
      </c>
      <c r="W114" s="136">
        <v>1</v>
      </c>
      <c r="X114" s="136" t="str">
        <f>tbl_IO_List[[#This Row],[Chassis]]&amp;"S"&amp;TEXT(tbl_IO_List[[#This Row],[Slot]],"00")</f>
        <v>C1S07</v>
      </c>
      <c r="Y114" s="136" t="str">
        <f>tbl_IO_List[[#This Row],[Chassis]]&amp;"S"&amp;TEXT(tbl_IO_List[[#This Row],[Slot]],"00")&amp;tbl_IO_List[[#This Row],[I/O Type]]&amp;TEXT(tbl_IO_List[[#This Row],[Point]],"00")</f>
        <v>C1S07DI12</v>
      </c>
      <c r="Z114" s="136" t="str">
        <f>tbl_IO_List[[#This Row],[Chassis]]&amp;"S"&amp;TEXT(tbl_IO_List[[#This Row],[Slot]],"00")&amp;","&amp;TEXT(tbl_IO_List[[#This Row],[Point]],"00")</f>
        <v>C1S07,12</v>
      </c>
      <c r="AA114" s="136" t="str">
        <f>VLOOKUP(tbl_IO_List[[#This Row],[Column23]],tbl_RackConfig[],5,FALSE) &amp;"-"&amp;tbl_IO_List[[#This Row],[Point]]</f>
        <v>1756-IB32-12</v>
      </c>
      <c r="AB114" s="136"/>
      <c r="AC114" s="136" t="s">
        <v>1370</v>
      </c>
      <c r="AD114" s="136" t="str">
        <f>tbl_IO_List[[#This Row],[I/O Type]]</f>
        <v>DI</v>
      </c>
      <c r="AE114" s="136" t="s">
        <v>1332</v>
      </c>
      <c r="AF114" s="136">
        <v>7</v>
      </c>
      <c r="AG114" s="136">
        <v>12</v>
      </c>
      <c r="AH114" s="136">
        <v>13</v>
      </c>
      <c r="AI114" s="136">
        <v>13</v>
      </c>
      <c r="AJ114" s="136">
        <v>1</v>
      </c>
      <c r="AK114" s="136">
        <v>0</v>
      </c>
      <c r="AL114" s="136">
        <v>0</v>
      </c>
      <c r="AM114" s="136">
        <v>0</v>
      </c>
      <c r="AN114" s="136">
        <v>0</v>
      </c>
      <c r="AO114" s="136"/>
      <c r="AP114" s="143" t="str">
        <f>VLOOKUP(tbl_IO_List[[#This Row],[Instruement Tag]],tbl_Instruement_List[],14,FALSE)</f>
        <v>Dry Contact</v>
      </c>
      <c r="AQ114" s="143" t="str">
        <f>tbl_IO_List[[#This Row],[Chassis]]&amp;"S"&amp;tbl_IO_List[[#This Row],[Slot]]&amp;"-"&amp;tbl_IO_List[[#This Row],[Front Terminal Number]]</f>
        <v>C1S7-13</v>
      </c>
      <c r="AR114" s="141" t="s">
        <v>1852</v>
      </c>
      <c r="AS114" s="136" t="str">
        <f>tbl_IO_List[[#This Row],[Terminal Tagging]]&amp;"-"&amp;tbl_IO_List[[#This Row],[Point-Count]]</f>
        <v>P1-TBDI4-13</v>
      </c>
      <c r="AT114" s="136" t="str">
        <f>tbl_IO_List[[#This Row],[Front Terminal Tagging]]&amp;"/"&amp;tbl_IO_List[[#This Row],[Terminal Tagging-Item]]</f>
        <v>C1S7-13/P1-TBDI4-13</v>
      </c>
      <c r="AU114" s="136" t="str">
        <f>tbl_IO_List[[#This Row],[Terminal Tagging-Item]]&amp;"/"&amp;tbl_IO_List[[#This Row],[Front Terminal Tagging]]</f>
        <v>P1-TBDI4-13/C1S7-13</v>
      </c>
    </row>
    <row r="115" spans="1:47" hidden="1">
      <c r="A115" s="147" t="s">
        <v>1369</v>
      </c>
      <c r="B115" s="136" t="s">
        <v>191</v>
      </c>
      <c r="C115" s="136" t="str">
        <f>tbl_IO_List[[#This Row],[Column3]]</f>
        <v>C1S07,13</v>
      </c>
      <c r="D115" s="136" t="str">
        <f>tbl_IO_List[[#This Row],[Card]]</f>
        <v>1756-IB32-13</v>
      </c>
      <c r="E115" s="136" t="s">
        <v>1366</v>
      </c>
      <c r="F115" s="136" t="str">
        <f>tbl_IO_List[[#This Row],[Column23]]&amp;"-" &amp;tbl_IO_List[[#This Row],[Column52]]</f>
        <v>C1S07-X1</v>
      </c>
      <c r="G115" s="136" t="str">
        <f>tbl_IO_List[[#This Row],[PLC_Tag]]</f>
        <v>XV-60202_DI_1</v>
      </c>
      <c r="H115" s="136"/>
      <c r="I115" s="136" t="str">
        <f>VLOOKUP(tbl_IO_List[[#This Row],[Destination]],tbl_Junction[],2,FALSE)</f>
        <v>Spray Dryer 1st Floor</v>
      </c>
      <c r="J115" s="136" t="s">
        <v>191</v>
      </c>
      <c r="K115" s="136" t="s">
        <v>14</v>
      </c>
      <c r="L115" s="136" t="s">
        <v>211</v>
      </c>
      <c r="M115" s="136">
        <f>VLOOKUP(tbl_IO_List[[#This Row],[Instruement Tag]],tbl_Instruement_List[],2,FALSE)</f>
        <v>0</v>
      </c>
      <c r="N115" s="136" t="s">
        <v>15</v>
      </c>
      <c r="O115" s="136" t="s">
        <v>202</v>
      </c>
      <c r="P115" s="136" t="s">
        <v>203</v>
      </c>
      <c r="Q115" s="136" t="str">
        <f>VLOOKUP(tbl_IO_List[[#This Row],[Instruement Tag]],tbl_Instruement_List[],6,FALSE)</f>
        <v xml:space="preserve">High Pressure Water On/Off Valve for Drain Pipe </v>
      </c>
      <c r="R115" s="136"/>
      <c r="S11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115" s="136" t="str">
        <f>tbl_IO_List[[#This Row],[Instruement Tag]]&amp;"_"&amp;tbl_IO_List[[#This Row],[I/O Type]]&amp;"_"&amp;tbl_IO_List[[#This Row],[IO-Point 
(Instruement)]]</f>
        <v>XV-60202_DI_1</v>
      </c>
      <c r="U115" s="136" t="s">
        <v>8</v>
      </c>
      <c r="V115" s="136">
        <f>VLOOKUP(tbl_IO_List[[#This Row],[I/O Type]],tbl_Slot_Group[],2,FALSE)</f>
        <v>1</v>
      </c>
      <c r="W115" s="136">
        <v>1</v>
      </c>
      <c r="X115" s="136" t="str">
        <f>tbl_IO_List[[#This Row],[Chassis]]&amp;"S"&amp;TEXT(tbl_IO_List[[#This Row],[Slot]],"00")</f>
        <v>C1S07</v>
      </c>
      <c r="Y115" s="136" t="str">
        <f>tbl_IO_List[[#This Row],[Chassis]]&amp;"S"&amp;TEXT(tbl_IO_List[[#This Row],[Slot]],"00")&amp;tbl_IO_List[[#This Row],[I/O Type]]&amp;TEXT(tbl_IO_List[[#This Row],[Point]],"00")</f>
        <v>C1S07DI13</v>
      </c>
      <c r="Z115" s="136" t="str">
        <f>tbl_IO_List[[#This Row],[Chassis]]&amp;"S"&amp;TEXT(tbl_IO_List[[#This Row],[Slot]],"00")&amp;","&amp;TEXT(tbl_IO_List[[#This Row],[Point]],"00")</f>
        <v>C1S07,13</v>
      </c>
      <c r="AA115" s="136" t="str">
        <f>VLOOKUP(tbl_IO_List[[#This Row],[Column23]],tbl_RackConfig[],5,FALSE) &amp;"-"&amp;tbl_IO_List[[#This Row],[Point]]</f>
        <v>1756-IB32-13</v>
      </c>
      <c r="AB115" s="136"/>
      <c r="AC115" s="136" t="s">
        <v>1370</v>
      </c>
      <c r="AD115" s="136" t="str">
        <f>tbl_IO_List[[#This Row],[I/O Type]]</f>
        <v>DI</v>
      </c>
      <c r="AE115" s="136" t="s">
        <v>1332</v>
      </c>
      <c r="AF115" s="136">
        <v>7</v>
      </c>
      <c r="AG115" s="136">
        <v>13</v>
      </c>
      <c r="AH115" s="136">
        <v>14</v>
      </c>
      <c r="AI115" s="136">
        <v>14</v>
      </c>
      <c r="AJ115" s="136">
        <v>2</v>
      </c>
      <c r="AK115" s="136">
        <v>1</v>
      </c>
      <c r="AL115" s="136">
        <v>0</v>
      </c>
      <c r="AM115" s="136">
        <v>0</v>
      </c>
      <c r="AN115" s="136">
        <v>0</v>
      </c>
      <c r="AO115" s="136"/>
      <c r="AP115" s="143" t="str">
        <f>VLOOKUP(tbl_IO_List[[#This Row],[Instruement Tag]],tbl_Instruement_List[],14,FALSE)</f>
        <v>24 VDC energized</v>
      </c>
      <c r="AQ115" s="143" t="str">
        <f>tbl_IO_List[[#This Row],[Chassis]]&amp;"S"&amp;tbl_IO_List[[#This Row],[Slot]]&amp;"-"&amp;tbl_IO_List[[#This Row],[Front Terminal Number]]</f>
        <v>C1S7-14</v>
      </c>
      <c r="AR115" s="141" t="s">
        <v>1852</v>
      </c>
      <c r="AS115" s="136" t="str">
        <f>tbl_IO_List[[#This Row],[Terminal Tagging]]&amp;"-"&amp;tbl_IO_List[[#This Row],[Point-Count]]</f>
        <v>P1-TBDI4-14</v>
      </c>
      <c r="AT115" s="136" t="str">
        <f>tbl_IO_List[[#This Row],[Front Terminal Tagging]]&amp;"/"&amp;tbl_IO_List[[#This Row],[Terminal Tagging-Item]]</f>
        <v>C1S7-14/P1-TBDI4-14</v>
      </c>
      <c r="AU115" s="136" t="str">
        <f>tbl_IO_List[[#This Row],[Terminal Tagging-Item]]&amp;"/"&amp;tbl_IO_List[[#This Row],[Front Terminal Tagging]]</f>
        <v>P1-TBDI4-14/C1S7-14</v>
      </c>
    </row>
    <row r="116" spans="1:47" hidden="1">
      <c r="A116" s="147" t="s">
        <v>1369</v>
      </c>
      <c r="B116" s="136" t="s">
        <v>191</v>
      </c>
      <c r="C116" s="136" t="str">
        <f>tbl_IO_List[[#This Row],[Column3]]</f>
        <v>C1S07,14</v>
      </c>
      <c r="D116" s="136" t="str">
        <f>tbl_IO_List[[#This Row],[Card]]</f>
        <v>1756-IB32-14</v>
      </c>
      <c r="E116" s="136" t="s">
        <v>1366</v>
      </c>
      <c r="F116" s="136" t="str">
        <f>tbl_IO_List[[#This Row],[Column23]]&amp;"-" &amp;tbl_IO_List[[#This Row],[Column52]]</f>
        <v>C1S07-X1</v>
      </c>
      <c r="G116" s="136" t="str">
        <f>tbl_IO_List[[#This Row],[PLC_Tag]]</f>
        <v>XV-60202_DI_2</v>
      </c>
      <c r="H116" s="136"/>
      <c r="I116" s="136" t="str">
        <f>VLOOKUP(tbl_IO_List[[#This Row],[Destination]],tbl_Junction[],2,FALSE)</f>
        <v>Spray Dryer 1st Floor</v>
      </c>
      <c r="J116" s="136" t="s">
        <v>191</v>
      </c>
      <c r="K116" s="136" t="s">
        <v>14</v>
      </c>
      <c r="L116" s="136" t="s">
        <v>211</v>
      </c>
      <c r="M116" s="136">
        <f>VLOOKUP(tbl_IO_List[[#This Row],[Instruement Tag]],tbl_Instruement_List[],2,FALSE)</f>
        <v>0</v>
      </c>
      <c r="N116" s="136" t="s">
        <v>15</v>
      </c>
      <c r="O116" s="136" t="s">
        <v>202</v>
      </c>
      <c r="P116" s="136" t="s">
        <v>203</v>
      </c>
      <c r="Q116" s="136" t="str">
        <f>VLOOKUP(tbl_IO_List[[#This Row],[Instruement Tag]],tbl_Instruement_List[],6,FALSE)</f>
        <v xml:space="preserve">High Pressure Water On/Off Valve for Drain Pipe </v>
      </c>
      <c r="R116" s="136"/>
      <c r="S11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116" s="136" t="str">
        <f>tbl_IO_List[[#This Row],[Instruement Tag]]&amp;"_"&amp;tbl_IO_List[[#This Row],[I/O Type]]&amp;"_"&amp;tbl_IO_List[[#This Row],[IO-Point 
(Instruement)]]</f>
        <v>XV-60202_DI_2</v>
      </c>
      <c r="U116" s="136" t="s">
        <v>8</v>
      </c>
      <c r="V116" s="136">
        <f>VLOOKUP(tbl_IO_List[[#This Row],[I/O Type]],tbl_Slot_Group[],2,FALSE)</f>
        <v>1</v>
      </c>
      <c r="W116" s="136">
        <v>2</v>
      </c>
      <c r="X116" s="136" t="str">
        <f>tbl_IO_List[[#This Row],[Chassis]]&amp;"S"&amp;TEXT(tbl_IO_List[[#This Row],[Slot]],"00")</f>
        <v>C1S07</v>
      </c>
      <c r="Y116" s="136" t="str">
        <f>tbl_IO_List[[#This Row],[Chassis]]&amp;"S"&amp;TEXT(tbl_IO_List[[#This Row],[Slot]],"00")&amp;tbl_IO_List[[#This Row],[I/O Type]]&amp;TEXT(tbl_IO_List[[#This Row],[Point]],"00")</f>
        <v>C1S07DI14</v>
      </c>
      <c r="Z116" s="136" t="str">
        <f>tbl_IO_List[[#This Row],[Chassis]]&amp;"S"&amp;TEXT(tbl_IO_List[[#This Row],[Slot]],"00")&amp;","&amp;TEXT(tbl_IO_List[[#This Row],[Point]],"00")</f>
        <v>C1S07,14</v>
      </c>
      <c r="AA116" s="136" t="str">
        <f>VLOOKUP(tbl_IO_List[[#This Row],[Column23]],tbl_RackConfig[],5,FALSE) &amp;"-"&amp;tbl_IO_List[[#This Row],[Point]]</f>
        <v>1756-IB32-14</v>
      </c>
      <c r="AB116" s="136"/>
      <c r="AC116" s="136" t="s">
        <v>1370</v>
      </c>
      <c r="AD116" s="136" t="str">
        <f>tbl_IO_List[[#This Row],[I/O Type]]</f>
        <v>DI</v>
      </c>
      <c r="AE116" s="136" t="s">
        <v>1332</v>
      </c>
      <c r="AF116" s="136">
        <v>7</v>
      </c>
      <c r="AG116" s="136">
        <v>14</v>
      </c>
      <c r="AH116" s="136">
        <v>15</v>
      </c>
      <c r="AI116" s="136">
        <v>15</v>
      </c>
      <c r="AJ116" s="136">
        <v>2</v>
      </c>
      <c r="AK116" s="136">
        <v>1</v>
      </c>
      <c r="AL116" s="136">
        <v>0</v>
      </c>
      <c r="AM116" s="136">
        <v>0</v>
      </c>
      <c r="AN116" s="136">
        <v>0</v>
      </c>
      <c r="AO116" s="136"/>
      <c r="AP116" s="143" t="str">
        <f>VLOOKUP(tbl_IO_List[[#This Row],[Instruement Tag]],tbl_Instruement_List[],14,FALSE)</f>
        <v>24 VDC energized</v>
      </c>
      <c r="AQ116" s="143" t="str">
        <f>tbl_IO_List[[#This Row],[Chassis]]&amp;"S"&amp;tbl_IO_List[[#This Row],[Slot]]&amp;"-"&amp;tbl_IO_List[[#This Row],[Front Terminal Number]]</f>
        <v>C1S7-15</v>
      </c>
      <c r="AR116" s="141" t="s">
        <v>1852</v>
      </c>
      <c r="AS116" s="136" t="str">
        <f>tbl_IO_List[[#This Row],[Terminal Tagging]]&amp;"-"&amp;tbl_IO_List[[#This Row],[Point-Count]]</f>
        <v>P1-TBDI4-15</v>
      </c>
      <c r="AT116" s="136" t="str">
        <f>tbl_IO_List[[#This Row],[Front Terminal Tagging]]&amp;"/"&amp;tbl_IO_List[[#This Row],[Terminal Tagging-Item]]</f>
        <v>C1S7-15/P1-TBDI4-15</v>
      </c>
      <c r="AU116" s="136" t="str">
        <f>tbl_IO_List[[#This Row],[Terminal Tagging-Item]]&amp;"/"&amp;tbl_IO_List[[#This Row],[Front Terminal Tagging]]</f>
        <v>P1-TBDI4-15/C1S7-15</v>
      </c>
    </row>
    <row r="117" spans="1:47" hidden="1">
      <c r="A117" s="147" t="s">
        <v>1369</v>
      </c>
      <c r="B117" s="136" t="s">
        <v>191</v>
      </c>
      <c r="C117" s="136" t="str">
        <f>tbl_IO_List[[#This Row],[Column3]]</f>
        <v>C1S07,15</v>
      </c>
      <c r="D117" s="136" t="str">
        <f>tbl_IO_List[[#This Row],[Card]]</f>
        <v>1756-IB32-15</v>
      </c>
      <c r="E117" s="136" t="s">
        <v>1366</v>
      </c>
      <c r="F117" s="136" t="str">
        <f>tbl_IO_List[[#This Row],[Column23]]&amp;"-" &amp;tbl_IO_List[[#This Row],[Column52]]</f>
        <v>C1S07-X1</v>
      </c>
      <c r="G117" s="136" t="str">
        <f>tbl_IO_List[[#This Row],[PLC_Tag]]</f>
        <v>XV-60205A_DI_1</v>
      </c>
      <c r="H117" s="136"/>
      <c r="I117" s="136" t="str">
        <f>VLOOKUP(tbl_IO_List[[#This Row],[Destination]],tbl_Junction[],2,FALSE)</f>
        <v>Spray Dryer 1st Floor</v>
      </c>
      <c r="J117" s="136" t="s">
        <v>191</v>
      </c>
      <c r="K117" s="136" t="s">
        <v>14</v>
      </c>
      <c r="L117" s="136" t="s">
        <v>219</v>
      </c>
      <c r="M117" s="136">
        <f>VLOOKUP(tbl_IO_List[[#This Row],[Instruement Tag]],tbl_Instruement_List[],2,FALSE)</f>
        <v>0</v>
      </c>
      <c r="N117" s="136" t="s">
        <v>15</v>
      </c>
      <c r="O117" s="136" t="s">
        <v>126</v>
      </c>
      <c r="P117" s="136" t="s">
        <v>127</v>
      </c>
      <c r="Q117" s="136" t="str">
        <f>VLOOKUP(tbl_IO_List[[#This Row],[Instruement Tag]],tbl_Instruement_List[],6,FALSE)</f>
        <v>Cooling Water On/Off Valve for Cooling Water Supply for PUPD-11 (PUPD-11)</v>
      </c>
      <c r="R117" s="136"/>
      <c r="S11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117" s="136" t="str">
        <f>tbl_IO_List[[#This Row],[Instruement Tag]]&amp;"_"&amp;tbl_IO_List[[#This Row],[I/O Type]]&amp;"_"&amp;tbl_IO_List[[#This Row],[IO-Point 
(Instruement)]]</f>
        <v>XV-60205A_DI_1</v>
      </c>
      <c r="U117" s="136" t="s">
        <v>8</v>
      </c>
      <c r="V117" s="136">
        <f>VLOOKUP(tbl_IO_List[[#This Row],[I/O Type]],tbl_Slot_Group[],2,FALSE)</f>
        <v>1</v>
      </c>
      <c r="W117" s="136">
        <v>1</v>
      </c>
      <c r="X117" s="136" t="str">
        <f>tbl_IO_List[[#This Row],[Chassis]]&amp;"S"&amp;TEXT(tbl_IO_List[[#This Row],[Slot]],"00")</f>
        <v>C1S07</v>
      </c>
      <c r="Y117" s="136" t="str">
        <f>tbl_IO_List[[#This Row],[Chassis]]&amp;"S"&amp;TEXT(tbl_IO_List[[#This Row],[Slot]],"00")&amp;tbl_IO_List[[#This Row],[I/O Type]]&amp;TEXT(tbl_IO_List[[#This Row],[Point]],"00")</f>
        <v>C1S07DI15</v>
      </c>
      <c r="Z117" s="136" t="str">
        <f>tbl_IO_List[[#This Row],[Chassis]]&amp;"S"&amp;TEXT(tbl_IO_List[[#This Row],[Slot]],"00")&amp;","&amp;TEXT(tbl_IO_List[[#This Row],[Point]],"00")</f>
        <v>C1S07,15</v>
      </c>
      <c r="AA117" s="136" t="str">
        <f>VLOOKUP(tbl_IO_List[[#This Row],[Column23]],tbl_RackConfig[],5,FALSE) &amp;"-"&amp;tbl_IO_List[[#This Row],[Point]]</f>
        <v>1756-IB32-15</v>
      </c>
      <c r="AB117" s="136"/>
      <c r="AC117" s="136" t="s">
        <v>1370</v>
      </c>
      <c r="AD117" s="136" t="str">
        <f>tbl_IO_List[[#This Row],[I/O Type]]</f>
        <v>DI</v>
      </c>
      <c r="AE117" s="136" t="s">
        <v>1332</v>
      </c>
      <c r="AF117" s="136">
        <v>7</v>
      </c>
      <c r="AG117" s="136">
        <v>15</v>
      </c>
      <c r="AH117" s="136">
        <v>16</v>
      </c>
      <c r="AI117" s="136">
        <v>16</v>
      </c>
      <c r="AJ117" s="136">
        <v>2</v>
      </c>
      <c r="AK117" s="136">
        <v>1</v>
      </c>
      <c r="AL117" s="136">
        <v>0</v>
      </c>
      <c r="AM117" s="136">
        <v>0</v>
      </c>
      <c r="AN117" s="136">
        <v>0</v>
      </c>
      <c r="AO117" s="136"/>
      <c r="AP117" s="143" t="str">
        <f>VLOOKUP(tbl_IO_List[[#This Row],[Instruement Tag]],tbl_Instruement_List[],14,FALSE)</f>
        <v>24 VDC energized,Dry Contact</v>
      </c>
      <c r="AQ117" s="143" t="str">
        <f>tbl_IO_List[[#This Row],[Chassis]]&amp;"S"&amp;tbl_IO_List[[#This Row],[Slot]]&amp;"-"&amp;tbl_IO_List[[#This Row],[Front Terminal Number]]</f>
        <v>C1S7-16</v>
      </c>
      <c r="AR117" s="141" t="s">
        <v>1852</v>
      </c>
      <c r="AS117" s="136" t="str">
        <f>tbl_IO_List[[#This Row],[Terminal Tagging]]&amp;"-"&amp;tbl_IO_List[[#This Row],[Point-Count]]</f>
        <v>P1-TBDI4-16</v>
      </c>
      <c r="AT117" s="136" t="str">
        <f>tbl_IO_List[[#This Row],[Front Terminal Tagging]]&amp;"/"&amp;tbl_IO_List[[#This Row],[Terminal Tagging-Item]]</f>
        <v>C1S7-16/P1-TBDI4-16</v>
      </c>
      <c r="AU117" s="136" t="str">
        <f>tbl_IO_List[[#This Row],[Terminal Tagging-Item]]&amp;"/"&amp;tbl_IO_List[[#This Row],[Front Terminal Tagging]]</f>
        <v>P1-TBDI4-16/C1S7-16</v>
      </c>
    </row>
    <row r="118" spans="1:47" hidden="1">
      <c r="A118" s="147" t="s">
        <v>1369</v>
      </c>
      <c r="B118" s="136" t="s">
        <v>191</v>
      </c>
      <c r="C118" s="136" t="str">
        <f>tbl_IO_List[[#This Row],[Column3]]</f>
        <v>C1S07,16</v>
      </c>
      <c r="D118" s="136" t="str">
        <f>tbl_IO_List[[#This Row],[Card]]</f>
        <v>1756-IB32-16</v>
      </c>
      <c r="E118" s="136" t="s">
        <v>1372</v>
      </c>
      <c r="F118" s="136" t="str">
        <f>tbl_IO_List[[#This Row],[Column23]]&amp;"-" &amp;tbl_IO_List[[#This Row],[Column52]]</f>
        <v>C1S07-X2</v>
      </c>
      <c r="G118" s="136" t="str">
        <f>tbl_IO_List[[#This Row],[PLC_Tag]]</f>
        <v>XV-60205A_DI_2</v>
      </c>
      <c r="H118" s="136"/>
      <c r="I118" s="136" t="str">
        <f>VLOOKUP(tbl_IO_List[[#This Row],[Destination]],tbl_Junction[],2,FALSE)</f>
        <v>Spray Dryer 1st Floor</v>
      </c>
      <c r="J118" s="136" t="s">
        <v>191</v>
      </c>
      <c r="K118" s="136" t="s">
        <v>14</v>
      </c>
      <c r="L118" s="136" t="s">
        <v>219</v>
      </c>
      <c r="M118" s="136">
        <f>VLOOKUP(tbl_IO_List[[#This Row],[Instruement Tag]],tbl_Instruement_List[],2,FALSE)</f>
        <v>0</v>
      </c>
      <c r="N118" s="136" t="s">
        <v>15</v>
      </c>
      <c r="O118" s="136" t="s">
        <v>126</v>
      </c>
      <c r="P118" s="136" t="s">
        <v>127</v>
      </c>
      <c r="Q118" s="136" t="str">
        <f>VLOOKUP(tbl_IO_List[[#This Row],[Instruement Tag]],tbl_Instruement_List[],6,FALSE)</f>
        <v>Cooling Water On/Off Valve for Cooling Water Supply for PUPD-11 (PUPD-11)</v>
      </c>
      <c r="R118" s="136"/>
      <c r="S11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118" s="136" t="str">
        <f>tbl_IO_List[[#This Row],[Instruement Tag]]&amp;"_"&amp;tbl_IO_List[[#This Row],[I/O Type]]&amp;"_"&amp;tbl_IO_List[[#This Row],[IO-Point 
(Instruement)]]</f>
        <v>XV-60205A_DI_2</v>
      </c>
      <c r="U118" s="136" t="s">
        <v>8</v>
      </c>
      <c r="V118" s="136">
        <f>VLOOKUP(tbl_IO_List[[#This Row],[I/O Type]],tbl_Slot_Group[],2,FALSE)</f>
        <v>1</v>
      </c>
      <c r="W118" s="136">
        <v>2</v>
      </c>
      <c r="X118" s="136" t="str">
        <f>tbl_IO_List[[#This Row],[Chassis]]&amp;"S"&amp;TEXT(tbl_IO_List[[#This Row],[Slot]],"00")</f>
        <v>C1S07</v>
      </c>
      <c r="Y118" s="136" t="str">
        <f>tbl_IO_List[[#This Row],[Chassis]]&amp;"S"&amp;TEXT(tbl_IO_List[[#This Row],[Slot]],"00")&amp;tbl_IO_List[[#This Row],[I/O Type]]&amp;TEXT(tbl_IO_List[[#This Row],[Point]],"00")</f>
        <v>C1S07DI16</v>
      </c>
      <c r="Z118" s="136" t="str">
        <f>tbl_IO_List[[#This Row],[Chassis]]&amp;"S"&amp;TEXT(tbl_IO_List[[#This Row],[Slot]],"00")&amp;","&amp;TEXT(tbl_IO_List[[#This Row],[Point]],"00")</f>
        <v>C1S07,16</v>
      </c>
      <c r="AA118" s="136" t="str">
        <f>VLOOKUP(tbl_IO_List[[#This Row],[Column23]],tbl_RackConfig[],5,FALSE) &amp;"-"&amp;tbl_IO_List[[#This Row],[Point]]</f>
        <v>1756-IB32-16</v>
      </c>
      <c r="AB118" s="136"/>
      <c r="AC118" s="136" t="s">
        <v>1370</v>
      </c>
      <c r="AD118" s="136" t="str">
        <f>tbl_IO_List[[#This Row],[I/O Type]]</f>
        <v>DI</v>
      </c>
      <c r="AE118" s="136" t="s">
        <v>1332</v>
      </c>
      <c r="AF118" s="136">
        <v>7</v>
      </c>
      <c r="AG118" s="136">
        <v>16</v>
      </c>
      <c r="AH118" s="136">
        <v>17</v>
      </c>
      <c r="AI118" s="136">
        <v>19</v>
      </c>
      <c r="AJ118" s="136">
        <v>2</v>
      </c>
      <c r="AK118" s="136">
        <v>1</v>
      </c>
      <c r="AL118" s="136">
        <v>0</v>
      </c>
      <c r="AM118" s="136">
        <v>0</v>
      </c>
      <c r="AN118" s="136">
        <v>0</v>
      </c>
      <c r="AO118" s="136"/>
      <c r="AP118" s="143" t="str">
        <f>VLOOKUP(tbl_IO_List[[#This Row],[Instruement Tag]],tbl_Instruement_List[],14,FALSE)</f>
        <v>24 VDC energized,Dry Contact</v>
      </c>
      <c r="AQ118" s="143" t="str">
        <f>tbl_IO_List[[#This Row],[Chassis]]&amp;"S"&amp;tbl_IO_List[[#This Row],[Slot]]&amp;"-"&amp;tbl_IO_List[[#This Row],[Front Terminal Number]]</f>
        <v>C1S7-19</v>
      </c>
      <c r="AR118" s="141" t="s">
        <v>1852</v>
      </c>
      <c r="AS118" s="136" t="str">
        <f>tbl_IO_List[[#This Row],[Terminal Tagging]]&amp;"-"&amp;tbl_IO_List[[#This Row],[Point-Count]]</f>
        <v>P1-TBDI4-17</v>
      </c>
      <c r="AT118" s="136" t="str">
        <f>tbl_IO_List[[#This Row],[Front Terminal Tagging]]&amp;"/"&amp;tbl_IO_List[[#This Row],[Terminal Tagging-Item]]</f>
        <v>C1S7-19/P1-TBDI4-17</v>
      </c>
      <c r="AU118" s="136" t="str">
        <f>tbl_IO_List[[#This Row],[Terminal Tagging-Item]]&amp;"/"&amp;tbl_IO_List[[#This Row],[Front Terminal Tagging]]</f>
        <v>P1-TBDI4-17/C1S7-19</v>
      </c>
    </row>
    <row r="119" spans="1:47" hidden="1">
      <c r="A119" s="147" t="s">
        <v>1369</v>
      </c>
      <c r="B119" s="136" t="s">
        <v>191</v>
      </c>
      <c r="C119" s="136" t="str">
        <f>tbl_IO_List[[#This Row],[Column3]]</f>
        <v>C1S07,17</v>
      </c>
      <c r="D119" s="136" t="str">
        <f>tbl_IO_List[[#This Row],[Card]]</f>
        <v>1756-IB32-17</v>
      </c>
      <c r="E119" s="136" t="s">
        <v>1372</v>
      </c>
      <c r="F119" s="136" t="str">
        <f>tbl_IO_List[[#This Row],[Column23]]&amp;"-" &amp;tbl_IO_List[[#This Row],[Column52]]</f>
        <v>C1S07-X2</v>
      </c>
      <c r="G119" s="136" t="str">
        <f>tbl_IO_List[[#This Row],[PLC_Tag]]</f>
        <v>XV-60240D_DI_1</v>
      </c>
      <c r="H119" s="136"/>
      <c r="I119" s="136" t="str">
        <f>VLOOKUP(tbl_IO_List[[#This Row],[Destination]],tbl_Junction[],2,FALSE)</f>
        <v>Spray Dryer 1st Floor</v>
      </c>
      <c r="J119" s="136" t="s">
        <v>191</v>
      </c>
      <c r="K119" s="136" t="s">
        <v>14</v>
      </c>
      <c r="L119" s="136" t="s">
        <v>215</v>
      </c>
      <c r="M119" s="136" t="e">
        <f>VLOOKUP(tbl_IO_List[[#This Row],[Instruement Tag]],tbl_Instruement_List[],2,FALSE)</f>
        <v>#N/A</v>
      </c>
      <c r="N119" s="136" t="s">
        <v>15</v>
      </c>
      <c r="O119" s="136" t="s">
        <v>21</v>
      </c>
      <c r="P119" s="136" t="s">
        <v>18</v>
      </c>
      <c r="Q119" s="136" t="e">
        <f>VLOOKUP(tbl_IO_List[[#This Row],[Instruement Tag]],tbl_Instruement_List[],6,FALSE)</f>
        <v>#N/A</v>
      </c>
      <c r="R119" s="136"/>
      <c r="S11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119" s="136" t="str">
        <f>tbl_IO_List[[#This Row],[Instruement Tag]]&amp;"_"&amp;tbl_IO_List[[#This Row],[I/O Type]]&amp;"_"&amp;tbl_IO_List[[#This Row],[IO-Point 
(Instruement)]]</f>
        <v>XV-60240D_DI_1</v>
      </c>
      <c r="U119" s="136" t="s">
        <v>8</v>
      </c>
      <c r="V119" s="136">
        <f>VLOOKUP(tbl_IO_List[[#This Row],[I/O Type]],tbl_Slot_Group[],2,FALSE)</f>
        <v>1</v>
      </c>
      <c r="W119" s="136">
        <v>1</v>
      </c>
      <c r="X119" s="136" t="str">
        <f>tbl_IO_List[[#This Row],[Chassis]]&amp;"S"&amp;TEXT(tbl_IO_List[[#This Row],[Slot]],"00")</f>
        <v>C1S07</v>
      </c>
      <c r="Y119" s="136" t="str">
        <f>tbl_IO_List[[#This Row],[Chassis]]&amp;"S"&amp;TEXT(tbl_IO_List[[#This Row],[Slot]],"00")&amp;tbl_IO_List[[#This Row],[I/O Type]]&amp;TEXT(tbl_IO_List[[#This Row],[Point]],"00")</f>
        <v>C1S07DI17</v>
      </c>
      <c r="Z119" s="136" t="str">
        <f>tbl_IO_List[[#This Row],[Chassis]]&amp;"S"&amp;TEXT(tbl_IO_List[[#This Row],[Slot]],"00")&amp;","&amp;TEXT(tbl_IO_List[[#This Row],[Point]],"00")</f>
        <v>C1S07,17</v>
      </c>
      <c r="AA119" s="136" t="str">
        <f>VLOOKUP(tbl_IO_List[[#This Row],[Column23]],tbl_RackConfig[],5,FALSE) &amp;"-"&amp;tbl_IO_List[[#This Row],[Point]]</f>
        <v>1756-IB32-17</v>
      </c>
      <c r="AB119" s="136"/>
      <c r="AC119" s="136" t="s">
        <v>1370</v>
      </c>
      <c r="AD119" s="136" t="str">
        <f>tbl_IO_List[[#This Row],[I/O Type]]</f>
        <v>DI</v>
      </c>
      <c r="AE119" s="136" t="s">
        <v>1332</v>
      </c>
      <c r="AF119" s="136">
        <v>7</v>
      </c>
      <c r="AG119" s="136">
        <v>17</v>
      </c>
      <c r="AH119" s="136">
        <v>18</v>
      </c>
      <c r="AI119" s="136">
        <v>20</v>
      </c>
      <c r="AJ119" s="136">
        <v>2</v>
      </c>
      <c r="AK119" s="136">
        <v>1</v>
      </c>
      <c r="AL119" s="136">
        <v>0</v>
      </c>
      <c r="AM119" s="136">
        <v>0</v>
      </c>
      <c r="AN119" s="136">
        <v>0</v>
      </c>
      <c r="AO119" s="136"/>
      <c r="AP119" s="143" t="e">
        <f>VLOOKUP(tbl_IO_List[[#This Row],[Instruement Tag]],tbl_Instruement_List[],14,FALSE)</f>
        <v>#N/A</v>
      </c>
      <c r="AQ119" s="143" t="str">
        <f>tbl_IO_List[[#This Row],[Chassis]]&amp;"S"&amp;tbl_IO_List[[#This Row],[Slot]]&amp;"-"&amp;tbl_IO_List[[#This Row],[Front Terminal Number]]</f>
        <v>C1S7-20</v>
      </c>
      <c r="AR119" s="141" t="s">
        <v>1852</v>
      </c>
      <c r="AS119" s="136" t="str">
        <f>tbl_IO_List[[#This Row],[Terminal Tagging]]&amp;"-"&amp;tbl_IO_List[[#This Row],[Point-Count]]</f>
        <v>P1-TBDI4-18</v>
      </c>
      <c r="AT119" s="136" t="str">
        <f>tbl_IO_List[[#This Row],[Front Terminal Tagging]]&amp;"/"&amp;tbl_IO_List[[#This Row],[Terminal Tagging-Item]]</f>
        <v>C1S7-20/P1-TBDI4-18</v>
      </c>
      <c r="AU119" s="136" t="str">
        <f>tbl_IO_List[[#This Row],[Terminal Tagging-Item]]&amp;"/"&amp;tbl_IO_List[[#This Row],[Front Terminal Tagging]]</f>
        <v>P1-TBDI4-18/C1S7-20</v>
      </c>
    </row>
    <row r="120" spans="1:47" hidden="1">
      <c r="A120" s="147" t="s">
        <v>1369</v>
      </c>
      <c r="B120" s="136" t="s">
        <v>191</v>
      </c>
      <c r="C120" s="136" t="str">
        <f>tbl_IO_List[[#This Row],[Column3]]</f>
        <v>C1S07,18</v>
      </c>
      <c r="D120" s="136" t="str">
        <f>tbl_IO_List[[#This Row],[Card]]</f>
        <v>1756-IB32-18</v>
      </c>
      <c r="E120" s="136" t="s">
        <v>1372</v>
      </c>
      <c r="F120" s="136" t="str">
        <f>tbl_IO_List[[#This Row],[Column23]]&amp;"-" &amp;tbl_IO_List[[#This Row],[Column52]]</f>
        <v>C1S07-X2</v>
      </c>
      <c r="G120" s="136" t="str">
        <f>tbl_IO_List[[#This Row],[PLC_Tag]]</f>
        <v>XV-60240D_DI_2</v>
      </c>
      <c r="H120" s="136"/>
      <c r="I120" s="136" t="str">
        <f>VLOOKUP(tbl_IO_List[[#This Row],[Destination]],tbl_Junction[],2,FALSE)</f>
        <v>Spray Dryer 1st Floor</v>
      </c>
      <c r="J120" s="136" t="s">
        <v>191</v>
      </c>
      <c r="K120" s="136" t="s">
        <v>14</v>
      </c>
      <c r="L120" s="136" t="s">
        <v>215</v>
      </c>
      <c r="M120" s="136" t="e">
        <f>VLOOKUP(tbl_IO_List[[#This Row],[Instruement Tag]],tbl_Instruement_List[],2,FALSE)</f>
        <v>#N/A</v>
      </c>
      <c r="N120" s="136" t="s">
        <v>15</v>
      </c>
      <c r="O120" s="136" t="s">
        <v>192</v>
      </c>
      <c r="P120" s="136" t="s">
        <v>22</v>
      </c>
      <c r="Q120" s="136" t="e">
        <f>VLOOKUP(tbl_IO_List[[#This Row],[Instruement Tag]],tbl_Instruement_List[],6,FALSE)</f>
        <v>#N/A</v>
      </c>
      <c r="R120" s="136"/>
      <c r="S12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120" s="136" t="str">
        <f>tbl_IO_List[[#This Row],[Instruement Tag]]&amp;"_"&amp;tbl_IO_List[[#This Row],[I/O Type]]&amp;"_"&amp;tbl_IO_List[[#This Row],[IO-Point 
(Instruement)]]</f>
        <v>XV-60240D_DI_2</v>
      </c>
      <c r="U120" s="136" t="s">
        <v>8</v>
      </c>
      <c r="V120" s="136">
        <f>VLOOKUP(tbl_IO_List[[#This Row],[I/O Type]],tbl_Slot_Group[],2,FALSE)</f>
        <v>1</v>
      </c>
      <c r="W120" s="136">
        <v>2</v>
      </c>
      <c r="X120" s="136" t="str">
        <f>tbl_IO_List[[#This Row],[Chassis]]&amp;"S"&amp;TEXT(tbl_IO_List[[#This Row],[Slot]],"00")</f>
        <v>C1S07</v>
      </c>
      <c r="Y120" s="136" t="str">
        <f>tbl_IO_List[[#This Row],[Chassis]]&amp;"S"&amp;TEXT(tbl_IO_List[[#This Row],[Slot]],"00")&amp;tbl_IO_List[[#This Row],[I/O Type]]&amp;TEXT(tbl_IO_List[[#This Row],[Point]],"00")</f>
        <v>C1S07DI18</v>
      </c>
      <c r="Z120" s="136" t="str">
        <f>tbl_IO_List[[#This Row],[Chassis]]&amp;"S"&amp;TEXT(tbl_IO_List[[#This Row],[Slot]],"00")&amp;","&amp;TEXT(tbl_IO_List[[#This Row],[Point]],"00")</f>
        <v>C1S07,18</v>
      </c>
      <c r="AA120" s="136" t="str">
        <f>VLOOKUP(tbl_IO_List[[#This Row],[Column23]],tbl_RackConfig[],5,FALSE) &amp;"-"&amp;tbl_IO_List[[#This Row],[Point]]</f>
        <v>1756-IB32-18</v>
      </c>
      <c r="AB120" s="136"/>
      <c r="AC120" s="136" t="s">
        <v>1370</v>
      </c>
      <c r="AD120" s="136" t="str">
        <f>tbl_IO_List[[#This Row],[I/O Type]]</f>
        <v>DI</v>
      </c>
      <c r="AE120" s="136" t="s">
        <v>1332</v>
      </c>
      <c r="AF120" s="136">
        <v>7</v>
      </c>
      <c r="AG120" s="136">
        <v>18</v>
      </c>
      <c r="AH120" s="136">
        <v>19</v>
      </c>
      <c r="AI120" s="136">
        <v>21</v>
      </c>
      <c r="AJ120" s="136">
        <v>2</v>
      </c>
      <c r="AK120" s="136">
        <v>1</v>
      </c>
      <c r="AL120" s="136">
        <v>0</v>
      </c>
      <c r="AM120" s="136">
        <v>0</v>
      </c>
      <c r="AN120" s="136">
        <v>0</v>
      </c>
      <c r="AO120" s="136"/>
      <c r="AP120" s="143" t="e">
        <f>VLOOKUP(tbl_IO_List[[#This Row],[Instruement Tag]],tbl_Instruement_List[],14,FALSE)</f>
        <v>#N/A</v>
      </c>
      <c r="AQ120" s="143" t="str">
        <f>tbl_IO_List[[#This Row],[Chassis]]&amp;"S"&amp;tbl_IO_List[[#This Row],[Slot]]&amp;"-"&amp;tbl_IO_List[[#This Row],[Front Terminal Number]]</f>
        <v>C1S7-21</v>
      </c>
      <c r="AR120" s="141" t="s">
        <v>1852</v>
      </c>
      <c r="AS120" s="136" t="str">
        <f>tbl_IO_List[[#This Row],[Terminal Tagging]]&amp;"-"&amp;tbl_IO_List[[#This Row],[Point-Count]]</f>
        <v>P1-TBDI4-19</v>
      </c>
      <c r="AT120" s="136" t="str">
        <f>tbl_IO_List[[#This Row],[Front Terminal Tagging]]&amp;"/"&amp;tbl_IO_List[[#This Row],[Terminal Tagging-Item]]</f>
        <v>C1S7-21/P1-TBDI4-19</v>
      </c>
      <c r="AU120" s="136" t="str">
        <f>tbl_IO_List[[#This Row],[Terminal Tagging-Item]]&amp;"/"&amp;tbl_IO_List[[#This Row],[Front Terminal Tagging]]</f>
        <v>P1-TBDI4-19/C1S7-21</v>
      </c>
    </row>
    <row r="121" spans="1:47" hidden="1">
      <c r="A121" s="147" t="s">
        <v>1369</v>
      </c>
      <c r="B121" s="136" t="s">
        <v>191</v>
      </c>
      <c r="C121" s="136" t="str">
        <f>tbl_IO_List[[#This Row],[Column3]]</f>
        <v>C1S07,19</v>
      </c>
      <c r="D121" s="136" t="str">
        <f>tbl_IO_List[[#This Row],[Card]]</f>
        <v>1756-IB32-19</v>
      </c>
      <c r="E121" s="136" t="s">
        <v>1372</v>
      </c>
      <c r="F121" s="136" t="str">
        <f>tbl_IO_List[[#This Row],[Column23]]&amp;"-" &amp;tbl_IO_List[[#This Row],[Column52]]</f>
        <v>C1S07-X2</v>
      </c>
      <c r="G121" s="136" t="str">
        <f>tbl_IO_List[[#This Row],[PLC_Tag]]</f>
        <v>XV-60240D_DI_1</v>
      </c>
      <c r="H121" s="136"/>
      <c r="I121" s="136" t="str">
        <f>VLOOKUP(tbl_IO_List[[#This Row],[Destination]],tbl_Junction[],2,FALSE)</f>
        <v>Spray Dryer 1st Floor</v>
      </c>
      <c r="J121" s="136" t="s">
        <v>191</v>
      </c>
      <c r="K121" s="136" t="s">
        <v>14</v>
      </c>
      <c r="L121" s="136" t="s">
        <v>215</v>
      </c>
      <c r="M121" s="136" t="e">
        <f>VLOOKUP(tbl_IO_List[[#This Row],[Instruement Tag]],tbl_Instruement_List[],2,FALSE)</f>
        <v>#N/A</v>
      </c>
      <c r="N121" s="136" t="s">
        <v>15</v>
      </c>
      <c r="O121" s="136" t="s">
        <v>21</v>
      </c>
      <c r="P121" s="136" t="s">
        <v>18</v>
      </c>
      <c r="Q121" s="136" t="e">
        <f>VLOOKUP(tbl_IO_List[[#This Row],[Instruement Tag]],tbl_Instruement_List[],6,FALSE)</f>
        <v>#N/A</v>
      </c>
      <c r="R121" s="136"/>
      <c r="S12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121" s="136" t="str">
        <f>tbl_IO_List[[#This Row],[Instruement Tag]]&amp;"_"&amp;tbl_IO_List[[#This Row],[I/O Type]]&amp;"_"&amp;tbl_IO_List[[#This Row],[IO-Point 
(Instruement)]]</f>
        <v>XV-60240D_DI_1</v>
      </c>
      <c r="U121" s="136" t="s">
        <v>8</v>
      </c>
      <c r="V121" s="136">
        <f>VLOOKUP(tbl_IO_List[[#This Row],[I/O Type]],tbl_Slot_Group[],2,FALSE)</f>
        <v>1</v>
      </c>
      <c r="W121" s="136">
        <v>1</v>
      </c>
      <c r="X121" s="136" t="str">
        <f>tbl_IO_List[[#This Row],[Chassis]]&amp;"S"&amp;TEXT(tbl_IO_List[[#This Row],[Slot]],"00")</f>
        <v>C1S07</v>
      </c>
      <c r="Y121" s="136" t="str">
        <f>tbl_IO_List[[#This Row],[Chassis]]&amp;"S"&amp;TEXT(tbl_IO_List[[#This Row],[Slot]],"00")&amp;tbl_IO_List[[#This Row],[I/O Type]]&amp;TEXT(tbl_IO_List[[#This Row],[Point]],"00")</f>
        <v>C1S07DI19</v>
      </c>
      <c r="Z121" s="136" t="str">
        <f>tbl_IO_List[[#This Row],[Chassis]]&amp;"S"&amp;TEXT(tbl_IO_List[[#This Row],[Slot]],"00")&amp;","&amp;TEXT(tbl_IO_List[[#This Row],[Point]],"00")</f>
        <v>C1S07,19</v>
      </c>
      <c r="AA121" s="136" t="str">
        <f>VLOOKUP(tbl_IO_List[[#This Row],[Column23]],tbl_RackConfig[],5,FALSE) &amp;"-"&amp;tbl_IO_List[[#This Row],[Point]]</f>
        <v>1756-IB32-19</v>
      </c>
      <c r="AB121" s="136"/>
      <c r="AC121" s="136" t="s">
        <v>1370</v>
      </c>
      <c r="AD121" s="136" t="str">
        <f>tbl_IO_List[[#This Row],[I/O Type]]</f>
        <v>DI</v>
      </c>
      <c r="AE121" s="136" t="s">
        <v>1332</v>
      </c>
      <c r="AF121" s="136">
        <v>7</v>
      </c>
      <c r="AG121" s="136">
        <v>19</v>
      </c>
      <c r="AH121" s="136">
        <v>20</v>
      </c>
      <c r="AI121" s="136">
        <v>22</v>
      </c>
      <c r="AJ121" s="136">
        <v>2</v>
      </c>
      <c r="AK121" s="136">
        <v>1</v>
      </c>
      <c r="AL121" s="136">
        <v>0</v>
      </c>
      <c r="AM121" s="136">
        <v>0</v>
      </c>
      <c r="AN121" s="136">
        <v>0</v>
      </c>
      <c r="AO121" s="136"/>
      <c r="AP121" s="143" t="e">
        <f>VLOOKUP(tbl_IO_List[[#This Row],[Instruement Tag]],tbl_Instruement_List[],14,FALSE)</f>
        <v>#N/A</v>
      </c>
      <c r="AQ121" s="143" t="str">
        <f>tbl_IO_List[[#This Row],[Chassis]]&amp;"S"&amp;tbl_IO_List[[#This Row],[Slot]]&amp;"-"&amp;tbl_IO_List[[#This Row],[Front Terminal Number]]</f>
        <v>C1S7-22</v>
      </c>
      <c r="AR121" s="141" t="s">
        <v>1852</v>
      </c>
      <c r="AS121" s="136" t="str">
        <f>tbl_IO_List[[#This Row],[Terminal Tagging]]&amp;"-"&amp;tbl_IO_List[[#This Row],[Point-Count]]</f>
        <v>P1-TBDI4-20</v>
      </c>
      <c r="AT121" s="136" t="str">
        <f>tbl_IO_List[[#This Row],[Front Terminal Tagging]]&amp;"/"&amp;tbl_IO_List[[#This Row],[Terminal Tagging-Item]]</f>
        <v>C1S7-22/P1-TBDI4-20</v>
      </c>
      <c r="AU121" s="136" t="str">
        <f>tbl_IO_List[[#This Row],[Terminal Tagging-Item]]&amp;"/"&amp;tbl_IO_List[[#This Row],[Front Terminal Tagging]]</f>
        <v>P1-TBDI4-20/C1S7-22</v>
      </c>
    </row>
    <row r="122" spans="1:47" hidden="1">
      <c r="A122" s="147" t="s">
        <v>1369</v>
      </c>
      <c r="B122" s="136" t="s">
        <v>191</v>
      </c>
      <c r="C122" s="136" t="str">
        <f>tbl_IO_List[[#This Row],[Column3]]</f>
        <v>C1S07,20</v>
      </c>
      <c r="D122" s="136" t="str">
        <f>tbl_IO_List[[#This Row],[Card]]</f>
        <v>1756-IB32-20</v>
      </c>
      <c r="E122" s="136" t="s">
        <v>1372</v>
      </c>
      <c r="F122" s="136" t="str">
        <f>tbl_IO_List[[#This Row],[Column23]]&amp;"-" &amp;tbl_IO_List[[#This Row],[Column52]]</f>
        <v>C1S07-X2</v>
      </c>
      <c r="G122" s="136" t="str">
        <f>tbl_IO_List[[#This Row],[PLC_Tag]]</f>
        <v>XV-60240D_DI_2</v>
      </c>
      <c r="H122" s="136"/>
      <c r="I122" s="136" t="str">
        <f>VLOOKUP(tbl_IO_List[[#This Row],[Destination]],tbl_Junction[],2,FALSE)</f>
        <v>Spray Dryer 1st Floor</v>
      </c>
      <c r="J122" s="136" t="s">
        <v>191</v>
      </c>
      <c r="K122" s="136" t="s">
        <v>14</v>
      </c>
      <c r="L122" s="136" t="s">
        <v>215</v>
      </c>
      <c r="M122" s="136" t="e">
        <f>VLOOKUP(tbl_IO_List[[#This Row],[Instruement Tag]],tbl_Instruement_List[],2,FALSE)</f>
        <v>#N/A</v>
      </c>
      <c r="N122" s="136" t="s">
        <v>15</v>
      </c>
      <c r="O122" s="136" t="s">
        <v>192</v>
      </c>
      <c r="P122" s="136" t="s">
        <v>22</v>
      </c>
      <c r="Q122" s="136" t="e">
        <f>VLOOKUP(tbl_IO_List[[#This Row],[Instruement Tag]],tbl_Instruement_List[],6,FALSE)</f>
        <v>#N/A</v>
      </c>
      <c r="R122" s="136"/>
      <c r="S12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122" s="136" t="str">
        <f>tbl_IO_List[[#This Row],[Instruement Tag]]&amp;"_"&amp;tbl_IO_List[[#This Row],[I/O Type]]&amp;"_"&amp;tbl_IO_List[[#This Row],[IO-Point 
(Instruement)]]</f>
        <v>XV-60240D_DI_2</v>
      </c>
      <c r="U122" s="136" t="s">
        <v>8</v>
      </c>
      <c r="V122" s="136">
        <f>VLOOKUP(tbl_IO_List[[#This Row],[I/O Type]],tbl_Slot_Group[],2,FALSE)</f>
        <v>1</v>
      </c>
      <c r="W122" s="136">
        <v>2</v>
      </c>
      <c r="X122" s="136" t="str">
        <f>tbl_IO_List[[#This Row],[Chassis]]&amp;"S"&amp;TEXT(tbl_IO_List[[#This Row],[Slot]],"00")</f>
        <v>C1S07</v>
      </c>
      <c r="Y122" s="136" t="str">
        <f>tbl_IO_List[[#This Row],[Chassis]]&amp;"S"&amp;TEXT(tbl_IO_List[[#This Row],[Slot]],"00")&amp;tbl_IO_List[[#This Row],[I/O Type]]&amp;TEXT(tbl_IO_List[[#This Row],[Point]],"00")</f>
        <v>C1S07DI20</v>
      </c>
      <c r="Z122" s="136" t="str">
        <f>tbl_IO_List[[#This Row],[Chassis]]&amp;"S"&amp;TEXT(tbl_IO_List[[#This Row],[Slot]],"00")&amp;","&amp;TEXT(tbl_IO_List[[#This Row],[Point]],"00")</f>
        <v>C1S07,20</v>
      </c>
      <c r="AA122" s="136" t="str">
        <f>VLOOKUP(tbl_IO_List[[#This Row],[Column23]],tbl_RackConfig[],5,FALSE) &amp;"-"&amp;tbl_IO_List[[#This Row],[Point]]</f>
        <v>1756-IB32-20</v>
      </c>
      <c r="AB122" s="136"/>
      <c r="AC122" s="136" t="s">
        <v>1370</v>
      </c>
      <c r="AD122" s="136" t="str">
        <f>tbl_IO_List[[#This Row],[I/O Type]]</f>
        <v>DI</v>
      </c>
      <c r="AE122" s="136" t="s">
        <v>1332</v>
      </c>
      <c r="AF122" s="136">
        <v>7</v>
      </c>
      <c r="AG122" s="136">
        <v>20</v>
      </c>
      <c r="AH122" s="136">
        <v>21</v>
      </c>
      <c r="AI122" s="136">
        <v>23</v>
      </c>
      <c r="AJ122" s="136">
        <v>2</v>
      </c>
      <c r="AK122" s="136">
        <v>1</v>
      </c>
      <c r="AL122" s="136">
        <v>0</v>
      </c>
      <c r="AM122" s="136">
        <v>0</v>
      </c>
      <c r="AN122" s="136">
        <v>0</v>
      </c>
      <c r="AO122" s="136"/>
      <c r="AP122" s="143" t="e">
        <f>VLOOKUP(tbl_IO_List[[#This Row],[Instruement Tag]],tbl_Instruement_List[],14,FALSE)</f>
        <v>#N/A</v>
      </c>
      <c r="AQ122" s="143" t="str">
        <f>tbl_IO_List[[#This Row],[Chassis]]&amp;"S"&amp;tbl_IO_List[[#This Row],[Slot]]&amp;"-"&amp;tbl_IO_List[[#This Row],[Front Terminal Number]]</f>
        <v>C1S7-23</v>
      </c>
      <c r="AR122" s="141" t="s">
        <v>1852</v>
      </c>
      <c r="AS122" s="136" t="str">
        <f>tbl_IO_List[[#This Row],[Terminal Tagging]]&amp;"-"&amp;tbl_IO_List[[#This Row],[Point-Count]]</f>
        <v>P1-TBDI4-21</v>
      </c>
      <c r="AT122" s="136" t="str">
        <f>tbl_IO_List[[#This Row],[Front Terminal Tagging]]&amp;"/"&amp;tbl_IO_List[[#This Row],[Terminal Tagging-Item]]</f>
        <v>C1S7-23/P1-TBDI4-21</v>
      </c>
      <c r="AU122" s="136" t="str">
        <f>tbl_IO_List[[#This Row],[Terminal Tagging-Item]]&amp;"/"&amp;tbl_IO_List[[#This Row],[Front Terminal Tagging]]</f>
        <v>P1-TBDI4-21/C1S7-23</v>
      </c>
    </row>
    <row r="123" spans="1:47" hidden="1">
      <c r="A123" s="147" t="s">
        <v>1369</v>
      </c>
      <c r="B123" s="136" t="s">
        <v>191</v>
      </c>
      <c r="C123" s="136" t="str">
        <f>tbl_IO_List[[#This Row],[Column3]]</f>
        <v>C1S07,21</v>
      </c>
      <c r="D123" s="136" t="str">
        <f>tbl_IO_List[[#This Row],[Card]]</f>
        <v>1756-IB32-21</v>
      </c>
      <c r="E123" s="136" t="s">
        <v>1372</v>
      </c>
      <c r="F123" s="136" t="str">
        <f>tbl_IO_List[[#This Row],[Column23]]&amp;"-" &amp;tbl_IO_List[[#This Row],[Column52]]</f>
        <v>C1S07-X2</v>
      </c>
      <c r="G123" s="136" t="str">
        <f>tbl_IO_List[[#This Row],[PLC_Tag]]</f>
        <v>YA-60205_DI_1</v>
      </c>
      <c r="H123" s="136"/>
      <c r="I123" s="136" t="str">
        <f>VLOOKUP(tbl_IO_List[[#This Row],[Destination]],tbl_Junction[],2,FALSE)</f>
        <v>Spray Dryer 1st Floor</v>
      </c>
      <c r="J123" s="136" t="s">
        <v>191</v>
      </c>
      <c r="K123" s="136" t="s">
        <v>14</v>
      </c>
      <c r="L123" s="136" t="s">
        <v>1214</v>
      </c>
      <c r="M123" s="136">
        <f>VLOOKUP(tbl_IO_List[[#This Row],[Instruement Tag]],tbl_Instruement_List[],2,FALSE)</f>
        <v>0</v>
      </c>
      <c r="N123" s="136" t="s">
        <v>15</v>
      </c>
      <c r="O123" s="136" t="s">
        <v>126</v>
      </c>
      <c r="P123" s="136" t="s">
        <v>18</v>
      </c>
      <c r="Q123" s="136" t="str">
        <f>VLOOKUP(tbl_IO_List[[#This Row],[Instruement Tag]],tbl_Instruement_List[],6,FALSE)</f>
        <v xml:space="preserve">Fault Command </v>
      </c>
      <c r="R123" s="136"/>
      <c r="S12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23" s="136" t="str">
        <f>tbl_IO_List[[#This Row],[Instruement Tag]]&amp;"_"&amp;tbl_IO_List[[#This Row],[I/O Type]]&amp;"_"&amp;tbl_IO_List[[#This Row],[IO-Point 
(Instruement)]]</f>
        <v>YA-60205_DI_1</v>
      </c>
      <c r="U123" s="136" t="s">
        <v>8</v>
      </c>
      <c r="V123" s="136">
        <f>VLOOKUP(tbl_IO_List[[#This Row],[I/O Type]],tbl_Slot_Group[],2,FALSE)</f>
        <v>1</v>
      </c>
      <c r="W123" s="136">
        <v>1</v>
      </c>
      <c r="X123" s="136" t="str">
        <f>tbl_IO_List[[#This Row],[Chassis]]&amp;"S"&amp;TEXT(tbl_IO_List[[#This Row],[Slot]],"00")</f>
        <v>C1S07</v>
      </c>
      <c r="Y123" s="136" t="str">
        <f>tbl_IO_List[[#This Row],[Chassis]]&amp;"S"&amp;TEXT(tbl_IO_List[[#This Row],[Slot]],"00")&amp;tbl_IO_List[[#This Row],[I/O Type]]&amp;TEXT(tbl_IO_List[[#This Row],[Point]],"00")</f>
        <v>C1S07DI21</v>
      </c>
      <c r="Z123" s="136" t="str">
        <f>tbl_IO_List[[#This Row],[Chassis]]&amp;"S"&amp;TEXT(tbl_IO_List[[#This Row],[Slot]],"00")&amp;","&amp;TEXT(tbl_IO_List[[#This Row],[Point]],"00")</f>
        <v>C1S07,21</v>
      </c>
      <c r="AA123" s="136" t="str">
        <f>VLOOKUP(tbl_IO_List[[#This Row],[Column23]],tbl_RackConfig[],5,FALSE) &amp;"-"&amp;tbl_IO_List[[#This Row],[Point]]</f>
        <v>1756-IB32-21</v>
      </c>
      <c r="AB123" s="136"/>
      <c r="AC123" s="136" t="s">
        <v>1370</v>
      </c>
      <c r="AD123" s="136" t="str">
        <f>tbl_IO_List[[#This Row],[I/O Type]]</f>
        <v>DI</v>
      </c>
      <c r="AE123" s="136" t="s">
        <v>1332</v>
      </c>
      <c r="AF123" s="136">
        <v>7</v>
      </c>
      <c r="AG123" s="136">
        <v>21</v>
      </c>
      <c r="AH123" s="136">
        <v>22</v>
      </c>
      <c r="AI123" s="136">
        <v>24</v>
      </c>
      <c r="AJ123" s="136">
        <v>1</v>
      </c>
      <c r="AK123" s="136">
        <v>0</v>
      </c>
      <c r="AL123" s="136">
        <v>0</v>
      </c>
      <c r="AM123" s="136">
        <v>0</v>
      </c>
      <c r="AN123" s="136">
        <v>0</v>
      </c>
      <c r="AO123" s="136"/>
      <c r="AP123" s="143">
        <f>VLOOKUP(tbl_IO_List[[#This Row],[Instruement Tag]],tbl_Instruement_List[],14,FALSE)</f>
        <v>0</v>
      </c>
      <c r="AQ123" s="143" t="str">
        <f>tbl_IO_List[[#This Row],[Chassis]]&amp;"S"&amp;tbl_IO_List[[#This Row],[Slot]]&amp;"-"&amp;tbl_IO_List[[#This Row],[Front Terminal Number]]</f>
        <v>C1S7-24</v>
      </c>
      <c r="AR123" s="141" t="s">
        <v>1852</v>
      </c>
      <c r="AS123" s="136" t="str">
        <f>tbl_IO_List[[#This Row],[Terminal Tagging]]&amp;"-"&amp;tbl_IO_List[[#This Row],[Point-Count]]</f>
        <v>P1-TBDI4-22</v>
      </c>
      <c r="AT123" s="136" t="str">
        <f>tbl_IO_List[[#This Row],[Front Terminal Tagging]]&amp;"/"&amp;tbl_IO_List[[#This Row],[Terminal Tagging-Item]]</f>
        <v>C1S7-24/P1-TBDI4-22</v>
      </c>
      <c r="AU123" s="136" t="str">
        <f>tbl_IO_List[[#This Row],[Terminal Tagging-Item]]&amp;"/"&amp;tbl_IO_List[[#This Row],[Front Terminal Tagging]]</f>
        <v>P1-TBDI4-22/C1S7-24</v>
      </c>
    </row>
    <row r="124" spans="1:47" hidden="1">
      <c r="A124" s="147" t="s">
        <v>1369</v>
      </c>
      <c r="B124" s="136" t="s">
        <v>191</v>
      </c>
      <c r="C124" s="136" t="str">
        <f>tbl_IO_List[[#This Row],[Column3]]</f>
        <v>C1S07,22</v>
      </c>
      <c r="D124" s="136" t="str">
        <f>tbl_IO_List[[#This Row],[Card]]</f>
        <v>1756-IB32-22</v>
      </c>
      <c r="E124" s="136" t="s">
        <v>1372</v>
      </c>
      <c r="F124" s="136" t="str">
        <f>tbl_IO_List[[#This Row],[Column23]]&amp;"-" &amp;tbl_IO_List[[#This Row],[Column52]]</f>
        <v>C1S07-X2</v>
      </c>
      <c r="G124" s="136" t="str">
        <f>tbl_IO_List[[#This Row],[PLC_Tag]]</f>
        <v>YI-60205_DI_1</v>
      </c>
      <c r="H124" s="136"/>
      <c r="I124" s="136" t="str">
        <f>VLOOKUP(tbl_IO_List[[#This Row],[Destination]],tbl_Junction[],2,FALSE)</f>
        <v>Spray Dryer 1st Floor</v>
      </c>
      <c r="J124" s="136" t="s">
        <v>191</v>
      </c>
      <c r="K124" s="136" t="s">
        <v>14</v>
      </c>
      <c r="L124" s="136" t="s">
        <v>1216</v>
      </c>
      <c r="M124" s="136">
        <f>VLOOKUP(tbl_IO_List[[#This Row],[Instruement Tag]],tbl_Instruement_List[],2,FALSE)</f>
        <v>0</v>
      </c>
      <c r="N124" s="136" t="s">
        <v>15</v>
      </c>
      <c r="O124" s="136" t="s">
        <v>126</v>
      </c>
      <c r="P124" s="136" t="s">
        <v>18</v>
      </c>
      <c r="Q124" s="136" t="str">
        <f>VLOOKUP(tbl_IO_List[[#This Row],[Instruement Tag]],tbl_Instruement_List[],6,FALSE)</f>
        <v>Run Command</v>
      </c>
      <c r="R124" s="136"/>
      <c r="S12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24" s="136" t="str">
        <f>tbl_IO_List[[#This Row],[Instruement Tag]]&amp;"_"&amp;tbl_IO_List[[#This Row],[I/O Type]]&amp;"_"&amp;tbl_IO_List[[#This Row],[IO-Point 
(Instruement)]]</f>
        <v>YI-60205_DI_1</v>
      </c>
      <c r="U124" s="136" t="s">
        <v>8</v>
      </c>
      <c r="V124" s="136">
        <f>VLOOKUP(tbl_IO_List[[#This Row],[I/O Type]],tbl_Slot_Group[],2,FALSE)</f>
        <v>1</v>
      </c>
      <c r="W124" s="136">
        <v>1</v>
      </c>
      <c r="X124" s="136" t="str">
        <f>tbl_IO_List[[#This Row],[Chassis]]&amp;"S"&amp;TEXT(tbl_IO_List[[#This Row],[Slot]],"00")</f>
        <v>C1S07</v>
      </c>
      <c r="Y124" s="136" t="str">
        <f>tbl_IO_List[[#This Row],[Chassis]]&amp;"S"&amp;TEXT(tbl_IO_List[[#This Row],[Slot]],"00")&amp;tbl_IO_List[[#This Row],[I/O Type]]&amp;TEXT(tbl_IO_List[[#This Row],[Point]],"00")</f>
        <v>C1S07DI22</v>
      </c>
      <c r="Z124" s="136" t="str">
        <f>tbl_IO_List[[#This Row],[Chassis]]&amp;"S"&amp;TEXT(tbl_IO_List[[#This Row],[Slot]],"00")&amp;","&amp;TEXT(tbl_IO_List[[#This Row],[Point]],"00")</f>
        <v>C1S07,22</v>
      </c>
      <c r="AA124" s="136" t="str">
        <f>VLOOKUP(tbl_IO_List[[#This Row],[Column23]],tbl_RackConfig[],5,FALSE) &amp;"-"&amp;tbl_IO_List[[#This Row],[Point]]</f>
        <v>1756-IB32-22</v>
      </c>
      <c r="AB124" s="136"/>
      <c r="AC124" s="136" t="s">
        <v>1370</v>
      </c>
      <c r="AD124" s="136" t="str">
        <f>tbl_IO_List[[#This Row],[I/O Type]]</f>
        <v>DI</v>
      </c>
      <c r="AE124" s="136" t="s">
        <v>1332</v>
      </c>
      <c r="AF124" s="136">
        <v>7</v>
      </c>
      <c r="AG124" s="136">
        <v>22</v>
      </c>
      <c r="AH124" s="136">
        <v>23</v>
      </c>
      <c r="AI124" s="136">
        <v>25</v>
      </c>
      <c r="AJ124" s="136">
        <v>1</v>
      </c>
      <c r="AK124" s="136">
        <v>0</v>
      </c>
      <c r="AL124" s="136">
        <v>0</v>
      </c>
      <c r="AM124" s="136">
        <v>0</v>
      </c>
      <c r="AN124" s="136">
        <v>0</v>
      </c>
      <c r="AO124" s="136"/>
      <c r="AP124" s="143">
        <f>VLOOKUP(tbl_IO_List[[#This Row],[Instruement Tag]],tbl_Instruement_List[],14,FALSE)</f>
        <v>0</v>
      </c>
      <c r="AQ124" s="143" t="str">
        <f>tbl_IO_List[[#This Row],[Chassis]]&amp;"S"&amp;tbl_IO_List[[#This Row],[Slot]]&amp;"-"&amp;tbl_IO_List[[#This Row],[Front Terminal Number]]</f>
        <v>C1S7-25</v>
      </c>
      <c r="AR124" s="141" t="s">
        <v>1852</v>
      </c>
      <c r="AS124" s="136" t="str">
        <f>tbl_IO_List[[#This Row],[Terminal Tagging]]&amp;"-"&amp;tbl_IO_List[[#This Row],[Point-Count]]</f>
        <v>P1-TBDI4-23</v>
      </c>
      <c r="AT124" s="136" t="str">
        <f>tbl_IO_List[[#This Row],[Front Terminal Tagging]]&amp;"/"&amp;tbl_IO_List[[#This Row],[Terminal Tagging-Item]]</f>
        <v>C1S7-25/P1-TBDI4-23</v>
      </c>
      <c r="AU124" s="136" t="str">
        <f>tbl_IO_List[[#This Row],[Terminal Tagging-Item]]&amp;"/"&amp;tbl_IO_List[[#This Row],[Front Terminal Tagging]]</f>
        <v>P1-TBDI4-23/C1S7-25</v>
      </c>
    </row>
    <row r="125" spans="1:47" hidden="1">
      <c r="A125" s="147" t="s">
        <v>1369</v>
      </c>
      <c r="B125" s="136" t="s">
        <v>191</v>
      </c>
      <c r="C125" s="136" t="str">
        <f>tbl_IO_List[[#This Row],[Column3]]</f>
        <v>C1S07,23</v>
      </c>
      <c r="D125" s="136" t="str">
        <f>tbl_IO_List[[#This Row],[Card]]</f>
        <v>1756-IB32-23</v>
      </c>
      <c r="E125" s="136" t="s">
        <v>1372</v>
      </c>
      <c r="F125" s="136" t="str">
        <f>tbl_IO_List[[#This Row],[Column23]]&amp;"-" &amp;tbl_IO_List[[#This Row],[Column52]]</f>
        <v>C1S07-X2</v>
      </c>
      <c r="G125" s="136" t="str">
        <f>tbl_IO_List[[#This Row],[PLC_Tag]]</f>
        <v>Spare_DI_0</v>
      </c>
      <c r="H125" s="136"/>
      <c r="I125" s="136" t="str">
        <f>VLOOKUP(tbl_IO_List[[#This Row],[Destination]],tbl_Junction[],2,FALSE)</f>
        <v>Spray Dryer 1st Floor</v>
      </c>
      <c r="J125" s="136" t="s">
        <v>191</v>
      </c>
      <c r="K125" s="136" t="s">
        <v>14</v>
      </c>
      <c r="L125" s="136" t="s">
        <v>411</v>
      </c>
      <c r="M125" s="136" t="e">
        <f>VLOOKUP(tbl_IO_List[[#This Row],[Instruement Tag]],tbl_Instruement_List[],2,FALSE)</f>
        <v>#N/A</v>
      </c>
      <c r="N125" s="136" t="s">
        <v>15</v>
      </c>
      <c r="O125" s="136" t="s">
        <v>18</v>
      </c>
      <c r="P125" s="136" t="s">
        <v>18</v>
      </c>
      <c r="Q125" s="136" t="e">
        <f>VLOOKUP(tbl_IO_List[[#This Row],[Instruement Tag]],tbl_Instruement_List[],6,FALSE)</f>
        <v>#N/A</v>
      </c>
      <c r="R125" s="136"/>
      <c r="S12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25" s="136" t="str">
        <f>tbl_IO_List[[#This Row],[Instruement Tag]]&amp;"_"&amp;tbl_IO_List[[#This Row],[I/O Type]]&amp;"_"&amp;tbl_IO_List[[#This Row],[IO-Point 
(Instruement)]]</f>
        <v>Spare_DI_0</v>
      </c>
      <c r="U125" s="136" t="s">
        <v>8</v>
      </c>
      <c r="V125" s="136">
        <f>VLOOKUP(tbl_IO_List[[#This Row],[I/O Type]],tbl_Slot_Group[],2,FALSE)</f>
        <v>1</v>
      </c>
      <c r="W125" s="136">
        <v>0</v>
      </c>
      <c r="X125" s="136" t="str">
        <f>tbl_IO_List[[#This Row],[Chassis]]&amp;"S"&amp;TEXT(tbl_IO_List[[#This Row],[Slot]],"00")</f>
        <v>C1S07</v>
      </c>
      <c r="Y125" s="136" t="str">
        <f>tbl_IO_List[[#This Row],[Chassis]]&amp;"S"&amp;TEXT(tbl_IO_List[[#This Row],[Slot]],"00")&amp;tbl_IO_List[[#This Row],[I/O Type]]&amp;TEXT(tbl_IO_List[[#This Row],[Point]],"00")</f>
        <v>C1S07DI23</v>
      </c>
      <c r="Z125" s="136" t="str">
        <f>tbl_IO_List[[#This Row],[Chassis]]&amp;"S"&amp;TEXT(tbl_IO_List[[#This Row],[Slot]],"00")&amp;","&amp;TEXT(tbl_IO_List[[#This Row],[Point]],"00")</f>
        <v>C1S07,23</v>
      </c>
      <c r="AA125" s="136" t="str">
        <f>VLOOKUP(tbl_IO_List[[#This Row],[Column23]],tbl_RackConfig[],5,FALSE) &amp;"-"&amp;tbl_IO_List[[#This Row],[Point]]</f>
        <v>1756-IB32-23</v>
      </c>
      <c r="AB125" s="136"/>
      <c r="AC125" s="136" t="s">
        <v>1370</v>
      </c>
      <c r="AD125" s="136" t="str">
        <f>tbl_IO_List[[#This Row],[I/O Type]]</f>
        <v>DI</v>
      </c>
      <c r="AE125" s="136" t="s">
        <v>1332</v>
      </c>
      <c r="AF125" s="136">
        <v>7</v>
      </c>
      <c r="AG125" s="136">
        <v>23</v>
      </c>
      <c r="AH125" s="136">
        <v>24</v>
      </c>
      <c r="AI125" s="136">
        <v>26</v>
      </c>
      <c r="AJ125" s="136">
        <v>1</v>
      </c>
      <c r="AK125" s="136">
        <v>0</v>
      </c>
      <c r="AL125" s="136">
        <v>0</v>
      </c>
      <c r="AM125" s="136">
        <v>0</v>
      </c>
      <c r="AN125" s="136">
        <v>0</v>
      </c>
      <c r="AO125" s="136"/>
      <c r="AP125" s="143" t="e">
        <f>VLOOKUP(tbl_IO_List[[#This Row],[Instruement Tag]],tbl_Instruement_List[],14,FALSE)</f>
        <v>#N/A</v>
      </c>
      <c r="AQ125" s="143" t="str">
        <f>tbl_IO_List[[#This Row],[Chassis]]&amp;"S"&amp;tbl_IO_List[[#This Row],[Slot]]&amp;"-"&amp;tbl_IO_List[[#This Row],[Front Terminal Number]]</f>
        <v>C1S7-26</v>
      </c>
      <c r="AR125" s="141" t="s">
        <v>1852</v>
      </c>
      <c r="AS125" s="136" t="str">
        <f>tbl_IO_List[[#This Row],[Terminal Tagging]]&amp;"-"&amp;tbl_IO_List[[#This Row],[Point-Count]]</f>
        <v>P1-TBDI4-24</v>
      </c>
      <c r="AT125" s="136" t="str">
        <f>tbl_IO_List[[#This Row],[Front Terminal Tagging]]&amp;"/"&amp;tbl_IO_List[[#This Row],[Terminal Tagging-Item]]</f>
        <v>C1S7-26/P1-TBDI4-24</v>
      </c>
      <c r="AU125" s="136" t="str">
        <f>tbl_IO_List[[#This Row],[Terminal Tagging-Item]]&amp;"/"&amp;tbl_IO_List[[#This Row],[Front Terminal Tagging]]</f>
        <v>P1-TBDI4-24/C1S7-26</v>
      </c>
    </row>
    <row r="126" spans="1:47" hidden="1">
      <c r="A126" s="147" t="s">
        <v>1369</v>
      </c>
      <c r="B126" s="136" t="s">
        <v>191</v>
      </c>
      <c r="C126" s="136" t="str">
        <f>tbl_IO_List[[#This Row],[Column3]]</f>
        <v>C1S07,24</v>
      </c>
      <c r="D126" s="136" t="str">
        <f>tbl_IO_List[[#This Row],[Card]]</f>
        <v>1756-IB32-24</v>
      </c>
      <c r="E126" s="136" t="s">
        <v>1372</v>
      </c>
      <c r="F126" s="136" t="str">
        <f>tbl_IO_List[[#This Row],[Column23]]&amp;"-" &amp;tbl_IO_List[[#This Row],[Column52]]</f>
        <v>C1S07-X2</v>
      </c>
      <c r="G126" s="136" t="str">
        <f>tbl_IO_List[[#This Row],[PLC_Tag]]</f>
        <v>Spare_DI_0</v>
      </c>
      <c r="H126" s="136"/>
      <c r="I126" s="136" t="str">
        <f>VLOOKUP(tbl_IO_List[[#This Row],[Destination]],tbl_Junction[],2,FALSE)</f>
        <v>Spray Dryer 1st Floor</v>
      </c>
      <c r="J126" s="136" t="s">
        <v>191</v>
      </c>
      <c r="K126" s="136" t="s">
        <v>14</v>
      </c>
      <c r="L126" s="136" t="s">
        <v>411</v>
      </c>
      <c r="M126" s="136" t="e">
        <f>VLOOKUP(tbl_IO_List[[#This Row],[Instruement Tag]],tbl_Instruement_List[],2,FALSE)</f>
        <v>#N/A</v>
      </c>
      <c r="N126" s="136" t="s">
        <v>15</v>
      </c>
      <c r="O126" s="136" t="s">
        <v>18</v>
      </c>
      <c r="P126" s="136" t="s">
        <v>18</v>
      </c>
      <c r="Q126" s="136" t="e">
        <f>VLOOKUP(tbl_IO_List[[#This Row],[Instruement Tag]],tbl_Instruement_List[],6,FALSE)</f>
        <v>#N/A</v>
      </c>
      <c r="R126" s="136"/>
      <c r="S12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26" s="136" t="str">
        <f>tbl_IO_List[[#This Row],[Instruement Tag]]&amp;"_"&amp;tbl_IO_List[[#This Row],[I/O Type]]&amp;"_"&amp;tbl_IO_List[[#This Row],[IO-Point 
(Instruement)]]</f>
        <v>Spare_DI_0</v>
      </c>
      <c r="U126" s="136" t="s">
        <v>8</v>
      </c>
      <c r="V126" s="136">
        <f>VLOOKUP(tbl_IO_List[[#This Row],[I/O Type]],tbl_Slot_Group[],2,FALSE)</f>
        <v>1</v>
      </c>
      <c r="W126" s="136">
        <v>0</v>
      </c>
      <c r="X126" s="136" t="str">
        <f>tbl_IO_List[[#This Row],[Chassis]]&amp;"S"&amp;TEXT(tbl_IO_List[[#This Row],[Slot]],"00")</f>
        <v>C1S07</v>
      </c>
      <c r="Y126" s="136" t="str">
        <f>tbl_IO_List[[#This Row],[Chassis]]&amp;"S"&amp;TEXT(tbl_IO_List[[#This Row],[Slot]],"00")&amp;tbl_IO_List[[#This Row],[I/O Type]]&amp;TEXT(tbl_IO_List[[#This Row],[Point]],"00")</f>
        <v>C1S07DI24</v>
      </c>
      <c r="Z126" s="136" t="str">
        <f>tbl_IO_List[[#This Row],[Chassis]]&amp;"S"&amp;TEXT(tbl_IO_List[[#This Row],[Slot]],"00")&amp;","&amp;TEXT(tbl_IO_List[[#This Row],[Point]],"00")</f>
        <v>C1S07,24</v>
      </c>
      <c r="AA126" s="136" t="str">
        <f>VLOOKUP(tbl_IO_List[[#This Row],[Column23]],tbl_RackConfig[],5,FALSE) &amp;"-"&amp;tbl_IO_List[[#This Row],[Point]]</f>
        <v>1756-IB32-24</v>
      </c>
      <c r="AB126" s="136"/>
      <c r="AC126" s="136" t="s">
        <v>1370</v>
      </c>
      <c r="AD126" s="136" t="str">
        <f>tbl_IO_List[[#This Row],[I/O Type]]</f>
        <v>DI</v>
      </c>
      <c r="AE126" s="136" t="s">
        <v>1332</v>
      </c>
      <c r="AF126" s="136">
        <v>7</v>
      </c>
      <c r="AG126" s="136">
        <v>24</v>
      </c>
      <c r="AH126" s="136">
        <v>25</v>
      </c>
      <c r="AI126" s="136">
        <v>27</v>
      </c>
      <c r="AJ126" s="136">
        <v>1</v>
      </c>
      <c r="AK126" s="136">
        <v>0</v>
      </c>
      <c r="AL126" s="136">
        <v>0</v>
      </c>
      <c r="AM126" s="136">
        <v>0</v>
      </c>
      <c r="AN126" s="136">
        <v>0</v>
      </c>
      <c r="AO126" s="136"/>
      <c r="AP126" s="143" t="e">
        <f>VLOOKUP(tbl_IO_List[[#This Row],[Instruement Tag]],tbl_Instruement_List[],14,FALSE)</f>
        <v>#N/A</v>
      </c>
      <c r="AQ126" s="143" t="str">
        <f>tbl_IO_List[[#This Row],[Chassis]]&amp;"S"&amp;tbl_IO_List[[#This Row],[Slot]]&amp;"-"&amp;tbl_IO_List[[#This Row],[Front Terminal Number]]</f>
        <v>C1S7-27</v>
      </c>
      <c r="AR126" s="141" t="s">
        <v>1852</v>
      </c>
      <c r="AS126" s="136" t="str">
        <f>tbl_IO_List[[#This Row],[Terminal Tagging]]&amp;"-"&amp;tbl_IO_List[[#This Row],[Point-Count]]</f>
        <v>P1-TBDI4-25</v>
      </c>
      <c r="AT126" s="136" t="str">
        <f>tbl_IO_List[[#This Row],[Front Terminal Tagging]]&amp;"/"&amp;tbl_IO_List[[#This Row],[Terminal Tagging-Item]]</f>
        <v>C1S7-27/P1-TBDI4-25</v>
      </c>
      <c r="AU126" s="136" t="str">
        <f>tbl_IO_List[[#This Row],[Terminal Tagging-Item]]&amp;"/"&amp;tbl_IO_List[[#This Row],[Front Terminal Tagging]]</f>
        <v>P1-TBDI4-25/C1S7-27</v>
      </c>
    </row>
    <row r="127" spans="1:47" hidden="1">
      <c r="A127" s="147" t="s">
        <v>1369</v>
      </c>
      <c r="B127" s="136" t="s">
        <v>191</v>
      </c>
      <c r="C127" s="136" t="str">
        <f>tbl_IO_List[[#This Row],[Column3]]</f>
        <v>C1S07,25</v>
      </c>
      <c r="D127" s="136" t="str">
        <f>tbl_IO_List[[#This Row],[Card]]</f>
        <v>1756-IB32-25</v>
      </c>
      <c r="E127" s="136" t="s">
        <v>1372</v>
      </c>
      <c r="F127" s="136" t="str">
        <f>tbl_IO_List[[#This Row],[Column23]]&amp;"-" &amp;tbl_IO_List[[#This Row],[Column52]]</f>
        <v>C1S07-X2</v>
      </c>
      <c r="G127" s="136" t="str">
        <f>tbl_IO_List[[#This Row],[PLC_Tag]]</f>
        <v>Spare_DI_0</v>
      </c>
      <c r="H127" s="136"/>
      <c r="I127" s="136" t="str">
        <f>VLOOKUP(tbl_IO_List[[#This Row],[Destination]],tbl_Junction[],2,FALSE)</f>
        <v>Spray Dryer 1st Floor</v>
      </c>
      <c r="J127" s="136" t="s">
        <v>191</v>
      </c>
      <c r="K127" s="136" t="s">
        <v>14</v>
      </c>
      <c r="L127" s="136" t="s">
        <v>411</v>
      </c>
      <c r="M127" s="136" t="e">
        <f>VLOOKUP(tbl_IO_List[[#This Row],[Instruement Tag]],tbl_Instruement_List[],2,FALSE)</f>
        <v>#N/A</v>
      </c>
      <c r="N127" s="136" t="s">
        <v>15</v>
      </c>
      <c r="O127" s="136" t="s">
        <v>18</v>
      </c>
      <c r="P127" s="136" t="s">
        <v>18</v>
      </c>
      <c r="Q127" s="136" t="e">
        <f>VLOOKUP(tbl_IO_List[[#This Row],[Instruement Tag]],tbl_Instruement_List[],6,FALSE)</f>
        <v>#N/A</v>
      </c>
      <c r="R127" s="136"/>
      <c r="S12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27" s="136" t="str">
        <f>tbl_IO_List[[#This Row],[Instruement Tag]]&amp;"_"&amp;tbl_IO_List[[#This Row],[I/O Type]]&amp;"_"&amp;tbl_IO_List[[#This Row],[IO-Point 
(Instruement)]]</f>
        <v>Spare_DI_0</v>
      </c>
      <c r="U127" s="136" t="s">
        <v>8</v>
      </c>
      <c r="V127" s="136">
        <f>VLOOKUP(tbl_IO_List[[#This Row],[I/O Type]],tbl_Slot_Group[],2,FALSE)</f>
        <v>1</v>
      </c>
      <c r="W127" s="136">
        <v>0</v>
      </c>
      <c r="X127" s="136" t="str">
        <f>tbl_IO_List[[#This Row],[Chassis]]&amp;"S"&amp;TEXT(tbl_IO_List[[#This Row],[Slot]],"00")</f>
        <v>C1S07</v>
      </c>
      <c r="Y127" s="136" t="str">
        <f>tbl_IO_List[[#This Row],[Chassis]]&amp;"S"&amp;TEXT(tbl_IO_List[[#This Row],[Slot]],"00")&amp;tbl_IO_List[[#This Row],[I/O Type]]&amp;TEXT(tbl_IO_List[[#This Row],[Point]],"00")</f>
        <v>C1S07DI25</v>
      </c>
      <c r="Z127" s="136" t="str">
        <f>tbl_IO_List[[#This Row],[Chassis]]&amp;"S"&amp;TEXT(tbl_IO_List[[#This Row],[Slot]],"00")&amp;","&amp;TEXT(tbl_IO_List[[#This Row],[Point]],"00")</f>
        <v>C1S07,25</v>
      </c>
      <c r="AA127" s="136" t="str">
        <f>VLOOKUP(tbl_IO_List[[#This Row],[Column23]],tbl_RackConfig[],5,FALSE) &amp;"-"&amp;tbl_IO_List[[#This Row],[Point]]</f>
        <v>1756-IB32-25</v>
      </c>
      <c r="AB127" s="136"/>
      <c r="AC127" s="136" t="s">
        <v>1370</v>
      </c>
      <c r="AD127" s="136" t="str">
        <f>tbl_IO_List[[#This Row],[I/O Type]]</f>
        <v>DI</v>
      </c>
      <c r="AE127" s="136" t="s">
        <v>1332</v>
      </c>
      <c r="AF127" s="136">
        <v>7</v>
      </c>
      <c r="AG127" s="136">
        <v>25</v>
      </c>
      <c r="AH127" s="136">
        <v>26</v>
      </c>
      <c r="AI127" s="136">
        <v>28</v>
      </c>
      <c r="AJ127" s="136">
        <v>1</v>
      </c>
      <c r="AK127" s="136">
        <v>0</v>
      </c>
      <c r="AL127" s="136">
        <v>0</v>
      </c>
      <c r="AM127" s="136">
        <v>0</v>
      </c>
      <c r="AN127" s="136">
        <v>0</v>
      </c>
      <c r="AO127" s="136"/>
      <c r="AP127" s="143" t="e">
        <f>VLOOKUP(tbl_IO_List[[#This Row],[Instruement Tag]],tbl_Instruement_List[],14,FALSE)</f>
        <v>#N/A</v>
      </c>
      <c r="AQ127" s="143" t="str">
        <f>tbl_IO_List[[#This Row],[Chassis]]&amp;"S"&amp;tbl_IO_List[[#This Row],[Slot]]&amp;"-"&amp;tbl_IO_List[[#This Row],[Front Terminal Number]]</f>
        <v>C1S7-28</v>
      </c>
      <c r="AR127" s="141" t="s">
        <v>1852</v>
      </c>
      <c r="AS127" s="136" t="str">
        <f>tbl_IO_List[[#This Row],[Terminal Tagging]]&amp;"-"&amp;tbl_IO_List[[#This Row],[Point-Count]]</f>
        <v>P1-TBDI4-26</v>
      </c>
      <c r="AT127" s="136" t="str">
        <f>tbl_IO_List[[#This Row],[Front Terminal Tagging]]&amp;"/"&amp;tbl_IO_List[[#This Row],[Terminal Tagging-Item]]</f>
        <v>C1S7-28/P1-TBDI4-26</v>
      </c>
      <c r="AU127" s="136" t="str">
        <f>tbl_IO_List[[#This Row],[Terminal Tagging-Item]]&amp;"/"&amp;tbl_IO_List[[#This Row],[Front Terminal Tagging]]</f>
        <v>P1-TBDI4-26/C1S7-28</v>
      </c>
    </row>
    <row r="128" spans="1:47" hidden="1">
      <c r="A128" s="147" t="s">
        <v>1369</v>
      </c>
      <c r="B128" s="136" t="s">
        <v>191</v>
      </c>
      <c r="C128" s="136" t="str">
        <f>tbl_IO_List[[#This Row],[Column3]]</f>
        <v>C1S07,26</v>
      </c>
      <c r="D128" s="136" t="str">
        <f>tbl_IO_List[[#This Row],[Card]]</f>
        <v>1756-IB32-26</v>
      </c>
      <c r="E128" s="136" t="s">
        <v>1372</v>
      </c>
      <c r="F128" s="136" t="str">
        <f>tbl_IO_List[[#This Row],[Column23]]&amp;"-" &amp;tbl_IO_List[[#This Row],[Column52]]</f>
        <v>C1S07-X2</v>
      </c>
      <c r="G128" s="136" t="str">
        <f>tbl_IO_List[[#This Row],[PLC_Tag]]</f>
        <v>Spare_DI_0</v>
      </c>
      <c r="H128" s="136"/>
      <c r="I128" s="136" t="str">
        <f>VLOOKUP(tbl_IO_List[[#This Row],[Destination]],tbl_Junction[],2,FALSE)</f>
        <v>Spray Dryer 1st Floor</v>
      </c>
      <c r="J128" s="136" t="s">
        <v>191</v>
      </c>
      <c r="K128" s="136" t="s">
        <v>14</v>
      </c>
      <c r="L128" s="136" t="s">
        <v>411</v>
      </c>
      <c r="M128" s="136" t="e">
        <f>VLOOKUP(tbl_IO_List[[#This Row],[Instruement Tag]],tbl_Instruement_List[],2,FALSE)</f>
        <v>#N/A</v>
      </c>
      <c r="N128" s="136" t="s">
        <v>15</v>
      </c>
      <c r="O128" s="136" t="s">
        <v>18</v>
      </c>
      <c r="P128" s="136" t="s">
        <v>18</v>
      </c>
      <c r="Q128" s="136" t="e">
        <f>VLOOKUP(tbl_IO_List[[#This Row],[Instruement Tag]],tbl_Instruement_List[],6,FALSE)</f>
        <v>#N/A</v>
      </c>
      <c r="R128" s="136"/>
      <c r="S12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28" s="136" t="str">
        <f>tbl_IO_List[[#This Row],[Instruement Tag]]&amp;"_"&amp;tbl_IO_List[[#This Row],[I/O Type]]&amp;"_"&amp;tbl_IO_List[[#This Row],[IO-Point 
(Instruement)]]</f>
        <v>Spare_DI_0</v>
      </c>
      <c r="U128" s="136" t="s">
        <v>8</v>
      </c>
      <c r="V128" s="136">
        <f>VLOOKUP(tbl_IO_List[[#This Row],[I/O Type]],tbl_Slot_Group[],2,FALSE)</f>
        <v>1</v>
      </c>
      <c r="W128" s="136">
        <v>0</v>
      </c>
      <c r="X128" s="136" t="str">
        <f>tbl_IO_List[[#This Row],[Chassis]]&amp;"S"&amp;TEXT(tbl_IO_List[[#This Row],[Slot]],"00")</f>
        <v>C1S07</v>
      </c>
      <c r="Y128" s="136" t="str">
        <f>tbl_IO_List[[#This Row],[Chassis]]&amp;"S"&amp;TEXT(tbl_IO_List[[#This Row],[Slot]],"00")&amp;tbl_IO_List[[#This Row],[I/O Type]]&amp;TEXT(tbl_IO_List[[#This Row],[Point]],"00")</f>
        <v>C1S07DI26</v>
      </c>
      <c r="Z128" s="136" t="str">
        <f>tbl_IO_List[[#This Row],[Chassis]]&amp;"S"&amp;TEXT(tbl_IO_List[[#This Row],[Slot]],"00")&amp;","&amp;TEXT(tbl_IO_List[[#This Row],[Point]],"00")</f>
        <v>C1S07,26</v>
      </c>
      <c r="AA128" s="136" t="str">
        <f>VLOOKUP(tbl_IO_List[[#This Row],[Column23]],tbl_RackConfig[],5,FALSE) &amp;"-"&amp;tbl_IO_List[[#This Row],[Point]]</f>
        <v>1756-IB32-26</v>
      </c>
      <c r="AB128" s="136"/>
      <c r="AC128" s="136" t="s">
        <v>1370</v>
      </c>
      <c r="AD128" s="136" t="str">
        <f>tbl_IO_List[[#This Row],[I/O Type]]</f>
        <v>DI</v>
      </c>
      <c r="AE128" s="136" t="s">
        <v>1332</v>
      </c>
      <c r="AF128" s="136">
        <v>7</v>
      </c>
      <c r="AG128" s="136">
        <v>26</v>
      </c>
      <c r="AH128" s="136">
        <v>27</v>
      </c>
      <c r="AI128" s="136">
        <v>29</v>
      </c>
      <c r="AJ128" s="136">
        <v>1</v>
      </c>
      <c r="AK128" s="136">
        <v>0</v>
      </c>
      <c r="AL128" s="136">
        <v>0</v>
      </c>
      <c r="AM128" s="136">
        <v>0</v>
      </c>
      <c r="AN128" s="136">
        <v>0</v>
      </c>
      <c r="AO128" s="136"/>
      <c r="AP128" s="143" t="e">
        <f>VLOOKUP(tbl_IO_List[[#This Row],[Instruement Tag]],tbl_Instruement_List[],14,FALSE)</f>
        <v>#N/A</v>
      </c>
      <c r="AQ128" s="143" t="str">
        <f>tbl_IO_List[[#This Row],[Chassis]]&amp;"S"&amp;tbl_IO_List[[#This Row],[Slot]]&amp;"-"&amp;tbl_IO_List[[#This Row],[Front Terminal Number]]</f>
        <v>C1S7-29</v>
      </c>
      <c r="AR128" s="141" t="s">
        <v>1852</v>
      </c>
      <c r="AS128" s="136" t="str">
        <f>tbl_IO_List[[#This Row],[Terminal Tagging]]&amp;"-"&amp;tbl_IO_List[[#This Row],[Point-Count]]</f>
        <v>P1-TBDI4-27</v>
      </c>
      <c r="AT128" s="136" t="str">
        <f>tbl_IO_List[[#This Row],[Front Terminal Tagging]]&amp;"/"&amp;tbl_IO_List[[#This Row],[Terminal Tagging-Item]]</f>
        <v>C1S7-29/P1-TBDI4-27</v>
      </c>
      <c r="AU128" s="136" t="str">
        <f>tbl_IO_List[[#This Row],[Terminal Tagging-Item]]&amp;"/"&amp;tbl_IO_List[[#This Row],[Front Terminal Tagging]]</f>
        <v>P1-TBDI4-27/C1S7-29</v>
      </c>
    </row>
    <row r="129" spans="1:47" hidden="1">
      <c r="A129" s="147" t="s">
        <v>1369</v>
      </c>
      <c r="B129" s="136" t="s">
        <v>191</v>
      </c>
      <c r="C129" s="136" t="str">
        <f>tbl_IO_List[[#This Row],[Column3]]</f>
        <v>C1S07,27</v>
      </c>
      <c r="D129" s="136" t="str">
        <f>tbl_IO_List[[#This Row],[Card]]</f>
        <v>1756-IB32-27</v>
      </c>
      <c r="E129" s="136" t="s">
        <v>1372</v>
      </c>
      <c r="F129" s="136" t="str">
        <f>tbl_IO_List[[#This Row],[Column23]]&amp;"-" &amp;tbl_IO_List[[#This Row],[Column52]]</f>
        <v>C1S07-X2</v>
      </c>
      <c r="G129" s="136" t="str">
        <f>tbl_IO_List[[#This Row],[PLC_Tag]]</f>
        <v>Spare_DI_0</v>
      </c>
      <c r="H129" s="136"/>
      <c r="I129" s="136" t="str">
        <f>VLOOKUP(tbl_IO_List[[#This Row],[Destination]],tbl_Junction[],2,FALSE)</f>
        <v>Spray Dryer 1st Floor</v>
      </c>
      <c r="J129" s="136" t="s">
        <v>191</v>
      </c>
      <c r="K129" s="136" t="s">
        <v>14</v>
      </c>
      <c r="L129" s="136" t="s">
        <v>411</v>
      </c>
      <c r="M129" s="136" t="e">
        <f>VLOOKUP(tbl_IO_List[[#This Row],[Instruement Tag]],tbl_Instruement_List[],2,FALSE)</f>
        <v>#N/A</v>
      </c>
      <c r="N129" s="136" t="s">
        <v>15</v>
      </c>
      <c r="O129" s="136" t="s">
        <v>18</v>
      </c>
      <c r="P129" s="136" t="s">
        <v>18</v>
      </c>
      <c r="Q129" s="136" t="e">
        <f>VLOOKUP(tbl_IO_List[[#This Row],[Instruement Tag]],tbl_Instruement_List[],6,FALSE)</f>
        <v>#N/A</v>
      </c>
      <c r="R129" s="136"/>
      <c r="S12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29" s="136" t="str">
        <f>tbl_IO_List[[#This Row],[Instruement Tag]]&amp;"_"&amp;tbl_IO_List[[#This Row],[I/O Type]]&amp;"_"&amp;tbl_IO_List[[#This Row],[IO-Point 
(Instruement)]]</f>
        <v>Spare_DI_0</v>
      </c>
      <c r="U129" s="136" t="s">
        <v>8</v>
      </c>
      <c r="V129" s="136">
        <f>VLOOKUP(tbl_IO_List[[#This Row],[I/O Type]],tbl_Slot_Group[],2,FALSE)</f>
        <v>1</v>
      </c>
      <c r="W129" s="136">
        <v>0</v>
      </c>
      <c r="X129" s="136" t="str">
        <f>tbl_IO_List[[#This Row],[Chassis]]&amp;"S"&amp;TEXT(tbl_IO_List[[#This Row],[Slot]],"00")</f>
        <v>C1S07</v>
      </c>
      <c r="Y129" s="136" t="str">
        <f>tbl_IO_List[[#This Row],[Chassis]]&amp;"S"&amp;TEXT(tbl_IO_List[[#This Row],[Slot]],"00")&amp;tbl_IO_List[[#This Row],[I/O Type]]&amp;TEXT(tbl_IO_List[[#This Row],[Point]],"00")</f>
        <v>C1S07DI27</v>
      </c>
      <c r="Z129" s="136" t="str">
        <f>tbl_IO_List[[#This Row],[Chassis]]&amp;"S"&amp;TEXT(tbl_IO_List[[#This Row],[Slot]],"00")&amp;","&amp;TEXT(tbl_IO_List[[#This Row],[Point]],"00")</f>
        <v>C1S07,27</v>
      </c>
      <c r="AA129" s="136" t="str">
        <f>VLOOKUP(tbl_IO_List[[#This Row],[Column23]],tbl_RackConfig[],5,FALSE) &amp;"-"&amp;tbl_IO_List[[#This Row],[Point]]</f>
        <v>1756-IB32-27</v>
      </c>
      <c r="AB129" s="136"/>
      <c r="AC129" s="136" t="s">
        <v>1370</v>
      </c>
      <c r="AD129" s="136" t="str">
        <f>tbl_IO_List[[#This Row],[I/O Type]]</f>
        <v>DI</v>
      </c>
      <c r="AE129" s="136" t="s">
        <v>1332</v>
      </c>
      <c r="AF129" s="136">
        <v>7</v>
      </c>
      <c r="AG129" s="136">
        <v>27</v>
      </c>
      <c r="AH129" s="136">
        <v>28</v>
      </c>
      <c r="AI129" s="136">
        <v>30</v>
      </c>
      <c r="AJ129" s="136">
        <v>1</v>
      </c>
      <c r="AK129" s="136">
        <v>0</v>
      </c>
      <c r="AL129" s="136">
        <v>0</v>
      </c>
      <c r="AM129" s="136">
        <v>0</v>
      </c>
      <c r="AN129" s="136">
        <v>0</v>
      </c>
      <c r="AO129" s="136"/>
      <c r="AP129" s="143" t="e">
        <f>VLOOKUP(tbl_IO_List[[#This Row],[Instruement Tag]],tbl_Instruement_List[],14,FALSE)</f>
        <v>#N/A</v>
      </c>
      <c r="AQ129" s="143" t="str">
        <f>tbl_IO_List[[#This Row],[Chassis]]&amp;"S"&amp;tbl_IO_List[[#This Row],[Slot]]&amp;"-"&amp;tbl_IO_List[[#This Row],[Front Terminal Number]]</f>
        <v>C1S7-30</v>
      </c>
      <c r="AR129" s="141" t="s">
        <v>1852</v>
      </c>
      <c r="AS129" s="136" t="str">
        <f>tbl_IO_List[[#This Row],[Terminal Tagging]]&amp;"-"&amp;tbl_IO_List[[#This Row],[Point-Count]]</f>
        <v>P1-TBDI4-28</v>
      </c>
      <c r="AT129" s="136" t="str">
        <f>tbl_IO_List[[#This Row],[Front Terminal Tagging]]&amp;"/"&amp;tbl_IO_List[[#This Row],[Terminal Tagging-Item]]</f>
        <v>C1S7-30/P1-TBDI4-28</v>
      </c>
      <c r="AU129" s="136" t="str">
        <f>tbl_IO_List[[#This Row],[Terminal Tagging-Item]]&amp;"/"&amp;tbl_IO_List[[#This Row],[Front Terminal Tagging]]</f>
        <v>P1-TBDI4-28/C1S7-30</v>
      </c>
    </row>
    <row r="130" spans="1:47" hidden="1">
      <c r="A130" s="147" t="s">
        <v>1369</v>
      </c>
      <c r="B130" s="136" t="s">
        <v>191</v>
      </c>
      <c r="C130" s="136" t="str">
        <f>tbl_IO_List[[#This Row],[Column3]]</f>
        <v>C1S07,28</v>
      </c>
      <c r="D130" s="136" t="str">
        <f>tbl_IO_List[[#This Row],[Card]]</f>
        <v>1756-IB32-28</v>
      </c>
      <c r="E130" s="136" t="s">
        <v>1372</v>
      </c>
      <c r="F130" s="136" t="str">
        <f>tbl_IO_List[[#This Row],[Column23]]&amp;"-" &amp;tbl_IO_List[[#This Row],[Column52]]</f>
        <v>C1S07-X2</v>
      </c>
      <c r="G130" s="136" t="str">
        <f>tbl_IO_List[[#This Row],[PLC_Tag]]</f>
        <v>Spare_DI_0</v>
      </c>
      <c r="H130" s="136"/>
      <c r="I130" s="136" t="str">
        <f>VLOOKUP(tbl_IO_List[[#This Row],[Destination]],tbl_Junction[],2,FALSE)</f>
        <v>Spray Dryer 1st Floor</v>
      </c>
      <c r="J130" s="136" t="s">
        <v>191</v>
      </c>
      <c r="K130" s="136" t="s">
        <v>14</v>
      </c>
      <c r="L130" s="136" t="s">
        <v>411</v>
      </c>
      <c r="M130" s="136" t="e">
        <f>VLOOKUP(tbl_IO_List[[#This Row],[Instruement Tag]],tbl_Instruement_List[],2,FALSE)</f>
        <v>#N/A</v>
      </c>
      <c r="N130" s="136" t="s">
        <v>15</v>
      </c>
      <c r="O130" s="136" t="s">
        <v>18</v>
      </c>
      <c r="P130" s="136" t="s">
        <v>18</v>
      </c>
      <c r="Q130" s="136" t="e">
        <f>VLOOKUP(tbl_IO_List[[#This Row],[Instruement Tag]],tbl_Instruement_List[],6,FALSE)</f>
        <v>#N/A</v>
      </c>
      <c r="R130" s="136"/>
      <c r="S13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30" s="136" t="str">
        <f>tbl_IO_List[[#This Row],[Instruement Tag]]&amp;"_"&amp;tbl_IO_List[[#This Row],[I/O Type]]&amp;"_"&amp;tbl_IO_List[[#This Row],[IO-Point 
(Instruement)]]</f>
        <v>Spare_DI_0</v>
      </c>
      <c r="U130" s="136" t="s">
        <v>8</v>
      </c>
      <c r="V130" s="136">
        <f>VLOOKUP(tbl_IO_List[[#This Row],[I/O Type]],tbl_Slot_Group[],2,FALSE)</f>
        <v>1</v>
      </c>
      <c r="W130" s="136">
        <v>0</v>
      </c>
      <c r="X130" s="136" t="str">
        <f>tbl_IO_List[[#This Row],[Chassis]]&amp;"S"&amp;TEXT(tbl_IO_List[[#This Row],[Slot]],"00")</f>
        <v>C1S07</v>
      </c>
      <c r="Y130" s="136" t="str">
        <f>tbl_IO_List[[#This Row],[Chassis]]&amp;"S"&amp;TEXT(tbl_IO_List[[#This Row],[Slot]],"00")&amp;tbl_IO_List[[#This Row],[I/O Type]]&amp;TEXT(tbl_IO_List[[#This Row],[Point]],"00")</f>
        <v>C1S07DI28</v>
      </c>
      <c r="Z130" s="136" t="str">
        <f>tbl_IO_List[[#This Row],[Chassis]]&amp;"S"&amp;TEXT(tbl_IO_List[[#This Row],[Slot]],"00")&amp;","&amp;TEXT(tbl_IO_List[[#This Row],[Point]],"00")</f>
        <v>C1S07,28</v>
      </c>
      <c r="AA130" s="136" t="str">
        <f>VLOOKUP(tbl_IO_List[[#This Row],[Column23]],tbl_RackConfig[],5,FALSE) &amp;"-"&amp;tbl_IO_List[[#This Row],[Point]]</f>
        <v>1756-IB32-28</v>
      </c>
      <c r="AB130" s="136"/>
      <c r="AC130" s="136" t="s">
        <v>1370</v>
      </c>
      <c r="AD130" s="136" t="str">
        <f>tbl_IO_List[[#This Row],[I/O Type]]</f>
        <v>DI</v>
      </c>
      <c r="AE130" s="136" t="s">
        <v>1332</v>
      </c>
      <c r="AF130" s="136">
        <v>7</v>
      </c>
      <c r="AG130" s="136">
        <v>28</v>
      </c>
      <c r="AH130" s="136">
        <v>29</v>
      </c>
      <c r="AI130" s="136">
        <v>31</v>
      </c>
      <c r="AJ130" s="136">
        <v>1</v>
      </c>
      <c r="AK130" s="136">
        <v>0</v>
      </c>
      <c r="AL130" s="136">
        <v>0</v>
      </c>
      <c r="AM130" s="136">
        <v>0</v>
      </c>
      <c r="AN130" s="136">
        <v>0</v>
      </c>
      <c r="AO130" s="136"/>
      <c r="AP130" s="143" t="e">
        <f>VLOOKUP(tbl_IO_List[[#This Row],[Instruement Tag]],tbl_Instruement_List[],14,FALSE)</f>
        <v>#N/A</v>
      </c>
      <c r="AQ130" s="143" t="str">
        <f>tbl_IO_List[[#This Row],[Chassis]]&amp;"S"&amp;tbl_IO_List[[#This Row],[Slot]]&amp;"-"&amp;tbl_IO_List[[#This Row],[Front Terminal Number]]</f>
        <v>C1S7-31</v>
      </c>
      <c r="AR130" s="141" t="s">
        <v>1852</v>
      </c>
      <c r="AS130" s="136" t="str">
        <f>tbl_IO_List[[#This Row],[Terminal Tagging]]&amp;"-"&amp;tbl_IO_List[[#This Row],[Point-Count]]</f>
        <v>P1-TBDI4-29</v>
      </c>
      <c r="AT130" s="136" t="str">
        <f>tbl_IO_List[[#This Row],[Front Terminal Tagging]]&amp;"/"&amp;tbl_IO_List[[#This Row],[Terminal Tagging-Item]]</f>
        <v>C1S7-31/P1-TBDI4-29</v>
      </c>
      <c r="AU130" s="136" t="str">
        <f>tbl_IO_List[[#This Row],[Terminal Tagging-Item]]&amp;"/"&amp;tbl_IO_List[[#This Row],[Front Terminal Tagging]]</f>
        <v>P1-TBDI4-29/C1S7-31</v>
      </c>
    </row>
    <row r="131" spans="1:47" hidden="1">
      <c r="A131" s="147" t="s">
        <v>1369</v>
      </c>
      <c r="B131" s="136" t="s">
        <v>191</v>
      </c>
      <c r="C131" s="136" t="str">
        <f>tbl_IO_List[[#This Row],[Column3]]</f>
        <v>C1S07,29</v>
      </c>
      <c r="D131" s="136" t="str">
        <f>tbl_IO_List[[#This Row],[Card]]</f>
        <v>1756-IB32-29</v>
      </c>
      <c r="E131" s="136" t="s">
        <v>1372</v>
      </c>
      <c r="F131" s="136" t="str">
        <f>tbl_IO_List[[#This Row],[Column23]]&amp;"-" &amp;tbl_IO_List[[#This Row],[Column52]]</f>
        <v>C1S07-X2</v>
      </c>
      <c r="G131" s="136" t="str">
        <f>tbl_IO_List[[#This Row],[PLC_Tag]]</f>
        <v>Spare_DI_0</v>
      </c>
      <c r="H131" s="136"/>
      <c r="I131" s="136" t="str">
        <f>VLOOKUP(tbl_IO_List[[#This Row],[Destination]],tbl_Junction[],2,FALSE)</f>
        <v>Spray Dryer 1st Floor</v>
      </c>
      <c r="J131" s="136" t="s">
        <v>191</v>
      </c>
      <c r="K131" s="136" t="s">
        <v>14</v>
      </c>
      <c r="L131" s="136" t="s">
        <v>411</v>
      </c>
      <c r="M131" s="136" t="e">
        <f>VLOOKUP(tbl_IO_List[[#This Row],[Instruement Tag]],tbl_Instruement_List[],2,FALSE)</f>
        <v>#N/A</v>
      </c>
      <c r="N131" s="136" t="s">
        <v>15</v>
      </c>
      <c r="O131" s="136" t="s">
        <v>18</v>
      </c>
      <c r="P131" s="136" t="s">
        <v>18</v>
      </c>
      <c r="Q131" s="136" t="e">
        <f>VLOOKUP(tbl_IO_List[[#This Row],[Instruement Tag]],tbl_Instruement_List[],6,FALSE)</f>
        <v>#N/A</v>
      </c>
      <c r="R131" s="136"/>
      <c r="S13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31" s="136" t="str">
        <f>tbl_IO_List[[#This Row],[Instruement Tag]]&amp;"_"&amp;tbl_IO_List[[#This Row],[I/O Type]]&amp;"_"&amp;tbl_IO_List[[#This Row],[IO-Point 
(Instruement)]]</f>
        <v>Spare_DI_0</v>
      </c>
      <c r="U131" s="136" t="s">
        <v>8</v>
      </c>
      <c r="V131" s="136">
        <f>VLOOKUP(tbl_IO_List[[#This Row],[I/O Type]],tbl_Slot_Group[],2,FALSE)</f>
        <v>1</v>
      </c>
      <c r="W131" s="136">
        <v>0</v>
      </c>
      <c r="X131" s="136" t="str">
        <f>tbl_IO_List[[#This Row],[Chassis]]&amp;"S"&amp;TEXT(tbl_IO_List[[#This Row],[Slot]],"00")</f>
        <v>C1S07</v>
      </c>
      <c r="Y131" s="136" t="str">
        <f>tbl_IO_List[[#This Row],[Chassis]]&amp;"S"&amp;TEXT(tbl_IO_List[[#This Row],[Slot]],"00")&amp;tbl_IO_List[[#This Row],[I/O Type]]&amp;TEXT(tbl_IO_List[[#This Row],[Point]],"00")</f>
        <v>C1S07DI29</v>
      </c>
      <c r="Z131" s="136" t="str">
        <f>tbl_IO_List[[#This Row],[Chassis]]&amp;"S"&amp;TEXT(tbl_IO_List[[#This Row],[Slot]],"00")&amp;","&amp;TEXT(tbl_IO_List[[#This Row],[Point]],"00")</f>
        <v>C1S07,29</v>
      </c>
      <c r="AA131" s="136" t="str">
        <f>VLOOKUP(tbl_IO_List[[#This Row],[Column23]],tbl_RackConfig[],5,FALSE) &amp;"-"&amp;tbl_IO_List[[#This Row],[Point]]</f>
        <v>1756-IB32-29</v>
      </c>
      <c r="AB131" s="136"/>
      <c r="AC131" s="136" t="s">
        <v>1370</v>
      </c>
      <c r="AD131" s="136" t="str">
        <f>tbl_IO_List[[#This Row],[I/O Type]]</f>
        <v>DI</v>
      </c>
      <c r="AE131" s="136" t="s">
        <v>1332</v>
      </c>
      <c r="AF131" s="136">
        <v>7</v>
      </c>
      <c r="AG131" s="136">
        <v>29</v>
      </c>
      <c r="AH131" s="136">
        <v>30</v>
      </c>
      <c r="AI131" s="136">
        <v>32</v>
      </c>
      <c r="AJ131" s="136">
        <v>1</v>
      </c>
      <c r="AK131" s="136">
        <v>0</v>
      </c>
      <c r="AL131" s="136">
        <v>0</v>
      </c>
      <c r="AM131" s="136">
        <v>0</v>
      </c>
      <c r="AN131" s="136">
        <v>0</v>
      </c>
      <c r="AO131" s="136"/>
      <c r="AP131" s="143" t="e">
        <f>VLOOKUP(tbl_IO_List[[#This Row],[Instruement Tag]],tbl_Instruement_List[],14,FALSE)</f>
        <v>#N/A</v>
      </c>
      <c r="AQ131" s="143" t="str">
        <f>tbl_IO_List[[#This Row],[Chassis]]&amp;"S"&amp;tbl_IO_List[[#This Row],[Slot]]&amp;"-"&amp;tbl_IO_List[[#This Row],[Front Terminal Number]]</f>
        <v>C1S7-32</v>
      </c>
      <c r="AR131" s="141" t="s">
        <v>1852</v>
      </c>
      <c r="AS131" s="136" t="str">
        <f>tbl_IO_List[[#This Row],[Terminal Tagging]]&amp;"-"&amp;tbl_IO_List[[#This Row],[Point-Count]]</f>
        <v>P1-TBDI4-30</v>
      </c>
      <c r="AT131" s="136" t="str">
        <f>tbl_IO_List[[#This Row],[Front Terminal Tagging]]&amp;"/"&amp;tbl_IO_List[[#This Row],[Terminal Tagging-Item]]</f>
        <v>C1S7-32/P1-TBDI4-30</v>
      </c>
      <c r="AU131" s="136" t="str">
        <f>tbl_IO_List[[#This Row],[Terminal Tagging-Item]]&amp;"/"&amp;tbl_IO_List[[#This Row],[Front Terminal Tagging]]</f>
        <v>P1-TBDI4-30/C1S7-32</v>
      </c>
    </row>
    <row r="132" spans="1:47" hidden="1">
      <c r="A132" s="147" t="s">
        <v>1369</v>
      </c>
      <c r="B132" s="136" t="s">
        <v>191</v>
      </c>
      <c r="C132" s="136" t="str">
        <f>tbl_IO_List[[#This Row],[Column3]]</f>
        <v>C1S07,30</v>
      </c>
      <c r="D132" s="136" t="str">
        <f>tbl_IO_List[[#This Row],[Card]]</f>
        <v>1756-IB32-30</v>
      </c>
      <c r="E132" s="136" t="s">
        <v>1372</v>
      </c>
      <c r="F132" s="136" t="str">
        <f>tbl_IO_List[[#This Row],[Column23]]&amp;"-" &amp;tbl_IO_List[[#This Row],[Column52]]</f>
        <v>C1S07-X2</v>
      </c>
      <c r="G132" s="136" t="str">
        <f>tbl_IO_List[[#This Row],[PLC_Tag]]</f>
        <v>Spare_DI_0</v>
      </c>
      <c r="H132" s="136"/>
      <c r="I132" s="136" t="str">
        <f>VLOOKUP(tbl_IO_List[[#This Row],[Destination]],tbl_Junction[],2,FALSE)</f>
        <v>Spray Dryer 1st Floor</v>
      </c>
      <c r="J132" s="136" t="s">
        <v>191</v>
      </c>
      <c r="K132" s="136" t="s">
        <v>14</v>
      </c>
      <c r="L132" s="136" t="s">
        <v>411</v>
      </c>
      <c r="M132" s="136" t="e">
        <f>VLOOKUP(tbl_IO_List[[#This Row],[Instruement Tag]],tbl_Instruement_List[],2,FALSE)</f>
        <v>#N/A</v>
      </c>
      <c r="N132" s="136" t="s">
        <v>15</v>
      </c>
      <c r="O132" s="136" t="s">
        <v>18</v>
      </c>
      <c r="P132" s="136" t="s">
        <v>18</v>
      </c>
      <c r="Q132" s="136" t="e">
        <f>VLOOKUP(tbl_IO_List[[#This Row],[Instruement Tag]],tbl_Instruement_List[],6,FALSE)</f>
        <v>#N/A</v>
      </c>
      <c r="R132" s="136"/>
      <c r="S13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32" s="136" t="str">
        <f>tbl_IO_List[[#This Row],[Instruement Tag]]&amp;"_"&amp;tbl_IO_List[[#This Row],[I/O Type]]&amp;"_"&amp;tbl_IO_List[[#This Row],[IO-Point 
(Instruement)]]</f>
        <v>Spare_DI_0</v>
      </c>
      <c r="U132" s="136" t="s">
        <v>8</v>
      </c>
      <c r="V132" s="136">
        <f>VLOOKUP(tbl_IO_List[[#This Row],[I/O Type]],tbl_Slot_Group[],2,FALSE)</f>
        <v>1</v>
      </c>
      <c r="W132" s="136">
        <v>0</v>
      </c>
      <c r="X132" s="136" t="str">
        <f>tbl_IO_List[[#This Row],[Chassis]]&amp;"S"&amp;TEXT(tbl_IO_List[[#This Row],[Slot]],"00")</f>
        <v>C1S07</v>
      </c>
      <c r="Y132" s="136" t="str">
        <f>tbl_IO_List[[#This Row],[Chassis]]&amp;"S"&amp;TEXT(tbl_IO_List[[#This Row],[Slot]],"00")&amp;tbl_IO_List[[#This Row],[I/O Type]]&amp;TEXT(tbl_IO_List[[#This Row],[Point]],"00")</f>
        <v>C1S07DI30</v>
      </c>
      <c r="Z132" s="136" t="str">
        <f>tbl_IO_List[[#This Row],[Chassis]]&amp;"S"&amp;TEXT(tbl_IO_List[[#This Row],[Slot]],"00")&amp;","&amp;TEXT(tbl_IO_List[[#This Row],[Point]],"00")</f>
        <v>C1S07,30</v>
      </c>
      <c r="AA132" s="136" t="str">
        <f>VLOOKUP(tbl_IO_List[[#This Row],[Column23]],tbl_RackConfig[],5,FALSE) &amp;"-"&amp;tbl_IO_List[[#This Row],[Point]]</f>
        <v>1756-IB32-30</v>
      </c>
      <c r="AB132" s="136"/>
      <c r="AC132" s="136" t="s">
        <v>1370</v>
      </c>
      <c r="AD132" s="136" t="str">
        <f>tbl_IO_List[[#This Row],[I/O Type]]</f>
        <v>DI</v>
      </c>
      <c r="AE132" s="136" t="s">
        <v>1332</v>
      </c>
      <c r="AF132" s="136">
        <v>7</v>
      </c>
      <c r="AG132" s="136">
        <v>30</v>
      </c>
      <c r="AH132" s="136">
        <v>31</v>
      </c>
      <c r="AI132" s="136">
        <v>33</v>
      </c>
      <c r="AJ132" s="136">
        <v>1</v>
      </c>
      <c r="AK132" s="136">
        <v>0</v>
      </c>
      <c r="AL132" s="136">
        <v>0</v>
      </c>
      <c r="AM132" s="136">
        <v>0</v>
      </c>
      <c r="AN132" s="136">
        <v>0</v>
      </c>
      <c r="AO132" s="136"/>
      <c r="AP132" s="143" t="e">
        <f>VLOOKUP(tbl_IO_List[[#This Row],[Instruement Tag]],tbl_Instruement_List[],14,FALSE)</f>
        <v>#N/A</v>
      </c>
      <c r="AQ132" s="143" t="str">
        <f>tbl_IO_List[[#This Row],[Chassis]]&amp;"S"&amp;tbl_IO_List[[#This Row],[Slot]]&amp;"-"&amp;tbl_IO_List[[#This Row],[Front Terminal Number]]</f>
        <v>C1S7-33</v>
      </c>
      <c r="AR132" s="141" t="s">
        <v>1852</v>
      </c>
      <c r="AS132" s="136" t="str">
        <f>tbl_IO_List[[#This Row],[Terminal Tagging]]&amp;"-"&amp;tbl_IO_List[[#This Row],[Point-Count]]</f>
        <v>P1-TBDI4-31</v>
      </c>
      <c r="AT132" s="136" t="str">
        <f>tbl_IO_List[[#This Row],[Front Terminal Tagging]]&amp;"/"&amp;tbl_IO_List[[#This Row],[Terminal Tagging-Item]]</f>
        <v>C1S7-33/P1-TBDI4-31</v>
      </c>
      <c r="AU132" s="136" t="str">
        <f>tbl_IO_List[[#This Row],[Terminal Tagging-Item]]&amp;"/"&amp;tbl_IO_List[[#This Row],[Front Terminal Tagging]]</f>
        <v>P1-TBDI4-31/C1S7-33</v>
      </c>
    </row>
    <row r="133" spans="1:47" hidden="1">
      <c r="A133" s="147" t="s">
        <v>1369</v>
      </c>
      <c r="B133" s="136" t="s">
        <v>191</v>
      </c>
      <c r="C133" s="136" t="str">
        <f>tbl_IO_List[[#This Row],[Column3]]</f>
        <v>C1S07,31</v>
      </c>
      <c r="D133" s="136" t="str">
        <f>tbl_IO_List[[#This Row],[Card]]</f>
        <v>1756-IB32-31</v>
      </c>
      <c r="E133" s="136" t="s">
        <v>1372</v>
      </c>
      <c r="F133" s="136" t="str">
        <f>tbl_IO_List[[#This Row],[Column23]]&amp;"-" &amp;tbl_IO_List[[#This Row],[Column52]]</f>
        <v>C1S07-X2</v>
      </c>
      <c r="G133" s="136" t="str">
        <f>tbl_IO_List[[#This Row],[PLC_Tag]]</f>
        <v>Spare_DI_0</v>
      </c>
      <c r="H133" s="136"/>
      <c r="I133" s="136" t="str">
        <f>VLOOKUP(tbl_IO_List[[#This Row],[Destination]],tbl_Junction[],2,FALSE)</f>
        <v>Spray Dryer 1st Floor</v>
      </c>
      <c r="J133" s="136" t="s">
        <v>191</v>
      </c>
      <c r="K133" s="136" t="s">
        <v>14</v>
      </c>
      <c r="L133" s="136" t="s">
        <v>411</v>
      </c>
      <c r="M133" s="136" t="e">
        <f>VLOOKUP(tbl_IO_List[[#This Row],[Instruement Tag]],tbl_Instruement_List[],2,FALSE)</f>
        <v>#N/A</v>
      </c>
      <c r="N133" s="136" t="s">
        <v>15</v>
      </c>
      <c r="O133" s="136" t="s">
        <v>18</v>
      </c>
      <c r="P133" s="136" t="s">
        <v>18</v>
      </c>
      <c r="Q133" s="136" t="e">
        <f>VLOOKUP(tbl_IO_List[[#This Row],[Instruement Tag]],tbl_Instruement_List[],6,FALSE)</f>
        <v>#N/A</v>
      </c>
      <c r="R133" s="136"/>
      <c r="S13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33" s="136" t="str">
        <f>tbl_IO_List[[#This Row],[Instruement Tag]]&amp;"_"&amp;tbl_IO_List[[#This Row],[I/O Type]]&amp;"_"&amp;tbl_IO_List[[#This Row],[IO-Point 
(Instruement)]]</f>
        <v>Spare_DI_0</v>
      </c>
      <c r="U133" s="136" t="s">
        <v>8</v>
      </c>
      <c r="V133" s="136">
        <f>VLOOKUP(tbl_IO_List[[#This Row],[I/O Type]],tbl_Slot_Group[],2,FALSE)</f>
        <v>1</v>
      </c>
      <c r="W133" s="136">
        <v>0</v>
      </c>
      <c r="X133" s="136" t="str">
        <f>tbl_IO_List[[#This Row],[Chassis]]&amp;"S"&amp;TEXT(tbl_IO_List[[#This Row],[Slot]],"00")</f>
        <v>C1S07</v>
      </c>
      <c r="Y133" s="136" t="str">
        <f>tbl_IO_List[[#This Row],[Chassis]]&amp;"S"&amp;TEXT(tbl_IO_List[[#This Row],[Slot]],"00")&amp;tbl_IO_List[[#This Row],[I/O Type]]&amp;TEXT(tbl_IO_List[[#This Row],[Point]],"00")</f>
        <v>C1S07DI31</v>
      </c>
      <c r="Z133" s="136" t="str">
        <f>tbl_IO_List[[#This Row],[Chassis]]&amp;"S"&amp;TEXT(tbl_IO_List[[#This Row],[Slot]],"00")&amp;","&amp;TEXT(tbl_IO_List[[#This Row],[Point]],"00")</f>
        <v>C1S07,31</v>
      </c>
      <c r="AA133" s="136" t="str">
        <f>VLOOKUP(tbl_IO_List[[#This Row],[Column23]],tbl_RackConfig[],5,FALSE) &amp;"-"&amp;tbl_IO_List[[#This Row],[Point]]</f>
        <v>1756-IB32-31</v>
      </c>
      <c r="AB133" s="136"/>
      <c r="AC133" s="136" t="s">
        <v>1370</v>
      </c>
      <c r="AD133" s="136" t="str">
        <f>tbl_IO_List[[#This Row],[I/O Type]]</f>
        <v>DI</v>
      </c>
      <c r="AE133" s="136" t="s">
        <v>1332</v>
      </c>
      <c r="AF133" s="136">
        <v>7</v>
      </c>
      <c r="AG133" s="136">
        <v>31</v>
      </c>
      <c r="AH133" s="136">
        <v>32</v>
      </c>
      <c r="AI133" s="136">
        <v>34</v>
      </c>
      <c r="AJ133" s="136">
        <v>1</v>
      </c>
      <c r="AK133" s="136">
        <v>0</v>
      </c>
      <c r="AL133" s="136">
        <v>0</v>
      </c>
      <c r="AM133" s="136">
        <v>0</v>
      </c>
      <c r="AN133" s="136">
        <v>0</v>
      </c>
      <c r="AO133" s="136"/>
      <c r="AP133" s="143" t="e">
        <f>VLOOKUP(tbl_IO_List[[#This Row],[Instruement Tag]],tbl_Instruement_List[],14,FALSE)</f>
        <v>#N/A</v>
      </c>
      <c r="AQ133" s="143" t="str">
        <f>tbl_IO_List[[#This Row],[Chassis]]&amp;"S"&amp;tbl_IO_List[[#This Row],[Slot]]&amp;"-"&amp;tbl_IO_List[[#This Row],[Front Terminal Number]]</f>
        <v>C1S7-34</v>
      </c>
      <c r="AR133" s="141" t="s">
        <v>1852</v>
      </c>
      <c r="AS133" s="136" t="str">
        <f>tbl_IO_List[[#This Row],[Terminal Tagging]]&amp;"-"&amp;tbl_IO_List[[#This Row],[Point-Count]]</f>
        <v>P1-TBDI4-32</v>
      </c>
      <c r="AT133" s="136" t="str">
        <f>tbl_IO_List[[#This Row],[Front Terminal Tagging]]&amp;"/"&amp;tbl_IO_List[[#This Row],[Terminal Tagging-Item]]</f>
        <v>C1S7-34/P1-TBDI4-32</v>
      </c>
      <c r="AU133" s="136" t="str">
        <f>tbl_IO_List[[#This Row],[Terminal Tagging-Item]]&amp;"/"&amp;tbl_IO_List[[#This Row],[Front Terminal Tagging]]</f>
        <v>P1-TBDI4-32/C1S7-34</v>
      </c>
    </row>
    <row r="134" spans="1:47" hidden="1">
      <c r="A134" s="147" t="s">
        <v>1369</v>
      </c>
      <c r="B134" s="136" t="s">
        <v>1306</v>
      </c>
      <c r="C134" s="136" t="str">
        <f>tbl_IO_List[[#This Row],[Column3]]</f>
        <v>C1S08,00</v>
      </c>
      <c r="D134" s="136" t="str">
        <f>tbl_IO_List[[#This Row],[Card]]</f>
        <v>1756-OB32-0</v>
      </c>
      <c r="E134" s="136" t="s">
        <v>1366</v>
      </c>
      <c r="F134" s="136" t="str">
        <f>tbl_IO_List[[#This Row],[Column23]]&amp;"-" &amp;tbl_IO_List[[#This Row],[Column52]]</f>
        <v>C1S08-X1</v>
      </c>
      <c r="G134" s="136" t="str">
        <f>tbl_IO_List[[#This Row],[PLC_Tag]]</f>
        <v>Spare_DO_0</v>
      </c>
      <c r="H134" s="136"/>
      <c r="I134" s="136" t="str">
        <f>VLOOKUP(tbl_IO_List[[#This Row],[Destination]],tbl_Junction[],2,FALSE)</f>
        <v>Main Control Cabinet</v>
      </c>
      <c r="J134" s="136"/>
      <c r="K134" s="136"/>
      <c r="L134" s="136" t="s">
        <v>411</v>
      </c>
      <c r="M134" s="136" t="e">
        <f>VLOOKUP(tbl_IO_List[[#This Row],[Instruement Tag]],tbl_Instruement_List[],2,FALSE)</f>
        <v>#N/A</v>
      </c>
      <c r="N134" s="136"/>
      <c r="O134" s="136"/>
      <c r="P134" s="136"/>
      <c r="Q134" s="136" t="e">
        <f>VLOOKUP(tbl_IO_List[[#This Row],[Instruement Tag]],tbl_Instruement_List[],6,FALSE)</f>
        <v>#N/A</v>
      </c>
      <c r="R134" s="136"/>
      <c r="S13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34" s="136" t="str">
        <f>tbl_IO_List[[#This Row],[Instruement Tag]]&amp;"_"&amp;tbl_IO_List[[#This Row],[I/O Type]]&amp;"_"&amp;tbl_IO_List[[#This Row],[IO-Point 
(Instruement)]]</f>
        <v>Spare_DO_0</v>
      </c>
      <c r="U134" s="136" t="s">
        <v>7</v>
      </c>
      <c r="V134" s="136">
        <f>VLOOKUP(tbl_IO_List[[#This Row],[I/O Type]],tbl_Slot_Group[],2,FALSE)</f>
        <v>2</v>
      </c>
      <c r="W134" s="136">
        <v>0</v>
      </c>
      <c r="X134" s="136" t="str">
        <f>tbl_IO_List[[#This Row],[Chassis]]&amp;"S"&amp;TEXT(tbl_IO_List[[#This Row],[Slot]],"00")</f>
        <v>C1S08</v>
      </c>
      <c r="Y134" s="136" t="str">
        <f>tbl_IO_List[[#This Row],[Chassis]]&amp;"S"&amp;TEXT(tbl_IO_List[[#This Row],[Slot]],"00")&amp;tbl_IO_List[[#This Row],[I/O Type]]&amp;TEXT(tbl_IO_List[[#This Row],[Point]],"00")</f>
        <v>C1S08DO00</v>
      </c>
      <c r="Z134" s="136" t="str">
        <f>tbl_IO_List[[#This Row],[Chassis]]&amp;"S"&amp;TEXT(tbl_IO_List[[#This Row],[Slot]],"00")&amp;","&amp;TEXT(tbl_IO_List[[#This Row],[Point]],"00")</f>
        <v>C1S08,00</v>
      </c>
      <c r="AA134" s="136" t="str">
        <f>VLOOKUP(tbl_IO_List[[#This Row],[Column23]],tbl_RackConfig[],5,FALSE) &amp;"-"&amp;tbl_IO_List[[#This Row],[Point]]</f>
        <v>1756-OB32-0</v>
      </c>
      <c r="AB134" s="136"/>
      <c r="AC134" s="136" t="s">
        <v>1370</v>
      </c>
      <c r="AD134" s="136" t="str">
        <f>tbl_IO_List[[#This Row],[I/O Type]]</f>
        <v>DO</v>
      </c>
      <c r="AE134" s="136" t="s">
        <v>1332</v>
      </c>
      <c r="AF134" s="136">
        <v>8</v>
      </c>
      <c r="AG134" s="136">
        <v>0</v>
      </c>
      <c r="AH134" s="136">
        <v>1</v>
      </c>
      <c r="AI134" s="136">
        <v>1</v>
      </c>
      <c r="AJ134" s="136">
        <v>0</v>
      </c>
      <c r="AK134" s="136">
        <v>1</v>
      </c>
      <c r="AL134" s="136">
        <v>0</v>
      </c>
      <c r="AM134" s="136">
        <v>0</v>
      </c>
      <c r="AN134" s="136">
        <v>0</v>
      </c>
      <c r="AO134" s="136"/>
      <c r="AP134" s="143" t="e">
        <f>VLOOKUP(tbl_IO_List[[#This Row],[Instruement Tag]],tbl_Instruement_List[],14,FALSE)</f>
        <v>#N/A</v>
      </c>
      <c r="AQ134" s="143" t="str">
        <f>tbl_IO_List[[#This Row],[Chassis]]&amp;"S"&amp;tbl_IO_List[[#This Row],[Slot]]&amp;"-"&amp;tbl_IO_List[[#This Row],[Front Terminal Number]]</f>
        <v>C1S8-1</v>
      </c>
      <c r="AR134" s="141" t="s">
        <v>1855</v>
      </c>
      <c r="AS134" s="136" t="str">
        <f>tbl_IO_List[[#This Row],[Terminal Tagging]]&amp;"-"&amp;tbl_IO_List[[#This Row],[Point-Count]]</f>
        <v>P1-TBRL1-1</v>
      </c>
      <c r="AT134" s="136" t="str">
        <f>tbl_IO_List[[#This Row],[Front Terminal Tagging]]&amp;"/"&amp;tbl_IO_List[[#This Row],[Terminal Tagging-Item]]</f>
        <v>C1S8-1/P1-TBRL1-1</v>
      </c>
      <c r="AU134" s="136" t="str">
        <f>tbl_IO_List[[#This Row],[Terminal Tagging-Item]]&amp;"/"&amp;tbl_IO_List[[#This Row],[Front Terminal Tagging]]</f>
        <v>P1-TBRL1-1/C1S8-1</v>
      </c>
    </row>
    <row r="135" spans="1:47" hidden="1">
      <c r="A135" s="147" t="s">
        <v>1369</v>
      </c>
      <c r="B135" s="136" t="s">
        <v>1306</v>
      </c>
      <c r="C135" s="136" t="str">
        <f>tbl_IO_List[[#This Row],[Column3]]</f>
        <v>C1S08,01</v>
      </c>
      <c r="D135" s="136" t="str">
        <f>tbl_IO_List[[#This Row],[Card]]</f>
        <v>1756-OB32-1</v>
      </c>
      <c r="E135" s="136" t="s">
        <v>1366</v>
      </c>
      <c r="F135" s="136" t="str">
        <f>tbl_IO_List[[#This Row],[Column23]]&amp;"-" &amp;tbl_IO_List[[#This Row],[Column52]]</f>
        <v>C1S08-X1</v>
      </c>
      <c r="G135" s="136" t="str">
        <f>tbl_IO_List[[#This Row],[PLC_Tag]]</f>
        <v>Spare_DO_0</v>
      </c>
      <c r="H135" s="136"/>
      <c r="I135" s="136" t="str">
        <f>VLOOKUP(tbl_IO_List[[#This Row],[Destination]],tbl_Junction[],2,FALSE)</f>
        <v>Main Control Cabinet</v>
      </c>
      <c r="J135" s="136"/>
      <c r="K135" s="136"/>
      <c r="L135" s="136" t="s">
        <v>411</v>
      </c>
      <c r="M135" s="136" t="e">
        <f>VLOOKUP(tbl_IO_List[[#This Row],[Instruement Tag]],tbl_Instruement_List[],2,FALSE)</f>
        <v>#N/A</v>
      </c>
      <c r="N135" s="136"/>
      <c r="O135" s="136"/>
      <c r="P135" s="136"/>
      <c r="Q135" s="136" t="e">
        <f>VLOOKUP(tbl_IO_List[[#This Row],[Instruement Tag]],tbl_Instruement_List[],6,FALSE)</f>
        <v>#N/A</v>
      </c>
      <c r="R135" s="136"/>
      <c r="S13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35" s="136" t="str">
        <f>tbl_IO_List[[#This Row],[Instruement Tag]]&amp;"_"&amp;tbl_IO_List[[#This Row],[I/O Type]]&amp;"_"&amp;tbl_IO_List[[#This Row],[IO-Point 
(Instruement)]]</f>
        <v>Spare_DO_0</v>
      </c>
      <c r="U135" s="136" t="s">
        <v>7</v>
      </c>
      <c r="V135" s="136">
        <f>VLOOKUP(tbl_IO_List[[#This Row],[I/O Type]],tbl_Slot_Group[],2,FALSE)</f>
        <v>2</v>
      </c>
      <c r="W135" s="136">
        <v>0</v>
      </c>
      <c r="X135" s="136" t="str">
        <f>tbl_IO_List[[#This Row],[Chassis]]&amp;"S"&amp;TEXT(tbl_IO_List[[#This Row],[Slot]],"00")</f>
        <v>C1S08</v>
      </c>
      <c r="Y135" s="136" t="str">
        <f>tbl_IO_List[[#This Row],[Chassis]]&amp;"S"&amp;TEXT(tbl_IO_List[[#This Row],[Slot]],"00")&amp;tbl_IO_List[[#This Row],[I/O Type]]&amp;TEXT(tbl_IO_List[[#This Row],[Point]],"00")</f>
        <v>C1S08DO01</v>
      </c>
      <c r="Z135" s="136" t="str">
        <f>tbl_IO_List[[#This Row],[Chassis]]&amp;"S"&amp;TEXT(tbl_IO_List[[#This Row],[Slot]],"00")&amp;","&amp;TEXT(tbl_IO_List[[#This Row],[Point]],"00")</f>
        <v>C1S08,01</v>
      </c>
      <c r="AA135" s="136" t="str">
        <f>VLOOKUP(tbl_IO_List[[#This Row],[Column23]],tbl_RackConfig[],5,FALSE) &amp;"-"&amp;tbl_IO_List[[#This Row],[Point]]</f>
        <v>1756-OB32-1</v>
      </c>
      <c r="AB135" s="136"/>
      <c r="AC135" s="136" t="s">
        <v>1370</v>
      </c>
      <c r="AD135" s="136" t="str">
        <f>tbl_IO_List[[#This Row],[I/O Type]]</f>
        <v>DO</v>
      </c>
      <c r="AE135" s="136" t="s">
        <v>1332</v>
      </c>
      <c r="AF135" s="136">
        <v>8</v>
      </c>
      <c r="AG135" s="136">
        <v>1</v>
      </c>
      <c r="AH135" s="136">
        <v>2</v>
      </c>
      <c r="AI135" s="136">
        <v>2</v>
      </c>
      <c r="AJ135" s="136">
        <v>0</v>
      </c>
      <c r="AK135" s="136">
        <v>1</v>
      </c>
      <c r="AL135" s="136">
        <v>0</v>
      </c>
      <c r="AM135" s="136">
        <v>0</v>
      </c>
      <c r="AN135" s="136">
        <v>0</v>
      </c>
      <c r="AO135" s="136"/>
      <c r="AP135" s="143" t="e">
        <f>VLOOKUP(tbl_IO_List[[#This Row],[Instruement Tag]],tbl_Instruement_List[],14,FALSE)</f>
        <v>#N/A</v>
      </c>
      <c r="AQ135" s="143" t="str">
        <f>tbl_IO_List[[#This Row],[Chassis]]&amp;"S"&amp;tbl_IO_List[[#This Row],[Slot]]&amp;"-"&amp;tbl_IO_List[[#This Row],[Front Terminal Number]]</f>
        <v>C1S8-2</v>
      </c>
      <c r="AR135" s="141" t="s">
        <v>1855</v>
      </c>
      <c r="AS135" s="136" t="str">
        <f>tbl_IO_List[[#This Row],[Terminal Tagging]]&amp;"-"&amp;tbl_IO_List[[#This Row],[Point-Count]]</f>
        <v>P1-TBRL1-2</v>
      </c>
      <c r="AT135" s="136" t="str">
        <f>tbl_IO_List[[#This Row],[Front Terminal Tagging]]&amp;"/"&amp;tbl_IO_List[[#This Row],[Terminal Tagging-Item]]</f>
        <v>C1S8-2/P1-TBRL1-2</v>
      </c>
      <c r="AU135" s="136" t="str">
        <f>tbl_IO_List[[#This Row],[Terminal Tagging-Item]]&amp;"/"&amp;tbl_IO_List[[#This Row],[Front Terminal Tagging]]</f>
        <v>P1-TBRL1-2/C1S8-2</v>
      </c>
    </row>
    <row r="136" spans="1:47" hidden="1">
      <c r="A136" s="147" t="s">
        <v>1369</v>
      </c>
      <c r="B136" s="136" t="s">
        <v>1306</v>
      </c>
      <c r="C136" s="136" t="str">
        <f>tbl_IO_List[[#This Row],[Column3]]</f>
        <v>C1S08,02</v>
      </c>
      <c r="D136" s="136" t="str">
        <f>tbl_IO_List[[#This Row],[Card]]</f>
        <v>1756-OB32-2</v>
      </c>
      <c r="E136" s="136" t="s">
        <v>1366</v>
      </c>
      <c r="F136" s="136" t="str">
        <f>tbl_IO_List[[#This Row],[Column23]]&amp;"-" &amp;tbl_IO_List[[#This Row],[Column52]]</f>
        <v>C1S08-X1</v>
      </c>
      <c r="G136" s="136" t="str">
        <f>tbl_IO_List[[#This Row],[PLC_Tag]]</f>
        <v>Spare_DO_0</v>
      </c>
      <c r="H136" s="136"/>
      <c r="I136" s="136" t="str">
        <f>VLOOKUP(tbl_IO_List[[#This Row],[Destination]],tbl_Junction[],2,FALSE)</f>
        <v>Main Control Cabinet</v>
      </c>
      <c r="J136" s="136"/>
      <c r="K136" s="136"/>
      <c r="L136" s="136" t="s">
        <v>411</v>
      </c>
      <c r="M136" s="136" t="e">
        <f>VLOOKUP(tbl_IO_List[[#This Row],[Instruement Tag]],tbl_Instruement_List[],2,FALSE)</f>
        <v>#N/A</v>
      </c>
      <c r="N136" s="136"/>
      <c r="O136" s="136"/>
      <c r="P136" s="136"/>
      <c r="Q136" s="136" t="e">
        <f>VLOOKUP(tbl_IO_List[[#This Row],[Instruement Tag]],tbl_Instruement_List[],6,FALSE)</f>
        <v>#N/A</v>
      </c>
      <c r="R136" s="136"/>
      <c r="S13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36" s="136" t="str">
        <f>tbl_IO_List[[#This Row],[Instruement Tag]]&amp;"_"&amp;tbl_IO_List[[#This Row],[I/O Type]]&amp;"_"&amp;tbl_IO_List[[#This Row],[IO-Point 
(Instruement)]]</f>
        <v>Spare_DO_0</v>
      </c>
      <c r="U136" s="136" t="s">
        <v>7</v>
      </c>
      <c r="V136" s="136">
        <f>VLOOKUP(tbl_IO_List[[#This Row],[I/O Type]],tbl_Slot_Group[],2,FALSE)</f>
        <v>2</v>
      </c>
      <c r="W136" s="136">
        <v>0</v>
      </c>
      <c r="X136" s="136" t="str">
        <f>tbl_IO_List[[#This Row],[Chassis]]&amp;"S"&amp;TEXT(tbl_IO_List[[#This Row],[Slot]],"00")</f>
        <v>C1S08</v>
      </c>
      <c r="Y136" s="136" t="str">
        <f>tbl_IO_List[[#This Row],[Chassis]]&amp;"S"&amp;TEXT(tbl_IO_List[[#This Row],[Slot]],"00")&amp;tbl_IO_List[[#This Row],[I/O Type]]&amp;TEXT(tbl_IO_List[[#This Row],[Point]],"00")</f>
        <v>C1S08DO02</v>
      </c>
      <c r="Z136" s="136" t="str">
        <f>tbl_IO_List[[#This Row],[Chassis]]&amp;"S"&amp;TEXT(tbl_IO_List[[#This Row],[Slot]],"00")&amp;","&amp;TEXT(tbl_IO_List[[#This Row],[Point]],"00")</f>
        <v>C1S08,02</v>
      </c>
      <c r="AA136" s="136" t="str">
        <f>VLOOKUP(tbl_IO_List[[#This Row],[Column23]],tbl_RackConfig[],5,FALSE) &amp;"-"&amp;tbl_IO_List[[#This Row],[Point]]</f>
        <v>1756-OB32-2</v>
      </c>
      <c r="AB136" s="136"/>
      <c r="AC136" s="136" t="s">
        <v>1370</v>
      </c>
      <c r="AD136" s="136" t="str">
        <f>tbl_IO_List[[#This Row],[I/O Type]]</f>
        <v>DO</v>
      </c>
      <c r="AE136" s="136" t="s">
        <v>1332</v>
      </c>
      <c r="AF136" s="136">
        <v>8</v>
      </c>
      <c r="AG136" s="136">
        <v>2</v>
      </c>
      <c r="AH136" s="136">
        <v>3</v>
      </c>
      <c r="AI136" s="136">
        <v>3</v>
      </c>
      <c r="AJ136" s="136">
        <v>0</v>
      </c>
      <c r="AK136" s="136">
        <v>1</v>
      </c>
      <c r="AL136" s="136">
        <v>0</v>
      </c>
      <c r="AM136" s="136">
        <v>0</v>
      </c>
      <c r="AN136" s="136">
        <v>0</v>
      </c>
      <c r="AO136" s="136"/>
      <c r="AP136" s="143" t="e">
        <f>VLOOKUP(tbl_IO_List[[#This Row],[Instruement Tag]],tbl_Instruement_List[],14,FALSE)</f>
        <v>#N/A</v>
      </c>
      <c r="AQ136" s="143" t="str">
        <f>tbl_IO_List[[#This Row],[Chassis]]&amp;"S"&amp;tbl_IO_List[[#This Row],[Slot]]&amp;"-"&amp;tbl_IO_List[[#This Row],[Front Terminal Number]]</f>
        <v>C1S8-3</v>
      </c>
      <c r="AR136" s="141" t="s">
        <v>1855</v>
      </c>
      <c r="AS136" s="136" t="str">
        <f>tbl_IO_List[[#This Row],[Terminal Tagging]]&amp;"-"&amp;tbl_IO_List[[#This Row],[Point-Count]]</f>
        <v>P1-TBRL1-3</v>
      </c>
      <c r="AT136" s="136" t="str">
        <f>tbl_IO_List[[#This Row],[Front Terminal Tagging]]&amp;"/"&amp;tbl_IO_List[[#This Row],[Terminal Tagging-Item]]</f>
        <v>C1S8-3/P1-TBRL1-3</v>
      </c>
      <c r="AU136" s="136" t="str">
        <f>tbl_IO_List[[#This Row],[Terminal Tagging-Item]]&amp;"/"&amp;tbl_IO_List[[#This Row],[Front Terminal Tagging]]</f>
        <v>P1-TBRL1-3/C1S8-3</v>
      </c>
    </row>
    <row r="137" spans="1:47" hidden="1">
      <c r="A137" s="147" t="s">
        <v>1369</v>
      </c>
      <c r="B137" s="136" t="s">
        <v>1306</v>
      </c>
      <c r="C137" s="136" t="str">
        <f>tbl_IO_List[[#This Row],[Column3]]</f>
        <v>C1S08,03</v>
      </c>
      <c r="D137" s="136" t="str">
        <f>tbl_IO_List[[#This Row],[Card]]</f>
        <v>1756-OB32-3</v>
      </c>
      <c r="E137" s="136" t="s">
        <v>1366</v>
      </c>
      <c r="F137" s="136" t="str">
        <f>tbl_IO_List[[#This Row],[Column23]]&amp;"-" &amp;tbl_IO_List[[#This Row],[Column52]]</f>
        <v>C1S08-X1</v>
      </c>
      <c r="G137" s="136" t="str">
        <f>tbl_IO_List[[#This Row],[PLC_Tag]]</f>
        <v>Spare_DO_0</v>
      </c>
      <c r="H137" s="136"/>
      <c r="I137" s="136" t="str">
        <f>VLOOKUP(tbl_IO_List[[#This Row],[Destination]],tbl_Junction[],2,FALSE)</f>
        <v>Main Control Cabinet</v>
      </c>
      <c r="J137" s="136"/>
      <c r="K137" s="136"/>
      <c r="L137" s="136" t="s">
        <v>411</v>
      </c>
      <c r="M137" s="136" t="e">
        <f>VLOOKUP(tbl_IO_List[[#This Row],[Instruement Tag]],tbl_Instruement_List[],2,FALSE)</f>
        <v>#N/A</v>
      </c>
      <c r="N137" s="136"/>
      <c r="O137" s="136"/>
      <c r="P137" s="136"/>
      <c r="Q137" s="136" t="e">
        <f>VLOOKUP(tbl_IO_List[[#This Row],[Instruement Tag]],tbl_Instruement_List[],6,FALSE)</f>
        <v>#N/A</v>
      </c>
      <c r="R137" s="136"/>
      <c r="S13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37" s="136" t="str">
        <f>tbl_IO_List[[#This Row],[Instruement Tag]]&amp;"_"&amp;tbl_IO_List[[#This Row],[I/O Type]]&amp;"_"&amp;tbl_IO_List[[#This Row],[IO-Point 
(Instruement)]]</f>
        <v>Spare_DO_0</v>
      </c>
      <c r="U137" s="136" t="s">
        <v>7</v>
      </c>
      <c r="V137" s="136">
        <f>VLOOKUP(tbl_IO_List[[#This Row],[I/O Type]],tbl_Slot_Group[],2,FALSE)</f>
        <v>2</v>
      </c>
      <c r="W137" s="136">
        <v>0</v>
      </c>
      <c r="X137" s="136" t="str">
        <f>tbl_IO_List[[#This Row],[Chassis]]&amp;"S"&amp;TEXT(tbl_IO_List[[#This Row],[Slot]],"00")</f>
        <v>C1S08</v>
      </c>
      <c r="Y137" s="136" t="str">
        <f>tbl_IO_List[[#This Row],[Chassis]]&amp;"S"&amp;TEXT(tbl_IO_List[[#This Row],[Slot]],"00")&amp;tbl_IO_List[[#This Row],[I/O Type]]&amp;TEXT(tbl_IO_List[[#This Row],[Point]],"00")</f>
        <v>C1S08DO03</v>
      </c>
      <c r="Z137" s="136" t="str">
        <f>tbl_IO_List[[#This Row],[Chassis]]&amp;"S"&amp;TEXT(tbl_IO_List[[#This Row],[Slot]],"00")&amp;","&amp;TEXT(tbl_IO_List[[#This Row],[Point]],"00")</f>
        <v>C1S08,03</v>
      </c>
      <c r="AA137" s="136" t="str">
        <f>VLOOKUP(tbl_IO_List[[#This Row],[Column23]],tbl_RackConfig[],5,FALSE) &amp;"-"&amp;tbl_IO_List[[#This Row],[Point]]</f>
        <v>1756-OB32-3</v>
      </c>
      <c r="AB137" s="136"/>
      <c r="AC137" s="136" t="s">
        <v>1370</v>
      </c>
      <c r="AD137" s="136" t="str">
        <f>tbl_IO_List[[#This Row],[I/O Type]]</f>
        <v>DO</v>
      </c>
      <c r="AE137" s="136" t="s">
        <v>1332</v>
      </c>
      <c r="AF137" s="136">
        <v>8</v>
      </c>
      <c r="AG137" s="136">
        <v>3</v>
      </c>
      <c r="AH137" s="136">
        <v>4</v>
      </c>
      <c r="AI137" s="136">
        <v>4</v>
      </c>
      <c r="AJ137" s="136">
        <v>0</v>
      </c>
      <c r="AK137" s="136">
        <v>1</v>
      </c>
      <c r="AL137" s="136">
        <v>0</v>
      </c>
      <c r="AM137" s="136">
        <v>0</v>
      </c>
      <c r="AN137" s="136">
        <v>0</v>
      </c>
      <c r="AO137" s="136"/>
      <c r="AP137" s="143" t="e">
        <f>VLOOKUP(tbl_IO_List[[#This Row],[Instruement Tag]],tbl_Instruement_List[],14,FALSE)</f>
        <v>#N/A</v>
      </c>
      <c r="AQ137" s="143" t="str">
        <f>tbl_IO_List[[#This Row],[Chassis]]&amp;"S"&amp;tbl_IO_List[[#This Row],[Slot]]&amp;"-"&amp;tbl_IO_List[[#This Row],[Front Terminal Number]]</f>
        <v>C1S8-4</v>
      </c>
      <c r="AR137" s="141" t="s">
        <v>1855</v>
      </c>
      <c r="AS137" s="136" t="str">
        <f>tbl_IO_List[[#This Row],[Terminal Tagging]]&amp;"-"&amp;tbl_IO_List[[#This Row],[Point-Count]]</f>
        <v>P1-TBRL1-4</v>
      </c>
      <c r="AT137" s="136" t="str">
        <f>tbl_IO_List[[#This Row],[Front Terminal Tagging]]&amp;"/"&amp;tbl_IO_List[[#This Row],[Terminal Tagging-Item]]</f>
        <v>C1S8-4/P1-TBRL1-4</v>
      </c>
      <c r="AU137" s="136" t="str">
        <f>tbl_IO_List[[#This Row],[Terminal Tagging-Item]]&amp;"/"&amp;tbl_IO_List[[#This Row],[Front Terminal Tagging]]</f>
        <v>P1-TBRL1-4/C1S8-4</v>
      </c>
    </row>
    <row r="138" spans="1:47" hidden="1">
      <c r="A138" s="147" t="s">
        <v>1369</v>
      </c>
      <c r="B138" s="136" t="s">
        <v>1306</v>
      </c>
      <c r="C138" s="136" t="str">
        <f>tbl_IO_List[[#This Row],[Column3]]</f>
        <v>C1S08,04</v>
      </c>
      <c r="D138" s="136" t="str">
        <f>tbl_IO_List[[#This Row],[Card]]</f>
        <v>1756-OB32-4</v>
      </c>
      <c r="E138" s="136" t="s">
        <v>1366</v>
      </c>
      <c r="F138" s="136" t="str">
        <f>tbl_IO_List[[#This Row],[Column23]]&amp;"-" &amp;tbl_IO_List[[#This Row],[Column52]]</f>
        <v>C1S08-X1</v>
      </c>
      <c r="G138" s="136" t="str">
        <f>tbl_IO_List[[#This Row],[PLC_Tag]]</f>
        <v>Spare_DO_0</v>
      </c>
      <c r="H138" s="136"/>
      <c r="I138" s="136" t="str">
        <f>VLOOKUP(tbl_IO_List[[#This Row],[Destination]],tbl_Junction[],2,FALSE)</f>
        <v>Main Control Cabinet</v>
      </c>
      <c r="J138" s="136"/>
      <c r="K138" s="136"/>
      <c r="L138" s="136" t="s">
        <v>411</v>
      </c>
      <c r="M138" s="136" t="e">
        <f>VLOOKUP(tbl_IO_List[[#This Row],[Instruement Tag]],tbl_Instruement_List[],2,FALSE)</f>
        <v>#N/A</v>
      </c>
      <c r="N138" s="136"/>
      <c r="O138" s="136"/>
      <c r="P138" s="136"/>
      <c r="Q138" s="136" t="e">
        <f>VLOOKUP(tbl_IO_List[[#This Row],[Instruement Tag]],tbl_Instruement_List[],6,FALSE)</f>
        <v>#N/A</v>
      </c>
      <c r="R138" s="136"/>
      <c r="S13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38" s="136" t="str">
        <f>tbl_IO_List[[#This Row],[Instruement Tag]]&amp;"_"&amp;tbl_IO_List[[#This Row],[I/O Type]]&amp;"_"&amp;tbl_IO_List[[#This Row],[IO-Point 
(Instruement)]]</f>
        <v>Spare_DO_0</v>
      </c>
      <c r="U138" s="136" t="s">
        <v>7</v>
      </c>
      <c r="V138" s="136">
        <f>VLOOKUP(tbl_IO_List[[#This Row],[I/O Type]],tbl_Slot_Group[],2,FALSE)</f>
        <v>2</v>
      </c>
      <c r="W138" s="136">
        <v>0</v>
      </c>
      <c r="X138" s="136" t="str">
        <f>tbl_IO_List[[#This Row],[Chassis]]&amp;"S"&amp;TEXT(tbl_IO_List[[#This Row],[Slot]],"00")</f>
        <v>C1S08</v>
      </c>
      <c r="Y138" s="136" t="str">
        <f>tbl_IO_List[[#This Row],[Chassis]]&amp;"S"&amp;TEXT(tbl_IO_List[[#This Row],[Slot]],"00")&amp;tbl_IO_List[[#This Row],[I/O Type]]&amp;TEXT(tbl_IO_List[[#This Row],[Point]],"00")</f>
        <v>C1S08DO04</v>
      </c>
      <c r="Z138" s="136" t="str">
        <f>tbl_IO_List[[#This Row],[Chassis]]&amp;"S"&amp;TEXT(tbl_IO_List[[#This Row],[Slot]],"00")&amp;","&amp;TEXT(tbl_IO_List[[#This Row],[Point]],"00")</f>
        <v>C1S08,04</v>
      </c>
      <c r="AA138" s="136" t="str">
        <f>VLOOKUP(tbl_IO_List[[#This Row],[Column23]],tbl_RackConfig[],5,FALSE) &amp;"-"&amp;tbl_IO_List[[#This Row],[Point]]</f>
        <v>1756-OB32-4</v>
      </c>
      <c r="AB138" s="136"/>
      <c r="AC138" s="136" t="s">
        <v>1370</v>
      </c>
      <c r="AD138" s="136" t="str">
        <f>tbl_IO_List[[#This Row],[I/O Type]]</f>
        <v>DO</v>
      </c>
      <c r="AE138" s="136" t="s">
        <v>1332</v>
      </c>
      <c r="AF138" s="136">
        <v>8</v>
      </c>
      <c r="AG138" s="136">
        <v>4</v>
      </c>
      <c r="AH138" s="136">
        <v>5</v>
      </c>
      <c r="AI138" s="136">
        <v>5</v>
      </c>
      <c r="AJ138" s="136">
        <v>0</v>
      </c>
      <c r="AK138" s="136">
        <v>1</v>
      </c>
      <c r="AL138" s="136">
        <v>0</v>
      </c>
      <c r="AM138" s="136">
        <v>0</v>
      </c>
      <c r="AN138" s="136">
        <v>0</v>
      </c>
      <c r="AO138" s="136"/>
      <c r="AP138" s="143" t="e">
        <f>VLOOKUP(tbl_IO_List[[#This Row],[Instruement Tag]],tbl_Instruement_List[],14,FALSE)</f>
        <v>#N/A</v>
      </c>
      <c r="AQ138" s="143" t="str">
        <f>tbl_IO_List[[#This Row],[Chassis]]&amp;"S"&amp;tbl_IO_List[[#This Row],[Slot]]&amp;"-"&amp;tbl_IO_List[[#This Row],[Front Terminal Number]]</f>
        <v>C1S8-5</v>
      </c>
      <c r="AR138" s="141" t="s">
        <v>1855</v>
      </c>
      <c r="AS138" s="136" t="str">
        <f>tbl_IO_List[[#This Row],[Terminal Tagging]]&amp;"-"&amp;tbl_IO_List[[#This Row],[Point-Count]]</f>
        <v>P1-TBRL1-5</v>
      </c>
      <c r="AT138" s="136" t="str">
        <f>tbl_IO_List[[#This Row],[Front Terminal Tagging]]&amp;"/"&amp;tbl_IO_List[[#This Row],[Terminal Tagging-Item]]</f>
        <v>C1S8-5/P1-TBRL1-5</v>
      </c>
      <c r="AU138" s="136" t="str">
        <f>tbl_IO_List[[#This Row],[Terminal Tagging-Item]]&amp;"/"&amp;tbl_IO_List[[#This Row],[Front Terminal Tagging]]</f>
        <v>P1-TBRL1-5/C1S8-5</v>
      </c>
    </row>
    <row r="139" spans="1:47" hidden="1">
      <c r="A139" s="147" t="s">
        <v>1369</v>
      </c>
      <c r="B139" s="136" t="s">
        <v>1306</v>
      </c>
      <c r="C139" s="136" t="str">
        <f>tbl_IO_List[[#This Row],[Column3]]</f>
        <v>C1S08,05</v>
      </c>
      <c r="D139" s="136" t="str">
        <f>tbl_IO_List[[#This Row],[Card]]</f>
        <v>1756-OB32-5</v>
      </c>
      <c r="E139" s="136" t="s">
        <v>1366</v>
      </c>
      <c r="F139" s="136" t="str">
        <f>tbl_IO_List[[#This Row],[Column23]]&amp;"-" &amp;tbl_IO_List[[#This Row],[Column52]]</f>
        <v>C1S08-X1</v>
      </c>
      <c r="G139" s="136" t="str">
        <f>tbl_IO_List[[#This Row],[PLC_Tag]]</f>
        <v>Spare_DO_0</v>
      </c>
      <c r="H139" s="136"/>
      <c r="I139" s="136" t="str">
        <f>VLOOKUP(tbl_IO_List[[#This Row],[Destination]],tbl_Junction[],2,FALSE)</f>
        <v>Main Control Cabinet</v>
      </c>
      <c r="J139" s="136"/>
      <c r="K139" s="136"/>
      <c r="L139" s="136" t="s">
        <v>411</v>
      </c>
      <c r="M139" s="136" t="e">
        <f>VLOOKUP(tbl_IO_List[[#This Row],[Instruement Tag]],tbl_Instruement_List[],2,FALSE)</f>
        <v>#N/A</v>
      </c>
      <c r="N139" s="136"/>
      <c r="O139" s="136"/>
      <c r="P139" s="136"/>
      <c r="Q139" s="136" t="e">
        <f>VLOOKUP(tbl_IO_List[[#This Row],[Instruement Tag]],tbl_Instruement_List[],6,FALSE)</f>
        <v>#N/A</v>
      </c>
      <c r="R139" s="136"/>
      <c r="S13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39" s="136" t="str">
        <f>tbl_IO_List[[#This Row],[Instruement Tag]]&amp;"_"&amp;tbl_IO_List[[#This Row],[I/O Type]]&amp;"_"&amp;tbl_IO_List[[#This Row],[IO-Point 
(Instruement)]]</f>
        <v>Spare_DO_0</v>
      </c>
      <c r="U139" s="136" t="s">
        <v>7</v>
      </c>
      <c r="V139" s="136">
        <f>VLOOKUP(tbl_IO_List[[#This Row],[I/O Type]],tbl_Slot_Group[],2,FALSE)</f>
        <v>2</v>
      </c>
      <c r="W139" s="136">
        <v>0</v>
      </c>
      <c r="X139" s="136" t="str">
        <f>tbl_IO_List[[#This Row],[Chassis]]&amp;"S"&amp;TEXT(tbl_IO_List[[#This Row],[Slot]],"00")</f>
        <v>C1S08</v>
      </c>
      <c r="Y139" s="136" t="str">
        <f>tbl_IO_List[[#This Row],[Chassis]]&amp;"S"&amp;TEXT(tbl_IO_List[[#This Row],[Slot]],"00")&amp;tbl_IO_List[[#This Row],[I/O Type]]&amp;TEXT(tbl_IO_List[[#This Row],[Point]],"00")</f>
        <v>C1S08DO05</v>
      </c>
      <c r="Z139" s="136" t="str">
        <f>tbl_IO_List[[#This Row],[Chassis]]&amp;"S"&amp;TEXT(tbl_IO_List[[#This Row],[Slot]],"00")&amp;","&amp;TEXT(tbl_IO_List[[#This Row],[Point]],"00")</f>
        <v>C1S08,05</v>
      </c>
      <c r="AA139" s="136" t="str">
        <f>VLOOKUP(tbl_IO_List[[#This Row],[Column23]],tbl_RackConfig[],5,FALSE) &amp;"-"&amp;tbl_IO_List[[#This Row],[Point]]</f>
        <v>1756-OB32-5</v>
      </c>
      <c r="AB139" s="136"/>
      <c r="AC139" s="136" t="s">
        <v>1370</v>
      </c>
      <c r="AD139" s="136" t="str">
        <f>tbl_IO_List[[#This Row],[I/O Type]]</f>
        <v>DO</v>
      </c>
      <c r="AE139" s="136" t="s">
        <v>1332</v>
      </c>
      <c r="AF139" s="136">
        <v>8</v>
      </c>
      <c r="AG139" s="136">
        <v>5</v>
      </c>
      <c r="AH139" s="136">
        <v>6</v>
      </c>
      <c r="AI139" s="136">
        <v>6</v>
      </c>
      <c r="AJ139" s="136">
        <v>0</v>
      </c>
      <c r="AK139" s="136">
        <v>1</v>
      </c>
      <c r="AL139" s="136">
        <v>0</v>
      </c>
      <c r="AM139" s="136">
        <v>0</v>
      </c>
      <c r="AN139" s="136">
        <v>0</v>
      </c>
      <c r="AO139" s="136"/>
      <c r="AP139" s="143" t="e">
        <f>VLOOKUP(tbl_IO_List[[#This Row],[Instruement Tag]],tbl_Instruement_List[],14,FALSE)</f>
        <v>#N/A</v>
      </c>
      <c r="AQ139" s="143" t="str">
        <f>tbl_IO_List[[#This Row],[Chassis]]&amp;"S"&amp;tbl_IO_List[[#This Row],[Slot]]&amp;"-"&amp;tbl_IO_List[[#This Row],[Front Terminal Number]]</f>
        <v>C1S8-6</v>
      </c>
      <c r="AR139" s="141" t="s">
        <v>1855</v>
      </c>
      <c r="AS139" s="136" t="str">
        <f>tbl_IO_List[[#This Row],[Terminal Tagging]]&amp;"-"&amp;tbl_IO_List[[#This Row],[Point-Count]]</f>
        <v>P1-TBRL1-6</v>
      </c>
      <c r="AT139" s="136" t="str">
        <f>tbl_IO_List[[#This Row],[Front Terminal Tagging]]&amp;"/"&amp;tbl_IO_List[[#This Row],[Terminal Tagging-Item]]</f>
        <v>C1S8-6/P1-TBRL1-6</v>
      </c>
      <c r="AU139" s="136" t="str">
        <f>tbl_IO_List[[#This Row],[Terminal Tagging-Item]]&amp;"/"&amp;tbl_IO_List[[#This Row],[Front Terminal Tagging]]</f>
        <v>P1-TBRL1-6/C1S8-6</v>
      </c>
    </row>
    <row r="140" spans="1:47" hidden="1">
      <c r="A140" s="147" t="s">
        <v>1369</v>
      </c>
      <c r="B140" s="136" t="s">
        <v>1306</v>
      </c>
      <c r="C140" s="136" t="str">
        <f>tbl_IO_List[[#This Row],[Column3]]</f>
        <v>C1S08,06</v>
      </c>
      <c r="D140" s="136" t="str">
        <f>tbl_IO_List[[#This Row],[Card]]</f>
        <v>1756-OB32-6</v>
      </c>
      <c r="E140" s="136" t="s">
        <v>1366</v>
      </c>
      <c r="F140" s="136" t="str">
        <f>tbl_IO_List[[#This Row],[Column23]]&amp;"-" &amp;tbl_IO_List[[#This Row],[Column52]]</f>
        <v>C1S08-X1</v>
      </c>
      <c r="G140" s="136" t="str">
        <f>tbl_IO_List[[#This Row],[PLC_Tag]]</f>
        <v>Spare_DO_0</v>
      </c>
      <c r="H140" s="136"/>
      <c r="I140" s="136" t="str">
        <f>VLOOKUP(tbl_IO_List[[#This Row],[Destination]],tbl_Junction[],2,FALSE)</f>
        <v>Main Control Cabinet</v>
      </c>
      <c r="J140" s="136"/>
      <c r="K140" s="136"/>
      <c r="L140" s="136" t="s">
        <v>411</v>
      </c>
      <c r="M140" s="136" t="e">
        <f>VLOOKUP(tbl_IO_List[[#This Row],[Instruement Tag]],tbl_Instruement_List[],2,FALSE)</f>
        <v>#N/A</v>
      </c>
      <c r="N140" s="136"/>
      <c r="O140" s="136"/>
      <c r="P140" s="136"/>
      <c r="Q140" s="136" t="e">
        <f>VLOOKUP(tbl_IO_List[[#This Row],[Instruement Tag]],tbl_Instruement_List[],6,FALSE)</f>
        <v>#N/A</v>
      </c>
      <c r="R140" s="136"/>
      <c r="S14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40" s="136" t="str">
        <f>tbl_IO_List[[#This Row],[Instruement Tag]]&amp;"_"&amp;tbl_IO_List[[#This Row],[I/O Type]]&amp;"_"&amp;tbl_IO_List[[#This Row],[IO-Point 
(Instruement)]]</f>
        <v>Spare_DO_0</v>
      </c>
      <c r="U140" s="136" t="s">
        <v>7</v>
      </c>
      <c r="V140" s="136">
        <f>VLOOKUP(tbl_IO_List[[#This Row],[I/O Type]],tbl_Slot_Group[],2,FALSE)</f>
        <v>2</v>
      </c>
      <c r="W140" s="136">
        <v>0</v>
      </c>
      <c r="X140" s="136" t="str">
        <f>tbl_IO_List[[#This Row],[Chassis]]&amp;"S"&amp;TEXT(tbl_IO_List[[#This Row],[Slot]],"00")</f>
        <v>C1S08</v>
      </c>
      <c r="Y140" s="136" t="str">
        <f>tbl_IO_List[[#This Row],[Chassis]]&amp;"S"&amp;TEXT(tbl_IO_List[[#This Row],[Slot]],"00")&amp;tbl_IO_List[[#This Row],[I/O Type]]&amp;TEXT(tbl_IO_List[[#This Row],[Point]],"00")</f>
        <v>C1S08DO06</v>
      </c>
      <c r="Z140" s="136" t="str">
        <f>tbl_IO_List[[#This Row],[Chassis]]&amp;"S"&amp;TEXT(tbl_IO_List[[#This Row],[Slot]],"00")&amp;","&amp;TEXT(tbl_IO_List[[#This Row],[Point]],"00")</f>
        <v>C1S08,06</v>
      </c>
      <c r="AA140" s="136" t="str">
        <f>VLOOKUP(tbl_IO_List[[#This Row],[Column23]],tbl_RackConfig[],5,FALSE) &amp;"-"&amp;tbl_IO_List[[#This Row],[Point]]</f>
        <v>1756-OB32-6</v>
      </c>
      <c r="AB140" s="136"/>
      <c r="AC140" s="136" t="s">
        <v>1370</v>
      </c>
      <c r="AD140" s="136" t="str">
        <f>tbl_IO_List[[#This Row],[I/O Type]]</f>
        <v>DO</v>
      </c>
      <c r="AE140" s="136" t="s">
        <v>1332</v>
      </c>
      <c r="AF140" s="136">
        <v>8</v>
      </c>
      <c r="AG140" s="136">
        <v>6</v>
      </c>
      <c r="AH140" s="136">
        <v>7</v>
      </c>
      <c r="AI140" s="136">
        <v>7</v>
      </c>
      <c r="AJ140" s="136">
        <v>0</v>
      </c>
      <c r="AK140" s="136">
        <v>1</v>
      </c>
      <c r="AL140" s="136">
        <v>0</v>
      </c>
      <c r="AM140" s="136">
        <v>0</v>
      </c>
      <c r="AN140" s="136">
        <v>0</v>
      </c>
      <c r="AO140" s="136"/>
      <c r="AP140" s="143" t="e">
        <f>VLOOKUP(tbl_IO_List[[#This Row],[Instruement Tag]],tbl_Instruement_List[],14,FALSE)</f>
        <v>#N/A</v>
      </c>
      <c r="AQ140" s="143" t="str">
        <f>tbl_IO_List[[#This Row],[Chassis]]&amp;"S"&amp;tbl_IO_List[[#This Row],[Slot]]&amp;"-"&amp;tbl_IO_List[[#This Row],[Front Terminal Number]]</f>
        <v>C1S8-7</v>
      </c>
      <c r="AR140" s="141" t="s">
        <v>1855</v>
      </c>
      <c r="AS140" s="136" t="str">
        <f>tbl_IO_List[[#This Row],[Terminal Tagging]]&amp;"-"&amp;tbl_IO_List[[#This Row],[Point-Count]]</f>
        <v>P1-TBRL1-7</v>
      </c>
      <c r="AT140" s="136" t="str">
        <f>tbl_IO_List[[#This Row],[Front Terminal Tagging]]&amp;"/"&amp;tbl_IO_List[[#This Row],[Terminal Tagging-Item]]</f>
        <v>C1S8-7/P1-TBRL1-7</v>
      </c>
      <c r="AU140" s="136" t="str">
        <f>tbl_IO_List[[#This Row],[Terminal Tagging-Item]]&amp;"/"&amp;tbl_IO_List[[#This Row],[Front Terminal Tagging]]</f>
        <v>P1-TBRL1-7/C1S8-7</v>
      </c>
    </row>
    <row r="141" spans="1:47" hidden="1">
      <c r="A141" s="147" t="s">
        <v>1369</v>
      </c>
      <c r="B141" s="136" t="s">
        <v>1306</v>
      </c>
      <c r="C141" s="136" t="str">
        <f>tbl_IO_List[[#This Row],[Column3]]</f>
        <v>C1S08,07</v>
      </c>
      <c r="D141" s="136" t="str">
        <f>tbl_IO_List[[#This Row],[Card]]</f>
        <v>1756-OB32-7</v>
      </c>
      <c r="E141" s="136" t="s">
        <v>1366</v>
      </c>
      <c r="F141" s="136" t="str">
        <f>tbl_IO_List[[#This Row],[Column23]]&amp;"-" &amp;tbl_IO_List[[#This Row],[Column52]]</f>
        <v>C1S08-X1</v>
      </c>
      <c r="G141" s="136" t="str">
        <f>tbl_IO_List[[#This Row],[PLC_Tag]]</f>
        <v>Spare_DO_0</v>
      </c>
      <c r="H141" s="136"/>
      <c r="I141" s="136" t="str">
        <f>VLOOKUP(tbl_IO_List[[#This Row],[Destination]],tbl_Junction[],2,FALSE)</f>
        <v>Main Control Cabinet</v>
      </c>
      <c r="J141" s="136"/>
      <c r="K141" s="136"/>
      <c r="L141" s="136" t="s">
        <v>411</v>
      </c>
      <c r="M141" s="136" t="e">
        <f>VLOOKUP(tbl_IO_List[[#This Row],[Instruement Tag]],tbl_Instruement_List[],2,FALSE)</f>
        <v>#N/A</v>
      </c>
      <c r="N141" s="136"/>
      <c r="O141" s="136"/>
      <c r="P141" s="136"/>
      <c r="Q141" s="136" t="e">
        <f>VLOOKUP(tbl_IO_List[[#This Row],[Instruement Tag]],tbl_Instruement_List[],6,FALSE)</f>
        <v>#N/A</v>
      </c>
      <c r="R141" s="136"/>
      <c r="S14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41" s="136" t="str">
        <f>tbl_IO_List[[#This Row],[Instruement Tag]]&amp;"_"&amp;tbl_IO_List[[#This Row],[I/O Type]]&amp;"_"&amp;tbl_IO_List[[#This Row],[IO-Point 
(Instruement)]]</f>
        <v>Spare_DO_0</v>
      </c>
      <c r="U141" s="136" t="s">
        <v>7</v>
      </c>
      <c r="V141" s="136">
        <f>VLOOKUP(tbl_IO_List[[#This Row],[I/O Type]],tbl_Slot_Group[],2,FALSE)</f>
        <v>2</v>
      </c>
      <c r="W141" s="136">
        <v>0</v>
      </c>
      <c r="X141" s="136" t="str">
        <f>tbl_IO_List[[#This Row],[Chassis]]&amp;"S"&amp;TEXT(tbl_IO_List[[#This Row],[Slot]],"00")</f>
        <v>C1S08</v>
      </c>
      <c r="Y141" s="136" t="str">
        <f>tbl_IO_List[[#This Row],[Chassis]]&amp;"S"&amp;TEXT(tbl_IO_List[[#This Row],[Slot]],"00")&amp;tbl_IO_List[[#This Row],[I/O Type]]&amp;TEXT(tbl_IO_List[[#This Row],[Point]],"00")</f>
        <v>C1S08DO07</v>
      </c>
      <c r="Z141" s="136" t="str">
        <f>tbl_IO_List[[#This Row],[Chassis]]&amp;"S"&amp;TEXT(tbl_IO_List[[#This Row],[Slot]],"00")&amp;","&amp;TEXT(tbl_IO_List[[#This Row],[Point]],"00")</f>
        <v>C1S08,07</v>
      </c>
      <c r="AA141" s="136" t="str">
        <f>VLOOKUP(tbl_IO_List[[#This Row],[Column23]],tbl_RackConfig[],5,FALSE) &amp;"-"&amp;tbl_IO_List[[#This Row],[Point]]</f>
        <v>1756-OB32-7</v>
      </c>
      <c r="AB141" s="136"/>
      <c r="AC141" s="136" t="s">
        <v>1370</v>
      </c>
      <c r="AD141" s="136" t="str">
        <f>tbl_IO_List[[#This Row],[I/O Type]]</f>
        <v>DO</v>
      </c>
      <c r="AE141" s="136" t="s">
        <v>1332</v>
      </c>
      <c r="AF141" s="136">
        <v>8</v>
      </c>
      <c r="AG141" s="136">
        <v>7</v>
      </c>
      <c r="AH141" s="136">
        <v>8</v>
      </c>
      <c r="AI141" s="136">
        <v>8</v>
      </c>
      <c r="AJ141" s="136">
        <v>0</v>
      </c>
      <c r="AK141" s="136">
        <v>1</v>
      </c>
      <c r="AL141" s="136">
        <v>0</v>
      </c>
      <c r="AM141" s="136">
        <v>0</v>
      </c>
      <c r="AN141" s="136">
        <v>0</v>
      </c>
      <c r="AO141" s="136"/>
      <c r="AP141" s="143" t="e">
        <f>VLOOKUP(tbl_IO_List[[#This Row],[Instruement Tag]],tbl_Instruement_List[],14,FALSE)</f>
        <v>#N/A</v>
      </c>
      <c r="AQ141" s="143" t="str">
        <f>tbl_IO_List[[#This Row],[Chassis]]&amp;"S"&amp;tbl_IO_List[[#This Row],[Slot]]&amp;"-"&amp;tbl_IO_List[[#This Row],[Front Terminal Number]]</f>
        <v>C1S8-8</v>
      </c>
      <c r="AR141" s="141" t="s">
        <v>1855</v>
      </c>
      <c r="AS141" s="136" t="str">
        <f>tbl_IO_List[[#This Row],[Terminal Tagging]]&amp;"-"&amp;tbl_IO_List[[#This Row],[Point-Count]]</f>
        <v>P1-TBRL1-8</v>
      </c>
      <c r="AT141" s="136" t="str">
        <f>tbl_IO_List[[#This Row],[Front Terminal Tagging]]&amp;"/"&amp;tbl_IO_List[[#This Row],[Terminal Tagging-Item]]</f>
        <v>C1S8-8/P1-TBRL1-8</v>
      </c>
      <c r="AU141" s="136" t="str">
        <f>tbl_IO_List[[#This Row],[Terminal Tagging-Item]]&amp;"/"&amp;tbl_IO_List[[#This Row],[Front Terminal Tagging]]</f>
        <v>P1-TBRL1-8/C1S8-8</v>
      </c>
    </row>
    <row r="142" spans="1:47" hidden="1">
      <c r="A142" s="147" t="s">
        <v>1369</v>
      </c>
      <c r="B142" s="136" t="s">
        <v>1306</v>
      </c>
      <c r="C142" s="136" t="str">
        <f>tbl_IO_List[[#This Row],[Column3]]</f>
        <v>C1S08,08</v>
      </c>
      <c r="D142" s="136" t="str">
        <f>tbl_IO_List[[#This Row],[Card]]</f>
        <v>1756-OB32-8</v>
      </c>
      <c r="E142" s="136" t="s">
        <v>1366</v>
      </c>
      <c r="F142" s="136" t="str">
        <f>tbl_IO_List[[#This Row],[Column23]]&amp;"-" &amp;tbl_IO_List[[#This Row],[Column52]]</f>
        <v>C1S08-X1</v>
      </c>
      <c r="G142" s="136" t="str">
        <f>tbl_IO_List[[#This Row],[PLC_Tag]]</f>
        <v>Spare_DO_0</v>
      </c>
      <c r="H142" s="136"/>
      <c r="I142" s="136" t="str">
        <f>VLOOKUP(tbl_IO_List[[#This Row],[Destination]],tbl_Junction[],2,FALSE)</f>
        <v>Main Control Cabinet</v>
      </c>
      <c r="J142" s="136"/>
      <c r="K142" s="136"/>
      <c r="L142" s="136" t="s">
        <v>411</v>
      </c>
      <c r="M142" s="136" t="e">
        <f>VLOOKUP(tbl_IO_List[[#This Row],[Instruement Tag]],tbl_Instruement_List[],2,FALSE)</f>
        <v>#N/A</v>
      </c>
      <c r="N142" s="136"/>
      <c r="O142" s="136"/>
      <c r="P142" s="136"/>
      <c r="Q142" s="136" t="e">
        <f>VLOOKUP(tbl_IO_List[[#This Row],[Instruement Tag]],tbl_Instruement_List[],6,FALSE)</f>
        <v>#N/A</v>
      </c>
      <c r="R142" s="136"/>
      <c r="S14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42" s="136" t="str">
        <f>tbl_IO_List[[#This Row],[Instruement Tag]]&amp;"_"&amp;tbl_IO_List[[#This Row],[I/O Type]]&amp;"_"&amp;tbl_IO_List[[#This Row],[IO-Point 
(Instruement)]]</f>
        <v>Spare_DO_0</v>
      </c>
      <c r="U142" s="136" t="s">
        <v>7</v>
      </c>
      <c r="V142" s="136">
        <f>VLOOKUP(tbl_IO_List[[#This Row],[I/O Type]],tbl_Slot_Group[],2,FALSE)</f>
        <v>2</v>
      </c>
      <c r="W142" s="136">
        <v>0</v>
      </c>
      <c r="X142" s="136" t="str">
        <f>tbl_IO_List[[#This Row],[Chassis]]&amp;"S"&amp;TEXT(tbl_IO_List[[#This Row],[Slot]],"00")</f>
        <v>C1S08</v>
      </c>
      <c r="Y142" s="136" t="str">
        <f>tbl_IO_List[[#This Row],[Chassis]]&amp;"S"&amp;TEXT(tbl_IO_List[[#This Row],[Slot]],"00")&amp;tbl_IO_List[[#This Row],[I/O Type]]&amp;TEXT(tbl_IO_List[[#This Row],[Point]],"00")</f>
        <v>C1S08DO08</v>
      </c>
      <c r="Z142" s="136" t="str">
        <f>tbl_IO_List[[#This Row],[Chassis]]&amp;"S"&amp;TEXT(tbl_IO_List[[#This Row],[Slot]],"00")&amp;","&amp;TEXT(tbl_IO_List[[#This Row],[Point]],"00")</f>
        <v>C1S08,08</v>
      </c>
      <c r="AA142" s="136" t="str">
        <f>VLOOKUP(tbl_IO_List[[#This Row],[Column23]],tbl_RackConfig[],5,FALSE) &amp;"-"&amp;tbl_IO_List[[#This Row],[Point]]</f>
        <v>1756-OB32-8</v>
      </c>
      <c r="AB142" s="136"/>
      <c r="AC142" s="136" t="s">
        <v>1370</v>
      </c>
      <c r="AD142" s="136" t="str">
        <f>tbl_IO_List[[#This Row],[I/O Type]]</f>
        <v>DO</v>
      </c>
      <c r="AE142" s="136" t="s">
        <v>1332</v>
      </c>
      <c r="AF142" s="136">
        <v>8</v>
      </c>
      <c r="AG142" s="136">
        <v>8</v>
      </c>
      <c r="AH142" s="136">
        <v>9</v>
      </c>
      <c r="AI142" s="136">
        <v>9</v>
      </c>
      <c r="AJ142" s="136">
        <v>0</v>
      </c>
      <c r="AK142" s="136">
        <v>1</v>
      </c>
      <c r="AL142" s="136">
        <v>0</v>
      </c>
      <c r="AM142" s="136">
        <v>0</v>
      </c>
      <c r="AN142" s="136">
        <v>0</v>
      </c>
      <c r="AO142" s="136"/>
      <c r="AP142" s="143" t="e">
        <f>VLOOKUP(tbl_IO_List[[#This Row],[Instruement Tag]],tbl_Instruement_List[],14,FALSE)</f>
        <v>#N/A</v>
      </c>
      <c r="AQ142" s="143" t="str">
        <f>tbl_IO_List[[#This Row],[Chassis]]&amp;"S"&amp;tbl_IO_List[[#This Row],[Slot]]&amp;"-"&amp;tbl_IO_List[[#This Row],[Front Terminal Number]]</f>
        <v>C1S8-9</v>
      </c>
      <c r="AR142" s="141" t="s">
        <v>1855</v>
      </c>
      <c r="AS142" s="136" t="str">
        <f>tbl_IO_List[[#This Row],[Terminal Tagging]]&amp;"-"&amp;tbl_IO_List[[#This Row],[Point-Count]]</f>
        <v>P1-TBRL1-9</v>
      </c>
      <c r="AT142" s="136" t="str">
        <f>tbl_IO_List[[#This Row],[Front Terminal Tagging]]&amp;"/"&amp;tbl_IO_List[[#This Row],[Terminal Tagging-Item]]</f>
        <v>C1S8-9/P1-TBRL1-9</v>
      </c>
      <c r="AU142" s="136" t="str">
        <f>tbl_IO_List[[#This Row],[Terminal Tagging-Item]]&amp;"/"&amp;tbl_IO_List[[#This Row],[Front Terminal Tagging]]</f>
        <v>P1-TBRL1-9/C1S8-9</v>
      </c>
    </row>
    <row r="143" spans="1:47" hidden="1">
      <c r="A143" s="147" t="s">
        <v>1369</v>
      </c>
      <c r="B143" s="136" t="s">
        <v>1306</v>
      </c>
      <c r="C143" s="136" t="str">
        <f>tbl_IO_List[[#This Row],[Column3]]</f>
        <v>C1S08,09</v>
      </c>
      <c r="D143" s="136" t="str">
        <f>tbl_IO_List[[#This Row],[Card]]</f>
        <v>1756-OB32-9</v>
      </c>
      <c r="E143" s="136" t="s">
        <v>1366</v>
      </c>
      <c r="F143" s="136" t="str">
        <f>tbl_IO_List[[#This Row],[Column23]]&amp;"-" &amp;tbl_IO_List[[#This Row],[Column52]]</f>
        <v>C1S08-X1</v>
      </c>
      <c r="G143" s="136" t="str">
        <f>tbl_IO_List[[#This Row],[PLC_Tag]]</f>
        <v>Spare_DO_0</v>
      </c>
      <c r="H143" s="136"/>
      <c r="I143" s="136" t="str">
        <f>VLOOKUP(tbl_IO_List[[#This Row],[Destination]],tbl_Junction[],2,FALSE)</f>
        <v>Main Control Cabinet</v>
      </c>
      <c r="J143" s="136"/>
      <c r="K143" s="136"/>
      <c r="L143" s="136" t="s">
        <v>411</v>
      </c>
      <c r="M143" s="136" t="e">
        <f>VLOOKUP(tbl_IO_List[[#This Row],[Instruement Tag]],tbl_Instruement_List[],2,FALSE)</f>
        <v>#N/A</v>
      </c>
      <c r="N143" s="136"/>
      <c r="O143" s="136"/>
      <c r="P143" s="136"/>
      <c r="Q143" s="136" t="e">
        <f>VLOOKUP(tbl_IO_List[[#This Row],[Instruement Tag]],tbl_Instruement_List[],6,FALSE)</f>
        <v>#N/A</v>
      </c>
      <c r="R143" s="136"/>
      <c r="S14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43" s="136" t="str">
        <f>tbl_IO_List[[#This Row],[Instruement Tag]]&amp;"_"&amp;tbl_IO_List[[#This Row],[I/O Type]]&amp;"_"&amp;tbl_IO_List[[#This Row],[IO-Point 
(Instruement)]]</f>
        <v>Spare_DO_0</v>
      </c>
      <c r="U143" s="136" t="s">
        <v>7</v>
      </c>
      <c r="V143" s="136">
        <f>VLOOKUP(tbl_IO_List[[#This Row],[I/O Type]],tbl_Slot_Group[],2,FALSE)</f>
        <v>2</v>
      </c>
      <c r="W143" s="136">
        <v>0</v>
      </c>
      <c r="X143" s="136" t="str">
        <f>tbl_IO_List[[#This Row],[Chassis]]&amp;"S"&amp;TEXT(tbl_IO_List[[#This Row],[Slot]],"00")</f>
        <v>C1S08</v>
      </c>
      <c r="Y143" s="136" t="str">
        <f>tbl_IO_List[[#This Row],[Chassis]]&amp;"S"&amp;TEXT(tbl_IO_List[[#This Row],[Slot]],"00")&amp;tbl_IO_List[[#This Row],[I/O Type]]&amp;TEXT(tbl_IO_List[[#This Row],[Point]],"00")</f>
        <v>C1S08DO09</v>
      </c>
      <c r="Z143" s="136" t="str">
        <f>tbl_IO_List[[#This Row],[Chassis]]&amp;"S"&amp;TEXT(tbl_IO_List[[#This Row],[Slot]],"00")&amp;","&amp;TEXT(tbl_IO_List[[#This Row],[Point]],"00")</f>
        <v>C1S08,09</v>
      </c>
      <c r="AA143" s="136" t="str">
        <f>VLOOKUP(tbl_IO_List[[#This Row],[Column23]],tbl_RackConfig[],5,FALSE) &amp;"-"&amp;tbl_IO_List[[#This Row],[Point]]</f>
        <v>1756-OB32-9</v>
      </c>
      <c r="AB143" s="136"/>
      <c r="AC143" s="136" t="s">
        <v>1370</v>
      </c>
      <c r="AD143" s="136" t="str">
        <f>tbl_IO_List[[#This Row],[I/O Type]]</f>
        <v>DO</v>
      </c>
      <c r="AE143" s="136" t="s">
        <v>1332</v>
      </c>
      <c r="AF143" s="136">
        <v>8</v>
      </c>
      <c r="AG143" s="136">
        <v>9</v>
      </c>
      <c r="AH143" s="136">
        <v>10</v>
      </c>
      <c r="AI143" s="136">
        <v>10</v>
      </c>
      <c r="AJ143" s="136">
        <v>0</v>
      </c>
      <c r="AK143" s="136">
        <v>1</v>
      </c>
      <c r="AL143" s="136">
        <v>0</v>
      </c>
      <c r="AM143" s="136">
        <v>0</v>
      </c>
      <c r="AN143" s="136">
        <v>0</v>
      </c>
      <c r="AO143" s="136"/>
      <c r="AP143" s="143" t="e">
        <f>VLOOKUP(tbl_IO_List[[#This Row],[Instruement Tag]],tbl_Instruement_List[],14,FALSE)</f>
        <v>#N/A</v>
      </c>
      <c r="AQ143" s="143" t="str">
        <f>tbl_IO_List[[#This Row],[Chassis]]&amp;"S"&amp;tbl_IO_List[[#This Row],[Slot]]&amp;"-"&amp;tbl_IO_List[[#This Row],[Front Terminal Number]]</f>
        <v>C1S8-10</v>
      </c>
      <c r="AR143" s="141" t="s">
        <v>1855</v>
      </c>
      <c r="AS143" s="136" t="str">
        <f>tbl_IO_List[[#This Row],[Terminal Tagging]]&amp;"-"&amp;tbl_IO_List[[#This Row],[Point-Count]]</f>
        <v>P1-TBRL1-10</v>
      </c>
      <c r="AT143" s="136" t="str">
        <f>tbl_IO_List[[#This Row],[Front Terminal Tagging]]&amp;"/"&amp;tbl_IO_List[[#This Row],[Terminal Tagging-Item]]</f>
        <v>C1S8-10/P1-TBRL1-10</v>
      </c>
      <c r="AU143" s="136" t="str">
        <f>tbl_IO_List[[#This Row],[Terminal Tagging-Item]]&amp;"/"&amp;tbl_IO_List[[#This Row],[Front Terminal Tagging]]</f>
        <v>P1-TBRL1-10/C1S8-10</v>
      </c>
    </row>
    <row r="144" spans="1:47" hidden="1">
      <c r="A144" s="147" t="s">
        <v>1369</v>
      </c>
      <c r="B144" s="136" t="s">
        <v>1306</v>
      </c>
      <c r="C144" s="136" t="str">
        <f>tbl_IO_List[[#This Row],[Column3]]</f>
        <v>C1S08,10</v>
      </c>
      <c r="D144" s="136" t="str">
        <f>tbl_IO_List[[#This Row],[Card]]</f>
        <v>1756-OB32-10</v>
      </c>
      <c r="E144" s="136" t="s">
        <v>1366</v>
      </c>
      <c r="F144" s="136" t="str">
        <f>tbl_IO_List[[#This Row],[Column23]]&amp;"-" &amp;tbl_IO_List[[#This Row],[Column52]]</f>
        <v>C1S08-X1</v>
      </c>
      <c r="G144" s="136" t="str">
        <f>tbl_IO_List[[#This Row],[PLC_Tag]]</f>
        <v>Spare_DO_0</v>
      </c>
      <c r="H144" s="136"/>
      <c r="I144" s="136" t="str">
        <f>VLOOKUP(tbl_IO_List[[#This Row],[Destination]],tbl_Junction[],2,FALSE)</f>
        <v>Main Control Cabinet</v>
      </c>
      <c r="J144" s="136"/>
      <c r="K144" s="136"/>
      <c r="L144" s="136" t="s">
        <v>411</v>
      </c>
      <c r="M144" s="136" t="e">
        <f>VLOOKUP(tbl_IO_List[[#This Row],[Instruement Tag]],tbl_Instruement_List[],2,FALSE)</f>
        <v>#N/A</v>
      </c>
      <c r="N144" s="136"/>
      <c r="O144" s="136"/>
      <c r="P144" s="136"/>
      <c r="Q144" s="136" t="e">
        <f>VLOOKUP(tbl_IO_List[[#This Row],[Instruement Tag]],tbl_Instruement_List[],6,FALSE)</f>
        <v>#N/A</v>
      </c>
      <c r="R144" s="136"/>
      <c r="S14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44" s="136" t="str">
        <f>tbl_IO_List[[#This Row],[Instruement Tag]]&amp;"_"&amp;tbl_IO_List[[#This Row],[I/O Type]]&amp;"_"&amp;tbl_IO_List[[#This Row],[IO-Point 
(Instruement)]]</f>
        <v>Spare_DO_0</v>
      </c>
      <c r="U144" s="136" t="s">
        <v>7</v>
      </c>
      <c r="V144" s="136">
        <f>VLOOKUP(tbl_IO_List[[#This Row],[I/O Type]],tbl_Slot_Group[],2,FALSE)</f>
        <v>2</v>
      </c>
      <c r="W144" s="136">
        <v>0</v>
      </c>
      <c r="X144" s="136" t="str">
        <f>tbl_IO_List[[#This Row],[Chassis]]&amp;"S"&amp;TEXT(tbl_IO_List[[#This Row],[Slot]],"00")</f>
        <v>C1S08</v>
      </c>
      <c r="Y144" s="136" t="str">
        <f>tbl_IO_List[[#This Row],[Chassis]]&amp;"S"&amp;TEXT(tbl_IO_List[[#This Row],[Slot]],"00")&amp;tbl_IO_List[[#This Row],[I/O Type]]&amp;TEXT(tbl_IO_List[[#This Row],[Point]],"00")</f>
        <v>C1S08DO10</v>
      </c>
      <c r="Z144" s="136" t="str">
        <f>tbl_IO_List[[#This Row],[Chassis]]&amp;"S"&amp;TEXT(tbl_IO_List[[#This Row],[Slot]],"00")&amp;","&amp;TEXT(tbl_IO_List[[#This Row],[Point]],"00")</f>
        <v>C1S08,10</v>
      </c>
      <c r="AA144" s="136" t="str">
        <f>VLOOKUP(tbl_IO_List[[#This Row],[Column23]],tbl_RackConfig[],5,FALSE) &amp;"-"&amp;tbl_IO_List[[#This Row],[Point]]</f>
        <v>1756-OB32-10</v>
      </c>
      <c r="AB144" s="136"/>
      <c r="AC144" s="136" t="s">
        <v>1370</v>
      </c>
      <c r="AD144" s="136" t="str">
        <f>tbl_IO_List[[#This Row],[I/O Type]]</f>
        <v>DO</v>
      </c>
      <c r="AE144" s="136" t="s">
        <v>1332</v>
      </c>
      <c r="AF144" s="136">
        <v>8</v>
      </c>
      <c r="AG144" s="136">
        <v>10</v>
      </c>
      <c r="AH144" s="136">
        <v>11</v>
      </c>
      <c r="AI144" s="136">
        <v>11</v>
      </c>
      <c r="AJ144" s="136">
        <v>0</v>
      </c>
      <c r="AK144" s="136">
        <v>1</v>
      </c>
      <c r="AL144" s="136">
        <v>0</v>
      </c>
      <c r="AM144" s="136">
        <v>0</v>
      </c>
      <c r="AN144" s="136">
        <v>0</v>
      </c>
      <c r="AO144" s="136"/>
      <c r="AP144" s="143" t="e">
        <f>VLOOKUP(tbl_IO_List[[#This Row],[Instruement Tag]],tbl_Instruement_List[],14,FALSE)</f>
        <v>#N/A</v>
      </c>
      <c r="AQ144" s="143" t="str">
        <f>tbl_IO_List[[#This Row],[Chassis]]&amp;"S"&amp;tbl_IO_List[[#This Row],[Slot]]&amp;"-"&amp;tbl_IO_List[[#This Row],[Front Terminal Number]]</f>
        <v>C1S8-11</v>
      </c>
      <c r="AR144" s="141" t="s">
        <v>1855</v>
      </c>
      <c r="AS144" s="136" t="str">
        <f>tbl_IO_List[[#This Row],[Terminal Tagging]]&amp;"-"&amp;tbl_IO_List[[#This Row],[Point-Count]]</f>
        <v>P1-TBRL1-11</v>
      </c>
      <c r="AT144" s="136" t="str">
        <f>tbl_IO_List[[#This Row],[Front Terminal Tagging]]&amp;"/"&amp;tbl_IO_List[[#This Row],[Terminal Tagging-Item]]</f>
        <v>C1S8-11/P1-TBRL1-11</v>
      </c>
      <c r="AU144" s="136" t="str">
        <f>tbl_IO_List[[#This Row],[Terminal Tagging-Item]]&amp;"/"&amp;tbl_IO_List[[#This Row],[Front Terminal Tagging]]</f>
        <v>P1-TBRL1-11/C1S8-11</v>
      </c>
    </row>
    <row r="145" spans="1:47" hidden="1">
      <c r="A145" s="147" t="s">
        <v>1369</v>
      </c>
      <c r="B145" s="136" t="s">
        <v>1306</v>
      </c>
      <c r="C145" s="136" t="str">
        <f>tbl_IO_List[[#This Row],[Column3]]</f>
        <v>C1S08,11</v>
      </c>
      <c r="D145" s="136" t="str">
        <f>tbl_IO_List[[#This Row],[Card]]</f>
        <v>1756-OB32-11</v>
      </c>
      <c r="E145" s="136" t="s">
        <v>1366</v>
      </c>
      <c r="F145" s="136" t="str">
        <f>tbl_IO_List[[#This Row],[Column23]]&amp;"-" &amp;tbl_IO_List[[#This Row],[Column52]]</f>
        <v>C1S08-X1</v>
      </c>
      <c r="G145" s="136" t="str">
        <f>tbl_IO_List[[#This Row],[PLC_Tag]]</f>
        <v>Spare_DO_0</v>
      </c>
      <c r="H145" s="136"/>
      <c r="I145" s="136" t="str">
        <f>VLOOKUP(tbl_IO_List[[#This Row],[Destination]],tbl_Junction[],2,FALSE)</f>
        <v>Main Control Cabinet</v>
      </c>
      <c r="J145" s="136"/>
      <c r="K145" s="136"/>
      <c r="L145" s="136" t="s">
        <v>411</v>
      </c>
      <c r="M145" s="136" t="e">
        <f>VLOOKUP(tbl_IO_List[[#This Row],[Instruement Tag]],tbl_Instruement_List[],2,FALSE)</f>
        <v>#N/A</v>
      </c>
      <c r="N145" s="136"/>
      <c r="O145" s="136"/>
      <c r="P145" s="136"/>
      <c r="Q145" s="136" t="e">
        <f>VLOOKUP(tbl_IO_List[[#This Row],[Instruement Tag]],tbl_Instruement_List[],6,FALSE)</f>
        <v>#N/A</v>
      </c>
      <c r="R145" s="136"/>
      <c r="S14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45" s="136" t="str">
        <f>tbl_IO_List[[#This Row],[Instruement Tag]]&amp;"_"&amp;tbl_IO_List[[#This Row],[I/O Type]]&amp;"_"&amp;tbl_IO_List[[#This Row],[IO-Point 
(Instruement)]]</f>
        <v>Spare_DO_0</v>
      </c>
      <c r="U145" s="136" t="s">
        <v>7</v>
      </c>
      <c r="V145" s="136">
        <f>VLOOKUP(tbl_IO_List[[#This Row],[I/O Type]],tbl_Slot_Group[],2,FALSE)</f>
        <v>2</v>
      </c>
      <c r="W145" s="136">
        <v>0</v>
      </c>
      <c r="X145" s="136" t="str">
        <f>tbl_IO_List[[#This Row],[Chassis]]&amp;"S"&amp;TEXT(tbl_IO_List[[#This Row],[Slot]],"00")</f>
        <v>C1S08</v>
      </c>
      <c r="Y145" s="136" t="str">
        <f>tbl_IO_List[[#This Row],[Chassis]]&amp;"S"&amp;TEXT(tbl_IO_List[[#This Row],[Slot]],"00")&amp;tbl_IO_List[[#This Row],[I/O Type]]&amp;TEXT(tbl_IO_List[[#This Row],[Point]],"00")</f>
        <v>C1S08DO11</v>
      </c>
      <c r="Z145" s="136" t="str">
        <f>tbl_IO_List[[#This Row],[Chassis]]&amp;"S"&amp;TEXT(tbl_IO_List[[#This Row],[Slot]],"00")&amp;","&amp;TEXT(tbl_IO_List[[#This Row],[Point]],"00")</f>
        <v>C1S08,11</v>
      </c>
      <c r="AA145" s="136" t="str">
        <f>VLOOKUP(tbl_IO_List[[#This Row],[Column23]],tbl_RackConfig[],5,FALSE) &amp;"-"&amp;tbl_IO_List[[#This Row],[Point]]</f>
        <v>1756-OB32-11</v>
      </c>
      <c r="AB145" s="136"/>
      <c r="AC145" s="136" t="s">
        <v>1370</v>
      </c>
      <c r="AD145" s="136" t="str">
        <f>tbl_IO_List[[#This Row],[I/O Type]]</f>
        <v>DO</v>
      </c>
      <c r="AE145" s="136" t="s">
        <v>1332</v>
      </c>
      <c r="AF145" s="136">
        <v>8</v>
      </c>
      <c r="AG145" s="136">
        <v>11</v>
      </c>
      <c r="AH145" s="136">
        <v>12</v>
      </c>
      <c r="AI145" s="136">
        <v>12</v>
      </c>
      <c r="AJ145" s="136">
        <v>0</v>
      </c>
      <c r="AK145" s="136">
        <v>1</v>
      </c>
      <c r="AL145" s="136">
        <v>0</v>
      </c>
      <c r="AM145" s="136">
        <v>0</v>
      </c>
      <c r="AN145" s="136">
        <v>0</v>
      </c>
      <c r="AO145" s="136"/>
      <c r="AP145" s="143" t="e">
        <f>VLOOKUP(tbl_IO_List[[#This Row],[Instruement Tag]],tbl_Instruement_List[],14,FALSE)</f>
        <v>#N/A</v>
      </c>
      <c r="AQ145" s="143" t="str">
        <f>tbl_IO_List[[#This Row],[Chassis]]&amp;"S"&amp;tbl_IO_List[[#This Row],[Slot]]&amp;"-"&amp;tbl_IO_List[[#This Row],[Front Terminal Number]]</f>
        <v>C1S8-12</v>
      </c>
      <c r="AR145" s="141" t="s">
        <v>1855</v>
      </c>
      <c r="AS145" s="136" t="str">
        <f>tbl_IO_List[[#This Row],[Terminal Tagging]]&amp;"-"&amp;tbl_IO_List[[#This Row],[Point-Count]]</f>
        <v>P1-TBRL1-12</v>
      </c>
      <c r="AT145" s="136" t="str">
        <f>tbl_IO_List[[#This Row],[Front Terminal Tagging]]&amp;"/"&amp;tbl_IO_List[[#This Row],[Terminal Tagging-Item]]</f>
        <v>C1S8-12/P1-TBRL1-12</v>
      </c>
      <c r="AU145" s="136" t="str">
        <f>tbl_IO_List[[#This Row],[Terminal Tagging-Item]]&amp;"/"&amp;tbl_IO_List[[#This Row],[Front Terminal Tagging]]</f>
        <v>P1-TBRL1-12/C1S8-12</v>
      </c>
    </row>
    <row r="146" spans="1:47" hidden="1">
      <c r="A146" s="147" t="s">
        <v>1369</v>
      </c>
      <c r="B146" s="136" t="s">
        <v>1306</v>
      </c>
      <c r="C146" s="136" t="str">
        <f>tbl_IO_List[[#This Row],[Column3]]</f>
        <v>C1S08,12</v>
      </c>
      <c r="D146" s="136" t="str">
        <f>tbl_IO_List[[#This Row],[Card]]</f>
        <v>1756-OB32-12</v>
      </c>
      <c r="E146" s="136" t="s">
        <v>1366</v>
      </c>
      <c r="F146" s="136" t="str">
        <f>tbl_IO_List[[#This Row],[Column23]]&amp;"-" &amp;tbl_IO_List[[#This Row],[Column52]]</f>
        <v>C1S08-X1</v>
      </c>
      <c r="G146" s="136" t="str">
        <f>tbl_IO_List[[#This Row],[PLC_Tag]]</f>
        <v>Spare_DO_0</v>
      </c>
      <c r="H146" s="136"/>
      <c r="I146" s="136" t="str">
        <f>VLOOKUP(tbl_IO_List[[#This Row],[Destination]],tbl_Junction[],2,FALSE)</f>
        <v>Main Control Cabinet</v>
      </c>
      <c r="J146" s="136"/>
      <c r="K146" s="136"/>
      <c r="L146" s="136" t="s">
        <v>411</v>
      </c>
      <c r="M146" s="136" t="e">
        <f>VLOOKUP(tbl_IO_List[[#This Row],[Instruement Tag]],tbl_Instruement_List[],2,FALSE)</f>
        <v>#N/A</v>
      </c>
      <c r="N146" s="136"/>
      <c r="O146" s="136"/>
      <c r="P146" s="136"/>
      <c r="Q146" s="136" t="e">
        <f>VLOOKUP(tbl_IO_List[[#This Row],[Instruement Tag]],tbl_Instruement_List[],6,FALSE)</f>
        <v>#N/A</v>
      </c>
      <c r="R146" s="136"/>
      <c r="S14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46" s="136" t="str">
        <f>tbl_IO_List[[#This Row],[Instruement Tag]]&amp;"_"&amp;tbl_IO_List[[#This Row],[I/O Type]]&amp;"_"&amp;tbl_IO_List[[#This Row],[IO-Point 
(Instruement)]]</f>
        <v>Spare_DO_0</v>
      </c>
      <c r="U146" s="136" t="s">
        <v>7</v>
      </c>
      <c r="V146" s="136">
        <f>VLOOKUP(tbl_IO_List[[#This Row],[I/O Type]],tbl_Slot_Group[],2,FALSE)</f>
        <v>2</v>
      </c>
      <c r="W146" s="136">
        <v>0</v>
      </c>
      <c r="X146" s="136" t="str">
        <f>tbl_IO_List[[#This Row],[Chassis]]&amp;"S"&amp;TEXT(tbl_IO_List[[#This Row],[Slot]],"00")</f>
        <v>C1S08</v>
      </c>
      <c r="Y146" s="136" t="str">
        <f>tbl_IO_List[[#This Row],[Chassis]]&amp;"S"&amp;TEXT(tbl_IO_List[[#This Row],[Slot]],"00")&amp;tbl_IO_List[[#This Row],[I/O Type]]&amp;TEXT(tbl_IO_List[[#This Row],[Point]],"00")</f>
        <v>C1S08DO12</v>
      </c>
      <c r="Z146" s="136" t="str">
        <f>tbl_IO_List[[#This Row],[Chassis]]&amp;"S"&amp;TEXT(tbl_IO_List[[#This Row],[Slot]],"00")&amp;","&amp;TEXT(tbl_IO_List[[#This Row],[Point]],"00")</f>
        <v>C1S08,12</v>
      </c>
      <c r="AA146" s="136" t="str">
        <f>VLOOKUP(tbl_IO_List[[#This Row],[Column23]],tbl_RackConfig[],5,FALSE) &amp;"-"&amp;tbl_IO_List[[#This Row],[Point]]</f>
        <v>1756-OB32-12</v>
      </c>
      <c r="AB146" s="136"/>
      <c r="AC146" s="136" t="s">
        <v>1370</v>
      </c>
      <c r="AD146" s="136" t="str">
        <f>tbl_IO_List[[#This Row],[I/O Type]]</f>
        <v>DO</v>
      </c>
      <c r="AE146" s="136" t="s">
        <v>1332</v>
      </c>
      <c r="AF146" s="136">
        <v>8</v>
      </c>
      <c r="AG146" s="136">
        <v>12</v>
      </c>
      <c r="AH146" s="136">
        <v>13</v>
      </c>
      <c r="AI146" s="136">
        <v>13</v>
      </c>
      <c r="AJ146" s="136">
        <v>0</v>
      </c>
      <c r="AK146" s="136">
        <v>1</v>
      </c>
      <c r="AL146" s="136">
        <v>0</v>
      </c>
      <c r="AM146" s="136">
        <v>0</v>
      </c>
      <c r="AN146" s="136">
        <v>0</v>
      </c>
      <c r="AO146" s="136"/>
      <c r="AP146" s="143" t="e">
        <f>VLOOKUP(tbl_IO_List[[#This Row],[Instruement Tag]],tbl_Instruement_List[],14,FALSE)</f>
        <v>#N/A</v>
      </c>
      <c r="AQ146" s="143" t="str">
        <f>tbl_IO_List[[#This Row],[Chassis]]&amp;"S"&amp;tbl_IO_List[[#This Row],[Slot]]&amp;"-"&amp;tbl_IO_List[[#This Row],[Front Terminal Number]]</f>
        <v>C1S8-13</v>
      </c>
      <c r="AR146" s="141" t="s">
        <v>1855</v>
      </c>
      <c r="AS146" s="136" t="str">
        <f>tbl_IO_List[[#This Row],[Terminal Tagging]]&amp;"-"&amp;tbl_IO_List[[#This Row],[Point-Count]]</f>
        <v>P1-TBRL1-13</v>
      </c>
      <c r="AT146" s="136" t="str">
        <f>tbl_IO_List[[#This Row],[Front Terminal Tagging]]&amp;"/"&amp;tbl_IO_List[[#This Row],[Terminal Tagging-Item]]</f>
        <v>C1S8-13/P1-TBRL1-13</v>
      </c>
      <c r="AU146" s="136" t="str">
        <f>tbl_IO_List[[#This Row],[Terminal Tagging-Item]]&amp;"/"&amp;tbl_IO_List[[#This Row],[Front Terminal Tagging]]</f>
        <v>P1-TBRL1-13/C1S8-13</v>
      </c>
    </row>
    <row r="147" spans="1:47" hidden="1">
      <c r="A147" s="147" t="s">
        <v>1369</v>
      </c>
      <c r="B147" s="136" t="s">
        <v>1306</v>
      </c>
      <c r="C147" s="136" t="str">
        <f>tbl_IO_List[[#This Row],[Column3]]</f>
        <v>C1S08,13</v>
      </c>
      <c r="D147" s="136" t="str">
        <f>tbl_IO_List[[#This Row],[Card]]</f>
        <v>1756-OB32-13</v>
      </c>
      <c r="E147" s="136" t="s">
        <v>1366</v>
      </c>
      <c r="F147" s="136" t="str">
        <f>tbl_IO_List[[#This Row],[Column23]]&amp;"-" &amp;tbl_IO_List[[#This Row],[Column52]]</f>
        <v>C1S08-X1</v>
      </c>
      <c r="G147" s="136" t="str">
        <f>tbl_IO_List[[#This Row],[PLC_Tag]]</f>
        <v>Spare_DO_0</v>
      </c>
      <c r="H147" s="136"/>
      <c r="I147" s="136" t="str">
        <f>VLOOKUP(tbl_IO_List[[#This Row],[Destination]],tbl_Junction[],2,FALSE)</f>
        <v>Main Control Cabinet</v>
      </c>
      <c r="J147" s="136"/>
      <c r="K147" s="136"/>
      <c r="L147" s="136" t="s">
        <v>411</v>
      </c>
      <c r="M147" s="136" t="e">
        <f>VLOOKUP(tbl_IO_List[[#This Row],[Instruement Tag]],tbl_Instruement_List[],2,FALSE)</f>
        <v>#N/A</v>
      </c>
      <c r="N147" s="136"/>
      <c r="O147" s="136"/>
      <c r="P147" s="136"/>
      <c r="Q147" s="136" t="e">
        <f>VLOOKUP(tbl_IO_List[[#This Row],[Instruement Tag]],tbl_Instruement_List[],6,FALSE)</f>
        <v>#N/A</v>
      </c>
      <c r="R147" s="136"/>
      <c r="S14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47" s="136" t="str">
        <f>tbl_IO_List[[#This Row],[Instruement Tag]]&amp;"_"&amp;tbl_IO_List[[#This Row],[I/O Type]]&amp;"_"&amp;tbl_IO_List[[#This Row],[IO-Point 
(Instruement)]]</f>
        <v>Spare_DO_0</v>
      </c>
      <c r="U147" s="136" t="s">
        <v>7</v>
      </c>
      <c r="V147" s="136">
        <f>VLOOKUP(tbl_IO_List[[#This Row],[I/O Type]],tbl_Slot_Group[],2,FALSE)</f>
        <v>2</v>
      </c>
      <c r="W147" s="136">
        <v>0</v>
      </c>
      <c r="X147" s="136" t="str">
        <f>tbl_IO_List[[#This Row],[Chassis]]&amp;"S"&amp;TEXT(tbl_IO_List[[#This Row],[Slot]],"00")</f>
        <v>C1S08</v>
      </c>
      <c r="Y147" s="136" t="str">
        <f>tbl_IO_List[[#This Row],[Chassis]]&amp;"S"&amp;TEXT(tbl_IO_List[[#This Row],[Slot]],"00")&amp;tbl_IO_List[[#This Row],[I/O Type]]&amp;TEXT(tbl_IO_List[[#This Row],[Point]],"00")</f>
        <v>C1S08DO13</v>
      </c>
      <c r="Z147" s="136" t="str">
        <f>tbl_IO_List[[#This Row],[Chassis]]&amp;"S"&amp;TEXT(tbl_IO_List[[#This Row],[Slot]],"00")&amp;","&amp;TEXT(tbl_IO_List[[#This Row],[Point]],"00")</f>
        <v>C1S08,13</v>
      </c>
      <c r="AA147" s="136" t="str">
        <f>VLOOKUP(tbl_IO_List[[#This Row],[Column23]],tbl_RackConfig[],5,FALSE) &amp;"-"&amp;tbl_IO_List[[#This Row],[Point]]</f>
        <v>1756-OB32-13</v>
      </c>
      <c r="AB147" s="136"/>
      <c r="AC147" s="136" t="s">
        <v>1370</v>
      </c>
      <c r="AD147" s="136" t="str">
        <f>tbl_IO_List[[#This Row],[I/O Type]]</f>
        <v>DO</v>
      </c>
      <c r="AE147" s="136" t="s">
        <v>1332</v>
      </c>
      <c r="AF147" s="136">
        <v>8</v>
      </c>
      <c r="AG147" s="136">
        <v>13</v>
      </c>
      <c r="AH147" s="136">
        <v>14</v>
      </c>
      <c r="AI147" s="136">
        <v>14</v>
      </c>
      <c r="AJ147" s="136">
        <v>0</v>
      </c>
      <c r="AK147" s="136">
        <v>1</v>
      </c>
      <c r="AL147" s="136">
        <v>0</v>
      </c>
      <c r="AM147" s="136">
        <v>0</v>
      </c>
      <c r="AN147" s="136">
        <v>0</v>
      </c>
      <c r="AO147" s="136"/>
      <c r="AP147" s="143" t="e">
        <f>VLOOKUP(tbl_IO_List[[#This Row],[Instruement Tag]],tbl_Instruement_List[],14,FALSE)</f>
        <v>#N/A</v>
      </c>
      <c r="AQ147" s="143" t="str">
        <f>tbl_IO_List[[#This Row],[Chassis]]&amp;"S"&amp;tbl_IO_List[[#This Row],[Slot]]&amp;"-"&amp;tbl_IO_List[[#This Row],[Front Terminal Number]]</f>
        <v>C1S8-14</v>
      </c>
      <c r="AR147" s="141" t="s">
        <v>1855</v>
      </c>
      <c r="AS147" s="136" t="str">
        <f>tbl_IO_List[[#This Row],[Terminal Tagging]]&amp;"-"&amp;tbl_IO_List[[#This Row],[Point-Count]]</f>
        <v>P1-TBRL1-14</v>
      </c>
      <c r="AT147" s="136" t="str">
        <f>tbl_IO_List[[#This Row],[Front Terminal Tagging]]&amp;"/"&amp;tbl_IO_List[[#This Row],[Terminal Tagging-Item]]</f>
        <v>C1S8-14/P1-TBRL1-14</v>
      </c>
      <c r="AU147" s="136" t="str">
        <f>tbl_IO_List[[#This Row],[Terminal Tagging-Item]]&amp;"/"&amp;tbl_IO_List[[#This Row],[Front Terminal Tagging]]</f>
        <v>P1-TBRL1-14/C1S8-14</v>
      </c>
    </row>
    <row r="148" spans="1:47" hidden="1">
      <c r="A148" s="147" t="s">
        <v>1369</v>
      </c>
      <c r="B148" s="136" t="s">
        <v>1306</v>
      </c>
      <c r="C148" s="136" t="str">
        <f>tbl_IO_List[[#This Row],[Column3]]</f>
        <v>C1S08,14</v>
      </c>
      <c r="D148" s="136" t="str">
        <f>tbl_IO_List[[#This Row],[Card]]</f>
        <v>1756-OB32-14</v>
      </c>
      <c r="E148" s="136" t="s">
        <v>1366</v>
      </c>
      <c r="F148" s="136" t="str">
        <f>tbl_IO_List[[#This Row],[Column23]]&amp;"-" &amp;tbl_IO_List[[#This Row],[Column52]]</f>
        <v>C1S08-X1</v>
      </c>
      <c r="G148" s="136" t="str">
        <f>tbl_IO_List[[#This Row],[PLC_Tag]]</f>
        <v>Spare_DO_0</v>
      </c>
      <c r="H148" s="136"/>
      <c r="I148" s="136" t="str">
        <f>VLOOKUP(tbl_IO_List[[#This Row],[Destination]],tbl_Junction[],2,FALSE)</f>
        <v>Main Control Cabinet</v>
      </c>
      <c r="J148" s="136"/>
      <c r="K148" s="136"/>
      <c r="L148" s="136" t="s">
        <v>411</v>
      </c>
      <c r="M148" s="136" t="e">
        <f>VLOOKUP(tbl_IO_List[[#This Row],[Instruement Tag]],tbl_Instruement_List[],2,FALSE)</f>
        <v>#N/A</v>
      </c>
      <c r="N148" s="136"/>
      <c r="O148" s="136"/>
      <c r="P148" s="136"/>
      <c r="Q148" s="136" t="e">
        <f>VLOOKUP(tbl_IO_List[[#This Row],[Instruement Tag]],tbl_Instruement_List[],6,FALSE)</f>
        <v>#N/A</v>
      </c>
      <c r="R148" s="136"/>
      <c r="S14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48" s="136" t="str">
        <f>tbl_IO_List[[#This Row],[Instruement Tag]]&amp;"_"&amp;tbl_IO_List[[#This Row],[I/O Type]]&amp;"_"&amp;tbl_IO_List[[#This Row],[IO-Point 
(Instruement)]]</f>
        <v>Spare_DO_0</v>
      </c>
      <c r="U148" s="136" t="s">
        <v>7</v>
      </c>
      <c r="V148" s="136">
        <f>VLOOKUP(tbl_IO_List[[#This Row],[I/O Type]],tbl_Slot_Group[],2,FALSE)</f>
        <v>2</v>
      </c>
      <c r="W148" s="136">
        <v>0</v>
      </c>
      <c r="X148" s="136" t="str">
        <f>tbl_IO_List[[#This Row],[Chassis]]&amp;"S"&amp;TEXT(tbl_IO_List[[#This Row],[Slot]],"00")</f>
        <v>C1S08</v>
      </c>
      <c r="Y148" s="136" t="str">
        <f>tbl_IO_List[[#This Row],[Chassis]]&amp;"S"&amp;TEXT(tbl_IO_List[[#This Row],[Slot]],"00")&amp;tbl_IO_List[[#This Row],[I/O Type]]&amp;TEXT(tbl_IO_List[[#This Row],[Point]],"00")</f>
        <v>C1S08DO14</v>
      </c>
      <c r="Z148" s="136" t="str">
        <f>tbl_IO_List[[#This Row],[Chassis]]&amp;"S"&amp;TEXT(tbl_IO_List[[#This Row],[Slot]],"00")&amp;","&amp;TEXT(tbl_IO_List[[#This Row],[Point]],"00")</f>
        <v>C1S08,14</v>
      </c>
      <c r="AA148" s="136" t="str">
        <f>VLOOKUP(tbl_IO_List[[#This Row],[Column23]],tbl_RackConfig[],5,FALSE) &amp;"-"&amp;tbl_IO_List[[#This Row],[Point]]</f>
        <v>1756-OB32-14</v>
      </c>
      <c r="AB148" s="136"/>
      <c r="AC148" s="136" t="s">
        <v>1370</v>
      </c>
      <c r="AD148" s="136" t="str">
        <f>tbl_IO_List[[#This Row],[I/O Type]]</f>
        <v>DO</v>
      </c>
      <c r="AE148" s="136" t="s">
        <v>1332</v>
      </c>
      <c r="AF148" s="136">
        <v>8</v>
      </c>
      <c r="AG148" s="136">
        <v>14</v>
      </c>
      <c r="AH148" s="136">
        <v>15</v>
      </c>
      <c r="AI148" s="136">
        <v>15</v>
      </c>
      <c r="AJ148" s="136">
        <v>0</v>
      </c>
      <c r="AK148" s="136">
        <v>1</v>
      </c>
      <c r="AL148" s="136">
        <v>0</v>
      </c>
      <c r="AM148" s="136">
        <v>0</v>
      </c>
      <c r="AN148" s="136">
        <v>0</v>
      </c>
      <c r="AO148" s="136"/>
      <c r="AP148" s="143" t="e">
        <f>VLOOKUP(tbl_IO_List[[#This Row],[Instruement Tag]],tbl_Instruement_List[],14,FALSE)</f>
        <v>#N/A</v>
      </c>
      <c r="AQ148" s="143" t="str">
        <f>tbl_IO_List[[#This Row],[Chassis]]&amp;"S"&amp;tbl_IO_List[[#This Row],[Slot]]&amp;"-"&amp;tbl_IO_List[[#This Row],[Front Terminal Number]]</f>
        <v>C1S8-15</v>
      </c>
      <c r="AR148" s="141" t="s">
        <v>1855</v>
      </c>
      <c r="AS148" s="136" t="str">
        <f>tbl_IO_List[[#This Row],[Terminal Tagging]]&amp;"-"&amp;tbl_IO_List[[#This Row],[Point-Count]]</f>
        <v>P1-TBRL1-15</v>
      </c>
      <c r="AT148" s="136" t="str">
        <f>tbl_IO_List[[#This Row],[Front Terminal Tagging]]&amp;"/"&amp;tbl_IO_List[[#This Row],[Terminal Tagging-Item]]</f>
        <v>C1S8-15/P1-TBRL1-15</v>
      </c>
      <c r="AU148" s="136" t="str">
        <f>tbl_IO_List[[#This Row],[Terminal Tagging-Item]]&amp;"/"&amp;tbl_IO_List[[#This Row],[Front Terminal Tagging]]</f>
        <v>P1-TBRL1-15/C1S8-15</v>
      </c>
    </row>
    <row r="149" spans="1:47" hidden="1">
      <c r="A149" s="147" t="s">
        <v>1369</v>
      </c>
      <c r="B149" s="136" t="s">
        <v>1306</v>
      </c>
      <c r="C149" s="136" t="str">
        <f>tbl_IO_List[[#This Row],[Column3]]</f>
        <v>C1S08,15</v>
      </c>
      <c r="D149" s="136" t="str">
        <f>tbl_IO_List[[#This Row],[Card]]</f>
        <v>1756-OB32-15</v>
      </c>
      <c r="E149" s="136" t="s">
        <v>1366</v>
      </c>
      <c r="F149" s="136" t="str">
        <f>tbl_IO_List[[#This Row],[Column23]]&amp;"-" &amp;tbl_IO_List[[#This Row],[Column52]]</f>
        <v>C1S08-X1</v>
      </c>
      <c r="G149" s="136" t="str">
        <f>tbl_IO_List[[#This Row],[PLC_Tag]]</f>
        <v>Spare_DO_0</v>
      </c>
      <c r="H149" s="136"/>
      <c r="I149" s="136" t="str">
        <f>VLOOKUP(tbl_IO_List[[#This Row],[Destination]],tbl_Junction[],2,FALSE)</f>
        <v>Main Control Cabinet</v>
      </c>
      <c r="J149" s="136"/>
      <c r="K149" s="136"/>
      <c r="L149" s="136" t="s">
        <v>411</v>
      </c>
      <c r="M149" s="136" t="e">
        <f>VLOOKUP(tbl_IO_List[[#This Row],[Instruement Tag]],tbl_Instruement_List[],2,FALSE)</f>
        <v>#N/A</v>
      </c>
      <c r="N149" s="136"/>
      <c r="O149" s="136"/>
      <c r="P149" s="136"/>
      <c r="Q149" s="136" t="e">
        <f>VLOOKUP(tbl_IO_List[[#This Row],[Instruement Tag]],tbl_Instruement_List[],6,FALSE)</f>
        <v>#N/A</v>
      </c>
      <c r="R149" s="136"/>
      <c r="S14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49" s="136" t="str">
        <f>tbl_IO_List[[#This Row],[Instruement Tag]]&amp;"_"&amp;tbl_IO_List[[#This Row],[I/O Type]]&amp;"_"&amp;tbl_IO_List[[#This Row],[IO-Point 
(Instruement)]]</f>
        <v>Spare_DO_0</v>
      </c>
      <c r="U149" s="136" t="s">
        <v>7</v>
      </c>
      <c r="V149" s="136">
        <f>VLOOKUP(tbl_IO_List[[#This Row],[I/O Type]],tbl_Slot_Group[],2,FALSE)</f>
        <v>2</v>
      </c>
      <c r="W149" s="136">
        <v>0</v>
      </c>
      <c r="X149" s="136" t="str">
        <f>tbl_IO_List[[#This Row],[Chassis]]&amp;"S"&amp;TEXT(tbl_IO_List[[#This Row],[Slot]],"00")</f>
        <v>C1S08</v>
      </c>
      <c r="Y149" s="136" t="str">
        <f>tbl_IO_List[[#This Row],[Chassis]]&amp;"S"&amp;TEXT(tbl_IO_List[[#This Row],[Slot]],"00")&amp;tbl_IO_List[[#This Row],[I/O Type]]&amp;TEXT(tbl_IO_List[[#This Row],[Point]],"00")</f>
        <v>C1S08DO15</v>
      </c>
      <c r="Z149" s="136" t="str">
        <f>tbl_IO_List[[#This Row],[Chassis]]&amp;"S"&amp;TEXT(tbl_IO_List[[#This Row],[Slot]],"00")&amp;","&amp;TEXT(tbl_IO_List[[#This Row],[Point]],"00")</f>
        <v>C1S08,15</v>
      </c>
      <c r="AA149" s="136" t="str">
        <f>VLOOKUP(tbl_IO_List[[#This Row],[Column23]],tbl_RackConfig[],5,FALSE) &amp;"-"&amp;tbl_IO_List[[#This Row],[Point]]</f>
        <v>1756-OB32-15</v>
      </c>
      <c r="AB149" s="136"/>
      <c r="AC149" s="136" t="s">
        <v>1370</v>
      </c>
      <c r="AD149" s="136" t="str">
        <f>tbl_IO_List[[#This Row],[I/O Type]]</f>
        <v>DO</v>
      </c>
      <c r="AE149" s="136" t="s">
        <v>1332</v>
      </c>
      <c r="AF149" s="136">
        <v>8</v>
      </c>
      <c r="AG149" s="136">
        <v>15</v>
      </c>
      <c r="AH149" s="136">
        <v>16</v>
      </c>
      <c r="AI149" s="136">
        <v>16</v>
      </c>
      <c r="AJ149" s="136">
        <v>0</v>
      </c>
      <c r="AK149" s="136">
        <v>1</v>
      </c>
      <c r="AL149" s="136">
        <v>0</v>
      </c>
      <c r="AM149" s="136">
        <v>0</v>
      </c>
      <c r="AN149" s="136">
        <v>0</v>
      </c>
      <c r="AO149" s="136"/>
      <c r="AP149" s="143" t="e">
        <f>VLOOKUP(tbl_IO_List[[#This Row],[Instruement Tag]],tbl_Instruement_List[],14,FALSE)</f>
        <v>#N/A</v>
      </c>
      <c r="AQ149" s="143" t="str">
        <f>tbl_IO_List[[#This Row],[Chassis]]&amp;"S"&amp;tbl_IO_List[[#This Row],[Slot]]&amp;"-"&amp;tbl_IO_List[[#This Row],[Front Terminal Number]]</f>
        <v>C1S8-16</v>
      </c>
      <c r="AR149" s="141" t="s">
        <v>1855</v>
      </c>
      <c r="AS149" s="136" t="str">
        <f>tbl_IO_List[[#This Row],[Terminal Tagging]]&amp;"-"&amp;tbl_IO_List[[#This Row],[Point-Count]]</f>
        <v>P1-TBRL1-16</v>
      </c>
      <c r="AT149" s="136" t="str">
        <f>tbl_IO_List[[#This Row],[Front Terminal Tagging]]&amp;"/"&amp;tbl_IO_List[[#This Row],[Terminal Tagging-Item]]</f>
        <v>C1S8-16/P1-TBRL1-16</v>
      </c>
      <c r="AU149" s="136" t="str">
        <f>tbl_IO_List[[#This Row],[Terminal Tagging-Item]]&amp;"/"&amp;tbl_IO_List[[#This Row],[Front Terminal Tagging]]</f>
        <v>P1-TBRL1-16/C1S8-16</v>
      </c>
    </row>
    <row r="150" spans="1:47" hidden="1">
      <c r="A150" s="147" t="s">
        <v>1369</v>
      </c>
      <c r="B150" s="136" t="s">
        <v>114</v>
      </c>
      <c r="C150" s="136" t="str">
        <f>tbl_IO_List[[#This Row],[Column3]]</f>
        <v>C1S08,16</v>
      </c>
      <c r="D150" s="136" t="str">
        <f>tbl_IO_List[[#This Row],[Card]]</f>
        <v>1756-OB32-16</v>
      </c>
      <c r="E150" s="136" t="s">
        <v>1372</v>
      </c>
      <c r="F150" s="136" t="str">
        <f>tbl_IO_List[[#This Row],[Column23]]&amp;"-" &amp;tbl_IO_List[[#This Row],[Column52]]</f>
        <v>C1S08-X2</v>
      </c>
      <c r="G150" s="136" t="str">
        <f>tbl_IO_List[[#This Row],[PLC_Tag]]</f>
        <v>XV-40202E_DO_1</v>
      </c>
      <c r="H150" s="136"/>
      <c r="I150" s="136" t="str">
        <f>VLOOKUP(tbl_IO_List[[#This Row],[Destination]],tbl_Junction[],2,FALSE)</f>
        <v>Infeed 2nd Floor</v>
      </c>
      <c r="J150" s="136" t="s">
        <v>114</v>
      </c>
      <c r="K150" s="136" t="s">
        <v>136</v>
      </c>
      <c r="L150" s="136" t="s">
        <v>163</v>
      </c>
      <c r="M150" s="136">
        <f>VLOOKUP(tbl_IO_List[[#This Row],[Instruement Tag]],tbl_Instruement_List[],2,FALSE)</f>
        <v>0</v>
      </c>
      <c r="N150" s="136" t="s">
        <v>15</v>
      </c>
      <c r="O150" s="136" t="s">
        <v>121</v>
      </c>
      <c r="P150" s="136" t="s">
        <v>137</v>
      </c>
      <c r="Q150" s="136" t="str">
        <f>VLOOKUP(tbl_IO_List[[#This Row],[Instruement Tag]],tbl_Instruement_List[],6,FALSE)</f>
        <v>Slurry pH Adjustment tank 2 transfer to pH Adjustment tank 1</v>
      </c>
      <c r="R150" s="136"/>
      <c r="S15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150" s="136" t="str">
        <f>tbl_IO_List[[#This Row],[Instruement Tag]]&amp;"_"&amp;tbl_IO_List[[#This Row],[I/O Type]]&amp;"_"&amp;tbl_IO_List[[#This Row],[IO-Point 
(Instruement)]]</f>
        <v>XV-40202E_DO_1</v>
      </c>
      <c r="U150" s="136" t="s">
        <v>7</v>
      </c>
      <c r="V150" s="136">
        <f>VLOOKUP(tbl_IO_List[[#This Row],[I/O Type]],tbl_Slot_Group[],2,FALSE)</f>
        <v>2</v>
      </c>
      <c r="W150" s="136">
        <v>1</v>
      </c>
      <c r="X150" s="136" t="str">
        <f>tbl_IO_List[[#This Row],[Chassis]]&amp;"S"&amp;TEXT(tbl_IO_List[[#This Row],[Slot]],"00")</f>
        <v>C1S08</v>
      </c>
      <c r="Y150" s="136" t="str">
        <f>tbl_IO_List[[#This Row],[Chassis]]&amp;"S"&amp;TEXT(tbl_IO_List[[#This Row],[Slot]],"00")&amp;tbl_IO_List[[#This Row],[I/O Type]]&amp;TEXT(tbl_IO_List[[#This Row],[Point]],"00")</f>
        <v>C1S08DO16</v>
      </c>
      <c r="Z150" s="136" t="str">
        <f>tbl_IO_List[[#This Row],[Chassis]]&amp;"S"&amp;TEXT(tbl_IO_List[[#This Row],[Slot]],"00")&amp;","&amp;TEXT(tbl_IO_List[[#This Row],[Point]],"00")</f>
        <v>C1S08,16</v>
      </c>
      <c r="AA150" s="136" t="str">
        <f>VLOOKUP(tbl_IO_List[[#This Row],[Column23]],tbl_RackConfig[],5,FALSE) &amp;"-"&amp;tbl_IO_List[[#This Row],[Point]]</f>
        <v>1756-OB32-16</v>
      </c>
      <c r="AB150" s="136"/>
      <c r="AC150" s="136" t="s">
        <v>1370</v>
      </c>
      <c r="AD150" s="136" t="str">
        <f>tbl_IO_List[[#This Row],[I/O Type]]</f>
        <v>DO</v>
      </c>
      <c r="AE150" s="136" t="s">
        <v>1332</v>
      </c>
      <c r="AF150" s="136">
        <v>8</v>
      </c>
      <c r="AG150" s="136">
        <v>16</v>
      </c>
      <c r="AH150" s="136">
        <v>17</v>
      </c>
      <c r="AI150" s="136">
        <v>19</v>
      </c>
      <c r="AJ150" s="136">
        <v>2</v>
      </c>
      <c r="AK150" s="136">
        <v>1</v>
      </c>
      <c r="AL150" s="136">
        <v>0</v>
      </c>
      <c r="AM150" s="136">
        <v>0</v>
      </c>
      <c r="AN150" s="136">
        <v>0</v>
      </c>
      <c r="AO150" s="136"/>
      <c r="AP150" s="143" t="str">
        <f>VLOOKUP(tbl_IO_List[[#This Row],[Instruement Tag]],tbl_Instruement_List[],14,FALSE)</f>
        <v>24 VDC energized</v>
      </c>
      <c r="AQ150" s="143" t="str">
        <f>tbl_IO_List[[#This Row],[Chassis]]&amp;"S"&amp;tbl_IO_List[[#This Row],[Slot]]&amp;"-"&amp;tbl_IO_List[[#This Row],[Front Terminal Number]]</f>
        <v>C1S8-19</v>
      </c>
      <c r="AR150" s="141" t="s">
        <v>1855</v>
      </c>
      <c r="AS150" s="136" t="str">
        <f>tbl_IO_List[[#This Row],[Terminal Tagging]]&amp;"-"&amp;tbl_IO_List[[#This Row],[Point-Count]]</f>
        <v>P1-TBRL1-17</v>
      </c>
      <c r="AT150" s="136" t="str">
        <f>tbl_IO_List[[#This Row],[Front Terminal Tagging]]&amp;"/"&amp;tbl_IO_List[[#This Row],[Terminal Tagging-Item]]</f>
        <v>C1S8-19/P1-TBRL1-17</v>
      </c>
      <c r="AU150" s="136" t="str">
        <f>tbl_IO_List[[#This Row],[Terminal Tagging-Item]]&amp;"/"&amp;tbl_IO_List[[#This Row],[Front Terminal Tagging]]</f>
        <v>P1-TBRL1-17/C1S8-19</v>
      </c>
    </row>
    <row r="151" spans="1:47" hidden="1">
      <c r="A151" s="147" t="s">
        <v>1369</v>
      </c>
      <c r="B151" s="136" t="s">
        <v>114</v>
      </c>
      <c r="C151" s="136" t="str">
        <f>tbl_IO_List[[#This Row],[Column3]]</f>
        <v>C1S08,17</v>
      </c>
      <c r="D151" s="136" t="str">
        <f>tbl_IO_List[[#This Row],[Card]]</f>
        <v>1756-OB32-17</v>
      </c>
      <c r="E151" s="136" t="s">
        <v>1372</v>
      </c>
      <c r="F151" s="136" t="str">
        <f>tbl_IO_List[[#This Row],[Column23]]&amp;"-" &amp;tbl_IO_List[[#This Row],[Column52]]</f>
        <v>C1S08-X2</v>
      </c>
      <c r="G151" s="136" t="str">
        <f>tbl_IO_List[[#This Row],[PLC_Tag]]</f>
        <v>XV-40202F_DO_1</v>
      </c>
      <c r="H151" s="136"/>
      <c r="I151" s="136" t="str">
        <f>VLOOKUP(tbl_IO_List[[#This Row],[Destination]],tbl_Junction[],2,FALSE)</f>
        <v>Infeed 2nd Floor</v>
      </c>
      <c r="J151" s="136" t="s">
        <v>114</v>
      </c>
      <c r="K151" s="136" t="s">
        <v>136</v>
      </c>
      <c r="L151" s="136" t="s">
        <v>164</v>
      </c>
      <c r="M151" s="136">
        <f>VLOOKUP(tbl_IO_List[[#This Row],[Instruement Tag]],tbl_Instruement_List[],2,FALSE)</f>
        <v>0</v>
      </c>
      <c r="N151" s="136" t="s">
        <v>15</v>
      </c>
      <c r="O151" s="136" t="s">
        <v>121</v>
      </c>
      <c r="P151" s="136" t="s">
        <v>137</v>
      </c>
      <c r="Q151" s="136" t="str">
        <f>VLOOKUP(tbl_IO_List[[#This Row],[Instruement Tag]],tbl_Instruement_List[],6,FALSE)</f>
        <v>Slurry feed-to spray dry tank</v>
      </c>
      <c r="R151" s="136"/>
      <c r="S15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151" s="136" t="str">
        <f>tbl_IO_List[[#This Row],[Instruement Tag]]&amp;"_"&amp;tbl_IO_List[[#This Row],[I/O Type]]&amp;"_"&amp;tbl_IO_List[[#This Row],[IO-Point 
(Instruement)]]</f>
        <v>XV-40202F_DO_1</v>
      </c>
      <c r="U151" s="136" t="s">
        <v>7</v>
      </c>
      <c r="V151" s="136">
        <f>VLOOKUP(tbl_IO_List[[#This Row],[I/O Type]],tbl_Slot_Group[],2,FALSE)</f>
        <v>2</v>
      </c>
      <c r="W151" s="136">
        <v>1</v>
      </c>
      <c r="X151" s="136" t="str">
        <f>tbl_IO_List[[#This Row],[Chassis]]&amp;"S"&amp;TEXT(tbl_IO_List[[#This Row],[Slot]],"00")</f>
        <v>C1S08</v>
      </c>
      <c r="Y151" s="136" t="str">
        <f>tbl_IO_List[[#This Row],[Chassis]]&amp;"S"&amp;TEXT(tbl_IO_List[[#This Row],[Slot]],"00")&amp;tbl_IO_List[[#This Row],[I/O Type]]&amp;TEXT(tbl_IO_List[[#This Row],[Point]],"00")</f>
        <v>C1S08DO17</v>
      </c>
      <c r="Z151" s="136" t="str">
        <f>tbl_IO_List[[#This Row],[Chassis]]&amp;"S"&amp;TEXT(tbl_IO_List[[#This Row],[Slot]],"00")&amp;","&amp;TEXT(tbl_IO_List[[#This Row],[Point]],"00")</f>
        <v>C1S08,17</v>
      </c>
      <c r="AA151" s="136" t="str">
        <f>VLOOKUP(tbl_IO_List[[#This Row],[Column23]],tbl_RackConfig[],5,FALSE) &amp;"-"&amp;tbl_IO_List[[#This Row],[Point]]</f>
        <v>1756-OB32-17</v>
      </c>
      <c r="AB151" s="136"/>
      <c r="AC151" s="136" t="s">
        <v>1370</v>
      </c>
      <c r="AD151" s="136" t="str">
        <f>tbl_IO_List[[#This Row],[I/O Type]]</f>
        <v>DO</v>
      </c>
      <c r="AE151" s="136" t="s">
        <v>1332</v>
      </c>
      <c r="AF151" s="136">
        <v>8</v>
      </c>
      <c r="AG151" s="136">
        <v>17</v>
      </c>
      <c r="AH151" s="136">
        <v>18</v>
      </c>
      <c r="AI151" s="136">
        <v>20</v>
      </c>
      <c r="AJ151" s="136">
        <v>2</v>
      </c>
      <c r="AK151" s="136">
        <v>1</v>
      </c>
      <c r="AL151" s="136">
        <v>0</v>
      </c>
      <c r="AM151" s="136">
        <v>0</v>
      </c>
      <c r="AN151" s="136">
        <v>0</v>
      </c>
      <c r="AO151" s="136"/>
      <c r="AP151" s="143" t="str">
        <f>VLOOKUP(tbl_IO_List[[#This Row],[Instruement Tag]],tbl_Instruement_List[],14,FALSE)</f>
        <v>24 VDC energized</v>
      </c>
      <c r="AQ151" s="143" t="str">
        <f>tbl_IO_List[[#This Row],[Chassis]]&amp;"S"&amp;tbl_IO_List[[#This Row],[Slot]]&amp;"-"&amp;tbl_IO_List[[#This Row],[Front Terminal Number]]</f>
        <v>C1S8-20</v>
      </c>
      <c r="AR151" s="141" t="s">
        <v>1855</v>
      </c>
      <c r="AS151" s="136" t="str">
        <f>tbl_IO_List[[#This Row],[Terminal Tagging]]&amp;"-"&amp;tbl_IO_List[[#This Row],[Point-Count]]</f>
        <v>P1-TBRL1-18</v>
      </c>
      <c r="AT151" s="136" t="str">
        <f>tbl_IO_List[[#This Row],[Front Terminal Tagging]]&amp;"/"&amp;tbl_IO_List[[#This Row],[Terminal Tagging-Item]]</f>
        <v>C1S8-20/P1-TBRL1-18</v>
      </c>
      <c r="AU151" s="136" t="str">
        <f>tbl_IO_List[[#This Row],[Terminal Tagging-Item]]&amp;"/"&amp;tbl_IO_List[[#This Row],[Front Terminal Tagging]]</f>
        <v>P1-TBRL1-18/C1S8-20</v>
      </c>
    </row>
    <row r="152" spans="1:47" hidden="1">
      <c r="A152" s="147" t="s">
        <v>1369</v>
      </c>
      <c r="B152" s="136" t="s">
        <v>114</v>
      </c>
      <c r="C152" s="136" t="str">
        <f>tbl_IO_List[[#This Row],[Column3]]</f>
        <v>C1S08,18</v>
      </c>
      <c r="D152" s="136" t="str">
        <f>tbl_IO_List[[#This Row],[Card]]</f>
        <v>1756-OB32-18</v>
      </c>
      <c r="E152" s="136" t="s">
        <v>1372</v>
      </c>
      <c r="F152" s="136" t="str">
        <f>tbl_IO_List[[#This Row],[Column23]]&amp;"-" &amp;tbl_IO_List[[#This Row],[Column52]]</f>
        <v>C1S08-X2</v>
      </c>
      <c r="G152" s="136" t="str">
        <f>tbl_IO_List[[#This Row],[PLC_Tag]]</f>
        <v>XV-40202G_DO_1</v>
      </c>
      <c r="H152" s="136"/>
      <c r="I152" s="136" t="str">
        <f>VLOOKUP(tbl_IO_List[[#This Row],[Destination]],tbl_Junction[],2,FALSE)</f>
        <v>Infeed 2nd Floor</v>
      </c>
      <c r="J152" s="136" t="s">
        <v>114</v>
      </c>
      <c r="K152" s="136" t="s">
        <v>136</v>
      </c>
      <c r="L152" s="136" t="s">
        <v>165</v>
      </c>
      <c r="M152" s="136">
        <f>VLOOKUP(tbl_IO_List[[#This Row],[Instruement Tag]],tbl_Instruement_List[],2,FALSE)</f>
        <v>0</v>
      </c>
      <c r="N152" s="136" t="s">
        <v>15</v>
      </c>
      <c r="O152" s="136" t="s">
        <v>121</v>
      </c>
      <c r="P152" s="136" t="s">
        <v>137</v>
      </c>
      <c r="Q152" s="136" t="str">
        <f>VLOOKUP(tbl_IO_List[[#This Row],[Instruement Tag]],tbl_Instruement_List[],6,FALSE)</f>
        <v>CIP water washing pH Adjustment tank 2</v>
      </c>
      <c r="R152" s="136"/>
      <c r="S15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152" s="136" t="str">
        <f>tbl_IO_List[[#This Row],[Instruement Tag]]&amp;"_"&amp;tbl_IO_List[[#This Row],[I/O Type]]&amp;"_"&amp;tbl_IO_List[[#This Row],[IO-Point 
(Instruement)]]</f>
        <v>XV-40202G_DO_1</v>
      </c>
      <c r="U152" s="136" t="s">
        <v>7</v>
      </c>
      <c r="V152" s="136">
        <f>VLOOKUP(tbl_IO_List[[#This Row],[I/O Type]],tbl_Slot_Group[],2,FALSE)</f>
        <v>2</v>
      </c>
      <c r="W152" s="136">
        <v>1</v>
      </c>
      <c r="X152" s="136" t="str">
        <f>tbl_IO_List[[#This Row],[Chassis]]&amp;"S"&amp;TEXT(tbl_IO_List[[#This Row],[Slot]],"00")</f>
        <v>C1S08</v>
      </c>
      <c r="Y152" s="136" t="str">
        <f>tbl_IO_List[[#This Row],[Chassis]]&amp;"S"&amp;TEXT(tbl_IO_List[[#This Row],[Slot]],"00")&amp;tbl_IO_List[[#This Row],[I/O Type]]&amp;TEXT(tbl_IO_List[[#This Row],[Point]],"00")</f>
        <v>C1S08DO18</v>
      </c>
      <c r="Z152" s="136" t="str">
        <f>tbl_IO_List[[#This Row],[Chassis]]&amp;"S"&amp;TEXT(tbl_IO_List[[#This Row],[Slot]],"00")&amp;","&amp;TEXT(tbl_IO_List[[#This Row],[Point]],"00")</f>
        <v>C1S08,18</v>
      </c>
      <c r="AA152" s="136" t="str">
        <f>VLOOKUP(tbl_IO_List[[#This Row],[Column23]],tbl_RackConfig[],5,FALSE) &amp;"-"&amp;tbl_IO_List[[#This Row],[Point]]</f>
        <v>1756-OB32-18</v>
      </c>
      <c r="AB152" s="136"/>
      <c r="AC152" s="136" t="s">
        <v>1370</v>
      </c>
      <c r="AD152" s="136" t="str">
        <f>tbl_IO_List[[#This Row],[I/O Type]]</f>
        <v>DO</v>
      </c>
      <c r="AE152" s="136" t="s">
        <v>1332</v>
      </c>
      <c r="AF152" s="136">
        <v>8</v>
      </c>
      <c r="AG152" s="136">
        <v>18</v>
      </c>
      <c r="AH152" s="136">
        <v>19</v>
      </c>
      <c r="AI152" s="136">
        <v>21</v>
      </c>
      <c r="AJ152" s="136">
        <v>2</v>
      </c>
      <c r="AK152" s="136">
        <v>1</v>
      </c>
      <c r="AL152" s="136">
        <v>0</v>
      </c>
      <c r="AM152" s="136">
        <v>0</v>
      </c>
      <c r="AN152" s="136">
        <v>0</v>
      </c>
      <c r="AO152" s="136"/>
      <c r="AP152" s="143" t="str">
        <f>VLOOKUP(tbl_IO_List[[#This Row],[Instruement Tag]],tbl_Instruement_List[],14,FALSE)</f>
        <v>24 VDC energized</v>
      </c>
      <c r="AQ152" s="143" t="str">
        <f>tbl_IO_List[[#This Row],[Chassis]]&amp;"S"&amp;tbl_IO_List[[#This Row],[Slot]]&amp;"-"&amp;tbl_IO_List[[#This Row],[Front Terminal Number]]</f>
        <v>C1S8-21</v>
      </c>
      <c r="AR152" s="141" t="s">
        <v>1855</v>
      </c>
      <c r="AS152" s="136" t="str">
        <f>tbl_IO_List[[#This Row],[Terminal Tagging]]&amp;"-"&amp;tbl_IO_List[[#This Row],[Point-Count]]</f>
        <v>P1-TBRL1-19</v>
      </c>
      <c r="AT152" s="136" t="str">
        <f>tbl_IO_List[[#This Row],[Front Terminal Tagging]]&amp;"/"&amp;tbl_IO_List[[#This Row],[Terminal Tagging-Item]]</f>
        <v>C1S8-21/P1-TBRL1-19</v>
      </c>
      <c r="AU152" s="136" t="str">
        <f>tbl_IO_List[[#This Row],[Terminal Tagging-Item]]&amp;"/"&amp;tbl_IO_List[[#This Row],[Front Terminal Tagging]]</f>
        <v>P1-TBRL1-19/C1S8-21</v>
      </c>
    </row>
    <row r="153" spans="1:47" hidden="1">
      <c r="A153" s="147" t="s">
        <v>1369</v>
      </c>
      <c r="B153" s="136" t="s">
        <v>114</v>
      </c>
      <c r="C153" s="136" t="str">
        <f>tbl_IO_List[[#This Row],[Column3]]</f>
        <v>C1S08,19</v>
      </c>
      <c r="D153" s="136" t="str">
        <f>tbl_IO_List[[#This Row],[Card]]</f>
        <v>1756-OB32-19</v>
      </c>
      <c r="E153" s="136" t="s">
        <v>1372</v>
      </c>
      <c r="F153" s="136" t="str">
        <f>tbl_IO_List[[#This Row],[Column23]]&amp;"-" &amp;tbl_IO_List[[#This Row],[Column52]]</f>
        <v>C1S08-X2</v>
      </c>
      <c r="G153" s="136" t="str">
        <f>tbl_IO_List[[#This Row],[PLC_Tag]]</f>
        <v>XV-40202H_DO_1</v>
      </c>
      <c r="H153" s="136"/>
      <c r="I153" s="136" t="str">
        <f>VLOOKUP(tbl_IO_List[[#This Row],[Destination]],tbl_Junction[],2,FALSE)</f>
        <v>Infeed 2nd Floor</v>
      </c>
      <c r="J153" s="136" t="s">
        <v>114</v>
      </c>
      <c r="K153" s="136" t="s">
        <v>136</v>
      </c>
      <c r="L153" s="136" t="s">
        <v>166</v>
      </c>
      <c r="M153" s="136">
        <f>VLOOKUP(tbl_IO_List[[#This Row],[Instruement Tag]],tbl_Instruement_List[],2,FALSE)</f>
        <v>0</v>
      </c>
      <c r="N153" s="136" t="s">
        <v>15</v>
      </c>
      <c r="O153" s="136" t="s">
        <v>121</v>
      </c>
      <c r="P153" s="136" t="s">
        <v>137</v>
      </c>
      <c r="Q153" s="136" t="str">
        <f>VLOOKUP(tbl_IO_List[[#This Row],[Instruement Tag]],tbl_Instruement_List[],6,FALSE)</f>
        <v>CIP Hight pressure water washing pH Adjustment tank 2</v>
      </c>
      <c r="R153" s="136"/>
      <c r="S15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153" s="136" t="str">
        <f>tbl_IO_List[[#This Row],[Instruement Tag]]&amp;"_"&amp;tbl_IO_List[[#This Row],[I/O Type]]&amp;"_"&amp;tbl_IO_List[[#This Row],[IO-Point 
(Instruement)]]</f>
        <v>XV-40202H_DO_1</v>
      </c>
      <c r="U153" s="136" t="s">
        <v>7</v>
      </c>
      <c r="V153" s="136">
        <f>VLOOKUP(tbl_IO_List[[#This Row],[I/O Type]],tbl_Slot_Group[],2,FALSE)</f>
        <v>2</v>
      </c>
      <c r="W153" s="136">
        <v>1</v>
      </c>
      <c r="X153" s="136" t="str">
        <f>tbl_IO_List[[#This Row],[Chassis]]&amp;"S"&amp;TEXT(tbl_IO_List[[#This Row],[Slot]],"00")</f>
        <v>C1S08</v>
      </c>
      <c r="Y153" s="136" t="str">
        <f>tbl_IO_List[[#This Row],[Chassis]]&amp;"S"&amp;TEXT(tbl_IO_List[[#This Row],[Slot]],"00")&amp;tbl_IO_List[[#This Row],[I/O Type]]&amp;TEXT(tbl_IO_List[[#This Row],[Point]],"00")</f>
        <v>C1S08DO19</v>
      </c>
      <c r="Z153" s="136" t="str">
        <f>tbl_IO_List[[#This Row],[Chassis]]&amp;"S"&amp;TEXT(tbl_IO_List[[#This Row],[Slot]],"00")&amp;","&amp;TEXT(tbl_IO_List[[#This Row],[Point]],"00")</f>
        <v>C1S08,19</v>
      </c>
      <c r="AA153" s="136" t="str">
        <f>VLOOKUP(tbl_IO_List[[#This Row],[Column23]],tbl_RackConfig[],5,FALSE) &amp;"-"&amp;tbl_IO_List[[#This Row],[Point]]</f>
        <v>1756-OB32-19</v>
      </c>
      <c r="AB153" s="136"/>
      <c r="AC153" s="136" t="s">
        <v>1370</v>
      </c>
      <c r="AD153" s="136" t="str">
        <f>tbl_IO_List[[#This Row],[I/O Type]]</f>
        <v>DO</v>
      </c>
      <c r="AE153" s="136" t="s">
        <v>1332</v>
      </c>
      <c r="AF153" s="136">
        <v>8</v>
      </c>
      <c r="AG153" s="136">
        <v>19</v>
      </c>
      <c r="AH153" s="136">
        <v>20</v>
      </c>
      <c r="AI153" s="136">
        <v>22</v>
      </c>
      <c r="AJ153" s="136">
        <v>2</v>
      </c>
      <c r="AK153" s="136">
        <v>1</v>
      </c>
      <c r="AL153" s="136">
        <v>0</v>
      </c>
      <c r="AM153" s="136">
        <v>0</v>
      </c>
      <c r="AN153" s="136">
        <v>0</v>
      </c>
      <c r="AO153" s="136"/>
      <c r="AP153" s="143" t="str">
        <f>VLOOKUP(tbl_IO_List[[#This Row],[Instruement Tag]],tbl_Instruement_List[],14,FALSE)</f>
        <v>24 VDC energized</v>
      </c>
      <c r="AQ153" s="143" t="str">
        <f>tbl_IO_List[[#This Row],[Chassis]]&amp;"S"&amp;tbl_IO_List[[#This Row],[Slot]]&amp;"-"&amp;tbl_IO_List[[#This Row],[Front Terminal Number]]</f>
        <v>C1S8-22</v>
      </c>
      <c r="AR153" s="141" t="s">
        <v>1855</v>
      </c>
      <c r="AS153" s="136" t="str">
        <f>tbl_IO_List[[#This Row],[Terminal Tagging]]&amp;"-"&amp;tbl_IO_List[[#This Row],[Point-Count]]</f>
        <v>P1-TBRL1-20</v>
      </c>
      <c r="AT153" s="136" t="str">
        <f>tbl_IO_List[[#This Row],[Front Terminal Tagging]]&amp;"/"&amp;tbl_IO_List[[#This Row],[Terminal Tagging-Item]]</f>
        <v>C1S8-22/P1-TBRL1-20</v>
      </c>
      <c r="AU153" s="136" t="str">
        <f>tbl_IO_List[[#This Row],[Terminal Tagging-Item]]&amp;"/"&amp;tbl_IO_List[[#This Row],[Front Terminal Tagging]]</f>
        <v>P1-TBRL1-20/C1S8-22</v>
      </c>
    </row>
    <row r="154" spans="1:47" hidden="1">
      <c r="A154" s="147" t="s">
        <v>1369</v>
      </c>
      <c r="B154" s="136" t="s">
        <v>114</v>
      </c>
      <c r="C154" s="136" t="str">
        <f>tbl_IO_List[[#This Row],[Column3]]</f>
        <v>C1S08,20</v>
      </c>
      <c r="D154" s="136" t="str">
        <f>tbl_IO_List[[#This Row],[Card]]</f>
        <v>1756-OB32-20</v>
      </c>
      <c r="E154" s="136" t="s">
        <v>1372</v>
      </c>
      <c r="F154" s="136" t="str">
        <f>tbl_IO_List[[#This Row],[Column23]]&amp;"-" &amp;tbl_IO_List[[#This Row],[Column52]]</f>
        <v>C1S08-X2</v>
      </c>
      <c r="G154" s="136" t="str">
        <f>tbl_IO_List[[#This Row],[PLC_Tag]]</f>
        <v>XV-40203B_DO_1</v>
      </c>
      <c r="H154" s="136"/>
      <c r="I154" s="136" t="str">
        <f>VLOOKUP(tbl_IO_List[[#This Row],[Destination]],tbl_Junction[],2,FALSE)</f>
        <v>Infeed 2nd Floor</v>
      </c>
      <c r="J154" s="136" t="s">
        <v>114</v>
      </c>
      <c r="K154" s="136" t="s">
        <v>115</v>
      </c>
      <c r="L154" s="136" t="s">
        <v>128</v>
      </c>
      <c r="M154" s="136">
        <f>VLOOKUP(tbl_IO_List[[#This Row],[Instruement Tag]],tbl_Instruement_List[],2,FALSE)</f>
        <v>0</v>
      </c>
      <c r="N154" s="136" t="s">
        <v>15</v>
      </c>
      <c r="O154" s="136" t="s">
        <v>116</v>
      </c>
      <c r="P154" s="136" t="s">
        <v>117</v>
      </c>
      <c r="Q154" s="136" t="str">
        <f>VLOOKUP(tbl_IO_List[[#This Row],[Instruement Tag]],tbl_Instruement_List[],6,FALSE)</f>
        <v xml:space="preserve">Slurry feed-out Spray dryer infeed tank </v>
      </c>
      <c r="R154" s="136"/>
      <c r="S15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154" s="136" t="str">
        <f>tbl_IO_List[[#This Row],[Instruement Tag]]&amp;"_"&amp;tbl_IO_List[[#This Row],[I/O Type]]&amp;"_"&amp;tbl_IO_List[[#This Row],[IO-Point 
(Instruement)]]</f>
        <v>XV-40203B_DO_1</v>
      </c>
      <c r="U154" s="136" t="s">
        <v>7</v>
      </c>
      <c r="V154" s="136">
        <f>VLOOKUP(tbl_IO_List[[#This Row],[I/O Type]],tbl_Slot_Group[],2,FALSE)</f>
        <v>2</v>
      </c>
      <c r="W154" s="136">
        <v>1</v>
      </c>
      <c r="X154" s="136" t="str">
        <f>tbl_IO_List[[#This Row],[Chassis]]&amp;"S"&amp;TEXT(tbl_IO_List[[#This Row],[Slot]],"00")</f>
        <v>C1S08</v>
      </c>
      <c r="Y154" s="136" t="str">
        <f>tbl_IO_List[[#This Row],[Chassis]]&amp;"S"&amp;TEXT(tbl_IO_List[[#This Row],[Slot]],"00")&amp;tbl_IO_List[[#This Row],[I/O Type]]&amp;TEXT(tbl_IO_List[[#This Row],[Point]],"00")</f>
        <v>C1S08DO20</v>
      </c>
      <c r="Z154" s="136" t="str">
        <f>tbl_IO_List[[#This Row],[Chassis]]&amp;"S"&amp;TEXT(tbl_IO_List[[#This Row],[Slot]],"00")&amp;","&amp;TEXT(tbl_IO_List[[#This Row],[Point]],"00")</f>
        <v>C1S08,20</v>
      </c>
      <c r="AA154" s="136" t="str">
        <f>VLOOKUP(tbl_IO_List[[#This Row],[Column23]],tbl_RackConfig[],5,FALSE) &amp;"-"&amp;tbl_IO_List[[#This Row],[Point]]</f>
        <v>1756-OB32-20</v>
      </c>
      <c r="AB154" s="136"/>
      <c r="AC154" s="136" t="s">
        <v>1370</v>
      </c>
      <c r="AD154" s="136" t="str">
        <f>tbl_IO_List[[#This Row],[I/O Type]]</f>
        <v>DO</v>
      </c>
      <c r="AE154" s="136" t="s">
        <v>1332</v>
      </c>
      <c r="AF154" s="136">
        <v>8</v>
      </c>
      <c r="AG154" s="136">
        <v>20</v>
      </c>
      <c r="AH154" s="136">
        <v>21</v>
      </c>
      <c r="AI154" s="136">
        <v>23</v>
      </c>
      <c r="AJ154" s="136">
        <v>2</v>
      </c>
      <c r="AK154" s="136">
        <v>1</v>
      </c>
      <c r="AL154" s="136">
        <v>0</v>
      </c>
      <c r="AM154" s="136">
        <v>0</v>
      </c>
      <c r="AN154" s="136">
        <v>0</v>
      </c>
      <c r="AO154" s="136"/>
      <c r="AP154" s="143" t="str">
        <f>VLOOKUP(tbl_IO_List[[#This Row],[Instruement Tag]],tbl_Instruement_List[],14,FALSE)</f>
        <v>24 VDC energized</v>
      </c>
      <c r="AQ154" s="143" t="str">
        <f>tbl_IO_List[[#This Row],[Chassis]]&amp;"S"&amp;tbl_IO_List[[#This Row],[Slot]]&amp;"-"&amp;tbl_IO_List[[#This Row],[Front Terminal Number]]</f>
        <v>C1S8-23</v>
      </c>
      <c r="AR154" s="141" t="s">
        <v>1855</v>
      </c>
      <c r="AS154" s="136" t="str">
        <f>tbl_IO_List[[#This Row],[Terminal Tagging]]&amp;"-"&amp;tbl_IO_List[[#This Row],[Point-Count]]</f>
        <v>P1-TBRL1-21</v>
      </c>
      <c r="AT154" s="136" t="str">
        <f>tbl_IO_List[[#This Row],[Front Terminal Tagging]]&amp;"/"&amp;tbl_IO_List[[#This Row],[Terminal Tagging-Item]]</f>
        <v>C1S8-23/P1-TBRL1-21</v>
      </c>
      <c r="AU154" s="136" t="str">
        <f>tbl_IO_List[[#This Row],[Terminal Tagging-Item]]&amp;"/"&amp;tbl_IO_List[[#This Row],[Front Terminal Tagging]]</f>
        <v>P1-TBRL1-21/C1S8-23</v>
      </c>
    </row>
    <row r="155" spans="1:47" hidden="1">
      <c r="A155" s="147" t="s">
        <v>1369</v>
      </c>
      <c r="B155" s="136" t="s">
        <v>114</v>
      </c>
      <c r="C155" s="136" t="str">
        <f>tbl_IO_List[[#This Row],[Column3]]</f>
        <v>C1S08,21</v>
      </c>
      <c r="D155" s="136" t="str">
        <f>tbl_IO_List[[#This Row],[Card]]</f>
        <v>1756-OB32-21</v>
      </c>
      <c r="E155" s="136" t="s">
        <v>1372</v>
      </c>
      <c r="F155" s="136" t="str">
        <f>tbl_IO_List[[#This Row],[Column23]]&amp;"-" &amp;tbl_IO_List[[#This Row],[Column52]]</f>
        <v>C1S08-X2</v>
      </c>
      <c r="G155" s="136" t="str">
        <f>tbl_IO_List[[#This Row],[PLC_Tag]]</f>
        <v>XV-40203C_DO_1</v>
      </c>
      <c r="H155" s="136"/>
      <c r="I155" s="136" t="str">
        <f>VLOOKUP(tbl_IO_List[[#This Row],[Destination]],tbl_Junction[],2,FALSE)</f>
        <v>Infeed 2nd Floor</v>
      </c>
      <c r="J155" s="136" t="s">
        <v>114</v>
      </c>
      <c r="K155" s="136" t="s">
        <v>115</v>
      </c>
      <c r="L155" s="136" t="s">
        <v>129</v>
      </c>
      <c r="M155" s="136">
        <f>VLOOKUP(tbl_IO_List[[#This Row],[Instruement Tag]],tbl_Instruement_List[],2,FALSE)</f>
        <v>0</v>
      </c>
      <c r="N155" s="136" t="s">
        <v>15</v>
      </c>
      <c r="O155" s="136" t="s">
        <v>116</v>
      </c>
      <c r="P155" s="136" t="s">
        <v>117</v>
      </c>
      <c r="Q155" s="136" t="str">
        <f>VLOOKUP(tbl_IO_List[[#This Row],[Instruement Tag]],tbl_Instruement_List[],6,FALSE)</f>
        <v xml:space="preserve">Water washing line outlet Spray dryer infeed tank </v>
      </c>
      <c r="R155" s="136"/>
      <c r="S15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155" s="136" t="str">
        <f>tbl_IO_List[[#This Row],[Instruement Tag]]&amp;"_"&amp;tbl_IO_List[[#This Row],[I/O Type]]&amp;"_"&amp;tbl_IO_List[[#This Row],[IO-Point 
(Instruement)]]</f>
        <v>XV-40203C_DO_1</v>
      </c>
      <c r="U155" s="136" t="s">
        <v>7</v>
      </c>
      <c r="V155" s="136">
        <f>VLOOKUP(tbl_IO_List[[#This Row],[I/O Type]],tbl_Slot_Group[],2,FALSE)</f>
        <v>2</v>
      </c>
      <c r="W155" s="136">
        <v>1</v>
      </c>
      <c r="X155" s="136" t="str">
        <f>tbl_IO_List[[#This Row],[Chassis]]&amp;"S"&amp;TEXT(tbl_IO_List[[#This Row],[Slot]],"00")</f>
        <v>C1S08</v>
      </c>
      <c r="Y155" s="136" t="str">
        <f>tbl_IO_List[[#This Row],[Chassis]]&amp;"S"&amp;TEXT(tbl_IO_List[[#This Row],[Slot]],"00")&amp;tbl_IO_List[[#This Row],[I/O Type]]&amp;TEXT(tbl_IO_List[[#This Row],[Point]],"00")</f>
        <v>C1S08DO21</v>
      </c>
      <c r="Z155" s="136" t="str">
        <f>tbl_IO_List[[#This Row],[Chassis]]&amp;"S"&amp;TEXT(tbl_IO_List[[#This Row],[Slot]],"00")&amp;","&amp;TEXT(tbl_IO_List[[#This Row],[Point]],"00")</f>
        <v>C1S08,21</v>
      </c>
      <c r="AA155" s="136" t="str">
        <f>VLOOKUP(tbl_IO_List[[#This Row],[Column23]],tbl_RackConfig[],5,FALSE) &amp;"-"&amp;tbl_IO_List[[#This Row],[Point]]</f>
        <v>1756-OB32-21</v>
      </c>
      <c r="AB155" s="136"/>
      <c r="AC155" s="136" t="s">
        <v>1370</v>
      </c>
      <c r="AD155" s="136" t="str">
        <f>tbl_IO_List[[#This Row],[I/O Type]]</f>
        <v>DO</v>
      </c>
      <c r="AE155" s="136" t="s">
        <v>1332</v>
      </c>
      <c r="AF155" s="136">
        <v>8</v>
      </c>
      <c r="AG155" s="136">
        <v>21</v>
      </c>
      <c r="AH155" s="136">
        <v>22</v>
      </c>
      <c r="AI155" s="136">
        <v>24</v>
      </c>
      <c r="AJ155" s="136">
        <v>2</v>
      </c>
      <c r="AK155" s="136">
        <v>1</v>
      </c>
      <c r="AL155" s="136">
        <v>0</v>
      </c>
      <c r="AM155" s="136">
        <v>0</v>
      </c>
      <c r="AN155" s="136">
        <v>0</v>
      </c>
      <c r="AO155" s="136"/>
      <c r="AP155" s="143" t="str">
        <f>VLOOKUP(tbl_IO_List[[#This Row],[Instruement Tag]],tbl_Instruement_List[],14,FALSE)</f>
        <v>24 VDC energized</v>
      </c>
      <c r="AQ155" s="143" t="str">
        <f>tbl_IO_List[[#This Row],[Chassis]]&amp;"S"&amp;tbl_IO_List[[#This Row],[Slot]]&amp;"-"&amp;tbl_IO_List[[#This Row],[Front Terminal Number]]</f>
        <v>C1S8-24</v>
      </c>
      <c r="AR155" s="141" t="s">
        <v>1855</v>
      </c>
      <c r="AS155" s="136" t="str">
        <f>tbl_IO_List[[#This Row],[Terminal Tagging]]&amp;"-"&amp;tbl_IO_List[[#This Row],[Point-Count]]</f>
        <v>P1-TBRL1-22</v>
      </c>
      <c r="AT155" s="136" t="str">
        <f>tbl_IO_List[[#This Row],[Front Terminal Tagging]]&amp;"/"&amp;tbl_IO_List[[#This Row],[Terminal Tagging-Item]]</f>
        <v>C1S8-24/P1-TBRL1-22</v>
      </c>
      <c r="AU155" s="136" t="str">
        <f>tbl_IO_List[[#This Row],[Terminal Tagging-Item]]&amp;"/"&amp;tbl_IO_List[[#This Row],[Front Terminal Tagging]]</f>
        <v>P1-TBRL1-22/C1S8-24</v>
      </c>
    </row>
    <row r="156" spans="1:47" hidden="1">
      <c r="A156" s="147" t="s">
        <v>1369</v>
      </c>
      <c r="B156" s="136" t="s">
        <v>114</v>
      </c>
      <c r="C156" s="136" t="str">
        <f>tbl_IO_List[[#This Row],[Column3]]</f>
        <v>C1S08,22</v>
      </c>
      <c r="D156" s="136" t="str">
        <f>tbl_IO_List[[#This Row],[Card]]</f>
        <v>1756-OB32-22</v>
      </c>
      <c r="E156" s="136" t="s">
        <v>1372</v>
      </c>
      <c r="F156" s="136" t="str">
        <f>tbl_IO_List[[#This Row],[Column23]]&amp;"-" &amp;tbl_IO_List[[#This Row],[Column52]]</f>
        <v>C1S08-X2</v>
      </c>
      <c r="G156" s="136" t="str">
        <f>tbl_IO_List[[#This Row],[PLC_Tag]]</f>
        <v>XV-40203D_DO_1</v>
      </c>
      <c r="H156" s="136"/>
      <c r="I156" s="136" t="str">
        <f>VLOOKUP(tbl_IO_List[[#This Row],[Destination]],tbl_Junction[],2,FALSE)</f>
        <v>Infeed 2nd Floor</v>
      </c>
      <c r="J156" s="136" t="s">
        <v>114</v>
      </c>
      <c r="K156" s="136" t="s">
        <v>115</v>
      </c>
      <c r="L156" s="136" t="s">
        <v>130</v>
      </c>
      <c r="M156" s="136">
        <f>VLOOKUP(tbl_IO_List[[#This Row],[Instruement Tag]],tbl_Instruement_List[],2,FALSE)</f>
        <v>0</v>
      </c>
      <c r="N156" s="136" t="s">
        <v>15</v>
      </c>
      <c r="O156" s="136" t="s">
        <v>116</v>
      </c>
      <c r="P156" s="136" t="s">
        <v>117</v>
      </c>
      <c r="Q156" s="136" t="str">
        <f>VLOOKUP(tbl_IO_List[[#This Row],[Instruement Tag]],tbl_Instruement_List[],6,FALSE)</f>
        <v xml:space="preserve">CIP water washing Spray dryer infeed tank </v>
      </c>
      <c r="R156" s="136"/>
      <c r="S15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156" s="136" t="str">
        <f>tbl_IO_List[[#This Row],[Instruement Tag]]&amp;"_"&amp;tbl_IO_List[[#This Row],[I/O Type]]&amp;"_"&amp;tbl_IO_List[[#This Row],[IO-Point 
(Instruement)]]</f>
        <v>XV-40203D_DO_1</v>
      </c>
      <c r="U156" s="136" t="s">
        <v>7</v>
      </c>
      <c r="V156" s="136">
        <f>VLOOKUP(tbl_IO_List[[#This Row],[I/O Type]],tbl_Slot_Group[],2,FALSE)</f>
        <v>2</v>
      </c>
      <c r="W156" s="136">
        <v>1</v>
      </c>
      <c r="X156" s="136" t="str">
        <f>tbl_IO_List[[#This Row],[Chassis]]&amp;"S"&amp;TEXT(tbl_IO_List[[#This Row],[Slot]],"00")</f>
        <v>C1S08</v>
      </c>
      <c r="Y156" s="136" t="str">
        <f>tbl_IO_List[[#This Row],[Chassis]]&amp;"S"&amp;TEXT(tbl_IO_List[[#This Row],[Slot]],"00")&amp;tbl_IO_List[[#This Row],[I/O Type]]&amp;TEXT(tbl_IO_List[[#This Row],[Point]],"00")</f>
        <v>C1S08DO22</v>
      </c>
      <c r="Z156" s="136" t="str">
        <f>tbl_IO_List[[#This Row],[Chassis]]&amp;"S"&amp;TEXT(tbl_IO_List[[#This Row],[Slot]],"00")&amp;","&amp;TEXT(tbl_IO_List[[#This Row],[Point]],"00")</f>
        <v>C1S08,22</v>
      </c>
      <c r="AA156" s="136" t="str">
        <f>VLOOKUP(tbl_IO_List[[#This Row],[Column23]],tbl_RackConfig[],5,FALSE) &amp;"-"&amp;tbl_IO_List[[#This Row],[Point]]</f>
        <v>1756-OB32-22</v>
      </c>
      <c r="AB156" s="136"/>
      <c r="AC156" s="136" t="s">
        <v>1370</v>
      </c>
      <c r="AD156" s="136" t="str">
        <f>tbl_IO_List[[#This Row],[I/O Type]]</f>
        <v>DO</v>
      </c>
      <c r="AE156" s="136" t="s">
        <v>1332</v>
      </c>
      <c r="AF156" s="136">
        <v>8</v>
      </c>
      <c r="AG156" s="136">
        <v>22</v>
      </c>
      <c r="AH156" s="136">
        <v>23</v>
      </c>
      <c r="AI156" s="136">
        <v>25</v>
      </c>
      <c r="AJ156" s="136">
        <v>2</v>
      </c>
      <c r="AK156" s="136">
        <v>1</v>
      </c>
      <c r="AL156" s="136">
        <v>0</v>
      </c>
      <c r="AM156" s="136">
        <v>0</v>
      </c>
      <c r="AN156" s="136">
        <v>0</v>
      </c>
      <c r="AO156" s="136"/>
      <c r="AP156" s="143" t="str">
        <f>VLOOKUP(tbl_IO_List[[#This Row],[Instruement Tag]],tbl_Instruement_List[],14,FALSE)</f>
        <v>24 VDC energized</v>
      </c>
      <c r="AQ156" s="143" t="str">
        <f>tbl_IO_List[[#This Row],[Chassis]]&amp;"S"&amp;tbl_IO_List[[#This Row],[Slot]]&amp;"-"&amp;tbl_IO_List[[#This Row],[Front Terminal Number]]</f>
        <v>C1S8-25</v>
      </c>
      <c r="AR156" s="141" t="s">
        <v>1855</v>
      </c>
      <c r="AS156" s="136" t="str">
        <f>tbl_IO_List[[#This Row],[Terminal Tagging]]&amp;"-"&amp;tbl_IO_List[[#This Row],[Point-Count]]</f>
        <v>P1-TBRL1-23</v>
      </c>
      <c r="AT156" s="136" t="str">
        <f>tbl_IO_List[[#This Row],[Front Terminal Tagging]]&amp;"/"&amp;tbl_IO_List[[#This Row],[Terminal Tagging-Item]]</f>
        <v>C1S8-25/P1-TBRL1-23</v>
      </c>
      <c r="AU156" s="136" t="str">
        <f>tbl_IO_List[[#This Row],[Terminal Tagging-Item]]&amp;"/"&amp;tbl_IO_List[[#This Row],[Front Terminal Tagging]]</f>
        <v>P1-TBRL1-23/C1S8-25</v>
      </c>
    </row>
    <row r="157" spans="1:47" hidden="1">
      <c r="A157" s="147" t="s">
        <v>1369</v>
      </c>
      <c r="B157" s="136" t="s">
        <v>114</v>
      </c>
      <c r="C157" s="136" t="str">
        <f>tbl_IO_List[[#This Row],[Column3]]</f>
        <v>C1S08,23</v>
      </c>
      <c r="D157" s="136" t="str">
        <f>tbl_IO_List[[#This Row],[Card]]</f>
        <v>1756-OB32-23</v>
      </c>
      <c r="E157" s="136" t="s">
        <v>1372</v>
      </c>
      <c r="F157" s="136" t="str">
        <f>tbl_IO_List[[#This Row],[Column23]]&amp;"-" &amp;tbl_IO_List[[#This Row],[Column52]]</f>
        <v>C1S08-X2</v>
      </c>
      <c r="G157" s="136" t="str">
        <f>tbl_IO_List[[#This Row],[PLC_Tag]]</f>
        <v>XV-40203E_DO_1</v>
      </c>
      <c r="H157" s="136"/>
      <c r="I157" s="136" t="str">
        <f>VLOOKUP(tbl_IO_List[[#This Row],[Destination]],tbl_Junction[],2,FALSE)</f>
        <v>Infeed 2nd Floor</v>
      </c>
      <c r="J157" s="136" t="s">
        <v>114</v>
      </c>
      <c r="K157" s="136" t="s">
        <v>115</v>
      </c>
      <c r="L157" s="136" t="s">
        <v>131</v>
      </c>
      <c r="M157" s="136">
        <f>VLOOKUP(tbl_IO_List[[#This Row],[Instruement Tag]],tbl_Instruement_List[],2,FALSE)</f>
        <v>0</v>
      </c>
      <c r="N157" s="136" t="s">
        <v>15</v>
      </c>
      <c r="O157" s="136" t="s">
        <v>116</v>
      </c>
      <c r="P157" s="136" t="s">
        <v>117</v>
      </c>
      <c r="Q157" s="136" t="str">
        <f>VLOOKUP(tbl_IO_List[[#This Row],[Instruement Tag]],tbl_Instruement_List[],6,FALSE)</f>
        <v xml:space="preserve">CIP hight pressure water washing Spray dryer infeed tank </v>
      </c>
      <c r="R157" s="136"/>
      <c r="S15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157" s="136" t="str">
        <f>tbl_IO_List[[#This Row],[Instruement Tag]]&amp;"_"&amp;tbl_IO_List[[#This Row],[I/O Type]]&amp;"_"&amp;tbl_IO_List[[#This Row],[IO-Point 
(Instruement)]]</f>
        <v>XV-40203E_DO_1</v>
      </c>
      <c r="U157" s="136" t="s">
        <v>7</v>
      </c>
      <c r="V157" s="136">
        <f>VLOOKUP(tbl_IO_List[[#This Row],[I/O Type]],tbl_Slot_Group[],2,FALSE)</f>
        <v>2</v>
      </c>
      <c r="W157" s="136">
        <v>1</v>
      </c>
      <c r="X157" s="136" t="str">
        <f>tbl_IO_List[[#This Row],[Chassis]]&amp;"S"&amp;TEXT(tbl_IO_List[[#This Row],[Slot]],"00")</f>
        <v>C1S08</v>
      </c>
      <c r="Y157" s="136" t="str">
        <f>tbl_IO_List[[#This Row],[Chassis]]&amp;"S"&amp;TEXT(tbl_IO_List[[#This Row],[Slot]],"00")&amp;tbl_IO_List[[#This Row],[I/O Type]]&amp;TEXT(tbl_IO_List[[#This Row],[Point]],"00")</f>
        <v>C1S08DO23</v>
      </c>
      <c r="Z157" s="136" t="str">
        <f>tbl_IO_List[[#This Row],[Chassis]]&amp;"S"&amp;TEXT(tbl_IO_List[[#This Row],[Slot]],"00")&amp;","&amp;TEXT(tbl_IO_List[[#This Row],[Point]],"00")</f>
        <v>C1S08,23</v>
      </c>
      <c r="AA157" s="136" t="str">
        <f>VLOOKUP(tbl_IO_List[[#This Row],[Column23]],tbl_RackConfig[],5,FALSE) &amp;"-"&amp;tbl_IO_List[[#This Row],[Point]]</f>
        <v>1756-OB32-23</v>
      </c>
      <c r="AB157" s="136"/>
      <c r="AC157" s="136" t="s">
        <v>1370</v>
      </c>
      <c r="AD157" s="136" t="str">
        <f>tbl_IO_List[[#This Row],[I/O Type]]</f>
        <v>DO</v>
      </c>
      <c r="AE157" s="136" t="s">
        <v>1332</v>
      </c>
      <c r="AF157" s="136">
        <v>8</v>
      </c>
      <c r="AG157" s="136">
        <v>23</v>
      </c>
      <c r="AH157" s="136">
        <v>24</v>
      </c>
      <c r="AI157" s="136">
        <v>26</v>
      </c>
      <c r="AJ157" s="136">
        <v>2</v>
      </c>
      <c r="AK157" s="136">
        <v>1</v>
      </c>
      <c r="AL157" s="136">
        <v>0</v>
      </c>
      <c r="AM157" s="136">
        <v>0</v>
      </c>
      <c r="AN157" s="136">
        <v>0</v>
      </c>
      <c r="AO157" s="136"/>
      <c r="AP157" s="143" t="str">
        <f>VLOOKUP(tbl_IO_List[[#This Row],[Instruement Tag]],tbl_Instruement_List[],14,FALSE)</f>
        <v>24 VDC energized</v>
      </c>
      <c r="AQ157" s="143" t="str">
        <f>tbl_IO_List[[#This Row],[Chassis]]&amp;"S"&amp;tbl_IO_List[[#This Row],[Slot]]&amp;"-"&amp;tbl_IO_List[[#This Row],[Front Terminal Number]]</f>
        <v>C1S8-26</v>
      </c>
      <c r="AR157" s="141" t="s">
        <v>1855</v>
      </c>
      <c r="AS157" s="136" t="str">
        <f>tbl_IO_List[[#This Row],[Terminal Tagging]]&amp;"-"&amp;tbl_IO_List[[#This Row],[Point-Count]]</f>
        <v>P1-TBRL1-24</v>
      </c>
      <c r="AT157" s="136" t="str">
        <f>tbl_IO_List[[#This Row],[Front Terminal Tagging]]&amp;"/"&amp;tbl_IO_List[[#This Row],[Terminal Tagging-Item]]</f>
        <v>C1S8-26/P1-TBRL1-24</v>
      </c>
      <c r="AU157" s="136" t="str">
        <f>tbl_IO_List[[#This Row],[Terminal Tagging-Item]]&amp;"/"&amp;tbl_IO_List[[#This Row],[Front Terminal Tagging]]</f>
        <v>P1-TBRL1-24/C1S8-26</v>
      </c>
    </row>
    <row r="158" spans="1:47" hidden="1">
      <c r="A158" s="147" t="s">
        <v>1369</v>
      </c>
      <c r="B158" s="136" t="s">
        <v>114</v>
      </c>
      <c r="C158" s="136" t="str">
        <f>tbl_IO_List[[#This Row],[Column3]]</f>
        <v>C1S08,24</v>
      </c>
      <c r="D158" s="136" t="str">
        <f>tbl_IO_List[[#This Row],[Card]]</f>
        <v>1756-OB32-24</v>
      </c>
      <c r="E158" s="136" t="s">
        <v>1372</v>
      </c>
      <c r="F158" s="136" t="str">
        <f>tbl_IO_List[[#This Row],[Column23]]&amp;"-" &amp;tbl_IO_List[[#This Row],[Column52]]</f>
        <v>C1S08-X2</v>
      </c>
      <c r="G158" s="136" t="str">
        <f>tbl_IO_List[[#This Row],[PLC_Tag]]</f>
        <v>SV-40201_DO_1</v>
      </c>
      <c r="H158" s="136"/>
      <c r="I158" s="136" t="str">
        <f>VLOOKUP(tbl_IO_List[[#This Row],[Destination]],tbl_Junction[],2,FALSE)</f>
        <v>Infeed 2nd Floor</v>
      </c>
      <c r="J158" s="136" t="s">
        <v>114</v>
      </c>
      <c r="K158" s="136" t="s">
        <v>136</v>
      </c>
      <c r="L158" s="136" t="s">
        <v>147</v>
      </c>
      <c r="M158" s="136">
        <f>VLOOKUP(tbl_IO_List[[#This Row],[Instruement Tag]],tbl_Instruement_List[],2,FALSE)</f>
        <v>0</v>
      </c>
      <c r="N158" s="136" t="s">
        <v>15</v>
      </c>
      <c r="O158" s="136" t="s">
        <v>121</v>
      </c>
      <c r="P158" s="136" t="s">
        <v>137</v>
      </c>
      <c r="Q158" s="136" t="str">
        <f>VLOOKUP(tbl_IO_List[[#This Row],[Instruement Tag]],tbl_Instruement_List[],6,FALSE)</f>
        <v>Water service pH analyzer in pH Adjustment tank 1</v>
      </c>
      <c r="R158" s="136"/>
      <c r="S15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58" s="136" t="str">
        <f>tbl_IO_List[[#This Row],[Instruement Tag]]&amp;"_"&amp;tbl_IO_List[[#This Row],[I/O Type]]&amp;"_"&amp;tbl_IO_List[[#This Row],[IO-Point 
(Instruement)]]</f>
        <v>SV-40201_DO_1</v>
      </c>
      <c r="U158" s="136" t="s">
        <v>7</v>
      </c>
      <c r="V158" s="136">
        <f>VLOOKUP(tbl_IO_List[[#This Row],[I/O Type]],tbl_Slot_Group[],2,FALSE)</f>
        <v>2</v>
      </c>
      <c r="W158" s="136">
        <v>1</v>
      </c>
      <c r="X158" s="136" t="str">
        <f>tbl_IO_List[[#This Row],[Chassis]]&amp;"S"&amp;TEXT(tbl_IO_List[[#This Row],[Slot]],"00")</f>
        <v>C1S08</v>
      </c>
      <c r="Y158" s="136" t="str">
        <f>tbl_IO_List[[#This Row],[Chassis]]&amp;"S"&amp;TEXT(tbl_IO_List[[#This Row],[Slot]],"00")&amp;tbl_IO_List[[#This Row],[I/O Type]]&amp;TEXT(tbl_IO_List[[#This Row],[Point]],"00")</f>
        <v>C1S08DO24</v>
      </c>
      <c r="Z158" s="136" t="str">
        <f>tbl_IO_List[[#This Row],[Chassis]]&amp;"S"&amp;TEXT(tbl_IO_List[[#This Row],[Slot]],"00")&amp;","&amp;TEXT(tbl_IO_List[[#This Row],[Point]],"00")</f>
        <v>C1S08,24</v>
      </c>
      <c r="AA158" s="136" t="str">
        <f>VLOOKUP(tbl_IO_List[[#This Row],[Column23]],tbl_RackConfig[],5,FALSE) &amp;"-"&amp;tbl_IO_List[[#This Row],[Point]]</f>
        <v>1756-OB32-24</v>
      </c>
      <c r="AB158" s="136"/>
      <c r="AC158" s="136" t="s">
        <v>1370</v>
      </c>
      <c r="AD158" s="136" t="str">
        <f>tbl_IO_List[[#This Row],[I/O Type]]</f>
        <v>DO</v>
      </c>
      <c r="AE158" s="136" t="s">
        <v>1332</v>
      </c>
      <c r="AF158" s="136">
        <v>8</v>
      </c>
      <c r="AG158" s="136">
        <v>24</v>
      </c>
      <c r="AH158" s="136">
        <v>25</v>
      </c>
      <c r="AI158" s="136">
        <v>27</v>
      </c>
      <c r="AJ158" s="136">
        <v>0</v>
      </c>
      <c r="AK158" s="136">
        <v>1</v>
      </c>
      <c r="AL158" s="136">
        <v>0</v>
      </c>
      <c r="AM158" s="136">
        <v>0</v>
      </c>
      <c r="AN158" s="136">
        <v>0</v>
      </c>
      <c r="AO158" s="136"/>
      <c r="AP158" s="143" t="str">
        <f>VLOOKUP(tbl_IO_List[[#This Row],[Instruement Tag]],tbl_Instruement_List[],14,FALSE)</f>
        <v>24 VDC energized</v>
      </c>
      <c r="AQ158" s="143" t="str">
        <f>tbl_IO_List[[#This Row],[Chassis]]&amp;"S"&amp;tbl_IO_List[[#This Row],[Slot]]&amp;"-"&amp;tbl_IO_List[[#This Row],[Front Terminal Number]]</f>
        <v>C1S8-27</v>
      </c>
      <c r="AR158" s="141" t="s">
        <v>1855</v>
      </c>
      <c r="AS158" s="136" t="str">
        <f>tbl_IO_List[[#This Row],[Terminal Tagging]]&amp;"-"&amp;tbl_IO_List[[#This Row],[Point-Count]]</f>
        <v>P1-TBRL1-25</v>
      </c>
      <c r="AT158" s="136" t="str">
        <f>tbl_IO_List[[#This Row],[Front Terminal Tagging]]&amp;"/"&amp;tbl_IO_List[[#This Row],[Terminal Tagging-Item]]</f>
        <v>C1S8-27/P1-TBRL1-25</v>
      </c>
      <c r="AU158" s="136" t="str">
        <f>tbl_IO_List[[#This Row],[Terminal Tagging-Item]]&amp;"/"&amp;tbl_IO_List[[#This Row],[Front Terminal Tagging]]</f>
        <v>P1-TBRL1-25/C1S8-27</v>
      </c>
    </row>
    <row r="159" spans="1:47" hidden="1">
      <c r="A159" s="147" t="s">
        <v>1369</v>
      </c>
      <c r="B159" s="136" t="s">
        <v>114</v>
      </c>
      <c r="C159" s="136" t="str">
        <f>tbl_IO_List[[#This Row],[Column3]]</f>
        <v>C1S08,25</v>
      </c>
      <c r="D159" s="136" t="str">
        <f>tbl_IO_List[[#This Row],[Card]]</f>
        <v>1756-OB32-25</v>
      </c>
      <c r="E159" s="136" t="s">
        <v>1372</v>
      </c>
      <c r="F159" s="136" t="str">
        <f>tbl_IO_List[[#This Row],[Column23]]&amp;"-" &amp;tbl_IO_List[[#This Row],[Column52]]</f>
        <v>C1S08-X2</v>
      </c>
      <c r="G159" s="136" t="str">
        <f>tbl_IO_List[[#This Row],[PLC_Tag]]</f>
        <v>SV-40202_DO_1</v>
      </c>
      <c r="H159" s="136"/>
      <c r="I159" s="136" t="str">
        <f>VLOOKUP(tbl_IO_List[[#This Row],[Destination]],tbl_Junction[],2,FALSE)</f>
        <v>Infeed 2nd Floor</v>
      </c>
      <c r="J159" s="136" t="s">
        <v>114</v>
      </c>
      <c r="K159" s="136" t="s">
        <v>136</v>
      </c>
      <c r="L159" s="136" t="s">
        <v>148</v>
      </c>
      <c r="M159" s="136">
        <f>VLOOKUP(tbl_IO_List[[#This Row],[Instruement Tag]],tbl_Instruement_List[],2,FALSE)</f>
        <v>0</v>
      </c>
      <c r="N159" s="136" t="s">
        <v>15</v>
      </c>
      <c r="O159" s="136" t="s">
        <v>121</v>
      </c>
      <c r="P159" s="136" t="s">
        <v>137</v>
      </c>
      <c r="Q159" s="136" t="str">
        <f>VLOOKUP(tbl_IO_List[[#This Row],[Instruement Tag]],tbl_Instruement_List[],6,FALSE)</f>
        <v>Water service pH analyzer in pH Adjustment tank 2</v>
      </c>
      <c r="R159" s="136"/>
      <c r="S15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59" s="136" t="str">
        <f>tbl_IO_List[[#This Row],[Instruement Tag]]&amp;"_"&amp;tbl_IO_List[[#This Row],[I/O Type]]&amp;"_"&amp;tbl_IO_List[[#This Row],[IO-Point 
(Instruement)]]</f>
        <v>SV-40202_DO_1</v>
      </c>
      <c r="U159" s="136" t="s">
        <v>7</v>
      </c>
      <c r="V159" s="136">
        <f>VLOOKUP(tbl_IO_List[[#This Row],[I/O Type]],tbl_Slot_Group[],2,FALSE)</f>
        <v>2</v>
      </c>
      <c r="W159" s="136">
        <v>1</v>
      </c>
      <c r="X159" s="136" t="str">
        <f>tbl_IO_List[[#This Row],[Chassis]]&amp;"S"&amp;TEXT(tbl_IO_List[[#This Row],[Slot]],"00")</f>
        <v>C1S08</v>
      </c>
      <c r="Y159" s="136" t="str">
        <f>tbl_IO_List[[#This Row],[Chassis]]&amp;"S"&amp;TEXT(tbl_IO_List[[#This Row],[Slot]],"00")&amp;tbl_IO_List[[#This Row],[I/O Type]]&amp;TEXT(tbl_IO_List[[#This Row],[Point]],"00")</f>
        <v>C1S08DO25</v>
      </c>
      <c r="Z159" s="136" t="str">
        <f>tbl_IO_List[[#This Row],[Chassis]]&amp;"S"&amp;TEXT(tbl_IO_List[[#This Row],[Slot]],"00")&amp;","&amp;TEXT(tbl_IO_List[[#This Row],[Point]],"00")</f>
        <v>C1S08,25</v>
      </c>
      <c r="AA159" s="136" t="str">
        <f>VLOOKUP(tbl_IO_List[[#This Row],[Column23]],tbl_RackConfig[],5,FALSE) &amp;"-"&amp;tbl_IO_List[[#This Row],[Point]]</f>
        <v>1756-OB32-25</v>
      </c>
      <c r="AB159" s="136"/>
      <c r="AC159" s="136" t="s">
        <v>1370</v>
      </c>
      <c r="AD159" s="136" t="str">
        <f>tbl_IO_List[[#This Row],[I/O Type]]</f>
        <v>DO</v>
      </c>
      <c r="AE159" s="136" t="s">
        <v>1332</v>
      </c>
      <c r="AF159" s="136">
        <v>8</v>
      </c>
      <c r="AG159" s="136">
        <v>25</v>
      </c>
      <c r="AH159" s="136">
        <v>26</v>
      </c>
      <c r="AI159" s="136">
        <v>28</v>
      </c>
      <c r="AJ159" s="136">
        <v>0</v>
      </c>
      <c r="AK159" s="136">
        <v>1</v>
      </c>
      <c r="AL159" s="136">
        <v>0</v>
      </c>
      <c r="AM159" s="136">
        <v>0</v>
      </c>
      <c r="AN159" s="136">
        <v>0</v>
      </c>
      <c r="AO159" s="136"/>
      <c r="AP159" s="143" t="str">
        <f>VLOOKUP(tbl_IO_List[[#This Row],[Instruement Tag]],tbl_Instruement_List[],14,FALSE)</f>
        <v>24 VDC energized</v>
      </c>
      <c r="AQ159" s="143" t="str">
        <f>tbl_IO_List[[#This Row],[Chassis]]&amp;"S"&amp;tbl_IO_List[[#This Row],[Slot]]&amp;"-"&amp;tbl_IO_List[[#This Row],[Front Terminal Number]]</f>
        <v>C1S8-28</v>
      </c>
      <c r="AR159" s="141" t="s">
        <v>1855</v>
      </c>
      <c r="AS159" s="136" t="str">
        <f>tbl_IO_List[[#This Row],[Terminal Tagging]]&amp;"-"&amp;tbl_IO_List[[#This Row],[Point-Count]]</f>
        <v>P1-TBRL1-26</v>
      </c>
      <c r="AT159" s="136" t="str">
        <f>tbl_IO_List[[#This Row],[Front Terminal Tagging]]&amp;"/"&amp;tbl_IO_List[[#This Row],[Terminal Tagging-Item]]</f>
        <v>C1S8-28/P1-TBRL1-26</v>
      </c>
      <c r="AU159" s="136" t="str">
        <f>tbl_IO_List[[#This Row],[Terminal Tagging-Item]]&amp;"/"&amp;tbl_IO_List[[#This Row],[Front Terminal Tagging]]</f>
        <v>P1-TBRL1-26/C1S8-28</v>
      </c>
    </row>
    <row r="160" spans="1:47" hidden="1">
      <c r="A160" s="147" t="s">
        <v>1369</v>
      </c>
      <c r="B160" s="136" t="s">
        <v>114</v>
      </c>
      <c r="C160" s="136" t="str">
        <f>tbl_IO_List[[#This Row],[Column3]]</f>
        <v>C1S08,26</v>
      </c>
      <c r="D160" s="136" t="str">
        <f>tbl_IO_List[[#This Row],[Card]]</f>
        <v>1756-OB32-26</v>
      </c>
      <c r="E160" s="136" t="s">
        <v>1372</v>
      </c>
      <c r="F160" s="136" t="str">
        <f>tbl_IO_List[[#This Row],[Column23]]&amp;"-" &amp;tbl_IO_List[[#This Row],[Column52]]</f>
        <v>C1S08-X2</v>
      </c>
      <c r="G160" s="136" t="str">
        <f>tbl_IO_List[[#This Row],[PLC_Tag]]</f>
        <v>SV-40203_DO_1</v>
      </c>
      <c r="H160" s="136"/>
      <c r="I160" s="136" t="str">
        <f>VLOOKUP(tbl_IO_List[[#This Row],[Destination]],tbl_Junction[],2,FALSE)</f>
        <v>Infeed 2nd Floor</v>
      </c>
      <c r="J160" s="136" t="s">
        <v>114</v>
      </c>
      <c r="K160" s="136" t="s">
        <v>136</v>
      </c>
      <c r="L160" s="136" t="s">
        <v>149</v>
      </c>
      <c r="M160" s="136">
        <f>VLOOKUP(tbl_IO_List[[#This Row],[Instruement Tag]],tbl_Instruement_List[],2,FALSE)</f>
        <v>0</v>
      </c>
      <c r="N160" s="136" t="s">
        <v>15</v>
      </c>
      <c r="O160" s="136" t="s">
        <v>121</v>
      </c>
      <c r="P160" s="136" t="s">
        <v>137</v>
      </c>
      <c r="Q160" s="136" t="str">
        <f>VLOOKUP(tbl_IO_List[[#This Row],[Instruement Tag]],tbl_Instruement_List[],6,FALSE)</f>
        <v>Air service pH analyzer in pH Adjustment tank 1</v>
      </c>
      <c r="R160" s="136"/>
      <c r="S16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60" s="136" t="str">
        <f>tbl_IO_List[[#This Row],[Instruement Tag]]&amp;"_"&amp;tbl_IO_List[[#This Row],[I/O Type]]&amp;"_"&amp;tbl_IO_List[[#This Row],[IO-Point 
(Instruement)]]</f>
        <v>SV-40203_DO_1</v>
      </c>
      <c r="U160" s="136" t="s">
        <v>7</v>
      </c>
      <c r="V160" s="136">
        <f>VLOOKUP(tbl_IO_List[[#This Row],[I/O Type]],tbl_Slot_Group[],2,FALSE)</f>
        <v>2</v>
      </c>
      <c r="W160" s="136">
        <v>1</v>
      </c>
      <c r="X160" s="136" t="str">
        <f>tbl_IO_List[[#This Row],[Chassis]]&amp;"S"&amp;TEXT(tbl_IO_List[[#This Row],[Slot]],"00")</f>
        <v>C1S08</v>
      </c>
      <c r="Y160" s="136" t="str">
        <f>tbl_IO_List[[#This Row],[Chassis]]&amp;"S"&amp;TEXT(tbl_IO_List[[#This Row],[Slot]],"00")&amp;tbl_IO_List[[#This Row],[I/O Type]]&amp;TEXT(tbl_IO_List[[#This Row],[Point]],"00")</f>
        <v>C1S08DO26</v>
      </c>
      <c r="Z160" s="136" t="str">
        <f>tbl_IO_List[[#This Row],[Chassis]]&amp;"S"&amp;TEXT(tbl_IO_List[[#This Row],[Slot]],"00")&amp;","&amp;TEXT(tbl_IO_List[[#This Row],[Point]],"00")</f>
        <v>C1S08,26</v>
      </c>
      <c r="AA160" s="136" t="str">
        <f>VLOOKUP(tbl_IO_List[[#This Row],[Column23]],tbl_RackConfig[],5,FALSE) &amp;"-"&amp;tbl_IO_List[[#This Row],[Point]]</f>
        <v>1756-OB32-26</v>
      </c>
      <c r="AB160" s="136"/>
      <c r="AC160" s="136" t="s">
        <v>1370</v>
      </c>
      <c r="AD160" s="136" t="str">
        <f>tbl_IO_List[[#This Row],[I/O Type]]</f>
        <v>DO</v>
      </c>
      <c r="AE160" s="136" t="s">
        <v>1332</v>
      </c>
      <c r="AF160" s="136">
        <v>8</v>
      </c>
      <c r="AG160" s="136">
        <v>26</v>
      </c>
      <c r="AH160" s="136">
        <v>27</v>
      </c>
      <c r="AI160" s="136">
        <v>29</v>
      </c>
      <c r="AJ160" s="136">
        <v>0</v>
      </c>
      <c r="AK160" s="136">
        <v>1</v>
      </c>
      <c r="AL160" s="136">
        <v>0</v>
      </c>
      <c r="AM160" s="136">
        <v>0</v>
      </c>
      <c r="AN160" s="136">
        <v>0</v>
      </c>
      <c r="AO160" s="136"/>
      <c r="AP160" s="143" t="str">
        <f>VLOOKUP(tbl_IO_List[[#This Row],[Instruement Tag]],tbl_Instruement_List[],14,FALSE)</f>
        <v>24 VDC energized</v>
      </c>
      <c r="AQ160" s="143" t="str">
        <f>tbl_IO_List[[#This Row],[Chassis]]&amp;"S"&amp;tbl_IO_List[[#This Row],[Slot]]&amp;"-"&amp;tbl_IO_List[[#This Row],[Front Terminal Number]]</f>
        <v>C1S8-29</v>
      </c>
      <c r="AR160" s="141" t="s">
        <v>1855</v>
      </c>
      <c r="AS160" s="136" t="str">
        <f>tbl_IO_List[[#This Row],[Terminal Tagging]]&amp;"-"&amp;tbl_IO_List[[#This Row],[Point-Count]]</f>
        <v>P1-TBRL1-27</v>
      </c>
      <c r="AT160" s="136" t="str">
        <f>tbl_IO_List[[#This Row],[Front Terminal Tagging]]&amp;"/"&amp;tbl_IO_List[[#This Row],[Terminal Tagging-Item]]</f>
        <v>C1S8-29/P1-TBRL1-27</v>
      </c>
      <c r="AU160" s="136" t="str">
        <f>tbl_IO_List[[#This Row],[Terminal Tagging-Item]]&amp;"/"&amp;tbl_IO_List[[#This Row],[Front Terminal Tagging]]</f>
        <v>P1-TBRL1-27/C1S8-29</v>
      </c>
    </row>
    <row r="161" spans="1:47" hidden="1">
      <c r="A161" s="147" t="s">
        <v>1369</v>
      </c>
      <c r="B161" s="136" t="s">
        <v>114</v>
      </c>
      <c r="C161" s="136" t="str">
        <f>tbl_IO_List[[#This Row],[Column3]]</f>
        <v>C1S08,27</v>
      </c>
      <c r="D161" s="136" t="str">
        <f>tbl_IO_List[[#This Row],[Card]]</f>
        <v>1756-OB32-27</v>
      </c>
      <c r="E161" s="136" t="s">
        <v>1372</v>
      </c>
      <c r="F161" s="136" t="str">
        <f>tbl_IO_List[[#This Row],[Column23]]&amp;"-" &amp;tbl_IO_List[[#This Row],[Column52]]</f>
        <v>C1S08-X2</v>
      </c>
      <c r="G161" s="136" t="str">
        <f>tbl_IO_List[[#This Row],[PLC_Tag]]</f>
        <v>SV-40204_DO_1</v>
      </c>
      <c r="H161" s="136"/>
      <c r="I161" s="136" t="str">
        <f>VLOOKUP(tbl_IO_List[[#This Row],[Destination]],tbl_Junction[],2,FALSE)</f>
        <v>Infeed 2nd Floor</v>
      </c>
      <c r="J161" s="136" t="s">
        <v>114</v>
      </c>
      <c r="K161" s="136" t="s">
        <v>136</v>
      </c>
      <c r="L161" s="136" t="s">
        <v>150</v>
      </c>
      <c r="M161" s="136">
        <f>VLOOKUP(tbl_IO_List[[#This Row],[Instruement Tag]],tbl_Instruement_List[],2,FALSE)</f>
        <v>0</v>
      </c>
      <c r="N161" s="136" t="s">
        <v>15</v>
      </c>
      <c r="O161" s="136" t="s">
        <v>121</v>
      </c>
      <c r="P161" s="136" t="s">
        <v>137</v>
      </c>
      <c r="Q161" s="136" t="str">
        <f>VLOOKUP(tbl_IO_List[[#This Row],[Instruement Tag]],tbl_Instruement_List[],6,FALSE)</f>
        <v>Air service pH analyzer in pH Adjustment tank 2</v>
      </c>
      <c r="R161" s="136"/>
      <c r="S16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61" s="136" t="str">
        <f>tbl_IO_List[[#This Row],[Instruement Tag]]&amp;"_"&amp;tbl_IO_List[[#This Row],[I/O Type]]&amp;"_"&amp;tbl_IO_List[[#This Row],[IO-Point 
(Instruement)]]</f>
        <v>SV-40204_DO_1</v>
      </c>
      <c r="U161" s="136" t="s">
        <v>7</v>
      </c>
      <c r="V161" s="136">
        <f>VLOOKUP(tbl_IO_List[[#This Row],[I/O Type]],tbl_Slot_Group[],2,FALSE)</f>
        <v>2</v>
      </c>
      <c r="W161" s="136">
        <v>1</v>
      </c>
      <c r="X161" s="136" t="str">
        <f>tbl_IO_List[[#This Row],[Chassis]]&amp;"S"&amp;TEXT(tbl_IO_List[[#This Row],[Slot]],"00")</f>
        <v>C1S08</v>
      </c>
      <c r="Y161" s="136" t="str">
        <f>tbl_IO_List[[#This Row],[Chassis]]&amp;"S"&amp;TEXT(tbl_IO_List[[#This Row],[Slot]],"00")&amp;tbl_IO_List[[#This Row],[I/O Type]]&amp;TEXT(tbl_IO_List[[#This Row],[Point]],"00")</f>
        <v>C1S08DO27</v>
      </c>
      <c r="Z161" s="136" t="str">
        <f>tbl_IO_List[[#This Row],[Chassis]]&amp;"S"&amp;TEXT(tbl_IO_List[[#This Row],[Slot]],"00")&amp;","&amp;TEXT(tbl_IO_List[[#This Row],[Point]],"00")</f>
        <v>C1S08,27</v>
      </c>
      <c r="AA161" s="136" t="str">
        <f>VLOOKUP(tbl_IO_List[[#This Row],[Column23]],tbl_RackConfig[],5,FALSE) &amp;"-"&amp;tbl_IO_List[[#This Row],[Point]]</f>
        <v>1756-OB32-27</v>
      </c>
      <c r="AB161" s="136"/>
      <c r="AC161" s="136" t="s">
        <v>1370</v>
      </c>
      <c r="AD161" s="136" t="str">
        <f>tbl_IO_List[[#This Row],[I/O Type]]</f>
        <v>DO</v>
      </c>
      <c r="AE161" s="136" t="s">
        <v>1332</v>
      </c>
      <c r="AF161" s="136">
        <v>8</v>
      </c>
      <c r="AG161" s="136">
        <v>27</v>
      </c>
      <c r="AH161" s="136">
        <v>28</v>
      </c>
      <c r="AI161" s="136">
        <v>30</v>
      </c>
      <c r="AJ161" s="136">
        <v>0</v>
      </c>
      <c r="AK161" s="136">
        <v>1</v>
      </c>
      <c r="AL161" s="136">
        <v>0</v>
      </c>
      <c r="AM161" s="136">
        <v>0</v>
      </c>
      <c r="AN161" s="136">
        <v>0</v>
      </c>
      <c r="AO161" s="136"/>
      <c r="AP161" s="143" t="str">
        <f>VLOOKUP(tbl_IO_List[[#This Row],[Instruement Tag]],tbl_Instruement_List[],14,FALSE)</f>
        <v>24 VDC energized</v>
      </c>
      <c r="AQ161" s="143" t="str">
        <f>tbl_IO_List[[#This Row],[Chassis]]&amp;"S"&amp;tbl_IO_List[[#This Row],[Slot]]&amp;"-"&amp;tbl_IO_List[[#This Row],[Front Terminal Number]]</f>
        <v>C1S8-30</v>
      </c>
      <c r="AR161" s="141" t="s">
        <v>1855</v>
      </c>
      <c r="AS161" s="136" t="str">
        <f>tbl_IO_List[[#This Row],[Terminal Tagging]]&amp;"-"&amp;tbl_IO_List[[#This Row],[Point-Count]]</f>
        <v>P1-TBRL1-28</v>
      </c>
      <c r="AT161" s="136" t="str">
        <f>tbl_IO_List[[#This Row],[Front Terminal Tagging]]&amp;"/"&amp;tbl_IO_List[[#This Row],[Terminal Tagging-Item]]</f>
        <v>C1S8-30/P1-TBRL1-28</v>
      </c>
      <c r="AU161" s="136" t="str">
        <f>tbl_IO_List[[#This Row],[Terminal Tagging-Item]]&amp;"/"&amp;tbl_IO_List[[#This Row],[Front Terminal Tagging]]</f>
        <v>P1-TBRL1-28/C1S8-30</v>
      </c>
    </row>
    <row r="162" spans="1:47" hidden="1">
      <c r="A162" s="147" t="s">
        <v>1369</v>
      </c>
      <c r="B162" s="136" t="s">
        <v>114</v>
      </c>
      <c r="C162" s="136" t="str">
        <f>tbl_IO_List[[#This Row],[Column3]]</f>
        <v>C1S08,28</v>
      </c>
      <c r="D162" s="136" t="str">
        <f>tbl_IO_List[[#This Row],[Card]]</f>
        <v>1756-OB32-28</v>
      </c>
      <c r="E162" s="136" t="s">
        <v>1372</v>
      </c>
      <c r="F162" s="136" t="str">
        <f>tbl_IO_List[[#This Row],[Column23]]&amp;"-" &amp;tbl_IO_List[[#This Row],[Column52]]</f>
        <v>C1S08-X2</v>
      </c>
      <c r="G162" s="136" t="str">
        <f>tbl_IO_List[[#This Row],[PLC_Tag]]</f>
        <v>XV-40201A_DO_1</v>
      </c>
      <c r="H162" s="136"/>
      <c r="I162" s="136" t="str">
        <f>VLOOKUP(tbl_IO_List[[#This Row],[Destination]],tbl_Junction[],2,FALSE)</f>
        <v>Infeed 2nd Floor</v>
      </c>
      <c r="J162" s="136" t="s">
        <v>114</v>
      </c>
      <c r="K162" s="136" t="s">
        <v>136</v>
      </c>
      <c r="L162" s="136" t="s">
        <v>151</v>
      </c>
      <c r="M162" s="136">
        <f>VLOOKUP(tbl_IO_List[[#This Row],[Instruement Tag]],tbl_Instruement_List[],2,FALSE)</f>
        <v>0</v>
      </c>
      <c r="N162" s="136" t="s">
        <v>15</v>
      </c>
      <c r="O162" s="136" t="s">
        <v>18</v>
      </c>
      <c r="P162" s="136" t="s">
        <v>137</v>
      </c>
      <c r="Q162" s="136" t="str">
        <f>VLOOKUP(tbl_IO_List[[#This Row],[Instruement Tag]],tbl_Instruement_List[],6,FALSE)</f>
        <v>Slurry feed-in pH Adjustment tank 1</v>
      </c>
      <c r="R162" s="136"/>
      <c r="S16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162" s="136" t="str">
        <f>tbl_IO_List[[#This Row],[Instruement Tag]]&amp;"_"&amp;tbl_IO_List[[#This Row],[I/O Type]]&amp;"_"&amp;tbl_IO_List[[#This Row],[IO-Point 
(Instruement)]]</f>
        <v>XV-40201A_DO_1</v>
      </c>
      <c r="U162" s="136" t="s">
        <v>7</v>
      </c>
      <c r="V162" s="136">
        <f>VLOOKUP(tbl_IO_List[[#This Row],[I/O Type]],tbl_Slot_Group[],2,FALSE)</f>
        <v>2</v>
      </c>
      <c r="W162" s="136">
        <v>1</v>
      </c>
      <c r="X162" s="136" t="str">
        <f>tbl_IO_List[[#This Row],[Chassis]]&amp;"S"&amp;TEXT(tbl_IO_List[[#This Row],[Slot]],"00")</f>
        <v>C1S08</v>
      </c>
      <c r="Y162" s="136" t="str">
        <f>tbl_IO_List[[#This Row],[Chassis]]&amp;"S"&amp;TEXT(tbl_IO_List[[#This Row],[Slot]],"00")&amp;tbl_IO_List[[#This Row],[I/O Type]]&amp;TEXT(tbl_IO_List[[#This Row],[Point]],"00")</f>
        <v>C1S08DO28</v>
      </c>
      <c r="Z162" s="136" t="str">
        <f>tbl_IO_List[[#This Row],[Chassis]]&amp;"S"&amp;TEXT(tbl_IO_List[[#This Row],[Slot]],"00")&amp;","&amp;TEXT(tbl_IO_List[[#This Row],[Point]],"00")</f>
        <v>C1S08,28</v>
      </c>
      <c r="AA162" s="136" t="str">
        <f>VLOOKUP(tbl_IO_List[[#This Row],[Column23]],tbl_RackConfig[],5,FALSE) &amp;"-"&amp;tbl_IO_List[[#This Row],[Point]]</f>
        <v>1756-OB32-28</v>
      </c>
      <c r="AB162" s="136"/>
      <c r="AC162" s="136" t="s">
        <v>1370</v>
      </c>
      <c r="AD162" s="136" t="str">
        <f>tbl_IO_List[[#This Row],[I/O Type]]</f>
        <v>DO</v>
      </c>
      <c r="AE162" s="136" t="s">
        <v>1332</v>
      </c>
      <c r="AF162" s="136">
        <v>8</v>
      </c>
      <c r="AG162" s="136">
        <v>28</v>
      </c>
      <c r="AH162" s="136">
        <v>29</v>
      </c>
      <c r="AI162" s="136">
        <v>31</v>
      </c>
      <c r="AJ162" s="136">
        <v>2</v>
      </c>
      <c r="AK162" s="136">
        <v>1</v>
      </c>
      <c r="AL162" s="136">
        <v>0</v>
      </c>
      <c r="AM162" s="136">
        <v>0</v>
      </c>
      <c r="AN162" s="136">
        <v>0</v>
      </c>
      <c r="AO162" s="136"/>
      <c r="AP162" s="143" t="str">
        <f>VLOOKUP(tbl_IO_List[[#This Row],[Instruement Tag]],tbl_Instruement_List[],14,FALSE)</f>
        <v>24 VDC energized</v>
      </c>
      <c r="AQ162" s="143" t="str">
        <f>tbl_IO_List[[#This Row],[Chassis]]&amp;"S"&amp;tbl_IO_List[[#This Row],[Slot]]&amp;"-"&amp;tbl_IO_List[[#This Row],[Front Terminal Number]]</f>
        <v>C1S8-31</v>
      </c>
      <c r="AR162" s="141" t="s">
        <v>1855</v>
      </c>
      <c r="AS162" s="136" t="str">
        <f>tbl_IO_List[[#This Row],[Terminal Tagging]]&amp;"-"&amp;tbl_IO_List[[#This Row],[Point-Count]]</f>
        <v>P1-TBRL1-29</v>
      </c>
      <c r="AT162" s="136" t="str">
        <f>tbl_IO_List[[#This Row],[Front Terminal Tagging]]&amp;"/"&amp;tbl_IO_List[[#This Row],[Terminal Tagging-Item]]</f>
        <v>C1S8-31/P1-TBRL1-29</v>
      </c>
      <c r="AU162" s="136" t="str">
        <f>tbl_IO_List[[#This Row],[Terminal Tagging-Item]]&amp;"/"&amp;tbl_IO_List[[#This Row],[Front Terminal Tagging]]</f>
        <v>P1-TBRL1-29/C1S8-31</v>
      </c>
    </row>
    <row r="163" spans="1:47" hidden="1">
      <c r="A163" s="147" t="s">
        <v>1369</v>
      </c>
      <c r="B163" s="136" t="s">
        <v>114</v>
      </c>
      <c r="C163" s="136" t="str">
        <f>tbl_IO_List[[#This Row],[Column3]]</f>
        <v>C1S08,29</v>
      </c>
      <c r="D163" s="136" t="str">
        <f>tbl_IO_List[[#This Row],[Card]]</f>
        <v>1756-OB32-29</v>
      </c>
      <c r="E163" s="136" t="s">
        <v>1372</v>
      </c>
      <c r="F163" s="136" t="str">
        <f>tbl_IO_List[[#This Row],[Column23]]&amp;"-" &amp;tbl_IO_List[[#This Row],[Column52]]</f>
        <v>C1S08-X2</v>
      </c>
      <c r="G163" s="136" t="str">
        <f>tbl_IO_List[[#This Row],[PLC_Tag]]</f>
        <v>XV-40201B_DO_1</v>
      </c>
      <c r="H163" s="136"/>
      <c r="I163" s="136" t="str">
        <f>VLOOKUP(tbl_IO_List[[#This Row],[Destination]],tbl_Junction[],2,FALSE)</f>
        <v>Infeed 2nd Floor</v>
      </c>
      <c r="J163" s="136" t="s">
        <v>114</v>
      </c>
      <c r="K163" s="136" t="s">
        <v>136</v>
      </c>
      <c r="L163" s="136" t="s">
        <v>152</v>
      </c>
      <c r="M163" s="136">
        <f>VLOOKUP(tbl_IO_List[[#This Row],[Instruement Tag]],tbl_Instruement_List[],2,FALSE)</f>
        <v>0</v>
      </c>
      <c r="N163" s="136" t="s">
        <v>15</v>
      </c>
      <c r="O163" s="136" t="s">
        <v>121</v>
      </c>
      <c r="P163" s="136" t="s">
        <v>137</v>
      </c>
      <c r="Q163" s="136" t="str">
        <f>VLOOKUP(tbl_IO_List[[#This Row],[Instruement Tag]],tbl_Instruement_List[],6,FALSE)</f>
        <v>Slurry feed-out pH Adjustment tank 1</v>
      </c>
      <c r="R163" s="136"/>
      <c r="S16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163" s="136" t="str">
        <f>tbl_IO_List[[#This Row],[Instruement Tag]]&amp;"_"&amp;tbl_IO_List[[#This Row],[I/O Type]]&amp;"_"&amp;tbl_IO_List[[#This Row],[IO-Point 
(Instruement)]]</f>
        <v>XV-40201B_DO_1</v>
      </c>
      <c r="U163" s="136" t="s">
        <v>7</v>
      </c>
      <c r="V163" s="136">
        <f>VLOOKUP(tbl_IO_List[[#This Row],[I/O Type]],tbl_Slot_Group[],2,FALSE)</f>
        <v>2</v>
      </c>
      <c r="W163" s="136">
        <v>1</v>
      </c>
      <c r="X163" s="136" t="str">
        <f>tbl_IO_List[[#This Row],[Chassis]]&amp;"S"&amp;TEXT(tbl_IO_List[[#This Row],[Slot]],"00")</f>
        <v>C1S08</v>
      </c>
      <c r="Y163" s="136" t="str">
        <f>tbl_IO_List[[#This Row],[Chassis]]&amp;"S"&amp;TEXT(tbl_IO_List[[#This Row],[Slot]],"00")&amp;tbl_IO_List[[#This Row],[I/O Type]]&amp;TEXT(tbl_IO_List[[#This Row],[Point]],"00")</f>
        <v>C1S08DO29</v>
      </c>
      <c r="Z163" s="136" t="str">
        <f>tbl_IO_List[[#This Row],[Chassis]]&amp;"S"&amp;TEXT(tbl_IO_List[[#This Row],[Slot]],"00")&amp;","&amp;TEXT(tbl_IO_List[[#This Row],[Point]],"00")</f>
        <v>C1S08,29</v>
      </c>
      <c r="AA163" s="136" t="str">
        <f>VLOOKUP(tbl_IO_List[[#This Row],[Column23]],tbl_RackConfig[],5,FALSE) &amp;"-"&amp;tbl_IO_List[[#This Row],[Point]]</f>
        <v>1756-OB32-29</v>
      </c>
      <c r="AB163" s="136"/>
      <c r="AC163" s="136" t="s">
        <v>1370</v>
      </c>
      <c r="AD163" s="136" t="str">
        <f>tbl_IO_List[[#This Row],[I/O Type]]</f>
        <v>DO</v>
      </c>
      <c r="AE163" s="136" t="s">
        <v>1332</v>
      </c>
      <c r="AF163" s="136">
        <v>8</v>
      </c>
      <c r="AG163" s="136">
        <v>29</v>
      </c>
      <c r="AH163" s="136">
        <v>30</v>
      </c>
      <c r="AI163" s="136">
        <v>32</v>
      </c>
      <c r="AJ163" s="136">
        <v>2</v>
      </c>
      <c r="AK163" s="136">
        <v>1</v>
      </c>
      <c r="AL163" s="136">
        <v>0</v>
      </c>
      <c r="AM163" s="136">
        <v>0</v>
      </c>
      <c r="AN163" s="136">
        <v>0</v>
      </c>
      <c r="AO163" s="136"/>
      <c r="AP163" s="143" t="str">
        <f>VLOOKUP(tbl_IO_List[[#This Row],[Instruement Tag]],tbl_Instruement_List[],14,FALSE)</f>
        <v>24 VDC energized</v>
      </c>
      <c r="AQ163" s="143" t="str">
        <f>tbl_IO_List[[#This Row],[Chassis]]&amp;"S"&amp;tbl_IO_List[[#This Row],[Slot]]&amp;"-"&amp;tbl_IO_List[[#This Row],[Front Terminal Number]]</f>
        <v>C1S8-32</v>
      </c>
      <c r="AR163" s="141" t="s">
        <v>1855</v>
      </c>
      <c r="AS163" s="136" t="str">
        <f>tbl_IO_List[[#This Row],[Terminal Tagging]]&amp;"-"&amp;tbl_IO_List[[#This Row],[Point-Count]]</f>
        <v>P1-TBRL1-30</v>
      </c>
      <c r="AT163" s="136" t="str">
        <f>tbl_IO_List[[#This Row],[Front Terminal Tagging]]&amp;"/"&amp;tbl_IO_List[[#This Row],[Terminal Tagging-Item]]</f>
        <v>C1S8-32/P1-TBRL1-30</v>
      </c>
      <c r="AU163" s="136" t="str">
        <f>tbl_IO_List[[#This Row],[Terminal Tagging-Item]]&amp;"/"&amp;tbl_IO_List[[#This Row],[Front Terminal Tagging]]</f>
        <v>P1-TBRL1-30/C1S8-32</v>
      </c>
    </row>
    <row r="164" spans="1:47" hidden="1">
      <c r="A164" s="147" t="s">
        <v>1369</v>
      </c>
      <c r="B164" s="136" t="s">
        <v>114</v>
      </c>
      <c r="C164" s="136" t="str">
        <f>tbl_IO_List[[#This Row],[Column3]]</f>
        <v>C1S08,30</v>
      </c>
      <c r="D164" s="136" t="str">
        <f>tbl_IO_List[[#This Row],[Card]]</f>
        <v>1756-OB32-30</v>
      </c>
      <c r="E164" s="136" t="s">
        <v>1372</v>
      </c>
      <c r="F164" s="136" t="str">
        <f>tbl_IO_List[[#This Row],[Column23]]&amp;"-" &amp;tbl_IO_List[[#This Row],[Column52]]</f>
        <v>C1S08-X2</v>
      </c>
      <c r="G164" s="136" t="str">
        <f>tbl_IO_List[[#This Row],[PLC_Tag]]</f>
        <v>XV-40201C_DO_1</v>
      </c>
      <c r="H164" s="136"/>
      <c r="I164" s="136" t="str">
        <f>VLOOKUP(tbl_IO_List[[#This Row],[Destination]],tbl_Junction[],2,FALSE)</f>
        <v>Infeed 2nd Floor</v>
      </c>
      <c r="J164" s="136" t="s">
        <v>114</v>
      </c>
      <c r="K164" s="136" t="s">
        <v>136</v>
      </c>
      <c r="L164" s="136" t="s">
        <v>153</v>
      </c>
      <c r="M164" s="136">
        <f>VLOOKUP(tbl_IO_List[[#This Row],[Instruement Tag]],tbl_Instruement_List[],2,FALSE)</f>
        <v>0</v>
      </c>
      <c r="N164" s="136" t="s">
        <v>15</v>
      </c>
      <c r="O164" s="136" t="s">
        <v>121</v>
      </c>
      <c r="P164" s="136" t="s">
        <v>137</v>
      </c>
      <c r="Q164" s="136" t="str">
        <f>VLOOKUP(tbl_IO_List[[#This Row],[Instruement Tag]],tbl_Instruement_List[],6,FALSE)</f>
        <v>Water washing line outlet pH Adjustment tank 1</v>
      </c>
      <c r="R164" s="136"/>
      <c r="S16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164" s="136" t="str">
        <f>tbl_IO_List[[#This Row],[Instruement Tag]]&amp;"_"&amp;tbl_IO_List[[#This Row],[I/O Type]]&amp;"_"&amp;tbl_IO_List[[#This Row],[IO-Point 
(Instruement)]]</f>
        <v>XV-40201C_DO_1</v>
      </c>
      <c r="U164" s="136" t="s">
        <v>7</v>
      </c>
      <c r="V164" s="136">
        <f>VLOOKUP(tbl_IO_List[[#This Row],[I/O Type]],tbl_Slot_Group[],2,FALSE)</f>
        <v>2</v>
      </c>
      <c r="W164" s="136">
        <v>1</v>
      </c>
      <c r="X164" s="136" t="str">
        <f>tbl_IO_List[[#This Row],[Chassis]]&amp;"S"&amp;TEXT(tbl_IO_List[[#This Row],[Slot]],"00")</f>
        <v>C1S08</v>
      </c>
      <c r="Y164" s="136" t="str">
        <f>tbl_IO_List[[#This Row],[Chassis]]&amp;"S"&amp;TEXT(tbl_IO_List[[#This Row],[Slot]],"00")&amp;tbl_IO_List[[#This Row],[I/O Type]]&amp;TEXT(tbl_IO_List[[#This Row],[Point]],"00")</f>
        <v>C1S08DO30</v>
      </c>
      <c r="Z164" s="136" t="str">
        <f>tbl_IO_List[[#This Row],[Chassis]]&amp;"S"&amp;TEXT(tbl_IO_List[[#This Row],[Slot]],"00")&amp;","&amp;TEXT(tbl_IO_List[[#This Row],[Point]],"00")</f>
        <v>C1S08,30</v>
      </c>
      <c r="AA164" s="136" t="str">
        <f>VLOOKUP(tbl_IO_List[[#This Row],[Column23]],tbl_RackConfig[],5,FALSE) &amp;"-"&amp;tbl_IO_List[[#This Row],[Point]]</f>
        <v>1756-OB32-30</v>
      </c>
      <c r="AB164" s="136"/>
      <c r="AC164" s="136" t="s">
        <v>1370</v>
      </c>
      <c r="AD164" s="136" t="str">
        <f>tbl_IO_List[[#This Row],[I/O Type]]</f>
        <v>DO</v>
      </c>
      <c r="AE164" s="136" t="s">
        <v>1332</v>
      </c>
      <c r="AF164" s="136">
        <v>8</v>
      </c>
      <c r="AG164" s="136">
        <v>30</v>
      </c>
      <c r="AH164" s="136">
        <v>31</v>
      </c>
      <c r="AI164" s="136">
        <v>33</v>
      </c>
      <c r="AJ164" s="136">
        <v>2</v>
      </c>
      <c r="AK164" s="136">
        <v>1</v>
      </c>
      <c r="AL164" s="136">
        <v>0</v>
      </c>
      <c r="AM164" s="136">
        <v>0</v>
      </c>
      <c r="AN164" s="136">
        <v>0</v>
      </c>
      <c r="AO164" s="136"/>
      <c r="AP164" s="143" t="str">
        <f>VLOOKUP(tbl_IO_List[[#This Row],[Instruement Tag]],tbl_Instruement_List[],14,FALSE)</f>
        <v>24 VDC energized</v>
      </c>
      <c r="AQ164" s="143" t="str">
        <f>tbl_IO_List[[#This Row],[Chassis]]&amp;"S"&amp;tbl_IO_List[[#This Row],[Slot]]&amp;"-"&amp;tbl_IO_List[[#This Row],[Front Terminal Number]]</f>
        <v>C1S8-33</v>
      </c>
      <c r="AR164" s="141" t="s">
        <v>1855</v>
      </c>
      <c r="AS164" s="136" t="str">
        <f>tbl_IO_List[[#This Row],[Terminal Tagging]]&amp;"-"&amp;tbl_IO_List[[#This Row],[Point-Count]]</f>
        <v>P1-TBRL1-31</v>
      </c>
      <c r="AT164" s="136" t="str">
        <f>tbl_IO_List[[#This Row],[Front Terminal Tagging]]&amp;"/"&amp;tbl_IO_List[[#This Row],[Terminal Tagging-Item]]</f>
        <v>C1S8-33/P1-TBRL1-31</v>
      </c>
      <c r="AU164" s="136" t="str">
        <f>tbl_IO_List[[#This Row],[Terminal Tagging-Item]]&amp;"/"&amp;tbl_IO_List[[#This Row],[Front Terminal Tagging]]</f>
        <v>P1-TBRL1-31/C1S8-33</v>
      </c>
    </row>
    <row r="165" spans="1:47" hidden="1">
      <c r="A165" s="147" t="s">
        <v>1369</v>
      </c>
      <c r="B165" s="136" t="s">
        <v>114</v>
      </c>
      <c r="C165" s="136" t="str">
        <f>tbl_IO_List[[#This Row],[Column3]]</f>
        <v>C1S08,31</v>
      </c>
      <c r="D165" s="136" t="str">
        <f>tbl_IO_List[[#This Row],[Card]]</f>
        <v>1756-OB32-31</v>
      </c>
      <c r="E165" s="136" t="s">
        <v>1372</v>
      </c>
      <c r="F165" s="136" t="str">
        <f>tbl_IO_List[[#This Row],[Column23]]&amp;"-" &amp;tbl_IO_List[[#This Row],[Column52]]</f>
        <v>C1S08-X2</v>
      </c>
      <c r="G165" s="136" t="str">
        <f>tbl_IO_List[[#This Row],[PLC_Tag]]</f>
        <v>XV-40201D_DO_1</v>
      </c>
      <c r="H165" s="136"/>
      <c r="I165" s="136" t="str">
        <f>VLOOKUP(tbl_IO_List[[#This Row],[Destination]],tbl_Junction[],2,FALSE)</f>
        <v>Infeed 2nd Floor</v>
      </c>
      <c r="J165" s="136" t="s">
        <v>114</v>
      </c>
      <c r="K165" s="136" t="s">
        <v>136</v>
      </c>
      <c r="L165" s="136" t="s">
        <v>154</v>
      </c>
      <c r="M165" s="136">
        <f>VLOOKUP(tbl_IO_List[[#This Row],[Instruement Tag]],tbl_Instruement_List[],2,FALSE)</f>
        <v>0</v>
      </c>
      <c r="N165" s="136" t="s">
        <v>15</v>
      </c>
      <c r="O165" s="136" t="s">
        <v>121</v>
      </c>
      <c r="P165" s="136" t="s">
        <v>137</v>
      </c>
      <c r="Q165" s="136" t="str">
        <f>VLOOKUP(tbl_IO_List[[#This Row],[Instruement Tag]],tbl_Instruement_List[],6,FALSE)</f>
        <v>Slurry circulation pH Adjustment tank 1</v>
      </c>
      <c r="R165" s="136"/>
      <c r="S16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165" s="136" t="str">
        <f>tbl_IO_List[[#This Row],[Instruement Tag]]&amp;"_"&amp;tbl_IO_List[[#This Row],[I/O Type]]&amp;"_"&amp;tbl_IO_List[[#This Row],[IO-Point 
(Instruement)]]</f>
        <v>XV-40201D_DO_1</v>
      </c>
      <c r="U165" s="136" t="s">
        <v>7</v>
      </c>
      <c r="V165" s="136">
        <f>VLOOKUP(tbl_IO_List[[#This Row],[I/O Type]],tbl_Slot_Group[],2,FALSE)</f>
        <v>2</v>
      </c>
      <c r="W165" s="136">
        <v>1</v>
      </c>
      <c r="X165" s="136" t="str">
        <f>tbl_IO_List[[#This Row],[Chassis]]&amp;"S"&amp;TEXT(tbl_IO_List[[#This Row],[Slot]],"00")</f>
        <v>C1S08</v>
      </c>
      <c r="Y165" s="136" t="str">
        <f>tbl_IO_List[[#This Row],[Chassis]]&amp;"S"&amp;TEXT(tbl_IO_List[[#This Row],[Slot]],"00")&amp;tbl_IO_List[[#This Row],[I/O Type]]&amp;TEXT(tbl_IO_List[[#This Row],[Point]],"00")</f>
        <v>C1S08DO31</v>
      </c>
      <c r="Z165" s="136" t="str">
        <f>tbl_IO_List[[#This Row],[Chassis]]&amp;"S"&amp;TEXT(tbl_IO_List[[#This Row],[Slot]],"00")&amp;","&amp;TEXT(tbl_IO_List[[#This Row],[Point]],"00")</f>
        <v>C1S08,31</v>
      </c>
      <c r="AA165" s="136" t="str">
        <f>VLOOKUP(tbl_IO_List[[#This Row],[Column23]],tbl_RackConfig[],5,FALSE) &amp;"-"&amp;tbl_IO_List[[#This Row],[Point]]</f>
        <v>1756-OB32-31</v>
      </c>
      <c r="AB165" s="136"/>
      <c r="AC165" s="136" t="s">
        <v>1370</v>
      </c>
      <c r="AD165" s="136" t="str">
        <f>tbl_IO_List[[#This Row],[I/O Type]]</f>
        <v>DO</v>
      </c>
      <c r="AE165" s="136" t="s">
        <v>1332</v>
      </c>
      <c r="AF165" s="136">
        <v>8</v>
      </c>
      <c r="AG165" s="136">
        <v>31</v>
      </c>
      <c r="AH165" s="136">
        <v>32</v>
      </c>
      <c r="AI165" s="136">
        <v>34</v>
      </c>
      <c r="AJ165" s="136">
        <v>2</v>
      </c>
      <c r="AK165" s="136">
        <v>1</v>
      </c>
      <c r="AL165" s="136">
        <v>0</v>
      </c>
      <c r="AM165" s="136">
        <v>0</v>
      </c>
      <c r="AN165" s="136">
        <v>0</v>
      </c>
      <c r="AO165" s="136"/>
      <c r="AP165" s="143" t="str">
        <f>VLOOKUP(tbl_IO_List[[#This Row],[Instruement Tag]],tbl_Instruement_List[],14,FALSE)</f>
        <v>24 VDC energized</v>
      </c>
      <c r="AQ165" s="143" t="str">
        <f>tbl_IO_List[[#This Row],[Chassis]]&amp;"S"&amp;tbl_IO_List[[#This Row],[Slot]]&amp;"-"&amp;tbl_IO_List[[#This Row],[Front Terminal Number]]</f>
        <v>C1S8-34</v>
      </c>
      <c r="AR165" s="141" t="s">
        <v>1855</v>
      </c>
      <c r="AS165" s="136" t="str">
        <f>tbl_IO_List[[#This Row],[Terminal Tagging]]&amp;"-"&amp;tbl_IO_List[[#This Row],[Point-Count]]</f>
        <v>P1-TBRL1-32</v>
      </c>
      <c r="AT165" s="136" t="str">
        <f>tbl_IO_List[[#This Row],[Front Terminal Tagging]]&amp;"/"&amp;tbl_IO_List[[#This Row],[Terminal Tagging-Item]]</f>
        <v>C1S8-34/P1-TBRL1-32</v>
      </c>
      <c r="AU165" s="136" t="str">
        <f>tbl_IO_List[[#This Row],[Terminal Tagging-Item]]&amp;"/"&amp;tbl_IO_List[[#This Row],[Front Terminal Tagging]]</f>
        <v>P1-TBRL1-32/C1S8-34</v>
      </c>
    </row>
    <row r="166" spans="1:47" hidden="1">
      <c r="A166" s="147" t="s">
        <v>1369</v>
      </c>
      <c r="B166" s="136" t="s">
        <v>114</v>
      </c>
      <c r="C166" s="136" t="str">
        <f>tbl_IO_List[[#This Row],[Column3]]</f>
        <v>C1S09,00</v>
      </c>
      <c r="D166" s="136" t="str">
        <f>tbl_IO_List[[#This Row],[Card]]</f>
        <v>1756-OB32-0</v>
      </c>
      <c r="E166" s="136" t="s">
        <v>1366</v>
      </c>
      <c r="F166" s="136" t="str">
        <f>tbl_IO_List[[#This Row],[Column23]]&amp;"-" &amp;tbl_IO_List[[#This Row],[Column52]]</f>
        <v>C1S09-X1</v>
      </c>
      <c r="G166" s="136" t="str">
        <f>tbl_IO_List[[#This Row],[PLC_Tag]]</f>
        <v>XV-40201E_DO_1</v>
      </c>
      <c r="H166" s="136"/>
      <c r="I166" s="136" t="str">
        <f>VLOOKUP(tbl_IO_List[[#This Row],[Destination]],tbl_Junction[],2,FALSE)</f>
        <v>Infeed 2nd Floor</v>
      </c>
      <c r="J166" s="136" t="s">
        <v>114</v>
      </c>
      <c r="K166" s="136" t="s">
        <v>136</v>
      </c>
      <c r="L166" s="136" t="s">
        <v>155</v>
      </c>
      <c r="M166" s="136">
        <f>VLOOKUP(tbl_IO_List[[#This Row],[Instruement Tag]],tbl_Instruement_List[],2,FALSE)</f>
        <v>0</v>
      </c>
      <c r="N166" s="136" t="s">
        <v>15</v>
      </c>
      <c r="O166" s="136" t="s">
        <v>121</v>
      </c>
      <c r="P166" s="136" t="s">
        <v>137</v>
      </c>
      <c r="Q166" s="136" t="str">
        <f>VLOOKUP(tbl_IO_List[[#This Row],[Instruement Tag]],tbl_Instruement_List[],6,FALSE)</f>
        <v>Slurry pH Adjustment tank 1 transfer to pH Adjustment tank 2</v>
      </c>
      <c r="R166" s="136"/>
      <c r="S16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166" s="136" t="str">
        <f>tbl_IO_List[[#This Row],[Instruement Tag]]&amp;"_"&amp;tbl_IO_List[[#This Row],[I/O Type]]&amp;"_"&amp;tbl_IO_List[[#This Row],[IO-Point 
(Instruement)]]</f>
        <v>XV-40201E_DO_1</v>
      </c>
      <c r="U166" s="136" t="s">
        <v>7</v>
      </c>
      <c r="V166" s="136">
        <f>VLOOKUP(tbl_IO_List[[#This Row],[I/O Type]],tbl_Slot_Group[],2,FALSE)</f>
        <v>2</v>
      </c>
      <c r="W166" s="136">
        <v>1</v>
      </c>
      <c r="X166" s="136" t="str">
        <f>tbl_IO_List[[#This Row],[Chassis]]&amp;"S"&amp;TEXT(tbl_IO_List[[#This Row],[Slot]],"00")</f>
        <v>C1S09</v>
      </c>
      <c r="Y166" s="136" t="str">
        <f>tbl_IO_List[[#This Row],[Chassis]]&amp;"S"&amp;TEXT(tbl_IO_List[[#This Row],[Slot]],"00")&amp;tbl_IO_List[[#This Row],[I/O Type]]&amp;TEXT(tbl_IO_List[[#This Row],[Point]],"00")</f>
        <v>C1S09DO00</v>
      </c>
      <c r="Z166" s="136" t="str">
        <f>tbl_IO_List[[#This Row],[Chassis]]&amp;"S"&amp;TEXT(tbl_IO_List[[#This Row],[Slot]],"00")&amp;","&amp;TEXT(tbl_IO_List[[#This Row],[Point]],"00")</f>
        <v>C1S09,00</v>
      </c>
      <c r="AA166" s="136" t="str">
        <f>VLOOKUP(tbl_IO_List[[#This Row],[Column23]],tbl_RackConfig[],5,FALSE) &amp;"-"&amp;tbl_IO_List[[#This Row],[Point]]</f>
        <v>1756-OB32-0</v>
      </c>
      <c r="AB166" s="136"/>
      <c r="AC166" s="136" t="s">
        <v>1370</v>
      </c>
      <c r="AD166" s="136" t="str">
        <f>tbl_IO_List[[#This Row],[I/O Type]]</f>
        <v>DO</v>
      </c>
      <c r="AE166" s="136" t="s">
        <v>1332</v>
      </c>
      <c r="AF166" s="136">
        <v>9</v>
      </c>
      <c r="AG166" s="136">
        <v>0</v>
      </c>
      <c r="AH166" s="136">
        <v>1</v>
      </c>
      <c r="AI166" s="136">
        <v>1</v>
      </c>
      <c r="AJ166" s="136">
        <v>2</v>
      </c>
      <c r="AK166" s="136">
        <v>1</v>
      </c>
      <c r="AL166" s="136">
        <v>0</v>
      </c>
      <c r="AM166" s="136">
        <v>0</v>
      </c>
      <c r="AN166" s="136">
        <v>0</v>
      </c>
      <c r="AO166" s="136"/>
      <c r="AP166" s="143" t="str">
        <f>VLOOKUP(tbl_IO_List[[#This Row],[Instruement Tag]],tbl_Instruement_List[],14,FALSE)</f>
        <v>24 VDC energized</v>
      </c>
      <c r="AQ166" s="143" t="str">
        <f>tbl_IO_List[[#This Row],[Chassis]]&amp;"S"&amp;tbl_IO_List[[#This Row],[Slot]]&amp;"-"&amp;tbl_IO_List[[#This Row],[Front Terminal Number]]</f>
        <v>C1S9-1</v>
      </c>
      <c r="AR166" s="141" t="s">
        <v>1854</v>
      </c>
      <c r="AS166" s="136" t="str">
        <f>tbl_IO_List[[#This Row],[Terminal Tagging]]&amp;"-"&amp;tbl_IO_List[[#This Row],[Point-Count]]</f>
        <v>P1-TBRL2-1</v>
      </c>
      <c r="AT166" s="136" t="str">
        <f>tbl_IO_List[[#This Row],[Front Terminal Tagging]]&amp;"/"&amp;tbl_IO_List[[#This Row],[Terminal Tagging-Item]]</f>
        <v>C1S9-1/P1-TBRL2-1</v>
      </c>
      <c r="AU166" s="136" t="str">
        <f>tbl_IO_List[[#This Row],[Terminal Tagging-Item]]&amp;"/"&amp;tbl_IO_List[[#This Row],[Front Terminal Tagging]]</f>
        <v>P1-TBRL2-1/C1S9-1</v>
      </c>
    </row>
    <row r="167" spans="1:47" hidden="1">
      <c r="A167" s="147" t="s">
        <v>1369</v>
      </c>
      <c r="B167" s="136" t="s">
        <v>114</v>
      </c>
      <c r="C167" s="136" t="str">
        <f>tbl_IO_List[[#This Row],[Column3]]</f>
        <v>C1S09,01</v>
      </c>
      <c r="D167" s="136" t="str">
        <f>tbl_IO_List[[#This Row],[Card]]</f>
        <v>1756-OB32-1</v>
      </c>
      <c r="E167" s="136" t="s">
        <v>1366</v>
      </c>
      <c r="F167" s="136" t="str">
        <f>tbl_IO_List[[#This Row],[Column23]]&amp;"-" &amp;tbl_IO_List[[#This Row],[Column52]]</f>
        <v>C1S09-X1</v>
      </c>
      <c r="G167" s="136" t="str">
        <f>tbl_IO_List[[#This Row],[PLC_Tag]]</f>
        <v>XV-40201F_DO_1</v>
      </c>
      <c r="H167" s="136"/>
      <c r="I167" s="136" t="str">
        <f>VLOOKUP(tbl_IO_List[[#This Row],[Destination]],tbl_Junction[],2,FALSE)</f>
        <v>Infeed 2nd Floor</v>
      </c>
      <c r="J167" s="136" t="s">
        <v>114</v>
      </c>
      <c r="K167" s="136" t="s">
        <v>136</v>
      </c>
      <c r="L167" s="136" t="s">
        <v>156</v>
      </c>
      <c r="M167" s="136">
        <f>VLOOKUP(tbl_IO_List[[#This Row],[Instruement Tag]],tbl_Instruement_List[],2,FALSE)</f>
        <v>0</v>
      </c>
      <c r="N167" s="136" t="s">
        <v>15</v>
      </c>
      <c r="O167" s="136" t="s">
        <v>121</v>
      </c>
      <c r="P167" s="136" t="s">
        <v>137</v>
      </c>
      <c r="Q167" s="136" t="str">
        <f>VLOOKUP(tbl_IO_List[[#This Row],[Instruement Tag]],tbl_Instruement_List[],6,FALSE)</f>
        <v>Slurry feed-to spray dry tank</v>
      </c>
      <c r="R167" s="136"/>
      <c r="S16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167" s="136" t="str">
        <f>tbl_IO_List[[#This Row],[Instruement Tag]]&amp;"_"&amp;tbl_IO_List[[#This Row],[I/O Type]]&amp;"_"&amp;tbl_IO_List[[#This Row],[IO-Point 
(Instruement)]]</f>
        <v>XV-40201F_DO_1</v>
      </c>
      <c r="U167" s="136" t="s">
        <v>7</v>
      </c>
      <c r="V167" s="136">
        <f>VLOOKUP(tbl_IO_List[[#This Row],[I/O Type]],tbl_Slot_Group[],2,FALSE)</f>
        <v>2</v>
      </c>
      <c r="W167" s="136">
        <v>1</v>
      </c>
      <c r="X167" s="136" t="str">
        <f>tbl_IO_List[[#This Row],[Chassis]]&amp;"S"&amp;TEXT(tbl_IO_List[[#This Row],[Slot]],"00")</f>
        <v>C1S09</v>
      </c>
      <c r="Y167" s="136" t="str">
        <f>tbl_IO_List[[#This Row],[Chassis]]&amp;"S"&amp;TEXT(tbl_IO_List[[#This Row],[Slot]],"00")&amp;tbl_IO_List[[#This Row],[I/O Type]]&amp;TEXT(tbl_IO_List[[#This Row],[Point]],"00")</f>
        <v>C1S09DO01</v>
      </c>
      <c r="Z167" s="136" t="str">
        <f>tbl_IO_List[[#This Row],[Chassis]]&amp;"S"&amp;TEXT(tbl_IO_List[[#This Row],[Slot]],"00")&amp;","&amp;TEXT(tbl_IO_List[[#This Row],[Point]],"00")</f>
        <v>C1S09,01</v>
      </c>
      <c r="AA167" s="136" t="str">
        <f>VLOOKUP(tbl_IO_List[[#This Row],[Column23]],tbl_RackConfig[],5,FALSE) &amp;"-"&amp;tbl_IO_List[[#This Row],[Point]]</f>
        <v>1756-OB32-1</v>
      </c>
      <c r="AB167" s="136"/>
      <c r="AC167" s="136" t="s">
        <v>1370</v>
      </c>
      <c r="AD167" s="136" t="str">
        <f>tbl_IO_List[[#This Row],[I/O Type]]</f>
        <v>DO</v>
      </c>
      <c r="AE167" s="136" t="s">
        <v>1332</v>
      </c>
      <c r="AF167" s="136">
        <v>9</v>
      </c>
      <c r="AG167" s="136">
        <v>1</v>
      </c>
      <c r="AH167" s="136">
        <v>2</v>
      </c>
      <c r="AI167" s="136">
        <v>2</v>
      </c>
      <c r="AJ167" s="136">
        <v>2</v>
      </c>
      <c r="AK167" s="136">
        <v>1</v>
      </c>
      <c r="AL167" s="136">
        <v>0</v>
      </c>
      <c r="AM167" s="136">
        <v>0</v>
      </c>
      <c r="AN167" s="136">
        <v>0</v>
      </c>
      <c r="AO167" s="136"/>
      <c r="AP167" s="143" t="str">
        <f>VLOOKUP(tbl_IO_List[[#This Row],[Instruement Tag]],tbl_Instruement_List[],14,FALSE)</f>
        <v>24 VDC energized</v>
      </c>
      <c r="AQ167" s="143" t="str">
        <f>tbl_IO_List[[#This Row],[Chassis]]&amp;"S"&amp;tbl_IO_List[[#This Row],[Slot]]&amp;"-"&amp;tbl_IO_List[[#This Row],[Front Terminal Number]]</f>
        <v>C1S9-2</v>
      </c>
      <c r="AR167" s="141" t="s">
        <v>1854</v>
      </c>
      <c r="AS167" s="136" t="str">
        <f>tbl_IO_List[[#This Row],[Terminal Tagging]]&amp;"-"&amp;tbl_IO_List[[#This Row],[Point-Count]]</f>
        <v>P1-TBRL2-2</v>
      </c>
      <c r="AT167" s="136" t="str">
        <f>tbl_IO_List[[#This Row],[Front Terminal Tagging]]&amp;"/"&amp;tbl_IO_List[[#This Row],[Terminal Tagging-Item]]</f>
        <v>C1S9-2/P1-TBRL2-2</v>
      </c>
      <c r="AU167" s="136" t="str">
        <f>tbl_IO_List[[#This Row],[Terminal Tagging-Item]]&amp;"/"&amp;tbl_IO_List[[#This Row],[Front Terminal Tagging]]</f>
        <v>P1-TBRL2-2/C1S9-2</v>
      </c>
    </row>
    <row r="168" spans="1:47" hidden="1">
      <c r="A168" s="147" t="s">
        <v>1369</v>
      </c>
      <c r="B168" s="136" t="s">
        <v>114</v>
      </c>
      <c r="C168" s="136" t="str">
        <f>tbl_IO_List[[#This Row],[Column3]]</f>
        <v>C1S09,02</v>
      </c>
      <c r="D168" s="136" t="str">
        <f>tbl_IO_List[[#This Row],[Card]]</f>
        <v>1756-OB32-2</v>
      </c>
      <c r="E168" s="136" t="s">
        <v>1366</v>
      </c>
      <c r="F168" s="136" t="str">
        <f>tbl_IO_List[[#This Row],[Column23]]&amp;"-" &amp;tbl_IO_List[[#This Row],[Column52]]</f>
        <v>C1S09-X1</v>
      </c>
      <c r="G168" s="136" t="str">
        <f>tbl_IO_List[[#This Row],[PLC_Tag]]</f>
        <v>XV-40201G_DO_1</v>
      </c>
      <c r="H168" s="136"/>
      <c r="I168" s="136" t="str">
        <f>VLOOKUP(tbl_IO_List[[#This Row],[Destination]],tbl_Junction[],2,FALSE)</f>
        <v>Infeed 2nd Floor</v>
      </c>
      <c r="J168" s="136" t="s">
        <v>114</v>
      </c>
      <c r="K168" s="136" t="s">
        <v>136</v>
      </c>
      <c r="L168" s="136" t="s">
        <v>157</v>
      </c>
      <c r="M168" s="136">
        <f>VLOOKUP(tbl_IO_List[[#This Row],[Instruement Tag]],tbl_Instruement_List[],2,FALSE)</f>
        <v>0</v>
      </c>
      <c r="N168" s="136" t="s">
        <v>15</v>
      </c>
      <c r="O168" s="136" t="s">
        <v>121</v>
      </c>
      <c r="P168" s="136" t="s">
        <v>137</v>
      </c>
      <c r="Q168" s="136" t="str">
        <f>VLOOKUP(tbl_IO_List[[#This Row],[Instruement Tag]],tbl_Instruement_List[],6,FALSE)</f>
        <v>CIP water washing pH Adjustment tank 1</v>
      </c>
      <c r="R168" s="136"/>
      <c r="S16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168" s="136" t="str">
        <f>tbl_IO_List[[#This Row],[Instruement Tag]]&amp;"_"&amp;tbl_IO_List[[#This Row],[I/O Type]]&amp;"_"&amp;tbl_IO_List[[#This Row],[IO-Point 
(Instruement)]]</f>
        <v>XV-40201G_DO_1</v>
      </c>
      <c r="U168" s="136" t="s">
        <v>7</v>
      </c>
      <c r="V168" s="136">
        <f>VLOOKUP(tbl_IO_List[[#This Row],[I/O Type]],tbl_Slot_Group[],2,FALSE)</f>
        <v>2</v>
      </c>
      <c r="W168" s="136">
        <v>1</v>
      </c>
      <c r="X168" s="136" t="str">
        <f>tbl_IO_List[[#This Row],[Chassis]]&amp;"S"&amp;TEXT(tbl_IO_List[[#This Row],[Slot]],"00")</f>
        <v>C1S09</v>
      </c>
      <c r="Y168" s="136" t="str">
        <f>tbl_IO_List[[#This Row],[Chassis]]&amp;"S"&amp;TEXT(tbl_IO_List[[#This Row],[Slot]],"00")&amp;tbl_IO_List[[#This Row],[I/O Type]]&amp;TEXT(tbl_IO_List[[#This Row],[Point]],"00")</f>
        <v>C1S09DO02</v>
      </c>
      <c r="Z168" s="136" t="str">
        <f>tbl_IO_List[[#This Row],[Chassis]]&amp;"S"&amp;TEXT(tbl_IO_List[[#This Row],[Slot]],"00")&amp;","&amp;TEXT(tbl_IO_List[[#This Row],[Point]],"00")</f>
        <v>C1S09,02</v>
      </c>
      <c r="AA168" s="136" t="str">
        <f>VLOOKUP(tbl_IO_List[[#This Row],[Column23]],tbl_RackConfig[],5,FALSE) &amp;"-"&amp;tbl_IO_List[[#This Row],[Point]]</f>
        <v>1756-OB32-2</v>
      </c>
      <c r="AB168" s="136"/>
      <c r="AC168" s="136" t="s">
        <v>1370</v>
      </c>
      <c r="AD168" s="136" t="str">
        <f>tbl_IO_List[[#This Row],[I/O Type]]</f>
        <v>DO</v>
      </c>
      <c r="AE168" s="136" t="s">
        <v>1332</v>
      </c>
      <c r="AF168" s="136">
        <v>9</v>
      </c>
      <c r="AG168" s="136">
        <v>2</v>
      </c>
      <c r="AH168" s="136">
        <v>3</v>
      </c>
      <c r="AI168" s="136">
        <v>3</v>
      </c>
      <c r="AJ168" s="136">
        <v>2</v>
      </c>
      <c r="AK168" s="136">
        <v>1</v>
      </c>
      <c r="AL168" s="136">
        <v>0</v>
      </c>
      <c r="AM168" s="136">
        <v>0</v>
      </c>
      <c r="AN168" s="136">
        <v>0</v>
      </c>
      <c r="AO168" s="136"/>
      <c r="AP168" s="143" t="str">
        <f>VLOOKUP(tbl_IO_List[[#This Row],[Instruement Tag]],tbl_Instruement_List[],14,FALSE)</f>
        <v>24 VDC energized</v>
      </c>
      <c r="AQ168" s="143" t="str">
        <f>tbl_IO_List[[#This Row],[Chassis]]&amp;"S"&amp;tbl_IO_List[[#This Row],[Slot]]&amp;"-"&amp;tbl_IO_List[[#This Row],[Front Terminal Number]]</f>
        <v>C1S9-3</v>
      </c>
      <c r="AR168" s="141" t="s">
        <v>1854</v>
      </c>
      <c r="AS168" s="136" t="str">
        <f>tbl_IO_List[[#This Row],[Terminal Tagging]]&amp;"-"&amp;tbl_IO_List[[#This Row],[Point-Count]]</f>
        <v>P1-TBRL2-3</v>
      </c>
      <c r="AT168" s="136" t="str">
        <f>tbl_IO_List[[#This Row],[Front Terminal Tagging]]&amp;"/"&amp;tbl_IO_List[[#This Row],[Terminal Tagging-Item]]</f>
        <v>C1S9-3/P1-TBRL2-3</v>
      </c>
      <c r="AU168" s="136" t="str">
        <f>tbl_IO_List[[#This Row],[Terminal Tagging-Item]]&amp;"/"&amp;tbl_IO_List[[#This Row],[Front Terminal Tagging]]</f>
        <v>P1-TBRL2-3/C1S9-3</v>
      </c>
    </row>
    <row r="169" spans="1:47" hidden="1">
      <c r="A169" s="147" t="s">
        <v>1369</v>
      </c>
      <c r="B169" s="136" t="s">
        <v>114</v>
      </c>
      <c r="C169" s="136" t="str">
        <f>tbl_IO_List[[#This Row],[Column3]]</f>
        <v>C1S09,03</v>
      </c>
      <c r="D169" s="136" t="str">
        <f>tbl_IO_List[[#This Row],[Card]]</f>
        <v>1756-OB32-3</v>
      </c>
      <c r="E169" s="136" t="s">
        <v>1366</v>
      </c>
      <c r="F169" s="136" t="str">
        <f>tbl_IO_List[[#This Row],[Column23]]&amp;"-" &amp;tbl_IO_List[[#This Row],[Column52]]</f>
        <v>C1S09-X1</v>
      </c>
      <c r="G169" s="136" t="str">
        <f>tbl_IO_List[[#This Row],[PLC_Tag]]</f>
        <v>XV-40201H_DO_1</v>
      </c>
      <c r="H169" s="136"/>
      <c r="I169" s="136" t="str">
        <f>VLOOKUP(tbl_IO_List[[#This Row],[Destination]],tbl_Junction[],2,FALSE)</f>
        <v>Infeed 2nd Floor</v>
      </c>
      <c r="J169" s="136" t="s">
        <v>114</v>
      </c>
      <c r="K169" s="136" t="s">
        <v>136</v>
      </c>
      <c r="L169" s="136" t="s">
        <v>158</v>
      </c>
      <c r="M169" s="136">
        <f>VLOOKUP(tbl_IO_List[[#This Row],[Instruement Tag]],tbl_Instruement_List[],2,FALSE)</f>
        <v>0</v>
      </c>
      <c r="N169" s="136" t="s">
        <v>15</v>
      </c>
      <c r="O169" s="136" t="s">
        <v>121</v>
      </c>
      <c r="P169" s="136" t="s">
        <v>137</v>
      </c>
      <c r="Q169" s="136" t="str">
        <f>VLOOKUP(tbl_IO_List[[#This Row],[Instruement Tag]],tbl_Instruement_List[],6,FALSE)</f>
        <v>CIP Hight pressure water washing pH Adjustment tank 1</v>
      </c>
      <c r="R169" s="136"/>
      <c r="S16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169" s="136" t="str">
        <f>tbl_IO_List[[#This Row],[Instruement Tag]]&amp;"_"&amp;tbl_IO_List[[#This Row],[I/O Type]]&amp;"_"&amp;tbl_IO_List[[#This Row],[IO-Point 
(Instruement)]]</f>
        <v>XV-40201H_DO_1</v>
      </c>
      <c r="U169" s="136" t="s">
        <v>7</v>
      </c>
      <c r="V169" s="136">
        <f>VLOOKUP(tbl_IO_List[[#This Row],[I/O Type]],tbl_Slot_Group[],2,FALSE)</f>
        <v>2</v>
      </c>
      <c r="W169" s="136">
        <v>1</v>
      </c>
      <c r="X169" s="136" t="str">
        <f>tbl_IO_List[[#This Row],[Chassis]]&amp;"S"&amp;TEXT(tbl_IO_List[[#This Row],[Slot]],"00")</f>
        <v>C1S09</v>
      </c>
      <c r="Y169" s="136" t="str">
        <f>tbl_IO_List[[#This Row],[Chassis]]&amp;"S"&amp;TEXT(tbl_IO_List[[#This Row],[Slot]],"00")&amp;tbl_IO_List[[#This Row],[I/O Type]]&amp;TEXT(tbl_IO_List[[#This Row],[Point]],"00")</f>
        <v>C1S09DO03</v>
      </c>
      <c r="Z169" s="136" t="str">
        <f>tbl_IO_List[[#This Row],[Chassis]]&amp;"S"&amp;TEXT(tbl_IO_List[[#This Row],[Slot]],"00")&amp;","&amp;TEXT(tbl_IO_List[[#This Row],[Point]],"00")</f>
        <v>C1S09,03</v>
      </c>
      <c r="AA169" s="136" t="str">
        <f>VLOOKUP(tbl_IO_List[[#This Row],[Column23]],tbl_RackConfig[],5,FALSE) &amp;"-"&amp;tbl_IO_List[[#This Row],[Point]]</f>
        <v>1756-OB32-3</v>
      </c>
      <c r="AB169" s="136"/>
      <c r="AC169" s="136" t="s">
        <v>1370</v>
      </c>
      <c r="AD169" s="136" t="str">
        <f>tbl_IO_List[[#This Row],[I/O Type]]</f>
        <v>DO</v>
      </c>
      <c r="AE169" s="136" t="s">
        <v>1332</v>
      </c>
      <c r="AF169" s="136">
        <v>9</v>
      </c>
      <c r="AG169" s="136">
        <v>3</v>
      </c>
      <c r="AH169" s="136">
        <v>4</v>
      </c>
      <c r="AI169" s="136">
        <v>4</v>
      </c>
      <c r="AJ169" s="136">
        <v>2</v>
      </c>
      <c r="AK169" s="136">
        <v>1</v>
      </c>
      <c r="AL169" s="136">
        <v>0</v>
      </c>
      <c r="AM169" s="136">
        <v>0</v>
      </c>
      <c r="AN169" s="136">
        <v>0</v>
      </c>
      <c r="AO169" s="136"/>
      <c r="AP169" s="143" t="str">
        <f>VLOOKUP(tbl_IO_List[[#This Row],[Instruement Tag]],tbl_Instruement_List[],14,FALSE)</f>
        <v>24 VDC energized</v>
      </c>
      <c r="AQ169" s="143" t="str">
        <f>tbl_IO_List[[#This Row],[Chassis]]&amp;"S"&amp;tbl_IO_List[[#This Row],[Slot]]&amp;"-"&amp;tbl_IO_List[[#This Row],[Front Terminal Number]]</f>
        <v>C1S9-4</v>
      </c>
      <c r="AR169" s="141" t="s">
        <v>1854</v>
      </c>
      <c r="AS169" s="136" t="str">
        <f>tbl_IO_List[[#This Row],[Terminal Tagging]]&amp;"-"&amp;tbl_IO_List[[#This Row],[Point-Count]]</f>
        <v>P1-TBRL2-4</v>
      </c>
      <c r="AT169" s="136" t="str">
        <f>tbl_IO_List[[#This Row],[Front Terminal Tagging]]&amp;"/"&amp;tbl_IO_List[[#This Row],[Terminal Tagging-Item]]</f>
        <v>C1S9-4/P1-TBRL2-4</v>
      </c>
      <c r="AU169" s="136" t="str">
        <f>tbl_IO_List[[#This Row],[Terminal Tagging-Item]]&amp;"/"&amp;tbl_IO_List[[#This Row],[Front Terminal Tagging]]</f>
        <v>P1-TBRL2-4/C1S9-4</v>
      </c>
    </row>
    <row r="170" spans="1:47" hidden="1">
      <c r="A170" s="147" t="s">
        <v>1369</v>
      </c>
      <c r="B170" s="136" t="s">
        <v>114</v>
      </c>
      <c r="C170" s="136" t="str">
        <f>tbl_IO_List[[#This Row],[Column3]]</f>
        <v>C1S09,04</v>
      </c>
      <c r="D170" s="136" t="str">
        <f>tbl_IO_List[[#This Row],[Card]]</f>
        <v>1756-OB32-4</v>
      </c>
      <c r="E170" s="136" t="s">
        <v>1366</v>
      </c>
      <c r="F170" s="136" t="str">
        <f>tbl_IO_List[[#This Row],[Column23]]&amp;"-" &amp;tbl_IO_List[[#This Row],[Column52]]</f>
        <v>C1S09-X1</v>
      </c>
      <c r="G170" s="136" t="str">
        <f>tbl_IO_List[[#This Row],[PLC_Tag]]</f>
        <v>XV-40202A_DO_1</v>
      </c>
      <c r="H170" s="136"/>
      <c r="I170" s="136" t="str">
        <f>VLOOKUP(tbl_IO_List[[#This Row],[Destination]],tbl_Junction[],2,FALSE)</f>
        <v>Infeed 2nd Floor</v>
      </c>
      <c r="J170" s="136" t="s">
        <v>114</v>
      </c>
      <c r="K170" s="136" t="s">
        <v>136</v>
      </c>
      <c r="L170" s="136" t="s">
        <v>159</v>
      </c>
      <c r="M170" s="136">
        <f>VLOOKUP(tbl_IO_List[[#This Row],[Instruement Tag]],tbl_Instruement_List[],2,FALSE)</f>
        <v>0</v>
      </c>
      <c r="N170" s="136" t="s">
        <v>15</v>
      </c>
      <c r="O170" s="136" t="s">
        <v>121</v>
      </c>
      <c r="P170" s="136" t="s">
        <v>137</v>
      </c>
      <c r="Q170" s="136" t="str">
        <f>VLOOKUP(tbl_IO_List[[#This Row],[Instruement Tag]],tbl_Instruement_List[],6,FALSE)</f>
        <v>Slurry feed-in pH Adjustment tank 2</v>
      </c>
      <c r="R170" s="136"/>
      <c r="S17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170" s="136" t="str">
        <f>tbl_IO_List[[#This Row],[Instruement Tag]]&amp;"_"&amp;tbl_IO_List[[#This Row],[I/O Type]]&amp;"_"&amp;tbl_IO_List[[#This Row],[IO-Point 
(Instruement)]]</f>
        <v>XV-40202A_DO_1</v>
      </c>
      <c r="U170" s="136" t="s">
        <v>7</v>
      </c>
      <c r="V170" s="136">
        <f>VLOOKUP(tbl_IO_List[[#This Row],[I/O Type]],tbl_Slot_Group[],2,FALSE)</f>
        <v>2</v>
      </c>
      <c r="W170" s="136">
        <v>1</v>
      </c>
      <c r="X170" s="136" t="str">
        <f>tbl_IO_List[[#This Row],[Chassis]]&amp;"S"&amp;TEXT(tbl_IO_List[[#This Row],[Slot]],"00")</f>
        <v>C1S09</v>
      </c>
      <c r="Y170" s="136" t="str">
        <f>tbl_IO_List[[#This Row],[Chassis]]&amp;"S"&amp;TEXT(tbl_IO_List[[#This Row],[Slot]],"00")&amp;tbl_IO_List[[#This Row],[I/O Type]]&amp;TEXT(tbl_IO_List[[#This Row],[Point]],"00")</f>
        <v>C1S09DO04</v>
      </c>
      <c r="Z170" s="136" t="str">
        <f>tbl_IO_List[[#This Row],[Chassis]]&amp;"S"&amp;TEXT(tbl_IO_List[[#This Row],[Slot]],"00")&amp;","&amp;TEXT(tbl_IO_List[[#This Row],[Point]],"00")</f>
        <v>C1S09,04</v>
      </c>
      <c r="AA170" s="136" t="str">
        <f>VLOOKUP(tbl_IO_List[[#This Row],[Column23]],tbl_RackConfig[],5,FALSE) &amp;"-"&amp;tbl_IO_List[[#This Row],[Point]]</f>
        <v>1756-OB32-4</v>
      </c>
      <c r="AB170" s="136"/>
      <c r="AC170" s="136" t="s">
        <v>1370</v>
      </c>
      <c r="AD170" s="136" t="str">
        <f>tbl_IO_List[[#This Row],[I/O Type]]</f>
        <v>DO</v>
      </c>
      <c r="AE170" s="136" t="s">
        <v>1332</v>
      </c>
      <c r="AF170" s="136">
        <v>9</v>
      </c>
      <c r="AG170" s="136">
        <v>4</v>
      </c>
      <c r="AH170" s="136">
        <v>5</v>
      </c>
      <c r="AI170" s="136">
        <v>5</v>
      </c>
      <c r="AJ170" s="136">
        <v>2</v>
      </c>
      <c r="AK170" s="136">
        <v>1</v>
      </c>
      <c r="AL170" s="136">
        <v>0</v>
      </c>
      <c r="AM170" s="136">
        <v>0</v>
      </c>
      <c r="AN170" s="136">
        <v>0</v>
      </c>
      <c r="AO170" s="136"/>
      <c r="AP170" s="143" t="str">
        <f>VLOOKUP(tbl_IO_List[[#This Row],[Instruement Tag]],tbl_Instruement_List[],14,FALSE)</f>
        <v>24 VDC energized</v>
      </c>
      <c r="AQ170" s="143" t="str">
        <f>tbl_IO_List[[#This Row],[Chassis]]&amp;"S"&amp;tbl_IO_List[[#This Row],[Slot]]&amp;"-"&amp;tbl_IO_List[[#This Row],[Front Terminal Number]]</f>
        <v>C1S9-5</v>
      </c>
      <c r="AR170" s="141" t="s">
        <v>1854</v>
      </c>
      <c r="AS170" s="136" t="str">
        <f>tbl_IO_List[[#This Row],[Terminal Tagging]]&amp;"-"&amp;tbl_IO_List[[#This Row],[Point-Count]]</f>
        <v>P1-TBRL2-5</v>
      </c>
      <c r="AT170" s="136" t="str">
        <f>tbl_IO_List[[#This Row],[Front Terminal Tagging]]&amp;"/"&amp;tbl_IO_List[[#This Row],[Terminal Tagging-Item]]</f>
        <v>C1S9-5/P1-TBRL2-5</v>
      </c>
      <c r="AU170" s="136" t="str">
        <f>tbl_IO_List[[#This Row],[Terminal Tagging-Item]]&amp;"/"&amp;tbl_IO_List[[#This Row],[Front Terminal Tagging]]</f>
        <v>P1-TBRL2-5/C1S9-5</v>
      </c>
    </row>
    <row r="171" spans="1:47" hidden="1">
      <c r="A171" s="147" t="s">
        <v>1369</v>
      </c>
      <c r="B171" s="136" t="s">
        <v>114</v>
      </c>
      <c r="C171" s="136" t="str">
        <f>tbl_IO_List[[#This Row],[Column3]]</f>
        <v>C1S09,05</v>
      </c>
      <c r="D171" s="136" t="str">
        <f>tbl_IO_List[[#This Row],[Card]]</f>
        <v>1756-OB32-5</v>
      </c>
      <c r="E171" s="136" t="s">
        <v>1366</v>
      </c>
      <c r="F171" s="136" t="str">
        <f>tbl_IO_List[[#This Row],[Column23]]&amp;"-" &amp;tbl_IO_List[[#This Row],[Column52]]</f>
        <v>C1S09-X1</v>
      </c>
      <c r="G171" s="136" t="str">
        <f>tbl_IO_List[[#This Row],[PLC_Tag]]</f>
        <v>XV-40202B_DO_1</v>
      </c>
      <c r="H171" s="136"/>
      <c r="I171" s="136" t="str">
        <f>VLOOKUP(tbl_IO_List[[#This Row],[Destination]],tbl_Junction[],2,FALSE)</f>
        <v>Infeed 2nd Floor</v>
      </c>
      <c r="J171" s="136" t="s">
        <v>114</v>
      </c>
      <c r="K171" s="136" t="s">
        <v>136</v>
      </c>
      <c r="L171" s="136" t="s">
        <v>160</v>
      </c>
      <c r="M171" s="136">
        <f>VLOOKUP(tbl_IO_List[[#This Row],[Instruement Tag]],tbl_Instruement_List[],2,FALSE)</f>
        <v>0</v>
      </c>
      <c r="N171" s="136" t="s">
        <v>15</v>
      </c>
      <c r="O171" s="136" t="s">
        <v>121</v>
      </c>
      <c r="P171" s="136" t="s">
        <v>137</v>
      </c>
      <c r="Q171" s="136" t="str">
        <f>VLOOKUP(tbl_IO_List[[#This Row],[Instruement Tag]],tbl_Instruement_List[],6,FALSE)</f>
        <v>Slurry feed-out pH Adjustment tank 2</v>
      </c>
      <c r="R171" s="136"/>
      <c r="S17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171" s="136" t="str">
        <f>tbl_IO_List[[#This Row],[Instruement Tag]]&amp;"_"&amp;tbl_IO_List[[#This Row],[I/O Type]]&amp;"_"&amp;tbl_IO_List[[#This Row],[IO-Point 
(Instruement)]]</f>
        <v>XV-40202B_DO_1</v>
      </c>
      <c r="U171" s="136" t="s">
        <v>7</v>
      </c>
      <c r="V171" s="136">
        <f>VLOOKUP(tbl_IO_List[[#This Row],[I/O Type]],tbl_Slot_Group[],2,FALSE)</f>
        <v>2</v>
      </c>
      <c r="W171" s="136">
        <v>1</v>
      </c>
      <c r="X171" s="136" t="str">
        <f>tbl_IO_List[[#This Row],[Chassis]]&amp;"S"&amp;TEXT(tbl_IO_List[[#This Row],[Slot]],"00")</f>
        <v>C1S09</v>
      </c>
      <c r="Y171" s="136" t="str">
        <f>tbl_IO_List[[#This Row],[Chassis]]&amp;"S"&amp;TEXT(tbl_IO_List[[#This Row],[Slot]],"00")&amp;tbl_IO_List[[#This Row],[I/O Type]]&amp;TEXT(tbl_IO_List[[#This Row],[Point]],"00")</f>
        <v>C1S09DO05</v>
      </c>
      <c r="Z171" s="136" t="str">
        <f>tbl_IO_List[[#This Row],[Chassis]]&amp;"S"&amp;TEXT(tbl_IO_List[[#This Row],[Slot]],"00")&amp;","&amp;TEXT(tbl_IO_List[[#This Row],[Point]],"00")</f>
        <v>C1S09,05</v>
      </c>
      <c r="AA171" s="136" t="str">
        <f>VLOOKUP(tbl_IO_List[[#This Row],[Column23]],tbl_RackConfig[],5,FALSE) &amp;"-"&amp;tbl_IO_List[[#This Row],[Point]]</f>
        <v>1756-OB32-5</v>
      </c>
      <c r="AB171" s="136"/>
      <c r="AC171" s="136" t="s">
        <v>1370</v>
      </c>
      <c r="AD171" s="136" t="str">
        <f>tbl_IO_List[[#This Row],[I/O Type]]</f>
        <v>DO</v>
      </c>
      <c r="AE171" s="136" t="s">
        <v>1332</v>
      </c>
      <c r="AF171" s="136">
        <v>9</v>
      </c>
      <c r="AG171" s="136">
        <v>5</v>
      </c>
      <c r="AH171" s="136">
        <v>6</v>
      </c>
      <c r="AI171" s="136">
        <v>6</v>
      </c>
      <c r="AJ171" s="136">
        <v>2</v>
      </c>
      <c r="AK171" s="136">
        <v>1</v>
      </c>
      <c r="AL171" s="136">
        <v>0</v>
      </c>
      <c r="AM171" s="136">
        <v>0</v>
      </c>
      <c r="AN171" s="136">
        <v>0</v>
      </c>
      <c r="AO171" s="136"/>
      <c r="AP171" s="143" t="str">
        <f>VLOOKUP(tbl_IO_List[[#This Row],[Instruement Tag]],tbl_Instruement_List[],14,FALSE)</f>
        <v>24 VDC energized</v>
      </c>
      <c r="AQ171" s="143" t="str">
        <f>tbl_IO_List[[#This Row],[Chassis]]&amp;"S"&amp;tbl_IO_List[[#This Row],[Slot]]&amp;"-"&amp;tbl_IO_List[[#This Row],[Front Terminal Number]]</f>
        <v>C1S9-6</v>
      </c>
      <c r="AR171" s="141" t="s">
        <v>1854</v>
      </c>
      <c r="AS171" s="136" t="str">
        <f>tbl_IO_List[[#This Row],[Terminal Tagging]]&amp;"-"&amp;tbl_IO_List[[#This Row],[Point-Count]]</f>
        <v>P1-TBRL2-6</v>
      </c>
      <c r="AT171" s="136" t="str">
        <f>tbl_IO_List[[#This Row],[Front Terminal Tagging]]&amp;"/"&amp;tbl_IO_List[[#This Row],[Terminal Tagging-Item]]</f>
        <v>C1S9-6/P1-TBRL2-6</v>
      </c>
      <c r="AU171" s="136" t="str">
        <f>tbl_IO_List[[#This Row],[Terminal Tagging-Item]]&amp;"/"&amp;tbl_IO_List[[#This Row],[Front Terminal Tagging]]</f>
        <v>P1-TBRL2-6/C1S9-6</v>
      </c>
    </row>
    <row r="172" spans="1:47" hidden="1">
      <c r="A172" s="147" t="s">
        <v>1369</v>
      </c>
      <c r="B172" s="136" t="s">
        <v>114</v>
      </c>
      <c r="C172" s="136" t="str">
        <f>tbl_IO_List[[#This Row],[Column3]]</f>
        <v>C1S09,06</v>
      </c>
      <c r="D172" s="136" t="str">
        <f>tbl_IO_List[[#This Row],[Card]]</f>
        <v>1756-OB32-6</v>
      </c>
      <c r="E172" s="136" t="s">
        <v>1366</v>
      </c>
      <c r="F172" s="136" t="str">
        <f>tbl_IO_List[[#This Row],[Column23]]&amp;"-" &amp;tbl_IO_List[[#This Row],[Column52]]</f>
        <v>C1S09-X1</v>
      </c>
      <c r="G172" s="136" t="str">
        <f>tbl_IO_List[[#This Row],[PLC_Tag]]</f>
        <v>XV-40202C_DO_1</v>
      </c>
      <c r="H172" s="136"/>
      <c r="I172" s="136" t="str">
        <f>VLOOKUP(tbl_IO_List[[#This Row],[Destination]],tbl_Junction[],2,FALSE)</f>
        <v>Infeed 2nd Floor</v>
      </c>
      <c r="J172" s="136" t="s">
        <v>114</v>
      </c>
      <c r="K172" s="136" t="s">
        <v>136</v>
      </c>
      <c r="L172" s="136" t="s">
        <v>161</v>
      </c>
      <c r="M172" s="136">
        <f>VLOOKUP(tbl_IO_List[[#This Row],[Instruement Tag]],tbl_Instruement_List[],2,FALSE)</f>
        <v>0</v>
      </c>
      <c r="N172" s="136" t="s">
        <v>15</v>
      </c>
      <c r="O172" s="136" t="s">
        <v>121</v>
      </c>
      <c r="P172" s="136" t="s">
        <v>137</v>
      </c>
      <c r="Q172" s="136" t="str">
        <f>VLOOKUP(tbl_IO_List[[#This Row],[Instruement Tag]],tbl_Instruement_List[],6,FALSE)</f>
        <v>Water washing line outlet pH Adjustment tank 2</v>
      </c>
      <c r="R172" s="136"/>
      <c r="S17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172" s="136" t="str">
        <f>tbl_IO_List[[#This Row],[Instruement Tag]]&amp;"_"&amp;tbl_IO_List[[#This Row],[I/O Type]]&amp;"_"&amp;tbl_IO_List[[#This Row],[IO-Point 
(Instruement)]]</f>
        <v>XV-40202C_DO_1</v>
      </c>
      <c r="U172" s="136" t="s">
        <v>7</v>
      </c>
      <c r="V172" s="136">
        <f>VLOOKUP(tbl_IO_List[[#This Row],[I/O Type]],tbl_Slot_Group[],2,FALSE)</f>
        <v>2</v>
      </c>
      <c r="W172" s="136">
        <v>1</v>
      </c>
      <c r="X172" s="136" t="str">
        <f>tbl_IO_List[[#This Row],[Chassis]]&amp;"S"&amp;TEXT(tbl_IO_List[[#This Row],[Slot]],"00")</f>
        <v>C1S09</v>
      </c>
      <c r="Y172" s="136" t="str">
        <f>tbl_IO_List[[#This Row],[Chassis]]&amp;"S"&amp;TEXT(tbl_IO_List[[#This Row],[Slot]],"00")&amp;tbl_IO_List[[#This Row],[I/O Type]]&amp;TEXT(tbl_IO_List[[#This Row],[Point]],"00")</f>
        <v>C1S09DO06</v>
      </c>
      <c r="Z172" s="136" t="str">
        <f>tbl_IO_List[[#This Row],[Chassis]]&amp;"S"&amp;TEXT(tbl_IO_List[[#This Row],[Slot]],"00")&amp;","&amp;TEXT(tbl_IO_List[[#This Row],[Point]],"00")</f>
        <v>C1S09,06</v>
      </c>
      <c r="AA172" s="136" t="str">
        <f>VLOOKUP(tbl_IO_List[[#This Row],[Column23]],tbl_RackConfig[],5,FALSE) &amp;"-"&amp;tbl_IO_List[[#This Row],[Point]]</f>
        <v>1756-OB32-6</v>
      </c>
      <c r="AB172" s="136"/>
      <c r="AC172" s="136" t="s">
        <v>1370</v>
      </c>
      <c r="AD172" s="136" t="str">
        <f>tbl_IO_List[[#This Row],[I/O Type]]</f>
        <v>DO</v>
      </c>
      <c r="AE172" s="136" t="s">
        <v>1332</v>
      </c>
      <c r="AF172" s="136">
        <v>9</v>
      </c>
      <c r="AG172" s="136">
        <v>6</v>
      </c>
      <c r="AH172" s="136">
        <v>7</v>
      </c>
      <c r="AI172" s="136">
        <v>7</v>
      </c>
      <c r="AJ172" s="136">
        <v>2</v>
      </c>
      <c r="AK172" s="136">
        <v>1</v>
      </c>
      <c r="AL172" s="136">
        <v>0</v>
      </c>
      <c r="AM172" s="136">
        <v>0</v>
      </c>
      <c r="AN172" s="136">
        <v>0</v>
      </c>
      <c r="AO172" s="136"/>
      <c r="AP172" s="143" t="str">
        <f>VLOOKUP(tbl_IO_List[[#This Row],[Instruement Tag]],tbl_Instruement_List[],14,FALSE)</f>
        <v>24 VDC energized</v>
      </c>
      <c r="AQ172" s="143" t="str">
        <f>tbl_IO_List[[#This Row],[Chassis]]&amp;"S"&amp;tbl_IO_List[[#This Row],[Slot]]&amp;"-"&amp;tbl_IO_List[[#This Row],[Front Terminal Number]]</f>
        <v>C1S9-7</v>
      </c>
      <c r="AR172" s="141" t="s">
        <v>1854</v>
      </c>
      <c r="AS172" s="136" t="str">
        <f>tbl_IO_List[[#This Row],[Terminal Tagging]]&amp;"-"&amp;tbl_IO_List[[#This Row],[Point-Count]]</f>
        <v>P1-TBRL2-7</v>
      </c>
      <c r="AT172" s="136" t="str">
        <f>tbl_IO_List[[#This Row],[Front Terminal Tagging]]&amp;"/"&amp;tbl_IO_List[[#This Row],[Terminal Tagging-Item]]</f>
        <v>C1S9-7/P1-TBRL2-7</v>
      </c>
      <c r="AU172" s="136" t="str">
        <f>tbl_IO_List[[#This Row],[Terminal Tagging-Item]]&amp;"/"&amp;tbl_IO_List[[#This Row],[Front Terminal Tagging]]</f>
        <v>P1-TBRL2-7/C1S9-7</v>
      </c>
    </row>
    <row r="173" spans="1:47" hidden="1">
      <c r="A173" s="147" t="s">
        <v>1369</v>
      </c>
      <c r="B173" s="136" t="s">
        <v>114</v>
      </c>
      <c r="C173" s="136" t="str">
        <f>tbl_IO_List[[#This Row],[Column3]]</f>
        <v>C1S09,07</v>
      </c>
      <c r="D173" s="136" t="str">
        <f>tbl_IO_List[[#This Row],[Card]]</f>
        <v>1756-OB32-7</v>
      </c>
      <c r="E173" s="136" t="s">
        <v>1366</v>
      </c>
      <c r="F173" s="136" t="str">
        <f>tbl_IO_List[[#This Row],[Column23]]&amp;"-" &amp;tbl_IO_List[[#This Row],[Column52]]</f>
        <v>C1S09-X1</v>
      </c>
      <c r="G173" s="136" t="str">
        <f>tbl_IO_List[[#This Row],[PLC_Tag]]</f>
        <v>XV-40202D_DO_1</v>
      </c>
      <c r="H173" s="136"/>
      <c r="I173" s="136" t="str">
        <f>VLOOKUP(tbl_IO_List[[#This Row],[Destination]],tbl_Junction[],2,FALSE)</f>
        <v>Infeed 2nd Floor</v>
      </c>
      <c r="J173" s="136" t="s">
        <v>114</v>
      </c>
      <c r="K173" s="136" t="s">
        <v>136</v>
      </c>
      <c r="L173" s="136" t="s">
        <v>162</v>
      </c>
      <c r="M173" s="136">
        <f>VLOOKUP(tbl_IO_List[[#This Row],[Instruement Tag]],tbl_Instruement_List[],2,FALSE)</f>
        <v>0</v>
      </c>
      <c r="N173" s="136" t="s">
        <v>15</v>
      </c>
      <c r="O173" s="136" t="s">
        <v>121</v>
      </c>
      <c r="P173" s="136" t="s">
        <v>137</v>
      </c>
      <c r="Q173" s="136" t="str">
        <f>VLOOKUP(tbl_IO_List[[#This Row],[Instruement Tag]],tbl_Instruement_List[],6,FALSE)</f>
        <v>Slurry circulation pH Adjustment tank 2</v>
      </c>
      <c r="R173" s="136"/>
      <c r="S17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173" s="136" t="str">
        <f>tbl_IO_List[[#This Row],[Instruement Tag]]&amp;"_"&amp;tbl_IO_List[[#This Row],[I/O Type]]&amp;"_"&amp;tbl_IO_List[[#This Row],[IO-Point 
(Instruement)]]</f>
        <v>XV-40202D_DO_1</v>
      </c>
      <c r="U173" s="136" t="s">
        <v>7</v>
      </c>
      <c r="V173" s="136">
        <f>VLOOKUP(tbl_IO_List[[#This Row],[I/O Type]],tbl_Slot_Group[],2,FALSE)</f>
        <v>2</v>
      </c>
      <c r="W173" s="136">
        <v>1</v>
      </c>
      <c r="X173" s="136" t="str">
        <f>tbl_IO_List[[#This Row],[Chassis]]&amp;"S"&amp;TEXT(tbl_IO_List[[#This Row],[Slot]],"00")</f>
        <v>C1S09</v>
      </c>
      <c r="Y173" s="136" t="str">
        <f>tbl_IO_List[[#This Row],[Chassis]]&amp;"S"&amp;TEXT(tbl_IO_List[[#This Row],[Slot]],"00")&amp;tbl_IO_List[[#This Row],[I/O Type]]&amp;TEXT(tbl_IO_List[[#This Row],[Point]],"00")</f>
        <v>C1S09DO07</v>
      </c>
      <c r="Z173" s="136" t="str">
        <f>tbl_IO_List[[#This Row],[Chassis]]&amp;"S"&amp;TEXT(tbl_IO_List[[#This Row],[Slot]],"00")&amp;","&amp;TEXT(tbl_IO_List[[#This Row],[Point]],"00")</f>
        <v>C1S09,07</v>
      </c>
      <c r="AA173" s="136" t="str">
        <f>VLOOKUP(tbl_IO_List[[#This Row],[Column23]],tbl_RackConfig[],5,FALSE) &amp;"-"&amp;tbl_IO_List[[#This Row],[Point]]</f>
        <v>1756-OB32-7</v>
      </c>
      <c r="AB173" s="136"/>
      <c r="AC173" s="136" t="s">
        <v>1370</v>
      </c>
      <c r="AD173" s="136" t="str">
        <f>tbl_IO_List[[#This Row],[I/O Type]]</f>
        <v>DO</v>
      </c>
      <c r="AE173" s="136" t="s">
        <v>1332</v>
      </c>
      <c r="AF173" s="136">
        <v>9</v>
      </c>
      <c r="AG173" s="136">
        <v>7</v>
      </c>
      <c r="AH173" s="136">
        <v>8</v>
      </c>
      <c r="AI173" s="136">
        <v>8</v>
      </c>
      <c r="AJ173" s="136">
        <v>2</v>
      </c>
      <c r="AK173" s="136">
        <v>1</v>
      </c>
      <c r="AL173" s="136">
        <v>0</v>
      </c>
      <c r="AM173" s="136">
        <v>0</v>
      </c>
      <c r="AN173" s="136">
        <v>0</v>
      </c>
      <c r="AO173" s="136"/>
      <c r="AP173" s="143" t="str">
        <f>VLOOKUP(tbl_IO_List[[#This Row],[Instruement Tag]],tbl_Instruement_List[],14,FALSE)</f>
        <v>24 VDC energized</v>
      </c>
      <c r="AQ173" s="143" t="str">
        <f>tbl_IO_List[[#This Row],[Chassis]]&amp;"S"&amp;tbl_IO_List[[#This Row],[Slot]]&amp;"-"&amp;tbl_IO_List[[#This Row],[Front Terminal Number]]</f>
        <v>C1S9-8</v>
      </c>
      <c r="AR173" s="141" t="s">
        <v>1854</v>
      </c>
      <c r="AS173" s="136" t="str">
        <f>tbl_IO_List[[#This Row],[Terminal Tagging]]&amp;"-"&amp;tbl_IO_List[[#This Row],[Point-Count]]</f>
        <v>P1-TBRL2-8</v>
      </c>
      <c r="AT173" s="136" t="str">
        <f>tbl_IO_List[[#This Row],[Front Terminal Tagging]]&amp;"/"&amp;tbl_IO_List[[#This Row],[Terminal Tagging-Item]]</f>
        <v>C1S9-8/P1-TBRL2-8</v>
      </c>
      <c r="AU173" s="136" t="str">
        <f>tbl_IO_List[[#This Row],[Terminal Tagging-Item]]&amp;"/"&amp;tbl_IO_List[[#This Row],[Front Terminal Tagging]]</f>
        <v>P1-TBRL2-8/C1S9-8</v>
      </c>
    </row>
    <row r="174" spans="1:47" hidden="1">
      <c r="A174" s="147" t="s">
        <v>1369</v>
      </c>
      <c r="B174" s="136" t="s">
        <v>114</v>
      </c>
      <c r="C174" s="136" t="str">
        <f>tbl_IO_List[[#This Row],[Column3]]</f>
        <v>C1S09,08</v>
      </c>
      <c r="D174" s="136" t="str">
        <f>tbl_IO_List[[#This Row],[Card]]</f>
        <v>1756-OB32-8</v>
      </c>
      <c r="E174" s="136" t="s">
        <v>1366</v>
      </c>
      <c r="F174" s="136" t="str">
        <f>tbl_IO_List[[#This Row],[Column23]]&amp;"-" &amp;tbl_IO_List[[#This Row],[Column52]]</f>
        <v>C1S09-X1</v>
      </c>
      <c r="G174" s="136" t="str">
        <f>tbl_IO_List[[#This Row],[PLC_Tag]]</f>
        <v>Spare_DO_0</v>
      </c>
      <c r="H174" s="136"/>
      <c r="I174" s="136" t="str">
        <f>VLOOKUP(tbl_IO_List[[#This Row],[Destination]],tbl_Junction[],2,FALSE)</f>
        <v>Infeed 2nd Floor</v>
      </c>
      <c r="J174" s="136" t="s">
        <v>114</v>
      </c>
      <c r="K174" s="136"/>
      <c r="L174" s="136" t="s">
        <v>411</v>
      </c>
      <c r="M174" s="136" t="e">
        <f>VLOOKUP(tbl_IO_List[[#This Row],[Instruement Tag]],tbl_Instruement_List[],2,FALSE)</f>
        <v>#N/A</v>
      </c>
      <c r="N174" s="136"/>
      <c r="O174" s="136"/>
      <c r="P174" s="136"/>
      <c r="Q174" s="136" t="e">
        <f>VLOOKUP(tbl_IO_List[[#This Row],[Instruement Tag]],tbl_Instruement_List[],6,FALSE)</f>
        <v>#N/A</v>
      </c>
      <c r="R174" s="136"/>
      <c r="S17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74" s="136" t="str">
        <f>tbl_IO_List[[#This Row],[Instruement Tag]]&amp;"_"&amp;tbl_IO_List[[#This Row],[I/O Type]]&amp;"_"&amp;tbl_IO_List[[#This Row],[IO-Point 
(Instruement)]]</f>
        <v>Spare_DO_0</v>
      </c>
      <c r="U174" s="136" t="s">
        <v>7</v>
      </c>
      <c r="V174" s="136">
        <f>VLOOKUP(tbl_IO_List[[#This Row],[I/O Type]],tbl_Slot_Group[],2,FALSE)</f>
        <v>2</v>
      </c>
      <c r="W174" s="136">
        <v>0</v>
      </c>
      <c r="X174" s="136" t="str">
        <f>tbl_IO_List[[#This Row],[Chassis]]&amp;"S"&amp;TEXT(tbl_IO_List[[#This Row],[Slot]],"00")</f>
        <v>C1S09</v>
      </c>
      <c r="Y174" s="136" t="str">
        <f>tbl_IO_List[[#This Row],[Chassis]]&amp;"S"&amp;TEXT(tbl_IO_List[[#This Row],[Slot]],"00")&amp;tbl_IO_List[[#This Row],[I/O Type]]&amp;TEXT(tbl_IO_List[[#This Row],[Point]],"00")</f>
        <v>C1S09DO08</v>
      </c>
      <c r="Z174" s="136" t="str">
        <f>tbl_IO_List[[#This Row],[Chassis]]&amp;"S"&amp;TEXT(tbl_IO_List[[#This Row],[Slot]],"00")&amp;","&amp;TEXT(tbl_IO_List[[#This Row],[Point]],"00")</f>
        <v>C1S09,08</v>
      </c>
      <c r="AA174" s="136" t="str">
        <f>VLOOKUP(tbl_IO_List[[#This Row],[Column23]],tbl_RackConfig[],5,FALSE) &amp;"-"&amp;tbl_IO_List[[#This Row],[Point]]</f>
        <v>1756-OB32-8</v>
      </c>
      <c r="AB174" s="136"/>
      <c r="AC174" s="136" t="s">
        <v>1370</v>
      </c>
      <c r="AD174" s="136" t="str">
        <f>tbl_IO_List[[#This Row],[I/O Type]]</f>
        <v>DO</v>
      </c>
      <c r="AE174" s="136" t="s">
        <v>1332</v>
      </c>
      <c r="AF174" s="136">
        <v>9</v>
      </c>
      <c r="AG174" s="136">
        <v>8</v>
      </c>
      <c r="AH174" s="136">
        <v>9</v>
      </c>
      <c r="AI174" s="136">
        <v>9</v>
      </c>
      <c r="AJ174" s="136">
        <v>0</v>
      </c>
      <c r="AK174" s="136">
        <v>1</v>
      </c>
      <c r="AL174" s="136">
        <v>0</v>
      </c>
      <c r="AM174" s="136">
        <v>0</v>
      </c>
      <c r="AN174" s="136">
        <v>0</v>
      </c>
      <c r="AO174" s="136"/>
      <c r="AP174" s="143" t="e">
        <f>VLOOKUP(tbl_IO_List[[#This Row],[Instruement Tag]],tbl_Instruement_List[],14,FALSE)</f>
        <v>#N/A</v>
      </c>
      <c r="AQ174" s="143" t="str">
        <f>tbl_IO_List[[#This Row],[Chassis]]&amp;"S"&amp;tbl_IO_List[[#This Row],[Slot]]&amp;"-"&amp;tbl_IO_List[[#This Row],[Front Terminal Number]]</f>
        <v>C1S9-9</v>
      </c>
      <c r="AR174" s="141" t="s">
        <v>1854</v>
      </c>
      <c r="AS174" s="136" t="str">
        <f>tbl_IO_List[[#This Row],[Terminal Tagging]]&amp;"-"&amp;tbl_IO_List[[#This Row],[Point-Count]]</f>
        <v>P1-TBRL2-9</v>
      </c>
      <c r="AT174" s="136" t="str">
        <f>tbl_IO_List[[#This Row],[Front Terminal Tagging]]&amp;"/"&amp;tbl_IO_List[[#This Row],[Terminal Tagging-Item]]</f>
        <v>C1S9-9/P1-TBRL2-9</v>
      </c>
      <c r="AU174" s="136" t="str">
        <f>tbl_IO_List[[#This Row],[Terminal Tagging-Item]]&amp;"/"&amp;tbl_IO_List[[#This Row],[Front Terminal Tagging]]</f>
        <v>P1-TBRL2-9/C1S9-9</v>
      </c>
    </row>
    <row r="175" spans="1:47" hidden="1">
      <c r="A175" s="147" t="s">
        <v>1369</v>
      </c>
      <c r="B175" s="136" t="s">
        <v>114</v>
      </c>
      <c r="C175" s="136" t="str">
        <f>tbl_IO_List[[#This Row],[Column3]]</f>
        <v>C1S09,09</v>
      </c>
      <c r="D175" s="136" t="str">
        <f>tbl_IO_List[[#This Row],[Card]]</f>
        <v>1756-OB32-9</v>
      </c>
      <c r="E175" s="136" t="s">
        <v>1366</v>
      </c>
      <c r="F175" s="136" t="str">
        <f>tbl_IO_List[[#This Row],[Column23]]&amp;"-" &amp;tbl_IO_List[[#This Row],[Column52]]</f>
        <v>C1S09-X1</v>
      </c>
      <c r="G175" s="136" t="str">
        <f>tbl_IO_List[[#This Row],[PLC_Tag]]</f>
        <v>Spare_DO_0</v>
      </c>
      <c r="H175" s="136"/>
      <c r="I175" s="136" t="str">
        <f>VLOOKUP(tbl_IO_List[[#This Row],[Destination]],tbl_Junction[],2,FALSE)</f>
        <v>Infeed 2nd Floor</v>
      </c>
      <c r="J175" s="136" t="s">
        <v>114</v>
      </c>
      <c r="K175" s="136"/>
      <c r="L175" s="136" t="s">
        <v>411</v>
      </c>
      <c r="M175" s="136" t="e">
        <f>VLOOKUP(tbl_IO_List[[#This Row],[Instruement Tag]],tbl_Instruement_List[],2,FALSE)</f>
        <v>#N/A</v>
      </c>
      <c r="N175" s="136"/>
      <c r="O175" s="136"/>
      <c r="P175" s="136"/>
      <c r="Q175" s="136" t="e">
        <f>VLOOKUP(tbl_IO_List[[#This Row],[Instruement Tag]],tbl_Instruement_List[],6,FALSE)</f>
        <v>#N/A</v>
      </c>
      <c r="R175" s="136"/>
      <c r="S17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75" s="136" t="str">
        <f>tbl_IO_List[[#This Row],[Instruement Tag]]&amp;"_"&amp;tbl_IO_List[[#This Row],[I/O Type]]&amp;"_"&amp;tbl_IO_List[[#This Row],[IO-Point 
(Instruement)]]</f>
        <v>Spare_DO_0</v>
      </c>
      <c r="U175" s="136" t="s">
        <v>7</v>
      </c>
      <c r="V175" s="136">
        <f>VLOOKUP(tbl_IO_List[[#This Row],[I/O Type]],tbl_Slot_Group[],2,FALSE)</f>
        <v>2</v>
      </c>
      <c r="W175" s="136">
        <v>0</v>
      </c>
      <c r="X175" s="136" t="str">
        <f>tbl_IO_List[[#This Row],[Chassis]]&amp;"S"&amp;TEXT(tbl_IO_List[[#This Row],[Slot]],"00")</f>
        <v>C1S09</v>
      </c>
      <c r="Y175" s="136" t="str">
        <f>tbl_IO_List[[#This Row],[Chassis]]&amp;"S"&amp;TEXT(tbl_IO_List[[#This Row],[Slot]],"00")&amp;tbl_IO_List[[#This Row],[I/O Type]]&amp;TEXT(tbl_IO_List[[#This Row],[Point]],"00")</f>
        <v>C1S09DO09</v>
      </c>
      <c r="Z175" s="136" t="str">
        <f>tbl_IO_List[[#This Row],[Chassis]]&amp;"S"&amp;TEXT(tbl_IO_List[[#This Row],[Slot]],"00")&amp;","&amp;TEXT(tbl_IO_List[[#This Row],[Point]],"00")</f>
        <v>C1S09,09</v>
      </c>
      <c r="AA175" s="136" t="str">
        <f>VLOOKUP(tbl_IO_List[[#This Row],[Column23]],tbl_RackConfig[],5,FALSE) &amp;"-"&amp;tbl_IO_List[[#This Row],[Point]]</f>
        <v>1756-OB32-9</v>
      </c>
      <c r="AB175" s="136"/>
      <c r="AC175" s="136" t="s">
        <v>1370</v>
      </c>
      <c r="AD175" s="136" t="str">
        <f>tbl_IO_List[[#This Row],[I/O Type]]</f>
        <v>DO</v>
      </c>
      <c r="AE175" s="136" t="s">
        <v>1332</v>
      </c>
      <c r="AF175" s="136">
        <v>9</v>
      </c>
      <c r="AG175" s="136">
        <v>9</v>
      </c>
      <c r="AH175" s="136">
        <v>10</v>
      </c>
      <c r="AI175" s="136">
        <v>10</v>
      </c>
      <c r="AJ175" s="136">
        <v>0</v>
      </c>
      <c r="AK175" s="136">
        <v>1</v>
      </c>
      <c r="AL175" s="136">
        <v>0</v>
      </c>
      <c r="AM175" s="136">
        <v>0</v>
      </c>
      <c r="AN175" s="136">
        <v>0</v>
      </c>
      <c r="AO175" s="136"/>
      <c r="AP175" s="143" t="e">
        <f>VLOOKUP(tbl_IO_List[[#This Row],[Instruement Tag]],tbl_Instruement_List[],14,FALSE)</f>
        <v>#N/A</v>
      </c>
      <c r="AQ175" s="143" t="str">
        <f>tbl_IO_List[[#This Row],[Chassis]]&amp;"S"&amp;tbl_IO_List[[#This Row],[Slot]]&amp;"-"&amp;tbl_IO_List[[#This Row],[Front Terminal Number]]</f>
        <v>C1S9-10</v>
      </c>
      <c r="AR175" s="141" t="s">
        <v>1854</v>
      </c>
      <c r="AS175" s="136" t="str">
        <f>tbl_IO_List[[#This Row],[Terminal Tagging]]&amp;"-"&amp;tbl_IO_List[[#This Row],[Point-Count]]</f>
        <v>P1-TBRL2-10</v>
      </c>
      <c r="AT175" s="136" t="str">
        <f>tbl_IO_List[[#This Row],[Front Terminal Tagging]]&amp;"/"&amp;tbl_IO_List[[#This Row],[Terminal Tagging-Item]]</f>
        <v>C1S9-10/P1-TBRL2-10</v>
      </c>
      <c r="AU175" s="136" t="str">
        <f>tbl_IO_List[[#This Row],[Terminal Tagging-Item]]&amp;"/"&amp;tbl_IO_List[[#This Row],[Front Terminal Tagging]]</f>
        <v>P1-TBRL2-10/C1S9-10</v>
      </c>
    </row>
    <row r="176" spans="1:47" hidden="1">
      <c r="A176" s="147" t="s">
        <v>1369</v>
      </c>
      <c r="B176" s="136" t="s">
        <v>114</v>
      </c>
      <c r="C176" s="136" t="str">
        <f>tbl_IO_List[[#This Row],[Column3]]</f>
        <v>C1S09,10</v>
      </c>
      <c r="D176" s="136" t="str">
        <f>tbl_IO_List[[#This Row],[Card]]</f>
        <v>1756-OB32-10</v>
      </c>
      <c r="E176" s="136" t="s">
        <v>1366</v>
      </c>
      <c r="F176" s="136" t="str">
        <f>tbl_IO_List[[#This Row],[Column23]]&amp;"-" &amp;tbl_IO_List[[#This Row],[Column52]]</f>
        <v>C1S09-X1</v>
      </c>
      <c r="G176" s="136" t="str">
        <f>tbl_IO_List[[#This Row],[PLC_Tag]]</f>
        <v>Spare_DO_0</v>
      </c>
      <c r="H176" s="136"/>
      <c r="I176" s="136" t="str">
        <f>VLOOKUP(tbl_IO_List[[#This Row],[Destination]],tbl_Junction[],2,FALSE)</f>
        <v>Infeed 2nd Floor</v>
      </c>
      <c r="J176" s="136" t="s">
        <v>114</v>
      </c>
      <c r="K176" s="136"/>
      <c r="L176" s="136" t="s">
        <v>411</v>
      </c>
      <c r="M176" s="136" t="e">
        <f>VLOOKUP(tbl_IO_List[[#This Row],[Instruement Tag]],tbl_Instruement_List[],2,FALSE)</f>
        <v>#N/A</v>
      </c>
      <c r="N176" s="136"/>
      <c r="O176" s="136"/>
      <c r="P176" s="136"/>
      <c r="Q176" s="136" t="e">
        <f>VLOOKUP(tbl_IO_List[[#This Row],[Instruement Tag]],tbl_Instruement_List[],6,FALSE)</f>
        <v>#N/A</v>
      </c>
      <c r="R176" s="136"/>
      <c r="S17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76" s="136" t="str">
        <f>tbl_IO_List[[#This Row],[Instruement Tag]]&amp;"_"&amp;tbl_IO_List[[#This Row],[I/O Type]]&amp;"_"&amp;tbl_IO_List[[#This Row],[IO-Point 
(Instruement)]]</f>
        <v>Spare_DO_0</v>
      </c>
      <c r="U176" s="136" t="s">
        <v>7</v>
      </c>
      <c r="V176" s="136">
        <f>VLOOKUP(tbl_IO_List[[#This Row],[I/O Type]],tbl_Slot_Group[],2,FALSE)</f>
        <v>2</v>
      </c>
      <c r="W176" s="136">
        <v>0</v>
      </c>
      <c r="X176" s="136" t="str">
        <f>tbl_IO_List[[#This Row],[Chassis]]&amp;"S"&amp;TEXT(tbl_IO_List[[#This Row],[Slot]],"00")</f>
        <v>C1S09</v>
      </c>
      <c r="Y176" s="136" t="str">
        <f>tbl_IO_List[[#This Row],[Chassis]]&amp;"S"&amp;TEXT(tbl_IO_List[[#This Row],[Slot]],"00")&amp;tbl_IO_List[[#This Row],[I/O Type]]&amp;TEXT(tbl_IO_List[[#This Row],[Point]],"00")</f>
        <v>C1S09DO10</v>
      </c>
      <c r="Z176" s="136" t="str">
        <f>tbl_IO_List[[#This Row],[Chassis]]&amp;"S"&amp;TEXT(tbl_IO_List[[#This Row],[Slot]],"00")&amp;","&amp;TEXT(tbl_IO_List[[#This Row],[Point]],"00")</f>
        <v>C1S09,10</v>
      </c>
      <c r="AA176" s="136" t="str">
        <f>VLOOKUP(tbl_IO_List[[#This Row],[Column23]],tbl_RackConfig[],5,FALSE) &amp;"-"&amp;tbl_IO_List[[#This Row],[Point]]</f>
        <v>1756-OB32-10</v>
      </c>
      <c r="AB176" s="136"/>
      <c r="AC176" s="136" t="s">
        <v>1370</v>
      </c>
      <c r="AD176" s="136" t="str">
        <f>tbl_IO_List[[#This Row],[I/O Type]]</f>
        <v>DO</v>
      </c>
      <c r="AE176" s="136" t="s">
        <v>1332</v>
      </c>
      <c r="AF176" s="136">
        <v>9</v>
      </c>
      <c r="AG176" s="136">
        <v>10</v>
      </c>
      <c r="AH176" s="136">
        <v>11</v>
      </c>
      <c r="AI176" s="136">
        <v>11</v>
      </c>
      <c r="AJ176" s="136">
        <v>0</v>
      </c>
      <c r="AK176" s="136">
        <v>1</v>
      </c>
      <c r="AL176" s="136">
        <v>0</v>
      </c>
      <c r="AM176" s="136">
        <v>0</v>
      </c>
      <c r="AN176" s="136">
        <v>0</v>
      </c>
      <c r="AO176" s="136"/>
      <c r="AP176" s="143" t="e">
        <f>VLOOKUP(tbl_IO_List[[#This Row],[Instruement Tag]],tbl_Instruement_List[],14,FALSE)</f>
        <v>#N/A</v>
      </c>
      <c r="AQ176" s="143" t="str">
        <f>tbl_IO_List[[#This Row],[Chassis]]&amp;"S"&amp;tbl_IO_List[[#This Row],[Slot]]&amp;"-"&amp;tbl_IO_List[[#This Row],[Front Terminal Number]]</f>
        <v>C1S9-11</v>
      </c>
      <c r="AR176" s="141" t="s">
        <v>1854</v>
      </c>
      <c r="AS176" s="136" t="str">
        <f>tbl_IO_List[[#This Row],[Terminal Tagging]]&amp;"-"&amp;tbl_IO_List[[#This Row],[Point-Count]]</f>
        <v>P1-TBRL2-11</v>
      </c>
      <c r="AT176" s="136" t="str">
        <f>tbl_IO_List[[#This Row],[Front Terminal Tagging]]&amp;"/"&amp;tbl_IO_List[[#This Row],[Terminal Tagging-Item]]</f>
        <v>C1S9-11/P1-TBRL2-11</v>
      </c>
      <c r="AU176" s="136" t="str">
        <f>tbl_IO_List[[#This Row],[Terminal Tagging-Item]]&amp;"/"&amp;tbl_IO_List[[#This Row],[Front Terminal Tagging]]</f>
        <v>P1-TBRL2-11/C1S9-11</v>
      </c>
    </row>
    <row r="177" spans="1:47" hidden="1">
      <c r="A177" s="147" t="s">
        <v>1369</v>
      </c>
      <c r="B177" s="136" t="s">
        <v>114</v>
      </c>
      <c r="C177" s="136" t="str">
        <f>tbl_IO_List[[#This Row],[Column3]]</f>
        <v>C1S09,11</v>
      </c>
      <c r="D177" s="136" t="str">
        <f>tbl_IO_List[[#This Row],[Card]]</f>
        <v>1756-OB32-11</v>
      </c>
      <c r="E177" s="136" t="s">
        <v>1366</v>
      </c>
      <c r="F177" s="136" t="str">
        <f>tbl_IO_List[[#This Row],[Column23]]&amp;"-" &amp;tbl_IO_List[[#This Row],[Column52]]</f>
        <v>C1S09-X1</v>
      </c>
      <c r="G177" s="136" t="str">
        <f>tbl_IO_List[[#This Row],[PLC_Tag]]</f>
        <v>Spare_DO_0</v>
      </c>
      <c r="H177" s="136"/>
      <c r="I177" s="136" t="str">
        <f>VLOOKUP(tbl_IO_List[[#This Row],[Destination]],tbl_Junction[],2,FALSE)</f>
        <v>Infeed 2nd Floor</v>
      </c>
      <c r="J177" s="136" t="s">
        <v>114</v>
      </c>
      <c r="K177" s="136"/>
      <c r="L177" s="136" t="s">
        <v>411</v>
      </c>
      <c r="M177" s="136" t="e">
        <f>VLOOKUP(tbl_IO_List[[#This Row],[Instruement Tag]],tbl_Instruement_List[],2,FALSE)</f>
        <v>#N/A</v>
      </c>
      <c r="N177" s="136"/>
      <c r="O177" s="136"/>
      <c r="P177" s="136"/>
      <c r="Q177" s="136" t="e">
        <f>VLOOKUP(tbl_IO_List[[#This Row],[Instruement Tag]],tbl_Instruement_List[],6,FALSE)</f>
        <v>#N/A</v>
      </c>
      <c r="R177" s="136"/>
      <c r="S17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77" s="136" t="str">
        <f>tbl_IO_List[[#This Row],[Instruement Tag]]&amp;"_"&amp;tbl_IO_List[[#This Row],[I/O Type]]&amp;"_"&amp;tbl_IO_List[[#This Row],[IO-Point 
(Instruement)]]</f>
        <v>Spare_DO_0</v>
      </c>
      <c r="U177" s="136" t="s">
        <v>7</v>
      </c>
      <c r="V177" s="136">
        <f>VLOOKUP(tbl_IO_List[[#This Row],[I/O Type]],tbl_Slot_Group[],2,FALSE)</f>
        <v>2</v>
      </c>
      <c r="W177" s="136">
        <v>0</v>
      </c>
      <c r="X177" s="136" t="str">
        <f>tbl_IO_List[[#This Row],[Chassis]]&amp;"S"&amp;TEXT(tbl_IO_List[[#This Row],[Slot]],"00")</f>
        <v>C1S09</v>
      </c>
      <c r="Y177" s="136" t="str">
        <f>tbl_IO_List[[#This Row],[Chassis]]&amp;"S"&amp;TEXT(tbl_IO_List[[#This Row],[Slot]],"00")&amp;tbl_IO_List[[#This Row],[I/O Type]]&amp;TEXT(tbl_IO_List[[#This Row],[Point]],"00")</f>
        <v>C1S09DO11</v>
      </c>
      <c r="Z177" s="136" t="str">
        <f>tbl_IO_List[[#This Row],[Chassis]]&amp;"S"&amp;TEXT(tbl_IO_List[[#This Row],[Slot]],"00")&amp;","&amp;TEXT(tbl_IO_List[[#This Row],[Point]],"00")</f>
        <v>C1S09,11</v>
      </c>
      <c r="AA177" s="136" t="str">
        <f>VLOOKUP(tbl_IO_List[[#This Row],[Column23]],tbl_RackConfig[],5,FALSE) &amp;"-"&amp;tbl_IO_List[[#This Row],[Point]]</f>
        <v>1756-OB32-11</v>
      </c>
      <c r="AB177" s="136"/>
      <c r="AC177" s="136" t="s">
        <v>1370</v>
      </c>
      <c r="AD177" s="136" t="str">
        <f>tbl_IO_List[[#This Row],[I/O Type]]</f>
        <v>DO</v>
      </c>
      <c r="AE177" s="136" t="s">
        <v>1332</v>
      </c>
      <c r="AF177" s="136">
        <v>9</v>
      </c>
      <c r="AG177" s="136">
        <v>11</v>
      </c>
      <c r="AH177" s="136">
        <v>12</v>
      </c>
      <c r="AI177" s="136">
        <v>12</v>
      </c>
      <c r="AJ177" s="136">
        <v>0</v>
      </c>
      <c r="AK177" s="136">
        <v>1</v>
      </c>
      <c r="AL177" s="136">
        <v>0</v>
      </c>
      <c r="AM177" s="136">
        <v>0</v>
      </c>
      <c r="AN177" s="136">
        <v>0</v>
      </c>
      <c r="AO177" s="136"/>
      <c r="AP177" s="143" t="e">
        <f>VLOOKUP(tbl_IO_List[[#This Row],[Instruement Tag]],tbl_Instruement_List[],14,FALSE)</f>
        <v>#N/A</v>
      </c>
      <c r="AQ177" s="143" t="str">
        <f>tbl_IO_List[[#This Row],[Chassis]]&amp;"S"&amp;tbl_IO_List[[#This Row],[Slot]]&amp;"-"&amp;tbl_IO_List[[#This Row],[Front Terminal Number]]</f>
        <v>C1S9-12</v>
      </c>
      <c r="AR177" s="141" t="s">
        <v>1854</v>
      </c>
      <c r="AS177" s="136" t="str">
        <f>tbl_IO_List[[#This Row],[Terminal Tagging]]&amp;"-"&amp;tbl_IO_List[[#This Row],[Point-Count]]</f>
        <v>P1-TBRL2-12</v>
      </c>
      <c r="AT177" s="136" t="str">
        <f>tbl_IO_List[[#This Row],[Front Terminal Tagging]]&amp;"/"&amp;tbl_IO_List[[#This Row],[Terminal Tagging-Item]]</f>
        <v>C1S9-12/P1-TBRL2-12</v>
      </c>
      <c r="AU177" s="136" t="str">
        <f>tbl_IO_List[[#This Row],[Terminal Tagging-Item]]&amp;"/"&amp;tbl_IO_List[[#This Row],[Front Terminal Tagging]]</f>
        <v>P1-TBRL2-12/C1S9-12</v>
      </c>
    </row>
    <row r="178" spans="1:47" hidden="1">
      <c r="A178" s="147" t="s">
        <v>1369</v>
      </c>
      <c r="B178" s="136" t="s">
        <v>114</v>
      </c>
      <c r="C178" s="136" t="str">
        <f>tbl_IO_List[[#This Row],[Column3]]</f>
        <v>C1S09,12</v>
      </c>
      <c r="D178" s="136" t="str">
        <f>tbl_IO_List[[#This Row],[Card]]</f>
        <v>1756-OB32-12</v>
      </c>
      <c r="E178" s="136" t="s">
        <v>1366</v>
      </c>
      <c r="F178" s="136" t="str">
        <f>tbl_IO_List[[#This Row],[Column23]]&amp;"-" &amp;tbl_IO_List[[#This Row],[Column52]]</f>
        <v>C1S09-X1</v>
      </c>
      <c r="G178" s="136" t="str">
        <f>tbl_IO_List[[#This Row],[PLC_Tag]]</f>
        <v>Spare_DO_0</v>
      </c>
      <c r="H178" s="136"/>
      <c r="I178" s="136" t="str">
        <f>VLOOKUP(tbl_IO_List[[#This Row],[Destination]],tbl_Junction[],2,FALSE)</f>
        <v>Infeed 2nd Floor</v>
      </c>
      <c r="J178" s="136" t="s">
        <v>114</v>
      </c>
      <c r="K178" s="136"/>
      <c r="L178" s="136" t="s">
        <v>411</v>
      </c>
      <c r="M178" s="136" t="e">
        <f>VLOOKUP(tbl_IO_List[[#This Row],[Instruement Tag]],tbl_Instruement_List[],2,FALSE)</f>
        <v>#N/A</v>
      </c>
      <c r="N178" s="136"/>
      <c r="O178" s="136"/>
      <c r="P178" s="136"/>
      <c r="Q178" s="136" t="e">
        <f>VLOOKUP(tbl_IO_List[[#This Row],[Instruement Tag]],tbl_Instruement_List[],6,FALSE)</f>
        <v>#N/A</v>
      </c>
      <c r="R178" s="136"/>
      <c r="S17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78" s="136" t="str">
        <f>tbl_IO_List[[#This Row],[Instruement Tag]]&amp;"_"&amp;tbl_IO_List[[#This Row],[I/O Type]]&amp;"_"&amp;tbl_IO_List[[#This Row],[IO-Point 
(Instruement)]]</f>
        <v>Spare_DO_0</v>
      </c>
      <c r="U178" s="136" t="s">
        <v>7</v>
      </c>
      <c r="V178" s="136">
        <f>VLOOKUP(tbl_IO_List[[#This Row],[I/O Type]],tbl_Slot_Group[],2,FALSE)</f>
        <v>2</v>
      </c>
      <c r="W178" s="136">
        <v>0</v>
      </c>
      <c r="X178" s="136" t="str">
        <f>tbl_IO_List[[#This Row],[Chassis]]&amp;"S"&amp;TEXT(tbl_IO_List[[#This Row],[Slot]],"00")</f>
        <v>C1S09</v>
      </c>
      <c r="Y178" s="136" t="str">
        <f>tbl_IO_List[[#This Row],[Chassis]]&amp;"S"&amp;TEXT(tbl_IO_List[[#This Row],[Slot]],"00")&amp;tbl_IO_List[[#This Row],[I/O Type]]&amp;TEXT(tbl_IO_List[[#This Row],[Point]],"00")</f>
        <v>C1S09DO12</v>
      </c>
      <c r="Z178" s="136" t="str">
        <f>tbl_IO_List[[#This Row],[Chassis]]&amp;"S"&amp;TEXT(tbl_IO_List[[#This Row],[Slot]],"00")&amp;","&amp;TEXT(tbl_IO_List[[#This Row],[Point]],"00")</f>
        <v>C1S09,12</v>
      </c>
      <c r="AA178" s="136" t="str">
        <f>VLOOKUP(tbl_IO_List[[#This Row],[Column23]],tbl_RackConfig[],5,FALSE) &amp;"-"&amp;tbl_IO_List[[#This Row],[Point]]</f>
        <v>1756-OB32-12</v>
      </c>
      <c r="AB178" s="136"/>
      <c r="AC178" s="136" t="s">
        <v>1370</v>
      </c>
      <c r="AD178" s="136" t="str">
        <f>tbl_IO_List[[#This Row],[I/O Type]]</f>
        <v>DO</v>
      </c>
      <c r="AE178" s="136" t="s">
        <v>1332</v>
      </c>
      <c r="AF178" s="136">
        <v>9</v>
      </c>
      <c r="AG178" s="136">
        <v>12</v>
      </c>
      <c r="AH178" s="136">
        <v>13</v>
      </c>
      <c r="AI178" s="136">
        <v>13</v>
      </c>
      <c r="AJ178" s="136">
        <v>0</v>
      </c>
      <c r="AK178" s="136">
        <v>1</v>
      </c>
      <c r="AL178" s="136">
        <v>0</v>
      </c>
      <c r="AM178" s="136">
        <v>0</v>
      </c>
      <c r="AN178" s="136">
        <v>0</v>
      </c>
      <c r="AO178" s="136"/>
      <c r="AP178" s="143" t="e">
        <f>VLOOKUP(tbl_IO_List[[#This Row],[Instruement Tag]],tbl_Instruement_List[],14,FALSE)</f>
        <v>#N/A</v>
      </c>
      <c r="AQ178" s="143" t="str">
        <f>tbl_IO_List[[#This Row],[Chassis]]&amp;"S"&amp;tbl_IO_List[[#This Row],[Slot]]&amp;"-"&amp;tbl_IO_List[[#This Row],[Front Terminal Number]]</f>
        <v>C1S9-13</v>
      </c>
      <c r="AR178" s="141" t="s">
        <v>1854</v>
      </c>
      <c r="AS178" s="136" t="str">
        <f>tbl_IO_List[[#This Row],[Terminal Tagging]]&amp;"-"&amp;tbl_IO_List[[#This Row],[Point-Count]]</f>
        <v>P1-TBRL2-13</v>
      </c>
      <c r="AT178" s="136" t="str">
        <f>tbl_IO_List[[#This Row],[Front Terminal Tagging]]&amp;"/"&amp;tbl_IO_List[[#This Row],[Terminal Tagging-Item]]</f>
        <v>C1S9-13/P1-TBRL2-13</v>
      </c>
      <c r="AU178" s="136" t="str">
        <f>tbl_IO_List[[#This Row],[Terminal Tagging-Item]]&amp;"/"&amp;tbl_IO_List[[#This Row],[Front Terminal Tagging]]</f>
        <v>P1-TBRL2-13/C1S9-13</v>
      </c>
    </row>
    <row r="179" spans="1:47" hidden="1">
      <c r="A179" s="147" t="s">
        <v>1369</v>
      </c>
      <c r="B179" s="136" t="s">
        <v>114</v>
      </c>
      <c r="C179" s="136" t="str">
        <f>tbl_IO_List[[#This Row],[Column3]]</f>
        <v>C1S09,13</v>
      </c>
      <c r="D179" s="136" t="str">
        <f>tbl_IO_List[[#This Row],[Card]]</f>
        <v>1756-OB32-13</v>
      </c>
      <c r="E179" s="136" t="s">
        <v>1366</v>
      </c>
      <c r="F179" s="136" t="str">
        <f>tbl_IO_List[[#This Row],[Column23]]&amp;"-" &amp;tbl_IO_List[[#This Row],[Column52]]</f>
        <v>C1S09-X1</v>
      </c>
      <c r="G179" s="136" t="str">
        <f>tbl_IO_List[[#This Row],[PLC_Tag]]</f>
        <v>Spare_DO_0</v>
      </c>
      <c r="H179" s="136"/>
      <c r="I179" s="136" t="str">
        <f>VLOOKUP(tbl_IO_List[[#This Row],[Destination]],tbl_Junction[],2,FALSE)</f>
        <v>Infeed 2nd Floor</v>
      </c>
      <c r="J179" s="136" t="s">
        <v>114</v>
      </c>
      <c r="K179" s="136"/>
      <c r="L179" s="136" t="s">
        <v>411</v>
      </c>
      <c r="M179" s="136" t="e">
        <f>VLOOKUP(tbl_IO_List[[#This Row],[Instruement Tag]],tbl_Instruement_List[],2,FALSE)</f>
        <v>#N/A</v>
      </c>
      <c r="N179" s="136"/>
      <c r="O179" s="136"/>
      <c r="P179" s="136"/>
      <c r="Q179" s="136" t="e">
        <f>VLOOKUP(tbl_IO_List[[#This Row],[Instruement Tag]],tbl_Instruement_List[],6,FALSE)</f>
        <v>#N/A</v>
      </c>
      <c r="R179" s="136"/>
      <c r="S17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79" s="136" t="str">
        <f>tbl_IO_List[[#This Row],[Instruement Tag]]&amp;"_"&amp;tbl_IO_List[[#This Row],[I/O Type]]&amp;"_"&amp;tbl_IO_List[[#This Row],[IO-Point 
(Instruement)]]</f>
        <v>Spare_DO_0</v>
      </c>
      <c r="U179" s="136" t="s">
        <v>7</v>
      </c>
      <c r="V179" s="136">
        <f>VLOOKUP(tbl_IO_List[[#This Row],[I/O Type]],tbl_Slot_Group[],2,FALSE)</f>
        <v>2</v>
      </c>
      <c r="W179" s="136">
        <v>0</v>
      </c>
      <c r="X179" s="136" t="str">
        <f>tbl_IO_List[[#This Row],[Chassis]]&amp;"S"&amp;TEXT(tbl_IO_List[[#This Row],[Slot]],"00")</f>
        <v>C1S09</v>
      </c>
      <c r="Y179" s="136" t="str">
        <f>tbl_IO_List[[#This Row],[Chassis]]&amp;"S"&amp;TEXT(tbl_IO_List[[#This Row],[Slot]],"00")&amp;tbl_IO_List[[#This Row],[I/O Type]]&amp;TEXT(tbl_IO_List[[#This Row],[Point]],"00")</f>
        <v>C1S09DO13</v>
      </c>
      <c r="Z179" s="136" t="str">
        <f>tbl_IO_List[[#This Row],[Chassis]]&amp;"S"&amp;TEXT(tbl_IO_List[[#This Row],[Slot]],"00")&amp;","&amp;TEXT(tbl_IO_List[[#This Row],[Point]],"00")</f>
        <v>C1S09,13</v>
      </c>
      <c r="AA179" s="136" t="str">
        <f>VLOOKUP(tbl_IO_List[[#This Row],[Column23]],tbl_RackConfig[],5,FALSE) &amp;"-"&amp;tbl_IO_List[[#This Row],[Point]]</f>
        <v>1756-OB32-13</v>
      </c>
      <c r="AB179" s="136"/>
      <c r="AC179" s="136" t="s">
        <v>1370</v>
      </c>
      <c r="AD179" s="136" t="str">
        <f>tbl_IO_List[[#This Row],[I/O Type]]</f>
        <v>DO</v>
      </c>
      <c r="AE179" s="136" t="s">
        <v>1332</v>
      </c>
      <c r="AF179" s="136">
        <v>9</v>
      </c>
      <c r="AG179" s="136">
        <v>13</v>
      </c>
      <c r="AH179" s="136">
        <v>14</v>
      </c>
      <c r="AI179" s="136">
        <v>14</v>
      </c>
      <c r="AJ179" s="136">
        <v>0</v>
      </c>
      <c r="AK179" s="136">
        <v>1</v>
      </c>
      <c r="AL179" s="136">
        <v>0</v>
      </c>
      <c r="AM179" s="136">
        <v>0</v>
      </c>
      <c r="AN179" s="136">
        <v>0</v>
      </c>
      <c r="AO179" s="136"/>
      <c r="AP179" s="143" t="e">
        <f>VLOOKUP(tbl_IO_List[[#This Row],[Instruement Tag]],tbl_Instruement_List[],14,FALSE)</f>
        <v>#N/A</v>
      </c>
      <c r="AQ179" s="143" t="str">
        <f>tbl_IO_List[[#This Row],[Chassis]]&amp;"S"&amp;tbl_IO_List[[#This Row],[Slot]]&amp;"-"&amp;tbl_IO_List[[#This Row],[Front Terminal Number]]</f>
        <v>C1S9-14</v>
      </c>
      <c r="AR179" s="141" t="s">
        <v>1854</v>
      </c>
      <c r="AS179" s="136" t="str">
        <f>tbl_IO_List[[#This Row],[Terminal Tagging]]&amp;"-"&amp;tbl_IO_List[[#This Row],[Point-Count]]</f>
        <v>P1-TBRL2-14</v>
      </c>
      <c r="AT179" s="136" t="str">
        <f>tbl_IO_List[[#This Row],[Front Terminal Tagging]]&amp;"/"&amp;tbl_IO_List[[#This Row],[Terminal Tagging-Item]]</f>
        <v>C1S9-14/P1-TBRL2-14</v>
      </c>
      <c r="AU179" s="136" t="str">
        <f>tbl_IO_List[[#This Row],[Terminal Tagging-Item]]&amp;"/"&amp;tbl_IO_List[[#This Row],[Front Terminal Tagging]]</f>
        <v>P1-TBRL2-14/C1S9-14</v>
      </c>
    </row>
    <row r="180" spans="1:47" hidden="1">
      <c r="A180" s="147" t="s">
        <v>1369</v>
      </c>
      <c r="B180" s="136" t="s">
        <v>114</v>
      </c>
      <c r="C180" s="136" t="str">
        <f>tbl_IO_List[[#This Row],[Column3]]</f>
        <v>C1S09,14</v>
      </c>
      <c r="D180" s="136" t="str">
        <f>tbl_IO_List[[#This Row],[Card]]</f>
        <v>1756-OB32-14</v>
      </c>
      <c r="E180" s="136" t="s">
        <v>1366</v>
      </c>
      <c r="F180" s="136" t="str">
        <f>tbl_IO_List[[#This Row],[Column23]]&amp;"-" &amp;tbl_IO_List[[#This Row],[Column52]]</f>
        <v>C1S09-X1</v>
      </c>
      <c r="G180" s="136" t="str">
        <f>tbl_IO_List[[#This Row],[PLC_Tag]]</f>
        <v>Spare_DO_0</v>
      </c>
      <c r="H180" s="136"/>
      <c r="I180" s="136" t="str">
        <f>VLOOKUP(tbl_IO_List[[#This Row],[Destination]],tbl_Junction[],2,FALSE)</f>
        <v>Infeed 2nd Floor</v>
      </c>
      <c r="J180" s="136" t="s">
        <v>114</v>
      </c>
      <c r="K180" s="136"/>
      <c r="L180" s="136" t="s">
        <v>411</v>
      </c>
      <c r="M180" s="136" t="e">
        <f>VLOOKUP(tbl_IO_List[[#This Row],[Instruement Tag]],tbl_Instruement_List[],2,FALSE)</f>
        <v>#N/A</v>
      </c>
      <c r="N180" s="136"/>
      <c r="O180" s="136"/>
      <c r="P180" s="136"/>
      <c r="Q180" s="136" t="e">
        <f>VLOOKUP(tbl_IO_List[[#This Row],[Instruement Tag]],tbl_Instruement_List[],6,FALSE)</f>
        <v>#N/A</v>
      </c>
      <c r="R180" s="136"/>
      <c r="S18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80" s="136" t="str">
        <f>tbl_IO_List[[#This Row],[Instruement Tag]]&amp;"_"&amp;tbl_IO_List[[#This Row],[I/O Type]]&amp;"_"&amp;tbl_IO_List[[#This Row],[IO-Point 
(Instruement)]]</f>
        <v>Spare_DO_0</v>
      </c>
      <c r="U180" s="136" t="s">
        <v>7</v>
      </c>
      <c r="V180" s="136">
        <f>VLOOKUP(tbl_IO_List[[#This Row],[I/O Type]],tbl_Slot_Group[],2,FALSE)</f>
        <v>2</v>
      </c>
      <c r="W180" s="136">
        <v>0</v>
      </c>
      <c r="X180" s="136" t="str">
        <f>tbl_IO_List[[#This Row],[Chassis]]&amp;"S"&amp;TEXT(tbl_IO_List[[#This Row],[Slot]],"00")</f>
        <v>C1S09</v>
      </c>
      <c r="Y180" s="136" t="str">
        <f>tbl_IO_List[[#This Row],[Chassis]]&amp;"S"&amp;TEXT(tbl_IO_List[[#This Row],[Slot]],"00")&amp;tbl_IO_List[[#This Row],[I/O Type]]&amp;TEXT(tbl_IO_List[[#This Row],[Point]],"00")</f>
        <v>C1S09DO14</v>
      </c>
      <c r="Z180" s="136" t="str">
        <f>tbl_IO_List[[#This Row],[Chassis]]&amp;"S"&amp;TEXT(tbl_IO_List[[#This Row],[Slot]],"00")&amp;","&amp;TEXT(tbl_IO_List[[#This Row],[Point]],"00")</f>
        <v>C1S09,14</v>
      </c>
      <c r="AA180" s="136" t="str">
        <f>VLOOKUP(tbl_IO_List[[#This Row],[Column23]],tbl_RackConfig[],5,FALSE) &amp;"-"&amp;tbl_IO_List[[#This Row],[Point]]</f>
        <v>1756-OB32-14</v>
      </c>
      <c r="AB180" s="136"/>
      <c r="AC180" s="136" t="s">
        <v>1370</v>
      </c>
      <c r="AD180" s="136" t="str">
        <f>tbl_IO_List[[#This Row],[I/O Type]]</f>
        <v>DO</v>
      </c>
      <c r="AE180" s="136" t="s">
        <v>1332</v>
      </c>
      <c r="AF180" s="136">
        <v>9</v>
      </c>
      <c r="AG180" s="136">
        <v>14</v>
      </c>
      <c r="AH180" s="136">
        <v>15</v>
      </c>
      <c r="AI180" s="136">
        <v>15</v>
      </c>
      <c r="AJ180" s="136">
        <v>0</v>
      </c>
      <c r="AK180" s="136">
        <v>1</v>
      </c>
      <c r="AL180" s="136">
        <v>0</v>
      </c>
      <c r="AM180" s="136">
        <v>0</v>
      </c>
      <c r="AN180" s="136">
        <v>0</v>
      </c>
      <c r="AO180" s="136"/>
      <c r="AP180" s="143" t="e">
        <f>VLOOKUP(tbl_IO_List[[#This Row],[Instruement Tag]],tbl_Instruement_List[],14,FALSE)</f>
        <v>#N/A</v>
      </c>
      <c r="AQ180" s="143" t="str">
        <f>tbl_IO_List[[#This Row],[Chassis]]&amp;"S"&amp;tbl_IO_List[[#This Row],[Slot]]&amp;"-"&amp;tbl_IO_List[[#This Row],[Front Terminal Number]]</f>
        <v>C1S9-15</v>
      </c>
      <c r="AR180" s="141" t="s">
        <v>1854</v>
      </c>
      <c r="AS180" s="136" t="str">
        <f>tbl_IO_List[[#This Row],[Terminal Tagging]]&amp;"-"&amp;tbl_IO_List[[#This Row],[Point-Count]]</f>
        <v>P1-TBRL2-15</v>
      </c>
      <c r="AT180" s="136" t="str">
        <f>tbl_IO_List[[#This Row],[Front Terminal Tagging]]&amp;"/"&amp;tbl_IO_List[[#This Row],[Terminal Tagging-Item]]</f>
        <v>C1S9-15/P1-TBRL2-15</v>
      </c>
      <c r="AU180" s="136" t="str">
        <f>tbl_IO_List[[#This Row],[Terminal Tagging-Item]]&amp;"/"&amp;tbl_IO_List[[#This Row],[Front Terminal Tagging]]</f>
        <v>P1-TBRL2-15/C1S9-15</v>
      </c>
    </row>
    <row r="181" spans="1:47" hidden="1">
      <c r="A181" s="147" t="s">
        <v>1369</v>
      </c>
      <c r="B181" s="136" t="s">
        <v>114</v>
      </c>
      <c r="C181" s="136" t="str">
        <f>tbl_IO_List[[#This Row],[Column3]]</f>
        <v>C1S09,15</v>
      </c>
      <c r="D181" s="136" t="str">
        <f>tbl_IO_List[[#This Row],[Card]]</f>
        <v>1756-OB32-15</v>
      </c>
      <c r="E181" s="136" t="s">
        <v>1366</v>
      </c>
      <c r="F181" s="136" t="str">
        <f>tbl_IO_List[[#This Row],[Column23]]&amp;"-" &amp;tbl_IO_List[[#This Row],[Column52]]</f>
        <v>C1S09-X1</v>
      </c>
      <c r="G181" s="136" t="str">
        <f>tbl_IO_List[[#This Row],[PLC_Tag]]</f>
        <v>Spare_DO_0</v>
      </c>
      <c r="H181" s="136"/>
      <c r="I181" s="136" t="str">
        <f>VLOOKUP(tbl_IO_List[[#This Row],[Destination]],tbl_Junction[],2,FALSE)</f>
        <v>Infeed 2nd Floor</v>
      </c>
      <c r="J181" s="136" t="s">
        <v>114</v>
      </c>
      <c r="K181" s="136"/>
      <c r="L181" s="136" t="s">
        <v>411</v>
      </c>
      <c r="M181" s="136" t="e">
        <f>VLOOKUP(tbl_IO_List[[#This Row],[Instruement Tag]],tbl_Instruement_List[],2,FALSE)</f>
        <v>#N/A</v>
      </c>
      <c r="N181" s="136"/>
      <c r="O181" s="136"/>
      <c r="P181" s="136"/>
      <c r="Q181" s="136" t="e">
        <f>VLOOKUP(tbl_IO_List[[#This Row],[Instruement Tag]],tbl_Instruement_List[],6,FALSE)</f>
        <v>#N/A</v>
      </c>
      <c r="R181" s="136"/>
      <c r="S18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81" s="136" t="str">
        <f>tbl_IO_List[[#This Row],[Instruement Tag]]&amp;"_"&amp;tbl_IO_List[[#This Row],[I/O Type]]&amp;"_"&amp;tbl_IO_List[[#This Row],[IO-Point 
(Instruement)]]</f>
        <v>Spare_DO_0</v>
      </c>
      <c r="U181" s="136" t="s">
        <v>7</v>
      </c>
      <c r="V181" s="136">
        <f>VLOOKUP(tbl_IO_List[[#This Row],[I/O Type]],tbl_Slot_Group[],2,FALSE)</f>
        <v>2</v>
      </c>
      <c r="W181" s="136">
        <v>0</v>
      </c>
      <c r="X181" s="136" t="str">
        <f>tbl_IO_List[[#This Row],[Chassis]]&amp;"S"&amp;TEXT(tbl_IO_List[[#This Row],[Slot]],"00")</f>
        <v>C1S09</v>
      </c>
      <c r="Y181" s="136" t="str">
        <f>tbl_IO_List[[#This Row],[Chassis]]&amp;"S"&amp;TEXT(tbl_IO_List[[#This Row],[Slot]],"00")&amp;tbl_IO_List[[#This Row],[I/O Type]]&amp;TEXT(tbl_IO_List[[#This Row],[Point]],"00")</f>
        <v>C1S09DO15</v>
      </c>
      <c r="Z181" s="136" t="str">
        <f>tbl_IO_List[[#This Row],[Chassis]]&amp;"S"&amp;TEXT(tbl_IO_List[[#This Row],[Slot]],"00")&amp;","&amp;TEXT(tbl_IO_List[[#This Row],[Point]],"00")</f>
        <v>C1S09,15</v>
      </c>
      <c r="AA181" s="136" t="str">
        <f>VLOOKUP(tbl_IO_List[[#This Row],[Column23]],tbl_RackConfig[],5,FALSE) &amp;"-"&amp;tbl_IO_List[[#This Row],[Point]]</f>
        <v>1756-OB32-15</v>
      </c>
      <c r="AB181" s="136"/>
      <c r="AC181" s="136" t="s">
        <v>1370</v>
      </c>
      <c r="AD181" s="136" t="str">
        <f>tbl_IO_List[[#This Row],[I/O Type]]</f>
        <v>DO</v>
      </c>
      <c r="AE181" s="136" t="s">
        <v>1332</v>
      </c>
      <c r="AF181" s="136">
        <v>9</v>
      </c>
      <c r="AG181" s="136">
        <v>15</v>
      </c>
      <c r="AH181" s="136">
        <v>16</v>
      </c>
      <c r="AI181" s="136">
        <v>16</v>
      </c>
      <c r="AJ181" s="136">
        <v>0</v>
      </c>
      <c r="AK181" s="136">
        <v>1</v>
      </c>
      <c r="AL181" s="136">
        <v>0</v>
      </c>
      <c r="AM181" s="136">
        <v>0</v>
      </c>
      <c r="AN181" s="136">
        <v>0</v>
      </c>
      <c r="AO181" s="136"/>
      <c r="AP181" s="143" t="e">
        <f>VLOOKUP(tbl_IO_List[[#This Row],[Instruement Tag]],tbl_Instruement_List[],14,FALSE)</f>
        <v>#N/A</v>
      </c>
      <c r="AQ181" s="143" t="str">
        <f>tbl_IO_List[[#This Row],[Chassis]]&amp;"S"&amp;tbl_IO_List[[#This Row],[Slot]]&amp;"-"&amp;tbl_IO_List[[#This Row],[Front Terminal Number]]</f>
        <v>C1S9-16</v>
      </c>
      <c r="AR181" s="141" t="s">
        <v>1854</v>
      </c>
      <c r="AS181" s="136" t="str">
        <f>tbl_IO_List[[#This Row],[Terminal Tagging]]&amp;"-"&amp;tbl_IO_List[[#This Row],[Point-Count]]</f>
        <v>P1-TBRL2-16</v>
      </c>
      <c r="AT181" s="136" t="str">
        <f>tbl_IO_List[[#This Row],[Front Terminal Tagging]]&amp;"/"&amp;tbl_IO_List[[#This Row],[Terminal Tagging-Item]]</f>
        <v>C1S9-16/P1-TBRL2-16</v>
      </c>
      <c r="AU181" s="136" t="str">
        <f>tbl_IO_List[[#This Row],[Terminal Tagging-Item]]&amp;"/"&amp;tbl_IO_List[[#This Row],[Front Terminal Tagging]]</f>
        <v>P1-TBRL2-16/C1S9-16</v>
      </c>
    </row>
    <row r="182" spans="1:47" hidden="1">
      <c r="A182" s="147" t="s">
        <v>1369</v>
      </c>
      <c r="B182" s="136" t="s">
        <v>191</v>
      </c>
      <c r="C182" s="136" t="str">
        <f>tbl_IO_List[[#This Row],[Column3]]</f>
        <v>C1S09,16</v>
      </c>
      <c r="D182" s="136" t="str">
        <f>tbl_IO_List[[#This Row],[Card]]</f>
        <v>1756-OB32-16</v>
      </c>
      <c r="E182" s="136" t="s">
        <v>1372</v>
      </c>
      <c r="F182" s="136" t="str">
        <f>tbl_IO_List[[#This Row],[Column23]]&amp;"-" &amp;tbl_IO_List[[#This Row],[Column52]]</f>
        <v>C1S09-X2</v>
      </c>
      <c r="G182" s="136" t="str">
        <f>tbl_IO_List[[#This Row],[PLC_Tag]]</f>
        <v>SV-60201_DO_1</v>
      </c>
      <c r="H182" s="136"/>
      <c r="I182" s="136" t="str">
        <f>VLOOKUP(tbl_IO_List[[#This Row],[Destination]],tbl_Junction[],2,FALSE)</f>
        <v>Spray Dryer 1st Floor</v>
      </c>
      <c r="J182" s="136" t="s">
        <v>191</v>
      </c>
      <c r="K182" s="136" t="s">
        <v>14</v>
      </c>
      <c r="L182" s="136" t="s">
        <v>212</v>
      </c>
      <c r="M182" s="136">
        <f>VLOOKUP(tbl_IO_List[[#This Row],[Instruement Tag]],tbl_Instruement_List[],2,FALSE)</f>
        <v>0</v>
      </c>
      <c r="N182" s="136" t="s">
        <v>15</v>
      </c>
      <c r="O182" s="136" t="s">
        <v>192</v>
      </c>
      <c r="P182" s="136" t="s">
        <v>193</v>
      </c>
      <c r="Q182" s="136" t="str">
        <f>VLOOKUP(tbl_IO_List[[#This Row],[Instruement Tag]],tbl_Instruement_List[],6,FALSE)</f>
        <v>PA On/Off Valve for Cyclone-21 Rotary Valve (RVAL-21)</v>
      </c>
      <c r="R182" s="136"/>
      <c r="S18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182" s="136" t="str">
        <f>tbl_IO_List[[#This Row],[Instruement Tag]]&amp;"_"&amp;tbl_IO_List[[#This Row],[I/O Type]]&amp;"_"&amp;tbl_IO_List[[#This Row],[IO-Point 
(Instruement)]]</f>
        <v>SV-60201_DO_1</v>
      </c>
      <c r="U182" s="136" t="s">
        <v>7</v>
      </c>
      <c r="V182" s="136">
        <f>VLOOKUP(tbl_IO_List[[#This Row],[I/O Type]],tbl_Slot_Group[],2,FALSE)</f>
        <v>2</v>
      </c>
      <c r="W182" s="136">
        <v>1</v>
      </c>
      <c r="X182" s="136" t="str">
        <f>tbl_IO_List[[#This Row],[Chassis]]&amp;"S"&amp;TEXT(tbl_IO_List[[#This Row],[Slot]],"00")</f>
        <v>C1S09</v>
      </c>
      <c r="Y182" s="136" t="str">
        <f>tbl_IO_List[[#This Row],[Chassis]]&amp;"S"&amp;TEXT(tbl_IO_List[[#This Row],[Slot]],"00")&amp;tbl_IO_List[[#This Row],[I/O Type]]&amp;TEXT(tbl_IO_List[[#This Row],[Point]],"00")</f>
        <v>C1S09DO16</v>
      </c>
      <c r="Z182" s="136" t="str">
        <f>tbl_IO_List[[#This Row],[Chassis]]&amp;"S"&amp;TEXT(tbl_IO_List[[#This Row],[Slot]],"00")&amp;","&amp;TEXT(tbl_IO_List[[#This Row],[Point]],"00")</f>
        <v>C1S09,16</v>
      </c>
      <c r="AA182" s="136" t="str">
        <f>VLOOKUP(tbl_IO_List[[#This Row],[Column23]],tbl_RackConfig[],5,FALSE) &amp;"-"&amp;tbl_IO_List[[#This Row],[Point]]</f>
        <v>1756-OB32-16</v>
      </c>
      <c r="AB182" s="136"/>
      <c r="AC182" s="136" t="s">
        <v>1370</v>
      </c>
      <c r="AD182" s="136" t="str">
        <f>tbl_IO_List[[#This Row],[I/O Type]]</f>
        <v>DO</v>
      </c>
      <c r="AE182" s="136" t="s">
        <v>1332</v>
      </c>
      <c r="AF182" s="136">
        <v>9</v>
      </c>
      <c r="AG182" s="136">
        <v>16</v>
      </c>
      <c r="AH182" s="136">
        <v>17</v>
      </c>
      <c r="AI182" s="136">
        <v>19</v>
      </c>
      <c r="AJ182" s="136">
        <v>2</v>
      </c>
      <c r="AK182" s="136">
        <v>1</v>
      </c>
      <c r="AL182" s="136">
        <v>0</v>
      </c>
      <c r="AM182" s="136">
        <v>0</v>
      </c>
      <c r="AN182" s="136">
        <v>0</v>
      </c>
      <c r="AO182" s="136"/>
      <c r="AP182" s="143" t="str">
        <f>VLOOKUP(tbl_IO_List[[#This Row],[Instruement Tag]],tbl_Instruement_List[],14,FALSE)</f>
        <v>24 VDC energized</v>
      </c>
      <c r="AQ182" s="143" t="str">
        <f>tbl_IO_List[[#This Row],[Chassis]]&amp;"S"&amp;tbl_IO_List[[#This Row],[Slot]]&amp;"-"&amp;tbl_IO_List[[#This Row],[Front Terminal Number]]</f>
        <v>C1S9-19</v>
      </c>
      <c r="AR182" s="141" t="s">
        <v>1854</v>
      </c>
      <c r="AS182" s="136" t="str">
        <f>tbl_IO_List[[#This Row],[Terminal Tagging]]&amp;"-"&amp;tbl_IO_List[[#This Row],[Point-Count]]</f>
        <v>P1-TBRL2-17</v>
      </c>
      <c r="AT182" s="136" t="str">
        <f>tbl_IO_List[[#This Row],[Front Terminal Tagging]]&amp;"/"&amp;tbl_IO_List[[#This Row],[Terminal Tagging-Item]]</f>
        <v>C1S9-19/P1-TBRL2-17</v>
      </c>
      <c r="AU182" s="136" t="str">
        <f>tbl_IO_List[[#This Row],[Terminal Tagging-Item]]&amp;"/"&amp;tbl_IO_List[[#This Row],[Front Terminal Tagging]]</f>
        <v>P1-TBRL2-17/C1S9-19</v>
      </c>
    </row>
    <row r="183" spans="1:47" hidden="1">
      <c r="A183" s="147" t="s">
        <v>1369</v>
      </c>
      <c r="B183" s="136" t="s">
        <v>191</v>
      </c>
      <c r="C183" s="136" t="str">
        <f>tbl_IO_List[[#This Row],[Column3]]</f>
        <v>C1S09,17</v>
      </c>
      <c r="D183" s="136" t="str">
        <f>tbl_IO_List[[#This Row],[Card]]</f>
        <v>1756-OB32-17</v>
      </c>
      <c r="E183" s="136" t="s">
        <v>1372</v>
      </c>
      <c r="F183" s="136" t="str">
        <f>tbl_IO_List[[#This Row],[Column23]]&amp;"-" &amp;tbl_IO_List[[#This Row],[Column52]]</f>
        <v>C1S09-X2</v>
      </c>
      <c r="G183" s="136" t="str">
        <f>tbl_IO_List[[#This Row],[PLC_Tag]]</f>
        <v>SV-60202_DO_1</v>
      </c>
      <c r="H183" s="136"/>
      <c r="I183" s="136" t="str">
        <f>VLOOKUP(tbl_IO_List[[#This Row],[Destination]],tbl_Junction[],2,FALSE)</f>
        <v>Spray Dryer 1st Floor</v>
      </c>
      <c r="J183" s="136" t="s">
        <v>191</v>
      </c>
      <c r="K183" s="136" t="s">
        <v>14</v>
      </c>
      <c r="L183" s="136" t="s">
        <v>213</v>
      </c>
      <c r="M183" s="136">
        <f>VLOOKUP(tbl_IO_List[[#This Row],[Instruement Tag]],tbl_Instruement_List[],2,FALSE)</f>
        <v>0</v>
      </c>
      <c r="N183" s="136" t="s">
        <v>15</v>
      </c>
      <c r="O183" s="136" t="s">
        <v>192</v>
      </c>
      <c r="P183" s="136" t="s">
        <v>193</v>
      </c>
      <c r="Q183" s="136" t="str">
        <f>VLOOKUP(tbl_IO_List[[#This Row],[Instruement Tag]],tbl_Instruement_List[],6,FALSE)</f>
        <v>PA On/Off Valve for Cyclone-22 Rotary Valve (RVAL-22)</v>
      </c>
      <c r="R183" s="136"/>
      <c r="S18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183" s="136" t="str">
        <f>tbl_IO_List[[#This Row],[Instruement Tag]]&amp;"_"&amp;tbl_IO_List[[#This Row],[I/O Type]]&amp;"_"&amp;tbl_IO_List[[#This Row],[IO-Point 
(Instruement)]]</f>
        <v>SV-60202_DO_1</v>
      </c>
      <c r="U183" s="136" t="s">
        <v>7</v>
      </c>
      <c r="V183" s="136">
        <f>VLOOKUP(tbl_IO_List[[#This Row],[I/O Type]],tbl_Slot_Group[],2,FALSE)</f>
        <v>2</v>
      </c>
      <c r="W183" s="136">
        <v>1</v>
      </c>
      <c r="X183" s="136" t="str">
        <f>tbl_IO_List[[#This Row],[Chassis]]&amp;"S"&amp;TEXT(tbl_IO_List[[#This Row],[Slot]],"00")</f>
        <v>C1S09</v>
      </c>
      <c r="Y183" s="136" t="str">
        <f>tbl_IO_List[[#This Row],[Chassis]]&amp;"S"&amp;TEXT(tbl_IO_List[[#This Row],[Slot]],"00")&amp;tbl_IO_List[[#This Row],[I/O Type]]&amp;TEXT(tbl_IO_List[[#This Row],[Point]],"00")</f>
        <v>C1S09DO17</v>
      </c>
      <c r="Z183" s="136" t="str">
        <f>tbl_IO_List[[#This Row],[Chassis]]&amp;"S"&amp;TEXT(tbl_IO_List[[#This Row],[Slot]],"00")&amp;","&amp;TEXT(tbl_IO_List[[#This Row],[Point]],"00")</f>
        <v>C1S09,17</v>
      </c>
      <c r="AA183" s="136" t="str">
        <f>VLOOKUP(tbl_IO_List[[#This Row],[Column23]],tbl_RackConfig[],5,FALSE) &amp;"-"&amp;tbl_IO_List[[#This Row],[Point]]</f>
        <v>1756-OB32-17</v>
      </c>
      <c r="AB183" s="136"/>
      <c r="AC183" s="136" t="s">
        <v>1370</v>
      </c>
      <c r="AD183" s="136" t="str">
        <f>tbl_IO_List[[#This Row],[I/O Type]]</f>
        <v>DO</v>
      </c>
      <c r="AE183" s="136" t="s">
        <v>1332</v>
      </c>
      <c r="AF183" s="136">
        <v>9</v>
      </c>
      <c r="AG183" s="136">
        <v>17</v>
      </c>
      <c r="AH183" s="136">
        <v>18</v>
      </c>
      <c r="AI183" s="136">
        <v>20</v>
      </c>
      <c r="AJ183" s="136">
        <v>2</v>
      </c>
      <c r="AK183" s="136">
        <v>1</v>
      </c>
      <c r="AL183" s="136">
        <v>0</v>
      </c>
      <c r="AM183" s="136">
        <v>0</v>
      </c>
      <c r="AN183" s="136">
        <v>0</v>
      </c>
      <c r="AO183" s="136"/>
      <c r="AP183" s="143" t="str">
        <f>VLOOKUP(tbl_IO_List[[#This Row],[Instruement Tag]],tbl_Instruement_List[],14,FALSE)</f>
        <v>24 VDC energized</v>
      </c>
      <c r="AQ183" s="143" t="str">
        <f>tbl_IO_List[[#This Row],[Chassis]]&amp;"S"&amp;tbl_IO_List[[#This Row],[Slot]]&amp;"-"&amp;tbl_IO_List[[#This Row],[Front Terminal Number]]</f>
        <v>C1S9-20</v>
      </c>
      <c r="AR183" s="141" t="s">
        <v>1854</v>
      </c>
      <c r="AS183" s="136" t="str">
        <f>tbl_IO_List[[#This Row],[Terminal Tagging]]&amp;"-"&amp;tbl_IO_List[[#This Row],[Point-Count]]</f>
        <v>P1-TBRL2-18</v>
      </c>
      <c r="AT183" s="136" t="str">
        <f>tbl_IO_List[[#This Row],[Front Terminal Tagging]]&amp;"/"&amp;tbl_IO_List[[#This Row],[Terminal Tagging-Item]]</f>
        <v>C1S9-20/P1-TBRL2-18</v>
      </c>
      <c r="AU183" s="136" t="str">
        <f>tbl_IO_List[[#This Row],[Terminal Tagging-Item]]&amp;"/"&amp;tbl_IO_List[[#This Row],[Front Terminal Tagging]]</f>
        <v>P1-TBRL2-18/C1S9-20</v>
      </c>
    </row>
    <row r="184" spans="1:47" hidden="1">
      <c r="A184" s="147" t="s">
        <v>1369</v>
      </c>
      <c r="B184" s="136" t="s">
        <v>191</v>
      </c>
      <c r="C184" s="136" t="str">
        <f>tbl_IO_List[[#This Row],[Column3]]</f>
        <v>C1S09,18</v>
      </c>
      <c r="D184" s="136" t="str">
        <f>tbl_IO_List[[#This Row],[Card]]</f>
        <v>1756-OB32-18</v>
      </c>
      <c r="E184" s="136" t="s">
        <v>1372</v>
      </c>
      <c r="F184" s="136" t="str">
        <f>tbl_IO_List[[#This Row],[Column23]]&amp;"-" &amp;tbl_IO_List[[#This Row],[Column52]]</f>
        <v>C1S09-X2</v>
      </c>
      <c r="G184" s="136" t="str">
        <f>tbl_IO_List[[#This Row],[PLC_Tag]]</f>
        <v>SV-60230_DO_1</v>
      </c>
      <c r="H184" s="136"/>
      <c r="I184" s="136" t="str">
        <f>VLOOKUP(tbl_IO_List[[#This Row],[Destination]],tbl_Junction[],2,FALSE)</f>
        <v>Spray Dryer 1st Floor</v>
      </c>
      <c r="J184" s="136" t="s">
        <v>191</v>
      </c>
      <c r="K184" s="136" t="s">
        <v>14</v>
      </c>
      <c r="L184" s="136" t="s">
        <v>206</v>
      </c>
      <c r="M184" s="136">
        <f>VLOOKUP(tbl_IO_List[[#This Row],[Instruement Tag]],tbl_Instruement_List[],2,FALSE)</f>
        <v>0</v>
      </c>
      <c r="N184" s="136" t="s">
        <v>15</v>
      </c>
      <c r="O184" s="136" t="s">
        <v>16</v>
      </c>
      <c r="P184" s="136" t="s">
        <v>17</v>
      </c>
      <c r="Q184" s="136" t="str">
        <f>VLOOKUP(tbl_IO_List[[#This Row],[Instruement Tag]],tbl_Instruement_List[],6,FALSE)</f>
        <v>PA On/Off Valve for Cyclone Air Hammer 27 (CYCL-21)</v>
      </c>
      <c r="R184" s="136"/>
      <c r="S18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84" s="136" t="str">
        <f>tbl_IO_List[[#This Row],[Instruement Tag]]&amp;"_"&amp;tbl_IO_List[[#This Row],[I/O Type]]&amp;"_"&amp;tbl_IO_List[[#This Row],[IO-Point 
(Instruement)]]</f>
        <v>SV-60230_DO_1</v>
      </c>
      <c r="U184" s="136" t="s">
        <v>7</v>
      </c>
      <c r="V184" s="136">
        <f>VLOOKUP(tbl_IO_List[[#This Row],[I/O Type]],tbl_Slot_Group[],2,FALSE)</f>
        <v>2</v>
      </c>
      <c r="W184" s="136">
        <v>1</v>
      </c>
      <c r="X184" s="136" t="str">
        <f>tbl_IO_List[[#This Row],[Chassis]]&amp;"S"&amp;TEXT(tbl_IO_List[[#This Row],[Slot]],"00")</f>
        <v>C1S09</v>
      </c>
      <c r="Y184" s="136" t="str">
        <f>tbl_IO_List[[#This Row],[Chassis]]&amp;"S"&amp;TEXT(tbl_IO_List[[#This Row],[Slot]],"00")&amp;tbl_IO_List[[#This Row],[I/O Type]]&amp;TEXT(tbl_IO_List[[#This Row],[Point]],"00")</f>
        <v>C1S09DO18</v>
      </c>
      <c r="Z184" s="136" t="str">
        <f>tbl_IO_List[[#This Row],[Chassis]]&amp;"S"&amp;TEXT(tbl_IO_List[[#This Row],[Slot]],"00")&amp;","&amp;TEXT(tbl_IO_List[[#This Row],[Point]],"00")</f>
        <v>C1S09,18</v>
      </c>
      <c r="AA184" s="136" t="str">
        <f>VLOOKUP(tbl_IO_List[[#This Row],[Column23]],tbl_RackConfig[],5,FALSE) &amp;"-"&amp;tbl_IO_List[[#This Row],[Point]]</f>
        <v>1756-OB32-18</v>
      </c>
      <c r="AB184" s="136"/>
      <c r="AC184" s="136" t="s">
        <v>1370</v>
      </c>
      <c r="AD184" s="136" t="str">
        <f>tbl_IO_List[[#This Row],[I/O Type]]</f>
        <v>DO</v>
      </c>
      <c r="AE184" s="136" t="s">
        <v>1332</v>
      </c>
      <c r="AF184" s="136">
        <v>9</v>
      </c>
      <c r="AG184" s="136">
        <v>18</v>
      </c>
      <c r="AH184" s="136">
        <v>19</v>
      </c>
      <c r="AI184" s="136">
        <v>21</v>
      </c>
      <c r="AJ184" s="136">
        <v>0</v>
      </c>
      <c r="AK184" s="136">
        <v>1</v>
      </c>
      <c r="AL184" s="136">
        <v>0</v>
      </c>
      <c r="AM184" s="136">
        <v>0</v>
      </c>
      <c r="AN184" s="136">
        <v>0</v>
      </c>
      <c r="AO184" s="136"/>
      <c r="AP184" s="143" t="str">
        <f>VLOOKUP(tbl_IO_List[[#This Row],[Instruement Tag]],tbl_Instruement_List[],14,FALSE)</f>
        <v>24 VDC energized</v>
      </c>
      <c r="AQ184" s="143" t="str">
        <f>tbl_IO_List[[#This Row],[Chassis]]&amp;"S"&amp;tbl_IO_List[[#This Row],[Slot]]&amp;"-"&amp;tbl_IO_List[[#This Row],[Front Terminal Number]]</f>
        <v>C1S9-21</v>
      </c>
      <c r="AR184" s="141" t="s">
        <v>1854</v>
      </c>
      <c r="AS184" s="136" t="str">
        <f>tbl_IO_List[[#This Row],[Terminal Tagging]]&amp;"-"&amp;tbl_IO_List[[#This Row],[Point-Count]]</f>
        <v>P1-TBRL2-19</v>
      </c>
      <c r="AT184" s="136" t="str">
        <f>tbl_IO_List[[#This Row],[Front Terminal Tagging]]&amp;"/"&amp;tbl_IO_List[[#This Row],[Terminal Tagging-Item]]</f>
        <v>C1S9-21/P1-TBRL2-19</v>
      </c>
      <c r="AU184" s="136" t="str">
        <f>tbl_IO_List[[#This Row],[Terminal Tagging-Item]]&amp;"/"&amp;tbl_IO_List[[#This Row],[Front Terminal Tagging]]</f>
        <v>P1-TBRL2-19/C1S9-21</v>
      </c>
    </row>
    <row r="185" spans="1:47" hidden="1">
      <c r="A185" s="147" t="s">
        <v>1369</v>
      </c>
      <c r="B185" s="136" t="s">
        <v>191</v>
      </c>
      <c r="C185" s="136" t="str">
        <f>tbl_IO_List[[#This Row],[Column3]]</f>
        <v>C1S09,19</v>
      </c>
      <c r="D185" s="136" t="str">
        <f>tbl_IO_List[[#This Row],[Card]]</f>
        <v>1756-OB32-19</v>
      </c>
      <c r="E185" s="136" t="s">
        <v>1372</v>
      </c>
      <c r="F185" s="136" t="str">
        <f>tbl_IO_List[[#This Row],[Column23]]&amp;"-" &amp;tbl_IO_List[[#This Row],[Column52]]</f>
        <v>C1S09-X2</v>
      </c>
      <c r="G185" s="136" t="str">
        <f>tbl_IO_List[[#This Row],[PLC_Tag]]</f>
        <v>SV-60203_DO_1</v>
      </c>
      <c r="H185" s="136"/>
      <c r="I185" s="136" t="str">
        <f>VLOOKUP(tbl_IO_List[[#This Row],[Destination]],tbl_Junction[],2,FALSE)</f>
        <v>Spray Dryer 1st Floor</v>
      </c>
      <c r="J185" s="136" t="s">
        <v>191</v>
      </c>
      <c r="K185" s="136" t="s">
        <v>14</v>
      </c>
      <c r="L185" s="136" t="s">
        <v>214</v>
      </c>
      <c r="M185" s="136">
        <f>VLOOKUP(tbl_IO_List[[#This Row],[Instruement Tag]],tbl_Instruement_List[],2,FALSE)</f>
        <v>0</v>
      </c>
      <c r="N185" s="136" t="s">
        <v>15</v>
      </c>
      <c r="O185" s="136" t="s">
        <v>192</v>
      </c>
      <c r="P185" s="136" t="s">
        <v>193</v>
      </c>
      <c r="Q185" s="136" t="str">
        <f>VLOOKUP(tbl_IO_List[[#This Row],[Instruement Tag]],tbl_Instruement_List[],6,FALSE)</f>
        <v>PA On/Off Valve for Bag House Rotary Valve (RVAL-23)</v>
      </c>
      <c r="R185" s="136"/>
      <c r="S18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185" s="136" t="str">
        <f>tbl_IO_List[[#This Row],[Instruement Tag]]&amp;"_"&amp;tbl_IO_List[[#This Row],[I/O Type]]&amp;"_"&amp;tbl_IO_List[[#This Row],[IO-Point 
(Instruement)]]</f>
        <v>SV-60203_DO_1</v>
      </c>
      <c r="U185" s="136" t="s">
        <v>7</v>
      </c>
      <c r="V185" s="136">
        <f>VLOOKUP(tbl_IO_List[[#This Row],[I/O Type]],tbl_Slot_Group[],2,FALSE)</f>
        <v>2</v>
      </c>
      <c r="W185" s="136">
        <v>1</v>
      </c>
      <c r="X185" s="136" t="str">
        <f>tbl_IO_List[[#This Row],[Chassis]]&amp;"S"&amp;TEXT(tbl_IO_List[[#This Row],[Slot]],"00")</f>
        <v>C1S09</v>
      </c>
      <c r="Y185" s="136" t="str">
        <f>tbl_IO_List[[#This Row],[Chassis]]&amp;"S"&amp;TEXT(tbl_IO_List[[#This Row],[Slot]],"00")&amp;tbl_IO_List[[#This Row],[I/O Type]]&amp;TEXT(tbl_IO_List[[#This Row],[Point]],"00")</f>
        <v>C1S09DO19</v>
      </c>
      <c r="Z185" s="136" t="str">
        <f>tbl_IO_List[[#This Row],[Chassis]]&amp;"S"&amp;TEXT(tbl_IO_List[[#This Row],[Slot]],"00")&amp;","&amp;TEXT(tbl_IO_List[[#This Row],[Point]],"00")</f>
        <v>C1S09,19</v>
      </c>
      <c r="AA185" s="136" t="str">
        <f>VLOOKUP(tbl_IO_List[[#This Row],[Column23]],tbl_RackConfig[],5,FALSE) &amp;"-"&amp;tbl_IO_List[[#This Row],[Point]]</f>
        <v>1756-OB32-19</v>
      </c>
      <c r="AB185" s="136"/>
      <c r="AC185" s="136" t="s">
        <v>1370</v>
      </c>
      <c r="AD185" s="136" t="str">
        <f>tbl_IO_List[[#This Row],[I/O Type]]</f>
        <v>DO</v>
      </c>
      <c r="AE185" s="136" t="s">
        <v>1332</v>
      </c>
      <c r="AF185" s="136">
        <v>9</v>
      </c>
      <c r="AG185" s="136">
        <v>19</v>
      </c>
      <c r="AH185" s="136">
        <v>20</v>
      </c>
      <c r="AI185" s="136">
        <v>22</v>
      </c>
      <c r="AJ185" s="136">
        <v>2</v>
      </c>
      <c r="AK185" s="136">
        <v>1</v>
      </c>
      <c r="AL185" s="136">
        <v>0</v>
      </c>
      <c r="AM185" s="136">
        <v>0</v>
      </c>
      <c r="AN185" s="136">
        <v>0</v>
      </c>
      <c r="AO185" s="136"/>
      <c r="AP185" s="143" t="str">
        <f>VLOOKUP(tbl_IO_List[[#This Row],[Instruement Tag]],tbl_Instruement_List[],14,FALSE)</f>
        <v>24 VDC energized</v>
      </c>
      <c r="AQ185" s="143" t="str">
        <f>tbl_IO_List[[#This Row],[Chassis]]&amp;"S"&amp;tbl_IO_List[[#This Row],[Slot]]&amp;"-"&amp;tbl_IO_List[[#This Row],[Front Terminal Number]]</f>
        <v>C1S9-22</v>
      </c>
      <c r="AR185" s="141" t="s">
        <v>1854</v>
      </c>
      <c r="AS185" s="136" t="str">
        <f>tbl_IO_List[[#This Row],[Terminal Tagging]]&amp;"-"&amp;tbl_IO_List[[#This Row],[Point-Count]]</f>
        <v>P1-TBRL2-20</v>
      </c>
      <c r="AT185" s="136" t="str">
        <f>tbl_IO_List[[#This Row],[Front Terminal Tagging]]&amp;"/"&amp;tbl_IO_List[[#This Row],[Terminal Tagging-Item]]</f>
        <v>C1S9-22/P1-TBRL2-20</v>
      </c>
      <c r="AU185" s="136" t="str">
        <f>tbl_IO_List[[#This Row],[Terminal Tagging-Item]]&amp;"/"&amp;tbl_IO_List[[#This Row],[Front Terminal Tagging]]</f>
        <v>P1-TBRL2-20/C1S9-22</v>
      </c>
    </row>
    <row r="186" spans="1:47" hidden="1">
      <c r="A186" s="147" t="s">
        <v>1369</v>
      </c>
      <c r="B186" s="136" t="s">
        <v>191</v>
      </c>
      <c r="C186" s="136" t="str">
        <f>tbl_IO_List[[#This Row],[Column3]]</f>
        <v>C1S09,20</v>
      </c>
      <c r="D186" s="136" t="str">
        <f>tbl_IO_List[[#This Row],[Card]]</f>
        <v>1756-OB32-20</v>
      </c>
      <c r="E186" s="136" t="s">
        <v>1372</v>
      </c>
      <c r="F186" s="136" t="str">
        <f>tbl_IO_List[[#This Row],[Column23]]&amp;"-" &amp;tbl_IO_List[[#This Row],[Column52]]</f>
        <v>C1S09-X2</v>
      </c>
      <c r="G186" s="136" t="str">
        <f>tbl_IO_List[[#This Row],[PLC_Tag]]</f>
        <v>SV-60240A_DO_1</v>
      </c>
      <c r="H186" s="136"/>
      <c r="I186" s="136" t="str">
        <f>VLOOKUP(tbl_IO_List[[#This Row],[Destination]],tbl_Junction[],2,FALSE)</f>
        <v>Spray Dryer 1st Floor</v>
      </c>
      <c r="J186" s="136" t="s">
        <v>191</v>
      </c>
      <c r="K186" s="136" t="s">
        <v>14</v>
      </c>
      <c r="L186" s="136" t="s">
        <v>208</v>
      </c>
      <c r="M186" s="136">
        <f>VLOOKUP(tbl_IO_List[[#This Row],[Instruement Tag]],tbl_Instruement_List[],2,FALSE)</f>
        <v>0</v>
      </c>
      <c r="N186" s="136" t="s">
        <v>15</v>
      </c>
      <c r="O186" s="136" t="s">
        <v>21</v>
      </c>
      <c r="P186" s="136" t="s">
        <v>22</v>
      </c>
      <c r="Q186" s="136" t="str">
        <f>VLOOKUP(tbl_IO_List[[#This Row],[Instruement Tag]],tbl_Instruement_List[],6,FALSE)</f>
        <v>PA On/Off Valve for Cyclone Air Hammer 29A (BGHS-21)</v>
      </c>
      <c r="R186" s="136"/>
      <c r="S18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86" s="136" t="str">
        <f>tbl_IO_List[[#This Row],[Instruement Tag]]&amp;"_"&amp;tbl_IO_List[[#This Row],[I/O Type]]&amp;"_"&amp;tbl_IO_List[[#This Row],[IO-Point 
(Instruement)]]</f>
        <v>SV-60240A_DO_1</v>
      </c>
      <c r="U186" s="136" t="s">
        <v>7</v>
      </c>
      <c r="V186" s="136">
        <f>VLOOKUP(tbl_IO_List[[#This Row],[I/O Type]],tbl_Slot_Group[],2,FALSE)</f>
        <v>2</v>
      </c>
      <c r="W186" s="136">
        <v>1</v>
      </c>
      <c r="X186" s="136" t="str">
        <f>tbl_IO_List[[#This Row],[Chassis]]&amp;"S"&amp;TEXT(tbl_IO_List[[#This Row],[Slot]],"00")</f>
        <v>C1S09</v>
      </c>
      <c r="Y186" s="136" t="str">
        <f>tbl_IO_List[[#This Row],[Chassis]]&amp;"S"&amp;TEXT(tbl_IO_List[[#This Row],[Slot]],"00")&amp;tbl_IO_List[[#This Row],[I/O Type]]&amp;TEXT(tbl_IO_List[[#This Row],[Point]],"00")</f>
        <v>C1S09DO20</v>
      </c>
      <c r="Z186" s="136" t="str">
        <f>tbl_IO_List[[#This Row],[Chassis]]&amp;"S"&amp;TEXT(tbl_IO_List[[#This Row],[Slot]],"00")&amp;","&amp;TEXT(tbl_IO_List[[#This Row],[Point]],"00")</f>
        <v>C1S09,20</v>
      </c>
      <c r="AA186" s="136" t="str">
        <f>VLOOKUP(tbl_IO_List[[#This Row],[Column23]],tbl_RackConfig[],5,FALSE) &amp;"-"&amp;tbl_IO_List[[#This Row],[Point]]</f>
        <v>1756-OB32-20</v>
      </c>
      <c r="AB186" s="136"/>
      <c r="AC186" s="136" t="s">
        <v>1370</v>
      </c>
      <c r="AD186" s="136" t="str">
        <f>tbl_IO_List[[#This Row],[I/O Type]]</f>
        <v>DO</v>
      </c>
      <c r="AE186" s="136" t="s">
        <v>1332</v>
      </c>
      <c r="AF186" s="136">
        <v>9</v>
      </c>
      <c r="AG186" s="136">
        <v>20</v>
      </c>
      <c r="AH186" s="136">
        <v>21</v>
      </c>
      <c r="AI186" s="136">
        <v>23</v>
      </c>
      <c r="AJ186" s="136">
        <v>0</v>
      </c>
      <c r="AK186" s="136">
        <v>1</v>
      </c>
      <c r="AL186" s="136">
        <v>0</v>
      </c>
      <c r="AM186" s="136">
        <v>0</v>
      </c>
      <c r="AN186" s="136">
        <v>0</v>
      </c>
      <c r="AO186" s="136"/>
      <c r="AP186" s="143" t="str">
        <f>VLOOKUP(tbl_IO_List[[#This Row],[Instruement Tag]],tbl_Instruement_List[],14,FALSE)</f>
        <v>24 VDC energized</v>
      </c>
      <c r="AQ186" s="143" t="str">
        <f>tbl_IO_List[[#This Row],[Chassis]]&amp;"S"&amp;tbl_IO_List[[#This Row],[Slot]]&amp;"-"&amp;tbl_IO_List[[#This Row],[Front Terminal Number]]</f>
        <v>C1S9-23</v>
      </c>
      <c r="AR186" s="141" t="s">
        <v>1854</v>
      </c>
      <c r="AS186" s="136" t="str">
        <f>tbl_IO_List[[#This Row],[Terminal Tagging]]&amp;"-"&amp;tbl_IO_List[[#This Row],[Point-Count]]</f>
        <v>P1-TBRL2-21</v>
      </c>
      <c r="AT186" s="136" t="str">
        <f>tbl_IO_List[[#This Row],[Front Terminal Tagging]]&amp;"/"&amp;tbl_IO_List[[#This Row],[Terminal Tagging-Item]]</f>
        <v>C1S9-23/P1-TBRL2-21</v>
      </c>
      <c r="AU186" s="136" t="str">
        <f>tbl_IO_List[[#This Row],[Terminal Tagging-Item]]&amp;"/"&amp;tbl_IO_List[[#This Row],[Front Terminal Tagging]]</f>
        <v>P1-TBRL2-21/C1S9-23</v>
      </c>
    </row>
    <row r="187" spans="1:47" hidden="1">
      <c r="A187" s="147" t="s">
        <v>1369</v>
      </c>
      <c r="B187" s="136" t="s">
        <v>191</v>
      </c>
      <c r="C187" s="136" t="str">
        <f>tbl_IO_List[[#This Row],[Column3]]</f>
        <v>C1S09,21</v>
      </c>
      <c r="D187" s="136" t="str">
        <f>tbl_IO_List[[#This Row],[Card]]</f>
        <v>1756-OB32-21</v>
      </c>
      <c r="E187" s="136" t="s">
        <v>1372</v>
      </c>
      <c r="F187" s="136" t="str">
        <f>tbl_IO_List[[#This Row],[Column23]]&amp;"-" &amp;tbl_IO_List[[#This Row],[Column52]]</f>
        <v>C1S09-X2</v>
      </c>
      <c r="G187" s="136" t="str">
        <f>tbl_IO_List[[#This Row],[PLC_Tag]]</f>
        <v>SV-60231_DO_1</v>
      </c>
      <c r="H187" s="136"/>
      <c r="I187" s="136" t="str">
        <f>VLOOKUP(tbl_IO_List[[#This Row],[Destination]],tbl_Junction[],2,FALSE)</f>
        <v>Spray Dryer 1st Floor</v>
      </c>
      <c r="J187" s="136" t="s">
        <v>191</v>
      </c>
      <c r="K187" s="136" t="s">
        <v>14</v>
      </c>
      <c r="L187" s="136" t="s">
        <v>207</v>
      </c>
      <c r="M187" s="136">
        <f>VLOOKUP(tbl_IO_List[[#This Row],[Instruement Tag]],tbl_Instruement_List[],2,FALSE)</f>
        <v>0</v>
      </c>
      <c r="N187" s="136" t="s">
        <v>15</v>
      </c>
      <c r="O187" s="136" t="s">
        <v>16</v>
      </c>
      <c r="P187" s="136" t="s">
        <v>17</v>
      </c>
      <c r="Q187" s="136" t="str">
        <f>VLOOKUP(tbl_IO_List[[#This Row],[Instruement Tag]],tbl_Instruement_List[],6,FALSE)</f>
        <v>PA On/Off Valve for Cyclone Air Hammer 28 (CYCL-22)</v>
      </c>
      <c r="R187" s="136"/>
      <c r="S18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87" s="136" t="str">
        <f>tbl_IO_List[[#This Row],[Instruement Tag]]&amp;"_"&amp;tbl_IO_List[[#This Row],[I/O Type]]&amp;"_"&amp;tbl_IO_List[[#This Row],[IO-Point 
(Instruement)]]</f>
        <v>SV-60231_DO_1</v>
      </c>
      <c r="U187" s="136" t="s">
        <v>7</v>
      </c>
      <c r="V187" s="136">
        <f>VLOOKUP(tbl_IO_List[[#This Row],[I/O Type]],tbl_Slot_Group[],2,FALSE)</f>
        <v>2</v>
      </c>
      <c r="W187" s="136">
        <v>1</v>
      </c>
      <c r="X187" s="136" t="str">
        <f>tbl_IO_List[[#This Row],[Chassis]]&amp;"S"&amp;TEXT(tbl_IO_List[[#This Row],[Slot]],"00")</f>
        <v>C1S09</v>
      </c>
      <c r="Y187" s="136" t="str">
        <f>tbl_IO_List[[#This Row],[Chassis]]&amp;"S"&amp;TEXT(tbl_IO_List[[#This Row],[Slot]],"00")&amp;tbl_IO_List[[#This Row],[I/O Type]]&amp;TEXT(tbl_IO_List[[#This Row],[Point]],"00")</f>
        <v>C1S09DO21</v>
      </c>
      <c r="Z187" s="136" t="str">
        <f>tbl_IO_List[[#This Row],[Chassis]]&amp;"S"&amp;TEXT(tbl_IO_List[[#This Row],[Slot]],"00")&amp;","&amp;TEXT(tbl_IO_List[[#This Row],[Point]],"00")</f>
        <v>C1S09,21</v>
      </c>
      <c r="AA187" s="136" t="str">
        <f>VLOOKUP(tbl_IO_List[[#This Row],[Column23]],tbl_RackConfig[],5,FALSE) &amp;"-"&amp;tbl_IO_List[[#This Row],[Point]]</f>
        <v>1756-OB32-21</v>
      </c>
      <c r="AB187" s="136"/>
      <c r="AC187" s="136" t="s">
        <v>1370</v>
      </c>
      <c r="AD187" s="136" t="str">
        <f>tbl_IO_List[[#This Row],[I/O Type]]</f>
        <v>DO</v>
      </c>
      <c r="AE187" s="136" t="s">
        <v>1332</v>
      </c>
      <c r="AF187" s="136">
        <v>9</v>
      </c>
      <c r="AG187" s="136">
        <v>21</v>
      </c>
      <c r="AH187" s="136">
        <v>22</v>
      </c>
      <c r="AI187" s="136">
        <v>24</v>
      </c>
      <c r="AJ187" s="136">
        <v>0</v>
      </c>
      <c r="AK187" s="136">
        <v>1</v>
      </c>
      <c r="AL187" s="136">
        <v>0</v>
      </c>
      <c r="AM187" s="136">
        <v>0</v>
      </c>
      <c r="AN187" s="136">
        <v>0</v>
      </c>
      <c r="AO187" s="136"/>
      <c r="AP187" s="143" t="str">
        <f>VLOOKUP(tbl_IO_List[[#This Row],[Instruement Tag]],tbl_Instruement_List[],14,FALSE)</f>
        <v>24 VDC energized</v>
      </c>
      <c r="AQ187" s="143" t="str">
        <f>tbl_IO_List[[#This Row],[Chassis]]&amp;"S"&amp;tbl_IO_List[[#This Row],[Slot]]&amp;"-"&amp;tbl_IO_List[[#This Row],[Front Terminal Number]]</f>
        <v>C1S9-24</v>
      </c>
      <c r="AR187" s="141" t="s">
        <v>1854</v>
      </c>
      <c r="AS187" s="136" t="str">
        <f>tbl_IO_List[[#This Row],[Terminal Tagging]]&amp;"-"&amp;tbl_IO_List[[#This Row],[Point-Count]]</f>
        <v>P1-TBRL2-22</v>
      </c>
      <c r="AT187" s="136" t="str">
        <f>tbl_IO_List[[#This Row],[Front Terminal Tagging]]&amp;"/"&amp;tbl_IO_List[[#This Row],[Terminal Tagging-Item]]</f>
        <v>C1S9-24/P1-TBRL2-22</v>
      </c>
      <c r="AU187" s="136" t="str">
        <f>tbl_IO_List[[#This Row],[Terminal Tagging-Item]]&amp;"/"&amp;tbl_IO_List[[#This Row],[Front Terminal Tagging]]</f>
        <v>P1-TBRL2-22/C1S9-24</v>
      </c>
    </row>
    <row r="188" spans="1:47" hidden="1">
      <c r="A188" s="147" t="s">
        <v>1369</v>
      </c>
      <c r="B188" s="136" t="s">
        <v>191</v>
      </c>
      <c r="C188" s="136" t="str">
        <f>tbl_IO_List[[#This Row],[Column3]]</f>
        <v>C1S09,22</v>
      </c>
      <c r="D188" s="136" t="str">
        <f>tbl_IO_List[[#This Row],[Card]]</f>
        <v>1756-OB32-22</v>
      </c>
      <c r="E188" s="136" t="s">
        <v>1372</v>
      </c>
      <c r="F188" s="136" t="str">
        <f>tbl_IO_List[[#This Row],[Column23]]&amp;"-" &amp;tbl_IO_List[[#This Row],[Column52]]</f>
        <v>C1S09-X2</v>
      </c>
      <c r="G188" s="136" t="str">
        <f>tbl_IO_List[[#This Row],[PLC_Tag]]</f>
        <v>SV-60240B_DO_1</v>
      </c>
      <c r="H188" s="136"/>
      <c r="I188" s="136" t="str">
        <f>VLOOKUP(tbl_IO_List[[#This Row],[Destination]],tbl_Junction[],2,FALSE)</f>
        <v>Spray Dryer 1st Floor</v>
      </c>
      <c r="J188" s="136" t="s">
        <v>191</v>
      </c>
      <c r="K188" s="136" t="s">
        <v>14</v>
      </c>
      <c r="L188" s="136" t="s">
        <v>209</v>
      </c>
      <c r="M188" s="136">
        <f>VLOOKUP(tbl_IO_List[[#This Row],[Instruement Tag]],tbl_Instruement_List[],2,FALSE)</f>
        <v>0</v>
      </c>
      <c r="N188" s="136" t="s">
        <v>15</v>
      </c>
      <c r="O188" s="136" t="s">
        <v>21</v>
      </c>
      <c r="P188" s="136" t="s">
        <v>22</v>
      </c>
      <c r="Q188" s="136" t="str">
        <f>VLOOKUP(tbl_IO_List[[#This Row],[Instruement Tag]],tbl_Instruement_List[],6,FALSE)</f>
        <v>PA On/Off Valve for Cyclone Air Hammer 29B (BGHS-21)</v>
      </c>
      <c r="R188" s="136"/>
      <c r="S18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88" s="136" t="str">
        <f>tbl_IO_List[[#This Row],[Instruement Tag]]&amp;"_"&amp;tbl_IO_List[[#This Row],[I/O Type]]&amp;"_"&amp;tbl_IO_List[[#This Row],[IO-Point 
(Instruement)]]</f>
        <v>SV-60240B_DO_1</v>
      </c>
      <c r="U188" s="136" t="s">
        <v>7</v>
      </c>
      <c r="V188" s="136">
        <f>VLOOKUP(tbl_IO_List[[#This Row],[I/O Type]],tbl_Slot_Group[],2,FALSE)</f>
        <v>2</v>
      </c>
      <c r="W188" s="136">
        <v>1</v>
      </c>
      <c r="X188" s="136" t="str">
        <f>tbl_IO_List[[#This Row],[Chassis]]&amp;"S"&amp;TEXT(tbl_IO_List[[#This Row],[Slot]],"00")</f>
        <v>C1S09</v>
      </c>
      <c r="Y188" s="136" t="str">
        <f>tbl_IO_List[[#This Row],[Chassis]]&amp;"S"&amp;TEXT(tbl_IO_List[[#This Row],[Slot]],"00")&amp;tbl_IO_List[[#This Row],[I/O Type]]&amp;TEXT(tbl_IO_List[[#This Row],[Point]],"00")</f>
        <v>C1S09DO22</v>
      </c>
      <c r="Z188" s="136" t="str">
        <f>tbl_IO_List[[#This Row],[Chassis]]&amp;"S"&amp;TEXT(tbl_IO_List[[#This Row],[Slot]],"00")&amp;","&amp;TEXT(tbl_IO_List[[#This Row],[Point]],"00")</f>
        <v>C1S09,22</v>
      </c>
      <c r="AA188" s="136" t="str">
        <f>VLOOKUP(tbl_IO_List[[#This Row],[Column23]],tbl_RackConfig[],5,FALSE) &amp;"-"&amp;tbl_IO_List[[#This Row],[Point]]</f>
        <v>1756-OB32-22</v>
      </c>
      <c r="AB188" s="136"/>
      <c r="AC188" s="136" t="s">
        <v>1370</v>
      </c>
      <c r="AD188" s="136" t="str">
        <f>tbl_IO_List[[#This Row],[I/O Type]]</f>
        <v>DO</v>
      </c>
      <c r="AE188" s="136" t="s">
        <v>1332</v>
      </c>
      <c r="AF188" s="136">
        <v>9</v>
      </c>
      <c r="AG188" s="136">
        <v>22</v>
      </c>
      <c r="AH188" s="136">
        <v>23</v>
      </c>
      <c r="AI188" s="136">
        <v>25</v>
      </c>
      <c r="AJ188" s="136">
        <v>0</v>
      </c>
      <c r="AK188" s="136">
        <v>1</v>
      </c>
      <c r="AL188" s="136">
        <v>0</v>
      </c>
      <c r="AM188" s="136">
        <v>0</v>
      </c>
      <c r="AN188" s="136">
        <v>0</v>
      </c>
      <c r="AO188" s="136"/>
      <c r="AP188" s="143" t="str">
        <f>VLOOKUP(tbl_IO_List[[#This Row],[Instruement Tag]],tbl_Instruement_List[],14,FALSE)</f>
        <v>24 VDC energized</v>
      </c>
      <c r="AQ188" s="143" t="str">
        <f>tbl_IO_List[[#This Row],[Chassis]]&amp;"S"&amp;tbl_IO_List[[#This Row],[Slot]]&amp;"-"&amp;tbl_IO_List[[#This Row],[Front Terminal Number]]</f>
        <v>C1S9-25</v>
      </c>
      <c r="AR188" s="141" t="s">
        <v>1854</v>
      </c>
      <c r="AS188" s="136" t="str">
        <f>tbl_IO_List[[#This Row],[Terminal Tagging]]&amp;"-"&amp;tbl_IO_List[[#This Row],[Point-Count]]</f>
        <v>P1-TBRL2-23</v>
      </c>
      <c r="AT188" s="136" t="str">
        <f>tbl_IO_List[[#This Row],[Front Terminal Tagging]]&amp;"/"&amp;tbl_IO_List[[#This Row],[Terminal Tagging-Item]]</f>
        <v>C1S9-25/P1-TBRL2-23</v>
      </c>
      <c r="AU188" s="136" t="str">
        <f>tbl_IO_List[[#This Row],[Terminal Tagging-Item]]&amp;"/"&amp;tbl_IO_List[[#This Row],[Front Terminal Tagging]]</f>
        <v>P1-TBRL2-23/C1S9-25</v>
      </c>
    </row>
    <row r="189" spans="1:47" hidden="1">
      <c r="A189" s="147" t="s">
        <v>1369</v>
      </c>
      <c r="B189" s="136" t="s">
        <v>191</v>
      </c>
      <c r="C189" s="136" t="str">
        <f>tbl_IO_List[[#This Row],[Column3]]</f>
        <v>C1S09,23</v>
      </c>
      <c r="D189" s="136" t="str">
        <f>tbl_IO_List[[#This Row],[Card]]</f>
        <v>1756-OB32-23</v>
      </c>
      <c r="E189" s="136" t="s">
        <v>1372</v>
      </c>
      <c r="F189" s="136" t="str">
        <f>tbl_IO_List[[#This Row],[Column23]]&amp;"-" &amp;tbl_IO_List[[#This Row],[Column52]]</f>
        <v>C1S09-X2</v>
      </c>
      <c r="G189" s="136" t="str">
        <f>tbl_IO_List[[#This Row],[PLC_Tag]]</f>
        <v>SV-60240C_DO_1</v>
      </c>
      <c r="H189" s="136"/>
      <c r="I189" s="136" t="str">
        <f>VLOOKUP(tbl_IO_List[[#This Row],[Destination]],tbl_Junction[],2,FALSE)</f>
        <v>Spray Dryer 1st Floor</v>
      </c>
      <c r="J189" s="136" t="s">
        <v>191</v>
      </c>
      <c r="K189" s="136" t="s">
        <v>14</v>
      </c>
      <c r="L189" s="136" t="s">
        <v>210</v>
      </c>
      <c r="M189" s="136">
        <f>VLOOKUP(tbl_IO_List[[#This Row],[Instruement Tag]],tbl_Instruement_List[],2,FALSE)</f>
        <v>0</v>
      </c>
      <c r="N189" s="136" t="s">
        <v>15</v>
      </c>
      <c r="O189" s="136" t="s">
        <v>21</v>
      </c>
      <c r="P189" s="136" t="s">
        <v>22</v>
      </c>
      <c r="Q189" s="136" t="str">
        <f>VLOOKUP(tbl_IO_List[[#This Row],[Instruement Tag]],tbl_Instruement_List[],6,FALSE)</f>
        <v>PA On/Off Valve for Cyclone Air Hammer 29C (BGHS-21)</v>
      </c>
      <c r="R189" s="136"/>
      <c r="S18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89" s="136" t="str">
        <f>tbl_IO_List[[#This Row],[Instruement Tag]]&amp;"_"&amp;tbl_IO_List[[#This Row],[I/O Type]]&amp;"_"&amp;tbl_IO_List[[#This Row],[IO-Point 
(Instruement)]]</f>
        <v>SV-60240C_DO_1</v>
      </c>
      <c r="U189" s="136" t="s">
        <v>7</v>
      </c>
      <c r="V189" s="136">
        <f>VLOOKUP(tbl_IO_List[[#This Row],[I/O Type]],tbl_Slot_Group[],2,FALSE)</f>
        <v>2</v>
      </c>
      <c r="W189" s="136">
        <v>1</v>
      </c>
      <c r="X189" s="136" t="str">
        <f>tbl_IO_List[[#This Row],[Chassis]]&amp;"S"&amp;TEXT(tbl_IO_List[[#This Row],[Slot]],"00")</f>
        <v>C1S09</v>
      </c>
      <c r="Y189" s="136" t="str">
        <f>tbl_IO_List[[#This Row],[Chassis]]&amp;"S"&amp;TEXT(tbl_IO_List[[#This Row],[Slot]],"00")&amp;tbl_IO_List[[#This Row],[I/O Type]]&amp;TEXT(tbl_IO_List[[#This Row],[Point]],"00")</f>
        <v>C1S09DO23</v>
      </c>
      <c r="Z189" s="136" t="str">
        <f>tbl_IO_List[[#This Row],[Chassis]]&amp;"S"&amp;TEXT(tbl_IO_List[[#This Row],[Slot]],"00")&amp;","&amp;TEXT(tbl_IO_List[[#This Row],[Point]],"00")</f>
        <v>C1S09,23</v>
      </c>
      <c r="AA189" s="136" t="str">
        <f>VLOOKUP(tbl_IO_List[[#This Row],[Column23]],tbl_RackConfig[],5,FALSE) &amp;"-"&amp;tbl_IO_List[[#This Row],[Point]]</f>
        <v>1756-OB32-23</v>
      </c>
      <c r="AB189" s="136"/>
      <c r="AC189" s="136" t="s">
        <v>1370</v>
      </c>
      <c r="AD189" s="136" t="str">
        <f>tbl_IO_List[[#This Row],[I/O Type]]</f>
        <v>DO</v>
      </c>
      <c r="AE189" s="136" t="s">
        <v>1332</v>
      </c>
      <c r="AF189" s="136">
        <v>9</v>
      </c>
      <c r="AG189" s="136">
        <v>23</v>
      </c>
      <c r="AH189" s="136">
        <v>24</v>
      </c>
      <c r="AI189" s="136">
        <v>26</v>
      </c>
      <c r="AJ189" s="136">
        <v>0</v>
      </c>
      <c r="AK189" s="136">
        <v>1</v>
      </c>
      <c r="AL189" s="136">
        <v>0</v>
      </c>
      <c r="AM189" s="136">
        <v>0</v>
      </c>
      <c r="AN189" s="136">
        <v>0</v>
      </c>
      <c r="AO189" s="136"/>
      <c r="AP189" s="143" t="str">
        <f>VLOOKUP(tbl_IO_List[[#This Row],[Instruement Tag]],tbl_Instruement_List[],14,FALSE)</f>
        <v>24 VDC energized</v>
      </c>
      <c r="AQ189" s="143" t="str">
        <f>tbl_IO_List[[#This Row],[Chassis]]&amp;"S"&amp;tbl_IO_List[[#This Row],[Slot]]&amp;"-"&amp;tbl_IO_List[[#This Row],[Front Terminal Number]]</f>
        <v>C1S9-26</v>
      </c>
      <c r="AR189" s="141" t="s">
        <v>1854</v>
      </c>
      <c r="AS189" s="136" t="str">
        <f>tbl_IO_List[[#This Row],[Terminal Tagging]]&amp;"-"&amp;tbl_IO_List[[#This Row],[Point-Count]]</f>
        <v>P1-TBRL2-24</v>
      </c>
      <c r="AT189" s="136" t="str">
        <f>tbl_IO_List[[#This Row],[Front Terminal Tagging]]&amp;"/"&amp;tbl_IO_List[[#This Row],[Terminal Tagging-Item]]</f>
        <v>C1S9-26/P1-TBRL2-24</v>
      </c>
      <c r="AU189" s="136" t="str">
        <f>tbl_IO_List[[#This Row],[Terminal Tagging-Item]]&amp;"/"&amp;tbl_IO_List[[#This Row],[Front Terminal Tagging]]</f>
        <v>P1-TBRL2-24/C1S9-26</v>
      </c>
    </row>
    <row r="190" spans="1:47" hidden="1">
      <c r="A190" s="147" t="s">
        <v>1369</v>
      </c>
      <c r="B190" s="136" t="s">
        <v>191</v>
      </c>
      <c r="C190" s="136" t="str">
        <f>tbl_IO_List[[#This Row],[Column3]]</f>
        <v>C1S09,24</v>
      </c>
      <c r="D190" s="136" t="str">
        <f>tbl_IO_List[[#This Row],[Card]]</f>
        <v>1756-OB32-24</v>
      </c>
      <c r="E190" s="136" t="s">
        <v>1372</v>
      </c>
      <c r="F190" s="136" t="str">
        <f>tbl_IO_List[[#This Row],[Column23]]&amp;"-" &amp;tbl_IO_List[[#This Row],[Column52]]</f>
        <v>C1S09-X2</v>
      </c>
      <c r="G190" s="136" t="str">
        <f>tbl_IO_List[[#This Row],[PLC_Tag]]</f>
        <v>XV-60240D_DO_1</v>
      </c>
      <c r="H190" s="136"/>
      <c r="I190" s="136" t="str">
        <f>VLOOKUP(tbl_IO_List[[#This Row],[Destination]],tbl_Junction[],2,FALSE)</f>
        <v>Spray Dryer 1st Floor</v>
      </c>
      <c r="J190" s="136" t="s">
        <v>191</v>
      </c>
      <c r="K190" s="136" t="s">
        <v>14</v>
      </c>
      <c r="L190" s="136" t="s">
        <v>215</v>
      </c>
      <c r="M190" s="136" t="e">
        <f>VLOOKUP(tbl_IO_List[[#This Row],[Instruement Tag]],tbl_Instruement_List[],2,FALSE)</f>
        <v>#N/A</v>
      </c>
      <c r="N190" s="136" t="s">
        <v>15</v>
      </c>
      <c r="O190" s="136" t="s">
        <v>21</v>
      </c>
      <c r="P190" s="136" t="s">
        <v>18</v>
      </c>
      <c r="Q190" s="136" t="e">
        <f>VLOOKUP(tbl_IO_List[[#This Row],[Instruement Tag]],tbl_Instruement_List[],6,FALSE)</f>
        <v>#N/A</v>
      </c>
      <c r="R190" s="136"/>
      <c r="S19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190" s="136" t="str">
        <f>tbl_IO_List[[#This Row],[Instruement Tag]]&amp;"_"&amp;tbl_IO_List[[#This Row],[I/O Type]]&amp;"_"&amp;tbl_IO_List[[#This Row],[IO-Point 
(Instruement)]]</f>
        <v>XV-60240D_DO_1</v>
      </c>
      <c r="U190" s="136" t="s">
        <v>7</v>
      </c>
      <c r="V190" s="136">
        <f>VLOOKUP(tbl_IO_List[[#This Row],[I/O Type]],tbl_Slot_Group[],2,FALSE)</f>
        <v>2</v>
      </c>
      <c r="W190" s="136">
        <v>1</v>
      </c>
      <c r="X190" s="136" t="str">
        <f>tbl_IO_List[[#This Row],[Chassis]]&amp;"S"&amp;TEXT(tbl_IO_List[[#This Row],[Slot]],"00")</f>
        <v>C1S09</v>
      </c>
      <c r="Y190" s="136" t="str">
        <f>tbl_IO_List[[#This Row],[Chassis]]&amp;"S"&amp;TEXT(tbl_IO_List[[#This Row],[Slot]],"00")&amp;tbl_IO_List[[#This Row],[I/O Type]]&amp;TEXT(tbl_IO_List[[#This Row],[Point]],"00")</f>
        <v>C1S09DO24</v>
      </c>
      <c r="Z190" s="136" t="str">
        <f>tbl_IO_List[[#This Row],[Chassis]]&amp;"S"&amp;TEXT(tbl_IO_List[[#This Row],[Slot]],"00")&amp;","&amp;TEXT(tbl_IO_List[[#This Row],[Point]],"00")</f>
        <v>C1S09,24</v>
      </c>
      <c r="AA190" s="136" t="str">
        <f>VLOOKUP(tbl_IO_List[[#This Row],[Column23]],tbl_RackConfig[],5,FALSE) &amp;"-"&amp;tbl_IO_List[[#This Row],[Point]]</f>
        <v>1756-OB32-24</v>
      </c>
      <c r="AB190" s="136"/>
      <c r="AC190" s="136" t="s">
        <v>1370</v>
      </c>
      <c r="AD190" s="136" t="str">
        <f>tbl_IO_List[[#This Row],[I/O Type]]</f>
        <v>DO</v>
      </c>
      <c r="AE190" s="136" t="s">
        <v>1332</v>
      </c>
      <c r="AF190" s="136">
        <v>9</v>
      </c>
      <c r="AG190" s="136">
        <v>24</v>
      </c>
      <c r="AH190" s="136">
        <v>25</v>
      </c>
      <c r="AI190" s="136">
        <v>27</v>
      </c>
      <c r="AJ190" s="136">
        <v>2</v>
      </c>
      <c r="AK190" s="136">
        <v>1</v>
      </c>
      <c r="AL190" s="136">
        <v>0</v>
      </c>
      <c r="AM190" s="136">
        <v>0</v>
      </c>
      <c r="AN190" s="136">
        <v>0</v>
      </c>
      <c r="AO190" s="136"/>
      <c r="AP190" s="143" t="e">
        <f>VLOOKUP(tbl_IO_List[[#This Row],[Instruement Tag]],tbl_Instruement_List[],14,FALSE)</f>
        <v>#N/A</v>
      </c>
      <c r="AQ190" s="143" t="str">
        <f>tbl_IO_List[[#This Row],[Chassis]]&amp;"S"&amp;tbl_IO_List[[#This Row],[Slot]]&amp;"-"&amp;tbl_IO_List[[#This Row],[Front Terminal Number]]</f>
        <v>C1S9-27</v>
      </c>
      <c r="AR190" s="141" t="s">
        <v>1854</v>
      </c>
      <c r="AS190" s="136" t="str">
        <f>tbl_IO_List[[#This Row],[Terminal Tagging]]&amp;"-"&amp;tbl_IO_List[[#This Row],[Point-Count]]</f>
        <v>P1-TBRL2-25</v>
      </c>
      <c r="AT190" s="136" t="str">
        <f>tbl_IO_List[[#This Row],[Front Terminal Tagging]]&amp;"/"&amp;tbl_IO_List[[#This Row],[Terminal Tagging-Item]]</f>
        <v>C1S9-27/P1-TBRL2-25</v>
      </c>
      <c r="AU190" s="136" t="str">
        <f>tbl_IO_List[[#This Row],[Terminal Tagging-Item]]&amp;"/"&amp;tbl_IO_List[[#This Row],[Front Terminal Tagging]]</f>
        <v>P1-TBRL2-25/C1S9-27</v>
      </c>
    </row>
    <row r="191" spans="1:47" hidden="1">
      <c r="A191" s="147" t="s">
        <v>1369</v>
      </c>
      <c r="B191" s="136" t="s">
        <v>191</v>
      </c>
      <c r="C191" s="136" t="str">
        <f>tbl_IO_List[[#This Row],[Column3]]</f>
        <v>C1S09,25</v>
      </c>
      <c r="D191" s="136" t="str">
        <f>tbl_IO_List[[#This Row],[Card]]</f>
        <v>1756-OB32-25</v>
      </c>
      <c r="E191" s="136" t="s">
        <v>1372</v>
      </c>
      <c r="F191" s="136" t="str">
        <f>tbl_IO_List[[#This Row],[Column23]]&amp;"-" &amp;tbl_IO_List[[#This Row],[Column52]]</f>
        <v>C1S09-X2</v>
      </c>
      <c r="G191" s="136" t="str">
        <f>tbl_IO_List[[#This Row],[PLC_Tag]]</f>
        <v>XV-60251_DO_1</v>
      </c>
      <c r="H191" s="136"/>
      <c r="I191" s="136" t="str">
        <f>VLOOKUP(tbl_IO_List[[#This Row],[Destination]],tbl_Junction[],2,FALSE)</f>
        <v>Spray Dryer 1st Floor</v>
      </c>
      <c r="J191" s="136" t="s">
        <v>191</v>
      </c>
      <c r="K191" s="136" t="s">
        <v>115</v>
      </c>
      <c r="L191" s="136" t="s">
        <v>132</v>
      </c>
      <c r="M191" s="136">
        <f>VLOOKUP(tbl_IO_List[[#This Row],[Instruement Tag]],tbl_Instruement_List[],2,FALSE)</f>
        <v>0</v>
      </c>
      <c r="N191" s="136" t="s">
        <v>15</v>
      </c>
      <c r="O191" s="136" t="s">
        <v>126</v>
      </c>
      <c r="P191" s="136" t="s">
        <v>127</v>
      </c>
      <c r="Q191" s="136" t="str">
        <f>VLOOKUP(tbl_IO_List[[#This Row],[Instruement Tag]],tbl_Instruement_List[],6,FALSE)</f>
        <v>Liquid On/Off Valve for Drain Pipe (PIPE)</v>
      </c>
      <c r="R191" s="136"/>
      <c r="S19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191" s="136" t="str">
        <f>tbl_IO_List[[#This Row],[Instruement Tag]]&amp;"_"&amp;tbl_IO_List[[#This Row],[I/O Type]]&amp;"_"&amp;tbl_IO_List[[#This Row],[IO-Point 
(Instruement)]]</f>
        <v>XV-60251_DO_1</v>
      </c>
      <c r="U191" s="136" t="s">
        <v>7</v>
      </c>
      <c r="V191" s="136">
        <f>VLOOKUP(tbl_IO_List[[#This Row],[I/O Type]],tbl_Slot_Group[],2,FALSE)</f>
        <v>2</v>
      </c>
      <c r="W191" s="136">
        <v>1</v>
      </c>
      <c r="X191" s="136" t="str">
        <f>tbl_IO_List[[#This Row],[Chassis]]&amp;"S"&amp;TEXT(tbl_IO_List[[#This Row],[Slot]],"00")</f>
        <v>C1S09</v>
      </c>
      <c r="Y191" s="136" t="str">
        <f>tbl_IO_List[[#This Row],[Chassis]]&amp;"S"&amp;TEXT(tbl_IO_List[[#This Row],[Slot]],"00")&amp;tbl_IO_List[[#This Row],[I/O Type]]&amp;TEXT(tbl_IO_List[[#This Row],[Point]],"00")</f>
        <v>C1S09DO25</v>
      </c>
      <c r="Z191" s="136" t="str">
        <f>tbl_IO_List[[#This Row],[Chassis]]&amp;"S"&amp;TEXT(tbl_IO_List[[#This Row],[Slot]],"00")&amp;","&amp;TEXT(tbl_IO_List[[#This Row],[Point]],"00")</f>
        <v>C1S09,25</v>
      </c>
      <c r="AA191" s="136" t="str">
        <f>VLOOKUP(tbl_IO_List[[#This Row],[Column23]],tbl_RackConfig[],5,FALSE) &amp;"-"&amp;tbl_IO_List[[#This Row],[Point]]</f>
        <v>1756-OB32-25</v>
      </c>
      <c r="AB191" s="136"/>
      <c r="AC191" s="136" t="s">
        <v>1370</v>
      </c>
      <c r="AD191" s="136" t="str">
        <f>tbl_IO_List[[#This Row],[I/O Type]]</f>
        <v>DO</v>
      </c>
      <c r="AE191" s="136" t="s">
        <v>1332</v>
      </c>
      <c r="AF191" s="136">
        <v>9</v>
      </c>
      <c r="AG191" s="136">
        <v>25</v>
      </c>
      <c r="AH191" s="136">
        <v>26</v>
      </c>
      <c r="AI191" s="136">
        <v>28</v>
      </c>
      <c r="AJ191" s="136">
        <v>2</v>
      </c>
      <c r="AK191" s="136">
        <v>1</v>
      </c>
      <c r="AL191" s="136">
        <v>0</v>
      </c>
      <c r="AM191" s="136">
        <v>0</v>
      </c>
      <c r="AN191" s="136">
        <v>0</v>
      </c>
      <c r="AO191" s="136"/>
      <c r="AP191" s="143" t="str">
        <f>VLOOKUP(tbl_IO_List[[#This Row],[Instruement Tag]],tbl_Instruement_List[],14,FALSE)</f>
        <v>24 VDC energized</v>
      </c>
      <c r="AQ191" s="143" t="str">
        <f>tbl_IO_List[[#This Row],[Chassis]]&amp;"S"&amp;tbl_IO_List[[#This Row],[Slot]]&amp;"-"&amp;tbl_IO_List[[#This Row],[Front Terminal Number]]</f>
        <v>C1S9-28</v>
      </c>
      <c r="AR191" s="141" t="s">
        <v>1854</v>
      </c>
      <c r="AS191" s="136" t="str">
        <f>tbl_IO_List[[#This Row],[Terminal Tagging]]&amp;"-"&amp;tbl_IO_List[[#This Row],[Point-Count]]</f>
        <v>P1-TBRL2-26</v>
      </c>
      <c r="AT191" s="136" t="str">
        <f>tbl_IO_List[[#This Row],[Front Terminal Tagging]]&amp;"/"&amp;tbl_IO_List[[#This Row],[Terminal Tagging-Item]]</f>
        <v>C1S9-28/P1-TBRL2-26</v>
      </c>
      <c r="AU191" s="136" t="str">
        <f>tbl_IO_List[[#This Row],[Terminal Tagging-Item]]&amp;"/"&amp;tbl_IO_List[[#This Row],[Front Terminal Tagging]]</f>
        <v>P1-TBRL2-26/C1S9-28</v>
      </c>
    </row>
    <row r="192" spans="1:47" hidden="1">
      <c r="A192" s="147" t="s">
        <v>1369</v>
      </c>
      <c r="B192" s="136" t="s">
        <v>191</v>
      </c>
      <c r="C192" s="136" t="str">
        <f>tbl_IO_List[[#This Row],[Column3]]</f>
        <v>C1S09,26</v>
      </c>
      <c r="D192" s="136" t="str">
        <f>tbl_IO_List[[#This Row],[Card]]</f>
        <v>1756-OB32-26</v>
      </c>
      <c r="E192" s="136" t="s">
        <v>1372</v>
      </c>
      <c r="F192" s="136" t="str">
        <f>tbl_IO_List[[#This Row],[Column23]]&amp;"-" &amp;tbl_IO_List[[#This Row],[Column52]]</f>
        <v>C1S09-X2</v>
      </c>
      <c r="G192" s="136" t="str">
        <f>tbl_IO_List[[#This Row],[PLC_Tag]]</f>
        <v>XV-60202_DO_1</v>
      </c>
      <c r="H192" s="136"/>
      <c r="I192" s="136" t="str">
        <f>VLOOKUP(tbl_IO_List[[#This Row],[Destination]],tbl_Junction[],2,FALSE)</f>
        <v>Spray Dryer 1st Floor</v>
      </c>
      <c r="J192" s="136" t="s">
        <v>191</v>
      </c>
      <c r="K192" s="136" t="s">
        <v>14</v>
      </c>
      <c r="L192" s="136" t="s">
        <v>211</v>
      </c>
      <c r="M192" s="136">
        <f>VLOOKUP(tbl_IO_List[[#This Row],[Instruement Tag]],tbl_Instruement_List[],2,FALSE)</f>
        <v>0</v>
      </c>
      <c r="N192" s="136" t="s">
        <v>15</v>
      </c>
      <c r="O192" s="136" t="s">
        <v>202</v>
      </c>
      <c r="P192" s="136" t="s">
        <v>203</v>
      </c>
      <c r="Q192" s="136" t="str">
        <f>VLOOKUP(tbl_IO_List[[#This Row],[Instruement Tag]],tbl_Instruement_List[],6,FALSE)</f>
        <v xml:space="preserve">High Pressure Water On/Off Valve for Drain Pipe </v>
      </c>
      <c r="R192" s="136"/>
      <c r="S19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192" s="136" t="str">
        <f>tbl_IO_List[[#This Row],[Instruement Tag]]&amp;"_"&amp;tbl_IO_List[[#This Row],[I/O Type]]&amp;"_"&amp;tbl_IO_List[[#This Row],[IO-Point 
(Instruement)]]</f>
        <v>XV-60202_DO_1</v>
      </c>
      <c r="U192" s="136" t="s">
        <v>7</v>
      </c>
      <c r="V192" s="136">
        <f>VLOOKUP(tbl_IO_List[[#This Row],[I/O Type]],tbl_Slot_Group[],2,FALSE)</f>
        <v>2</v>
      </c>
      <c r="W192" s="136">
        <v>1</v>
      </c>
      <c r="X192" s="136" t="str">
        <f>tbl_IO_List[[#This Row],[Chassis]]&amp;"S"&amp;TEXT(tbl_IO_List[[#This Row],[Slot]],"00")</f>
        <v>C1S09</v>
      </c>
      <c r="Y192" s="136" t="str">
        <f>tbl_IO_List[[#This Row],[Chassis]]&amp;"S"&amp;TEXT(tbl_IO_List[[#This Row],[Slot]],"00")&amp;tbl_IO_List[[#This Row],[I/O Type]]&amp;TEXT(tbl_IO_List[[#This Row],[Point]],"00")</f>
        <v>C1S09DO26</v>
      </c>
      <c r="Z192" s="136" t="str">
        <f>tbl_IO_List[[#This Row],[Chassis]]&amp;"S"&amp;TEXT(tbl_IO_List[[#This Row],[Slot]],"00")&amp;","&amp;TEXT(tbl_IO_List[[#This Row],[Point]],"00")</f>
        <v>C1S09,26</v>
      </c>
      <c r="AA192" s="136" t="str">
        <f>VLOOKUP(tbl_IO_List[[#This Row],[Column23]],tbl_RackConfig[],5,FALSE) &amp;"-"&amp;tbl_IO_List[[#This Row],[Point]]</f>
        <v>1756-OB32-26</v>
      </c>
      <c r="AB192" s="136"/>
      <c r="AC192" s="136" t="s">
        <v>1370</v>
      </c>
      <c r="AD192" s="136" t="str">
        <f>tbl_IO_List[[#This Row],[I/O Type]]</f>
        <v>DO</v>
      </c>
      <c r="AE192" s="136" t="s">
        <v>1332</v>
      </c>
      <c r="AF192" s="136">
        <v>9</v>
      </c>
      <c r="AG192" s="136">
        <v>26</v>
      </c>
      <c r="AH192" s="136">
        <v>27</v>
      </c>
      <c r="AI192" s="136">
        <v>29</v>
      </c>
      <c r="AJ192" s="136">
        <v>2</v>
      </c>
      <c r="AK192" s="136">
        <v>1</v>
      </c>
      <c r="AL192" s="136">
        <v>0</v>
      </c>
      <c r="AM192" s="136">
        <v>0</v>
      </c>
      <c r="AN192" s="136">
        <v>0</v>
      </c>
      <c r="AO192" s="136"/>
      <c r="AP192" s="143" t="str">
        <f>VLOOKUP(tbl_IO_List[[#This Row],[Instruement Tag]],tbl_Instruement_List[],14,FALSE)</f>
        <v>24 VDC energized</v>
      </c>
      <c r="AQ192" s="143" t="str">
        <f>tbl_IO_List[[#This Row],[Chassis]]&amp;"S"&amp;tbl_IO_List[[#This Row],[Slot]]&amp;"-"&amp;tbl_IO_List[[#This Row],[Front Terminal Number]]</f>
        <v>C1S9-29</v>
      </c>
      <c r="AR192" s="141" t="s">
        <v>1854</v>
      </c>
      <c r="AS192" s="136" t="str">
        <f>tbl_IO_List[[#This Row],[Terminal Tagging]]&amp;"-"&amp;tbl_IO_List[[#This Row],[Point-Count]]</f>
        <v>P1-TBRL2-27</v>
      </c>
      <c r="AT192" s="136" t="str">
        <f>tbl_IO_List[[#This Row],[Front Terminal Tagging]]&amp;"/"&amp;tbl_IO_List[[#This Row],[Terminal Tagging-Item]]</f>
        <v>C1S9-29/P1-TBRL2-27</v>
      </c>
      <c r="AU192" s="136" t="str">
        <f>tbl_IO_List[[#This Row],[Terminal Tagging-Item]]&amp;"/"&amp;tbl_IO_List[[#This Row],[Front Terminal Tagging]]</f>
        <v>P1-TBRL2-27/C1S9-29</v>
      </c>
    </row>
    <row r="193" spans="1:47" hidden="1">
      <c r="A193" s="147" t="s">
        <v>1369</v>
      </c>
      <c r="B193" s="136" t="s">
        <v>191</v>
      </c>
      <c r="C193" s="136" t="str">
        <f>tbl_IO_List[[#This Row],[Column3]]</f>
        <v>C1S09,27</v>
      </c>
      <c r="D193" s="136" t="str">
        <f>tbl_IO_List[[#This Row],[Card]]</f>
        <v>1756-OB32-27</v>
      </c>
      <c r="E193" s="136" t="s">
        <v>1372</v>
      </c>
      <c r="F193" s="136" t="str">
        <f>tbl_IO_List[[#This Row],[Column23]]&amp;"-" &amp;tbl_IO_List[[#This Row],[Column52]]</f>
        <v>C1S09-X2</v>
      </c>
      <c r="G193" s="136" t="str">
        <f>tbl_IO_List[[#This Row],[PLC_Tag]]</f>
        <v>XV-60205A_DO_1</v>
      </c>
      <c r="H193" s="136"/>
      <c r="I193" s="136" t="str">
        <f>VLOOKUP(tbl_IO_List[[#This Row],[Destination]],tbl_Junction[],2,FALSE)</f>
        <v>Spray Dryer 1st Floor</v>
      </c>
      <c r="J193" s="136" t="s">
        <v>191</v>
      </c>
      <c r="K193" s="136" t="s">
        <v>14</v>
      </c>
      <c r="L193" s="136" t="s">
        <v>219</v>
      </c>
      <c r="M193" s="136">
        <f>VLOOKUP(tbl_IO_List[[#This Row],[Instruement Tag]],tbl_Instruement_List[],2,FALSE)</f>
        <v>0</v>
      </c>
      <c r="N193" s="136" t="s">
        <v>15</v>
      </c>
      <c r="O193" s="136" t="s">
        <v>126</v>
      </c>
      <c r="P193" s="136" t="s">
        <v>127</v>
      </c>
      <c r="Q193" s="136" t="str">
        <f>VLOOKUP(tbl_IO_List[[#This Row],[Instruement Tag]],tbl_Instruement_List[],6,FALSE)</f>
        <v>Cooling Water On/Off Valve for Cooling Water Supply for PUPD-11 (PUPD-11)</v>
      </c>
      <c r="R193" s="136"/>
      <c r="S19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193" s="136" t="str">
        <f>tbl_IO_List[[#This Row],[Instruement Tag]]&amp;"_"&amp;tbl_IO_List[[#This Row],[I/O Type]]&amp;"_"&amp;tbl_IO_List[[#This Row],[IO-Point 
(Instruement)]]</f>
        <v>XV-60205A_DO_1</v>
      </c>
      <c r="U193" s="136" t="s">
        <v>7</v>
      </c>
      <c r="V193" s="136">
        <f>VLOOKUP(tbl_IO_List[[#This Row],[I/O Type]],tbl_Slot_Group[],2,FALSE)</f>
        <v>2</v>
      </c>
      <c r="W193" s="136">
        <v>1</v>
      </c>
      <c r="X193" s="136" t="str">
        <f>tbl_IO_List[[#This Row],[Chassis]]&amp;"S"&amp;TEXT(tbl_IO_List[[#This Row],[Slot]],"00")</f>
        <v>C1S09</v>
      </c>
      <c r="Y193" s="136" t="str">
        <f>tbl_IO_List[[#This Row],[Chassis]]&amp;"S"&amp;TEXT(tbl_IO_List[[#This Row],[Slot]],"00")&amp;tbl_IO_List[[#This Row],[I/O Type]]&amp;TEXT(tbl_IO_List[[#This Row],[Point]],"00")</f>
        <v>C1S09DO27</v>
      </c>
      <c r="Z193" s="136" t="str">
        <f>tbl_IO_List[[#This Row],[Chassis]]&amp;"S"&amp;TEXT(tbl_IO_List[[#This Row],[Slot]],"00")&amp;","&amp;TEXT(tbl_IO_List[[#This Row],[Point]],"00")</f>
        <v>C1S09,27</v>
      </c>
      <c r="AA193" s="136" t="str">
        <f>VLOOKUP(tbl_IO_List[[#This Row],[Column23]],tbl_RackConfig[],5,FALSE) &amp;"-"&amp;tbl_IO_List[[#This Row],[Point]]</f>
        <v>1756-OB32-27</v>
      </c>
      <c r="AB193" s="136"/>
      <c r="AC193" s="136" t="s">
        <v>1370</v>
      </c>
      <c r="AD193" s="136" t="str">
        <f>tbl_IO_List[[#This Row],[I/O Type]]</f>
        <v>DO</v>
      </c>
      <c r="AE193" s="136" t="s">
        <v>1332</v>
      </c>
      <c r="AF193" s="136">
        <v>9</v>
      </c>
      <c r="AG193" s="136">
        <v>27</v>
      </c>
      <c r="AH193" s="136">
        <v>28</v>
      </c>
      <c r="AI193" s="136">
        <v>30</v>
      </c>
      <c r="AJ193" s="136">
        <v>2</v>
      </c>
      <c r="AK193" s="136">
        <v>1</v>
      </c>
      <c r="AL193" s="136">
        <v>0</v>
      </c>
      <c r="AM193" s="136">
        <v>0</v>
      </c>
      <c r="AN193" s="136">
        <v>0</v>
      </c>
      <c r="AO193" s="136"/>
      <c r="AP193" s="143" t="str">
        <f>VLOOKUP(tbl_IO_List[[#This Row],[Instruement Tag]],tbl_Instruement_List[],14,FALSE)</f>
        <v>24 VDC energized,Dry Contact</v>
      </c>
      <c r="AQ193" s="143" t="str">
        <f>tbl_IO_List[[#This Row],[Chassis]]&amp;"S"&amp;tbl_IO_List[[#This Row],[Slot]]&amp;"-"&amp;tbl_IO_List[[#This Row],[Front Terminal Number]]</f>
        <v>C1S9-30</v>
      </c>
      <c r="AR193" s="141" t="s">
        <v>1854</v>
      </c>
      <c r="AS193" s="136" t="str">
        <f>tbl_IO_List[[#This Row],[Terminal Tagging]]&amp;"-"&amp;tbl_IO_List[[#This Row],[Point-Count]]</f>
        <v>P1-TBRL2-28</v>
      </c>
      <c r="AT193" s="136" t="str">
        <f>tbl_IO_List[[#This Row],[Front Terminal Tagging]]&amp;"/"&amp;tbl_IO_List[[#This Row],[Terminal Tagging-Item]]</f>
        <v>C1S9-30/P1-TBRL2-28</v>
      </c>
      <c r="AU193" s="136" t="str">
        <f>tbl_IO_List[[#This Row],[Terminal Tagging-Item]]&amp;"/"&amp;tbl_IO_List[[#This Row],[Front Terminal Tagging]]</f>
        <v>P1-TBRL2-28/C1S9-30</v>
      </c>
    </row>
    <row r="194" spans="1:47" hidden="1">
      <c r="A194" s="147" t="s">
        <v>1369</v>
      </c>
      <c r="B194" s="136" t="s">
        <v>191</v>
      </c>
      <c r="C194" s="136" t="str">
        <f>tbl_IO_List[[#This Row],[Column3]]</f>
        <v>C1S09,28</v>
      </c>
      <c r="D194" s="136" t="str">
        <f>tbl_IO_List[[#This Row],[Card]]</f>
        <v>1756-OB32-28</v>
      </c>
      <c r="E194" s="136" t="s">
        <v>1372</v>
      </c>
      <c r="F194" s="136" t="str">
        <f>tbl_IO_List[[#This Row],[Column23]]&amp;"-" &amp;tbl_IO_List[[#This Row],[Column52]]</f>
        <v>C1S09-X2</v>
      </c>
      <c r="G194" s="136" t="str">
        <f>tbl_IO_List[[#This Row],[PLC_Tag]]</f>
        <v>Spare_DO_0</v>
      </c>
      <c r="H194" s="136"/>
      <c r="I194" s="136" t="str">
        <f>VLOOKUP(tbl_IO_List[[#This Row],[Destination]],tbl_Junction[],2,FALSE)</f>
        <v>Spray Dryer 1st Floor</v>
      </c>
      <c r="J194" s="136" t="s">
        <v>191</v>
      </c>
      <c r="K194" s="136"/>
      <c r="L194" s="136" t="s">
        <v>411</v>
      </c>
      <c r="M194" s="136" t="e">
        <f>VLOOKUP(tbl_IO_List[[#This Row],[Instruement Tag]],tbl_Instruement_List[],2,FALSE)</f>
        <v>#N/A</v>
      </c>
      <c r="N194" s="136"/>
      <c r="O194" s="136"/>
      <c r="P194" s="136"/>
      <c r="Q194" s="136" t="e">
        <f>VLOOKUP(tbl_IO_List[[#This Row],[Instruement Tag]],tbl_Instruement_List[],6,FALSE)</f>
        <v>#N/A</v>
      </c>
      <c r="R194" s="136"/>
      <c r="S19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94" s="136" t="str">
        <f>tbl_IO_List[[#This Row],[Instruement Tag]]&amp;"_"&amp;tbl_IO_List[[#This Row],[I/O Type]]&amp;"_"&amp;tbl_IO_List[[#This Row],[IO-Point 
(Instruement)]]</f>
        <v>Spare_DO_0</v>
      </c>
      <c r="U194" s="136" t="s">
        <v>7</v>
      </c>
      <c r="V194" s="136">
        <f>VLOOKUP(tbl_IO_List[[#This Row],[I/O Type]],tbl_Slot_Group[],2,FALSE)</f>
        <v>2</v>
      </c>
      <c r="W194" s="136">
        <v>0</v>
      </c>
      <c r="X194" s="136" t="str">
        <f>tbl_IO_List[[#This Row],[Chassis]]&amp;"S"&amp;TEXT(tbl_IO_List[[#This Row],[Slot]],"00")</f>
        <v>C1S09</v>
      </c>
      <c r="Y194" s="136" t="str">
        <f>tbl_IO_List[[#This Row],[Chassis]]&amp;"S"&amp;TEXT(tbl_IO_List[[#This Row],[Slot]],"00")&amp;tbl_IO_List[[#This Row],[I/O Type]]&amp;TEXT(tbl_IO_List[[#This Row],[Point]],"00")</f>
        <v>C1S09DO28</v>
      </c>
      <c r="Z194" s="136" t="str">
        <f>tbl_IO_List[[#This Row],[Chassis]]&amp;"S"&amp;TEXT(tbl_IO_List[[#This Row],[Slot]],"00")&amp;","&amp;TEXT(tbl_IO_List[[#This Row],[Point]],"00")</f>
        <v>C1S09,28</v>
      </c>
      <c r="AA194" s="136" t="str">
        <f>VLOOKUP(tbl_IO_List[[#This Row],[Column23]],tbl_RackConfig[],5,FALSE) &amp;"-"&amp;tbl_IO_List[[#This Row],[Point]]</f>
        <v>1756-OB32-28</v>
      </c>
      <c r="AB194" s="136"/>
      <c r="AC194" s="136" t="s">
        <v>1370</v>
      </c>
      <c r="AD194" s="136" t="str">
        <f>tbl_IO_List[[#This Row],[I/O Type]]</f>
        <v>DO</v>
      </c>
      <c r="AE194" s="136" t="s">
        <v>1332</v>
      </c>
      <c r="AF194" s="136">
        <v>9</v>
      </c>
      <c r="AG194" s="136">
        <v>28</v>
      </c>
      <c r="AH194" s="136">
        <v>29</v>
      </c>
      <c r="AI194" s="136">
        <v>31</v>
      </c>
      <c r="AJ194" s="136">
        <v>0</v>
      </c>
      <c r="AK194" s="136">
        <v>1</v>
      </c>
      <c r="AL194" s="136">
        <v>0</v>
      </c>
      <c r="AM194" s="136">
        <v>0</v>
      </c>
      <c r="AN194" s="136">
        <v>0</v>
      </c>
      <c r="AO194" s="136"/>
      <c r="AP194" s="143" t="e">
        <f>VLOOKUP(tbl_IO_List[[#This Row],[Instruement Tag]],tbl_Instruement_List[],14,FALSE)</f>
        <v>#N/A</v>
      </c>
      <c r="AQ194" s="143" t="str">
        <f>tbl_IO_List[[#This Row],[Chassis]]&amp;"S"&amp;tbl_IO_List[[#This Row],[Slot]]&amp;"-"&amp;tbl_IO_List[[#This Row],[Front Terminal Number]]</f>
        <v>C1S9-31</v>
      </c>
      <c r="AR194" s="141" t="s">
        <v>1854</v>
      </c>
      <c r="AS194" s="136" t="str">
        <f>tbl_IO_List[[#This Row],[Terminal Tagging]]&amp;"-"&amp;tbl_IO_List[[#This Row],[Point-Count]]</f>
        <v>P1-TBRL2-29</v>
      </c>
      <c r="AT194" s="136" t="str">
        <f>tbl_IO_List[[#This Row],[Front Terminal Tagging]]&amp;"/"&amp;tbl_IO_List[[#This Row],[Terminal Tagging-Item]]</f>
        <v>C1S9-31/P1-TBRL2-29</v>
      </c>
      <c r="AU194" s="136" t="str">
        <f>tbl_IO_List[[#This Row],[Terminal Tagging-Item]]&amp;"/"&amp;tbl_IO_List[[#This Row],[Front Terminal Tagging]]</f>
        <v>P1-TBRL2-29/C1S9-31</v>
      </c>
    </row>
    <row r="195" spans="1:47" hidden="1">
      <c r="A195" s="147" t="s">
        <v>1369</v>
      </c>
      <c r="B195" s="136" t="s">
        <v>191</v>
      </c>
      <c r="C195" s="136" t="str">
        <f>tbl_IO_List[[#This Row],[Column3]]</f>
        <v>C1S09,29</v>
      </c>
      <c r="D195" s="136" t="str">
        <f>tbl_IO_List[[#This Row],[Card]]</f>
        <v>1756-OB32-29</v>
      </c>
      <c r="E195" s="136" t="s">
        <v>1372</v>
      </c>
      <c r="F195" s="136" t="str">
        <f>tbl_IO_List[[#This Row],[Column23]]&amp;"-" &amp;tbl_IO_List[[#This Row],[Column52]]</f>
        <v>C1S09-X2</v>
      </c>
      <c r="G195" s="136" t="str">
        <f>tbl_IO_List[[#This Row],[PLC_Tag]]</f>
        <v>Spare_DO_0</v>
      </c>
      <c r="H195" s="136"/>
      <c r="I195" s="136" t="str">
        <f>VLOOKUP(tbl_IO_List[[#This Row],[Destination]],tbl_Junction[],2,FALSE)</f>
        <v>Spray Dryer 1st Floor</v>
      </c>
      <c r="J195" s="136" t="s">
        <v>191</v>
      </c>
      <c r="K195" s="136"/>
      <c r="L195" s="136" t="s">
        <v>411</v>
      </c>
      <c r="M195" s="136" t="e">
        <f>VLOOKUP(tbl_IO_List[[#This Row],[Instruement Tag]],tbl_Instruement_List[],2,FALSE)</f>
        <v>#N/A</v>
      </c>
      <c r="N195" s="136"/>
      <c r="O195" s="136"/>
      <c r="P195" s="136"/>
      <c r="Q195" s="136" t="e">
        <f>VLOOKUP(tbl_IO_List[[#This Row],[Instruement Tag]],tbl_Instruement_List[],6,FALSE)</f>
        <v>#N/A</v>
      </c>
      <c r="R195" s="136"/>
      <c r="S19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95" s="136" t="str">
        <f>tbl_IO_List[[#This Row],[Instruement Tag]]&amp;"_"&amp;tbl_IO_List[[#This Row],[I/O Type]]&amp;"_"&amp;tbl_IO_List[[#This Row],[IO-Point 
(Instruement)]]</f>
        <v>Spare_DO_0</v>
      </c>
      <c r="U195" s="136" t="s">
        <v>7</v>
      </c>
      <c r="V195" s="136">
        <f>VLOOKUP(tbl_IO_List[[#This Row],[I/O Type]],tbl_Slot_Group[],2,FALSE)</f>
        <v>2</v>
      </c>
      <c r="W195" s="136">
        <v>0</v>
      </c>
      <c r="X195" s="136" t="str">
        <f>tbl_IO_List[[#This Row],[Chassis]]&amp;"S"&amp;TEXT(tbl_IO_List[[#This Row],[Slot]],"00")</f>
        <v>C1S09</v>
      </c>
      <c r="Y195" s="136" t="str">
        <f>tbl_IO_List[[#This Row],[Chassis]]&amp;"S"&amp;TEXT(tbl_IO_List[[#This Row],[Slot]],"00")&amp;tbl_IO_List[[#This Row],[I/O Type]]&amp;TEXT(tbl_IO_List[[#This Row],[Point]],"00")</f>
        <v>C1S09DO29</v>
      </c>
      <c r="Z195" s="136" t="str">
        <f>tbl_IO_List[[#This Row],[Chassis]]&amp;"S"&amp;TEXT(tbl_IO_List[[#This Row],[Slot]],"00")&amp;","&amp;TEXT(tbl_IO_List[[#This Row],[Point]],"00")</f>
        <v>C1S09,29</v>
      </c>
      <c r="AA195" s="136" t="str">
        <f>VLOOKUP(tbl_IO_List[[#This Row],[Column23]],tbl_RackConfig[],5,FALSE) &amp;"-"&amp;tbl_IO_List[[#This Row],[Point]]</f>
        <v>1756-OB32-29</v>
      </c>
      <c r="AB195" s="136"/>
      <c r="AC195" s="136" t="s">
        <v>1370</v>
      </c>
      <c r="AD195" s="136" t="str">
        <f>tbl_IO_List[[#This Row],[I/O Type]]</f>
        <v>DO</v>
      </c>
      <c r="AE195" s="136" t="s">
        <v>1332</v>
      </c>
      <c r="AF195" s="136">
        <v>9</v>
      </c>
      <c r="AG195" s="136">
        <v>29</v>
      </c>
      <c r="AH195" s="136">
        <v>30</v>
      </c>
      <c r="AI195" s="136">
        <v>32</v>
      </c>
      <c r="AJ195" s="136">
        <v>0</v>
      </c>
      <c r="AK195" s="136">
        <v>1</v>
      </c>
      <c r="AL195" s="136">
        <v>0</v>
      </c>
      <c r="AM195" s="136">
        <v>0</v>
      </c>
      <c r="AN195" s="136">
        <v>0</v>
      </c>
      <c r="AO195" s="136"/>
      <c r="AP195" s="143" t="e">
        <f>VLOOKUP(tbl_IO_List[[#This Row],[Instruement Tag]],tbl_Instruement_List[],14,FALSE)</f>
        <v>#N/A</v>
      </c>
      <c r="AQ195" s="143" t="str">
        <f>tbl_IO_List[[#This Row],[Chassis]]&amp;"S"&amp;tbl_IO_List[[#This Row],[Slot]]&amp;"-"&amp;tbl_IO_List[[#This Row],[Front Terminal Number]]</f>
        <v>C1S9-32</v>
      </c>
      <c r="AR195" s="141" t="s">
        <v>1854</v>
      </c>
      <c r="AS195" s="136" t="str">
        <f>tbl_IO_List[[#This Row],[Terminal Tagging]]&amp;"-"&amp;tbl_IO_List[[#This Row],[Point-Count]]</f>
        <v>P1-TBRL2-30</v>
      </c>
      <c r="AT195" s="136" t="str">
        <f>tbl_IO_List[[#This Row],[Front Terminal Tagging]]&amp;"/"&amp;tbl_IO_List[[#This Row],[Terminal Tagging-Item]]</f>
        <v>C1S9-32/P1-TBRL2-30</v>
      </c>
      <c r="AU195" s="136" t="str">
        <f>tbl_IO_List[[#This Row],[Terminal Tagging-Item]]&amp;"/"&amp;tbl_IO_List[[#This Row],[Front Terminal Tagging]]</f>
        <v>P1-TBRL2-30/C1S9-32</v>
      </c>
    </row>
    <row r="196" spans="1:47" hidden="1">
      <c r="A196" s="147" t="s">
        <v>1369</v>
      </c>
      <c r="B196" s="136" t="s">
        <v>191</v>
      </c>
      <c r="C196" s="136" t="str">
        <f>tbl_IO_List[[#This Row],[Column3]]</f>
        <v>C1S09,30</v>
      </c>
      <c r="D196" s="136" t="str">
        <f>tbl_IO_List[[#This Row],[Card]]</f>
        <v>1756-OB32-30</v>
      </c>
      <c r="E196" s="136" t="s">
        <v>1372</v>
      </c>
      <c r="F196" s="136" t="str">
        <f>tbl_IO_List[[#This Row],[Column23]]&amp;"-" &amp;tbl_IO_List[[#This Row],[Column52]]</f>
        <v>C1S09-X2</v>
      </c>
      <c r="G196" s="136" t="str">
        <f>tbl_IO_List[[#This Row],[PLC_Tag]]</f>
        <v>Spare_DO_0</v>
      </c>
      <c r="H196" s="136"/>
      <c r="I196" s="136" t="str">
        <f>VLOOKUP(tbl_IO_List[[#This Row],[Destination]],tbl_Junction[],2,FALSE)</f>
        <v>Spray Dryer 1st Floor</v>
      </c>
      <c r="J196" s="136" t="s">
        <v>191</v>
      </c>
      <c r="K196" s="136"/>
      <c r="L196" s="136" t="s">
        <v>411</v>
      </c>
      <c r="M196" s="136" t="e">
        <f>VLOOKUP(tbl_IO_List[[#This Row],[Instruement Tag]],tbl_Instruement_List[],2,FALSE)</f>
        <v>#N/A</v>
      </c>
      <c r="N196" s="136"/>
      <c r="O196" s="136"/>
      <c r="P196" s="136"/>
      <c r="Q196" s="136" t="e">
        <f>VLOOKUP(tbl_IO_List[[#This Row],[Instruement Tag]],tbl_Instruement_List[],6,FALSE)</f>
        <v>#N/A</v>
      </c>
      <c r="R196" s="136"/>
      <c r="S19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96" s="136" t="str">
        <f>tbl_IO_List[[#This Row],[Instruement Tag]]&amp;"_"&amp;tbl_IO_List[[#This Row],[I/O Type]]&amp;"_"&amp;tbl_IO_List[[#This Row],[IO-Point 
(Instruement)]]</f>
        <v>Spare_DO_0</v>
      </c>
      <c r="U196" s="136" t="s">
        <v>7</v>
      </c>
      <c r="V196" s="136">
        <f>VLOOKUP(tbl_IO_List[[#This Row],[I/O Type]],tbl_Slot_Group[],2,FALSE)</f>
        <v>2</v>
      </c>
      <c r="W196" s="136">
        <v>0</v>
      </c>
      <c r="X196" s="136" t="str">
        <f>tbl_IO_List[[#This Row],[Chassis]]&amp;"S"&amp;TEXT(tbl_IO_List[[#This Row],[Slot]],"00")</f>
        <v>C1S09</v>
      </c>
      <c r="Y196" s="136" t="str">
        <f>tbl_IO_List[[#This Row],[Chassis]]&amp;"S"&amp;TEXT(tbl_IO_List[[#This Row],[Slot]],"00")&amp;tbl_IO_List[[#This Row],[I/O Type]]&amp;TEXT(tbl_IO_List[[#This Row],[Point]],"00")</f>
        <v>C1S09DO30</v>
      </c>
      <c r="Z196" s="136" t="str">
        <f>tbl_IO_List[[#This Row],[Chassis]]&amp;"S"&amp;TEXT(tbl_IO_List[[#This Row],[Slot]],"00")&amp;","&amp;TEXT(tbl_IO_List[[#This Row],[Point]],"00")</f>
        <v>C1S09,30</v>
      </c>
      <c r="AA196" s="136" t="str">
        <f>VLOOKUP(tbl_IO_List[[#This Row],[Column23]],tbl_RackConfig[],5,FALSE) &amp;"-"&amp;tbl_IO_List[[#This Row],[Point]]</f>
        <v>1756-OB32-30</v>
      </c>
      <c r="AB196" s="136"/>
      <c r="AC196" s="136" t="s">
        <v>1370</v>
      </c>
      <c r="AD196" s="136" t="str">
        <f>tbl_IO_List[[#This Row],[I/O Type]]</f>
        <v>DO</v>
      </c>
      <c r="AE196" s="136" t="s">
        <v>1332</v>
      </c>
      <c r="AF196" s="136">
        <v>9</v>
      </c>
      <c r="AG196" s="136">
        <v>30</v>
      </c>
      <c r="AH196" s="136">
        <v>31</v>
      </c>
      <c r="AI196" s="136">
        <v>33</v>
      </c>
      <c r="AJ196" s="136">
        <v>0</v>
      </c>
      <c r="AK196" s="136">
        <v>1</v>
      </c>
      <c r="AL196" s="136">
        <v>0</v>
      </c>
      <c r="AM196" s="136">
        <v>0</v>
      </c>
      <c r="AN196" s="136">
        <v>0</v>
      </c>
      <c r="AO196" s="136"/>
      <c r="AP196" s="143" t="e">
        <f>VLOOKUP(tbl_IO_List[[#This Row],[Instruement Tag]],tbl_Instruement_List[],14,FALSE)</f>
        <v>#N/A</v>
      </c>
      <c r="AQ196" s="143" t="str">
        <f>tbl_IO_List[[#This Row],[Chassis]]&amp;"S"&amp;tbl_IO_List[[#This Row],[Slot]]&amp;"-"&amp;tbl_IO_List[[#This Row],[Front Terminal Number]]</f>
        <v>C1S9-33</v>
      </c>
      <c r="AR196" s="141" t="s">
        <v>1854</v>
      </c>
      <c r="AS196" s="136" t="str">
        <f>tbl_IO_List[[#This Row],[Terminal Tagging]]&amp;"-"&amp;tbl_IO_List[[#This Row],[Point-Count]]</f>
        <v>P1-TBRL2-31</v>
      </c>
      <c r="AT196" s="136" t="str">
        <f>tbl_IO_List[[#This Row],[Front Terminal Tagging]]&amp;"/"&amp;tbl_IO_List[[#This Row],[Terminal Tagging-Item]]</f>
        <v>C1S9-33/P1-TBRL2-31</v>
      </c>
      <c r="AU196" s="136" t="str">
        <f>tbl_IO_List[[#This Row],[Terminal Tagging-Item]]&amp;"/"&amp;tbl_IO_List[[#This Row],[Front Terminal Tagging]]</f>
        <v>P1-TBRL2-31/C1S9-33</v>
      </c>
    </row>
    <row r="197" spans="1:47" hidden="1">
      <c r="A197" s="147" t="s">
        <v>1369</v>
      </c>
      <c r="B197" s="136" t="s">
        <v>191</v>
      </c>
      <c r="C197" s="136" t="str">
        <f>tbl_IO_List[[#This Row],[Column3]]</f>
        <v>C1S09,31</v>
      </c>
      <c r="D197" s="136" t="str">
        <f>tbl_IO_List[[#This Row],[Card]]</f>
        <v>1756-OB32-31</v>
      </c>
      <c r="E197" s="136" t="s">
        <v>1372</v>
      </c>
      <c r="F197" s="136" t="str">
        <f>tbl_IO_List[[#This Row],[Column23]]&amp;"-" &amp;tbl_IO_List[[#This Row],[Column52]]</f>
        <v>C1S09-X2</v>
      </c>
      <c r="G197" s="136" t="str">
        <f>tbl_IO_List[[#This Row],[PLC_Tag]]</f>
        <v>Spare_DO_0</v>
      </c>
      <c r="H197" s="136"/>
      <c r="I197" s="136" t="str">
        <f>VLOOKUP(tbl_IO_List[[#This Row],[Destination]],tbl_Junction[],2,FALSE)</f>
        <v>Spray Dryer 1st Floor</v>
      </c>
      <c r="J197" s="136" t="s">
        <v>191</v>
      </c>
      <c r="K197" s="136"/>
      <c r="L197" s="136" t="s">
        <v>411</v>
      </c>
      <c r="M197" s="136" t="e">
        <f>VLOOKUP(tbl_IO_List[[#This Row],[Instruement Tag]],tbl_Instruement_List[],2,FALSE)</f>
        <v>#N/A</v>
      </c>
      <c r="N197" s="136"/>
      <c r="O197" s="136"/>
      <c r="P197" s="136"/>
      <c r="Q197" s="136" t="e">
        <f>VLOOKUP(tbl_IO_List[[#This Row],[Instruement Tag]],tbl_Instruement_List[],6,FALSE)</f>
        <v>#N/A</v>
      </c>
      <c r="R197" s="136"/>
      <c r="S19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97" s="136" t="str">
        <f>tbl_IO_List[[#This Row],[Instruement Tag]]&amp;"_"&amp;tbl_IO_List[[#This Row],[I/O Type]]&amp;"_"&amp;tbl_IO_List[[#This Row],[IO-Point 
(Instruement)]]</f>
        <v>Spare_DO_0</v>
      </c>
      <c r="U197" s="136" t="s">
        <v>7</v>
      </c>
      <c r="V197" s="136">
        <f>VLOOKUP(tbl_IO_List[[#This Row],[I/O Type]],tbl_Slot_Group[],2,FALSE)</f>
        <v>2</v>
      </c>
      <c r="W197" s="136">
        <v>0</v>
      </c>
      <c r="X197" s="136" t="str">
        <f>tbl_IO_List[[#This Row],[Chassis]]&amp;"S"&amp;TEXT(tbl_IO_List[[#This Row],[Slot]],"00")</f>
        <v>C1S09</v>
      </c>
      <c r="Y197" s="136" t="str">
        <f>tbl_IO_List[[#This Row],[Chassis]]&amp;"S"&amp;TEXT(tbl_IO_List[[#This Row],[Slot]],"00")&amp;tbl_IO_List[[#This Row],[I/O Type]]&amp;TEXT(tbl_IO_List[[#This Row],[Point]],"00")</f>
        <v>C1S09DO31</v>
      </c>
      <c r="Z197" s="136" t="str">
        <f>tbl_IO_List[[#This Row],[Chassis]]&amp;"S"&amp;TEXT(tbl_IO_List[[#This Row],[Slot]],"00")&amp;","&amp;TEXT(tbl_IO_List[[#This Row],[Point]],"00")</f>
        <v>C1S09,31</v>
      </c>
      <c r="AA197" s="136" t="str">
        <f>VLOOKUP(tbl_IO_List[[#This Row],[Column23]],tbl_RackConfig[],5,FALSE) &amp;"-"&amp;tbl_IO_List[[#This Row],[Point]]</f>
        <v>1756-OB32-31</v>
      </c>
      <c r="AB197" s="136"/>
      <c r="AC197" s="136" t="s">
        <v>1370</v>
      </c>
      <c r="AD197" s="136" t="str">
        <f>tbl_IO_List[[#This Row],[I/O Type]]</f>
        <v>DO</v>
      </c>
      <c r="AE197" s="136" t="s">
        <v>1332</v>
      </c>
      <c r="AF197" s="136">
        <v>9</v>
      </c>
      <c r="AG197" s="136">
        <v>31</v>
      </c>
      <c r="AH197" s="136">
        <v>32</v>
      </c>
      <c r="AI197" s="136">
        <v>34</v>
      </c>
      <c r="AJ197" s="136">
        <v>0</v>
      </c>
      <c r="AK197" s="136">
        <v>1</v>
      </c>
      <c r="AL197" s="136">
        <v>0</v>
      </c>
      <c r="AM197" s="136">
        <v>0</v>
      </c>
      <c r="AN197" s="136">
        <v>0</v>
      </c>
      <c r="AO197" s="136"/>
      <c r="AP197" s="143" t="e">
        <f>VLOOKUP(tbl_IO_List[[#This Row],[Instruement Tag]],tbl_Instruement_List[],14,FALSE)</f>
        <v>#N/A</v>
      </c>
      <c r="AQ197" s="143" t="str">
        <f>tbl_IO_List[[#This Row],[Chassis]]&amp;"S"&amp;tbl_IO_List[[#This Row],[Slot]]&amp;"-"&amp;tbl_IO_List[[#This Row],[Front Terminal Number]]</f>
        <v>C1S9-34</v>
      </c>
      <c r="AR197" s="141" t="s">
        <v>1854</v>
      </c>
      <c r="AS197" s="136" t="str">
        <f>tbl_IO_List[[#This Row],[Terminal Tagging]]&amp;"-"&amp;tbl_IO_List[[#This Row],[Point-Count]]</f>
        <v>P1-TBRL2-32</v>
      </c>
      <c r="AT197" s="136" t="str">
        <f>tbl_IO_List[[#This Row],[Front Terminal Tagging]]&amp;"/"&amp;tbl_IO_List[[#This Row],[Terminal Tagging-Item]]</f>
        <v>C1S9-34/P1-TBRL2-32</v>
      </c>
      <c r="AU197" s="136" t="str">
        <f>tbl_IO_List[[#This Row],[Terminal Tagging-Item]]&amp;"/"&amp;tbl_IO_List[[#This Row],[Front Terminal Tagging]]</f>
        <v>P1-TBRL2-32/C1S9-34</v>
      </c>
    </row>
    <row r="198" spans="1:47" hidden="1">
      <c r="A198" s="147" t="s">
        <v>1369</v>
      </c>
      <c r="B198" s="136" t="s">
        <v>114</v>
      </c>
      <c r="C198" s="136" t="str">
        <f>tbl_IO_List[[#This Row],[Column3]]</f>
        <v>C1S10,00</v>
      </c>
      <c r="D198" s="136" t="str">
        <f>tbl_IO_List[[#This Row],[Card]]</f>
        <v>1756-IF16-0</v>
      </c>
      <c r="E198" s="136" t="s">
        <v>1366</v>
      </c>
      <c r="F198" s="136" t="str">
        <f>tbl_IO_List[[#This Row],[Column23]]&amp;"-" &amp;tbl_IO_List[[#This Row],[Column52]]</f>
        <v>C1S10-X1</v>
      </c>
      <c r="G198" s="136" t="str">
        <f>tbl_IO_List[[#This Row],[PLC_Tag]]</f>
        <v>FT-40201_AI_1</v>
      </c>
      <c r="H198" s="136"/>
      <c r="I198" s="136" t="str">
        <f>VLOOKUP(tbl_IO_List[[#This Row],[Destination]],tbl_Junction[],2,FALSE)</f>
        <v>Infeed 2nd Floor</v>
      </c>
      <c r="J198" s="136" t="s">
        <v>114</v>
      </c>
      <c r="K198" s="136" t="s">
        <v>115</v>
      </c>
      <c r="L198" s="136" t="s">
        <v>118</v>
      </c>
      <c r="M198" s="136" t="str">
        <f>VLOOKUP(tbl_IO_List[[#This Row],[Instruement Tag]],tbl_Instruement_List[],2,FALSE)</f>
        <v>Coriolis Flow Transmitter</v>
      </c>
      <c r="N198" s="136" t="s">
        <v>15</v>
      </c>
      <c r="O198" s="136" t="s">
        <v>116</v>
      </c>
      <c r="P198" s="136" t="s">
        <v>117</v>
      </c>
      <c r="Q198" s="136" t="str">
        <f>VLOOKUP(tbl_IO_List[[#This Row],[Instruement Tag]],tbl_Instruement_List[],6,FALSE)</f>
        <v xml:space="preserve">Slurry flowrate &amp; density check transfer line  </v>
      </c>
      <c r="R198" s="136"/>
      <c r="S19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1,DO=0,AI=2,AO=0,Bus=0</v>
      </c>
      <c r="T198" s="136" t="str">
        <f>tbl_IO_List[[#This Row],[Instruement Tag]]&amp;"_"&amp;tbl_IO_List[[#This Row],[I/O Type]]&amp;"_"&amp;tbl_IO_List[[#This Row],[IO-Point 
(Instruement)]]</f>
        <v>FT-40201_AI_1</v>
      </c>
      <c r="U198" s="136" t="s">
        <v>10</v>
      </c>
      <c r="V198" s="136">
        <f>VLOOKUP(tbl_IO_List[[#This Row],[I/O Type]],tbl_Slot_Group[],2,FALSE)</f>
        <v>3</v>
      </c>
      <c r="W198" s="136">
        <v>1</v>
      </c>
      <c r="X198" s="136" t="str">
        <f>tbl_IO_List[[#This Row],[Chassis]]&amp;"S"&amp;TEXT(tbl_IO_List[[#This Row],[Slot]],"00")</f>
        <v>C1S10</v>
      </c>
      <c r="Y198" s="136" t="str">
        <f>tbl_IO_List[[#This Row],[Chassis]]&amp;"S"&amp;TEXT(tbl_IO_List[[#This Row],[Slot]],"00")&amp;tbl_IO_List[[#This Row],[I/O Type]]&amp;TEXT(tbl_IO_List[[#This Row],[Point]],"00")</f>
        <v>C1S10AI00</v>
      </c>
      <c r="Z198" s="136" t="str">
        <f>tbl_IO_List[[#This Row],[Chassis]]&amp;"S"&amp;TEXT(tbl_IO_List[[#This Row],[Slot]],"00")&amp;","&amp;TEXT(tbl_IO_List[[#This Row],[Point]],"00")</f>
        <v>C1S10,00</v>
      </c>
      <c r="AA198" s="136" t="str">
        <f>VLOOKUP(tbl_IO_List[[#This Row],[Column23]],tbl_RackConfig[],5,FALSE) &amp;"-"&amp;tbl_IO_List[[#This Row],[Point]]</f>
        <v>1756-IF16-0</v>
      </c>
      <c r="AB198" s="136"/>
      <c r="AC198" s="136" t="s">
        <v>1370</v>
      </c>
      <c r="AD198" s="136" t="str">
        <f>tbl_IO_List[[#This Row],[I/O Type]]</f>
        <v>AI</v>
      </c>
      <c r="AE198" s="136" t="s">
        <v>1332</v>
      </c>
      <c r="AF198" s="136">
        <v>10</v>
      </c>
      <c r="AG198" s="136">
        <v>0</v>
      </c>
      <c r="AH198" s="136"/>
      <c r="AI198" s="136"/>
      <c r="AJ198" s="136">
        <v>1</v>
      </c>
      <c r="AK198" s="136">
        <v>0</v>
      </c>
      <c r="AL198" s="136">
        <v>2</v>
      </c>
      <c r="AM198" s="136">
        <v>0</v>
      </c>
      <c r="AN198" s="136">
        <v>0</v>
      </c>
      <c r="AO198" s="136"/>
      <c r="AP198" s="143" t="str">
        <f>VLOOKUP(tbl_IO_List[[#This Row],[Instruement Tag]],tbl_Instruement_List[],14,FALSE)</f>
        <v>4 - 20 mA,Pulse</v>
      </c>
      <c r="AQ198" s="143" t="str">
        <f>tbl_IO_List[[#This Row],[Chassis]]&amp;"S"&amp;tbl_IO_List[[#This Row],[Slot]]&amp;"-"&amp;tbl_IO_List[[#This Row],[Front Terminal Number]]</f>
        <v>C1S10-</v>
      </c>
      <c r="AR198" s="141" t="s">
        <v>1853</v>
      </c>
      <c r="AS198" s="136" t="str">
        <f>tbl_IO_List[[#This Row],[Terminal Tagging]]&amp;"-"&amp;tbl_IO_List[[#This Row],[Point-Count]]</f>
        <v>P1--</v>
      </c>
      <c r="AT198" s="136" t="str">
        <f>tbl_IO_List[[#This Row],[Front Terminal Tagging]]&amp;"/"&amp;tbl_IO_List[[#This Row],[Terminal Tagging-Item]]</f>
        <v>C1S10-/P1--</v>
      </c>
      <c r="AU198" s="136" t="str">
        <f>tbl_IO_List[[#This Row],[Terminal Tagging-Item]]&amp;"/"&amp;tbl_IO_List[[#This Row],[Front Terminal Tagging]]</f>
        <v>P1--/C1S10-</v>
      </c>
    </row>
    <row r="199" spans="1:47" hidden="1">
      <c r="A199" s="147" t="s">
        <v>1369</v>
      </c>
      <c r="B199" s="136" t="s">
        <v>114</v>
      </c>
      <c r="C199" s="136" t="str">
        <f>tbl_IO_List[[#This Row],[Column3]]</f>
        <v>C1S10,01</v>
      </c>
      <c r="D199" s="136" t="str">
        <f>tbl_IO_List[[#This Row],[Card]]</f>
        <v>1756-IF16-1</v>
      </c>
      <c r="E199" s="136" t="s">
        <v>1366</v>
      </c>
      <c r="F199" s="136" t="str">
        <f>tbl_IO_List[[#This Row],[Column23]]&amp;"-" &amp;tbl_IO_List[[#This Row],[Column52]]</f>
        <v>C1S10-X1</v>
      </c>
      <c r="G199" s="136" t="str">
        <f>tbl_IO_List[[#This Row],[PLC_Tag]]</f>
        <v>FT-40201_AI_2</v>
      </c>
      <c r="H199" s="136"/>
      <c r="I199" s="136" t="str">
        <f>VLOOKUP(tbl_IO_List[[#This Row],[Destination]],tbl_Junction[],2,FALSE)</f>
        <v>Infeed 2nd Floor</v>
      </c>
      <c r="J199" s="136" t="s">
        <v>114</v>
      </c>
      <c r="K199" s="136" t="s">
        <v>115</v>
      </c>
      <c r="L199" s="136" t="s">
        <v>118</v>
      </c>
      <c r="M199" s="136" t="str">
        <f>VLOOKUP(tbl_IO_List[[#This Row],[Instruement Tag]],tbl_Instruement_List[],2,FALSE)</f>
        <v>Coriolis Flow Transmitter</v>
      </c>
      <c r="N199" s="136" t="s">
        <v>15</v>
      </c>
      <c r="O199" s="136" t="s">
        <v>116</v>
      </c>
      <c r="P199" s="136" t="s">
        <v>117</v>
      </c>
      <c r="Q199" s="136" t="str">
        <f>VLOOKUP(tbl_IO_List[[#This Row],[Instruement Tag]],tbl_Instruement_List[],6,FALSE)</f>
        <v xml:space="preserve">Slurry flowrate &amp; density check transfer line  </v>
      </c>
      <c r="R199" s="136"/>
      <c r="S19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1,DO=0,AI=2,AO=0,Bus=0</v>
      </c>
      <c r="T199" s="136" t="str">
        <f>tbl_IO_List[[#This Row],[Instruement Tag]]&amp;"_"&amp;tbl_IO_List[[#This Row],[I/O Type]]&amp;"_"&amp;tbl_IO_List[[#This Row],[IO-Point 
(Instruement)]]</f>
        <v>FT-40201_AI_2</v>
      </c>
      <c r="U199" s="136" t="s">
        <v>10</v>
      </c>
      <c r="V199" s="136">
        <f>VLOOKUP(tbl_IO_List[[#This Row],[I/O Type]],tbl_Slot_Group[],2,FALSE)</f>
        <v>3</v>
      </c>
      <c r="W199" s="136">
        <v>2</v>
      </c>
      <c r="X199" s="136" t="str">
        <f>tbl_IO_List[[#This Row],[Chassis]]&amp;"S"&amp;TEXT(tbl_IO_List[[#This Row],[Slot]],"00")</f>
        <v>C1S10</v>
      </c>
      <c r="Y199" s="136" t="str">
        <f>tbl_IO_List[[#This Row],[Chassis]]&amp;"S"&amp;TEXT(tbl_IO_List[[#This Row],[Slot]],"00")&amp;tbl_IO_List[[#This Row],[I/O Type]]&amp;TEXT(tbl_IO_List[[#This Row],[Point]],"00")</f>
        <v>C1S10AI01</v>
      </c>
      <c r="Z199" s="136" t="str">
        <f>tbl_IO_List[[#This Row],[Chassis]]&amp;"S"&amp;TEXT(tbl_IO_List[[#This Row],[Slot]],"00")&amp;","&amp;TEXT(tbl_IO_List[[#This Row],[Point]],"00")</f>
        <v>C1S10,01</v>
      </c>
      <c r="AA199" s="136" t="str">
        <f>VLOOKUP(tbl_IO_List[[#This Row],[Column23]],tbl_RackConfig[],5,FALSE) &amp;"-"&amp;tbl_IO_List[[#This Row],[Point]]</f>
        <v>1756-IF16-1</v>
      </c>
      <c r="AB199" s="136"/>
      <c r="AC199" s="136" t="s">
        <v>1370</v>
      </c>
      <c r="AD199" s="136" t="str">
        <f>tbl_IO_List[[#This Row],[I/O Type]]</f>
        <v>AI</v>
      </c>
      <c r="AE199" s="136" t="s">
        <v>1332</v>
      </c>
      <c r="AF199" s="136">
        <v>10</v>
      </c>
      <c r="AG199" s="136">
        <v>1</v>
      </c>
      <c r="AH199" s="136"/>
      <c r="AI199" s="136"/>
      <c r="AJ199" s="136">
        <v>1</v>
      </c>
      <c r="AK199" s="136">
        <v>0</v>
      </c>
      <c r="AL199" s="136">
        <v>2</v>
      </c>
      <c r="AM199" s="136">
        <v>0</v>
      </c>
      <c r="AN199" s="136">
        <v>0</v>
      </c>
      <c r="AO199" s="136"/>
      <c r="AP199" s="143" t="str">
        <f>VLOOKUP(tbl_IO_List[[#This Row],[Instruement Tag]],tbl_Instruement_List[],14,FALSE)</f>
        <v>4 - 20 mA,Pulse</v>
      </c>
      <c r="AQ199" s="143" t="str">
        <f>tbl_IO_List[[#This Row],[Chassis]]&amp;"S"&amp;tbl_IO_List[[#This Row],[Slot]]&amp;"-"&amp;tbl_IO_List[[#This Row],[Front Terminal Number]]</f>
        <v>C1S10-</v>
      </c>
      <c r="AR199" s="143"/>
      <c r="AS199" s="136" t="str">
        <f>tbl_IO_List[[#This Row],[Terminal Tagging]]&amp;"-"&amp;tbl_IO_List[[#This Row],[Point-Count]]</f>
        <v>-</v>
      </c>
      <c r="AT199" s="136" t="str">
        <f>tbl_IO_List[[#This Row],[Front Terminal Tagging]]&amp;"/"&amp;tbl_IO_List[[#This Row],[Terminal Tagging-Item]]</f>
        <v>C1S10-/-</v>
      </c>
      <c r="AU199" s="136" t="str">
        <f>tbl_IO_List[[#This Row],[Terminal Tagging-Item]]&amp;"/"&amp;tbl_IO_List[[#This Row],[Front Terminal Tagging]]</f>
        <v>-/C1S10-</v>
      </c>
    </row>
    <row r="200" spans="1:47" hidden="1">
      <c r="A200" s="147" t="s">
        <v>1369</v>
      </c>
      <c r="B200" s="136" t="s">
        <v>114</v>
      </c>
      <c r="C200" s="136" t="str">
        <f>tbl_IO_List[[#This Row],[Column3]]</f>
        <v>C1S10,02</v>
      </c>
      <c r="D200" s="136" t="str">
        <f>tbl_IO_List[[#This Row],[Card]]</f>
        <v>1756-IF16-2</v>
      </c>
      <c r="E200" s="136" t="s">
        <v>1366</v>
      </c>
      <c r="F200" s="136" t="str">
        <f>tbl_IO_List[[#This Row],[Column23]]&amp;"-" &amp;tbl_IO_List[[#This Row],[Column52]]</f>
        <v>C1S10-X1</v>
      </c>
      <c r="G200" s="136" t="str">
        <f>tbl_IO_List[[#This Row],[PLC_Tag]]</f>
        <v>FT-40202_AI_1</v>
      </c>
      <c r="H200" s="136"/>
      <c r="I200" s="136" t="str">
        <f>VLOOKUP(tbl_IO_List[[#This Row],[Destination]],tbl_Junction[],2,FALSE)</f>
        <v>Infeed 2nd Floor</v>
      </c>
      <c r="J200" s="136" t="s">
        <v>114</v>
      </c>
      <c r="K200" s="136" t="s">
        <v>115</v>
      </c>
      <c r="L200" s="136" t="s">
        <v>119</v>
      </c>
      <c r="M200" s="136" t="str">
        <f>VLOOKUP(tbl_IO_List[[#This Row],[Instruement Tag]],tbl_Instruement_List[],2,FALSE)</f>
        <v>Magnetic Flow Transmitter</v>
      </c>
      <c r="N200" s="136" t="s">
        <v>15</v>
      </c>
      <c r="O200" s="136" t="s">
        <v>116</v>
      </c>
      <c r="P200" s="136" t="s">
        <v>117</v>
      </c>
      <c r="Q200" s="136" t="str">
        <f>VLOOKUP(tbl_IO_List[[#This Row],[Instruement Tag]],tbl_Instruement_List[],6,FALSE)</f>
        <v>Feed Slurry Flow Transmitter for Pipe (PIPE)</v>
      </c>
      <c r="R200" s="136"/>
      <c r="S20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1,DO=0,AI=1,AO=0,Bus=0</v>
      </c>
      <c r="T200" s="136" t="str">
        <f>tbl_IO_List[[#This Row],[Instruement Tag]]&amp;"_"&amp;tbl_IO_List[[#This Row],[I/O Type]]&amp;"_"&amp;tbl_IO_List[[#This Row],[IO-Point 
(Instruement)]]</f>
        <v>FT-40202_AI_1</v>
      </c>
      <c r="U200" s="136" t="s">
        <v>10</v>
      </c>
      <c r="V200" s="136">
        <f>VLOOKUP(tbl_IO_List[[#This Row],[I/O Type]],tbl_Slot_Group[],2,FALSE)</f>
        <v>3</v>
      </c>
      <c r="W200" s="136">
        <v>1</v>
      </c>
      <c r="X200" s="136" t="str">
        <f>tbl_IO_List[[#This Row],[Chassis]]&amp;"S"&amp;TEXT(tbl_IO_List[[#This Row],[Slot]],"00")</f>
        <v>C1S10</v>
      </c>
      <c r="Y200" s="136" t="str">
        <f>tbl_IO_List[[#This Row],[Chassis]]&amp;"S"&amp;TEXT(tbl_IO_List[[#This Row],[Slot]],"00")&amp;tbl_IO_List[[#This Row],[I/O Type]]&amp;TEXT(tbl_IO_List[[#This Row],[Point]],"00")</f>
        <v>C1S10AI02</v>
      </c>
      <c r="Z200" s="136" t="str">
        <f>tbl_IO_List[[#This Row],[Chassis]]&amp;"S"&amp;TEXT(tbl_IO_List[[#This Row],[Slot]],"00")&amp;","&amp;TEXT(tbl_IO_List[[#This Row],[Point]],"00")</f>
        <v>C1S10,02</v>
      </c>
      <c r="AA200" s="136" t="str">
        <f>VLOOKUP(tbl_IO_List[[#This Row],[Column23]],tbl_RackConfig[],5,FALSE) &amp;"-"&amp;tbl_IO_List[[#This Row],[Point]]</f>
        <v>1756-IF16-2</v>
      </c>
      <c r="AB200" s="136"/>
      <c r="AC200" s="136" t="s">
        <v>1370</v>
      </c>
      <c r="AD200" s="136" t="str">
        <f>tbl_IO_List[[#This Row],[I/O Type]]</f>
        <v>AI</v>
      </c>
      <c r="AE200" s="136" t="s">
        <v>1332</v>
      </c>
      <c r="AF200" s="136">
        <v>10</v>
      </c>
      <c r="AG200" s="136">
        <v>2</v>
      </c>
      <c r="AH200" s="136"/>
      <c r="AI200" s="136"/>
      <c r="AJ200" s="136">
        <v>1</v>
      </c>
      <c r="AK200" s="136">
        <v>0</v>
      </c>
      <c r="AL200" s="136">
        <v>1</v>
      </c>
      <c r="AM200" s="136">
        <v>0</v>
      </c>
      <c r="AN200" s="136">
        <v>0</v>
      </c>
      <c r="AO200" s="136"/>
      <c r="AP200" s="143" t="str">
        <f>VLOOKUP(tbl_IO_List[[#This Row],[Instruement Tag]],tbl_Instruement_List[],14,FALSE)</f>
        <v>4 - 20 mA,Pulse</v>
      </c>
      <c r="AQ200" s="143" t="str">
        <f>tbl_IO_List[[#This Row],[Chassis]]&amp;"S"&amp;tbl_IO_List[[#This Row],[Slot]]&amp;"-"&amp;tbl_IO_List[[#This Row],[Front Terminal Number]]</f>
        <v>C1S10-</v>
      </c>
      <c r="AR200" s="143"/>
      <c r="AS200" s="136" t="str">
        <f>tbl_IO_List[[#This Row],[Terminal Tagging]]&amp;"-"&amp;tbl_IO_List[[#This Row],[Point-Count]]</f>
        <v>-</v>
      </c>
      <c r="AT200" s="136" t="str">
        <f>tbl_IO_List[[#This Row],[Front Terminal Tagging]]&amp;"/"&amp;tbl_IO_List[[#This Row],[Terminal Tagging-Item]]</f>
        <v>C1S10-/-</v>
      </c>
      <c r="AU200" s="136" t="str">
        <f>tbl_IO_List[[#This Row],[Terminal Tagging-Item]]&amp;"/"&amp;tbl_IO_List[[#This Row],[Front Terminal Tagging]]</f>
        <v>-/C1S10-</v>
      </c>
    </row>
    <row r="201" spans="1:47" hidden="1">
      <c r="A201" s="147" t="s">
        <v>1369</v>
      </c>
      <c r="B201" s="136" t="s">
        <v>114</v>
      </c>
      <c r="C201" s="136" t="str">
        <f>tbl_IO_List[[#This Row],[Column3]]</f>
        <v>C1S10,03</v>
      </c>
      <c r="D201" s="136" t="str">
        <f>tbl_IO_List[[#This Row],[Card]]</f>
        <v>1756-IF16-3</v>
      </c>
      <c r="E201" s="136" t="s">
        <v>1366</v>
      </c>
      <c r="F201" s="136" t="str">
        <f>tbl_IO_List[[#This Row],[Column23]]&amp;"-" &amp;tbl_IO_List[[#This Row],[Column52]]</f>
        <v>C1S10-X1</v>
      </c>
      <c r="G201" s="136" t="str">
        <f>tbl_IO_List[[#This Row],[PLC_Tag]]</f>
        <v>LT-40203_AI_1</v>
      </c>
      <c r="H201" s="136"/>
      <c r="I201" s="136" t="str">
        <f>VLOOKUP(tbl_IO_List[[#This Row],[Destination]],tbl_Junction[],2,FALSE)</f>
        <v>Infeed 2nd Floor</v>
      </c>
      <c r="J201" s="136" t="s">
        <v>114</v>
      </c>
      <c r="K201" s="136" t="s">
        <v>115</v>
      </c>
      <c r="L201" s="136" t="s">
        <v>123</v>
      </c>
      <c r="M201" s="136" t="str">
        <f>VLOOKUP(tbl_IO_List[[#This Row],[Instruement Tag]],tbl_Instruement_List[],2,FALSE)</f>
        <v>Level Transmitter</v>
      </c>
      <c r="N201" s="136" t="s">
        <v>15</v>
      </c>
      <c r="O201" s="136" t="s">
        <v>116</v>
      </c>
      <c r="P201" s="136" t="s">
        <v>117</v>
      </c>
      <c r="Q201" s="136" t="str">
        <f>VLOOKUP(tbl_IO_List[[#This Row],[Instruement Tag]],tbl_Instruement_List[],6,FALSE)</f>
        <v xml:space="preserve">Level transmitter in Spray dryer infeed tank </v>
      </c>
      <c r="R201" s="136" t="s">
        <v>1370</v>
      </c>
      <c r="S20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201" s="136" t="str">
        <f>tbl_IO_List[[#This Row],[Instruement Tag]]&amp;"_"&amp;tbl_IO_List[[#This Row],[I/O Type]]&amp;"_"&amp;tbl_IO_List[[#This Row],[IO-Point 
(Instruement)]]</f>
        <v>LT-40203_AI_1</v>
      </c>
      <c r="U201" s="136" t="s">
        <v>10</v>
      </c>
      <c r="V201" s="136">
        <f>VLOOKUP(tbl_IO_List[[#This Row],[I/O Type]],tbl_Slot_Group[],2,FALSE)</f>
        <v>3</v>
      </c>
      <c r="W201" s="136">
        <v>1</v>
      </c>
      <c r="X201" s="136" t="str">
        <f>tbl_IO_List[[#This Row],[Chassis]]&amp;"S"&amp;TEXT(tbl_IO_List[[#This Row],[Slot]],"00")</f>
        <v>C1S10</v>
      </c>
      <c r="Y201" s="136" t="str">
        <f>tbl_IO_List[[#This Row],[Chassis]]&amp;"S"&amp;TEXT(tbl_IO_List[[#This Row],[Slot]],"00")&amp;tbl_IO_List[[#This Row],[I/O Type]]&amp;TEXT(tbl_IO_List[[#This Row],[Point]],"00")</f>
        <v>C1S10AI03</v>
      </c>
      <c r="Z201" s="136" t="str">
        <f>tbl_IO_List[[#This Row],[Chassis]]&amp;"S"&amp;TEXT(tbl_IO_List[[#This Row],[Slot]],"00")&amp;","&amp;TEXT(tbl_IO_List[[#This Row],[Point]],"00")</f>
        <v>C1S10,03</v>
      </c>
      <c r="AA201" s="136" t="str">
        <f>VLOOKUP(tbl_IO_List[[#This Row],[Column23]],tbl_RackConfig[],5,FALSE) &amp;"-"&amp;tbl_IO_List[[#This Row],[Point]]</f>
        <v>1756-IF16-3</v>
      </c>
      <c r="AB201" s="136"/>
      <c r="AC201" s="136" t="s">
        <v>1370</v>
      </c>
      <c r="AD201" s="136" t="str">
        <f>tbl_IO_List[[#This Row],[I/O Type]]</f>
        <v>AI</v>
      </c>
      <c r="AE201" s="136" t="s">
        <v>1332</v>
      </c>
      <c r="AF201" s="136">
        <v>10</v>
      </c>
      <c r="AG201" s="136">
        <v>3</v>
      </c>
      <c r="AH201" s="136"/>
      <c r="AI201" s="136"/>
      <c r="AJ201" s="136">
        <v>0</v>
      </c>
      <c r="AK201" s="136">
        <v>0</v>
      </c>
      <c r="AL201" s="136">
        <v>1</v>
      </c>
      <c r="AM201" s="136">
        <v>0</v>
      </c>
      <c r="AN201" s="136">
        <v>0</v>
      </c>
      <c r="AO201" s="136"/>
      <c r="AP201" s="143" t="str">
        <f>VLOOKUP(tbl_IO_List[[#This Row],[Instruement Tag]],tbl_Instruement_List[],14,FALSE)</f>
        <v>4 - 20 mA</v>
      </c>
      <c r="AQ201" s="143" t="str">
        <f>tbl_IO_List[[#This Row],[Chassis]]&amp;"S"&amp;tbl_IO_List[[#This Row],[Slot]]&amp;"-"&amp;tbl_IO_List[[#This Row],[Front Terminal Number]]</f>
        <v>C1S10-</v>
      </c>
      <c r="AR201" s="143"/>
      <c r="AS201" s="136" t="str">
        <f>tbl_IO_List[[#This Row],[Terminal Tagging]]&amp;"-"&amp;tbl_IO_List[[#This Row],[Point-Count]]</f>
        <v>-</v>
      </c>
      <c r="AT201" s="136" t="str">
        <f>tbl_IO_List[[#This Row],[Front Terminal Tagging]]&amp;"/"&amp;tbl_IO_List[[#This Row],[Terminal Tagging-Item]]</f>
        <v>C1S10-/-</v>
      </c>
      <c r="AU201" s="136" t="str">
        <f>tbl_IO_List[[#This Row],[Terminal Tagging-Item]]&amp;"/"&amp;tbl_IO_List[[#This Row],[Front Terminal Tagging]]</f>
        <v>-/C1S10-</v>
      </c>
    </row>
    <row r="202" spans="1:47" hidden="1">
      <c r="A202" s="147" t="s">
        <v>1369</v>
      </c>
      <c r="B202" s="136" t="s">
        <v>114</v>
      </c>
      <c r="C202" s="136" t="str">
        <f>tbl_IO_List[[#This Row],[Column3]]</f>
        <v>C1S10,04</v>
      </c>
      <c r="D202" s="136" t="str">
        <f>tbl_IO_List[[#This Row],[Card]]</f>
        <v>1756-IF16-4</v>
      </c>
      <c r="E202" s="136" t="s">
        <v>1366</v>
      </c>
      <c r="F202" s="136" t="str">
        <f>tbl_IO_List[[#This Row],[Column23]]&amp;"-" &amp;tbl_IO_List[[#This Row],[Column52]]</f>
        <v>C1S10-X1</v>
      </c>
      <c r="G202" s="136" t="str">
        <f>tbl_IO_List[[#This Row],[PLC_Tag]]</f>
        <v>LT-40201_AI_1</v>
      </c>
      <c r="H202" s="136"/>
      <c r="I202" s="136" t="str">
        <f>VLOOKUP(tbl_IO_List[[#This Row],[Destination]],tbl_Junction[],2,FALSE)</f>
        <v>Infeed 2nd Floor</v>
      </c>
      <c r="J202" s="136" t="s">
        <v>114</v>
      </c>
      <c r="K202" s="136" t="s">
        <v>136</v>
      </c>
      <c r="L202" s="136" t="s">
        <v>143</v>
      </c>
      <c r="M202" s="136" t="str">
        <f>VLOOKUP(tbl_IO_List[[#This Row],[Instruement Tag]],tbl_Instruement_List[],2,FALSE)</f>
        <v>Level Transmitter</v>
      </c>
      <c r="N202" s="136" t="s">
        <v>15</v>
      </c>
      <c r="O202" s="136" t="s">
        <v>121</v>
      </c>
      <c r="P202" s="136" t="s">
        <v>137</v>
      </c>
      <c r="Q202" s="136" t="str">
        <f>VLOOKUP(tbl_IO_List[[#This Row],[Instruement Tag]],tbl_Instruement_List[],6,FALSE)</f>
        <v>Level transmitter in pH Adjustment tank 1</v>
      </c>
      <c r="R202" s="136" t="s">
        <v>1370</v>
      </c>
      <c r="S20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202" s="136" t="str">
        <f>tbl_IO_List[[#This Row],[Instruement Tag]]&amp;"_"&amp;tbl_IO_List[[#This Row],[I/O Type]]&amp;"_"&amp;tbl_IO_List[[#This Row],[IO-Point 
(Instruement)]]</f>
        <v>LT-40201_AI_1</v>
      </c>
      <c r="U202" s="136" t="s">
        <v>10</v>
      </c>
      <c r="V202" s="136">
        <f>VLOOKUP(tbl_IO_List[[#This Row],[I/O Type]],tbl_Slot_Group[],2,FALSE)</f>
        <v>3</v>
      </c>
      <c r="W202" s="136">
        <v>1</v>
      </c>
      <c r="X202" s="136" t="str">
        <f>tbl_IO_List[[#This Row],[Chassis]]&amp;"S"&amp;TEXT(tbl_IO_List[[#This Row],[Slot]],"00")</f>
        <v>C1S10</v>
      </c>
      <c r="Y202" s="136" t="str">
        <f>tbl_IO_List[[#This Row],[Chassis]]&amp;"S"&amp;TEXT(tbl_IO_List[[#This Row],[Slot]],"00")&amp;tbl_IO_List[[#This Row],[I/O Type]]&amp;TEXT(tbl_IO_List[[#This Row],[Point]],"00")</f>
        <v>C1S10AI04</v>
      </c>
      <c r="Z202" s="136" t="str">
        <f>tbl_IO_List[[#This Row],[Chassis]]&amp;"S"&amp;TEXT(tbl_IO_List[[#This Row],[Slot]],"00")&amp;","&amp;TEXT(tbl_IO_List[[#This Row],[Point]],"00")</f>
        <v>C1S10,04</v>
      </c>
      <c r="AA202" s="136" t="str">
        <f>VLOOKUP(tbl_IO_List[[#This Row],[Column23]],tbl_RackConfig[],5,FALSE) &amp;"-"&amp;tbl_IO_List[[#This Row],[Point]]</f>
        <v>1756-IF16-4</v>
      </c>
      <c r="AB202" s="136"/>
      <c r="AC202" s="136" t="s">
        <v>1370</v>
      </c>
      <c r="AD202" s="136" t="str">
        <f>tbl_IO_List[[#This Row],[I/O Type]]</f>
        <v>AI</v>
      </c>
      <c r="AE202" s="136" t="s">
        <v>1332</v>
      </c>
      <c r="AF202" s="136">
        <v>10</v>
      </c>
      <c r="AG202" s="136">
        <v>4</v>
      </c>
      <c r="AH202" s="136"/>
      <c r="AI202" s="136"/>
      <c r="AJ202" s="136">
        <v>0</v>
      </c>
      <c r="AK202" s="136">
        <v>0</v>
      </c>
      <c r="AL202" s="136">
        <v>1</v>
      </c>
      <c r="AM202" s="136">
        <v>0</v>
      </c>
      <c r="AN202" s="136">
        <v>0</v>
      </c>
      <c r="AO202" s="136"/>
      <c r="AP202" s="143" t="str">
        <f>VLOOKUP(tbl_IO_List[[#This Row],[Instruement Tag]],tbl_Instruement_List[],14,FALSE)</f>
        <v>4 - 20 mA</v>
      </c>
      <c r="AQ202" s="143" t="str">
        <f>tbl_IO_List[[#This Row],[Chassis]]&amp;"S"&amp;tbl_IO_List[[#This Row],[Slot]]&amp;"-"&amp;tbl_IO_List[[#This Row],[Front Terminal Number]]</f>
        <v>C1S10-</v>
      </c>
      <c r="AR202" s="143"/>
      <c r="AS202" s="136" t="str">
        <f>tbl_IO_List[[#This Row],[Terminal Tagging]]&amp;"-"&amp;tbl_IO_List[[#This Row],[Point-Count]]</f>
        <v>-</v>
      </c>
      <c r="AT202" s="136" t="str">
        <f>tbl_IO_List[[#This Row],[Front Terminal Tagging]]&amp;"/"&amp;tbl_IO_List[[#This Row],[Terminal Tagging-Item]]</f>
        <v>C1S10-/-</v>
      </c>
      <c r="AU202" s="136" t="str">
        <f>tbl_IO_List[[#This Row],[Terminal Tagging-Item]]&amp;"/"&amp;tbl_IO_List[[#This Row],[Front Terminal Tagging]]</f>
        <v>-/C1S10-</v>
      </c>
    </row>
    <row r="203" spans="1:47" hidden="1">
      <c r="A203" s="147" t="s">
        <v>1369</v>
      </c>
      <c r="B203" s="136" t="s">
        <v>114</v>
      </c>
      <c r="C203" s="136" t="str">
        <f>tbl_IO_List[[#This Row],[Column3]]</f>
        <v>C1S10,05</v>
      </c>
      <c r="D203" s="136" t="str">
        <f>tbl_IO_List[[#This Row],[Card]]</f>
        <v>1756-IF16-5</v>
      </c>
      <c r="E203" s="136" t="s">
        <v>1366</v>
      </c>
      <c r="F203" s="136" t="str">
        <f>tbl_IO_List[[#This Row],[Column23]]&amp;"-" &amp;tbl_IO_List[[#This Row],[Column52]]</f>
        <v>C1S10-X1</v>
      </c>
      <c r="G203" s="136" t="str">
        <f>tbl_IO_List[[#This Row],[PLC_Tag]]</f>
        <v>LT-40202_AI_1</v>
      </c>
      <c r="H203" s="136"/>
      <c r="I203" s="136" t="str">
        <f>VLOOKUP(tbl_IO_List[[#This Row],[Destination]],tbl_Junction[],2,FALSE)</f>
        <v>Infeed 2nd Floor</v>
      </c>
      <c r="J203" s="136" t="s">
        <v>114</v>
      </c>
      <c r="K203" s="136" t="s">
        <v>136</v>
      </c>
      <c r="L203" s="136" t="s">
        <v>144</v>
      </c>
      <c r="M203" s="136" t="str">
        <f>VLOOKUP(tbl_IO_List[[#This Row],[Instruement Tag]],tbl_Instruement_List[],2,FALSE)</f>
        <v>Level Transmitter</v>
      </c>
      <c r="N203" s="136" t="s">
        <v>15</v>
      </c>
      <c r="O203" s="136" t="s">
        <v>121</v>
      </c>
      <c r="P203" s="136" t="s">
        <v>137</v>
      </c>
      <c r="Q203" s="136" t="str">
        <f>VLOOKUP(tbl_IO_List[[#This Row],[Instruement Tag]],tbl_Instruement_List[],6,FALSE)</f>
        <v>Level transmitter in pH Adjustment tank 2</v>
      </c>
      <c r="R203" s="136" t="s">
        <v>1370</v>
      </c>
      <c r="S20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203" s="136" t="str">
        <f>tbl_IO_List[[#This Row],[Instruement Tag]]&amp;"_"&amp;tbl_IO_List[[#This Row],[I/O Type]]&amp;"_"&amp;tbl_IO_List[[#This Row],[IO-Point 
(Instruement)]]</f>
        <v>LT-40202_AI_1</v>
      </c>
      <c r="U203" s="136" t="s">
        <v>10</v>
      </c>
      <c r="V203" s="136">
        <f>VLOOKUP(tbl_IO_List[[#This Row],[I/O Type]],tbl_Slot_Group[],2,FALSE)</f>
        <v>3</v>
      </c>
      <c r="W203" s="136">
        <v>1</v>
      </c>
      <c r="X203" s="136" t="str">
        <f>tbl_IO_List[[#This Row],[Chassis]]&amp;"S"&amp;TEXT(tbl_IO_List[[#This Row],[Slot]],"00")</f>
        <v>C1S10</v>
      </c>
      <c r="Y203" s="136" t="str">
        <f>tbl_IO_List[[#This Row],[Chassis]]&amp;"S"&amp;TEXT(tbl_IO_List[[#This Row],[Slot]],"00")&amp;tbl_IO_List[[#This Row],[I/O Type]]&amp;TEXT(tbl_IO_List[[#This Row],[Point]],"00")</f>
        <v>C1S10AI05</v>
      </c>
      <c r="Z203" s="136" t="str">
        <f>tbl_IO_List[[#This Row],[Chassis]]&amp;"S"&amp;TEXT(tbl_IO_List[[#This Row],[Slot]],"00")&amp;","&amp;TEXT(tbl_IO_List[[#This Row],[Point]],"00")</f>
        <v>C1S10,05</v>
      </c>
      <c r="AA203" s="136" t="str">
        <f>VLOOKUP(tbl_IO_List[[#This Row],[Column23]],tbl_RackConfig[],5,FALSE) &amp;"-"&amp;tbl_IO_List[[#This Row],[Point]]</f>
        <v>1756-IF16-5</v>
      </c>
      <c r="AB203" s="136"/>
      <c r="AC203" s="136" t="s">
        <v>1370</v>
      </c>
      <c r="AD203" s="136" t="str">
        <f>tbl_IO_List[[#This Row],[I/O Type]]</f>
        <v>AI</v>
      </c>
      <c r="AE203" s="136" t="s">
        <v>1332</v>
      </c>
      <c r="AF203" s="136">
        <v>10</v>
      </c>
      <c r="AG203" s="136">
        <v>5</v>
      </c>
      <c r="AH203" s="136"/>
      <c r="AI203" s="136"/>
      <c r="AJ203" s="136">
        <v>0</v>
      </c>
      <c r="AK203" s="136">
        <v>0</v>
      </c>
      <c r="AL203" s="136">
        <v>1</v>
      </c>
      <c r="AM203" s="136">
        <v>0</v>
      </c>
      <c r="AN203" s="136">
        <v>0</v>
      </c>
      <c r="AO203" s="136"/>
      <c r="AP203" s="143" t="str">
        <f>VLOOKUP(tbl_IO_List[[#This Row],[Instruement Tag]],tbl_Instruement_List[],14,FALSE)</f>
        <v>4 - 20 mA</v>
      </c>
      <c r="AQ203" s="143" t="str">
        <f>tbl_IO_List[[#This Row],[Chassis]]&amp;"S"&amp;tbl_IO_List[[#This Row],[Slot]]&amp;"-"&amp;tbl_IO_List[[#This Row],[Front Terminal Number]]</f>
        <v>C1S10-</v>
      </c>
      <c r="AR203" s="143"/>
      <c r="AS203" s="136" t="str">
        <f>tbl_IO_List[[#This Row],[Terminal Tagging]]&amp;"-"&amp;tbl_IO_List[[#This Row],[Point-Count]]</f>
        <v>-</v>
      </c>
      <c r="AT203" s="136" t="str">
        <f>tbl_IO_List[[#This Row],[Front Terminal Tagging]]&amp;"/"&amp;tbl_IO_List[[#This Row],[Terminal Tagging-Item]]</f>
        <v>C1S10-/-</v>
      </c>
      <c r="AU203" s="136" t="str">
        <f>tbl_IO_List[[#This Row],[Terminal Tagging-Item]]&amp;"/"&amp;tbl_IO_List[[#This Row],[Front Terminal Tagging]]</f>
        <v>-/C1S10-</v>
      </c>
    </row>
    <row r="204" spans="1:47" hidden="1">
      <c r="A204" s="147" t="s">
        <v>1369</v>
      </c>
      <c r="B204" s="136" t="s">
        <v>114</v>
      </c>
      <c r="C204" s="136" t="str">
        <f>tbl_IO_List[[#This Row],[Column3]]</f>
        <v>C1S10,06</v>
      </c>
      <c r="D204" s="136" t="str">
        <f>tbl_IO_List[[#This Row],[Card]]</f>
        <v>1756-IF16-6</v>
      </c>
      <c r="E204" s="136" t="s">
        <v>1366</v>
      </c>
      <c r="F204" s="136" t="str">
        <f>tbl_IO_List[[#This Row],[Column23]]&amp;"-" &amp;tbl_IO_List[[#This Row],[Column52]]</f>
        <v>C1S10-X1</v>
      </c>
      <c r="G204" s="136" t="str">
        <f>tbl_IO_List[[#This Row],[PLC_Tag]]</f>
        <v>pHT-40201_AI_1</v>
      </c>
      <c r="H204" s="136"/>
      <c r="I204" s="136" t="str">
        <f>VLOOKUP(tbl_IO_List[[#This Row],[Destination]],tbl_Junction[],2,FALSE)</f>
        <v>Infeed 2nd Floor</v>
      </c>
      <c r="J204" s="136" t="s">
        <v>114</v>
      </c>
      <c r="K204" s="136" t="s">
        <v>136</v>
      </c>
      <c r="L204" s="136" t="s">
        <v>145</v>
      </c>
      <c r="M204" s="136" t="str">
        <f>VLOOKUP(tbl_IO_List[[#This Row],[Instruement Tag]],tbl_Instruement_List[],2,FALSE)</f>
        <v>PH Transmitter</v>
      </c>
      <c r="N204" s="136" t="s">
        <v>15</v>
      </c>
      <c r="O204" s="136" t="s">
        <v>121</v>
      </c>
      <c r="P204" s="136" t="s">
        <v>137</v>
      </c>
      <c r="Q204" s="136" t="str">
        <f>VLOOKUP(tbl_IO_List[[#This Row],[Instruement Tag]],tbl_Instruement_List[],6,FALSE)</f>
        <v>pH analyzer in pH Adjustment tank 1</v>
      </c>
      <c r="R204" s="136" t="s">
        <v>1370</v>
      </c>
      <c r="S20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204" s="136" t="str">
        <f>tbl_IO_List[[#This Row],[Instruement Tag]]&amp;"_"&amp;tbl_IO_List[[#This Row],[I/O Type]]&amp;"_"&amp;tbl_IO_List[[#This Row],[IO-Point 
(Instruement)]]</f>
        <v>pHT-40201_AI_1</v>
      </c>
      <c r="U204" s="136" t="s">
        <v>10</v>
      </c>
      <c r="V204" s="136">
        <f>VLOOKUP(tbl_IO_List[[#This Row],[I/O Type]],tbl_Slot_Group[],2,FALSE)</f>
        <v>3</v>
      </c>
      <c r="W204" s="136">
        <v>1</v>
      </c>
      <c r="X204" s="136" t="str">
        <f>tbl_IO_List[[#This Row],[Chassis]]&amp;"S"&amp;TEXT(tbl_IO_List[[#This Row],[Slot]],"00")</f>
        <v>C1S10</v>
      </c>
      <c r="Y204" s="136" t="str">
        <f>tbl_IO_List[[#This Row],[Chassis]]&amp;"S"&amp;TEXT(tbl_IO_List[[#This Row],[Slot]],"00")&amp;tbl_IO_List[[#This Row],[I/O Type]]&amp;TEXT(tbl_IO_List[[#This Row],[Point]],"00")</f>
        <v>C1S10AI06</v>
      </c>
      <c r="Z204" s="136" t="str">
        <f>tbl_IO_List[[#This Row],[Chassis]]&amp;"S"&amp;TEXT(tbl_IO_List[[#This Row],[Slot]],"00")&amp;","&amp;TEXT(tbl_IO_List[[#This Row],[Point]],"00")</f>
        <v>C1S10,06</v>
      </c>
      <c r="AA204" s="136" t="str">
        <f>VLOOKUP(tbl_IO_List[[#This Row],[Column23]],tbl_RackConfig[],5,FALSE) &amp;"-"&amp;tbl_IO_List[[#This Row],[Point]]</f>
        <v>1756-IF16-6</v>
      </c>
      <c r="AB204" s="136"/>
      <c r="AC204" s="136" t="s">
        <v>1370</v>
      </c>
      <c r="AD204" s="136" t="str">
        <f>tbl_IO_List[[#This Row],[I/O Type]]</f>
        <v>AI</v>
      </c>
      <c r="AE204" s="136" t="s">
        <v>1332</v>
      </c>
      <c r="AF204" s="136">
        <v>10</v>
      </c>
      <c r="AG204" s="136">
        <v>6</v>
      </c>
      <c r="AH204" s="136"/>
      <c r="AI204" s="136"/>
      <c r="AJ204" s="136">
        <v>0</v>
      </c>
      <c r="AK204" s="136">
        <v>0</v>
      </c>
      <c r="AL204" s="136">
        <v>1</v>
      </c>
      <c r="AM204" s="136">
        <v>0</v>
      </c>
      <c r="AN204" s="136">
        <v>0</v>
      </c>
      <c r="AO204" s="136"/>
      <c r="AP204" s="143" t="str">
        <f>VLOOKUP(tbl_IO_List[[#This Row],[Instruement Tag]],tbl_Instruement_List[],14,FALSE)</f>
        <v>4 - 20 mA</v>
      </c>
      <c r="AQ204" s="143" t="str">
        <f>tbl_IO_List[[#This Row],[Chassis]]&amp;"S"&amp;tbl_IO_List[[#This Row],[Slot]]&amp;"-"&amp;tbl_IO_List[[#This Row],[Front Terminal Number]]</f>
        <v>C1S10-</v>
      </c>
      <c r="AR204" s="143"/>
      <c r="AS204" s="136" t="str">
        <f>tbl_IO_List[[#This Row],[Terminal Tagging]]&amp;"-"&amp;tbl_IO_List[[#This Row],[Point-Count]]</f>
        <v>-</v>
      </c>
      <c r="AT204" s="136" t="str">
        <f>tbl_IO_List[[#This Row],[Front Terminal Tagging]]&amp;"/"&amp;tbl_IO_List[[#This Row],[Terminal Tagging-Item]]</f>
        <v>C1S10-/-</v>
      </c>
      <c r="AU204" s="136" t="str">
        <f>tbl_IO_List[[#This Row],[Terminal Tagging-Item]]&amp;"/"&amp;tbl_IO_List[[#This Row],[Front Terminal Tagging]]</f>
        <v>-/C1S10-</v>
      </c>
    </row>
    <row r="205" spans="1:47" hidden="1">
      <c r="A205" s="147" t="s">
        <v>1369</v>
      </c>
      <c r="B205" s="136" t="s">
        <v>114</v>
      </c>
      <c r="C205" s="136" t="str">
        <f>tbl_IO_List[[#This Row],[Column3]]</f>
        <v>C1S10,07</v>
      </c>
      <c r="D205" s="136" t="str">
        <f>tbl_IO_List[[#This Row],[Card]]</f>
        <v>1756-IF16-7</v>
      </c>
      <c r="E205" s="136" t="s">
        <v>1366</v>
      </c>
      <c r="F205" s="136" t="str">
        <f>tbl_IO_List[[#This Row],[Column23]]&amp;"-" &amp;tbl_IO_List[[#This Row],[Column52]]</f>
        <v>C1S10-X1</v>
      </c>
      <c r="G205" s="136" t="str">
        <f>tbl_IO_List[[#This Row],[PLC_Tag]]</f>
        <v>pHT-40202_AI_1</v>
      </c>
      <c r="H205" s="136"/>
      <c r="I205" s="136" t="str">
        <f>VLOOKUP(tbl_IO_List[[#This Row],[Destination]],tbl_Junction[],2,FALSE)</f>
        <v>Infeed 2nd Floor</v>
      </c>
      <c r="J205" s="136" t="s">
        <v>114</v>
      </c>
      <c r="K205" s="136" t="s">
        <v>136</v>
      </c>
      <c r="L205" s="136" t="s">
        <v>146</v>
      </c>
      <c r="M205" s="136" t="str">
        <f>VLOOKUP(tbl_IO_List[[#This Row],[Instruement Tag]],tbl_Instruement_List[],2,FALSE)</f>
        <v>PH Transmitter</v>
      </c>
      <c r="N205" s="136" t="s">
        <v>15</v>
      </c>
      <c r="O205" s="136" t="s">
        <v>121</v>
      </c>
      <c r="P205" s="136" t="s">
        <v>137</v>
      </c>
      <c r="Q205" s="136" t="str">
        <f>VLOOKUP(tbl_IO_List[[#This Row],[Instruement Tag]],tbl_Instruement_List[],6,FALSE)</f>
        <v>pH analyzer in pH Adjustment tank 2</v>
      </c>
      <c r="R205" s="136" t="s">
        <v>1370</v>
      </c>
      <c r="S20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205" s="136" t="str">
        <f>tbl_IO_List[[#This Row],[Instruement Tag]]&amp;"_"&amp;tbl_IO_List[[#This Row],[I/O Type]]&amp;"_"&amp;tbl_IO_List[[#This Row],[IO-Point 
(Instruement)]]</f>
        <v>pHT-40202_AI_1</v>
      </c>
      <c r="U205" s="136" t="s">
        <v>10</v>
      </c>
      <c r="V205" s="136">
        <f>VLOOKUP(tbl_IO_List[[#This Row],[I/O Type]],tbl_Slot_Group[],2,FALSE)</f>
        <v>3</v>
      </c>
      <c r="W205" s="136">
        <v>1</v>
      </c>
      <c r="X205" s="136" t="str">
        <f>tbl_IO_List[[#This Row],[Chassis]]&amp;"S"&amp;TEXT(tbl_IO_List[[#This Row],[Slot]],"00")</f>
        <v>C1S10</v>
      </c>
      <c r="Y205" s="136" t="str">
        <f>tbl_IO_List[[#This Row],[Chassis]]&amp;"S"&amp;TEXT(tbl_IO_List[[#This Row],[Slot]],"00")&amp;tbl_IO_List[[#This Row],[I/O Type]]&amp;TEXT(tbl_IO_List[[#This Row],[Point]],"00")</f>
        <v>C1S10AI07</v>
      </c>
      <c r="Z205" s="136" t="str">
        <f>tbl_IO_List[[#This Row],[Chassis]]&amp;"S"&amp;TEXT(tbl_IO_List[[#This Row],[Slot]],"00")&amp;","&amp;TEXT(tbl_IO_List[[#This Row],[Point]],"00")</f>
        <v>C1S10,07</v>
      </c>
      <c r="AA205" s="136" t="str">
        <f>VLOOKUP(tbl_IO_List[[#This Row],[Column23]],tbl_RackConfig[],5,FALSE) &amp;"-"&amp;tbl_IO_List[[#This Row],[Point]]</f>
        <v>1756-IF16-7</v>
      </c>
      <c r="AB205" s="136"/>
      <c r="AC205" s="136" t="s">
        <v>1370</v>
      </c>
      <c r="AD205" s="136" t="str">
        <f>tbl_IO_List[[#This Row],[I/O Type]]</f>
        <v>AI</v>
      </c>
      <c r="AE205" s="136" t="s">
        <v>1332</v>
      </c>
      <c r="AF205" s="136">
        <v>10</v>
      </c>
      <c r="AG205" s="136">
        <v>7</v>
      </c>
      <c r="AH205" s="136"/>
      <c r="AI205" s="136"/>
      <c r="AJ205" s="136">
        <v>0</v>
      </c>
      <c r="AK205" s="136">
        <v>0</v>
      </c>
      <c r="AL205" s="136">
        <v>1</v>
      </c>
      <c r="AM205" s="136">
        <v>0</v>
      </c>
      <c r="AN205" s="136">
        <v>0</v>
      </c>
      <c r="AO205" s="136"/>
      <c r="AP205" s="143" t="str">
        <f>VLOOKUP(tbl_IO_List[[#This Row],[Instruement Tag]],tbl_Instruement_List[],14,FALSE)</f>
        <v>4 - 20 mA</v>
      </c>
      <c r="AQ205" s="143" t="str">
        <f>tbl_IO_List[[#This Row],[Chassis]]&amp;"S"&amp;tbl_IO_List[[#This Row],[Slot]]&amp;"-"&amp;tbl_IO_List[[#This Row],[Front Terminal Number]]</f>
        <v>C1S10-</v>
      </c>
      <c r="AR205" s="143"/>
      <c r="AS205" s="136" t="str">
        <f>tbl_IO_List[[#This Row],[Terminal Tagging]]&amp;"-"&amp;tbl_IO_List[[#This Row],[Point-Count]]</f>
        <v>-</v>
      </c>
      <c r="AT205" s="136" t="str">
        <f>tbl_IO_List[[#This Row],[Front Terminal Tagging]]&amp;"/"&amp;tbl_IO_List[[#This Row],[Terminal Tagging-Item]]</f>
        <v>C1S10-/-</v>
      </c>
      <c r="AU205" s="136" t="str">
        <f>tbl_IO_List[[#This Row],[Terminal Tagging-Item]]&amp;"/"&amp;tbl_IO_List[[#This Row],[Front Terminal Tagging]]</f>
        <v>-/C1S10-</v>
      </c>
    </row>
    <row r="206" spans="1:47" hidden="1">
      <c r="A206" s="147" t="s">
        <v>1369</v>
      </c>
      <c r="B206" s="136" t="s">
        <v>114</v>
      </c>
      <c r="C206" s="136" t="str">
        <f>tbl_IO_List[[#This Row],[Column3]]</f>
        <v>C1S10,08</v>
      </c>
      <c r="D206" s="136" t="str">
        <f>tbl_IO_List[[#This Row],[Card]]</f>
        <v>1756-IF16-8</v>
      </c>
      <c r="E206" s="136" t="s">
        <v>1366</v>
      </c>
      <c r="F206" s="136" t="str">
        <f>tbl_IO_List[[#This Row],[Column23]]&amp;"-" &amp;tbl_IO_List[[#This Row],[Column52]]</f>
        <v>C1S10-X1</v>
      </c>
      <c r="G206" s="136" t="str">
        <f>tbl_IO_List[[#This Row],[PLC_Tag]]</f>
        <v>PT-40201_AI_1</v>
      </c>
      <c r="H206" s="136"/>
      <c r="I206" s="136" t="str">
        <f>VLOOKUP(tbl_IO_List[[#This Row],[Destination]],tbl_Junction[],2,FALSE)</f>
        <v>Infeed 2nd Floor</v>
      </c>
      <c r="J206" s="136" t="s">
        <v>114</v>
      </c>
      <c r="K206" s="136" t="s">
        <v>115</v>
      </c>
      <c r="L206" s="136" t="s">
        <v>113</v>
      </c>
      <c r="M206" s="136" t="str">
        <f>VLOOKUP(tbl_IO_List[[#This Row],[Instruement Tag]],tbl_Instruement_List[],2,FALSE)</f>
        <v>Pressure Transmitter</v>
      </c>
      <c r="N206" s="136" t="s">
        <v>15</v>
      </c>
      <c r="O206" s="136" t="s">
        <v>116</v>
      </c>
      <c r="P206" s="136" t="s">
        <v>117</v>
      </c>
      <c r="Q206" s="136" t="str">
        <f>VLOOKUP(tbl_IO_List[[#This Row],[Instruement Tag]],tbl_Instruement_List[],6,FALSE)</f>
        <v>Pressure Transmitter  for Inlet Filter Strainer (FSTR-11)</v>
      </c>
      <c r="R206" s="136" t="s">
        <v>1370</v>
      </c>
      <c r="S20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206" s="136" t="str">
        <f>tbl_IO_List[[#This Row],[Instruement Tag]]&amp;"_"&amp;tbl_IO_List[[#This Row],[I/O Type]]&amp;"_"&amp;tbl_IO_List[[#This Row],[IO-Point 
(Instruement)]]</f>
        <v>PT-40201_AI_1</v>
      </c>
      <c r="U206" s="136" t="s">
        <v>10</v>
      </c>
      <c r="V206" s="136">
        <f>VLOOKUP(tbl_IO_List[[#This Row],[I/O Type]],tbl_Slot_Group[],2,FALSE)</f>
        <v>3</v>
      </c>
      <c r="W206" s="136">
        <v>1</v>
      </c>
      <c r="X206" s="136" t="str">
        <f>tbl_IO_List[[#This Row],[Chassis]]&amp;"S"&amp;TEXT(tbl_IO_List[[#This Row],[Slot]],"00")</f>
        <v>C1S10</v>
      </c>
      <c r="Y206" s="136" t="str">
        <f>tbl_IO_List[[#This Row],[Chassis]]&amp;"S"&amp;TEXT(tbl_IO_List[[#This Row],[Slot]],"00")&amp;tbl_IO_List[[#This Row],[I/O Type]]&amp;TEXT(tbl_IO_List[[#This Row],[Point]],"00")</f>
        <v>C1S10AI08</v>
      </c>
      <c r="Z206" s="136" t="str">
        <f>tbl_IO_List[[#This Row],[Chassis]]&amp;"S"&amp;TEXT(tbl_IO_List[[#This Row],[Slot]],"00")&amp;","&amp;TEXT(tbl_IO_List[[#This Row],[Point]],"00")</f>
        <v>C1S10,08</v>
      </c>
      <c r="AA206" s="136" t="str">
        <f>VLOOKUP(tbl_IO_List[[#This Row],[Column23]],tbl_RackConfig[],5,FALSE) &amp;"-"&amp;tbl_IO_List[[#This Row],[Point]]</f>
        <v>1756-IF16-8</v>
      </c>
      <c r="AB206" s="136"/>
      <c r="AC206" s="136" t="s">
        <v>1370</v>
      </c>
      <c r="AD206" s="136" t="str">
        <f>tbl_IO_List[[#This Row],[I/O Type]]</f>
        <v>AI</v>
      </c>
      <c r="AE206" s="136" t="s">
        <v>1332</v>
      </c>
      <c r="AF206" s="136">
        <v>10</v>
      </c>
      <c r="AG206" s="136">
        <v>8</v>
      </c>
      <c r="AH206" s="136"/>
      <c r="AI206" s="136"/>
      <c r="AJ206" s="136">
        <v>0</v>
      </c>
      <c r="AK206" s="136">
        <v>0</v>
      </c>
      <c r="AL206" s="136">
        <v>1</v>
      </c>
      <c r="AM206" s="136">
        <v>0</v>
      </c>
      <c r="AN206" s="136">
        <v>0</v>
      </c>
      <c r="AO206" s="136"/>
      <c r="AP206" s="143" t="str">
        <f>VLOOKUP(tbl_IO_List[[#This Row],[Instruement Tag]],tbl_Instruement_List[],14,FALSE)</f>
        <v>4 - 20 mA</v>
      </c>
      <c r="AQ206" s="143" t="str">
        <f>tbl_IO_List[[#This Row],[Chassis]]&amp;"S"&amp;tbl_IO_List[[#This Row],[Slot]]&amp;"-"&amp;tbl_IO_List[[#This Row],[Front Terminal Number]]</f>
        <v>C1S10-</v>
      </c>
      <c r="AR206" s="143"/>
      <c r="AS206" s="136" t="str">
        <f>tbl_IO_List[[#This Row],[Terminal Tagging]]&amp;"-"&amp;tbl_IO_List[[#This Row],[Point-Count]]</f>
        <v>-</v>
      </c>
      <c r="AT206" s="136" t="str">
        <f>tbl_IO_List[[#This Row],[Front Terminal Tagging]]&amp;"/"&amp;tbl_IO_List[[#This Row],[Terminal Tagging-Item]]</f>
        <v>C1S10-/-</v>
      </c>
      <c r="AU206" s="136" t="str">
        <f>tbl_IO_List[[#This Row],[Terminal Tagging-Item]]&amp;"/"&amp;tbl_IO_List[[#This Row],[Front Terminal Tagging]]</f>
        <v>-/C1S10-</v>
      </c>
    </row>
    <row r="207" spans="1:47" hidden="1">
      <c r="A207" s="147" t="s">
        <v>1369</v>
      </c>
      <c r="B207" s="136" t="s">
        <v>114</v>
      </c>
      <c r="C207" s="136" t="str">
        <f>tbl_IO_List[[#This Row],[Column3]]</f>
        <v>C1S10,09</v>
      </c>
      <c r="D207" s="136" t="str">
        <f>tbl_IO_List[[#This Row],[Card]]</f>
        <v>1756-IF16-9</v>
      </c>
      <c r="E207" s="136" t="s">
        <v>1366</v>
      </c>
      <c r="F207" s="136" t="str">
        <f>tbl_IO_List[[#This Row],[Column23]]&amp;"-" &amp;tbl_IO_List[[#This Row],[Column52]]</f>
        <v>C1S10-X1</v>
      </c>
      <c r="G207" s="136" t="str">
        <f>tbl_IO_List[[#This Row],[PLC_Tag]]</f>
        <v>PT-40202_AI_1</v>
      </c>
      <c r="H207" s="136"/>
      <c r="I207" s="136" t="str">
        <f>VLOOKUP(tbl_IO_List[[#This Row],[Destination]],tbl_Junction[],2,FALSE)</f>
        <v>Infeed 2nd Floor</v>
      </c>
      <c r="J207" s="136" t="s">
        <v>114</v>
      </c>
      <c r="K207" s="136" t="s">
        <v>115</v>
      </c>
      <c r="L207" s="136" t="s">
        <v>124</v>
      </c>
      <c r="M207" s="136" t="str">
        <f>VLOOKUP(tbl_IO_List[[#This Row],[Instruement Tag]],tbl_Instruement_List[],2,FALSE)</f>
        <v>Pressure Transmitter</v>
      </c>
      <c r="N207" s="136" t="s">
        <v>15</v>
      </c>
      <c r="O207" s="136" t="s">
        <v>116</v>
      </c>
      <c r="P207" s="136" t="s">
        <v>117</v>
      </c>
      <c r="Q207" s="136" t="str">
        <f>VLOOKUP(tbl_IO_List[[#This Row],[Instruement Tag]],tbl_Instruement_List[],6,FALSE)</f>
        <v>Feed Slurry Pressure Transmitter for Pipe (PIPE)</v>
      </c>
      <c r="R207" s="136" t="s">
        <v>1370</v>
      </c>
      <c r="S20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207" s="136" t="str">
        <f>tbl_IO_List[[#This Row],[Instruement Tag]]&amp;"_"&amp;tbl_IO_List[[#This Row],[I/O Type]]&amp;"_"&amp;tbl_IO_List[[#This Row],[IO-Point 
(Instruement)]]</f>
        <v>PT-40202_AI_1</v>
      </c>
      <c r="U207" s="136" t="s">
        <v>10</v>
      </c>
      <c r="V207" s="136">
        <f>VLOOKUP(tbl_IO_List[[#This Row],[I/O Type]],tbl_Slot_Group[],2,FALSE)</f>
        <v>3</v>
      </c>
      <c r="W207" s="136">
        <v>1</v>
      </c>
      <c r="X207" s="136" t="str">
        <f>tbl_IO_List[[#This Row],[Chassis]]&amp;"S"&amp;TEXT(tbl_IO_List[[#This Row],[Slot]],"00")</f>
        <v>C1S10</v>
      </c>
      <c r="Y207" s="136" t="str">
        <f>tbl_IO_List[[#This Row],[Chassis]]&amp;"S"&amp;TEXT(tbl_IO_List[[#This Row],[Slot]],"00")&amp;tbl_IO_List[[#This Row],[I/O Type]]&amp;TEXT(tbl_IO_List[[#This Row],[Point]],"00")</f>
        <v>C1S10AI09</v>
      </c>
      <c r="Z207" s="136" t="str">
        <f>tbl_IO_List[[#This Row],[Chassis]]&amp;"S"&amp;TEXT(tbl_IO_List[[#This Row],[Slot]],"00")&amp;","&amp;TEXT(tbl_IO_List[[#This Row],[Point]],"00")</f>
        <v>C1S10,09</v>
      </c>
      <c r="AA207" s="136" t="str">
        <f>VLOOKUP(tbl_IO_List[[#This Row],[Column23]],tbl_RackConfig[],5,FALSE) &amp;"-"&amp;tbl_IO_List[[#This Row],[Point]]</f>
        <v>1756-IF16-9</v>
      </c>
      <c r="AB207" s="136"/>
      <c r="AC207" s="136" t="s">
        <v>1370</v>
      </c>
      <c r="AD207" s="136" t="str">
        <f>tbl_IO_List[[#This Row],[I/O Type]]</f>
        <v>AI</v>
      </c>
      <c r="AE207" s="136" t="s">
        <v>1332</v>
      </c>
      <c r="AF207" s="136">
        <v>10</v>
      </c>
      <c r="AG207" s="136">
        <v>9</v>
      </c>
      <c r="AH207" s="136"/>
      <c r="AI207" s="136"/>
      <c r="AJ207" s="136">
        <v>0</v>
      </c>
      <c r="AK207" s="136">
        <v>0</v>
      </c>
      <c r="AL207" s="136">
        <v>1</v>
      </c>
      <c r="AM207" s="136">
        <v>0</v>
      </c>
      <c r="AN207" s="136">
        <v>0</v>
      </c>
      <c r="AO207" s="136"/>
      <c r="AP207" s="143" t="str">
        <f>VLOOKUP(tbl_IO_List[[#This Row],[Instruement Tag]],tbl_Instruement_List[],14,FALSE)</f>
        <v>4 - 20 mA</v>
      </c>
      <c r="AQ207" s="143" t="str">
        <f>tbl_IO_List[[#This Row],[Chassis]]&amp;"S"&amp;tbl_IO_List[[#This Row],[Slot]]&amp;"-"&amp;tbl_IO_List[[#This Row],[Front Terminal Number]]</f>
        <v>C1S10-</v>
      </c>
      <c r="AR207" s="143"/>
      <c r="AS207" s="136" t="str">
        <f>tbl_IO_List[[#This Row],[Terminal Tagging]]&amp;"-"&amp;tbl_IO_List[[#This Row],[Point-Count]]</f>
        <v>-</v>
      </c>
      <c r="AT207" s="136" t="str">
        <f>tbl_IO_List[[#This Row],[Front Terminal Tagging]]&amp;"/"&amp;tbl_IO_List[[#This Row],[Terminal Tagging-Item]]</f>
        <v>C1S10-/-</v>
      </c>
      <c r="AU207" s="136" t="str">
        <f>tbl_IO_List[[#This Row],[Terminal Tagging-Item]]&amp;"/"&amp;tbl_IO_List[[#This Row],[Front Terminal Tagging]]</f>
        <v>-/C1S10-</v>
      </c>
    </row>
    <row r="208" spans="1:47" hidden="1">
      <c r="A208" s="147" t="s">
        <v>1369</v>
      </c>
      <c r="B208" s="136" t="s">
        <v>114</v>
      </c>
      <c r="C208" s="136" t="str">
        <f>tbl_IO_List[[#This Row],[Column3]]</f>
        <v>C1S10,10</v>
      </c>
      <c r="D208" s="136" t="str">
        <f>tbl_IO_List[[#This Row],[Card]]</f>
        <v>1756-IF16-10</v>
      </c>
      <c r="E208" s="136" t="s">
        <v>1366</v>
      </c>
      <c r="F208" s="136" t="str">
        <f>tbl_IO_List[[#This Row],[Column23]]&amp;"-" &amp;tbl_IO_List[[#This Row],[Column52]]</f>
        <v>C1S10-X1</v>
      </c>
      <c r="G208" s="136" t="str">
        <f>tbl_IO_List[[#This Row],[PLC_Tag]]</f>
        <v>PT-60202_AI_1</v>
      </c>
      <c r="H208" s="136"/>
      <c r="I208" s="136" t="str">
        <f>VLOOKUP(tbl_IO_List[[#This Row],[Destination]],tbl_Junction[],2,FALSE)</f>
        <v>Infeed 2nd Floor</v>
      </c>
      <c r="J208" s="136" t="s">
        <v>114</v>
      </c>
      <c r="K208" s="136" t="s">
        <v>115</v>
      </c>
      <c r="L208" s="136" t="s">
        <v>125</v>
      </c>
      <c r="M208" s="136" t="str">
        <f>VLOOKUP(tbl_IO_List[[#This Row],[Instruement Tag]],tbl_Instruement_List[],2,FALSE)</f>
        <v>Pressure Transmitter</v>
      </c>
      <c r="N208" s="136" t="s">
        <v>15</v>
      </c>
      <c r="O208" s="136" t="s">
        <v>126</v>
      </c>
      <c r="P208" s="136" t="s">
        <v>127</v>
      </c>
      <c r="Q208" s="136" t="str">
        <f>VLOOKUP(tbl_IO_List[[#This Row],[Instruement Tag]],tbl_Instruement_List[],6,FALSE)</f>
        <v>Feed Slurry Pressure Transmitter for High Pressure Pump Outlet (PUPD-11)</v>
      </c>
      <c r="R208" s="136" t="s">
        <v>1370</v>
      </c>
      <c r="S20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208" s="136" t="str">
        <f>tbl_IO_List[[#This Row],[Instruement Tag]]&amp;"_"&amp;tbl_IO_List[[#This Row],[I/O Type]]&amp;"_"&amp;tbl_IO_List[[#This Row],[IO-Point 
(Instruement)]]</f>
        <v>PT-60202_AI_1</v>
      </c>
      <c r="U208" s="136" t="s">
        <v>10</v>
      </c>
      <c r="V208" s="136">
        <f>VLOOKUP(tbl_IO_List[[#This Row],[I/O Type]],tbl_Slot_Group[],2,FALSE)</f>
        <v>3</v>
      </c>
      <c r="W208" s="136">
        <v>1</v>
      </c>
      <c r="X208" s="136" t="str">
        <f>tbl_IO_List[[#This Row],[Chassis]]&amp;"S"&amp;TEXT(tbl_IO_List[[#This Row],[Slot]],"00")</f>
        <v>C1S10</v>
      </c>
      <c r="Y208" s="136" t="str">
        <f>tbl_IO_List[[#This Row],[Chassis]]&amp;"S"&amp;TEXT(tbl_IO_List[[#This Row],[Slot]],"00")&amp;tbl_IO_List[[#This Row],[I/O Type]]&amp;TEXT(tbl_IO_List[[#This Row],[Point]],"00")</f>
        <v>C1S10AI10</v>
      </c>
      <c r="Z208" s="136" t="str">
        <f>tbl_IO_List[[#This Row],[Chassis]]&amp;"S"&amp;TEXT(tbl_IO_List[[#This Row],[Slot]],"00")&amp;","&amp;TEXT(tbl_IO_List[[#This Row],[Point]],"00")</f>
        <v>C1S10,10</v>
      </c>
      <c r="AA208" s="136" t="str">
        <f>VLOOKUP(tbl_IO_List[[#This Row],[Column23]],tbl_RackConfig[],5,FALSE) &amp;"-"&amp;tbl_IO_List[[#This Row],[Point]]</f>
        <v>1756-IF16-10</v>
      </c>
      <c r="AB208" s="136"/>
      <c r="AC208" s="136" t="s">
        <v>1370</v>
      </c>
      <c r="AD208" s="136" t="str">
        <f>tbl_IO_List[[#This Row],[I/O Type]]</f>
        <v>AI</v>
      </c>
      <c r="AE208" s="136" t="s">
        <v>1332</v>
      </c>
      <c r="AF208" s="136">
        <v>10</v>
      </c>
      <c r="AG208" s="136">
        <v>10</v>
      </c>
      <c r="AH208" s="136"/>
      <c r="AI208" s="136"/>
      <c r="AJ208" s="136">
        <v>0</v>
      </c>
      <c r="AK208" s="136">
        <v>0</v>
      </c>
      <c r="AL208" s="136">
        <v>1</v>
      </c>
      <c r="AM208" s="136">
        <v>0</v>
      </c>
      <c r="AN208" s="136">
        <v>0</v>
      </c>
      <c r="AO208" s="136"/>
      <c r="AP208" s="143" t="str">
        <f>VLOOKUP(tbl_IO_List[[#This Row],[Instruement Tag]],tbl_Instruement_List[],14,FALSE)</f>
        <v>4 - 20 mA</v>
      </c>
      <c r="AQ208" s="143" t="str">
        <f>tbl_IO_List[[#This Row],[Chassis]]&amp;"S"&amp;tbl_IO_List[[#This Row],[Slot]]&amp;"-"&amp;tbl_IO_List[[#This Row],[Front Terminal Number]]</f>
        <v>C1S10-</v>
      </c>
      <c r="AR208" s="143"/>
      <c r="AS208" s="136" t="str">
        <f>tbl_IO_List[[#This Row],[Terminal Tagging]]&amp;"-"&amp;tbl_IO_List[[#This Row],[Point-Count]]</f>
        <v>-</v>
      </c>
      <c r="AT208" s="136" t="str">
        <f>tbl_IO_List[[#This Row],[Front Terminal Tagging]]&amp;"/"&amp;tbl_IO_List[[#This Row],[Terminal Tagging-Item]]</f>
        <v>C1S10-/-</v>
      </c>
      <c r="AU208" s="136" t="str">
        <f>tbl_IO_List[[#This Row],[Terminal Tagging-Item]]&amp;"/"&amp;tbl_IO_List[[#This Row],[Front Terminal Tagging]]</f>
        <v>-/C1S10-</v>
      </c>
    </row>
    <row r="209" spans="1:47" hidden="1">
      <c r="A209" s="147" t="s">
        <v>1369</v>
      </c>
      <c r="B209" s="136" t="s">
        <v>114</v>
      </c>
      <c r="C209" s="136" t="str">
        <f>tbl_IO_List[[#This Row],[Column3]]</f>
        <v>C1S10,11</v>
      </c>
      <c r="D209" s="136" t="str">
        <f>tbl_IO_List[[#This Row],[Card]]</f>
        <v>1756-IF16-11</v>
      </c>
      <c r="E209" s="136" t="s">
        <v>1366</v>
      </c>
      <c r="F209" s="136" t="str">
        <f>tbl_IO_List[[#This Row],[Column23]]&amp;"-" &amp;tbl_IO_List[[#This Row],[Column52]]</f>
        <v>C1S10-X1</v>
      </c>
      <c r="G209" s="136" t="str">
        <f>tbl_IO_List[[#This Row],[PLC_Tag]]</f>
        <v>Spare_AI_0</v>
      </c>
      <c r="H209" s="136"/>
      <c r="I209" s="136" t="str">
        <f>VLOOKUP(tbl_IO_List[[#This Row],[Destination]],tbl_Junction[],2,FALSE)</f>
        <v>Infeed 2nd Floor</v>
      </c>
      <c r="J209" s="136" t="s">
        <v>114</v>
      </c>
      <c r="K209" s="136"/>
      <c r="L209" s="136" t="s">
        <v>411</v>
      </c>
      <c r="M209" s="136" t="e">
        <f>VLOOKUP(tbl_IO_List[[#This Row],[Instruement Tag]],tbl_Instruement_List[],2,FALSE)</f>
        <v>#N/A</v>
      </c>
      <c r="N209" s="136"/>
      <c r="O209" s="136"/>
      <c r="P209" s="136"/>
      <c r="Q209" s="136" t="e">
        <f>VLOOKUP(tbl_IO_List[[#This Row],[Instruement Tag]],tbl_Instruement_List[],6,FALSE)</f>
        <v>#N/A</v>
      </c>
      <c r="R209" s="136"/>
      <c r="S20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209" s="136" t="str">
        <f>tbl_IO_List[[#This Row],[Instruement Tag]]&amp;"_"&amp;tbl_IO_List[[#This Row],[I/O Type]]&amp;"_"&amp;tbl_IO_List[[#This Row],[IO-Point 
(Instruement)]]</f>
        <v>Spare_AI_0</v>
      </c>
      <c r="U209" s="136" t="s">
        <v>10</v>
      </c>
      <c r="V209" s="136">
        <f>VLOOKUP(tbl_IO_List[[#This Row],[I/O Type]],tbl_Slot_Group[],2,FALSE)</f>
        <v>3</v>
      </c>
      <c r="W209" s="136">
        <v>0</v>
      </c>
      <c r="X209" s="136" t="str">
        <f>tbl_IO_List[[#This Row],[Chassis]]&amp;"S"&amp;TEXT(tbl_IO_List[[#This Row],[Slot]],"00")</f>
        <v>C1S10</v>
      </c>
      <c r="Y209" s="136" t="str">
        <f>tbl_IO_List[[#This Row],[Chassis]]&amp;"S"&amp;TEXT(tbl_IO_List[[#This Row],[Slot]],"00")&amp;tbl_IO_List[[#This Row],[I/O Type]]&amp;TEXT(tbl_IO_List[[#This Row],[Point]],"00")</f>
        <v>C1S10AI11</v>
      </c>
      <c r="Z209" s="136" t="str">
        <f>tbl_IO_List[[#This Row],[Chassis]]&amp;"S"&amp;TEXT(tbl_IO_List[[#This Row],[Slot]],"00")&amp;","&amp;TEXT(tbl_IO_List[[#This Row],[Point]],"00")</f>
        <v>C1S10,11</v>
      </c>
      <c r="AA209" s="136" t="str">
        <f>VLOOKUP(tbl_IO_List[[#This Row],[Column23]],tbl_RackConfig[],5,FALSE) &amp;"-"&amp;tbl_IO_List[[#This Row],[Point]]</f>
        <v>1756-IF16-11</v>
      </c>
      <c r="AB209" s="136"/>
      <c r="AC209" s="136" t="s">
        <v>1370</v>
      </c>
      <c r="AD209" s="136" t="str">
        <f>tbl_IO_List[[#This Row],[I/O Type]]</f>
        <v>AI</v>
      </c>
      <c r="AE209" s="136" t="s">
        <v>1332</v>
      </c>
      <c r="AF209" s="136">
        <v>10</v>
      </c>
      <c r="AG209" s="136">
        <v>11</v>
      </c>
      <c r="AH209" s="136"/>
      <c r="AI209" s="136"/>
      <c r="AJ209" s="136">
        <v>0</v>
      </c>
      <c r="AK209" s="136">
        <v>0</v>
      </c>
      <c r="AL209" s="136">
        <v>1</v>
      </c>
      <c r="AM209" s="136">
        <v>0</v>
      </c>
      <c r="AN209" s="136">
        <v>0</v>
      </c>
      <c r="AO209" s="136"/>
      <c r="AP209" s="143" t="e">
        <f>VLOOKUP(tbl_IO_List[[#This Row],[Instruement Tag]],tbl_Instruement_List[],14,FALSE)</f>
        <v>#N/A</v>
      </c>
      <c r="AQ209" s="143" t="str">
        <f>tbl_IO_List[[#This Row],[Chassis]]&amp;"S"&amp;tbl_IO_List[[#This Row],[Slot]]&amp;"-"&amp;tbl_IO_List[[#This Row],[Front Terminal Number]]</f>
        <v>C1S10-</v>
      </c>
      <c r="AR209" s="143"/>
      <c r="AS209" s="136" t="str">
        <f>tbl_IO_List[[#This Row],[Terminal Tagging]]&amp;"-"&amp;tbl_IO_List[[#This Row],[Point-Count]]</f>
        <v>-</v>
      </c>
      <c r="AT209" s="136" t="str">
        <f>tbl_IO_List[[#This Row],[Front Terminal Tagging]]&amp;"/"&amp;tbl_IO_List[[#This Row],[Terminal Tagging-Item]]</f>
        <v>C1S10-/-</v>
      </c>
      <c r="AU209" s="136" t="str">
        <f>tbl_IO_List[[#This Row],[Terminal Tagging-Item]]&amp;"/"&amp;tbl_IO_List[[#This Row],[Front Terminal Tagging]]</f>
        <v>-/C1S10-</v>
      </c>
    </row>
    <row r="210" spans="1:47" hidden="1">
      <c r="A210" s="147" t="s">
        <v>1369</v>
      </c>
      <c r="B210" s="136" t="s">
        <v>114</v>
      </c>
      <c r="C210" s="136" t="str">
        <f>tbl_IO_List[[#This Row],[Column3]]</f>
        <v>C1S10,12</v>
      </c>
      <c r="D210" s="136" t="str">
        <f>tbl_IO_List[[#This Row],[Card]]</f>
        <v>1756-IF16-12</v>
      </c>
      <c r="E210" s="136" t="s">
        <v>1366</v>
      </c>
      <c r="F210" s="136" t="str">
        <f>tbl_IO_List[[#This Row],[Column23]]&amp;"-" &amp;tbl_IO_List[[#This Row],[Column52]]</f>
        <v>C1S10-X1</v>
      </c>
      <c r="G210" s="136" t="str">
        <f>tbl_IO_List[[#This Row],[PLC_Tag]]</f>
        <v>Spare_AI_0</v>
      </c>
      <c r="H210" s="136"/>
      <c r="I210" s="136" t="str">
        <f>VLOOKUP(tbl_IO_List[[#This Row],[Destination]],tbl_Junction[],2,FALSE)</f>
        <v>Infeed 2nd Floor</v>
      </c>
      <c r="J210" s="136" t="s">
        <v>114</v>
      </c>
      <c r="K210" s="136"/>
      <c r="L210" s="136" t="s">
        <v>411</v>
      </c>
      <c r="M210" s="136" t="e">
        <f>VLOOKUP(tbl_IO_List[[#This Row],[Instruement Tag]],tbl_Instruement_List[],2,FALSE)</f>
        <v>#N/A</v>
      </c>
      <c r="N210" s="136"/>
      <c r="O210" s="136"/>
      <c r="P210" s="136"/>
      <c r="Q210" s="136" t="e">
        <f>VLOOKUP(tbl_IO_List[[#This Row],[Instruement Tag]],tbl_Instruement_List[],6,FALSE)</f>
        <v>#N/A</v>
      </c>
      <c r="R210" s="136"/>
      <c r="S21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210" s="136" t="str">
        <f>tbl_IO_List[[#This Row],[Instruement Tag]]&amp;"_"&amp;tbl_IO_List[[#This Row],[I/O Type]]&amp;"_"&amp;tbl_IO_List[[#This Row],[IO-Point 
(Instruement)]]</f>
        <v>Spare_AI_0</v>
      </c>
      <c r="U210" s="136" t="s">
        <v>10</v>
      </c>
      <c r="V210" s="136">
        <f>VLOOKUP(tbl_IO_List[[#This Row],[I/O Type]],tbl_Slot_Group[],2,FALSE)</f>
        <v>3</v>
      </c>
      <c r="W210" s="136">
        <v>0</v>
      </c>
      <c r="X210" s="136" t="str">
        <f>tbl_IO_List[[#This Row],[Chassis]]&amp;"S"&amp;TEXT(tbl_IO_List[[#This Row],[Slot]],"00")</f>
        <v>C1S10</v>
      </c>
      <c r="Y210" s="136" t="str">
        <f>tbl_IO_List[[#This Row],[Chassis]]&amp;"S"&amp;TEXT(tbl_IO_List[[#This Row],[Slot]],"00")&amp;tbl_IO_List[[#This Row],[I/O Type]]&amp;TEXT(tbl_IO_List[[#This Row],[Point]],"00")</f>
        <v>C1S10AI12</v>
      </c>
      <c r="Z210" s="136" t="str">
        <f>tbl_IO_List[[#This Row],[Chassis]]&amp;"S"&amp;TEXT(tbl_IO_List[[#This Row],[Slot]],"00")&amp;","&amp;TEXT(tbl_IO_List[[#This Row],[Point]],"00")</f>
        <v>C1S10,12</v>
      </c>
      <c r="AA210" s="136" t="str">
        <f>VLOOKUP(tbl_IO_List[[#This Row],[Column23]],tbl_RackConfig[],5,FALSE) &amp;"-"&amp;tbl_IO_List[[#This Row],[Point]]</f>
        <v>1756-IF16-12</v>
      </c>
      <c r="AB210" s="136"/>
      <c r="AC210" s="136" t="s">
        <v>1370</v>
      </c>
      <c r="AD210" s="136" t="str">
        <f>tbl_IO_List[[#This Row],[I/O Type]]</f>
        <v>AI</v>
      </c>
      <c r="AE210" s="136" t="s">
        <v>1332</v>
      </c>
      <c r="AF210" s="136">
        <v>10</v>
      </c>
      <c r="AG210" s="136">
        <v>12</v>
      </c>
      <c r="AH210" s="136"/>
      <c r="AI210" s="136"/>
      <c r="AJ210" s="136">
        <v>0</v>
      </c>
      <c r="AK210" s="136">
        <v>0</v>
      </c>
      <c r="AL210" s="136">
        <v>1</v>
      </c>
      <c r="AM210" s="136">
        <v>0</v>
      </c>
      <c r="AN210" s="136">
        <v>0</v>
      </c>
      <c r="AO210" s="136"/>
      <c r="AP210" s="143" t="e">
        <f>VLOOKUP(tbl_IO_List[[#This Row],[Instruement Tag]],tbl_Instruement_List[],14,FALSE)</f>
        <v>#N/A</v>
      </c>
      <c r="AQ210" s="143" t="str">
        <f>tbl_IO_List[[#This Row],[Chassis]]&amp;"S"&amp;tbl_IO_List[[#This Row],[Slot]]&amp;"-"&amp;tbl_IO_List[[#This Row],[Front Terminal Number]]</f>
        <v>C1S10-</v>
      </c>
      <c r="AR210" s="143"/>
      <c r="AS210" s="136" t="str">
        <f>tbl_IO_List[[#This Row],[Terminal Tagging]]&amp;"-"&amp;tbl_IO_List[[#This Row],[Point-Count]]</f>
        <v>-</v>
      </c>
      <c r="AT210" s="136" t="str">
        <f>tbl_IO_List[[#This Row],[Front Terminal Tagging]]&amp;"/"&amp;tbl_IO_List[[#This Row],[Terminal Tagging-Item]]</f>
        <v>C1S10-/-</v>
      </c>
      <c r="AU210" s="136" t="str">
        <f>tbl_IO_List[[#This Row],[Terminal Tagging-Item]]&amp;"/"&amp;tbl_IO_List[[#This Row],[Front Terminal Tagging]]</f>
        <v>-/C1S10-</v>
      </c>
    </row>
    <row r="211" spans="1:47" hidden="1">
      <c r="A211" s="147" t="s">
        <v>1369</v>
      </c>
      <c r="B211" s="136" t="s">
        <v>114</v>
      </c>
      <c r="C211" s="136" t="str">
        <f>tbl_IO_List[[#This Row],[Column3]]</f>
        <v>C1S10,13</v>
      </c>
      <c r="D211" s="136" t="str">
        <f>tbl_IO_List[[#This Row],[Card]]</f>
        <v>1756-IF16-13</v>
      </c>
      <c r="E211" s="136" t="s">
        <v>1366</v>
      </c>
      <c r="F211" s="136" t="str">
        <f>tbl_IO_List[[#This Row],[Column23]]&amp;"-" &amp;tbl_IO_List[[#This Row],[Column52]]</f>
        <v>C1S10-X1</v>
      </c>
      <c r="G211" s="136" t="str">
        <f>tbl_IO_List[[#This Row],[PLC_Tag]]</f>
        <v>Spare_AI_0</v>
      </c>
      <c r="H211" s="136"/>
      <c r="I211" s="136" t="str">
        <f>VLOOKUP(tbl_IO_List[[#This Row],[Destination]],tbl_Junction[],2,FALSE)</f>
        <v>Infeed 2nd Floor</v>
      </c>
      <c r="J211" s="136" t="s">
        <v>114</v>
      </c>
      <c r="K211" s="136"/>
      <c r="L211" s="136" t="s">
        <v>411</v>
      </c>
      <c r="M211" s="136" t="e">
        <f>VLOOKUP(tbl_IO_List[[#This Row],[Instruement Tag]],tbl_Instruement_List[],2,FALSE)</f>
        <v>#N/A</v>
      </c>
      <c r="N211" s="136"/>
      <c r="O211" s="136"/>
      <c r="P211" s="136"/>
      <c r="Q211" s="136" t="e">
        <f>VLOOKUP(tbl_IO_List[[#This Row],[Instruement Tag]],tbl_Instruement_List[],6,FALSE)</f>
        <v>#N/A</v>
      </c>
      <c r="R211" s="136"/>
      <c r="S21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211" s="136" t="str">
        <f>tbl_IO_List[[#This Row],[Instruement Tag]]&amp;"_"&amp;tbl_IO_List[[#This Row],[I/O Type]]&amp;"_"&amp;tbl_IO_List[[#This Row],[IO-Point 
(Instruement)]]</f>
        <v>Spare_AI_0</v>
      </c>
      <c r="U211" s="136" t="s">
        <v>10</v>
      </c>
      <c r="V211" s="136">
        <f>VLOOKUP(tbl_IO_List[[#This Row],[I/O Type]],tbl_Slot_Group[],2,FALSE)</f>
        <v>3</v>
      </c>
      <c r="W211" s="136">
        <v>0</v>
      </c>
      <c r="X211" s="136" t="str">
        <f>tbl_IO_List[[#This Row],[Chassis]]&amp;"S"&amp;TEXT(tbl_IO_List[[#This Row],[Slot]],"00")</f>
        <v>C1S10</v>
      </c>
      <c r="Y211" s="136" t="str">
        <f>tbl_IO_List[[#This Row],[Chassis]]&amp;"S"&amp;TEXT(tbl_IO_List[[#This Row],[Slot]],"00")&amp;tbl_IO_List[[#This Row],[I/O Type]]&amp;TEXT(tbl_IO_List[[#This Row],[Point]],"00")</f>
        <v>C1S10AI13</v>
      </c>
      <c r="Z211" s="136" t="str">
        <f>tbl_IO_List[[#This Row],[Chassis]]&amp;"S"&amp;TEXT(tbl_IO_List[[#This Row],[Slot]],"00")&amp;","&amp;TEXT(tbl_IO_List[[#This Row],[Point]],"00")</f>
        <v>C1S10,13</v>
      </c>
      <c r="AA211" s="136" t="str">
        <f>VLOOKUP(tbl_IO_List[[#This Row],[Column23]],tbl_RackConfig[],5,FALSE) &amp;"-"&amp;tbl_IO_List[[#This Row],[Point]]</f>
        <v>1756-IF16-13</v>
      </c>
      <c r="AB211" s="136"/>
      <c r="AC211" s="136" t="s">
        <v>1370</v>
      </c>
      <c r="AD211" s="136" t="str">
        <f>tbl_IO_List[[#This Row],[I/O Type]]</f>
        <v>AI</v>
      </c>
      <c r="AE211" s="136" t="s">
        <v>1332</v>
      </c>
      <c r="AF211" s="136">
        <v>10</v>
      </c>
      <c r="AG211" s="136">
        <v>13</v>
      </c>
      <c r="AH211" s="136"/>
      <c r="AI211" s="136"/>
      <c r="AJ211" s="136">
        <v>0</v>
      </c>
      <c r="AK211" s="136">
        <v>0</v>
      </c>
      <c r="AL211" s="136">
        <v>1</v>
      </c>
      <c r="AM211" s="136">
        <v>0</v>
      </c>
      <c r="AN211" s="136">
        <v>0</v>
      </c>
      <c r="AO211" s="136"/>
      <c r="AP211" s="143" t="e">
        <f>VLOOKUP(tbl_IO_List[[#This Row],[Instruement Tag]],tbl_Instruement_List[],14,FALSE)</f>
        <v>#N/A</v>
      </c>
      <c r="AQ211" s="143" t="str">
        <f>tbl_IO_List[[#This Row],[Chassis]]&amp;"S"&amp;tbl_IO_List[[#This Row],[Slot]]&amp;"-"&amp;tbl_IO_List[[#This Row],[Front Terminal Number]]</f>
        <v>C1S10-</v>
      </c>
      <c r="AR211" s="143"/>
      <c r="AS211" s="136" t="str">
        <f>tbl_IO_List[[#This Row],[Terminal Tagging]]&amp;"-"&amp;tbl_IO_List[[#This Row],[Point-Count]]</f>
        <v>-</v>
      </c>
      <c r="AT211" s="136" t="str">
        <f>tbl_IO_List[[#This Row],[Front Terminal Tagging]]&amp;"/"&amp;tbl_IO_List[[#This Row],[Terminal Tagging-Item]]</f>
        <v>C1S10-/-</v>
      </c>
      <c r="AU211" s="136" t="str">
        <f>tbl_IO_List[[#This Row],[Terminal Tagging-Item]]&amp;"/"&amp;tbl_IO_List[[#This Row],[Front Terminal Tagging]]</f>
        <v>-/C1S10-</v>
      </c>
    </row>
    <row r="212" spans="1:47" hidden="1">
      <c r="A212" s="147" t="s">
        <v>1369</v>
      </c>
      <c r="B212" s="136" t="s">
        <v>114</v>
      </c>
      <c r="C212" s="136" t="str">
        <f>tbl_IO_List[[#This Row],[Column3]]</f>
        <v>C1S10,14</v>
      </c>
      <c r="D212" s="136" t="str">
        <f>tbl_IO_List[[#This Row],[Card]]</f>
        <v>1756-IF16-14</v>
      </c>
      <c r="E212" s="136" t="s">
        <v>1366</v>
      </c>
      <c r="F212" s="136" t="str">
        <f>tbl_IO_List[[#This Row],[Column23]]&amp;"-" &amp;tbl_IO_List[[#This Row],[Column52]]</f>
        <v>C1S10-X1</v>
      </c>
      <c r="G212" s="136" t="str">
        <f>tbl_IO_List[[#This Row],[PLC_Tag]]</f>
        <v>Spare_AI_0</v>
      </c>
      <c r="H212" s="136"/>
      <c r="I212" s="136" t="str">
        <f>VLOOKUP(tbl_IO_List[[#This Row],[Destination]],tbl_Junction[],2,FALSE)</f>
        <v>Infeed 2nd Floor</v>
      </c>
      <c r="J212" s="136" t="s">
        <v>114</v>
      </c>
      <c r="K212" s="136"/>
      <c r="L212" s="136" t="s">
        <v>411</v>
      </c>
      <c r="M212" s="136" t="e">
        <f>VLOOKUP(tbl_IO_List[[#This Row],[Instruement Tag]],tbl_Instruement_List[],2,FALSE)</f>
        <v>#N/A</v>
      </c>
      <c r="N212" s="136"/>
      <c r="O212" s="136"/>
      <c r="P212" s="136"/>
      <c r="Q212" s="136" t="e">
        <f>VLOOKUP(tbl_IO_List[[#This Row],[Instruement Tag]],tbl_Instruement_List[],6,FALSE)</f>
        <v>#N/A</v>
      </c>
      <c r="R212" s="136"/>
      <c r="S21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212" s="136" t="str">
        <f>tbl_IO_List[[#This Row],[Instruement Tag]]&amp;"_"&amp;tbl_IO_List[[#This Row],[I/O Type]]&amp;"_"&amp;tbl_IO_List[[#This Row],[IO-Point 
(Instruement)]]</f>
        <v>Spare_AI_0</v>
      </c>
      <c r="U212" s="136" t="s">
        <v>10</v>
      </c>
      <c r="V212" s="136">
        <f>VLOOKUP(tbl_IO_List[[#This Row],[I/O Type]],tbl_Slot_Group[],2,FALSE)</f>
        <v>3</v>
      </c>
      <c r="W212" s="136">
        <v>0</v>
      </c>
      <c r="X212" s="136" t="str">
        <f>tbl_IO_List[[#This Row],[Chassis]]&amp;"S"&amp;TEXT(tbl_IO_List[[#This Row],[Slot]],"00")</f>
        <v>C1S10</v>
      </c>
      <c r="Y212" s="136" t="str">
        <f>tbl_IO_List[[#This Row],[Chassis]]&amp;"S"&amp;TEXT(tbl_IO_List[[#This Row],[Slot]],"00")&amp;tbl_IO_List[[#This Row],[I/O Type]]&amp;TEXT(tbl_IO_List[[#This Row],[Point]],"00")</f>
        <v>C1S10AI14</v>
      </c>
      <c r="Z212" s="136" t="str">
        <f>tbl_IO_List[[#This Row],[Chassis]]&amp;"S"&amp;TEXT(tbl_IO_List[[#This Row],[Slot]],"00")&amp;","&amp;TEXT(tbl_IO_List[[#This Row],[Point]],"00")</f>
        <v>C1S10,14</v>
      </c>
      <c r="AA212" s="136" t="str">
        <f>VLOOKUP(tbl_IO_List[[#This Row],[Column23]],tbl_RackConfig[],5,FALSE) &amp;"-"&amp;tbl_IO_List[[#This Row],[Point]]</f>
        <v>1756-IF16-14</v>
      </c>
      <c r="AB212" s="136"/>
      <c r="AC212" s="136" t="s">
        <v>1370</v>
      </c>
      <c r="AD212" s="136" t="str">
        <f>tbl_IO_List[[#This Row],[I/O Type]]</f>
        <v>AI</v>
      </c>
      <c r="AE212" s="136" t="s">
        <v>1332</v>
      </c>
      <c r="AF212" s="136">
        <v>10</v>
      </c>
      <c r="AG212" s="136">
        <v>14</v>
      </c>
      <c r="AH212" s="136"/>
      <c r="AI212" s="136"/>
      <c r="AJ212" s="136">
        <v>0</v>
      </c>
      <c r="AK212" s="136">
        <v>0</v>
      </c>
      <c r="AL212" s="136">
        <v>1</v>
      </c>
      <c r="AM212" s="136">
        <v>0</v>
      </c>
      <c r="AN212" s="136">
        <v>0</v>
      </c>
      <c r="AO212" s="136"/>
      <c r="AP212" s="143" t="e">
        <f>VLOOKUP(tbl_IO_List[[#This Row],[Instruement Tag]],tbl_Instruement_List[],14,FALSE)</f>
        <v>#N/A</v>
      </c>
      <c r="AQ212" s="143" t="str">
        <f>tbl_IO_List[[#This Row],[Chassis]]&amp;"S"&amp;tbl_IO_List[[#This Row],[Slot]]&amp;"-"&amp;tbl_IO_List[[#This Row],[Front Terminal Number]]</f>
        <v>C1S10-</v>
      </c>
      <c r="AR212" s="143"/>
      <c r="AS212" s="136" t="str">
        <f>tbl_IO_List[[#This Row],[Terminal Tagging]]&amp;"-"&amp;tbl_IO_List[[#This Row],[Point-Count]]</f>
        <v>-</v>
      </c>
      <c r="AT212" s="136" t="str">
        <f>tbl_IO_List[[#This Row],[Front Terminal Tagging]]&amp;"/"&amp;tbl_IO_List[[#This Row],[Terminal Tagging-Item]]</f>
        <v>C1S10-/-</v>
      </c>
      <c r="AU212" s="136" t="str">
        <f>tbl_IO_List[[#This Row],[Terminal Tagging-Item]]&amp;"/"&amp;tbl_IO_List[[#This Row],[Front Terminal Tagging]]</f>
        <v>-/C1S10-</v>
      </c>
    </row>
    <row r="213" spans="1:47" hidden="1">
      <c r="A213" s="147" t="s">
        <v>1369</v>
      </c>
      <c r="B213" s="136" t="s">
        <v>114</v>
      </c>
      <c r="C213" s="136" t="str">
        <f>tbl_IO_List[[#This Row],[Column3]]</f>
        <v>C1S10,15</v>
      </c>
      <c r="D213" s="136" t="str">
        <f>tbl_IO_List[[#This Row],[Card]]</f>
        <v>1756-IF16-15</v>
      </c>
      <c r="E213" s="136" t="s">
        <v>1366</v>
      </c>
      <c r="F213" s="136" t="str">
        <f>tbl_IO_List[[#This Row],[Column23]]&amp;"-" &amp;tbl_IO_List[[#This Row],[Column52]]</f>
        <v>C1S10-X1</v>
      </c>
      <c r="G213" s="136" t="str">
        <f>tbl_IO_List[[#This Row],[PLC_Tag]]</f>
        <v>Spare_AI_0</v>
      </c>
      <c r="H213" s="136"/>
      <c r="I213" s="136" t="str">
        <f>VLOOKUP(tbl_IO_List[[#This Row],[Destination]],tbl_Junction[],2,FALSE)</f>
        <v>Infeed 2nd Floor</v>
      </c>
      <c r="J213" s="136" t="s">
        <v>114</v>
      </c>
      <c r="K213" s="136"/>
      <c r="L213" s="136" t="s">
        <v>411</v>
      </c>
      <c r="M213" s="136" t="e">
        <f>VLOOKUP(tbl_IO_List[[#This Row],[Instruement Tag]],tbl_Instruement_List[],2,FALSE)</f>
        <v>#N/A</v>
      </c>
      <c r="N213" s="136"/>
      <c r="O213" s="136"/>
      <c r="P213" s="136"/>
      <c r="Q213" s="136" t="e">
        <f>VLOOKUP(tbl_IO_List[[#This Row],[Instruement Tag]],tbl_Instruement_List[],6,FALSE)</f>
        <v>#N/A</v>
      </c>
      <c r="R213" s="136"/>
      <c r="S21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213" s="136" t="str">
        <f>tbl_IO_List[[#This Row],[Instruement Tag]]&amp;"_"&amp;tbl_IO_List[[#This Row],[I/O Type]]&amp;"_"&amp;tbl_IO_List[[#This Row],[IO-Point 
(Instruement)]]</f>
        <v>Spare_AI_0</v>
      </c>
      <c r="U213" s="136" t="s">
        <v>10</v>
      </c>
      <c r="V213" s="136">
        <f>VLOOKUP(tbl_IO_List[[#This Row],[I/O Type]],tbl_Slot_Group[],2,FALSE)</f>
        <v>3</v>
      </c>
      <c r="W213" s="136">
        <v>0</v>
      </c>
      <c r="X213" s="136" t="str">
        <f>tbl_IO_List[[#This Row],[Chassis]]&amp;"S"&amp;TEXT(tbl_IO_List[[#This Row],[Slot]],"00")</f>
        <v>C1S10</v>
      </c>
      <c r="Y213" s="136" t="str">
        <f>tbl_IO_List[[#This Row],[Chassis]]&amp;"S"&amp;TEXT(tbl_IO_List[[#This Row],[Slot]],"00")&amp;tbl_IO_List[[#This Row],[I/O Type]]&amp;TEXT(tbl_IO_List[[#This Row],[Point]],"00")</f>
        <v>C1S10AI15</v>
      </c>
      <c r="Z213" s="136" t="str">
        <f>tbl_IO_List[[#This Row],[Chassis]]&amp;"S"&amp;TEXT(tbl_IO_List[[#This Row],[Slot]],"00")&amp;","&amp;TEXT(tbl_IO_List[[#This Row],[Point]],"00")</f>
        <v>C1S10,15</v>
      </c>
      <c r="AA213" s="136" t="str">
        <f>VLOOKUP(tbl_IO_List[[#This Row],[Column23]],tbl_RackConfig[],5,FALSE) &amp;"-"&amp;tbl_IO_List[[#This Row],[Point]]</f>
        <v>1756-IF16-15</v>
      </c>
      <c r="AB213" s="136"/>
      <c r="AC213" s="136" t="s">
        <v>1370</v>
      </c>
      <c r="AD213" s="136" t="str">
        <f>tbl_IO_List[[#This Row],[I/O Type]]</f>
        <v>AI</v>
      </c>
      <c r="AE213" s="136" t="s">
        <v>1332</v>
      </c>
      <c r="AF213" s="136">
        <v>10</v>
      </c>
      <c r="AG213" s="136">
        <v>15</v>
      </c>
      <c r="AH213" s="136"/>
      <c r="AI213" s="136"/>
      <c r="AJ213" s="136">
        <v>0</v>
      </c>
      <c r="AK213" s="136">
        <v>0</v>
      </c>
      <c r="AL213" s="136">
        <v>1</v>
      </c>
      <c r="AM213" s="136">
        <v>0</v>
      </c>
      <c r="AN213" s="136">
        <v>0</v>
      </c>
      <c r="AO213" s="136"/>
      <c r="AP213" s="143" t="e">
        <f>VLOOKUP(tbl_IO_List[[#This Row],[Instruement Tag]],tbl_Instruement_List[],14,FALSE)</f>
        <v>#N/A</v>
      </c>
      <c r="AQ213" s="143" t="str">
        <f>tbl_IO_List[[#This Row],[Chassis]]&amp;"S"&amp;tbl_IO_List[[#This Row],[Slot]]&amp;"-"&amp;tbl_IO_List[[#This Row],[Front Terminal Number]]</f>
        <v>C1S10-</v>
      </c>
      <c r="AR213" s="143"/>
      <c r="AS213" s="136" t="str">
        <f>tbl_IO_List[[#This Row],[Terminal Tagging]]&amp;"-"&amp;tbl_IO_List[[#This Row],[Point-Count]]</f>
        <v>-</v>
      </c>
      <c r="AT213" s="136" t="str">
        <f>tbl_IO_List[[#This Row],[Front Terminal Tagging]]&amp;"/"&amp;tbl_IO_List[[#This Row],[Terminal Tagging-Item]]</f>
        <v>C1S10-/-</v>
      </c>
      <c r="AU213" s="136" t="str">
        <f>tbl_IO_List[[#This Row],[Terminal Tagging-Item]]&amp;"/"&amp;tbl_IO_List[[#This Row],[Front Terminal Tagging]]</f>
        <v>-/C1S10-</v>
      </c>
    </row>
    <row r="214" spans="1:47" hidden="1">
      <c r="A214" s="147" t="s">
        <v>1369</v>
      </c>
      <c r="B214" s="136" t="s">
        <v>191</v>
      </c>
      <c r="C214" s="136" t="str">
        <f>tbl_IO_List[[#This Row],[Column3]]</f>
        <v>C1S11,00</v>
      </c>
      <c r="D214" s="136" t="str">
        <f>tbl_IO_List[[#This Row],[Card]]</f>
        <v>1756-IF16-0</v>
      </c>
      <c r="E214" s="136" t="s">
        <v>1366</v>
      </c>
      <c r="F214" s="136" t="str">
        <f>tbl_IO_List[[#This Row],[Column23]]&amp;"-" &amp;tbl_IO_List[[#This Row],[Column52]]</f>
        <v>C1S11-X1</v>
      </c>
      <c r="G214" s="136" t="str">
        <f>tbl_IO_List[[#This Row],[PLC_Tag]]</f>
        <v>DPI-60240_AI_1</v>
      </c>
      <c r="H214" s="136"/>
      <c r="I214" s="136" t="str">
        <f>VLOOKUP(tbl_IO_List[[#This Row],[Destination]],tbl_Junction[],2,FALSE)</f>
        <v>Spray Dryer 1st Floor</v>
      </c>
      <c r="J214" s="136" t="s">
        <v>191</v>
      </c>
      <c r="K214" s="136" t="s">
        <v>14</v>
      </c>
      <c r="L214" s="136" t="s">
        <v>1070</v>
      </c>
      <c r="M214" s="136">
        <f>VLOOKUP(tbl_IO_List[[#This Row],[Instruement Tag]],tbl_Instruement_List[],2,FALSE)</f>
        <v>0</v>
      </c>
      <c r="N214" s="136" t="s">
        <v>15</v>
      </c>
      <c r="O214" s="136" t="s">
        <v>21</v>
      </c>
      <c r="P214" s="136" t="s">
        <v>18</v>
      </c>
      <c r="Q214" s="136" t="str">
        <f>VLOOKUP(tbl_IO_List[[#This Row],[Instruement Tag]],tbl_Instruement_List[],6,FALSE)</f>
        <v>Gas Pressure Differntial Pressure (Bag House Air Pulsing)</v>
      </c>
      <c r="R214" s="136" t="s">
        <v>1370</v>
      </c>
      <c r="S21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214" s="136" t="str">
        <f>tbl_IO_List[[#This Row],[Instruement Tag]]&amp;"_"&amp;tbl_IO_List[[#This Row],[I/O Type]]&amp;"_"&amp;tbl_IO_List[[#This Row],[IO-Point 
(Instruement)]]</f>
        <v>DPI-60240_AI_1</v>
      </c>
      <c r="U214" s="136" t="s">
        <v>10</v>
      </c>
      <c r="V214" s="136">
        <f>VLOOKUP(tbl_IO_List[[#This Row],[I/O Type]],tbl_Slot_Group[],2,FALSE)</f>
        <v>3</v>
      </c>
      <c r="W214" s="136">
        <v>1</v>
      </c>
      <c r="X214" s="136" t="str">
        <f>tbl_IO_List[[#This Row],[Chassis]]&amp;"S"&amp;TEXT(tbl_IO_List[[#This Row],[Slot]],"00")</f>
        <v>C1S11</v>
      </c>
      <c r="Y214" s="136" t="str">
        <f>tbl_IO_List[[#This Row],[Chassis]]&amp;"S"&amp;TEXT(tbl_IO_List[[#This Row],[Slot]],"00")&amp;tbl_IO_List[[#This Row],[I/O Type]]&amp;TEXT(tbl_IO_List[[#This Row],[Point]],"00")</f>
        <v>C1S11AI00</v>
      </c>
      <c r="Z214" s="136" t="str">
        <f>tbl_IO_List[[#This Row],[Chassis]]&amp;"S"&amp;TEXT(tbl_IO_List[[#This Row],[Slot]],"00")&amp;","&amp;TEXT(tbl_IO_List[[#This Row],[Point]],"00")</f>
        <v>C1S11,00</v>
      </c>
      <c r="AA214" s="136" t="str">
        <f>VLOOKUP(tbl_IO_List[[#This Row],[Column23]],tbl_RackConfig[],5,FALSE) &amp;"-"&amp;tbl_IO_List[[#This Row],[Point]]</f>
        <v>1756-IF16-0</v>
      </c>
      <c r="AB214" s="136"/>
      <c r="AC214" s="136" t="s">
        <v>1370</v>
      </c>
      <c r="AD214" s="136" t="str">
        <f>tbl_IO_List[[#This Row],[I/O Type]]</f>
        <v>AI</v>
      </c>
      <c r="AE214" s="136" t="s">
        <v>1332</v>
      </c>
      <c r="AF214" s="136">
        <v>11</v>
      </c>
      <c r="AG214" s="136">
        <v>0</v>
      </c>
      <c r="AH214" s="136"/>
      <c r="AI214" s="136"/>
      <c r="AJ214" s="136">
        <v>0</v>
      </c>
      <c r="AK214" s="136">
        <v>0</v>
      </c>
      <c r="AL214" s="136">
        <v>1</v>
      </c>
      <c r="AM214" s="136">
        <v>0</v>
      </c>
      <c r="AN214" s="136">
        <v>0</v>
      </c>
      <c r="AO214" s="136"/>
      <c r="AP214" s="143" t="str">
        <f>VLOOKUP(tbl_IO_List[[#This Row],[Instruement Tag]],tbl_Instruement_List[],14,FALSE)</f>
        <v>4 - 20 mA</v>
      </c>
      <c r="AQ214" s="143" t="str">
        <f>tbl_IO_List[[#This Row],[Chassis]]&amp;"S"&amp;tbl_IO_List[[#This Row],[Slot]]&amp;"-"&amp;tbl_IO_List[[#This Row],[Front Terminal Number]]</f>
        <v>C1S11-</v>
      </c>
      <c r="AR214" s="143"/>
      <c r="AS214" s="136" t="str">
        <f>tbl_IO_List[[#This Row],[Terminal Tagging]]&amp;"-"&amp;tbl_IO_List[[#This Row],[Point-Count]]</f>
        <v>-</v>
      </c>
      <c r="AT214" s="136" t="str">
        <f>tbl_IO_List[[#This Row],[Front Terminal Tagging]]&amp;"/"&amp;tbl_IO_List[[#This Row],[Terminal Tagging-Item]]</f>
        <v>C1S11-/-</v>
      </c>
      <c r="AU214" s="136" t="str">
        <f>tbl_IO_List[[#This Row],[Terminal Tagging-Item]]&amp;"/"&amp;tbl_IO_List[[#This Row],[Front Terminal Tagging]]</f>
        <v>-/C1S11-</v>
      </c>
    </row>
    <row r="215" spans="1:47" hidden="1">
      <c r="A215" s="147" t="s">
        <v>1369</v>
      </c>
      <c r="B215" s="136" t="s">
        <v>191</v>
      </c>
      <c r="C215" s="136" t="str">
        <f>tbl_IO_List[[#This Row],[Column3]]</f>
        <v>C1S11,01</v>
      </c>
      <c r="D215" s="136" t="str">
        <f>tbl_IO_List[[#This Row],[Card]]</f>
        <v>1756-IF16-1</v>
      </c>
      <c r="E215" s="136" t="s">
        <v>1366</v>
      </c>
      <c r="F215" s="136" t="str">
        <f>tbl_IO_List[[#This Row],[Column23]]&amp;"-" &amp;tbl_IO_List[[#This Row],[Column52]]</f>
        <v>C1S11-X1</v>
      </c>
      <c r="G215" s="136" t="str">
        <f>tbl_IO_List[[#This Row],[PLC_Tag]]</f>
        <v>DPT-60202_AI_1</v>
      </c>
      <c r="H215" s="136"/>
      <c r="I215" s="136" t="str">
        <f>VLOOKUP(tbl_IO_List[[#This Row],[Destination]],tbl_Junction[],2,FALSE)</f>
        <v>Spray Dryer 1st Floor</v>
      </c>
      <c r="J215" s="136" t="s">
        <v>191</v>
      </c>
      <c r="K215" s="136" t="s">
        <v>14</v>
      </c>
      <c r="L215" s="136" t="s">
        <v>190</v>
      </c>
      <c r="M215" s="136" t="str">
        <f>VLOOKUP(tbl_IO_List[[#This Row],[Instruement Tag]],tbl_Instruement_List[],2,FALSE)</f>
        <v>Differential Pressure Transmitte</v>
      </c>
      <c r="N215" s="136" t="s">
        <v>15</v>
      </c>
      <c r="O215" s="136" t="s">
        <v>192</v>
      </c>
      <c r="P215" s="136" t="s">
        <v>193</v>
      </c>
      <c r="Q215" s="136" t="str">
        <f>VLOOKUP(tbl_IO_List[[#This Row],[Instruement Tag]],tbl_Instruement_List[],6,FALSE)</f>
        <v>Gas Pressure Differential Transmitter  for Air Filter (FICA-31)</v>
      </c>
      <c r="R215" s="136" t="s">
        <v>1370</v>
      </c>
      <c r="S21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215" s="136" t="str">
        <f>tbl_IO_List[[#This Row],[Instruement Tag]]&amp;"_"&amp;tbl_IO_List[[#This Row],[I/O Type]]&amp;"_"&amp;tbl_IO_List[[#This Row],[IO-Point 
(Instruement)]]</f>
        <v>DPT-60202_AI_1</v>
      </c>
      <c r="U215" s="136" t="s">
        <v>10</v>
      </c>
      <c r="V215" s="136">
        <f>VLOOKUP(tbl_IO_List[[#This Row],[I/O Type]],tbl_Slot_Group[],2,FALSE)</f>
        <v>3</v>
      </c>
      <c r="W215" s="136">
        <v>1</v>
      </c>
      <c r="X215" s="136" t="str">
        <f>tbl_IO_List[[#This Row],[Chassis]]&amp;"S"&amp;TEXT(tbl_IO_List[[#This Row],[Slot]],"00")</f>
        <v>C1S11</v>
      </c>
      <c r="Y215" s="136" t="str">
        <f>tbl_IO_List[[#This Row],[Chassis]]&amp;"S"&amp;TEXT(tbl_IO_List[[#This Row],[Slot]],"00")&amp;tbl_IO_List[[#This Row],[I/O Type]]&amp;TEXT(tbl_IO_List[[#This Row],[Point]],"00")</f>
        <v>C1S11AI01</v>
      </c>
      <c r="Z215" s="136" t="str">
        <f>tbl_IO_List[[#This Row],[Chassis]]&amp;"S"&amp;TEXT(tbl_IO_List[[#This Row],[Slot]],"00")&amp;","&amp;TEXT(tbl_IO_List[[#This Row],[Point]],"00")</f>
        <v>C1S11,01</v>
      </c>
      <c r="AA215" s="136" t="str">
        <f>VLOOKUP(tbl_IO_List[[#This Row],[Column23]],tbl_RackConfig[],5,FALSE) &amp;"-"&amp;tbl_IO_List[[#This Row],[Point]]</f>
        <v>1756-IF16-1</v>
      </c>
      <c r="AB215" s="136"/>
      <c r="AC215" s="136" t="s">
        <v>1370</v>
      </c>
      <c r="AD215" s="136" t="str">
        <f>tbl_IO_List[[#This Row],[I/O Type]]</f>
        <v>AI</v>
      </c>
      <c r="AE215" s="136" t="s">
        <v>1332</v>
      </c>
      <c r="AF215" s="136">
        <v>11</v>
      </c>
      <c r="AG215" s="136">
        <v>1</v>
      </c>
      <c r="AH215" s="136"/>
      <c r="AI215" s="136"/>
      <c r="AJ215" s="136">
        <v>0</v>
      </c>
      <c r="AK215" s="136">
        <v>0</v>
      </c>
      <c r="AL215" s="136">
        <v>1</v>
      </c>
      <c r="AM215" s="136">
        <v>0</v>
      </c>
      <c r="AN215" s="136">
        <v>0</v>
      </c>
      <c r="AO215" s="136"/>
      <c r="AP215" s="143" t="str">
        <f>VLOOKUP(tbl_IO_List[[#This Row],[Instruement Tag]],tbl_Instruement_List[],14,FALSE)</f>
        <v>4 - 20 mA</v>
      </c>
      <c r="AQ215" s="143" t="str">
        <f>tbl_IO_List[[#This Row],[Chassis]]&amp;"S"&amp;tbl_IO_List[[#This Row],[Slot]]&amp;"-"&amp;tbl_IO_List[[#This Row],[Front Terminal Number]]</f>
        <v>C1S11-</v>
      </c>
      <c r="AR215" s="143"/>
      <c r="AS215" s="136" t="str">
        <f>tbl_IO_List[[#This Row],[Terminal Tagging]]&amp;"-"&amp;tbl_IO_List[[#This Row],[Point-Count]]</f>
        <v>-</v>
      </c>
      <c r="AT215" s="136" t="str">
        <f>tbl_IO_List[[#This Row],[Front Terminal Tagging]]&amp;"/"&amp;tbl_IO_List[[#This Row],[Terminal Tagging-Item]]</f>
        <v>C1S11-/-</v>
      </c>
      <c r="AU215" s="136" t="str">
        <f>tbl_IO_List[[#This Row],[Terminal Tagging-Item]]&amp;"/"&amp;tbl_IO_List[[#This Row],[Front Terminal Tagging]]</f>
        <v>-/C1S11-</v>
      </c>
    </row>
    <row r="216" spans="1:47" hidden="1">
      <c r="A216" s="147" t="s">
        <v>1369</v>
      </c>
      <c r="B216" s="136" t="s">
        <v>191</v>
      </c>
      <c r="C216" s="136" t="str">
        <f>tbl_IO_List[[#This Row],[Column3]]</f>
        <v>C1S11,02</v>
      </c>
      <c r="D216" s="136" t="str">
        <f>tbl_IO_List[[#This Row],[Card]]</f>
        <v>1756-IF16-2</v>
      </c>
      <c r="E216" s="136" t="s">
        <v>1366</v>
      </c>
      <c r="F216" s="136" t="str">
        <f>tbl_IO_List[[#This Row],[Column23]]&amp;"-" &amp;tbl_IO_List[[#This Row],[Column52]]</f>
        <v>C1S11-X1</v>
      </c>
      <c r="G216" s="136" t="str">
        <f>tbl_IO_List[[#This Row],[PLC_Tag]]</f>
        <v>FT-60201_AI_1</v>
      </c>
      <c r="H216" s="136"/>
      <c r="I216" s="136" t="str">
        <f>VLOOKUP(tbl_IO_List[[#This Row],[Destination]],tbl_Junction[],2,FALSE)</f>
        <v>Spray Dryer 1st Floor</v>
      </c>
      <c r="J216" s="136" t="s">
        <v>191</v>
      </c>
      <c r="K216" s="136" t="s">
        <v>14</v>
      </c>
      <c r="L216" s="136" t="s">
        <v>194</v>
      </c>
      <c r="M216" s="136">
        <f>VLOOKUP(tbl_IO_List[[#This Row],[Instruement Tag]],tbl_Instruement_List[],2,FALSE)</f>
        <v>0</v>
      </c>
      <c r="N216" s="136" t="s">
        <v>15</v>
      </c>
      <c r="O216" s="136" t="s">
        <v>192</v>
      </c>
      <c r="P216" s="136" t="s">
        <v>193</v>
      </c>
      <c r="Q216" s="136" t="str">
        <f>VLOOKUP(tbl_IO_List[[#This Row],[Instruement Tag]],tbl_Instruement_List[],6,FALSE)</f>
        <v>Gas Flow Transmitter for Cooling Conveying Cold Air Duct (DTCA-32)</v>
      </c>
      <c r="R216" s="136" t="s">
        <v>1370</v>
      </c>
      <c r="S21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216" s="136" t="str">
        <f>tbl_IO_List[[#This Row],[Instruement Tag]]&amp;"_"&amp;tbl_IO_List[[#This Row],[I/O Type]]&amp;"_"&amp;tbl_IO_List[[#This Row],[IO-Point 
(Instruement)]]</f>
        <v>FT-60201_AI_1</v>
      </c>
      <c r="U216" s="136" t="s">
        <v>10</v>
      </c>
      <c r="V216" s="136">
        <f>VLOOKUP(tbl_IO_List[[#This Row],[I/O Type]],tbl_Slot_Group[],2,FALSE)</f>
        <v>3</v>
      </c>
      <c r="W216" s="136">
        <v>1</v>
      </c>
      <c r="X216" s="136" t="str">
        <f>tbl_IO_List[[#This Row],[Chassis]]&amp;"S"&amp;TEXT(tbl_IO_List[[#This Row],[Slot]],"00")</f>
        <v>C1S11</v>
      </c>
      <c r="Y216" s="136" t="str">
        <f>tbl_IO_List[[#This Row],[Chassis]]&amp;"S"&amp;TEXT(tbl_IO_List[[#This Row],[Slot]],"00")&amp;tbl_IO_List[[#This Row],[I/O Type]]&amp;TEXT(tbl_IO_List[[#This Row],[Point]],"00")</f>
        <v>C1S11AI02</v>
      </c>
      <c r="Z216" s="136" t="str">
        <f>tbl_IO_List[[#This Row],[Chassis]]&amp;"S"&amp;TEXT(tbl_IO_List[[#This Row],[Slot]],"00")&amp;","&amp;TEXT(tbl_IO_List[[#This Row],[Point]],"00")</f>
        <v>C1S11,02</v>
      </c>
      <c r="AA216" s="136" t="str">
        <f>VLOOKUP(tbl_IO_List[[#This Row],[Column23]],tbl_RackConfig[],5,FALSE) &amp;"-"&amp;tbl_IO_List[[#This Row],[Point]]</f>
        <v>1756-IF16-2</v>
      </c>
      <c r="AB216" s="136"/>
      <c r="AC216" s="136" t="s">
        <v>1370</v>
      </c>
      <c r="AD216" s="136" t="str">
        <f>tbl_IO_List[[#This Row],[I/O Type]]</f>
        <v>AI</v>
      </c>
      <c r="AE216" s="136" t="s">
        <v>1332</v>
      </c>
      <c r="AF216" s="136">
        <v>11</v>
      </c>
      <c r="AG216" s="136">
        <v>2</v>
      </c>
      <c r="AH216" s="136"/>
      <c r="AI216" s="136"/>
      <c r="AJ216" s="136">
        <v>0</v>
      </c>
      <c r="AK216" s="136">
        <v>0</v>
      </c>
      <c r="AL216" s="136">
        <v>1</v>
      </c>
      <c r="AM216" s="136">
        <v>0</v>
      </c>
      <c r="AN216" s="136">
        <v>0</v>
      </c>
      <c r="AO216" s="136"/>
      <c r="AP216" s="143" t="str">
        <f>VLOOKUP(tbl_IO_List[[#This Row],[Instruement Tag]],tbl_Instruement_List[],14,FALSE)</f>
        <v>4 - 20 mA</v>
      </c>
      <c r="AQ216" s="143" t="str">
        <f>tbl_IO_List[[#This Row],[Chassis]]&amp;"S"&amp;tbl_IO_List[[#This Row],[Slot]]&amp;"-"&amp;tbl_IO_List[[#This Row],[Front Terminal Number]]</f>
        <v>C1S11-</v>
      </c>
      <c r="AR216" s="143"/>
      <c r="AS216" s="136" t="str">
        <f>tbl_IO_List[[#This Row],[Terminal Tagging]]&amp;"-"&amp;tbl_IO_List[[#This Row],[Point-Count]]</f>
        <v>-</v>
      </c>
      <c r="AT216" s="136" t="str">
        <f>tbl_IO_List[[#This Row],[Front Terminal Tagging]]&amp;"/"&amp;tbl_IO_List[[#This Row],[Terminal Tagging-Item]]</f>
        <v>C1S11-/-</v>
      </c>
      <c r="AU216" s="136" t="str">
        <f>tbl_IO_List[[#This Row],[Terminal Tagging-Item]]&amp;"/"&amp;tbl_IO_List[[#This Row],[Front Terminal Tagging]]</f>
        <v>-/C1S11-</v>
      </c>
    </row>
    <row r="217" spans="1:47" hidden="1">
      <c r="A217" s="147" t="s">
        <v>1369</v>
      </c>
      <c r="B217" s="136" t="s">
        <v>191</v>
      </c>
      <c r="C217" s="136" t="str">
        <f>tbl_IO_List[[#This Row],[Column3]]</f>
        <v>C1S11,03</v>
      </c>
      <c r="D217" s="136" t="str">
        <f>tbl_IO_List[[#This Row],[Card]]</f>
        <v>1756-IF16-3</v>
      </c>
      <c r="E217" s="136" t="s">
        <v>1366</v>
      </c>
      <c r="F217" s="136" t="str">
        <f>tbl_IO_List[[#This Row],[Column23]]&amp;"-" &amp;tbl_IO_List[[#This Row],[Column52]]</f>
        <v>C1S11-X1</v>
      </c>
      <c r="G217" s="136" t="str">
        <f>tbl_IO_List[[#This Row],[PLC_Tag]]</f>
        <v>FT-60204_AI_1</v>
      </c>
      <c r="H217" s="136"/>
      <c r="I217" s="136" t="str">
        <f>VLOOKUP(tbl_IO_List[[#This Row],[Destination]],tbl_Junction[],2,FALSE)</f>
        <v>Spray Dryer 1st Floor</v>
      </c>
      <c r="J217" s="136" t="s">
        <v>191</v>
      </c>
      <c r="K217" s="136" t="s">
        <v>14</v>
      </c>
      <c r="L217" s="136" t="s">
        <v>198</v>
      </c>
      <c r="M217" s="136">
        <f>VLOOKUP(tbl_IO_List[[#This Row],[Instruement Tag]],tbl_Instruement_List[],2,FALSE)</f>
        <v>0</v>
      </c>
      <c r="N217" s="136" t="s">
        <v>15</v>
      </c>
      <c r="O217" s="136" t="s">
        <v>199</v>
      </c>
      <c r="P217" s="136" t="s">
        <v>200</v>
      </c>
      <c r="Q217" s="136" t="str">
        <f>VLOOKUP(tbl_IO_List[[#This Row],[Instruement Tag]],tbl_Instruement_List[],6,FALSE)</f>
        <v xml:space="preserve">Compressed air Flow </v>
      </c>
      <c r="R217" s="136" t="s">
        <v>1370</v>
      </c>
      <c r="S21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217" s="136" t="str">
        <f>tbl_IO_List[[#This Row],[Instruement Tag]]&amp;"_"&amp;tbl_IO_List[[#This Row],[I/O Type]]&amp;"_"&amp;tbl_IO_List[[#This Row],[IO-Point 
(Instruement)]]</f>
        <v>FT-60204_AI_1</v>
      </c>
      <c r="U217" s="136" t="s">
        <v>10</v>
      </c>
      <c r="V217" s="136">
        <f>VLOOKUP(tbl_IO_List[[#This Row],[I/O Type]],tbl_Slot_Group[],2,FALSE)</f>
        <v>3</v>
      </c>
      <c r="W217" s="136">
        <v>1</v>
      </c>
      <c r="X217" s="136" t="str">
        <f>tbl_IO_List[[#This Row],[Chassis]]&amp;"S"&amp;TEXT(tbl_IO_List[[#This Row],[Slot]],"00")</f>
        <v>C1S11</v>
      </c>
      <c r="Y217" s="136" t="str">
        <f>tbl_IO_List[[#This Row],[Chassis]]&amp;"S"&amp;TEXT(tbl_IO_List[[#This Row],[Slot]],"00")&amp;tbl_IO_List[[#This Row],[I/O Type]]&amp;TEXT(tbl_IO_List[[#This Row],[Point]],"00")</f>
        <v>C1S11AI03</v>
      </c>
      <c r="Z217" s="136" t="str">
        <f>tbl_IO_List[[#This Row],[Chassis]]&amp;"S"&amp;TEXT(tbl_IO_List[[#This Row],[Slot]],"00")&amp;","&amp;TEXT(tbl_IO_List[[#This Row],[Point]],"00")</f>
        <v>C1S11,03</v>
      </c>
      <c r="AA217" s="136" t="str">
        <f>VLOOKUP(tbl_IO_List[[#This Row],[Column23]],tbl_RackConfig[],5,FALSE) &amp;"-"&amp;tbl_IO_List[[#This Row],[Point]]</f>
        <v>1756-IF16-3</v>
      </c>
      <c r="AB217" s="136"/>
      <c r="AC217" s="136" t="s">
        <v>1370</v>
      </c>
      <c r="AD217" s="136" t="str">
        <f>tbl_IO_List[[#This Row],[I/O Type]]</f>
        <v>AI</v>
      </c>
      <c r="AE217" s="136" t="s">
        <v>1332</v>
      </c>
      <c r="AF217" s="136">
        <v>11</v>
      </c>
      <c r="AG217" s="136">
        <v>3</v>
      </c>
      <c r="AH217" s="136"/>
      <c r="AI217" s="136"/>
      <c r="AJ217" s="136">
        <v>0</v>
      </c>
      <c r="AK217" s="136">
        <v>0</v>
      </c>
      <c r="AL217" s="136">
        <v>1</v>
      </c>
      <c r="AM217" s="136">
        <v>0</v>
      </c>
      <c r="AN217" s="136">
        <v>0</v>
      </c>
      <c r="AO217" s="136"/>
      <c r="AP217" s="143" t="str">
        <f>VLOOKUP(tbl_IO_List[[#This Row],[Instruement Tag]],tbl_Instruement_List[],14,FALSE)</f>
        <v>4 - 20 mA</v>
      </c>
      <c r="AQ217" s="143" t="str">
        <f>tbl_IO_List[[#This Row],[Chassis]]&amp;"S"&amp;tbl_IO_List[[#This Row],[Slot]]&amp;"-"&amp;tbl_IO_List[[#This Row],[Front Terminal Number]]</f>
        <v>C1S11-</v>
      </c>
      <c r="AR217" s="143"/>
      <c r="AS217" s="136" t="str">
        <f>tbl_IO_List[[#This Row],[Terminal Tagging]]&amp;"-"&amp;tbl_IO_List[[#This Row],[Point-Count]]</f>
        <v>-</v>
      </c>
      <c r="AT217" s="136" t="str">
        <f>tbl_IO_List[[#This Row],[Front Terminal Tagging]]&amp;"/"&amp;tbl_IO_List[[#This Row],[Terminal Tagging-Item]]</f>
        <v>C1S11-/-</v>
      </c>
      <c r="AU217" s="136" t="str">
        <f>tbl_IO_List[[#This Row],[Terminal Tagging-Item]]&amp;"/"&amp;tbl_IO_List[[#This Row],[Front Terminal Tagging]]</f>
        <v>-/C1S11-</v>
      </c>
    </row>
    <row r="218" spans="1:47" hidden="1">
      <c r="A218" s="147" t="s">
        <v>1369</v>
      </c>
      <c r="B218" s="136" t="s">
        <v>191</v>
      </c>
      <c r="C218" s="136" t="str">
        <f>tbl_IO_List[[#This Row],[Column3]]</f>
        <v>C1S11,04</v>
      </c>
      <c r="D218" s="136" t="str">
        <f>tbl_IO_List[[#This Row],[Card]]</f>
        <v>1756-IF16-4</v>
      </c>
      <c r="E218" s="136" t="s">
        <v>1366</v>
      </c>
      <c r="F218" s="136" t="str">
        <f>tbl_IO_List[[#This Row],[Column23]]&amp;"-" &amp;tbl_IO_List[[#This Row],[Column52]]</f>
        <v>C1S11-X1</v>
      </c>
      <c r="G218" s="136" t="str">
        <f>tbl_IO_List[[#This Row],[PLC_Tag]]</f>
        <v>FT-61307_AI_1</v>
      </c>
      <c r="H218" s="136"/>
      <c r="I218" s="136" t="str">
        <f>VLOOKUP(tbl_IO_List[[#This Row],[Destination]],tbl_Junction[],2,FALSE)</f>
        <v>Spray Dryer 1st Floor</v>
      </c>
      <c r="J218" s="136" t="s">
        <v>191</v>
      </c>
      <c r="K218" s="136" t="s">
        <v>14</v>
      </c>
      <c r="L218" s="136" t="s">
        <v>195</v>
      </c>
      <c r="M218" s="136">
        <f>VLOOKUP(tbl_IO_List[[#This Row],[Instruement Tag]],tbl_Instruement_List[],2,FALSE)</f>
        <v>0</v>
      </c>
      <c r="N218" s="136" t="s">
        <v>15</v>
      </c>
      <c r="O218" s="136" t="s">
        <v>18</v>
      </c>
      <c r="P218" s="136" t="s">
        <v>196</v>
      </c>
      <c r="Q218" s="136" t="str">
        <f>VLOOKUP(tbl_IO_List[[#This Row],[Instruement Tag]],tbl_Instruement_List[],6,FALSE)</f>
        <v xml:space="preserve">Compressed air Flow </v>
      </c>
      <c r="R218" s="136" t="s">
        <v>1370</v>
      </c>
      <c r="S21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218" s="136" t="str">
        <f>tbl_IO_List[[#This Row],[Instruement Tag]]&amp;"_"&amp;tbl_IO_List[[#This Row],[I/O Type]]&amp;"_"&amp;tbl_IO_List[[#This Row],[IO-Point 
(Instruement)]]</f>
        <v>FT-61307_AI_1</v>
      </c>
      <c r="U218" s="136" t="s">
        <v>10</v>
      </c>
      <c r="V218" s="136">
        <f>VLOOKUP(tbl_IO_List[[#This Row],[I/O Type]],tbl_Slot_Group[],2,FALSE)</f>
        <v>3</v>
      </c>
      <c r="W218" s="136">
        <v>1</v>
      </c>
      <c r="X218" s="136" t="str">
        <f>tbl_IO_List[[#This Row],[Chassis]]&amp;"S"&amp;TEXT(tbl_IO_List[[#This Row],[Slot]],"00")</f>
        <v>C1S11</v>
      </c>
      <c r="Y218" s="136" t="str">
        <f>tbl_IO_List[[#This Row],[Chassis]]&amp;"S"&amp;TEXT(tbl_IO_List[[#This Row],[Slot]],"00")&amp;tbl_IO_List[[#This Row],[I/O Type]]&amp;TEXT(tbl_IO_List[[#This Row],[Point]],"00")</f>
        <v>C1S11AI04</v>
      </c>
      <c r="Z218" s="136" t="str">
        <f>tbl_IO_List[[#This Row],[Chassis]]&amp;"S"&amp;TEXT(tbl_IO_List[[#This Row],[Slot]],"00")&amp;","&amp;TEXT(tbl_IO_List[[#This Row],[Point]],"00")</f>
        <v>C1S11,04</v>
      </c>
      <c r="AA218" s="136" t="str">
        <f>VLOOKUP(tbl_IO_List[[#This Row],[Column23]],tbl_RackConfig[],5,FALSE) &amp;"-"&amp;tbl_IO_List[[#This Row],[Point]]</f>
        <v>1756-IF16-4</v>
      </c>
      <c r="AB218" s="136"/>
      <c r="AC218" s="136" t="s">
        <v>1370</v>
      </c>
      <c r="AD218" s="136" t="str">
        <f>tbl_IO_List[[#This Row],[I/O Type]]</f>
        <v>AI</v>
      </c>
      <c r="AE218" s="136" t="s">
        <v>1332</v>
      </c>
      <c r="AF218" s="136">
        <v>11</v>
      </c>
      <c r="AG218" s="136">
        <v>4</v>
      </c>
      <c r="AH218" s="136"/>
      <c r="AI218" s="136"/>
      <c r="AJ218" s="136">
        <v>0</v>
      </c>
      <c r="AK218" s="136">
        <v>0</v>
      </c>
      <c r="AL218" s="136">
        <v>1</v>
      </c>
      <c r="AM218" s="136">
        <v>0</v>
      </c>
      <c r="AN218" s="136">
        <v>0</v>
      </c>
      <c r="AO218" s="136"/>
      <c r="AP218" s="143" t="str">
        <f>VLOOKUP(tbl_IO_List[[#This Row],[Instruement Tag]],tbl_Instruement_List[],14,FALSE)</f>
        <v>4 - 20 mA</v>
      </c>
      <c r="AQ218" s="143" t="str">
        <f>tbl_IO_List[[#This Row],[Chassis]]&amp;"S"&amp;tbl_IO_List[[#This Row],[Slot]]&amp;"-"&amp;tbl_IO_List[[#This Row],[Front Terminal Number]]</f>
        <v>C1S11-</v>
      </c>
      <c r="AR218" s="143"/>
      <c r="AS218" s="136" t="str">
        <f>tbl_IO_List[[#This Row],[Terminal Tagging]]&amp;"-"&amp;tbl_IO_List[[#This Row],[Point-Count]]</f>
        <v>-</v>
      </c>
      <c r="AT218" s="136" t="str">
        <f>tbl_IO_List[[#This Row],[Front Terminal Tagging]]&amp;"/"&amp;tbl_IO_List[[#This Row],[Terminal Tagging-Item]]</f>
        <v>C1S11-/-</v>
      </c>
      <c r="AU218" s="136" t="str">
        <f>tbl_IO_List[[#This Row],[Terminal Tagging-Item]]&amp;"/"&amp;tbl_IO_List[[#This Row],[Front Terminal Tagging]]</f>
        <v>-/C1S11-</v>
      </c>
    </row>
    <row r="219" spans="1:47" hidden="1">
      <c r="A219" s="147" t="s">
        <v>1369</v>
      </c>
      <c r="B219" s="136" t="s">
        <v>191</v>
      </c>
      <c r="C219" s="136" t="str">
        <f>tbl_IO_List[[#This Row],[Column3]]</f>
        <v>C1S11,05</v>
      </c>
      <c r="D219" s="136" t="str">
        <f>tbl_IO_List[[#This Row],[Card]]</f>
        <v>1756-IF16-5</v>
      </c>
      <c r="E219" s="136" t="s">
        <v>1366</v>
      </c>
      <c r="F219" s="136" t="str">
        <f>tbl_IO_List[[#This Row],[Column23]]&amp;"-" &amp;tbl_IO_List[[#This Row],[Column52]]</f>
        <v>C1S11-X1</v>
      </c>
      <c r="G219" s="136" t="str">
        <f>tbl_IO_List[[#This Row],[PLC_Tag]]</f>
        <v>PT-60203_AI_1</v>
      </c>
      <c r="H219" s="136"/>
      <c r="I219" s="136" t="str">
        <f>VLOOKUP(tbl_IO_List[[#This Row],[Destination]],tbl_Junction[],2,FALSE)</f>
        <v>Spray Dryer 1st Floor</v>
      </c>
      <c r="J219" s="136" t="s">
        <v>191</v>
      </c>
      <c r="K219" s="136" t="s">
        <v>14</v>
      </c>
      <c r="L219" s="136" t="s">
        <v>204</v>
      </c>
      <c r="M219" s="136" t="str">
        <f>VLOOKUP(tbl_IO_List[[#This Row],[Instruement Tag]],tbl_Instruement_List[],2,FALSE)</f>
        <v>Pressure Transmitter</v>
      </c>
      <c r="N219" s="136" t="s">
        <v>15</v>
      </c>
      <c r="O219" s="136" t="s">
        <v>192</v>
      </c>
      <c r="P219" s="136" t="s">
        <v>193</v>
      </c>
      <c r="Q219" s="136" t="str">
        <f>VLOOKUP(tbl_IO_List[[#This Row],[Instruement Tag]],tbl_Instruement_List[],6,FALSE)</f>
        <v>Gas Pressure Transmitter for Cool Air Duct (DTCA-32)</v>
      </c>
      <c r="R219" s="136" t="s">
        <v>1370</v>
      </c>
      <c r="S21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219" s="136" t="str">
        <f>tbl_IO_List[[#This Row],[Instruement Tag]]&amp;"_"&amp;tbl_IO_List[[#This Row],[I/O Type]]&amp;"_"&amp;tbl_IO_List[[#This Row],[IO-Point 
(Instruement)]]</f>
        <v>PT-60203_AI_1</v>
      </c>
      <c r="U219" s="136" t="s">
        <v>10</v>
      </c>
      <c r="V219" s="136">
        <f>VLOOKUP(tbl_IO_List[[#This Row],[I/O Type]],tbl_Slot_Group[],2,FALSE)</f>
        <v>3</v>
      </c>
      <c r="W219" s="136">
        <v>1</v>
      </c>
      <c r="X219" s="136" t="str">
        <f>tbl_IO_List[[#This Row],[Chassis]]&amp;"S"&amp;TEXT(tbl_IO_List[[#This Row],[Slot]],"00")</f>
        <v>C1S11</v>
      </c>
      <c r="Y219" s="136" t="str">
        <f>tbl_IO_List[[#This Row],[Chassis]]&amp;"S"&amp;TEXT(tbl_IO_List[[#This Row],[Slot]],"00")&amp;tbl_IO_List[[#This Row],[I/O Type]]&amp;TEXT(tbl_IO_List[[#This Row],[Point]],"00")</f>
        <v>C1S11AI05</v>
      </c>
      <c r="Z219" s="136" t="str">
        <f>tbl_IO_List[[#This Row],[Chassis]]&amp;"S"&amp;TEXT(tbl_IO_List[[#This Row],[Slot]],"00")&amp;","&amp;TEXT(tbl_IO_List[[#This Row],[Point]],"00")</f>
        <v>C1S11,05</v>
      </c>
      <c r="AA219" s="136" t="str">
        <f>VLOOKUP(tbl_IO_List[[#This Row],[Column23]],tbl_RackConfig[],5,FALSE) &amp;"-"&amp;tbl_IO_List[[#This Row],[Point]]</f>
        <v>1756-IF16-5</v>
      </c>
      <c r="AB219" s="136"/>
      <c r="AC219" s="136" t="s">
        <v>1370</v>
      </c>
      <c r="AD219" s="136" t="str">
        <f>tbl_IO_List[[#This Row],[I/O Type]]</f>
        <v>AI</v>
      </c>
      <c r="AE219" s="136" t="s">
        <v>1332</v>
      </c>
      <c r="AF219" s="136">
        <v>11</v>
      </c>
      <c r="AG219" s="136">
        <v>5</v>
      </c>
      <c r="AH219" s="136"/>
      <c r="AI219" s="136"/>
      <c r="AJ219" s="136">
        <v>0</v>
      </c>
      <c r="AK219" s="136">
        <v>0</v>
      </c>
      <c r="AL219" s="136">
        <v>1</v>
      </c>
      <c r="AM219" s="136">
        <v>0</v>
      </c>
      <c r="AN219" s="136">
        <v>0</v>
      </c>
      <c r="AO219" s="136"/>
      <c r="AP219" s="143" t="str">
        <f>VLOOKUP(tbl_IO_List[[#This Row],[Instruement Tag]],tbl_Instruement_List[],14,FALSE)</f>
        <v>4 - 20 mA</v>
      </c>
      <c r="AQ219" s="143" t="str">
        <f>tbl_IO_List[[#This Row],[Chassis]]&amp;"S"&amp;tbl_IO_List[[#This Row],[Slot]]&amp;"-"&amp;tbl_IO_List[[#This Row],[Front Terminal Number]]</f>
        <v>C1S11-</v>
      </c>
      <c r="AR219" s="143"/>
      <c r="AS219" s="136" t="str">
        <f>tbl_IO_List[[#This Row],[Terminal Tagging]]&amp;"-"&amp;tbl_IO_List[[#This Row],[Point-Count]]</f>
        <v>-</v>
      </c>
      <c r="AT219" s="136" t="str">
        <f>tbl_IO_List[[#This Row],[Front Terminal Tagging]]&amp;"/"&amp;tbl_IO_List[[#This Row],[Terminal Tagging-Item]]</f>
        <v>C1S11-/-</v>
      </c>
      <c r="AU219" s="136" t="str">
        <f>tbl_IO_List[[#This Row],[Terminal Tagging-Item]]&amp;"/"&amp;tbl_IO_List[[#This Row],[Front Terminal Tagging]]</f>
        <v>-/C1S11-</v>
      </c>
    </row>
    <row r="220" spans="1:47" hidden="1">
      <c r="A220" s="147" t="s">
        <v>1369</v>
      </c>
      <c r="B220" s="136" t="s">
        <v>191</v>
      </c>
      <c r="C220" s="136" t="str">
        <f>tbl_IO_List[[#This Row],[Column3]]</f>
        <v>C1S11,06</v>
      </c>
      <c r="D220" s="136" t="str">
        <f>tbl_IO_List[[#This Row],[Card]]</f>
        <v>1756-IF16-6</v>
      </c>
      <c r="E220" s="136" t="s">
        <v>1366</v>
      </c>
      <c r="F220" s="136" t="str">
        <f>tbl_IO_List[[#This Row],[Column23]]&amp;"-" &amp;tbl_IO_List[[#This Row],[Column52]]</f>
        <v>C1S11-X1</v>
      </c>
      <c r="G220" s="136" t="str">
        <f>tbl_IO_List[[#This Row],[PLC_Tag]]</f>
        <v>PT-60204_AI_1</v>
      </c>
      <c r="H220" s="136"/>
      <c r="I220" s="136" t="str">
        <f>VLOOKUP(tbl_IO_List[[#This Row],[Destination]],tbl_Junction[],2,FALSE)</f>
        <v>Spray Dryer 1st Floor</v>
      </c>
      <c r="J220" s="136" t="s">
        <v>191</v>
      </c>
      <c r="K220" s="136" t="s">
        <v>14</v>
      </c>
      <c r="L220" s="136" t="s">
        <v>205</v>
      </c>
      <c r="M220" s="136" t="str">
        <f>VLOOKUP(tbl_IO_List[[#This Row],[Instruement Tag]],tbl_Instruement_List[],2,FALSE)</f>
        <v>Pressure Transmitter</v>
      </c>
      <c r="N220" s="136" t="s">
        <v>15</v>
      </c>
      <c r="O220" s="136" t="s">
        <v>199</v>
      </c>
      <c r="P220" s="136" t="s">
        <v>200</v>
      </c>
      <c r="Q220" s="136" t="str">
        <f>VLOOKUP(tbl_IO_List[[#This Row],[Instruement Tag]],tbl_Instruement_List[],6,FALSE)</f>
        <v>Pressure transmitter</v>
      </c>
      <c r="R220" s="136" t="s">
        <v>1370</v>
      </c>
      <c r="S22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220" s="136" t="str">
        <f>tbl_IO_List[[#This Row],[Instruement Tag]]&amp;"_"&amp;tbl_IO_List[[#This Row],[I/O Type]]&amp;"_"&amp;tbl_IO_List[[#This Row],[IO-Point 
(Instruement)]]</f>
        <v>PT-60204_AI_1</v>
      </c>
      <c r="U220" s="136" t="s">
        <v>10</v>
      </c>
      <c r="V220" s="136">
        <f>VLOOKUP(tbl_IO_List[[#This Row],[I/O Type]],tbl_Slot_Group[],2,FALSE)</f>
        <v>3</v>
      </c>
      <c r="W220" s="136">
        <v>1</v>
      </c>
      <c r="X220" s="136" t="str">
        <f>tbl_IO_List[[#This Row],[Chassis]]&amp;"S"&amp;TEXT(tbl_IO_List[[#This Row],[Slot]],"00")</f>
        <v>C1S11</v>
      </c>
      <c r="Y220" s="136" t="str">
        <f>tbl_IO_List[[#This Row],[Chassis]]&amp;"S"&amp;TEXT(tbl_IO_List[[#This Row],[Slot]],"00")&amp;tbl_IO_List[[#This Row],[I/O Type]]&amp;TEXT(tbl_IO_List[[#This Row],[Point]],"00")</f>
        <v>C1S11AI06</v>
      </c>
      <c r="Z220" s="136" t="str">
        <f>tbl_IO_List[[#This Row],[Chassis]]&amp;"S"&amp;TEXT(tbl_IO_List[[#This Row],[Slot]],"00")&amp;","&amp;TEXT(tbl_IO_List[[#This Row],[Point]],"00")</f>
        <v>C1S11,06</v>
      </c>
      <c r="AA220" s="136" t="str">
        <f>VLOOKUP(tbl_IO_List[[#This Row],[Column23]],tbl_RackConfig[],5,FALSE) &amp;"-"&amp;tbl_IO_List[[#This Row],[Point]]</f>
        <v>1756-IF16-6</v>
      </c>
      <c r="AB220" s="136"/>
      <c r="AC220" s="136" t="s">
        <v>1370</v>
      </c>
      <c r="AD220" s="136" t="str">
        <f>tbl_IO_List[[#This Row],[I/O Type]]</f>
        <v>AI</v>
      </c>
      <c r="AE220" s="136" t="s">
        <v>1332</v>
      </c>
      <c r="AF220" s="136">
        <v>11</v>
      </c>
      <c r="AG220" s="136">
        <v>6</v>
      </c>
      <c r="AH220" s="136"/>
      <c r="AI220" s="136"/>
      <c r="AJ220" s="136">
        <v>0</v>
      </c>
      <c r="AK220" s="136">
        <v>0</v>
      </c>
      <c r="AL220" s="136">
        <v>1</v>
      </c>
      <c r="AM220" s="136">
        <v>0</v>
      </c>
      <c r="AN220" s="136">
        <v>0</v>
      </c>
      <c r="AO220" s="136"/>
      <c r="AP220" s="143" t="str">
        <f>VLOOKUP(tbl_IO_List[[#This Row],[Instruement Tag]],tbl_Instruement_List[],14,FALSE)</f>
        <v>4 - 20 mA</v>
      </c>
      <c r="AQ220" s="143" t="str">
        <f>tbl_IO_List[[#This Row],[Chassis]]&amp;"S"&amp;tbl_IO_List[[#This Row],[Slot]]&amp;"-"&amp;tbl_IO_List[[#This Row],[Front Terminal Number]]</f>
        <v>C1S11-</v>
      </c>
      <c r="AR220" s="143"/>
      <c r="AS220" s="136" t="str">
        <f>tbl_IO_List[[#This Row],[Terminal Tagging]]&amp;"-"&amp;tbl_IO_List[[#This Row],[Point-Count]]</f>
        <v>-</v>
      </c>
      <c r="AT220" s="136" t="str">
        <f>tbl_IO_List[[#This Row],[Front Terminal Tagging]]&amp;"/"&amp;tbl_IO_List[[#This Row],[Terminal Tagging-Item]]</f>
        <v>C1S11-/-</v>
      </c>
      <c r="AU220" s="136" t="str">
        <f>tbl_IO_List[[#This Row],[Terminal Tagging-Item]]&amp;"/"&amp;tbl_IO_List[[#This Row],[Front Terminal Tagging]]</f>
        <v>-/C1S11-</v>
      </c>
    </row>
    <row r="221" spans="1:47" hidden="1">
      <c r="A221" s="147" t="s">
        <v>1369</v>
      </c>
      <c r="B221" s="136" t="s">
        <v>191</v>
      </c>
      <c r="C221" s="136" t="str">
        <f>tbl_IO_List[[#This Row],[Column3]]</f>
        <v>C1S11,07</v>
      </c>
      <c r="D221" s="136" t="str">
        <f>tbl_IO_List[[#This Row],[Card]]</f>
        <v>1756-IF16-7</v>
      </c>
      <c r="E221" s="136" t="s">
        <v>1366</v>
      </c>
      <c r="F221" s="136" t="str">
        <f>tbl_IO_List[[#This Row],[Column23]]&amp;"-" &amp;tbl_IO_List[[#This Row],[Column52]]</f>
        <v>C1S11-X1</v>
      </c>
      <c r="G221" s="136" t="str">
        <f>tbl_IO_List[[#This Row],[PLC_Tag]]</f>
        <v>PT-60205_AI_1</v>
      </c>
      <c r="H221" s="136"/>
      <c r="I221" s="136" t="str">
        <f>VLOOKUP(tbl_IO_List[[#This Row],[Destination]],tbl_Junction[],2,FALSE)</f>
        <v>Spray Dryer 1st Floor</v>
      </c>
      <c r="J221" s="136" t="s">
        <v>191</v>
      </c>
      <c r="K221" s="136" t="s">
        <v>14</v>
      </c>
      <c r="L221" s="136" t="s">
        <v>216</v>
      </c>
      <c r="M221" s="136" t="str">
        <f>VLOOKUP(tbl_IO_List[[#This Row],[Instruement Tag]],tbl_Instruement_List[],2,FALSE)</f>
        <v>Pressure Transmitter</v>
      </c>
      <c r="N221" s="136" t="s">
        <v>15</v>
      </c>
      <c r="O221" s="136" t="s">
        <v>126</v>
      </c>
      <c r="P221" s="136" t="s">
        <v>127</v>
      </c>
      <c r="Q221" s="136" t="str">
        <f>VLOOKUP(tbl_IO_List[[#This Row],[Instruement Tag]],tbl_Instruement_List[],6,FALSE)</f>
        <v>Feed Slurry Pressure Transmitter for High Pressure Pump Outlet (PUPD-11)</v>
      </c>
      <c r="R221" s="136" t="s">
        <v>1370</v>
      </c>
      <c r="S22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221" s="136" t="str">
        <f>tbl_IO_List[[#This Row],[Instruement Tag]]&amp;"_"&amp;tbl_IO_List[[#This Row],[I/O Type]]&amp;"_"&amp;tbl_IO_List[[#This Row],[IO-Point 
(Instruement)]]</f>
        <v>PT-60205_AI_1</v>
      </c>
      <c r="U221" s="136" t="s">
        <v>10</v>
      </c>
      <c r="V221" s="136">
        <f>VLOOKUP(tbl_IO_List[[#This Row],[I/O Type]],tbl_Slot_Group[],2,FALSE)</f>
        <v>3</v>
      </c>
      <c r="W221" s="136">
        <v>1</v>
      </c>
      <c r="X221" s="136" t="str">
        <f>tbl_IO_List[[#This Row],[Chassis]]&amp;"S"&amp;TEXT(tbl_IO_List[[#This Row],[Slot]],"00")</f>
        <v>C1S11</v>
      </c>
      <c r="Y221" s="136" t="str">
        <f>tbl_IO_List[[#This Row],[Chassis]]&amp;"S"&amp;TEXT(tbl_IO_List[[#This Row],[Slot]],"00")&amp;tbl_IO_List[[#This Row],[I/O Type]]&amp;TEXT(tbl_IO_List[[#This Row],[Point]],"00")</f>
        <v>C1S11AI07</v>
      </c>
      <c r="Z221" s="136" t="str">
        <f>tbl_IO_List[[#This Row],[Chassis]]&amp;"S"&amp;TEXT(tbl_IO_List[[#This Row],[Slot]],"00")&amp;","&amp;TEXT(tbl_IO_List[[#This Row],[Point]],"00")</f>
        <v>C1S11,07</v>
      </c>
      <c r="AA221" s="136" t="str">
        <f>VLOOKUP(tbl_IO_List[[#This Row],[Column23]],tbl_RackConfig[],5,FALSE) &amp;"-"&amp;tbl_IO_List[[#This Row],[Point]]</f>
        <v>1756-IF16-7</v>
      </c>
      <c r="AB221" s="136"/>
      <c r="AC221" s="136" t="s">
        <v>1370</v>
      </c>
      <c r="AD221" s="136" t="str">
        <f>tbl_IO_List[[#This Row],[I/O Type]]</f>
        <v>AI</v>
      </c>
      <c r="AE221" s="136" t="s">
        <v>1332</v>
      </c>
      <c r="AF221" s="136">
        <v>11</v>
      </c>
      <c r="AG221" s="136">
        <v>7</v>
      </c>
      <c r="AH221" s="136"/>
      <c r="AI221" s="136"/>
      <c r="AJ221" s="136">
        <v>0</v>
      </c>
      <c r="AK221" s="136">
        <v>0</v>
      </c>
      <c r="AL221" s="136">
        <v>1</v>
      </c>
      <c r="AM221" s="136">
        <v>0</v>
      </c>
      <c r="AN221" s="136">
        <v>0</v>
      </c>
      <c r="AO221" s="136"/>
      <c r="AP221" s="143" t="str">
        <f>VLOOKUP(tbl_IO_List[[#This Row],[Instruement Tag]],tbl_Instruement_List[],14,FALSE)</f>
        <v>4 - 20 mA</v>
      </c>
      <c r="AQ221" s="143" t="str">
        <f>tbl_IO_List[[#This Row],[Chassis]]&amp;"S"&amp;tbl_IO_List[[#This Row],[Slot]]&amp;"-"&amp;tbl_IO_List[[#This Row],[Front Terminal Number]]</f>
        <v>C1S11-</v>
      </c>
      <c r="AR221" s="143"/>
      <c r="AS221" s="136" t="str">
        <f>tbl_IO_List[[#This Row],[Terminal Tagging]]&amp;"-"&amp;tbl_IO_List[[#This Row],[Point-Count]]</f>
        <v>-</v>
      </c>
      <c r="AT221" s="136" t="str">
        <f>tbl_IO_List[[#This Row],[Front Terminal Tagging]]&amp;"/"&amp;tbl_IO_List[[#This Row],[Terminal Tagging-Item]]</f>
        <v>C1S11-/-</v>
      </c>
      <c r="AU221" s="136" t="str">
        <f>tbl_IO_List[[#This Row],[Terminal Tagging-Item]]&amp;"/"&amp;tbl_IO_List[[#This Row],[Front Terminal Tagging]]</f>
        <v>-/C1S11-</v>
      </c>
    </row>
    <row r="222" spans="1:47" hidden="1">
      <c r="A222" s="147" t="s">
        <v>1369</v>
      </c>
      <c r="B222" s="136" t="s">
        <v>191</v>
      </c>
      <c r="C222" s="136" t="str">
        <f>tbl_IO_List[[#This Row],[Column3]]</f>
        <v>C1S11,08</v>
      </c>
      <c r="D222" s="136" t="str">
        <f>tbl_IO_List[[#This Row],[Card]]</f>
        <v>1756-IF16-8</v>
      </c>
      <c r="E222" s="136" t="s">
        <v>1366</v>
      </c>
      <c r="F222" s="136" t="str">
        <f>tbl_IO_List[[#This Row],[Column23]]&amp;"-" &amp;tbl_IO_List[[#This Row],[Column52]]</f>
        <v>C1S11-X1</v>
      </c>
      <c r="G222" s="136" t="str">
        <f>tbl_IO_List[[#This Row],[PLC_Tag]]</f>
        <v>Spare_AI_0</v>
      </c>
      <c r="H222" s="136"/>
      <c r="I222" s="136" t="str">
        <f>VLOOKUP(tbl_IO_List[[#This Row],[Destination]],tbl_Junction[],2,FALSE)</f>
        <v>Spray Dryer 1st Floor</v>
      </c>
      <c r="J222" s="136" t="s">
        <v>191</v>
      </c>
      <c r="K222" s="136"/>
      <c r="L222" s="136" t="s">
        <v>411</v>
      </c>
      <c r="M222" s="136" t="e">
        <f>VLOOKUP(tbl_IO_List[[#This Row],[Instruement Tag]],tbl_Instruement_List[],2,FALSE)</f>
        <v>#N/A</v>
      </c>
      <c r="N222" s="136"/>
      <c r="O222" s="136"/>
      <c r="P222" s="136"/>
      <c r="Q222" s="136" t="e">
        <f>VLOOKUP(tbl_IO_List[[#This Row],[Instruement Tag]],tbl_Instruement_List[],6,FALSE)</f>
        <v>#N/A</v>
      </c>
      <c r="R222" s="136"/>
      <c r="S22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222" s="136" t="str">
        <f>tbl_IO_List[[#This Row],[Instruement Tag]]&amp;"_"&amp;tbl_IO_List[[#This Row],[I/O Type]]&amp;"_"&amp;tbl_IO_List[[#This Row],[IO-Point 
(Instruement)]]</f>
        <v>Spare_AI_0</v>
      </c>
      <c r="U222" s="136" t="s">
        <v>10</v>
      </c>
      <c r="V222" s="136">
        <f>VLOOKUP(tbl_IO_List[[#This Row],[I/O Type]],tbl_Slot_Group[],2,FALSE)</f>
        <v>3</v>
      </c>
      <c r="W222" s="136">
        <v>0</v>
      </c>
      <c r="X222" s="136" t="str">
        <f>tbl_IO_List[[#This Row],[Chassis]]&amp;"S"&amp;TEXT(tbl_IO_List[[#This Row],[Slot]],"00")</f>
        <v>C1S11</v>
      </c>
      <c r="Y222" s="136" t="str">
        <f>tbl_IO_List[[#This Row],[Chassis]]&amp;"S"&amp;TEXT(tbl_IO_List[[#This Row],[Slot]],"00")&amp;tbl_IO_List[[#This Row],[I/O Type]]&amp;TEXT(tbl_IO_List[[#This Row],[Point]],"00")</f>
        <v>C1S11AI08</v>
      </c>
      <c r="Z222" s="136" t="str">
        <f>tbl_IO_List[[#This Row],[Chassis]]&amp;"S"&amp;TEXT(tbl_IO_List[[#This Row],[Slot]],"00")&amp;","&amp;TEXT(tbl_IO_List[[#This Row],[Point]],"00")</f>
        <v>C1S11,08</v>
      </c>
      <c r="AA222" s="136" t="str">
        <f>VLOOKUP(tbl_IO_List[[#This Row],[Column23]],tbl_RackConfig[],5,FALSE) &amp;"-"&amp;tbl_IO_List[[#This Row],[Point]]</f>
        <v>1756-IF16-8</v>
      </c>
      <c r="AB222" s="136"/>
      <c r="AC222" s="136" t="s">
        <v>1370</v>
      </c>
      <c r="AD222" s="136" t="str">
        <f>tbl_IO_List[[#This Row],[I/O Type]]</f>
        <v>AI</v>
      </c>
      <c r="AE222" s="136" t="s">
        <v>1332</v>
      </c>
      <c r="AF222" s="136">
        <v>11</v>
      </c>
      <c r="AG222" s="136">
        <v>8</v>
      </c>
      <c r="AH222" s="136"/>
      <c r="AI222" s="136"/>
      <c r="AJ222" s="136">
        <v>0</v>
      </c>
      <c r="AK222" s="136">
        <v>0</v>
      </c>
      <c r="AL222" s="136">
        <v>1</v>
      </c>
      <c r="AM222" s="136">
        <v>0</v>
      </c>
      <c r="AN222" s="136">
        <v>0</v>
      </c>
      <c r="AO222" s="136"/>
      <c r="AP222" s="143" t="e">
        <f>VLOOKUP(tbl_IO_List[[#This Row],[Instruement Tag]],tbl_Instruement_List[],14,FALSE)</f>
        <v>#N/A</v>
      </c>
      <c r="AQ222" s="143" t="str">
        <f>tbl_IO_List[[#This Row],[Chassis]]&amp;"S"&amp;tbl_IO_List[[#This Row],[Slot]]&amp;"-"&amp;tbl_IO_List[[#This Row],[Front Terminal Number]]</f>
        <v>C1S11-</v>
      </c>
      <c r="AR222" s="143"/>
      <c r="AS222" s="136" t="str">
        <f>tbl_IO_List[[#This Row],[Terminal Tagging]]&amp;"-"&amp;tbl_IO_List[[#This Row],[Point-Count]]</f>
        <v>-</v>
      </c>
      <c r="AT222" s="136" t="str">
        <f>tbl_IO_List[[#This Row],[Front Terminal Tagging]]&amp;"/"&amp;tbl_IO_List[[#This Row],[Terminal Tagging-Item]]</f>
        <v>C1S11-/-</v>
      </c>
      <c r="AU222" s="136" t="str">
        <f>tbl_IO_List[[#This Row],[Terminal Tagging-Item]]&amp;"/"&amp;tbl_IO_List[[#This Row],[Front Terminal Tagging]]</f>
        <v>-/C1S11-</v>
      </c>
    </row>
    <row r="223" spans="1:47" hidden="1">
      <c r="A223" s="147" t="s">
        <v>1369</v>
      </c>
      <c r="B223" s="136" t="s">
        <v>191</v>
      </c>
      <c r="C223" s="136" t="str">
        <f>tbl_IO_List[[#This Row],[Column3]]</f>
        <v>C1S11,09</v>
      </c>
      <c r="D223" s="136" t="str">
        <f>tbl_IO_List[[#This Row],[Card]]</f>
        <v>1756-IF16-9</v>
      </c>
      <c r="E223" s="136" t="s">
        <v>1366</v>
      </c>
      <c r="F223" s="136" t="str">
        <f>tbl_IO_List[[#This Row],[Column23]]&amp;"-" &amp;tbl_IO_List[[#This Row],[Column52]]</f>
        <v>C1S11-X1</v>
      </c>
      <c r="G223" s="136" t="str">
        <f>tbl_IO_List[[#This Row],[PLC_Tag]]</f>
        <v>Spare_AI_0</v>
      </c>
      <c r="H223" s="136"/>
      <c r="I223" s="136" t="str">
        <f>VLOOKUP(tbl_IO_List[[#This Row],[Destination]],tbl_Junction[],2,FALSE)</f>
        <v>Spray Dryer 1st Floor</v>
      </c>
      <c r="J223" s="136" t="s">
        <v>191</v>
      </c>
      <c r="K223" s="136"/>
      <c r="L223" s="136" t="s">
        <v>411</v>
      </c>
      <c r="M223" s="136" t="e">
        <f>VLOOKUP(tbl_IO_List[[#This Row],[Instruement Tag]],tbl_Instruement_List[],2,FALSE)</f>
        <v>#N/A</v>
      </c>
      <c r="N223" s="136"/>
      <c r="O223" s="136"/>
      <c r="P223" s="136"/>
      <c r="Q223" s="136" t="e">
        <f>VLOOKUP(tbl_IO_List[[#This Row],[Instruement Tag]],tbl_Instruement_List[],6,FALSE)</f>
        <v>#N/A</v>
      </c>
      <c r="R223" s="136"/>
      <c r="S22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223" s="136" t="str">
        <f>tbl_IO_List[[#This Row],[Instruement Tag]]&amp;"_"&amp;tbl_IO_List[[#This Row],[I/O Type]]&amp;"_"&amp;tbl_IO_List[[#This Row],[IO-Point 
(Instruement)]]</f>
        <v>Spare_AI_0</v>
      </c>
      <c r="U223" s="136" t="s">
        <v>10</v>
      </c>
      <c r="V223" s="136">
        <f>VLOOKUP(tbl_IO_List[[#This Row],[I/O Type]],tbl_Slot_Group[],2,FALSE)</f>
        <v>3</v>
      </c>
      <c r="W223" s="136">
        <v>0</v>
      </c>
      <c r="X223" s="136" t="str">
        <f>tbl_IO_List[[#This Row],[Chassis]]&amp;"S"&amp;TEXT(tbl_IO_List[[#This Row],[Slot]],"00")</f>
        <v>C1S11</v>
      </c>
      <c r="Y223" s="136" t="str">
        <f>tbl_IO_List[[#This Row],[Chassis]]&amp;"S"&amp;TEXT(tbl_IO_List[[#This Row],[Slot]],"00")&amp;tbl_IO_List[[#This Row],[I/O Type]]&amp;TEXT(tbl_IO_List[[#This Row],[Point]],"00")</f>
        <v>C1S11AI09</v>
      </c>
      <c r="Z223" s="136" t="str">
        <f>tbl_IO_List[[#This Row],[Chassis]]&amp;"S"&amp;TEXT(tbl_IO_List[[#This Row],[Slot]],"00")&amp;","&amp;TEXT(tbl_IO_List[[#This Row],[Point]],"00")</f>
        <v>C1S11,09</v>
      </c>
      <c r="AA223" s="136" t="str">
        <f>VLOOKUP(tbl_IO_List[[#This Row],[Column23]],tbl_RackConfig[],5,FALSE) &amp;"-"&amp;tbl_IO_List[[#This Row],[Point]]</f>
        <v>1756-IF16-9</v>
      </c>
      <c r="AB223" s="136"/>
      <c r="AC223" s="136" t="s">
        <v>1370</v>
      </c>
      <c r="AD223" s="136" t="str">
        <f>tbl_IO_List[[#This Row],[I/O Type]]</f>
        <v>AI</v>
      </c>
      <c r="AE223" s="136" t="s">
        <v>1332</v>
      </c>
      <c r="AF223" s="136">
        <v>11</v>
      </c>
      <c r="AG223" s="136">
        <v>9</v>
      </c>
      <c r="AH223" s="136"/>
      <c r="AI223" s="136"/>
      <c r="AJ223" s="136">
        <v>0</v>
      </c>
      <c r="AK223" s="136">
        <v>0</v>
      </c>
      <c r="AL223" s="136">
        <v>1</v>
      </c>
      <c r="AM223" s="136">
        <v>0</v>
      </c>
      <c r="AN223" s="136">
        <v>0</v>
      </c>
      <c r="AO223" s="136"/>
      <c r="AP223" s="143" t="e">
        <f>VLOOKUP(tbl_IO_List[[#This Row],[Instruement Tag]],tbl_Instruement_List[],14,FALSE)</f>
        <v>#N/A</v>
      </c>
      <c r="AQ223" s="143" t="str">
        <f>tbl_IO_List[[#This Row],[Chassis]]&amp;"S"&amp;tbl_IO_List[[#This Row],[Slot]]&amp;"-"&amp;tbl_IO_List[[#This Row],[Front Terminal Number]]</f>
        <v>C1S11-</v>
      </c>
      <c r="AR223" s="143"/>
      <c r="AS223" s="136" t="str">
        <f>tbl_IO_List[[#This Row],[Terminal Tagging]]&amp;"-"&amp;tbl_IO_List[[#This Row],[Point-Count]]</f>
        <v>-</v>
      </c>
      <c r="AT223" s="136" t="str">
        <f>tbl_IO_List[[#This Row],[Front Terminal Tagging]]&amp;"/"&amp;tbl_IO_List[[#This Row],[Terminal Tagging-Item]]</f>
        <v>C1S11-/-</v>
      </c>
      <c r="AU223" s="136" t="str">
        <f>tbl_IO_List[[#This Row],[Terminal Tagging-Item]]&amp;"/"&amp;tbl_IO_List[[#This Row],[Front Terminal Tagging]]</f>
        <v>-/C1S11-</v>
      </c>
    </row>
    <row r="224" spans="1:47" hidden="1">
      <c r="A224" s="147" t="s">
        <v>1369</v>
      </c>
      <c r="B224" s="136" t="s">
        <v>191</v>
      </c>
      <c r="C224" s="136" t="str">
        <f>tbl_IO_List[[#This Row],[Column3]]</f>
        <v>C1S11,10</v>
      </c>
      <c r="D224" s="136" t="str">
        <f>tbl_IO_List[[#This Row],[Card]]</f>
        <v>1756-IF16-10</v>
      </c>
      <c r="E224" s="136" t="s">
        <v>1366</v>
      </c>
      <c r="F224" s="136" t="str">
        <f>tbl_IO_List[[#This Row],[Column23]]&amp;"-" &amp;tbl_IO_List[[#This Row],[Column52]]</f>
        <v>C1S11-X1</v>
      </c>
      <c r="G224" s="136" t="str">
        <f>tbl_IO_List[[#This Row],[PLC_Tag]]</f>
        <v>Spare_AI_0</v>
      </c>
      <c r="H224" s="136"/>
      <c r="I224" s="136" t="str">
        <f>VLOOKUP(tbl_IO_List[[#This Row],[Destination]],tbl_Junction[],2,FALSE)</f>
        <v>Spray Dryer 1st Floor</v>
      </c>
      <c r="J224" s="136" t="s">
        <v>191</v>
      </c>
      <c r="K224" s="136"/>
      <c r="L224" s="136" t="s">
        <v>411</v>
      </c>
      <c r="M224" s="136" t="e">
        <f>VLOOKUP(tbl_IO_List[[#This Row],[Instruement Tag]],tbl_Instruement_List[],2,FALSE)</f>
        <v>#N/A</v>
      </c>
      <c r="N224" s="136"/>
      <c r="O224" s="136"/>
      <c r="P224" s="136"/>
      <c r="Q224" s="136" t="e">
        <f>VLOOKUP(tbl_IO_List[[#This Row],[Instruement Tag]],tbl_Instruement_List[],6,FALSE)</f>
        <v>#N/A</v>
      </c>
      <c r="R224" s="136"/>
      <c r="S22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224" s="136" t="str">
        <f>tbl_IO_List[[#This Row],[Instruement Tag]]&amp;"_"&amp;tbl_IO_List[[#This Row],[I/O Type]]&amp;"_"&amp;tbl_IO_List[[#This Row],[IO-Point 
(Instruement)]]</f>
        <v>Spare_AI_0</v>
      </c>
      <c r="U224" s="136" t="s">
        <v>10</v>
      </c>
      <c r="V224" s="136">
        <f>VLOOKUP(tbl_IO_List[[#This Row],[I/O Type]],tbl_Slot_Group[],2,FALSE)</f>
        <v>3</v>
      </c>
      <c r="W224" s="136">
        <v>0</v>
      </c>
      <c r="X224" s="136" t="str">
        <f>tbl_IO_List[[#This Row],[Chassis]]&amp;"S"&amp;TEXT(tbl_IO_List[[#This Row],[Slot]],"00")</f>
        <v>C1S11</v>
      </c>
      <c r="Y224" s="136" t="str">
        <f>tbl_IO_List[[#This Row],[Chassis]]&amp;"S"&amp;TEXT(tbl_IO_List[[#This Row],[Slot]],"00")&amp;tbl_IO_List[[#This Row],[I/O Type]]&amp;TEXT(tbl_IO_List[[#This Row],[Point]],"00")</f>
        <v>C1S11AI10</v>
      </c>
      <c r="Z224" s="136" t="str">
        <f>tbl_IO_List[[#This Row],[Chassis]]&amp;"S"&amp;TEXT(tbl_IO_List[[#This Row],[Slot]],"00")&amp;","&amp;TEXT(tbl_IO_List[[#This Row],[Point]],"00")</f>
        <v>C1S11,10</v>
      </c>
      <c r="AA224" s="136" t="str">
        <f>VLOOKUP(tbl_IO_List[[#This Row],[Column23]],tbl_RackConfig[],5,FALSE) &amp;"-"&amp;tbl_IO_List[[#This Row],[Point]]</f>
        <v>1756-IF16-10</v>
      </c>
      <c r="AB224" s="136"/>
      <c r="AC224" s="136" t="s">
        <v>1370</v>
      </c>
      <c r="AD224" s="136" t="str">
        <f>tbl_IO_List[[#This Row],[I/O Type]]</f>
        <v>AI</v>
      </c>
      <c r="AE224" s="136" t="s">
        <v>1332</v>
      </c>
      <c r="AF224" s="136">
        <v>11</v>
      </c>
      <c r="AG224" s="136">
        <v>10</v>
      </c>
      <c r="AH224" s="136"/>
      <c r="AI224" s="136"/>
      <c r="AJ224" s="136">
        <v>0</v>
      </c>
      <c r="AK224" s="136">
        <v>0</v>
      </c>
      <c r="AL224" s="136">
        <v>1</v>
      </c>
      <c r="AM224" s="136">
        <v>0</v>
      </c>
      <c r="AN224" s="136">
        <v>0</v>
      </c>
      <c r="AO224" s="136"/>
      <c r="AP224" s="143" t="e">
        <f>VLOOKUP(tbl_IO_List[[#This Row],[Instruement Tag]],tbl_Instruement_List[],14,FALSE)</f>
        <v>#N/A</v>
      </c>
      <c r="AQ224" s="143" t="str">
        <f>tbl_IO_List[[#This Row],[Chassis]]&amp;"S"&amp;tbl_IO_List[[#This Row],[Slot]]&amp;"-"&amp;tbl_IO_List[[#This Row],[Front Terminal Number]]</f>
        <v>C1S11-</v>
      </c>
      <c r="AR224" s="143"/>
      <c r="AS224" s="136" t="str">
        <f>tbl_IO_List[[#This Row],[Terminal Tagging]]&amp;"-"&amp;tbl_IO_List[[#This Row],[Point-Count]]</f>
        <v>-</v>
      </c>
      <c r="AT224" s="136" t="str">
        <f>tbl_IO_List[[#This Row],[Front Terminal Tagging]]&amp;"/"&amp;tbl_IO_List[[#This Row],[Terminal Tagging-Item]]</f>
        <v>C1S11-/-</v>
      </c>
      <c r="AU224" s="136" t="str">
        <f>tbl_IO_List[[#This Row],[Terminal Tagging-Item]]&amp;"/"&amp;tbl_IO_List[[#This Row],[Front Terminal Tagging]]</f>
        <v>-/C1S11-</v>
      </c>
    </row>
    <row r="225" spans="1:47" hidden="1">
      <c r="A225" s="147" t="s">
        <v>1369</v>
      </c>
      <c r="B225" s="136" t="s">
        <v>191</v>
      </c>
      <c r="C225" s="136" t="str">
        <f>tbl_IO_List[[#This Row],[Column3]]</f>
        <v>C1S11,11</v>
      </c>
      <c r="D225" s="136" t="str">
        <f>tbl_IO_List[[#This Row],[Card]]</f>
        <v>1756-IF16-11</v>
      </c>
      <c r="E225" s="136" t="s">
        <v>1366</v>
      </c>
      <c r="F225" s="136" t="str">
        <f>tbl_IO_List[[#This Row],[Column23]]&amp;"-" &amp;tbl_IO_List[[#This Row],[Column52]]</f>
        <v>C1S11-X1</v>
      </c>
      <c r="G225" s="136" t="str">
        <f>tbl_IO_List[[#This Row],[PLC_Tag]]</f>
        <v>Spare_AI_0</v>
      </c>
      <c r="H225" s="136"/>
      <c r="I225" s="136" t="str">
        <f>VLOOKUP(tbl_IO_List[[#This Row],[Destination]],tbl_Junction[],2,FALSE)</f>
        <v>Spray Dryer 1st Floor</v>
      </c>
      <c r="J225" s="136" t="s">
        <v>191</v>
      </c>
      <c r="K225" s="136"/>
      <c r="L225" s="136" t="s">
        <v>411</v>
      </c>
      <c r="M225" s="136" t="e">
        <f>VLOOKUP(tbl_IO_List[[#This Row],[Instruement Tag]],tbl_Instruement_List[],2,FALSE)</f>
        <v>#N/A</v>
      </c>
      <c r="N225" s="136"/>
      <c r="O225" s="136"/>
      <c r="P225" s="136"/>
      <c r="Q225" s="136" t="e">
        <f>VLOOKUP(tbl_IO_List[[#This Row],[Instruement Tag]],tbl_Instruement_List[],6,FALSE)</f>
        <v>#N/A</v>
      </c>
      <c r="R225" s="136"/>
      <c r="S22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225" s="136" t="str">
        <f>tbl_IO_List[[#This Row],[Instruement Tag]]&amp;"_"&amp;tbl_IO_List[[#This Row],[I/O Type]]&amp;"_"&amp;tbl_IO_List[[#This Row],[IO-Point 
(Instruement)]]</f>
        <v>Spare_AI_0</v>
      </c>
      <c r="U225" s="136" t="s">
        <v>10</v>
      </c>
      <c r="V225" s="136">
        <f>VLOOKUP(tbl_IO_List[[#This Row],[I/O Type]],tbl_Slot_Group[],2,FALSE)</f>
        <v>3</v>
      </c>
      <c r="W225" s="136">
        <v>0</v>
      </c>
      <c r="X225" s="136" t="str">
        <f>tbl_IO_List[[#This Row],[Chassis]]&amp;"S"&amp;TEXT(tbl_IO_List[[#This Row],[Slot]],"00")</f>
        <v>C1S11</v>
      </c>
      <c r="Y225" s="136" t="str">
        <f>tbl_IO_List[[#This Row],[Chassis]]&amp;"S"&amp;TEXT(tbl_IO_List[[#This Row],[Slot]],"00")&amp;tbl_IO_List[[#This Row],[I/O Type]]&amp;TEXT(tbl_IO_List[[#This Row],[Point]],"00")</f>
        <v>C1S11AI11</v>
      </c>
      <c r="Z225" s="136" t="str">
        <f>tbl_IO_List[[#This Row],[Chassis]]&amp;"S"&amp;TEXT(tbl_IO_List[[#This Row],[Slot]],"00")&amp;","&amp;TEXT(tbl_IO_List[[#This Row],[Point]],"00")</f>
        <v>C1S11,11</v>
      </c>
      <c r="AA225" s="136" t="str">
        <f>VLOOKUP(tbl_IO_List[[#This Row],[Column23]],tbl_RackConfig[],5,FALSE) &amp;"-"&amp;tbl_IO_List[[#This Row],[Point]]</f>
        <v>1756-IF16-11</v>
      </c>
      <c r="AB225" s="136"/>
      <c r="AC225" s="136" t="s">
        <v>1370</v>
      </c>
      <c r="AD225" s="136" t="str">
        <f>tbl_IO_List[[#This Row],[I/O Type]]</f>
        <v>AI</v>
      </c>
      <c r="AE225" s="136" t="s">
        <v>1332</v>
      </c>
      <c r="AF225" s="136">
        <v>11</v>
      </c>
      <c r="AG225" s="136">
        <v>11</v>
      </c>
      <c r="AH225" s="136"/>
      <c r="AI225" s="136"/>
      <c r="AJ225" s="136">
        <v>0</v>
      </c>
      <c r="AK225" s="136">
        <v>0</v>
      </c>
      <c r="AL225" s="136">
        <v>1</v>
      </c>
      <c r="AM225" s="136">
        <v>0</v>
      </c>
      <c r="AN225" s="136">
        <v>0</v>
      </c>
      <c r="AO225" s="136"/>
      <c r="AP225" s="143" t="e">
        <f>VLOOKUP(tbl_IO_List[[#This Row],[Instruement Tag]],tbl_Instruement_List[],14,FALSE)</f>
        <v>#N/A</v>
      </c>
      <c r="AQ225" s="143" t="str">
        <f>tbl_IO_List[[#This Row],[Chassis]]&amp;"S"&amp;tbl_IO_List[[#This Row],[Slot]]&amp;"-"&amp;tbl_IO_List[[#This Row],[Front Terminal Number]]</f>
        <v>C1S11-</v>
      </c>
      <c r="AR225" s="143"/>
      <c r="AS225" s="136" t="str">
        <f>tbl_IO_List[[#This Row],[Terminal Tagging]]&amp;"-"&amp;tbl_IO_List[[#This Row],[Point-Count]]</f>
        <v>-</v>
      </c>
      <c r="AT225" s="136" t="str">
        <f>tbl_IO_List[[#This Row],[Front Terminal Tagging]]&amp;"/"&amp;tbl_IO_List[[#This Row],[Terminal Tagging-Item]]</f>
        <v>C1S11-/-</v>
      </c>
      <c r="AU225" s="136" t="str">
        <f>tbl_IO_List[[#This Row],[Terminal Tagging-Item]]&amp;"/"&amp;tbl_IO_List[[#This Row],[Front Terminal Tagging]]</f>
        <v>-/C1S11-</v>
      </c>
    </row>
    <row r="226" spans="1:47" hidden="1">
      <c r="A226" s="147" t="s">
        <v>1369</v>
      </c>
      <c r="B226" s="136" t="s">
        <v>191</v>
      </c>
      <c r="C226" s="136" t="str">
        <f>tbl_IO_List[[#This Row],[Column3]]</f>
        <v>C1S11,12</v>
      </c>
      <c r="D226" s="136" t="str">
        <f>tbl_IO_List[[#This Row],[Card]]</f>
        <v>1756-IF16-12</v>
      </c>
      <c r="E226" s="136" t="s">
        <v>1366</v>
      </c>
      <c r="F226" s="136" t="str">
        <f>tbl_IO_List[[#This Row],[Column23]]&amp;"-" &amp;tbl_IO_List[[#This Row],[Column52]]</f>
        <v>C1S11-X1</v>
      </c>
      <c r="G226" s="136" t="str">
        <f>tbl_IO_List[[#This Row],[PLC_Tag]]</f>
        <v>Spare_AI_0</v>
      </c>
      <c r="H226" s="136"/>
      <c r="I226" s="136" t="str">
        <f>VLOOKUP(tbl_IO_List[[#This Row],[Destination]],tbl_Junction[],2,FALSE)</f>
        <v>Spray Dryer 1st Floor</v>
      </c>
      <c r="J226" s="136" t="s">
        <v>191</v>
      </c>
      <c r="K226" s="136"/>
      <c r="L226" s="136" t="s">
        <v>411</v>
      </c>
      <c r="M226" s="136" t="e">
        <f>VLOOKUP(tbl_IO_List[[#This Row],[Instruement Tag]],tbl_Instruement_List[],2,FALSE)</f>
        <v>#N/A</v>
      </c>
      <c r="N226" s="136"/>
      <c r="O226" s="136"/>
      <c r="P226" s="136"/>
      <c r="Q226" s="136" t="e">
        <f>VLOOKUP(tbl_IO_List[[#This Row],[Instruement Tag]],tbl_Instruement_List[],6,FALSE)</f>
        <v>#N/A</v>
      </c>
      <c r="R226" s="136"/>
      <c r="S22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226" s="136" t="str">
        <f>tbl_IO_List[[#This Row],[Instruement Tag]]&amp;"_"&amp;tbl_IO_List[[#This Row],[I/O Type]]&amp;"_"&amp;tbl_IO_List[[#This Row],[IO-Point 
(Instruement)]]</f>
        <v>Spare_AI_0</v>
      </c>
      <c r="U226" s="136" t="s">
        <v>10</v>
      </c>
      <c r="V226" s="136">
        <f>VLOOKUP(tbl_IO_List[[#This Row],[I/O Type]],tbl_Slot_Group[],2,FALSE)</f>
        <v>3</v>
      </c>
      <c r="W226" s="136">
        <v>0</v>
      </c>
      <c r="X226" s="136" t="str">
        <f>tbl_IO_List[[#This Row],[Chassis]]&amp;"S"&amp;TEXT(tbl_IO_List[[#This Row],[Slot]],"00")</f>
        <v>C1S11</v>
      </c>
      <c r="Y226" s="136" t="str">
        <f>tbl_IO_List[[#This Row],[Chassis]]&amp;"S"&amp;TEXT(tbl_IO_List[[#This Row],[Slot]],"00")&amp;tbl_IO_List[[#This Row],[I/O Type]]&amp;TEXT(tbl_IO_List[[#This Row],[Point]],"00")</f>
        <v>C1S11AI12</v>
      </c>
      <c r="Z226" s="136" t="str">
        <f>tbl_IO_List[[#This Row],[Chassis]]&amp;"S"&amp;TEXT(tbl_IO_List[[#This Row],[Slot]],"00")&amp;","&amp;TEXT(tbl_IO_List[[#This Row],[Point]],"00")</f>
        <v>C1S11,12</v>
      </c>
      <c r="AA226" s="136" t="str">
        <f>VLOOKUP(tbl_IO_List[[#This Row],[Column23]],tbl_RackConfig[],5,FALSE) &amp;"-"&amp;tbl_IO_List[[#This Row],[Point]]</f>
        <v>1756-IF16-12</v>
      </c>
      <c r="AB226" s="136"/>
      <c r="AC226" s="136" t="s">
        <v>1370</v>
      </c>
      <c r="AD226" s="136" t="str">
        <f>tbl_IO_List[[#This Row],[I/O Type]]</f>
        <v>AI</v>
      </c>
      <c r="AE226" s="136" t="s">
        <v>1332</v>
      </c>
      <c r="AF226" s="136">
        <v>11</v>
      </c>
      <c r="AG226" s="136">
        <v>12</v>
      </c>
      <c r="AH226" s="136"/>
      <c r="AI226" s="136"/>
      <c r="AJ226" s="136">
        <v>0</v>
      </c>
      <c r="AK226" s="136">
        <v>0</v>
      </c>
      <c r="AL226" s="136">
        <v>1</v>
      </c>
      <c r="AM226" s="136">
        <v>0</v>
      </c>
      <c r="AN226" s="136">
        <v>0</v>
      </c>
      <c r="AO226" s="136"/>
      <c r="AP226" s="143" t="e">
        <f>VLOOKUP(tbl_IO_List[[#This Row],[Instruement Tag]],tbl_Instruement_List[],14,FALSE)</f>
        <v>#N/A</v>
      </c>
      <c r="AQ226" s="143" t="str">
        <f>tbl_IO_List[[#This Row],[Chassis]]&amp;"S"&amp;tbl_IO_List[[#This Row],[Slot]]&amp;"-"&amp;tbl_IO_List[[#This Row],[Front Terminal Number]]</f>
        <v>C1S11-</v>
      </c>
      <c r="AR226" s="143"/>
      <c r="AS226" s="136" t="str">
        <f>tbl_IO_List[[#This Row],[Terminal Tagging]]&amp;"-"&amp;tbl_IO_List[[#This Row],[Point-Count]]</f>
        <v>-</v>
      </c>
      <c r="AT226" s="136" t="str">
        <f>tbl_IO_List[[#This Row],[Front Terminal Tagging]]&amp;"/"&amp;tbl_IO_List[[#This Row],[Terminal Tagging-Item]]</f>
        <v>C1S11-/-</v>
      </c>
      <c r="AU226" s="136" t="str">
        <f>tbl_IO_List[[#This Row],[Terminal Tagging-Item]]&amp;"/"&amp;tbl_IO_List[[#This Row],[Front Terminal Tagging]]</f>
        <v>-/C1S11-</v>
      </c>
    </row>
    <row r="227" spans="1:47" hidden="1">
      <c r="A227" s="147" t="s">
        <v>1369</v>
      </c>
      <c r="B227" s="136" t="s">
        <v>191</v>
      </c>
      <c r="C227" s="136" t="str">
        <f>tbl_IO_List[[#This Row],[Column3]]</f>
        <v>C1S11,13</v>
      </c>
      <c r="D227" s="136" t="str">
        <f>tbl_IO_List[[#This Row],[Card]]</f>
        <v>1756-IF16-13</v>
      </c>
      <c r="E227" s="136" t="s">
        <v>1366</v>
      </c>
      <c r="F227" s="136" t="str">
        <f>tbl_IO_List[[#This Row],[Column23]]&amp;"-" &amp;tbl_IO_List[[#This Row],[Column52]]</f>
        <v>C1S11-X1</v>
      </c>
      <c r="G227" s="136" t="str">
        <f>tbl_IO_List[[#This Row],[PLC_Tag]]</f>
        <v>Spare_AI_0</v>
      </c>
      <c r="H227" s="136"/>
      <c r="I227" s="136" t="str">
        <f>VLOOKUP(tbl_IO_List[[#This Row],[Destination]],tbl_Junction[],2,FALSE)</f>
        <v>Spray Dryer 1st Floor</v>
      </c>
      <c r="J227" s="136" t="s">
        <v>191</v>
      </c>
      <c r="K227" s="136"/>
      <c r="L227" s="136" t="s">
        <v>411</v>
      </c>
      <c r="M227" s="136" t="e">
        <f>VLOOKUP(tbl_IO_List[[#This Row],[Instruement Tag]],tbl_Instruement_List[],2,FALSE)</f>
        <v>#N/A</v>
      </c>
      <c r="N227" s="136"/>
      <c r="O227" s="136"/>
      <c r="P227" s="136"/>
      <c r="Q227" s="136" t="e">
        <f>VLOOKUP(tbl_IO_List[[#This Row],[Instruement Tag]],tbl_Instruement_List[],6,FALSE)</f>
        <v>#N/A</v>
      </c>
      <c r="R227" s="136"/>
      <c r="S22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227" s="136" t="str">
        <f>tbl_IO_List[[#This Row],[Instruement Tag]]&amp;"_"&amp;tbl_IO_List[[#This Row],[I/O Type]]&amp;"_"&amp;tbl_IO_List[[#This Row],[IO-Point 
(Instruement)]]</f>
        <v>Spare_AI_0</v>
      </c>
      <c r="U227" s="136" t="s">
        <v>10</v>
      </c>
      <c r="V227" s="136">
        <f>VLOOKUP(tbl_IO_List[[#This Row],[I/O Type]],tbl_Slot_Group[],2,FALSE)</f>
        <v>3</v>
      </c>
      <c r="W227" s="136">
        <v>0</v>
      </c>
      <c r="X227" s="136" t="str">
        <f>tbl_IO_List[[#This Row],[Chassis]]&amp;"S"&amp;TEXT(tbl_IO_List[[#This Row],[Slot]],"00")</f>
        <v>C1S11</v>
      </c>
      <c r="Y227" s="136" t="str">
        <f>tbl_IO_List[[#This Row],[Chassis]]&amp;"S"&amp;TEXT(tbl_IO_List[[#This Row],[Slot]],"00")&amp;tbl_IO_List[[#This Row],[I/O Type]]&amp;TEXT(tbl_IO_List[[#This Row],[Point]],"00")</f>
        <v>C1S11AI13</v>
      </c>
      <c r="Z227" s="136" t="str">
        <f>tbl_IO_List[[#This Row],[Chassis]]&amp;"S"&amp;TEXT(tbl_IO_List[[#This Row],[Slot]],"00")&amp;","&amp;TEXT(tbl_IO_List[[#This Row],[Point]],"00")</f>
        <v>C1S11,13</v>
      </c>
      <c r="AA227" s="136" t="str">
        <f>VLOOKUP(tbl_IO_List[[#This Row],[Column23]],tbl_RackConfig[],5,FALSE) &amp;"-"&amp;tbl_IO_List[[#This Row],[Point]]</f>
        <v>1756-IF16-13</v>
      </c>
      <c r="AB227" s="136"/>
      <c r="AC227" s="136" t="s">
        <v>1370</v>
      </c>
      <c r="AD227" s="136" t="str">
        <f>tbl_IO_List[[#This Row],[I/O Type]]</f>
        <v>AI</v>
      </c>
      <c r="AE227" s="136" t="s">
        <v>1332</v>
      </c>
      <c r="AF227" s="136">
        <v>11</v>
      </c>
      <c r="AG227" s="136">
        <v>13</v>
      </c>
      <c r="AH227" s="136"/>
      <c r="AI227" s="136"/>
      <c r="AJ227" s="136">
        <v>0</v>
      </c>
      <c r="AK227" s="136">
        <v>0</v>
      </c>
      <c r="AL227" s="136">
        <v>1</v>
      </c>
      <c r="AM227" s="136">
        <v>0</v>
      </c>
      <c r="AN227" s="136">
        <v>0</v>
      </c>
      <c r="AO227" s="136"/>
      <c r="AP227" s="143" t="e">
        <f>VLOOKUP(tbl_IO_List[[#This Row],[Instruement Tag]],tbl_Instruement_List[],14,FALSE)</f>
        <v>#N/A</v>
      </c>
      <c r="AQ227" s="143" t="str">
        <f>tbl_IO_List[[#This Row],[Chassis]]&amp;"S"&amp;tbl_IO_List[[#This Row],[Slot]]&amp;"-"&amp;tbl_IO_List[[#This Row],[Front Terminal Number]]</f>
        <v>C1S11-</v>
      </c>
      <c r="AR227" s="143"/>
      <c r="AS227" s="136" t="str">
        <f>tbl_IO_List[[#This Row],[Terminal Tagging]]&amp;"-"&amp;tbl_IO_List[[#This Row],[Point-Count]]</f>
        <v>-</v>
      </c>
      <c r="AT227" s="136" t="str">
        <f>tbl_IO_List[[#This Row],[Front Terminal Tagging]]&amp;"/"&amp;tbl_IO_List[[#This Row],[Terminal Tagging-Item]]</f>
        <v>C1S11-/-</v>
      </c>
      <c r="AU227" s="136" t="str">
        <f>tbl_IO_List[[#This Row],[Terminal Tagging-Item]]&amp;"/"&amp;tbl_IO_List[[#This Row],[Front Terminal Tagging]]</f>
        <v>-/C1S11-</v>
      </c>
    </row>
    <row r="228" spans="1:47" hidden="1">
      <c r="A228" s="147" t="s">
        <v>1369</v>
      </c>
      <c r="B228" s="136" t="s">
        <v>191</v>
      </c>
      <c r="C228" s="136" t="str">
        <f>tbl_IO_List[[#This Row],[Column3]]</f>
        <v>C1S11,14</v>
      </c>
      <c r="D228" s="136" t="str">
        <f>tbl_IO_List[[#This Row],[Card]]</f>
        <v>1756-IF16-14</v>
      </c>
      <c r="E228" s="136" t="s">
        <v>1366</v>
      </c>
      <c r="F228" s="136" t="str">
        <f>tbl_IO_List[[#This Row],[Column23]]&amp;"-" &amp;tbl_IO_List[[#This Row],[Column52]]</f>
        <v>C1S11-X1</v>
      </c>
      <c r="G228" s="136" t="str">
        <f>tbl_IO_List[[#This Row],[PLC_Tag]]</f>
        <v>Spare_AI_0</v>
      </c>
      <c r="H228" s="136"/>
      <c r="I228" s="136" t="str">
        <f>VLOOKUP(tbl_IO_List[[#This Row],[Destination]],tbl_Junction[],2,FALSE)</f>
        <v>Spray Dryer 1st Floor</v>
      </c>
      <c r="J228" s="136" t="s">
        <v>191</v>
      </c>
      <c r="K228" s="136"/>
      <c r="L228" s="136" t="s">
        <v>411</v>
      </c>
      <c r="M228" s="136" t="e">
        <f>VLOOKUP(tbl_IO_List[[#This Row],[Instruement Tag]],tbl_Instruement_List[],2,FALSE)</f>
        <v>#N/A</v>
      </c>
      <c r="N228" s="136"/>
      <c r="O228" s="136"/>
      <c r="P228" s="136"/>
      <c r="Q228" s="136" t="e">
        <f>VLOOKUP(tbl_IO_List[[#This Row],[Instruement Tag]],tbl_Instruement_List[],6,FALSE)</f>
        <v>#N/A</v>
      </c>
      <c r="R228" s="136"/>
      <c r="S22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228" s="136" t="str">
        <f>tbl_IO_List[[#This Row],[Instruement Tag]]&amp;"_"&amp;tbl_IO_List[[#This Row],[I/O Type]]&amp;"_"&amp;tbl_IO_List[[#This Row],[IO-Point 
(Instruement)]]</f>
        <v>Spare_AI_0</v>
      </c>
      <c r="U228" s="136" t="s">
        <v>10</v>
      </c>
      <c r="V228" s="136">
        <f>VLOOKUP(tbl_IO_List[[#This Row],[I/O Type]],tbl_Slot_Group[],2,FALSE)</f>
        <v>3</v>
      </c>
      <c r="W228" s="136">
        <v>0</v>
      </c>
      <c r="X228" s="136" t="str">
        <f>tbl_IO_List[[#This Row],[Chassis]]&amp;"S"&amp;TEXT(tbl_IO_List[[#This Row],[Slot]],"00")</f>
        <v>C1S11</v>
      </c>
      <c r="Y228" s="136" t="str">
        <f>tbl_IO_List[[#This Row],[Chassis]]&amp;"S"&amp;TEXT(tbl_IO_List[[#This Row],[Slot]],"00")&amp;tbl_IO_List[[#This Row],[I/O Type]]&amp;TEXT(tbl_IO_List[[#This Row],[Point]],"00")</f>
        <v>C1S11AI14</v>
      </c>
      <c r="Z228" s="136" t="str">
        <f>tbl_IO_List[[#This Row],[Chassis]]&amp;"S"&amp;TEXT(tbl_IO_List[[#This Row],[Slot]],"00")&amp;","&amp;TEXT(tbl_IO_List[[#This Row],[Point]],"00")</f>
        <v>C1S11,14</v>
      </c>
      <c r="AA228" s="136" t="str">
        <f>VLOOKUP(tbl_IO_List[[#This Row],[Column23]],tbl_RackConfig[],5,FALSE) &amp;"-"&amp;tbl_IO_List[[#This Row],[Point]]</f>
        <v>1756-IF16-14</v>
      </c>
      <c r="AB228" s="136"/>
      <c r="AC228" s="136" t="s">
        <v>1370</v>
      </c>
      <c r="AD228" s="136" t="str">
        <f>tbl_IO_List[[#This Row],[I/O Type]]</f>
        <v>AI</v>
      </c>
      <c r="AE228" s="136" t="s">
        <v>1332</v>
      </c>
      <c r="AF228" s="136">
        <v>11</v>
      </c>
      <c r="AG228" s="136">
        <v>14</v>
      </c>
      <c r="AH228" s="136"/>
      <c r="AI228" s="136"/>
      <c r="AJ228" s="136">
        <v>0</v>
      </c>
      <c r="AK228" s="136">
        <v>0</v>
      </c>
      <c r="AL228" s="136">
        <v>1</v>
      </c>
      <c r="AM228" s="136">
        <v>0</v>
      </c>
      <c r="AN228" s="136">
        <v>0</v>
      </c>
      <c r="AO228" s="136"/>
      <c r="AP228" s="143" t="e">
        <f>VLOOKUP(tbl_IO_List[[#This Row],[Instruement Tag]],tbl_Instruement_List[],14,FALSE)</f>
        <v>#N/A</v>
      </c>
      <c r="AQ228" s="143" t="str">
        <f>tbl_IO_List[[#This Row],[Chassis]]&amp;"S"&amp;tbl_IO_List[[#This Row],[Slot]]&amp;"-"&amp;tbl_IO_List[[#This Row],[Front Terminal Number]]</f>
        <v>C1S11-</v>
      </c>
      <c r="AR228" s="143"/>
      <c r="AS228" s="136" t="str">
        <f>tbl_IO_List[[#This Row],[Terminal Tagging]]&amp;"-"&amp;tbl_IO_List[[#This Row],[Point-Count]]</f>
        <v>-</v>
      </c>
      <c r="AT228" s="136" t="str">
        <f>tbl_IO_List[[#This Row],[Front Terminal Tagging]]&amp;"/"&amp;tbl_IO_List[[#This Row],[Terminal Tagging-Item]]</f>
        <v>C1S11-/-</v>
      </c>
      <c r="AU228" s="136" t="str">
        <f>tbl_IO_List[[#This Row],[Terminal Tagging-Item]]&amp;"/"&amp;tbl_IO_List[[#This Row],[Front Terminal Tagging]]</f>
        <v>-/C1S11-</v>
      </c>
    </row>
    <row r="229" spans="1:47" hidden="1">
      <c r="A229" s="147" t="s">
        <v>1369</v>
      </c>
      <c r="B229" s="136" t="s">
        <v>191</v>
      </c>
      <c r="C229" s="136" t="str">
        <f>tbl_IO_List[[#This Row],[Column3]]</f>
        <v>C1S11,15</v>
      </c>
      <c r="D229" s="136" t="str">
        <f>tbl_IO_List[[#This Row],[Card]]</f>
        <v>1756-IF16-15</v>
      </c>
      <c r="E229" s="136" t="s">
        <v>1366</v>
      </c>
      <c r="F229" s="136" t="str">
        <f>tbl_IO_List[[#This Row],[Column23]]&amp;"-" &amp;tbl_IO_List[[#This Row],[Column52]]</f>
        <v>C1S11-X1</v>
      </c>
      <c r="G229" s="136" t="str">
        <f>tbl_IO_List[[#This Row],[PLC_Tag]]</f>
        <v>Spare_AI_0</v>
      </c>
      <c r="H229" s="136"/>
      <c r="I229" s="136" t="str">
        <f>VLOOKUP(tbl_IO_List[[#This Row],[Destination]],tbl_Junction[],2,FALSE)</f>
        <v>Spray Dryer 1st Floor</v>
      </c>
      <c r="J229" s="136" t="s">
        <v>191</v>
      </c>
      <c r="K229" s="136"/>
      <c r="L229" s="136" t="s">
        <v>411</v>
      </c>
      <c r="M229" s="136" t="e">
        <f>VLOOKUP(tbl_IO_List[[#This Row],[Instruement Tag]],tbl_Instruement_List[],2,FALSE)</f>
        <v>#N/A</v>
      </c>
      <c r="N229" s="136"/>
      <c r="O229" s="136"/>
      <c r="P229" s="136"/>
      <c r="Q229" s="136" t="e">
        <f>VLOOKUP(tbl_IO_List[[#This Row],[Instruement Tag]],tbl_Instruement_List[],6,FALSE)</f>
        <v>#N/A</v>
      </c>
      <c r="R229" s="136"/>
      <c r="S22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229" s="136" t="str">
        <f>tbl_IO_List[[#This Row],[Instruement Tag]]&amp;"_"&amp;tbl_IO_List[[#This Row],[I/O Type]]&amp;"_"&amp;tbl_IO_List[[#This Row],[IO-Point 
(Instruement)]]</f>
        <v>Spare_AI_0</v>
      </c>
      <c r="U229" s="136" t="s">
        <v>10</v>
      </c>
      <c r="V229" s="136">
        <f>VLOOKUP(tbl_IO_List[[#This Row],[I/O Type]],tbl_Slot_Group[],2,FALSE)</f>
        <v>3</v>
      </c>
      <c r="W229" s="136">
        <v>0</v>
      </c>
      <c r="X229" s="136" t="str">
        <f>tbl_IO_List[[#This Row],[Chassis]]&amp;"S"&amp;TEXT(tbl_IO_List[[#This Row],[Slot]],"00")</f>
        <v>C1S11</v>
      </c>
      <c r="Y229" s="136" t="str">
        <f>tbl_IO_List[[#This Row],[Chassis]]&amp;"S"&amp;TEXT(tbl_IO_List[[#This Row],[Slot]],"00")&amp;tbl_IO_List[[#This Row],[I/O Type]]&amp;TEXT(tbl_IO_List[[#This Row],[Point]],"00")</f>
        <v>C1S11AI15</v>
      </c>
      <c r="Z229" s="136" t="str">
        <f>tbl_IO_List[[#This Row],[Chassis]]&amp;"S"&amp;TEXT(tbl_IO_List[[#This Row],[Slot]],"00")&amp;","&amp;TEXT(tbl_IO_List[[#This Row],[Point]],"00")</f>
        <v>C1S11,15</v>
      </c>
      <c r="AA229" s="136" t="str">
        <f>VLOOKUP(tbl_IO_List[[#This Row],[Column23]],tbl_RackConfig[],5,FALSE) &amp;"-"&amp;tbl_IO_List[[#This Row],[Point]]</f>
        <v>1756-IF16-15</v>
      </c>
      <c r="AB229" s="136"/>
      <c r="AC229" s="136" t="s">
        <v>1370</v>
      </c>
      <c r="AD229" s="136" t="str">
        <f>tbl_IO_List[[#This Row],[I/O Type]]</f>
        <v>AI</v>
      </c>
      <c r="AE229" s="136" t="s">
        <v>1332</v>
      </c>
      <c r="AF229" s="136">
        <v>11</v>
      </c>
      <c r="AG229" s="136">
        <v>15</v>
      </c>
      <c r="AH229" s="136"/>
      <c r="AI229" s="136"/>
      <c r="AJ229" s="136">
        <v>0</v>
      </c>
      <c r="AK229" s="136">
        <v>0</v>
      </c>
      <c r="AL229" s="136">
        <v>1</v>
      </c>
      <c r="AM229" s="136">
        <v>0</v>
      </c>
      <c r="AN229" s="136">
        <v>0</v>
      </c>
      <c r="AO229" s="136"/>
      <c r="AP229" s="143" t="e">
        <f>VLOOKUP(tbl_IO_List[[#This Row],[Instruement Tag]],tbl_Instruement_List[],14,FALSE)</f>
        <v>#N/A</v>
      </c>
      <c r="AQ229" s="143" t="str">
        <f>tbl_IO_List[[#This Row],[Chassis]]&amp;"S"&amp;tbl_IO_List[[#This Row],[Slot]]&amp;"-"&amp;tbl_IO_List[[#This Row],[Front Terminal Number]]</f>
        <v>C1S11-</v>
      </c>
      <c r="AR229" s="143"/>
      <c r="AS229" s="136" t="str">
        <f>tbl_IO_List[[#This Row],[Terminal Tagging]]&amp;"-"&amp;tbl_IO_List[[#This Row],[Point-Count]]</f>
        <v>-</v>
      </c>
      <c r="AT229" s="136" t="str">
        <f>tbl_IO_List[[#This Row],[Front Terminal Tagging]]&amp;"/"&amp;tbl_IO_List[[#This Row],[Terminal Tagging-Item]]</f>
        <v>C1S11-/-</v>
      </c>
      <c r="AU229" s="136" t="str">
        <f>tbl_IO_List[[#This Row],[Terminal Tagging-Item]]&amp;"/"&amp;tbl_IO_List[[#This Row],[Front Terminal Tagging]]</f>
        <v>-/C1S11-</v>
      </c>
    </row>
    <row r="230" spans="1:47" hidden="1">
      <c r="A230" s="147" t="s">
        <v>1369</v>
      </c>
      <c r="B230" s="136" t="s">
        <v>1306</v>
      </c>
      <c r="C230" s="136" t="str">
        <f>tbl_IO_List[[#This Row],[Column3]]</f>
        <v>C2S00,00</v>
      </c>
      <c r="D230" s="136" t="str">
        <f>tbl_IO_List[[#This Row],[Card]]</f>
        <v>1756-EN4TR-0</v>
      </c>
      <c r="E230" s="136" t="s">
        <v>1366</v>
      </c>
      <c r="F230" s="136" t="str">
        <f>tbl_IO_List[[#This Row],[Column23]]&amp;"-" &amp;tbl_IO_List[[#This Row],[Column52]]</f>
        <v>C2S00-X1</v>
      </c>
      <c r="G230" s="136">
        <f>tbl_IO_List[[#This Row],[PLC_Tag]]</f>
        <v>0</v>
      </c>
      <c r="H230" s="136"/>
      <c r="I230" s="136" t="str">
        <f>VLOOKUP(tbl_IO_List[[#This Row],[Destination]],tbl_Junction[],2,FALSE)</f>
        <v>Main Control Cabinet</v>
      </c>
      <c r="J230" s="136" t="s">
        <v>1306</v>
      </c>
      <c r="K230" s="136" t="s">
        <v>1382</v>
      </c>
      <c r="L230" s="136" t="s">
        <v>411</v>
      </c>
      <c r="M230" s="136" t="e">
        <f>VLOOKUP(tbl_IO_List[[#This Row],[Instruement Tag]],tbl_Instruement_List[],2,FALSE)</f>
        <v>#N/A</v>
      </c>
      <c r="N230" s="136"/>
      <c r="O230" s="136" t="s">
        <v>18</v>
      </c>
      <c r="P230" s="136" t="s">
        <v>18</v>
      </c>
      <c r="Q230" s="136" t="e">
        <f>VLOOKUP(tbl_IO_List[[#This Row],[Instruement Tag]],tbl_Instruement_List[],6,FALSE)</f>
        <v>#N/A</v>
      </c>
      <c r="R230" s="136"/>
      <c r="S230" s="136"/>
      <c r="T230" s="136"/>
      <c r="U230" s="136" t="s">
        <v>1844</v>
      </c>
      <c r="V230" s="136" t="e">
        <f>VLOOKUP(tbl_IO_List[[#This Row],[I/O Type]],tbl_Slot_Group[],2,FALSE)</f>
        <v>#N/A</v>
      </c>
      <c r="W230" s="136">
        <v>0</v>
      </c>
      <c r="X230" s="136" t="str">
        <f>tbl_IO_List[[#This Row],[Chassis]]&amp;"S"&amp;TEXT(tbl_IO_List[[#This Row],[Slot]],"00")</f>
        <v>C2S00</v>
      </c>
      <c r="Y230" s="136" t="str">
        <f>tbl_IO_List[[#This Row],[Chassis]]&amp;"S"&amp;TEXT(tbl_IO_List[[#This Row],[Slot]],"00")&amp;tbl_IO_List[[#This Row],[I/O Type]]&amp;TEXT(tbl_IO_List[[#This Row],[Point]],"00")</f>
        <v>C2S00ETH-100</v>
      </c>
      <c r="Z230" s="136" t="str">
        <f>tbl_IO_List[[#This Row],[Chassis]]&amp;"S"&amp;TEXT(tbl_IO_List[[#This Row],[Slot]],"00")&amp;","&amp;TEXT(tbl_IO_List[[#This Row],[Point]],"00")</f>
        <v>C2S00,00</v>
      </c>
      <c r="AA230" s="136" t="str">
        <f>VLOOKUP(tbl_IO_List[[#This Row],[Column23]],tbl_RackConfig[],5,FALSE) &amp;"-"&amp;tbl_IO_List[[#This Row],[Point]]</f>
        <v>1756-EN4TR-0</v>
      </c>
      <c r="AB230" s="136"/>
      <c r="AC230" s="136" t="s">
        <v>1370</v>
      </c>
      <c r="AD230" s="136" t="str">
        <f>tbl_IO_List[[#This Row],[I/O Type]]</f>
        <v>ETH-1</v>
      </c>
      <c r="AE230" s="136" t="s">
        <v>1333</v>
      </c>
      <c r="AF230" s="136">
        <v>0</v>
      </c>
      <c r="AG230" s="136">
        <v>0</v>
      </c>
      <c r="AH230" s="136"/>
      <c r="AI230" s="136"/>
      <c r="AJ230" s="136">
        <v>0</v>
      </c>
      <c r="AK230" s="136">
        <v>0</v>
      </c>
      <c r="AL230" s="136">
        <v>0</v>
      </c>
      <c r="AM230" s="136">
        <v>0</v>
      </c>
      <c r="AN230" s="136">
        <v>1</v>
      </c>
      <c r="AO230" s="136"/>
      <c r="AP230" s="143" t="e">
        <f>VLOOKUP(tbl_IO_List[[#This Row],[Instruement Tag]],tbl_Instruement_List[],14,FALSE)</f>
        <v>#N/A</v>
      </c>
      <c r="AQ230" s="143" t="str">
        <f>tbl_IO_List[[#This Row],[Chassis]]&amp;"S"&amp;tbl_IO_List[[#This Row],[Slot]]&amp;"-"&amp;tbl_IO_List[[#This Row],[Front Terminal Number]]</f>
        <v>C2S0-</v>
      </c>
      <c r="AR230" s="143"/>
      <c r="AS230" s="136" t="str">
        <f>tbl_IO_List[[#This Row],[Terminal Tagging]]&amp;"-"&amp;tbl_IO_List[[#This Row],[Point-Count]]</f>
        <v>-</v>
      </c>
      <c r="AT230" s="136" t="str">
        <f>tbl_IO_List[[#This Row],[Front Terminal Tagging]]&amp;"/"&amp;tbl_IO_List[[#This Row],[Terminal Tagging-Item]]</f>
        <v>C2S0-/-</v>
      </c>
      <c r="AU230" s="136" t="str">
        <f>tbl_IO_List[[#This Row],[Terminal Tagging-Item]]&amp;"/"&amp;tbl_IO_List[[#This Row],[Front Terminal Tagging]]</f>
        <v>-/C2S0-</v>
      </c>
    </row>
    <row r="231" spans="1:47">
      <c r="A231" s="147" t="s">
        <v>1367</v>
      </c>
      <c r="B231" s="136" t="s">
        <v>168</v>
      </c>
      <c r="C231" s="136" t="str">
        <f>tbl_IO_List[[#This Row],[Column3]]</f>
        <v>C2S01,00</v>
      </c>
      <c r="D231" s="136" t="str">
        <f>tbl_IO_List[[#This Row],[Card]]</f>
        <v>1756-IB32-0</v>
      </c>
      <c r="E231" s="136" t="s">
        <v>1366</v>
      </c>
      <c r="F231" s="136" t="str">
        <f>tbl_IO_List[[#This Row],[Column23]]&amp;"-" &amp;tbl_IO_List[[#This Row],[Column52]]</f>
        <v>C2S01-X1</v>
      </c>
      <c r="G231" s="136" t="str">
        <f>tbl_IO_List[[#This Row],[PLC_Tag]]</f>
        <v>FS-40204_DI_1</v>
      </c>
      <c r="H231" s="136"/>
      <c r="I231" s="136" t="str">
        <f>VLOOKUP(tbl_IO_List[[#This Row],[Destination]],tbl_Junction[],2,FALSE)</f>
        <v>Jet Cooker 2nd Floor</v>
      </c>
      <c r="J231" s="136" t="s">
        <v>168</v>
      </c>
      <c r="K231" s="136" t="s">
        <v>169</v>
      </c>
      <c r="L231" s="136" t="s">
        <v>167</v>
      </c>
      <c r="M231" s="136" t="str">
        <f>VLOOKUP(tbl_IO_List[[#This Row],[Instruement Tag]],tbl_Instruement_List[],2,FALSE)</f>
        <v>Flow Switch</v>
      </c>
      <c r="N231" s="136" t="s">
        <v>24</v>
      </c>
      <c r="O231" s="136" t="s">
        <v>18</v>
      </c>
      <c r="P231" s="136" t="s">
        <v>170</v>
      </c>
      <c r="Q231" s="136" t="str">
        <f>VLOOKUP(tbl_IO_List[[#This Row],[Instruement Tag]],tbl_Instruement_List[],6,FALSE)</f>
        <v xml:space="preserve">Jet Cooker </v>
      </c>
      <c r="R231" s="136"/>
      <c r="S23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31" s="136" t="str">
        <f>tbl_IO_List[[#This Row],[Instruement Tag]]&amp;"_"&amp;tbl_IO_List[[#This Row],[I/O Type]]&amp;"_"&amp;tbl_IO_List[[#This Row],[IO-Point 
(Instruement)]]</f>
        <v>FS-40204_DI_1</v>
      </c>
      <c r="U231" s="136" t="s">
        <v>8</v>
      </c>
      <c r="V231" s="136">
        <f>VLOOKUP(tbl_IO_List[[#This Row],[I/O Type]],tbl_Slot_Group[],2,FALSE)</f>
        <v>1</v>
      </c>
      <c r="W231" s="136">
        <v>1</v>
      </c>
      <c r="X231" s="136" t="str">
        <f>tbl_IO_List[[#This Row],[Chassis]]&amp;"S"&amp;TEXT(tbl_IO_List[[#This Row],[Slot]],"00")</f>
        <v>C2S01</v>
      </c>
      <c r="Y231" s="136" t="str">
        <f>tbl_IO_List[[#This Row],[Chassis]]&amp;"S"&amp;TEXT(tbl_IO_List[[#This Row],[Slot]],"00")&amp;tbl_IO_List[[#This Row],[I/O Type]]&amp;TEXT(tbl_IO_List[[#This Row],[Point]],"00")</f>
        <v>C2S01DI00</v>
      </c>
      <c r="Z231" s="136" t="str">
        <f>tbl_IO_List[[#This Row],[Chassis]]&amp;"S"&amp;TEXT(tbl_IO_List[[#This Row],[Slot]],"00")&amp;","&amp;TEXT(tbl_IO_List[[#This Row],[Point]],"00")</f>
        <v>C2S01,00</v>
      </c>
      <c r="AA231" s="136" t="str">
        <f>VLOOKUP(tbl_IO_List[[#This Row],[Column23]],tbl_RackConfig[],5,FALSE) &amp;"-"&amp;tbl_IO_List[[#This Row],[Point]]</f>
        <v>1756-IB32-0</v>
      </c>
      <c r="AB231" s="136"/>
      <c r="AC231" s="136"/>
      <c r="AD231" s="136" t="str">
        <f>tbl_IO_List[[#This Row],[I/O Type]]</f>
        <v>DI</v>
      </c>
      <c r="AE231" s="136" t="s">
        <v>1333</v>
      </c>
      <c r="AF231" s="136">
        <v>1</v>
      </c>
      <c r="AG231" s="136">
        <v>0</v>
      </c>
      <c r="AH231" s="136">
        <v>1</v>
      </c>
      <c r="AI231" s="136">
        <v>1</v>
      </c>
      <c r="AJ231" s="136">
        <v>1</v>
      </c>
      <c r="AK231" s="136">
        <v>0</v>
      </c>
      <c r="AL231" s="136">
        <v>0</v>
      </c>
      <c r="AM231" s="136">
        <v>0</v>
      </c>
      <c r="AN231" s="136">
        <v>0</v>
      </c>
      <c r="AO231" s="136"/>
      <c r="AP231" s="143" t="str">
        <f>VLOOKUP(tbl_IO_List[[#This Row],[Instruement Tag]],tbl_Instruement_List[],14,FALSE)</f>
        <v>Dry Contact</v>
      </c>
      <c r="AQ231" s="143" t="str">
        <f>tbl_IO_List[[#This Row],[Chassis]]&amp;"S"&amp;tbl_IO_List[[#This Row],[Slot]]&amp;"-"&amp;tbl_IO_List[[#This Row],[Front Terminal Number]]</f>
        <v>C2S1-1</v>
      </c>
      <c r="AR231" s="141" t="s">
        <v>1861</v>
      </c>
      <c r="AS231" s="136" t="str">
        <f>tbl_IO_List[[#This Row],[Terminal Tagging]]&amp;"-"&amp;tbl_IO_List[[#This Row],[Point-Count]]</f>
        <v>P2-TBDI1-1</v>
      </c>
      <c r="AT231" s="136" t="str">
        <f>tbl_IO_List[[#This Row],[Front Terminal Tagging]]&amp;"/"&amp;tbl_IO_List[[#This Row],[Terminal Tagging-Item]]</f>
        <v>C2S1-1/P2-TBDI1-1</v>
      </c>
      <c r="AU231" s="136" t="str">
        <f>tbl_IO_List[[#This Row],[Terminal Tagging-Item]]&amp;"/"&amp;tbl_IO_List[[#This Row],[Front Terminal Tagging]]</f>
        <v>P2-TBDI1-1/C2S1-1</v>
      </c>
    </row>
    <row r="232" spans="1:47">
      <c r="A232" s="147" t="s">
        <v>1367</v>
      </c>
      <c r="B232" s="136" t="s">
        <v>168</v>
      </c>
      <c r="C232" s="136" t="str">
        <f>tbl_IO_List[[#This Row],[Column3]]</f>
        <v>C2S01,01</v>
      </c>
      <c r="D232" s="136" t="str">
        <f>tbl_IO_List[[#This Row],[Card]]</f>
        <v>1756-IB32-1</v>
      </c>
      <c r="E232" s="136" t="s">
        <v>1366</v>
      </c>
      <c r="F232" s="136" t="str">
        <f>tbl_IO_List[[#This Row],[Column23]]&amp;"-" &amp;tbl_IO_List[[#This Row],[Column52]]</f>
        <v>C2S01-X1</v>
      </c>
      <c r="G232" s="136" t="str">
        <f>tbl_IO_List[[#This Row],[PLC_Tag]]</f>
        <v>FS-40205_DI_1</v>
      </c>
      <c r="H232" s="136"/>
      <c r="I232" s="136" t="str">
        <f>VLOOKUP(tbl_IO_List[[#This Row],[Destination]],tbl_Junction[],2,FALSE)</f>
        <v>Jet Cooker 2nd Floor</v>
      </c>
      <c r="J232" s="136" t="s">
        <v>168</v>
      </c>
      <c r="K232" s="136" t="s">
        <v>169</v>
      </c>
      <c r="L232" s="136" t="s">
        <v>171</v>
      </c>
      <c r="M232" s="136" t="str">
        <f>VLOOKUP(tbl_IO_List[[#This Row],[Instruement Tag]],tbl_Instruement_List[],2,FALSE)</f>
        <v>Flow Switch</v>
      </c>
      <c r="N232" s="136" t="s">
        <v>24</v>
      </c>
      <c r="O232" s="136" t="s">
        <v>18</v>
      </c>
      <c r="P232" s="136" t="s">
        <v>172</v>
      </c>
      <c r="Q232" s="136" t="str">
        <f>VLOOKUP(tbl_IO_List[[#This Row],[Instruement Tag]],tbl_Instruement_List[],6,FALSE)</f>
        <v xml:space="preserve">Jet Cooker </v>
      </c>
      <c r="R232" s="136"/>
      <c r="S23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32" s="136" t="str">
        <f>tbl_IO_List[[#This Row],[Instruement Tag]]&amp;"_"&amp;tbl_IO_List[[#This Row],[I/O Type]]&amp;"_"&amp;tbl_IO_List[[#This Row],[IO-Point 
(Instruement)]]</f>
        <v>FS-40205_DI_1</v>
      </c>
      <c r="U232" s="136" t="s">
        <v>8</v>
      </c>
      <c r="V232" s="136">
        <f>VLOOKUP(tbl_IO_List[[#This Row],[I/O Type]],tbl_Slot_Group[],2,FALSE)</f>
        <v>1</v>
      </c>
      <c r="W232" s="136">
        <v>1</v>
      </c>
      <c r="X232" s="136" t="str">
        <f>tbl_IO_List[[#This Row],[Chassis]]&amp;"S"&amp;TEXT(tbl_IO_List[[#This Row],[Slot]],"00")</f>
        <v>C2S01</v>
      </c>
      <c r="Y232" s="136" t="str">
        <f>tbl_IO_List[[#This Row],[Chassis]]&amp;"S"&amp;TEXT(tbl_IO_List[[#This Row],[Slot]],"00")&amp;tbl_IO_List[[#This Row],[I/O Type]]&amp;TEXT(tbl_IO_List[[#This Row],[Point]],"00")</f>
        <v>C2S01DI01</v>
      </c>
      <c r="Z232" s="136" t="str">
        <f>tbl_IO_List[[#This Row],[Chassis]]&amp;"S"&amp;TEXT(tbl_IO_List[[#This Row],[Slot]],"00")&amp;","&amp;TEXT(tbl_IO_List[[#This Row],[Point]],"00")</f>
        <v>C2S01,01</v>
      </c>
      <c r="AA232" s="136" t="str">
        <f>VLOOKUP(tbl_IO_List[[#This Row],[Column23]],tbl_RackConfig[],5,FALSE) &amp;"-"&amp;tbl_IO_List[[#This Row],[Point]]</f>
        <v>1756-IB32-1</v>
      </c>
      <c r="AB232" s="136"/>
      <c r="AC232" s="136"/>
      <c r="AD232" s="136" t="str">
        <f>tbl_IO_List[[#This Row],[I/O Type]]</f>
        <v>DI</v>
      </c>
      <c r="AE232" s="136" t="s">
        <v>1333</v>
      </c>
      <c r="AF232" s="136">
        <v>1</v>
      </c>
      <c r="AG232" s="136">
        <v>1</v>
      </c>
      <c r="AH232" s="136">
        <v>2</v>
      </c>
      <c r="AI232" s="136">
        <v>2</v>
      </c>
      <c r="AJ232" s="136">
        <v>1</v>
      </c>
      <c r="AK232" s="136">
        <v>0</v>
      </c>
      <c r="AL232" s="136">
        <v>0</v>
      </c>
      <c r="AM232" s="136">
        <v>0</v>
      </c>
      <c r="AN232" s="136">
        <v>0</v>
      </c>
      <c r="AO232" s="136"/>
      <c r="AP232" s="143" t="str">
        <f>VLOOKUP(tbl_IO_List[[#This Row],[Instruement Tag]],tbl_Instruement_List[],14,FALSE)</f>
        <v>Dry Contact</v>
      </c>
      <c r="AQ232" s="143" t="str">
        <f>tbl_IO_List[[#This Row],[Chassis]]&amp;"S"&amp;tbl_IO_List[[#This Row],[Slot]]&amp;"-"&amp;tbl_IO_List[[#This Row],[Front Terminal Number]]</f>
        <v>C2S1-2</v>
      </c>
      <c r="AR232" s="141" t="s">
        <v>1861</v>
      </c>
      <c r="AS232" s="136" t="str">
        <f>tbl_IO_List[[#This Row],[Terminal Tagging]]&amp;"-"&amp;tbl_IO_List[[#This Row],[Point-Count]]</f>
        <v>P2-TBDI1-2</v>
      </c>
      <c r="AT232" s="136" t="str">
        <f>tbl_IO_List[[#This Row],[Front Terminal Tagging]]&amp;"/"&amp;tbl_IO_List[[#This Row],[Terminal Tagging-Item]]</f>
        <v>C2S1-2/P2-TBDI1-2</v>
      </c>
      <c r="AU232" s="136" t="str">
        <f>tbl_IO_List[[#This Row],[Terminal Tagging-Item]]&amp;"/"&amp;tbl_IO_List[[#This Row],[Front Terminal Tagging]]</f>
        <v>P2-TBDI1-2/C2S1-2</v>
      </c>
    </row>
    <row r="233" spans="1:47">
      <c r="A233" s="147" t="s">
        <v>1367</v>
      </c>
      <c r="B233" s="136" t="s">
        <v>168</v>
      </c>
      <c r="C233" s="136" t="str">
        <f>tbl_IO_List[[#This Row],[Column3]]</f>
        <v>C2S01,02</v>
      </c>
      <c r="D233" s="136" t="str">
        <f>tbl_IO_List[[#This Row],[Card]]</f>
        <v>1756-IB32-2</v>
      </c>
      <c r="E233" s="136" t="s">
        <v>1366</v>
      </c>
      <c r="F233" s="136" t="str">
        <f>tbl_IO_List[[#This Row],[Column23]]&amp;"-" &amp;tbl_IO_List[[#This Row],[Column52]]</f>
        <v>C2S01-X1</v>
      </c>
      <c r="G233" s="136" t="str">
        <f>tbl_IO_List[[#This Row],[PLC_Tag]]</f>
        <v>FT-40221_DI_1</v>
      </c>
      <c r="H233" s="136"/>
      <c r="I233" s="136" t="str">
        <f>VLOOKUP(tbl_IO_List[[#This Row],[Destination]],tbl_Junction[],2,FALSE)</f>
        <v>Jet Cooker 2nd Floor</v>
      </c>
      <c r="J233" s="136" t="s">
        <v>168</v>
      </c>
      <c r="K233" s="136" t="s">
        <v>169</v>
      </c>
      <c r="L233" s="136" t="s">
        <v>173</v>
      </c>
      <c r="M233" s="136" t="str">
        <f>VLOOKUP(tbl_IO_List[[#This Row],[Instruement Tag]],tbl_Instruement_List[],2,FALSE)</f>
        <v>Coriolis Flow Transmitter</v>
      </c>
      <c r="N233" s="136" t="s">
        <v>24</v>
      </c>
      <c r="O233" s="136" t="s">
        <v>18</v>
      </c>
      <c r="P233" s="136" t="s">
        <v>172</v>
      </c>
      <c r="Q233" s="136" t="str">
        <f>VLOOKUP(tbl_IO_List[[#This Row],[Instruement Tag]],tbl_Instruement_List[],6,FALSE)</f>
        <v xml:space="preserve">Jet Cooker </v>
      </c>
      <c r="R233" s="136"/>
      <c r="S23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1,DO=0,AI=2,AO=0,Bus=0</v>
      </c>
      <c r="T233" s="136" t="str">
        <f>tbl_IO_List[[#This Row],[Instruement Tag]]&amp;"_"&amp;tbl_IO_List[[#This Row],[I/O Type]]&amp;"_"&amp;tbl_IO_List[[#This Row],[IO-Point 
(Instruement)]]</f>
        <v>FT-40221_DI_1</v>
      </c>
      <c r="U233" s="136" t="s">
        <v>8</v>
      </c>
      <c r="V233" s="136">
        <f>VLOOKUP(tbl_IO_List[[#This Row],[I/O Type]],tbl_Slot_Group[],2,FALSE)</f>
        <v>1</v>
      </c>
      <c r="W233" s="136">
        <v>1</v>
      </c>
      <c r="X233" s="136" t="str">
        <f>tbl_IO_List[[#This Row],[Chassis]]&amp;"S"&amp;TEXT(tbl_IO_List[[#This Row],[Slot]],"00")</f>
        <v>C2S01</v>
      </c>
      <c r="Y233" s="136" t="str">
        <f>tbl_IO_List[[#This Row],[Chassis]]&amp;"S"&amp;TEXT(tbl_IO_List[[#This Row],[Slot]],"00")&amp;tbl_IO_List[[#This Row],[I/O Type]]&amp;TEXT(tbl_IO_List[[#This Row],[Point]],"00")</f>
        <v>C2S01DI02</v>
      </c>
      <c r="Z233" s="136" t="str">
        <f>tbl_IO_List[[#This Row],[Chassis]]&amp;"S"&amp;TEXT(tbl_IO_List[[#This Row],[Slot]],"00")&amp;","&amp;TEXT(tbl_IO_List[[#This Row],[Point]],"00")</f>
        <v>C2S01,02</v>
      </c>
      <c r="AA233" s="136" t="str">
        <f>VLOOKUP(tbl_IO_List[[#This Row],[Column23]],tbl_RackConfig[],5,FALSE) &amp;"-"&amp;tbl_IO_List[[#This Row],[Point]]</f>
        <v>1756-IB32-2</v>
      </c>
      <c r="AB233" s="136"/>
      <c r="AC233" s="136"/>
      <c r="AD233" s="136" t="str">
        <f>tbl_IO_List[[#This Row],[I/O Type]]</f>
        <v>DI</v>
      </c>
      <c r="AE233" s="136" t="s">
        <v>1333</v>
      </c>
      <c r="AF233" s="136">
        <v>1</v>
      </c>
      <c r="AG233" s="136">
        <v>2</v>
      </c>
      <c r="AH233" s="136">
        <v>3</v>
      </c>
      <c r="AI233" s="136">
        <v>3</v>
      </c>
      <c r="AJ233" s="136">
        <v>1</v>
      </c>
      <c r="AK233" s="136">
        <v>0</v>
      </c>
      <c r="AL233" s="136">
        <v>2</v>
      </c>
      <c r="AM233" s="136">
        <v>0</v>
      </c>
      <c r="AN233" s="136">
        <v>0</v>
      </c>
      <c r="AO233" s="136"/>
      <c r="AP233" s="143" t="str">
        <f>VLOOKUP(tbl_IO_List[[#This Row],[Instruement Tag]],tbl_Instruement_List[],14,FALSE)</f>
        <v>4 - 20 mA,Pulse</v>
      </c>
      <c r="AQ233" s="143" t="str">
        <f>tbl_IO_List[[#This Row],[Chassis]]&amp;"S"&amp;tbl_IO_List[[#This Row],[Slot]]&amp;"-"&amp;tbl_IO_List[[#This Row],[Front Terminal Number]]</f>
        <v>C2S1-3</v>
      </c>
      <c r="AR233" s="141" t="s">
        <v>1861</v>
      </c>
      <c r="AS233" s="136" t="str">
        <f>tbl_IO_List[[#This Row],[Terminal Tagging]]&amp;"-"&amp;tbl_IO_List[[#This Row],[Point-Count]]</f>
        <v>P2-TBDI1-3</v>
      </c>
      <c r="AT233" s="136" t="str">
        <f>tbl_IO_List[[#This Row],[Front Terminal Tagging]]&amp;"/"&amp;tbl_IO_List[[#This Row],[Terminal Tagging-Item]]</f>
        <v>C2S1-3/P2-TBDI1-3</v>
      </c>
      <c r="AU233" s="136" t="str">
        <f>tbl_IO_List[[#This Row],[Terminal Tagging-Item]]&amp;"/"&amp;tbl_IO_List[[#This Row],[Front Terminal Tagging]]</f>
        <v>P2-TBDI1-3/C2S1-3</v>
      </c>
    </row>
    <row r="234" spans="1:47">
      <c r="A234" s="147" t="s">
        <v>1367</v>
      </c>
      <c r="B234" s="136" t="s">
        <v>168</v>
      </c>
      <c r="C234" s="136" t="str">
        <f>tbl_IO_List[[#This Row],[Column3]]</f>
        <v>C2S01,03</v>
      </c>
      <c r="D234" s="136" t="str">
        <f>tbl_IO_List[[#This Row],[Card]]</f>
        <v>1756-IB32-3</v>
      </c>
      <c r="E234" s="136" t="s">
        <v>1366</v>
      </c>
      <c r="F234" s="136" t="str">
        <f>tbl_IO_List[[#This Row],[Column23]]&amp;"-" &amp;tbl_IO_List[[#This Row],[Column52]]</f>
        <v>C2S01-X1</v>
      </c>
      <c r="G234" s="136" t="str">
        <f>tbl_IO_List[[#This Row],[PLC_Tag]]</f>
        <v>FT-40222_DI_1</v>
      </c>
      <c r="H234" s="136"/>
      <c r="I234" s="136" t="str">
        <f>VLOOKUP(tbl_IO_List[[#This Row],[Destination]],tbl_Junction[],2,FALSE)</f>
        <v>Jet Cooker 2nd Floor</v>
      </c>
      <c r="J234" s="136" t="s">
        <v>168</v>
      </c>
      <c r="K234" s="136" t="s">
        <v>169</v>
      </c>
      <c r="L234" s="136" t="s">
        <v>174</v>
      </c>
      <c r="M234" s="136" t="str">
        <f>VLOOKUP(tbl_IO_List[[#This Row],[Instruement Tag]],tbl_Instruement_List[],2,FALSE)</f>
        <v>Coriolis Flow Transmitter</v>
      </c>
      <c r="N234" s="136" t="s">
        <v>24</v>
      </c>
      <c r="O234" s="136" t="s">
        <v>18</v>
      </c>
      <c r="P234" s="136" t="s">
        <v>172</v>
      </c>
      <c r="Q234" s="136" t="str">
        <f>VLOOKUP(tbl_IO_List[[#This Row],[Instruement Tag]],tbl_Instruement_List[],6,FALSE)</f>
        <v xml:space="preserve">Jet Cooker </v>
      </c>
      <c r="R234" s="136"/>
      <c r="S23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1,DO=0,AI=2,AO=0,Bus=0</v>
      </c>
      <c r="T234" s="136" t="str">
        <f>tbl_IO_List[[#This Row],[Instruement Tag]]&amp;"_"&amp;tbl_IO_List[[#This Row],[I/O Type]]&amp;"_"&amp;tbl_IO_List[[#This Row],[IO-Point 
(Instruement)]]</f>
        <v>FT-40222_DI_1</v>
      </c>
      <c r="U234" s="136" t="s">
        <v>8</v>
      </c>
      <c r="V234" s="136">
        <f>VLOOKUP(tbl_IO_List[[#This Row],[I/O Type]],tbl_Slot_Group[],2,FALSE)</f>
        <v>1</v>
      </c>
      <c r="W234" s="136">
        <v>1</v>
      </c>
      <c r="X234" s="136" t="str">
        <f>tbl_IO_List[[#This Row],[Chassis]]&amp;"S"&amp;TEXT(tbl_IO_List[[#This Row],[Slot]],"00")</f>
        <v>C2S01</v>
      </c>
      <c r="Y234" s="136" t="str">
        <f>tbl_IO_List[[#This Row],[Chassis]]&amp;"S"&amp;TEXT(tbl_IO_List[[#This Row],[Slot]],"00")&amp;tbl_IO_List[[#This Row],[I/O Type]]&amp;TEXT(tbl_IO_List[[#This Row],[Point]],"00")</f>
        <v>C2S01DI03</v>
      </c>
      <c r="Z234" s="136" t="str">
        <f>tbl_IO_List[[#This Row],[Chassis]]&amp;"S"&amp;TEXT(tbl_IO_List[[#This Row],[Slot]],"00")&amp;","&amp;TEXT(tbl_IO_List[[#This Row],[Point]],"00")</f>
        <v>C2S01,03</v>
      </c>
      <c r="AA234" s="136" t="str">
        <f>VLOOKUP(tbl_IO_List[[#This Row],[Column23]],tbl_RackConfig[],5,FALSE) &amp;"-"&amp;tbl_IO_List[[#This Row],[Point]]</f>
        <v>1756-IB32-3</v>
      </c>
      <c r="AB234" s="136"/>
      <c r="AC234" s="136"/>
      <c r="AD234" s="136" t="str">
        <f>tbl_IO_List[[#This Row],[I/O Type]]</f>
        <v>DI</v>
      </c>
      <c r="AE234" s="136" t="s">
        <v>1333</v>
      </c>
      <c r="AF234" s="136">
        <v>1</v>
      </c>
      <c r="AG234" s="136">
        <v>3</v>
      </c>
      <c r="AH234" s="136">
        <v>4</v>
      </c>
      <c r="AI234" s="136">
        <v>4</v>
      </c>
      <c r="AJ234" s="136">
        <v>1</v>
      </c>
      <c r="AK234" s="136">
        <v>0</v>
      </c>
      <c r="AL234" s="136">
        <v>2</v>
      </c>
      <c r="AM234" s="136">
        <v>0</v>
      </c>
      <c r="AN234" s="136">
        <v>0</v>
      </c>
      <c r="AO234" s="136"/>
      <c r="AP234" s="143" t="str">
        <f>VLOOKUP(tbl_IO_List[[#This Row],[Instruement Tag]],tbl_Instruement_List[],14,FALSE)</f>
        <v>4 - 20 mA,Pulse</v>
      </c>
      <c r="AQ234" s="143" t="str">
        <f>tbl_IO_List[[#This Row],[Chassis]]&amp;"S"&amp;tbl_IO_List[[#This Row],[Slot]]&amp;"-"&amp;tbl_IO_List[[#This Row],[Front Terminal Number]]</f>
        <v>C2S1-4</v>
      </c>
      <c r="AR234" s="141" t="s">
        <v>1861</v>
      </c>
      <c r="AS234" s="136" t="str">
        <f>tbl_IO_List[[#This Row],[Terminal Tagging]]&amp;"-"&amp;tbl_IO_List[[#This Row],[Point-Count]]</f>
        <v>P2-TBDI1-4</v>
      </c>
      <c r="AT234" s="136" t="str">
        <f>tbl_IO_List[[#This Row],[Front Terminal Tagging]]&amp;"/"&amp;tbl_IO_List[[#This Row],[Terminal Tagging-Item]]</f>
        <v>C2S1-4/P2-TBDI1-4</v>
      </c>
      <c r="AU234" s="136" t="str">
        <f>tbl_IO_List[[#This Row],[Terminal Tagging-Item]]&amp;"/"&amp;tbl_IO_List[[#This Row],[Front Terminal Tagging]]</f>
        <v>P2-TBDI1-4/C2S1-4</v>
      </c>
    </row>
    <row r="235" spans="1:47">
      <c r="A235" s="147" t="s">
        <v>1367</v>
      </c>
      <c r="B235" s="136" t="s">
        <v>168</v>
      </c>
      <c r="C235" s="136" t="str">
        <f>tbl_IO_List[[#This Row],[Column3]]</f>
        <v>C2S01,04</v>
      </c>
      <c r="D235" s="136" t="str">
        <f>tbl_IO_List[[#This Row],[Card]]</f>
        <v>1756-IB32-4</v>
      </c>
      <c r="E235" s="136" t="s">
        <v>1366</v>
      </c>
      <c r="F235" s="136" t="str">
        <f>tbl_IO_List[[#This Row],[Column23]]&amp;"-" &amp;tbl_IO_List[[#This Row],[Column52]]</f>
        <v>C2S01-X1</v>
      </c>
      <c r="G235" s="136" t="str">
        <f>tbl_IO_List[[#This Row],[PLC_Tag]]</f>
        <v>HV-40207_DI_1</v>
      </c>
      <c r="H235" s="136"/>
      <c r="I235" s="136" t="str">
        <f>VLOOKUP(tbl_IO_List[[#This Row],[Destination]],tbl_Junction[],2,FALSE)</f>
        <v>Jet Cooker 2nd Floor</v>
      </c>
      <c r="J235" s="136" t="s">
        <v>168</v>
      </c>
      <c r="K235" s="136" t="s">
        <v>169</v>
      </c>
      <c r="L235" s="136" t="s">
        <v>175</v>
      </c>
      <c r="M235" s="136" t="str">
        <f>VLOOKUP(tbl_IO_List[[#This Row],[Instruement Tag]],tbl_Instruement_List[],2,FALSE)</f>
        <v xml:space="preserve">Manual Valve With Position Switch </v>
      </c>
      <c r="N235" s="136" t="s">
        <v>24</v>
      </c>
      <c r="O235" s="136" t="s">
        <v>18</v>
      </c>
      <c r="P235" s="136" t="s">
        <v>170</v>
      </c>
      <c r="Q235" s="136" t="str">
        <f>VLOOKUP(tbl_IO_List[[#This Row],[Instruement Tag]],tbl_Instruement_List[],6,FALSE)</f>
        <v xml:space="preserve">Jet Cooker </v>
      </c>
      <c r="R235" s="136"/>
      <c r="S23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35" s="136" t="str">
        <f>tbl_IO_List[[#This Row],[Instruement Tag]]&amp;"_"&amp;tbl_IO_List[[#This Row],[I/O Type]]&amp;"_"&amp;tbl_IO_List[[#This Row],[IO-Point 
(Instruement)]]</f>
        <v>HV-40207_DI_1</v>
      </c>
      <c r="U235" s="136" t="s">
        <v>8</v>
      </c>
      <c r="V235" s="136">
        <f>VLOOKUP(tbl_IO_List[[#This Row],[I/O Type]],tbl_Slot_Group[],2,FALSE)</f>
        <v>1</v>
      </c>
      <c r="W235" s="136">
        <v>1</v>
      </c>
      <c r="X235" s="136" t="str">
        <f>tbl_IO_List[[#This Row],[Chassis]]&amp;"S"&amp;TEXT(tbl_IO_List[[#This Row],[Slot]],"00")</f>
        <v>C2S01</v>
      </c>
      <c r="Y235" s="136" t="str">
        <f>tbl_IO_List[[#This Row],[Chassis]]&amp;"S"&amp;TEXT(tbl_IO_List[[#This Row],[Slot]],"00")&amp;tbl_IO_List[[#This Row],[I/O Type]]&amp;TEXT(tbl_IO_List[[#This Row],[Point]],"00")</f>
        <v>C2S01DI04</v>
      </c>
      <c r="Z235" s="136" t="str">
        <f>tbl_IO_List[[#This Row],[Chassis]]&amp;"S"&amp;TEXT(tbl_IO_List[[#This Row],[Slot]],"00")&amp;","&amp;TEXT(tbl_IO_List[[#This Row],[Point]],"00")</f>
        <v>C2S01,04</v>
      </c>
      <c r="AA235" s="136" t="str">
        <f>VLOOKUP(tbl_IO_List[[#This Row],[Column23]],tbl_RackConfig[],5,FALSE) &amp;"-"&amp;tbl_IO_List[[#This Row],[Point]]</f>
        <v>1756-IB32-4</v>
      </c>
      <c r="AB235" s="136"/>
      <c r="AC235" s="136"/>
      <c r="AD235" s="136" t="str">
        <f>tbl_IO_List[[#This Row],[I/O Type]]</f>
        <v>DI</v>
      </c>
      <c r="AE235" s="136" t="s">
        <v>1333</v>
      </c>
      <c r="AF235" s="136">
        <v>1</v>
      </c>
      <c r="AG235" s="136">
        <v>4</v>
      </c>
      <c r="AH235" s="136">
        <v>5</v>
      </c>
      <c r="AI235" s="136">
        <v>5</v>
      </c>
      <c r="AJ235" s="136">
        <v>1</v>
      </c>
      <c r="AK235" s="136">
        <v>0</v>
      </c>
      <c r="AL235" s="136">
        <v>0</v>
      </c>
      <c r="AM235" s="136">
        <v>0</v>
      </c>
      <c r="AN235" s="136">
        <v>0</v>
      </c>
      <c r="AO235" s="136"/>
      <c r="AP235" s="143" t="str">
        <f>VLOOKUP(tbl_IO_List[[#This Row],[Instruement Tag]],tbl_Instruement_List[],14,FALSE)</f>
        <v>Dry Contact</v>
      </c>
      <c r="AQ235" s="143" t="str">
        <f>tbl_IO_List[[#This Row],[Chassis]]&amp;"S"&amp;tbl_IO_List[[#This Row],[Slot]]&amp;"-"&amp;tbl_IO_List[[#This Row],[Front Terminal Number]]</f>
        <v>C2S1-5</v>
      </c>
      <c r="AR235" s="141" t="s">
        <v>1861</v>
      </c>
      <c r="AS235" s="136" t="str">
        <f>tbl_IO_List[[#This Row],[Terminal Tagging]]&amp;"-"&amp;tbl_IO_List[[#This Row],[Point-Count]]</f>
        <v>P2-TBDI1-5</v>
      </c>
      <c r="AT235" s="136" t="str">
        <f>tbl_IO_List[[#This Row],[Front Terminal Tagging]]&amp;"/"&amp;tbl_IO_List[[#This Row],[Terminal Tagging-Item]]</f>
        <v>C2S1-5/P2-TBDI1-5</v>
      </c>
      <c r="AU235" s="136" t="str">
        <f>tbl_IO_List[[#This Row],[Terminal Tagging-Item]]&amp;"/"&amp;tbl_IO_List[[#This Row],[Front Terminal Tagging]]</f>
        <v>P2-TBDI1-5/C2S1-5</v>
      </c>
    </row>
    <row r="236" spans="1:47">
      <c r="A236" s="147" t="s">
        <v>1367</v>
      </c>
      <c r="B236" s="136" t="s">
        <v>168</v>
      </c>
      <c r="C236" s="136" t="str">
        <f>tbl_IO_List[[#This Row],[Column3]]</f>
        <v>C2S01,05</v>
      </c>
      <c r="D236" s="136" t="str">
        <f>tbl_IO_List[[#This Row],[Card]]</f>
        <v>1756-IB32-5</v>
      </c>
      <c r="E236" s="136" t="s">
        <v>1366</v>
      </c>
      <c r="F236" s="136" t="str">
        <f>tbl_IO_List[[#This Row],[Column23]]&amp;"-" &amp;tbl_IO_List[[#This Row],[Column52]]</f>
        <v>C2S01-X1</v>
      </c>
      <c r="G236" s="136" t="str">
        <f>tbl_IO_List[[#This Row],[PLC_Tag]]</f>
        <v>HV-40208_DI_1</v>
      </c>
      <c r="H236" s="136"/>
      <c r="I236" s="136" t="str">
        <f>VLOOKUP(tbl_IO_List[[#This Row],[Destination]],tbl_Junction[],2,FALSE)</f>
        <v>Jet Cooker 2nd Floor</v>
      </c>
      <c r="J236" s="136" t="s">
        <v>168</v>
      </c>
      <c r="K236" s="136" t="s">
        <v>169</v>
      </c>
      <c r="L236" s="136" t="s">
        <v>176</v>
      </c>
      <c r="M236" s="136" t="str">
        <f>VLOOKUP(tbl_IO_List[[#This Row],[Instruement Tag]],tbl_Instruement_List[],2,FALSE)</f>
        <v xml:space="preserve">Manual Valve With Position Switch </v>
      </c>
      <c r="N236" s="136" t="s">
        <v>24</v>
      </c>
      <c r="O236" s="136" t="s">
        <v>18</v>
      </c>
      <c r="P236" s="136" t="s">
        <v>170</v>
      </c>
      <c r="Q236" s="136" t="str">
        <f>VLOOKUP(tbl_IO_List[[#This Row],[Instruement Tag]],tbl_Instruement_List[],6,FALSE)</f>
        <v xml:space="preserve">Jet Cooker </v>
      </c>
      <c r="R236" s="136"/>
      <c r="S23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36" s="136" t="str">
        <f>tbl_IO_List[[#This Row],[Instruement Tag]]&amp;"_"&amp;tbl_IO_List[[#This Row],[I/O Type]]&amp;"_"&amp;tbl_IO_List[[#This Row],[IO-Point 
(Instruement)]]</f>
        <v>HV-40208_DI_1</v>
      </c>
      <c r="U236" s="136" t="s">
        <v>8</v>
      </c>
      <c r="V236" s="136">
        <f>VLOOKUP(tbl_IO_List[[#This Row],[I/O Type]],tbl_Slot_Group[],2,FALSE)</f>
        <v>1</v>
      </c>
      <c r="W236" s="136">
        <v>1</v>
      </c>
      <c r="X236" s="136" t="str">
        <f>tbl_IO_List[[#This Row],[Chassis]]&amp;"S"&amp;TEXT(tbl_IO_List[[#This Row],[Slot]],"00")</f>
        <v>C2S01</v>
      </c>
      <c r="Y236" s="136" t="str">
        <f>tbl_IO_List[[#This Row],[Chassis]]&amp;"S"&amp;TEXT(tbl_IO_List[[#This Row],[Slot]],"00")&amp;tbl_IO_List[[#This Row],[I/O Type]]&amp;TEXT(tbl_IO_List[[#This Row],[Point]],"00")</f>
        <v>C2S01DI05</v>
      </c>
      <c r="Z236" s="136" t="str">
        <f>tbl_IO_List[[#This Row],[Chassis]]&amp;"S"&amp;TEXT(tbl_IO_List[[#This Row],[Slot]],"00")&amp;","&amp;TEXT(tbl_IO_List[[#This Row],[Point]],"00")</f>
        <v>C2S01,05</v>
      </c>
      <c r="AA236" s="136" t="str">
        <f>VLOOKUP(tbl_IO_List[[#This Row],[Column23]],tbl_RackConfig[],5,FALSE) &amp;"-"&amp;tbl_IO_List[[#This Row],[Point]]</f>
        <v>1756-IB32-5</v>
      </c>
      <c r="AB236" s="136"/>
      <c r="AC236" s="136"/>
      <c r="AD236" s="136" t="str">
        <f>tbl_IO_List[[#This Row],[I/O Type]]</f>
        <v>DI</v>
      </c>
      <c r="AE236" s="136" t="s">
        <v>1333</v>
      </c>
      <c r="AF236" s="136">
        <v>1</v>
      </c>
      <c r="AG236" s="136">
        <v>5</v>
      </c>
      <c r="AH236" s="136">
        <v>6</v>
      </c>
      <c r="AI236" s="136">
        <v>6</v>
      </c>
      <c r="AJ236" s="136">
        <v>1</v>
      </c>
      <c r="AK236" s="136">
        <v>0</v>
      </c>
      <c r="AL236" s="136">
        <v>0</v>
      </c>
      <c r="AM236" s="136">
        <v>0</v>
      </c>
      <c r="AN236" s="136">
        <v>0</v>
      </c>
      <c r="AO236" s="136"/>
      <c r="AP236" s="143" t="str">
        <f>VLOOKUP(tbl_IO_List[[#This Row],[Instruement Tag]],tbl_Instruement_List[],14,FALSE)</f>
        <v>Dry Contact</v>
      </c>
      <c r="AQ236" s="143" t="str">
        <f>tbl_IO_List[[#This Row],[Chassis]]&amp;"S"&amp;tbl_IO_List[[#This Row],[Slot]]&amp;"-"&amp;tbl_IO_List[[#This Row],[Front Terminal Number]]</f>
        <v>C2S1-6</v>
      </c>
      <c r="AR236" s="141" t="s">
        <v>1861</v>
      </c>
      <c r="AS236" s="136" t="str">
        <f>tbl_IO_List[[#This Row],[Terminal Tagging]]&amp;"-"&amp;tbl_IO_List[[#This Row],[Point-Count]]</f>
        <v>P2-TBDI1-6</v>
      </c>
      <c r="AT236" s="136" t="str">
        <f>tbl_IO_List[[#This Row],[Front Terminal Tagging]]&amp;"/"&amp;tbl_IO_List[[#This Row],[Terminal Tagging-Item]]</f>
        <v>C2S1-6/P2-TBDI1-6</v>
      </c>
      <c r="AU236" s="136" t="str">
        <f>tbl_IO_List[[#This Row],[Terminal Tagging-Item]]&amp;"/"&amp;tbl_IO_List[[#This Row],[Front Terminal Tagging]]</f>
        <v>P2-TBDI1-6/C2S1-6</v>
      </c>
    </row>
    <row r="237" spans="1:47">
      <c r="A237" s="147" t="s">
        <v>1367</v>
      </c>
      <c r="B237" s="136" t="s">
        <v>168</v>
      </c>
      <c r="C237" s="136" t="str">
        <f>tbl_IO_List[[#This Row],[Column3]]</f>
        <v>C2S01,06</v>
      </c>
      <c r="D237" s="136" t="str">
        <f>tbl_IO_List[[#This Row],[Card]]</f>
        <v>1756-IB32-6</v>
      </c>
      <c r="E237" s="136" t="s">
        <v>1366</v>
      </c>
      <c r="F237" s="136" t="str">
        <f>tbl_IO_List[[#This Row],[Column23]]&amp;"-" &amp;tbl_IO_List[[#This Row],[Column52]]</f>
        <v>C2S01-X1</v>
      </c>
      <c r="G237" s="136" t="str">
        <f>tbl_IO_List[[#This Row],[PLC_Tag]]</f>
        <v>XV-40203F_DI_1</v>
      </c>
      <c r="H237" s="136"/>
      <c r="I237" s="136" t="str">
        <f>VLOOKUP(tbl_IO_List[[#This Row],[Destination]],tbl_Junction[],2,FALSE)</f>
        <v>Jet Cooker 2nd Floor</v>
      </c>
      <c r="J237" s="136" t="s">
        <v>168</v>
      </c>
      <c r="K237" s="136" t="s">
        <v>169</v>
      </c>
      <c r="L237" s="136" t="s">
        <v>181</v>
      </c>
      <c r="M237" s="136">
        <f>VLOOKUP(tbl_IO_List[[#This Row],[Instruement Tag]],tbl_Instruement_List[],2,FALSE)</f>
        <v>0</v>
      </c>
      <c r="N237" s="136" t="s">
        <v>24</v>
      </c>
      <c r="O237" s="136" t="s">
        <v>18</v>
      </c>
      <c r="P237" s="136" t="s">
        <v>172</v>
      </c>
      <c r="Q237" s="136" t="str">
        <f>VLOOKUP(tbl_IO_List[[#This Row],[Instruement Tag]],tbl_Instruement_List[],6,FALSE)</f>
        <v xml:space="preserve">Jet Cooker </v>
      </c>
      <c r="R237" s="136"/>
      <c r="S23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237" s="136" t="str">
        <f>tbl_IO_List[[#This Row],[Instruement Tag]]&amp;"_"&amp;tbl_IO_List[[#This Row],[I/O Type]]&amp;"_"&amp;tbl_IO_List[[#This Row],[IO-Point 
(Instruement)]]</f>
        <v>XV-40203F_DI_1</v>
      </c>
      <c r="U237" s="136" t="s">
        <v>8</v>
      </c>
      <c r="V237" s="136">
        <f>VLOOKUP(tbl_IO_List[[#This Row],[I/O Type]],tbl_Slot_Group[],2,FALSE)</f>
        <v>1</v>
      </c>
      <c r="W237" s="136">
        <v>1</v>
      </c>
      <c r="X237" s="136" t="str">
        <f>tbl_IO_List[[#This Row],[Chassis]]&amp;"S"&amp;TEXT(tbl_IO_List[[#This Row],[Slot]],"00")</f>
        <v>C2S01</v>
      </c>
      <c r="Y237" s="136" t="str">
        <f>tbl_IO_List[[#This Row],[Chassis]]&amp;"S"&amp;TEXT(tbl_IO_List[[#This Row],[Slot]],"00")&amp;tbl_IO_List[[#This Row],[I/O Type]]&amp;TEXT(tbl_IO_List[[#This Row],[Point]],"00")</f>
        <v>C2S01DI06</v>
      </c>
      <c r="Z237" s="136" t="str">
        <f>tbl_IO_List[[#This Row],[Chassis]]&amp;"S"&amp;TEXT(tbl_IO_List[[#This Row],[Slot]],"00")&amp;","&amp;TEXT(tbl_IO_List[[#This Row],[Point]],"00")</f>
        <v>C2S01,06</v>
      </c>
      <c r="AA237" s="136" t="str">
        <f>VLOOKUP(tbl_IO_List[[#This Row],[Column23]],tbl_RackConfig[],5,FALSE) &amp;"-"&amp;tbl_IO_List[[#This Row],[Point]]</f>
        <v>1756-IB32-6</v>
      </c>
      <c r="AB237" s="136"/>
      <c r="AC237" s="136"/>
      <c r="AD237" s="136" t="str">
        <f>tbl_IO_List[[#This Row],[I/O Type]]</f>
        <v>DI</v>
      </c>
      <c r="AE237" s="136" t="s">
        <v>1333</v>
      </c>
      <c r="AF237" s="136">
        <v>1</v>
      </c>
      <c r="AG237" s="136">
        <v>6</v>
      </c>
      <c r="AH237" s="136">
        <v>7</v>
      </c>
      <c r="AI237" s="136">
        <v>7</v>
      </c>
      <c r="AJ237" s="136">
        <v>2</v>
      </c>
      <c r="AK237" s="136">
        <v>1</v>
      </c>
      <c r="AL237" s="136">
        <v>0</v>
      </c>
      <c r="AM237" s="136">
        <v>0</v>
      </c>
      <c r="AN237" s="136">
        <v>0</v>
      </c>
      <c r="AO237" s="136"/>
      <c r="AP237" s="143" t="str">
        <f>VLOOKUP(tbl_IO_List[[#This Row],[Instruement Tag]],tbl_Instruement_List[],14,FALSE)</f>
        <v>24 VDC energized</v>
      </c>
      <c r="AQ237" s="143" t="str">
        <f>tbl_IO_List[[#This Row],[Chassis]]&amp;"S"&amp;tbl_IO_List[[#This Row],[Slot]]&amp;"-"&amp;tbl_IO_List[[#This Row],[Front Terminal Number]]</f>
        <v>C2S1-7</v>
      </c>
      <c r="AR237" s="141" t="s">
        <v>1861</v>
      </c>
      <c r="AS237" s="136" t="str">
        <f>tbl_IO_List[[#This Row],[Terminal Tagging]]&amp;"-"&amp;tbl_IO_List[[#This Row],[Point-Count]]</f>
        <v>P2-TBDI1-7</v>
      </c>
      <c r="AT237" s="136" t="str">
        <f>tbl_IO_List[[#This Row],[Front Terminal Tagging]]&amp;"/"&amp;tbl_IO_List[[#This Row],[Terminal Tagging-Item]]</f>
        <v>C2S1-7/P2-TBDI1-7</v>
      </c>
      <c r="AU237" s="136" t="str">
        <f>tbl_IO_List[[#This Row],[Terminal Tagging-Item]]&amp;"/"&amp;tbl_IO_List[[#This Row],[Front Terminal Tagging]]</f>
        <v>P2-TBDI1-7/C2S1-7</v>
      </c>
    </row>
    <row r="238" spans="1:47">
      <c r="A238" s="147" t="s">
        <v>1367</v>
      </c>
      <c r="B238" s="136" t="s">
        <v>168</v>
      </c>
      <c r="C238" s="136" t="str">
        <f>tbl_IO_List[[#This Row],[Column3]]</f>
        <v>C2S01,07</v>
      </c>
      <c r="D238" s="136" t="str">
        <f>tbl_IO_List[[#This Row],[Card]]</f>
        <v>1756-IB32-7</v>
      </c>
      <c r="E238" s="136" t="s">
        <v>1366</v>
      </c>
      <c r="F238" s="136" t="str">
        <f>tbl_IO_List[[#This Row],[Column23]]&amp;"-" &amp;tbl_IO_List[[#This Row],[Column52]]</f>
        <v>C2S01-X1</v>
      </c>
      <c r="G238" s="136" t="str">
        <f>tbl_IO_List[[#This Row],[PLC_Tag]]</f>
        <v>XV-40203F_DI_2</v>
      </c>
      <c r="H238" s="136"/>
      <c r="I238" s="136" t="str">
        <f>VLOOKUP(tbl_IO_List[[#This Row],[Destination]],tbl_Junction[],2,FALSE)</f>
        <v>Jet Cooker 2nd Floor</v>
      </c>
      <c r="J238" s="136" t="s">
        <v>168</v>
      </c>
      <c r="K238" s="136" t="s">
        <v>169</v>
      </c>
      <c r="L238" s="136" t="s">
        <v>181</v>
      </c>
      <c r="M238" s="136">
        <f>VLOOKUP(tbl_IO_List[[#This Row],[Instruement Tag]],tbl_Instruement_List[],2,FALSE)</f>
        <v>0</v>
      </c>
      <c r="N238" s="136" t="s">
        <v>24</v>
      </c>
      <c r="O238" s="136" t="s">
        <v>18</v>
      </c>
      <c r="P238" s="136" t="s">
        <v>172</v>
      </c>
      <c r="Q238" s="136" t="str">
        <f>VLOOKUP(tbl_IO_List[[#This Row],[Instruement Tag]],tbl_Instruement_List[],6,FALSE)</f>
        <v xml:space="preserve">Jet Cooker </v>
      </c>
      <c r="R238" s="136"/>
      <c r="S23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238" s="136" t="str">
        <f>tbl_IO_List[[#This Row],[Instruement Tag]]&amp;"_"&amp;tbl_IO_List[[#This Row],[I/O Type]]&amp;"_"&amp;tbl_IO_List[[#This Row],[IO-Point 
(Instruement)]]</f>
        <v>XV-40203F_DI_2</v>
      </c>
      <c r="U238" s="136" t="s">
        <v>8</v>
      </c>
      <c r="V238" s="136">
        <f>VLOOKUP(tbl_IO_List[[#This Row],[I/O Type]],tbl_Slot_Group[],2,FALSE)</f>
        <v>1</v>
      </c>
      <c r="W238" s="136">
        <v>2</v>
      </c>
      <c r="X238" s="136" t="str">
        <f>tbl_IO_List[[#This Row],[Chassis]]&amp;"S"&amp;TEXT(tbl_IO_List[[#This Row],[Slot]],"00")</f>
        <v>C2S01</v>
      </c>
      <c r="Y238" s="136" t="str">
        <f>tbl_IO_List[[#This Row],[Chassis]]&amp;"S"&amp;TEXT(tbl_IO_List[[#This Row],[Slot]],"00")&amp;tbl_IO_List[[#This Row],[I/O Type]]&amp;TEXT(tbl_IO_List[[#This Row],[Point]],"00")</f>
        <v>C2S01DI07</v>
      </c>
      <c r="Z238" s="136" t="str">
        <f>tbl_IO_List[[#This Row],[Chassis]]&amp;"S"&amp;TEXT(tbl_IO_List[[#This Row],[Slot]],"00")&amp;","&amp;TEXT(tbl_IO_List[[#This Row],[Point]],"00")</f>
        <v>C2S01,07</v>
      </c>
      <c r="AA238" s="136" t="str">
        <f>VLOOKUP(tbl_IO_List[[#This Row],[Column23]],tbl_RackConfig[],5,FALSE) &amp;"-"&amp;tbl_IO_List[[#This Row],[Point]]</f>
        <v>1756-IB32-7</v>
      </c>
      <c r="AB238" s="136"/>
      <c r="AC238" s="136"/>
      <c r="AD238" s="136" t="str">
        <f>tbl_IO_List[[#This Row],[I/O Type]]</f>
        <v>DI</v>
      </c>
      <c r="AE238" s="136" t="s">
        <v>1333</v>
      </c>
      <c r="AF238" s="136">
        <v>1</v>
      </c>
      <c r="AG238" s="136">
        <v>7</v>
      </c>
      <c r="AH238" s="136">
        <v>8</v>
      </c>
      <c r="AI238" s="136">
        <v>8</v>
      </c>
      <c r="AJ238" s="136">
        <v>2</v>
      </c>
      <c r="AK238" s="136">
        <v>1</v>
      </c>
      <c r="AL238" s="136">
        <v>0</v>
      </c>
      <c r="AM238" s="136">
        <v>0</v>
      </c>
      <c r="AN238" s="136">
        <v>0</v>
      </c>
      <c r="AO238" s="136"/>
      <c r="AP238" s="143" t="str">
        <f>VLOOKUP(tbl_IO_List[[#This Row],[Instruement Tag]],tbl_Instruement_List[],14,FALSE)</f>
        <v>24 VDC energized</v>
      </c>
      <c r="AQ238" s="143" t="str">
        <f>tbl_IO_List[[#This Row],[Chassis]]&amp;"S"&amp;tbl_IO_List[[#This Row],[Slot]]&amp;"-"&amp;tbl_IO_List[[#This Row],[Front Terminal Number]]</f>
        <v>C2S1-8</v>
      </c>
      <c r="AR238" s="141" t="s">
        <v>1861</v>
      </c>
      <c r="AS238" s="136" t="str">
        <f>tbl_IO_List[[#This Row],[Terminal Tagging]]&amp;"-"&amp;tbl_IO_List[[#This Row],[Point-Count]]</f>
        <v>P2-TBDI1-8</v>
      </c>
      <c r="AT238" s="136" t="str">
        <f>tbl_IO_List[[#This Row],[Front Terminal Tagging]]&amp;"/"&amp;tbl_IO_List[[#This Row],[Terminal Tagging-Item]]</f>
        <v>C2S1-8/P2-TBDI1-8</v>
      </c>
      <c r="AU238" s="136" t="str">
        <f>tbl_IO_List[[#This Row],[Terminal Tagging-Item]]&amp;"/"&amp;tbl_IO_List[[#This Row],[Front Terminal Tagging]]</f>
        <v>P2-TBDI1-8/C2S1-8</v>
      </c>
    </row>
    <row r="239" spans="1:47">
      <c r="A239" s="147" t="s">
        <v>1367</v>
      </c>
      <c r="B239" s="136" t="s">
        <v>168</v>
      </c>
      <c r="C239" s="136" t="str">
        <f>tbl_IO_List[[#This Row],[Column3]]</f>
        <v>C2S01,08</v>
      </c>
      <c r="D239" s="136" t="str">
        <f>tbl_IO_List[[#This Row],[Card]]</f>
        <v>1756-IB32-8</v>
      </c>
      <c r="E239" s="136" t="s">
        <v>1366</v>
      </c>
      <c r="F239" s="136" t="str">
        <f>tbl_IO_List[[#This Row],[Column23]]&amp;"-" &amp;tbl_IO_List[[#This Row],[Column52]]</f>
        <v>C2S01-X1</v>
      </c>
      <c r="G239" s="136" t="str">
        <f>tbl_IO_List[[#This Row],[PLC_Tag]]</f>
        <v>XV-40204B_DI_1</v>
      </c>
      <c r="H239" s="136"/>
      <c r="I239" s="136" t="str">
        <f>VLOOKUP(tbl_IO_List[[#This Row],[Destination]],tbl_Junction[],2,FALSE)</f>
        <v>Jet Cooker 2nd Floor</v>
      </c>
      <c r="J239" s="136" t="s">
        <v>168</v>
      </c>
      <c r="K239" s="136" t="s">
        <v>169</v>
      </c>
      <c r="L239" s="136" t="s">
        <v>182</v>
      </c>
      <c r="M239" s="136">
        <f>VLOOKUP(tbl_IO_List[[#This Row],[Instruement Tag]],tbl_Instruement_List[],2,FALSE)</f>
        <v>0</v>
      </c>
      <c r="N239" s="136" t="s">
        <v>24</v>
      </c>
      <c r="O239" s="136" t="s">
        <v>18</v>
      </c>
      <c r="P239" s="136" t="s">
        <v>170</v>
      </c>
      <c r="Q239" s="136" t="str">
        <f>VLOOKUP(tbl_IO_List[[#This Row],[Instruement Tag]],tbl_Instruement_List[],6,FALSE)</f>
        <v xml:space="preserve">Jet Cooker </v>
      </c>
      <c r="R239" s="136"/>
      <c r="S23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239" s="136" t="str">
        <f>tbl_IO_List[[#This Row],[Instruement Tag]]&amp;"_"&amp;tbl_IO_List[[#This Row],[I/O Type]]&amp;"_"&amp;tbl_IO_List[[#This Row],[IO-Point 
(Instruement)]]</f>
        <v>XV-40204B_DI_1</v>
      </c>
      <c r="U239" s="136" t="s">
        <v>8</v>
      </c>
      <c r="V239" s="136">
        <f>VLOOKUP(tbl_IO_List[[#This Row],[I/O Type]],tbl_Slot_Group[],2,FALSE)</f>
        <v>1</v>
      </c>
      <c r="W239" s="136">
        <v>1</v>
      </c>
      <c r="X239" s="136" t="str">
        <f>tbl_IO_List[[#This Row],[Chassis]]&amp;"S"&amp;TEXT(tbl_IO_List[[#This Row],[Slot]],"00")</f>
        <v>C2S01</v>
      </c>
      <c r="Y239" s="136" t="str">
        <f>tbl_IO_List[[#This Row],[Chassis]]&amp;"S"&amp;TEXT(tbl_IO_List[[#This Row],[Slot]],"00")&amp;tbl_IO_List[[#This Row],[I/O Type]]&amp;TEXT(tbl_IO_List[[#This Row],[Point]],"00")</f>
        <v>C2S01DI08</v>
      </c>
      <c r="Z239" s="136" t="str">
        <f>tbl_IO_List[[#This Row],[Chassis]]&amp;"S"&amp;TEXT(tbl_IO_List[[#This Row],[Slot]],"00")&amp;","&amp;TEXT(tbl_IO_List[[#This Row],[Point]],"00")</f>
        <v>C2S01,08</v>
      </c>
      <c r="AA239" s="136" t="str">
        <f>VLOOKUP(tbl_IO_List[[#This Row],[Column23]],tbl_RackConfig[],5,FALSE) &amp;"-"&amp;tbl_IO_List[[#This Row],[Point]]</f>
        <v>1756-IB32-8</v>
      </c>
      <c r="AB239" s="136"/>
      <c r="AC239" s="136"/>
      <c r="AD239" s="136" t="str">
        <f>tbl_IO_List[[#This Row],[I/O Type]]</f>
        <v>DI</v>
      </c>
      <c r="AE239" s="136" t="s">
        <v>1333</v>
      </c>
      <c r="AF239" s="136">
        <v>1</v>
      </c>
      <c r="AG239" s="136">
        <v>8</v>
      </c>
      <c r="AH239" s="136">
        <v>9</v>
      </c>
      <c r="AI239" s="136">
        <v>9</v>
      </c>
      <c r="AJ239" s="136">
        <v>2</v>
      </c>
      <c r="AK239" s="136">
        <v>1</v>
      </c>
      <c r="AL239" s="136">
        <v>0</v>
      </c>
      <c r="AM239" s="136">
        <v>0</v>
      </c>
      <c r="AN239" s="136">
        <v>0</v>
      </c>
      <c r="AO239" s="136"/>
      <c r="AP239" s="143" t="str">
        <f>VLOOKUP(tbl_IO_List[[#This Row],[Instruement Tag]],tbl_Instruement_List[],14,FALSE)</f>
        <v>24 VDC energized</v>
      </c>
      <c r="AQ239" s="143" t="str">
        <f>tbl_IO_List[[#This Row],[Chassis]]&amp;"S"&amp;tbl_IO_List[[#This Row],[Slot]]&amp;"-"&amp;tbl_IO_List[[#This Row],[Front Terminal Number]]</f>
        <v>C2S1-9</v>
      </c>
      <c r="AR239" s="141" t="s">
        <v>1861</v>
      </c>
      <c r="AS239" s="136" t="str">
        <f>tbl_IO_List[[#This Row],[Terminal Tagging]]&amp;"-"&amp;tbl_IO_List[[#This Row],[Point-Count]]</f>
        <v>P2-TBDI1-9</v>
      </c>
      <c r="AT239" s="136" t="str">
        <f>tbl_IO_List[[#This Row],[Front Terminal Tagging]]&amp;"/"&amp;tbl_IO_List[[#This Row],[Terminal Tagging-Item]]</f>
        <v>C2S1-9/P2-TBDI1-9</v>
      </c>
      <c r="AU239" s="136" t="str">
        <f>tbl_IO_List[[#This Row],[Terminal Tagging-Item]]&amp;"/"&amp;tbl_IO_List[[#This Row],[Front Terminal Tagging]]</f>
        <v>P2-TBDI1-9/C2S1-9</v>
      </c>
    </row>
    <row r="240" spans="1:47">
      <c r="A240" s="147" t="s">
        <v>1367</v>
      </c>
      <c r="B240" s="136" t="s">
        <v>168</v>
      </c>
      <c r="C240" s="136" t="str">
        <f>tbl_IO_List[[#This Row],[Column3]]</f>
        <v>C2S01,09</v>
      </c>
      <c r="D240" s="136" t="str">
        <f>tbl_IO_List[[#This Row],[Card]]</f>
        <v>1756-IB32-9</v>
      </c>
      <c r="E240" s="136" t="s">
        <v>1366</v>
      </c>
      <c r="F240" s="136" t="str">
        <f>tbl_IO_List[[#This Row],[Column23]]&amp;"-" &amp;tbl_IO_List[[#This Row],[Column52]]</f>
        <v>C2S01-X1</v>
      </c>
      <c r="G240" s="136" t="str">
        <f>tbl_IO_List[[#This Row],[PLC_Tag]]</f>
        <v>XV-40204B_DI_2</v>
      </c>
      <c r="H240" s="136"/>
      <c r="I240" s="136" t="str">
        <f>VLOOKUP(tbl_IO_List[[#This Row],[Destination]],tbl_Junction[],2,FALSE)</f>
        <v>Jet Cooker 2nd Floor</v>
      </c>
      <c r="J240" s="136" t="s">
        <v>168</v>
      </c>
      <c r="K240" s="136" t="s">
        <v>169</v>
      </c>
      <c r="L240" s="136" t="s">
        <v>182</v>
      </c>
      <c r="M240" s="136">
        <f>VLOOKUP(tbl_IO_List[[#This Row],[Instruement Tag]],tbl_Instruement_List[],2,FALSE)</f>
        <v>0</v>
      </c>
      <c r="N240" s="136" t="s">
        <v>24</v>
      </c>
      <c r="O240" s="136" t="s">
        <v>18</v>
      </c>
      <c r="P240" s="136" t="s">
        <v>170</v>
      </c>
      <c r="Q240" s="136" t="str">
        <f>VLOOKUP(tbl_IO_List[[#This Row],[Instruement Tag]],tbl_Instruement_List[],6,FALSE)</f>
        <v xml:space="preserve">Jet Cooker </v>
      </c>
      <c r="R240" s="136"/>
      <c r="S24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240" s="136" t="str">
        <f>tbl_IO_List[[#This Row],[Instruement Tag]]&amp;"_"&amp;tbl_IO_List[[#This Row],[I/O Type]]&amp;"_"&amp;tbl_IO_List[[#This Row],[IO-Point 
(Instruement)]]</f>
        <v>XV-40204B_DI_2</v>
      </c>
      <c r="U240" s="136" t="s">
        <v>8</v>
      </c>
      <c r="V240" s="136">
        <f>VLOOKUP(tbl_IO_List[[#This Row],[I/O Type]],tbl_Slot_Group[],2,FALSE)</f>
        <v>1</v>
      </c>
      <c r="W240" s="136">
        <v>2</v>
      </c>
      <c r="X240" s="136" t="str">
        <f>tbl_IO_List[[#This Row],[Chassis]]&amp;"S"&amp;TEXT(tbl_IO_List[[#This Row],[Slot]],"00")</f>
        <v>C2S01</v>
      </c>
      <c r="Y240" s="136" t="str">
        <f>tbl_IO_List[[#This Row],[Chassis]]&amp;"S"&amp;TEXT(tbl_IO_List[[#This Row],[Slot]],"00")&amp;tbl_IO_List[[#This Row],[I/O Type]]&amp;TEXT(tbl_IO_List[[#This Row],[Point]],"00")</f>
        <v>C2S01DI09</v>
      </c>
      <c r="Z240" s="136" t="str">
        <f>tbl_IO_List[[#This Row],[Chassis]]&amp;"S"&amp;TEXT(tbl_IO_List[[#This Row],[Slot]],"00")&amp;","&amp;TEXT(tbl_IO_List[[#This Row],[Point]],"00")</f>
        <v>C2S01,09</v>
      </c>
      <c r="AA240" s="136" t="str">
        <f>VLOOKUP(tbl_IO_List[[#This Row],[Column23]],tbl_RackConfig[],5,FALSE) &amp;"-"&amp;tbl_IO_List[[#This Row],[Point]]</f>
        <v>1756-IB32-9</v>
      </c>
      <c r="AB240" s="136"/>
      <c r="AC240" s="136"/>
      <c r="AD240" s="136" t="str">
        <f>tbl_IO_List[[#This Row],[I/O Type]]</f>
        <v>DI</v>
      </c>
      <c r="AE240" s="136" t="s">
        <v>1333</v>
      </c>
      <c r="AF240" s="136">
        <v>1</v>
      </c>
      <c r="AG240" s="136">
        <v>9</v>
      </c>
      <c r="AH240" s="136">
        <v>10</v>
      </c>
      <c r="AI240" s="136">
        <v>10</v>
      </c>
      <c r="AJ240" s="136">
        <v>2</v>
      </c>
      <c r="AK240" s="136">
        <v>1</v>
      </c>
      <c r="AL240" s="136">
        <v>0</v>
      </c>
      <c r="AM240" s="136">
        <v>0</v>
      </c>
      <c r="AN240" s="136">
        <v>0</v>
      </c>
      <c r="AO240" s="136"/>
      <c r="AP240" s="143" t="str">
        <f>VLOOKUP(tbl_IO_List[[#This Row],[Instruement Tag]],tbl_Instruement_List[],14,FALSE)</f>
        <v>24 VDC energized</v>
      </c>
      <c r="AQ240" s="143" t="str">
        <f>tbl_IO_List[[#This Row],[Chassis]]&amp;"S"&amp;tbl_IO_List[[#This Row],[Slot]]&amp;"-"&amp;tbl_IO_List[[#This Row],[Front Terminal Number]]</f>
        <v>C2S1-10</v>
      </c>
      <c r="AR240" s="141" t="s">
        <v>1861</v>
      </c>
      <c r="AS240" s="136" t="str">
        <f>tbl_IO_List[[#This Row],[Terminal Tagging]]&amp;"-"&amp;tbl_IO_List[[#This Row],[Point-Count]]</f>
        <v>P2-TBDI1-10</v>
      </c>
      <c r="AT240" s="136" t="str">
        <f>tbl_IO_List[[#This Row],[Front Terminal Tagging]]&amp;"/"&amp;tbl_IO_List[[#This Row],[Terminal Tagging-Item]]</f>
        <v>C2S1-10/P2-TBDI1-10</v>
      </c>
      <c r="AU240" s="136" t="str">
        <f>tbl_IO_List[[#This Row],[Terminal Tagging-Item]]&amp;"/"&amp;tbl_IO_List[[#This Row],[Front Terminal Tagging]]</f>
        <v>P2-TBDI1-10/C2S1-10</v>
      </c>
    </row>
    <row r="241" spans="1:47">
      <c r="A241" s="147" t="s">
        <v>1367</v>
      </c>
      <c r="B241" s="136" t="s">
        <v>168</v>
      </c>
      <c r="C241" s="136" t="str">
        <f>tbl_IO_List[[#This Row],[Column3]]</f>
        <v>C2S01,10</v>
      </c>
      <c r="D241" s="136" t="str">
        <f>tbl_IO_List[[#This Row],[Card]]</f>
        <v>1756-IB32-10</v>
      </c>
      <c r="E241" s="136" t="s">
        <v>1366</v>
      </c>
      <c r="F241" s="136" t="str">
        <f>tbl_IO_List[[#This Row],[Column23]]&amp;"-" &amp;tbl_IO_List[[#This Row],[Column52]]</f>
        <v>C2S01-X1</v>
      </c>
      <c r="G241" s="136" t="str">
        <f>tbl_IO_List[[#This Row],[PLC_Tag]]</f>
        <v>XV-40204C_DI_1</v>
      </c>
      <c r="H241" s="136"/>
      <c r="I241" s="136" t="str">
        <f>VLOOKUP(tbl_IO_List[[#This Row],[Destination]],tbl_Junction[],2,FALSE)</f>
        <v>Jet Cooker 2nd Floor</v>
      </c>
      <c r="J241" s="136" t="s">
        <v>168</v>
      </c>
      <c r="K241" s="136" t="s">
        <v>169</v>
      </c>
      <c r="L241" s="136" t="s">
        <v>183</v>
      </c>
      <c r="M241" s="136">
        <f>VLOOKUP(tbl_IO_List[[#This Row],[Instruement Tag]],tbl_Instruement_List[],2,FALSE)</f>
        <v>0</v>
      </c>
      <c r="N241" s="136" t="s">
        <v>24</v>
      </c>
      <c r="O241" s="136" t="s">
        <v>18</v>
      </c>
      <c r="P241" s="136" t="s">
        <v>170</v>
      </c>
      <c r="Q241" s="136" t="str">
        <f>VLOOKUP(tbl_IO_List[[#This Row],[Instruement Tag]],tbl_Instruement_List[],6,FALSE)</f>
        <v xml:space="preserve">Jet Cooker </v>
      </c>
      <c r="R241" s="136"/>
      <c r="S24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241" s="136" t="str">
        <f>tbl_IO_List[[#This Row],[Instruement Tag]]&amp;"_"&amp;tbl_IO_List[[#This Row],[I/O Type]]&amp;"_"&amp;tbl_IO_List[[#This Row],[IO-Point 
(Instruement)]]</f>
        <v>XV-40204C_DI_1</v>
      </c>
      <c r="U241" s="136" t="s">
        <v>8</v>
      </c>
      <c r="V241" s="136">
        <f>VLOOKUP(tbl_IO_List[[#This Row],[I/O Type]],tbl_Slot_Group[],2,FALSE)</f>
        <v>1</v>
      </c>
      <c r="W241" s="136">
        <v>1</v>
      </c>
      <c r="X241" s="136" t="str">
        <f>tbl_IO_List[[#This Row],[Chassis]]&amp;"S"&amp;TEXT(tbl_IO_List[[#This Row],[Slot]],"00")</f>
        <v>C2S01</v>
      </c>
      <c r="Y241" s="136" t="str">
        <f>tbl_IO_List[[#This Row],[Chassis]]&amp;"S"&amp;TEXT(tbl_IO_List[[#This Row],[Slot]],"00")&amp;tbl_IO_List[[#This Row],[I/O Type]]&amp;TEXT(tbl_IO_List[[#This Row],[Point]],"00")</f>
        <v>C2S01DI10</v>
      </c>
      <c r="Z241" s="136" t="str">
        <f>tbl_IO_List[[#This Row],[Chassis]]&amp;"S"&amp;TEXT(tbl_IO_List[[#This Row],[Slot]],"00")&amp;","&amp;TEXT(tbl_IO_List[[#This Row],[Point]],"00")</f>
        <v>C2S01,10</v>
      </c>
      <c r="AA241" s="136" t="str">
        <f>VLOOKUP(tbl_IO_List[[#This Row],[Column23]],tbl_RackConfig[],5,FALSE) &amp;"-"&amp;tbl_IO_List[[#This Row],[Point]]</f>
        <v>1756-IB32-10</v>
      </c>
      <c r="AB241" s="136"/>
      <c r="AC241" s="136"/>
      <c r="AD241" s="136" t="str">
        <f>tbl_IO_List[[#This Row],[I/O Type]]</f>
        <v>DI</v>
      </c>
      <c r="AE241" s="136" t="s">
        <v>1333</v>
      </c>
      <c r="AF241" s="136">
        <v>1</v>
      </c>
      <c r="AG241" s="136">
        <v>10</v>
      </c>
      <c r="AH241" s="136">
        <v>11</v>
      </c>
      <c r="AI241" s="136">
        <v>11</v>
      </c>
      <c r="AJ241" s="136">
        <v>2</v>
      </c>
      <c r="AK241" s="136">
        <v>1</v>
      </c>
      <c r="AL241" s="136">
        <v>0</v>
      </c>
      <c r="AM241" s="136">
        <v>0</v>
      </c>
      <c r="AN241" s="136">
        <v>0</v>
      </c>
      <c r="AO241" s="136"/>
      <c r="AP241" s="143" t="str">
        <f>VLOOKUP(tbl_IO_List[[#This Row],[Instruement Tag]],tbl_Instruement_List[],14,FALSE)</f>
        <v>24 VDC energized</v>
      </c>
      <c r="AQ241" s="143" t="str">
        <f>tbl_IO_List[[#This Row],[Chassis]]&amp;"S"&amp;tbl_IO_List[[#This Row],[Slot]]&amp;"-"&amp;tbl_IO_List[[#This Row],[Front Terminal Number]]</f>
        <v>C2S1-11</v>
      </c>
      <c r="AR241" s="141" t="s">
        <v>1861</v>
      </c>
      <c r="AS241" s="136" t="str">
        <f>tbl_IO_List[[#This Row],[Terminal Tagging]]&amp;"-"&amp;tbl_IO_List[[#This Row],[Point-Count]]</f>
        <v>P2-TBDI1-11</v>
      </c>
      <c r="AT241" s="136" t="str">
        <f>tbl_IO_List[[#This Row],[Front Terminal Tagging]]&amp;"/"&amp;tbl_IO_List[[#This Row],[Terminal Tagging-Item]]</f>
        <v>C2S1-11/P2-TBDI1-11</v>
      </c>
      <c r="AU241" s="136" t="str">
        <f>tbl_IO_List[[#This Row],[Terminal Tagging-Item]]&amp;"/"&amp;tbl_IO_List[[#This Row],[Front Terminal Tagging]]</f>
        <v>P2-TBDI1-11/C2S1-11</v>
      </c>
    </row>
    <row r="242" spans="1:47">
      <c r="A242" s="147" t="s">
        <v>1367</v>
      </c>
      <c r="B242" s="136" t="s">
        <v>168</v>
      </c>
      <c r="C242" s="136" t="str">
        <f>tbl_IO_List[[#This Row],[Column3]]</f>
        <v>C2S01,11</v>
      </c>
      <c r="D242" s="136" t="str">
        <f>tbl_IO_List[[#This Row],[Card]]</f>
        <v>1756-IB32-11</v>
      </c>
      <c r="E242" s="136" t="s">
        <v>1366</v>
      </c>
      <c r="F242" s="136" t="str">
        <f>tbl_IO_List[[#This Row],[Column23]]&amp;"-" &amp;tbl_IO_List[[#This Row],[Column52]]</f>
        <v>C2S01-X1</v>
      </c>
      <c r="G242" s="136" t="str">
        <f>tbl_IO_List[[#This Row],[PLC_Tag]]</f>
        <v>XV-40204C_DI_2</v>
      </c>
      <c r="H242" s="136"/>
      <c r="I242" s="136" t="str">
        <f>VLOOKUP(tbl_IO_List[[#This Row],[Destination]],tbl_Junction[],2,FALSE)</f>
        <v>Jet Cooker 2nd Floor</v>
      </c>
      <c r="J242" s="136" t="s">
        <v>168</v>
      </c>
      <c r="K242" s="136" t="s">
        <v>169</v>
      </c>
      <c r="L242" s="136" t="s">
        <v>183</v>
      </c>
      <c r="M242" s="136">
        <f>VLOOKUP(tbl_IO_List[[#This Row],[Instruement Tag]],tbl_Instruement_List[],2,FALSE)</f>
        <v>0</v>
      </c>
      <c r="N242" s="136" t="s">
        <v>24</v>
      </c>
      <c r="O242" s="136" t="s">
        <v>18</v>
      </c>
      <c r="P242" s="136" t="s">
        <v>170</v>
      </c>
      <c r="Q242" s="136" t="str">
        <f>VLOOKUP(tbl_IO_List[[#This Row],[Instruement Tag]],tbl_Instruement_List[],6,FALSE)</f>
        <v xml:space="preserve">Jet Cooker </v>
      </c>
      <c r="R242" s="136"/>
      <c r="S24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242" s="136" t="str">
        <f>tbl_IO_List[[#This Row],[Instruement Tag]]&amp;"_"&amp;tbl_IO_List[[#This Row],[I/O Type]]&amp;"_"&amp;tbl_IO_List[[#This Row],[IO-Point 
(Instruement)]]</f>
        <v>XV-40204C_DI_2</v>
      </c>
      <c r="U242" s="136" t="s">
        <v>8</v>
      </c>
      <c r="V242" s="136">
        <f>VLOOKUP(tbl_IO_List[[#This Row],[I/O Type]],tbl_Slot_Group[],2,FALSE)</f>
        <v>1</v>
      </c>
      <c r="W242" s="136">
        <v>2</v>
      </c>
      <c r="X242" s="136" t="str">
        <f>tbl_IO_List[[#This Row],[Chassis]]&amp;"S"&amp;TEXT(tbl_IO_List[[#This Row],[Slot]],"00")</f>
        <v>C2S01</v>
      </c>
      <c r="Y242" s="136" t="str">
        <f>tbl_IO_List[[#This Row],[Chassis]]&amp;"S"&amp;TEXT(tbl_IO_List[[#This Row],[Slot]],"00")&amp;tbl_IO_List[[#This Row],[I/O Type]]&amp;TEXT(tbl_IO_List[[#This Row],[Point]],"00")</f>
        <v>C2S01DI11</v>
      </c>
      <c r="Z242" s="136" t="str">
        <f>tbl_IO_List[[#This Row],[Chassis]]&amp;"S"&amp;TEXT(tbl_IO_List[[#This Row],[Slot]],"00")&amp;","&amp;TEXT(tbl_IO_List[[#This Row],[Point]],"00")</f>
        <v>C2S01,11</v>
      </c>
      <c r="AA242" s="136" t="str">
        <f>VLOOKUP(tbl_IO_List[[#This Row],[Column23]],tbl_RackConfig[],5,FALSE) &amp;"-"&amp;tbl_IO_List[[#This Row],[Point]]</f>
        <v>1756-IB32-11</v>
      </c>
      <c r="AB242" s="136"/>
      <c r="AC242" s="136"/>
      <c r="AD242" s="136" t="str">
        <f>tbl_IO_List[[#This Row],[I/O Type]]</f>
        <v>DI</v>
      </c>
      <c r="AE242" s="136" t="s">
        <v>1333</v>
      </c>
      <c r="AF242" s="136">
        <v>1</v>
      </c>
      <c r="AG242" s="136">
        <v>11</v>
      </c>
      <c r="AH242" s="136">
        <v>12</v>
      </c>
      <c r="AI242" s="136">
        <v>12</v>
      </c>
      <c r="AJ242" s="136">
        <v>2</v>
      </c>
      <c r="AK242" s="136">
        <v>1</v>
      </c>
      <c r="AL242" s="136">
        <v>0</v>
      </c>
      <c r="AM242" s="136">
        <v>0</v>
      </c>
      <c r="AN242" s="136">
        <v>0</v>
      </c>
      <c r="AO242" s="136"/>
      <c r="AP242" s="143" t="str">
        <f>VLOOKUP(tbl_IO_List[[#This Row],[Instruement Tag]],tbl_Instruement_List[],14,FALSE)</f>
        <v>24 VDC energized</v>
      </c>
      <c r="AQ242" s="143" t="str">
        <f>tbl_IO_List[[#This Row],[Chassis]]&amp;"S"&amp;tbl_IO_List[[#This Row],[Slot]]&amp;"-"&amp;tbl_IO_List[[#This Row],[Front Terminal Number]]</f>
        <v>C2S1-12</v>
      </c>
      <c r="AR242" s="141" t="s">
        <v>1861</v>
      </c>
      <c r="AS242" s="136" t="str">
        <f>tbl_IO_List[[#This Row],[Terminal Tagging]]&amp;"-"&amp;tbl_IO_List[[#This Row],[Point-Count]]</f>
        <v>P2-TBDI1-12</v>
      </c>
      <c r="AT242" s="136" t="str">
        <f>tbl_IO_List[[#This Row],[Front Terminal Tagging]]&amp;"/"&amp;tbl_IO_List[[#This Row],[Terminal Tagging-Item]]</f>
        <v>C2S1-12/P2-TBDI1-12</v>
      </c>
      <c r="AU242" s="136" t="str">
        <f>tbl_IO_List[[#This Row],[Terminal Tagging-Item]]&amp;"/"&amp;tbl_IO_List[[#This Row],[Front Terminal Tagging]]</f>
        <v>P2-TBDI1-12/C2S1-12</v>
      </c>
    </row>
    <row r="243" spans="1:47">
      <c r="A243" s="147" t="s">
        <v>1367</v>
      </c>
      <c r="B243" s="136" t="s">
        <v>168</v>
      </c>
      <c r="C243" s="136" t="str">
        <f>tbl_IO_List[[#This Row],[Column3]]</f>
        <v>C2S01,12</v>
      </c>
      <c r="D243" s="136" t="str">
        <f>tbl_IO_List[[#This Row],[Card]]</f>
        <v>1756-IB32-12</v>
      </c>
      <c r="E243" s="136" t="s">
        <v>1366</v>
      </c>
      <c r="F243" s="136" t="str">
        <f>tbl_IO_List[[#This Row],[Column23]]&amp;"-" &amp;tbl_IO_List[[#This Row],[Column52]]</f>
        <v>C2S01-X1</v>
      </c>
      <c r="G243" s="136" t="str">
        <f>tbl_IO_List[[#This Row],[PLC_Tag]]</f>
        <v>XV-40205A_DI_1</v>
      </c>
      <c r="H243" s="136"/>
      <c r="I243" s="136" t="str">
        <f>VLOOKUP(tbl_IO_List[[#This Row],[Destination]],tbl_Junction[],2,FALSE)</f>
        <v>Jet Cooker 2nd Floor</v>
      </c>
      <c r="J243" s="136" t="s">
        <v>168</v>
      </c>
      <c r="K243" s="136" t="s">
        <v>169</v>
      </c>
      <c r="L243" s="136" t="s">
        <v>184</v>
      </c>
      <c r="M243" s="136">
        <f>VLOOKUP(tbl_IO_List[[#This Row],[Instruement Tag]],tbl_Instruement_List[],2,FALSE)</f>
        <v>0</v>
      </c>
      <c r="N243" s="136" t="s">
        <v>24</v>
      </c>
      <c r="O243" s="136" t="s">
        <v>18</v>
      </c>
      <c r="P243" s="136" t="s">
        <v>172</v>
      </c>
      <c r="Q243" s="136" t="str">
        <f>VLOOKUP(tbl_IO_List[[#This Row],[Instruement Tag]],tbl_Instruement_List[],6,FALSE)</f>
        <v xml:space="preserve">Jet Cooker </v>
      </c>
      <c r="R243" s="136"/>
      <c r="S24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243" s="136" t="str">
        <f>tbl_IO_List[[#This Row],[Instruement Tag]]&amp;"_"&amp;tbl_IO_List[[#This Row],[I/O Type]]&amp;"_"&amp;tbl_IO_List[[#This Row],[IO-Point 
(Instruement)]]</f>
        <v>XV-40205A_DI_1</v>
      </c>
      <c r="U243" s="136" t="s">
        <v>8</v>
      </c>
      <c r="V243" s="136">
        <f>VLOOKUP(tbl_IO_List[[#This Row],[I/O Type]],tbl_Slot_Group[],2,FALSE)</f>
        <v>1</v>
      </c>
      <c r="W243" s="136">
        <v>1</v>
      </c>
      <c r="X243" s="136" t="str">
        <f>tbl_IO_List[[#This Row],[Chassis]]&amp;"S"&amp;TEXT(tbl_IO_List[[#This Row],[Slot]],"00")</f>
        <v>C2S01</v>
      </c>
      <c r="Y243" s="136" t="str">
        <f>tbl_IO_List[[#This Row],[Chassis]]&amp;"S"&amp;TEXT(tbl_IO_List[[#This Row],[Slot]],"00")&amp;tbl_IO_List[[#This Row],[I/O Type]]&amp;TEXT(tbl_IO_List[[#This Row],[Point]],"00")</f>
        <v>C2S01DI12</v>
      </c>
      <c r="Z243" s="136" t="str">
        <f>tbl_IO_List[[#This Row],[Chassis]]&amp;"S"&amp;TEXT(tbl_IO_List[[#This Row],[Slot]],"00")&amp;","&amp;TEXT(tbl_IO_List[[#This Row],[Point]],"00")</f>
        <v>C2S01,12</v>
      </c>
      <c r="AA243" s="136" t="str">
        <f>VLOOKUP(tbl_IO_List[[#This Row],[Column23]],tbl_RackConfig[],5,FALSE) &amp;"-"&amp;tbl_IO_List[[#This Row],[Point]]</f>
        <v>1756-IB32-12</v>
      </c>
      <c r="AB243" s="136"/>
      <c r="AC243" s="136"/>
      <c r="AD243" s="136" t="str">
        <f>tbl_IO_List[[#This Row],[I/O Type]]</f>
        <v>DI</v>
      </c>
      <c r="AE243" s="136" t="s">
        <v>1333</v>
      </c>
      <c r="AF243" s="136">
        <v>1</v>
      </c>
      <c r="AG243" s="136">
        <v>12</v>
      </c>
      <c r="AH243" s="136">
        <v>13</v>
      </c>
      <c r="AI243" s="136">
        <v>13</v>
      </c>
      <c r="AJ243" s="136">
        <v>2</v>
      </c>
      <c r="AK243" s="136">
        <v>1</v>
      </c>
      <c r="AL243" s="136">
        <v>0</v>
      </c>
      <c r="AM243" s="136">
        <v>0</v>
      </c>
      <c r="AN243" s="136">
        <v>0</v>
      </c>
      <c r="AO243" s="136"/>
      <c r="AP243" s="143" t="str">
        <f>VLOOKUP(tbl_IO_List[[#This Row],[Instruement Tag]],tbl_Instruement_List[],14,FALSE)</f>
        <v>24 VDC energized</v>
      </c>
      <c r="AQ243" s="143" t="str">
        <f>tbl_IO_List[[#This Row],[Chassis]]&amp;"S"&amp;tbl_IO_List[[#This Row],[Slot]]&amp;"-"&amp;tbl_IO_List[[#This Row],[Front Terminal Number]]</f>
        <v>C2S1-13</v>
      </c>
      <c r="AR243" s="141" t="s">
        <v>1861</v>
      </c>
      <c r="AS243" s="136" t="str">
        <f>tbl_IO_List[[#This Row],[Terminal Tagging]]&amp;"-"&amp;tbl_IO_List[[#This Row],[Point-Count]]</f>
        <v>P2-TBDI1-13</v>
      </c>
      <c r="AT243" s="136" t="str">
        <f>tbl_IO_List[[#This Row],[Front Terminal Tagging]]&amp;"/"&amp;tbl_IO_List[[#This Row],[Terminal Tagging-Item]]</f>
        <v>C2S1-13/P2-TBDI1-13</v>
      </c>
      <c r="AU243" s="136" t="str">
        <f>tbl_IO_List[[#This Row],[Terminal Tagging-Item]]&amp;"/"&amp;tbl_IO_List[[#This Row],[Front Terminal Tagging]]</f>
        <v>P2-TBDI1-13/C2S1-13</v>
      </c>
    </row>
    <row r="244" spans="1:47">
      <c r="A244" s="147" t="s">
        <v>1367</v>
      </c>
      <c r="B244" s="136" t="s">
        <v>168</v>
      </c>
      <c r="C244" s="136" t="str">
        <f>tbl_IO_List[[#This Row],[Column3]]</f>
        <v>C2S01,13</v>
      </c>
      <c r="D244" s="136" t="str">
        <f>tbl_IO_List[[#This Row],[Card]]</f>
        <v>1756-IB32-13</v>
      </c>
      <c r="E244" s="136" t="s">
        <v>1366</v>
      </c>
      <c r="F244" s="136" t="str">
        <f>tbl_IO_List[[#This Row],[Column23]]&amp;"-" &amp;tbl_IO_List[[#This Row],[Column52]]</f>
        <v>C2S01-X1</v>
      </c>
      <c r="G244" s="136" t="str">
        <f>tbl_IO_List[[#This Row],[PLC_Tag]]</f>
        <v>XV-40205A_DI_2</v>
      </c>
      <c r="H244" s="136"/>
      <c r="I244" s="136" t="str">
        <f>VLOOKUP(tbl_IO_List[[#This Row],[Destination]],tbl_Junction[],2,FALSE)</f>
        <v>Jet Cooker 2nd Floor</v>
      </c>
      <c r="J244" s="136" t="s">
        <v>168</v>
      </c>
      <c r="K244" s="136" t="s">
        <v>169</v>
      </c>
      <c r="L244" s="136" t="s">
        <v>184</v>
      </c>
      <c r="M244" s="136">
        <f>VLOOKUP(tbl_IO_List[[#This Row],[Instruement Tag]],tbl_Instruement_List[],2,FALSE)</f>
        <v>0</v>
      </c>
      <c r="N244" s="136" t="s">
        <v>24</v>
      </c>
      <c r="O244" s="136" t="s">
        <v>18</v>
      </c>
      <c r="P244" s="136" t="s">
        <v>172</v>
      </c>
      <c r="Q244" s="136" t="str">
        <f>VLOOKUP(tbl_IO_List[[#This Row],[Instruement Tag]],tbl_Instruement_List[],6,FALSE)</f>
        <v xml:space="preserve">Jet Cooker </v>
      </c>
      <c r="R244" s="136"/>
      <c r="S24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244" s="136" t="str">
        <f>tbl_IO_List[[#This Row],[Instruement Tag]]&amp;"_"&amp;tbl_IO_List[[#This Row],[I/O Type]]&amp;"_"&amp;tbl_IO_List[[#This Row],[IO-Point 
(Instruement)]]</f>
        <v>XV-40205A_DI_2</v>
      </c>
      <c r="U244" s="136" t="s">
        <v>8</v>
      </c>
      <c r="V244" s="136">
        <f>VLOOKUP(tbl_IO_List[[#This Row],[I/O Type]],tbl_Slot_Group[],2,FALSE)</f>
        <v>1</v>
      </c>
      <c r="W244" s="136">
        <v>2</v>
      </c>
      <c r="X244" s="136" t="str">
        <f>tbl_IO_List[[#This Row],[Chassis]]&amp;"S"&amp;TEXT(tbl_IO_List[[#This Row],[Slot]],"00")</f>
        <v>C2S01</v>
      </c>
      <c r="Y244" s="136" t="str">
        <f>tbl_IO_List[[#This Row],[Chassis]]&amp;"S"&amp;TEXT(tbl_IO_List[[#This Row],[Slot]],"00")&amp;tbl_IO_List[[#This Row],[I/O Type]]&amp;TEXT(tbl_IO_List[[#This Row],[Point]],"00")</f>
        <v>C2S01DI13</v>
      </c>
      <c r="Z244" s="136" t="str">
        <f>tbl_IO_List[[#This Row],[Chassis]]&amp;"S"&amp;TEXT(tbl_IO_List[[#This Row],[Slot]],"00")&amp;","&amp;TEXT(tbl_IO_List[[#This Row],[Point]],"00")</f>
        <v>C2S01,13</v>
      </c>
      <c r="AA244" s="136" t="str">
        <f>VLOOKUP(tbl_IO_List[[#This Row],[Column23]],tbl_RackConfig[],5,FALSE) &amp;"-"&amp;tbl_IO_List[[#This Row],[Point]]</f>
        <v>1756-IB32-13</v>
      </c>
      <c r="AB244" s="136"/>
      <c r="AC244" s="136"/>
      <c r="AD244" s="136" t="str">
        <f>tbl_IO_List[[#This Row],[I/O Type]]</f>
        <v>DI</v>
      </c>
      <c r="AE244" s="136" t="s">
        <v>1333</v>
      </c>
      <c r="AF244" s="136">
        <v>1</v>
      </c>
      <c r="AG244" s="136">
        <v>13</v>
      </c>
      <c r="AH244" s="136">
        <v>14</v>
      </c>
      <c r="AI244" s="136">
        <v>14</v>
      </c>
      <c r="AJ244" s="136">
        <v>2</v>
      </c>
      <c r="AK244" s="136">
        <v>1</v>
      </c>
      <c r="AL244" s="136">
        <v>0</v>
      </c>
      <c r="AM244" s="136">
        <v>0</v>
      </c>
      <c r="AN244" s="136">
        <v>0</v>
      </c>
      <c r="AO244" s="136"/>
      <c r="AP244" s="143" t="str">
        <f>VLOOKUP(tbl_IO_List[[#This Row],[Instruement Tag]],tbl_Instruement_List[],14,FALSE)</f>
        <v>24 VDC energized</v>
      </c>
      <c r="AQ244" s="143" t="str">
        <f>tbl_IO_List[[#This Row],[Chassis]]&amp;"S"&amp;tbl_IO_List[[#This Row],[Slot]]&amp;"-"&amp;tbl_IO_List[[#This Row],[Front Terminal Number]]</f>
        <v>C2S1-14</v>
      </c>
      <c r="AR244" s="141" t="s">
        <v>1861</v>
      </c>
      <c r="AS244" s="136" t="str">
        <f>tbl_IO_List[[#This Row],[Terminal Tagging]]&amp;"-"&amp;tbl_IO_List[[#This Row],[Point-Count]]</f>
        <v>P2-TBDI1-14</v>
      </c>
      <c r="AT244" s="136" t="str">
        <f>tbl_IO_List[[#This Row],[Front Terminal Tagging]]&amp;"/"&amp;tbl_IO_List[[#This Row],[Terminal Tagging-Item]]</f>
        <v>C2S1-14/P2-TBDI1-14</v>
      </c>
      <c r="AU244" s="136" t="str">
        <f>tbl_IO_List[[#This Row],[Terminal Tagging-Item]]&amp;"/"&amp;tbl_IO_List[[#This Row],[Front Terminal Tagging]]</f>
        <v>P2-TBDI1-14/C2S1-14</v>
      </c>
    </row>
    <row r="245" spans="1:47">
      <c r="A245" s="147" t="s">
        <v>1367</v>
      </c>
      <c r="B245" s="136" t="s">
        <v>168</v>
      </c>
      <c r="C245" s="136" t="str">
        <f>tbl_IO_List[[#This Row],[Column3]]</f>
        <v>C2S01,14</v>
      </c>
      <c r="D245" s="136" t="str">
        <f>tbl_IO_List[[#This Row],[Card]]</f>
        <v>1756-IB32-14</v>
      </c>
      <c r="E245" s="136" t="s">
        <v>1366</v>
      </c>
      <c r="F245" s="136" t="str">
        <f>tbl_IO_List[[#This Row],[Column23]]&amp;"-" &amp;tbl_IO_List[[#This Row],[Column52]]</f>
        <v>C2S01-X1</v>
      </c>
      <c r="G245" s="136" t="str">
        <f>tbl_IO_List[[#This Row],[PLC_Tag]]</f>
        <v>XV-40205B_DI_1</v>
      </c>
      <c r="H245" s="136"/>
      <c r="I245" s="136" t="str">
        <f>VLOOKUP(tbl_IO_List[[#This Row],[Destination]],tbl_Junction[],2,FALSE)</f>
        <v>Jet Cooker 2nd Floor</v>
      </c>
      <c r="J245" s="136" t="s">
        <v>168</v>
      </c>
      <c r="K245" s="136" t="s">
        <v>169</v>
      </c>
      <c r="L245" s="136" t="s">
        <v>185</v>
      </c>
      <c r="M245" s="136">
        <f>VLOOKUP(tbl_IO_List[[#This Row],[Instruement Tag]],tbl_Instruement_List[],2,FALSE)</f>
        <v>0</v>
      </c>
      <c r="N245" s="136" t="s">
        <v>24</v>
      </c>
      <c r="O245" s="136" t="s">
        <v>18</v>
      </c>
      <c r="P245" s="136" t="s">
        <v>172</v>
      </c>
      <c r="Q245" s="136" t="str">
        <f>VLOOKUP(tbl_IO_List[[#This Row],[Instruement Tag]],tbl_Instruement_List[],6,FALSE)</f>
        <v xml:space="preserve">Jet Cooker </v>
      </c>
      <c r="R245" s="136"/>
      <c r="S24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245" s="136" t="str">
        <f>tbl_IO_List[[#This Row],[Instruement Tag]]&amp;"_"&amp;tbl_IO_List[[#This Row],[I/O Type]]&amp;"_"&amp;tbl_IO_List[[#This Row],[IO-Point 
(Instruement)]]</f>
        <v>XV-40205B_DI_1</v>
      </c>
      <c r="U245" s="136" t="s">
        <v>8</v>
      </c>
      <c r="V245" s="136">
        <f>VLOOKUP(tbl_IO_List[[#This Row],[I/O Type]],tbl_Slot_Group[],2,FALSE)</f>
        <v>1</v>
      </c>
      <c r="W245" s="136">
        <v>1</v>
      </c>
      <c r="X245" s="136" t="str">
        <f>tbl_IO_List[[#This Row],[Chassis]]&amp;"S"&amp;TEXT(tbl_IO_List[[#This Row],[Slot]],"00")</f>
        <v>C2S01</v>
      </c>
      <c r="Y245" s="136" t="str">
        <f>tbl_IO_List[[#This Row],[Chassis]]&amp;"S"&amp;TEXT(tbl_IO_List[[#This Row],[Slot]],"00")&amp;tbl_IO_List[[#This Row],[I/O Type]]&amp;TEXT(tbl_IO_List[[#This Row],[Point]],"00")</f>
        <v>C2S01DI14</v>
      </c>
      <c r="Z245" s="136" t="str">
        <f>tbl_IO_List[[#This Row],[Chassis]]&amp;"S"&amp;TEXT(tbl_IO_List[[#This Row],[Slot]],"00")&amp;","&amp;TEXT(tbl_IO_List[[#This Row],[Point]],"00")</f>
        <v>C2S01,14</v>
      </c>
      <c r="AA245" s="136" t="str">
        <f>VLOOKUP(tbl_IO_List[[#This Row],[Column23]],tbl_RackConfig[],5,FALSE) &amp;"-"&amp;tbl_IO_List[[#This Row],[Point]]</f>
        <v>1756-IB32-14</v>
      </c>
      <c r="AB245" s="136"/>
      <c r="AC245" s="136"/>
      <c r="AD245" s="136" t="str">
        <f>tbl_IO_List[[#This Row],[I/O Type]]</f>
        <v>DI</v>
      </c>
      <c r="AE245" s="136" t="s">
        <v>1333</v>
      </c>
      <c r="AF245" s="136">
        <v>1</v>
      </c>
      <c r="AG245" s="136">
        <v>14</v>
      </c>
      <c r="AH245" s="136">
        <v>15</v>
      </c>
      <c r="AI245" s="136">
        <v>15</v>
      </c>
      <c r="AJ245" s="136">
        <v>2</v>
      </c>
      <c r="AK245" s="136">
        <v>1</v>
      </c>
      <c r="AL245" s="136">
        <v>0</v>
      </c>
      <c r="AM245" s="136">
        <v>0</v>
      </c>
      <c r="AN245" s="136">
        <v>0</v>
      </c>
      <c r="AO245" s="136"/>
      <c r="AP245" s="143" t="str">
        <f>VLOOKUP(tbl_IO_List[[#This Row],[Instruement Tag]],tbl_Instruement_List[],14,FALSE)</f>
        <v>24 VDC energized</v>
      </c>
      <c r="AQ245" s="143" t="str">
        <f>tbl_IO_List[[#This Row],[Chassis]]&amp;"S"&amp;tbl_IO_List[[#This Row],[Slot]]&amp;"-"&amp;tbl_IO_List[[#This Row],[Front Terminal Number]]</f>
        <v>C2S1-15</v>
      </c>
      <c r="AR245" s="141" t="s">
        <v>1861</v>
      </c>
      <c r="AS245" s="136" t="str">
        <f>tbl_IO_List[[#This Row],[Terminal Tagging]]&amp;"-"&amp;tbl_IO_List[[#This Row],[Point-Count]]</f>
        <v>P2-TBDI1-15</v>
      </c>
      <c r="AT245" s="136" t="str">
        <f>tbl_IO_List[[#This Row],[Front Terminal Tagging]]&amp;"/"&amp;tbl_IO_List[[#This Row],[Terminal Tagging-Item]]</f>
        <v>C2S1-15/P2-TBDI1-15</v>
      </c>
      <c r="AU245" s="136" t="str">
        <f>tbl_IO_List[[#This Row],[Terminal Tagging-Item]]&amp;"/"&amp;tbl_IO_List[[#This Row],[Front Terminal Tagging]]</f>
        <v>P2-TBDI1-15/C2S1-15</v>
      </c>
    </row>
    <row r="246" spans="1:47">
      <c r="A246" s="147" t="s">
        <v>1367</v>
      </c>
      <c r="B246" s="136" t="s">
        <v>168</v>
      </c>
      <c r="C246" s="136" t="str">
        <f>tbl_IO_List[[#This Row],[Column3]]</f>
        <v>C2S01,15</v>
      </c>
      <c r="D246" s="136" t="str">
        <f>tbl_IO_List[[#This Row],[Card]]</f>
        <v>1756-IB32-15</v>
      </c>
      <c r="E246" s="136" t="s">
        <v>1366</v>
      </c>
      <c r="F246" s="136" t="str">
        <f>tbl_IO_List[[#This Row],[Column23]]&amp;"-" &amp;tbl_IO_List[[#This Row],[Column52]]</f>
        <v>C2S01-X1</v>
      </c>
      <c r="G246" s="136" t="str">
        <f>tbl_IO_List[[#This Row],[PLC_Tag]]</f>
        <v>XV-40205B_DI_2</v>
      </c>
      <c r="H246" s="136"/>
      <c r="I246" s="136" t="str">
        <f>VLOOKUP(tbl_IO_List[[#This Row],[Destination]],tbl_Junction[],2,FALSE)</f>
        <v>Jet Cooker 2nd Floor</v>
      </c>
      <c r="J246" s="136" t="s">
        <v>168</v>
      </c>
      <c r="K246" s="136" t="s">
        <v>169</v>
      </c>
      <c r="L246" s="136" t="s">
        <v>185</v>
      </c>
      <c r="M246" s="136">
        <f>VLOOKUP(tbl_IO_List[[#This Row],[Instruement Tag]],tbl_Instruement_List[],2,FALSE)</f>
        <v>0</v>
      </c>
      <c r="N246" s="136" t="s">
        <v>24</v>
      </c>
      <c r="O246" s="136" t="s">
        <v>18</v>
      </c>
      <c r="P246" s="136" t="s">
        <v>172</v>
      </c>
      <c r="Q246" s="136" t="str">
        <f>VLOOKUP(tbl_IO_List[[#This Row],[Instruement Tag]],tbl_Instruement_List[],6,FALSE)</f>
        <v xml:space="preserve">Jet Cooker </v>
      </c>
      <c r="R246" s="136"/>
      <c r="S24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246" s="136" t="str">
        <f>tbl_IO_List[[#This Row],[Instruement Tag]]&amp;"_"&amp;tbl_IO_List[[#This Row],[I/O Type]]&amp;"_"&amp;tbl_IO_List[[#This Row],[IO-Point 
(Instruement)]]</f>
        <v>XV-40205B_DI_2</v>
      </c>
      <c r="U246" s="136" t="s">
        <v>8</v>
      </c>
      <c r="V246" s="136">
        <f>VLOOKUP(tbl_IO_List[[#This Row],[I/O Type]],tbl_Slot_Group[],2,FALSE)</f>
        <v>1</v>
      </c>
      <c r="W246" s="136">
        <v>2</v>
      </c>
      <c r="X246" s="136" t="str">
        <f>tbl_IO_List[[#This Row],[Chassis]]&amp;"S"&amp;TEXT(tbl_IO_List[[#This Row],[Slot]],"00")</f>
        <v>C2S01</v>
      </c>
      <c r="Y246" s="136" t="str">
        <f>tbl_IO_List[[#This Row],[Chassis]]&amp;"S"&amp;TEXT(tbl_IO_List[[#This Row],[Slot]],"00")&amp;tbl_IO_List[[#This Row],[I/O Type]]&amp;TEXT(tbl_IO_List[[#This Row],[Point]],"00")</f>
        <v>C2S01DI15</v>
      </c>
      <c r="Z246" s="136" t="str">
        <f>tbl_IO_List[[#This Row],[Chassis]]&amp;"S"&amp;TEXT(tbl_IO_List[[#This Row],[Slot]],"00")&amp;","&amp;TEXT(tbl_IO_List[[#This Row],[Point]],"00")</f>
        <v>C2S01,15</v>
      </c>
      <c r="AA246" s="136" t="str">
        <f>VLOOKUP(tbl_IO_List[[#This Row],[Column23]],tbl_RackConfig[],5,FALSE) &amp;"-"&amp;tbl_IO_List[[#This Row],[Point]]</f>
        <v>1756-IB32-15</v>
      </c>
      <c r="AB246" s="136"/>
      <c r="AC246" s="136"/>
      <c r="AD246" s="136" t="str">
        <f>tbl_IO_List[[#This Row],[I/O Type]]</f>
        <v>DI</v>
      </c>
      <c r="AE246" s="136" t="s">
        <v>1333</v>
      </c>
      <c r="AF246" s="136">
        <v>1</v>
      </c>
      <c r="AG246" s="136">
        <v>15</v>
      </c>
      <c r="AH246" s="136">
        <v>16</v>
      </c>
      <c r="AI246" s="136">
        <v>16</v>
      </c>
      <c r="AJ246" s="136">
        <v>2</v>
      </c>
      <c r="AK246" s="136">
        <v>1</v>
      </c>
      <c r="AL246" s="136">
        <v>0</v>
      </c>
      <c r="AM246" s="136">
        <v>0</v>
      </c>
      <c r="AN246" s="136">
        <v>0</v>
      </c>
      <c r="AO246" s="136"/>
      <c r="AP246" s="143" t="str">
        <f>VLOOKUP(tbl_IO_List[[#This Row],[Instruement Tag]],tbl_Instruement_List[],14,FALSE)</f>
        <v>24 VDC energized</v>
      </c>
      <c r="AQ246" s="143" t="str">
        <f>tbl_IO_List[[#This Row],[Chassis]]&amp;"S"&amp;tbl_IO_List[[#This Row],[Slot]]&amp;"-"&amp;tbl_IO_List[[#This Row],[Front Terminal Number]]</f>
        <v>C2S1-16</v>
      </c>
      <c r="AR246" s="141" t="s">
        <v>1861</v>
      </c>
      <c r="AS246" s="136" t="str">
        <f>tbl_IO_List[[#This Row],[Terminal Tagging]]&amp;"-"&amp;tbl_IO_List[[#This Row],[Point-Count]]</f>
        <v>P2-TBDI1-16</v>
      </c>
      <c r="AT246" s="136" t="str">
        <f>tbl_IO_List[[#This Row],[Front Terminal Tagging]]&amp;"/"&amp;tbl_IO_List[[#This Row],[Terminal Tagging-Item]]</f>
        <v>C2S1-16/P2-TBDI1-16</v>
      </c>
      <c r="AU246" s="136" t="str">
        <f>tbl_IO_List[[#This Row],[Terminal Tagging-Item]]&amp;"/"&amp;tbl_IO_List[[#This Row],[Front Terminal Tagging]]</f>
        <v>P2-TBDI1-16/C2S1-16</v>
      </c>
    </row>
    <row r="247" spans="1:47">
      <c r="A247" s="147" t="s">
        <v>1367</v>
      </c>
      <c r="B247" s="136" t="s">
        <v>168</v>
      </c>
      <c r="C247" s="136" t="str">
        <f>tbl_IO_List[[#This Row],[Column3]]</f>
        <v>C2S01,16</v>
      </c>
      <c r="D247" s="136" t="str">
        <f>tbl_IO_List[[#This Row],[Card]]</f>
        <v>1756-IB32-16</v>
      </c>
      <c r="E247" s="136" t="s">
        <v>1372</v>
      </c>
      <c r="F247" s="136" t="str">
        <f>tbl_IO_List[[#This Row],[Column23]]&amp;"-" &amp;tbl_IO_List[[#This Row],[Column52]]</f>
        <v>C2S01-X2</v>
      </c>
      <c r="G247" s="136" t="str">
        <f>tbl_IO_List[[#This Row],[PLC_Tag]]</f>
        <v>XV-40205C_DI_1</v>
      </c>
      <c r="H247" s="136"/>
      <c r="I247" s="136" t="str">
        <f>VLOOKUP(tbl_IO_List[[#This Row],[Destination]],tbl_Junction[],2,FALSE)</f>
        <v>Jet Cooker 2nd Floor</v>
      </c>
      <c r="J247" s="136" t="s">
        <v>168</v>
      </c>
      <c r="K247" s="136" t="s">
        <v>169</v>
      </c>
      <c r="L247" s="136" t="s">
        <v>186</v>
      </c>
      <c r="M247" s="136">
        <f>VLOOKUP(tbl_IO_List[[#This Row],[Instruement Tag]],tbl_Instruement_List[],2,FALSE)</f>
        <v>0</v>
      </c>
      <c r="N247" s="136" t="s">
        <v>24</v>
      </c>
      <c r="O247" s="136" t="s">
        <v>18</v>
      </c>
      <c r="P247" s="136" t="s">
        <v>172</v>
      </c>
      <c r="Q247" s="136" t="str">
        <f>VLOOKUP(tbl_IO_List[[#This Row],[Instruement Tag]],tbl_Instruement_List[],6,FALSE)</f>
        <v xml:space="preserve">Jet Cooker </v>
      </c>
      <c r="R247" s="136"/>
      <c r="S24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247" s="136" t="str">
        <f>tbl_IO_List[[#This Row],[Instruement Tag]]&amp;"_"&amp;tbl_IO_List[[#This Row],[I/O Type]]&amp;"_"&amp;tbl_IO_List[[#This Row],[IO-Point 
(Instruement)]]</f>
        <v>XV-40205C_DI_1</v>
      </c>
      <c r="U247" s="136" t="s">
        <v>8</v>
      </c>
      <c r="V247" s="136">
        <f>VLOOKUP(tbl_IO_List[[#This Row],[I/O Type]],tbl_Slot_Group[],2,FALSE)</f>
        <v>1</v>
      </c>
      <c r="W247" s="136">
        <v>1</v>
      </c>
      <c r="X247" s="136" t="str">
        <f>tbl_IO_List[[#This Row],[Chassis]]&amp;"S"&amp;TEXT(tbl_IO_List[[#This Row],[Slot]],"00")</f>
        <v>C2S01</v>
      </c>
      <c r="Y247" s="136" t="str">
        <f>tbl_IO_List[[#This Row],[Chassis]]&amp;"S"&amp;TEXT(tbl_IO_List[[#This Row],[Slot]],"00")&amp;tbl_IO_List[[#This Row],[I/O Type]]&amp;TEXT(tbl_IO_List[[#This Row],[Point]],"00")</f>
        <v>C2S01DI16</v>
      </c>
      <c r="Z247" s="136" t="str">
        <f>tbl_IO_List[[#This Row],[Chassis]]&amp;"S"&amp;TEXT(tbl_IO_List[[#This Row],[Slot]],"00")&amp;","&amp;TEXT(tbl_IO_List[[#This Row],[Point]],"00")</f>
        <v>C2S01,16</v>
      </c>
      <c r="AA247" s="136" t="str">
        <f>VLOOKUP(tbl_IO_List[[#This Row],[Column23]],tbl_RackConfig[],5,FALSE) &amp;"-"&amp;tbl_IO_List[[#This Row],[Point]]</f>
        <v>1756-IB32-16</v>
      </c>
      <c r="AB247" s="136"/>
      <c r="AC247" s="136"/>
      <c r="AD247" s="136" t="str">
        <f>tbl_IO_List[[#This Row],[I/O Type]]</f>
        <v>DI</v>
      </c>
      <c r="AE247" s="136" t="s">
        <v>1333</v>
      </c>
      <c r="AF247" s="136">
        <v>1</v>
      </c>
      <c r="AG247" s="136">
        <v>16</v>
      </c>
      <c r="AH247" s="136">
        <v>17</v>
      </c>
      <c r="AI247" s="136">
        <v>19</v>
      </c>
      <c r="AJ247" s="136">
        <v>2</v>
      </c>
      <c r="AK247" s="136">
        <v>1</v>
      </c>
      <c r="AL247" s="136">
        <v>0</v>
      </c>
      <c r="AM247" s="136">
        <v>0</v>
      </c>
      <c r="AN247" s="136">
        <v>0</v>
      </c>
      <c r="AO247" s="136"/>
      <c r="AP247" s="143" t="str">
        <f>VLOOKUP(tbl_IO_List[[#This Row],[Instruement Tag]],tbl_Instruement_List[],14,FALSE)</f>
        <v>24 VDC energized</v>
      </c>
      <c r="AQ247" s="143" t="str">
        <f>tbl_IO_List[[#This Row],[Chassis]]&amp;"S"&amp;tbl_IO_List[[#This Row],[Slot]]&amp;"-"&amp;tbl_IO_List[[#This Row],[Front Terminal Number]]</f>
        <v>C2S1-19</v>
      </c>
      <c r="AR247" s="141" t="s">
        <v>1861</v>
      </c>
      <c r="AS247" s="136" t="str">
        <f>tbl_IO_List[[#This Row],[Terminal Tagging]]&amp;"-"&amp;tbl_IO_List[[#This Row],[Point-Count]]</f>
        <v>P2-TBDI1-17</v>
      </c>
      <c r="AT247" s="136" t="str">
        <f>tbl_IO_List[[#This Row],[Front Terminal Tagging]]&amp;"/"&amp;tbl_IO_List[[#This Row],[Terminal Tagging-Item]]</f>
        <v>C2S1-19/P2-TBDI1-17</v>
      </c>
      <c r="AU247" s="136" t="str">
        <f>tbl_IO_List[[#This Row],[Terminal Tagging-Item]]&amp;"/"&amp;tbl_IO_List[[#This Row],[Front Terminal Tagging]]</f>
        <v>P2-TBDI1-17/C2S1-19</v>
      </c>
    </row>
    <row r="248" spans="1:47">
      <c r="A248" s="147" t="s">
        <v>1367</v>
      </c>
      <c r="B248" s="136" t="s">
        <v>168</v>
      </c>
      <c r="C248" s="136" t="str">
        <f>tbl_IO_List[[#This Row],[Column3]]</f>
        <v>C2S01,17</v>
      </c>
      <c r="D248" s="136" t="str">
        <f>tbl_IO_List[[#This Row],[Card]]</f>
        <v>1756-IB32-17</v>
      </c>
      <c r="E248" s="136" t="s">
        <v>1372</v>
      </c>
      <c r="F248" s="136" t="str">
        <f>tbl_IO_List[[#This Row],[Column23]]&amp;"-" &amp;tbl_IO_List[[#This Row],[Column52]]</f>
        <v>C2S01-X2</v>
      </c>
      <c r="G248" s="136" t="str">
        <f>tbl_IO_List[[#This Row],[PLC_Tag]]</f>
        <v>XV-40205C_DI_2</v>
      </c>
      <c r="H248" s="136"/>
      <c r="I248" s="136" t="str">
        <f>VLOOKUP(tbl_IO_List[[#This Row],[Destination]],tbl_Junction[],2,FALSE)</f>
        <v>Jet Cooker 2nd Floor</v>
      </c>
      <c r="J248" s="136" t="s">
        <v>168</v>
      </c>
      <c r="K248" s="136" t="s">
        <v>169</v>
      </c>
      <c r="L248" s="136" t="s">
        <v>186</v>
      </c>
      <c r="M248" s="136">
        <f>VLOOKUP(tbl_IO_List[[#This Row],[Instruement Tag]],tbl_Instruement_List[],2,FALSE)</f>
        <v>0</v>
      </c>
      <c r="N248" s="136" t="s">
        <v>24</v>
      </c>
      <c r="O248" s="136" t="s">
        <v>18</v>
      </c>
      <c r="P248" s="136" t="s">
        <v>172</v>
      </c>
      <c r="Q248" s="136" t="str">
        <f>VLOOKUP(tbl_IO_List[[#This Row],[Instruement Tag]],tbl_Instruement_List[],6,FALSE)</f>
        <v xml:space="preserve">Jet Cooker </v>
      </c>
      <c r="R248" s="136"/>
      <c r="S24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248" s="136" t="str">
        <f>tbl_IO_List[[#This Row],[Instruement Tag]]&amp;"_"&amp;tbl_IO_List[[#This Row],[I/O Type]]&amp;"_"&amp;tbl_IO_List[[#This Row],[IO-Point 
(Instruement)]]</f>
        <v>XV-40205C_DI_2</v>
      </c>
      <c r="U248" s="136" t="s">
        <v>8</v>
      </c>
      <c r="V248" s="136">
        <f>VLOOKUP(tbl_IO_List[[#This Row],[I/O Type]],tbl_Slot_Group[],2,FALSE)</f>
        <v>1</v>
      </c>
      <c r="W248" s="136">
        <v>2</v>
      </c>
      <c r="X248" s="136" t="str">
        <f>tbl_IO_List[[#This Row],[Chassis]]&amp;"S"&amp;TEXT(tbl_IO_List[[#This Row],[Slot]],"00")</f>
        <v>C2S01</v>
      </c>
      <c r="Y248" s="136" t="str">
        <f>tbl_IO_List[[#This Row],[Chassis]]&amp;"S"&amp;TEXT(tbl_IO_List[[#This Row],[Slot]],"00")&amp;tbl_IO_List[[#This Row],[I/O Type]]&amp;TEXT(tbl_IO_List[[#This Row],[Point]],"00")</f>
        <v>C2S01DI17</v>
      </c>
      <c r="Z248" s="136" t="str">
        <f>tbl_IO_List[[#This Row],[Chassis]]&amp;"S"&amp;TEXT(tbl_IO_List[[#This Row],[Slot]],"00")&amp;","&amp;TEXT(tbl_IO_List[[#This Row],[Point]],"00")</f>
        <v>C2S01,17</v>
      </c>
      <c r="AA248" s="136" t="str">
        <f>VLOOKUP(tbl_IO_List[[#This Row],[Column23]],tbl_RackConfig[],5,FALSE) &amp;"-"&amp;tbl_IO_List[[#This Row],[Point]]</f>
        <v>1756-IB32-17</v>
      </c>
      <c r="AB248" s="136"/>
      <c r="AC248" s="136"/>
      <c r="AD248" s="136" t="str">
        <f>tbl_IO_List[[#This Row],[I/O Type]]</f>
        <v>DI</v>
      </c>
      <c r="AE248" s="136" t="s">
        <v>1333</v>
      </c>
      <c r="AF248" s="136">
        <v>1</v>
      </c>
      <c r="AG248" s="136">
        <v>17</v>
      </c>
      <c r="AH248" s="136">
        <v>18</v>
      </c>
      <c r="AI248" s="136">
        <v>20</v>
      </c>
      <c r="AJ248" s="136">
        <v>2</v>
      </c>
      <c r="AK248" s="136">
        <v>1</v>
      </c>
      <c r="AL248" s="136">
        <v>0</v>
      </c>
      <c r="AM248" s="136">
        <v>0</v>
      </c>
      <c r="AN248" s="136">
        <v>0</v>
      </c>
      <c r="AO248" s="136"/>
      <c r="AP248" s="143" t="str">
        <f>VLOOKUP(tbl_IO_List[[#This Row],[Instruement Tag]],tbl_Instruement_List[],14,FALSE)</f>
        <v>24 VDC energized</v>
      </c>
      <c r="AQ248" s="143" t="str">
        <f>tbl_IO_List[[#This Row],[Chassis]]&amp;"S"&amp;tbl_IO_List[[#This Row],[Slot]]&amp;"-"&amp;tbl_IO_List[[#This Row],[Front Terminal Number]]</f>
        <v>C2S1-20</v>
      </c>
      <c r="AR248" s="141" t="s">
        <v>1861</v>
      </c>
      <c r="AS248" s="136" t="str">
        <f>tbl_IO_List[[#This Row],[Terminal Tagging]]&amp;"-"&amp;tbl_IO_List[[#This Row],[Point-Count]]</f>
        <v>P2-TBDI1-18</v>
      </c>
      <c r="AT248" s="136" t="str">
        <f>tbl_IO_List[[#This Row],[Front Terminal Tagging]]&amp;"/"&amp;tbl_IO_List[[#This Row],[Terminal Tagging-Item]]</f>
        <v>C2S1-20/P2-TBDI1-18</v>
      </c>
      <c r="AU248" s="136" t="str">
        <f>tbl_IO_List[[#This Row],[Terminal Tagging-Item]]&amp;"/"&amp;tbl_IO_List[[#This Row],[Front Terminal Tagging]]</f>
        <v>P2-TBDI1-18/C2S1-20</v>
      </c>
    </row>
    <row r="249" spans="1:47">
      <c r="A249" s="147" t="s">
        <v>1367</v>
      </c>
      <c r="B249" s="136" t="s">
        <v>168</v>
      </c>
      <c r="C249" s="136" t="str">
        <f>tbl_IO_List[[#This Row],[Column3]]</f>
        <v>C2S01,18</v>
      </c>
      <c r="D249" s="136" t="str">
        <f>tbl_IO_List[[#This Row],[Card]]</f>
        <v>1756-IB32-18</v>
      </c>
      <c r="E249" s="136" t="s">
        <v>1372</v>
      </c>
      <c r="F249" s="136" t="str">
        <f>tbl_IO_List[[#This Row],[Column23]]&amp;"-" &amp;tbl_IO_List[[#This Row],[Column52]]</f>
        <v>C2S01-X2</v>
      </c>
      <c r="G249" s="136" t="str">
        <f>tbl_IO_List[[#This Row],[PLC_Tag]]</f>
        <v>XV-40205D_DI_1</v>
      </c>
      <c r="H249" s="136"/>
      <c r="I249" s="136" t="str">
        <f>VLOOKUP(tbl_IO_List[[#This Row],[Destination]],tbl_Junction[],2,FALSE)</f>
        <v>Jet Cooker 2nd Floor</v>
      </c>
      <c r="J249" s="136" t="s">
        <v>168</v>
      </c>
      <c r="K249" s="136" t="s">
        <v>169</v>
      </c>
      <c r="L249" s="136" t="s">
        <v>187</v>
      </c>
      <c r="M249" s="136">
        <f>VLOOKUP(tbl_IO_List[[#This Row],[Instruement Tag]],tbl_Instruement_List[],2,FALSE)</f>
        <v>0</v>
      </c>
      <c r="N249" s="136" t="s">
        <v>24</v>
      </c>
      <c r="O249" s="136" t="s">
        <v>18</v>
      </c>
      <c r="P249" s="136" t="s">
        <v>172</v>
      </c>
      <c r="Q249" s="136" t="str">
        <f>VLOOKUP(tbl_IO_List[[#This Row],[Instruement Tag]],tbl_Instruement_List[],6,FALSE)</f>
        <v xml:space="preserve">Jet Cooker </v>
      </c>
      <c r="R249" s="136"/>
      <c r="S24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249" s="136" t="str">
        <f>tbl_IO_List[[#This Row],[Instruement Tag]]&amp;"_"&amp;tbl_IO_List[[#This Row],[I/O Type]]&amp;"_"&amp;tbl_IO_List[[#This Row],[IO-Point 
(Instruement)]]</f>
        <v>XV-40205D_DI_1</v>
      </c>
      <c r="U249" s="136" t="s">
        <v>8</v>
      </c>
      <c r="V249" s="136">
        <f>VLOOKUP(tbl_IO_List[[#This Row],[I/O Type]],tbl_Slot_Group[],2,FALSE)</f>
        <v>1</v>
      </c>
      <c r="W249" s="136">
        <v>1</v>
      </c>
      <c r="X249" s="136" t="str">
        <f>tbl_IO_List[[#This Row],[Chassis]]&amp;"S"&amp;TEXT(tbl_IO_List[[#This Row],[Slot]],"00")</f>
        <v>C2S01</v>
      </c>
      <c r="Y249" s="136" t="str">
        <f>tbl_IO_List[[#This Row],[Chassis]]&amp;"S"&amp;TEXT(tbl_IO_List[[#This Row],[Slot]],"00")&amp;tbl_IO_List[[#This Row],[I/O Type]]&amp;TEXT(tbl_IO_List[[#This Row],[Point]],"00")</f>
        <v>C2S01DI18</v>
      </c>
      <c r="Z249" s="136" t="str">
        <f>tbl_IO_List[[#This Row],[Chassis]]&amp;"S"&amp;TEXT(tbl_IO_List[[#This Row],[Slot]],"00")&amp;","&amp;TEXT(tbl_IO_List[[#This Row],[Point]],"00")</f>
        <v>C2S01,18</v>
      </c>
      <c r="AA249" s="136" t="str">
        <f>VLOOKUP(tbl_IO_List[[#This Row],[Column23]],tbl_RackConfig[],5,FALSE) &amp;"-"&amp;tbl_IO_List[[#This Row],[Point]]</f>
        <v>1756-IB32-18</v>
      </c>
      <c r="AB249" s="136"/>
      <c r="AC249" s="136"/>
      <c r="AD249" s="136" t="str">
        <f>tbl_IO_List[[#This Row],[I/O Type]]</f>
        <v>DI</v>
      </c>
      <c r="AE249" s="136" t="s">
        <v>1333</v>
      </c>
      <c r="AF249" s="136">
        <v>1</v>
      </c>
      <c r="AG249" s="136">
        <v>18</v>
      </c>
      <c r="AH249" s="136">
        <v>19</v>
      </c>
      <c r="AI249" s="136">
        <v>21</v>
      </c>
      <c r="AJ249" s="136">
        <v>2</v>
      </c>
      <c r="AK249" s="136">
        <v>1</v>
      </c>
      <c r="AL249" s="136">
        <v>0</v>
      </c>
      <c r="AM249" s="136">
        <v>0</v>
      </c>
      <c r="AN249" s="136">
        <v>0</v>
      </c>
      <c r="AO249" s="136"/>
      <c r="AP249" s="143" t="str">
        <f>VLOOKUP(tbl_IO_List[[#This Row],[Instruement Tag]],tbl_Instruement_List[],14,FALSE)</f>
        <v>24 VDC energized</v>
      </c>
      <c r="AQ249" s="143" t="str">
        <f>tbl_IO_List[[#This Row],[Chassis]]&amp;"S"&amp;tbl_IO_List[[#This Row],[Slot]]&amp;"-"&amp;tbl_IO_List[[#This Row],[Front Terminal Number]]</f>
        <v>C2S1-21</v>
      </c>
      <c r="AR249" s="141" t="s">
        <v>1861</v>
      </c>
      <c r="AS249" s="136" t="str">
        <f>tbl_IO_List[[#This Row],[Terminal Tagging]]&amp;"-"&amp;tbl_IO_List[[#This Row],[Point-Count]]</f>
        <v>P2-TBDI1-19</v>
      </c>
      <c r="AT249" s="136" t="str">
        <f>tbl_IO_List[[#This Row],[Front Terminal Tagging]]&amp;"/"&amp;tbl_IO_List[[#This Row],[Terminal Tagging-Item]]</f>
        <v>C2S1-21/P2-TBDI1-19</v>
      </c>
      <c r="AU249" s="136" t="str">
        <f>tbl_IO_List[[#This Row],[Terminal Tagging-Item]]&amp;"/"&amp;tbl_IO_List[[#This Row],[Front Terminal Tagging]]</f>
        <v>P2-TBDI1-19/C2S1-21</v>
      </c>
    </row>
    <row r="250" spans="1:47">
      <c r="A250" s="147" t="s">
        <v>1367</v>
      </c>
      <c r="B250" s="136" t="s">
        <v>168</v>
      </c>
      <c r="C250" s="136" t="str">
        <f>tbl_IO_List[[#This Row],[Column3]]</f>
        <v>C2S01,19</v>
      </c>
      <c r="D250" s="136" t="str">
        <f>tbl_IO_List[[#This Row],[Card]]</f>
        <v>1756-IB32-19</v>
      </c>
      <c r="E250" s="136" t="s">
        <v>1372</v>
      </c>
      <c r="F250" s="136" t="str">
        <f>tbl_IO_List[[#This Row],[Column23]]&amp;"-" &amp;tbl_IO_List[[#This Row],[Column52]]</f>
        <v>C2S01-X2</v>
      </c>
      <c r="G250" s="136" t="str">
        <f>tbl_IO_List[[#This Row],[PLC_Tag]]</f>
        <v>XV-40205D_DI_2</v>
      </c>
      <c r="H250" s="136"/>
      <c r="I250" s="136" t="str">
        <f>VLOOKUP(tbl_IO_List[[#This Row],[Destination]],tbl_Junction[],2,FALSE)</f>
        <v>Jet Cooker 2nd Floor</v>
      </c>
      <c r="J250" s="136" t="s">
        <v>168</v>
      </c>
      <c r="K250" s="136" t="s">
        <v>169</v>
      </c>
      <c r="L250" s="136" t="s">
        <v>187</v>
      </c>
      <c r="M250" s="136">
        <f>VLOOKUP(tbl_IO_List[[#This Row],[Instruement Tag]],tbl_Instruement_List[],2,FALSE)</f>
        <v>0</v>
      </c>
      <c r="N250" s="136" t="s">
        <v>24</v>
      </c>
      <c r="O250" s="136" t="s">
        <v>18</v>
      </c>
      <c r="P250" s="136" t="s">
        <v>172</v>
      </c>
      <c r="Q250" s="136" t="str">
        <f>VLOOKUP(tbl_IO_List[[#This Row],[Instruement Tag]],tbl_Instruement_List[],6,FALSE)</f>
        <v xml:space="preserve">Jet Cooker </v>
      </c>
      <c r="R250" s="136"/>
      <c r="S25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250" s="136" t="str">
        <f>tbl_IO_List[[#This Row],[Instruement Tag]]&amp;"_"&amp;tbl_IO_List[[#This Row],[I/O Type]]&amp;"_"&amp;tbl_IO_List[[#This Row],[IO-Point 
(Instruement)]]</f>
        <v>XV-40205D_DI_2</v>
      </c>
      <c r="U250" s="136" t="s">
        <v>8</v>
      </c>
      <c r="V250" s="136">
        <f>VLOOKUP(tbl_IO_List[[#This Row],[I/O Type]],tbl_Slot_Group[],2,FALSE)</f>
        <v>1</v>
      </c>
      <c r="W250" s="136">
        <v>2</v>
      </c>
      <c r="X250" s="136" t="str">
        <f>tbl_IO_List[[#This Row],[Chassis]]&amp;"S"&amp;TEXT(tbl_IO_List[[#This Row],[Slot]],"00")</f>
        <v>C2S01</v>
      </c>
      <c r="Y250" s="136" t="str">
        <f>tbl_IO_List[[#This Row],[Chassis]]&amp;"S"&amp;TEXT(tbl_IO_List[[#This Row],[Slot]],"00")&amp;tbl_IO_List[[#This Row],[I/O Type]]&amp;TEXT(tbl_IO_List[[#This Row],[Point]],"00")</f>
        <v>C2S01DI19</v>
      </c>
      <c r="Z250" s="136" t="str">
        <f>tbl_IO_List[[#This Row],[Chassis]]&amp;"S"&amp;TEXT(tbl_IO_List[[#This Row],[Slot]],"00")&amp;","&amp;TEXT(tbl_IO_List[[#This Row],[Point]],"00")</f>
        <v>C2S01,19</v>
      </c>
      <c r="AA250" s="136" t="str">
        <f>VLOOKUP(tbl_IO_List[[#This Row],[Column23]],tbl_RackConfig[],5,FALSE) &amp;"-"&amp;tbl_IO_List[[#This Row],[Point]]</f>
        <v>1756-IB32-19</v>
      </c>
      <c r="AB250" s="136"/>
      <c r="AC250" s="136"/>
      <c r="AD250" s="136" t="str">
        <f>tbl_IO_List[[#This Row],[I/O Type]]</f>
        <v>DI</v>
      </c>
      <c r="AE250" s="136" t="s">
        <v>1333</v>
      </c>
      <c r="AF250" s="136">
        <v>1</v>
      </c>
      <c r="AG250" s="136">
        <v>19</v>
      </c>
      <c r="AH250" s="136">
        <v>20</v>
      </c>
      <c r="AI250" s="136">
        <v>22</v>
      </c>
      <c r="AJ250" s="136">
        <v>2</v>
      </c>
      <c r="AK250" s="136">
        <v>1</v>
      </c>
      <c r="AL250" s="136">
        <v>0</v>
      </c>
      <c r="AM250" s="136">
        <v>0</v>
      </c>
      <c r="AN250" s="136">
        <v>0</v>
      </c>
      <c r="AO250" s="136"/>
      <c r="AP250" s="143" t="str">
        <f>VLOOKUP(tbl_IO_List[[#This Row],[Instruement Tag]],tbl_Instruement_List[],14,FALSE)</f>
        <v>24 VDC energized</v>
      </c>
      <c r="AQ250" s="143" t="str">
        <f>tbl_IO_List[[#This Row],[Chassis]]&amp;"S"&amp;tbl_IO_List[[#This Row],[Slot]]&amp;"-"&amp;tbl_IO_List[[#This Row],[Front Terminal Number]]</f>
        <v>C2S1-22</v>
      </c>
      <c r="AR250" s="141" t="s">
        <v>1861</v>
      </c>
      <c r="AS250" s="136" t="str">
        <f>tbl_IO_List[[#This Row],[Terminal Tagging]]&amp;"-"&amp;tbl_IO_List[[#This Row],[Point-Count]]</f>
        <v>P2-TBDI1-20</v>
      </c>
      <c r="AT250" s="136" t="str">
        <f>tbl_IO_List[[#This Row],[Front Terminal Tagging]]&amp;"/"&amp;tbl_IO_List[[#This Row],[Terminal Tagging-Item]]</f>
        <v>C2S1-22/P2-TBDI1-20</v>
      </c>
      <c r="AU250" s="136" t="str">
        <f>tbl_IO_List[[#This Row],[Terminal Tagging-Item]]&amp;"/"&amp;tbl_IO_List[[#This Row],[Front Terminal Tagging]]</f>
        <v>P2-TBDI1-20/C2S1-22</v>
      </c>
    </row>
    <row r="251" spans="1:47">
      <c r="A251" s="147" t="s">
        <v>1367</v>
      </c>
      <c r="B251" s="136" t="s">
        <v>168</v>
      </c>
      <c r="C251" s="136" t="str">
        <f>tbl_IO_List[[#This Row],[Column3]]</f>
        <v>C2S01,20</v>
      </c>
      <c r="D251" s="136" t="str">
        <f>tbl_IO_List[[#This Row],[Card]]</f>
        <v>1756-IB32-20</v>
      </c>
      <c r="E251" s="136" t="s">
        <v>1372</v>
      </c>
      <c r="F251" s="136" t="str">
        <f>tbl_IO_List[[#This Row],[Column23]]&amp;"-" &amp;tbl_IO_List[[#This Row],[Column52]]</f>
        <v>C2S01-X2</v>
      </c>
      <c r="G251" s="136" t="str">
        <f>tbl_IO_List[[#This Row],[PLC_Tag]]</f>
        <v>XV-40205F_DI_1</v>
      </c>
      <c r="H251" s="136"/>
      <c r="I251" s="136" t="str">
        <f>VLOOKUP(tbl_IO_List[[#This Row],[Destination]],tbl_Junction[],2,FALSE)</f>
        <v>Jet Cooker 2nd Floor</v>
      </c>
      <c r="J251" s="136" t="s">
        <v>168</v>
      </c>
      <c r="K251" s="136" t="s">
        <v>169</v>
      </c>
      <c r="L251" s="136" t="s">
        <v>188</v>
      </c>
      <c r="M251" s="136">
        <f>VLOOKUP(tbl_IO_List[[#This Row],[Instruement Tag]],tbl_Instruement_List[],2,FALSE)</f>
        <v>0</v>
      </c>
      <c r="N251" s="136" t="s">
        <v>24</v>
      </c>
      <c r="O251" s="136" t="s">
        <v>18</v>
      </c>
      <c r="P251" s="136" t="s">
        <v>172</v>
      </c>
      <c r="Q251" s="136" t="str">
        <f>VLOOKUP(tbl_IO_List[[#This Row],[Instruement Tag]],tbl_Instruement_List[],6,FALSE)</f>
        <v xml:space="preserve">Jet Cooker </v>
      </c>
      <c r="R251" s="136"/>
      <c r="S25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251" s="136" t="str">
        <f>tbl_IO_List[[#This Row],[Instruement Tag]]&amp;"_"&amp;tbl_IO_List[[#This Row],[I/O Type]]&amp;"_"&amp;tbl_IO_List[[#This Row],[IO-Point 
(Instruement)]]</f>
        <v>XV-40205F_DI_1</v>
      </c>
      <c r="U251" s="136" t="s">
        <v>8</v>
      </c>
      <c r="V251" s="136">
        <f>VLOOKUP(tbl_IO_List[[#This Row],[I/O Type]],tbl_Slot_Group[],2,FALSE)</f>
        <v>1</v>
      </c>
      <c r="W251" s="136">
        <v>1</v>
      </c>
      <c r="X251" s="136" t="str">
        <f>tbl_IO_List[[#This Row],[Chassis]]&amp;"S"&amp;TEXT(tbl_IO_List[[#This Row],[Slot]],"00")</f>
        <v>C2S01</v>
      </c>
      <c r="Y251" s="136" t="str">
        <f>tbl_IO_List[[#This Row],[Chassis]]&amp;"S"&amp;TEXT(tbl_IO_List[[#This Row],[Slot]],"00")&amp;tbl_IO_List[[#This Row],[I/O Type]]&amp;TEXT(tbl_IO_List[[#This Row],[Point]],"00")</f>
        <v>C2S01DI20</v>
      </c>
      <c r="Z251" s="136" t="str">
        <f>tbl_IO_List[[#This Row],[Chassis]]&amp;"S"&amp;TEXT(tbl_IO_List[[#This Row],[Slot]],"00")&amp;","&amp;TEXT(tbl_IO_List[[#This Row],[Point]],"00")</f>
        <v>C2S01,20</v>
      </c>
      <c r="AA251" s="136" t="str">
        <f>VLOOKUP(tbl_IO_List[[#This Row],[Column23]],tbl_RackConfig[],5,FALSE) &amp;"-"&amp;tbl_IO_List[[#This Row],[Point]]</f>
        <v>1756-IB32-20</v>
      </c>
      <c r="AB251" s="136"/>
      <c r="AC251" s="136"/>
      <c r="AD251" s="136" t="str">
        <f>tbl_IO_List[[#This Row],[I/O Type]]</f>
        <v>DI</v>
      </c>
      <c r="AE251" s="136" t="s">
        <v>1333</v>
      </c>
      <c r="AF251" s="136">
        <v>1</v>
      </c>
      <c r="AG251" s="136">
        <v>20</v>
      </c>
      <c r="AH251" s="136">
        <v>21</v>
      </c>
      <c r="AI251" s="136">
        <v>23</v>
      </c>
      <c r="AJ251" s="136">
        <v>2</v>
      </c>
      <c r="AK251" s="136">
        <v>1</v>
      </c>
      <c r="AL251" s="136">
        <v>0</v>
      </c>
      <c r="AM251" s="136">
        <v>0</v>
      </c>
      <c r="AN251" s="136">
        <v>0</v>
      </c>
      <c r="AO251" s="136"/>
      <c r="AP251" s="143" t="str">
        <f>VLOOKUP(tbl_IO_List[[#This Row],[Instruement Tag]],tbl_Instruement_List[],14,FALSE)</f>
        <v>24 VDC energized</v>
      </c>
      <c r="AQ251" s="143" t="str">
        <f>tbl_IO_List[[#This Row],[Chassis]]&amp;"S"&amp;tbl_IO_List[[#This Row],[Slot]]&amp;"-"&amp;tbl_IO_List[[#This Row],[Front Terminal Number]]</f>
        <v>C2S1-23</v>
      </c>
      <c r="AR251" s="141" t="s">
        <v>1861</v>
      </c>
      <c r="AS251" s="136" t="str">
        <f>tbl_IO_List[[#This Row],[Terminal Tagging]]&amp;"-"&amp;tbl_IO_List[[#This Row],[Point-Count]]</f>
        <v>P2-TBDI1-21</v>
      </c>
      <c r="AT251" s="136" t="str">
        <f>tbl_IO_List[[#This Row],[Front Terminal Tagging]]&amp;"/"&amp;tbl_IO_List[[#This Row],[Terminal Tagging-Item]]</f>
        <v>C2S1-23/P2-TBDI1-21</v>
      </c>
      <c r="AU251" s="136" t="str">
        <f>tbl_IO_List[[#This Row],[Terminal Tagging-Item]]&amp;"/"&amp;tbl_IO_List[[#This Row],[Front Terminal Tagging]]</f>
        <v>P2-TBDI1-21/C2S1-23</v>
      </c>
    </row>
    <row r="252" spans="1:47">
      <c r="A252" s="147" t="s">
        <v>1367</v>
      </c>
      <c r="B252" s="136" t="s">
        <v>168</v>
      </c>
      <c r="C252" s="136" t="str">
        <f>tbl_IO_List[[#This Row],[Column3]]</f>
        <v>C2S01,21</v>
      </c>
      <c r="D252" s="136" t="str">
        <f>tbl_IO_List[[#This Row],[Card]]</f>
        <v>1756-IB32-21</v>
      </c>
      <c r="E252" s="136" t="s">
        <v>1372</v>
      </c>
      <c r="F252" s="136" t="str">
        <f>tbl_IO_List[[#This Row],[Column23]]&amp;"-" &amp;tbl_IO_List[[#This Row],[Column52]]</f>
        <v>C2S01-X2</v>
      </c>
      <c r="G252" s="136" t="str">
        <f>tbl_IO_List[[#This Row],[PLC_Tag]]</f>
        <v>XV-40205F_DI_2</v>
      </c>
      <c r="H252" s="136"/>
      <c r="I252" s="136" t="str">
        <f>VLOOKUP(tbl_IO_List[[#This Row],[Destination]],tbl_Junction[],2,FALSE)</f>
        <v>Jet Cooker 2nd Floor</v>
      </c>
      <c r="J252" s="136" t="s">
        <v>168</v>
      </c>
      <c r="K252" s="136" t="s">
        <v>169</v>
      </c>
      <c r="L252" s="136" t="s">
        <v>188</v>
      </c>
      <c r="M252" s="136">
        <f>VLOOKUP(tbl_IO_List[[#This Row],[Instruement Tag]],tbl_Instruement_List[],2,FALSE)</f>
        <v>0</v>
      </c>
      <c r="N252" s="136" t="s">
        <v>24</v>
      </c>
      <c r="O252" s="136" t="s">
        <v>18</v>
      </c>
      <c r="P252" s="136" t="s">
        <v>172</v>
      </c>
      <c r="Q252" s="136" t="str">
        <f>VLOOKUP(tbl_IO_List[[#This Row],[Instruement Tag]],tbl_Instruement_List[],6,FALSE)</f>
        <v xml:space="preserve">Jet Cooker </v>
      </c>
      <c r="R252" s="136"/>
      <c r="S25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252" s="136" t="str">
        <f>tbl_IO_List[[#This Row],[Instruement Tag]]&amp;"_"&amp;tbl_IO_List[[#This Row],[I/O Type]]&amp;"_"&amp;tbl_IO_List[[#This Row],[IO-Point 
(Instruement)]]</f>
        <v>XV-40205F_DI_2</v>
      </c>
      <c r="U252" s="136" t="s">
        <v>8</v>
      </c>
      <c r="V252" s="136">
        <f>VLOOKUP(tbl_IO_List[[#This Row],[I/O Type]],tbl_Slot_Group[],2,FALSE)</f>
        <v>1</v>
      </c>
      <c r="W252" s="136">
        <v>2</v>
      </c>
      <c r="X252" s="136" t="str">
        <f>tbl_IO_List[[#This Row],[Chassis]]&amp;"S"&amp;TEXT(tbl_IO_List[[#This Row],[Slot]],"00")</f>
        <v>C2S01</v>
      </c>
      <c r="Y252" s="136" t="str">
        <f>tbl_IO_List[[#This Row],[Chassis]]&amp;"S"&amp;TEXT(tbl_IO_List[[#This Row],[Slot]],"00")&amp;tbl_IO_List[[#This Row],[I/O Type]]&amp;TEXT(tbl_IO_List[[#This Row],[Point]],"00")</f>
        <v>C2S01DI21</v>
      </c>
      <c r="Z252" s="136" t="str">
        <f>tbl_IO_List[[#This Row],[Chassis]]&amp;"S"&amp;TEXT(tbl_IO_List[[#This Row],[Slot]],"00")&amp;","&amp;TEXT(tbl_IO_List[[#This Row],[Point]],"00")</f>
        <v>C2S01,21</v>
      </c>
      <c r="AA252" s="136" t="str">
        <f>VLOOKUP(tbl_IO_List[[#This Row],[Column23]],tbl_RackConfig[],5,FALSE) &amp;"-"&amp;tbl_IO_List[[#This Row],[Point]]</f>
        <v>1756-IB32-21</v>
      </c>
      <c r="AB252" s="136"/>
      <c r="AC252" s="136"/>
      <c r="AD252" s="136" t="str">
        <f>tbl_IO_List[[#This Row],[I/O Type]]</f>
        <v>DI</v>
      </c>
      <c r="AE252" s="136" t="s">
        <v>1333</v>
      </c>
      <c r="AF252" s="136">
        <v>1</v>
      </c>
      <c r="AG252" s="136">
        <v>21</v>
      </c>
      <c r="AH252" s="136">
        <v>22</v>
      </c>
      <c r="AI252" s="136">
        <v>24</v>
      </c>
      <c r="AJ252" s="136">
        <v>2</v>
      </c>
      <c r="AK252" s="136">
        <v>1</v>
      </c>
      <c r="AL252" s="136">
        <v>0</v>
      </c>
      <c r="AM252" s="136">
        <v>0</v>
      </c>
      <c r="AN252" s="136">
        <v>0</v>
      </c>
      <c r="AO252" s="136"/>
      <c r="AP252" s="143" t="str">
        <f>VLOOKUP(tbl_IO_List[[#This Row],[Instruement Tag]],tbl_Instruement_List[],14,FALSE)</f>
        <v>24 VDC energized</v>
      </c>
      <c r="AQ252" s="143" t="str">
        <f>tbl_IO_List[[#This Row],[Chassis]]&amp;"S"&amp;tbl_IO_List[[#This Row],[Slot]]&amp;"-"&amp;tbl_IO_List[[#This Row],[Front Terminal Number]]</f>
        <v>C2S1-24</v>
      </c>
      <c r="AR252" s="141" t="s">
        <v>1861</v>
      </c>
      <c r="AS252" s="136" t="str">
        <f>tbl_IO_List[[#This Row],[Terminal Tagging]]&amp;"-"&amp;tbl_IO_List[[#This Row],[Point-Count]]</f>
        <v>P2-TBDI1-22</v>
      </c>
      <c r="AT252" s="136" t="str">
        <f>tbl_IO_List[[#This Row],[Front Terminal Tagging]]&amp;"/"&amp;tbl_IO_List[[#This Row],[Terminal Tagging-Item]]</f>
        <v>C2S1-24/P2-TBDI1-22</v>
      </c>
      <c r="AU252" s="136" t="str">
        <f>tbl_IO_List[[#This Row],[Terminal Tagging-Item]]&amp;"/"&amp;tbl_IO_List[[#This Row],[Front Terminal Tagging]]</f>
        <v>P2-TBDI1-22/C2S1-24</v>
      </c>
    </row>
    <row r="253" spans="1:47">
      <c r="A253" s="147" t="s">
        <v>1367</v>
      </c>
      <c r="B253" s="136" t="s">
        <v>168</v>
      </c>
      <c r="C253" s="136" t="str">
        <f>tbl_IO_List[[#This Row],[Column3]]</f>
        <v>C2S01,22</v>
      </c>
      <c r="D253" s="136" t="str">
        <f>tbl_IO_List[[#This Row],[Card]]</f>
        <v>1756-IB32-22</v>
      </c>
      <c r="E253" s="136" t="s">
        <v>1372</v>
      </c>
      <c r="F253" s="136" t="str">
        <f>tbl_IO_List[[#This Row],[Column23]]&amp;"-" &amp;tbl_IO_List[[#This Row],[Column52]]</f>
        <v>C2S01-X2</v>
      </c>
      <c r="G253" s="136" t="str">
        <f>tbl_IO_List[[#This Row],[PLC_Tag]]</f>
        <v>XV-40222_DI_1</v>
      </c>
      <c r="H253" s="136"/>
      <c r="I253" s="136" t="str">
        <f>VLOOKUP(tbl_IO_List[[#This Row],[Destination]],tbl_Junction[],2,FALSE)</f>
        <v>Jet Cooker 2nd Floor</v>
      </c>
      <c r="J253" s="136" t="s">
        <v>168</v>
      </c>
      <c r="K253" s="136" t="s">
        <v>169</v>
      </c>
      <c r="L253" s="136" t="s">
        <v>189</v>
      </c>
      <c r="M253" s="136">
        <f>VLOOKUP(tbl_IO_List[[#This Row],[Instruement Tag]],tbl_Instruement_List[],2,FALSE)</f>
        <v>0</v>
      </c>
      <c r="N253" s="136" t="s">
        <v>24</v>
      </c>
      <c r="O253" s="136" t="s">
        <v>18</v>
      </c>
      <c r="P253" s="136" t="s">
        <v>172</v>
      </c>
      <c r="Q253" s="136" t="str">
        <f>VLOOKUP(tbl_IO_List[[#This Row],[Instruement Tag]],tbl_Instruement_List[],6,FALSE)</f>
        <v xml:space="preserve">Jet Cooker </v>
      </c>
      <c r="R253" s="136"/>
      <c r="S25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253" s="136" t="str">
        <f>tbl_IO_List[[#This Row],[Instruement Tag]]&amp;"_"&amp;tbl_IO_List[[#This Row],[I/O Type]]&amp;"_"&amp;tbl_IO_List[[#This Row],[IO-Point 
(Instruement)]]</f>
        <v>XV-40222_DI_1</v>
      </c>
      <c r="U253" s="136" t="s">
        <v>8</v>
      </c>
      <c r="V253" s="136">
        <f>VLOOKUP(tbl_IO_List[[#This Row],[I/O Type]],tbl_Slot_Group[],2,FALSE)</f>
        <v>1</v>
      </c>
      <c r="W253" s="136">
        <v>1</v>
      </c>
      <c r="X253" s="136" t="str">
        <f>tbl_IO_List[[#This Row],[Chassis]]&amp;"S"&amp;TEXT(tbl_IO_List[[#This Row],[Slot]],"00")</f>
        <v>C2S01</v>
      </c>
      <c r="Y253" s="136" t="str">
        <f>tbl_IO_List[[#This Row],[Chassis]]&amp;"S"&amp;TEXT(tbl_IO_List[[#This Row],[Slot]],"00")&amp;tbl_IO_List[[#This Row],[I/O Type]]&amp;TEXT(tbl_IO_List[[#This Row],[Point]],"00")</f>
        <v>C2S01DI22</v>
      </c>
      <c r="Z253" s="136" t="str">
        <f>tbl_IO_List[[#This Row],[Chassis]]&amp;"S"&amp;TEXT(tbl_IO_List[[#This Row],[Slot]],"00")&amp;","&amp;TEXT(tbl_IO_List[[#This Row],[Point]],"00")</f>
        <v>C2S01,22</v>
      </c>
      <c r="AA253" s="136" t="str">
        <f>VLOOKUP(tbl_IO_List[[#This Row],[Column23]],tbl_RackConfig[],5,FALSE) &amp;"-"&amp;tbl_IO_List[[#This Row],[Point]]</f>
        <v>1756-IB32-22</v>
      </c>
      <c r="AB253" s="136"/>
      <c r="AC253" s="136"/>
      <c r="AD253" s="136" t="str">
        <f>tbl_IO_List[[#This Row],[I/O Type]]</f>
        <v>DI</v>
      </c>
      <c r="AE253" s="136" t="s">
        <v>1333</v>
      </c>
      <c r="AF253" s="136">
        <v>1</v>
      </c>
      <c r="AG253" s="136">
        <v>22</v>
      </c>
      <c r="AH253" s="136">
        <v>23</v>
      </c>
      <c r="AI253" s="136">
        <v>25</v>
      </c>
      <c r="AJ253" s="136">
        <v>2</v>
      </c>
      <c r="AK253" s="136">
        <v>1</v>
      </c>
      <c r="AL253" s="136">
        <v>0</v>
      </c>
      <c r="AM253" s="136">
        <v>0</v>
      </c>
      <c r="AN253" s="136">
        <v>0</v>
      </c>
      <c r="AO253" s="136"/>
      <c r="AP253" s="143" t="str">
        <f>VLOOKUP(tbl_IO_List[[#This Row],[Instruement Tag]],tbl_Instruement_List[],14,FALSE)</f>
        <v>24 VDC energized</v>
      </c>
      <c r="AQ253" s="143" t="str">
        <f>tbl_IO_List[[#This Row],[Chassis]]&amp;"S"&amp;tbl_IO_List[[#This Row],[Slot]]&amp;"-"&amp;tbl_IO_List[[#This Row],[Front Terminal Number]]</f>
        <v>C2S1-25</v>
      </c>
      <c r="AR253" s="141" t="s">
        <v>1861</v>
      </c>
      <c r="AS253" s="136" t="str">
        <f>tbl_IO_List[[#This Row],[Terminal Tagging]]&amp;"-"&amp;tbl_IO_List[[#This Row],[Point-Count]]</f>
        <v>P2-TBDI1-23</v>
      </c>
      <c r="AT253" s="136" t="str">
        <f>tbl_IO_List[[#This Row],[Front Terminal Tagging]]&amp;"/"&amp;tbl_IO_List[[#This Row],[Terminal Tagging-Item]]</f>
        <v>C2S1-25/P2-TBDI1-23</v>
      </c>
      <c r="AU253" s="136" t="str">
        <f>tbl_IO_List[[#This Row],[Terminal Tagging-Item]]&amp;"/"&amp;tbl_IO_List[[#This Row],[Front Terminal Tagging]]</f>
        <v>P2-TBDI1-23/C2S1-25</v>
      </c>
    </row>
    <row r="254" spans="1:47">
      <c r="A254" s="147" t="s">
        <v>1367</v>
      </c>
      <c r="B254" s="136" t="s">
        <v>168</v>
      </c>
      <c r="C254" s="136" t="str">
        <f>tbl_IO_List[[#This Row],[Column3]]</f>
        <v>C2S01,23</v>
      </c>
      <c r="D254" s="136" t="str">
        <f>tbl_IO_List[[#This Row],[Card]]</f>
        <v>1756-IB32-23</v>
      </c>
      <c r="E254" s="136" t="s">
        <v>1372</v>
      </c>
      <c r="F254" s="136" t="str">
        <f>tbl_IO_List[[#This Row],[Column23]]&amp;"-" &amp;tbl_IO_List[[#This Row],[Column52]]</f>
        <v>C2S01-X2</v>
      </c>
      <c r="G254" s="136" t="str">
        <f>tbl_IO_List[[#This Row],[PLC_Tag]]</f>
        <v>XV-40222_DI_2</v>
      </c>
      <c r="H254" s="136"/>
      <c r="I254" s="136" t="str">
        <f>VLOOKUP(tbl_IO_List[[#This Row],[Destination]],tbl_Junction[],2,FALSE)</f>
        <v>Jet Cooker 2nd Floor</v>
      </c>
      <c r="J254" s="136" t="s">
        <v>168</v>
      </c>
      <c r="K254" s="136" t="s">
        <v>169</v>
      </c>
      <c r="L254" s="136" t="s">
        <v>189</v>
      </c>
      <c r="M254" s="136">
        <f>VLOOKUP(tbl_IO_List[[#This Row],[Instruement Tag]],tbl_Instruement_List[],2,FALSE)</f>
        <v>0</v>
      </c>
      <c r="N254" s="136" t="s">
        <v>24</v>
      </c>
      <c r="O254" s="136" t="s">
        <v>18</v>
      </c>
      <c r="P254" s="136" t="s">
        <v>18</v>
      </c>
      <c r="Q254" s="136" t="str">
        <f>VLOOKUP(tbl_IO_List[[#This Row],[Instruement Tag]],tbl_Instruement_List[],6,FALSE)</f>
        <v xml:space="preserve">Jet Cooker </v>
      </c>
      <c r="R254" s="136"/>
      <c r="S25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254" s="136" t="str">
        <f>tbl_IO_List[[#This Row],[Instruement Tag]]&amp;"_"&amp;tbl_IO_List[[#This Row],[I/O Type]]&amp;"_"&amp;tbl_IO_List[[#This Row],[IO-Point 
(Instruement)]]</f>
        <v>XV-40222_DI_2</v>
      </c>
      <c r="U254" s="136" t="s">
        <v>8</v>
      </c>
      <c r="V254" s="136">
        <f>VLOOKUP(tbl_IO_List[[#This Row],[I/O Type]],tbl_Slot_Group[],2,FALSE)</f>
        <v>1</v>
      </c>
      <c r="W254" s="136">
        <v>2</v>
      </c>
      <c r="X254" s="136" t="str">
        <f>tbl_IO_List[[#This Row],[Chassis]]&amp;"S"&amp;TEXT(tbl_IO_List[[#This Row],[Slot]],"00")</f>
        <v>C2S01</v>
      </c>
      <c r="Y254" s="136" t="str">
        <f>tbl_IO_List[[#This Row],[Chassis]]&amp;"S"&amp;TEXT(tbl_IO_List[[#This Row],[Slot]],"00")&amp;tbl_IO_List[[#This Row],[I/O Type]]&amp;TEXT(tbl_IO_List[[#This Row],[Point]],"00")</f>
        <v>C2S01DI23</v>
      </c>
      <c r="Z254" s="136" t="str">
        <f>tbl_IO_List[[#This Row],[Chassis]]&amp;"S"&amp;TEXT(tbl_IO_List[[#This Row],[Slot]],"00")&amp;","&amp;TEXT(tbl_IO_List[[#This Row],[Point]],"00")</f>
        <v>C2S01,23</v>
      </c>
      <c r="AA254" s="136" t="str">
        <f>VLOOKUP(tbl_IO_List[[#This Row],[Column23]],tbl_RackConfig[],5,FALSE) &amp;"-"&amp;tbl_IO_List[[#This Row],[Point]]</f>
        <v>1756-IB32-23</v>
      </c>
      <c r="AB254" s="136"/>
      <c r="AC254" s="136"/>
      <c r="AD254" s="136" t="str">
        <f>tbl_IO_List[[#This Row],[I/O Type]]</f>
        <v>DI</v>
      </c>
      <c r="AE254" s="136" t="s">
        <v>1333</v>
      </c>
      <c r="AF254" s="136">
        <v>1</v>
      </c>
      <c r="AG254" s="136">
        <v>23</v>
      </c>
      <c r="AH254" s="136">
        <v>24</v>
      </c>
      <c r="AI254" s="136">
        <v>26</v>
      </c>
      <c r="AJ254" s="136">
        <v>2</v>
      </c>
      <c r="AK254" s="136">
        <v>1</v>
      </c>
      <c r="AL254" s="136">
        <v>0</v>
      </c>
      <c r="AM254" s="136">
        <v>0</v>
      </c>
      <c r="AN254" s="136">
        <v>0</v>
      </c>
      <c r="AO254" s="136"/>
      <c r="AP254" s="143" t="str">
        <f>VLOOKUP(tbl_IO_List[[#This Row],[Instruement Tag]],tbl_Instruement_List[],14,FALSE)</f>
        <v>24 VDC energized</v>
      </c>
      <c r="AQ254" s="143" t="str">
        <f>tbl_IO_List[[#This Row],[Chassis]]&amp;"S"&amp;tbl_IO_List[[#This Row],[Slot]]&amp;"-"&amp;tbl_IO_List[[#This Row],[Front Terminal Number]]</f>
        <v>C2S1-26</v>
      </c>
      <c r="AR254" s="141" t="s">
        <v>1861</v>
      </c>
      <c r="AS254" s="136" t="str">
        <f>tbl_IO_List[[#This Row],[Terminal Tagging]]&amp;"-"&amp;tbl_IO_List[[#This Row],[Point-Count]]</f>
        <v>P2-TBDI1-24</v>
      </c>
      <c r="AT254" s="136" t="str">
        <f>tbl_IO_List[[#This Row],[Front Terminal Tagging]]&amp;"/"&amp;tbl_IO_List[[#This Row],[Terminal Tagging-Item]]</f>
        <v>C2S1-26/P2-TBDI1-24</v>
      </c>
      <c r="AU254" s="136" t="str">
        <f>tbl_IO_List[[#This Row],[Terminal Tagging-Item]]&amp;"/"&amp;tbl_IO_List[[#This Row],[Front Terminal Tagging]]</f>
        <v>P2-TBDI1-24/C2S1-26</v>
      </c>
    </row>
    <row r="255" spans="1:47">
      <c r="A255" s="147" t="s">
        <v>1367</v>
      </c>
      <c r="B255" s="136" t="s">
        <v>168</v>
      </c>
      <c r="C255" s="136" t="str">
        <f>tbl_IO_List[[#This Row],[Column3]]</f>
        <v>C2S01,24</v>
      </c>
      <c r="D255" s="136" t="str">
        <f>tbl_IO_List[[#This Row],[Card]]</f>
        <v>1756-IB32-24</v>
      </c>
      <c r="E255" s="136" t="s">
        <v>1372</v>
      </c>
      <c r="F255" s="136" t="str">
        <f>tbl_IO_List[[#This Row],[Column23]]&amp;"-" &amp;tbl_IO_List[[#This Row],[Column52]]</f>
        <v>C2S01-X2</v>
      </c>
      <c r="G255" s="136" t="str">
        <f>tbl_IO_List[[#This Row],[PLC_Tag]]</f>
        <v>Spare_DI_2</v>
      </c>
      <c r="H255" s="136"/>
      <c r="I255" s="136" t="str">
        <f>VLOOKUP(tbl_IO_List[[#This Row],[Destination]],tbl_Junction[],2,FALSE)</f>
        <v>Jet Cooker 2nd Floor</v>
      </c>
      <c r="J255" s="136" t="s">
        <v>168</v>
      </c>
      <c r="K255" s="136" t="s">
        <v>169</v>
      </c>
      <c r="L255" s="136" t="s">
        <v>411</v>
      </c>
      <c r="M255" s="136" t="e">
        <f>VLOOKUP(tbl_IO_List[[#This Row],[Instruement Tag]],tbl_Instruement_List[],2,FALSE)</f>
        <v>#N/A</v>
      </c>
      <c r="N255" s="136" t="s">
        <v>24</v>
      </c>
      <c r="O255" s="136" t="s">
        <v>18</v>
      </c>
      <c r="P255" s="136" t="s">
        <v>18</v>
      </c>
      <c r="Q255" s="136" t="e">
        <f>VLOOKUP(tbl_IO_List[[#This Row],[Instruement Tag]],tbl_Instruement_List[],6,FALSE)</f>
        <v>#N/A</v>
      </c>
      <c r="R255" s="136"/>
      <c r="S25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55" s="136" t="str">
        <f>tbl_IO_List[[#This Row],[Instruement Tag]]&amp;"_"&amp;tbl_IO_List[[#This Row],[I/O Type]]&amp;"_"&amp;tbl_IO_List[[#This Row],[IO-Point 
(Instruement)]]</f>
        <v>Spare_DI_2</v>
      </c>
      <c r="U255" s="136" t="s">
        <v>8</v>
      </c>
      <c r="V255" s="136">
        <f>VLOOKUP(tbl_IO_List[[#This Row],[I/O Type]],tbl_Slot_Group[],2,FALSE)</f>
        <v>1</v>
      </c>
      <c r="W255" s="136">
        <v>2</v>
      </c>
      <c r="X255" s="136" t="str">
        <f>tbl_IO_List[[#This Row],[Chassis]]&amp;"S"&amp;TEXT(tbl_IO_List[[#This Row],[Slot]],"00")</f>
        <v>C2S01</v>
      </c>
      <c r="Y255" s="136" t="str">
        <f>tbl_IO_List[[#This Row],[Chassis]]&amp;"S"&amp;TEXT(tbl_IO_List[[#This Row],[Slot]],"00")&amp;tbl_IO_List[[#This Row],[I/O Type]]&amp;TEXT(tbl_IO_List[[#This Row],[Point]],"00")</f>
        <v>C2S01DI24</v>
      </c>
      <c r="Z255" s="136" t="str">
        <f>tbl_IO_List[[#This Row],[Chassis]]&amp;"S"&amp;TEXT(tbl_IO_List[[#This Row],[Slot]],"00")&amp;","&amp;TEXT(tbl_IO_List[[#This Row],[Point]],"00")</f>
        <v>C2S01,24</v>
      </c>
      <c r="AA255" s="136" t="str">
        <f>VLOOKUP(tbl_IO_List[[#This Row],[Column23]],tbl_RackConfig[],5,FALSE) &amp;"-"&amp;tbl_IO_List[[#This Row],[Point]]</f>
        <v>1756-IB32-24</v>
      </c>
      <c r="AB255" s="136"/>
      <c r="AC255" s="136"/>
      <c r="AD255" s="136" t="str">
        <f>tbl_IO_List[[#This Row],[I/O Type]]</f>
        <v>DI</v>
      </c>
      <c r="AE255" s="136" t="s">
        <v>1333</v>
      </c>
      <c r="AF255" s="136">
        <v>1</v>
      </c>
      <c r="AG255" s="136">
        <v>24</v>
      </c>
      <c r="AH255" s="136">
        <v>25</v>
      </c>
      <c r="AI255" s="136">
        <v>27</v>
      </c>
      <c r="AJ255" s="136">
        <v>1</v>
      </c>
      <c r="AK255" s="136">
        <v>0</v>
      </c>
      <c r="AL255" s="136">
        <v>0</v>
      </c>
      <c r="AM255" s="136">
        <v>0</v>
      </c>
      <c r="AN255" s="136">
        <v>0</v>
      </c>
      <c r="AO255" s="136"/>
      <c r="AP255" s="143"/>
      <c r="AQ255" s="143" t="str">
        <f>tbl_IO_List[[#This Row],[Chassis]]&amp;"S"&amp;tbl_IO_List[[#This Row],[Slot]]&amp;"-"&amp;tbl_IO_List[[#This Row],[Front Terminal Number]]</f>
        <v>C2S1-27</v>
      </c>
      <c r="AR255" s="141" t="s">
        <v>1861</v>
      </c>
      <c r="AS255" s="136" t="str">
        <f>tbl_IO_List[[#This Row],[Terminal Tagging]]&amp;"-"&amp;tbl_IO_List[[#This Row],[Point-Count]]</f>
        <v>P2-TBDI1-25</v>
      </c>
      <c r="AT255" s="136" t="str">
        <f>tbl_IO_List[[#This Row],[Front Terminal Tagging]]&amp;"/"&amp;tbl_IO_List[[#This Row],[Terminal Tagging-Item]]</f>
        <v>C2S1-27/P2-TBDI1-25</v>
      </c>
      <c r="AU255" s="136" t="str">
        <f>tbl_IO_List[[#This Row],[Terminal Tagging-Item]]&amp;"/"&amp;tbl_IO_List[[#This Row],[Front Terminal Tagging]]</f>
        <v>P2-TBDI1-25/C2S1-27</v>
      </c>
    </row>
    <row r="256" spans="1:47">
      <c r="A256" s="147" t="s">
        <v>1367</v>
      </c>
      <c r="B256" s="136" t="s">
        <v>168</v>
      </c>
      <c r="C256" s="136" t="str">
        <f>tbl_IO_List[[#This Row],[Column3]]</f>
        <v>C2S01,25</v>
      </c>
      <c r="D256" s="136" t="str">
        <f>tbl_IO_List[[#This Row],[Card]]</f>
        <v>1756-IB32-25</v>
      </c>
      <c r="E256" s="136" t="s">
        <v>1372</v>
      </c>
      <c r="F256" s="136" t="str">
        <f>tbl_IO_List[[#This Row],[Column23]]&amp;"-" &amp;tbl_IO_List[[#This Row],[Column52]]</f>
        <v>C2S01-X2</v>
      </c>
      <c r="G256" s="136" t="str">
        <f>tbl_IO_List[[#This Row],[PLC_Tag]]</f>
        <v>Spare_DI_2</v>
      </c>
      <c r="H256" s="136"/>
      <c r="I256" s="136" t="str">
        <f>VLOOKUP(tbl_IO_List[[#This Row],[Destination]],tbl_Junction[],2,FALSE)</f>
        <v>Jet Cooker 2nd Floor</v>
      </c>
      <c r="J256" s="136" t="s">
        <v>168</v>
      </c>
      <c r="K256" s="136" t="s">
        <v>169</v>
      </c>
      <c r="L256" s="136" t="s">
        <v>411</v>
      </c>
      <c r="M256" s="136" t="e">
        <f>VLOOKUP(tbl_IO_List[[#This Row],[Instruement Tag]],tbl_Instruement_List[],2,FALSE)</f>
        <v>#N/A</v>
      </c>
      <c r="N256" s="136" t="s">
        <v>24</v>
      </c>
      <c r="O256" s="136" t="s">
        <v>18</v>
      </c>
      <c r="P256" s="136" t="s">
        <v>18</v>
      </c>
      <c r="Q256" s="136" t="e">
        <f>VLOOKUP(tbl_IO_List[[#This Row],[Instruement Tag]],tbl_Instruement_List[],6,FALSE)</f>
        <v>#N/A</v>
      </c>
      <c r="R256" s="136"/>
      <c r="S25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56" s="136" t="str">
        <f>tbl_IO_List[[#This Row],[Instruement Tag]]&amp;"_"&amp;tbl_IO_List[[#This Row],[I/O Type]]&amp;"_"&amp;tbl_IO_List[[#This Row],[IO-Point 
(Instruement)]]</f>
        <v>Spare_DI_2</v>
      </c>
      <c r="U256" s="136" t="s">
        <v>8</v>
      </c>
      <c r="V256" s="136">
        <f>VLOOKUP(tbl_IO_List[[#This Row],[I/O Type]],tbl_Slot_Group[],2,FALSE)</f>
        <v>1</v>
      </c>
      <c r="W256" s="136">
        <v>2</v>
      </c>
      <c r="X256" s="136" t="str">
        <f>tbl_IO_List[[#This Row],[Chassis]]&amp;"S"&amp;TEXT(tbl_IO_List[[#This Row],[Slot]],"00")</f>
        <v>C2S01</v>
      </c>
      <c r="Y256" s="136" t="str">
        <f>tbl_IO_List[[#This Row],[Chassis]]&amp;"S"&amp;TEXT(tbl_IO_List[[#This Row],[Slot]],"00")&amp;tbl_IO_List[[#This Row],[I/O Type]]&amp;TEXT(tbl_IO_List[[#This Row],[Point]],"00")</f>
        <v>C2S01DI25</v>
      </c>
      <c r="Z256" s="136" t="str">
        <f>tbl_IO_List[[#This Row],[Chassis]]&amp;"S"&amp;TEXT(tbl_IO_List[[#This Row],[Slot]],"00")&amp;","&amp;TEXT(tbl_IO_List[[#This Row],[Point]],"00")</f>
        <v>C2S01,25</v>
      </c>
      <c r="AA256" s="136" t="str">
        <f>VLOOKUP(tbl_IO_List[[#This Row],[Column23]],tbl_RackConfig[],5,FALSE) &amp;"-"&amp;tbl_IO_List[[#This Row],[Point]]</f>
        <v>1756-IB32-25</v>
      </c>
      <c r="AB256" s="136"/>
      <c r="AC256" s="136"/>
      <c r="AD256" s="136" t="str">
        <f>tbl_IO_List[[#This Row],[I/O Type]]</f>
        <v>DI</v>
      </c>
      <c r="AE256" s="136" t="s">
        <v>1333</v>
      </c>
      <c r="AF256" s="136">
        <v>1</v>
      </c>
      <c r="AG256" s="136">
        <v>25</v>
      </c>
      <c r="AH256" s="136">
        <v>26</v>
      </c>
      <c r="AI256" s="136">
        <v>28</v>
      </c>
      <c r="AJ256" s="136">
        <v>1</v>
      </c>
      <c r="AK256" s="136">
        <v>0</v>
      </c>
      <c r="AL256" s="136">
        <v>0</v>
      </c>
      <c r="AM256" s="136">
        <v>0</v>
      </c>
      <c r="AN256" s="136">
        <v>0</v>
      </c>
      <c r="AO256" s="136"/>
      <c r="AP256" s="143"/>
      <c r="AQ256" s="143" t="str">
        <f>tbl_IO_List[[#This Row],[Chassis]]&amp;"S"&amp;tbl_IO_List[[#This Row],[Slot]]&amp;"-"&amp;tbl_IO_List[[#This Row],[Front Terminal Number]]</f>
        <v>C2S1-28</v>
      </c>
      <c r="AR256" s="141" t="s">
        <v>1861</v>
      </c>
      <c r="AS256" s="136" t="str">
        <f>tbl_IO_List[[#This Row],[Terminal Tagging]]&amp;"-"&amp;tbl_IO_List[[#This Row],[Point-Count]]</f>
        <v>P2-TBDI1-26</v>
      </c>
      <c r="AT256" s="136" t="str">
        <f>tbl_IO_List[[#This Row],[Front Terminal Tagging]]&amp;"/"&amp;tbl_IO_List[[#This Row],[Terminal Tagging-Item]]</f>
        <v>C2S1-28/P2-TBDI1-26</v>
      </c>
      <c r="AU256" s="136" t="str">
        <f>tbl_IO_List[[#This Row],[Terminal Tagging-Item]]&amp;"/"&amp;tbl_IO_List[[#This Row],[Front Terminal Tagging]]</f>
        <v>P2-TBDI1-26/C2S1-28</v>
      </c>
    </row>
    <row r="257" spans="1:47">
      <c r="A257" s="147" t="s">
        <v>1367</v>
      </c>
      <c r="B257" s="136" t="s">
        <v>168</v>
      </c>
      <c r="C257" s="136" t="str">
        <f>tbl_IO_List[[#This Row],[Column3]]</f>
        <v>C2S01,26</v>
      </c>
      <c r="D257" s="136" t="str">
        <f>tbl_IO_List[[#This Row],[Card]]</f>
        <v>1756-IB32-26</v>
      </c>
      <c r="E257" s="136" t="s">
        <v>1372</v>
      </c>
      <c r="F257" s="136" t="str">
        <f>tbl_IO_List[[#This Row],[Column23]]&amp;"-" &amp;tbl_IO_List[[#This Row],[Column52]]</f>
        <v>C2S01-X2</v>
      </c>
      <c r="G257" s="136" t="str">
        <f>tbl_IO_List[[#This Row],[PLC_Tag]]</f>
        <v>Spare_DI_2</v>
      </c>
      <c r="H257" s="136"/>
      <c r="I257" s="136" t="str">
        <f>VLOOKUP(tbl_IO_List[[#This Row],[Destination]],tbl_Junction[],2,FALSE)</f>
        <v>Jet Cooker 2nd Floor</v>
      </c>
      <c r="J257" s="136" t="s">
        <v>168</v>
      </c>
      <c r="K257" s="136" t="s">
        <v>169</v>
      </c>
      <c r="L257" s="136" t="s">
        <v>411</v>
      </c>
      <c r="M257" s="136" t="e">
        <f>VLOOKUP(tbl_IO_List[[#This Row],[Instruement Tag]],tbl_Instruement_List[],2,FALSE)</f>
        <v>#N/A</v>
      </c>
      <c r="N257" s="136" t="s">
        <v>24</v>
      </c>
      <c r="O257" s="136" t="s">
        <v>18</v>
      </c>
      <c r="P257" s="136" t="s">
        <v>18</v>
      </c>
      <c r="Q257" s="136" t="e">
        <f>VLOOKUP(tbl_IO_List[[#This Row],[Instruement Tag]],tbl_Instruement_List[],6,FALSE)</f>
        <v>#N/A</v>
      </c>
      <c r="R257" s="136"/>
      <c r="S25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57" s="136" t="str">
        <f>tbl_IO_List[[#This Row],[Instruement Tag]]&amp;"_"&amp;tbl_IO_List[[#This Row],[I/O Type]]&amp;"_"&amp;tbl_IO_List[[#This Row],[IO-Point 
(Instruement)]]</f>
        <v>Spare_DI_2</v>
      </c>
      <c r="U257" s="136" t="s">
        <v>8</v>
      </c>
      <c r="V257" s="136">
        <f>VLOOKUP(tbl_IO_List[[#This Row],[I/O Type]],tbl_Slot_Group[],2,FALSE)</f>
        <v>1</v>
      </c>
      <c r="W257" s="136">
        <v>2</v>
      </c>
      <c r="X257" s="136" t="str">
        <f>tbl_IO_List[[#This Row],[Chassis]]&amp;"S"&amp;TEXT(tbl_IO_List[[#This Row],[Slot]],"00")</f>
        <v>C2S01</v>
      </c>
      <c r="Y257" s="136" t="str">
        <f>tbl_IO_List[[#This Row],[Chassis]]&amp;"S"&amp;TEXT(tbl_IO_List[[#This Row],[Slot]],"00")&amp;tbl_IO_List[[#This Row],[I/O Type]]&amp;TEXT(tbl_IO_List[[#This Row],[Point]],"00")</f>
        <v>C2S01DI26</v>
      </c>
      <c r="Z257" s="136" t="str">
        <f>tbl_IO_List[[#This Row],[Chassis]]&amp;"S"&amp;TEXT(tbl_IO_List[[#This Row],[Slot]],"00")&amp;","&amp;TEXT(tbl_IO_List[[#This Row],[Point]],"00")</f>
        <v>C2S01,26</v>
      </c>
      <c r="AA257" s="136" t="str">
        <f>VLOOKUP(tbl_IO_List[[#This Row],[Column23]],tbl_RackConfig[],5,FALSE) &amp;"-"&amp;tbl_IO_List[[#This Row],[Point]]</f>
        <v>1756-IB32-26</v>
      </c>
      <c r="AB257" s="136"/>
      <c r="AC257" s="136"/>
      <c r="AD257" s="136" t="str">
        <f>tbl_IO_List[[#This Row],[I/O Type]]</f>
        <v>DI</v>
      </c>
      <c r="AE257" s="136" t="s">
        <v>1333</v>
      </c>
      <c r="AF257" s="136">
        <v>1</v>
      </c>
      <c r="AG257" s="136">
        <v>26</v>
      </c>
      <c r="AH257" s="136">
        <v>27</v>
      </c>
      <c r="AI257" s="136">
        <v>29</v>
      </c>
      <c r="AJ257" s="136">
        <v>1</v>
      </c>
      <c r="AK257" s="136">
        <v>0</v>
      </c>
      <c r="AL257" s="136">
        <v>0</v>
      </c>
      <c r="AM257" s="136">
        <v>0</v>
      </c>
      <c r="AN257" s="136">
        <v>0</v>
      </c>
      <c r="AO257" s="136"/>
      <c r="AP257" s="143"/>
      <c r="AQ257" s="143" t="str">
        <f>tbl_IO_List[[#This Row],[Chassis]]&amp;"S"&amp;tbl_IO_List[[#This Row],[Slot]]&amp;"-"&amp;tbl_IO_List[[#This Row],[Front Terminal Number]]</f>
        <v>C2S1-29</v>
      </c>
      <c r="AR257" s="141" t="s">
        <v>1861</v>
      </c>
      <c r="AS257" s="136" t="str">
        <f>tbl_IO_List[[#This Row],[Terminal Tagging]]&amp;"-"&amp;tbl_IO_List[[#This Row],[Point-Count]]</f>
        <v>P2-TBDI1-27</v>
      </c>
      <c r="AT257" s="136" t="str">
        <f>tbl_IO_List[[#This Row],[Front Terminal Tagging]]&amp;"/"&amp;tbl_IO_List[[#This Row],[Terminal Tagging-Item]]</f>
        <v>C2S1-29/P2-TBDI1-27</v>
      </c>
      <c r="AU257" s="136" t="str">
        <f>tbl_IO_List[[#This Row],[Terminal Tagging-Item]]&amp;"/"&amp;tbl_IO_List[[#This Row],[Front Terminal Tagging]]</f>
        <v>P2-TBDI1-27/C2S1-29</v>
      </c>
    </row>
    <row r="258" spans="1:47">
      <c r="A258" s="147" t="s">
        <v>1367</v>
      </c>
      <c r="B258" s="136" t="s">
        <v>168</v>
      </c>
      <c r="C258" s="136" t="str">
        <f>tbl_IO_List[[#This Row],[Column3]]</f>
        <v>C2S01,27</v>
      </c>
      <c r="D258" s="136" t="str">
        <f>tbl_IO_List[[#This Row],[Card]]</f>
        <v>1756-IB32-27</v>
      </c>
      <c r="E258" s="136" t="s">
        <v>1372</v>
      </c>
      <c r="F258" s="136" t="str">
        <f>tbl_IO_List[[#This Row],[Column23]]&amp;"-" &amp;tbl_IO_List[[#This Row],[Column52]]</f>
        <v>C2S01-X2</v>
      </c>
      <c r="G258" s="136" t="str">
        <f>tbl_IO_List[[#This Row],[PLC_Tag]]</f>
        <v>Spare_DI_2</v>
      </c>
      <c r="H258" s="136"/>
      <c r="I258" s="136" t="str">
        <f>VLOOKUP(tbl_IO_List[[#This Row],[Destination]],tbl_Junction[],2,FALSE)</f>
        <v>Jet Cooker 2nd Floor</v>
      </c>
      <c r="J258" s="136" t="s">
        <v>168</v>
      </c>
      <c r="K258" s="136" t="s">
        <v>169</v>
      </c>
      <c r="L258" s="136" t="s">
        <v>411</v>
      </c>
      <c r="M258" s="136" t="e">
        <f>VLOOKUP(tbl_IO_List[[#This Row],[Instruement Tag]],tbl_Instruement_List[],2,FALSE)</f>
        <v>#N/A</v>
      </c>
      <c r="N258" s="136" t="s">
        <v>24</v>
      </c>
      <c r="O258" s="136" t="s">
        <v>18</v>
      </c>
      <c r="P258" s="136" t="s">
        <v>18</v>
      </c>
      <c r="Q258" s="136" t="e">
        <f>VLOOKUP(tbl_IO_List[[#This Row],[Instruement Tag]],tbl_Instruement_List[],6,FALSE)</f>
        <v>#N/A</v>
      </c>
      <c r="R258" s="136"/>
      <c r="S25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58" s="136" t="str">
        <f>tbl_IO_List[[#This Row],[Instruement Tag]]&amp;"_"&amp;tbl_IO_List[[#This Row],[I/O Type]]&amp;"_"&amp;tbl_IO_List[[#This Row],[IO-Point 
(Instruement)]]</f>
        <v>Spare_DI_2</v>
      </c>
      <c r="U258" s="136" t="s">
        <v>8</v>
      </c>
      <c r="V258" s="136">
        <f>VLOOKUP(tbl_IO_List[[#This Row],[I/O Type]],tbl_Slot_Group[],2,FALSE)</f>
        <v>1</v>
      </c>
      <c r="W258" s="136">
        <v>2</v>
      </c>
      <c r="X258" s="136" t="str">
        <f>tbl_IO_List[[#This Row],[Chassis]]&amp;"S"&amp;TEXT(tbl_IO_List[[#This Row],[Slot]],"00")</f>
        <v>C2S01</v>
      </c>
      <c r="Y258" s="136" t="str">
        <f>tbl_IO_List[[#This Row],[Chassis]]&amp;"S"&amp;TEXT(tbl_IO_List[[#This Row],[Slot]],"00")&amp;tbl_IO_List[[#This Row],[I/O Type]]&amp;TEXT(tbl_IO_List[[#This Row],[Point]],"00")</f>
        <v>C2S01DI27</v>
      </c>
      <c r="Z258" s="136" t="str">
        <f>tbl_IO_List[[#This Row],[Chassis]]&amp;"S"&amp;TEXT(tbl_IO_List[[#This Row],[Slot]],"00")&amp;","&amp;TEXT(tbl_IO_List[[#This Row],[Point]],"00")</f>
        <v>C2S01,27</v>
      </c>
      <c r="AA258" s="136" t="str">
        <f>VLOOKUP(tbl_IO_List[[#This Row],[Column23]],tbl_RackConfig[],5,FALSE) &amp;"-"&amp;tbl_IO_List[[#This Row],[Point]]</f>
        <v>1756-IB32-27</v>
      </c>
      <c r="AB258" s="136"/>
      <c r="AC258" s="136"/>
      <c r="AD258" s="136" t="str">
        <f>tbl_IO_List[[#This Row],[I/O Type]]</f>
        <v>DI</v>
      </c>
      <c r="AE258" s="136" t="s">
        <v>1333</v>
      </c>
      <c r="AF258" s="136">
        <v>1</v>
      </c>
      <c r="AG258" s="136">
        <v>27</v>
      </c>
      <c r="AH258" s="136">
        <v>28</v>
      </c>
      <c r="AI258" s="136">
        <v>30</v>
      </c>
      <c r="AJ258" s="136">
        <v>1</v>
      </c>
      <c r="AK258" s="136">
        <v>0</v>
      </c>
      <c r="AL258" s="136">
        <v>0</v>
      </c>
      <c r="AM258" s="136">
        <v>0</v>
      </c>
      <c r="AN258" s="136">
        <v>0</v>
      </c>
      <c r="AO258" s="136"/>
      <c r="AP258" s="143"/>
      <c r="AQ258" s="143" t="str">
        <f>tbl_IO_List[[#This Row],[Chassis]]&amp;"S"&amp;tbl_IO_List[[#This Row],[Slot]]&amp;"-"&amp;tbl_IO_List[[#This Row],[Front Terminal Number]]</f>
        <v>C2S1-30</v>
      </c>
      <c r="AR258" s="141" t="s">
        <v>1861</v>
      </c>
      <c r="AS258" s="136" t="str">
        <f>tbl_IO_List[[#This Row],[Terminal Tagging]]&amp;"-"&amp;tbl_IO_List[[#This Row],[Point-Count]]</f>
        <v>P2-TBDI1-28</v>
      </c>
      <c r="AT258" s="136" t="str">
        <f>tbl_IO_List[[#This Row],[Front Terminal Tagging]]&amp;"/"&amp;tbl_IO_List[[#This Row],[Terminal Tagging-Item]]</f>
        <v>C2S1-30/P2-TBDI1-28</v>
      </c>
      <c r="AU258" s="136" t="str">
        <f>tbl_IO_List[[#This Row],[Terminal Tagging-Item]]&amp;"/"&amp;tbl_IO_List[[#This Row],[Front Terminal Tagging]]</f>
        <v>P2-TBDI1-28/C2S1-30</v>
      </c>
    </row>
    <row r="259" spans="1:47">
      <c r="A259" s="147" t="s">
        <v>1367</v>
      </c>
      <c r="B259" s="136" t="s">
        <v>168</v>
      </c>
      <c r="C259" s="136" t="str">
        <f>tbl_IO_List[[#This Row],[Column3]]</f>
        <v>C2S01,28</v>
      </c>
      <c r="D259" s="136" t="str">
        <f>tbl_IO_List[[#This Row],[Card]]</f>
        <v>1756-IB32-28</v>
      </c>
      <c r="E259" s="136" t="s">
        <v>1372</v>
      </c>
      <c r="F259" s="136" t="str">
        <f>tbl_IO_List[[#This Row],[Column23]]&amp;"-" &amp;tbl_IO_List[[#This Row],[Column52]]</f>
        <v>C2S01-X2</v>
      </c>
      <c r="G259" s="136" t="str">
        <f>tbl_IO_List[[#This Row],[PLC_Tag]]</f>
        <v>Spare_DI_2</v>
      </c>
      <c r="H259" s="136"/>
      <c r="I259" s="136" t="str">
        <f>VLOOKUP(tbl_IO_List[[#This Row],[Destination]],tbl_Junction[],2,FALSE)</f>
        <v>Jet Cooker 2nd Floor</v>
      </c>
      <c r="J259" s="136" t="s">
        <v>168</v>
      </c>
      <c r="K259" s="136" t="s">
        <v>169</v>
      </c>
      <c r="L259" s="136" t="s">
        <v>411</v>
      </c>
      <c r="M259" s="136" t="e">
        <f>VLOOKUP(tbl_IO_List[[#This Row],[Instruement Tag]],tbl_Instruement_List[],2,FALSE)</f>
        <v>#N/A</v>
      </c>
      <c r="N259" s="136" t="s">
        <v>24</v>
      </c>
      <c r="O259" s="136" t="s">
        <v>18</v>
      </c>
      <c r="P259" s="136" t="s">
        <v>18</v>
      </c>
      <c r="Q259" s="136" t="e">
        <f>VLOOKUP(tbl_IO_List[[#This Row],[Instruement Tag]],tbl_Instruement_List[],6,FALSE)</f>
        <v>#N/A</v>
      </c>
      <c r="R259" s="136"/>
      <c r="S25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59" s="136" t="str">
        <f>tbl_IO_List[[#This Row],[Instruement Tag]]&amp;"_"&amp;tbl_IO_List[[#This Row],[I/O Type]]&amp;"_"&amp;tbl_IO_List[[#This Row],[IO-Point 
(Instruement)]]</f>
        <v>Spare_DI_2</v>
      </c>
      <c r="U259" s="136" t="s">
        <v>8</v>
      </c>
      <c r="V259" s="136">
        <f>VLOOKUP(tbl_IO_List[[#This Row],[I/O Type]],tbl_Slot_Group[],2,FALSE)</f>
        <v>1</v>
      </c>
      <c r="W259" s="136">
        <v>2</v>
      </c>
      <c r="X259" s="136" t="str">
        <f>tbl_IO_List[[#This Row],[Chassis]]&amp;"S"&amp;TEXT(tbl_IO_List[[#This Row],[Slot]],"00")</f>
        <v>C2S01</v>
      </c>
      <c r="Y259" s="136" t="str">
        <f>tbl_IO_List[[#This Row],[Chassis]]&amp;"S"&amp;TEXT(tbl_IO_List[[#This Row],[Slot]],"00")&amp;tbl_IO_List[[#This Row],[I/O Type]]&amp;TEXT(tbl_IO_List[[#This Row],[Point]],"00")</f>
        <v>C2S01DI28</v>
      </c>
      <c r="Z259" s="136" t="str">
        <f>tbl_IO_List[[#This Row],[Chassis]]&amp;"S"&amp;TEXT(tbl_IO_List[[#This Row],[Slot]],"00")&amp;","&amp;TEXT(tbl_IO_List[[#This Row],[Point]],"00")</f>
        <v>C2S01,28</v>
      </c>
      <c r="AA259" s="136" t="str">
        <f>VLOOKUP(tbl_IO_List[[#This Row],[Column23]],tbl_RackConfig[],5,FALSE) &amp;"-"&amp;tbl_IO_List[[#This Row],[Point]]</f>
        <v>1756-IB32-28</v>
      </c>
      <c r="AB259" s="136"/>
      <c r="AC259" s="136"/>
      <c r="AD259" s="136" t="str">
        <f>tbl_IO_List[[#This Row],[I/O Type]]</f>
        <v>DI</v>
      </c>
      <c r="AE259" s="136" t="s">
        <v>1333</v>
      </c>
      <c r="AF259" s="136">
        <v>1</v>
      </c>
      <c r="AG259" s="136">
        <v>28</v>
      </c>
      <c r="AH259" s="136">
        <v>29</v>
      </c>
      <c r="AI259" s="136">
        <v>31</v>
      </c>
      <c r="AJ259" s="136">
        <v>1</v>
      </c>
      <c r="AK259" s="136">
        <v>0</v>
      </c>
      <c r="AL259" s="136">
        <v>0</v>
      </c>
      <c r="AM259" s="136">
        <v>0</v>
      </c>
      <c r="AN259" s="136">
        <v>0</v>
      </c>
      <c r="AO259" s="136"/>
      <c r="AP259" s="143"/>
      <c r="AQ259" s="143" t="str">
        <f>tbl_IO_List[[#This Row],[Chassis]]&amp;"S"&amp;tbl_IO_List[[#This Row],[Slot]]&amp;"-"&amp;tbl_IO_List[[#This Row],[Front Terminal Number]]</f>
        <v>C2S1-31</v>
      </c>
      <c r="AR259" s="141" t="s">
        <v>1861</v>
      </c>
      <c r="AS259" s="136" t="str">
        <f>tbl_IO_List[[#This Row],[Terminal Tagging]]&amp;"-"&amp;tbl_IO_List[[#This Row],[Point-Count]]</f>
        <v>P2-TBDI1-29</v>
      </c>
      <c r="AT259" s="136" t="str">
        <f>tbl_IO_List[[#This Row],[Front Terminal Tagging]]&amp;"/"&amp;tbl_IO_List[[#This Row],[Terminal Tagging-Item]]</f>
        <v>C2S1-31/P2-TBDI1-29</v>
      </c>
      <c r="AU259" s="136" t="str">
        <f>tbl_IO_List[[#This Row],[Terminal Tagging-Item]]&amp;"/"&amp;tbl_IO_List[[#This Row],[Front Terminal Tagging]]</f>
        <v>P2-TBDI1-29/C2S1-31</v>
      </c>
    </row>
    <row r="260" spans="1:47">
      <c r="A260" s="147" t="s">
        <v>1367</v>
      </c>
      <c r="B260" s="136" t="s">
        <v>168</v>
      </c>
      <c r="C260" s="136" t="str">
        <f>tbl_IO_List[[#This Row],[Column3]]</f>
        <v>C2S01,29</v>
      </c>
      <c r="D260" s="136" t="str">
        <f>tbl_IO_List[[#This Row],[Card]]</f>
        <v>1756-IB32-29</v>
      </c>
      <c r="E260" s="136" t="s">
        <v>1372</v>
      </c>
      <c r="F260" s="136" t="str">
        <f>tbl_IO_List[[#This Row],[Column23]]&amp;"-" &amp;tbl_IO_List[[#This Row],[Column52]]</f>
        <v>C2S01-X2</v>
      </c>
      <c r="G260" s="136" t="str">
        <f>tbl_IO_List[[#This Row],[PLC_Tag]]</f>
        <v>Spare_DI_2</v>
      </c>
      <c r="H260" s="136"/>
      <c r="I260" s="136" t="str">
        <f>VLOOKUP(tbl_IO_List[[#This Row],[Destination]],tbl_Junction[],2,FALSE)</f>
        <v>Jet Cooker 2nd Floor</v>
      </c>
      <c r="J260" s="136" t="s">
        <v>168</v>
      </c>
      <c r="K260" s="136" t="s">
        <v>169</v>
      </c>
      <c r="L260" s="136" t="s">
        <v>411</v>
      </c>
      <c r="M260" s="136" t="e">
        <f>VLOOKUP(tbl_IO_List[[#This Row],[Instruement Tag]],tbl_Instruement_List[],2,FALSE)</f>
        <v>#N/A</v>
      </c>
      <c r="N260" s="136" t="s">
        <v>24</v>
      </c>
      <c r="O260" s="136" t="s">
        <v>18</v>
      </c>
      <c r="P260" s="136" t="s">
        <v>18</v>
      </c>
      <c r="Q260" s="136" t="e">
        <f>VLOOKUP(tbl_IO_List[[#This Row],[Instruement Tag]],tbl_Instruement_List[],6,FALSE)</f>
        <v>#N/A</v>
      </c>
      <c r="R260" s="136"/>
      <c r="S26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60" s="136" t="str">
        <f>tbl_IO_List[[#This Row],[Instruement Tag]]&amp;"_"&amp;tbl_IO_List[[#This Row],[I/O Type]]&amp;"_"&amp;tbl_IO_List[[#This Row],[IO-Point 
(Instruement)]]</f>
        <v>Spare_DI_2</v>
      </c>
      <c r="U260" s="136" t="s">
        <v>8</v>
      </c>
      <c r="V260" s="136">
        <f>VLOOKUP(tbl_IO_List[[#This Row],[I/O Type]],tbl_Slot_Group[],2,FALSE)</f>
        <v>1</v>
      </c>
      <c r="W260" s="136">
        <v>2</v>
      </c>
      <c r="X260" s="136" t="str">
        <f>tbl_IO_List[[#This Row],[Chassis]]&amp;"S"&amp;TEXT(tbl_IO_List[[#This Row],[Slot]],"00")</f>
        <v>C2S01</v>
      </c>
      <c r="Y260" s="136" t="str">
        <f>tbl_IO_List[[#This Row],[Chassis]]&amp;"S"&amp;TEXT(tbl_IO_List[[#This Row],[Slot]],"00")&amp;tbl_IO_List[[#This Row],[I/O Type]]&amp;TEXT(tbl_IO_List[[#This Row],[Point]],"00")</f>
        <v>C2S01DI29</v>
      </c>
      <c r="Z260" s="136" t="str">
        <f>tbl_IO_List[[#This Row],[Chassis]]&amp;"S"&amp;TEXT(tbl_IO_List[[#This Row],[Slot]],"00")&amp;","&amp;TEXT(tbl_IO_List[[#This Row],[Point]],"00")</f>
        <v>C2S01,29</v>
      </c>
      <c r="AA260" s="136" t="str">
        <f>VLOOKUP(tbl_IO_List[[#This Row],[Column23]],tbl_RackConfig[],5,FALSE) &amp;"-"&amp;tbl_IO_List[[#This Row],[Point]]</f>
        <v>1756-IB32-29</v>
      </c>
      <c r="AB260" s="136"/>
      <c r="AC260" s="136"/>
      <c r="AD260" s="136" t="str">
        <f>tbl_IO_List[[#This Row],[I/O Type]]</f>
        <v>DI</v>
      </c>
      <c r="AE260" s="136" t="s">
        <v>1333</v>
      </c>
      <c r="AF260" s="136">
        <v>1</v>
      </c>
      <c r="AG260" s="136">
        <v>29</v>
      </c>
      <c r="AH260" s="136">
        <v>30</v>
      </c>
      <c r="AI260" s="136">
        <v>32</v>
      </c>
      <c r="AJ260" s="136">
        <v>1</v>
      </c>
      <c r="AK260" s="136">
        <v>0</v>
      </c>
      <c r="AL260" s="136">
        <v>0</v>
      </c>
      <c r="AM260" s="136">
        <v>0</v>
      </c>
      <c r="AN260" s="136">
        <v>0</v>
      </c>
      <c r="AO260" s="136"/>
      <c r="AP260" s="143"/>
      <c r="AQ260" s="143" t="str">
        <f>tbl_IO_List[[#This Row],[Chassis]]&amp;"S"&amp;tbl_IO_List[[#This Row],[Slot]]&amp;"-"&amp;tbl_IO_List[[#This Row],[Front Terminal Number]]</f>
        <v>C2S1-32</v>
      </c>
      <c r="AR260" s="141" t="s">
        <v>1861</v>
      </c>
      <c r="AS260" s="136" t="str">
        <f>tbl_IO_List[[#This Row],[Terminal Tagging]]&amp;"-"&amp;tbl_IO_List[[#This Row],[Point-Count]]</f>
        <v>P2-TBDI1-30</v>
      </c>
      <c r="AT260" s="136" t="str">
        <f>tbl_IO_List[[#This Row],[Front Terminal Tagging]]&amp;"/"&amp;tbl_IO_List[[#This Row],[Terminal Tagging-Item]]</f>
        <v>C2S1-32/P2-TBDI1-30</v>
      </c>
      <c r="AU260" s="136" t="str">
        <f>tbl_IO_List[[#This Row],[Terminal Tagging-Item]]&amp;"/"&amp;tbl_IO_List[[#This Row],[Front Terminal Tagging]]</f>
        <v>P2-TBDI1-30/C2S1-32</v>
      </c>
    </row>
    <row r="261" spans="1:47">
      <c r="A261" s="147" t="s">
        <v>1367</v>
      </c>
      <c r="B261" s="136" t="s">
        <v>168</v>
      </c>
      <c r="C261" s="136" t="str">
        <f>tbl_IO_List[[#This Row],[Column3]]</f>
        <v>C2S01,30</v>
      </c>
      <c r="D261" s="136" t="str">
        <f>tbl_IO_List[[#This Row],[Card]]</f>
        <v>1756-IB32-30</v>
      </c>
      <c r="E261" s="136" t="s">
        <v>1372</v>
      </c>
      <c r="F261" s="136" t="str">
        <f>tbl_IO_List[[#This Row],[Column23]]&amp;"-" &amp;tbl_IO_List[[#This Row],[Column52]]</f>
        <v>C2S01-X2</v>
      </c>
      <c r="G261" s="136" t="str">
        <f>tbl_IO_List[[#This Row],[PLC_Tag]]</f>
        <v>Spare_DI_2</v>
      </c>
      <c r="H261" s="136"/>
      <c r="I261" s="136" t="str">
        <f>VLOOKUP(tbl_IO_List[[#This Row],[Destination]],tbl_Junction[],2,FALSE)</f>
        <v>Jet Cooker 2nd Floor</v>
      </c>
      <c r="J261" s="136" t="s">
        <v>168</v>
      </c>
      <c r="K261" s="136" t="s">
        <v>169</v>
      </c>
      <c r="L261" s="136" t="s">
        <v>411</v>
      </c>
      <c r="M261" s="136" t="e">
        <f>VLOOKUP(tbl_IO_List[[#This Row],[Instruement Tag]],tbl_Instruement_List[],2,FALSE)</f>
        <v>#N/A</v>
      </c>
      <c r="N261" s="136" t="s">
        <v>24</v>
      </c>
      <c r="O261" s="136" t="s">
        <v>18</v>
      </c>
      <c r="P261" s="136" t="s">
        <v>18</v>
      </c>
      <c r="Q261" s="136" t="e">
        <f>VLOOKUP(tbl_IO_List[[#This Row],[Instruement Tag]],tbl_Instruement_List[],6,FALSE)</f>
        <v>#N/A</v>
      </c>
      <c r="R261" s="136"/>
      <c r="S26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61" s="136" t="str">
        <f>tbl_IO_List[[#This Row],[Instruement Tag]]&amp;"_"&amp;tbl_IO_List[[#This Row],[I/O Type]]&amp;"_"&amp;tbl_IO_List[[#This Row],[IO-Point 
(Instruement)]]</f>
        <v>Spare_DI_2</v>
      </c>
      <c r="U261" s="136" t="s">
        <v>8</v>
      </c>
      <c r="V261" s="136">
        <f>VLOOKUP(tbl_IO_List[[#This Row],[I/O Type]],tbl_Slot_Group[],2,FALSE)</f>
        <v>1</v>
      </c>
      <c r="W261" s="136">
        <v>2</v>
      </c>
      <c r="X261" s="136" t="str">
        <f>tbl_IO_List[[#This Row],[Chassis]]&amp;"S"&amp;TEXT(tbl_IO_List[[#This Row],[Slot]],"00")</f>
        <v>C2S01</v>
      </c>
      <c r="Y261" s="136" t="str">
        <f>tbl_IO_List[[#This Row],[Chassis]]&amp;"S"&amp;TEXT(tbl_IO_List[[#This Row],[Slot]],"00")&amp;tbl_IO_List[[#This Row],[I/O Type]]&amp;TEXT(tbl_IO_List[[#This Row],[Point]],"00")</f>
        <v>C2S01DI30</v>
      </c>
      <c r="Z261" s="136" t="str">
        <f>tbl_IO_List[[#This Row],[Chassis]]&amp;"S"&amp;TEXT(tbl_IO_List[[#This Row],[Slot]],"00")&amp;","&amp;TEXT(tbl_IO_List[[#This Row],[Point]],"00")</f>
        <v>C2S01,30</v>
      </c>
      <c r="AA261" s="136" t="str">
        <f>VLOOKUP(tbl_IO_List[[#This Row],[Column23]],tbl_RackConfig[],5,FALSE) &amp;"-"&amp;tbl_IO_List[[#This Row],[Point]]</f>
        <v>1756-IB32-30</v>
      </c>
      <c r="AB261" s="136"/>
      <c r="AC261" s="136"/>
      <c r="AD261" s="136" t="str">
        <f>tbl_IO_List[[#This Row],[I/O Type]]</f>
        <v>DI</v>
      </c>
      <c r="AE261" s="136" t="s">
        <v>1333</v>
      </c>
      <c r="AF261" s="136">
        <v>1</v>
      </c>
      <c r="AG261" s="136">
        <v>30</v>
      </c>
      <c r="AH261" s="136">
        <v>31</v>
      </c>
      <c r="AI261" s="136">
        <v>33</v>
      </c>
      <c r="AJ261" s="136">
        <v>1</v>
      </c>
      <c r="AK261" s="136">
        <v>0</v>
      </c>
      <c r="AL261" s="136">
        <v>0</v>
      </c>
      <c r="AM261" s="136">
        <v>0</v>
      </c>
      <c r="AN261" s="136">
        <v>0</v>
      </c>
      <c r="AO261" s="136"/>
      <c r="AP261" s="143"/>
      <c r="AQ261" s="143" t="str">
        <f>tbl_IO_List[[#This Row],[Chassis]]&amp;"S"&amp;tbl_IO_List[[#This Row],[Slot]]&amp;"-"&amp;tbl_IO_List[[#This Row],[Front Terminal Number]]</f>
        <v>C2S1-33</v>
      </c>
      <c r="AR261" s="141" t="s">
        <v>1861</v>
      </c>
      <c r="AS261" s="136" t="str">
        <f>tbl_IO_List[[#This Row],[Terminal Tagging]]&amp;"-"&amp;tbl_IO_List[[#This Row],[Point-Count]]</f>
        <v>P2-TBDI1-31</v>
      </c>
      <c r="AT261" s="136" t="str">
        <f>tbl_IO_List[[#This Row],[Front Terminal Tagging]]&amp;"/"&amp;tbl_IO_List[[#This Row],[Terminal Tagging-Item]]</f>
        <v>C2S1-33/P2-TBDI1-31</v>
      </c>
      <c r="AU261" s="136" t="str">
        <f>tbl_IO_List[[#This Row],[Terminal Tagging-Item]]&amp;"/"&amp;tbl_IO_List[[#This Row],[Front Terminal Tagging]]</f>
        <v>P2-TBDI1-31/C2S1-33</v>
      </c>
    </row>
    <row r="262" spans="1:47">
      <c r="A262" s="147" t="s">
        <v>1367</v>
      </c>
      <c r="B262" s="136" t="s">
        <v>168</v>
      </c>
      <c r="C262" s="136" t="str">
        <f>tbl_IO_List[[#This Row],[Column3]]</f>
        <v>C2S01,31</v>
      </c>
      <c r="D262" s="136" t="str">
        <f>tbl_IO_List[[#This Row],[Card]]</f>
        <v>1756-IB32-31</v>
      </c>
      <c r="E262" s="136" t="s">
        <v>1372</v>
      </c>
      <c r="F262" s="136" t="str">
        <f>tbl_IO_List[[#This Row],[Column23]]&amp;"-" &amp;tbl_IO_List[[#This Row],[Column52]]</f>
        <v>C2S01-X2</v>
      </c>
      <c r="G262" s="136" t="str">
        <f>tbl_IO_List[[#This Row],[PLC_Tag]]</f>
        <v>Spare_DI_2</v>
      </c>
      <c r="H262" s="136"/>
      <c r="I262" s="136" t="str">
        <f>VLOOKUP(tbl_IO_List[[#This Row],[Destination]],tbl_Junction[],2,FALSE)</f>
        <v>Jet Cooker 2nd Floor</v>
      </c>
      <c r="J262" s="136" t="s">
        <v>168</v>
      </c>
      <c r="K262" s="136" t="s">
        <v>169</v>
      </c>
      <c r="L262" s="136" t="s">
        <v>411</v>
      </c>
      <c r="M262" s="136" t="e">
        <f>VLOOKUP(tbl_IO_List[[#This Row],[Instruement Tag]],tbl_Instruement_List[],2,FALSE)</f>
        <v>#N/A</v>
      </c>
      <c r="N262" s="136" t="s">
        <v>24</v>
      </c>
      <c r="O262" s="136" t="s">
        <v>18</v>
      </c>
      <c r="P262" s="136" t="s">
        <v>18</v>
      </c>
      <c r="Q262" s="136" t="e">
        <f>VLOOKUP(tbl_IO_List[[#This Row],[Instruement Tag]],tbl_Instruement_List[],6,FALSE)</f>
        <v>#N/A</v>
      </c>
      <c r="R262" s="136"/>
      <c r="S26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62" s="136" t="str">
        <f>tbl_IO_List[[#This Row],[Instruement Tag]]&amp;"_"&amp;tbl_IO_List[[#This Row],[I/O Type]]&amp;"_"&amp;tbl_IO_List[[#This Row],[IO-Point 
(Instruement)]]</f>
        <v>Spare_DI_2</v>
      </c>
      <c r="U262" s="136" t="s">
        <v>8</v>
      </c>
      <c r="V262" s="136">
        <f>VLOOKUP(tbl_IO_List[[#This Row],[I/O Type]],tbl_Slot_Group[],2,FALSE)</f>
        <v>1</v>
      </c>
      <c r="W262" s="136">
        <v>2</v>
      </c>
      <c r="X262" s="136" t="str">
        <f>tbl_IO_List[[#This Row],[Chassis]]&amp;"S"&amp;TEXT(tbl_IO_List[[#This Row],[Slot]],"00")</f>
        <v>C2S01</v>
      </c>
      <c r="Y262" s="136" t="str">
        <f>tbl_IO_List[[#This Row],[Chassis]]&amp;"S"&amp;TEXT(tbl_IO_List[[#This Row],[Slot]],"00")&amp;tbl_IO_List[[#This Row],[I/O Type]]&amp;TEXT(tbl_IO_List[[#This Row],[Point]],"00")</f>
        <v>C2S01DI31</v>
      </c>
      <c r="Z262" s="136" t="str">
        <f>tbl_IO_List[[#This Row],[Chassis]]&amp;"S"&amp;TEXT(tbl_IO_List[[#This Row],[Slot]],"00")&amp;","&amp;TEXT(tbl_IO_List[[#This Row],[Point]],"00")</f>
        <v>C2S01,31</v>
      </c>
      <c r="AA262" s="136" t="str">
        <f>VLOOKUP(tbl_IO_List[[#This Row],[Column23]],tbl_RackConfig[],5,FALSE) &amp;"-"&amp;tbl_IO_List[[#This Row],[Point]]</f>
        <v>1756-IB32-31</v>
      </c>
      <c r="AB262" s="136"/>
      <c r="AC262" s="136"/>
      <c r="AD262" s="136" t="str">
        <f>tbl_IO_List[[#This Row],[I/O Type]]</f>
        <v>DI</v>
      </c>
      <c r="AE262" s="136" t="s">
        <v>1333</v>
      </c>
      <c r="AF262" s="136">
        <v>1</v>
      </c>
      <c r="AG262" s="136">
        <v>31</v>
      </c>
      <c r="AH262" s="136">
        <v>32</v>
      </c>
      <c r="AI262" s="136">
        <v>34</v>
      </c>
      <c r="AJ262" s="136">
        <v>1</v>
      </c>
      <c r="AK262" s="136">
        <v>0</v>
      </c>
      <c r="AL262" s="136">
        <v>0</v>
      </c>
      <c r="AM262" s="136">
        <v>0</v>
      </c>
      <c r="AN262" s="136">
        <v>0</v>
      </c>
      <c r="AO262" s="136"/>
      <c r="AP262" s="143"/>
      <c r="AQ262" s="143" t="str">
        <f>tbl_IO_List[[#This Row],[Chassis]]&amp;"S"&amp;tbl_IO_List[[#This Row],[Slot]]&amp;"-"&amp;tbl_IO_List[[#This Row],[Front Terminal Number]]</f>
        <v>C2S1-34</v>
      </c>
      <c r="AR262" s="141" t="s">
        <v>1861</v>
      </c>
      <c r="AS262" s="136" t="str">
        <f>tbl_IO_List[[#This Row],[Terminal Tagging]]&amp;"-"&amp;tbl_IO_List[[#This Row],[Point-Count]]</f>
        <v>P2-TBDI1-32</v>
      </c>
      <c r="AT262" s="136" t="str">
        <f>tbl_IO_List[[#This Row],[Front Terminal Tagging]]&amp;"/"&amp;tbl_IO_List[[#This Row],[Terminal Tagging-Item]]</f>
        <v>C2S1-34/P2-TBDI1-32</v>
      </c>
      <c r="AU262" s="136" t="str">
        <f>tbl_IO_List[[#This Row],[Terminal Tagging-Item]]&amp;"/"&amp;tbl_IO_List[[#This Row],[Front Terminal Tagging]]</f>
        <v>P2-TBDI1-32/C2S1-34</v>
      </c>
    </row>
    <row r="263" spans="1:47">
      <c r="A263" s="147" t="s">
        <v>1367</v>
      </c>
      <c r="B263" s="136" t="s">
        <v>221</v>
      </c>
      <c r="C263" s="136" t="str">
        <f>tbl_IO_List[[#This Row],[Column3]]</f>
        <v>C2S02,00</v>
      </c>
      <c r="D263" s="136" t="str">
        <f>tbl_IO_List[[#This Row],[Card]]</f>
        <v>1756-IB32-0</v>
      </c>
      <c r="E263" s="136" t="s">
        <v>1366</v>
      </c>
      <c r="F263" s="136" t="str">
        <f>tbl_IO_List[[#This Row],[Column23]]&amp;"-" &amp;tbl_IO_List[[#This Row],[Column52]]</f>
        <v>C2S02-X1</v>
      </c>
      <c r="G263" s="136" t="str">
        <f>tbl_IO_List[[#This Row],[PLC_Tag]]</f>
        <v>FT-60202_DI_1</v>
      </c>
      <c r="H263" s="136"/>
      <c r="I263" s="136" t="str">
        <f>VLOOKUP(tbl_IO_List[[#This Row],[Destination]],tbl_Junction[],2,FALSE)</f>
        <v>Spray Dryer 3rd Floor</v>
      </c>
      <c r="J263" s="136" t="s">
        <v>221</v>
      </c>
      <c r="K263" s="136" t="s">
        <v>14</v>
      </c>
      <c r="L263" s="136" t="s">
        <v>225</v>
      </c>
      <c r="M263" s="136">
        <f>VLOOKUP(tbl_IO_List[[#This Row],[Instruement Tag]],tbl_Instruement_List[],2,FALSE)</f>
        <v>0</v>
      </c>
      <c r="N263" s="136" t="s">
        <v>47</v>
      </c>
      <c r="O263" s="136" t="s">
        <v>226</v>
      </c>
      <c r="P263" s="136" t="s">
        <v>227</v>
      </c>
      <c r="Q263" s="136" t="str">
        <f>VLOOKUP(tbl_IO_List[[#This Row],[Instruement Tag]],tbl_Instruement_List[],6,FALSE)</f>
        <v xml:space="preserve">Steam feed to Spray dryer </v>
      </c>
      <c r="R263" s="136"/>
      <c r="S26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1,DO=0,AI=1,AO=0,Bus=0</v>
      </c>
      <c r="T263" s="136" t="str">
        <f>tbl_IO_List[[#This Row],[Instruement Tag]]&amp;"_"&amp;tbl_IO_List[[#This Row],[I/O Type]]&amp;"_"&amp;tbl_IO_List[[#This Row],[IO-Point 
(Instruement)]]</f>
        <v>FT-60202_DI_1</v>
      </c>
      <c r="U263" s="136" t="s">
        <v>8</v>
      </c>
      <c r="V263" s="136">
        <f>VLOOKUP(tbl_IO_List[[#This Row],[I/O Type]],tbl_Slot_Group[],2,FALSE)</f>
        <v>1</v>
      </c>
      <c r="W263" s="136">
        <v>1</v>
      </c>
      <c r="X263" s="136" t="str">
        <f>tbl_IO_List[[#This Row],[Chassis]]&amp;"S"&amp;TEXT(tbl_IO_List[[#This Row],[Slot]],"00")</f>
        <v>C2S02</v>
      </c>
      <c r="Y263" s="136" t="str">
        <f>tbl_IO_List[[#This Row],[Chassis]]&amp;"S"&amp;TEXT(tbl_IO_List[[#This Row],[Slot]],"00")&amp;tbl_IO_List[[#This Row],[I/O Type]]&amp;TEXT(tbl_IO_List[[#This Row],[Point]],"00")</f>
        <v>C2S02DI00</v>
      </c>
      <c r="Z263" s="136" t="str">
        <f>tbl_IO_List[[#This Row],[Chassis]]&amp;"S"&amp;TEXT(tbl_IO_List[[#This Row],[Slot]],"00")&amp;","&amp;TEXT(tbl_IO_List[[#This Row],[Point]],"00")</f>
        <v>C2S02,00</v>
      </c>
      <c r="AA263" s="136" t="str">
        <f>VLOOKUP(tbl_IO_List[[#This Row],[Column23]],tbl_RackConfig[],5,FALSE) &amp;"-"&amp;tbl_IO_List[[#This Row],[Point]]</f>
        <v>1756-IB32-0</v>
      </c>
      <c r="AB263" s="136"/>
      <c r="AC263" s="136"/>
      <c r="AD263" s="136" t="str">
        <f>tbl_IO_List[[#This Row],[I/O Type]]</f>
        <v>DI</v>
      </c>
      <c r="AE263" s="136" t="s">
        <v>1333</v>
      </c>
      <c r="AF263" s="136">
        <v>2</v>
      </c>
      <c r="AG263" s="136">
        <v>0</v>
      </c>
      <c r="AH263" s="136">
        <v>1</v>
      </c>
      <c r="AI263" s="136">
        <v>1</v>
      </c>
      <c r="AJ263" s="136">
        <v>1</v>
      </c>
      <c r="AK263" s="136">
        <v>0</v>
      </c>
      <c r="AL263" s="136">
        <v>1</v>
      </c>
      <c r="AM263" s="136">
        <v>0</v>
      </c>
      <c r="AN263" s="136">
        <v>0</v>
      </c>
      <c r="AO263" s="136"/>
      <c r="AP263" s="143" t="str">
        <f>VLOOKUP(tbl_IO_List[[#This Row],[Instruement Tag]],tbl_Instruement_List[],14,FALSE)</f>
        <v>4 - 20 mA</v>
      </c>
      <c r="AQ263" s="143" t="str">
        <f>tbl_IO_List[[#This Row],[Chassis]]&amp;"S"&amp;tbl_IO_List[[#This Row],[Slot]]&amp;"-"&amp;tbl_IO_List[[#This Row],[Front Terminal Number]]</f>
        <v>C2S2-1</v>
      </c>
      <c r="AR263" s="141" t="s">
        <v>1862</v>
      </c>
      <c r="AS263" s="136" t="str">
        <f>tbl_IO_List[[#This Row],[Terminal Tagging]]&amp;"-"&amp;tbl_IO_List[[#This Row],[Point-Count]]</f>
        <v>P2-TBDI2-1</v>
      </c>
      <c r="AT263" s="136" t="str">
        <f>tbl_IO_List[[#This Row],[Front Terminal Tagging]]&amp;"/"&amp;tbl_IO_List[[#This Row],[Terminal Tagging-Item]]</f>
        <v>C2S2-1/P2-TBDI2-1</v>
      </c>
      <c r="AU263" s="136" t="str">
        <f>tbl_IO_List[[#This Row],[Terminal Tagging-Item]]&amp;"/"&amp;tbl_IO_List[[#This Row],[Front Terminal Tagging]]</f>
        <v>P2-TBDI2-1/C2S2-1</v>
      </c>
    </row>
    <row r="264" spans="1:47">
      <c r="A264" s="147" t="s">
        <v>1367</v>
      </c>
      <c r="B264" s="136" t="s">
        <v>221</v>
      </c>
      <c r="C264" s="136" t="str">
        <f>tbl_IO_List[[#This Row],[Column3]]</f>
        <v>C2S02,01</v>
      </c>
      <c r="D264" s="136" t="str">
        <f>tbl_IO_List[[#This Row],[Card]]</f>
        <v>1756-IB32-1</v>
      </c>
      <c r="E264" s="136" t="s">
        <v>1366</v>
      </c>
      <c r="F264" s="136" t="str">
        <f>tbl_IO_List[[#This Row],[Column23]]&amp;"-" &amp;tbl_IO_List[[#This Row],[Column52]]</f>
        <v>C2S02-X1</v>
      </c>
      <c r="G264" s="136" t="str">
        <f>tbl_IO_List[[#This Row],[PLC_Tag]]</f>
        <v>LSH-60251_DI_1</v>
      </c>
      <c r="H264" s="136"/>
      <c r="I264" s="136" t="str">
        <f>VLOOKUP(tbl_IO_List[[#This Row],[Destination]],tbl_Junction[],2,FALSE)</f>
        <v>Spray Dryer 3rd Floor</v>
      </c>
      <c r="J264" s="136" t="s">
        <v>221</v>
      </c>
      <c r="K264" s="136" t="s">
        <v>14</v>
      </c>
      <c r="L264" s="136" t="s">
        <v>228</v>
      </c>
      <c r="M264" s="136">
        <f>VLOOKUP(tbl_IO_List[[#This Row],[Instruement Tag]],tbl_Instruement_List[],2,FALSE)</f>
        <v>0</v>
      </c>
      <c r="N264" s="136" t="s">
        <v>31</v>
      </c>
      <c r="O264" s="136" t="s">
        <v>16</v>
      </c>
      <c r="P264" s="136" t="s">
        <v>17</v>
      </c>
      <c r="Q264" s="136" t="str">
        <f>VLOOKUP(tbl_IO_List[[#This Row],[Instruement Tag]],tbl_Instruement_List[],6,FALSE)</f>
        <v>Water Level Switch High for Fire Deluge Pipe (FWDP-22)</v>
      </c>
      <c r="R264" s="136"/>
      <c r="S26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64" s="136" t="str">
        <f>tbl_IO_List[[#This Row],[Instruement Tag]]&amp;"_"&amp;tbl_IO_List[[#This Row],[I/O Type]]&amp;"_"&amp;tbl_IO_List[[#This Row],[IO-Point 
(Instruement)]]</f>
        <v>LSH-60251_DI_1</v>
      </c>
      <c r="U264" s="136" t="s">
        <v>8</v>
      </c>
      <c r="V264" s="136">
        <f>VLOOKUP(tbl_IO_List[[#This Row],[I/O Type]],tbl_Slot_Group[],2,FALSE)</f>
        <v>1</v>
      </c>
      <c r="W264" s="136">
        <v>1</v>
      </c>
      <c r="X264" s="136" t="str">
        <f>tbl_IO_List[[#This Row],[Chassis]]&amp;"S"&amp;TEXT(tbl_IO_List[[#This Row],[Slot]],"00")</f>
        <v>C2S02</v>
      </c>
      <c r="Y264" s="136" t="str">
        <f>tbl_IO_List[[#This Row],[Chassis]]&amp;"S"&amp;TEXT(tbl_IO_List[[#This Row],[Slot]],"00")&amp;tbl_IO_List[[#This Row],[I/O Type]]&amp;TEXT(tbl_IO_List[[#This Row],[Point]],"00")</f>
        <v>C2S02DI01</v>
      </c>
      <c r="Z264" s="136" t="str">
        <f>tbl_IO_List[[#This Row],[Chassis]]&amp;"S"&amp;TEXT(tbl_IO_List[[#This Row],[Slot]],"00")&amp;","&amp;TEXT(tbl_IO_List[[#This Row],[Point]],"00")</f>
        <v>C2S02,01</v>
      </c>
      <c r="AA264" s="136" t="str">
        <f>VLOOKUP(tbl_IO_List[[#This Row],[Column23]],tbl_RackConfig[],5,FALSE) &amp;"-"&amp;tbl_IO_List[[#This Row],[Point]]</f>
        <v>1756-IB32-1</v>
      </c>
      <c r="AB264" s="136"/>
      <c r="AC264" s="136"/>
      <c r="AD264" s="136" t="str">
        <f>tbl_IO_List[[#This Row],[I/O Type]]</f>
        <v>DI</v>
      </c>
      <c r="AE264" s="136" t="s">
        <v>1333</v>
      </c>
      <c r="AF264" s="136">
        <v>2</v>
      </c>
      <c r="AG264" s="136">
        <v>1</v>
      </c>
      <c r="AH264" s="136">
        <v>2</v>
      </c>
      <c r="AI264" s="136">
        <v>2</v>
      </c>
      <c r="AJ264" s="136">
        <v>1</v>
      </c>
      <c r="AK264" s="136">
        <v>0</v>
      </c>
      <c r="AL264" s="136">
        <v>0</v>
      </c>
      <c r="AM264" s="136">
        <v>0</v>
      </c>
      <c r="AN264" s="136">
        <v>0</v>
      </c>
      <c r="AO264" s="136"/>
      <c r="AP264" s="143" t="str">
        <f>VLOOKUP(tbl_IO_List[[#This Row],[Instruement Tag]],tbl_Instruement_List[],14,FALSE)</f>
        <v>Dry Contact</v>
      </c>
      <c r="AQ264" s="143" t="str">
        <f>tbl_IO_List[[#This Row],[Chassis]]&amp;"S"&amp;tbl_IO_List[[#This Row],[Slot]]&amp;"-"&amp;tbl_IO_List[[#This Row],[Front Terminal Number]]</f>
        <v>C2S2-2</v>
      </c>
      <c r="AR264" s="141" t="s">
        <v>1862</v>
      </c>
      <c r="AS264" s="136" t="str">
        <f>tbl_IO_List[[#This Row],[Terminal Tagging]]&amp;"-"&amp;tbl_IO_List[[#This Row],[Point-Count]]</f>
        <v>P2-TBDI2-2</v>
      </c>
      <c r="AT264" s="136" t="str">
        <f>tbl_IO_List[[#This Row],[Front Terminal Tagging]]&amp;"/"&amp;tbl_IO_List[[#This Row],[Terminal Tagging-Item]]</f>
        <v>C2S2-2/P2-TBDI2-2</v>
      </c>
      <c r="AU264" s="136" t="str">
        <f>tbl_IO_List[[#This Row],[Terminal Tagging-Item]]&amp;"/"&amp;tbl_IO_List[[#This Row],[Front Terminal Tagging]]</f>
        <v>P2-TBDI2-2/C2S2-2</v>
      </c>
    </row>
    <row r="265" spans="1:47">
      <c r="A265" s="147" t="s">
        <v>1367</v>
      </c>
      <c r="B265" s="136" t="s">
        <v>221</v>
      </c>
      <c r="C265" s="136" t="str">
        <f>tbl_IO_List[[#This Row],[Column3]]</f>
        <v>C2S02,02</v>
      </c>
      <c r="D265" s="136" t="str">
        <f>tbl_IO_List[[#This Row],[Card]]</f>
        <v>1756-IB32-2</v>
      </c>
      <c r="E265" s="136" t="s">
        <v>1366</v>
      </c>
      <c r="F265" s="136" t="str">
        <f>tbl_IO_List[[#This Row],[Column23]]&amp;"-" &amp;tbl_IO_List[[#This Row],[Column52]]</f>
        <v>C2S02-X1</v>
      </c>
      <c r="G265" s="136" t="str">
        <f>tbl_IO_List[[#This Row],[PLC_Tag]]</f>
        <v>PSL-60220_DI_1</v>
      </c>
      <c r="H265" s="136"/>
      <c r="I265" s="136" t="str">
        <f>VLOOKUP(tbl_IO_List[[#This Row],[Destination]],tbl_Junction[],2,FALSE)</f>
        <v>Spray Dryer 3rd Floor</v>
      </c>
      <c r="J265" s="136" t="s">
        <v>221</v>
      </c>
      <c r="K265" s="136" t="s">
        <v>14</v>
      </c>
      <c r="L265" s="136" t="s">
        <v>229</v>
      </c>
      <c r="M265" s="136">
        <f>VLOOKUP(tbl_IO_List[[#This Row],[Instruement Tag]],tbl_Instruement_List[],2,FALSE)</f>
        <v>0</v>
      </c>
      <c r="N265" s="136" t="s">
        <v>47</v>
      </c>
      <c r="O265" s="136" t="s">
        <v>16</v>
      </c>
      <c r="P265" s="136" t="s">
        <v>17</v>
      </c>
      <c r="Q265" s="136" t="str">
        <f>VLOOKUP(tbl_IO_List[[#This Row],[Instruement Tag]],tbl_Instruement_List[],6,FALSE)</f>
        <v>Gas Pressure Switch Low for Spray Chamber (CHAM-21)</v>
      </c>
      <c r="R265" s="136"/>
      <c r="S26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65" s="136" t="str">
        <f>tbl_IO_List[[#This Row],[Instruement Tag]]&amp;"_"&amp;tbl_IO_List[[#This Row],[I/O Type]]&amp;"_"&amp;tbl_IO_List[[#This Row],[IO-Point 
(Instruement)]]</f>
        <v>PSL-60220_DI_1</v>
      </c>
      <c r="U265" s="136" t="s">
        <v>8</v>
      </c>
      <c r="V265" s="136">
        <f>VLOOKUP(tbl_IO_List[[#This Row],[I/O Type]],tbl_Slot_Group[],2,FALSE)</f>
        <v>1</v>
      </c>
      <c r="W265" s="136">
        <v>1</v>
      </c>
      <c r="X265" s="136" t="str">
        <f>tbl_IO_List[[#This Row],[Chassis]]&amp;"S"&amp;TEXT(tbl_IO_List[[#This Row],[Slot]],"00")</f>
        <v>C2S02</v>
      </c>
      <c r="Y265" s="136" t="str">
        <f>tbl_IO_List[[#This Row],[Chassis]]&amp;"S"&amp;TEXT(tbl_IO_List[[#This Row],[Slot]],"00")&amp;tbl_IO_List[[#This Row],[I/O Type]]&amp;TEXT(tbl_IO_List[[#This Row],[Point]],"00")</f>
        <v>C2S02DI02</v>
      </c>
      <c r="Z265" s="136" t="str">
        <f>tbl_IO_List[[#This Row],[Chassis]]&amp;"S"&amp;TEXT(tbl_IO_List[[#This Row],[Slot]],"00")&amp;","&amp;TEXT(tbl_IO_List[[#This Row],[Point]],"00")</f>
        <v>C2S02,02</v>
      </c>
      <c r="AA265" s="136" t="str">
        <f>VLOOKUP(tbl_IO_List[[#This Row],[Column23]],tbl_RackConfig[],5,FALSE) &amp;"-"&amp;tbl_IO_List[[#This Row],[Point]]</f>
        <v>1756-IB32-2</v>
      </c>
      <c r="AB265" s="136"/>
      <c r="AC265" s="136"/>
      <c r="AD265" s="136" t="str">
        <f>tbl_IO_List[[#This Row],[I/O Type]]</f>
        <v>DI</v>
      </c>
      <c r="AE265" s="136" t="s">
        <v>1333</v>
      </c>
      <c r="AF265" s="136">
        <v>2</v>
      </c>
      <c r="AG265" s="136">
        <v>2</v>
      </c>
      <c r="AH265" s="136">
        <v>3</v>
      </c>
      <c r="AI265" s="136">
        <v>3</v>
      </c>
      <c r="AJ265" s="136">
        <v>1</v>
      </c>
      <c r="AK265" s="136">
        <v>0</v>
      </c>
      <c r="AL265" s="136">
        <v>0</v>
      </c>
      <c r="AM265" s="136">
        <v>0</v>
      </c>
      <c r="AN265" s="136">
        <v>0</v>
      </c>
      <c r="AO265" s="136"/>
      <c r="AP265" s="143" t="str">
        <f>VLOOKUP(tbl_IO_List[[#This Row],[Instruement Tag]],tbl_Instruement_List[],14,FALSE)</f>
        <v>Dry Contact</v>
      </c>
      <c r="AQ265" s="143" t="str">
        <f>tbl_IO_List[[#This Row],[Chassis]]&amp;"S"&amp;tbl_IO_List[[#This Row],[Slot]]&amp;"-"&amp;tbl_IO_List[[#This Row],[Front Terminal Number]]</f>
        <v>C2S2-3</v>
      </c>
      <c r="AR265" s="141" t="s">
        <v>1862</v>
      </c>
      <c r="AS265" s="136" t="str">
        <f>tbl_IO_List[[#This Row],[Terminal Tagging]]&amp;"-"&amp;tbl_IO_List[[#This Row],[Point-Count]]</f>
        <v>P2-TBDI2-3</v>
      </c>
      <c r="AT265" s="136" t="str">
        <f>tbl_IO_List[[#This Row],[Front Terminal Tagging]]&amp;"/"&amp;tbl_IO_List[[#This Row],[Terminal Tagging-Item]]</f>
        <v>C2S2-3/P2-TBDI2-3</v>
      </c>
      <c r="AU265" s="136" t="str">
        <f>tbl_IO_List[[#This Row],[Terminal Tagging-Item]]&amp;"/"&amp;tbl_IO_List[[#This Row],[Front Terminal Tagging]]</f>
        <v>P2-TBDI2-3/C2S2-3</v>
      </c>
    </row>
    <row r="266" spans="1:47">
      <c r="A266" s="147" t="s">
        <v>1367</v>
      </c>
      <c r="B266" s="136" t="s">
        <v>221</v>
      </c>
      <c r="C266" s="136" t="str">
        <f>tbl_IO_List[[#This Row],[Column3]]</f>
        <v>C2S02,03</v>
      </c>
      <c r="D266" s="136" t="str">
        <f>tbl_IO_List[[#This Row],[Card]]</f>
        <v>1756-IB32-3</v>
      </c>
      <c r="E266" s="136" t="s">
        <v>1366</v>
      </c>
      <c r="F266" s="136" t="str">
        <f>tbl_IO_List[[#This Row],[Column23]]&amp;"-" &amp;tbl_IO_List[[#This Row],[Column52]]</f>
        <v>C2S02-X1</v>
      </c>
      <c r="G266" s="136" t="str">
        <f>tbl_IO_List[[#This Row],[PLC_Tag]]</f>
        <v>TSH-60230_DI_1</v>
      </c>
      <c r="H266" s="136"/>
      <c r="I266" s="136" t="str">
        <f>VLOOKUP(tbl_IO_List[[#This Row],[Destination]],tbl_Junction[],2,FALSE)</f>
        <v>Spray Dryer 3rd Floor</v>
      </c>
      <c r="J266" s="136" t="s">
        <v>221</v>
      </c>
      <c r="K266" s="136" t="s">
        <v>14</v>
      </c>
      <c r="L266" s="136" t="s">
        <v>235</v>
      </c>
      <c r="M266" s="136">
        <f>VLOOKUP(tbl_IO_List[[#This Row],[Instruement Tag]],tbl_Instruement_List[],2,FALSE)</f>
        <v>0</v>
      </c>
      <c r="N266" s="136" t="s">
        <v>28</v>
      </c>
      <c r="O266" s="136" t="s">
        <v>16</v>
      </c>
      <c r="P266" s="136" t="s">
        <v>17</v>
      </c>
      <c r="Q266" s="136" t="str">
        <f>VLOOKUP(tbl_IO_List[[#This Row],[Instruement Tag]],tbl_Instruement_List[],6,FALSE)</f>
        <v>Gas and Powder Temperature Switch High for Conveying Duct (DTCO-21)</v>
      </c>
      <c r="R266" s="136"/>
      <c r="S26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66" s="136" t="str">
        <f>tbl_IO_List[[#This Row],[Instruement Tag]]&amp;"_"&amp;tbl_IO_List[[#This Row],[I/O Type]]&amp;"_"&amp;tbl_IO_List[[#This Row],[IO-Point 
(Instruement)]]</f>
        <v>TSH-60230_DI_1</v>
      </c>
      <c r="U266" s="136" t="s">
        <v>8</v>
      </c>
      <c r="V266" s="136">
        <f>VLOOKUP(tbl_IO_List[[#This Row],[I/O Type]],tbl_Slot_Group[],2,FALSE)</f>
        <v>1</v>
      </c>
      <c r="W266" s="136">
        <v>1</v>
      </c>
      <c r="X266" s="136" t="str">
        <f>tbl_IO_List[[#This Row],[Chassis]]&amp;"S"&amp;TEXT(tbl_IO_List[[#This Row],[Slot]],"00")</f>
        <v>C2S02</v>
      </c>
      <c r="Y266" s="136" t="str">
        <f>tbl_IO_List[[#This Row],[Chassis]]&amp;"S"&amp;TEXT(tbl_IO_List[[#This Row],[Slot]],"00")&amp;tbl_IO_List[[#This Row],[I/O Type]]&amp;TEXT(tbl_IO_List[[#This Row],[Point]],"00")</f>
        <v>C2S02DI03</v>
      </c>
      <c r="Z266" s="136" t="str">
        <f>tbl_IO_List[[#This Row],[Chassis]]&amp;"S"&amp;TEXT(tbl_IO_List[[#This Row],[Slot]],"00")&amp;","&amp;TEXT(tbl_IO_List[[#This Row],[Point]],"00")</f>
        <v>C2S02,03</v>
      </c>
      <c r="AA266" s="136" t="str">
        <f>VLOOKUP(tbl_IO_List[[#This Row],[Column23]],tbl_RackConfig[],5,FALSE) &amp;"-"&amp;tbl_IO_List[[#This Row],[Point]]</f>
        <v>1756-IB32-3</v>
      </c>
      <c r="AB266" s="136"/>
      <c r="AC266" s="136"/>
      <c r="AD266" s="136" t="str">
        <f>tbl_IO_List[[#This Row],[I/O Type]]</f>
        <v>DI</v>
      </c>
      <c r="AE266" s="136" t="s">
        <v>1333</v>
      </c>
      <c r="AF266" s="136">
        <v>2</v>
      </c>
      <c r="AG266" s="136">
        <v>3</v>
      </c>
      <c r="AH266" s="136">
        <v>4</v>
      </c>
      <c r="AI266" s="136">
        <v>4</v>
      </c>
      <c r="AJ266" s="136">
        <v>1</v>
      </c>
      <c r="AK266" s="136">
        <v>0</v>
      </c>
      <c r="AL266" s="136">
        <v>0</v>
      </c>
      <c r="AM266" s="136">
        <v>0</v>
      </c>
      <c r="AN266" s="136">
        <v>0</v>
      </c>
      <c r="AO266" s="136"/>
      <c r="AP266" s="143" t="str">
        <f>VLOOKUP(tbl_IO_List[[#This Row],[Instruement Tag]],tbl_Instruement_List[],14,FALSE)</f>
        <v>Dry Contact</v>
      </c>
      <c r="AQ266" s="143" t="str">
        <f>tbl_IO_List[[#This Row],[Chassis]]&amp;"S"&amp;tbl_IO_List[[#This Row],[Slot]]&amp;"-"&amp;tbl_IO_List[[#This Row],[Front Terminal Number]]</f>
        <v>C2S2-4</v>
      </c>
      <c r="AR266" s="141" t="s">
        <v>1862</v>
      </c>
      <c r="AS266" s="136" t="str">
        <f>tbl_IO_List[[#This Row],[Terminal Tagging]]&amp;"-"&amp;tbl_IO_List[[#This Row],[Point-Count]]</f>
        <v>P2-TBDI2-4</v>
      </c>
      <c r="AT266" s="136" t="str">
        <f>tbl_IO_List[[#This Row],[Front Terminal Tagging]]&amp;"/"&amp;tbl_IO_List[[#This Row],[Terminal Tagging-Item]]</f>
        <v>C2S2-4/P2-TBDI2-4</v>
      </c>
      <c r="AU266" s="136" t="str">
        <f>tbl_IO_List[[#This Row],[Terminal Tagging-Item]]&amp;"/"&amp;tbl_IO_List[[#This Row],[Front Terminal Tagging]]</f>
        <v>P2-TBDI2-4/C2S2-4</v>
      </c>
    </row>
    <row r="267" spans="1:47">
      <c r="A267" s="147" t="s">
        <v>1367</v>
      </c>
      <c r="B267" s="136" t="s">
        <v>221</v>
      </c>
      <c r="C267" s="136" t="str">
        <f>tbl_IO_List[[#This Row],[Column3]]</f>
        <v>C2S02,04</v>
      </c>
      <c r="D267" s="136" t="str">
        <f>tbl_IO_List[[#This Row],[Card]]</f>
        <v>1756-IB32-4</v>
      </c>
      <c r="E267" s="136" t="s">
        <v>1366</v>
      </c>
      <c r="F267" s="136" t="str">
        <f>tbl_IO_List[[#This Row],[Column23]]&amp;"-" &amp;tbl_IO_List[[#This Row],[Column52]]</f>
        <v>C2S02-X1</v>
      </c>
      <c r="G267" s="136" t="str">
        <f>tbl_IO_List[[#This Row],[PLC_Tag]]</f>
        <v>TSH-60240_DI_1</v>
      </c>
      <c r="H267" s="136"/>
      <c r="I267" s="136" t="str">
        <f>VLOOKUP(tbl_IO_List[[#This Row],[Destination]],tbl_Junction[],2,FALSE)</f>
        <v>Spray Dryer 3rd Floor</v>
      </c>
      <c r="J267" s="136" t="s">
        <v>221</v>
      </c>
      <c r="K267" s="136" t="s">
        <v>14</v>
      </c>
      <c r="L267" s="136" t="s">
        <v>236</v>
      </c>
      <c r="M267" s="136">
        <f>VLOOKUP(tbl_IO_List[[#This Row],[Instruement Tag]],tbl_Instruement_List[],2,FALSE)</f>
        <v>0</v>
      </c>
      <c r="N267" s="136" t="s">
        <v>47</v>
      </c>
      <c r="O267" s="136" t="s">
        <v>21</v>
      </c>
      <c r="P267" s="136" t="s">
        <v>22</v>
      </c>
      <c r="Q267" s="136" t="str">
        <f>VLOOKUP(tbl_IO_List[[#This Row],[Instruement Tag]],tbl_Instruement_List[],6,FALSE)</f>
        <v>Gas and Powder Temperature Switch High for Exhaust Duct (DTEX-22)</v>
      </c>
      <c r="R267" s="136"/>
      <c r="S26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67" s="136" t="str">
        <f>tbl_IO_List[[#This Row],[Instruement Tag]]&amp;"_"&amp;tbl_IO_List[[#This Row],[I/O Type]]&amp;"_"&amp;tbl_IO_List[[#This Row],[IO-Point 
(Instruement)]]</f>
        <v>TSH-60240_DI_1</v>
      </c>
      <c r="U267" s="136" t="s">
        <v>8</v>
      </c>
      <c r="V267" s="136">
        <f>VLOOKUP(tbl_IO_List[[#This Row],[I/O Type]],tbl_Slot_Group[],2,FALSE)</f>
        <v>1</v>
      </c>
      <c r="W267" s="136">
        <v>1</v>
      </c>
      <c r="X267" s="136" t="str">
        <f>tbl_IO_List[[#This Row],[Chassis]]&amp;"S"&amp;TEXT(tbl_IO_List[[#This Row],[Slot]],"00")</f>
        <v>C2S02</v>
      </c>
      <c r="Y267" s="136" t="str">
        <f>tbl_IO_List[[#This Row],[Chassis]]&amp;"S"&amp;TEXT(tbl_IO_List[[#This Row],[Slot]],"00")&amp;tbl_IO_List[[#This Row],[I/O Type]]&amp;TEXT(tbl_IO_List[[#This Row],[Point]],"00")</f>
        <v>C2S02DI04</v>
      </c>
      <c r="Z267" s="136" t="str">
        <f>tbl_IO_List[[#This Row],[Chassis]]&amp;"S"&amp;TEXT(tbl_IO_List[[#This Row],[Slot]],"00")&amp;","&amp;TEXT(tbl_IO_List[[#This Row],[Point]],"00")</f>
        <v>C2S02,04</v>
      </c>
      <c r="AA267" s="136" t="str">
        <f>VLOOKUP(tbl_IO_List[[#This Row],[Column23]],tbl_RackConfig[],5,FALSE) &amp;"-"&amp;tbl_IO_List[[#This Row],[Point]]</f>
        <v>1756-IB32-4</v>
      </c>
      <c r="AB267" s="136"/>
      <c r="AC267" s="136"/>
      <c r="AD267" s="136" t="str">
        <f>tbl_IO_List[[#This Row],[I/O Type]]</f>
        <v>DI</v>
      </c>
      <c r="AE267" s="136" t="s">
        <v>1333</v>
      </c>
      <c r="AF267" s="136">
        <v>2</v>
      </c>
      <c r="AG267" s="136">
        <v>4</v>
      </c>
      <c r="AH267" s="136">
        <v>5</v>
      </c>
      <c r="AI267" s="136">
        <v>5</v>
      </c>
      <c r="AJ267" s="136">
        <v>1</v>
      </c>
      <c r="AK267" s="136">
        <v>0</v>
      </c>
      <c r="AL267" s="136">
        <v>0</v>
      </c>
      <c r="AM267" s="136">
        <v>0</v>
      </c>
      <c r="AN267" s="136">
        <v>0</v>
      </c>
      <c r="AO267" s="136"/>
      <c r="AP267" s="143" t="str">
        <f>VLOOKUP(tbl_IO_List[[#This Row],[Instruement Tag]],tbl_Instruement_List[],14,FALSE)</f>
        <v>Dry Contact</v>
      </c>
      <c r="AQ267" s="143" t="str">
        <f>tbl_IO_List[[#This Row],[Chassis]]&amp;"S"&amp;tbl_IO_List[[#This Row],[Slot]]&amp;"-"&amp;tbl_IO_List[[#This Row],[Front Terminal Number]]</f>
        <v>C2S2-5</v>
      </c>
      <c r="AR267" s="141" t="s">
        <v>1862</v>
      </c>
      <c r="AS267" s="136" t="str">
        <f>tbl_IO_List[[#This Row],[Terminal Tagging]]&amp;"-"&amp;tbl_IO_List[[#This Row],[Point-Count]]</f>
        <v>P2-TBDI2-5</v>
      </c>
      <c r="AT267" s="136" t="str">
        <f>tbl_IO_List[[#This Row],[Front Terminal Tagging]]&amp;"/"&amp;tbl_IO_List[[#This Row],[Terminal Tagging-Item]]</f>
        <v>C2S2-5/P2-TBDI2-5</v>
      </c>
      <c r="AU267" s="136" t="str">
        <f>tbl_IO_List[[#This Row],[Terminal Tagging-Item]]&amp;"/"&amp;tbl_IO_List[[#This Row],[Front Terminal Tagging]]</f>
        <v>P2-TBDI2-5/C2S2-5</v>
      </c>
    </row>
    <row r="268" spans="1:47">
      <c r="A268" s="147" t="s">
        <v>1367</v>
      </c>
      <c r="B268" s="136" t="s">
        <v>221</v>
      </c>
      <c r="C268" s="136" t="str">
        <f>tbl_IO_List[[#This Row],[Column3]]</f>
        <v>C2S02,05</v>
      </c>
      <c r="D268" s="136" t="str">
        <f>tbl_IO_List[[#This Row],[Card]]</f>
        <v>1756-IB32-5</v>
      </c>
      <c r="E268" s="136" t="s">
        <v>1366</v>
      </c>
      <c r="F268" s="136" t="str">
        <f>tbl_IO_List[[#This Row],[Column23]]&amp;"-" &amp;tbl_IO_List[[#This Row],[Column52]]</f>
        <v>C2S02-X1</v>
      </c>
      <c r="G268" s="136" t="str">
        <f>tbl_IO_List[[#This Row],[PLC_Tag]]</f>
        <v>TSH-60241A_DI_1</v>
      </c>
      <c r="H268" s="136"/>
      <c r="I268" s="136" t="str">
        <f>VLOOKUP(tbl_IO_List[[#This Row],[Destination]],tbl_Junction[],2,FALSE)</f>
        <v>Spray Dryer 3rd Floor</v>
      </c>
      <c r="J268" s="136" t="s">
        <v>221</v>
      </c>
      <c r="K268" s="136" t="s">
        <v>14</v>
      </c>
      <c r="L268" s="136" t="s">
        <v>258</v>
      </c>
      <c r="M268" s="136">
        <f>VLOOKUP(tbl_IO_List[[#This Row],[Instruement Tag]],tbl_Instruement_List[],2,FALSE)</f>
        <v>0</v>
      </c>
      <c r="N268" s="136" t="s">
        <v>31</v>
      </c>
      <c r="O268" s="136" t="s">
        <v>21</v>
      </c>
      <c r="P268" s="136" t="s">
        <v>22</v>
      </c>
      <c r="Q268" s="136" t="str">
        <f>VLOOKUP(tbl_IO_List[[#This Row],[Instruement Tag]],tbl_Instruement_List[],6,FALSE)</f>
        <v>Surface Heating Temperature switch high for bag house cone (BGHS-21)</v>
      </c>
      <c r="R268" s="136"/>
      <c r="S26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68" s="136" t="str">
        <f>tbl_IO_List[[#This Row],[Instruement Tag]]&amp;"_"&amp;tbl_IO_List[[#This Row],[I/O Type]]&amp;"_"&amp;tbl_IO_List[[#This Row],[IO-Point 
(Instruement)]]</f>
        <v>TSH-60241A_DI_1</v>
      </c>
      <c r="U268" s="136" t="s">
        <v>8</v>
      </c>
      <c r="V268" s="136">
        <f>VLOOKUP(tbl_IO_List[[#This Row],[I/O Type]],tbl_Slot_Group[],2,FALSE)</f>
        <v>1</v>
      </c>
      <c r="W268" s="136">
        <v>1</v>
      </c>
      <c r="X268" s="136" t="str">
        <f>tbl_IO_List[[#This Row],[Chassis]]&amp;"S"&amp;TEXT(tbl_IO_List[[#This Row],[Slot]],"00")</f>
        <v>C2S02</v>
      </c>
      <c r="Y268" s="136" t="str">
        <f>tbl_IO_List[[#This Row],[Chassis]]&amp;"S"&amp;TEXT(tbl_IO_List[[#This Row],[Slot]],"00")&amp;tbl_IO_List[[#This Row],[I/O Type]]&amp;TEXT(tbl_IO_List[[#This Row],[Point]],"00")</f>
        <v>C2S02DI05</v>
      </c>
      <c r="Z268" s="136" t="str">
        <f>tbl_IO_List[[#This Row],[Chassis]]&amp;"S"&amp;TEXT(tbl_IO_List[[#This Row],[Slot]],"00")&amp;","&amp;TEXT(tbl_IO_List[[#This Row],[Point]],"00")</f>
        <v>C2S02,05</v>
      </c>
      <c r="AA268" s="136" t="str">
        <f>VLOOKUP(tbl_IO_List[[#This Row],[Column23]],tbl_RackConfig[],5,FALSE) &amp;"-"&amp;tbl_IO_List[[#This Row],[Point]]</f>
        <v>1756-IB32-5</v>
      </c>
      <c r="AB268" s="136"/>
      <c r="AC268" s="136"/>
      <c r="AD268" s="136" t="str">
        <f>tbl_IO_List[[#This Row],[I/O Type]]</f>
        <v>DI</v>
      </c>
      <c r="AE268" s="136" t="s">
        <v>1333</v>
      </c>
      <c r="AF268" s="136">
        <v>2</v>
      </c>
      <c r="AG268" s="136">
        <v>5</v>
      </c>
      <c r="AH268" s="136">
        <v>6</v>
      </c>
      <c r="AI268" s="136">
        <v>6</v>
      </c>
      <c r="AJ268" s="136">
        <v>1</v>
      </c>
      <c r="AK268" s="136">
        <v>0</v>
      </c>
      <c r="AL268" s="136">
        <v>0</v>
      </c>
      <c r="AM268" s="136">
        <v>0</v>
      </c>
      <c r="AN268" s="136">
        <v>0</v>
      </c>
      <c r="AO268" s="136"/>
      <c r="AP268" s="143" t="str">
        <f>VLOOKUP(tbl_IO_List[[#This Row],[Instruement Tag]],tbl_Instruement_List[],14,FALSE)</f>
        <v>Dry Contact</v>
      </c>
      <c r="AQ268" s="143" t="str">
        <f>tbl_IO_List[[#This Row],[Chassis]]&amp;"S"&amp;tbl_IO_List[[#This Row],[Slot]]&amp;"-"&amp;tbl_IO_List[[#This Row],[Front Terminal Number]]</f>
        <v>C2S2-6</v>
      </c>
      <c r="AR268" s="141" t="s">
        <v>1862</v>
      </c>
      <c r="AS268" s="136" t="str">
        <f>tbl_IO_List[[#This Row],[Terminal Tagging]]&amp;"-"&amp;tbl_IO_List[[#This Row],[Point-Count]]</f>
        <v>P2-TBDI2-6</v>
      </c>
      <c r="AT268" s="136" t="str">
        <f>tbl_IO_List[[#This Row],[Front Terminal Tagging]]&amp;"/"&amp;tbl_IO_List[[#This Row],[Terminal Tagging-Item]]</f>
        <v>C2S2-6/P2-TBDI2-6</v>
      </c>
      <c r="AU268" s="136" t="str">
        <f>tbl_IO_List[[#This Row],[Terminal Tagging-Item]]&amp;"/"&amp;tbl_IO_List[[#This Row],[Front Terminal Tagging]]</f>
        <v>P2-TBDI2-6/C2S2-6</v>
      </c>
    </row>
    <row r="269" spans="1:47">
      <c r="A269" s="147" t="s">
        <v>1367</v>
      </c>
      <c r="B269" s="136" t="s">
        <v>221</v>
      </c>
      <c r="C269" s="136" t="str">
        <f>tbl_IO_List[[#This Row],[Column3]]</f>
        <v>C2S02,06</v>
      </c>
      <c r="D269" s="136" t="str">
        <f>tbl_IO_List[[#This Row],[Card]]</f>
        <v>1756-IB32-6</v>
      </c>
      <c r="E269" s="136" t="s">
        <v>1366</v>
      </c>
      <c r="F269" s="136" t="str">
        <f>tbl_IO_List[[#This Row],[Column23]]&amp;"-" &amp;tbl_IO_List[[#This Row],[Column52]]</f>
        <v>C2S02-X1</v>
      </c>
      <c r="G269" s="136" t="str">
        <f>tbl_IO_List[[#This Row],[PLC_Tag]]</f>
        <v>TSH-60242A_DI_1</v>
      </c>
      <c r="H269" s="136"/>
      <c r="I269" s="136" t="str">
        <f>VLOOKUP(tbl_IO_List[[#This Row],[Destination]],tbl_Junction[],2,FALSE)</f>
        <v>Spray Dryer 3rd Floor</v>
      </c>
      <c r="J269" s="136" t="s">
        <v>221</v>
      </c>
      <c r="K269" s="136" t="s">
        <v>14</v>
      </c>
      <c r="L269" s="136" t="s">
        <v>260</v>
      </c>
      <c r="M269" s="136">
        <f>VLOOKUP(tbl_IO_List[[#This Row],[Instruement Tag]],tbl_Instruement_List[],2,FALSE)</f>
        <v>0</v>
      </c>
      <c r="N269" s="136" t="s">
        <v>28</v>
      </c>
      <c r="O269" s="136" t="s">
        <v>21</v>
      </c>
      <c r="P269" s="136" t="s">
        <v>22</v>
      </c>
      <c r="Q269" s="136" t="str">
        <f>VLOOKUP(tbl_IO_List[[#This Row],[Instruement Tag]],tbl_Instruement_List[],6,FALSE)</f>
        <v>Surface Heating Temperature switch high for bag house cone (BGHS-21)</v>
      </c>
      <c r="R269" s="136"/>
      <c r="S26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69" s="136" t="str">
        <f>tbl_IO_List[[#This Row],[Instruement Tag]]&amp;"_"&amp;tbl_IO_List[[#This Row],[I/O Type]]&amp;"_"&amp;tbl_IO_List[[#This Row],[IO-Point 
(Instruement)]]</f>
        <v>TSH-60242A_DI_1</v>
      </c>
      <c r="U269" s="136" t="s">
        <v>8</v>
      </c>
      <c r="V269" s="136">
        <f>VLOOKUP(tbl_IO_List[[#This Row],[I/O Type]],tbl_Slot_Group[],2,FALSE)</f>
        <v>1</v>
      </c>
      <c r="W269" s="136">
        <v>1</v>
      </c>
      <c r="X269" s="136" t="str">
        <f>tbl_IO_List[[#This Row],[Chassis]]&amp;"S"&amp;TEXT(tbl_IO_List[[#This Row],[Slot]],"00")</f>
        <v>C2S02</v>
      </c>
      <c r="Y269" s="136" t="str">
        <f>tbl_IO_List[[#This Row],[Chassis]]&amp;"S"&amp;TEXT(tbl_IO_List[[#This Row],[Slot]],"00")&amp;tbl_IO_List[[#This Row],[I/O Type]]&amp;TEXT(tbl_IO_List[[#This Row],[Point]],"00")</f>
        <v>C2S02DI06</v>
      </c>
      <c r="Z269" s="136" t="str">
        <f>tbl_IO_List[[#This Row],[Chassis]]&amp;"S"&amp;TEXT(tbl_IO_List[[#This Row],[Slot]],"00")&amp;","&amp;TEXT(tbl_IO_List[[#This Row],[Point]],"00")</f>
        <v>C2S02,06</v>
      </c>
      <c r="AA269" s="136" t="str">
        <f>VLOOKUP(tbl_IO_List[[#This Row],[Column23]],tbl_RackConfig[],5,FALSE) &amp;"-"&amp;tbl_IO_List[[#This Row],[Point]]</f>
        <v>1756-IB32-6</v>
      </c>
      <c r="AB269" s="136"/>
      <c r="AC269" s="136"/>
      <c r="AD269" s="136" t="str">
        <f>tbl_IO_List[[#This Row],[I/O Type]]</f>
        <v>DI</v>
      </c>
      <c r="AE269" s="136" t="s">
        <v>1333</v>
      </c>
      <c r="AF269" s="136">
        <v>2</v>
      </c>
      <c r="AG269" s="136">
        <v>6</v>
      </c>
      <c r="AH269" s="136">
        <v>7</v>
      </c>
      <c r="AI269" s="136">
        <v>7</v>
      </c>
      <c r="AJ269" s="136">
        <v>1</v>
      </c>
      <c r="AK269" s="136">
        <v>0</v>
      </c>
      <c r="AL269" s="136">
        <v>0</v>
      </c>
      <c r="AM269" s="136">
        <v>0</v>
      </c>
      <c r="AN269" s="136">
        <v>0</v>
      </c>
      <c r="AO269" s="136"/>
      <c r="AP269" s="143" t="str">
        <f>VLOOKUP(tbl_IO_List[[#This Row],[Instruement Tag]],tbl_Instruement_List[],14,FALSE)</f>
        <v>Dry Contact</v>
      </c>
      <c r="AQ269" s="143" t="str">
        <f>tbl_IO_List[[#This Row],[Chassis]]&amp;"S"&amp;tbl_IO_List[[#This Row],[Slot]]&amp;"-"&amp;tbl_IO_List[[#This Row],[Front Terminal Number]]</f>
        <v>C2S2-7</v>
      </c>
      <c r="AR269" s="141" t="s">
        <v>1862</v>
      </c>
      <c r="AS269" s="136" t="str">
        <f>tbl_IO_List[[#This Row],[Terminal Tagging]]&amp;"-"&amp;tbl_IO_List[[#This Row],[Point-Count]]</f>
        <v>P2-TBDI2-7</v>
      </c>
      <c r="AT269" s="136" t="str">
        <f>tbl_IO_List[[#This Row],[Front Terminal Tagging]]&amp;"/"&amp;tbl_IO_List[[#This Row],[Terminal Tagging-Item]]</f>
        <v>C2S2-7/P2-TBDI2-7</v>
      </c>
      <c r="AU269" s="136" t="str">
        <f>tbl_IO_List[[#This Row],[Terminal Tagging-Item]]&amp;"/"&amp;tbl_IO_List[[#This Row],[Front Terminal Tagging]]</f>
        <v>P2-TBDI2-7/C2S2-7</v>
      </c>
    </row>
    <row r="270" spans="1:47">
      <c r="A270" s="147" t="s">
        <v>1367</v>
      </c>
      <c r="B270" s="136" t="s">
        <v>221</v>
      </c>
      <c r="C270" s="136" t="str">
        <f>tbl_IO_List[[#This Row],[Column3]]</f>
        <v>C2S02,07</v>
      </c>
      <c r="D270" s="136" t="str">
        <f>tbl_IO_List[[#This Row],[Card]]</f>
        <v>1756-IB32-7</v>
      </c>
      <c r="E270" s="136" t="s">
        <v>1366</v>
      </c>
      <c r="F270" s="136" t="str">
        <f>tbl_IO_List[[#This Row],[Column23]]&amp;"-" &amp;tbl_IO_List[[#This Row],[Column52]]</f>
        <v>C2S02-X1</v>
      </c>
      <c r="G270" s="136" t="str">
        <f>tbl_IO_List[[#This Row],[PLC_Tag]]</f>
        <v>TSH-60243A_DI_1</v>
      </c>
      <c r="H270" s="136"/>
      <c r="I270" s="136" t="str">
        <f>VLOOKUP(tbl_IO_List[[#This Row],[Destination]],tbl_Junction[],2,FALSE)</f>
        <v>Spray Dryer 3rd Floor</v>
      </c>
      <c r="J270" s="136" t="s">
        <v>221</v>
      </c>
      <c r="K270" s="136" t="s">
        <v>14</v>
      </c>
      <c r="L270" s="136" t="s">
        <v>262</v>
      </c>
      <c r="M270" s="136">
        <f>VLOOKUP(tbl_IO_List[[#This Row],[Instruement Tag]],tbl_Instruement_List[],2,FALSE)</f>
        <v>0</v>
      </c>
      <c r="N270" s="136" t="s">
        <v>31</v>
      </c>
      <c r="O270" s="136" t="s">
        <v>21</v>
      </c>
      <c r="P270" s="136" t="s">
        <v>22</v>
      </c>
      <c r="Q270" s="136" t="str">
        <f>VLOOKUP(tbl_IO_List[[#This Row],[Instruement Tag]],tbl_Instruement_List[],6,FALSE)</f>
        <v>Surface Heating Temperature switch high for bag house cone (BGHS-21)</v>
      </c>
      <c r="R270" s="136"/>
      <c r="S27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70" s="136" t="str">
        <f>tbl_IO_List[[#This Row],[Instruement Tag]]&amp;"_"&amp;tbl_IO_List[[#This Row],[I/O Type]]&amp;"_"&amp;tbl_IO_List[[#This Row],[IO-Point 
(Instruement)]]</f>
        <v>TSH-60243A_DI_1</v>
      </c>
      <c r="U270" s="136" t="s">
        <v>8</v>
      </c>
      <c r="V270" s="136">
        <f>VLOOKUP(tbl_IO_List[[#This Row],[I/O Type]],tbl_Slot_Group[],2,FALSE)</f>
        <v>1</v>
      </c>
      <c r="W270" s="136">
        <v>1</v>
      </c>
      <c r="X270" s="136" t="str">
        <f>tbl_IO_List[[#This Row],[Chassis]]&amp;"S"&amp;TEXT(tbl_IO_List[[#This Row],[Slot]],"00")</f>
        <v>C2S02</v>
      </c>
      <c r="Y270" s="136" t="str">
        <f>tbl_IO_List[[#This Row],[Chassis]]&amp;"S"&amp;TEXT(tbl_IO_List[[#This Row],[Slot]],"00")&amp;tbl_IO_List[[#This Row],[I/O Type]]&amp;TEXT(tbl_IO_List[[#This Row],[Point]],"00")</f>
        <v>C2S02DI07</v>
      </c>
      <c r="Z270" s="136" t="str">
        <f>tbl_IO_List[[#This Row],[Chassis]]&amp;"S"&amp;TEXT(tbl_IO_List[[#This Row],[Slot]],"00")&amp;","&amp;TEXT(tbl_IO_List[[#This Row],[Point]],"00")</f>
        <v>C2S02,07</v>
      </c>
      <c r="AA270" s="136" t="str">
        <f>VLOOKUP(tbl_IO_List[[#This Row],[Column23]],tbl_RackConfig[],5,FALSE) &amp;"-"&amp;tbl_IO_List[[#This Row],[Point]]</f>
        <v>1756-IB32-7</v>
      </c>
      <c r="AB270" s="136"/>
      <c r="AC270" s="136"/>
      <c r="AD270" s="136" t="str">
        <f>tbl_IO_List[[#This Row],[I/O Type]]</f>
        <v>DI</v>
      </c>
      <c r="AE270" s="136" t="s">
        <v>1333</v>
      </c>
      <c r="AF270" s="136">
        <v>2</v>
      </c>
      <c r="AG270" s="136">
        <v>7</v>
      </c>
      <c r="AH270" s="136">
        <v>8</v>
      </c>
      <c r="AI270" s="136">
        <v>8</v>
      </c>
      <c r="AJ270" s="136">
        <v>1</v>
      </c>
      <c r="AK270" s="136">
        <v>0</v>
      </c>
      <c r="AL270" s="136">
        <v>0</v>
      </c>
      <c r="AM270" s="136">
        <v>0</v>
      </c>
      <c r="AN270" s="136">
        <v>0</v>
      </c>
      <c r="AO270" s="136"/>
      <c r="AP270" s="143" t="str">
        <f>VLOOKUP(tbl_IO_List[[#This Row],[Instruement Tag]],tbl_Instruement_List[],14,FALSE)</f>
        <v>Dry Contact</v>
      </c>
      <c r="AQ270" s="143" t="str">
        <f>tbl_IO_List[[#This Row],[Chassis]]&amp;"S"&amp;tbl_IO_List[[#This Row],[Slot]]&amp;"-"&amp;tbl_IO_List[[#This Row],[Front Terminal Number]]</f>
        <v>C2S2-8</v>
      </c>
      <c r="AR270" s="141" t="s">
        <v>1862</v>
      </c>
      <c r="AS270" s="136" t="str">
        <f>tbl_IO_List[[#This Row],[Terminal Tagging]]&amp;"-"&amp;tbl_IO_List[[#This Row],[Point-Count]]</f>
        <v>P2-TBDI2-8</v>
      </c>
      <c r="AT270" s="136" t="str">
        <f>tbl_IO_List[[#This Row],[Front Terminal Tagging]]&amp;"/"&amp;tbl_IO_List[[#This Row],[Terminal Tagging-Item]]</f>
        <v>C2S2-8/P2-TBDI2-8</v>
      </c>
      <c r="AU270" s="136" t="str">
        <f>tbl_IO_List[[#This Row],[Terminal Tagging-Item]]&amp;"/"&amp;tbl_IO_List[[#This Row],[Front Terminal Tagging]]</f>
        <v>P2-TBDI2-8/C2S2-8</v>
      </c>
    </row>
    <row r="271" spans="1:47">
      <c r="A271" s="147" t="s">
        <v>1367</v>
      </c>
      <c r="B271" s="136" t="s">
        <v>221</v>
      </c>
      <c r="C271" s="136" t="str">
        <f>tbl_IO_List[[#This Row],[Column3]]</f>
        <v>C2S02,08</v>
      </c>
      <c r="D271" s="136" t="str">
        <f>tbl_IO_List[[#This Row],[Card]]</f>
        <v>1756-IB32-8</v>
      </c>
      <c r="E271" s="136" t="s">
        <v>1366</v>
      </c>
      <c r="F271" s="136" t="str">
        <f>tbl_IO_List[[#This Row],[Column23]]&amp;"-" &amp;tbl_IO_List[[#This Row],[Column52]]</f>
        <v>C2S02-X1</v>
      </c>
      <c r="G271" s="136" t="str">
        <f>tbl_IO_List[[#This Row],[PLC_Tag]]</f>
        <v>TSL-60241B_DI_1</v>
      </c>
      <c r="H271" s="136"/>
      <c r="I271" s="136" t="str">
        <f>VLOOKUP(tbl_IO_List[[#This Row],[Destination]],tbl_Junction[],2,FALSE)</f>
        <v>Spray Dryer 3rd Floor</v>
      </c>
      <c r="J271" s="136" t="s">
        <v>221</v>
      </c>
      <c r="K271" s="136" t="s">
        <v>14</v>
      </c>
      <c r="L271" s="136" t="s">
        <v>259</v>
      </c>
      <c r="M271" s="136">
        <f>VLOOKUP(tbl_IO_List[[#This Row],[Instruement Tag]],tbl_Instruement_List[],2,FALSE)</f>
        <v>0</v>
      </c>
      <c r="N271" s="136" t="s">
        <v>31</v>
      </c>
      <c r="O271" s="136" t="s">
        <v>21</v>
      </c>
      <c r="P271" s="136" t="s">
        <v>22</v>
      </c>
      <c r="Q271" s="136" t="str">
        <f>VLOOKUP(tbl_IO_List[[#This Row],[Instruement Tag]],tbl_Instruement_List[],6,FALSE)</f>
        <v>Surface Heating Temperature switch low for bag house cone (BGHS-21)</v>
      </c>
      <c r="R271" s="136"/>
      <c r="S27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71" s="136" t="str">
        <f>tbl_IO_List[[#This Row],[Instruement Tag]]&amp;"_"&amp;tbl_IO_List[[#This Row],[I/O Type]]&amp;"_"&amp;tbl_IO_List[[#This Row],[IO-Point 
(Instruement)]]</f>
        <v>TSL-60241B_DI_1</v>
      </c>
      <c r="U271" s="136" t="s">
        <v>8</v>
      </c>
      <c r="V271" s="136">
        <f>VLOOKUP(tbl_IO_List[[#This Row],[I/O Type]],tbl_Slot_Group[],2,FALSE)</f>
        <v>1</v>
      </c>
      <c r="W271" s="136">
        <v>1</v>
      </c>
      <c r="X271" s="136" t="str">
        <f>tbl_IO_List[[#This Row],[Chassis]]&amp;"S"&amp;TEXT(tbl_IO_List[[#This Row],[Slot]],"00")</f>
        <v>C2S02</v>
      </c>
      <c r="Y271" s="136" t="str">
        <f>tbl_IO_List[[#This Row],[Chassis]]&amp;"S"&amp;TEXT(tbl_IO_List[[#This Row],[Slot]],"00")&amp;tbl_IO_List[[#This Row],[I/O Type]]&amp;TEXT(tbl_IO_List[[#This Row],[Point]],"00")</f>
        <v>C2S02DI08</v>
      </c>
      <c r="Z271" s="136" t="str">
        <f>tbl_IO_List[[#This Row],[Chassis]]&amp;"S"&amp;TEXT(tbl_IO_List[[#This Row],[Slot]],"00")&amp;","&amp;TEXT(tbl_IO_List[[#This Row],[Point]],"00")</f>
        <v>C2S02,08</v>
      </c>
      <c r="AA271" s="136" t="str">
        <f>VLOOKUP(tbl_IO_List[[#This Row],[Column23]],tbl_RackConfig[],5,FALSE) &amp;"-"&amp;tbl_IO_List[[#This Row],[Point]]</f>
        <v>1756-IB32-8</v>
      </c>
      <c r="AB271" s="136"/>
      <c r="AC271" s="136"/>
      <c r="AD271" s="136" t="str">
        <f>tbl_IO_List[[#This Row],[I/O Type]]</f>
        <v>DI</v>
      </c>
      <c r="AE271" s="136" t="s">
        <v>1333</v>
      </c>
      <c r="AF271" s="136">
        <v>2</v>
      </c>
      <c r="AG271" s="136">
        <v>8</v>
      </c>
      <c r="AH271" s="136">
        <v>9</v>
      </c>
      <c r="AI271" s="136">
        <v>9</v>
      </c>
      <c r="AJ271" s="136">
        <v>1</v>
      </c>
      <c r="AK271" s="136">
        <v>0</v>
      </c>
      <c r="AL271" s="136">
        <v>0</v>
      </c>
      <c r="AM271" s="136">
        <v>0</v>
      </c>
      <c r="AN271" s="136">
        <v>0</v>
      </c>
      <c r="AO271" s="136"/>
      <c r="AP271" s="143" t="str">
        <f>VLOOKUP(tbl_IO_List[[#This Row],[Instruement Tag]],tbl_Instruement_List[],14,FALSE)</f>
        <v>Dry Contact</v>
      </c>
      <c r="AQ271" s="143" t="str">
        <f>tbl_IO_List[[#This Row],[Chassis]]&amp;"S"&amp;tbl_IO_List[[#This Row],[Slot]]&amp;"-"&amp;tbl_IO_List[[#This Row],[Front Terminal Number]]</f>
        <v>C2S2-9</v>
      </c>
      <c r="AR271" s="141" t="s">
        <v>1862</v>
      </c>
      <c r="AS271" s="136" t="str">
        <f>tbl_IO_List[[#This Row],[Terminal Tagging]]&amp;"-"&amp;tbl_IO_List[[#This Row],[Point-Count]]</f>
        <v>P2-TBDI2-9</v>
      </c>
      <c r="AT271" s="136" t="str">
        <f>tbl_IO_List[[#This Row],[Front Terminal Tagging]]&amp;"/"&amp;tbl_IO_List[[#This Row],[Terminal Tagging-Item]]</f>
        <v>C2S2-9/P2-TBDI2-9</v>
      </c>
      <c r="AU271" s="136" t="str">
        <f>tbl_IO_List[[#This Row],[Terminal Tagging-Item]]&amp;"/"&amp;tbl_IO_List[[#This Row],[Front Terminal Tagging]]</f>
        <v>P2-TBDI2-9/C2S2-9</v>
      </c>
    </row>
    <row r="272" spans="1:47">
      <c r="A272" s="147" t="s">
        <v>1367</v>
      </c>
      <c r="B272" s="136" t="s">
        <v>221</v>
      </c>
      <c r="C272" s="136" t="str">
        <f>tbl_IO_List[[#This Row],[Column3]]</f>
        <v>C2S02,09</v>
      </c>
      <c r="D272" s="136" t="str">
        <f>tbl_IO_List[[#This Row],[Card]]</f>
        <v>1756-IB32-9</v>
      </c>
      <c r="E272" s="136" t="s">
        <v>1366</v>
      </c>
      <c r="F272" s="136" t="str">
        <f>tbl_IO_List[[#This Row],[Column23]]&amp;"-" &amp;tbl_IO_List[[#This Row],[Column52]]</f>
        <v>C2S02-X1</v>
      </c>
      <c r="G272" s="136" t="str">
        <f>tbl_IO_List[[#This Row],[PLC_Tag]]</f>
        <v>TSL-60242B_DI_1</v>
      </c>
      <c r="H272" s="136"/>
      <c r="I272" s="136" t="str">
        <f>VLOOKUP(tbl_IO_List[[#This Row],[Destination]],tbl_Junction[],2,FALSE)</f>
        <v>Spray Dryer 3rd Floor</v>
      </c>
      <c r="J272" s="136" t="s">
        <v>221</v>
      </c>
      <c r="K272" s="136" t="s">
        <v>14</v>
      </c>
      <c r="L272" s="136" t="s">
        <v>261</v>
      </c>
      <c r="M272" s="136">
        <f>VLOOKUP(tbl_IO_List[[#This Row],[Instruement Tag]],tbl_Instruement_List[],2,FALSE)</f>
        <v>0</v>
      </c>
      <c r="N272" s="136" t="s">
        <v>28</v>
      </c>
      <c r="O272" s="136" t="s">
        <v>21</v>
      </c>
      <c r="P272" s="136" t="s">
        <v>22</v>
      </c>
      <c r="Q272" s="136" t="str">
        <f>VLOOKUP(tbl_IO_List[[#This Row],[Instruement Tag]],tbl_Instruement_List[],6,FALSE)</f>
        <v>Surface Heating Temperature switch low for bag house cone (BGHS-21)</v>
      </c>
      <c r="R272" s="136"/>
      <c r="S27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72" s="136" t="str">
        <f>tbl_IO_List[[#This Row],[Instruement Tag]]&amp;"_"&amp;tbl_IO_List[[#This Row],[I/O Type]]&amp;"_"&amp;tbl_IO_List[[#This Row],[IO-Point 
(Instruement)]]</f>
        <v>TSL-60242B_DI_1</v>
      </c>
      <c r="U272" s="136" t="s">
        <v>8</v>
      </c>
      <c r="V272" s="136">
        <f>VLOOKUP(tbl_IO_List[[#This Row],[I/O Type]],tbl_Slot_Group[],2,FALSE)</f>
        <v>1</v>
      </c>
      <c r="W272" s="136">
        <v>1</v>
      </c>
      <c r="X272" s="136" t="str">
        <f>tbl_IO_List[[#This Row],[Chassis]]&amp;"S"&amp;TEXT(tbl_IO_List[[#This Row],[Slot]],"00")</f>
        <v>C2S02</v>
      </c>
      <c r="Y272" s="136" t="str">
        <f>tbl_IO_List[[#This Row],[Chassis]]&amp;"S"&amp;TEXT(tbl_IO_List[[#This Row],[Slot]],"00")&amp;tbl_IO_List[[#This Row],[I/O Type]]&amp;TEXT(tbl_IO_List[[#This Row],[Point]],"00")</f>
        <v>C2S02DI09</v>
      </c>
      <c r="Z272" s="136" t="str">
        <f>tbl_IO_List[[#This Row],[Chassis]]&amp;"S"&amp;TEXT(tbl_IO_List[[#This Row],[Slot]],"00")&amp;","&amp;TEXT(tbl_IO_List[[#This Row],[Point]],"00")</f>
        <v>C2S02,09</v>
      </c>
      <c r="AA272" s="136" t="str">
        <f>VLOOKUP(tbl_IO_List[[#This Row],[Column23]],tbl_RackConfig[],5,FALSE) &amp;"-"&amp;tbl_IO_List[[#This Row],[Point]]</f>
        <v>1756-IB32-9</v>
      </c>
      <c r="AB272" s="136"/>
      <c r="AC272" s="136"/>
      <c r="AD272" s="136" t="str">
        <f>tbl_IO_List[[#This Row],[I/O Type]]</f>
        <v>DI</v>
      </c>
      <c r="AE272" s="136" t="s">
        <v>1333</v>
      </c>
      <c r="AF272" s="136">
        <v>2</v>
      </c>
      <c r="AG272" s="136">
        <v>9</v>
      </c>
      <c r="AH272" s="136">
        <v>10</v>
      </c>
      <c r="AI272" s="136">
        <v>10</v>
      </c>
      <c r="AJ272" s="136">
        <v>1</v>
      </c>
      <c r="AK272" s="136">
        <v>0</v>
      </c>
      <c r="AL272" s="136">
        <v>0</v>
      </c>
      <c r="AM272" s="136">
        <v>0</v>
      </c>
      <c r="AN272" s="136">
        <v>0</v>
      </c>
      <c r="AO272" s="136"/>
      <c r="AP272" s="143" t="str">
        <f>VLOOKUP(tbl_IO_List[[#This Row],[Instruement Tag]],tbl_Instruement_List[],14,FALSE)</f>
        <v>Dry Contact</v>
      </c>
      <c r="AQ272" s="143" t="str">
        <f>tbl_IO_List[[#This Row],[Chassis]]&amp;"S"&amp;tbl_IO_List[[#This Row],[Slot]]&amp;"-"&amp;tbl_IO_List[[#This Row],[Front Terminal Number]]</f>
        <v>C2S2-10</v>
      </c>
      <c r="AR272" s="141" t="s">
        <v>1862</v>
      </c>
      <c r="AS272" s="136" t="str">
        <f>tbl_IO_List[[#This Row],[Terminal Tagging]]&amp;"-"&amp;tbl_IO_List[[#This Row],[Point-Count]]</f>
        <v>P2-TBDI2-10</v>
      </c>
      <c r="AT272" s="136" t="str">
        <f>tbl_IO_List[[#This Row],[Front Terminal Tagging]]&amp;"/"&amp;tbl_IO_List[[#This Row],[Terminal Tagging-Item]]</f>
        <v>C2S2-10/P2-TBDI2-10</v>
      </c>
      <c r="AU272" s="136" t="str">
        <f>tbl_IO_List[[#This Row],[Terminal Tagging-Item]]&amp;"/"&amp;tbl_IO_List[[#This Row],[Front Terminal Tagging]]</f>
        <v>P2-TBDI2-10/C2S2-10</v>
      </c>
    </row>
    <row r="273" spans="1:47">
      <c r="A273" s="147" t="s">
        <v>1367</v>
      </c>
      <c r="B273" s="136" t="s">
        <v>221</v>
      </c>
      <c r="C273" s="136" t="str">
        <f>tbl_IO_List[[#This Row],[Column3]]</f>
        <v>C2S02,10</v>
      </c>
      <c r="D273" s="136" t="str">
        <f>tbl_IO_List[[#This Row],[Card]]</f>
        <v>1756-IB32-10</v>
      </c>
      <c r="E273" s="136" t="s">
        <v>1366</v>
      </c>
      <c r="F273" s="136" t="str">
        <f>tbl_IO_List[[#This Row],[Column23]]&amp;"-" &amp;tbl_IO_List[[#This Row],[Column52]]</f>
        <v>C2S02-X1</v>
      </c>
      <c r="G273" s="136" t="str">
        <f>tbl_IO_List[[#This Row],[PLC_Tag]]</f>
        <v>TSL-60243B_DI_1</v>
      </c>
      <c r="H273" s="136"/>
      <c r="I273" s="136" t="str">
        <f>VLOOKUP(tbl_IO_List[[#This Row],[Destination]],tbl_Junction[],2,FALSE)</f>
        <v>Spray Dryer 3rd Floor</v>
      </c>
      <c r="J273" s="136" t="s">
        <v>221</v>
      </c>
      <c r="K273" s="136" t="s">
        <v>14</v>
      </c>
      <c r="L273" s="136" t="s">
        <v>263</v>
      </c>
      <c r="M273" s="136">
        <f>VLOOKUP(tbl_IO_List[[#This Row],[Instruement Tag]],tbl_Instruement_List[],2,FALSE)</f>
        <v>0</v>
      </c>
      <c r="N273" s="136" t="s">
        <v>31</v>
      </c>
      <c r="O273" s="136" t="s">
        <v>21</v>
      </c>
      <c r="P273" s="136" t="s">
        <v>22</v>
      </c>
      <c r="Q273" s="136" t="str">
        <f>VLOOKUP(tbl_IO_List[[#This Row],[Instruement Tag]],tbl_Instruement_List[],6,FALSE)</f>
        <v>Surface Heating Temperature switch low for bag house cone (BGHS-21)</v>
      </c>
      <c r="R273" s="136"/>
      <c r="S27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73" s="136" t="str">
        <f>tbl_IO_List[[#This Row],[Instruement Tag]]&amp;"_"&amp;tbl_IO_List[[#This Row],[I/O Type]]&amp;"_"&amp;tbl_IO_List[[#This Row],[IO-Point 
(Instruement)]]</f>
        <v>TSL-60243B_DI_1</v>
      </c>
      <c r="U273" s="136" t="s">
        <v>8</v>
      </c>
      <c r="V273" s="136">
        <f>VLOOKUP(tbl_IO_List[[#This Row],[I/O Type]],tbl_Slot_Group[],2,FALSE)</f>
        <v>1</v>
      </c>
      <c r="W273" s="136">
        <v>1</v>
      </c>
      <c r="X273" s="136" t="str">
        <f>tbl_IO_List[[#This Row],[Chassis]]&amp;"S"&amp;TEXT(tbl_IO_List[[#This Row],[Slot]],"00")</f>
        <v>C2S02</v>
      </c>
      <c r="Y273" s="136" t="str">
        <f>tbl_IO_List[[#This Row],[Chassis]]&amp;"S"&amp;TEXT(tbl_IO_List[[#This Row],[Slot]],"00")&amp;tbl_IO_List[[#This Row],[I/O Type]]&amp;TEXT(tbl_IO_List[[#This Row],[Point]],"00")</f>
        <v>C2S02DI10</v>
      </c>
      <c r="Z273" s="136" t="str">
        <f>tbl_IO_List[[#This Row],[Chassis]]&amp;"S"&amp;TEXT(tbl_IO_List[[#This Row],[Slot]],"00")&amp;","&amp;TEXT(tbl_IO_List[[#This Row],[Point]],"00")</f>
        <v>C2S02,10</v>
      </c>
      <c r="AA273" s="136" t="str">
        <f>VLOOKUP(tbl_IO_List[[#This Row],[Column23]],tbl_RackConfig[],5,FALSE) &amp;"-"&amp;tbl_IO_List[[#This Row],[Point]]</f>
        <v>1756-IB32-10</v>
      </c>
      <c r="AB273" s="136"/>
      <c r="AC273" s="136"/>
      <c r="AD273" s="136" t="str">
        <f>tbl_IO_List[[#This Row],[I/O Type]]</f>
        <v>DI</v>
      </c>
      <c r="AE273" s="136" t="s">
        <v>1333</v>
      </c>
      <c r="AF273" s="136">
        <v>2</v>
      </c>
      <c r="AG273" s="136">
        <v>10</v>
      </c>
      <c r="AH273" s="136">
        <v>11</v>
      </c>
      <c r="AI273" s="136">
        <v>11</v>
      </c>
      <c r="AJ273" s="136">
        <v>1</v>
      </c>
      <c r="AK273" s="136">
        <v>0</v>
      </c>
      <c r="AL273" s="136">
        <v>0</v>
      </c>
      <c r="AM273" s="136">
        <v>0</v>
      </c>
      <c r="AN273" s="136">
        <v>0</v>
      </c>
      <c r="AO273" s="136"/>
      <c r="AP273" s="143" t="str">
        <f>VLOOKUP(tbl_IO_List[[#This Row],[Instruement Tag]],tbl_Instruement_List[],14,FALSE)</f>
        <v>Dry Contact</v>
      </c>
      <c r="AQ273" s="143" t="str">
        <f>tbl_IO_List[[#This Row],[Chassis]]&amp;"S"&amp;tbl_IO_List[[#This Row],[Slot]]&amp;"-"&amp;tbl_IO_List[[#This Row],[Front Terminal Number]]</f>
        <v>C2S2-11</v>
      </c>
      <c r="AR273" s="141" t="s">
        <v>1862</v>
      </c>
      <c r="AS273" s="136" t="str">
        <f>tbl_IO_List[[#This Row],[Terminal Tagging]]&amp;"-"&amp;tbl_IO_List[[#This Row],[Point-Count]]</f>
        <v>P2-TBDI2-11</v>
      </c>
      <c r="AT273" s="136" t="str">
        <f>tbl_IO_List[[#This Row],[Front Terminal Tagging]]&amp;"/"&amp;tbl_IO_List[[#This Row],[Terminal Tagging-Item]]</f>
        <v>C2S2-11/P2-TBDI2-11</v>
      </c>
      <c r="AU273" s="136" t="str">
        <f>tbl_IO_List[[#This Row],[Terminal Tagging-Item]]&amp;"/"&amp;tbl_IO_List[[#This Row],[Front Terminal Tagging]]</f>
        <v>P2-TBDI2-11/C2S2-11</v>
      </c>
    </row>
    <row r="274" spans="1:47">
      <c r="A274" s="147" t="s">
        <v>1367</v>
      </c>
      <c r="B274" s="136" t="s">
        <v>221</v>
      </c>
      <c r="C274" s="136" t="str">
        <f>tbl_IO_List[[#This Row],[Column3]]</f>
        <v>C2S02,11</v>
      </c>
      <c r="D274" s="136" t="str">
        <f>tbl_IO_List[[#This Row],[Card]]</f>
        <v>1756-IB32-11</v>
      </c>
      <c r="E274" s="136" t="s">
        <v>1366</v>
      </c>
      <c r="F274" s="136" t="str">
        <f>tbl_IO_List[[#This Row],[Column23]]&amp;"-" &amp;tbl_IO_List[[#This Row],[Column52]]</f>
        <v>C2S02-X1</v>
      </c>
      <c r="G274" s="136" t="str">
        <f>tbl_IO_List[[#This Row],[PLC_Tag]]</f>
        <v>XA-60240A_DI_1</v>
      </c>
      <c r="H274" s="136"/>
      <c r="I274" s="136" t="str">
        <f>VLOOKUP(tbl_IO_List[[#This Row],[Destination]],tbl_Junction[],2,FALSE)</f>
        <v>Spray Dryer 3rd Floor</v>
      </c>
      <c r="J274" s="136" t="s">
        <v>221</v>
      </c>
      <c r="K274" s="136" t="s">
        <v>14</v>
      </c>
      <c r="L274" s="136" t="s">
        <v>1066</v>
      </c>
      <c r="M274" s="136">
        <f>VLOOKUP(tbl_IO_List[[#This Row],[Instruement Tag]],tbl_Instruement_List[],2,FALSE)</f>
        <v>0</v>
      </c>
      <c r="N274" s="136" t="s">
        <v>31</v>
      </c>
      <c r="O274" s="136" t="s">
        <v>21</v>
      </c>
      <c r="P274" s="136" t="s">
        <v>18</v>
      </c>
      <c r="Q274" s="136" t="str">
        <f>VLOOKUP(tbl_IO_List[[#This Row],[Instruement Tag]],tbl_Instruement_List[],6,FALSE)</f>
        <v>Alarm 1 for BGHS-21 (Bag House Air Pulsing)</v>
      </c>
      <c r="R274" s="136"/>
      <c r="S27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74" s="136" t="str">
        <f>tbl_IO_List[[#This Row],[Instruement Tag]]&amp;"_"&amp;tbl_IO_List[[#This Row],[I/O Type]]&amp;"_"&amp;tbl_IO_List[[#This Row],[IO-Point 
(Instruement)]]</f>
        <v>XA-60240A_DI_1</v>
      </c>
      <c r="U274" s="136" t="s">
        <v>8</v>
      </c>
      <c r="V274" s="136">
        <f>VLOOKUP(tbl_IO_List[[#This Row],[I/O Type]],tbl_Slot_Group[],2,FALSE)</f>
        <v>1</v>
      </c>
      <c r="W274" s="136">
        <v>1</v>
      </c>
      <c r="X274" s="136" t="str">
        <f>tbl_IO_List[[#This Row],[Chassis]]&amp;"S"&amp;TEXT(tbl_IO_List[[#This Row],[Slot]],"00")</f>
        <v>C2S02</v>
      </c>
      <c r="Y274" s="136" t="str">
        <f>tbl_IO_List[[#This Row],[Chassis]]&amp;"S"&amp;TEXT(tbl_IO_List[[#This Row],[Slot]],"00")&amp;tbl_IO_List[[#This Row],[I/O Type]]&amp;TEXT(tbl_IO_List[[#This Row],[Point]],"00")</f>
        <v>C2S02DI11</v>
      </c>
      <c r="Z274" s="136" t="str">
        <f>tbl_IO_List[[#This Row],[Chassis]]&amp;"S"&amp;TEXT(tbl_IO_List[[#This Row],[Slot]],"00")&amp;","&amp;TEXT(tbl_IO_List[[#This Row],[Point]],"00")</f>
        <v>C2S02,11</v>
      </c>
      <c r="AA274" s="136" t="str">
        <f>VLOOKUP(tbl_IO_List[[#This Row],[Column23]],tbl_RackConfig[],5,FALSE) &amp;"-"&amp;tbl_IO_List[[#This Row],[Point]]</f>
        <v>1756-IB32-11</v>
      </c>
      <c r="AB274" s="136"/>
      <c r="AC274" s="136"/>
      <c r="AD274" s="136" t="str">
        <f>tbl_IO_List[[#This Row],[I/O Type]]</f>
        <v>DI</v>
      </c>
      <c r="AE274" s="136" t="s">
        <v>1333</v>
      </c>
      <c r="AF274" s="136">
        <v>2</v>
      </c>
      <c r="AG274" s="136">
        <v>11</v>
      </c>
      <c r="AH274" s="136">
        <v>12</v>
      </c>
      <c r="AI274" s="136">
        <v>12</v>
      </c>
      <c r="AJ274" s="136">
        <v>1</v>
      </c>
      <c r="AK274" s="136">
        <v>0</v>
      </c>
      <c r="AL274" s="136">
        <v>0</v>
      </c>
      <c r="AM274" s="136">
        <v>0</v>
      </c>
      <c r="AN274" s="136">
        <v>0</v>
      </c>
      <c r="AO274" s="136"/>
      <c r="AP274" s="143" t="str">
        <f>VLOOKUP(tbl_IO_List[[#This Row],[Instruement Tag]],tbl_Instruement_List[],14,FALSE)</f>
        <v>Dry Contact</v>
      </c>
      <c r="AQ274" s="143" t="str">
        <f>tbl_IO_List[[#This Row],[Chassis]]&amp;"S"&amp;tbl_IO_List[[#This Row],[Slot]]&amp;"-"&amp;tbl_IO_List[[#This Row],[Front Terminal Number]]</f>
        <v>C2S2-12</v>
      </c>
      <c r="AR274" s="141" t="s">
        <v>1862</v>
      </c>
      <c r="AS274" s="136" t="str">
        <f>tbl_IO_List[[#This Row],[Terminal Tagging]]&amp;"-"&amp;tbl_IO_List[[#This Row],[Point-Count]]</f>
        <v>P2-TBDI2-12</v>
      </c>
      <c r="AT274" s="136" t="str">
        <f>tbl_IO_List[[#This Row],[Front Terminal Tagging]]&amp;"/"&amp;tbl_IO_List[[#This Row],[Terminal Tagging-Item]]</f>
        <v>C2S2-12/P2-TBDI2-12</v>
      </c>
      <c r="AU274" s="136" t="str">
        <f>tbl_IO_List[[#This Row],[Terminal Tagging-Item]]&amp;"/"&amp;tbl_IO_List[[#This Row],[Front Terminal Tagging]]</f>
        <v>P2-TBDI2-12/C2S2-12</v>
      </c>
    </row>
    <row r="275" spans="1:47">
      <c r="A275" s="147" t="s">
        <v>1367</v>
      </c>
      <c r="B275" s="136" t="s">
        <v>221</v>
      </c>
      <c r="C275" s="136" t="str">
        <f>tbl_IO_List[[#This Row],[Column3]]</f>
        <v>C2S02,12</v>
      </c>
      <c r="D275" s="136" t="str">
        <f>tbl_IO_List[[#This Row],[Card]]</f>
        <v>1756-IB32-12</v>
      </c>
      <c r="E275" s="136" t="s">
        <v>1366</v>
      </c>
      <c r="F275" s="136" t="str">
        <f>tbl_IO_List[[#This Row],[Column23]]&amp;"-" &amp;tbl_IO_List[[#This Row],[Column52]]</f>
        <v>C2S02-X1</v>
      </c>
      <c r="G275" s="136" t="str">
        <f>tbl_IO_List[[#This Row],[PLC_Tag]]</f>
        <v>XA-60240B_DI_1</v>
      </c>
      <c r="H275" s="136"/>
      <c r="I275" s="136" t="str">
        <f>VLOOKUP(tbl_IO_List[[#This Row],[Destination]],tbl_Junction[],2,FALSE)</f>
        <v>Spray Dryer 3rd Floor</v>
      </c>
      <c r="J275" s="136" t="s">
        <v>221</v>
      </c>
      <c r="K275" s="136" t="s">
        <v>14</v>
      </c>
      <c r="L275" s="136" t="s">
        <v>1068</v>
      </c>
      <c r="M275" s="136">
        <f>VLOOKUP(tbl_IO_List[[#This Row],[Instruement Tag]],tbl_Instruement_List[],2,FALSE)</f>
        <v>0</v>
      </c>
      <c r="N275" s="136" t="s">
        <v>31</v>
      </c>
      <c r="O275" s="136" t="s">
        <v>21</v>
      </c>
      <c r="P275" s="136" t="s">
        <v>18</v>
      </c>
      <c r="Q275" s="136" t="str">
        <f>VLOOKUP(tbl_IO_List[[#This Row],[Instruement Tag]],tbl_Instruement_List[],6,FALSE)</f>
        <v>Alarm 2 for BGHS-21 (Bag House Air Pulsing)</v>
      </c>
      <c r="R275" s="136"/>
      <c r="S27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75" s="136" t="str">
        <f>tbl_IO_List[[#This Row],[Instruement Tag]]&amp;"_"&amp;tbl_IO_List[[#This Row],[I/O Type]]&amp;"_"&amp;tbl_IO_List[[#This Row],[IO-Point 
(Instruement)]]</f>
        <v>XA-60240B_DI_1</v>
      </c>
      <c r="U275" s="136" t="s">
        <v>8</v>
      </c>
      <c r="V275" s="136">
        <f>VLOOKUP(tbl_IO_List[[#This Row],[I/O Type]],tbl_Slot_Group[],2,FALSE)</f>
        <v>1</v>
      </c>
      <c r="W275" s="136">
        <v>1</v>
      </c>
      <c r="X275" s="136" t="str">
        <f>tbl_IO_List[[#This Row],[Chassis]]&amp;"S"&amp;TEXT(tbl_IO_List[[#This Row],[Slot]],"00")</f>
        <v>C2S02</v>
      </c>
      <c r="Y275" s="136" t="str">
        <f>tbl_IO_List[[#This Row],[Chassis]]&amp;"S"&amp;TEXT(tbl_IO_List[[#This Row],[Slot]],"00")&amp;tbl_IO_List[[#This Row],[I/O Type]]&amp;TEXT(tbl_IO_List[[#This Row],[Point]],"00")</f>
        <v>C2S02DI12</v>
      </c>
      <c r="Z275" s="136" t="str">
        <f>tbl_IO_List[[#This Row],[Chassis]]&amp;"S"&amp;TEXT(tbl_IO_List[[#This Row],[Slot]],"00")&amp;","&amp;TEXT(tbl_IO_List[[#This Row],[Point]],"00")</f>
        <v>C2S02,12</v>
      </c>
      <c r="AA275" s="136" t="str">
        <f>VLOOKUP(tbl_IO_List[[#This Row],[Column23]],tbl_RackConfig[],5,FALSE) &amp;"-"&amp;tbl_IO_List[[#This Row],[Point]]</f>
        <v>1756-IB32-12</v>
      </c>
      <c r="AB275" s="136"/>
      <c r="AC275" s="136"/>
      <c r="AD275" s="136" t="str">
        <f>tbl_IO_List[[#This Row],[I/O Type]]</f>
        <v>DI</v>
      </c>
      <c r="AE275" s="136" t="s">
        <v>1333</v>
      </c>
      <c r="AF275" s="136">
        <v>2</v>
      </c>
      <c r="AG275" s="136">
        <v>12</v>
      </c>
      <c r="AH275" s="136">
        <v>13</v>
      </c>
      <c r="AI275" s="136">
        <v>13</v>
      </c>
      <c r="AJ275" s="136">
        <v>1</v>
      </c>
      <c r="AK275" s="136">
        <v>0</v>
      </c>
      <c r="AL275" s="136">
        <v>0</v>
      </c>
      <c r="AM275" s="136">
        <v>0</v>
      </c>
      <c r="AN275" s="136">
        <v>0</v>
      </c>
      <c r="AO275" s="136"/>
      <c r="AP275" s="143" t="str">
        <f>VLOOKUP(tbl_IO_List[[#This Row],[Instruement Tag]],tbl_Instruement_List[],14,FALSE)</f>
        <v>Dry Contact</v>
      </c>
      <c r="AQ275" s="143" t="str">
        <f>tbl_IO_List[[#This Row],[Chassis]]&amp;"S"&amp;tbl_IO_List[[#This Row],[Slot]]&amp;"-"&amp;tbl_IO_List[[#This Row],[Front Terminal Number]]</f>
        <v>C2S2-13</v>
      </c>
      <c r="AR275" s="141" t="s">
        <v>1862</v>
      </c>
      <c r="AS275" s="136" t="str">
        <f>tbl_IO_List[[#This Row],[Terminal Tagging]]&amp;"-"&amp;tbl_IO_List[[#This Row],[Point-Count]]</f>
        <v>P2-TBDI2-13</v>
      </c>
      <c r="AT275" s="136" t="str">
        <f>tbl_IO_List[[#This Row],[Front Terminal Tagging]]&amp;"/"&amp;tbl_IO_List[[#This Row],[Terminal Tagging-Item]]</f>
        <v>C2S2-13/P2-TBDI2-13</v>
      </c>
      <c r="AU275" s="136" t="str">
        <f>tbl_IO_List[[#This Row],[Terminal Tagging-Item]]&amp;"/"&amp;tbl_IO_List[[#This Row],[Front Terminal Tagging]]</f>
        <v>P2-TBDI2-13/C2S2-13</v>
      </c>
    </row>
    <row r="276" spans="1:47">
      <c r="A276" s="147" t="s">
        <v>1367</v>
      </c>
      <c r="B276" s="136" t="s">
        <v>221</v>
      </c>
      <c r="C276" s="136" t="str">
        <f>tbl_IO_List[[#This Row],[Column3]]</f>
        <v>C2S02,13</v>
      </c>
      <c r="D276" s="136" t="str">
        <f>tbl_IO_List[[#This Row],[Card]]</f>
        <v>1756-IB32-13</v>
      </c>
      <c r="E276" s="136" t="s">
        <v>1366</v>
      </c>
      <c r="F276" s="136" t="str">
        <f>tbl_IO_List[[#This Row],[Column23]]&amp;"-" &amp;tbl_IO_List[[#This Row],[Column52]]</f>
        <v>C2S02-X1</v>
      </c>
      <c r="G276" s="136" t="str">
        <f>tbl_IO_List[[#This Row],[PLC_Tag]]</f>
        <v>XA-60241A_DI_1</v>
      </c>
      <c r="H276" s="136"/>
      <c r="I276" s="136" t="str">
        <f>VLOOKUP(tbl_IO_List[[#This Row],[Destination]],tbl_Junction[],2,FALSE)</f>
        <v>Spray Dryer 3rd Floor</v>
      </c>
      <c r="J276" s="136" t="s">
        <v>221</v>
      </c>
      <c r="K276" s="136" t="s">
        <v>14</v>
      </c>
      <c r="L276" s="136" t="s">
        <v>1075</v>
      </c>
      <c r="M276" s="136">
        <f>VLOOKUP(tbl_IO_List[[#This Row],[Instruement Tag]],tbl_Instruement_List[],2,FALSE)</f>
        <v>0</v>
      </c>
      <c r="N276" s="136" t="s">
        <v>31</v>
      </c>
      <c r="O276" s="136" t="s">
        <v>21</v>
      </c>
      <c r="P276" s="136" t="s">
        <v>18</v>
      </c>
      <c r="Q276" s="136" t="str">
        <f>VLOOKUP(tbl_IO_List[[#This Row],[Instruement Tag]],tbl_Instruement_List[],6,FALSE)</f>
        <v>Alarm 1 for BGHS-21 (Bag House Air Pulsing)</v>
      </c>
      <c r="R276" s="136"/>
      <c r="S27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76" s="136" t="str">
        <f>tbl_IO_List[[#This Row],[Instruement Tag]]&amp;"_"&amp;tbl_IO_List[[#This Row],[I/O Type]]&amp;"_"&amp;tbl_IO_List[[#This Row],[IO-Point 
(Instruement)]]</f>
        <v>XA-60241A_DI_1</v>
      </c>
      <c r="U276" s="136" t="s">
        <v>8</v>
      </c>
      <c r="V276" s="136">
        <f>VLOOKUP(tbl_IO_List[[#This Row],[I/O Type]],tbl_Slot_Group[],2,FALSE)</f>
        <v>1</v>
      </c>
      <c r="W276" s="136">
        <v>1</v>
      </c>
      <c r="X276" s="136" t="str">
        <f>tbl_IO_List[[#This Row],[Chassis]]&amp;"S"&amp;TEXT(tbl_IO_List[[#This Row],[Slot]],"00")</f>
        <v>C2S02</v>
      </c>
      <c r="Y276" s="136" t="str">
        <f>tbl_IO_List[[#This Row],[Chassis]]&amp;"S"&amp;TEXT(tbl_IO_List[[#This Row],[Slot]],"00")&amp;tbl_IO_List[[#This Row],[I/O Type]]&amp;TEXT(tbl_IO_List[[#This Row],[Point]],"00")</f>
        <v>C2S02DI13</v>
      </c>
      <c r="Z276" s="136" t="str">
        <f>tbl_IO_List[[#This Row],[Chassis]]&amp;"S"&amp;TEXT(tbl_IO_List[[#This Row],[Slot]],"00")&amp;","&amp;TEXT(tbl_IO_List[[#This Row],[Point]],"00")</f>
        <v>C2S02,13</v>
      </c>
      <c r="AA276" s="136" t="str">
        <f>VLOOKUP(tbl_IO_List[[#This Row],[Column23]],tbl_RackConfig[],5,FALSE) &amp;"-"&amp;tbl_IO_List[[#This Row],[Point]]</f>
        <v>1756-IB32-13</v>
      </c>
      <c r="AB276" s="136"/>
      <c r="AC276" s="136"/>
      <c r="AD276" s="136" t="str">
        <f>tbl_IO_List[[#This Row],[I/O Type]]</f>
        <v>DI</v>
      </c>
      <c r="AE276" s="136" t="s">
        <v>1333</v>
      </c>
      <c r="AF276" s="136">
        <v>2</v>
      </c>
      <c r="AG276" s="136">
        <v>13</v>
      </c>
      <c r="AH276" s="136">
        <v>14</v>
      </c>
      <c r="AI276" s="136">
        <v>14</v>
      </c>
      <c r="AJ276" s="136">
        <v>1</v>
      </c>
      <c r="AK276" s="136">
        <v>0</v>
      </c>
      <c r="AL276" s="136">
        <v>0</v>
      </c>
      <c r="AM276" s="136">
        <v>0</v>
      </c>
      <c r="AN276" s="136">
        <v>0</v>
      </c>
      <c r="AO276" s="136"/>
      <c r="AP276" s="143" t="str">
        <f>VLOOKUP(tbl_IO_List[[#This Row],[Instruement Tag]],tbl_Instruement_List[],14,FALSE)</f>
        <v>Dry Contact</v>
      </c>
      <c r="AQ276" s="143" t="str">
        <f>tbl_IO_List[[#This Row],[Chassis]]&amp;"S"&amp;tbl_IO_List[[#This Row],[Slot]]&amp;"-"&amp;tbl_IO_List[[#This Row],[Front Terminal Number]]</f>
        <v>C2S2-14</v>
      </c>
      <c r="AR276" s="141" t="s">
        <v>1862</v>
      </c>
      <c r="AS276" s="136" t="str">
        <f>tbl_IO_List[[#This Row],[Terminal Tagging]]&amp;"-"&amp;tbl_IO_List[[#This Row],[Point-Count]]</f>
        <v>P2-TBDI2-14</v>
      </c>
      <c r="AT276" s="136" t="str">
        <f>tbl_IO_List[[#This Row],[Front Terminal Tagging]]&amp;"/"&amp;tbl_IO_List[[#This Row],[Terminal Tagging-Item]]</f>
        <v>C2S2-14/P2-TBDI2-14</v>
      </c>
      <c r="AU276" s="136" t="str">
        <f>tbl_IO_List[[#This Row],[Terminal Tagging-Item]]&amp;"/"&amp;tbl_IO_List[[#This Row],[Front Terminal Tagging]]</f>
        <v>P2-TBDI2-14/C2S2-14</v>
      </c>
    </row>
    <row r="277" spans="1:47">
      <c r="A277" s="147" t="s">
        <v>1367</v>
      </c>
      <c r="B277" s="136" t="s">
        <v>221</v>
      </c>
      <c r="C277" s="136" t="str">
        <f>tbl_IO_List[[#This Row],[Column3]]</f>
        <v>C2S02,14</v>
      </c>
      <c r="D277" s="136" t="str">
        <f>tbl_IO_List[[#This Row],[Card]]</f>
        <v>1756-IB32-14</v>
      </c>
      <c r="E277" s="136" t="s">
        <v>1366</v>
      </c>
      <c r="F277" s="136" t="str">
        <f>tbl_IO_List[[#This Row],[Column23]]&amp;"-" &amp;tbl_IO_List[[#This Row],[Column52]]</f>
        <v>C2S02-X1</v>
      </c>
      <c r="G277" s="136" t="str">
        <f>tbl_IO_List[[#This Row],[PLC_Tag]]</f>
        <v>XA-60241B_DI_1</v>
      </c>
      <c r="H277" s="136"/>
      <c r="I277" s="136" t="str">
        <f>VLOOKUP(tbl_IO_List[[#This Row],[Destination]],tbl_Junction[],2,FALSE)</f>
        <v>Spray Dryer 3rd Floor</v>
      </c>
      <c r="J277" s="136" t="s">
        <v>221</v>
      </c>
      <c r="K277" s="136" t="s">
        <v>14</v>
      </c>
      <c r="L277" s="136" t="s">
        <v>1076</v>
      </c>
      <c r="M277" s="136">
        <f>VLOOKUP(tbl_IO_List[[#This Row],[Instruement Tag]],tbl_Instruement_List[],2,FALSE)</f>
        <v>0</v>
      </c>
      <c r="N277" s="136" t="s">
        <v>31</v>
      </c>
      <c r="O277" s="136" t="s">
        <v>21</v>
      </c>
      <c r="P277" s="136" t="s">
        <v>18</v>
      </c>
      <c r="Q277" s="136" t="str">
        <f>VLOOKUP(tbl_IO_List[[#This Row],[Instruement Tag]],tbl_Instruement_List[],6,FALSE)</f>
        <v>Alarm 2 for BGHS-21 (Bag House Air Pulsing)</v>
      </c>
      <c r="R277" s="136"/>
      <c r="S27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77" s="136" t="str">
        <f>tbl_IO_List[[#This Row],[Instruement Tag]]&amp;"_"&amp;tbl_IO_List[[#This Row],[I/O Type]]&amp;"_"&amp;tbl_IO_List[[#This Row],[IO-Point 
(Instruement)]]</f>
        <v>XA-60241B_DI_1</v>
      </c>
      <c r="U277" s="136" t="s">
        <v>8</v>
      </c>
      <c r="V277" s="136">
        <f>VLOOKUP(tbl_IO_List[[#This Row],[I/O Type]],tbl_Slot_Group[],2,FALSE)</f>
        <v>1</v>
      </c>
      <c r="W277" s="136">
        <v>1</v>
      </c>
      <c r="X277" s="136" t="str">
        <f>tbl_IO_List[[#This Row],[Chassis]]&amp;"S"&amp;TEXT(tbl_IO_List[[#This Row],[Slot]],"00")</f>
        <v>C2S02</v>
      </c>
      <c r="Y277" s="136" t="str">
        <f>tbl_IO_List[[#This Row],[Chassis]]&amp;"S"&amp;TEXT(tbl_IO_List[[#This Row],[Slot]],"00")&amp;tbl_IO_List[[#This Row],[I/O Type]]&amp;TEXT(tbl_IO_List[[#This Row],[Point]],"00")</f>
        <v>C2S02DI14</v>
      </c>
      <c r="Z277" s="136" t="str">
        <f>tbl_IO_List[[#This Row],[Chassis]]&amp;"S"&amp;TEXT(tbl_IO_List[[#This Row],[Slot]],"00")&amp;","&amp;TEXT(tbl_IO_List[[#This Row],[Point]],"00")</f>
        <v>C2S02,14</v>
      </c>
      <c r="AA277" s="136" t="str">
        <f>VLOOKUP(tbl_IO_List[[#This Row],[Column23]],tbl_RackConfig[],5,FALSE) &amp;"-"&amp;tbl_IO_List[[#This Row],[Point]]</f>
        <v>1756-IB32-14</v>
      </c>
      <c r="AB277" s="136"/>
      <c r="AC277" s="136"/>
      <c r="AD277" s="136" t="str">
        <f>tbl_IO_List[[#This Row],[I/O Type]]</f>
        <v>DI</v>
      </c>
      <c r="AE277" s="136" t="s">
        <v>1333</v>
      </c>
      <c r="AF277" s="136">
        <v>2</v>
      </c>
      <c r="AG277" s="136">
        <v>14</v>
      </c>
      <c r="AH277" s="136">
        <v>15</v>
      </c>
      <c r="AI277" s="136">
        <v>15</v>
      </c>
      <c r="AJ277" s="136">
        <v>1</v>
      </c>
      <c r="AK277" s="136">
        <v>0</v>
      </c>
      <c r="AL277" s="136">
        <v>0</v>
      </c>
      <c r="AM277" s="136">
        <v>0</v>
      </c>
      <c r="AN277" s="136">
        <v>0</v>
      </c>
      <c r="AO277" s="136"/>
      <c r="AP277" s="143" t="str">
        <f>VLOOKUP(tbl_IO_List[[#This Row],[Instruement Tag]],tbl_Instruement_List[],14,FALSE)</f>
        <v>Dry Contact</v>
      </c>
      <c r="AQ277" s="143" t="str">
        <f>tbl_IO_List[[#This Row],[Chassis]]&amp;"S"&amp;tbl_IO_List[[#This Row],[Slot]]&amp;"-"&amp;tbl_IO_List[[#This Row],[Front Terminal Number]]</f>
        <v>C2S2-15</v>
      </c>
      <c r="AR277" s="141" t="s">
        <v>1862</v>
      </c>
      <c r="AS277" s="136" t="str">
        <f>tbl_IO_List[[#This Row],[Terminal Tagging]]&amp;"-"&amp;tbl_IO_List[[#This Row],[Point-Count]]</f>
        <v>P2-TBDI2-15</v>
      </c>
      <c r="AT277" s="136" t="str">
        <f>tbl_IO_List[[#This Row],[Front Terminal Tagging]]&amp;"/"&amp;tbl_IO_List[[#This Row],[Terminal Tagging-Item]]</f>
        <v>C2S2-15/P2-TBDI2-15</v>
      </c>
      <c r="AU277" s="136" t="str">
        <f>tbl_IO_List[[#This Row],[Terminal Tagging-Item]]&amp;"/"&amp;tbl_IO_List[[#This Row],[Front Terminal Tagging]]</f>
        <v>P2-TBDI2-15/C2S2-15</v>
      </c>
    </row>
    <row r="278" spans="1:47">
      <c r="A278" s="147" t="s">
        <v>1367</v>
      </c>
      <c r="B278" s="136" t="s">
        <v>221</v>
      </c>
      <c r="C278" s="136" t="str">
        <f>tbl_IO_List[[#This Row],[Column3]]</f>
        <v>C2S02,15</v>
      </c>
      <c r="D278" s="136" t="str">
        <f>tbl_IO_List[[#This Row],[Card]]</f>
        <v>1756-IB32-15</v>
      </c>
      <c r="E278" s="136" t="s">
        <v>1366</v>
      </c>
      <c r="F278" s="136" t="str">
        <f>tbl_IO_List[[#This Row],[Column23]]&amp;"-" &amp;tbl_IO_List[[#This Row],[Column52]]</f>
        <v>C2S02-X1</v>
      </c>
      <c r="G278" s="136" t="str">
        <f>tbl_IO_List[[#This Row],[PLC_Tag]]</f>
        <v>XA-60242A_DI_1</v>
      </c>
      <c r="H278" s="136"/>
      <c r="I278" s="136" t="str">
        <f>VLOOKUP(tbl_IO_List[[#This Row],[Destination]],tbl_Junction[],2,FALSE)</f>
        <v>Spray Dryer 3rd Floor</v>
      </c>
      <c r="J278" s="136" t="s">
        <v>221</v>
      </c>
      <c r="K278" s="136" t="s">
        <v>14</v>
      </c>
      <c r="L278" s="136" t="s">
        <v>1082</v>
      </c>
      <c r="M278" s="136">
        <f>VLOOKUP(tbl_IO_List[[#This Row],[Instruement Tag]],tbl_Instruement_List[],2,FALSE)</f>
        <v>0</v>
      </c>
      <c r="N278" s="136" t="s">
        <v>28</v>
      </c>
      <c r="O278" s="136" t="s">
        <v>21</v>
      </c>
      <c r="P278" s="136" t="s">
        <v>18</v>
      </c>
      <c r="Q278" s="136" t="str">
        <f>VLOOKUP(tbl_IO_List[[#This Row],[Instruement Tag]],tbl_Instruement_List[],6,FALSE)</f>
        <v>Alarm 1 for BGHS-21 (Bag House Air Pulsing)</v>
      </c>
      <c r="R278" s="136"/>
      <c r="S27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78" s="136" t="str">
        <f>tbl_IO_List[[#This Row],[Instruement Tag]]&amp;"_"&amp;tbl_IO_List[[#This Row],[I/O Type]]&amp;"_"&amp;tbl_IO_List[[#This Row],[IO-Point 
(Instruement)]]</f>
        <v>XA-60242A_DI_1</v>
      </c>
      <c r="U278" s="136" t="s">
        <v>8</v>
      </c>
      <c r="V278" s="136">
        <f>VLOOKUP(tbl_IO_List[[#This Row],[I/O Type]],tbl_Slot_Group[],2,FALSE)</f>
        <v>1</v>
      </c>
      <c r="W278" s="136">
        <v>1</v>
      </c>
      <c r="X278" s="136" t="str">
        <f>tbl_IO_List[[#This Row],[Chassis]]&amp;"S"&amp;TEXT(tbl_IO_List[[#This Row],[Slot]],"00")</f>
        <v>C2S02</v>
      </c>
      <c r="Y278" s="136" t="str">
        <f>tbl_IO_List[[#This Row],[Chassis]]&amp;"S"&amp;TEXT(tbl_IO_List[[#This Row],[Slot]],"00")&amp;tbl_IO_List[[#This Row],[I/O Type]]&amp;TEXT(tbl_IO_List[[#This Row],[Point]],"00")</f>
        <v>C2S02DI15</v>
      </c>
      <c r="Z278" s="136" t="str">
        <f>tbl_IO_List[[#This Row],[Chassis]]&amp;"S"&amp;TEXT(tbl_IO_List[[#This Row],[Slot]],"00")&amp;","&amp;TEXT(tbl_IO_List[[#This Row],[Point]],"00")</f>
        <v>C2S02,15</v>
      </c>
      <c r="AA278" s="136" t="str">
        <f>VLOOKUP(tbl_IO_List[[#This Row],[Column23]],tbl_RackConfig[],5,FALSE) &amp;"-"&amp;tbl_IO_List[[#This Row],[Point]]</f>
        <v>1756-IB32-15</v>
      </c>
      <c r="AB278" s="136"/>
      <c r="AC278" s="136"/>
      <c r="AD278" s="136" t="str">
        <f>tbl_IO_List[[#This Row],[I/O Type]]</f>
        <v>DI</v>
      </c>
      <c r="AE278" s="136" t="s">
        <v>1333</v>
      </c>
      <c r="AF278" s="136">
        <v>2</v>
      </c>
      <c r="AG278" s="136">
        <v>15</v>
      </c>
      <c r="AH278" s="136">
        <v>16</v>
      </c>
      <c r="AI278" s="136">
        <v>16</v>
      </c>
      <c r="AJ278" s="136">
        <v>1</v>
      </c>
      <c r="AK278" s="136">
        <v>0</v>
      </c>
      <c r="AL278" s="136">
        <v>0</v>
      </c>
      <c r="AM278" s="136">
        <v>0</v>
      </c>
      <c r="AN278" s="136">
        <v>0</v>
      </c>
      <c r="AO278" s="136"/>
      <c r="AP278" s="143" t="str">
        <f>VLOOKUP(tbl_IO_List[[#This Row],[Instruement Tag]],tbl_Instruement_List[],14,FALSE)</f>
        <v>Dry Contact</v>
      </c>
      <c r="AQ278" s="143" t="str">
        <f>tbl_IO_List[[#This Row],[Chassis]]&amp;"S"&amp;tbl_IO_List[[#This Row],[Slot]]&amp;"-"&amp;tbl_IO_List[[#This Row],[Front Terminal Number]]</f>
        <v>C2S2-16</v>
      </c>
      <c r="AR278" s="141" t="s">
        <v>1862</v>
      </c>
      <c r="AS278" s="136" t="str">
        <f>tbl_IO_List[[#This Row],[Terminal Tagging]]&amp;"-"&amp;tbl_IO_List[[#This Row],[Point-Count]]</f>
        <v>P2-TBDI2-16</v>
      </c>
      <c r="AT278" s="136" t="str">
        <f>tbl_IO_List[[#This Row],[Front Terminal Tagging]]&amp;"/"&amp;tbl_IO_List[[#This Row],[Terminal Tagging-Item]]</f>
        <v>C2S2-16/P2-TBDI2-16</v>
      </c>
      <c r="AU278" s="136" t="str">
        <f>tbl_IO_List[[#This Row],[Terminal Tagging-Item]]&amp;"/"&amp;tbl_IO_List[[#This Row],[Front Terminal Tagging]]</f>
        <v>P2-TBDI2-16/C2S2-16</v>
      </c>
    </row>
    <row r="279" spans="1:47">
      <c r="A279" s="147" t="s">
        <v>1367</v>
      </c>
      <c r="B279" s="136" t="s">
        <v>221</v>
      </c>
      <c r="C279" s="136" t="str">
        <f>tbl_IO_List[[#This Row],[Column3]]</f>
        <v>C2S02,16</v>
      </c>
      <c r="D279" s="136" t="str">
        <f>tbl_IO_List[[#This Row],[Card]]</f>
        <v>1756-IB32-16</v>
      </c>
      <c r="E279" s="136" t="s">
        <v>1372</v>
      </c>
      <c r="F279" s="136" t="str">
        <f>tbl_IO_List[[#This Row],[Column23]]&amp;"-" &amp;tbl_IO_List[[#This Row],[Column52]]</f>
        <v>C2S02-X2</v>
      </c>
      <c r="G279" s="136" t="str">
        <f>tbl_IO_List[[#This Row],[PLC_Tag]]</f>
        <v>XA-60242B_DI_1</v>
      </c>
      <c r="H279" s="136"/>
      <c r="I279" s="136" t="str">
        <f>VLOOKUP(tbl_IO_List[[#This Row],[Destination]],tbl_Junction[],2,FALSE)</f>
        <v>Spray Dryer 3rd Floor</v>
      </c>
      <c r="J279" s="136" t="s">
        <v>221</v>
      </c>
      <c r="K279" s="136" t="s">
        <v>14</v>
      </c>
      <c r="L279" s="136" t="s">
        <v>1083</v>
      </c>
      <c r="M279" s="136">
        <f>VLOOKUP(tbl_IO_List[[#This Row],[Instruement Tag]],tbl_Instruement_List[],2,FALSE)</f>
        <v>0</v>
      </c>
      <c r="N279" s="136" t="s">
        <v>28</v>
      </c>
      <c r="O279" s="136" t="s">
        <v>21</v>
      </c>
      <c r="P279" s="136" t="s">
        <v>18</v>
      </c>
      <c r="Q279" s="136" t="str">
        <f>VLOOKUP(tbl_IO_List[[#This Row],[Instruement Tag]],tbl_Instruement_List[],6,FALSE)</f>
        <v>Alarm 2 for BGHS-21 (Bag House Air Pulsing)</v>
      </c>
      <c r="R279" s="136"/>
      <c r="S27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79" s="136" t="str">
        <f>tbl_IO_List[[#This Row],[Instruement Tag]]&amp;"_"&amp;tbl_IO_List[[#This Row],[I/O Type]]&amp;"_"&amp;tbl_IO_List[[#This Row],[IO-Point 
(Instruement)]]</f>
        <v>XA-60242B_DI_1</v>
      </c>
      <c r="U279" s="136" t="s">
        <v>8</v>
      </c>
      <c r="V279" s="136">
        <f>VLOOKUP(tbl_IO_List[[#This Row],[I/O Type]],tbl_Slot_Group[],2,FALSE)</f>
        <v>1</v>
      </c>
      <c r="W279" s="136">
        <v>1</v>
      </c>
      <c r="X279" s="136" t="str">
        <f>tbl_IO_List[[#This Row],[Chassis]]&amp;"S"&amp;TEXT(tbl_IO_List[[#This Row],[Slot]],"00")</f>
        <v>C2S02</v>
      </c>
      <c r="Y279" s="136" t="str">
        <f>tbl_IO_List[[#This Row],[Chassis]]&amp;"S"&amp;TEXT(tbl_IO_List[[#This Row],[Slot]],"00")&amp;tbl_IO_List[[#This Row],[I/O Type]]&amp;TEXT(tbl_IO_List[[#This Row],[Point]],"00")</f>
        <v>C2S02DI16</v>
      </c>
      <c r="Z279" s="136" t="str">
        <f>tbl_IO_List[[#This Row],[Chassis]]&amp;"S"&amp;TEXT(tbl_IO_List[[#This Row],[Slot]],"00")&amp;","&amp;TEXT(tbl_IO_List[[#This Row],[Point]],"00")</f>
        <v>C2S02,16</v>
      </c>
      <c r="AA279" s="136" t="str">
        <f>VLOOKUP(tbl_IO_List[[#This Row],[Column23]],tbl_RackConfig[],5,FALSE) &amp;"-"&amp;tbl_IO_List[[#This Row],[Point]]</f>
        <v>1756-IB32-16</v>
      </c>
      <c r="AB279" s="136"/>
      <c r="AC279" s="136"/>
      <c r="AD279" s="136" t="str">
        <f>tbl_IO_List[[#This Row],[I/O Type]]</f>
        <v>DI</v>
      </c>
      <c r="AE279" s="136" t="s">
        <v>1333</v>
      </c>
      <c r="AF279" s="136">
        <v>2</v>
      </c>
      <c r="AG279" s="136">
        <v>16</v>
      </c>
      <c r="AH279" s="136">
        <v>17</v>
      </c>
      <c r="AI279" s="136">
        <v>19</v>
      </c>
      <c r="AJ279" s="136">
        <v>1</v>
      </c>
      <c r="AK279" s="136">
        <v>0</v>
      </c>
      <c r="AL279" s="136">
        <v>0</v>
      </c>
      <c r="AM279" s="136">
        <v>0</v>
      </c>
      <c r="AN279" s="136">
        <v>0</v>
      </c>
      <c r="AO279" s="136"/>
      <c r="AP279" s="143" t="str">
        <f>VLOOKUP(tbl_IO_List[[#This Row],[Instruement Tag]],tbl_Instruement_List[],14,FALSE)</f>
        <v>Dry Contact</v>
      </c>
      <c r="AQ279" s="143" t="str">
        <f>tbl_IO_List[[#This Row],[Chassis]]&amp;"S"&amp;tbl_IO_List[[#This Row],[Slot]]&amp;"-"&amp;tbl_IO_List[[#This Row],[Front Terminal Number]]</f>
        <v>C2S2-19</v>
      </c>
      <c r="AR279" s="141" t="s">
        <v>1862</v>
      </c>
      <c r="AS279" s="136" t="str">
        <f>tbl_IO_List[[#This Row],[Terminal Tagging]]&amp;"-"&amp;tbl_IO_List[[#This Row],[Point-Count]]</f>
        <v>P2-TBDI2-17</v>
      </c>
      <c r="AT279" s="136" t="str">
        <f>tbl_IO_List[[#This Row],[Front Terminal Tagging]]&amp;"/"&amp;tbl_IO_List[[#This Row],[Terminal Tagging-Item]]</f>
        <v>C2S2-19/P2-TBDI2-17</v>
      </c>
      <c r="AU279" s="136" t="str">
        <f>tbl_IO_List[[#This Row],[Terminal Tagging-Item]]&amp;"/"&amp;tbl_IO_List[[#This Row],[Front Terminal Tagging]]</f>
        <v>P2-TBDI2-17/C2S2-19</v>
      </c>
    </row>
    <row r="280" spans="1:47">
      <c r="A280" s="147" t="s">
        <v>1367</v>
      </c>
      <c r="B280" s="136" t="s">
        <v>221</v>
      </c>
      <c r="C280" s="136" t="str">
        <f>tbl_IO_List[[#This Row],[Column3]]</f>
        <v>C2S02,17</v>
      </c>
      <c r="D280" s="136" t="str">
        <f>tbl_IO_List[[#This Row],[Card]]</f>
        <v>1756-IB32-17</v>
      </c>
      <c r="E280" s="136" t="s">
        <v>1372</v>
      </c>
      <c r="F280" s="136" t="str">
        <f>tbl_IO_List[[#This Row],[Column23]]&amp;"-" &amp;tbl_IO_List[[#This Row],[Column52]]</f>
        <v>C2S02-X2</v>
      </c>
      <c r="G280" s="136" t="str">
        <f>tbl_IO_List[[#This Row],[PLC_Tag]]</f>
        <v>XA-60243A_DI_1</v>
      </c>
      <c r="H280" s="136"/>
      <c r="I280" s="136" t="str">
        <f>VLOOKUP(tbl_IO_List[[#This Row],[Destination]],tbl_Junction[],2,FALSE)</f>
        <v>Spray Dryer 3rd Floor</v>
      </c>
      <c r="J280" s="136" t="s">
        <v>221</v>
      </c>
      <c r="K280" s="136" t="s">
        <v>14</v>
      </c>
      <c r="L280" s="136" t="s">
        <v>1087</v>
      </c>
      <c r="M280" s="136">
        <f>VLOOKUP(tbl_IO_List[[#This Row],[Instruement Tag]],tbl_Instruement_List[],2,FALSE)</f>
        <v>0</v>
      </c>
      <c r="N280" s="136" t="s">
        <v>31</v>
      </c>
      <c r="O280" s="136" t="s">
        <v>21</v>
      </c>
      <c r="P280" s="136" t="s">
        <v>18</v>
      </c>
      <c r="Q280" s="136" t="str">
        <f>VLOOKUP(tbl_IO_List[[#This Row],[Instruement Tag]],tbl_Instruement_List[],6,FALSE)</f>
        <v>Alarm 1 for BGHS-21 (Bag House Air Pulsing)</v>
      </c>
      <c r="R280" s="136"/>
      <c r="S28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80" s="136" t="str">
        <f>tbl_IO_List[[#This Row],[Instruement Tag]]&amp;"_"&amp;tbl_IO_List[[#This Row],[I/O Type]]&amp;"_"&amp;tbl_IO_List[[#This Row],[IO-Point 
(Instruement)]]</f>
        <v>XA-60243A_DI_1</v>
      </c>
      <c r="U280" s="136" t="s">
        <v>8</v>
      </c>
      <c r="V280" s="136">
        <f>VLOOKUP(tbl_IO_List[[#This Row],[I/O Type]],tbl_Slot_Group[],2,FALSE)</f>
        <v>1</v>
      </c>
      <c r="W280" s="136">
        <v>1</v>
      </c>
      <c r="X280" s="136" t="str">
        <f>tbl_IO_List[[#This Row],[Chassis]]&amp;"S"&amp;TEXT(tbl_IO_List[[#This Row],[Slot]],"00")</f>
        <v>C2S02</v>
      </c>
      <c r="Y280" s="136" t="str">
        <f>tbl_IO_List[[#This Row],[Chassis]]&amp;"S"&amp;TEXT(tbl_IO_List[[#This Row],[Slot]],"00")&amp;tbl_IO_List[[#This Row],[I/O Type]]&amp;TEXT(tbl_IO_List[[#This Row],[Point]],"00")</f>
        <v>C2S02DI17</v>
      </c>
      <c r="Z280" s="136" t="str">
        <f>tbl_IO_List[[#This Row],[Chassis]]&amp;"S"&amp;TEXT(tbl_IO_List[[#This Row],[Slot]],"00")&amp;","&amp;TEXT(tbl_IO_List[[#This Row],[Point]],"00")</f>
        <v>C2S02,17</v>
      </c>
      <c r="AA280" s="136" t="str">
        <f>VLOOKUP(tbl_IO_List[[#This Row],[Column23]],tbl_RackConfig[],5,FALSE) &amp;"-"&amp;tbl_IO_List[[#This Row],[Point]]</f>
        <v>1756-IB32-17</v>
      </c>
      <c r="AB280" s="136"/>
      <c r="AC280" s="136"/>
      <c r="AD280" s="136" t="str">
        <f>tbl_IO_List[[#This Row],[I/O Type]]</f>
        <v>DI</v>
      </c>
      <c r="AE280" s="136" t="s">
        <v>1333</v>
      </c>
      <c r="AF280" s="136">
        <v>2</v>
      </c>
      <c r="AG280" s="136">
        <v>17</v>
      </c>
      <c r="AH280" s="136">
        <v>18</v>
      </c>
      <c r="AI280" s="136">
        <v>20</v>
      </c>
      <c r="AJ280" s="136">
        <v>1</v>
      </c>
      <c r="AK280" s="136">
        <v>0</v>
      </c>
      <c r="AL280" s="136">
        <v>0</v>
      </c>
      <c r="AM280" s="136">
        <v>0</v>
      </c>
      <c r="AN280" s="136">
        <v>0</v>
      </c>
      <c r="AO280" s="136"/>
      <c r="AP280" s="143" t="str">
        <f>VLOOKUP(tbl_IO_List[[#This Row],[Instruement Tag]],tbl_Instruement_List[],14,FALSE)</f>
        <v>Dry Contact</v>
      </c>
      <c r="AQ280" s="143" t="str">
        <f>tbl_IO_List[[#This Row],[Chassis]]&amp;"S"&amp;tbl_IO_List[[#This Row],[Slot]]&amp;"-"&amp;tbl_IO_List[[#This Row],[Front Terminal Number]]</f>
        <v>C2S2-20</v>
      </c>
      <c r="AR280" s="141" t="s">
        <v>1862</v>
      </c>
      <c r="AS280" s="136" t="str">
        <f>tbl_IO_List[[#This Row],[Terminal Tagging]]&amp;"-"&amp;tbl_IO_List[[#This Row],[Point-Count]]</f>
        <v>P2-TBDI2-18</v>
      </c>
      <c r="AT280" s="136" t="str">
        <f>tbl_IO_List[[#This Row],[Front Terminal Tagging]]&amp;"/"&amp;tbl_IO_List[[#This Row],[Terminal Tagging-Item]]</f>
        <v>C2S2-20/P2-TBDI2-18</v>
      </c>
      <c r="AU280" s="136" t="str">
        <f>tbl_IO_List[[#This Row],[Terminal Tagging-Item]]&amp;"/"&amp;tbl_IO_List[[#This Row],[Front Terminal Tagging]]</f>
        <v>P2-TBDI2-18/C2S2-20</v>
      </c>
    </row>
    <row r="281" spans="1:47">
      <c r="A281" s="147" t="s">
        <v>1367</v>
      </c>
      <c r="B281" s="136" t="s">
        <v>221</v>
      </c>
      <c r="C281" s="136" t="str">
        <f>tbl_IO_List[[#This Row],[Column3]]</f>
        <v>C2S02,18</v>
      </c>
      <c r="D281" s="136" t="str">
        <f>tbl_IO_List[[#This Row],[Card]]</f>
        <v>1756-IB32-18</v>
      </c>
      <c r="E281" s="136" t="s">
        <v>1372</v>
      </c>
      <c r="F281" s="136" t="str">
        <f>tbl_IO_List[[#This Row],[Column23]]&amp;"-" &amp;tbl_IO_List[[#This Row],[Column52]]</f>
        <v>C2S02-X2</v>
      </c>
      <c r="G281" s="136" t="str">
        <f>tbl_IO_List[[#This Row],[PLC_Tag]]</f>
        <v>XA-60243B_DI_1</v>
      </c>
      <c r="H281" s="136"/>
      <c r="I281" s="136" t="str">
        <f>VLOOKUP(tbl_IO_List[[#This Row],[Destination]],tbl_Junction[],2,FALSE)</f>
        <v>Spray Dryer 3rd Floor</v>
      </c>
      <c r="J281" s="136" t="s">
        <v>221</v>
      </c>
      <c r="K281" s="136" t="s">
        <v>14</v>
      </c>
      <c r="L281" s="136" t="s">
        <v>1088</v>
      </c>
      <c r="M281" s="136">
        <f>VLOOKUP(tbl_IO_List[[#This Row],[Instruement Tag]],tbl_Instruement_List[],2,FALSE)</f>
        <v>0</v>
      </c>
      <c r="N281" s="136" t="s">
        <v>31</v>
      </c>
      <c r="O281" s="136" t="s">
        <v>21</v>
      </c>
      <c r="P281" s="136" t="s">
        <v>18</v>
      </c>
      <c r="Q281" s="136" t="str">
        <f>VLOOKUP(tbl_IO_List[[#This Row],[Instruement Tag]],tbl_Instruement_List[],6,FALSE)</f>
        <v>Alarm 2 for BGHS-21 (Bag House Air Pulsing)</v>
      </c>
      <c r="R281" s="136"/>
      <c r="S28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81" s="136" t="str">
        <f>tbl_IO_List[[#This Row],[Instruement Tag]]&amp;"_"&amp;tbl_IO_List[[#This Row],[I/O Type]]&amp;"_"&amp;tbl_IO_List[[#This Row],[IO-Point 
(Instruement)]]</f>
        <v>XA-60243B_DI_1</v>
      </c>
      <c r="U281" s="136" t="s">
        <v>8</v>
      </c>
      <c r="V281" s="136">
        <f>VLOOKUP(tbl_IO_List[[#This Row],[I/O Type]],tbl_Slot_Group[],2,FALSE)</f>
        <v>1</v>
      </c>
      <c r="W281" s="136">
        <v>1</v>
      </c>
      <c r="X281" s="136" t="str">
        <f>tbl_IO_List[[#This Row],[Chassis]]&amp;"S"&amp;TEXT(tbl_IO_List[[#This Row],[Slot]],"00")</f>
        <v>C2S02</v>
      </c>
      <c r="Y281" s="136" t="str">
        <f>tbl_IO_List[[#This Row],[Chassis]]&amp;"S"&amp;TEXT(tbl_IO_List[[#This Row],[Slot]],"00")&amp;tbl_IO_List[[#This Row],[I/O Type]]&amp;TEXT(tbl_IO_List[[#This Row],[Point]],"00")</f>
        <v>C2S02DI18</v>
      </c>
      <c r="Z281" s="136" t="str">
        <f>tbl_IO_List[[#This Row],[Chassis]]&amp;"S"&amp;TEXT(tbl_IO_List[[#This Row],[Slot]],"00")&amp;","&amp;TEXT(tbl_IO_List[[#This Row],[Point]],"00")</f>
        <v>C2S02,18</v>
      </c>
      <c r="AA281" s="136" t="str">
        <f>VLOOKUP(tbl_IO_List[[#This Row],[Column23]],tbl_RackConfig[],5,FALSE) &amp;"-"&amp;tbl_IO_List[[#This Row],[Point]]</f>
        <v>1756-IB32-18</v>
      </c>
      <c r="AB281" s="136"/>
      <c r="AC281" s="136"/>
      <c r="AD281" s="136" t="str">
        <f>tbl_IO_List[[#This Row],[I/O Type]]</f>
        <v>DI</v>
      </c>
      <c r="AE281" s="136" t="s">
        <v>1333</v>
      </c>
      <c r="AF281" s="136">
        <v>2</v>
      </c>
      <c r="AG281" s="136">
        <v>18</v>
      </c>
      <c r="AH281" s="136">
        <v>19</v>
      </c>
      <c r="AI281" s="136">
        <v>21</v>
      </c>
      <c r="AJ281" s="136">
        <v>1</v>
      </c>
      <c r="AK281" s="136">
        <v>0</v>
      </c>
      <c r="AL281" s="136">
        <v>0</v>
      </c>
      <c r="AM281" s="136">
        <v>0</v>
      </c>
      <c r="AN281" s="136">
        <v>0</v>
      </c>
      <c r="AO281" s="136"/>
      <c r="AP281" s="143" t="str">
        <f>VLOOKUP(tbl_IO_List[[#This Row],[Instruement Tag]],tbl_Instruement_List[],14,FALSE)</f>
        <v>Dry Contact</v>
      </c>
      <c r="AQ281" s="143" t="str">
        <f>tbl_IO_List[[#This Row],[Chassis]]&amp;"S"&amp;tbl_IO_List[[#This Row],[Slot]]&amp;"-"&amp;tbl_IO_List[[#This Row],[Front Terminal Number]]</f>
        <v>C2S2-21</v>
      </c>
      <c r="AR281" s="141" t="s">
        <v>1862</v>
      </c>
      <c r="AS281" s="136" t="str">
        <f>tbl_IO_List[[#This Row],[Terminal Tagging]]&amp;"-"&amp;tbl_IO_List[[#This Row],[Point-Count]]</f>
        <v>P2-TBDI2-19</v>
      </c>
      <c r="AT281" s="136" t="str">
        <f>tbl_IO_List[[#This Row],[Front Terminal Tagging]]&amp;"/"&amp;tbl_IO_List[[#This Row],[Terminal Tagging-Item]]</f>
        <v>C2S2-21/P2-TBDI2-19</v>
      </c>
      <c r="AU281" s="136" t="str">
        <f>tbl_IO_List[[#This Row],[Terminal Tagging-Item]]&amp;"/"&amp;tbl_IO_List[[#This Row],[Front Terminal Tagging]]</f>
        <v>P2-TBDI2-19/C2S2-21</v>
      </c>
    </row>
    <row r="282" spans="1:47">
      <c r="A282" s="147" t="s">
        <v>1367</v>
      </c>
      <c r="B282" s="136" t="s">
        <v>221</v>
      </c>
      <c r="C282" s="136" t="str">
        <f>tbl_IO_List[[#This Row],[Column3]]</f>
        <v>C2S02,19</v>
      </c>
      <c r="D282" s="136" t="str">
        <f>tbl_IO_List[[#This Row],[Card]]</f>
        <v>1756-IB32-19</v>
      </c>
      <c r="E282" s="136" t="s">
        <v>1372</v>
      </c>
      <c r="F282" s="136" t="str">
        <f>tbl_IO_List[[#This Row],[Column23]]&amp;"-" &amp;tbl_IO_List[[#This Row],[Column52]]</f>
        <v>C2S02-X2</v>
      </c>
      <c r="G282" s="136" t="str">
        <f>tbl_IO_List[[#This Row],[PLC_Tag]]</f>
        <v>XV-60214_DI_1</v>
      </c>
      <c r="H282" s="136"/>
      <c r="I282" s="136" t="str">
        <f>VLOOKUP(tbl_IO_List[[#This Row],[Destination]],tbl_Junction[],2,FALSE)</f>
        <v>Spray Dryer 3rd Floor</v>
      </c>
      <c r="J282" s="136" t="s">
        <v>221</v>
      </c>
      <c r="K282" s="136" t="s">
        <v>14</v>
      </c>
      <c r="L282" s="136" t="s">
        <v>256</v>
      </c>
      <c r="M282" s="136">
        <f>VLOOKUP(tbl_IO_List[[#This Row],[Instruement Tag]],tbl_Instruement_List[],2,FALSE)</f>
        <v>0</v>
      </c>
      <c r="N282" s="136" t="s">
        <v>47</v>
      </c>
      <c r="O282" s="136" t="s">
        <v>50</v>
      </c>
      <c r="P282" s="136" t="s">
        <v>51</v>
      </c>
      <c r="Q282" s="136" t="str">
        <f>VLOOKUP(tbl_IO_List[[#This Row],[Instruement Tag]],tbl_Instruement_List[],6,FALSE)</f>
        <v xml:space="preserve">Steam feed to Spray dryer </v>
      </c>
      <c r="R282" s="136"/>
      <c r="S28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282" s="136" t="str">
        <f>tbl_IO_List[[#This Row],[Instruement Tag]]&amp;"_"&amp;tbl_IO_List[[#This Row],[I/O Type]]&amp;"_"&amp;tbl_IO_List[[#This Row],[IO-Point 
(Instruement)]]</f>
        <v>XV-60214_DI_1</v>
      </c>
      <c r="U282" s="136" t="s">
        <v>8</v>
      </c>
      <c r="V282" s="136">
        <f>VLOOKUP(tbl_IO_List[[#This Row],[I/O Type]],tbl_Slot_Group[],2,FALSE)</f>
        <v>1</v>
      </c>
      <c r="W282" s="136">
        <v>1</v>
      </c>
      <c r="X282" s="136" t="str">
        <f>tbl_IO_List[[#This Row],[Chassis]]&amp;"S"&amp;TEXT(tbl_IO_List[[#This Row],[Slot]],"00")</f>
        <v>C2S02</v>
      </c>
      <c r="Y282" s="136" t="str">
        <f>tbl_IO_List[[#This Row],[Chassis]]&amp;"S"&amp;TEXT(tbl_IO_List[[#This Row],[Slot]],"00")&amp;tbl_IO_List[[#This Row],[I/O Type]]&amp;TEXT(tbl_IO_List[[#This Row],[Point]],"00")</f>
        <v>C2S02DI19</v>
      </c>
      <c r="Z282" s="136" t="str">
        <f>tbl_IO_List[[#This Row],[Chassis]]&amp;"S"&amp;TEXT(tbl_IO_List[[#This Row],[Slot]],"00")&amp;","&amp;TEXT(tbl_IO_List[[#This Row],[Point]],"00")</f>
        <v>C2S02,19</v>
      </c>
      <c r="AA282" s="136" t="str">
        <f>VLOOKUP(tbl_IO_List[[#This Row],[Column23]],tbl_RackConfig[],5,FALSE) &amp;"-"&amp;tbl_IO_List[[#This Row],[Point]]</f>
        <v>1756-IB32-19</v>
      </c>
      <c r="AB282" s="136"/>
      <c r="AC282" s="136"/>
      <c r="AD282" s="136" t="str">
        <f>tbl_IO_List[[#This Row],[I/O Type]]</f>
        <v>DI</v>
      </c>
      <c r="AE282" s="136" t="s">
        <v>1333</v>
      </c>
      <c r="AF282" s="136">
        <v>2</v>
      </c>
      <c r="AG282" s="136">
        <v>19</v>
      </c>
      <c r="AH282" s="136">
        <v>20</v>
      </c>
      <c r="AI282" s="136">
        <v>22</v>
      </c>
      <c r="AJ282" s="136">
        <v>2</v>
      </c>
      <c r="AK282" s="136">
        <v>1</v>
      </c>
      <c r="AL282" s="136">
        <v>0</v>
      </c>
      <c r="AM282" s="136">
        <v>0</v>
      </c>
      <c r="AN282" s="136">
        <v>0</v>
      </c>
      <c r="AO282" s="136"/>
      <c r="AP282" s="143" t="str">
        <f>VLOOKUP(tbl_IO_List[[#This Row],[Instruement Tag]],tbl_Instruement_List[],14,FALSE)</f>
        <v>24 VDC energized</v>
      </c>
      <c r="AQ282" s="143" t="str">
        <f>tbl_IO_List[[#This Row],[Chassis]]&amp;"S"&amp;tbl_IO_List[[#This Row],[Slot]]&amp;"-"&amp;tbl_IO_List[[#This Row],[Front Terminal Number]]</f>
        <v>C2S2-22</v>
      </c>
      <c r="AR282" s="141" t="s">
        <v>1862</v>
      </c>
      <c r="AS282" s="136" t="str">
        <f>tbl_IO_List[[#This Row],[Terminal Tagging]]&amp;"-"&amp;tbl_IO_List[[#This Row],[Point-Count]]</f>
        <v>P2-TBDI2-20</v>
      </c>
      <c r="AT282" s="136" t="str">
        <f>tbl_IO_List[[#This Row],[Front Terminal Tagging]]&amp;"/"&amp;tbl_IO_List[[#This Row],[Terminal Tagging-Item]]</f>
        <v>C2S2-22/P2-TBDI2-20</v>
      </c>
      <c r="AU282" s="136" t="str">
        <f>tbl_IO_List[[#This Row],[Terminal Tagging-Item]]&amp;"/"&amp;tbl_IO_List[[#This Row],[Front Terminal Tagging]]</f>
        <v>P2-TBDI2-20/C2S2-22</v>
      </c>
    </row>
    <row r="283" spans="1:47">
      <c r="A283" s="147" t="s">
        <v>1367</v>
      </c>
      <c r="B283" s="136" t="s">
        <v>221</v>
      </c>
      <c r="C283" s="136" t="str">
        <f>tbl_IO_List[[#This Row],[Column3]]</f>
        <v>C2S02,20</v>
      </c>
      <c r="D283" s="136" t="str">
        <f>tbl_IO_List[[#This Row],[Card]]</f>
        <v>1756-IB32-20</v>
      </c>
      <c r="E283" s="136" t="s">
        <v>1372</v>
      </c>
      <c r="F283" s="136" t="str">
        <f>tbl_IO_List[[#This Row],[Column23]]&amp;"-" &amp;tbl_IO_List[[#This Row],[Column52]]</f>
        <v>C2S02-X2</v>
      </c>
      <c r="G283" s="136" t="str">
        <f>tbl_IO_List[[#This Row],[PLC_Tag]]</f>
        <v>XV-60214_DI_2</v>
      </c>
      <c r="H283" s="136"/>
      <c r="I283" s="136" t="str">
        <f>VLOOKUP(tbl_IO_List[[#This Row],[Destination]],tbl_Junction[],2,FALSE)</f>
        <v>Spray Dryer 3rd Floor</v>
      </c>
      <c r="J283" s="136" t="s">
        <v>221</v>
      </c>
      <c r="K283" s="136" t="s">
        <v>14</v>
      </c>
      <c r="L283" s="136" t="s">
        <v>256</v>
      </c>
      <c r="M283" s="136">
        <f>VLOOKUP(tbl_IO_List[[#This Row],[Instruement Tag]],tbl_Instruement_List[],2,FALSE)</f>
        <v>0</v>
      </c>
      <c r="N283" s="136" t="s">
        <v>47</v>
      </c>
      <c r="O283" s="136" t="s">
        <v>50</v>
      </c>
      <c r="P283" s="136" t="s">
        <v>51</v>
      </c>
      <c r="Q283" s="136" t="str">
        <f>VLOOKUP(tbl_IO_List[[#This Row],[Instruement Tag]],tbl_Instruement_List[],6,FALSE)</f>
        <v xml:space="preserve">Steam feed to Spray dryer </v>
      </c>
      <c r="R283" s="136"/>
      <c r="S28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283" s="136" t="str">
        <f>tbl_IO_List[[#This Row],[Instruement Tag]]&amp;"_"&amp;tbl_IO_List[[#This Row],[I/O Type]]&amp;"_"&amp;tbl_IO_List[[#This Row],[IO-Point 
(Instruement)]]</f>
        <v>XV-60214_DI_2</v>
      </c>
      <c r="U283" s="136" t="s">
        <v>8</v>
      </c>
      <c r="V283" s="136">
        <f>VLOOKUP(tbl_IO_List[[#This Row],[I/O Type]],tbl_Slot_Group[],2,FALSE)</f>
        <v>1</v>
      </c>
      <c r="W283" s="136">
        <v>2</v>
      </c>
      <c r="X283" s="136" t="str">
        <f>tbl_IO_List[[#This Row],[Chassis]]&amp;"S"&amp;TEXT(tbl_IO_List[[#This Row],[Slot]],"00")</f>
        <v>C2S02</v>
      </c>
      <c r="Y283" s="136" t="str">
        <f>tbl_IO_List[[#This Row],[Chassis]]&amp;"S"&amp;TEXT(tbl_IO_List[[#This Row],[Slot]],"00")&amp;tbl_IO_List[[#This Row],[I/O Type]]&amp;TEXT(tbl_IO_List[[#This Row],[Point]],"00")</f>
        <v>C2S02DI20</v>
      </c>
      <c r="Z283" s="136" t="str">
        <f>tbl_IO_List[[#This Row],[Chassis]]&amp;"S"&amp;TEXT(tbl_IO_List[[#This Row],[Slot]],"00")&amp;","&amp;TEXT(tbl_IO_List[[#This Row],[Point]],"00")</f>
        <v>C2S02,20</v>
      </c>
      <c r="AA283" s="136" t="str">
        <f>VLOOKUP(tbl_IO_List[[#This Row],[Column23]],tbl_RackConfig[],5,FALSE) &amp;"-"&amp;tbl_IO_List[[#This Row],[Point]]</f>
        <v>1756-IB32-20</v>
      </c>
      <c r="AB283" s="136"/>
      <c r="AC283" s="136"/>
      <c r="AD283" s="136" t="str">
        <f>tbl_IO_List[[#This Row],[I/O Type]]</f>
        <v>DI</v>
      </c>
      <c r="AE283" s="136" t="s">
        <v>1333</v>
      </c>
      <c r="AF283" s="136">
        <v>2</v>
      </c>
      <c r="AG283" s="136">
        <v>20</v>
      </c>
      <c r="AH283" s="136">
        <v>21</v>
      </c>
      <c r="AI283" s="136">
        <v>23</v>
      </c>
      <c r="AJ283" s="136">
        <v>2</v>
      </c>
      <c r="AK283" s="136">
        <v>1</v>
      </c>
      <c r="AL283" s="136">
        <v>0</v>
      </c>
      <c r="AM283" s="136">
        <v>0</v>
      </c>
      <c r="AN283" s="136">
        <v>0</v>
      </c>
      <c r="AO283" s="136"/>
      <c r="AP283" s="143" t="str">
        <f>VLOOKUP(tbl_IO_List[[#This Row],[Instruement Tag]],tbl_Instruement_List[],14,FALSE)</f>
        <v>24 VDC energized</v>
      </c>
      <c r="AQ283" s="143" t="str">
        <f>tbl_IO_List[[#This Row],[Chassis]]&amp;"S"&amp;tbl_IO_List[[#This Row],[Slot]]&amp;"-"&amp;tbl_IO_List[[#This Row],[Front Terminal Number]]</f>
        <v>C2S2-23</v>
      </c>
      <c r="AR283" s="141" t="s">
        <v>1862</v>
      </c>
      <c r="AS283" s="136" t="str">
        <f>tbl_IO_List[[#This Row],[Terminal Tagging]]&amp;"-"&amp;tbl_IO_List[[#This Row],[Point-Count]]</f>
        <v>P2-TBDI2-21</v>
      </c>
      <c r="AT283" s="136" t="str">
        <f>tbl_IO_List[[#This Row],[Front Terminal Tagging]]&amp;"/"&amp;tbl_IO_List[[#This Row],[Terminal Tagging-Item]]</f>
        <v>C2S2-23/P2-TBDI2-21</v>
      </c>
      <c r="AU283" s="136" t="str">
        <f>tbl_IO_List[[#This Row],[Terminal Tagging-Item]]&amp;"/"&amp;tbl_IO_List[[#This Row],[Front Terminal Tagging]]</f>
        <v>P2-TBDI2-21/C2S2-23</v>
      </c>
    </row>
    <row r="284" spans="1:47">
      <c r="A284" s="147" t="s">
        <v>1367</v>
      </c>
      <c r="B284" s="136" t="s">
        <v>221</v>
      </c>
      <c r="C284" s="136" t="str">
        <f>tbl_IO_List[[#This Row],[Column3]]</f>
        <v>C2S02,21</v>
      </c>
      <c r="D284" s="136" t="str">
        <f>tbl_IO_List[[#This Row],[Card]]</f>
        <v>1756-IB32-21</v>
      </c>
      <c r="E284" s="136" t="s">
        <v>1372</v>
      </c>
      <c r="F284" s="136" t="str">
        <f>tbl_IO_List[[#This Row],[Column23]]&amp;"-" &amp;tbl_IO_List[[#This Row],[Column52]]</f>
        <v>C2S02-X2</v>
      </c>
      <c r="G284" s="136" t="str">
        <f>tbl_IO_List[[#This Row],[PLC_Tag]]</f>
        <v>XV-60241_DI_1</v>
      </c>
      <c r="H284" s="136"/>
      <c r="I284" s="136" t="str">
        <f>VLOOKUP(tbl_IO_List[[#This Row],[Destination]],tbl_Junction[],2,FALSE)</f>
        <v>Spray Dryer 3rd Floor</v>
      </c>
      <c r="J284" s="136" t="s">
        <v>221</v>
      </c>
      <c r="K284" s="136" t="s">
        <v>14</v>
      </c>
      <c r="L284" s="136" t="s">
        <v>257</v>
      </c>
      <c r="M284" s="136">
        <f>VLOOKUP(tbl_IO_List[[#This Row],[Instruement Tag]],tbl_Instruement_List[],2,FALSE)</f>
        <v>0</v>
      </c>
      <c r="N284" s="136" t="s">
        <v>47</v>
      </c>
      <c r="O284" s="136" t="s">
        <v>21</v>
      </c>
      <c r="P284" s="136" t="s">
        <v>22</v>
      </c>
      <c r="Q284" s="136" t="str">
        <f>VLOOKUP(tbl_IO_List[[#This Row],[Instruement Tag]],tbl_Instruement_List[],6,FALSE)</f>
        <v>Gas On/Off Valve for Bag House Isolation Damper (DMPR-22)</v>
      </c>
      <c r="R284" s="136"/>
      <c r="S28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284" s="136" t="str">
        <f>tbl_IO_List[[#This Row],[Instruement Tag]]&amp;"_"&amp;tbl_IO_List[[#This Row],[I/O Type]]&amp;"_"&amp;tbl_IO_List[[#This Row],[IO-Point 
(Instruement)]]</f>
        <v>XV-60241_DI_1</v>
      </c>
      <c r="U284" s="136" t="s">
        <v>8</v>
      </c>
      <c r="V284" s="136">
        <f>VLOOKUP(tbl_IO_List[[#This Row],[I/O Type]],tbl_Slot_Group[],2,FALSE)</f>
        <v>1</v>
      </c>
      <c r="W284" s="136">
        <v>1</v>
      </c>
      <c r="X284" s="136" t="str">
        <f>tbl_IO_List[[#This Row],[Chassis]]&amp;"S"&amp;TEXT(tbl_IO_List[[#This Row],[Slot]],"00")</f>
        <v>C2S02</v>
      </c>
      <c r="Y284" s="136" t="str">
        <f>tbl_IO_List[[#This Row],[Chassis]]&amp;"S"&amp;TEXT(tbl_IO_List[[#This Row],[Slot]],"00")&amp;tbl_IO_List[[#This Row],[I/O Type]]&amp;TEXT(tbl_IO_List[[#This Row],[Point]],"00")</f>
        <v>C2S02DI21</v>
      </c>
      <c r="Z284" s="136" t="str">
        <f>tbl_IO_List[[#This Row],[Chassis]]&amp;"S"&amp;TEXT(tbl_IO_List[[#This Row],[Slot]],"00")&amp;","&amp;TEXT(tbl_IO_List[[#This Row],[Point]],"00")</f>
        <v>C2S02,21</v>
      </c>
      <c r="AA284" s="136" t="str">
        <f>VLOOKUP(tbl_IO_List[[#This Row],[Column23]],tbl_RackConfig[],5,FALSE) &amp;"-"&amp;tbl_IO_List[[#This Row],[Point]]</f>
        <v>1756-IB32-21</v>
      </c>
      <c r="AB284" s="136"/>
      <c r="AC284" s="136"/>
      <c r="AD284" s="136" t="str">
        <f>tbl_IO_List[[#This Row],[I/O Type]]</f>
        <v>DI</v>
      </c>
      <c r="AE284" s="136" t="s">
        <v>1333</v>
      </c>
      <c r="AF284" s="136">
        <v>2</v>
      </c>
      <c r="AG284" s="136">
        <v>21</v>
      </c>
      <c r="AH284" s="136">
        <v>22</v>
      </c>
      <c r="AI284" s="136">
        <v>24</v>
      </c>
      <c r="AJ284" s="136">
        <v>2</v>
      </c>
      <c r="AK284" s="136">
        <v>1</v>
      </c>
      <c r="AL284" s="136">
        <v>0</v>
      </c>
      <c r="AM284" s="136">
        <v>0</v>
      </c>
      <c r="AN284" s="136">
        <v>0</v>
      </c>
      <c r="AO284" s="136"/>
      <c r="AP284" s="143" t="str">
        <f>VLOOKUP(tbl_IO_List[[#This Row],[Instruement Tag]],tbl_Instruement_List[],14,FALSE)</f>
        <v>24 VDC energized,Dry Contact</v>
      </c>
      <c r="AQ284" s="143" t="str">
        <f>tbl_IO_List[[#This Row],[Chassis]]&amp;"S"&amp;tbl_IO_List[[#This Row],[Slot]]&amp;"-"&amp;tbl_IO_List[[#This Row],[Front Terminal Number]]</f>
        <v>C2S2-24</v>
      </c>
      <c r="AR284" s="141" t="s">
        <v>1862</v>
      </c>
      <c r="AS284" s="136" t="str">
        <f>tbl_IO_List[[#This Row],[Terminal Tagging]]&amp;"-"&amp;tbl_IO_List[[#This Row],[Point-Count]]</f>
        <v>P2-TBDI2-22</v>
      </c>
      <c r="AT284" s="136" t="str">
        <f>tbl_IO_List[[#This Row],[Front Terminal Tagging]]&amp;"/"&amp;tbl_IO_List[[#This Row],[Terminal Tagging-Item]]</f>
        <v>C2S2-24/P2-TBDI2-22</v>
      </c>
      <c r="AU284" s="136" t="str">
        <f>tbl_IO_List[[#This Row],[Terminal Tagging-Item]]&amp;"/"&amp;tbl_IO_List[[#This Row],[Front Terminal Tagging]]</f>
        <v>P2-TBDI2-22/C2S2-24</v>
      </c>
    </row>
    <row r="285" spans="1:47">
      <c r="A285" s="147" t="s">
        <v>1367</v>
      </c>
      <c r="B285" s="136" t="s">
        <v>221</v>
      </c>
      <c r="C285" s="136" t="str">
        <f>tbl_IO_List[[#This Row],[Column3]]</f>
        <v>C2S02,22</v>
      </c>
      <c r="D285" s="136" t="str">
        <f>tbl_IO_List[[#This Row],[Card]]</f>
        <v>1756-IB32-22</v>
      </c>
      <c r="E285" s="136" t="s">
        <v>1372</v>
      </c>
      <c r="F285" s="136" t="str">
        <f>tbl_IO_List[[#This Row],[Column23]]&amp;"-" &amp;tbl_IO_List[[#This Row],[Column52]]</f>
        <v>C2S02-X2</v>
      </c>
      <c r="G285" s="136" t="str">
        <f>tbl_IO_List[[#This Row],[PLC_Tag]]</f>
        <v>XV-60241_DI_2</v>
      </c>
      <c r="H285" s="136"/>
      <c r="I285" s="136" t="str">
        <f>VLOOKUP(tbl_IO_List[[#This Row],[Destination]],tbl_Junction[],2,FALSE)</f>
        <v>Spray Dryer 3rd Floor</v>
      </c>
      <c r="J285" s="136" t="s">
        <v>221</v>
      </c>
      <c r="K285" s="136" t="s">
        <v>14</v>
      </c>
      <c r="L285" s="136" t="s">
        <v>257</v>
      </c>
      <c r="M285" s="136">
        <f>VLOOKUP(tbl_IO_List[[#This Row],[Instruement Tag]],tbl_Instruement_List[],2,FALSE)</f>
        <v>0</v>
      </c>
      <c r="N285" s="136" t="s">
        <v>47</v>
      </c>
      <c r="O285" s="136" t="s">
        <v>21</v>
      </c>
      <c r="P285" s="136" t="s">
        <v>22</v>
      </c>
      <c r="Q285" s="136" t="str">
        <f>VLOOKUP(tbl_IO_List[[#This Row],[Instruement Tag]],tbl_Instruement_List[],6,FALSE)</f>
        <v>Gas On/Off Valve for Bag House Isolation Damper (DMPR-22)</v>
      </c>
      <c r="R285" s="136"/>
      <c r="S28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285" s="136" t="str">
        <f>tbl_IO_List[[#This Row],[Instruement Tag]]&amp;"_"&amp;tbl_IO_List[[#This Row],[I/O Type]]&amp;"_"&amp;tbl_IO_List[[#This Row],[IO-Point 
(Instruement)]]</f>
        <v>XV-60241_DI_2</v>
      </c>
      <c r="U285" s="136" t="s">
        <v>8</v>
      </c>
      <c r="V285" s="136">
        <f>VLOOKUP(tbl_IO_List[[#This Row],[I/O Type]],tbl_Slot_Group[],2,FALSE)</f>
        <v>1</v>
      </c>
      <c r="W285" s="136">
        <v>2</v>
      </c>
      <c r="X285" s="136" t="str">
        <f>tbl_IO_List[[#This Row],[Chassis]]&amp;"S"&amp;TEXT(tbl_IO_List[[#This Row],[Slot]],"00")</f>
        <v>C2S02</v>
      </c>
      <c r="Y285" s="136" t="str">
        <f>tbl_IO_List[[#This Row],[Chassis]]&amp;"S"&amp;TEXT(tbl_IO_List[[#This Row],[Slot]],"00")&amp;tbl_IO_List[[#This Row],[I/O Type]]&amp;TEXT(tbl_IO_List[[#This Row],[Point]],"00")</f>
        <v>C2S02DI22</v>
      </c>
      <c r="Z285" s="136" t="str">
        <f>tbl_IO_List[[#This Row],[Chassis]]&amp;"S"&amp;TEXT(tbl_IO_List[[#This Row],[Slot]],"00")&amp;","&amp;TEXT(tbl_IO_List[[#This Row],[Point]],"00")</f>
        <v>C2S02,22</v>
      </c>
      <c r="AA285" s="136" t="str">
        <f>VLOOKUP(tbl_IO_List[[#This Row],[Column23]],tbl_RackConfig[],5,FALSE) &amp;"-"&amp;tbl_IO_List[[#This Row],[Point]]</f>
        <v>1756-IB32-22</v>
      </c>
      <c r="AB285" s="136"/>
      <c r="AC285" s="136"/>
      <c r="AD285" s="136" t="str">
        <f>tbl_IO_List[[#This Row],[I/O Type]]</f>
        <v>DI</v>
      </c>
      <c r="AE285" s="136" t="s">
        <v>1333</v>
      </c>
      <c r="AF285" s="136">
        <v>2</v>
      </c>
      <c r="AG285" s="136">
        <v>22</v>
      </c>
      <c r="AH285" s="136">
        <v>23</v>
      </c>
      <c r="AI285" s="136">
        <v>25</v>
      </c>
      <c r="AJ285" s="136">
        <v>2</v>
      </c>
      <c r="AK285" s="136">
        <v>1</v>
      </c>
      <c r="AL285" s="136">
        <v>0</v>
      </c>
      <c r="AM285" s="136">
        <v>0</v>
      </c>
      <c r="AN285" s="136">
        <v>0</v>
      </c>
      <c r="AO285" s="136"/>
      <c r="AP285" s="143" t="str">
        <f>VLOOKUP(tbl_IO_List[[#This Row],[Instruement Tag]],tbl_Instruement_List[],14,FALSE)</f>
        <v>24 VDC energized,Dry Contact</v>
      </c>
      <c r="AQ285" s="143" t="str">
        <f>tbl_IO_List[[#This Row],[Chassis]]&amp;"S"&amp;tbl_IO_List[[#This Row],[Slot]]&amp;"-"&amp;tbl_IO_List[[#This Row],[Front Terminal Number]]</f>
        <v>C2S2-25</v>
      </c>
      <c r="AR285" s="141" t="s">
        <v>1862</v>
      </c>
      <c r="AS285" s="136" t="str">
        <f>tbl_IO_List[[#This Row],[Terminal Tagging]]&amp;"-"&amp;tbl_IO_List[[#This Row],[Point-Count]]</f>
        <v>P2-TBDI2-23</v>
      </c>
      <c r="AT285" s="136" t="str">
        <f>tbl_IO_List[[#This Row],[Front Terminal Tagging]]&amp;"/"&amp;tbl_IO_List[[#This Row],[Terminal Tagging-Item]]</f>
        <v>C2S2-25/P2-TBDI2-23</v>
      </c>
      <c r="AU285" s="136" t="str">
        <f>tbl_IO_List[[#This Row],[Terminal Tagging-Item]]&amp;"/"&amp;tbl_IO_List[[#This Row],[Front Terminal Tagging]]</f>
        <v>P2-TBDI2-23/C2S2-25</v>
      </c>
    </row>
    <row r="286" spans="1:47">
      <c r="A286" s="147" t="s">
        <v>1367</v>
      </c>
      <c r="B286" s="136" t="s">
        <v>221</v>
      </c>
      <c r="C286" s="136" t="str">
        <f>tbl_IO_List[[#This Row],[Column3]]</f>
        <v>C2S02,23</v>
      </c>
      <c r="D286" s="136" t="str">
        <f>tbl_IO_List[[#This Row],[Card]]</f>
        <v>1756-IB32-23</v>
      </c>
      <c r="E286" s="136" t="s">
        <v>1372</v>
      </c>
      <c r="F286" s="136" t="str">
        <f>tbl_IO_List[[#This Row],[Column23]]&amp;"-" &amp;tbl_IO_List[[#This Row],[Column52]]</f>
        <v>C2S02-X2</v>
      </c>
      <c r="G286" s="136" t="str">
        <f>tbl_IO_List[[#This Row],[PLC_Tag]]</f>
        <v>Spare_DI_0</v>
      </c>
      <c r="H286" s="136"/>
      <c r="I286" s="136" t="str">
        <f>VLOOKUP(tbl_IO_List[[#This Row],[Destination]],tbl_Junction[],2,FALSE)</f>
        <v>Spray Dryer 3rd Floor</v>
      </c>
      <c r="J286" s="136" t="s">
        <v>221</v>
      </c>
      <c r="K286" s="136"/>
      <c r="L286" s="136" t="s">
        <v>411</v>
      </c>
      <c r="M286" s="136" t="e">
        <f>VLOOKUP(tbl_IO_List[[#This Row],[Instruement Tag]],tbl_Instruement_List[],2,FALSE)</f>
        <v>#N/A</v>
      </c>
      <c r="N286" s="136"/>
      <c r="O286" s="136"/>
      <c r="P286" s="136"/>
      <c r="Q286" s="136" t="e">
        <f>VLOOKUP(tbl_IO_List[[#This Row],[Instruement Tag]],tbl_Instruement_List[],6,FALSE)</f>
        <v>#N/A</v>
      </c>
      <c r="R286" s="136"/>
      <c r="S28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86" s="136" t="str">
        <f>tbl_IO_List[[#This Row],[Instruement Tag]]&amp;"_"&amp;tbl_IO_List[[#This Row],[I/O Type]]&amp;"_"&amp;tbl_IO_List[[#This Row],[IO-Point 
(Instruement)]]</f>
        <v>Spare_DI_0</v>
      </c>
      <c r="U286" s="136" t="s">
        <v>8</v>
      </c>
      <c r="V286" s="136">
        <f>VLOOKUP(tbl_IO_List[[#This Row],[I/O Type]],tbl_Slot_Group[],2,FALSE)</f>
        <v>1</v>
      </c>
      <c r="W286" s="136">
        <v>0</v>
      </c>
      <c r="X286" s="136" t="str">
        <f>tbl_IO_List[[#This Row],[Chassis]]&amp;"S"&amp;TEXT(tbl_IO_List[[#This Row],[Slot]],"00")</f>
        <v>C2S02</v>
      </c>
      <c r="Y286" s="136" t="str">
        <f>tbl_IO_List[[#This Row],[Chassis]]&amp;"S"&amp;TEXT(tbl_IO_List[[#This Row],[Slot]],"00")&amp;tbl_IO_List[[#This Row],[I/O Type]]&amp;TEXT(tbl_IO_List[[#This Row],[Point]],"00")</f>
        <v>C2S02DI23</v>
      </c>
      <c r="Z286" s="136" t="str">
        <f>tbl_IO_List[[#This Row],[Chassis]]&amp;"S"&amp;TEXT(tbl_IO_List[[#This Row],[Slot]],"00")&amp;","&amp;TEXT(tbl_IO_List[[#This Row],[Point]],"00")</f>
        <v>C2S02,23</v>
      </c>
      <c r="AA286" s="136" t="str">
        <f>VLOOKUP(tbl_IO_List[[#This Row],[Column23]],tbl_RackConfig[],5,FALSE) &amp;"-"&amp;tbl_IO_List[[#This Row],[Point]]</f>
        <v>1756-IB32-23</v>
      </c>
      <c r="AB286" s="136"/>
      <c r="AC286" s="136"/>
      <c r="AD286" s="136" t="str">
        <f>tbl_IO_List[[#This Row],[I/O Type]]</f>
        <v>DI</v>
      </c>
      <c r="AE286" s="136" t="s">
        <v>1333</v>
      </c>
      <c r="AF286" s="136">
        <v>2</v>
      </c>
      <c r="AG286" s="136">
        <v>23</v>
      </c>
      <c r="AH286" s="136">
        <v>24</v>
      </c>
      <c r="AI286" s="136">
        <v>26</v>
      </c>
      <c r="AJ286" s="136">
        <v>1</v>
      </c>
      <c r="AK286" s="136">
        <v>0</v>
      </c>
      <c r="AL286" s="136">
        <v>0</v>
      </c>
      <c r="AM286" s="136">
        <v>0</v>
      </c>
      <c r="AN286" s="136">
        <v>0</v>
      </c>
      <c r="AO286" s="136"/>
      <c r="AP286" s="143" t="e">
        <f>VLOOKUP(tbl_IO_List[[#This Row],[Instruement Tag]],tbl_Instruement_List[],14,FALSE)</f>
        <v>#N/A</v>
      </c>
      <c r="AQ286" s="143" t="str">
        <f>tbl_IO_List[[#This Row],[Chassis]]&amp;"S"&amp;tbl_IO_List[[#This Row],[Slot]]&amp;"-"&amp;tbl_IO_List[[#This Row],[Front Terminal Number]]</f>
        <v>C2S2-26</v>
      </c>
      <c r="AR286" s="141" t="s">
        <v>1862</v>
      </c>
      <c r="AS286" s="136" t="str">
        <f>tbl_IO_List[[#This Row],[Terminal Tagging]]&amp;"-"&amp;tbl_IO_List[[#This Row],[Point-Count]]</f>
        <v>P2-TBDI2-24</v>
      </c>
      <c r="AT286" s="136" t="str">
        <f>tbl_IO_List[[#This Row],[Front Terminal Tagging]]&amp;"/"&amp;tbl_IO_List[[#This Row],[Terminal Tagging-Item]]</f>
        <v>C2S2-26/P2-TBDI2-24</v>
      </c>
      <c r="AU286" s="136" t="str">
        <f>tbl_IO_List[[#This Row],[Terminal Tagging-Item]]&amp;"/"&amp;tbl_IO_List[[#This Row],[Front Terminal Tagging]]</f>
        <v>P2-TBDI2-24/C2S2-26</v>
      </c>
    </row>
    <row r="287" spans="1:47">
      <c r="A287" s="147" t="s">
        <v>1367</v>
      </c>
      <c r="B287" s="136" t="s">
        <v>221</v>
      </c>
      <c r="C287" s="136" t="str">
        <f>tbl_IO_List[[#This Row],[Column3]]</f>
        <v>C2S02,24</v>
      </c>
      <c r="D287" s="136" t="str">
        <f>tbl_IO_List[[#This Row],[Card]]</f>
        <v>1756-IB32-24</v>
      </c>
      <c r="E287" s="136" t="s">
        <v>1372</v>
      </c>
      <c r="F287" s="136" t="str">
        <f>tbl_IO_List[[#This Row],[Column23]]&amp;"-" &amp;tbl_IO_List[[#This Row],[Column52]]</f>
        <v>C2S02-X2</v>
      </c>
      <c r="G287" s="136" t="str">
        <f>tbl_IO_List[[#This Row],[PLC_Tag]]</f>
        <v>Spare_DI_0</v>
      </c>
      <c r="H287" s="136"/>
      <c r="I287" s="136" t="str">
        <f>VLOOKUP(tbl_IO_List[[#This Row],[Destination]],tbl_Junction[],2,FALSE)</f>
        <v>Spray Dryer 3rd Floor</v>
      </c>
      <c r="J287" s="136" t="s">
        <v>221</v>
      </c>
      <c r="K287" s="136"/>
      <c r="L287" s="136" t="s">
        <v>411</v>
      </c>
      <c r="M287" s="136" t="e">
        <f>VLOOKUP(tbl_IO_List[[#This Row],[Instruement Tag]],tbl_Instruement_List[],2,FALSE)</f>
        <v>#N/A</v>
      </c>
      <c r="N287" s="136"/>
      <c r="O287" s="136"/>
      <c r="P287" s="136"/>
      <c r="Q287" s="136" t="e">
        <f>VLOOKUP(tbl_IO_List[[#This Row],[Instruement Tag]],tbl_Instruement_List[],6,FALSE)</f>
        <v>#N/A</v>
      </c>
      <c r="R287" s="136"/>
      <c r="S28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87" s="136" t="str">
        <f>tbl_IO_List[[#This Row],[Instruement Tag]]&amp;"_"&amp;tbl_IO_List[[#This Row],[I/O Type]]&amp;"_"&amp;tbl_IO_List[[#This Row],[IO-Point 
(Instruement)]]</f>
        <v>Spare_DI_0</v>
      </c>
      <c r="U287" s="136" t="s">
        <v>8</v>
      </c>
      <c r="V287" s="136">
        <f>VLOOKUP(tbl_IO_List[[#This Row],[I/O Type]],tbl_Slot_Group[],2,FALSE)</f>
        <v>1</v>
      </c>
      <c r="W287" s="136">
        <v>0</v>
      </c>
      <c r="X287" s="136" t="str">
        <f>tbl_IO_List[[#This Row],[Chassis]]&amp;"S"&amp;TEXT(tbl_IO_List[[#This Row],[Slot]],"00")</f>
        <v>C2S02</v>
      </c>
      <c r="Y287" s="136" t="str">
        <f>tbl_IO_List[[#This Row],[Chassis]]&amp;"S"&amp;TEXT(tbl_IO_List[[#This Row],[Slot]],"00")&amp;tbl_IO_List[[#This Row],[I/O Type]]&amp;TEXT(tbl_IO_List[[#This Row],[Point]],"00")</f>
        <v>C2S02DI24</v>
      </c>
      <c r="Z287" s="136" t="str">
        <f>tbl_IO_List[[#This Row],[Chassis]]&amp;"S"&amp;TEXT(tbl_IO_List[[#This Row],[Slot]],"00")&amp;","&amp;TEXT(tbl_IO_List[[#This Row],[Point]],"00")</f>
        <v>C2S02,24</v>
      </c>
      <c r="AA287" s="136" t="str">
        <f>VLOOKUP(tbl_IO_List[[#This Row],[Column23]],tbl_RackConfig[],5,FALSE) &amp;"-"&amp;tbl_IO_List[[#This Row],[Point]]</f>
        <v>1756-IB32-24</v>
      </c>
      <c r="AB287" s="136"/>
      <c r="AC287" s="136"/>
      <c r="AD287" s="136" t="str">
        <f>tbl_IO_List[[#This Row],[I/O Type]]</f>
        <v>DI</v>
      </c>
      <c r="AE287" s="136" t="s">
        <v>1333</v>
      </c>
      <c r="AF287" s="136">
        <v>2</v>
      </c>
      <c r="AG287" s="136">
        <v>24</v>
      </c>
      <c r="AH287" s="136">
        <v>25</v>
      </c>
      <c r="AI287" s="136">
        <v>27</v>
      </c>
      <c r="AJ287" s="136">
        <v>1</v>
      </c>
      <c r="AK287" s="136">
        <v>0</v>
      </c>
      <c r="AL287" s="136">
        <v>0</v>
      </c>
      <c r="AM287" s="136">
        <v>0</v>
      </c>
      <c r="AN287" s="136">
        <v>0</v>
      </c>
      <c r="AO287" s="136"/>
      <c r="AP287" s="143" t="e">
        <f>VLOOKUP(tbl_IO_List[[#This Row],[Instruement Tag]],tbl_Instruement_List[],14,FALSE)</f>
        <v>#N/A</v>
      </c>
      <c r="AQ287" s="143" t="str">
        <f>tbl_IO_List[[#This Row],[Chassis]]&amp;"S"&amp;tbl_IO_List[[#This Row],[Slot]]&amp;"-"&amp;tbl_IO_List[[#This Row],[Front Terminal Number]]</f>
        <v>C2S2-27</v>
      </c>
      <c r="AR287" s="141" t="s">
        <v>1862</v>
      </c>
      <c r="AS287" s="136" t="str">
        <f>tbl_IO_List[[#This Row],[Terminal Tagging]]&amp;"-"&amp;tbl_IO_List[[#This Row],[Point-Count]]</f>
        <v>P2-TBDI2-25</v>
      </c>
      <c r="AT287" s="136" t="str">
        <f>tbl_IO_List[[#This Row],[Front Terminal Tagging]]&amp;"/"&amp;tbl_IO_List[[#This Row],[Terminal Tagging-Item]]</f>
        <v>C2S2-27/P2-TBDI2-25</v>
      </c>
      <c r="AU287" s="136" t="str">
        <f>tbl_IO_List[[#This Row],[Terminal Tagging-Item]]&amp;"/"&amp;tbl_IO_List[[#This Row],[Front Terminal Tagging]]</f>
        <v>P2-TBDI2-25/C2S2-27</v>
      </c>
    </row>
    <row r="288" spans="1:47">
      <c r="A288" s="147" t="s">
        <v>1367</v>
      </c>
      <c r="B288" s="136" t="s">
        <v>221</v>
      </c>
      <c r="C288" s="136" t="str">
        <f>tbl_IO_List[[#This Row],[Column3]]</f>
        <v>C2S02,25</v>
      </c>
      <c r="D288" s="136" t="str">
        <f>tbl_IO_List[[#This Row],[Card]]</f>
        <v>1756-IB32-25</v>
      </c>
      <c r="E288" s="136" t="s">
        <v>1372</v>
      </c>
      <c r="F288" s="136" t="str">
        <f>tbl_IO_List[[#This Row],[Column23]]&amp;"-" &amp;tbl_IO_List[[#This Row],[Column52]]</f>
        <v>C2S02-X2</v>
      </c>
      <c r="G288" s="136" t="str">
        <f>tbl_IO_List[[#This Row],[PLC_Tag]]</f>
        <v>Spare_DI_0</v>
      </c>
      <c r="H288" s="136"/>
      <c r="I288" s="136" t="str">
        <f>VLOOKUP(tbl_IO_List[[#This Row],[Destination]],tbl_Junction[],2,FALSE)</f>
        <v>Spray Dryer 3rd Floor</v>
      </c>
      <c r="J288" s="136" t="s">
        <v>221</v>
      </c>
      <c r="K288" s="136"/>
      <c r="L288" s="136" t="s">
        <v>411</v>
      </c>
      <c r="M288" s="136" t="e">
        <f>VLOOKUP(tbl_IO_List[[#This Row],[Instruement Tag]],tbl_Instruement_List[],2,FALSE)</f>
        <v>#N/A</v>
      </c>
      <c r="N288" s="136"/>
      <c r="O288" s="136"/>
      <c r="P288" s="136"/>
      <c r="Q288" s="136" t="e">
        <f>VLOOKUP(tbl_IO_List[[#This Row],[Instruement Tag]],tbl_Instruement_List[],6,FALSE)</f>
        <v>#N/A</v>
      </c>
      <c r="R288" s="136"/>
      <c r="S28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88" s="136" t="str">
        <f>tbl_IO_List[[#This Row],[Instruement Tag]]&amp;"_"&amp;tbl_IO_List[[#This Row],[I/O Type]]&amp;"_"&amp;tbl_IO_List[[#This Row],[IO-Point 
(Instruement)]]</f>
        <v>Spare_DI_0</v>
      </c>
      <c r="U288" s="136" t="s">
        <v>8</v>
      </c>
      <c r="V288" s="136">
        <f>VLOOKUP(tbl_IO_List[[#This Row],[I/O Type]],tbl_Slot_Group[],2,FALSE)</f>
        <v>1</v>
      </c>
      <c r="W288" s="136">
        <v>0</v>
      </c>
      <c r="X288" s="136" t="str">
        <f>tbl_IO_List[[#This Row],[Chassis]]&amp;"S"&amp;TEXT(tbl_IO_List[[#This Row],[Slot]],"00")</f>
        <v>C2S02</v>
      </c>
      <c r="Y288" s="136" t="str">
        <f>tbl_IO_List[[#This Row],[Chassis]]&amp;"S"&amp;TEXT(tbl_IO_List[[#This Row],[Slot]],"00")&amp;tbl_IO_List[[#This Row],[I/O Type]]&amp;TEXT(tbl_IO_List[[#This Row],[Point]],"00")</f>
        <v>C2S02DI25</v>
      </c>
      <c r="Z288" s="136" t="str">
        <f>tbl_IO_List[[#This Row],[Chassis]]&amp;"S"&amp;TEXT(tbl_IO_List[[#This Row],[Slot]],"00")&amp;","&amp;TEXT(tbl_IO_List[[#This Row],[Point]],"00")</f>
        <v>C2S02,25</v>
      </c>
      <c r="AA288" s="136" t="str">
        <f>VLOOKUP(tbl_IO_List[[#This Row],[Column23]],tbl_RackConfig[],5,FALSE) &amp;"-"&amp;tbl_IO_List[[#This Row],[Point]]</f>
        <v>1756-IB32-25</v>
      </c>
      <c r="AB288" s="136"/>
      <c r="AC288" s="136"/>
      <c r="AD288" s="136" t="str">
        <f>tbl_IO_List[[#This Row],[I/O Type]]</f>
        <v>DI</v>
      </c>
      <c r="AE288" s="136" t="s">
        <v>1333</v>
      </c>
      <c r="AF288" s="136">
        <v>2</v>
      </c>
      <c r="AG288" s="136">
        <v>25</v>
      </c>
      <c r="AH288" s="136">
        <v>26</v>
      </c>
      <c r="AI288" s="136">
        <v>28</v>
      </c>
      <c r="AJ288" s="136">
        <v>1</v>
      </c>
      <c r="AK288" s="136">
        <v>0</v>
      </c>
      <c r="AL288" s="136">
        <v>0</v>
      </c>
      <c r="AM288" s="136">
        <v>0</v>
      </c>
      <c r="AN288" s="136">
        <v>0</v>
      </c>
      <c r="AO288" s="136"/>
      <c r="AP288" s="143" t="e">
        <f>VLOOKUP(tbl_IO_List[[#This Row],[Instruement Tag]],tbl_Instruement_List[],14,FALSE)</f>
        <v>#N/A</v>
      </c>
      <c r="AQ288" s="143" t="str">
        <f>tbl_IO_List[[#This Row],[Chassis]]&amp;"S"&amp;tbl_IO_List[[#This Row],[Slot]]&amp;"-"&amp;tbl_IO_List[[#This Row],[Front Terminal Number]]</f>
        <v>C2S2-28</v>
      </c>
      <c r="AR288" s="141" t="s">
        <v>1862</v>
      </c>
      <c r="AS288" s="136" t="str">
        <f>tbl_IO_List[[#This Row],[Terminal Tagging]]&amp;"-"&amp;tbl_IO_List[[#This Row],[Point-Count]]</f>
        <v>P2-TBDI2-26</v>
      </c>
      <c r="AT288" s="136" t="str">
        <f>tbl_IO_List[[#This Row],[Front Terminal Tagging]]&amp;"/"&amp;tbl_IO_List[[#This Row],[Terminal Tagging-Item]]</f>
        <v>C2S2-28/P2-TBDI2-26</v>
      </c>
      <c r="AU288" s="136" t="str">
        <f>tbl_IO_List[[#This Row],[Terminal Tagging-Item]]&amp;"/"&amp;tbl_IO_List[[#This Row],[Front Terminal Tagging]]</f>
        <v>P2-TBDI2-26/C2S2-28</v>
      </c>
    </row>
    <row r="289" spans="1:47">
      <c r="A289" s="147" t="s">
        <v>1367</v>
      </c>
      <c r="B289" s="136" t="s">
        <v>221</v>
      </c>
      <c r="C289" s="136" t="str">
        <f>tbl_IO_List[[#This Row],[Column3]]</f>
        <v>C2S02,26</v>
      </c>
      <c r="D289" s="136" t="str">
        <f>tbl_IO_List[[#This Row],[Card]]</f>
        <v>1756-IB32-26</v>
      </c>
      <c r="E289" s="136" t="s">
        <v>1372</v>
      </c>
      <c r="F289" s="136" t="str">
        <f>tbl_IO_List[[#This Row],[Column23]]&amp;"-" &amp;tbl_IO_List[[#This Row],[Column52]]</f>
        <v>C2S02-X2</v>
      </c>
      <c r="G289" s="136" t="str">
        <f>tbl_IO_List[[#This Row],[PLC_Tag]]</f>
        <v>Spare_DI_0</v>
      </c>
      <c r="H289" s="136"/>
      <c r="I289" s="136" t="str">
        <f>VLOOKUP(tbl_IO_List[[#This Row],[Destination]],tbl_Junction[],2,FALSE)</f>
        <v>Spray Dryer 3rd Floor</v>
      </c>
      <c r="J289" s="136" t="s">
        <v>221</v>
      </c>
      <c r="K289" s="136"/>
      <c r="L289" s="136" t="s">
        <v>411</v>
      </c>
      <c r="M289" s="136" t="e">
        <f>VLOOKUP(tbl_IO_List[[#This Row],[Instruement Tag]],tbl_Instruement_List[],2,FALSE)</f>
        <v>#N/A</v>
      </c>
      <c r="N289" s="136"/>
      <c r="O289" s="136"/>
      <c r="P289" s="136"/>
      <c r="Q289" s="136" t="e">
        <f>VLOOKUP(tbl_IO_List[[#This Row],[Instruement Tag]],tbl_Instruement_List[],6,FALSE)</f>
        <v>#N/A</v>
      </c>
      <c r="R289" s="136"/>
      <c r="S28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89" s="136" t="str">
        <f>tbl_IO_List[[#This Row],[Instruement Tag]]&amp;"_"&amp;tbl_IO_List[[#This Row],[I/O Type]]&amp;"_"&amp;tbl_IO_List[[#This Row],[IO-Point 
(Instruement)]]</f>
        <v>Spare_DI_0</v>
      </c>
      <c r="U289" s="136" t="s">
        <v>8</v>
      </c>
      <c r="V289" s="136">
        <f>VLOOKUP(tbl_IO_List[[#This Row],[I/O Type]],tbl_Slot_Group[],2,FALSE)</f>
        <v>1</v>
      </c>
      <c r="W289" s="136">
        <v>0</v>
      </c>
      <c r="X289" s="136" t="str">
        <f>tbl_IO_List[[#This Row],[Chassis]]&amp;"S"&amp;TEXT(tbl_IO_List[[#This Row],[Slot]],"00")</f>
        <v>C2S02</v>
      </c>
      <c r="Y289" s="136" t="str">
        <f>tbl_IO_List[[#This Row],[Chassis]]&amp;"S"&amp;TEXT(tbl_IO_List[[#This Row],[Slot]],"00")&amp;tbl_IO_List[[#This Row],[I/O Type]]&amp;TEXT(tbl_IO_List[[#This Row],[Point]],"00")</f>
        <v>C2S02DI26</v>
      </c>
      <c r="Z289" s="136" t="str">
        <f>tbl_IO_List[[#This Row],[Chassis]]&amp;"S"&amp;TEXT(tbl_IO_List[[#This Row],[Slot]],"00")&amp;","&amp;TEXT(tbl_IO_List[[#This Row],[Point]],"00")</f>
        <v>C2S02,26</v>
      </c>
      <c r="AA289" s="136" t="str">
        <f>VLOOKUP(tbl_IO_List[[#This Row],[Column23]],tbl_RackConfig[],5,FALSE) &amp;"-"&amp;tbl_IO_List[[#This Row],[Point]]</f>
        <v>1756-IB32-26</v>
      </c>
      <c r="AB289" s="136"/>
      <c r="AC289" s="136"/>
      <c r="AD289" s="136" t="str">
        <f>tbl_IO_List[[#This Row],[I/O Type]]</f>
        <v>DI</v>
      </c>
      <c r="AE289" s="136" t="s">
        <v>1333</v>
      </c>
      <c r="AF289" s="136">
        <v>2</v>
      </c>
      <c r="AG289" s="136">
        <v>26</v>
      </c>
      <c r="AH289" s="136">
        <v>27</v>
      </c>
      <c r="AI289" s="136">
        <v>29</v>
      </c>
      <c r="AJ289" s="136">
        <v>1</v>
      </c>
      <c r="AK289" s="136">
        <v>0</v>
      </c>
      <c r="AL289" s="136">
        <v>0</v>
      </c>
      <c r="AM289" s="136">
        <v>0</v>
      </c>
      <c r="AN289" s="136">
        <v>0</v>
      </c>
      <c r="AO289" s="136"/>
      <c r="AP289" s="143" t="e">
        <f>VLOOKUP(tbl_IO_List[[#This Row],[Instruement Tag]],tbl_Instruement_List[],14,FALSE)</f>
        <v>#N/A</v>
      </c>
      <c r="AQ289" s="143" t="str">
        <f>tbl_IO_List[[#This Row],[Chassis]]&amp;"S"&amp;tbl_IO_List[[#This Row],[Slot]]&amp;"-"&amp;tbl_IO_List[[#This Row],[Front Terminal Number]]</f>
        <v>C2S2-29</v>
      </c>
      <c r="AR289" s="141" t="s">
        <v>1862</v>
      </c>
      <c r="AS289" s="136" t="str">
        <f>tbl_IO_List[[#This Row],[Terminal Tagging]]&amp;"-"&amp;tbl_IO_List[[#This Row],[Point-Count]]</f>
        <v>P2-TBDI2-27</v>
      </c>
      <c r="AT289" s="136" t="str">
        <f>tbl_IO_List[[#This Row],[Front Terminal Tagging]]&amp;"/"&amp;tbl_IO_List[[#This Row],[Terminal Tagging-Item]]</f>
        <v>C2S2-29/P2-TBDI2-27</v>
      </c>
      <c r="AU289" s="136" t="str">
        <f>tbl_IO_List[[#This Row],[Terminal Tagging-Item]]&amp;"/"&amp;tbl_IO_List[[#This Row],[Front Terminal Tagging]]</f>
        <v>P2-TBDI2-27/C2S2-29</v>
      </c>
    </row>
    <row r="290" spans="1:47">
      <c r="A290" s="147" t="s">
        <v>1367</v>
      </c>
      <c r="B290" s="136" t="s">
        <v>221</v>
      </c>
      <c r="C290" s="136" t="str">
        <f>tbl_IO_List[[#This Row],[Column3]]</f>
        <v>C2S02,27</v>
      </c>
      <c r="D290" s="136" t="str">
        <f>tbl_IO_List[[#This Row],[Card]]</f>
        <v>1756-IB32-27</v>
      </c>
      <c r="E290" s="136" t="s">
        <v>1372</v>
      </c>
      <c r="F290" s="136" t="str">
        <f>tbl_IO_List[[#This Row],[Column23]]&amp;"-" &amp;tbl_IO_List[[#This Row],[Column52]]</f>
        <v>C2S02-X2</v>
      </c>
      <c r="G290" s="136" t="str">
        <f>tbl_IO_List[[#This Row],[PLC_Tag]]</f>
        <v>Spare_DI_0</v>
      </c>
      <c r="H290" s="136"/>
      <c r="I290" s="136" t="str">
        <f>VLOOKUP(tbl_IO_List[[#This Row],[Destination]],tbl_Junction[],2,FALSE)</f>
        <v>Spray Dryer 3rd Floor</v>
      </c>
      <c r="J290" s="136" t="s">
        <v>221</v>
      </c>
      <c r="K290" s="136"/>
      <c r="L290" s="136" t="s">
        <v>411</v>
      </c>
      <c r="M290" s="136" t="e">
        <f>VLOOKUP(tbl_IO_List[[#This Row],[Instruement Tag]],tbl_Instruement_List[],2,FALSE)</f>
        <v>#N/A</v>
      </c>
      <c r="N290" s="136"/>
      <c r="O290" s="136"/>
      <c r="P290" s="136"/>
      <c r="Q290" s="136" t="e">
        <f>VLOOKUP(tbl_IO_List[[#This Row],[Instruement Tag]],tbl_Instruement_List[],6,FALSE)</f>
        <v>#N/A</v>
      </c>
      <c r="R290" s="136"/>
      <c r="S29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90" s="136" t="str">
        <f>tbl_IO_List[[#This Row],[Instruement Tag]]&amp;"_"&amp;tbl_IO_List[[#This Row],[I/O Type]]&amp;"_"&amp;tbl_IO_List[[#This Row],[IO-Point 
(Instruement)]]</f>
        <v>Spare_DI_0</v>
      </c>
      <c r="U290" s="136" t="s">
        <v>8</v>
      </c>
      <c r="V290" s="136">
        <f>VLOOKUP(tbl_IO_List[[#This Row],[I/O Type]],tbl_Slot_Group[],2,FALSE)</f>
        <v>1</v>
      </c>
      <c r="W290" s="136">
        <v>0</v>
      </c>
      <c r="X290" s="136" t="str">
        <f>tbl_IO_List[[#This Row],[Chassis]]&amp;"S"&amp;TEXT(tbl_IO_List[[#This Row],[Slot]],"00")</f>
        <v>C2S02</v>
      </c>
      <c r="Y290" s="136" t="str">
        <f>tbl_IO_List[[#This Row],[Chassis]]&amp;"S"&amp;TEXT(tbl_IO_List[[#This Row],[Slot]],"00")&amp;tbl_IO_List[[#This Row],[I/O Type]]&amp;TEXT(tbl_IO_List[[#This Row],[Point]],"00")</f>
        <v>C2S02DI27</v>
      </c>
      <c r="Z290" s="136" t="str">
        <f>tbl_IO_List[[#This Row],[Chassis]]&amp;"S"&amp;TEXT(tbl_IO_List[[#This Row],[Slot]],"00")&amp;","&amp;TEXT(tbl_IO_List[[#This Row],[Point]],"00")</f>
        <v>C2S02,27</v>
      </c>
      <c r="AA290" s="136" t="str">
        <f>VLOOKUP(tbl_IO_List[[#This Row],[Column23]],tbl_RackConfig[],5,FALSE) &amp;"-"&amp;tbl_IO_List[[#This Row],[Point]]</f>
        <v>1756-IB32-27</v>
      </c>
      <c r="AB290" s="136"/>
      <c r="AC290" s="136"/>
      <c r="AD290" s="136" t="str">
        <f>tbl_IO_List[[#This Row],[I/O Type]]</f>
        <v>DI</v>
      </c>
      <c r="AE290" s="136" t="s">
        <v>1333</v>
      </c>
      <c r="AF290" s="136">
        <v>2</v>
      </c>
      <c r="AG290" s="136">
        <v>27</v>
      </c>
      <c r="AH290" s="136">
        <v>28</v>
      </c>
      <c r="AI290" s="136">
        <v>30</v>
      </c>
      <c r="AJ290" s="136">
        <v>1</v>
      </c>
      <c r="AK290" s="136">
        <v>0</v>
      </c>
      <c r="AL290" s="136">
        <v>0</v>
      </c>
      <c r="AM290" s="136">
        <v>0</v>
      </c>
      <c r="AN290" s="136">
        <v>0</v>
      </c>
      <c r="AO290" s="136"/>
      <c r="AP290" s="143" t="e">
        <f>VLOOKUP(tbl_IO_List[[#This Row],[Instruement Tag]],tbl_Instruement_List[],14,FALSE)</f>
        <v>#N/A</v>
      </c>
      <c r="AQ290" s="143" t="str">
        <f>tbl_IO_List[[#This Row],[Chassis]]&amp;"S"&amp;tbl_IO_List[[#This Row],[Slot]]&amp;"-"&amp;tbl_IO_List[[#This Row],[Front Terminal Number]]</f>
        <v>C2S2-30</v>
      </c>
      <c r="AR290" s="141" t="s">
        <v>1862</v>
      </c>
      <c r="AS290" s="136" t="str">
        <f>tbl_IO_List[[#This Row],[Terminal Tagging]]&amp;"-"&amp;tbl_IO_List[[#This Row],[Point-Count]]</f>
        <v>P2-TBDI2-28</v>
      </c>
      <c r="AT290" s="136" t="str">
        <f>tbl_IO_List[[#This Row],[Front Terminal Tagging]]&amp;"/"&amp;tbl_IO_List[[#This Row],[Terminal Tagging-Item]]</f>
        <v>C2S2-30/P2-TBDI2-28</v>
      </c>
      <c r="AU290" s="136" t="str">
        <f>tbl_IO_List[[#This Row],[Terminal Tagging-Item]]&amp;"/"&amp;tbl_IO_List[[#This Row],[Front Terminal Tagging]]</f>
        <v>P2-TBDI2-28/C2S2-30</v>
      </c>
    </row>
    <row r="291" spans="1:47">
      <c r="A291" s="147" t="s">
        <v>1367</v>
      </c>
      <c r="B291" s="136" t="s">
        <v>221</v>
      </c>
      <c r="C291" s="136" t="str">
        <f>tbl_IO_List[[#This Row],[Column3]]</f>
        <v>C2S02,28</v>
      </c>
      <c r="D291" s="136" t="str">
        <f>tbl_IO_List[[#This Row],[Card]]</f>
        <v>1756-IB32-28</v>
      </c>
      <c r="E291" s="136" t="s">
        <v>1372</v>
      </c>
      <c r="F291" s="136" t="str">
        <f>tbl_IO_List[[#This Row],[Column23]]&amp;"-" &amp;tbl_IO_List[[#This Row],[Column52]]</f>
        <v>C2S02-X2</v>
      </c>
      <c r="G291" s="136" t="str">
        <f>tbl_IO_List[[#This Row],[PLC_Tag]]</f>
        <v>Spare_DI_0</v>
      </c>
      <c r="H291" s="136"/>
      <c r="I291" s="136" t="str">
        <f>VLOOKUP(tbl_IO_List[[#This Row],[Destination]],tbl_Junction[],2,FALSE)</f>
        <v>Spray Dryer 3rd Floor</v>
      </c>
      <c r="J291" s="136" t="s">
        <v>221</v>
      </c>
      <c r="K291" s="136"/>
      <c r="L291" s="136" t="s">
        <v>411</v>
      </c>
      <c r="M291" s="136" t="e">
        <f>VLOOKUP(tbl_IO_List[[#This Row],[Instruement Tag]],tbl_Instruement_List[],2,FALSE)</f>
        <v>#N/A</v>
      </c>
      <c r="N291" s="136"/>
      <c r="O291" s="136"/>
      <c r="P291" s="136"/>
      <c r="Q291" s="136" t="e">
        <f>VLOOKUP(tbl_IO_List[[#This Row],[Instruement Tag]],tbl_Instruement_List[],6,FALSE)</f>
        <v>#N/A</v>
      </c>
      <c r="R291" s="136"/>
      <c r="S29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91" s="136" t="str">
        <f>tbl_IO_List[[#This Row],[Instruement Tag]]&amp;"_"&amp;tbl_IO_List[[#This Row],[I/O Type]]&amp;"_"&amp;tbl_IO_List[[#This Row],[IO-Point 
(Instruement)]]</f>
        <v>Spare_DI_0</v>
      </c>
      <c r="U291" s="136" t="s">
        <v>8</v>
      </c>
      <c r="V291" s="136">
        <f>VLOOKUP(tbl_IO_List[[#This Row],[I/O Type]],tbl_Slot_Group[],2,FALSE)</f>
        <v>1</v>
      </c>
      <c r="W291" s="136">
        <v>0</v>
      </c>
      <c r="X291" s="136" t="str">
        <f>tbl_IO_List[[#This Row],[Chassis]]&amp;"S"&amp;TEXT(tbl_IO_List[[#This Row],[Slot]],"00")</f>
        <v>C2S02</v>
      </c>
      <c r="Y291" s="136" t="str">
        <f>tbl_IO_List[[#This Row],[Chassis]]&amp;"S"&amp;TEXT(tbl_IO_List[[#This Row],[Slot]],"00")&amp;tbl_IO_List[[#This Row],[I/O Type]]&amp;TEXT(tbl_IO_List[[#This Row],[Point]],"00")</f>
        <v>C2S02DI28</v>
      </c>
      <c r="Z291" s="136" t="str">
        <f>tbl_IO_List[[#This Row],[Chassis]]&amp;"S"&amp;TEXT(tbl_IO_List[[#This Row],[Slot]],"00")&amp;","&amp;TEXT(tbl_IO_List[[#This Row],[Point]],"00")</f>
        <v>C2S02,28</v>
      </c>
      <c r="AA291" s="136" t="str">
        <f>VLOOKUP(tbl_IO_List[[#This Row],[Column23]],tbl_RackConfig[],5,FALSE) &amp;"-"&amp;tbl_IO_List[[#This Row],[Point]]</f>
        <v>1756-IB32-28</v>
      </c>
      <c r="AB291" s="136"/>
      <c r="AC291" s="136"/>
      <c r="AD291" s="136" t="str">
        <f>tbl_IO_List[[#This Row],[I/O Type]]</f>
        <v>DI</v>
      </c>
      <c r="AE291" s="136" t="s">
        <v>1333</v>
      </c>
      <c r="AF291" s="136">
        <v>2</v>
      </c>
      <c r="AG291" s="136">
        <v>28</v>
      </c>
      <c r="AH291" s="136">
        <v>29</v>
      </c>
      <c r="AI291" s="136">
        <v>31</v>
      </c>
      <c r="AJ291" s="136">
        <v>1</v>
      </c>
      <c r="AK291" s="136">
        <v>0</v>
      </c>
      <c r="AL291" s="136">
        <v>0</v>
      </c>
      <c r="AM291" s="136">
        <v>0</v>
      </c>
      <c r="AN291" s="136">
        <v>0</v>
      </c>
      <c r="AO291" s="136"/>
      <c r="AP291" s="143" t="e">
        <f>VLOOKUP(tbl_IO_List[[#This Row],[Instruement Tag]],tbl_Instruement_List[],14,FALSE)</f>
        <v>#N/A</v>
      </c>
      <c r="AQ291" s="143" t="str">
        <f>tbl_IO_List[[#This Row],[Chassis]]&amp;"S"&amp;tbl_IO_List[[#This Row],[Slot]]&amp;"-"&amp;tbl_IO_List[[#This Row],[Front Terminal Number]]</f>
        <v>C2S2-31</v>
      </c>
      <c r="AR291" s="141" t="s">
        <v>1862</v>
      </c>
      <c r="AS291" s="136" t="str">
        <f>tbl_IO_List[[#This Row],[Terminal Tagging]]&amp;"-"&amp;tbl_IO_List[[#This Row],[Point-Count]]</f>
        <v>P2-TBDI2-29</v>
      </c>
      <c r="AT291" s="136" t="str">
        <f>tbl_IO_List[[#This Row],[Front Terminal Tagging]]&amp;"/"&amp;tbl_IO_List[[#This Row],[Terminal Tagging-Item]]</f>
        <v>C2S2-31/P2-TBDI2-29</v>
      </c>
      <c r="AU291" s="136" t="str">
        <f>tbl_IO_List[[#This Row],[Terminal Tagging-Item]]&amp;"/"&amp;tbl_IO_List[[#This Row],[Front Terminal Tagging]]</f>
        <v>P2-TBDI2-29/C2S2-31</v>
      </c>
    </row>
    <row r="292" spans="1:47">
      <c r="A292" s="147" t="s">
        <v>1367</v>
      </c>
      <c r="B292" s="136" t="s">
        <v>221</v>
      </c>
      <c r="C292" s="136" t="str">
        <f>tbl_IO_List[[#This Row],[Column3]]</f>
        <v>C2S02,29</v>
      </c>
      <c r="D292" s="136" t="str">
        <f>tbl_IO_List[[#This Row],[Card]]</f>
        <v>1756-IB32-29</v>
      </c>
      <c r="E292" s="136" t="s">
        <v>1372</v>
      </c>
      <c r="F292" s="136" t="str">
        <f>tbl_IO_List[[#This Row],[Column23]]&amp;"-" &amp;tbl_IO_List[[#This Row],[Column52]]</f>
        <v>C2S02-X2</v>
      </c>
      <c r="G292" s="136" t="str">
        <f>tbl_IO_List[[#This Row],[PLC_Tag]]</f>
        <v>Spare_DI_0</v>
      </c>
      <c r="H292" s="136"/>
      <c r="I292" s="136" t="str">
        <f>VLOOKUP(tbl_IO_List[[#This Row],[Destination]],tbl_Junction[],2,FALSE)</f>
        <v>Spray Dryer 3rd Floor</v>
      </c>
      <c r="J292" s="136" t="s">
        <v>221</v>
      </c>
      <c r="K292" s="136"/>
      <c r="L292" s="136" t="s">
        <v>411</v>
      </c>
      <c r="M292" s="136" t="e">
        <f>VLOOKUP(tbl_IO_List[[#This Row],[Instruement Tag]],tbl_Instruement_List[],2,FALSE)</f>
        <v>#N/A</v>
      </c>
      <c r="N292" s="136"/>
      <c r="O292" s="136"/>
      <c r="P292" s="136"/>
      <c r="Q292" s="136" t="e">
        <f>VLOOKUP(tbl_IO_List[[#This Row],[Instruement Tag]],tbl_Instruement_List[],6,FALSE)</f>
        <v>#N/A</v>
      </c>
      <c r="R292" s="136"/>
      <c r="S29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92" s="136" t="str">
        <f>tbl_IO_List[[#This Row],[Instruement Tag]]&amp;"_"&amp;tbl_IO_List[[#This Row],[I/O Type]]&amp;"_"&amp;tbl_IO_List[[#This Row],[IO-Point 
(Instruement)]]</f>
        <v>Spare_DI_0</v>
      </c>
      <c r="U292" s="136" t="s">
        <v>8</v>
      </c>
      <c r="V292" s="136">
        <f>VLOOKUP(tbl_IO_List[[#This Row],[I/O Type]],tbl_Slot_Group[],2,FALSE)</f>
        <v>1</v>
      </c>
      <c r="W292" s="136">
        <v>0</v>
      </c>
      <c r="X292" s="136" t="str">
        <f>tbl_IO_List[[#This Row],[Chassis]]&amp;"S"&amp;TEXT(tbl_IO_List[[#This Row],[Slot]],"00")</f>
        <v>C2S02</v>
      </c>
      <c r="Y292" s="136" t="str">
        <f>tbl_IO_List[[#This Row],[Chassis]]&amp;"S"&amp;TEXT(tbl_IO_List[[#This Row],[Slot]],"00")&amp;tbl_IO_List[[#This Row],[I/O Type]]&amp;TEXT(tbl_IO_List[[#This Row],[Point]],"00")</f>
        <v>C2S02DI29</v>
      </c>
      <c r="Z292" s="136" t="str">
        <f>tbl_IO_List[[#This Row],[Chassis]]&amp;"S"&amp;TEXT(tbl_IO_List[[#This Row],[Slot]],"00")&amp;","&amp;TEXT(tbl_IO_List[[#This Row],[Point]],"00")</f>
        <v>C2S02,29</v>
      </c>
      <c r="AA292" s="136" t="str">
        <f>VLOOKUP(tbl_IO_List[[#This Row],[Column23]],tbl_RackConfig[],5,FALSE) &amp;"-"&amp;tbl_IO_List[[#This Row],[Point]]</f>
        <v>1756-IB32-29</v>
      </c>
      <c r="AB292" s="136"/>
      <c r="AC292" s="136"/>
      <c r="AD292" s="136" t="str">
        <f>tbl_IO_List[[#This Row],[I/O Type]]</f>
        <v>DI</v>
      </c>
      <c r="AE292" s="136" t="s">
        <v>1333</v>
      </c>
      <c r="AF292" s="136">
        <v>2</v>
      </c>
      <c r="AG292" s="136">
        <v>29</v>
      </c>
      <c r="AH292" s="136">
        <v>30</v>
      </c>
      <c r="AI292" s="136">
        <v>32</v>
      </c>
      <c r="AJ292" s="136">
        <v>1</v>
      </c>
      <c r="AK292" s="136">
        <v>0</v>
      </c>
      <c r="AL292" s="136">
        <v>0</v>
      </c>
      <c r="AM292" s="136">
        <v>0</v>
      </c>
      <c r="AN292" s="136">
        <v>0</v>
      </c>
      <c r="AO292" s="136"/>
      <c r="AP292" s="143" t="e">
        <f>VLOOKUP(tbl_IO_List[[#This Row],[Instruement Tag]],tbl_Instruement_List[],14,FALSE)</f>
        <v>#N/A</v>
      </c>
      <c r="AQ292" s="143" t="str">
        <f>tbl_IO_List[[#This Row],[Chassis]]&amp;"S"&amp;tbl_IO_List[[#This Row],[Slot]]&amp;"-"&amp;tbl_IO_List[[#This Row],[Front Terminal Number]]</f>
        <v>C2S2-32</v>
      </c>
      <c r="AR292" s="141" t="s">
        <v>1862</v>
      </c>
      <c r="AS292" s="136" t="str">
        <f>tbl_IO_List[[#This Row],[Terminal Tagging]]&amp;"-"&amp;tbl_IO_List[[#This Row],[Point-Count]]</f>
        <v>P2-TBDI2-30</v>
      </c>
      <c r="AT292" s="136" t="str">
        <f>tbl_IO_List[[#This Row],[Front Terminal Tagging]]&amp;"/"&amp;tbl_IO_List[[#This Row],[Terminal Tagging-Item]]</f>
        <v>C2S2-32/P2-TBDI2-30</v>
      </c>
      <c r="AU292" s="136" t="str">
        <f>tbl_IO_List[[#This Row],[Terminal Tagging-Item]]&amp;"/"&amp;tbl_IO_List[[#This Row],[Front Terminal Tagging]]</f>
        <v>P2-TBDI2-30/C2S2-32</v>
      </c>
    </row>
    <row r="293" spans="1:47">
      <c r="A293" s="147" t="s">
        <v>1367</v>
      </c>
      <c r="B293" s="136" t="s">
        <v>221</v>
      </c>
      <c r="C293" s="136" t="str">
        <f>tbl_IO_List[[#This Row],[Column3]]</f>
        <v>C2S02,30</v>
      </c>
      <c r="D293" s="136" t="str">
        <f>tbl_IO_List[[#This Row],[Card]]</f>
        <v>1756-IB32-30</v>
      </c>
      <c r="E293" s="136" t="s">
        <v>1372</v>
      </c>
      <c r="F293" s="136" t="str">
        <f>tbl_IO_List[[#This Row],[Column23]]&amp;"-" &amp;tbl_IO_List[[#This Row],[Column52]]</f>
        <v>C2S02-X2</v>
      </c>
      <c r="G293" s="136" t="str">
        <f>tbl_IO_List[[#This Row],[PLC_Tag]]</f>
        <v>Spare_DI_0</v>
      </c>
      <c r="H293" s="136"/>
      <c r="I293" s="136" t="str">
        <f>VLOOKUP(tbl_IO_List[[#This Row],[Destination]],tbl_Junction[],2,FALSE)</f>
        <v>Spray Dryer 3rd Floor</v>
      </c>
      <c r="J293" s="136" t="s">
        <v>221</v>
      </c>
      <c r="K293" s="136"/>
      <c r="L293" s="136" t="s">
        <v>411</v>
      </c>
      <c r="M293" s="136" t="e">
        <f>VLOOKUP(tbl_IO_List[[#This Row],[Instruement Tag]],tbl_Instruement_List[],2,FALSE)</f>
        <v>#N/A</v>
      </c>
      <c r="N293" s="136"/>
      <c r="O293" s="136"/>
      <c r="P293" s="136"/>
      <c r="Q293" s="136" t="e">
        <f>VLOOKUP(tbl_IO_List[[#This Row],[Instruement Tag]],tbl_Instruement_List[],6,FALSE)</f>
        <v>#N/A</v>
      </c>
      <c r="R293" s="136"/>
      <c r="S29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93" s="136" t="str">
        <f>tbl_IO_List[[#This Row],[Instruement Tag]]&amp;"_"&amp;tbl_IO_List[[#This Row],[I/O Type]]&amp;"_"&amp;tbl_IO_List[[#This Row],[IO-Point 
(Instruement)]]</f>
        <v>Spare_DI_0</v>
      </c>
      <c r="U293" s="136" t="s">
        <v>8</v>
      </c>
      <c r="V293" s="136">
        <f>VLOOKUP(tbl_IO_List[[#This Row],[I/O Type]],tbl_Slot_Group[],2,FALSE)</f>
        <v>1</v>
      </c>
      <c r="W293" s="136">
        <v>0</v>
      </c>
      <c r="X293" s="136" t="str">
        <f>tbl_IO_List[[#This Row],[Chassis]]&amp;"S"&amp;TEXT(tbl_IO_List[[#This Row],[Slot]],"00")</f>
        <v>C2S02</v>
      </c>
      <c r="Y293" s="136" t="str">
        <f>tbl_IO_List[[#This Row],[Chassis]]&amp;"S"&amp;TEXT(tbl_IO_List[[#This Row],[Slot]],"00")&amp;tbl_IO_List[[#This Row],[I/O Type]]&amp;TEXT(tbl_IO_List[[#This Row],[Point]],"00")</f>
        <v>C2S02DI30</v>
      </c>
      <c r="Z293" s="136" t="str">
        <f>tbl_IO_List[[#This Row],[Chassis]]&amp;"S"&amp;TEXT(tbl_IO_List[[#This Row],[Slot]],"00")&amp;","&amp;TEXT(tbl_IO_List[[#This Row],[Point]],"00")</f>
        <v>C2S02,30</v>
      </c>
      <c r="AA293" s="136" t="str">
        <f>VLOOKUP(tbl_IO_List[[#This Row],[Column23]],tbl_RackConfig[],5,FALSE) &amp;"-"&amp;tbl_IO_List[[#This Row],[Point]]</f>
        <v>1756-IB32-30</v>
      </c>
      <c r="AB293" s="136"/>
      <c r="AC293" s="136"/>
      <c r="AD293" s="136" t="str">
        <f>tbl_IO_List[[#This Row],[I/O Type]]</f>
        <v>DI</v>
      </c>
      <c r="AE293" s="136" t="s">
        <v>1333</v>
      </c>
      <c r="AF293" s="136">
        <v>2</v>
      </c>
      <c r="AG293" s="136">
        <v>30</v>
      </c>
      <c r="AH293" s="136">
        <v>31</v>
      </c>
      <c r="AI293" s="136">
        <v>33</v>
      </c>
      <c r="AJ293" s="136">
        <v>1</v>
      </c>
      <c r="AK293" s="136">
        <v>0</v>
      </c>
      <c r="AL293" s="136">
        <v>0</v>
      </c>
      <c r="AM293" s="136">
        <v>0</v>
      </c>
      <c r="AN293" s="136">
        <v>0</v>
      </c>
      <c r="AO293" s="136"/>
      <c r="AP293" s="143" t="e">
        <f>VLOOKUP(tbl_IO_List[[#This Row],[Instruement Tag]],tbl_Instruement_List[],14,FALSE)</f>
        <v>#N/A</v>
      </c>
      <c r="AQ293" s="143" t="str">
        <f>tbl_IO_List[[#This Row],[Chassis]]&amp;"S"&amp;tbl_IO_List[[#This Row],[Slot]]&amp;"-"&amp;tbl_IO_List[[#This Row],[Front Terminal Number]]</f>
        <v>C2S2-33</v>
      </c>
      <c r="AR293" s="141" t="s">
        <v>1862</v>
      </c>
      <c r="AS293" s="136" t="str">
        <f>tbl_IO_List[[#This Row],[Terminal Tagging]]&amp;"-"&amp;tbl_IO_List[[#This Row],[Point-Count]]</f>
        <v>P2-TBDI2-31</v>
      </c>
      <c r="AT293" s="136" t="str">
        <f>tbl_IO_List[[#This Row],[Front Terminal Tagging]]&amp;"/"&amp;tbl_IO_List[[#This Row],[Terminal Tagging-Item]]</f>
        <v>C2S2-33/P2-TBDI2-31</v>
      </c>
      <c r="AU293" s="136" t="str">
        <f>tbl_IO_List[[#This Row],[Terminal Tagging-Item]]&amp;"/"&amp;tbl_IO_List[[#This Row],[Front Terminal Tagging]]</f>
        <v>P2-TBDI2-31/C2S2-33</v>
      </c>
    </row>
    <row r="294" spans="1:47">
      <c r="A294" s="147" t="s">
        <v>1367</v>
      </c>
      <c r="B294" s="136" t="s">
        <v>221</v>
      </c>
      <c r="C294" s="136" t="str">
        <f>tbl_IO_List[[#This Row],[Column3]]</f>
        <v>C2S02,31</v>
      </c>
      <c r="D294" s="136" t="str">
        <f>tbl_IO_List[[#This Row],[Card]]</f>
        <v>1756-IB32-31</v>
      </c>
      <c r="E294" s="136" t="s">
        <v>1372</v>
      </c>
      <c r="F294" s="136" t="str">
        <f>tbl_IO_List[[#This Row],[Column23]]&amp;"-" &amp;tbl_IO_List[[#This Row],[Column52]]</f>
        <v>C2S02-X2</v>
      </c>
      <c r="G294" s="136" t="str">
        <f>tbl_IO_List[[#This Row],[PLC_Tag]]</f>
        <v>Spare_DI_0</v>
      </c>
      <c r="H294" s="136"/>
      <c r="I294" s="136" t="str">
        <f>VLOOKUP(tbl_IO_List[[#This Row],[Destination]],tbl_Junction[],2,FALSE)</f>
        <v>Spray Dryer 3rd Floor</v>
      </c>
      <c r="J294" s="136" t="s">
        <v>221</v>
      </c>
      <c r="K294" s="136"/>
      <c r="L294" s="136" t="s">
        <v>411</v>
      </c>
      <c r="M294" s="136" t="e">
        <f>VLOOKUP(tbl_IO_List[[#This Row],[Instruement Tag]],tbl_Instruement_List[],2,FALSE)</f>
        <v>#N/A</v>
      </c>
      <c r="N294" s="136"/>
      <c r="O294" s="136"/>
      <c r="P294" s="136"/>
      <c r="Q294" s="136" t="e">
        <f>VLOOKUP(tbl_IO_List[[#This Row],[Instruement Tag]],tbl_Instruement_List[],6,FALSE)</f>
        <v>#N/A</v>
      </c>
      <c r="R294" s="136"/>
      <c r="S29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94" s="136" t="str">
        <f>tbl_IO_List[[#This Row],[Instruement Tag]]&amp;"_"&amp;tbl_IO_List[[#This Row],[I/O Type]]&amp;"_"&amp;tbl_IO_List[[#This Row],[IO-Point 
(Instruement)]]</f>
        <v>Spare_DI_0</v>
      </c>
      <c r="U294" s="136" t="s">
        <v>8</v>
      </c>
      <c r="V294" s="136">
        <f>VLOOKUP(tbl_IO_List[[#This Row],[I/O Type]],tbl_Slot_Group[],2,FALSE)</f>
        <v>1</v>
      </c>
      <c r="W294" s="136">
        <v>0</v>
      </c>
      <c r="X294" s="136" t="str">
        <f>tbl_IO_List[[#This Row],[Chassis]]&amp;"S"&amp;TEXT(tbl_IO_List[[#This Row],[Slot]],"00")</f>
        <v>C2S02</v>
      </c>
      <c r="Y294" s="136" t="str">
        <f>tbl_IO_List[[#This Row],[Chassis]]&amp;"S"&amp;TEXT(tbl_IO_List[[#This Row],[Slot]],"00")&amp;tbl_IO_List[[#This Row],[I/O Type]]&amp;TEXT(tbl_IO_List[[#This Row],[Point]],"00")</f>
        <v>C2S02DI31</v>
      </c>
      <c r="Z294" s="136" t="str">
        <f>tbl_IO_List[[#This Row],[Chassis]]&amp;"S"&amp;TEXT(tbl_IO_List[[#This Row],[Slot]],"00")&amp;","&amp;TEXT(tbl_IO_List[[#This Row],[Point]],"00")</f>
        <v>C2S02,31</v>
      </c>
      <c r="AA294" s="136" t="str">
        <f>VLOOKUP(tbl_IO_List[[#This Row],[Column23]],tbl_RackConfig[],5,FALSE) &amp;"-"&amp;tbl_IO_List[[#This Row],[Point]]</f>
        <v>1756-IB32-31</v>
      </c>
      <c r="AB294" s="136"/>
      <c r="AC294" s="136"/>
      <c r="AD294" s="136" t="str">
        <f>tbl_IO_List[[#This Row],[I/O Type]]</f>
        <v>DI</v>
      </c>
      <c r="AE294" s="136" t="s">
        <v>1333</v>
      </c>
      <c r="AF294" s="136">
        <v>2</v>
      </c>
      <c r="AG294" s="136">
        <v>31</v>
      </c>
      <c r="AH294" s="136">
        <v>32</v>
      </c>
      <c r="AI294" s="136">
        <v>34</v>
      </c>
      <c r="AJ294" s="136">
        <v>1</v>
      </c>
      <c r="AK294" s="136">
        <v>0</v>
      </c>
      <c r="AL294" s="136">
        <v>0</v>
      </c>
      <c r="AM294" s="136">
        <v>0</v>
      </c>
      <c r="AN294" s="136">
        <v>0</v>
      </c>
      <c r="AO294" s="136"/>
      <c r="AP294" s="143" t="e">
        <f>VLOOKUP(tbl_IO_List[[#This Row],[Instruement Tag]],tbl_Instruement_List[],14,FALSE)</f>
        <v>#N/A</v>
      </c>
      <c r="AQ294" s="143" t="str">
        <f>tbl_IO_List[[#This Row],[Chassis]]&amp;"S"&amp;tbl_IO_List[[#This Row],[Slot]]&amp;"-"&amp;tbl_IO_List[[#This Row],[Front Terminal Number]]</f>
        <v>C2S2-34</v>
      </c>
      <c r="AR294" s="141" t="s">
        <v>1862</v>
      </c>
      <c r="AS294" s="136" t="str">
        <f>tbl_IO_List[[#This Row],[Terminal Tagging]]&amp;"-"&amp;tbl_IO_List[[#This Row],[Point-Count]]</f>
        <v>P2-TBDI2-32</v>
      </c>
      <c r="AT294" s="136" t="str">
        <f>tbl_IO_List[[#This Row],[Front Terminal Tagging]]&amp;"/"&amp;tbl_IO_List[[#This Row],[Terminal Tagging-Item]]</f>
        <v>C2S2-34/P2-TBDI2-32</v>
      </c>
      <c r="AU294" s="136" t="str">
        <f>tbl_IO_List[[#This Row],[Terminal Tagging-Item]]&amp;"/"&amp;tbl_IO_List[[#This Row],[Front Terminal Tagging]]</f>
        <v>P2-TBDI2-32/C2S2-34</v>
      </c>
    </row>
    <row r="295" spans="1:47">
      <c r="A295" s="147" t="s">
        <v>1367</v>
      </c>
      <c r="B295" s="136" t="s">
        <v>270</v>
      </c>
      <c r="C295" s="136" t="str">
        <f>tbl_IO_List[[#This Row],[Column3]]</f>
        <v>C2S03,00</v>
      </c>
      <c r="D295" s="136" t="str">
        <f>tbl_IO_List[[#This Row],[Card]]</f>
        <v>1756-IB32-0</v>
      </c>
      <c r="E295" s="136" t="s">
        <v>1366</v>
      </c>
      <c r="F295" s="136" t="str">
        <f>tbl_IO_List[[#This Row],[Column23]]&amp;"-" &amp;tbl_IO_List[[#This Row],[Column52]]</f>
        <v>C2S03-X1</v>
      </c>
      <c r="G295" s="136" t="str">
        <f>tbl_IO_List[[#This Row],[PLC_Tag]]</f>
        <v>XA-FH-60210A_DI_1</v>
      </c>
      <c r="H295" s="136"/>
      <c r="I295" s="136" t="str">
        <f>VLOOKUP(tbl_IO_List[[#This Row],[Destination]],tbl_Junction[],2,FALSE)</f>
        <v>Spray Dryer 7th Floor</v>
      </c>
      <c r="J295" s="136" t="s">
        <v>270</v>
      </c>
      <c r="K295" s="136" t="s">
        <v>14</v>
      </c>
      <c r="L295" s="136" t="s">
        <v>1091</v>
      </c>
      <c r="M295" s="136">
        <f>VLOOKUP(tbl_IO_List[[#This Row],[Instruement Tag]],tbl_Instruement_List[],2,FALSE)</f>
        <v>0</v>
      </c>
      <c r="N295" s="136" t="s">
        <v>95</v>
      </c>
      <c r="O295" s="136" t="s">
        <v>331</v>
      </c>
      <c r="P295" s="136" t="s">
        <v>18</v>
      </c>
      <c r="Q295" s="136" t="str">
        <f>VLOOKUP(tbl_IO_List[[#This Row],[Instruement Tag]],tbl_Instruement_List[],6,FALSE)</f>
        <v>BMS PANEL POWER ON for AHTR-21</v>
      </c>
      <c r="R295" s="136"/>
      <c r="S29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95" s="136" t="str">
        <f>tbl_IO_List[[#This Row],[Instruement Tag]]&amp;"_"&amp;tbl_IO_List[[#This Row],[I/O Type]]&amp;"_"&amp;tbl_IO_List[[#This Row],[IO-Point 
(Instruement)]]</f>
        <v>XA-FH-60210A_DI_1</v>
      </c>
      <c r="U295" s="136" t="s">
        <v>8</v>
      </c>
      <c r="V295" s="136">
        <f>VLOOKUP(tbl_IO_List[[#This Row],[I/O Type]],tbl_Slot_Group[],2,FALSE)</f>
        <v>1</v>
      </c>
      <c r="W295" s="136">
        <v>1</v>
      </c>
      <c r="X295" s="136" t="str">
        <f>tbl_IO_List[[#This Row],[Chassis]]&amp;"S"&amp;TEXT(tbl_IO_List[[#This Row],[Slot]],"00")</f>
        <v>C2S03</v>
      </c>
      <c r="Y295" s="136" t="str">
        <f>tbl_IO_List[[#This Row],[Chassis]]&amp;"S"&amp;TEXT(tbl_IO_List[[#This Row],[Slot]],"00")&amp;tbl_IO_List[[#This Row],[I/O Type]]&amp;TEXT(tbl_IO_List[[#This Row],[Point]],"00")</f>
        <v>C2S03DI00</v>
      </c>
      <c r="Z295" s="136" t="str">
        <f>tbl_IO_List[[#This Row],[Chassis]]&amp;"S"&amp;TEXT(tbl_IO_List[[#This Row],[Slot]],"00")&amp;","&amp;TEXT(tbl_IO_List[[#This Row],[Point]],"00")</f>
        <v>C2S03,00</v>
      </c>
      <c r="AA295" s="136" t="str">
        <f>VLOOKUP(tbl_IO_List[[#This Row],[Column23]],tbl_RackConfig[],5,FALSE) &amp;"-"&amp;tbl_IO_List[[#This Row],[Point]]</f>
        <v>1756-IB32-0</v>
      </c>
      <c r="AB295" s="136"/>
      <c r="AC295" s="136"/>
      <c r="AD295" s="136" t="str">
        <f>tbl_IO_List[[#This Row],[I/O Type]]</f>
        <v>DI</v>
      </c>
      <c r="AE295" s="136" t="s">
        <v>1333</v>
      </c>
      <c r="AF295" s="136">
        <v>3</v>
      </c>
      <c r="AG295" s="136">
        <v>0</v>
      </c>
      <c r="AH295" s="136">
        <v>1</v>
      </c>
      <c r="AI295" s="136">
        <v>1</v>
      </c>
      <c r="AJ295" s="136">
        <v>1</v>
      </c>
      <c r="AK295" s="136">
        <v>0</v>
      </c>
      <c r="AL295" s="136">
        <v>0</v>
      </c>
      <c r="AM295" s="136">
        <v>0</v>
      </c>
      <c r="AN295" s="136">
        <v>0</v>
      </c>
      <c r="AO295" s="136"/>
      <c r="AP295" s="143" t="str">
        <f>VLOOKUP(tbl_IO_List[[#This Row],[Instruement Tag]],tbl_Instruement_List[],14,FALSE)</f>
        <v>Dry Contact</v>
      </c>
      <c r="AQ295" s="143" t="str">
        <f>tbl_IO_List[[#This Row],[Chassis]]&amp;"S"&amp;tbl_IO_List[[#This Row],[Slot]]&amp;"-"&amp;tbl_IO_List[[#This Row],[Front Terminal Number]]</f>
        <v>C2S3-1</v>
      </c>
      <c r="AR295" s="141" t="s">
        <v>1863</v>
      </c>
      <c r="AS295" s="136" t="str">
        <f>tbl_IO_List[[#This Row],[Terminal Tagging]]&amp;"-"&amp;tbl_IO_List[[#This Row],[Point-Count]]</f>
        <v>P2-TBDI3-1</v>
      </c>
      <c r="AT295" s="136" t="str">
        <f>tbl_IO_List[[#This Row],[Front Terminal Tagging]]&amp;"/"&amp;tbl_IO_List[[#This Row],[Terminal Tagging-Item]]</f>
        <v>C2S3-1/P2-TBDI3-1</v>
      </c>
      <c r="AU295" s="136" t="str">
        <f>tbl_IO_List[[#This Row],[Terminal Tagging-Item]]&amp;"/"&amp;tbl_IO_List[[#This Row],[Front Terminal Tagging]]</f>
        <v>P2-TBDI3-1/C2S3-1</v>
      </c>
    </row>
    <row r="296" spans="1:47">
      <c r="A296" s="147" t="s">
        <v>1367</v>
      </c>
      <c r="B296" s="136" t="s">
        <v>270</v>
      </c>
      <c r="C296" s="136" t="str">
        <f>tbl_IO_List[[#This Row],[Column3]]</f>
        <v>C2S03,01</v>
      </c>
      <c r="D296" s="136" t="str">
        <f>tbl_IO_List[[#This Row],[Card]]</f>
        <v>1756-IB32-1</v>
      </c>
      <c r="E296" s="136" t="s">
        <v>1366</v>
      </c>
      <c r="F296" s="136" t="str">
        <f>tbl_IO_List[[#This Row],[Column23]]&amp;"-" &amp;tbl_IO_List[[#This Row],[Column52]]</f>
        <v>C2S03-X1</v>
      </c>
      <c r="G296" s="136" t="str">
        <f>tbl_IO_List[[#This Row],[PLC_Tag]]</f>
        <v>XA-FH-60210B_DI_1</v>
      </c>
      <c r="H296" s="136"/>
      <c r="I296" s="136" t="str">
        <f>VLOOKUP(tbl_IO_List[[#This Row],[Destination]],tbl_Junction[],2,FALSE)</f>
        <v>Spray Dryer 7th Floor</v>
      </c>
      <c r="J296" s="136" t="s">
        <v>270</v>
      </c>
      <c r="K296" s="136" t="s">
        <v>14</v>
      </c>
      <c r="L296" s="136" t="s">
        <v>1095</v>
      </c>
      <c r="M296" s="136">
        <f>VLOOKUP(tbl_IO_List[[#This Row],[Instruement Tag]],tbl_Instruement_List[],2,FALSE)</f>
        <v>0</v>
      </c>
      <c r="N296" s="136" t="s">
        <v>95</v>
      </c>
      <c r="O296" s="136" t="s">
        <v>331</v>
      </c>
      <c r="P296" s="136" t="s">
        <v>18</v>
      </c>
      <c r="Q296" s="136" t="str">
        <f>VLOOKUP(tbl_IO_List[[#This Row],[Instruement Tag]],tbl_Instruement_List[],6,FALSE)</f>
        <v>BMS Burner High Fire Purge for AHTR-21</v>
      </c>
      <c r="R296" s="136"/>
      <c r="S29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96" s="136" t="str">
        <f>tbl_IO_List[[#This Row],[Instruement Tag]]&amp;"_"&amp;tbl_IO_List[[#This Row],[I/O Type]]&amp;"_"&amp;tbl_IO_List[[#This Row],[IO-Point 
(Instruement)]]</f>
        <v>XA-FH-60210B_DI_1</v>
      </c>
      <c r="U296" s="136" t="s">
        <v>8</v>
      </c>
      <c r="V296" s="136">
        <f>VLOOKUP(tbl_IO_List[[#This Row],[I/O Type]],tbl_Slot_Group[],2,FALSE)</f>
        <v>1</v>
      </c>
      <c r="W296" s="136">
        <v>1</v>
      </c>
      <c r="X296" s="136" t="str">
        <f>tbl_IO_List[[#This Row],[Chassis]]&amp;"S"&amp;TEXT(tbl_IO_List[[#This Row],[Slot]],"00")</f>
        <v>C2S03</v>
      </c>
      <c r="Y296" s="136" t="str">
        <f>tbl_IO_List[[#This Row],[Chassis]]&amp;"S"&amp;TEXT(tbl_IO_List[[#This Row],[Slot]],"00")&amp;tbl_IO_List[[#This Row],[I/O Type]]&amp;TEXT(tbl_IO_List[[#This Row],[Point]],"00")</f>
        <v>C2S03DI01</v>
      </c>
      <c r="Z296" s="136" t="str">
        <f>tbl_IO_List[[#This Row],[Chassis]]&amp;"S"&amp;TEXT(tbl_IO_List[[#This Row],[Slot]],"00")&amp;","&amp;TEXT(tbl_IO_List[[#This Row],[Point]],"00")</f>
        <v>C2S03,01</v>
      </c>
      <c r="AA296" s="136" t="str">
        <f>VLOOKUP(tbl_IO_List[[#This Row],[Column23]],tbl_RackConfig[],5,FALSE) &amp;"-"&amp;tbl_IO_List[[#This Row],[Point]]</f>
        <v>1756-IB32-1</v>
      </c>
      <c r="AB296" s="136"/>
      <c r="AC296" s="136"/>
      <c r="AD296" s="136" t="str">
        <f>tbl_IO_List[[#This Row],[I/O Type]]</f>
        <v>DI</v>
      </c>
      <c r="AE296" s="136" t="s">
        <v>1333</v>
      </c>
      <c r="AF296" s="136">
        <v>3</v>
      </c>
      <c r="AG296" s="136">
        <v>1</v>
      </c>
      <c r="AH296" s="136">
        <v>2</v>
      </c>
      <c r="AI296" s="136">
        <v>2</v>
      </c>
      <c r="AJ296" s="136">
        <v>1</v>
      </c>
      <c r="AK296" s="136">
        <v>0</v>
      </c>
      <c r="AL296" s="136">
        <v>0</v>
      </c>
      <c r="AM296" s="136">
        <v>0</v>
      </c>
      <c r="AN296" s="136">
        <v>0</v>
      </c>
      <c r="AO296" s="136"/>
      <c r="AP296" s="143" t="str">
        <f>VLOOKUP(tbl_IO_List[[#This Row],[Instruement Tag]],tbl_Instruement_List[],14,FALSE)</f>
        <v>Dry Contact</v>
      </c>
      <c r="AQ296" s="143" t="str">
        <f>tbl_IO_List[[#This Row],[Chassis]]&amp;"S"&amp;tbl_IO_List[[#This Row],[Slot]]&amp;"-"&amp;tbl_IO_List[[#This Row],[Front Terminal Number]]</f>
        <v>C2S3-2</v>
      </c>
      <c r="AR296" s="141" t="s">
        <v>1863</v>
      </c>
      <c r="AS296" s="136" t="str">
        <f>tbl_IO_List[[#This Row],[Terminal Tagging]]&amp;"-"&amp;tbl_IO_List[[#This Row],[Point-Count]]</f>
        <v>P2-TBDI3-2</v>
      </c>
      <c r="AT296" s="136" t="str">
        <f>tbl_IO_List[[#This Row],[Front Terminal Tagging]]&amp;"/"&amp;tbl_IO_List[[#This Row],[Terminal Tagging-Item]]</f>
        <v>C2S3-2/P2-TBDI3-2</v>
      </c>
      <c r="AU296" s="136" t="str">
        <f>tbl_IO_List[[#This Row],[Terminal Tagging-Item]]&amp;"/"&amp;tbl_IO_List[[#This Row],[Front Terminal Tagging]]</f>
        <v>P2-TBDI3-2/C2S3-2</v>
      </c>
    </row>
    <row r="297" spans="1:47">
      <c r="A297" s="147" t="s">
        <v>1367</v>
      </c>
      <c r="B297" s="136" t="s">
        <v>270</v>
      </c>
      <c r="C297" s="136" t="str">
        <f>tbl_IO_List[[#This Row],[Column3]]</f>
        <v>C2S03,02</v>
      </c>
      <c r="D297" s="136" t="str">
        <f>tbl_IO_List[[#This Row],[Card]]</f>
        <v>1756-IB32-2</v>
      </c>
      <c r="E297" s="136" t="s">
        <v>1366</v>
      </c>
      <c r="F297" s="136" t="str">
        <f>tbl_IO_List[[#This Row],[Column23]]&amp;"-" &amp;tbl_IO_List[[#This Row],[Column52]]</f>
        <v>C2S03-X1</v>
      </c>
      <c r="G297" s="136" t="str">
        <f>tbl_IO_List[[#This Row],[PLC_Tag]]</f>
        <v>XA-FH-60210C_DI_1</v>
      </c>
      <c r="H297" s="136"/>
      <c r="I297" s="136" t="str">
        <f>VLOOKUP(tbl_IO_List[[#This Row],[Destination]],tbl_Junction[],2,FALSE)</f>
        <v>Spray Dryer 7th Floor</v>
      </c>
      <c r="J297" s="136" t="s">
        <v>270</v>
      </c>
      <c r="K297" s="136" t="s">
        <v>14</v>
      </c>
      <c r="L297" s="136" t="s">
        <v>1097</v>
      </c>
      <c r="M297" s="136">
        <f>VLOOKUP(tbl_IO_List[[#This Row],[Instruement Tag]],tbl_Instruement_List[],2,FALSE)</f>
        <v>0</v>
      </c>
      <c r="N297" s="136" t="s">
        <v>95</v>
      </c>
      <c r="O297" s="136" t="s">
        <v>331</v>
      </c>
      <c r="P297" s="136" t="s">
        <v>18</v>
      </c>
      <c r="Q297" s="136" t="str">
        <f>VLOOKUP(tbl_IO_List[[#This Row],[Instruement Tag]],tbl_Instruement_List[],6,FALSE)</f>
        <v>BMS Burner On for AHTR-21</v>
      </c>
      <c r="R297" s="136"/>
      <c r="S29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97" s="136" t="str">
        <f>tbl_IO_List[[#This Row],[Instruement Tag]]&amp;"_"&amp;tbl_IO_List[[#This Row],[I/O Type]]&amp;"_"&amp;tbl_IO_List[[#This Row],[IO-Point 
(Instruement)]]</f>
        <v>XA-FH-60210C_DI_1</v>
      </c>
      <c r="U297" s="136" t="s">
        <v>8</v>
      </c>
      <c r="V297" s="136">
        <f>VLOOKUP(tbl_IO_List[[#This Row],[I/O Type]],tbl_Slot_Group[],2,FALSE)</f>
        <v>1</v>
      </c>
      <c r="W297" s="136">
        <v>1</v>
      </c>
      <c r="X297" s="136" t="str">
        <f>tbl_IO_List[[#This Row],[Chassis]]&amp;"S"&amp;TEXT(tbl_IO_List[[#This Row],[Slot]],"00")</f>
        <v>C2S03</v>
      </c>
      <c r="Y297" s="136" t="str">
        <f>tbl_IO_List[[#This Row],[Chassis]]&amp;"S"&amp;TEXT(tbl_IO_List[[#This Row],[Slot]],"00")&amp;tbl_IO_List[[#This Row],[I/O Type]]&amp;TEXT(tbl_IO_List[[#This Row],[Point]],"00")</f>
        <v>C2S03DI02</v>
      </c>
      <c r="Z297" s="136" t="str">
        <f>tbl_IO_List[[#This Row],[Chassis]]&amp;"S"&amp;TEXT(tbl_IO_List[[#This Row],[Slot]],"00")&amp;","&amp;TEXT(tbl_IO_List[[#This Row],[Point]],"00")</f>
        <v>C2S03,02</v>
      </c>
      <c r="AA297" s="136" t="str">
        <f>VLOOKUP(tbl_IO_List[[#This Row],[Column23]],tbl_RackConfig[],5,FALSE) &amp;"-"&amp;tbl_IO_List[[#This Row],[Point]]</f>
        <v>1756-IB32-2</v>
      </c>
      <c r="AB297" s="136"/>
      <c r="AC297" s="136"/>
      <c r="AD297" s="136" t="str">
        <f>tbl_IO_List[[#This Row],[I/O Type]]</f>
        <v>DI</v>
      </c>
      <c r="AE297" s="136" t="s">
        <v>1333</v>
      </c>
      <c r="AF297" s="136">
        <v>3</v>
      </c>
      <c r="AG297" s="136">
        <v>2</v>
      </c>
      <c r="AH297" s="136">
        <v>3</v>
      </c>
      <c r="AI297" s="136">
        <v>3</v>
      </c>
      <c r="AJ297" s="136">
        <v>1</v>
      </c>
      <c r="AK297" s="136">
        <v>0</v>
      </c>
      <c r="AL297" s="136">
        <v>0</v>
      </c>
      <c r="AM297" s="136">
        <v>0</v>
      </c>
      <c r="AN297" s="136">
        <v>0</v>
      </c>
      <c r="AO297" s="136"/>
      <c r="AP297" s="143" t="str">
        <f>VLOOKUP(tbl_IO_List[[#This Row],[Instruement Tag]],tbl_Instruement_List[],14,FALSE)</f>
        <v>Dry Contact</v>
      </c>
      <c r="AQ297" s="143" t="str">
        <f>tbl_IO_List[[#This Row],[Chassis]]&amp;"S"&amp;tbl_IO_List[[#This Row],[Slot]]&amp;"-"&amp;tbl_IO_List[[#This Row],[Front Terminal Number]]</f>
        <v>C2S3-3</v>
      </c>
      <c r="AR297" s="141" t="s">
        <v>1863</v>
      </c>
      <c r="AS297" s="136" t="str">
        <f>tbl_IO_List[[#This Row],[Terminal Tagging]]&amp;"-"&amp;tbl_IO_List[[#This Row],[Point-Count]]</f>
        <v>P2-TBDI3-3</v>
      </c>
      <c r="AT297" s="136" t="str">
        <f>tbl_IO_List[[#This Row],[Front Terminal Tagging]]&amp;"/"&amp;tbl_IO_List[[#This Row],[Terminal Tagging-Item]]</f>
        <v>C2S3-3/P2-TBDI3-3</v>
      </c>
      <c r="AU297" s="136" t="str">
        <f>tbl_IO_List[[#This Row],[Terminal Tagging-Item]]&amp;"/"&amp;tbl_IO_List[[#This Row],[Front Terminal Tagging]]</f>
        <v>P2-TBDI3-3/C2S3-3</v>
      </c>
    </row>
    <row r="298" spans="1:47">
      <c r="A298" s="147" t="s">
        <v>1367</v>
      </c>
      <c r="B298" s="136" t="s">
        <v>270</v>
      </c>
      <c r="C298" s="136" t="str">
        <f>tbl_IO_List[[#This Row],[Column3]]</f>
        <v>C2S03,03</v>
      </c>
      <c r="D298" s="136" t="str">
        <f>tbl_IO_List[[#This Row],[Card]]</f>
        <v>1756-IB32-3</v>
      </c>
      <c r="E298" s="136" t="s">
        <v>1366</v>
      </c>
      <c r="F298" s="136" t="str">
        <f>tbl_IO_List[[#This Row],[Column23]]&amp;"-" &amp;tbl_IO_List[[#This Row],[Column52]]</f>
        <v>C2S03-X1</v>
      </c>
      <c r="G298" s="136" t="str">
        <f>tbl_IO_List[[#This Row],[PLC_Tag]]</f>
        <v>XA-FH-60210D_DI_1</v>
      </c>
      <c r="H298" s="136"/>
      <c r="I298" s="136" t="str">
        <f>VLOOKUP(tbl_IO_List[[#This Row],[Destination]],tbl_Junction[],2,FALSE)</f>
        <v>Spray Dryer 7th Floor</v>
      </c>
      <c r="J298" s="136" t="s">
        <v>270</v>
      </c>
      <c r="K298" s="136" t="s">
        <v>14</v>
      </c>
      <c r="L298" s="136" t="s">
        <v>1099</v>
      </c>
      <c r="M298" s="136">
        <f>VLOOKUP(tbl_IO_List[[#This Row],[Instruement Tag]],tbl_Instruement_List[],2,FALSE)</f>
        <v>0</v>
      </c>
      <c r="N298" s="136" t="s">
        <v>95</v>
      </c>
      <c r="O298" s="136" t="s">
        <v>331</v>
      </c>
      <c r="P298" s="136" t="s">
        <v>18</v>
      </c>
      <c r="Q298" s="136" t="str">
        <f>VLOOKUP(tbl_IO_List[[#This Row],[Instruement Tag]],tbl_Instruement_List[],6,FALSE)</f>
        <v>BMS BMS Lockout for AHTR-21</v>
      </c>
      <c r="R298" s="136"/>
      <c r="S29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98" s="136" t="str">
        <f>tbl_IO_List[[#This Row],[Instruement Tag]]&amp;"_"&amp;tbl_IO_List[[#This Row],[I/O Type]]&amp;"_"&amp;tbl_IO_List[[#This Row],[IO-Point 
(Instruement)]]</f>
        <v>XA-FH-60210D_DI_1</v>
      </c>
      <c r="U298" s="136" t="s">
        <v>8</v>
      </c>
      <c r="V298" s="136">
        <f>VLOOKUP(tbl_IO_List[[#This Row],[I/O Type]],tbl_Slot_Group[],2,FALSE)</f>
        <v>1</v>
      </c>
      <c r="W298" s="136">
        <v>1</v>
      </c>
      <c r="X298" s="136" t="str">
        <f>tbl_IO_List[[#This Row],[Chassis]]&amp;"S"&amp;TEXT(tbl_IO_List[[#This Row],[Slot]],"00")</f>
        <v>C2S03</v>
      </c>
      <c r="Y298" s="136" t="str">
        <f>tbl_IO_List[[#This Row],[Chassis]]&amp;"S"&amp;TEXT(tbl_IO_List[[#This Row],[Slot]],"00")&amp;tbl_IO_List[[#This Row],[I/O Type]]&amp;TEXT(tbl_IO_List[[#This Row],[Point]],"00")</f>
        <v>C2S03DI03</v>
      </c>
      <c r="Z298" s="136" t="str">
        <f>tbl_IO_List[[#This Row],[Chassis]]&amp;"S"&amp;TEXT(tbl_IO_List[[#This Row],[Slot]],"00")&amp;","&amp;TEXT(tbl_IO_List[[#This Row],[Point]],"00")</f>
        <v>C2S03,03</v>
      </c>
      <c r="AA298" s="136" t="str">
        <f>VLOOKUP(tbl_IO_List[[#This Row],[Column23]],tbl_RackConfig[],5,FALSE) &amp;"-"&amp;tbl_IO_List[[#This Row],[Point]]</f>
        <v>1756-IB32-3</v>
      </c>
      <c r="AB298" s="136"/>
      <c r="AC298" s="136"/>
      <c r="AD298" s="136" t="str">
        <f>tbl_IO_List[[#This Row],[I/O Type]]</f>
        <v>DI</v>
      </c>
      <c r="AE298" s="136" t="s">
        <v>1333</v>
      </c>
      <c r="AF298" s="136">
        <v>3</v>
      </c>
      <c r="AG298" s="136">
        <v>3</v>
      </c>
      <c r="AH298" s="136">
        <v>4</v>
      </c>
      <c r="AI298" s="136">
        <v>4</v>
      </c>
      <c r="AJ298" s="136">
        <v>1</v>
      </c>
      <c r="AK298" s="136">
        <v>0</v>
      </c>
      <c r="AL298" s="136">
        <v>0</v>
      </c>
      <c r="AM298" s="136">
        <v>0</v>
      </c>
      <c r="AN298" s="136">
        <v>0</v>
      </c>
      <c r="AO298" s="136"/>
      <c r="AP298" s="143" t="str">
        <f>VLOOKUP(tbl_IO_List[[#This Row],[Instruement Tag]],tbl_Instruement_List[],14,FALSE)</f>
        <v>Dry Contact</v>
      </c>
      <c r="AQ298" s="143" t="str">
        <f>tbl_IO_List[[#This Row],[Chassis]]&amp;"S"&amp;tbl_IO_List[[#This Row],[Slot]]&amp;"-"&amp;tbl_IO_List[[#This Row],[Front Terminal Number]]</f>
        <v>C2S3-4</v>
      </c>
      <c r="AR298" s="141" t="s">
        <v>1863</v>
      </c>
      <c r="AS298" s="136" t="str">
        <f>tbl_IO_List[[#This Row],[Terminal Tagging]]&amp;"-"&amp;tbl_IO_List[[#This Row],[Point-Count]]</f>
        <v>P2-TBDI3-4</v>
      </c>
      <c r="AT298" s="136" t="str">
        <f>tbl_IO_List[[#This Row],[Front Terminal Tagging]]&amp;"/"&amp;tbl_IO_List[[#This Row],[Terminal Tagging-Item]]</f>
        <v>C2S3-4/P2-TBDI3-4</v>
      </c>
      <c r="AU298" s="136" t="str">
        <f>tbl_IO_List[[#This Row],[Terminal Tagging-Item]]&amp;"/"&amp;tbl_IO_List[[#This Row],[Front Terminal Tagging]]</f>
        <v>P2-TBDI3-4/C2S3-4</v>
      </c>
    </row>
    <row r="299" spans="1:47">
      <c r="A299" s="147" t="s">
        <v>1367</v>
      </c>
      <c r="B299" s="136" t="s">
        <v>270</v>
      </c>
      <c r="C299" s="136" t="str">
        <f>tbl_IO_List[[#This Row],[Column3]]</f>
        <v>C2S03,04</v>
      </c>
      <c r="D299" s="136" t="str">
        <f>tbl_IO_List[[#This Row],[Card]]</f>
        <v>1756-IB32-4</v>
      </c>
      <c r="E299" s="136" t="s">
        <v>1366</v>
      </c>
      <c r="F299" s="136" t="str">
        <f>tbl_IO_List[[#This Row],[Column23]]&amp;"-" &amp;tbl_IO_List[[#This Row],[Column52]]</f>
        <v>C2S03-X1</v>
      </c>
      <c r="G299" s="136" t="str">
        <f>tbl_IO_List[[#This Row],[PLC_Tag]]</f>
        <v>XA-FH-60210E_DI_1</v>
      </c>
      <c r="H299" s="136"/>
      <c r="I299" s="136" t="str">
        <f>VLOOKUP(tbl_IO_List[[#This Row],[Destination]],tbl_Junction[],2,FALSE)</f>
        <v>Spray Dryer 7th Floor</v>
      </c>
      <c r="J299" s="136" t="s">
        <v>270</v>
      </c>
      <c r="K299" s="136" t="s">
        <v>14</v>
      </c>
      <c r="L299" s="136" t="s">
        <v>1101</v>
      </c>
      <c r="M299" s="136">
        <f>VLOOKUP(tbl_IO_List[[#This Row],[Instruement Tag]],tbl_Instruement_List[],2,FALSE)</f>
        <v>0</v>
      </c>
      <c r="N299" s="136" t="s">
        <v>95</v>
      </c>
      <c r="O299" s="136" t="s">
        <v>331</v>
      </c>
      <c r="P299" s="136" t="s">
        <v>18</v>
      </c>
      <c r="Q299" s="136" t="str">
        <f>VLOOKUP(tbl_IO_List[[#This Row],[Instruement Tag]],tbl_Instruement_List[],6,FALSE)</f>
        <v>BMS Remote Modet for AHTR-21</v>
      </c>
      <c r="R299" s="136"/>
      <c r="S29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299" s="136" t="str">
        <f>tbl_IO_List[[#This Row],[Instruement Tag]]&amp;"_"&amp;tbl_IO_List[[#This Row],[I/O Type]]&amp;"_"&amp;tbl_IO_List[[#This Row],[IO-Point 
(Instruement)]]</f>
        <v>XA-FH-60210E_DI_1</v>
      </c>
      <c r="U299" s="136" t="s">
        <v>8</v>
      </c>
      <c r="V299" s="136">
        <f>VLOOKUP(tbl_IO_List[[#This Row],[I/O Type]],tbl_Slot_Group[],2,FALSE)</f>
        <v>1</v>
      </c>
      <c r="W299" s="136">
        <v>1</v>
      </c>
      <c r="X299" s="136" t="str">
        <f>tbl_IO_List[[#This Row],[Chassis]]&amp;"S"&amp;TEXT(tbl_IO_List[[#This Row],[Slot]],"00")</f>
        <v>C2S03</v>
      </c>
      <c r="Y299" s="136" t="str">
        <f>tbl_IO_List[[#This Row],[Chassis]]&amp;"S"&amp;TEXT(tbl_IO_List[[#This Row],[Slot]],"00")&amp;tbl_IO_List[[#This Row],[I/O Type]]&amp;TEXT(tbl_IO_List[[#This Row],[Point]],"00")</f>
        <v>C2S03DI04</v>
      </c>
      <c r="Z299" s="136" t="str">
        <f>tbl_IO_List[[#This Row],[Chassis]]&amp;"S"&amp;TEXT(tbl_IO_List[[#This Row],[Slot]],"00")&amp;","&amp;TEXT(tbl_IO_List[[#This Row],[Point]],"00")</f>
        <v>C2S03,04</v>
      </c>
      <c r="AA299" s="136" t="str">
        <f>VLOOKUP(tbl_IO_List[[#This Row],[Column23]],tbl_RackConfig[],5,FALSE) &amp;"-"&amp;tbl_IO_List[[#This Row],[Point]]</f>
        <v>1756-IB32-4</v>
      </c>
      <c r="AB299" s="136"/>
      <c r="AC299" s="136"/>
      <c r="AD299" s="136" t="str">
        <f>tbl_IO_List[[#This Row],[I/O Type]]</f>
        <v>DI</v>
      </c>
      <c r="AE299" s="136" t="s">
        <v>1333</v>
      </c>
      <c r="AF299" s="136">
        <v>3</v>
      </c>
      <c r="AG299" s="136">
        <v>4</v>
      </c>
      <c r="AH299" s="136">
        <v>5</v>
      </c>
      <c r="AI299" s="136">
        <v>5</v>
      </c>
      <c r="AJ299" s="136">
        <v>1</v>
      </c>
      <c r="AK299" s="136">
        <v>0</v>
      </c>
      <c r="AL299" s="136">
        <v>0</v>
      </c>
      <c r="AM299" s="136">
        <v>0</v>
      </c>
      <c r="AN299" s="136">
        <v>0</v>
      </c>
      <c r="AO299" s="136"/>
      <c r="AP299" s="143" t="str">
        <f>VLOOKUP(tbl_IO_List[[#This Row],[Instruement Tag]],tbl_Instruement_List[],14,FALSE)</f>
        <v>Dry Contact</v>
      </c>
      <c r="AQ299" s="143" t="str">
        <f>tbl_IO_List[[#This Row],[Chassis]]&amp;"S"&amp;tbl_IO_List[[#This Row],[Slot]]&amp;"-"&amp;tbl_IO_List[[#This Row],[Front Terminal Number]]</f>
        <v>C2S3-5</v>
      </c>
      <c r="AR299" s="141" t="s">
        <v>1863</v>
      </c>
      <c r="AS299" s="136" t="str">
        <f>tbl_IO_List[[#This Row],[Terminal Tagging]]&amp;"-"&amp;tbl_IO_List[[#This Row],[Point-Count]]</f>
        <v>P2-TBDI3-5</v>
      </c>
      <c r="AT299" s="136" t="str">
        <f>tbl_IO_List[[#This Row],[Front Terminal Tagging]]&amp;"/"&amp;tbl_IO_List[[#This Row],[Terminal Tagging-Item]]</f>
        <v>C2S3-5/P2-TBDI3-5</v>
      </c>
      <c r="AU299" s="136" t="str">
        <f>tbl_IO_List[[#This Row],[Terminal Tagging-Item]]&amp;"/"&amp;tbl_IO_List[[#This Row],[Front Terminal Tagging]]</f>
        <v>P2-TBDI3-5/C2S3-5</v>
      </c>
    </row>
    <row r="300" spans="1:47">
      <c r="A300" s="147" t="s">
        <v>1367</v>
      </c>
      <c r="B300" s="136" t="s">
        <v>221</v>
      </c>
      <c r="C300" s="136" t="str">
        <f>tbl_IO_List[[#This Row],[Column3]]</f>
        <v>C2S03,05</v>
      </c>
      <c r="D300" s="136" t="str">
        <f>tbl_IO_List[[#This Row],[Card]]</f>
        <v>1756-IB32-5</v>
      </c>
      <c r="E300" s="136" t="s">
        <v>1372</v>
      </c>
      <c r="F300" s="136" t="str">
        <f>tbl_IO_List[[#This Row],[Column23]]&amp;"-" &amp;tbl_IO_List[[#This Row],[Column52]]</f>
        <v>C2S03-X2</v>
      </c>
      <c r="G300" s="136" t="str">
        <f>tbl_IO_List[[#This Row],[PLC_Tag]]</f>
        <v>Spare_DI_0</v>
      </c>
      <c r="H300" s="136"/>
      <c r="I300" s="136" t="str">
        <f>VLOOKUP(tbl_IO_List[[#This Row],[Destination]],tbl_Junction[],2,FALSE)</f>
        <v>Spray Dryer 3rd Floor</v>
      </c>
      <c r="J300" s="136" t="s">
        <v>221</v>
      </c>
      <c r="K300" s="136"/>
      <c r="L300" s="136" t="s">
        <v>411</v>
      </c>
      <c r="M300" s="136" t="e">
        <f>VLOOKUP(tbl_IO_List[[#This Row],[Instruement Tag]],tbl_Instruement_List[],2,FALSE)</f>
        <v>#N/A</v>
      </c>
      <c r="N300" s="136"/>
      <c r="O300" s="136"/>
      <c r="P300" s="136"/>
      <c r="Q300" s="136" t="e">
        <f>VLOOKUP(tbl_IO_List[[#This Row],[Instruement Tag]],tbl_Instruement_List[],6,FALSE)</f>
        <v>#N/A</v>
      </c>
      <c r="R300" s="136"/>
      <c r="S30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300" s="136" t="str">
        <f>tbl_IO_List[[#This Row],[Instruement Tag]]&amp;"_"&amp;tbl_IO_List[[#This Row],[I/O Type]]&amp;"_"&amp;tbl_IO_List[[#This Row],[IO-Point 
(Instruement)]]</f>
        <v>Spare_DI_0</v>
      </c>
      <c r="U300" s="136" t="s">
        <v>8</v>
      </c>
      <c r="V300" s="136">
        <f>VLOOKUP(tbl_IO_List[[#This Row],[I/O Type]],tbl_Slot_Group[],2,FALSE)</f>
        <v>1</v>
      </c>
      <c r="W300" s="136">
        <v>0</v>
      </c>
      <c r="X300" s="136" t="str">
        <f>tbl_IO_List[[#This Row],[Chassis]]&amp;"S"&amp;TEXT(tbl_IO_List[[#This Row],[Slot]],"00")</f>
        <v>C2S03</v>
      </c>
      <c r="Y300" s="136" t="str">
        <f>tbl_IO_List[[#This Row],[Chassis]]&amp;"S"&amp;TEXT(tbl_IO_List[[#This Row],[Slot]],"00")&amp;tbl_IO_List[[#This Row],[I/O Type]]&amp;TEXT(tbl_IO_List[[#This Row],[Point]],"00")</f>
        <v>C2S03DI05</v>
      </c>
      <c r="Z300" s="136" t="str">
        <f>tbl_IO_List[[#This Row],[Chassis]]&amp;"S"&amp;TEXT(tbl_IO_List[[#This Row],[Slot]],"00")&amp;","&amp;TEXT(tbl_IO_List[[#This Row],[Point]],"00")</f>
        <v>C2S03,05</v>
      </c>
      <c r="AA300" s="136" t="str">
        <f>VLOOKUP(tbl_IO_List[[#This Row],[Column23]],tbl_RackConfig[],5,FALSE) &amp;"-"&amp;tbl_IO_List[[#This Row],[Point]]</f>
        <v>1756-IB32-5</v>
      </c>
      <c r="AB300" s="136"/>
      <c r="AC300" s="136"/>
      <c r="AD300" s="136" t="str">
        <f>tbl_IO_List[[#This Row],[I/O Type]]</f>
        <v>DI</v>
      </c>
      <c r="AE300" s="136" t="s">
        <v>1333</v>
      </c>
      <c r="AF300" s="136">
        <v>3</v>
      </c>
      <c r="AG300" s="136">
        <v>5</v>
      </c>
      <c r="AH300" s="136">
        <v>6</v>
      </c>
      <c r="AI300" s="136">
        <v>6</v>
      </c>
      <c r="AJ300" s="136">
        <v>1</v>
      </c>
      <c r="AK300" s="136">
        <v>0</v>
      </c>
      <c r="AL300" s="136">
        <v>0</v>
      </c>
      <c r="AM300" s="136">
        <v>0</v>
      </c>
      <c r="AN300" s="136">
        <v>0</v>
      </c>
      <c r="AO300" s="136"/>
      <c r="AP300" s="143" t="e">
        <f>VLOOKUP(tbl_IO_List[[#This Row],[Instruement Tag]],tbl_Instruement_List[],14,FALSE)</f>
        <v>#N/A</v>
      </c>
      <c r="AQ300" s="143" t="str">
        <f>tbl_IO_List[[#This Row],[Chassis]]&amp;"S"&amp;tbl_IO_List[[#This Row],[Slot]]&amp;"-"&amp;tbl_IO_List[[#This Row],[Front Terminal Number]]</f>
        <v>C2S3-6</v>
      </c>
      <c r="AR300" s="141" t="s">
        <v>1863</v>
      </c>
      <c r="AS300" s="136" t="str">
        <f>tbl_IO_List[[#This Row],[Terminal Tagging]]&amp;"-"&amp;tbl_IO_List[[#This Row],[Point-Count]]</f>
        <v>P2-TBDI3-6</v>
      </c>
      <c r="AT300" s="136" t="str">
        <f>tbl_IO_List[[#This Row],[Front Terminal Tagging]]&amp;"/"&amp;tbl_IO_List[[#This Row],[Terminal Tagging-Item]]</f>
        <v>C2S3-6/P2-TBDI3-6</v>
      </c>
      <c r="AU300" s="136" t="str">
        <f>tbl_IO_List[[#This Row],[Terminal Tagging-Item]]&amp;"/"&amp;tbl_IO_List[[#This Row],[Front Terminal Tagging]]</f>
        <v>P2-TBDI3-6/C2S3-6</v>
      </c>
    </row>
    <row r="301" spans="1:47">
      <c r="A301" s="147" t="s">
        <v>1367</v>
      </c>
      <c r="B301" s="136" t="s">
        <v>221</v>
      </c>
      <c r="C301" s="136" t="str">
        <f>tbl_IO_List[[#This Row],[Column3]]</f>
        <v>C2S03,06</v>
      </c>
      <c r="D301" s="136" t="str">
        <f>tbl_IO_List[[#This Row],[Card]]</f>
        <v>1756-IB32-6</v>
      </c>
      <c r="E301" s="136" t="s">
        <v>1372</v>
      </c>
      <c r="F301" s="136" t="str">
        <f>tbl_IO_List[[#This Row],[Column23]]&amp;"-" &amp;tbl_IO_List[[#This Row],[Column52]]</f>
        <v>C2S03-X2</v>
      </c>
      <c r="G301" s="136" t="str">
        <f>tbl_IO_List[[#This Row],[PLC_Tag]]</f>
        <v>Spare_DI_0</v>
      </c>
      <c r="H301" s="136"/>
      <c r="I301" s="136" t="str">
        <f>VLOOKUP(tbl_IO_List[[#This Row],[Destination]],tbl_Junction[],2,FALSE)</f>
        <v>Spray Dryer 3rd Floor</v>
      </c>
      <c r="J301" s="136" t="s">
        <v>221</v>
      </c>
      <c r="K301" s="136"/>
      <c r="L301" s="136" t="s">
        <v>411</v>
      </c>
      <c r="M301" s="136" t="e">
        <f>VLOOKUP(tbl_IO_List[[#This Row],[Instruement Tag]],tbl_Instruement_List[],2,FALSE)</f>
        <v>#N/A</v>
      </c>
      <c r="N301" s="136"/>
      <c r="O301" s="136"/>
      <c r="P301" s="136"/>
      <c r="Q301" s="136" t="e">
        <f>VLOOKUP(tbl_IO_List[[#This Row],[Instruement Tag]],tbl_Instruement_List[],6,FALSE)</f>
        <v>#N/A</v>
      </c>
      <c r="R301" s="136"/>
      <c r="S30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301" s="136" t="str">
        <f>tbl_IO_List[[#This Row],[Instruement Tag]]&amp;"_"&amp;tbl_IO_List[[#This Row],[I/O Type]]&amp;"_"&amp;tbl_IO_List[[#This Row],[IO-Point 
(Instruement)]]</f>
        <v>Spare_DI_0</v>
      </c>
      <c r="U301" s="136" t="s">
        <v>8</v>
      </c>
      <c r="V301" s="136">
        <f>VLOOKUP(tbl_IO_List[[#This Row],[I/O Type]],tbl_Slot_Group[],2,FALSE)</f>
        <v>1</v>
      </c>
      <c r="W301" s="136">
        <v>0</v>
      </c>
      <c r="X301" s="136" t="str">
        <f>tbl_IO_List[[#This Row],[Chassis]]&amp;"S"&amp;TEXT(tbl_IO_List[[#This Row],[Slot]],"00")</f>
        <v>C2S03</v>
      </c>
      <c r="Y301" s="136" t="str">
        <f>tbl_IO_List[[#This Row],[Chassis]]&amp;"S"&amp;TEXT(tbl_IO_List[[#This Row],[Slot]],"00")&amp;tbl_IO_List[[#This Row],[I/O Type]]&amp;TEXT(tbl_IO_List[[#This Row],[Point]],"00")</f>
        <v>C2S03DI06</v>
      </c>
      <c r="Z301" s="136" t="str">
        <f>tbl_IO_List[[#This Row],[Chassis]]&amp;"S"&amp;TEXT(tbl_IO_List[[#This Row],[Slot]],"00")&amp;","&amp;TEXT(tbl_IO_List[[#This Row],[Point]],"00")</f>
        <v>C2S03,06</v>
      </c>
      <c r="AA301" s="136" t="str">
        <f>VLOOKUP(tbl_IO_List[[#This Row],[Column23]],tbl_RackConfig[],5,FALSE) &amp;"-"&amp;tbl_IO_List[[#This Row],[Point]]</f>
        <v>1756-IB32-6</v>
      </c>
      <c r="AB301" s="136"/>
      <c r="AC301" s="136"/>
      <c r="AD301" s="136" t="str">
        <f>tbl_IO_List[[#This Row],[I/O Type]]</f>
        <v>DI</v>
      </c>
      <c r="AE301" s="136" t="s">
        <v>1333</v>
      </c>
      <c r="AF301" s="136">
        <v>3</v>
      </c>
      <c r="AG301" s="136">
        <v>6</v>
      </c>
      <c r="AH301" s="136">
        <v>7</v>
      </c>
      <c r="AI301" s="136">
        <v>7</v>
      </c>
      <c r="AJ301" s="136">
        <v>1</v>
      </c>
      <c r="AK301" s="136">
        <v>0</v>
      </c>
      <c r="AL301" s="136">
        <v>0</v>
      </c>
      <c r="AM301" s="136">
        <v>0</v>
      </c>
      <c r="AN301" s="136">
        <v>0</v>
      </c>
      <c r="AO301" s="136"/>
      <c r="AP301" s="143" t="e">
        <f>VLOOKUP(tbl_IO_List[[#This Row],[Instruement Tag]],tbl_Instruement_List[],14,FALSE)</f>
        <v>#N/A</v>
      </c>
      <c r="AQ301" s="143" t="str">
        <f>tbl_IO_List[[#This Row],[Chassis]]&amp;"S"&amp;tbl_IO_List[[#This Row],[Slot]]&amp;"-"&amp;tbl_IO_List[[#This Row],[Front Terminal Number]]</f>
        <v>C2S3-7</v>
      </c>
      <c r="AR301" s="141" t="s">
        <v>1863</v>
      </c>
      <c r="AS301" s="136" t="str">
        <f>tbl_IO_List[[#This Row],[Terminal Tagging]]&amp;"-"&amp;tbl_IO_List[[#This Row],[Point-Count]]</f>
        <v>P2-TBDI3-7</v>
      </c>
      <c r="AT301" s="136" t="str">
        <f>tbl_IO_List[[#This Row],[Front Terminal Tagging]]&amp;"/"&amp;tbl_IO_List[[#This Row],[Terminal Tagging-Item]]</f>
        <v>C2S3-7/P2-TBDI3-7</v>
      </c>
      <c r="AU301" s="136" t="str">
        <f>tbl_IO_List[[#This Row],[Terminal Tagging-Item]]&amp;"/"&amp;tbl_IO_List[[#This Row],[Front Terminal Tagging]]</f>
        <v>P2-TBDI3-7/C2S3-7</v>
      </c>
    </row>
    <row r="302" spans="1:47">
      <c r="A302" s="147" t="s">
        <v>1367</v>
      </c>
      <c r="B302" s="136" t="s">
        <v>221</v>
      </c>
      <c r="C302" s="136" t="str">
        <f>tbl_IO_List[[#This Row],[Column3]]</f>
        <v>C2S03,07</v>
      </c>
      <c r="D302" s="136" t="str">
        <f>tbl_IO_List[[#This Row],[Card]]</f>
        <v>1756-IB32-7</v>
      </c>
      <c r="E302" s="136" t="s">
        <v>1372</v>
      </c>
      <c r="F302" s="136" t="str">
        <f>tbl_IO_List[[#This Row],[Column23]]&amp;"-" &amp;tbl_IO_List[[#This Row],[Column52]]</f>
        <v>C2S03-X2</v>
      </c>
      <c r="G302" s="136" t="str">
        <f>tbl_IO_List[[#This Row],[PLC_Tag]]</f>
        <v>Spare_DI_0</v>
      </c>
      <c r="H302" s="136"/>
      <c r="I302" s="136" t="str">
        <f>VLOOKUP(tbl_IO_List[[#This Row],[Destination]],tbl_Junction[],2,FALSE)</f>
        <v>Spray Dryer 3rd Floor</v>
      </c>
      <c r="J302" s="136" t="s">
        <v>221</v>
      </c>
      <c r="K302" s="136"/>
      <c r="L302" s="136" t="s">
        <v>411</v>
      </c>
      <c r="M302" s="136" t="e">
        <f>VLOOKUP(tbl_IO_List[[#This Row],[Instruement Tag]],tbl_Instruement_List[],2,FALSE)</f>
        <v>#N/A</v>
      </c>
      <c r="N302" s="136"/>
      <c r="O302" s="136"/>
      <c r="P302" s="136"/>
      <c r="Q302" s="136" t="e">
        <f>VLOOKUP(tbl_IO_List[[#This Row],[Instruement Tag]],tbl_Instruement_List[],6,FALSE)</f>
        <v>#N/A</v>
      </c>
      <c r="R302" s="136"/>
      <c r="S30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302" s="136" t="str">
        <f>tbl_IO_List[[#This Row],[Instruement Tag]]&amp;"_"&amp;tbl_IO_List[[#This Row],[I/O Type]]&amp;"_"&amp;tbl_IO_List[[#This Row],[IO-Point 
(Instruement)]]</f>
        <v>Spare_DI_0</v>
      </c>
      <c r="U302" s="136" t="s">
        <v>8</v>
      </c>
      <c r="V302" s="136">
        <f>VLOOKUP(tbl_IO_List[[#This Row],[I/O Type]],tbl_Slot_Group[],2,FALSE)</f>
        <v>1</v>
      </c>
      <c r="W302" s="136">
        <v>0</v>
      </c>
      <c r="X302" s="136" t="str">
        <f>tbl_IO_List[[#This Row],[Chassis]]&amp;"S"&amp;TEXT(tbl_IO_List[[#This Row],[Slot]],"00")</f>
        <v>C2S03</v>
      </c>
      <c r="Y302" s="136" t="str">
        <f>tbl_IO_List[[#This Row],[Chassis]]&amp;"S"&amp;TEXT(tbl_IO_List[[#This Row],[Slot]],"00")&amp;tbl_IO_List[[#This Row],[I/O Type]]&amp;TEXT(tbl_IO_List[[#This Row],[Point]],"00")</f>
        <v>C2S03DI07</v>
      </c>
      <c r="Z302" s="136" t="str">
        <f>tbl_IO_List[[#This Row],[Chassis]]&amp;"S"&amp;TEXT(tbl_IO_List[[#This Row],[Slot]],"00")&amp;","&amp;TEXT(tbl_IO_List[[#This Row],[Point]],"00")</f>
        <v>C2S03,07</v>
      </c>
      <c r="AA302" s="136" t="str">
        <f>VLOOKUP(tbl_IO_List[[#This Row],[Column23]],tbl_RackConfig[],5,FALSE) &amp;"-"&amp;tbl_IO_List[[#This Row],[Point]]</f>
        <v>1756-IB32-7</v>
      </c>
      <c r="AB302" s="136"/>
      <c r="AC302" s="136"/>
      <c r="AD302" s="136" t="str">
        <f>tbl_IO_List[[#This Row],[I/O Type]]</f>
        <v>DI</v>
      </c>
      <c r="AE302" s="136" t="s">
        <v>1333</v>
      </c>
      <c r="AF302" s="136">
        <v>3</v>
      </c>
      <c r="AG302" s="136">
        <v>7</v>
      </c>
      <c r="AH302" s="136">
        <v>8</v>
      </c>
      <c r="AI302" s="136">
        <v>8</v>
      </c>
      <c r="AJ302" s="136">
        <v>1</v>
      </c>
      <c r="AK302" s="136">
        <v>0</v>
      </c>
      <c r="AL302" s="136">
        <v>0</v>
      </c>
      <c r="AM302" s="136">
        <v>0</v>
      </c>
      <c r="AN302" s="136">
        <v>0</v>
      </c>
      <c r="AO302" s="136"/>
      <c r="AP302" s="143" t="e">
        <f>VLOOKUP(tbl_IO_List[[#This Row],[Instruement Tag]],tbl_Instruement_List[],14,FALSE)</f>
        <v>#N/A</v>
      </c>
      <c r="AQ302" s="143" t="str">
        <f>tbl_IO_List[[#This Row],[Chassis]]&amp;"S"&amp;tbl_IO_List[[#This Row],[Slot]]&amp;"-"&amp;tbl_IO_List[[#This Row],[Front Terminal Number]]</f>
        <v>C2S3-8</v>
      </c>
      <c r="AR302" s="141" t="s">
        <v>1863</v>
      </c>
      <c r="AS302" s="136" t="str">
        <f>tbl_IO_List[[#This Row],[Terminal Tagging]]&amp;"-"&amp;tbl_IO_List[[#This Row],[Point-Count]]</f>
        <v>P2-TBDI3-8</v>
      </c>
      <c r="AT302" s="136" t="str">
        <f>tbl_IO_List[[#This Row],[Front Terminal Tagging]]&amp;"/"&amp;tbl_IO_List[[#This Row],[Terminal Tagging-Item]]</f>
        <v>C2S3-8/P2-TBDI3-8</v>
      </c>
      <c r="AU302" s="136" t="str">
        <f>tbl_IO_List[[#This Row],[Terminal Tagging-Item]]&amp;"/"&amp;tbl_IO_List[[#This Row],[Front Terminal Tagging]]</f>
        <v>P2-TBDI3-8/C2S3-8</v>
      </c>
    </row>
    <row r="303" spans="1:47">
      <c r="A303" s="147" t="s">
        <v>1367</v>
      </c>
      <c r="B303" s="136" t="s">
        <v>270</v>
      </c>
      <c r="C303" s="136" t="str">
        <f>tbl_IO_List[[#This Row],[Column3]]</f>
        <v>C2S03,08</v>
      </c>
      <c r="D303" s="136" t="str">
        <f>tbl_IO_List[[#This Row],[Card]]</f>
        <v>1756-IB32-8</v>
      </c>
      <c r="E303" s="136" t="s">
        <v>1366</v>
      </c>
      <c r="F303" s="136" t="str">
        <f>tbl_IO_List[[#This Row],[Column23]]&amp;"-" &amp;tbl_IO_List[[#This Row],[Column52]]</f>
        <v>C2S03-X1</v>
      </c>
      <c r="G303" s="136" t="str">
        <f>tbl_IO_List[[#This Row],[PLC_Tag]]</f>
        <v>SV-60207_DI_1</v>
      </c>
      <c r="H303" s="136"/>
      <c r="I303" s="136" t="str">
        <f>VLOOKUP(tbl_IO_List[[#This Row],[Destination]],tbl_Junction[],2,FALSE)</f>
        <v>Spray Dryer 7th Floor</v>
      </c>
      <c r="J303" s="136" t="s">
        <v>270</v>
      </c>
      <c r="K303" s="136" t="s">
        <v>14</v>
      </c>
      <c r="L303" s="136" t="s">
        <v>297</v>
      </c>
      <c r="M303" s="136">
        <f>VLOOKUP(tbl_IO_List[[#This Row],[Instruement Tag]],tbl_Instruement_List[],2,FALSE)</f>
        <v>0</v>
      </c>
      <c r="N303" s="136" t="s">
        <v>95</v>
      </c>
      <c r="O303" s="136" t="s">
        <v>248</v>
      </c>
      <c r="P303" s="136" t="s">
        <v>249</v>
      </c>
      <c r="Q303" s="136" t="str">
        <f>VLOOKUP(tbl_IO_List[[#This Row],[Instruement Tag]],tbl_Instruement_List[],6,FALSE)</f>
        <v>Instr. Air On/Off Valve for Camera #4 (ACAM-21)</v>
      </c>
      <c r="R303" s="136"/>
      <c r="S30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03" s="136" t="str">
        <f>tbl_IO_List[[#This Row],[Instruement Tag]]&amp;"_"&amp;tbl_IO_List[[#This Row],[I/O Type]]&amp;"_"&amp;tbl_IO_List[[#This Row],[IO-Point 
(Instruement)]]</f>
        <v>SV-60207_DI_1</v>
      </c>
      <c r="U303" s="136" t="s">
        <v>8</v>
      </c>
      <c r="V303" s="136">
        <f>VLOOKUP(tbl_IO_List[[#This Row],[I/O Type]],tbl_Slot_Group[],2,FALSE)</f>
        <v>1</v>
      </c>
      <c r="W303" s="136">
        <v>1</v>
      </c>
      <c r="X303" s="136" t="str">
        <f>tbl_IO_List[[#This Row],[Chassis]]&amp;"S"&amp;TEXT(tbl_IO_List[[#This Row],[Slot]],"00")</f>
        <v>C2S03</v>
      </c>
      <c r="Y303" s="136" t="str">
        <f>tbl_IO_List[[#This Row],[Chassis]]&amp;"S"&amp;TEXT(tbl_IO_List[[#This Row],[Slot]],"00")&amp;tbl_IO_List[[#This Row],[I/O Type]]&amp;TEXT(tbl_IO_List[[#This Row],[Point]],"00")</f>
        <v>C2S03DI08</v>
      </c>
      <c r="Z303" s="136" t="str">
        <f>tbl_IO_List[[#This Row],[Chassis]]&amp;"S"&amp;TEXT(tbl_IO_List[[#This Row],[Slot]],"00")&amp;","&amp;TEXT(tbl_IO_List[[#This Row],[Point]],"00")</f>
        <v>C2S03,08</v>
      </c>
      <c r="AA303" s="136" t="str">
        <f>VLOOKUP(tbl_IO_List[[#This Row],[Column23]],tbl_RackConfig[],5,FALSE) &amp;"-"&amp;tbl_IO_List[[#This Row],[Point]]</f>
        <v>1756-IB32-8</v>
      </c>
      <c r="AB303" s="136"/>
      <c r="AC303" s="136"/>
      <c r="AD303" s="136" t="str">
        <f>tbl_IO_List[[#This Row],[I/O Type]]</f>
        <v>DI</v>
      </c>
      <c r="AE303" s="136" t="s">
        <v>1333</v>
      </c>
      <c r="AF303" s="136">
        <v>3</v>
      </c>
      <c r="AG303" s="136">
        <v>8</v>
      </c>
      <c r="AH303" s="136">
        <v>9</v>
      </c>
      <c r="AI303" s="136">
        <v>9</v>
      </c>
      <c r="AJ303" s="136">
        <v>2</v>
      </c>
      <c r="AK303" s="136">
        <v>1</v>
      </c>
      <c r="AL303" s="136">
        <v>0</v>
      </c>
      <c r="AM303" s="136">
        <v>0</v>
      </c>
      <c r="AN303" s="136">
        <v>0</v>
      </c>
      <c r="AO303" s="136"/>
      <c r="AP303" s="143" t="str">
        <f>VLOOKUP(tbl_IO_List[[#This Row],[Instruement Tag]],tbl_Instruement_List[],14,FALSE)</f>
        <v>24 VDC energized</v>
      </c>
      <c r="AQ303" s="143" t="str">
        <f>tbl_IO_List[[#This Row],[Chassis]]&amp;"S"&amp;tbl_IO_List[[#This Row],[Slot]]&amp;"-"&amp;tbl_IO_List[[#This Row],[Front Terminal Number]]</f>
        <v>C2S3-9</v>
      </c>
      <c r="AR303" s="141" t="s">
        <v>1863</v>
      </c>
      <c r="AS303" s="136" t="str">
        <f>tbl_IO_List[[#This Row],[Terminal Tagging]]&amp;"-"&amp;tbl_IO_List[[#This Row],[Point-Count]]</f>
        <v>P2-TBDI3-9</v>
      </c>
      <c r="AT303" s="136" t="str">
        <f>tbl_IO_List[[#This Row],[Front Terminal Tagging]]&amp;"/"&amp;tbl_IO_List[[#This Row],[Terminal Tagging-Item]]</f>
        <v>C2S3-9/P2-TBDI3-9</v>
      </c>
      <c r="AU303" s="136" t="str">
        <f>tbl_IO_List[[#This Row],[Terminal Tagging-Item]]&amp;"/"&amp;tbl_IO_List[[#This Row],[Front Terminal Tagging]]</f>
        <v>P2-TBDI3-9/C2S3-9</v>
      </c>
    </row>
    <row r="304" spans="1:47">
      <c r="A304" s="147" t="s">
        <v>1367</v>
      </c>
      <c r="B304" s="136" t="s">
        <v>270</v>
      </c>
      <c r="C304" s="136" t="str">
        <f>tbl_IO_List[[#This Row],[Column3]]</f>
        <v>C2S03,09</v>
      </c>
      <c r="D304" s="136" t="str">
        <f>tbl_IO_List[[#This Row],[Card]]</f>
        <v>1756-IB32-9</v>
      </c>
      <c r="E304" s="136" t="s">
        <v>1366</v>
      </c>
      <c r="F304" s="136" t="str">
        <f>tbl_IO_List[[#This Row],[Column23]]&amp;"-" &amp;tbl_IO_List[[#This Row],[Column52]]</f>
        <v>C2S03-X1</v>
      </c>
      <c r="G304" s="136" t="str">
        <f>tbl_IO_List[[#This Row],[PLC_Tag]]</f>
        <v>SV-60207_DI_2</v>
      </c>
      <c r="H304" s="136"/>
      <c r="I304" s="136" t="str">
        <f>VLOOKUP(tbl_IO_List[[#This Row],[Destination]],tbl_Junction[],2,FALSE)</f>
        <v>Spray Dryer 7th Floor</v>
      </c>
      <c r="J304" s="136" t="s">
        <v>270</v>
      </c>
      <c r="K304" s="136" t="s">
        <v>14</v>
      </c>
      <c r="L304" s="136" t="s">
        <v>297</v>
      </c>
      <c r="M304" s="136">
        <f>VLOOKUP(tbl_IO_List[[#This Row],[Instruement Tag]],tbl_Instruement_List[],2,FALSE)</f>
        <v>0</v>
      </c>
      <c r="N304" s="136" t="s">
        <v>95</v>
      </c>
      <c r="O304" s="136" t="s">
        <v>248</v>
      </c>
      <c r="P304" s="136" t="s">
        <v>249</v>
      </c>
      <c r="Q304" s="136" t="str">
        <f>VLOOKUP(tbl_IO_List[[#This Row],[Instruement Tag]],tbl_Instruement_List[],6,FALSE)</f>
        <v>Instr. Air On/Off Valve for Camera #4 (ACAM-21)</v>
      </c>
      <c r="R304" s="136"/>
      <c r="S30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04" s="136" t="str">
        <f>tbl_IO_List[[#This Row],[Instruement Tag]]&amp;"_"&amp;tbl_IO_List[[#This Row],[I/O Type]]&amp;"_"&amp;tbl_IO_List[[#This Row],[IO-Point 
(Instruement)]]</f>
        <v>SV-60207_DI_2</v>
      </c>
      <c r="U304" s="136" t="s">
        <v>8</v>
      </c>
      <c r="V304" s="136">
        <f>VLOOKUP(tbl_IO_List[[#This Row],[I/O Type]],tbl_Slot_Group[],2,FALSE)</f>
        <v>1</v>
      </c>
      <c r="W304" s="136">
        <v>2</v>
      </c>
      <c r="X304" s="136" t="str">
        <f>tbl_IO_List[[#This Row],[Chassis]]&amp;"S"&amp;TEXT(tbl_IO_List[[#This Row],[Slot]],"00")</f>
        <v>C2S03</v>
      </c>
      <c r="Y304" s="136" t="str">
        <f>tbl_IO_List[[#This Row],[Chassis]]&amp;"S"&amp;TEXT(tbl_IO_List[[#This Row],[Slot]],"00")&amp;tbl_IO_List[[#This Row],[I/O Type]]&amp;TEXT(tbl_IO_List[[#This Row],[Point]],"00")</f>
        <v>C2S03DI09</v>
      </c>
      <c r="Z304" s="136" t="str">
        <f>tbl_IO_List[[#This Row],[Chassis]]&amp;"S"&amp;TEXT(tbl_IO_List[[#This Row],[Slot]],"00")&amp;","&amp;TEXT(tbl_IO_List[[#This Row],[Point]],"00")</f>
        <v>C2S03,09</v>
      </c>
      <c r="AA304" s="136" t="str">
        <f>VLOOKUP(tbl_IO_List[[#This Row],[Column23]],tbl_RackConfig[],5,FALSE) &amp;"-"&amp;tbl_IO_List[[#This Row],[Point]]</f>
        <v>1756-IB32-9</v>
      </c>
      <c r="AB304" s="136"/>
      <c r="AC304" s="136"/>
      <c r="AD304" s="136" t="str">
        <f>tbl_IO_List[[#This Row],[I/O Type]]</f>
        <v>DI</v>
      </c>
      <c r="AE304" s="136" t="s">
        <v>1333</v>
      </c>
      <c r="AF304" s="136">
        <v>3</v>
      </c>
      <c r="AG304" s="136">
        <v>9</v>
      </c>
      <c r="AH304" s="136">
        <v>10</v>
      </c>
      <c r="AI304" s="136">
        <v>10</v>
      </c>
      <c r="AJ304" s="136">
        <v>2</v>
      </c>
      <c r="AK304" s="136">
        <v>1</v>
      </c>
      <c r="AL304" s="136">
        <v>0</v>
      </c>
      <c r="AM304" s="136">
        <v>0</v>
      </c>
      <c r="AN304" s="136">
        <v>0</v>
      </c>
      <c r="AO304" s="136"/>
      <c r="AP304" s="143" t="str">
        <f>VLOOKUP(tbl_IO_List[[#This Row],[Instruement Tag]],tbl_Instruement_List[],14,FALSE)</f>
        <v>24 VDC energized</v>
      </c>
      <c r="AQ304" s="143" t="str">
        <f>tbl_IO_List[[#This Row],[Chassis]]&amp;"S"&amp;tbl_IO_List[[#This Row],[Slot]]&amp;"-"&amp;tbl_IO_List[[#This Row],[Front Terminal Number]]</f>
        <v>C2S3-10</v>
      </c>
      <c r="AR304" s="141" t="s">
        <v>1863</v>
      </c>
      <c r="AS304" s="136" t="str">
        <f>tbl_IO_List[[#This Row],[Terminal Tagging]]&amp;"-"&amp;tbl_IO_List[[#This Row],[Point-Count]]</f>
        <v>P2-TBDI3-10</v>
      </c>
      <c r="AT304" s="136" t="str">
        <f>tbl_IO_List[[#This Row],[Front Terminal Tagging]]&amp;"/"&amp;tbl_IO_List[[#This Row],[Terminal Tagging-Item]]</f>
        <v>C2S3-10/P2-TBDI3-10</v>
      </c>
      <c r="AU304" s="136" t="str">
        <f>tbl_IO_List[[#This Row],[Terminal Tagging-Item]]&amp;"/"&amp;tbl_IO_List[[#This Row],[Front Terminal Tagging]]</f>
        <v>P2-TBDI3-10/C2S3-10</v>
      </c>
    </row>
    <row r="305" spans="1:47">
      <c r="A305" s="147" t="s">
        <v>1367</v>
      </c>
      <c r="B305" s="136" t="s">
        <v>270</v>
      </c>
      <c r="C305" s="136" t="str">
        <f>tbl_IO_List[[#This Row],[Column3]]</f>
        <v>C2S03,10</v>
      </c>
      <c r="D305" s="136" t="str">
        <f>tbl_IO_List[[#This Row],[Card]]</f>
        <v>1756-IB32-10</v>
      </c>
      <c r="E305" s="136" t="s">
        <v>1366</v>
      </c>
      <c r="F305" s="136" t="str">
        <f>tbl_IO_List[[#This Row],[Column23]]&amp;"-" &amp;tbl_IO_List[[#This Row],[Column52]]</f>
        <v>C2S03-X1</v>
      </c>
      <c r="G305" s="136" t="str">
        <f>tbl_IO_List[[#This Row],[PLC_Tag]]</f>
        <v>XV-60264_DI_1</v>
      </c>
      <c r="H305" s="136"/>
      <c r="I305" s="136" t="str">
        <f>VLOOKUP(tbl_IO_List[[#This Row],[Destination]],tbl_Junction[],2,FALSE)</f>
        <v>Spray Dryer 7th Floor</v>
      </c>
      <c r="J305" s="136" t="s">
        <v>270</v>
      </c>
      <c r="K305" s="136" t="s">
        <v>14</v>
      </c>
      <c r="L305" s="136" t="s">
        <v>1389</v>
      </c>
      <c r="M305" s="136" t="e">
        <f>VLOOKUP(tbl_IO_List[[#This Row],[Instruement Tag]],tbl_Instruement_List[],2,FALSE)</f>
        <v>#N/A</v>
      </c>
      <c r="N305" s="136" t="s">
        <v>95</v>
      </c>
      <c r="O305" s="136" t="s">
        <v>272</v>
      </c>
      <c r="P305" s="136" t="s">
        <v>18</v>
      </c>
      <c r="Q305" s="136" t="e">
        <f>VLOOKUP(tbl_IO_List[[#This Row],[Instruement Tag]],tbl_Instruement_List[],6,FALSE)</f>
        <v>#N/A</v>
      </c>
      <c r="R305" s="136"/>
      <c r="S30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05" s="136" t="str">
        <f>tbl_IO_List[[#This Row],[Instruement Tag]]&amp;"_"&amp;tbl_IO_List[[#This Row],[I/O Type]]&amp;"_"&amp;tbl_IO_List[[#This Row],[IO-Point 
(Instruement)]]</f>
        <v>XV-60264_DI_1</v>
      </c>
      <c r="U305" s="136" t="s">
        <v>8</v>
      </c>
      <c r="V305" s="136">
        <f>VLOOKUP(tbl_IO_List[[#This Row],[I/O Type]],tbl_Slot_Group[],2,FALSE)</f>
        <v>1</v>
      </c>
      <c r="W305" s="136">
        <v>1</v>
      </c>
      <c r="X305" s="136" t="str">
        <f>tbl_IO_List[[#This Row],[Chassis]]&amp;"S"&amp;TEXT(tbl_IO_List[[#This Row],[Slot]],"00")</f>
        <v>C2S03</v>
      </c>
      <c r="Y305" s="136" t="str">
        <f>tbl_IO_List[[#This Row],[Chassis]]&amp;"S"&amp;TEXT(tbl_IO_List[[#This Row],[Slot]],"00")&amp;tbl_IO_List[[#This Row],[I/O Type]]&amp;TEXT(tbl_IO_List[[#This Row],[Point]],"00")</f>
        <v>C2S03DI10</v>
      </c>
      <c r="Z305" s="136" t="str">
        <f>tbl_IO_List[[#This Row],[Chassis]]&amp;"S"&amp;TEXT(tbl_IO_List[[#This Row],[Slot]],"00")&amp;","&amp;TEXT(tbl_IO_List[[#This Row],[Point]],"00")</f>
        <v>C2S03,10</v>
      </c>
      <c r="AA305" s="136" t="str">
        <f>VLOOKUP(tbl_IO_List[[#This Row],[Column23]],tbl_RackConfig[],5,FALSE) &amp;"-"&amp;tbl_IO_List[[#This Row],[Point]]</f>
        <v>1756-IB32-10</v>
      </c>
      <c r="AB305" s="136"/>
      <c r="AC305" s="136"/>
      <c r="AD305" s="136" t="str">
        <f>tbl_IO_List[[#This Row],[I/O Type]]</f>
        <v>DI</v>
      </c>
      <c r="AE305" s="136" t="s">
        <v>1333</v>
      </c>
      <c r="AF305" s="136">
        <v>3</v>
      </c>
      <c r="AG305" s="136">
        <v>10</v>
      </c>
      <c r="AH305" s="136">
        <v>11</v>
      </c>
      <c r="AI305" s="136">
        <v>11</v>
      </c>
      <c r="AJ305" s="136">
        <v>2</v>
      </c>
      <c r="AK305" s="136">
        <v>1</v>
      </c>
      <c r="AL305" s="136">
        <v>0</v>
      </c>
      <c r="AM305" s="136">
        <v>0</v>
      </c>
      <c r="AN305" s="136">
        <v>0</v>
      </c>
      <c r="AO305" s="136"/>
      <c r="AP305" s="143" t="e">
        <f>VLOOKUP(tbl_IO_List[[#This Row],[Instruement Tag]],tbl_Instruement_List[],14,FALSE)</f>
        <v>#N/A</v>
      </c>
      <c r="AQ305" s="143" t="str">
        <f>tbl_IO_List[[#This Row],[Chassis]]&amp;"S"&amp;tbl_IO_List[[#This Row],[Slot]]&amp;"-"&amp;tbl_IO_List[[#This Row],[Front Terminal Number]]</f>
        <v>C2S3-11</v>
      </c>
      <c r="AR305" s="141" t="s">
        <v>1863</v>
      </c>
      <c r="AS305" s="136" t="str">
        <f>tbl_IO_List[[#This Row],[Terminal Tagging]]&amp;"-"&amp;tbl_IO_List[[#This Row],[Point-Count]]</f>
        <v>P2-TBDI3-11</v>
      </c>
      <c r="AT305" s="136" t="str">
        <f>tbl_IO_List[[#This Row],[Front Terminal Tagging]]&amp;"/"&amp;tbl_IO_List[[#This Row],[Terminal Tagging-Item]]</f>
        <v>C2S3-11/P2-TBDI3-11</v>
      </c>
      <c r="AU305" s="136" t="str">
        <f>tbl_IO_List[[#This Row],[Terminal Tagging-Item]]&amp;"/"&amp;tbl_IO_List[[#This Row],[Front Terminal Tagging]]</f>
        <v>P2-TBDI3-11/C2S3-11</v>
      </c>
    </row>
    <row r="306" spans="1:47">
      <c r="A306" s="147" t="s">
        <v>1367</v>
      </c>
      <c r="B306" s="136" t="s">
        <v>270</v>
      </c>
      <c r="C306" s="136" t="str">
        <f>tbl_IO_List[[#This Row],[Column3]]</f>
        <v>C2S03,11</v>
      </c>
      <c r="D306" s="136" t="str">
        <f>tbl_IO_List[[#This Row],[Card]]</f>
        <v>1756-IB32-11</v>
      </c>
      <c r="E306" s="136" t="s">
        <v>1366</v>
      </c>
      <c r="F306" s="136" t="str">
        <f>tbl_IO_List[[#This Row],[Column23]]&amp;"-" &amp;tbl_IO_List[[#This Row],[Column52]]</f>
        <v>C2S03-X1</v>
      </c>
      <c r="G306" s="136" t="str">
        <f>tbl_IO_List[[#This Row],[PLC_Tag]]</f>
        <v>XV-60264_DI_2</v>
      </c>
      <c r="H306" s="136"/>
      <c r="I306" s="136" t="str">
        <f>VLOOKUP(tbl_IO_List[[#This Row],[Destination]],tbl_Junction[],2,FALSE)</f>
        <v>Spray Dryer 7th Floor</v>
      </c>
      <c r="J306" s="136" t="s">
        <v>270</v>
      </c>
      <c r="K306" s="136" t="s">
        <v>14</v>
      </c>
      <c r="L306" s="136" t="s">
        <v>1389</v>
      </c>
      <c r="M306" s="136" t="e">
        <f>VLOOKUP(tbl_IO_List[[#This Row],[Instruement Tag]],tbl_Instruement_List[],2,FALSE)</f>
        <v>#N/A</v>
      </c>
      <c r="N306" s="136" t="s">
        <v>95</v>
      </c>
      <c r="O306" s="136" t="s">
        <v>272</v>
      </c>
      <c r="P306" s="136" t="s">
        <v>18</v>
      </c>
      <c r="Q306" s="136" t="e">
        <f>VLOOKUP(tbl_IO_List[[#This Row],[Instruement Tag]],tbl_Instruement_List[],6,FALSE)</f>
        <v>#N/A</v>
      </c>
      <c r="R306" s="136"/>
      <c r="S30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06" s="136" t="str">
        <f>tbl_IO_List[[#This Row],[Instruement Tag]]&amp;"_"&amp;tbl_IO_List[[#This Row],[I/O Type]]&amp;"_"&amp;tbl_IO_List[[#This Row],[IO-Point 
(Instruement)]]</f>
        <v>XV-60264_DI_2</v>
      </c>
      <c r="U306" s="136" t="s">
        <v>8</v>
      </c>
      <c r="V306" s="136">
        <f>VLOOKUP(tbl_IO_List[[#This Row],[I/O Type]],tbl_Slot_Group[],2,FALSE)</f>
        <v>1</v>
      </c>
      <c r="W306" s="136">
        <v>2</v>
      </c>
      <c r="X306" s="136" t="str">
        <f>tbl_IO_List[[#This Row],[Chassis]]&amp;"S"&amp;TEXT(tbl_IO_List[[#This Row],[Slot]],"00")</f>
        <v>C2S03</v>
      </c>
      <c r="Y306" s="136" t="str">
        <f>tbl_IO_List[[#This Row],[Chassis]]&amp;"S"&amp;TEXT(tbl_IO_List[[#This Row],[Slot]],"00")&amp;tbl_IO_List[[#This Row],[I/O Type]]&amp;TEXT(tbl_IO_List[[#This Row],[Point]],"00")</f>
        <v>C2S03DI11</v>
      </c>
      <c r="Z306" s="136" t="str">
        <f>tbl_IO_List[[#This Row],[Chassis]]&amp;"S"&amp;TEXT(tbl_IO_List[[#This Row],[Slot]],"00")&amp;","&amp;TEXT(tbl_IO_List[[#This Row],[Point]],"00")</f>
        <v>C2S03,11</v>
      </c>
      <c r="AA306" s="136" t="str">
        <f>VLOOKUP(tbl_IO_List[[#This Row],[Column23]],tbl_RackConfig[],5,FALSE) &amp;"-"&amp;tbl_IO_List[[#This Row],[Point]]</f>
        <v>1756-IB32-11</v>
      </c>
      <c r="AB306" s="136"/>
      <c r="AC306" s="136"/>
      <c r="AD306" s="136" t="str">
        <f>tbl_IO_List[[#This Row],[I/O Type]]</f>
        <v>DI</v>
      </c>
      <c r="AE306" s="136" t="s">
        <v>1333</v>
      </c>
      <c r="AF306" s="136">
        <v>3</v>
      </c>
      <c r="AG306" s="136">
        <v>11</v>
      </c>
      <c r="AH306" s="136">
        <v>12</v>
      </c>
      <c r="AI306" s="136">
        <v>12</v>
      </c>
      <c r="AJ306" s="136">
        <v>2</v>
      </c>
      <c r="AK306" s="136">
        <v>1</v>
      </c>
      <c r="AL306" s="136">
        <v>0</v>
      </c>
      <c r="AM306" s="136">
        <v>0</v>
      </c>
      <c r="AN306" s="136">
        <v>0</v>
      </c>
      <c r="AO306" s="136"/>
      <c r="AP306" s="143" t="e">
        <f>VLOOKUP(tbl_IO_List[[#This Row],[Instruement Tag]],tbl_Instruement_List[],14,FALSE)</f>
        <v>#N/A</v>
      </c>
      <c r="AQ306" s="143" t="str">
        <f>tbl_IO_List[[#This Row],[Chassis]]&amp;"S"&amp;tbl_IO_List[[#This Row],[Slot]]&amp;"-"&amp;tbl_IO_List[[#This Row],[Front Terminal Number]]</f>
        <v>C2S3-12</v>
      </c>
      <c r="AR306" s="141" t="s">
        <v>1863</v>
      </c>
      <c r="AS306" s="136" t="str">
        <f>tbl_IO_List[[#This Row],[Terminal Tagging]]&amp;"-"&amp;tbl_IO_List[[#This Row],[Point-Count]]</f>
        <v>P2-TBDI3-12</v>
      </c>
      <c r="AT306" s="136" t="str">
        <f>tbl_IO_List[[#This Row],[Front Terminal Tagging]]&amp;"/"&amp;tbl_IO_List[[#This Row],[Terminal Tagging-Item]]</f>
        <v>C2S3-12/P2-TBDI3-12</v>
      </c>
      <c r="AU306" s="136" t="str">
        <f>tbl_IO_List[[#This Row],[Terminal Tagging-Item]]&amp;"/"&amp;tbl_IO_List[[#This Row],[Front Terminal Tagging]]</f>
        <v>P2-TBDI3-12/C2S3-12</v>
      </c>
    </row>
    <row r="307" spans="1:47">
      <c r="A307" s="147" t="s">
        <v>1367</v>
      </c>
      <c r="B307" s="136" t="s">
        <v>270</v>
      </c>
      <c r="C307" s="136" t="str">
        <f>tbl_IO_List[[#This Row],[Column3]]</f>
        <v>C2S03,12</v>
      </c>
      <c r="D307" s="136" t="str">
        <f>tbl_IO_List[[#This Row],[Card]]</f>
        <v>1756-IB32-12</v>
      </c>
      <c r="E307" s="136" t="s">
        <v>1366</v>
      </c>
      <c r="F307" s="136" t="str">
        <f>tbl_IO_List[[#This Row],[Column23]]&amp;"-" &amp;tbl_IO_List[[#This Row],[Column52]]</f>
        <v>C2S03-X1</v>
      </c>
      <c r="G307" s="136" t="str">
        <f>tbl_IO_List[[#This Row],[PLC_Tag]]</f>
        <v>XV-60264FN_DI_1</v>
      </c>
      <c r="H307" s="136"/>
      <c r="I307" s="136" t="str">
        <f>VLOOKUP(tbl_IO_List[[#This Row],[Destination]],tbl_Junction[],2,FALSE)</f>
        <v>Spray Dryer 7th Floor</v>
      </c>
      <c r="J307" s="136" t="s">
        <v>270</v>
      </c>
      <c r="K307" s="136" t="s">
        <v>14</v>
      </c>
      <c r="L307" s="136" t="s">
        <v>323</v>
      </c>
      <c r="M307" s="136">
        <f>VLOOKUP(tbl_IO_List[[#This Row],[Instruement Tag]],tbl_Instruement_List[],2,FALSE)</f>
        <v>0</v>
      </c>
      <c r="N307" s="136" t="s">
        <v>95</v>
      </c>
      <c r="O307" s="136" t="s">
        <v>272</v>
      </c>
      <c r="P307" s="136" t="s">
        <v>273</v>
      </c>
      <c r="Q307" s="136" t="str">
        <f>VLOOKUP(tbl_IO_List[[#This Row],[Instruement Tag]],tbl_Instruement_List[],6,FALSE)</f>
        <v>Feed Slurry On/Off Valve for Nozzle #13 (ATVM-11D)</v>
      </c>
      <c r="R307" s="136"/>
      <c r="S30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07" s="136" t="str">
        <f>tbl_IO_List[[#This Row],[Instruement Tag]]&amp;"_"&amp;tbl_IO_List[[#This Row],[I/O Type]]&amp;"_"&amp;tbl_IO_List[[#This Row],[IO-Point 
(Instruement)]]</f>
        <v>XV-60264FN_DI_1</v>
      </c>
      <c r="U307" s="136" t="s">
        <v>8</v>
      </c>
      <c r="V307" s="136">
        <f>VLOOKUP(tbl_IO_List[[#This Row],[I/O Type]],tbl_Slot_Group[],2,FALSE)</f>
        <v>1</v>
      </c>
      <c r="W307" s="136">
        <v>1</v>
      </c>
      <c r="X307" s="136" t="str">
        <f>tbl_IO_List[[#This Row],[Chassis]]&amp;"S"&amp;TEXT(tbl_IO_List[[#This Row],[Slot]],"00")</f>
        <v>C2S03</v>
      </c>
      <c r="Y307" s="136" t="str">
        <f>tbl_IO_List[[#This Row],[Chassis]]&amp;"S"&amp;TEXT(tbl_IO_List[[#This Row],[Slot]],"00")&amp;tbl_IO_List[[#This Row],[I/O Type]]&amp;TEXT(tbl_IO_List[[#This Row],[Point]],"00")</f>
        <v>C2S03DI12</v>
      </c>
      <c r="Z307" s="136" t="str">
        <f>tbl_IO_List[[#This Row],[Chassis]]&amp;"S"&amp;TEXT(tbl_IO_List[[#This Row],[Slot]],"00")&amp;","&amp;TEXT(tbl_IO_List[[#This Row],[Point]],"00")</f>
        <v>C2S03,12</v>
      </c>
      <c r="AA307" s="136" t="str">
        <f>VLOOKUP(tbl_IO_List[[#This Row],[Column23]],tbl_RackConfig[],5,FALSE) &amp;"-"&amp;tbl_IO_List[[#This Row],[Point]]</f>
        <v>1756-IB32-12</v>
      </c>
      <c r="AB307" s="136"/>
      <c r="AC307" s="136"/>
      <c r="AD307" s="136" t="str">
        <f>tbl_IO_List[[#This Row],[I/O Type]]</f>
        <v>DI</v>
      </c>
      <c r="AE307" s="136" t="s">
        <v>1333</v>
      </c>
      <c r="AF307" s="136">
        <v>3</v>
      </c>
      <c r="AG307" s="136">
        <v>12</v>
      </c>
      <c r="AH307" s="136">
        <v>13</v>
      </c>
      <c r="AI307" s="136">
        <v>13</v>
      </c>
      <c r="AJ307" s="136">
        <v>2</v>
      </c>
      <c r="AK307" s="136">
        <v>1</v>
      </c>
      <c r="AL307" s="136">
        <v>0</v>
      </c>
      <c r="AM307" s="136">
        <v>0</v>
      </c>
      <c r="AN307" s="136">
        <v>0</v>
      </c>
      <c r="AO307" s="136"/>
      <c r="AP307" s="143" t="str">
        <f>VLOOKUP(tbl_IO_List[[#This Row],[Instruement Tag]],tbl_Instruement_List[],14,FALSE)</f>
        <v>24 VDC energized,Dry Contact</v>
      </c>
      <c r="AQ307" s="143" t="str">
        <f>tbl_IO_List[[#This Row],[Chassis]]&amp;"S"&amp;tbl_IO_List[[#This Row],[Slot]]&amp;"-"&amp;tbl_IO_List[[#This Row],[Front Terminal Number]]</f>
        <v>C2S3-13</v>
      </c>
      <c r="AR307" s="141" t="s">
        <v>1863</v>
      </c>
      <c r="AS307" s="136" t="str">
        <f>tbl_IO_List[[#This Row],[Terminal Tagging]]&amp;"-"&amp;tbl_IO_List[[#This Row],[Point-Count]]</f>
        <v>P2-TBDI3-13</v>
      </c>
      <c r="AT307" s="136" t="str">
        <f>tbl_IO_List[[#This Row],[Front Terminal Tagging]]&amp;"/"&amp;tbl_IO_List[[#This Row],[Terminal Tagging-Item]]</f>
        <v>C2S3-13/P2-TBDI3-13</v>
      </c>
      <c r="AU307" s="136" t="str">
        <f>tbl_IO_List[[#This Row],[Terminal Tagging-Item]]&amp;"/"&amp;tbl_IO_List[[#This Row],[Front Terminal Tagging]]</f>
        <v>P2-TBDI3-13/C2S3-13</v>
      </c>
    </row>
    <row r="308" spans="1:47">
      <c r="A308" s="147" t="s">
        <v>1367</v>
      </c>
      <c r="B308" s="136" t="s">
        <v>270</v>
      </c>
      <c r="C308" s="136" t="str">
        <f>tbl_IO_List[[#This Row],[Column3]]</f>
        <v>C2S03,13</v>
      </c>
      <c r="D308" s="136" t="str">
        <f>tbl_IO_List[[#This Row],[Card]]</f>
        <v>1756-IB32-13</v>
      </c>
      <c r="E308" s="136" t="s">
        <v>1366</v>
      </c>
      <c r="F308" s="136" t="str">
        <f>tbl_IO_List[[#This Row],[Column23]]&amp;"-" &amp;tbl_IO_List[[#This Row],[Column52]]</f>
        <v>C2S03-X1</v>
      </c>
      <c r="G308" s="136" t="str">
        <f>tbl_IO_List[[#This Row],[PLC_Tag]]</f>
        <v>XV-60264FN_DI_2</v>
      </c>
      <c r="H308" s="136"/>
      <c r="I308" s="136" t="str">
        <f>VLOOKUP(tbl_IO_List[[#This Row],[Destination]],tbl_Junction[],2,FALSE)</f>
        <v>Spray Dryer 7th Floor</v>
      </c>
      <c r="J308" s="136" t="s">
        <v>270</v>
      </c>
      <c r="K308" s="136" t="s">
        <v>14</v>
      </c>
      <c r="L308" s="136" t="s">
        <v>323</v>
      </c>
      <c r="M308" s="136">
        <f>VLOOKUP(tbl_IO_List[[#This Row],[Instruement Tag]],tbl_Instruement_List[],2,FALSE)</f>
        <v>0</v>
      </c>
      <c r="N308" s="136" t="s">
        <v>95</v>
      </c>
      <c r="O308" s="136" t="s">
        <v>272</v>
      </c>
      <c r="P308" s="136" t="s">
        <v>273</v>
      </c>
      <c r="Q308" s="136" t="str">
        <f>VLOOKUP(tbl_IO_List[[#This Row],[Instruement Tag]],tbl_Instruement_List[],6,FALSE)</f>
        <v>Feed Slurry On/Off Valve for Nozzle #13 (ATVM-11D)</v>
      </c>
      <c r="R308" s="136"/>
      <c r="S30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08" s="136" t="str">
        <f>tbl_IO_List[[#This Row],[Instruement Tag]]&amp;"_"&amp;tbl_IO_List[[#This Row],[I/O Type]]&amp;"_"&amp;tbl_IO_List[[#This Row],[IO-Point 
(Instruement)]]</f>
        <v>XV-60264FN_DI_2</v>
      </c>
      <c r="U308" s="136" t="s">
        <v>8</v>
      </c>
      <c r="V308" s="136">
        <f>VLOOKUP(tbl_IO_List[[#This Row],[I/O Type]],tbl_Slot_Group[],2,FALSE)</f>
        <v>1</v>
      </c>
      <c r="W308" s="136">
        <v>2</v>
      </c>
      <c r="X308" s="136" t="str">
        <f>tbl_IO_List[[#This Row],[Chassis]]&amp;"S"&amp;TEXT(tbl_IO_List[[#This Row],[Slot]],"00")</f>
        <v>C2S03</v>
      </c>
      <c r="Y308" s="136" t="str">
        <f>tbl_IO_List[[#This Row],[Chassis]]&amp;"S"&amp;TEXT(tbl_IO_List[[#This Row],[Slot]],"00")&amp;tbl_IO_List[[#This Row],[I/O Type]]&amp;TEXT(tbl_IO_List[[#This Row],[Point]],"00")</f>
        <v>C2S03DI13</v>
      </c>
      <c r="Z308" s="136" t="str">
        <f>tbl_IO_List[[#This Row],[Chassis]]&amp;"S"&amp;TEXT(tbl_IO_List[[#This Row],[Slot]],"00")&amp;","&amp;TEXT(tbl_IO_List[[#This Row],[Point]],"00")</f>
        <v>C2S03,13</v>
      </c>
      <c r="AA308" s="136" t="str">
        <f>VLOOKUP(tbl_IO_List[[#This Row],[Column23]],tbl_RackConfig[],5,FALSE) &amp;"-"&amp;tbl_IO_List[[#This Row],[Point]]</f>
        <v>1756-IB32-13</v>
      </c>
      <c r="AB308" s="136"/>
      <c r="AC308" s="136"/>
      <c r="AD308" s="136" t="str">
        <f>tbl_IO_List[[#This Row],[I/O Type]]</f>
        <v>DI</v>
      </c>
      <c r="AE308" s="136" t="s">
        <v>1333</v>
      </c>
      <c r="AF308" s="136">
        <v>3</v>
      </c>
      <c r="AG308" s="136">
        <v>13</v>
      </c>
      <c r="AH308" s="136">
        <v>14</v>
      </c>
      <c r="AI308" s="136">
        <v>14</v>
      </c>
      <c r="AJ308" s="136">
        <v>2</v>
      </c>
      <c r="AK308" s="136">
        <v>1</v>
      </c>
      <c r="AL308" s="136">
        <v>0</v>
      </c>
      <c r="AM308" s="136">
        <v>0</v>
      </c>
      <c r="AN308" s="136">
        <v>0</v>
      </c>
      <c r="AO308" s="136"/>
      <c r="AP308" s="143" t="str">
        <f>VLOOKUP(tbl_IO_List[[#This Row],[Instruement Tag]],tbl_Instruement_List[],14,FALSE)</f>
        <v>24 VDC energized,Dry Contact</v>
      </c>
      <c r="AQ308" s="143" t="str">
        <f>tbl_IO_List[[#This Row],[Chassis]]&amp;"S"&amp;tbl_IO_List[[#This Row],[Slot]]&amp;"-"&amp;tbl_IO_List[[#This Row],[Front Terminal Number]]</f>
        <v>C2S3-14</v>
      </c>
      <c r="AR308" s="141" t="s">
        <v>1863</v>
      </c>
      <c r="AS308" s="136" t="str">
        <f>tbl_IO_List[[#This Row],[Terminal Tagging]]&amp;"-"&amp;tbl_IO_List[[#This Row],[Point-Count]]</f>
        <v>P2-TBDI3-14</v>
      </c>
      <c r="AT308" s="136" t="str">
        <f>tbl_IO_List[[#This Row],[Front Terminal Tagging]]&amp;"/"&amp;tbl_IO_List[[#This Row],[Terminal Tagging-Item]]</f>
        <v>C2S3-14/P2-TBDI3-14</v>
      </c>
      <c r="AU308" s="136" t="str">
        <f>tbl_IO_List[[#This Row],[Terminal Tagging-Item]]&amp;"/"&amp;tbl_IO_List[[#This Row],[Front Terminal Tagging]]</f>
        <v>P2-TBDI3-14/C2S3-14</v>
      </c>
    </row>
    <row r="309" spans="1:47">
      <c r="A309" s="147" t="s">
        <v>1367</v>
      </c>
      <c r="B309" s="136" t="s">
        <v>270</v>
      </c>
      <c r="C309" s="136" t="str">
        <f>tbl_IO_List[[#This Row],[Column3]]</f>
        <v>C2S03,14</v>
      </c>
      <c r="D309" s="136" t="str">
        <f>tbl_IO_List[[#This Row],[Card]]</f>
        <v>1756-IB32-14</v>
      </c>
      <c r="E309" s="136" t="s">
        <v>1366</v>
      </c>
      <c r="F309" s="136" t="str">
        <f>tbl_IO_List[[#This Row],[Column23]]&amp;"-" &amp;tbl_IO_List[[#This Row],[Column52]]</f>
        <v>C2S03-X1</v>
      </c>
      <c r="G309" s="136" t="str">
        <f>tbl_IO_List[[#This Row],[PLC_Tag]]</f>
        <v>XV-60264FP_DI_1</v>
      </c>
      <c r="H309" s="136"/>
      <c r="I309" s="136" t="str">
        <f>VLOOKUP(tbl_IO_List[[#This Row],[Destination]],tbl_Junction[],2,FALSE)</f>
        <v>Spray Dryer 7th Floor</v>
      </c>
      <c r="J309" s="136" t="s">
        <v>270</v>
      </c>
      <c r="K309" s="136" t="s">
        <v>14</v>
      </c>
      <c r="L309" s="136" t="s">
        <v>324</v>
      </c>
      <c r="M309" s="136">
        <f>VLOOKUP(tbl_IO_List[[#This Row],[Instruement Tag]],tbl_Instruement_List[],2,FALSE)</f>
        <v>0</v>
      </c>
      <c r="N309" s="136" t="s">
        <v>95</v>
      </c>
      <c r="O309" s="136" t="s">
        <v>272</v>
      </c>
      <c r="P309" s="136" t="s">
        <v>273</v>
      </c>
      <c r="Q309" s="136" t="str">
        <f>VLOOKUP(tbl_IO_List[[#This Row],[Instruement Tag]],tbl_Instruement_List[],6,FALSE)</f>
        <v>Feed Slurry On/Off Valve for Nozzle #14 (ATVM-11D)</v>
      </c>
      <c r="R309" s="136"/>
      <c r="S30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09" s="136" t="str">
        <f>tbl_IO_List[[#This Row],[Instruement Tag]]&amp;"_"&amp;tbl_IO_List[[#This Row],[I/O Type]]&amp;"_"&amp;tbl_IO_List[[#This Row],[IO-Point 
(Instruement)]]</f>
        <v>XV-60264FP_DI_1</v>
      </c>
      <c r="U309" s="136" t="s">
        <v>8</v>
      </c>
      <c r="V309" s="136">
        <f>VLOOKUP(tbl_IO_List[[#This Row],[I/O Type]],tbl_Slot_Group[],2,FALSE)</f>
        <v>1</v>
      </c>
      <c r="W309" s="136">
        <v>1</v>
      </c>
      <c r="X309" s="136" t="str">
        <f>tbl_IO_List[[#This Row],[Chassis]]&amp;"S"&amp;TEXT(tbl_IO_List[[#This Row],[Slot]],"00")</f>
        <v>C2S03</v>
      </c>
      <c r="Y309" s="136" t="str">
        <f>tbl_IO_List[[#This Row],[Chassis]]&amp;"S"&amp;TEXT(tbl_IO_List[[#This Row],[Slot]],"00")&amp;tbl_IO_List[[#This Row],[I/O Type]]&amp;TEXT(tbl_IO_List[[#This Row],[Point]],"00")</f>
        <v>C2S03DI14</v>
      </c>
      <c r="Z309" s="136" t="str">
        <f>tbl_IO_List[[#This Row],[Chassis]]&amp;"S"&amp;TEXT(tbl_IO_List[[#This Row],[Slot]],"00")&amp;","&amp;TEXT(tbl_IO_List[[#This Row],[Point]],"00")</f>
        <v>C2S03,14</v>
      </c>
      <c r="AA309" s="136" t="str">
        <f>VLOOKUP(tbl_IO_List[[#This Row],[Column23]],tbl_RackConfig[],5,FALSE) &amp;"-"&amp;tbl_IO_List[[#This Row],[Point]]</f>
        <v>1756-IB32-14</v>
      </c>
      <c r="AB309" s="136"/>
      <c r="AC309" s="136"/>
      <c r="AD309" s="136" t="str">
        <f>tbl_IO_List[[#This Row],[I/O Type]]</f>
        <v>DI</v>
      </c>
      <c r="AE309" s="136" t="s">
        <v>1333</v>
      </c>
      <c r="AF309" s="136">
        <v>3</v>
      </c>
      <c r="AG309" s="136">
        <v>14</v>
      </c>
      <c r="AH309" s="136">
        <v>15</v>
      </c>
      <c r="AI309" s="136">
        <v>15</v>
      </c>
      <c r="AJ309" s="136">
        <v>2</v>
      </c>
      <c r="AK309" s="136">
        <v>1</v>
      </c>
      <c r="AL309" s="136">
        <v>0</v>
      </c>
      <c r="AM309" s="136">
        <v>0</v>
      </c>
      <c r="AN309" s="136">
        <v>0</v>
      </c>
      <c r="AO309" s="136"/>
      <c r="AP309" s="143" t="str">
        <f>VLOOKUP(tbl_IO_List[[#This Row],[Instruement Tag]],tbl_Instruement_List[],14,FALSE)</f>
        <v>24 VDC energized,Dry Contact</v>
      </c>
      <c r="AQ309" s="143" t="str">
        <f>tbl_IO_List[[#This Row],[Chassis]]&amp;"S"&amp;tbl_IO_List[[#This Row],[Slot]]&amp;"-"&amp;tbl_IO_List[[#This Row],[Front Terminal Number]]</f>
        <v>C2S3-15</v>
      </c>
      <c r="AR309" s="141" t="s">
        <v>1863</v>
      </c>
      <c r="AS309" s="136" t="str">
        <f>tbl_IO_List[[#This Row],[Terminal Tagging]]&amp;"-"&amp;tbl_IO_List[[#This Row],[Point-Count]]</f>
        <v>P2-TBDI3-15</v>
      </c>
      <c r="AT309" s="136" t="str">
        <f>tbl_IO_List[[#This Row],[Front Terminal Tagging]]&amp;"/"&amp;tbl_IO_List[[#This Row],[Terminal Tagging-Item]]</f>
        <v>C2S3-15/P2-TBDI3-15</v>
      </c>
      <c r="AU309" s="136" t="str">
        <f>tbl_IO_List[[#This Row],[Terminal Tagging-Item]]&amp;"/"&amp;tbl_IO_List[[#This Row],[Front Terminal Tagging]]</f>
        <v>P2-TBDI3-15/C2S3-15</v>
      </c>
    </row>
    <row r="310" spans="1:47">
      <c r="A310" s="147" t="s">
        <v>1367</v>
      </c>
      <c r="B310" s="136" t="s">
        <v>270</v>
      </c>
      <c r="C310" s="136" t="str">
        <f>tbl_IO_List[[#This Row],[Column3]]</f>
        <v>C2S03,15</v>
      </c>
      <c r="D310" s="136" t="str">
        <f>tbl_IO_List[[#This Row],[Card]]</f>
        <v>1756-IB32-15</v>
      </c>
      <c r="E310" s="136" t="s">
        <v>1366</v>
      </c>
      <c r="F310" s="136" t="str">
        <f>tbl_IO_List[[#This Row],[Column23]]&amp;"-" &amp;tbl_IO_List[[#This Row],[Column52]]</f>
        <v>C2S03-X1</v>
      </c>
      <c r="G310" s="136" t="str">
        <f>tbl_IO_List[[#This Row],[PLC_Tag]]</f>
        <v>XV-60264FP_DI_2</v>
      </c>
      <c r="H310" s="136"/>
      <c r="I310" s="136" t="str">
        <f>VLOOKUP(tbl_IO_List[[#This Row],[Destination]],tbl_Junction[],2,FALSE)</f>
        <v>Spray Dryer 7th Floor</v>
      </c>
      <c r="J310" s="136" t="s">
        <v>270</v>
      </c>
      <c r="K310" s="136" t="s">
        <v>14</v>
      </c>
      <c r="L310" s="136" t="s">
        <v>324</v>
      </c>
      <c r="M310" s="136">
        <f>VLOOKUP(tbl_IO_List[[#This Row],[Instruement Tag]],tbl_Instruement_List[],2,FALSE)</f>
        <v>0</v>
      </c>
      <c r="N310" s="136" t="s">
        <v>95</v>
      </c>
      <c r="O310" s="136" t="s">
        <v>272</v>
      </c>
      <c r="P310" s="136" t="s">
        <v>273</v>
      </c>
      <c r="Q310" s="136" t="str">
        <f>VLOOKUP(tbl_IO_List[[#This Row],[Instruement Tag]],tbl_Instruement_List[],6,FALSE)</f>
        <v>Feed Slurry On/Off Valve for Nozzle #14 (ATVM-11D)</v>
      </c>
      <c r="R310" s="136"/>
      <c r="S31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10" s="136" t="str">
        <f>tbl_IO_List[[#This Row],[Instruement Tag]]&amp;"_"&amp;tbl_IO_List[[#This Row],[I/O Type]]&amp;"_"&amp;tbl_IO_List[[#This Row],[IO-Point 
(Instruement)]]</f>
        <v>XV-60264FP_DI_2</v>
      </c>
      <c r="U310" s="136" t="s">
        <v>8</v>
      </c>
      <c r="V310" s="136">
        <f>VLOOKUP(tbl_IO_List[[#This Row],[I/O Type]],tbl_Slot_Group[],2,FALSE)</f>
        <v>1</v>
      </c>
      <c r="W310" s="136">
        <v>2</v>
      </c>
      <c r="X310" s="136" t="str">
        <f>tbl_IO_List[[#This Row],[Chassis]]&amp;"S"&amp;TEXT(tbl_IO_List[[#This Row],[Slot]],"00")</f>
        <v>C2S03</v>
      </c>
      <c r="Y310" s="136" t="str">
        <f>tbl_IO_List[[#This Row],[Chassis]]&amp;"S"&amp;TEXT(tbl_IO_List[[#This Row],[Slot]],"00")&amp;tbl_IO_List[[#This Row],[I/O Type]]&amp;TEXT(tbl_IO_List[[#This Row],[Point]],"00")</f>
        <v>C2S03DI15</v>
      </c>
      <c r="Z310" s="136" t="str">
        <f>tbl_IO_List[[#This Row],[Chassis]]&amp;"S"&amp;TEXT(tbl_IO_List[[#This Row],[Slot]],"00")&amp;","&amp;TEXT(tbl_IO_List[[#This Row],[Point]],"00")</f>
        <v>C2S03,15</v>
      </c>
      <c r="AA310" s="136" t="str">
        <f>VLOOKUP(tbl_IO_List[[#This Row],[Column23]],tbl_RackConfig[],5,FALSE) &amp;"-"&amp;tbl_IO_List[[#This Row],[Point]]</f>
        <v>1756-IB32-15</v>
      </c>
      <c r="AB310" s="136"/>
      <c r="AC310" s="136"/>
      <c r="AD310" s="136" t="str">
        <f>tbl_IO_List[[#This Row],[I/O Type]]</f>
        <v>DI</v>
      </c>
      <c r="AE310" s="136" t="s">
        <v>1333</v>
      </c>
      <c r="AF310" s="136">
        <v>3</v>
      </c>
      <c r="AG310" s="136">
        <v>15</v>
      </c>
      <c r="AH310" s="136">
        <v>16</v>
      </c>
      <c r="AI310" s="136">
        <v>16</v>
      </c>
      <c r="AJ310" s="136">
        <v>2</v>
      </c>
      <c r="AK310" s="136">
        <v>1</v>
      </c>
      <c r="AL310" s="136">
        <v>0</v>
      </c>
      <c r="AM310" s="136">
        <v>0</v>
      </c>
      <c r="AN310" s="136">
        <v>0</v>
      </c>
      <c r="AO310" s="136"/>
      <c r="AP310" s="143" t="str">
        <f>VLOOKUP(tbl_IO_List[[#This Row],[Instruement Tag]],tbl_Instruement_List[],14,FALSE)</f>
        <v>24 VDC energized,Dry Contact</v>
      </c>
      <c r="AQ310" s="143" t="str">
        <f>tbl_IO_List[[#This Row],[Chassis]]&amp;"S"&amp;tbl_IO_List[[#This Row],[Slot]]&amp;"-"&amp;tbl_IO_List[[#This Row],[Front Terminal Number]]</f>
        <v>C2S3-16</v>
      </c>
      <c r="AR310" s="141" t="s">
        <v>1863</v>
      </c>
      <c r="AS310" s="136" t="str">
        <f>tbl_IO_List[[#This Row],[Terminal Tagging]]&amp;"-"&amp;tbl_IO_List[[#This Row],[Point-Count]]</f>
        <v>P2-TBDI3-16</v>
      </c>
      <c r="AT310" s="136" t="str">
        <f>tbl_IO_List[[#This Row],[Front Terminal Tagging]]&amp;"/"&amp;tbl_IO_List[[#This Row],[Terminal Tagging-Item]]</f>
        <v>C2S3-16/P2-TBDI3-16</v>
      </c>
      <c r="AU310" s="136" t="str">
        <f>tbl_IO_List[[#This Row],[Terminal Tagging-Item]]&amp;"/"&amp;tbl_IO_List[[#This Row],[Front Terminal Tagging]]</f>
        <v>P2-TBDI3-16/C2S3-16</v>
      </c>
    </row>
    <row r="311" spans="1:47">
      <c r="A311" s="147" t="s">
        <v>1367</v>
      </c>
      <c r="B311" s="136" t="s">
        <v>270</v>
      </c>
      <c r="C311" s="136" t="str">
        <f>tbl_IO_List[[#This Row],[Column3]]</f>
        <v>C2S03,16</v>
      </c>
      <c r="D311" s="136" t="str">
        <f>tbl_IO_List[[#This Row],[Card]]</f>
        <v>1756-IB32-16</v>
      </c>
      <c r="E311" s="136" t="s">
        <v>1372</v>
      </c>
      <c r="F311" s="136" t="str">
        <f>tbl_IO_List[[#This Row],[Column23]]&amp;"-" &amp;tbl_IO_List[[#This Row],[Column52]]</f>
        <v>C2S03-X2</v>
      </c>
      <c r="G311" s="136" t="str">
        <f>tbl_IO_List[[#This Row],[PLC_Tag]]</f>
        <v>XV-60201_DI_1</v>
      </c>
      <c r="H311" s="136"/>
      <c r="I311" s="136" t="str">
        <f>VLOOKUP(tbl_IO_List[[#This Row],[Destination]],tbl_Junction[],2,FALSE)</f>
        <v>Spray Dryer 7th Floor</v>
      </c>
      <c r="J311" s="136" t="s">
        <v>270</v>
      </c>
      <c r="K311" s="136" t="s">
        <v>14</v>
      </c>
      <c r="L311" s="136" t="s">
        <v>294</v>
      </c>
      <c r="M311" s="136">
        <f>VLOOKUP(tbl_IO_List[[#This Row],[Instruement Tag]],tbl_Instruement_List[],2,FALSE)</f>
        <v>0</v>
      </c>
      <c r="N311" s="136" t="s">
        <v>95</v>
      </c>
      <c r="O311" s="136" t="s">
        <v>272</v>
      </c>
      <c r="P311" s="136" t="s">
        <v>273</v>
      </c>
      <c r="Q311" s="136" t="str">
        <f>VLOOKUP(tbl_IO_List[[#This Row],[Instruement Tag]],tbl_Instruement_List[],6,FALSE)</f>
        <v xml:space="preserve">Steam feed to Spray dryer </v>
      </c>
      <c r="R311" s="136"/>
      <c r="S31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11" s="136" t="str">
        <f>tbl_IO_List[[#This Row],[Instruement Tag]]&amp;"_"&amp;tbl_IO_List[[#This Row],[I/O Type]]&amp;"_"&amp;tbl_IO_List[[#This Row],[IO-Point 
(Instruement)]]</f>
        <v>XV-60201_DI_1</v>
      </c>
      <c r="U311" s="136" t="s">
        <v>8</v>
      </c>
      <c r="V311" s="136">
        <f>VLOOKUP(tbl_IO_List[[#This Row],[I/O Type]],tbl_Slot_Group[],2,FALSE)</f>
        <v>1</v>
      </c>
      <c r="W311" s="136">
        <v>1</v>
      </c>
      <c r="X311" s="136" t="str">
        <f>tbl_IO_List[[#This Row],[Chassis]]&amp;"S"&amp;TEXT(tbl_IO_List[[#This Row],[Slot]],"00")</f>
        <v>C2S03</v>
      </c>
      <c r="Y311" s="136" t="str">
        <f>tbl_IO_List[[#This Row],[Chassis]]&amp;"S"&amp;TEXT(tbl_IO_List[[#This Row],[Slot]],"00")&amp;tbl_IO_List[[#This Row],[I/O Type]]&amp;TEXT(tbl_IO_List[[#This Row],[Point]],"00")</f>
        <v>C2S03DI16</v>
      </c>
      <c r="Z311" s="136" t="str">
        <f>tbl_IO_List[[#This Row],[Chassis]]&amp;"S"&amp;TEXT(tbl_IO_List[[#This Row],[Slot]],"00")&amp;","&amp;TEXT(tbl_IO_List[[#This Row],[Point]],"00")</f>
        <v>C2S03,16</v>
      </c>
      <c r="AA311" s="136" t="str">
        <f>VLOOKUP(tbl_IO_List[[#This Row],[Column23]],tbl_RackConfig[],5,FALSE) &amp;"-"&amp;tbl_IO_List[[#This Row],[Point]]</f>
        <v>1756-IB32-16</v>
      </c>
      <c r="AB311" s="136"/>
      <c r="AC311" s="136"/>
      <c r="AD311" s="136" t="str">
        <f>tbl_IO_List[[#This Row],[I/O Type]]</f>
        <v>DI</v>
      </c>
      <c r="AE311" s="136" t="s">
        <v>1333</v>
      </c>
      <c r="AF311" s="136">
        <v>3</v>
      </c>
      <c r="AG311" s="136">
        <v>16</v>
      </c>
      <c r="AH311" s="136">
        <v>17</v>
      </c>
      <c r="AI311" s="136">
        <v>19</v>
      </c>
      <c r="AJ311" s="136">
        <v>2</v>
      </c>
      <c r="AK311" s="136">
        <v>1</v>
      </c>
      <c r="AL311" s="136">
        <v>0</v>
      </c>
      <c r="AM311" s="136">
        <v>0</v>
      </c>
      <c r="AN311" s="136">
        <v>0</v>
      </c>
      <c r="AO311" s="136"/>
      <c r="AP311" s="143" t="str">
        <f>VLOOKUP(tbl_IO_List[[#This Row],[Instruement Tag]],tbl_Instruement_List[],14,FALSE)</f>
        <v>24 VDC energized</v>
      </c>
      <c r="AQ311" s="143" t="str">
        <f>tbl_IO_List[[#This Row],[Chassis]]&amp;"S"&amp;tbl_IO_List[[#This Row],[Slot]]&amp;"-"&amp;tbl_IO_List[[#This Row],[Front Terminal Number]]</f>
        <v>C2S3-19</v>
      </c>
      <c r="AR311" s="141" t="s">
        <v>1863</v>
      </c>
      <c r="AS311" s="136" t="str">
        <f>tbl_IO_List[[#This Row],[Terminal Tagging]]&amp;"-"&amp;tbl_IO_List[[#This Row],[Point-Count]]</f>
        <v>P2-TBDI3-17</v>
      </c>
      <c r="AT311" s="136" t="str">
        <f>tbl_IO_List[[#This Row],[Front Terminal Tagging]]&amp;"/"&amp;tbl_IO_List[[#This Row],[Terminal Tagging-Item]]</f>
        <v>C2S3-19/P2-TBDI3-17</v>
      </c>
      <c r="AU311" s="136" t="str">
        <f>tbl_IO_List[[#This Row],[Terminal Tagging-Item]]&amp;"/"&amp;tbl_IO_List[[#This Row],[Front Terminal Tagging]]</f>
        <v>P2-TBDI3-17/C2S3-19</v>
      </c>
    </row>
    <row r="312" spans="1:47">
      <c r="A312" s="147" t="s">
        <v>1367</v>
      </c>
      <c r="B312" s="136" t="s">
        <v>270</v>
      </c>
      <c r="C312" s="136" t="str">
        <f>tbl_IO_List[[#This Row],[Column3]]</f>
        <v>C2S03,17</v>
      </c>
      <c r="D312" s="136" t="str">
        <f>tbl_IO_List[[#This Row],[Card]]</f>
        <v>1756-IB32-17</v>
      </c>
      <c r="E312" s="136" t="s">
        <v>1372</v>
      </c>
      <c r="F312" s="136" t="str">
        <f>tbl_IO_List[[#This Row],[Column23]]&amp;"-" &amp;tbl_IO_List[[#This Row],[Column52]]</f>
        <v>C2S03-X2</v>
      </c>
      <c r="G312" s="136" t="str">
        <f>tbl_IO_List[[#This Row],[PLC_Tag]]</f>
        <v>XV-60201_DI_2</v>
      </c>
      <c r="H312" s="136"/>
      <c r="I312" s="136" t="str">
        <f>VLOOKUP(tbl_IO_List[[#This Row],[Destination]],tbl_Junction[],2,FALSE)</f>
        <v>Spray Dryer 7th Floor</v>
      </c>
      <c r="J312" s="136" t="s">
        <v>270</v>
      </c>
      <c r="K312" s="136" t="s">
        <v>14</v>
      </c>
      <c r="L312" s="136" t="s">
        <v>294</v>
      </c>
      <c r="M312" s="136">
        <f>VLOOKUP(tbl_IO_List[[#This Row],[Instruement Tag]],tbl_Instruement_List[],2,FALSE)</f>
        <v>0</v>
      </c>
      <c r="N312" s="136" t="s">
        <v>95</v>
      </c>
      <c r="O312" s="136" t="s">
        <v>272</v>
      </c>
      <c r="P312" s="136" t="s">
        <v>273</v>
      </c>
      <c r="Q312" s="136" t="str">
        <f>VLOOKUP(tbl_IO_List[[#This Row],[Instruement Tag]],tbl_Instruement_List[],6,FALSE)</f>
        <v xml:space="preserve">Steam feed to Spray dryer </v>
      </c>
      <c r="R312" s="136"/>
      <c r="S31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12" s="136" t="str">
        <f>tbl_IO_List[[#This Row],[Instruement Tag]]&amp;"_"&amp;tbl_IO_List[[#This Row],[I/O Type]]&amp;"_"&amp;tbl_IO_List[[#This Row],[IO-Point 
(Instruement)]]</f>
        <v>XV-60201_DI_2</v>
      </c>
      <c r="U312" s="136" t="s">
        <v>8</v>
      </c>
      <c r="V312" s="136">
        <f>VLOOKUP(tbl_IO_List[[#This Row],[I/O Type]],tbl_Slot_Group[],2,FALSE)</f>
        <v>1</v>
      </c>
      <c r="W312" s="136">
        <v>2</v>
      </c>
      <c r="X312" s="136" t="str">
        <f>tbl_IO_List[[#This Row],[Chassis]]&amp;"S"&amp;TEXT(tbl_IO_List[[#This Row],[Slot]],"00")</f>
        <v>C2S03</v>
      </c>
      <c r="Y312" s="136" t="str">
        <f>tbl_IO_List[[#This Row],[Chassis]]&amp;"S"&amp;TEXT(tbl_IO_List[[#This Row],[Slot]],"00")&amp;tbl_IO_List[[#This Row],[I/O Type]]&amp;TEXT(tbl_IO_List[[#This Row],[Point]],"00")</f>
        <v>C2S03DI17</v>
      </c>
      <c r="Z312" s="136" t="str">
        <f>tbl_IO_List[[#This Row],[Chassis]]&amp;"S"&amp;TEXT(tbl_IO_List[[#This Row],[Slot]],"00")&amp;","&amp;TEXT(tbl_IO_List[[#This Row],[Point]],"00")</f>
        <v>C2S03,17</v>
      </c>
      <c r="AA312" s="136" t="str">
        <f>VLOOKUP(tbl_IO_List[[#This Row],[Column23]],tbl_RackConfig[],5,FALSE) &amp;"-"&amp;tbl_IO_List[[#This Row],[Point]]</f>
        <v>1756-IB32-17</v>
      </c>
      <c r="AB312" s="136"/>
      <c r="AC312" s="136"/>
      <c r="AD312" s="136" t="str">
        <f>tbl_IO_List[[#This Row],[I/O Type]]</f>
        <v>DI</v>
      </c>
      <c r="AE312" s="136" t="s">
        <v>1333</v>
      </c>
      <c r="AF312" s="136">
        <v>3</v>
      </c>
      <c r="AG312" s="136">
        <v>17</v>
      </c>
      <c r="AH312" s="136">
        <v>18</v>
      </c>
      <c r="AI312" s="136">
        <v>20</v>
      </c>
      <c r="AJ312" s="136">
        <v>2</v>
      </c>
      <c r="AK312" s="136">
        <v>1</v>
      </c>
      <c r="AL312" s="136">
        <v>0</v>
      </c>
      <c r="AM312" s="136">
        <v>0</v>
      </c>
      <c r="AN312" s="136">
        <v>0</v>
      </c>
      <c r="AO312" s="136"/>
      <c r="AP312" s="143" t="str">
        <f>VLOOKUP(tbl_IO_List[[#This Row],[Instruement Tag]],tbl_Instruement_List[],14,FALSE)</f>
        <v>24 VDC energized</v>
      </c>
      <c r="AQ312" s="143" t="str">
        <f>tbl_IO_List[[#This Row],[Chassis]]&amp;"S"&amp;tbl_IO_List[[#This Row],[Slot]]&amp;"-"&amp;tbl_IO_List[[#This Row],[Front Terminal Number]]</f>
        <v>C2S3-20</v>
      </c>
      <c r="AR312" s="141" t="s">
        <v>1863</v>
      </c>
      <c r="AS312" s="136" t="str">
        <f>tbl_IO_List[[#This Row],[Terminal Tagging]]&amp;"-"&amp;tbl_IO_List[[#This Row],[Point-Count]]</f>
        <v>P2-TBDI3-18</v>
      </c>
      <c r="AT312" s="136" t="str">
        <f>tbl_IO_List[[#This Row],[Front Terminal Tagging]]&amp;"/"&amp;tbl_IO_List[[#This Row],[Terminal Tagging-Item]]</f>
        <v>C2S3-20/P2-TBDI3-18</v>
      </c>
      <c r="AU312" s="136" t="str">
        <f>tbl_IO_List[[#This Row],[Terminal Tagging-Item]]&amp;"/"&amp;tbl_IO_List[[#This Row],[Front Terminal Tagging]]</f>
        <v>P2-TBDI3-18/C2S3-20</v>
      </c>
    </row>
    <row r="313" spans="1:47">
      <c r="A313" s="147" t="s">
        <v>1367</v>
      </c>
      <c r="B313" s="136" t="s">
        <v>270</v>
      </c>
      <c r="C313" s="136" t="str">
        <f>tbl_IO_List[[#This Row],[Column3]]</f>
        <v>C2S03,18</v>
      </c>
      <c r="D313" s="136" t="str">
        <f>tbl_IO_List[[#This Row],[Card]]</f>
        <v>1756-IB32-18</v>
      </c>
      <c r="E313" s="136" t="s">
        <v>1372</v>
      </c>
      <c r="F313" s="136" t="str">
        <f>tbl_IO_List[[#This Row],[Column23]]&amp;"-" &amp;tbl_IO_List[[#This Row],[Column52]]</f>
        <v>C2S03-X2</v>
      </c>
      <c r="G313" s="136" t="str">
        <f>tbl_IO_List[[#This Row],[PLC_Tag]]</f>
        <v>XV-60264FQ_DI_1</v>
      </c>
      <c r="H313" s="136"/>
      <c r="I313" s="136" t="str">
        <f>VLOOKUP(tbl_IO_List[[#This Row],[Destination]],tbl_Junction[],2,FALSE)</f>
        <v>Spray Dryer 7th Floor</v>
      </c>
      <c r="J313" s="136" t="s">
        <v>270</v>
      </c>
      <c r="K313" s="136" t="s">
        <v>14</v>
      </c>
      <c r="L313" s="136" t="s">
        <v>325</v>
      </c>
      <c r="M313" s="136">
        <f>VLOOKUP(tbl_IO_List[[#This Row],[Instruement Tag]],tbl_Instruement_List[],2,FALSE)</f>
        <v>0</v>
      </c>
      <c r="N313" s="136" t="s">
        <v>95</v>
      </c>
      <c r="O313" s="136" t="s">
        <v>272</v>
      </c>
      <c r="P313" s="136" t="s">
        <v>273</v>
      </c>
      <c r="Q313" s="136" t="str">
        <f>VLOOKUP(tbl_IO_List[[#This Row],[Instruement Tag]],tbl_Instruement_List[],6,FALSE)</f>
        <v>Feed Slurry On/Off Valve for Nozzle #15 (ATVM-11D)</v>
      </c>
      <c r="R313" s="136"/>
      <c r="S31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13" s="136" t="str">
        <f>tbl_IO_List[[#This Row],[Instruement Tag]]&amp;"_"&amp;tbl_IO_List[[#This Row],[I/O Type]]&amp;"_"&amp;tbl_IO_List[[#This Row],[IO-Point 
(Instruement)]]</f>
        <v>XV-60264FQ_DI_1</v>
      </c>
      <c r="U313" s="136" t="s">
        <v>8</v>
      </c>
      <c r="V313" s="136">
        <f>VLOOKUP(tbl_IO_List[[#This Row],[I/O Type]],tbl_Slot_Group[],2,FALSE)</f>
        <v>1</v>
      </c>
      <c r="W313" s="136">
        <v>1</v>
      </c>
      <c r="X313" s="136" t="str">
        <f>tbl_IO_List[[#This Row],[Chassis]]&amp;"S"&amp;TEXT(tbl_IO_List[[#This Row],[Slot]],"00")</f>
        <v>C2S03</v>
      </c>
      <c r="Y313" s="136" t="str">
        <f>tbl_IO_List[[#This Row],[Chassis]]&amp;"S"&amp;TEXT(tbl_IO_List[[#This Row],[Slot]],"00")&amp;tbl_IO_List[[#This Row],[I/O Type]]&amp;TEXT(tbl_IO_List[[#This Row],[Point]],"00")</f>
        <v>C2S03DI18</v>
      </c>
      <c r="Z313" s="136" t="str">
        <f>tbl_IO_List[[#This Row],[Chassis]]&amp;"S"&amp;TEXT(tbl_IO_List[[#This Row],[Slot]],"00")&amp;","&amp;TEXT(tbl_IO_List[[#This Row],[Point]],"00")</f>
        <v>C2S03,18</v>
      </c>
      <c r="AA313" s="136" t="str">
        <f>VLOOKUP(tbl_IO_List[[#This Row],[Column23]],tbl_RackConfig[],5,FALSE) &amp;"-"&amp;tbl_IO_List[[#This Row],[Point]]</f>
        <v>1756-IB32-18</v>
      </c>
      <c r="AB313" s="136"/>
      <c r="AC313" s="136"/>
      <c r="AD313" s="136" t="str">
        <f>tbl_IO_List[[#This Row],[I/O Type]]</f>
        <v>DI</v>
      </c>
      <c r="AE313" s="136" t="s">
        <v>1333</v>
      </c>
      <c r="AF313" s="136">
        <v>3</v>
      </c>
      <c r="AG313" s="136">
        <v>18</v>
      </c>
      <c r="AH313" s="136">
        <v>19</v>
      </c>
      <c r="AI313" s="136">
        <v>21</v>
      </c>
      <c r="AJ313" s="136">
        <v>2</v>
      </c>
      <c r="AK313" s="136">
        <v>1</v>
      </c>
      <c r="AL313" s="136">
        <v>0</v>
      </c>
      <c r="AM313" s="136">
        <v>0</v>
      </c>
      <c r="AN313" s="136">
        <v>0</v>
      </c>
      <c r="AO313" s="136"/>
      <c r="AP313" s="143" t="str">
        <f>VLOOKUP(tbl_IO_List[[#This Row],[Instruement Tag]],tbl_Instruement_List[],14,FALSE)</f>
        <v>24 VDC energized,Dry Contact</v>
      </c>
      <c r="AQ313" s="143" t="str">
        <f>tbl_IO_List[[#This Row],[Chassis]]&amp;"S"&amp;tbl_IO_List[[#This Row],[Slot]]&amp;"-"&amp;tbl_IO_List[[#This Row],[Front Terminal Number]]</f>
        <v>C2S3-21</v>
      </c>
      <c r="AR313" s="141" t="s">
        <v>1863</v>
      </c>
      <c r="AS313" s="136" t="str">
        <f>tbl_IO_List[[#This Row],[Terminal Tagging]]&amp;"-"&amp;tbl_IO_List[[#This Row],[Point-Count]]</f>
        <v>P2-TBDI3-19</v>
      </c>
      <c r="AT313" s="136" t="str">
        <f>tbl_IO_List[[#This Row],[Front Terminal Tagging]]&amp;"/"&amp;tbl_IO_List[[#This Row],[Terminal Tagging-Item]]</f>
        <v>C2S3-21/P2-TBDI3-19</v>
      </c>
      <c r="AU313" s="136" t="str">
        <f>tbl_IO_List[[#This Row],[Terminal Tagging-Item]]&amp;"/"&amp;tbl_IO_List[[#This Row],[Front Terminal Tagging]]</f>
        <v>P2-TBDI3-19/C2S3-21</v>
      </c>
    </row>
    <row r="314" spans="1:47">
      <c r="A314" s="147" t="s">
        <v>1367</v>
      </c>
      <c r="B314" s="136" t="s">
        <v>270</v>
      </c>
      <c r="C314" s="136" t="str">
        <f>tbl_IO_List[[#This Row],[Column3]]</f>
        <v>C2S03,19</v>
      </c>
      <c r="D314" s="136" t="str">
        <f>tbl_IO_List[[#This Row],[Card]]</f>
        <v>1756-IB32-19</v>
      </c>
      <c r="E314" s="136" t="s">
        <v>1372</v>
      </c>
      <c r="F314" s="136" t="str">
        <f>tbl_IO_List[[#This Row],[Column23]]&amp;"-" &amp;tbl_IO_List[[#This Row],[Column52]]</f>
        <v>C2S03-X2</v>
      </c>
      <c r="G314" s="136" t="str">
        <f>tbl_IO_List[[#This Row],[PLC_Tag]]</f>
        <v>XV-60264FQ_DI_2</v>
      </c>
      <c r="H314" s="136"/>
      <c r="I314" s="136" t="str">
        <f>VLOOKUP(tbl_IO_List[[#This Row],[Destination]],tbl_Junction[],2,FALSE)</f>
        <v>Spray Dryer 7th Floor</v>
      </c>
      <c r="J314" s="136" t="s">
        <v>270</v>
      </c>
      <c r="K314" s="136" t="s">
        <v>14</v>
      </c>
      <c r="L314" s="136" t="s">
        <v>325</v>
      </c>
      <c r="M314" s="136">
        <f>VLOOKUP(tbl_IO_List[[#This Row],[Instruement Tag]],tbl_Instruement_List[],2,FALSE)</f>
        <v>0</v>
      </c>
      <c r="N314" s="136" t="s">
        <v>95</v>
      </c>
      <c r="O314" s="136" t="s">
        <v>272</v>
      </c>
      <c r="P314" s="136" t="s">
        <v>273</v>
      </c>
      <c r="Q314" s="136" t="str">
        <f>VLOOKUP(tbl_IO_List[[#This Row],[Instruement Tag]],tbl_Instruement_List[],6,FALSE)</f>
        <v>Feed Slurry On/Off Valve for Nozzle #15 (ATVM-11D)</v>
      </c>
      <c r="R314" s="136"/>
      <c r="S31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14" s="136" t="str">
        <f>tbl_IO_List[[#This Row],[Instruement Tag]]&amp;"_"&amp;tbl_IO_List[[#This Row],[I/O Type]]&amp;"_"&amp;tbl_IO_List[[#This Row],[IO-Point 
(Instruement)]]</f>
        <v>XV-60264FQ_DI_2</v>
      </c>
      <c r="U314" s="136" t="s">
        <v>8</v>
      </c>
      <c r="V314" s="136">
        <f>VLOOKUP(tbl_IO_List[[#This Row],[I/O Type]],tbl_Slot_Group[],2,FALSE)</f>
        <v>1</v>
      </c>
      <c r="W314" s="136">
        <v>2</v>
      </c>
      <c r="X314" s="136" t="str">
        <f>tbl_IO_List[[#This Row],[Chassis]]&amp;"S"&amp;TEXT(tbl_IO_List[[#This Row],[Slot]],"00")</f>
        <v>C2S03</v>
      </c>
      <c r="Y314" s="136" t="str">
        <f>tbl_IO_List[[#This Row],[Chassis]]&amp;"S"&amp;TEXT(tbl_IO_List[[#This Row],[Slot]],"00")&amp;tbl_IO_List[[#This Row],[I/O Type]]&amp;TEXT(tbl_IO_List[[#This Row],[Point]],"00")</f>
        <v>C2S03DI19</v>
      </c>
      <c r="Z314" s="136" t="str">
        <f>tbl_IO_List[[#This Row],[Chassis]]&amp;"S"&amp;TEXT(tbl_IO_List[[#This Row],[Slot]],"00")&amp;","&amp;TEXT(tbl_IO_List[[#This Row],[Point]],"00")</f>
        <v>C2S03,19</v>
      </c>
      <c r="AA314" s="136" t="str">
        <f>VLOOKUP(tbl_IO_List[[#This Row],[Column23]],tbl_RackConfig[],5,FALSE) &amp;"-"&amp;tbl_IO_List[[#This Row],[Point]]</f>
        <v>1756-IB32-19</v>
      </c>
      <c r="AB314" s="136"/>
      <c r="AC314" s="136"/>
      <c r="AD314" s="136" t="str">
        <f>tbl_IO_List[[#This Row],[I/O Type]]</f>
        <v>DI</v>
      </c>
      <c r="AE314" s="136" t="s">
        <v>1333</v>
      </c>
      <c r="AF314" s="136">
        <v>3</v>
      </c>
      <c r="AG314" s="136">
        <v>19</v>
      </c>
      <c r="AH314" s="136">
        <v>20</v>
      </c>
      <c r="AI314" s="136">
        <v>22</v>
      </c>
      <c r="AJ314" s="136">
        <v>2</v>
      </c>
      <c r="AK314" s="136">
        <v>1</v>
      </c>
      <c r="AL314" s="136">
        <v>0</v>
      </c>
      <c r="AM314" s="136">
        <v>0</v>
      </c>
      <c r="AN314" s="136">
        <v>0</v>
      </c>
      <c r="AO314" s="136"/>
      <c r="AP314" s="143" t="str">
        <f>VLOOKUP(tbl_IO_List[[#This Row],[Instruement Tag]],tbl_Instruement_List[],14,FALSE)</f>
        <v>24 VDC energized,Dry Contact</v>
      </c>
      <c r="AQ314" s="143" t="str">
        <f>tbl_IO_List[[#This Row],[Chassis]]&amp;"S"&amp;tbl_IO_List[[#This Row],[Slot]]&amp;"-"&amp;tbl_IO_List[[#This Row],[Front Terminal Number]]</f>
        <v>C2S3-22</v>
      </c>
      <c r="AR314" s="141" t="s">
        <v>1863</v>
      </c>
      <c r="AS314" s="136" t="str">
        <f>tbl_IO_List[[#This Row],[Terminal Tagging]]&amp;"-"&amp;tbl_IO_List[[#This Row],[Point-Count]]</f>
        <v>P2-TBDI3-20</v>
      </c>
      <c r="AT314" s="136" t="str">
        <f>tbl_IO_List[[#This Row],[Front Terminal Tagging]]&amp;"/"&amp;tbl_IO_List[[#This Row],[Terminal Tagging-Item]]</f>
        <v>C2S3-22/P2-TBDI3-20</v>
      </c>
      <c r="AU314" s="136" t="str">
        <f>tbl_IO_List[[#This Row],[Terminal Tagging-Item]]&amp;"/"&amp;tbl_IO_List[[#This Row],[Front Terminal Tagging]]</f>
        <v>P2-TBDI3-20/C2S3-22</v>
      </c>
    </row>
    <row r="315" spans="1:47">
      <c r="A315" s="147" t="s">
        <v>1367</v>
      </c>
      <c r="B315" s="136" t="s">
        <v>270</v>
      </c>
      <c r="C315" s="136" t="str">
        <f>tbl_IO_List[[#This Row],[Column3]]</f>
        <v>C2S03,20</v>
      </c>
      <c r="D315" s="136" t="str">
        <f>tbl_IO_List[[#This Row],[Card]]</f>
        <v>1756-IB32-20</v>
      </c>
      <c r="E315" s="136" t="s">
        <v>1372</v>
      </c>
      <c r="F315" s="136" t="str">
        <f>tbl_IO_List[[#This Row],[Column23]]&amp;"-" &amp;tbl_IO_List[[#This Row],[Column52]]</f>
        <v>C2S03-X2</v>
      </c>
      <c r="G315" s="136" t="str">
        <f>tbl_IO_List[[#This Row],[PLC_Tag]]</f>
        <v>XV-60261_DI_1</v>
      </c>
      <c r="H315" s="136"/>
      <c r="I315" s="136" t="str">
        <f>VLOOKUP(tbl_IO_List[[#This Row],[Destination]],tbl_Junction[],2,FALSE)</f>
        <v>Spray Dryer 7th Floor</v>
      </c>
      <c r="J315" s="136" t="s">
        <v>270</v>
      </c>
      <c r="K315" s="136" t="s">
        <v>14</v>
      </c>
      <c r="L315" s="136" t="s">
        <v>1386</v>
      </c>
      <c r="M315" s="136" t="e">
        <f>VLOOKUP(tbl_IO_List[[#This Row],[Instruement Tag]],tbl_Instruement_List[],2,FALSE)</f>
        <v>#N/A</v>
      </c>
      <c r="N315" s="136" t="s">
        <v>95</v>
      </c>
      <c r="O315" s="136" t="s">
        <v>272</v>
      </c>
      <c r="P315" s="136" t="s">
        <v>18</v>
      </c>
      <c r="Q315" s="136" t="e">
        <f>VLOOKUP(tbl_IO_List[[#This Row],[Instruement Tag]],tbl_Instruement_List[],6,FALSE)</f>
        <v>#N/A</v>
      </c>
      <c r="R315" s="136"/>
      <c r="S31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15" s="136" t="str">
        <f>tbl_IO_List[[#This Row],[Instruement Tag]]&amp;"_"&amp;tbl_IO_List[[#This Row],[I/O Type]]&amp;"_"&amp;tbl_IO_List[[#This Row],[IO-Point 
(Instruement)]]</f>
        <v>XV-60261_DI_1</v>
      </c>
      <c r="U315" s="136" t="s">
        <v>8</v>
      </c>
      <c r="V315" s="136">
        <f>VLOOKUP(tbl_IO_List[[#This Row],[I/O Type]],tbl_Slot_Group[],2,FALSE)</f>
        <v>1</v>
      </c>
      <c r="W315" s="136">
        <v>1</v>
      </c>
      <c r="X315" s="136" t="str">
        <f>tbl_IO_List[[#This Row],[Chassis]]&amp;"S"&amp;TEXT(tbl_IO_List[[#This Row],[Slot]],"00")</f>
        <v>C2S03</v>
      </c>
      <c r="Y315" s="136" t="str">
        <f>tbl_IO_List[[#This Row],[Chassis]]&amp;"S"&amp;TEXT(tbl_IO_List[[#This Row],[Slot]],"00")&amp;tbl_IO_List[[#This Row],[I/O Type]]&amp;TEXT(tbl_IO_List[[#This Row],[Point]],"00")</f>
        <v>C2S03DI20</v>
      </c>
      <c r="Z315" s="136" t="str">
        <f>tbl_IO_List[[#This Row],[Chassis]]&amp;"S"&amp;TEXT(tbl_IO_List[[#This Row],[Slot]],"00")&amp;","&amp;TEXT(tbl_IO_List[[#This Row],[Point]],"00")</f>
        <v>C2S03,20</v>
      </c>
      <c r="AA315" s="136" t="str">
        <f>VLOOKUP(tbl_IO_List[[#This Row],[Column23]],tbl_RackConfig[],5,FALSE) &amp;"-"&amp;tbl_IO_List[[#This Row],[Point]]</f>
        <v>1756-IB32-20</v>
      </c>
      <c r="AB315" s="136"/>
      <c r="AC315" s="136"/>
      <c r="AD315" s="136" t="str">
        <f>tbl_IO_List[[#This Row],[I/O Type]]</f>
        <v>DI</v>
      </c>
      <c r="AE315" s="136" t="s">
        <v>1333</v>
      </c>
      <c r="AF315" s="136">
        <v>3</v>
      </c>
      <c r="AG315" s="136">
        <v>20</v>
      </c>
      <c r="AH315" s="136">
        <v>21</v>
      </c>
      <c r="AI315" s="136">
        <v>23</v>
      </c>
      <c r="AJ315" s="136">
        <v>2</v>
      </c>
      <c r="AK315" s="136">
        <v>1</v>
      </c>
      <c r="AL315" s="136">
        <v>0</v>
      </c>
      <c r="AM315" s="136">
        <v>0</v>
      </c>
      <c r="AN315" s="136">
        <v>0</v>
      </c>
      <c r="AO315" s="136"/>
      <c r="AP315" s="143" t="e">
        <f>VLOOKUP(tbl_IO_List[[#This Row],[Instruement Tag]],tbl_Instruement_List[],14,FALSE)</f>
        <v>#N/A</v>
      </c>
      <c r="AQ315" s="143" t="str">
        <f>tbl_IO_List[[#This Row],[Chassis]]&amp;"S"&amp;tbl_IO_List[[#This Row],[Slot]]&amp;"-"&amp;tbl_IO_List[[#This Row],[Front Terminal Number]]</f>
        <v>C2S3-23</v>
      </c>
      <c r="AR315" s="141" t="s">
        <v>1863</v>
      </c>
      <c r="AS315" s="136" t="str">
        <f>tbl_IO_List[[#This Row],[Terminal Tagging]]&amp;"-"&amp;tbl_IO_List[[#This Row],[Point-Count]]</f>
        <v>P2-TBDI3-21</v>
      </c>
      <c r="AT315" s="136" t="str">
        <f>tbl_IO_List[[#This Row],[Front Terminal Tagging]]&amp;"/"&amp;tbl_IO_List[[#This Row],[Terminal Tagging-Item]]</f>
        <v>C2S3-23/P2-TBDI3-21</v>
      </c>
      <c r="AU315" s="136" t="str">
        <f>tbl_IO_List[[#This Row],[Terminal Tagging-Item]]&amp;"/"&amp;tbl_IO_List[[#This Row],[Front Terminal Tagging]]</f>
        <v>P2-TBDI3-21/C2S3-23</v>
      </c>
    </row>
    <row r="316" spans="1:47">
      <c r="A316" s="147" t="s">
        <v>1367</v>
      </c>
      <c r="B316" s="136" t="s">
        <v>270</v>
      </c>
      <c r="C316" s="136" t="str">
        <f>tbl_IO_List[[#This Row],[Column3]]</f>
        <v>C2S03,21</v>
      </c>
      <c r="D316" s="136" t="str">
        <f>tbl_IO_List[[#This Row],[Card]]</f>
        <v>1756-IB32-21</v>
      </c>
      <c r="E316" s="136" t="s">
        <v>1372</v>
      </c>
      <c r="F316" s="136" t="str">
        <f>tbl_IO_List[[#This Row],[Column23]]&amp;"-" &amp;tbl_IO_List[[#This Row],[Column52]]</f>
        <v>C2S03-X2</v>
      </c>
      <c r="G316" s="136" t="str">
        <f>tbl_IO_List[[#This Row],[PLC_Tag]]</f>
        <v>XV-60261_DI_2</v>
      </c>
      <c r="H316" s="136"/>
      <c r="I316" s="136" t="str">
        <f>VLOOKUP(tbl_IO_List[[#This Row],[Destination]],tbl_Junction[],2,FALSE)</f>
        <v>Spray Dryer 7th Floor</v>
      </c>
      <c r="J316" s="136" t="s">
        <v>270</v>
      </c>
      <c r="K316" s="136" t="s">
        <v>14</v>
      </c>
      <c r="L316" s="136" t="s">
        <v>1386</v>
      </c>
      <c r="M316" s="136" t="e">
        <f>VLOOKUP(tbl_IO_List[[#This Row],[Instruement Tag]],tbl_Instruement_List[],2,FALSE)</f>
        <v>#N/A</v>
      </c>
      <c r="N316" s="136" t="s">
        <v>95</v>
      </c>
      <c r="O316" s="136" t="s">
        <v>272</v>
      </c>
      <c r="P316" s="136" t="s">
        <v>18</v>
      </c>
      <c r="Q316" s="136" t="e">
        <f>VLOOKUP(tbl_IO_List[[#This Row],[Instruement Tag]],tbl_Instruement_List[],6,FALSE)</f>
        <v>#N/A</v>
      </c>
      <c r="R316" s="136"/>
      <c r="S31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16" s="136" t="str">
        <f>tbl_IO_List[[#This Row],[Instruement Tag]]&amp;"_"&amp;tbl_IO_List[[#This Row],[I/O Type]]&amp;"_"&amp;tbl_IO_List[[#This Row],[IO-Point 
(Instruement)]]</f>
        <v>XV-60261_DI_2</v>
      </c>
      <c r="U316" s="136" t="s">
        <v>8</v>
      </c>
      <c r="V316" s="136">
        <f>VLOOKUP(tbl_IO_List[[#This Row],[I/O Type]],tbl_Slot_Group[],2,FALSE)</f>
        <v>1</v>
      </c>
      <c r="W316" s="136">
        <v>2</v>
      </c>
      <c r="X316" s="136" t="str">
        <f>tbl_IO_List[[#This Row],[Chassis]]&amp;"S"&amp;TEXT(tbl_IO_List[[#This Row],[Slot]],"00")</f>
        <v>C2S03</v>
      </c>
      <c r="Y316" s="136" t="str">
        <f>tbl_IO_List[[#This Row],[Chassis]]&amp;"S"&amp;TEXT(tbl_IO_List[[#This Row],[Slot]],"00")&amp;tbl_IO_List[[#This Row],[I/O Type]]&amp;TEXT(tbl_IO_List[[#This Row],[Point]],"00")</f>
        <v>C2S03DI21</v>
      </c>
      <c r="Z316" s="136" t="str">
        <f>tbl_IO_List[[#This Row],[Chassis]]&amp;"S"&amp;TEXT(tbl_IO_List[[#This Row],[Slot]],"00")&amp;","&amp;TEXT(tbl_IO_List[[#This Row],[Point]],"00")</f>
        <v>C2S03,21</v>
      </c>
      <c r="AA316" s="136" t="str">
        <f>VLOOKUP(tbl_IO_List[[#This Row],[Column23]],tbl_RackConfig[],5,FALSE) &amp;"-"&amp;tbl_IO_List[[#This Row],[Point]]</f>
        <v>1756-IB32-21</v>
      </c>
      <c r="AB316" s="136"/>
      <c r="AC316" s="136"/>
      <c r="AD316" s="136" t="str">
        <f>tbl_IO_List[[#This Row],[I/O Type]]</f>
        <v>DI</v>
      </c>
      <c r="AE316" s="136" t="s">
        <v>1333</v>
      </c>
      <c r="AF316" s="136">
        <v>3</v>
      </c>
      <c r="AG316" s="136">
        <v>21</v>
      </c>
      <c r="AH316" s="136">
        <v>22</v>
      </c>
      <c r="AI316" s="136">
        <v>24</v>
      </c>
      <c r="AJ316" s="136">
        <v>2</v>
      </c>
      <c r="AK316" s="136">
        <v>1</v>
      </c>
      <c r="AL316" s="136">
        <v>0</v>
      </c>
      <c r="AM316" s="136">
        <v>0</v>
      </c>
      <c r="AN316" s="136">
        <v>0</v>
      </c>
      <c r="AO316" s="136"/>
      <c r="AP316" s="143" t="e">
        <f>VLOOKUP(tbl_IO_List[[#This Row],[Instruement Tag]],tbl_Instruement_List[],14,FALSE)</f>
        <v>#N/A</v>
      </c>
      <c r="AQ316" s="143" t="str">
        <f>tbl_IO_List[[#This Row],[Chassis]]&amp;"S"&amp;tbl_IO_List[[#This Row],[Slot]]&amp;"-"&amp;tbl_IO_List[[#This Row],[Front Terminal Number]]</f>
        <v>C2S3-24</v>
      </c>
      <c r="AR316" s="141" t="s">
        <v>1863</v>
      </c>
      <c r="AS316" s="136" t="str">
        <f>tbl_IO_List[[#This Row],[Terminal Tagging]]&amp;"-"&amp;tbl_IO_List[[#This Row],[Point-Count]]</f>
        <v>P2-TBDI3-22</v>
      </c>
      <c r="AT316" s="136" t="str">
        <f>tbl_IO_List[[#This Row],[Front Terminal Tagging]]&amp;"/"&amp;tbl_IO_List[[#This Row],[Terminal Tagging-Item]]</f>
        <v>C2S3-24/P2-TBDI3-22</v>
      </c>
      <c r="AU316" s="136" t="str">
        <f>tbl_IO_List[[#This Row],[Terminal Tagging-Item]]&amp;"/"&amp;tbl_IO_List[[#This Row],[Front Terminal Tagging]]</f>
        <v>P2-TBDI3-22/C2S3-24</v>
      </c>
    </row>
    <row r="317" spans="1:47">
      <c r="A317" s="147" t="s">
        <v>1367</v>
      </c>
      <c r="B317" s="136" t="s">
        <v>270</v>
      </c>
      <c r="C317" s="136" t="str">
        <f>tbl_IO_List[[#This Row],[Column3]]</f>
        <v>C2S03,22</v>
      </c>
      <c r="D317" s="136" t="str">
        <f>tbl_IO_List[[#This Row],[Card]]</f>
        <v>1756-IB32-22</v>
      </c>
      <c r="E317" s="136" t="s">
        <v>1372</v>
      </c>
      <c r="F317" s="136" t="str">
        <f>tbl_IO_List[[#This Row],[Column23]]&amp;"-" &amp;tbl_IO_List[[#This Row],[Column52]]</f>
        <v>C2S03-X2</v>
      </c>
      <c r="G317" s="136" t="str">
        <f>tbl_IO_List[[#This Row],[PLC_Tag]]</f>
        <v>XV-60264FR_DI_1</v>
      </c>
      <c r="H317" s="136"/>
      <c r="I317" s="136" t="str">
        <f>VLOOKUP(tbl_IO_List[[#This Row],[Destination]],tbl_Junction[],2,FALSE)</f>
        <v>Spray Dryer 7th Floor</v>
      </c>
      <c r="J317" s="136" t="s">
        <v>270</v>
      </c>
      <c r="K317" s="136" t="s">
        <v>14</v>
      </c>
      <c r="L317" s="136" t="s">
        <v>326</v>
      </c>
      <c r="M317" s="136">
        <f>VLOOKUP(tbl_IO_List[[#This Row],[Instruement Tag]],tbl_Instruement_List[],2,FALSE)</f>
        <v>0</v>
      </c>
      <c r="N317" s="136" t="s">
        <v>95</v>
      </c>
      <c r="O317" s="136" t="s">
        <v>272</v>
      </c>
      <c r="P317" s="136" t="s">
        <v>273</v>
      </c>
      <c r="Q317" s="136" t="str">
        <f>VLOOKUP(tbl_IO_List[[#This Row],[Instruement Tag]],tbl_Instruement_List[],6,FALSE)</f>
        <v>Feed Slurry On/Off Valve for Nozzle #16 (ATVM-11D)</v>
      </c>
      <c r="R317" s="136"/>
      <c r="S31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17" s="136" t="str">
        <f>tbl_IO_List[[#This Row],[Instruement Tag]]&amp;"_"&amp;tbl_IO_List[[#This Row],[I/O Type]]&amp;"_"&amp;tbl_IO_List[[#This Row],[IO-Point 
(Instruement)]]</f>
        <v>XV-60264FR_DI_1</v>
      </c>
      <c r="U317" s="136" t="s">
        <v>8</v>
      </c>
      <c r="V317" s="136">
        <f>VLOOKUP(tbl_IO_List[[#This Row],[I/O Type]],tbl_Slot_Group[],2,FALSE)</f>
        <v>1</v>
      </c>
      <c r="W317" s="136">
        <v>1</v>
      </c>
      <c r="X317" s="136" t="str">
        <f>tbl_IO_List[[#This Row],[Chassis]]&amp;"S"&amp;TEXT(tbl_IO_List[[#This Row],[Slot]],"00")</f>
        <v>C2S03</v>
      </c>
      <c r="Y317" s="136" t="str">
        <f>tbl_IO_List[[#This Row],[Chassis]]&amp;"S"&amp;TEXT(tbl_IO_List[[#This Row],[Slot]],"00")&amp;tbl_IO_List[[#This Row],[I/O Type]]&amp;TEXT(tbl_IO_List[[#This Row],[Point]],"00")</f>
        <v>C2S03DI22</v>
      </c>
      <c r="Z317" s="136" t="str">
        <f>tbl_IO_List[[#This Row],[Chassis]]&amp;"S"&amp;TEXT(tbl_IO_List[[#This Row],[Slot]],"00")&amp;","&amp;TEXT(tbl_IO_List[[#This Row],[Point]],"00")</f>
        <v>C2S03,22</v>
      </c>
      <c r="AA317" s="136" t="str">
        <f>VLOOKUP(tbl_IO_List[[#This Row],[Column23]],tbl_RackConfig[],5,FALSE) &amp;"-"&amp;tbl_IO_List[[#This Row],[Point]]</f>
        <v>1756-IB32-22</v>
      </c>
      <c r="AB317" s="136"/>
      <c r="AC317" s="136"/>
      <c r="AD317" s="136" t="str">
        <f>tbl_IO_List[[#This Row],[I/O Type]]</f>
        <v>DI</v>
      </c>
      <c r="AE317" s="136" t="s">
        <v>1333</v>
      </c>
      <c r="AF317" s="136">
        <v>3</v>
      </c>
      <c r="AG317" s="136">
        <v>22</v>
      </c>
      <c r="AH317" s="136">
        <v>23</v>
      </c>
      <c r="AI317" s="136">
        <v>25</v>
      </c>
      <c r="AJ317" s="136">
        <v>2</v>
      </c>
      <c r="AK317" s="136">
        <v>1</v>
      </c>
      <c r="AL317" s="136">
        <v>0</v>
      </c>
      <c r="AM317" s="136">
        <v>0</v>
      </c>
      <c r="AN317" s="136">
        <v>0</v>
      </c>
      <c r="AO317" s="136"/>
      <c r="AP317" s="143" t="str">
        <f>VLOOKUP(tbl_IO_List[[#This Row],[Instruement Tag]],tbl_Instruement_List[],14,FALSE)</f>
        <v>24 VDC energized,Dry Contact</v>
      </c>
      <c r="AQ317" s="143" t="str">
        <f>tbl_IO_List[[#This Row],[Chassis]]&amp;"S"&amp;tbl_IO_List[[#This Row],[Slot]]&amp;"-"&amp;tbl_IO_List[[#This Row],[Front Terminal Number]]</f>
        <v>C2S3-25</v>
      </c>
      <c r="AR317" s="141" t="s">
        <v>1863</v>
      </c>
      <c r="AS317" s="136" t="str">
        <f>tbl_IO_List[[#This Row],[Terminal Tagging]]&amp;"-"&amp;tbl_IO_List[[#This Row],[Point-Count]]</f>
        <v>P2-TBDI3-23</v>
      </c>
      <c r="AT317" s="136" t="str">
        <f>tbl_IO_List[[#This Row],[Front Terminal Tagging]]&amp;"/"&amp;tbl_IO_List[[#This Row],[Terminal Tagging-Item]]</f>
        <v>C2S3-25/P2-TBDI3-23</v>
      </c>
      <c r="AU317" s="136" t="str">
        <f>tbl_IO_List[[#This Row],[Terminal Tagging-Item]]&amp;"/"&amp;tbl_IO_List[[#This Row],[Front Terminal Tagging]]</f>
        <v>P2-TBDI3-23/C2S3-25</v>
      </c>
    </row>
    <row r="318" spans="1:47">
      <c r="A318" s="147" t="s">
        <v>1367</v>
      </c>
      <c r="B318" s="136" t="s">
        <v>270</v>
      </c>
      <c r="C318" s="136" t="str">
        <f>tbl_IO_List[[#This Row],[Column3]]</f>
        <v>C2S03,23</v>
      </c>
      <c r="D318" s="136" t="str">
        <f>tbl_IO_List[[#This Row],[Card]]</f>
        <v>1756-IB32-23</v>
      </c>
      <c r="E318" s="136" t="s">
        <v>1372</v>
      </c>
      <c r="F318" s="136" t="str">
        <f>tbl_IO_List[[#This Row],[Column23]]&amp;"-" &amp;tbl_IO_List[[#This Row],[Column52]]</f>
        <v>C2S03-X2</v>
      </c>
      <c r="G318" s="136" t="str">
        <f>tbl_IO_List[[#This Row],[PLC_Tag]]</f>
        <v>XV-60264FR_DI_2</v>
      </c>
      <c r="H318" s="136"/>
      <c r="I318" s="136" t="str">
        <f>VLOOKUP(tbl_IO_List[[#This Row],[Destination]],tbl_Junction[],2,FALSE)</f>
        <v>Spray Dryer 7th Floor</v>
      </c>
      <c r="J318" s="136" t="s">
        <v>270</v>
      </c>
      <c r="K318" s="136" t="s">
        <v>14</v>
      </c>
      <c r="L318" s="136" t="s">
        <v>326</v>
      </c>
      <c r="M318" s="136">
        <f>VLOOKUP(tbl_IO_List[[#This Row],[Instruement Tag]],tbl_Instruement_List[],2,FALSE)</f>
        <v>0</v>
      </c>
      <c r="N318" s="136" t="s">
        <v>95</v>
      </c>
      <c r="O318" s="136" t="s">
        <v>272</v>
      </c>
      <c r="P318" s="136" t="s">
        <v>273</v>
      </c>
      <c r="Q318" s="136" t="str">
        <f>VLOOKUP(tbl_IO_List[[#This Row],[Instruement Tag]],tbl_Instruement_List[],6,FALSE)</f>
        <v>Feed Slurry On/Off Valve for Nozzle #16 (ATVM-11D)</v>
      </c>
      <c r="R318" s="136"/>
      <c r="S31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18" s="136" t="str">
        <f>tbl_IO_List[[#This Row],[Instruement Tag]]&amp;"_"&amp;tbl_IO_List[[#This Row],[I/O Type]]&amp;"_"&amp;tbl_IO_List[[#This Row],[IO-Point 
(Instruement)]]</f>
        <v>XV-60264FR_DI_2</v>
      </c>
      <c r="U318" s="136" t="s">
        <v>8</v>
      </c>
      <c r="V318" s="136">
        <f>VLOOKUP(tbl_IO_List[[#This Row],[I/O Type]],tbl_Slot_Group[],2,FALSE)</f>
        <v>1</v>
      </c>
      <c r="W318" s="136">
        <v>2</v>
      </c>
      <c r="X318" s="136" t="str">
        <f>tbl_IO_List[[#This Row],[Chassis]]&amp;"S"&amp;TEXT(tbl_IO_List[[#This Row],[Slot]],"00")</f>
        <v>C2S03</v>
      </c>
      <c r="Y318" s="136" t="str">
        <f>tbl_IO_List[[#This Row],[Chassis]]&amp;"S"&amp;TEXT(tbl_IO_List[[#This Row],[Slot]],"00")&amp;tbl_IO_List[[#This Row],[I/O Type]]&amp;TEXT(tbl_IO_List[[#This Row],[Point]],"00")</f>
        <v>C2S03DI23</v>
      </c>
      <c r="Z318" s="136" t="str">
        <f>tbl_IO_List[[#This Row],[Chassis]]&amp;"S"&amp;TEXT(tbl_IO_List[[#This Row],[Slot]],"00")&amp;","&amp;TEXT(tbl_IO_List[[#This Row],[Point]],"00")</f>
        <v>C2S03,23</v>
      </c>
      <c r="AA318" s="136" t="str">
        <f>VLOOKUP(tbl_IO_List[[#This Row],[Column23]],tbl_RackConfig[],5,FALSE) &amp;"-"&amp;tbl_IO_List[[#This Row],[Point]]</f>
        <v>1756-IB32-23</v>
      </c>
      <c r="AB318" s="136"/>
      <c r="AC318" s="136"/>
      <c r="AD318" s="136" t="str">
        <f>tbl_IO_List[[#This Row],[I/O Type]]</f>
        <v>DI</v>
      </c>
      <c r="AE318" s="136" t="s">
        <v>1333</v>
      </c>
      <c r="AF318" s="136">
        <v>3</v>
      </c>
      <c r="AG318" s="136">
        <v>23</v>
      </c>
      <c r="AH318" s="136">
        <v>24</v>
      </c>
      <c r="AI318" s="136">
        <v>26</v>
      </c>
      <c r="AJ318" s="136">
        <v>2</v>
      </c>
      <c r="AK318" s="136">
        <v>1</v>
      </c>
      <c r="AL318" s="136">
        <v>0</v>
      </c>
      <c r="AM318" s="136">
        <v>0</v>
      </c>
      <c r="AN318" s="136">
        <v>0</v>
      </c>
      <c r="AO318" s="136"/>
      <c r="AP318" s="143" t="str">
        <f>VLOOKUP(tbl_IO_List[[#This Row],[Instruement Tag]],tbl_Instruement_List[],14,FALSE)</f>
        <v>24 VDC energized,Dry Contact</v>
      </c>
      <c r="AQ318" s="143" t="str">
        <f>tbl_IO_List[[#This Row],[Chassis]]&amp;"S"&amp;tbl_IO_List[[#This Row],[Slot]]&amp;"-"&amp;tbl_IO_List[[#This Row],[Front Terminal Number]]</f>
        <v>C2S3-26</v>
      </c>
      <c r="AR318" s="141" t="s">
        <v>1863</v>
      </c>
      <c r="AS318" s="136" t="str">
        <f>tbl_IO_List[[#This Row],[Terminal Tagging]]&amp;"-"&amp;tbl_IO_List[[#This Row],[Point-Count]]</f>
        <v>P2-TBDI3-24</v>
      </c>
      <c r="AT318" s="136" t="str">
        <f>tbl_IO_List[[#This Row],[Front Terminal Tagging]]&amp;"/"&amp;tbl_IO_List[[#This Row],[Terminal Tagging-Item]]</f>
        <v>C2S3-26/P2-TBDI3-24</v>
      </c>
      <c r="AU318" s="136" t="str">
        <f>tbl_IO_List[[#This Row],[Terminal Tagging-Item]]&amp;"/"&amp;tbl_IO_List[[#This Row],[Front Terminal Tagging]]</f>
        <v>P2-TBDI3-24/C2S3-26</v>
      </c>
    </row>
    <row r="319" spans="1:47">
      <c r="A319" s="147" t="s">
        <v>1367</v>
      </c>
      <c r="B319" s="136" t="s">
        <v>270</v>
      </c>
      <c r="C319" s="136" t="str">
        <f>tbl_IO_List[[#This Row],[Column3]]</f>
        <v>C2S03,24</v>
      </c>
      <c r="D319" s="136" t="str">
        <f>tbl_IO_List[[#This Row],[Card]]</f>
        <v>1756-IB32-24</v>
      </c>
      <c r="E319" s="136" t="s">
        <v>1372</v>
      </c>
      <c r="F319" s="136" t="str">
        <f>tbl_IO_List[[#This Row],[Column23]]&amp;"-" &amp;tbl_IO_List[[#This Row],[Column52]]</f>
        <v>C2S03-X2</v>
      </c>
      <c r="G319" s="136" t="str">
        <f>tbl_IO_List[[#This Row],[PLC_Tag]]</f>
        <v>XV-60261FA_DI_1</v>
      </c>
      <c r="H319" s="136"/>
      <c r="I319" s="136" t="str">
        <f>VLOOKUP(tbl_IO_List[[#This Row],[Destination]],tbl_Junction[],2,FALSE)</f>
        <v>Spray Dryer 7th Floor</v>
      </c>
      <c r="J319" s="136" t="s">
        <v>270</v>
      </c>
      <c r="K319" s="136" t="s">
        <v>14</v>
      </c>
      <c r="L319" s="136" t="s">
        <v>299</v>
      </c>
      <c r="M319" s="136">
        <f>VLOOKUP(tbl_IO_List[[#This Row],[Instruement Tag]],tbl_Instruement_List[],2,FALSE)</f>
        <v>0</v>
      </c>
      <c r="N319" s="136" t="s">
        <v>95</v>
      </c>
      <c r="O319" s="136" t="s">
        <v>272</v>
      </c>
      <c r="P319" s="136" t="s">
        <v>273</v>
      </c>
      <c r="Q319" s="136" t="str">
        <f>VLOOKUP(tbl_IO_List[[#This Row],[Instruement Tag]],tbl_Instruement_List[],6,FALSE)</f>
        <v>Feed Slurry On/Off Valve for Nozzle #1 (ATVM-11A)</v>
      </c>
      <c r="R319" s="136"/>
      <c r="S31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19" s="136" t="str">
        <f>tbl_IO_List[[#This Row],[Instruement Tag]]&amp;"_"&amp;tbl_IO_List[[#This Row],[I/O Type]]&amp;"_"&amp;tbl_IO_List[[#This Row],[IO-Point 
(Instruement)]]</f>
        <v>XV-60261FA_DI_1</v>
      </c>
      <c r="U319" s="136" t="s">
        <v>8</v>
      </c>
      <c r="V319" s="136">
        <f>VLOOKUP(tbl_IO_List[[#This Row],[I/O Type]],tbl_Slot_Group[],2,FALSE)</f>
        <v>1</v>
      </c>
      <c r="W319" s="136">
        <v>1</v>
      </c>
      <c r="X319" s="136" t="str">
        <f>tbl_IO_List[[#This Row],[Chassis]]&amp;"S"&amp;TEXT(tbl_IO_List[[#This Row],[Slot]],"00")</f>
        <v>C2S03</v>
      </c>
      <c r="Y319" s="136" t="str">
        <f>tbl_IO_List[[#This Row],[Chassis]]&amp;"S"&amp;TEXT(tbl_IO_List[[#This Row],[Slot]],"00")&amp;tbl_IO_List[[#This Row],[I/O Type]]&amp;TEXT(tbl_IO_List[[#This Row],[Point]],"00")</f>
        <v>C2S03DI24</v>
      </c>
      <c r="Z319" s="136" t="str">
        <f>tbl_IO_List[[#This Row],[Chassis]]&amp;"S"&amp;TEXT(tbl_IO_List[[#This Row],[Slot]],"00")&amp;","&amp;TEXT(tbl_IO_List[[#This Row],[Point]],"00")</f>
        <v>C2S03,24</v>
      </c>
      <c r="AA319" s="136" t="str">
        <f>VLOOKUP(tbl_IO_List[[#This Row],[Column23]],tbl_RackConfig[],5,FALSE) &amp;"-"&amp;tbl_IO_List[[#This Row],[Point]]</f>
        <v>1756-IB32-24</v>
      </c>
      <c r="AB319" s="136"/>
      <c r="AC319" s="136"/>
      <c r="AD319" s="136" t="str">
        <f>tbl_IO_List[[#This Row],[I/O Type]]</f>
        <v>DI</v>
      </c>
      <c r="AE319" s="136" t="s">
        <v>1333</v>
      </c>
      <c r="AF319" s="136">
        <v>3</v>
      </c>
      <c r="AG319" s="136">
        <v>24</v>
      </c>
      <c r="AH319" s="136">
        <v>25</v>
      </c>
      <c r="AI319" s="136">
        <v>27</v>
      </c>
      <c r="AJ319" s="136">
        <v>2</v>
      </c>
      <c r="AK319" s="136">
        <v>1</v>
      </c>
      <c r="AL319" s="136">
        <v>0</v>
      </c>
      <c r="AM319" s="136">
        <v>0</v>
      </c>
      <c r="AN319" s="136">
        <v>0</v>
      </c>
      <c r="AO319" s="136"/>
      <c r="AP319" s="143" t="str">
        <f>VLOOKUP(tbl_IO_List[[#This Row],[Instruement Tag]],tbl_Instruement_List[],14,FALSE)</f>
        <v>24 VDC energized,Dry Contact</v>
      </c>
      <c r="AQ319" s="143" t="str">
        <f>tbl_IO_List[[#This Row],[Chassis]]&amp;"S"&amp;tbl_IO_List[[#This Row],[Slot]]&amp;"-"&amp;tbl_IO_List[[#This Row],[Front Terminal Number]]</f>
        <v>C2S3-27</v>
      </c>
      <c r="AR319" s="141" t="s">
        <v>1863</v>
      </c>
      <c r="AS319" s="136" t="str">
        <f>tbl_IO_List[[#This Row],[Terminal Tagging]]&amp;"-"&amp;tbl_IO_List[[#This Row],[Point-Count]]</f>
        <v>P2-TBDI3-25</v>
      </c>
      <c r="AT319" s="136" t="str">
        <f>tbl_IO_List[[#This Row],[Front Terminal Tagging]]&amp;"/"&amp;tbl_IO_List[[#This Row],[Terminal Tagging-Item]]</f>
        <v>C2S3-27/P2-TBDI3-25</v>
      </c>
      <c r="AU319" s="136" t="str">
        <f>tbl_IO_List[[#This Row],[Terminal Tagging-Item]]&amp;"/"&amp;tbl_IO_List[[#This Row],[Front Terminal Tagging]]</f>
        <v>P2-TBDI3-25/C2S3-27</v>
      </c>
    </row>
    <row r="320" spans="1:47">
      <c r="A320" s="147" t="s">
        <v>1367</v>
      </c>
      <c r="B320" s="136" t="s">
        <v>270</v>
      </c>
      <c r="C320" s="136" t="str">
        <f>tbl_IO_List[[#This Row],[Column3]]</f>
        <v>C2S03,25</v>
      </c>
      <c r="D320" s="136" t="str">
        <f>tbl_IO_List[[#This Row],[Card]]</f>
        <v>1756-IB32-25</v>
      </c>
      <c r="E320" s="136" t="s">
        <v>1372</v>
      </c>
      <c r="F320" s="136" t="str">
        <f>tbl_IO_List[[#This Row],[Column23]]&amp;"-" &amp;tbl_IO_List[[#This Row],[Column52]]</f>
        <v>C2S03-X2</v>
      </c>
      <c r="G320" s="136" t="str">
        <f>tbl_IO_List[[#This Row],[PLC_Tag]]</f>
        <v>XV-60261FA_DI_2</v>
      </c>
      <c r="H320" s="136"/>
      <c r="I320" s="136" t="str">
        <f>VLOOKUP(tbl_IO_List[[#This Row],[Destination]],tbl_Junction[],2,FALSE)</f>
        <v>Spray Dryer 7th Floor</v>
      </c>
      <c r="J320" s="136" t="s">
        <v>270</v>
      </c>
      <c r="K320" s="136" t="s">
        <v>14</v>
      </c>
      <c r="L320" s="136" t="s">
        <v>299</v>
      </c>
      <c r="M320" s="136">
        <f>VLOOKUP(tbl_IO_List[[#This Row],[Instruement Tag]],tbl_Instruement_List[],2,FALSE)</f>
        <v>0</v>
      </c>
      <c r="N320" s="136" t="s">
        <v>95</v>
      </c>
      <c r="O320" s="136" t="s">
        <v>272</v>
      </c>
      <c r="P320" s="136" t="s">
        <v>273</v>
      </c>
      <c r="Q320" s="136" t="str">
        <f>VLOOKUP(tbl_IO_List[[#This Row],[Instruement Tag]],tbl_Instruement_List[],6,FALSE)</f>
        <v>Feed Slurry On/Off Valve for Nozzle #1 (ATVM-11A)</v>
      </c>
      <c r="R320" s="136"/>
      <c r="S32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20" s="136" t="str">
        <f>tbl_IO_List[[#This Row],[Instruement Tag]]&amp;"_"&amp;tbl_IO_List[[#This Row],[I/O Type]]&amp;"_"&amp;tbl_IO_List[[#This Row],[IO-Point 
(Instruement)]]</f>
        <v>XV-60261FA_DI_2</v>
      </c>
      <c r="U320" s="136" t="s">
        <v>8</v>
      </c>
      <c r="V320" s="136">
        <f>VLOOKUP(tbl_IO_List[[#This Row],[I/O Type]],tbl_Slot_Group[],2,FALSE)</f>
        <v>1</v>
      </c>
      <c r="W320" s="136">
        <v>2</v>
      </c>
      <c r="X320" s="136" t="str">
        <f>tbl_IO_List[[#This Row],[Chassis]]&amp;"S"&amp;TEXT(tbl_IO_List[[#This Row],[Slot]],"00")</f>
        <v>C2S03</v>
      </c>
      <c r="Y320" s="136" t="str">
        <f>tbl_IO_List[[#This Row],[Chassis]]&amp;"S"&amp;TEXT(tbl_IO_List[[#This Row],[Slot]],"00")&amp;tbl_IO_List[[#This Row],[I/O Type]]&amp;TEXT(tbl_IO_List[[#This Row],[Point]],"00")</f>
        <v>C2S03DI25</v>
      </c>
      <c r="Z320" s="136" t="str">
        <f>tbl_IO_List[[#This Row],[Chassis]]&amp;"S"&amp;TEXT(tbl_IO_List[[#This Row],[Slot]],"00")&amp;","&amp;TEXT(tbl_IO_List[[#This Row],[Point]],"00")</f>
        <v>C2S03,25</v>
      </c>
      <c r="AA320" s="136" t="str">
        <f>VLOOKUP(tbl_IO_List[[#This Row],[Column23]],tbl_RackConfig[],5,FALSE) &amp;"-"&amp;tbl_IO_List[[#This Row],[Point]]</f>
        <v>1756-IB32-25</v>
      </c>
      <c r="AB320" s="136"/>
      <c r="AC320" s="136"/>
      <c r="AD320" s="136" t="str">
        <f>tbl_IO_List[[#This Row],[I/O Type]]</f>
        <v>DI</v>
      </c>
      <c r="AE320" s="136" t="s">
        <v>1333</v>
      </c>
      <c r="AF320" s="136">
        <v>3</v>
      </c>
      <c r="AG320" s="136">
        <v>25</v>
      </c>
      <c r="AH320" s="136">
        <v>26</v>
      </c>
      <c r="AI320" s="136">
        <v>28</v>
      </c>
      <c r="AJ320" s="136">
        <v>2</v>
      </c>
      <c r="AK320" s="136">
        <v>1</v>
      </c>
      <c r="AL320" s="136">
        <v>0</v>
      </c>
      <c r="AM320" s="136">
        <v>0</v>
      </c>
      <c r="AN320" s="136">
        <v>0</v>
      </c>
      <c r="AO320" s="136"/>
      <c r="AP320" s="143" t="str">
        <f>VLOOKUP(tbl_IO_List[[#This Row],[Instruement Tag]],tbl_Instruement_List[],14,FALSE)</f>
        <v>24 VDC energized,Dry Contact</v>
      </c>
      <c r="AQ320" s="143" t="str">
        <f>tbl_IO_List[[#This Row],[Chassis]]&amp;"S"&amp;tbl_IO_List[[#This Row],[Slot]]&amp;"-"&amp;tbl_IO_List[[#This Row],[Front Terminal Number]]</f>
        <v>C2S3-28</v>
      </c>
      <c r="AR320" s="141" t="s">
        <v>1863</v>
      </c>
      <c r="AS320" s="136" t="str">
        <f>tbl_IO_List[[#This Row],[Terminal Tagging]]&amp;"-"&amp;tbl_IO_List[[#This Row],[Point-Count]]</f>
        <v>P2-TBDI3-26</v>
      </c>
      <c r="AT320" s="136" t="str">
        <f>tbl_IO_List[[#This Row],[Front Terminal Tagging]]&amp;"/"&amp;tbl_IO_List[[#This Row],[Terminal Tagging-Item]]</f>
        <v>C2S3-28/P2-TBDI3-26</v>
      </c>
      <c r="AU320" s="136" t="str">
        <f>tbl_IO_List[[#This Row],[Terminal Tagging-Item]]&amp;"/"&amp;tbl_IO_List[[#This Row],[Front Terminal Tagging]]</f>
        <v>P2-TBDI3-26/C2S3-28</v>
      </c>
    </row>
    <row r="321" spans="1:47">
      <c r="A321" s="147" t="s">
        <v>1367</v>
      </c>
      <c r="B321" s="136" t="s">
        <v>270</v>
      </c>
      <c r="C321" s="136" t="str">
        <f>tbl_IO_List[[#This Row],[Column3]]</f>
        <v>C2S03,26</v>
      </c>
      <c r="D321" s="136" t="str">
        <f>tbl_IO_List[[#This Row],[Card]]</f>
        <v>1756-IB32-26</v>
      </c>
      <c r="E321" s="136" t="s">
        <v>1372</v>
      </c>
      <c r="F321" s="136" t="str">
        <f>tbl_IO_List[[#This Row],[Column23]]&amp;"-" &amp;tbl_IO_List[[#This Row],[Column52]]</f>
        <v>C2S03-X2</v>
      </c>
      <c r="G321" s="136" t="str">
        <f>tbl_IO_List[[#This Row],[PLC_Tag]]</f>
        <v>XV-60264SN_DI_1</v>
      </c>
      <c r="H321" s="136"/>
      <c r="I321" s="136" t="str">
        <f>VLOOKUP(tbl_IO_List[[#This Row],[Destination]],tbl_Junction[],2,FALSE)</f>
        <v>Spray Dryer 7th Floor</v>
      </c>
      <c r="J321" s="136" t="s">
        <v>270</v>
      </c>
      <c r="K321" s="136" t="s">
        <v>14</v>
      </c>
      <c r="L321" s="136" t="s">
        <v>327</v>
      </c>
      <c r="M321" s="136">
        <f>VLOOKUP(tbl_IO_List[[#This Row],[Instruement Tag]],tbl_Instruement_List[],2,FALSE)</f>
        <v>0</v>
      </c>
      <c r="N321" s="136" t="s">
        <v>95</v>
      </c>
      <c r="O321" s="136" t="s">
        <v>272</v>
      </c>
      <c r="P321" s="136" t="s">
        <v>273</v>
      </c>
      <c r="Q321" s="136" t="str">
        <f>VLOOKUP(tbl_IO_List[[#This Row],[Instruement Tag]],tbl_Instruement_List[],6,FALSE)</f>
        <v>Steam On/Off Valve for Nozzle #13 (ATVM-11D)</v>
      </c>
      <c r="R321" s="136"/>
      <c r="S32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21" s="136" t="str">
        <f>tbl_IO_List[[#This Row],[Instruement Tag]]&amp;"_"&amp;tbl_IO_List[[#This Row],[I/O Type]]&amp;"_"&amp;tbl_IO_List[[#This Row],[IO-Point 
(Instruement)]]</f>
        <v>XV-60264SN_DI_1</v>
      </c>
      <c r="U321" s="136" t="s">
        <v>8</v>
      </c>
      <c r="V321" s="136">
        <f>VLOOKUP(tbl_IO_List[[#This Row],[I/O Type]],tbl_Slot_Group[],2,FALSE)</f>
        <v>1</v>
      </c>
      <c r="W321" s="136">
        <v>1</v>
      </c>
      <c r="X321" s="136" t="str">
        <f>tbl_IO_List[[#This Row],[Chassis]]&amp;"S"&amp;TEXT(tbl_IO_List[[#This Row],[Slot]],"00")</f>
        <v>C2S03</v>
      </c>
      <c r="Y321" s="136" t="str">
        <f>tbl_IO_List[[#This Row],[Chassis]]&amp;"S"&amp;TEXT(tbl_IO_List[[#This Row],[Slot]],"00")&amp;tbl_IO_List[[#This Row],[I/O Type]]&amp;TEXT(tbl_IO_List[[#This Row],[Point]],"00")</f>
        <v>C2S03DI26</v>
      </c>
      <c r="Z321" s="136" t="str">
        <f>tbl_IO_List[[#This Row],[Chassis]]&amp;"S"&amp;TEXT(tbl_IO_List[[#This Row],[Slot]],"00")&amp;","&amp;TEXT(tbl_IO_List[[#This Row],[Point]],"00")</f>
        <v>C2S03,26</v>
      </c>
      <c r="AA321" s="136" t="str">
        <f>VLOOKUP(tbl_IO_List[[#This Row],[Column23]],tbl_RackConfig[],5,FALSE) &amp;"-"&amp;tbl_IO_List[[#This Row],[Point]]</f>
        <v>1756-IB32-26</v>
      </c>
      <c r="AB321" s="136"/>
      <c r="AC321" s="136"/>
      <c r="AD321" s="136" t="str">
        <f>tbl_IO_List[[#This Row],[I/O Type]]</f>
        <v>DI</v>
      </c>
      <c r="AE321" s="136" t="s">
        <v>1333</v>
      </c>
      <c r="AF321" s="136">
        <v>3</v>
      </c>
      <c r="AG321" s="136">
        <v>26</v>
      </c>
      <c r="AH321" s="136">
        <v>27</v>
      </c>
      <c r="AI321" s="136">
        <v>29</v>
      </c>
      <c r="AJ321" s="136">
        <v>2</v>
      </c>
      <c r="AK321" s="136">
        <v>1</v>
      </c>
      <c r="AL321" s="136">
        <v>0</v>
      </c>
      <c r="AM321" s="136">
        <v>0</v>
      </c>
      <c r="AN321" s="136">
        <v>0</v>
      </c>
      <c r="AO321" s="136"/>
      <c r="AP321" s="143" t="str">
        <f>VLOOKUP(tbl_IO_List[[#This Row],[Instruement Tag]],tbl_Instruement_List[],14,FALSE)</f>
        <v>24 VDC energized,Dry Contact</v>
      </c>
      <c r="AQ321" s="143" t="str">
        <f>tbl_IO_List[[#This Row],[Chassis]]&amp;"S"&amp;tbl_IO_List[[#This Row],[Slot]]&amp;"-"&amp;tbl_IO_List[[#This Row],[Front Terminal Number]]</f>
        <v>C2S3-29</v>
      </c>
      <c r="AR321" s="141" t="s">
        <v>1863</v>
      </c>
      <c r="AS321" s="136" t="str">
        <f>tbl_IO_List[[#This Row],[Terminal Tagging]]&amp;"-"&amp;tbl_IO_List[[#This Row],[Point-Count]]</f>
        <v>P2-TBDI3-27</v>
      </c>
      <c r="AT321" s="136" t="str">
        <f>tbl_IO_List[[#This Row],[Front Terminal Tagging]]&amp;"/"&amp;tbl_IO_List[[#This Row],[Terminal Tagging-Item]]</f>
        <v>C2S3-29/P2-TBDI3-27</v>
      </c>
      <c r="AU321" s="136" t="str">
        <f>tbl_IO_List[[#This Row],[Terminal Tagging-Item]]&amp;"/"&amp;tbl_IO_List[[#This Row],[Front Terminal Tagging]]</f>
        <v>P2-TBDI3-27/C2S3-29</v>
      </c>
    </row>
    <row r="322" spans="1:47">
      <c r="A322" s="147" t="s">
        <v>1367</v>
      </c>
      <c r="B322" s="136" t="s">
        <v>270</v>
      </c>
      <c r="C322" s="136" t="str">
        <f>tbl_IO_List[[#This Row],[Column3]]</f>
        <v>C2S03,27</v>
      </c>
      <c r="D322" s="136" t="str">
        <f>tbl_IO_List[[#This Row],[Card]]</f>
        <v>1756-IB32-27</v>
      </c>
      <c r="E322" s="136" t="s">
        <v>1372</v>
      </c>
      <c r="F322" s="136" t="str">
        <f>tbl_IO_List[[#This Row],[Column23]]&amp;"-" &amp;tbl_IO_List[[#This Row],[Column52]]</f>
        <v>C2S03-X2</v>
      </c>
      <c r="G322" s="136" t="str">
        <f>tbl_IO_List[[#This Row],[PLC_Tag]]</f>
        <v>XV-60264SN_DI_2</v>
      </c>
      <c r="H322" s="136"/>
      <c r="I322" s="136" t="str">
        <f>VLOOKUP(tbl_IO_List[[#This Row],[Destination]],tbl_Junction[],2,FALSE)</f>
        <v>Spray Dryer 7th Floor</v>
      </c>
      <c r="J322" s="136" t="s">
        <v>270</v>
      </c>
      <c r="K322" s="136" t="s">
        <v>14</v>
      </c>
      <c r="L322" s="136" t="s">
        <v>327</v>
      </c>
      <c r="M322" s="136">
        <f>VLOOKUP(tbl_IO_List[[#This Row],[Instruement Tag]],tbl_Instruement_List[],2,FALSE)</f>
        <v>0</v>
      </c>
      <c r="N322" s="136" t="s">
        <v>95</v>
      </c>
      <c r="O322" s="136" t="s">
        <v>272</v>
      </c>
      <c r="P322" s="136" t="s">
        <v>273</v>
      </c>
      <c r="Q322" s="136" t="str">
        <f>VLOOKUP(tbl_IO_List[[#This Row],[Instruement Tag]],tbl_Instruement_List[],6,FALSE)</f>
        <v>Steam On/Off Valve for Nozzle #13 (ATVM-11D)</v>
      </c>
      <c r="R322" s="136"/>
      <c r="S32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22" s="136" t="str">
        <f>tbl_IO_List[[#This Row],[Instruement Tag]]&amp;"_"&amp;tbl_IO_List[[#This Row],[I/O Type]]&amp;"_"&amp;tbl_IO_List[[#This Row],[IO-Point 
(Instruement)]]</f>
        <v>XV-60264SN_DI_2</v>
      </c>
      <c r="U322" s="136" t="s">
        <v>8</v>
      </c>
      <c r="V322" s="136">
        <f>VLOOKUP(tbl_IO_List[[#This Row],[I/O Type]],tbl_Slot_Group[],2,FALSE)</f>
        <v>1</v>
      </c>
      <c r="W322" s="136">
        <v>2</v>
      </c>
      <c r="X322" s="136" t="str">
        <f>tbl_IO_List[[#This Row],[Chassis]]&amp;"S"&amp;TEXT(tbl_IO_List[[#This Row],[Slot]],"00")</f>
        <v>C2S03</v>
      </c>
      <c r="Y322" s="136" t="str">
        <f>tbl_IO_List[[#This Row],[Chassis]]&amp;"S"&amp;TEXT(tbl_IO_List[[#This Row],[Slot]],"00")&amp;tbl_IO_List[[#This Row],[I/O Type]]&amp;TEXT(tbl_IO_List[[#This Row],[Point]],"00")</f>
        <v>C2S03DI27</v>
      </c>
      <c r="Z322" s="136" t="str">
        <f>tbl_IO_List[[#This Row],[Chassis]]&amp;"S"&amp;TEXT(tbl_IO_List[[#This Row],[Slot]],"00")&amp;","&amp;TEXT(tbl_IO_List[[#This Row],[Point]],"00")</f>
        <v>C2S03,27</v>
      </c>
      <c r="AA322" s="136" t="str">
        <f>VLOOKUP(tbl_IO_List[[#This Row],[Column23]],tbl_RackConfig[],5,FALSE) &amp;"-"&amp;tbl_IO_List[[#This Row],[Point]]</f>
        <v>1756-IB32-27</v>
      </c>
      <c r="AB322" s="136"/>
      <c r="AC322" s="136"/>
      <c r="AD322" s="136" t="str">
        <f>tbl_IO_List[[#This Row],[I/O Type]]</f>
        <v>DI</v>
      </c>
      <c r="AE322" s="136" t="s">
        <v>1333</v>
      </c>
      <c r="AF322" s="136">
        <v>3</v>
      </c>
      <c r="AG322" s="136">
        <v>27</v>
      </c>
      <c r="AH322" s="136">
        <v>28</v>
      </c>
      <c r="AI322" s="136">
        <v>30</v>
      </c>
      <c r="AJ322" s="136">
        <v>2</v>
      </c>
      <c r="AK322" s="136">
        <v>1</v>
      </c>
      <c r="AL322" s="136">
        <v>0</v>
      </c>
      <c r="AM322" s="136">
        <v>0</v>
      </c>
      <c r="AN322" s="136">
        <v>0</v>
      </c>
      <c r="AO322" s="136"/>
      <c r="AP322" s="143" t="str">
        <f>VLOOKUP(tbl_IO_List[[#This Row],[Instruement Tag]],tbl_Instruement_List[],14,FALSE)</f>
        <v>24 VDC energized,Dry Contact</v>
      </c>
      <c r="AQ322" s="143" t="str">
        <f>tbl_IO_List[[#This Row],[Chassis]]&amp;"S"&amp;tbl_IO_List[[#This Row],[Slot]]&amp;"-"&amp;tbl_IO_List[[#This Row],[Front Terminal Number]]</f>
        <v>C2S3-30</v>
      </c>
      <c r="AR322" s="141" t="s">
        <v>1863</v>
      </c>
      <c r="AS322" s="136" t="str">
        <f>tbl_IO_List[[#This Row],[Terminal Tagging]]&amp;"-"&amp;tbl_IO_List[[#This Row],[Point-Count]]</f>
        <v>P2-TBDI3-28</v>
      </c>
      <c r="AT322" s="136" t="str">
        <f>tbl_IO_List[[#This Row],[Front Terminal Tagging]]&amp;"/"&amp;tbl_IO_List[[#This Row],[Terminal Tagging-Item]]</f>
        <v>C2S3-30/P2-TBDI3-28</v>
      </c>
      <c r="AU322" s="136" t="str">
        <f>tbl_IO_List[[#This Row],[Terminal Tagging-Item]]&amp;"/"&amp;tbl_IO_List[[#This Row],[Front Terminal Tagging]]</f>
        <v>P2-TBDI3-28/C2S3-30</v>
      </c>
    </row>
    <row r="323" spans="1:47">
      <c r="A323" s="147" t="s">
        <v>1367</v>
      </c>
      <c r="B323" s="136" t="s">
        <v>270</v>
      </c>
      <c r="C323" s="136" t="str">
        <f>tbl_IO_List[[#This Row],[Column3]]</f>
        <v>C2S03,28</v>
      </c>
      <c r="D323" s="136" t="str">
        <f>tbl_IO_List[[#This Row],[Card]]</f>
        <v>1756-IB32-28</v>
      </c>
      <c r="E323" s="136" t="s">
        <v>1372</v>
      </c>
      <c r="F323" s="136" t="str">
        <f>tbl_IO_List[[#This Row],[Column23]]&amp;"-" &amp;tbl_IO_List[[#This Row],[Column52]]</f>
        <v>C2S03-X2</v>
      </c>
      <c r="G323" s="136" t="str">
        <f>tbl_IO_List[[#This Row],[PLC_Tag]]</f>
        <v>XV-60261FB_DI_1</v>
      </c>
      <c r="H323" s="136"/>
      <c r="I323" s="136" t="str">
        <f>VLOOKUP(tbl_IO_List[[#This Row],[Destination]],tbl_Junction[],2,FALSE)</f>
        <v>Spray Dryer 7th Floor</v>
      </c>
      <c r="J323" s="136" t="s">
        <v>270</v>
      </c>
      <c r="K323" s="136" t="s">
        <v>14</v>
      </c>
      <c r="L323" s="136" t="s">
        <v>300</v>
      </c>
      <c r="M323" s="136">
        <f>VLOOKUP(tbl_IO_List[[#This Row],[Instruement Tag]],tbl_Instruement_List[],2,FALSE)</f>
        <v>0</v>
      </c>
      <c r="N323" s="136" t="s">
        <v>95</v>
      </c>
      <c r="O323" s="136" t="s">
        <v>272</v>
      </c>
      <c r="P323" s="136" t="s">
        <v>273</v>
      </c>
      <c r="Q323" s="136" t="str">
        <f>VLOOKUP(tbl_IO_List[[#This Row],[Instruement Tag]],tbl_Instruement_List[],6,FALSE)</f>
        <v>Feed Slurry On/Off Valve for Nozzle #2 (ATVM-11A)</v>
      </c>
      <c r="R323" s="136"/>
      <c r="S32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23" s="136" t="str">
        <f>tbl_IO_List[[#This Row],[Instruement Tag]]&amp;"_"&amp;tbl_IO_List[[#This Row],[I/O Type]]&amp;"_"&amp;tbl_IO_List[[#This Row],[IO-Point 
(Instruement)]]</f>
        <v>XV-60261FB_DI_1</v>
      </c>
      <c r="U323" s="136" t="s">
        <v>8</v>
      </c>
      <c r="V323" s="136">
        <f>VLOOKUP(tbl_IO_List[[#This Row],[I/O Type]],tbl_Slot_Group[],2,FALSE)</f>
        <v>1</v>
      </c>
      <c r="W323" s="136">
        <v>1</v>
      </c>
      <c r="X323" s="136" t="str">
        <f>tbl_IO_List[[#This Row],[Chassis]]&amp;"S"&amp;TEXT(tbl_IO_List[[#This Row],[Slot]],"00")</f>
        <v>C2S03</v>
      </c>
      <c r="Y323" s="136" t="str">
        <f>tbl_IO_List[[#This Row],[Chassis]]&amp;"S"&amp;TEXT(tbl_IO_List[[#This Row],[Slot]],"00")&amp;tbl_IO_List[[#This Row],[I/O Type]]&amp;TEXT(tbl_IO_List[[#This Row],[Point]],"00")</f>
        <v>C2S03DI28</v>
      </c>
      <c r="Z323" s="136" t="str">
        <f>tbl_IO_List[[#This Row],[Chassis]]&amp;"S"&amp;TEXT(tbl_IO_List[[#This Row],[Slot]],"00")&amp;","&amp;TEXT(tbl_IO_List[[#This Row],[Point]],"00")</f>
        <v>C2S03,28</v>
      </c>
      <c r="AA323" s="136" t="str">
        <f>VLOOKUP(tbl_IO_List[[#This Row],[Column23]],tbl_RackConfig[],5,FALSE) &amp;"-"&amp;tbl_IO_List[[#This Row],[Point]]</f>
        <v>1756-IB32-28</v>
      </c>
      <c r="AB323" s="136"/>
      <c r="AC323" s="136"/>
      <c r="AD323" s="136" t="str">
        <f>tbl_IO_List[[#This Row],[I/O Type]]</f>
        <v>DI</v>
      </c>
      <c r="AE323" s="136" t="s">
        <v>1333</v>
      </c>
      <c r="AF323" s="136">
        <v>3</v>
      </c>
      <c r="AG323" s="136">
        <v>28</v>
      </c>
      <c r="AH323" s="136">
        <v>29</v>
      </c>
      <c r="AI323" s="136">
        <v>31</v>
      </c>
      <c r="AJ323" s="136">
        <v>2</v>
      </c>
      <c r="AK323" s="136">
        <v>1</v>
      </c>
      <c r="AL323" s="136">
        <v>0</v>
      </c>
      <c r="AM323" s="136">
        <v>0</v>
      </c>
      <c r="AN323" s="136">
        <v>0</v>
      </c>
      <c r="AO323" s="136"/>
      <c r="AP323" s="143" t="str">
        <f>VLOOKUP(tbl_IO_List[[#This Row],[Instruement Tag]],tbl_Instruement_List[],14,FALSE)</f>
        <v>24 VDC energized,Dry Contact</v>
      </c>
      <c r="AQ323" s="143" t="str">
        <f>tbl_IO_List[[#This Row],[Chassis]]&amp;"S"&amp;tbl_IO_List[[#This Row],[Slot]]&amp;"-"&amp;tbl_IO_List[[#This Row],[Front Terminal Number]]</f>
        <v>C2S3-31</v>
      </c>
      <c r="AR323" s="141" t="s">
        <v>1863</v>
      </c>
      <c r="AS323" s="136" t="str">
        <f>tbl_IO_List[[#This Row],[Terminal Tagging]]&amp;"-"&amp;tbl_IO_List[[#This Row],[Point-Count]]</f>
        <v>P2-TBDI3-29</v>
      </c>
      <c r="AT323" s="136" t="str">
        <f>tbl_IO_List[[#This Row],[Front Terminal Tagging]]&amp;"/"&amp;tbl_IO_List[[#This Row],[Terminal Tagging-Item]]</f>
        <v>C2S3-31/P2-TBDI3-29</v>
      </c>
      <c r="AU323" s="136" t="str">
        <f>tbl_IO_List[[#This Row],[Terminal Tagging-Item]]&amp;"/"&amp;tbl_IO_List[[#This Row],[Front Terminal Tagging]]</f>
        <v>P2-TBDI3-29/C2S3-31</v>
      </c>
    </row>
    <row r="324" spans="1:47">
      <c r="A324" s="147" t="s">
        <v>1367</v>
      </c>
      <c r="B324" s="136" t="s">
        <v>270</v>
      </c>
      <c r="C324" s="136" t="str">
        <f>tbl_IO_List[[#This Row],[Column3]]</f>
        <v>C2S03,29</v>
      </c>
      <c r="D324" s="136" t="str">
        <f>tbl_IO_List[[#This Row],[Card]]</f>
        <v>1756-IB32-29</v>
      </c>
      <c r="E324" s="136" t="s">
        <v>1372</v>
      </c>
      <c r="F324" s="136" t="str">
        <f>tbl_IO_List[[#This Row],[Column23]]&amp;"-" &amp;tbl_IO_List[[#This Row],[Column52]]</f>
        <v>C2S03-X2</v>
      </c>
      <c r="G324" s="136" t="str">
        <f>tbl_IO_List[[#This Row],[PLC_Tag]]</f>
        <v>XV-60261FB_DI_2</v>
      </c>
      <c r="H324" s="136"/>
      <c r="I324" s="136" t="str">
        <f>VLOOKUP(tbl_IO_List[[#This Row],[Destination]],tbl_Junction[],2,FALSE)</f>
        <v>Spray Dryer 7th Floor</v>
      </c>
      <c r="J324" s="136" t="s">
        <v>270</v>
      </c>
      <c r="K324" s="136" t="s">
        <v>14</v>
      </c>
      <c r="L324" s="136" t="s">
        <v>300</v>
      </c>
      <c r="M324" s="136">
        <f>VLOOKUP(tbl_IO_List[[#This Row],[Instruement Tag]],tbl_Instruement_List[],2,FALSE)</f>
        <v>0</v>
      </c>
      <c r="N324" s="136" t="s">
        <v>95</v>
      </c>
      <c r="O324" s="136" t="s">
        <v>272</v>
      </c>
      <c r="P324" s="136" t="s">
        <v>273</v>
      </c>
      <c r="Q324" s="136" t="str">
        <f>VLOOKUP(tbl_IO_List[[#This Row],[Instruement Tag]],tbl_Instruement_List[],6,FALSE)</f>
        <v>Feed Slurry On/Off Valve for Nozzle #2 (ATVM-11A)</v>
      </c>
      <c r="R324" s="136"/>
      <c r="S32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24" s="136" t="str">
        <f>tbl_IO_List[[#This Row],[Instruement Tag]]&amp;"_"&amp;tbl_IO_List[[#This Row],[I/O Type]]&amp;"_"&amp;tbl_IO_List[[#This Row],[IO-Point 
(Instruement)]]</f>
        <v>XV-60261FB_DI_2</v>
      </c>
      <c r="U324" s="136" t="s">
        <v>8</v>
      </c>
      <c r="V324" s="136">
        <f>VLOOKUP(tbl_IO_List[[#This Row],[I/O Type]],tbl_Slot_Group[],2,FALSE)</f>
        <v>1</v>
      </c>
      <c r="W324" s="136">
        <v>2</v>
      </c>
      <c r="X324" s="136" t="str">
        <f>tbl_IO_List[[#This Row],[Chassis]]&amp;"S"&amp;TEXT(tbl_IO_List[[#This Row],[Slot]],"00")</f>
        <v>C2S03</v>
      </c>
      <c r="Y324" s="136" t="str">
        <f>tbl_IO_List[[#This Row],[Chassis]]&amp;"S"&amp;TEXT(tbl_IO_List[[#This Row],[Slot]],"00")&amp;tbl_IO_List[[#This Row],[I/O Type]]&amp;TEXT(tbl_IO_List[[#This Row],[Point]],"00")</f>
        <v>C2S03DI29</v>
      </c>
      <c r="Z324" s="136" t="str">
        <f>tbl_IO_List[[#This Row],[Chassis]]&amp;"S"&amp;TEXT(tbl_IO_List[[#This Row],[Slot]],"00")&amp;","&amp;TEXT(tbl_IO_List[[#This Row],[Point]],"00")</f>
        <v>C2S03,29</v>
      </c>
      <c r="AA324" s="136" t="str">
        <f>VLOOKUP(tbl_IO_List[[#This Row],[Column23]],tbl_RackConfig[],5,FALSE) &amp;"-"&amp;tbl_IO_List[[#This Row],[Point]]</f>
        <v>1756-IB32-29</v>
      </c>
      <c r="AB324" s="136"/>
      <c r="AC324" s="136"/>
      <c r="AD324" s="136" t="str">
        <f>tbl_IO_List[[#This Row],[I/O Type]]</f>
        <v>DI</v>
      </c>
      <c r="AE324" s="136" t="s">
        <v>1333</v>
      </c>
      <c r="AF324" s="136">
        <v>3</v>
      </c>
      <c r="AG324" s="136">
        <v>29</v>
      </c>
      <c r="AH324" s="136">
        <v>30</v>
      </c>
      <c r="AI324" s="136">
        <v>32</v>
      </c>
      <c r="AJ324" s="136">
        <v>2</v>
      </c>
      <c r="AK324" s="136">
        <v>1</v>
      </c>
      <c r="AL324" s="136">
        <v>0</v>
      </c>
      <c r="AM324" s="136">
        <v>0</v>
      </c>
      <c r="AN324" s="136">
        <v>0</v>
      </c>
      <c r="AO324" s="136"/>
      <c r="AP324" s="143" t="str">
        <f>VLOOKUP(tbl_IO_List[[#This Row],[Instruement Tag]],tbl_Instruement_List[],14,FALSE)</f>
        <v>24 VDC energized,Dry Contact</v>
      </c>
      <c r="AQ324" s="143" t="str">
        <f>tbl_IO_List[[#This Row],[Chassis]]&amp;"S"&amp;tbl_IO_List[[#This Row],[Slot]]&amp;"-"&amp;tbl_IO_List[[#This Row],[Front Terminal Number]]</f>
        <v>C2S3-32</v>
      </c>
      <c r="AR324" s="141" t="s">
        <v>1863</v>
      </c>
      <c r="AS324" s="136" t="str">
        <f>tbl_IO_List[[#This Row],[Terminal Tagging]]&amp;"-"&amp;tbl_IO_List[[#This Row],[Point-Count]]</f>
        <v>P2-TBDI3-30</v>
      </c>
      <c r="AT324" s="136" t="str">
        <f>tbl_IO_List[[#This Row],[Front Terminal Tagging]]&amp;"/"&amp;tbl_IO_List[[#This Row],[Terminal Tagging-Item]]</f>
        <v>C2S3-32/P2-TBDI3-30</v>
      </c>
      <c r="AU324" s="136" t="str">
        <f>tbl_IO_List[[#This Row],[Terminal Tagging-Item]]&amp;"/"&amp;tbl_IO_List[[#This Row],[Front Terminal Tagging]]</f>
        <v>P2-TBDI3-30/C2S3-32</v>
      </c>
    </row>
    <row r="325" spans="1:47">
      <c r="A325" s="147" t="s">
        <v>1367</v>
      </c>
      <c r="B325" s="136" t="s">
        <v>270</v>
      </c>
      <c r="C325" s="136" t="str">
        <f>tbl_IO_List[[#This Row],[Column3]]</f>
        <v>C2S03,30</v>
      </c>
      <c r="D325" s="136" t="str">
        <f>tbl_IO_List[[#This Row],[Card]]</f>
        <v>1756-IB32-30</v>
      </c>
      <c r="E325" s="136" t="s">
        <v>1372</v>
      </c>
      <c r="F325" s="136" t="str">
        <f>tbl_IO_List[[#This Row],[Column23]]&amp;"-" &amp;tbl_IO_List[[#This Row],[Column52]]</f>
        <v>C2S03-X2</v>
      </c>
      <c r="G325" s="136" t="str">
        <f>tbl_IO_List[[#This Row],[PLC_Tag]]</f>
        <v>XV-60264SP_DI_1</v>
      </c>
      <c r="H325" s="136"/>
      <c r="I325" s="136" t="str">
        <f>VLOOKUP(tbl_IO_List[[#This Row],[Destination]],tbl_Junction[],2,FALSE)</f>
        <v>Spray Dryer 7th Floor</v>
      </c>
      <c r="J325" s="136" t="s">
        <v>270</v>
      </c>
      <c r="K325" s="136" t="s">
        <v>14</v>
      </c>
      <c r="L325" s="136" t="s">
        <v>328</v>
      </c>
      <c r="M325" s="136">
        <f>VLOOKUP(tbl_IO_List[[#This Row],[Instruement Tag]],tbl_Instruement_List[],2,FALSE)</f>
        <v>0</v>
      </c>
      <c r="N325" s="136" t="s">
        <v>95</v>
      </c>
      <c r="O325" s="136" t="s">
        <v>272</v>
      </c>
      <c r="P325" s="136" t="s">
        <v>273</v>
      </c>
      <c r="Q325" s="136" t="str">
        <f>VLOOKUP(tbl_IO_List[[#This Row],[Instruement Tag]],tbl_Instruement_List[],6,FALSE)</f>
        <v>Steam On/Off Valve for Nozzle #14 (ATVM-11D)</v>
      </c>
      <c r="R325" s="136"/>
      <c r="S32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25" s="136" t="str">
        <f>tbl_IO_List[[#This Row],[Instruement Tag]]&amp;"_"&amp;tbl_IO_List[[#This Row],[I/O Type]]&amp;"_"&amp;tbl_IO_List[[#This Row],[IO-Point 
(Instruement)]]</f>
        <v>XV-60264SP_DI_1</v>
      </c>
      <c r="U325" s="136" t="s">
        <v>8</v>
      </c>
      <c r="V325" s="136">
        <f>VLOOKUP(tbl_IO_List[[#This Row],[I/O Type]],tbl_Slot_Group[],2,FALSE)</f>
        <v>1</v>
      </c>
      <c r="W325" s="136">
        <v>1</v>
      </c>
      <c r="X325" s="136" t="str">
        <f>tbl_IO_List[[#This Row],[Chassis]]&amp;"S"&amp;TEXT(tbl_IO_List[[#This Row],[Slot]],"00")</f>
        <v>C2S03</v>
      </c>
      <c r="Y325" s="136" t="str">
        <f>tbl_IO_List[[#This Row],[Chassis]]&amp;"S"&amp;TEXT(tbl_IO_List[[#This Row],[Slot]],"00")&amp;tbl_IO_List[[#This Row],[I/O Type]]&amp;TEXT(tbl_IO_List[[#This Row],[Point]],"00")</f>
        <v>C2S03DI30</v>
      </c>
      <c r="Z325" s="136" t="str">
        <f>tbl_IO_List[[#This Row],[Chassis]]&amp;"S"&amp;TEXT(tbl_IO_List[[#This Row],[Slot]],"00")&amp;","&amp;TEXT(tbl_IO_List[[#This Row],[Point]],"00")</f>
        <v>C2S03,30</v>
      </c>
      <c r="AA325" s="136" t="str">
        <f>VLOOKUP(tbl_IO_List[[#This Row],[Column23]],tbl_RackConfig[],5,FALSE) &amp;"-"&amp;tbl_IO_List[[#This Row],[Point]]</f>
        <v>1756-IB32-30</v>
      </c>
      <c r="AB325" s="136"/>
      <c r="AC325" s="136"/>
      <c r="AD325" s="136" t="str">
        <f>tbl_IO_List[[#This Row],[I/O Type]]</f>
        <v>DI</v>
      </c>
      <c r="AE325" s="136" t="s">
        <v>1333</v>
      </c>
      <c r="AF325" s="136">
        <v>3</v>
      </c>
      <c r="AG325" s="136">
        <v>30</v>
      </c>
      <c r="AH325" s="136">
        <v>31</v>
      </c>
      <c r="AI325" s="136">
        <v>33</v>
      </c>
      <c r="AJ325" s="136">
        <v>2</v>
      </c>
      <c r="AK325" s="136">
        <v>1</v>
      </c>
      <c r="AL325" s="136">
        <v>0</v>
      </c>
      <c r="AM325" s="136">
        <v>0</v>
      </c>
      <c r="AN325" s="136">
        <v>0</v>
      </c>
      <c r="AO325" s="136"/>
      <c r="AP325" s="143" t="str">
        <f>VLOOKUP(tbl_IO_List[[#This Row],[Instruement Tag]],tbl_Instruement_List[],14,FALSE)</f>
        <v>24 VDC energized,Dry Contact</v>
      </c>
      <c r="AQ325" s="143" t="str">
        <f>tbl_IO_List[[#This Row],[Chassis]]&amp;"S"&amp;tbl_IO_List[[#This Row],[Slot]]&amp;"-"&amp;tbl_IO_List[[#This Row],[Front Terminal Number]]</f>
        <v>C2S3-33</v>
      </c>
      <c r="AR325" s="141" t="s">
        <v>1863</v>
      </c>
      <c r="AS325" s="136" t="str">
        <f>tbl_IO_List[[#This Row],[Terminal Tagging]]&amp;"-"&amp;tbl_IO_List[[#This Row],[Point-Count]]</f>
        <v>P2-TBDI3-31</v>
      </c>
      <c r="AT325" s="136" t="str">
        <f>tbl_IO_List[[#This Row],[Front Terminal Tagging]]&amp;"/"&amp;tbl_IO_List[[#This Row],[Terminal Tagging-Item]]</f>
        <v>C2S3-33/P2-TBDI3-31</v>
      </c>
      <c r="AU325" s="136" t="str">
        <f>tbl_IO_List[[#This Row],[Terminal Tagging-Item]]&amp;"/"&amp;tbl_IO_List[[#This Row],[Front Terminal Tagging]]</f>
        <v>P2-TBDI3-31/C2S3-33</v>
      </c>
    </row>
    <row r="326" spans="1:47">
      <c r="A326" s="147" t="s">
        <v>1367</v>
      </c>
      <c r="B326" s="136" t="s">
        <v>270</v>
      </c>
      <c r="C326" s="136" t="str">
        <f>tbl_IO_List[[#This Row],[Column3]]</f>
        <v>C2S03,31</v>
      </c>
      <c r="D326" s="136" t="str">
        <f>tbl_IO_List[[#This Row],[Card]]</f>
        <v>1756-IB32-31</v>
      </c>
      <c r="E326" s="136" t="s">
        <v>1372</v>
      </c>
      <c r="F326" s="136" t="str">
        <f>tbl_IO_List[[#This Row],[Column23]]&amp;"-" &amp;tbl_IO_List[[#This Row],[Column52]]</f>
        <v>C2S03-X2</v>
      </c>
      <c r="G326" s="136" t="str">
        <f>tbl_IO_List[[#This Row],[PLC_Tag]]</f>
        <v>XV-60264SP_DI_2</v>
      </c>
      <c r="H326" s="136"/>
      <c r="I326" s="136" t="str">
        <f>VLOOKUP(tbl_IO_List[[#This Row],[Destination]],tbl_Junction[],2,FALSE)</f>
        <v>Spray Dryer 7th Floor</v>
      </c>
      <c r="J326" s="136" t="s">
        <v>270</v>
      </c>
      <c r="K326" s="136" t="s">
        <v>14</v>
      </c>
      <c r="L326" s="136" t="s">
        <v>328</v>
      </c>
      <c r="M326" s="136">
        <f>VLOOKUP(tbl_IO_List[[#This Row],[Instruement Tag]],tbl_Instruement_List[],2,FALSE)</f>
        <v>0</v>
      </c>
      <c r="N326" s="136" t="s">
        <v>95</v>
      </c>
      <c r="O326" s="136" t="s">
        <v>272</v>
      </c>
      <c r="P326" s="136" t="s">
        <v>273</v>
      </c>
      <c r="Q326" s="136" t="str">
        <f>VLOOKUP(tbl_IO_List[[#This Row],[Instruement Tag]],tbl_Instruement_List[],6,FALSE)</f>
        <v>Steam On/Off Valve for Nozzle #14 (ATVM-11D)</v>
      </c>
      <c r="R326" s="136"/>
      <c r="S32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26" s="136" t="str">
        <f>tbl_IO_List[[#This Row],[Instruement Tag]]&amp;"_"&amp;tbl_IO_List[[#This Row],[I/O Type]]&amp;"_"&amp;tbl_IO_List[[#This Row],[IO-Point 
(Instruement)]]</f>
        <v>XV-60264SP_DI_2</v>
      </c>
      <c r="U326" s="136" t="s">
        <v>8</v>
      </c>
      <c r="V326" s="136">
        <f>VLOOKUP(tbl_IO_List[[#This Row],[I/O Type]],tbl_Slot_Group[],2,FALSE)</f>
        <v>1</v>
      </c>
      <c r="W326" s="136">
        <v>2</v>
      </c>
      <c r="X326" s="136" t="str">
        <f>tbl_IO_List[[#This Row],[Chassis]]&amp;"S"&amp;TEXT(tbl_IO_List[[#This Row],[Slot]],"00")</f>
        <v>C2S03</v>
      </c>
      <c r="Y326" s="136" t="str">
        <f>tbl_IO_List[[#This Row],[Chassis]]&amp;"S"&amp;TEXT(tbl_IO_List[[#This Row],[Slot]],"00")&amp;tbl_IO_List[[#This Row],[I/O Type]]&amp;TEXT(tbl_IO_List[[#This Row],[Point]],"00")</f>
        <v>C2S03DI31</v>
      </c>
      <c r="Z326" s="136" t="str">
        <f>tbl_IO_List[[#This Row],[Chassis]]&amp;"S"&amp;TEXT(tbl_IO_List[[#This Row],[Slot]],"00")&amp;","&amp;TEXT(tbl_IO_List[[#This Row],[Point]],"00")</f>
        <v>C2S03,31</v>
      </c>
      <c r="AA326" s="136" t="str">
        <f>VLOOKUP(tbl_IO_List[[#This Row],[Column23]],tbl_RackConfig[],5,FALSE) &amp;"-"&amp;tbl_IO_List[[#This Row],[Point]]</f>
        <v>1756-IB32-31</v>
      </c>
      <c r="AB326" s="136"/>
      <c r="AC326" s="136"/>
      <c r="AD326" s="136" t="str">
        <f>tbl_IO_List[[#This Row],[I/O Type]]</f>
        <v>DI</v>
      </c>
      <c r="AE326" s="136" t="s">
        <v>1333</v>
      </c>
      <c r="AF326" s="136">
        <v>3</v>
      </c>
      <c r="AG326" s="136">
        <v>31</v>
      </c>
      <c r="AH326" s="136">
        <v>32</v>
      </c>
      <c r="AI326" s="136">
        <v>34</v>
      </c>
      <c r="AJ326" s="136">
        <v>2</v>
      </c>
      <c r="AK326" s="136">
        <v>1</v>
      </c>
      <c r="AL326" s="136">
        <v>0</v>
      </c>
      <c r="AM326" s="136">
        <v>0</v>
      </c>
      <c r="AN326" s="136">
        <v>0</v>
      </c>
      <c r="AO326" s="136"/>
      <c r="AP326" s="143" t="str">
        <f>VLOOKUP(tbl_IO_List[[#This Row],[Instruement Tag]],tbl_Instruement_List[],14,FALSE)</f>
        <v>24 VDC energized,Dry Contact</v>
      </c>
      <c r="AQ326" s="143" t="str">
        <f>tbl_IO_List[[#This Row],[Chassis]]&amp;"S"&amp;tbl_IO_List[[#This Row],[Slot]]&amp;"-"&amp;tbl_IO_List[[#This Row],[Front Terminal Number]]</f>
        <v>C2S3-34</v>
      </c>
      <c r="AR326" s="141" t="s">
        <v>1863</v>
      </c>
      <c r="AS326" s="136" t="str">
        <f>tbl_IO_List[[#This Row],[Terminal Tagging]]&amp;"-"&amp;tbl_IO_List[[#This Row],[Point-Count]]</f>
        <v>P2-TBDI3-32</v>
      </c>
      <c r="AT326" s="136" t="str">
        <f>tbl_IO_List[[#This Row],[Front Terminal Tagging]]&amp;"/"&amp;tbl_IO_List[[#This Row],[Terminal Tagging-Item]]</f>
        <v>C2S3-34/P2-TBDI3-32</v>
      </c>
      <c r="AU326" s="136" t="str">
        <f>tbl_IO_List[[#This Row],[Terminal Tagging-Item]]&amp;"/"&amp;tbl_IO_List[[#This Row],[Front Terminal Tagging]]</f>
        <v>P2-TBDI3-32/C2S3-34</v>
      </c>
    </row>
    <row r="327" spans="1:47">
      <c r="A327" s="147" t="s">
        <v>1367</v>
      </c>
      <c r="B327" s="136" t="s">
        <v>270</v>
      </c>
      <c r="C327" s="136" t="str">
        <f>tbl_IO_List[[#This Row],[Column3]]</f>
        <v>C2S04,00</v>
      </c>
      <c r="D327" s="136" t="str">
        <f>tbl_IO_List[[#This Row],[Card]]</f>
        <v>1756-IB32-0</v>
      </c>
      <c r="E327" s="136" t="s">
        <v>1366</v>
      </c>
      <c r="F327" s="136" t="str">
        <f>tbl_IO_List[[#This Row],[Column23]]&amp;"-" &amp;tbl_IO_List[[#This Row],[Column52]]</f>
        <v>C2S04-X1</v>
      </c>
      <c r="G327" s="136" t="str">
        <f>tbl_IO_List[[#This Row],[PLC_Tag]]</f>
        <v>XV-60261FC_DI_1</v>
      </c>
      <c r="H327" s="136"/>
      <c r="I327" s="136" t="str">
        <f>VLOOKUP(tbl_IO_List[[#This Row],[Destination]],tbl_Junction[],2,FALSE)</f>
        <v>Spray Dryer 7th Floor</v>
      </c>
      <c r="J327" s="136" t="s">
        <v>270</v>
      </c>
      <c r="K327" s="136" t="s">
        <v>14</v>
      </c>
      <c r="L327" s="136" t="s">
        <v>301</v>
      </c>
      <c r="M327" s="136">
        <f>VLOOKUP(tbl_IO_List[[#This Row],[Instruement Tag]],tbl_Instruement_List[],2,FALSE)</f>
        <v>0</v>
      </c>
      <c r="N327" s="136" t="s">
        <v>95</v>
      </c>
      <c r="O327" s="136" t="s">
        <v>272</v>
      </c>
      <c r="P327" s="136" t="s">
        <v>273</v>
      </c>
      <c r="Q327" s="136" t="str">
        <f>VLOOKUP(tbl_IO_List[[#This Row],[Instruement Tag]],tbl_Instruement_List[],6,FALSE)</f>
        <v>Feed Slurry On/Off Valve for Nozzle #3 (ATVM-11A)</v>
      </c>
      <c r="R327" s="136"/>
      <c r="S32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27" s="136" t="str">
        <f>tbl_IO_List[[#This Row],[Instruement Tag]]&amp;"_"&amp;tbl_IO_List[[#This Row],[I/O Type]]&amp;"_"&amp;tbl_IO_List[[#This Row],[IO-Point 
(Instruement)]]</f>
        <v>XV-60261FC_DI_1</v>
      </c>
      <c r="U327" s="136" t="s">
        <v>8</v>
      </c>
      <c r="V327" s="136">
        <f>VLOOKUP(tbl_IO_List[[#This Row],[I/O Type]],tbl_Slot_Group[],2,FALSE)</f>
        <v>1</v>
      </c>
      <c r="W327" s="136">
        <v>1</v>
      </c>
      <c r="X327" s="136" t="str">
        <f>tbl_IO_List[[#This Row],[Chassis]]&amp;"S"&amp;TEXT(tbl_IO_List[[#This Row],[Slot]],"00")</f>
        <v>C2S04</v>
      </c>
      <c r="Y327" s="136" t="str">
        <f>tbl_IO_List[[#This Row],[Chassis]]&amp;"S"&amp;TEXT(tbl_IO_List[[#This Row],[Slot]],"00")&amp;tbl_IO_List[[#This Row],[I/O Type]]&amp;TEXT(tbl_IO_List[[#This Row],[Point]],"00")</f>
        <v>C2S04DI00</v>
      </c>
      <c r="Z327" s="136" t="str">
        <f>tbl_IO_List[[#This Row],[Chassis]]&amp;"S"&amp;TEXT(tbl_IO_List[[#This Row],[Slot]],"00")&amp;","&amp;TEXT(tbl_IO_List[[#This Row],[Point]],"00")</f>
        <v>C2S04,00</v>
      </c>
      <c r="AA327" s="136" t="str">
        <f>VLOOKUP(tbl_IO_List[[#This Row],[Column23]],tbl_RackConfig[],5,FALSE) &amp;"-"&amp;tbl_IO_List[[#This Row],[Point]]</f>
        <v>1756-IB32-0</v>
      </c>
      <c r="AB327" s="136"/>
      <c r="AC327" s="136"/>
      <c r="AD327" s="136" t="str">
        <f>tbl_IO_List[[#This Row],[I/O Type]]</f>
        <v>DI</v>
      </c>
      <c r="AE327" s="136" t="s">
        <v>1333</v>
      </c>
      <c r="AF327" s="136">
        <v>4</v>
      </c>
      <c r="AG327" s="136">
        <v>0</v>
      </c>
      <c r="AH327" s="136">
        <v>1</v>
      </c>
      <c r="AI327" s="136">
        <v>1</v>
      </c>
      <c r="AJ327" s="136">
        <v>2</v>
      </c>
      <c r="AK327" s="136">
        <v>1</v>
      </c>
      <c r="AL327" s="136">
        <v>0</v>
      </c>
      <c r="AM327" s="136">
        <v>0</v>
      </c>
      <c r="AN327" s="136">
        <v>0</v>
      </c>
      <c r="AO327" s="136"/>
      <c r="AP327" s="143" t="str">
        <f>VLOOKUP(tbl_IO_List[[#This Row],[Instruement Tag]],tbl_Instruement_List[],14,FALSE)</f>
        <v>24 VDC energized,Dry Contact</v>
      </c>
      <c r="AQ327" s="143" t="str">
        <f>tbl_IO_List[[#This Row],[Chassis]]&amp;"S"&amp;tbl_IO_List[[#This Row],[Slot]]&amp;"-"&amp;tbl_IO_List[[#This Row],[Front Terminal Number]]</f>
        <v>C2S4-1</v>
      </c>
      <c r="AR327" s="141" t="s">
        <v>1864</v>
      </c>
      <c r="AS327" s="136" t="str">
        <f>tbl_IO_List[[#This Row],[Terminal Tagging]]&amp;"-"&amp;tbl_IO_List[[#This Row],[Point-Count]]</f>
        <v>P2-TBDI4-1</v>
      </c>
      <c r="AT327" s="136" t="str">
        <f>tbl_IO_List[[#This Row],[Front Terminal Tagging]]&amp;"/"&amp;tbl_IO_List[[#This Row],[Terminal Tagging-Item]]</f>
        <v>C2S4-1/P2-TBDI4-1</v>
      </c>
      <c r="AU327" s="136" t="str">
        <f>tbl_IO_List[[#This Row],[Terminal Tagging-Item]]&amp;"/"&amp;tbl_IO_List[[#This Row],[Front Terminal Tagging]]</f>
        <v>P2-TBDI4-1/C2S4-1</v>
      </c>
    </row>
    <row r="328" spans="1:47">
      <c r="A328" s="147" t="s">
        <v>1367</v>
      </c>
      <c r="B328" s="136" t="s">
        <v>270</v>
      </c>
      <c r="C328" s="136" t="str">
        <f>tbl_IO_List[[#This Row],[Column3]]</f>
        <v>C2S04,01</v>
      </c>
      <c r="D328" s="136" t="str">
        <f>tbl_IO_List[[#This Row],[Card]]</f>
        <v>1756-IB32-1</v>
      </c>
      <c r="E328" s="136" t="s">
        <v>1366</v>
      </c>
      <c r="F328" s="136" t="str">
        <f>tbl_IO_List[[#This Row],[Column23]]&amp;"-" &amp;tbl_IO_List[[#This Row],[Column52]]</f>
        <v>C2S04-X1</v>
      </c>
      <c r="G328" s="136" t="str">
        <f>tbl_IO_List[[#This Row],[PLC_Tag]]</f>
        <v>XV-60261FC_DI_2</v>
      </c>
      <c r="H328" s="136"/>
      <c r="I328" s="136" t="str">
        <f>VLOOKUP(tbl_IO_List[[#This Row],[Destination]],tbl_Junction[],2,FALSE)</f>
        <v>Spray Dryer 7th Floor</v>
      </c>
      <c r="J328" s="136" t="s">
        <v>270</v>
      </c>
      <c r="K328" s="136" t="s">
        <v>14</v>
      </c>
      <c r="L328" s="136" t="s">
        <v>301</v>
      </c>
      <c r="M328" s="136">
        <f>VLOOKUP(tbl_IO_List[[#This Row],[Instruement Tag]],tbl_Instruement_List[],2,FALSE)</f>
        <v>0</v>
      </c>
      <c r="N328" s="136" t="s">
        <v>95</v>
      </c>
      <c r="O328" s="136" t="s">
        <v>272</v>
      </c>
      <c r="P328" s="136" t="s">
        <v>273</v>
      </c>
      <c r="Q328" s="136" t="str">
        <f>VLOOKUP(tbl_IO_List[[#This Row],[Instruement Tag]],tbl_Instruement_List[],6,FALSE)</f>
        <v>Feed Slurry On/Off Valve for Nozzle #3 (ATVM-11A)</v>
      </c>
      <c r="R328" s="136"/>
      <c r="S32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28" s="136" t="str">
        <f>tbl_IO_List[[#This Row],[Instruement Tag]]&amp;"_"&amp;tbl_IO_List[[#This Row],[I/O Type]]&amp;"_"&amp;tbl_IO_List[[#This Row],[IO-Point 
(Instruement)]]</f>
        <v>XV-60261FC_DI_2</v>
      </c>
      <c r="U328" s="136" t="s">
        <v>8</v>
      </c>
      <c r="V328" s="136">
        <f>VLOOKUP(tbl_IO_List[[#This Row],[I/O Type]],tbl_Slot_Group[],2,FALSE)</f>
        <v>1</v>
      </c>
      <c r="W328" s="136">
        <v>2</v>
      </c>
      <c r="X328" s="136" t="str">
        <f>tbl_IO_List[[#This Row],[Chassis]]&amp;"S"&amp;TEXT(tbl_IO_List[[#This Row],[Slot]],"00")</f>
        <v>C2S04</v>
      </c>
      <c r="Y328" s="136" t="str">
        <f>tbl_IO_List[[#This Row],[Chassis]]&amp;"S"&amp;TEXT(tbl_IO_List[[#This Row],[Slot]],"00")&amp;tbl_IO_List[[#This Row],[I/O Type]]&amp;TEXT(tbl_IO_List[[#This Row],[Point]],"00")</f>
        <v>C2S04DI01</v>
      </c>
      <c r="Z328" s="136" t="str">
        <f>tbl_IO_List[[#This Row],[Chassis]]&amp;"S"&amp;TEXT(tbl_IO_List[[#This Row],[Slot]],"00")&amp;","&amp;TEXT(tbl_IO_List[[#This Row],[Point]],"00")</f>
        <v>C2S04,01</v>
      </c>
      <c r="AA328" s="136" t="str">
        <f>VLOOKUP(tbl_IO_List[[#This Row],[Column23]],tbl_RackConfig[],5,FALSE) &amp;"-"&amp;tbl_IO_List[[#This Row],[Point]]</f>
        <v>1756-IB32-1</v>
      </c>
      <c r="AB328" s="136"/>
      <c r="AC328" s="136"/>
      <c r="AD328" s="136" t="str">
        <f>tbl_IO_List[[#This Row],[I/O Type]]</f>
        <v>DI</v>
      </c>
      <c r="AE328" s="136" t="s">
        <v>1333</v>
      </c>
      <c r="AF328" s="136">
        <v>4</v>
      </c>
      <c r="AG328" s="136">
        <v>1</v>
      </c>
      <c r="AH328" s="136">
        <v>2</v>
      </c>
      <c r="AI328" s="136">
        <v>2</v>
      </c>
      <c r="AJ328" s="136">
        <v>2</v>
      </c>
      <c r="AK328" s="136">
        <v>1</v>
      </c>
      <c r="AL328" s="136">
        <v>0</v>
      </c>
      <c r="AM328" s="136">
        <v>0</v>
      </c>
      <c r="AN328" s="136">
        <v>0</v>
      </c>
      <c r="AO328" s="136"/>
      <c r="AP328" s="143" t="str">
        <f>VLOOKUP(tbl_IO_List[[#This Row],[Instruement Tag]],tbl_Instruement_List[],14,FALSE)</f>
        <v>24 VDC energized,Dry Contact</v>
      </c>
      <c r="AQ328" s="143" t="str">
        <f>tbl_IO_List[[#This Row],[Chassis]]&amp;"S"&amp;tbl_IO_List[[#This Row],[Slot]]&amp;"-"&amp;tbl_IO_List[[#This Row],[Front Terminal Number]]</f>
        <v>C2S4-2</v>
      </c>
      <c r="AR328" s="141" t="s">
        <v>1864</v>
      </c>
      <c r="AS328" s="136" t="str">
        <f>tbl_IO_List[[#This Row],[Terminal Tagging]]&amp;"-"&amp;tbl_IO_List[[#This Row],[Point-Count]]</f>
        <v>P2-TBDI4-2</v>
      </c>
      <c r="AT328" s="136" t="str">
        <f>tbl_IO_List[[#This Row],[Front Terminal Tagging]]&amp;"/"&amp;tbl_IO_List[[#This Row],[Terminal Tagging-Item]]</f>
        <v>C2S4-2/P2-TBDI4-2</v>
      </c>
      <c r="AU328" s="136" t="str">
        <f>tbl_IO_List[[#This Row],[Terminal Tagging-Item]]&amp;"/"&amp;tbl_IO_List[[#This Row],[Front Terminal Tagging]]</f>
        <v>P2-TBDI4-2/C2S4-2</v>
      </c>
    </row>
    <row r="329" spans="1:47">
      <c r="A329" s="147" t="s">
        <v>1367</v>
      </c>
      <c r="B329" s="136" t="s">
        <v>270</v>
      </c>
      <c r="C329" s="136" t="str">
        <f>tbl_IO_List[[#This Row],[Column3]]</f>
        <v>C2S04,02</v>
      </c>
      <c r="D329" s="136" t="str">
        <f>tbl_IO_List[[#This Row],[Card]]</f>
        <v>1756-IB32-2</v>
      </c>
      <c r="E329" s="136" t="s">
        <v>1366</v>
      </c>
      <c r="F329" s="136" t="str">
        <f>tbl_IO_List[[#This Row],[Column23]]&amp;"-" &amp;tbl_IO_List[[#This Row],[Column52]]</f>
        <v>C2S04-X1</v>
      </c>
      <c r="G329" s="136" t="str">
        <f>tbl_IO_List[[#This Row],[PLC_Tag]]</f>
        <v>XV-60264SQ_DI_1</v>
      </c>
      <c r="H329" s="136"/>
      <c r="I329" s="136" t="str">
        <f>VLOOKUP(tbl_IO_List[[#This Row],[Destination]],tbl_Junction[],2,FALSE)</f>
        <v>Spray Dryer 7th Floor</v>
      </c>
      <c r="J329" s="136" t="s">
        <v>270</v>
      </c>
      <c r="K329" s="136" t="s">
        <v>14</v>
      </c>
      <c r="L329" s="136" t="s">
        <v>329</v>
      </c>
      <c r="M329" s="136">
        <f>VLOOKUP(tbl_IO_List[[#This Row],[Instruement Tag]],tbl_Instruement_List[],2,FALSE)</f>
        <v>0</v>
      </c>
      <c r="N329" s="136" t="s">
        <v>95</v>
      </c>
      <c r="O329" s="136" t="s">
        <v>272</v>
      </c>
      <c r="P329" s="136" t="s">
        <v>273</v>
      </c>
      <c r="Q329" s="136" t="str">
        <f>VLOOKUP(tbl_IO_List[[#This Row],[Instruement Tag]],tbl_Instruement_List[],6,FALSE)</f>
        <v>Steam On/Off Valve for Nozzle #15 (ATVM-11D)</v>
      </c>
      <c r="R329" s="136"/>
      <c r="S32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29" s="136" t="str">
        <f>tbl_IO_List[[#This Row],[Instruement Tag]]&amp;"_"&amp;tbl_IO_List[[#This Row],[I/O Type]]&amp;"_"&amp;tbl_IO_List[[#This Row],[IO-Point 
(Instruement)]]</f>
        <v>XV-60264SQ_DI_1</v>
      </c>
      <c r="U329" s="136" t="s">
        <v>8</v>
      </c>
      <c r="V329" s="136">
        <f>VLOOKUP(tbl_IO_List[[#This Row],[I/O Type]],tbl_Slot_Group[],2,FALSE)</f>
        <v>1</v>
      </c>
      <c r="W329" s="136">
        <v>1</v>
      </c>
      <c r="X329" s="136" t="str">
        <f>tbl_IO_List[[#This Row],[Chassis]]&amp;"S"&amp;TEXT(tbl_IO_List[[#This Row],[Slot]],"00")</f>
        <v>C2S04</v>
      </c>
      <c r="Y329" s="136" t="str">
        <f>tbl_IO_List[[#This Row],[Chassis]]&amp;"S"&amp;TEXT(tbl_IO_List[[#This Row],[Slot]],"00")&amp;tbl_IO_List[[#This Row],[I/O Type]]&amp;TEXT(tbl_IO_List[[#This Row],[Point]],"00")</f>
        <v>C2S04DI02</v>
      </c>
      <c r="Z329" s="136" t="str">
        <f>tbl_IO_List[[#This Row],[Chassis]]&amp;"S"&amp;TEXT(tbl_IO_List[[#This Row],[Slot]],"00")&amp;","&amp;TEXT(tbl_IO_List[[#This Row],[Point]],"00")</f>
        <v>C2S04,02</v>
      </c>
      <c r="AA329" s="136" t="str">
        <f>VLOOKUP(tbl_IO_List[[#This Row],[Column23]],tbl_RackConfig[],5,FALSE) &amp;"-"&amp;tbl_IO_List[[#This Row],[Point]]</f>
        <v>1756-IB32-2</v>
      </c>
      <c r="AB329" s="136"/>
      <c r="AC329" s="136"/>
      <c r="AD329" s="136" t="str">
        <f>tbl_IO_List[[#This Row],[I/O Type]]</f>
        <v>DI</v>
      </c>
      <c r="AE329" s="136" t="s">
        <v>1333</v>
      </c>
      <c r="AF329" s="136">
        <v>4</v>
      </c>
      <c r="AG329" s="136">
        <v>2</v>
      </c>
      <c r="AH329" s="136">
        <v>3</v>
      </c>
      <c r="AI329" s="136">
        <v>3</v>
      </c>
      <c r="AJ329" s="136">
        <v>2</v>
      </c>
      <c r="AK329" s="136">
        <v>1</v>
      </c>
      <c r="AL329" s="136">
        <v>0</v>
      </c>
      <c r="AM329" s="136">
        <v>0</v>
      </c>
      <c r="AN329" s="136">
        <v>0</v>
      </c>
      <c r="AO329" s="136"/>
      <c r="AP329" s="143" t="str">
        <f>VLOOKUP(tbl_IO_List[[#This Row],[Instruement Tag]],tbl_Instruement_List[],14,FALSE)</f>
        <v>24 VDC energized,Dry Contact</v>
      </c>
      <c r="AQ329" s="143" t="str">
        <f>tbl_IO_List[[#This Row],[Chassis]]&amp;"S"&amp;tbl_IO_List[[#This Row],[Slot]]&amp;"-"&amp;tbl_IO_List[[#This Row],[Front Terminal Number]]</f>
        <v>C2S4-3</v>
      </c>
      <c r="AR329" s="141" t="s">
        <v>1864</v>
      </c>
      <c r="AS329" s="136" t="str">
        <f>tbl_IO_List[[#This Row],[Terminal Tagging]]&amp;"-"&amp;tbl_IO_List[[#This Row],[Point-Count]]</f>
        <v>P2-TBDI4-3</v>
      </c>
      <c r="AT329" s="136" t="str">
        <f>tbl_IO_List[[#This Row],[Front Terminal Tagging]]&amp;"/"&amp;tbl_IO_List[[#This Row],[Terminal Tagging-Item]]</f>
        <v>C2S4-3/P2-TBDI4-3</v>
      </c>
      <c r="AU329" s="136" t="str">
        <f>tbl_IO_List[[#This Row],[Terminal Tagging-Item]]&amp;"/"&amp;tbl_IO_List[[#This Row],[Front Terminal Tagging]]</f>
        <v>P2-TBDI4-3/C2S4-3</v>
      </c>
    </row>
    <row r="330" spans="1:47">
      <c r="A330" s="147" t="s">
        <v>1367</v>
      </c>
      <c r="B330" s="136" t="s">
        <v>270</v>
      </c>
      <c r="C330" s="136" t="str">
        <f>tbl_IO_List[[#This Row],[Column3]]</f>
        <v>C2S04,03</v>
      </c>
      <c r="D330" s="136" t="str">
        <f>tbl_IO_List[[#This Row],[Card]]</f>
        <v>1756-IB32-3</v>
      </c>
      <c r="E330" s="136" t="s">
        <v>1366</v>
      </c>
      <c r="F330" s="136" t="str">
        <f>tbl_IO_List[[#This Row],[Column23]]&amp;"-" &amp;tbl_IO_List[[#This Row],[Column52]]</f>
        <v>C2S04-X1</v>
      </c>
      <c r="G330" s="136" t="str">
        <f>tbl_IO_List[[#This Row],[PLC_Tag]]</f>
        <v>XV-60264SQ_DI_2</v>
      </c>
      <c r="H330" s="136"/>
      <c r="I330" s="136" t="str">
        <f>VLOOKUP(tbl_IO_List[[#This Row],[Destination]],tbl_Junction[],2,FALSE)</f>
        <v>Spray Dryer 7th Floor</v>
      </c>
      <c r="J330" s="136" t="s">
        <v>270</v>
      </c>
      <c r="K330" s="136" t="s">
        <v>14</v>
      </c>
      <c r="L330" s="136" t="s">
        <v>329</v>
      </c>
      <c r="M330" s="136">
        <f>VLOOKUP(tbl_IO_List[[#This Row],[Instruement Tag]],tbl_Instruement_List[],2,FALSE)</f>
        <v>0</v>
      </c>
      <c r="N330" s="136" t="s">
        <v>95</v>
      </c>
      <c r="O330" s="136" t="s">
        <v>272</v>
      </c>
      <c r="P330" s="136" t="s">
        <v>273</v>
      </c>
      <c r="Q330" s="136" t="str">
        <f>VLOOKUP(tbl_IO_List[[#This Row],[Instruement Tag]],tbl_Instruement_List[],6,FALSE)</f>
        <v>Steam On/Off Valve for Nozzle #15 (ATVM-11D)</v>
      </c>
      <c r="R330" s="136"/>
      <c r="S33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30" s="136" t="str">
        <f>tbl_IO_List[[#This Row],[Instruement Tag]]&amp;"_"&amp;tbl_IO_List[[#This Row],[I/O Type]]&amp;"_"&amp;tbl_IO_List[[#This Row],[IO-Point 
(Instruement)]]</f>
        <v>XV-60264SQ_DI_2</v>
      </c>
      <c r="U330" s="136" t="s">
        <v>8</v>
      </c>
      <c r="V330" s="136">
        <f>VLOOKUP(tbl_IO_List[[#This Row],[I/O Type]],tbl_Slot_Group[],2,FALSE)</f>
        <v>1</v>
      </c>
      <c r="W330" s="136">
        <v>2</v>
      </c>
      <c r="X330" s="136" t="str">
        <f>tbl_IO_List[[#This Row],[Chassis]]&amp;"S"&amp;TEXT(tbl_IO_List[[#This Row],[Slot]],"00")</f>
        <v>C2S04</v>
      </c>
      <c r="Y330" s="136" t="str">
        <f>tbl_IO_List[[#This Row],[Chassis]]&amp;"S"&amp;TEXT(tbl_IO_List[[#This Row],[Slot]],"00")&amp;tbl_IO_List[[#This Row],[I/O Type]]&amp;TEXT(tbl_IO_List[[#This Row],[Point]],"00")</f>
        <v>C2S04DI03</v>
      </c>
      <c r="Z330" s="136" t="str">
        <f>tbl_IO_List[[#This Row],[Chassis]]&amp;"S"&amp;TEXT(tbl_IO_List[[#This Row],[Slot]],"00")&amp;","&amp;TEXT(tbl_IO_List[[#This Row],[Point]],"00")</f>
        <v>C2S04,03</v>
      </c>
      <c r="AA330" s="136" t="str">
        <f>VLOOKUP(tbl_IO_List[[#This Row],[Column23]],tbl_RackConfig[],5,FALSE) &amp;"-"&amp;tbl_IO_List[[#This Row],[Point]]</f>
        <v>1756-IB32-3</v>
      </c>
      <c r="AB330" s="136"/>
      <c r="AC330" s="136"/>
      <c r="AD330" s="136" t="str">
        <f>tbl_IO_List[[#This Row],[I/O Type]]</f>
        <v>DI</v>
      </c>
      <c r="AE330" s="136" t="s">
        <v>1333</v>
      </c>
      <c r="AF330" s="136">
        <v>4</v>
      </c>
      <c r="AG330" s="136">
        <v>3</v>
      </c>
      <c r="AH330" s="136">
        <v>4</v>
      </c>
      <c r="AI330" s="136">
        <v>4</v>
      </c>
      <c r="AJ330" s="136">
        <v>2</v>
      </c>
      <c r="AK330" s="136">
        <v>1</v>
      </c>
      <c r="AL330" s="136">
        <v>0</v>
      </c>
      <c r="AM330" s="136">
        <v>0</v>
      </c>
      <c r="AN330" s="136">
        <v>0</v>
      </c>
      <c r="AO330" s="136"/>
      <c r="AP330" s="143" t="str">
        <f>VLOOKUP(tbl_IO_List[[#This Row],[Instruement Tag]],tbl_Instruement_List[],14,FALSE)</f>
        <v>24 VDC energized,Dry Contact</v>
      </c>
      <c r="AQ330" s="143" t="str">
        <f>tbl_IO_List[[#This Row],[Chassis]]&amp;"S"&amp;tbl_IO_List[[#This Row],[Slot]]&amp;"-"&amp;tbl_IO_List[[#This Row],[Front Terminal Number]]</f>
        <v>C2S4-4</v>
      </c>
      <c r="AR330" s="141" t="s">
        <v>1864</v>
      </c>
      <c r="AS330" s="136" t="str">
        <f>tbl_IO_List[[#This Row],[Terminal Tagging]]&amp;"-"&amp;tbl_IO_List[[#This Row],[Point-Count]]</f>
        <v>P2-TBDI4-4</v>
      </c>
      <c r="AT330" s="136" t="str">
        <f>tbl_IO_List[[#This Row],[Front Terminal Tagging]]&amp;"/"&amp;tbl_IO_List[[#This Row],[Terminal Tagging-Item]]</f>
        <v>C2S4-4/P2-TBDI4-4</v>
      </c>
      <c r="AU330" s="136" t="str">
        <f>tbl_IO_List[[#This Row],[Terminal Tagging-Item]]&amp;"/"&amp;tbl_IO_List[[#This Row],[Front Terminal Tagging]]</f>
        <v>P2-TBDI4-4/C2S4-4</v>
      </c>
    </row>
    <row r="331" spans="1:47">
      <c r="A331" s="147" t="s">
        <v>1367</v>
      </c>
      <c r="B331" s="136" t="s">
        <v>270</v>
      </c>
      <c r="C331" s="136" t="str">
        <f>tbl_IO_List[[#This Row],[Column3]]</f>
        <v>C2S04,04</v>
      </c>
      <c r="D331" s="136" t="str">
        <f>tbl_IO_List[[#This Row],[Card]]</f>
        <v>1756-IB32-4</v>
      </c>
      <c r="E331" s="136" t="s">
        <v>1366</v>
      </c>
      <c r="F331" s="136" t="str">
        <f>tbl_IO_List[[#This Row],[Column23]]&amp;"-" &amp;tbl_IO_List[[#This Row],[Column52]]</f>
        <v>C2S04-X1</v>
      </c>
      <c r="G331" s="136" t="str">
        <f>tbl_IO_List[[#This Row],[PLC_Tag]]</f>
        <v>XV-60261FD_DI_1</v>
      </c>
      <c r="H331" s="136"/>
      <c r="I331" s="136" t="str">
        <f>VLOOKUP(tbl_IO_List[[#This Row],[Destination]],tbl_Junction[],2,FALSE)</f>
        <v>Spray Dryer 7th Floor</v>
      </c>
      <c r="J331" s="136" t="s">
        <v>270</v>
      </c>
      <c r="K331" s="136" t="s">
        <v>14</v>
      </c>
      <c r="L331" s="136" t="s">
        <v>302</v>
      </c>
      <c r="M331" s="136">
        <f>VLOOKUP(tbl_IO_List[[#This Row],[Instruement Tag]],tbl_Instruement_List[],2,FALSE)</f>
        <v>0</v>
      </c>
      <c r="N331" s="136" t="s">
        <v>95</v>
      </c>
      <c r="O331" s="136" t="s">
        <v>272</v>
      </c>
      <c r="P331" s="136" t="s">
        <v>273</v>
      </c>
      <c r="Q331" s="136" t="str">
        <f>VLOOKUP(tbl_IO_List[[#This Row],[Instruement Tag]],tbl_Instruement_List[],6,FALSE)</f>
        <v>Feed Slurry On/Off Valve for Nozzle #4 (ATVM-11A)</v>
      </c>
      <c r="R331" s="136"/>
      <c r="S33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31" s="136" t="str">
        <f>tbl_IO_List[[#This Row],[Instruement Tag]]&amp;"_"&amp;tbl_IO_List[[#This Row],[I/O Type]]&amp;"_"&amp;tbl_IO_List[[#This Row],[IO-Point 
(Instruement)]]</f>
        <v>XV-60261FD_DI_1</v>
      </c>
      <c r="U331" s="136" t="s">
        <v>8</v>
      </c>
      <c r="V331" s="136">
        <f>VLOOKUP(tbl_IO_List[[#This Row],[I/O Type]],tbl_Slot_Group[],2,FALSE)</f>
        <v>1</v>
      </c>
      <c r="W331" s="136">
        <v>1</v>
      </c>
      <c r="X331" s="136" t="str">
        <f>tbl_IO_List[[#This Row],[Chassis]]&amp;"S"&amp;TEXT(tbl_IO_List[[#This Row],[Slot]],"00")</f>
        <v>C2S04</v>
      </c>
      <c r="Y331" s="136" t="str">
        <f>tbl_IO_List[[#This Row],[Chassis]]&amp;"S"&amp;TEXT(tbl_IO_List[[#This Row],[Slot]],"00")&amp;tbl_IO_List[[#This Row],[I/O Type]]&amp;TEXT(tbl_IO_List[[#This Row],[Point]],"00")</f>
        <v>C2S04DI04</v>
      </c>
      <c r="Z331" s="136" t="str">
        <f>tbl_IO_List[[#This Row],[Chassis]]&amp;"S"&amp;TEXT(tbl_IO_List[[#This Row],[Slot]],"00")&amp;","&amp;TEXT(tbl_IO_List[[#This Row],[Point]],"00")</f>
        <v>C2S04,04</v>
      </c>
      <c r="AA331" s="136" t="str">
        <f>VLOOKUP(tbl_IO_List[[#This Row],[Column23]],tbl_RackConfig[],5,FALSE) &amp;"-"&amp;tbl_IO_List[[#This Row],[Point]]</f>
        <v>1756-IB32-4</v>
      </c>
      <c r="AB331" s="136"/>
      <c r="AC331" s="136"/>
      <c r="AD331" s="136" t="str">
        <f>tbl_IO_List[[#This Row],[I/O Type]]</f>
        <v>DI</v>
      </c>
      <c r="AE331" s="136" t="s">
        <v>1333</v>
      </c>
      <c r="AF331" s="136">
        <v>4</v>
      </c>
      <c r="AG331" s="136">
        <v>4</v>
      </c>
      <c r="AH331" s="136">
        <v>5</v>
      </c>
      <c r="AI331" s="136">
        <v>5</v>
      </c>
      <c r="AJ331" s="136">
        <v>2</v>
      </c>
      <c r="AK331" s="136">
        <v>1</v>
      </c>
      <c r="AL331" s="136">
        <v>0</v>
      </c>
      <c r="AM331" s="136">
        <v>0</v>
      </c>
      <c r="AN331" s="136">
        <v>0</v>
      </c>
      <c r="AO331" s="136"/>
      <c r="AP331" s="143" t="str">
        <f>VLOOKUP(tbl_IO_List[[#This Row],[Instruement Tag]],tbl_Instruement_List[],14,FALSE)</f>
        <v>24 VDC energized,Dry Contact</v>
      </c>
      <c r="AQ331" s="143" t="str">
        <f>tbl_IO_List[[#This Row],[Chassis]]&amp;"S"&amp;tbl_IO_List[[#This Row],[Slot]]&amp;"-"&amp;tbl_IO_List[[#This Row],[Front Terminal Number]]</f>
        <v>C2S4-5</v>
      </c>
      <c r="AR331" s="141" t="s">
        <v>1864</v>
      </c>
      <c r="AS331" s="136" t="str">
        <f>tbl_IO_List[[#This Row],[Terminal Tagging]]&amp;"-"&amp;tbl_IO_List[[#This Row],[Point-Count]]</f>
        <v>P2-TBDI4-5</v>
      </c>
      <c r="AT331" s="136" t="str">
        <f>tbl_IO_List[[#This Row],[Front Terminal Tagging]]&amp;"/"&amp;tbl_IO_List[[#This Row],[Terminal Tagging-Item]]</f>
        <v>C2S4-5/P2-TBDI4-5</v>
      </c>
      <c r="AU331" s="136" t="str">
        <f>tbl_IO_List[[#This Row],[Terminal Tagging-Item]]&amp;"/"&amp;tbl_IO_List[[#This Row],[Front Terminal Tagging]]</f>
        <v>P2-TBDI4-5/C2S4-5</v>
      </c>
    </row>
    <row r="332" spans="1:47">
      <c r="A332" s="147" t="s">
        <v>1367</v>
      </c>
      <c r="B332" s="136" t="s">
        <v>270</v>
      </c>
      <c r="C332" s="136" t="str">
        <f>tbl_IO_List[[#This Row],[Column3]]</f>
        <v>C2S04,05</v>
      </c>
      <c r="D332" s="136" t="str">
        <f>tbl_IO_List[[#This Row],[Card]]</f>
        <v>1756-IB32-5</v>
      </c>
      <c r="E332" s="136" t="s">
        <v>1366</v>
      </c>
      <c r="F332" s="136" t="str">
        <f>tbl_IO_List[[#This Row],[Column23]]&amp;"-" &amp;tbl_IO_List[[#This Row],[Column52]]</f>
        <v>C2S04-X1</v>
      </c>
      <c r="G332" s="136" t="str">
        <f>tbl_IO_List[[#This Row],[PLC_Tag]]</f>
        <v>XV-60261FD_DI_2</v>
      </c>
      <c r="H332" s="136"/>
      <c r="I332" s="136" t="str">
        <f>VLOOKUP(tbl_IO_List[[#This Row],[Destination]],tbl_Junction[],2,FALSE)</f>
        <v>Spray Dryer 7th Floor</v>
      </c>
      <c r="J332" s="136" t="s">
        <v>270</v>
      </c>
      <c r="K332" s="136" t="s">
        <v>14</v>
      </c>
      <c r="L332" s="136" t="s">
        <v>302</v>
      </c>
      <c r="M332" s="136">
        <f>VLOOKUP(tbl_IO_List[[#This Row],[Instruement Tag]],tbl_Instruement_List[],2,FALSE)</f>
        <v>0</v>
      </c>
      <c r="N332" s="136" t="s">
        <v>95</v>
      </c>
      <c r="O332" s="136" t="s">
        <v>272</v>
      </c>
      <c r="P332" s="136" t="s">
        <v>273</v>
      </c>
      <c r="Q332" s="136" t="str">
        <f>VLOOKUP(tbl_IO_List[[#This Row],[Instruement Tag]],tbl_Instruement_List[],6,FALSE)</f>
        <v>Feed Slurry On/Off Valve for Nozzle #4 (ATVM-11A)</v>
      </c>
      <c r="R332" s="136"/>
      <c r="S33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32" s="136" t="str">
        <f>tbl_IO_List[[#This Row],[Instruement Tag]]&amp;"_"&amp;tbl_IO_List[[#This Row],[I/O Type]]&amp;"_"&amp;tbl_IO_List[[#This Row],[IO-Point 
(Instruement)]]</f>
        <v>XV-60261FD_DI_2</v>
      </c>
      <c r="U332" s="136" t="s">
        <v>8</v>
      </c>
      <c r="V332" s="136">
        <f>VLOOKUP(tbl_IO_List[[#This Row],[I/O Type]],tbl_Slot_Group[],2,FALSE)</f>
        <v>1</v>
      </c>
      <c r="W332" s="136">
        <v>2</v>
      </c>
      <c r="X332" s="136" t="str">
        <f>tbl_IO_List[[#This Row],[Chassis]]&amp;"S"&amp;TEXT(tbl_IO_List[[#This Row],[Slot]],"00")</f>
        <v>C2S04</v>
      </c>
      <c r="Y332" s="136" t="str">
        <f>tbl_IO_List[[#This Row],[Chassis]]&amp;"S"&amp;TEXT(tbl_IO_List[[#This Row],[Slot]],"00")&amp;tbl_IO_List[[#This Row],[I/O Type]]&amp;TEXT(tbl_IO_List[[#This Row],[Point]],"00")</f>
        <v>C2S04DI05</v>
      </c>
      <c r="Z332" s="136" t="str">
        <f>tbl_IO_List[[#This Row],[Chassis]]&amp;"S"&amp;TEXT(tbl_IO_List[[#This Row],[Slot]],"00")&amp;","&amp;TEXT(tbl_IO_List[[#This Row],[Point]],"00")</f>
        <v>C2S04,05</v>
      </c>
      <c r="AA332" s="136" t="str">
        <f>VLOOKUP(tbl_IO_List[[#This Row],[Column23]],tbl_RackConfig[],5,FALSE) &amp;"-"&amp;tbl_IO_List[[#This Row],[Point]]</f>
        <v>1756-IB32-5</v>
      </c>
      <c r="AB332" s="136"/>
      <c r="AC332" s="136"/>
      <c r="AD332" s="136" t="str">
        <f>tbl_IO_List[[#This Row],[I/O Type]]</f>
        <v>DI</v>
      </c>
      <c r="AE332" s="136" t="s">
        <v>1333</v>
      </c>
      <c r="AF332" s="136">
        <v>4</v>
      </c>
      <c r="AG332" s="136">
        <v>5</v>
      </c>
      <c r="AH332" s="136">
        <v>6</v>
      </c>
      <c r="AI332" s="136">
        <v>6</v>
      </c>
      <c r="AJ332" s="136">
        <v>2</v>
      </c>
      <c r="AK332" s="136">
        <v>1</v>
      </c>
      <c r="AL332" s="136">
        <v>0</v>
      </c>
      <c r="AM332" s="136">
        <v>0</v>
      </c>
      <c r="AN332" s="136">
        <v>0</v>
      </c>
      <c r="AO332" s="136"/>
      <c r="AP332" s="143" t="str">
        <f>VLOOKUP(tbl_IO_List[[#This Row],[Instruement Tag]],tbl_Instruement_List[],14,FALSE)</f>
        <v>24 VDC energized,Dry Contact</v>
      </c>
      <c r="AQ332" s="143" t="str">
        <f>tbl_IO_List[[#This Row],[Chassis]]&amp;"S"&amp;tbl_IO_List[[#This Row],[Slot]]&amp;"-"&amp;tbl_IO_List[[#This Row],[Front Terminal Number]]</f>
        <v>C2S4-6</v>
      </c>
      <c r="AR332" s="141" t="s">
        <v>1864</v>
      </c>
      <c r="AS332" s="136" t="str">
        <f>tbl_IO_List[[#This Row],[Terminal Tagging]]&amp;"-"&amp;tbl_IO_List[[#This Row],[Point-Count]]</f>
        <v>P2-TBDI4-6</v>
      </c>
      <c r="AT332" s="136" t="str">
        <f>tbl_IO_List[[#This Row],[Front Terminal Tagging]]&amp;"/"&amp;tbl_IO_List[[#This Row],[Terminal Tagging-Item]]</f>
        <v>C2S4-6/P2-TBDI4-6</v>
      </c>
      <c r="AU332" s="136" t="str">
        <f>tbl_IO_List[[#This Row],[Terminal Tagging-Item]]&amp;"/"&amp;tbl_IO_List[[#This Row],[Front Terminal Tagging]]</f>
        <v>P2-TBDI4-6/C2S4-6</v>
      </c>
    </row>
    <row r="333" spans="1:47">
      <c r="A333" s="147" t="s">
        <v>1367</v>
      </c>
      <c r="B333" s="136" t="s">
        <v>270</v>
      </c>
      <c r="C333" s="136" t="str">
        <f>tbl_IO_List[[#This Row],[Column3]]</f>
        <v>C2S04,06</v>
      </c>
      <c r="D333" s="136" t="str">
        <f>tbl_IO_List[[#This Row],[Card]]</f>
        <v>1756-IB32-6</v>
      </c>
      <c r="E333" s="136" t="s">
        <v>1366</v>
      </c>
      <c r="F333" s="136" t="str">
        <f>tbl_IO_List[[#This Row],[Column23]]&amp;"-" &amp;tbl_IO_List[[#This Row],[Column52]]</f>
        <v>C2S04-X1</v>
      </c>
      <c r="G333" s="136" t="str">
        <f>tbl_IO_List[[#This Row],[PLC_Tag]]</f>
        <v>XV-60264SR_DI_1</v>
      </c>
      <c r="H333" s="136"/>
      <c r="I333" s="136" t="str">
        <f>VLOOKUP(tbl_IO_List[[#This Row],[Destination]],tbl_Junction[],2,FALSE)</f>
        <v>Spray Dryer 7th Floor</v>
      </c>
      <c r="J333" s="136" t="s">
        <v>270</v>
      </c>
      <c r="K333" s="136" t="s">
        <v>14</v>
      </c>
      <c r="L333" s="136" t="s">
        <v>330</v>
      </c>
      <c r="M333" s="136">
        <f>VLOOKUP(tbl_IO_List[[#This Row],[Instruement Tag]],tbl_Instruement_List[],2,FALSE)</f>
        <v>0</v>
      </c>
      <c r="N333" s="136" t="s">
        <v>95</v>
      </c>
      <c r="O333" s="136" t="s">
        <v>272</v>
      </c>
      <c r="P333" s="136" t="s">
        <v>273</v>
      </c>
      <c r="Q333" s="136" t="str">
        <f>VLOOKUP(tbl_IO_List[[#This Row],[Instruement Tag]],tbl_Instruement_List[],6,FALSE)</f>
        <v>Steam On/Off Valve for Nozzle #16 (ATVM-11D)</v>
      </c>
      <c r="R333" s="136"/>
      <c r="S33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33" s="136" t="str">
        <f>tbl_IO_List[[#This Row],[Instruement Tag]]&amp;"_"&amp;tbl_IO_List[[#This Row],[I/O Type]]&amp;"_"&amp;tbl_IO_List[[#This Row],[IO-Point 
(Instruement)]]</f>
        <v>XV-60264SR_DI_1</v>
      </c>
      <c r="U333" s="136" t="s">
        <v>8</v>
      </c>
      <c r="V333" s="136">
        <f>VLOOKUP(tbl_IO_List[[#This Row],[I/O Type]],tbl_Slot_Group[],2,FALSE)</f>
        <v>1</v>
      </c>
      <c r="W333" s="136">
        <v>1</v>
      </c>
      <c r="X333" s="136" t="str">
        <f>tbl_IO_List[[#This Row],[Chassis]]&amp;"S"&amp;TEXT(tbl_IO_List[[#This Row],[Slot]],"00")</f>
        <v>C2S04</v>
      </c>
      <c r="Y333" s="136" t="str">
        <f>tbl_IO_List[[#This Row],[Chassis]]&amp;"S"&amp;TEXT(tbl_IO_List[[#This Row],[Slot]],"00")&amp;tbl_IO_List[[#This Row],[I/O Type]]&amp;TEXT(tbl_IO_List[[#This Row],[Point]],"00")</f>
        <v>C2S04DI06</v>
      </c>
      <c r="Z333" s="136" t="str">
        <f>tbl_IO_List[[#This Row],[Chassis]]&amp;"S"&amp;TEXT(tbl_IO_List[[#This Row],[Slot]],"00")&amp;","&amp;TEXT(tbl_IO_List[[#This Row],[Point]],"00")</f>
        <v>C2S04,06</v>
      </c>
      <c r="AA333" s="136" t="str">
        <f>VLOOKUP(tbl_IO_List[[#This Row],[Column23]],tbl_RackConfig[],5,FALSE) &amp;"-"&amp;tbl_IO_List[[#This Row],[Point]]</f>
        <v>1756-IB32-6</v>
      </c>
      <c r="AB333" s="136"/>
      <c r="AC333" s="136"/>
      <c r="AD333" s="136" t="str">
        <f>tbl_IO_List[[#This Row],[I/O Type]]</f>
        <v>DI</v>
      </c>
      <c r="AE333" s="136" t="s">
        <v>1333</v>
      </c>
      <c r="AF333" s="136">
        <v>4</v>
      </c>
      <c r="AG333" s="136">
        <v>6</v>
      </c>
      <c r="AH333" s="136">
        <v>7</v>
      </c>
      <c r="AI333" s="136">
        <v>7</v>
      </c>
      <c r="AJ333" s="136">
        <v>2</v>
      </c>
      <c r="AK333" s="136">
        <v>1</v>
      </c>
      <c r="AL333" s="136">
        <v>0</v>
      </c>
      <c r="AM333" s="136">
        <v>0</v>
      </c>
      <c r="AN333" s="136">
        <v>0</v>
      </c>
      <c r="AO333" s="136"/>
      <c r="AP333" s="143" t="str">
        <f>VLOOKUP(tbl_IO_List[[#This Row],[Instruement Tag]],tbl_Instruement_List[],14,FALSE)</f>
        <v>24 VDC energized,Dry Contact</v>
      </c>
      <c r="AQ333" s="143" t="str">
        <f>tbl_IO_List[[#This Row],[Chassis]]&amp;"S"&amp;tbl_IO_List[[#This Row],[Slot]]&amp;"-"&amp;tbl_IO_List[[#This Row],[Front Terminal Number]]</f>
        <v>C2S4-7</v>
      </c>
      <c r="AR333" s="141" t="s">
        <v>1864</v>
      </c>
      <c r="AS333" s="136" t="str">
        <f>tbl_IO_List[[#This Row],[Terminal Tagging]]&amp;"-"&amp;tbl_IO_List[[#This Row],[Point-Count]]</f>
        <v>P2-TBDI4-7</v>
      </c>
      <c r="AT333" s="136" t="str">
        <f>tbl_IO_List[[#This Row],[Front Terminal Tagging]]&amp;"/"&amp;tbl_IO_List[[#This Row],[Terminal Tagging-Item]]</f>
        <v>C2S4-7/P2-TBDI4-7</v>
      </c>
      <c r="AU333" s="136" t="str">
        <f>tbl_IO_List[[#This Row],[Terminal Tagging-Item]]&amp;"/"&amp;tbl_IO_List[[#This Row],[Front Terminal Tagging]]</f>
        <v>P2-TBDI4-7/C2S4-7</v>
      </c>
    </row>
    <row r="334" spans="1:47">
      <c r="A334" s="147" t="s">
        <v>1367</v>
      </c>
      <c r="B334" s="136" t="s">
        <v>270</v>
      </c>
      <c r="C334" s="136" t="str">
        <f>tbl_IO_List[[#This Row],[Column3]]</f>
        <v>C2S04,07</v>
      </c>
      <c r="D334" s="136" t="str">
        <f>tbl_IO_List[[#This Row],[Card]]</f>
        <v>1756-IB32-7</v>
      </c>
      <c r="E334" s="136" t="s">
        <v>1366</v>
      </c>
      <c r="F334" s="136" t="str">
        <f>tbl_IO_List[[#This Row],[Column23]]&amp;"-" &amp;tbl_IO_List[[#This Row],[Column52]]</f>
        <v>C2S04-X1</v>
      </c>
      <c r="G334" s="136" t="str">
        <f>tbl_IO_List[[#This Row],[PLC_Tag]]</f>
        <v>XV-60264SR_DI_2</v>
      </c>
      <c r="H334" s="136"/>
      <c r="I334" s="136" t="str">
        <f>VLOOKUP(tbl_IO_List[[#This Row],[Destination]],tbl_Junction[],2,FALSE)</f>
        <v>Spray Dryer 7th Floor</v>
      </c>
      <c r="J334" s="136" t="s">
        <v>270</v>
      </c>
      <c r="K334" s="136" t="s">
        <v>14</v>
      </c>
      <c r="L334" s="136" t="s">
        <v>330</v>
      </c>
      <c r="M334" s="136">
        <f>VLOOKUP(tbl_IO_List[[#This Row],[Instruement Tag]],tbl_Instruement_List[],2,FALSE)</f>
        <v>0</v>
      </c>
      <c r="N334" s="136" t="s">
        <v>95</v>
      </c>
      <c r="O334" s="136" t="s">
        <v>272</v>
      </c>
      <c r="P334" s="136" t="s">
        <v>273</v>
      </c>
      <c r="Q334" s="136" t="str">
        <f>VLOOKUP(tbl_IO_List[[#This Row],[Instruement Tag]],tbl_Instruement_List[],6,FALSE)</f>
        <v>Steam On/Off Valve for Nozzle #16 (ATVM-11D)</v>
      </c>
      <c r="R334" s="136"/>
      <c r="S33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34" s="136" t="str">
        <f>tbl_IO_List[[#This Row],[Instruement Tag]]&amp;"_"&amp;tbl_IO_List[[#This Row],[I/O Type]]&amp;"_"&amp;tbl_IO_List[[#This Row],[IO-Point 
(Instruement)]]</f>
        <v>XV-60264SR_DI_2</v>
      </c>
      <c r="U334" s="136" t="s">
        <v>8</v>
      </c>
      <c r="V334" s="136">
        <f>VLOOKUP(tbl_IO_List[[#This Row],[I/O Type]],tbl_Slot_Group[],2,FALSE)</f>
        <v>1</v>
      </c>
      <c r="W334" s="136">
        <v>2</v>
      </c>
      <c r="X334" s="136" t="str">
        <f>tbl_IO_List[[#This Row],[Chassis]]&amp;"S"&amp;TEXT(tbl_IO_List[[#This Row],[Slot]],"00")</f>
        <v>C2S04</v>
      </c>
      <c r="Y334" s="136" t="str">
        <f>tbl_IO_List[[#This Row],[Chassis]]&amp;"S"&amp;TEXT(tbl_IO_List[[#This Row],[Slot]],"00")&amp;tbl_IO_List[[#This Row],[I/O Type]]&amp;TEXT(tbl_IO_List[[#This Row],[Point]],"00")</f>
        <v>C2S04DI07</v>
      </c>
      <c r="Z334" s="136" t="str">
        <f>tbl_IO_List[[#This Row],[Chassis]]&amp;"S"&amp;TEXT(tbl_IO_List[[#This Row],[Slot]],"00")&amp;","&amp;TEXT(tbl_IO_List[[#This Row],[Point]],"00")</f>
        <v>C2S04,07</v>
      </c>
      <c r="AA334" s="136" t="str">
        <f>VLOOKUP(tbl_IO_List[[#This Row],[Column23]],tbl_RackConfig[],5,FALSE) &amp;"-"&amp;tbl_IO_List[[#This Row],[Point]]</f>
        <v>1756-IB32-7</v>
      </c>
      <c r="AB334" s="136"/>
      <c r="AC334" s="136"/>
      <c r="AD334" s="136" t="str">
        <f>tbl_IO_List[[#This Row],[I/O Type]]</f>
        <v>DI</v>
      </c>
      <c r="AE334" s="136" t="s">
        <v>1333</v>
      </c>
      <c r="AF334" s="136">
        <v>4</v>
      </c>
      <c r="AG334" s="136">
        <v>7</v>
      </c>
      <c r="AH334" s="136">
        <v>8</v>
      </c>
      <c r="AI334" s="136">
        <v>8</v>
      </c>
      <c r="AJ334" s="136">
        <v>2</v>
      </c>
      <c r="AK334" s="136">
        <v>1</v>
      </c>
      <c r="AL334" s="136">
        <v>0</v>
      </c>
      <c r="AM334" s="136">
        <v>0</v>
      </c>
      <c r="AN334" s="136">
        <v>0</v>
      </c>
      <c r="AO334" s="136"/>
      <c r="AP334" s="143" t="str">
        <f>VLOOKUP(tbl_IO_List[[#This Row],[Instruement Tag]],tbl_Instruement_List[],14,FALSE)</f>
        <v>24 VDC energized,Dry Contact</v>
      </c>
      <c r="AQ334" s="143" t="str">
        <f>tbl_IO_List[[#This Row],[Chassis]]&amp;"S"&amp;tbl_IO_List[[#This Row],[Slot]]&amp;"-"&amp;tbl_IO_List[[#This Row],[Front Terminal Number]]</f>
        <v>C2S4-8</v>
      </c>
      <c r="AR334" s="141" t="s">
        <v>1864</v>
      </c>
      <c r="AS334" s="136" t="str">
        <f>tbl_IO_List[[#This Row],[Terminal Tagging]]&amp;"-"&amp;tbl_IO_List[[#This Row],[Point-Count]]</f>
        <v>P2-TBDI4-8</v>
      </c>
      <c r="AT334" s="136" t="str">
        <f>tbl_IO_List[[#This Row],[Front Terminal Tagging]]&amp;"/"&amp;tbl_IO_List[[#This Row],[Terminal Tagging-Item]]</f>
        <v>C2S4-8/P2-TBDI4-8</v>
      </c>
      <c r="AU334" s="136" t="str">
        <f>tbl_IO_List[[#This Row],[Terminal Tagging-Item]]&amp;"/"&amp;tbl_IO_List[[#This Row],[Front Terminal Tagging]]</f>
        <v>P2-TBDI4-8/C2S4-8</v>
      </c>
    </row>
    <row r="335" spans="1:47">
      <c r="A335" s="147" t="s">
        <v>1367</v>
      </c>
      <c r="B335" s="136" t="s">
        <v>270</v>
      </c>
      <c r="C335" s="136" t="str">
        <f>tbl_IO_List[[#This Row],[Column3]]</f>
        <v>C2S04,08</v>
      </c>
      <c r="D335" s="136" t="str">
        <f>tbl_IO_List[[#This Row],[Card]]</f>
        <v>1756-IB32-8</v>
      </c>
      <c r="E335" s="136" t="s">
        <v>1366</v>
      </c>
      <c r="F335" s="136" t="str">
        <f>tbl_IO_List[[#This Row],[Column23]]&amp;"-" &amp;tbl_IO_List[[#This Row],[Column52]]</f>
        <v>C2S04-X1</v>
      </c>
      <c r="G335" s="136" t="str">
        <f>tbl_IO_List[[#This Row],[PLC_Tag]]</f>
        <v>XV-60261SA_DI_1</v>
      </c>
      <c r="H335" s="136"/>
      <c r="I335" s="136" t="str">
        <f>VLOOKUP(tbl_IO_List[[#This Row],[Destination]],tbl_Junction[],2,FALSE)</f>
        <v>Spray Dryer 7th Floor</v>
      </c>
      <c r="J335" s="136" t="s">
        <v>270</v>
      </c>
      <c r="K335" s="136" t="s">
        <v>14</v>
      </c>
      <c r="L335" s="136" t="s">
        <v>303</v>
      </c>
      <c r="M335" s="136">
        <f>VLOOKUP(tbl_IO_List[[#This Row],[Instruement Tag]],tbl_Instruement_List[],2,FALSE)</f>
        <v>0</v>
      </c>
      <c r="N335" s="136" t="s">
        <v>95</v>
      </c>
      <c r="O335" s="136" t="s">
        <v>272</v>
      </c>
      <c r="P335" s="136" t="s">
        <v>273</v>
      </c>
      <c r="Q335" s="136" t="str">
        <f>VLOOKUP(tbl_IO_List[[#This Row],[Instruement Tag]],tbl_Instruement_List[],6,FALSE)</f>
        <v>Steam On/Off Valve for Nozzle #1 (ATVM-11A)</v>
      </c>
      <c r="R335" s="136"/>
      <c r="S33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35" s="136" t="str">
        <f>tbl_IO_List[[#This Row],[Instruement Tag]]&amp;"_"&amp;tbl_IO_List[[#This Row],[I/O Type]]&amp;"_"&amp;tbl_IO_List[[#This Row],[IO-Point 
(Instruement)]]</f>
        <v>XV-60261SA_DI_1</v>
      </c>
      <c r="U335" s="136" t="s">
        <v>8</v>
      </c>
      <c r="V335" s="136">
        <f>VLOOKUP(tbl_IO_List[[#This Row],[I/O Type]],tbl_Slot_Group[],2,FALSE)</f>
        <v>1</v>
      </c>
      <c r="W335" s="136">
        <v>1</v>
      </c>
      <c r="X335" s="136" t="str">
        <f>tbl_IO_List[[#This Row],[Chassis]]&amp;"S"&amp;TEXT(tbl_IO_List[[#This Row],[Slot]],"00")</f>
        <v>C2S04</v>
      </c>
      <c r="Y335" s="136" t="str">
        <f>tbl_IO_List[[#This Row],[Chassis]]&amp;"S"&amp;TEXT(tbl_IO_List[[#This Row],[Slot]],"00")&amp;tbl_IO_List[[#This Row],[I/O Type]]&amp;TEXT(tbl_IO_List[[#This Row],[Point]],"00")</f>
        <v>C2S04DI08</v>
      </c>
      <c r="Z335" s="136" t="str">
        <f>tbl_IO_List[[#This Row],[Chassis]]&amp;"S"&amp;TEXT(tbl_IO_List[[#This Row],[Slot]],"00")&amp;","&amp;TEXT(tbl_IO_List[[#This Row],[Point]],"00")</f>
        <v>C2S04,08</v>
      </c>
      <c r="AA335" s="136" t="str">
        <f>VLOOKUP(tbl_IO_List[[#This Row],[Column23]],tbl_RackConfig[],5,FALSE) &amp;"-"&amp;tbl_IO_List[[#This Row],[Point]]</f>
        <v>1756-IB32-8</v>
      </c>
      <c r="AB335" s="136"/>
      <c r="AC335" s="136"/>
      <c r="AD335" s="136" t="str">
        <f>tbl_IO_List[[#This Row],[I/O Type]]</f>
        <v>DI</v>
      </c>
      <c r="AE335" s="136" t="s">
        <v>1333</v>
      </c>
      <c r="AF335" s="136">
        <v>4</v>
      </c>
      <c r="AG335" s="136">
        <v>8</v>
      </c>
      <c r="AH335" s="136">
        <v>9</v>
      </c>
      <c r="AI335" s="136">
        <v>9</v>
      </c>
      <c r="AJ335" s="136">
        <v>2</v>
      </c>
      <c r="AK335" s="136">
        <v>1</v>
      </c>
      <c r="AL335" s="136">
        <v>0</v>
      </c>
      <c r="AM335" s="136">
        <v>0</v>
      </c>
      <c r="AN335" s="136">
        <v>0</v>
      </c>
      <c r="AO335" s="136"/>
      <c r="AP335" s="143" t="str">
        <f>VLOOKUP(tbl_IO_List[[#This Row],[Instruement Tag]],tbl_Instruement_List[],14,FALSE)</f>
        <v>24 VDC energized,Dry Contact</v>
      </c>
      <c r="AQ335" s="143" t="str">
        <f>tbl_IO_List[[#This Row],[Chassis]]&amp;"S"&amp;tbl_IO_List[[#This Row],[Slot]]&amp;"-"&amp;tbl_IO_List[[#This Row],[Front Terminal Number]]</f>
        <v>C2S4-9</v>
      </c>
      <c r="AR335" s="141" t="s">
        <v>1864</v>
      </c>
      <c r="AS335" s="136" t="str">
        <f>tbl_IO_List[[#This Row],[Terminal Tagging]]&amp;"-"&amp;tbl_IO_List[[#This Row],[Point-Count]]</f>
        <v>P2-TBDI4-9</v>
      </c>
      <c r="AT335" s="136" t="str">
        <f>tbl_IO_List[[#This Row],[Front Terminal Tagging]]&amp;"/"&amp;tbl_IO_List[[#This Row],[Terminal Tagging-Item]]</f>
        <v>C2S4-9/P2-TBDI4-9</v>
      </c>
      <c r="AU335" s="136" t="str">
        <f>tbl_IO_List[[#This Row],[Terminal Tagging-Item]]&amp;"/"&amp;tbl_IO_List[[#This Row],[Front Terminal Tagging]]</f>
        <v>P2-TBDI4-9/C2S4-9</v>
      </c>
    </row>
    <row r="336" spans="1:47">
      <c r="A336" s="147" t="s">
        <v>1367</v>
      </c>
      <c r="B336" s="136" t="s">
        <v>270</v>
      </c>
      <c r="C336" s="136" t="str">
        <f>tbl_IO_List[[#This Row],[Column3]]</f>
        <v>C2S04,09</v>
      </c>
      <c r="D336" s="136" t="str">
        <f>tbl_IO_List[[#This Row],[Card]]</f>
        <v>1756-IB32-9</v>
      </c>
      <c r="E336" s="136" t="s">
        <v>1366</v>
      </c>
      <c r="F336" s="136" t="str">
        <f>tbl_IO_List[[#This Row],[Column23]]&amp;"-" &amp;tbl_IO_List[[#This Row],[Column52]]</f>
        <v>C2S04-X1</v>
      </c>
      <c r="G336" s="136" t="str">
        <f>tbl_IO_List[[#This Row],[PLC_Tag]]</f>
        <v>XV-60261SA_DI_2</v>
      </c>
      <c r="H336" s="136"/>
      <c r="I336" s="136" t="str">
        <f>VLOOKUP(tbl_IO_List[[#This Row],[Destination]],tbl_Junction[],2,FALSE)</f>
        <v>Spray Dryer 7th Floor</v>
      </c>
      <c r="J336" s="136" t="s">
        <v>270</v>
      </c>
      <c r="K336" s="136" t="s">
        <v>14</v>
      </c>
      <c r="L336" s="136" t="s">
        <v>303</v>
      </c>
      <c r="M336" s="136">
        <f>VLOOKUP(tbl_IO_List[[#This Row],[Instruement Tag]],tbl_Instruement_List[],2,FALSE)</f>
        <v>0</v>
      </c>
      <c r="N336" s="136" t="s">
        <v>95</v>
      </c>
      <c r="O336" s="136" t="s">
        <v>272</v>
      </c>
      <c r="P336" s="136" t="s">
        <v>273</v>
      </c>
      <c r="Q336" s="136" t="str">
        <f>VLOOKUP(tbl_IO_List[[#This Row],[Instruement Tag]],tbl_Instruement_List[],6,FALSE)</f>
        <v>Steam On/Off Valve for Nozzle #1 (ATVM-11A)</v>
      </c>
      <c r="R336" s="136"/>
      <c r="S33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36" s="136" t="str">
        <f>tbl_IO_List[[#This Row],[Instruement Tag]]&amp;"_"&amp;tbl_IO_List[[#This Row],[I/O Type]]&amp;"_"&amp;tbl_IO_List[[#This Row],[IO-Point 
(Instruement)]]</f>
        <v>XV-60261SA_DI_2</v>
      </c>
      <c r="U336" s="136" t="s">
        <v>8</v>
      </c>
      <c r="V336" s="136">
        <f>VLOOKUP(tbl_IO_List[[#This Row],[I/O Type]],tbl_Slot_Group[],2,FALSE)</f>
        <v>1</v>
      </c>
      <c r="W336" s="136">
        <v>2</v>
      </c>
      <c r="X336" s="136" t="str">
        <f>tbl_IO_List[[#This Row],[Chassis]]&amp;"S"&amp;TEXT(tbl_IO_List[[#This Row],[Slot]],"00")</f>
        <v>C2S04</v>
      </c>
      <c r="Y336" s="136" t="str">
        <f>tbl_IO_List[[#This Row],[Chassis]]&amp;"S"&amp;TEXT(tbl_IO_List[[#This Row],[Slot]],"00")&amp;tbl_IO_List[[#This Row],[I/O Type]]&amp;TEXT(tbl_IO_List[[#This Row],[Point]],"00")</f>
        <v>C2S04DI09</v>
      </c>
      <c r="Z336" s="136" t="str">
        <f>tbl_IO_List[[#This Row],[Chassis]]&amp;"S"&amp;TEXT(tbl_IO_List[[#This Row],[Slot]],"00")&amp;","&amp;TEXT(tbl_IO_List[[#This Row],[Point]],"00")</f>
        <v>C2S04,09</v>
      </c>
      <c r="AA336" s="136" t="str">
        <f>VLOOKUP(tbl_IO_List[[#This Row],[Column23]],tbl_RackConfig[],5,FALSE) &amp;"-"&amp;tbl_IO_List[[#This Row],[Point]]</f>
        <v>1756-IB32-9</v>
      </c>
      <c r="AB336" s="136"/>
      <c r="AC336" s="136"/>
      <c r="AD336" s="136" t="str">
        <f>tbl_IO_List[[#This Row],[I/O Type]]</f>
        <v>DI</v>
      </c>
      <c r="AE336" s="136" t="s">
        <v>1333</v>
      </c>
      <c r="AF336" s="136">
        <v>4</v>
      </c>
      <c r="AG336" s="136">
        <v>9</v>
      </c>
      <c r="AH336" s="136">
        <v>10</v>
      </c>
      <c r="AI336" s="136">
        <v>10</v>
      </c>
      <c r="AJ336" s="136">
        <v>2</v>
      </c>
      <c r="AK336" s="136">
        <v>1</v>
      </c>
      <c r="AL336" s="136">
        <v>0</v>
      </c>
      <c r="AM336" s="136">
        <v>0</v>
      </c>
      <c r="AN336" s="136">
        <v>0</v>
      </c>
      <c r="AO336" s="136"/>
      <c r="AP336" s="143" t="str">
        <f>VLOOKUP(tbl_IO_List[[#This Row],[Instruement Tag]],tbl_Instruement_List[],14,FALSE)</f>
        <v>24 VDC energized,Dry Contact</v>
      </c>
      <c r="AQ336" s="143" t="str">
        <f>tbl_IO_List[[#This Row],[Chassis]]&amp;"S"&amp;tbl_IO_List[[#This Row],[Slot]]&amp;"-"&amp;tbl_IO_List[[#This Row],[Front Terminal Number]]</f>
        <v>C2S4-10</v>
      </c>
      <c r="AR336" s="141" t="s">
        <v>1864</v>
      </c>
      <c r="AS336" s="136" t="str">
        <f>tbl_IO_List[[#This Row],[Terminal Tagging]]&amp;"-"&amp;tbl_IO_List[[#This Row],[Point-Count]]</f>
        <v>P2-TBDI4-10</v>
      </c>
      <c r="AT336" s="136" t="str">
        <f>tbl_IO_List[[#This Row],[Front Terminal Tagging]]&amp;"/"&amp;tbl_IO_List[[#This Row],[Terminal Tagging-Item]]</f>
        <v>C2S4-10/P2-TBDI4-10</v>
      </c>
      <c r="AU336" s="136" t="str">
        <f>tbl_IO_List[[#This Row],[Terminal Tagging-Item]]&amp;"/"&amp;tbl_IO_List[[#This Row],[Front Terminal Tagging]]</f>
        <v>P2-TBDI4-10/C2S4-10</v>
      </c>
    </row>
    <row r="337" spans="1:47">
      <c r="A337" s="147" t="s">
        <v>1367</v>
      </c>
      <c r="B337" s="136" t="s">
        <v>270</v>
      </c>
      <c r="C337" s="136" t="str">
        <f>tbl_IO_List[[#This Row],[Column3]]</f>
        <v>C2S04,10</v>
      </c>
      <c r="D337" s="136" t="str">
        <f>tbl_IO_List[[#This Row],[Card]]</f>
        <v>1756-IB32-10</v>
      </c>
      <c r="E337" s="136" t="s">
        <v>1366</v>
      </c>
      <c r="F337" s="136" t="str">
        <f>tbl_IO_List[[#This Row],[Column23]]&amp;"-" &amp;tbl_IO_List[[#This Row],[Column52]]</f>
        <v>C2S04-X1</v>
      </c>
      <c r="G337" s="136" t="str">
        <f>tbl_IO_List[[#This Row],[PLC_Tag]]</f>
        <v>XV-60261SB_DI_1</v>
      </c>
      <c r="H337" s="136"/>
      <c r="I337" s="136" t="str">
        <f>VLOOKUP(tbl_IO_List[[#This Row],[Destination]],tbl_Junction[],2,FALSE)</f>
        <v>Spray Dryer 7th Floor</v>
      </c>
      <c r="J337" s="136" t="s">
        <v>270</v>
      </c>
      <c r="K337" s="136" t="s">
        <v>14</v>
      </c>
      <c r="L337" s="136" t="s">
        <v>304</v>
      </c>
      <c r="M337" s="136">
        <f>VLOOKUP(tbl_IO_List[[#This Row],[Instruement Tag]],tbl_Instruement_List[],2,FALSE)</f>
        <v>0</v>
      </c>
      <c r="N337" s="136" t="s">
        <v>95</v>
      </c>
      <c r="O337" s="136" t="s">
        <v>272</v>
      </c>
      <c r="P337" s="136" t="s">
        <v>273</v>
      </c>
      <c r="Q337" s="136" t="str">
        <f>VLOOKUP(tbl_IO_List[[#This Row],[Instruement Tag]],tbl_Instruement_List[],6,FALSE)</f>
        <v>Steam On/Off Valve for Nozzle #2 (ATVM-11A)</v>
      </c>
      <c r="R337" s="136"/>
      <c r="S33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37" s="136" t="str">
        <f>tbl_IO_List[[#This Row],[Instruement Tag]]&amp;"_"&amp;tbl_IO_List[[#This Row],[I/O Type]]&amp;"_"&amp;tbl_IO_List[[#This Row],[IO-Point 
(Instruement)]]</f>
        <v>XV-60261SB_DI_1</v>
      </c>
      <c r="U337" s="136" t="s">
        <v>8</v>
      </c>
      <c r="V337" s="136">
        <f>VLOOKUP(tbl_IO_List[[#This Row],[I/O Type]],tbl_Slot_Group[],2,FALSE)</f>
        <v>1</v>
      </c>
      <c r="W337" s="136">
        <v>1</v>
      </c>
      <c r="X337" s="136" t="str">
        <f>tbl_IO_List[[#This Row],[Chassis]]&amp;"S"&amp;TEXT(tbl_IO_List[[#This Row],[Slot]],"00")</f>
        <v>C2S04</v>
      </c>
      <c r="Y337" s="136" t="str">
        <f>tbl_IO_List[[#This Row],[Chassis]]&amp;"S"&amp;TEXT(tbl_IO_List[[#This Row],[Slot]],"00")&amp;tbl_IO_List[[#This Row],[I/O Type]]&amp;TEXT(tbl_IO_List[[#This Row],[Point]],"00")</f>
        <v>C2S04DI10</v>
      </c>
      <c r="Z337" s="136" t="str">
        <f>tbl_IO_List[[#This Row],[Chassis]]&amp;"S"&amp;TEXT(tbl_IO_List[[#This Row],[Slot]],"00")&amp;","&amp;TEXT(tbl_IO_List[[#This Row],[Point]],"00")</f>
        <v>C2S04,10</v>
      </c>
      <c r="AA337" s="136" t="str">
        <f>VLOOKUP(tbl_IO_List[[#This Row],[Column23]],tbl_RackConfig[],5,FALSE) &amp;"-"&amp;tbl_IO_List[[#This Row],[Point]]</f>
        <v>1756-IB32-10</v>
      </c>
      <c r="AB337" s="136"/>
      <c r="AC337" s="136"/>
      <c r="AD337" s="136" t="str">
        <f>tbl_IO_List[[#This Row],[I/O Type]]</f>
        <v>DI</v>
      </c>
      <c r="AE337" s="136" t="s">
        <v>1333</v>
      </c>
      <c r="AF337" s="136">
        <v>4</v>
      </c>
      <c r="AG337" s="136">
        <v>10</v>
      </c>
      <c r="AH337" s="136">
        <v>11</v>
      </c>
      <c r="AI337" s="136">
        <v>11</v>
      </c>
      <c r="AJ337" s="136">
        <v>2</v>
      </c>
      <c r="AK337" s="136">
        <v>1</v>
      </c>
      <c r="AL337" s="136">
        <v>0</v>
      </c>
      <c r="AM337" s="136">
        <v>0</v>
      </c>
      <c r="AN337" s="136">
        <v>0</v>
      </c>
      <c r="AO337" s="136"/>
      <c r="AP337" s="143" t="str">
        <f>VLOOKUP(tbl_IO_List[[#This Row],[Instruement Tag]],tbl_Instruement_List[],14,FALSE)</f>
        <v>24 VDC energized,Dry Contact</v>
      </c>
      <c r="AQ337" s="143" t="str">
        <f>tbl_IO_List[[#This Row],[Chassis]]&amp;"S"&amp;tbl_IO_List[[#This Row],[Slot]]&amp;"-"&amp;tbl_IO_List[[#This Row],[Front Terminal Number]]</f>
        <v>C2S4-11</v>
      </c>
      <c r="AR337" s="141" t="s">
        <v>1864</v>
      </c>
      <c r="AS337" s="136" t="str">
        <f>tbl_IO_List[[#This Row],[Terminal Tagging]]&amp;"-"&amp;tbl_IO_List[[#This Row],[Point-Count]]</f>
        <v>P2-TBDI4-11</v>
      </c>
      <c r="AT337" s="136" t="str">
        <f>tbl_IO_List[[#This Row],[Front Terminal Tagging]]&amp;"/"&amp;tbl_IO_List[[#This Row],[Terminal Tagging-Item]]</f>
        <v>C2S4-11/P2-TBDI4-11</v>
      </c>
      <c r="AU337" s="136" t="str">
        <f>tbl_IO_List[[#This Row],[Terminal Tagging-Item]]&amp;"/"&amp;tbl_IO_List[[#This Row],[Front Terminal Tagging]]</f>
        <v>P2-TBDI4-11/C2S4-11</v>
      </c>
    </row>
    <row r="338" spans="1:47">
      <c r="A338" s="147" t="s">
        <v>1367</v>
      </c>
      <c r="B338" s="136" t="s">
        <v>270</v>
      </c>
      <c r="C338" s="136" t="str">
        <f>tbl_IO_List[[#This Row],[Column3]]</f>
        <v>C2S04,11</v>
      </c>
      <c r="D338" s="136" t="str">
        <f>tbl_IO_List[[#This Row],[Card]]</f>
        <v>1756-IB32-11</v>
      </c>
      <c r="E338" s="136" t="s">
        <v>1366</v>
      </c>
      <c r="F338" s="136" t="str">
        <f>tbl_IO_List[[#This Row],[Column23]]&amp;"-" &amp;tbl_IO_List[[#This Row],[Column52]]</f>
        <v>C2S04-X1</v>
      </c>
      <c r="G338" s="136" t="str">
        <f>tbl_IO_List[[#This Row],[PLC_Tag]]</f>
        <v>XV-60261SB_DI_2</v>
      </c>
      <c r="H338" s="136"/>
      <c r="I338" s="136" t="str">
        <f>VLOOKUP(tbl_IO_List[[#This Row],[Destination]],tbl_Junction[],2,FALSE)</f>
        <v>Spray Dryer 7th Floor</v>
      </c>
      <c r="J338" s="136" t="s">
        <v>270</v>
      </c>
      <c r="K338" s="136" t="s">
        <v>14</v>
      </c>
      <c r="L338" s="136" t="s">
        <v>304</v>
      </c>
      <c r="M338" s="136">
        <f>VLOOKUP(tbl_IO_List[[#This Row],[Instruement Tag]],tbl_Instruement_List[],2,FALSE)</f>
        <v>0</v>
      </c>
      <c r="N338" s="136" t="s">
        <v>95</v>
      </c>
      <c r="O338" s="136" t="s">
        <v>272</v>
      </c>
      <c r="P338" s="136" t="s">
        <v>273</v>
      </c>
      <c r="Q338" s="136" t="str">
        <f>VLOOKUP(tbl_IO_List[[#This Row],[Instruement Tag]],tbl_Instruement_List[],6,FALSE)</f>
        <v>Steam On/Off Valve for Nozzle #2 (ATVM-11A)</v>
      </c>
      <c r="R338" s="136"/>
      <c r="S33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38" s="136" t="str">
        <f>tbl_IO_List[[#This Row],[Instruement Tag]]&amp;"_"&amp;tbl_IO_List[[#This Row],[I/O Type]]&amp;"_"&amp;tbl_IO_List[[#This Row],[IO-Point 
(Instruement)]]</f>
        <v>XV-60261SB_DI_2</v>
      </c>
      <c r="U338" s="136" t="s">
        <v>8</v>
      </c>
      <c r="V338" s="136">
        <f>VLOOKUP(tbl_IO_List[[#This Row],[I/O Type]],tbl_Slot_Group[],2,FALSE)</f>
        <v>1</v>
      </c>
      <c r="W338" s="136">
        <v>2</v>
      </c>
      <c r="X338" s="136" t="str">
        <f>tbl_IO_List[[#This Row],[Chassis]]&amp;"S"&amp;TEXT(tbl_IO_List[[#This Row],[Slot]],"00")</f>
        <v>C2S04</v>
      </c>
      <c r="Y338" s="136" t="str">
        <f>tbl_IO_List[[#This Row],[Chassis]]&amp;"S"&amp;TEXT(tbl_IO_List[[#This Row],[Slot]],"00")&amp;tbl_IO_List[[#This Row],[I/O Type]]&amp;TEXT(tbl_IO_List[[#This Row],[Point]],"00")</f>
        <v>C2S04DI11</v>
      </c>
      <c r="Z338" s="136" t="str">
        <f>tbl_IO_List[[#This Row],[Chassis]]&amp;"S"&amp;TEXT(tbl_IO_List[[#This Row],[Slot]],"00")&amp;","&amp;TEXT(tbl_IO_List[[#This Row],[Point]],"00")</f>
        <v>C2S04,11</v>
      </c>
      <c r="AA338" s="136" t="str">
        <f>VLOOKUP(tbl_IO_List[[#This Row],[Column23]],tbl_RackConfig[],5,FALSE) &amp;"-"&amp;tbl_IO_List[[#This Row],[Point]]</f>
        <v>1756-IB32-11</v>
      </c>
      <c r="AB338" s="136"/>
      <c r="AC338" s="136"/>
      <c r="AD338" s="136" t="str">
        <f>tbl_IO_List[[#This Row],[I/O Type]]</f>
        <v>DI</v>
      </c>
      <c r="AE338" s="136" t="s">
        <v>1333</v>
      </c>
      <c r="AF338" s="136">
        <v>4</v>
      </c>
      <c r="AG338" s="136">
        <v>11</v>
      </c>
      <c r="AH338" s="136">
        <v>12</v>
      </c>
      <c r="AI338" s="136">
        <v>12</v>
      </c>
      <c r="AJ338" s="136">
        <v>2</v>
      </c>
      <c r="AK338" s="136">
        <v>1</v>
      </c>
      <c r="AL338" s="136">
        <v>0</v>
      </c>
      <c r="AM338" s="136">
        <v>0</v>
      </c>
      <c r="AN338" s="136">
        <v>0</v>
      </c>
      <c r="AO338" s="136"/>
      <c r="AP338" s="143" t="str">
        <f>VLOOKUP(tbl_IO_List[[#This Row],[Instruement Tag]],tbl_Instruement_List[],14,FALSE)</f>
        <v>24 VDC energized,Dry Contact</v>
      </c>
      <c r="AQ338" s="143" t="str">
        <f>tbl_IO_List[[#This Row],[Chassis]]&amp;"S"&amp;tbl_IO_List[[#This Row],[Slot]]&amp;"-"&amp;tbl_IO_List[[#This Row],[Front Terminal Number]]</f>
        <v>C2S4-12</v>
      </c>
      <c r="AR338" s="141" t="s">
        <v>1864</v>
      </c>
      <c r="AS338" s="136" t="str">
        <f>tbl_IO_List[[#This Row],[Terminal Tagging]]&amp;"-"&amp;tbl_IO_List[[#This Row],[Point-Count]]</f>
        <v>P2-TBDI4-12</v>
      </c>
      <c r="AT338" s="136" t="str">
        <f>tbl_IO_List[[#This Row],[Front Terminal Tagging]]&amp;"/"&amp;tbl_IO_List[[#This Row],[Terminal Tagging-Item]]</f>
        <v>C2S4-12/P2-TBDI4-12</v>
      </c>
      <c r="AU338" s="136" t="str">
        <f>tbl_IO_List[[#This Row],[Terminal Tagging-Item]]&amp;"/"&amp;tbl_IO_List[[#This Row],[Front Terminal Tagging]]</f>
        <v>P2-TBDI4-12/C2S4-12</v>
      </c>
    </row>
    <row r="339" spans="1:47">
      <c r="A339" s="147" t="s">
        <v>1367</v>
      </c>
      <c r="B339" s="136" t="s">
        <v>270</v>
      </c>
      <c r="C339" s="136" t="str">
        <f>tbl_IO_List[[#This Row],[Column3]]</f>
        <v>C2S04,12</v>
      </c>
      <c r="D339" s="136" t="str">
        <f>tbl_IO_List[[#This Row],[Card]]</f>
        <v>1756-IB32-12</v>
      </c>
      <c r="E339" s="136" t="s">
        <v>1366</v>
      </c>
      <c r="F339" s="136" t="str">
        <f>tbl_IO_List[[#This Row],[Column23]]&amp;"-" &amp;tbl_IO_List[[#This Row],[Column52]]</f>
        <v>C2S04-X1</v>
      </c>
      <c r="G339" s="136" t="str">
        <f>tbl_IO_List[[#This Row],[PLC_Tag]]</f>
        <v>XV-60261SC_DI_1</v>
      </c>
      <c r="H339" s="136"/>
      <c r="I339" s="136" t="str">
        <f>VLOOKUP(tbl_IO_List[[#This Row],[Destination]],tbl_Junction[],2,FALSE)</f>
        <v>Spray Dryer 7th Floor</v>
      </c>
      <c r="J339" s="136" t="s">
        <v>270</v>
      </c>
      <c r="K339" s="136" t="s">
        <v>14</v>
      </c>
      <c r="L339" s="136" t="s">
        <v>305</v>
      </c>
      <c r="M339" s="136">
        <f>VLOOKUP(tbl_IO_List[[#This Row],[Instruement Tag]],tbl_Instruement_List[],2,FALSE)</f>
        <v>0</v>
      </c>
      <c r="N339" s="136" t="s">
        <v>95</v>
      </c>
      <c r="O339" s="136" t="s">
        <v>272</v>
      </c>
      <c r="P339" s="136" t="s">
        <v>273</v>
      </c>
      <c r="Q339" s="136" t="str">
        <f>VLOOKUP(tbl_IO_List[[#This Row],[Instruement Tag]],tbl_Instruement_List[],6,FALSE)</f>
        <v>Steam On/Off Valve for Nozzle #3 (ATVM-11A)</v>
      </c>
      <c r="R339" s="136"/>
      <c r="S33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39" s="136" t="str">
        <f>tbl_IO_List[[#This Row],[Instruement Tag]]&amp;"_"&amp;tbl_IO_List[[#This Row],[I/O Type]]&amp;"_"&amp;tbl_IO_List[[#This Row],[IO-Point 
(Instruement)]]</f>
        <v>XV-60261SC_DI_1</v>
      </c>
      <c r="U339" s="136" t="s">
        <v>8</v>
      </c>
      <c r="V339" s="136">
        <f>VLOOKUP(tbl_IO_List[[#This Row],[I/O Type]],tbl_Slot_Group[],2,FALSE)</f>
        <v>1</v>
      </c>
      <c r="W339" s="136">
        <v>1</v>
      </c>
      <c r="X339" s="136" t="str">
        <f>tbl_IO_List[[#This Row],[Chassis]]&amp;"S"&amp;TEXT(tbl_IO_List[[#This Row],[Slot]],"00")</f>
        <v>C2S04</v>
      </c>
      <c r="Y339" s="136" t="str">
        <f>tbl_IO_List[[#This Row],[Chassis]]&amp;"S"&amp;TEXT(tbl_IO_List[[#This Row],[Slot]],"00")&amp;tbl_IO_List[[#This Row],[I/O Type]]&amp;TEXT(tbl_IO_List[[#This Row],[Point]],"00")</f>
        <v>C2S04DI12</v>
      </c>
      <c r="Z339" s="136" t="str">
        <f>tbl_IO_List[[#This Row],[Chassis]]&amp;"S"&amp;TEXT(tbl_IO_List[[#This Row],[Slot]],"00")&amp;","&amp;TEXT(tbl_IO_List[[#This Row],[Point]],"00")</f>
        <v>C2S04,12</v>
      </c>
      <c r="AA339" s="136" t="str">
        <f>VLOOKUP(tbl_IO_List[[#This Row],[Column23]],tbl_RackConfig[],5,FALSE) &amp;"-"&amp;tbl_IO_List[[#This Row],[Point]]</f>
        <v>1756-IB32-12</v>
      </c>
      <c r="AB339" s="136"/>
      <c r="AC339" s="136"/>
      <c r="AD339" s="136" t="str">
        <f>tbl_IO_List[[#This Row],[I/O Type]]</f>
        <v>DI</v>
      </c>
      <c r="AE339" s="136" t="s">
        <v>1333</v>
      </c>
      <c r="AF339" s="136">
        <v>4</v>
      </c>
      <c r="AG339" s="136">
        <v>12</v>
      </c>
      <c r="AH339" s="136">
        <v>13</v>
      </c>
      <c r="AI339" s="136">
        <v>13</v>
      </c>
      <c r="AJ339" s="136">
        <v>2</v>
      </c>
      <c r="AK339" s="136">
        <v>1</v>
      </c>
      <c r="AL339" s="136">
        <v>0</v>
      </c>
      <c r="AM339" s="136">
        <v>0</v>
      </c>
      <c r="AN339" s="136">
        <v>0</v>
      </c>
      <c r="AO339" s="136"/>
      <c r="AP339" s="143" t="str">
        <f>VLOOKUP(tbl_IO_List[[#This Row],[Instruement Tag]],tbl_Instruement_List[],14,FALSE)</f>
        <v>24 VDC energized,Dry Contact</v>
      </c>
      <c r="AQ339" s="143" t="str">
        <f>tbl_IO_List[[#This Row],[Chassis]]&amp;"S"&amp;tbl_IO_List[[#This Row],[Slot]]&amp;"-"&amp;tbl_IO_List[[#This Row],[Front Terminal Number]]</f>
        <v>C2S4-13</v>
      </c>
      <c r="AR339" s="141" t="s">
        <v>1864</v>
      </c>
      <c r="AS339" s="136" t="str">
        <f>tbl_IO_List[[#This Row],[Terminal Tagging]]&amp;"-"&amp;tbl_IO_List[[#This Row],[Point-Count]]</f>
        <v>P2-TBDI4-13</v>
      </c>
      <c r="AT339" s="136" t="str">
        <f>tbl_IO_List[[#This Row],[Front Terminal Tagging]]&amp;"/"&amp;tbl_IO_List[[#This Row],[Terminal Tagging-Item]]</f>
        <v>C2S4-13/P2-TBDI4-13</v>
      </c>
      <c r="AU339" s="136" t="str">
        <f>tbl_IO_List[[#This Row],[Terminal Tagging-Item]]&amp;"/"&amp;tbl_IO_List[[#This Row],[Front Terminal Tagging]]</f>
        <v>P2-TBDI4-13/C2S4-13</v>
      </c>
    </row>
    <row r="340" spans="1:47">
      <c r="A340" s="147" t="s">
        <v>1367</v>
      </c>
      <c r="B340" s="136" t="s">
        <v>270</v>
      </c>
      <c r="C340" s="136" t="str">
        <f>tbl_IO_List[[#This Row],[Column3]]</f>
        <v>C2S04,13</v>
      </c>
      <c r="D340" s="136" t="str">
        <f>tbl_IO_List[[#This Row],[Card]]</f>
        <v>1756-IB32-13</v>
      </c>
      <c r="E340" s="136" t="s">
        <v>1366</v>
      </c>
      <c r="F340" s="136" t="str">
        <f>tbl_IO_List[[#This Row],[Column23]]&amp;"-" &amp;tbl_IO_List[[#This Row],[Column52]]</f>
        <v>C2S04-X1</v>
      </c>
      <c r="G340" s="136" t="str">
        <f>tbl_IO_List[[#This Row],[PLC_Tag]]</f>
        <v>XV-60261SC_DI_2</v>
      </c>
      <c r="H340" s="136"/>
      <c r="I340" s="136" t="str">
        <f>VLOOKUP(tbl_IO_List[[#This Row],[Destination]],tbl_Junction[],2,FALSE)</f>
        <v>Spray Dryer 7th Floor</v>
      </c>
      <c r="J340" s="136" t="s">
        <v>270</v>
      </c>
      <c r="K340" s="136" t="s">
        <v>14</v>
      </c>
      <c r="L340" s="136" t="s">
        <v>305</v>
      </c>
      <c r="M340" s="136">
        <f>VLOOKUP(tbl_IO_List[[#This Row],[Instruement Tag]],tbl_Instruement_List[],2,FALSE)</f>
        <v>0</v>
      </c>
      <c r="N340" s="136" t="s">
        <v>95</v>
      </c>
      <c r="O340" s="136" t="s">
        <v>272</v>
      </c>
      <c r="P340" s="136" t="s">
        <v>273</v>
      </c>
      <c r="Q340" s="136" t="str">
        <f>VLOOKUP(tbl_IO_List[[#This Row],[Instruement Tag]],tbl_Instruement_List[],6,FALSE)</f>
        <v>Steam On/Off Valve for Nozzle #3 (ATVM-11A)</v>
      </c>
      <c r="R340" s="136"/>
      <c r="S34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40" s="136" t="str">
        <f>tbl_IO_List[[#This Row],[Instruement Tag]]&amp;"_"&amp;tbl_IO_List[[#This Row],[I/O Type]]&amp;"_"&amp;tbl_IO_List[[#This Row],[IO-Point 
(Instruement)]]</f>
        <v>XV-60261SC_DI_2</v>
      </c>
      <c r="U340" s="136" t="s">
        <v>8</v>
      </c>
      <c r="V340" s="136">
        <f>VLOOKUP(tbl_IO_List[[#This Row],[I/O Type]],tbl_Slot_Group[],2,FALSE)</f>
        <v>1</v>
      </c>
      <c r="W340" s="136">
        <v>2</v>
      </c>
      <c r="X340" s="136" t="str">
        <f>tbl_IO_List[[#This Row],[Chassis]]&amp;"S"&amp;TEXT(tbl_IO_List[[#This Row],[Slot]],"00")</f>
        <v>C2S04</v>
      </c>
      <c r="Y340" s="136" t="str">
        <f>tbl_IO_List[[#This Row],[Chassis]]&amp;"S"&amp;TEXT(tbl_IO_List[[#This Row],[Slot]],"00")&amp;tbl_IO_List[[#This Row],[I/O Type]]&amp;TEXT(tbl_IO_List[[#This Row],[Point]],"00")</f>
        <v>C2S04DI13</v>
      </c>
      <c r="Z340" s="136" t="str">
        <f>tbl_IO_List[[#This Row],[Chassis]]&amp;"S"&amp;TEXT(tbl_IO_List[[#This Row],[Slot]],"00")&amp;","&amp;TEXT(tbl_IO_List[[#This Row],[Point]],"00")</f>
        <v>C2S04,13</v>
      </c>
      <c r="AA340" s="136" t="str">
        <f>VLOOKUP(tbl_IO_List[[#This Row],[Column23]],tbl_RackConfig[],5,FALSE) &amp;"-"&amp;tbl_IO_List[[#This Row],[Point]]</f>
        <v>1756-IB32-13</v>
      </c>
      <c r="AB340" s="136"/>
      <c r="AC340" s="136"/>
      <c r="AD340" s="136" t="str">
        <f>tbl_IO_List[[#This Row],[I/O Type]]</f>
        <v>DI</v>
      </c>
      <c r="AE340" s="136" t="s">
        <v>1333</v>
      </c>
      <c r="AF340" s="136">
        <v>4</v>
      </c>
      <c r="AG340" s="136">
        <v>13</v>
      </c>
      <c r="AH340" s="136">
        <v>14</v>
      </c>
      <c r="AI340" s="136">
        <v>14</v>
      </c>
      <c r="AJ340" s="136">
        <v>2</v>
      </c>
      <c r="AK340" s="136">
        <v>1</v>
      </c>
      <c r="AL340" s="136">
        <v>0</v>
      </c>
      <c r="AM340" s="136">
        <v>0</v>
      </c>
      <c r="AN340" s="136">
        <v>0</v>
      </c>
      <c r="AO340" s="136"/>
      <c r="AP340" s="143" t="str">
        <f>VLOOKUP(tbl_IO_List[[#This Row],[Instruement Tag]],tbl_Instruement_List[],14,FALSE)</f>
        <v>24 VDC energized,Dry Contact</v>
      </c>
      <c r="AQ340" s="143" t="str">
        <f>tbl_IO_List[[#This Row],[Chassis]]&amp;"S"&amp;tbl_IO_List[[#This Row],[Slot]]&amp;"-"&amp;tbl_IO_List[[#This Row],[Front Terminal Number]]</f>
        <v>C2S4-14</v>
      </c>
      <c r="AR340" s="141" t="s">
        <v>1864</v>
      </c>
      <c r="AS340" s="136" t="str">
        <f>tbl_IO_List[[#This Row],[Terminal Tagging]]&amp;"-"&amp;tbl_IO_List[[#This Row],[Point-Count]]</f>
        <v>P2-TBDI4-14</v>
      </c>
      <c r="AT340" s="136" t="str">
        <f>tbl_IO_List[[#This Row],[Front Terminal Tagging]]&amp;"/"&amp;tbl_IO_List[[#This Row],[Terminal Tagging-Item]]</f>
        <v>C2S4-14/P2-TBDI4-14</v>
      </c>
      <c r="AU340" s="136" t="str">
        <f>tbl_IO_List[[#This Row],[Terminal Tagging-Item]]&amp;"/"&amp;tbl_IO_List[[#This Row],[Front Terminal Tagging]]</f>
        <v>P2-TBDI4-14/C2S4-14</v>
      </c>
    </row>
    <row r="341" spans="1:47">
      <c r="A341" s="147" t="s">
        <v>1367</v>
      </c>
      <c r="B341" s="136" t="s">
        <v>270</v>
      </c>
      <c r="C341" s="136" t="str">
        <f>tbl_IO_List[[#This Row],[Column3]]</f>
        <v>C2S04,14</v>
      </c>
      <c r="D341" s="136" t="str">
        <f>tbl_IO_List[[#This Row],[Card]]</f>
        <v>1756-IB32-14</v>
      </c>
      <c r="E341" s="136" t="s">
        <v>1366</v>
      </c>
      <c r="F341" s="136" t="str">
        <f>tbl_IO_List[[#This Row],[Column23]]&amp;"-" &amp;tbl_IO_List[[#This Row],[Column52]]</f>
        <v>C2S04-X1</v>
      </c>
      <c r="G341" s="136" t="str">
        <f>tbl_IO_List[[#This Row],[PLC_Tag]]</f>
        <v>XV-60261SD_DI_1</v>
      </c>
      <c r="H341" s="136"/>
      <c r="I341" s="136" t="str">
        <f>VLOOKUP(tbl_IO_List[[#This Row],[Destination]],tbl_Junction[],2,FALSE)</f>
        <v>Spray Dryer 7th Floor</v>
      </c>
      <c r="J341" s="136" t="s">
        <v>270</v>
      </c>
      <c r="K341" s="136" t="s">
        <v>14</v>
      </c>
      <c r="L341" s="136" t="s">
        <v>306</v>
      </c>
      <c r="M341" s="136">
        <f>VLOOKUP(tbl_IO_List[[#This Row],[Instruement Tag]],tbl_Instruement_List[],2,FALSE)</f>
        <v>0</v>
      </c>
      <c r="N341" s="136" t="s">
        <v>95</v>
      </c>
      <c r="O341" s="136" t="s">
        <v>272</v>
      </c>
      <c r="P341" s="136" t="s">
        <v>273</v>
      </c>
      <c r="Q341" s="136" t="str">
        <f>VLOOKUP(tbl_IO_List[[#This Row],[Instruement Tag]],tbl_Instruement_List[],6,FALSE)</f>
        <v>Steam On/Off Valve for Nozzle #4 (ATVM-11A)</v>
      </c>
      <c r="R341" s="136"/>
      <c r="S34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41" s="136" t="str">
        <f>tbl_IO_List[[#This Row],[Instruement Tag]]&amp;"_"&amp;tbl_IO_List[[#This Row],[I/O Type]]&amp;"_"&amp;tbl_IO_List[[#This Row],[IO-Point 
(Instruement)]]</f>
        <v>XV-60261SD_DI_1</v>
      </c>
      <c r="U341" s="136" t="s">
        <v>8</v>
      </c>
      <c r="V341" s="136">
        <f>VLOOKUP(tbl_IO_List[[#This Row],[I/O Type]],tbl_Slot_Group[],2,FALSE)</f>
        <v>1</v>
      </c>
      <c r="W341" s="136">
        <v>1</v>
      </c>
      <c r="X341" s="136" t="str">
        <f>tbl_IO_List[[#This Row],[Chassis]]&amp;"S"&amp;TEXT(tbl_IO_List[[#This Row],[Slot]],"00")</f>
        <v>C2S04</v>
      </c>
      <c r="Y341" s="136" t="str">
        <f>tbl_IO_List[[#This Row],[Chassis]]&amp;"S"&amp;TEXT(tbl_IO_List[[#This Row],[Slot]],"00")&amp;tbl_IO_List[[#This Row],[I/O Type]]&amp;TEXT(tbl_IO_List[[#This Row],[Point]],"00")</f>
        <v>C2S04DI14</v>
      </c>
      <c r="Z341" s="136" t="str">
        <f>tbl_IO_List[[#This Row],[Chassis]]&amp;"S"&amp;TEXT(tbl_IO_List[[#This Row],[Slot]],"00")&amp;","&amp;TEXT(tbl_IO_List[[#This Row],[Point]],"00")</f>
        <v>C2S04,14</v>
      </c>
      <c r="AA341" s="136" t="str">
        <f>VLOOKUP(tbl_IO_List[[#This Row],[Column23]],tbl_RackConfig[],5,FALSE) &amp;"-"&amp;tbl_IO_List[[#This Row],[Point]]</f>
        <v>1756-IB32-14</v>
      </c>
      <c r="AB341" s="136"/>
      <c r="AC341" s="136"/>
      <c r="AD341" s="136" t="str">
        <f>tbl_IO_List[[#This Row],[I/O Type]]</f>
        <v>DI</v>
      </c>
      <c r="AE341" s="136" t="s">
        <v>1333</v>
      </c>
      <c r="AF341" s="136">
        <v>4</v>
      </c>
      <c r="AG341" s="136">
        <v>14</v>
      </c>
      <c r="AH341" s="136">
        <v>15</v>
      </c>
      <c r="AI341" s="136">
        <v>15</v>
      </c>
      <c r="AJ341" s="136">
        <v>2</v>
      </c>
      <c r="AK341" s="136">
        <v>1</v>
      </c>
      <c r="AL341" s="136">
        <v>0</v>
      </c>
      <c r="AM341" s="136">
        <v>0</v>
      </c>
      <c r="AN341" s="136">
        <v>0</v>
      </c>
      <c r="AO341" s="136"/>
      <c r="AP341" s="143" t="str">
        <f>VLOOKUP(tbl_IO_List[[#This Row],[Instruement Tag]],tbl_Instruement_List[],14,FALSE)</f>
        <v>24 VDC energized,Dry Contact</v>
      </c>
      <c r="AQ341" s="143" t="str">
        <f>tbl_IO_List[[#This Row],[Chassis]]&amp;"S"&amp;tbl_IO_List[[#This Row],[Slot]]&amp;"-"&amp;tbl_IO_List[[#This Row],[Front Terminal Number]]</f>
        <v>C2S4-15</v>
      </c>
      <c r="AR341" s="141" t="s">
        <v>1864</v>
      </c>
      <c r="AS341" s="136" t="str">
        <f>tbl_IO_List[[#This Row],[Terminal Tagging]]&amp;"-"&amp;tbl_IO_List[[#This Row],[Point-Count]]</f>
        <v>P2-TBDI4-15</v>
      </c>
      <c r="AT341" s="136" t="str">
        <f>tbl_IO_List[[#This Row],[Front Terminal Tagging]]&amp;"/"&amp;tbl_IO_List[[#This Row],[Terminal Tagging-Item]]</f>
        <v>C2S4-15/P2-TBDI4-15</v>
      </c>
      <c r="AU341" s="136" t="str">
        <f>tbl_IO_List[[#This Row],[Terminal Tagging-Item]]&amp;"/"&amp;tbl_IO_List[[#This Row],[Front Terminal Tagging]]</f>
        <v>P2-TBDI4-15/C2S4-15</v>
      </c>
    </row>
    <row r="342" spans="1:47">
      <c r="A342" s="147" t="s">
        <v>1367</v>
      </c>
      <c r="B342" s="136" t="s">
        <v>270</v>
      </c>
      <c r="C342" s="136" t="str">
        <f>tbl_IO_List[[#This Row],[Column3]]</f>
        <v>C2S04,15</v>
      </c>
      <c r="D342" s="136" t="str">
        <f>tbl_IO_List[[#This Row],[Card]]</f>
        <v>1756-IB32-15</v>
      </c>
      <c r="E342" s="136" t="s">
        <v>1366</v>
      </c>
      <c r="F342" s="136" t="str">
        <f>tbl_IO_List[[#This Row],[Column23]]&amp;"-" &amp;tbl_IO_List[[#This Row],[Column52]]</f>
        <v>C2S04-X1</v>
      </c>
      <c r="G342" s="136" t="str">
        <f>tbl_IO_List[[#This Row],[PLC_Tag]]</f>
        <v>XV-60261SD_DI_2</v>
      </c>
      <c r="H342" s="136"/>
      <c r="I342" s="136" t="str">
        <f>VLOOKUP(tbl_IO_List[[#This Row],[Destination]],tbl_Junction[],2,FALSE)</f>
        <v>Spray Dryer 7th Floor</v>
      </c>
      <c r="J342" s="136" t="s">
        <v>270</v>
      </c>
      <c r="K342" s="136" t="s">
        <v>14</v>
      </c>
      <c r="L342" s="136" t="s">
        <v>306</v>
      </c>
      <c r="M342" s="136">
        <f>VLOOKUP(tbl_IO_List[[#This Row],[Instruement Tag]],tbl_Instruement_List[],2,FALSE)</f>
        <v>0</v>
      </c>
      <c r="N342" s="136" t="s">
        <v>95</v>
      </c>
      <c r="O342" s="136" t="s">
        <v>272</v>
      </c>
      <c r="P342" s="136" t="s">
        <v>273</v>
      </c>
      <c r="Q342" s="136" t="str">
        <f>VLOOKUP(tbl_IO_List[[#This Row],[Instruement Tag]],tbl_Instruement_List[],6,FALSE)</f>
        <v>Steam On/Off Valve for Nozzle #4 (ATVM-11A)</v>
      </c>
      <c r="R342" s="136"/>
      <c r="S34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42" s="136" t="str">
        <f>tbl_IO_List[[#This Row],[Instruement Tag]]&amp;"_"&amp;tbl_IO_List[[#This Row],[I/O Type]]&amp;"_"&amp;tbl_IO_List[[#This Row],[IO-Point 
(Instruement)]]</f>
        <v>XV-60261SD_DI_2</v>
      </c>
      <c r="U342" s="136" t="s">
        <v>8</v>
      </c>
      <c r="V342" s="136">
        <f>VLOOKUP(tbl_IO_List[[#This Row],[I/O Type]],tbl_Slot_Group[],2,FALSE)</f>
        <v>1</v>
      </c>
      <c r="W342" s="136">
        <v>2</v>
      </c>
      <c r="X342" s="136" t="str">
        <f>tbl_IO_List[[#This Row],[Chassis]]&amp;"S"&amp;TEXT(tbl_IO_List[[#This Row],[Slot]],"00")</f>
        <v>C2S04</v>
      </c>
      <c r="Y342" s="136" t="str">
        <f>tbl_IO_List[[#This Row],[Chassis]]&amp;"S"&amp;TEXT(tbl_IO_List[[#This Row],[Slot]],"00")&amp;tbl_IO_List[[#This Row],[I/O Type]]&amp;TEXT(tbl_IO_List[[#This Row],[Point]],"00")</f>
        <v>C2S04DI15</v>
      </c>
      <c r="Z342" s="136" t="str">
        <f>tbl_IO_List[[#This Row],[Chassis]]&amp;"S"&amp;TEXT(tbl_IO_List[[#This Row],[Slot]],"00")&amp;","&amp;TEXT(tbl_IO_List[[#This Row],[Point]],"00")</f>
        <v>C2S04,15</v>
      </c>
      <c r="AA342" s="136" t="str">
        <f>VLOOKUP(tbl_IO_List[[#This Row],[Column23]],tbl_RackConfig[],5,FALSE) &amp;"-"&amp;tbl_IO_List[[#This Row],[Point]]</f>
        <v>1756-IB32-15</v>
      </c>
      <c r="AB342" s="136"/>
      <c r="AC342" s="136"/>
      <c r="AD342" s="136" t="str">
        <f>tbl_IO_List[[#This Row],[I/O Type]]</f>
        <v>DI</v>
      </c>
      <c r="AE342" s="136" t="s">
        <v>1333</v>
      </c>
      <c r="AF342" s="136">
        <v>4</v>
      </c>
      <c r="AG342" s="136">
        <v>15</v>
      </c>
      <c r="AH342" s="136">
        <v>16</v>
      </c>
      <c r="AI342" s="136">
        <v>16</v>
      </c>
      <c r="AJ342" s="136">
        <v>2</v>
      </c>
      <c r="AK342" s="136">
        <v>1</v>
      </c>
      <c r="AL342" s="136">
        <v>0</v>
      </c>
      <c r="AM342" s="136">
        <v>0</v>
      </c>
      <c r="AN342" s="136">
        <v>0</v>
      </c>
      <c r="AO342" s="136"/>
      <c r="AP342" s="143" t="str">
        <f>VLOOKUP(tbl_IO_List[[#This Row],[Instruement Tag]],tbl_Instruement_List[],14,FALSE)</f>
        <v>24 VDC energized,Dry Contact</v>
      </c>
      <c r="AQ342" s="143" t="str">
        <f>tbl_IO_List[[#This Row],[Chassis]]&amp;"S"&amp;tbl_IO_List[[#This Row],[Slot]]&amp;"-"&amp;tbl_IO_List[[#This Row],[Front Terminal Number]]</f>
        <v>C2S4-16</v>
      </c>
      <c r="AR342" s="141" t="s">
        <v>1864</v>
      </c>
      <c r="AS342" s="136" t="str">
        <f>tbl_IO_List[[#This Row],[Terminal Tagging]]&amp;"-"&amp;tbl_IO_List[[#This Row],[Point-Count]]</f>
        <v>P2-TBDI4-16</v>
      </c>
      <c r="AT342" s="136" t="str">
        <f>tbl_IO_List[[#This Row],[Front Terminal Tagging]]&amp;"/"&amp;tbl_IO_List[[#This Row],[Terminal Tagging-Item]]</f>
        <v>C2S4-16/P2-TBDI4-16</v>
      </c>
      <c r="AU342" s="136" t="str">
        <f>tbl_IO_List[[#This Row],[Terminal Tagging-Item]]&amp;"/"&amp;tbl_IO_List[[#This Row],[Front Terminal Tagging]]</f>
        <v>P2-TBDI4-16/C2S4-16</v>
      </c>
    </row>
    <row r="343" spans="1:47">
      <c r="A343" s="147" t="s">
        <v>1367</v>
      </c>
      <c r="B343" s="136" t="s">
        <v>270</v>
      </c>
      <c r="C343" s="136" t="str">
        <f>tbl_IO_List[[#This Row],[Column3]]</f>
        <v>C2S04,16</v>
      </c>
      <c r="D343" s="136" t="str">
        <f>tbl_IO_List[[#This Row],[Card]]</f>
        <v>1756-IB32-16</v>
      </c>
      <c r="E343" s="136" t="s">
        <v>1372</v>
      </c>
      <c r="F343" s="136" t="str">
        <f>tbl_IO_List[[#This Row],[Column23]]&amp;"-" &amp;tbl_IO_List[[#This Row],[Column52]]</f>
        <v>C2S04-X2</v>
      </c>
      <c r="G343" s="136" t="str">
        <f>tbl_IO_List[[#This Row],[PLC_Tag]]</f>
        <v>XV-60262_DI_1</v>
      </c>
      <c r="H343" s="136"/>
      <c r="I343" s="136" t="str">
        <f>VLOOKUP(tbl_IO_List[[#This Row],[Destination]],tbl_Junction[],2,FALSE)</f>
        <v>Spray Dryer 7th Floor</v>
      </c>
      <c r="J343" s="136" t="s">
        <v>270</v>
      </c>
      <c r="K343" s="136" t="s">
        <v>14</v>
      </c>
      <c r="L343" s="136" t="s">
        <v>1387</v>
      </c>
      <c r="M343" s="136" t="e">
        <f>VLOOKUP(tbl_IO_List[[#This Row],[Instruement Tag]],tbl_Instruement_List[],2,FALSE)</f>
        <v>#N/A</v>
      </c>
      <c r="N343" s="136" t="s">
        <v>95</v>
      </c>
      <c r="O343" s="136" t="s">
        <v>272</v>
      </c>
      <c r="P343" s="136" t="s">
        <v>18</v>
      </c>
      <c r="Q343" s="136" t="e">
        <f>VLOOKUP(tbl_IO_List[[#This Row],[Instruement Tag]],tbl_Instruement_List[],6,FALSE)</f>
        <v>#N/A</v>
      </c>
      <c r="R343" s="136"/>
      <c r="S34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43" s="136" t="str">
        <f>tbl_IO_List[[#This Row],[Instruement Tag]]&amp;"_"&amp;tbl_IO_List[[#This Row],[I/O Type]]&amp;"_"&amp;tbl_IO_List[[#This Row],[IO-Point 
(Instruement)]]</f>
        <v>XV-60262_DI_1</v>
      </c>
      <c r="U343" s="136" t="s">
        <v>8</v>
      </c>
      <c r="V343" s="136">
        <f>VLOOKUP(tbl_IO_List[[#This Row],[I/O Type]],tbl_Slot_Group[],2,FALSE)</f>
        <v>1</v>
      </c>
      <c r="W343" s="136">
        <v>1</v>
      </c>
      <c r="X343" s="136" t="str">
        <f>tbl_IO_List[[#This Row],[Chassis]]&amp;"S"&amp;TEXT(tbl_IO_List[[#This Row],[Slot]],"00")</f>
        <v>C2S04</v>
      </c>
      <c r="Y343" s="136" t="str">
        <f>tbl_IO_List[[#This Row],[Chassis]]&amp;"S"&amp;TEXT(tbl_IO_List[[#This Row],[Slot]],"00")&amp;tbl_IO_List[[#This Row],[I/O Type]]&amp;TEXT(tbl_IO_List[[#This Row],[Point]],"00")</f>
        <v>C2S04DI16</v>
      </c>
      <c r="Z343" s="136" t="str">
        <f>tbl_IO_List[[#This Row],[Chassis]]&amp;"S"&amp;TEXT(tbl_IO_List[[#This Row],[Slot]],"00")&amp;","&amp;TEXT(tbl_IO_List[[#This Row],[Point]],"00")</f>
        <v>C2S04,16</v>
      </c>
      <c r="AA343" s="136" t="str">
        <f>VLOOKUP(tbl_IO_List[[#This Row],[Column23]],tbl_RackConfig[],5,FALSE) &amp;"-"&amp;tbl_IO_List[[#This Row],[Point]]</f>
        <v>1756-IB32-16</v>
      </c>
      <c r="AB343" s="136"/>
      <c r="AC343" s="136"/>
      <c r="AD343" s="136" t="str">
        <f>tbl_IO_List[[#This Row],[I/O Type]]</f>
        <v>DI</v>
      </c>
      <c r="AE343" s="136" t="s">
        <v>1333</v>
      </c>
      <c r="AF343" s="136">
        <v>4</v>
      </c>
      <c r="AG343" s="136">
        <v>16</v>
      </c>
      <c r="AH343" s="136">
        <v>17</v>
      </c>
      <c r="AI343" s="136">
        <v>19</v>
      </c>
      <c r="AJ343" s="136">
        <v>2</v>
      </c>
      <c r="AK343" s="136">
        <v>1</v>
      </c>
      <c r="AL343" s="136">
        <v>0</v>
      </c>
      <c r="AM343" s="136">
        <v>0</v>
      </c>
      <c r="AN343" s="136">
        <v>0</v>
      </c>
      <c r="AO343" s="136"/>
      <c r="AP343" s="143" t="e">
        <f>VLOOKUP(tbl_IO_List[[#This Row],[Instruement Tag]],tbl_Instruement_List[],14,FALSE)</f>
        <v>#N/A</v>
      </c>
      <c r="AQ343" s="143" t="str">
        <f>tbl_IO_List[[#This Row],[Chassis]]&amp;"S"&amp;tbl_IO_List[[#This Row],[Slot]]&amp;"-"&amp;tbl_IO_List[[#This Row],[Front Terminal Number]]</f>
        <v>C2S4-19</v>
      </c>
      <c r="AR343" s="141" t="s">
        <v>1864</v>
      </c>
      <c r="AS343" s="136" t="str">
        <f>tbl_IO_List[[#This Row],[Terminal Tagging]]&amp;"-"&amp;tbl_IO_List[[#This Row],[Point-Count]]</f>
        <v>P2-TBDI4-17</v>
      </c>
      <c r="AT343" s="136" t="str">
        <f>tbl_IO_List[[#This Row],[Front Terminal Tagging]]&amp;"/"&amp;tbl_IO_List[[#This Row],[Terminal Tagging-Item]]</f>
        <v>C2S4-19/P2-TBDI4-17</v>
      </c>
      <c r="AU343" s="136" t="str">
        <f>tbl_IO_List[[#This Row],[Terminal Tagging-Item]]&amp;"/"&amp;tbl_IO_List[[#This Row],[Front Terminal Tagging]]</f>
        <v>P2-TBDI4-17/C2S4-19</v>
      </c>
    </row>
    <row r="344" spans="1:47">
      <c r="A344" s="147" t="s">
        <v>1367</v>
      </c>
      <c r="B344" s="136" t="s">
        <v>270</v>
      </c>
      <c r="C344" s="136" t="str">
        <f>tbl_IO_List[[#This Row],[Column3]]</f>
        <v>C2S04,17</v>
      </c>
      <c r="D344" s="136" t="str">
        <f>tbl_IO_List[[#This Row],[Card]]</f>
        <v>1756-IB32-17</v>
      </c>
      <c r="E344" s="136" t="s">
        <v>1372</v>
      </c>
      <c r="F344" s="136" t="str">
        <f>tbl_IO_List[[#This Row],[Column23]]&amp;"-" &amp;tbl_IO_List[[#This Row],[Column52]]</f>
        <v>C2S04-X2</v>
      </c>
      <c r="G344" s="136" t="str">
        <f>tbl_IO_List[[#This Row],[PLC_Tag]]</f>
        <v>XV-60262_DI_2</v>
      </c>
      <c r="H344" s="136"/>
      <c r="I344" s="136" t="str">
        <f>VLOOKUP(tbl_IO_List[[#This Row],[Destination]],tbl_Junction[],2,FALSE)</f>
        <v>Spray Dryer 7th Floor</v>
      </c>
      <c r="J344" s="136" t="s">
        <v>270</v>
      </c>
      <c r="K344" s="136" t="s">
        <v>14</v>
      </c>
      <c r="L344" s="136" t="s">
        <v>1387</v>
      </c>
      <c r="M344" s="136" t="e">
        <f>VLOOKUP(tbl_IO_List[[#This Row],[Instruement Tag]],tbl_Instruement_List[],2,FALSE)</f>
        <v>#N/A</v>
      </c>
      <c r="N344" s="136" t="s">
        <v>95</v>
      </c>
      <c r="O344" s="136" t="s">
        <v>272</v>
      </c>
      <c r="P344" s="136" t="s">
        <v>18</v>
      </c>
      <c r="Q344" s="136" t="e">
        <f>VLOOKUP(tbl_IO_List[[#This Row],[Instruement Tag]],tbl_Instruement_List[],6,FALSE)</f>
        <v>#N/A</v>
      </c>
      <c r="R344" s="136"/>
      <c r="S34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44" s="136" t="str">
        <f>tbl_IO_List[[#This Row],[Instruement Tag]]&amp;"_"&amp;tbl_IO_List[[#This Row],[I/O Type]]&amp;"_"&amp;tbl_IO_List[[#This Row],[IO-Point 
(Instruement)]]</f>
        <v>XV-60262_DI_2</v>
      </c>
      <c r="U344" s="136" t="s">
        <v>8</v>
      </c>
      <c r="V344" s="136">
        <f>VLOOKUP(tbl_IO_List[[#This Row],[I/O Type]],tbl_Slot_Group[],2,FALSE)</f>
        <v>1</v>
      </c>
      <c r="W344" s="136">
        <v>2</v>
      </c>
      <c r="X344" s="136" t="str">
        <f>tbl_IO_List[[#This Row],[Chassis]]&amp;"S"&amp;TEXT(tbl_IO_List[[#This Row],[Slot]],"00")</f>
        <v>C2S04</v>
      </c>
      <c r="Y344" s="136" t="str">
        <f>tbl_IO_List[[#This Row],[Chassis]]&amp;"S"&amp;TEXT(tbl_IO_List[[#This Row],[Slot]],"00")&amp;tbl_IO_List[[#This Row],[I/O Type]]&amp;TEXT(tbl_IO_List[[#This Row],[Point]],"00")</f>
        <v>C2S04DI17</v>
      </c>
      <c r="Z344" s="136" t="str">
        <f>tbl_IO_List[[#This Row],[Chassis]]&amp;"S"&amp;TEXT(tbl_IO_List[[#This Row],[Slot]],"00")&amp;","&amp;TEXT(tbl_IO_List[[#This Row],[Point]],"00")</f>
        <v>C2S04,17</v>
      </c>
      <c r="AA344" s="136" t="str">
        <f>VLOOKUP(tbl_IO_List[[#This Row],[Column23]],tbl_RackConfig[],5,FALSE) &amp;"-"&amp;tbl_IO_List[[#This Row],[Point]]</f>
        <v>1756-IB32-17</v>
      </c>
      <c r="AB344" s="136"/>
      <c r="AC344" s="136"/>
      <c r="AD344" s="136" t="str">
        <f>tbl_IO_List[[#This Row],[I/O Type]]</f>
        <v>DI</v>
      </c>
      <c r="AE344" s="136" t="s">
        <v>1333</v>
      </c>
      <c r="AF344" s="136">
        <v>4</v>
      </c>
      <c r="AG344" s="136">
        <v>17</v>
      </c>
      <c r="AH344" s="136">
        <v>18</v>
      </c>
      <c r="AI344" s="136">
        <v>20</v>
      </c>
      <c r="AJ344" s="136">
        <v>2</v>
      </c>
      <c r="AK344" s="136">
        <v>1</v>
      </c>
      <c r="AL344" s="136">
        <v>0</v>
      </c>
      <c r="AM344" s="136">
        <v>0</v>
      </c>
      <c r="AN344" s="136">
        <v>0</v>
      </c>
      <c r="AO344" s="136"/>
      <c r="AP344" s="143" t="e">
        <f>VLOOKUP(tbl_IO_List[[#This Row],[Instruement Tag]],tbl_Instruement_List[],14,FALSE)</f>
        <v>#N/A</v>
      </c>
      <c r="AQ344" s="143" t="str">
        <f>tbl_IO_List[[#This Row],[Chassis]]&amp;"S"&amp;tbl_IO_List[[#This Row],[Slot]]&amp;"-"&amp;tbl_IO_List[[#This Row],[Front Terminal Number]]</f>
        <v>C2S4-20</v>
      </c>
      <c r="AR344" s="141" t="s">
        <v>1864</v>
      </c>
      <c r="AS344" s="136" t="str">
        <f>tbl_IO_List[[#This Row],[Terminal Tagging]]&amp;"-"&amp;tbl_IO_List[[#This Row],[Point-Count]]</f>
        <v>P2-TBDI4-18</v>
      </c>
      <c r="AT344" s="136" t="str">
        <f>tbl_IO_List[[#This Row],[Front Terminal Tagging]]&amp;"/"&amp;tbl_IO_List[[#This Row],[Terminal Tagging-Item]]</f>
        <v>C2S4-20/P2-TBDI4-18</v>
      </c>
      <c r="AU344" s="136" t="str">
        <f>tbl_IO_List[[#This Row],[Terminal Tagging-Item]]&amp;"/"&amp;tbl_IO_List[[#This Row],[Front Terminal Tagging]]</f>
        <v>P2-TBDI4-18/C2S4-20</v>
      </c>
    </row>
    <row r="345" spans="1:47">
      <c r="A345" s="147" t="s">
        <v>1367</v>
      </c>
      <c r="B345" s="136" t="s">
        <v>270</v>
      </c>
      <c r="C345" s="136" t="str">
        <f>tbl_IO_List[[#This Row],[Column3]]</f>
        <v>C2S04,18</v>
      </c>
      <c r="D345" s="136" t="str">
        <f>tbl_IO_List[[#This Row],[Card]]</f>
        <v>1756-IB32-18</v>
      </c>
      <c r="E345" s="136" t="s">
        <v>1372</v>
      </c>
      <c r="F345" s="136" t="str">
        <f>tbl_IO_List[[#This Row],[Column23]]&amp;"-" &amp;tbl_IO_List[[#This Row],[Column52]]</f>
        <v>C2S04-X2</v>
      </c>
      <c r="G345" s="136" t="str">
        <f>tbl_IO_List[[#This Row],[PLC_Tag]]</f>
        <v>XV-60262FE_DI_1</v>
      </c>
      <c r="H345" s="136"/>
      <c r="I345" s="136" t="str">
        <f>VLOOKUP(tbl_IO_List[[#This Row],[Destination]],tbl_Junction[],2,FALSE)</f>
        <v>Spray Dryer 7th Floor</v>
      </c>
      <c r="J345" s="136" t="s">
        <v>270</v>
      </c>
      <c r="K345" s="136" t="s">
        <v>14</v>
      </c>
      <c r="L345" s="136" t="s">
        <v>307</v>
      </c>
      <c r="M345" s="136">
        <f>VLOOKUP(tbl_IO_List[[#This Row],[Instruement Tag]],tbl_Instruement_List[],2,FALSE)</f>
        <v>0</v>
      </c>
      <c r="N345" s="136" t="s">
        <v>95</v>
      </c>
      <c r="O345" s="136" t="s">
        <v>272</v>
      </c>
      <c r="P345" s="136" t="s">
        <v>273</v>
      </c>
      <c r="Q345" s="136" t="str">
        <f>VLOOKUP(tbl_IO_List[[#This Row],[Instruement Tag]],tbl_Instruement_List[],6,FALSE)</f>
        <v>Feed Slurry On/Off Valve for Nozzle #5 (ATVM-11B)</v>
      </c>
      <c r="R345" s="136"/>
      <c r="S34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45" s="136" t="str">
        <f>tbl_IO_List[[#This Row],[Instruement Tag]]&amp;"_"&amp;tbl_IO_List[[#This Row],[I/O Type]]&amp;"_"&amp;tbl_IO_List[[#This Row],[IO-Point 
(Instruement)]]</f>
        <v>XV-60262FE_DI_1</v>
      </c>
      <c r="U345" s="136" t="s">
        <v>8</v>
      </c>
      <c r="V345" s="136">
        <f>VLOOKUP(tbl_IO_List[[#This Row],[I/O Type]],tbl_Slot_Group[],2,FALSE)</f>
        <v>1</v>
      </c>
      <c r="W345" s="136">
        <v>1</v>
      </c>
      <c r="X345" s="136" t="str">
        <f>tbl_IO_List[[#This Row],[Chassis]]&amp;"S"&amp;TEXT(tbl_IO_List[[#This Row],[Slot]],"00")</f>
        <v>C2S04</v>
      </c>
      <c r="Y345" s="136" t="str">
        <f>tbl_IO_List[[#This Row],[Chassis]]&amp;"S"&amp;TEXT(tbl_IO_List[[#This Row],[Slot]],"00")&amp;tbl_IO_List[[#This Row],[I/O Type]]&amp;TEXT(tbl_IO_List[[#This Row],[Point]],"00")</f>
        <v>C2S04DI18</v>
      </c>
      <c r="Z345" s="136" t="str">
        <f>tbl_IO_List[[#This Row],[Chassis]]&amp;"S"&amp;TEXT(tbl_IO_List[[#This Row],[Slot]],"00")&amp;","&amp;TEXT(tbl_IO_List[[#This Row],[Point]],"00")</f>
        <v>C2S04,18</v>
      </c>
      <c r="AA345" s="136" t="str">
        <f>VLOOKUP(tbl_IO_List[[#This Row],[Column23]],tbl_RackConfig[],5,FALSE) &amp;"-"&amp;tbl_IO_List[[#This Row],[Point]]</f>
        <v>1756-IB32-18</v>
      </c>
      <c r="AB345" s="136"/>
      <c r="AC345" s="136"/>
      <c r="AD345" s="136" t="str">
        <f>tbl_IO_List[[#This Row],[I/O Type]]</f>
        <v>DI</v>
      </c>
      <c r="AE345" s="136" t="s">
        <v>1333</v>
      </c>
      <c r="AF345" s="136">
        <v>4</v>
      </c>
      <c r="AG345" s="136">
        <v>18</v>
      </c>
      <c r="AH345" s="136">
        <v>19</v>
      </c>
      <c r="AI345" s="136">
        <v>21</v>
      </c>
      <c r="AJ345" s="136">
        <v>2</v>
      </c>
      <c r="AK345" s="136">
        <v>1</v>
      </c>
      <c r="AL345" s="136">
        <v>0</v>
      </c>
      <c r="AM345" s="136">
        <v>0</v>
      </c>
      <c r="AN345" s="136">
        <v>0</v>
      </c>
      <c r="AO345" s="136"/>
      <c r="AP345" s="143" t="str">
        <f>VLOOKUP(tbl_IO_List[[#This Row],[Instruement Tag]],tbl_Instruement_List[],14,FALSE)</f>
        <v>24 VDC energized,Dry Contact</v>
      </c>
      <c r="AQ345" s="143" t="str">
        <f>tbl_IO_List[[#This Row],[Chassis]]&amp;"S"&amp;tbl_IO_List[[#This Row],[Slot]]&amp;"-"&amp;tbl_IO_List[[#This Row],[Front Terminal Number]]</f>
        <v>C2S4-21</v>
      </c>
      <c r="AR345" s="141" t="s">
        <v>1864</v>
      </c>
      <c r="AS345" s="136" t="str">
        <f>tbl_IO_List[[#This Row],[Terminal Tagging]]&amp;"-"&amp;tbl_IO_List[[#This Row],[Point-Count]]</f>
        <v>P2-TBDI4-19</v>
      </c>
      <c r="AT345" s="136" t="str">
        <f>tbl_IO_List[[#This Row],[Front Terminal Tagging]]&amp;"/"&amp;tbl_IO_List[[#This Row],[Terminal Tagging-Item]]</f>
        <v>C2S4-21/P2-TBDI4-19</v>
      </c>
      <c r="AU345" s="136" t="str">
        <f>tbl_IO_List[[#This Row],[Terminal Tagging-Item]]&amp;"/"&amp;tbl_IO_List[[#This Row],[Front Terminal Tagging]]</f>
        <v>P2-TBDI4-19/C2S4-21</v>
      </c>
    </row>
    <row r="346" spans="1:47">
      <c r="A346" s="147" t="s">
        <v>1367</v>
      </c>
      <c r="B346" s="136" t="s">
        <v>270</v>
      </c>
      <c r="C346" s="136" t="str">
        <f>tbl_IO_List[[#This Row],[Column3]]</f>
        <v>C2S04,19</v>
      </c>
      <c r="D346" s="136" t="str">
        <f>tbl_IO_List[[#This Row],[Card]]</f>
        <v>1756-IB32-19</v>
      </c>
      <c r="E346" s="136" t="s">
        <v>1372</v>
      </c>
      <c r="F346" s="136" t="str">
        <f>tbl_IO_List[[#This Row],[Column23]]&amp;"-" &amp;tbl_IO_List[[#This Row],[Column52]]</f>
        <v>C2S04-X2</v>
      </c>
      <c r="G346" s="136" t="str">
        <f>tbl_IO_List[[#This Row],[PLC_Tag]]</f>
        <v>XV-60262FE_DI_2</v>
      </c>
      <c r="H346" s="136"/>
      <c r="I346" s="136" t="str">
        <f>VLOOKUP(tbl_IO_List[[#This Row],[Destination]],tbl_Junction[],2,FALSE)</f>
        <v>Spray Dryer 7th Floor</v>
      </c>
      <c r="J346" s="136" t="s">
        <v>270</v>
      </c>
      <c r="K346" s="136" t="s">
        <v>14</v>
      </c>
      <c r="L346" s="136" t="s">
        <v>307</v>
      </c>
      <c r="M346" s="136">
        <f>VLOOKUP(tbl_IO_List[[#This Row],[Instruement Tag]],tbl_Instruement_List[],2,FALSE)</f>
        <v>0</v>
      </c>
      <c r="N346" s="136" t="s">
        <v>95</v>
      </c>
      <c r="O346" s="136" t="s">
        <v>272</v>
      </c>
      <c r="P346" s="136" t="s">
        <v>273</v>
      </c>
      <c r="Q346" s="136" t="str">
        <f>VLOOKUP(tbl_IO_List[[#This Row],[Instruement Tag]],tbl_Instruement_List[],6,FALSE)</f>
        <v>Feed Slurry On/Off Valve for Nozzle #5 (ATVM-11B)</v>
      </c>
      <c r="R346" s="136"/>
      <c r="S34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46" s="136" t="str">
        <f>tbl_IO_List[[#This Row],[Instruement Tag]]&amp;"_"&amp;tbl_IO_List[[#This Row],[I/O Type]]&amp;"_"&amp;tbl_IO_List[[#This Row],[IO-Point 
(Instruement)]]</f>
        <v>XV-60262FE_DI_2</v>
      </c>
      <c r="U346" s="136" t="s">
        <v>8</v>
      </c>
      <c r="V346" s="136">
        <f>VLOOKUP(tbl_IO_List[[#This Row],[I/O Type]],tbl_Slot_Group[],2,FALSE)</f>
        <v>1</v>
      </c>
      <c r="W346" s="136">
        <v>2</v>
      </c>
      <c r="X346" s="136" t="str">
        <f>tbl_IO_List[[#This Row],[Chassis]]&amp;"S"&amp;TEXT(tbl_IO_List[[#This Row],[Slot]],"00")</f>
        <v>C2S04</v>
      </c>
      <c r="Y346" s="136" t="str">
        <f>tbl_IO_List[[#This Row],[Chassis]]&amp;"S"&amp;TEXT(tbl_IO_List[[#This Row],[Slot]],"00")&amp;tbl_IO_List[[#This Row],[I/O Type]]&amp;TEXT(tbl_IO_List[[#This Row],[Point]],"00")</f>
        <v>C2S04DI19</v>
      </c>
      <c r="Z346" s="136" t="str">
        <f>tbl_IO_List[[#This Row],[Chassis]]&amp;"S"&amp;TEXT(tbl_IO_List[[#This Row],[Slot]],"00")&amp;","&amp;TEXT(tbl_IO_List[[#This Row],[Point]],"00")</f>
        <v>C2S04,19</v>
      </c>
      <c r="AA346" s="136" t="str">
        <f>VLOOKUP(tbl_IO_List[[#This Row],[Column23]],tbl_RackConfig[],5,FALSE) &amp;"-"&amp;tbl_IO_List[[#This Row],[Point]]</f>
        <v>1756-IB32-19</v>
      </c>
      <c r="AB346" s="136"/>
      <c r="AC346" s="136"/>
      <c r="AD346" s="136" t="str">
        <f>tbl_IO_List[[#This Row],[I/O Type]]</f>
        <v>DI</v>
      </c>
      <c r="AE346" s="136" t="s">
        <v>1333</v>
      </c>
      <c r="AF346" s="136">
        <v>4</v>
      </c>
      <c r="AG346" s="136">
        <v>19</v>
      </c>
      <c r="AH346" s="136">
        <v>20</v>
      </c>
      <c r="AI346" s="136">
        <v>22</v>
      </c>
      <c r="AJ346" s="136">
        <v>2</v>
      </c>
      <c r="AK346" s="136">
        <v>1</v>
      </c>
      <c r="AL346" s="136">
        <v>0</v>
      </c>
      <c r="AM346" s="136">
        <v>0</v>
      </c>
      <c r="AN346" s="136">
        <v>0</v>
      </c>
      <c r="AO346" s="136"/>
      <c r="AP346" s="143" t="str">
        <f>VLOOKUP(tbl_IO_List[[#This Row],[Instruement Tag]],tbl_Instruement_List[],14,FALSE)</f>
        <v>24 VDC energized,Dry Contact</v>
      </c>
      <c r="AQ346" s="143" t="str">
        <f>tbl_IO_List[[#This Row],[Chassis]]&amp;"S"&amp;tbl_IO_List[[#This Row],[Slot]]&amp;"-"&amp;tbl_IO_List[[#This Row],[Front Terminal Number]]</f>
        <v>C2S4-22</v>
      </c>
      <c r="AR346" s="141" t="s">
        <v>1864</v>
      </c>
      <c r="AS346" s="136" t="str">
        <f>tbl_IO_List[[#This Row],[Terminal Tagging]]&amp;"-"&amp;tbl_IO_List[[#This Row],[Point-Count]]</f>
        <v>P2-TBDI4-20</v>
      </c>
      <c r="AT346" s="136" t="str">
        <f>tbl_IO_List[[#This Row],[Front Terminal Tagging]]&amp;"/"&amp;tbl_IO_List[[#This Row],[Terminal Tagging-Item]]</f>
        <v>C2S4-22/P2-TBDI4-20</v>
      </c>
      <c r="AU346" s="136" t="str">
        <f>tbl_IO_List[[#This Row],[Terminal Tagging-Item]]&amp;"/"&amp;tbl_IO_List[[#This Row],[Front Terminal Tagging]]</f>
        <v>P2-TBDI4-20/C2S4-22</v>
      </c>
    </row>
    <row r="347" spans="1:47">
      <c r="A347" s="147" t="s">
        <v>1367</v>
      </c>
      <c r="B347" s="136" t="s">
        <v>270</v>
      </c>
      <c r="C347" s="136" t="str">
        <f>tbl_IO_List[[#This Row],[Column3]]</f>
        <v>C2S04,20</v>
      </c>
      <c r="D347" s="136" t="str">
        <f>tbl_IO_List[[#This Row],[Card]]</f>
        <v>1756-IB32-20</v>
      </c>
      <c r="E347" s="136" t="s">
        <v>1372</v>
      </c>
      <c r="F347" s="136" t="str">
        <f>tbl_IO_List[[#This Row],[Column23]]&amp;"-" &amp;tbl_IO_List[[#This Row],[Column52]]</f>
        <v>C2S04-X2</v>
      </c>
      <c r="G347" s="136" t="str">
        <f>tbl_IO_List[[#This Row],[PLC_Tag]]</f>
        <v>XV-60262FF_DI_1</v>
      </c>
      <c r="H347" s="136"/>
      <c r="I347" s="136" t="str">
        <f>VLOOKUP(tbl_IO_List[[#This Row],[Destination]],tbl_Junction[],2,FALSE)</f>
        <v>Spray Dryer 7th Floor</v>
      </c>
      <c r="J347" s="136" t="s">
        <v>270</v>
      </c>
      <c r="K347" s="136" t="s">
        <v>14</v>
      </c>
      <c r="L347" s="136" t="s">
        <v>308</v>
      </c>
      <c r="M347" s="136">
        <f>VLOOKUP(tbl_IO_List[[#This Row],[Instruement Tag]],tbl_Instruement_List[],2,FALSE)</f>
        <v>0</v>
      </c>
      <c r="N347" s="136" t="s">
        <v>95</v>
      </c>
      <c r="O347" s="136" t="s">
        <v>272</v>
      </c>
      <c r="P347" s="136" t="s">
        <v>273</v>
      </c>
      <c r="Q347" s="136" t="str">
        <f>VLOOKUP(tbl_IO_List[[#This Row],[Instruement Tag]],tbl_Instruement_List[],6,FALSE)</f>
        <v>Feed Slurry On/Off Valve for Nozzle #6 (ATVM-11B)</v>
      </c>
      <c r="R347" s="136"/>
      <c r="S34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47" s="136" t="str">
        <f>tbl_IO_List[[#This Row],[Instruement Tag]]&amp;"_"&amp;tbl_IO_List[[#This Row],[I/O Type]]&amp;"_"&amp;tbl_IO_List[[#This Row],[IO-Point 
(Instruement)]]</f>
        <v>XV-60262FF_DI_1</v>
      </c>
      <c r="U347" s="136" t="s">
        <v>8</v>
      </c>
      <c r="V347" s="136">
        <f>VLOOKUP(tbl_IO_List[[#This Row],[I/O Type]],tbl_Slot_Group[],2,FALSE)</f>
        <v>1</v>
      </c>
      <c r="W347" s="136">
        <v>1</v>
      </c>
      <c r="X347" s="136" t="str">
        <f>tbl_IO_List[[#This Row],[Chassis]]&amp;"S"&amp;TEXT(tbl_IO_List[[#This Row],[Slot]],"00")</f>
        <v>C2S04</v>
      </c>
      <c r="Y347" s="136" t="str">
        <f>tbl_IO_List[[#This Row],[Chassis]]&amp;"S"&amp;TEXT(tbl_IO_List[[#This Row],[Slot]],"00")&amp;tbl_IO_List[[#This Row],[I/O Type]]&amp;TEXT(tbl_IO_List[[#This Row],[Point]],"00")</f>
        <v>C2S04DI20</v>
      </c>
      <c r="Z347" s="136" t="str">
        <f>tbl_IO_List[[#This Row],[Chassis]]&amp;"S"&amp;TEXT(tbl_IO_List[[#This Row],[Slot]],"00")&amp;","&amp;TEXT(tbl_IO_List[[#This Row],[Point]],"00")</f>
        <v>C2S04,20</v>
      </c>
      <c r="AA347" s="136" t="str">
        <f>VLOOKUP(tbl_IO_List[[#This Row],[Column23]],tbl_RackConfig[],5,FALSE) &amp;"-"&amp;tbl_IO_List[[#This Row],[Point]]</f>
        <v>1756-IB32-20</v>
      </c>
      <c r="AB347" s="136"/>
      <c r="AC347" s="136"/>
      <c r="AD347" s="136" t="str">
        <f>tbl_IO_List[[#This Row],[I/O Type]]</f>
        <v>DI</v>
      </c>
      <c r="AE347" s="136" t="s">
        <v>1333</v>
      </c>
      <c r="AF347" s="136">
        <v>4</v>
      </c>
      <c r="AG347" s="136">
        <v>20</v>
      </c>
      <c r="AH347" s="136">
        <v>21</v>
      </c>
      <c r="AI347" s="136">
        <v>23</v>
      </c>
      <c r="AJ347" s="136">
        <v>2</v>
      </c>
      <c r="AK347" s="136">
        <v>1</v>
      </c>
      <c r="AL347" s="136">
        <v>0</v>
      </c>
      <c r="AM347" s="136">
        <v>0</v>
      </c>
      <c r="AN347" s="136">
        <v>0</v>
      </c>
      <c r="AO347" s="136"/>
      <c r="AP347" s="143" t="str">
        <f>VLOOKUP(tbl_IO_List[[#This Row],[Instruement Tag]],tbl_Instruement_List[],14,FALSE)</f>
        <v>24 VDC energized,Dry Contact</v>
      </c>
      <c r="AQ347" s="143" t="str">
        <f>tbl_IO_List[[#This Row],[Chassis]]&amp;"S"&amp;tbl_IO_List[[#This Row],[Slot]]&amp;"-"&amp;tbl_IO_List[[#This Row],[Front Terminal Number]]</f>
        <v>C2S4-23</v>
      </c>
      <c r="AR347" s="141" t="s">
        <v>1864</v>
      </c>
      <c r="AS347" s="136" t="str">
        <f>tbl_IO_List[[#This Row],[Terminal Tagging]]&amp;"-"&amp;tbl_IO_List[[#This Row],[Point-Count]]</f>
        <v>P2-TBDI4-21</v>
      </c>
      <c r="AT347" s="136" t="str">
        <f>tbl_IO_List[[#This Row],[Front Terminal Tagging]]&amp;"/"&amp;tbl_IO_List[[#This Row],[Terminal Tagging-Item]]</f>
        <v>C2S4-23/P2-TBDI4-21</v>
      </c>
      <c r="AU347" s="136" t="str">
        <f>tbl_IO_List[[#This Row],[Terminal Tagging-Item]]&amp;"/"&amp;tbl_IO_List[[#This Row],[Front Terminal Tagging]]</f>
        <v>P2-TBDI4-21/C2S4-23</v>
      </c>
    </row>
    <row r="348" spans="1:47">
      <c r="A348" s="147" t="s">
        <v>1367</v>
      </c>
      <c r="B348" s="136" t="s">
        <v>270</v>
      </c>
      <c r="C348" s="136" t="str">
        <f>tbl_IO_List[[#This Row],[Column3]]</f>
        <v>C2S04,21</v>
      </c>
      <c r="D348" s="136" t="str">
        <f>tbl_IO_List[[#This Row],[Card]]</f>
        <v>1756-IB32-21</v>
      </c>
      <c r="E348" s="136" t="s">
        <v>1372</v>
      </c>
      <c r="F348" s="136" t="str">
        <f>tbl_IO_List[[#This Row],[Column23]]&amp;"-" &amp;tbl_IO_List[[#This Row],[Column52]]</f>
        <v>C2S04-X2</v>
      </c>
      <c r="G348" s="136" t="str">
        <f>tbl_IO_List[[#This Row],[PLC_Tag]]</f>
        <v>XV-60262FF_DI_2</v>
      </c>
      <c r="H348" s="136"/>
      <c r="I348" s="136" t="str">
        <f>VLOOKUP(tbl_IO_List[[#This Row],[Destination]],tbl_Junction[],2,FALSE)</f>
        <v>Spray Dryer 7th Floor</v>
      </c>
      <c r="J348" s="136" t="s">
        <v>270</v>
      </c>
      <c r="K348" s="136" t="s">
        <v>14</v>
      </c>
      <c r="L348" s="136" t="s">
        <v>308</v>
      </c>
      <c r="M348" s="136">
        <f>VLOOKUP(tbl_IO_List[[#This Row],[Instruement Tag]],tbl_Instruement_List[],2,FALSE)</f>
        <v>0</v>
      </c>
      <c r="N348" s="136" t="s">
        <v>95</v>
      </c>
      <c r="O348" s="136" t="s">
        <v>272</v>
      </c>
      <c r="P348" s="136" t="s">
        <v>273</v>
      </c>
      <c r="Q348" s="136" t="str">
        <f>VLOOKUP(tbl_IO_List[[#This Row],[Instruement Tag]],tbl_Instruement_List[],6,FALSE)</f>
        <v>Feed Slurry On/Off Valve for Nozzle #6 (ATVM-11B)</v>
      </c>
      <c r="R348" s="136"/>
      <c r="S34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48" s="136" t="str">
        <f>tbl_IO_List[[#This Row],[Instruement Tag]]&amp;"_"&amp;tbl_IO_List[[#This Row],[I/O Type]]&amp;"_"&amp;tbl_IO_List[[#This Row],[IO-Point 
(Instruement)]]</f>
        <v>XV-60262FF_DI_2</v>
      </c>
      <c r="U348" s="136" t="s">
        <v>8</v>
      </c>
      <c r="V348" s="136">
        <f>VLOOKUP(tbl_IO_List[[#This Row],[I/O Type]],tbl_Slot_Group[],2,FALSE)</f>
        <v>1</v>
      </c>
      <c r="W348" s="136">
        <v>2</v>
      </c>
      <c r="X348" s="136" t="str">
        <f>tbl_IO_List[[#This Row],[Chassis]]&amp;"S"&amp;TEXT(tbl_IO_List[[#This Row],[Slot]],"00")</f>
        <v>C2S04</v>
      </c>
      <c r="Y348" s="136" t="str">
        <f>tbl_IO_List[[#This Row],[Chassis]]&amp;"S"&amp;TEXT(tbl_IO_List[[#This Row],[Slot]],"00")&amp;tbl_IO_List[[#This Row],[I/O Type]]&amp;TEXT(tbl_IO_List[[#This Row],[Point]],"00")</f>
        <v>C2S04DI21</v>
      </c>
      <c r="Z348" s="136" t="str">
        <f>tbl_IO_List[[#This Row],[Chassis]]&amp;"S"&amp;TEXT(tbl_IO_List[[#This Row],[Slot]],"00")&amp;","&amp;TEXT(tbl_IO_List[[#This Row],[Point]],"00")</f>
        <v>C2S04,21</v>
      </c>
      <c r="AA348" s="136" t="str">
        <f>VLOOKUP(tbl_IO_List[[#This Row],[Column23]],tbl_RackConfig[],5,FALSE) &amp;"-"&amp;tbl_IO_List[[#This Row],[Point]]</f>
        <v>1756-IB32-21</v>
      </c>
      <c r="AB348" s="136"/>
      <c r="AC348" s="136"/>
      <c r="AD348" s="136" t="str">
        <f>tbl_IO_List[[#This Row],[I/O Type]]</f>
        <v>DI</v>
      </c>
      <c r="AE348" s="136" t="s">
        <v>1333</v>
      </c>
      <c r="AF348" s="136">
        <v>4</v>
      </c>
      <c r="AG348" s="136">
        <v>21</v>
      </c>
      <c r="AH348" s="136">
        <v>22</v>
      </c>
      <c r="AI348" s="136">
        <v>24</v>
      </c>
      <c r="AJ348" s="136">
        <v>2</v>
      </c>
      <c r="AK348" s="136">
        <v>1</v>
      </c>
      <c r="AL348" s="136">
        <v>0</v>
      </c>
      <c r="AM348" s="136">
        <v>0</v>
      </c>
      <c r="AN348" s="136">
        <v>0</v>
      </c>
      <c r="AO348" s="136"/>
      <c r="AP348" s="143" t="str">
        <f>VLOOKUP(tbl_IO_List[[#This Row],[Instruement Tag]],tbl_Instruement_List[],14,FALSE)</f>
        <v>24 VDC energized,Dry Contact</v>
      </c>
      <c r="AQ348" s="143" t="str">
        <f>tbl_IO_List[[#This Row],[Chassis]]&amp;"S"&amp;tbl_IO_List[[#This Row],[Slot]]&amp;"-"&amp;tbl_IO_List[[#This Row],[Front Terminal Number]]</f>
        <v>C2S4-24</v>
      </c>
      <c r="AR348" s="141" t="s">
        <v>1864</v>
      </c>
      <c r="AS348" s="136" t="str">
        <f>tbl_IO_List[[#This Row],[Terminal Tagging]]&amp;"-"&amp;tbl_IO_List[[#This Row],[Point-Count]]</f>
        <v>P2-TBDI4-22</v>
      </c>
      <c r="AT348" s="136" t="str">
        <f>tbl_IO_List[[#This Row],[Front Terminal Tagging]]&amp;"/"&amp;tbl_IO_List[[#This Row],[Terminal Tagging-Item]]</f>
        <v>C2S4-24/P2-TBDI4-22</v>
      </c>
      <c r="AU348" s="136" t="str">
        <f>tbl_IO_List[[#This Row],[Terminal Tagging-Item]]&amp;"/"&amp;tbl_IO_List[[#This Row],[Front Terminal Tagging]]</f>
        <v>P2-TBDI4-22/C2S4-24</v>
      </c>
    </row>
    <row r="349" spans="1:47">
      <c r="A349" s="147" t="s">
        <v>1367</v>
      </c>
      <c r="B349" s="136" t="s">
        <v>270</v>
      </c>
      <c r="C349" s="136" t="str">
        <f>tbl_IO_List[[#This Row],[Column3]]</f>
        <v>C2S04,22</v>
      </c>
      <c r="D349" s="136" t="str">
        <f>tbl_IO_List[[#This Row],[Card]]</f>
        <v>1756-IB32-22</v>
      </c>
      <c r="E349" s="136" t="s">
        <v>1372</v>
      </c>
      <c r="F349" s="136" t="str">
        <f>tbl_IO_List[[#This Row],[Column23]]&amp;"-" &amp;tbl_IO_List[[#This Row],[Column52]]</f>
        <v>C2S04-X2</v>
      </c>
      <c r="G349" s="136" t="str">
        <f>tbl_IO_List[[#This Row],[PLC_Tag]]</f>
        <v>XV-60262FG_DI_1</v>
      </c>
      <c r="H349" s="136"/>
      <c r="I349" s="136" t="str">
        <f>VLOOKUP(tbl_IO_List[[#This Row],[Destination]],tbl_Junction[],2,FALSE)</f>
        <v>Spray Dryer 7th Floor</v>
      </c>
      <c r="J349" s="136" t="s">
        <v>270</v>
      </c>
      <c r="K349" s="136" t="s">
        <v>14</v>
      </c>
      <c r="L349" s="136" t="s">
        <v>309</v>
      </c>
      <c r="M349" s="136">
        <f>VLOOKUP(tbl_IO_List[[#This Row],[Instruement Tag]],tbl_Instruement_List[],2,FALSE)</f>
        <v>0</v>
      </c>
      <c r="N349" s="136" t="s">
        <v>95</v>
      </c>
      <c r="O349" s="136" t="s">
        <v>272</v>
      </c>
      <c r="P349" s="136" t="s">
        <v>273</v>
      </c>
      <c r="Q349" s="136" t="str">
        <f>VLOOKUP(tbl_IO_List[[#This Row],[Instruement Tag]],tbl_Instruement_List[],6,FALSE)</f>
        <v>Feed Slurry On/Off Valve for Nozzle #7 (ATVM-11B)</v>
      </c>
      <c r="R349" s="136"/>
      <c r="S34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49" s="136" t="str">
        <f>tbl_IO_List[[#This Row],[Instruement Tag]]&amp;"_"&amp;tbl_IO_List[[#This Row],[I/O Type]]&amp;"_"&amp;tbl_IO_List[[#This Row],[IO-Point 
(Instruement)]]</f>
        <v>XV-60262FG_DI_1</v>
      </c>
      <c r="U349" s="136" t="s">
        <v>8</v>
      </c>
      <c r="V349" s="136">
        <f>VLOOKUP(tbl_IO_List[[#This Row],[I/O Type]],tbl_Slot_Group[],2,FALSE)</f>
        <v>1</v>
      </c>
      <c r="W349" s="136">
        <v>1</v>
      </c>
      <c r="X349" s="136" t="str">
        <f>tbl_IO_List[[#This Row],[Chassis]]&amp;"S"&amp;TEXT(tbl_IO_List[[#This Row],[Slot]],"00")</f>
        <v>C2S04</v>
      </c>
      <c r="Y349" s="136" t="str">
        <f>tbl_IO_List[[#This Row],[Chassis]]&amp;"S"&amp;TEXT(tbl_IO_List[[#This Row],[Slot]],"00")&amp;tbl_IO_List[[#This Row],[I/O Type]]&amp;TEXT(tbl_IO_List[[#This Row],[Point]],"00")</f>
        <v>C2S04DI22</v>
      </c>
      <c r="Z349" s="136" t="str">
        <f>tbl_IO_List[[#This Row],[Chassis]]&amp;"S"&amp;TEXT(tbl_IO_List[[#This Row],[Slot]],"00")&amp;","&amp;TEXT(tbl_IO_List[[#This Row],[Point]],"00")</f>
        <v>C2S04,22</v>
      </c>
      <c r="AA349" s="136" t="str">
        <f>VLOOKUP(tbl_IO_List[[#This Row],[Column23]],tbl_RackConfig[],5,FALSE) &amp;"-"&amp;tbl_IO_List[[#This Row],[Point]]</f>
        <v>1756-IB32-22</v>
      </c>
      <c r="AB349" s="136"/>
      <c r="AC349" s="136"/>
      <c r="AD349" s="136" t="str">
        <f>tbl_IO_List[[#This Row],[I/O Type]]</f>
        <v>DI</v>
      </c>
      <c r="AE349" s="136" t="s">
        <v>1333</v>
      </c>
      <c r="AF349" s="136">
        <v>4</v>
      </c>
      <c r="AG349" s="136">
        <v>22</v>
      </c>
      <c r="AH349" s="136">
        <v>23</v>
      </c>
      <c r="AI349" s="136">
        <v>25</v>
      </c>
      <c r="AJ349" s="136">
        <v>2</v>
      </c>
      <c r="AK349" s="136">
        <v>1</v>
      </c>
      <c r="AL349" s="136">
        <v>0</v>
      </c>
      <c r="AM349" s="136">
        <v>0</v>
      </c>
      <c r="AN349" s="136">
        <v>0</v>
      </c>
      <c r="AO349" s="136"/>
      <c r="AP349" s="143" t="str">
        <f>VLOOKUP(tbl_IO_List[[#This Row],[Instruement Tag]],tbl_Instruement_List[],14,FALSE)</f>
        <v>24 VDC energized,Dry Contact</v>
      </c>
      <c r="AQ349" s="143" t="str">
        <f>tbl_IO_List[[#This Row],[Chassis]]&amp;"S"&amp;tbl_IO_List[[#This Row],[Slot]]&amp;"-"&amp;tbl_IO_List[[#This Row],[Front Terminal Number]]</f>
        <v>C2S4-25</v>
      </c>
      <c r="AR349" s="141" t="s">
        <v>1864</v>
      </c>
      <c r="AS349" s="136" t="str">
        <f>tbl_IO_List[[#This Row],[Terminal Tagging]]&amp;"-"&amp;tbl_IO_List[[#This Row],[Point-Count]]</f>
        <v>P2-TBDI4-23</v>
      </c>
      <c r="AT349" s="136" t="str">
        <f>tbl_IO_List[[#This Row],[Front Terminal Tagging]]&amp;"/"&amp;tbl_IO_List[[#This Row],[Terminal Tagging-Item]]</f>
        <v>C2S4-25/P2-TBDI4-23</v>
      </c>
      <c r="AU349" s="136" t="str">
        <f>tbl_IO_List[[#This Row],[Terminal Tagging-Item]]&amp;"/"&amp;tbl_IO_List[[#This Row],[Front Terminal Tagging]]</f>
        <v>P2-TBDI4-23/C2S4-25</v>
      </c>
    </row>
    <row r="350" spans="1:47">
      <c r="A350" s="147" t="s">
        <v>1367</v>
      </c>
      <c r="B350" s="136" t="s">
        <v>270</v>
      </c>
      <c r="C350" s="136" t="str">
        <f>tbl_IO_List[[#This Row],[Column3]]</f>
        <v>C2S04,23</v>
      </c>
      <c r="D350" s="136" t="str">
        <f>tbl_IO_List[[#This Row],[Card]]</f>
        <v>1756-IB32-23</v>
      </c>
      <c r="E350" s="136" t="s">
        <v>1372</v>
      </c>
      <c r="F350" s="136" t="str">
        <f>tbl_IO_List[[#This Row],[Column23]]&amp;"-" &amp;tbl_IO_List[[#This Row],[Column52]]</f>
        <v>C2S04-X2</v>
      </c>
      <c r="G350" s="136" t="str">
        <f>tbl_IO_List[[#This Row],[PLC_Tag]]</f>
        <v>XV-60262FG_DI_2</v>
      </c>
      <c r="H350" s="136"/>
      <c r="I350" s="136" t="str">
        <f>VLOOKUP(tbl_IO_List[[#This Row],[Destination]],tbl_Junction[],2,FALSE)</f>
        <v>Spray Dryer 7th Floor</v>
      </c>
      <c r="J350" s="136" t="s">
        <v>270</v>
      </c>
      <c r="K350" s="136" t="s">
        <v>14</v>
      </c>
      <c r="L350" s="136" t="s">
        <v>309</v>
      </c>
      <c r="M350" s="136">
        <f>VLOOKUP(tbl_IO_List[[#This Row],[Instruement Tag]],tbl_Instruement_List[],2,FALSE)</f>
        <v>0</v>
      </c>
      <c r="N350" s="136" t="s">
        <v>95</v>
      </c>
      <c r="O350" s="136" t="s">
        <v>272</v>
      </c>
      <c r="P350" s="136" t="s">
        <v>273</v>
      </c>
      <c r="Q350" s="136" t="str">
        <f>VLOOKUP(tbl_IO_List[[#This Row],[Instruement Tag]],tbl_Instruement_List[],6,FALSE)</f>
        <v>Feed Slurry On/Off Valve for Nozzle #7 (ATVM-11B)</v>
      </c>
      <c r="R350" s="136"/>
      <c r="S35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50" s="136" t="str">
        <f>tbl_IO_List[[#This Row],[Instruement Tag]]&amp;"_"&amp;tbl_IO_List[[#This Row],[I/O Type]]&amp;"_"&amp;tbl_IO_List[[#This Row],[IO-Point 
(Instruement)]]</f>
        <v>XV-60262FG_DI_2</v>
      </c>
      <c r="U350" s="136" t="s">
        <v>8</v>
      </c>
      <c r="V350" s="136">
        <f>VLOOKUP(tbl_IO_List[[#This Row],[I/O Type]],tbl_Slot_Group[],2,FALSE)</f>
        <v>1</v>
      </c>
      <c r="W350" s="136">
        <v>2</v>
      </c>
      <c r="X350" s="136" t="str">
        <f>tbl_IO_List[[#This Row],[Chassis]]&amp;"S"&amp;TEXT(tbl_IO_List[[#This Row],[Slot]],"00")</f>
        <v>C2S04</v>
      </c>
      <c r="Y350" s="136" t="str">
        <f>tbl_IO_List[[#This Row],[Chassis]]&amp;"S"&amp;TEXT(tbl_IO_List[[#This Row],[Slot]],"00")&amp;tbl_IO_List[[#This Row],[I/O Type]]&amp;TEXT(tbl_IO_List[[#This Row],[Point]],"00")</f>
        <v>C2S04DI23</v>
      </c>
      <c r="Z350" s="136" t="str">
        <f>tbl_IO_List[[#This Row],[Chassis]]&amp;"S"&amp;TEXT(tbl_IO_List[[#This Row],[Slot]],"00")&amp;","&amp;TEXT(tbl_IO_List[[#This Row],[Point]],"00")</f>
        <v>C2S04,23</v>
      </c>
      <c r="AA350" s="136" t="str">
        <f>VLOOKUP(tbl_IO_List[[#This Row],[Column23]],tbl_RackConfig[],5,FALSE) &amp;"-"&amp;tbl_IO_List[[#This Row],[Point]]</f>
        <v>1756-IB32-23</v>
      </c>
      <c r="AB350" s="136"/>
      <c r="AC350" s="136"/>
      <c r="AD350" s="136" t="str">
        <f>tbl_IO_List[[#This Row],[I/O Type]]</f>
        <v>DI</v>
      </c>
      <c r="AE350" s="136" t="s">
        <v>1333</v>
      </c>
      <c r="AF350" s="136">
        <v>4</v>
      </c>
      <c r="AG350" s="136">
        <v>23</v>
      </c>
      <c r="AH350" s="136">
        <v>24</v>
      </c>
      <c r="AI350" s="136">
        <v>26</v>
      </c>
      <c r="AJ350" s="136">
        <v>2</v>
      </c>
      <c r="AK350" s="136">
        <v>1</v>
      </c>
      <c r="AL350" s="136">
        <v>0</v>
      </c>
      <c r="AM350" s="136">
        <v>0</v>
      </c>
      <c r="AN350" s="136">
        <v>0</v>
      </c>
      <c r="AO350" s="136"/>
      <c r="AP350" s="143" t="str">
        <f>VLOOKUP(tbl_IO_List[[#This Row],[Instruement Tag]],tbl_Instruement_List[],14,FALSE)</f>
        <v>24 VDC energized,Dry Contact</v>
      </c>
      <c r="AQ350" s="143" t="str">
        <f>tbl_IO_List[[#This Row],[Chassis]]&amp;"S"&amp;tbl_IO_List[[#This Row],[Slot]]&amp;"-"&amp;tbl_IO_List[[#This Row],[Front Terminal Number]]</f>
        <v>C2S4-26</v>
      </c>
      <c r="AR350" s="141" t="s">
        <v>1864</v>
      </c>
      <c r="AS350" s="136" t="str">
        <f>tbl_IO_List[[#This Row],[Terminal Tagging]]&amp;"-"&amp;tbl_IO_List[[#This Row],[Point-Count]]</f>
        <v>P2-TBDI4-24</v>
      </c>
      <c r="AT350" s="136" t="str">
        <f>tbl_IO_List[[#This Row],[Front Terminal Tagging]]&amp;"/"&amp;tbl_IO_List[[#This Row],[Terminal Tagging-Item]]</f>
        <v>C2S4-26/P2-TBDI4-24</v>
      </c>
      <c r="AU350" s="136" t="str">
        <f>tbl_IO_List[[#This Row],[Terminal Tagging-Item]]&amp;"/"&amp;tbl_IO_List[[#This Row],[Front Terminal Tagging]]</f>
        <v>P2-TBDI4-24/C2S4-26</v>
      </c>
    </row>
    <row r="351" spans="1:47">
      <c r="A351" s="147" t="s">
        <v>1367</v>
      </c>
      <c r="B351" s="136" t="s">
        <v>270</v>
      </c>
      <c r="C351" s="136" t="str">
        <f>tbl_IO_List[[#This Row],[Column3]]</f>
        <v>C2S04,24</v>
      </c>
      <c r="D351" s="136" t="str">
        <f>tbl_IO_List[[#This Row],[Card]]</f>
        <v>1756-IB32-24</v>
      </c>
      <c r="E351" s="136" t="s">
        <v>1372</v>
      </c>
      <c r="F351" s="136" t="str">
        <f>tbl_IO_List[[#This Row],[Column23]]&amp;"-" &amp;tbl_IO_List[[#This Row],[Column52]]</f>
        <v>C2S04-X2</v>
      </c>
      <c r="G351" s="136" t="str">
        <f>tbl_IO_List[[#This Row],[PLC_Tag]]</f>
        <v>XV-60262FH_DI_1</v>
      </c>
      <c r="H351" s="136"/>
      <c r="I351" s="136" t="str">
        <f>VLOOKUP(tbl_IO_List[[#This Row],[Destination]],tbl_Junction[],2,FALSE)</f>
        <v>Spray Dryer 7th Floor</v>
      </c>
      <c r="J351" s="136" t="s">
        <v>270</v>
      </c>
      <c r="K351" s="136" t="s">
        <v>14</v>
      </c>
      <c r="L351" s="136" t="s">
        <v>310</v>
      </c>
      <c r="M351" s="136">
        <f>VLOOKUP(tbl_IO_List[[#This Row],[Instruement Tag]],tbl_Instruement_List[],2,FALSE)</f>
        <v>0</v>
      </c>
      <c r="N351" s="136" t="s">
        <v>95</v>
      </c>
      <c r="O351" s="136" t="s">
        <v>272</v>
      </c>
      <c r="P351" s="136" t="s">
        <v>273</v>
      </c>
      <c r="Q351" s="136" t="str">
        <f>VLOOKUP(tbl_IO_List[[#This Row],[Instruement Tag]],tbl_Instruement_List[],6,FALSE)</f>
        <v>Feed Slurry On/Off Valve for Nozzle #8 (ATVM-11B)</v>
      </c>
      <c r="R351" s="136"/>
      <c r="S35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51" s="136" t="str">
        <f>tbl_IO_List[[#This Row],[Instruement Tag]]&amp;"_"&amp;tbl_IO_List[[#This Row],[I/O Type]]&amp;"_"&amp;tbl_IO_List[[#This Row],[IO-Point 
(Instruement)]]</f>
        <v>XV-60262FH_DI_1</v>
      </c>
      <c r="U351" s="136" t="s">
        <v>8</v>
      </c>
      <c r="V351" s="136">
        <f>VLOOKUP(tbl_IO_List[[#This Row],[I/O Type]],tbl_Slot_Group[],2,FALSE)</f>
        <v>1</v>
      </c>
      <c r="W351" s="136">
        <v>1</v>
      </c>
      <c r="X351" s="136" t="str">
        <f>tbl_IO_List[[#This Row],[Chassis]]&amp;"S"&amp;TEXT(tbl_IO_List[[#This Row],[Slot]],"00")</f>
        <v>C2S04</v>
      </c>
      <c r="Y351" s="136" t="str">
        <f>tbl_IO_List[[#This Row],[Chassis]]&amp;"S"&amp;TEXT(tbl_IO_List[[#This Row],[Slot]],"00")&amp;tbl_IO_List[[#This Row],[I/O Type]]&amp;TEXT(tbl_IO_List[[#This Row],[Point]],"00")</f>
        <v>C2S04DI24</v>
      </c>
      <c r="Z351" s="136" t="str">
        <f>tbl_IO_List[[#This Row],[Chassis]]&amp;"S"&amp;TEXT(tbl_IO_List[[#This Row],[Slot]],"00")&amp;","&amp;TEXT(tbl_IO_List[[#This Row],[Point]],"00")</f>
        <v>C2S04,24</v>
      </c>
      <c r="AA351" s="136" t="str">
        <f>VLOOKUP(tbl_IO_List[[#This Row],[Column23]],tbl_RackConfig[],5,FALSE) &amp;"-"&amp;tbl_IO_List[[#This Row],[Point]]</f>
        <v>1756-IB32-24</v>
      </c>
      <c r="AB351" s="136"/>
      <c r="AC351" s="136"/>
      <c r="AD351" s="136" t="str">
        <f>tbl_IO_List[[#This Row],[I/O Type]]</f>
        <v>DI</v>
      </c>
      <c r="AE351" s="136" t="s">
        <v>1333</v>
      </c>
      <c r="AF351" s="136">
        <v>4</v>
      </c>
      <c r="AG351" s="136">
        <v>24</v>
      </c>
      <c r="AH351" s="136">
        <v>25</v>
      </c>
      <c r="AI351" s="136">
        <v>27</v>
      </c>
      <c r="AJ351" s="136">
        <v>2</v>
      </c>
      <c r="AK351" s="136">
        <v>1</v>
      </c>
      <c r="AL351" s="136">
        <v>0</v>
      </c>
      <c r="AM351" s="136">
        <v>0</v>
      </c>
      <c r="AN351" s="136">
        <v>0</v>
      </c>
      <c r="AO351" s="136"/>
      <c r="AP351" s="143" t="str">
        <f>VLOOKUP(tbl_IO_List[[#This Row],[Instruement Tag]],tbl_Instruement_List[],14,FALSE)</f>
        <v>24 VDC energized,Dry Contact</v>
      </c>
      <c r="AQ351" s="143" t="str">
        <f>tbl_IO_List[[#This Row],[Chassis]]&amp;"S"&amp;tbl_IO_List[[#This Row],[Slot]]&amp;"-"&amp;tbl_IO_List[[#This Row],[Front Terminal Number]]</f>
        <v>C2S4-27</v>
      </c>
      <c r="AR351" s="141" t="s">
        <v>1864</v>
      </c>
      <c r="AS351" s="136" t="str">
        <f>tbl_IO_List[[#This Row],[Terminal Tagging]]&amp;"-"&amp;tbl_IO_List[[#This Row],[Point-Count]]</f>
        <v>P2-TBDI4-25</v>
      </c>
      <c r="AT351" s="136" t="str">
        <f>tbl_IO_List[[#This Row],[Front Terminal Tagging]]&amp;"/"&amp;tbl_IO_List[[#This Row],[Terminal Tagging-Item]]</f>
        <v>C2S4-27/P2-TBDI4-25</v>
      </c>
      <c r="AU351" s="136" t="str">
        <f>tbl_IO_List[[#This Row],[Terminal Tagging-Item]]&amp;"/"&amp;tbl_IO_List[[#This Row],[Front Terminal Tagging]]</f>
        <v>P2-TBDI4-25/C2S4-27</v>
      </c>
    </row>
    <row r="352" spans="1:47">
      <c r="A352" s="147" t="s">
        <v>1367</v>
      </c>
      <c r="B352" s="136" t="s">
        <v>270</v>
      </c>
      <c r="C352" s="136" t="str">
        <f>tbl_IO_List[[#This Row],[Column3]]</f>
        <v>C2S04,25</v>
      </c>
      <c r="D352" s="136" t="str">
        <f>tbl_IO_List[[#This Row],[Card]]</f>
        <v>1756-IB32-25</v>
      </c>
      <c r="E352" s="136" t="s">
        <v>1372</v>
      </c>
      <c r="F352" s="136" t="str">
        <f>tbl_IO_List[[#This Row],[Column23]]&amp;"-" &amp;tbl_IO_List[[#This Row],[Column52]]</f>
        <v>C2S04-X2</v>
      </c>
      <c r="G352" s="136" t="str">
        <f>tbl_IO_List[[#This Row],[PLC_Tag]]</f>
        <v>XV-60262FH_DI_2</v>
      </c>
      <c r="H352" s="136"/>
      <c r="I352" s="136" t="str">
        <f>VLOOKUP(tbl_IO_List[[#This Row],[Destination]],tbl_Junction[],2,FALSE)</f>
        <v>Spray Dryer 7th Floor</v>
      </c>
      <c r="J352" s="136" t="s">
        <v>270</v>
      </c>
      <c r="K352" s="136" t="s">
        <v>14</v>
      </c>
      <c r="L352" s="136" t="s">
        <v>310</v>
      </c>
      <c r="M352" s="136">
        <f>VLOOKUP(tbl_IO_List[[#This Row],[Instruement Tag]],tbl_Instruement_List[],2,FALSE)</f>
        <v>0</v>
      </c>
      <c r="N352" s="136" t="s">
        <v>95</v>
      </c>
      <c r="O352" s="136" t="s">
        <v>272</v>
      </c>
      <c r="P352" s="136" t="s">
        <v>273</v>
      </c>
      <c r="Q352" s="136" t="str">
        <f>VLOOKUP(tbl_IO_List[[#This Row],[Instruement Tag]],tbl_Instruement_List[],6,FALSE)</f>
        <v>Feed Slurry On/Off Valve for Nozzle #8 (ATVM-11B)</v>
      </c>
      <c r="R352" s="136"/>
      <c r="S35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52" s="136" t="str">
        <f>tbl_IO_List[[#This Row],[Instruement Tag]]&amp;"_"&amp;tbl_IO_List[[#This Row],[I/O Type]]&amp;"_"&amp;tbl_IO_List[[#This Row],[IO-Point 
(Instruement)]]</f>
        <v>XV-60262FH_DI_2</v>
      </c>
      <c r="U352" s="136" t="s">
        <v>8</v>
      </c>
      <c r="V352" s="136">
        <f>VLOOKUP(tbl_IO_List[[#This Row],[I/O Type]],tbl_Slot_Group[],2,FALSE)</f>
        <v>1</v>
      </c>
      <c r="W352" s="136">
        <v>2</v>
      </c>
      <c r="X352" s="136" t="str">
        <f>tbl_IO_List[[#This Row],[Chassis]]&amp;"S"&amp;TEXT(tbl_IO_List[[#This Row],[Slot]],"00")</f>
        <v>C2S04</v>
      </c>
      <c r="Y352" s="136" t="str">
        <f>tbl_IO_List[[#This Row],[Chassis]]&amp;"S"&amp;TEXT(tbl_IO_List[[#This Row],[Slot]],"00")&amp;tbl_IO_List[[#This Row],[I/O Type]]&amp;TEXT(tbl_IO_List[[#This Row],[Point]],"00")</f>
        <v>C2S04DI25</v>
      </c>
      <c r="Z352" s="136" t="str">
        <f>tbl_IO_List[[#This Row],[Chassis]]&amp;"S"&amp;TEXT(tbl_IO_List[[#This Row],[Slot]],"00")&amp;","&amp;TEXT(tbl_IO_List[[#This Row],[Point]],"00")</f>
        <v>C2S04,25</v>
      </c>
      <c r="AA352" s="136" t="str">
        <f>VLOOKUP(tbl_IO_List[[#This Row],[Column23]],tbl_RackConfig[],5,FALSE) &amp;"-"&amp;tbl_IO_List[[#This Row],[Point]]</f>
        <v>1756-IB32-25</v>
      </c>
      <c r="AB352" s="136"/>
      <c r="AC352" s="136"/>
      <c r="AD352" s="136" t="str">
        <f>tbl_IO_List[[#This Row],[I/O Type]]</f>
        <v>DI</v>
      </c>
      <c r="AE352" s="136" t="s">
        <v>1333</v>
      </c>
      <c r="AF352" s="136">
        <v>4</v>
      </c>
      <c r="AG352" s="136">
        <v>25</v>
      </c>
      <c r="AH352" s="136">
        <v>26</v>
      </c>
      <c r="AI352" s="136">
        <v>28</v>
      </c>
      <c r="AJ352" s="136">
        <v>2</v>
      </c>
      <c r="AK352" s="136">
        <v>1</v>
      </c>
      <c r="AL352" s="136">
        <v>0</v>
      </c>
      <c r="AM352" s="136">
        <v>0</v>
      </c>
      <c r="AN352" s="136">
        <v>0</v>
      </c>
      <c r="AO352" s="136"/>
      <c r="AP352" s="143" t="str">
        <f>VLOOKUP(tbl_IO_List[[#This Row],[Instruement Tag]],tbl_Instruement_List[],14,FALSE)</f>
        <v>24 VDC energized,Dry Contact</v>
      </c>
      <c r="AQ352" s="143" t="str">
        <f>tbl_IO_List[[#This Row],[Chassis]]&amp;"S"&amp;tbl_IO_List[[#This Row],[Slot]]&amp;"-"&amp;tbl_IO_List[[#This Row],[Front Terminal Number]]</f>
        <v>C2S4-28</v>
      </c>
      <c r="AR352" s="141" t="s">
        <v>1864</v>
      </c>
      <c r="AS352" s="136" t="str">
        <f>tbl_IO_List[[#This Row],[Terminal Tagging]]&amp;"-"&amp;tbl_IO_List[[#This Row],[Point-Count]]</f>
        <v>P2-TBDI4-26</v>
      </c>
      <c r="AT352" s="136" t="str">
        <f>tbl_IO_List[[#This Row],[Front Terminal Tagging]]&amp;"/"&amp;tbl_IO_List[[#This Row],[Terminal Tagging-Item]]</f>
        <v>C2S4-28/P2-TBDI4-26</v>
      </c>
      <c r="AU352" s="136" t="str">
        <f>tbl_IO_List[[#This Row],[Terminal Tagging-Item]]&amp;"/"&amp;tbl_IO_List[[#This Row],[Front Terminal Tagging]]</f>
        <v>P2-TBDI4-26/C2S4-28</v>
      </c>
    </row>
    <row r="353" spans="1:47">
      <c r="A353" s="147" t="s">
        <v>1367</v>
      </c>
      <c r="B353" s="136" t="s">
        <v>270</v>
      </c>
      <c r="C353" s="136" t="str">
        <f>tbl_IO_List[[#This Row],[Column3]]</f>
        <v>C2S04,26</v>
      </c>
      <c r="D353" s="136" t="str">
        <f>tbl_IO_List[[#This Row],[Card]]</f>
        <v>1756-IB32-26</v>
      </c>
      <c r="E353" s="136" t="s">
        <v>1372</v>
      </c>
      <c r="F353" s="136" t="str">
        <f>tbl_IO_List[[#This Row],[Column23]]&amp;"-" &amp;tbl_IO_List[[#This Row],[Column52]]</f>
        <v>C2S04-X2</v>
      </c>
      <c r="G353" s="136" t="str">
        <f>tbl_IO_List[[#This Row],[PLC_Tag]]</f>
        <v>XV-60262SE_DI_1</v>
      </c>
      <c r="H353" s="136"/>
      <c r="I353" s="136" t="str">
        <f>VLOOKUP(tbl_IO_List[[#This Row],[Destination]],tbl_Junction[],2,FALSE)</f>
        <v>Spray Dryer 7th Floor</v>
      </c>
      <c r="J353" s="136" t="s">
        <v>270</v>
      </c>
      <c r="K353" s="136" t="s">
        <v>14</v>
      </c>
      <c r="L353" s="136" t="s">
        <v>311</v>
      </c>
      <c r="M353" s="136">
        <f>VLOOKUP(tbl_IO_List[[#This Row],[Instruement Tag]],tbl_Instruement_List[],2,FALSE)</f>
        <v>0</v>
      </c>
      <c r="N353" s="136" t="s">
        <v>95</v>
      </c>
      <c r="O353" s="136" t="s">
        <v>272</v>
      </c>
      <c r="P353" s="136" t="s">
        <v>273</v>
      </c>
      <c r="Q353" s="136" t="str">
        <f>VLOOKUP(tbl_IO_List[[#This Row],[Instruement Tag]],tbl_Instruement_List[],6,FALSE)</f>
        <v>Steam On/Off Valve for Nozzle #5 (ATVM-11B)</v>
      </c>
      <c r="R353" s="136"/>
      <c r="S35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53" s="136" t="str">
        <f>tbl_IO_List[[#This Row],[Instruement Tag]]&amp;"_"&amp;tbl_IO_List[[#This Row],[I/O Type]]&amp;"_"&amp;tbl_IO_List[[#This Row],[IO-Point 
(Instruement)]]</f>
        <v>XV-60262SE_DI_1</v>
      </c>
      <c r="U353" s="136" t="s">
        <v>8</v>
      </c>
      <c r="V353" s="136">
        <f>VLOOKUP(tbl_IO_List[[#This Row],[I/O Type]],tbl_Slot_Group[],2,FALSE)</f>
        <v>1</v>
      </c>
      <c r="W353" s="136">
        <v>1</v>
      </c>
      <c r="X353" s="136" t="str">
        <f>tbl_IO_List[[#This Row],[Chassis]]&amp;"S"&amp;TEXT(tbl_IO_List[[#This Row],[Slot]],"00")</f>
        <v>C2S04</v>
      </c>
      <c r="Y353" s="136" t="str">
        <f>tbl_IO_List[[#This Row],[Chassis]]&amp;"S"&amp;TEXT(tbl_IO_List[[#This Row],[Slot]],"00")&amp;tbl_IO_List[[#This Row],[I/O Type]]&amp;TEXT(tbl_IO_List[[#This Row],[Point]],"00")</f>
        <v>C2S04DI26</v>
      </c>
      <c r="Z353" s="136" t="str">
        <f>tbl_IO_List[[#This Row],[Chassis]]&amp;"S"&amp;TEXT(tbl_IO_List[[#This Row],[Slot]],"00")&amp;","&amp;TEXT(tbl_IO_List[[#This Row],[Point]],"00")</f>
        <v>C2S04,26</v>
      </c>
      <c r="AA353" s="136" t="str">
        <f>VLOOKUP(tbl_IO_List[[#This Row],[Column23]],tbl_RackConfig[],5,FALSE) &amp;"-"&amp;tbl_IO_List[[#This Row],[Point]]</f>
        <v>1756-IB32-26</v>
      </c>
      <c r="AB353" s="136"/>
      <c r="AC353" s="136"/>
      <c r="AD353" s="136" t="str">
        <f>tbl_IO_List[[#This Row],[I/O Type]]</f>
        <v>DI</v>
      </c>
      <c r="AE353" s="136" t="s">
        <v>1333</v>
      </c>
      <c r="AF353" s="136">
        <v>4</v>
      </c>
      <c r="AG353" s="136">
        <v>26</v>
      </c>
      <c r="AH353" s="136">
        <v>27</v>
      </c>
      <c r="AI353" s="136">
        <v>29</v>
      </c>
      <c r="AJ353" s="136">
        <v>2</v>
      </c>
      <c r="AK353" s="136">
        <v>1</v>
      </c>
      <c r="AL353" s="136">
        <v>0</v>
      </c>
      <c r="AM353" s="136">
        <v>0</v>
      </c>
      <c r="AN353" s="136">
        <v>0</v>
      </c>
      <c r="AO353" s="136"/>
      <c r="AP353" s="143" t="str">
        <f>VLOOKUP(tbl_IO_List[[#This Row],[Instruement Tag]],tbl_Instruement_List[],14,FALSE)</f>
        <v>24 VDC energized,Dry Contact</v>
      </c>
      <c r="AQ353" s="143" t="str">
        <f>tbl_IO_List[[#This Row],[Chassis]]&amp;"S"&amp;tbl_IO_List[[#This Row],[Slot]]&amp;"-"&amp;tbl_IO_List[[#This Row],[Front Terminal Number]]</f>
        <v>C2S4-29</v>
      </c>
      <c r="AR353" s="141" t="s">
        <v>1864</v>
      </c>
      <c r="AS353" s="136" t="str">
        <f>tbl_IO_List[[#This Row],[Terminal Tagging]]&amp;"-"&amp;tbl_IO_List[[#This Row],[Point-Count]]</f>
        <v>P2-TBDI4-27</v>
      </c>
      <c r="AT353" s="136" t="str">
        <f>tbl_IO_List[[#This Row],[Front Terminal Tagging]]&amp;"/"&amp;tbl_IO_List[[#This Row],[Terminal Tagging-Item]]</f>
        <v>C2S4-29/P2-TBDI4-27</v>
      </c>
      <c r="AU353" s="136" t="str">
        <f>tbl_IO_List[[#This Row],[Terminal Tagging-Item]]&amp;"/"&amp;tbl_IO_List[[#This Row],[Front Terminal Tagging]]</f>
        <v>P2-TBDI4-27/C2S4-29</v>
      </c>
    </row>
    <row r="354" spans="1:47">
      <c r="A354" s="147" t="s">
        <v>1367</v>
      </c>
      <c r="B354" s="136" t="s">
        <v>270</v>
      </c>
      <c r="C354" s="136" t="str">
        <f>tbl_IO_List[[#This Row],[Column3]]</f>
        <v>C2S04,27</v>
      </c>
      <c r="D354" s="136" t="str">
        <f>tbl_IO_List[[#This Row],[Card]]</f>
        <v>1756-IB32-27</v>
      </c>
      <c r="E354" s="136" t="s">
        <v>1372</v>
      </c>
      <c r="F354" s="136" t="str">
        <f>tbl_IO_List[[#This Row],[Column23]]&amp;"-" &amp;tbl_IO_List[[#This Row],[Column52]]</f>
        <v>C2S04-X2</v>
      </c>
      <c r="G354" s="136" t="str">
        <f>tbl_IO_List[[#This Row],[PLC_Tag]]</f>
        <v>XV-60262SE_DI_2</v>
      </c>
      <c r="H354" s="136"/>
      <c r="I354" s="136" t="str">
        <f>VLOOKUP(tbl_IO_List[[#This Row],[Destination]],tbl_Junction[],2,FALSE)</f>
        <v>Spray Dryer 7th Floor</v>
      </c>
      <c r="J354" s="136" t="s">
        <v>270</v>
      </c>
      <c r="K354" s="136" t="s">
        <v>14</v>
      </c>
      <c r="L354" s="136" t="s">
        <v>311</v>
      </c>
      <c r="M354" s="136">
        <f>VLOOKUP(tbl_IO_List[[#This Row],[Instruement Tag]],tbl_Instruement_List[],2,FALSE)</f>
        <v>0</v>
      </c>
      <c r="N354" s="136" t="s">
        <v>95</v>
      </c>
      <c r="O354" s="136" t="s">
        <v>272</v>
      </c>
      <c r="P354" s="136" t="s">
        <v>273</v>
      </c>
      <c r="Q354" s="136" t="str">
        <f>VLOOKUP(tbl_IO_List[[#This Row],[Instruement Tag]],tbl_Instruement_List[],6,FALSE)</f>
        <v>Steam On/Off Valve for Nozzle #5 (ATVM-11B)</v>
      </c>
      <c r="R354" s="136"/>
      <c r="S35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54" s="136" t="str">
        <f>tbl_IO_List[[#This Row],[Instruement Tag]]&amp;"_"&amp;tbl_IO_List[[#This Row],[I/O Type]]&amp;"_"&amp;tbl_IO_List[[#This Row],[IO-Point 
(Instruement)]]</f>
        <v>XV-60262SE_DI_2</v>
      </c>
      <c r="U354" s="136" t="s">
        <v>8</v>
      </c>
      <c r="V354" s="136">
        <f>VLOOKUP(tbl_IO_List[[#This Row],[I/O Type]],tbl_Slot_Group[],2,FALSE)</f>
        <v>1</v>
      </c>
      <c r="W354" s="136">
        <v>2</v>
      </c>
      <c r="X354" s="136" t="str">
        <f>tbl_IO_List[[#This Row],[Chassis]]&amp;"S"&amp;TEXT(tbl_IO_List[[#This Row],[Slot]],"00")</f>
        <v>C2S04</v>
      </c>
      <c r="Y354" s="136" t="str">
        <f>tbl_IO_List[[#This Row],[Chassis]]&amp;"S"&amp;TEXT(tbl_IO_List[[#This Row],[Slot]],"00")&amp;tbl_IO_List[[#This Row],[I/O Type]]&amp;TEXT(tbl_IO_List[[#This Row],[Point]],"00")</f>
        <v>C2S04DI27</v>
      </c>
      <c r="Z354" s="136" t="str">
        <f>tbl_IO_List[[#This Row],[Chassis]]&amp;"S"&amp;TEXT(tbl_IO_List[[#This Row],[Slot]],"00")&amp;","&amp;TEXT(tbl_IO_List[[#This Row],[Point]],"00")</f>
        <v>C2S04,27</v>
      </c>
      <c r="AA354" s="136" t="str">
        <f>VLOOKUP(tbl_IO_List[[#This Row],[Column23]],tbl_RackConfig[],5,FALSE) &amp;"-"&amp;tbl_IO_List[[#This Row],[Point]]</f>
        <v>1756-IB32-27</v>
      </c>
      <c r="AB354" s="136"/>
      <c r="AC354" s="136"/>
      <c r="AD354" s="136" t="str">
        <f>tbl_IO_List[[#This Row],[I/O Type]]</f>
        <v>DI</v>
      </c>
      <c r="AE354" s="136" t="s">
        <v>1333</v>
      </c>
      <c r="AF354" s="136">
        <v>4</v>
      </c>
      <c r="AG354" s="136">
        <v>27</v>
      </c>
      <c r="AH354" s="136">
        <v>28</v>
      </c>
      <c r="AI354" s="136">
        <v>30</v>
      </c>
      <c r="AJ354" s="136">
        <v>2</v>
      </c>
      <c r="AK354" s="136">
        <v>1</v>
      </c>
      <c r="AL354" s="136">
        <v>0</v>
      </c>
      <c r="AM354" s="136">
        <v>0</v>
      </c>
      <c r="AN354" s="136">
        <v>0</v>
      </c>
      <c r="AO354" s="136"/>
      <c r="AP354" s="143" t="str">
        <f>VLOOKUP(tbl_IO_List[[#This Row],[Instruement Tag]],tbl_Instruement_List[],14,FALSE)</f>
        <v>24 VDC energized,Dry Contact</v>
      </c>
      <c r="AQ354" s="143" t="str">
        <f>tbl_IO_List[[#This Row],[Chassis]]&amp;"S"&amp;tbl_IO_List[[#This Row],[Slot]]&amp;"-"&amp;tbl_IO_List[[#This Row],[Front Terminal Number]]</f>
        <v>C2S4-30</v>
      </c>
      <c r="AR354" s="141" t="s">
        <v>1864</v>
      </c>
      <c r="AS354" s="136" t="str">
        <f>tbl_IO_List[[#This Row],[Terminal Tagging]]&amp;"-"&amp;tbl_IO_List[[#This Row],[Point-Count]]</f>
        <v>P2-TBDI4-28</v>
      </c>
      <c r="AT354" s="136" t="str">
        <f>tbl_IO_List[[#This Row],[Front Terminal Tagging]]&amp;"/"&amp;tbl_IO_List[[#This Row],[Terminal Tagging-Item]]</f>
        <v>C2S4-30/P2-TBDI4-28</v>
      </c>
      <c r="AU354" s="136" t="str">
        <f>tbl_IO_List[[#This Row],[Terminal Tagging-Item]]&amp;"/"&amp;tbl_IO_List[[#This Row],[Front Terminal Tagging]]</f>
        <v>P2-TBDI4-28/C2S4-30</v>
      </c>
    </row>
    <row r="355" spans="1:47">
      <c r="A355" s="147" t="s">
        <v>1367</v>
      </c>
      <c r="B355" s="136" t="s">
        <v>270</v>
      </c>
      <c r="C355" s="136" t="str">
        <f>tbl_IO_List[[#This Row],[Column3]]</f>
        <v>C2S04,28</v>
      </c>
      <c r="D355" s="136" t="str">
        <f>tbl_IO_List[[#This Row],[Card]]</f>
        <v>1756-IB32-28</v>
      </c>
      <c r="E355" s="136" t="s">
        <v>1372</v>
      </c>
      <c r="F355" s="136" t="str">
        <f>tbl_IO_List[[#This Row],[Column23]]&amp;"-" &amp;tbl_IO_List[[#This Row],[Column52]]</f>
        <v>C2S04-X2</v>
      </c>
      <c r="G355" s="136" t="str">
        <f>tbl_IO_List[[#This Row],[PLC_Tag]]</f>
        <v>XV-60262SF_DI_1</v>
      </c>
      <c r="H355" s="136"/>
      <c r="I355" s="136" t="str">
        <f>VLOOKUP(tbl_IO_List[[#This Row],[Destination]],tbl_Junction[],2,FALSE)</f>
        <v>Spray Dryer 7th Floor</v>
      </c>
      <c r="J355" s="136" t="s">
        <v>270</v>
      </c>
      <c r="K355" s="136" t="s">
        <v>14</v>
      </c>
      <c r="L355" s="136" t="s">
        <v>312</v>
      </c>
      <c r="M355" s="136">
        <f>VLOOKUP(tbl_IO_List[[#This Row],[Instruement Tag]],tbl_Instruement_List[],2,FALSE)</f>
        <v>0</v>
      </c>
      <c r="N355" s="136" t="s">
        <v>95</v>
      </c>
      <c r="O355" s="136" t="s">
        <v>272</v>
      </c>
      <c r="P355" s="136" t="s">
        <v>273</v>
      </c>
      <c r="Q355" s="136" t="str">
        <f>VLOOKUP(tbl_IO_List[[#This Row],[Instruement Tag]],tbl_Instruement_List[],6,FALSE)</f>
        <v>Steam On/Off Valve for Nozzle #6 (ATVM-11B)</v>
      </c>
      <c r="R355" s="136"/>
      <c r="S35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55" s="136" t="str">
        <f>tbl_IO_List[[#This Row],[Instruement Tag]]&amp;"_"&amp;tbl_IO_List[[#This Row],[I/O Type]]&amp;"_"&amp;tbl_IO_List[[#This Row],[IO-Point 
(Instruement)]]</f>
        <v>XV-60262SF_DI_1</v>
      </c>
      <c r="U355" s="136" t="s">
        <v>8</v>
      </c>
      <c r="V355" s="136">
        <f>VLOOKUP(tbl_IO_List[[#This Row],[I/O Type]],tbl_Slot_Group[],2,FALSE)</f>
        <v>1</v>
      </c>
      <c r="W355" s="136">
        <v>1</v>
      </c>
      <c r="X355" s="136" t="str">
        <f>tbl_IO_List[[#This Row],[Chassis]]&amp;"S"&amp;TEXT(tbl_IO_List[[#This Row],[Slot]],"00")</f>
        <v>C2S04</v>
      </c>
      <c r="Y355" s="136" t="str">
        <f>tbl_IO_List[[#This Row],[Chassis]]&amp;"S"&amp;TEXT(tbl_IO_List[[#This Row],[Slot]],"00")&amp;tbl_IO_List[[#This Row],[I/O Type]]&amp;TEXT(tbl_IO_List[[#This Row],[Point]],"00")</f>
        <v>C2S04DI28</v>
      </c>
      <c r="Z355" s="136" t="str">
        <f>tbl_IO_List[[#This Row],[Chassis]]&amp;"S"&amp;TEXT(tbl_IO_List[[#This Row],[Slot]],"00")&amp;","&amp;TEXT(tbl_IO_List[[#This Row],[Point]],"00")</f>
        <v>C2S04,28</v>
      </c>
      <c r="AA355" s="136" t="str">
        <f>VLOOKUP(tbl_IO_List[[#This Row],[Column23]],tbl_RackConfig[],5,FALSE) &amp;"-"&amp;tbl_IO_List[[#This Row],[Point]]</f>
        <v>1756-IB32-28</v>
      </c>
      <c r="AB355" s="136"/>
      <c r="AC355" s="136"/>
      <c r="AD355" s="136" t="str">
        <f>tbl_IO_List[[#This Row],[I/O Type]]</f>
        <v>DI</v>
      </c>
      <c r="AE355" s="136" t="s">
        <v>1333</v>
      </c>
      <c r="AF355" s="136">
        <v>4</v>
      </c>
      <c r="AG355" s="136">
        <v>28</v>
      </c>
      <c r="AH355" s="136">
        <v>29</v>
      </c>
      <c r="AI355" s="136">
        <v>31</v>
      </c>
      <c r="AJ355" s="136">
        <v>2</v>
      </c>
      <c r="AK355" s="136">
        <v>1</v>
      </c>
      <c r="AL355" s="136">
        <v>0</v>
      </c>
      <c r="AM355" s="136">
        <v>0</v>
      </c>
      <c r="AN355" s="136">
        <v>0</v>
      </c>
      <c r="AO355" s="136"/>
      <c r="AP355" s="143" t="str">
        <f>VLOOKUP(tbl_IO_List[[#This Row],[Instruement Tag]],tbl_Instruement_List[],14,FALSE)</f>
        <v>24 VDC energized,Dry Contact</v>
      </c>
      <c r="AQ355" s="143" t="str">
        <f>tbl_IO_List[[#This Row],[Chassis]]&amp;"S"&amp;tbl_IO_List[[#This Row],[Slot]]&amp;"-"&amp;tbl_IO_List[[#This Row],[Front Terminal Number]]</f>
        <v>C2S4-31</v>
      </c>
      <c r="AR355" s="141" t="s">
        <v>1864</v>
      </c>
      <c r="AS355" s="136" t="str">
        <f>tbl_IO_List[[#This Row],[Terminal Tagging]]&amp;"-"&amp;tbl_IO_List[[#This Row],[Point-Count]]</f>
        <v>P2-TBDI4-29</v>
      </c>
      <c r="AT355" s="136" t="str">
        <f>tbl_IO_List[[#This Row],[Front Terminal Tagging]]&amp;"/"&amp;tbl_IO_List[[#This Row],[Terminal Tagging-Item]]</f>
        <v>C2S4-31/P2-TBDI4-29</v>
      </c>
      <c r="AU355" s="136" t="str">
        <f>tbl_IO_List[[#This Row],[Terminal Tagging-Item]]&amp;"/"&amp;tbl_IO_List[[#This Row],[Front Terminal Tagging]]</f>
        <v>P2-TBDI4-29/C2S4-31</v>
      </c>
    </row>
    <row r="356" spans="1:47">
      <c r="A356" s="147" t="s">
        <v>1367</v>
      </c>
      <c r="B356" s="136" t="s">
        <v>270</v>
      </c>
      <c r="C356" s="136" t="str">
        <f>tbl_IO_List[[#This Row],[Column3]]</f>
        <v>C2S04,29</v>
      </c>
      <c r="D356" s="136" t="str">
        <f>tbl_IO_List[[#This Row],[Card]]</f>
        <v>1756-IB32-29</v>
      </c>
      <c r="E356" s="136" t="s">
        <v>1372</v>
      </c>
      <c r="F356" s="136" t="str">
        <f>tbl_IO_List[[#This Row],[Column23]]&amp;"-" &amp;tbl_IO_List[[#This Row],[Column52]]</f>
        <v>C2S04-X2</v>
      </c>
      <c r="G356" s="136" t="str">
        <f>tbl_IO_List[[#This Row],[PLC_Tag]]</f>
        <v>XV-60262SF_DI_2</v>
      </c>
      <c r="H356" s="136"/>
      <c r="I356" s="136" t="str">
        <f>VLOOKUP(tbl_IO_List[[#This Row],[Destination]],tbl_Junction[],2,FALSE)</f>
        <v>Spray Dryer 7th Floor</v>
      </c>
      <c r="J356" s="136" t="s">
        <v>270</v>
      </c>
      <c r="K356" s="136" t="s">
        <v>14</v>
      </c>
      <c r="L356" s="136" t="s">
        <v>312</v>
      </c>
      <c r="M356" s="136">
        <f>VLOOKUP(tbl_IO_List[[#This Row],[Instruement Tag]],tbl_Instruement_List[],2,FALSE)</f>
        <v>0</v>
      </c>
      <c r="N356" s="136" t="s">
        <v>95</v>
      </c>
      <c r="O356" s="136" t="s">
        <v>272</v>
      </c>
      <c r="P356" s="136" t="s">
        <v>273</v>
      </c>
      <c r="Q356" s="136" t="str">
        <f>VLOOKUP(tbl_IO_List[[#This Row],[Instruement Tag]],tbl_Instruement_List[],6,FALSE)</f>
        <v>Steam On/Off Valve for Nozzle #6 (ATVM-11B)</v>
      </c>
      <c r="R356" s="136"/>
      <c r="S35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56" s="136" t="str">
        <f>tbl_IO_List[[#This Row],[Instruement Tag]]&amp;"_"&amp;tbl_IO_List[[#This Row],[I/O Type]]&amp;"_"&amp;tbl_IO_List[[#This Row],[IO-Point 
(Instruement)]]</f>
        <v>XV-60262SF_DI_2</v>
      </c>
      <c r="U356" s="136" t="s">
        <v>8</v>
      </c>
      <c r="V356" s="136">
        <f>VLOOKUP(tbl_IO_List[[#This Row],[I/O Type]],tbl_Slot_Group[],2,FALSE)</f>
        <v>1</v>
      </c>
      <c r="W356" s="136">
        <v>2</v>
      </c>
      <c r="X356" s="136" t="str">
        <f>tbl_IO_List[[#This Row],[Chassis]]&amp;"S"&amp;TEXT(tbl_IO_List[[#This Row],[Slot]],"00")</f>
        <v>C2S04</v>
      </c>
      <c r="Y356" s="136" t="str">
        <f>tbl_IO_List[[#This Row],[Chassis]]&amp;"S"&amp;TEXT(tbl_IO_List[[#This Row],[Slot]],"00")&amp;tbl_IO_List[[#This Row],[I/O Type]]&amp;TEXT(tbl_IO_List[[#This Row],[Point]],"00")</f>
        <v>C2S04DI29</v>
      </c>
      <c r="Z356" s="136" t="str">
        <f>tbl_IO_List[[#This Row],[Chassis]]&amp;"S"&amp;TEXT(tbl_IO_List[[#This Row],[Slot]],"00")&amp;","&amp;TEXT(tbl_IO_List[[#This Row],[Point]],"00")</f>
        <v>C2S04,29</v>
      </c>
      <c r="AA356" s="136" t="str">
        <f>VLOOKUP(tbl_IO_List[[#This Row],[Column23]],tbl_RackConfig[],5,FALSE) &amp;"-"&amp;tbl_IO_List[[#This Row],[Point]]</f>
        <v>1756-IB32-29</v>
      </c>
      <c r="AB356" s="136"/>
      <c r="AC356" s="136"/>
      <c r="AD356" s="136" t="str">
        <f>tbl_IO_List[[#This Row],[I/O Type]]</f>
        <v>DI</v>
      </c>
      <c r="AE356" s="136" t="s">
        <v>1333</v>
      </c>
      <c r="AF356" s="136">
        <v>4</v>
      </c>
      <c r="AG356" s="136">
        <v>29</v>
      </c>
      <c r="AH356" s="136">
        <v>30</v>
      </c>
      <c r="AI356" s="136">
        <v>32</v>
      </c>
      <c r="AJ356" s="136">
        <v>2</v>
      </c>
      <c r="AK356" s="136">
        <v>1</v>
      </c>
      <c r="AL356" s="136">
        <v>0</v>
      </c>
      <c r="AM356" s="136">
        <v>0</v>
      </c>
      <c r="AN356" s="136">
        <v>0</v>
      </c>
      <c r="AO356" s="136"/>
      <c r="AP356" s="143" t="str">
        <f>VLOOKUP(tbl_IO_List[[#This Row],[Instruement Tag]],tbl_Instruement_List[],14,FALSE)</f>
        <v>24 VDC energized,Dry Contact</v>
      </c>
      <c r="AQ356" s="143" t="str">
        <f>tbl_IO_List[[#This Row],[Chassis]]&amp;"S"&amp;tbl_IO_List[[#This Row],[Slot]]&amp;"-"&amp;tbl_IO_List[[#This Row],[Front Terminal Number]]</f>
        <v>C2S4-32</v>
      </c>
      <c r="AR356" s="141" t="s">
        <v>1864</v>
      </c>
      <c r="AS356" s="136" t="str">
        <f>tbl_IO_List[[#This Row],[Terminal Tagging]]&amp;"-"&amp;tbl_IO_List[[#This Row],[Point-Count]]</f>
        <v>P2-TBDI4-30</v>
      </c>
      <c r="AT356" s="136" t="str">
        <f>tbl_IO_List[[#This Row],[Front Terminal Tagging]]&amp;"/"&amp;tbl_IO_List[[#This Row],[Terminal Tagging-Item]]</f>
        <v>C2S4-32/P2-TBDI4-30</v>
      </c>
      <c r="AU356" s="136" t="str">
        <f>tbl_IO_List[[#This Row],[Terminal Tagging-Item]]&amp;"/"&amp;tbl_IO_List[[#This Row],[Front Terminal Tagging]]</f>
        <v>P2-TBDI4-30/C2S4-32</v>
      </c>
    </row>
    <row r="357" spans="1:47">
      <c r="A357" s="147" t="s">
        <v>1367</v>
      </c>
      <c r="B357" s="136" t="s">
        <v>270</v>
      </c>
      <c r="C357" s="136" t="str">
        <f>tbl_IO_List[[#This Row],[Column3]]</f>
        <v>C2S04,30</v>
      </c>
      <c r="D357" s="136" t="str">
        <f>tbl_IO_List[[#This Row],[Card]]</f>
        <v>1756-IB32-30</v>
      </c>
      <c r="E357" s="136" t="s">
        <v>1372</v>
      </c>
      <c r="F357" s="136" t="str">
        <f>tbl_IO_List[[#This Row],[Column23]]&amp;"-" &amp;tbl_IO_List[[#This Row],[Column52]]</f>
        <v>C2S04-X2</v>
      </c>
      <c r="G357" s="136" t="str">
        <f>tbl_IO_List[[#This Row],[PLC_Tag]]</f>
        <v>XV-60262SG_DI_1</v>
      </c>
      <c r="H357" s="136"/>
      <c r="I357" s="136" t="str">
        <f>VLOOKUP(tbl_IO_List[[#This Row],[Destination]],tbl_Junction[],2,FALSE)</f>
        <v>Spray Dryer 7th Floor</v>
      </c>
      <c r="J357" s="136" t="s">
        <v>270</v>
      </c>
      <c r="K357" s="136" t="s">
        <v>14</v>
      </c>
      <c r="L357" s="136" t="s">
        <v>313</v>
      </c>
      <c r="M357" s="136">
        <f>VLOOKUP(tbl_IO_List[[#This Row],[Instruement Tag]],tbl_Instruement_List[],2,FALSE)</f>
        <v>0</v>
      </c>
      <c r="N357" s="136" t="s">
        <v>95</v>
      </c>
      <c r="O357" s="136" t="s">
        <v>272</v>
      </c>
      <c r="P357" s="136" t="s">
        <v>273</v>
      </c>
      <c r="Q357" s="136" t="str">
        <f>VLOOKUP(tbl_IO_List[[#This Row],[Instruement Tag]],tbl_Instruement_List[],6,FALSE)</f>
        <v>Steam On/Off Valve for Nozzle #7 (ATVM-11B)</v>
      </c>
      <c r="R357" s="136"/>
      <c r="S35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57" s="136" t="str">
        <f>tbl_IO_List[[#This Row],[Instruement Tag]]&amp;"_"&amp;tbl_IO_List[[#This Row],[I/O Type]]&amp;"_"&amp;tbl_IO_List[[#This Row],[IO-Point 
(Instruement)]]</f>
        <v>XV-60262SG_DI_1</v>
      </c>
      <c r="U357" s="136" t="s">
        <v>8</v>
      </c>
      <c r="V357" s="136">
        <f>VLOOKUP(tbl_IO_List[[#This Row],[I/O Type]],tbl_Slot_Group[],2,FALSE)</f>
        <v>1</v>
      </c>
      <c r="W357" s="136">
        <v>1</v>
      </c>
      <c r="X357" s="136" t="str">
        <f>tbl_IO_List[[#This Row],[Chassis]]&amp;"S"&amp;TEXT(tbl_IO_List[[#This Row],[Slot]],"00")</f>
        <v>C2S04</v>
      </c>
      <c r="Y357" s="136" t="str">
        <f>tbl_IO_List[[#This Row],[Chassis]]&amp;"S"&amp;TEXT(tbl_IO_List[[#This Row],[Slot]],"00")&amp;tbl_IO_List[[#This Row],[I/O Type]]&amp;TEXT(tbl_IO_List[[#This Row],[Point]],"00")</f>
        <v>C2S04DI30</v>
      </c>
      <c r="Z357" s="136" t="str">
        <f>tbl_IO_List[[#This Row],[Chassis]]&amp;"S"&amp;TEXT(tbl_IO_List[[#This Row],[Slot]],"00")&amp;","&amp;TEXT(tbl_IO_List[[#This Row],[Point]],"00")</f>
        <v>C2S04,30</v>
      </c>
      <c r="AA357" s="136" t="str">
        <f>VLOOKUP(tbl_IO_List[[#This Row],[Column23]],tbl_RackConfig[],5,FALSE) &amp;"-"&amp;tbl_IO_List[[#This Row],[Point]]</f>
        <v>1756-IB32-30</v>
      </c>
      <c r="AB357" s="136"/>
      <c r="AC357" s="136"/>
      <c r="AD357" s="136" t="str">
        <f>tbl_IO_List[[#This Row],[I/O Type]]</f>
        <v>DI</v>
      </c>
      <c r="AE357" s="136" t="s">
        <v>1333</v>
      </c>
      <c r="AF357" s="136">
        <v>4</v>
      </c>
      <c r="AG357" s="136">
        <v>30</v>
      </c>
      <c r="AH357" s="136">
        <v>31</v>
      </c>
      <c r="AI357" s="136">
        <v>33</v>
      </c>
      <c r="AJ357" s="136">
        <v>2</v>
      </c>
      <c r="AK357" s="136">
        <v>1</v>
      </c>
      <c r="AL357" s="136">
        <v>0</v>
      </c>
      <c r="AM357" s="136">
        <v>0</v>
      </c>
      <c r="AN357" s="136">
        <v>0</v>
      </c>
      <c r="AO357" s="136"/>
      <c r="AP357" s="143" t="str">
        <f>VLOOKUP(tbl_IO_List[[#This Row],[Instruement Tag]],tbl_Instruement_List[],14,FALSE)</f>
        <v>24 VDC energized,Dry Contact</v>
      </c>
      <c r="AQ357" s="143" t="str">
        <f>tbl_IO_List[[#This Row],[Chassis]]&amp;"S"&amp;tbl_IO_List[[#This Row],[Slot]]&amp;"-"&amp;tbl_IO_List[[#This Row],[Front Terminal Number]]</f>
        <v>C2S4-33</v>
      </c>
      <c r="AR357" s="141" t="s">
        <v>1864</v>
      </c>
      <c r="AS357" s="136" t="str">
        <f>tbl_IO_List[[#This Row],[Terminal Tagging]]&amp;"-"&amp;tbl_IO_List[[#This Row],[Point-Count]]</f>
        <v>P2-TBDI4-31</v>
      </c>
      <c r="AT357" s="136" t="str">
        <f>tbl_IO_List[[#This Row],[Front Terminal Tagging]]&amp;"/"&amp;tbl_IO_List[[#This Row],[Terminal Tagging-Item]]</f>
        <v>C2S4-33/P2-TBDI4-31</v>
      </c>
      <c r="AU357" s="136" t="str">
        <f>tbl_IO_List[[#This Row],[Terminal Tagging-Item]]&amp;"/"&amp;tbl_IO_List[[#This Row],[Front Terminal Tagging]]</f>
        <v>P2-TBDI4-31/C2S4-33</v>
      </c>
    </row>
    <row r="358" spans="1:47">
      <c r="A358" s="147" t="s">
        <v>1367</v>
      </c>
      <c r="B358" s="136" t="s">
        <v>270</v>
      </c>
      <c r="C358" s="136" t="str">
        <f>tbl_IO_List[[#This Row],[Column3]]</f>
        <v>C2S04,31</v>
      </c>
      <c r="D358" s="136" t="str">
        <f>tbl_IO_List[[#This Row],[Card]]</f>
        <v>1756-IB32-31</v>
      </c>
      <c r="E358" s="136" t="s">
        <v>1372</v>
      </c>
      <c r="F358" s="136" t="str">
        <f>tbl_IO_List[[#This Row],[Column23]]&amp;"-" &amp;tbl_IO_List[[#This Row],[Column52]]</f>
        <v>C2S04-X2</v>
      </c>
      <c r="G358" s="136" t="str">
        <f>tbl_IO_List[[#This Row],[PLC_Tag]]</f>
        <v>XV-60262SG_DI_2</v>
      </c>
      <c r="H358" s="136"/>
      <c r="I358" s="136" t="str">
        <f>VLOOKUP(tbl_IO_List[[#This Row],[Destination]],tbl_Junction[],2,FALSE)</f>
        <v>Spray Dryer 7th Floor</v>
      </c>
      <c r="J358" s="136" t="s">
        <v>270</v>
      </c>
      <c r="K358" s="136" t="s">
        <v>14</v>
      </c>
      <c r="L358" s="136" t="s">
        <v>313</v>
      </c>
      <c r="M358" s="136">
        <f>VLOOKUP(tbl_IO_List[[#This Row],[Instruement Tag]],tbl_Instruement_List[],2,FALSE)</f>
        <v>0</v>
      </c>
      <c r="N358" s="136" t="s">
        <v>95</v>
      </c>
      <c r="O358" s="136" t="s">
        <v>272</v>
      </c>
      <c r="P358" s="136" t="s">
        <v>273</v>
      </c>
      <c r="Q358" s="136" t="str">
        <f>VLOOKUP(tbl_IO_List[[#This Row],[Instruement Tag]],tbl_Instruement_List[],6,FALSE)</f>
        <v>Steam On/Off Valve for Nozzle #7 (ATVM-11B)</v>
      </c>
      <c r="R358" s="136"/>
      <c r="S35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58" s="136" t="str">
        <f>tbl_IO_List[[#This Row],[Instruement Tag]]&amp;"_"&amp;tbl_IO_List[[#This Row],[I/O Type]]&amp;"_"&amp;tbl_IO_List[[#This Row],[IO-Point 
(Instruement)]]</f>
        <v>XV-60262SG_DI_2</v>
      </c>
      <c r="U358" s="136" t="s">
        <v>8</v>
      </c>
      <c r="V358" s="136">
        <f>VLOOKUP(tbl_IO_List[[#This Row],[I/O Type]],tbl_Slot_Group[],2,FALSE)</f>
        <v>1</v>
      </c>
      <c r="W358" s="136">
        <v>2</v>
      </c>
      <c r="X358" s="136" t="str">
        <f>tbl_IO_List[[#This Row],[Chassis]]&amp;"S"&amp;TEXT(tbl_IO_List[[#This Row],[Slot]],"00")</f>
        <v>C2S04</v>
      </c>
      <c r="Y358" s="136" t="str">
        <f>tbl_IO_List[[#This Row],[Chassis]]&amp;"S"&amp;TEXT(tbl_IO_List[[#This Row],[Slot]],"00")&amp;tbl_IO_List[[#This Row],[I/O Type]]&amp;TEXT(tbl_IO_List[[#This Row],[Point]],"00")</f>
        <v>C2S04DI31</v>
      </c>
      <c r="Z358" s="136" t="str">
        <f>tbl_IO_List[[#This Row],[Chassis]]&amp;"S"&amp;TEXT(tbl_IO_List[[#This Row],[Slot]],"00")&amp;","&amp;TEXT(tbl_IO_List[[#This Row],[Point]],"00")</f>
        <v>C2S04,31</v>
      </c>
      <c r="AA358" s="136" t="str">
        <f>VLOOKUP(tbl_IO_List[[#This Row],[Column23]],tbl_RackConfig[],5,FALSE) &amp;"-"&amp;tbl_IO_List[[#This Row],[Point]]</f>
        <v>1756-IB32-31</v>
      </c>
      <c r="AB358" s="136"/>
      <c r="AC358" s="136"/>
      <c r="AD358" s="136" t="str">
        <f>tbl_IO_List[[#This Row],[I/O Type]]</f>
        <v>DI</v>
      </c>
      <c r="AE358" s="136" t="s">
        <v>1333</v>
      </c>
      <c r="AF358" s="136">
        <v>4</v>
      </c>
      <c r="AG358" s="136">
        <v>31</v>
      </c>
      <c r="AH358" s="136">
        <v>32</v>
      </c>
      <c r="AI358" s="136">
        <v>34</v>
      </c>
      <c r="AJ358" s="136">
        <v>2</v>
      </c>
      <c r="AK358" s="136">
        <v>1</v>
      </c>
      <c r="AL358" s="136">
        <v>0</v>
      </c>
      <c r="AM358" s="136">
        <v>0</v>
      </c>
      <c r="AN358" s="136">
        <v>0</v>
      </c>
      <c r="AO358" s="136"/>
      <c r="AP358" s="143" t="str">
        <f>VLOOKUP(tbl_IO_List[[#This Row],[Instruement Tag]],tbl_Instruement_List[],14,FALSE)</f>
        <v>24 VDC energized,Dry Contact</v>
      </c>
      <c r="AQ358" s="143" t="str">
        <f>tbl_IO_List[[#This Row],[Chassis]]&amp;"S"&amp;tbl_IO_List[[#This Row],[Slot]]&amp;"-"&amp;tbl_IO_List[[#This Row],[Front Terminal Number]]</f>
        <v>C2S4-34</v>
      </c>
      <c r="AR358" s="141" t="s">
        <v>1864</v>
      </c>
      <c r="AS358" s="136" t="str">
        <f>tbl_IO_List[[#This Row],[Terminal Tagging]]&amp;"-"&amp;tbl_IO_List[[#This Row],[Point-Count]]</f>
        <v>P2-TBDI4-32</v>
      </c>
      <c r="AT358" s="136" t="str">
        <f>tbl_IO_List[[#This Row],[Front Terminal Tagging]]&amp;"/"&amp;tbl_IO_List[[#This Row],[Terminal Tagging-Item]]</f>
        <v>C2S4-34/P2-TBDI4-32</v>
      </c>
      <c r="AU358" s="136" t="str">
        <f>tbl_IO_List[[#This Row],[Terminal Tagging-Item]]&amp;"/"&amp;tbl_IO_List[[#This Row],[Front Terminal Tagging]]</f>
        <v>P2-TBDI4-32/C2S4-34</v>
      </c>
    </row>
    <row r="359" spans="1:47">
      <c r="A359" s="147" t="s">
        <v>1367</v>
      </c>
      <c r="B359" s="136" t="s">
        <v>270</v>
      </c>
      <c r="C359" s="136" t="str">
        <f>tbl_IO_List[[#This Row],[Column3]]</f>
        <v>C2S05,00</v>
      </c>
      <c r="D359" s="136" t="str">
        <f>tbl_IO_List[[#This Row],[Card]]</f>
        <v>1756-IB32-0</v>
      </c>
      <c r="E359" s="136" t="s">
        <v>1366</v>
      </c>
      <c r="F359" s="136" t="str">
        <f>tbl_IO_List[[#This Row],[Column23]]&amp;"-" &amp;tbl_IO_List[[#This Row],[Column52]]</f>
        <v>C2S05-X1</v>
      </c>
      <c r="G359" s="136" t="str">
        <f>tbl_IO_List[[#This Row],[PLC_Tag]]</f>
        <v>XV-60262SH_DI_1</v>
      </c>
      <c r="H359" s="136"/>
      <c r="I359" s="136" t="str">
        <f>VLOOKUP(tbl_IO_List[[#This Row],[Destination]],tbl_Junction[],2,FALSE)</f>
        <v>Spray Dryer 7th Floor</v>
      </c>
      <c r="J359" s="136" t="s">
        <v>270</v>
      </c>
      <c r="K359" s="136" t="s">
        <v>14</v>
      </c>
      <c r="L359" s="136" t="s">
        <v>314</v>
      </c>
      <c r="M359" s="136">
        <f>VLOOKUP(tbl_IO_List[[#This Row],[Instruement Tag]],tbl_Instruement_List[],2,FALSE)</f>
        <v>0</v>
      </c>
      <c r="N359" s="136" t="s">
        <v>95</v>
      </c>
      <c r="O359" s="136" t="s">
        <v>272</v>
      </c>
      <c r="P359" s="136" t="s">
        <v>273</v>
      </c>
      <c r="Q359" s="136" t="str">
        <f>VLOOKUP(tbl_IO_List[[#This Row],[Instruement Tag]],tbl_Instruement_List[],6,FALSE)</f>
        <v>Steam On/Off Valve for Nozzle #8 (ATVM-11B)</v>
      </c>
      <c r="R359" s="136"/>
      <c r="S35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59" s="136" t="str">
        <f>tbl_IO_List[[#This Row],[Instruement Tag]]&amp;"_"&amp;tbl_IO_List[[#This Row],[I/O Type]]&amp;"_"&amp;tbl_IO_List[[#This Row],[IO-Point 
(Instruement)]]</f>
        <v>XV-60262SH_DI_1</v>
      </c>
      <c r="U359" s="136" t="s">
        <v>8</v>
      </c>
      <c r="V359" s="136">
        <f>VLOOKUP(tbl_IO_List[[#This Row],[I/O Type]],tbl_Slot_Group[],2,FALSE)</f>
        <v>1</v>
      </c>
      <c r="W359" s="136">
        <v>1</v>
      </c>
      <c r="X359" s="136" t="str">
        <f>tbl_IO_List[[#This Row],[Chassis]]&amp;"S"&amp;TEXT(tbl_IO_List[[#This Row],[Slot]],"00")</f>
        <v>C2S05</v>
      </c>
      <c r="Y359" s="136" t="str">
        <f>tbl_IO_List[[#This Row],[Chassis]]&amp;"S"&amp;TEXT(tbl_IO_List[[#This Row],[Slot]],"00")&amp;tbl_IO_List[[#This Row],[I/O Type]]&amp;TEXT(tbl_IO_List[[#This Row],[Point]],"00")</f>
        <v>C2S05DI00</v>
      </c>
      <c r="Z359" s="136" t="str">
        <f>tbl_IO_List[[#This Row],[Chassis]]&amp;"S"&amp;TEXT(tbl_IO_List[[#This Row],[Slot]],"00")&amp;","&amp;TEXT(tbl_IO_List[[#This Row],[Point]],"00")</f>
        <v>C2S05,00</v>
      </c>
      <c r="AA359" s="136" t="str">
        <f>VLOOKUP(tbl_IO_List[[#This Row],[Column23]],tbl_RackConfig[],5,FALSE) &amp;"-"&amp;tbl_IO_List[[#This Row],[Point]]</f>
        <v>1756-IB32-0</v>
      </c>
      <c r="AB359" s="136"/>
      <c r="AC359" s="136"/>
      <c r="AD359" s="136" t="str">
        <f>tbl_IO_List[[#This Row],[I/O Type]]</f>
        <v>DI</v>
      </c>
      <c r="AE359" s="136" t="s">
        <v>1333</v>
      </c>
      <c r="AF359" s="136">
        <v>5</v>
      </c>
      <c r="AG359" s="136">
        <v>0</v>
      </c>
      <c r="AH359" s="136">
        <v>1</v>
      </c>
      <c r="AI359" s="136">
        <v>1</v>
      </c>
      <c r="AJ359" s="136">
        <v>2</v>
      </c>
      <c r="AK359" s="136">
        <v>1</v>
      </c>
      <c r="AL359" s="136">
        <v>0</v>
      </c>
      <c r="AM359" s="136">
        <v>0</v>
      </c>
      <c r="AN359" s="136">
        <v>0</v>
      </c>
      <c r="AO359" s="136"/>
      <c r="AP359" s="143" t="str">
        <f>VLOOKUP(tbl_IO_List[[#This Row],[Instruement Tag]],tbl_Instruement_List[],14,FALSE)</f>
        <v>24 VDC energized,Dry Contact</v>
      </c>
      <c r="AQ359" s="143" t="str">
        <f>tbl_IO_List[[#This Row],[Chassis]]&amp;"S"&amp;tbl_IO_List[[#This Row],[Slot]]&amp;"-"&amp;tbl_IO_List[[#This Row],[Front Terminal Number]]</f>
        <v>C2S5-1</v>
      </c>
      <c r="AR359" s="141" t="s">
        <v>1865</v>
      </c>
      <c r="AS359" s="136" t="str">
        <f>tbl_IO_List[[#This Row],[Terminal Tagging]]&amp;"-"&amp;tbl_IO_List[[#This Row],[Point-Count]]</f>
        <v>P2-TBDI5-1</v>
      </c>
      <c r="AT359" s="136" t="str">
        <f>tbl_IO_List[[#This Row],[Front Terminal Tagging]]&amp;"/"&amp;tbl_IO_List[[#This Row],[Terminal Tagging-Item]]</f>
        <v>C2S5-1/P2-TBDI5-1</v>
      </c>
      <c r="AU359" s="136" t="str">
        <f>tbl_IO_List[[#This Row],[Terminal Tagging-Item]]&amp;"/"&amp;tbl_IO_List[[#This Row],[Front Terminal Tagging]]</f>
        <v>P2-TBDI5-1/C2S5-1</v>
      </c>
    </row>
    <row r="360" spans="1:47">
      <c r="A360" s="147" t="s">
        <v>1367</v>
      </c>
      <c r="B360" s="136" t="s">
        <v>270</v>
      </c>
      <c r="C360" s="136" t="str">
        <f>tbl_IO_List[[#This Row],[Column3]]</f>
        <v>C2S05,01</v>
      </c>
      <c r="D360" s="136" t="str">
        <f>tbl_IO_List[[#This Row],[Card]]</f>
        <v>1756-IB32-1</v>
      </c>
      <c r="E360" s="136" t="s">
        <v>1366</v>
      </c>
      <c r="F360" s="136" t="str">
        <f>tbl_IO_List[[#This Row],[Column23]]&amp;"-" &amp;tbl_IO_List[[#This Row],[Column52]]</f>
        <v>C2S05-X1</v>
      </c>
      <c r="G360" s="136" t="str">
        <f>tbl_IO_List[[#This Row],[PLC_Tag]]</f>
        <v>XV-60262SH_DI_2</v>
      </c>
      <c r="H360" s="136"/>
      <c r="I360" s="136" t="str">
        <f>VLOOKUP(tbl_IO_List[[#This Row],[Destination]],tbl_Junction[],2,FALSE)</f>
        <v>Spray Dryer 7th Floor</v>
      </c>
      <c r="J360" s="136" t="s">
        <v>270</v>
      </c>
      <c r="K360" s="136" t="s">
        <v>14</v>
      </c>
      <c r="L360" s="136" t="s">
        <v>314</v>
      </c>
      <c r="M360" s="136">
        <f>VLOOKUP(tbl_IO_List[[#This Row],[Instruement Tag]],tbl_Instruement_List[],2,FALSE)</f>
        <v>0</v>
      </c>
      <c r="N360" s="136" t="s">
        <v>95</v>
      </c>
      <c r="O360" s="136" t="s">
        <v>272</v>
      </c>
      <c r="P360" s="136" t="s">
        <v>273</v>
      </c>
      <c r="Q360" s="136" t="str">
        <f>VLOOKUP(tbl_IO_List[[#This Row],[Instruement Tag]],tbl_Instruement_List[],6,FALSE)</f>
        <v>Steam On/Off Valve for Nozzle #8 (ATVM-11B)</v>
      </c>
      <c r="R360" s="136"/>
      <c r="S36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60" s="136" t="str">
        <f>tbl_IO_List[[#This Row],[Instruement Tag]]&amp;"_"&amp;tbl_IO_List[[#This Row],[I/O Type]]&amp;"_"&amp;tbl_IO_List[[#This Row],[IO-Point 
(Instruement)]]</f>
        <v>XV-60262SH_DI_2</v>
      </c>
      <c r="U360" s="136" t="s">
        <v>8</v>
      </c>
      <c r="V360" s="136">
        <f>VLOOKUP(tbl_IO_List[[#This Row],[I/O Type]],tbl_Slot_Group[],2,FALSE)</f>
        <v>1</v>
      </c>
      <c r="W360" s="136">
        <v>2</v>
      </c>
      <c r="X360" s="136" t="str">
        <f>tbl_IO_List[[#This Row],[Chassis]]&amp;"S"&amp;TEXT(tbl_IO_List[[#This Row],[Slot]],"00")</f>
        <v>C2S05</v>
      </c>
      <c r="Y360" s="136" t="str">
        <f>tbl_IO_List[[#This Row],[Chassis]]&amp;"S"&amp;TEXT(tbl_IO_List[[#This Row],[Slot]],"00")&amp;tbl_IO_List[[#This Row],[I/O Type]]&amp;TEXT(tbl_IO_List[[#This Row],[Point]],"00")</f>
        <v>C2S05DI01</v>
      </c>
      <c r="Z360" s="136" t="str">
        <f>tbl_IO_List[[#This Row],[Chassis]]&amp;"S"&amp;TEXT(tbl_IO_List[[#This Row],[Slot]],"00")&amp;","&amp;TEXT(tbl_IO_List[[#This Row],[Point]],"00")</f>
        <v>C2S05,01</v>
      </c>
      <c r="AA360" s="136" t="str">
        <f>VLOOKUP(tbl_IO_List[[#This Row],[Column23]],tbl_RackConfig[],5,FALSE) &amp;"-"&amp;tbl_IO_List[[#This Row],[Point]]</f>
        <v>1756-IB32-1</v>
      </c>
      <c r="AB360" s="136"/>
      <c r="AC360" s="136"/>
      <c r="AD360" s="136" t="str">
        <f>tbl_IO_List[[#This Row],[I/O Type]]</f>
        <v>DI</v>
      </c>
      <c r="AE360" s="136" t="s">
        <v>1333</v>
      </c>
      <c r="AF360" s="136">
        <v>5</v>
      </c>
      <c r="AG360" s="136">
        <v>1</v>
      </c>
      <c r="AH360" s="136">
        <v>2</v>
      </c>
      <c r="AI360" s="136">
        <v>2</v>
      </c>
      <c r="AJ360" s="136">
        <v>2</v>
      </c>
      <c r="AK360" s="136">
        <v>1</v>
      </c>
      <c r="AL360" s="136">
        <v>0</v>
      </c>
      <c r="AM360" s="136">
        <v>0</v>
      </c>
      <c r="AN360" s="136">
        <v>0</v>
      </c>
      <c r="AO360" s="136"/>
      <c r="AP360" s="143" t="str">
        <f>VLOOKUP(tbl_IO_List[[#This Row],[Instruement Tag]],tbl_Instruement_List[],14,FALSE)</f>
        <v>24 VDC energized,Dry Contact</v>
      </c>
      <c r="AQ360" s="143" t="str">
        <f>tbl_IO_List[[#This Row],[Chassis]]&amp;"S"&amp;tbl_IO_List[[#This Row],[Slot]]&amp;"-"&amp;tbl_IO_List[[#This Row],[Front Terminal Number]]</f>
        <v>C2S5-2</v>
      </c>
      <c r="AR360" s="141" t="s">
        <v>1865</v>
      </c>
      <c r="AS360" s="136" t="str">
        <f>tbl_IO_List[[#This Row],[Terminal Tagging]]&amp;"-"&amp;tbl_IO_List[[#This Row],[Point-Count]]</f>
        <v>P2-TBDI5-2</v>
      </c>
      <c r="AT360" s="136" t="str">
        <f>tbl_IO_List[[#This Row],[Front Terminal Tagging]]&amp;"/"&amp;tbl_IO_List[[#This Row],[Terminal Tagging-Item]]</f>
        <v>C2S5-2/P2-TBDI5-2</v>
      </c>
      <c r="AU360" s="136" t="str">
        <f>tbl_IO_List[[#This Row],[Terminal Tagging-Item]]&amp;"/"&amp;tbl_IO_List[[#This Row],[Front Terminal Tagging]]</f>
        <v>P2-TBDI5-2/C2S5-2</v>
      </c>
    </row>
    <row r="361" spans="1:47">
      <c r="A361" s="147" t="s">
        <v>1367</v>
      </c>
      <c r="B361" s="136" t="s">
        <v>270</v>
      </c>
      <c r="C361" s="136" t="str">
        <f>tbl_IO_List[[#This Row],[Column3]]</f>
        <v>C2S05,02</v>
      </c>
      <c r="D361" s="136" t="str">
        <f>tbl_IO_List[[#This Row],[Card]]</f>
        <v>1756-IB32-2</v>
      </c>
      <c r="E361" s="136" t="s">
        <v>1366</v>
      </c>
      <c r="F361" s="136" t="str">
        <f>tbl_IO_List[[#This Row],[Column23]]&amp;"-" &amp;tbl_IO_List[[#This Row],[Column52]]</f>
        <v>C2S05-X1</v>
      </c>
      <c r="G361" s="136" t="str">
        <f>tbl_IO_List[[#This Row],[PLC_Tag]]</f>
        <v>XV-60263_DI_1</v>
      </c>
      <c r="H361" s="136"/>
      <c r="I361" s="136" t="str">
        <f>VLOOKUP(tbl_IO_List[[#This Row],[Destination]],tbl_Junction[],2,FALSE)</f>
        <v>Spray Dryer 7th Floor</v>
      </c>
      <c r="J361" s="136" t="s">
        <v>270</v>
      </c>
      <c r="K361" s="136" t="s">
        <v>14</v>
      </c>
      <c r="L361" s="136" t="s">
        <v>1388</v>
      </c>
      <c r="M361" s="136" t="e">
        <f>VLOOKUP(tbl_IO_List[[#This Row],[Instruement Tag]],tbl_Instruement_List[],2,FALSE)</f>
        <v>#N/A</v>
      </c>
      <c r="N361" s="136" t="s">
        <v>95</v>
      </c>
      <c r="O361" s="136" t="s">
        <v>272</v>
      </c>
      <c r="P361" s="136" t="s">
        <v>18</v>
      </c>
      <c r="Q361" s="136" t="e">
        <f>VLOOKUP(tbl_IO_List[[#This Row],[Instruement Tag]],tbl_Instruement_List[],6,FALSE)</f>
        <v>#N/A</v>
      </c>
      <c r="R361" s="136"/>
      <c r="S36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61" s="136" t="str">
        <f>tbl_IO_List[[#This Row],[Instruement Tag]]&amp;"_"&amp;tbl_IO_List[[#This Row],[I/O Type]]&amp;"_"&amp;tbl_IO_List[[#This Row],[IO-Point 
(Instruement)]]</f>
        <v>XV-60263_DI_1</v>
      </c>
      <c r="U361" s="136" t="s">
        <v>8</v>
      </c>
      <c r="V361" s="136">
        <f>VLOOKUP(tbl_IO_List[[#This Row],[I/O Type]],tbl_Slot_Group[],2,FALSE)</f>
        <v>1</v>
      </c>
      <c r="W361" s="136">
        <v>1</v>
      </c>
      <c r="X361" s="136" t="str">
        <f>tbl_IO_List[[#This Row],[Chassis]]&amp;"S"&amp;TEXT(tbl_IO_List[[#This Row],[Slot]],"00")</f>
        <v>C2S05</v>
      </c>
      <c r="Y361" s="136" t="str">
        <f>tbl_IO_List[[#This Row],[Chassis]]&amp;"S"&amp;TEXT(tbl_IO_List[[#This Row],[Slot]],"00")&amp;tbl_IO_List[[#This Row],[I/O Type]]&amp;TEXT(tbl_IO_List[[#This Row],[Point]],"00")</f>
        <v>C2S05DI02</v>
      </c>
      <c r="Z361" s="136" t="str">
        <f>tbl_IO_List[[#This Row],[Chassis]]&amp;"S"&amp;TEXT(tbl_IO_List[[#This Row],[Slot]],"00")&amp;","&amp;TEXT(tbl_IO_List[[#This Row],[Point]],"00")</f>
        <v>C2S05,02</v>
      </c>
      <c r="AA361" s="136" t="str">
        <f>VLOOKUP(tbl_IO_List[[#This Row],[Column23]],tbl_RackConfig[],5,FALSE) &amp;"-"&amp;tbl_IO_List[[#This Row],[Point]]</f>
        <v>1756-IB32-2</v>
      </c>
      <c r="AB361" s="136"/>
      <c r="AC361" s="136"/>
      <c r="AD361" s="136" t="str">
        <f>tbl_IO_List[[#This Row],[I/O Type]]</f>
        <v>DI</v>
      </c>
      <c r="AE361" s="136" t="s">
        <v>1333</v>
      </c>
      <c r="AF361" s="136">
        <v>5</v>
      </c>
      <c r="AG361" s="136">
        <v>2</v>
      </c>
      <c r="AH361" s="136">
        <v>3</v>
      </c>
      <c r="AI361" s="136">
        <v>3</v>
      </c>
      <c r="AJ361" s="136">
        <v>2</v>
      </c>
      <c r="AK361" s="136">
        <v>1</v>
      </c>
      <c r="AL361" s="136">
        <v>0</v>
      </c>
      <c r="AM361" s="136">
        <v>0</v>
      </c>
      <c r="AN361" s="136">
        <v>0</v>
      </c>
      <c r="AO361" s="136"/>
      <c r="AP361" s="143" t="e">
        <f>VLOOKUP(tbl_IO_List[[#This Row],[Instruement Tag]],tbl_Instruement_List[],14,FALSE)</f>
        <v>#N/A</v>
      </c>
      <c r="AQ361" s="143" t="str">
        <f>tbl_IO_List[[#This Row],[Chassis]]&amp;"S"&amp;tbl_IO_List[[#This Row],[Slot]]&amp;"-"&amp;tbl_IO_List[[#This Row],[Front Terminal Number]]</f>
        <v>C2S5-3</v>
      </c>
      <c r="AR361" s="141" t="s">
        <v>1865</v>
      </c>
      <c r="AS361" s="136" t="str">
        <f>tbl_IO_List[[#This Row],[Terminal Tagging]]&amp;"-"&amp;tbl_IO_List[[#This Row],[Point-Count]]</f>
        <v>P2-TBDI5-3</v>
      </c>
      <c r="AT361" s="136" t="str">
        <f>tbl_IO_List[[#This Row],[Front Terminal Tagging]]&amp;"/"&amp;tbl_IO_List[[#This Row],[Terminal Tagging-Item]]</f>
        <v>C2S5-3/P2-TBDI5-3</v>
      </c>
      <c r="AU361" s="136" t="str">
        <f>tbl_IO_List[[#This Row],[Terminal Tagging-Item]]&amp;"/"&amp;tbl_IO_List[[#This Row],[Front Terminal Tagging]]</f>
        <v>P2-TBDI5-3/C2S5-3</v>
      </c>
    </row>
    <row r="362" spans="1:47">
      <c r="A362" s="147" t="s">
        <v>1367</v>
      </c>
      <c r="B362" s="136" t="s">
        <v>270</v>
      </c>
      <c r="C362" s="136" t="str">
        <f>tbl_IO_List[[#This Row],[Column3]]</f>
        <v>C2S05,03</v>
      </c>
      <c r="D362" s="136" t="str">
        <f>tbl_IO_List[[#This Row],[Card]]</f>
        <v>1756-IB32-3</v>
      </c>
      <c r="E362" s="136" t="s">
        <v>1366</v>
      </c>
      <c r="F362" s="136" t="str">
        <f>tbl_IO_List[[#This Row],[Column23]]&amp;"-" &amp;tbl_IO_List[[#This Row],[Column52]]</f>
        <v>C2S05-X1</v>
      </c>
      <c r="G362" s="136" t="str">
        <f>tbl_IO_List[[#This Row],[PLC_Tag]]</f>
        <v>XV-60263_DI_2</v>
      </c>
      <c r="H362" s="136"/>
      <c r="I362" s="136" t="str">
        <f>VLOOKUP(tbl_IO_List[[#This Row],[Destination]],tbl_Junction[],2,FALSE)</f>
        <v>Spray Dryer 7th Floor</v>
      </c>
      <c r="J362" s="136" t="s">
        <v>270</v>
      </c>
      <c r="K362" s="136" t="s">
        <v>14</v>
      </c>
      <c r="L362" s="136" t="s">
        <v>1388</v>
      </c>
      <c r="M362" s="136" t="e">
        <f>VLOOKUP(tbl_IO_List[[#This Row],[Instruement Tag]],tbl_Instruement_List[],2,FALSE)</f>
        <v>#N/A</v>
      </c>
      <c r="N362" s="136" t="s">
        <v>95</v>
      </c>
      <c r="O362" s="136" t="s">
        <v>272</v>
      </c>
      <c r="P362" s="136" t="s">
        <v>18</v>
      </c>
      <c r="Q362" s="136" t="e">
        <f>VLOOKUP(tbl_IO_List[[#This Row],[Instruement Tag]],tbl_Instruement_List[],6,FALSE)</f>
        <v>#N/A</v>
      </c>
      <c r="R362" s="136"/>
      <c r="S36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62" s="136" t="str">
        <f>tbl_IO_List[[#This Row],[Instruement Tag]]&amp;"_"&amp;tbl_IO_List[[#This Row],[I/O Type]]&amp;"_"&amp;tbl_IO_List[[#This Row],[IO-Point 
(Instruement)]]</f>
        <v>XV-60263_DI_2</v>
      </c>
      <c r="U362" s="136" t="s">
        <v>8</v>
      </c>
      <c r="V362" s="136">
        <f>VLOOKUP(tbl_IO_List[[#This Row],[I/O Type]],tbl_Slot_Group[],2,FALSE)</f>
        <v>1</v>
      </c>
      <c r="W362" s="136">
        <v>2</v>
      </c>
      <c r="X362" s="136" t="str">
        <f>tbl_IO_List[[#This Row],[Chassis]]&amp;"S"&amp;TEXT(tbl_IO_List[[#This Row],[Slot]],"00")</f>
        <v>C2S05</v>
      </c>
      <c r="Y362" s="136" t="str">
        <f>tbl_IO_List[[#This Row],[Chassis]]&amp;"S"&amp;TEXT(tbl_IO_List[[#This Row],[Slot]],"00")&amp;tbl_IO_List[[#This Row],[I/O Type]]&amp;TEXT(tbl_IO_List[[#This Row],[Point]],"00")</f>
        <v>C2S05DI03</v>
      </c>
      <c r="Z362" s="136" t="str">
        <f>tbl_IO_List[[#This Row],[Chassis]]&amp;"S"&amp;TEXT(tbl_IO_List[[#This Row],[Slot]],"00")&amp;","&amp;TEXT(tbl_IO_List[[#This Row],[Point]],"00")</f>
        <v>C2S05,03</v>
      </c>
      <c r="AA362" s="136" t="str">
        <f>VLOOKUP(tbl_IO_List[[#This Row],[Column23]],tbl_RackConfig[],5,FALSE) &amp;"-"&amp;tbl_IO_List[[#This Row],[Point]]</f>
        <v>1756-IB32-3</v>
      </c>
      <c r="AB362" s="136"/>
      <c r="AC362" s="136"/>
      <c r="AD362" s="136" t="str">
        <f>tbl_IO_List[[#This Row],[I/O Type]]</f>
        <v>DI</v>
      </c>
      <c r="AE362" s="136" t="s">
        <v>1333</v>
      </c>
      <c r="AF362" s="136">
        <v>5</v>
      </c>
      <c r="AG362" s="136">
        <v>3</v>
      </c>
      <c r="AH362" s="136">
        <v>4</v>
      </c>
      <c r="AI362" s="136">
        <v>4</v>
      </c>
      <c r="AJ362" s="136">
        <v>2</v>
      </c>
      <c r="AK362" s="136">
        <v>1</v>
      </c>
      <c r="AL362" s="136">
        <v>0</v>
      </c>
      <c r="AM362" s="136">
        <v>0</v>
      </c>
      <c r="AN362" s="136">
        <v>0</v>
      </c>
      <c r="AO362" s="136"/>
      <c r="AP362" s="143" t="e">
        <f>VLOOKUP(tbl_IO_List[[#This Row],[Instruement Tag]],tbl_Instruement_List[],14,FALSE)</f>
        <v>#N/A</v>
      </c>
      <c r="AQ362" s="143" t="str">
        <f>tbl_IO_List[[#This Row],[Chassis]]&amp;"S"&amp;tbl_IO_List[[#This Row],[Slot]]&amp;"-"&amp;tbl_IO_List[[#This Row],[Front Terminal Number]]</f>
        <v>C2S5-4</v>
      </c>
      <c r="AR362" s="141" t="s">
        <v>1865</v>
      </c>
      <c r="AS362" s="136" t="str">
        <f>tbl_IO_List[[#This Row],[Terminal Tagging]]&amp;"-"&amp;tbl_IO_List[[#This Row],[Point-Count]]</f>
        <v>P2-TBDI5-4</v>
      </c>
      <c r="AT362" s="136" t="str">
        <f>tbl_IO_List[[#This Row],[Front Terminal Tagging]]&amp;"/"&amp;tbl_IO_List[[#This Row],[Terminal Tagging-Item]]</f>
        <v>C2S5-4/P2-TBDI5-4</v>
      </c>
      <c r="AU362" s="136" t="str">
        <f>tbl_IO_List[[#This Row],[Terminal Tagging-Item]]&amp;"/"&amp;tbl_IO_List[[#This Row],[Front Terminal Tagging]]</f>
        <v>P2-TBDI5-4/C2S5-4</v>
      </c>
    </row>
    <row r="363" spans="1:47">
      <c r="A363" s="147" t="s">
        <v>1367</v>
      </c>
      <c r="B363" s="136" t="s">
        <v>270</v>
      </c>
      <c r="C363" s="136" t="str">
        <f>tbl_IO_List[[#This Row],[Column3]]</f>
        <v>C2S05,04</v>
      </c>
      <c r="D363" s="136" t="str">
        <f>tbl_IO_List[[#This Row],[Card]]</f>
        <v>1756-IB32-4</v>
      </c>
      <c r="E363" s="136" t="s">
        <v>1366</v>
      </c>
      <c r="F363" s="136" t="str">
        <f>tbl_IO_List[[#This Row],[Column23]]&amp;"-" &amp;tbl_IO_List[[#This Row],[Column52]]</f>
        <v>C2S05-X1</v>
      </c>
      <c r="G363" s="136" t="str">
        <f>tbl_IO_List[[#This Row],[PLC_Tag]]</f>
        <v>XV-60263FJ_DI_1</v>
      </c>
      <c r="H363" s="136"/>
      <c r="I363" s="136" t="str">
        <f>VLOOKUP(tbl_IO_List[[#This Row],[Destination]],tbl_Junction[],2,FALSE)</f>
        <v>Spray Dryer 7th Floor</v>
      </c>
      <c r="J363" s="136" t="s">
        <v>270</v>
      </c>
      <c r="K363" s="136" t="s">
        <v>14</v>
      </c>
      <c r="L363" s="136" t="s">
        <v>315</v>
      </c>
      <c r="M363" s="136">
        <f>VLOOKUP(tbl_IO_List[[#This Row],[Instruement Tag]],tbl_Instruement_List[],2,FALSE)</f>
        <v>0</v>
      </c>
      <c r="N363" s="136" t="s">
        <v>95</v>
      </c>
      <c r="O363" s="136" t="s">
        <v>272</v>
      </c>
      <c r="P363" s="136" t="s">
        <v>273</v>
      </c>
      <c r="Q363" s="136" t="str">
        <f>VLOOKUP(tbl_IO_List[[#This Row],[Instruement Tag]],tbl_Instruement_List[],6,FALSE)</f>
        <v>Feed Slurry On/Off Valve for Nozzle #9 (ATVM-11C)</v>
      </c>
      <c r="R363" s="136"/>
      <c r="S36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63" s="136" t="str">
        <f>tbl_IO_List[[#This Row],[Instruement Tag]]&amp;"_"&amp;tbl_IO_List[[#This Row],[I/O Type]]&amp;"_"&amp;tbl_IO_List[[#This Row],[IO-Point 
(Instruement)]]</f>
        <v>XV-60263FJ_DI_1</v>
      </c>
      <c r="U363" s="136" t="s">
        <v>8</v>
      </c>
      <c r="V363" s="136">
        <f>VLOOKUP(tbl_IO_List[[#This Row],[I/O Type]],tbl_Slot_Group[],2,FALSE)</f>
        <v>1</v>
      </c>
      <c r="W363" s="136">
        <v>1</v>
      </c>
      <c r="X363" s="136" t="str">
        <f>tbl_IO_List[[#This Row],[Chassis]]&amp;"S"&amp;TEXT(tbl_IO_List[[#This Row],[Slot]],"00")</f>
        <v>C2S05</v>
      </c>
      <c r="Y363" s="136" t="str">
        <f>tbl_IO_List[[#This Row],[Chassis]]&amp;"S"&amp;TEXT(tbl_IO_List[[#This Row],[Slot]],"00")&amp;tbl_IO_List[[#This Row],[I/O Type]]&amp;TEXT(tbl_IO_List[[#This Row],[Point]],"00")</f>
        <v>C2S05DI04</v>
      </c>
      <c r="Z363" s="136" t="str">
        <f>tbl_IO_List[[#This Row],[Chassis]]&amp;"S"&amp;TEXT(tbl_IO_List[[#This Row],[Slot]],"00")&amp;","&amp;TEXT(tbl_IO_List[[#This Row],[Point]],"00")</f>
        <v>C2S05,04</v>
      </c>
      <c r="AA363" s="136" t="str">
        <f>VLOOKUP(tbl_IO_List[[#This Row],[Column23]],tbl_RackConfig[],5,FALSE) &amp;"-"&amp;tbl_IO_List[[#This Row],[Point]]</f>
        <v>1756-IB32-4</v>
      </c>
      <c r="AB363" s="136"/>
      <c r="AC363" s="136"/>
      <c r="AD363" s="136" t="str">
        <f>tbl_IO_List[[#This Row],[I/O Type]]</f>
        <v>DI</v>
      </c>
      <c r="AE363" s="136" t="s">
        <v>1333</v>
      </c>
      <c r="AF363" s="136">
        <v>5</v>
      </c>
      <c r="AG363" s="136">
        <v>4</v>
      </c>
      <c r="AH363" s="136">
        <v>5</v>
      </c>
      <c r="AI363" s="136">
        <v>5</v>
      </c>
      <c r="AJ363" s="136">
        <v>2</v>
      </c>
      <c r="AK363" s="136">
        <v>1</v>
      </c>
      <c r="AL363" s="136">
        <v>0</v>
      </c>
      <c r="AM363" s="136">
        <v>0</v>
      </c>
      <c r="AN363" s="136">
        <v>0</v>
      </c>
      <c r="AO363" s="136"/>
      <c r="AP363" s="143" t="str">
        <f>VLOOKUP(tbl_IO_List[[#This Row],[Instruement Tag]],tbl_Instruement_List[],14,FALSE)</f>
        <v>24 VDC energized,Dry Contact</v>
      </c>
      <c r="AQ363" s="143" t="str">
        <f>tbl_IO_List[[#This Row],[Chassis]]&amp;"S"&amp;tbl_IO_List[[#This Row],[Slot]]&amp;"-"&amp;tbl_IO_List[[#This Row],[Front Terminal Number]]</f>
        <v>C2S5-5</v>
      </c>
      <c r="AR363" s="141" t="s">
        <v>1865</v>
      </c>
      <c r="AS363" s="136" t="str">
        <f>tbl_IO_List[[#This Row],[Terminal Tagging]]&amp;"-"&amp;tbl_IO_List[[#This Row],[Point-Count]]</f>
        <v>P2-TBDI5-5</v>
      </c>
      <c r="AT363" s="136" t="str">
        <f>tbl_IO_List[[#This Row],[Front Terminal Tagging]]&amp;"/"&amp;tbl_IO_List[[#This Row],[Terminal Tagging-Item]]</f>
        <v>C2S5-5/P2-TBDI5-5</v>
      </c>
      <c r="AU363" s="136" t="str">
        <f>tbl_IO_List[[#This Row],[Terminal Tagging-Item]]&amp;"/"&amp;tbl_IO_List[[#This Row],[Front Terminal Tagging]]</f>
        <v>P2-TBDI5-5/C2S5-5</v>
      </c>
    </row>
    <row r="364" spans="1:47">
      <c r="A364" s="147" t="s">
        <v>1367</v>
      </c>
      <c r="B364" s="136" t="s">
        <v>270</v>
      </c>
      <c r="C364" s="136" t="str">
        <f>tbl_IO_List[[#This Row],[Column3]]</f>
        <v>C2S05,05</v>
      </c>
      <c r="D364" s="136" t="str">
        <f>tbl_IO_List[[#This Row],[Card]]</f>
        <v>1756-IB32-5</v>
      </c>
      <c r="E364" s="136" t="s">
        <v>1366</v>
      </c>
      <c r="F364" s="136" t="str">
        <f>tbl_IO_List[[#This Row],[Column23]]&amp;"-" &amp;tbl_IO_List[[#This Row],[Column52]]</f>
        <v>C2S05-X1</v>
      </c>
      <c r="G364" s="136" t="str">
        <f>tbl_IO_List[[#This Row],[PLC_Tag]]</f>
        <v>XV-60263FJ_DI_2</v>
      </c>
      <c r="H364" s="136"/>
      <c r="I364" s="136" t="str">
        <f>VLOOKUP(tbl_IO_List[[#This Row],[Destination]],tbl_Junction[],2,FALSE)</f>
        <v>Spray Dryer 7th Floor</v>
      </c>
      <c r="J364" s="136" t="s">
        <v>270</v>
      </c>
      <c r="K364" s="136" t="s">
        <v>14</v>
      </c>
      <c r="L364" s="136" t="s">
        <v>315</v>
      </c>
      <c r="M364" s="136">
        <f>VLOOKUP(tbl_IO_List[[#This Row],[Instruement Tag]],tbl_Instruement_List[],2,FALSE)</f>
        <v>0</v>
      </c>
      <c r="N364" s="136" t="s">
        <v>95</v>
      </c>
      <c r="O364" s="136" t="s">
        <v>272</v>
      </c>
      <c r="P364" s="136" t="s">
        <v>273</v>
      </c>
      <c r="Q364" s="136" t="str">
        <f>VLOOKUP(tbl_IO_List[[#This Row],[Instruement Tag]],tbl_Instruement_List[],6,FALSE)</f>
        <v>Feed Slurry On/Off Valve for Nozzle #9 (ATVM-11C)</v>
      </c>
      <c r="R364" s="136"/>
      <c r="S36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64" s="136" t="str">
        <f>tbl_IO_List[[#This Row],[Instruement Tag]]&amp;"_"&amp;tbl_IO_List[[#This Row],[I/O Type]]&amp;"_"&amp;tbl_IO_List[[#This Row],[IO-Point 
(Instruement)]]</f>
        <v>XV-60263FJ_DI_2</v>
      </c>
      <c r="U364" s="136" t="s">
        <v>8</v>
      </c>
      <c r="V364" s="136">
        <f>VLOOKUP(tbl_IO_List[[#This Row],[I/O Type]],tbl_Slot_Group[],2,FALSE)</f>
        <v>1</v>
      </c>
      <c r="W364" s="136">
        <v>2</v>
      </c>
      <c r="X364" s="136" t="str">
        <f>tbl_IO_List[[#This Row],[Chassis]]&amp;"S"&amp;TEXT(tbl_IO_List[[#This Row],[Slot]],"00")</f>
        <v>C2S05</v>
      </c>
      <c r="Y364" s="136" t="str">
        <f>tbl_IO_List[[#This Row],[Chassis]]&amp;"S"&amp;TEXT(tbl_IO_List[[#This Row],[Slot]],"00")&amp;tbl_IO_List[[#This Row],[I/O Type]]&amp;TEXT(tbl_IO_List[[#This Row],[Point]],"00")</f>
        <v>C2S05DI05</v>
      </c>
      <c r="Z364" s="136" t="str">
        <f>tbl_IO_List[[#This Row],[Chassis]]&amp;"S"&amp;TEXT(tbl_IO_List[[#This Row],[Slot]],"00")&amp;","&amp;TEXT(tbl_IO_List[[#This Row],[Point]],"00")</f>
        <v>C2S05,05</v>
      </c>
      <c r="AA364" s="136" t="str">
        <f>VLOOKUP(tbl_IO_List[[#This Row],[Column23]],tbl_RackConfig[],5,FALSE) &amp;"-"&amp;tbl_IO_List[[#This Row],[Point]]</f>
        <v>1756-IB32-5</v>
      </c>
      <c r="AB364" s="136"/>
      <c r="AC364" s="136"/>
      <c r="AD364" s="136" t="str">
        <f>tbl_IO_List[[#This Row],[I/O Type]]</f>
        <v>DI</v>
      </c>
      <c r="AE364" s="136" t="s">
        <v>1333</v>
      </c>
      <c r="AF364" s="136">
        <v>5</v>
      </c>
      <c r="AG364" s="136">
        <v>5</v>
      </c>
      <c r="AH364" s="136">
        <v>6</v>
      </c>
      <c r="AI364" s="136">
        <v>6</v>
      </c>
      <c r="AJ364" s="136">
        <v>2</v>
      </c>
      <c r="AK364" s="136">
        <v>1</v>
      </c>
      <c r="AL364" s="136">
        <v>0</v>
      </c>
      <c r="AM364" s="136">
        <v>0</v>
      </c>
      <c r="AN364" s="136">
        <v>0</v>
      </c>
      <c r="AO364" s="136"/>
      <c r="AP364" s="143" t="str">
        <f>VLOOKUP(tbl_IO_List[[#This Row],[Instruement Tag]],tbl_Instruement_List[],14,FALSE)</f>
        <v>24 VDC energized,Dry Contact</v>
      </c>
      <c r="AQ364" s="143" t="str">
        <f>tbl_IO_List[[#This Row],[Chassis]]&amp;"S"&amp;tbl_IO_List[[#This Row],[Slot]]&amp;"-"&amp;tbl_IO_List[[#This Row],[Front Terminal Number]]</f>
        <v>C2S5-6</v>
      </c>
      <c r="AR364" s="141" t="s">
        <v>1865</v>
      </c>
      <c r="AS364" s="136" t="str">
        <f>tbl_IO_List[[#This Row],[Terminal Tagging]]&amp;"-"&amp;tbl_IO_List[[#This Row],[Point-Count]]</f>
        <v>P2-TBDI5-6</v>
      </c>
      <c r="AT364" s="136" t="str">
        <f>tbl_IO_List[[#This Row],[Front Terminal Tagging]]&amp;"/"&amp;tbl_IO_List[[#This Row],[Terminal Tagging-Item]]</f>
        <v>C2S5-6/P2-TBDI5-6</v>
      </c>
      <c r="AU364" s="136" t="str">
        <f>tbl_IO_List[[#This Row],[Terminal Tagging-Item]]&amp;"/"&amp;tbl_IO_List[[#This Row],[Front Terminal Tagging]]</f>
        <v>P2-TBDI5-6/C2S5-6</v>
      </c>
    </row>
    <row r="365" spans="1:47">
      <c r="A365" s="147" t="s">
        <v>1367</v>
      </c>
      <c r="B365" s="136" t="s">
        <v>270</v>
      </c>
      <c r="C365" s="136" t="str">
        <f>tbl_IO_List[[#This Row],[Column3]]</f>
        <v>C2S05,06</v>
      </c>
      <c r="D365" s="136" t="str">
        <f>tbl_IO_List[[#This Row],[Card]]</f>
        <v>1756-IB32-6</v>
      </c>
      <c r="E365" s="136" t="s">
        <v>1366</v>
      </c>
      <c r="F365" s="136" t="str">
        <f>tbl_IO_List[[#This Row],[Column23]]&amp;"-" &amp;tbl_IO_List[[#This Row],[Column52]]</f>
        <v>C2S05-X1</v>
      </c>
      <c r="G365" s="136" t="str">
        <f>tbl_IO_List[[#This Row],[PLC_Tag]]</f>
        <v>XV-60263FK_DI_1</v>
      </c>
      <c r="H365" s="136"/>
      <c r="I365" s="136" t="str">
        <f>VLOOKUP(tbl_IO_List[[#This Row],[Destination]],tbl_Junction[],2,FALSE)</f>
        <v>Spray Dryer 7th Floor</v>
      </c>
      <c r="J365" s="136" t="s">
        <v>270</v>
      </c>
      <c r="K365" s="136" t="s">
        <v>14</v>
      </c>
      <c r="L365" s="136" t="s">
        <v>316</v>
      </c>
      <c r="M365" s="136">
        <f>VLOOKUP(tbl_IO_List[[#This Row],[Instruement Tag]],tbl_Instruement_List[],2,FALSE)</f>
        <v>0</v>
      </c>
      <c r="N365" s="136" t="s">
        <v>95</v>
      </c>
      <c r="O365" s="136" t="s">
        <v>272</v>
      </c>
      <c r="P365" s="136" t="s">
        <v>273</v>
      </c>
      <c r="Q365" s="136" t="str">
        <f>VLOOKUP(tbl_IO_List[[#This Row],[Instruement Tag]],tbl_Instruement_List[],6,FALSE)</f>
        <v>Feed Slurry On/Off Valve for Nozzle #10 (ATVM-11C)</v>
      </c>
      <c r="R365" s="136"/>
      <c r="S36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65" s="136" t="str">
        <f>tbl_IO_List[[#This Row],[Instruement Tag]]&amp;"_"&amp;tbl_IO_List[[#This Row],[I/O Type]]&amp;"_"&amp;tbl_IO_List[[#This Row],[IO-Point 
(Instruement)]]</f>
        <v>XV-60263FK_DI_1</v>
      </c>
      <c r="U365" s="136" t="s">
        <v>8</v>
      </c>
      <c r="V365" s="136">
        <f>VLOOKUP(tbl_IO_List[[#This Row],[I/O Type]],tbl_Slot_Group[],2,FALSE)</f>
        <v>1</v>
      </c>
      <c r="W365" s="136">
        <v>1</v>
      </c>
      <c r="X365" s="136" t="str">
        <f>tbl_IO_List[[#This Row],[Chassis]]&amp;"S"&amp;TEXT(tbl_IO_List[[#This Row],[Slot]],"00")</f>
        <v>C2S05</v>
      </c>
      <c r="Y365" s="136" t="str">
        <f>tbl_IO_List[[#This Row],[Chassis]]&amp;"S"&amp;TEXT(tbl_IO_List[[#This Row],[Slot]],"00")&amp;tbl_IO_List[[#This Row],[I/O Type]]&amp;TEXT(tbl_IO_List[[#This Row],[Point]],"00")</f>
        <v>C2S05DI06</v>
      </c>
      <c r="Z365" s="136" t="str">
        <f>tbl_IO_List[[#This Row],[Chassis]]&amp;"S"&amp;TEXT(tbl_IO_List[[#This Row],[Slot]],"00")&amp;","&amp;TEXT(tbl_IO_List[[#This Row],[Point]],"00")</f>
        <v>C2S05,06</v>
      </c>
      <c r="AA365" s="136" t="str">
        <f>VLOOKUP(tbl_IO_List[[#This Row],[Column23]],tbl_RackConfig[],5,FALSE) &amp;"-"&amp;tbl_IO_List[[#This Row],[Point]]</f>
        <v>1756-IB32-6</v>
      </c>
      <c r="AB365" s="136"/>
      <c r="AC365" s="136"/>
      <c r="AD365" s="136" t="str">
        <f>tbl_IO_List[[#This Row],[I/O Type]]</f>
        <v>DI</v>
      </c>
      <c r="AE365" s="136" t="s">
        <v>1333</v>
      </c>
      <c r="AF365" s="136">
        <v>5</v>
      </c>
      <c r="AG365" s="136">
        <v>6</v>
      </c>
      <c r="AH365" s="136">
        <v>7</v>
      </c>
      <c r="AI365" s="136">
        <v>7</v>
      </c>
      <c r="AJ365" s="136">
        <v>2</v>
      </c>
      <c r="AK365" s="136">
        <v>1</v>
      </c>
      <c r="AL365" s="136">
        <v>0</v>
      </c>
      <c r="AM365" s="136">
        <v>0</v>
      </c>
      <c r="AN365" s="136">
        <v>0</v>
      </c>
      <c r="AO365" s="136"/>
      <c r="AP365" s="143" t="str">
        <f>VLOOKUP(tbl_IO_List[[#This Row],[Instruement Tag]],tbl_Instruement_List[],14,FALSE)</f>
        <v>24 VDC energized,Dry Contact</v>
      </c>
      <c r="AQ365" s="143" t="str">
        <f>tbl_IO_List[[#This Row],[Chassis]]&amp;"S"&amp;tbl_IO_List[[#This Row],[Slot]]&amp;"-"&amp;tbl_IO_List[[#This Row],[Front Terminal Number]]</f>
        <v>C2S5-7</v>
      </c>
      <c r="AR365" s="141" t="s">
        <v>1865</v>
      </c>
      <c r="AS365" s="136" t="str">
        <f>tbl_IO_List[[#This Row],[Terminal Tagging]]&amp;"-"&amp;tbl_IO_List[[#This Row],[Point-Count]]</f>
        <v>P2-TBDI5-7</v>
      </c>
      <c r="AT365" s="136" t="str">
        <f>tbl_IO_List[[#This Row],[Front Terminal Tagging]]&amp;"/"&amp;tbl_IO_List[[#This Row],[Terminal Tagging-Item]]</f>
        <v>C2S5-7/P2-TBDI5-7</v>
      </c>
      <c r="AU365" s="136" t="str">
        <f>tbl_IO_List[[#This Row],[Terminal Tagging-Item]]&amp;"/"&amp;tbl_IO_List[[#This Row],[Front Terminal Tagging]]</f>
        <v>P2-TBDI5-7/C2S5-7</v>
      </c>
    </row>
    <row r="366" spans="1:47">
      <c r="A366" s="147" t="s">
        <v>1367</v>
      </c>
      <c r="B366" s="136" t="s">
        <v>270</v>
      </c>
      <c r="C366" s="136" t="str">
        <f>tbl_IO_List[[#This Row],[Column3]]</f>
        <v>C2S05,07</v>
      </c>
      <c r="D366" s="136" t="str">
        <f>tbl_IO_List[[#This Row],[Card]]</f>
        <v>1756-IB32-7</v>
      </c>
      <c r="E366" s="136" t="s">
        <v>1366</v>
      </c>
      <c r="F366" s="136" t="str">
        <f>tbl_IO_List[[#This Row],[Column23]]&amp;"-" &amp;tbl_IO_List[[#This Row],[Column52]]</f>
        <v>C2S05-X1</v>
      </c>
      <c r="G366" s="136" t="str">
        <f>tbl_IO_List[[#This Row],[PLC_Tag]]</f>
        <v>XV-60263FK_DI_2</v>
      </c>
      <c r="H366" s="136"/>
      <c r="I366" s="136" t="str">
        <f>VLOOKUP(tbl_IO_List[[#This Row],[Destination]],tbl_Junction[],2,FALSE)</f>
        <v>Spray Dryer 7th Floor</v>
      </c>
      <c r="J366" s="136" t="s">
        <v>270</v>
      </c>
      <c r="K366" s="136" t="s">
        <v>14</v>
      </c>
      <c r="L366" s="136" t="s">
        <v>316</v>
      </c>
      <c r="M366" s="136">
        <f>VLOOKUP(tbl_IO_List[[#This Row],[Instruement Tag]],tbl_Instruement_List[],2,FALSE)</f>
        <v>0</v>
      </c>
      <c r="N366" s="136" t="s">
        <v>95</v>
      </c>
      <c r="O366" s="136" t="s">
        <v>272</v>
      </c>
      <c r="P366" s="136" t="s">
        <v>273</v>
      </c>
      <c r="Q366" s="136" t="str">
        <f>VLOOKUP(tbl_IO_List[[#This Row],[Instruement Tag]],tbl_Instruement_List[],6,FALSE)</f>
        <v>Feed Slurry On/Off Valve for Nozzle #10 (ATVM-11C)</v>
      </c>
      <c r="R366" s="136"/>
      <c r="S36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66" s="136" t="str">
        <f>tbl_IO_List[[#This Row],[Instruement Tag]]&amp;"_"&amp;tbl_IO_List[[#This Row],[I/O Type]]&amp;"_"&amp;tbl_IO_List[[#This Row],[IO-Point 
(Instruement)]]</f>
        <v>XV-60263FK_DI_2</v>
      </c>
      <c r="U366" s="136" t="s">
        <v>8</v>
      </c>
      <c r="V366" s="136">
        <f>VLOOKUP(tbl_IO_List[[#This Row],[I/O Type]],tbl_Slot_Group[],2,FALSE)</f>
        <v>1</v>
      </c>
      <c r="W366" s="136">
        <v>2</v>
      </c>
      <c r="X366" s="136" t="str">
        <f>tbl_IO_List[[#This Row],[Chassis]]&amp;"S"&amp;TEXT(tbl_IO_List[[#This Row],[Slot]],"00")</f>
        <v>C2S05</v>
      </c>
      <c r="Y366" s="136" t="str">
        <f>tbl_IO_List[[#This Row],[Chassis]]&amp;"S"&amp;TEXT(tbl_IO_List[[#This Row],[Slot]],"00")&amp;tbl_IO_List[[#This Row],[I/O Type]]&amp;TEXT(tbl_IO_List[[#This Row],[Point]],"00")</f>
        <v>C2S05DI07</v>
      </c>
      <c r="Z366" s="136" t="str">
        <f>tbl_IO_List[[#This Row],[Chassis]]&amp;"S"&amp;TEXT(tbl_IO_List[[#This Row],[Slot]],"00")&amp;","&amp;TEXT(tbl_IO_List[[#This Row],[Point]],"00")</f>
        <v>C2S05,07</v>
      </c>
      <c r="AA366" s="136" t="str">
        <f>VLOOKUP(tbl_IO_List[[#This Row],[Column23]],tbl_RackConfig[],5,FALSE) &amp;"-"&amp;tbl_IO_List[[#This Row],[Point]]</f>
        <v>1756-IB32-7</v>
      </c>
      <c r="AB366" s="136"/>
      <c r="AC366" s="136"/>
      <c r="AD366" s="136" t="str">
        <f>tbl_IO_List[[#This Row],[I/O Type]]</f>
        <v>DI</v>
      </c>
      <c r="AE366" s="136" t="s">
        <v>1333</v>
      </c>
      <c r="AF366" s="136">
        <v>5</v>
      </c>
      <c r="AG366" s="136">
        <v>7</v>
      </c>
      <c r="AH366" s="136">
        <v>8</v>
      </c>
      <c r="AI366" s="136">
        <v>8</v>
      </c>
      <c r="AJ366" s="136">
        <v>2</v>
      </c>
      <c r="AK366" s="136">
        <v>1</v>
      </c>
      <c r="AL366" s="136">
        <v>0</v>
      </c>
      <c r="AM366" s="136">
        <v>0</v>
      </c>
      <c r="AN366" s="136">
        <v>0</v>
      </c>
      <c r="AO366" s="136"/>
      <c r="AP366" s="143" t="str">
        <f>VLOOKUP(tbl_IO_List[[#This Row],[Instruement Tag]],tbl_Instruement_List[],14,FALSE)</f>
        <v>24 VDC energized,Dry Contact</v>
      </c>
      <c r="AQ366" s="143" t="str">
        <f>tbl_IO_List[[#This Row],[Chassis]]&amp;"S"&amp;tbl_IO_List[[#This Row],[Slot]]&amp;"-"&amp;tbl_IO_List[[#This Row],[Front Terminal Number]]</f>
        <v>C2S5-8</v>
      </c>
      <c r="AR366" s="141" t="s">
        <v>1865</v>
      </c>
      <c r="AS366" s="136" t="str">
        <f>tbl_IO_List[[#This Row],[Terminal Tagging]]&amp;"-"&amp;tbl_IO_List[[#This Row],[Point-Count]]</f>
        <v>P2-TBDI5-8</v>
      </c>
      <c r="AT366" s="136" t="str">
        <f>tbl_IO_List[[#This Row],[Front Terminal Tagging]]&amp;"/"&amp;tbl_IO_List[[#This Row],[Terminal Tagging-Item]]</f>
        <v>C2S5-8/P2-TBDI5-8</v>
      </c>
      <c r="AU366" s="136" t="str">
        <f>tbl_IO_List[[#This Row],[Terminal Tagging-Item]]&amp;"/"&amp;tbl_IO_List[[#This Row],[Front Terminal Tagging]]</f>
        <v>P2-TBDI5-8/C2S5-8</v>
      </c>
    </row>
    <row r="367" spans="1:47">
      <c r="A367" s="147" t="s">
        <v>1367</v>
      </c>
      <c r="B367" s="136" t="s">
        <v>270</v>
      </c>
      <c r="C367" s="136" t="str">
        <f>tbl_IO_List[[#This Row],[Column3]]</f>
        <v>C2S05,08</v>
      </c>
      <c r="D367" s="136" t="str">
        <f>tbl_IO_List[[#This Row],[Card]]</f>
        <v>1756-IB32-8</v>
      </c>
      <c r="E367" s="136" t="s">
        <v>1366</v>
      </c>
      <c r="F367" s="136" t="str">
        <f>tbl_IO_List[[#This Row],[Column23]]&amp;"-" &amp;tbl_IO_List[[#This Row],[Column52]]</f>
        <v>C2S05-X1</v>
      </c>
      <c r="G367" s="136" t="str">
        <f>tbl_IO_List[[#This Row],[PLC_Tag]]</f>
        <v>XV-60263FL_DI_1</v>
      </c>
      <c r="H367" s="136"/>
      <c r="I367" s="136" t="str">
        <f>VLOOKUP(tbl_IO_List[[#This Row],[Destination]],tbl_Junction[],2,FALSE)</f>
        <v>Spray Dryer 7th Floor</v>
      </c>
      <c r="J367" s="136" t="s">
        <v>270</v>
      </c>
      <c r="K367" s="136" t="s">
        <v>14</v>
      </c>
      <c r="L367" s="136" t="s">
        <v>317</v>
      </c>
      <c r="M367" s="136">
        <f>VLOOKUP(tbl_IO_List[[#This Row],[Instruement Tag]],tbl_Instruement_List[],2,FALSE)</f>
        <v>0</v>
      </c>
      <c r="N367" s="136" t="s">
        <v>95</v>
      </c>
      <c r="O367" s="136" t="s">
        <v>272</v>
      </c>
      <c r="P367" s="136" t="s">
        <v>273</v>
      </c>
      <c r="Q367" s="136" t="str">
        <f>VLOOKUP(tbl_IO_List[[#This Row],[Instruement Tag]],tbl_Instruement_List[],6,FALSE)</f>
        <v>Feed Slurry On/Off Valve for Nozzle #11 (ATVM-11C)</v>
      </c>
      <c r="R367" s="136"/>
      <c r="S36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67" s="136" t="str">
        <f>tbl_IO_List[[#This Row],[Instruement Tag]]&amp;"_"&amp;tbl_IO_List[[#This Row],[I/O Type]]&amp;"_"&amp;tbl_IO_List[[#This Row],[IO-Point 
(Instruement)]]</f>
        <v>XV-60263FL_DI_1</v>
      </c>
      <c r="U367" s="136" t="s">
        <v>8</v>
      </c>
      <c r="V367" s="136">
        <f>VLOOKUP(tbl_IO_List[[#This Row],[I/O Type]],tbl_Slot_Group[],2,FALSE)</f>
        <v>1</v>
      </c>
      <c r="W367" s="136">
        <v>1</v>
      </c>
      <c r="X367" s="136" t="str">
        <f>tbl_IO_List[[#This Row],[Chassis]]&amp;"S"&amp;TEXT(tbl_IO_List[[#This Row],[Slot]],"00")</f>
        <v>C2S05</v>
      </c>
      <c r="Y367" s="136" t="str">
        <f>tbl_IO_List[[#This Row],[Chassis]]&amp;"S"&amp;TEXT(tbl_IO_List[[#This Row],[Slot]],"00")&amp;tbl_IO_List[[#This Row],[I/O Type]]&amp;TEXT(tbl_IO_List[[#This Row],[Point]],"00")</f>
        <v>C2S05DI08</v>
      </c>
      <c r="Z367" s="136" t="str">
        <f>tbl_IO_List[[#This Row],[Chassis]]&amp;"S"&amp;TEXT(tbl_IO_List[[#This Row],[Slot]],"00")&amp;","&amp;TEXT(tbl_IO_List[[#This Row],[Point]],"00")</f>
        <v>C2S05,08</v>
      </c>
      <c r="AA367" s="136" t="str">
        <f>VLOOKUP(tbl_IO_List[[#This Row],[Column23]],tbl_RackConfig[],5,FALSE) &amp;"-"&amp;tbl_IO_List[[#This Row],[Point]]</f>
        <v>1756-IB32-8</v>
      </c>
      <c r="AB367" s="136"/>
      <c r="AC367" s="136"/>
      <c r="AD367" s="136" t="str">
        <f>tbl_IO_List[[#This Row],[I/O Type]]</f>
        <v>DI</v>
      </c>
      <c r="AE367" s="136" t="s">
        <v>1333</v>
      </c>
      <c r="AF367" s="136">
        <v>5</v>
      </c>
      <c r="AG367" s="136">
        <v>8</v>
      </c>
      <c r="AH367" s="136">
        <v>9</v>
      </c>
      <c r="AI367" s="136">
        <v>9</v>
      </c>
      <c r="AJ367" s="136">
        <v>2</v>
      </c>
      <c r="AK367" s="136">
        <v>1</v>
      </c>
      <c r="AL367" s="136">
        <v>0</v>
      </c>
      <c r="AM367" s="136">
        <v>0</v>
      </c>
      <c r="AN367" s="136">
        <v>0</v>
      </c>
      <c r="AO367" s="136"/>
      <c r="AP367" s="143" t="str">
        <f>VLOOKUP(tbl_IO_List[[#This Row],[Instruement Tag]],tbl_Instruement_List[],14,FALSE)</f>
        <v>24 VDC energized,Dry Contact</v>
      </c>
      <c r="AQ367" s="143" t="str">
        <f>tbl_IO_List[[#This Row],[Chassis]]&amp;"S"&amp;tbl_IO_List[[#This Row],[Slot]]&amp;"-"&amp;tbl_IO_List[[#This Row],[Front Terminal Number]]</f>
        <v>C2S5-9</v>
      </c>
      <c r="AR367" s="141" t="s">
        <v>1865</v>
      </c>
      <c r="AS367" s="136" t="str">
        <f>tbl_IO_List[[#This Row],[Terminal Tagging]]&amp;"-"&amp;tbl_IO_List[[#This Row],[Point-Count]]</f>
        <v>P2-TBDI5-9</v>
      </c>
      <c r="AT367" s="136" t="str">
        <f>tbl_IO_List[[#This Row],[Front Terminal Tagging]]&amp;"/"&amp;tbl_IO_List[[#This Row],[Terminal Tagging-Item]]</f>
        <v>C2S5-9/P2-TBDI5-9</v>
      </c>
      <c r="AU367" s="136" t="str">
        <f>tbl_IO_List[[#This Row],[Terminal Tagging-Item]]&amp;"/"&amp;tbl_IO_List[[#This Row],[Front Terminal Tagging]]</f>
        <v>P2-TBDI5-9/C2S5-9</v>
      </c>
    </row>
    <row r="368" spans="1:47">
      <c r="A368" s="147" t="s">
        <v>1367</v>
      </c>
      <c r="B368" s="136" t="s">
        <v>270</v>
      </c>
      <c r="C368" s="136" t="str">
        <f>tbl_IO_List[[#This Row],[Column3]]</f>
        <v>C2S05,09</v>
      </c>
      <c r="D368" s="136" t="str">
        <f>tbl_IO_List[[#This Row],[Card]]</f>
        <v>1756-IB32-9</v>
      </c>
      <c r="E368" s="136" t="s">
        <v>1366</v>
      </c>
      <c r="F368" s="136" t="str">
        <f>tbl_IO_List[[#This Row],[Column23]]&amp;"-" &amp;tbl_IO_List[[#This Row],[Column52]]</f>
        <v>C2S05-X1</v>
      </c>
      <c r="G368" s="136" t="str">
        <f>tbl_IO_List[[#This Row],[PLC_Tag]]</f>
        <v>XV-60263FL_DI_2</v>
      </c>
      <c r="H368" s="136"/>
      <c r="I368" s="136" t="str">
        <f>VLOOKUP(tbl_IO_List[[#This Row],[Destination]],tbl_Junction[],2,FALSE)</f>
        <v>Spray Dryer 7th Floor</v>
      </c>
      <c r="J368" s="136" t="s">
        <v>270</v>
      </c>
      <c r="K368" s="136" t="s">
        <v>14</v>
      </c>
      <c r="L368" s="136" t="s">
        <v>317</v>
      </c>
      <c r="M368" s="136">
        <f>VLOOKUP(tbl_IO_List[[#This Row],[Instruement Tag]],tbl_Instruement_List[],2,FALSE)</f>
        <v>0</v>
      </c>
      <c r="N368" s="136" t="s">
        <v>95</v>
      </c>
      <c r="O368" s="136" t="s">
        <v>272</v>
      </c>
      <c r="P368" s="136" t="s">
        <v>273</v>
      </c>
      <c r="Q368" s="136" t="str">
        <f>VLOOKUP(tbl_IO_List[[#This Row],[Instruement Tag]],tbl_Instruement_List[],6,FALSE)</f>
        <v>Feed Slurry On/Off Valve for Nozzle #11 (ATVM-11C)</v>
      </c>
      <c r="R368" s="136"/>
      <c r="S36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68" s="136" t="str">
        <f>tbl_IO_List[[#This Row],[Instruement Tag]]&amp;"_"&amp;tbl_IO_List[[#This Row],[I/O Type]]&amp;"_"&amp;tbl_IO_List[[#This Row],[IO-Point 
(Instruement)]]</f>
        <v>XV-60263FL_DI_2</v>
      </c>
      <c r="U368" s="136" t="s">
        <v>8</v>
      </c>
      <c r="V368" s="136">
        <f>VLOOKUP(tbl_IO_List[[#This Row],[I/O Type]],tbl_Slot_Group[],2,FALSE)</f>
        <v>1</v>
      </c>
      <c r="W368" s="136">
        <v>2</v>
      </c>
      <c r="X368" s="136" t="str">
        <f>tbl_IO_List[[#This Row],[Chassis]]&amp;"S"&amp;TEXT(tbl_IO_List[[#This Row],[Slot]],"00")</f>
        <v>C2S05</v>
      </c>
      <c r="Y368" s="136" t="str">
        <f>tbl_IO_List[[#This Row],[Chassis]]&amp;"S"&amp;TEXT(tbl_IO_List[[#This Row],[Slot]],"00")&amp;tbl_IO_List[[#This Row],[I/O Type]]&amp;TEXT(tbl_IO_List[[#This Row],[Point]],"00")</f>
        <v>C2S05DI09</v>
      </c>
      <c r="Z368" s="136" t="str">
        <f>tbl_IO_List[[#This Row],[Chassis]]&amp;"S"&amp;TEXT(tbl_IO_List[[#This Row],[Slot]],"00")&amp;","&amp;TEXT(tbl_IO_List[[#This Row],[Point]],"00")</f>
        <v>C2S05,09</v>
      </c>
      <c r="AA368" s="136" t="str">
        <f>VLOOKUP(tbl_IO_List[[#This Row],[Column23]],tbl_RackConfig[],5,FALSE) &amp;"-"&amp;tbl_IO_List[[#This Row],[Point]]</f>
        <v>1756-IB32-9</v>
      </c>
      <c r="AB368" s="136"/>
      <c r="AC368" s="136"/>
      <c r="AD368" s="136" t="str">
        <f>tbl_IO_List[[#This Row],[I/O Type]]</f>
        <v>DI</v>
      </c>
      <c r="AE368" s="136" t="s">
        <v>1333</v>
      </c>
      <c r="AF368" s="136">
        <v>5</v>
      </c>
      <c r="AG368" s="136">
        <v>9</v>
      </c>
      <c r="AH368" s="136">
        <v>10</v>
      </c>
      <c r="AI368" s="136">
        <v>10</v>
      </c>
      <c r="AJ368" s="136">
        <v>2</v>
      </c>
      <c r="AK368" s="136">
        <v>1</v>
      </c>
      <c r="AL368" s="136">
        <v>0</v>
      </c>
      <c r="AM368" s="136">
        <v>0</v>
      </c>
      <c r="AN368" s="136">
        <v>0</v>
      </c>
      <c r="AO368" s="136"/>
      <c r="AP368" s="143" t="str">
        <f>VLOOKUP(tbl_IO_List[[#This Row],[Instruement Tag]],tbl_Instruement_List[],14,FALSE)</f>
        <v>24 VDC energized,Dry Contact</v>
      </c>
      <c r="AQ368" s="143" t="str">
        <f>tbl_IO_List[[#This Row],[Chassis]]&amp;"S"&amp;tbl_IO_List[[#This Row],[Slot]]&amp;"-"&amp;tbl_IO_List[[#This Row],[Front Terminal Number]]</f>
        <v>C2S5-10</v>
      </c>
      <c r="AR368" s="141" t="s">
        <v>1865</v>
      </c>
      <c r="AS368" s="136" t="str">
        <f>tbl_IO_List[[#This Row],[Terminal Tagging]]&amp;"-"&amp;tbl_IO_List[[#This Row],[Point-Count]]</f>
        <v>P2-TBDI5-10</v>
      </c>
      <c r="AT368" s="136" t="str">
        <f>tbl_IO_List[[#This Row],[Front Terminal Tagging]]&amp;"/"&amp;tbl_IO_List[[#This Row],[Terminal Tagging-Item]]</f>
        <v>C2S5-10/P2-TBDI5-10</v>
      </c>
      <c r="AU368" s="136" t="str">
        <f>tbl_IO_List[[#This Row],[Terminal Tagging-Item]]&amp;"/"&amp;tbl_IO_List[[#This Row],[Front Terminal Tagging]]</f>
        <v>P2-TBDI5-10/C2S5-10</v>
      </c>
    </row>
    <row r="369" spans="1:47">
      <c r="A369" s="147" t="s">
        <v>1367</v>
      </c>
      <c r="B369" s="136" t="s">
        <v>270</v>
      </c>
      <c r="C369" s="136" t="str">
        <f>tbl_IO_List[[#This Row],[Column3]]</f>
        <v>C2S05,10</v>
      </c>
      <c r="D369" s="136" t="str">
        <f>tbl_IO_List[[#This Row],[Card]]</f>
        <v>1756-IB32-10</v>
      </c>
      <c r="E369" s="136" t="s">
        <v>1366</v>
      </c>
      <c r="F369" s="136" t="str">
        <f>tbl_IO_List[[#This Row],[Column23]]&amp;"-" &amp;tbl_IO_List[[#This Row],[Column52]]</f>
        <v>C2S05-X1</v>
      </c>
      <c r="G369" s="136" t="str">
        <f>tbl_IO_List[[#This Row],[PLC_Tag]]</f>
        <v>XV-60263FM_DI_1</v>
      </c>
      <c r="H369" s="136"/>
      <c r="I369" s="136" t="str">
        <f>VLOOKUP(tbl_IO_List[[#This Row],[Destination]],tbl_Junction[],2,FALSE)</f>
        <v>Spray Dryer 7th Floor</v>
      </c>
      <c r="J369" s="136" t="s">
        <v>270</v>
      </c>
      <c r="K369" s="136" t="s">
        <v>14</v>
      </c>
      <c r="L369" s="136" t="s">
        <v>318</v>
      </c>
      <c r="M369" s="136">
        <f>VLOOKUP(tbl_IO_List[[#This Row],[Instruement Tag]],tbl_Instruement_List[],2,FALSE)</f>
        <v>0</v>
      </c>
      <c r="N369" s="136" t="s">
        <v>95</v>
      </c>
      <c r="O369" s="136" t="s">
        <v>272</v>
      </c>
      <c r="P369" s="136" t="s">
        <v>273</v>
      </c>
      <c r="Q369" s="136" t="str">
        <f>VLOOKUP(tbl_IO_List[[#This Row],[Instruement Tag]],tbl_Instruement_List[],6,FALSE)</f>
        <v>Feed Slurry On/Off Valve for Nozzle #12 (ATVM-11C)</v>
      </c>
      <c r="R369" s="136"/>
      <c r="S36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69" s="136" t="str">
        <f>tbl_IO_List[[#This Row],[Instruement Tag]]&amp;"_"&amp;tbl_IO_List[[#This Row],[I/O Type]]&amp;"_"&amp;tbl_IO_List[[#This Row],[IO-Point 
(Instruement)]]</f>
        <v>XV-60263FM_DI_1</v>
      </c>
      <c r="U369" s="136" t="s">
        <v>8</v>
      </c>
      <c r="V369" s="136">
        <f>VLOOKUP(tbl_IO_List[[#This Row],[I/O Type]],tbl_Slot_Group[],2,FALSE)</f>
        <v>1</v>
      </c>
      <c r="W369" s="136">
        <v>1</v>
      </c>
      <c r="X369" s="136" t="str">
        <f>tbl_IO_List[[#This Row],[Chassis]]&amp;"S"&amp;TEXT(tbl_IO_List[[#This Row],[Slot]],"00")</f>
        <v>C2S05</v>
      </c>
      <c r="Y369" s="136" t="str">
        <f>tbl_IO_List[[#This Row],[Chassis]]&amp;"S"&amp;TEXT(tbl_IO_List[[#This Row],[Slot]],"00")&amp;tbl_IO_List[[#This Row],[I/O Type]]&amp;TEXT(tbl_IO_List[[#This Row],[Point]],"00")</f>
        <v>C2S05DI10</v>
      </c>
      <c r="Z369" s="136" t="str">
        <f>tbl_IO_List[[#This Row],[Chassis]]&amp;"S"&amp;TEXT(tbl_IO_List[[#This Row],[Slot]],"00")&amp;","&amp;TEXT(tbl_IO_List[[#This Row],[Point]],"00")</f>
        <v>C2S05,10</v>
      </c>
      <c r="AA369" s="136" t="str">
        <f>VLOOKUP(tbl_IO_List[[#This Row],[Column23]],tbl_RackConfig[],5,FALSE) &amp;"-"&amp;tbl_IO_List[[#This Row],[Point]]</f>
        <v>1756-IB32-10</v>
      </c>
      <c r="AB369" s="136"/>
      <c r="AC369" s="136"/>
      <c r="AD369" s="136" t="str">
        <f>tbl_IO_List[[#This Row],[I/O Type]]</f>
        <v>DI</v>
      </c>
      <c r="AE369" s="136" t="s">
        <v>1333</v>
      </c>
      <c r="AF369" s="136">
        <v>5</v>
      </c>
      <c r="AG369" s="136">
        <v>10</v>
      </c>
      <c r="AH369" s="136">
        <v>11</v>
      </c>
      <c r="AI369" s="136">
        <v>11</v>
      </c>
      <c r="AJ369" s="136">
        <v>2</v>
      </c>
      <c r="AK369" s="136">
        <v>1</v>
      </c>
      <c r="AL369" s="136">
        <v>0</v>
      </c>
      <c r="AM369" s="136">
        <v>0</v>
      </c>
      <c r="AN369" s="136">
        <v>0</v>
      </c>
      <c r="AO369" s="136"/>
      <c r="AP369" s="143" t="str">
        <f>VLOOKUP(tbl_IO_List[[#This Row],[Instruement Tag]],tbl_Instruement_List[],14,FALSE)</f>
        <v>24 VDC energized,Dry Contact</v>
      </c>
      <c r="AQ369" s="143" t="str">
        <f>tbl_IO_List[[#This Row],[Chassis]]&amp;"S"&amp;tbl_IO_List[[#This Row],[Slot]]&amp;"-"&amp;tbl_IO_List[[#This Row],[Front Terminal Number]]</f>
        <v>C2S5-11</v>
      </c>
      <c r="AR369" s="141" t="s">
        <v>1865</v>
      </c>
      <c r="AS369" s="136" t="str">
        <f>tbl_IO_List[[#This Row],[Terminal Tagging]]&amp;"-"&amp;tbl_IO_List[[#This Row],[Point-Count]]</f>
        <v>P2-TBDI5-11</v>
      </c>
      <c r="AT369" s="136" t="str">
        <f>tbl_IO_List[[#This Row],[Front Terminal Tagging]]&amp;"/"&amp;tbl_IO_List[[#This Row],[Terminal Tagging-Item]]</f>
        <v>C2S5-11/P2-TBDI5-11</v>
      </c>
      <c r="AU369" s="136" t="str">
        <f>tbl_IO_List[[#This Row],[Terminal Tagging-Item]]&amp;"/"&amp;tbl_IO_List[[#This Row],[Front Terminal Tagging]]</f>
        <v>P2-TBDI5-11/C2S5-11</v>
      </c>
    </row>
    <row r="370" spans="1:47">
      <c r="A370" s="147" t="s">
        <v>1367</v>
      </c>
      <c r="B370" s="136" t="s">
        <v>270</v>
      </c>
      <c r="C370" s="136" t="str">
        <f>tbl_IO_List[[#This Row],[Column3]]</f>
        <v>C2S05,11</v>
      </c>
      <c r="D370" s="136" t="str">
        <f>tbl_IO_List[[#This Row],[Card]]</f>
        <v>1756-IB32-11</v>
      </c>
      <c r="E370" s="136" t="s">
        <v>1366</v>
      </c>
      <c r="F370" s="136" t="str">
        <f>tbl_IO_List[[#This Row],[Column23]]&amp;"-" &amp;tbl_IO_List[[#This Row],[Column52]]</f>
        <v>C2S05-X1</v>
      </c>
      <c r="G370" s="136" t="str">
        <f>tbl_IO_List[[#This Row],[PLC_Tag]]</f>
        <v>XV-60263FM_DI_2</v>
      </c>
      <c r="H370" s="136"/>
      <c r="I370" s="136" t="str">
        <f>VLOOKUP(tbl_IO_List[[#This Row],[Destination]],tbl_Junction[],2,FALSE)</f>
        <v>Spray Dryer 7th Floor</v>
      </c>
      <c r="J370" s="136" t="s">
        <v>270</v>
      </c>
      <c r="K370" s="136" t="s">
        <v>14</v>
      </c>
      <c r="L370" s="136" t="s">
        <v>318</v>
      </c>
      <c r="M370" s="136">
        <f>VLOOKUP(tbl_IO_List[[#This Row],[Instruement Tag]],tbl_Instruement_List[],2,FALSE)</f>
        <v>0</v>
      </c>
      <c r="N370" s="136" t="s">
        <v>95</v>
      </c>
      <c r="O370" s="136" t="s">
        <v>272</v>
      </c>
      <c r="P370" s="136" t="s">
        <v>273</v>
      </c>
      <c r="Q370" s="136" t="str">
        <f>VLOOKUP(tbl_IO_List[[#This Row],[Instruement Tag]],tbl_Instruement_List[],6,FALSE)</f>
        <v>Feed Slurry On/Off Valve for Nozzle #12 (ATVM-11C)</v>
      </c>
      <c r="R370" s="136"/>
      <c r="S37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70" s="136" t="str">
        <f>tbl_IO_List[[#This Row],[Instruement Tag]]&amp;"_"&amp;tbl_IO_List[[#This Row],[I/O Type]]&amp;"_"&amp;tbl_IO_List[[#This Row],[IO-Point 
(Instruement)]]</f>
        <v>XV-60263FM_DI_2</v>
      </c>
      <c r="U370" s="136" t="s">
        <v>8</v>
      </c>
      <c r="V370" s="136">
        <f>VLOOKUP(tbl_IO_List[[#This Row],[I/O Type]],tbl_Slot_Group[],2,FALSE)</f>
        <v>1</v>
      </c>
      <c r="W370" s="136">
        <v>2</v>
      </c>
      <c r="X370" s="136" t="str">
        <f>tbl_IO_List[[#This Row],[Chassis]]&amp;"S"&amp;TEXT(tbl_IO_List[[#This Row],[Slot]],"00")</f>
        <v>C2S05</v>
      </c>
      <c r="Y370" s="136" t="str">
        <f>tbl_IO_List[[#This Row],[Chassis]]&amp;"S"&amp;TEXT(tbl_IO_List[[#This Row],[Slot]],"00")&amp;tbl_IO_List[[#This Row],[I/O Type]]&amp;TEXT(tbl_IO_List[[#This Row],[Point]],"00")</f>
        <v>C2S05DI11</v>
      </c>
      <c r="Z370" s="136" t="str">
        <f>tbl_IO_List[[#This Row],[Chassis]]&amp;"S"&amp;TEXT(tbl_IO_List[[#This Row],[Slot]],"00")&amp;","&amp;TEXT(tbl_IO_List[[#This Row],[Point]],"00")</f>
        <v>C2S05,11</v>
      </c>
      <c r="AA370" s="136" t="str">
        <f>VLOOKUP(tbl_IO_List[[#This Row],[Column23]],tbl_RackConfig[],5,FALSE) &amp;"-"&amp;tbl_IO_List[[#This Row],[Point]]</f>
        <v>1756-IB32-11</v>
      </c>
      <c r="AB370" s="136"/>
      <c r="AC370" s="136"/>
      <c r="AD370" s="136" t="str">
        <f>tbl_IO_List[[#This Row],[I/O Type]]</f>
        <v>DI</v>
      </c>
      <c r="AE370" s="136" t="s">
        <v>1333</v>
      </c>
      <c r="AF370" s="136">
        <v>5</v>
      </c>
      <c r="AG370" s="136">
        <v>11</v>
      </c>
      <c r="AH370" s="136">
        <v>12</v>
      </c>
      <c r="AI370" s="136">
        <v>12</v>
      </c>
      <c r="AJ370" s="136">
        <v>2</v>
      </c>
      <c r="AK370" s="136">
        <v>1</v>
      </c>
      <c r="AL370" s="136">
        <v>0</v>
      </c>
      <c r="AM370" s="136">
        <v>0</v>
      </c>
      <c r="AN370" s="136">
        <v>0</v>
      </c>
      <c r="AO370" s="136"/>
      <c r="AP370" s="143" t="str">
        <f>VLOOKUP(tbl_IO_List[[#This Row],[Instruement Tag]],tbl_Instruement_List[],14,FALSE)</f>
        <v>24 VDC energized,Dry Contact</v>
      </c>
      <c r="AQ370" s="143" t="str">
        <f>tbl_IO_List[[#This Row],[Chassis]]&amp;"S"&amp;tbl_IO_List[[#This Row],[Slot]]&amp;"-"&amp;tbl_IO_List[[#This Row],[Front Terminal Number]]</f>
        <v>C2S5-12</v>
      </c>
      <c r="AR370" s="141" t="s">
        <v>1865</v>
      </c>
      <c r="AS370" s="136" t="str">
        <f>tbl_IO_List[[#This Row],[Terminal Tagging]]&amp;"-"&amp;tbl_IO_List[[#This Row],[Point-Count]]</f>
        <v>P2-TBDI5-12</v>
      </c>
      <c r="AT370" s="136" t="str">
        <f>tbl_IO_List[[#This Row],[Front Terminal Tagging]]&amp;"/"&amp;tbl_IO_List[[#This Row],[Terminal Tagging-Item]]</f>
        <v>C2S5-12/P2-TBDI5-12</v>
      </c>
      <c r="AU370" s="136" t="str">
        <f>tbl_IO_List[[#This Row],[Terminal Tagging-Item]]&amp;"/"&amp;tbl_IO_List[[#This Row],[Front Terminal Tagging]]</f>
        <v>P2-TBDI5-12/C2S5-12</v>
      </c>
    </row>
    <row r="371" spans="1:47">
      <c r="A371" s="147" t="s">
        <v>1367</v>
      </c>
      <c r="B371" s="136" t="s">
        <v>270</v>
      </c>
      <c r="C371" s="136" t="str">
        <f>tbl_IO_List[[#This Row],[Column3]]</f>
        <v>C2S05,12</v>
      </c>
      <c r="D371" s="136" t="str">
        <f>tbl_IO_List[[#This Row],[Card]]</f>
        <v>1756-IB32-12</v>
      </c>
      <c r="E371" s="136" t="s">
        <v>1366</v>
      </c>
      <c r="F371" s="136" t="str">
        <f>tbl_IO_List[[#This Row],[Column23]]&amp;"-" &amp;tbl_IO_List[[#This Row],[Column52]]</f>
        <v>C2S05-X1</v>
      </c>
      <c r="G371" s="136" t="str">
        <f>tbl_IO_List[[#This Row],[PLC_Tag]]</f>
        <v>XV-60263SJ_DI_1</v>
      </c>
      <c r="H371" s="136"/>
      <c r="I371" s="136" t="str">
        <f>VLOOKUP(tbl_IO_List[[#This Row],[Destination]],tbl_Junction[],2,FALSE)</f>
        <v>Spray Dryer 7th Floor</v>
      </c>
      <c r="J371" s="136" t="s">
        <v>270</v>
      </c>
      <c r="K371" s="136" t="s">
        <v>14</v>
      </c>
      <c r="L371" s="136" t="s">
        <v>319</v>
      </c>
      <c r="M371" s="136">
        <f>VLOOKUP(tbl_IO_List[[#This Row],[Instruement Tag]],tbl_Instruement_List[],2,FALSE)</f>
        <v>0</v>
      </c>
      <c r="N371" s="136" t="s">
        <v>95</v>
      </c>
      <c r="O371" s="136" t="s">
        <v>272</v>
      </c>
      <c r="P371" s="136" t="s">
        <v>273</v>
      </c>
      <c r="Q371" s="136" t="str">
        <f>VLOOKUP(tbl_IO_List[[#This Row],[Instruement Tag]],tbl_Instruement_List[],6,FALSE)</f>
        <v>Steam On/Off Valve for Nozzle #9 (ATVM-11C)</v>
      </c>
      <c r="R371" s="136"/>
      <c r="S37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71" s="136" t="str">
        <f>tbl_IO_List[[#This Row],[Instruement Tag]]&amp;"_"&amp;tbl_IO_List[[#This Row],[I/O Type]]&amp;"_"&amp;tbl_IO_List[[#This Row],[IO-Point 
(Instruement)]]</f>
        <v>XV-60263SJ_DI_1</v>
      </c>
      <c r="U371" s="136" t="s">
        <v>8</v>
      </c>
      <c r="V371" s="136">
        <f>VLOOKUP(tbl_IO_List[[#This Row],[I/O Type]],tbl_Slot_Group[],2,FALSE)</f>
        <v>1</v>
      </c>
      <c r="W371" s="136">
        <v>1</v>
      </c>
      <c r="X371" s="136" t="str">
        <f>tbl_IO_List[[#This Row],[Chassis]]&amp;"S"&amp;TEXT(tbl_IO_List[[#This Row],[Slot]],"00")</f>
        <v>C2S05</v>
      </c>
      <c r="Y371" s="136" t="str">
        <f>tbl_IO_List[[#This Row],[Chassis]]&amp;"S"&amp;TEXT(tbl_IO_List[[#This Row],[Slot]],"00")&amp;tbl_IO_List[[#This Row],[I/O Type]]&amp;TEXT(tbl_IO_List[[#This Row],[Point]],"00")</f>
        <v>C2S05DI12</v>
      </c>
      <c r="Z371" s="136" t="str">
        <f>tbl_IO_List[[#This Row],[Chassis]]&amp;"S"&amp;TEXT(tbl_IO_List[[#This Row],[Slot]],"00")&amp;","&amp;TEXT(tbl_IO_List[[#This Row],[Point]],"00")</f>
        <v>C2S05,12</v>
      </c>
      <c r="AA371" s="136" t="str">
        <f>VLOOKUP(tbl_IO_List[[#This Row],[Column23]],tbl_RackConfig[],5,FALSE) &amp;"-"&amp;tbl_IO_List[[#This Row],[Point]]</f>
        <v>1756-IB32-12</v>
      </c>
      <c r="AB371" s="136"/>
      <c r="AC371" s="136"/>
      <c r="AD371" s="136" t="str">
        <f>tbl_IO_List[[#This Row],[I/O Type]]</f>
        <v>DI</v>
      </c>
      <c r="AE371" s="136" t="s">
        <v>1333</v>
      </c>
      <c r="AF371" s="136">
        <v>5</v>
      </c>
      <c r="AG371" s="136">
        <v>12</v>
      </c>
      <c r="AH371" s="136">
        <v>13</v>
      </c>
      <c r="AI371" s="136">
        <v>13</v>
      </c>
      <c r="AJ371" s="136">
        <v>2</v>
      </c>
      <c r="AK371" s="136">
        <v>1</v>
      </c>
      <c r="AL371" s="136">
        <v>0</v>
      </c>
      <c r="AM371" s="136">
        <v>0</v>
      </c>
      <c r="AN371" s="136">
        <v>0</v>
      </c>
      <c r="AO371" s="136"/>
      <c r="AP371" s="143" t="str">
        <f>VLOOKUP(tbl_IO_List[[#This Row],[Instruement Tag]],tbl_Instruement_List[],14,FALSE)</f>
        <v>24 VDC energized,Dry Contact</v>
      </c>
      <c r="AQ371" s="143" t="str">
        <f>tbl_IO_List[[#This Row],[Chassis]]&amp;"S"&amp;tbl_IO_List[[#This Row],[Slot]]&amp;"-"&amp;tbl_IO_List[[#This Row],[Front Terminal Number]]</f>
        <v>C2S5-13</v>
      </c>
      <c r="AR371" s="141" t="s">
        <v>1865</v>
      </c>
      <c r="AS371" s="136" t="str">
        <f>tbl_IO_List[[#This Row],[Terminal Tagging]]&amp;"-"&amp;tbl_IO_List[[#This Row],[Point-Count]]</f>
        <v>P2-TBDI5-13</v>
      </c>
      <c r="AT371" s="136" t="str">
        <f>tbl_IO_List[[#This Row],[Front Terminal Tagging]]&amp;"/"&amp;tbl_IO_List[[#This Row],[Terminal Tagging-Item]]</f>
        <v>C2S5-13/P2-TBDI5-13</v>
      </c>
      <c r="AU371" s="136" t="str">
        <f>tbl_IO_List[[#This Row],[Terminal Tagging-Item]]&amp;"/"&amp;tbl_IO_List[[#This Row],[Front Terminal Tagging]]</f>
        <v>P2-TBDI5-13/C2S5-13</v>
      </c>
    </row>
    <row r="372" spans="1:47">
      <c r="A372" s="147" t="s">
        <v>1367</v>
      </c>
      <c r="B372" s="136" t="s">
        <v>270</v>
      </c>
      <c r="C372" s="136" t="str">
        <f>tbl_IO_List[[#This Row],[Column3]]</f>
        <v>C2S05,13</v>
      </c>
      <c r="D372" s="136" t="str">
        <f>tbl_IO_List[[#This Row],[Card]]</f>
        <v>1756-IB32-13</v>
      </c>
      <c r="E372" s="136" t="s">
        <v>1366</v>
      </c>
      <c r="F372" s="136" t="str">
        <f>tbl_IO_List[[#This Row],[Column23]]&amp;"-" &amp;tbl_IO_List[[#This Row],[Column52]]</f>
        <v>C2S05-X1</v>
      </c>
      <c r="G372" s="136" t="str">
        <f>tbl_IO_List[[#This Row],[PLC_Tag]]</f>
        <v>XV-60263SJ_DI_2</v>
      </c>
      <c r="H372" s="136"/>
      <c r="I372" s="136" t="str">
        <f>VLOOKUP(tbl_IO_List[[#This Row],[Destination]],tbl_Junction[],2,FALSE)</f>
        <v>Spray Dryer 7th Floor</v>
      </c>
      <c r="J372" s="136" t="s">
        <v>270</v>
      </c>
      <c r="K372" s="136" t="s">
        <v>14</v>
      </c>
      <c r="L372" s="136" t="s">
        <v>319</v>
      </c>
      <c r="M372" s="136">
        <f>VLOOKUP(tbl_IO_List[[#This Row],[Instruement Tag]],tbl_Instruement_List[],2,FALSE)</f>
        <v>0</v>
      </c>
      <c r="N372" s="136" t="s">
        <v>95</v>
      </c>
      <c r="O372" s="136" t="s">
        <v>272</v>
      </c>
      <c r="P372" s="136" t="s">
        <v>273</v>
      </c>
      <c r="Q372" s="136" t="str">
        <f>VLOOKUP(tbl_IO_List[[#This Row],[Instruement Tag]],tbl_Instruement_List[],6,FALSE)</f>
        <v>Steam On/Off Valve for Nozzle #9 (ATVM-11C)</v>
      </c>
      <c r="R372" s="136"/>
      <c r="S37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72" s="136" t="str">
        <f>tbl_IO_List[[#This Row],[Instruement Tag]]&amp;"_"&amp;tbl_IO_List[[#This Row],[I/O Type]]&amp;"_"&amp;tbl_IO_List[[#This Row],[IO-Point 
(Instruement)]]</f>
        <v>XV-60263SJ_DI_2</v>
      </c>
      <c r="U372" s="136" t="s">
        <v>8</v>
      </c>
      <c r="V372" s="136">
        <f>VLOOKUP(tbl_IO_List[[#This Row],[I/O Type]],tbl_Slot_Group[],2,FALSE)</f>
        <v>1</v>
      </c>
      <c r="W372" s="136">
        <v>2</v>
      </c>
      <c r="X372" s="136" t="str">
        <f>tbl_IO_List[[#This Row],[Chassis]]&amp;"S"&amp;TEXT(tbl_IO_List[[#This Row],[Slot]],"00")</f>
        <v>C2S05</v>
      </c>
      <c r="Y372" s="136" t="str">
        <f>tbl_IO_List[[#This Row],[Chassis]]&amp;"S"&amp;TEXT(tbl_IO_List[[#This Row],[Slot]],"00")&amp;tbl_IO_List[[#This Row],[I/O Type]]&amp;TEXT(tbl_IO_List[[#This Row],[Point]],"00")</f>
        <v>C2S05DI13</v>
      </c>
      <c r="Z372" s="136" t="str">
        <f>tbl_IO_List[[#This Row],[Chassis]]&amp;"S"&amp;TEXT(tbl_IO_List[[#This Row],[Slot]],"00")&amp;","&amp;TEXT(tbl_IO_List[[#This Row],[Point]],"00")</f>
        <v>C2S05,13</v>
      </c>
      <c r="AA372" s="136" t="str">
        <f>VLOOKUP(tbl_IO_List[[#This Row],[Column23]],tbl_RackConfig[],5,FALSE) &amp;"-"&amp;tbl_IO_List[[#This Row],[Point]]</f>
        <v>1756-IB32-13</v>
      </c>
      <c r="AB372" s="136"/>
      <c r="AC372" s="136"/>
      <c r="AD372" s="136" t="str">
        <f>tbl_IO_List[[#This Row],[I/O Type]]</f>
        <v>DI</v>
      </c>
      <c r="AE372" s="136" t="s">
        <v>1333</v>
      </c>
      <c r="AF372" s="136">
        <v>5</v>
      </c>
      <c r="AG372" s="136">
        <v>13</v>
      </c>
      <c r="AH372" s="136">
        <v>14</v>
      </c>
      <c r="AI372" s="136">
        <v>14</v>
      </c>
      <c r="AJ372" s="136">
        <v>2</v>
      </c>
      <c r="AK372" s="136">
        <v>1</v>
      </c>
      <c r="AL372" s="136">
        <v>0</v>
      </c>
      <c r="AM372" s="136">
        <v>0</v>
      </c>
      <c r="AN372" s="136">
        <v>0</v>
      </c>
      <c r="AO372" s="136"/>
      <c r="AP372" s="143" t="str">
        <f>VLOOKUP(tbl_IO_List[[#This Row],[Instruement Tag]],tbl_Instruement_List[],14,FALSE)</f>
        <v>24 VDC energized,Dry Contact</v>
      </c>
      <c r="AQ372" s="143" t="str">
        <f>tbl_IO_List[[#This Row],[Chassis]]&amp;"S"&amp;tbl_IO_List[[#This Row],[Slot]]&amp;"-"&amp;tbl_IO_List[[#This Row],[Front Terminal Number]]</f>
        <v>C2S5-14</v>
      </c>
      <c r="AR372" s="141" t="s">
        <v>1865</v>
      </c>
      <c r="AS372" s="136" t="str">
        <f>tbl_IO_List[[#This Row],[Terminal Tagging]]&amp;"-"&amp;tbl_IO_List[[#This Row],[Point-Count]]</f>
        <v>P2-TBDI5-14</v>
      </c>
      <c r="AT372" s="136" t="str">
        <f>tbl_IO_List[[#This Row],[Front Terminal Tagging]]&amp;"/"&amp;tbl_IO_List[[#This Row],[Terminal Tagging-Item]]</f>
        <v>C2S5-14/P2-TBDI5-14</v>
      </c>
      <c r="AU372" s="136" t="str">
        <f>tbl_IO_List[[#This Row],[Terminal Tagging-Item]]&amp;"/"&amp;tbl_IO_List[[#This Row],[Front Terminal Tagging]]</f>
        <v>P2-TBDI5-14/C2S5-14</v>
      </c>
    </row>
    <row r="373" spans="1:47">
      <c r="A373" s="147" t="s">
        <v>1367</v>
      </c>
      <c r="B373" s="136" t="s">
        <v>270</v>
      </c>
      <c r="C373" s="136" t="str">
        <f>tbl_IO_List[[#This Row],[Column3]]</f>
        <v>C2S05,14</v>
      </c>
      <c r="D373" s="136" t="str">
        <f>tbl_IO_List[[#This Row],[Card]]</f>
        <v>1756-IB32-14</v>
      </c>
      <c r="E373" s="136" t="s">
        <v>1366</v>
      </c>
      <c r="F373" s="136" t="str">
        <f>tbl_IO_List[[#This Row],[Column23]]&amp;"-" &amp;tbl_IO_List[[#This Row],[Column52]]</f>
        <v>C2S05-X1</v>
      </c>
      <c r="G373" s="136" t="str">
        <f>tbl_IO_List[[#This Row],[PLC_Tag]]</f>
        <v>XV-60263SK_DI_1</v>
      </c>
      <c r="H373" s="136"/>
      <c r="I373" s="136" t="str">
        <f>VLOOKUP(tbl_IO_List[[#This Row],[Destination]],tbl_Junction[],2,FALSE)</f>
        <v>Spray Dryer 7th Floor</v>
      </c>
      <c r="J373" s="136" t="s">
        <v>270</v>
      </c>
      <c r="K373" s="136" t="s">
        <v>14</v>
      </c>
      <c r="L373" s="136" t="s">
        <v>320</v>
      </c>
      <c r="M373" s="136">
        <f>VLOOKUP(tbl_IO_List[[#This Row],[Instruement Tag]],tbl_Instruement_List[],2,FALSE)</f>
        <v>0</v>
      </c>
      <c r="N373" s="136" t="s">
        <v>95</v>
      </c>
      <c r="O373" s="136" t="s">
        <v>272</v>
      </c>
      <c r="P373" s="136" t="s">
        <v>273</v>
      </c>
      <c r="Q373" s="136" t="str">
        <f>VLOOKUP(tbl_IO_List[[#This Row],[Instruement Tag]],tbl_Instruement_List[],6,FALSE)</f>
        <v>Steam On/Off Valve for Nozzle #10 (ATVM-11C)</v>
      </c>
      <c r="R373" s="136"/>
      <c r="S37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73" s="136" t="str">
        <f>tbl_IO_List[[#This Row],[Instruement Tag]]&amp;"_"&amp;tbl_IO_List[[#This Row],[I/O Type]]&amp;"_"&amp;tbl_IO_List[[#This Row],[IO-Point 
(Instruement)]]</f>
        <v>XV-60263SK_DI_1</v>
      </c>
      <c r="U373" s="136" t="s">
        <v>8</v>
      </c>
      <c r="V373" s="136">
        <f>VLOOKUP(tbl_IO_List[[#This Row],[I/O Type]],tbl_Slot_Group[],2,FALSE)</f>
        <v>1</v>
      </c>
      <c r="W373" s="136">
        <v>1</v>
      </c>
      <c r="X373" s="136" t="str">
        <f>tbl_IO_List[[#This Row],[Chassis]]&amp;"S"&amp;TEXT(tbl_IO_List[[#This Row],[Slot]],"00")</f>
        <v>C2S05</v>
      </c>
      <c r="Y373" s="136" t="str">
        <f>tbl_IO_List[[#This Row],[Chassis]]&amp;"S"&amp;TEXT(tbl_IO_List[[#This Row],[Slot]],"00")&amp;tbl_IO_List[[#This Row],[I/O Type]]&amp;TEXT(tbl_IO_List[[#This Row],[Point]],"00")</f>
        <v>C2S05DI14</v>
      </c>
      <c r="Z373" s="136" t="str">
        <f>tbl_IO_List[[#This Row],[Chassis]]&amp;"S"&amp;TEXT(tbl_IO_List[[#This Row],[Slot]],"00")&amp;","&amp;TEXT(tbl_IO_List[[#This Row],[Point]],"00")</f>
        <v>C2S05,14</v>
      </c>
      <c r="AA373" s="136" t="str">
        <f>VLOOKUP(tbl_IO_List[[#This Row],[Column23]],tbl_RackConfig[],5,FALSE) &amp;"-"&amp;tbl_IO_List[[#This Row],[Point]]</f>
        <v>1756-IB32-14</v>
      </c>
      <c r="AB373" s="136"/>
      <c r="AC373" s="136"/>
      <c r="AD373" s="136" t="str">
        <f>tbl_IO_List[[#This Row],[I/O Type]]</f>
        <v>DI</v>
      </c>
      <c r="AE373" s="136" t="s">
        <v>1333</v>
      </c>
      <c r="AF373" s="136">
        <v>5</v>
      </c>
      <c r="AG373" s="136">
        <v>14</v>
      </c>
      <c r="AH373" s="136">
        <v>15</v>
      </c>
      <c r="AI373" s="136">
        <v>15</v>
      </c>
      <c r="AJ373" s="136">
        <v>2</v>
      </c>
      <c r="AK373" s="136">
        <v>1</v>
      </c>
      <c r="AL373" s="136">
        <v>0</v>
      </c>
      <c r="AM373" s="136">
        <v>0</v>
      </c>
      <c r="AN373" s="136">
        <v>0</v>
      </c>
      <c r="AO373" s="136"/>
      <c r="AP373" s="143" t="str">
        <f>VLOOKUP(tbl_IO_List[[#This Row],[Instruement Tag]],tbl_Instruement_List[],14,FALSE)</f>
        <v>24 VDC energized,Dry Contact</v>
      </c>
      <c r="AQ373" s="143" t="str">
        <f>tbl_IO_List[[#This Row],[Chassis]]&amp;"S"&amp;tbl_IO_List[[#This Row],[Slot]]&amp;"-"&amp;tbl_IO_List[[#This Row],[Front Terminal Number]]</f>
        <v>C2S5-15</v>
      </c>
      <c r="AR373" s="141" t="s">
        <v>1865</v>
      </c>
      <c r="AS373" s="136" t="str">
        <f>tbl_IO_List[[#This Row],[Terminal Tagging]]&amp;"-"&amp;tbl_IO_List[[#This Row],[Point-Count]]</f>
        <v>P2-TBDI5-15</v>
      </c>
      <c r="AT373" s="136" t="str">
        <f>tbl_IO_List[[#This Row],[Front Terminal Tagging]]&amp;"/"&amp;tbl_IO_List[[#This Row],[Terminal Tagging-Item]]</f>
        <v>C2S5-15/P2-TBDI5-15</v>
      </c>
      <c r="AU373" s="136" t="str">
        <f>tbl_IO_List[[#This Row],[Terminal Tagging-Item]]&amp;"/"&amp;tbl_IO_List[[#This Row],[Front Terminal Tagging]]</f>
        <v>P2-TBDI5-15/C2S5-15</v>
      </c>
    </row>
    <row r="374" spans="1:47">
      <c r="A374" s="147" t="s">
        <v>1367</v>
      </c>
      <c r="B374" s="136" t="s">
        <v>270</v>
      </c>
      <c r="C374" s="136" t="str">
        <f>tbl_IO_List[[#This Row],[Column3]]</f>
        <v>C2S05,15</v>
      </c>
      <c r="D374" s="136" t="str">
        <f>tbl_IO_List[[#This Row],[Card]]</f>
        <v>1756-IB32-15</v>
      </c>
      <c r="E374" s="136" t="s">
        <v>1366</v>
      </c>
      <c r="F374" s="136" t="str">
        <f>tbl_IO_List[[#This Row],[Column23]]&amp;"-" &amp;tbl_IO_List[[#This Row],[Column52]]</f>
        <v>C2S05-X1</v>
      </c>
      <c r="G374" s="136" t="str">
        <f>tbl_IO_List[[#This Row],[PLC_Tag]]</f>
        <v>XV-60263SK_DI_2</v>
      </c>
      <c r="H374" s="136"/>
      <c r="I374" s="136" t="str">
        <f>VLOOKUP(tbl_IO_List[[#This Row],[Destination]],tbl_Junction[],2,FALSE)</f>
        <v>Spray Dryer 7th Floor</v>
      </c>
      <c r="J374" s="136" t="s">
        <v>270</v>
      </c>
      <c r="K374" s="136" t="s">
        <v>14</v>
      </c>
      <c r="L374" s="136" t="s">
        <v>320</v>
      </c>
      <c r="M374" s="136">
        <f>VLOOKUP(tbl_IO_List[[#This Row],[Instruement Tag]],tbl_Instruement_List[],2,FALSE)</f>
        <v>0</v>
      </c>
      <c r="N374" s="136" t="s">
        <v>95</v>
      </c>
      <c r="O374" s="136" t="s">
        <v>272</v>
      </c>
      <c r="P374" s="136" t="s">
        <v>273</v>
      </c>
      <c r="Q374" s="136" t="str">
        <f>VLOOKUP(tbl_IO_List[[#This Row],[Instruement Tag]],tbl_Instruement_List[],6,FALSE)</f>
        <v>Steam On/Off Valve for Nozzle #10 (ATVM-11C)</v>
      </c>
      <c r="R374" s="136"/>
      <c r="S37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74" s="136" t="str">
        <f>tbl_IO_List[[#This Row],[Instruement Tag]]&amp;"_"&amp;tbl_IO_List[[#This Row],[I/O Type]]&amp;"_"&amp;tbl_IO_List[[#This Row],[IO-Point 
(Instruement)]]</f>
        <v>XV-60263SK_DI_2</v>
      </c>
      <c r="U374" s="136" t="s">
        <v>8</v>
      </c>
      <c r="V374" s="136">
        <f>VLOOKUP(tbl_IO_List[[#This Row],[I/O Type]],tbl_Slot_Group[],2,FALSE)</f>
        <v>1</v>
      </c>
      <c r="W374" s="136">
        <v>2</v>
      </c>
      <c r="X374" s="136" t="str">
        <f>tbl_IO_List[[#This Row],[Chassis]]&amp;"S"&amp;TEXT(tbl_IO_List[[#This Row],[Slot]],"00")</f>
        <v>C2S05</v>
      </c>
      <c r="Y374" s="136" t="str">
        <f>tbl_IO_List[[#This Row],[Chassis]]&amp;"S"&amp;TEXT(tbl_IO_List[[#This Row],[Slot]],"00")&amp;tbl_IO_List[[#This Row],[I/O Type]]&amp;TEXT(tbl_IO_List[[#This Row],[Point]],"00")</f>
        <v>C2S05DI15</v>
      </c>
      <c r="Z374" s="136" t="str">
        <f>tbl_IO_List[[#This Row],[Chassis]]&amp;"S"&amp;TEXT(tbl_IO_List[[#This Row],[Slot]],"00")&amp;","&amp;TEXT(tbl_IO_List[[#This Row],[Point]],"00")</f>
        <v>C2S05,15</v>
      </c>
      <c r="AA374" s="136" t="str">
        <f>VLOOKUP(tbl_IO_List[[#This Row],[Column23]],tbl_RackConfig[],5,FALSE) &amp;"-"&amp;tbl_IO_List[[#This Row],[Point]]</f>
        <v>1756-IB32-15</v>
      </c>
      <c r="AB374" s="136"/>
      <c r="AC374" s="136"/>
      <c r="AD374" s="136" t="str">
        <f>tbl_IO_List[[#This Row],[I/O Type]]</f>
        <v>DI</v>
      </c>
      <c r="AE374" s="136" t="s">
        <v>1333</v>
      </c>
      <c r="AF374" s="136">
        <v>5</v>
      </c>
      <c r="AG374" s="136">
        <v>15</v>
      </c>
      <c r="AH374" s="136">
        <v>16</v>
      </c>
      <c r="AI374" s="136">
        <v>16</v>
      </c>
      <c r="AJ374" s="136">
        <v>2</v>
      </c>
      <c r="AK374" s="136">
        <v>1</v>
      </c>
      <c r="AL374" s="136">
        <v>0</v>
      </c>
      <c r="AM374" s="136">
        <v>0</v>
      </c>
      <c r="AN374" s="136">
        <v>0</v>
      </c>
      <c r="AO374" s="136"/>
      <c r="AP374" s="143" t="str">
        <f>VLOOKUP(tbl_IO_List[[#This Row],[Instruement Tag]],tbl_Instruement_List[],14,FALSE)</f>
        <v>24 VDC energized,Dry Contact</v>
      </c>
      <c r="AQ374" s="143" t="str">
        <f>tbl_IO_List[[#This Row],[Chassis]]&amp;"S"&amp;tbl_IO_List[[#This Row],[Slot]]&amp;"-"&amp;tbl_IO_List[[#This Row],[Front Terminal Number]]</f>
        <v>C2S5-16</v>
      </c>
      <c r="AR374" s="141" t="s">
        <v>1865</v>
      </c>
      <c r="AS374" s="136" t="str">
        <f>tbl_IO_List[[#This Row],[Terminal Tagging]]&amp;"-"&amp;tbl_IO_List[[#This Row],[Point-Count]]</f>
        <v>P2-TBDI5-16</v>
      </c>
      <c r="AT374" s="136" t="str">
        <f>tbl_IO_List[[#This Row],[Front Terminal Tagging]]&amp;"/"&amp;tbl_IO_List[[#This Row],[Terminal Tagging-Item]]</f>
        <v>C2S5-16/P2-TBDI5-16</v>
      </c>
      <c r="AU374" s="136" t="str">
        <f>tbl_IO_List[[#This Row],[Terminal Tagging-Item]]&amp;"/"&amp;tbl_IO_List[[#This Row],[Front Terminal Tagging]]</f>
        <v>P2-TBDI5-16/C2S5-16</v>
      </c>
    </row>
    <row r="375" spans="1:47">
      <c r="A375" s="147" t="s">
        <v>1367</v>
      </c>
      <c r="B375" s="136" t="s">
        <v>270</v>
      </c>
      <c r="C375" s="136" t="str">
        <f>tbl_IO_List[[#This Row],[Column3]]</f>
        <v>C2S05,16</v>
      </c>
      <c r="D375" s="136" t="str">
        <f>tbl_IO_List[[#This Row],[Card]]</f>
        <v>1756-IB32-16</v>
      </c>
      <c r="E375" s="136" t="s">
        <v>1372</v>
      </c>
      <c r="F375" s="136" t="str">
        <f>tbl_IO_List[[#This Row],[Column23]]&amp;"-" &amp;tbl_IO_List[[#This Row],[Column52]]</f>
        <v>C2S05-X2</v>
      </c>
      <c r="G375" s="136" t="str">
        <f>tbl_IO_List[[#This Row],[PLC_Tag]]</f>
        <v>XV-60263SL_DI_1</v>
      </c>
      <c r="H375" s="136"/>
      <c r="I375" s="136" t="str">
        <f>VLOOKUP(tbl_IO_List[[#This Row],[Destination]],tbl_Junction[],2,FALSE)</f>
        <v>Spray Dryer 7th Floor</v>
      </c>
      <c r="J375" s="136" t="s">
        <v>270</v>
      </c>
      <c r="K375" s="136" t="s">
        <v>14</v>
      </c>
      <c r="L375" s="136" t="s">
        <v>321</v>
      </c>
      <c r="M375" s="136">
        <f>VLOOKUP(tbl_IO_List[[#This Row],[Instruement Tag]],tbl_Instruement_List[],2,FALSE)</f>
        <v>0</v>
      </c>
      <c r="N375" s="136" t="s">
        <v>95</v>
      </c>
      <c r="O375" s="136" t="s">
        <v>272</v>
      </c>
      <c r="P375" s="136" t="s">
        <v>273</v>
      </c>
      <c r="Q375" s="136" t="str">
        <f>VLOOKUP(tbl_IO_List[[#This Row],[Instruement Tag]],tbl_Instruement_List[],6,FALSE)</f>
        <v>Steam On/Off Valve for Nozzle #11 (ATVM-11C)</v>
      </c>
      <c r="R375" s="136"/>
      <c r="S37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75" s="136" t="str">
        <f>tbl_IO_List[[#This Row],[Instruement Tag]]&amp;"_"&amp;tbl_IO_List[[#This Row],[I/O Type]]&amp;"_"&amp;tbl_IO_List[[#This Row],[IO-Point 
(Instruement)]]</f>
        <v>XV-60263SL_DI_1</v>
      </c>
      <c r="U375" s="136" t="s">
        <v>8</v>
      </c>
      <c r="V375" s="136">
        <f>VLOOKUP(tbl_IO_List[[#This Row],[I/O Type]],tbl_Slot_Group[],2,FALSE)</f>
        <v>1</v>
      </c>
      <c r="W375" s="136">
        <v>1</v>
      </c>
      <c r="X375" s="136" t="str">
        <f>tbl_IO_List[[#This Row],[Chassis]]&amp;"S"&amp;TEXT(tbl_IO_List[[#This Row],[Slot]],"00")</f>
        <v>C2S05</v>
      </c>
      <c r="Y375" s="136" t="str">
        <f>tbl_IO_List[[#This Row],[Chassis]]&amp;"S"&amp;TEXT(tbl_IO_List[[#This Row],[Slot]],"00")&amp;tbl_IO_List[[#This Row],[I/O Type]]&amp;TEXT(tbl_IO_List[[#This Row],[Point]],"00")</f>
        <v>C2S05DI16</v>
      </c>
      <c r="Z375" s="136" t="str">
        <f>tbl_IO_List[[#This Row],[Chassis]]&amp;"S"&amp;TEXT(tbl_IO_List[[#This Row],[Slot]],"00")&amp;","&amp;TEXT(tbl_IO_List[[#This Row],[Point]],"00")</f>
        <v>C2S05,16</v>
      </c>
      <c r="AA375" s="136" t="str">
        <f>VLOOKUP(tbl_IO_List[[#This Row],[Column23]],tbl_RackConfig[],5,FALSE) &amp;"-"&amp;tbl_IO_List[[#This Row],[Point]]</f>
        <v>1756-IB32-16</v>
      </c>
      <c r="AB375" s="136"/>
      <c r="AC375" s="136"/>
      <c r="AD375" s="136" t="str">
        <f>tbl_IO_List[[#This Row],[I/O Type]]</f>
        <v>DI</v>
      </c>
      <c r="AE375" s="136" t="s">
        <v>1333</v>
      </c>
      <c r="AF375" s="136">
        <v>5</v>
      </c>
      <c r="AG375" s="136">
        <v>16</v>
      </c>
      <c r="AH375" s="136">
        <v>17</v>
      </c>
      <c r="AI375" s="136">
        <v>19</v>
      </c>
      <c r="AJ375" s="136">
        <v>2</v>
      </c>
      <c r="AK375" s="136">
        <v>1</v>
      </c>
      <c r="AL375" s="136">
        <v>0</v>
      </c>
      <c r="AM375" s="136">
        <v>0</v>
      </c>
      <c r="AN375" s="136">
        <v>0</v>
      </c>
      <c r="AO375" s="136"/>
      <c r="AP375" s="143" t="str">
        <f>VLOOKUP(tbl_IO_List[[#This Row],[Instruement Tag]],tbl_Instruement_List[],14,FALSE)</f>
        <v>24 VDC energized,Dry Contact</v>
      </c>
      <c r="AQ375" s="143" t="str">
        <f>tbl_IO_List[[#This Row],[Chassis]]&amp;"S"&amp;tbl_IO_List[[#This Row],[Slot]]&amp;"-"&amp;tbl_IO_List[[#This Row],[Front Terminal Number]]</f>
        <v>C2S5-19</v>
      </c>
      <c r="AR375" s="141" t="s">
        <v>1865</v>
      </c>
      <c r="AS375" s="136" t="str">
        <f>tbl_IO_List[[#This Row],[Terminal Tagging]]&amp;"-"&amp;tbl_IO_List[[#This Row],[Point-Count]]</f>
        <v>P2-TBDI5-17</v>
      </c>
      <c r="AT375" s="136" t="str">
        <f>tbl_IO_List[[#This Row],[Front Terminal Tagging]]&amp;"/"&amp;tbl_IO_List[[#This Row],[Terminal Tagging-Item]]</f>
        <v>C2S5-19/P2-TBDI5-17</v>
      </c>
      <c r="AU375" s="136" t="str">
        <f>tbl_IO_List[[#This Row],[Terminal Tagging-Item]]&amp;"/"&amp;tbl_IO_List[[#This Row],[Front Terminal Tagging]]</f>
        <v>P2-TBDI5-17/C2S5-19</v>
      </c>
    </row>
    <row r="376" spans="1:47">
      <c r="A376" s="147" t="s">
        <v>1367</v>
      </c>
      <c r="B376" s="136" t="s">
        <v>270</v>
      </c>
      <c r="C376" s="136" t="str">
        <f>tbl_IO_List[[#This Row],[Column3]]</f>
        <v>C2S05,17</v>
      </c>
      <c r="D376" s="136" t="str">
        <f>tbl_IO_List[[#This Row],[Card]]</f>
        <v>1756-IB32-17</v>
      </c>
      <c r="E376" s="136" t="s">
        <v>1372</v>
      </c>
      <c r="F376" s="136" t="str">
        <f>tbl_IO_List[[#This Row],[Column23]]&amp;"-" &amp;tbl_IO_List[[#This Row],[Column52]]</f>
        <v>C2S05-X2</v>
      </c>
      <c r="G376" s="136" t="str">
        <f>tbl_IO_List[[#This Row],[PLC_Tag]]</f>
        <v>XV-60263SL_DI_2</v>
      </c>
      <c r="H376" s="136"/>
      <c r="I376" s="136" t="str">
        <f>VLOOKUP(tbl_IO_List[[#This Row],[Destination]],tbl_Junction[],2,FALSE)</f>
        <v>Spray Dryer 7th Floor</v>
      </c>
      <c r="J376" s="136" t="s">
        <v>270</v>
      </c>
      <c r="K376" s="136" t="s">
        <v>14</v>
      </c>
      <c r="L376" s="136" t="s">
        <v>321</v>
      </c>
      <c r="M376" s="136">
        <f>VLOOKUP(tbl_IO_List[[#This Row],[Instruement Tag]],tbl_Instruement_List[],2,FALSE)</f>
        <v>0</v>
      </c>
      <c r="N376" s="136" t="s">
        <v>95</v>
      </c>
      <c r="O376" s="136" t="s">
        <v>272</v>
      </c>
      <c r="P376" s="136" t="s">
        <v>273</v>
      </c>
      <c r="Q376" s="136" t="str">
        <f>VLOOKUP(tbl_IO_List[[#This Row],[Instruement Tag]],tbl_Instruement_List[],6,FALSE)</f>
        <v>Steam On/Off Valve for Nozzle #11 (ATVM-11C)</v>
      </c>
      <c r="R376" s="136"/>
      <c r="S37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76" s="136" t="str">
        <f>tbl_IO_List[[#This Row],[Instruement Tag]]&amp;"_"&amp;tbl_IO_List[[#This Row],[I/O Type]]&amp;"_"&amp;tbl_IO_List[[#This Row],[IO-Point 
(Instruement)]]</f>
        <v>XV-60263SL_DI_2</v>
      </c>
      <c r="U376" s="136" t="s">
        <v>8</v>
      </c>
      <c r="V376" s="136">
        <f>VLOOKUP(tbl_IO_List[[#This Row],[I/O Type]],tbl_Slot_Group[],2,FALSE)</f>
        <v>1</v>
      </c>
      <c r="W376" s="136">
        <v>2</v>
      </c>
      <c r="X376" s="136" t="str">
        <f>tbl_IO_List[[#This Row],[Chassis]]&amp;"S"&amp;TEXT(tbl_IO_List[[#This Row],[Slot]],"00")</f>
        <v>C2S05</v>
      </c>
      <c r="Y376" s="136" t="str">
        <f>tbl_IO_List[[#This Row],[Chassis]]&amp;"S"&amp;TEXT(tbl_IO_List[[#This Row],[Slot]],"00")&amp;tbl_IO_List[[#This Row],[I/O Type]]&amp;TEXT(tbl_IO_List[[#This Row],[Point]],"00")</f>
        <v>C2S05DI17</v>
      </c>
      <c r="Z376" s="136" t="str">
        <f>tbl_IO_List[[#This Row],[Chassis]]&amp;"S"&amp;TEXT(tbl_IO_List[[#This Row],[Slot]],"00")&amp;","&amp;TEXT(tbl_IO_List[[#This Row],[Point]],"00")</f>
        <v>C2S05,17</v>
      </c>
      <c r="AA376" s="136" t="str">
        <f>VLOOKUP(tbl_IO_List[[#This Row],[Column23]],tbl_RackConfig[],5,FALSE) &amp;"-"&amp;tbl_IO_List[[#This Row],[Point]]</f>
        <v>1756-IB32-17</v>
      </c>
      <c r="AB376" s="136"/>
      <c r="AC376" s="136"/>
      <c r="AD376" s="136" t="str">
        <f>tbl_IO_List[[#This Row],[I/O Type]]</f>
        <v>DI</v>
      </c>
      <c r="AE376" s="136" t="s">
        <v>1333</v>
      </c>
      <c r="AF376" s="136">
        <v>5</v>
      </c>
      <c r="AG376" s="136">
        <v>17</v>
      </c>
      <c r="AH376" s="136">
        <v>18</v>
      </c>
      <c r="AI376" s="136">
        <v>20</v>
      </c>
      <c r="AJ376" s="136">
        <v>2</v>
      </c>
      <c r="AK376" s="136">
        <v>1</v>
      </c>
      <c r="AL376" s="136">
        <v>0</v>
      </c>
      <c r="AM376" s="136">
        <v>0</v>
      </c>
      <c r="AN376" s="136">
        <v>0</v>
      </c>
      <c r="AO376" s="136"/>
      <c r="AP376" s="143" t="str">
        <f>VLOOKUP(tbl_IO_List[[#This Row],[Instruement Tag]],tbl_Instruement_List[],14,FALSE)</f>
        <v>24 VDC energized,Dry Contact</v>
      </c>
      <c r="AQ376" s="143" t="str">
        <f>tbl_IO_List[[#This Row],[Chassis]]&amp;"S"&amp;tbl_IO_List[[#This Row],[Slot]]&amp;"-"&amp;tbl_IO_List[[#This Row],[Front Terminal Number]]</f>
        <v>C2S5-20</v>
      </c>
      <c r="AR376" s="141" t="s">
        <v>1865</v>
      </c>
      <c r="AS376" s="136" t="str">
        <f>tbl_IO_List[[#This Row],[Terminal Tagging]]&amp;"-"&amp;tbl_IO_List[[#This Row],[Point-Count]]</f>
        <v>P2-TBDI5-18</v>
      </c>
      <c r="AT376" s="136" t="str">
        <f>tbl_IO_List[[#This Row],[Front Terminal Tagging]]&amp;"/"&amp;tbl_IO_List[[#This Row],[Terminal Tagging-Item]]</f>
        <v>C2S5-20/P2-TBDI5-18</v>
      </c>
      <c r="AU376" s="136" t="str">
        <f>tbl_IO_List[[#This Row],[Terminal Tagging-Item]]&amp;"/"&amp;tbl_IO_List[[#This Row],[Front Terminal Tagging]]</f>
        <v>P2-TBDI5-18/C2S5-20</v>
      </c>
    </row>
    <row r="377" spans="1:47">
      <c r="A377" s="147" t="s">
        <v>1367</v>
      </c>
      <c r="B377" s="136" t="s">
        <v>270</v>
      </c>
      <c r="C377" s="136" t="str">
        <f>tbl_IO_List[[#This Row],[Column3]]</f>
        <v>C2S05,18</v>
      </c>
      <c r="D377" s="136" t="str">
        <f>tbl_IO_List[[#This Row],[Card]]</f>
        <v>1756-IB32-18</v>
      </c>
      <c r="E377" s="136" t="s">
        <v>1372</v>
      </c>
      <c r="F377" s="136" t="str">
        <f>tbl_IO_List[[#This Row],[Column23]]&amp;"-" &amp;tbl_IO_List[[#This Row],[Column52]]</f>
        <v>C2S05-X2</v>
      </c>
      <c r="G377" s="136" t="str">
        <f>tbl_IO_List[[#This Row],[PLC_Tag]]</f>
        <v>XV-60263SM_DI_1</v>
      </c>
      <c r="H377" s="136"/>
      <c r="I377" s="136" t="str">
        <f>VLOOKUP(tbl_IO_List[[#This Row],[Destination]],tbl_Junction[],2,FALSE)</f>
        <v>Spray Dryer 7th Floor</v>
      </c>
      <c r="J377" s="136" t="s">
        <v>270</v>
      </c>
      <c r="K377" s="136" t="s">
        <v>14</v>
      </c>
      <c r="L377" s="136" t="s">
        <v>322</v>
      </c>
      <c r="M377" s="136">
        <f>VLOOKUP(tbl_IO_List[[#This Row],[Instruement Tag]],tbl_Instruement_List[],2,FALSE)</f>
        <v>0</v>
      </c>
      <c r="N377" s="136" t="s">
        <v>95</v>
      </c>
      <c r="O377" s="136" t="s">
        <v>272</v>
      </c>
      <c r="P377" s="136" t="s">
        <v>273</v>
      </c>
      <c r="Q377" s="136" t="str">
        <f>VLOOKUP(tbl_IO_List[[#This Row],[Instruement Tag]],tbl_Instruement_List[],6,FALSE)</f>
        <v>Steam On/Off Valve for Nozzle #12 (ATVM-11C)</v>
      </c>
      <c r="R377" s="136"/>
      <c r="S37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77" s="136" t="str">
        <f>tbl_IO_List[[#This Row],[Instruement Tag]]&amp;"_"&amp;tbl_IO_List[[#This Row],[I/O Type]]&amp;"_"&amp;tbl_IO_List[[#This Row],[IO-Point 
(Instruement)]]</f>
        <v>XV-60263SM_DI_1</v>
      </c>
      <c r="U377" s="136" t="s">
        <v>8</v>
      </c>
      <c r="V377" s="136">
        <f>VLOOKUP(tbl_IO_List[[#This Row],[I/O Type]],tbl_Slot_Group[],2,FALSE)</f>
        <v>1</v>
      </c>
      <c r="W377" s="136">
        <v>1</v>
      </c>
      <c r="X377" s="136" t="str">
        <f>tbl_IO_List[[#This Row],[Chassis]]&amp;"S"&amp;TEXT(tbl_IO_List[[#This Row],[Slot]],"00")</f>
        <v>C2S05</v>
      </c>
      <c r="Y377" s="136" t="str">
        <f>tbl_IO_List[[#This Row],[Chassis]]&amp;"S"&amp;TEXT(tbl_IO_List[[#This Row],[Slot]],"00")&amp;tbl_IO_List[[#This Row],[I/O Type]]&amp;TEXT(tbl_IO_List[[#This Row],[Point]],"00")</f>
        <v>C2S05DI18</v>
      </c>
      <c r="Z377" s="136" t="str">
        <f>tbl_IO_List[[#This Row],[Chassis]]&amp;"S"&amp;TEXT(tbl_IO_List[[#This Row],[Slot]],"00")&amp;","&amp;TEXT(tbl_IO_List[[#This Row],[Point]],"00")</f>
        <v>C2S05,18</v>
      </c>
      <c r="AA377" s="136" t="str">
        <f>VLOOKUP(tbl_IO_List[[#This Row],[Column23]],tbl_RackConfig[],5,FALSE) &amp;"-"&amp;tbl_IO_List[[#This Row],[Point]]</f>
        <v>1756-IB32-18</v>
      </c>
      <c r="AB377" s="136"/>
      <c r="AC377" s="136"/>
      <c r="AD377" s="136" t="str">
        <f>tbl_IO_List[[#This Row],[I/O Type]]</f>
        <v>DI</v>
      </c>
      <c r="AE377" s="136" t="s">
        <v>1333</v>
      </c>
      <c r="AF377" s="136">
        <v>5</v>
      </c>
      <c r="AG377" s="136">
        <v>18</v>
      </c>
      <c r="AH377" s="136">
        <v>19</v>
      </c>
      <c r="AI377" s="136">
        <v>21</v>
      </c>
      <c r="AJ377" s="136">
        <v>2</v>
      </c>
      <c r="AK377" s="136">
        <v>1</v>
      </c>
      <c r="AL377" s="136">
        <v>0</v>
      </c>
      <c r="AM377" s="136">
        <v>0</v>
      </c>
      <c r="AN377" s="136">
        <v>0</v>
      </c>
      <c r="AO377" s="136"/>
      <c r="AP377" s="143" t="str">
        <f>VLOOKUP(tbl_IO_List[[#This Row],[Instruement Tag]],tbl_Instruement_List[],14,FALSE)</f>
        <v>24 VDC energized,Dry Contact</v>
      </c>
      <c r="AQ377" s="143" t="str">
        <f>tbl_IO_List[[#This Row],[Chassis]]&amp;"S"&amp;tbl_IO_List[[#This Row],[Slot]]&amp;"-"&amp;tbl_IO_List[[#This Row],[Front Terminal Number]]</f>
        <v>C2S5-21</v>
      </c>
      <c r="AR377" s="141" t="s">
        <v>1865</v>
      </c>
      <c r="AS377" s="136" t="str">
        <f>tbl_IO_List[[#This Row],[Terminal Tagging]]&amp;"-"&amp;tbl_IO_List[[#This Row],[Point-Count]]</f>
        <v>P2-TBDI5-19</v>
      </c>
      <c r="AT377" s="136" t="str">
        <f>tbl_IO_List[[#This Row],[Front Terminal Tagging]]&amp;"/"&amp;tbl_IO_List[[#This Row],[Terminal Tagging-Item]]</f>
        <v>C2S5-21/P2-TBDI5-19</v>
      </c>
      <c r="AU377" s="136" t="str">
        <f>tbl_IO_List[[#This Row],[Terminal Tagging-Item]]&amp;"/"&amp;tbl_IO_List[[#This Row],[Front Terminal Tagging]]</f>
        <v>P2-TBDI5-19/C2S5-21</v>
      </c>
    </row>
    <row r="378" spans="1:47">
      <c r="A378" s="147" t="s">
        <v>1367</v>
      </c>
      <c r="B378" s="136" t="s">
        <v>270</v>
      </c>
      <c r="C378" s="136" t="str">
        <f>tbl_IO_List[[#This Row],[Column3]]</f>
        <v>C2S05,19</v>
      </c>
      <c r="D378" s="136" t="str">
        <f>tbl_IO_List[[#This Row],[Card]]</f>
        <v>1756-IB32-19</v>
      </c>
      <c r="E378" s="136" t="s">
        <v>1372</v>
      </c>
      <c r="F378" s="136" t="str">
        <f>tbl_IO_List[[#This Row],[Column23]]&amp;"-" &amp;tbl_IO_List[[#This Row],[Column52]]</f>
        <v>C2S05-X2</v>
      </c>
      <c r="G378" s="136" t="str">
        <f>tbl_IO_List[[#This Row],[PLC_Tag]]</f>
        <v>XV-60263SM_DI_2</v>
      </c>
      <c r="H378" s="136"/>
      <c r="I378" s="136" t="str">
        <f>VLOOKUP(tbl_IO_List[[#This Row],[Destination]],tbl_Junction[],2,FALSE)</f>
        <v>Spray Dryer 7th Floor</v>
      </c>
      <c r="J378" s="136" t="s">
        <v>270</v>
      </c>
      <c r="K378" s="136" t="s">
        <v>14</v>
      </c>
      <c r="L378" s="136" t="s">
        <v>322</v>
      </c>
      <c r="M378" s="136">
        <f>VLOOKUP(tbl_IO_List[[#This Row],[Instruement Tag]],tbl_Instruement_List[],2,FALSE)</f>
        <v>0</v>
      </c>
      <c r="N378" s="136" t="s">
        <v>95</v>
      </c>
      <c r="O378" s="136" t="s">
        <v>272</v>
      </c>
      <c r="P378" s="136" t="s">
        <v>273</v>
      </c>
      <c r="Q378" s="136" t="str">
        <f>VLOOKUP(tbl_IO_List[[#This Row],[Instruement Tag]],tbl_Instruement_List[],6,FALSE)</f>
        <v>Steam On/Off Valve for Nozzle #12 (ATVM-11C)</v>
      </c>
      <c r="R378" s="136"/>
      <c r="S37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78" s="136" t="str">
        <f>tbl_IO_List[[#This Row],[Instruement Tag]]&amp;"_"&amp;tbl_IO_List[[#This Row],[I/O Type]]&amp;"_"&amp;tbl_IO_List[[#This Row],[IO-Point 
(Instruement)]]</f>
        <v>XV-60263SM_DI_2</v>
      </c>
      <c r="U378" s="136" t="s">
        <v>8</v>
      </c>
      <c r="V378" s="136">
        <f>VLOOKUP(tbl_IO_List[[#This Row],[I/O Type]],tbl_Slot_Group[],2,FALSE)</f>
        <v>1</v>
      </c>
      <c r="W378" s="136">
        <v>2</v>
      </c>
      <c r="X378" s="136" t="str">
        <f>tbl_IO_List[[#This Row],[Chassis]]&amp;"S"&amp;TEXT(tbl_IO_List[[#This Row],[Slot]],"00")</f>
        <v>C2S05</v>
      </c>
      <c r="Y378" s="136" t="str">
        <f>tbl_IO_List[[#This Row],[Chassis]]&amp;"S"&amp;TEXT(tbl_IO_List[[#This Row],[Slot]],"00")&amp;tbl_IO_List[[#This Row],[I/O Type]]&amp;TEXT(tbl_IO_List[[#This Row],[Point]],"00")</f>
        <v>C2S05DI19</v>
      </c>
      <c r="Z378" s="136" t="str">
        <f>tbl_IO_List[[#This Row],[Chassis]]&amp;"S"&amp;TEXT(tbl_IO_List[[#This Row],[Slot]],"00")&amp;","&amp;TEXT(tbl_IO_List[[#This Row],[Point]],"00")</f>
        <v>C2S05,19</v>
      </c>
      <c r="AA378" s="136" t="str">
        <f>VLOOKUP(tbl_IO_List[[#This Row],[Column23]],tbl_RackConfig[],5,FALSE) &amp;"-"&amp;tbl_IO_List[[#This Row],[Point]]</f>
        <v>1756-IB32-19</v>
      </c>
      <c r="AB378" s="136"/>
      <c r="AC378" s="136"/>
      <c r="AD378" s="136" t="str">
        <f>tbl_IO_List[[#This Row],[I/O Type]]</f>
        <v>DI</v>
      </c>
      <c r="AE378" s="136" t="s">
        <v>1333</v>
      </c>
      <c r="AF378" s="136">
        <v>5</v>
      </c>
      <c r="AG378" s="136">
        <v>19</v>
      </c>
      <c r="AH378" s="136">
        <v>20</v>
      </c>
      <c r="AI378" s="136">
        <v>22</v>
      </c>
      <c r="AJ378" s="136">
        <v>2</v>
      </c>
      <c r="AK378" s="136">
        <v>1</v>
      </c>
      <c r="AL378" s="136">
        <v>0</v>
      </c>
      <c r="AM378" s="136">
        <v>0</v>
      </c>
      <c r="AN378" s="136">
        <v>0</v>
      </c>
      <c r="AO378" s="136"/>
      <c r="AP378" s="143" t="str">
        <f>VLOOKUP(tbl_IO_List[[#This Row],[Instruement Tag]],tbl_Instruement_List[],14,FALSE)</f>
        <v>24 VDC energized,Dry Contact</v>
      </c>
      <c r="AQ378" s="143" t="str">
        <f>tbl_IO_List[[#This Row],[Chassis]]&amp;"S"&amp;tbl_IO_List[[#This Row],[Slot]]&amp;"-"&amp;tbl_IO_List[[#This Row],[Front Terminal Number]]</f>
        <v>C2S5-22</v>
      </c>
      <c r="AR378" s="141" t="s">
        <v>1865</v>
      </c>
      <c r="AS378" s="136" t="str">
        <f>tbl_IO_List[[#This Row],[Terminal Tagging]]&amp;"-"&amp;tbl_IO_List[[#This Row],[Point-Count]]</f>
        <v>P2-TBDI5-20</v>
      </c>
      <c r="AT378" s="136" t="str">
        <f>tbl_IO_List[[#This Row],[Front Terminal Tagging]]&amp;"/"&amp;tbl_IO_List[[#This Row],[Terminal Tagging-Item]]</f>
        <v>C2S5-22/P2-TBDI5-20</v>
      </c>
      <c r="AU378" s="136" t="str">
        <f>tbl_IO_List[[#This Row],[Terminal Tagging-Item]]&amp;"/"&amp;tbl_IO_List[[#This Row],[Front Terminal Tagging]]</f>
        <v>P2-TBDI5-20/C2S5-22</v>
      </c>
    </row>
    <row r="379" spans="1:47">
      <c r="A379" s="147" t="s">
        <v>1367</v>
      </c>
      <c r="B379" s="136" t="s">
        <v>270</v>
      </c>
      <c r="C379" s="136" t="str">
        <f>tbl_IO_List[[#This Row],[Column3]]</f>
        <v>C2S05,20</v>
      </c>
      <c r="D379" s="136" t="str">
        <f>tbl_IO_List[[#This Row],[Card]]</f>
        <v>1756-IB32-20</v>
      </c>
      <c r="E379" s="136" t="s">
        <v>1372</v>
      </c>
      <c r="F379" s="136" t="str">
        <f>tbl_IO_List[[#This Row],[Column23]]&amp;"-" &amp;tbl_IO_List[[#This Row],[Column52]]</f>
        <v>C2S05-X2</v>
      </c>
      <c r="G379" s="136" t="str">
        <f>tbl_IO_List[[#This Row],[PLC_Tag]]</f>
        <v>Spare_DI_0</v>
      </c>
      <c r="H379" s="136"/>
      <c r="I379" s="136" t="str">
        <f>VLOOKUP(tbl_IO_List[[#This Row],[Destination]],tbl_Junction[],2,FALSE)</f>
        <v>Spray Dryer 7th Floor</v>
      </c>
      <c r="J379" s="136" t="s">
        <v>270</v>
      </c>
      <c r="K379" s="136" t="s">
        <v>14</v>
      </c>
      <c r="L379" s="136" t="s">
        <v>411</v>
      </c>
      <c r="M379" s="136" t="e">
        <f>VLOOKUP(tbl_IO_List[[#This Row],[Instruement Tag]],tbl_Instruement_List[],2,FALSE)</f>
        <v>#N/A</v>
      </c>
      <c r="N379" s="136" t="s">
        <v>18</v>
      </c>
      <c r="O379" s="136" t="s">
        <v>18</v>
      </c>
      <c r="P379" s="136" t="s">
        <v>18</v>
      </c>
      <c r="Q379" s="136" t="e">
        <f>VLOOKUP(tbl_IO_List[[#This Row],[Instruement Tag]],tbl_Instruement_List[],6,FALSE)</f>
        <v>#N/A</v>
      </c>
      <c r="R379" s="136"/>
      <c r="S37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379" s="136" t="str">
        <f>tbl_IO_List[[#This Row],[Instruement Tag]]&amp;"_"&amp;tbl_IO_List[[#This Row],[I/O Type]]&amp;"_"&amp;tbl_IO_List[[#This Row],[IO-Point 
(Instruement)]]</f>
        <v>Spare_DI_0</v>
      </c>
      <c r="U379" s="136" t="s">
        <v>8</v>
      </c>
      <c r="V379" s="136">
        <f>VLOOKUP(tbl_IO_List[[#This Row],[I/O Type]],tbl_Slot_Group[],2,FALSE)</f>
        <v>1</v>
      </c>
      <c r="W379" s="136">
        <v>0</v>
      </c>
      <c r="X379" s="136" t="str">
        <f>tbl_IO_List[[#This Row],[Chassis]]&amp;"S"&amp;TEXT(tbl_IO_List[[#This Row],[Slot]],"00")</f>
        <v>C2S05</v>
      </c>
      <c r="Y379" s="136" t="str">
        <f>tbl_IO_List[[#This Row],[Chassis]]&amp;"S"&amp;TEXT(tbl_IO_List[[#This Row],[Slot]],"00")&amp;tbl_IO_List[[#This Row],[I/O Type]]&amp;TEXT(tbl_IO_List[[#This Row],[Point]],"00")</f>
        <v>C2S05DI20</v>
      </c>
      <c r="Z379" s="136" t="str">
        <f>tbl_IO_List[[#This Row],[Chassis]]&amp;"S"&amp;TEXT(tbl_IO_List[[#This Row],[Slot]],"00")&amp;","&amp;TEXT(tbl_IO_List[[#This Row],[Point]],"00")</f>
        <v>C2S05,20</v>
      </c>
      <c r="AA379" s="136" t="str">
        <f>VLOOKUP(tbl_IO_List[[#This Row],[Column23]],tbl_RackConfig[],5,FALSE) &amp;"-"&amp;tbl_IO_List[[#This Row],[Point]]</f>
        <v>1756-IB32-20</v>
      </c>
      <c r="AB379" s="136"/>
      <c r="AC379" s="136"/>
      <c r="AD379" s="136" t="str">
        <f>tbl_IO_List[[#This Row],[I/O Type]]</f>
        <v>DI</v>
      </c>
      <c r="AE379" s="136" t="s">
        <v>1333</v>
      </c>
      <c r="AF379" s="136">
        <v>5</v>
      </c>
      <c r="AG379" s="136">
        <v>20</v>
      </c>
      <c r="AH379" s="136">
        <v>21</v>
      </c>
      <c r="AI379" s="136">
        <v>23</v>
      </c>
      <c r="AJ379" s="136">
        <v>1</v>
      </c>
      <c r="AK379" s="136">
        <v>0</v>
      </c>
      <c r="AL379" s="136">
        <v>0</v>
      </c>
      <c r="AM379" s="136">
        <v>0</v>
      </c>
      <c r="AN379" s="136">
        <v>0</v>
      </c>
      <c r="AO379" s="136"/>
      <c r="AP379" s="143" t="e">
        <f>VLOOKUP(tbl_IO_List[[#This Row],[Instruement Tag]],tbl_Instruement_List[],14,FALSE)</f>
        <v>#N/A</v>
      </c>
      <c r="AQ379" s="143" t="str">
        <f>tbl_IO_List[[#This Row],[Chassis]]&amp;"S"&amp;tbl_IO_List[[#This Row],[Slot]]&amp;"-"&amp;tbl_IO_List[[#This Row],[Front Terminal Number]]</f>
        <v>C2S5-23</v>
      </c>
      <c r="AR379" s="141" t="s">
        <v>1865</v>
      </c>
      <c r="AS379" s="136" t="str">
        <f>tbl_IO_List[[#This Row],[Terminal Tagging]]&amp;"-"&amp;tbl_IO_List[[#This Row],[Point-Count]]</f>
        <v>P2-TBDI5-21</v>
      </c>
      <c r="AT379" s="136" t="str">
        <f>tbl_IO_List[[#This Row],[Front Terminal Tagging]]&amp;"/"&amp;tbl_IO_List[[#This Row],[Terminal Tagging-Item]]</f>
        <v>C2S5-23/P2-TBDI5-21</v>
      </c>
      <c r="AU379" s="136" t="str">
        <f>tbl_IO_List[[#This Row],[Terminal Tagging-Item]]&amp;"/"&amp;tbl_IO_List[[#This Row],[Front Terminal Tagging]]</f>
        <v>P2-TBDI5-21/C2S5-23</v>
      </c>
    </row>
    <row r="380" spans="1:47">
      <c r="A380" s="147" t="s">
        <v>1367</v>
      </c>
      <c r="B380" s="136" t="s">
        <v>270</v>
      </c>
      <c r="C380" s="136" t="str">
        <f>tbl_IO_List[[#This Row],[Column3]]</f>
        <v>C2S05,21</v>
      </c>
      <c r="D380" s="136" t="str">
        <f>tbl_IO_List[[#This Row],[Card]]</f>
        <v>1756-IB32-21</v>
      </c>
      <c r="E380" s="136" t="s">
        <v>1372</v>
      </c>
      <c r="F380" s="136" t="str">
        <f>tbl_IO_List[[#This Row],[Column23]]&amp;"-" &amp;tbl_IO_List[[#This Row],[Column52]]</f>
        <v>C2S05-X2</v>
      </c>
      <c r="G380" s="136" t="str">
        <f>tbl_IO_List[[#This Row],[PLC_Tag]]</f>
        <v>Spare_DI_0</v>
      </c>
      <c r="H380" s="136"/>
      <c r="I380" s="136" t="str">
        <f>VLOOKUP(tbl_IO_List[[#This Row],[Destination]],tbl_Junction[],2,FALSE)</f>
        <v>Spray Dryer 7th Floor</v>
      </c>
      <c r="J380" s="136" t="s">
        <v>270</v>
      </c>
      <c r="K380" s="136" t="s">
        <v>14</v>
      </c>
      <c r="L380" s="136" t="s">
        <v>411</v>
      </c>
      <c r="M380" s="136" t="e">
        <f>VLOOKUP(tbl_IO_List[[#This Row],[Instruement Tag]],tbl_Instruement_List[],2,FALSE)</f>
        <v>#N/A</v>
      </c>
      <c r="N380" s="136" t="s">
        <v>18</v>
      </c>
      <c r="O380" s="136" t="s">
        <v>18</v>
      </c>
      <c r="P380" s="136" t="s">
        <v>18</v>
      </c>
      <c r="Q380" s="136" t="e">
        <f>VLOOKUP(tbl_IO_List[[#This Row],[Instruement Tag]],tbl_Instruement_List[],6,FALSE)</f>
        <v>#N/A</v>
      </c>
      <c r="R380" s="136"/>
      <c r="S38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380" s="136" t="str">
        <f>tbl_IO_List[[#This Row],[Instruement Tag]]&amp;"_"&amp;tbl_IO_List[[#This Row],[I/O Type]]&amp;"_"&amp;tbl_IO_List[[#This Row],[IO-Point 
(Instruement)]]</f>
        <v>Spare_DI_0</v>
      </c>
      <c r="U380" s="136" t="s">
        <v>8</v>
      </c>
      <c r="V380" s="136">
        <f>VLOOKUP(tbl_IO_List[[#This Row],[I/O Type]],tbl_Slot_Group[],2,FALSE)</f>
        <v>1</v>
      </c>
      <c r="W380" s="136">
        <v>0</v>
      </c>
      <c r="X380" s="136" t="str">
        <f>tbl_IO_List[[#This Row],[Chassis]]&amp;"S"&amp;TEXT(tbl_IO_List[[#This Row],[Slot]],"00")</f>
        <v>C2S05</v>
      </c>
      <c r="Y380" s="136" t="str">
        <f>tbl_IO_List[[#This Row],[Chassis]]&amp;"S"&amp;TEXT(tbl_IO_List[[#This Row],[Slot]],"00")&amp;tbl_IO_List[[#This Row],[I/O Type]]&amp;TEXT(tbl_IO_List[[#This Row],[Point]],"00")</f>
        <v>C2S05DI21</v>
      </c>
      <c r="Z380" s="136" t="str">
        <f>tbl_IO_List[[#This Row],[Chassis]]&amp;"S"&amp;TEXT(tbl_IO_List[[#This Row],[Slot]],"00")&amp;","&amp;TEXT(tbl_IO_List[[#This Row],[Point]],"00")</f>
        <v>C2S05,21</v>
      </c>
      <c r="AA380" s="136" t="str">
        <f>VLOOKUP(tbl_IO_List[[#This Row],[Column23]],tbl_RackConfig[],5,FALSE) &amp;"-"&amp;tbl_IO_List[[#This Row],[Point]]</f>
        <v>1756-IB32-21</v>
      </c>
      <c r="AB380" s="136"/>
      <c r="AC380" s="136"/>
      <c r="AD380" s="136" t="str">
        <f>tbl_IO_List[[#This Row],[I/O Type]]</f>
        <v>DI</v>
      </c>
      <c r="AE380" s="136" t="s">
        <v>1333</v>
      </c>
      <c r="AF380" s="136">
        <v>5</v>
      </c>
      <c r="AG380" s="136">
        <v>21</v>
      </c>
      <c r="AH380" s="136">
        <v>22</v>
      </c>
      <c r="AI380" s="136">
        <v>24</v>
      </c>
      <c r="AJ380" s="136">
        <v>1</v>
      </c>
      <c r="AK380" s="136">
        <v>0</v>
      </c>
      <c r="AL380" s="136">
        <v>0</v>
      </c>
      <c r="AM380" s="136">
        <v>0</v>
      </c>
      <c r="AN380" s="136">
        <v>0</v>
      </c>
      <c r="AO380" s="136"/>
      <c r="AP380" s="143" t="e">
        <f>VLOOKUP(tbl_IO_List[[#This Row],[Instruement Tag]],tbl_Instruement_List[],14,FALSE)</f>
        <v>#N/A</v>
      </c>
      <c r="AQ380" s="143" t="str">
        <f>tbl_IO_List[[#This Row],[Chassis]]&amp;"S"&amp;tbl_IO_List[[#This Row],[Slot]]&amp;"-"&amp;tbl_IO_List[[#This Row],[Front Terminal Number]]</f>
        <v>C2S5-24</v>
      </c>
      <c r="AR380" s="141" t="s">
        <v>1865</v>
      </c>
      <c r="AS380" s="136" t="str">
        <f>tbl_IO_List[[#This Row],[Terminal Tagging]]&amp;"-"&amp;tbl_IO_List[[#This Row],[Point-Count]]</f>
        <v>P2-TBDI5-22</v>
      </c>
      <c r="AT380" s="136" t="str">
        <f>tbl_IO_List[[#This Row],[Front Terminal Tagging]]&amp;"/"&amp;tbl_IO_List[[#This Row],[Terminal Tagging-Item]]</f>
        <v>C2S5-24/P2-TBDI5-22</v>
      </c>
      <c r="AU380" s="136" t="str">
        <f>tbl_IO_List[[#This Row],[Terminal Tagging-Item]]&amp;"/"&amp;tbl_IO_List[[#This Row],[Front Terminal Tagging]]</f>
        <v>P2-TBDI5-22/C2S5-24</v>
      </c>
    </row>
    <row r="381" spans="1:47">
      <c r="A381" s="147" t="s">
        <v>1367</v>
      </c>
      <c r="B381" s="136" t="s">
        <v>270</v>
      </c>
      <c r="C381" s="136" t="str">
        <f>tbl_IO_List[[#This Row],[Column3]]</f>
        <v>C2S05,22</v>
      </c>
      <c r="D381" s="136" t="str">
        <f>tbl_IO_List[[#This Row],[Card]]</f>
        <v>1756-IB32-22</v>
      </c>
      <c r="E381" s="136" t="s">
        <v>1372</v>
      </c>
      <c r="F381" s="136" t="str">
        <f>tbl_IO_List[[#This Row],[Column23]]&amp;"-" &amp;tbl_IO_List[[#This Row],[Column52]]</f>
        <v>C2S05-X2</v>
      </c>
      <c r="G381" s="136" t="str">
        <f>tbl_IO_List[[#This Row],[PLC_Tag]]</f>
        <v>Spare_DI_0</v>
      </c>
      <c r="H381" s="136"/>
      <c r="I381" s="136" t="str">
        <f>VLOOKUP(tbl_IO_List[[#This Row],[Destination]],tbl_Junction[],2,FALSE)</f>
        <v>Spray Dryer 7th Floor</v>
      </c>
      <c r="J381" s="136" t="s">
        <v>270</v>
      </c>
      <c r="K381" s="136" t="s">
        <v>14</v>
      </c>
      <c r="L381" s="136" t="s">
        <v>411</v>
      </c>
      <c r="M381" s="136" t="e">
        <f>VLOOKUP(tbl_IO_List[[#This Row],[Instruement Tag]],tbl_Instruement_List[],2,FALSE)</f>
        <v>#N/A</v>
      </c>
      <c r="N381" s="136" t="s">
        <v>18</v>
      </c>
      <c r="O381" s="136" t="s">
        <v>18</v>
      </c>
      <c r="P381" s="136" t="s">
        <v>18</v>
      </c>
      <c r="Q381" s="136" t="e">
        <f>VLOOKUP(tbl_IO_List[[#This Row],[Instruement Tag]],tbl_Instruement_List[],6,FALSE)</f>
        <v>#N/A</v>
      </c>
      <c r="R381" s="136"/>
      <c r="S38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381" s="136" t="str">
        <f>tbl_IO_List[[#This Row],[Instruement Tag]]&amp;"_"&amp;tbl_IO_List[[#This Row],[I/O Type]]&amp;"_"&amp;tbl_IO_List[[#This Row],[IO-Point 
(Instruement)]]</f>
        <v>Spare_DI_0</v>
      </c>
      <c r="U381" s="136" t="s">
        <v>8</v>
      </c>
      <c r="V381" s="136">
        <f>VLOOKUP(tbl_IO_List[[#This Row],[I/O Type]],tbl_Slot_Group[],2,FALSE)</f>
        <v>1</v>
      </c>
      <c r="W381" s="136">
        <v>0</v>
      </c>
      <c r="X381" s="136" t="str">
        <f>tbl_IO_List[[#This Row],[Chassis]]&amp;"S"&amp;TEXT(tbl_IO_List[[#This Row],[Slot]],"00")</f>
        <v>C2S05</v>
      </c>
      <c r="Y381" s="136" t="str">
        <f>tbl_IO_List[[#This Row],[Chassis]]&amp;"S"&amp;TEXT(tbl_IO_List[[#This Row],[Slot]],"00")&amp;tbl_IO_List[[#This Row],[I/O Type]]&amp;TEXT(tbl_IO_List[[#This Row],[Point]],"00")</f>
        <v>C2S05DI22</v>
      </c>
      <c r="Z381" s="136" t="str">
        <f>tbl_IO_List[[#This Row],[Chassis]]&amp;"S"&amp;TEXT(tbl_IO_List[[#This Row],[Slot]],"00")&amp;","&amp;TEXT(tbl_IO_List[[#This Row],[Point]],"00")</f>
        <v>C2S05,22</v>
      </c>
      <c r="AA381" s="136" t="str">
        <f>VLOOKUP(tbl_IO_List[[#This Row],[Column23]],tbl_RackConfig[],5,FALSE) &amp;"-"&amp;tbl_IO_List[[#This Row],[Point]]</f>
        <v>1756-IB32-22</v>
      </c>
      <c r="AB381" s="136"/>
      <c r="AC381" s="136"/>
      <c r="AD381" s="136" t="str">
        <f>tbl_IO_List[[#This Row],[I/O Type]]</f>
        <v>DI</v>
      </c>
      <c r="AE381" s="136" t="s">
        <v>1333</v>
      </c>
      <c r="AF381" s="136">
        <v>5</v>
      </c>
      <c r="AG381" s="136">
        <v>22</v>
      </c>
      <c r="AH381" s="136">
        <v>23</v>
      </c>
      <c r="AI381" s="136">
        <v>25</v>
      </c>
      <c r="AJ381" s="136">
        <v>1</v>
      </c>
      <c r="AK381" s="136">
        <v>0</v>
      </c>
      <c r="AL381" s="136">
        <v>0</v>
      </c>
      <c r="AM381" s="136">
        <v>0</v>
      </c>
      <c r="AN381" s="136">
        <v>0</v>
      </c>
      <c r="AO381" s="136"/>
      <c r="AP381" s="143" t="e">
        <f>VLOOKUP(tbl_IO_List[[#This Row],[Instruement Tag]],tbl_Instruement_List[],14,FALSE)</f>
        <v>#N/A</v>
      </c>
      <c r="AQ381" s="143" t="str">
        <f>tbl_IO_List[[#This Row],[Chassis]]&amp;"S"&amp;tbl_IO_List[[#This Row],[Slot]]&amp;"-"&amp;tbl_IO_List[[#This Row],[Front Terminal Number]]</f>
        <v>C2S5-25</v>
      </c>
      <c r="AR381" s="141" t="s">
        <v>1865</v>
      </c>
      <c r="AS381" s="136" t="str">
        <f>tbl_IO_List[[#This Row],[Terminal Tagging]]&amp;"-"&amp;tbl_IO_List[[#This Row],[Point-Count]]</f>
        <v>P2-TBDI5-23</v>
      </c>
      <c r="AT381" s="136" t="str">
        <f>tbl_IO_List[[#This Row],[Front Terminal Tagging]]&amp;"/"&amp;tbl_IO_List[[#This Row],[Terminal Tagging-Item]]</f>
        <v>C2S5-25/P2-TBDI5-23</v>
      </c>
      <c r="AU381" s="136" t="str">
        <f>tbl_IO_List[[#This Row],[Terminal Tagging-Item]]&amp;"/"&amp;tbl_IO_List[[#This Row],[Front Terminal Tagging]]</f>
        <v>P2-TBDI5-23/C2S5-25</v>
      </c>
    </row>
    <row r="382" spans="1:47">
      <c r="A382" s="147" t="s">
        <v>1367</v>
      </c>
      <c r="B382" s="136" t="s">
        <v>270</v>
      </c>
      <c r="C382" s="136" t="str">
        <f>tbl_IO_List[[#This Row],[Column3]]</f>
        <v>C2S05,23</v>
      </c>
      <c r="D382" s="136" t="str">
        <f>tbl_IO_List[[#This Row],[Card]]</f>
        <v>1756-IB32-23</v>
      </c>
      <c r="E382" s="136" t="s">
        <v>1372</v>
      </c>
      <c r="F382" s="136" t="str">
        <f>tbl_IO_List[[#This Row],[Column23]]&amp;"-" &amp;tbl_IO_List[[#This Row],[Column52]]</f>
        <v>C2S05-X2</v>
      </c>
      <c r="G382" s="136" t="str">
        <f>tbl_IO_List[[#This Row],[PLC_Tag]]</f>
        <v>Spare_DI_0</v>
      </c>
      <c r="H382" s="136"/>
      <c r="I382" s="136" t="str">
        <f>VLOOKUP(tbl_IO_List[[#This Row],[Destination]],tbl_Junction[],2,FALSE)</f>
        <v>Spray Dryer 7th Floor</v>
      </c>
      <c r="J382" s="136" t="s">
        <v>270</v>
      </c>
      <c r="K382" s="136" t="s">
        <v>14</v>
      </c>
      <c r="L382" s="136" t="s">
        <v>411</v>
      </c>
      <c r="M382" s="136" t="e">
        <f>VLOOKUP(tbl_IO_List[[#This Row],[Instruement Tag]],tbl_Instruement_List[],2,FALSE)</f>
        <v>#N/A</v>
      </c>
      <c r="N382" s="136" t="s">
        <v>18</v>
      </c>
      <c r="O382" s="136" t="s">
        <v>18</v>
      </c>
      <c r="P382" s="136" t="s">
        <v>18</v>
      </c>
      <c r="Q382" s="136" t="e">
        <f>VLOOKUP(tbl_IO_List[[#This Row],[Instruement Tag]],tbl_Instruement_List[],6,FALSE)</f>
        <v>#N/A</v>
      </c>
      <c r="R382" s="136"/>
      <c r="S38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382" s="136" t="str">
        <f>tbl_IO_List[[#This Row],[Instruement Tag]]&amp;"_"&amp;tbl_IO_List[[#This Row],[I/O Type]]&amp;"_"&amp;tbl_IO_List[[#This Row],[IO-Point 
(Instruement)]]</f>
        <v>Spare_DI_0</v>
      </c>
      <c r="U382" s="136" t="s">
        <v>8</v>
      </c>
      <c r="V382" s="136">
        <f>VLOOKUP(tbl_IO_List[[#This Row],[I/O Type]],tbl_Slot_Group[],2,FALSE)</f>
        <v>1</v>
      </c>
      <c r="W382" s="136">
        <v>0</v>
      </c>
      <c r="X382" s="136" t="str">
        <f>tbl_IO_List[[#This Row],[Chassis]]&amp;"S"&amp;TEXT(tbl_IO_List[[#This Row],[Slot]],"00")</f>
        <v>C2S05</v>
      </c>
      <c r="Y382" s="136" t="str">
        <f>tbl_IO_List[[#This Row],[Chassis]]&amp;"S"&amp;TEXT(tbl_IO_List[[#This Row],[Slot]],"00")&amp;tbl_IO_List[[#This Row],[I/O Type]]&amp;TEXT(tbl_IO_List[[#This Row],[Point]],"00")</f>
        <v>C2S05DI23</v>
      </c>
      <c r="Z382" s="136" t="str">
        <f>tbl_IO_List[[#This Row],[Chassis]]&amp;"S"&amp;TEXT(tbl_IO_List[[#This Row],[Slot]],"00")&amp;","&amp;TEXT(tbl_IO_List[[#This Row],[Point]],"00")</f>
        <v>C2S05,23</v>
      </c>
      <c r="AA382" s="136" t="str">
        <f>VLOOKUP(tbl_IO_List[[#This Row],[Column23]],tbl_RackConfig[],5,FALSE) &amp;"-"&amp;tbl_IO_List[[#This Row],[Point]]</f>
        <v>1756-IB32-23</v>
      </c>
      <c r="AB382" s="136"/>
      <c r="AC382" s="136"/>
      <c r="AD382" s="136" t="str">
        <f>tbl_IO_List[[#This Row],[I/O Type]]</f>
        <v>DI</v>
      </c>
      <c r="AE382" s="136" t="s">
        <v>1333</v>
      </c>
      <c r="AF382" s="136">
        <v>5</v>
      </c>
      <c r="AG382" s="136">
        <v>23</v>
      </c>
      <c r="AH382" s="136">
        <v>24</v>
      </c>
      <c r="AI382" s="136">
        <v>26</v>
      </c>
      <c r="AJ382" s="136">
        <v>1</v>
      </c>
      <c r="AK382" s="136">
        <v>0</v>
      </c>
      <c r="AL382" s="136">
        <v>0</v>
      </c>
      <c r="AM382" s="136">
        <v>0</v>
      </c>
      <c r="AN382" s="136">
        <v>0</v>
      </c>
      <c r="AO382" s="136"/>
      <c r="AP382" s="143" t="e">
        <f>VLOOKUP(tbl_IO_List[[#This Row],[Instruement Tag]],tbl_Instruement_List[],14,FALSE)</f>
        <v>#N/A</v>
      </c>
      <c r="AQ382" s="143" t="str">
        <f>tbl_IO_List[[#This Row],[Chassis]]&amp;"S"&amp;tbl_IO_List[[#This Row],[Slot]]&amp;"-"&amp;tbl_IO_List[[#This Row],[Front Terminal Number]]</f>
        <v>C2S5-26</v>
      </c>
      <c r="AR382" s="141" t="s">
        <v>1865</v>
      </c>
      <c r="AS382" s="136" t="str">
        <f>tbl_IO_List[[#This Row],[Terminal Tagging]]&amp;"-"&amp;tbl_IO_List[[#This Row],[Point-Count]]</f>
        <v>P2-TBDI5-24</v>
      </c>
      <c r="AT382" s="136" t="str">
        <f>tbl_IO_List[[#This Row],[Front Terminal Tagging]]&amp;"/"&amp;tbl_IO_List[[#This Row],[Terminal Tagging-Item]]</f>
        <v>C2S5-26/P2-TBDI5-24</v>
      </c>
      <c r="AU382" s="136" t="str">
        <f>tbl_IO_List[[#This Row],[Terminal Tagging-Item]]&amp;"/"&amp;tbl_IO_List[[#This Row],[Front Terminal Tagging]]</f>
        <v>P2-TBDI5-24/C2S5-26</v>
      </c>
    </row>
    <row r="383" spans="1:47">
      <c r="A383" s="147" t="s">
        <v>1367</v>
      </c>
      <c r="B383" s="136" t="s">
        <v>270</v>
      </c>
      <c r="C383" s="136" t="str">
        <f>tbl_IO_List[[#This Row],[Column3]]</f>
        <v>C2S05,24</v>
      </c>
      <c r="D383" s="136" t="str">
        <f>tbl_IO_List[[#This Row],[Card]]</f>
        <v>1756-IB32-24</v>
      </c>
      <c r="E383" s="136" t="s">
        <v>1372</v>
      </c>
      <c r="F383" s="136" t="str">
        <f>tbl_IO_List[[#This Row],[Column23]]&amp;"-" &amp;tbl_IO_List[[#This Row],[Column52]]</f>
        <v>C2S05-X2</v>
      </c>
      <c r="G383" s="136" t="str">
        <f>tbl_IO_List[[#This Row],[PLC_Tag]]</f>
        <v>Spare_DI_0</v>
      </c>
      <c r="H383" s="136"/>
      <c r="I383" s="136" t="str">
        <f>VLOOKUP(tbl_IO_List[[#This Row],[Destination]],tbl_Junction[],2,FALSE)</f>
        <v>Spray Dryer 7th Floor</v>
      </c>
      <c r="J383" s="136" t="s">
        <v>270</v>
      </c>
      <c r="K383" s="136" t="s">
        <v>14</v>
      </c>
      <c r="L383" s="136" t="s">
        <v>411</v>
      </c>
      <c r="M383" s="136" t="e">
        <f>VLOOKUP(tbl_IO_List[[#This Row],[Instruement Tag]],tbl_Instruement_List[],2,FALSE)</f>
        <v>#N/A</v>
      </c>
      <c r="N383" s="136" t="s">
        <v>18</v>
      </c>
      <c r="O383" s="136" t="s">
        <v>18</v>
      </c>
      <c r="P383" s="136" t="s">
        <v>18</v>
      </c>
      <c r="Q383" s="136" t="e">
        <f>VLOOKUP(tbl_IO_List[[#This Row],[Instruement Tag]],tbl_Instruement_List[],6,FALSE)</f>
        <v>#N/A</v>
      </c>
      <c r="R383" s="136"/>
      <c r="S38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383" s="136" t="str">
        <f>tbl_IO_List[[#This Row],[Instruement Tag]]&amp;"_"&amp;tbl_IO_List[[#This Row],[I/O Type]]&amp;"_"&amp;tbl_IO_List[[#This Row],[IO-Point 
(Instruement)]]</f>
        <v>Spare_DI_0</v>
      </c>
      <c r="U383" s="136" t="s">
        <v>8</v>
      </c>
      <c r="V383" s="136">
        <f>VLOOKUP(tbl_IO_List[[#This Row],[I/O Type]],tbl_Slot_Group[],2,FALSE)</f>
        <v>1</v>
      </c>
      <c r="W383" s="136">
        <v>0</v>
      </c>
      <c r="X383" s="136" t="str">
        <f>tbl_IO_List[[#This Row],[Chassis]]&amp;"S"&amp;TEXT(tbl_IO_List[[#This Row],[Slot]],"00")</f>
        <v>C2S05</v>
      </c>
      <c r="Y383" s="136" t="str">
        <f>tbl_IO_List[[#This Row],[Chassis]]&amp;"S"&amp;TEXT(tbl_IO_List[[#This Row],[Slot]],"00")&amp;tbl_IO_List[[#This Row],[I/O Type]]&amp;TEXT(tbl_IO_List[[#This Row],[Point]],"00")</f>
        <v>C2S05DI24</v>
      </c>
      <c r="Z383" s="136" t="str">
        <f>tbl_IO_List[[#This Row],[Chassis]]&amp;"S"&amp;TEXT(tbl_IO_List[[#This Row],[Slot]],"00")&amp;","&amp;TEXT(tbl_IO_List[[#This Row],[Point]],"00")</f>
        <v>C2S05,24</v>
      </c>
      <c r="AA383" s="136" t="str">
        <f>VLOOKUP(tbl_IO_List[[#This Row],[Column23]],tbl_RackConfig[],5,FALSE) &amp;"-"&amp;tbl_IO_List[[#This Row],[Point]]</f>
        <v>1756-IB32-24</v>
      </c>
      <c r="AB383" s="136"/>
      <c r="AC383" s="136"/>
      <c r="AD383" s="136" t="str">
        <f>tbl_IO_List[[#This Row],[I/O Type]]</f>
        <v>DI</v>
      </c>
      <c r="AE383" s="136" t="s">
        <v>1333</v>
      </c>
      <c r="AF383" s="136">
        <v>5</v>
      </c>
      <c r="AG383" s="136">
        <v>24</v>
      </c>
      <c r="AH383" s="136">
        <v>25</v>
      </c>
      <c r="AI383" s="136">
        <v>27</v>
      </c>
      <c r="AJ383" s="136">
        <v>1</v>
      </c>
      <c r="AK383" s="136">
        <v>0</v>
      </c>
      <c r="AL383" s="136">
        <v>0</v>
      </c>
      <c r="AM383" s="136">
        <v>0</v>
      </c>
      <c r="AN383" s="136">
        <v>0</v>
      </c>
      <c r="AO383" s="136"/>
      <c r="AP383" s="143" t="e">
        <f>VLOOKUP(tbl_IO_List[[#This Row],[Instruement Tag]],tbl_Instruement_List[],14,FALSE)</f>
        <v>#N/A</v>
      </c>
      <c r="AQ383" s="143" t="str">
        <f>tbl_IO_List[[#This Row],[Chassis]]&amp;"S"&amp;tbl_IO_List[[#This Row],[Slot]]&amp;"-"&amp;tbl_IO_List[[#This Row],[Front Terminal Number]]</f>
        <v>C2S5-27</v>
      </c>
      <c r="AR383" s="141" t="s">
        <v>1865</v>
      </c>
      <c r="AS383" s="136" t="str">
        <f>tbl_IO_List[[#This Row],[Terminal Tagging]]&amp;"-"&amp;tbl_IO_List[[#This Row],[Point-Count]]</f>
        <v>P2-TBDI5-25</v>
      </c>
      <c r="AT383" s="136" t="str">
        <f>tbl_IO_List[[#This Row],[Front Terminal Tagging]]&amp;"/"&amp;tbl_IO_List[[#This Row],[Terminal Tagging-Item]]</f>
        <v>C2S5-27/P2-TBDI5-25</v>
      </c>
      <c r="AU383" s="136" t="str">
        <f>tbl_IO_List[[#This Row],[Terminal Tagging-Item]]&amp;"/"&amp;tbl_IO_List[[#This Row],[Front Terminal Tagging]]</f>
        <v>P2-TBDI5-25/C2S5-27</v>
      </c>
    </row>
    <row r="384" spans="1:47">
      <c r="A384" s="147" t="s">
        <v>1367</v>
      </c>
      <c r="B384" s="136" t="s">
        <v>270</v>
      </c>
      <c r="C384" s="136" t="str">
        <f>tbl_IO_List[[#This Row],[Column3]]</f>
        <v>C2S05,25</v>
      </c>
      <c r="D384" s="136" t="str">
        <f>tbl_IO_List[[#This Row],[Card]]</f>
        <v>1756-IB32-25</v>
      </c>
      <c r="E384" s="136" t="s">
        <v>1372</v>
      </c>
      <c r="F384" s="136" t="str">
        <f>tbl_IO_List[[#This Row],[Column23]]&amp;"-" &amp;tbl_IO_List[[#This Row],[Column52]]</f>
        <v>C2S05-X2</v>
      </c>
      <c r="G384" s="136" t="str">
        <f>tbl_IO_List[[#This Row],[PLC_Tag]]</f>
        <v>Spare_DI_0</v>
      </c>
      <c r="H384" s="136"/>
      <c r="I384" s="136" t="str">
        <f>VLOOKUP(tbl_IO_List[[#This Row],[Destination]],tbl_Junction[],2,FALSE)</f>
        <v>Spray Dryer 7th Floor</v>
      </c>
      <c r="J384" s="136" t="s">
        <v>270</v>
      </c>
      <c r="K384" s="136" t="s">
        <v>14</v>
      </c>
      <c r="L384" s="136" t="s">
        <v>411</v>
      </c>
      <c r="M384" s="136" t="e">
        <f>VLOOKUP(tbl_IO_List[[#This Row],[Instruement Tag]],tbl_Instruement_List[],2,FALSE)</f>
        <v>#N/A</v>
      </c>
      <c r="N384" s="136" t="s">
        <v>18</v>
      </c>
      <c r="O384" s="136" t="s">
        <v>18</v>
      </c>
      <c r="P384" s="136" t="s">
        <v>18</v>
      </c>
      <c r="Q384" s="136" t="e">
        <f>VLOOKUP(tbl_IO_List[[#This Row],[Instruement Tag]],tbl_Instruement_List[],6,FALSE)</f>
        <v>#N/A</v>
      </c>
      <c r="R384" s="136"/>
      <c r="S38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384" s="136" t="str">
        <f>tbl_IO_List[[#This Row],[Instruement Tag]]&amp;"_"&amp;tbl_IO_List[[#This Row],[I/O Type]]&amp;"_"&amp;tbl_IO_List[[#This Row],[IO-Point 
(Instruement)]]</f>
        <v>Spare_DI_0</v>
      </c>
      <c r="U384" s="136" t="s">
        <v>8</v>
      </c>
      <c r="V384" s="136">
        <f>VLOOKUP(tbl_IO_List[[#This Row],[I/O Type]],tbl_Slot_Group[],2,FALSE)</f>
        <v>1</v>
      </c>
      <c r="W384" s="136">
        <v>0</v>
      </c>
      <c r="X384" s="136" t="str">
        <f>tbl_IO_List[[#This Row],[Chassis]]&amp;"S"&amp;TEXT(tbl_IO_List[[#This Row],[Slot]],"00")</f>
        <v>C2S05</v>
      </c>
      <c r="Y384" s="136" t="str">
        <f>tbl_IO_List[[#This Row],[Chassis]]&amp;"S"&amp;TEXT(tbl_IO_List[[#This Row],[Slot]],"00")&amp;tbl_IO_List[[#This Row],[I/O Type]]&amp;TEXT(tbl_IO_List[[#This Row],[Point]],"00")</f>
        <v>C2S05DI25</v>
      </c>
      <c r="Z384" s="136" t="str">
        <f>tbl_IO_List[[#This Row],[Chassis]]&amp;"S"&amp;TEXT(tbl_IO_List[[#This Row],[Slot]],"00")&amp;","&amp;TEXT(tbl_IO_List[[#This Row],[Point]],"00")</f>
        <v>C2S05,25</v>
      </c>
      <c r="AA384" s="136" t="str">
        <f>VLOOKUP(tbl_IO_List[[#This Row],[Column23]],tbl_RackConfig[],5,FALSE) &amp;"-"&amp;tbl_IO_List[[#This Row],[Point]]</f>
        <v>1756-IB32-25</v>
      </c>
      <c r="AB384" s="136"/>
      <c r="AC384" s="136"/>
      <c r="AD384" s="136" t="str">
        <f>tbl_IO_List[[#This Row],[I/O Type]]</f>
        <v>DI</v>
      </c>
      <c r="AE384" s="136" t="s">
        <v>1333</v>
      </c>
      <c r="AF384" s="136">
        <v>5</v>
      </c>
      <c r="AG384" s="136">
        <v>25</v>
      </c>
      <c r="AH384" s="136">
        <v>26</v>
      </c>
      <c r="AI384" s="136">
        <v>28</v>
      </c>
      <c r="AJ384" s="136">
        <v>1</v>
      </c>
      <c r="AK384" s="136">
        <v>0</v>
      </c>
      <c r="AL384" s="136">
        <v>0</v>
      </c>
      <c r="AM384" s="136">
        <v>0</v>
      </c>
      <c r="AN384" s="136">
        <v>0</v>
      </c>
      <c r="AO384" s="136"/>
      <c r="AP384" s="143" t="e">
        <f>VLOOKUP(tbl_IO_List[[#This Row],[Instruement Tag]],tbl_Instruement_List[],14,FALSE)</f>
        <v>#N/A</v>
      </c>
      <c r="AQ384" s="143" t="str">
        <f>tbl_IO_List[[#This Row],[Chassis]]&amp;"S"&amp;tbl_IO_List[[#This Row],[Slot]]&amp;"-"&amp;tbl_IO_List[[#This Row],[Front Terminal Number]]</f>
        <v>C2S5-28</v>
      </c>
      <c r="AR384" s="141" t="s">
        <v>1865</v>
      </c>
      <c r="AS384" s="136" t="str">
        <f>tbl_IO_List[[#This Row],[Terminal Tagging]]&amp;"-"&amp;tbl_IO_List[[#This Row],[Point-Count]]</f>
        <v>P2-TBDI5-26</v>
      </c>
      <c r="AT384" s="136" t="str">
        <f>tbl_IO_List[[#This Row],[Front Terminal Tagging]]&amp;"/"&amp;tbl_IO_List[[#This Row],[Terminal Tagging-Item]]</f>
        <v>C2S5-28/P2-TBDI5-26</v>
      </c>
      <c r="AU384" s="136" t="str">
        <f>tbl_IO_List[[#This Row],[Terminal Tagging-Item]]&amp;"/"&amp;tbl_IO_List[[#This Row],[Front Terminal Tagging]]</f>
        <v>P2-TBDI5-26/C2S5-28</v>
      </c>
    </row>
    <row r="385" spans="1:47">
      <c r="A385" s="147" t="s">
        <v>1367</v>
      </c>
      <c r="B385" s="136" t="s">
        <v>270</v>
      </c>
      <c r="C385" s="136" t="str">
        <f>tbl_IO_List[[#This Row],[Column3]]</f>
        <v>C2S05,26</v>
      </c>
      <c r="D385" s="136" t="str">
        <f>tbl_IO_List[[#This Row],[Card]]</f>
        <v>1756-IB32-26</v>
      </c>
      <c r="E385" s="136" t="s">
        <v>1372</v>
      </c>
      <c r="F385" s="136" t="str">
        <f>tbl_IO_List[[#This Row],[Column23]]&amp;"-" &amp;tbl_IO_List[[#This Row],[Column52]]</f>
        <v>C2S05-X2</v>
      </c>
      <c r="G385" s="136" t="str">
        <f>tbl_IO_List[[#This Row],[PLC_Tag]]</f>
        <v>Spare_DI_0</v>
      </c>
      <c r="H385" s="136"/>
      <c r="I385" s="136" t="str">
        <f>VLOOKUP(tbl_IO_List[[#This Row],[Destination]],tbl_Junction[],2,FALSE)</f>
        <v>Spray Dryer 7th Floor</v>
      </c>
      <c r="J385" s="136" t="s">
        <v>270</v>
      </c>
      <c r="K385" s="136" t="s">
        <v>14</v>
      </c>
      <c r="L385" s="136" t="s">
        <v>411</v>
      </c>
      <c r="M385" s="136" t="e">
        <f>VLOOKUP(tbl_IO_List[[#This Row],[Instruement Tag]],tbl_Instruement_List[],2,FALSE)</f>
        <v>#N/A</v>
      </c>
      <c r="N385" s="136" t="s">
        <v>18</v>
      </c>
      <c r="O385" s="136" t="s">
        <v>18</v>
      </c>
      <c r="P385" s="136" t="s">
        <v>18</v>
      </c>
      <c r="Q385" s="136" t="e">
        <f>VLOOKUP(tbl_IO_List[[#This Row],[Instruement Tag]],tbl_Instruement_List[],6,FALSE)</f>
        <v>#N/A</v>
      </c>
      <c r="R385" s="136"/>
      <c r="S38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385" s="136" t="str">
        <f>tbl_IO_List[[#This Row],[Instruement Tag]]&amp;"_"&amp;tbl_IO_List[[#This Row],[I/O Type]]&amp;"_"&amp;tbl_IO_List[[#This Row],[IO-Point 
(Instruement)]]</f>
        <v>Spare_DI_0</v>
      </c>
      <c r="U385" s="136" t="s">
        <v>8</v>
      </c>
      <c r="V385" s="136">
        <f>VLOOKUP(tbl_IO_List[[#This Row],[I/O Type]],tbl_Slot_Group[],2,FALSE)</f>
        <v>1</v>
      </c>
      <c r="W385" s="136">
        <v>0</v>
      </c>
      <c r="X385" s="136" t="str">
        <f>tbl_IO_List[[#This Row],[Chassis]]&amp;"S"&amp;TEXT(tbl_IO_List[[#This Row],[Slot]],"00")</f>
        <v>C2S05</v>
      </c>
      <c r="Y385" s="136" t="str">
        <f>tbl_IO_List[[#This Row],[Chassis]]&amp;"S"&amp;TEXT(tbl_IO_List[[#This Row],[Slot]],"00")&amp;tbl_IO_List[[#This Row],[I/O Type]]&amp;TEXT(tbl_IO_List[[#This Row],[Point]],"00")</f>
        <v>C2S05DI26</v>
      </c>
      <c r="Z385" s="136" t="str">
        <f>tbl_IO_List[[#This Row],[Chassis]]&amp;"S"&amp;TEXT(tbl_IO_List[[#This Row],[Slot]],"00")&amp;","&amp;TEXT(tbl_IO_List[[#This Row],[Point]],"00")</f>
        <v>C2S05,26</v>
      </c>
      <c r="AA385" s="136" t="str">
        <f>VLOOKUP(tbl_IO_List[[#This Row],[Column23]],tbl_RackConfig[],5,FALSE) &amp;"-"&amp;tbl_IO_List[[#This Row],[Point]]</f>
        <v>1756-IB32-26</v>
      </c>
      <c r="AB385" s="136"/>
      <c r="AC385" s="136"/>
      <c r="AD385" s="136" t="str">
        <f>tbl_IO_List[[#This Row],[I/O Type]]</f>
        <v>DI</v>
      </c>
      <c r="AE385" s="136" t="s">
        <v>1333</v>
      </c>
      <c r="AF385" s="136">
        <v>5</v>
      </c>
      <c r="AG385" s="136">
        <v>26</v>
      </c>
      <c r="AH385" s="136">
        <v>27</v>
      </c>
      <c r="AI385" s="136">
        <v>29</v>
      </c>
      <c r="AJ385" s="136">
        <v>1</v>
      </c>
      <c r="AK385" s="136">
        <v>0</v>
      </c>
      <c r="AL385" s="136">
        <v>0</v>
      </c>
      <c r="AM385" s="136">
        <v>0</v>
      </c>
      <c r="AN385" s="136">
        <v>0</v>
      </c>
      <c r="AO385" s="136"/>
      <c r="AP385" s="143" t="e">
        <f>VLOOKUP(tbl_IO_List[[#This Row],[Instruement Tag]],tbl_Instruement_List[],14,FALSE)</f>
        <v>#N/A</v>
      </c>
      <c r="AQ385" s="143" t="str">
        <f>tbl_IO_List[[#This Row],[Chassis]]&amp;"S"&amp;tbl_IO_List[[#This Row],[Slot]]&amp;"-"&amp;tbl_IO_List[[#This Row],[Front Terminal Number]]</f>
        <v>C2S5-29</v>
      </c>
      <c r="AR385" s="141" t="s">
        <v>1865</v>
      </c>
      <c r="AS385" s="136" t="str">
        <f>tbl_IO_List[[#This Row],[Terminal Tagging]]&amp;"-"&amp;tbl_IO_List[[#This Row],[Point-Count]]</f>
        <v>P2-TBDI5-27</v>
      </c>
      <c r="AT385" s="136" t="str">
        <f>tbl_IO_List[[#This Row],[Front Terminal Tagging]]&amp;"/"&amp;tbl_IO_List[[#This Row],[Terminal Tagging-Item]]</f>
        <v>C2S5-29/P2-TBDI5-27</v>
      </c>
      <c r="AU385" s="136" t="str">
        <f>tbl_IO_List[[#This Row],[Terminal Tagging-Item]]&amp;"/"&amp;tbl_IO_List[[#This Row],[Front Terminal Tagging]]</f>
        <v>P2-TBDI5-27/C2S5-29</v>
      </c>
    </row>
    <row r="386" spans="1:47">
      <c r="A386" s="147" t="s">
        <v>1367</v>
      </c>
      <c r="B386" s="136" t="s">
        <v>270</v>
      </c>
      <c r="C386" s="136" t="str">
        <f>tbl_IO_List[[#This Row],[Column3]]</f>
        <v>C2S05,27</v>
      </c>
      <c r="D386" s="136" t="str">
        <f>tbl_IO_List[[#This Row],[Card]]</f>
        <v>1756-IB32-27</v>
      </c>
      <c r="E386" s="136" t="s">
        <v>1372</v>
      </c>
      <c r="F386" s="136" t="str">
        <f>tbl_IO_List[[#This Row],[Column23]]&amp;"-" &amp;tbl_IO_List[[#This Row],[Column52]]</f>
        <v>C2S05-X2</v>
      </c>
      <c r="G386" s="136" t="str">
        <f>tbl_IO_List[[#This Row],[PLC_Tag]]</f>
        <v>Spare_DI_0</v>
      </c>
      <c r="H386" s="136"/>
      <c r="I386" s="136" t="str">
        <f>VLOOKUP(tbl_IO_List[[#This Row],[Destination]],tbl_Junction[],2,FALSE)</f>
        <v>Spray Dryer 7th Floor</v>
      </c>
      <c r="J386" s="136" t="s">
        <v>270</v>
      </c>
      <c r="K386" s="136" t="s">
        <v>14</v>
      </c>
      <c r="L386" s="136" t="s">
        <v>411</v>
      </c>
      <c r="M386" s="136" t="e">
        <f>VLOOKUP(tbl_IO_List[[#This Row],[Instruement Tag]],tbl_Instruement_List[],2,FALSE)</f>
        <v>#N/A</v>
      </c>
      <c r="N386" s="136" t="s">
        <v>18</v>
      </c>
      <c r="O386" s="136" t="s">
        <v>18</v>
      </c>
      <c r="P386" s="136" t="s">
        <v>18</v>
      </c>
      <c r="Q386" s="136" t="e">
        <f>VLOOKUP(tbl_IO_List[[#This Row],[Instruement Tag]],tbl_Instruement_List[],6,FALSE)</f>
        <v>#N/A</v>
      </c>
      <c r="R386" s="136"/>
      <c r="S38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386" s="136" t="str">
        <f>tbl_IO_List[[#This Row],[Instruement Tag]]&amp;"_"&amp;tbl_IO_List[[#This Row],[I/O Type]]&amp;"_"&amp;tbl_IO_List[[#This Row],[IO-Point 
(Instruement)]]</f>
        <v>Spare_DI_0</v>
      </c>
      <c r="U386" s="136" t="s">
        <v>8</v>
      </c>
      <c r="V386" s="136">
        <f>VLOOKUP(tbl_IO_List[[#This Row],[I/O Type]],tbl_Slot_Group[],2,FALSE)</f>
        <v>1</v>
      </c>
      <c r="W386" s="136">
        <v>0</v>
      </c>
      <c r="X386" s="136" t="str">
        <f>tbl_IO_List[[#This Row],[Chassis]]&amp;"S"&amp;TEXT(tbl_IO_List[[#This Row],[Slot]],"00")</f>
        <v>C2S05</v>
      </c>
      <c r="Y386" s="136" t="str">
        <f>tbl_IO_List[[#This Row],[Chassis]]&amp;"S"&amp;TEXT(tbl_IO_List[[#This Row],[Slot]],"00")&amp;tbl_IO_List[[#This Row],[I/O Type]]&amp;TEXT(tbl_IO_List[[#This Row],[Point]],"00")</f>
        <v>C2S05DI27</v>
      </c>
      <c r="Z386" s="136" t="str">
        <f>tbl_IO_List[[#This Row],[Chassis]]&amp;"S"&amp;TEXT(tbl_IO_List[[#This Row],[Slot]],"00")&amp;","&amp;TEXT(tbl_IO_List[[#This Row],[Point]],"00")</f>
        <v>C2S05,27</v>
      </c>
      <c r="AA386" s="136" t="str">
        <f>VLOOKUP(tbl_IO_List[[#This Row],[Column23]],tbl_RackConfig[],5,FALSE) &amp;"-"&amp;tbl_IO_List[[#This Row],[Point]]</f>
        <v>1756-IB32-27</v>
      </c>
      <c r="AB386" s="136"/>
      <c r="AC386" s="136"/>
      <c r="AD386" s="136" t="str">
        <f>tbl_IO_List[[#This Row],[I/O Type]]</f>
        <v>DI</v>
      </c>
      <c r="AE386" s="136" t="s">
        <v>1333</v>
      </c>
      <c r="AF386" s="136">
        <v>5</v>
      </c>
      <c r="AG386" s="136">
        <v>27</v>
      </c>
      <c r="AH386" s="136">
        <v>28</v>
      </c>
      <c r="AI386" s="136">
        <v>30</v>
      </c>
      <c r="AJ386" s="136">
        <v>1</v>
      </c>
      <c r="AK386" s="136">
        <v>0</v>
      </c>
      <c r="AL386" s="136">
        <v>0</v>
      </c>
      <c r="AM386" s="136">
        <v>0</v>
      </c>
      <c r="AN386" s="136">
        <v>0</v>
      </c>
      <c r="AO386" s="136"/>
      <c r="AP386" s="143" t="e">
        <f>VLOOKUP(tbl_IO_List[[#This Row],[Instruement Tag]],tbl_Instruement_List[],14,FALSE)</f>
        <v>#N/A</v>
      </c>
      <c r="AQ386" s="143" t="str">
        <f>tbl_IO_List[[#This Row],[Chassis]]&amp;"S"&amp;tbl_IO_List[[#This Row],[Slot]]&amp;"-"&amp;tbl_IO_List[[#This Row],[Front Terminal Number]]</f>
        <v>C2S5-30</v>
      </c>
      <c r="AR386" s="141" t="s">
        <v>1865</v>
      </c>
      <c r="AS386" s="136" t="str">
        <f>tbl_IO_List[[#This Row],[Terminal Tagging]]&amp;"-"&amp;tbl_IO_List[[#This Row],[Point-Count]]</f>
        <v>P2-TBDI5-28</v>
      </c>
      <c r="AT386" s="136" t="str">
        <f>tbl_IO_List[[#This Row],[Front Terminal Tagging]]&amp;"/"&amp;tbl_IO_List[[#This Row],[Terminal Tagging-Item]]</f>
        <v>C2S5-30/P2-TBDI5-28</v>
      </c>
      <c r="AU386" s="136" t="str">
        <f>tbl_IO_List[[#This Row],[Terminal Tagging-Item]]&amp;"/"&amp;tbl_IO_List[[#This Row],[Front Terminal Tagging]]</f>
        <v>P2-TBDI5-28/C2S5-30</v>
      </c>
    </row>
    <row r="387" spans="1:47">
      <c r="A387" s="147" t="s">
        <v>1367</v>
      </c>
      <c r="B387" s="136" t="s">
        <v>270</v>
      </c>
      <c r="C387" s="136" t="str">
        <f>tbl_IO_List[[#This Row],[Column3]]</f>
        <v>C2S05,28</v>
      </c>
      <c r="D387" s="136" t="str">
        <f>tbl_IO_List[[#This Row],[Card]]</f>
        <v>1756-IB32-28</v>
      </c>
      <c r="E387" s="136" t="s">
        <v>1372</v>
      </c>
      <c r="F387" s="136" t="str">
        <f>tbl_IO_List[[#This Row],[Column23]]&amp;"-" &amp;tbl_IO_List[[#This Row],[Column52]]</f>
        <v>C2S05-X2</v>
      </c>
      <c r="G387" s="136" t="str">
        <f>tbl_IO_List[[#This Row],[PLC_Tag]]</f>
        <v>Spare_DI_0</v>
      </c>
      <c r="H387" s="136"/>
      <c r="I387" s="136" t="str">
        <f>VLOOKUP(tbl_IO_List[[#This Row],[Destination]],tbl_Junction[],2,FALSE)</f>
        <v>Spray Dryer 7th Floor</v>
      </c>
      <c r="J387" s="136" t="s">
        <v>270</v>
      </c>
      <c r="K387" s="136" t="s">
        <v>14</v>
      </c>
      <c r="L387" s="136" t="s">
        <v>411</v>
      </c>
      <c r="M387" s="136" t="e">
        <f>VLOOKUP(tbl_IO_List[[#This Row],[Instruement Tag]],tbl_Instruement_List[],2,FALSE)</f>
        <v>#N/A</v>
      </c>
      <c r="N387" s="136" t="s">
        <v>18</v>
      </c>
      <c r="O387" s="136" t="s">
        <v>18</v>
      </c>
      <c r="P387" s="136" t="s">
        <v>18</v>
      </c>
      <c r="Q387" s="136" t="e">
        <f>VLOOKUP(tbl_IO_List[[#This Row],[Instruement Tag]],tbl_Instruement_List[],6,FALSE)</f>
        <v>#N/A</v>
      </c>
      <c r="R387" s="136"/>
      <c r="S38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387" s="136" t="str">
        <f>tbl_IO_List[[#This Row],[Instruement Tag]]&amp;"_"&amp;tbl_IO_List[[#This Row],[I/O Type]]&amp;"_"&amp;tbl_IO_List[[#This Row],[IO-Point 
(Instruement)]]</f>
        <v>Spare_DI_0</v>
      </c>
      <c r="U387" s="136" t="s">
        <v>8</v>
      </c>
      <c r="V387" s="136">
        <f>VLOOKUP(tbl_IO_List[[#This Row],[I/O Type]],tbl_Slot_Group[],2,FALSE)</f>
        <v>1</v>
      </c>
      <c r="W387" s="136">
        <v>0</v>
      </c>
      <c r="X387" s="136" t="str">
        <f>tbl_IO_List[[#This Row],[Chassis]]&amp;"S"&amp;TEXT(tbl_IO_List[[#This Row],[Slot]],"00")</f>
        <v>C2S05</v>
      </c>
      <c r="Y387" s="136" t="str">
        <f>tbl_IO_List[[#This Row],[Chassis]]&amp;"S"&amp;TEXT(tbl_IO_List[[#This Row],[Slot]],"00")&amp;tbl_IO_List[[#This Row],[I/O Type]]&amp;TEXT(tbl_IO_List[[#This Row],[Point]],"00")</f>
        <v>C2S05DI28</v>
      </c>
      <c r="Z387" s="136" t="str">
        <f>tbl_IO_List[[#This Row],[Chassis]]&amp;"S"&amp;TEXT(tbl_IO_List[[#This Row],[Slot]],"00")&amp;","&amp;TEXT(tbl_IO_List[[#This Row],[Point]],"00")</f>
        <v>C2S05,28</v>
      </c>
      <c r="AA387" s="136" t="str">
        <f>VLOOKUP(tbl_IO_List[[#This Row],[Column23]],tbl_RackConfig[],5,FALSE) &amp;"-"&amp;tbl_IO_List[[#This Row],[Point]]</f>
        <v>1756-IB32-28</v>
      </c>
      <c r="AB387" s="136"/>
      <c r="AC387" s="136"/>
      <c r="AD387" s="136" t="str">
        <f>tbl_IO_List[[#This Row],[I/O Type]]</f>
        <v>DI</v>
      </c>
      <c r="AE387" s="136" t="s">
        <v>1333</v>
      </c>
      <c r="AF387" s="136">
        <v>5</v>
      </c>
      <c r="AG387" s="136">
        <v>28</v>
      </c>
      <c r="AH387" s="136">
        <v>29</v>
      </c>
      <c r="AI387" s="136">
        <v>31</v>
      </c>
      <c r="AJ387" s="136">
        <v>1</v>
      </c>
      <c r="AK387" s="136">
        <v>0</v>
      </c>
      <c r="AL387" s="136">
        <v>0</v>
      </c>
      <c r="AM387" s="136">
        <v>0</v>
      </c>
      <c r="AN387" s="136">
        <v>0</v>
      </c>
      <c r="AO387" s="136"/>
      <c r="AP387" s="143" t="e">
        <f>VLOOKUP(tbl_IO_List[[#This Row],[Instruement Tag]],tbl_Instruement_List[],14,FALSE)</f>
        <v>#N/A</v>
      </c>
      <c r="AQ387" s="143" t="str">
        <f>tbl_IO_List[[#This Row],[Chassis]]&amp;"S"&amp;tbl_IO_List[[#This Row],[Slot]]&amp;"-"&amp;tbl_IO_List[[#This Row],[Front Terminal Number]]</f>
        <v>C2S5-31</v>
      </c>
      <c r="AR387" s="141" t="s">
        <v>1865</v>
      </c>
      <c r="AS387" s="136" t="str">
        <f>tbl_IO_List[[#This Row],[Terminal Tagging]]&amp;"-"&amp;tbl_IO_List[[#This Row],[Point-Count]]</f>
        <v>P2-TBDI5-29</v>
      </c>
      <c r="AT387" s="136" t="str">
        <f>tbl_IO_List[[#This Row],[Front Terminal Tagging]]&amp;"/"&amp;tbl_IO_List[[#This Row],[Terminal Tagging-Item]]</f>
        <v>C2S5-31/P2-TBDI5-29</v>
      </c>
      <c r="AU387" s="136" t="str">
        <f>tbl_IO_List[[#This Row],[Terminal Tagging-Item]]&amp;"/"&amp;tbl_IO_List[[#This Row],[Front Terminal Tagging]]</f>
        <v>P2-TBDI5-29/C2S5-31</v>
      </c>
    </row>
    <row r="388" spans="1:47">
      <c r="A388" s="147" t="s">
        <v>1367</v>
      </c>
      <c r="B388" s="136" t="s">
        <v>270</v>
      </c>
      <c r="C388" s="136" t="str">
        <f>tbl_IO_List[[#This Row],[Column3]]</f>
        <v>C2S05,29</v>
      </c>
      <c r="D388" s="136" t="str">
        <f>tbl_IO_List[[#This Row],[Card]]</f>
        <v>1756-IB32-29</v>
      </c>
      <c r="E388" s="136" t="s">
        <v>1372</v>
      </c>
      <c r="F388" s="136" t="str">
        <f>tbl_IO_List[[#This Row],[Column23]]&amp;"-" &amp;tbl_IO_List[[#This Row],[Column52]]</f>
        <v>C2S05-X2</v>
      </c>
      <c r="G388" s="136" t="str">
        <f>tbl_IO_List[[#This Row],[PLC_Tag]]</f>
        <v>Spare_DI_0</v>
      </c>
      <c r="H388" s="136"/>
      <c r="I388" s="136" t="str">
        <f>VLOOKUP(tbl_IO_List[[#This Row],[Destination]],tbl_Junction[],2,FALSE)</f>
        <v>Spray Dryer 7th Floor</v>
      </c>
      <c r="J388" s="136" t="s">
        <v>270</v>
      </c>
      <c r="K388" s="136" t="s">
        <v>14</v>
      </c>
      <c r="L388" s="136" t="s">
        <v>411</v>
      </c>
      <c r="M388" s="136" t="e">
        <f>VLOOKUP(tbl_IO_List[[#This Row],[Instruement Tag]],tbl_Instruement_List[],2,FALSE)</f>
        <v>#N/A</v>
      </c>
      <c r="N388" s="136" t="s">
        <v>18</v>
      </c>
      <c r="O388" s="136" t="s">
        <v>18</v>
      </c>
      <c r="P388" s="136" t="s">
        <v>18</v>
      </c>
      <c r="Q388" s="136" t="e">
        <f>VLOOKUP(tbl_IO_List[[#This Row],[Instruement Tag]],tbl_Instruement_List[],6,FALSE)</f>
        <v>#N/A</v>
      </c>
      <c r="R388" s="136"/>
      <c r="S38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388" s="136" t="str">
        <f>tbl_IO_List[[#This Row],[Instruement Tag]]&amp;"_"&amp;tbl_IO_List[[#This Row],[I/O Type]]&amp;"_"&amp;tbl_IO_List[[#This Row],[IO-Point 
(Instruement)]]</f>
        <v>Spare_DI_0</v>
      </c>
      <c r="U388" s="136" t="s">
        <v>8</v>
      </c>
      <c r="V388" s="136">
        <f>VLOOKUP(tbl_IO_List[[#This Row],[I/O Type]],tbl_Slot_Group[],2,FALSE)</f>
        <v>1</v>
      </c>
      <c r="W388" s="136">
        <v>0</v>
      </c>
      <c r="X388" s="136" t="str">
        <f>tbl_IO_List[[#This Row],[Chassis]]&amp;"S"&amp;TEXT(tbl_IO_List[[#This Row],[Slot]],"00")</f>
        <v>C2S05</v>
      </c>
      <c r="Y388" s="136" t="str">
        <f>tbl_IO_List[[#This Row],[Chassis]]&amp;"S"&amp;TEXT(tbl_IO_List[[#This Row],[Slot]],"00")&amp;tbl_IO_List[[#This Row],[I/O Type]]&amp;TEXT(tbl_IO_List[[#This Row],[Point]],"00")</f>
        <v>C2S05DI29</v>
      </c>
      <c r="Z388" s="136" t="str">
        <f>tbl_IO_List[[#This Row],[Chassis]]&amp;"S"&amp;TEXT(tbl_IO_List[[#This Row],[Slot]],"00")&amp;","&amp;TEXT(tbl_IO_List[[#This Row],[Point]],"00")</f>
        <v>C2S05,29</v>
      </c>
      <c r="AA388" s="136" t="str">
        <f>VLOOKUP(tbl_IO_List[[#This Row],[Column23]],tbl_RackConfig[],5,FALSE) &amp;"-"&amp;tbl_IO_List[[#This Row],[Point]]</f>
        <v>1756-IB32-29</v>
      </c>
      <c r="AB388" s="136"/>
      <c r="AC388" s="136"/>
      <c r="AD388" s="136" t="str">
        <f>tbl_IO_List[[#This Row],[I/O Type]]</f>
        <v>DI</v>
      </c>
      <c r="AE388" s="136" t="s">
        <v>1333</v>
      </c>
      <c r="AF388" s="136">
        <v>5</v>
      </c>
      <c r="AG388" s="136">
        <v>29</v>
      </c>
      <c r="AH388" s="136">
        <v>30</v>
      </c>
      <c r="AI388" s="136">
        <v>32</v>
      </c>
      <c r="AJ388" s="136">
        <v>1</v>
      </c>
      <c r="AK388" s="136">
        <v>0</v>
      </c>
      <c r="AL388" s="136">
        <v>0</v>
      </c>
      <c r="AM388" s="136">
        <v>0</v>
      </c>
      <c r="AN388" s="136">
        <v>0</v>
      </c>
      <c r="AO388" s="136"/>
      <c r="AP388" s="143" t="e">
        <f>VLOOKUP(tbl_IO_List[[#This Row],[Instruement Tag]],tbl_Instruement_List[],14,FALSE)</f>
        <v>#N/A</v>
      </c>
      <c r="AQ388" s="143" t="str">
        <f>tbl_IO_List[[#This Row],[Chassis]]&amp;"S"&amp;tbl_IO_List[[#This Row],[Slot]]&amp;"-"&amp;tbl_IO_List[[#This Row],[Front Terminal Number]]</f>
        <v>C2S5-32</v>
      </c>
      <c r="AR388" s="141" t="s">
        <v>1865</v>
      </c>
      <c r="AS388" s="136" t="str">
        <f>tbl_IO_List[[#This Row],[Terminal Tagging]]&amp;"-"&amp;tbl_IO_List[[#This Row],[Point-Count]]</f>
        <v>P2-TBDI5-30</v>
      </c>
      <c r="AT388" s="136" t="str">
        <f>tbl_IO_List[[#This Row],[Front Terminal Tagging]]&amp;"/"&amp;tbl_IO_List[[#This Row],[Terminal Tagging-Item]]</f>
        <v>C2S5-32/P2-TBDI5-30</v>
      </c>
      <c r="AU388" s="136" t="str">
        <f>tbl_IO_List[[#This Row],[Terminal Tagging-Item]]&amp;"/"&amp;tbl_IO_List[[#This Row],[Front Terminal Tagging]]</f>
        <v>P2-TBDI5-30/C2S5-32</v>
      </c>
    </row>
    <row r="389" spans="1:47">
      <c r="A389" s="147" t="s">
        <v>1367</v>
      </c>
      <c r="B389" s="136" t="s">
        <v>270</v>
      </c>
      <c r="C389" s="136" t="str">
        <f>tbl_IO_List[[#This Row],[Column3]]</f>
        <v>C2S05,30</v>
      </c>
      <c r="D389" s="136" t="str">
        <f>tbl_IO_List[[#This Row],[Card]]</f>
        <v>1756-IB32-30</v>
      </c>
      <c r="E389" s="136" t="s">
        <v>1372</v>
      </c>
      <c r="F389" s="136" t="str">
        <f>tbl_IO_List[[#This Row],[Column23]]&amp;"-" &amp;tbl_IO_List[[#This Row],[Column52]]</f>
        <v>C2S05-X2</v>
      </c>
      <c r="G389" s="136" t="str">
        <f>tbl_IO_List[[#This Row],[PLC_Tag]]</f>
        <v>Spare_DI_0</v>
      </c>
      <c r="H389" s="136"/>
      <c r="I389" s="136" t="str">
        <f>VLOOKUP(tbl_IO_List[[#This Row],[Destination]],tbl_Junction[],2,FALSE)</f>
        <v>Spray Dryer 7th Floor</v>
      </c>
      <c r="J389" s="136" t="s">
        <v>270</v>
      </c>
      <c r="K389" s="136" t="s">
        <v>14</v>
      </c>
      <c r="L389" s="136" t="s">
        <v>411</v>
      </c>
      <c r="M389" s="136" t="e">
        <f>VLOOKUP(tbl_IO_List[[#This Row],[Instruement Tag]],tbl_Instruement_List[],2,FALSE)</f>
        <v>#N/A</v>
      </c>
      <c r="N389" s="136" t="s">
        <v>18</v>
      </c>
      <c r="O389" s="136" t="s">
        <v>18</v>
      </c>
      <c r="P389" s="136" t="s">
        <v>18</v>
      </c>
      <c r="Q389" s="136" t="e">
        <f>VLOOKUP(tbl_IO_List[[#This Row],[Instruement Tag]],tbl_Instruement_List[],6,FALSE)</f>
        <v>#N/A</v>
      </c>
      <c r="R389" s="136"/>
      <c r="S38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389" s="136" t="str">
        <f>tbl_IO_List[[#This Row],[Instruement Tag]]&amp;"_"&amp;tbl_IO_List[[#This Row],[I/O Type]]&amp;"_"&amp;tbl_IO_List[[#This Row],[IO-Point 
(Instruement)]]</f>
        <v>Spare_DI_0</v>
      </c>
      <c r="U389" s="136" t="s">
        <v>8</v>
      </c>
      <c r="V389" s="136">
        <f>VLOOKUP(tbl_IO_List[[#This Row],[I/O Type]],tbl_Slot_Group[],2,FALSE)</f>
        <v>1</v>
      </c>
      <c r="W389" s="136">
        <v>0</v>
      </c>
      <c r="X389" s="136" t="str">
        <f>tbl_IO_List[[#This Row],[Chassis]]&amp;"S"&amp;TEXT(tbl_IO_List[[#This Row],[Slot]],"00")</f>
        <v>C2S05</v>
      </c>
      <c r="Y389" s="136" t="str">
        <f>tbl_IO_List[[#This Row],[Chassis]]&amp;"S"&amp;TEXT(tbl_IO_List[[#This Row],[Slot]],"00")&amp;tbl_IO_List[[#This Row],[I/O Type]]&amp;TEXT(tbl_IO_List[[#This Row],[Point]],"00")</f>
        <v>C2S05DI30</v>
      </c>
      <c r="Z389" s="136" t="str">
        <f>tbl_IO_List[[#This Row],[Chassis]]&amp;"S"&amp;TEXT(tbl_IO_List[[#This Row],[Slot]],"00")&amp;","&amp;TEXT(tbl_IO_List[[#This Row],[Point]],"00")</f>
        <v>C2S05,30</v>
      </c>
      <c r="AA389" s="136" t="str">
        <f>VLOOKUP(tbl_IO_List[[#This Row],[Column23]],tbl_RackConfig[],5,FALSE) &amp;"-"&amp;tbl_IO_List[[#This Row],[Point]]</f>
        <v>1756-IB32-30</v>
      </c>
      <c r="AB389" s="136"/>
      <c r="AC389" s="136"/>
      <c r="AD389" s="136" t="str">
        <f>tbl_IO_List[[#This Row],[I/O Type]]</f>
        <v>DI</v>
      </c>
      <c r="AE389" s="136" t="s">
        <v>1333</v>
      </c>
      <c r="AF389" s="136">
        <v>5</v>
      </c>
      <c r="AG389" s="136">
        <v>30</v>
      </c>
      <c r="AH389" s="136">
        <v>31</v>
      </c>
      <c r="AI389" s="136">
        <v>33</v>
      </c>
      <c r="AJ389" s="136">
        <v>1</v>
      </c>
      <c r="AK389" s="136">
        <v>0</v>
      </c>
      <c r="AL389" s="136">
        <v>0</v>
      </c>
      <c r="AM389" s="136">
        <v>0</v>
      </c>
      <c r="AN389" s="136">
        <v>0</v>
      </c>
      <c r="AO389" s="136"/>
      <c r="AP389" s="143" t="e">
        <f>VLOOKUP(tbl_IO_List[[#This Row],[Instruement Tag]],tbl_Instruement_List[],14,FALSE)</f>
        <v>#N/A</v>
      </c>
      <c r="AQ389" s="143" t="str">
        <f>tbl_IO_List[[#This Row],[Chassis]]&amp;"S"&amp;tbl_IO_List[[#This Row],[Slot]]&amp;"-"&amp;tbl_IO_List[[#This Row],[Front Terminal Number]]</f>
        <v>C2S5-33</v>
      </c>
      <c r="AR389" s="141" t="s">
        <v>1865</v>
      </c>
      <c r="AS389" s="136" t="str">
        <f>tbl_IO_List[[#This Row],[Terminal Tagging]]&amp;"-"&amp;tbl_IO_List[[#This Row],[Point-Count]]</f>
        <v>P2-TBDI5-31</v>
      </c>
      <c r="AT389" s="136" t="str">
        <f>tbl_IO_List[[#This Row],[Front Terminal Tagging]]&amp;"/"&amp;tbl_IO_List[[#This Row],[Terminal Tagging-Item]]</f>
        <v>C2S5-33/P2-TBDI5-31</v>
      </c>
      <c r="AU389" s="136" t="str">
        <f>tbl_IO_List[[#This Row],[Terminal Tagging-Item]]&amp;"/"&amp;tbl_IO_List[[#This Row],[Front Terminal Tagging]]</f>
        <v>P2-TBDI5-31/C2S5-33</v>
      </c>
    </row>
    <row r="390" spans="1:47">
      <c r="A390" s="147" t="s">
        <v>1367</v>
      </c>
      <c r="B390" s="136" t="s">
        <v>270</v>
      </c>
      <c r="C390" s="136" t="str">
        <f>tbl_IO_List[[#This Row],[Column3]]</f>
        <v>C2S05,31</v>
      </c>
      <c r="D390" s="136" t="str">
        <f>tbl_IO_List[[#This Row],[Card]]</f>
        <v>1756-IB32-31</v>
      </c>
      <c r="E390" s="136" t="s">
        <v>1372</v>
      </c>
      <c r="F390" s="136" t="str">
        <f>tbl_IO_List[[#This Row],[Column23]]&amp;"-" &amp;tbl_IO_List[[#This Row],[Column52]]</f>
        <v>C2S05-X2</v>
      </c>
      <c r="G390" s="136" t="str">
        <f>tbl_IO_List[[#This Row],[PLC_Tag]]</f>
        <v>Spare_DI_0</v>
      </c>
      <c r="H390" s="136"/>
      <c r="I390" s="136" t="str">
        <f>VLOOKUP(tbl_IO_List[[#This Row],[Destination]],tbl_Junction[],2,FALSE)</f>
        <v>Spray Dryer 7th Floor</v>
      </c>
      <c r="J390" s="136" t="s">
        <v>270</v>
      </c>
      <c r="K390" s="136" t="s">
        <v>14</v>
      </c>
      <c r="L390" s="136" t="s">
        <v>411</v>
      </c>
      <c r="M390" s="136" t="e">
        <f>VLOOKUP(tbl_IO_List[[#This Row],[Instruement Tag]],tbl_Instruement_List[],2,FALSE)</f>
        <v>#N/A</v>
      </c>
      <c r="N390" s="136" t="s">
        <v>18</v>
      </c>
      <c r="O390" s="136" t="s">
        <v>18</v>
      </c>
      <c r="P390" s="136" t="s">
        <v>18</v>
      </c>
      <c r="Q390" s="136" t="e">
        <f>VLOOKUP(tbl_IO_List[[#This Row],[Instruement Tag]],tbl_Instruement_List[],6,FALSE)</f>
        <v>#N/A</v>
      </c>
      <c r="R390" s="136"/>
      <c r="S39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390" s="136" t="str">
        <f>tbl_IO_List[[#This Row],[Instruement Tag]]&amp;"_"&amp;tbl_IO_List[[#This Row],[I/O Type]]&amp;"_"&amp;tbl_IO_List[[#This Row],[IO-Point 
(Instruement)]]</f>
        <v>Spare_DI_0</v>
      </c>
      <c r="U390" s="136" t="s">
        <v>8</v>
      </c>
      <c r="V390" s="136">
        <f>VLOOKUP(tbl_IO_List[[#This Row],[I/O Type]],tbl_Slot_Group[],2,FALSE)</f>
        <v>1</v>
      </c>
      <c r="W390" s="136">
        <v>0</v>
      </c>
      <c r="X390" s="136" t="str">
        <f>tbl_IO_List[[#This Row],[Chassis]]&amp;"S"&amp;TEXT(tbl_IO_List[[#This Row],[Slot]],"00")</f>
        <v>C2S05</v>
      </c>
      <c r="Y390" s="136" t="str">
        <f>tbl_IO_List[[#This Row],[Chassis]]&amp;"S"&amp;TEXT(tbl_IO_List[[#This Row],[Slot]],"00")&amp;tbl_IO_List[[#This Row],[I/O Type]]&amp;TEXT(tbl_IO_List[[#This Row],[Point]],"00")</f>
        <v>C2S05DI31</v>
      </c>
      <c r="Z390" s="136" t="str">
        <f>tbl_IO_List[[#This Row],[Chassis]]&amp;"S"&amp;TEXT(tbl_IO_List[[#This Row],[Slot]],"00")&amp;","&amp;TEXT(tbl_IO_List[[#This Row],[Point]],"00")</f>
        <v>C2S05,31</v>
      </c>
      <c r="AA390" s="136" t="str">
        <f>VLOOKUP(tbl_IO_List[[#This Row],[Column23]],tbl_RackConfig[],5,FALSE) &amp;"-"&amp;tbl_IO_List[[#This Row],[Point]]</f>
        <v>1756-IB32-31</v>
      </c>
      <c r="AB390" s="136"/>
      <c r="AC390" s="136"/>
      <c r="AD390" s="136" t="str">
        <f>tbl_IO_List[[#This Row],[I/O Type]]</f>
        <v>DI</v>
      </c>
      <c r="AE390" s="136" t="s">
        <v>1333</v>
      </c>
      <c r="AF390" s="136">
        <v>5</v>
      </c>
      <c r="AG390" s="136">
        <v>31</v>
      </c>
      <c r="AH390" s="136">
        <v>32</v>
      </c>
      <c r="AI390" s="136">
        <v>34</v>
      </c>
      <c r="AJ390" s="136">
        <v>1</v>
      </c>
      <c r="AK390" s="136">
        <v>0</v>
      </c>
      <c r="AL390" s="136">
        <v>0</v>
      </c>
      <c r="AM390" s="136">
        <v>0</v>
      </c>
      <c r="AN390" s="136">
        <v>0</v>
      </c>
      <c r="AO390" s="136"/>
      <c r="AP390" s="143" t="e">
        <f>VLOOKUP(tbl_IO_List[[#This Row],[Instruement Tag]],tbl_Instruement_List[],14,FALSE)</f>
        <v>#N/A</v>
      </c>
      <c r="AQ390" s="143" t="str">
        <f>tbl_IO_List[[#This Row],[Chassis]]&amp;"S"&amp;tbl_IO_List[[#This Row],[Slot]]&amp;"-"&amp;tbl_IO_List[[#This Row],[Front Terminal Number]]</f>
        <v>C2S5-34</v>
      </c>
      <c r="AR390" s="141" t="s">
        <v>1865</v>
      </c>
      <c r="AS390" s="136" t="str">
        <f>tbl_IO_List[[#This Row],[Terminal Tagging]]&amp;"-"&amp;tbl_IO_List[[#This Row],[Point-Count]]</f>
        <v>P2-TBDI5-32</v>
      </c>
      <c r="AT390" s="136" t="str">
        <f>tbl_IO_List[[#This Row],[Front Terminal Tagging]]&amp;"/"&amp;tbl_IO_List[[#This Row],[Terminal Tagging-Item]]</f>
        <v>C2S5-34/P2-TBDI5-32</v>
      </c>
      <c r="AU390" s="136" t="str">
        <f>tbl_IO_List[[#This Row],[Terminal Tagging-Item]]&amp;"/"&amp;tbl_IO_List[[#This Row],[Front Terminal Tagging]]</f>
        <v>P2-TBDI5-32/C2S5-34</v>
      </c>
    </row>
    <row r="391" spans="1:47">
      <c r="A391" s="147" t="s">
        <v>1367</v>
      </c>
      <c r="B391" s="136" t="s">
        <v>168</v>
      </c>
      <c r="C391" s="136" t="str">
        <f>tbl_IO_List[[#This Row],[Column3]]</f>
        <v>C2S06,00</v>
      </c>
      <c r="D391" s="136" t="str">
        <f>tbl_IO_List[[#This Row],[Card]]</f>
        <v>1756-OB32-0</v>
      </c>
      <c r="E391" s="136" t="s">
        <v>1366</v>
      </c>
      <c r="F391" s="136" t="str">
        <f>tbl_IO_List[[#This Row],[Column23]]&amp;"-" &amp;tbl_IO_List[[#This Row],[Column52]]</f>
        <v>C2S06-X1</v>
      </c>
      <c r="G391" s="136" t="str">
        <f>tbl_IO_List[[#This Row],[PLC_Tag]]</f>
        <v>XV-40203F_DO_1</v>
      </c>
      <c r="H391" s="136"/>
      <c r="I391" s="136" t="str">
        <f>VLOOKUP(tbl_IO_List[[#This Row],[Destination]],tbl_Junction[],2,FALSE)</f>
        <v>Jet Cooker 2nd Floor</v>
      </c>
      <c r="J391" s="136" t="s">
        <v>168</v>
      </c>
      <c r="K391" s="136" t="s">
        <v>169</v>
      </c>
      <c r="L391" s="136" t="s">
        <v>181</v>
      </c>
      <c r="M391" s="136">
        <f>VLOOKUP(tbl_IO_List[[#This Row],[Instruement Tag]],tbl_Instruement_List[],2,FALSE)</f>
        <v>0</v>
      </c>
      <c r="N391" s="136" t="s">
        <v>24</v>
      </c>
      <c r="O391" s="136" t="s">
        <v>18</v>
      </c>
      <c r="P391" s="136" t="s">
        <v>172</v>
      </c>
      <c r="Q391" s="136" t="str">
        <f>VLOOKUP(tbl_IO_List[[#This Row],[Instruement Tag]],tbl_Instruement_List[],6,FALSE)</f>
        <v xml:space="preserve">Jet Cooker </v>
      </c>
      <c r="R391" s="136"/>
      <c r="S39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91" s="136" t="str">
        <f>tbl_IO_List[[#This Row],[Instruement Tag]]&amp;"_"&amp;tbl_IO_List[[#This Row],[I/O Type]]&amp;"_"&amp;tbl_IO_List[[#This Row],[IO-Point 
(Instruement)]]</f>
        <v>XV-40203F_DO_1</v>
      </c>
      <c r="U391" s="136" t="s">
        <v>7</v>
      </c>
      <c r="V391" s="136">
        <f>VLOOKUP(tbl_IO_List[[#This Row],[I/O Type]],tbl_Slot_Group[],2,FALSE)</f>
        <v>2</v>
      </c>
      <c r="W391" s="136">
        <v>1</v>
      </c>
      <c r="X391" s="136" t="str">
        <f>tbl_IO_List[[#This Row],[Chassis]]&amp;"S"&amp;TEXT(tbl_IO_List[[#This Row],[Slot]],"00")</f>
        <v>C2S06</v>
      </c>
      <c r="Y391" s="136" t="str">
        <f>tbl_IO_List[[#This Row],[Chassis]]&amp;"S"&amp;TEXT(tbl_IO_List[[#This Row],[Slot]],"00")&amp;tbl_IO_List[[#This Row],[I/O Type]]&amp;TEXT(tbl_IO_List[[#This Row],[Point]],"00")</f>
        <v>C2S06DO00</v>
      </c>
      <c r="Z391" s="136" t="str">
        <f>tbl_IO_List[[#This Row],[Chassis]]&amp;"S"&amp;TEXT(tbl_IO_List[[#This Row],[Slot]],"00")&amp;","&amp;TEXT(tbl_IO_List[[#This Row],[Point]],"00")</f>
        <v>C2S06,00</v>
      </c>
      <c r="AA391" s="136" t="str">
        <f>VLOOKUP(tbl_IO_List[[#This Row],[Column23]],tbl_RackConfig[],5,FALSE) &amp;"-"&amp;tbl_IO_List[[#This Row],[Point]]</f>
        <v>1756-OB32-0</v>
      </c>
      <c r="AB391" s="136"/>
      <c r="AC391" s="136"/>
      <c r="AD391" s="136" t="str">
        <f>tbl_IO_List[[#This Row],[I/O Type]]</f>
        <v>DO</v>
      </c>
      <c r="AE391" s="136" t="s">
        <v>1333</v>
      </c>
      <c r="AF391" s="136">
        <v>6</v>
      </c>
      <c r="AG391" s="136">
        <v>0</v>
      </c>
      <c r="AH391" s="136">
        <v>1</v>
      </c>
      <c r="AI391" s="136">
        <v>1</v>
      </c>
      <c r="AJ391" s="136">
        <v>2</v>
      </c>
      <c r="AK391" s="136">
        <v>1</v>
      </c>
      <c r="AL391" s="136">
        <v>0</v>
      </c>
      <c r="AM391" s="136">
        <v>0</v>
      </c>
      <c r="AN391" s="136">
        <v>0</v>
      </c>
      <c r="AO391" s="136"/>
      <c r="AP391" s="143" t="str">
        <f>VLOOKUP(tbl_IO_List[[#This Row],[Instruement Tag]],tbl_Instruement_List[],14,FALSE)</f>
        <v>24 VDC energized</v>
      </c>
      <c r="AQ391" s="143" t="str">
        <f>tbl_IO_List[[#This Row],[Chassis]]&amp;"S"&amp;tbl_IO_List[[#This Row],[Slot]]&amp;"-"&amp;tbl_IO_List[[#This Row],[Front Terminal Number]]</f>
        <v>C2S6-1</v>
      </c>
      <c r="AR391" s="141" t="s">
        <v>1866</v>
      </c>
      <c r="AS391" s="136" t="str">
        <f>tbl_IO_List[[#This Row],[Terminal Tagging]]&amp;"-"&amp;tbl_IO_List[[#This Row],[Point-Count]]</f>
        <v>P2-TBRL1-1</v>
      </c>
      <c r="AT391" s="136" t="str">
        <f>tbl_IO_List[[#This Row],[Front Terminal Tagging]]&amp;"/"&amp;tbl_IO_List[[#This Row],[Terminal Tagging-Item]]</f>
        <v>C2S6-1/P2-TBRL1-1</v>
      </c>
      <c r="AU391" s="136" t="str">
        <f>tbl_IO_List[[#This Row],[Terminal Tagging-Item]]&amp;"/"&amp;tbl_IO_List[[#This Row],[Front Terminal Tagging]]</f>
        <v>P2-TBRL1-1/C2S6-1</v>
      </c>
    </row>
    <row r="392" spans="1:47">
      <c r="A392" s="147" t="s">
        <v>1367</v>
      </c>
      <c r="B392" s="136" t="s">
        <v>168</v>
      </c>
      <c r="C392" s="136" t="str">
        <f>tbl_IO_List[[#This Row],[Column3]]</f>
        <v>C2S06,01</v>
      </c>
      <c r="D392" s="136" t="str">
        <f>tbl_IO_List[[#This Row],[Card]]</f>
        <v>1756-OB32-1</v>
      </c>
      <c r="E392" s="136" t="s">
        <v>1366</v>
      </c>
      <c r="F392" s="136" t="str">
        <f>tbl_IO_List[[#This Row],[Column23]]&amp;"-" &amp;tbl_IO_List[[#This Row],[Column52]]</f>
        <v>C2S06-X1</v>
      </c>
      <c r="G392" s="136" t="str">
        <f>tbl_IO_List[[#This Row],[PLC_Tag]]</f>
        <v>XV-40204B_DO_1</v>
      </c>
      <c r="H392" s="136"/>
      <c r="I392" s="136" t="str">
        <f>VLOOKUP(tbl_IO_List[[#This Row],[Destination]],tbl_Junction[],2,FALSE)</f>
        <v>Jet Cooker 2nd Floor</v>
      </c>
      <c r="J392" s="136" t="s">
        <v>168</v>
      </c>
      <c r="K392" s="136" t="s">
        <v>169</v>
      </c>
      <c r="L392" s="136" t="s">
        <v>182</v>
      </c>
      <c r="M392" s="136">
        <f>VLOOKUP(tbl_IO_List[[#This Row],[Instruement Tag]],tbl_Instruement_List[],2,FALSE)</f>
        <v>0</v>
      </c>
      <c r="N392" s="136" t="s">
        <v>24</v>
      </c>
      <c r="O392" s="136" t="s">
        <v>18</v>
      </c>
      <c r="P392" s="136" t="s">
        <v>170</v>
      </c>
      <c r="Q392" s="136" t="str">
        <f>VLOOKUP(tbl_IO_List[[#This Row],[Instruement Tag]],tbl_Instruement_List[],6,FALSE)</f>
        <v xml:space="preserve">Jet Cooker </v>
      </c>
      <c r="R392" s="136"/>
      <c r="S39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92" s="136" t="str">
        <f>tbl_IO_List[[#This Row],[Instruement Tag]]&amp;"_"&amp;tbl_IO_List[[#This Row],[I/O Type]]&amp;"_"&amp;tbl_IO_List[[#This Row],[IO-Point 
(Instruement)]]</f>
        <v>XV-40204B_DO_1</v>
      </c>
      <c r="U392" s="136" t="s">
        <v>7</v>
      </c>
      <c r="V392" s="136">
        <f>VLOOKUP(tbl_IO_List[[#This Row],[I/O Type]],tbl_Slot_Group[],2,FALSE)</f>
        <v>2</v>
      </c>
      <c r="W392" s="136">
        <v>1</v>
      </c>
      <c r="X392" s="136" t="str">
        <f>tbl_IO_List[[#This Row],[Chassis]]&amp;"S"&amp;TEXT(tbl_IO_List[[#This Row],[Slot]],"00")</f>
        <v>C2S06</v>
      </c>
      <c r="Y392" s="136" t="str">
        <f>tbl_IO_List[[#This Row],[Chassis]]&amp;"S"&amp;TEXT(tbl_IO_List[[#This Row],[Slot]],"00")&amp;tbl_IO_List[[#This Row],[I/O Type]]&amp;TEXT(tbl_IO_List[[#This Row],[Point]],"00")</f>
        <v>C2S06DO01</v>
      </c>
      <c r="Z392" s="136" t="str">
        <f>tbl_IO_List[[#This Row],[Chassis]]&amp;"S"&amp;TEXT(tbl_IO_List[[#This Row],[Slot]],"00")&amp;","&amp;TEXT(tbl_IO_List[[#This Row],[Point]],"00")</f>
        <v>C2S06,01</v>
      </c>
      <c r="AA392" s="136" t="str">
        <f>VLOOKUP(tbl_IO_List[[#This Row],[Column23]],tbl_RackConfig[],5,FALSE) &amp;"-"&amp;tbl_IO_List[[#This Row],[Point]]</f>
        <v>1756-OB32-1</v>
      </c>
      <c r="AB392" s="136"/>
      <c r="AC392" s="136"/>
      <c r="AD392" s="136" t="str">
        <f>tbl_IO_List[[#This Row],[I/O Type]]</f>
        <v>DO</v>
      </c>
      <c r="AE392" s="136" t="s">
        <v>1333</v>
      </c>
      <c r="AF392" s="136">
        <v>6</v>
      </c>
      <c r="AG392" s="136">
        <v>1</v>
      </c>
      <c r="AH392" s="136">
        <v>2</v>
      </c>
      <c r="AI392" s="136">
        <v>2</v>
      </c>
      <c r="AJ392" s="136">
        <v>2</v>
      </c>
      <c r="AK392" s="136">
        <v>1</v>
      </c>
      <c r="AL392" s="136">
        <v>0</v>
      </c>
      <c r="AM392" s="136">
        <v>0</v>
      </c>
      <c r="AN392" s="136">
        <v>0</v>
      </c>
      <c r="AO392" s="136"/>
      <c r="AP392" s="143" t="str">
        <f>VLOOKUP(tbl_IO_List[[#This Row],[Instruement Tag]],tbl_Instruement_List[],14,FALSE)</f>
        <v>24 VDC energized</v>
      </c>
      <c r="AQ392" s="143" t="str">
        <f>tbl_IO_List[[#This Row],[Chassis]]&amp;"S"&amp;tbl_IO_List[[#This Row],[Slot]]&amp;"-"&amp;tbl_IO_List[[#This Row],[Front Terminal Number]]</f>
        <v>C2S6-2</v>
      </c>
      <c r="AR392" s="141" t="s">
        <v>1866</v>
      </c>
      <c r="AS392" s="136" t="str">
        <f>tbl_IO_List[[#This Row],[Terminal Tagging]]&amp;"-"&amp;tbl_IO_List[[#This Row],[Point-Count]]</f>
        <v>P2-TBRL1-2</v>
      </c>
      <c r="AT392" s="136" t="str">
        <f>tbl_IO_List[[#This Row],[Front Terminal Tagging]]&amp;"/"&amp;tbl_IO_List[[#This Row],[Terminal Tagging-Item]]</f>
        <v>C2S6-2/P2-TBRL1-2</v>
      </c>
      <c r="AU392" s="136" t="str">
        <f>tbl_IO_List[[#This Row],[Terminal Tagging-Item]]&amp;"/"&amp;tbl_IO_List[[#This Row],[Front Terminal Tagging]]</f>
        <v>P2-TBRL1-2/C2S6-2</v>
      </c>
    </row>
    <row r="393" spans="1:47">
      <c r="A393" s="147" t="s">
        <v>1367</v>
      </c>
      <c r="B393" s="136" t="s">
        <v>168</v>
      </c>
      <c r="C393" s="136" t="str">
        <f>tbl_IO_List[[#This Row],[Column3]]</f>
        <v>C2S06,02</v>
      </c>
      <c r="D393" s="136" t="str">
        <f>tbl_IO_List[[#This Row],[Card]]</f>
        <v>1756-OB32-2</v>
      </c>
      <c r="E393" s="136" t="s">
        <v>1366</v>
      </c>
      <c r="F393" s="136" t="str">
        <f>tbl_IO_List[[#This Row],[Column23]]&amp;"-" &amp;tbl_IO_List[[#This Row],[Column52]]</f>
        <v>C2S06-X1</v>
      </c>
      <c r="G393" s="136" t="str">
        <f>tbl_IO_List[[#This Row],[PLC_Tag]]</f>
        <v>XV-40204C_DO_1</v>
      </c>
      <c r="H393" s="136"/>
      <c r="I393" s="136" t="str">
        <f>VLOOKUP(tbl_IO_List[[#This Row],[Destination]],tbl_Junction[],2,FALSE)</f>
        <v>Jet Cooker 2nd Floor</v>
      </c>
      <c r="J393" s="136" t="s">
        <v>168</v>
      </c>
      <c r="K393" s="136" t="s">
        <v>169</v>
      </c>
      <c r="L393" s="136" t="s">
        <v>183</v>
      </c>
      <c r="M393" s="136">
        <f>VLOOKUP(tbl_IO_List[[#This Row],[Instruement Tag]],tbl_Instruement_List[],2,FALSE)</f>
        <v>0</v>
      </c>
      <c r="N393" s="136" t="s">
        <v>24</v>
      </c>
      <c r="O393" s="136" t="s">
        <v>18</v>
      </c>
      <c r="P393" s="136" t="s">
        <v>170</v>
      </c>
      <c r="Q393" s="136" t="str">
        <f>VLOOKUP(tbl_IO_List[[#This Row],[Instruement Tag]],tbl_Instruement_List[],6,FALSE)</f>
        <v xml:space="preserve">Jet Cooker </v>
      </c>
      <c r="R393" s="136"/>
      <c r="S39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93" s="136" t="str">
        <f>tbl_IO_List[[#This Row],[Instruement Tag]]&amp;"_"&amp;tbl_IO_List[[#This Row],[I/O Type]]&amp;"_"&amp;tbl_IO_List[[#This Row],[IO-Point 
(Instruement)]]</f>
        <v>XV-40204C_DO_1</v>
      </c>
      <c r="U393" s="136" t="s">
        <v>7</v>
      </c>
      <c r="V393" s="136">
        <f>VLOOKUP(tbl_IO_List[[#This Row],[I/O Type]],tbl_Slot_Group[],2,FALSE)</f>
        <v>2</v>
      </c>
      <c r="W393" s="136">
        <v>1</v>
      </c>
      <c r="X393" s="136" t="str">
        <f>tbl_IO_List[[#This Row],[Chassis]]&amp;"S"&amp;TEXT(tbl_IO_List[[#This Row],[Slot]],"00")</f>
        <v>C2S06</v>
      </c>
      <c r="Y393" s="136" t="str">
        <f>tbl_IO_List[[#This Row],[Chassis]]&amp;"S"&amp;TEXT(tbl_IO_List[[#This Row],[Slot]],"00")&amp;tbl_IO_List[[#This Row],[I/O Type]]&amp;TEXT(tbl_IO_List[[#This Row],[Point]],"00")</f>
        <v>C2S06DO02</v>
      </c>
      <c r="Z393" s="136" t="str">
        <f>tbl_IO_List[[#This Row],[Chassis]]&amp;"S"&amp;TEXT(tbl_IO_List[[#This Row],[Slot]],"00")&amp;","&amp;TEXT(tbl_IO_List[[#This Row],[Point]],"00")</f>
        <v>C2S06,02</v>
      </c>
      <c r="AA393" s="136" t="str">
        <f>VLOOKUP(tbl_IO_List[[#This Row],[Column23]],tbl_RackConfig[],5,FALSE) &amp;"-"&amp;tbl_IO_List[[#This Row],[Point]]</f>
        <v>1756-OB32-2</v>
      </c>
      <c r="AB393" s="136"/>
      <c r="AC393" s="136"/>
      <c r="AD393" s="136" t="str">
        <f>tbl_IO_List[[#This Row],[I/O Type]]</f>
        <v>DO</v>
      </c>
      <c r="AE393" s="136" t="s">
        <v>1333</v>
      </c>
      <c r="AF393" s="136">
        <v>6</v>
      </c>
      <c r="AG393" s="136">
        <v>2</v>
      </c>
      <c r="AH393" s="136">
        <v>3</v>
      </c>
      <c r="AI393" s="136">
        <v>3</v>
      </c>
      <c r="AJ393" s="136">
        <v>2</v>
      </c>
      <c r="AK393" s="136">
        <v>1</v>
      </c>
      <c r="AL393" s="136">
        <v>0</v>
      </c>
      <c r="AM393" s="136">
        <v>0</v>
      </c>
      <c r="AN393" s="136">
        <v>0</v>
      </c>
      <c r="AO393" s="136"/>
      <c r="AP393" s="143" t="str">
        <f>VLOOKUP(tbl_IO_List[[#This Row],[Instruement Tag]],tbl_Instruement_List[],14,FALSE)</f>
        <v>24 VDC energized</v>
      </c>
      <c r="AQ393" s="143" t="str">
        <f>tbl_IO_List[[#This Row],[Chassis]]&amp;"S"&amp;tbl_IO_List[[#This Row],[Slot]]&amp;"-"&amp;tbl_IO_List[[#This Row],[Front Terminal Number]]</f>
        <v>C2S6-3</v>
      </c>
      <c r="AR393" s="141" t="s">
        <v>1866</v>
      </c>
      <c r="AS393" s="136" t="str">
        <f>tbl_IO_List[[#This Row],[Terminal Tagging]]&amp;"-"&amp;tbl_IO_List[[#This Row],[Point-Count]]</f>
        <v>P2-TBRL1-3</v>
      </c>
      <c r="AT393" s="136" t="str">
        <f>tbl_IO_List[[#This Row],[Front Terminal Tagging]]&amp;"/"&amp;tbl_IO_List[[#This Row],[Terminal Tagging-Item]]</f>
        <v>C2S6-3/P2-TBRL1-3</v>
      </c>
      <c r="AU393" s="136" t="str">
        <f>tbl_IO_List[[#This Row],[Terminal Tagging-Item]]&amp;"/"&amp;tbl_IO_List[[#This Row],[Front Terminal Tagging]]</f>
        <v>P2-TBRL1-3/C2S6-3</v>
      </c>
    </row>
    <row r="394" spans="1:47">
      <c r="A394" s="147" t="s">
        <v>1367</v>
      </c>
      <c r="B394" s="136" t="s">
        <v>168</v>
      </c>
      <c r="C394" s="136" t="str">
        <f>tbl_IO_List[[#This Row],[Column3]]</f>
        <v>C2S06,03</v>
      </c>
      <c r="D394" s="136" t="str">
        <f>tbl_IO_List[[#This Row],[Card]]</f>
        <v>1756-OB32-3</v>
      </c>
      <c r="E394" s="136" t="s">
        <v>1366</v>
      </c>
      <c r="F394" s="136" t="str">
        <f>tbl_IO_List[[#This Row],[Column23]]&amp;"-" &amp;tbl_IO_List[[#This Row],[Column52]]</f>
        <v>C2S06-X1</v>
      </c>
      <c r="G394" s="136" t="str">
        <f>tbl_IO_List[[#This Row],[PLC_Tag]]</f>
        <v>XV-40205A_DO_1</v>
      </c>
      <c r="H394" s="136"/>
      <c r="I394" s="136" t="str">
        <f>VLOOKUP(tbl_IO_List[[#This Row],[Destination]],tbl_Junction[],2,FALSE)</f>
        <v>Jet Cooker 2nd Floor</v>
      </c>
      <c r="J394" s="136" t="s">
        <v>168</v>
      </c>
      <c r="K394" s="136" t="s">
        <v>169</v>
      </c>
      <c r="L394" s="136" t="s">
        <v>184</v>
      </c>
      <c r="M394" s="136">
        <f>VLOOKUP(tbl_IO_List[[#This Row],[Instruement Tag]],tbl_Instruement_List[],2,FALSE)</f>
        <v>0</v>
      </c>
      <c r="N394" s="136" t="s">
        <v>24</v>
      </c>
      <c r="O394" s="136" t="s">
        <v>18</v>
      </c>
      <c r="P394" s="136" t="s">
        <v>172</v>
      </c>
      <c r="Q394" s="136" t="str">
        <f>VLOOKUP(tbl_IO_List[[#This Row],[Instruement Tag]],tbl_Instruement_List[],6,FALSE)</f>
        <v xml:space="preserve">Jet Cooker </v>
      </c>
      <c r="R394" s="136"/>
      <c r="S39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94" s="136" t="str">
        <f>tbl_IO_List[[#This Row],[Instruement Tag]]&amp;"_"&amp;tbl_IO_List[[#This Row],[I/O Type]]&amp;"_"&amp;tbl_IO_List[[#This Row],[IO-Point 
(Instruement)]]</f>
        <v>XV-40205A_DO_1</v>
      </c>
      <c r="U394" s="136" t="s">
        <v>7</v>
      </c>
      <c r="V394" s="136">
        <f>VLOOKUP(tbl_IO_List[[#This Row],[I/O Type]],tbl_Slot_Group[],2,FALSE)</f>
        <v>2</v>
      </c>
      <c r="W394" s="136">
        <v>1</v>
      </c>
      <c r="X394" s="136" t="str">
        <f>tbl_IO_List[[#This Row],[Chassis]]&amp;"S"&amp;TEXT(tbl_IO_List[[#This Row],[Slot]],"00")</f>
        <v>C2S06</v>
      </c>
      <c r="Y394" s="136" t="str">
        <f>tbl_IO_List[[#This Row],[Chassis]]&amp;"S"&amp;TEXT(tbl_IO_List[[#This Row],[Slot]],"00")&amp;tbl_IO_List[[#This Row],[I/O Type]]&amp;TEXT(tbl_IO_List[[#This Row],[Point]],"00")</f>
        <v>C2S06DO03</v>
      </c>
      <c r="Z394" s="136" t="str">
        <f>tbl_IO_List[[#This Row],[Chassis]]&amp;"S"&amp;TEXT(tbl_IO_List[[#This Row],[Slot]],"00")&amp;","&amp;TEXT(tbl_IO_List[[#This Row],[Point]],"00")</f>
        <v>C2S06,03</v>
      </c>
      <c r="AA394" s="136" t="str">
        <f>VLOOKUP(tbl_IO_List[[#This Row],[Column23]],tbl_RackConfig[],5,FALSE) &amp;"-"&amp;tbl_IO_List[[#This Row],[Point]]</f>
        <v>1756-OB32-3</v>
      </c>
      <c r="AB394" s="136"/>
      <c r="AC394" s="136"/>
      <c r="AD394" s="136" t="str">
        <f>tbl_IO_List[[#This Row],[I/O Type]]</f>
        <v>DO</v>
      </c>
      <c r="AE394" s="136" t="s">
        <v>1333</v>
      </c>
      <c r="AF394" s="136">
        <v>6</v>
      </c>
      <c r="AG394" s="136">
        <v>3</v>
      </c>
      <c r="AH394" s="136">
        <v>4</v>
      </c>
      <c r="AI394" s="136">
        <v>4</v>
      </c>
      <c r="AJ394" s="136">
        <v>2</v>
      </c>
      <c r="AK394" s="136">
        <v>1</v>
      </c>
      <c r="AL394" s="136">
        <v>0</v>
      </c>
      <c r="AM394" s="136">
        <v>0</v>
      </c>
      <c r="AN394" s="136">
        <v>0</v>
      </c>
      <c r="AO394" s="136"/>
      <c r="AP394" s="143" t="str">
        <f>VLOOKUP(tbl_IO_List[[#This Row],[Instruement Tag]],tbl_Instruement_List[],14,FALSE)</f>
        <v>24 VDC energized</v>
      </c>
      <c r="AQ394" s="143" t="str">
        <f>tbl_IO_List[[#This Row],[Chassis]]&amp;"S"&amp;tbl_IO_List[[#This Row],[Slot]]&amp;"-"&amp;tbl_IO_List[[#This Row],[Front Terminal Number]]</f>
        <v>C2S6-4</v>
      </c>
      <c r="AR394" s="141" t="s">
        <v>1866</v>
      </c>
      <c r="AS394" s="136" t="str">
        <f>tbl_IO_List[[#This Row],[Terminal Tagging]]&amp;"-"&amp;tbl_IO_List[[#This Row],[Point-Count]]</f>
        <v>P2-TBRL1-4</v>
      </c>
      <c r="AT394" s="136" t="str">
        <f>tbl_IO_List[[#This Row],[Front Terminal Tagging]]&amp;"/"&amp;tbl_IO_List[[#This Row],[Terminal Tagging-Item]]</f>
        <v>C2S6-4/P2-TBRL1-4</v>
      </c>
      <c r="AU394" s="136" t="str">
        <f>tbl_IO_List[[#This Row],[Terminal Tagging-Item]]&amp;"/"&amp;tbl_IO_List[[#This Row],[Front Terminal Tagging]]</f>
        <v>P2-TBRL1-4/C2S6-4</v>
      </c>
    </row>
    <row r="395" spans="1:47">
      <c r="A395" s="147" t="s">
        <v>1367</v>
      </c>
      <c r="B395" s="136" t="s">
        <v>168</v>
      </c>
      <c r="C395" s="136" t="str">
        <f>tbl_IO_List[[#This Row],[Column3]]</f>
        <v>C2S06,04</v>
      </c>
      <c r="D395" s="136" t="str">
        <f>tbl_IO_List[[#This Row],[Card]]</f>
        <v>1756-OB32-4</v>
      </c>
      <c r="E395" s="136" t="s">
        <v>1366</v>
      </c>
      <c r="F395" s="136" t="str">
        <f>tbl_IO_List[[#This Row],[Column23]]&amp;"-" &amp;tbl_IO_List[[#This Row],[Column52]]</f>
        <v>C2S06-X1</v>
      </c>
      <c r="G395" s="136" t="str">
        <f>tbl_IO_List[[#This Row],[PLC_Tag]]</f>
        <v>XV-40205B_DO_1</v>
      </c>
      <c r="H395" s="136"/>
      <c r="I395" s="136" t="str">
        <f>VLOOKUP(tbl_IO_List[[#This Row],[Destination]],tbl_Junction[],2,FALSE)</f>
        <v>Jet Cooker 2nd Floor</v>
      </c>
      <c r="J395" s="136" t="s">
        <v>168</v>
      </c>
      <c r="K395" s="136" t="s">
        <v>169</v>
      </c>
      <c r="L395" s="136" t="s">
        <v>185</v>
      </c>
      <c r="M395" s="136">
        <f>VLOOKUP(tbl_IO_List[[#This Row],[Instruement Tag]],tbl_Instruement_List[],2,FALSE)</f>
        <v>0</v>
      </c>
      <c r="N395" s="136" t="s">
        <v>24</v>
      </c>
      <c r="O395" s="136" t="s">
        <v>18</v>
      </c>
      <c r="P395" s="136" t="s">
        <v>172</v>
      </c>
      <c r="Q395" s="136" t="str">
        <f>VLOOKUP(tbl_IO_List[[#This Row],[Instruement Tag]],tbl_Instruement_List[],6,FALSE)</f>
        <v xml:space="preserve">Jet Cooker </v>
      </c>
      <c r="R395" s="136"/>
      <c r="S39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95" s="136" t="str">
        <f>tbl_IO_List[[#This Row],[Instruement Tag]]&amp;"_"&amp;tbl_IO_List[[#This Row],[I/O Type]]&amp;"_"&amp;tbl_IO_List[[#This Row],[IO-Point 
(Instruement)]]</f>
        <v>XV-40205B_DO_1</v>
      </c>
      <c r="U395" s="136" t="s">
        <v>7</v>
      </c>
      <c r="V395" s="136">
        <f>VLOOKUP(tbl_IO_List[[#This Row],[I/O Type]],tbl_Slot_Group[],2,FALSE)</f>
        <v>2</v>
      </c>
      <c r="W395" s="136">
        <v>1</v>
      </c>
      <c r="X395" s="136" t="str">
        <f>tbl_IO_List[[#This Row],[Chassis]]&amp;"S"&amp;TEXT(tbl_IO_List[[#This Row],[Slot]],"00")</f>
        <v>C2S06</v>
      </c>
      <c r="Y395" s="136" t="str">
        <f>tbl_IO_List[[#This Row],[Chassis]]&amp;"S"&amp;TEXT(tbl_IO_List[[#This Row],[Slot]],"00")&amp;tbl_IO_List[[#This Row],[I/O Type]]&amp;TEXT(tbl_IO_List[[#This Row],[Point]],"00")</f>
        <v>C2S06DO04</v>
      </c>
      <c r="Z395" s="136" t="str">
        <f>tbl_IO_List[[#This Row],[Chassis]]&amp;"S"&amp;TEXT(tbl_IO_List[[#This Row],[Slot]],"00")&amp;","&amp;TEXT(tbl_IO_List[[#This Row],[Point]],"00")</f>
        <v>C2S06,04</v>
      </c>
      <c r="AA395" s="136" t="str">
        <f>VLOOKUP(tbl_IO_List[[#This Row],[Column23]],tbl_RackConfig[],5,FALSE) &amp;"-"&amp;tbl_IO_List[[#This Row],[Point]]</f>
        <v>1756-OB32-4</v>
      </c>
      <c r="AB395" s="136"/>
      <c r="AC395" s="136"/>
      <c r="AD395" s="136" t="str">
        <f>tbl_IO_List[[#This Row],[I/O Type]]</f>
        <v>DO</v>
      </c>
      <c r="AE395" s="136" t="s">
        <v>1333</v>
      </c>
      <c r="AF395" s="136">
        <v>6</v>
      </c>
      <c r="AG395" s="136">
        <v>4</v>
      </c>
      <c r="AH395" s="136">
        <v>5</v>
      </c>
      <c r="AI395" s="136">
        <v>5</v>
      </c>
      <c r="AJ395" s="136">
        <v>2</v>
      </c>
      <c r="AK395" s="136">
        <v>1</v>
      </c>
      <c r="AL395" s="136">
        <v>0</v>
      </c>
      <c r="AM395" s="136">
        <v>0</v>
      </c>
      <c r="AN395" s="136">
        <v>0</v>
      </c>
      <c r="AO395" s="136"/>
      <c r="AP395" s="143" t="str">
        <f>VLOOKUP(tbl_IO_List[[#This Row],[Instruement Tag]],tbl_Instruement_List[],14,FALSE)</f>
        <v>24 VDC energized</v>
      </c>
      <c r="AQ395" s="143" t="str">
        <f>tbl_IO_List[[#This Row],[Chassis]]&amp;"S"&amp;tbl_IO_List[[#This Row],[Slot]]&amp;"-"&amp;tbl_IO_List[[#This Row],[Front Terminal Number]]</f>
        <v>C2S6-5</v>
      </c>
      <c r="AR395" s="141" t="s">
        <v>1866</v>
      </c>
      <c r="AS395" s="136" t="str">
        <f>tbl_IO_List[[#This Row],[Terminal Tagging]]&amp;"-"&amp;tbl_IO_List[[#This Row],[Point-Count]]</f>
        <v>P2-TBRL1-5</v>
      </c>
      <c r="AT395" s="136" t="str">
        <f>tbl_IO_List[[#This Row],[Front Terminal Tagging]]&amp;"/"&amp;tbl_IO_List[[#This Row],[Terminal Tagging-Item]]</f>
        <v>C2S6-5/P2-TBRL1-5</v>
      </c>
      <c r="AU395" s="136" t="str">
        <f>tbl_IO_List[[#This Row],[Terminal Tagging-Item]]&amp;"/"&amp;tbl_IO_List[[#This Row],[Front Terminal Tagging]]</f>
        <v>P2-TBRL1-5/C2S6-5</v>
      </c>
    </row>
    <row r="396" spans="1:47">
      <c r="A396" s="147" t="s">
        <v>1367</v>
      </c>
      <c r="B396" s="136" t="s">
        <v>168</v>
      </c>
      <c r="C396" s="136" t="str">
        <f>tbl_IO_List[[#This Row],[Column3]]</f>
        <v>C2S06,05</v>
      </c>
      <c r="D396" s="136" t="str">
        <f>tbl_IO_List[[#This Row],[Card]]</f>
        <v>1756-OB32-5</v>
      </c>
      <c r="E396" s="136" t="s">
        <v>1366</v>
      </c>
      <c r="F396" s="136" t="str">
        <f>tbl_IO_List[[#This Row],[Column23]]&amp;"-" &amp;tbl_IO_List[[#This Row],[Column52]]</f>
        <v>C2S06-X1</v>
      </c>
      <c r="G396" s="136" t="str">
        <f>tbl_IO_List[[#This Row],[PLC_Tag]]</f>
        <v>XV-40205C_DO_1</v>
      </c>
      <c r="H396" s="136"/>
      <c r="I396" s="136" t="str">
        <f>VLOOKUP(tbl_IO_List[[#This Row],[Destination]],tbl_Junction[],2,FALSE)</f>
        <v>Jet Cooker 2nd Floor</v>
      </c>
      <c r="J396" s="136" t="s">
        <v>168</v>
      </c>
      <c r="K396" s="136" t="s">
        <v>169</v>
      </c>
      <c r="L396" s="136" t="s">
        <v>186</v>
      </c>
      <c r="M396" s="136">
        <f>VLOOKUP(tbl_IO_List[[#This Row],[Instruement Tag]],tbl_Instruement_List[],2,FALSE)</f>
        <v>0</v>
      </c>
      <c r="N396" s="136" t="s">
        <v>24</v>
      </c>
      <c r="O396" s="136" t="s">
        <v>18</v>
      </c>
      <c r="P396" s="136" t="s">
        <v>172</v>
      </c>
      <c r="Q396" s="136" t="str">
        <f>VLOOKUP(tbl_IO_List[[#This Row],[Instruement Tag]],tbl_Instruement_List[],6,FALSE)</f>
        <v xml:space="preserve">Jet Cooker </v>
      </c>
      <c r="R396" s="136"/>
      <c r="S39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96" s="136" t="str">
        <f>tbl_IO_List[[#This Row],[Instruement Tag]]&amp;"_"&amp;tbl_IO_List[[#This Row],[I/O Type]]&amp;"_"&amp;tbl_IO_List[[#This Row],[IO-Point 
(Instruement)]]</f>
        <v>XV-40205C_DO_1</v>
      </c>
      <c r="U396" s="136" t="s">
        <v>7</v>
      </c>
      <c r="V396" s="136">
        <f>VLOOKUP(tbl_IO_List[[#This Row],[I/O Type]],tbl_Slot_Group[],2,FALSE)</f>
        <v>2</v>
      </c>
      <c r="W396" s="136">
        <v>1</v>
      </c>
      <c r="X396" s="136" t="str">
        <f>tbl_IO_List[[#This Row],[Chassis]]&amp;"S"&amp;TEXT(tbl_IO_List[[#This Row],[Slot]],"00")</f>
        <v>C2S06</v>
      </c>
      <c r="Y396" s="136" t="str">
        <f>tbl_IO_List[[#This Row],[Chassis]]&amp;"S"&amp;TEXT(tbl_IO_List[[#This Row],[Slot]],"00")&amp;tbl_IO_List[[#This Row],[I/O Type]]&amp;TEXT(tbl_IO_List[[#This Row],[Point]],"00")</f>
        <v>C2S06DO05</v>
      </c>
      <c r="Z396" s="136" t="str">
        <f>tbl_IO_List[[#This Row],[Chassis]]&amp;"S"&amp;TEXT(tbl_IO_List[[#This Row],[Slot]],"00")&amp;","&amp;TEXT(tbl_IO_List[[#This Row],[Point]],"00")</f>
        <v>C2S06,05</v>
      </c>
      <c r="AA396" s="136" t="str">
        <f>VLOOKUP(tbl_IO_List[[#This Row],[Column23]],tbl_RackConfig[],5,FALSE) &amp;"-"&amp;tbl_IO_List[[#This Row],[Point]]</f>
        <v>1756-OB32-5</v>
      </c>
      <c r="AB396" s="136"/>
      <c r="AC396" s="136"/>
      <c r="AD396" s="136" t="str">
        <f>tbl_IO_List[[#This Row],[I/O Type]]</f>
        <v>DO</v>
      </c>
      <c r="AE396" s="136" t="s">
        <v>1333</v>
      </c>
      <c r="AF396" s="136">
        <v>6</v>
      </c>
      <c r="AG396" s="136">
        <v>5</v>
      </c>
      <c r="AH396" s="136">
        <v>6</v>
      </c>
      <c r="AI396" s="136">
        <v>6</v>
      </c>
      <c r="AJ396" s="136">
        <v>2</v>
      </c>
      <c r="AK396" s="136">
        <v>1</v>
      </c>
      <c r="AL396" s="136">
        <v>0</v>
      </c>
      <c r="AM396" s="136">
        <v>0</v>
      </c>
      <c r="AN396" s="136">
        <v>0</v>
      </c>
      <c r="AO396" s="136"/>
      <c r="AP396" s="143" t="str">
        <f>VLOOKUP(tbl_IO_List[[#This Row],[Instruement Tag]],tbl_Instruement_List[],14,FALSE)</f>
        <v>24 VDC energized</v>
      </c>
      <c r="AQ396" s="143" t="str">
        <f>tbl_IO_List[[#This Row],[Chassis]]&amp;"S"&amp;tbl_IO_List[[#This Row],[Slot]]&amp;"-"&amp;tbl_IO_List[[#This Row],[Front Terminal Number]]</f>
        <v>C2S6-6</v>
      </c>
      <c r="AR396" s="141" t="s">
        <v>1866</v>
      </c>
      <c r="AS396" s="136" t="str">
        <f>tbl_IO_List[[#This Row],[Terminal Tagging]]&amp;"-"&amp;tbl_IO_List[[#This Row],[Point-Count]]</f>
        <v>P2-TBRL1-6</v>
      </c>
      <c r="AT396" s="136" t="str">
        <f>tbl_IO_List[[#This Row],[Front Terminal Tagging]]&amp;"/"&amp;tbl_IO_List[[#This Row],[Terminal Tagging-Item]]</f>
        <v>C2S6-6/P2-TBRL1-6</v>
      </c>
      <c r="AU396" s="136" t="str">
        <f>tbl_IO_List[[#This Row],[Terminal Tagging-Item]]&amp;"/"&amp;tbl_IO_List[[#This Row],[Front Terminal Tagging]]</f>
        <v>P2-TBRL1-6/C2S6-6</v>
      </c>
    </row>
    <row r="397" spans="1:47">
      <c r="A397" s="147" t="s">
        <v>1367</v>
      </c>
      <c r="B397" s="136" t="s">
        <v>168</v>
      </c>
      <c r="C397" s="136" t="str">
        <f>tbl_IO_List[[#This Row],[Column3]]</f>
        <v>C2S06,06</v>
      </c>
      <c r="D397" s="136" t="str">
        <f>tbl_IO_List[[#This Row],[Card]]</f>
        <v>1756-OB32-6</v>
      </c>
      <c r="E397" s="136" t="s">
        <v>1366</v>
      </c>
      <c r="F397" s="136" t="str">
        <f>tbl_IO_List[[#This Row],[Column23]]&amp;"-" &amp;tbl_IO_List[[#This Row],[Column52]]</f>
        <v>C2S06-X1</v>
      </c>
      <c r="G397" s="136" t="str">
        <f>tbl_IO_List[[#This Row],[PLC_Tag]]</f>
        <v>XV-40205D_DO_1</v>
      </c>
      <c r="H397" s="136"/>
      <c r="I397" s="136" t="str">
        <f>VLOOKUP(tbl_IO_List[[#This Row],[Destination]],tbl_Junction[],2,FALSE)</f>
        <v>Jet Cooker 2nd Floor</v>
      </c>
      <c r="J397" s="136" t="s">
        <v>168</v>
      </c>
      <c r="K397" s="136" t="s">
        <v>169</v>
      </c>
      <c r="L397" s="136" t="s">
        <v>187</v>
      </c>
      <c r="M397" s="136">
        <f>VLOOKUP(tbl_IO_List[[#This Row],[Instruement Tag]],tbl_Instruement_List[],2,FALSE)</f>
        <v>0</v>
      </c>
      <c r="N397" s="136" t="s">
        <v>24</v>
      </c>
      <c r="O397" s="136" t="s">
        <v>18</v>
      </c>
      <c r="P397" s="136" t="s">
        <v>172</v>
      </c>
      <c r="Q397" s="136" t="str">
        <f>VLOOKUP(tbl_IO_List[[#This Row],[Instruement Tag]],tbl_Instruement_List[],6,FALSE)</f>
        <v xml:space="preserve">Jet Cooker </v>
      </c>
      <c r="R397" s="136"/>
      <c r="S39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97" s="136" t="str">
        <f>tbl_IO_List[[#This Row],[Instruement Tag]]&amp;"_"&amp;tbl_IO_List[[#This Row],[I/O Type]]&amp;"_"&amp;tbl_IO_List[[#This Row],[IO-Point 
(Instruement)]]</f>
        <v>XV-40205D_DO_1</v>
      </c>
      <c r="U397" s="136" t="s">
        <v>7</v>
      </c>
      <c r="V397" s="136">
        <f>VLOOKUP(tbl_IO_List[[#This Row],[I/O Type]],tbl_Slot_Group[],2,FALSE)</f>
        <v>2</v>
      </c>
      <c r="W397" s="136">
        <v>1</v>
      </c>
      <c r="X397" s="136" t="str">
        <f>tbl_IO_List[[#This Row],[Chassis]]&amp;"S"&amp;TEXT(tbl_IO_List[[#This Row],[Slot]],"00")</f>
        <v>C2S06</v>
      </c>
      <c r="Y397" s="136" t="str">
        <f>tbl_IO_List[[#This Row],[Chassis]]&amp;"S"&amp;TEXT(tbl_IO_List[[#This Row],[Slot]],"00")&amp;tbl_IO_List[[#This Row],[I/O Type]]&amp;TEXT(tbl_IO_List[[#This Row],[Point]],"00")</f>
        <v>C2S06DO06</v>
      </c>
      <c r="Z397" s="136" t="str">
        <f>tbl_IO_List[[#This Row],[Chassis]]&amp;"S"&amp;TEXT(tbl_IO_List[[#This Row],[Slot]],"00")&amp;","&amp;TEXT(tbl_IO_List[[#This Row],[Point]],"00")</f>
        <v>C2S06,06</v>
      </c>
      <c r="AA397" s="136" t="str">
        <f>VLOOKUP(tbl_IO_List[[#This Row],[Column23]],tbl_RackConfig[],5,FALSE) &amp;"-"&amp;tbl_IO_List[[#This Row],[Point]]</f>
        <v>1756-OB32-6</v>
      </c>
      <c r="AB397" s="136"/>
      <c r="AC397" s="136"/>
      <c r="AD397" s="136" t="str">
        <f>tbl_IO_List[[#This Row],[I/O Type]]</f>
        <v>DO</v>
      </c>
      <c r="AE397" s="136" t="s">
        <v>1333</v>
      </c>
      <c r="AF397" s="136">
        <v>6</v>
      </c>
      <c r="AG397" s="136">
        <v>6</v>
      </c>
      <c r="AH397" s="136">
        <v>7</v>
      </c>
      <c r="AI397" s="136">
        <v>7</v>
      </c>
      <c r="AJ397" s="136">
        <v>2</v>
      </c>
      <c r="AK397" s="136">
        <v>1</v>
      </c>
      <c r="AL397" s="136">
        <v>0</v>
      </c>
      <c r="AM397" s="136">
        <v>0</v>
      </c>
      <c r="AN397" s="136">
        <v>0</v>
      </c>
      <c r="AO397" s="136"/>
      <c r="AP397" s="143" t="str">
        <f>VLOOKUP(tbl_IO_List[[#This Row],[Instruement Tag]],tbl_Instruement_List[],14,FALSE)</f>
        <v>24 VDC energized</v>
      </c>
      <c r="AQ397" s="143" t="str">
        <f>tbl_IO_List[[#This Row],[Chassis]]&amp;"S"&amp;tbl_IO_List[[#This Row],[Slot]]&amp;"-"&amp;tbl_IO_List[[#This Row],[Front Terminal Number]]</f>
        <v>C2S6-7</v>
      </c>
      <c r="AR397" s="141" t="s">
        <v>1866</v>
      </c>
      <c r="AS397" s="136" t="str">
        <f>tbl_IO_List[[#This Row],[Terminal Tagging]]&amp;"-"&amp;tbl_IO_List[[#This Row],[Point-Count]]</f>
        <v>P2-TBRL1-7</v>
      </c>
      <c r="AT397" s="136" t="str">
        <f>tbl_IO_List[[#This Row],[Front Terminal Tagging]]&amp;"/"&amp;tbl_IO_List[[#This Row],[Terminal Tagging-Item]]</f>
        <v>C2S6-7/P2-TBRL1-7</v>
      </c>
      <c r="AU397" s="136" t="str">
        <f>tbl_IO_List[[#This Row],[Terminal Tagging-Item]]&amp;"/"&amp;tbl_IO_List[[#This Row],[Front Terminal Tagging]]</f>
        <v>P2-TBRL1-7/C2S6-7</v>
      </c>
    </row>
    <row r="398" spans="1:47">
      <c r="A398" s="147" t="s">
        <v>1367</v>
      </c>
      <c r="B398" s="136" t="s">
        <v>168</v>
      </c>
      <c r="C398" s="136" t="str">
        <f>tbl_IO_List[[#This Row],[Column3]]</f>
        <v>C2S06,07</v>
      </c>
      <c r="D398" s="136" t="str">
        <f>tbl_IO_List[[#This Row],[Card]]</f>
        <v>1756-OB32-7</v>
      </c>
      <c r="E398" s="136" t="s">
        <v>1366</v>
      </c>
      <c r="F398" s="136" t="str">
        <f>tbl_IO_List[[#This Row],[Column23]]&amp;"-" &amp;tbl_IO_List[[#This Row],[Column52]]</f>
        <v>C2S06-X1</v>
      </c>
      <c r="G398" s="136" t="str">
        <f>tbl_IO_List[[#This Row],[PLC_Tag]]</f>
        <v>XV-40205F_DO_1</v>
      </c>
      <c r="H398" s="136"/>
      <c r="I398" s="136" t="str">
        <f>VLOOKUP(tbl_IO_List[[#This Row],[Destination]],tbl_Junction[],2,FALSE)</f>
        <v>Jet Cooker 2nd Floor</v>
      </c>
      <c r="J398" s="136" t="s">
        <v>168</v>
      </c>
      <c r="K398" s="136" t="s">
        <v>169</v>
      </c>
      <c r="L398" s="136" t="s">
        <v>188</v>
      </c>
      <c r="M398" s="136">
        <f>VLOOKUP(tbl_IO_List[[#This Row],[Instruement Tag]],tbl_Instruement_List[],2,FALSE)</f>
        <v>0</v>
      </c>
      <c r="N398" s="136" t="s">
        <v>24</v>
      </c>
      <c r="O398" s="136" t="s">
        <v>18</v>
      </c>
      <c r="P398" s="136" t="s">
        <v>172</v>
      </c>
      <c r="Q398" s="136" t="str">
        <f>VLOOKUP(tbl_IO_List[[#This Row],[Instruement Tag]],tbl_Instruement_List[],6,FALSE)</f>
        <v xml:space="preserve">Jet Cooker </v>
      </c>
      <c r="R398" s="136"/>
      <c r="S39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98" s="136" t="str">
        <f>tbl_IO_List[[#This Row],[Instruement Tag]]&amp;"_"&amp;tbl_IO_List[[#This Row],[I/O Type]]&amp;"_"&amp;tbl_IO_List[[#This Row],[IO-Point 
(Instruement)]]</f>
        <v>XV-40205F_DO_1</v>
      </c>
      <c r="U398" s="136" t="s">
        <v>7</v>
      </c>
      <c r="V398" s="136">
        <f>VLOOKUP(tbl_IO_List[[#This Row],[I/O Type]],tbl_Slot_Group[],2,FALSE)</f>
        <v>2</v>
      </c>
      <c r="W398" s="136">
        <v>1</v>
      </c>
      <c r="X398" s="136" t="str">
        <f>tbl_IO_List[[#This Row],[Chassis]]&amp;"S"&amp;TEXT(tbl_IO_List[[#This Row],[Slot]],"00")</f>
        <v>C2S06</v>
      </c>
      <c r="Y398" s="136" t="str">
        <f>tbl_IO_List[[#This Row],[Chassis]]&amp;"S"&amp;TEXT(tbl_IO_List[[#This Row],[Slot]],"00")&amp;tbl_IO_List[[#This Row],[I/O Type]]&amp;TEXT(tbl_IO_List[[#This Row],[Point]],"00")</f>
        <v>C2S06DO07</v>
      </c>
      <c r="Z398" s="136" t="str">
        <f>tbl_IO_List[[#This Row],[Chassis]]&amp;"S"&amp;TEXT(tbl_IO_List[[#This Row],[Slot]],"00")&amp;","&amp;TEXT(tbl_IO_List[[#This Row],[Point]],"00")</f>
        <v>C2S06,07</v>
      </c>
      <c r="AA398" s="136" t="str">
        <f>VLOOKUP(tbl_IO_List[[#This Row],[Column23]],tbl_RackConfig[],5,FALSE) &amp;"-"&amp;tbl_IO_List[[#This Row],[Point]]</f>
        <v>1756-OB32-7</v>
      </c>
      <c r="AB398" s="136"/>
      <c r="AC398" s="136"/>
      <c r="AD398" s="136" t="str">
        <f>tbl_IO_List[[#This Row],[I/O Type]]</f>
        <v>DO</v>
      </c>
      <c r="AE398" s="136" t="s">
        <v>1333</v>
      </c>
      <c r="AF398" s="136">
        <v>6</v>
      </c>
      <c r="AG398" s="136">
        <v>7</v>
      </c>
      <c r="AH398" s="136">
        <v>8</v>
      </c>
      <c r="AI398" s="136">
        <v>8</v>
      </c>
      <c r="AJ398" s="136">
        <v>2</v>
      </c>
      <c r="AK398" s="136">
        <v>1</v>
      </c>
      <c r="AL398" s="136">
        <v>0</v>
      </c>
      <c r="AM398" s="136">
        <v>0</v>
      </c>
      <c r="AN398" s="136">
        <v>0</v>
      </c>
      <c r="AO398" s="136"/>
      <c r="AP398" s="143" t="str">
        <f>VLOOKUP(tbl_IO_List[[#This Row],[Instruement Tag]],tbl_Instruement_List[],14,FALSE)</f>
        <v>24 VDC energized</v>
      </c>
      <c r="AQ398" s="143" t="str">
        <f>tbl_IO_List[[#This Row],[Chassis]]&amp;"S"&amp;tbl_IO_List[[#This Row],[Slot]]&amp;"-"&amp;tbl_IO_List[[#This Row],[Front Terminal Number]]</f>
        <v>C2S6-8</v>
      </c>
      <c r="AR398" s="141" t="s">
        <v>1866</v>
      </c>
      <c r="AS398" s="136" t="str">
        <f>tbl_IO_List[[#This Row],[Terminal Tagging]]&amp;"-"&amp;tbl_IO_List[[#This Row],[Point-Count]]</f>
        <v>P2-TBRL1-8</v>
      </c>
      <c r="AT398" s="136" t="str">
        <f>tbl_IO_List[[#This Row],[Front Terminal Tagging]]&amp;"/"&amp;tbl_IO_List[[#This Row],[Terminal Tagging-Item]]</f>
        <v>C2S6-8/P2-TBRL1-8</v>
      </c>
      <c r="AU398" s="136" t="str">
        <f>tbl_IO_List[[#This Row],[Terminal Tagging-Item]]&amp;"/"&amp;tbl_IO_List[[#This Row],[Front Terminal Tagging]]</f>
        <v>P2-TBRL1-8/C2S6-8</v>
      </c>
    </row>
    <row r="399" spans="1:47">
      <c r="A399" s="147" t="s">
        <v>1367</v>
      </c>
      <c r="B399" s="136" t="s">
        <v>168</v>
      </c>
      <c r="C399" s="136" t="str">
        <f>tbl_IO_List[[#This Row],[Column3]]</f>
        <v>C2S06,08</v>
      </c>
      <c r="D399" s="136" t="str">
        <f>tbl_IO_List[[#This Row],[Card]]</f>
        <v>1756-OB32-8</v>
      </c>
      <c r="E399" s="136" t="s">
        <v>1366</v>
      </c>
      <c r="F399" s="136" t="str">
        <f>tbl_IO_List[[#This Row],[Column23]]&amp;"-" &amp;tbl_IO_List[[#This Row],[Column52]]</f>
        <v>C2S06-X1</v>
      </c>
      <c r="G399" s="136" t="str">
        <f>tbl_IO_List[[#This Row],[PLC_Tag]]</f>
        <v>XV-40222_DO_1</v>
      </c>
      <c r="H399" s="136"/>
      <c r="I399" s="136" t="str">
        <f>VLOOKUP(tbl_IO_List[[#This Row],[Destination]],tbl_Junction[],2,FALSE)</f>
        <v>Jet Cooker 2nd Floor</v>
      </c>
      <c r="J399" s="136" t="s">
        <v>168</v>
      </c>
      <c r="K399" s="136" t="s">
        <v>169</v>
      </c>
      <c r="L399" s="136" t="s">
        <v>189</v>
      </c>
      <c r="M399" s="136">
        <f>VLOOKUP(tbl_IO_List[[#This Row],[Instruement Tag]],tbl_Instruement_List[],2,FALSE)</f>
        <v>0</v>
      </c>
      <c r="N399" s="136" t="s">
        <v>24</v>
      </c>
      <c r="O399" s="136" t="s">
        <v>18</v>
      </c>
      <c r="P399" s="136" t="s">
        <v>172</v>
      </c>
      <c r="Q399" s="136" t="str">
        <f>VLOOKUP(tbl_IO_List[[#This Row],[Instruement Tag]],tbl_Instruement_List[],6,FALSE)</f>
        <v xml:space="preserve">Jet Cooker </v>
      </c>
      <c r="R399" s="136"/>
      <c r="S39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399" s="136" t="str">
        <f>tbl_IO_List[[#This Row],[Instruement Tag]]&amp;"_"&amp;tbl_IO_List[[#This Row],[I/O Type]]&amp;"_"&amp;tbl_IO_List[[#This Row],[IO-Point 
(Instruement)]]</f>
        <v>XV-40222_DO_1</v>
      </c>
      <c r="U399" s="136" t="s">
        <v>7</v>
      </c>
      <c r="V399" s="136">
        <f>VLOOKUP(tbl_IO_List[[#This Row],[I/O Type]],tbl_Slot_Group[],2,FALSE)</f>
        <v>2</v>
      </c>
      <c r="W399" s="136">
        <v>1</v>
      </c>
      <c r="X399" s="136" t="str">
        <f>tbl_IO_List[[#This Row],[Chassis]]&amp;"S"&amp;TEXT(tbl_IO_List[[#This Row],[Slot]],"00")</f>
        <v>C2S06</v>
      </c>
      <c r="Y399" s="136" t="str">
        <f>tbl_IO_List[[#This Row],[Chassis]]&amp;"S"&amp;TEXT(tbl_IO_List[[#This Row],[Slot]],"00")&amp;tbl_IO_List[[#This Row],[I/O Type]]&amp;TEXT(tbl_IO_List[[#This Row],[Point]],"00")</f>
        <v>C2S06DO08</v>
      </c>
      <c r="Z399" s="136" t="str">
        <f>tbl_IO_List[[#This Row],[Chassis]]&amp;"S"&amp;TEXT(tbl_IO_List[[#This Row],[Slot]],"00")&amp;","&amp;TEXT(tbl_IO_List[[#This Row],[Point]],"00")</f>
        <v>C2S06,08</v>
      </c>
      <c r="AA399" s="136" t="str">
        <f>VLOOKUP(tbl_IO_List[[#This Row],[Column23]],tbl_RackConfig[],5,FALSE) &amp;"-"&amp;tbl_IO_List[[#This Row],[Point]]</f>
        <v>1756-OB32-8</v>
      </c>
      <c r="AB399" s="136"/>
      <c r="AC399" s="136"/>
      <c r="AD399" s="136" t="str">
        <f>tbl_IO_List[[#This Row],[I/O Type]]</f>
        <v>DO</v>
      </c>
      <c r="AE399" s="136" t="s">
        <v>1333</v>
      </c>
      <c r="AF399" s="136">
        <v>6</v>
      </c>
      <c r="AG399" s="136">
        <v>8</v>
      </c>
      <c r="AH399" s="136">
        <v>9</v>
      </c>
      <c r="AI399" s="136">
        <v>9</v>
      </c>
      <c r="AJ399" s="136">
        <v>2</v>
      </c>
      <c r="AK399" s="136">
        <v>1</v>
      </c>
      <c r="AL399" s="136">
        <v>0</v>
      </c>
      <c r="AM399" s="136">
        <v>0</v>
      </c>
      <c r="AN399" s="136">
        <v>0</v>
      </c>
      <c r="AO399" s="136"/>
      <c r="AP399" s="143" t="str">
        <f>VLOOKUP(tbl_IO_List[[#This Row],[Instruement Tag]],tbl_Instruement_List[],14,FALSE)</f>
        <v>24 VDC energized</v>
      </c>
      <c r="AQ399" s="143" t="str">
        <f>tbl_IO_List[[#This Row],[Chassis]]&amp;"S"&amp;tbl_IO_List[[#This Row],[Slot]]&amp;"-"&amp;tbl_IO_List[[#This Row],[Front Terminal Number]]</f>
        <v>C2S6-9</v>
      </c>
      <c r="AR399" s="141" t="s">
        <v>1866</v>
      </c>
      <c r="AS399" s="136" t="str">
        <f>tbl_IO_List[[#This Row],[Terminal Tagging]]&amp;"-"&amp;tbl_IO_List[[#This Row],[Point-Count]]</f>
        <v>P2-TBRL1-9</v>
      </c>
      <c r="AT399" s="136" t="str">
        <f>tbl_IO_List[[#This Row],[Front Terminal Tagging]]&amp;"/"&amp;tbl_IO_List[[#This Row],[Terminal Tagging-Item]]</f>
        <v>C2S6-9/P2-TBRL1-9</v>
      </c>
      <c r="AU399" s="136" t="str">
        <f>tbl_IO_List[[#This Row],[Terminal Tagging-Item]]&amp;"/"&amp;tbl_IO_List[[#This Row],[Front Terminal Tagging]]</f>
        <v>P2-TBRL1-9/C2S6-9</v>
      </c>
    </row>
    <row r="400" spans="1:47">
      <c r="A400" s="147" t="s">
        <v>1367</v>
      </c>
      <c r="B400" s="136" t="s">
        <v>168</v>
      </c>
      <c r="C400" s="136" t="str">
        <f>tbl_IO_List[[#This Row],[Column3]]</f>
        <v>C2S06,09</v>
      </c>
      <c r="D400" s="136" t="str">
        <f>tbl_IO_List[[#This Row],[Card]]</f>
        <v>1756-OB32-9</v>
      </c>
      <c r="E400" s="136" t="s">
        <v>1366</v>
      </c>
      <c r="F400" s="136" t="str">
        <f>tbl_IO_List[[#This Row],[Column23]]&amp;"-" &amp;tbl_IO_List[[#This Row],[Column52]]</f>
        <v>C2S06-X1</v>
      </c>
      <c r="G400" s="136" t="str">
        <f>tbl_IO_List[[#This Row],[PLC_Tag]]</f>
        <v>Spare_DO_0</v>
      </c>
      <c r="H400" s="136"/>
      <c r="I400" s="136" t="str">
        <f>VLOOKUP(tbl_IO_List[[#This Row],[Destination]],tbl_Junction[],2,FALSE)</f>
        <v>Jet Cooker 2nd Floor</v>
      </c>
      <c r="J400" s="136" t="s">
        <v>168</v>
      </c>
      <c r="K400" s="136"/>
      <c r="L400" s="136" t="s">
        <v>411</v>
      </c>
      <c r="M400" s="136" t="e">
        <f>VLOOKUP(tbl_IO_List[[#This Row],[Instruement Tag]],tbl_Instruement_List[],2,FALSE)</f>
        <v>#N/A</v>
      </c>
      <c r="N400" s="136"/>
      <c r="O400" s="136"/>
      <c r="P400" s="136"/>
      <c r="Q400" s="136" t="e">
        <f>VLOOKUP(tbl_IO_List[[#This Row],[Instruement Tag]],tbl_Instruement_List[],6,FALSE)</f>
        <v>#N/A</v>
      </c>
      <c r="R400" s="136"/>
      <c r="S40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400" s="136" t="str">
        <f>tbl_IO_List[[#This Row],[Instruement Tag]]&amp;"_"&amp;tbl_IO_List[[#This Row],[I/O Type]]&amp;"_"&amp;tbl_IO_List[[#This Row],[IO-Point 
(Instruement)]]</f>
        <v>Spare_DO_0</v>
      </c>
      <c r="U400" s="136" t="s">
        <v>7</v>
      </c>
      <c r="V400" s="136">
        <f>VLOOKUP(tbl_IO_List[[#This Row],[I/O Type]],tbl_Slot_Group[],2,FALSE)</f>
        <v>2</v>
      </c>
      <c r="W400" s="136">
        <v>0</v>
      </c>
      <c r="X400" s="136" t="str">
        <f>tbl_IO_List[[#This Row],[Chassis]]&amp;"S"&amp;TEXT(tbl_IO_List[[#This Row],[Slot]],"00")</f>
        <v>C2S06</v>
      </c>
      <c r="Y400" s="136" t="str">
        <f>tbl_IO_List[[#This Row],[Chassis]]&amp;"S"&amp;TEXT(tbl_IO_List[[#This Row],[Slot]],"00")&amp;tbl_IO_List[[#This Row],[I/O Type]]&amp;TEXT(tbl_IO_List[[#This Row],[Point]],"00")</f>
        <v>C2S06DO09</v>
      </c>
      <c r="Z400" s="136" t="str">
        <f>tbl_IO_List[[#This Row],[Chassis]]&amp;"S"&amp;TEXT(tbl_IO_List[[#This Row],[Slot]],"00")&amp;","&amp;TEXT(tbl_IO_List[[#This Row],[Point]],"00")</f>
        <v>C2S06,09</v>
      </c>
      <c r="AA400" s="136" t="str">
        <f>VLOOKUP(tbl_IO_List[[#This Row],[Column23]],tbl_RackConfig[],5,FALSE) &amp;"-"&amp;tbl_IO_List[[#This Row],[Point]]</f>
        <v>1756-OB32-9</v>
      </c>
      <c r="AB400" s="136"/>
      <c r="AC400" s="136"/>
      <c r="AD400" s="136" t="str">
        <f>tbl_IO_List[[#This Row],[I/O Type]]</f>
        <v>DO</v>
      </c>
      <c r="AE400" s="136" t="s">
        <v>1333</v>
      </c>
      <c r="AF400" s="136">
        <v>6</v>
      </c>
      <c r="AG400" s="136">
        <v>9</v>
      </c>
      <c r="AH400" s="136">
        <v>10</v>
      </c>
      <c r="AI400" s="136">
        <v>10</v>
      </c>
      <c r="AJ400" s="136">
        <v>0</v>
      </c>
      <c r="AK400" s="136">
        <v>1</v>
      </c>
      <c r="AL400" s="136">
        <v>0</v>
      </c>
      <c r="AM400" s="136">
        <v>0</v>
      </c>
      <c r="AN400" s="136">
        <v>0</v>
      </c>
      <c r="AO400" s="136"/>
      <c r="AP400" s="143" t="e">
        <f>VLOOKUP(tbl_IO_List[[#This Row],[Instruement Tag]],tbl_Instruement_List[],14,FALSE)</f>
        <v>#N/A</v>
      </c>
      <c r="AQ400" s="143" t="str">
        <f>tbl_IO_List[[#This Row],[Chassis]]&amp;"S"&amp;tbl_IO_List[[#This Row],[Slot]]&amp;"-"&amp;tbl_IO_List[[#This Row],[Front Terminal Number]]</f>
        <v>C2S6-10</v>
      </c>
      <c r="AR400" s="141" t="s">
        <v>1866</v>
      </c>
      <c r="AS400" s="136" t="str">
        <f>tbl_IO_List[[#This Row],[Terminal Tagging]]&amp;"-"&amp;tbl_IO_List[[#This Row],[Point-Count]]</f>
        <v>P2-TBRL1-10</v>
      </c>
      <c r="AT400" s="136" t="str">
        <f>tbl_IO_List[[#This Row],[Front Terminal Tagging]]&amp;"/"&amp;tbl_IO_List[[#This Row],[Terminal Tagging-Item]]</f>
        <v>C2S6-10/P2-TBRL1-10</v>
      </c>
      <c r="AU400" s="136" t="str">
        <f>tbl_IO_List[[#This Row],[Terminal Tagging-Item]]&amp;"/"&amp;tbl_IO_List[[#This Row],[Front Terminal Tagging]]</f>
        <v>P2-TBRL1-10/C2S6-10</v>
      </c>
    </row>
    <row r="401" spans="1:47">
      <c r="A401" s="147" t="s">
        <v>1367</v>
      </c>
      <c r="B401" s="136" t="s">
        <v>168</v>
      </c>
      <c r="C401" s="136" t="str">
        <f>tbl_IO_List[[#This Row],[Column3]]</f>
        <v>C2S06,10</v>
      </c>
      <c r="D401" s="136" t="str">
        <f>tbl_IO_List[[#This Row],[Card]]</f>
        <v>1756-OB32-10</v>
      </c>
      <c r="E401" s="136" t="s">
        <v>1366</v>
      </c>
      <c r="F401" s="136" t="str">
        <f>tbl_IO_List[[#This Row],[Column23]]&amp;"-" &amp;tbl_IO_List[[#This Row],[Column52]]</f>
        <v>C2S06-X1</v>
      </c>
      <c r="G401" s="136" t="str">
        <f>tbl_IO_List[[#This Row],[PLC_Tag]]</f>
        <v>Spare_DO_0</v>
      </c>
      <c r="H401" s="136"/>
      <c r="I401" s="136" t="str">
        <f>VLOOKUP(tbl_IO_List[[#This Row],[Destination]],tbl_Junction[],2,FALSE)</f>
        <v>Jet Cooker 2nd Floor</v>
      </c>
      <c r="J401" s="136" t="s">
        <v>168</v>
      </c>
      <c r="K401" s="136"/>
      <c r="L401" s="136" t="s">
        <v>411</v>
      </c>
      <c r="M401" s="136" t="e">
        <f>VLOOKUP(tbl_IO_List[[#This Row],[Instruement Tag]],tbl_Instruement_List[],2,FALSE)</f>
        <v>#N/A</v>
      </c>
      <c r="N401" s="136"/>
      <c r="O401" s="136"/>
      <c r="P401" s="136"/>
      <c r="Q401" s="136" t="e">
        <f>VLOOKUP(tbl_IO_List[[#This Row],[Instruement Tag]],tbl_Instruement_List[],6,FALSE)</f>
        <v>#N/A</v>
      </c>
      <c r="R401" s="136"/>
      <c r="S40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401" s="136" t="str">
        <f>tbl_IO_List[[#This Row],[Instruement Tag]]&amp;"_"&amp;tbl_IO_List[[#This Row],[I/O Type]]&amp;"_"&amp;tbl_IO_List[[#This Row],[IO-Point 
(Instruement)]]</f>
        <v>Spare_DO_0</v>
      </c>
      <c r="U401" s="136" t="s">
        <v>7</v>
      </c>
      <c r="V401" s="136">
        <f>VLOOKUP(tbl_IO_List[[#This Row],[I/O Type]],tbl_Slot_Group[],2,FALSE)</f>
        <v>2</v>
      </c>
      <c r="W401" s="136">
        <v>0</v>
      </c>
      <c r="X401" s="136" t="str">
        <f>tbl_IO_List[[#This Row],[Chassis]]&amp;"S"&amp;TEXT(tbl_IO_List[[#This Row],[Slot]],"00")</f>
        <v>C2S06</v>
      </c>
      <c r="Y401" s="136" t="str">
        <f>tbl_IO_List[[#This Row],[Chassis]]&amp;"S"&amp;TEXT(tbl_IO_List[[#This Row],[Slot]],"00")&amp;tbl_IO_List[[#This Row],[I/O Type]]&amp;TEXT(tbl_IO_List[[#This Row],[Point]],"00")</f>
        <v>C2S06DO10</v>
      </c>
      <c r="Z401" s="136" t="str">
        <f>tbl_IO_List[[#This Row],[Chassis]]&amp;"S"&amp;TEXT(tbl_IO_List[[#This Row],[Slot]],"00")&amp;","&amp;TEXT(tbl_IO_List[[#This Row],[Point]],"00")</f>
        <v>C2S06,10</v>
      </c>
      <c r="AA401" s="136" t="str">
        <f>VLOOKUP(tbl_IO_List[[#This Row],[Column23]],tbl_RackConfig[],5,FALSE) &amp;"-"&amp;tbl_IO_List[[#This Row],[Point]]</f>
        <v>1756-OB32-10</v>
      </c>
      <c r="AB401" s="136"/>
      <c r="AC401" s="136"/>
      <c r="AD401" s="136" t="str">
        <f>tbl_IO_List[[#This Row],[I/O Type]]</f>
        <v>DO</v>
      </c>
      <c r="AE401" s="136" t="s">
        <v>1333</v>
      </c>
      <c r="AF401" s="136">
        <v>6</v>
      </c>
      <c r="AG401" s="136">
        <v>10</v>
      </c>
      <c r="AH401" s="136">
        <v>11</v>
      </c>
      <c r="AI401" s="136">
        <v>11</v>
      </c>
      <c r="AJ401" s="136">
        <v>0</v>
      </c>
      <c r="AK401" s="136">
        <v>1</v>
      </c>
      <c r="AL401" s="136">
        <v>0</v>
      </c>
      <c r="AM401" s="136">
        <v>0</v>
      </c>
      <c r="AN401" s="136">
        <v>0</v>
      </c>
      <c r="AO401" s="136"/>
      <c r="AP401" s="143" t="e">
        <f>VLOOKUP(tbl_IO_List[[#This Row],[Instruement Tag]],tbl_Instruement_List[],14,FALSE)</f>
        <v>#N/A</v>
      </c>
      <c r="AQ401" s="143" t="str">
        <f>tbl_IO_List[[#This Row],[Chassis]]&amp;"S"&amp;tbl_IO_List[[#This Row],[Slot]]&amp;"-"&amp;tbl_IO_List[[#This Row],[Front Terminal Number]]</f>
        <v>C2S6-11</v>
      </c>
      <c r="AR401" s="141" t="s">
        <v>1866</v>
      </c>
      <c r="AS401" s="136" t="str">
        <f>tbl_IO_List[[#This Row],[Terminal Tagging]]&amp;"-"&amp;tbl_IO_List[[#This Row],[Point-Count]]</f>
        <v>P2-TBRL1-11</v>
      </c>
      <c r="AT401" s="136" t="str">
        <f>tbl_IO_List[[#This Row],[Front Terminal Tagging]]&amp;"/"&amp;tbl_IO_List[[#This Row],[Terminal Tagging-Item]]</f>
        <v>C2S6-11/P2-TBRL1-11</v>
      </c>
      <c r="AU401" s="136" t="str">
        <f>tbl_IO_List[[#This Row],[Terminal Tagging-Item]]&amp;"/"&amp;tbl_IO_List[[#This Row],[Front Terminal Tagging]]</f>
        <v>P2-TBRL1-11/C2S6-11</v>
      </c>
    </row>
    <row r="402" spans="1:47">
      <c r="A402" s="147" t="s">
        <v>1367</v>
      </c>
      <c r="B402" s="136" t="s">
        <v>168</v>
      </c>
      <c r="C402" s="136" t="str">
        <f>tbl_IO_List[[#This Row],[Column3]]</f>
        <v>C2S06,11</v>
      </c>
      <c r="D402" s="136" t="str">
        <f>tbl_IO_List[[#This Row],[Card]]</f>
        <v>1756-OB32-11</v>
      </c>
      <c r="E402" s="136" t="s">
        <v>1366</v>
      </c>
      <c r="F402" s="136" t="str">
        <f>tbl_IO_List[[#This Row],[Column23]]&amp;"-" &amp;tbl_IO_List[[#This Row],[Column52]]</f>
        <v>C2S06-X1</v>
      </c>
      <c r="G402" s="136" t="str">
        <f>tbl_IO_List[[#This Row],[PLC_Tag]]</f>
        <v>Spare_DO_0</v>
      </c>
      <c r="H402" s="136"/>
      <c r="I402" s="136" t="str">
        <f>VLOOKUP(tbl_IO_List[[#This Row],[Destination]],tbl_Junction[],2,FALSE)</f>
        <v>Jet Cooker 2nd Floor</v>
      </c>
      <c r="J402" s="136" t="s">
        <v>168</v>
      </c>
      <c r="K402" s="136"/>
      <c r="L402" s="136" t="s">
        <v>411</v>
      </c>
      <c r="M402" s="136" t="e">
        <f>VLOOKUP(tbl_IO_List[[#This Row],[Instruement Tag]],tbl_Instruement_List[],2,FALSE)</f>
        <v>#N/A</v>
      </c>
      <c r="N402" s="136"/>
      <c r="O402" s="136"/>
      <c r="P402" s="136"/>
      <c r="Q402" s="136" t="e">
        <f>VLOOKUP(tbl_IO_List[[#This Row],[Instruement Tag]],tbl_Instruement_List[],6,FALSE)</f>
        <v>#N/A</v>
      </c>
      <c r="R402" s="136"/>
      <c r="S40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402" s="136" t="str">
        <f>tbl_IO_List[[#This Row],[Instruement Tag]]&amp;"_"&amp;tbl_IO_List[[#This Row],[I/O Type]]&amp;"_"&amp;tbl_IO_List[[#This Row],[IO-Point 
(Instruement)]]</f>
        <v>Spare_DO_0</v>
      </c>
      <c r="U402" s="136" t="s">
        <v>7</v>
      </c>
      <c r="V402" s="136">
        <f>VLOOKUP(tbl_IO_List[[#This Row],[I/O Type]],tbl_Slot_Group[],2,FALSE)</f>
        <v>2</v>
      </c>
      <c r="W402" s="136">
        <v>0</v>
      </c>
      <c r="X402" s="136" t="str">
        <f>tbl_IO_List[[#This Row],[Chassis]]&amp;"S"&amp;TEXT(tbl_IO_List[[#This Row],[Slot]],"00")</f>
        <v>C2S06</v>
      </c>
      <c r="Y402" s="136" t="str">
        <f>tbl_IO_List[[#This Row],[Chassis]]&amp;"S"&amp;TEXT(tbl_IO_List[[#This Row],[Slot]],"00")&amp;tbl_IO_List[[#This Row],[I/O Type]]&amp;TEXT(tbl_IO_List[[#This Row],[Point]],"00")</f>
        <v>C2S06DO11</v>
      </c>
      <c r="Z402" s="136" t="str">
        <f>tbl_IO_List[[#This Row],[Chassis]]&amp;"S"&amp;TEXT(tbl_IO_List[[#This Row],[Slot]],"00")&amp;","&amp;TEXT(tbl_IO_List[[#This Row],[Point]],"00")</f>
        <v>C2S06,11</v>
      </c>
      <c r="AA402" s="136" t="str">
        <f>VLOOKUP(tbl_IO_List[[#This Row],[Column23]],tbl_RackConfig[],5,FALSE) &amp;"-"&amp;tbl_IO_List[[#This Row],[Point]]</f>
        <v>1756-OB32-11</v>
      </c>
      <c r="AB402" s="136"/>
      <c r="AC402" s="136"/>
      <c r="AD402" s="136" t="str">
        <f>tbl_IO_List[[#This Row],[I/O Type]]</f>
        <v>DO</v>
      </c>
      <c r="AE402" s="136" t="s">
        <v>1333</v>
      </c>
      <c r="AF402" s="136">
        <v>6</v>
      </c>
      <c r="AG402" s="136">
        <v>11</v>
      </c>
      <c r="AH402" s="136">
        <v>12</v>
      </c>
      <c r="AI402" s="136">
        <v>12</v>
      </c>
      <c r="AJ402" s="136">
        <v>0</v>
      </c>
      <c r="AK402" s="136">
        <v>1</v>
      </c>
      <c r="AL402" s="136">
        <v>0</v>
      </c>
      <c r="AM402" s="136">
        <v>0</v>
      </c>
      <c r="AN402" s="136">
        <v>0</v>
      </c>
      <c r="AO402" s="136"/>
      <c r="AP402" s="143" t="e">
        <f>VLOOKUP(tbl_IO_List[[#This Row],[Instruement Tag]],tbl_Instruement_List[],14,FALSE)</f>
        <v>#N/A</v>
      </c>
      <c r="AQ402" s="143" t="str">
        <f>tbl_IO_List[[#This Row],[Chassis]]&amp;"S"&amp;tbl_IO_List[[#This Row],[Slot]]&amp;"-"&amp;tbl_IO_List[[#This Row],[Front Terminal Number]]</f>
        <v>C2S6-12</v>
      </c>
      <c r="AR402" s="141" t="s">
        <v>1866</v>
      </c>
      <c r="AS402" s="136" t="str">
        <f>tbl_IO_List[[#This Row],[Terminal Tagging]]&amp;"-"&amp;tbl_IO_List[[#This Row],[Point-Count]]</f>
        <v>P2-TBRL1-12</v>
      </c>
      <c r="AT402" s="136" t="str">
        <f>tbl_IO_List[[#This Row],[Front Terminal Tagging]]&amp;"/"&amp;tbl_IO_List[[#This Row],[Terminal Tagging-Item]]</f>
        <v>C2S6-12/P2-TBRL1-12</v>
      </c>
      <c r="AU402" s="136" t="str">
        <f>tbl_IO_List[[#This Row],[Terminal Tagging-Item]]&amp;"/"&amp;tbl_IO_List[[#This Row],[Front Terminal Tagging]]</f>
        <v>P2-TBRL1-12/C2S6-12</v>
      </c>
    </row>
    <row r="403" spans="1:47">
      <c r="A403" s="147" t="s">
        <v>1367</v>
      </c>
      <c r="B403" s="136" t="s">
        <v>168</v>
      </c>
      <c r="C403" s="136" t="str">
        <f>tbl_IO_List[[#This Row],[Column3]]</f>
        <v>C2S06,12</v>
      </c>
      <c r="D403" s="136" t="str">
        <f>tbl_IO_List[[#This Row],[Card]]</f>
        <v>1756-OB32-12</v>
      </c>
      <c r="E403" s="136" t="s">
        <v>1366</v>
      </c>
      <c r="F403" s="136" t="str">
        <f>tbl_IO_List[[#This Row],[Column23]]&amp;"-" &amp;tbl_IO_List[[#This Row],[Column52]]</f>
        <v>C2S06-X1</v>
      </c>
      <c r="G403" s="136" t="str">
        <f>tbl_IO_List[[#This Row],[PLC_Tag]]</f>
        <v>Spare_DO_0</v>
      </c>
      <c r="H403" s="136"/>
      <c r="I403" s="136" t="str">
        <f>VLOOKUP(tbl_IO_List[[#This Row],[Destination]],tbl_Junction[],2,FALSE)</f>
        <v>Jet Cooker 2nd Floor</v>
      </c>
      <c r="J403" s="136" t="s">
        <v>168</v>
      </c>
      <c r="K403" s="136"/>
      <c r="L403" s="136" t="s">
        <v>411</v>
      </c>
      <c r="M403" s="136" t="e">
        <f>VLOOKUP(tbl_IO_List[[#This Row],[Instruement Tag]],tbl_Instruement_List[],2,FALSE)</f>
        <v>#N/A</v>
      </c>
      <c r="N403" s="136"/>
      <c r="O403" s="136"/>
      <c r="P403" s="136"/>
      <c r="Q403" s="136" t="e">
        <f>VLOOKUP(tbl_IO_List[[#This Row],[Instruement Tag]],tbl_Instruement_List[],6,FALSE)</f>
        <v>#N/A</v>
      </c>
      <c r="R403" s="136"/>
      <c r="S40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403" s="136" t="str">
        <f>tbl_IO_List[[#This Row],[Instruement Tag]]&amp;"_"&amp;tbl_IO_List[[#This Row],[I/O Type]]&amp;"_"&amp;tbl_IO_List[[#This Row],[IO-Point 
(Instruement)]]</f>
        <v>Spare_DO_0</v>
      </c>
      <c r="U403" s="136" t="s">
        <v>7</v>
      </c>
      <c r="V403" s="136">
        <f>VLOOKUP(tbl_IO_List[[#This Row],[I/O Type]],tbl_Slot_Group[],2,FALSE)</f>
        <v>2</v>
      </c>
      <c r="W403" s="136">
        <v>0</v>
      </c>
      <c r="X403" s="136" t="str">
        <f>tbl_IO_List[[#This Row],[Chassis]]&amp;"S"&amp;TEXT(tbl_IO_List[[#This Row],[Slot]],"00")</f>
        <v>C2S06</v>
      </c>
      <c r="Y403" s="136" t="str">
        <f>tbl_IO_List[[#This Row],[Chassis]]&amp;"S"&amp;TEXT(tbl_IO_List[[#This Row],[Slot]],"00")&amp;tbl_IO_List[[#This Row],[I/O Type]]&amp;TEXT(tbl_IO_List[[#This Row],[Point]],"00")</f>
        <v>C2S06DO12</v>
      </c>
      <c r="Z403" s="136" t="str">
        <f>tbl_IO_List[[#This Row],[Chassis]]&amp;"S"&amp;TEXT(tbl_IO_List[[#This Row],[Slot]],"00")&amp;","&amp;TEXT(tbl_IO_List[[#This Row],[Point]],"00")</f>
        <v>C2S06,12</v>
      </c>
      <c r="AA403" s="136" t="str">
        <f>VLOOKUP(tbl_IO_List[[#This Row],[Column23]],tbl_RackConfig[],5,FALSE) &amp;"-"&amp;tbl_IO_List[[#This Row],[Point]]</f>
        <v>1756-OB32-12</v>
      </c>
      <c r="AB403" s="136"/>
      <c r="AC403" s="136"/>
      <c r="AD403" s="136" t="str">
        <f>tbl_IO_List[[#This Row],[I/O Type]]</f>
        <v>DO</v>
      </c>
      <c r="AE403" s="136" t="s">
        <v>1333</v>
      </c>
      <c r="AF403" s="136">
        <v>6</v>
      </c>
      <c r="AG403" s="136">
        <v>12</v>
      </c>
      <c r="AH403" s="136">
        <v>13</v>
      </c>
      <c r="AI403" s="136">
        <v>13</v>
      </c>
      <c r="AJ403" s="136">
        <v>0</v>
      </c>
      <c r="AK403" s="136">
        <v>1</v>
      </c>
      <c r="AL403" s="136">
        <v>0</v>
      </c>
      <c r="AM403" s="136">
        <v>0</v>
      </c>
      <c r="AN403" s="136">
        <v>0</v>
      </c>
      <c r="AO403" s="136"/>
      <c r="AP403" s="143" t="e">
        <f>VLOOKUP(tbl_IO_List[[#This Row],[Instruement Tag]],tbl_Instruement_List[],14,FALSE)</f>
        <v>#N/A</v>
      </c>
      <c r="AQ403" s="143" t="str">
        <f>tbl_IO_List[[#This Row],[Chassis]]&amp;"S"&amp;tbl_IO_List[[#This Row],[Slot]]&amp;"-"&amp;tbl_IO_List[[#This Row],[Front Terminal Number]]</f>
        <v>C2S6-13</v>
      </c>
      <c r="AR403" s="141" t="s">
        <v>1866</v>
      </c>
      <c r="AS403" s="136" t="str">
        <f>tbl_IO_List[[#This Row],[Terminal Tagging]]&amp;"-"&amp;tbl_IO_List[[#This Row],[Point-Count]]</f>
        <v>P2-TBRL1-13</v>
      </c>
      <c r="AT403" s="136" t="str">
        <f>tbl_IO_List[[#This Row],[Front Terminal Tagging]]&amp;"/"&amp;tbl_IO_List[[#This Row],[Terminal Tagging-Item]]</f>
        <v>C2S6-13/P2-TBRL1-13</v>
      </c>
      <c r="AU403" s="136" t="str">
        <f>tbl_IO_List[[#This Row],[Terminal Tagging-Item]]&amp;"/"&amp;tbl_IO_List[[#This Row],[Front Terminal Tagging]]</f>
        <v>P2-TBRL1-13/C2S6-13</v>
      </c>
    </row>
    <row r="404" spans="1:47">
      <c r="A404" s="147" t="s">
        <v>1367</v>
      </c>
      <c r="B404" s="136" t="s">
        <v>168</v>
      </c>
      <c r="C404" s="136" t="str">
        <f>tbl_IO_List[[#This Row],[Column3]]</f>
        <v>C2S06,13</v>
      </c>
      <c r="D404" s="136" t="str">
        <f>tbl_IO_List[[#This Row],[Card]]</f>
        <v>1756-OB32-13</v>
      </c>
      <c r="E404" s="136" t="s">
        <v>1366</v>
      </c>
      <c r="F404" s="136" t="str">
        <f>tbl_IO_List[[#This Row],[Column23]]&amp;"-" &amp;tbl_IO_List[[#This Row],[Column52]]</f>
        <v>C2S06-X1</v>
      </c>
      <c r="G404" s="136" t="str">
        <f>tbl_IO_List[[#This Row],[PLC_Tag]]</f>
        <v>Spare_DO_0</v>
      </c>
      <c r="H404" s="136"/>
      <c r="I404" s="136" t="str">
        <f>VLOOKUP(tbl_IO_List[[#This Row],[Destination]],tbl_Junction[],2,FALSE)</f>
        <v>Jet Cooker 2nd Floor</v>
      </c>
      <c r="J404" s="136" t="s">
        <v>168</v>
      </c>
      <c r="K404" s="136"/>
      <c r="L404" s="136" t="s">
        <v>411</v>
      </c>
      <c r="M404" s="136" t="e">
        <f>VLOOKUP(tbl_IO_List[[#This Row],[Instruement Tag]],tbl_Instruement_List[],2,FALSE)</f>
        <v>#N/A</v>
      </c>
      <c r="N404" s="136"/>
      <c r="O404" s="136"/>
      <c r="P404" s="136"/>
      <c r="Q404" s="136" t="e">
        <f>VLOOKUP(tbl_IO_List[[#This Row],[Instruement Tag]],tbl_Instruement_List[],6,FALSE)</f>
        <v>#N/A</v>
      </c>
      <c r="R404" s="136"/>
      <c r="S40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404" s="136" t="str">
        <f>tbl_IO_List[[#This Row],[Instruement Tag]]&amp;"_"&amp;tbl_IO_List[[#This Row],[I/O Type]]&amp;"_"&amp;tbl_IO_List[[#This Row],[IO-Point 
(Instruement)]]</f>
        <v>Spare_DO_0</v>
      </c>
      <c r="U404" s="136" t="s">
        <v>7</v>
      </c>
      <c r="V404" s="136">
        <f>VLOOKUP(tbl_IO_List[[#This Row],[I/O Type]],tbl_Slot_Group[],2,FALSE)</f>
        <v>2</v>
      </c>
      <c r="W404" s="136">
        <v>0</v>
      </c>
      <c r="X404" s="136" t="str">
        <f>tbl_IO_List[[#This Row],[Chassis]]&amp;"S"&amp;TEXT(tbl_IO_List[[#This Row],[Slot]],"00")</f>
        <v>C2S06</v>
      </c>
      <c r="Y404" s="136" t="str">
        <f>tbl_IO_List[[#This Row],[Chassis]]&amp;"S"&amp;TEXT(tbl_IO_List[[#This Row],[Slot]],"00")&amp;tbl_IO_List[[#This Row],[I/O Type]]&amp;TEXT(tbl_IO_List[[#This Row],[Point]],"00")</f>
        <v>C2S06DO13</v>
      </c>
      <c r="Z404" s="136" t="str">
        <f>tbl_IO_List[[#This Row],[Chassis]]&amp;"S"&amp;TEXT(tbl_IO_List[[#This Row],[Slot]],"00")&amp;","&amp;TEXT(tbl_IO_List[[#This Row],[Point]],"00")</f>
        <v>C2S06,13</v>
      </c>
      <c r="AA404" s="136" t="str">
        <f>VLOOKUP(tbl_IO_List[[#This Row],[Column23]],tbl_RackConfig[],5,FALSE) &amp;"-"&amp;tbl_IO_List[[#This Row],[Point]]</f>
        <v>1756-OB32-13</v>
      </c>
      <c r="AB404" s="136"/>
      <c r="AC404" s="136"/>
      <c r="AD404" s="136" t="str">
        <f>tbl_IO_List[[#This Row],[I/O Type]]</f>
        <v>DO</v>
      </c>
      <c r="AE404" s="136" t="s">
        <v>1333</v>
      </c>
      <c r="AF404" s="136">
        <v>6</v>
      </c>
      <c r="AG404" s="136">
        <v>13</v>
      </c>
      <c r="AH404" s="136">
        <v>14</v>
      </c>
      <c r="AI404" s="136">
        <v>14</v>
      </c>
      <c r="AJ404" s="136">
        <v>0</v>
      </c>
      <c r="AK404" s="136">
        <v>1</v>
      </c>
      <c r="AL404" s="136">
        <v>0</v>
      </c>
      <c r="AM404" s="136">
        <v>0</v>
      </c>
      <c r="AN404" s="136">
        <v>0</v>
      </c>
      <c r="AO404" s="136"/>
      <c r="AP404" s="143" t="e">
        <f>VLOOKUP(tbl_IO_List[[#This Row],[Instruement Tag]],tbl_Instruement_List[],14,FALSE)</f>
        <v>#N/A</v>
      </c>
      <c r="AQ404" s="143" t="str">
        <f>tbl_IO_List[[#This Row],[Chassis]]&amp;"S"&amp;tbl_IO_List[[#This Row],[Slot]]&amp;"-"&amp;tbl_IO_List[[#This Row],[Front Terminal Number]]</f>
        <v>C2S6-14</v>
      </c>
      <c r="AR404" s="141" t="s">
        <v>1866</v>
      </c>
      <c r="AS404" s="136" t="str">
        <f>tbl_IO_List[[#This Row],[Terminal Tagging]]&amp;"-"&amp;tbl_IO_List[[#This Row],[Point-Count]]</f>
        <v>P2-TBRL1-14</v>
      </c>
      <c r="AT404" s="136" t="str">
        <f>tbl_IO_List[[#This Row],[Front Terminal Tagging]]&amp;"/"&amp;tbl_IO_List[[#This Row],[Terminal Tagging-Item]]</f>
        <v>C2S6-14/P2-TBRL1-14</v>
      </c>
      <c r="AU404" s="136" t="str">
        <f>tbl_IO_List[[#This Row],[Terminal Tagging-Item]]&amp;"/"&amp;tbl_IO_List[[#This Row],[Front Terminal Tagging]]</f>
        <v>P2-TBRL1-14/C2S6-14</v>
      </c>
    </row>
    <row r="405" spans="1:47">
      <c r="A405" s="147" t="s">
        <v>1367</v>
      </c>
      <c r="B405" s="136" t="s">
        <v>168</v>
      </c>
      <c r="C405" s="136" t="str">
        <f>tbl_IO_List[[#This Row],[Column3]]</f>
        <v>C2S06,14</v>
      </c>
      <c r="D405" s="136" t="str">
        <f>tbl_IO_List[[#This Row],[Card]]</f>
        <v>1756-OB32-14</v>
      </c>
      <c r="E405" s="136" t="s">
        <v>1366</v>
      </c>
      <c r="F405" s="136" t="str">
        <f>tbl_IO_List[[#This Row],[Column23]]&amp;"-" &amp;tbl_IO_List[[#This Row],[Column52]]</f>
        <v>C2S06-X1</v>
      </c>
      <c r="G405" s="136" t="str">
        <f>tbl_IO_List[[#This Row],[PLC_Tag]]</f>
        <v>Spare_DO_0</v>
      </c>
      <c r="H405" s="136"/>
      <c r="I405" s="136" t="str">
        <f>VLOOKUP(tbl_IO_List[[#This Row],[Destination]],tbl_Junction[],2,FALSE)</f>
        <v>Jet Cooker 2nd Floor</v>
      </c>
      <c r="J405" s="136" t="s">
        <v>168</v>
      </c>
      <c r="K405" s="136"/>
      <c r="L405" s="136" t="s">
        <v>411</v>
      </c>
      <c r="M405" s="136" t="e">
        <f>VLOOKUP(tbl_IO_List[[#This Row],[Instruement Tag]],tbl_Instruement_List[],2,FALSE)</f>
        <v>#N/A</v>
      </c>
      <c r="N405" s="136"/>
      <c r="O405" s="136"/>
      <c r="P405" s="136"/>
      <c r="Q405" s="136" t="e">
        <f>VLOOKUP(tbl_IO_List[[#This Row],[Instruement Tag]],tbl_Instruement_List[],6,FALSE)</f>
        <v>#N/A</v>
      </c>
      <c r="R405" s="136"/>
      <c r="S40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405" s="136" t="str">
        <f>tbl_IO_List[[#This Row],[Instruement Tag]]&amp;"_"&amp;tbl_IO_List[[#This Row],[I/O Type]]&amp;"_"&amp;tbl_IO_List[[#This Row],[IO-Point 
(Instruement)]]</f>
        <v>Spare_DO_0</v>
      </c>
      <c r="U405" s="136" t="s">
        <v>7</v>
      </c>
      <c r="V405" s="136">
        <f>VLOOKUP(tbl_IO_List[[#This Row],[I/O Type]],tbl_Slot_Group[],2,FALSE)</f>
        <v>2</v>
      </c>
      <c r="W405" s="136">
        <v>0</v>
      </c>
      <c r="X405" s="136" t="str">
        <f>tbl_IO_List[[#This Row],[Chassis]]&amp;"S"&amp;TEXT(tbl_IO_List[[#This Row],[Slot]],"00")</f>
        <v>C2S06</v>
      </c>
      <c r="Y405" s="136" t="str">
        <f>tbl_IO_List[[#This Row],[Chassis]]&amp;"S"&amp;TEXT(tbl_IO_List[[#This Row],[Slot]],"00")&amp;tbl_IO_List[[#This Row],[I/O Type]]&amp;TEXT(tbl_IO_List[[#This Row],[Point]],"00")</f>
        <v>C2S06DO14</v>
      </c>
      <c r="Z405" s="136" t="str">
        <f>tbl_IO_List[[#This Row],[Chassis]]&amp;"S"&amp;TEXT(tbl_IO_List[[#This Row],[Slot]],"00")&amp;","&amp;TEXT(tbl_IO_List[[#This Row],[Point]],"00")</f>
        <v>C2S06,14</v>
      </c>
      <c r="AA405" s="136" t="str">
        <f>VLOOKUP(tbl_IO_List[[#This Row],[Column23]],tbl_RackConfig[],5,FALSE) &amp;"-"&amp;tbl_IO_List[[#This Row],[Point]]</f>
        <v>1756-OB32-14</v>
      </c>
      <c r="AB405" s="136"/>
      <c r="AC405" s="136"/>
      <c r="AD405" s="136" t="str">
        <f>tbl_IO_List[[#This Row],[I/O Type]]</f>
        <v>DO</v>
      </c>
      <c r="AE405" s="136" t="s">
        <v>1333</v>
      </c>
      <c r="AF405" s="136">
        <v>6</v>
      </c>
      <c r="AG405" s="136">
        <v>14</v>
      </c>
      <c r="AH405" s="136">
        <v>15</v>
      </c>
      <c r="AI405" s="136">
        <v>15</v>
      </c>
      <c r="AJ405" s="136">
        <v>0</v>
      </c>
      <c r="AK405" s="136">
        <v>1</v>
      </c>
      <c r="AL405" s="136">
        <v>0</v>
      </c>
      <c r="AM405" s="136">
        <v>0</v>
      </c>
      <c r="AN405" s="136">
        <v>0</v>
      </c>
      <c r="AO405" s="136"/>
      <c r="AP405" s="143" t="e">
        <f>VLOOKUP(tbl_IO_List[[#This Row],[Instruement Tag]],tbl_Instruement_List[],14,FALSE)</f>
        <v>#N/A</v>
      </c>
      <c r="AQ405" s="143" t="str">
        <f>tbl_IO_List[[#This Row],[Chassis]]&amp;"S"&amp;tbl_IO_List[[#This Row],[Slot]]&amp;"-"&amp;tbl_IO_List[[#This Row],[Front Terminal Number]]</f>
        <v>C2S6-15</v>
      </c>
      <c r="AR405" s="141" t="s">
        <v>1866</v>
      </c>
      <c r="AS405" s="136" t="str">
        <f>tbl_IO_List[[#This Row],[Terminal Tagging]]&amp;"-"&amp;tbl_IO_List[[#This Row],[Point-Count]]</f>
        <v>P2-TBRL1-15</v>
      </c>
      <c r="AT405" s="136" t="str">
        <f>tbl_IO_List[[#This Row],[Front Terminal Tagging]]&amp;"/"&amp;tbl_IO_List[[#This Row],[Terminal Tagging-Item]]</f>
        <v>C2S6-15/P2-TBRL1-15</v>
      </c>
      <c r="AU405" s="136" t="str">
        <f>tbl_IO_List[[#This Row],[Terminal Tagging-Item]]&amp;"/"&amp;tbl_IO_List[[#This Row],[Front Terminal Tagging]]</f>
        <v>P2-TBRL1-15/C2S6-15</v>
      </c>
    </row>
    <row r="406" spans="1:47">
      <c r="A406" s="147" t="s">
        <v>1367</v>
      </c>
      <c r="B406" s="136" t="s">
        <v>168</v>
      </c>
      <c r="C406" s="136" t="str">
        <f>tbl_IO_List[[#This Row],[Column3]]</f>
        <v>C2S06,15</v>
      </c>
      <c r="D406" s="136" t="str">
        <f>tbl_IO_List[[#This Row],[Card]]</f>
        <v>1756-OB32-15</v>
      </c>
      <c r="E406" s="136" t="s">
        <v>1366</v>
      </c>
      <c r="F406" s="136" t="str">
        <f>tbl_IO_List[[#This Row],[Column23]]&amp;"-" &amp;tbl_IO_List[[#This Row],[Column52]]</f>
        <v>C2S06-X1</v>
      </c>
      <c r="G406" s="136" t="str">
        <f>tbl_IO_List[[#This Row],[PLC_Tag]]</f>
        <v>Spare_DO_0</v>
      </c>
      <c r="H406" s="136"/>
      <c r="I406" s="136" t="str">
        <f>VLOOKUP(tbl_IO_List[[#This Row],[Destination]],tbl_Junction[],2,FALSE)</f>
        <v>Jet Cooker 2nd Floor</v>
      </c>
      <c r="J406" s="136" t="s">
        <v>168</v>
      </c>
      <c r="K406" s="136"/>
      <c r="L406" s="136" t="s">
        <v>411</v>
      </c>
      <c r="M406" s="136" t="e">
        <f>VLOOKUP(tbl_IO_List[[#This Row],[Instruement Tag]],tbl_Instruement_List[],2,FALSE)</f>
        <v>#N/A</v>
      </c>
      <c r="N406" s="136"/>
      <c r="O406" s="136"/>
      <c r="P406" s="136"/>
      <c r="Q406" s="136" t="e">
        <f>VLOOKUP(tbl_IO_List[[#This Row],[Instruement Tag]],tbl_Instruement_List[],6,FALSE)</f>
        <v>#N/A</v>
      </c>
      <c r="R406" s="136"/>
      <c r="S40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406" s="136" t="str">
        <f>tbl_IO_List[[#This Row],[Instruement Tag]]&amp;"_"&amp;tbl_IO_List[[#This Row],[I/O Type]]&amp;"_"&amp;tbl_IO_List[[#This Row],[IO-Point 
(Instruement)]]</f>
        <v>Spare_DO_0</v>
      </c>
      <c r="U406" s="136" t="s">
        <v>7</v>
      </c>
      <c r="V406" s="136">
        <f>VLOOKUP(tbl_IO_List[[#This Row],[I/O Type]],tbl_Slot_Group[],2,FALSE)</f>
        <v>2</v>
      </c>
      <c r="W406" s="136">
        <v>0</v>
      </c>
      <c r="X406" s="136" t="str">
        <f>tbl_IO_List[[#This Row],[Chassis]]&amp;"S"&amp;TEXT(tbl_IO_List[[#This Row],[Slot]],"00")</f>
        <v>C2S06</v>
      </c>
      <c r="Y406" s="136" t="str">
        <f>tbl_IO_List[[#This Row],[Chassis]]&amp;"S"&amp;TEXT(tbl_IO_List[[#This Row],[Slot]],"00")&amp;tbl_IO_List[[#This Row],[I/O Type]]&amp;TEXT(tbl_IO_List[[#This Row],[Point]],"00")</f>
        <v>C2S06DO15</v>
      </c>
      <c r="Z406" s="136" t="str">
        <f>tbl_IO_List[[#This Row],[Chassis]]&amp;"S"&amp;TEXT(tbl_IO_List[[#This Row],[Slot]],"00")&amp;","&amp;TEXT(tbl_IO_List[[#This Row],[Point]],"00")</f>
        <v>C2S06,15</v>
      </c>
      <c r="AA406" s="136" t="str">
        <f>VLOOKUP(tbl_IO_List[[#This Row],[Column23]],tbl_RackConfig[],5,FALSE) &amp;"-"&amp;tbl_IO_List[[#This Row],[Point]]</f>
        <v>1756-OB32-15</v>
      </c>
      <c r="AB406" s="136"/>
      <c r="AC406" s="136"/>
      <c r="AD406" s="136" t="str">
        <f>tbl_IO_List[[#This Row],[I/O Type]]</f>
        <v>DO</v>
      </c>
      <c r="AE406" s="136" t="s">
        <v>1333</v>
      </c>
      <c r="AF406" s="136">
        <v>6</v>
      </c>
      <c r="AG406" s="136">
        <v>15</v>
      </c>
      <c r="AH406" s="136">
        <v>16</v>
      </c>
      <c r="AI406" s="136">
        <v>16</v>
      </c>
      <c r="AJ406" s="136">
        <v>0</v>
      </c>
      <c r="AK406" s="136">
        <v>1</v>
      </c>
      <c r="AL406" s="136">
        <v>0</v>
      </c>
      <c r="AM406" s="136">
        <v>0</v>
      </c>
      <c r="AN406" s="136">
        <v>0</v>
      </c>
      <c r="AO406" s="136"/>
      <c r="AP406" s="143" t="e">
        <f>VLOOKUP(tbl_IO_List[[#This Row],[Instruement Tag]],tbl_Instruement_List[],14,FALSE)</f>
        <v>#N/A</v>
      </c>
      <c r="AQ406" s="143" t="str">
        <f>tbl_IO_List[[#This Row],[Chassis]]&amp;"S"&amp;tbl_IO_List[[#This Row],[Slot]]&amp;"-"&amp;tbl_IO_List[[#This Row],[Front Terminal Number]]</f>
        <v>C2S6-16</v>
      </c>
      <c r="AR406" s="141" t="s">
        <v>1866</v>
      </c>
      <c r="AS406" s="136" t="str">
        <f>tbl_IO_List[[#This Row],[Terminal Tagging]]&amp;"-"&amp;tbl_IO_List[[#This Row],[Point-Count]]</f>
        <v>P2-TBRL1-16</v>
      </c>
      <c r="AT406" s="136" t="str">
        <f>tbl_IO_List[[#This Row],[Front Terminal Tagging]]&amp;"/"&amp;tbl_IO_List[[#This Row],[Terminal Tagging-Item]]</f>
        <v>C2S6-16/P2-TBRL1-16</v>
      </c>
      <c r="AU406" s="136" t="str">
        <f>tbl_IO_List[[#This Row],[Terminal Tagging-Item]]&amp;"/"&amp;tbl_IO_List[[#This Row],[Front Terminal Tagging]]</f>
        <v>P2-TBRL1-16/C2S6-16</v>
      </c>
    </row>
    <row r="407" spans="1:47">
      <c r="A407" s="147" t="s">
        <v>1367</v>
      </c>
      <c r="B407" s="136" t="s">
        <v>221</v>
      </c>
      <c r="C407" s="136" t="str">
        <f>tbl_IO_List[[#This Row],[Column3]]</f>
        <v>C2S06,16</v>
      </c>
      <c r="D407" s="136" t="str">
        <f>tbl_IO_List[[#This Row],[Card]]</f>
        <v>1756-OB32-16</v>
      </c>
      <c r="E407" s="136" t="s">
        <v>1372</v>
      </c>
      <c r="F407" s="136" t="str">
        <f>tbl_IO_List[[#This Row],[Column23]]&amp;"-" &amp;tbl_IO_List[[#This Row],[Column52]]</f>
        <v>C2S06-X2</v>
      </c>
      <c r="G407" s="136" t="str">
        <f>tbl_IO_List[[#This Row],[PLC_Tag]]</f>
        <v>XS-60240B_DO_1</v>
      </c>
      <c r="H407" s="136"/>
      <c r="I407" s="136" t="str">
        <f>VLOOKUP(tbl_IO_List[[#This Row],[Destination]],tbl_Junction[],2,FALSE)</f>
        <v>Spray Dryer 3rd Floor</v>
      </c>
      <c r="J407" s="136" t="s">
        <v>221</v>
      </c>
      <c r="K407" s="136" t="s">
        <v>14</v>
      </c>
      <c r="L407" s="136" t="s">
        <v>1064</v>
      </c>
      <c r="M407" s="136">
        <f>VLOOKUP(tbl_IO_List[[#This Row],[Instruement Tag]],tbl_Instruement_List[],2,FALSE)</f>
        <v>0</v>
      </c>
      <c r="N407" s="136" t="s">
        <v>31</v>
      </c>
      <c r="O407" s="136" t="s">
        <v>21</v>
      </c>
      <c r="P407" s="136" t="s">
        <v>18</v>
      </c>
      <c r="Q407" s="136" t="str">
        <f>VLOOKUP(tbl_IO_List[[#This Row],[Instruement Tag]],tbl_Instruement_List[],6,FALSE)</f>
        <v xml:space="preserve"> Fan Command for BGHS-21 (Bag House Air Pulsing)</v>
      </c>
      <c r="R407" s="136"/>
      <c r="S40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407" s="136" t="str">
        <f>tbl_IO_List[[#This Row],[Instruement Tag]]&amp;"_"&amp;tbl_IO_List[[#This Row],[I/O Type]]&amp;"_"&amp;tbl_IO_List[[#This Row],[IO-Point 
(Instruement)]]</f>
        <v>XS-60240B_DO_1</v>
      </c>
      <c r="U407" s="136" t="s">
        <v>7</v>
      </c>
      <c r="V407" s="136">
        <f>VLOOKUP(tbl_IO_List[[#This Row],[I/O Type]],tbl_Slot_Group[],2,FALSE)</f>
        <v>2</v>
      </c>
      <c r="W407" s="136">
        <v>1</v>
      </c>
      <c r="X407" s="136" t="str">
        <f>tbl_IO_List[[#This Row],[Chassis]]&amp;"S"&amp;TEXT(tbl_IO_List[[#This Row],[Slot]],"00")</f>
        <v>C2S06</v>
      </c>
      <c r="Y407" s="136" t="str">
        <f>tbl_IO_List[[#This Row],[Chassis]]&amp;"S"&amp;TEXT(tbl_IO_List[[#This Row],[Slot]],"00")&amp;tbl_IO_List[[#This Row],[I/O Type]]&amp;TEXT(tbl_IO_List[[#This Row],[Point]],"00")</f>
        <v>C2S06DO16</v>
      </c>
      <c r="Z407" s="136" t="str">
        <f>tbl_IO_List[[#This Row],[Chassis]]&amp;"S"&amp;TEXT(tbl_IO_List[[#This Row],[Slot]],"00")&amp;","&amp;TEXT(tbl_IO_List[[#This Row],[Point]],"00")</f>
        <v>C2S06,16</v>
      </c>
      <c r="AA407" s="136" t="str">
        <f>VLOOKUP(tbl_IO_List[[#This Row],[Column23]],tbl_RackConfig[],5,FALSE) &amp;"-"&amp;tbl_IO_List[[#This Row],[Point]]</f>
        <v>1756-OB32-16</v>
      </c>
      <c r="AB407" s="136"/>
      <c r="AC407" s="136"/>
      <c r="AD407" s="136" t="str">
        <f>tbl_IO_List[[#This Row],[I/O Type]]</f>
        <v>DO</v>
      </c>
      <c r="AE407" s="136" t="s">
        <v>1333</v>
      </c>
      <c r="AF407" s="136">
        <v>6</v>
      </c>
      <c r="AG407" s="136">
        <v>16</v>
      </c>
      <c r="AH407" s="136">
        <v>17</v>
      </c>
      <c r="AI407" s="136">
        <v>19</v>
      </c>
      <c r="AJ407" s="136">
        <v>0</v>
      </c>
      <c r="AK407" s="136">
        <v>1</v>
      </c>
      <c r="AL407" s="136">
        <v>0</v>
      </c>
      <c r="AM407" s="136">
        <v>0</v>
      </c>
      <c r="AN407" s="136">
        <v>0</v>
      </c>
      <c r="AO407" s="136"/>
      <c r="AP407" s="143" t="str">
        <f>VLOOKUP(tbl_IO_List[[#This Row],[Instruement Tag]],tbl_Instruement_List[],14,FALSE)</f>
        <v>Dry Contact</v>
      </c>
      <c r="AQ407" s="143" t="str">
        <f>tbl_IO_List[[#This Row],[Chassis]]&amp;"S"&amp;tbl_IO_List[[#This Row],[Slot]]&amp;"-"&amp;tbl_IO_List[[#This Row],[Front Terminal Number]]</f>
        <v>C2S6-19</v>
      </c>
      <c r="AR407" s="141" t="s">
        <v>1866</v>
      </c>
      <c r="AS407" s="136" t="str">
        <f>tbl_IO_List[[#This Row],[Terminal Tagging]]&amp;"-"&amp;tbl_IO_List[[#This Row],[Point-Count]]</f>
        <v>P2-TBRL1-17</v>
      </c>
      <c r="AT407" s="136" t="str">
        <f>tbl_IO_List[[#This Row],[Front Terminal Tagging]]&amp;"/"&amp;tbl_IO_List[[#This Row],[Terminal Tagging-Item]]</f>
        <v>C2S6-19/P2-TBRL1-17</v>
      </c>
      <c r="AU407" s="136" t="str">
        <f>tbl_IO_List[[#This Row],[Terminal Tagging-Item]]&amp;"/"&amp;tbl_IO_List[[#This Row],[Front Terminal Tagging]]</f>
        <v>P2-TBRL1-17/C2S6-19</v>
      </c>
    </row>
    <row r="408" spans="1:47">
      <c r="A408" s="147" t="s">
        <v>1367</v>
      </c>
      <c r="B408" s="136" t="s">
        <v>221</v>
      </c>
      <c r="C408" s="136" t="str">
        <f>tbl_IO_List[[#This Row],[Column3]]</f>
        <v>C2S06,17</v>
      </c>
      <c r="D408" s="136" t="str">
        <f>tbl_IO_List[[#This Row],[Card]]</f>
        <v>1756-OB32-17</v>
      </c>
      <c r="E408" s="136" t="s">
        <v>1372</v>
      </c>
      <c r="F408" s="136" t="str">
        <f>tbl_IO_List[[#This Row],[Column23]]&amp;"-" &amp;tbl_IO_List[[#This Row],[Column52]]</f>
        <v>C2S06-X2</v>
      </c>
      <c r="G408" s="136" t="str">
        <f>tbl_IO_List[[#This Row],[PLC_Tag]]</f>
        <v>XV-60214_DO_1</v>
      </c>
      <c r="H408" s="136"/>
      <c r="I408" s="136" t="str">
        <f>VLOOKUP(tbl_IO_List[[#This Row],[Destination]],tbl_Junction[],2,FALSE)</f>
        <v>Spray Dryer 3rd Floor</v>
      </c>
      <c r="J408" s="136" t="s">
        <v>221</v>
      </c>
      <c r="K408" s="136" t="s">
        <v>14</v>
      </c>
      <c r="L408" s="136" t="s">
        <v>256</v>
      </c>
      <c r="M408" s="136">
        <f>VLOOKUP(tbl_IO_List[[#This Row],[Instruement Tag]],tbl_Instruement_List[],2,FALSE)</f>
        <v>0</v>
      </c>
      <c r="N408" s="136" t="s">
        <v>47</v>
      </c>
      <c r="O408" s="136" t="s">
        <v>50</v>
      </c>
      <c r="P408" s="136" t="s">
        <v>51</v>
      </c>
      <c r="Q408" s="136" t="str">
        <f>VLOOKUP(tbl_IO_List[[#This Row],[Instruement Tag]],tbl_Instruement_List[],6,FALSE)</f>
        <v xml:space="preserve">Steam feed to Spray dryer </v>
      </c>
      <c r="R408" s="136"/>
      <c r="S40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408" s="136" t="str">
        <f>tbl_IO_List[[#This Row],[Instruement Tag]]&amp;"_"&amp;tbl_IO_List[[#This Row],[I/O Type]]&amp;"_"&amp;tbl_IO_List[[#This Row],[IO-Point 
(Instruement)]]</f>
        <v>XV-60214_DO_1</v>
      </c>
      <c r="U408" s="136" t="s">
        <v>7</v>
      </c>
      <c r="V408" s="136">
        <f>VLOOKUP(tbl_IO_List[[#This Row],[I/O Type]],tbl_Slot_Group[],2,FALSE)</f>
        <v>2</v>
      </c>
      <c r="W408" s="136">
        <v>1</v>
      </c>
      <c r="X408" s="136" t="str">
        <f>tbl_IO_List[[#This Row],[Chassis]]&amp;"S"&amp;TEXT(tbl_IO_List[[#This Row],[Slot]],"00")</f>
        <v>C2S06</v>
      </c>
      <c r="Y408" s="136" t="str">
        <f>tbl_IO_List[[#This Row],[Chassis]]&amp;"S"&amp;TEXT(tbl_IO_List[[#This Row],[Slot]],"00")&amp;tbl_IO_List[[#This Row],[I/O Type]]&amp;TEXT(tbl_IO_List[[#This Row],[Point]],"00")</f>
        <v>C2S06DO17</v>
      </c>
      <c r="Z408" s="136" t="str">
        <f>tbl_IO_List[[#This Row],[Chassis]]&amp;"S"&amp;TEXT(tbl_IO_List[[#This Row],[Slot]],"00")&amp;","&amp;TEXT(tbl_IO_List[[#This Row],[Point]],"00")</f>
        <v>C2S06,17</v>
      </c>
      <c r="AA408" s="136" t="str">
        <f>VLOOKUP(tbl_IO_List[[#This Row],[Column23]],tbl_RackConfig[],5,FALSE) &amp;"-"&amp;tbl_IO_List[[#This Row],[Point]]</f>
        <v>1756-OB32-17</v>
      </c>
      <c r="AB408" s="136"/>
      <c r="AC408" s="136"/>
      <c r="AD408" s="136" t="str">
        <f>tbl_IO_List[[#This Row],[I/O Type]]</f>
        <v>DO</v>
      </c>
      <c r="AE408" s="136" t="s">
        <v>1333</v>
      </c>
      <c r="AF408" s="136">
        <v>6</v>
      </c>
      <c r="AG408" s="136">
        <v>17</v>
      </c>
      <c r="AH408" s="136">
        <v>18</v>
      </c>
      <c r="AI408" s="136">
        <v>20</v>
      </c>
      <c r="AJ408" s="136">
        <v>2</v>
      </c>
      <c r="AK408" s="136">
        <v>1</v>
      </c>
      <c r="AL408" s="136">
        <v>0</v>
      </c>
      <c r="AM408" s="136">
        <v>0</v>
      </c>
      <c r="AN408" s="136">
        <v>0</v>
      </c>
      <c r="AO408" s="136"/>
      <c r="AP408" s="143" t="str">
        <f>VLOOKUP(tbl_IO_List[[#This Row],[Instruement Tag]],tbl_Instruement_List[],14,FALSE)</f>
        <v>24 VDC energized</v>
      </c>
      <c r="AQ408" s="143" t="str">
        <f>tbl_IO_List[[#This Row],[Chassis]]&amp;"S"&amp;tbl_IO_List[[#This Row],[Slot]]&amp;"-"&amp;tbl_IO_List[[#This Row],[Front Terminal Number]]</f>
        <v>C2S6-20</v>
      </c>
      <c r="AR408" s="141" t="s">
        <v>1866</v>
      </c>
      <c r="AS408" s="136" t="str">
        <f>tbl_IO_List[[#This Row],[Terminal Tagging]]&amp;"-"&amp;tbl_IO_List[[#This Row],[Point-Count]]</f>
        <v>P2-TBRL1-18</v>
      </c>
      <c r="AT408" s="136" t="str">
        <f>tbl_IO_List[[#This Row],[Front Terminal Tagging]]&amp;"/"&amp;tbl_IO_List[[#This Row],[Terminal Tagging-Item]]</f>
        <v>C2S6-20/P2-TBRL1-18</v>
      </c>
      <c r="AU408" s="136" t="str">
        <f>tbl_IO_List[[#This Row],[Terminal Tagging-Item]]&amp;"/"&amp;tbl_IO_List[[#This Row],[Front Terminal Tagging]]</f>
        <v>P2-TBRL1-18/C2S6-20</v>
      </c>
    </row>
    <row r="409" spans="1:47">
      <c r="A409" s="147" t="s">
        <v>1367</v>
      </c>
      <c r="B409" s="136" t="s">
        <v>221</v>
      </c>
      <c r="C409" s="136" t="str">
        <f>tbl_IO_List[[#This Row],[Column3]]</f>
        <v>C2S06,18</v>
      </c>
      <c r="D409" s="136" t="str">
        <f>tbl_IO_List[[#This Row],[Card]]</f>
        <v>1756-OB32-18</v>
      </c>
      <c r="E409" s="136" t="s">
        <v>1372</v>
      </c>
      <c r="F409" s="136" t="str">
        <f>tbl_IO_List[[#This Row],[Column23]]&amp;"-" &amp;tbl_IO_List[[#This Row],[Column52]]</f>
        <v>C2S06-X2</v>
      </c>
      <c r="G409" s="136" t="str">
        <f>tbl_IO_List[[#This Row],[PLC_Tag]]</f>
        <v>XV-60241_DO_1</v>
      </c>
      <c r="H409" s="136"/>
      <c r="I409" s="136" t="str">
        <f>VLOOKUP(tbl_IO_List[[#This Row],[Destination]],tbl_Junction[],2,FALSE)</f>
        <v>Spray Dryer 3rd Floor</v>
      </c>
      <c r="J409" s="136" t="s">
        <v>221</v>
      </c>
      <c r="K409" s="136" t="s">
        <v>14</v>
      </c>
      <c r="L409" s="136" t="s">
        <v>257</v>
      </c>
      <c r="M409" s="136">
        <f>VLOOKUP(tbl_IO_List[[#This Row],[Instruement Tag]],tbl_Instruement_List[],2,FALSE)</f>
        <v>0</v>
      </c>
      <c r="N409" s="136" t="s">
        <v>47</v>
      </c>
      <c r="O409" s="136" t="s">
        <v>21</v>
      </c>
      <c r="P409" s="136" t="s">
        <v>22</v>
      </c>
      <c r="Q409" s="136" t="str">
        <f>VLOOKUP(tbl_IO_List[[#This Row],[Instruement Tag]],tbl_Instruement_List[],6,FALSE)</f>
        <v>Gas On/Off Valve for Bag House Isolation Damper (DMPR-22)</v>
      </c>
      <c r="R409" s="136"/>
      <c r="S40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409" s="136" t="str">
        <f>tbl_IO_List[[#This Row],[Instruement Tag]]&amp;"_"&amp;tbl_IO_List[[#This Row],[I/O Type]]&amp;"_"&amp;tbl_IO_List[[#This Row],[IO-Point 
(Instruement)]]</f>
        <v>XV-60241_DO_1</v>
      </c>
      <c r="U409" s="136" t="s">
        <v>7</v>
      </c>
      <c r="V409" s="136">
        <f>VLOOKUP(tbl_IO_List[[#This Row],[I/O Type]],tbl_Slot_Group[],2,FALSE)</f>
        <v>2</v>
      </c>
      <c r="W409" s="136">
        <v>1</v>
      </c>
      <c r="X409" s="136" t="str">
        <f>tbl_IO_List[[#This Row],[Chassis]]&amp;"S"&amp;TEXT(tbl_IO_List[[#This Row],[Slot]],"00")</f>
        <v>C2S06</v>
      </c>
      <c r="Y409" s="136" t="str">
        <f>tbl_IO_List[[#This Row],[Chassis]]&amp;"S"&amp;TEXT(tbl_IO_List[[#This Row],[Slot]],"00")&amp;tbl_IO_List[[#This Row],[I/O Type]]&amp;TEXT(tbl_IO_List[[#This Row],[Point]],"00")</f>
        <v>C2S06DO18</v>
      </c>
      <c r="Z409" s="136" t="str">
        <f>tbl_IO_List[[#This Row],[Chassis]]&amp;"S"&amp;TEXT(tbl_IO_List[[#This Row],[Slot]],"00")&amp;","&amp;TEXT(tbl_IO_List[[#This Row],[Point]],"00")</f>
        <v>C2S06,18</v>
      </c>
      <c r="AA409" s="136" t="str">
        <f>VLOOKUP(tbl_IO_List[[#This Row],[Column23]],tbl_RackConfig[],5,FALSE) &amp;"-"&amp;tbl_IO_List[[#This Row],[Point]]</f>
        <v>1756-OB32-18</v>
      </c>
      <c r="AB409" s="136"/>
      <c r="AC409" s="136"/>
      <c r="AD409" s="136" t="str">
        <f>tbl_IO_List[[#This Row],[I/O Type]]</f>
        <v>DO</v>
      </c>
      <c r="AE409" s="136" t="s">
        <v>1333</v>
      </c>
      <c r="AF409" s="136">
        <v>6</v>
      </c>
      <c r="AG409" s="136">
        <v>18</v>
      </c>
      <c r="AH409" s="136">
        <v>19</v>
      </c>
      <c r="AI409" s="136">
        <v>21</v>
      </c>
      <c r="AJ409" s="136">
        <v>2</v>
      </c>
      <c r="AK409" s="136">
        <v>1</v>
      </c>
      <c r="AL409" s="136">
        <v>0</v>
      </c>
      <c r="AM409" s="136">
        <v>0</v>
      </c>
      <c r="AN409" s="136">
        <v>0</v>
      </c>
      <c r="AO409" s="136"/>
      <c r="AP409" s="143" t="str">
        <f>VLOOKUP(tbl_IO_List[[#This Row],[Instruement Tag]],tbl_Instruement_List[],14,FALSE)</f>
        <v>24 VDC energized,Dry Contact</v>
      </c>
      <c r="AQ409" s="143" t="str">
        <f>tbl_IO_List[[#This Row],[Chassis]]&amp;"S"&amp;tbl_IO_List[[#This Row],[Slot]]&amp;"-"&amp;tbl_IO_List[[#This Row],[Front Terminal Number]]</f>
        <v>C2S6-21</v>
      </c>
      <c r="AR409" s="141" t="s">
        <v>1866</v>
      </c>
      <c r="AS409" s="136" t="str">
        <f>tbl_IO_List[[#This Row],[Terminal Tagging]]&amp;"-"&amp;tbl_IO_List[[#This Row],[Point-Count]]</f>
        <v>P2-TBRL1-19</v>
      </c>
      <c r="AT409" s="136" t="str">
        <f>tbl_IO_List[[#This Row],[Front Terminal Tagging]]&amp;"/"&amp;tbl_IO_List[[#This Row],[Terminal Tagging-Item]]</f>
        <v>C2S6-21/P2-TBRL1-19</v>
      </c>
      <c r="AU409" s="136" t="str">
        <f>tbl_IO_List[[#This Row],[Terminal Tagging-Item]]&amp;"/"&amp;tbl_IO_List[[#This Row],[Front Terminal Tagging]]</f>
        <v>P2-TBRL1-19/C2S6-21</v>
      </c>
    </row>
    <row r="410" spans="1:47">
      <c r="A410" s="147" t="s">
        <v>1367</v>
      </c>
      <c r="B410" s="136" t="s">
        <v>221</v>
      </c>
      <c r="C410" s="136" t="str">
        <f>tbl_IO_List[[#This Row],[Column3]]</f>
        <v>C2S06,19</v>
      </c>
      <c r="D410" s="136" t="str">
        <f>tbl_IO_List[[#This Row],[Card]]</f>
        <v>1756-OB32-19</v>
      </c>
      <c r="E410" s="136" t="s">
        <v>1372</v>
      </c>
      <c r="F410" s="136" t="str">
        <f>tbl_IO_List[[#This Row],[Column23]]&amp;"-" &amp;tbl_IO_List[[#This Row],[Column52]]</f>
        <v>C2S06-X2</v>
      </c>
      <c r="G410" s="136" t="str">
        <f>tbl_IO_List[[#This Row],[PLC_Tag]]</f>
        <v>Spare_DO_0</v>
      </c>
      <c r="H410" s="136"/>
      <c r="I410" s="136" t="str">
        <f>VLOOKUP(tbl_IO_List[[#This Row],[Destination]],tbl_Junction[],2,FALSE)</f>
        <v>Spray Dryer 3rd Floor</v>
      </c>
      <c r="J410" s="136" t="s">
        <v>221</v>
      </c>
      <c r="K410" s="136" t="s">
        <v>14</v>
      </c>
      <c r="L410" s="136" t="s">
        <v>411</v>
      </c>
      <c r="M410" s="136" t="e">
        <f>VLOOKUP(tbl_IO_List[[#This Row],[Instruement Tag]],tbl_Instruement_List[],2,FALSE)</f>
        <v>#N/A</v>
      </c>
      <c r="N410" s="136"/>
      <c r="O410" s="136"/>
      <c r="P410" s="136"/>
      <c r="Q410" s="136" t="e">
        <f>VLOOKUP(tbl_IO_List[[#This Row],[Instruement Tag]],tbl_Instruement_List[],6,FALSE)</f>
        <v>#N/A</v>
      </c>
      <c r="R410" s="136"/>
      <c r="S41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410" s="136" t="str">
        <f>tbl_IO_List[[#This Row],[Instruement Tag]]&amp;"_"&amp;tbl_IO_List[[#This Row],[I/O Type]]&amp;"_"&amp;tbl_IO_List[[#This Row],[IO-Point 
(Instruement)]]</f>
        <v>Spare_DO_0</v>
      </c>
      <c r="U410" s="136" t="s">
        <v>7</v>
      </c>
      <c r="V410" s="136">
        <f>VLOOKUP(tbl_IO_List[[#This Row],[I/O Type]],tbl_Slot_Group[],2,FALSE)</f>
        <v>2</v>
      </c>
      <c r="W410" s="136">
        <v>0</v>
      </c>
      <c r="X410" s="136" t="str">
        <f>tbl_IO_List[[#This Row],[Chassis]]&amp;"S"&amp;TEXT(tbl_IO_List[[#This Row],[Slot]],"00")</f>
        <v>C2S06</v>
      </c>
      <c r="Y410" s="136" t="str">
        <f>tbl_IO_List[[#This Row],[Chassis]]&amp;"S"&amp;TEXT(tbl_IO_List[[#This Row],[Slot]],"00")&amp;tbl_IO_List[[#This Row],[I/O Type]]&amp;TEXT(tbl_IO_List[[#This Row],[Point]],"00")</f>
        <v>C2S06DO19</v>
      </c>
      <c r="Z410" s="136" t="str">
        <f>tbl_IO_List[[#This Row],[Chassis]]&amp;"S"&amp;TEXT(tbl_IO_List[[#This Row],[Slot]],"00")&amp;","&amp;TEXT(tbl_IO_List[[#This Row],[Point]],"00")</f>
        <v>C2S06,19</v>
      </c>
      <c r="AA410" s="136" t="str">
        <f>VLOOKUP(tbl_IO_List[[#This Row],[Column23]],tbl_RackConfig[],5,FALSE) &amp;"-"&amp;tbl_IO_List[[#This Row],[Point]]</f>
        <v>1756-OB32-19</v>
      </c>
      <c r="AB410" s="136"/>
      <c r="AC410" s="136"/>
      <c r="AD410" s="136" t="str">
        <f>tbl_IO_List[[#This Row],[I/O Type]]</f>
        <v>DO</v>
      </c>
      <c r="AE410" s="136" t="s">
        <v>1333</v>
      </c>
      <c r="AF410" s="136">
        <v>6</v>
      </c>
      <c r="AG410" s="136">
        <v>19</v>
      </c>
      <c r="AH410" s="136">
        <v>20</v>
      </c>
      <c r="AI410" s="136">
        <v>22</v>
      </c>
      <c r="AJ410" s="136">
        <v>0</v>
      </c>
      <c r="AK410" s="136">
        <v>1</v>
      </c>
      <c r="AL410" s="136">
        <v>0</v>
      </c>
      <c r="AM410" s="136">
        <v>0</v>
      </c>
      <c r="AN410" s="136">
        <v>0</v>
      </c>
      <c r="AO410" s="136"/>
      <c r="AP410" s="143"/>
      <c r="AQ410" s="143" t="str">
        <f>tbl_IO_List[[#This Row],[Chassis]]&amp;"S"&amp;tbl_IO_List[[#This Row],[Slot]]&amp;"-"&amp;tbl_IO_List[[#This Row],[Front Terminal Number]]</f>
        <v>C2S6-22</v>
      </c>
      <c r="AR410" s="141" t="s">
        <v>1866</v>
      </c>
      <c r="AS410" s="136" t="str">
        <f>tbl_IO_List[[#This Row],[Terminal Tagging]]&amp;"-"&amp;tbl_IO_List[[#This Row],[Point-Count]]</f>
        <v>P2-TBRL1-20</v>
      </c>
      <c r="AT410" s="136" t="str">
        <f>tbl_IO_List[[#This Row],[Front Terminal Tagging]]&amp;"/"&amp;tbl_IO_List[[#This Row],[Terminal Tagging-Item]]</f>
        <v>C2S6-22/P2-TBRL1-20</v>
      </c>
      <c r="AU410" s="136" t="str">
        <f>tbl_IO_List[[#This Row],[Terminal Tagging-Item]]&amp;"/"&amp;tbl_IO_List[[#This Row],[Front Terminal Tagging]]</f>
        <v>P2-TBRL1-20/C2S6-22</v>
      </c>
    </row>
    <row r="411" spans="1:47">
      <c r="A411" s="147" t="s">
        <v>1367</v>
      </c>
      <c r="B411" s="136" t="s">
        <v>221</v>
      </c>
      <c r="C411" s="136" t="str">
        <f>tbl_IO_List[[#This Row],[Column3]]</f>
        <v>C2S06,20</v>
      </c>
      <c r="D411" s="136" t="str">
        <f>tbl_IO_List[[#This Row],[Card]]</f>
        <v>1756-OB32-20</v>
      </c>
      <c r="E411" s="136" t="s">
        <v>1372</v>
      </c>
      <c r="F411" s="136" t="str">
        <f>tbl_IO_List[[#This Row],[Column23]]&amp;"-" &amp;tbl_IO_List[[#This Row],[Column52]]</f>
        <v>C2S06-X2</v>
      </c>
      <c r="G411" s="136" t="str">
        <f>tbl_IO_List[[#This Row],[PLC_Tag]]</f>
        <v>Spare_DO_0</v>
      </c>
      <c r="H411" s="136"/>
      <c r="I411" s="136" t="str">
        <f>VLOOKUP(tbl_IO_List[[#This Row],[Destination]],tbl_Junction[],2,FALSE)</f>
        <v>Spray Dryer 3rd Floor</v>
      </c>
      <c r="J411" s="136" t="s">
        <v>221</v>
      </c>
      <c r="K411" s="136" t="s">
        <v>14</v>
      </c>
      <c r="L411" s="136" t="s">
        <v>411</v>
      </c>
      <c r="M411" s="136" t="e">
        <f>VLOOKUP(tbl_IO_List[[#This Row],[Instruement Tag]],tbl_Instruement_List[],2,FALSE)</f>
        <v>#N/A</v>
      </c>
      <c r="N411" s="136"/>
      <c r="O411" s="136"/>
      <c r="P411" s="136"/>
      <c r="Q411" s="136" t="e">
        <f>VLOOKUP(tbl_IO_List[[#This Row],[Instruement Tag]],tbl_Instruement_List[],6,FALSE)</f>
        <v>#N/A</v>
      </c>
      <c r="R411" s="136"/>
      <c r="S41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411" s="136" t="str">
        <f>tbl_IO_List[[#This Row],[Instruement Tag]]&amp;"_"&amp;tbl_IO_List[[#This Row],[I/O Type]]&amp;"_"&amp;tbl_IO_List[[#This Row],[IO-Point 
(Instruement)]]</f>
        <v>Spare_DO_0</v>
      </c>
      <c r="U411" s="136" t="s">
        <v>7</v>
      </c>
      <c r="V411" s="136">
        <f>VLOOKUP(tbl_IO_List[[#This Row],[I/O Type]],tbl_Slot_Group[],2,FALSE)</f>
        <v>2</v>
      </c>
      <c r="W411" s="136">
        <v>0</v>
      </c>
      <c r="X411" s="136" t="str">
        <f>tbl_IO_List[[#This Row],[Chassis]]&amp;"S"&amp;TEXT(tbl_IO_List[[#This Row],[Slot]],"00")</f>
        <v>C2S06</v>
      </c>
      <c r="Y411" s="136" t="str">
        <f>tbl_IO_List[[#This Row],[Chassis]]&amp;"S"&amp;TEXT(tbl_IO_List[[#This Row],[Slot]],"00")&amp;tbl_IO_List[[#This Row],[I/O Type]]&amp;TEXT(tbl_IO_List[[#This Row],[Point]],"00")</f>
        <v>C2S06DO20</v>
      </c>
      <c r="Z411" s="136" t="str">
        <f>tbl_IO_List[[#This Row],[Chassis]]&amp;"S"&amp;TEXT(tbl_IO_List[[#This Row],[Slot]],"00")&amp;","&amp;TEXT(tbl_IO_List[[#This Row],[Point]],"00")</f>
        <v>C2S06,20</v>
      </c>
      <c r="AA411" s="136" t="str">
        <f>VLOOKUP(tbl_IO_List[[#This Row],[Column23]],tbl_RackConfig[],5,FALSE) &amp;"-"&amp;tbl_IO_List[[#This Row],[Point]]</f>
        <v>1756-OB32-20</v>
      </c>
      <c r="AB411" s="136"/>
      <c r="AC411" s="136"/>
      <c r="AD411" s="136" t="str">
        <f>tbl_IO_List[[#This Row],[I/O Type]]</f>
        <v>DO</v>
      </c>
      <c r="AE411" s="136" t="s">
        <v>1333</v>
      </c>
      <c r="AF411" s="136">
        <v>6</v>
      </c>
      <c r="AG411" s="136">
        <v>20</v>
      </c>
      <c r="AH411" s="136">
        <v>21</v>
      </c>
      <c r="AI411" s="136">
        <v>23</v>
      </c>
      <c r="AJ411" s="136">
        <v>0</v>
      </c>
      <c r="AK411" s="136">
        <v>1</v>
      </c>
      <c r="AL411" s="136">
        <v>0</v>
      </c>
      <c r="AM411" s="136">
        <v>0</v>
      </c>
      <c r="AN411" s="136">
        <v>0</v>
      </c>
      <c r="AO411" s="136"/>
      <c r="AP411" s="143"/>
      <c r="AQ411" s="143" t="str">
        <f>tbl_IO_List[[#This Row],[Chassis]]&amp;"S"&amp;tbl_IO_List[[#This Row],[Slot]]&amp;"-"&amp;tbl_IO_List[[#This Row],[Front Terminal Number]]</f>
        <v>C2S6-23</v>
      </c>
      <c r="AR411" s="141" t="s">
        <v>1866</v>
      </c>
      <c r="AS411" s="136" t="str">
        <f>tbl_IO_List[[#This Row],[Terminal Tagging]]&amp;"-"&amp;tbl_IO_List[[#This Row],[Point-Count]]</f>
        <v>P2-TBRL1-21</v>
      </c>
      <c r="AT411" s="136" t="str">
        <f>tbl_IO_List[[#This Row],[Front Terminal Tagging]]&amp;"/"&amp;tbl_IO_List[[#This Row],[Terminal Tagging-Item]]</f>
        <v>C2S6-23/P2-TBRL1-21</v>
      </c>
      <c r="AU411" s="136" t="str">
        <f>tbl_IO_List[[#This Row],[Terminal Tagging-Item]]&amp;"/"&amp;tbl_IO_List[[#This Row],[Front Terminal Tagging]]</f>
        <v>P2-TBRL1-21/C2S6-23</v>
      </c>
    </row>
    <row r="412" spans="1:47">
      <c r="A412" s="147" t="s">
        <v>1367</v>
      </c>
      <c r="B412" s="136" t="s">
        <v>221</v>
      </c>
      <c r="C412" s="136" t="str">
        <f>tbl_IO_List[[#This Row],[Column3]]</f>
        <v>C2S06,21</v>
      </c>
      <c r="D412" s="136" t="str">
        <f>tbl_IO_List[[#This Row],[Card]]</f>
        <v>1756-OB32-21</v>
      </c>
      <c r="E412" s="136" t="s">
        <v>1372</v>
      </c>
      <c r="F412" s="136" t="str">
        <f>tbl_IO_List[[#This Row],[Column23]]&amp;"-" &amp;tbl_IO_List[[#This Row],[Column52]]</f>
        <v>C2S06-X2</v>
      </c>
      <c r="G412" s="136" t="str">
        <f>tbl_IO_List[[#This Row],[PLC_Tag]]</f>
        <v>Spare_DO_0</v>
      </c>
      <c r="H412" s="136"/>
      <c r="I412" s="136" t="str">
        <f>VLOOKUP(tbl_IO_List[[#This Row],[Destination]],tbl_Junction[],2,FALSE)</f>
        <v>Spray Dryer 3rd Floor</v>
      </c>
      <c r="J412" s="136" t="s">
        <v>221</v>
      </c>
      <c r="K412" s="136" t="s">
        <v>14</v>
      </c>
      <c r="L412" s="136" t="s">
        <v>411</v>
      </c>
      <c r="M412" s="136" t="e">
        <f>VLOOKUP(tbl_IO_List[[#This Row],[Instruement Tag]],tbl_Instruement_List[],2,FALSE)</f>
        <v>#N/A</v>
      </c>
      <c r="N412" s="136"/>
      <c r="O412" s="136"/>
      <c r="P412" s="136"/>
      <c r="Q412" s="136" t="e">
        <f>VLOOKUP(tbl_IO_List[[#This Row],[Instruement Tag]],tbl_Instruement_List[],6,FALSE)</f>
        <v>#N/A</v>
      </c>
      <c r="R412" s="136"/>
      <c r="S41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412" s="136" t="str">
        <f>tbl_IO_List[[#This Row],[Instruement Tag]]&amp;"_"&amp;tbl_IO_List[[#This Row],[I/O Type]]&amp;"_"&amp;tbl_IO_List[[#This Row],[IO-Point 
(Instruement)]]</f>
        <v>Spare_DO_0</v>
      </c>
      <c r="U412" s="136" t="s">
        <v>7</v>
      </c>
      <c r="V412" s="136">
        <f>VLOOKUP(tbl_IO_List[[#This Row],[I/O Type]],tbl_Slot_Group[],2,FALSE)</f>
        <v>2</v>
      </c>
      <c r="W412" s="136">
        <v>0</v>
      </c>
      <c r="X412" s="136" t="str">
        <f>tbl_IO_List[[#This Row],[Chassis]]&amp;"S"&amp;TEXT(tbl_IO_List[[#This Row],[Slot]],"00")</f>
        <v>C2S06</v>
      </c>
      <c r="Y412" s="136" t="str">
        <f>tbl_IO_List[[#This Row],[Chassis]]&amp;"S"&amp;TEXT(tbl_IO_List[[#This Row],[Slot]],"00")&amp;tbl_IO_List[[#This Row],[I/O Type]]&amp;TEXT(tbl_IO_List[[#This Row],[Point]],"00")</f>
        <v>C2S06DO21</v>
      </c>
      <c r="Z412" s="136" t="str">
        <f>tbl_IO_List[[#This Row],[Chassis]]&amp;"S"&amp;TEXT(tbl_IO_List[[#This Row],[Slot]],"00")&amp;","&amp;TEXT(tbl_IO_List[[#This Row],[Point]],"00")</f>
        <v>C2S06,21</v>
      </c>
      <c r="AA412" s="136" t="str">
        <f>VLOOKUP(tbl_IO_List[[#This Row],[Column23]],tbl_RackConfig[],5,FALSE) &amp;"-"&amp;tbl_IO_List[[#This Row],[Point]]</f>
        <v>1756-OB32-21</v>
      </c>
      <c r="AB412" s="136"/>
      <c r="AC412" s="136"/>
      <c r="AD412" s="136" t="str">
        <f>tbl_IO_List[[#This Row],[I/O Type]]</f>
        <v>DO</v>
      </c>
      <c r="AE412" s="136" t="s">
        <v>1333</v>
      </c>
      <c r="AF412" s="136">
        <v>6</v>
      </c>
      <c r="AG412" s="136">
        <v>21</v>
      </c>
      <c r="AH412" s="136">
        <v>22</v>
      </c>
      <c r="AI412" s="136">
        <v>24</v>
      </c>
      <c r="AJ412" s="136">
        <v>0</v>
      </c>
      <c r="AK412" s="136">
        <v>1</v>
      </c>
      <c r="AL412" s="136">
        <v>0</v>
      </c>
      <c r="AM412" s="136">
        <v>0</v>
      </c>
      <c r="AN412" s="136">
        <v>0</v>
      </c>
      <c r="AO412" s="136"/>
      <c r="AP412" s="143"/>
      <c r="AQ412" s="143" t="str">
        <f>tbl_IO_List[[#This Row],[Chassis]]&amp;"S"&amp;tbl_IO_List[[#This Row],[Slot]]&amp;"-"&amp;tbl_IO_List[[#This Row],[Front Terminal Number]]</f>
        <v>C2S6-24</v>
      </c>
      <c r="AR412" s="141" t="s">
        <v>1866</v>
      </c>
      <c r="AS412" s="136" t="str">
        <f>tbl_IO_List[[#This Row],[Terminal Tagging]]&amp;"-"&amp;tbl_IO_List[[#This Row],[Point-Count]]</f>
        <v>P2-TBRL1-22</v>
      </c>
      <c r="AT412" s="136" t="str">
        <f>tbl_IO_List[[#This Row],[Front Terminal Tagging]]&amp;"/"&amp;tbl_IO_List[[#This Row],[Terminal Tagging-Item]]</f>
        <v>C2S6-24/P2-TBRL1-22</v>
      </c>
      <c r="AU412" s="136" t="str">
        <f>tbl_IO_List[[#This Row],[Terminal Tagging-Item]]&amp;"/"&amp;tbl_IO_List[[#This Row],[Front Terminal Tagging]]</f>
        <v>P2-TBRL1-22/C2S6-24</v>
      </c>
    </row>
    <row r="413" spans="1:47">
      <c r="A413" s="147" t="s">
        <v>1367</v>
      </c>
      <c r="B413" s="136" t="s">
        <v>221</v>
      </c>
      <c r="C413" s="136" t="str">
        <f>tbl_IO_List[[#This Row],[Column3]]</f>
        <v>C2S06,22</v>
      </c>
      <c r="D413" s="136" t="str">
        <f>tbl_IO_List[[#This Row],[Card]]</f>
        <v>1756-OB32-22</v>
      </c>
      <c r="E413" s="136" t="s">
        <v>1372</v>
      </c>
      <c r="F413" s="136" t="str">
        <f>tbl_IO_List[[#This Row],[Column23]]&amp;"-" &amp;tbl_IO_List[[#This Row],[Column52]]</f>
        <v>C2S06-X2</v>
      </c>
      <c r="G413" s="136" t="str">
        <f>tbl_IO_List[[#This Row],[PLC_Tag]]</f>
        <v>Spare_DO_0</v>
      </c>
      <c r="H413" s="136"/>
      <c r="I413" s="136" t="str">
        <f>VLOOKUP(tbl_IO_List[[#This Row],[Destination]],tbl_Junction[],2,FALSE)</f>
        <v>Spray Dryer 3rd Floor</v>
      </c>
      <c r="J413" s="136" t="s">
        <v>221</v>
      </c>
      <c r="K413" s="136" t="s">
        <v>14</v>
      </c>
      <c r="L413" s="136" t="s">
        <v>411</v>
      </c>
      <c r="M413" s="136" t="e">
        <f>VLOOKUP(tbl_IO_List[[#This Row],[Instruement Tag]],tbl_Instruement_List[],2,FALSE)</f>
        <v>#N/A</v>
      </c>
      <c r="N413" s="136"/>
      <c r="O413" s="136"/>
      <c r="P413" s="136"/>
      <c r="Q413" s="136" t="e">
        <f>VLOOKUP(tbl_IO_List[[#This Row],[Instruement Tag]],tbl_Instruement_List[],6,FALSE)</f>
        <v>#N/A</v>
      </c>
      <c r="R413" s="136"/>
      <c r="S41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413" s="136" t="str">
        <f>tbl_IO_List[[#This Row],[Instruement Tag]]&amp;"_"&amp;tbl_IO_List[[#This Row],[I/O Type]]&amp;"_"&amp;tbl_IO_List[[#This Row],[IO-Point 
(Instruement)]]</f>
        <v>Spare_DO_0</v>
      </c>
      <c r="U413" s="136" t="s">
        <v>7</v>
      </c>
      <c r="V413" s="136">
        <f>VLOOKUP(tbl_IO_List[[#This Row],[I/O Type]],tbl_Slot_Group[],2,FALSE)</f>
        <v>2</v>
      </c>
      <c r="W413" s="136">
        <v>0</v>
      </c>
      <c r="X413" s="136" t="str">
        <f>tbl_IO_List[[#This Row],[Chassis]]&amp;"S"&amp;TEXT(tbl_IO_List[[#This Row],[Slot]],"00")</f>
        <v>C2S06</v>
      </c>
      <c r="Y413" s="136" t="str">
        <f>tbl_IO_List[[#This Row],[Chassis]]&amp;"S"&amp;TEXT(tbl_IO_List[[#This Row],[Slot]],"00")&amp;tbl_IO_List[[#This Row],[I/O Type]]&amp;TEXT(tbl_IO_List[[#This Row],[Point]],"00")</f>
        <v>C2S06DO22</v>
      </c>
      <c r="Z413" s="136" t="str">
        <f>tbl_IO_List[[#This Row],[Chassis]]&amp;"S"&amp;TEXT(tbl_IO_List[[#This Row],[Slot]],"00")&amp;","&amp;TEXT(tbl_IO_List[[#This Row],[Point]],"00")</f>
        <v>C2S06,22</v>
      </c>
      <c r="AA413" s="136" t="str">
        <f>VLOOKUP(tbl_IO_List[[#This Row],[Column23]],tbl_RackConfig[],5,FALSE) &amp;"-"&amp;tbl_IO_List[[#This Row],[Point]]</f>
        <v>1756-OB32-22</v>
      </c>
      <c r="AB413" s="136"/>
      <c r="AC413" s="136"/>
      <c r="AD413" s="136" t="str">
        <f>tbl_IO_List[[#This Row],[I/O Type]]</f>
        <v>DO</v>
      </c>
      <c r="AE413" s="136" t="s">
        <v>1333</v>
      </c>
      <c r="AF413" s="136">
        <v>6</v>
      </c>
      <c r="AG413" s="136">
        <v>22</v>
      </c>
      <c r="AH413" s="136">
        <v>23</v>
      </c>
      <c r="AI413" s="136">
        <v>25</v>
      </c>
      <c r="AJ413" s="136">
        <v>0</v>
      </c>
      <c r="AK413" s="136">
        <v>1</v>
      </c>
      <c r="AL413" s="136">
        <v>0</v>
      </c>
      <c r="AM413" s="136">
        <v>0</v>
      </c>
      <c r="AN413" s="136">
        <v>0</v>
      </c>
      <c r="AO413" s="136"/>
      <c r="AP413" s="143"/>
      <c r="AQ413" s="143" t="str">
        <f>tbl_IO_List[[#This Row],[Chassis]]&amp;"S"&amp;tbl_IO_List[[#This Row],[Slot]]&amp;"-"&amp;tbl_IO_List[[#This Row],[Front Terminal Number]]</f>
        <v>C2S6-25</v>
      </c>
      <c r="AR413" s="141" t="s">
        <v>1866</v>
      </c>
      <c r="AS413" s="136" t="str">
        <f>tbl_IO_List[[#This Row],[Terminal Tagging]]&amp;"-"&amp;tbl_IO_List[[#This Row],[Point-Count]]</f>
        <v>P2-TBRL1-23</v>
      </c>
      <c r="AT413" s="136" t="str">
        <f>tbl_IO_List[[#This Row],[Front Terminal Tagging]]&amp;"/"&amp;tbl_IO_List[[#This Row],[Terminal Tagging-Item]]</f>
        <v>C2S6-25/P2-TBRL1-23</v>
      </c>
      <c r="AU413" s="136" t="str">
        <f>tbl_IO_List[[#This Row],[Terminal Tagging-Item]]&amp;"/"&amp;tbl_IO_List[[#This Row],[Front Terminal Tagging]]</f>
        <v>P2-TBRL1-23/C2S6-25</v>
      </c>
    </row>
    <row r="414" spans="1:47">
      <c r="A414" s="147" t="s">
        <v>1367</v>
      </c>
      <c r="B414" s="136" t="s">
        <v>221</v>
      </c>
      <c r="C414" s="136" t="str">
        <f>tbl_IO_List[[#This Row],[Column3]]</f>
        <v>C2S06,23</v>
      </c>
      <c r="D414" s="136" t="str">
        <f>tbl_IO_List[[#This Row],[Card]]</f>
        <v>1756-OB32-23</v>
      </c>
      <c r="E414" s="136" t="s">
        <v>1372</v>
      </c>
      <c r="F414" s="136" t="str">
        <f>tbl_IO_List[[#This Row],[Column23]]&amp;"-" &amp;tbl_IO_List[[#This Row],[Column52]]</f>
        <v>C2S06-X2</v>
      </c>
      <c r="G414" s="136" t="str">
        <f>tbl_IO_List[[#This Row],[PLC_Tag]]</f>
        <v>Spare_DO_0</v>
      </c>
      <c r="H414" s="136"/>
      <c r="I414" s="136" t="str">
        <f>VLOOKUP(tbl_IO_List[[#This Row],[Destination]],tbl_Junction[],2,FALSE)</f>
        <v>Spray Dryer 3rd Floor</v>
      </c>
      <c r="J414" s="136" t="s">
        <v>221</v>
      </c>
      <c r="K414" s="136" t="s">
        <v>14</v>
      </c>
      <c r="L414" s="136" t="s">
        <v>411</v>
      </c>
      <c r="M414" s="136" t="e">
        <f>VLOOKUP(tbl_IO_List[[#This Row],[Instruement Tag]],tbl_Instruement_List[],2,FALSE)</f>
        <v>#N/A</v>
      </c>
      <c r="N414" s="136"/>
      <c r="O414" s="136"/>
      <c r="P414" s="136"/>
      <c r="Q414" s="136" t="e">
        <f>VLOOKUP(tbl_IO_List[[#This Row],[Instruement Tag]],tbl_Instruement_List[],6,FALSE)</f>
        <v>#N/A</v>
      </c>
      <c r="R414" s="136"/>
      <c r="S41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414" s="136" t="str">
        <f>tbl_IO_List[[#This Row],[Instruement Tag]]&amp;"_"&amp;tbl_IO_List[[#This Row],[I/O Type]]&amp;"_"&amp;tbl_IO_List[[#This Row],[IO-Point 
(Instruement)]]</f>
        <v>Spare_DO_0</v>
      </c>
      <c r="U414" s="136" t="s">
        <v>7</v>
      </c>
      <c r="V414" s="136">
        <f>VLOOKUP(tbl_IO_List[[#This Row],[I/O Type]],tbl_Slot_Group[],2,FALSE)</f>
        <v>2</v>
      </c>
      <c r="W414" s="136">
        <v>0</v>
      </c>
      <c r="X414" s="136" t="str">
        <f>tbl_IO_List[[#This Row],[Chassis]]&amp;"S"&amp;TEXT(tbl_IO_List[[#This Row],[Slot]],"00")</f>
        <v>C2S06</v>
      </c>
      <c r="Y414" s="136" t="str">
        <f>tbl_IO_List[[#This Row],[Chassis]]&amp;"S"&amp;TEXT(tbl_IO_List[[#This Row],[Slot]],"00")&amp;tbl_IO_List[[#This Row],[I/O Type]]&amp;TEXT(tbl_IO_List[[#This Row],[Point]],"00")</f>
        <v>C2S06DO23</v>
      </c>
      <c r="Z414" s="136" t="str">
        <f>tbl_IO_List[[#This Row],[Chassis]]&amp;"S"&amp;TEXT(tbl_IO_List[[#This Row],[Slot]],"00")&amp;","&amp;TEXT(tbl_IO_List[[#This Row],[Point]],"00")</f>
        <v>C2S06,23</v>
      </c>
      <c r="AA414" s="136" t="str">
        <f>VLOOKUP(tbl_IO_List[[#This Row],[Column23]],tbl_RackConfig[],5,FALSE) &amp;"-"&amp;tbl_IO_List[[#This Row],[Point]]</f>
        <v>1756-OB32-23</v>
      </c>
      <c r="AB414" s="136"/>
      <c r="AC414" s="136"/>
      <c r="AD414" s="136" t="str">
        <f>tbl_IO_List[[#This Row],[I/O Type]]</f>
        <v>DO</v>
      </c>
      <c r="AE414" s="136" t="s">
        <v>1333</v>
      </c>
      <c r="AF414" s="136">
        <v>6</v>
      </c>
      <c r="AG414" s="136">
        <v>23</v>
      </c>
      <c r="AH414" s="136">
        <v>24</v>
      </c>
      <c r="AI414" s="136">
        <v>26</v>
      </c>
      <c r="AJ414" s="136">
        <v>0</v>
      </c>
      <c r="AK414" s="136">
        <v>1</v>
      </c>
      <c r="AL414" s="136">
        <v>0</v>
      </c>
      <c r="AM414" s="136">
        <v>0</v>
      </c>
      <c r="AN414" s="136">
        <v>0</v>
      </c>
      <c r="AO414" s="136"/>
      <c r="AP414" s="143"/>
      <c r="AQ414" s="143" t="str">
        <f>tbl_IO_List[[#This Row],[Chassis]]&amp;"S"&amp;tbl_IO_List[[#This Row],[Slot]]&amp;"-"&amp;tbl_IO_List[[#This Row],[Front Terminal Number]]</f>
        <v>C2S6-26</v>
      </c>
      <c r="AR414" s="141" t="s">
        <v>1866</v>
      </c>
      <c r="AS414" s="136" t="str">
        <f>tbl_IO_List[[#This Row],[Terminal Tagging]]&amp;"-"&amp;tbl_IO_List[[#This Row],[Point-Count]]</f>
        <v>P2-TBRL1-24</v>
      </c>
      <c r="AT414" s="136" t="str">
        <f>tbl_IO_List[[#This Row],[Front Terminal Tagging]]&amp;"/"&amp;tbl_IO_List[[#This Row],[Terminal Tagging-Item]]</f>
        <v>C2S6-26/P2-TBRL1-24</v>
      </c>
      <c r="AU414" s="136" t="str">
        <f>tbl_IO_List[[#This Row],[Terminal Tagging-Item]]&amp;"/"&amp;tbl_IO_List[[#This Row],[Front Terminal Tagging]]</f>
        <v>P2-TBRL1-24/C2S6-26</v>
      </c>
    </row>
    <row r="415" spans="1:47">
      <c r="A415" s="147" t="s">
        <v>1367</v>
      </c>
      <c r="B415" s="136" t="s">
        <v>221</v>
      </c>
      <c r="C415" s="136" t="str">
        <f>tbl_IO_List[[#This Row],[Column3]]</f>
        <v>C2S06,24</v>
      </c>
      <c r="D415" s="136" t="str">
        <f>tbl_IO_List[[#This Row],[Card]]</f>
        <v>1756-OB32-24</v>
      </c>
      <c r="E415" s="136" t="s">
        <v>1372</v>
      </c>
      <c r="F415" s="136" t="str">
        <f>tbl_IO_List[[#This Row],[Column23]]&amp;"-" &amp;tbl_IO_List[[#This Row],[Column52]]</f>
        <v>C2S06-X2</v>
      </c>
      <c r="G415" s="136" t="str">
        <f>tbl_IO_List[[#This Row],[PLC_Tag]]</f>
        <v>Spare_DO_0</v>
      </c>
      <c r="H415" s="136"/>
      <c r="I415" s="136" t="str">
        <f>VLOOKUP(tbl_IO_List[[#This Row],[Destination]],tbl_Junction[],2,FALSE)</f>
        <v>Spray Dryer 3rd Floor</v>
      </c>
      <c r="J415" s="136" t="s">
        <v>221</v>
      </c>
      <c r="K415" s="136" t="s">
        <v>14</v>
      </c>
      <c r="L415" s="136" t="s">
        <v>411</v>
      </c>
      <c r="M415" s="136" t="e">
        <f>VLOOKUP(tbl_IO_List[[#This Row],[Instruement Tag]],tbl_Instruement_List[],2,FALSE)</f>
        <v>#N/A</v>
      </c>
      <c r="N415" s="136"/>
      <c r="O415" s="136"/>
      <c r="P415" s="136"/>
      <c r="Q415" s="136" t="e">
        <f>VLOOKUP(tbl_IO_List[[#This Row],[Instruement Tag]],tbl_Instruement_List[],6,FALSE)</f>
        <v>#N/A</v>
      </c>
      <c r="R415" s="136"/>
      <c r="S41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415" s="136" t="str">
        <f>tbl_IO_List[[#This Row],[Instruement Tag]]&amp;"_"&amp;tbl_IO_List[[#This Row],[I/O Type]]&amp;"_"&amp;tbl_IO_List[[#This Row],[IO-Point 
(Instruement)]]</f>
        <v>Spare_DO_0</v>
      </c>
      <c r="U415" s="136" t="s">
        <v>7</v>
      </c>
      <c r="V415" s="136">
        <f>VLOOKUP(tbl_IO_List[[#This Row],[I/O Type]],tbl_Slot_Group[],2,FALSE)</f>
        <v>2</v>
      </c>
      <c r="W415" s="136">
        <v>0</v>
      </c>
      <c r="X415" s="136" t="str">
        <f>tbl_IO_List[[#This Row],[Chassis]]&amp;"S"&amp;TEXT(tbl_IO_List[[#This Row],[Slot]],"00")</f>
        <v>C2S06</v>
      </c>
      <c r="Y415" s="136" t="str">
        <f>tbl_IO_List[[#This Row],[Chassis]]&amp;"S"&amp;TEXT(tbl_IO_List[[#This Row],[Slot]],"00")&amp;tbl_IO_List[[#This Row],[I/O Type]]&amp;TEXT(tbl_IO_List[[#This Row],[Point]],"00")</f>
        <v>C2S06DO24</v>
      </c>
      <c r="Z415" s="136" t="str">
        <f>tbl_IO_List[[#This Row],[Chassis]]&amp;"S"&amp;TEXT(tbl_IO_List[[#This Row],[Slot]],"00")&amp;","&amp;TEXT(tbl_IO_List[[#This Row],[Point]],"00")</f>
        <v>C2S06,24</v>
      </c>
      <c r="AA415" s="136" t="str">
        <f>VLOOKUP(tbl_IO_List[[#This Row],[Column23]],tbl_RackConfig[],5,FALSE) &amp;"-"&amp;tbl_IO_List[[#This Row],[Point]]</f>
        <v>1756-OB32-24</v>
      </c>
      <c r="AB415" s="136"/>
      <c r="AC415" s="136"/>
      <c r="AD415" s="136" t="str">
        <f>tbl_IO_List[[#This Row],[I/O Type]]</f>
        <v>DO</v>
      </c>
      <c r="AE415" s="136" t="s">
        <v>1333</v>
      </c>
      <c r="AF415" s="136">
        <v>6</v>
      </c>
      <c r="AG415" s="136">
        <v>24</v>
      </c>
      <c r="AH415" s="136">
        <v>25</v>
      </c>
      <c r="AI415" s="136">
        <v>27</v>
      </c>
      <c r="AJ415" s="136">
        <v>0</v>
      </c>
      <c r="AK415" s="136">
        <v>1</v>
      </c>
      <c r="AL415" s="136">
        <v>0</v>
      </c>
      <c r="AM415" s="136">
        <v>0</v>
      </c>
      <c r="AN415" s="136">
        <v>0</v>
      </c>
      <c r="AO415" s="136"/>
      <c r="AP415" s="143"/>
      <c r="AQ415" s="143" t="str">
        <f>tbl_IO_List[[#This Row],[Chassis]]&amp;"S"&amp;tbl_IO_List[[#This Row],[Slot]]&amp;"-"&amp;tbl_IO_List[[#This Row],[Front Terminal Number]]</f>
        <v>C2S6-27</v>
      </c>
      <c r="AR415" s="141" t="s">
        <v>1866</v>
      </c>
      <c r="AS415" s="136" t="str">
        <f>tbl_IO_List[[#This Row],[Terminal Tagging]]&amp;"-"&amp;tbl_IO_List[[#This Row],[Point-Count]]</f>
        <v>P2-TBRL1-25</v>
      </c>
      <c r="AT415" s="136" t="str">
        <f>tbl_IO_List[[#This Row],[Front Terminal Tagging]]&amp;"/"&amp;tbl_IO_List[[#This Row],[Terminal Tagging-Item]]</f>
        <v>C2S6-27/P2-TBRL1-25</v>
      </c>
      <c r="AU415" s="136" t="str">
        <f>tbl_IO_List[[#This Row],[Terminal Tagging-Item]]&amp;"/"&amp;tbl_IO_List[[#This Row],[Front Terminal Tagging]]</f>
        <v>P2-TBRL1-25/C2S6-27</v>
      </c>
    </row>
    <row r="416" spans="1:47">
      <c r="A416" s="147" t="s">
        <v>1367</v>
      </c>
      <c r="B416" s="136" t="s">
        <v>221</v>
      </c>
      <c r="C416" s="136" t="str">
        <f>tbl_IO_List[[#This Row],[Column3]]</f>
        <v>C2S06,25</v>
      </c>
      <c r="D416" s="136" t="str">
        <f>tbl_IO_List[[#This Row],[Card]]</f>
        <v>1756-OB32-25</v>
      </c>
      <c r="E416" s="136" t="s">
        <v>1372</v>
      </c>
      <c r="F416" s="136" t="str">
        <f>tbl_IO_List[[#This Row],[Column23]]&amp;"-" &amp;tbl_IO_List[[#This Row],[Column52]]</f>
        <v>C2S06-X2</v>
      </c>
      <c r="G416" s="136" t="str">
        <f>tbl_IO_List[[#This Row],[PLC_Tag]]</f>
        <v>Spare_DO_0</v>
      </c>
      <c r="H416" s="136"/>
      <c r="I416" s="136" t="str">
        <f>VLOOKUP(tbl_IO_List[[#This Row],[Destination]],tbl_Junction[],2,FALSE)</f>
        <v>Spray Dryer 3rd Floor</v>
      </c>
      <c r="J416" s="136" t="s">
        <v>221</v>
      </c>
      <c r="K416" s="136" t="s">
        <v>14</v>
      </c>
      <c r="L416" s="136" t="s">
        <v>411</v>
      </c>
      <c r="M416" s="136" t="e">
        <f>VLOOKUP(tbl_IO_List[[#This Row],[Instruement Tag]],tbl_Instruement_List[],2,FALSE)</f>
        <v>#N/A</v>
      </c>
      <c r="N416" s="136"/>
      <c r="O416" s="136"/>
      <c r="P416" s="136"/>
      <c r="Q416" s="136" t="e">
        <f>VLOOKUP(tbl_IO_List[[#This Row],[Instruement Tag]],tbl_Instruement_List[],6,FALSE)</f>
        <v>#N/A</v>
      </c>
      <c r="R416" s="136"/>
      <c r="S41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416" s="136" t="str">
        <f>tbl_IO_List[[#This Row],[Instruement Tag]]&amp;"_"&amp;tbl_IO_List[[#This Row],[I/O Type]]&amp;"_"&amp;tbl_IO_List[[#This Row],[IO-Point 
(Instruement)]]</f>
        <v>Spare_DO_0</v>
      </c>
      <c r="U416" s="136" t="s">
        <v>7</v>
      </c>
      <c r="V416" s="136">
        <f>VLOOKUP(tbl_IO_List[[#This Row],[I/O Type]],tbl_Slot_Group[],2,FALSE)</f>
        <v>2</v>
      </c>
      <c r="W416" s="136">
        <v>0</v>
      </c>
      <c r="X416" s="136" t="str">
        <f>tbl_IO_List[[#This Row],[Chassis]]&amp;"S"&amp;TEXT(tbl_IO_List[[#This Row],[Slot]],"00")</f>
        <v>C2S06</v>
      </c>
      <c r="Y416" s="136" t="str">
        <f>tbl_IO_List[[#This Row],[Chassis]]&amp;"S"&amp;TEXT(tbl_IO_List[[#This Row],[Slot]],"00")&amp;tbl_IO_List[[#This Row],[I/O Type]]&amp;TEXT(tbl_IO_List[[#This Row],[Point]],"00")</f>
        <v>C2S06DO25</v>
      </c>
      <c r="Z416" s="136" t="str">
        <f>tbl_IO_List[[#This Row],[Chassis]]&amp;"S"&amp;TEXT(tbl_IO_List[[#This Row],[Slot]],"00")&amp;","&amp;TEXT(tbl_IO_List[[#This Row],[Point]],"00")</f>
        <v>C2S06,25</v>
      </c>
      <c r="AA416" s="136" t="str">
        <f>VLOOKUP(tbl_IO_List[[#This Row],[Column23]],tbl_RackConfig[],5,FALSE) &amp;"-"&amp;tbl_IO_List[[#This Row],[Point]]</f>
        <v>1756-OB32-25</v>
      </c>
      <c r="AB416" s="136"/>
      <c r="AC416" s="136"/>
      <c r="AD416" s="136" t="str">
        <f>tbl_IO_List[[#This Row],[I/O Type]]</f>
        <v>DO</v>
      </c>
      <c r="AE416" s="136" t="s">
        <v>1333</v>
      </c>
      <c r="AF416" s="136">
        <v>6</v>
      </c>
      <c r="AG416" s="136">
        <v>25</v>
      </c>
      <c r="AH416" s="136">
        <v>26</v>
      </c>
      <c r="AI416" s="136">
        <v>28</v>
      </c>
      <c r="AJ416" s="136">
        <v>0</v>
      </c>
      <c r="AK416" s="136">
        <v>1</v>
      </c>
      <c r="AL416" s="136">
        <v>0</v>
      </c>
      <c r="AM416" s="136">
        <v>0</v>
      </c>
      <c r="AN416" s="136">
        <v>0</v>
      </c>
      <c r="AO416" s="136"/>
      <c r="AP416" s="143"/>
      <c r="AQ416" s="143" t="str">
        <f>tbl_IO_List[[#This Row],[Chassis]]&amp;"S"&amp;tbl_IO_List[[#This Row],[Slot]]&amp;"-"&amp;tbl_IO_List[[#This Row],[Front Terminal Number]]</f>
        <v>C2S6-28</v>
      </c>
      <c r="AR416" s="141" t="s">
        <v>1866</v>
      </c>
      <c r="AS416" s="136" t="str">
        <f>tbl_IO_List[[#This Row],[Terminal Tagging]]&amp;"-"&amp;tbl_IO_List[[#This Row],[Point-Count]]</f>
        <v>P2-TBRL1-26</v>
      </c>
      <c r="AT416" s="136" t="str">
        <f>tbl_IO_List[[#This Row],[Front Terminal Tagging]]&amp;"/"&amp;tbl_IO_List[[#This Row],[Terminal Tagging-Item]]</f>
        <v>C2S6-28/P2-TBRL1-26</v>
      </c>
      <c r="AU416" s="136" t="str">
        <f>tbl_IO_List[[#This Row],[Terminal Tagging-Item]]&amp;"/"&amp;tbl_IO_List[[#This Row],[Front Terminal Tagging]]</f>
        <v>P2-TBRL1-26/C2S6-28</v>
      </c>
    </row>
    <row r="417" spans="1:47">
      <c r="A417" s="147" t="s">
        <v>1367</v>
      </c>
      <c r="B417" s="136" t="s">
        <v>221</v>
      </c>
      <c r="C417" s="136" t="str">
        <f>tbl_IO_List[[#This Row],[Column3]]</f>
        <v>C2S06,26</v>
      </c>
      <c r="D417" s="136" t="str">
        <f>tbl_IO_List[[#This Row],[Card]]</f>
        <v>1756-OB32-26</v>
      </c>
      <c r="E417" s="136" t="s">
        <v>1372</v>
      </c>
      <c r="F417" s="136" t="str">
        <f>tbl_IO_List[[#This Row],[Column23]]&amp;"-" &amp;tbl_IO_List[[#This Row],[Column52]]</f>
        <v>C2S06-X2</v>
      </c>
      <c r="G417" s="136" t="str">
        <f>tbl_IO_List[[#This Row],[PLC_Tag]]</f>
        <v>Spare_DO_0</v>
      </c>
      <c r="H417" s="136"/>
      <c r="I417" s="136" t="str">
        <f>VLOOKUP(tbl_IO_List[[#This Row],[Destination]],tbl_Junction[],2,FALSE)</f>
        <v>Spray Dryer 3rd Floor</v>
      </c>
      <c r="J417" s="136" t="s">
        <v>221</v>
      </c>
      <c r="K417" s="136" t="s">
        <v>14</v>
      </c>
      <c r="L417" s="136" t="s">
        <v>411</v>
      </c>
      <c r="M417" s="136" t="e">
        <f>VLOOKUP(tbl_IO_List[[#This Row],[Instruement Tag]],tbl_Instruement_List[],2,FALSE)</f>
        <v>#N/A</v>
      </c>
      <c r="N417" s="136"/>
      <c r="O417" s="136"/>
      <c r="P417" s="136"/>
      <c r="Q417" s="136" t="e">
        <f>VLOOKUP(tbl_IO_List[[#This Row],[Instruement Tag]],tbl_Instruement_List[],6,FALSE)</f>
        <v>#N/A</v>
      </c>
      <c r="R417" s="136"/>
      <c r="S41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417" s="136" t="str">
        <f>tbl_IO_List[[#This Row],[Instruement Tag]]&amp;"_"&amp;tbl_IO_List[[#This Row],[I/O Type]]&amp;"_"&amp;tbl_IO_List[[#This Row],[IO-Point 
(Instruement)]]</f>
        <v>Spare_DO_0</v>
      </c>
      <c r="U417" s="136" t="s">
        <v>7</v>
      </c>
      <c r="V417" s="136">
        <f>VLOOKUP(tbl_IO_List[[#This Row],[I/O Type]],tbl_Slot_Group[],2,FALSE)</f>
        <v>2</v>
      </c>
      <c r="W417" s="136">
        <v>0</v>
      </c>
      <c r="X417" s="136" t="str">
        <f>tbl_IO_List[[#This Row],[Chassis]]&amp;"S"&amp;TEXT(tbl_IO_List[[#This Row],[Slot]],"00")</f>
        <v>C2S06</v>
      </c>
      <c r="Y417" s="136" t="str">
        <f>tbl_IO_List[[#This Row],[Chassis]]&amp;"S"&amp;TEXT(tbl_IO_List[[#This Row],[Slot]],"00")&amp;tbl_IO_List[[#This Row],[I/O Type]]&amp;TEXT(tbl_IO_List[[#This Row],[Point]],"00")</f>
        <v>C2S06DO26</v>
      </c>
      <c r="Z417" s="136" t="str">
        <f>tbl_IO_List[[#This Row],[Chassis]]&amp;"S"&amp;TEXT(tbl_IO_List[[#This Row],[Slot]],"00")&amp;","&amp;TEXT(tbl_IO_List[[#This Row],[Point]],"00")</f>
        <v>C2S06,26</v>
      </c>
      <c r="AA417" s="136" t="str">
        <f>VLOOKUP(tbl_IO_List[[#This Row],[Column23]],tbl_RackConfig[],5,FALSE) &amp;"-"&amp;tbl_IO_List[[#This Row],[Point]]</f>
        <v>1756-OB32-26</v>
      </c>
      <c r="AB417" s="136"/>
      <c r="AC417" s="136"/>
      <c r="AD417" s="136" t="str">
        <f>tbl_IO_List[[#This Row],[I/O Type]]</f>
        <v>DO</v>
      </c>
      <c r="AE417" s="136" t="s">
        <v>1333</v>
      </c>
      <c r="AF417" s="136">
        <v>6</v>
      </c>
      <c r="AG417" s="136">
        <v>26</v>
      </c>
      <c r="AH417" s="136">
        <v>27</v>
      </c>
      <c r="AI417" s="136">
        <v>29</v>
      </c>
      <c r="AJ417" s="136">
        <v>0</v>
      </c>
      <c r="AK417" s="136">
        <v>1</v>
      </c>
      <c r="AL417" s="136">
        <v>0</v>
      </c>
      <c r="AM417" s="136">
        <v>0</v>
      </c>
      <c r="AN417" s="136">
        <v>0</v>
      </c>
      <c r="AO417" s="136"/>
      <c r="AP417" s="143"/>
      <c r="AQ417" s="143" t="str">
        <f>tbl_IO_List[[#This Row],[Chassis]]&amp;"S"&amp;tbl_IO_List[[#This Row],[Slot]]&amp;"-"&amp;tbl_IO_List[[#This Row],[Front Terminal Number]]</f>
        <v>C2S6-29</v>
      </c>
      <c r="AR417" s="141" t="s">
        <v>1866</v>
      </c>
      <c r="AS417" s="136" t="str">
        <f>tbl_IO_List[[#This Row],[Terminal Tagging]]&amp;"-"&amp;tbl_IO_List[[#This Row],[Point-Count]]</f>
        <v>P2-TBRL1-27</v>
      </c>
      <c r="AT417" s="136" t="str">
        <f>tbl_IO_List[[#This Row],[Front Terminal Tagging]]&amp;"/"&amp;tbl_IO_List[[#This Row],[Terminal Tagging-Item]]</f>
        <v>C2S6-29/P2-TBRL1-27</v>
      </c>
      <c r="AU417" s="136" t="str">
        <f>tbl_IO_List[[#This Row],[Terminal Tagging-Item]]&amp;"/"&amp;tbl_IO_List[[#This Row],[Front Terminal Tagging]]</f>
        <v>P2-TBRL1-27/C2S6-29</v>
      </c>
    </row>
    <row r="418" spans="1:47">
      <c r="A418" s="147" t="s">
        <v>1367</v>
      </c>
      <c r="B418" s="136" t="s">
        <v>221</v>
      </c>
      <c r="C418" s="136" t="str">
        <f>tbl_IO_List[[#This Row],[Column3]]</f>
        <v>C2S06,27</v>
      </c>
      <c r="D418" s="136" t="str">
        <f>tbl_IO_List[[#This Row],[Card]]</f>
        <v>1756-OB32-27</v>
      </c>
      <c r="E418" s="136" t="s">
        <v>1372</v>
      </c>
      <c r="F418" s="136" t="str">
        <f>tbl_IO_List[[#This Row],[Column23]]&amp;"-" &amp;tbl_IO_List[[#This Row],[Column52]]</f>
        <v>C2S06-X2</v>
      </c>
      <c r="G418" s="136" t="str">
        <f>tbl_IO_List[[#This Row],[PLC_Tag]]</f>
        <v>Spare_DO_0</v>
      </c>
      <c r="H418" s="136"/>
      <c r="I418" s="136" t="str">
        <f>VLOOKUP(tbl_IO_List[[#This Row],[Destination]],tbl_Junction[],2,FALSE)</f>
        <v>Spray Dryer 3rd Floor</v>
      </c>
      <c r="J418" s="136" t="s">
        <v>221</v>
      </c>
      <c r="K418" s="136" t="s">
        <v>14</v>
      </c>
      <c r="L418" s="136" t="s">
        <v>411</v>
      </c>
      <c r="M418" s="136" t="e">
        <f>VLOOKUP(tbl_IO_List[[#This Row],[Instruement Tag]],tbl_Instruement_List[],2,FALSE)</f>
        <v>#N/A</v>
      </c>
      <c r="N418" s="136"/>
      <c r="O418" s="136"/>
      <c r="P418" s="136"/>
      <c r="Q418" s="136" t="e">
        <f>VLOOKUP(tbl_IO_List[[#This Row],[Instruement Tag]],tbl_Instruement_List[],6,FALSE)</f>
        <v>#N/A</v>
      </c>
      <c r="R418" s="136"/>
      <c r="S41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418" s="136" t="str">
        <f>tbl_IO_List[[#This Row],[Instruement Tag]]&amp;"_"&amp;tbl_IO_List[[#This Row],[I/O Type]]&amp;"_"&amp;tbl_IO_List[[#This Row],[IO-Point 
(Instruement)]]</f>
        <v>Spare_DO_0</v>
      </c>
      <c r="U418" s="136" t="s">
        <v>7</v>
      </c>
      <c r="V418" s="136">
        <f>VLOOKUP(tbl_IO_List[[#This Row],[I/O Type]],tbl_Slot_Group[],2,FALSE)</f>
        <v>2</v>
      </c>
      <c r="W418" s="136">
        <v>0</v>
      </c>
      <c r="X418" s="136" t="str">
        <f>tbl_IO_List[[#This Row],[Chassis]]&amp;"S"&amp;TEXT(tbl_IO_List[[#This Row],[Slot]],"00")</f>
        <v>C2S06</v>
      </c>
      <c r="Y418" s="136" t="str">
        <f>tbl_IO_List[[#This Row],[Chassis]]&amp;"S"&amp;TEXT(tbl_IO_List[[#This Row],[Slot]],"00")&amp;tbl_IO_List[[#This Row],[I/O Type]]&amp;TEXT(tbl_IO_List[[#This Row],[Point]],"00")</f>
        <v>C2S06DO27</v>
      </c>
      <c r="Z418" s="136" t="str">
        <f>tbl_IO_List[[#This Row],[Chassis]]&amp;"S"&amp;TEXT(tbl_IO_List[[#This Row],[Slot]],"00")&amp;","&amp;TEXT(tbl_IO_List[[#This Row],[Point]],"00")</f>
        <v>C2S06,27</v>
      </c>
      <c r="AA418" s="136" t="str">
        <f>VLOOKUP(tbl_IO_List[[#This Row],[Column23]],tbl_RackConfig[],5,FALSE) &amp;"-"&amp;tbl_IO_List[[#This Row],[Point]]</f>
        <v>1756-OB32-27</v>
      </c>
      <c r="AB418" s="136"/>
      <c r="AC418" s="136"/>
      <c r="AD418" s="136" t="str">
        <f>tbl_IO_List[[#This Row],[I/O Type]]</f>
        <v>DO</v>
      </c>
      <c r="AE418" s="136" t="s">
        <v>1333</v>
      </c>
      <c r="AF418" s="136">
        <v>6</v>
      </c>
      <c r="AG418" s="136">
        <v>27</v>
      </c>
      <c r="AH418" s="136">
        <v>28</v>
      </c>
      <c r="AI418" s="136">
        <v>30</v>
      </c>
      <c r="AJ418" s="136">
        <v>0</v>
      </c>
      <c r="AK418" s="136">
        <v>1</v>
      </c>
      <c r="AL418" s="136">
        <v>0</v>
      </c>
      <c r="AM418" s="136">
        <v>0</v>
      </c>
      <c r="AN418" s="136">
        <v>0</v>
      </c>
      <c r="AO418" s="136"/>
      <c r="AP418" s="143" t="e">
        <f>VLOOKUP(tbl_IO_List[[#This Row],[Instruement Tag]],tbl_Instruement_List[],14,FALSE)</f>
        <v>#N/A</v>
      </c>
      <c r="AQ418" s="143" t="str">
        <f>tbl_IO_List[[#This Row],[Chassis]]&amp;"S"&amp;tbl_IO_List[[#This Row],[Slot]]&amp;"-"&amp;tbl_IO_List[[#This Row],[Front Terminal Number]]</f>
        <v>C2S6-30</v>
      </c>
      <c r="AR418" s="141" t="s">
        <v>1866</v>
      </c>
      <c r="AS418" s="136" t="str">
        <f>tbl_IO_List[[#This Row],[Terminal Tagging]]&amp;"-"&amp;tbl_IO_List[[#This Row],[Point-Count]]</f>
        <v>P2-TBRL1-28</v>
      </c>
      <c r="AT418" s="136" t="str">
        <f>tbl_IO_List[[#This Row],[Front Terminal Tagging]]&amp;"/"&amp;tbl_IO_List[[#This Row],[Terminal Tagging-Item]]</f>
        <v>C2S6-30/P2-TBRL1-28</v>
      </c>
      <c r="AU418" s="136" t="str">
        <f>tbl_IO_List[[#This Row],[Terminal Tagging-Item]]&amp;"/"&amp;tbl_IO_List[[#This Row],[Front Terminal Tagging]]</f>
        <v>P2-TBRL1-28/C2S6-30</v>
      </c>
    </row>
    <row r="419" spans="1:47">
      <c r="A419" s="147" t="s">
        <v>1367</v>
      </c>
      <c r="B419" s="136" t="s">
        <v>221</v>
      </c>
      <c r="C419" s="136" t="str">
        <f>tbl_IO_List[[#This Row],[Column3]]</f>
        <v>C2S06,28</v>
      </c>
      <c r="D419" s="136" t="str">
        <f>tbl_IO_List[[#This Row],[Card]]</f>
        <v>1756-OB32-28</v>
      </c>
      <c r="E419" s="136" t="s">
        <v>1372</v>
      </c>
      <c r="F419" s="136" t="str">
        <f>tbl_IO_List[[#This Row],[Column23]]&amp;"-" &amp;tbl_IO_List[[#This Row],[Column52]]</f>
        <v>C2S06-X2</v>
      </c>
      <c r="G419" s="136" t="str">
        <f>tbl_IO_List[[#This Row],[PLC_Tag]]</f>
        <v>Spare_DO_0</v>
      </c>
      <c r="H419" s="136"/>
      <c r="I419" s="136" t="str">
        <f>VLOOKUP(tbl_IO_List[[#This Row],[Destination]],tbl_Junction[],2,FALSE)</f>
        <v>Spray Dryer 3rd Floor</v>
      </c>
      <c r="J419" s="136" t="s">
        <v>221</v>
      </c>
      <c r="K419" s="136" t="s">
        <v>14</v>
      </c>
      <c r="L419" s="136" t="s">
        <v>411</v>
      </c>
      <c r="M419" s="136" t="e">
        <f>VLOOKUP(tbl_IO_List[[#This Row],[Instruement Tag]],tbl_Instruement_List[],2,FALSE)</f>
        <v>#N/A</v>
      </c>
      <c r="N419" s="136"/>
      <c r="O419" s="136"/>
      <c r="P419" s="136"/>
      <c r="Q419" s="136" t="e">
        <f>VLOOKUP(tbl_IO_List[[#This Row],[Instruement Tag]],tbl_Instruement_List[],6,FALSE)</f>
        <v>#N/A</v>
      </c>
      <c r="R419" s="136"/>
      <c r="S41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419" s="136" t="str">
        <f>tbl_IO_List[[#This Row],[Instruement Tag]]&amp;"_"&amp;tbl_IO_List[[#This Row],[I/O Type]]&amp;"_"&amp;tbl_IO_List[[#This Row],[IO-Point 
(Instruement)]]</f>
        <v>Spare_DO_0</v>
      </c>
      <c r="U419" s="136" t="s">
        <v>7</v>
      </c>
      <c r="V419" s="136">
        <f>VLOOKUP(tbl_IO_List[[#This Row],[I/O Type]],tbl_Slot_Group[],2,FALSE)</f>
        <v>2</v>
      </c>
      <c r="W419" s="136">
        <v>0</v>
      </c>
      <c r="X419" s="136" t="str">
        <f>tbl_IO_List[[#This Row],[Chassis]]&amp;"S"&amp;TEXT(tbl_IO_List[[#This Row],[Slot]],"00")</f>
        <v>C2S06</v>
      </c>
      <c r="Y419" s="136" t="str">
        <f>tbl_IO_List[[#This Row],[Chassis]]&amp;"S"&amp;TEXT(tbl_IO_List[[#This Row],[Slot]],"00")&amp;tbl_IO_List[[#This Row],[I/O Type]]&amp;TEXT(tbl_IO_List[[#This Row],[Point]],"00")</f>
        <v>C2S06DO28</v>
      </c>
      <c r="Z419" s="136" t="str">
        <f>tbl_IO_List[[#This Row],[Chassis]]&amp;"S"&amp;TEXT(tbl_IO_List[[#This Row],[Slot]],"00")&amp;","&amp;TEXT(tbl_IO_List[[#This Row],[Point]],"00")</f>
        <v>C2S06,28</v>
      </c>
      <c r="AA419" s="136" t="str">
        <f>VLOOKUP(tbl_IO_List[[#This Row],[Column23]],tbl_RackConfig[],5,FALSE) &amp;"-"&amp;tbl_IO_List[[#This Row],[Point]]</f>
        <v>1756-OB32-28</v>
      </c>
      <c r="AB419" s="136"/>
      <c r="AC419" s="136"/>
      <c r="AD419" s="136" t="str">
        <f>tbl_IO_List[[#This Row],[I/O Type]]</f>
        <v>DO</v>
      </c>
      <c r="AE419" s="136" t="s">
        <v>1333</v>
      </c>
      <c r="AF419" s="136">
        <v>6</v>
      </c>
      <c r="AG419" s="136">
        <v>28</v>
      </c>
      <c r="AH419" s="136">
        <v>29</v>
      </c>
      <c r="AI419" s="136">
        <v>31</v>
      </c>
      <c r="AJ419" s="136">
        <v>0</v>
      </c>
      <c r="AK419" s="136">
        <v>1</v>
      </c>
      <c r="AL419" s="136">
        <v>0</v>
      </c>
      <c r="AM419" s="136">
        <v>0</v>
      </c>
      <c r="AN419" s="136">
        <v>0</v>
      </c>
      <c r="AO419" s="136"/>
      <c r="AP419" s="143" t="e">
        <f>VLOOKUP(tbl_IO_List[[#This Row],[Instruement Tag]],tbl_Instruement_List[],14,FALSE)</f>
        <v>#N/A</v>
      </c>
      <c r="AQ419" s="143" t="str">
        <f>tbl_IO_List[[#This Row],[Chassis]]&amp;"S"&amp;tbl_IO_List[[#This Row],[Slot]]&amp;"-"&amp;tbl_IO_List[[#This Row],[Front Terminal Number]]</f>
        <v>C2S6-31</v>
      </c>
      <c r="AR419" s="141" t="s">
        <v>1866</v>
      </c>
      <c r="AS419" s="136" t="str">
        <f>tbl_IO_List[[#This Row],[Terminal Tagging]]&amp;"-"&amp;tbl_IO_List[[#This Row],[Point-Count]]</f>
        <v>P2-TBRL1-29</v>
      </c>
      <c r="AT419" s="136" t="str">
        <f>tbl_IO_List[[#This Row],[Front Terminal Tagging]]&amp;"/"&amp;tbl_IO_List[[#This Row],[Terminal Tagging-Item]]</f>
        <v>C2S6-31/P2-TBRL1-29</v>
      </c>
      <c r="AU419" s="136" t="str">
        <f>tbl_IO_List[[#This Row],[Terminal Tagging-Item]]&amp;"/"&amp;tbl_IO_List[[#This Row],[Front Terminal Tagging]]</f>
        <v>P2-TBRL1-29/C2S6-31</v>
      </c>
    </row>
    <row r="420" spans="1:47">
      <c r="A420" s="147" t="s">
        <v>1367</v>
      </c>
      <c r="B420" s="136" t="s">
        <v>221</v>
      </c>
      <c r="C420" s="136" t="str">
        <f>tbl_IO_List[[#This Row],[Column3]]</f>
        <v>C2S06,29</v>
      </c>
      <c r="D420" s="136" t="str">
        <f>tbl_IO_List[[#This Row],[Card]]</f>
        <v>1756-OB32-29</v>
      </c>
      <c r="E420" s="136" t="s">
        <v>1372</v>
      </c>
      <c r="F420" s="136" t="str">
        <f>tbl_IO_List[[#This Row],[Column23]]&amp;"-" &amp;tbl_IO_List[[#This Row],[Column52]]</f>
        <v>C2S06-X2</v>
      </c>
      <c r="G420" s="136" t="str">
        <f>tbl_IO_List[[#This Row],[PLC_Tag]]</f>
        <v>Spare_DO_0</v>
      </c>
      <c r="H420" s="136"/>
      <c r="I420" s="136" t="str">
        <f>VLOOKUP(tbl_IO_List[[#This Row],[Destination]],tbl_Junction[],2,FALSE)</f>
        <v>Spray Dryer 3rd Floor</v>
      </c>
      <c r="J420" s="136" t="s">
        <v>221</v>
      </c>
      <c r="K420" s="136" t="s">
        <v>14</v>
      </c>
      <c r="L420" s="136" t="s">
        <v>411</v>
      </c>
      <c r="M420" s="136" t="e">
        <f>VLOOKUP(tbl_IO_List[[#This Row],[Instruement Tag]],tbl_Instruement_List[],2,FALSE)</f>
        <v>#N/A</v>
      </c>
      <c r="N420" s="136"/>
      <c r="O420" s="136"/>
      <c r="P420" s="136"/>
      <c r="Q420" s="136" t="e">
        <f>VLOOKUP(tbl_IO_List[[#This Row],[Instruement Tag]],tbl_Instruement_List[],6,FALSE)</f>
        <v>#N/A</v>
      </c>
      <c r="R420" s="136"/>
      <c r="S42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420" s="136" t="str">
        <f>tbl_IO_List[[#This Row],[Instruement Tag]]&amp;"_"&amp;tbl_IO_List[[#This Row],[I/O Type]]&amp;"_"&amp;tbl_IO_List[[#This Row],[IO-Point 
(Instruement)]]</f>
        <v>Spare_DO_0</v>
      </c>
      <c r="U420" s="136" t="s">
        <v>7</v>
      </c>
      <c r="V420" s="136">
        <f>VLOOKUP(tbl_IO_List[[#This Row],[I/O Type]],tbl_Slot_Group[],2,FALSE)</f>
        <v>2</v>
      </c>
      <c r="W420" s="136">
        <v>0</v>
      </c>
      <c r="X420" s="136" t="str">
        <f>tbl_IO_List[[#This Row],[Chassis]]&amp;"S"&amp;TEXT(tbl_IO_List[[#This Row],[Slot]],"00")</f>
        <v>C2S06</v>
      </c>
      <c r="Y420" s="136" t="str">
        <f>tbl_IO_List[[#This Row],[Chassis]]&amp;"S"&amp;TEXT(tbl_IO_List[[#This Row],[Slot]],"00")&amp;tbl_IO_List[[#This Row],[I/O Type]]&amp;TEXT(tbl_IO_List[[#This Row],[Point]],"00")</f>
        <v>C2S06DO29</v>
      </c>
      <c r="Z420" s="136" t="str">
        <f>tbl_IO_List[[#This Row],[Chassis]]&amp;"S"&amp;TEXT(tbl_IO_List[[#This Row],[Slot]],"00")&amp;","&amp;TEXT(tbl_IO_List[[#This Row],[Point]],"00")</f>
        <v>C2S06,29</v>
      </c>
      <c r="AA420" s="136" t="str">
        <f>VLOOKUP(tbl_IO_List[[#This Row],[Column23]],tbl_RackConfig[],5,FALSE) &amp;"-"&amp;tbl_IO_List[[#This Row],[Point]]</f>
        <v>1756-OB32-29</v>
      </c>
      <c r="AB420" s="136"/>
      <c r="AC420" s="136"/>
      <c r="AD420" s="136" t="str">
        <f>tbl_IO_List[[#This Row],[I/O Type]]</f>
        <v>DO</v>
      </c>
      <c r="AE420" s="136" t="s">
        <v>1333</v>
      </c>
      <c r="AF420" s="136">
        <v>6</v>
      </c>
      <c r="AG420" s="136">
        <v>29</v>
      </c>
      <c r="AH420" s="136">
        <v>30</v>
      </c>
      <c r="AI420" s="136">
        <v>32</v>
      </c>
      <c r="AJ420" s="136">
        <v>0</v>
      </c>
      <c r="AK420" s="136">
        <v>1</v>
      </c>
      <c r="AL420" s="136">
        <v>0</v>
      </c>
      <c r="AM420" s="136">
        <v>0</v>
      </c>
      <c r="AN420" s="136">
        <v>0</v>
      </c>
      <c r="AO420" s="136"/>
      <c r="AP420" s="143" t="e">
        <f>VLOOKUP(tbl_IO_List[[#This Row],[Instruement Tag]],tbl_Instruement_List[],14,FALSE)</f>
        <v>#N/A</v>
      </c>
      <c r="AQ420" s="143" t="str">
        <f>tbl_IO_List[[#This Row],[Chassis]]&amp;"S"&amp;tbl_IO_List[[#This Row],[Slot]]&amp;"-"&amp;tbl_IO_List[[#This Row],[Front Terminal Number]]</f>
        <v>C2S6-32</v>
      </c>
      <c r="AR420" s="141" t="s">
        <v>1866</v>
      </c>
      <c r="AS420" s="136" t="str">
        <f>tbl_IO_List[[#This Row],[Terminal Tagging]]&amp;"-"&amp;tbl_IO_List[[#This Row],[Point-Count]]</f>
        <v>P2-TBRL1-30</v>
      </c>
      <c r="AT420" s="136" t="str">
        <f>tbl_IO_List[[#This Row],[Front Terminal Tagging]]&amp;"/"&amp;tbl_IO_List[[#This Row],[Terminal Tagging-Item]]</f>
        <v>C2S6-32/P2-TBRL1-30</v>
      </c>
      <c r="AU420" s="136" t="str">
        <f>tbl_IO_List[[#This Row],[Terminal Tagging-Item]]&amp;"/"&amp;tbl_IO_List[[#This Row],[Front Terminal Tagging]]</f>
        <v>P2-TBRL1-30/C2S6-32</v>
      </c>
    </row>
    <row r="421" spans="1:47">
      <c r="A421" s="147" t="s">
        <v>1367</v>
      </c>
      <c r="B421" s="136" t="s">
        <v>221</v>
      </c>
      <c r="C421" s="136" t="str">
        <f>tbl_IO_List[[#This Row],[Column3]]</f>
        <v>C2S06,30</v>
      </c>
      <c r="D421" s="136" t="str">
        <f>tbl_IO_List[[#This Row],[Card]]</f>
        <v>1756-OB32-30</v>
      </c>
      <c r="E421" s="136" t="s">
        <v>1372</v>
      </c>
      <c r="F421" s="136" t="str">
        <f>tbl_IO_List[[#This Row],[Column23]]&amp;"-" &amp;tbl_IO_List[[#This Row],[Column52]]</f>
        <v>C2S06-X2</v>
      </c>
      <c r="G421" s="136" t="str">
        <f>tbl_IO_List[[#This Row],[PLC_Tag]]</f>
        <v>Spare_DO_0</v>
      </c>
      <c r="H421" s="136"/>
      <c r="I421" s="136" t="str">
        <f>VLOOKUP(tbl_IO_List[[#This Row],[Destination]],tbl_Junction[],2,FALSE)</f>
        <v>Spray Dryer 3rd Floor</v>
      </c>
      <c r="J421" s="136" t="s">
        <v>221</v>
      </c>
      <c r="K421" s="136" t="s">
        <v>14</v>
      </c>
      <c r="L421" s="136" t="s">
        <v>411</v>
      </c>
      <c r="M421" s="136" t="e">
        <f>VLOOKUP(tbl_IO_List[[#This Row],[Instruement Tag]],tbl_Instruement_List[],2,FALSE)</f>
        <v>#N/A</v>
      </c>
      <c r="N421" s="136"/>
      <c r="O421" s="136"/>
      <c r="P421" s="136"/>
      <c r="Q421" s="136" t="e">
        <f>VLOOKUP(tbl_IO_List[[#This Row],[Instruement Tag]],tbl_Instruement_List[],6,FALSE)</f>
        <v>#N/A</v>
      </c>
      <c r="R421" s="136"/>
      <c r="S42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421" s="136" t="str">
        <f>tbl_IO_List[[#This Row],[Instruement Tag]]&amp;"_"&amp;tbl_IO_List[[#This Row],[I/O Type]]&amp;"_"&amp;tbl_IO_List[[#This Row],[IO-Point 
(Instruement)]]</f>
        <v>Spare_DO_0</v>
      </c>
      <c r="U421" s="136" t="s">
        <v>7</v>
      </c>
      <c r="V421" s="136">
        <f>VLOOKUP(tbl_IO_List[[#This Row],[I/O Type]],tbl_Slot_Group[],2,FALSE)</f>
        <v>2</v>
      </c>
      <c r="W421" s="136">
        <v>0</v>
      </c>
      <c r="X421" s="136" t="str">
        <f>tbl_IO_List[[#This Row],[Chassis]]&amp;"S"&amp;TEXT(tbl_IO_List[[#This Row],[Slot]],"00")</f>
        <v>C2S06</v>
      </c>
      <c r="Y421" s="136" t="str">
        <f>tbl_IO_List[[#This Row],[Chassis]]&amp;"S"&amp;TEXT(tbl_IO_List[[#This Row],[Slot]],"00")&amp;tbl_IO_List[[#This Row],[I/O Type]]&amp;TEXT(tbl_IO_List[[#This Row],[Point]],"00")</f>
        <v>C2S06DO30</v>
      </c>
      <c r="Z421" s="136" t="str">
        <f>tbl_IO_List[[#This Row],[Chassis]]&amp;"S"&amp;TEXT(tbl_IO_List[[#This Row],[Slot]],"00")&amp;","&amp;TEXT(tbl_IO_List[[#This Row],[Point]],"00")</f>
        <v>C2S06,30</v>
      </c>
      <c r="AA421" s="136" t="str">
        <f>VLOOKUP(tbl_IO_List[[#This Row],[Column23]],tbl_RackConfig[],5,FALSE) &amp;"-"&amp;tbl_IO_List[[#This Row],[Point]]</f>
        <v>1756-OB32-30</v>
      </c>
      <c r="AB421" s="136"/>
      <c r="AC421" s="136"/>
      <c r="AD421" s="136" t="str">
        <f>tbl_IO_List[[#This Row],[I/O Type]]</f>
        <v>DO</v>
      </c>
      <c r="AE421" s="136" t="s">
        <v>1333</v>
      </c>
      <c r="AF421" s="136">
        <v>6</v>
      </c>
      <c r="AG421" s="136">
        <v>30</v>
      </c>
      <c r="AH421" s="136">
        <v>31</v>
      </c>
      <c r="AI421" s="136">
        <v>33</v>
      </c>
      <c r="AJ421" s="136">
        <v>0</v>
      </c>
      <c r="AK421" s="136">
        <v>1</v>
      </c>
      <c r="AL421" s="136">
        <v>0</v>
      </c>
      <c r="AM421" s="136">
        <v>0</v>
      </c>
      <c r="AN421" s="136">
        <v>0</v>
      </c>
      <c r="AO421" s="136"/>
      <c r="AP421" s="143" t="e">
        <f>VLOOKUP(tbl_IO_List[[#This Row],[Instruement Tag]],tbl_Instruement_List[],14,FALSE)</f>
        <v>#N/A</v>
      </c>
      <c r="AQ421" s="143" t="str">
        <f>tbl_IO_List[[#This Row],[Chassis]]&amp;"S"&amp;tbl_IO_List[[#This Row],[Slot]]&amp;"-"&amp;tbl_IO_List[[#This Row],[Front Terminal Number]]</f>
        <v>C2S6-33</v>
      </c>
      <c r="AR421" s="141" t="s">
        <v>1866</v>
      </c>
      <c r="AS421" s="136" t="str">
        <f>tbl_IO_List[[#This Row],[Terminal Tagging]]&amp;"-"&amp;tbl_IO_List[[#This Row],[Point-Count]]</f>
        <v>P2-TBRL1-31</v>
      </c>
      <c r="AT421" s="136" t="str">
        <f>tbl_IO_List[[#This Row],[Front Terminal Tagging]]&amp;"/"&amp;tbl_IO_List[[#This Row],[Terminal Tagging-Item]]</f>
        <v>C2S6-33/P2-TBRL1-31</v>
      </c>
      <c r="AU421" s="136" t="str">
        <f>tbl_IO_List[[#This Row],[Terminal Tagging-Item]]&amp;"/"&amp;tbl_IO_List[[#This Row],[Front Terminal Tagging]]</f>
        <v>P2-TBRL1-31/C2S6-33</v>
      </c>
    </row>
    <row r="422" spans="1:47">
      <c r="A422" s="147" t="s">
        <v>1367</v>
      </c>
      <c r="B422" s="136" t="s">
        <v>221</v>
      </c>
      <c r="C422" s="136" t="str">
        <f>tbl_IO_List[[#This Row],[Column3]]</f>
        <v>C2S06,31</v>
      </c>
      <c r="D422" s="136" t="str">
        <f>tbl_IO_List[[#This Row],[Card]]</f>
        <v>1756-OB32-31</v>
      </c>
      <c r="E422" s="136" t="s">
        <v>1372</v>
      </c>
      <c r="F422" s="136" t="str">
        <f>tbl_IO_List[[#This Row],[Column23]]&amp;"-" &amp;tbl_IO_List[[#This Row],[Column52]]</f>
        <v>C2S06-X2</v>
      </c>
      <c r="G422" s="136" t="str">
        <f>tbl_IO_List[[#This Row],[PLC_Tag]]</f>
        <v>Spare_DO_0</v>
      </c>
      <c r="H422" s="136"/>
      <c r="I422" s="136" t="str">
        <f>VLOOKUP(tbl_IO_List[[#This Row],[Destination]],tbl_Junction[],2,FALSE)</f>
        <v>Spray Dryer 3rd Floor</v>
      </c>
      <c r="J422" s="136" t="s">
        <v>221</v>
      </c>
      <c r="K422" s="136" t="s">
        <v>14</v>
      </c>
      <c r="L422" s="136" t="s">
        <v>411</v>
      </c>
      <c r="M422" s="136" t="e">
        <f>VLOOKUP(tbl_IO_List[[#This Row],[Instruement Tag]],tbl_Instruement_List[],2,FALSE)</f>
        <v>#N/A</v>
      </c>
      <c r="N422" s="136"/>
      <c r="O422" s="136"/>
      <c r="P422" s="136"/>
      <c r="Q422" s="136" t="e">
        <f>VLOOKUP(tbl_IO_List[[#This Row],[Instruement Tag]],tbl_Instruement_List[],6,FALSE)</f>
        <v>#N/A</v>
      </c>
      <c r="R422" s="136"/>
      <c r="S42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422" s="136" t="str">
        <f>tbl_IO_List[[#This Row],[Instruement Tag]]&amp;"_"&amp;tbl_IO_List[[#This Row],[I/O Type]]&amp;"_"&amp;tbl_IO_List[[#This Row],[IO-Point 
(Instruement)]]</f>
        <v>Spare_DO_0</v>
      </c>
      <c r="U422" s="136" t="s">
        <v>7</v>
      </c>
      <c r="V422" s="136">
        <f>VLOOKUP(tbl_IO_List[[#This Row],[I/O Type]],tbl_Slot_Group[],2,FALSE)</f>
        <v>2</v>
      </c>
      <c r="W422" s="136">
        <v>0</v>
      </c>
      <c r="X422" s="136" t="str">
        <f>tbl_IO_List[[#This Row],[Chassis]]&amp;"S"&amp;TEXT(tbl_IO_List[[#This Row],[Slot]],"00")</f>
        <v>C2S06</v>
      </c>
      <c r="Y422" s="136" t="str">
        <f>tbl_IO_List[[#This Row],[Chassis]]&amp;"S"&amp;TEXT(tbl_IO_List[[#This Row],[Slot]],"00")&amp;tbl_IO_List[[#This Row],[I/O Type]]&amp;TEXT(tbl_IO_List[[#This Row],[Point]],"00")</f>
        <v>C2S06DO31</v>
      </c>
      <c r="Z422" s="136" t="str">
        <f>tbl_IO_List[[#This Row],[Chassis]]&amp;"S"&amp;TEXT(tbl_IO_List[[#This Row],[Slot]],"00")&amp;","&amp;TEXT(tbl_IO_List[[#This Row],[Point]],"00")</f>
        <v>C2S06,31</v>
      </c>
      <c r="AA422" s="136" t="str">
        <f>VLOOKUP(tbl_IO_List[[#This Row],[Column23]],tbl_RackConfig[],5,FALSE) &amp;"-"&amp;tbl_IO_List[[#This Row],[Point]]</f>
        <v>1756-OB32-31</v>
      </c>
      <c r="AB422" s="136"/>
      <c r="AC422" s="136"/>
      <c r="AD422" s="136" t="str">
        <f>tbl_IO_List[[#This Row],[I/O Type]]</f>
        <v>DO</v>
      </c>
      <c r="AE422" s="136" t="s">
        <v>1333</v>
      </c>
      <c r="AF422" s="136">
        <v>6</v>
      </c>
      <c r="AG422" s="136">
        <v>31</v>
      </c>
      <c r="AH422" s="136">
        <v>32</v>
      </c>
      <c r="AI422" s="136">
        <v>34</v>
      </c>
      <c r="AJ422" s="136">
        <v>0</v>
      </c>
      <c r="AK422" s="136">
        <v>1</v>
      </c>
      <c r="AL422" s="136">
        <v>0</v>
      </c>
      <c r="AM422" s="136">
        <v>0</v>
      </c>
      <c r="AN422" s="136">
        <v>0</v>
      </c>
      <c r="AO422" s="136"/>
      <c r="AP422" s="143" t="e">
        <f>VLOOKUP(tbl_IO_List[[#This Row],[Instruement Tag]],tbl_Instruement_List[],14,FALSE)</f>
        <v>#N/A</v>
      </c>
      <c r="AQ422" s="143" t="str">
        <f>tbl_IO_List[[#This Row],[Chassis]]&amp;"S"&amp;tbl_IO_List[[#This Row],[Slot]]&amp;"-"&amp;tbl_IO_List[[#This Row],[Front Terminal Number]]</f>
        <v>C2S6-34</v>
      </c>
      <c r="AR422" s="141" t="s">
        <v>1866</v>
      </c>
      <c r="AS422" s="136" t="str">
        <f>tbl_IO_List[[#This Row],[Terminal Tagging]]&amp;"-"&amp;tbl_IO_List[[#This Row],[Point-Count]]</f>
        <v>P2-TBRL1-32</v>
      </c>
      <c r="AT422" s="136" t="str">
        <f>tbl_IO_List[[#This Row],[Front Terminal Tagging]]&amp;"/"&amp;tbl_IO_List[[#This Row],[Terminal Tagging-Item]]</f>
        <v>C2S6-34/P2-TBRL1-32</v>
      </c>
      <c r="AU422" s="136" t="str">
        <f>tbl_IO_List[[#This Row],[Terminal Tagging-Item]]&amp;"/"&amp;tbl_IO_List[[#This Row],[Front Terminal Tagging]]</f>
        <v>P2-TBRL1-32/C2S6-34</v>
      </c>
    </row>
    <row r="423" spans="1:47">
      <c r="A423" s="147" t="s">
        <v>1367</v>
      </c>
      <c r="B423" s="136" t="s">
        <v>270</v>
      </c>
      <c r="C423" s="136" t="str">
        <f>tbl_IO_List[[#This Row],[Column3]]</f>
        <v>C2S07,00</v>
      </c>
      <c r="D423" s="136" t="str">
        <f>tbl_IO_List[[#This Row],[Card]]</f>
        <v>1756-OB32-0</v>
      </c>
      <c r="E423" s="136" t="s">
        <v>1366</v>
      </c>
      <c r="F423" s="136" t="str">
        <f>tbl_IO_List[[#This Row],[Column23]]&amp;"-" &amp;tbl_IO_List[[#This Row],[Column52]]</f>
        <v>C2S07-X1</v>
      </c>
      <c r="G423" s="136" t="str">
        <f>tbl_IO_List[[#This Row],[PLC_Tag]]</f>
        <v>SV-60207_DO_1</v>
      </c>
      <c r="H423" s="136"/>
      <c r="I423" s="136" t="str">
        <f>VLOOKUP(tbl_IO_List[[#This Row],[Destination]],tbl_Junction[],2,FALSE)</f>
        <v>Spray Dryer 7th Floor</v>
      </c>
      <c r="J423" s="136" t="s">
        <v>270</v>
      </c>
      <c r="K423" s="136" t="s">
        <v>14</v>
      </c>
      <c r="L423" s="136" t="s">
        <v>297</v>
      </c>
      <c r="M423" s="136">
        <f>VLOOKUP(tbl_IO_List[[#This Row],[Instruement Tag]],tbl_Instruement_List[],2,FALSE)</f>
        <v>0</v>
      </c>
      <c r="N423" s="136" t="s">
        <v>95</v>
      </c>
      <c r="O423" s="136" t="s">
        <v>248</v>
      </c>
      <c r="P423" s="136" t="s">
        <v>249</v>
      </c>
      <c r="Q423" s="136" t="str">
        <f>VLOOKUP(tbl_IO_List[[#This Row],[Instruement Tag]],tbl_Instruement_List[],6,FALSE)</f>
        <v>Instr. Air On/Off Valve for Camera #4 (ACAM-21)</v>
      </c>
      <c r="R423" s="136"/>
      <c r="S42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423" s="136" t="str">
        <f>tbl_IO_List[[#This Row],[Instruement Tag]]&amp;"_"&amp;tbl_IO_List[[#This Row],[I/O Type]]&amp;"_"&amp;tbl_IO_List[[#This Row],[IO-Point 
(Instruement)]]</f>
        <v>SV-60207_DO_1</v>
      </c>
      <c r="U423" s="136" t="s">
        <v>7</v>
      </c>
      <c r="V423" s="136">
        <f>VLOOKUP(tbl_IO_List[[#This Row],[I/O Type]],tbl_Slot_Group[],2,FALSE)</f>
        <v>2</v>
      </c>
      <c r="W423" s="136">
        <v>1</v>
      </c>
      <c r="X423" s="136" t="str">
        <f>tbl_IO_List[[#This Row],[Chassis]]&amp;"S"&amp;TEXT(tbl_IO_List[[#This Row],[Slot]],"00")</f>
        <v>C2S07</v>
      </c>
      <c r="Y423" s="136" t="str">
        <f>tbl_IO_List[[#This Row],[Chassis]]&amp;"S"&amp;TEXT(tbl_IO_List[[#This Row],[Slot]],"00")&amp;tbl_IO_List[[#This Row],[I/O Type]]&amp;TEXT(tbl_IO_List[[#This Row],[Point]],"00")</f>
        <v>C2S07DO00</v>
      </c>
      <c r="Z423" s="136" t="str">
        <f>tbl_IO_List[[#This Row],[Chassis]]&amp;"S"&amp;TEXT(tbl_IO_List[[#This Row],[Slot]],"00")&amp;","&amp;TEXT(tbl_IO_List[[#This Row],[Point]],"00")</f>
        <v>C2S07,00</v>
      </c>
      <c r="AA423" s="136" t="str">
        <f>VLOOKUP(tbl_IO_List[[#This Row],[Column23]],tbl_RackConfig[],5,FALSE) &amp;"-"&amp;tbl_IO_List[[#This Row],[Point]]</f>
        <v>1756-OB32-0</v>
      </c>
      <c r="AB423" s="136"/>
      <c r="AC423" s="136"/>
      <c r="AD423" s="136" t="str">
        <f>tbl_IO_List[[#This Row],[I/O Type]]</f>
        <v>DO</v>
      </c>
      <c r="AE423" s="136" t="s">
        <v>1333</v>
      </c>
      <c r="AF423" s="136">
        <v>7</v>
      </c>
      <c r="AG423" s="136">
        <v>0</v>
      </c>
      <c r="AH423" s="136">
        <v>1</v>
      </c>
      <c r="AI423" s="136">
        <v>1</v>
      </c>
      <c r="AJ423" s="136">
        <v>2</v>
      </c>
      <c r="AK423" s="136">
        <v>1</v>
      </c>
      <c r="AL423" s="136">
        <v>0</v>
      </c>
      <c r="AM423" s="136">
        <v>0</v>
      </c>
      <c r="AN423" s="136">
        <v>0</v>
      </c>
      <c r="AO423" s="136"/>
      <c r="AP423" s="143" t="str">
        <f>VLOOKUP(tbl_IO_List[[#This Row],[Instruement Tag]],tbl_Instruement_List[],14,FALSE)</f>
        <v>24 VDC energized</v>
      </c>
      <c r="AQ423" s="143" t="str">
        <f>tbl_IO_List[[#This Row],[Chassis]]&amp;"S"&amp;tbl_IO_List[[#This Row],[Slot]]&amp;"-"&amp;tbl_IO_List[[#This Row],[Front Terminal Number]]</f>
        <v>C2S7-1</v>
      </c>
      <c r="AR423" s="141" t="s">
        <v>1867</v>
      </c>
      <c r="AS423" s="136" t="str">
        <f>tbl_IO_List[[#This Row],[Terminal Tagging]]&amp;"-"&amp;tbl_IO_List[[#This Row],[Point-Count]]</f>
        <v>P2-TBRL2-1</v>
      </c>
      <c r="AT423" s="136" t="str">
        <f>tbl_IO_List[[#This Row],[Front Terminal Tagging]]&amp;"/"&amp;tbl_IO_List[[#This Row],[Terminal Tagging-Item]]</f>
        <v>C2S7-1/P2-TBRL2-1</v>
      </c>
      <c r="AU423" s="136" t="str">
        <f>tbl_IO_List[[#This Row],[Terminal Tagging-Item]]&amp;"/"&amp;tbl_IO_List[[#This Row],[Front Terminal Tagging]]</f>
        <v>P2-TBRL2-1/C2S7-1</v>
      </c>
    </row>
    <row r="424" spans="1:47">
      <c r="A424" s="147" t="s">
        <v>1367</v>
      </c>
      <c r="B424" s="136" t="s">
        <v>270</v>
      </c>
      <c r="C424" s="136" t="str">
        <f>tbl_IO_List[[#This Row],[Column3]]</f>
        <v>C2S07,01</v>
      </c>
      <c r="D424" s="136" t="str">
        <f>tbl_IO_List[[#This Row],[Card]]</f>
        <v>1756-OB32-1</v>
      </c>
      <c r="E424" s="136" t="s">
        <v>1366</v>
      </c>
      <c r="F424" s="136" t="str">
        <f>tbl_IO_List[[#This Row],[Column23]]&amp;"-" &amp;tbl_IO_List[[#This Row],[Column52]]</f>
        <v>C2S07-X1</v>
      </c>
      <c r="G424" s="136" t="str">
        <f>tbl_IO_List[[#This Row],[PLC_Tag]]</f>
        <v>XS-FH-60210C_DO_1</v>
      </c>
      <c r="H424" s="136"/>
      <c r="I424" s="136" t="str">
        <f>VLOOKUP(tbl_IO_List[[#This Row],[Destination]],tbl_Junction[],2,FALSE)</f>
        <v>Spray Dryer 7th Floor</v>
      </c>
      <c r="J424" s="136" t="s">
        <v>270</v>
      </c>
      <c r="K424" s="136" t="s">
        <v>14</v>
      </c>
      <c r="L424" s="136" t="s">
        <v>1107</v>
      </c>
      <c r="M424" s="136">
        <f>VLOOKUP(tbl_IO_List[[#This Row],[Instruement Tag]],tbl_Instruement_List[],2,FALSE)</f>
        <v>0</v>
      </c>
      <c r="N424" s="136" t="s">
        <v>95</v>
      </c>
      <c r="O424" s="136" t="s">
        <v>331</v>
      </c>
      <c r="P424" s="136" t="s">
        <v>18</v>
      </c>
      <c r="Q424" s="136" t="str">
        <f>VLOOKUP(tbl_IO_List[[#This Row],[Instruement Tag]],tbl_Instruement_List[],6,FALSE)</f>
        <v>Command Remote Reset for AHTR-21</v>
      </c>
      <c r="R424" s="136"/>
      <c r="S42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424" s="136" t="str">
        <f>tbl_IO_List[[#This Row],[Instruement Tag]]&amp;"_"&amp;tbl_IO_List[[#This Row],[I/O Type]]&amp;"_"&amp;tbl_IO_List[[#This Row],[IO-Point 
(Instruement)]]</f>
        <v>XS-FH-60210C_DO_1</v>
      </c>
      <c r="U424" s="136" t="s">
        <v>7</v>
      </c>
      <c r="V424" s="136">
        <f>VLOOKUP(tbl_IO_List[[#This Row],[I/O Type]],tbl_Slot_Group[],2,FALSE)</f>
        <v>2</v>
      </c>
      <c r="W424" s="136">
        <v>1</v>
      </c>
      <c r="X424" s="136" t="str">
        <f>tbl_IO_List[[#This Row],[Chassis]]&amp;"S"&amp;TEXT(tbl_IO_List[[#This Row],[Slot]],"00")</f>
        <v>C2S07</v>
      </c>
      <c r="Y424" s="136" t="str">
        <f>tbl_IO_List[[#This Row],[Chassis]]&amp;"S"&amp;TEXT(tbl_IO_List[[#This Row],[Slot]],"00")&amp;tbl_IO_List[[#This Row],[I/O Type]]&amp;TEXT(tbl_IO_List[[#This Row],[Point]],"00")</f>
        <v>C2S07DO01</v>
      </c>
      <c r="Z424" s="136" t="str">
        <f>tbl_IO_List[[#This Row],[Chassis]]&amp;"S"&amp;TEXT(tbl_IO_List[[#This Row],[Slot]],"00")&amp;","&amp;TEXT(tbl_IO_List[[#This Row],[Point]],"00")</f>
        <v>C2S07,01</v>
      </c>
      <c r="AA424" s="136" t="str">
        <f>VLOOKUP(tbl_IO_List[[#This Row],[Column23]],tbl_RackConfig[],5,FALSE) &amp;"-"&amp;tbl_IO_List[[#This Row],[Point]]</f>
        <v>1756-OB32-1</v>
      </c>
      <c r="AB424" s="136"/>
      <c r="AC424" s="136"/>
      <c r="AD424" s="136" t="str">
        <f>tbl_IO_List[[#This Row],[I/O Type]]</f>
        <v>DO</v>
      </c>
      <c r="AE424" s="136" t="s">
        <v>1333</v>
      </c>
      <c r="AF424" s="136">
        <v>7</v>
      </c>
      <c r="AG424" s="136">
        <v>1</v>
      </c>
      <c r="AH424" s="136">
        <v>2</v>
      </c>
      <c r="AI424" s="136">
        <v>2</v>
      </c>
      <c r="AJ424" s="136">
        <v>0</v>
      </c>
      <c r="AK424" s="136">
        <v>1</v>
      </c>
      <c r="AL424" s="136">
        <v>0</v>
      </c>
      <c r="AM424" s="136">
        <v>0</v>
      </c>
      <c r="AN424" s="136">
        <v>0</v>
      </c>
      <c r="AO424" s="136"/>
      <c r="AP424" s="143" t="str">
        <f>VLOOKUP(tbl_IO_List[[#This Row],[Instruement Tag]],tbl_Instruement_List[],14,FALSE)</f>
        <v>Dry Contact</v>
      </c>
      <c r="AQ424" s="143" t="str">
        <f>tbl_IO_List[[#This Row],[Chassis]]&amp;"S"&amp;tbl_IO_List[[#This Row],[Slot]]&amp;"-"&amp;tbl_IO_List[[#This Row],[Front Terminal Number]]</f>
        <v>C2S7-2</v>
      </c>
      <c r="AR424" s="141" t="s">
        <v>1867</v>
      </c>
      <c r="AS424" s="136" t="str">
        <f>tbl_IO_List[[#This Row],[Terminal Tagging]]&amp;"-"&amp;tbl_IO_List[[#This Row],[Point-Count]]</f>
        <v>P2-TBRL2-2</v>
      </c>
      <c r="AT424" s="136" t="str">
        <f>tbl_IO_List[[#This Row],[Front Terminal Tagging]]&amp;"/"&amp;tbl_IO_List[[#This Row],[Terminal Tagging-Item]]</f>
        <v>C2S7-2/P2-TBRL2-2</v>
      </c>
      <c r="AU424" s="136" t="str">
        <f>tbl_IO_List[[#This Row],[Terminal Tagging-Item]]&amp;"/"&amp;tbl_IO_List[[#This Row],[Front Terminal Tagging]]</f>
        <v>P2-TBRL2-2/C2S7-2</v>
      </c>
    </row>
    <row r="425" spans="1:47">
      <c r="A425" s="147" t="s">
        <v>1367</v>
      </c>
      <c r="B425" s="136" t="s">
        <v>270</v>
      </c>
      <c r="C425" s="136" t="str">
        <f>tbl_IO_List[[#This Row],[Column3]]</f>
        <v>C2S07,02</v>
      </c>
      <c r="D425" s="136" t="str">
        <f>tbl_IO_List[[#This Row],[Card]]</f>
        <v>1756-OB32-2</v>
      </c>
      <c r="E425" s="136" t="s">
        <v>1366</v>
      </c>
      <c r="F425" s="136" t="str">
        <f>tbl_IO_List[[#This Row],[Column23]]&amp;"-" &amp;tbl_IO_List[[#This Row],[Column52]]</f>
        <v>C2S07-X1</v>
      </c>
      <c r="G425" s="136" t="str">
        <f>tbl_IO_List[[#This Row],[PLC_Tag]]</f>
        <v>XS-FH-60210D_DO_1</v>
      </c>
      <c r="H425" s="136"/>
      <c r="I425" s="136" t="str">
        <f>VLOOKUP(tbl_IO_List[[#This Row],[Destination]],tbl_Junction[],2,FALSE)</f>
        <v>Spray Dryer 7th Floor</v>
      </c>
      <c r="J425" s="136" t="s">
        <v>270</v>
      </c>
      <c r="K425" s="136" t="s">
        <v>14</v>
      </c>
      <c r="L425" s="136" t="s">
        <v>1109</v>
      </c>
      <c r="M425" s="136">
        <f>VLOOKUP(tbl_IO_List[[#This Row],[Instruement Tag]],tbl_Instruement_List[],2,FALSE)</f>
        <v>0</v>
      </c>
      <c r="N425" s="136" t="s">
        <v>95</v>
      </c>
      <c r="O425" s="136" t="s">
        <v>331</v>
      </c>
      <c r="P425" s="136" t="s">
        <v>18</v>
      </c>
      <c r="Q425" s="136" t="str">
        <f>VLOOKUP(tbl_IO_List[[#This Row],[Instruement Tag]],tbl_Instruement_List[],6,FALSE)</f>
        <v>Spare</v>
      </c>
      <c r="R425" s="136"/>
      <c r="S42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425" s="136" t="str">
        <f>tbl_IO_List[[#This Row],[Instruement Tag]]&amp;"_"&amp;tbl_IO_List[[#This Row],[I/O Type]]&amp;"_"&amp;tbl_IO_List[[#This Row],[IO-Point 
(Instruement)]]</f>
        <v>XS-FH-60210D_DO_1</v>
      </c>
      <c r="U425" s="136" t="s">
        <v>7</v>
      </c>
      <c r="V425" s="136">
        <f>VLOOKUP(tbl_IO_List[[#This Row],[I/O Type]],tbl_Slot_Group[],2,FALSE)</f>
        <v>2</v>
      </c>
      <c r="W425" s="136">
        <v>1</v>
      </c>
      <c r="X425" s="136" t="str">
        <f>tbl_IO_List[[#This Row],[Chassis]]&amp;"S"&amp;TEXT(tbl_IO_List[[#This Row],[Slot]],"00")</f>
        <v>C2S07</v>
      </c>
      <c r="Y425" s="136" t="str">
        <f>tbl_IO_List[[#This Row],[Chassis]]&amp;"S"&amp;TEXT(tbl_IO_List[[#This Row],[Slot]],"00")&amp;tbl_IO_List[[#This Row],[I/O Type]]&amp;TEXT(tbl_IO_List[[#This Row],[Point]],"00")</f>
        <v>C2S07DO02</v>
      </c>
      <c r="Z425" s="136" t="str">
        <f>tbl_IO_List[[#This Row],[Chassis]]&amp;"S"&amp;TEXT(tbl_IO_List[[#This Row],[Slot]],"00")&amp;","&amp;TEXT(tbl_IO_List[[#This Row],[Point]],"00")</f>
        <v>C2S07,02</v>
      </c>
      <c r="AA425" s="136" t="str">
        <f>VLOOKUP(tbl_IO_List[[#This Row],[Column23]],tbl_RackConfig[],5,FALSE) &amp;"-"&amp;tbl_IO_List[[#This Row],[Point]]</f>
        <v>1756-OB32-2</v>
      </c>
      <c r="AB425" s="136"/>
      <c r="AC425" s="136"/>
      <c r="AD425" s="136" t="str">
        <f>tbl_IO_List[[#This Row],[I/O Type]]</f>
        <v>DO</v>
      </c>
      <c r="AE425" s="136" t="s">
        <v>1333</v>
      </c>
      <c r="AF425" s="136">
        <v>7</v>
      </c>
      <c r="AG425" s="136">
        <v>2</v>
      </c>
      <c r="AH425" s="136">
        <v>3</v>
      </c>
      <c r="AI425" s="136">
        <v>3</v>
      </c>
      <c r="AJ425" s="136">
        <v>0</v>
      </c>
      <c r="AK425" s="136">
        <v>1</v>
      </c>
      <c r="AL425" s="136">
        <v>0</v>
      </c>
      <c r="AM425" s="136">
        <v>0</v>
      </c>
      <c r="AN425" s="136">
        <v>0</v>
      </c>
      <c r="AO425" s="136"/>
      <c r="AP425" s="143" t="str">
        <f>VLOOKUP(tbl_IO_List[[#This Row],[Instruement Tag]],tbl_Instruement_List[],14,FALSE)</f>
        <v>Dry Contact</v>
      </c>
      <c r="AQ425" s="143" t="str">
        <f>tbl_IO_List[[#This Row],[Chassis]]&amp;"S"&amp;tbl_IO_List[[#This Row],[Slot]]&amp;"-"&amp;tbl_IO_List[[#This Row],[Front Terminal Number]]</f>
        <v>C2S7-3</v>
      </c>
      <c r="AR425" s="141" t="s">
        <v>1867</v>
      </c>
      <c r="AS425" s="136" t="str">
        <f>tbl_IO_List[[#This Row],[Terminal Tagging]]&amp;"-"&amp;tbl_IO_List[[#This Row],[Point-Count]]</f>
        <v>P2-TBRL2-3</v>
      </c>
      <c r="AT425" s="136" t="str">
        <f>tbl_IO_List[[#This Row],[Front Terminal Tagging]]&amp;"/"&amp;tbl_IO_List[[#This Row],[Terminal Tagging-Item]]</f>
        <v>C2S7-3/P2-TBRL2-3</v>
      </c>
      <c r="AU425" s="136" t="str">
        <f>tbl_IO_List[[#This Row],[Terminal Tagging-Item]]&amp;"/"&amp;tbl_IO_List[[#This Row],[Front Terminal Tagging]]</f>
        <v>P2-TBRL2-3/C2S7-3</v>
      </c>
    </row>
    <row r="426" spans="1:47">
      <c r="A426" s="147" t="s">
        <v>1367</v>
      </c>
      <c r="B426" s="136" t="s">
        <v>270</v>
      </c>
      <c r="C426" s="136" t="str">
        <f>tbl_IO_List[[#This Row],[Column3]]</f>
        <v>C2S07,03</v>
      </c>
      <c r="D426" s="136" t="str">
        <f>tbl_IO_List[[#This Row],[Card]]</f>
        <v>1756-OB32-3</v>
      </c>
      <c r="E426" s="136" t="s">
        <v>1366</v>
      </c>
      <c r="F426" s="136" t="str">
        <f>tbl_IO_List[[#This Row],[Column23]]&amp;"-" &amp;tbl_IO_List[[#This Row],[Column52]]</f>
        <v>C2S07-X1</v>
      </c>
      <c r="G426" s="136" t="str">
        <f>tbl_IO_List[[#This Row],[PLC_Tag]]</f>
        <v>XV-60201_DO_1</v>
      </c>
      <c r="H426" s="136"/>
      <c r="I426" s="136" t="str">
        <f>VLOOKUP(tbl_IO_List[[#This Row],[Destination]],tbl_Junction[],2,FALSE)</f>
        <v>Spray Dryer 7th Floor</v>
      </c>
      <c r="J426" s="136" t="s">
        <v>270</v>
      </c>
      <c r="K426" s="136" t="s">
        <v>14</v>
      </c>
      <c r="L426" s="136" t="s">
        <v>294</v>
      </c>
      <c r="M426" s="136">
        <f>VLOOKUP(tbl_IO_List[[#This Row],[Instruement Tag]],tbl_Instruement_List[],2,FALSE)</f>
        <v>0</v>
      </c>
      <c r="N426" s="136" t="s">
        <v>95</v>
      </c>
      <c r="O426" s="136" t="s">
        <v>272</v>
      </c>
      <c r="P426" s="136" t="s">
        <v>273</v>
      </c>
      <c r="Q426" s="136" t="str">
        <f>VLOOKUP(tbl_IO_List[[#This Row],[Instruement Tag]],tbl_Instruement_List[],6,FALSE)</f>
        <v xml:space="preserve">Steam feed to Spray dryer </v>
      </c>
      <c r="R426" s="136"/>
      <c r="S42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426" s="136" t="str">
        <f>tbl_IO_List[[#This Row],[Instruement Tag]]&amp;"_"&amp;tbl_IO_List[[#This Row],[I/O Type]]&amp;"_"&amp;tbl_IO_List[[#This Row],[IO-Point 
(Instruement)]]</f>
        <v>XV-60201_DO_1</v>
      </c>
      <c r="U426" s="136" t="s">
        <v>7</v>
      </c>
      <c r="V426" s="136">
        <f>VLOOKUP(tbl_IO_List[[#This Row],[I/O Type]],tbl_Slot_Group[],2,FALSE)</f>
        <v>2</v>
      </c>
      <c r="W426" s="136">
        <v>1</v>
      </c>
      <c r="X426" s="136" t="str">
        <f>tbl_IO_List[[#This Row],[Chassis]]&amp;"S"&amp;TEXT(tbl_IO_List[[#This Row],[Slot]],"00")</f>
        <v>C2S07</v>
      </c>
      <c r="Y426" s="136" t="str">
        <f>tbl_IO_List[[#This Row],[Chassis]]&amp;"S"&amp;TEXT(tbl_IO_List[[#This Row],[Slot]],"00")&amp;tbl_IO_List[[#This Row],[I/O Type]]&amp;TEXT(tbl_IO_List[[#This Row],[Point]],"00")</f>
        <v>C2S07DO03</v>
      </c>
      <c r="Z426" s="136" t="str">
        <f>tbl_IO_List[[#This Row],[Chassis]]&amp;"S"&amp;TEXT(tbl_IO_List[[#This Row],[Slot]],"00")&amp;","&amp;TEXT(tbl_IO_List[[#This Row],[Point]],"00")</f>
        <v>C2S07,03</v>
      </c>
      <c r="AA426" s="136" t="str">
        <f>VLOOKUP(tbl_IO_List[[#This Row],[Column23]],tbl_RackConfig[],5,FALSE) &amp;"-"&amp;tbl_IO_List[[#This Row],[Point]]</f>
        <v>1756-OB32-3</v>
      </c>
      <c r="AB426" s="136"/>
      <c r="AC426" s="136"/>
      <c r="AD426" s="136" t="str">
        <f>tbl_IO_List[[#This Row],[I/O Type]]</f>
        <v>DO</v>
      </c>
      <c r="AE426" s="136" t="s">
        <v>1333</v>
      </c>
      <c r="AF426" s="136">
        <v>7</v>
      </c>
      <c r="AG426" s="136">
        <v>3</v>
      </c>
      <c r="AH426" s="136">
        <v>4</v>
      </c>
      <c r="AI426" s="136">
        <v>4</v>
      </c>
      <c r="AJ426" s="136">
        <v>2</v>
      </c>
      <c r="AK426" s="136">
        <v>1</v>
      </c>
      <c r="AL426" s="136">
        <v>0</v>
      </c>
      <c r="AM426" s="136">
        <v>0</v>
      </c>
      <c r="AN426" s="136">
        <v>0</v>
      </c>
      <c r="AO426" s="136"/>
      <c r="AP426" s="143" t="str">
        <f>VLOOKUP(tbl_IO_List[[#This Row],[Instruement Tag]],tbl_Instruement_List[],14,FALSE)</f>
        <v>24 VDC energized</v>
      </c>
      <c r="AQ426" s="143" t="str">
        <f>tbl_IO_List[[#This Row],[Chassis]]&amp;"S"&amp;tbl_IO_List[[#This Row],[Slot]]&amp;"-"&amp;tbl_IO_List[[#This Row],[Front Terminal Number]]</f>
        <v>C2S7-4</v>
      </c>
      <c r="AR426" s="141" t="s">
        <v>1867</v>
      </c>
      <c r="AS426" s="136" t="str">
        <f>tbl_IO_List[[#This Row],[Terminal Tagging]]&amp;"-"&amp;tbl_IO_List[[#This Row],[Point-Count]]</f>
        <v>P2-TBRL2-4</v>
      </c>
      <c r="AT426" s="136" t="str">
        <f>tbl_IO_List[[#This Row],[Front Terminal Tagging]]&amp;"/"&amp;tbl_IO_List[[#This Row],[Terminal Tagging-Item]]</f>
        <v>C2S7-4/P2-TBRL2-4</v>
      </c>
      <c r="AU426" s="136" t="str">
        <f>tbl_IO_List[[#This Row],[Terminal Tagging-Item]]&amp;"/"&amp;tbl_IO_List[[#This Row],[Front Terminal Tagging]]</f>
        <v>P2-TBRL2-4/C2S7-4</v>
      </c>
    </row>
    <row r="427" spans="1:47">
      <c r="A427" s="147" t="s">
        <v>1367</v>
      </c>
      <c r="B427" s="136" t="s">
        <v>270</v>
      </c>
      <c r="C427" s="136" t="str">
        <f>tbl_IO_List[[#This Row],[Column3]]</f>
        <v>C2S07,04</v>
      </c>
      <c r="D427" s="136" t="str">
        <f>tbl_IO_List[[#This Row],[Card]]</f>
        <v>1756-OB32-4</v>
      </c>
      <c r="E427" s="136" t="s">
        <v>1366</v>
      </c>
      <c r="F427" s="136" t="str">
        <f>tbl_IO_List[[#This Row],[Column23]]&amp;"-" &amp;tbl_IO_List[[#This Row],[Column52]]</f>
        <v>C2S07-X1</v>
      </c>
      <c r="G427" s="136" t="str">
        <f>tbl_IO_List[[#This Row],[PLC_Tag]]</f>
        <v>XV-60261_DO_1</v>
      </c>
      <c r="H427" s="136"/>
      <c r="I427" s="136" t="str">
        <f>VLOOKUP(tbl_IO_List[[#This Row],[Destination]],tbl_Junction[],2,FALSE)</f>
        <v>Spray Dryer 7th Floor</v>
      </c>
      <c r="J427" s="136" t="s">
        <v>270</v>
      </c>
      <c r="K427" s="136" t="s">
        <v>14</v>
      </c>
      <c r="L427" s="136" t="s">
        <v>1386</v>
      </c>
      <c r="M427" s="136" t="e">
        <f>VLOOKUP(tbl_IO_List[[#This Row],[Instruement Tag]],tbl_Instruement_List[],2,FALSE)</f>
        <v>#N/A</v>
      </c>
      <c r="N427" s="136" t="s">
        <v>95</v>
      </c>
      <c r="O427" s="136" t="s">
        <v>272</v>
      </c>
      <c r="P427" s="136" t="s">
        <v>18</v>
      </c>
      <c r="Q427" s="136" t="e">
        <f>VLOOKUP(tbl_IO_List[[#This Row],[Instruement Tag]],tbl_Instruement_List[],6,FALSE)</f>
        <v>#N/A</v>
      </c>
      <c r="R427" s="136"/>
      <c r="S42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427" s="136" t="str">
        <f>tbl_IO_List[[#This Row],[Instruement Tag]]&amp;"_"&amp;tbl_IO_List[[#This Row],[I/O Type]]&amp;"_"&amp;tbl_IO_List[[#This Row],[IO-Point 
(Instruement)]]</f>
        <v>XV-60261_DO_1</v>
      </c>
      <c r="U427" s="136" t="s">
        <v>7</v>
      </c>
      <c r="V427" s="136">
        <f>VLOOKUP(tbl_IO_List[[#This Row],[I/O Type]],tbl_Slot_Group[],2,FALSE)</f>
        <v>2</v>
      </c>
      <c r="W427" s="136">
        <v>1</v>
      </c>
      <c r="X427" s="136" t="str">
        <f>tbl_IO_List[[#This Row],[Chassis]]&amp;"S"&amp;TEXT(tbl_IO_List[[#This Row],[Slot]],"00")</f>
        <v>C2S07</v>
      </c>
      <c r="Y427" s="136" t="str">
        <f>tbl_IO_List[[#This Row],[Chassis]]&amp;"S"&amp;TEXT(tbl_IO_List[[#This Row],[Slot]],"00")&amp;tbl_IO_List[[#This Row],[I/O Type]]&amp;TEXT(tbl_IO_List[[#This Row],[Point]],"00")</f>
        <v>C2S07DO04</v>
      </c>
      <c r="Z427" s="136" t="str">
        <f>tbl_IO_List[[#This Row],[Chassis]]&amp;"S"&amp;TEXT(tbl_IO_List[[#This Row],[Slot]],"00")&amp;","&amp;TEXT(tbl_IO_List[[#This Row],[Point]],"00")</f>
        <v>C2S07,04</v>
      </c>
      <c r="AA427" s="136" t="str">
        <f>VLOOKUP(tbl_IO_List[[#This Row],[Column23]],tbl_RackConfig[],5,FALSE) &amp;"-"&amp;tbl_IO_List[[#This Row],[Point]]</f>
        <v>1756-OB32-4</v>
      </c>
      <c r="AB427" s="136"/>
      <c r="AC427" s="136"/>
      <c r="AD427" s="136" t="str">
        <f>tbl_IO_List[[#This Row],[I/O Type]]</f>
        <v>DO</v>
      </c>
      <c r="AE427" s="136" t="s">
        <v>1333</v>
      </c>
      <c r="AF427" s="136">
        <v>7</v>
      </c>
      <c r="AG427" s="136">
        <v>4</v>
      </c>
      <c r="AH427" s="136">
        <v>5</v>
      </c>
      <c r="AI427" s="136">
        <v>5</v>
      </c>
      <c r="AJ427" s="136">
        <v>2</v>
      </c>
      <c r="AK427" s="136">
        <v>1</v>
      </c>
      <c r="AL427" s="136">
        <v>0</v>
      </c>
      <c r="AM427" s="136">
        <v>0</v>
      </c>
      <c r="AN427" s="136">
        <v>0</v>
      </c>
      <c r="AO427" s="136"/>
      <c r="AP427" s="143" t="e">
        <f>VLOOKUP(tbl_IO_List[[#This Row],[Instruement Tag]],tbl_Instruement_List[],14,FALSE)</f>
        <v>#N/A</v>
      </c>
      <c r="AQ427" s="143" t="str">
        <f>tbl_IO_List[[#This Row],[Chassis]]&amp;"S"&amp;tbl_IO_List[[#This Row],[Slot]]&amp;"-"&amp;tbl_IO_List[[#This Row],[Front Terminal Number]]</f>
        <v>C2S7-5</v>
      </c>
      <c r="AR427" s="141" t="s">
        <v>1867</v>
      </c>
      <c r="AS427" s="136" t="str">
        <f>tbl_IO_List[[#This Row],[Terminal Tagging]]&amp;"-"&amp;tbl_IO_List[[#This Row],[Point-Count]]</f>
        <v>P2-TBRL2-5</v>
      </c>
      <c r="AT427" s="136" t="str">
        <f>tbl_IO_List[[#This Row],[Front Terminal Tagging]]&amp;"/"&amp;tbl_IO_List[[#This Row],[Terminal Tagging-Item]]</f>
        <v>C2S7-5/P2-TBRL2-5</v>
      </c>
      <c r="AU427" s="136" t="str">
        <f>tbl_IO_List[[#This Row],[Terminal Tagging-Item]]&amp;"/"&amp;tbl_IO_List[[#This Row],[Front Terminal Tagging]]</f>
        <v>P2-TBRL2-5/C2S7-5</v>
      </c>
    </row>
    <row r="428" spans="1:47">
      <c r="A428" s="147" t="s">
        <v>1367</v>
      </c>
      <c r="B428" s="136" t="s">
        <v>270</v>
      </c>
      <c r="C428" s="136" t="str">
        <f>tbl_IO_List[[#This Row],[Column3]]</f>
        <v>C2S07,05</v>
      </c>
      <c r="D428" s="136" t="str">
        <f>tbl_IO_List[[#This Row],[Card]]</f>
        <v>1756-OB32-5</v>
      </c>
      <c r="E428" s="136" t="s">
        <v>1366</v>
      </c>
      <c r="F428" s="136" t="str">
        <f>tbl_IO_List[[#This Row],[Column23]]&amp;"-" &amp;tbl_IO_List[[#This Row],[Column52]]</f>
        <v>C2S07-X1</v>
      </c>
      <c r="G428" s="136" t="str">
        <f>tbl_IO_List[[#This Row],[PLC_Tag]]</f>
        <v>XV-60261FA_DO_1</v>
      </c>
      <c r="H428" s="136"/>
      <c r="I428" s="136" t="str">
        <f>VLOOKUP(tbl_IO_List[[#This Row],[Destination]],tbl_Junction[],2,FALSE)</f>
        <v>Spray Dryer 7th Floor</v>
      </c>
      <c r="J428" s="136" t="s">
        <v>270</v>
      </c>
      <c r="K428" s="136" t="s">
        <v>14</v>
      </c>
      <c r="L428" s="136" t="s">
        <v>299</v>
      </c>
      <c r="M428" s="136">
        <f>VLOOKUP(tbl_IO_List[[#This Row],[Instruement Tag]],tbl_Instruement_List[],2,FALSE)</f>
        <v>0</v>
      </c>
      <c r="N428" s="136" t="s">
        <v>95</v>
      </c>
      <c r="O428" s="136" t="s">
        <v>272</v>
      </c>
      <c r="P428" s="136" t="s">
        <v>273</v>
      </c>
      <c r="Q428" s="136" t="str">
        <f>VLOOKUP(tbl_IO_List[[#This Row],[Instruement Tag]],tbl_Instruement_List[],6,FALSE)</f>
        <v>Feed Slurry On/Off Valve for Nozzle #1 (ATVM-11A)</v>
      </c>
      <c r="R428" s="136"/>
      <c r="S42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428" s="136" t="str">
        <f>tbl_IO_List[[#This Row],[Instruement Tag]]&amp;"_"&amp;tbl_IO_List[[#This Row],[I/O Type]]&amp;"_"&amp;tbl_IO_List[[#This Row],[IO-Point 
(Instruement)]]</f>
        <v>XV-60261FA_DO_1</v>
      </c>
      <c r="U428" s="136" t="s">
        <v>7</v>
      </c>
      <c r="V428" s="136">
        <f>VLOOKUP(tbl_IO_List[[#This Row],[I/O Type]],tbl_Slot_Group[],2,FALSE)</f>
        <v>2</v>
      </c>
      <c r="W428" s="136">
        <v>1</v>
      </c>
      <c r="X428" s="136" t="str">
        <f>tbl_IO_List[[#This Row],[Chassis]]&amp;"S"&amp;TEXT(tbl_IO_List[[#This Row],[Slot]],"00")</f>
        <v>C2S07</v>
      </c>
      <c r="Y428" s="136" t="str">
        <f>tbl_IO_List[[#This Row],[Chassis]]&amp;"S"&amp;TEXT(tbl_IO_List[[#This Row],[Slot]],"00")&amp;tbl_IO_List[[#This Row],[I/O Type]]&amp;TEXT(tbl_IO_List[[#This Row],[Point]],"00")</f>
        <v>C2S07DO05</v>
      </c>
      <c r="Z428" s="136" t="str">
        <f>tbl_IO_List[[#This Row],[Chassis]]&amp;"S"&amp;TEXT(tbl_IO_List[[#This Row],[Slot]],"00")&amp;","&amp;TEXT(tbl_IO_List[[#This Row],[Point]],"00")</f>
        <v>C2S07,05</v>
      </c>
      <c r="AA428" s="136" t="str">
        <f>VLOOKUP(tbl_IO_List[[#This Row],[Column23]],tbl_RackConfig[],5,FALSE) &amp;"-"&amp;tbl_IO_List[[#This Row],[Point]]</f>
        <v>1756-OB32-5</v>
      </c>
      <c r="AB428" s="136"/>
      <c r="AC428" s="136"/>
      <c r="AD428" s="136" t="str">
        <f>tbl_IO_List[[#This Row],[I/O Type]]</f>
        <v>DO</v>
      </c>
      <c r="AE428" s="136" t="s">
        <v>1333</v>
      </c>
      <c r="AF428" s="136">
        <v>7</v>
      </c>
      <c r="AG428" s="136">
        <v>5</v>
      </c>
      <c r="AH428" s="136">
        <v>6</v>
      </c>
      <c r="AI428" s="136">
        <v>6</v>
      </c>
      <c r="AJ428" s="136">
        <v>2</v>
      </c>
      <c r="AK428" s="136">
        <v>1</v>
      </c>
      <c r="AL428" s="136">
        <v>0</v>
      </c>
      <c r="AM428" s="136">
        <v>0</v>
      </c>
      <c r="AN428" s="136">
        <v>0</v>
      </c>
      <c r="AO428" s="136"/>
      <c r="AP428" s="143" t="str">
        <f>VLOOKUP(tbl_IO_List[[#This Row],[Instruement Tag]],tbl_Instruement_List[],14,FALSE)</f>
        <v>24 VDC energized,Dry Contact</v>
      </c>
      <c r="AQ428" s="143" t="str">
        <f>tbl_IO_List[[#This Row],[Chassis]]&amp;"S"&amp;tbl_IO_List[[#This Row],[Slot]]&amp;"-"&amp;tbl_IO_List[[#This Row],[Front Terminal Number]]</f>
        <v>C2S7-6</v>
      </c>
      <c r="AR428" s="141" t="s">
        <v>1867</v>
      </c>
      <c r="AS428" s="136" t="str">
        <f>tbl_IO_List[[#This Row],[Terminal Tagging]]&amp;"-"&amp;tbl_IO_List[[#This Row],[Point-Count]]</f>
        <v>P2-TBRL2-6</v>
      </c>
      <c r="AT428" s="136" t="str">
        <f>tbl_IO_List[[#This Row],[Front Terminal Tagging]]&amp;"/"&amp;tbl_IO_List[[#This Row],[Terminal Tagging-Item]]</f>
        <v>C2S7-6/P2-TBRL2-6</v>
      </c>
      <c r="AU428" s="136" t="str">
        <f>tbl_IO_List[[#This Row],[Terminal Tagging-Item]]&amp;"/"&amp;tbl_IO_List[[#This Row],[Front Terminal Tagging]]</f>
        <v>P2-TBRL2-6/C2S7-6</v>
      </c>
    </row>
    <row r="429" spans="1:47">
      <c r="A429" s="147" t="s">
        <v>1367</v>
      </c>
      <c r="B429" s="136" t="s">
        <v>270</v>
      </c>
      <c r="C429" s="136" t="str">
        <f>tbl_IO_List[[#This Row],[Column3]]</f>
        <v>C2S07,06</v>
      </c>
      <c r="D429" s="136" t="str">
        <f>tbl_IO_List[[#This Row],[Card]]</f>
        <v>1756-OB32-6</v>
      </c>
      <c r="E429" s="136" t="s">
        <v>1366</v>
      </c>
      <c r="F429" s="136" t="str">
        <f>tbl_IO_List[[#This Row],[Column23]]&amp;"-" &amp;tbl_IO_List[[#This Row],[Column52]]</f>
        <v>C2S07-X1</v>
      </c>
      <c r="G429" s="136" t="str">
        <f>tbl_IO_List[[#This Row],[PLC_Tag]]</f>
        <v>XV-60261FB_DO_1</v>
      </c>
      <c r="H429" s="136"/>
      <c r="I429" s="136" t="str">
        <f>VLOOKUP(tbl_IO_List[[#This Row],[Destination]],tbl_Junction[],2,FALSE)</f>
        <v>Spray Dryer 7th Floor</v>
      </c>
      <c r="J429" s="136" t="s">
        <v>270</v>
      </c>
      <c r="K429" s="136" t="s">
        <v>14</v>
      </c>
      <c r="L429" s="136" t="s">
        <v>300</v>
      </c>
      <c r="M429" s="136">
        <f>VLOOKUP(tbl_IO_List[[#This Row],[Instruement Tag]],tbl_Instruement_List[],2,FALSE)</f>
        <v>0</v>
      </c>
      <c r="N429" s="136" t="s">
        <v>95</v>
      </c>
      <c r="O429" s="136" t="s">
        <v>272</v>
      </c>
      <c r="P429" s="136" t="s">
        <v>273</v>
      </c>
      <c r="Q429" s="136" t="str">
        <f>VLOOKUP(tbl_IO_List[[#This Row],[Instruement Tag]],tbl_Instruement_List[],6,FALSE)</f>
        <v>Feed Slurry On/Off Valve for Nozzle #2 (ATVM-11A)</v>
      </c>
      <c r="R429" s="136"/>
      <c r="S42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429" s="136" t="str">
        <f>tbl_IO_List[[#This Row],[Instruement Tag]]&amp;"_"&amp;tbl_IO_List[[#This Row],[I/O Type]]&amp;"_"&amp;tbl_IO_List[[#This Row],[IO-Point 
(Instruement)]]</f>
        <v>XV-60261FB_DO_1</v>
      </c>
      <c r="U429" s="136" t="s">
        <v>7</v>
      </c>
      <c r="V429" s="136">
        <f>VLOOKUP(tbl_IO_List[[#This Row],[I/O Type]],tbl_Slot_Group[],2,FALSE)</f>
        <v>2</v>
      </c>
      <c r="W429" s="136">
        <v>1</v>
      </c>
      <c r="X429" s="136" t="str">
        <f>tbl_IO_List[[#This Row],[Chassis]]&amp;"S"&amp;TEXT(tbl_IO_List[[#This Row],[Slot]],"00")</f>
        <v>C2S07</v>
      </c>
      <c r="Y429" s="136" t="str">
        <f>tbl_IO_List[[#This Row],[Chassis]]&amp;"S"&amp;TEXT(tbl_IO_List[[#This Row],[Slot]],"00")&amp;tbl_IO_List[[#This Row],[I/O Type]]&amp;TEXT(tbl_IO_List[[#This Row],[Point]],"00")</f>
        <v>C2S07DO06</v>
      </c>
      <c r="Z429" s="136" t="str">
        <f>tbl_IO_List[[#This Row],[Chassis]]&amp;"S"&amp;TEXT(tbl_IO_List[[#This Row],[Slot]],"00")&amp;","&amp;TEXT(tbl_IO_List[[#This Row],[Point]],"00")</f>
        <v>C2S07,06</v>
      </c>
      <c r="AA429" s="136" t="str">
        <f>VLOOKUP(tbl_IO_List[[#This Row],[Column23]],tbl_RackConfig[],5,FALSE) &amp;"-"&amp;tbl_IO_List[[#This Row],[Point]]</f>
        <v>1756-OB32-6</v>
      </c>
      <c r="AB429" s="136"/>
      <c r="AC429" s="136"/>
      <c r="AD429" s="136" t="str">
        <f>tbl_IO_List[[#This Row],[I/O Type]]</f>
        <v>DO</v>
      </c>
      <c r="AE429" s="136" t="s">
        <v>1333</v>
      </c>
      <c r="AF429" s="136">
        <v>7</v>
      </c>
      <c r="AG429" s="136">
        <v>6</v>
      </c>
      <c r="AH429" s="136">
        <v>7</v>
      </c>
      <c r="AI429" s="136">
        <v>7</v>
      </c>
      <c r="AJ429" s="136">
        <v>2</v>
      </c>
      <c r="AK429" s="136">
        <v>1</v>
      </c>
      <c r="AL429" s="136">
        <v>0</v>
      </c>
      <c r="AM429" s="136">
        <v>0</v>
      </c>
      <c r="AN429" s="136">
        <v>0</v>
      </c>
      <c r="AO429" s="136"/>
      <c r="AP429" s="143" t="str">
        <f>VLOOKUP(tbl_IO_List[[#This Row],[Instruement Tag]],tbl_Instruement_List[],14,FALSE)</f>
        <v>24 VDC energized,Dry Contact</v>
      </c>
      <c r="AQ429" s="143" t="str">
        <f>tbl_IO_List[[#This Row],[Chassis]]&amp;"S"&amp;tbl_IO_List[[#This Row],[Slot]]&amp;"-"&amp;tbl_IO_List[[#This Row],[Front Terminal Number]]</f>
        <v>C2S7-7</v>
      </c>
      <c r="AR429" s="141" t="s">
        <v>1867</v>
      </c>
      <c r="AS429" s="136" t="str">
        <f>tbl_IO_List[[#This Row],[Terminal Tagging]]&amp;"-"&amp;tbl_IO_List[[#This Row],[Point-Count]]</f>
        <v>P2-TBRL2-7</v>
      </c>
      <c r="AT429" s="136" t="str">
        <f>tbl_IO_List[[#This Row],[Front Terminal Tagging]]&amp;"/"&amp;tbl_IO_List[[#This Row],[Terminal Tagging-Item]]</f>
        <v>C2S7-7/P2-TBRL2-7</v>
      </c>
      <c r="AU429" s="136" t="str">
        <f>tbl_IO_List[[#This Row],[Terminal Tagging-Item]]&amp;"/"&amp;tbl_IO_List[[#This Row],[Front Terminal Tagging]]</f>
        <v>P2-TBRL2-7/C2S7-7</v>
      </c>
    </row>
    <row r="430" spans="1:47">
      <c r="A430" s="147" t="s">
        <v>1367</v>
      </c>
      <c r="B430" s="136" t="s">
        <v>270</v>
      </c>
      <c r="C430" s="136" t="str">
        <f>tbl_IO_List[[#This Row],[Column3]]</f>
        <v>C2S07,07</v>
      </c>
      <c r="D430" s="136" t="str">
        <f>tbl_IO_List[[#This Row],[Card]]</f>
        <v>1756-OB32-7</v>
      </c>
      <c r="E430" s="136" t="s">
        <v>1366</v>
      </c>
      <c r="F430" s="136" t="str">
        <f>tbl_IO_List[[#This Row],[Column23]]&amp;"-" &amp;tbl_IO_List[[#This Row],[Column52]]</f>
        <v>C2S07-X1</v>
      </c>
      <c r="G430" s="136" t="str">
        <f>tbl_IO_List[[#This Row],[PLC_Tag]]</f>
        <v>XV-60261FC_DO_1</v>
      </c>
      <c r="H430" s="136"/>
      <c r="I430" s="136" t="str">
        <f>VLOOKUP(tbl_IO_List[[#This Row],[Destination]],tbl_Junction[],2,FALSE)</f>
        <v>Spray Dryer 7th Floor</v>
      </c>
      <c r="J430" s="136" t="s">
        <v>270</v>
      </c>
      <c r="K430" s="136" t="s">
        <v>14</v>
      </c>
      <c r="L430" s="136" t="s">
        <v>301</v>
      </c>
      <c r="M430" s="136">
        <f>VLOOKUP(tbl_IO_List[[#This Row],[Instruement Tag]],tbl_Instruement_List[],2,FALSE)</f>
        <v>0</v>
      </c>
      <c r="N430" s="136" t="s">
        <v>95</v>
      </c>
      <c r="O430" s="136" t="s">
        <v>272</v>
      </c>
      <c r="P430" s="136" t="s">
        <v>273</v>
      </c>
      <c r="Q430" s="136" t="str">
        <f>VLOOKUP(tbl_IO_List[[#This Row],[Instruement Tag]],tbl_Instruement_List[],6,FALSE)</f>
        <v>Feed Slurry On/Off Valve for Nozzle #3 (ATVM-11A)</v>
      </c>
      <c r="R430" s="136"/>
      <c r="S43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430" s="136" t="str">
        <f>tbl_IO_List[[#This Row],[Instruement Tag]]&amp;"_"&amp;tbl_IO_List[[#This Row],[I/O Type]]&amp;"_"&amp;tbl_IO_List[[#This Row],[IO-Point 
(Instruement)]]</f>
        <v>XV-60261FC_DO_1</v>
      </c>
      <c r="U430" s="136" t="s">
        <v>7</v>
      </c>
      <c r="V430" s="136">
        <f>VLOOKUP(tbl_IO_List[[#This Row],[I/O Type]],tbl_Slot_Group[],2,FALSE)</f>
        <v>2</v>
      </c>
      <c r="W430" s="136">
        <v>1</v>
      </c>
      <c r="X430" s="136" t="str">
        <f>tbl_IO_List[[#This Row],[Chassis]]&amp;"S"&amp;TEXT(tbl_IO_List[[#This Row],[Slot]],"00")</f>
        <v>C2S07</v>
      </c>
      <c r="Y430" s="136" t="str">
        <f>tbl_IO_List[[#This Row],[Chassis]]&amp;"S"&amp;TEXT(tbl_IO_List[[#This Row],[Slot]],"00")&amp;tbl_IO_List[[#This Row],[I/O Type]]&amp;TEXT(tbl_IO_List[[#This Row],[Point]],"00")</f>
        <v>C2S07DO07</v>
      </c>
      <c r="Z430" s="136" t="str">
        <f>tbl_IO_List[[#This Row],[Chassis]]&amp;"S"&amp;TEXT(tbl_IO_List[[#This Row],[Slot]],"00")&amp;","&amp;TEXT(tbl_IO_List[[#This Row],[Point]],"00")</f>
        <v>C2S07,07</v>
      </c>
      <c r="AA430" s="136" t="str">
        <f>VLOOKUP(tbl_IO_List[[#This Row],[Column23]],tbl_RackConfig[],5,FALSE) &amp;"-"&amp;tbl_IO_List[[#This Row],[Point]]</f>
        <v>1756-OB32-7</v>
      </c>
      <c r="AB430" s="136"/>
      <c r="AC430" s="136"/>
      <c r="AD430" s="136" t="str">
        <f>tbl_IO_List[[#This Row],[I/O Type]]</f>
        <v>DO</v>
      </c>
      <c r="AE430" s="136" t="s">
        <v>1333</v>
      </c>
      <c r="AF430" s="136">
        <v>7</v>
      </c>
      <c r="AG430" s="136">
        <v>7</v>
      </c>
      <c r="AH430" s="136">
        <v>8</v>
      </c>
      <c r="AI430" s="136">
        <v>8</v>
      </c>
      <c r="AJ430" s="136">
        <v>2</v>
      </c>
      <c r="AK430" s="136">
        <v>1</v>
      </c>
      <c r="AL430" s="136">
        <v>0</v>
      </c>
      <c r="AM430" s="136">
        <v>0</v>
      </c>
      <c r="AN430" s="136">
        <v>0</v>
      </c>
      <c r="AO430" s="136"/>
      <c r="AP430" s="143" t="str">
        <f>VLOOKUP(tbl_IO_List[[#This Row],[Instruement Tag]],tbl_Instruement_List[],14,FALSE)</f>
        <v>24 VDC energized,Dry Contact</v>
      </c>
      <c r="AQ430" s="143" t="str">
        <f>tbl_IO_List[[#This Row],[Chassis]]&amp;"S"&amp;tbl_IO_List[[#This Row],[Slot]]&amp;"-"&amp;tbl_IO_List[[#This Row],[Front Terminal Number]]</f>
        <v>C2S7-8</v>
      </c>
      <c r="AR430" s="141" t="s">
        <v>1867</v>
      </c>
      <c r="AS430" s="136" t="str">
        <f>tbl_IO_List[[#This Row],[Terminal Tagging]]&amp;"-"&amp;tbl_IO_List[[#This Row],[Point-Count]]</f>
        <v>P2-TBRL2-8</v>
      </c>
      <c r="AT430" s="136" t="str">
        <f>tbl_IO_List[[#This Row],[Front Terminal Tagging]]&amp;"/"&amp;tbl_IO_List[[#This Row],[Terminal Tagging-Item]]</f>
        <v>C2S7-8/P2-TBRL2-8</v>
      </c>
      <c r="AU430" s="136" t="str">
        <f>tbl_IO_List[[#This Row],[Terminal Tagging-Item]]&amp;"/"&amp;tbl_IO_List[[#This Row],[Front Terminal Tagging]]</f>
        <v>P2-TBRL2-8/C2S7-8</v>
      </c>
    </row>
    <row r="431" spans="1:47">
      <c r="A431" s="147" t="s">
        <v>1367</v>
      </c>
      <c r="B431" s="136" t="s">
        <v>270</v>
      </c>
      <c r="C431" s="136" t="str">
        <f>tbl_IO_List[[#This Row],[Column3]]</f>
        <v>C2S07,08</v>
      </c>
      <c r="D431" s="136" t="str">
        <f>tbl_IO_List[[#This Row],[Card]]</f>
        <v>1756-OB32-8</v>
      </c>
      <c r="E431" s="136" t="s">
        <v>1366</v>
      </c>
      <c r="F431" s="136" t="str">
        <f>tbl_IO_List[[#This Row],[Column23]]&amp;"-" &amp;tbl_IO_List[[#This Row],[Column52]]</f>
        <v>C2S07-X1</v>
      </c>
      <c r="G431" s="136" t="str">
        <f>tbl_IO_List[[#This Row],[PLC_Tag]]</f>
        <v>XV-60261FD_DO_1</v>
      </c>
      <c r="H431" s="136"/>
      <c r="I431" s="136" t="str">
        <f>VLOOKUP(tbl_IO_List[[#This Row],[Destination]],tbl_Junction[],2,FALSE)</f>
        <v>Spray Dryer 7th Floor</v>
      </c>
      <c r="J431" s="136" t="s">
        <v>270</v>
      </c>
      <c r="K431" s="136" t="s">
        <v>14</v>
      </c>
      <c r="L431" s="136" t="s">
        <v>302</v>
      </c>
      <c r="M431" s="136">
        <f>VLOOKUP(tbl_IO_List[[#This Row],[Instruement Tag]],tbl_Instruement_List[],2,FALSE)</f>
        <v>0</v>
      </c>
      <c r="N431" s="136" t="s">
        <v>95</v>
      </c>
      <c r="O431" s="136" t="s">
        <v>272</v>
      </c>
      <c r="P431" s="136" t="s">
        <v>273</v>
      </c>
      <c r="Q431" s="136" t="str">
        <f>VLOOKUP(tbl_IO_List[[#This Row],[Instruement Tag]],tbl_Instruement_List[],6,FALSE)</f>
        <v>Feed Slurry On/Off Valve for Nozzle #4 (ATVM-11A)</v>
      </c>
      <c r="R431" s="136"/>
      <c r="S43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431" s="136" t="str">
        <f>tbl_IO_List[[#This Row],[Instruement Tag]]&amp;"_"&amp;tbl_IO_List[[#This Row],[I/O Type]]&amp;"_"&amp;tbl_IO_List[[#This Row],[IO-Point 
(Instruement)]]</f>
        <v>XV-60261FD_DO_1</v>
      </c>
      <c r="U431" s="136" t="s">
        <v>7</v>
      </c>
      <c r="V431" s="136">
        <f>VLOOKUP(tbl_IO_List[[#This Row],[I/O Type]],tbl_Slot_Group[],2,FALSE)</f>
        <v>2</v>
      </c>
      <c r="W431" s="136">
        <v>1</v>
      </c>
      <c r="X431" s="136" t="str">
        <f>tbl_IO_List[[#This Row],[Chassis]]&amp;"S"&amp;TEXT(tbl_IO_List[[#This Row],[Slot]],"00")</f>
        <v>C2S07</v>
      </c>
      <c r="Y431" s="136" t="str">
        <f>tbl_IO_List[[#This Row],[Chassis]]&amp;"S"&amp;TEXT(tbl_IO_List[[#This Row],[Slot]],"00")&amp;tbl_IO_List[[#This Row],[I/O Type]]&amp;TEXT(tbl_IO_List[[#This Row],[Point]],"00")</f>
        <v>C2S07DO08</v>
      </c>
      <c r="Z431" s="136" t="str">
        <f>tbl_IO_List[[#This Row],[Chassis]]&amp;"S"&amp;TEXT(tbl_IO_List[[#This Row],[Slot]],"00")&amp;","&amp;TEXT(tbl_IO_List[[#This Row],[Point]],"00")</f>
        <v>C2S07,08</v>
      </c>
      <c r="AA431" s="136" t="str">
        <f>VLOOKUP(tbl_IO_List[[#This Row],[Column23]],tbl_RackConfig[],5,FALSE) &amp;"-"&amp;tbl_IO_List[[#This Row],[Point]]</f>
        <v>1756-OB32-8</v>
      </c>
      <c r="AB431" s="136"/>
      <c r="AC431" s="136"/>
      <c r="AD431" s="136" t="str">
        <f>tbl_IO_List[[#This Row],[I/O Type]]</f>
        <v>DO</v>
      </c>
      <c r="AE431" s="136" t="s">
        <v>1333</v>
      </c>
      <c r="AF431" s="136">
        <v>7</v>
      </c>
      <c r="AG431" s="136">
        <v>8</v>
      </c>
      <c r="AH431" s="136">
        <v>9</v>
      </c>
      <c r="AI431" s="136">
        <v>9</v>
      </c>
      <c r="AJ431" s="136">
        <v>2</v>
      </c>
      <c r="AK431" s="136">
        <v>1</v>
      </c>
      <c r="AL431" s="136">
        <v>0</v>
      </c>
      <c r="AM431" s="136">
        <v>0</v>
      </c>
      <c r="AN431" s="136">
        <v>0</v>
      </c>
      <c r="AO431" s="136"/>
      <c r="AP431" s="143" t="str">
        <f>VLOOKUP(tbl_IO_List[[#This Row],[Instruement Tag]],tbl_Instruement_List[],14,FALSE)</f>
        <v>24 VDC energized,Dry Contact</v>
      </c>
      <c r="AQ431" s="143" t="str">
        <f>tbl_IO_List[[#This Row],[Chassis]]&amp;"S"&amp;tbl_IO_List[[#This Row],[Slot]]&amp;"-"&amp;tbl_IO_List[[#This Row],[Front Terminal Number]]</f>
        <v>C2S7-9</v>
      </c>
      <c r="AR431" s="141" t="s">
        <v>1867</v>
      </c>
      <c r="AS431" s="136" t="str">
        <f>tbl_IO_List[[#This Row],[Terminal Tagging]]&amp;"-"&amp;tbl_IO_List[[#This Row],[Point-Count]]</f>
        <v>P2-TBRL2-9</v>
      </c>
      <c r="AT431" s="136" t="str">
        <f>tbl_IO_List[[#This Row],[Front Terminal Tagging]]&amp;"/"&amp;tbl_IO_List[[#This Row],[Terminal Tagging-Item]]</f>
        <v>C2S7-9/P2-TBRL2-9</v>
      </c>
      <c r="AU431" s="136" t="str">
        <f>tbl_IO_List[[#This Row],[Terminal Tagging-Item]]&amp;"/"&amp;tbl_IO_List[[#This Row],[Front Terminal Tagging]]</f>
        <v>P2-TBRL2-9/C2S7-9</v>
      </c>
    </row>
    <row r="432" spans="1:47">
      <c r="A432" s="147" t="s">
        <v>1367</v>
      </c>
      <c r="B432" s="136" t="s">
        <v>270</v>
      </c>
      <c r="C432" s="136" t="str">
        <f>tbl_IO_List[[#This Row],[Column3]]</f>
        <v>C2S07,09</v>
      </c>
      <c r="D432" s="136" t="str">
        <f>tbl_IO_List[[#This Row],[Card]]</f>
        <v>1756-OB32-9</v>
      </c>
      <c r="E432" s="136" t="s">
        <v>1366</v>
      </c>
      <c r="F432" s="136" t="str">
        <f>tbl_IO_List[[#This Row],[Column23]]&amp;"-" &amp;tbl_IO_List[[#This Row],[Column52]]</f>
        <v>C2S07-X1</v>
      </c>
      <c r="G432" s="136" t="str">
        <f>tbl_IO_List[[#This Row],[PLC_Tag]]</f>
        <v>XV-60261SA_DO_1</v>
      </c>
      <c r="H432" s="136"/>
      <c r="I432" s="136" t="str">
        <f>VLOOKUP(tbl_IO_List[[#This Row],[Destination]],tbl_Junction[],2,FALSE)</f>
        <v>Spray Dryer 7th Floor</v>
      </c>
      <c r="J432" s="136" t="s">
        <v>270</v>
      </c>
      <c r="K432" s="136" t="s">
        <v>14</v>
      </c>
      <c r="L432" s="136" t="s">
        <v>303</v>
      </c>
      <c r="M432" s="136">
        <f>VLOOKUP(tbl_IO_List[[#This Row],[Instruement Tag]],tbl_Instruement_List[],2,FALSE)</f>
        <v>0</v>
      </c>
      <c r="N432" s="136" t="s">
        <v>95</v>
      </c>
      <c r="O432" s="136" t="s">
        <v>272</v>
      </c>
      <c r="P432" s="136" t="s">
        <v>273</v>
      </c>
      <c r="Q432" s="136" t="str">
        <f>VLOOKUP(tbl_IO_List[[#This Row],[Instruement Tag]],tbl_Instruement_List[],6,FALSE)</f>
        <v>Steam On/Off Valve for Nozzle #1 (ATVM-11A)</v>
      </c>
      <c r="R432" s="136"/>
      <c r="S43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432" s="136" t="str">
        <f>tbl_IO_List[[#This Row],[Instruement Tag]]&amp;"_"&amp;tbl_IO_List[[#This Row],[I/O Type]]&amp;"_"&amp;tbl_IO_List[[#This Row],[IO-Point 
(Instruement)]]</f>
        <v>XV-60261SA_DO_1</v>
      </c>
      <c r="U432" s="136" t="s">
        <v>7</v>
      </c>
      <c r="V432" s="136">
        <f>VLOOKUP(tbl_IO_List[[#This Row],[I/O Type]],tbl_Slot_Group[],2,FALSE)</f>
        <v>2</v>
      </c>
      <c r="W432" s="136">
        <v>1</v>
      </c>
      <c r="X432" s="136" t="str">
        <f>tbl_IO_List[[#This Row],[Chassis]]&amp;"S"&amp;TEXT(tbl_IO_List[[#This Row],[Slot]],"00")</f>
        <v>C2S07</v>
      </c>
      <c r="Y432" s="136" t="str">
        <f>tbl_IO_List[[#This Row],[Chassis]]&amp;"S"&amp;TEXT(tbl_IO_List[[#This Row],[Slot]],"00")&amp;tbl_IO_List[[#This Row],[I/O Type]]&amp;TEXT(tbl_IO_List[[#This Row],[Point]],"00")</f>
        <v>C2S07DO09</v>
      </c>
      <c r="Z432" s="136" t="str">
        <f>tbl_IO_List[[#This Row],[Chassis]]&amp;"S"&amp;TEXT(tbl_IO_List[[#This Row],[Slot]],"00")&amp;","&amp;TEXT(tbl_IO_List[[#This Row],[Point]],"00")</f>
        <v>C2S07,09</v>
      </c>
      <c r="AA432" s="136" t="str">
        <f>VLOOKUP(tbl_IO_List[[#This Row],[Column23]],tbl_RackConfig[],5,FALSE) &amp;"-"&amp;tbl_IO_List[[#This Row],[Point]]</f>
        <v>1756-OB32-9</v>
      </c>
      <c r="AB432" s="136"/>
      <c r="AC432" s="136"/>
      <c r="AD432" s="136" t="str">
        <f>tbl_IO_List[[#This Row],[I/O Type]]</f>
        <v>DO</v>
      </c>
      <c r="AE432" s="136" t="s">
        <v>1333</v>
      </c>
      <c r="AF432" s="136">
        <v>7</v>
      </c>
      <c r="AG432" s="136">
        <v>9</v>
      </c>
      <c r="AH432" s="136">
        <v>10</v>
      </c>
      <c r="AI432" s="136">
        <v>10</v>
      </c>
      <c r="AJ432" s="136">
        <v>2</v>
      </c>
      <c r="AK432" s="136">
        <v>1</v>
      </c>
      <c r="AL432" s="136">
        <v>0</v>
      </c>
      <c r="AM432" s="136">
        <v>0</v>
      </c>
      <c r="AN432" s="136">
        <v>0</v>
      </c>
      <c r="AO432" s="136"/>
      <c r="AP432" s="143" t="str">
        <f>VLOOKUP(tbl_IO_List[[#This Row],[Instruement Tag]],tbl_Instruement_List[],14,FALSE)</f>
        <v>24 VDC energized,Dry Contact</v>
      </c>
      <c r="AQ432" s="143" t="str">
        <f>tbl_IO_List[[#This Row],[Chassis]]&amp;"S"&amp;tbl_IO_List[[#This Row],[Slot]]&amp;"-"&amp;tbl_IO_List[[#This Row],[Front Terminal Number]]</f>
        <v>C2S7-10</v>
      </c>
      <c r="AR432" s="141" t="s">
        <v>1867</v>
      </c>
      <c r="AS432" s="136" t="str">
        <f>tbl_IO_List[[#This Row],[Terminal Tagging]]&amp;"-"&amp;tbl_IO_List[[#This Row],[Point-Count]]</f>
        <v>P2-TBRL2-10</v>
      </c>
      <c r="AT432" s="136" t="str">
        <f>tbl_IO_List[[#This Row],[Front Terminal Tagging]]&amp;"/"&amp;tbl_IO_List[[#This Row],[Terminal Tagging-Item]]</f>
        <v>C2S7-10/P2-TBRL2-10</v>
      </c>
      <c r="AU432" s="136" t="str">
        <f>tbl_IO_List[[#This Row],[Terminal Tagging-Item]]&amp;"/"&amp;tbl_IO_List[[#This Row],[Front Terminal Tagging]]</f>
        <v>P2-TBRL2-10/C2S7-10</v>
      </c>
    </row>
    <row r="433" spans="1:47">
      <c r="A433" s="147" t="s">
        <v>1367</v>
      </c>
      <c r="B433" s="136" t="s">
        <v>270</v>
      </c>
      <c r="C433" s="136" t="str">
        <f>tbl_IO_List[[#This Row],[Column3]]</f>
        <v>C2S07,10</v>
      </c>
      <c r="D433" s="136" t="str">
        <f>tbl_IO_List[[#This Row],[Card]]</f>
        <v>1756-OB32-10</v>
      </c>
      <c r="E433" s="136" t="s">
        <v>1366</v>
      </c>
      <c r="F433" s="136" t="str">
        <f>tbl_IO_List[[#This Row],[Column23]]&amp;"-" &amp;tbl_IO_List[[#This Row],[Column52]]</f>
        <v>C2S07-X1</v>
      </c>
      <c r="G433" s="136" t="str">
        <f>tbl_IO_List[[#This Row],[PLC_Tag]]</f>
        <v>XV-60261SB_DO_1</v>
      </c>
      <c r="H433" s="136"/>
      <c r="I433" s="136" t="str">
        <f>VLOOKUP(tbl_IO_List[[#This Row],[Destination]],tbl_Junction[],2,FALSE)</f>
        <v>Spray Dryer 7th Floor</v>
      </c>
      <c r="J433" s="136" t="s">
        <v>270</v>
      </c>
      <c r="K433" s="136" t="s">
        <v>14</v>
      </c>
      <c r="L433" s="136" t="s">
        <v>304</v>
      </c>
      <c r="M433" s="136">
        <f>VLOOKUP(tbl_IO_List[[#This Row],[Instruement Tag]],tbl_Instruement_List[],2,FALSE)</f>
        <v>0</v>
      </c>
      <c r="N433" s="136" t="s">
        <v>95</v>
      </c>
      <c r="O433" s="136" t="s">
        <v>272</v>
      </c>
      <c r="P433" s="136" t="s">
        <v>273</v>
      </c>
      <c r="Q433" s="136" t="str">
        <f>VLOOKUP(tbl_IO_List[[#This Row],[Instruement Tag]],tbl_Instruement_List[],6,FALSE)</f>
        <v>Steam On/Off Valve for Nozzle #2 (ATVM-11A)</v>
      </c>
      <c r="R433" s="136"/>
      <c r="S43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433" s="136" t="str">
        <f>tbl_IO_List[[#This Row],[Instruement Tag]]&amp;"_"&amp;tbl_IO_List[[#This Row],[I/O Type]]&amp;"_"&amp;tbl_IO_List[[#This Row],[IO-Point 
(Instruement)]]</f>
        <v>XV-60261SB_DO_1</v>
      </c>
      <c r="U433" s="136" t="s">
        <v>7</v>
      </c>
      <c r="V433" s="136">
        <f>VLOOKUP(tbl_IO_List[[#This Row],[I/O Type]],tbl_Slot_Group[],2,FALSE)</f>
        <v>2</v>
      </c>
      <c r="W433" s="136">
        <v>1</v>
      </c>
      <c r="X433" s="136" t="str">
        <f>tbl_IO_List[[#This Row],[Chassis]]&amp;"S"&amp;TEXT(tbl_IO_List[[#This Row],[Slot]],"00")</f>
        <v>C2S07</v>
      </c>
      <c r="Y433" s="136" t="str">
        <f>tbl_IO_List[[#This Row],[Chassis]]&amp;"S"&amp;TEXT(tbl_IO_List[[#This Row],[Slot]],"00")&amp;tbl_IO_List[[#This Row],[I/O Type]]&amp;TEXT(tbl_IO_List[[#This Row],[Point]],"00")</f>
        <v>C2S07DO10</v>
      </c>
      <c r="Z433" s="136" t="str">
        <f>tbl_IO_List[[#This Row],[Chassis]]&amp;"S"&amp;TEXT(tbl_IO_List[[#This Row],[Slot]],"00")&amp;","&amp;TEXT(tbl_IO_List[[#This Row],[Point]],"00")</f>
        <v>C2S07,10</v>
      </c>
      <c r="AA433" s="136" t="str">
        <f>VLOOKUP(tbl_IO_List[[#This Row],[Column23]],tbl_RackConfig[],5,FALSE) &amp;"-"&amp;tbl_IO_List[[#This Row],[Point]]</f>
        <v>1756-OB32-10</v>
      </c>
      <c r="AB433" s="136"/>
      <c r="AC433" s="136"/>
      <c r="AD433" s="136" t="str">
        <f>tbl_IO_List[[#This Row],[I/O Type]]</f>
        <v>DO</v>
      </c>
      <c r="AE433" s="136" t="s">
        <v>1333</v>
      </c>
      <c r="AF433" s="136">
        <v>7</v>
      </c>
      <c r="AG433" s="136">
        <v>10</v>
      </c>
      <c r="AH433" s="136">
        <v>11</v>
      </c>
      <c r="AI433" s="136">
        <v>11</v>
      </c>
      <c r="AJ433" s="136">
        <v>2</v>
      </c>
      <c r="AK433" s="136">
        <v>1</v>
      </c>
      <c r="AL433" s="136">
        <v>0</v>
      </c>
      <c r="AM433" s="136">
        <v>0</v>
      </c>
      <c r="AN433" s="136">
        <v>0</v>
      </c>
      <c r="AO433" s="136"/>
      <c r="AP433" s="143" t="str">
        <f>VLOOKUP(tbl_IO_List[[#This Row],[Instruement Tag]],tbl_Instruement_List[],14,FALSE)</f>
        <v>24 VDC energized,Dry Contact</v>
      </c>
      <c r="AQ433" s="143" t="str">
        <f>tbl_IO_List[[#This Row],[Chassis]]&amp;"S"&amp;tbl_IO_List[[#This Row],[Slot]]&amp;"-"&amp;tbl_IO_List[[#This Row],[Front Terminal Number]]</f>
        <v>C2S7-11</v>
      </c>
      <c r="AR433" s="141" t="s">
        <v>1867</v>
      </c>
      <c r="AS433" s="136" t="str">
        <f>tbl_IO_List[[#This Row],[Terminal Tagging]]&amp;"-"&amp;tbl_IO_List[[#This Row],[Point-Count]]</f>
        <v>P2-TBRL2-11</v>
      </c>
      <c r="AT433" s="136" t="str">
        <f>tbl_IO_List[[#This Row],[Front Terminal Tagging]]&amp;"/"&amp;tbl_IO_List[[#This Row],[Terminal Tagging-Item]]</f>
        <v>C2S7-11/P2-TBRL2-11</v>
      </c>
      <c r="AU433" s="136" t="str">
        <f>tbl_IO_List[[#This Row],[Terminal Tagging-Item]]&amp;"/"&amp;tbl_IO_List[[#This Row],[Front Terminal Tagging]]</f>
        <v>P2-TBRL2-11/C2S7-11</v>
      </c>
    </row>
    <row r="434" spans="1:47">
      <c r="A434" s="147" t="s">
        <v>1367</v>
      </c>
      <c r="B434" s="136" t="s">
        <v>270</v>
      </c>
      <c r="C434" s="136" t="str">
        <f>tbl_IO_List[[#This Row],[Column3]]</f>
        <v>C2S07,11</v>
      </c>
      <c r="D434" s="136" t="str">
        <f>tbl_IO_List[[#This Row],[Card]]</f>
        <v>1756-OB32-11</v>
      </c>
      <c r="E434" s="136" t="s">
        <v>1366</v>
      </c>
      <c r="F434" s="136" t="str">
        <f>tbl_IO_List[[#This Row],[Column23]]&amp;"-" &amp;tbl_IO_List[[#This Row],[Column52]]</f>
        <v>C2S07-X1</v>
      </c>
      <c r="G434" s="136" t="str">
        <f>tbl_IO_List[[#This Row],[PLC_Tag]]</f>
        <v>XV-60261SC_DO_1</v>
      </c>
      <c r="H434" s="136"/>
      <c r="I434" s="136" t="str">
        <f>VLOOKUP(tbl_IO_List[[#This Row],[Destination]],tbl_Junction[],2,FALSE)</f>
        <v>Spray Dryer 7th Floor</v>
      </c>
      <c r="J434" s="136" t="s">
        <v>270</v>
      </c>
      <c r="K434" s="136" t="s">
        <v>14</v>
      </c>
      <c r="L434" s="136" t="s">
        <v>305</v>
      </c>
      <c r="M434" s="136">
        <f>VLOOKUP(tbl_IO_List[[#This Row],[Instruement Tag]],tbl_Instruement_List[],2,FALSE)</f>
        <v>0</v>
      </c>
      <c r="N434" s="136" t="s">
        <v>95</v>
      </c>
      <c r="O434" s="136" t="s">
        <v>272</v>
      </c>
      <c r="P434" s="136" t="s">
        <v>273</v>
      </c>
      <c r="Q434" s="136" t="str">
        <f>VLOOKUP(tbl_IO_List[[#This Row],[Instruement Tag]],tbl_Instruement_List[],6,FALSE)</f>
        <v>Steam On/Off Valve for Nozzle #3 (ATVM-11A)</v>
      </c>
      <c r="R434" s="136"/>
      <c r="S43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434" s="136" t="str">
        <f>tbl_IO_List[[#This Row],[Instruement Tag]]&amp;"_"&amp;tbl_IO_List[[#This Row],[I/O Type]]&amp;"_"&amp;tbl_IO_List[[#This Row],[IO-Point 
(Instruement)]]</f>
        <v>XV-60261SC_DO_1</v>
      </c>
      <c r="U434" s="136" t="s">
        <v>7</v>
      </c>
      <c r="V434" s="136">
        <f>VLOOKUP(tbl_IO_List[[#This Row],[I/O Type]],tbl_Slot_Group[],2,FALSE)</f>
        <v>2</v>
      </c>
      <c r="W434" s="136">
        <v>1</v>
      </c>
      <c r="X434" s="136" t="str">
        <f>tbl_IO_List[[#This Row],[Chassis]]&amp;"S"&amp;TEXT(tbl_IO_List[[#This Row],[Slot]],"00")</f>
        <v>C2S07</v>
      </c>
      <c r="Y434" s="136" t="str">
        <f>tbl_IO_List[[#This Row],[Chassis]]&amp;"S"&amp;TEXT(tbl_IO_List[[#This Row],[Slot]],"00")&amp;tbl_IO_List[[#This Row],[I/O Type]]&amp;TEXT(tbl_IO_List[[#This Row],[Point]],"00")</f>
        <v>C2S07DO11</v>
      </c>
      <c r="Z434" s="136" t="str">
        <f>tbl_IO_List[[#This Row],[Chassis]]&amp;"S"&amp;TEXT(tbl_IO_List[[#This Row],[Slot]],"00")&amp;","&amp;TEXT(tbl_IO_List[[#This Row],[Point]],"00")</f>
        <v>C2S07,11</v>
      </c>
      <c r="AA434" s="136" t="str">
        <f>VLOOKUP(tbl_IO_List[[#This Row],[Column23]],tbl_RackConfig[],5,FALSE) &amp;"-"&amp;tbl_IO_List[[#This Row],[Point]]</f>
        <v>1756-OB32-11</v>
      </c>
      <c r="AB434" s="136"/>
      <c r="AC434" s="136"/>
      <c r="AD434" s="136" t="str">
        <f>tbl_IO_List[[#This Row],[I/O Type]]</f>
        <v>DO</v>
      </c>
      <c r="AE434" s="136" t="s">
        <v>1333</v>
      </c>
      <c r="AF434" s="136">
        <v>7</v>
      </c>
      <c r="AG434" s="136">
        <v>11</v>
      </c>
      <c r="AH434" s="136">
        <v>12</v>
      </c>
      <c r="AI434" s="136">
        <v>12</v>
      </c>
      <c r="AJ434" s="136">
        <v>2</v>
      </c>
      <c r="AK434" s="136">
        <v>1</v>
      </c>
      <c r="AL434" s="136">
        <v>0</v>
      </c>
      <c r="AM434" s="136">
        <v>0</v>
      </c>
      <c r="AN434" s="136">
        <v>0</v>
      </c>
      <c r="AO434" s="136"/>
      <c r="AP434" s="143" t="str">
        <f>VLOOKUP(tbl_IO_List[[#This Row],[Instruement Tag]],tbl_Instruement_List[],14,FALSE)</f>
        <v>24 VDC energized,Dry Contact</v>
      </c>
      <c r="AQ434" s="143" t="str">
        <f>tbl_IO_List[[#This Row],[Chassis]]&amp;"S"&amp;tbl_IO_List[[#This Row],[Slot]]&amp;"-"&amp;tbl_IO_List[[#This Row],[Front Terminal Number]]</f>
        <v>C2S7-12</v>
      </c>
      <c r="AR434" s="141" t="s">
        <v>1867</v>
      </c>
      <c r="AS434" s="136" t="str">
        <f>tbl_IO_List[[#This Row],[Terminal Tagging]]&amp;"-"&amp;tbl_IO_List[[#This Row],[Point-Count]]</f>
        <v>P2-TBRL2-12</v>
      </c>
      <c r="AT434" s="136" t="str">
        <f>tbl_IO_List[[#This Row],[Front Terminal Tagging]]&amp;"/"&amp;tbl_IO_List[[#This Row],[Terminal Tagging-Item]]</f>
        <v>C2S7-12/P2-TBRL2-12</v>
      </c>
      <c r="AU434" s="136" t="str">
        <f>tbl_IO_List[[#This Row],[Terminal Tagging-Item]]&amp;"/"&amp;tbl_IO_List[[#This Row],[Front Terminal Tagging]]</f>
        <v>P2-TBRL2-12/C2S7-12</v>
      </c>
    </row>
    <row r="435" spans="1:47">
      <c r="A435" s="147" t="s">
        <v>1367</v>
      </c>
      <c r="B435" s="136" t="s">
        <v>270</v>
      </c>
      <c r="C435" s="136" t="str">
        <f>tbl_IO_List[[#This Row],[Column3]]</f>
        <v>C2S07,12</v>
      </c>
      <c r="D435" s="136" t="str">
        <f>tbl_IO_List[[#This Row],[Card]]</f>
        <v>1756-OB32-12</v>
      </c>
      <c r="E435" s="136" t="s">
        <v>1366</v>
      </c>
      <c r="F435" s="136" t="str">
        <f>tbl_IO_List[[#This Row],[Column23]]&amp;"-" &amp;tbl_IO_List[[#This Row],[Column52]]</f>
        <v>C2S07-X1</v>
      </c>
      <c r="G435" s="136" t="str">
        <f>tbl_IO_List[[#This Row],[PLC_Tag]]</f>
        <v>XV-60261SD_DO_1</v>
      </c>
      <c r="H435" s="136"/>
      <c r="I435" s="136" t="str">
        <f>VLOOKUP(tbl_IO_List[[#This Row],[Destination]],tbl_Junction[],2,FALSE)</f>
        <v>Spray Dryer 7th Floor</v>
      </c>
      <c r="J435" s="136" t="s">
        <v>270</v>
      </c>
      <c r="K435" s="136" t="s">
        <v>14</v>
      </c>
      <c r="L435" s="136" t="s">
        <v>306</v>
      </c>
      <c r="M435" s="136">
        <f>VLOOKUP(tbl_IO_List[[#This Row],[Instruement Tag]],tbl_Instruement_List[],2,FALSE)</f>
        <v>0</v>
      </c>
      <c r="N435" s="136" t="s">
        <v>95</v>
      </c>
      <c r="O435" s="136" t="s">
        <v>272</v>
      </c>
      <c r="P435" s="136" t="s">
        <v>273</v>
      </c>
      <c r="Q435" s="136" t="str">
        <f>VLOOKUP(tbl_IO_List[[#This Row],[Instruement Tag]],tbl_Instruement_List[],6,FALSE)</f>
        <v>Steam On/Off Valve for Nozzle #4 (ATVM-11A)</v>
      </c>
      <c r="R435" s="136"/>
      <c r="S43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435" s="136" t="str">
        <f>tbl_IO_List[[#This Row],[Instruement Tag]]&amp;"_"&amp;tbl_IO_List[[#This Row],[I/O Type]]&amp;"_"&amp;tbl_IO_List[[#This Row],[IO-Point 
(Instruement)]]</f>
        <v>XV-60261SD_DO_1</v>
      </c>
      <c r="U435" s="136" t="s">
        <v>7</v>
      </c>
      <c r="V435" s="136">
        <f>VLOOKUP(tbl_IO_List[[#This Row],[I/O Type]],tbl_Slot_Group[],2,FALSE)</f>
        <v>2</v>
      </c>
      <c r="W435" s="136">
        <v>1</v>
      </c>
      <c r="X435" s="136" t="str">
        <f>tbl_IO_List[[#This Row],[Chassis]]&amp;"S"&amp;TEXT(tbl_IO_List[[#This Row],[Slot]],"00")</f>
        <v>C2S07</v>
      </c>
      <c r="Y435" s="136" t="str">
        <f>tbl_IO_List[[#This Row],[Chassis]]&amp;"S"&amp;TEXT(tbl_IO_List[[#This Row],[Slot]],"00")&amp;tbl_IO_List[[#This Row],[I/O Type]]&amp;TEXT(tbl_IO_List[[#This Row],[Point]],"00")</f>
        <v>C2S07DO12</v>
      </c>
      <c r="Z435" s="136" t="str">
        <f>tbl_IO_List[[#This Row],[Chassis]]&amp;"S"&amp;TEXT(tbl_IO_List[[#This Row],[Slot]],"00")&amp;","&amp;TEXT(tbl_IO_List[[#This Row],[Point]],"00")</f>
        <v>C2S07,12</v>
      </c>
      <c r="AA435" s="136" t="str">
        <f>VLOOKUP(tbl_IO_List[[#This Row],[Column23]],tbl_RackConfig[],5,FALSE) &amp;"-"&amp;tbl_IO_List[[#This Row],[Point]]</f>
        <v>1756-OB32-12</v>
      </c>
      <c r="AB435" s="136"/>
      <c r="AC435" s="136"/>
      <c r="AD435" s="136" t="str">
        <f>tbl_IO_List[[#This Row],[I/O Type]]</f>
        <v>DO</v>
      </c>
      <c r="AE435" s="136" t="s">
        <v>1333</v>
      </c>
      <c r="AF435" s="136">
        <v>7</v>
      </c>
      <c r="AG435" s="136">
        <v>12</v>
      </c>
      <c r="AH435" s="136">
        <v>13</v>
      </c>
      <c r="AI435" s="136">
        <v>13</v>
      </c>
      <c r="AJ435" s="136">
        <v>2</v>
      </c>
      <c r="AK435" s="136">
        <v>1</v>
      </c>
      <c r="AL435" s="136">
        <v>0</v>
      </c>
      <c r="AM435" s="136">
        <v>0</v>
      </c>
      <c r="AN435" s="136">
        <v>0</v>
      </c>
      <c r="AO435" s="136"/>
      <c r="AP435" s="143" t="str">
        <f>VLOOKUP(tbl_IO_List[[#This Row],[Instruement Tag]],tbl_Instruement_List[],14,FALSE)</f>
        <v>24 VDC energized,Dry Contact</v>
      </c>
      <c r="AQ435" s="143" t="str">
        <f>tbl_IO_List[[#This Row],[Chassis]]&amp;"S"&amp;tbl_IO_List[[#This Row],[Slot]]&amp;"-"&amp;tbl_IO_List[[#This Row],[Front Terminal Number]]</f>
        <v>C2S7-13</v>
      </c>
      <c r="AR435" s="141" t="s">
        <v>1867</v>
      </c>
      <c r="AS435" s="136" t="str">
        <f>tbl_IO_List[[#This Row],[Terminal Tagging]]&amp;"-"&amp;tbl_IO_List[[#This Row],[Point-Count]]</f>
        <v>P2-TBRL2-13</v>
      </c>
      <c r="AT435" s="136" t="str">
        <f>tbl_IO_List[[#This Row],[Front Terminal Tagging]]&amp;"/"&amp;tbl_IO_List[[#This Row],[Terminal Tagging-Item]]</f>
        <v>C2S7-13/P2-TBRL2-13</v>
      </c>
      <c r="AU435" s="136" t="str">
        <f>tbl_IO_List[[#This Row],[Terminal Tagging-Item]]&amp;"/"&amp;tbl_IO_List[[#This Row],[Front Terminal Tagging]]</f>
        <v>P2-TBRL2-13/C2S7-13</v>
      </c>
    </row>
    <row r="436" spans="1:47">
      <c r="A436" s="147" t="s">
        <v>1367</v>
      </c>
      <c r="B436" s="136" t="s">
        <v>270</v>
      </c>
      <c r="C436" s="136" t="str">
        <f>tbl_IO_List[[#This Row],[Column3]]</f>
        <v>C2S07,13</v>
      </c>
      <c r="D436" s="136" t="str">
        <f>tbl_IO_List[[#This Row],[Card]]</f>
        <v>1756-OB32-13</v>
      </c>
      <c r="E436" s="136" t="s">
        <v>1366</v>
      </c>
      <c r="F436" s="136" t="str">
        <f>tbl_IO_List[[#This Row],[Column23]]&amp;"-" &amp;tbl_IO_List[[#This Row],[Column52]]</f>
        <v>C2S07-X1</v>
      </c>
      <c r="G436" s="136" t="str">
        <f>tbl_IO_List[[#This Row],[PLC_Tag]]</f>
        <v>XV-60262_DO_1</v>
      </c>
      <c r="H436" s="136"/>
      <c r="I436" s="136" t="str">
        <f>VLOOKUP(tbl_IO_List[[#This Row],[Destination]],tbl_Junction[],2,FALSE)</f>
        <v>Spray Dryer 7th Floor</v>
      </c>
      <c r="J436" s="136" t="s">
        <v>270</v>
      </c>
      <c r="K436" s="136" t="s">
        <v>14</v>
      </c>
      <c r="L436" s="136" t="s">
        <v>1387</v>
      </c>
      <c r="M436" s="136" t="e">
        <f>VLOOKUP(tbl_IO_List[[#This Row],[Instruement Tag]],tbl_Instruement_List[],2,FALSE)</f>
        <v>#N/A</v>
      </c>
      <c r="N436" s="136" t="s">
        <v>95</v>
      </c>
      <c r="O436" s="136" t="s">
        <v>272</v>
      </c>
      <c r="P436" s="136" t="s">
        <v>18</v>
      </c>
      <c r="Q436" s="136" t="e">
        <f>VLOOKUP(tbl_IO_List[[#This Row],[Instruement Tag]],tbl_Instruement_List[],6,FALSE)</f>
        <v>#N/A</v>
      </c>
      <c r="R436" s="136"/>
      <c r="S43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436" s="136" t="str">
        <f>tbl_IO_List[[#This Row],[Instruement Tag]]&amp;"_"&amp;tbl_IO_List[[#This Row],[I/O Type]]&amp;"_"&amp;tbl_IO_List[[#This Row],[IO-Point 
(Instruement)]]</f>
        <v>XV-60262_DO_1</v>
      </c>
      <c r="U436" s="136" t="s">
        <v>7</v>
      </c>
      <c r="V436" s="136">
        <f>VLOOKUP(tbl_IO_List[[#This Row],[I/O Type]],tbl_Slot_Group[],2,FALSE)</f>
        <v>2</v>
      </c>
      <c r="W436" s="136">
        <v>1</v>
      </c>
      <c r="X436" s="136" t="str">
        <f>tbl_IO_List[[#This Row],[Chassis]]&amp;"S"&amp;TEXT(tbl_IO_List[[#This Row],[Slot]],"00")</f>
        <v>C2S07</v>
      </c>
      <c r="Y436" s="136" t="str">
        <f>tbl_IO_List[[#This Row],[Chassis]]&amp;"S"&amp;TEXT(tbl_IO_List[[#This Row],[Slot]],"00")&amp;tbl_IO_List[[#This Row],[I/O Type]]&amp;TEXT(tbl_IO_List[[#This Row],[Point]],"00")</f>
        <v>C2S07DO13</v>
      </c>
      <c r="Z436" s="136" t="str">
        <f>tbl_IO_List[[#This Row],[Chassis]]&amp;"S"&amp;TEXT(tbl_IO_List[[#This Row],[Slot]],"00")&amp;","&amp;TEXT(tbl_IO_List[[#This Row],[Point]],"00")</f>
        <v>C2S07,13</v>
      </c>
      <c r="AA436" s="136" t="str">
        <f>VLOOKUP(tbl_IO_List[[#This Row],[Column23]],tbl_RackConfig[],5,FALSE) &amp;"-"&amp;tbl_IO_List[[#This Row],[Point]]</f>
        <v>1756-OB32-13</v>
      </c>
      <c r="AB436" s="136"/>
      <c r="AC436" s="136"/>
      <c r="AD436" s="136" t="str">
        <f>tbl_IO_List[[#This Row],[I/O Type]]</f>
        <v>DO</v>
      </c>
      <c r="AE436" s="136" t="s">
        <v>1333</v>
      </c>
      <c r="AF436" s="136">
        <v>7</v>
      </c>
      <c r="AG436" s="136">
        <v>13</v>
      </c>
      <c r="AH436" s="136">
        <v>14</v>
      </c>
      <c r="AI436" s="136">
        <v>14</v>
      </c>
      <c r="AJ436" s="136">
        <v>2</v>
      </c>
      <c r="AK436" s="136">
        <v>1</v>
      </c>
      <c r="AL436" s="136">
        <v>0</v>
      </c>
      <c r="AM436" s="136">
        <v>0</v>
      </c>
      <c r="AN436" s="136">
        <v>0</v>
      </c>
      <c r="AO436" s="136"/>
      <c r="AP436" s="143" t="e">
        <f>VLOOKUP(tbl_IO_List[[#This Row],[Instruement Tag]],tbl_Instruement_List[],14,FALSE)</f>
        <v>#N/A</v>
      </c>
      <c r="AQ436" s="143" t="str">
        <f>tbl_IO_List[[#This Row],[Chassis]]&amp;"S"&amp;tbl_IO_List[[#This Row],[Slot]]&amp;"-"&amp;tbl_IO_List[[#This Row],[Front Terminal Number]]</f>
        <v>C2S7-14</v>
      </c>
      <c r="AR436" s="141" t="s">
        <v>1867</v>
      </c>
      <c r="AS436" s="136" t="str">
        <f>tbl_IO_List[[#This Row],[Terminal Tagging]]&amp;"-"&amp;tbl_IO_List[[#This Row],[Point-Count]]</f>
        <v>P2-TBRL2-14</v>
      </c>
      <c r="AT436" s="136" t="str">
        <f>tbl_IO_List[[#This Row],[Front Terminal Tagging]]&amp;"/"&amp;tbl_IO_List[[#This Row],[Terminal Tagging-Item]]</f>
        <v>C2S7-14/P2-TBRL2-14</v>
      </c>
      <c r="AU436" s="136" t="str">
        <f>tbl_IO_List[[#This Row],[Terminal Tagging-Item]]&amp;"/"&amp;tbl_IO_List[[#This Row],[Front Terminal Tagging]]</f>
        <v>P2-TBRL2-14/C2S7-14</v>
      </c>
    </row>
    <row r="437" spans="1:47">
      <c r="A437" s="147" t="s">
        <v>1367</v>
      </c>
      <c r="B437" s="136" t="s">
        <v>270</v>
      </c>
      <c r="C437" s="136" t="str">
        <f>tbl_IO_List[[#This Row],[Column3]]</f>
        <v>C2S07,14</v>
      </c>
      <c r="D437" s="136" t="str">
        <f>tbl_IO_List[[#This Row],[Card]]</f>
        <v>1756-OB32-14</v>
      </c>
      <c r="E437" s="136" t="s">
        <v>1366</v>
      </c>
      <c r="F437" s="136" t="str">
        <f>tbl_IO_List[[#This Row],[Column23]]&amp;"-" &amp;tbl_IO_List[[#This Row],[Column52]]</f>
        <v>C2S07-X1</v>
      </c>
      <c r="G437" s="136" t="str">
        <f>tbl_IO_List[[#This Row],[PLC_Tag]]</f>
        <v>XV-60262FE_DO_1</v>
      </c>
      <c r="H437" s="136"/>
      <c r="I437" s="136" t="str">
        <f>VLOOKUP(tbl_IO_List[[#This Row],[Destination]],tbl_Junction[],2,FALSE)</f>
        <v>Spray Dryer 7th Floor</v>
      </c>
      <c r="J437" s="136" t="s">
        <v>270</v>
      </c>
      <c r="K437" s="136" t="s">
        <v>14</v>
      </c>
      <c r="L437" s="136" t="s">
        <v>307</v>
      </c>
      <c r="M437" s="136">
        <f>VLOOKUP(tbl_IO_List[[#This Row],[Instruement Tag]],tbl_Instruement_List[],2,FALSE)</f>
        <v>0</v>
      </c>
      <c r="N437" s="136" t="s">
        <v>95</v>
      </c>
      <c r="O437" s="136" t="s">
        <v>272</v>
      </c>
      <c r="P437" s="136" t="s">
        <v>273</v>
      </c>
      <c r="Q437" s="136" t="str">
        <f>VLOOKUP(tbl_IO_List[[#This Row],[Instruement Tag]],tbl_Instruement_List[],6,FALSE)</f>
        <v>Feed Slurry On/Off Valve for Nozzle #5 (ATVM-11B)</v>
      </c>
      <c r="R437" s="136"/>
      <c r="S43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437" s="136" t="str">
        <f>tbl_IO_List[[#This Row],[Instruement Tag]]&amp;"_"&amp;tbl_IO_List[[#This Row],[I/O Type]]&amp;"_"&amp;tbl_IO_List[[#This Row],[IO-Point 
(Instruement)]]</f>
        <v>XV-60262FE_DO_1</v>
      </c>
      <c r="U437" s="136" t="s">
        <v>7</v>
      </c>
      <c r="V437" s="136">
        <f>VLOOKUP(tbl_IO_List[[#This Row],[I/O Type]],tbl_Slot_Group[],2,FALSE)</f>
        <v>2</v>
      </c>
      <c r="W437" s="136">
        <v>1</v>
      </c>
      <c r="X437" s="136" t="str">
        <f>tbl_IO_List[[#This Row],[Chassis]]&amp;"S"&amp;TEXT(tbl_IO_List[[#This Row],[Slot]],"00")</f>
        <v>C2S07</v>
      </c>
      <c r="Y437" s="136" t="str">
        <f>tbl_IO_List[[#This Row],[Chassis]]&amp;"S"&amp;TEXT(tbl_IO_List[[#This Row],[Slot]],"00")&amp;tbl_IO_List[[#This Row],[I/O Type]]&amp;TEXT(tbl_IO_List[[#This Row],[Point]],"00")</f>
        <v>C2S07DO14</v>
      </c>
      <c r="Z437" s="136" t="str">
        <f>tbl_IO_List[[#This Row],[Chassis]]&amp;"S"&amp;TEXT(tbl_IO_List[[#This Row],[Slot]],"00")&amp;","&amp;TEXT(tbl_IO_List[[#This Row],[Point]],"00")</f>
        <v>C2S07,14</v>
      </c>
      <c r="AA437" s="136" t="str">
        <f>VLOOKUP(tbl_IO_List[[#This Row],[Column23]],tbl_RackConfig[],5,FALSE) &amp;"-"&amp;tbl_IO_List[[#This Row],[Point]]</f>
        <v>1756-OB32-14</v>
      </c>
      <c r="AB437" s="136"/>
      <c r="AC437" s="136"/>
      <c r="AD437" s="136" t="str">
        <f>tbl_IO_List[[#This Row],[I/O Type]]</f>
        <v>DO</v>
      </c>
      <c r="AE437" s="136" t="s">
        <v>1333</v>
      </c>
      <c r="AF437" s="136">
        <v>7</v>
      </c>
      <c r="AG437" s="136">
        <v>14</v>
      </c>
      <c r="AH437" s="136">
        <v>15</v>
      </c>
      <c r="AI437" s="136">
        <v>15</v>
      </c>
      <c r="AJ437" s="136">
        <v>2</v>
      </c>
      <c r="AK437" s="136">
        <v>1</v>
      </c>
      <c r="AL437" s="136">
        <v>0</v>
      </c>
      <c r="AM437" s="136">
        <v>0</v>
      </c>
      <c r="AN437" s="136">
        <v>0</v>
      </c>
      <c r="AO437" s="136"/>
      <c r="AP437" s="143" t="str">
        <f>VLOOKUP(tbl_IO_List[[#This Row],[Instruement Tag]],tbl_Instruement_List[],14,FALSE)</f>
        <v>24 VDC energized,Dry Contact</v>
      </c>
      <c r="AQ437" s="143" t="str">
        <f>tbl_IO_List[[#This Row],[Chassis]]&amp;"S"&amp;tbl_IO_List[[#This Row],[Slot]]&amp;"-"&amp;tbl_IO_List[[#This Row],[Front Terminal Number]]</f>
        <v>C2S7-15</v>
      </c>
      <c r="AR437" s="141" t="s">
        <v>1867</v>
      </c>
      <c r="AS437" s="136" t="str">
        <f>tbl_IO_List[[#This Row],[Terminal Tagging]]&amp;"-"&amp;tbl_IO_List[[#This Row],[Point-Count]]</f>
        <v>P2-TBRL2-15</v>
      </c>
      <c r="AT437" s="136" t="str">
        <f>tbl_IO_List[[#This Row],[Front Terminal Tagging]]&amp;"/"&amp;tbl_IO_List[[#This Row],[Terminal Tagging-Item]]</f>
        <v>C2S7-15/P2-TBRL2-15</v>
      </c>
      <c r="AU437" s="136" t="str">
        <f>tbl_IO_List[[#This Row],[Terminal Tagging-Item]]&amp;"/"&amp;tbl_IO_List[[#This Row],[Front Terminal Tagging]]</f>
        <v>P2-TBRL2-15/C2S7-15</v>
      </c>
    </row>
    <row r="438" spans="1:47">
      <c r="A438" s="147" t="s">
        <v>1367</v>
      </c>
      <c r="B438" s="136" t="s">
        <v>270</v>
      </c>
      <c r="C438" s="136" t="str">
        <f>tbl_IO_List[[#This Row],[Column3]]</f>
        <v>C2S07,15</v>
      </c>
      <c r="D438" s="136" t="str">
        <f>tbl_IO_List[[#This Row],[Card]]</f>
        <v>1756-OB32-15</v>
      </c>
      <c r="E438" s="136" t="s">
        <v>1366</v>
      </c>
      <c r="F438" s="136" t="str">
        <f>tbl_IO_List[[#This Row],[Column23]]&amp;"-" &amp;tbl_IO_List[[#This Row],[Column52]]</f>
        <v>C2S07-X1</v>
      </c>
      <c r="G438" s="136" t="str">
        <f>tbl_IO_List[[#This Row],[PLC_Tag]]</f>
        <v>XV-60262FF_DO_1</v>
      </c>
      <c r="H438" s="136"/>
      <c r="I438" s="136" t="str">
        <f>VLOOKUP(tbl_IO_List[[#This Row],[Destination]],tbl_Junction[],2,FALSE)</f>
        <v>Spray Dryer 7th Floor</v>
      </c>
      <c r="J438" s="136" t="s">
        <v>270</v>
      </c>
      <c r="K438" s="136" t="s">
        <v>14</v>
      </c>
      <c r="L438" s="136" t="s">
        <v>308</v>
      </c>
      <c r="M438" s="136">
        <f>VLOOKUP(tbl_IO_List[[#This Row],[Instruement Tag]],tbl_Instruement_List[],2,FALSE)</f>
        <v>0</v>
      </c>
      <c r="N438" s="136" t="s">
        <v>95</v>
      </c>
      <c r="O438" s="136" t="s">
        <v>272</v>
      </c>
      <c r="P438" s="136" t="s">
        <v>273</v>
      </c>
      <c r="Q438" s="136" t="str">
        <f>VLOOKUP(tbl_IO_List[[#This Row],[Instruement Tag]],tbl_Instruement_List[],6,FALSE)</f>
        <v>Feed Slurry On/Off Valve for Nozzle #6 (ATVM-11B)</v>
      </c>
      <c r="R438" s="136"/>
      <c r="S43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438" s="136" t="str">
        <f>tbl_IO_List[[#This Row],[Instruement Tag]]&amp;"_"&amp;tbl_IO_List[[#This Row],[I/O Type]]&amp;"_"&amp;tbl_IO_List[[#This Row],[IO-Point 
(Instruement)]]</f>
        <v>XV-60262FF_DO_1</v>
      </c>
      <c r="U438" s="136" t="s">
        <v>7</v>
      </c>
      <c r="V438" s="136">
        <f>VLOOKUP(tbl_IO_List[[#This Row],[I/O Type]],tbl_Slot_Group[],2,FALSE)</f>
        <v>2</v>
      </c>
      <c r="W438" s="136">
        <v>1</v>
      </c>
      <c r="X438" s="136" t="str">
        <f>tbl_IO_List[[#This Row],[Chassis]]&amp;"S"&amp;TEXT(tbl_IO_List[[#This Row],[Slot]],"00")</f>
        <v>C2S07</v>
      </c>
      <c r="Y438" s="136" t="str">
        <f>tbl_IO_List[[#This Row],[Chassis]]&amp;"S"&amp;TEXT(tbl_IO_List[[#This Row],[Slot]],"00")&amp;tbl_IO_List[[#This Row],[I/O Type]]&amp;TEXT(tbl_IO_List[[#This Row],[Point]],"00")</f>
        <v>C2S07DO15</v>
      </c>
      <c r="Z438" s="136" t="str">
        <f>tbl_IO_List[[#This Row],[Chassis]]&amp;"S"&amp;TEXT(tbl_IO_List[[#This Row],[Slot]],"00")&amp;","&amp;TEXT(tbl_IO_List[[#This Row],[Point]],"00")</f>
        <v>C2S07,15</v>
      </c>
      <c r="AA438" s="136" t="str">
        <f>VLOOKUP(tbl_IO_List[[#This Row],[Column23]],tbl_RackConfig[],5,FALSE) &amp;"-"&amp;tbl_IO_List[[#This Row],[Point]]</f>
        <v>1756-OB32-15</v>
      </c>
      <c r="AB438" s="136"/>
      <c r="AC438" s="136"/>
      <c r="AD438" s="136" t="str">
        <f>tbl_IO_List[[#This Row],[I/O Type]]</f>
        <v>DO</v>
      </c>
      <c r="AE438" s="136" t="s">
        <v>1333</v>
      </c>
      <c r="AF438" s="136">
        <v>7</v>
      </c>
      <c r="AG438" s="136">
        <v>15</v>
      </c>
      <c r="AH438" s="136">
        <v>16</v>
      </c>
      <c r="AI438" s="136">
        <v>16</v>
      </c>
      <c r="AJ438" s="136">
        <v>2</v>
      </c>
      <c r="AK438" s="136">
        <v>1</v>
      </c>
      <c r="AL438" s="136">
        <v>0</v>
      </c>
      <c r="AM438" s="136">
        <v>0</v>
      </c>
      <c r="AN438" s="136">
        <v>0</v>
      </c>
      <c r="AO438" s="136"/>
      <c r="AP438" s="143" t="str">
        <f>VLOOKUP(tbl_IO_List[[#This Row],[Instruement Tag]],tbl_Instruement_List[],14,FALSE)</f>
        <v>24 VDC energized,Dry Contact</v>
      </c>
      <c r="AQ438" s="143" t="str">
        <f>tbl_IO_List[[#This Row],[Chassis]]&amp;"S"&amp;tbl_IO_List[[#This Row],[Slot]]&amp;"-"&amp;tbl_IO_List[[#This Row],[Front Terminal Number]]</f>
        <v>C2S7-16</v>
      </c>
      <c r="AR438" s="141" t="s">
        <v>1867</v>
      </c>
      <c r="AS438" s="136" t="str">
        <f>tbl_IO_List[[#This Row],[Terminal Tagging]]&amp;"-"&amp;tbl_IO_List[[#This Row],[Point-Count]]</f>
        <v>P2-TBRL2-16</v>
      </c>
      <c r="AT438" s="136" t="str">
        <f>tbl_IO_List[[#This Row],[Front Terminal Tagging]]&amp;"/"&amp;tbl_IO_List[[#This Row],[Terminal Tagging-Item]]</f>
        <v>C2S7-16/P2-TBRL2-16</v>
      </c>
      <c r="AU438" s="136" t="str">
        <f>tbl_IO_List[[#This Row],[Terminal Tagging-Item]]&amp;"/"&amp;tbl_IO_List[[#This Row],[Front Terminal Tagging]]</f>
        <v>P2-TBRL2-16/C2S7-16</v>
      </c>
    </row>
    <row r="439" spans="1:47">
      <c r="A439" s="147" t="s">
        <v>1367</v>
      </c>
      <c r="B439" s="136" t="s">
        <v>270</v>
      </c>
      <c r="C439" s="136" t="str">
        <f>tbl_IO_List[[#This Row],[Column3]]</f>
        <v>C2S07,16</v>
      </c>
      <c r="D439" s="136" t="str">
        <f>tbl_IO_List[[#This Row],[Card]]</f>
        <v>1756-OB32-16</v>
      </c>
      <c r="E439" s="136" t="s">
        <v>1372</v>
      </c>
      <c r="F439" s="136" t="str">
        <f>tbl_IO_List[[#This Row],[Column23]]&amp;"-" &amp;tbl_IO_List[[#This Row],[Column52]]</f>
        <v>C2S07-X2</v>
      </c>
      <c r="G439" s="136" t="str">
        <f>tbl_IO_List[[#This Row],[PLC_Tag]]</f>
        <v>XV-60262FG_DO_1</v>
      </c>
      <c r="H439" s="136"/>
      <c r="I439" s="136" t="str">
        <f>VLOOKUP(tbl_IO_List[[#This Row],[Destination]],tbl_Junction[],2,FALSE)</f>
        <v>Spray Dryer 7th Floor</v>
      </c>
      <c r="J439" s="136" t="s">
        <v>270</v>
      </c>
      <c r="K439" s="136" t="s">
        <v>14</v>
      </c>
      <c r="L439" s="136" t="s">
        <v>309</v>
      </c>
      <c r="M439" s="136">
        <f>VLOOKUP(tbl_IO_List[[#This Row],[Instruement Tag]],tbl_Instruement_List[],2,FALSE)</f>
        <v>0</v>
      </c>
      <c r="N439" s="136" t="s">
        <v>95</v>
      </c>
      <c r="O439" s="136" t="s">
        <v>272</v>
      </c>
      <c r="P439" s="136" t="s">
        <v>273</v>
      </c>
      <c r="Q439" s="136" t="str">
        <f>VLOOKUP(tbl_IO_List[[#This Row],[Instruement Tag]],tbl_Instruement_List[],6,FALSE)</f>
        <v>Feed Slurry On/Off Valve for Nozzle #7 (ATVM-11B)</v>
      </c>
      <c r="R439" s="136"/>
      <c r="S43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439" s="136" t="str">
        <f>tbl_IO_List[[#This Row],[Instruement Tag]]&amp;"_"&amp;tbl_IO_List[[#This Row],[I/O Type]]&amp;"_"&amp;tbl_IO_List[[#This Row],[IO-Point 
(Instruement)]]</f>
        <v>XV-60262FG_DO_1</v>
      </c>
      <c r="U439" s="136" t="s">
        <v>7</v>
      </c>
      <c r="V439" s="136">
        <f>VLOOKUP(tbl_IO_List[[#This Row],[I/O Type]],tbl_Slot_Group[],2,FALSE)</f>
        <v>2</v>
      </c>
      <c r="W439" s="136">
        <v>1</v>
      </c>
      <c r="X439" s="136" t="str">
        <f>tbl_IO_List[[#This Row],[Chassis]]&amp;"S"&amp;TEXT(tbl_IO_List[[#This Row],[Slot]],"00")</f>
        <v>C2S07</v>
      </c>
      <c r="Y439" s="136" t="str">
        <f>tbl_IO_List[[#This Row],[Chassis]]&amp;"S"&amp;TEXT(tbl_IO_List[[#This Row],[Slot]],"00")&amp;tbl_IO_List[[#This Row],[I/O Type]]&amp;TEXT(tbl_IO_List[[#This Row],[Point]],"00")</f>
        <v>C2S07DO16</v>
      </c>
      <c r="Z439" s="136" t="str">
        <f>tbl_IO_List[[#This Row],[Chassis]]&amp;"S"&amp;TEXT(tbl_IO_List[[#This Row],[Slot]],"00")&amp;","&amp;TEXT(tbl_IO_List[[#This Row],[Point]],"00")</f>
        <v>C2S07,16</v>
      </c>
      <c r="AA439" s="136" t="str">
        <f>VLOOKUP(tbl_IO_List[[#This Row],[Column23]],tbl_RackConfig[],5,FALSE) &amp;"-"&amp;tbl_IO_List[[#This Row],[Point]]</f>
        <v>1756-OB32-16</v>
      </c>
      <c r="AB439" s="136"/>
      <c r="AC439" s="136"/>
      <c r="AD439" s="136" t="str">
        <f>tbl_IO_List[[#This Row],[I/O Type]]</f>
        <v>DO</v>
      </c>
      <c r="AE439" s="136" t="s">
        <v>1333</v>
      </c>
      <c r="AF439" s="136">
        <v>7</v>
      </c>
      <c r="AG439" s="136">
        <v>16</v>
      </c>
      <c r="AH439" s="136">
        <v>17</v>
      </c>
      <c r="AI439" s="136">
        <v>19</v>
      </c>
      <c r="AJ439" s="136">
        <v>2</v>
      </c>
      <c r="AK439" s="136">
        <v>1</v>
      </c>
      <c r="AL439" s="136">
        <v>0</v>
      </c>
      <c r="AM439" s="136">
        <v>0</v>
      </c>
      <c r="AN439" s="136">
        <v>0</v>
      </c>
      <c r="AO439" s="136"/>
      <c r="AP439" s="143" t="str">
        <f>VLOOKUP(tbl_IO_List[[#This Row],[Instruement Tag]],tbl_Instruement_List[],14,FALSE)</f>
        <v>24 VDC energized,Dry Contact</v>
      </c>
      <c r="AQ439" s="143" t="str">
        <f>tbl_IO_List[[#This Row],[Chassis]]&amp;"S"&amp;tbl_IO_List[[#This Row],[Slot]]&amp;"-"&amp;tbl_IO_List[[#This Row],[Front Terminal Number]]</f>
        <v>C2S7-19</v>
      </c>
      <c r="AR439" s="141" t="s">
        <v>1867</v>
      </c>
      <c r="AS439" s="136" t="str">
        <f>tbl_IO_List[[#This Row],[Terminal Tagging]]&amp;"-"&amp;tbl_IO_List[[#This Row],[Point-Count]]</f>
        <v>P2-TBRL2-17</v>
      </c>
      <c r="AT439" s="136" t="str">
        <f>tbl_IO_List[[#This Row],[Front Terminal Tagging]]&amp;"/"&amp;tbl_IO_List[[#This Row],[Terminal Tagging-Item]]</f>
        <v>C2S7-19/P2-TBRL2-17</v>
      </c>
      <c r="AU439" s="136" t="str">
        <f>tbl_IO_List[[#This Row],[Terminal Tagging-Item]]&amp;"/"&amp;tbl_IO_List[[#This Row],[Front Terminal Tagging]]</f>
        <v>P2-TBRL2-17/C2S7-19</v>
      </c>
    </row>
    <row r="440" spans="1:47">
      <c r="A440" s="147" t="s">
        <v>1367</v>
      </c>
      <c r="B440" s="136" t="s">
        <v>270</v>
      </c>
      <c r="C440" s="136" t="str">
        <f>tbl_IO_List[[#This Row],[Column3]]</f>
        <v>C2S07,17</v>
      </c>
      <c r="D440" s="136" t="str">
        <f>tbl_IO_List[[#This Row],[Card]]</f>
        <v>1756-OB32-17</v>
      </c>
      <c r="E440" s="136" t="s">
        <v>1372</v>
      </c>
      <c r="F440" s="136" t="str">
        <f>tbl_IO_List[[#This Row],[Column23]]&amp;"-" &amp;tbl_IO_List[[#This Row],[Column52]]</f>
        <v>C2S07-X2</v>
      </c>
      <c r="G440" s="136" t="str">
        <f>tbl_IO_List[[#This Row],[PLC_Tag]]</f>
        <v>XV-60262FH_DO_1</v>
      </c>
      <c r="H440" s="136"/>
      <c r="I440" s="136" t="str">
        <f>VLOOKUP(tbl_IO_List[[#This Row],[Destination]],tbl_Junction[],2,FALSE)</f>
        <v>Spray Dryer 7th Floor</v>
      </c>
      <c r="J440" s="136" t="s">
        <v>270</v>
      </c>
      <c r="K440" s="136" t="s">
        <v>14</v>
      </c>
      <c r="L440" s="136" t="s">
        <v>310</v>
      </c>
      <c r="M440" s="136">
        <f>VLOOKUP(tbl_IO_List[[#This Row],[Instruement Tag]],tbl_Instruement_List[],2,FALSE)</f>
        <v>0</v>
      </c>
      <c r="N440" s="136" t="s">
        <v>95</v>
      </c>
      <c r="O440" s="136" t="s">
        <v>272</v>
      </c>
      <c r="P440" s="136" t="s">
        <v>273</v>
      </c>
      <c r="Q440" s="136" t="str">
        <f>VLOOKUP(tbl_IO_List[[#This Row],[Instruement Tag]],tbl_Instruement_List[],6,FALSE)</f>
        <v>Feed Slurry On/Off Valve for Nozzle #8 (ATVM-11B)</v>
      </c>
      <c r="R440" s="136"/>
      <c r="S44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440" s="136" t="str">
        <f>tbl_IO_List[[#This Row],[Instruement Tag]]&amp;"_"&amp;tbl_IO_List[[#This Row],[I/O Type]]&amp;"_"&amp;tbl_IO_List[[#This Row],[IO-Point 
(Instruement)]]</f>
        <v>XV-60262FH_DO_1</v>
      </c>
      <c r="U440" s="136" t="s">
        <v>7</v>
      </c>
      <c r="V440" s="136">
        <f>VLOOKUP(tbl_IO_List[[#This Row],[I/O Type]],tbl_Slot_Group[],2,FALSE)</f>
        <v>2</v>
      </c>
      <c r="W440" s="136">
        <v>1</v>
      </c>
      <c r="X440" s="136" t="str">
        <f>tbl_IO_List[[#This Row],[Chassis]]&amp;"S"&amp;TEXT(tbl_IO_List[[#This Row],[Slot]],"00")</f>
        <v>C2S07</v>
      </c>
      <c r="Y440" s="136" t="str">
        <f>tbl_IO_List[[#This Row],[Chassis]]&amp;"S"&amp;TEXT(tbl_IO_List[[#This Row],[Slot]],"00")&amp;tbl_IO_List[[#This Row],[I/O Type]]&amp;TEXT(tbl_IO_List[[#This Row],[Point]],"00")</f>
        <v>C2S07DO17</v>
      </c>
      <c r="Z440" s="136" t="str">
        <f>tbl_IO_List[[#This Row],[Chassis]]&amp;"S"&amp;TEXT(tbl_IO_List[[#This Row],[Slot]],"00")&amp;","&amp;TEXT(tbl_IO_List[[#This Row],[Point]],"00")</f>
        <v>C2S07,17</v>
      </c>
      <c r="AA440" s="136" t="str">
        <f>VLOOKUP(tbl_IO_List[[#This Row],[Column23]],tbl_RackConfig[],5,FALSE) &amp;"-"&amp;tbl_IO_List[[#This Row],[Point]]</f>
        <v>1756-OB32-17</v>
      </c>
      <c r="AB440" s="136"/>
      <c r="AC440" s="136"/>
      <c r="AD440" s="136" t="str">
        <f>tbl_IO_List[[#This Row],[I/O Type]]</f>
        <v>DO</v>
      </c>
      <c r="AE440" s="136" t="s">
        <v>1333</v>
      </c>
      <c r="AF440" s="136">
        <v>7</v>
      </c>
      <c r="AG440" s="136">
        <v>17</v>
      </c>
      <c r="AH440" s="136">
        <v>18</v>
      </c>
      <c r="AI440" s="136">
        <v>20</v>
      </c>
      <c r="AJ440" s="136">
        <v>2</v>
      </c>
      <c r="AK440" s="136">
        <v>1</v>
      </c>
      <c r="AL440" s="136">
        <v>0</v>
      </c>
      <c r="AM440" s="136">
        <v>0</v>
      </c>
      <c r="AN440" s="136">
        <v>0</v>
      </c>
      <c r="AO440" s="136"/>
      <c r="AP440" s="143" t="str">
        <f>VLOOKUP(tbl_IO_List[[#This Row],[Instruement Tag]],tbl_Instruement_List[],14,FALSE)</f>
        <v>24 VDC energized,Dry Contact</v>
      </c>
      <c r="AQ440" s="143" t="str">
        <f>tbl_IO_List[[#This Row],[Chassis]]&amp;"S"&amp;tbl_IO_List[[#This Row],[Slot]]&amp;"-"&amp;tbl_IO_List[[#This Row],[Front Terminal Number]]</f>
        <v>C2S7-20</v>
      </c>
      <c r="AR440" s="141" t="s">
        <v>1867</v>
      </c>
      <c r="AS440" s="136" t="str">
        <f>tbl_IO_List[[#This Row],[Terminal Tagging]]&amp;"-"&amp;tbl_IO_List[[#This Row],[Point-Count]]</f>
        <v>P2-TBRL2-18</v>
      </c>
      <c r="AT440" s="136" t="str">
        <f>tbl_IO_List[[#This Row],[Front Terminal Tagging]]&amp;"/"&amp;tbl_IO_List[[#This Row],[Terminal Tagging-Item]]</f>
        <v>C2S7-20/P2-TBRL2-18</v>
      </c>
      <c r="AU440" s="136" t="str">
        <f>tbl_IO_List[[#This Row],[Terminal Tagging-Item]]&amp;"/"&amp;tbl_IO_List[[#This Row],[Front Terminal Tagging]]</f>
        <v>P2-TBRL2-18/C2S7-20</v>
      </c>
    </row>
    <row r="441" spans="1:47">
      <c r="A441" s="147" t="s">
        <v>1367</v>
      </c>
      <c r="B441" s="136" t="s">
        <v>270</v>
      </c>
      <c r="C441" s="136" t="str">
        <f>tbl_IO_List[[#This Row],[Column3]]</f>
        <v>C2S07,18</v>
      </c>
      <c r="D441" s="136" t="str">
        <f>tbl_IO_List[[#This Row],[Card]]</f>
        <v>1756-OB32-18</v>
      </c>
      <c r="E441" s="136" t="s">
        <v>1372</v>
      </c>
      <c r="F441" s="136" t="str">
        <f>tbl_IO_List[[#This Row],[Column23]]&amp;"-" &amp;tbl_IO_List[[#This Row],[Column52]]</f>
        <v>C2S07-X2</v>
      </c>
      <c r="G441" s="136" t="str">
        <f>tbl_IO_List[[#This Row],[PLC_Tag]]</f>
        <v>XV-60262SE_DO_1</v>
      </c>
      <c r="H441" s="136"/>
      <c r="I441" s="136" t="str">
        <f>VLOOKUP(tbl_IO_List[[#This Row],[Destination]],tbl_Junction[],2,FALSE)</f>
        <v>Spray Dryer 7th Floor</v>
      </c>
      <c r="J441" s="136" t="s">
        <v>270</v>
      </c>
      <c r="K441" s="136" t="s">
        <v>14</v>
      </c>
      <c r="L441" s="136" t="s">
        <v>311</v>
      </c>
      <c r="M441" s="136">
        <f>VLOOKUP(tbl_IO_List[[#This Row],[Instruement Tag]],tbl_Instruement_List[],2,FALSE)</f>
        <v>0</v>
      </c>
      <c r="N441" s="136" t="s">
        <v>95</v>
      </c>
      <c r="O441" s="136" t="s">
        <v>272</v>
      </c>
      <c r="P441" s="136" t="s">
        <v>273</v>
      </c>
      <c r="Q441" s="136" t="str">
        <f>VLOOKUP(tbl_IO_List[[#This Row],[Instruement Tag]],tbl_Instruement_List[],6,FALSE)</f>
        <v>Steam On/Off Valve for Nozzle #5 (ATVM-11B)</v>
      </c>
      <c r="R441" s="136"/>
      <c r="S44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441" s="136" t="str">
        <f>tbl_IO_List[[#This Row],[Instruement Tag]]&amp;"_"&amp;tbl_IO_List[[#This Row],[I/O Type]]&amp;"_"&amp;tbl_IO_List[[#This Row],[IO-Point 
(Instruement)]]</f>
        <v>XV-60262SE_DO_1</v>
      </c>
      <c r="U441" s="136" t="s">
        <v>7</v>
      </c>
      <c r="V441" s="136">
        <f>VLOOKUP(tbl_IO_List[[#This Row],[I/O Type]],tbl_Slot_Group[],2,FALSE)</f>
        <v>2</v>
      </c>
      <c r="W441" s="136">
        <v>1</v>
      </c>
      <c r="X441" s="136" t="str">
        <f>tbl_IO_List[[#This Row],[Chassis]]&amp;"S"&amp;TEXT(tbl_IO_List[[#This Row],[Slot]],"00")</f>
        <v>C2S07</v>
      </c>
      <c r="Y441" s="136" t="str">
        <f>tbl_IO_List[[#This Row],[Chassis]]&amp;"S"&amp;TEXT(tbl_IO_List[[#This Row],[Slot]],"00")&amp;tbl_IO_List[[#This Row],[I/O Type]]&amp;TEXT(tbl_IO_List[[#This Row],[Point]],"00")</f>
        <v>C2S07DO18</v>
      </c>
      <c r="Z441" s="136" t="str">
        <f>tbl_IO_List[[#This Row],[Chassis]]&amp;"S"&amp;TEXT(tbl_IO_List[[#This Row],[Slot]],"00")&amp;","&amp;TEXT(tbl_IO_List[[#This Row],[Point]],"00")</f>
        <v>C2S07,18</v>
      </c>
      <c r="AA441" s="136" t="str">
        <f>VLOOKUP(tbl_IO_List[[#This Row],[Column23]],tbl_RackConfig[],5,FALSE) &amp;"-"&amp;tbl_IO_List[[#This Row],[Point]]</f>
        <v>1756-OB32-18</v>
      </c>
      <c r="AB441" s="136"/>
      <c r="AC441" s="136"/>
      <c r="AD441" s="136" t="str">
        <f>tbl_IO_List[[#This Row],[I/O Type]]</f>
        <v>DO</v>
      </c>
      <c r="AE441" s="136" t="s">
        <v>1333</v>
      </c>
      <c r="AF441" s="136">
        <v>7</v>
      </c>
      <c r="AG441" s="136">
        <v>18</v>
      </c>
      <c r="AH441" s="136">
        <v>19</v>
      </c>
      <c r="AI441" s="136">
        <v>21</v>
      </c>
      <c r="AJ441" s="136">
        <v>2</v>
      </c>
      <c r="AK441" s="136">
        <v>1</v>
      </c>
      <c r="AL441" s="136">
        <v>0</v>
      </c>
      <c r="AM441" s="136">
        <v>0</v>
      </c>
      <c r="AN441" s="136">
        <v>0</v>
      </c>
      <c r="AO441" s="136"/>
      <c r="AP441" s="143" t="str">
        <f>VLOOKUP(tbl_IO_List[[#This Row],[Instruement Tag]],tbl_Instruement_List[],14,FALSE)</f>
        <v>24 VDC energized,Dry Contact</v>
      </c>
      <c r="AQ441" s="143" t="str">
        <f>tbl_IO_List[[#This Row],[Chassis]]&amp;"S"&amp;tbl_IO_List[[#This Row],[Slot]]&amp;"-"&amp;tbl_IO_List[[#This Row],[Front Terminal Number]]</f>
        <v>C2S7-21</v>
      </c>
      <c r="AR441" s="141" t="s">
        <v>1867</v>
      </c>
      <c r="AS441" s="136" t="str">
        <f>tbl_IO_List[[#This Row],[Terminal Tagging]]&amp;"-"&amp;tbl_IO_List[[#This Row],[Point-Count]]</f>
        <v>P2-TBRL2-19</v>
      </c>
      <c r="AT441" s="136" t="str">
        <f>tbl_IO_List[[#This Row],[Front Terminal Tagging]]&amp;"/"&amp;tbl_IO_List[[#This Row],[Terminal Tagging-Item]]</f>
        <v>C2S7-21/P2-TBRL2-19</v>
      </c>
      <c r="AU441" s="136" t="str">
        <f>tbl_IO_List[[#This Row],[Terminal Tagging-Item]]&amp;"/"&amp;tbl_IO_List[[#This Row],[Front Terminal Tagging]]</f>
        <v>P2-TBRL2-19/C2S7-21</v>
      </c>
    </row>
    <row r="442" spans="1:47">
      <c r="A442" s="147" t="s">
        <v>1367</v>
      </c>
      <c r="B442" s="136" t="s">
        <v>270</v>
      </c>
      <c r="C442" s="136" t="str">
        <f>tbl_IO_List[[#This Row],[Column3]]</f>
        <v>C2S07,19</v>
      </c>
      <c r="D442" s="136" t="str">
        <f>tbl_IO_List[[#This Row],[Card]]</f>
        <v>1756-OB32-19</v>
      </c>
      <c r="E442" s="136" t="s">
        <v>1372</v>
      </c>
      <c r="F442" s="136" t="str">
        <f>tbl_IO_List[[#This Row],[Column23]]&amp;"-" &amp;tbl_IO_List[[#This Row],[Column52]]</f>
        <v>C2S07-X2</v>
      </c>
      <c r="G442" s="136" t="str">
        <f>tbl_IO_List[[#This Row],[PLC_Tag]]</f>
        <v>XV-60262SF_DO_1</v>
      </c>
      <c r="H442" s="136"/>
      <c r="I442" s="136" t="str">
        <f>VLOOKUP(tbl_IO_List[[#This Row],[Destination]],tbl_Junction[],2,FALSE)</f>
        <v>Spray Dryer 7th Floor</v>
      </c>
      <c r="J442" s="136" t="s">
        <v>270</v>
      </c>
      <c r="K442" s="136" t="s">
        <v>14</v>
      </c>
      <c r="L442" s="136" t="s">
        <v>312</v>
      </c>
      <c r="M442" s="136">
        <f>VLOOKUP(tbl_IO_List[[#This Row],[Instruement Tag]],tbl_Instruement_List[],2,FALSE)</f>
        <v>0</v>
      </c>
      <c r="N442" s="136" t="s">
        <v>95</v>
      </c>
      <c r="O442" s="136" t="s">
        <v>272</v>
      </c>
      <c r="P442" s="136" t="s">
        <v>273</v>
      </c>
      <c r="Q442" s="136" t="str">
        <f>VLOOKUP(tbl_IO_List[[#This Row],[Instruement Tag]],tbl_Instruement_List[],6,FALSE)</f>
        <v>Steam On/Off Valve for Nozzle #6 (ATVM-11B)</v>
      </c>
      <c r="R442" s="136"/>
      <c r="S44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442" s="136" t="str">
        <f>tbl_IO_List[[#This Row],[Instruement Tag]]&amp;"_"&amp;tbl_IO_List[[#This Row],[I/O Type]]&amp;"_"&amp;tbl_IO_List[[#This Row],[IO-Point 
(Instruement)]]</f>
        <v>XV-60262SF_DO_1</v>
      </c>
      <c r="U442" s="136" t="s">
        <v>7</v>
      </c>
      <c r="V442" s="136">
        <f>VLOOKUP(tbl_IO_List[[#This Row],[I/O Type]],tbl_Slot_Group[],2,FALSE)</f>
        <v>2</v>
      </c>
      <c r="W442" s="136">
        <v>1</v>
      </c>
      <c r="X442" s="136" t="str">
        <f>tbl_IO_List[[#This Row],[Chassis]]&amp;"S"&amp;TEXT(tbl_IO_List[[#This Row],[Slot]],"00")</f>
        <v>C2S07</v>
      </c>
      <c r="Y442" s="136" t="str">
        <f>tbl_IO_List[[#This Row],[Chassis]]&amp;"S"&amp;TEXT(tbl_IO_List[[#This Row],[Slot]],"00")&amp;tbl_IO_List[[#This Row],[I/O Type]]&amp;TEXT(tbl_IO_List[[#This Row],[Point]],"00")</f>
        <v>C2S07DO19</v>
      </c>
      <c r="Z442" s="136" t="str">
        <f>tbl_IO_List[[#This Row],[Chassis]]&amp;"S"&amp;TEXT(tbl_IO_List[[#This Row],[Slot]],"00")&amp;","&amp;TEXT(tbl_IO_List[[#This Row],[Point]],"00")</f>
        <v>C2S07,19</v>
      </c>
      <c r="AA442" s="136" t="str">
        <f>VLOOKUP(tbl_IO_List[[#This Row],[Column23]],tbl_RackConfig[],5,FALSE) &amp;"-"&amp;tbl_IO_List[[#This Row],[Point]]</f>
        <v>1756-OB32-19</v>
      </c>
      <c r="AB442" s="136"/>
      <c r="AC442" s="136"/>
      <c r="AD442" s="136" t="str">
        <f>tbl_IO_List[[#This Row],[I/O Type]]</f>
        <v>DO</v>
      </c>
      <c r="AE442" s="136" t="s">
        <v>1333</v>
      </c>
      <c r="AF442" s="136">
        <v>7</v>
      </c>
      <c r="AG442" s="136">
        <v>19</v>
      </c>
      <c r="AH442" s="136">
        <v>20</v>
      </c>
      <c r="AI442" s="136">
        <v>22</v>
      </c>
      <c r="AJ442" s="136">
        <v>2</v>
      </c>
      <c r="AK442" s="136">
        <v>1</v>
      </c>
      <c r="AL442" s="136">
        <v>0</v>
      </c>
      <c r="AM442" s="136">
        <v>0</v>
      </c>
      <c r="AN442" s="136">
        <v>0</v>
      </c>
      <c r="AO442" s="136"/>
      <c r="AP442" s="143" t="str">
        <f>VLOOKUP(tbl_IO_List[[#This Row],[Instruement Tag]],tbl_Instruement_List[],14,FALSE)</f>
        <v>24 VDC energized,Dry Contact</v>
      </c>
      <c r="AQ442" s="143" t="str">
        <f>tbl_IO_List[[#This Row],[Chassis]]&amp;"S"&amp;tbl_IO_List[[#This Row],[Slot]]&amp;"-"&amp;tbl_IO_List[[#This Row],[Front Terminal Number]]</f>
        <v>C2S7-22</v>
      </c>
      <c r="AR442" s="141" t="s">
        <v>1867</v>
      </c>
      <c r="AS442" s="136" t="str">
        <f>tbl_IO_List[[#This Row],[Terminal Tagging]]&amp;"-"&amp;tbl_IO_List[[#This Row],[Point-Count]]</f>
        <v>P2-TBRL2-20</v>
      </c>
      <c r="AT442" s="136" t="str">
        <f>tbl_IO_List[[#This Row],[Front Terminal Tagging]]&amp;"/"&amp;tbl_IO_List[[#This Row],[Terminal Tagging-Item]]</f>
        <v>C2S7-22/P2-TBRL2-20</v>
      </c>
      <c r="AU442" s="136" t="str">
        <f>tbl_IO_List[[#This Row],[Terminal Tagging-Item]]&amp;"/"&amp;tbl_IO_List[[#This Row],[Front Terminal Tagging]]</f>
        <v>P2-TBRL2-20/C2S7-22</v>
      </c>
    </row>
    <row r="443" spans="1:47">
      <c r="A443" s="147" t="s">
        <v>1367</v>
      </c>
      <c r="B443" s="136" t="s">
        <v>270</v>
      </c>
      <c r="C443" s="136" t="str">
        <f>tbl_IO_List[[#This Row],[Column3]]</f>
        <v>C2S07,20</v>
      </c>
      <c r="D443" s="136" t="str">
        <f>tbl_IO_List[[#This Row],[Card]]</f>
        <v>1756-OB32-20</v>
      </c>
      <c r="E443" s="136" t="s">
        <v>1372</v>
      </c>
      <c r="F443" s="136" t="str">
        <f>tbl_IO_List[[#This Row],[Column23]]&amp;"-" &amp;tbl_IO_List[[#This Row],[Column52]]</f>
        <v>C2S07-X2</v>
      </c>
      <c r="G443" s="136" t="str">
        <f>tbl_IO_List[[#This Row],[PLC_Tag]]</f>
        <v>XV-60262SG_DO_1</v>
      </c>
      <c r="H443" s="136"/>
      <c r="I443" s="136" t="str">
        <f>VLOOKUP(tbl_IO_List[[#This Row],[Destination]],tbl_Junction[],2,FALSE)</f>
        <v>Spray Dryer 7th Floor</v>
      </c>
      <c r="J443" s="136" t="s">
        <v>270</v>
      </c>
      <c r="K443" s="136" t="s">
        <v>14</v>
      </c>
      <c r="L443" s="136" t="s">
        <v>313</v>
      </c>
      <c r="M443" s="136">
        <f>VLOOKUP(tbl_IO_List[[#This Row],[Instruement Tag]],tbl_Instruement_List[],2,FALSE)</f>
        <v>0</v>
      </c>
      <c r="N443" s="136" t="s">
        <v>95</v>
      </c>
      <c r="O443" s="136" t="s">
        <v>272</v>
      </c>
      <c r="P443" s="136" t="s">
        <v>273</v>
      </c>
      <c r="Q443" s="136" t="str">
        <f>VLOOKUP(tbl_IO_List[[#This Row],[Instruement Tag]],tbl_Instruement_List[],6,FALSE)</f>
        <v>Steam On/Off Valve for Nozzle #7 (ATVM-11B)</v>
      </c>
      <c r="R443" s="136"/>
      <c r="S44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443" s="136" t="str">
        <f>tbl_IO_List[[#This Row],[Instruement Tag]]&amp;"_"&amp;tbl_IO_List[[#This Row],[I/O Type]]&amp;"_"&amp;tbl_IO_List[[#This Row],[IO-Point 
(Instruement)]]</f>
        <v>XV-60262SG_DO_1</v>
      </c>
      <c r="U443" s="136" t="s">
        <v>7</v>
      </c>
      <c r="V443" s="136">
        <f>VLOOKUP(tbl_IO_List[[#This Row],[I/O Type]],tbl_Slot_Group[],2,FALSE)</f>
        <v>2</v>
      </c>
      <c r="W443" s="136">
        <v>1</v>
      </c>
      <c r="X443" s="136" t="str">
        <f>tbl_IO_List[[#This Row],[Chassis]]&amp;"S"&amp;TEXT(tbl_IO_List[[#This Row],[Slot]],"00")</f>
        <v>C2S07</v>
      </c>
      <c r="Y443" s="136" t="str">
        <f>tbl_IO_List[[#This Row],[Chassis]]&amp;"S"&amp;TEXT(tbl_IO_List[[#This Row],[Slot]],"00")&amp;tbl_IO_List[[#This Row],[I/O Type]]&amp;TEXT(tbl_IO_List[[#This Row],[Point]],"00")</f>
        <v>C2S07DO20</v>
      </c>
      <c r="Z443" s="136" t="str">
        <f>tbl_IO_List[[#This Row],[Chassis]]&amp;"S"&amp;TEXT(tbl_IO_List[[#This Row],[Slot]],"00")&amp;","&amp;TEXT(tbl_IO_List[[#This Row],[Point]],"00")</f>
        <v>C2S07,20</v>
      </c>
      <c r="AA443" s="136" t="str">
        <f>VLOOKUP(tbl_IO_List[[#This Row],[Column23]],tbl_RackConfig[],5,FALSE) &amp;"-"&amp;tbl_IO_List[[#This Row],[Point]]</f>
        <v>1756-OB32-20</v>
      </c>
      <c r="AB443" s="136"/>
      <c r="AC443" s="136"/>
      <c r="AD443" s="136" t="str">
        <f>tbl_IO_List[[#This Row],[I/O Type]]</f>
        <v>DO</v>
      </c>
      <c r="AE443" s="136" t="s">
        <v>1333</v>
      </c>
      <c r="AF443" s="136">
        <v>7</v>
      </c>
      <c r="AG443" s="136">
        <v>20</v>
      </c>
      <c r="AH443" s="136">
        <v>21</v>
      </c>
      <c r="AI443" s="136">
        <v>23</v>
      </c>
      <c r="AJ443" s="136">
        <v>2</v>
      </c>
      <c r="AK443" s="136">
        <v>1</v>
      </c>
      <c r="AL443" s="136">
        <v>0</v>
      </c>
      <c r="AM443" s="136">
        <v>0</v>
      </c>
      <c r="AN443" s="136">
        <v>0</v>
      </c>
      <c r="AO443" s="136"/>
      <c r="AP443" s="143" t="str">
        <f>VLOOKUP(tbl_IO_List[[#This Row],[Instruement Tag]],tbl_Instruement_List[],14,FALSE)</f>
        <v>24 VDC energized,Dry Contact</v>
      </c>
      <c r="AQ443" s="143" t="str">
        <f>tbl_IO_List[[#This Row],[Chassis]]&amp;"S"&amp;tbl_IO_List[[#This Row],[Slot]]&amp;"-"&amp;tbl_IO_List[[#This Row],[Front Terminal Number]]</f>
        <v>C2S7-23</v>
      </c>
      <c r="AR443" s="141" t="s">
        <v>1867</v>
      </c>
      <c r="AS443" s="136" t="str">
        <f>tbl_IO_List[[#This Row],[Terminal Tagging]]&amp;"-"&amp;tbl_IO_List[[#This Row],[Point-Count]]</f>
        <v>P2-TBRL2-21</v>
      </c>
      <c r="AT443" s="136" t="str">
        <f>tbl_IO_List[[#This Row],[Front Terminal Tagging]]&amp;"/"&amp;tbl_IO_List[[#This Row],[Terminal Tagging-Item]]</f>
        <v>C2S7-23/P2-TBRL2-21</v>
      </c>
      <c r="AU443" s="136" t="str">
        <f>tbl_IO_List[[#This Row],[Terminal Tagging-Item]]&amp;"/"&amp;tbl_IO_List[[#This Row],[Front Terminal Tagging]]</f>
        <v>P2-TBRL2-21/C2S7-23</v>
      </c>
    </row>
    <row r="444" spans="1:47">
      <c r="A444" s="147" t="s">
        <v>1367</v>
      </c>
      <c r="B444" s="136" t="s">
        <v>270</v>
      </c>
      <c r="C444" s="136" t="str">
        <f>tbl_IO_List[[#This Row],[Column3]]</f>
        <v>C2S07,21</v>
      </c>
      <c r="D444" s="136" t="str">
        <f>tbl_IO_List[[#This Row],[Card]]</f>
        <v>1756-OB32-21</v>
      </c>
      <c r="E444" s="136" t="s">
        <v>1372</v>
      </c>
      <c r="F444" s="136" t="str">
        <f>tbl_IO_List[[#This Row],[Column23]]&amp;"-" &amp;tbl_IO_List[[#This Row],[Column52]]</f>
        <v>C2S07-X2</v>
      </c>
      <c r="G444" s="136" t="str">
        <f>tbl_IO_List[[#This Row],[PLC_Tag]]</f>
        <v>XV-60262SH_DO_1</v>
      </c>
      <c r="H444" s="136"/>
      <c r="I444" s="136" t="str">
        <f>VLOOKUP(tbl_IO_List[[#This Row],[Destination]],tbl_Junction[],2,FALSE)</f>
        <v>Spray Dryer 7th Floor</v>
      </c>
      <c r="J444" s="136" t="s">
        <v>270</v>
      </c>
      <c r="K444" s="136" t="s">
        <v>14</v>
      </c>
      <c r="L444" s="136" t="s">
        <v>314</v>
      </c>
      <c r="M444" s="136">
        <f>VLOOKUP(tbl_IO_List[[#This Row],[Instruement Tag]],tbl_Instruement_List[],2,FALSE)</f>
        <v>0</v>
      </c>
      <c r="N444" s="136" t="s">
        <v>95</v>
      </c>
      <c r="O444" s="136" t="s">
        <v>272</v>
      </c>
      <c r="P444" s="136" t="s">
        <v>273</v>
      </c>
      <c r="Q444" s="136" t="str">
        <f>VLOOKUP(tbl_IO_List[[#This Row],[Instruement Tag]],tbl_Instruement_List[],6,FALSE)</f>
        <v>Steam On/Off Valve for Nozzle #8 (ATVM-11B)</v>
      </c>
      <c r="R444" s="136"/>
      <c r="S44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444" s="136" t="str">
        <f>tbl_IO_List[[#This Row],[Instruement Tag]]&amp;"_"&amp;tbl_IO_List[[#This Row],[I/O Type]]&amp;"_"&amp;tbl_IO_List[[#This Row],[IO-Point 
(Instruement)]]</f>
        <v>XV-60262SH_DO_1</v>
      </c>
      <c r="U444" s="136" t="s">
        <v>7</v>
      </c>
      <c r="V444" s="136">
        <f>VLOOKUP(tbl_IO_List[[#This Row],[I/O Type]],tbl_Slot_Group[],2,FALSE)</f>
        <v>2</v>
      </c>
      <c r="W444" s="136">
        <v>1</v>
      </c>
      <c r="X444" s="136" t="str">
        <f>tbl_IO_List[[#This Row],[Chassis]]&amp;"S"&amp;TEXT(tbl_IO_List[[#This Row],[Slot]],"00")</f>
        <v>C2S07</v>
      </c>
      <c r="Y444" s="136" t="str">
        <f>tbl_IO_List[[#This Row],[Chassis]]&amp;"S"&amp;TEXT(tbl_IO_List[[#This Row],[Slot]],"00")&amp;tbl_IO_List[[#This Row],[I/O Type]]&amp;TEXT(tbl_IO_List[[#This Row],[Point]],"00")</f>
        <v>C2S07DO21</v>
      </c>
      <c r="Z444" s="136" t="str">
        <f>tbl_IO_List[[#This Row],[Chassis]]&amp;"S"&amp;TEXT(tbl_IO_List[[#This Row],[Slot]],"00")&amp;","&amp;TEXT(tbl_IO_List[[#This Row],[Point]],"00")</f>
        <v>C2S07,21</v>
      </c>
      <c r="AA444" s="136" t="str">
        <f>VLOOKUP(tbl_IO_List[[#This Row],[Column23]],tbl_RackConfig[],5,FALSE) &amp;"-"&amp;tbl_IO_List[[#This Row],[Point]]</f>
        <v>1756-OB32-21</v>
      </c>
      <c r="AB444" s="136"/>
      <c r="AC444" s="136"/>
      <c r="AD444" s="136" t="str">
        <f>tbl_IO_List[[#This Row],[I/O Type]]</f>
        <v>DO</v>
      </c>
      <c r="AE444" s="136" t="s">
        <v>1333</v>
      </c>
      <c r="AF444" s="136">
        <v>7</v>
      </c>
      <c r="AG444" s="136">
        <v>21</v>
      </c>
      <c r="AH444" s="136">
        <v>22</v>
      </c>
      <c r="AI444" s="136">
        <v>24</v>
      </c>
      <c r="AJ444" s="136">
        <v>2</v>
      </c>
      <c r="AK444" s="136">
        <v>1</v>
      </c>
      <c r="AL444" s="136">
        <v>0</v>
      </c>
      <c r="AM444" s="136">
        <v>0</v>
      </c>
      <c r="AN444" s="136">
        <v>0</v>
      </c>
      <c r="AO444" s="136"/>
      <c r="AP444" s="143" t="str">
        <f>VLOOKUP(tbl_IO_List[[#This Row],[Instruement Tag]],tbl_Instruement_List[],14,FALSE)</f>
        <v>24 VDC energized,Dry Contact</v>
      </c>
      <c r="AQ444" s="143" t="str">
        <f>tbl_IO_List[[#This Row],[Chassis]]&amp;"S"&amp;tbl_IO_List[[#This Row],[Slot]]&amp;"-"&amp;tbl_IO_List[[#This Row],[Front Terminal Number]]</f>
        <v>C2S7-24</v>
      </c>
      <c r="AR444" s="141" t="s">
        <v>1867</v>
      </c>
      <c r="AS444" s="136" t="str">
        <f>tbl_IO_List[[#This Row],[Terminal Tagging]]&amp;"-"&amp;tbl_IO_List[[#This Row],[Point-Count]]</f>
        <v>P2-TBRL2-22</v>
      </c>
      <c r="AT444" s="136" t="str">
        <f>tbl_IO_List[[#This Row],[Front Terminal Tagging]]&amp;"/"&amp;tbl_IO_List[[#This Row],[Terminal Tagging-Item]]</f>
        <v>C2S7-24/P2-TBRL2-22</v>
      </c>
      <c r="AU444" s="136" t="str">
        <f>tbl_IO_List[[#This Row],[Terminal Tagging-Item]]&amp;"/"&amp;tbl_IO_List[[#This Row],[Front Terminal Tagging]]</f>
        <v>P2-TBRL2-22/C2S7-24</v>
      </c>
    </row>
    <row r="445" spans="1:47">
      <c r="A445" s="147" t="s">
        <v>1367</v>
      </c>
      <c r="B445" s="136" t="s">
        <v>270</v>
      </c>
      <c r="C445" s="136" t="str">
        <f>tbl_IO_List[[#This Row],[Column3]]</f>
        <v>C2S07,22</v>
      </c>
      <c r="D445" s="136" t="str">
        <f>tbl_IO_List[[#This Row],[Card]]</f>
        <v>1756-OB32-22</v>
      </c>
      <c r="E445" s="136" t="s">
        <v>1372</v>
      </c>
      <c r="F445" s="136" t="str">
        <f>tbl_IO_List[[#This Row],[Column23]]&amp;"-" &amp;tbl_IO_List[[#This Row],[Column52]]</f>
        <v>C2S07-X2</v>
      </c>
      <c r="G445" s="136" t="str">
        <f>tbl_IO_List[[#This Row],[PLC_Tag]]</f>
        <v>XV-60263_DO_1</v>
      </c>
      <c r="H445" s="136"/>
      <c r="I445" s="136" t="str">
        <f>VLOOKUP(tbl_IO_List[[#This Row],[Destination]],tbl_Junction[],2,FALSE)</f>
        <v>Spray Dryer 7th Floor</v>
      </c>
      <c r="J445" s="136" t="s">
        <v>270</v>
      </c>
      <c r="K445" s="136" t="s">
        <v>14</v>
      </c>
      <c r="L445" s="136" t="s">
        <v>1388</v>
      </c>
      <c r="M445" s="136" t="e">
        <f>VLOOKUP(tbl_IO_List[[#This Row],[Instruement Tag]],tbl_Instruement_List[],2,FALSE)</f>
        <v>#N/A</v>
      </c>
      <c r="N445" s="136" t="s">
        <v>95</v>
      </c>
      <c r="O445" s="136" t="s">
        <v>272</v>
      </c>
      <c r="P445" s="136" t="s">
        <v>18</v>
      </c>
      <c r="Q445" s="136" t="e">
        <f>VLOOKUP(tbl_IO_List[[#This Row],[Instruement Tag]],tbl_Instruement_List[],6,FALSE)</f>
        <v>#N/A</v>
      </c>
      <c r="R445" s="136"/>
      <c r="S44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445" s="136" t="str">
        <f>tbl_IO_List[[#This Row],[Instruement Tag]]&amp;"_"&amp;tbl_IO_List[[#This Row],[I/O Type]]&amp;"_"&amp;tbl_IO_List[[#This Row],[IO-Point 
(Instruement)]]</f>
        <v>XV-60263_DO_1</v>
      </c>
      <c r="U445" s="136" t="s">
        <v>7</v>
      </c>
      <c r="V445" s="136">
        <f>VLOOKUP(tbl_IO_List[[#This Row],[I/O Type]],tbl_Slot_Group[],2,FALSE)</f>
        <v>2</v>
      </c>
      <c r="W445" s="136">
        <v>1</v>
      </c>
      <c r="X445" s="136" t="str">
        <f>tbl_IO_List[[#This Row],[Chassis]]&amp;"S"&amp;TEXT(tbl_IO_List[[#This Row],[Slot]],"00")</f>
        <v>C2S07</v>
      </c>
      <c r="Y445" s="136" t="str">
        <f>tbl_IO_List[[#This Row],[Chassis]]&amp;"S"&amp;TEXT(tbl_IO_List[[#This Row],[Slot]],"00")&amp;tbl_IO_List[[#This Row],[I/O Type]]&amp;TEXT(tbl_IO_List[[#This Row],[Point]],"00")</f>
        <v>C2S07DO22</v>
      </c>
      <c r="Z445" s="136" t="str">
        <f>tbl_IO_List[[#This Row],[Chassis]]&amp;"S"&amp;TEXT(tbl_IO_List[[#This Row],[Slot]],"00")&amp;","&amp;TEXT(tbl_IO_List[[#This Row],[Point]],"00")</f>
        <v>C2S07,22</v>
      </c>
      <c r="AA445" s="136" t="str">
        <f>VLOOKUP(tbl_IO_List[[#This Row],[Column23]],tbl_RackConfig[],5,FALSE) &amp;"-"&amp;tbl_IO_List[[#This Row],[Point]]</f>
        <v>1756-OB32-22</v>
      </c>
      <c r="AB445" s="136"/>
      <c r="AC445" s="136"/>
      <c r="AD445" s="136" t="str">
        <f>tbl_IO_List[[#This Row],[I/O Type]]</f>
        <v>DO</v>
      </c>
      <c r="AE445" s="136" t="s">
        <v>1333</v>
      </c>
      <c r="AF445" s="136">
        <v>7</v>
      </c>
      <c r="AG445" s="136">
        <v>22</v>
      </c>
      <c r="AH445" s="136">
        <v>23</v>
      </c>
      <c r="AI445" s="136">
        <v>25</v>
      </c>
      <c r="AJ445" s="136">
        <v>2</v>
      </c>
      <c r="AK445" s="136">
        <v>1</v>
      </c>
      <c r="AL445" s="136">
        <v>0</v>
      </c>
      <c r="AM445" s="136">
        <v>0</v>
      </c>
      <c r="AN445" s="136">
        <v>0</v>
      </c>
      <c r="AO445" s="136"/>
      <c r="AP445" s="143" t="e">
        <f>VLOOKUP(tbl_IO_List[[#This Row],[Instruement Tag]],tbl_Instruement_List[],14,FALSE)</f>
        <v>#N/A</v>
      </c>
      <c r="AQ445" s="143" t="str">
        <f>tbl_IO_List[[#This Row],[Chassis]]&amp;"S"&amp;tbl_IO_List[[#This Row],[Slot]]&amp;"-"&amp;tbl_IO_List[[#This Row],[Front Terminal Number]]</f>
        <v>C2S7-25</v>
      </c>
      <c r="AR445" s="141" t="s">
        <v>1867</v>
      </c>
      <c r="AS445" s="136" t="str">
        <f>tbl_IO_List[[#This Row],[Terminal Tagging]]&amp;"-"&amp;tbl_IO_List[[#This Row],[Point-Count]]</f>
        <v>P2-TBRL2-23</v>
      </c>
      <c r="AT445" s="136" t="str">
        <f>tbl_IO_List[[#This Row],[Front Terminal Tagging]]&amp;"/"&amp;tbl_IO_List[[#This Row],[Terminal Tagging-Item]]</f>
        <v>C2S7-25/P2-TBRL2-23</v>
      </c>
      <c r="AU445" s="136" t="str">
        <f>tbl_IO_List[[#This Row],[Terminal Tagging-Item]]&amp;"/"&amp;tbl_IO_List[[#This Row],[Front Terminal Tagging]]</f>
        <v>P2-TBRL2-23/C2S7-25</v>
      </c>
    </row>
    <row r="446" spans="1:47">
      <c r="A446" s="147" t="s">
        <v>1367</v>
      </c>
      <c r="B446" s="136" t="s">
        <v>270</v>
      </c>
      <c r="C446" s="136" t="str">
        <f>tbl_IO_List[[#This Row],[Column3]]</f>
        <v>C2S07,23</v>
      </c>
      <c r="D446" s="136" t="str">
        <f>tbl_IO_List[[#This Row],[Card]]</f>
        <v>1756-OB32-23</v>
      </c>
      <c r="E446" s="136" t="s">
        <v>1372</v>
      </c>
      <c r="F446" s="136" t="str">
        <f>tbl_IO_List[[#This Row],[Column23]]&amp;"-" &amp;tbl_IO_List[[#This Row],[Column52]]</f>
        <v>C2S07-X2</v>
      </c>
      <c r="G446" s="136" t="str">
        <f>tbl_IO_List[[#This Row],[PLC_Tag]]</f>
        <v>XV-60263FJ_DO_1</v>
      </c>
      <c r="H446" s="136"/>
      <c r="I446" s="136" t="str">
        <f>VLOOKUP(tbl_IO_List[[#This Row],[Destination]],tbl_Junction[],2,FALSE)</f>
        <v>Spray Dryer 7th Floor</v>
      </c>
      <c r="J446" s="136" t="s">
        <v>270</v>
      </c>
      <c r="K446" s="136" t="s">
        <v>14</v>
      </c>
      <c r="L446" s="136" t="s">
        <v>315</v>
      </c>
      <c r="M446" s="136">
        <f>VLOOKUP(tbl_IO_List[[#This Row],[Instruement Tag]],tbl_Instruement_List[],2,FALSE)</f>
        <v>0</v>
      </c>
      <c r="N446" s="136" t="s">
        <v>95</v>
      </c>
      <c r="O446" s="136" t="s">
        <v>272</v>
      </c>
      <c r="P446" s="136" t="s">
        <v>273</v>
      </c>
      <c r="Q446" s="136" t="str">
        <f>VLOOKUP(tbl_IO_List[[#This Row],[Instruement Tag]],tbl_Instruement_List[],6,FALSE)</f>
        <v>Feed Slurry On/Off Valve for Nozzle #9 (ATVM-11C)</v>
      </c>
      <c r="R446" s="136"/>
      <c r="S44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446" s="136" t="str">
        <f>tbl_IO_List[[#This Row],[Instruement Tag]]&amp;"_"&amp;tbl_IO_List[[#This Row],[I/O Type]]&amp;"_"&amp;tbl_IO_List[[#This Row],[IO-Point 
(Instruement)]]</f>
        <v>XV-60263FJ_DO_1</v>
      </c>
      <c r="U446" s="136" t="s">
        <v>7</v>
      </c>
      <c r="V446" s="136">
        <f>VLOOKUP(tbl_IO_List[[#This Row],[I/O Type]],tbl_Slot_Group[],2,FALSE)</f>
        <v>2</v>
      </c>
      <c r="W446" s="136">
        <v>1</v>
      </c>
      <c r="X446" s="136" t="str">
        <f>tbl_IO_List[[#This Row],[Chassis]]&amp;"S"&amp;TEXT(tbl_IO_List[[#This Row],[Slot]],"00")</f>
        <v>C2S07</v>
      </c>
      <c r="Y446" s="136" t="str">
        <f>tbl_IO_List[[#This Row],[Chassis]]&amp;"S"&amp;TEXT(tbl_IO_List[[#This Row],[Slot]],"00")&amp;tbl_IO_List[[#This Row],[I/O Type]]&amp;TEXT(tbl_IO_List[[#This Row],[Point]],"00")</f>
        <v>C2S07DO23</v>
      </c>
      <c r="Z446" s="136" t="str">
        <f>tbl_IO_List[[#This Row],[Chassis]]&amp;"S"&amp;TEXT(tbl_IO_List[[#This Row],[Slot]],"00")&amp;","&amp;TEXT(tbl_IO_List[[#This Row],[Point]],"00")</f>
        <v>C2S07,23</v>
      </c>
      <c r="AA446" s="136" t="str">
        <f>VLOOKUP(tbl_IO_List[[#This Row],[Column23]],tbl_RackConfig[],5,FALSE) &amp;"-"&amp;tbl_IO_List[[#This Row],[Point]]</f>
        <v>1756-OB32-23</v>
      </c>
      <c r="AB446" s="136"/>
      <c r="AC446" s="136"/>
      <c r="AD446" s="136" t="str">
        <f>tbl_IO_List[[#This Row],[I/O Type]]</f>
        <v>DO</v>
      </c>
      <c r="AE446" s="136" t="s">
        <v>1333</v>
      </c>
      <c r="AF446" s="136">
        <v>7</v>
      </c>
      <c r="AG446" s="136">
        <v>23</v>
      </c>
      <c r="AH446" s="136">
        <v>24</v>
      </c>
      <c r="AI446" s="136">
        <v>26</v>
      </c>
      <c r="AJ446" s="136">
        <v>2</v>
      </c>
      <c r="AK446" s="136">
        <v>1</v>
      </c>
      <c r="AL446" s="136">
        <v>0</v>
      </c>
      <c r="AM446" s="136">
        <v>0</v>
      </c>
      <c r="AN446" s="136">
        <v>0</v>
      </c>
      <c r="AO446" s="136"/>
      <c r="AP446" s="143" t="str">
        <f>VLOOKUP(tbl_IO_List[[#This Row],[Instruement Tag]],tbl_Instruement_List[],14,FALSE)</f>
        <v>24 VDC energized,Dry Contact</v>
      </c>
      <c r="AQ446" s="143" t="str">
        <f>tbl_IO_List[[#This Row],[Chassis]]&amp;"S"&amp;tbl_IO_List[[#This Row],[Slot]]&amp;"-"&amp;tbl_IO_List[[#This Row],[Front Terminal Number]]</f>
        <v>C2S7-26</v>
      </c>
      <c r="AR446" s="141" t="s">
        <v>1867</v>
      </c>
      <c r="AS446" s="136" t="str">
        <f>tbl_IO_List[[#This Row],[Terminal Tagging]]&amp;"-"&amp;tbl_IO_List[[#This Row],[Point-Count]]</f>
        <v>P2-TBRL2-24</v>
      </c>
      <c r="AT446" s="136" t="str">
        <f>tbl_IO_List[[#This Row],[Front Terminal Tagging]]&amp;"/"&amp;tbl_IO_List[[#This Row],[Terminal Tagging-Item]]</f>
        <v>C2S7-26/P2-TBRL2-24</v>
      </c>
      <c r="AU446" s="136" t="str">
        <f>tbl_IO_List[[#This Row],[Terminal Tagging-Item]]&amp;"/"&amp;tbl_IO_List[[#This Row],[Front Terminal Tagging]]</f>
        <v>P2-TBRL2-24/C2S7-26</v>
      </c>
    </row>
    <row r="447" spans="1:47">
      <c r="A447" s="147" t="s">
        <v>1367</v>
      </c>
      <c r="B447" s="136" t="s">
        <v>270</v>
      </c>
      <c r="C447" s="136" t="str">
        <f>tbl_IO_List[[#This Row],[Column3]]</f>
        <v>C2S07,24</v>
      </c>
      <c r="D447" s="136" t="str">
        <f>tbl_IO_List[[#This Row],[Card]]</f>
        <v>1756-OB32-24</v>
      </c>
      <c r="E447" s="136" t="s">
        <v>1372</v>
      </c>
      <c r="F447" s="136" t="str">
        <f>tbl_IO_List[[#This Row],[Column23]]&amp;"-" &amp;tbl_IO_List[[#This Row],[Column52]]</f>
        <v>C2S07-X2</v>
      </c>
      <c r="G447" s="136" t="str">
        <f>tbl_IO_List[[#This Row],[PLC_Tag]]</f>
        <v>XV-60263FK_DO_1</v>
      </c>
      <c r="H447" s="136"/>
      <c r="I447" s="136" t="str">
        <f>VLOOKUP(tbl_IO_List[[#This Row],[Destination]],tbl_Junction[],2,FALSE)</f>
        <v>Spray Dryer 7th Floor</v>
      </c>
      <c r="J447" s="136" t="s">
        <v>270</v>
      </c>
      <c r="K447" s="136" t="s">
        <v>14</v>
      </c>
      <c r="L447" s="136" t="s">
        <v>316</v>
      </c>
      <c r="M447" s="136">
        <f>VLOOKUP(tbl_IO_List[[#This Row],[Instruement Tag]],tbl_Instruement_List[],2,FALSE)</f>
        <v>0</v>
      </c>
      <c r="N447" s="136" t="s">
        <v>95</v>
      </c>
      <c r="O447" s="136" t="s">
        <v>272</v>
      </c>
      <c r="P447" s="136" t="s">
        <v>273</v>
      </c>
      <c r="Q447" s="136" t="str">
        <f>VLOOKUP(tbl_IO_List[[#This Row],[Instruement Tag]],tbl_Instruement_List[],6,FALSE)</f>
        <v>Feed Slurry On/Off Valve for Nozzle #10 (ATVM-11C)</v>
      </c>
      <c r="R447" s="136"/>
      <c r="S44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447" s="136" t="str">
        <f>tbl_IO_List[[#This Row],[Instruement Tag]]&amp;"_"&amp;tbl_IO_List[[#This Row],[I/O Type]]&amp;"_"&amp;tbl_IO_List[[#This Row],[IO-Point 
(Instruement)]]</f>
        <v>XV-60263FK_DO_1</v>
      </c>
      <c r="U447" s="136" t="s">
        <v>7</v>
      </c>
      <c r="V447" s="136">
        <f>VLOOKUP(tbl_IO_List[[#This Row],[I/O Type]],tbl_Slot_Group[],2,FALSE)</f>
        <v>2</v>
      </c>
      <c r="W447" s="136">
        <v>1</v>
      </c>
      <c r="X447" s="136" t="str">
        <f>tbl_IO_List[[#This Row],[Chassis]]&amp;"S"&amp;TEXT(tbl_IO_List[[#This Row],[Slot]],"00")</f>
        <v>C2S07</v>
      </c>
      <c r="Y447" s="136" t="str">
        <f>tbl_IO_List[[#This Row],[Chassis]]&amp;"S"&amp;TEXT(tbl_IO_List[[#This Row],[Slot]],"00")&amp;tbl_IO_List[[#This Row],[I/O Type]]&amp;TEXT(tbl_IO_List[[#This Row],[Point]],"00")</f>
        <v>C2S07DO24</v>
      </c>
      <c r="Z447" s="136" t="str">
        <f>tbl_IO_List[[#This Row],[Chassis]]&amp;"S"&amp;TEXT(tbl_IO_List[[#This Row],[Slot]],"00")&amp;","&amp;TEXT(tbl_IO_List[[#This Row],[Point]],"00")</f>
        <v>C2S07,24</v>
      </c>
      <c r="AA447" s="136" t="str">
        <f>VLOOKUP(tbl_IO_List[[#This Row],[Column23]],tbl_RackConfig[],5,FALSE) &amp;"-"&amp;tbl_IO_List[[#This Row],[Point]]</f>
        <v>1756-OB32-24</v>
      </c>
      <c r="AB447" s="136"/>
      <c r="AC447" s="136"/>
      <c r="AD447" s="136" t="str">
        <f>tbl_IO_List[[#This Row],[I/O Type]]</f>
        <v>DO</v>
      </c>
      <c r="AE447" s="136" t="s">
        <v>1333</v>
      </c>
      <c r="AF447" s="136">
        <v>7</v>
      </c>
      <c r="AG447" s="136">
        <v>24</v>
      </c>
      <c r="AH447" s="136">
        <v>25</v>
      </c>
      <c r="AI447" s="136">
        <v>27</v>
      </c>
      <c r="AJ447" s="136">
        <v>2</v>
      </c>
      <c r="AK447" s="136">
        <v>1</v>
      </c>
      <c r="AL447" s="136">
        <v>0</v>
      </c>
      <c r="AM447" s="136">
        <v>0</v>
      </c>
      <c r="AN447" s="136">
        <v>0</v>
      </c>
      <c r="AO447" s="136"/>
      <c r="AP447" s="143" t="str">
        <f>VLOOKUP(tbl_IO_List[[#This Row],[Instruement Tag]],tbl_Instruement_List[],14,FALSE)</f>
        <v>24 VDC energized,Dry Contact</v>
      </c>
      <c r="AQ447" s="143" t="str">
        <f>tbl_IO_List[[#This Row],[Chassis]]&amp;"S"&amp;tbl_IO_List[[#This Row],[Slot]]&amp;"-"&amp;tbl_IO_List[[#This Row],[Front Terminal Number]]</f>
        <v>C2S7-27</v>
      </c>
      <c r="AR447" s="141" t="s">
        <v>1867</v>
      </c>
      <c r="AS447" s="136" t="str">
        <f>tbl_IO_List[[#This Row],[Terminal Tagging]]&amp;"-"&amp;tbl_IO_List[[#This Row],[Point-Count]]</f>
        <v>P2-TBRL2-25</v>
      </c>
      <c r="AT447" s="136" t="str">
        <f>tbl_IO_List[[#This Row],[Front Terminal Tagging]]&amp;"/"&amp;tbl_IO_List[[#This Row],[Terminal Tagging-Item]]</f>
        <v>C2S7-27/P2-TBRL2-25</v>
      </c>
      <c r="AU447" s="136" t="str">
        <f>tbl_IO_List[[#This Row],[Terminal Tagging-Item]]&amp;"/"&amp;tbl_IO_List[[#This Row],[Front Terminal Tagging]]</f>
        <v>P2-TBRL2-25/C2S7-27</v>
      </c>
    </row>
    <row r="448" spans="1:47">
      <c r="A448" s="147" t="s">
        <v>1367</v>
      </c>
      <c r="B448" s="136" t="s">
        <v>270</v>
      </c>
      <c r="C448" s="136" t="str">
        <f>tbl_IO_List[[#This Row],[Column3]]</f>
        <v>C2S07,25</v>
      </c>
      <c r="D448" s="136" t="str">
        <f>tbl_IO_List[[#This Row],[Card]]</f>
        <v>1756-OB32-25</v>
      </c>
      <c r="E448" s="136" t="s">
        <v>1372</v>
      </c>
      <c r="F448" s="136" t="str">
        <f>tbl_IO_List[[#This Row],[Column23]]&amp;"-" &amp;tbl_IO_List[[#This Row],[Column52]]</f>
        <v>C2S07-X2</v>
      </c>
      <c r="G448" s="136" t="str">
        <f>tbl_IO_List[[#This Row],[PLC_Tag]]</f>
        <v>XV-60263FL_DO_1</v>
      </c>
      <c r="H448" s="136"/>
      <c r="I448" s="136" t="str">
        <f>VLOOKUP(tbl_IO_List[[#This Row],[Destination]],tbl_Junction[],2,FALSE)</f>
        <v>Spray Dryer 7th Floor</v>
      </c>
      <c r="J448" s="136" t="s">
        <v>270</v>
      </c>
      <c r="K448" s="136" t="s">
        <v>14</v>
      </c>
      <c r="L448" s="136" t="s">
        <v>317</v>
      </c>
      <c r="M448" s="136">
        <f>VLOOKUP(tbl_IO_List[[#This Row],[Instruement Tag]],tbl_Instruement_List[],2,FALSE)</f>
        <v>0</v>
      </c>
      <c r="N448" s="136" t="s">
        <v>95</v>
      </c>
      <c r="O448" s="136" t="s">
        <v>272</v>
      </c>
      <c r="P448" s="136" t="s">
        <v>273</v>
      </c>
      <c r="Q448" s="136" t="str">
        <f>VLOOKUP(tbl_IO_List[[#This Row],[Instruement Tag]],tbl_Instruement_List[],6,FALSE)</f>
        <v>Feed Slurry On/Off Valve for Nozzle #11 (ATVM-11C)</v>
      </c>
      <c r="R448" s="136"/>
      <c r="S44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448" s="136" t="str">
        <f>tbl_IO_List[[#This Row],[Instruement Tag]]&amp;"_"&amp;tbl_IO_List[[#This Row],[I/O Type]]&amp;"_"&amp;tbl_IO_List[[#This Row],[IO-Point 
(Instruement)]]</f>
        <v>XV-60263FL_DO_1</v>
      </c>
      <c r="U448" s="136" t="s">
        <v>7</v>
      </c>
      <c r="V448" s="136">
        <f>VLOOKUP(tbl_IO_List[[#This Row],[I/O Type]],tbl_Slot_Group[],2,FALSE)</f>
        <v>2</v>
      </c>
      <c r="W448" s="136">
        <v>1</v>
      </c>
      <c r="X448" s="136" t="str">
        <f>tbl_IO_List[[#This Row],[Chassis]]&amp;"S"&amp;TEXT(tbl_IO_List[[#This Row],[Slot]],"00")</f>
        <v>C2S07</v>
      </c>
      <c r="Y448" s="136" t="str">
        <f>tbl_IO_List[[#This Row],[Chassis]]&amp;"S"&amp;TEXT(tbl_IO_List[[#This Row],[Slot]],"00")&amp;tbl_IO_List[[#This Row],[I/O Type]]&amp;TEXT(tbl_IO_List[[#This Row],[Point]],"00")</f>
        <v>C2S07DO25</v>
      </c>
      <c r="Z448" s="136" t="str">
        <f>tbl_IO_List[[#This Row],[Chassis]]&amp;"S"&amp;TEXT(tbl_IO_List[[#This Row],[Slot]],"00")&amp;","&amp;TEXT(tbl_IO_List[[#This Row],[Point]],"00")</f>
        <v>C2S07,25</v>
      </c>
      <c r="AA448" s="136" t="str">
        <f>VLOOKUP(tbl_IO_List[[#This Row],[Column23]],tbl_RackConfig[],5,FALSE) &amp;"-"&amp;tbl_IO_List[[#This Row],[Point]]</f>
        <v>1756-OB32-25</v>
      </c>
      <c r="AB448" s="136"/>
      <c r="AC448" s="136"/>
      <c r="AD448" s="136" t="str">
        <f>tbl_IO_List[[#This Row],[I/O Type]]</f>
        <v>DO</v>
      </c>
      <c r="AE448" s="136" t="s">
        <v>1333</v>
      </c>
      <c r="AF448" s="136">
        <v>7</v>
      </c>
      <c r="AG448" s="136">
        <v>25</v>
      </c>
      <c r="AH448" s="136">
        <v>26</v>
      </c>
      <c r="AI448" s="136">
        <v>28</v>
      </c>
      <c r="AJ448" s="136">
        <v>2</v>
      </c>
      <c r="AK448" s="136">
        <v>1</v>
      </c>
      <c r="AL448" s="136">
        <v>0</v>
      </c>
      <c r="AM448" s="136">
        <v>0</v>
      </c>
      <c r="AN448" s="136">
        <v>0</v>
      </c>
      <c r="AO448" s="136"/>
      <c r="AP448" s="143" t="str">
        <f>VLOOKUP(tbl_IO_List[[#This Row],[Instruement Tag]],tbl_Instruement_List[],14,FALSE)</f>
        <v>24 VDC energized,Dry Contact</v>
      </c>
      <c r="AQ448" s="143" t="str">
        <f>tbl_IO_List[[#This Row],[Chassis]]&amp;"S"&amp;tbl_IO_List[[#This Row],[Slot]]&amp;"-"&amp;tbl_IO_List[[#This Row],[Front Terminal Number]]</f>
        <v>C2S7-28</v>
      </c>
      <c r="AR448" s="141" t="s">
        <v>1867</v>
      </c>
      <c r="AS448" s="136" t="str">
        <f>tbl_IO_List[[#This Row],[Terminal Tagging]]&amp;"-"&amp;tbl_IO_List[[#This Row],[Point-Count]]</f>
        <v>P2-TBRL2-26</v>
      </c>
      <c r="AT448" s="136" t="str">
        <f>tbl_IO_List[[#This Row],[Front Terminal Tagging]]&amp;"/"&amp;tbl_IO_List[[#This Row],[Terminal Tagging-Item]]</f>
        <v>C2S7-28/P2-TBRL2-26</v>
      </c>
      <c r="AU448" s="136" t="str">
        <f>tbl_IO_List[[#This Row],[Terminal Tagging-Item]]&amp;"/"&amp;tbl_IO_List[[#This Row],[Front Terminal Tagging]]</f>
        <v>P2-TBRL2-26/C2S7-28</v>
      </c>
    </row>
    <row r="449" spans="1:47">
      <c r="A449" s="147" t="s">
        <v>1367</v>
      </c>
      <c r="B449" s="136" t="s">
        <v>270</v>
      </c>
      <c r="C449" s="136" t="str">
        <f>tbl_IO_List[[#This Row],[Column3]]</f>
        <v>C2S07,26</v>
      </c>
      <c r="D449" s="136" t="str">
        <f>tbl_IO_List[[#This Row],[Card]]</f>
        <v>1756-OB32-26</v>
      </c>
      <c r="E449" s="136" t="s">
        <v>1372</v>
      </c>
      <c r="F449" s="136" t="str">
        <f>tbl_IO_List[[#This Row],[Column23]]&amp;"-" &amp;tbl_IO_List[[#This Row],[Column52]]</f>
        <v>C2S07-X2</v>
      </c>
      <c r="G449" s="136" t="str">
        <f>tbl_IO_List[[#This Row],[PLC_Tag]]</f>
        <v>XV-60263FM_DO_1</v>
      </c>
      <c r="H449" s="136"/>
      <c r="I449" s="136" t="str">
        <f>VLOOKUP(tbl_IO_List[[#This Row],[Destination]],tbl_Junction[],2,FALSE)</f>
        <v>Spray Dryer 7th Floor</v>
      </c>
      <c r="J449" s="136" t="s">
        <v>270</v>
      </c>
      <c r="K449" s="136" t="s">
        <v>14</v>
      </c>
      <c r="L449" s="136" t="s">
        <v>318</v>
      </c>
      <c r="M449" s="136">
        <f>VLOOKUP(tbl_IO_List[[#This Row],[Instruement Tag]],tbl_Instruement_List[],2,FALSE)</f>
        <v>0</v>
      </c>
      <c r="N449" s="136" t="s">
        <v>95</v>
      </c>
      <c r="O449" s="136" t="s">
        <v>272</v>
      </c>
      <c r="P449" s="136" t="s">
        <v>273</v>
      </c>
      <c r="Q449" s="136" t="str">
        <f>VLOOKUP(tbl_IO_List[[#This Row],[Instruement Tag]],tbl_Instruement_List[],6,FALSE)</f>
        <v>Feed Slurry On/Off Valve for Nozzle #12 (ATVM-11C)</v>
      </c>
      <c r="R449" s="136"/>
      <c r="S44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449" s="136" t="str">
        <f>tbl_IO_List[[#This Row],[Instruement Tag]]&amp;"_"&amp;tbl_IO_List[[#This Row],[I/O Type]]&amp;"_"&amp;tbl_IO_List[[#This Row],[IO-Point 
(Instruement)]]</f>
        <v>XV-60263FM_DO_1</v>
      </c>
      <c r="U449" s="136" t="s">
        <v>7</v>
      </c>
      <c r="V449" s="136">
        <f>VLOOKUP(tbl_IO_List[[#This Row],[I/O Type]],tbl_Slot_Group[],2,FALSE)</f>
        <v>2</v>
      </c>
      <c r="W449" s="136">
        <v>1</v>
      </c>
      <c r="X449" s="136" t="str">
        <f>tbl_IO_List[[#This Row],[Chassis]]&amp;"S"&amp;TEXT(tbl_IO_List[[#This Row],[Slot]],"00")</f>
        <v>C2S07</v>
      </c>
      <c r="Y449" s="136" t="str">
        <f>tbl_IO_List[[#This Row],[Chassis]]&amp;"S"&amp;TEXT(tbl_IO_List[[#This Row],[Slot]],"00")&amp;tbl_IO_List[[#This Row],[I/O Type]]&amp;TEXT(tbl_IO_List[[#This Row],[Point]],"00")</f>
        <v>C2S07DO26</v>
      </c>
      <c r="Z449" s="136" t="str">
        <f>tbl_IO_List[[#This Row],[Chassis]]&amp;"S"&amp;TEXT(tbl_IO_List[[#This Row],[Slot]],"00")&amp;","&amp;TEXT(tbl_IO_List[[#This Row],[Point]],"00")</f>
        <v>C2S07,26</v>
      </c>
      <c r="AA449" s="136" t="str">
        <f>VLOOKUP(tbl_IO_List[[#This Row],[Column23]],tbl_RackConfig[],5,FALSE) &amp;"-"&amp;tbl_IO_List[[#This Row],[Point]]</f>
        <v>1756-OB32-26</v>
      </c>
      <c r="AB449" s="136"/>
      <c r="AC449" s="136"/>
      <c r="AD449" s="136" t="str">
        <f>tbl_IO_List[[#This Row],[I/O Type]]</f>
        <v>DO</v>
      </c>
      <c r="AE449" s="136" t="s">
        <v>1333</v>
      </c>
      <c r="AF449" s="136">
        <v>7</v>
      </c>
      <c r="AG449" s="136">
        <v>26</v>
      </c>
      <c r="AH449" s="136">
        <v>27</v>
      </c>
      <c r="AI449" s="136">
        <v>29</v>
      </c>
      <c r="AJ449" s="136">
        <v>2</v>
      </c>
      <c r="AK449" s="136">
        <v>1</v>
      </c>
      <c r="AL449" s="136">
        <v>0</v>
      </c>
      <c r="AM449" s="136">
        <v>0</v>
      </c>
      <c r="AN449" s="136">
        <v>0</v>
      </c>
      <c r="AO449" s="136"/>
      <c r="AP449" s="143" t="str">
        <f>VLOOKUP(tbl_IO_List[[#This Row],[Instruement Tag]],tbl_Instruement_List[],14,FALSE)</f>
        <v>24 VDC energized,Dry Contact</v>
      </c>
      <c r="AQ449" s="143" t="str">
        <f>tbl_IO_List[[#This Row],[Chassis]]&amp;"S"&amp;tbl_IO_List[[#This Row],[Slot]]&amp;"-"&amp;tbl_IO_List[[#This Row],[Front Terminal Number]]</f>
        <v>C2S7-29</v>
      </c>
      <c r="AR449" s="141" t="s">
        <v>1867</v>
      </c>
      <c r="AS449" s="136" t="str">
        <f>tbl_IO_List[[#This Row],[Terminal Tagging]]&amp;"-"&amp;tbl_IO_List[[#This Row],[Point-Count]]</f>
        <v>P2-TBRL2-27</v>
      </c>
      <c r="AT449" s="136" t="str">
        <f>tbl_IO_List[[#This Row],[Front Terminal Tagging]]&amp;"/"&amp;tbl_IO_List[[#This Row],[Terminal Tagging-Item]]</f>
        <v>C2S7-29/P2-TBRL2-27</v>
      </c>
      <c r="AU449" s="136" t="str">
        <f>tbl_IO_List[[#This Row],[Terminal Tagging-Item]]&amp;"/"&amp;tbl_IO_List[[#This Row],[Front Terminal Tagging]]</f>
        <v>P2-TBRL2-27/C2S7-29</v>
      </c>
    </row>
    <row r="450" spans="1:47">
      <c r="A450" s="147" t="s">
        <v>1367</v>
      </c>
      <c r="B450" s="136" t="s">
        <v>270</v>
      </c>
      <c r="C450" s="136" t="str">
        <f>tbl_IO_List[[#This Row],[Column3]]</f>
        <v>C2S07,27</v>
      </c>
      <c r="D450" s="136" t="str">
        <f>tbl_IO_List[[#This Row],[Card]]</f>
        <v>1756-OB32-27</v>
      </c>
      <c r="E450" s="136" t="s">
        <v>1372</v>
      </c>
      <c r="F450" s="136" t="str">
        <f>tbl_IO_List[[#This Row],[Column23]]&amp;"-" &amp;tbl_IO_List[[#This Row],[Column52]]</f>
        <v>C2S07-X2</v>
      </c>
      <c r="G450" s="136" t="str">
        <f>tbl_IO_List[[#This Row],[PLC_Tag]]</f>
        <v>XV-60263SJ_DO_1</v>
      </c>
      <c r="H450" s="136"/>
      <c r="I450" s="136" t="str">
        <f>VLOOKUP(tbl_IO_List[[#This Row],[Destination]],tbl_Junction[],2,FALSE)</f>
        <v>Spray Dryer 7th Floor</v>
      </c>
      <c r="J450" s="136" t="s">
        <v>270</v>
      </c>
      <c r="K450" s="136" t="s">
        <v>14</v>
      </c>
      <c r="L450" s="136" t="s">
        <v>319</v>
      </c>
      <c r="M450" s="136">
        <f>VLOOKUP(tbl_IO_List[[#This Row],[Instruement Tag]],tbl_Instruement_List[],2,FALSE)</f>
        <v>0</v>
      </c>
      <c r="N450" s="136" t="s">
        <v>95</v>
      </c>
      <c r="O450" s="136" t="s">
        <v>272</v>
      </c>
      <c r="P450" s="136" t="s">
        <v>273</v>
      </c>
      <c r="Q450" s="136" t="str">
        <f>VLOOKUP(tbl_IO_List[[#This Row],[Instruement Tag]],tbl_Instruement_List[],6,FALSE)</f>
        <v>Steam On/Off Valve for Nozzle #9 (ATVM-11C)</v>
      </c>
      <c r="R450" s="136"/>
      <c r="S45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450" s="136" t="str">
        <f>tbl_IO_List[[#This Row],[Instruement Tag]]&amp;"_"&amp;tbl_IO_List[[#This Row],[I/O Type]]&amp;"_"&amp;tbl_IO_List[[#This Row],[IO-Point 
(Instruement)]]</f>
        <v>XV-60263SJ_DO_1</v>
      </c>
      <c r="U450" s="136" t="s">
        <v>7</v>
      </c>
      <c r="V450" s="136">
        <f>VLOOKUP(tbl_IO_List[[#This Row],[I/O Type]],tbl_Slot_Group[],2,FALSE)</f>
        <v>2</v>
      </c>
      <c r="W450" s="136">
        <v>1</v>
      </c>
      <c r="X450" s="136" t="str">
        <f>tbl_IO_List[[#This Row],[Chassis]]&amp;"S"&amp;TEXT(tbl_IO_List[[#This Row],[Slot]],"00")</f>
        <v>C2S07</v>
      </c>
      <c r="Y450" s="136" t="str">
        <f>tbl_IO_List[[#This Row],[Chassis]]&amp;"S"&amp;TEXT(tbl_IO_List[[#This Row],[Slot]],"00")&amp;tbl_IO_List[[#This Row],[I/O Type]]&amp;TEXT(tbl_IO_List[[#This Row],[Point]],"00")</f>
        <v>C2S07DO27</v>
      </c>
      <c r="Z450" s="136" t="str">
        <f>tbl_IO_List[[#This Row],[Chassis]]&amp;"S"&amp;TEXT(tbl_IO_List[[#This Row],[Slot]],"00")&amp;","&amp;TEXT(tbl_IO_List[[#This Row],[Point]],"00")</f>
        <v>C2S07,27</v>
      </c>
      <c r="AA450" s="136" t="str">
        <f>VLOOKUP(tbl_IO_List[[#This Row],[Column23]],tbl_RackConfig[],5,FALSE) &amp;"-"&amp;tbl_IO_List[[#This Row],[Point]]</f>
        <v>1756-OB32-27</v>
      </c>
      <c r="AB450" s="136"/>
      <c r="AC450" s="136"/>
      <c r="AD450" s="136" t="str">
        <f>tbl_IO_List[[#This Row],[I/O Type]]</f>
        <v>DO</v>
      </c>
      <c r="AE450" s="136" t="s">
        <v>1333</v>
      </c>
      <c r="AF450" s="136">
        <v>7</v>
      </c>
      <c r="AG450" s="136">
        <v>27</v>
      </c>
      <c r="AH450" s="136">
        <v>28</v>
      </c>
      <c r="AI450" s="136">
        <v>30</v>
      </c>
      <c r="AJ450" s="136">
        <v>2</v>
      </c>
      <c r="AK450" s="136">
        <v>1</v>
      </c>
      <c r="AL450" s="136">
        <v>0</v>
      </c>
      <c r="AM450" s="136">
        <v>0</v>
      </c>
      <c r="AN450" s="136">
        <v>0</v>
      </c>
      <c r="AO450" s="136"/>
      <c r="AP450" s="143" t="str">
        <f>VLOOKUP(tbl_IO_List[[#This Row],[Instruement Tag]],tbl_Instruement_List[],14,FALSE)</f>
        <v>24 VDC energized,Dry Contact</v>
      </c>
      <c r="AQ450" s="143" t="str">
        <f>tbl_IO_List[[#This Row],[Chassis]]&amp;"S"&amp;tbl_IO_List[[#This Row],[Slot]]&amp;"-"&amp;tbl_IO_List[[#This Row],[Front Terminal Number]]</f>
        <v>C2S7-30</v>
      </c>
      <c r="AR450" s="141" t="s">
        <v>1867</v>
      </c>
      <c r="AS450" s="136" t="str">
        <f>tbl_IO_List[[#This Row],[Terminal Tagging]]&amp;"-"&amp;tbl_IO_List[[#This Row],[Point-Count]]</f>
        <v>P2-TBRL2-28</v>
      </c>
      <c r="AT450" s="136" t="str">
        <f>tbl_IO_List[[#This Row],[Front Terminal Tagging]]&amp;"/"&amp;tbl_IO_List[[#This Row],[Terminal Tagging-Item]]</f>
        <v>C2S7-30/P2-TBRL2-28</v>
      </c>
      <c r="AU450" s="136" t="str">
        <f>tbl_IO_List[[#This Row],[Terminal Tagging-Item]]&amp;"/"&amp;tbl_IO_List[[#This Row],[Front Terminal Tagging]]</f>
        <v>P2-TBRL2-28/C2S7-30</v>
      </c>
    </row>
    <row r="451" spans="1:47">
      <c r="A451" s="147" t="s">
        <v>1367</v>
      </c>
      <c r="B451" s="136" t="s">
        <v>270</v>
      </c>
      <c r="C451" s="136" t="str">
        <f>tbl_IO_List[[#This Row],[Column3]]</f>
        <v>C2S07,28</v>
      </c>
      <c r="D451" s="136" t="str">
        <f>tbl_IO_List[[#This Row],[Card]]</f>
        <v>1756-OB32-28</v>
      </c>
      <c r="E451" s="136" t="s">
        <v>1372</v>
      </c>
      <c r="F451" s="136" t="str">
        <f>tbl_IO_List[[#This Row],[Column23]]&amp;"-" &amp;tbl_IO_List[[#This Row],[Column52]]</f>
        <v>C2S07-X2</v>
      </c>
      <c r="G451" s="136" t="str">
        <f>tbl_IO_List[[#This Row],[PLC_Tag]]</f>
        <v>XV-60263SK_DO_1</v>
      </c>
      <c r="H451" s="136"/>
      <c r="I451" s="136" t="str">
        <f>VLOOKUP(tbl_IO_List[[#This Row],[Destination]],tbl_Junction[],2,FALSE)</f>
        <v>Spray Dryer 7th Floor</v>
      </c>
      <c r="J451" s="136" t="s">
        <v>270</v>
      </c>
      <c r="K451" s="136" t="s">
        <v>14</v>
      </c>
      <c r="L451" s="136" t="s">
        <v>320</v>
      </c>
      <c r="M451" s="136">
        <f>VLOOKUP(tbl_IO_List[[#This Row],[Instruement Tag]],tbl_Instruement_List[],2,FALSE)</f>
        <v>0</v>
      </c>
      <c r="N451" s="136" t="s">
        <v>95</v>
      </c>
      <c r="O451" s="136" t="s">
        <v>272</v>
      </c>
      <c r="P451" s="136" t="s">
        <v>273</v>
      </c>
      <c r="Q451" s="136" t="str">
        <f>VLOOKUP(tbl_IO_List[[#This Row],[Instruement Tag]],tbl_Instruement_List[],6,FALSE)</f>
        <v>Steam On/Off Valve for Nozzle #10 (ATVM-11C)</v>
      </c>
      <c r="R451" s="136"/>
      <c r="S45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451" s="136" t="str">
        <f>tbl_IO_List[[#This Row],[Instruement Tag]]&amp;"_"&amp;tbl_IO_List[[#This Row],[I/O Type]]&amp;"_"&amp;tbl_IO_List[[#This Row],[IO-Point 
(Instruement)]]</f>
        <v>XV-60263SK_DO_1</v>
      </c>
      <c r="U451" s="136" t="s">
        <v>7</v>
      </c>
      <c r="V451" s="136">
        <f>VLOOKUP(tbl_IO_List[[#This Row],[I/O Type]],tbl_Slot_Group[],2,FALSE)</f>
        <v>2</v>
      </c>
      <c r="W451" s="136">
        <v>1</v>
      </c>
      <c r="X451" s="136" t="str">
        <f>tbl_IO_List[[#This Row],[Chassis]]&amp;"S"&amp;TEXT(tbl_IO_List[[#This Row],[Slot]],"00")</f>
        <v>C2S07</v>
      </c>
      <c r="Y451" s="136" t="str">
        <f>tbl_IO_List[[#This Row],[Chassis]]&amp;"S"&amp;TEXT(tbl_IO_List[[#This Row],[Slot]],"00")&amp;tbl_IO_List[[#This Row],[I/O Type]]&amp;TEXT(tbl_IO_List[[#This Row],[Point]],"00")</f>
        <v>C2S07DO28</v>
      </c>
      <c r="Z451" s="136" t="str">
        <f>tbl_IO_List[[#This Row],[Chassis]]&amp;"S"&amp;TEXT(tbl_IO_List[[#This Row],[Slot]],"00")&amp;","&amp;TEXT(tbl_IO_List[[#This Row],[Point]],"00")</f>
        <v>C2S07,28</v>
      </c>
      <c r="AA451" s="136" t="str">
        <f>VLOOKUP(tbl_IO_List[[#This Row],[Column23]],tbl_RackConfig[],5,FALSE) &amp;"-"&amp;tbl_IO_List[[#This Row],[Point]]</f>
        <v>1756-OB32-28</v>
      </c>
      <c r="AB451" s="136"/>
      <c r="AC451" s="136"/>
      <c r="AD451" s="136" t="str">
        <f>tbl_IO_List[[#This Row],[I/O Type]]</f>
        <v>DO</v>
      </c>
      <c r="AE451" s="136" t="s">
        <v>1333</v>
      </c>
      <c r="AF451" s="136">
        <v>7</v>
      </c>
      <c r="AG451" s="136">
        <v>28</v>
      </c>
      <c r="AH451" s="136">
        <v>29</v>
      </c>
      <c r="AI451" s="136">
        <v>31</v>
      </c>
      <c r="AJ451" s="136">
        <v>2</v>
      </c>
      <c r="AK451" s="136">
        <v>1</v>
      </c>
      <c r="AL451" s="136">
        <v>0</v>
      </c>
      <c r="AM451" s="136">
        <v>0</v>
      </c>
      <c r="AN451" s="136">
        <v>0</v>
      </c>
      <c r="AO451" s="136"/>
      <c r="AP451" s="143" t="str">
        <f>VLOOKUP(tbl_IO_List[[#This Row],[Instruement Tag]],tbl_Instruement_List[],14,FALSE)</f>
        <v>24 VDC energized,Dry Contact</v>
      </c>
      <c r="AQ451" s="143" t="str">
        <f>tbl_IO_List[[#This Row],[Chassis]]&amp;"S"&amp;tbl_IO_List[[#This Row],[Slot]]&amp;"-"&amp;tbl_IO_List[[#This Row],[Front Terminal Number]]</f>
        <v>C2S7-31</v>
      </c>
      <c r="AR451" s="141" t="s">
        <v>1867</v>
      </c>
      <c r="AS451" s="136" t="str">
        <f>tbl_IO_List[[#This Row],[Terminal Tagging]]&amp;"-"&amp;tbl_IO_List[[#This Row],[Point-Count]]</f>
        <v>P2-TBRL2-29</v>
      </c>
      <c r="AT451" s="136" t="str">
        <f>tbl_IO_List[[#This Row],[Front Terminal Tagging]]&amp;"/"&amp;tbl_IO_List[[#This Row],[Terminal Tagging-Item]]</f>
        <v>C2S7-31/P2-TBRL2-29</v>
      </c>
      <c r="AU451" s="136" t="str">
        <f>tbl_IO_List[[#This Row],[Terminal Tagging-Item]]&amp;"/"&amp;tbl_IO_List[[#This Row],[Front Terminal Tagging]]</f>
        <v>P2-TBRL2-29/C2S7-31</v>
      </c>
    </row>
    <row r="452" spans="1:47">
      <c r="A452" s="147" t="s">
        <v>1367</v>
      </c>
      <c r="B452" s="136" t="s">
        <v>270</v>
      </c>
      <c r="C452" s="136" t="str">
        <f>tbl_IO_List[[#This Row],[Column3]]</f>
        <v>C2S07,29</v>
      </c>
      <c r="D452" s="136" t="str">
        <f>tbl_IO_List[[#This Row],[Card]]</f>
        <v>1756-OB32-29</v>
      </c>
      <c r="E452" s="136" t="s">
        <v>1372</v>
      </c>
      <c r="F452" s="136" t="str">
        <f>tbl_IO_List[[#This Row],[Column23]]&amp;"-" &amp;tbl_IO_List[[#This Row],[Column52]]</f>
        <v>C2S07-X2</v>
      </c>
      <c r="G452" s="136" t="str">
        <f>tbl_IO_List[[#This Row],[PLC_Tag]]</f>
        <v>XV-60263SL_DO_1</v>
      </c>
      <c r="H452" s="136"/>
      <c r="I452" s="136" t="str">
        <f>VLOOKUP(tbl_IO_List[[#This Row],[Destination]],tbl_Junction[],2,FALSE)</f>
        <v>Spray Dryer 7th Floor</v>
      </c>
      <c r="J452" s="136" t="s">
        <v>270</v>
      </c>
      <c r="K452" s="136" t="s">
        <v>14</v>
      </c>
      <c r="L452" s="136" t="s">
        <v>321</v>
      </c>
      <c r="M452" s="136">
        <f>VLOOKUP(tbl_IO_List[[#This Row],[Instruement Tag]],tbl_Instruement_List[],2,FALSE)</f>
        <v>0</v>
      </c>
      <c r="N452" s="136" t="s">
        <v>95</v>
      </c>
      <c r="O452" s="136" t="s">
        <v>272</v>
      </c>
      <c r="P452" s="136" t="s">
        <v>273</v>
      </c>
      <c r="Q452" s="136" t="str">
        <f>VLOOKUP(tbl_IO_List[[#This Row],[Instruement Tag]],tbl_Instruement_List[],6,FALSE)</f>
        <v>Steam On/Off Valve for Nozzle #11 (ATVM-11C)</v>
      </c>
      <c r="R452" s="136"/>
      <c r="S45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452" s="136" t="str">
        <f>tbl_IO_List[[#This Row],[Instruement Tag]]&amp;"_"&amp;tbl_IO_List[[#This Row],[I/O Type]]&amp;"_"&amp;tbl_IO_List[[#This Row],[IO-Point 
(Instruement)]]</f>
        <v>XV-60263SL_DO_1</v>
      </c>
      <c r="U452" s="136" t="s">
        <v>7</v>
      </c>
      <c r="V452" s="136">
        <f>VLOOKUP(tbl_IO_List[[#This Row],[I/O Type]],tbl_Slot_Group[],2,FALSE)</f>
        <v>2</v>
      </c>
      <c r="W452" s="136">
        <v>1</v>
      </c>
      <c r="X452" s="136" t="str">
        <f>tbl_IO_List[[#This Row],[Chassis]]&amp;"S"&amp;TEXT(tbl_IO_List[[#This Row],[Slot]],"00")</f>
        <v>C2S07</v>
      </c>
      <c r="Y452" s="136" t="str">
        <f>tbl_IO_List[[#This Row],[Chassis]]&amp;"S"&amp;TEXT(tbl_IO_List[[#This Row],[Slot]],"00")&amp;tbl_IO_List[[#This Row],[I/O Type]]&amp;TEXT(tbl_IO_List[[#This Row],[Point]],"00")</f>
        <v>C2S07DO29</v>
      </c>
      <c r="Z452" s="136" t="str">
        <f>tbl_IO_List[[#This Row],[Chassis]]&amp;"S"&amp;TEXT(tbl_IO_List[[#This Row],[Slot]],"00")&amp;","&amp;TEXT(tbl_IO_List[[#This Row],[Point]],"00")</f>
        <v>C2S07,29</v>
      </c>
      <c r="AA452" s="136" t="str">
        <f>VLOOKUP(tbl_IO_List[[#This Row],[Column23]],tbl_RackConfig[],5,FALSE) &amp;"-"&amp;tbl_IO_List[[#This Row],[Point]]</f>
        <v>1756-OB32-29</v>
      </c>
      <c r="AB452" s="136"/>
      <c r="AC452" s="136"/>
      <c r="AD452" s="136" t="str">
        <f>tbl_IO_List[[#This Row],[I/O Type]]</f>
        <v>DO</v>
      </c>
      <c r="AE452" s="136" t="s">
        <v>1333</v>
      </c>
      <c r="AF452" s="136">
        <v>7</v>
      </c>
      <c r="AG452" s="136">
        <v>29</v>
      </c>
      <c r="AH452" s="136">
        <v>30</v>
      </c>
      <c r="AI452" s="136">
        <v>32</v>
      </c>
      <c r="AJ452" s="136">
        <v>2</v>
      </c>
      <c r="AK452" s="136">
        <v>1</v>
      </c>
      <c r="AL452" s="136">
        <v>0</v>
      </c>
      <c r="AM452" s="136">
        <v>0</v>
      </c>
      <c r="AN452" s="136">
        <v>0</v>
      </c>
      <c r="AO452" s="136"/>
      <c r="AP452" s="143" t="str">
        <f>VLOOKUP(tbl_IO_List[[#This Row],[Instruement Tag]],tbl_Instruement_List[],14,FALSE)</f>
        <v>24 VDC energized,Dry Contact</v>
      </c>
      <c r="AQ452" s="143" t="str">
        <f>tbl_IO_List[[#This Row],[Chassis]]&amp;"S"&amp;tbl_IO_List[[#This Row],[Slot]]&amp;"-"&amp;tbl_IO_List[[#This Row],[Front Terminal Number]]</f>
        <v>C2S7-32</v>
      </c>
      <c r="AR452" s="141" t="s">
        <v>1867</v>
      </c>
      <c r="AS452" s="136" t="str">
        <f>tbl_IO_List[[#This Row],[Terminal Tagging]]&amp;"-"&amp;tbl_IO_List[[#This Row],[Point-Count]]</f>
        <v>P2-TBRL2-30</v>
      </c>
      <c r="AT452" s="136" t="str">
        <f>tbl_IO_List[[#This Row],[Front Terminal Tagging]]&amp;"/"&amp;tbl_IO_List[[#This Row],[Terminal Tagging-Item]]</f>
        <v>C2S7-32/P2-TBRL2-30</v>
      </c>
      <c r="AU452" s="136" t="str">
        <f>tbl_IO_List[[#This Row],[Terminal Tagging-Item]]&amp;"/"&amp;tbl_IO_List[[#This Row],[Front Terminal Tagging]]</f>
        <v>P2-TBRL2-30/C2S7-32</v>
      </c>
    </row>
    <row r="453" spans="1:47">
      <c r="A453" s="147" t="s">
        <v>1367</v>
      </c>
      <c r="B453" s="136" t="s">
        <v>270</v>
      </c>
      <c r="C453" s="136" t="str">
        <f>tbl_IO_List[[#This Row],[Column3]]</f>
        <v>C2S07,30</v>
      </c>
      <c r="D453" s="136" t="str">
        <f>tbl_IO_List[[#This Row],[Card]]</f>
        <v>1756-OB32-30</v>
      </c>
      <c r="E453" s="136" t="s">
        <v>1372</v>
      </c>
      <c r="F453" s="136" t="str">
        <f>tbl_IO_List[[#This Row],[Column23]]&amp;"-" &amp;tbl_IO_List[[#This Row],[Column52]]</f>
        <v>C2S07-X2</v>
      </c>
      <c r="G453" s="136" t="str">
        <f>tbl_IO_List[[#This Row],[PLC_Tag]]</f>
        <v>XV-60263SM_DO_1</v>
      </c>
      <c r="H453" s="136"/>
      <c r="I453" s="136" t="str">
        <f>VLOOKUP(tbl_IO_List[[#This Row],[Destination]],tbl_Junction[],2,FALSE)</f>
        <v>Spray Dryer 7th Floor</v>
      </c>
      <c r="J453" s="136" t="s">
        <v>270</v>
      </c>
      <c r="K453" s="136" t="s">
        <v>14</v>
      </c>
      <c r="L453" s="136" t="s">
        <v>322</v>
      </c>
      <c r="M453" s="136">
        <f>VLOOKUP(tbl_IO_List[[#This Row],[Instruement Tag]],tbl_Instruement_List[],2,FALSE)</f>
        <v>0</v>
      </c>
      <c r="N453" s="136" t="s">
        <v>95</v>
      </c>
      <c r="O453" s="136" t="s">
        <v>272</v>
      </c>
      <c r="P453" s="136" t="s">
        <v>273</v>
      </c>
      <c r="Q453" s="136" t="str">
        <f>VLOOKUP(tbl_IO_List[[#This Row],[Instruement Tag]],tbl_Instruement_List[],6,FALSE)</f>
        <v>Steam On/Off Valve for Nozzle #12 (ATVM-11C)</v>
      </c>
      <c r="R453" s="136"/>
      <c r="S45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453" s="136" t="str">
        <f>tbl_IO_List[[#This Row],[Instruement Tag]]&amp;"_"&amp;tbl_IO_List[[#This Row],[I/O Type]]&amp;"_"&amp;tbl_IO_List[[#This Row],[IO-Point 
(Instruement)]]</f>
        <v>XV-60263SM_DO_1</v>
      </c>
      <c r="U453" s="136" t="s">
        <v>7</v>
      </c>
      <c r="V453" s="136">
        <f>VLOOKUP(tbl_IO_List[[#This Row],[I/O Type]],tbl_Slot_Group[],2,FALSE)</f>
        <v>2</v>
      </c>
      <c r="W453" s="136">
        <v>1</v>
      </c>
      <c r="X453" s="136" t="str">
        <f>tbl_IO_List[[#This Row],[Chassis]]&amp;"S"&amp;TEXT(tbl_IO_List[[#This Row],[Slot]],"00")</f>
        <v>C2S07</v>
      </c>
      <c r="Y453" s="136" t="str">
        <f>tbl_IO_List[[#This Row],[Chassis]]&amp;"S"&amp;TEXT(tbl_IO_List[[#This Row],[Slot]],"00")&amp;tbl_IO_List[[#This Row],[I/O Type]]&amp;TEXT(tbl_IO_List[[#This Row],[Point]],"00")</f>
        <v>C2S07DO30</v>
      </c>
      <c r="Z453" s="136" t="str">
        <f>tbl_IO_List[[#This Row],[Chassis]]&amp;"S"&amp;TEXT(tbl_IO_List[[#This Row],[Slot]],"00")&amp;","&amp;TEXT(tbl_IO_List[[#This Row],[Point]],"00")</f>
        <v>C2S07,30</v>
      </c>
      <c r="AA453" s="136" t="str">
        <f>VLOOKUP(tbl_IO_List[[#This Row],[Column23]],tbl_RackConfig[],5,FALSE) &amp;"-"&amp;tbl_IO_List[[#This Row],[Point]]</f>
        <v>1756-OB32-30</v>
      </c>
      <c r="AB453" s="136"/>
      <c r="AC453" s="136"/>
      <c r="AD453" s="136" t="str">
        <f>tbl_IO_List[[#This Row],[I/O Type]]</f>
        <v>DO</v>
      </c>
      <c r="AE453" s="136" t="s">
        <v>1333</v>
      </c>
      <c r="AF453" s="136">
        <v>7</v>
      </c>
      <c r="AG453" s="136">
        <v>30</v>
      </c>
      <c r="AH453" s="136">
        <v>31</v>
      </c>
      <c r="AI453" s="136">
        <v>33</v>
      </c>
      <c r="AJ453" s="136">
        <v>2</v>
      </c>
      <c r="AK453" s="136">
        <v>1</v>
      </c>
      <c r="AL453" s="136">
        <v>0</v>
      </c>
      <c r="AM453" s="136">
        <v>0</v>
      </c>
      <c r="AN453" s="136">
        <v>0</v>
      </c>
      <c r="AO453" s="136"/>
      <c r="AP453" s="143" t="str">
        <f>VLOOKUP(tbl_IO_List[[#This Row],[Instruement Tag]],tbl_Instruement_List[],14,FALSE)</f>
        <v>24 VDC energized,Dry Contact</v>
      </c>
      <c r="AQ453" s="143" t="str">
        <f>tbl_IO_List[[#This Row],[Chassis]]&amp;"S"&amp;tbl_IO_List[[#This Row],[Slot]]&amp;"-"&amp;tbl_IO_List[[#This Row],[Front Terminal Number]]</f>
        <v>C2S7-33</v>
      </c>
      <c r="AR453" s="141" t="s">
        <v>1867</v>
      </c>
      <c r="AS453" s="136" t="str">
        <f>tbl_IO_List[[#This Row],[Terminal Tagging]]&amp;"-"&amp;tbl_IO_List[[#This Row],[Point-Count]]</f>
        <v>P2-TBRL2-31</v>
      </c>
      <c r="AT453" s="136" t="str">
        <f>tbl_IO_List[[#This Row],[Front Terminal Tagging]]&amp;"/"&amp;tbl_IO_List[[#This Row],[Terminal Tagging-Item]]</f>
        <v>C2S7-33/P2-TBRL2-31</v>
      </c>
      <c r="AU453" s="136" t="str">
        <f>tbl_IO_List[[#This Row],[Terminal Tagging-Item]]&amp;"/"&amp;tbl_IO_List[[#This Row],[Front Terminal Tagging]]</f>
        <v>P2-TBRL2-31/C2S7-33</v>
      </c>
    </row>
    <row r="454" spans="1:47">
      <c r="A454" s="147" t="s">
        <v>1367</v>
      </c>
      <c r="B454" s="136" t="s">
        <v>270</v>
      </c>
      <c r="C454" s="136" t="str">
        <f>tbl_IO_List[[#This Row],[Column3]]</f>
        <v>C2S07,31</v>
      </c>
      <c r="D454" s="136" t="str">
        <f>tbl_IO_List[[#This Row],[Card]]</f>
        <v>1756-OB32-31</v>
      </c>
      <c r="E454" s="136" t="s">
        <v>1372</v>
      </c>
      <c r="F454" s="136" t="str">
        <f>tbl_IO_List[[#This Row],[Column23]]&amp;"-" &amp;tbl_IO_List[[#This Row],[Column52]]</f>
        <v>C2S07-X2</v>
      </c>
      <c r="G454" s="136" t="str">
        <f>tbl_IO_List[[#This Row],[PLC_Tag]]</f>
        <v>Spare_DO_0</v>
      </c>
      <c r="H454" s="136"/>
      <c r="I454" s="136" t="str">
        <f>VLOOKUP(tbl_IO_List[[#This Row],[Destination]],tbl_Junction[],2,FALSE)</f>
        <v>Spray Dryer 7th Floor</v>
      </c>
      <c r="J454" s="136"/>
      <c r="K454" s="136"/>
      <c r="L454" s="136" t="s">
        <v>411</v>
      </c>
      <c r="M454" s="136" t="e">
        <f>VLOOKUP(tbl_IO_List[[#This Row],[Instruement Tag]],tbl_Instruement_List[],2,FALSE)</f>
        <v>#N/A</v>
      </c>
      <c r="N454" s="136"/>
      <c r="O454" s="136"/>
      <c r="P454" s="136"/>
      <c r="Q454" s="136" t="e">
        <f>VLOOKUP(tbl_IO_List[[#This Row],[Instruement Tag]],tbl_Instruement_List[],6,FALSE)</f>
        <v>#N/A</v>
      </c>
      <c r="R454" s="136"/>
      <c r="S45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454" s="136" t="str">
        <f>tbl_IO_List[[#This Row],[Instruement Tag]]&amp;"_"&amp;tbl_IO_List[[#This Row],[I/O Type]]&amp;"_"&amp;tbl_IO_List[[#This Row],[IO-Point 
(Instruement)]]</f>
        <v>Spare_DO_0</v>
      </c>
      <c r="U454" s="136" t="s">
        <v>7</v>
      </c>
      <c r="V454" s="136">
        <f>VLOOKUP(tbl_IO_List[[#This Row],[I/O Type]],tbl_Slot_Group[],2,FALSE)</f>
        <v>2</v>
      </c>
      <c r="W454" s="136">
        <v>0</v>
      </c>
      <c r="X454" s="136" t="str">
        <f>tbl_IO_List[[#This Row],[Chassis]]&amp;"S"&amp;TEXT(tbl_IO_List[[#This Row],[Slot]],"00")</f>
        <v>C2S07</v>
      </c>
      <c r="Y454" s="136" t="str">
        <f>tbl_IO_List[[#This Row],[Chassis]]&amp;"S"&amp;TEXT(tbl_IO_List[[#This Row],[Slot]],"00")&amp;tbl_IO_List[[#This Row],[I/O Type]]&amp;TEXT(tbl_IO_List[[#This Row],[Point]],"00")</f>
        <v>C2S07DO31</v>
      </c>
      <c r="Z454" s="136" t="str">
        <f>tbl_IO_List[[#This Row],[Chassis]]&amp;"S"&amp;TEXT(tbl_IO_List[[#This Row],[Slot]],"00")&amp;","&amp;TEXT(tbl_IO_List[[#This Row],[Point]],"00")</f>
        <v>C2S07,31</v>
      </c>
      <c r="AA454" s="136" t="str">
        <f>VLOOKUP(tbl_IO_List[[#This Row],[Column23]],tbl_RackConfig[],5,FALSE) &amp;"-"&amp;tbl_IO_List[[#This Row],[Point]]</f>
        <v>1756-OB32-31</v>
      </c>
      <c r="AB454" s="136"/>
      <c r="AC454" s="136"/>
      <c r="AD454" s="136" t="str">
        <f>tbl_IO_List[[#This Row],[I/O Type]]</f>
        <v>DO</v>
      </c>
      <c r="AE454" s="136" t="s">
        <v>1333</v>
      </c>
      <c r="AF454" s="136">
        <v>7</v>
      </c>
      <c r="AG454" s="136">
        <v>31</v>
      </c>
      <c r="AH454" s="136">
        <v>32</v>
      </c>
      <c r="AI454" s="136">
        <v>34</v>
      </c>
      <c r="AJ454" s="136">
        <v>0</v>
      </c>
      <c r="AK454" s="136">
        <v>1</v>
      </c>
      <c r="AL454" s="136">
        <v>0</v>
      </c>
      <c r="AM454" s="136">
        <v>0</v>
      </c>
      <c r="AN454" s="136">
        <v>0</v>
      </c>
      <c r="AO454" s="136"/>
      <c r="AP454" s="143"/>
      <c r="AQ454" s="143" t="str">
        <f>tbl_IO_List[[#This Row],[Chassis]]&amp;"S"&amp;tbl_IO_List[[#This Row],[Slot]]&amp;"-"&amp;tbl_IO_List[[#This Row],[Front Terminal Number]]</f>
        <v>C2S7-34</v>
      </c>
      <c r="AR454" s="141" t="s">
        <v>1867</v>
      </c>
      <c r="AS454" s="136" t="str">
        <f>tbl_IO_List[[#This Row],[Terminal Tagging]]&amp;"-"&amp;tbl_IO_List[[#This Row],[Point-Count]]</f>
        <v>P2-TBRL2-32</v>
      </c>
      <c r="AT454" s="136" t="str">
        <f>tbl_IO_List[[#This Row],[Front Terminal Tagging]]&amp;"/"&amp;tbl_IO_List[[#This Row],[Terminal Tagging-Item]]</f>
        <v>C2S7-34/P2-TBRL2-32</v>
      </c>
      <c r="AU454" s="136" t="str">
        <f>tbl_IO_List[[#This Row],[Terminal Tagging-Item]]&amp;"/"&amp;tbl_IO_List[[#This Row],[Front Terminal Tagging]]</f>
        <v>P2-TBRL2-32/C2S7-34</v>
      </c>
    </row>
    <row r="455" spans="1:47">
      <c r="A455" s="147" t="s">
        <v>1367</v>
      </c>
      <c r="B455" s="136" t="s">
        <v>270</v>
      </c>
      <c r="C455" s="136" t="str">
        <f>tbl_IO_List[[#This Row],[Column3]]</f>
        <v>C2S08,00</v>
      </c>
      <c r="D455" s="136" t="str">
        <f>tbl_IO_List[[#This Row],[Card]]</f>
        <v>1756-OB32-0</v>
      </c>
      <c r="E455" s="136" t="s">
        <v>1366</v>
      </c>
      <c r="F455" s="136" t="str">
        <f>tbl_IO_List[[#This Row],[Column23]]&amp;"-" &amp;tbl_IO_List[[#This Row],[Column52]]</f>
        <v>C2S08-X1</v>
      </c>
      <c r="G455" s="136" t="str">
        <f>tbl_IO_List[[#This Row],[PLC_Tag]]</f>
        <v>XV-60264_DO_1</v>
      </c>
      <c r="H455" s="136"/>
      <c r="I455" s="136" t="str">
        <f>VLOOKUP(tbl_IO_List[[#This Row],[Destination]],tbl_Junction[],2,FALSE)</f>
        <v>Spray Dryer 7th Floor</v>
      </c>
      <c r="J455" s="136" t="s">
        <v>270</v>
      </c>
      <c r="K455" s="136" t="s">
        <v>14</v>
      </c>
      <c r="L455" s="136" t="s">
        <v>1389</v>
      </c>
      <c r="M455" s="136" t="e">
        <f>VLOOKUP(tbl_IO_List[[#This Row],[Instruement Tag]],tbl_Instruement_List[],2,FALSE)</f>
        <v>#N/A</v>
      </c>
      <c r="N455" s="136" t="s">
        <v>95</v>
      </c>
      <c r="O455" s="136" t="s">
        <v>272</v>
      </c>
      <c r="P455" s="136" t="s">
        <v>18</v>
      </c>
      <c r="Q455" s="136" t="e">
        <f>VLOOKUP(tbl_IO_List[[#This Row],[Instruement Tag]],tbl_Instruement_List[],6,FALSE)</f>
        <v>#N/A</v>
      </c>
      <c r="R455" s="136"/>
      <c r="S45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455" s="136" t="str">
        <f>tbl_IO_List[[#This Row],[Instruement Tag]]&amp;"_"&amp;tbl_IO_List[[#This Row],[I/O Type]]&amp;"_"&amp;tbl_IO_List[[#This Row],[IO-Point 
(Instruement)]]</f>
        <v>XV-60264_DO_1</v>
      </c>
      <c r="U455" s="136" t="s">
        <v>7</v>
      </c>
      <c r="V455" s="136">
        <f>VLOOKUP(tbl_IO_List[[#This Row],[I/O Type]],tbl_Slot_Group[],2,FALSE)</f>
        <v>2</v>
      </c>
      <c r="W455" s="136">
        <v>1</v>
      </c>
      <c r="X455" s="136" t="str">
        <f>tbl_IO_List[[#This Row],[Chassis]]&amp;"S"&amp;TEXT(tbl_IO_List[[#This Row],[Slot]],"00")</f>
        <v>C2S08</v>
      </c>
      <c r="Y455" s="136" t="str">
        <f>tbl_IO_List[[#This Row],[Chassis]]&amp;"S"&amp;TEXT(tbl_IO_List[[#This Row],[Slot]],"00")&amp;tbl_IO_List[[#This Row],[I/O Type]]&amp;TEXT(tbl_IO_List[[#This Row],[Point]],"00")</f>
        <v>C2S08DO00</v>
      </c>
      <c r="Z455" s="136" t="str">
        <f>tbl_IO_List[[#This Row],[Chassis]]&amp;"S"&amp;TEXT(tbl_IO_List[[#This Row],[Slot]],"00")&amp;","&amp;TEXT(tbl_IO_List[[#This Row],[Point]],"00")</f>
        <v>C2S08,00</v>
      </c>
      <c r="AA455" s="136" t="str">
        <f>VLOOKUP(tbl_IO_List[[#This Row],[Column23]],tbl_RackConfig[],5,FALSE) &amp;"-"&amp;tbl_IO_List[[#This Row],[Point]]</f>
        <v>1756-OB32-0</v>
      </c>
      <c r="AB455" s="136"/>
      <c r="AC455" s="136"/>
      <c r="AD455" s="136" t="str">
        <f>tbl_IO_List[[#This Row],[I/O Type]]</f>
        <v>DO</v>
      </c>
      <c r="AE455" s="136" t="s">
        <v>1333</v>
      </c>
      <c r="AF455" s="136">
        <v>8</v>
      </c>
      <c r="AG455" s="136">
        <v>0</v>
      </c>
      <c r="AH455" s="136">
        <v>1</v>
      </c>
      <c r="AI455" s="136">
        <v>1</v>
      </c>
      <c r="AJ455" s="136">
        <v>2</v>
      </c>
      <c r="AK455" s="136">
        <v>1</v>
      </c>
      <c r="AL455" s="136">
        <v>0</v>
      </c>
      <c r="AM455" s="136">
        <v>0</v>
      </c>
      <c r="AN455" s="136">
        <v>0</v>
      </c>
      <c r="AO455" s="136"/>
      <c r="AP455" s="143" t="e">
        <f>VLOOKUP(tbl_IO_List[[#This Row],[Instruement Tag]],tbl_Instruement_List[],14,FALSE)</f>
        <v>#N/A</v>
      </c>
      <c r="AQ455" s="143" t="str">
        <f>tbl_IO_List[[#This Row],[Chassis]]&amp;"S"&amp;tbl_IO_List[[#This Row],[Slot]]&amp;"-"&amp;tbl_IO_List[[#This Row],[Front Terminal Number]]</f>
        <v>C2S8-1</v>
      </c>
      <c r="AR455" s="141" t="s">
        <v>1868</v>
      </c>
      <c r="AS455" s="136" t="str">
        <f>tbl_IO_List[[#This Row],[Terminal Tagging]]&amp;"-"&amp;tbl_IO_List[[#This Row],[Point-Count]]</f>
        <v>P2-TBRL3-1</v>
      </c>
      <c r="AT455" s="136" t="str">
        <f>tbl_IO_List[[#This Row],[Front Terminal Tagging]]&amp;"/"&amp;tbl_IO_List[[#This Row],[Terminal Tagging-Item]]</f>
        <v>C2S8-1/P2-TBRL3-1</v>
      </c>
      <c r="AU455" s="136" t="str">
        <f>tbl_IO_List[[#This Row],[Terminal Tagging-Item]]&amp;"/"&amp;tbl_IO_List[[#This Row],[Front Terminal Tagging]]</f>
        <v>P2-TBRL3-1/C2S8-1</v>
      </c>
    </row>
    <row r="456" spans="1:47">
      <c r="A456" s="147" t="s">
        <v>1367</v>
      </c>
      <c r="B456" s="136" t="s">
        <v>270</v>
      </c>
      <c r="C456" s="136" t="str">
        <f>tbl_IO_List[[#This Row],[Column3]]</f>
        <v>C2S08,01</v>
      </c>
      <c r="D456" s="136" t="str">
        <f>tbl_IO_List[[#This Row],[Card]]</f>
        <v>1756-OB32-1</v>
      </c>
      <c r="E456" s="136" t="s">
        <v>1366</v>
      </c>
      <c r="F456" s="136" t="str">
        <f>tbl_IO_List[[#This Row],[Column23]]&amp;"-" &amp;tbl_IO_List[[#This Row],[Column52]]</f>
        <v>C2S08-X1</v>
      </c>
      <c r="G456" s="136" t="str">
        <f>tbl_IO_List[[#This Row],[PLC_Tag]]</f>
        <v>XV-60264FN_DO_1</v>
      </c>
      <c r="H456" s="136"/>
      <c r="I456" s="136" t="str">
        <f>VLOOKUP(tbl_IO_List[[#This Row],[Destination]],tbl_Junction[],2,FALSE)</f>
        <v>Spray Dryer 7th Floor</v>
      </c>
      <c r="J456" s="136" t="s">
        <v>270</v>
      </c>
      <c r="K456" s="136" t="s">
        <v>14</v>
      </c>
      <c r="L456" s="136" t="s">
        <v>323</v>
      </c>
      <c r="M456" s="136">
        <f>VLOOKUP(tbl_IO_List[[#This Row],[Instruement Tag]],tbl_Instruement_List[],2,FALSE)</f>
        <v>0</v>
      </c>
      <c r="N456" s="136" t="s">
        <v>95</v>
      </c>
      <c r="O456" s="136" t="s">
        <v>272</v>
      </c>
      <c r="P456" s="136" t="s">
        <v>273</v>
      </c>
      <c r="Q456" s="136" t="str">
        <f>VLOOKUP(tbl_IO_List[[#This Row],[Instruement Tag]],tbl_Instruement_List[],6,FALSE)</f>
        <v>Feed Slurry On/Off Valve for Nozzle #13 (ATVM-11D)</v>
      </c>
      <c r="R456" s="136"/>
      <c r="S45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456" s="136" t="str">
        <f>tbl_IO_List[[#This Row],[Instruement Tag]]&amp;"_"&amp;tbl_IO_List[[#This Row],[I/O Type]]&amp;"_"&amp;tbl_IO_List[[#This Row],[IO-Point 
(Instruement)]]</f>
        <v>XV-60264FN_DO_1</v>
      </c>
      <c r="U456" s="136" t="s">
        <v>7</v>
      </c>
      <c r="V456" s="136">
        <f>VLOOKUP(tbl_IO_List[[#This Row],[I/O Type]],tbl_Slot_Group[],2,FALSE)</f>
        <v>2</v>
      </c>
      <c r="W456" s="136">
        <v>1</v>
      </c>
      <c r="X456" s="136" t="str">
        <f>tbl_IO_List[[#This Row],[Chassis]]&amp;"S"&amp;TEXT(tbl_IO_List[[#This Row],[Slot]],"00")</f>
        <v>C2S08</v>
      </c>
      <c r="Y456" s="136" t="str">
        <f>tbl_IO_List[[#This Row],[Chassis]]&amp;"S"&amp;TEXT(tbl_IO_List[[#This Row],[Slot]],"00")&amp;tbl_IO_List[[#This Row],[I/O Type]]&amp;TEXT(tbl_IO_List[[#This Row],[Point]],"00")</f>
        <v>C2S08DO01</v>
      </c>
      <c r="Z456" s="136" t="str">
        <f>tbl_IO_List[[#This Row],[Chassis]]&amp;"S"&amp;TEXT(tbl_IO_List[[#This Row],[Slot]],"00")&amp;","&amp;TEXT(tbl_IO_List[[#This Row],[Point]],"00")</f>
        <v>C2S08,01</v>
      </c>
      <c r="AA456" s="136" t="str">
        <f>VLOOKUP(tbl_IO_List[[#This Row],[Column23]],tbl_RackConfig[],5,FALSE) &amp;"-"&amp;tbl_IO_List[[#This Row],[Point]]</f>
        <v>1756-OB32-1</v>
      </c>
      <c r="AB456" s="136"/>
      <c r="AC456" s="136"/>
      <c r="AD456" s="136" t="str">
        <f>tbl_IO_List[[#This Row],[I/O Type]]</f>
        <v>DO</v>
      </c>
      <c r="AE456" s="136" t="s">
        <v>1333</v>
      </c>
      <c r="AF456" s="136">
        <v>8</v>
      </c>
      <c r="AG456" s="136">
        <v>1</v>
      </c>
      <c r="AH456" s="136">
        <v>2</v>
      </c>
      <c r="AI456" s="136">
        <v>2</v>
      </c>
      <c r="AJ456" s="136">
        <v>2</v>
      </c>
      <c r="AK456" s="136">
        <v>1</v>
      </c>
      <c r="AL456" s="136">
        <v>0</v>
      </c>
      <c r="AM456" s="136">
        <v>0</v>
      </c>
      <c r="AN456" s="136">
        <v>0</v>
      </c>
      <c r="AO456" s="136"/>
      <c r="AP456" s="143" t="str">
        <f>VLOOKUP(tbl_IO_List[[#This Row],[Instruement Tag]],tbl_Instruement_List[],14,FALSE)</f>
        <v>24 VDC energized,Dry Contact</v>
      </c>
      <c r="AQ456" s="143" t="str">
        <f>tbl_IO_List[[#This Row],[Chassis]]&amp;"S"&amp;tbl_IO_List[[#This Row],[Slot]]&amp;"-"&amp;tbl_IO_List[[#This Row],[Front Terminal Number]]</f>
        <v>C2S8-2</v>
      </c>
      <c r="AR456" s="141" t="s">
        <v>1868</v>
      </c>
      <c r="AS456" s="136" t="str">
        <f>tbl_IO_List[[#This Row],[Terminal Tagging]]&amp;"-"&amp;tbl_IO_List[[#This Row],[Point-Count]]</f>
        <v>P2-TBRL3-2</v>
      </c>
      <c r="AT456" s="136" t="str">
        <f>tbl_IO_List[[#This Row],[Front Terminal Tagging]]&amp;"/"&amp;tbl_IO_List[[#This Row],[Terminal Tagging-Item]]</f>
        <v>C2S8-2/P2-TBRL3-2</v>
      </c>
      <c r="AU456" s="136" t="str">
        <f>tbl_IO_List[[#This Row],[Terminal Tagging-Item]]&amp;"/"&amp;tbl_IO_List[[#This Row],[Front Terminal Tagging]]</f>
        <v>P2-TBRL3-2/C2S8-2</v>
      </c>
    </row>
    <row r="457" spans="1:47">
      <c r="A457" s="147" t="s">
        <v>1367</v>
      </c>
      <c r="B457" s="136" t="s">
        <v>270</v>
      </c>
      <c r="C457" s="136" t="str">
        <f>tbl_IO_List[[#This Row],[Column3]]</f>
        <v>C2S08,02</v>
      </c>
      <c r="D457" s="136" t="str">
        <f>tbl_IO_List[[#This Row],[Card]]</f>
        <v>1756-OB32-2</v>
      </c>
      <c r="E457" s="136" t="s">
        <v>1366</v>
      </c>
      <c r="F457" s="136" t="str">
        <f>tbl_IO_List[[#This Row],[Column23]]&amp;"-" &amp;tbl_IO_List[[#This Row],[Column52]]</f>
        <v>C2S08-X1</v>
      </c>
      <c r="G457" s="136" t="str">
        <f>tbl_IO_List[[#This Row],[PLC_Tag]]</f>
        <v>XV-60264FP_DO_1</v>
      </c>
      <c r="H457" s="136"/>
      <c r="I457" s="136" t="str">
        <f>VLOOKUP(tbl_IO_List[[#This Row],[Destination]],tbl_Junction[],2,FALSE)</f>
        <v>Spray Dryer 7th Floor</v>
      </c>
      <c r="J457" s="136" t="s">
        <v>270</v>
      </c>
      <c r="K457" s="136" t="s">
        <v>14</v>
      </c>
      <c r="L457" s="136" t="s">
        <v>324</v>
      </c>
      <c r="M457" s="136">
        <f>VLOOKUP(tbl_IO_List[[#This Row],[Instruement Tag]],tbl_Instruement_List[],2,FALSE)</f>
        <v>0</v>
      </c>
      <c r="N457" s="136" t="s">
        <v>95</v>
      </c>
      <c r="O457" s="136" t="s">
        <v>272</v>
      </c>
      <c r="P457" s="136" t="s">
        <v>273</v>
      </c>
      <c r="Q457" s="136" t="str">
        <f>VLOOKUP(tbl_IO_List[[#This Row],[Instruement Tag]],tbl_Instruement_List[],6,FALSE)</f>
        <v>Feed Slurry On/Off Valve for Nozzle #14 (ATVM-11D)</v>
      </c>
      <c r="R457" s="136"/>
      <c r="S45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457" s="136" t="str">
        <f>tbl_IO_List[[#This Row],[Instruement Tag]]&amp;"_"&amp;tbl_IO_List[[#This Row],[I/O Type]]&amp;"_"&amp;tbl_IO_List[[#This Row],[IO-Point 
(Instruement)]]</f>
        <v>XV-60264FP_DO_1</v>
      </c>
      <c r="U457" s="136" t="s">
        <v>7</v>
      </c>
      <c r="V457" s="136">
        <f>VLOOKUP(tbl_IO_List[[#This Row],[I/O Type]],tbl_Slot_Group[],2,FALSE)</f>
        <v>2</v>
      </c>
      <c r="W457" s="136">
        <v>1</v>
      </c>
      <c r="X457" s="136" t="str">
        <f>tbl_IO_List[[#This Row],[Chassis]]&amp;"S"&amp;TEXT(tbl_IO_List[[#This Row],[Slot]],"00")</f>
        <v>C2S08</v>
      </c>
      <c r="Y457" s="136" t="str">
        <f>tbl_IO_List[[#This Row],[Chassis]]&amp;"S"&amp;TEXT(tbl_IO_List[[#This Row],[Slot]],"00")&amp;tbl_IO_List[[#This Row],[I/O Type]]&amp;TEXT(tbl_IO_List[[#This Row],[Point]],"00")</f>
        <v>C2S08DO02</v>
      </c>
      <c r="Z457" s="136" t="str">
        <f>tbl_IO_List[[#This Row],[Chassis]]&amp;"S"&amp;TEXT(tbl_IO_List[[#This Row],[Slot]],"00")&amp;","&amp;TEXT(tbl_IO_List[[#This Row],[Point]],"00")</f>
        <v>C2S08,02</v>
      </c>
      <c r="AA457" s="136" t="str">
        <f>VLOOKUP(tbl_IO_List[[#This Row],[Column23]],tbl_RackConfig[],5,FALSE) &amp;"-"&amp;tbl_IO_List[[#This Row],[Point]]</f>
        <v>1756-OB32-2</v>
      </c>
      <c r="AB457" s="136"/>
      <c r="AC457" s="136"/>
      <c r="AD457" s="136" t="str">
        <f>tbl_IO_List[[#This Row],[I/O Type]]</f>
        <v>DO</v>
      </c>
      <c r="AE457" s="136" t="s">
        <v>1333</v>
      </c>
      <c r="AF457" s="136">
        <v>8</v>
      </c>
      <c r="AG457" s="136">
        <v>2</v>
      </c>
      <c r="AH457" s="136">
        <v>3</v>
      </c>
      <c r="AI457" s="136">
        <v>3</v>
      </c>
      <c r="AJ457" s="136">
        <v>2</v>
      </c>
      <c r="AK457" s="136">
        <v>1</v>
      </c>
      <c r="AL457" s="136">
        <v>0</v>
      </c>
      <c r="AM457" s="136">
        <v>0</v>
      </c>
      <c r="AN457" s="136">
        <v>0</v>
      </c>
      <c r="AO457" s="136"/>
      <c r="AP457" s="143" t="str">
        <f>VLOOKUP(tbl_IO_List[[#This Row],[Instruement Tag]],tbl_Instruement_List[],14,FALSE)</f>
        <v>24 VDC energized,Dry Contact</v>
      </c>
      <c r="AQ457" s="143" t="str">
        <f>tbl_IO_List[[#This Row],[Chassis]]&amp;"S"&amp;tbl_IO_List[[#This Row],[Slot]]&amp;"-"&amp;tbl_IO_List[[#This Row],[Front Terminal Number]]</f>
        <v>C2S8-3</v>
      </c>
      <c r="AR457" s="141" t="s">
        <v>1868</v>
      </c>
      <c r="AS457" s="136" t="str">
        <f>tbl_IO_List[[#This Row],[Terminal Tagging]]&amp;"-"&amp;tbl_IO_List[[#This Row],[Point-Count]]</f>
        <v>P2-TBRL3-3</v>
      </c>
      <c r="AT457" s="136" t="str">
        <f>tbl_IO_List[[#This Row],[Front Terminal Tagging]]&amp;"/"&amp;tbl_IO_List[[#This Row],[Terminal Tagging-Item]]</f>
        <v>C2S8-3/P2-TBRL3-3</v>
      </c>
      <c r="AU457" s="136" t="str">
        <f>tbl_IO_List[[#This Row],[Terminal Tagging-Item]]&amp;"/"&amp;tbl_IO_List[[#This Row],[Front Terminal Tagging]]</f>
        <v>P2-TBRL3-3/C2S8-3</v>
      </c>
    </row>
    <row r="458" spans="1:47">
      <c r="A458" s="147" t="s">
        <v>1367</v>
      </c>
      <c r="B458" s="136" t="s">
        <v>270</v>
      </c>
      <c r="C458" s="136" t="str">
        <f>tbl_IO_List[[#This Row],[Column3]]</f>
        <v>C2S08,03</v>
      </c>
      <c r="D458" s="136" t="str">
        <f>tbl_IO_List[[#This Row],[Card]]</f>
        <v>1756-OB32-3</v>
      </c>
      <c r="E458" s="136" t="s">
        <v>1366</v>
      </c>
      <c r="F458" s="136" t="str">
        <f>tbl_IO_List[[#This Row],[Column23]]&amp;"-" &amp;tbl_IO_List[[#This Row],[Column52]]</f>
        <v>C2S08-X1</v>
      </c>
      <c r="G458" s="136" t="str">
        <f>tbl_IO_List[[#This Row],[PLC_Tag]]</f>
        <v>XV-60264FQ_DO_1</v>
      </c>
      <c r="H458" s="136"/>
      <c r="I458" s="136" t="str">
        <f>VLOOKUP(tbl_IO_List[[#This Row],[Destination]],tbl_Junction[],2,FALSE)</f>
        <v>Spray Dryer 7th Floor</v>
      </c>
      <c r="J458" s="136" t="s">
        <v>270</v>
      </c>
      <c r="K458" s="136" t="s">
        <v>14</v>
      </c>
      <c r="L458" s="136" t="s">
        <v>325</v>
      </c>
      <c r="M458" s="136">
        <f>VLOOKUP(tbl_IO_List[[#This Row],[Instruement Tag]],tbl_Instruement_List[],2,FALSE)</f>
        <v>0</v>
      </c>
      <c r="N458" s="136" t="s">
        <v>95</v>
      </c>
      <c r="O458" s="136" t="s">
        <v>272</v>
      </c>
      <c r="P458" s="136" t="s">
        <v>273</v>
      </c>
      <c r="Q458" s="136" t="str">
        <f>VLOOKUP(tbl_IO_List[[#This Row],[Instruement Tag]],tbl_Instruement_List[],6,FALSE)</f>
        <v>Feed Slurry On/Off Valve for Nozzle #15 (ATVM-11D)</v>
      </c>
      <c r="R458" s="136"/>
      <c r="S45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458" s="136" t="str">
        <f>tbl_IO_List[[#This Row],[Instruement Tag]]&amp;"_"&amp;tbl_IO_List[[#This Row],[I/O Type]]&amp;"_"&amp;tbl_IO_List[[#This Row],[IO-Point 
(Instruement)]]</f>
        <v>XV-60264FQ_DO_1</v>
      </c>
      <c r="U458" s="136" t="s">
        <v>7</v>
      </c>
      <c r="V458" s="136">
        <f>VLOOKUP(tbl_IO_List[[#This Row],[I/O Type]],tbl_Slot_Group[],2,FALSE)</f>
        <v>2</v>
      </c>
      <c r="W458" s="136">
        <v>1</v>
      </c>
      <c r="X458" s="136" t="str">
        <f>tbl_IO_List[[#This Row],[Chassis]]&amp;"S"&amp;TEXT(tbl_IO_List[[#This Row],[Slot]],"00")</f>
        <v>C2S08</v>
      </c>
      <c r="Y458" s="136" t="str">
        <f>tbl_IO_List[[#This Row],[Chassis]]&amp;"S"&amp;TEXT(tbl_IO_List[[#This Row],[Slot]],"00")&amp;tbl_IO_List[[#This Row],[I/O Type]]&amp;TEXT(tbl_IO_List[[#This Row],[Point]],"00")</f>
        <v>C2S08DO03</v>
      </c>
      <c r="Z458" s="136" t="str">
        <f>tbl_IO_List[[#This Row],[Chassis]]&amp;"S"&amp;TEXT(tbl_IO_List[[#This Row],[Slot]],"00")&amp;","&amp;TEXT(tbl_IO_List[[#This Row],[Point]],"00")</f>
        <v>C2S08,03</v>
      </c>
      <c r="AA458" s="136" t="str">
        <f>VLOOKUP(tbl_IO_List[[#This Row],[Column23]],tbl_RackConfig[],5,FALSE) &amp;"-"&amp;tbl_IO_List[[#This Row],[Point]]</f>
        <v>1756-OB32-3</v>
      </c>
      <c r="AB458" s="136"/>
      <c r="AC458" s="136"/>
      <c r="AD458" s="136" t="str">
        <f>tbl_IO_List[[#This Row],[I/O Type]]</f>
        <v>DO</v>
      </c>
      <c r="AE458" s="136" t="s">
        <v>1333</v>
      </c>
      <c r="AF458" s="136">
        <v>8</v>
      </c>
      <c r="AG458" s="136">
        <v>3</v>
      </c>
      <c r="AH458" s="136">
        <v>4</v>
      </c>
      <c r="AI458" s="136">
        <v>4</v>
      </c>
      <c r="AJ458" s="136">
        <v>2</v>
      </c>
      <c r="AK458" s="136">
        <v>1</v>
      </c>
      <c r="AL458" s="136">
        <v>0</v>
      </c>
      <c r="AM458" s="136">
        <v>0</v>
      </c>
      <c r="AN458" s="136">
        <v>0</v>
      </c>
      <c r="AO458" s="136"/>
      <c r="AP458" s="143" t="str">
        <f>VLOOKUP(tbl_IO_List[[#This Row],[Instruement Tag]],tbl_Instruement_List[],14,FALSE)</f>
        <v>24 VDC energized,Dry Contact</v>
      </c>
      <c r="AQ458" s="143" t="str">
        <f>tbl_IO_List[[#This Row],[Chassis]]&amp;"S"&amp;tbl_IO_List[[#This Row],[Slot]]&amp;"-"&amp;tbl_IO_List[[#This Row],[Front Terminal Number]]</f>
        <v>C2S8-4</v>
      </c>
      <c r="AR458" s="141" t="s">
        <v>1868</v>
      </c>
      <c r="AS458" s="136" t="str">
        <f>tbl_IO_List[[#This Row],[Terminal Tagging]]&amp;"-"&amp;tbl_IO_List[[#This Row],[Point-Count]]</f>
        <v>P2-TBRL3-4</v>
      </c>
      <c r="AT458" s="136" t="str">
        <f>tbl_IO_List[[#This Row],[Front Terminal Tagging]]&amp;"/"&amp;tbl_IO_List[[#This Row],[Terminal Tagging-Item]]</f>
        <v>C2S8-4/P2-TBRL3-4</v>
      </c>
      <c r="AU458" s="136" t="str">
        <f>tbl_IO_List[[#This Row],[Terminal Tagging-Item]]&amp;"/"&amp;tbl_IO_List[[#This Row],[Front Terminal Tagging]]</f>
        <v>P2-TBRL3-4/C2S8-4</v>
      </c>
    </row>
    <row r="459" spans="1:47">
      <c r="A459" s="147" t="s">
        <v>1367</v>
      </c>
      <c r="B459" s="136" t="s">
        <v>270</v>
      </c>
      <c r="C459" s="136" t="str">
        <f>tbl_IO_List[[#This Row],[Column3]]</f>
        <v>C2S08,04</v>
      </c>
      <c r="D459" s="136" t="str">
        <f>tbl_IO_List[[#This Row],[Card]]</f>
        <v>1756-OB32-4</v>
      </c>
      <c r="E459" s="136" t="s">
        <v>1366</v>
      </c>
      <c r="F459" s="136" t="str">
        <f>tbl_IO_List[[#This Row],[Column23]]&amp;"-" &amp;tbl_IO_List[[#This Row],[Column52]]</f>
        <v>C2S08-X1</v>
      </c>
      <c r="G459" s="136" t="str">
        <f>tbl_IO_List[[#This Row],[PLC_Tag]]</f>
        <v>XV-60264FR_DO_1</v>
      </c>
      <c r="H459" s="136"/>
      <c r="I459" s="136" t="str">
        <f>VLOOKUP(tbl_IO_List[[#This Row],[Destination]],tbl_Junction[],2,FALSE)</f>
        <v>Spray Dryer 7th Floor</v>
      </c>
      <c r="J459" s="136" t="s">
        <v>270</v>
      </c>
      <c r="K459" s="136" t="s">
        <v>14</v>
      </c>
      <c r="L459" s="136" t="s">
        <v>326</v>
      </c>
      <c r="M459" s="136">
        <f>VLOOKUP(tbl_IO_List[[#This Row],[Instruement Tag]],tbl_Instruement_List[],2,FALSE)</f>
        <v>0</v>
      </c>
      <c r="N459" s="136" t="s">
        <v>95</v>
      </c>
      <c r="O459" s="136" t="s">
        <v>272</v>
      </c>
      <c r="P459" s="136" t="s">
        <v>273</v>
      </c>
      <c r="Q459" s="136" t="str">
        <f>VLOOKUP(tbl_IO_List[[#This Row],[Instruement Tag]],tbl_Instruement_List[],6,FALSE)</f>
        <v>Feed Slurry On/Off Valve for Nozzle #16 (ATVM-11D)</v>
      </c>
      <c r="R459" s="136"/>
      <c r="S45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459" s="136" t="str">
        <f>tbl_IO_List[[#This Row],[Instruement Tag]]&amp;"_"&amp;tbl_IO_List[[#This Row],[I/O Type]]&amp;"_"&amp;tbl_IO_List[[#This Row],[IO-Point 
(Instruement)]]</f>
        <v>XV-60264FR_DO_1</v>
      </c>
      <c r="U459" s="136" t="s">
        <v>7</v>
      </c>
      <c r="V459" s="136">
        <f>VLOOKUP(tbl_IO_List[[#This Row],[I/O Type]],tbl_Slot_Group[],2,FALSE)</f>
        <v>2</v>
      </c>
      <c r="W459" s="136">
        <v>1</v>
      </c>
      <c r="X459" s="136" t="str">
        <f>tbl_IO_List[[#This Row],[Chassis]]&amp;"S"&amp;TEXT(tbl_IO_List[[#This Row],[Slot]],"00")</f>
        <v>C2S08</v>
      </c>
      <c r="Y459" s="136" t="str">
        <f>tbl_IO_List[[#This Row],[Chassis]]&amp;"S"&amp;TEXT(tbl_IO_List[[#This Row],[Slot]],"00")&amp;tbl_IO_List[[#This Row],[I/O Type]]&amp;TEXT(tbl_IO_List[[#This Row],[Point]],"00")</f>
        <v>C2S08DO04</v>
      </c>
      <c r="Z459" s="136" t="str">
        <f>tbl_IO_List[[#This Row],[Chassis]]&amp;"S"&amp;TEXT(tbl_IO_List[[#This Row],[Slot]],"00")&amp;","&amp;TEXT(tbl_IO_List[[#This Row],[Point]],"00")</f>
        <v>C2S08,04</v>
      </c>
      <c r="AA459" s="136" t="str">
        <f>VLOOKUP(tbl_IO_List[[#This Row],[Column23]],tbl_RackConfig[],5,FALSE) &amp;"-"&amp;tbl_IO_List[[#This Row],[Point]]</f>
        <v>1756-OB32-4</v>
      </c>
      <c r="AB459" s="136"/>
      <c r="AC459" s="136"/>
      <c r="AD459" s="136" t="str">
        <f>tbl_IO_List[[#This Row],[I/O Type]]</f>
        <v>DO</v>
      </c>
      <c r="AE459" s="136" t="s">
        <v>1333</v>
      </c>
      <c r="AF459" s="136">
        <v>8</v>
      </c>
      <c r="AG459" s="136">
        <v>4</v>
      </c>
      <c r="AH459" s="136">
        <v>5</v>
      </c>
      <c r="AI459" s="136">
        <v>5</v>
      </c>
      <c r="AJ459" s="136">
        <v>2</v>
      </c>
      <c r="AK459" s="136">
        <v>1</v>
      </c>
      <c r="AL459" s="136">
        <v>0</v>
      </c>
      <c r="AM459" s="136">
        <v>0</v>
      </c>
      <c r="AN459" s="136">
        <v>0</v>
      </c>
      <c r="AO459" s="136"/>
      <c r="AP459" s="143" t="str">
        <f>VLOOKUP(tbl_IO_List[[#This Row],[Instruement Tag]],tbl_Instruement_List[],14,FALSE)</f>
        <v>24 VDC energized,Dry Contact</v>
      </c>
      <c r="AQ459" s="143" t="str">
        <f>tbl_IO_List[[#This Row],[Chassis]]&amp;"S"&amp;tbl_IO_List[[#This Row],[Slot]]&amp;"-"&amp;tbl_IO_List[[#This Row],[Front Terminal Number]]</f>
        <v>C2S8-5</v>
      </c>
      <c r="AR459" s="141" t="s">
        <v>1868</v>
      </c>
      <c r="AS459" s="136" t="str">
        <f>tbl_IO_List[[#This Row],[Terminal Tagging]]&amp;"-"&amp;tbl_IO_List[[#This Row],[Point-Count]]</f>
        <v>P2-TBRL3-5</v>
      </c>
      <c r="AT459" s="136" t="str">
        <f>tbl_IO_List[[#This Row],[Front Terminal Tagging]]&amp;"/"&amp;tbl_IO_List[[#This Row],[Terminal Tagging-Item]]</f>
        <v>C2S8-5/P2-TBRL3-5</v>
      </c>
      <c r="AU459" s="136" t="str">
        <f>tbl_IO_List[[#This Row],[Terminal Tagging-Item]]&amp;"/"&amp;tbl_IO_List[[#This Row],[Front Terminal Tagging]]</f>
        <v>P2-TBRL3-5/C2S8-5</v>
      </c>
    </row>
    <row r="460" spans="1:47">
      <c r="A460" s="147" t="s">
        <v>1367</v>
      </c>
      <c r="B460" s="136" t="s">
        <v>270</v>
      </c>
      <c r="C460" s="136" t="str">
        <f>tbl_IO_List[[#This Row],[Column3]]</f>
        <v>C2S08,05</v>
      </c>
      <c r="D460" s="136" t="str">
        <f>tbl_IO_List[[#This Row],[Card]]</f>
        <v>1756-OB32-5</v>
      </c>
      <c r="E460" s="136" t="s">
        <v>1366</v>
      </c>
      <c r="F460" s="136" t="str">
        <f>tbl_IO_List[[#This Row],[Column23]]&amp;"-" &amp;tbl_IO_List[[#This Row],[Column52]]</f>
        <v>C2S08-X1</v>
      </c>
      <c r="G460" s="136" t="str">
        <f>tbl_IO_List[[#This Row],[PLC_Tag]]</f>
        <v>XV-60264SN_DO_1</v>
      </c>
      <c r="H460" s="136"/>
      <c r="I460" s="136" t="str">
        <f>VLOOKUP(tbl_IO_List[[#This Row],[Destination]],tbl_Junction[],2,FALSE)</f>
        <v>Spray Dryer 7th Floor</v>
      </c>
      <c r="J460" s="136" t="s">
        <v>270</v>
      </c>
      <c r="K460" s="136" t="s">
        <v>14</v>
      </c>
      <c r="L460" s="136" t="s">
        <v>327</v>
      </c>
      <c r="M460" s="136">
        <f>VLOOKUP(tbl_IO_List[[#This Row],[Instruement Tag]],tbl_Instruement_List[],2,FALSE)</f>
        <v>0</v>
      </c>
      <c r="N460" s="136" t="s">
        <v>95</v>
      </c>
      <c r="O460" s="136" t="s">
        <v>272</v>
      </c>
      <c r="P460" s="136" t="s">
        <v>273</v>
      </c>
      <c r="Q460" s="136" t="str">
        <f>VLOOKUP(tbl_IO_List[[#This Row],[Instruement Tag]],tbl_Instruement_List[],6,FALSE)</f>
        <v>Steam On/Off Valve for Nozzle #13 (ATVM-11D)</v>
      </c>
      <c r="R460" s="136"/>
      <c r="S46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460" s="136" t="str">
        <f>tbl_IO_List[[#This Row],[Instruement Tag]]&amp;"_"&amp;tbl_IO_List[[#This Row],[I/O Type]]&amp;"_"&amp;tbl_IO_List[[#This Row],[IO-Point 
(Instruement)]]</f>
        <v>XV-60264SN_DO_1</v>
      </c>
      <c r="U460" s="136" t="s">
        <v>7</v>
      </c>
      <c r="V460" s="136">
        <f>VLOOKUP(tbl_IO_List[[#This Row],[I/O Type]],tbl_Slot_Group[],2,FALSE)</f>
        <v>2</v>
      </c>
      <c r="W460" s="136">
        <v>1</v>
      </c>
      <c r="X460" s="136" t="str">
        <f>tbl_IO_List[[#This Row],[Chassis]]&amp;"S"&amp;TEXT(tbl_IO_List[[#This Row],[Slot]],"00")</f>
        <v>C2S08</v>
      </c>
      <c r="Y460" s="136" t="str">
        <f>tbl_IO_List[[#This Row],[Chassis]]&amp;"S"&amp;TEXT(tbl_IO_List[[#This Row],[Slot]],"00")&amp;tbl_IO_List[[#This Row],[I/O Type]]&amp;TEXT(tbl_IO_List[[#This Row],[Point]],"00")</f>
        <v>C2S08DO05</v>
      </c>
      <c r="Z460" s="136" t="str">
        <f>tbl_IO_List[[#This Row],[Chassis]]&amp;"S"&amp;TEXT(tbl_IO_List[[#This Row],[Slot]],"00")&amp;","&amp;TEXT(tbl_IO_List[[#This Row],[Point]],"00")</f>
        <v>C2S08,05</v>
      </c>
      <c r="AA460" s="136" t="str">
        <f>VLOOKUP(tbl_IO_List[[#This Row],[Column23]],tbl_RackConfig[],5,FALSE) &amp;"-"&amp;tbl_IO_List[[#This Row],[Point]]</f>
        <v>1756-OB32-5</v>
      </c>
      <c r="AB460" s="136"/>
      <c r="AC460" s="136"/>
      <c r="AD460" s="136" t="str">
        <f>tbl_IO_List[[#This Row],[I/O Type]]</f>
        <v>DO</v>
      </c>
      <c r="AE460" s="136" t="s">
        <v>1333</v>
      </c>
      <c r="AF460" s="136">
        <v>8</v>
      </c>
      <c r="AG460" s="136">
        <v>5</v>
      </c>
      <c r="AH460" s="136">
        <v>6</v>
      </c>
      <c r="AI460" s="136">
        <v>6</v>
      </c>
      <c r="AJ460" s="136">
        <v>2</v>
      </c>
      <c r="AK460" s="136">
        <v>1</v>
      </c>
      <c r="AL460" s="136">
        <v>0</v>
      </c>
      <c r="AM460" s="136">
        <v>0</v>
      </c>
      <c r="AN460" s="136">
        <v>0</v>
      </c>
      <c r="AO460" s="136"/>
      <c r="AP460" s="143" t="str">
        <f>VLOOKUP(tbl_IO_List[[#This Row],[Instruement Tag]],tbl_Instruement_List[],14,FALSE)</f>
        <v>24 VDC energized,Dry Contact</v>
      </c>
      <c r="AQ460" s="143" t="str">
        <f>tbl_IO_List[[#This Row],[Chassis]]&amp;"S"&amp;tbl_IO_List[[#This Row],[Slot]]&amp;"-"&amp;tbl_IO_List[[#This Row],[Front Terminal Number]]</f>
        <v>C2S8-6</v>
      </c>
      <c r="AR460" s="141" t="s">
        <v>1868</v>
      </c>
      <c r="AS460" s="136" t="str">
        <f>tbl_IO_List[[#This Row],[Terminal Tagging]]&amp;"-"&amp;tbl_IO_List[[#This Row],[Point-Count]]</f>
        <v>P2-TBRL3-6</v>
      </c>
      <c r="AT460" s="136" t="str">
        <f>tbl_IO_List[[#This Row],[Front Terminal Tagging]]&amp;"/"&amp;tbl_IO_List[[#This Row],[Terminal Tagging-Item]]</f>
        <v>C2S8-6/P2-TBRL3-6</v>
      </c>
      <c r="AU460" s="136" t="str">
        <f>tbl_IO_List[[#This Row],[Terminal Tagging-Item]]&amp;"/"&amp;tbl_IO_List[[#This Row],[Front Terminal Tagging]]</f>
        <v>P2-TBRL3-6/C2S8-6</v>
      </c>
    </row>
    <row r="461" spans="1:47">
      <c r="A461" s="147" t="s">
        <v>1367</v>
      </c>
      <c r="B461" s="136" t="s">
        <v>270</v>
      </c>
      <c r="C461" s="136" t="str">
        <f>tbl_IO_List[[#This Row],[Column3]]</f>
        <v>C2S08,06</v>
      </c>
      <c r="D461" s="136" t="str">
        <f>tbl_IO_List[[#This Row],[Card]]</f>
        <v>1756-OB32-6</v>
      </c>
      <c r="E461" s="136" t="s">
        <v>1366</v>
      </c>
      <c r="F461" s="136" t="str">
        <f>tbl_IO_List[[#This Row],[Column23]]&amp;"-" &amp;tbl_IO_List[[#This Row],[Column52]]</f>
        <v>C2S08-X1</v>
      </c>
      <c r="G461" s="136" t="str">
        <f>tbl_IO_List[[#This Row],[PLC_Tag]]</f>
        <v>XV-60264SP_DO_1</v>
      </c>
      <c r="H461" s="136"/>
      <c r="I461" s="136" t="str">
        <f>VLOOKUP(tbl_IO_List[[#This Row],[Destination]],tbl_Junction[],2,FALSE)</f>
        <v>Spray Dryer 7th Floor</v>
      </c>
      <c r="J461" s="136" t="s">
        <v>270</v>
      </c>
      <c r="K461" s="136" t="s">
        <v>14</v>
      </c>
      <c r="L461" s="136" t="s">
        <v>328</v>
      </c>
      <c r="M461" s="136">
        <f>VLOOKUP(tbl_IO_List[[#This Row],[Instruement Tag]],tbl_Instruement_List[],2,FALSE)</f>
        <v>0</v>
      </c>
      <c r="N461" s="136" t="s">
        <v>95</v>
      </c>
      <c r="O461" s="136" t="s">
        <v>272</v>
      </c>
      <c r="P461" s="136" t="s">
        <v>273</v>
      </c>
      <c r="Q461" s="136" t="str">
        <f>VLOOKUP(tbl_IO_List[[#This Row],[Instruement Tag]],tbl_Instruement_List[],6,FALSE)</f>
        <v>Steam On/Off Valve for Nozzle #14 (ATVM-11D)</v>
      </c>
      <c r="R461" s="136"/>
      <c r="S46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461" s="136" t="str">
        <f>tbl_IO_List[[#This Row],[Instruement Tag]]&amp;"_"&amp;tbl_IO_List[[#This Row],[I/O Type]]&amp;"_"&amp;tbl_IO_List[[#This Row],[IO-Point 
(Instruement)]]</f>
        <v>XV-60264SP_DO_1</v>
      </c>
      <c r="U461" s="136" t="s">
        <v>7</v>
      </c>
      <c r="V461" s="136">
        <f>VLOOKUP(tbl_IO_List[[#This Row],[I/O Type]],tbl_Slot_Group[],2,FALSE)</f>
        <v>2</v>
      </c>
      <c r="W461" s="136">
        <v>1</v>
      </c>
      <c r="X461" s="136" t="str">
        <f>tbl_IO_List[[#This Row],[Chassis]]&amp;"S"&amp;TEXT(tbl_IO_List[[#This Row],[Slot]],"00")</f>
        <v>C2S08</v>
      </c>
      <c r="Y461" s="136" t="str">
        <f>tbl_IO_List[[#This Row],[Chassis]]&amp;"S"&amp;TEXT(tbl_IO_List[[#This Row],[Slot]],"00")&amp;tbl_IO_List[[#This Row],[I/O Type]]&amp;TEXT(tbl_IO_List[[#This Row],[Point]],"00")</f>
        <v>C2S08DO06</v>
      </c>
      <c r="Z461" s="136" t="str">
        <f>tbl_IO_List[[#This Row],[Chassis]]&amp;"S"&amp;TEXT(tbl_IO_List[[#This Row],[Slot]],"00")&amp;","&amp;TEXT(tbl_IO_List[[#This Row],[Point]],"00")</f>
        <v>C2S08,06</v>
      </c>
      <c r="AA461" s="136" t="str">
        <f>VLOOKUP(tbl_IO_List[[#This Row],[Column23]],tbl_RackConfig[],5,FALSE) &amp;"-"&amp;tbl_IO_List[[#This Row],[Point]]</f>
        <v>1756-OB32-6</v>
      </c>
      <c r="AB461" s="136"/>
      <c r="AC461" s="136"/>
      <c r="AD461" s="136" t="str">
        <f>tbl_IO_List[[#This Row],[I/O Type]]</f>
        <v>DO</v>
      </c>
      <c r="AE461" s="136" t="s">
        <v>1333</v>
      </c>
      <c r="AF461" s="136">
        <v>8</v>
      </c>
      <c r="AG461" s="136">
        <v>6</v>
      </c>
      <c r="AH461" s="136">
        <v>7</v>
      </c>
      <c r="AI461" s="136">
        <v>7</v>
      </c>
      <c r="AJ461" s="136">
        <v>2</v>
      </c>
      <c r="AK461" s="136">
        <v>1</v>
      </c>
      <c r="AL461" s="136">
        <v>0</v>
      </c>
      <c r="AM461" s="136">
        <v>0</v>
      </c>
      <c r="AN461" s="136">
        <v>0</v>
      </c>
      <c r="AO461" s="136"/>
      <c r="AP461" s="143" t="str">
        <f>VLOOKUP(tbl_IO_List[[#This Row],[Instruement Tag]],tbl_Instruement_List[],14,FALSE)</f>
        <v>24 VDC energized,Dry Contact</v>
      </c>
      <c r="AQ461" s="143" t="str">
        <f>tbl_IO_List[[#This Row],[Chassis]]&amp;"S"&amp;tbl_IO_List[[#This Row],[Slot]]&amp;"-"&amp;tbl_IO_List[[#This Row],[Front Terminal Number]]</f>
        <v>C2S8-7</v>
      </c>
      <c r="AR461" s="141" t="s">
        <v>1868</v>
      </c>
      <c r="AS461" s="136" t="str">
        <f>tbl_IO_List[[#This Row],[Terminal Tagging]]&amp;"-"&amp;tbl_IO_List[[#This Row],[Point-Count]]</f>
        <v>P2-TBRL3-7</v>
      </c>
      <c r="AT461" s="136" t="str">
        <f>tbl_IO_List[[#This Row],[Front Terminal Tagging]]&amp;"/"&amp;tbl_IO_List[[#This Row],[Terminal Tagging-Item]]</f>
        <v>C2S8-7/P2-TBRL3-7</v>
      </c>
      <c r="AU461" s="136" t="str">
        <f>tbl_IO_List[[#This Row],[Terminal Tagging-Item]]&amp;"/"&amp;tbl_IO_List[[#This Row],[Front Terminal Tagging]]</f>
        <v>P2-TBRL3-7/C2S8-7</v>
      </c>
    </row>
    <row r="462" spans="1:47">
      <c r="A462" s="147" t="s">
        <v>1367</v>
      </c>
      <c r="B462" s="136" t="s">
        <v>270</v>
      </c>
      <c r="C462" s="136" t="str">
        <f>tbl_IO_List[[#This Row],[Column3]]</f>
        <v>C2S08,07</v>
      </c>
      <c r="D462" s="136" t="str">
        <f>tbl_IO_List[[#This Row],[Card]]</f>
        <v>1756-OB32-7</v>
      </c>
      <c r="E462" s="136" t="s">
        <v>1366</v>
      </c>
      <c r="F462" s="136" t="str">
        <f>tbl_IO_List[[#This Row],[Column23]]&amp;"-" &amp;tbl_IO_List[[#This Row],[Column52]]</f>
        <v>C2S08-X1</v>
      </c>
      <c r="G462" s="136" t="str">
        <f>tbl_IO_List[[#This Row],[PLC_Tag]]</f>
        <v>XV-60264SQ_DO_1</v>
      </c>
      <c r="H462" s="136"/>
      <c r="I462" s="136" t="str">
        <f>VLOOKUP(tbl_IO_List[[#This Row],[Destination]],tbl_Junction[],2,FALSE)</f>
        <v>Spray Dryer 7th Floor</v>
      </c>
      <c r="J462" s="136" t="s">
        <v>270</v>
      </c>
      <c r="K462" s="136" t="s">
        <v>14</v>
      </c>
      <c r="L462" s="136" t="s">
        <v>329</v>
      </c>
      <c r="M462" s="136">
        <f>VLOOKUP(tbl_IO_List[[#This Row],[Instruement Tag]],tbl_Instruement_List[],2,FALSE)</f>
        <v>0</v>
      </c>
      <c r="N462" s="136" t="s">
        <v>95</v>
      </c>
      <c r="O462" s="136" t="s">
        <v>272</v>
      </c>
      <c r="P462" s="136" t="s">
        <v>273</v>
      </c>
      <c r="Q462" s="136" t="str">
        <f>VLOOKUP(tbl_IO_List[[#This Row],[Instruement Tag]],tbl_Instruement_List[],6,FALSE)</f>
        <v>Steam On/Off Valve for Nozzle #15 (ATVM-11D)</v>
      </c>
      <c r="R462" s="136"/>
      <c r="S46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462" s="136" t="str">
        <f>tbl_IO_List[[#This Row],[Instruement Tag]]&amp;"_"&amp;tbl_IO_List[[#This Row],[I/O Type]]&amp;"_"&amp;tbl_IO_List[[#This Row],[IO-Point 
(Instruement)]]</f>
        <v>XV-60264SQ_DO_1</v>
      </c>
      <c r="U462" s="136" t="s">
        <v>7</v>
      </c>
      <c r="V462" s="136">
        <f>VLOOKUP(tbl_IO_List[[#This Row],[I/O Type]],tbl_Slot_Group[],2,FALSE)</f>
        <v>2</v>
      </c>
      <c r="W462" s="136">
        <v>1</v>
      </c>
      <c r="X462" s="136" t="str">
        <f>tbl_IO_List[[#This Row],[Chassis]]&amp;"S"&amp;TEXT(tbl_IO_List[[#This Row],[Slot]],"00")</f>
        <v>C2S08</v>
      </c>
      <c r="Y462" s="136" t="str">
        <f>tbl_IO_List[[#This Row],[Chassis]]&amp;"S"&amp;TEXT(tbl_IO_List[[#This Row],[Slot]],"00")&amp;tbl_IO_List[[#This Row],[I/O Type]]&amp;TEXT(tbl_IO_List[[#This Row],[Point]],"00")</f>
        <v>C2S08DO07</v>
      </c>
      <c r="Z462" s="136" t="str">
        <f>tbl_IO_List[[#This Row],[Chassis]]&amp;"S"&amp;TEXT(tbl_IO_List[[#This Row],[Slot]],"00")&amp;","&amp;TEXT(tbl_IO_List[[#This Row],[Point]],"00")</f>
        <v>C2S08,07</v>
      </c>
      <c r="AA462" s="136" t="str">
        <f>VLOOKUP(tbl_IO_List[[#This Row],[Column23]],tbl_RackConfig[],5,FALSE) &amp;"-"&amp;tbl_IO_List[[#This Row],[Point]]</f>
        <v>1756-OB32-7</v>
      </c>
      <c r="AB462" s="136"/>
      <c r="AC462" s="136"/>
      <c r="AD462" s="136" t="str">
        <f>tbl_IO_List[[#This Row],[I/O Type]]</f>
        <v>DO</v>
      </c>
      <c r="AE462" s="136" t="s">
        <v>1333</v>
      </c>
      <c r="AF462" s="136">
        <v>8</v>
      </c>
      <c r="AG462" s="136">
        <v>7</v>
      </c>
      <c r="AH462" s="136">
        <v>8</v>
      </c>
      <c r="AI462" s="136">
        <v>8</v>
      </c>
      <c r="AJ462" s="136">
        <v>2</v>
      </c>
      <c r="AK462" s="136">
        <v>1</v>
      </c>
      <c r="AL462" s="136">
        <v>0</v>
      </c>
      <c r="AM462" s="136">
        <v>0</v>
      </c>
      <c r="AN462" s="136">
        <v>0</v>
      </c>
      <c r="AO462" s="136"/>
      <c r="AP462" s="143" t="str">
        <f>VLOOKUP(tbl_IO_List[[#This Row],[Instruement Tag]],tbl_Instruement_List[],14,FALSE)</f>
        <v>24 VDC energized,Dry Contact</v>
      </c>
      <c r="AQ462" s="143" t="str">
        <f>tbl_IO_List[[#This Row],[Chassis]]&amp;"S"&amp;tbl_IO_List[[#This Row],[Slot]]&amp;"-"&amp;tbl_IO_List[[#This Row],[Front Terminal Number]]</f>
        <v>C2S8-8</v>
      </c>
      <c r="AR462" s="141" t="s">
        <v>1868</v>
      </c>
      <c r="AS462" s="136" t="str">
        <f>tbl_IO_List[[#This Row],[Terminal Tagging]]&amp;"-"&amp;tbl_IO_List[[#This Row],[Point-Count]]</f>
        <v>P2-TBRL3-8</v>
      </c>
      <c r="AT462" s="136" t="str">
        <f>tbl_IO_List[[#This Row],[Front Terminal Tagging]]&amp;"/"&amp;tbl_IO_List[[#This Row],[Terminal Tagging-Item]]</f>
        <v>C2S8-8/P2-TBRL3-8</v>
      </c>
      <c r="AU462" s="136" t="str">
        <f>tbl_IO_List[[#This Row],[Terminal Tagging-Item]]&amp;"/"&amp;tbl_IO_List[[#This Row],[Front Terminal Tagging]]</f>
        <v>P2-TBRL3-8/C2S8-8</v>
      </c>
    </row>
    <row r="463" spans="1:47">
      <c r="A463" s="147" t="s">
        <v>1367</v>
      </c>
      <c r="B463" s="136" t="s">
        <v>270</v>
      </c>
      <c r="C463" s="136" t="str">
        <f>tbl_IO_List[[#This Row],[Column3]]</f>
        <v>C2S08,08</v>
      </c>
      <c r="D463" s="136" t="str">
        <f>tbl_IO_List[[#This Row],[Card]]</f>
        <v>1756-OB32-8</v>
      </c>
      <c r="E463" s="136" t="s">
        <v>1366</v>
      </c>
      <c r="F463" s="136" t="str">
        <f>tbl_IO_List[[#This Row],[Column23]]&amp;"-" &amp;tbl_IO_List[[#This Row],[Column52]]</f>
        <v>C2S08-X1</v>
      </c>
      <c r="G463" s="136" t="str">
        <f>tbl_IO_List[[#This Row],[PLC_Tag]]</f>
        <v>XV-60264SR_DO_1</v>
      </c>
      <c r="H463" s="136"/>
      <c r="I463" s="136" t="str">
        <f>VLOOKUP(tbl_IO_List[[#This Row],[Destination]],tbl_Junction[],2,FALSE)</f>
        <v>Spray Dryer 7th Floor</v>
      </c>
      <c r="J463" s="136" t="s">
        <v>270</v>
      </c>
      <c r="K463" s="136" t="s">
        <v>14</v>
      </c>
      <c r="L463" s="136" t="s">
        <v>330</v>
      </c>
      <c r="M463" s="136">
        <f>VLOOKUP(tbl_IO_List[[#This Row],[Instruement Tag]],tbl_Instruement_List[],2,FALSE)</f>
        <v>0</v>
      </c>
      <c r="N463" s="136" t="s">
        <v>95</v>
      </c>
      <c r="O463" s="136" t="s">
        <v>272</v>
      </c>
      <c r="P463" s="136" t="s">
        <v>273</v>
      </c>
      <c r="Q463" s="136" t="str">
        <f>VLOOKUP(tbl_IO_List[[#This Row],[Instruement Tag]],tbl_Instruement_List[],6,FALSE)</f>
        <v>Steam On/Off Valve for Nozzle #16 (ATVM-11D)</v>
      </c>
      <c r="R463" s="136"/>
      <c r="S46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463" s="136" t="str">
        <f>tbl_IO_List[[#This Row],[Instruement Tag]]&amp;"_"&amp;tbl_IO_List[[#This Row],[I/O Type]]&amp;"_"&amp;tbl_IO_List[[#This Row],[IO-Point 
(Instruement)]]</f>
        <v>XV-60264SR_DO_1</v>
      </c>
      <c r="U463" s="136" t="s">
        <v>7</v>
      </c>
      <c r="V463" s="136">
        <f>VLOOKUP(tbl_IO_List[[#This Row],[I/O Type]],tbl_Slot_Group[],2,FALSE)</f>
        <v>2</v>
      </c>
      <c r="W463" s="136">
        <v>1</v>
      </c>
      <c r="X463" s="136" t="str">
        <f>tbl_IO_List[[#This Row],[Chassis]]&amp;"S"&amp;TEXT(tbl_IO_List[[#This Row],[Slot]],"00")</f>
        <v>C2S08</v>
      </c>
      <c r="Y463" s="136" t="str">
        <f>tbl_IO_List[[#This Row],[Chassis]]&amp;"S"&amp;TEXT(tbl_IO_List[[#This Row],[Slot]],"00")&amp;tbl_IO_List[[#This Row],[I/O Type]]&amp;TEXT(tbl_IO_List[[#This Row],[Point]],"00")</f>
        <v>C2S08DO08</v>
      </c>
      <c r="Z463" s="136" t="str">
        <f>tbl_IO_List[[#This Row],[Chassis]]&amp;"S"&amp;TEXT(tbl_IO_List[[#This Row],[Slot]],"00")&amp;","&amp;TEXT(tbl_IO_List[[#This Row],[Point]],"00")</f>
        <v>C2S08,08</v>
      </c>
      <c r="AA463" s="136" t="str">
        <f>VLOOKUP(tbl_IO_List[[#This Row],[Column23]],tbl_RackConfig[],5,FALSE) &amp;"-"&amp;tbl_IO_List[[#This Row],[Point]]</f>
        <v>1756-OB32-8</v>
      </c>
      <c r="AB463" s="136"/>
      <c r="AC463" s="136"/>
      <c r="AD463" s="136" t="str">
        <f>tbl_IO_List[[#This Row],[I/O Type]]</f>
        <v>DO</v>
      </c>
      <c r="AE463" s="136" t="s">
        <v>1333</v>
      </c>
      <c r="AF463" s="136">
        <v>8</v>
      </c>
      <c r="AG463" s="136">
        <v>8</v>
      </c>
      <c r="AH463" s="136">
        <v>9</v>
      </c>
      <c r="AI463" s="136">
        <v>9</v>
      </c>
      <c r="AJ463" s="136">
        <v>2</v>
      </c>
      <c r="AK463" s="136">
        <v>1</v>
      </c>
      <c r="AL463" s="136">
        <v>0</v>
      </c>
      <c r="AM463" s="136">
        <v>0</v>
      </c>
      <c r="AN463" s="136">
        <v>0</v>
      </c>
      <c r="AO463" s="136"/>
      <c r="AP463" s="143" t="str">
        <f>VLOOKUP(tbl_IO_List[[#This Row],[Instruement Tag]],tbl_Instruement_List[],14,FALSE)</f>
        <v>24 VDC energized,Dry Contact</v>
      </c>
      <c r="AQ463" s="143" t="str">
        <f>tbl_IO_List[[#This Row],[Chassis]]&amp;"S"&amp;tbl_IO_List[[#This Row],[Slot]]&amp;"-"&amp;tbl_IO_List[[#This Row],[Front Terminal Number]]</f>
        <v>C2S8-9</v>
      </c>
      <c r="AR463" s="141" t="s">
        <v>1868</v>
      </c>
      <c r="AS463" s="136" t="str">
        <f>tbl_IO_List[[#This Row],[Terminal Tagging]]&amp;"-"&amp;tbl_IO_List[[#This Row],[Point-Count]]</f>
        <v>P2-TBRL3-9</v>
      </c>
      <c r="AT463" s="136" t="str">
        <f>tbl_IO_List[[#This Row],[Front Terminal Tagging]]&amp;"/"&amp;tbl_IO_List[[#This Row],[Terminal Tagging-Item]]</f>
        <v>C2S8-9/P2-TBRL3-9</v>
      </c>
      <c r="AU463" s="136" t="str">
        <f>tbl_IO_List[[#This Row],[Terminal Tagging-Item]]&amp;"/"&amp;tbl_IO_List[[#This Row],[Front Terminal Tagging]]</f>
        <v>P2-TBRL3-9/C2S8-9</v>
      </c>
    </row>
    <row r="464" spans="1:47">
      <c r="A464" s="147" t="s">
        <v>1367</v>
      </c>
      <c r="B464" s="136" t="s">
        <v>270</v>
      </c>
      <c r="C464" s="136" t="str">
        <f>tbl_IO_List[[#This Row],[Column3]]</f>
        <v>C2S08,09</v>
      </c>
      <c r="D464" s="136" t="str">
        <f>tbl_IO_List[[#This Row],[Card]]</f>
        <v>1756-OB32-9</v>
      </c>
      <c r="E464" s="136" t="s">
        <v>1366</v>
      </c>
      <c r="F464" s="136" t="str">
        <f>tbl_IO_List[[#This Row],[Column23]]&amp;"-" &amp;tbl_IO_List[[#This Row],[Column52]]</f>
        <v>C2S08-X1</v>
      </c>
      <c r="G464" s="136" t="str">
        <f>tbl_IO_List[[#This Row],[PLC_Tag]]</f>
        <v>Spare_DO_0</v>
      </c>
      <c r="H464" s="136"/>
      <c r="I464" s="136" t="str">
        <f>VLOOKUP(tbl_IO_List[[#This Row],[Destination]],tbl_Junction[],2,FALSE)</f>
        <v>Spray Dryer 7th Floor</v>
      </c>
      <c r="J464" s="136"/>
      <c r="K464" s="136"/>
      <c r="L464" s="136" t="s">
        <v>411</v>
      </c>
      <c r="M464" s="136" t="e">
        <f>VLOOKUP(tbl_IO_List[[#This Row],[Instruement Tag]],tbl_Instruement_List[],2,FALSE)</f>
        <v>#N/A</v>
      </c>
      <c r="N464" s="136"/>
      <c r="O464" s="136"/>
      <c r="P464" s="136"/>
      <c r="Q464" s="136" t="e">
        <f>VLOOKUP(tbl_IO_List[[#This Row],[Instruement Tag]],tbl_Instruement_List[],6,FALSE)</f>
        <v>#N/A</v>
      </c>
      <c r="R464" s="136"/>
      <c r="S46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464" s="136" t="str">
        <f>tbl_IO_List[[#This Row],[Instruement Tag]]&amp;"_"&amp;tbl_IO_List[[#This Row],[I/O Type]]&amp;"_"&amp;tbl_IO_List[[#This Row],[IO-Point 
(Instruement)]]</f>
        <v>Spare_DO_0</v>
      </c>
      <c r="U464" s="136" t="s">
        <v>7</v>
      </c>
      <c r="V464" s="136">
        <f>VLOOKUP(tbl_IO_List[[#This Row],[I/O Type]],tbl_Slot_Group[],2,FALSE)</f>
        <v>2</v>
      </c>
      <c r="W464" s="136">
        <v>0</v>
      </c>
      <c r="X464" s="136" t="str">
        <f>tbl_IO_List[[#This Row],[Chassis]]&amp;"S"&amp;TEXT(tbl_IO_List[[#This Row],[Slot]],"00")</f>
        <v>C2S08</v>
      </c>
      <c r="Y464" s="136" t="str">
        <f>tbl_IO_List[[#This Row],[Chassis]]&amp;"S"&amp;TEXT(tbl_IO_List[[#This Row],[Slot]],"00")&amp;tbl_IO_List[[#This Row],[I/O Type]]&amp;TEXT(tbl_IO_List[[#This Row],[Point]],"00")</f>
        <v>C2S08DO09</v>
      </c>
      <c r="Z464" s="136" t="str">
        <f>tbl_IO_List[[#This Row],[Chassis]]&amp;"S"&amp;TEXT(tbl_IO_List[[#This Row],[Slot]],"00")&amp;","&amp;TEXT(tbl_IO_List[[#This Row],[Point]],"00")</f>
        <v>C2S08,09</v>
      </c>
      <c r="AA464" s="136" t="str">
        <f>VLOOKUP(tbl_IO_List[[#This Row],[Column23]],tbl_RackConfig[],5,FALSE) &amp;"-"&amp;tbl_IO_List[[#This Row],[Point]]</f>
        <v>1756-OB32-9</v>
      </c>
      <c r="AB464" s="136"/>
      <c r="AC464" s="136"/>
      <c r="AD464" s="136" t="str">
        <f>tbl_IO_List[[#This Row],[I/O Type]]</f>
        <v>DO</v>
      </c>
      <c r="AE464" s="136" t="s">
        <v>1333</v>
      </c>
      <c r="AF464" s="136">
        <v>8</v>
      </c>
      <c r="AG464" s="136">
        <v>9</v>
      </c>
      <c r="AH464" s="136">
        <v>10</v>
      </c>
      <c r="AI464" s="136">
        <v>10</v>
      </c>
      <c r="AJ464" s="136">
        <v>0</v>
      </c>
      <c r="AK464" s="136">
        <v>1</v>
      </c>
      <c r="AL464" s="136">
        <v>0</v>
      </c>
      <c r="AM464" s="136">
        <v>0</v>
      </c>
      <c r="AN464" s="136">
        <v>0</v>
      </c>
      <c r="AO464" s="136"/>
      <c r="AP464" s="143" t="e">
        <f>VLOOKUP(tbl_IO_List[[#This Row],[Instruement Tag]],tbl_Instruement_List[],14,FALSE)</f>
        <v>#N/A</v>
      </c>
      <c r="AQ464" s="143" t="str">
        <f>tbl_IO_List[[#This Row],[Chassis]]&amp;"S"&amp;tbl_IO_List[[#This Row],[Slot]]&amp;"-"&amp;tbl_IO_List[[#This Row],[Front Terminal Number]]</f>
        <v>C2S8-10</v>
      </c>
      <c r="AR464" s="141" t="s">
        <v>1868</v>
      </c>
      <c r="AS464" s="136" t="str">
        <f>tbl_IO_List[[#This Row],[Terminal Tagging]]&amp;"-"&amp;tbl_IO_List[[#This Row],[Point-Count]]</f>
        <v>P2-TBRL3-10</v>
      </c>
      <c r="AT464" s="136" t="str">
        <f>tbl_IO_List[[#This Row],[Front Terminal Tagging]]&amp;"/"&amp;tbl_IO_List[[#This Row],[Terminal Tagging-Item]]</f>
        <v>C2S8-10/P2-TBRL3-10</v>
      </c>
      <c r="AU464" s="136" t="str">
        <f>tbl_IO_List[[#This Row],[Terminal Tagging-Item]]&amp;"/"&amp;tbl_IO_List[[#This Row],[Front Terminal Tagging]]</f>
        <v>P2-TBRL3-10/C2S8-10</v>
      </c>
    </row>
    <row r="465" spans="1:47">
      <c r="A465" s="147" t="s">
        <v>1367</v>
      </c>
      <c r="B465" s="136" t="s">
        <v>270</v>
      </c>
      <c r="C465" s="136" t="str">
        <f>tbl_IO_List[[#This Row],[Column3]]</f>
        <v>C2S08,10</v>
      </c>
      <c r="D465" s="136" t="str">
        <f>tbl_IO_List[[#This Row],[Card]]</f>
        <v>1756-OB32-10</v>
      </c>
      <c r="E465" s="136" t="s">
        <v>1366</v>
      </c>
      <c r="F465" s="136" t="str">
        <f>tbl_IO_List[[#This Row],[Column23]]&amp;"-" &amp;tbl_IO_List[[#This Row],[Column52]]</f>
        <v>C2S08-X1</v>
      </c>
      <c r="G465" s="136" t="str">
        <f>tbl_IO_List[[#This Row],[PLC_Tag]]</f>
        <v>Spare_DO_0</v>
      </c>
      <c r="H465" s="136"/>
      <c r="I465" s="136" t="str">
        <f>VLOOKUP(tbl_IO_List[[#This Row],[Destination]],tbl_Junction[],2,FALSE)</f>
        <v>Spray Dryer 7th Floor</v>
      </c>
      <c r="J465" s="136"/>
      <c r="K465" s="136"/>
      <c r="L465" s="136" t="s">
        <v>411</v>
      </c>
      <c r="M465" s="136" t="e">
        <f>VLOOKUP(tbl_IO_List[[#This Row],[Instruement Tag]],tbl_Instruement_List[],2,FALSE)</f>
        <v>#N/A</v>
      </c>
      <c r="N465" s="136"/>
      <c r="O465" s="136"/>
      <c r="P465" s="136"/>
      <c r="Q465" s="136" t="e">
        <f>VLOOKUP(tbl_IO_List[[#This Row],[Instruement Tag]],tbl_Instruement_List[],6,FALSE)</f>
        <v>#N/A</v>
      </c>
      <c r="R465" s="136"/>
      <c r="S46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465" s="136" t="str">
        <f>tbl_IO_List[[#This Row],[Instruement Tag]]&amp;"_"&amp;tbl_IO_List[[#This Row],[I/O Type]]&amp;"_"&amp;tbl_IO_List[[#This Row],[IO-Point 
(Instruement)]]</f>
        <v>Spare_DO_0</v>
      </c>
      <c r="U465" s="136" t="s">
        <v>7</v>
      </c>
      <c r="V465" s="136">
        <f>VLOOKUP(tbl_IO_List[[#This Row],[I/O Type]],tbl_Slot_Group[],2,FALSE)</f>
        <v>2</v>
      </c>
      <c r="W465" s="136">
        <v>0</v>
      </c>
      <c r="X465" s="136" t="str">
        <f>tbl_IO_List[[#This Row],[Chassis]]&amp;"S"&amp;TEXT(tbl_IO_List[[#This Row],[Slot]],"00")</f>
        <v>C2S08</v>
      </c>
      <c r="Y465" s="136" t="str">
        <f>tbl_IO_List[[#This Row],[Chassis]]&amp;"S"&amp;TEXT(tbl_IO_List[[#This Row],[Slot]],"00")&amp;tbl_IO_List[[#This Row],[I/O Type]]&amp;TEXT(tbl_IO_List[[#This Row],[Point]],"00")</f>
        <v>C2S08DO10</v>
      </c>
      <c r="Z465" s="136" t="str">
        <f>tbl_IO_List[[#This Row],[Chassis]]&amp;"S"&amp;TEXT(tbl_IO_List[[#This Row],[Slot]],"00")&amp;","&amp;TEXT(tbl_IO_List[[#This Row],[Point]],"00")</f>
        <v>C2S08,10</v>
      </c>
      <c r="AA465" s="136" t="str">
        <f>VLOOKUP(tbl_IO_List[[#This Row],[Column23]],tbl_RackConfig[],5,FALSE) &amp;"-"&amp;tbl_IO_List[[#This Row],[Point]]</f>
        <v>1756-OB32-10</v>
      </c>
      <c r="AB465" s="136"/>
      <c r="AC465" s="136"/>
      <c r="AD465" s="136" t="str">
        <f>tbl_IO_List[[#This Row],[I/O Type]]</f>
        <v>DO</v>
      </c>
      <c r="AE465" s="136" t="s">
        <v>1333</v>
      </c>
      <c r="AF465" s="136">
        <v>8</v>
      </c>
      <c r="AG465" s="136">
        <v>10</v>
      </c>
      <c r="AH465" s="136">
        <v>11</v>
      </c>
      <c r="AI465" s="136">
        <v>11</v>
      </c>
      <c r="AJ465" s="136">
        <v>0</v>
      </c>
      <c r="AK465" s="136">
        <v>1</v>
      </c>
      <c r="AL465" s="136">
        <v>0</v>
      </c>
      <c r="AM465" s="136">
        <v>0</v>
      </c>
      <c r="AN465" s="136">
        <v>0</v>
      </c>
      <c r="AO465" s="136"/>
      <c r="AP465" s="143" t="e">
        <f>VLOOKUP(tbl_IO_List[[#This Row],[Instruement Tag]],tbl_Instruement_List[],14,FALSE)</f>
        <v>#N/A</v>
      </c>
      <c r="AQ465" s="143" t="str">
        <f>tbl_IO_List[[#This Row],[Chassis]]&amp;"S"&amp;tbl_IO_List[[#This Row],[Slot]]&amp;"-"&amp;tbl_IO_List[[#This Row],[Front Terminal Number]]</f>
        <v>C2S8-11</v>
      </c>
      <c r="AR465" s="141" t="s">
        <v>1868</v>
      </c>
      <c r="AS465" s="136" t="str">
        <f>tbl_IO_List[[#This Row],[Terminal Tagging]]&amp;"-"&amp;tbl_IO_List[[#This Row],[Point-Count]]</f>
        <v>P2-TBRL3-11</v>
      </c>
      <c r="AT465" s="136" t="str">
        <f>tbl_IO_List[[#This Row],[Front Terminal Tagging]]&amp;"/"&amp;tbl_IO_List[[#This Row],[Terminal Tagging-Item]]</f>
        <v>C2S8-11/P2-TBRL3-11</v>
      </c>
      <c r="AU465" s="136" t="str">
        <f>tbl_IO_List[[#This Row],[Terminal Tagging-Item]]&amp;"/"&amp;tbl_IO_List[[#This Row],[Front Terminal Tagging]]</f>
        <v>P2-TBRL3-11/C2S8-11</v>
      </c>
    </row>
    <row r="466" spans="1:47">
      <c r="A466" s="147" t="s">
        <v>1367</v>
      </c>
      <c r="B466" s="136" t="s">
        <v>270</v>
      </c>
      <c r="C466" s="136" t="str">
        <f>tbl_IO_List[[#This Row],[Column3]]</f>
        <v>C2S08,11</v>
      </c>
      <c r="D466" s="136" t="str">
        <f>tbl_IO_List[[#This Row],[Card]]</f>
        <v>1756-OB32-11</v>
      </c>
      <c r="E466" s="136" t="s">
        <v>1366</v>
      </c>
      <c r="F466" s="136" t="str">
        <f>tbl_IO_List[[#This Row],[Column23]]&amp;"-" &amp;tbl_IO_List[[#This Row],[Column52]]</f>
        <v>C2S08-X1</v>
      </c>
      <c r="G466" s="136" t="str">
        <f>tbl_IO_List[[#This Row],[PLC_Tag]]</f>
        <v>Spare_DO_0</v>
      </c>
      <c r="H466" s="136"/>
      <c r="I466" s="136" t="str">
        <f>VLOOKUP(tbl_IO_List[[#This Row],[Destination]],tbl_Junction[],2,FALSE)</f>
        <v>Spray Dryer 7th Floor</v>
      </c>
      <c r="J466" s="136"/>
      <c r="K466" s="136"/>
      <c r="L466" s="136" t="s">
        <v>411</v>
      </c>
      <c r="M466" s="136" t="e">
        <f>VLOOKUP(tbl_IO_List[[#This Row],[Instruement Tag]],tbl_Instruement_List[],2,FALSE)</f>
        <v>#N/A</v>
      </c>
      <c r="N466" s="136"/>
      <c r="O466" s="136"/>
      <c r="P466" s="136"/>
      <c r="Q466" s="136" t="e">
        <f>VLOOKUP(tbl_IO_List[[#This Row],[Instruement Tag]],tbl_Instruement_List[],6,FALSE)</f>
        <v>#N/A</v>
      </c>
      <c r="R466" s="136"/>
      <c r="S46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466" s="136" t="str">
        <f>tbl_IO_List[[#This Row],[Instruement Tag]]&amp;"_"&amp;tbl_IO_List[[#This Row],[I/O Type]]&amp;"_"&amp;tbl_IO_List[[#This Row],[IO-Point 
(Instruement)]]</f>
        <v>Spare_DO_0</v>
      </c>
      <c r="U466" s="136" t="s">
        <v>7</v>
      </c>
      <c r="V466" s="136">
        <f>VLOOKUP(tbl_IO_List[[#This Row],[I/O Type]],tbl_Slot_Group[],2,FALSE)</f>
        <v>2</v>
      </c>
      <c r="W466" s="136">
        <v>0</v>
      </c>
      <c r="X466" s="136" t="str">
        <f>tbl_IO_List[[#This Row],[Chassis]]&amp;"S"&amp;TEXT(tbl_IO_List[[#This Row],[Slot]],"00")</f>
        <v>C2S08</v>
      </c>
      <c r="Y466" s="136" t="str">
        <f>tbl_IO_List[[#This Row],[Chassis]]&amp;"S"&amp;TEXT(tbl_IO_List[[#This Row],[Slot]],"00")&amp;tbl_IO_List[[#This Row],[I/O Type]]&amp;TEXT(tbl_IO_List[[#This Row],[Point]],"00")</f>
        <v>C2S08DO11</v>
      </c>
      <c r="Z466" s="136" t="str">
        <f>tbl_IO_List[[#This Row],[Chassis]]&amp;"S"&amp;TEXT(tbl_IO_List[[#This Row],[Slot]],"00")&amp;","&amp;TEXT(tbl_IO_List[[#This Row],[Point]],"00")</f>
        <v>C2S08,11</v>
      </c>
      <c r="AA466" s="136" t="str">
        <f>VLOOKUP(tbl_IO_List[[#This Row],[Column23]],tbl_RackConfig[],5,FALSE) &amp;"-"&amp;tbl_IO_List[[#This Row],[Point]]</f>
        <v>1756-OB32-11</v>
      </c>
      <c r="AB466" s="136"/>
      <c r="AC466" s="136"/>
      <c r="AD466" s="136" t="str">
        <f>tbl_IO_List[[#This Row],[I/O Type]]</f>
        <v>DO</v>
      </c>
      <c r="AE466" s="136" t="s">
        <v>1333</v>
      </c>
      <c r="AF466" s="136">
        <v>8</v>
      </c>
      <c r="AG466" s="136">
        <v>11</v>
      </c>
      <c r="AH466" s="136">
        <v>12</v>
      </c>
      <c r="AI466" s="136">
        <v>12</v>
      </c>
      <c r="AJ466" s="136">
        <v>0</v>
      </c>
      <c r="AK466" s="136">
        <v>1</v>
      </c>
      <c r="AL466" s="136">
        <v>0</v>
      </c>
      <c r="AM466" s="136">
        <v>0</v>
      </c>
      <c r="AN466" s="136">
        <v>0</v>
      </c>
      <c r="AO466" s="136"/>
      <c r="AP466" s="143" t="e">
        <f>VLOOKUP(tbl_IO_List[[#This Row],[Instruement Tag]],tbl_Instruement_List[],14,FALSE)</f>
        <v>#N/A</v>
      </c>
      <c r="AQ466" s="143" t="str">
        <f>tbl_IO_List[[#This Row],[Chassis]]&amp;"S"&amp;tbl_IO_List[[#This Row],[Slot]]&amp;"-"&amp;tbl_IO_List[[#This Row],[Front Terminal Number]]</f>
        <v>C2S8-12</v>
      </c>
      <c r="AR466" s="141" t="s">
        <v>1868</v>
      </c>
      <c r="AS466" s="136" t="str">
        <f>tbl_IO_List[[#This Row],[Terminal Tagging]]&amp;"-"&amp;tbl_IO_List[[#This Row],[Point-Count]]</f>
        <v>P2-TBRL3-12</v>
      </c>
      <c r="AT466" s="136" t="str">
        <f>tbl_IO_List[[#This Row],[Front Terminal Tagging]]&amp;"/"&amp;tbl_IO_List[[#This Row],[Terminal Tagging-Item]]</f>
        <v>C2S8-12/P2-TBRL3-12</v>
      </c>
      <c r="AU466" s="136" t="str">
        <f>tbl_IO_List[[#This Row],[Terminal Tagging-Item]]&amp;"/"&amp;tbl_IO_List[[#This Row],[Front Terminal Tagging]]</f>
        <v>P2-TBRL3-12/C2S8-12</v>
      </c>
    </row>
    <row r="467" spans="1:47">
      <c r="A467" s="147" t="s">
        <v>1367</v>
      </c>
      <c r="B467" s="136" t="s">
        <v>270</v>
      </c>
      <c r="C467" s="136" t="str">
        <f>tbl_IO_List[[#This Row],[Column3]]</f>
        <v>C2S08,12</v>
      </c>
      <c r="D467" s="136" t="str">
        <f>tbl_IO_List[[#This Row],[Card]]</f>
        <v>1756-OB32-12</v>
      </c>
      <c r="E467" s="136" t="s">
        <v>1366</v>
      </c>
      <c r="F467" s="136" t="str">
        <f>tbl_IO_List[[#This Row],[Column23]]&amp;"-" &amp;tbl_IO_List[[#This Row],[Column52]]</f>
        <v>C2S08-X1</v>
      </c>
      <c r="G467" s="136" t="str">
        <f>tbl_IO_List[[#This Row],[PLC_Tag]]</f>
        <v>Spare_DO_0</v>
      </c>
      <c r="H467" s="136"/>
      <c r="I467" s="136" t="str">
        <f>VLOOKUP(tbl_IO_List[[#This Row],[Destination]],tbl_Junction[],2,FALSE)</f>
        <v>Spray Dryer 7th Floor</v>
      </c>
      <c r="J467" s="136"/>
      <c r="K467" s="136"/>
      <c r="L467" s="136" t="s">
        <v>411</v>
      </c>
      <c r="M467" s="136" t="e">
        <f>VLOOKUP(tbl_IO_List[[#This Row],[Instruement Tag]],tbl_Instruement_List[],2,FALSE)</f>
        <v>#N/A</v>
      </c>
      <c r="N467" s="136"/>
      <c r="O467" s="136"/>
      <c r="P467" s="136"/>
      <c r="Q467" s="136" t="e">
        <f>VLOOKUP(tbl_IO_List[[#This Row],[Instruement Tag]],tbl_Instruement_List[],6,FALSE)</f>
        <v>#N/A</v>
      </c>
      <c r="R467" s="136"/>
      <c r="S46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467" s="136" t="str">
        <f>tbl_IO_List[[#This Row],[Instruement Tag]]&amp;"_"&amp;tbl_IO_List[[#This Row],[I/O Type]]&amp;"_"&amp;tbl_IO_List[[#This Row],[IO-Point 
(Instruement)]]</f>
        <v>Spare_DO_0</v>
      </c>
      <c r="U467" s="136" t="s">
        <v>7</v>
      </c>
      <c r="V467" s="136">
        <f>VLOOKUP(tbl_IO_List[[#This Row],[I/O Type]],tbl_Slot_Group[],2,FALSE)</f>
        <v>2</v>
      </c>
      <c r="W467" s="136">
        <v>0</v>
      </c>
      <c r="X467" s="136" t="str">
        <f>tbl_IO_List[[#This Row],[Chassis]]&amp;"S"&amp;TEXT(tbl_IO_List[[#This Row],[Slot]],"00")</f>
        <v>C2S08</v>
      </c>
      <c r="Y467" s="136" t="str">
        <f>tbl_IO_List[[#This Row],[Chassis]]&amp;"S"&amp;TEXT(tbl_IO_List[[#This Row],[Slot]],"00")&amp;tbl_IO_List[[#This Row],[I/O Type]]&amp;TEXT(tbl_IO_List[[#This Row],[Point]],"00")</f>
        <v>C2S08DO12</v>
      </c>
      <c r="Z467" s="136" t="str">
        <f>tbl_IO_List[[#This Row],[Chassis]]&amp;"S"&amp;TEXT(tbl_IO_List[[#This Row],[Slot]],"00")&amp;","&amp;TEXT(tbl_IO_List[[#This Row],[Point]],"00")</f>
        <v>C2S08,12</v>
      </c>
      <c r="AA467" s="136" t="str">
        <f>VLOOKUP(tbl_IO_List[[#This Row],[Column23]],tbl_RackConfig[],5,FALSE) &amp;"-"&amp;tbl_IO_List[[#This Row],[Point]]</f>
        <v>1756-OB32-12</v>
      </c>
      <c r="AB467" s="136"/>
      <c r="AC467" s="136"/>
      <c r="AD467" s="136" t="str">
        <f>tbl_IO_List[[#This Row],[I/O Type]]</f>
        <v>DO</v>
      </c>
      <c r="AE467" s="136" t="s">
        <v>1333</v>
      </c>
      <c r="AF467" s="136">
        <v>8</v>
      </c>
      <c r="AG467" s="136">
        <v>12</v>
      </c>
      <c r="AH467" s="136">
        <v>13</v>
      </c>
      <c r="AI467" s="136">
        <v>13</v>
      </c>
      <c r="AJ467" s="136">
        <v>0</v>
      </c>
      <c r="AK467" s="136">
        <v>1</v>
      </c>
      <c r="AL467" s="136">
        <v>0</v>
      </c>
      <c r="AM467" s="136">
        <v>0</v>
      </c>
      <c r="AN467" s="136">
        <v>0</v>
      </c>
      <c r="AO467" s="136"/>
      <c r="AP467" s="143" t="e">
        <f>VLOOKUP(tbl_IO_List[[#This Row],[Instruement Tag]],tbl_Instruement_List[],14,FALSE)</f>
        <v>#N/A</v>
      </c>
      <c r="AQ467" s="143" t="str">
        <f>tbl_IO_List[[#This Row],[Chassis]]&amp;"S"&amp;tbl_IO_List[[#This Row],[Slot]]&amp;"-"&amp;tbl_IO_List[[#This Row],[Front Terminal Number]]</f>
        <v>C2S8-13</v>
      </c>
      <c r="AR467" s="141" t="s">
        <v>1868</v>
      </c>
      <c r="AS467" s="136" t="str">
        <f>tbl_IO_List[[#This Row],[Terminal Tagging]]&amp;"-"&amp;tbl_IO_List[[#This Row],[Point-Count]]</f>
        <v>P2-TBRL3-13</v>
      </c>
      <c r="AT467" s="136" t="str">
        <f>tbl_IO_List[[#This Row],[Front Terminal Tagging]]&amp;"/"&amp;tbl_IO_List[[#This Row],[Terminal Tagging-Item]]</f>
        <v>C2S8-13/P2-TBRL3-13</v>
      </c>
      <c r="AU467" s="136" t="str">
        <f>tbl_IO_List[[#This Row],[Terminal Tagging-Item]]&amp;"/"&amp;tbl_IO_List[[#This Row],[Front Terminal Tagging]]</f>
        <v>P2-TBRL3-13/C2S8-13</v>
      </c>
    </row>
    <row r="468" spans="1:47">
      <c r="A468" s="147" t="s">
        <v>1367</v>
      </c>
      <c r="B468" s="136" t="s">
        <v>270</v>
      </c>
      <c r="C468" s="136" t="str">
        <f>tbl_IO_List[[#This Row],[Column3]]</f>
        <v>C2S08,13</v>
      </c>
      <c r="D468" s="136" t="str">
        <f>tbl_IO_List[[#This Row],[Card]]</f>
        <v>1756-OB32-13</v>
      </c>
      <c r="E468" s="136" t="s">
        <v>1366</v>
      </c>
      <c r="F468" s="136" t="str">
        <f>tbl_IO_List[[#This Row],[Column23]]&amp;"-" &amp;tbl_IO_List[[#This Row],[Column52]]</f>
        <v>C2S08-X1</v>
      </c>
      <c r="G468" s="136" t="str">
        <f>tbl_IO_List[[#This Row],[PLC_Tag]]</f>
        <v>Spare_DO_0</v>
      </c>
      <c r="H468" s="136"/>
      <c r="I468" s="136" t="str">
        <f>VLOOKUP(tbl_IO_List[[#This Row],[Destination]],tbl_Junction[],2,FALSE)</f>
        <v>Spray Dryer 7th Floor</v>
      </c>
      <c r="J468" s="136"/>
      <c r="K468" s="136"/>
      <c r="L468" s="136" t="s">
        <v>411</v>
      </c>
      <c r="M468" s="136" t="e">
        <f>VLOOKUP(tbl_IO_List[[#This Row],[Instruement Tag]],tbl_Instruement_List[],2,FALSE)</f>
        <v>#N/A</v>
      </c>
      <c r="N468" s="136"/>
      <c r="O468" s="136"/>
      <c r="P468" s="136"/>
      <c r="Q468" s="136" t="e">
        <f>VLOOKUP(tbl_IO_List[[#This Row],[Instruement Tag]],tbl_Instruement_List[],6,FALSE)</f>
        <v>#N/A</v>
      </c>
      <c r="R468" s="136"/>
      <c r="S46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468" s="136" t="str">
        <f>tbl_IO_List[[#This Row],[Instruement Tag]]&amp;"_"&amp;tbl_IO_List[[#This Row],[I/O Type]]&amp;"_"&amp;tbl_IO_List[[#This Row],[IO-Point 
(Instruement)]]</f>
        <v>Spare_DO_0</v>
      </c>
      <c r="U468" s="136" t="s">
        <v>7</v>
      </c>
      <c r="V468" s="136">
        <f>VLOOKUP(tbl_IO_List[[#This Row],[I/O Type]],tbl_Slot_Group[],2,FALSE)</f>
        <v>2</v>
      </c>
      <c r="W468" s="136">
        <v>0</v>
      </c>
      <c r="X468" s="136" t="str">
        <f>tbl_IO_List[[#This Row],[Chassis]]&amp;"S"&amp;TEXT(tbl_IO_List[[#This Row],[Slot]],"00")</f>
        <v>C2S08</v>
      </c>
      <c r="Y468" s="136" t="str">
        <f>tbl_IO_List[[#This Row],[Chassis]]&amp;"S"&amp;TEXT(tbl_IO_List[[#This Row],[Slot]],"00")&amp;tbl_IO_List[[#This Row],[I/O Type]]&amp;TEXT(tbl_IO_List[[#This Row],[Point]],"00")</f>
        <v>C2S08DO13</v>
      </c>
      <c r="Z468" s="136" t="str">
        <f>tbl_IO_List[[#This Row],[Chassis]]&amp;"S"&amp;TEXT(tbl_IO_List[[#This Row],[Slot]],"00")&amp;","&amp;TEXT(tbl_IO_List[[#This Row],[Point]],"00")</f>
        <v>C2S08,13</v>
      </c>
      <c r="AA468" s="136" t="str">
        <f>VLOOKUP(tbl_IO_List[[#This Row],[Column23]],tbl_RackConfig[],5,FALSE) &amp;"-"&amp;tbl_IO_List[[#This Row],[Point]]</f>
        <v>1756-OB32-13</v>
      </c>
      <c r="AB468" s="136"/>
      <c r="AC468" s="136"/>
      <c r="AD468" s="136" t="str">
        <f>tbl_IO_List[[#This Row],[I/O Type]]</f>
        <v>DO</v>
      </c>
      <c r="AE468" s="136" t="s">
        <v>1333</v>
      </c>
      <c r="AF468" s="136">
        <v>8</v>
      </c>
      <c r="AG468" s="136">
        <v>13</v>
      </c>
      <c r="AH468" s="136">
        <v>14</v>
      </c>
      <c r="AI468" s="136">
        <v>14</v>
      </c>
      <c r="AJ468" s="136">
        <v>0</v>
      </c>
      <c r="AK468" s="136">
        <v>1</v>
      </c>
      <c r="AL468" s="136">
        <v>0</v>
      </c>
      <c r="AM468" s="136">
        <v>0</v>
      </c>
      <c r="AN468" s="136">
        <v>0</v>
      </c>
      <c r="AO468" s="136"/>
      <c r="AP468" s="143" t="e">
        <f>VLOOKUP(tbl_IO_List[[#This Row],[Instruement Tag]],tbl_Instruement_List[],14,FALSE)</f>
        <v>#N/A</v>
      </c>
      <c r="AQ468" s="143" t="str">
        <f>tbl_IO_List[[#This Row],[Chassis]]&amp;"S"&amp;tbl_IO_List[[#This Row],[Slot]]&amp;"-"&amp;tbl_IO_List[[#This Row],[Front Terminal Number]]</f>
        <v>C2S8-14</v>
      </c>
      <c r="AR468" s="141" t="s">
        <v>1868</v>
      </c>
      <c r="AS468" s="136" t="str">
        <f>tbl_IO_List[[#This Row],[Terminal Tagging]]&amp;"-"&amp;tbl_IO_List[[#This Row],[Point-Count]]</f>
        <v>P2-TBRL3-14</v>
      </c>
      <c r="AT468" s="136" t="str">
        <f>tbl_IO_List[[#This Row],[Front Terminal Tagging]]&amp;"/"&amp;tbl_IO_List[[#This Row],[Terminal Tagging-Item]]</f>
        <v>C2S8-14/P2-TBRL3-14</v>
      </c>
      <c r="AU468" s="136" t="str">
        <f>tbl_IO_List[[#This Row],[Terminal Tagging-Item]]&amp;"/"&amp;tbl_IO_List[[#This Row],[Front Terminal Tagging]]</f>
        <v>P2-TBRL3-14/C2S8-14</v>
      </c>
    </row>
    <row r="469" spans="1:47">
      <c r="A469" s="147" t="s">
        <v>1367</v>
      </c>
      <c r="B469" s="136" t="s">
        <v>270</v>
      </c>
      <c r="C469" s="136" t="str">
        <f>tbl_IO_List[[#This Row],[Column3]]</f>
        <v>C2S08,14</v>
      </c>
      <c r="D469" s="136" t="str">
        <f>tbl_IO_List[[#This Row],[Card]]</f>
        <v>1756-OB32-14</v>
      </c>
      <c r="E469" s="136" t="s">
        <v>1366</v>
      </c>
      <c r="F469" s="136" t="str">
        <f>tbl_IO_List[[#This Row],[Column23]]&amp;"-" &amp;tbl_IO_List[[#This Row],[Column52]]</f>
        <v>C2S08-X1</v>
      </c>
      <c r="G469" s="136" t="str">
        <f>tbl_IO_List[[#This Row],[PLC_Tag]]</f>
        <v>Spare_DO_0</v>
      </c>
      <c r="H469" s="136"/>
      <c r="I469" s="136" t="str">
        <f>VLOOKUP(tbl_IO_List[[#This Row],[Destination]],tbl_Junction[],2,FALSE)</f>
        <v>Spray Dryer 7th Floor</v>
      </c>
      <c r="J469" s="136"/>
      <c r="K469" s="136"/>
      <c r="L469" s="136" t="s">
        <v>411</v>
      </c>
      <c r="M469" s="136" t="e">
        <f>VLOOKUP(tbl_IO_List[[#This Row],[Instruement Tag]],tbl_Instruement_List[],2,FALSE)</f>
        <v>#N/A</v>
      </c>
      <c r="N469" s="136"/>
      <c r="O469" s="136"/>
      <c r="P469" s="136"/>
      <c r="Q469" s="136" t="e">
        <f>VLOOKUP(tbl_IO_List[[#This Row],[Instruement Tag]],tbl_Instruement_List[],6,FALSE)</f>
        <v>#N/A</v>
      </c>
      <c r="R469" s="136"/>
      <c r="S46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469" s="136" t="str">
        <f>tbl_IO_List[[#This Row],[Instruement Tag]]&amp;"_"&amp;tbl_IO_List[[#This Row],[I/O Type]]&amp;"_"&amp;tbl_IO_List[[#This Row],[IO-Point 
(Instruement)]]</f>
        <v>Spare_DO_0</v>
      </c>
      <c r="U469" s="136" t="s">
        <v>7</v>
      </c>
      <c r="V469" s="136">
        <f>VLOOKUP(tbl_IO_List[[#This Row],[I/O Type]],tbl_Slot_Group[],2,FALSE)</f>
        <v>2</v>
      </c>
      <c r="W469" s="136">
        <v>0</v>
      </c>
      <c r="X469" s="136" t="str">
        <f>tbl_IO_List[[#This Row],[Chassis]]&amp;"S"&amp;TEXT(tbl_IO_List[[#This Row],[Slot]],"00")</f>
        <v>C2S08</v>
      </c>
      <c r="Y469" s="136" t="str">
        <f>tbl_IO_List[[#This Row],[Chassis]]&amp;"S"&amp;TEXT(tbl_IO_List[[#This Row],[Slot]],"00")&amp;tbl_IO_List[[#This Row],[I/O Type]]&amp;TEXT(tbl_IO_List[[#This Row],[Point]],"00")</f>
        <v>C2S08DO14</v>
      </c>
      <c r="Z469" s="136" t="str">
        <f>tbl_IO_List[[#This Row],[Chassis]]&amp;"S"&amp;TEXT(tbl_IO_List[[#This Row],[Slot]],"00")&amp;","&amp;TEXT(tbl_IO_List[[#This Row],[Point]],"00")</f>
        <v>C2S08,14</v>
      </c>
      <c r="AA469" s="136" t="str">
        <f>VLOOKUP(tbl_IO_List[[#This Row],[Column23]],tbl_RackConfig[],5,FALSE) &amp;"-"&amp;tbl_IO_List[[#This Row],[Point]]</f>
        <v>1756-OB32-14</v>
      </c>
      <c r="AB469" s="136"/>
      <c r="AC469" s="136"/>
      <c r="AD469" s="136" t="str">
        <f>tbl_IO_List[[#This Row],[I/O Type]]</f>
        <v>DO</v>
      </c>
      <c r="AE469" s="136" t="s">
        <v>1333</v>
      </c>
      <c r="AF469" s="136">
        <v>8</v>
      </c>
      <c r="AG469" s="136">
        <v>14</v>
      </c>
      <c r="AH469" s="136">
        <v>15</v>
      </c>
      <c r="AI469" s="136">
        <v>15</v>
      </c>
      <c r="AJ469" s="136">
        <v>0</v>
      </c>
      <c r="AK469" s="136">
        <v>1</v>
      </c>
      <c r="AL469" s="136">
        <v>0</v>
      </c>
      <c r="AM469" s="136">
        <v>0</v>
      </c>
      <c r="AN469" s="136">
        <v>0</v>
      </c>
      <c r="AO469" s="136"/>
      <c r="AP469" s="143" t="e">
        <f>VLOOKUP(tbl_IO_List[[#This Row],[Instruement Tag]],tbl_Instruement_List[],14,FALSE)</f>
        <v>#N/A</v>
      </c>
      <c r="AQ469" s="143" t="str">
        <f>tbl_IO_List[[#This Row],[Chassis]]&amp;"S"&amp;tbl_IO_List[[#This Row],[Slot]]&amp;"-"&amp;tbl_IO_List[[#This Row],[Front Terminal Number]]</f>
        <v>C2S8-15</v>
      </c>
      <c r="AR469" s="141" t="s">
        <v>1868</v>
      </c>
      <c r="AS469" s="136" t="str">
        <f>tbl_IO_List[[#This Row],[Terminal Tagging]]&amp;"-"&amp;tbl_IO_List[[#This Row],[Point-Count]]</f>
        <v>P2-TBRL3-15</v>
      </c>
      <c r="AT469" s="136" t="str">
        <f>tbl_IO_List[[#This Row],[Front Terminal Tagging]]&amp;"/"&amp;tbl_IO_List[[#This Row],[Terminal Tagging-Item]]</f>
        <v>C2S8-15/P2-TBRL3-15</v>
      </c>
      <c r="AU469" s="136" t="str">
        <f>tbl_IO_List[[#This Row],[Terminal Tagging-Item]]&amp;"/"&amp;tbl_IO_List[[#This Row],[Front Terminal Tagging]]</f>
        <v>P2-TBRL3-15/C2S8-15</v>
      </c>
    </row>
    <row r="470" spans="1:47">
      <c r="A470" s="147" t="s">
        <v>1367</v>
      </c>
      <c r="B470" s="136" t="s">
        <v>270</v>
      </c>
      <c r="C470" s="136" t="str">
        <f>tbl_IO_List[[#This Row],[Column3]]</f>
        <v>C2S08,15</v>
      </c>
      <c r="D470" s="136" t="str">
        <f>tbl_IO_List[[#This Row],[Card]]</f>
        <v>1756-OB32-15</v>
      </c>
      <c r="E470" s="136" t="s">
        <v>1366</v>
      </c>
      <c r="F470" s="136" t="str">
        <f>tbl_IO_List[[#This Row],[Column23]]&amp;"-" &amp;tbl_IO_List[[#This Row],[Column52]]</f>
        <v>C2S08-X1</v>
      </c>
      <c r="G470" s="136" t="str">
        <f>tbl_IO_List[[#This Row],[PLC_Tag]]</f>
        <v>Spare_DO_0</v>
      </c>
      <c r="H470" s="136"/>
      <c r="I470" s="136" t="str">
        <f>VLOOKUP(tbl_IO_List[[#This Row],[Destination]],tbl_Junction[],2,FALSE)</f>
        <v>Spray Dryer 7th Floor</v>
      </c>
      <c r="J470" s="136"/>
      <c r="K470" s="136"/>
      <c r="L470" s="136" t="s">
        <v>411</v>
      </c>
      <c r="M470" s="136" t="e">
        <f>VLOOKUP(tbl_IO_List[[#This Row],[Instruement Tag]],tbl_Instruement_List[],2,FALSE)</f>
        <v>#N/A</v>
      </c>
      <c r="N470" s="136"/>
      <c r="O470" s="136"/>
      <c r="P470" s="136"/>
      <c r="Q470" s="136" t="e">
        <f>VLOOKUP(tbl_IO_List[[#This Row],[Instruement Tag]],tbl_Instruement_List[],6,FALSE)</f>
        <v>#N/A</v>
      </c>
      <c r="R470" s="136"/>
      <c r="S47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470" s="136" t="str">
        <f>tbl_IO_List[[#This Row],[Instruement Tag]]&amp;"_"&amp;tbl_IO_List[[#This Row],[I/O Type]]&amp;"_"&amp;tbl_IO_List[[#This Row],[IO-Point 
(Instruement)]]</f>
        <v>Spare_DO_0</v>
      </c>
      <c r="U470" s="136" t="s">
        <v>7</v>
      </c>
      <c r="V470" s="136">
        <f>VLOOKUP(tbl_IO_List[[#This Row],[I/O Type]],tbl_Slot_Group[],2,FALSE)</f>
        <v>2</v>
      </c>
      <c r="W470" s="136">
        <v>0</v>
      </c>
      <c r="X470" s="136" t="str">
        <f>tbl_IO_List[[#This Row],[Chassis]]&amp;"S"&amp;TEXT(tbl_IO_List[[#This Row],[Slot]],"00")</f>
        <v>C2S08</v>
      </c>
      <c r="Y470" s="136" t="str">
        <f>tbl_IO_List[[#This Row],[Chassis]]&amp;"S"&amp;TEXT(tbl_IO_List[[#This Row],[Slot]],"00")&amp;tbl_IO_List[[#This Row],[I/O Type]]&amp;TEXT(tbl_IO_List[[#This Row],[Point]],"00")</f>
        <v>C2S08DO15</v>
      </c>
      <c r="Z470" s="136" t="str">
        <f>tbl_IO_List[[#This Row],[Chassis]]&amp;"S"&amp;TEXT(tbl_IO_List[[#This Row],[Slot]],"00")&amp;","&amp;TEXT(tbl_IO_List[[#This Row],[Point]],"00")</f>
        <v>C2S08,15</v>
      </c>
      <c r="AA470" s="136" t="str">
        <f>VLOOKUP(tbl_IO_List[[#This Row],[Column23]],tbl_RackConfig[],5,FALSE) &amp;"-"&amp;tbl_IO_List[[#This Row],[Point]]</f>
        <v>1756-OB32-15</v>
      </c>
      <c r="AB470" s="136"/>
      <c r="AC470" s="136"/>
      <c r="AD470" s="136" t="str">
        <f>tbl_IO_List[[#This Row],[I/O Type]]</f>
        <v>DO</v>
      </c>
      <c r="AE470" s="136" t="s">
        <v>1333</v>
      </c>
      <c r="AF470" s="136">
        <v>8</v>
      </c>
      <c r="AG470" s="136">
        <v>15</v>
      </c>
      <c r="AH470" s="136">
        <v>16</v>
      </c>
      <c r="AI470" s="136">
        <v>16</v>
      </c>
      <c r="AJ470" s="136">
        <v>0</v>
      </c>
      <c r="AK470" s="136">
        <v>1</v>
      </c>
      <c r="AL470" s="136">
        <v>0</v>
      </c>
      <c r="AM470" s="136">
        <v>0</v>
      </c>
      <c r="AN470" s="136">
        <v>0</v>
      </c>
      <c r="AO470" s="136"/>
      <c r="AP470" s="143" t="e">
        <f>VLOOKUP(tbl_IO_List[[#This Row],[Instruement Tag]],tbl_Instruement_List[],14,FALSE)</f>
        <v>#N/A</v>
      </c>
      <c r="AQ470" s="143" t="str">
        <f>tbl_IO_List[[#This Row],[Chassis]]&amp;"S"&amp;tbl_IO_List[[#This Row],[Slot]]&amp;"-"&amp;tbl_IO_List[[#This Row],[Front Terminal Number]]</f>
        <v>C2S8-16</v>
      </c>
      <c r="AR470" s="141" t="s">
        <v>1868</v>
      </c>
      <c r="AS470" s="136" t="str">
        <f>tbl_IO_List[[#This Row],[Terminal Tagging]]&amp;"-"&amp;tbl_IO_List[[#This Row],[Point-Count]]</f>
        <v>P2-TBRL3-16</v>
      </c>
      <c r="AT470" s="136" t="str">
        <f>tbl_IO_List[[#This Row],[Front Terminal Tagging]]&amp;"/"&amp;tbl_IO_List[[#This Row],[Terminal Tagging-Item]]</f>
        <v>C2S8-16/P2-TBRL3-16</v>
      </c>
      <c r="AU470" s="136" t="str">
        <f>tbl_IO_List[[#This Row],[Terminal Tagging-Item]]&amp;"/"&amp;tbl_IO_List[[#This Row],[Front Terminal Tagging]]</f>
        <v>P2-TBRL3-16/C2S8-16</v>
      </c>
    </row>
    <row r="471" spans="1:47">
      <c r="A471" s="147" t="s">
        <v>1367</v>
      </c>
      <c r="B471" s="136" t="s">
        <v>270</v>
      </c>
      <c r="C471" s="136" t="str">
        <f>tbl_IO_List[[#This Row],[Column3]]</f>
        <v>C2S08,16</v>
      </c>
      <c r="D471" s="136" t="str">
        <f>tbl_IO_List[[#This Row],[Card]]</f>
        <v>1756-OB32-16</v>
      </c>
      <c r="E471" s="136" t="s">
        <v>1372</v>
      </c>
      <c r="F471" s="136" t="str">
        <f>tbl_IO_List[[#This Row],[Column23]]&amp;"-" &amp;tbl_IO_List[[#This Row],[Column52]]</f>
        <v>C2S08-X2</v>
      </c>
      <c r="G471" s="136" t="str">
        <f>tbl_IO_List[[#This Row],[PLC_Tag]]</f>
        <v>Spare_DO_0</v>
      </c>
      <c r="H471" s="136"/>
      <c r="I471" s="136" t="str">
        <f>VLOOKUP(tbl_IO_List[[#This Row],[Destination]],tbl_Junction[],2,FALSE)</f>
        <v>Spray Dryer 7th Floor</v>
      </c>
      <c r="J471" s="136"/>
      <c r="K471" s="136"/>
      <c r="L471" s="136" t="s">
        <v>411</v>
      </c>
      <c r="M471" s="136" t="e">
        <f>VLOOKUP(tbl_IO_List[[#This Row],[Instruement Tag]],tbl_Instruement_List[],2,FALSE)</f>
        <v>#N/A</v>
      </c>
      <c r="N471" s="136"/>
      <c r="O471" s="136"/>
      <c r="P471" s="136"/>
      <c r="Q471" s="136" t="e">
        <f>VLOOKUP(tbl_IO_List[[#This Row],[Instruement Tag]],tbl_Instruement_List[],6,FALSE)</f>
        <v>#N/A</v>
      </c>
      <c r="R471" s="136"/>
      <c r="S47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471" s="136" t="str">
        <f>tbl_IO_List[[#This Row],[Instruement Tag]]&amp;"_"&amp;tbl_IO_List[[#This Row],[I/O Type]]&amp;"_"&amp;tbl_IO_List[[#This Row],[IO-Point 
(Instruement)]]</f>
        <v>Spare_DO_0</v>
      </c>
      <c r="U471" s="136" t="s">
        <v>7</v>
      </c>
      <c r="V471" s="136">
        <f>VLOOKUP(tbl_IO_List[[#This Row],[I/O Type]],tbl_Slot_Group[],2,FALSE)</f>
        <v>2</v>
      </c>
      <c r="W471" s="136">
        <v>0</v>
      </c>
      <c r="X471" s="136" t="str">
        <f>tbl_IO_List[[#This Row],[Chassis]]&amp;"S"&amp;TEXT(tbl_IO_List[[#This Row],[Slot]],"00")</f>
        <v>C2S08</v>
      </c>
      <c r="Y471" s="136" t="str">
        <f>tbl_IO_List[[#This Row],[Chassis]]&amp;"S"&amp;TEXT(tbl_IO_List[[#This Row],[Slot]],"00")&amp;tbl_IO_List[[#This Row],[I/O Type]]&amp;TEXT(tbl_IO_List[[#This Row],[Point]],"00")</f>
        <v>C2S08DO16</v>
      </c>
      <c r="Z471" s="136" t="str">
        <f>tbl_IO_List[[#This Row],[Chassis]]&amp;"S"&amp;TEXT(tbl_IO_List[[#This Row],[Slot]],"00")&amp;","&amp;TEXT(tbl_IO_List[[#This Row],[Point]],"00")</f>
        <v>C2S08,16</v>
      </c>
      <c r="AA471" s="136" t="str">
        <f>VLOOKUP(tbl_IO_List[[#This Row],[Column23]],tbl_RackConfig[],5,FALSE) &amp;"-"&amp;tbl_IO_List[[#This Row],[Point]]</f>
        <v>1756-OB32-16</v>
      </c>
      <c r="AB471" s="136"/>
      <c r="AC471" s="136"/>
      <c r="AD471" s="136" t="str">
        <f>tbl_IO_List[[#This Row],[I/O Type]]</f>
        <v>DO</v>
      </c>
      <c r="AE471" s="136" t="s">
        <v>1333</v>
      </c>
      <c r="AF471" s="136">
        <v>8</v>
      </c>
      <c r="AG471" s="136">
        <v>16</v>
      </c>
      <c r="AH471" s="136">
        <v>17</v>
      </c>
      <c r="AI471" s="136">
        <v>19</v>
      </c>
      <c r="AJ471" s="136">
        <v>0</v>
      </c>
      <c r="AK471" s="136">
        <v>1</v>
      </c>
      <c r="AL471" s="136">
        <v>0</v>
      </c>
      <c r="AM471" s="136">
        <v>0</v>
      </c>
      <c r="AN471" s="136">
        <v>0</v>
      </c>
      <c r="AO471" s="136"/>
      <c r="AP471" s="143" t="e">
        <f>VLOOKUP(tbl_IO_List[[#This Row],[Instruement Tag]],tbl_Instruement_List[],14,FALSE)</f>
        <v>#N/A</v>
      </c>
      <c r="AQ471" s="143" t="str">
        <f>tbl_IO_List[[#This Row],[Chassis]]&amp;"S"&amp;tbl_IO_List[[#This Row],[Slot]]&amp;"-"&amp;tbl_IO_List[[#This Row],[Front Terminal Number]]</f>
        <v>C2S8-19</v>
      </c>
      <c r="AR471" s="141" t="s">
        <v>1868</v>
      </c>
      <c r="AS471" s="136" t="str">
        <f>tbl_IO_List[[#This Row],[Terminal Tagging]]&amp;"-"&amp;tbl_IO_List[[#This Row],[Point-Count]]</f>
        <v>P2-TBRL3-17</v>
      </c>
      <c r="AT471" s="136" t="str">
        <f>tbl_IO_List[[#This Row],[Front Terminal Tagging]]&amp;"/"&amp;tbl_IO_List[[#This Row],[Terminal Tagging-Item]]</f>
        <v>C2S8-19/P2-TBRL3-17</v>
      </c>
      <c r="AU471" s="136" t="str">
        <f>tbl_IO_List[[#This Row],[Terminal Tagging-Item]]&amp;"/"&amp;tbl_IO_List[[#This Row],[Front Terminal Tagging]]</f>
        <v>P2-TBRL3-17/C2S8-19</v>
      </c>
    </row>
    <row r="472" spans="1:47">
      <c r="A472" s="147" t="s">
        <v>1367</v>
      </c>
      <c r="B472" s="136" t="s">
        <v>270</v>
      </c>
      <c r="C472" s="136" t="str">
        <f>tbl_IO_List[[#This Row],[Column3]]</f>
        <v>C2S08,17</v>
      </c>
      <c r="D472" s="136" t="str">
        <f>tbl_IO_List[[#This Row],[Card]]</f>
        <v>1756-OB32-17</v>
      </c>
      <c r="E472" s="136" t="s">
        <v>1372</v>
      </c>
      <c r="F472" s="136" t="str">
        <f>tbl_IO_List[[#This Row],[Column23]]&amp;"-" &amp;tbl_IO_List[[#This Row],[Column52]]</f>
        <v>C2S08-X2</v>
      </c>
      <c r="G472" s="136" t="str">
        <f>tbl_IO_List[[#This Row],[PLC_Tag]]</f>
        <v>Spare_DO_0</v>
      </c>
      <c r="H472" s="136"/>
      <c r="I472" s="136" t="str">
        <f>VLOOKUP(tbl_IO_List[[#This Row],[Destination]],tbl_Junction[],2,FALSE)</f>
        <v>Spray Dryer 7th Floor</v>
      </c>
      <c r="J472" s="136"/>
      <c r="K472" s="136"/>
      <c r="L472" s="136" t="s">
        <v>411</v>
      </c>
      <c r="M472" s="136" t="e">
        <f>VLOOKUP(tbl_IO_List[[#This Row],[Instruement Tag]],tbl_Instruement_List[],2,FALSE)</f>
        <v>#N/A</v>
      </c>
      <c r="N472" s="136"/>
      <c r="O472" s="136"/>
      <c r="P472" s="136"/>
      <c r="Q472" s="136" t="e">
        <f>VLOOKUP(tbl_IO_List[[#This Row],[Instruement Tag]],tbl_Instruement_List[],6,FALSE)</f>
        <v>#N/A</v>
      </c>
      <c r="R472" s="136"/>
      <c r="S47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472" s="136" t="str">
        <f>tbl_IO_List[[#This Row],[Instruement Tag]]&amp;"_"&amp;tbl_IO_List[[#This Row],[I/O Type]]&amp;"_"&amp;tbl_IO_List[[#This Row],[IO-Point 
(Instruement)]]</f>
        <v>Spare_DO_0</v>
      </c>
      <c r="U472" s="136" t="s">
        <v>7</v>
      </c>
      <c r="V472" s="136">
        <f>VLOOKUP(tbl_IO_List[[#This Row],[I/O Type]],tbl_Slot_Group[],2,FALSE)</f>
        <v>2</v>
      </c>
      <c r="W472" s="136">
        <v>0</v>
      </c>
      <c r="X472" s="136" t="str">
        <f>tbl_IO_List[[#This Row],[Chassis]]&amp;"S"&amp;TEXT(tbl_IO_List[[#This Row],[Slot]],"00")</f>
        <v>C2S08</v>
      </c>
      <c r="Y472" s="136" t="str">
        <f>tbl_IO_List[[#This Row],[Chassis]]&amp;"S"&amp;TEXT(tbl_IO_List[[#This Row],[Slot]],"00")&amp;tbl_IO_List[[#This Row],[I/O Type]]&amp;TEXT(tbl_IO_List[[#This Row],[Point]],"00")</f>
        <v>C2S08DO17</v>
      </c>
      <c r="Z472" s="136" t="str">
        <f>tbl_IO_List[[#This Row],[Chassis]]&amp;"S"&amp;TEXT(tbl_IO_List[[#This Row],[Slot]],"00")&amp;","&amp;TEXT(tbl_IO_List[[#This Row],[Point]],"00")</f>
        <v>C2S08,17</v>
      </c>
      <c r="AA472" s="136" t="str">
        <f>VLOOKUP(tbl_IO_List[[#This Row],[Column23]],tbl_RackConfig[],5,FALSE) &amp;"-"&amp;tbl_IO_List[[#This Row],[Point]]</f>
        <v>1756-OB32-17</v>
      </c>
      <c r="AB472" s="136"/>
      <c r="AC472" s="136"/>
      <c r="AD472" s="136" t="str">
        <f>tbl_IO_List[[#This Row],[I/O Type]]</f>
        <v>DO</v>
      </c>
      <c r="AE472" s="136" t="s">
        <v>1333</v>
      </c>
      <c r="AF472" s="136">
        <v>8</v>
      </c>
      <c r="AG472" s="136">
        <v>17</v>
      </c>
      <c r="AH472" s="136">
        <v>18</v>
      </c>
      <c r="AI472" s="136">
        <v>20</v>
      </c>
      <c r="AJ472" s="136">
        <v>0</v>
      </c>
      <c r="AK472" s="136">
        <v>1</v>
      </c>
      <c r="AL472" s="136">
        <v>0</v>
      </c>
      <c r="AM472" s="136">
        <v>0</v>
      </c>
      <c r="AN472" s="136">
        <v>0</v>
      </c>
      <c r="AO472" s="136"/>
      <c r="AP472" s="143" t="e">
        <f>VLOOKUP(tbl_IO_List[[#This Row],[Instruement Tag]],tbl_Instruement_List[],14,FALSE)</f>
        <v>#N/A</v>
      </c>
      <c r="AQ472" s="143" t="str">
        <f>tbl_IO_List[[#This Row],[Chassis]]&amp;"S"&amp;tbl_IO_List[[#This Row],[Slot]]&amp;"-"&amp;tbl_IO_List[[#This Row],[Front Terminal Number]]</f>
        <v>C2S8-20</v>
      </c>
      <c r="AR472" s="141" t="s">
        <v>1868</v>
      </c>
      <c r="AS472" s="136" t="str">
        <f>tbl_IO_List[[#This Row],[Terminal Tagging]]&amp;"-"&amp;tbl_IO_List[[#This Row],[Point-Count]]</f>
        <v>P2-TBRL3-18</v>
      </c>
      <c r="AT472" s="136" t="str">
        <f>tbl_IO_List[[#This Row],[Front Terminal Tagging]]&amp;"/"&amp;tbl_IO_List[[#This Row],[Terminal Tagging-Item]]</f>
        <v>C2S8-20/P2-TBRL3-18</v>
      </c>
      <c r="AU472" s="136" t="str">
        <f>tbl_IO_List[[#This Row],[Terminal Tagging-Item]]&amp;"/"&amp;tbl_IO_List[[#This Row],[Front Terminal Tagging]]</f>
        <v>P2-TBRL3-18/C2S8-20</v>
      </c>
    </row>
    <row r="473" spans="1:47">
      <c r="A473" s="147" t="s">
        <v>1367</v>
      </c>
      <c r="B473" s="136" t="s">
        <v>270</v>
      </c>
      <c r="C473" s="136" t="str">
        <f>tbl_IO_List[[#This Row],[Column3]]</f>
        <v>C2S08,18</v>
      </c>
      <c r="D473" s="136" t="str">
        <f>tbl_IO_List[[#This Row],[Card]]</f>
        <v>1756-OB32-18</v>
      </c>
      <c r="E473" s="136" t="s">
        <v>1372</v>
      </c>
      <c r="F473" s="136" t="str">
        <f>tbl_IO_List[[#This Row],[Column23]]&amp;"-" &amp;tbl_IO_List[[#This Row],[Column52]]</f>
        <v>C2S08-X2</v>
      </c>
      <c r="G473" s="136" t="str">
        <f>tbl_IO_List[[#This Row],[PLC_Tag]]</f>
        <v>Spare_DO_0</v>
      </c>
      <c r="H473" s="136"/>
      <c r="I473" s="136" t="str">
        <f>VLOOKUP(tbl_IO_List[[#This Row],[Destination]],tbl_Junction[],2,FALSE)</f>
        <v>Spray Dryer 7th Floor</v>
      </c>
      <c r="J473" s="136"/>
      <c r="K473" s="136"/>
      <c r="L473" s="136" t="s">
        <v>411</v>
      </c>
      <c r="M473" s="136" t="e">
        <f>VLOOKUP(tbl_IO_List[[#This Row],[Instruement Tag]],tbl_Instruement_List[],2,FALSE)</f>
        <v>#N/A</v>
      </c>
      <c r="N473" s="136"/>
      <c r="O473" s="136"/>
      <c r="P473" s="136"/>
      <c r="Q473" s="136" t="e">
        <f>VLOOKUP(tbl_IO_List[[#This Row],[Instruement Tag]],tbl_Instruement_List[],6,FALSE)</f>
        <v>#N/A</v>
      </c>
      <c r="R473" s="136"/>
      <c r="S47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473" s="136" t="str">
        <f>tbl_IO_List[[#This Row],[Instruement Tag]]&amp;"_"&amp;tbl_IO_List[[#This Row],[I/O Type]]&amp;"_"&amp;tbl_IO_List[[#This Row],[IO-Point 
(Instruement)]]</f>
        <v>Spare_DO_0</v>
      </c>
      <c r="U473" s="136" t="s">
        <v>7</v>
      </c>
      <c r="V473" s="136">
        <f>VLOOKUP(tbl_IO_List[[#This Row],[I/O Type]],tbl_Slot_Group[],2,FALSE)</f>
        <v>2</v>
      </c>
      <c r="W473" s="136">
        <v>0</v>
      </c>
      <c r="X473" s="136" t="str">
        <f>tbl_IO_List[[#This Row],[Chassis]]&amp;"S"&amp;TEXT(tbl_IO_List[[#This Row],[Slot]],"00")</f>
        <v>C2S08</v>
      </c>
      <c r="Y473" s="136" t="str">
        <f>tbl_IO_List[[#This Row],[Chassis]]&amp;"S"&amp;TEXT(tbl_IO_List[[#This Row],[Slot]],"00")&amp;tbl_IO_List[[#This Row],[I/O Type]]&amp;TEXT(tbl_IO_List[[#This Row],[Point]],"00")</f>
        <v>C2S08DO18</v>
      </c>
      <c r="Z473" s="136" t="str">
        <f>tbl_IO_List[[#This Row],[Chassis]]&amp;"S"&amp;TEXT(tbl_IO_List[[#This Row],[Slot]],"00")&amp;","&amp;TEXT(tbl_IO_List[[#This Row],[Point]],"00")</f>
        <v>C2S08,18</v>
      </c>
      <c r="AA473" s="136" t="str">
        <f>VLOOKUP(tbl_IO_List[[#This Row],[Column23]],tbl_RackConfig[],5,FALSE) &amp;"-"&amp;tbl_IO_List[[#This Row],[Point]]</f>
        <v>1756-OB32-18</v>
      </c>
      <c r="AB473" s="136"/>
      <c r="AC473" s="136"/>
      <c r="AD473" s="136" t="str">
        <f>tbl_IO_List[[#This Row],[I/O Type]]</f>
        <v>DO</v>
      </c>
      <c r="AE473" s="136" t="s">
        <v>1333</v>
      </c>
      <c r="AF473" s="136">
        <v>8</v>
      </c>
      <c r="AG473" s="136">
        <v>18</v>
      </c>
      <c r="AH473" s="136">
        <v>19</v>
      </c>
      <c r="AI473" s="136">
        <v>21</v>
      </c>
      <c r="AJ473" s="136">
        <v>0</v>
      </c>
      <c r="AK473" s="136">
        <v>1</v>
      </c>
      <c r="AL473" s="136">
        <v>0</v>
      </c>
      <c r="AM473" s="136">
        <v>0</v>
      </c>
      <c r="AN473" s="136">
        <v>0</v>
      </c>
      <c r="AO473" s="136"/>
      <c r="AP473" s="143" t="e">
        <f>VLOOKUP(tbl_IO_List[[#This Row],[Instruement Tag]],tbl_Instruement_List[],14,FALSE)</f>
        <v>#N/A</v>
      </c>
      <c r="AQ473" s="143" t="str">
        <f>tbl_IO_List[[#This Row],[Chassis]]&amp;"S"&amp;tbl_IO_List[[#This Row],[Slot]]&amp;"-"&amp;tbl_IO_List[[#This Row],[Front Terminal Number]]</f>
        <v>C2S8-21</v>
      </c>
      <c r="AR473" s="141" t="s">
        <v>1868</v>
      </c>
      <c r="AS473" s="136" t="str">
        <f>tbl_IO_List[[#This Row],[Terminal Tagging]]&amp;"-"&amp;tbl_IO_List[[#This Row],[Point-Count]]</f>
        <v>P2-TBRL3-19</v>
      </c>
      <c r="AT473" s="136" t="str">
        <f>tbl_IO_List[[#This Row],[Front Terminal Tagging]]&amp;"/"&amp;tbl_IO_List[[#This Row],[Terminal Tagging-Item]]</f>
        <v>C2S8-21/P2-TBRL3-19</v>
      </c>
      <c r="AU473" s="136" t="str">
        <f>tbl_IO_List[[#This Row],[Terminal Tagging-Item]]&amp;"/"&amp;tbl_IO_List[[#This Row],[Front Terminal Tagging]]</f>
        <v>P2-TBRL3-19/C2S8-21</v>
      </c>
    </row>
    <row r="474" spans="1:47">
      <c r="A474" s="147" t="s">
        <v>1367</v>
      </c>
      <c r="B474" s="136" t="s">
        <v>270</v>
      </c>
      <c r="C474" s="136" t="str">
        <f>tbl_IO_List[[#This Row],[Column3]]</f>
        <v>C2S08,19</v>
      </c>
      <c r="D474" s="136" t="str">
        <f>tbl_IO_List[[#This Row],[Card]]</f>
        <v>1756-OB32-19</v>
      </c>
      <c r="E474" s="136" t="s">
        <v>1372</v>
      </c>
      <c r="F474" s="136" t="str">
        <f>tbl_IO_List[[#This Row],[Column23]]&amp;"-" &amp;tbl_IO_List[[#This Row],[Column52]]</f>
        <v>C2S08-X2</v>
      </c>
      <c r="G474" s="136" t="str">
        <f>tbl_IO_List[[#This Row],[PLC_Tag]]</f>
        <v>Spare_DO_0</v>
      </c>
      <c r="H474" s="136"/>
      <c r="I474" s="136" t="str">
        <f>VLOOKUP(tbl_IO_List[[#This Row],[Destination]],tbl_Junction[],2,FALSE)</f>
        <v>Spray Dryer 7th Floor</v>
      </c>
      <c r="J474" s="136"/>
      <c r="K474" s="136"/>
      <c r="L474" s="136" t="s">
        <v>411</v>
      </c>
      <c r="M474" s="136" t="e">
        <f>VLOOKUP(tbl_IO_List[[#This Row],[Instruement Tag]],tbl_Instruement_List[],2,FALSE)</f>
        <v>#N/A</v>
      </c>
      <c r="N474" s="136"/>
      <c r="O474" s="136"/>
      <c r="P474" s="136"/>
      <c r="Q474" s="136" t="e">
        <f>VLOOKUP(tbl_IO_List[[#This Row],[Instruement Tag]],tbl_Instruement_List[],6,FALSE)</f>
        <v>#N/A</v>
      </c>
      <c r="R474" s="136"/>
      <c r="S47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474" s="136" t="str">
        <f>tbl_IO_List[[#This Row],[Instruement Tag]]&amp;"_"&amp;tbl_IO_List[[#This Row],[I/O Type]]&amp;"_"&amp;tbl_IO_List[[#This Row],[IO-Point 
(Instruement)]]</f>
        <v>Spare_DO_0</v>
      </c>
      <c r="U474" s="136" t="s">
        <v>7</v>
      </c>
      <c r="V474" s="136">
        <f>VLOOKUP(tbl_IO_List[[#This Row],[I/O Type]],tbl_Slot_Group[],2,FALSE)</f>
        <v>2</v>
      </c>
      <c r="W474" s="136">
        <v>0</v>
      </c>
      <c r="X474" s="136" t="str">
        <f>tbl_IO_List[[#This Row],[Chassis]]&amp;"S"&amp;TEXT(tbl_IO_List[[#This Row],[Slot]],"00")</f>
        <v>C2S08</v>
      </c>
      <c r="Y474" s="136" t="str">
        <f>tbl_IO_List[[#This Row],[Chassis]]&amp;"S"&amp;TEXT(tbl_IO_List[[#This Row],[Slot]],"00")&amp;tbl_IO_List[[#This Row],[I/O Type]]&amp;TEXT(tbl_IO_List[[#This Row],[Point]],"00")</f>
        <v>C2S08DO19</v>
      </c>
      <c r="Z474" s="136" t="str">
        <f>tbl_IO_List[[#This Row],[Chassis]]&amp;"S"&amp;TEXT(tbl_IO_List[[#This Row],[Slot]],"00")&amp;","&amp;TEXT(tbl_IO_List[[#This Row],[Point]],"00")</f>
        <v>C2S08,19</v>
      </c>
      <c r="AA474" s="136" t="str">
        <f>VLOOKUP(tbl_IO_List[[#This Row],[Column23]],tbl_RackConfig[],5,FALSE) &amp;"-"&amp;tbl_IO_List[[#This Row],[Point]]</f>
        <v>1756-OB32-19</v>
      </c>
      <c r="AB474" s="136"/>
      <c r="AC474" s="136"/>
      <c r="AD474" s="136" t="str">
        <f>tbl_IO_List[[#This Row],[I/O Type]]</f>
        <v>DO</v>
      </c>
      <c r="AE474" s="136" t="s">
        <v>1333</v>
      </c>
      <c r="AF474" s="136">
        <v>8</v>
      </c>
      <c r="AG474" s="136">
        <v>19</v>
      </c>
      <c r="AH474" s="136">
        <v>20</v>
      </c>
      <c r="AI474" s="136">
        <v>22</v>
      </c>
      <c r="AJ474" s="136">
        <v>0</v>
      </c>
      <c r="AK474" s="136">
        <v>1</v>
      </c>
      <c r="AL474" s="136">
        <v>0</v>
      </c>
      <c r="AM474" s="136">
        <v>0</v>
      </c>
      <c r="AN474" s="136">
        <v>0</v>
      </c>
      <c r="AO474" s="136"/>
      <c r="AP474" s="143" t="e">
        <f>VLOOKUP(tbl_IO_List[[#This Row],[Instruement Tag]],tbl_Instruement_List[],14,FALSE)</f>
        <v>#N/A</v>
      </c>
      <c r="AQ474" s="143" t="str">
        <f>tbl_IO_List[[#This Row],[Chassis]]&amp;"S"&amp;tbl_IO_List[[#This Row],[Slot]]&amp;"-"&amp;tbl_IO_List[[#This Row],[Front Terminal Number]]</f>
        <v>C2S8-22</v>
      </c>
      <c r="AR474" s="141" t="s">
        <v>1868</v>
      </c>
      <c r="AS474" s="136" t="str">
        <f>tbl_IO_List[[#This Row],[Terminal Tagging]]&amp;"-"&amp;tbl_IO_List[[#This Row],[Point-Count]]</f>
        <v>P2-TBRL3-20</v>
      </c>
      <c r="AT474" s="136" t="str">
        <f>tbl_IO_List[[#This Row],[Front Terminal Tagging]]&amp;"/"&amp;tbl_IO_List[[#This Row],[Terminal Tagging-Item]]</f>
        <v>C2S8-22/P2-TBRL3-20</v>
      </c>
      <c r="AU474" s="136" t="str">
        <f>tbl_IO_List[[#This Row],[Terminal Tagging-Item]]&amp;"/"&amp;tbl_IO_List[[#This Row],[Front Terminal Tagging]]</f>
        <v>P2-TBRL3-20/C2S8-22</v>
      </c>
    </row>
    <row r="475" spans="1:47">
      <c r="A475" s="147" t="s">
        <v>1367</v>
      </c>
      <c r="B475" s="136" t="s">
        <v>270</v>
      </c>
      <c r="C475" s="136" t="str">
        <f>tbl_IO_List[[#This Row],[Column3]]</f>
        <v>C2S08,20</v>
      </c>
      <c r="D475" s="136" t="str">
        <f>tbl_IO_List[[#This Row],[Card]]</f>
        <v>1756-OB32-20</v>
      </c>
      <c r="E475" s="136" t="s">
        <v>1372</v>
      </c>
      <c r="F475" s="136" t="str">
        <f>tbl_IO_List[[#This Row],[Column23]]&amp;"-" &amp;tbl_IO_List[[#This Row],[Column52]]</f>
        <v>C2S08-X2</v>
      </c>
      <c r="G475" s="136" t="str">
        <f>tbl_IO_List[[#This Row],[PLC_Tag]]</f>
        <v>Spare_DO_0</v>
      </c>
      <c r="H475" s="136"/>
      <c r="I475" s="136" t="str">
        <f>VLOOKUP(tbl_IO_List[[#This Row],[Destination]],tbl_Junction[],2,FALSE)</f>
        <v>Spray Dryer 7th Floor</v>
      </c>
      <c r="J475" s="136"/>
      <c r="K475" s="136"/>
      <c r="L475" s="136" t="s">
        <v>411</v>
      </c>
      <c r="M475" s="136" t="e">
        <f>VLOOKUP(tbl_IO_List[[#This Row],[Instruement Tag]],tbl_Instruement_List[],2,FALSE)</f>
        <v>#N/A</v>
      </c>
      <c r="N475" s="136"/>
      <c r="O475" s="136"/>
      <c r="P475" s="136"/>
      <c r="Q475" s="136" t="e">
        <f>VLOOKUP(tbl_IO_List[[#This Row],[Instruement Tag]],tbl_Instruement_List[],6,FALSE)</f>
        <v>#N/A</v>
      </c>
      <c r="R475" s="136"/>
      <c r="S47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475" s="136" t="str">
        <f>tbl_IO_List[[#This Row],[Instruement Tag]]&amp;"_"&amp;tbl_IO_List[[#This Row],[I/O Type]]&amp;"_"&amp;tbl_IO_List[[#This Row],[IO-Point 
(Instruement)]]</f>
        <v>Spare_DO_0</v>
      </c>
      <c r="U475" s="136" t="s">
        <v>7</v>
      </c>
      <c r="V475" s="136">
        <f>VLOOKUP(tbl_IO_List[[#This Row],[I/O Type]],tbl_Slot_Group[],2,FALSE)</f>
        <v>2</v>
      </c>
      <c r="W475" s="136">
        <v>0</v>
      </c>
      <c r="X475" s="136" t="str">
        <f>tbl_IO_List[[#This Row],[Chassis]]&amp;"S"&amp;TEXT(tbl_IO_List[[#This Row],[Slot]],"00")</f>
        <v>C2S08</v>
      </c>
      <c r="Y475" s="136" t="str">
        <f>tbl_IO_List[[#This Row],[Chassis]]&amp;"S"&amp;TEXT(tbl_IO_List[[#This Row],[Slot]],"00")&amp;tbl_IO_List[[#This Row],[I/O Type]]&amp;TEXT(tbl_IO_List[[#This Row],[Point]],"00")</f>
        <v>C2S08DO20</v>
      </c>
      <c r="Z475" s="136" t="str">
        <f>tbl_IO_List[[#This Row],[Chassis]]&amp;"S"&amp;TEXT(tbl_IO_List[[#This Row],[Slot]],"00")&amp;","&amp;TEXT(tbl_IO_List[[#This Row],[Point]],"00")</f>
        <v>C2S08,20</v>
      </c>
      <c r="AA475" s="136" t="str">
        <f>VLOOKUP(tbl_IO_List[[#This Row],[Column23]],tbl_RackConfig[],5,FALSE) &amp;"-"&amp;tbl_IO_List[[#This Row],[Point]]</f>
        <v>1756-OB32-20</v>
      </c>
      <c r="AB475" s="136"/>
      <c r="AC475" s="136"/>
      <c r="AD475" s="136" t="str">
        <f>tbl_IO_List[[#This Row],[I/O Type]]</f>
        <v>DO</v>
      </c>
      <c r="AE475" s="136" t="s">
        <v>1333</v>
      </c>
      <c r="AF475" s="136">
        <v>8</v>
      </c>
      <c r="AG475" s="136">
        <v>20</v>
      </c>
      <c r="AH475" s="136">
        <v>21</v>
      </c>
      <c r="AI475" s="136">
        <v>23</v>
      </c>
      <c r="AJ475" s="136">
        <v>0</v>
      </c>
      <c r="AK475" s="136">
        <v>1</v>
      </c>
      <c r="AL475" s="136">
        <v>0</v>
      </c>
      <c r="AM475" s="136">
        <v>0</v>
      </c>
      <c r="AN475" s="136">
        <v>0</v>
      </c>
      <c r="AO475" s="136"/>
      <c r="AP475" s="143" t="e">
        <f>VLOOKUP(tbl_IO_List[[#This Row],[Instruement Tag]],tbl_Instruement_List[],14,FALSE)</f>
        <v>#N/A</v>
      </c>
      <c r="AQ475" s="143" t="str">
        <f>tbl_IO_List[[#This Row],[Chassis]]&amp;"S"&amp;tbl_IO_List[[#This Row],[Slot]]&amp;"-"&amp;tbl_IO_List[[#This Row],[Front Terminal Number]]</f>
        <v>C2S8-23</v>
      </c>
      <c r="AR475" s="141" t="s">
        <v>1868</v>
      </c>
      <c r="AS475" s="136" t="str">
        <f>tbl_IO_List[[#This Row],[Terminal Tagging]]&amp;"-"&amp;tbl_IO_List[[#This Row],[Point-Count]]</f>
        <v>P2-TBRL3-21</v>
      </c>
      <c r="AT475" s="136" t="str">
        <f>tbl_IO_List[[#This Row],[Front Terminal Tagging]]&amp;"/"&amp;tbl_IO_List[[#This Row],[Terminal Tagging-Item]]</f>
        <v>C2S8-23/P2-TBRL3-21</v>
      </c>
      <c r="AU475" s="136" t="str">
        <f>tbl_IO_List[[#This Row],[Terminal Tagging-Item]]&amp;"/"&amp;tbl_IO_List[[#This Row],[Front Terminal Tagging]]</f>
        <v>P2-TBRL3-21/C2S8-23</v>
      </c>
    </row>
    <row r="476" spans="1:47">
      <c r="A476" s="147" t="s">
        <v>1367</v>
      </c>
      <c r="B476" s="136" t="s">
        <v>270</v>
      </c>
      <c r="C476" s="136" t="str">
        <f>tbl_IO_List[[#This Row],[Column3]]</f>
        <v>C2S08,21</v>
      </c>
      <c r="D476" s="136" t="str">
        <f>tbl_IO_List[[#This Row],[Card]]</f>
        <v>1756-OB32-21</v>
      </c>
      <c r="E476" s="136" t="s">
        <v>1372</v>
      </c>
      <c r="F476" s="136" t="str">
        <f>tbl_IO_List[[#This Row],[Column23]]&amp;"-" &amp;tbl_IO_List[[#This Row],[Column52]]</f>
        <v>C2S08-X2</v>
      </c>
      <c r="G476" s="136" t="str">
        <f>tbl_IO_List[[#This Row],[PLC_Tag]]</f>
        <v>Spare_DO_0</v>
      </c>
      <c r="H476" s="136"/>
      <c r="I476" s="136" t="str">
        <f>VLOOKUP(tbl_IO_List[[#This Row],[Destination]],tbl_Junction[],2,FALSE)</f>
        <v>Spray Dryer 7th Floor</v>
      </c>
      <c r="J476" s="136"/>
      <c r="K476" s="136"/>
      <c r="L476" s="136" t="s">
        <v>411</v>
      </c>
      <c r="M476" s="136" t="e">
        <f>VLOOKUP(tbl_IO_List[[#This Row],[Instruement Tag]],tbl_Instruement_List[],2,FALSE)</f>
        <v>#N/A</v>
      </c>
      <c r="N476" s="136"/>
      <c r="O476" s="136"/>
      <c r="P476" s="136"/>
      <c r="Q476" s="136" t="e">
        <f>VLOOKUP(tbl_IO_List[[#This Row],[Instruement Tag]],tbl_Instruement_List[],6,FALSE)</f>
        <v>#N/A</v>
      </c>
      <c r="R476" s="136"/>
      <c r="S47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476" s="136" t="str">
        <f>tbl_IO_List[[#This Row],[Instruement Tag]]&amp;"_"&amp;tbl_IO_List[[#This Row],[I/O Type]]&amp;"_"&amp;tbl_IO_List[[#This Row],[IO-Point 
(Instruement)]]</f>
        <v>Spare_DO_0</v>
      </c>
      <c r="U476" s="136" t="s">
        <v>7</v>
      </c>
      <c r="V476" s="136">
        <f>VLOOKUP(tbl_IO_List[[#This Row],[I/O Type]],tbl_Slot_Group[],2,FALSE)</f>
        <v>2</v>
      </c>
      <c r="W476" s="136">
        <v>0</v>
      </c>
      <c r="X476" s="136" t="str">
        <f>tbl_IO_List[[#This Row],[Chassis]]&amp;"S"&amp;TEXT(tbl_IO_List[[#This Row],[Slot]],"00")</f>
        <v>C2S08</v>
      </c>
      <c r="Y476" s="136" t="str">
        <f>tbl_IO_List[[#This Row],[Chassis]]&amp;"S"&amp;TEXT(tbl_IO_List[[#This Row],[Slot]],"00")&amp;tbl_IO_List[[#This Row],[I/O Type]]&amp;TEXT(tbl_IO_List[[#This Row],[Point]],"00")</f>
        <v>C2S08DO21</v>
      </c>
      <c r="Z476" s="136" t="str">
        <f>tbl_IO_List[[#This Row],[Chassis]]&amp;"S"&amp;TEXT(tbl_IO_List[[#This Row],[Slot]],"00")&amp;","&amp;TEXT(tbl_IO_List[[#This Row],[Point]],"00")</f>
        <v>C2S08,21</v>
      </c>
      <c r="AA476" s="136" t="str">
        <f>VLOOKUP(tbl_IO_List[[#This Row],[Column23]],tbl_RackConfig[],5,FALSE) &amp;"-"&amp;tbl_IO_List[[#This Row],[Point]]</f>
        <v>1756-OB32-21</v>
      </c>
      <c r="AB476" s="136"/>
      <c r="AC476" s="136"/>
      <c r="AD476" s="136" t="str">
        <f>tbl_IO_List[[#This Row],[I/O Type]]</f>
        <v>DO</v>
      </c>
      <c r="AE476" s="136" t="s">
        <v>1333</v>
      </c>
      <c r="AF476" s="136">
        <v>8</v>
      </c>
      <c r="AG476" s="136">
        <v>21</v>
      </c>
      <c r="AH476" s="136">
        <v>22</v>
      </c>
      <c r="AI476" s="136">
        <v>24</v>
      </c>
      <c r="AJ476" s="136">
        <v>0</v>
      </c>
      <c r="AK476" s="136">
        <v>1</v>
      </c>
      <c r="AL476" s="136">
        <v>0</v>
      </c>
      <c r="AM476" s="136">
        <v>0</v>
      </c>
      <c r="AN476" s="136">
        <v>0</v>
      </c>
      <c r="AO476" s="136"/>
      <c r="AP476" s="143" t="e">
        <f>VLOOKUP(tbl_IO_List[[#This Row],[Instruement Tag]],tbl_Instruement_List[],14,FALSE)</f>
        <v>#N/A</v>
      </c>
      <c r="AQ476" s="143" t="str">
        <f>tbl_IO_List[[#This Row],[Chassis]]&amp;"S"&amp;tbl_IO_List[[#This Row],[Slot]]&amp;"-"&amp;tbl_IO_List[[#This Row],[Front Terminal Number]]</f>
        <v>C2S8-24</v>
      </c>
      <c r="AR476" s="141" t="s">
        <v>1868</v>
      </c>
      <c r="AS476" s="136" t="str">
        <f>tbl_IO_List[[#This Row],[Terminal Tagging]]&amp;"-"&amp;tbl_IO_List[[#This Row],[Point-Count]]</f>
        <v>P2-TBRL3-22</v>
      </c>
      <c r="AT476" s="136" t="str">
        <f>tbl_IO_List[[#This Row],[Front Terminal Tagging]]&amp;"/"&amp;tbl_IO_List[[#This Row],[Terminal Tagging-Item]]</f>
        <v>C2S8-24/P2-TBRL3-22</v>
      </c>
      <c r="AU476" s="136" t="str">
        <f>tbl_IO_List[[#This Row],[Terminal Tagging-Item]]&amp;"/"&amp;tbl_IO_List[[#This Row],[Front Terminal Tagging]]</f>
        <v>P2-TBRL3-22/C2S8-24</v>
      </c>
    </row>
    <row r="477" spans="1:47">
      <c r="A477" s="147" t="s">
        <v>1367</v>
      </c>
      <c r="B477" s="136" t="s">
        <v>270</v>
      </c>
      <c r="C477" s="136" t="str">
        <f>tbl_IO_List[[#This Row],[Column3]]</f>
        <v>C2S08,22</v>
      </c>
      <c r="D477" s="136" t="str">
        <f>tbl_IO_List[[#This Row],[Card]]</f>
        <v>1756-OB32-22</v>
      </c>
      <c r="E477" s="136" t="s">
        <v>1372</v>
      </c>
      <c r="F477" s="136" t="str">
        <f>tbl_IO_List[[#This Row],[Column23]]&amp;"-" &amp;tbl_IO_List[[#This Row],[Column52]]</f>
        <v>C2S08-X2</v>
      </c>
      <c r="G477" s="136" t="str">
        <f>tbl_IO_List[[#This Row],[PLC_Tag]]</f>
        <v>Spare_DO_0</v>
      </c>
      <c r="H477" s="136"/>
      <c r="I477" s="136" t="str">
        <f>VLOOKUP(tbl_IO_List[[#This Row],[Destination]],tbl_Junction[],2,FALSE)</f>
        <v>Spray Dryer 7th Floor</v>
      </c>
      <c r="J477" s="136"/>
      <c r="K477" s="136"/>
      <c r="L477" s="136" t="s">
        <v>411</v>
      </c>
      <c r="M477" s="136" t="e">
        <f>VLOOKUP(tbl_IO_List[[#This Row],[Instruement Tag]],tbl_Instruement_List[],2,FALSE)</f>
        <v>#N/A</v>
      </c>
      <c r="N477" s="136"/>
      <c r="O477" s="136"/>
      <c r="P477" s="136"/>
      <c r="Q477" s="136" t="e">
        <f>VLOOKUP(tbl_IO_List[[#This Row],[Instruement Tag]],tbl_Instruement_List[],6,FALSE)</f>
        <v>#N/A</v>
      </c>
      <c r="R477" s="136"/>
      <c r="S47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477" s="136" t="str">
        <f>tbl_IO_List[[#This Row],[Instruement Tag]]&amp;"_"&amp;tbl_IO_List[[#This Row],[I/O Type]]&amp;"_"&amp;tbl_IO_List[[#This Row],[IO-Point 
(Instruement)]]</f>
        <v>Spare_DO_0</v>
      </c>
      <c r="U477" s="136" t="s">
        <v>7</v>
      </c>
      <c r="V477" s="136">
        <f>VLOOKUP(tbl_IO_List[[#This Row],[I/O Type]],tbl_Slot_Group[],2,FALSE)</f>
        <v>2</v>
      </c>
      <c r="W477" s="136">
        <v>0</v>
      </c>
      <c r="X477" s="136" t="str">
        <f>tbl_IO_List[[#This Row],[Chassis]]&amp;"S"&amp;TEXT(tbl_IO_List[[#This Row],[Slot]],"00")</f>
        <v>C2S08</v>
      </c>
      <c r="Y477" s="136" t="str">
        <f>tbl_IO_List[[#This Row],[Chassis]]&amp;"S"&amp;TEXT(tbl_IO_List[[#This Row],[Slot]],"00")&amp;tbl_IO_List[[#This Row],[I/O Type]]&amp;TEXT(tbl_IO_List[[#This Row],[Point]],"00")</f>
        <v>C2S08DO22</v>
      </c>
      <c r="Z477" s="136" t="str">
        <f>tbl_IO_List[[#This Row],[Chassis]]&amp;"S"&amp;TEXT(tbl_IO_List[[#This Row],[Slot]],"00")&amp;","&amp;TEXT(tbl_IO_List[[#This Row],[Point]],"00")</f>
        <v>C2S08,22</v>
      </c>
      <c r="AA477" s="136" t="str">
        <f>VLOOKUP(tbl_IO_List[[#This Row],[Column23]],tbl_RackConfig[],5,FALSE) &amp;"-"&amp;tbl_IO_List[[#This Row],[Point]]</f>
        <v>1756-OB32-22</v>
      </c>
      <c r="AB477" s="136"/>
      <c r="AC477" s="136"/>
      <c r="AD477" s="136" t="str">
        <f>tbl_IO_List[[#This Row],[I/O Type]]</f>
        <v>DO</v>
      </c>
      <c r="AE477" s="136" t="s">
        <v>1333</v>
      </c>
      <c r="AF477" s="136">
        <v>8</v>
      </c>
      <c r="AG477" s="136">
        <v>22</v>
      </c>
      <c r="AH477" s="136">
        <v>23</v>
      </c>
      <c r="AI477" s="136">
        <v>25</v>
      </c>
      <c r="AJ477" s="136">
        <v>0</v>
      </c>
      <c r="AK477" s="136">
        <v>1</v>
      </c>
      <c r="AL477" s="136">
        <v>0</v>
      </c>
      <c r="AM477" s="136">
        <v>0</v>
      </c>
      <c r="AN477" s="136">
        <v>0</v>
      </c>
      <c r="AO477" s="136"/>
      <c r="AP477" s="143" t="e">
        <f>VLOOKUP(tbl_IO_List[[#This Row],[Instruement Tag]],tbl_Instruement_List[],14,FALSE)</f>
        <v>#N/A</v>
      </c>
      <c r="AQ477" s="143" t="str">
        <f>tbl_IO_List[[#This Row],[Chassis]]&amp;"S"&amp;tbl_IO_List[[#This Row],[Slot]]&amp;"-"&amp;tbl_IO_List[[#This Row],[Front Terminal Number]]</f>
        <v>C2S8-25</v>
      </c>
      <c r="AR477" s="141" t="s">
        <v>1868</v>
      </c>
      <c r="AS477" s="136" t="str">
        <f>tbl_IO_List[[#This Row],[Terminal Tagging]]&amp;"-"&amp;tbl_IO_List[[#This Row],[Point-Count]]</f>
        <v>P2-TBRL3-23</v>
      </c>
      <c r="AT477" s="136" t="str">
        <f>tbl_IO_List[[#This Row],[Front Terminal Tagging]]&amp;"/"&amp;tbl_IO_List[[#This Row],[Terminal Tagging-Item]]</f>
        <v>C2S8-25/P2-TBRL3-23</v>
      </c>
      <c r="AU477" s="136" t="str">
        <f>tbl_IO_List[[#This Row],[Terminal Tagging-Item]]&amp;"/"&amp;tbl_IO_List[[#This Row],[Front Terminal Tagging]]</f>
        <v>P2-TBRL3-23/C2S8-25</v>
      </c>
    </row>
    <row r="478" spans="1:47">
      <c r="A478" s="147" t="s">
        <v>1367</v>
      </c>
      <c r="B478" s="136" t="s">
        <v>270</v>
      </c>
      <c r="C478" s="136" t="str">
        <f>tbl_IO_List[[#This Row],[Column3]]</f>
        <v>C2S08,23</v>
      </c>
      <c r="D478" s="136" t="str">
        <f>tbl_IO_List[[#This Row],[Card]]</f>
        <v>1756-OB32-23</v>
      </c>
      <c r="E478" s="136" t="s">
        <v>1372</v>
      </c>
      <c r="F478" s="136" t="str">
        <f>tbl_IO_List[[#This Row],[Column23]]&amp;"-" &amp;tbl_IO_List[[#This Row],[Column52]]</f>
        <v>C2S08-X2</v>
      </c>
      <c r="G478" s="136" t="str">
        <f>tbl_IO_List[[#This Row],[PLC_Tag]]</f>
        <v>Spare_DO_0</v>
      </c>
      <c r="H478" s="136"/>
      <c r="I478" s="136" t="str">
        <f>VLOOKUP(tbl_IO_List[[#This Row],[Destination]],tbl_Junction[],2,FALSE)</f>
        <v>Spray Dryer 7th Floor</v>
      </c>
      <c r="J478" s="136"/>
      <c r="K478" s="136"/>
      <c r="L478" s="136" t="s">
        <v>411</v>
      </c>
      <c r="M478" s="136" t="e">
        <f>VLOOKUP(tbl_IO_List[[#This Row],[Instruement Tag]],tbl_Instruement_List[],2,FALSE)</f>
        <v>#N/A</v>
      </c>
      <c r="N478" s="136"/>
      <c r="O478" s="136"/>
      <c r="P478" s="136"/>
      <c r="Q478" s="136" t="e">
        <f>VLOOKUP(tbl_IO_List[[#This Row],[Instruement Tag]],tbl_Instruement_List[],6,FALSE)</f>
        <v>#N/A</v>
      </c>
      <c r="R478" s="136"/>
      <c r="S47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478" s="136" t="str">
        <f>tbl_IO_List[[#This Row],[Instruement Tag]]&amp;"_"&amp;tbl_IO_List[[#This Row],[I/O Type]]&amp;"_"&amp;tbl_IO_List[[#This Row],[IO-Point 
(Instruement)]]</f>
        <v>Spare_DO_0</v>
      </c>
      <c r="U478" s="136" t="s">
        <v>7</v>
      </c>
      <c r="V478" s="136">
        <f>VLOOKUP(tbl_IO_List[[#This Row],[I/O Type]],tbl_Slot_Group[],2,FALSE)</f>
        <v>2</v>
      </c>
      <c r="W478" s="136">
        <v>0</v>
      </c>
      <c r="X478" s="136" t="str">
        <f>tbl_IO_List[[#This Row],[Chassis]]&amp;"S"&amp;TEXT(tbl_IO_List[[#This Row],[Slot]],"00")</f>
        <v>C2S08</v>
      </c>
      <c r="Y478" s="136" t="str">
        <f>tbl_IO_List[[#This Row],[Chassis]]&amp;"S"&amp;TEXT(tbl_IO_List[[#This Row],[Slot]],"00")&amp;tbl_IO_List[[#This Row],[I/O Type]]&amp;TEXT(tbl_IO_List[[#This Row],[Point]],"00")</f>
        <v>C2S08DO23</v>
      </c>
      <c r="Z478" s="136" t="str">
        <f>tbl_IO_List[[#This Row],[Chassis]]&amp;"S"&amp;TEXT(tbl_IO_List[[#This Row],[Slot]],"00")&amp;","&amp;TEXT(tbl_IO_List[[#This Row],[Point]],"00")</f>
        <v>C2S08,23</v>
      </c>
      <c r="AA478" s="136" t="str">
        <f>VLOOKUP(tbl_IO_List[[#This Row],[Column23]],tbl_RackConfig[],5,FALSE) &amp;"-"&amp;tbl_IO_List[[#This Row],[Point]]</f>
        <v>1756-OB32-23</v>
      </c>
      <c r="AB478" s="136"/>
      <c r="AC478" s="136"/>
      <c r="AD478" s="136" t="str">
        <f>tbl_IO_List[[#This Row],[I/O Type]]</f>
        <v>DO</v>
      </c>
      <c r="AE478" s="136" t="s">
        <v>1333</v>
      </c>
      <c r="AF478" s="136">
        <v>8</v>
      </c>
      <c r="AG478" s="136">
        <v>23</v>
      </c>
      <c r="AH478" s="136">
        <v>24</v>
      </c>
      <c r="AI478" s="136">
        <v>26</v>
      </c>
      <c r="AJ478" s="136">
        <v>0</v>
      </c>
      <c r="AK478" s="136">
        <v>1</v>
      </c>
      <c r="AL478" s="136">
        <v>0</v>
      </c>
      <c r="AM478" s="136">
        <v>0</v>
      </c>
      <c r="AN478" s="136">
        <v>0</v>
      </c>
      <c r="AO478" s="136"/>
      <c r="AP478" s="143" t="e">
        <f>VLOOKUP(tbl_IO_List[[#This Row],[Instruement Tag]],tbl_Instruement_List[],14,FALSE)</f>
        <v>#N/A</v>
      </c>
      <c r="AQ478" s="143" t="str">
        <f>tbl_IO_List[[#This Row],[Chassis]]&amp;"S"&amp;tbl_IO_List[[#This Row],[Slot]]&amp;"-"&amp;tbl_IO_List[[#This Row],[Front Terminal Number]]</f>
        <v>C2S8-26</v>
      </c>
      <c r="AR478" s="141" t="s">
        <v>1868</v>
      </c>
      <c r="AS478" s="136" t="str">
        <f>tbl_IO_List[[#This Row],[Terminal Tagging]]&amp;"-"&amp;tbl_IO_List[[#This Row],[Point-Count]]</f>
        <v>P2-TBRL3-24</v>
      </c>
      <c r="AT478" s="136" t="str">
        <f>tbl_IO_List[[#This Row],[Front Terminal Tagging]]&amp;"/"&amp;tbl_IO_List[[#This Row],[Terminal Tagging-Item]]</f>
        <v>C2S8-26/P2-TBRL3-24</v>
      </c>
      <c r="AU478" s="136" t="str">
        <f>tbl_IO_List[[#This Row],[Terminal Tagging-Item]]&amp;"/"&amp;tbl_IO_List[[#This Row],[Front Terminal Tagging]]</f>
        <v>P2-TBRL3-24/C2S8-26</v>
      </c>
    </row>
    <row r="479" spans="1:47">
      <c r="A479" s="147" t="s">
        <v>1367</v>
      </c>
      <c r="B479" s="136" t="s">
        <v>270</v>
      </c>
      <c r="C479" s="136" t="str">
        <f>tbl_IO_List[[#This Row],[Column3]]</f>
        <v>C2S08,24</v>
      </c>
      <c r="D479" s="136" t="str">
        <f>tbl_IO_List[[#This Row],[Card]]</f>
        <v>1756-OB32-24</v>
      </c>
      <c r="E479" s="136" t="s">
        <v>1372</v>
      </c>
      <c r="F479" s="136" t="str">
        <f>tbl_IO_List[[#This Row],[Column23]]&amp;"-" &amp;tbl_IO_List[[#This Row],[Column52]]</f>
        <v>C2S08-X2</v>
      </c>
      <c r="G479" s="136" t="str">
        <f>tbl_IO_List[[#This Row],[PLC_Tag]]</f>
        <v>Spare_DO_0</v>
      </c>
      <c r="H479" s="136"/>
      <c r="I479" s="136" t="str">
        <f>VLOOKUP(tbl_IO_List[[#This Row],[Destination]],tbl_Junction[],2,FALSE)</f>
        <v>Spray Dryer 7th Floor</v>
      </c>
      <c r="J479" s="136"/>
      <c r="K479" s="136"/>
      <c r="L479" s="136" t="s">
        <v>411</v>
      </c>
      <c r="M479" s="136" t="e">
        <f>VLOOKUP(tbl_IO_List[[#This Row],[Instruement Tag]],tbl_Instruement_List[],2,FALSE)</f>
        <v>#N/A</v>
      </c>
      <c r="N479" s="136"/>
      <c r="O479" s="136"/>
      <c r="P479" s="136"/>
      <c r="Q479" s="136" t="e">
        <f>VLOOKUP(tbl_IO_List[[#This Row],[Instruement Tag]],tbl_Instruement_List[],6,FALSE)</f>
        <v>#N/A</v>
      </c>
      <c r="R479" s="136"/>
      <c r="S47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479" s="136" t="str">
        <f>tbl_IO_List[[#This Row],[Instruement Tag]]&amp;"_"&amp;tbl_IO_List[[#This Row],[I/O Type]]&amp;"_"&amp;tbl_IO_List[[#This Row],[IO-Point 
(Instruement)]]</f>
        <v>Spare_DO_0</v>
      </c>
      <c r="U479" s="136" t="s">
        <v>7</v>
      </c>
      <c r="V479" s="136">
        <f>VLOOKUP(tbl_IO_List[[#This Row],[I/O Type]],tbl_Slot_Group[],2,FALSE)</f>
        <v>2</v>
      </c>
      <c r="W479" s="136">
        <v>0</v>
      </c>
      <c r="X479" s="136" t="str">
        <f>tbl_IO_List[[#This Row],[Chassis]]&amp;"S"&amp;TEXT(tbl_IO_List[[#This Row],[Slot]],"00")</f>
        <v>C2S08</v>
      </c>
      <c r="Y479" s="136" t="str">
        <f>tbl_IO_List[[#This Row],[Chassis]]&amp;"S"&amp;TEXT(tbl_IO_List[[#This Row],[Slot]],"00")&amp;tbl_IO_List[[#This Row],[I/O Type]]&amp;TEXT(tbl_IO_List[[#This Row],[Point]],"00")</f>
        <v>C2S08DO24</v>
      </c>
      <c r="Z479" s="136" t="str">
        <f>tbl_IO_List[[#This Row],[Chassis]]&amp;"S"&amp;TEXT(tbl_IO_List[[#This Row],[Slot]],"00")&amp;","&amp;TEXT(tbl_IO_List[[#This Row],[Point]],"00")</f>
        <v>C2S08,24</v>
      </c>
      <c r="AA479" s="136" t="str">
        <f>VLOOKUP(tbl_IO_List[[#This Row],[Column23]],tbl_RackConfig[],5,FALSE) &amp;"-"&amp;tbl_IO_List[[#This Row],[Point]]</f>
        <v>1756-OB32-24</v>
      </c>
      <c r="AB479" s="136"/>
      <c r="AC479" s="136"/>
      <c r="AD479" s="136" t="str">
        <f>tbl_IO_List[[#This Row],[I/O Type]]</f>
        <v>DO</v>
      </c>
      <c r="AE479" s="136" t="s">
        <v>1333</v>
      </c>
      <c r="AF479" s="136">
        <v>8</v>
      </c>
      <c r="AG479" s="136">
        <v>24</v>
      </c>
      <c r="AH479" s="136">
        <v>25</v>
      </c>
      <c r="AI479" s="136">
        <v>27</v>
      </c>
      <c r="AJ479" s="136">
        <v>0</v>
      </c>
      <c r="AK479" s="136">
        <v>1</v>
      </c>
      <c r="AL479" s="136">
        <v>0</v>
      </c>
      <c r="AM479" s="136">
        <v>0</v>
      </c>
      <c r="AN479" s="136">
        <v>0</v>
      </c>
      <c r="AO479" s="136"/>
      <c r="AP479" s="143" t="e">
        <f>VLOOKUP(tbl_IO_List[[#This Row],[Instruement Tag]],tbl_Instruement_List[],14,FALSE)</f>
        <v>#N/A</v>
      </c>
      <c r="AQ479" s="143" t="str">
        <f>tbl_IO_List[[#This Row],[Chassis]]&amp;"S"&amp;tbl_IO_List[[#This Row],[Slot]]&amp;"-"&amp;tbl_IO_List[[#This Row],[Front Terminal Number]]</f>
        <v>C2S8-27</v>
      </c>
      <c r="AR479" s="141" t="s">
        <v>1868</v>
      </c>
      <c r="AS479" s="136" t="str">
        <f>tbl_IO_List[[#This Row],[Terminal Tagging]]&amp;"-"&amp;tbl_IO_List[[#This Row],[Point-Count]]</f>
        <v>P2-TBRL3-25</v>
      </c>
      <c r="AT479" s="136" t="str">
        <f>tbl_IO_List[[#This Row],[Front Terminal Tagging]]&amp;"/"&amp;tbl_IO_List[[#This Row],[Terminal Tagging-Item]]</f>
        <v>C2S8-27/P2-TBRL3-25</v>
      </c>
      <c r="AU479" s="136" t="str">
        <f>tbl_IO_List[[#This Row],[Terminal Tagging-Item]]&amp;"/"&amp;tbl_IO_List[[#This Row],[Front Terminal Tagging]]</f>
        <v>P2-TBRL3-25/C2S8-27</v>
      </c>
    </row>
    <row r="480" spans="1:47">
      <c r="A480" s="147" t="s">
        <v>1367</v>
      </c>
      <c r="B480" s="136" t="s">
        <v>270</v>
      </c>
      <c r="C480" s="136" t="str">
        <f>tbl_IO_List[[#This Row],[Column3]]</f>
        <v>C2S08,25</v>
      </c>
      <c r="D480" s="136" t="str">
        <f>tbl_IO_List[[#This Row],[Card]]</f>
        <v>1756-OB32-25</v>
      </c>
      <c r="E480" s="136" t="s">
        <v>1372</v>
      </c>
      <c r="F480" s="136" t="str">
        <f>tbl_IO_List[[#This Row],[Column23]]&amp;"-" &amp;tbl_IO_List[[#This Row],[Column52]]</f>
        <v>C2S08-X2</v>
      </c>
      <c r="G480" s="136" t="str">
        <f>tbl_IO_List[[#This Row],[PLC_Tag]]</f>
        <v>Spare_DO_0</v>
      </c>
      <c r="H480" s="136"/>
      <c r="I480" s="136" t="str">
        <f>VLOOKUP(tbl_IO_List[[#This Row],[Destination]],tbl_Junction[],2,FALSE)</f>
        <v>Spray Dryer 7th Floor</v>
      </c>
      <c r="J480" s="136"/>
      <c r="K480" s="136"/>
      <c r="L480" s="136" t="s">
        <v>411</v>
      </c>
      <c r="M480" s="136" t="e">
        <f>VLOOKUP(tbl_IO_List[[#This Row],[Instruement Tag]],tbl_Instruement_List[],2,FALSE)</f>
        <v>#N/A</v>
      </c>
      <c r="N480" s="136"/>
      <c r="O480" s="136"/>
      <c r="P480" s="136"/>
      <c r="Q480" s="136" t="e">
        <f>VLOOKUP(tbl_IO_List[[#This Row],[Instruement Tag]],tbl_Instruement_List[],6,FALSE)</f>
        <v>#N/A</v>
      </c>
      <c r="R480" s="136"/>
      <c r="S48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480" s="136" t="str">
        <f>tbl_IO_List[[#This Row],[Instruement Tag]]&amp;"_"&amp;tbl_IO_List[[#This Row],[I/O Type]]&amp;"_"&amp;tbl_IO_List[[#This Row],[IO-Point 
(Instruement)]]</f>
        <v>Spare_DO_0</v>
      </c>
      <c r="U480" s="136" t="s">
        <v>7</v>
      </c>
      <c r="V480" s="136">
        <f>VLOOKUP(tbl_IO_List[[#This Row],[I/O Type]],tbl_Slot_Group[],2,FALSE)</f>
        <v>2</v>
      </c>
      <c r="W480" s="136">
        <v>0</v>
      </c>
      <c r="X480" s="136" t="str">
        <f>tbl_IO_List[[#This Row],[Chassis]]&amp;"S"&amp;TEXT(tbl_IO_List[[#This Row],[Slot]],"00")</f>
        <v>C2S08</v>
      </c>
      <c r="Y480" s="136" t="str">
        <f>tbl_IO_List[[#This Row],[Chassis]]&amp;"S"&amp;TEXT(tbl_IO_List[[#This Row],[Slot]],"00")&amp;tbl_IO_List[[#This Row],[I/O Type]]&amp;TEXT(tbl_IO_List[[#This Row],[Point]],"00")</f>
        <v>C2S08DO25</v>
      </c>
      <c r="Z480" s="136" t="str">
        <f>tbl_IO_List[[#This Row],[Chassis]]&amp;"S"&amp;TEXT(tbl_IO_List[[#This Row],[Slot]],"00")&amp;","&amp;TEXT(tbl_IO_List[[#This Row],[Point]],"00")</f>
        <v>C2S08,25</v>
      </c>
      <c r="AA480" s="136" t="str">
        <f>VLOOKUP(tbl_IO_List[[#This Row],[Column23]],tbl_RackConfig[],5,FALSE) &amp;"-"&amp;tbl_IO_List[[#This Row],[Point]]</f>
        <v>1756-OB32-25</v>
      </c>
      <c r="AB480" s="136"/>
      <c r="AC480" s="136"/>
      <c r="AD480" s="136" t="str">
        <f>tbl_IO_List[[#This Row],[I/O Type]]</f>
        <v>DO</v>
      </c>
      <c r="AE480" s="136" t="s">
        <v>1333</v>
      </c>
      <c r="AF480" s="136">
        <v>8</v>
      </c>
      <c r="AG480" s="136">
        <v>25</v>
      </c>
      <c r="AH480" s="136">
        <v>26</v>
      </c>
      <c r="AI480" s="136">
        <v>28</v>
      </c>
      <c r="AJ480" s="136">
        <v>0</v>
      </c>
      <c r="AK480" s="136">
        <v>1</v>
      </c>
      <c r="AL480" s="136">
        <v>0</v>
      </c>
      <c r="AM480" s="136">
        <v>0</v>
      </c>
      <c r="AN480" s="136">
        <v>0</v>
      </c>
      <c r="AO480" s="136"/>
      <c r="AP480" s="143" t="e">
        <f>VLOOKUP(tbl_IO_List[[#This Row],[Instruement Tag]],tbl_Instruement_List[],14,FALSE)</f>
        <v>#N/A</v>
      </c>
      <c r="AQ480" s="143" t="str">
        <f>tbl_IO_List[[#This Row],[Chassis]]&amp;"S"&amp;tbl_IO_List[[#This Row],[Slot]]&amp;"-"&amp;tbl_IO_List[[#This Row],[Front Terminal Number]]</f>
        <v>C2S8-28</v>
      </c>
      <c r="AR480" s="141" t="s">
        <v>1868</v>
      </c>
      <c r="AS480" s="136" t="str">
        <f>tbl_IO_List[[#This Row],[Terminal Tagging]]&amp;"-"&amp;tbl_IO_List[[#This Row],[Point-Count]]</f>
        <v>P2-TBRL3-26</v>
      </c>
      <c r="AT480" s="136" t="str">
        <f>tbl_IO_List[[#This Row],[Front Terminal Tagging]]&amp;"/"&amp;tbl_IO_List[[#This Row],[Terminal Tagging-Item]]</f>
        <v>C2S8-28/P2-TBRL3-26</v>
      </c>
      <c r="AU480" s="136" t="str">
        <f>tbl_IO_List[[#This Row],[Terminal Tagging-Item]]&amp;"/"&amp;tbl_IO_List[[#This Row],[Front Terminal Tagging]]</f>
        <v>P2-TBRL3-26/C2S8-28</v>
      </c>
    </row>
    <row r="481" spans="1:47">
      <c r="A481" s="147" t="s">
        <v>1367</v>
      </c>
      <c r="B481" s="136" t="s">
        <v>270</v>
      </c>
      <c r="C481" s="136" t="str">
        <f>tbl_IO_List[[#This Row],[Column3]]</f>
        <v>C2S08,26</v>
      </c>
      <c r="D481" s="136" t="str">
        <f>tbl_IO_List[[#This Row],[Card]]</f>
        <v>1756-OB32-26</v>
      </c>
      <c r="E481" s="136" t="s">
        <v>1372</v>
      </c>
      <c r="F481" s="136" t="str">
        <f>tbl_IO_List[[#This Row],[Column23]]&amp;"-" &amp;tbl_IO_List[[#This Row],[Column52]]</f>
        <v>C2S08-X2</v>
      </c>
      <c r="G481" s="136" t="str">
        <f>tbl_IO_List[[#This Row],[PLC_Tag]]</f>
        <v>Spare_DO_0</v>
      </c>
      <c r="H481" s="136"/>
      <c r="I481" s="136" t="str">
        <f>VLOOKUP(tbl_IO_List[[#This Row],[Destination]],tbl_Junction[],2,FALSE)</f>
        <v>Spray Dryer 7th Floor</v>
      </c>
      <c r="J481" s="136"/>
      <c r="K481" s="136"/>
      <c r="L481" s="136" t="s">
        <v>411</v>
      </c>
      <c r="M481" s="136" t="e">
        <f>VLOOKUP(tbl_IO_List[[#This Row],[Instruement Tag]],tbl_Instruement_List[],2,FALSE)</f>
        <v>#N/A</v>
      </c>
      <c r="N481" s="136"/>
      <c r="O481" s="136"/>
      <c r="P481" s="136"/>
      <c r="Q481" s="136" t="e">
        <f>VLOOKUP(tbl_IO_List[[#This Row],[Instruement Tag]],tbl_Instruement_List[],6,FALSE)</f>
        <v>#N/A</v>
      </c>
      <c r="R481" s="136"/>
      <c r="S48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481" s="136" t="str">
        <f>tbl_IO_List[[#This Row],[Instruement Tag]]&amp;"_"&amp;tbl_IO_List[[#This Row],[I/O Type]]&amp;"_"&amp;tbl_IO_List[[#This Row],[IO-Point 
(Instruement)]]</f>
        <v>Spare_DO_0</v>
      </c>
      <c r="U481" s="136" t="s">
        <v>7</v>
      </c>
      <c r="V481" s="136">
        <f>VLOOKUP(tbl_IO_List[[#This Row],[I/O Type]],tbl_Slot_Group[],2,FALSE)</f>
        <v>2</v>
      </c>
      <c r="W481" s="136">
        <v>0</v>
      </c>
      <c r="X481" s="136" t="str">
        <f>tbl_IO_List[[#This Row],[Chassis]]&amp;"S"&amp;TEXT(tbl_IO_List[[#This Row],[Slot]],"00")</f>
        <v>C2S08</v>
      </c>
      <c r="Y481" s="136" t="str">
        <f>tbl_IO_List[[#This Row],[Chassis]]&amp;"S"&amp;TEXT(tbl_IO_List[[#This Row],[Slot]],"00")&amp;tbl_IO_List[[#This Row],[I/O Type]]&amp;TEXT(tbl_IO_List[[#This Row],[Point]],"00")</f>
        <v>C2S08DO26</v>
      </c>
      <c r="Z481" s="136" t="str">
        <f>tbl_IO_List[[#This Row],[Chassis]]&amp;"S"&amp;TEXT(tbl_IO_List[[#This Row],[Slot]],"00")&amp;","&amp;TEXT(tbl_IO_List[[#This Row],[Point]],"00")</f>
        <v>C2S08,26</v>
      </c>
      <c r="AA481" s="136" t="str">
        <f>VLOOKUP(tbl_IO_List[[#This Row],[Column23]],tbl_RackConfig[],5,FALSE) &amp;"-"&amp;tbl_IO_List[[#This Row],[Point]]</f>
        <v>1756-OB32-26</v>
      </c>
      <c r="AB481" s="136"/>
      <c r="AC481" s="136"/>
      <c r="AD481" s="136" t="str">
        <f>tbl_IO_List[[#This Row],[I/O Type]]</f>
        <v>DO</v>
      </c>
      <c r="AE481" s="136" t="s">
        <v>1333</v>
      </c>
      <c r="AF481" s="136">
        <v>8</v>
      </c>
      <c r="AG481" s="136">
        <v>26</v>
      </c>
      <c r="AH481" s="136">
        <v>27</v>
      </c>
      <c r="AI481" s="136">
        <v>29</v>
      </c>
      <c r="AJ481" s="136">
        <v>0</v>
      </c>
      <c r="AK481" s="136">
        <v>1</v>
      </c>
      <c r="AL481" s="136">
        <v>0</v>
      </c>
      <c r="AM481" s="136">
        <v>0</v>
      </c>
      <c r="AN481" s="136">
        <v>0</v>
      </c>
      <c r="AO481" s="136"/>
      <c r="AP481" s="143" t="e">
        <f>VLOOKUP(tbl_IO_List[[#This Row],[Instruement Tag]],tbl_Instruement_List[],14,FALSE)</f>
        <v>#N/A</v>
      </c>
      <c r="AQ481" s="143" t="str">
        <f>tbl_IO_List[[#This Row],[Chassis]]&amp;"S"&amp;tbl_IO_List[[#This Row],[Slot]]&amp;"-"&amp;tbl_IO_List[[#This Row],[Front Terminal Number]]</f>
        <v>C2S8-29</v>
      </c>
      <c r="AR481" s="141" t="s">
        <v>1868</v>
      </c>
      <c r="AS481" s="136" t="str">
        <f>tbl_IO_List[[#This Row],[Terminal Tagging]]&amp;"-"&amp;tbl_IO_List[[#This Row],[Point-Count]]</f>
        <v>P2-TBRL3-27</v>
      </c>
      <c r="AT481" s="136" t="str">
        <f>tbl_IO_List[[#This Row],[Front Terminal Tagging]]&amp;"/"&amp;tbl_IO_List[[#This Row],[Terminal Tagging-Item]]</f>
        <v>C2S8-29/P2-TBRL3-27</v>
      </c>
      <c r="AU481" s="136" t="str">
        <f>tbl_IO_List[[#This Row],[Terminal Tagging-Item]]&amp;"/"&amp;tbl_IO_List[[#This Row],[Front Terminal Tagging]]</f>
        <v>P2-TBRL3-27/C2S8-29</v>
      </c>
    </row>
    <row r="482" spans="1:47">
      <c r="A482" s="147" t="s">
        <v>1367</v>
      </c>
      <c r="B482" s="136" t="s">
        <v>270</v>
      </c>
      <c r="C482" s="136" t="str">
        <f>tbl_IO_List[[#This Row],[Column3]]</f>
        <v>C2S08,27</v>
      </c>
      <c r="D482" s="136" t="str">
        <f>tbl_IO_List[[#This Row],[Card]]</f>
        <v>1756-OB32-27</v>
      </c>
      <c r="E482" s="136" t="s">
        <v>1372</v>
      </c>
      <c r="F482" s="136" t="str">
        <f>tbl_IO_List[[#This Row],[Column23]]&amp;"-" &amp;tbl_IO_List[[#This Row],[Column52]]</f>
        <v>C2S08-X2</v>
      </c>
      <c r="G482" s="136" t="str">
        <f>tbl_IO_List[[#This Row],[PLC_Tag]]</f>
        <v>Spare_DO_0</v>
      </c>
      <c r="H482" s="136"/>
      <c r="I482" s="136" t="str">
        <f>VLOOKUP(tbl_IO_List[[#This Row],[Destination]],tbl_Junction[],2,FALSE)</f>
        <v>Spray Dryer 7th Floor</v>
      </c>
      <c r="J482" s="136"/>
      <c r="K482" s="136"/>
      <c r="L482" s="136" t="s">
        <v>411</v>
      </c>
      <c r="M482" s="136" t="e">
        <f>VLOOKUP(tbl_IO_List[[#This Row],[Instruement Tag]],tbl_Instruement_List[],2,FALSE)</f>
        <v>#N/A</v>
      </c>
      <c r="N482" s="136"/>
      <c r="O482" s="136"/>
      <c r="P482" s="136"/>
      <c r="Q482" s="136" t="e">
        <f>VLOOKUP(tbl_IO_List[[#This Row],[Instruement Tag]],tbl_Instruement_List[],6,FALSE)</f>
        <v>#N/A</v>
      </c>
      <c r="R482" s="136"/>
      <c r="S48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482" s="136" t="str">
        <f>tbl_IO_List[[#This Row],[Instruement Tag]]&amp;"_"&amp;tbl_IO_List[[#This Row],[I/O Type]]&amp;"_"&amp;tbl_IO_List[[#This Row],[IO-Point 
(Instruement)]]</f>
        <v>Spare_DO_0</v>
      </c>
      <c r="U482" s="136" t="s">
        <v>7</v>
      </c>
      <c r="V482" s="136">
        <f>VLOOKUP(tbl_IO_List[[#This Row],[I/O Type]],tbl_Slot_Group[],2,FALSE)</f>
        <v>2</v>
      </c>
      <c r="W482" s="136">
        <v>0</v>
      </c>
      <c r="X482" s="136" t="str">
        <f>tbl_IO_List[[#This Row],[Chassis]]&amp;"S"&amp;TEXT(tbl_IO_List[[#This Row],[Slot]],"00")</f>
        <v>C2S08</v>
      </c>
      <c r="Y482" s="136" t="str">
        <f>tbl_IO_List[[#This Row],[Chassis]]&amp;"S"&amp;TEXT(tbl_IO_List[[#This Row],[Slot]],"00")&amp;tbl_IO_List[[#This Row],[I/O Type]]&amp;TEXT(tbl_IO_List[[#This Row],[Point]],"00")</f>
        <v>C2S08DO27</v>
      </c>
      <c r="Z482" s="136" t="str">
        <f>tbl_IO_List[[#This Row],[Chassis]]&amp;"S"&amp;TEXT(tbl_IO_List[[#This Row],[Slot]],"00")&amp;","&amp;TEXT(tbl_IO_List[[#This Row],[Point]],"00")</f>
        <v>C2S08,27</v>
      </c>
      <c r="AA482" s="136" t="str">
        <f>VLOOKUP(tbl_IO_List[[#This Row],[Column23]],tbl_RackConfig[],5,FALSE) &amp;"-"&amp;tbl_IO_List[[#This Row],[Point]]</f>
        <v>1756-OB32-27</v>
      </c>
      <c r="AB482" s="136"/>
      <c r="AC482" s="136"/>
      <c r="AD482" s="136" t="str">
        <f>tbl_IO_List[[#This Row],[I/O Type]]</f>
        <v>DO</v>
      </c>
      <c r="AE482" s="136" t="s">
        <v>1333</v>
      </c>
      <c r="AF482" s="136">
        <v>8</v>
      </c>
      <c r="AG482" s="136">
        <v>27</v>
      </c>
      <c r="AH482" s="136">
        <v>28</v>
      </c>
      <c r="AI482" s="136">
        <v>30</v>
      </c>
      <c r="AJ482" s="136">
        <v>0</v>
      </c>
      <c r="AK482" s="136">
        <v>1</v>
      </c>
      <c r="AL482" s="136">
        <v>0</v>
      </c>
      <c r="AM482" s="136">
        <v>0</v>
      </c>
      <c r="AN482" s="136">
        <v>0</v>
      </c>
      <c r="AO482" s="136"/>
      <c r="AP482" s="143" t="e">
        <f>VLOOKUP(tbl_IO_List[[#This Row],[Instruement Tag]],tbl_Instruement_List[],14,FALSE)</f>
        <v>#N/A</v>
      </c>
      <c r="AQ482" s="143" t="str">
        <f>tbl_IO_List[[#This Row],[Chassis]]&amp;"S"&amp;tbl_IO_List[[#This Row],[Slot]]&amp;"-"&amp;tbl_IO_List[[#This Row],[Front Terminal Number]]</f>
        <v>C2S8-30</v>
      </c>
      <c r="AR482" s="141" t="s">
        <v>1868</v>
      </c>
      <c r="AS482" s="136" t="str">
        <f>tbl_IO_List[[#This Row],[Terminal Tagging]]&amp;"-"&amp;tbl_IO_List[[#This Row],[Point-Count]]</f>
        <v>P2-TBRL3-28</v>
      </c>
      <c r="AT482" s="136" t="str">
        <f>tbl_IO_List[[#This Row],[Front Terminal Tagging]]&amp;"/"&amp;tbl_IO_List[[#This Row],[Terminal Tagging-Item]]</f>
        <v>C2S8-30/P2-TBRL3-28</v>
      </c>
      <c r="AU482" s="136" t="str">
        <f>tbl_IO_List[[#This Row],[Terminal Tagging-Item]]&amp;"/"&amp;tbl_IO_List[[#This Row],[Front Terminal Tagging]]</f>
        <v>P2-TBRL3-28/C2S8-30</v>
      </c>
    </row>
    <row r="483" spans="1:47">
      <c r="A483" s="147" t="s">
        <v>1367</v>
      </c>
      <c r="B483" s="136" t="s">
        <v>270</v>
      </c>
      <c r="C483" s="136" t="str">
        <f>tbl_IO_List[[#This Row],[Column3]]</f>
        <v>C2S08,28</v>
      </c>
      <c r="D483" s="136" t="str">
        <f>tbl_IO_List[[#This Row],[Card]]</f>
        <v>1756-OB32-28</v>
      </c>
      <c r="E483" s="136" t="s">
        <v>1372</v>
      </c>
      <c r="F483" s="136" t="str">
        <f>tbl_IO_List[[#This Row],[Column23]]&amp;"-" &amp;tbl_IO_List[[#This Row],[Column52]]</f>
        <v>C2S08-X2</v>
      </c>
      <c r="G483" s="136" t="str">
        <f>tbl_IO_List[[#This Row],[PLC_Tag]]</f>
        <v>Spare_DO_0</v>
      </c>
      <c r="H483" s="136"/>
      <c r="I483" s="136" t="str">
        <f>VLOOKUP(tbl_IO_List[[#This Row],[Destination]],tbl_Junction[],2,FALSE)</f>
        <v>Spray Dryer 7th Floor</v>
      </c>
      <c r="J483" s="136"/>
      <c r="K483" s="136"/>
      <c r="L483" s="136" t="s">
        <v>411</v>
      </c>
      <c r="M483" s="136" t="e">
        <f>VLOOKUP(tbl_IO_List[[#This Row],[Instruement Tag]],tbl_Instruement_List[],2,FALSE)</f>
        <v>#N/A</v>
      </c>
      <c r="N483" s="136"/>
      <c r="O483" s="136"/>
      <c r="P483" s="136"/>
      <c r="Q483" s="136" t="e">
        <f>VLOOKUP(tbl_IO_List[[#This Row],[Instruement Tag]],tbl_Instruement_List[],6,FALSE)</f>
        <v>#N/A</v>
      </c>
      <c r="R483" s="136"/>
      <c r="S48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483" s="136" t="str">
        <f>tbl_IO_List[[#This Row],[Instruement Tag]]&amp;"_"&amp;tbl_IO_List[[#This Row],[I/O Type]]&amp;"_"&amp;tbl_IO_List[[#This Row],[IO-Point 
(Instruement)]]</f>
        <v>Spare_DO_0</v>
      </c>
      <c r="U483" s="136" t="s">
        <v>7</v>
      </c>
      <c r="V483" s="136">
        <f>VLOOKUP(tbl_IO_List[[#This Row],[I/O Type]],tbl_Slot_Group[],2,FALSE)</f>
        <v>2</v>
      </c>
      <c r="W483" s="136">
        <v>0</v>
      </c>
      <c r="X483" s="136" t="str">
        <f>tbl_IO_List[[#This Row],[Chassis]]&amp;"S"&amp;TEXT(tbl_IO_List[[#This Row],[Slot]],"00")</f>
        <v>C2S08</v>
      </c>
      <c r="Y483" s="136" t="str">
        <f>tbl_IO_List[[#This Row],[Chassis]]&amp;"S"&amp;TEXT(tbl_IO_List[[#This Row],[Slot]],"00")&amp;tbl_IO_List[[#This Row],[I/O Type]]&amp;TEXT(tbl_IO_List[[#This Row],[Point]],"00")</f>
        <v>C2S08DO28</v>
      </c>
      <c r="Z483" s="136" t="str">
        <f>tbl_IO_List[[#This Row],[Chassis]]&amp;"S"&amp;TEXT(tbl_IO_List[[#This Row],[Slot]],"00")&amp;","&amp;TEXT(tbl_IO_List[[#This Row],[Point]],"00")</f>
        <v>C2S08,28</v>
      </c>
      <c r="AA483" s="136" t="str">
        <f>VLOOKUP(tbl_IO_List[[#This Row],[Column23]],tbl_RackConfig[],5,FALSE) &amp;"-"&amp;tbl_IO_List[[#This Row],[Point]]</f>
        <v>1756-OB32-28</v>
      </c>
      <c r="AB483" s="136"/>
      <c r="AC483" s="136"/>
      <c r="AD483" s="136" t="str">
        <f>tbl_IO_List[[#This Row],[I/O Type]]</f>
        <v>DO</v>
      </c>
      <c r="AE483" s="136" t="s">
        <v>1333</v>
      </c>
      <c r="AF483" s="136">
        <v>8</v>
      </c>
      <c r="AG483" s="136">
        <v>28</v>
      </c>
      <c r="AH483" s="136">
        <v>29</v>
      </c>
      <c r="AI483" s="136">
        <v>31</v>
      </c>
      <c r="AJ483" s="136">
        <v>0</v>
      </c>
      <c r="AK483" s="136">
        <v>1</v>
      </c>
      <c r="AL483" s="136">
        <v>0</v>
      </c>
      <c r="AM483" s="136">
        <v>0</v>
      </c>
      <c r="AN483" s="136">
        <v>0</v>
      </c>
      <c r="AO483" s="136"/>
      <c r="AP483" s="143" t="e">
        <f>VLOOKUP(tbl_IO_List[[#This Row],[Instruement Tag]],tbl_Instruement_List[],14,FALSE)</f>
        <v>#N/A</v>
      </c>
      <c r="AQ483" s="143" t="str">
        <f>tbl_IO_List[[#This Row],[Chassis]]&amp;"S"&amp;tbl_IO_List[[#This Row],[Slot]]&amp;"-"&amp;tbl_IO_List[[#This Row],[Front Terminal Number]]</f>
        <v>C2S8-31</v>
      </c>
      <c r="AR483" s="141" t="s">
        <v>1868</v>
      </c>
      <c r="AS483" s="136" t="str">
        <f>tbl_IO_List[[#This Row],[Terminal Tagging]]&amp;"-"&amp;tbl_IO_List[[#This Row],[Point-Count]]</f>
        <v>P2-TBRL3-29</v>
      </c>
      <c r="AT483" s="136" t="str">
        <f>tbl_IO_List[[#This Row],[Front Terminal Tagging]]&amp;"/"&amp;tbl_IO_List[[#This Row],[Terminal Tagging-Item]]</f>
        <v>C2S8-31/P2-TBRL3-29</v>
      </c>
      <c r="AU483" s="136" t="str">
        <f>tbl_IO_List[[#This Row],[Terminal Tagging-Item]]&amp;"/"&amp;tbl_IO_List[[#This Row],[Front Terminal Tagging]]</f>
        <v>P2-TBRL3-29/C2S8-31</v>
      </c>
    </row>
    <row r="484" spans="1:47">
      <c r="A484" s="147" t="s">
        <v>1367</v>
      </c>
      <c r="B484" s="136" t="s">
        <v>270</v>
      </c>
      <c r="C484" s="136" t="str">
        <f>tbl_IO_List[[#This Row],[Column3]]</f>
        <v>C2S08,29</v>
      </c>
      <c r="D484" s="136" t="str">
        <f>tbl_IO_List[[#This Row],[Card]]</f>
        <v>1756-OB32-29</v>
      </c>
      <c r="E484" s="136" t="s">
        <v>1372</v>
      </c>
      <c r="F484" s="136" t="str">
        <f>tbl_IO_List[[#This Row],[Column23]]&amp;"-" &amp;tbl_IO_List[[#This Row],[Column52]]</f>
        <v>C2S08-X2</v>
      </c>
      <c r="G484" s="136" t="str">
        <f>tbl_IO_List[[#This Row],[PLC_Tag]]</f>
        <v>Spare_DO_0</v>
      </c>
      <c r="H484" s="136"/>
      <c r="I484" s="136" t="str">
        <f>VLOOKUP(tbl_IO_List[[#This Row],[Destination]],tbl_Junction[],2,FALSE)</f>
        <v>Spray Dryer 7th Floor</v>
      </c>
      <c r="J484" s="136"/>
      <c r="K484" s="136"/>
      <c r="L484" s="136" t="s">
        <v>411</v>
      </c>
      <c r="M484" s="136" t="e">
        <f>VLOOKUP(tbl_IO_List[[#This Row],[Instruement Tag]],tbl_Instruement_List[],2,FALSE)</f>
        <v>#N/A</v>
      </c>
      <c r="N484" s="136"/>
      <c r="O484" s="136"/>
      <c r="P484" s="136"/>
      <c r="Q484" s="136" t="e">
        <f>VLOOKUP(tbl_IO_List[[#This Row],[Instruement Tag]],tbl_Instruement_List[],6,FALSE)</f>
        <v>#N/A</v>
      </c>
      <c r="R484" s="136"/>
      <c r="S48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484" s="136" t="str">
        <f>tbl_IO_List[[#This Row],[Instruement Tag]]&amp;"_"&amp;tbl_IO_List[[#This Row],[I/O Type]]&amp;"_"&amp;tbl_IO_List[[#This Row],[IO-Point 
(Instruement)]]</f>
        <v>Spare_DO_0</v>
      </c>
      <c r="U484" s="136" t="s">
        <v>7</v>
      </c>
      <c r="V484" s="136">
        <f>VLOOKUP(tbl_IO_List[[#This Row],[I/O Type]],tbl_Slot_Group[],2,FALSE)</f>
        <v>2</v>
      </c>
      <c r="W484" s="136">
        <v>0</v>
      </c>
      <c r="X484" s="136" t="str">
        <f>tbl_IO_List[[#This Row],[Chassis]]&amp;"S"&amp;TEXT(tbl_IO_List[[#This Row],[Slot]],"00")</f>
        <v>C2S08</v>
      </c>
      <c r="Y484" s="136" t="str">
        <f>tbl_IO_List[[#This Row],[Chassis]]&amp;"S"&amp;TEXT(tbl_IO_List[[#This Row],[Slot]],"00")&amp;tbl_IO_List[[#This Row],[I/O Type]]&amp;TEXT(tbl_IO_List[[#This Row],[Point]],"00")</f>
        <v>C2S08DO29</v>
      </c>
      <c r="Z484" s="136" t="str">
        <f>tbl_IO_List[[#This Row],[Chassis]]&amp;"S"&amp;TEXT(tbl_IO_List[[#This Row],[Slot]],"00")&amp;","&amp;TEXT(tbl_IO_List[[#This Row],[Point]],"00")</f>
        <v>C2S08,29</v>
      </c>
      <c r="AA484" s="136" t="str">
        <f>VLOOKUP(tbl_IO_List[[#This Row],[Column23]],tbl_RackConfig[],5,FALSE) &amp;"-"&amp;tbl_IO_List[[#This Row],[Point]]</f>
        <v>1756-OB32-29</v>
      </c>
      <c r="AB484" s="136"/>
      <c r="AC484" s="136"/>
      <c r="AD484" s="136" t="str">
        <f>tbl_IO_List[[#This Row],[I/O Type]]</f>
        <v>DO</v>
      </c>
      <c r="AE484" s="136" t="s">
        <v>1333</v>
      </c>
      <c r="AF484" s="136">
        <v>8</v>
      </c>
      <c r="AG484" s="136">
        <v>29</v>
      </c>
      <c r="AH484" s="136">
        <v>30</v>
      </c>
      <c r="AI484" s="136">
        <v>32</v>
      </c>
      <c r="AJ484" s="136">
        <v>0</v>
      </c>
      <c r="AK484" s="136">
        <v>1</v>
      </c>
      <c r="AL484" s="136">
        <v>0</v>
      </c>
      <c r="AM484" s="136">
        <v>0</v>
      </c>
      <c r="AN484" s="136">
        <v>0</v>
      </c>
      <c r="AO484" s="136"/>
      <c r="AP484" s="143" t="e">
        <f>VLOOKUP(tbl_IO_List[[#This Row],[Instruement Tag]],tbl_Instruement_List[],14,FALSE)</f>
        <v>#N/A</v>
      </c>
      <c r="AQ484" s="143" t="str">
        <f>tbl_IO_List[[#This Row],[Chassis]]&amp;"S"&amp;tbl_IO_List[[#This Row],[Slot]]&amp;"-"&amp;tbl_IO_List[[#This Row],[Front Terminal Number]]</f>
        <v>C2S8-32</v>
      </c>
      <c r="AR484" s="141" t="s">
        <v>1868</v>
      </c>
      <c r="AS484" s="136" t="str">
        <f>tbl_IO_List[[#This Row],[Terminal Tagging]]&amp;"-"&amp;tbl_IO_List[[#This Row],[Point-Count]]</f>
        <v>P2-TBRL3-30</v>
      </c>
      <c r="AT484" s="136" t="str">
        <f>tbl_IO_List[[#This Row],[Front Terminal Tagging]]&amp;"/"&amp;tbl_IO_List[[#This Row],[Terminal Tagging-Item]]</f>
        <v>C2S8-32/P2-TBRL3-30</v>
      </c>
      <c r="AU484" s="136" t="str">
        <f>tbl_IO_List[[#This Row],[Terminal Tagging-Item]]&amp;"/"&amp;tbl_IO_List[[#This Row],[Front Terminal Tagging]]</f>
        <v>P2-TBRL3-30/C2S8-32</v>
      </c>
    </row>
    <row r="485" spans="1:47">
      <c r="A485" s="147" t="s">
        <v>1367</v>
      </c>
      <c r="B485" s="136" t="s">
        <v>270</v>
      </c>
      <c r="C485" s="136" t="str">
        <f>tbl_IO_List[[#This Row],[Column3]]</f>
        <v>C2S08,30</v>
      </c>
      <c r="D485" s="136" t="str">
        <f>tbl_IO_List[[#This Row],[Card]]</f>
        <v>1756-OB32-30</v>
      </c>
      <c r="E485" s="136" t="s">
        <v>1372</v>
      </c>
      <c r="F485" s="136" t="str">
        <f>tbl_IO_List[[#This Row],[Column23]]&amp;"-" &amp;tbl_IO_List[[#This Row],[Column52]]</f>
        <v>C2S08-X2</v>
      </c>
      <c r="G485" s="136" t="str">
        <f>tbl_IO_List[[#This Row],[PLC_Tag]]</f>
        <v>Spare_DO_0</v>
      </c>
      <c r="H485" s="136"/>
      <c r="I485" s="136" t="str">
        <f>VLOOKUP(tbl_IO_List[[#This Row],[Destination]],tbl_Junction[],2,FALSE)</f>
        <v>Spray Dryer 7th Floor</v>
      </c>
      <c r="J485" s="136"/>
      <c r="K485" s="136"/>
      <c r="L485" s="136" t="s">
        <v>411</v>
      </c>
      <c r="M485" s="136" t="e">
        <f>VLOOKUP(tbl_IO_List[[#This Row],[Instruement Tag]],tbl_Instruement_List[],2,FALSE)</f>
        <v>#N/A</v>
      </c>
      <c r="N485" s="136"/>
      <c r="O485" s="136"/>
      <c r="P485" s="136"/>
      <c r="Q485" s="136" t="e">
        <f>VLOOKUP(tbl_IO_List[[#This Row],[Instruement Tag]],tbl_Instruement_List[],6,FALSE)</f>
        <v>#N/A</v>
      </c>
      <c r="R485" s="136"/>
      <c r="S48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485" s="136" t="str">
        <f>tbl_IO_List[[#This Row],[Instruement Tag]]&amp;"_"&amp;tbl_IO_List[[#This Row],[I/O Type]]&amp;"_"&amp;tbl_IO_List[[#This Row],[IO-Point 
(Instruement)]]</f>
        <v>Spare_DO_0</v>
      </c>
      <c r="U485" s="136" t="s">
        <v>7</v>
      </c>
      <c r="V485" s="136">
        <f>VLOOKUP(tbl_IO_List[[#This Row],[I/O Type]],tbl_Slot_Group[],2,FALSE)</f>
        <v>2</v>
      </c>
      <c r="W485" s="136">
        <v>0</v>
      </c>
      <c r="X485" s="136" t="str">
        <f>tbl_IO_List[[#This Row],[Chassis]]&amp;"S"&amp;TEXT(tbl_IO_List[[#This Row],[Slot]],"00")</f>
        <v>C2S08</v>
      </c>
      <c r="Y485" s="136" t="str">
        <f>tbl_IO_List[[#This Row],[Chassis]]&amp;"S"&amp;TEXT(tbl_IO_List[[#This Row],[Slot]],"00")&amp;tbl_IO_List[[#This Row],[I/O Type]]&amp;TEXT(tbl_IO_List[[#This Row],[Point]],"00")</f>
        <v>C2S08DO30</v>
      </c>
      <c r="Z485" s="136" t="str">
        <f>tbl_IO_List[[#This Row],[Chassis]]&amp;"S"&amp;TEXT(tbl_IO_List[[#This Row],[Slot]],"00")&amp;","&amp;TEXT(tbl_IO_List[[#This Row],[Point]],"00")</f>
        <v>C2S08,30</v>
      </c>
      <c r="AA485" s="136" t="str">
        <f>VLOOKUP(tbl_IO_List[[#This Row],[Column23]],tbl_RackConfig[],5,FALSE) &amp;"-"&amp;tbl_IO_List[[#This Row],[Point]]</f>
        <v>1756-OB32-30</v>
      </c>
      <c r="AB485" s="136"/>
      <c r="AC485" s="136"/>
      <c r="AD485" s="136" t="str">
        <f>tbl_IO_List[[#This Row],[I/O Type]]</f>
        <v>DO</v>
      </c>
      <c r="AE485" s="136" t="s">
        <v>1333</v>
      </c>
      <c r="AF485" s="136">
        <v>8</v>
      </c>
      <c r="AG485" s="136">
        <v>30</v>
      </c>
      <c r="AH485" s="136">
        <v>31</v>
      </c>
      <c r="AI485" s="136">
        <v>33</v>
      </c>
      <c r="AJ485" s="136">
        <v>0</v>
      </c>
      <c r="AK485" s="136">
        <v>1</v>
      </c>
      <c r="AL485" s="136">
        <v>0</v>
      </c>
      <c r="AM485" s="136">
        <v>0</v>
      </c>
      <c r="AN485" s="136">
        <v>0</v>
      </c>
      <c r="AO485" s="136"/>
      <c r="AP485" s="143" t="e">
        <f>VLOOKUP(tbl_IO_List[[#This Row],[Instruement Tag]],tbl_Instruement_List[],14,FALSE)</f>
        <v>#N/A</v>
      </c>
      <c r="AQ485" s="143" t="str">
        <f>tbl_IO_List[[#This Row],[Chassis]]&amp;"S"&amp;tbl_IO_List[[#This Row],[Slot]]&amp;"-"&amp;tbl_IO_List[[#This Row],[Front Terminal Number]]</f>
        <v>C2S8-33</v>
      </c>
      <c r="AR485" s="141" t="s">
        <v>1868</v>
      </c>
      <c r="AS485" s="136" t="str">
        <f>tbl_IO_List[[#This Row],[Terminal Tagging]]&amp;"-"&amp;tbl_IO_List[[#This Row],[Point-Count]]</f>
        <v>P2-TBRL3-31</v>
      </c>
      <c r="AT485" s="136" t="str">
        <f>tbl_IO_List[[#This Row],[Front Terminal Tagging]]&amp;"/"&amp;tbl_IO_List[[#This Row],[Terminal Tagging-Item]]</f>
        <v>C2S8-33/P2-TBRL3-31</v>
      </c>
      <c r="AU485" s="136" t="str">
        <f>tbl_IO_List[[#This Row],[Terminal Tagging-Item]]&amp;"/"&amp;tbl_IO_List[[#This Row],[Front Terminal Tagging]]</f>
        <v>P2-TBRL3-31/C2S8-33</v>
      </c>
    </row>
    <row r="486" spans="1:47">
      <c r="A486" s="147" t="s">
        <v>1367</v>
      </c>
      <c r="B486" s="136" t="s">
        <v>270</v>
      </c>
      <c r="C486" s="136" t="str">
        <f>tbl_IO_List[[#This Row],[Column3]]</f>
        <v>C2S08,31</v>
      </c>
      <c r="D486" s="136" t="str">
        <f>tbl_IO_List[[#This Row],[Card]]</f>
        <v>1756-OB32-31</v>
      </c>
      <c r="E486" s="136" t="s">
        <v>1372</v>
      </c>
      <c r="F486" s="136" t="str">
        <f>tbl_IO_List[[#This Row],[Column23]]&amp;"-" &amp;tbl_IO_List[[#This Row],[Column52]]</f>
        <v>C2S08-X2</v>
      </c>
      <c r="G486" s="136" t="str">
        <f>tbl_IO_List[[#This Row],[PLC_Tag]]</f>
        <v>Spare_DO_0</v>
      </c>
      <c r="H486" s="136"/>
      <c r="I486" s="136" t="str">
        <f>VLOOKUP(tbl_IO_List[[#This Row],[Destination]],tbl_Junction[],2,FALSE)</f>
        <v>Spray Dryer 7th Floor</v>
      </c>
      <c r="J486" s="136"/>
      <c r="K486" s="136"/>
      <c r="L486" s="136" t="s">
        <v>411</v>
      </c>
      <c r="M486" s="136" t="e">
        <f>VLOOKUP(tbl_IO_List[[#This Row],[Instruement Tag]],tbl_Instruement_List[],2,FALSE)</f>
        <v>#N/A</v>
      </c>
      <c r="N486" s="136"/>
      <c r="O486" s="136"/>
      <c r="P486" s="136"/>
      <c r="Q486" s="136" t="e">
        <f>VLOOKUP(tbl_IO_List[[#This Row],[Instruement Tag]],tbl_Instruement_List[],6,FALSE)</f>
        <v>#N/A</v>
      </c>
      <c r="R486" s="136"/>
      <c r="S48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486" s="136" t="str">
        <f>tbl_IO_List[[#This Row],[Instruement Tag]]&amp;"_"&amp;tbl_IO_List[[#This Row],[I/O Type]]&amp;"_"&amp;tbl_IO_List[[#This Row],[IO-Point 
(Instruement)]]</f>
        <v>Spare_DO_0</v>
      </c>
      <c r="U486" s="136" t="s">
        <v>7</v>
      </c>
      <c r="V486" s="136">
        <f>VLOOKUP(tbl_IO_List[[#This Row],[I/O Type]],tbl_Slot_Group[],2,FALSE)</f>
        <v>2</v>
      </c>
      <c r="W486" s="136">
        <v>0</v>
      </c>
      <c r="X486" s="136" t="str">
        <f>tbl_IO_List[[#This Row],[Chassis]]&amp;"S"&amp;TEXT(tbl_IO_List[[#This Row],[Slot]],"00")</f>
        <v>C2S08</v>
      </c>
      <c r="Y486" s="136" t="str">
        <f>tbl_IO_List[[#This Row],[Chassis]]&amp;"S"&amp;TEXT(tbl_IO_List[[#This Row],[Slot]],"00")&amp;tbl_IO_List[[#This Row],[I/O Type]]&amp;TEXT(tbl_IO_List[[#This Row],[Point]],"00")</f>
        <v>C2S08DO31</v>
      </c>
      <c r="Z486" s="136" t="str">
        <f>tbl_IO_List[[#This Row],[Chassis]]&amp;"S"&amp;TEXT(tbl_IO_List[[#This Row],[Slot]],"00")&amp;","&amp;TEXT(tbl_IO_List[[#This Row],[Point]],"00")</f>
        <v>C2S08,31</v>
      </c>
      <c r="AA486" s="136" t="str">
        <f>VLOOKUP(tbl_IO_List[[#This Row],[Column23]],tbl_RackConfig[],5,FALSE) &amp;"-"&amp;tbl_IO_List[[#This Row],[Point]]</f>
        <v>1756-OB32-31</v>
      </c>
      <c r="AB486" s="136"/>
      <c r="AC486" s="136"/>
      <c r="AD486" s="136" t="str">
        <f>tbl_IO_List[[#This Row],[I/O Type]]</f>
        <v>DO</v>
      </c>
      <c r="AE486" s="136" t="s">
        <v>1333</v>
      </c>
      <c r="AF486" s="136">
        <v>8</v>
      </c>
      <c r="AG486" s="136">
        <v>31</v>
      </c>
      <c r="AH486" s="136">
        <v>32</v>
      </c>
      <c r="AI486" s="136">
        <v>34</v>
      </c>
      <c r="AJ486" s="136">
        <v>0</v>
      </c>
      <c r="AK486" s="136">
        <v>1</v>
      </c>
      <c r="AL486" s="136">
        <v>0</v>
      </c>
      <c r="AM486" s="136">
        <v>0</v>
      </c>
      <c r="AN486" s="136">
        <v>0</v>
      </c>
      <c r="AO486" s="136"/>
      <c r="AP486" s="143" t="e">
        <f>VLOOKUP(tbl_IO_List[[#This Row],[Instruement Tag]],tbl_Instruement_List[],14,FALSE)</f>
        <v>#N/A</v>
      </c>
      <c r="AQ486" s="143" t="str">
        <f>tbl_IO_List[[#This Row],[Chassis]]&amp;"S"&amp;tbl_IO_List[[#This Row],[Slot]]&amp;"-"&amp;tbl_IO_List[[#This Row],[Front Terminal Number]]</f>
        <v>C2S8-34</v>
      </c>
      <c r="AR486" s="141" t="s">
        <v>1868</v>
      </c>
      <c r="AS486" s="136" t="str">
        <f>tbl_IO_List[[#This Row],[Terminal Tagging]]&amp;"-"&amp;tbl_IO_List[[#This Row],[Point-Count]]</f>
        <v>P2-TBRL3-32</v>
      </c>
      <c r="AT486" s="136" t="str">
        <f>tbl_IO_List[[#This Row],[Front Terminal Tagging]]&amp;"/"&amp;tbl_IO_List[[#This Row],[Terminal Tagging-Item]]</f>
        <v>C2S8-34/P2-TBRL3-32</v>
      </c>
      <c r="AU486" s="136" t="str">
        <f>tbl_IO_List[[#This Row],[Terminal Tagging-Item]]&amp;"/"&amp;tbl_IO_List[[#This Row],[Front Terminal Tagging]]</f>
        <v>P2-TBRL3-32/C2S8-34</v>
      </c>
    </row>
    <row r="487" spans="1:47" hidden="1">
      <c r="A487" s="147" t="s">
        <v>1367</v>
      </c>
      <c r="B487" s="136" t="s">
        <v>168</v>
      </c>
      <c r="C487" s="136" t="str">
        <f>tbl_IO_List[[#This Row],[Column3]]</f>
        <v>C2S09,00</v>
      </c>
      <c r="D487" s="136" t="str">
        <f>tbl_IO_List[[#This Row],[Card]]</f>
        <v>1756-IF16-0</v>
      </c>
      <c r="E487" s="136" t="s">
        <v>1366</v>
      </c>
      <c r="F487" s="136" t="str">
        <f>tbl_IO_List[[#This Row],[Column23]]&amp;"-" &amp;tbl_IO_List[[#This Row],[Column52]]</f>
        <v>C2S09-X1</v>
      </c>
      <c r="G487" s="136" t="str">
        <f>tbl_IO_List[[#This Row],[PLC_Tag]]</f>
        <v>FT-40221_AI_1</v>
      </c>
      <c r="H487" s="136"/>
      <c r="I487" s="136" t="str">
        <f>VLOOKUP(tbl_IO_List[[#This Row],[Destination]],tbl_Junction[],2,FALSE)</f>
        <v>Jet Cooker 2nd Floor</v>
      </c>
      <c r="J487" s="136" t="s">
        <v>168</v>
      </c>
      <c r="K487" s="136" t="s">
        <v>169</v>
      </c>
      <c r="L487" s="136" t="s">
        <v>173</v>
      </c>
      <c r="M487" s="136" t="str">
        <f>VLOOKUP(tbl_IO_List[[#This Row],[Instruement Tag]],tbl_Instruement_List[],2,FALSE)</f>
        <v>Coriolis Flow Transmitter</v>
      </c>
      <c r="N487" s="136" t="s">
        <v>24</v>
      </c>
      <c r="O487" s="136" t="s">
        <v>18</v>
      </c>
      <c r="P487" s="136" t="s">
        <v>172</v>
      </c>
      <c r="Q487" s="136" t="str">
        <f>VLOOKUP(tbl_IO_List[[#This Row],[Instruement Tag]],tbl_Instruement_List[],6,FALSE)</f>
        <v xml:space="preserve">Jet Cooker </v>
      </c>
      <c r="R487" s="136"/>
      <c r="S48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1,DO=0,AI=2,AO=0,Bus=0</v>
      </c>
      <c r="T487" s="136" t="str">
        <f>tbl_IO_List[[#This Row],[Instruement Tag]]&amp;"_"&amp;tbl_IO_List[[#This Row],[I/O Type]]&amp;"_"&amp;tbl_IO_List[[#This Row],[IO-Point 
(Instruement)]]</f>
        <v>FT-40221_AI_1</v>
      </c>
      <c r="U487" s="136" t="s">
        <v>10</v>
      </c>
      <c r="V487" s="136">
        <f>VLOOKUP(tbl_IO_List[[#This Row],[I/O Type]],tbl_Slot_Group[],2,FALSE)</f>
        <v>3</v>
      </c>
      <c r="W487" s="136">
        <v>1</v>
      </c>
      <c r="X487" s="136" t="str">
        <f>tbl_IO_List[[#This Row],[Chassis]]&amp;"S"&amp;TEXT(tbl_IO_List[[#This Row],[Slot]],"00")</f>
        <v>C2S09</v>
      </c>
      <c r="Y487" s="136" t="str">
        <f>tbl_IO_List[[#This Row],[Chassis]]&amp;"S"&amp;TEXT(tbl_IO_List[[#This Row],[Slot]],"00")&amp;tbl_IO_List[[#This Row],[I/O Type]]&amp;TEXT(tbl_IO_List[[#This Row],[Point]],"00")</f>
        <v>C2S09AI00</v>
      </c>
      <c r="Z487" s="136" t="str">
        <f>tbl_IO_List[[#This Row],[Chassis]]&amp;"S"&amp;TEXT(tbl_IO_List[[#This Row],[Slot]],"00")&amp;","&amp;TEXT(tbl_IO_List[[#This Row],[Point]],"00")</f>
        <v>C2S09,00</v>
      </c>
      <c r="AA487" s="136" t="str">
        <f>VLOOKUP(tbl_IO_List[[#This Row],[Column23]],tbl_RackConfig[],5,FALSE) &amp;"-"&amp;tbl_IO_List[[#This Row],[Point]]</f>
        <v>1756-IF16-0</v>
      </c>
      <c r="AB487" s="136"/>
      <c r="AC487" s="136"/>
      <c r="AD487" s="136" t="str">
        <f>tbl_IO_List[[#This Row],[I/O Type]]</f>
        <v>AI</v>
      </c>
      <c r="AE487" s="136" t="s">
        <v>1333</v>
      </c>
      <c r="AF487" s="136">
        <v>9</v>
      </c>
      <c r="AG487" s="136">
        <v>0</v>
      </c>
      <c r="AH487" s="136"/>
      <c r="AI487" s="136"/>
      <c r="AJ487" s="136">
        <v>1</v>
      </c>
      <c r="AK487" s="136">
        <v>0</v>
      </c>
      <c r="AL487" s="136">
        <v>2</v>
      </c>
      <c r="AM487" s="136">
        <v>0</v>
      </c>
      <c r="AN487" s="136">
        <v>0</v>
      </c>
      <c r="AO487" s="136"/>
      <c r="AP487" s="143" t="str">
        <f>VLOOKUP(tbl_IO_List[[#This Row],[Instruement Tag]],tbl_Instruement_List[],14,FALSE)</f>
        <v>4 - 20 mA,Pulse</v>
      </c>
      <c r="AQ487" s="143" t="str">
        <f>tbl_IO_List[[#This Row],[Chassis]]&amp;"S"&amp;tbl_IO_List[[#This Row],[Slot]]&amp;"-"&amp;tbl_IO_List[[#This Row],[Front Terminal Number]]</f>
        <v>C2S9-</v>
      </c>
      <c r="AR487" s="143"/>
      <c r="AS487" s="136" t="str">
        <f>tbl_IO_List[[#This Row],[Terminal Tagging]]&amp;"-"&amp;tbl_IO_List[[#This Row],[Point-Count]]</f>
        <v>-</v>
      </c>
      <c r="AT487" s="136" t="str">
        <f>tbl_IO_List[[#This Row],[Front Terminal Tagging]]&amp;"/"&amp;tbl_IO_List[[#This Row],[Terminal Tagging-Item]]</f>
        <v>C2S9-/-</v>
      </c>
      <c r="AU487" s="136" t="str">
        <f>tbl_IO_List[[#This Row],[Terminal Tagging-Item]]&amp;"/"&amp;tbl_IO_List[[#This Row],[Front Terminal Tagging]]</f>
        <v>-/C2S9-</v>
      </c>
    </row>
    <row r="488" spans="1:47" hidden="1">
      <c r="A488" s="147" t="s">
        <v>1367</v>
      </c>
      <c r="B488" s="136" t="s">
        <v>168</v>
      </c>
      <c r="C488" s="136" t="str">
        <f>tbl_IO_List[[#This Row],[Column3]]</f>
        <v>C2S09,01</v>
      </c>
      <c r="D488" s="136" t="str">
        <f>tbl_IO_List[[#This Row],[Card]]</f>
        <v>1756-IF16-1</v>
      </c>
      <c r="E488" s="136" t="s">
        <v>1366</v>
      </c>
      <c r="F488" s="136" t="str">
        <f>tbl_IO_List[[#This Row],[Column23]]&amp;"-" &amp;tbl_IO_List[[#This Row],[Column52]]</f>
        <v>C2S09-X1</v>
      </c>
      <c r="G488" s="136" t="str">
        <f>tbl_IO_List[[#This Row],[PLC_Tag]]</f>
        <v>FT-40221_AI_2</v>
      </c>
      <c r="H488" s="136"/>
      <c r="I488" s="136" t="str">
        <f>VLOOKUP(tbl_IO_List[[#This Row],[Destination]],tbl_Junction[],2,FALSE)</f>
        <v>Jet Cooker 2nd Floor</v>
      </c>
      <c r="J488" s="136" t="s">
        <v>168</v>
      </c>
      <c r="K488" s="136" t="s">
        <v>169</v>
      </c>
      <c r="L488" s="136" t="s">
        <v>173</v>
      </c>
      <c r="M488" s="136" t="str">
        <f>VLOOKUP(tbl_IO_List[[#This Row],[Instruement Tag]],tbl_Instruement_List[],2,FALSE)</f>
        <v>Coriolis Flow Transmitter</v>
      </c>
      <c r="N488" s="136" t="s">
        <v>24</v>
      </c>
      <c r="O488" s="136" t="s">
        <v>18</v>
      </c>
      <c r="P488" s="136" t="s">
        <v>172</v>
      </c>
      <c r="Q488" s="136" t="str">
        <f>VLOOKUP(tbl_IO_List[[#This Row],[Instruement Tag]],tbl_Instruement_List[],6,FALSE)</f>
        <v xml:space="preserve">Jet Cooker </v>
      </c>
      <c r="R488" s="136"/>
      <c r="S48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1,DO=0,AI=2,AO=0,Bus=0</v>
      </c>
      <c r="T488" s="136" t="str">
        <f>tbl_IO_List[[#This Row],[Instruement Tag]]&amp;"_"&amp;tbl_IO_List[[#This Row],[I/O Type]]&amp;"_"&amp;tbl_IO_List[[#This Row],[IO-Point 
(Instruement)]]</f>
        <v>FT-40221_AI_2</v>
      </c>
      <c r="U488" s="136" t="s">
        <v>10</v>
      </c>
      <c r="V488" s="136">
        <f>VLOOKUP(tbl_IO_List[[#This Row],[I/O Type]],tbl_Slot_Group[],2,FALSE)</f>
        <v>3</v>
      </c>
      <c r="W488" s="136">
        <v>2</v>
      </c>
      <c r="X488" s="136" t="str">
        <f>tbl_IO_List[[#This Row],[Chassis]]&amp;"S"&amp;TEXT(tbl_IO_List[[#This Row],[Slot]],"00")</f>
        <v>C2S09</v>
      </c>
      <c r="Y488" s="136" t="str">
        <f>tbl_IO_List[[#This Row],[Chassis]]&amp;"S"&amp;TEXT(tbl_IO_List[[#This Row],[Slot]],"00")&amp;tbl_IO_List[[#This Row],[I/O Type]]&amp;TEXT(tbl_IO_List[[#This Row],[Point]],"00")</f>
        <v>C2S09AI01</v>
      </c>
      <c r="Z488" s="136" t="str">
        <f>tbl_IO_List[[#This Row],[Chassis]]&amp;"S"&amp;TEXT(tbl_IO_List[[#This Row],[Slot]],"00")&amp;","&amp;TEXT(tbl_IO_List[[#This Row],[Point]],"00")</f>
        <v>C2S09,01</v>
      </c>
      <c r="AA488" s="136" t="str">
        <f>VLOOKUP(tbl_IO_List[[#This Row],[Column23]],tbl_RackConfig[],5,FALSE) &amp;"-"&amp;tbl_IO_List[[#This Row],[Point]]</f>
        <v>1756-IF16-1</v>
      </c>
      <c r="AB488" s="136"/>
      <c r="AC488" s="136"/>
      <c r="AD488" s="136" t="str">
        <f>tbl_IO_List[[#This Row],[I/O Type]]</f>
        <v>AI</v>
      </c>
      <c r="AE488" s="136" t="s">
        <v>1333</v>
      </c>
      <c r="AF488" s="136">
        <v>9</v>
      </c>
      <c r="AG488" s="136">
        <v>1</v>
      </c>
      <c r="AH488" s="136"/>
      <c r="AI488" s="136"/>
      <c r="AJ488" s="136">
        <v>1</v>
      </c>
      <c r="AK488" s="136">
        <v>0</v>
      </c>
      <c r="AL488" s="136">
        <v>2</v>
      </c>
      <c r="AM488" s="136">
        <v>0</v>
      </c>
      <c r="AN488" s="136">
        <v>0</v>
      </c>
      <c r="AO488" s="136"/>
      <c r="AP488" s="143" t="str">
        <f>VLOOKUP(tbl_IO_List[[#This Row],[Instruement Tag]],tbl_Instruement_List[],14,FALSE)</f>
        <v>4 - 20 mA,Pulse</v>
      </c>
      <c r="AQ488" s="143" t="str">
        <f>tbl_IO_List[[#This Row],[Chassis]]&amp;"S"&amp;tbl_IO_List[[#This Row],[Slot]]&amp;"-"&amp;tbl_IO_List[[#This Row],[Front Terminal Number]]</f>
        <v>C2S9-</v>
      </c>
      <c r="AR488" s="143"/>
      <c r="AS488" s="136" t="str">
        <f>tbl_IO_List[[#This Row],[Terminal Tagging]]&amp;"-"&amp;tbl_IO_List[[#This Row],[Point-Count]]</f>
        <v>-</v>
      </c>
      <c r="AT488" s="136" t="str">
        <f>tbl_IO_List[[#This Row],[Front Terminal Tagging]]&amp;"/"&amp;tbl_IO_List[[#This Row],[Terminal Tagging-Item]]</f>
        <v>C2S9-/-</v>
      </c>
      <c r="AU488" s="136" t="str">
        <f>tbl_IO_List[[#This Row],[Terminal Tagging-Item]]&amp;"/"&amp;tbl_IO_List[[#This Row],[Front Terminal Tagging]]</f>
        <v>-/C2S9-</v>
      </c>
    </row>
    <row r="489" spans="1:47" hidden="1">
      <c r="A489" s="147" t="s">
        <v>1367</v>
      </c>
      <c r="B489" s="136" t="s">
        <v>168</v>
      </c>
      <c r="C489" s="136" t="str">
        <f>tbl_IO_List[[#This Row],[Column3]]</f>
        <v>C2S09,02</v>
      </c>
      <c r="D489" s="136" t="str">
        <f>tbl_IO_List[[#This Row],[Card]]</f>
        <v>1756-IF16-2</v>
      </c>
      <c r="E489" s="136" t="s">
        <v>1366</v>
      </c>
      <c r="F489" s="136" t="str">
        <f>tbl_IO_List[[#This Row],[Column23]]&amp;"-" &amp;tbl_IO_List[[#This Row],[Column52]]</f>
        <v>C2S09-X1</v>
      </c>
      <c r="G489" s="136" t="str">
        <f>tbl_IO_List[[#This Row],[PLC_Tag]]</f>
        <v>FT-40222_AI_1</v>
      </c>
      <c r="H489" s="136"/>
      <c r="I489" s="136" t="str">
        <f>VLOOKUP(tbl_IO_List[[#This Row],[Destination]],tbl_Junction[],2,FALSE)</f>
        <v>Jet Cooker 2nd Floor</v>
      </c>
      <c r="J489" s="136" t="s">
        <v>168</v>
      </c>
      <c r="K489" s="136" t="s">
        <v>169</v>
      </c>
      <c r="L489" s="136" t="s">
        <v>174</v>
      </c>
      <c r="M489" s="136" t="str">
        <f>VLOOKUP(tbl_IO_List[[#This Row],[Instruement Tag]],tbl_Instruement_List[],2,FALSE)</f>
        <v>Coriolis Flow Transmitter</v>
      </c>
      <c r="N489" s="136" t="s">
        <v>24</v>
      </c>
      <c r="O489" s="136" t="s">
        <v>18</v>
      </c>
      <c r="P489" s="136" t="s">
        <v>172</v>
      </c>
      <c r="Q489" s="136" t="str">
        <f>VLOOKUP(tbl_IO_List[[#This Row],[Instruement Tag]],tbl_Instruement_List[],6,FALSE)</f>
        <v xml:space="preserve">Jet Cooker </v>
      </c>
      <c r="R489" s="136"/>
      <c r="S48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1,DO=0,AI=2,AO=0,Bus=0</v>
      </c>
      <c r="T489" s="136" t="str">
        <f>tbl_IO_List[[#This Row],[Instruement Tag]]&amp;"_"&amp;tbl_IO_List[[#This Row],[I/O Type]]&amp;"_"&amp;tbl_IO_List[[#This Row],[IO-Point 
(Instruement)]]</f>
        <v>FT-40222_AI_1</v>
      </c>
      <c r="U489" s="136" t="s">
        <v>10</v>
      </c>
      <c r="V489" s="136">
        <f>VLOOKUP(tbl_IO_List[[#This Row],[I/O Type]],tbl_Slot_Group[],2,FALSE)</f>
        <v>3</v>
      </c>
      <c r="W489" s="136">
        <v>1</v>
      </c>
      <c r="X489" s="136" t="str">
        <f>tbl_IO_List[[#This Row],[Chassis]]&amp;"S"&amp;TEXT(tbl_IO_List[[#This Row],[Slot]],"00")</f>
        <v>C2S09</v>
      </c>
      <c r="Y489" s="136" t="str">
        <f>tbl_IO_List[[#This Row],[Chassis]]&amp;"S"&amp;TEXT(tbl_IO_List[[#This Row],[Slot]],"00")&amp;tbl_IO_List[[#This Row],[I/O Type]]&amp;TEXT(tbl_IO_List[[#This Row],[Point]],"00")</f>
        <v>C2S09AI02</v>
      </c>
      <c r="Z489" s="136" t="str">
        <f>tbl_IO_List[[#This Row],[Chassis]]&amp;"S"&amp;TEXT(tbl_IO_List[[#This Row],[Slot]],"00")&amp;","&amp;TEXT(tbl_IO_List[[#This Row],[Point]],"00")</f>
        <v>C2S09,02</v>
      </c>
      <c r="AA489" s="136" t="str">
        <f>VLOOKUP(tbl_IO_List[[#This Row],[Column23]],tbl_RackConfig[],5,FALSE) &amp;"-"&amp;tbl_IO_List[[#This Row],[Point]]</f>
        <v>1756-IF16-2</v>
      </c>
      <c r="AB489" s="136"/>
      <c r="AC489" s="136"/>
      <c r="AD489" s="136" t="str">
        <f>tbl_IO_List[[#This Row],[I/O Type]]</f>
        <v>AI</v>
      </c>
      <c r="AE489" s="136" t="s">
        <v>1333</v>
      </c>
      <c r="AF489" s="136">
        <v>9</v>
      </c>
      <c r="AG489" s="136">
        <v>2</v>
      </c>
      <c r="AH489" s="136"/>
      <c r="AI489" s="136"/>
      <c r="AJ489" s="136">
        <v>1</v>
      </c>
      <c r="AK489" s="136">
        <v>0</v>
      </c>
      <c r="AL489" s="136">
        <v>2</v>
      </c>
      <c r="AM489" s="136">
        <v>0</v>
      </c>
      <c r="AN489" s="136">
        <v>0</v>
      </c>
      <c r="AO489" s="136"/>
      <c r="AP489" s="143" t="str">
        <f>VLOOKUP(tbl_IO_List[[#This Row],[Instruement Tag]],tbl_Instruement_List[],14,FALSE)</f>
        <v>4 - 20 mA,Pulse</v>
      </c>
      <c r="AQ489" s="143" t="str">
        <f>tbl_IO_List[[#This Row],[Chassis]]&amp;"S"&amp;tbl_IO_List[[#This Row],[Slot]]&amp;"-"&amp;tbl_IO_List[[#This Row],[Front Terminal Number]]</f>
        <v>C2S9-</v>
      </c>
      <c r="AR489" s="143"/>
      <c r="AS489" s="136" t="str">
        <f>tbl_IO_List[[#This Row],[Terminal Tagging]]&amp;"-"&amp;tbl_IO_List[[#This Row],[Point-Count]]</f>
        <v>-</v>
      </c>
      <c r="AT489" s="136" t="str">
        <f>tbl_IO_List[[#This Row],[Front Terminal Tagging]]&amp;"/"&amp;tbl_IO_List[[#This Row],[Terminal Tagging-Item]]</f>
        <v>C2S9-/-</v>
      </c>
      <c r="AU489" s="136" t="str">
        <f>tbl_IO_List[[#This Row],[Terminal Tagging-Item]]&amp;"/"&amp;tbl_IO_List[[#This Row],[Front Terminal Tagging]]</f>
        <v>-/C2S9-</v>
      </c>
    </row>
    <row r="490" spans="1:47" hidden="1">
      <c r="A490" s="147" t="s">
        <v>1367</v>
      </c>
      <c r="B490" s="136" t="s">
        <v>168</v>
      </c>
      <c r="C490" s="136" t="str">
        <f>tbl_IO_List[[#This Row],[Column3]]</f>
        <v>C2S09,03</v>
      </c>
      <c r="D490" s="136" t="str">
        <f>tbl_IO_List[[#This Row],[Card]]</f>
        <v>1756-IF16-3</v>
      </c>
      <c r="E490" s="136" t="s">
        <v>1366</v>
      </c>
      <c r="F490" s="136" t="str">
        <f>tbl_IO_List[[#This Row],[Column23]]&amp;"-" &amp;tbl_IO_List[[#This Row],[Column52]]</f>
        <v>C2S09-X1</v>
      </c>
      <c r="G490" s="136" t="str">
        <f>tbl_IO_List[[#This Row],[PLC_Tag]]</f>
        <v>FT-40222_AI_2</v>
      </c>
      <c r="H490" s="136"/>
      <c r="I490" s="136" t="str">
        <f>VLOOKUP(tbl_IO_List[[#This Row],[Destination]],tbl_Junction[],2,FALSE)</f>
        <v>Jet Cooker 2nd Floor</v>
      </c>
      <c r="J490" s="136" t="s">
        <v>168</v>
      </c>
      <c r="K490" s="136" t="s">
        <v>169</v>
      </c>
      <c r="L490" s="136" t="s">
        <v>174</v>
      </c>
      <c r="M490" s="136" t="str">
        <f>VLOOKUP(tbl_IO_List[[#This Row],[Instruement Tag]],tbl_Instruement_List[],2,FALSE)</f>
        <v>Coriolis Flow Transmitter</v>
      </c>
      <c r="N490" s="136" t="s">
        <v>24</v>
      </c>
      <c r="O490" s="136" t="s">
        <v>18</v>
      </c>
      <c r="P490" s="136" t="s">
        <v>172</v>
      </c>
      <c r="Q490" s="136" t="str">
        <f>VLOOKUP(tbl_IO_List[[#This Row],[Instruement Tag]],tbl_Instruement_List[],6,FALSE)</f>
        <v xml:space="preserve">Jet Cooker </v>
      </c>
      <c r="R490" s="136"/>
      <c r="S49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1,DO=0,AI=2,AO=0,Bus=0</v>
      </c>
      <c r="T490" s="136" t="str">
        <f>tbl_IO_List[[#This Row],[Instruement Tag]]&amp;"_"&amp;tbl_IO_List[[#This Row],[I/O Type]]&amp;"_"&amp;tbl_IO_List[[#This Row],[IO-Point 
(Instruement)]]</f>
        <v>FT-40222_AI_2</v>
      </c>
      <c r="U490" s="136" t="s">
        <v>10</v>
      </c>
      <c r="V490" s="136">
        <f>VLOOKUP(tbl_IO_List[[#This Row],[I/O Type]],tbl_Slot_Group[],2,FALSE)</f>
        <v>3</v>
      </c>
      <c r="W490" s="136">
        <v>2</v>
      </c>
      <c r="X490" s="136" t="str">
        <f>tbl_IO_List[[#This Row],[Chassis]]&amp;"S"&amp;TEXT(tbl_IO_List[[#This Row],[Slot]],"00")</f>
        <v>C2S09</v>
      </c>
      <c r="Y490" s="136" t="str">
        <f>tbl_IO_List[[#This Row],[Chassis]]&amp;"S"&amp;TEXT(tbl_IO_List[[#This Row],[Slot]],"00")&amp;tbl_IO_List[[#This Row],[I/O Type]]&amp;TEXT(tbl_IO_List[[#This Row],[Point]],"00")</f>
        <v>C2S09AI03</v>
      </c>
      <c r="Z490" s="136" t="str">
        <f>tbl_IO_List[[#This Row],[Chassis]]&amp;"S"&amp;TEXT(tbl_IO_List[[#This Row],[Slot]],"00")&amp;","&amp;TEXT(tbl_IO_List[[#This Row],[Point]],"00")</f>
        <v>C2S09,03</v>
      </c>
      <c r="AA490" s="136" t="str">
        <f>VLOOKUP(tbl_IO_List[[#This Row],[Column23]],tbl_RackConfig[],5,FALSE) &amp;"-"&amp;tbl_IO_List[[#This Row],[Point]]</f>
        <v>1756-IF16-3</v>
      </c>
      <c r="AB490" s="136"/>
      <c r="AC490" s="136"/>
      <c r="AD490" s="136" t="str">
        <f>tbl_IO_List[[#This Row],[I/O Type]]</f>
        <v>AI</v>
      </c>
      <c r="AE490" s="136" t="s">
        <v>1333</v>
      </c>
      <c r="AF490" s="136">
        <v>9</v>
      </c>
      <c r="AG490" s="136">
        <v>3</v>
      </c>
      <c r="AH490" s="136"/>
      <c r="AI490" s="136"/>
      <c r="AJ490" s="136">
        <v>1</v>
      </c>
      <c r="AK490" s="136">
        <v>0</v>
      </c>
      <c r="AL490" s="136">
        <v>2</v>
      </c>
      <c r="AM490" s="136">
        <v>0</v>
      </c>
      <c r="AN490" s="136">
        <v>0</v>
      </c>
      <c r="AO490" s="136"/>
      <c r="AP490" s="143" t="str">
        <f>VLOOKUP(tbl_IO_List[[#This Row],[Instruement Tag]],tbl_Instruement_List[],14,FALSE)</f>
        <v>4 - 20 mA,Pulse</v>
      </c>
      <c r="AQ490" s="143" t="str">
        <f>tbl_IO_List[[#This Row],[Chassis]]&amp;"S"&amp;tbl_IO_List[[#This Row],[Slot]]&amp;"-"&amp;tbl_IO_List[[#This Row],[Front Terminal Number]]</f>
        <v>C2S9-</v>
      </c>
      <c r="AR490" s="143"/>
      <c r="AS490" s="136" t="str">
        <f>tbl_IO_List[[#This Row],[Terminal Tagging]]&amp;"-"&amp;tbl_IO_List[[#This Row],[Point-Count]]</f>
        <v>-</v>
      </c>
      <c r="AT490" s="136" t="str">
        <f>tbl_IO_List[[#This Row],[Front Terminal Tagging]]&amp;"/"&amp;tbl_IO_List[[#This Row],[Terminal Tagging-Item]]</f>
        <v>C2S9-/-</v>
      </c>
      <c r="AU490" s="136" t="str">
        <f>tbl_IO_List[[#This Row],[Terminal Tagging-Item]]&amp;"/"&amp;tbl_IO_List[[#This Row],[Front Terminal Tagging]]</f>
        <v>-/C2S9-</v>
      </c>
    </row>
    <row r="491" spans="1:47" hidden="1">
      <c r="A491" s="147" t="s">
        <v>1367</v>
      </c>
      <c r="B491" s="136" t="s">
        <v>168</v>
      </c>
      <c r="C491" s="136" t="str">
        <f>tbl_IO_List[[#This Row],[Column3]]</f>
        <v>C2S09,04</v>
      </c>
      <c r="D491" s="136" t="str">
        <f>tbl_IO_List[[#This Row],[Card]]</f>
        <v>1756-IF16-4</v>
      </c>
      <c r="E491" s="136" t="s">
        <v>1366</v>
      </c>
      <c r="F491" s="136" t="str">
        <f>tbl_IO_List[[#This Row],[Column23]]&amp;"-" &amp;tbl_IO_List[[#This Row],[Column52]]</f>
        <v>C2S09-X1</v>
      </c>
      <c r="G491" s="136" t="str">
        <f>tbl_IO_List[[#This Row],[PLC_Tag]]</f>
        <v>PT-40222_AI_1</v>
      </c>
      <c r="H491" s="136"/>
      <c r="I491" s="136" t="str">
        <f>VLOOKUP(tbl_IO_List[[#This Row],[Destination]],tbl_Junction[],2,FALSE)</f>
        <v>Jet Cooker 2nd Floor</v>
      </c>
      <c r="J491" s="136" t="s">
        <v>168</v>
      </c>
      <c r="K491" s="136" t="s">
        <v>169</v>
      </c>
      <c r="L491" s="136" t="s">
        <v>177</v>
      </c>
      <c r="M491" s="136" t="str">
        <f>VLOOKUP(tbl_IO_List[[#This Row],[Instruement Tag]],tbl_Instruement_List[],2,FALSE)</f>
        <v>Pressure Transmitter</v>
      </c>
      <c r="N491" s="136" t="s">
        <v>24</v>
      </c>
      <c r="O491" s="136" t="s">
        <v>18</v>
      </c>
      <c r="P491" s="136" t="s">
        <v>172</v>
      </c>
      <c r="Q491" s="136" t="str">
        <f>VLOOKUP(tbl_IO_List[[#This Row],[Instruement Tag]],tbl_Instruement_List[],6,FALSE)</f>
        <v xml:space="preserve">Jet Cooker </v>
      </c>
      <c r="R491" s="136"/>
      <c r="S49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491" s="136" t="str">
        <f>tbl_IO_List[[#This Row],[Instruement Tag]]&amp;"_"&amp;tbl_IO_List[[#This Row],[I/O Type]]&amp;"_"&amp;tbl_IO_List[[#This Row],[IO-Point 
(Instruement)]]</f>
        <v>PT-40222_AI_1</v>
      </c>
      <c r="U491" s="136" t="s">
        <v>10</v>
      </c>
      <c r="V491" s="136">
        <f>VLOOKUP(tbl_IO_List[[#This Row],[I/O Type]],tbl_Slot_Group[],2,FALSE)</f>
        <v>3</v>
      </c>
      <c r="W491" s="136">
        <v>1</v>
      </c>
      <c r="X491" s="136" t="str">
        <f>tbl_IO_List[[#This Row],[Chassis]]&amp;"S"&amp;TEXT(tbl_IO_List[[#This Row],[Slot]],"00")</f>
        <v>C2S09</v>
      </c>
      <c r="Y491" s="136" t="str">
        <f>tbl_IO_List[[#This Row],[Chassis]]&amp;"S"&amp;TEXT(tbl_IO_List[[#This Row],[Slot]],"00")&amp;tbl_IO_List[[#This Row],[I/O Type]]&amp;TEXT(tbl_IO_List[[#This Row],[Point]],"00")</f>
        <v>C2S09AI04</v>
      </c>
      <c r="Z491" s="136" t="str">
        <f>tbl_IO_List[[#This Row],[Chassis]]&amp;"S"&amp;TEXT(tbl_IO_List[[#This Row],[Slot]],"00")&amp;","&amp;TEXT(tbl_IO_List[[#This Row],[Point]],"00")</f>
        <v>C2S09,04</v>
      </c>
      <c r="AA491" s="136" t="str">
        <f>VLOOKUP(tbl_IO_List[[#This Row],[Column23]],tbl_RackConfig[],5,FALSE) &amp;"-"&amp;tbl_IO_List[[#This Row],[Point]]</f>
        <v>1756-IF16-4</v>
      </c>
      <c r="AB491" s="136"/>
      <c r="AC491" s="136"/>
      <c r="AD491" s="136" t="str">
        <f>tbl_IO_List[[#This Row],[I/O Type]]</f>
        <v>AI</v>
      </c>
      <c r="AE491" s="136" t="s">
        <v>1333</v>
      </c>
      <c r="AF491" s="136">
        <v>9</v>
      </c>
      <c r="AG491" s="136">
        <v>4</v>
      </c>
      <c r="AH491" s="136"/>
      <c r="AI491" s="136"/>
      <c r="AJ491" s="136">
        <v>0</v>
      </c>
      <c r="AK491" s="136">
        <v>0</v>
      </c>
      <c r="AL491" s="136">
        <v>1</v>
      </c>
      <c r="AM491" s="136">
        <v>0</v>
      </c>
      <c r="AN491" s="136">
        <v>0</v>
      </c>
      <c r="AO491" s="136"/>
      <c r="AP491" s="143" t="str">
        <f>VLOOKUP(tbl_IO_List[[#This Row],[Instruement Tag]],tbl_Instruement_List[],14,FALSE)</f>
        <v>4 - 20 mA</v>
      </c>
      <c r="AQ491" s="143" t="str">
        <f>tbl_IO_List[[#This Row],[Chassis]]&amp;"S"&amp;tbl_IO_List[[#This Row],[Slot]]&amp;"-"&amp;tbl_IO_List[[#This Row],[Front Terminal Number]]</f>
        <v>C2S9-</v>
      </c>
      <c r="AR491" s="143"/>
      <c r="AS491" s="136" t="str">
        <f>tbl_IO_List[[#This Row],[Terminal Tagging]]&amp;"-"&amp;tbl_IO_List[[#This Row],[Point-Count]]</f>
        <v>-</v>
      </c>
      <c r="AT491" s="136" t="str">
        <f>tbl_IO_List[[#This Row],[Front Terminal Tagging]]&amp;"/"&amp;tbl_IO_List[[#This Row],[Terminal Tagging-Item]]</f>
        <v>C2S9-/-</v>
      </c>
      <c r="AU491" s="136" t="str">
        <f>tbl_IO_List[[#This Row],[Terminal Tagging-Item]]&amp;"/"&amp;tbl_IO_List[[#This Row],[Front Terminal Tagging]]</f>
        <v>-/C2S9-</v>
      </c>
    </row>
    <row r="492" spans="1:47" hidden="1">
      <c r="A492" s="147" t="s">
        <v>1367</v>
      </c>
      <c r="B492" s="136" t="s">
        <v>168</v>
      </c>
      <c r="C492" s="136" t="str">
        <f>tbl_IO_List[[#This Row],[Column3]]</f>
        <v>C2S09,05</v>
      </c>
      <c r="D492" s="136" t="str">
        <f>tbl_IO_List[[#This Row],[Card]]</f>
        <v>1756-IF16-5</v>
      </c>
      <c r="E492" s="136" t="s">
        <v>1366</v>
      </c>
      <c r="F492" s="136" t="str">
        <f>tbl_IO_List[[#This Row],[Column23]]&amp;"-" &amp;tbl_IO_List[[#This Row],[Column52]]</f>
        <v>C2S09-X1</v>
      </c>
      <c r="G492" s="136" t="str">
        <f>tbl_IO_List[[#This Row],[PLC_Tag]]</f>
        <v>TT-40221_AI_1</v>
      </c>
      <c r="H492" s="136"/>
      <c r="I492" s="136" t="str">
        <f>VLOOKUP(tbl_IO_List[[#This Row],[Destination]],tbl_Junction[],2,FALSE)</f>
        <v>Jet Cooker 2nd Floor</v>
      </c>
      <c r="J492" s="136" t="s">
        <v>168</v>
      </c>
      <c r="K492" s="136" t="s">
        <v>169</v>
      </c>
      <c r="L492" s="136" t="s">
        <v>178</v>
      </c>
      <c r="M492" s="136">
        <f>VLOOKUP(tbl_IO_List[[#This Row],[Instruement Tag]],tbl_Instruement_List[],2,FALSE)</f>
        <v>0</v>
      </c>
      <c r="N492" s="136" t="s">
        <v>24</v>
      </c>
      <c r="O492" s="136" t="s">
        <v>18</v>
      </c>
      <c r="P492" s="136" t="s">
        <v>172</v>
      </c>
      <c r="Q492" s="136" t="str">
        <f>VLOOKUP(tbl_IO_List[[#This Row],[Instruement Tag]],tbl_Instruement_List[],6,FALSE)</f>
        <v xml:space="preserve">Jet Cooker </v>
      </c>
      <c r="R492" s="136"/>
      <c r="S49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492" s="136" t="str">
        <f>tbl_IO_List[[#This Row],[Instruement Tag]]&amp;"_"&amp;tbl_IO_List[[#This Row],[I/O Type]]&amp;"_"&amp;tbl_IO_List[[#This Row],[IO-Point 
(Instruement)]]</f>
        <v>TT-40221_AI_1</v>
      </c>
      <c r="U492" s="136" t="s">
        <v>10</v>
      </c>
      <c r="V492" s="136">
        <f>VLOOKUP(tbl_IO_List[[#This Row],[I/O Type]],tbl_Slot_Group[],2,FALSE)</f>
        <v>3</v>
      </c>
      <c r="W492" s="136">
        <v>1</v>
      </c>
      <c r="X492" s="136" t="str">
        <f>tbl_IO_List[[#This Row],[Chassis]]&amp;"S"&amp;TEXT(tbl_IO_List[[#This Row],[Slot]],"00")</f>
        <v>C2S09</v>
      </c>
      <c r="Y492" s="136" t="str">
        <f>tbl_IO_List[[#This Row],[Chassis]]&amp;"S"&amp;TEXT(tbl_IO_List[[#This Row],[Slot]],"00")&amp;tbl_IO_List[[#This Row],[I/O Type]]&amp;TEXT(tbl_IO_List[[#This Row],[Point]],"00")</f>
        <v>C2S09AI05</v>
      </c>
      <c r="Z492" s="136" t="str">
        <f>tbl_IO_List[[#This Row],[Chassis]]&amp;"S"&amp;TEXT(tbl_IO_List[[#This Row],[Slot]],"00")&amp;","&amp;TEXT(tbl_IO_List[[#This Row],[Point]],"00")</f>
        <v>C2S09,05</v>
      </c>
      <c r="AA492" s="136" t="str">
        <f>VLOOKUP(tbl_IO_List[[#This Row],[Column23]],tbl_RackConfig[],5,FALSE) &amp;"-"&amp;tbl_IO_List[[#This Row],[Point]]</f>
        <v>1756-IF16-5</v>
      </c>
      <c r="AB492" s="136"/>
      <c r="AC492" s="136"/>
      <c r="AD492" s="136" t="str">
        <f>tbl_IO_List[[#This Row],[I/O Type]]</f>
        <v>AI</v>
      </c>
      <c r="AE492" s="136" t="s">
        <v>1333</v>
      </c>
      <c r="AF492" s="136">
        <v>9</v>
      </c>
      <c r="AG492" s="136">
        <v>5</v>
      </c>
      <c r="AH492" s="136"/>
      <c r="AI492" s="136"/>
      <c r="AJ492" s="136">
        <v>0</v>
      </c>
      <c r="AK492" s="136">
        <v>0</v>
      </c>
      <c r="AL492" s="136">
        <v>1</v>
      </c>
      <c r="AM492" s="136">
        <v>0</v>
      </c>
      <c r="AN492" s="136">
        <v>0</v>
      </c>
      <c r="AO492" s="136"/>
      <c r="AP492" s="143" t="str">
        <f>VLOOKUP(tbl_IO_List[[#This Row],[Instruement Tag]],tbl_Instruement_List[],14,FALSE)</f>
        <v>4 - 20 mA</v>
      </c>
      <c r="AQ492" s="143" t="str">
        <f>tbl_IO_List[[#This Row],[Chassis]]&amp;"S"&amp;tbl_IO_List[[#This Row],[Slot]]&amp;"-"&amp;tbl_IO_List[[#This Row],[Front Terminal Number]]</f>
        <v>C2S9-</v>
      </c>
      <c r="AR492" s="143"/>
      <c r="AS492" s="136" t="str">
        <f>tbl_IO_List[[#This Row],[Terminal Tagging]]&amp;"-"&amp;tbl_IO_List[[#This Row],[Point-Count]]</f>
        <v>-</v>
      </c>
      <c r="AT492" s="136" t="str">
        <f>tbl_IO_List[[#This Row],[Front Terminal Tagging]]&amp;"/"&amp;tbl_IO_List[[#This Row],[Terminal Tagging-Item]]</f>
        <v>C2S9-/-</v>
      </c>
      <c r="AU492" s="136" t="str">
        <f>tbl_IO_List[[#This Row],[Terminal Tagging-Item]]&amp;"/"&amp;tbl_IO_List[[#This Row],[Front Terminal Tagging]]</f>
        <v>-/C2S9-</v>
      </c>
    </row>
    <row r="493" spans="1:47" hidden="1">
      <c r="A493" s="147" t="s">
        <v>1367</v>
      </c>
      <c r="B493" s="136" t="s">
        <v>168</v>
      </c>
      <c r="C493" s="136" t="str">
        <f>tbl_IO_List[[#This Row],[Column3]]</f>
        <v>C2S09,06</v>
      </c>
      <c r="D493" s="136" t="str">
        <f>tbl_IO_List[[#This Row],[Card]]</f>
        <v>1756-IF16-6</v>
      </c>
      <c r="E493" s="136" t="s">
        <v>1366</v>
      </c>
      <c r="F493" s="136" t="str">
        <f>tbl_IO_List[[#This Row],[Column23]]&amp;"-" &amp;tbl_IO_List[[#This Row],[Column52]]</f>
        <v>C2S09-X1</v>
      </c>
      <c r="G493" s="136" t="str">
        <f>tbl_IO_List[[#This Row],[PLC_Tag]]</f>
        <v>TT-40222_AI_1</v>
      </c>
      <c r="H493" s="136"/>
      <c r="I493" s="136" t="str">
        <f>VLOOKUP(tbl_IO_List[[#This Row],[Destination]],tbl_Junction[],2,FALSE)</f>
        <v>Jet Cooker 2nd Floor</v>
      </c>
      <c r="J493" s="136" t="s">
        <v>168</v>
      </c>
      <c r="K493" s="136" t="s">
        <v>169</v>
      </c>
      <c r="L493" s="136" t="s">
        <v>179</v>
      </c>
      <c r="M493" s="136">
        <f>VLOOKUP(tbl_IO_List[[#This Row],[Instruement Tag]],tbl_Instruement_List[],2,FALSE)</f>
        <v>0</v>
      </c>
      <c r="N493" s="136" t="s">
        <v>24</v>
      </c>
      <c r="O493" s="136" t="s">
        <v>18</v>
      </c>
      <c r="P493" s="136" t="s">
        <v>172</v>
      </c>
      <c r="Q493" s="136" t="str">
        <f>VLOOKUP(tbl_IO_List[[#This Row],[Instruement Tag]],tbl_Instruement_List[],6,FALSE)</f>
        <v xml:space="preserve">Jet Cooker </v>
      </c>
      <c r="R493" s="136"/>
      <c r="S49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493" s="136" t="str">
        <f>tbl_IO_List[[#This Row],[Instruement Tag]]&amp;"_"&amp;tbl_IO_List[[#This Row],[I/O Type]]&amp;"_"&amp;tbl_IO_List[[#This Row],[IO-Point 
(Instruement)]]</f>
        <v>TT-40222_AI_1</v>
      </c>
      <c r="U493" s="136" t="s">
        <v>10</v>
      </c>
      <c r="V493" s="136">
        <f>VLOOKUP(tbl_IO_List[[#This Row],[I/O Type]],tbl_Slot_Group[],2,FALSE)</f>
        <v>3</v>
      </c>
      <c r="W493" s="136">
        <v>1</v>
      </c>
      <c r="X493" s="136" t="str">
        <f>tbl_IO_List[[#This Row],[Chassis]]&amp;"S"&amp;TEXT(tbl_IO_List[[#This Row],[Slot]],"00")</f>
        <v>C2S09</v>
      </c>
      <c r="Y493" s="136" t="str">
        <f>tbl_IO_List[[#This Row],[Chassis]]&amp;"S"&amp;TEXT(tbl_IO_List[[#This Row],[Slot]],"00")&amp;tbl_IO_List[[#This Row],[I/O Type]]&amp;TEXT(tbl_IO_List[[#This Row],[Point]],"00")</f>
        <v>C2S09AI06</v>
      </c>
      <c r="Z493" s="136" t="str">
        <f>tbl_IO_List[[#This Row],[Chassis]]&amp;"S"&amp;TEXT(tbl_IO_List[[#This Row],[Slot]],"00")&amp;","&amp;TEXT(tbl_IO_List[[#This Row],[Point]],"00")</f>
        <v>C2S09,06</v>
      </c>
      <c r="AA493" s="136" t="str">
        <f>VLOOKUP(tbl_IO_List[[#This Row],[Column23]],tbl_RackConfig[],5,FALSE) &amp;"-"&amp;tbl_IO_List[[#This Row],[Point]]</f>
        <v>1756-IF16-6</v>
      </c>
      <c r="AB493" s="136"/>
      <c r="AC493" s="136"/>
      <c r="AD493" s="136" t="str">
        <f>tbl_IO_List[[#This Row],[I/O Type]]</f>
        <v>AI</v>
      </c>
      <c r="AE493" s="136" t="s">
        <v>1333</v>
      </c>
      <c r="AF493" s="136">
        <v>9</v>
      </c>
      <c r="AG493" s="136">
        <v>6</v>
      </c>
      <c r="AH493" s="136"/>
      <c r="AI493" s="136"/>
      <c r="AJ493" s="136">
        <v>0</v>
      </c>
      <c r="AK493" s="136">
        <v>0</v>
      </c>
      <c r="AL493" s="136">
        <v>1</v>
      </c>
      <c r="AM493" s="136">
        <v>0</v>
      </c>
      <c r="AN493" s="136">
        <v>0</v>
      </c>
      <c r="AO493" s="136"/>
      <c r="AP493" s="143" t="str">
        <f>VLOOKUP(tbl_IO_List[[#This Row],[Instruement Tag]],tbl_Instruement_List[],14,FALSE)</f>
        <v>4 - 20 mA</v>
      </c>
      <c r="AQ493" s="143" t="str">
        <f>tbl_IO_List[[#This Row],[Chassis]]&amp;"S"&amp;tbl_IO_List[[#This Row],[Slot]]&amp;"-"&amp;tbl_IO_List[[#This Row],[Front Terminal Number]]</f>
        <v>C2S9-</v>
      </c>
      <c r="AR493" s="143"/>
      <c r="AS493" s="136" t="str">
        <f>tbl_IO_List[[#This Row],[Terminal Tagging]]&amp;"-"&amp;tbl_IO_List[[#This Row],[Point-Count]]</f>
        <v>-</v>
      </c>
      <c r="AT493" s="136" t="str">
        <f>tbl_IO_List[[#This Row],[Front Terminal Tagging]]&amp;"/"&amp;tbl_IO_List[[#This Row],[Terminal Tagging-Item]]</f>
        <v>C2S9-/-</v>
      </c>
      <c r="AU493" s="136" t="str">
        <f>tbl_IO_List[[#This Row],[Terminal Tagging-Item]]&amp;"/"&amp;tbl_IO_List[[#This Row],[Front Terminal Tagging]]</f>
        <v>-/C2S9-</v>
      </c>
    </row>
    <row r="494" spans="1:47" hidden="1">
      <c r="A494" s="147" t="s">
        <v>1367</v>
      </c>
      <c r="B494" s="136" t="s">
        <v>168</v>
      </c>
      <c r="C494" s="136" t="str">
        <f>tbl_IO_List[[#This Row],[Column3]]</f>
        <v>C2S09,07</v>
      </c>
      <c r="D494" s="136" t="str">
        <f>tbl_IO_List[[#This Row],[Card]]</f>
        <v>1756-IF16-7</v>
      </c>
      <c r="E494" s="136" t="s">
        <v>1366</v>
      </c>
      <c r="F494" s="136" t="str">
        <f>tbl_IO_List[[#This Row],[Column23]]&amp;"-" &amp;tbl_IO_List[[#This Row],[Column52]]</f>
        <v>C2S09-X1</v>
      </c>
      <c r="G494" s="136" t="str">
        <f>tbl_IO_List[[#This Row],[PLC_Tag]]</f>
        <v>Spare_AI_0</v>
      </c>
      <c r="H494" s="136"/>
      <c r="I494" s="136" t="str">
        <f>VLOOKUP(tbl_IO_List[[#This Row],[Destination]],tbl_Junction[],2,FALSE)</f>
        <v>Jet Cooker 2nd Floor</v>
      </c>
      <c r="J494" s="136"/>
      <c r="K494" s="136"/>
      <c r="L494" s="136" t="s">
        <v>411</v>
      </c>
      <c r="M494" s="136" t="e">
        <f>VLOOKUP(tbl_IO_List[[#This Row],[Instruement Tag]],tbl_Instruement_List[],2,FALSE)</f>
        <v>#N/A</v>
      </c>
      <c r="N494" s="136"/>
      <c r="O494" s="136"/>
      <c r="P494" s="136"/>
      <c r="Q494" s="136" t="e">
        <f>VLOOKUP(tbl_IO_List[[#This Row],[Instruement Tag]],tbl_Instruement_List[],6,FALSE)</f>
        <v>#N/A</v>
      </c>
      <c r="R494" s="136"/>
      <c r="S49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494" s="136" t="str">
        <f>tbl_IO_List[[#This Row],[Instruement Tag]]&amp;"_"&amp;tbl_IO_List[[#This Row],[I/O Type]]&amp;"_"&amp;tbl_IO_List[[#This Row],[IO-Point 
(Instruement)]]</f>
        <v>Spare_AI_0</v>
      </c>
      <c r="U494" s="136" t="s">
        <v>10</v>
      </c>
      <c r="V494" s="136">
        <f>VLOOKUP(tbl_IO_List[[#This Row],[I/O Type]],tbl_Slot_Group[],2,FALSE)</f>
        <v>3</v>
      </c>
      <c r="W494" s="136">
        <v>0</v>
      </c>
      <c r="X494" s="136" t="str">
        <f>tbl_IO_List[[#This Row],[Chassis]]&amp;"S"&amp;TEXT(tbl_IO_List[[#This Row],[Slot]],"00")</f>
        <v>C2S09</v>
      </c>
      <c r="Y494" s="136" t="str">
        <f>tbl_IO_List[[#This Row],[Chassis]]&amp;"S"&amp;TEXT(tbl_IO_List[[#This Row],[Slot]],"00")&amp;tbl_IO_List[[#This Row],[I/O Type]]&amp;TEXT(tbl_IO_List[[#This Row],[Point]],"00")</f>
        <v>C2S09AI07</v>
      </c>
      <c r="Z494" s="136" t="str">
        <f>tbl_IO_List[[#This Row],[Chassis]]&amp;"S"&amp;TEXT(tbl_IO_List[[#This Row],[Slot]],"00")&amp;","&amp;TEXT(tbl_IO_List[[#This Row],[Point]],"00")</f>
        <v>C2S09,07</v>
      </c>
      <c r="AA494" s="136" t="str">
        <f>VLOOKUP(tbl_IO_List[[#This Row],[Column23]],tbl_RackConfig[],5,FALSE) &amp;"-"&amp;tbl_IO_List[[#This Row],[Point]]</f>
        <v>1756-IF16-7</v>
      </c>
      <c r="AB494" s="136"/>
      <c r="AC494" s="136"/>
      <c r="AD494" s="136" t="str">
        <f>tbl_IO_List[[#This Row],[I/O Type]]</f>
        <v>AI</v>
      </c>
      <c r="AE494" s="136" t="s">
        <v>1333</v>
      </c>
      <c r="AF494" s="136">
        <v>9</v>
      </c>
      <c r="AG494" s="136">
        <v>7</v>
      </c>
      <c r="AH494" s="136"/>
      <c r="AI494" s="136"/>
      <c r="AJ494" s="136">
        <v>0</v>
      </c>
      <c r="AK494" s="136">
        <v>0</v>
      </c>
      <c r="AL494" s="136">
        <v>1</v>
      </c>
      <c r="AM494" s="136">
        <v>0</v>
      </c>
      <c r="AN494" s="136">
        <v>0</v>
      </c>
      <c r="AO494" s="136"/>
      <c r="AP494" s="143" t="e">
        <f>VLOOKUP(tbl_IO_List[[#This Row],[Instruement Tag]],tbl_Instruement_List[],14,FALSE)</f>
        <v>#N/A</v>
      </c>
      <c r="AQ494" s="143" t="str">
        <f>tbl_IO_List[[#This Row],[Chassis]]&amp;"S"&amp;tbl_IO_List[[#This Row],[Slot]]&amp;"-"&amp;tbl_IO_List[[#This Row],[Front Terminal Number]]</f>
        <v>C2S9-</v>
      </c>
      <c r="AR494" s="143"/>
      <c r="AS494" s="136" t="str">
        <f>tbl_IO_List[[#This Row],[Terminal Tagging]]&amp;"-"&amp;tbl_IO_List[[#This Row],[Point-Count]]</f>
        <v>-</v>
      </c>
      <c r="AT494" s="136" t="str">
        <f>tbl_IO_List[[#This Row],[Front Terminal Tagging]]&amp;"/"&amp;tbl_IO_List[[#This Row],[Terminal Tagging-Item]]</f>
        <v>C2S9-/-</v>
      </c>
      <c r="AU494" s="136" t="str">
        <f>tbl_IO_List[[#This Row],[Terminal Tagging-Item]]&amp;"/"&amp;tbl_IO_List[[#This Row],[Front Terminal Tagging]]</f>
        <v>-/C2S9-</v>
      </c>
    </row>
    <row r="495" spans="1:47" hidden="1">
      <c r="A495" s="147" t="s">
        <v>1367</v>
      </c>
      <c r="B495" s="136" t="s">
        <v>168</v>
      </c>
      <c r="C495" s="136" t="str">
        <f>tbl_IO_List[[#This Row],[Column3]]</f>
        <v>C2S09,08</v>
      </c>
      <c r="D495" s="136" t="str">
        <f>tbl_IO_List[[#This Row],[Card]]</f>
        <v>1756-IF16-8</v>
      </c>
      <c r="E495" s="136" t="s">
        <v>1366</v>
      </c>
      <c r="F495" s="136" t="str">
        <f>tbl_IO_List[[#This Row],[Column23]]&amp;"-" &amp;tbl_IO_List[[#This Row],[Column52]]</f>
        <v>C2S09-X1</v>
      </c>
      <c r="G495" s="136" t="str">
        <f>tbl_IO_List[[#This Row],[PLC_Tag]]</f>
        <v>Spare_AI_0</v>
      </c>
      <c r="H495" s="136"/>
      <c r="I495" s="136" t="str">
        <f>VLOOKUP(tbl_IO_List[[#This Row],[Destination]],tbl_Junction[],2,FALSE)</f>
        <v>Jet Cooker 2nd Floor</v>
      </c>
      <c r="J495" s="136"/>
      <c r="K495" s="136"/>
      <c r="L495" s="136" t="s">
        <v>411</v>
      </c>
      <c r="M495" s="136" t="e">
        <f>VLOOKUP(tbl_IO_List[[#This Row],[Instruement Tag]],tbl_Instruement_List[],2,FALSE)</f>
        <v>#N/A</v>
      </c>
      <c r="N495" s="136"/>
      <c r="O495" s="136"/>
      <c r="P495" s="136"/>
      <c r="Q495" s="136" t="e">
        <f>VLOOKUP(tbl_IO_List[[#This Row],[Instruement Tag]],tbl_Instruement_List[],6,FALSE)</f>
        <v>#N/A</v>
      </c>
      <c r="R495" s="136"/>
      <c r="S49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495" s="136" t="str">
        <f>tbl_IO_List[[#This Row],[Instruement Tag]]&amp;"_"&amp;tbl_IO_List[[#This Row],[I/O Type]]&amp;"_"&amp;tbl_IO_List[[#This Row],[IO-Point 
(Instruement)]]</f>
        <v>Spare_AI_0</v>
      </c>
      <c r="U495" s="136" t="s">
        <v>10</v>
      </c>
      <c r="V495" s="136">
        <f>VLOOKUP(tbl_IO_List[[#This Row],[I/O Type]],tbl_Slot_Group[],2,FALSE)</f>
        <v>3</v>
      </c>
      <c r="W495" s="136">
        <v>0</v>
      </c>
      <c r="X495" s="136" t="str">
        <f>tbl_IO_List[[#This Row],[Chassis]]&amp;"S"&amp;TEXT(tbl_IO_List[[#This Row],[Slot]],"00")</f>
        <v>C2S09</v>
      </c>
      <c r="Y495" s="136" t="str">
        <f>tbl_IO_List[[#This Row],[Chassis]]&amp;"S"&amp;TEXT(tbl_IO_List[[#This Row],[Slot]],"00")&amp;tbl_IO_List[[#This Row],[I/O Type]]&amp;TEXT(tbl_IO_List[[#This Row],[Point]],"00")</f>
        <v>C2S09AI08</v>
      </c>
      <c r="Z495" s="136" t="str">
        <f>tbl_IO_List[[#This Row],[Chassis]]&amp;"S"&amp;TEXT(tbl_IO_List[[#This Row],[Slot]],"00")&amp;","&amp;TEXT(tbl_IO_List[[#This Row],[Point]],"00")</f>
        <v>C2S09,08</v>
      </c>
      <c r="AA495" s="136" t="str">
        <f>VLOOKUP(tbl_IO_List[[#This Row],[Column23]],tbl_RackConfig[],5,FALSE) &amp;"-"&amp;tbl_IO_List[[#This Row],[Point]]</f>
        <v>1756-IF16-8</v>
      </c>
      <c r="AB495" s="136"/>
      <c r="AC495" s="136"/>
      <c r="AD495" s="136" t="str">
        <f>tbl_IO_List[[#This Row],[I/O Type]]</f>
        <v>AI</v>
      </c>
      <c r="AE495" s="136" t="s">
        <v>1333</v>
      </c>
      <c r="AF495" s="136">
        <v>9</v>
      </c>
      <c r="AG495" s="136">
        <v>8</v>
      </c>
      <c r="AH495" s="136"/>
      <c r="AI495" s="136"/>
      <c r="AJ495" s="136">
        <v>0</v>
      </c>
      <c r="AK495" s="136">
        <v>0</v>
      </c>
      <c r="AL495" s="136">
        <v>1</v>
      </c>
      <c r="AM495" s="136">
        <v>0</v>
      </c>
      <c r="AN495" s="136">
        <v>0</v>
      </c>
      <c r="AO495" s="136"/>
      <c r="AP495" s="143" t="e">
        <f>VLOOKUP(tbl_IO_List[[#This Row],[Instruement Tag]],tbl_Instruement_List[],14,FALSE)</f>
        <v>#N/A</v>
      </c>
      <c r="AQ495" s="143" t="str">
        <f>tbl_IO_List[[#This Row],[Chassis]]&amp;"S"&amp;tbl_IO_List[[#This Row],[Slot]]&amp;"-"&amp;tbl_IO_List[[#This Row],[Front Terminal Number]]</f>
        <v>C2S9-</v>
      </c>
      <c r="AR495" s="143"/>
      <c r="AS495" s="136" t="str">
        <f>tbl_IO_List[[#This Row],[Terminal Tagging]]&amp;"-"&amp;tbl_IO_List[[#This Row],[Point-Count]]</f>
        <v>-</v>
      </c>
      <c r="AT495" s="136" t="str">
        <f>tbl_IO_List[[#This Row],[Front Terminal Tagging]]&amp;"/"&amp;tbl_IO_List[[#This Row],[Terminal Tagging-Item]]</f>
        <v>C2S9-/-</v>
      </c>
      <c r="AU495" s="136" t="str">
        <f>tbl_IO_List[[#This Row],[Terminal Tagging-Item]]&amp;"/"&amp;tbl_IO_List[[#This Row],[Front Terminal Tagging]]</f>
        <v>-/C2S9-</v>
      </c>
    </row>
    <row r="496" spans="1:47" hidden="1">
      <c r="A496" s="147" t="s">
        <v>1367</v>
      </c>
      <c r="B496" s="136" t="s">
        <v>168</v>
      </c>
      <c r="C496" s="136" t="str">
        <f>tbl_IO_List[[#This Row],[Column3]]</f>
        <v>C2S09,09</v>
      </c>
      <c r="D496" s="136" t="str">
        <f>tbl_IO_List[[#This Row],[Card]]</f>
        <v>1756-IF16-9</v>
      </c>
      <c r="E496" s="136" t="s">
        <v>1366</v>
      </c>
      <c r="F496" s="136" t="str">
        <f>tbl_IO_List[[#This Row],[Column23]]&amp;"-" &amp;tbl_IO_List[[#This Row],[Column52]]</f>
        <v>C2S09-X1</v>
      </c>
      <c r="G496" s="136" t="str">
        <f>tbl_IO_List[[#This Row],[PLC_Tag]]</f>
        <v>Spare_AI_0</v>
      </c>
      <c r="H496" s="136"/>
      <c r="I496" s="136" t="str">
        <f>VLOOKUP(tbl_IO_List[[#This Row],[Destination]],tbl_Junction[],2,FALSE)</f>
        <v>Jet Cooker 2nd Floor</v>
      </c>
      <c r="J496" s="136"/>
      <c r="K496" s="136"/>
      <c r="L496" s="136" t="s">
        <v>411</v>
      </c>
      <c r="M496" s="136" t="e">
        <f>VLOOKUP(tbl_IO_List[[#This Row],[Instruement Tag]],tbl_Instruement_List[],2,FALSE)</f>
        <v>#N/A</v>
      </c>
      <c r="N496" s="136"/>
      <c r="O496" s="136"/>
      <c r="P496" s="136"/>
      <c r="Q496" s="136" t="e">
        <f>VLOOKUP(tbl_IO_List[[#This Row],[Instruement Tag]],tbl_Instruement_List[],6,FALSE)</f>
        <v>#N/A</v>
      </c>
      <c r="R496" s="136"/>
      <c r="S49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496" s="136" t="str">
        <f>tbl_IO_List[[#This Row],[Instruement Tag]]&amp;"_"&amp;tbl_IO_List[[#This Row],[I/O Type]]&amp;"_"&amp;tbl_IO_List[[#This Row],[IO-Point 
(Instruement)]]</f>
        <v>Spare_AI_0</v>
      </c>
      <c r="U496" s="136" t="s">
        <v>10</v>
      </c>
      <c r="V496" s="136">
        <f>VLOOKUP(tbl_IO_List[[#This Row],[I/O Type]],tbl_Slot_Group[],2,FALSE)</f>
        <v>3</v>
      </c>
      <c r="W496" s="136">
        <v>0</v>
      </c>
      <c r="X496" s="136" t="str">
        <f>tbl_IO_List[[#This Row],[Chassis]]&amp;"S"&amp;TEXT(tbl_IO_List[[#This Row],[Slot]],"00")</f>
        <v>C2S09</v>
      </c>
      <c r="Y496" s="136" t="str">
        <f>tbl_IO_List[[#This Row],[Chassis]]&amp;"S"&amp;TEXT(tbl_IO_List[[#This Row],[Slot]],"00")&amp;tbl_IO_List[[#This Row],[I/O Type]]&amp;TEXT(tbl_IO_List[[#This Row],[Point]],"00")</f>
        <v>C2S09AI09</v>
      </c>
      <c r="Z496" s="136" t="str">
        <f>tbl_IO_List[[#This Row],[Chassis]]&amp;"S"&amp;TEXT(tbl_IO_List[[#This Row],[Slot]],"00")&amp;","&amp;TEXT(tbl_IO_List[[#This Row],[Point]],"00")</f>
        <v>C2S09,09</v>
      </c>
      <c r="AA496" s="136" t="str">
        <f>VLOOKUP(tbl_IO_List[[#This Row],[Column23]],tbl_RackConfig[],5,FALSE) &amp;"-"&amp;tbl_IO_List[[#This Row],[Point]]</f>
        <v>1756-IF16-9</v>
      </c>
      <c r="AB496" s="136"/>
      <c r="AC496" s="136"/>
      <c r="AD496" s="136" t="str">
        <f>tbl_IO_List[[#This Row],[I/O Type]]</f>
        <v>AI</v>
      </c>
      <c r="AE496" s="136" t="s">
        <v>1333</v>
      </c>
      <c r="AF496" s="136">
        <v>9</v>
      </c>
      <c r="AG496" s="136">
        <v>9</v>
      </c>
      <c r="AH496" s="136"/>
      <c r="AI496" s="136"/>
      <c r="AJ496" s="136">
        <v>0</v>
      </c>
      <c r="AK496" s="136">
        <v>0</v>
      </c>
      <c r="AL496" s="136">
        <v>1</v>
      </c>
      <c r="AM496" s="136">
        <v>0</v>
      </c>
      <c r="AN496" s="136">
        <v>0</v>
      </c>
      <c r="AO496" s="136"/>
      <c r="AP496" s="143" t="e">
        <f>VLOOKUP(tbl_IO_List[[#This Row],[Instruement Tag]],tbl_Instruement_List[],14,FALSE)</f>
        <v>#N/A</v>
      </c>
      <c r="AQ496" s="143" t="str">
        <f>tbl_IO_List[[#This Row],[Chassis]]&amp;"S"&amp;tbl_IO_List[[#This Row],[Slot]]&amp;"-"&amp;tbl_IO_List[[#This Row],[Front Terminal Number]]</f>
        <v>C2S9-</v>
      </c>
      <c r="AR496" s="143"/>
      <c r="AS496" s="136" t="str">
        <f>tbl_IO_List[[#This Row],[Terminal Tagging]]&amp;"-"&amp;tbl_IO_List[[#This Row],[Point-Count]]</f>
        <v>-</v>
      </c>
      <c r="AT496" s="136" t="str">
        <f>tbl_IO_List[[#This Row],[Front Terminal Tagging]]&amp;"/"&amp;tbl_IO_List[[#This Row],[Terminal Tagging-Item]]</f>
        <v>C2S9-/-</v>
      </c>
      <c r="AU496" s="136" t="str">
        <f>tbl_IO_List[[#This Row],[Terminal Tagging-Item]]&amp;"/"&amp;tbl_IO_List[[#This Row],[Front Terminal Tagging]]</f>
        <v>-/C2S9-</v>
      </c>
    </row>
    <row r="497" spans="1:47" hidden="1">
      <c r="A497" s="147" t="s">
        <v>1367</v>
      </c>
      <c r="B497" s="136" t="s">
        <v>168</v>
      </c>
      <c r="C497" s="136" t="str">
        <f>tbl_IO_List[[#This Row],[Column3]]</f>
        <v>C2S09,10</v>
      </c>
      <c r="D497" s="136" t="str">
        <f>tbl_IO_List[[#This Row],[Card]]</f>
        <v>1756-IF16-10</v>
      </c>
      <c r="E497" s="136" t="s">
        <v>1366</v>
      </c>
      <c r="F497" s="136" t="str">
        <f>tbl_IO_List[[#This Row],[Column23]]&amp;"-" &amp;tbl_IO_List[[#This Row],[Column52]]</f>
        <v>C2S09-X1</v>
      </c>
      <c r="G497" s="136" t="str">
        <f>tbl_IO_List[[#This Row],[PLC_Tag]]</f>
        <v>Spare_AI_0</v>
      </c>
      <c r="H497" s="136"/>
      <c r="I497" s="136" t="str">
        <f>VLOOKUP(tbl_IO_List[[#This Row],[Destination]],tbl_Junction[],2,FALSE)</f>
        <v>Jet Cooker 2nd Floor</v>
      </c>
      <c r="J497" s="136"/>
      <c r="K497" s="136"/>
      <c r="L497" s="136" t="s">
        <v>411</v>
      </c>
      <c r="M497" s="136" t="e">
        <f>VLOOKUP(tbl_IO_List[[#This Row],[Instruement Tag]],tbl_Instruement_List[],2,FALSE)</f>
        <v>#N/A</v>
      </c>
      <c r="N497" s="136"/>
      <c r="O497" s="136"/>
      <c r="P497" s="136"/>
      <c r="Q497" s="136" t="e">
        <f>VLOOKUP(tbl_IO_List[[#This Row],[Instruement Tag]],tbl_Instruement_List[],6,FALSE)</f>
        <v>#N/A</v>
      </c>
      <c r="R497" s="136"/>
      <c r="S49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497" s="136" t="str">
        <f>tbl_IO_List[[#This Row],[Instruement Tag]]&amp;"_"&amp;tbl_IO_List[[#This Row],[I/O Type]]&amp;"_"&amp;tbl_IO_List[[#This Row],[IO-Point 
(Instruement)]]</f>
        <v>Spare_AI_0</v>
      </c>
      <c r="U497" s="136" t="s">
        <v>10</v>
      </c>
      <c r="V497" s="136">
        <f>VLOOKUP(tbl_IO_List[[#This Row],[I/O Type]],tbl_Slot_Group[],2,FALSE)</f>
        <v>3</v>
      </c>
      <c r="W497" s="136">
        <v>0</v>
      </c>
      <c r="X497" s="136" t="str">
        <f>tbl_IO_List[[#This Row],[Chassis]]&amp;"S"&amp;TEXT(tbl_IO_List[[#This Row],[Slot]],"00")</f>
        <v>C2S09</v>
      </c>
      <c r="Y497" s="136" t="str">
        <f>tbl_IO_List[[#This Row],[Chassis]]&amp;"S"&amp;TEXT(tbl_IO_List[[#This Row],[Slot]],"00")&amp;tbl_IO_List[[#This Row],[I/O Type]]&amp;TEXT(tbl_IO_List[[#This Row],[Point]],"00")</f>
        <v>C2S09AI10</v>
      </c>
      <c r="Z497" s="136" t="str">
        <f>tbl_IO_List[[#This Row],[Chassis]]&amp;"S"&amp;TEXT(tbl_IO_List[[#This Row],[Slot]],"00")&amp;","&amp;TEXT(tbl_IO_List[[#This Row],[Point]],"00")</f>
        <v>C2S09,10</v>
      </c>
      <c r="AA497" s="136" t="str">
        <f>VLOOKUP(tbl_IO_List[[#This Row],[Column23]],tbl_RackConfig[],5,FALSE) &amp;"-"&amp;tbl_IO_List[[#This Row],[Point]]</f>
        <v>1756-IF16-10</v>
      </c>
      <c r="AB497" s="136"/>
      <c r="AC497" s="136"/>
      <c r="AD497" s="136" t="str">
        <f>tbl_IO_List[[#This Row],[I/O Type]]</f>
        <v>AI</v>
      </c>
      <c r="AE497" s="136" t="s">
        <v>1333</v>
      </c>
      <c r="AF497" s="136">
        <v>9</v>
      </c>
      <c r="AG497" s="136">
        <v>10</v>
      </c>
      <c r="AH497" s="136"/>
      <c r="AI497" s="136"/>
      <c r="AJ497" s="136">
        <v>0</v>
      </c>
      <c r="AK497" s="136">
        <v>0</v>
      </c>
      <c r="AL497" s="136">
        <v>1</v>
      </c>
      <c r="AM497" s="136">
        <v>0</v>
      </c>
      <c r="AN497" s="136">
        <v>0</v>
      </c>
      <c r="AO497" s="136"/>
      <c r="AP497" s="143" t="e">
        <f>VLOOKUP(tbl_IO_List[[#This Row],[Instruement Tag]],tbl_Instruement_List[],14,FALSE)</f>
        <v>#N/A</v>
      </c>
      <c r="AQ497" s="143" t="str">
        <f>tbl_IO_List[[#This Row],[Chassis]]&amp;"S"&amp;tbl_IO_List[[#This Row],[Slot]]&amp;"-"&amp;tbl_IO_List[[#This Row],[Front Terminal Number]]</f>
        <v>C2S9-</v>
      </c>
      <c r="AR497" s="143"/>
      <c r="AS497" s="136" t="str">
        <f>tbl_IO_List[[#This Row],[Terminal Tagging]]&amp;"-"&amp;tbl_IO_List[[#This Row],[Point-Count]]</f>
        <v>-</v>
      </c>
      <c r="AT497" s="136" t="str">
        <f>tbl_IO_List[[#This Row],[Front Terminal Tagging]]&amp;"/"&amp;tbl_IO_List[[#This Row],[Terminal Tagging-Item]]</f>
        <v>C2S9-/-</v>
      </c>
      <c r="AU497" s="136" t="str">
        <f>tbl_IO_List[[#This Row],[Terminal Tagging-Item]]&amp;"/"&amp;tbl_IO_List[[#This Row],[Front Terminal Tagging]]</f>
        <v>-/C2S9-</v>
      </c>
    </row>
    <row r="498" spans="1:47" hidden="1">
      <c r="A498" s="147" t="s">
        <v>1367</v>
      </c>
      <c r="B498" s="136" t="s">
        <v>168</v>
      </c>
      <c r="C498" s="136" t="str">
        <f>tbl_IO_List[[#This Row],[Column3]]</f>
        <v>C2S09,11</v>
      </c>
      <c r="D498" s="136" t="str">
        <f>tbl_IO_List[[#This Row],[Card]]</f>
        <v>1756-IF16-11</v>
      </c>
      <c r="E498" s="136" t="s">
        <v>1366</v>
      </c>
      <c r="F498" s="136" t="str">
        <f>tbl_IO_List[[#This Row],[Column23]]&amp;"-" &amp;tbl_IO_List[[#This Row],[Column52]]</f>
        <v>C2S09-X1</v>
      </c>
      <c r="G498" s="136" t="str">
        <f>tbl_IO_List[[#This Row],[PLC_Tag]]</f>
        <v>Spare_AI_0</v>
      </c>
      <c r="H498" s="136"/>
      <c r="I498" s="136" t="str">
        <f>VLOOKUP(tbl_IO_List[[#This Row],[Destination]],tbl_Junction[],2,FALSE)</f>
        <v>Jet Cooker 2nd Floor</v>
      </c>
      <c r="J498" s="136"/>
      <c r="K498" s="136"/>
      <c r="L498" s="136" t="s">
        <v>411</v>
      </c>
      <c r="M498" s="136" t="e">
        <f>VLOOKUP(tbl_IO_List[[#This Row],[Instruement Tag]],tbl_Instruement_List[],2,FALSE)</f>
        <v>#N/A</v>
      </c>
      <c r="N498" s="136"/>
      <c r="O498" s="136"/>
      <c r="P498" s="136"/>
      <c r="Q498" s="136" t="e">
        <f>VLOOKUP(tbl_IO_List[[#This Row],[Instruement Tag]],tbl_Instruement_List[],6,FALSE)</f>
        <v>#N/A</v>
      </c>
      <c r="R498" s="136"/>
      <c r="S49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498" s="136" t="str">
        <f>tbl_IO_List[[#This Row],[Instruement Tag]]&amp;"_"&amp;tbl_IO_List[[#This Row],[I/O Type]]&amp;"_"&amp;tbl_IO_List[[#This Row],[IO-Point 
(Instruement)]]</f>
        <v>Spare_AI_0</v>
      </c>
      <c r="U498" s="136" t="s">
        <v>10</v>
      </c>
      <c r="V498" s="136">
        <f>VLOOKUP(tbl_IO_List[[#This Row],[I/O Type]],tbl_Slot_Group[],2,FALSE)</f>
        <v>3</v>
      </c>
      <c r="W498" s="136">
        <v>0</v>
      </c>
      <c r="X498" s="136" t="str">
        <f>tbl_IO_List[[#This Row],[Chassis]]&amp;"S"&amp;TEXT(tbl_IO_List[[#This Row],[Slot]],"00")</f>
        <v>C2S09</v>
      </c>
      <c r="Y498" s="136" t="str">
        <f>tbl_IO_List[[#This Row],[Chassis]]&amp;"S"&amp;TEXT(tbl_IO_List[[#This Row],[Slot]],"00")&amp;tbl_IO_List[[#This Row],[I/O Type]]&amp;TEXT(tbl_IO_List[[#This Row],[Point]],"00")</f>
        <v>C2S09AI11</v>
      </c>
      <c r="Z498" s="136" t="str">
        <f>tbl_IO_List[[#This Row],[Chassis]]&amp;"S"&amp;TEXT(tbl_IO_List[[#This Row],[Slot]],"00")&amp;","&amp;TEXT(tbl_IO_List[[#This Row],[Point]],"00")</f>
        <v>C2S09,11</v>
      </c>
      <c r="AA498" s="136" t="str">
        <f>VLOOKUP(tbl_IO_List[[#This Row],[Column23]],tbl_RackConfig[],5,FALSE) &amp;"-"&amp;tbl_IO_List[[#This Row],[Point]]</f>
        <v>1756-IF16-11</v>
      </c>
      <c r="AB498" s="136"/>
      <c r="AC498" s="136"/>
      <c r="AD498" s="136" t="str">
        <f>tbl_IO_List[[#This Row],[I/O Type]]</f>
        <v>AI</v>
      </c>
      <c r="AE498" s="136" t="s">
        <v>1333</v>
      </c>
      <c r="AF498" s="136">
        <v>9</v>
      </c>
      <c r="AG498" s="136">
        <v>11</v>
      </c>
      <c r="AH498" s="136"/>
      <c r="AI498" s="136"/>
      <c r="AJ498" s="136">
        <v>0</v>
      </c>
      <c r="AK498" s="136">
        <v>0</v>
      </c>
      <c r="AL498" s="136">
        <v>1</v>
      </c>
      <c r="AM498" s="136">
        <v>0</v>
      </c>
      <c r="AN498" s="136">
        <v>0</v>
      </c>
      <c r="AO498" s="136"/>
      <c r="AP498" s="143" t="e">
        <f>VLOOKUP(tbl_IO_List[[#This Row],[Instruement Tag]],tbl_Instruement_List[],14,FALSE)</f>
        <v>#N/A</v>
      </c>
      <c r="AQ498" s="143" t="str">
        <f>tbl_IO_List[[#This Row],[Chassis]]&amp;"S"&amp;tbl_IO_List[[#This Row],[Slot]]&amp;"-"&amp;tbl_IO_List[[#This Row],[Front Terminal Number]]</f>
        <v>C2S9-</v>
      </c>
      <c r="AR498" s="143"/>
      <c r="AS498" s="136" t="str">
        <f>tbl_IO_List[[#This Row],[Terminal Tagging]]&amp;"-"&amp;tbl_IO_List[[#This Row],[Point-Count]]</f>
        <v>-</v>
      </c>
      <c r="AT498" s="136" t="str">
        <f>tbl_IO_List[[#This Row],[Front Terminal Tagging]]&amp;"/"&amp;tbl_IO_List[[#This Row],[Terminal Tagging-Item]]</f>
        <v>C2S9-/-</v>
      </c>
      <c r="AU498" s="136" t="str">
        <f>tbl_IO_List[[#This Row],[Terminal Tagging-Item]]&amp;"/"&amp;tbl_IO_List[[#This Row],[Front Terminal Tagging]]</f>
        <v>-/C2S9-</v>
      </c>
    </row>
    <row r="499" spans="1:47" hidden="1">
      <c r="A499" s="147" t="s">
        <v>1367</v>
      </c>
      <c r="B499" s="136" t="s">
        <v>168</v>
      </c>
      <c r="C499" s="136" t="str">
        <f>tbl_IO_List[[#This Row],[Column3]]</f>
        <v>C2S09,12</v>
      </c>
      <c r="D499" s="136" t="str">
        <f>tbl_IO_List[[#This Row],[Card]]</f>
        <v>1756-IF16-12</v>
      </c>
      <c r="E499" s="136" t="s">
        <v>1366</v>
      </c>
      <c r="F499" s="136" t="str">
        <f>tbl_IO_List[[#This Row],[Column23]]&amp;"-" &amp;tbl_IO_List[[#This Row],[Column52]]</f>
        <v>C2S09-X1</v>
      </c>
      <c r="G499" s="136" t="str">
        <f>tbl_IO_List[[#This Row],[PLC_Tag]]</f>
        <v>Spare_AI_0</v>
      </c>
      <c r="H499" s="136"/>
      <c r="I499" s="136" t="str">
        <f>VLOOKUP(tbl_IO_List[[#This Row],[Destination]],tbl_Junction[],2,FALSE)</f>
        <v>Jet Cooker 2nd Floor</v>
      </c>
      <c r="J499" s="136"/>
      <c r="K499" s="136"/>
      <c r="L499" s="136" t="s">
        <v>411</v>
      </c>
      <c r="M499" s="136" t="e">
        <f>VLOOKUP(tbl_IO_List[[#This Row],[Instruement Tag]],tbl_Instruement_List[],2,FALSE)</f>
        <v>#N/A</v>
      </c>
      <c r="N499" s="136"/>
      <c r="O499" s="136"/>
      <c r="P499" s="136"/>
      <c r="Q499" s="136" t="e">
        <f>VLOOKUP(tbl_IO_List[[#This Row],[Instruement Tag]],tbl_Instruement_List[],6,FALSE)</f>
        <v>#N/A</v>
      </c>
      <c r="R499" s="136"/>
      <c r="S49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499" s="136" t="str">
        <f>tbl_IO_List[[#This Row],[Instruement Tag]]&amp;"_"&amp;tbl_IO_List[[#This Row],[I/O Type]]&amp;"_"&amp;tbl_IO_List[[#This Row],[IO-Point 
(Instruement)]]</f>
        <v>Spare_AI_0</v>
      </c>
      <c r="U499" s="136" t="s">
        <v>10</v>
      </c>
      <c r="V499" s="136">
        <f>VLOOKUP(tbl_IO_List[[#This Row],[I/O Type]],tbl_Slot_Group[],2,FALSE)</f>
        <v>3</v>
      </c>
      <c r="W499" s="136">
        <v>0</v>
      </c>
      <c r="X499" s="136" t="str">
        <f>tbl_IO_List[[#This Row],[Chassis]]&amp;"S"&amp;TEXT(tbl_IO_List[[#This Row],[Slot]],"00")</f>
        <v>C2S09</v>
      </c>
      <c r="Y499" s="136" t="str">
        <f>tbl_IO_List[[#This Row],[Chassis]]&amp;"S"&amp;TEXT(tbl_IO_List[[#This Row],[Slot]],"00")&amp;tbl_IO_List[[#This Row],[I/O Type]]&amp;TEXT(tbl_IO_List[[#This Row],[Point]],"00")</f>
        <v>C2S09AI12</v>
      </c>
      <c r="Z499" s="136" t="str">
        <f>tbl_IO_List[[#This Row],[Chassis]]&amp;"S"&amp;TEXT(tbl_IO_List[[#This Row],[Slot]],"00")&amp;","&amp;TEXT(tbl_IO_List[[#This Row],[Point]],"00")</f>
        <v>C2S09,12</v>
      </c>
      <c r="AA499" s="136" t="str">
        <f>VLOOKUP(tbl_IO_List[[#This Row],[Column23]],tbl_RackConfig[],5,FALSE) &amp;"-"&amp;tbl_IO_List[[#This Row],[Point]]</f>
        <v>1756-IF16-12</v>
      </c>
      <c r="AB499" s="136"/>
      <c r="AC499" s="136"/>
      <c r="AD499" s="136" t="str">
        <f>tbl_IO_List[[#This Row],[I/O Type]]</f>
        <v>AI</v>
      </c>
      <c r="AE499" s="136" t="s">
        <v>1333</v>
      </c>
      <c r="AF499" s="136">
        <v>9</v>
      </c>
      <c r="AG499" s="136">
        <v>12</v>
      </c>
      <c r="AH499" s="136"/>
      <c r="AI499" s="136"/>
      <c r="AJ499" s="136">
        <v>0</v>
      </c>
      <c r="AK499" s="136">
        <v>0</v>
      </c>
      <c r="AL499" s="136">
        <v>1</v>
      </c>
      <c r="AM499" s="136">
        <v>0</v>
      </c>
      <c r="AN499" s="136">
        <v>0</v>
      </c>
      <c r="AO499" s="136"/>
      <c r="AP499" s="143" t="e">
        <f>VLOOKUP(tbl_IO_List[[#This Row],[Instruement Tag]],tbl_Instruement_List[],14,FALSE)</f>
        <v>#N/A</v>
      </c>
      <c r="AQ499" s="143" t="str">
        <f>tbl_IO_List[[#This Row],[Chassis]]&amp;"S"&amp;tbl_IO_List[[#This Row],[Slot]]&amp;"-"&amp;tbl_IO_List[[#This Row],[Front Terminal Number]]</f>
        <v>C2S9-</v>
      </c>
      <c r="AR499" s="143"/>
      <c r="AS499" s="136" t="str">
        <f>tbl_IO_List[[#This Row],[Terminal Tagging]]&amp;"-"&amp;tbl_IO_List[[#This Row],[Point-Count]]</f>
        <v>-</v>
      </c>
      <c r="AT499" s="136" t="str">
        <f>tbl_IO_List[[#This Row],[Front Terminal Tagging]]&amp;"/"&amp;tbl_IO_List[[#This Row],[Terminal Tagging-Item]]</f>
        <v>C2S9-/-</v>
      </c>
      <c r="AU499" s="136" t="str">
        <f>tbl_IO_List[[#This Row],[Terminal Tagging-Item]]&amp;"/"&amp;tbl_IO_List[[#This Row],[Front Terminal Tagging]]</f>
        <v>-/C2S9-</v>
      </c>
    </row>
    <row r="500" spans="1:47" hidden="1">
      <c r="A500" s="147" t="s">
        <v>1367</v>
      </c>
      <c r="B500" s="136" t="s">
        <v>168</v>
      </c>
      <c r="C500" s="136" t="str">
        <f>tbl_IO_List[[#This Row],[Column3]]</f>
        <v>C2S09,13</v>
      </c>
      <c r="D500" s="136" t="str">
        <f>tbl_IO_List[[#This Row],[Card]]</f>
        <v>1756-IF16-13</v>
      </c>
      <c r="E500" s="136" t="s">
        <v>1366</v>
      </c>
      <c r="F500" s="136" t="str">
        <f>tbl_IO_List[[#This Row],[Column23]]&amp;"-" &amp;tbl_IO_List[[#This Row],[Column52]]</f>
        <v>C2S09-X1</v>
      </c>
      <c r="G500" s="136" t="str">
        <f>tbl_IO_List[[#This Row],[PLC_Tag]]</f>
        <v>Spare_AI_0</v>
      </c>
      <c r="H500" s="136"/>
      <c r="I500" s="136" t="str">
        <f>VLOOKUP(tbl_IO_List[[#This Row],[Destination]],tbl_Junction[],2,FALSE)</f>
        <v>Jet Cooker 2nd Floor</v>
      </c>
      <c r="J500" s="136"/>
      <c r="K500" s="136"/>
      <c r="L500" s="136" t="s">
        <v>411</v>
      </c>
      <c r="M500" s="136" t="e">
        <f>VLOOKUP(tbl_IO_List[[#This Row],[Instruement Tag]],tbl_Instruement_List[],2,FALSE)</f>
        <v>#N/A</v>
      </c>
      <c r="N500" s="136"/>
      <c r="O500" s="136"/>
      <c r="P500" s="136"/>
      <c r="Q500" s="136" t="e">
        <f>VLOOKUP(tbl_IO_List[[#This Row],[Instruement Tag]],tbl_Instruement_List[],6,FALSE)</f>
        <v>#N/A</v>
      </c>
      <c r="R500" s="136"/>
      <c r="S50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00" s="136" t="str">
        <f>tbl_IO_List[[#This Row],[Instruement Tag]]&amp;"_"&amp;tbl_IO_List[[#This Row],[I/O Type]]&amp;"_"&amp;tbl_IO_List[[#This Row],[IO-Point 
(Instruement)]]</f>
        <v>Spare_AI_0</v>
      </c>
      <c r="U500" s="136" t="s">
        <v>10</v>
      </c>
      <c r="V500" s="136">
        <f>VLOOKUP(tbl_IO_List[[#This Row],[I/O Type]],tbl_Slot_Group[],2,FALSE)</f>
        <v>3</v>
      </c>
      <c r="W500" s="136">
        <v>0</v>
      </c>
      <c r="X500" s="136" t="str">
        <f>tbl_IO_List[[#This Row],[Chassis]]&amp;"S"&amp;TEXT(tbl_IO_List[[#This Row],[Slot]],"00")</f>
        <v>C2S09</v>
      </c>
      <c r="Y500" s="136" t="str">
        <f>tbl_IO_List[[#This Row],[Chassis]]&amp;"S"&amp;TEXT(tbl_IO_List[[#This Row],[Slot]],"00")&amp;tbl_IO_List[[#This Row],[I/O Type]]&amp;TEXT(tbl_IO_List[[#This Row],[Point]],"00")</f>
        <v>C2S09AI13</v>
      </c>
      <c r="Z500" s="136" t="str">
        <f>tbl_IO_List[[#This Row],[Chassis]]&amp;"S"&amp;TEXT(tbl_IO_List[[#This Row],[Slot]],"00")&amp;","&amp;TEXT(tbl_IO_List[[#This Row],[Point]],"00")</f>
        <v>C2S09,13</v>
      </c>
      <c r="AA500" s="136" t="str">
        <f>VLOOKUP(tbl_IO_List[[#This Row],[Column23]],tbl_RackConfig[],5,FALSE) &amp;"-"&amp;tbl_IO_List[[#This Row],[Point]]</f>
        <v>1756-IF16-13</v>
      </c>
      <c r="AB500" s="136"/>
      <c r="AC500" s="136"/>
      <c r="AD500" s="136" t="str">
        <f>tbl_IO_List[[#This Row],[I/O Type]]</f>
        <v>AI</v>
      </c>
      <c r="AE500" s="136" t="s">
        <v>1333</v>
      </c>
      <c r="AF500" s="136">
        <v>9</v>
      </c>
      <c r="AG500" s="136">
        <v>13</v>
      </c>
      <c r="AH500" s="136"/>
      <c r="AI500" s="136"/>
      <c r="AJ500" s="136">
        <v>0</v>
      </c>
      <c r="AK500" s="136">
        <v>0</v>
      </c>
      <c r="AL500" s="136">
        <v>1</v>
      </c>
      <c r="AM500" s="136">
        <v>0</v>
      </c>
      <c r="AN500" s="136">
        <v>0</v>
      </c>
      <c r="AO500" s="136"/>
      <c r="AP500" s="143" t="e">
        <f>VLOOKUP(tbl_IO_List[[#This Row],[Instruement Tag]],tbl_Instruement_List[],14,FALSE)</f>
        <v>#N/A</v>
      </c>
      <c r="AQ500" s="143" t="str">
        <f>tbl_IO_List[[#This Row],[Chassis]]&amp;"S"&amp;tbl_IO_List[[#This Row],[Slot]]&amp;"-"&amp;tbl_IO_List[[#This Row],[Front Terminal Number]]</f>
        <v>C2S9-</v>
      </c>
      <c r="AR500" s="143"/>
      <c r="AS500" s="136" t="str">
        <f>tbl_IO_List[[#This Row],[Terminal Tagging]]&amp;"-"&amp;tbl_IO_List[[#This Row],[Point-Count]]</f>
        <v>-</v>
      </c>
      <c r="AT500" s="136" t="str">
        <f>tbl_IO_List[[#This Row],[Front Terminal Tagging]]&amp;"/"&amp;tbl_IO_List[[#This Row],[Terminal Tagging-Item]]</f>
        <v>C2S9-/-</v>
      </c>
      <c r="AU500" s="136" t="str">
        <f>tbl_IO_List[[#This Row],[Terminal Tagging-Item]]&amp;"/"&amp;tbl_IO_List[[#This Row],[Front Terminal Tagging]]</f>
        <v>-/C2S9-</v>
      </c>
    </row>
    <row r="501" spans="1:47" hidden="1">
      <c r="A501" s="147" t="s">
        <v>1367</v>
      </c>
      <c r="B501" s="136" t="s">
        <v>168</v>
      </c>
      <c r="C501" s="136" t="str">
        <f>tbl_IO_List[[#This Row],[Column3]]</f>
        <v>C2S09,14</v>
      </c>
      <c r="D501" s="136" t="str">
        <f>tbl_IO_List[[#This Row],[Card]]</f>
        <v>1756-IF16-14</v>
      </c>
      <c r="E501" s="136" t="s">
        <v>1366</v>
      </c>
      <c r="F501" s="136" t="str">
        <f>tbl_IO_List[[#This Row],[Column23]]&amp;"-" &amp;tbl_IO_List[[#This Row],[Column52]]</f>
        <v>C2S09-X1</v>
      </c>
      <c r="G501" s="136" t="str">
        <f>tbl_IO_List[[#This Row],[PLC_Tag]]</f>
        <v>Spare_AI_0</v>
      </c>
      <c r="H501" s="136"/>
      <c r="I501" s="136" t="str">
        <f>VLOOKUP(tbl_IO_List[[#This Row],[Destination]],tbl_Junction[],2,FALSE)</f>
        <v>Jet Cooker 2nd Floor</v>
      </c>
      <c r="J501" s="136"/>
      <c r="K501" s="136"/>
      <c r="L501" s="136" t="s">
        <v>411</v>
      </c>
      <c r="M501" s="136" t="e">
        <f>VLOOKUP(tbl_IO_List[[#This Row],[Instruement Tag]],tbl_Instruement_List[],2,FALSE)</f>
        <v>#N/A</v>
      </c>
      <c r="N501" s="136"/>
      <c r="O501" s="136"/>
      <c r="P501" s="136"/>
      <c r="Q501" s="136" t="e">
        <f>VLOOKUP(tbl_IO_List[[#This Row],[Instruement Tag]],tbl_Instruement_List[],6,FALSE)</f>
        <v>#N/A</v>
      </c>
      <c r="R501" s="136"/>
      <c r="S50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01" s="136" t="str">
        <f>tbl_IO_List[[#This Row],[Instruement Tag]]&amp;"_"&amp;tbl_IO_List[[#This Row],[I/O Type]]&amp;"_"&amp;tbl_IO_List[[#This Row],[IO-Point 
(Instruement)]]</f>
        <v>Spare_AI_0</v>
      </c>
      <c r="U501" s="136" t="s">
        <v>10</v>
      </c>
      <c r="V501" s="136">
        <f>VLOOKUP(tbl_IO_List[[#This Row],[I/O Type]],tbl_Slot_Group[],2,FALSE)</f>
        <v>3</v>
      </c>
      <c r="W501" s="136">
        <v>0</v>
      </c>
      <c r="X501" s="136" t="str">
        <f>tbl_IO_List[[#This Row],[Chassis]]&amp;"S"&amp;TEXT(tbl_IO_List[[#This Row],[Slot]],"00")</f>
        <v>C2S09</v>
      </c>
      <c r="Y501" s="136" t="str">
        <f>tbl_IO_List[[#This Row],[Chassis]]&amp;"S"&amp;TEXT(tbl_IO_List[[#This Row],[Slot]],"00")&amp;tbl_IO_List[[#This Row],[I/O Type]]&amp;TEXT(tbl_IO_List[[#This Row],[Point]],"00")</f>
        <v>C2S09AI14</v>
      </c>
      <c r="Z501" s="136" t="str">
        <f>tbl_IO_List[[#This Row],[Chassis]]&amp;"S"&amp;TEXT(tbl_IO_List[[#This Row],[Slot]],"00")&amp;","&amp;TEXT(tbl_IO_List[[#This Row],[Point]],"00")</f>
        <v>C2S09,14</v>
      </c>
      <c r="AA501" s="136" t="str">
        <f>VLOOKUP(tbl_IO_List[[#This Row],[Column23]],tbl_RackConfig[],5,FALSE) &amp;"-"&amp;tbl_IO_List[[#This Row],[Point]]</f>
        <v>1756-IF16-14</v>
      </c>
      <c r="AB501" s="136"/>
      <c r="AC501" s="136"/>
      <c r="AD501" s="136" t="str">
        <f>tbl_IO_List[[#This Row],[I/O Type]]</f>
        <v>AI</v>
      </c>
      <c r="AE501" s="136" t="s">
        <v>1333</v>
      </c>
      <c r="AF501" s="136">
        <v>9</v>
      </c>
      <c r="AG501" s="136">
        <v>14</v>
      </c>
      <c r="AH501" s="136"/>
      <c r="AI501" s="136"/>
      <c r="AJ501" s="136">
        <v>0</v>
      </c>
      <c r="AK501" s="136">
        <v>0</v>
      </c>
      <c r="AL501" s="136">
        <v>1</v>
      </c>
      <c r="AM501" s="136">
        <v>0</v>
      </c>
      <c r="AN501" s="136">
        <v>0</v>
      </c>
      <c r="AO501" s="136"/>
      <c r="AP501" s="143" t="e">
        <f>VLOOKUP(tbl_IO_List[[#This Row],[Instruement Tag]],tbl_Instruement_List[],14,FALSE)</f>
        <v>#N/A</v>
      </c>
      <c r="AQ501" s="143" t="str">
        <f>tbl_IO_List[[#This Row],[Chassis]]&amp;"S"&amp;tbl_IO_List[[#This Row],[Slot]]&amp;"-"&amp;tbl_IO_List[[#This Row],[Front Terminal Number]]</f>
        <v>C2S9-</v>
      </c>
      <c r="AR501" s="143"/>
      <c r="AS501" s="136" t="str">
        <f>tbl_IO_List[[#This Row],[Terminal Tagging]]&amp;"-"&amp;tbl_IO_List[[#This Row],[Point-Count]]</f>
        <v>-</v>
      </c>
      <c r="AT501" s="136" t="str">
        <f>tbl_IO_List[[#This Row],[Front Terminal Tagging]]&amp;"/"&amp;tbl_IO_List[[#This Row],[Terminal Tagging-Item]]</f>
        <v>C2S9-/-</v>
      </c>
      <c r="AU501" s="136" t="str">
        <f>tbl_IO_List[[#This Row],[Terminal Tagging-Item]]&amp;"/"&amp;tbl_IO_List[[#This Row],[Front Terminal Tagging]]</f>
        <v>-/C2S9-</v>
      </c>
    </row>
    <row r="502" spans="1:47" hidden="1">
      <c r="A502" s="147" t="s">
        <v>1367</v>
      </c>
      <c r="B502" s="136" t="s">
        <v>168</v>
      </c>
      <c r="C502" s="136" t="str">
        <f>tbl_IO_List[[#This Row],[Column3]]</f>
        <v>C2S09,15</v>
      </c>
      <c r="D502" s="136" t="str">
        <f>tbl_IO_List[[#This Row],[Card]]</f>
        <v>1756-IF16-15</v>
      </c>
      <c r="E502" s="136" t="s">
        <v>1366</v>
      </c>
      <c r="F502" s="136" t="str">
        <f>tbl_IO_List[[#This Row],[Column23]]&amp;"-" &amp;tbl_IO_List[[#This Row],[Column52]]</f>
        <v>C2S09-X1</v>
      </c>
      <c r="G502" s="136" t="str">
        <f>tbl_IO_List[[#This Row],[PLC_Tag]]</f>
        <v>Spare_AI_0</v>
      </c>
      <c r="H502" s="136"/>
      <c r="I502" s="136" t="str">
        <f>VLOOKUP(tbl_IO_List[[#This Row],[Destination]],tbl_Junction[],2,FALSE)</f>
        <v>Jet Cooker 2nd Floor</v>
      </c>
      <c r="J502" s="136"/>
      <c r="K502" s="136"/>
      <c r="L502" s="136" t="s">
        <v>411</v>
      </c>
      <c r="M502" s="136" t="e">
        <f>VLOOKUP(tbl_IO_List[[#This Row],[Instruement Tag]],tbl_Instruement_List[],2,FALSE)</f>
        <v>#N/A</v>
      </c>
      <c r="N502" s="136"/>
      <c r="O502" s="136"/>
      <c r="P502" s="136"/>
      <c r="Q502" s="136" t="e">
        <f>VLOOKUP(tbl_IO_List[[#This Row],[Instruement Tag]],tbl_Instruement_List[],6,FALSE)</f>
        <v>#N/A</v>
      </c>
      <c r="R502" s="136"/>
      <c r="S50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02" s="136" t="str">
        <f>tbl_IO_List[[#This Row],[Instruement Tag]]&amp;"_"&amp;tbl_IO_List[[#This Row],[I/O Type]]&amp;"_"&amp;tbl_IO_List[[#This Row],[IO-Point 
(Instruement)]]</f>
        <v>Spare_AI_0</v>
      </c>
      <c r="U502" s="136" t="s">
        <v>10</v>
      </c>
      <c r="V502" s="136">
        <f>VLOOKUP(tbl_IO_List[[#This Row],[I/O Type]],tbl_Slot_Group[],2,FALSE)</f>
        <v>3</v>
      </c>
      <c r="W502" s="136">
        <v>0</v>
      </c>
      <c r="X502" s="136" t="str">
        <f>tbl_IO_List[[#This Row],[Chassis]]&amp;"S"&amp;TEXT(tbl_IO_List[[#This Row],[Slot]],"00")</f>
        <v>C2S09</v>
      </c>
      <c r="Y502" s="136" t="str">
        <f>tbl_IO_List[[#This Row],[Chassis]]&amp;"S"&amp;TEXT(tbl_IO_List[[#This Row],[Slot]],"00")&amp;tbl_IO_List[[#This Row],[I/O Type]]&amp;TEXT(tbl_IO_List[[#This Row],[Point]],"00")</f>
        <v>C2S09AI15</v>
      </c>
      <c r="Z502" s="136" t="str">
        <f>tbl_IO_List[[#This Row],[Chassis]]&amp;"S"&amp;TEXT(tbl_IO_List[[#This Row],[Slot]],"00")&amp;","&amp;TEXT(tbl_IO_List[[#This Row],[Point]],"00")</f>
        <v>C2S09,15</v>
      </c>
      <c r="AA502" s="136" t="str">
        <f>VLOOKUP(tbl_IO_List[[#This Row],[Column23]],tbl_RackConfig[],5,FALSE) &amp;"-"&amp;tbl_IO_List[[#This Row],[Point]]</f>
        <v>1756-IF16-15</v>
      </c>
      <c r="AB502" s="136"/>
      <c r="AC502" s="136"/>
      <c r="AD502" s="136" t="str">
        <f>tbl_IO_List[[#This Row],[I/O Type]]</f>
        <v>AI</v>
      </c>
      <c r="AE502" s="136" t="s">
        <v>1333</v>
      </c>
      <c r="AF502" s="136">
        <v>9</v>
      </c>
      <c r="AG502" s="136">
        <v>15</v>
      </c>
      <c r="AH502" s="136"/>
      <c r="AI502" s="136"/>
      <c r="AJ502" s="136">
        <v>0</v>
      </c>
      <c r="AK502" s="136">
        <v>0</v>
      </c>
      <c r="AL502" s="136">
        <v>1</v>
      </c>
      <c r="AM502" s="136">
        <v>0</v>
      </c>
      <c r="AN502" s="136">
        <v>0</v>
      </c>
      <c r="AO502" s="136"/>
      <c r="AP502" s="143" t="e">
        <f>VLOOKUP(tbl_IO_List[[#This Row],[Instruement Tag]],tbl_Instruement_List[],14,FALSE)</f>
        <v>#N/A</v>
      </c>
      <c r="AQ502" s="143" t="str">
        <f>tbl_IO_List[[#This Row],[Chassis]]&amp;"S"&amp;tbl_IO_List[[#This Row],[Slot]]&amp;"-"&amp;tbl_IO_List[[#This Row],[Front Terminal Number]]</f>
        <v>C2S9-</v>
      </c>
      <c r="AR502" s="143"/>
      <c r="AS502" s="136" t="str">
        <f>tbl_IO_List[[#This Row],[Terminal Tagging]]&amp;"-"&amp;tbl_IO_List[[#This Row],[Point-Count]]</f>
        <v>-</v>
      </c>
      <c r="AT502" s="136" t="str">
        <f>tbl_IO_List[[#This Row],[Front Terminal Tagging]]&amp;"/"&amp;tbl_IO_List[[#This Row],[Terminal Tagging-Item]]</f>
        <v>C2S9-/-</v>
      </c>
      <c r="AU502" s="136" t="str">
        <f>tbl_IO_List[[#This Row],[Terminal Tagging-Item]]&amp;"/"&amp;tbl_IO_List[[#This Row],[Front Terminal Tagging]]</f>
        <v>-/C2S9-</v>
      </c>
    </row>
    <row r="503" spans="1:47" hidden="1">
      <c r="A503" s="147" t="s">
        <v>1367</v>
      </c>
      <c r="B503" s="136" t="s">
        <v>221</v>
      </c>
      <c r="C503" s="136" t="str">
        <f>tbl_IO_List[[#This Row],[Column3]]</f>
        <v>C2S10,00</v>
      </c>
      <c r="D503" s="136" t="str">
        <f>tbl_IO_List[[#This Row],[Card]]</f>
        <v>1756-IF16-0</v>
      </c>
      <c r="E503" s="136" t="s">
        <v>1366</v>
      </c>
      <c r="F503" s="136" t="str">
        <f>tbl_IO_List[[#This Row],[Column23]]&amp;"-" &amp;tbl_IO_List[[#This Row],[Column52]]</f>
        <v>C2S10-X1</v>
      </c>
      <c r="G503" s="136" t="str">
        <f>tbl_IO_List[[#This Row],[PLC_Tag]]</f>
        <v>AT-60241_AI_1</v>
      </c>
      <c r="H503" s="136"/>
      <c r="I503" s="136" t="str">
        <f>VLOOKUP(tbl_IO_List[[#This Row],[Destination]],tbl_Junction[],2,FALSE)</f>
        <v>Spray Dryer 3rd Floor</v>
      </c>
      <c r="J503" s="136" t="s">
        <v>221</v>
      </c>
      <c r="K503" s="136" t="s">
        <v>14</v>
      </c>
      <c r="L503" s="136" t="s">
        <v>220</v>
      </c>
      <c r="M503" s="136" t="str">
        <f>VLOOKUP(tbl_IO_List[[#This Row],[Instruement Tag]],tbl_Instruement_List[],2,FALSE)</f>
        <v>Dust Analyzer Transmitter</v>
      </c>
      <c r="N503" s="136" t="s">
        <v>47</v>
      </c>
      <c r="O503" s="136" t="s">
        <v>21</v>
      </c>
      <c r="P503" s="136" t="s">
        <v>22</v>
      </c>
      <c r="Q503" s="136" t="str">
        <f>VLOOKUP(tbl_IO_List[[#This Row],[Instruement Tag]],tbl_Instruement_List[],6,FALSE)</f>
        <v>Dust Analyzer Transmitter for Exhaust Duct (DTEX-22)</v>
      </c>
      <c r="R503" s="136"/>
      <c r="S50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03" s="136" t="str">
        <f>tbl_IO_List[[#This Row],[Instruement Tag]]&amp;"_"&amp;tbl_IO_List[[#This Row],[I/O Type]]&amp;"_"&amp;tbl_IO_List[[#This Row],[IO-Point 
(Instruement)]]</f>
        <v>AT-60241_AI_1</v>
      </c>
      <c r="U503" s="136" t="s">
        <v>10</v>
      </c>
      <c r="V503" s="136">
        <f>VLOOKUP(tbl_IO_List[[#This Row],[I/O Type]],tbl_Slot_Group[],2,FALSE)</f>
        <v>3</v>
      </c>
      <c r="W503" s="136">
        <v>1</v>
      </c>
      <c r="X503" s="136" t="str">
        <f>tbl_IO_List[[#This Row],[Chassis]]&amp;"S"&amp;TEXT(tbl_IO_List[[#This Row],[Slot]],"00")</f>
        <v>C2S10</v>
      </c>
      <c r="Y503" s="136" t="str">
        <f>tbl_IO_List[[#This Row],[Chassis]]&amp;"S"&amp;TEXT(tbl_IO_List[[#This Row],[Slot]],"00")&amp;tbl_IO_List[[#This Row],[I/O Type]]&amp;TEXT(tbl_IO_List[[#This Row],[Point]],"00")</f>
        <v>C2S10AI00</v>
      </c>
      <c r="Z503" s="136" t="str">
        <f>tbl_IO_List[[#This Row],[Chassis]]&amp;"S"&amp;TEXT(tbl_IO_List[[#This Row],[Slot]],"00")&amp;","&amp;TEXT(tbl_IO_List[[#This Row],[Point]],"00")</f>
        <v>C2S10,00</v>
      </c>
      <c r="AA503" s="136" t="str">
        <f>VLOOKUP(tbl_IO_List[[#This Row],[Column23]],tbl_RackConfig[],5,FALSE) &amp;"-"&amp;tbl_IO_List[[#This Row],[Point]]</f>
        <v>1756-IF16-0</v>
      </c>
      <c r="AB503" s="136"/>
      <c r="AC503" s="136"/>
      <c r="AD503" s="136" t="str">
        <f>tbl_IO_List[[#This Row],[I/O Type]]</f>
        <v>AI</v>
      </c>
      <c r="AE503" s="136" t="s">
        <v>1333</v>
      </c>
      <c r="AF503" s="136">
        <v>10</v>
      </c>
      <c r="AG503" s="136">
        <v>0</v>
      </c>
      <c r="AH503" s="136"/>
      <c r="AI503" s="136"/>
      <c r="AJ503" s="136">
        <v>0</v>
      </c>
      <c r="AK503" s="136">
        <v>0</v>
      </c>
      <c r="AL503" s="136">
        <v>1</v>
      </c>
      <c r="AM503" s="136">
        <v>0</v>
      </c>
      <c r="AN503" s="136">
        <v>0</v>
      </c>
      <c r="AO503" s="136"/>
      <c r="AP503" s="143" t="str">
        <f>VLOOKUP(tbl_IO_List[[#This Row],[Instruement Tag]],tbl_Instruement_List[],14,FALSE)</f>
        <v>4 - 20 mA</v>
      </c>
      <c r="AQ503" s="143" t="str">
        <f>tbl_IO_List[[#This Row],[Chassis]]&amp;"S"&amp;tbl_IO_List[[#This Row],[Slot]]&amp;"-"&amp;tbl_IO_List[[#This Row],[Front Terminal Number]]</f>
        <v>C2S10-</v>
      </c>
      <c r="AR503" s="143"/>
      <c r="AS503" s="136" t="str">
        <f>tbl_IO_List[[#This Row],[Terminal Tagging]]&amp;"-"&amp;tbl_IO_List[[#This Row],[Point-Count]]</f>
        <v>-</v>
      </c>
      <c r="AT503" s="136" t="str">
        <f>tbl_IO_List[[#This Row],[Front Terminal Tagging]]&amp;"/"&amp;tbl_IO_List[[#This Row],[Terminal Tagging-Item]]</f>
        <v>C2S10-/-</v>
      </c>
      <c r="AU503" s="136" t="str">
        <f>tbl_IO_List[[#This Row],[Terminal Tagging-Item]]&amp;"/"&amp;tbl_IO_List[[#This Row],[Front Terminal Tagging]]</f>
        <v>-/C2S10-</v>
      </c>
    </row>
    <row r="504" spans="1:47" hidden="1">
      <c r="A504" s="147" t="s">
        <v>1367</v>
      </c>
      <c r="B504" s="136" t="s">
        <v>221</v>
      </c>
      <c r="C504" s="136" t="str">
        <f>tbl_IO_List[[#This Row],[Column3]]</f>
        <v>C2S10,01</v>
      </c>
      <c r="D504" s="136" t="str">
        <f>tbl_IO_List[[#This Row],[Card]]</f>
        <v>1756-IF16-1</v>
      </c>
      <c r="E504" s="136" t="s">
        <v>1366</v>
      </c>
      <c r="F504" s="136" t="str">
        <f>tbl_IO_List[[#This Row],[Column23]]&amp;"-" &amp;tbl_IO_List[[#This Row],[Column52]]</f>
        <v>C2S10-X1</v>
      </c>
      <c r="G504" s="136" t="str">
        <f>tbl_IO_List[[#This Row],[PLC_Tag]]</f>
        <v>DPT-60203_AI_1</v>
      </c>
      <c r="H504" s="136"/>
      <c r="I504" s="136" t="str">
        <f>VLOOKUP(tbl_IO_List[[#This Row],[Destination]],tbl_Junction[],2,FALSE)</f>
        <v>Spray Dryer 3rd Floor</v>
      </c>
      <c r="J504" s="136" t="s">
        <v>221</v>
      </c>
      <c r="K504" s="136" t="s">
        <v>14</v>
      </c>
      <c r="L504" s="136" t="s">
        <v>222</v>
      </c>
      <c r="M504" s="136" t="str">
        <f>VLOOKUP(tbl_IO_List[[#This Row],[Instruement Tag]],tbl_Instruement_List[],2,FALSE)</f>
        <v>Differential Pressure Transmitte</v>
      </c>
      <c r="N504" s="136" t="s">
        <v>47</v>
      </c>
      <c r="O504" s="136" t="s">
        <v>50</v>
      </c>
      <c r="P504" s="136" t="s">
        <v>51</v>
      </c>
      <c r="Q504" s="136" t="str">
        <f>VLOOKUP(tbl_IO_List[[#This Row],[Instruement Tag]],tbl_Instruement_List[],6,FALSE)</f>
        <v>Gas Pressure Differential Transmitter  for Air Filter (FICA-21)</v>
      </c>
      <c r="R504" s="136"/>
      <c r="S50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04" s="136" t="str">
        <f>tbl_IO_List[[#This Row],[Instruement Tag]]&amp;"_"&amp;tbl_IO_List[[#This Row],[I/O Type]]&amp;"_"&amp;tbl_IO_List[[#This Row],[IO-Point 
(Instruement)]]</f>
        <v>DPT-60203_AI_1</v>
      </c>
      <c r="U504" s="136" t="s">
        <v>10</v>
      </c>
      <c r="V504" s="136">
        <f>VLOOKUP(tbl_IO_List[[#This Row],[I/O Type]],tbl_Slot_Group[],2,FALSE)</f>
        <v>3</v>
      </c>
      <c r="W504" s="136">
        <v>1</v>
      </c>
      <c r="X504" s="136" t="str">
        <f>tbl_IO_List[[#This Row],[Chassis]]&amp;"S"&amp;TEXT(tbl_IO_List[[#This Row],[Slot]],"00")</f>
        <v>C2S10</v>
      </c>
      <c r="Y504" s="136" t="str">
        <f>tbl_IO_List[[#This Row],[Chassis]]&amp;"S"&amp;TEXT(tbl_IO_List[[#This Row],[Slot]],"00")&amp;tbl_IO_List[[#This Row],[I/O Type]]&amp;TEXT(tbl_IO_List[[#This Row],[Point]],"00")</f>
        <v>C2S10AI01</v>
      </c>
      <c r="Z504" s="136" t="str">
        <f>tbl_IO_List[[#This Row],[Chassis]]&amp;"S"&amp;TEXT(tbl_IO_List[[#This Row],[Slot]],"00")&amp;","&amp;TEXT(tbl_IO_List[[#This Row],[Point]],"00")</f>
        <v>C2S10,01</v>
      </c>
      <c r="AA504" s="136" t="str">
        <f>VLOOKUP(tbl_IO_List[[#This Row],[Column23]],tbl_RackConfig[],5,FALSE) &amp;"-"&amp;tbl_IO_List[[#This Row],[Point]]</f>
        <v>1756-IF16-1</v>
      </c>
      <c r="AB504" s="136"/>
      <c r="AC504" s="136"/>
      <c r="AD504" s="136" t="str">
        <f>tbl_IO_List[[#This Row],[I/O Type]]</f>
        <v>AI</v>
      </c>
      <c r="AE504" s="136" t="s">
        <v>1333</v>
      </c>
      <c r="AF504" s="136">
        <v>10</v>
      </c>
      <c r="AG504" s="136">
        <v>1</v>
      </c>
      <c r="AH504" s="136"/>
      <c r="AI504" s="136"/>
      <c r="AJ504" s="136">
        <v>0</v>
      </c>
      <c r="AK504" s="136">
        <v>0</v>
      </c>
      <c r="AL504" s="136">
        <v>1</v>
      </c>
      <c r="AM504" s="136">
        <v>0</v>
      </c>
      <c r="AN504" s="136">
        <v>0</v>
      </c>
      <c r="AO504" s="136"/>
      <c r="AP504" s="143" t="str">
        <f>VLOOKUP(tbl_IO_List[[#This Row],[Instruement Tag]],tbl_Instruement_List[],14,FALSE)</f>
        <v>4 - 20 mA</v>
      </c>
      <c r="AQ504" s="143" t="str">
        <f>tbl_IO_List[[#This Row],[Chassis]]&amp;"S"&amp;tbl_IO_List[[#This Row],[Slot]]&amp;"-"&amp;tbl_IO_List[[#This Row],[Front Terminal Number]]</f>
        <v>C2S10-</v>
      </c>
      <c r="AR504" s="143"/>
      <c r="AS504" s="136" t="str">
        <f>tbl_IO_List[[#This Row],[Terminal Tagging]]&amp;"-"&amp;tbl_IO_List[[#This Row],[Point-Count]]</f>
        <v>-</v>
      </c>
      <c r="AT504" s="136" t="str">
        <f>tbl_IO_List[[#This Row],[Front Terminal Tagging]]&amp;"/"&amp;tbl_IO_List[[#This Row],[Terminal Tagging-Item]]</f>
        <v>C2S10-/-</v>
      </c>
      <c r="AU504" s="136" t="str">
        <f>tbl_IO_List[[#This Row],[Terminal Tagging-Item]]&amp;"/"&amp;tbl_IO_List[[#This Row],[Front Terminal Tagging]]</f>
        <v>-/C2S10-</v>
      </c>
    </row>
    <row r="505" spans="1:47" hidden="1">
      <c r="A505" s="147" t="s">
        <v>1367</v>
      </c>
      <c r="B505" s="136" t="s">
        <v>221</v>
      </c>
      <c r="C505" s="136" t="str">
        <f>tbl_IO_List[[#This Row],[Column3]]</f>
        <v>C2S10,02</v>
      </c>
      <c r="D505" s="136" t="str">
        <f>tbl_IO_List[[#This Row],[Card]]</f>
        <v>1756-IF16-2</v>
      </c>
      <c r="E505" s="136" t="s">
        <v>1366</v>
      </c>
      <c r="F505" s="136" t="str">
        <f>tbl_IO_List[[#This Row],[Column23]]&amp;"-" &amp;tbl_IO_List[[#This Row],[Column52]]</f>
        <v>C2S10-X1</v>
      </c>
      <c r="G505" s="136" t="str">
        <f>tbl_IO_List[[#This Row],[PLC_Tag]]</f>
        <v>FT-60202_AI_1</v>
      </c>
      <c r="H505" s="136"/>
      <c r="I505" s="136" t="str">
        <f>VLOOKUP(tbl_IO_List[[#This Row],[Destination]],tbl_Junction[],2,FALSE)</f>
        <v>Spray Dryer 3rd Floor</v>
      </c>
      <c r="J505" s="136" t="s">
        <v>221</v>
      </c>
      <c r="K505" s="136" t="s">
        <v>14</v>
      </c>
      <c r="L505" s="136" t="s">
        <v>225</v>
      </c>
      <c r="M505" s="136">
        <f>VLOOKUP(tbl_IO_List[[#This Row],[Instruement Tag]],tbl_Instruement_List[],2,FALSE)</f>
        <v>0</v>
      </c>
      <c r="N505" s="136" t="s">
        <v>47</v>
      </c>
      <c r="O505" s="136" t="s">
        <v>226</v>
      </c>
      <c r="P505" s="136" t="s">
        <v>227</v>
      </c>
      <c r="Q505" s="136" t="str">
        <f>VLOOKUP(tbl_IO_List[[#This Row],[Instruement Tag]],tbl_Instruement_List[],6,FALSE)</f>
        <v xml:space="preserve">Steam feed to Spray dryer </v>
      </c>
      <c r="R505" s="136"/>
      <c r="S50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1,DO=0,AI=1,AO=0,Bus=0</v>
      </c>
      <c r="T505" s="136" t="str">
        <f>tbl_IO_List[[#This Row],[Instruement Tag]]&amp;"_"&amp;tbl_IO_List[[#This Row],[I/O Type]]&amp;"_"&amp;tbl_IO_List[[#This Row],[IO-Point 
(Instruement)]]</f>
        <v>FT-60202_AI_1</v>
      </c>
      <c r="U505" s="136" t="s">
        <v>10</v>
      </c>
      <c r="V505" s="136">
        <f>VLOOKUP(tbl_IO_List[[#This Row],[I/O Type]],tbl_Slot_Group[],2,FALSE)</f>
        <v>3</v>
      </c>
      <c r="W505" s="136">
        <v>1</v>
      </c>
      <c r="X505" s="136" t="str">
        <f>tbl_IO_List[[#This Row],[Chassis]]&amp;"S"&amp;TEXT(tbl_IO_List[[#This Row],[Slot]],"00")</f>
        <v>C2S10</v>
      </c>
      <c r="Y505" s="136" t="str">
        <f>tbl_IO_List[[#This Row],[Chassis]]&amp;"S"&amp;TEXT(tbl_IO_List[[#This Row],[Slot]],"00")&amp;tbl_IO_List[[#This Row],[I/O Type]]&amp;TEXT(tbl_IO_List[[#This Row],[Point]],"00")</f>
        <v>C2S10AI02</v>
      </c>
      <c r="Z505" s="136" t="str">
        <f>tbl_IO_List[[#This Row],[Chassis]]&amp;"S"&amp;TEXT(tbl_IO_List[[#This Row],[Slot]],"00")&amp;","&amp;TEXT(tbl_IO_List[[#This Row],[Point]],"00")</f>
        <v>C2S10,02</v>
      </c>
      <c r="AA505" s="136" t="str">
        <f>VLOOKUP(tbl_IO_List[[#This Row],[Column23]],tbl_RackConfig[],5,FALSE) &amp;"-"&amp;tbl_IO_List[[#This Row],[Point]]</f>
        <v>1756-IF16-2</v>
      </c>
      <c r="AB505" s="136"/>
      <c r="AC505" s="136"/>
      <c r="AD505" s="136" t="str">
        <f>tbl_IO_List[[#This Row],[I/O Type]]</f>
        <v>AI</v>
      </c>
      <c r="AE505" s="136" t="s">
        <v>1333</v>
      </c>
      <c r="AF505" s="136">
        <v>10</v>
      </c>
      <c r="AG505" s="136">
        <v>2</v>
      </c>
      <c r="AH505" s="136"/>
      <c r="AI505" s="136"/>
      <c r="AJ505" s="136">
        <v>1</v>
      </c>
      <c r="AK505" s="136">
        <v>0</v>
      </c>
      <c r="AL505" s="136">
        <v>1</v>
      </c>
      <c r="AM505" s="136">
        <v>0</v>
      </c>
      <c r="AN505" s="136">
        <v>0</v>
      </c>
      <c r="AO505" s="136"/>
      <c r="AP505" s="143" t="str">
        <f>VLOOKUP(tbl_IO_List[[#This Row],[Instruement Tag]],tbl_Instruement_List[],14,FALSE)</f>
        <v>4 - 20 mA</v>
      </c>
      <c r="AQ505" s="143" t="str">
        <f>tbl_IO_List[[#This Row],[Chassis]]&amp;"S"&amp;tbl_IO_List[[#This Row],[Slot]]&amp;"-"&amp;tbl_IO_List[[#This Row],[Front Terminal Number]]</f>
        <v>C2S10-</v>
      </c>
      <c r="AR505" s="143"/>
      <c r="AS505" s="136" t="str">
        <f>tbl_IO_List[[#This Row],[Terminal Tagging]]&amp;"-"&amp;tbl_IO_List[[#This Row],[Point-Count]]</f>
        <v>-</v>
      </c>
      <c r="AT505" s="136" t="str">
        <f>tbl_IO_List[[#This Row],[Front Terminal Tagging]]&amp;"/"&amp;tbl_IO_List[[#This Row],[Terminal Tagging-Item]]</f>
        <v>C2S10-/-</v>
      </c>
      <c r="AU505" s="136" t="str">
        <f>tbl_IO_List[[#This Row],[Terminal Tagging-Item]]&amp;"/"&amp;tbl_IO_List[[#This Row],[Front Terminal Tagging]]</f>
        <v>-/C2S10-</v>
      </c>
    </row>
    <row r="506" spans="1:47" hidden="1">
      <c r="A506" s="147" t="s">
        <v>1367</v>
      </c>
      <c r="B506" s="136" t="s">
        <v>221</v>
      </c>
      <c r="C506" s="136" t="str">
        <f>tbl_IO_List[[#This Row],[Column3]]</f>
        <v>C2S10,03</v>
      </c>
      <c r="D506" s="136" t="str">
        <f>tbl_IO_List[[#This Row],[Card]]</f>
        <v>1756-IF16-3</v>
      </c>
      <c r="E506" s="136" t="s">
        <v>1366</v>
      </c>
      <c r="F506" s="136" t="str">
        <f>tbl_IO_List[[#This Row],[Column23]]&amp;"-" &amp;tbl_IO_List[[#This Row],[Column52]]</f>
        <v>C2S10-X1</v>
      </c>
      <c r="G506" s="136" t="str">
        <f>tbl_IO_List[[#This Row],[PLC_Tag]]</f>
        <v>PT-60210_AI_1</v>
      </c>
      <c r="H506" s="136"/>
      <c r="I506" s="136" t="str">
        <f>VLOOKUP(tbl_IO_List[[#This Row],[Destination]],tbl_Junction[],2,FALSE)</f>
        <v>Spray Dryer 3rd Floor</v>
      </c>
      <c r="J506" s="136" t="s">
        <v>221</v>
      </c>
      <c r="K506" s="136" t="s">
        <v>14</v>
      </c>
      <c r="L506" s="136" t="s">
        <v>230</v>
      </c>
      <c r="M506" s="136" t="str">
        <f>VLOOKUP(tbl_IO_List[[#This Row],[Instruement Tag]],tbl_Instruement_List[],2,FALSE)</f>
        <v>Pressure Transmitter</v>
      </c>
      <c r="N506" s="136" t="s">
        <v>47</v>
      </c>
      <c r="O506" s="136" t="s">
        <v>50</v>
      </c>
      <c r="P506" s="136" t="s">
        <v>51</v>
      </c>
      <c r="Q506" s="136" t="str">
        <f>VLOOKUP(tbl_IO_List[[#This Row],[Instruement Tag]],tbl_Instruement_List[],6,FALSE)</f>
        <v>Gas Pressure Transmitter for Hot Air Duct (DTHA-21)</v>
      </c>
      <c r="R506" s="136"/>
      <c r="S50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06" s="136" t="str">
        <f>tbl_IO_List[[#This Row],[Instruement Tag]]&amp;"_"&amp;tbl_IO_List[[#This Row],[I/O Type]]&amp;"_"&amp;tbl_IO_List[[#This Row],[IO-Point 
(Instruement)]]</f>
        <v>PT-60210_AI_1</v>
      </c>
      <c r="U506" s="136" t="s">
        <v>10</v>
      </c>
      <c r="V506" s="136">
        <f>VLOOKUP(tbl_IO_List[[#This Row],[I/O Type]],tbl_Slot_Group[],2,FALSE)</f>
        <v>3</v>
      </c>
      <c r="W506" s="136">
        <v>1</v>
      </c>
      <c r="X506" s="136" t="str">
        <f>tbl_IO_List[[#This Row],[Chassis]]&amp;"S"&amp;TEXT(tbl_IO_List[[#This Row],[Slot]],"00")</f>
        <v>C2S10</v>
      </c>
      <c r="Y506" s="136" t="str">
        <f>tbl_IO_List[[#This Row],[Chassis]]&amp;"S"&amp;TEXT(tbl_IO_List[[#This Row],[Slot]],"00")&amp;tbl_IO_List[[#This Row],[I/O Type]]&amp;TEXT(tbl_IO_List[[#This Row],[Point]],"00")</f>
        <v>C2S10AI03</v>
      </c>
      <c r="Z506" s="136" t="str">
        <f>tbl_IO_List[[#This Row],[Chassis]]&amp;"S"&amp;TEXT(tbl_IO_List[[#This Row],[Slot]],"00")&amp;","&amp;TEXT(tbl_IO_List[[#This Row],[Point]],"00")</f>
        <v>C2S10,03</v>
      </c>
      <c r="AA506" s="136" t="str">
        <f>VLOOKUP(tbl_IO_List[[#This Row],[Column23]],tbl_RackConfig[],5,FALSE) &amp;"-"&amp;tbl_IO_List[[#This Row],[Point]]</f>
        <v>1756-IF16-3</v>
      </c>
      <c r="AB506" s="136"/>
      <c r="AC506" s="136"/>
      <c r="AD506" s="136" t="str">
        <f>tbl_IO_List[[#This Row],[I/O Type]]</f>
        <v>AI</v>
      </c>
      <c r="AE506" s="136" t="s">
        <v>1333</v>
      </c>
      <c r="AF506" s="136">
        <v>10</v>
      </c>
      <c r="AG506" s="136">
        <v>3</v>
      </c>
      <c r="AH506" s="136"/>
      <c r="AI506" s="136"/>
      <c r="AJ506" s="136">
        <v>0</v>
      </c>
      <c r="AK506" s="136">
        <v>0</v>
      </c>
      <c r="AL506" s="136">
        <v>1</v>
      </c>
      <c r="AM506" s="136">
        <v>0</v>
      </c>
      <c r="AN506" s="136">
        <v>0</v>
      </c>
      <c r="AO506" s="136"/>
      <c r="AP506" s="143" t="str">
        <f>VLOOKUP(tbl_IO_List[[#This Row],[Instruement Tag]],tbl_Instruement_List[],14,FALSE)</f>
        <v>4 - 20 mA</v>
      </c>
      <c r="AQ506" s="143" t="str">
        <f>tbl_IO_List[[#This Row],[Chassis]]&amp;"S"&amp;tbl_IO_List[[#This Row],[Slot]]&amp;"-"&amp;tbl_IO_List[[#This Row],[Front Terminal Number]]</f>
        <v>C2S10-</v>
      </c>
      <c r="AR506" s="143"/>
      <c r="AS506" s="136" t="str">
        <f>tbl_IO_List[[#This Row],[Terminal Tagging]]&amp;"-"&amp;tbl_IO_List[[#This Row],[Point-Count]]</f>
        <v>-</v>
      </c>
      <c r="AT506" s="136" t="str">
        <f>tbl_IO_List[[#This Row],[Front Terminal Tagging]]&amp;"/"&amp;tbl_IO_List[[#This Row],[Terminal Tagging-Item]]</f>
        <v>C2S10-/-</v>
      </c>
      <c r="AU506" s="136" t="str">
        <f>tbl_IO_List[[#This Row],[Terminal Tagging-Item]]&amp;"/"&amp;tbl_IO_List[[#This Row],[Front Terminal Tagging]]</f>
        <v>-/C2S10-</v>
      </c>
    </row>
    <row r="507" spans="1:47" hidden="1">
      <c r="A507" s="147" t="s">
        <v>1367</v>
      </c>
      <c r="B507" s="136" t="s">
        <v>221</v>
      </c>
      <c r="C507" s="136" t="str">
        <f>tbl_IO_List[[#This Row],[Column3]]</f>
        <v>C2S10,04</v>
      </c>
      <c r="D507" s="136" t="str">
        <f>tbl_IO_List[[#This Row],[Card]]</f>
        <v>1756-IF16-4</v>
      </c>
      <c r="E507" s="136" t="s">
        <v>1366</v>
      </c>
      <c r="F507" s="136" t="str">
        <f>tbl_IO_List[[#This Row],[Column23]]&amp;"-" &amp;tbl_IO_List[[#This Row],[Column52]]</f>
        <v>C2S10-X1</v>
      </c>
      <c r="G507" s="136" t="str">
        <f>tbl_IO_List[[#This Row],[PLC_Tag]]</f>
        <v>PT-60215_AI_1</v>
      </c>
      <c r="H507" s="136"/>
      <c r="I507" s="136" t="str">
        <f>VLOOKUP(tbl_IO_List[[#This Row],[Destination]],tbl_Junction[],2,FALSE)</f>
        <v>Spray Dryer 3rd Floor</v>
      </c>
      <c r="J507" s="136" t="s">
        <v>221</v>
      </c>
      <c r="K507" s="136" t="s">
        <v>14</v>
      </c>
      <c r="L507" s="136" t="s">
        <v>231</v>
      </c>
      <c r="M507" s="136" t="str">
        <f>VLOOKUP(tbl_IO_List[[#This Row],[Instruement Tag]],tbl_Instruement_List[],2,FALSE)</f>
        <v>Pressure Transmitter</v>
      </c>
      <c r="N507" s="136" t="s">
        <v>47</v>
      </c>
      <c r="O507" s="136" t="s">
        <v>50</v>
      </c>
      <c r="P507" s="136" t="s">
        <v>51</v>
      </c>
      <c r="Q507" s="136" t="str">
        <f>VLOOKUP(tbl_IO_List[[#This Row],[Instruement Tag]],tbl_Instruement_List[],6,FALSE)</f>
        <v>15% Polypropylene Glycol Pressure Indicator Transmitter for Heat Recovery Pumping Skid (PUCF-21)</v>
      </c>
      <c r="R507" s="136"/>
      <c r="S50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07" s="136" t="str">
        <f>tbl_IO_List[[#This Row],[Instruement Tag]]&amp;"_"&amp;tbl_IO_List[[#This Row],[I/O Type]]&amp;"_"&amp;tbl_IO_List[[#This Row],[IO-Point 
(Instruement)]]</f>
        <v>PT-60215_AI_1</v>
      </c>
      <c r="U507" s="136" t="s">
        <v>10</v>
      </c>
      <c r="V507" s="136">
        <f>VLOOKUP(tbl_IO_List[[#This Row],[I/O Type]],tbl_Slot_Group[],2,FALSE)</f>
        <v>3</v>
      </c>
      <c r="W507" s="136">
        <v>1</v>
      </c>
      <c r="X507" s="136" t="str">
        <f>tbl_IO_List[[#This Row],[Chassis]]&amp;"S"&amp;TEXT(tbl_IO_List[[#This Row],[Slot]],"00")</f>
        <v>C2S10</v>
      </c>
      <c r="Y507" s="136" t="str">
        <f>tbl_IO_List[[#This Row],[Chassis]]&amp;"S"&amp;TEXT(tbl_IO_List[[#This Row],[Slot]],"00")&amp;tbl_IO_List[[#This Row],[I/O Type]]&amp;TEXT(tbl_IO_List[[#This Row],[Point]],"00")</f>
        <v>C2S10AI04</v>
      </c>
      <c r="Z507" s="136" t="str">
        <f>tbl_IO_List[[#This Row],[Chassis]]&amp;"S"&amp;TEXT(tbl_IO_List[[#This Row],[Slot]],"00")&amp;","&amp;TEXT(tbl_IO_List[[#This Row],[Point]],"00")</f>
        <v>C2S10,04</v>
      </c>
      <c r="AA507" s="136" t="str">
        <f>VLOOKUP(tbl_IO_List[[#This Row],[Column23]],tbl_RackConfig[],5,FALSE) &amp;"-"&amp;tbl_IO_List[[#This Row],[Point]]</f>
        <v>1756-IF16-4</v>
      </c>
      <c r="AB507" s="136"/>
      <c r="AC507" s="136"/>
      <c r="AD507" s="136" t="str">
        <f>tbl_IO_List[[#This Row],[I/O Type]]</f>
        <v>AI</v>
      </c>
      <c r="AE507" s="136" t="s">
        <v>1333</v>
      </c>
      <c r="AF507" s="136">
        <v>10</v>
      </c>
      <c r="AG507" s="136">
        <v>4</v>
      </c>
      <c r="AH507" s="136"/>
      <c r="AI507" s="136"/>
      <c r="AJ507" s="136">
        <v>0</v>
      </c>
      <c r="AK507" s="136">
        <v>0</v>
      </c>
      <c r="AL507" s="136">
        <v>1</v>
      </c>
      <c r="AM507" s="136">
        <v>0</v>
      </c>
      <c r="AN507" s="136">
        <v>0</v>
      </c>
      <c r="AO507" s="136"/>
      <c r="AP507" s="143" t="str">
        <f>VLOOKUP(tbl_IO_List[[#This Row],[Instruement Tag]],tbl_Instruement_List[],14,FALSE)</f>
        <v>4 - 20 mA</v>
      </c>
      <c r="AQ507" s="143" t="str">
        <f>tbl_IO_List[[#This Row],[Chassis]]&amp;"S"&amp;tbl_IO_List[[#This Row],[Slot]]&amp;"-"&amp;tbl_IO_List[[#This Row],[Front Terminal Number]]</f>
        <v>C2S10-</v>
      </c>
      <c r="AR507" s="143"/>
      <c r="AS507" s="136" t="str">
        <f>tbl_IO_List[[#This Row],[Terminal Tagging]]&amp;"-"&amp;tbl_IO_List[[#This Row],[Point-Count]]</f>
        <v>-</v>
      </c>
      <c r="AT507" s="136" t="str">
        <f>tbl_IO_List[[#This Row],[Front Terminal Tagging]]&amp;"/"&amp;tbl_IO_List[[#This Row],[Terminal Tagging-Item]]</f>
        <v>C2S10-/-</v>
      </c>
      <c r="AU507" s="136" t="str">
        <f>tbl_IO_List[[#This Row],[Terminal Tagging-Item]]&amp;"/"&amp;tbl_IO_List[[#This Row],[Front Terminal Tagging]]</f>
        <v>-/C2S10-</v>
      </c>
    </row>
    <row r="508" spans="1:47" hidden="1">
      <c r="A508" s="147" t="s">
        <v>1367</v>
      </c>
      <c r="B508" s="136" t="s">
        <v>221</v>
      </c>
      <c r="C508" s="136" t="str">
        <f>tbl_IO_List[[#This Row],[Column3]]</f>
        <v>C2S10,05</v>
      </c>
      <c r="D508" s="136" t="str">
        <f>tbl_IO_List[[#This Row],[Card]]</f>
        <v>1756-IF16-5</v>
      </c>
      <c r="E508" s="136" t="s">
        <v>1366</v>
      </c>
      <c r="F508" s="136" t="str">
        <f>tbl_IO_List[[#This Row],[Column23]]&amp;"-" &amp;tbl_IO_List[[#This Row],[Column52]]</f>
        <v>C2S10-X1</v>
      </c>
      <c r="G508" s="136" t="str">
        <f>tbl_IO_List[[#This Row],[PLC_Tag]]</f>
        <v>PT-60216_AI_1</v>
      </c>
      <c r="H508" s="136"/>
      <c r="I508" s="136" t="str">
        <f>VLOOKUP(tbl_IO_List[[#This Row],[Destination]],tbl_Junction[],2,FALSE)</f>
        <v>Spray Dryer 3rd Floor</v>
      </c>
      <c r="J508" s="136" t="s">
        <v>221</v>
      </c>
      <c r="K508" s="136" t="s">
        <v>14</v>
      </c>
      <c r="L508" s="136" t="s">
        <v>232</v>
      </c>
      <c r="M508" s="136" t="str">
        <f>VLOOKUP(tbl_IO_List[[#This Row],[Instruement Tag]],tbl_Instruement_List[],2,FALSE)</f>
        <v>Pressure Transmitter</v>
      </c>
      <c r="N508" s="136" t="s">
        <v>47</v>
      </c>
      <c r="O508" s="136" t="s">
        <v>50</v>
      </c>
      <c r="P508" s="136" t="s">
        <v>51</v>
      </c>
      <c r="Q508" s="136" t="str">
        <f>VLOOKUP(tbl_IO_List[[#This Row],[Instruement Tag]],tbl_Instruement_List[],6,FALSE)</f>
        <v>Gas Pressure Transmitter for Combustion Air Burner Duct (DTCB-21)</v>
      </c>
      <c r="R508" s="136"/>
      <c r="S50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08" s="136" t="str">
        <f>tbl_IO_List[[#This Row],[Instruement Tag]]&amp;"_"&amp;tbl_IO_List[[#This Row],[I/O Type]]&amp;"_"&amp;tbl_IO_List[[#This Row],[IO-Point 
(Instruement)]]</f>
        <v>PT-60216_AI_1</v>
      </c>
      <c r="U508" s="136" t="s">
        <v>10</v>
      </c>
      <c r="V508" s="136">
        <f>VLOOKUP(tbl_IO_List[[#This Row],[I/O Type]],tbl_Slot_Group[],2,FALSE)</f>
        <v>3</v>
      </c>
      <c r="W508" s="136">
        <v>1</v>
      </c>
      <c r="X508" s="136" t="str">
        <f>tbl_IO_List[[#This Row],[Chassis]]&amp;"S"&amp;TEXT(tbl_IO_List[[#This Row],[Slot]],"00")</f>
        <v>C2S10</v>
      </c>
      <c r="Y508" s="136" t="str">
        <f>tbl_IO_List[[#This Row],[Chassis]]&amp;"S"&amp;TEXT(tbl_IO_List[[#This Row],[Slot]],"00")&amp;tbl_IO_List[[#This Row],[I/O Type]]&amp;TEXT(tbl_IO_List[[#This Row],[Point]],"00")</f>
        <v>C2S10AI05</v>
      </c>
      <c r="Z508" s="136" t="str">
        <f>tbl_IO_List[[#This Row],[Chassis]]&amp;"S"&amp;TEXT(tbl_IO_List[[#This Row],[Slot]],"00")&amp;","&amp;TEXT(tbl_IO_List[[#This Row],[Point]],"00")</f>
        <v>C2S10,05</v>
      </c>
      <c r="AA508" s="136" t="str">
        <f>VLOOKUP(tbl_IO_List[[#This Row],[Column23]],tbl_RackConfig[],5,FALSE) &amp;"-"&amp;tbl_IO_List[[#This Row],[Point]]</f>
        <v>1756-IF16-5</v>
      </c>
      <c r="AB508" s="136"/>
      <c r="AC508" s="136"/>
      <c r="AD508" s="136" t="str">
        <f>tbl_IO_List[[#This Row],[I/O Type]]</f>
        <v>AI</v>
      </c>
      <c r="AE508" s="136" t="s">
        <v>1333</v>
      </c>
      <c r="AF508" s="136">
        <v>10</v>
      </c>
      <c r="AG508" s="136">
        <v>5</v>
      </c>
      <c r="AH508" s="136"/>
      <c r="AI508" s="136"/>
      <c r="AJ508" s="136">
        <v>0</v>
      </c>
      <c r="AK508" s="136">
        <v>0</v>
      </c>
      <c r="AL508" s="136">
        <v>1</v>
      </c>
      <c r="AM508" s="136">
        <v>0</v>
      </c>
      <c r="AN508" s="136">
        <v>0</v>
      </c>
      <c r="AO508" s="136"/>
      <c r="AP508" s="143" t="str">
        <f>VLOOKUP(tbl_IO_List[[#This Row],[Instruement Tag]],tbl_Instruement_List[],14,FALSE)</f>
        <v>4 - 20 mA</v>
      </c>
      <c r="AQ508" s="143" t="str">
        <f>tbl_IO_List[[#This Row],[Chassis]]&amp;"S"&amp;tbl_IO_List[[#This Row],[Slot]]&amp;"-"&amp;tbl_IO_List[[#This Row],[Front Terminal Number]]</f>
        <v>C2S10-</v>
      </c>
      <c r="AR508" s="143"/>
      <c r="AS508" s="136" t="str">
        <f>tbl_IO_List[[#This Row],[Terminal Tagging]]&amp;"-"&amp;tbl_IO_List[[#This Row],[Point-Count]]</f>
        <v>-</v>
      </c>
      <c r="AT508" s="136" t="str">
        <f>tbl_IO_List[[#This Row],[Front Terminal Tagging]]&amp;"/"&amp;tbl_IO_List[[#This Row],[Terminal Tagging-Item]]</f>
        <v>C2S10-/-</v>
      </c>
      <c r="AU508" s="136" t="str">
        <f>tbl_IO_List[[#This Row],[Terminal Tagging-Item]]&amp;"/"&amp;tbl_IO_List[[#This Row],[Front Terminal Tagging]]</f>
        <v>-/C2S10-</v>
      </c>
    </row>
    <row r="509" spans="1:47" hidden="1">
      <c r="A509" s="147" t="s">
        <v>1367</v>
      </c>
      <c r="B509" s="136" t="s">
        <v>221</v>
      </c>
      <c r="C509" s="136" t="str">
        <f>tbl_IO_List[[#This Row],[Column3]]</f>
        <v>C2S10,06</v>
      </c>
      <c r="D509" s="136" t="str">
        <f>tbl_IO_List[[#This Row],[Card]]</f>
        <v>1756-IF16-6</v>
      </c>
      <c r="E509" s="136" t="s">
        <v>1366</v>
      </c>
      <c r="F509" s="136" t="str">
        <f>tbl_IO_List[[#This Row],[Column23]]&amp;"-" &amp;tbl_IO_List[[#This Row],[Column52]]</f>
        <v>C2S10-X1</v>
      </c>
      <c r="G509" s="136" t="str">
        <f>tbl_IO_List[[#This Row],[PLC_Tag]]</f>
        <v>PT-60240_AI_1</v>
      </c>
      <c r="H509" s="136"/>
      <c r="I509" s="136" t="str">
        <f>VLOOKUP(tbl_IO_List[[#This Row],[Destination]],tbl_Junction[],2,FALSE)</f>
        <v>Spray Dryer 3rd Floor</v>
      </c>
      <c r="J509" s="136" t="s">
        <v>221</v>
      </c>
      <c r="K509" s="136" t="s">
        <v>14</v>
      </c>
      <c r="L509" s="136" t="s">
        <v>233</v>
      </c>
      <c r="M509" s="136" t="str">
        <f>VLOOKUP(tbl_IO_List[[#This Row],[Instruement Tag]],tbl_Instruement_List[],2,FALSE)</f>
        <v>Pressure Transmitter</v>
      </c>
      <c r="N509" s="136" t="s">
        <v>47</v>
      </c>
      <c r="O509" s="136" t="s">
        <v>21</v>
      </c>
      <c r="P509" s="136" t="s">
        <v>22</v>
      </c>
      <c r="Q509" s="136" t="str">
        <f>VLOOKUP(tbl_IO_List[[#This Row],[Instruement Tag]],tbl_Instruement_List[],6,FALSE)</f>
        <v>Gas Pressure Transmitter for Bag House Exhaust Duct (DTEX-22)</v>
      </c>
      <c r="R509" s="136"/>
      <c r="S50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09" s="136" t="str">
        <f>tbl_IO_List[[#This Row],[Instruement Tag]]&amp;"_"&amp;tbl_IO_List[[#This Row],[I/O Type]]&amp;"_"&amp;tbl_IO_List[[#This Row],[IO-Point 
(Instruement)]]</f>
        <v>PT-60240_AI_1</v>
      </c>
      <c r="U509" s="136" t="s">
        <v>10</v>
      </c>
      <c r="V509" s="136">
        <f>VLOOKUP(tbl_IO_List[[#This Row],[I/O Type]],tbl_Slot_Group[],2,FALSE)</f>
        <v>3</v>
      </c>
      <c r="W509" s="136">
        <v>1</v>
      </c>
      <c r="X509" s="136" t="str">
        <f>tbl_IO_List[[#This Row],[Chassis]]&amp;"S"&amp;TEXT(tbl_IO_List[[#This Row],[Slot]],"00")</f>
        <v>C2S10</v>
      </c>
      <c r="Y509" s="136" t="str">
        <f>tbl_IO_List[[#This Row],[Chassis]]&amp;"S"&amp;TEXT(tbl_IO_List[[#This Row],[Slot]],"00")&amp;tbl_IO_List[[#This Row],[I/O Type]]&amp;TEXT(tbl_IO_List[[#This Row],[Point]],"00")</f>
        <v>C2S10AI06</v>
      </c>
      <c r="Z509" s="136" t="str">
        <f>tbl_IO_List[[#This Row],[Chassis]]&amp;"S"&amp;TEXT(tbl_IO_List[[#This Row],[Slot]],"00")&amp;","&amp;TEXT(tbl_IO_List[[#This Row],[Point]],"00")</f>
        <v>C2S10,06</v>
      </c>
      <c r="AA509" s="136" t="str">
        <f>VLOOKUP(tbl_IO_List[[#This Row],[Column23]],tbl_RackConfig[],5,FALSE) &amp;"-"&amp;tbl_IO_List[[#This Row],[Point]]</f>
        <v>1756-IF16-6</v>
      </c>
      <c r="AB509" s="136"/>
      <c r="AC509" s="136"/>
      <c r="AD509" s="136" t="str">
        <f>tbl_IO_List[[#This Row],[I/O Type]]</f>
        <v>AI</v>
      </c>
      <c r="AE509" s="136" t="s">
        <v>1333</v>
      </c>
      <c r="AF509" s="136">
        <v>10</v>
      </c>
      <c r="AG509" s="136">
        <v>6</v>
      </c>
      <c r="AH509" s="136"/>
      <c r="AI509" s="136"/>
      <c r="AJ509" s="136">
        <v>0</v>
      </c>
      <c r="AK509" s="136">
        <v>0</v>
      </c>
      <c r="AL509" s="136">
        <v>1</v>
      </c>
      <c r="AM509" s="136">
        <v>0</v>
      </c>
      <c r="AN509" s="136">
        <v>0</v>
      </c>
      <c r="AO509" s="136"/>
      <c r="AP509" s="143" t="str">
        <f>VLOOKUP(tbl_IO_List[[#This Row],[Instruement Tag]],tbl_Instruement_List[],14,FALSE)</f>
        <v>4 - 20 mA</v>
      </c>
      <c r="AQ509" s="143" t="str">
        <f>tbl_IO_List[[#This Row],[Chassis]]&amp;"S"&amp;tbl_IO_List[[#This Row],[Slot]]&amp;"-"&amp;tbl_IO_List[[#This Row],[Front Terminal Number]]</f>
        <v>C2S10-</v>
      </c>
      <c r="AR509" s="143"/>
      <c r="AS509" s="136" t="str">
        <f>tbl_IO_List[[#This Row],[Terminal Tagging]]&amp;"-"&amp;tbl_IO_List[[#This Row],[Point-Count]]</f>
        <v>-</v>
      </c>
      <c r="AT509" s="136" t="str">
        <f>tbl_IO_List[[#This Row],[Front Terminal Tagging]]&amp;"/"&amp;tbl_IO_List[[#This Row],[Terminal Tagging-Item]]</f>
        <v>C2S10-/-</v>
      </c>
      <c r="AU509" s="136" t="str">
        <f>tbl_IO_List[[#This Row],[Terminal Tagging-Item]]&amp;"/"&amp;tbl_IO_List[[#This Row],[Front Terminal Tagging]]</f>
        <v>-/C2S10-</v>
      </c>
    </row>
    <row r="510" spans="1:47" hidden="1">
      <c r="A510" s="147" t="s">
        <v>1367</v>
      </c>
      <c r="B510" s="136" t="s">
        <v>221</v>
      </c>
      <c r="C510" s="136" t="str">
        <f>tbl_IO_List[[#This Row],[Column3]]</f>
        <v>C2S10,07</v>
      </c>
      <c r="D510" s="136" t="str">
        <f>tbl_IO_List[[#This Row],[Card]]</f>
        <v>1756-IF16-7</v>
      </c>
      <c r="E510" s="136" t="s">
        <v>1366</v>
      </c>
      <c r="F510" s="136" t="str">
        <f>tbl_IO_List[[#This Row],[Column23]]&amp;"-" &amp;tbl_IO_List[[#This Row],[Column52]]</f>
        <v>C2S10-X1</v>
      </c>
      <c r="G510" s="136" t="str">
        <f>tbl_IO_List[[#This Row],[PLC_Tag]]</f>
        <v>PT-60241_AI_1</v>
      </c>
      <c r="H510" s="136"/>
      <c r="I510" s="136" t="str">
        <f>VLOOKUP(tbl_IO_List[[#This Row],[Destination]],tbl_Junction[],2,FALSE)</f>
        <v>Spray Dryer 3rd Floor</v>
      </c>
      <c r="J510" s="136" t="s">
        <v>221</v>
      </c>
      <c r="K510" s="136" t="s">
        <v>14</v>
      </c>
      <c r="L510" s="136" t="s">
        <v>234</v>
      </c>
      <c r="M510" s="136" t="str">
        <f>VLOOKUP(tbl_IO_List[[#This Row],[Instruement Tag]],tbl_Instruement_List[],2,FALSE)</f>
        <v>Pressure Transmitter</v>
      </c>
      <c r="N510" s="136" t="s">
        <v>47</v>
      </c>
      <c r="O510" s="136" t="s">
        <v>21</v>
      </c>
      <c r="P510" s="136" t="s">
        <v>22</v>
      </c>
      <c r="Q510" s="136" t="str">
        <f>VLOOKUP(tbl_IO_List[[#This Row],[Instruement Tag]],tbl_Instruement_List[],6,FALSE)</f>
        <v>Gas Pressure Transmitter for Exhaust Fan (FANE-21)</v>
      </c>
      <c r="R510" s="136"/>
      <c r="S51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10" s="136" t="str">
        <f>tbl_IO_List[[#This Row],[Instruement Tag]]&amp;"_"&amp;tbl_IO_List[[#This Row],[I/O Type]]&amp;"_"&amp;tbl_IO_List[[#This Row],[IO-Point 
(Instruement)]]</f>
        <v>PT-60241_AI_1</v>
      </c>
      <c r="U510" s="136" t="s">
        <v>10</v>
      </c>
      <c r="V510" s="136">
        <f>VLOOKUP(tbl_IO_List[[#This Row],[I/O Type]],tbl_Slot_Group[],2,FALSE)</f>
        <v>3</v>
      </c>
      <c r="W510" s="136">
        <v>1</v>
      </c>
      <c r="X510" s="136" t="str">
        <f>tbl_IO_List[[#This Row],[Chassis]]&amp;"S"&amp;TEXT(tbl_IO_List[[#This Row],[Slot]],"00")</f>
        <v>C2S10</v>
      </c>
      <c r="Y510" s="136" t="str">
        <f>tbl_IO_List[[#This Row],[Chassis]]&amp;"S"&amp;TEXT(tbl_IO_List[[#This Row],[Slot]],"00")&amp;tbl_IO_List[[#This Row],[I/O Type]]&amp;TEXT(tbl_IO_List[[#This Row],[Point]],"00")</f>
        <v>C2S10AI07</v>
      </c>
      <c r="Z510" s="136" t="str">
        <f>tbl_IO_List[[#This Row],[Chassis]]&amp;"S"&amp;TEXT(tbl_IO_List[[#This Row],[Slot]],"00")&amp;","&amp;TEXT(tbl_IO_List[[#This Row],[Point]],"00")</f>
        <v>C2S10,07</v>
      </c>
      <c r="AA510" s="136" t="str">
        <f>VLOOKUP(tbl_IO_List[[#This Row],[Column23]],tbl_RackConfig[],5,FALSE) &amp;"-"&amp;tbl_IO_List[[#This Row],[Point]]</f>
        <v>1756-IF16-7</v>
      </c>
      <c r="AB510" s="136"/>
      <c r="AC510" s="136"/>
      <c r="AD510" s="136" t="str">
        <f>tbl_IO_List[[#This Row],[I/O Type]]</f>
        <v>AI</v>
      </c>
      <c r="AE510" s="136" t="s">
        <v>1333</v>
      </c>
      <c r="AF510" s="136">
        <v>10</v>
      </c>
      <c r="AG510" s="136">
        <v>7</v>
      </c>
      <c r="AH510" s="136"/>
      <c r="AI510" s="136"/>
      <c r="AJ510" s="136">
        <v>0</v>
      </c>
      <c r="AK510" s="136">
        <v>0</v>
      </c>
      <c r="AL510" s="136">
        <v>1</v>
      </c>
      <c r="AM510" s="136">
        <v>0</v>
      </c>
      <c r="AN510" s="136">
        <v>0</v>
      </c>
      <c r="AO510" s="136"/>
      <c r="AP510" s="143" t="str">
        <f>VLOOKUP(tbl_IO_List[[#This Row],[Instruement Tag]],tbl_Instruement_List[],14,FALSE)</f>
        <v>4 - 20 mA</v>
      </c>
      <c r="AQ510" s="143" t="str">
        <f>tbl_IO_List[[#This Row],[Chassis]]&amp;"S"&amp;tbl_IO_List[[#This Row],[Slot]]&amp;"-"&amp;tbl_IO_List[[#This Row],[Front Terminal Number]]</f>
        <v>C2S10-</v>
      </c>
      <c r="AR510" s="143"/>
      <c r="AS510" s="136" t="str">
        <f>tbl_IO_List[[#This Row],[Terminal Tagging]]&amp;"-"&amp;tbl_IO_List[[#This Row],[Point-Count]]</f>
        <v>-</v>
      </c>
      <c r="AT510" s="136" t="str">
        <f>tbl_IO_List[[#This Row],[Front Terminal Tagging]]&amp;"/"&amp;tbl_IO_List[[#This Row],[Terminal Tagging-Item]]</f>
        <v>C2S10-/-</v>
      </c>
      <c r="AU510" s="136" t="str">
        <f>tbl_IO_List[[#This Row],[Terminal Tagging-Item]]&amp;"/"&amp;tbl_IO_List[[#This Row],[Front Terminal Tagging]]</f>
        <v>-/C2S10-</v>
      </c>
    </row>
    <row r="511" spans="1:47" hidden="1">
      <c r="A511" s="147" t="s">
        <v>1367</v>
      </c>
      <c r="B511" s="136" t="s">
        <v>221</v>
      </c>
      <c r="C511" s="136" t="str">
        <f>tbl_IO_List[[#This Row],[Column3]]</f>
        <v>C2S10,08</v>
      </c>
      <c r="D511" s="136" t="str">
        <f>tbl_IO_List[[#This Row],[Card]]</f>
        <v>1756-IF16-8</v>
      </c>
      <c r="E511" s="136" t="s">
        <v>1366</v>
      </c>
      <c r="F511" s="136" t="str">
        <f>tbl_IO_List[[#This Row],[Column23]]&amp;"-" &amp;tbl_IO_List[[#This Row],[Column52]]</f>
        <v>C2S10-X1</v>
      </c>
      <c r="G511" s="136" t="str">
        <f>tbl_IO_List[[#This Row],[PLC_Tag]]</f>
        <v>TT-60210_AI_1</v>
      </c>
      <c r="H511" s="136"/>
      <c r="I511" s="136" t="str">
        <f>VLOOKUP(tbl_IO_List[[#This Row],[Destination]],tbl_Junction[],2,FALSE)</f>
        <v>Spray Dryer 3rd Floor</v>
      </c>
      <c r="J511" s="136" t="s">
        <v>221</v>
      </c>
      <c r="K511" s="136" t="s">
        <v>14</v>
      </c>
      <c r="L511" s="136" t="s">
        <v>237</v>
      </c>
      <c r="M511" s="136">
        <f>VLOOKUP(tbl_IO_List[[#This Row],[Instruement Tag]],tbl_Instruement_List[],2,FALSE)</f>
        <v>0</v>
      </c>
      <c r="N511" s="136" t="s">
        <v>47</v>
      </c>
      <c r="O511" s="136" t="s">
        <v>50</v>
      </c>
      <c r="P511" s="136" t="s">
        <v>51</v>
      </c>
      <c r="Q511" s="136" t="str">
        <f>VLOOKUP(tbl_IO_List[[#This Row],[Instruement Tag]],tbl_Instruement_List[],6,FALSE)</f>
        <v>Gas Temperature Element for Hot Air Duct (DTHA-21)</v>
      </c>
      <c r="R511" s="136"/>
      <c r="S51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11" s="136" t="str">
        <f>tbl_IO_List[[#This Row],[Instruement Tag]]&amp;"_"&amp;tbl_IO_List[[#This Row],[I/O Type]]&amp;"_"&amp;tbl_IO_List[[#This Row],[IO-Point 
(Instruement)]]</f>
        <v>TT-60210_AI_1</v>
      </c>
      <c r="U511" s="136" t="s">
        <v>10</v>
      </c>
      <c r="V511" s="136">
        <f>VLOOKUP(tbl_IO_List[[#This Row],[I/O Type]],tbl_Slot_Group[],2,FALSE)</f>
        <v>3</v>
      </c>
      <c r="W511" s="136">
        <v>1</v>
      </c>
      <c r="X511" s="136" t="str">
        <f>tbl_IO_List[[#This Row],[Chassis]]&amp;"S"&amp;TEXT(tbl_IO_List[[#This Row],[Slot]],"00")</f>
        <v>C2S10</v>
      </c>
      <c r="Y511" s="136" t="str">
        <f>tbl_IO_List[[#This Row],[Chassis]]&amp;"S"&amp;TEXT(tbl_IO_List[[#This Row],[Slot]],"00")&amp;tbl_IO_List[[#This Row],[I/O Type]]&amp;TEXT(tbl_IO_List[[#This Row],[Point]],"00")</f>
        <v>C2S10AI08</v>
      </c>
      <c r="Z511" s="136" t="str">
        <f>tbl_IO_List[[#This Row],[Chassis]]&amp;"S"&amp;TEXT(tbl_IO_List[[#This Row],[Slot]],"00")&amp;","&amp;TEXT(tbl_IO_List[[#This Row],[Point]],"00")</f>
        <v>C2S10,08</v>
      </c>
      <c r="AA511" s="136" t="str">
        <f>VLOOKUP(tbl_IO_List[[#This Row],[Column23]],tbl_RackConfig[],5,FALSE) &amp;"-"&amp;tbl_IO_List[[#This Row],[Point]]</f>
        <v>1756-IF16-8</v>
      </c>
      <c r="AB511" s="136"/>
      <c r="AC511" s="136"/>
      <c r="AD511" s="136" t="str">
        <f>tbl_IO_List[[#This Row],[I/O Type]]</f>
        <v>AI</v>
      </c>
      <c r="AE511" s="136" t="s">
        <v>1333</v>
      </c>
      <c r="AF511" s="136">
        <v>10</v>
      </c>
      <c r="AG511" s="136">
        <v>8</v>
      </c>
      <c r="AH511" s="136"/>
      <c r="AI511" s="136"/>
      <c r="AJ511" s="136">
        <v>0</v>
      </c>
      <c r="AK511" s="136">
        <v>0</v>
      </c>
      <c r="AL511" s="136">
        <v>1</v>
      </c>
      <c r="AM511" s="136">
        <v>0</v>
      </c>
      <c r="AN511" s="136">
        <v>0</v>
      </c>
      <c r="AO511" s="136"/>
      <c r="AP511" s="143" t="str">
        <f>VLOOKUP(tbl_IO_List[[#This Row],[Instruement Tag]],tbl_Instruement_List[],14,FALSE)</f>
        <v>4 - 20 mA</v>
      </c>
      <c r="AQ511" s="143" t="str">
        <f>tbl_IO_List[[#This Row],[Chassis]]&amp;"S"&amp;tbl_IO_List[[#This Row],[Slot]]&amp;"-"&amp;tbl_IO_List[[#This Row],[Front Terminal Number]]</f>
        <v>C2S10-</v>
      </c>
      <c r="AR511" s="143"/>
      <c r="AS511" s="136" t="str">
        <f>tbl_IO_List[[#This Row],[Terminal Tagging]]&amp;"-"&amp;tbl_IO_List[[#This Row],[Point-Count]]</f>
        <v>-</v>
      </c>
      <c r="AT511" s="136" t="str">
        <f>tbl_IO_List[[#This Row],[Front Terminal Tagging]]&amp;"/"&amp;tbl_IO_List[[#This Row],[Terminal Tagging-Item]]</f>
        <v>C2S10-/-</v>
      </c>
      <c r="AU511" s="136" t="str">
        <f>tbl_IO_List[[#This Row],[Terminal Tagging-Item]]&amp;"/"&amp;tbl_IO_List[[#This Row],[Front Terminal Tagging]]</f>
        <v>-/C2S10-</v>
      </c>
    </row>
    <row r="512" spans="1:47" hidden="1">
      <c r="A512" s="147" t="s">
        <v>1367</v>
      </c>
      <c r="B512" s="136" t="s">
        <v>221</v>
      </c>
      <c r="C512" s="136" t="str">
        <f>tbl_IO_List[[#This Row],[Column3]]</f>
        <v>C2S10,09</v>
      </c>
      <c r="D512" s="136" t="str">
        <f>tbl_IO_List[[#This Row],[Card]]</f>
        <v>1756-IF16-9</v>
      </c>
      <c r="E512" s="136" t="s">
        <v>1366</v>
      </c>
      <c r="F512" s="136" t="str">
        <f>tbl_IO_List[[#This Row],[Column23]]&amp;"-" &amp;tbl_IO_List[[#This Row],[Column52]]</f>
        <v>C2S10-X1</v>
      </c>
      <c r="G512" s="136" t="str">
        <f>tbl_IO_List[[#This Row],[PLC_Tag]]</f>
        <v>TT-60210A_AI_1</v>
      </c>
      <c r="H512" s="136"/>
      <c r="I512" s="136" t="str">
        <f>VLOOKUP(tbl_IO_List[[#This Row],[Destination]],tbl_Junction[],2,FALSE)</f>
        <v>Spray Dryer 3rd Floor</v>
      </c>
      <c r="J512" s="136" t="s">
        <v>221</v>
      </c>
      <c r="K512" s="136" t="s">
        <v>14</v>
      </c>
      <c r="L512" s="136" t="s">
        <v>1383</v>
      </c>
      <c r="M512" s="136" t="e">
        <f>VLOOKUP(tbl_IO_List[[#This Row],[Instruement Tag]],tbl_Instruement_List[],2,FALSE)</f>
        <v>#N/A</v>
      </c>
      <c r="N512" s="136" t="s">
        <v>47</v>
      </c>
      <c r="O512" s="136" t="s">
        <v>50</v>
      </c>
      <c r="P512" s="136" t="s">
        <v>18</v>
      </c>
      <c r="Q512" s="136" t="e">
        <f>VLOOKUP(tbl_IO_List[[#This Row],[Instruement Tag]],tbl_Instruement_List[],6,FALSE)</f>
        <v>#N/A</v>
      </c>
      <c r="R512" s="136"/>
      <c r="S51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12" s="136" t="str">
        <f>tbl_IO_List[[#This Row],[Instruement Tag]]&amp;"_"&amp;tbl_IO_List[[#This Row],[I/O Type]]&amp;"_"&amp;tbl_IO_List[[#This Row],[IO-Point 
(Instruement)]]</f>
        <v>TT-60210A_AI_1</v>
      </c>
      <c r="U512" s="136" t="s">
        <v>10</v>
      </c>
      <c r="V512" s="136">
        <f>VLOOKUP(tbl_IO_List[[#This Row],[I/O Type]],tbl_Slot_Group[],2,FALSE)</f>
        <v>3</v>
      </c>
      <c r="W512" s="136">
        <v>1</v>
      </c>
      <c r="X512" s="136" t="str">
        <f>tbl_IO_List[[#This Row],[Chassis]]&amp;"S"&amp;TEXT(tbl_IO_List[[#This Row],[Slot]],"00")</f>
        <v>C2S10</v>
      </c>
      <c r="Y512" s="136" t="str">
        <f>tbl_IO_List[[#This Row],[Chassis]]&amp;"S"&amp;TEXT(tbl_IO_List[[#This Row],[Slot]],"00")&amp;tbl_IO_List[[#This Row],[I/O Type]]&amp;TEXT(tbl_IO_List[[#This Row],[Point]],"00")</f>
        <v>C2S10AI09</v>
      </c>
      <c r="Z512" s="136" t="str">
        <f>tbl_IO_List[[#This Row],[Chassis]]&amp;"S"&amp;TEXT(tbl_IO_List[[#This Row],[Slot]],"00")&amp;","&amp;TEXT(tbl_IO_List[[#This Row],[Point]],"00")</f>
        <v>C2S10,09</v>
      </c>
      <c r="AA512" s="136" t="str">
        <f>VLOOKUP(tbl_IO_List[[#This Row],[Column23]],tbl_RackConfig[],5,FALSE) &amp;"-"&amp;tbl_IO_List[[#This Row],[Point]]</f>
        <v>1756-IF16-9</v>
      </c>
      <c r="AB512" s="136"/>
      <c r="AC512" s="136"/>
      <c r="AD512" s="136" t="str">
        <f>tbl_IO_List[[#This Row],[I/O Type]]</f>
        <v>AI</v>
      </c>
      <c r="AE512" s="136" t="s">
        <v>1333</v>
      </c>
      <c r="AF512" s="136">
        <v>10</v>
      </c>
      <c r="AG512" s="136">
        <v>9</v>
      </c>
      <c r="AH512" s="136"/>
      <c r="AI512" s="136"/>
      <c r="AJ512" s="136">
        <v>0</v>
      </c>
      <c r="AK512" s="136">
        <v>0</v>
      </c>
      <c r="AL512" s="136">
        <v>1</v>
      </c>
      <c r="AM512" s="136">
        <v>0</v>
      </c>
      <c r="AN512" s="136">
        <v>0</v>
      </c>
      <c r="AO512" s="136"/>
      <c r="AP512" s="143" t="e">
        <f>VLOOKUP(tbl_IO_List[[#This Row],[Instruement Tag]],tbl_Instruement_List[],14,FALSE)</f>
        <v>#N/A</v>
      </c>
      <c r="AQ512" s="143" t="str">
        <f>tbl_IO_List[[#This Row],[Chassis]]&amp;"S"&amp;tbl_IO_List[[#This Row],[Slot]]&amp;"-"&amp;tbl_IO_List[[#This Row],[Front Terminal Number]]</f>
        <v>C2S10-</v>
      </c>
      <c r="AR512" s="143"/>
      <c r="AS512" s="136" t="str">
        <f>tbl_IO_List[[#This Row],[Terminal Tagging]]&amp;"-"&amp;tbl_IO_List[[#This Row],[Point-Count]]</f>
        <v>-</v>
      </c>
      <c r="AT512" s="136" t="str">
        <f>tbl_IO_List[[#This Row],[Front Terminal Tagging]]&amp;"/"&amp;tbl_IO_List[[#This Row],[Terminal Tagging-Item]]</f>
        <v>C2S10-/-</v>
      </c>
      <c r="AU512" s="136" t="str">
        <f>tbl_IO_List[[#This Row],[Terminal Tagging-Item]]&amp;"/"&amp;tbl_IO_List[[#This Row],[Front Terminal Tagging]]</f>
        <v>-/C2S10-</v>
      </c>
    </row>
    <row r="513" spans="1:47" hidden="1">
      <c r="A513" s="147" t="s">
        <v>1367</v>
      </c>
      <c r="B513" s="136" t="s">
        <v>221</v>
      </c>
      <c r="C513" s="136" t="str">
        <f>tbl_IO_List[[#This Row],[Column3]]</f>
        <v>C2S10,10</v>
      </c>
      <c r="D513" s="136" t="str">
        <f>tbl_IO_List[[#This Row],[Card]]</f>
        <v>1756-IF16-10</v>
      </c>
      <c r="E513" s="136" t="s">
        <v>1366</v>
      </c>
      <c r="F513" s="136" t="str">
        <f>tbl_IO_List[[#This Row],[Column23]]&amp;"-" &amp;tbl_IO_List[[#This Row],[Column52]]</f>
        <v>C2S10-X1</v>
      </c>
      <c r="G513" s="136" t="str">
        <f>tbl_IO_List[[#This Row],[PLC_Tag]]</f>
        <v>TT-60210B_AI_1</v>
      </c>
      <c r="H513" s="136"/>
      <c r="I513" s="136" t="str">
        <f>VLOOKUP(tbl_IO_List[[#This Row],[Destination]],tbl_Junction[],2,FALSE)</f>
        <v>Spray Dryer 3rd Floor</v>
      </c>
      <c r="J513" s="136" t="s">
        <v>221</v>
      </c>
      <c r="K513" s="136" t="s">
        <v>14</v>
      </c>
      <c r="L513" s="136" t="s">
        <v>1384</v>
      </c>
      <c r="M513" s="136" t="e">
        <f>VLOOKUP(tbl_IO_List[[#This Row],[Instruement Tag]],tbl_Instruement_List[],2,FALSE)</f>
        <v>#N/A</v>
      </c>
      <c r="N513" s="136" t="s">
        <v>47</v>
      </c>
      <c r="O513" s="136" t="s">
        <v>50</v>
      </c>
      <c r="P513" s="136" t="s">
        <v>18</v>
      </c>
      <c r="Q513" s="136" t="e">
        <f>VLOOKUP(tbl_IO_List[[#This Row],[Instruement Tag]],tbl_Instruement_List[],6,FALSE)</f>
        <v>#N/A</v>
      </c>
      <c r="R513" s="136"/>
      <c r="S51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13" s="136" t="str">
        <f>tbl_IO_List[[#This Row],[Instruement Tag]]&amp;"_"&amp;tbl_IO_List[[#This Row],[I/O Type]]&amp;"_"&amp;tbl_IO_List[[#This Row],[IO-Point 
(Instruement)]]</f>
        <v>TT-60210B_AI_1</v>
      </c>
      <c r="U513" s="136" t="s">
        <v>10</v>
      </c>
      <c r="V513" s="136">
        <f>VLOOKUP(tbl_IO_List[[#This Row],[I/O Type]],tbl_Slot_Group[],2,FALSE)</f>
        <v>3</v>
      </c>
      <c r="W513" s="136">
        <v>1</v>
      </c>
      <c r="X513" s="136" t="str">
        <f>tbl_IO_List[[#This Row],[Chassis]]&amp;"S"&amp;TEXT(tbl_IO_List[[#This Row],[Slot]],"00")</f>
        <v>C2S10</v>
      </c>
      <c r="Y513" s="136" t="str">
        <f>tbl_IO_List[[#This Row],[Chassis]]&amp;"S"&amp;TEXT(tbl_IO_List[[#This Row],[Slot]],"00")&amp;tbl_IO_List[[#This Row],[I/O Type]]&amp;TEXT(tbl_IO_List[[#This Row],[Point]],"00")</f>
        <v>C2S10AI10</v>
      </c>
      <c r="Z513" s="136" t="str">
        <f>tbl_IO_List[[#This Row],[Chassis]]&amp;"S"&amp;TEXT(tbl_IO_List[[#This Row],[Slot]],"00")&amp;","&amp;TEXT(tbl_IO_List[[#This Row],[Point]],"00")</f>
        <v>C2S10,10</v>
      </c>
      <c r="AA513" s="136" t="str">
        <f>VLOOKUP(tbl_IO_List[[#This Row],[Column23]],tbl_RackConfig[],5,FALSE) &amp;"-"&amp;tbl_IO_List[[#This Row],[Point]]</f>
        <v>1756-IF16-10</v>
      </c>
      <c r="AB513" s="136"/>
      <c r="AC513" s="136"/>
      <c r="AD513" s="136" t="str">
        <f>tbl_IO_List[[#This Row],[I/O Type]]</f>
        <v>AI</v>
      </c>
      <c r="AE513" s="136" t="s">
        <v>1333</v>
      </c>
      <c r="AF513" s="136">
        <v>10</v>
      </c>
      <c r="AG513" s="136">
        <v>10</v>
      </c>
      <c r="AH513" s="136"/>
      <c r="AI513" s="136"/>
      <c r="AJ513" s="136">
        <v>0</v>
      </c>
      <c r="AK513" s="136">
        <v>0</v>
      </c>
      <c r="AL513" s="136">
        <v>1</v>
      </c>
      <c r="AM513" s="136">
        <v>0</v>
      </c>
      <c r="AN513" s="136">
        <v>0</v>
      </c>
      <c r="AO513" s="136"/>
      <c r="AP513" s="143" t="e">
        <f>VLOOKUP(tbl_IO_List[[#This Row],[Instruement Tag]],tbl_Instruement_List[],14,FALSE)</f>
        <v>#N/A</v>
      </c>
      <c r="AQ513" s="143" t="str">
        <f>tbl_IO_List[[#This Row],[Chassis]]&amp;"S"&amp;tbl_IO_List[[#This Row],[Slot]]&amp;"-"&amp;tbl_IO_List[[#This Row],[Front Terminal Number]]</f>
        <v>C2S10-</v>
      </c>
      <c r="AR513" s="143"/>
      <c r="AS513" s="136" t="str">
        <f>tbl_IO_List[[#This Row],[Terminal Tagging]]&amp;"-"&amp;tbl_IO_List[[#This Row],[Point-Count]]</f>
        <v>-</v>
      </c>
      <c r="AT513" s="136" t="str">
        <f>tbl_IO_List[[#This Row],[Front Terminal Tagging]]&amp;"/"&amp;tbl_IO_List[[#This Row],[Terminal Tagging-Item]]</f>
        <v>C2S10-/-</v>
      </c>
      <c r="AU513" s="136" t="str">
        <f>tbl_IO_List[[#This Row],[Terminal Tagging-Item]]&amp;"/"&amp;tbl_IO_List[[#This Row],[Front Terminal Tagging]]</f>
        <v>-/C2S10-</v>
      </c>
    </row>
    <row r="514" spans="1:47" hidden="1">
      <c r="A514" s="147" t="s">
        <v>1367</v>
      </c>
      <c r="B514" s="136" t="s">
        <v>221</v>
      </c>
      <c r="C514" s="136" t="str">
        <f>tbl_IO_List[[#This Row],[Column3]]</f>
        <v>C2S10,11</v>
      </c>
      <c r="D514" s="136" t="str">
        <f>tbl_IO_List[[#This Row],[Card]]</f>
        <v>1756-IF16-11</v>
      </c>
      <c r="E514" s="136" t="s">
        <v>1366</v>
      </c>
      <c r="F514" s="136" t="str">
        <f>tbl_IO_List[[#This Row],[Column23]]&amp;"-" &amp;tbl_IO_List[[#This Row],[Column52]]</f>
        <v>C2S10-X1</v>
      </c>
      <c r="G514" s="136" t="str">
        <f>tbl_IO_List[[#This Row],[PLC_Tag]]</f>
        <v>TT-60211_AI_1</v>
      </c>
      <c r="H514" s="136"/>
      <c r="I514" s="136" t="str">
        <f>VLOOKUP(tbl_IO_List[[#This Row],[Destination]],tbl_Junction[],2,FALSE)</f>
        <v>Spray Dryer 3rd Floor</v>
      </c>
      <c r="J514" s="136" t="s">
        <v>221</v>
      </c>
      <c r="K514" s="136" t="s">
        <v>14</v>
      </c>
      <c r="L514" s="136" t="s">
        <v>238</v>
      </c>
      <c r="M514" s="136">
        <f>VLOOKUP(tbl_IO_List[[#This Row],[Instruement Tag]],tbl_Instruement_List[],2,FALSE)</f>
        <v>0</v>
      </c>
      <c r="N514" s="136" t="s">
        <v>47</v>
      </c>
      <c r="O514" s="136" t="s">
        <v>50</v>
      </c>
      <c r="P514" s="136" t="s">
        <v>51</v>
      </c>
      <c r="Q514" s="136" t="str">
        <f>VLOOKUP(tbl_IO_List[[#This Row],[Instruement Tag]],tbl_Instruement_List[],6,FALSE)</f>
        <v>Gas Temperature Element for Hot Air Duct (DTHA-21)</v>
      </c>
      <c r="R514" s="136"/>
      <c r="S51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14" s="136" t="str">
        <f>tbl_IO_List[[#This Row],[Instruement Tag]]&amp;"_"&amp;tbl_IO_List[[#This Row],[I/O Type]]&amp;"_"&amp;tbl_IO_List[[#This Row],[IO-Point 
(Instruement)]]</f>
        <v>TT-60211_AI_1</v>
      </c>
      <c r="U514" s="136" t="s">
        <v>10</v>
      </c>
      <c r="V514" s="136">
        <f>VLOOKUP(tbl_IO_List[[#This Row],[I/O Type]],tbl_Slot_Group[],2,FALSE)</f>
        <v>3</v>
      </c>
      <c r="W514" s="136">
        <v>1</v>
      </c>
      <c r="X514" s="136" t="str">
        <f>tbl_IO_List[[#This Row],[Chassis]]&amp;"S"&amp;TEXT(tbl_IO_List[[#This Row],[Slot]],"00")</f>
        <v>C2S10</v>
      </c>
      <c r="Y514" s="136" t="str">
        <f>tbl_IO_List[[#This Row],[Chassis]]&amp;"S"&amp;TEXT(tbl_IO_List[[#This Row],[Slot]],"00")&amp;tbl_IO_List[[#This Row],[I/O Type]]&amp;TEXT(tbl_IO_List[[#This Row],[Point]],"00")</f>
        <v>C2S10AI11</v>
      </c>
      <c r="Z514" s="136" t="str">
        <f>tbl_IO_List[[#This Row],[Chassis]]&amp;"S"&amp;TEXT(tbl_IO_List[[#This Row],[Slot]],"00")&amp;","&amp;TEXT(tbl_IO_List[[#This Row],[Point]],"00")</f>
        <v>C2S10,11</v>
      </c>
      <c r="AA514" s="136" t="str">
        <f>VLOOKUP(tbl_IO_List[[#This Row],[Column23]],tbl_RackConfig[],5,FALSE) &amp;"-"&amp;tbl_IO_List[[#This Row],[Point]]</f>
        <v>1756-IF16-11</v>
      </c>
      <c r="AB514" s="136"/>
      <c r="AC514" s="136"/>
      <c r="AD514" s="136" t="str">
        <f>tbl_IO_List[[#This Row],[I/O Type]]</f>
        <v>AI</v>
      </c>
      <c r="AE514" s="136" t="s">
        <v>1333</v>
      </c>
      <c r="AF514" s="136">
        <v>10</v>
      </c>
      <c r="AG514" s="136">
        <v>11</v>
      </c>
      <c r="AH514" s="136"/>
      <c r="AI514" s="136"/>
      <c r="AJ514" s="136">
        <v>0</v>
      </c>
      <c r="AK514" s="136">
        <v>0</v>
      </c>
      <c r="AL514" s="136">
        <v>1</v>
      </c>
      <c r="AM514" s="136">
        <v>0</v>
      </c>
      <c r="AN514" s="136">
        <v>0</v>
      </c>
      <c r="AO514" s="136"/>
      <c r="AP514" s="143" t="str">
        <f>VLOOKUP(tbl_IO_List[[#This Row],[Instruement Tag]],tbl_Instruement_List[],14,FALSE)</f>
        <v>4 - 20 mA</v>
      </c>
      <c r="AQ514" s="143" t="str">
        <f>tbl_IO_List[[#This Row],[Chassis]]&amp;"S"&amp;tbl_IO_List[[#This Row],[Slot]]&amp;"-"&amp;tbl_IO_List[[#This Row],[Front Terminal Number]]</f>
        <v>C2S10-</v>
      </c>
      <c r="AR514" s="143"/>
      <c r="AS514" s="136" t="str">
        <f>tbl_IO_List[[#This Row],[Terminal Tagging]]&amp;"-"&amp;tbl_IO_List[[#This Row],[Point-Count]]</f>
        <v>-</v>
      </c>
      <c r="AT514" s="136" t="str">
        <f>tbl_IO_List[[#This Row],[Front Terminal Tagging]]&amp;"/"&amp;tbl_IO_List[[#This Row],[Terminal Tagging-Item]]</f>
        <v>C2S10-/-</v>
      </c>
      <c r="AU514" s="136" t="str">
        <f>tbl_IO_List[[#This Row],[Terminal Tagging-Item]]&amp;"/"&amp;tbl_IO_List[[#This Row],[Front Terminal Tagging]]</f>
        <v>-/C2S10-</v>
      </c>
    </row>
    <row r="515" spans="1:47" hidden="1">
      <c r="A515" s="147" t="s">
        <v>1367</v>
      </c>
      <c r="B515" s="136" t="s">
        <v>221</v>
      </c>
      <c r="C515" s="136" t="str">
        <f>tbl_IO_List[[#This Row],[Column3]]</f>
        <v>C2S10,12</v>
      </c>
      <c r="D515" s="136" t="str">
        <f>tbl_IO_List[[#This Row],[Card]]</f>
        <v>1756-IF16-12</v>
      </c>
      <c r="E515" s="136" t="s">
        <v>1366</v>
      </c>
      <c r="F515" s="136" t="str">
        <f>tbl_IO_List[[#This Row],[Column23]]&amp;"-" &amp;tbl_IO_List[[#This Row],[Column52]]</f>
        <v>C2S10-X1</v>
      </c>
      <c r="G515" s="136" t="str">
        <f>tbl_IO_List[[#This Row],[PLC_Tag]]</f>
        <v>TT-60212A_AI_1</v>
      </c>
      <c r="H515" s="136"/>
      <c r="I515" s="136" t="str">
        <f>VLOOKUP(tbl_IO_List[[#This Row],[Destination]],tbl_Junction[],2,FALSE)</f>
        <v>Spray Dryer 3rd Floor</v>
      </c>
      <c r="J515" s="136" t="s">
        <v>221</v>
      </c>
      <c r="K515" s="136" t="s">
        <v>14</v>
      </c>
      <c r="L515" s="136" t="s">
        <v>250</v>
      </c>
      <c r="M515" s="136">
        <f>VLOOKUP(tbl_IO_List[[#This Row],[Instruement Tag]],tbl_Instruement_List[],2,FALSE)</f>
        <v>0</v>
      </c>
      <c r="N515" s="136" t="s">
        <v>47</v>
      </c>
      <c r="O515" s="136" t="s">
        <v>50</v>
      </c>
      <c r="P515" s="136" t="s">
        <v>51</v>
      </c>
      <c r="Q515" s="136" t="str">
        <f>VLOOKUP(tbl_IO_List[[#This Row],[Instruement Tag]],tbl_Instruement_List[],6,FALSE)</f>
        <v xml:space="preserve"> Bearing Temperature Transmitter for Main Supply Air Fan (FANS-21)</v>
      </c>
      <c r="R515" s="136"/>
      <c r="S51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15" s="136" t="str">
        <f>tbl_IO_List[[#This Row],[Instruement Tag]]&amp;"_"&amp;tbl_IO_List[[#This Row],[I/O Type]]&amp;"_"&amp;tbl_IO_List[[#This Row],[IO-Point 
(Instruement)]]</f>
        <v>TT-60212A_AI_1</v>
      </c>
      <c r="U515" s="136" t="s">
        <v>10</v>
      </c>
      <c r="V515" s="136">
        <f>VLOOKUP(tbl_IO_List[[#This Row],[I/O Type]],tbl_Slot_Group[],2,FALSE)</f>
        <v>3</v>
      </c>
      <c r="W515" s="136">
        <v>1</v>
      </c>
      <c r="X515" s="136" t="str">
        <f>tbl_IO_List[[#This Row],[Chassis]]&amp;"S"&amp;TEXT(tbl_IO_List[[#This Row],[Slot]],"00")</f>
        <v>C2S10</v>
      </c>
      <c r="Y515" s="136" t="str">
        <f>tbl_IO_List[[#This Row],[Chassis]]&amp;"S"&amp;TEXT(tbl_IO_List[[#This Row],[Slot]],"00")&amp;tbl_IO_List[[#This Row],[I/O Type]]&amp;TEXT(tbl_IO_List[[#This Row],[Point]],"00")</f>
        <v>C2S10AI12</v>
      </c>
      <c r="Z515" s="136" t="str">
        <f>tbl_IO_List[[#This Row],[Chassis]]&amp;"S"&amp;TEXT(tbl_IO_List[[#This Row],[Slot]],"00")&amp;","&amp;TEXT(tbl_IO_List[[#This Row],[Point]],"00")</f>
        <v>C2S10,12</v>
      </c>
      <c r="AA515" s="136" t="str">
        <f>VLOOKUP(tbl_IO_List[[#This Row],[Column23]],tbl_RackConfig[],5,FALSE) &amp;"-"&amp;tbl_IO_List[[#This Row],[Point]]</f>
        <v>1756-IF16-12</v>
      </c>
      <c r="AB515" s="136"/>
      <c r="AC515" s="136"/>
      <c r="AD515" s="136" t="str">
        <f>tbl_IO_List[[#This Row],[I/O Type]]</f>
        <v>AI</v>
      </c>
      <c r="AE515" s="136" t="s">
        <v>1333</v>
      </c>
      <c r="AF515" s="136">
        <v>10</v>
      </c>
      <c r="AG515" s="136">
        <v>12</v>
      </c>
      <c r="AH515" s="136"/>
      <c r="AI515" s="136"/>
      <c r="AJ515" s="136">
        <v>0</v>
      </c>
      <c r="AK515" s="136">
        <v>0</v>
      </c>
      <c r="AL515" s="136">
        <v>1</v>
      </c>
      <c r="AM515" s="136">
        <v>0</v>
      </c>
      <c r="AN515" s="136">
        <v>0</v>
      </c>
      <c r="AO515" s="136"/>
      <c r="AP515" s="143" t="str">
        <f>VLOOKUP(tbl_IO_List[[#This Row],[Instruement Tag]],tbl_Instruement_List[],14,FALSE)</f>
        <v>4 - 20 mA</v>
      </c>
      <c r="AQ515" s="143" t="str">
        <f>tbl_IO_List[[#This Row],[Chassis]]&amp;"S"&amp;tbl_IO_List[[#This Row],[Slot]]&amp;"-"&amp;tbl_IO_List[[#This Row],[Front Terminal Number]]</f>
        <v>C2S10-</v>
      </c>
      <c r="AR515" s="143"/>
      <c r="AS515" s="136" t="str">
        <f>tbl_IO_List[[#This Row],[Terminal Tagging]]&amp;"-"&amp;tbl_IO_List[[#This Row],[Point-Count]]</f>
        <v>-</v>
      </c>
      <c r="AT515" s="136" t="str">
        <f>tbl_IO_List[[#This Row],[Front Terminal Tagging]]&amp;"/"&amp;tbl_IO_List[[#This Row],[Terminal Tagging-Item]]</f>
        <v>C2S10-/-</v>
      </c>
      <c r="AU515" s="136" t="str">
        <f>tbl_IO_List[[#This Row],[Terminal Tagging-Item]]&amp;"/"&amp;tbl_IO_List[[#This Row],[Front Terminal Tagging]]</f>
        <v>-/C2S10-</v>
      </c>
    </row>
    <row r="516" spans="1:47" hidden="1">
      <c r="A516" s="147" t="s">
        <v>1367</v>
      </c>
      <c r="B516" s="136" t="s">
        <v>221</v>
      </c>
      <c r="C516" s="136" t="str">
        <f>tbl_IO_List[[#This Row],[Column3]]</f>
        <v>C2S10,13</v>
      </c>
      <c r="D516" s="136" t="str">
        <f>tbl_IO_List[[#This Row],[Card]]</f>
        <v>1756-IF16-13</v>
      </c>
      <c r="E516" s="136" t="s">
        <v>1366</v>
      </c>
      <c r="F516" s="136" t="str">
        <f>tbl_IO_List[[#This Row],[Column23]]&amp;"-" &amp;tbl_IO_List[[#This Row],[Column52]]</f>
        <v>C2S10-X1</v>
      </c>
      <c r="G516" s="136" t="str">
        <f>tbl_IO_List[[#This Row],[PLC_Tag]]</f>
        <v>TT-60212B_AI_1</v>
      </c>
      <c r="H516" s="136"/>
      <c r="I516" s="136" t="str">
        <f>VLOOKUP(tbl_IO_List[[#This Row],[Destination]],tbl_Junction[],2,FALSE)</f>
        <v>Spray Dryer 3rd Floor</v>
      </c>
      <c r="J516" s="136" t="s">
        <v>221</v>
      </c>
      <c r="K516" s="136" t="s">
        <v>14</v>
      </c>
      <c r="L516" s="136" t="s">
        <v>251</v>
      </c>
      <c r="M516" s="136">
        <f>VLOOKUP(tbl_IO_List[[#This Row],[Instruement Tag]],tbl_Instruement_List[],2,FALSE)</f>
        <v>0</v>
      </c>
      <c r="N516" s="136" t="s">
        <v>47</v>
      </c>
      <c r="O516" s="136" t="s">
        <v>50</v>
      </c>
      <c r="P516" s="136" t="s">
        <v>51</v>
      </c>
      <c r="Q516" s="136" t="str">
        <f>VLOOKUP(tbl_IO_List[[#This Row],[Instruement Tag]],tbl_Instruement_List[],6,FALSE)</f>
        <v xml:space="preserve"> Bearing Temperature Transmitter for Main Supply Air Fan (FANS-21)</v>
      </c>
      <c r="R516" s="136"/>
      <c r="S51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16" s="136" t="str">
        <f>tbl_IO_List[[#This Row],[Instruement Tag]]&amp;"_"&amp;tbl_IO_List[[#This Row],[I/O Type]]&amp;"_"&amp;tbl_IO_List[[#This Row],[IO-Point 
(Instruement)]]</f>
        <v>TT-60212B_AI_1</v>
      </c>
      <c r="U516" s="136" t="s">
        <v>10</v>
      </c>
      <c r="V516" s="136">
        <f>VLOOKUP(tbl_IO_List[[#This Row],[I/O Type]],tbl_Slot_Group[],2,FALSE)</f>
        <v>3</v>
      </c>
      <c r="W516" s="136">
        <v>1</v>
      </c>
      <c r="X516" s="136" t="str">
        <f>tbl_IO_List[[#This Row],[Chassis]]&amp;"S"&amp;TEXT(tbl_IO_List[[#This Row],[Slot]],"00")</f>
        <v>C2S10</v>
      </c>
      <c r="Y516" s="136" t="str">
        <f>tbl_IO_List[[#This Row],[Chassis]]&amp;"S"&amp;TEXT(tbl_IO_List[[#This Row],[Slot]],"00")&amp;tbl_IO_List[[#This Row],[I/O Type]]&amp;TEXT(tbl_IO_List[[#This Row],[Point]],"00")</f>
        <v>C2S10AI13</v>
      </c>
      <c r="Z516" s="136" t="str">
        <f>tbl_IO_List[[#This Row],[Chassis]]&amp;"S"&amp;TEXT(tbl_IO_List[[#This Row],[Slot]],"00")&amp;","&amp;TEXT(tbl_IO_List[[#This Row],[Point]],"00")</f>
        <v>C2S10,13</v>
      </c>
      <c r="AA516" s="136" t="str">
        <f>VLOOKUP(tbl_IO_List[[#This Row],[Column23]],tbl_RackConfig[],5,FALSE) &amp;"-"&amp;tbl_IO_List[[#This Row],[Point]]</f>
        <v>1756-IF16-13</v>
      </c>
      <c r="AB516" s="136"/>
      <c r="AC516" s="136"/>
      <c r="AD516" s="136" t="str">
        <f>tbl_IO_List[[#This Row],[I/O Type]]</f>
        <v>AI</v>
      </c>
      <c r="AE516" s="136" t="s">
        <v>1333</v>
      </c>
      <c r="AF516" s="136">
        <v>10</v>
      </c>
      <c r="AG516" s="136">
        <v>13</v>
      </c>
      <c r="AH516" s="136"/>
      <c r="AI516" s="136"/>
      <c r="AJ516" s="136">
        <v>0</v>
      </c>
      <c r="AK516" s="136">
        <v>0</v>
      </c>
      <c r="AL516" s="136">
        <v>1</v>
      </c>
      <c r="AM516" s="136">
        <v>0</v>
      </c>
      <c r="AN516" s="136">
        <v>0</v>
      </c>
      <c r="AO516" s="136"/>
      <c r="AP516" s="143" t="str">
        <f>VLOOKUP(tbl_IO_List[[#This Row],[Instruement Tag]],tbl_Instruement_List[],14,FALSE)</f>
        <v>4 - 20 mA</v>
      </c>
      <c r="AQ516" s="143" t="str">
        <f>tbl_IO_List[[#This Row],[Chassis]]&amp;"S"&amp;tbl_IO_List[[#This Row],[Slot]]&amp;"-"&amp;tbl_IO_List[[#This Row],[Front Terminal Number]]</f>
        <v>C2S10-</v>
      </c>
      <c r="AR516" s="143"/>
      <c r="AS516" s="136" t="str">
        <f>tbl_IO_List[[#This Row],[Terminal Tagging]]&amp;"-"&amp;tbl_IO_List[[#This Row],[Point-Count]]</f>
        <v>-</v>
      </c>
      <c r="AT516" s="136" t="str">
        <f>tbl_IO_List[[#This Row],[Front Terminal Tagging]]&amp;"/"&amp;tbl_IO_List[[#This Row],[Terminal Tagging-Item]]</f>
        <v>C2S10-/-</v>
      </c>
      <c r="AU516" s="136" t="str">
        <f>tbl_IO_List[[#This Row],[Terminal Tagging-Item]]&amp;"/"&amp;tbl_IO_List[[#This Row],[Front Terminal Tagging]]</f>
        <v>-/C2S10-</v>
      </c>
    </row>
    <row r="517" spans="1:47" hidden="1">
      <c r="A517" s="147" t="s">
        <v>1367</v>
      </c>
      <c r="B517" s="136" t="s">
        <v>221</v>
      </c>
      <c r="C517" s="136" t="str">
        <f>tbl_IO_List[[#This Row],[Column3]]</f>
        <v>C2S10,14</v>
      </c>
      <c r="D517" s="136" t="str">
        <f>tbl_IO_List[[#This Row],[Card]]</f>
        <v>1756-IF16-14</v>
      </c>
      <c r="E517" s="136" t="s">
        <v>1366</v>
      </c>
      <c r="F517" s="136" t="str">
        <f>tbl_IO_List[[#This Row],[Column23]]&amp;"-" &amp;tbl_IO_List[[#This Row],[Column52]]</f>
        <v>C2S10-X1</v>
      </c>
      <c r="G517" s="136" t="str">
        <f>tbl_IO_List[[#This Row],[PLC_Tag]]</f>
        <v>TT-60214_AI_1</v>
      </c>
      <c r="H517" s="136"/>
      <c r="I517" s="136" t="str">
        <f>VLOOKUP(tbl_IO_List[[#This Row],[Destination]],tbl_Junction[],2,FALSE)</f>
        <v>Spray Dryer 3rd Floor</v>
      </c>
      <c r="J517" s="136" t="s">
        <v>221</v>
      </c>
      <c r="K517" s="136" t="s">
        <v>14</v>
      </c>
      <c r="L517" s="136" t="s">
        <v>239</v>
      </c>
      <c r="M517" s="136">
        <f>VLOOKUP(tbl_IO_List[[#This Row],[Instruement Tag]],tbl_Instruement_List[],2,FALSE)</f>
        <v>0</v>
      </c>
      <c r="N517" s="136" t="s">
        <v>47</v>
      </c>
      <c r="O517" s="136" t="s">
        <v>50</v>
      </c>
      <c r="P517" s="136" t="s">
        <v>51</v>
      </c>
      <c r="Q517" s="136" t="str">
        <f>VLOOKUP(tbl_IO_List[[#This Row],[Instruement Tag]],tbl_Instruement_List[],6,FALSE)</f>
        <v>Steam Temperature Transmitter for Cold Air Duct (DTCA-23)</v>
      </c>
      <c r="R517" s="136"/>
      <c r="S51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17" s="136" t="str">
        <f>tbl_IO_List[[#This Row],[Instruement Tag]]&amp;"_"&amp;tbl_IO_List[[#This Row],[I/O Type]]&amp;"_"&amp;tbl_IO_List[[#This Row],[IO-Point 
(Instruement)]]</f>
        <v>TT-60214_AI_1</v>
      </c>
      <c r="U517" s="136" t="s">
        <v>10</v>
      </c>
      <c r="V517" s="136">
        <f>VLOOKUP(tbl_IO_List[[#This Row],[I/O Type]],tbl_Slot_Group[],2,FALSE)</f>
        <v>3</v>
      </c>
      <c r="W517" s="136">
        <v>1</v>
      </c>
      <c r="X517" s="136" t="str">
        <f>tbl_IO_List[[#This Row],[Chassis]]&amp;"S"&amp;TEXT(tbl_IO_List[[#This Row],[Slot]],"00")</f>
        <v>C2S10</v>
      </c>
      <c r="Y517" s="136" t="str">
        <f>tbl_IO_List[[#This Row],[Chassis]]&amp;"S"&amp;TEXT(tbl_IO_List[[#This Row],[Slot]],"00")&amp;tbl_IO_List[[#This Row],[I/O Type]]&amp;TEXT(tbl_IO_List[[#This Row],[Point]],"00")</f>
        <v>C2S10AI14</v>
      </c>
      <c r="Z517" s="136" t="str">
        <f>tbl_IO_List[[#This Row],[Chassis]]&amp;"S"&amp;TEXT(tbl_IO_List[[#This Row],[Slot]],"00")&amp;","&amp;TEXT(tbl_IO_List[[#This Row],[Point]],"00")</f>
        <v>C2S10,14</v>
      </c>
      <c r="AA517" s="136" t="str">
        <f>VLOOKUP(tbl_IO_List[[#This Row],[Column23]],tbl_RackConfig[],5,FALSE) &amp;"-"&amp;tbl_IO_List[[#This Row],[Point]]</f>
        <v>1756-IF16-14</v>
      </c>
      <c r="AB517" s="136"/>
      <c r="AC517" s="136"/>
      <c r="AD517" s="136" t="str">
        <f>tbl_IO_List[[#This Row],[I/O Type]]</f>
        <v>AI</v>
      </c>
      <c r="AE517" s="136" t="s">
        <v>1333</v>
      </c>
      <c r="AF517" s="136">
        <v>10</v>
      </c>
      <c r="AG517" s="136">
        <v>14</v>
      </c>
      <c r="AH517" s="136"/>
      <c r="AI517" s="136"/>
      <c r="AJ517" s="136">
        <v>0</v>
      </c>
      <c r="AK517" s="136">
        <v>0</v>
      </c>
      <c r="AL517" s="136">
        <v>1</v>
      </c>
      <c r="AM517" s="136">
        <v>0</v>
      </c>
      <c r="AN517" s="136">
        <v>0</v>
      </c>
      <c r="AO517" s="136"/>
      <c r="AP517" s="143" t="str">
        <f>VLOOKUP(tbl_IO_List[[#This Row],[Instruement Tag]],tbl_Instruement_List[],14,FALSE)</f>
        <v>4 - 20 mA</v>
      </c>
      <c r="AQ517" s="143" t="str">
        <f>tbl_IO_List[[#This Row],[Chassis]]&amp;"S"&amp;tbl_IO_List[[#This Row],[Slot]]&amp;"-"&amp;tbl_IO_List[[#This Row],[Front Terminal Number]]</f>
        <v>C2S10-</v>
      </c>
      <c r="AR517" s="143"/>
      <c r="AS517" s="136" t="str">
        <f>tbl_IO_List[[#This Row],[Terminal Tagging]]&amp;"-"&amp;tbl_IO_List[[#This Row],[Point-Count]]</f>
        <v>-</v>
      </c>
      <c r="AT517" s="136" t="str">
        <f>tbl_IO_List[[#This Row],[Front Terminal Tagging]]&amp;"/"&amp;tbl_IO_List[[#This Row],[Terminal Tagging-Item]]</f>
        <v>C2S10-/-</v>
      </c>
      <c r="AU517" s="136" t="str">
        <f>tbl_IO_List[[#This Row],[Terminal Tagging-Item]]&amp;"/"&amp;tbl_IO_List[[#This Row],[Front Terminal Tagging]]</f>
        <v>-/C2S10-</v>
      </c>
    </row>
    <row r="518" spans="1:47" hidden="1">
      <c r="A518" s="147" t="s">
        <v>1367</v>
      </c>
      <c r="B518" s="136" t="s">
        <v>221</v>
      </c>
      <c r="C518" s="136" t="str">
        <f>tbl_IO_List[[#This Row],[Column3]]</f>
        <v>C2S10,15</v>
      </c>
      <c r="D518" s="136" t="str">
        <f>tbl_IO_List[[#This Row],[Card]]</f>
        <v>1756-IF16-15</v>
      </c>
      <c r="E518" s="136" t="s">
        <v>1366</v>
      </c>
      <c r="F518" s="136" t="str">
        <f>tbl_IO_List[[#This Row],[Column23]]&amp;"-" &amp;tbl_IO_List[[#This Row],[Column52]]</f>
        <v>C2S10-X1</v>
      </c>
      <c r="G518" s="136" t="str">
        <f>tbl_IO_List[[#This Row],[PLC_Tag]]</f>
        <v>TT-60215A_AI_1</v>
      </c>
      <c r="H518" s="136"/>
      <c r="I518" s="136" t="str">
        <f>VLOOKUP(tbl_IO_List[[#This Row],[Destination]],tbl_Junction[],2,FALSE)</f>
        <v>Spray Dryer 3rd Floor</v>
      </c>
      <c r="J518" s="136" t="s">
        <v>221</v>
      </c>
      <c r="K518" s="136" t="s">
        <v>14</v>
      </c>
      <c r="L518" s="136" t="s">
        <v>240</v>
      </c>
      <c r="M518" s="136">
        <f>VLOOKUP(tbl_IO_List[[#This Row],[Instruement Tag]],tbl_Instruement_List[],2,FALSE)</f>
        <v>0</v>
      </c>
      <c r="N518" s="136" t="s">
        <v>47</v>
      </c>
      <c r="O518" s="136" t="s">
        <v>50</v>
      </c>
      <c r="P518" s="136" t="s">
        <v>51</v>
      </c>
      <c r="Q518" s="136" t="str">
        <f>VLOOKUP(tbl_IO_List[[#This Row],[Instruement Tag]],tbl_Instruement_List[],6,FALSE)</f>
        <v>Liquid Temperature Transmitter for Heat Recovery (HXCR-21)</v>
      </c>
      <c r="R518" s="136"/>
      <c r="S51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18" s="136" t="str">
        <f>tbl_IO_List[[#This Row],[Instruement Tag]]&amp;"_"&amp;tbl_IO_List[[#This Row],[I/O Type]]&amp;"_"&amp;tbl_IO_List[[#This Row],[IO-Point 
(Instruement)]]</f>
        <v>TT-60215A_AI_1</v>
      </c>
      <c r="U518" s="136" t="s">
        <v>10</v>
      </c>
      <c r="V518" s="136">
        <f>VLOOKUP(tbl_IO_List[[#This Row],[I/O Type]],tbl_Slot_Group[],2,FALSE)</f>
        <v>3</v>
      </c>
      <c r="W518" s="136">
        <v>1</v>
      </c>
      <c r="X518" s="136" t="str">
        <f>tbl_IO_List[[#This Row],[Chassis]]&amp;"S"&amp;TEXT(tbl_IO_List[[#This Row],[Slot]],"00")</f>
        <v>C2S10</v>
      </c>
      <c r="Y518" s="136" t="str">
        <f>tbl_IO_List[[#This Row],[Chassis]]&amp;"S"&amp;TEXT(tbl_IO_List[[#This Row],[Slot]],"00")&amp;tbl_IO_List[[#This Row],[I/O Type]]&amp;TEXT(tbl_IO_List[[#This Row],[Point]],"00")</f>
        <v>C2S10AI15</v>
      </c>
      <c r="Z518" s="136" t="str">
        <f>tbl_IO_List[[#This Row],[Chassis]]&amp;"S"&amp;TEXT(tbl_IO_List[[#This Row],[Slot]],"00")&amp;","&amp;TEXT(tbl_IO_List[[#This Row],[Point]],"00")</f>
        <v>C2S10,15</v>
      </c>
      <c r="AA518" s="136" t="str">
        <f>VLOOKUP(tbl_IO_List[[#This Row],[Column23]],tbl_RackConfig[],5,FALSE) &amp;"-"&amp;tbl_IO_List[[#This Row],[Point]]</f>
        <v>1756-IF16-15</v>
      </c>
      <c r="AB518" s="136"/>
      <c r="AC518" s="136"/>
      <c r="AD518" s="136" t="str">
        <f>tbl_IO_List[[#This Row],[I/O Type]]</f>
        <v>AI</v>
      </c>
      <c r="AE518" s="136" t="s">
        <v>1333</v>
      </c>
      <c r="AF518" s="136">
        <v>10</v>
      </c>
      <c r="AG518" s="136">
        <v>15</v>
      </c>
      <c r="AH518" s="136"/>
      <c r="AI518" s="136"/>
      <c r="AJ518" s="136">
        <v>0</v>
      </c>
      <c r="AK518" s="136">
        <v>0</v>
      </c>
      <c r="AL518" s="136">
        <v>1</v>
      </c>
      <c r="AM518" s="136">
        <v>0</v>
      </c>
      <c r="AN518" s="136">
        <v>0</v>
      </c>
      <c r="AO518" s="136"/>
      <c r="AP518" s="143" t="str">
        <f>VLOOKUP(tbl_IO_List[[#This Row],[Instruement Tag]],tbl_Instruement_List[],14,FALSE)</f>
        <v>4 - 20 mA</v>
      </c>
      <c r="AQ518" s="143" t="str">
        <f>tbl_IO_List[[#This Row],[Chassis]]&amp;"S"&amp;tbl_IO_List[[#This Row],[Slot]]&amp;"-"&amp;tbl_IO_List[[#This Row],[Front Terminal Number]]</f>
        <v>C2S10-</v>
      </c>
      <c r="AR518" s="143"/>
      <c r="AS518" s="136" t="str">
        <f>tbl_IO_List[[#This Row],[Terminal Tagging]]&amp;"-"&amp;tbl_IO_List[[#This Row],[Point-Count]]</f>
        <v>-</v>
      </c>
      <c r="AT518" s="136" t="str">
        <f>tbl_IO_List[[#This Row],[Front Terminal Tagging]]&amp;"/"&amp;tbl_IO_List[[#This Row],[Terminal Tagging-Item]]</f>
        <v>C2S10-/-</v>
      </c>
      <c r="AU518" s="136" t="str">
        <f>tbl_IO_List[[#This Row],[Terminal Tagging-Item]]&amp;"/"&amp;tbl_IO_List[[#This Row],[Front Terminal Tagging]]</f>
        <v>-/C2S10-</v>
      </c>
    </row>
    <row r="519" spans="1:47" hidden="1">
      <c r="A519" s="147" t="s">
        <v>1367</v>
      </c>
      <c r="B519" s="136" t="s">
        <v>221</v>
      </c>
      <c r="C519" s="136" t="str">
        <f>tbl_IO_List[[#This Row],[Column3]]</f>
        <v>C3S06,00</v>
      </c>
      <c r="D519" s="136" t="str">
        <f>tbl_IO_List[[#This Row],[Card]]</f>
        <v>1756-N2-0</v>
      </c>
      <c r="E519" s="136" t="s">
        <v>1366</v>
      </c>
      <c r="F519" s="136" t="str">
        <f>tbl_IO_List[[#This Row],[Column23]]&amp;"-" &amp;tbl_IO_List[[#This Row],[Column52]]</f>
        <v>C3S06-X1</v>
      </c>
      <c r="G519" s="136" t="str">
        <f>tbl_IO_List[[#This Row],[PLC_Tag]]</f>
        <v>TT-60215B_AI_1</v>
      </c>
      <c r="H519" s="136"/>
      <c r="I519" s="136" t="str">
        <f>VLOOKUP(tbl_IO_List[[#This Row],[Destination]],tbl_Junction[],2,FALSE)</f>
        <v>Spray Dryer 3rd Floor</v>
      </c>
      <c r="J519" s="136" t="s">
        <v>221</v>
      </c>
      <c r="K519" s="136" t="s">
        <v>14</v>
      </c>
      <c r="L519" s="136" t="s">
        <v>241</v>
      </c>
      <c r="M519" s="136">
        <f>VLOOKUP(tbl_IO_List[[#This Row],[Instruement Tag]],tbl_Instruement_List[],2,FALSE)</f>
        <v>0</v>
      </c>
      <c r="N519" s="136" t="s">
        <v>47</v>
      </c>
      <c r="O519" s="136" t="s">
        <v>50</v>
      </c>
      <c r="P519" s="136" t="s">
        <v>51</v>
      </c>
      <c r="Q519" s="136" t="str">
        <f>VLOOKUP(tbl_IO_List[[#This Row],[Instruement Tag]],tbl_Instruement_List[],6,FALSE)</f>
        <v>Liquid Temperature Transmitter for Heat Recovery (HXCR-21)</v>
      </c>
      <c r="R519" s="136"/>
      <c r="S51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19" s="136" t="str">
        <f>tbl_IO_List[[#This Row],[Instruement Tag]]&amp;"_"&amp;tbl_IO_List[[#This Row],[I/O Type]]&amp;"_"&amp;tbl_IO_List[[#This Row],[IO-Point 
(Instruement)]]</f>
        <v>TT-60215B_AI_1</v>
      </c>
      <c r="U519" s="136" t="s">
        <v>10</v>
      </c>
      <c r="V519" s="136">
        <f>VLOOKUP(tbl_IO_List[[#This Row],[I/O Type]],tbl_Slot_Group[],2,FALSE)</f>
        <v>3</v>
      </c>
      <c r="W519" s="136">
        <v>1</v>
      </c>
      <c r="X519" s="136" t="str">
        <f>tbl_IO_List[[#This Row],[Chassis]]&amp;"S"&amp;TEXT(tbl_IO_List[[#This Row],[Slot]],"00")</f>
        <v>C3S06</v>
      </c>
      <c r="Y519" s="136" t="str">
        <f>tbl_IO_List[[#This Row],[Chassis]]&amp;"S"&amp;TEXT(tbl_IO_List[[#This Row],[Slot]],"00")&amp;tbl_IO_List[[#This Row],[I/O Type]]&amp;TEXT(tbl_IO_List[[#This Row],[Point]],"00")</f>
        <v>C3S06AI00</v>
      </c>
      <c r="Z519" s="136" t="str">
        <f>tbl_IO_List[[#This Row],[Chassis]]&amp;"S"&amp;TEXT(tbl_IO_List[[#This Row],[Slot]],"00")&amp;","&amp;TEXT(tbl_IO_List[[#This Row],[Point]],"00")</f>
        <v>C3S06,00</v>
      </c>
      <c r="AA519" s="136" t="str">
        <f>VLOOKUP(tbl_IO_List[[#This Row],[Column23]],tbl_RackConfig[],5,FALSE) &amp;"-"&amp;tbl_IO_List[[#This Row],[Point]]</f>
        <v>1756-N2-0</v>
      </c>
      <c r="AB519" s="136"/>
      <c r="AC519" s="136"/>
      <c r="AD519" s="136" t="str">
        <f>tbl_IO_List[[#This Row],[I/O Type]]</f>
        <v>AI</v>
      </c>
      <c r="AE519" s="136" t="s">
        <v>1334</v>
      </c>
      <c r="AF519" s="136">
        <v>6</v>
      </c>
      <c r="AG519" s="136">
        <v>0</v>
      </c>
      <c r="AH519" s="136"/>
      <c r="AI519" s="136"/>
      <c r="AJ519" s="136">
        <v>0</v>
      </c>
      <c r="AK519" s="136">
        <v>0</v>
      </c>
      <c r="AL519" s="136">
        <v>1</v>
      </c>
      <c r="AM519" s="136">
        <v>0</v>
      </c>
      <c r="AN519" s="136">
        <v>0</v>
      </c>
      <c r="AO519" s="136"/>
      <c r="AP519" s="143" t="str">
        <f>VLOOKUP(tbl_IO_List[[#This Row],[Instruement Tag]],tbl_Instruement_List[],14,FALSE)</f>
        <v>4 - 20 mA</v>
      </c>
      <c r="AQ519" s="143" t="str">
        <f>tbl_IO_List[[#This Row],[Chassis]]&amp;"S"&amp;tbl_IO_List[[#This Row],[Slot]]&amp;"-"&amp;tbl_IO_List[[#This Row],[Front Terminal Number]]</f>
        <v>C3S6-</v>
      </c>
      <c r="AR519" s="143"/>
      <c r="AS519" s="136" t="str">
        <f>tbl_IO_List[[#This Row],[Terminal Tagging]]&amp;"-"&amp;tbl_IO_List[[#This Row],[Point-Count]]</f>
        <v>-</v>
      </c>
      <c r="AT519" s="136" t="str">
        <f>tbl_IO_List[[#This Row],[Front Terminal Tagging]]&amp;"/"&amp;tbl_IO_List[[#This Row],[Terminal Tagging-Item]]</f>
        <v>C3S6-/-</v>
      </c>
      <c r="AU519" s="136" t="str">
        <f>tbl_IO_List[[#This Row],[Terminal Tagging-Item]]&amp;"/"&amp;tbl_IO_List[[#This Row],[Front Terminal Tagging]]</f>
        <v>-/C3S6-</v>
      </c>
    </row>
    <row r="520" spans="1:47" hidden="1">
      <c r="A520" s="147" t="s">
        <v>1367</v>
      </c>
      <c r="B520" s="136" t="s">
        <v>221</v>
      </c>
      <c r="C520" s="136" t="str">
        <f>tbl_IO_List[[#This Row],[Column3]]</f>
        <v>C3S06,01</v>
      </c>
      <c r="D520" s="136" t="str">
        <f>tbl_IO_List[[#This Row],[Card]]</f>
        <v>1756-N2-1</v>
      </c>
      <c r="E520" s="136" t="s">
        <v>1366</v>
      </c>
      <c r="F520" s="136" t="str">
        <f>tbl_IO_List[[#This Row],[Column23]]&amp;"-" &amp;tbl_IO_List[[#This Row],[Column52]]</f>
        <v>C3S06-X1</v>
      </c>
      <c r="G520" s="136" t="str">
        <f>tbl_IO_List[[#This Row],[PLC_Tag]]</f>
        <v>TT-60216_AI_1</v>
      </c>
      <c r="H520" s="136"/>
      <c r="I520" s="136" t="str">
        <f>VLOOKUP(tbl_IO_List[[#This Row],[Destination]],tbl_Junction[],2,FALSE)</f>
        <v>Spray Dryer 3rd Floor</v>
      </c>
      <c r="J520" s="136" t="s">
        <v>221</v>
      </c>
      <c r="K520" s="136" t="s">
        <v>14</v>
      </c>
      <c r="L520" s="136" t="s">
        <v>242</v>
      </c>
      <c r="M520" s="136">
        <f>VLOOKUP(tbl_IO_List[[#This Row],[Instruement Tag]],tbl_Instruement_List[],2,FALSE)</f>
        <v>0</v>
      </c>
      <c r="N520" s="136" t="s">
        <v>47</v>
      </c>
      <c r="O520" s="136" t="s">
        <v>50</v>
      </c>
      <c r="P520" s="136" t="s">
        <v>51</v>
      </c>
      <c r="Q520" s="136" t="str">
        <f>VLOOKUP(tbl_IO_List[[#This Row],[Instruement Tag]],tbl_Instruement_List[],6,FALSE)</f>
        <v>Gas Temperature Transmitter for Combustion Air Burner Duct (DTCB-21)</v>
      </c>
      <c r="R520" s="136"/>
      <c r="S52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20" s="136" t="str">
        <f>tbl_IO_List[[#This Row],[Instruement Tag]]&amp;"_"&amp;tbl_IO_List[[#This Row],[I/O Type]]&amp;"_"&amp;tbl_IO_List[[#This Row],[IO-Point 
(Instruement)]]</f>
        <v>TT-60216_AI_1</v>
      </c>
      <c r="U520" s="136" t="s">
        <v>10</v>
      </c>
      <c r="V520" s="136">
        <f>VLOOKUP(tbl_IO_List[[#This Row],[I/O Type]],tbl_Slot_Group[],2,FALSE)</f>
        <v>3</v>
      </c>
      <c r="W520" s="136">
        <v>1</v>
      </c>
      <c r="X520" s="136" t="str">
        <f>tbl_IO_List[[#This Row],[Chassis]]&amp;"S"&amp;TEXT(tbl_IO_List[[#This Row],[Slot]],"00")</f>
        <v>C3S06</v>
      </c>
      <c r="Y520" s="136" t="str">
        <f>tbl_IO_List[[#This Row],[Chassis]]&amp;"S"&amp;TEXT(tbl_IO_List[[#This Row],[Slot]],"00")&amp;tbl_IO_List[[#This Row],[I/O Type]]&amp;TEXT(tbl_IO_List[[#This Row],[Point]],"00")</f>
        <v>C3S06AI01</v>
      </c>
      <c r="Z520" s="136" t="str">
        <f>tbl_IO_List[[#This Row],[Chassis]]&amp;"S"&amp;TEXT(tbl_IO_List[[#This Row],[Slot]],"00")&amp;","&amp;TEXT(tbl_IO_List[[#This Row],[Point]],"00")</f>
        <v>C3S06,01</v>
      </c>
      <c r="AA520" s="136" t="str">
        <f>VLOOKUP(tbl_IO_List[[#This Row],[Column23]],tbl_RackConfig[],5,FALSE) &amp;"-"&amp;tbl_IO_List[[#This Row],[Point]]</f>
        <v>1756-N2-1</v>
      </c>
      <c r="AB520" s="136"/>
      <c r="AC520" s="136"/>
      <c r="AD520" s="136" t="str">
        <f>tbl_IO_List[[#This Row],[I/O Type]]</f>
        <v>AI</v>
      </c>
      <c r="AE520" s="136" t="s">
        <v>1334</v>
      </c>
      <c r="AF520" s="136">
        <v>6</v>
      </c>
      <c r="AG520" s="136">
        <v>1</v>
      </c>
      <c r="AH520" s="136"/>
      <c r="AI520" s="136"/>
      <c r="AJ520" s="136">
        <v>0</v>
      </c>
      <c r="AK520" s="136">
        <v>0</v>
      </c>
      <c r="AL520" s="136">
        <v>1</v>
      </c>
      <c r="AM520" s="136">
        <v>0</v>
      </c>
      <c r="AN520" s="136">
        <v>0</v>
      </c>
      <c r="AO520" s="136"/>
      <c r="AP520" s="143" t="str">
        <f>VLOOKUP(tbl_IO_List[[#This Row],[Instruement Tag]],tbl_Instruement_List[],14,FALSE)</f>
        <v>4 - 20 mA</v>
      </c>
      <c r="AQ520" s="143" t="str">
        <f>tbl_IO_List[[#This Row],[Chassis]]&amp;"S"&amp;tbl_IO_List[[#This Row],[Slot]]&amp;"-"&amp;tbl_IO_List[[#This Row],[Front Terminal Number]]</f>
        <v>C3S6-</v>
      </c>
      <c r="AR520" s="143"/>
      <c r="AS520" s="136" t="str">
        <f>tbl_IO_List[[#This Row],[Terminal Tagging]]&amp;"-"&amp;tbl_IO_List[[#This Row],[Point-Count]]</f>
        <v>-</v>
      </c>
      <c r="AT520" s="136" t="str">
        <f>tbl_IO_List[[#This Row],[Front Terminal Tagging]]&amp;"/"&amp;tbl_IO_List[[#This Row],[Terminal Tagging-Item]]</f>
        <v>C3S6-/-</v>
      </c>
      <c r="AU520" s="136" t="str">
        <f>tbl_IO_List[[#This Row],[Terminal Tagging-Item]]&amp;"/"&amp;tbl_IO_List[[#This Row],[Front Terminal Tagging]]</f>
        <v>-/C3S6-</v>
      </c>
    </row>
    <row r="521" spans="1:47" hidden="1">
      <c r="A521" s="147" t="s">
        <v>1367</v>
      </c>
      <c r="B521" s="136" t="s">
        <v>221</v>
      </c>
      <c r="C521" s="136" t="str">
        <f>tbl_IO_List[[#This Row],[Column3]]</f>
        <v>C3S06,02</v>
      </c>
      <c r="D521" s="136" t="str">
        <f>tbl_IO_List[[#This Row],[Card]]</f>
        <v>1756-N2-2</v>
      </c>
      <c r="E521" s="136" t="s">
        <v>1366</v>
      </c>
      <c r="F521" s="136" t="str">
        <f>tbl_IO_List[[#This Row],[Column23]]&amp;"-" &amp;tbl_IO_List[[#This Row],[Column52]]</f>
        <v>C3S06-X1</v>
      </c>
      <c r="G521" s="136" t="str">
        <f>tbl_IO_List[[#This Row],[PLC_Tag]]</f>
        <v>TT-60240_AI_1</v>
      </c>
      <c r="H521" s="136"/>
      <c r="I521" s="136" t="str">
        <f>VLOOKUP(tbl_IO_List[[#This Row],[Destination]],tbl_Junction[],2,FALSE)</f>
        <v>Spray Dryer 3rd Floor</v>
      </c>
      <c r="J521" s="136" t="s">
        <v>221</v>
      </c>
      <c r="K521" s="136" t="s">
        <v>14</v>
      </c>
      <c r="L521" s="136" t="s">
        <v>243</v>
      </c>
      <c r="M521" s="136">
        <f>VLOOKUP(tbl_IO_List[[#This Row],[Instruement Tag]],tbl_Instruement_List[],2,FALSE)</f>
        <v>0</v>
      </c>
      <c r="N521" s="136" t="s">
        <v>47</v>
      </c>
      <c r="O521" s="136" t="s">
        <v>21</v>
      </c>
      <c r="P521" s="136" t="s">
        <v>22</v>
      </c>
      <c r="Q521" s="136" t="str">
        <f>VLOOKUP(tbl_IO_List[[#This Row],[Instruement Tag]],tbl_Instruement_List[],6,FALSE)</f>
        <v>Gas Temperature Transmitter for Exhaust Fan (FANE-21)</v>
      </c>
      <c r="R521" s="136"/>
      <c r="S52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21" s="136" t="str">
        <f>tbl_IO_List[[#This Row],[Instruement Tag]]&amp;"_"&amp;tbl_IO_List[[#This Row],[I/O Type]]&amp;"_"&amp;tbl_IO_List[[#This Row],[IO-Point 
(Instruement)]]</f>
        <v>TT-60240_AI_1</v>
      </c>
      <c r="U521" s="136" t="s">
        <v>10</v>
      </c>
      <c r="V521" s="136">
        <f>VLOOKUP(tbl_IO_List[[#This Row],[I/O Type]],tbl_Slot_Group[],2,FALSE)</f>
        <v>3</v>
      </c>
      <c r="W521" s="136">
        <v>1</v>
      </c>
      <c r="X521" s="136" t="str">
        <f>tbl_IO_List[[#This Row],[Chassis]]&amp;"S"&amp;TEXT(tbl_IO_List[[#This Row],[Slot]],"00")</f>
        <v>C3S06</v>
      </c>
      <c r="Y521" s="136" t="str">
        <f>tbl_IO_List[[#This Row],[Chassis]]&amp;"S"&amp;TEXT(tbl_IO_List[[#This Row],[Slot]],"00")&amp;tbl_IO_List[[#This Row],[I/O Type]]&amp;TEXT(tbl_IO_List[[#This Row],[Point]],"00")</f>
        <v>C3S06AI02</v>
      </c>
      <c r="Z521" s="136" t="str">
        <f>tbl_IO_List[[#This Row],[Chassis]]&amp;"S"&amp;TEXT(tbl_IO_List[[#This Row],[Slot]],"00")&amp;","&amp;TEXT(tbl_IO_List[[#This Row],[Point]],"00")</f>
        <v>C3S06,02</v>
      </c>
      <c r="AA521" s="136" t="str">
        <f>VLOOKUP(tbl_IO_List[[#This Row],[Column23]],tbl_RackConfig[],5,FALSE) &amp;"-"&amp;tbl_IO_List[[#This Row],[Point]]</f>
        <v>1756-N2-2</v>
      </c>
      <c r="AB521" s="136"/>
      <c r="AC521" s="136"/>
      <c r="AD521" s="136" t="str">
        <f>tbl_IO_List[[#This Row],[I/O Type]]</f>
        <v>AI</v>
      </c>
      <c r="AE521" s="136" t="s">
        <v>1334</v>
      </c>
      <c r="AF521" s="136">
        <v>6</v>
      </c>
      <c r="AG521" s="136">
        <v>2</v>
      </c>
      <c r="AH521" s="136"/>
      <c r="AI521" s="136"/>
      <c r="AJ521" s="136">
        <v>0</v>
      </c>
      <c r="AK521" s="136">
        <v>0</v>
      </c>
      <c r="AL521" s="136">
        <v>1</v>
      </c>
      <c r="AM521" s="136">
        <v>0</v>
      </c>
      <c r="AN521" s="136">
        <v>0</v>
      </c>
      <c r="AO521" s="136"/>
      <c r="AP521" s="143" t="str">
        <f>VLOOKUP(tbl_IO_List[[#This Row],[Instruement Tag]],tbl_Instruement_List[],14,FALSE)</f>
        <v>4 - 20 mA</v>
      </c>
      <c r="AQ521" s="143" t="str">
        <f>tbl_IO_List[[#This Row],[Chassis]]&amp;"S"&amp;tbl_IO_List[[#This Row],[Slot]]&amp;"-"&amp;tbl_IO_List[[#This Row],[Front Terminal Number]]</f>
        <v>C3S6-</v>
      </c>
      <c r="AR521" s="143"/>
      <c r="AS521" s="136" t="str">
        <f>tbl_IO_List[[#This Row],[Terminal Tagging]]&amp;"-"&amp;tbl_IO_List[[#This Row],[Point-Count]]</f>
        <v>-</v>
      </c>
      <c r="AT521" s="136" t="str">
        <f>tbl_IO_List[[#This Row],[Front Terminal Tagging]]&amp;"/"&amp;tbl_IO_List[[#This Row],[Terminal Tagging-Item]]</f>
        <v>C3S6-/-</v>
      </c>
      <c r="AU521" s="136" t="str">
        <f>tbl_IO_List[[#This Row],[Terminal Tagging-Item]]&amp;"/"&amp;tbl_IO_List[[#This Row],[Front Terminal Tagging]]</f>
        <v>-/C3S6-</v>
      </c>
    </row>
    <row r="522" spans="1:47" hidden="1">
      <c r="A522" s="147" t="s">
        <v>1367</v>
      </c>
      <c r="B522" s="136" t="s">
        <v>221</v>
      </c>
      <c r="C522" s="136" t="str">
        <f>tbl_IO_List[[#This Row],[Column3]]</f>
        <v>C3S06,03</v>
      </c>
      <c r="D522" s="136" t="str">
        <f>tbl_IO_List[[#This Row],[Card]]</f>
        <v>1756-N2-3</v>
      </c>
      <c r="E522" s="136" t="s">
        <v>1366</v>
      </c>
      <c r="F522" s="136" t="str">
        <f>tbl_IO_List[[#This Row],[Column23]]&amp;"-" &amp;tbl_IO_List[[#This Row],[Column52]]</f>
        <v>C3S06-X1</v>
      </c>
      <c r="G522" s="136" t="str">
        <f>tbl_IO_List[[#This Row],[PLC_Tag]]</f>
        <v>TT-60241A_AI_1</v>
      </c>
      <c r="H522" s="136"/>
      <c r="I522" s="136" t="str">
        <f>VLOOKUP(tbl_IO_List[[#This Row],[Destination]],tbl_Junction[],2,FALSE)</f>
        <v>Spray Dryer 3rd Floor</v>
      </c>
      <c r="J522" s="136" t="s">
        <v>221</v>
      </c>
      <c r="K522" s="136" t="s">
        <v>14</v>
      </c>
      <c r="L522" s="136" t="s">
        <v>244</v>
      </c>
      <c r="M522" s="136">
        <f>VLOOKUP(tbl_IO_List[[#This Row],[Instruement Tag]],tbl_Instruement_List[],2,FALSE)</f>
        <v>0</v>
      </c>
      <c r="N522" s="136" t="s">
        <v>47</v>
      </c>
      <c r="O522" s="136" t="s">
        <v>21</v>
      </c>
      <c r="P522" s="136" t="s">
        <v>22</v>
      </c>
      <c r="Q522" s="136" t="str">
        <f>VLOOKUP(tbl_IO_List[[#This Row],[Instruement Tag]],tbl_Instruement_List[],6,FALSE)</f>
        <v xml:space="preserve"> Bearing Temperature Transmitter for Main Exhaust Air Fan (FANE-21)</v>
      </c>
      <c r="R522" s="136"/>
      <c r="S52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22" s="136" t="str">
        <f>tbl_IO_List[[#This Row],[Instruement Tag]]&amp;"_"&amp;tbl_IO_List[[#This Row],[I/O Type]]&amp;"_"&amp;tbl_IO_List[[#This Row],[IO-Point 
(Instruement)]]</f>
        <v>TT-60241A_AI_1</v>
      </c>
      <c r="U522" s="136" t="s">
        <v>10</v>
      </c>
      <c r="V522" s="136">
        <f>VLOOKUP(tbl_IO_List[[#This Row],[I/O Type]],tbl_Slot_Group[],2,FALSE)</f>
        <v>3</v>
      </c>
      <c r="W522" s="136">
        <v>1</v>
      </c>
      <c r="X522" s="136" t="str">
        <f>tbl_IO_List[[#This Row],[Chassis]]&amp;"S"&amp;TEXT(tbl_IO_List[[#This Row],[Slot]],"00")</f>
        <v>C3S06</v>
      </c>
      <c r="Y522" s="136" t="str">
        <f>tbl_IO_List[[#This Row],[Chassis]]&amp;"S"&amp;TEXT(tbl_IO_List[[#This Row],[Slot]],"00")&amp;tbl_IO_List[[#This Row],[I/O Type]]&amp;TEXT(tbl_IO_List[[#This Row],[Point]],"00")</f>
        <v>C3S06AI03</v>
      </c>
      <c r="Z522" s="136" t="str">
        <f>tbl_IO_List[[#This Row],[Chassis]]&amp;"S"&amp;TEXT(tbl_IO_List[[#This Row],[Slot]],"00")&amp;","&amp;TEXT(tbl_IO_List[[#This Row],[Point]],"00")</f>
        <v>C3S06,03</v>
      </c>
      <c r="AA522" s="136" t="str">
        <f>VLOOKUP(tbl_IO_List[[#This Row],[Column23]],tbl_RackConfig[],5,FALSE) &amp;"-"&amp;tbl_IO_List[[#This Row],[Point]]</f>
        <v>1756-N2-3</v>
      </c>
      <c r="AB522" s="136"/>
      <c r="AC522" s="136"/>
      <c r="AD522" s="136" t="str">
        <f>tbl_IO_List[[#This Row],[I/O Type]]</f>
        <v>AI</v>
      </c>
      <c r="AE522" s="136" t="s">
        <v>1334</v>
      </c>
      <c r="AF522" s="136">
        <v>6</v>
      </c>
      <c r="AG522" s="136">
        <v>3</v>
      </c>
      <c r="AH522" s="136"/>
      <c r="AI522" s="136"/>
      <c r="AJ522" s="136">
        <v>0</v>
      </c>
      <c r="AK522" s="136">
        <v>0</v>
      </c>
      <c r="AL522" s="136">
        <v>1</v>
      </c>
      <c r="AM522" s="136">
        <v>0</v>
      </c>
      <c r="AN522" s="136">
        <v>0</v>
      </c>
      <c r="AO522" s="136"/>
      <c r="AP522" s="143" t="str">
        <f>VLOOKUP(tbl_IO_List[[#This Row],[Instruement Tag]],tbl_Instruement_List[],14,FALSE)</f>
        <v>4 - 20 mA</v>
      </c>
      <c r="AQ522" s="143" t="str">
        <f>tbl_IO_List[[#This Row],[Chassis]]&amp;"S"&amp;tbl_IO_List[[#This Row],[Slot]]&amp;"-"&amp;tbl_IO_List[[#This Row],[Front Terminal Number]]</f>
        <v>C3S6-</v>
      </c>
      <c r="AR522" s="143"/>
      <c r="AS522" s="136" t="str">
        <f>tbl_IO_List[[#This Row],[Terminal Tagging]]&amp;"-"&amp;tbl_IO_List[[#This Row],[Point-Count]]</f>
        <v>-</v>
      </c>
      <c r="AT522" s="136" t="str">
        <f>tbl_IO_List[[#This Row],[Front Terminal Tagging]]&amp;"/"&amp;tbl_IO_List[[#This Row],[Terminal Tagging-Item]]</f>
        <v>C3S6-/-</v>
      </c>
      <c r="AU522" s="136" t="str">
        <f>tbl_IO_List[[#This Row],[Terminal Tagging-Item]]&amp;"/"&amp;tbl_IO_List[[#This Row],[Front Terminal Tagging]]</f>
        <v>-/C3S6-</v>
      </c>
    </row>
    <row r="523" spans="1:47" hidden="1">
      <c r="A523" s="147" t="s">
        <v>1367</v>
      </c>
      <c r="B523" s="136" t="s">
        <v>221</v>
      </c>
      <c r="C523" s="136" t="str">
        <f>tbl_IO_List[[#This Row],[Column3]]</f>
        <v>C3S06,04</v>
      </c>
      <c r="D523" s="136" t="str">
        <f>tbl_IO_List[[#This Row],[Card]]</f>
        <v>1756-N2-4</v>
      </c>
      <c r="E523" s="136" t="s">
        <v>1366</v>
      </c>
      <c r="F523" s="136" t="str">
        <f>tbl_IO_List[[#This Row],[Column23]]&amp;"-" &amp;tbl_IO_List[[#This Row],[Column52]]</f>
        <v>C3S06-X1</v>
      </c>
      <c r="G523" s="136" t="str">
        <f>tbl_IO_List[[#This Row],[PLC_Tag]]</f>
        <v>TT-60241B_AI_1</v>
      </c>
      <c r="H523" s="136"/>
      <c r="I523" s="136" t="str">
        <f>VLOOKUP(tbl_IO_List[[#This Row],[Destination]],tbl_Junction[],2,FALSE)</f>
        <v>Spray Dryer 3rd Floor</v>
      </c>
      <c r="J523" s="136" t="s">
        <v>221</v>
      </c>
      <c r="K523" s="136" t="s">
        <v>14</v>
      </c>
      <c r="L523" s="136" t="s">
        <v>245</v>
      </c>
      <c r="M523" s="136">
        <f>VLOOKUP(tbl_IO_List[[#This Row],[Instruement Tag]],tbl_Instruement_List[],2,FALSE)</f>
        <v>0</v>
      </c>
      <c r="N523" s="136" t="s">
        <v>47</v>
      </c>
      <c r="O523" s="136" t="s">
        <v>21</v>
      </c>
      <c r="P523" s="136" t="s">
        <v>22</v>
      </c>
      <c r="Q523" s="136" t="str">
        <f>VLOOKUP(tbl_IO_List[[#This Row],[Instruement Tag]],tbl_Instruement_List[],6,FALSE)</f>
        <v xml:space="preserve"> Bearing Temperature Transmitter for Main Exhaust Air Fan (FANE-21)</v>
      </c>
      <c r="R523" s="136"/>
      <c r="S52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23" s="136" t="str">
        <f>tbl_IO_List[[#This Row],[Instruement Tag]]&amp;"_"&amp;tbl_IO_List[[#This Row],[I/O Type]]&amp;"_"&amp;tbl_IO_List[[#This Row],[IO-Point 
(Instruement)]]</f>
        <v>TT-60241B_AI_1</v>
      </c>
      <c r="U523" s="136" t="s">
        <v>10</v>
      </c>
      <c r="V523" s="136">
        <f>VLOOKUP(tbl_IO_List[[#This Row],[I/O Type]],tbl_Slot_Group[],2,FALSE)</f>
        <v>3</v>
      </c>
      <c r="W523" s="136">
        <v>1</v>
      </c>
      <c r="X523" s="136" t="str">
        <f>tbl_IO_List[[#This Row],[Chassis]]&amp;"S"&amp;TEXT(tbl_IO_List[[#This Row],[Slot]],"00")</f>
        <v>C3S06</v>
      </c>
      <c r="Y523" s="136" t="str">
        <f>tbl_IO_List[[#This Row],[Chassis]]&amp;"S"&amp;TEXT(tbl_IO_List[[#This Row],[Slot]],"00")&amp;tbl_IO_List[[#This Row],[I/O Type]]&amp;TEXT(tbl_IO_List[[#This Row],[Point]],"00")</f>
        <v>C3S06AI04</v>
      </c>
      <c r="Z523" s="136" t="str">
        <f>tbl_IO_List[[#This Row],[Chassis]]&amp;"S"&amp;TEXT(tbl_IO_List[[#This Row],[Slot]],"00")&amp;","&amp;TEXT(tbl_IO_List[[#This Row],[Point]],"00")</f>
        <v>C3S06,04</v>
      </c>
      <c r="AA523" s="136" t="str">
        <f>VLOOKUP(tbl_IO_List[[#This Row],[Column23]],tbl_RackConfig[],5,FALSE) &amp;"-"&amp;tbl_IO_List[[#This Row],[Point]]</f>
        <v>1756-N2-4</v>
      </c>
      <c r="AB523" s="136"/>
      <c r="AC523" s="136"/>
      <c r="AD523" s="136" t="str">
        <f>tbl_IO_List[[#This Row],[I/O Type]]</f>
        <v>AI</v>
      </c>
      <c r="AE523" s="136" t="s">
        <v>1334</v>
      </c>
      <c r="AF523" s="136">
        <v>6</v>
      </c>
      <c r="AG523" s="136">
        <v>4</v>
      </c>
      <c r="AH523" s="136"/>
      <c r="AI523" s="136"/>
      <c r="AJ523" s="136">
        <v>0</v>
      </c>
      <c r="AK523" s="136">
        <v>0</v>
      </c>
      <c r="AL523" s="136">
        <v>1</v>
      </c>
      <c r="AM523" s="136">
        <v>0</v>
      </c>
      <c r="AN523" s="136">
        <v>0</v>
      </c>
      <c r="AO523" s="136"/>
      <c r="AP523" s="143" t="str">
        <f>VLOOKUP(tbl_IO_List[[#This Row],[Instruement Tag]],tbl_Instruement_List[],14,FALSE)</f>
        <v>4 - 20 mA</v>
      </c>
      <c r="AQ523" s="143" t="str">
        <f>tbl_IO_List[[#This Row],[Chassis]]&amp;"S"&amp;tbl_IO_List[[#This Row],[Slot]]&amp;"-"&amp;tbl_IO_List[[#This Row],[Front Terminal Number]]</f>
        <v>C3S6-</v>
      </c>
      <c r="AR523" s="143"/>
      <c r="AS523" s="136" t="str">
        <f>tbl_IO_List[[#This Row],[Terminal Tagging]]&amp;"-"&amp;tbl_IO_List[[#This Row],[Point-Count]]</f>
        <v>-</v>
      </c>
      <c r="AT523" s="136" t="str">
        <f>tbl_IO_List[[#This Row],[Front Terminal Tagging]]&amp;"/"&amp;tbl_IO_List[[#This Row],[Terminal Tagging-Item]]</f>
        <v>C3S6-/-</v>
      </c>
      <c r="AU523" s="136" t="str">
        <f>tbl_IO_List[[#This Row],[Terminal Tagging-Item]]&amp;"/"&amp;tbl_IO_List[[#This Row],[Front Terminal Tagging]]</f>
        <v>-/C3S6-</v>
      </c>
    </row>
    <row r="524" spans="1:47" hidden="1">
      <c r="A524" s="147" t="s">
        <v>1367</v>
      </c>
      <c r="B524" s="136" t="s">
        <v>221</v>
      </c>
      <c r="C524" s="136" t="str">
        <f>tbl_IO_List[[#This Row],[Column3]]</f>
        <v>C3S06,05</v>
      </c>
      <c r="D524" s="136" t="str">
        <f>tbl_IO_List[[#This Row],[Card]]</f>
        <v>1756-N2-5</v>
      </c>
      <c r="E524" s="136" t="s">
        <v>1366</v>
      </c>
      <c r="F524" s="136" t="str">
        <f>tbl_IO_List[[#This Row],[Column23]]&amp;"-" &amp;tbl_IO_List[[#This Row],[Column52]]</f>
        <v>C3S06-X1</v>
      </c>
      <c r="G524" s="136" t="str">
        <f>tbl_IO_List[[#This Row],[PLC_Tag]]</f>
        <v>VT-60210A_AI_1</v>
      </c>
      <c r="H524" s="136"/>
      <c r="I524" s="136" t="str">
        <f>VLOOKUP(tbl_IO_List[[#This Row],[Destination]],tbl_Junction[],2,FALSE)</f>
        <v>Spray Dryer 3rd Floor</v>
      </c>
      <c r="J524" s="136" t="s">
        <v>221</v>
      </c>
      <c r="K524" s="136" t="s">
        <v>14</v>
      </c>
      <c r="L524" s="136" t="s">
        <v>252</v>
      </c>
      <c r="M524" s="136">
        <f>VLOOKUP(tbl_IO_List[[#This Row],[Instruement Tag]],tbl_Instruement_List[],2,FALSE)</f>
        <v>0</v>
      </c>
      <c r="N524" s="136" t="s">
        <v>47</v>
      </c>
      <c r="O524" s="136" t="s">
        <v>50</v>
      </c>
      <c r="P524" s="136" t="s">
        <v>51</v>
      </c>
      <c r="Q524" s="136" t="str">
        <f>VLOOKUP(tbl_IO_List[[#This Row],[Instruement Tag]],tbl_Instruement_List[],6,FALSE)</f>
        <v xml:space="preserve"> Vibration Transmitter for Main Supply Air Fan (FANS-21)</v>
      </c>
      <c r="R524" s="136"/>
      <c r="S52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24" s="136" t="str">
        <f>tbl_IO_List[[#This Row],[Instruement Tag]]&amp;"_"&amp;tbl_IO_List[[#This Row],[I/O Type]]&amp;"_"&amp;tbl_IO_List[[#This Row],[IO-Point 
(Instruement)]]</f>
        <v>VT-60210A_AI_1</v>
      </c>
      <c r="U524" s="136" t="s">
        <v>10</v>
      </c>
      <c r="V524" s="136">
        <f>VLOOKUP(tbl_IO_List[[#This Row],[I/O Type]],tbl_Slot_Group[],2,FALSE)</f>
        <v>3</v>
      </c>
      <c r="W524" s="136">
        <v>1</v>
      </c>
      <c r="X524" s="136" t="str">
        <f>tbl_IO_List[[#This Row],[Chassis]]&amp;"S"&amp;TEXT(tbl_IO_List[[#This Row],[Slot]],"00")</f>
        <v>C3S06</v>
      </c>
      <c r="Y524" s="136" t="str">
        <f>tbl_IO_List[[#This Row],[Chassis]]&amp;"S"&amp;TEXT(tbl_IO_List[[#This Row],[Slot]],"00")&amp;tbl_IO_List[[#This Row],[I/O Type]]&amp;TEXT(tbl_IO_List[[#This Row],[Point]],"00")</f>
        <v>C3S06AI05</v>
      </c>
      <c r="Z524" s="136" t="str">
        <f>tbl_IO_List[[#This Row],[Chassis]]&amp;"S"&amp;TEXT(tbl_IO_List[[#This Row],[Slot]],"00")&amp;","&amp;TEXT(tbl_IO_List[[#This Row],[Point]],"00")</f>
        <v>C3S06,05</v>
      </c>
      <c r="AA524" s="136" t="str">
        <f>VLOOKUP(tbl_IO_List[[#This Row],[Column23]],tbl_RackConfig[],5,FALSE) &amp;"-"&amp;tbl_IO_List[[#This Row],[Point]]</f>
        <v>1756-N2-5</v>
      </c>
      <c r="AB524" s="136"/>
      <c r="AC524" s="136"/>
      <c r="AD524" s="136" t="str">
        <f>tbl_IO_List[[#This Row],[I/O Type]]</f>
        <v>AI</v>
      </c>
      <c r="AE524" s="136" t="s">
        <v>1334</v>
      </c>
      <c r="AF524" s="136">
        <v>6</v>
      </c>
      <c r="AG524" s="136">
        <v>5</v>
      </c>
      <c r="AH524" s="136"/>
      <c r="AI524" s="136"/>
      <c r="AJ524" s="136">
        <v>0</v>
      </c>
      <c r="AK524" s="136">
        <v>0</v>
      </c>
      <c r="AL524" s="136">
        <v>1</v>
      </c>
      <c r="AM524" s="136">
        <v>0</v>
      </c>
      <c r="AN524" s="136">
        <v>0</v>
      </c>
      <c r="AO524" s="136"/>
      <c r="AP524" s="143" t="str">
        <f>VLOOKUP(tbl_IO_List[[#This Row],[Instruement Tag]],tbl_Instruement_List[],14,FALSE)</f>
        <v>4 - 20 mA</v>
      </c>
      <c r="AQ524" s="143" t="str">
        <f>tbl_IO_List[[#This Row],[Chassis]]&amp;"S"&amp;tbl_IO_List[[#This Row],[Slot]]&amp;"-"&amp;tbl_IO_List[[#This Row],[Front Terminal Number]]</f>
        <v>C3S6-</v>
      </c>
      <c r="AR524" s="143"/>
      <c r="AS524" s="136" t="str">
        <f>tbl_IO_List[[#This Row],[Terminal Tagging]]&amp;"-"&amp;tbl_IO_List[[#This Row],[Point-Count]]</f>
        <v>-</v>
      </c>
      <c r="AT524" s="136" t="str">
        <f>tbl_IO_List[[#This Row],[Front Terminal Tagging]]&amp;"/"&amp;tbl_IO_List[[#This Row],[Terminal Tagging-Item]]</f>
        <v>C3S6-/-</v>
      </c>
      <c r="AU524" s="136" t="str">
        <f>tbl_IO_List[[#This Row],[Terminal Tagging-Item]]&amp;"/"&amp;tbl_IO_List[[#This Row],[Front Terminal Tagging]]</f>
        <v>-/C3S6-</v>
      </c>
    </row>
    <row r="525" spans="1:47" hidden="1">
      <c r="A525" s="147" t="s">
        <v>1367</v>
      </c>
      <c r="B525" s="136" t="s">
        <v>221</v>
      </c>
      <c r="C525" s="136" t="str">
        <f>tbl_IO_List[[#This Row],[Column3]]</f>
        <v>C3S06,06</v>
      </c>
      <c r="D525" s="136" t="str">
        <f>tbl_IO_List[[#This Row],[Card]]</f>
        <v>1756-N2-6</v>
      </c>
      <c r="E525" s="136" t="s">
        <v>1366</v>
      </c>
      <c r="F525" s="136" t="str">
        <f>tbl_IO_List[[#This Row],[Column23]]&amp;"-" &amp;tbl_IO_List[[#This Row],[Column52]]</f>
        <v>C3S06-X1</v>
      </c>
      <c r="G525" s="136" t="str">
        <f>tbl_IO_List[[#This Row],[PLC_Tag]]</f>
        <v>VT-60210B_AI_1</v>
      </c>
      <c r="H525" s="136"/>
      <c r="I525" s="136" t="str">
        <f>VLOOKUP(tbl_IO_List[[#This Row],[Destination]],tbl_Junction[],2,FALSE)</f>
        <v>Spray Dryer 3rd Floor</v>
      </c>
      <c r="J525" s="136" t="s">
        <v>221</v>
      </c>
      <c r="K525" s="136" t="s">
        <v>14</v>
      </c>
      <c r="L525" s="136" t="s">
        <v>253</v>
      </c>
      <c r="M525" s="136">
        <f>VLOOKUP(tbl_IO_List[[#This Row],[Instruement Tag]],tbl_Instruement_List[],2,FALSE)</f>
        <v>0</v>
      </c>
      <c r="N525" s="136" t="s">
        <v>47</v>
      </c>
      <c r="O525" s="136" t="s">
        <v>50</v>
      </c>
      <c r="P525" s="136" t="s">
        <v>51</v>
      </c>
      <c r="Q525" s="136" t="str">
        <f>VLOOKUP(tbl_IO_List[[#This Row],[Instruement Tag]],tbl_Instruement_List[],6,FALSE)</f>
        <v xml:space="preserve"> Vibration Transmitter for Main Supply Air Fan (FANS-21)</v>
      </c>
      <c r="R525" s="136"/>
      <c r="S52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25" s="136" t="str">
        <f>tbl_IO_List[[#This Row],[Instruement Tag]]&amp;"_"&amp;tbl_IO_List[[#This Row],[I/O Type]]&amp;"_"&amp;tbl_IO_List[[#This Row],[IO-Point 
(Instruement)]]</f>
        <v>VT-60210B_AI_1</v>
      </c>
      <c r="U525" s="136" t="s">
        <v>10</v>
      </c>
      <c r="V525" s="136">
        <f>VLOOKUP(tbl_IO_List[[#This Row],[I/O Type]],tbl_Slot_Group[],2,FALSE)</f>
        <v>3</v>
      </c>
      <c r="W525" s="136">
        <v>1</v>
      </c>
      <c r="X525" s="136" t="str">
        <f>tbl_IO_List[[#This Row],[Chassis]]&amp;"S"&amp;TEXT(tbl_IO_List[[#This Row],[Slot]],"00")</f>
        <v>C3S06</v>
      </c>
      <c r="Y525" s="136" t="str">
        <f>tbl_IO_List[[#This Row],[Chassis]]&amp;"S"&amp;TEXT(tbl_IO_List[[#This Row],[Slot]],"00")&amp;tbl_IO_List[[#This Row],[I/O Type]]&amp;TEXT(tbl_IO_List[[#This Row],[Point]],"00")</f>
        <v>C3S06AI06</v>
      </c>
      <c r="Z525" s="136" t="str">
        <f>tbl_IO_List[[#This Row],[Chassis]]&amp;"S"&amp;TEXT(tbl_IO_List[[#This Row],[Slot]],"00")&amp;","&amp;TEXT(tbl_IO_List[[#This Row],[Point]],"00")</f>
        <v>C3S06,06</v>
      </c>
      <c r="AA525" s="136" t="str">
        <f>VLOOKUP(tbl_IO_List[[#This Row],[Column23]],tbl_RackConfig[],5,FALSE) &amp;"-"&amp;tbl_IO_List[[#This Row],[Point]]</f>
        <v>1756-N2-6</v>
      </c>
      <c r="AB525" s="136"/>
      <c r="AC525" s="136"/>
      <c r="AD525" s="136" t="str">
        <f>tbl_IO_List[[#This Row],[I/O Type]]</f>
        <v>AI</v>
      </c>
      <c r="AE525" s="136" t="s">
        <v>1334</v>
      </c>
      <c r="AF525" s="136">
        <v>6</v>
      </c>
      <c r="AG525" s="136">
        <v>6</v>
      </c>
      <c r="AH525" s="136"/>
      <c r="AI525" s="136"/>
      <c r="AJ525" s="136">
        <v>0</v>
      </c>
      <c r="AK525" s="136">
        <v>0</v>
      </c>
      <c r="AL525" s="136">
        <v>1</v>
      </c>
      <c r="AM525" s="136">
        <v>0</v>
      </c>
      <c r="AN525" s="136">
        <v>0</v>
      </c>
      <c r="AO525" s="136"/>
      <c r="AP525" s="143" t="str">
        <f>VLOOKUP(tbl_IO_List[[#This Row],[Instruement Tag]],tbl_Instruement_List[],14,FALSE)</f>
        <v>4 - 20 mA</v>
      </c>
      <c r="AQ525" s="143" t="str">
        <f>tbl_IO_List[[#This Row],[Chassis]]&amp;"S"&amp;tbl_IO_List[[#This Row],[Slot]]&amp;"-"&amp;tbl_IO_List[[#This Row],[Front Terminal Number]]</f>
        <v>C3S6-</v>
      </c>
      <c r="AR525" s="143"/>
      <c r="AS525" s="136" t="str">
        <f>tbl_IO_List[[#This Row],[Terminal Tagging]]&amp;"-"&amp;tbl_IO_List[[#This Row],[Point-Count]]</f>
        <v>-</v>
      </c>
      <c r="AT525" s="136" t="str">
        <f>tbl_IO_List[[#This Row],[Front Terminal Tagging]]&amp;"/"&amp;tbl_IO_List[[#This Row],[Terminal Tagging-Item]]</f>
        <v>C3S6-/-</v>
      </c>
      <c r="AU525" s="136" t="str">
        <f>tbl_IO_List[[#This Row],[Terminal Tagging-Item]]&amp;"/"&amp;tbl_IO_List[[#This Row],[Front Terminal Tagging]]</f>
        <v>-/C3S6-</v>
      </c>
    </row>
    <row r="526" spans="1:47" hidden="1">
      <c r="A526" s="147" t="s">
        <v>1367</v>
      </c>
      <c r="B526" s="136" t="s">
        <v>221</v>
      </c>
      <c r="C526" s="136" t="str">
        <f>tbl_IO_List[[#This Row],[Column3]]</f>
        <v>C3S06,07</v>
      </c>
      <c r="D526" s="136" t="str">
        <f>tbl_IO_List[[#This Row],[Card]]</f>
        <v>1756-N2-7</v>
      </c>
      <c r="E526" s="136" t="s">
        <v>1366</v>
      </c>
      <c r="F526" s="136" t="str">
        <f>tbl_IO_List[[#This Row],[Column23]]&amp;"-" &amp;tbl_IO_List[[#This Row],[Column52]]</f>
        <v>C3S06-X1</v>
      </c>
      <c r="G526" s="136" t="str">
        <f>tbl_IO_List[[#This Row],[PLC_Tag]]</f>
        <v>VT-60241A_AI_1</v>
      </c>
      <c r="H526" s="136"/>
      <c r="I526" s="136" t="str">
        <f>VLOOKUP(tbl_IO_List[[#This Row],[Destination]],tbl_Junction[],2,FALSE)</f>
        <v>Spray Dryer 3rd Floor</v>
      </c>
      <c r="J526" s="136" t="s">
        <v>221</v>
      </c>
      <c r="K526" s="136" t="s">
        <v>14</v>
      </c>
      <c r="L526" s="136" t="s">
        <v>254</v>
      </c>
      <c r="M526" s="136">
        <f>VLOOKUP(tbl_IO_List[[#This Row],[Instruement Tag]],tbl_Instruement_List[],2,FALSE)</f>
        <v>0</v>
      </c>
      <c r="N526" s="136" t="s">
        <v>47</v>
      </c>
      <c r="O526" s="136" t="s">
        <v>21</v>
      </c>
      <c r="P526" s="136" t="s">
        <v>22</v>
      </c>
      <c r="Q526" s="136" t="str">
        <f>VLOOKUP(tbl_IO_List[[#This Row],[Instruement Tag]],tbl_Instruement_List[],6,FALSE)</f>
        <v xml:space="preserve"> Vibration Transmitter for Main Exhaust Air Fan (FANE-21)</v>
      </c>
      <c r="R526" s="136"/>
      <c r="S52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26" s="136" t="str">
        <f>tbl_IO_List[[#This Row],[Instruement Tag]]&amp;"_"&amp;tbl_IO_List[[#This Row],[I/O Type]]&amp;"_"&amp;tbl_IO_List[[#This Row],[IO-Point 
(Instruement)]]</f>
        <v>VT-60241A_AI_1</v>
      </c>
      <c r="U526" s="136" t="s">
        <v>10</v>
      </c>
      <c r="V526" s="136">
        <f>VLOOKUP(tbl_IO_List[[#This Row],[I/O Type]],tbl_Slot_Group[],2,FALSE)</f>
        <v>3</v>
      </c>
      <c r="W526" s="136">
        <v>1</v>
      </c>
      <c r="X526" s="136" t="str">
        <f>tbl_IO_List[[#This Row],[Chassis]]&amp;"S"&amp;TEXT(tbl_IO_List[[#This Row],[Slot]],"00")</f>
        <v>C3S06</v>
      </c>
      <c r="Y526" s="136" t="str">
        <f>tbl_IO_List[[#This Row],[Chassis]]&amp;"S"&amp;TEXT(tbl_IO_List[[#This Row],[Slot]],"00")&amp;tbl_IO_List[[#This Row],[I/O Type]]&amp;TEXT(tbl_IO_List[[#This Row],[Point]],"00")</f>
        <v>C3S06AI07</v>
      </c>
      <c r="Z526" s="136" t="str">
        <f>tbl_IO_List[[#This Row],[Chassis]]&amp;"S"&amp;TEXT(tbl_IO_List[[#This Row],[Slot]],"00")&amp;","&amp;TEXT(tbl_IO_List[[#This Row],[Point]],"00")</f>
        <v>C3S06,07</v>
      </c>
      <c r="AA526" s="136" t="str">
        <f>VLOOKUP(tbl_IO_List[[#This Row],[Column23]],tbl_RackConfig[],5,FALSE) &amp;"-"&amp;tbl_IO_List[[#This Row],[Point]]</f>
        <v>1756-N2-7</v>
      </c>
      <c r="AB526" s="136"/>
      <c r="AC526" s="136"/>
      <c r="AD526" s="136" t="str">
        <f>tbl_IO_List[[#This Row],[I/O Type]]</f>
        <v>AI</v>
      </c>
      <c r="AE526" s="136" t="s">
        <v>1334</v>
      </c>
      <c r="AF526" s="136">
        <v>6</v>
      </c>
      <c r="AG526" s="136">
        <v>7</v>
      </c>
      <c r="AH526" s="136"/>
      <c r="AI526" s="136"/>
      <c r="AJ526" s="136">
        <v>0</v>
      </c>
      <c r="AK526" s="136">
        <v>0</v>
      </c>
      <c r="AL526" s="136">
        <v>1</v>
      </c>
      <c r="AM526" s="136">
        <v>0</v>
      </c>
      <c r="AN526" s="136">
        <v>0</v>
      </c>
      <c r="AO526" s="136"/>
      <c r="AP526" s="143" t="str">
        <f>VLOOKUP(tbl_IO_List[[#This Row],[Instruement Tag]],tbl_Instruement_List[],14,FALSE)</f>
        <v>4 - 20 mA</v>
      </c>
      <c r="AQ526" s="143" t="str">
        <f>tbl_IO_List[[#This Row],[Chassis]]&amp;"S"&amp;tbl_IO_List[[#This Row],[Slot]]&amp;"-"&amp;tbl_IO_List[[#This Row],[Front Terminal Number]]</f>
        <v>C3S6-</v>
      </c>
      <c r="AR526" s="143"/>
      <c r="AS526" s="136" t="str">
        <f>tbl_IO_List[[#This Row],[Terminal Tagging]]&amp;"-"&amp;tbl_IO_List[[#This Row],[Point-Count]]</f>
        <v>-</v>
      </c>
      <c r="AT526" s="136" t="str">
        <f>tbl_IO_List[[#This Row],[Front Terminal Tagging]]&amp;"/"&amp;tbl_IO_List[[#This Row],[Terminal Tagging-Item]]</f>
        <v>C3S6-/-</v>
      </c>
      <c r="AU526" s="136" t="str">
        <f>tbl_IO_List[[#This Row],[Terminal Tagging-Item]]&amp;"/"&amp;tbl_IO_List[[#This Row],[Front Terminal Tagging]]</f>
        <v>-/C3S6-</v>
      </c>
    </row>
    <row r="527" spans="1:47" hidden="1">
      <c r="A527" s="147" t="s">
        <v>1367</v>
      </c>
      <c r="B527" s="136" t="s">
        <v>221</v>
      </c>
      <c r="C527" s="136" t="str">
        <f>tbl_IO_List[[#This Row],[Column3]]</f>
        <v>C3S06,08</v>
      </c>
      <c r="D527" s="136" t="str">
        <f>tbl_IO_List[[#This Row],[Card]]</f>
        <v>1756-N2-8</v>
      </c>
      <c r="E527" s="136" t="s">
        <v>1366</v>
      </c>
      <c r="F527" s="136" t="str">
        <f>tbl_IO_List[[#This Row],[Column23]]&amp;"-" &amp;tbl_IO_List[[#This Row],[Column52]]</f>
        <v>C3S06-X1</v>
      </c>
      <c r="G527" s="136" t="str">
        <f>tbl_IO_List[[#This Row],[PLC_Tag]]</f>
        <v>VT-60241B_AI_1</v>
      </c>
      <c r="H527" s="136"/>
      <c r="I527" s="136" t="str">
        <f>VLOOKUP(tbl_IO_List[[#This Row],[Destination]],tbl_Junction[],2,FALSE)</f>
        <v>Spray Dryer 3rd Floor</v>
      </c>
      <c r="J527" s="136" t="s">
        <v>221</v>
      </c>
      <c r="K527" s="136" t="s">
        <v>14</v>
      </c>
      <c r="L527" s="136" t="s">
        <v>255</v>
      </c>
      <c r="M527" s="136">
        <f>VLOOKUP(tbl_IO_List[[#This Row],[Instruement Tag]],tbl_Instruement_List[],2,FALSE)</f>
        <v>0</v>
      </c>
      <c r="N527" s="136" t="s">
        <v>47</v>
      </c>
      <c r="O527" s="136" t="s">
        <v>21</v>
      </c>
      <c r="P527" s="136" t="s">
        <v>22</v>
      </c>
      <c r="Q527" s="136" t="str">
        <f>VLOOKUP(tbl_IO_List[[#This Row],[Instruement Tag]],tbl_Instruement_List[],6,FALSE)</f>
        <v xml:space="preserve"> Vibration Transmitter for Main Exhaust Air Fan (FANE-21)</v>
      </c>
      <c r="R527" s="136"/>
      <c r="S52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27" s="136" t="str">
        <f>tbl_IO_List[[#This Row],[Instruement Tag]]&amp;"_"&amp;tbl_IO_List[[#This Row],[I/O Type]]&amp;"_"&amp;tbl_IO_List[[#This Row],[IO-Point 
(Instruement)]]</f>
        <v>VT-60241B_AI_1</v>
      </c>
      <c r="U527" s="136" t="s">
        <v>10</v>
      </c>
      <c r="V527" s="136">
        <f>VLOOKUP(tbl_IO_List[[#This Row],[I/O Type]],tbl_Slot_Group[],2,FALSE)</f>
        <v>3</v>
      </c>
      <c r="W527" s="136">
        <v>1</v>
      </c>
      <c r="X527" s="136" t="str">
        <f>tbl_IO_List[[#This Row],[Chassis]]&amp;"S"&amp;TEXT(tbl_IO_List[[#This Row],[Slot]],"00")</f>
        <v>C3S06</v>
      </c>
      <c r="Y527" s="136" t="str">
        <f>tbl_IO_List[[#This Row],[Chassis]]&amp;"S"&amp;TEXT(tbl_IO_List[[#This Row],[Slot]],"00")&amp;tbl_IO_List[[#This Row],[I/O Type]]&amp;TEXT(tbl_IO_List[[#This Row],[Point]],"00")</f>
        <v>C3S06AI08</v>
      </c>
      <c r="Z527" s="136" t="str">
        <f>tbl_IO_List[[#This Row],[Chassis]]&amp;"S"&amp;TEXT(tbl_IO_List[[#This Row],[Slot]],"00")&amp;","&amp;TEXT(tbl_IO_List[[#This Row],[Point]],"00")</f>
        <v>C3S06,08</v>
      </c>
      <c r="AA527" s="136" t="str">
        <f>VLOOKUP(tbl_IO_List[[#This Row],[Column23]],tbl_RackConfig[],5,FALSE) &amp;"-"&amp;tbl_IO_List[[#This Row],[Point]]</f>
        <v>1756-N2-8</v>
      </c>
      <c r="AB527" s="136"/>
      <c r="AC527" s="136"/>
      <c r="AD527" s="136" t="str">
        <f>tbl_IO_List[[#This Row],[I/O Type]]</f>
        <v>AI</v>
      </c>
      <c r="AE527" s="136" t="s">
        <v>1334</v>
      </c>
      <c r="AF527" s="136">
        <v>6</v>
      </c>
      <c r="AG527" s="136">
        <v>8</v>
      </c>
      <c r="AH527" s="136"/>
      <c r="AI527" s="136"/>
      <c r="AJ527" s="136">
        <v>0</v>
      </c>
      <c r="AK527" s="136">
        <v>0</v>
      </c>
      <c r="AL527" s="136">
        <v>1</v>
      </c>
      <c r="AM527" s="136">
        <v>0</v>
      </c>
      <c r="AN527" s="136">
        <v>0</v>
      </c>
      <c r="AO527" s="136"/>
      <c r="AP527" s="143" t="str">
        <f>VLOOKUP(tbl_IO_List[[#This Row],[Instruement Tag]],tbl_Instruement_List[],14,FALSE)</f>
        <v>4 - 20 mA</v>
      </c>
      <c r="AQ527" s="143" t="str">
        <f>tbl_IO_List[[#This Row],[Chassis]]&amp;"S"&amp;tbl_IO_List[[#This Row],[Slot]]&amp;"-"&amp;tbl_IO_List[[#This Row],[Front Terminal Number]]</f>
        <v>C3S6-</v>
      </c>
      <c r="AR527" s="143"/>
      <c r="AS527" s="136" t="str">
        <f>tbl_IO_List[[#This Row],[Terminal Tagging]]&amp;"-"&amp;tbl_IO_List[[#This Row],[Point-Count]]</f>
        <v>-</v>
      </c>
      <c r="AT527" s="136" t="str">
        <f>tbl_IO_List[[#This Row],[Front Terminal Tagging]]&amp;"/"&amp;tbl_IO_List[[#This Row],[Terminal Tagging-Item]]</f>
        <v>C3S6-/-</v>
      </c>
      <c r="AU527" s="136" t="str">
        <f>tbl_IO_List[[#This Row],[Terminal Tagging-Item]]&amp;"/"&amp;tbl_IO_List[[#This Row],[Front Terminal Tagging]]</f>
        <v>-/C3S6-</v>
      </c>
    </row>
    <row r="528" spans="1:47" hidden="1">
      <c r="A528" s="147" t="s">
        <v>1367</v>
      </c>
      <c r="B528" s="136" t="s">
        <v>221</v>
      </c>
      <c r="C528" s="136" t="str">
        <f>tbl_IO_List[[#This Row],[Column3]]</f>
        <v>C3S06,09</v>
      </c>
      <c r="D528" s="136" t="str">
        <f>tbl_IO_List[[#This Row],[Card]]</f>
        <v>1756-N2-9</v>
      </c>
      <c r="E528" s="136" t="s">
        <v>1366</v>
      </c>
      <c r="F528" s="136" t="str">
        <f>tbl_IO_List[[#This Row],[Column23]]&amp;"-" &amp;tbl_IO_List[[#This Row],[Column52]]</f>
        <v>C3S06-X1</v>
      </c>
      <c r="G528" s="136" t="str">
        <f>tbl_IO_List[[#This Row],[PLC_Tag]]</f>
        <v>FT-60210_AI_1</v>
      </c>
      <c r="H528" s="136"/>
      <c r="I528" s="136" t="str">
        <f>VLOOKUP(tbl_IO_List[[#This Row],[Destination]],tbl_Junction[],2,FALSE)</f>
        <v>Spray Dryer 3rd Floor</v>
      </c>
      <c r="J528" s="136" t="s">
        <v>221</v>
      </c>
      <c r="K528" s="136" t="s">
        <v>14</v>
      </c>
      <c r="L528" s="136" t="s">
        <v>223</v>
      </c>
      <c r="M528" s="136">
        <f>VLOOKUP(tbl_IO_List[[#This Row],[Instruement Tag]],tbl_Instruement_List[],2,FALSE)</f>
        <v>0</v>
      </c>
      <c r="N528" s="136" t="s">
        <v>47</v>
      </c>
      <c r="O528" s="136" t="s">
        <v>50</v>
      </c>
      <c r="P528" s="136" t="s">
        <v>51</v>
      </c>
      <c r="Q528" s="136" t="str">
        <f>VLOOKUP(tbl_IO_List[[#This Row],[Instruement Tag]],tbl_Instruement_List[],6,FALSE)</f>
        <v>Gas Flow Element for Dryer Hot Air Duct (DTHA-21B)</v>
      </c>
      <c r="R528" s="136"/>
      <c r="S52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0,DO=0,AI=2,AO=0,Bus=0</v>
      </c>
      <c r="T528" s="136" t="str">
        <f>tbl_IO_List[[#This Row],[Instruement Tag]]&amp;"_"&amp;tbl_IO_List[[#This Row],[I/O Type]]&amp;"_"&amp;tbl_IO_List[[#This Row],[IO-Point 
(Instruement)]]</f>
        <v>FT-60210_AI_1</v>
      </c>
      <c r="U528" s="136" t="s">
        <v>10</v>
      </c>
      <c r="V528" s="136">
        <f>VLOOKUP(tbl_IO_List[[#This Row],[I/O Type]],tbl_Slot_Group[],2,FALSE)</f>
        <v>3</v>
      </c>
      <c r="W528" s="136">
        <v>1</v>
      </c>
      <c r="X528" s="136" t="str">
        <f>tbl_IO_List[[#This Row],[Chassis]]&amp;"S"&amp;TEXT(tbl_IO_List[[#This Row],[Slot]],"00")</f>
        <v>C3S06</v>
      </c>
      <c r="Y528" s="136" t="str">
        <f>tbl_IO_List[[#This Row],[Chassis]]&amp;"S"&amp;TEXT(tbl_IO_List[[#This Row],[Slot]],"00")&amp;tbl_IO_List[[#This Row],[I/O Type]]&amp;TEXT(tbl_IO_List[[#This Row],[Point]],"00")</f>
        <v>C3S06AI09</v>
      </c>
      <c r="Z528" s="136" t="str">
        <f>tbl_IO_List[[#This Row],[Chassis]]&amp;"S"&amp;TEXT(tbl_IO_List[[#This Row],[Slot]],"00")&amp;","&amp;TEXT(tbl_IO_List[[#This Row],[Point]],"00")</f>
        <v>C3S06,09</v>
      </c>
      <c r="AA528" s="136" t="str">
        <f>VLOOKUP(tbl_IO_List[[#This Row],[Column23]],tbl_RackConfig[],5,FALSE) &amp;"-"&amp;tbl_IO_List[[#This Row],[Point]]</f>
        <v>1756-N2-9</v>
      </c>
      <c r="AB528" s="136"/>
      <c r="AC528" s="136"/>
      <c r="AD528" s="136" t="str">
        <f>tbl_IO_List[[#This Row],[I/O Type]]</f>
        <v>AI</v>
      </c>
      <c r="AE528" s="136" t="s">
        <v>1334</v>
      </c>
      <c r="AF528" s="136">
        <v>6</v>
      </c>
      <c r="AG528" s="136">
        <v>9</v>
      </c>
      <c r="AH528" s="136"/>
      <c r="AI528" s="136"/>
      <c r="AJ528" s="136">
        <v>0</v>
      </c>
      <c r="AK528" s="136">
        <v>0</v>
      </c>
      <c r="AL528" s="136">
        <v>2</v>
      </c>
      <c r="AM528" s="136">
        <v>0</v>
      </c>
      <c r="AN528" s="136">
        <v>0</v>
      </c>
      <c r="AO528" s="136"/>
      <c r="AP528" s="143" t="str">
        <f>VLOOKUP(tbl_IO_List[[#This Row],[Instruement Tag]],tbl_Instruement_List[],14,FALSE)</f>
        <v>4 - 20 mA</v>
      </c>
      <c r="AQ528" s="143" t="str">
        <f>tbl_IO_List[[#This Row],[Chassis]]&amp;"S"&amp;tbl_IO_List[[#This Row],[Slot]]&amp;"-"&amp;tbl_IO_List[[#This Row],[Front Terminal Number]]</f>
        <v>C3S6-</v>
      </c>
      <c r="AR528" s="143"/>
      <c r="AS528" s="136" t="str">
        <f>tbl_IO_List[[#This Row],[Terminal Tagging]]&amp;"-"&amp;tbl_IO_List[[#This Row],[Point-Count]]</f>
        <v>-</v>
      </c>
      <c r="AT528" s="136" t="str">
        <f>tbl_IO_List[[#This Row],[Front Terminal Tagging]]&amp;"/"&amp;tbl_IO_List[[#This Row],[Terminal Tagging-Item]]</f>
        <v>C3S6-/-</v>
      </c>
      <c r="AU528" s="136" t="str">
        <f>tbl_IO_List[[#This Row],[Terminal Tagging-Item]]&amp;"/"&amp;tbl_IO_List[[#This Row],[Front Terminal Tagging]]</f>
        <v>-/C3S6-</v>
      </c>
    </row>
    <row r="529" spans="1:47" hidden="1">
      <c r="A529" s="147" t="s">
        <v>1367</v>
      </c>
      <c r="B529" s="136" t="s">
        <v>221</v>
      </c>
      <c r="C529" s="136" t="str">
        <f>tbl_IO_List[[#This Row],[Column3]]</f>
        <v>C3S06,10</v>
      </c>
      <c r="D529" s="136" t="str">
        <f>tbl_IO_List[[#This Row],[Card]]</f>
        <v>1756-N2-10</v>
      </c>
      <c r="E529" s="136" t="s">
        <v>1366</v>
      </c>
      <c r="F529" s="136" t="str">
        <f>tbl_IO_List[[#This Row],[Column23]]&amp;"-" &amp;tbl_IO_List[[#This Row],[Column52]]</f>
        <v>C3S06-X1</v>
      </c>
      <c r="G529" s="136" t="str">
        <f>tbl_IO_List[[#This Row],[PLC_Tag]]</f>
        <v>FT-60211_AI_1</v>
      </c>
      <c r="H529" s="136"/>
      <c r="I529" s="136" t="str">
        <f>VLOOKUP(tbl_IO_List[[#This Row],[Destination]],tbl_Junction[],2,FALSE)</f>
        <v>Spray Dryer 3rd Floor</v>
      </c>
      <c r="J529" s="136" t="s">
        <v>221</v>
      </c>
      <c r="K529" s="136" t="s">
        <v>14</v>
      </c>
      <c r="L529" s="136" t="s">
        <v>224</v>
      </c>
      <c r="M529" s="136">
        <f>VLOOKUP(tbl_IO_List[[#This Row],[Instruement Tag]],tbl_Instruement_List[],2,FALSE)</f>
        <v>0</v>
      </c>
      <c r="N529" s="136" t="s">
        <v>47</v>
      </c>
      <c r="O529" s="136" t="s">
        <v>50</v>
      </c>
      <c r="P529" s="136" t="s">
        <v>51</v>
      </c>
      <c r="Q529" s="136" t="str">
        <f>VLOOKUP(tbl_IO_List[[#This Row],[Instruement Tag]],tbl_Instruement_List[],6,FALSE)</f>
        <v>Gas Flow Element for Dryer Hot Air Duct (DTHA-21A)</v>
      </c>
      <c r="R529" s="136"/>
      <c r="S52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0,DO=0,AI=2,AO=0,Bus=0</v>
      </c>
      <c r="T529" s="136" t="str">
        <f>tbl_IO_List[[#This Row],[Instruement Tag]]&amp;"_"&amp;tbl_IO_List[[#This Row],[I/O Type]]&amp;"_"&amp;tbl_IO_List[[#This Row],[IO-Point 
(Instruement)]]</f>
        <v>FT-60211_AI_1</v>
      </c>
      <c r="U529" s="136" t="s">
        <v>10</v>
      </c>
      <c r="V529" s="136">
        <f>VLOOKUP(tbl_IO_List[[#This Row],[I/O Type]],tbl_Slot_Group[],2,FALSE)</f>
        <v>3</v>
      </c>
      <c r="W529" s="136">
        <v>1</v>
      </c>
      <c r="X529" s="136" t="str">
        <f>tbl_IO_List[[#This Row],[Chassis]]&amp;"S"&amp;TEXT(tbl_IO_List[[#This Row],[Slot]],"00")</f>
        <v>C3S06</v>
      </c>
      <c r="Y529" s="136" t="str">
        <f>tbl_IO_List[[#This Row],[Chassis]]&amp;"S"&amp;TEXT(tbl_IO_List[[#This Row],[Slot]],"00")&amp;tbl_IO_List[[#This Row],[I/O Type]]&amp;TEXT(tbl_IO_List[[#This Row],[Point]],"00")</f>
        <v>C3S06AI10</v>
      </c>
      <c r="Z529" s="136" t="str">
        <f>tbl_IO_List[[#This Row],[Chassis]]&amp;"S"&amp;TEXT(tbl_IO_List[[#This Row],[Slot]],"00")&amp;","&amp;TEXT(tbl_IO_List[[#This Row],[Point]],"00")</f>
        <v>C3S06,10</v>
      </c>
      <c r="AA529" s="136" t="str">
        <f>VLOOKUP(tbl_IO_List[[#This Row],[Column23]],tbl_RackConfig[],5,FALSE) &amp;"-"&amp;tbl_IO_List[[#This Row],[Point]]</f>
        <v>1756-N2-10</v>
      </c>
      <c r="AB529" s="136"/>
      <c r="AC529" s="136"/>
      <c r="AD529" s="136" t="str">
        <f>tbl_IO_List[[#This Row],[I/O Type]]</f>
        <v>AI</v>
      </c>
      <c r="AE529" s="136" t="s">
        <v>1334</v>
      </c>
      <c r="AF529" s="136">
        <v>6</v>
      </c>
      <c r="AG529" s="136">
        <v>10</v>
      </c>
      <c r="AH529" s="136"/>
      <c r="AI529" s="136"/>
      <c r="AJ529" s="136">
        <v>0</v>
      </c>
      <c r="AK529" s="136">
        <v>0</v>
      </c>
      <c r="AL529" s="136">
        <v>2</v>
      </c>
      <c r="AM529" s="136">
        <v>0</v>
      </c>
      <c r="AN529" s="136">
        <v>0</v>
      </c>
      <c r="AO529" s="136"/>
      <c r="AP529" s="143" t="str">
        <f>VLOOKUP(tbl_IO_List[[#This Row],[Instruement Tag]],tbl_Instruement_List[],14,FALSE)</f>
        <v>4 - 20 mA</v>
      </c>
      <c r="AQ529" s="143" t="str">
        <f>tbl_IO_List[[#This Row],[Chassis]]&amp;"S"&amp;tbl_IO_List[[#This Row],[Slot]]&amp;"-"&amp;tbl_IO_List[[#This Row],[Front Terminal Number]]</f>
        <v>C3S6-</v>
      </c>
      <c r="AR529" s="143"/>
      <c r="AS529" s="136" t="str">
        <f>tbl_IO_List[[#This Row],[Terminal Tagging]]&amp;"-"&amp;tbl_IO_List[[#This Row],[Point-Count]]</f>
        <v>-</v>
      </c>
      <c r="AT529" s="136" t="str">
        <f>tbl_IO_List[[#This Row],[Front Terminal Tagging]]&amp;"/"&amp;tbl_IO_List[[#This Row],[Terminal Tagging-Item]]</f>
        <v>C3S6-/-</v>
      </c>
      <c r="AU529" s="136" t="str">
        <f>tbl_IO_List[[#This Row],[Terminal Tagging-Item]]&amp;"/"&amp;tbl_IO_List[[#This Row],[Front Terminal Tagging]]</f>
        <v>-/C3S6-</v>
      </c>
    </row>
    <row r="530" spans="1:47" hidden="1">
      <c r="A530" s="147" t="s">
        <v>1367</v>
      </c>
      <c r="B530" s="136" t="s">
        <v>221</v>
      </c>
      <c r="C530" s="136" t="str">
        <f>tbl_IO_List[[#This Row],[Column3]]</f>
        <v>C3S06,11</v>
      </c>
      <c r="D530" s="136" t="str">
        <f>tbl_IO_List[[#This Row],[Card]]</f>
        <v>1756-N2-11</v>
      </c>
      <c r="E530" s="136" t="s">
        <v>1366</v>
      </c>
      <c r="F530" s="136" t="str">
        <f>tbl_IO_List[[#This Row],[Column23]]&amp;"-" &amp;tbl_IO_List[[#This Row],[Column52]]</f>
        <v>C3S06-X1</v>
      </c>
      <c r="G530" s="136" t="str">
        <f>tbl_IO_List[[#This Row],[PLC_Tag]]</f>
        <v>FT-60210_AI_2</v>
      </c>
      <c r="H530" s="136"/>
      <c r="I530" s="136" t="str">
        <f>VLOOKUP(tbl_IO_List[[#This Row],[Destination]],tbl_Junction[],2,FALSE)</f>
        <v>Spray Dryer 3rd Floor</v>
      </c>
      <c r="J530" s="136" t="s">
        <v>221</v>
      </c>
      <c r="K530" s="136" t="s">
        <v>14</v>
      </c>
      <c r="L530" s="136" t="s">
        <v>223</v>
      </c>
      <c r="M530" s="136">
        <f>VLOOKUP(tbl_IO_List[[#This Row],[Instruement Tag]],tbl_Instruement_List[],2,FALSE)</f>
        <v>0</v>
      </c>
      <c r="N530" s="136" t="s">
        <v>47</v>
      </c>
      <c r="O530" s="136" t="s">
        <v>50</v>
      </c>
      <c r="P530" s="136" t="s">
        <v>51</v>
      </c>
      <c r="Q530" s="136" t="str">
        <f>VLOOKUP(tbl_IO_List[[#This Row],[Instruement Tag]],tbl_Instruement_List[],6,FALSE)</f>
        <v>Gas Flow Element for Dryer Hot Air Duct (DTHA-21B)</v>
      </c>
      <c r="R530" s="136"/>
      <c r="S53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0,DO=0,AI=2,AO=0,Bus=0</v>
      </c>
      <c r="T530" s="136" t="str">
        <f>tbl_IO_List[[#This Row],[Instruement Tag]]&amp;"_"&amp;tbl_IO_List[[#This Row],[I/O Type]]&amp;"_"&amp;tbl_IO_List[[#This Row],[IO-Point 
(Instruement)]]</f>
        <v>FT-60210_AI_2</v>
      </c>
      <c r="U530" s="136" t="s">
        <v>10</v>
      </c>
      <c r="V530" s="136">
        <f>VLOOKUP(tbl_IO_List[[#This Row],[I/O Type]],tbl_Slot_Group[],2,FALSE)</f>
        <v>3</v>
      </c>
      <c r="W530" s="136">
        <v>2</v>
      </c>
      <c r="X530" s="136" t="str">
        <f>tbl_IO_List[[#This Row],[Chassis]]&amp;"S"&amp;TEXT(tbl_IO_List[[#This Row],[Slot]],"00")</f>
        <v>C3S06</v>
      </c>
      <c r="Y530" s="136" t="str">
        <f>tbl_IO_List[[#This Row],[Chassis]]&amp;"S"&amp;TEXT(tbl_IO_List[[#This Row],[Slot]],"00")&amp;tbl_IO_List[[#This Row],[I/O Type]]&amp;TEXT(tbl_IO_List[[#This Row],[Point]],"00")</f>
        <v>C3S06AI11</v>
      </c>
      <c r="Z530" s="136" t="str">
        <f>tbl_IO_List[[#This Row],[Chassis]]&amp;"S"&amp;TEXT(tbl_IO_List[[#This Row],[Slot]],"00")&amp;","&amp;TEXT(tbl_IO_List[[#This Row],[Point]],"00")</f>
        <v>C3S06,11</v>
      </c>
      <c r="AA530" s="136" t="str">
        <f>VLOOKUP(tbl_IO_List[[#This Row],[Column23]],tbl_RackConfig[],5,FALSE) &amp;"-"&amp;tbl_IO_List[[#This Row],[Point]]</f>
        <v>1756-N2-11</v>
      </c>
      <c r="AB530" s="136"/>
      <c r="AC530" s="136"/>
      <c r="AD530" s="136" t="str">
        <f>tbl_IO_List[[#This Row],[I/O Type]]</f>
        <v>AI</v>
      </c>
      <c r="AE530" s="136" t="s">
        <v>1334</v>
      </c>
      <c r="AF530" s="136">
        <v>6</v>
      </c>
      <c r="AG530" s="136">
        <v>11</v>
      </c>
      <c r="AH530" s="136"/>
      <c r="AI530" s="136"/>
      <c r="AJ530" s="136">
        <v>0</v>
      </c>
      <c r="AK530" s="136">
        <v>0</v>
      </c>
      <c r="AL530" s="136">
        <v>2</v>
      </c>
      <c r="AM530" s="136">
        <v>0</v>
      </c>
      <c r="AN530" s="136">
        <v>0</v>
      </c>
      <c r="AO530" s="136"/>
      <c r="AP530" s="143" t="str">
        <f>VLOOKUP(tbl_IO_List[[#This Row],[Instruement Tag]],tbl_Instruement_List[],14,FALSE)</f>
        <v>4 - 20 mA</v>
      </c>
      <c r="AQ530" s="143" t="str">
        <f>tbl_IO_List[[#This Row],[Chassis]]&amp;"S"&amp;tbl_IO_List[[#This Row],[Slot]]&amp;"-"&amp;tbl_IO_List[[#This Row],[Front Terminal Number]]</f>
        <v>C3S6-</v>
      </c>
      <c r="AR530" s="143"/>
      <c r="AS530" s="136" t="str">
        <f>tbl_IO_List[[#This Row],[Terminal Tagging]]&amp;"-"&amp;tbl_IO_List[[#This Row],[Point-Count]]</f>
        <v>-</v>
      </c>
      <c r="AT530" s="136" t="str">
        <f>tbl_IO_List[[#This Row],[Front Terminal Tagging]]&amp;"/"&amp;tbl_IO_List[[#This Row],[Terminal Tagging-Item]]</f>
        <v>C3S6-/-</v>
      </c>
      <c r="AU530" s="136" t="str">
        <f>tbl_IO_List[[#This Row],[Terminal Tagging-Item]]&amp;"/"&amp;tbl_IO_List[[#This Row],[Front Terminal Tagging]]</f>
        <v>-/C3S6-</v>
      </c>
    </row>
    <row r="531" spans="1:47" hidden="1">
      <c r="A531" s="147" t="s">
        <v>1367</v>
      </c>
      <c r="B531" s="136" t="s">
        <v>221</v>
      </c>
      <c r="C531" s="136" t="str">
        <f>tbl_IO_List[[#This Row],[Column3]]</f>
        <v>C3S06,12</v>
      </c>
      <c r="D531" s="136" t="str">
        <f>tbl_IO_List[[#This Row],[Card]]</f>
        <v>1756-N2-12</v>
      </c>
      <c r="E531" s="136" t="s">
        <v>1366</v>
      </c>
      <c r="F531" s="136" t="str">
        <f>tbl_IO_List[[#This Row],[Column23]]&amp;"-" &amp;tbl_IO_List[[#This Row],[Column52]]</f>
        <v>C3S06-X1</v>
      </c>
      <c r="G531" s="136" t="str">
        <f>tbl_IO_List[[#This Row],[PLC_Tag]]</f>
        <v>FT-60211_AI_2</v>
      </c>
      <c r="H531" s="136"/>
      <c r="I531" s="136" t="str">
        <f>VLOOKUP(tbl_IO_List[[#This Row],[Destination]],tbl_Junction[],2,FALSE)</f>
        <v>Spray Dryer 3rd Floor</v>
      </c>
      <c r="J531" s="136" t="s">
        <v>221</v>
      </c>
      <c r="K531" s="136" t="s">
        <v>14</v>
      </c>
      <c r="L531" s="136" t="s">
        <v>224</v>
      </c>
      <c r="M531" s="136">
        <f>VLOOKUP(tbl_IO_List[[#This Row],[Instruement Tag]],tbl_Instruement_List[],2,FALSE)</f>
        <v>0</v>
      </c>
      <c r="N531" s="136" t="s">
        <v>47</v>
      </c>
      <c r="O531" s="136" t="s">
        <v>50</v>
      </c>
      <c r="P531" s="136" t="s">
        <v>51</v>
      </c>
      <c r="Q531" s="136" t="str">
        <f>VLOOKUP(tbl_IO_List[[#This Row],[Instruement Tag]],tbl_Instruement_List[],6,FALSE)</f>
        <v>Gas Flow Element for Dryer Hot Air Duct (DTHA-21A)</v>
      </c>
      <c r="R531" s="136"/>
      <c r="S53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0,DO=0,AI=2,AO=0,Bus=0</v>
      </c>
      <c r="T531" s="136" t="str">
        <f>tbl_IO_List[[#This Row],[Instruement Tag]]&amp;"_"&amp;tbl_IO_List[[#This Row],[I/O Type]]&amp;"_"&amp;tbl_IO_List[[#This Row],[IO-Point 
(Instruement)]]</f>
        <v>FT-60211_AI_2</v>
      </c>
      <c r="U531" s="136" t="s">
        <v>10</v>
      </c>
      <c r="V531" s="136">
        <f>VLOOKUP(tbl_IO_List[[#This Row],[I/O Type]],tbl_Slot_Group[],2,FALSE)</f>
        <v>3</v>
      </c>
      <c r="W531" s="136">
        <v>2</v>
      </c>
      <c r="X531" s="136" t="str">
        <f>tbl_IO_List[[#This Row],[Chassis]]&amp;"S"&amp;TEXT(tbl_IO_List[[#This Row],[Slot]],"00")</f>
        <v>C3S06</v>
      </c>
      <c r="Y531" s="136" t="str">
        <f>tbl_IO_List[[#This Row],[Chassis]]&amp;"S"&amp;TEXT(tbl_IO_List[[#This Row],[Slot]],"00")&amp;tbl_IO_List[[#This Row],[I/O Type]]&amp;TEXT(tbl_IO_List[[#This Row],[Point]],"00")</f>
        <v>C3S06AI12</v>
      </c>
      <c r="Z531" s="136" t="str">
        <f>tbl_IO_List[[#This Row],[Chassis]]&amp;"S"&amp;TEXT(tbl_IO_List[[#This Row],[Slot]],"00")&amp;","&amp;TEXT(tbl_IO_List[[#This Row],[Point]],"00")</f>
        <v>C3S06,12</v>
      </c>
      <c r="AA531" s="136" t="str">
        <f>VLOOKUP(tbl_IO_List[[#This Row],[Column23]],tbl_RackConfig[],5,FALSE) &amp;"-"&amp;tbl_IO_List[[#This Row],[Point]]</f>
        <v>1756-N2-12</v>
      </c>
      <c r="AB531" s="136"/>
      <c r="AC531" s="136"/>
      <c r="AD531" s="136" t="str">
        <f>tbl_IO_List[[#This Row],[I/O Type]]</f>
        <v>AI</v>
      </c>
      <c r="AE531" s="136" t="s">
        <v>1334</v>
      </c>
      <c r="AF531" s="136">
        <v>6</v>
      </c>
      <c r="AG531" s="136">
        <v>12</v>
      </c>
      <c r="AH531" s="136"/>
      <c r="AI531" s="136"/>
      <c r="AJ531" s="136">
        <v>0</v>
      </c>
      <c r="AK531" s="136">
        <v>0</v>
      </c>
      <c r="AL531" s="136">
        <v>2</v>
      </c>
      <c r="AM531" s="136">
        <v>0</v>
      </c>
      <c r="AN531" s="136">
        <v>0</v>
      </c>
      <c r="AO531" s="136"/>
      <c r="AP531" s="143" t="str">
        <f>VLOOKUP(tbl_IO_List[[#This Row],[Instruement Tag]],tbl_Instruement_List[],14,FALSE)</f>
        <v>4 - 20 mA</v>
      </c>
      <c r="AQ531" s="143" t="str">
        <f>tbl_IO_List[[#This Row],[Chassis]]&amp;"S"&amp;tbl_IO_List[[#This Row],[Slot]]&amp;"-"&amp;tbl_IO_List[[#This Row],[Front Terminal Number]]</f>
        <v>C3S6-</v>
      </c>
      <c r="AR531" s="143"/>
      <c r="AS531" s="136" t="str">
        <f>tbl_IO_List[[#This Row],[Terminal Tagging]]&amp;"-"&amp;tbl_IO_List[[#This Row],[Point-Count]]</f>
        <v>-</v>
      </c>
      <c r="AT531" s="136" t="str">
        <f>tbl_IO_List[[#This Row],[Front Terminal Tagging]]&amp;"/"&amp;tbl_IO_List[[#This Row],[Terminal Tagging-Item]]</f>
        <v>C3S6-/-</v>
      </c>
      <c r="AU531" s="136" t="str">
        <f>tbl_IO_List[[#This Row],[Terminal Tagging-Item]]&amp;"/"&amp;tbl_IO_List[[#This Row],[Front Terminal Tagging]]</f>
        <v>-/C3S6-</v>
      </c>
    </row>
    <row r="532" spans="1:47" hidden="1">
      <c r="A532" s="147" t="s">
        <v>1367</v>
      </c>
      <c r="B532" s="136" t="s">
        <v>221</v>
      </c>
      <c r="C532" s="136" t="str">
        <f>tbl_IO_List[[#This Row],[Column3]]</f>
        <v>C3S06,13</v>
      </c>
      <c r="D532" s="136" t="str">
        <f>tbl_IO_List[[#This Row],[Card]]</f>
        <v>1756-N2-13</v>
      </c>
      <c r="E532" s="136" t="s">
        <v>1366</v>
      </c>
      <c r="F532" s="136" t="str">
        <f>tbl_IO_List[[#This Row],[Column23]]&amp;"-" &amp;tbl_IO_List[[#This Row],[Column52]]</f>
        <v>C3S06-X1</v>
      </c>
      <c r="G532" s="136" t="str">
        <f>tbl_IO_List[[#This Row],[PLC_Tag]]</f>
        <v>Spare_AI_0</v>
      </c>
      <c r="H532" s="136"/>
      <c r="I532" s="136" t="str">
        <f>VLOOKUP(tbl_IO_List[[#This Row],[Destination]],tbl_Junction[],2,FALSE)</f>
        <v>Spray Dryer 3rd Floor</v>
      </c>
      <c r="J532" s="136"/>
      <c r="K532" s="136"/>
      <c r="L532" s="136" t="s">
        <v>411</v>
      </c>
      <c r="M532" s="136" t="e">
        <f>VLOOKUP(tbl_IO_List[[#This Row],[Instruement Tag]],tbl_Instruement_List[],2,FALSE)</f>
        <v>#N/A</v>
      </c>
      <c r="N532" s="136"/>
      <c r="O532" s="136"/>
      <c r="P532" s="136"/>
      <c r="Q532" s="136" t="e">
        <f>VLOOKUP(tbl_IO_List[[#This Row],[Instruement Tag]],tbl_Instruement_List[],6,FALSE)</f>
        <v>#N/A</v>
      </c>
      <c r="R532" s="136"/>
      <c r="S53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32" s="136" t="str">
        <f>tbl_IO_List[[#This Row],[Instruement Tag]]&amp;"_"&amp;tbl_IO_List[[#This Row],[I/O Type]]&amp;"_"&amp;tbl_IO_List[[#This Row],[IO-Point 
(Instruement)]]</f>
        <v>Spare_AI_0</v>
      </c>
      <c r="U532" s="136" t="s">
        <v>10</v>
      </c>
      <c r="V532" s="136">
        <f>VLOOKUP(tbl_IO_List[[#This Row],[I/O Type]],tbl_Slot_Group[],2,FALSE)</f>
        <v>3</v>
      </c>
      <c r="W532" s="136">
        <v>0</v>
      </c>
      <c r="X532" s="136" t="str">
        <f>tbl_IO_List[[#This Row],[Chassis]]&amp;"S"&amp;TEXT(tbl_IO_List[[#This Row],[Slot]],"00")</f>
        <v>C3S06</v>
      </c>
      <c r="Y532" s="136" t="str">
        <f>tbl_IO_List[[#This Row],[Chassis]]&amp;"S"&amp;TEXT(tbl_IO_List[[#This Row],[Slot]],"00")&amp;tbl_IO_List[[#This Row],[I/O Type]]&amp;TEXT(tbl_IO_List[[#This Row],[Point]],"00")</f>
        <v>C3S06AI13</v>
      </c>
      <c r="Z532" s="136" t="str">
        <f>tbl_IO_List[[#This Row],[Chassis]]&amp;"S"&amp;TEXT(tbl_IO_List[[#This Row],[Slot]],"00")&amp;","&amp;TEXT(tbl_IO_List[[#This Row],[Point]],"00")</f>
        <v>C3S06,13</v>
      </c>
      <c r="AA532" s="136" t="str">
        <f>VLOOKUP(tbl_IO_List[[#This Row],[Column23]],tbl_RackConfig[],5,FALSE) &amp;"-"&amp;tbl_IO_List[[#This Row],[Point]]</f>
        <v>1756-N2-13</v>
      </c>
      <c r="AB532" s="136"/>
      <c r="AC532" s="136"/>
      <c r="AD532" s="136" t="str">
        <f>tbl_IO_List[[#This Row],[I/O Type]]</f>
        <v>AI</v>
      </c>
      <c r="AE532" s="136" t="s">
        <v>1334</v>
      </c>
      <c r="AF532" s="136">
        <v>6</v>
      </c>
      <c r="AG532" s="136">
        <v>13</v>
      </c>
      <c r="AH532" s="136"/>
      <c r="AI532" s="136"/>
      <c r="AJ532" s="136">
        <v>0</v>
      </c>
      <c r="AK532" s="136">
        <v>0</v>
      </c>
      <c r="AL532" s="136">
        <v>1</v>
      </c>
      <c r="AM532" s="136">
        <v>0</v>
      </c>
      <c r="AN532" s="136">
        <v>0</v>
      </c>
      <c r="AO532" s="136"/>
      <c r="AP532" s="143" t="e">
        <f>VLOOKUP(tbl_IO_List[[#This Row],[Instruement Tag]],tbl_Instruement_List[],14,FALSE)</f>
        <v>#N/A</v>
      </c>
      <c r="AQ532" s="143" t="str">
        <f>tbl_IO_List[[#This Row],[Chassis]]&amp;"S"&amp;tbl_IO_List[[#This Row],[Slot]]&amp;"-"&amp;tbl_IO_List[[#This Row],[Front Terminal Number]]</f>
        <v>C3S6-</v>
      </c>
      <c r="AR532" s="143"/>
      <c r="AS532" s="136" t="str">
        <f>tbl_IO_List[[#This Row],[Terminal Tagging]]&amp;"-"&amp;tbl_IO_List[[#This Row],[Point-Count]]</f>
        <v>-</v>
      </c>
      <c r="AT532" s="136" t="str">
        <f>tbl_IO_List[[#This Row],[Front Terminal Tagging]]&amp;"/"&amp;tbl_IO_List[[#This Row],[Terminal Tagging-Item]]</f>
        <v>C3S6-/-</v>
      </c>
      <c r="AU532" s="136" t="str">
        <f>tbl_IO_List[[#This Row],[Terminal Tagging-Item]]&amp;"/"&amp;tbl_IO_List[[#This Row],[Front Terminal Tagging]]</f>
        <v>-/C3S6-</v>
      </c>
    </row>
    <row r="533" spans="1:47" hidden="1">
      <c r="A533" s="147" t="s">
        <v>1367</v>
      </c>
      <c r="B533" s="136" t="s">
        <v>221</v>
      </c>
      <c r="C533" s="136" t="str">
        <f>tbl_IO_List[[#This Row],[Column3]]</f>
        <v>C3S06,14</v>
      </c>
      <c r="D533" s="136" t="str">
        <f>tbl_IO_List[[#This Row],[Card]]</f>
        <v>1756-N2-14</v>
      </c>
      <c r="E533" s="136" t="s">
        <v>1366</v>
      </c>
      <c r="F533" s="136" t="str">
        <f>tbl_IO_List[[#This Row],[Column23]]&amp;"-" &amp;tbl_IO_List[[#This Row],[Column52]]</f>
        <v>C3S06-X1</v>
      </c>
      <c r="G533" s="136" t="str">
        <f>tbl_IO_List[[#This Row],[PLC_Tag]]</f>
        <v>Spare_AI_0</v>
      </c>
      <c r="H533" s="136"/>
      <c r="I533" s="136" t="str">
        <f>VLOOKUP(tbl_IO_List[[#This Row],[Destination]],tbl_Junction[],2,FALSE)</f>
        <v>Spray Dryer 3rd Floor</v>
      </c>
      <c r="J533" s="136"/>
      <c r="K533" s="136"/>
      <c r="L533" s="136" t="s">
        <v>411</v>
      </c>
      <c r="M533" s="136" t="e">
        <f>VLOOKUP(tbl_IO_List[[#This Row],[Instruement Tag]],tbl_Instruement_List[],2,FALSE)</f>
        <v>#N/A</v>
      </c>
      <c r="N533" s="136"/>
      <c r="O533" s="136"/>
      <c r="P533" s="136"/>
      <c r="Q533" s="136" t="e">
        <f>VLOOKUP(tbl_IO_List[[#This Row],[Instruement Tag]],tbl_Instruement_List[],6,FALSE)</f>
        <v>#N/A</v>
      </c>
      <c r="R533" s="136"/>
      <c r="S53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33" s="136" t="str">
        <f>tbl_IO_List[[#This Row],[Instruement Tag]]&amp;"_"&amp;tbl_IO_List[[#This Row],[I/O Type]]&amp;"_"&amp;tbl_IO_List[[#This Row],[IO-Point 
(Instruement)]]</f>
        <v>Spare_AI_0</v>
      </c>
      <c r="U533" s="136" t="s">
        <v>10</v>
      </c>
      <c r="V533" s="136">
        <f>VLOOKUP(tbl_IO_List[[#This Row],[I/O Type]],tbl_Slot_Group[],2,FALSE)</f>
        <v>3</v>
      </c>
      <c r="W533" s="136">
        <v>0</v>
      </c>
      <c r="X533" s="136" t="str">
        <f>tbl_IO_List[[#This Row],[Chassis]]&amp;"S"&amp;TEXT(tbl_IO_List[[#This Row],[Slot]],"00")</f>
        <v>C3S06</v>
      </c>
      <c r="Y533" s="136" t="str">
        <f>tbl_IO_List[[#This Row],[Chassis]]&amp;"S"&amp;TEXT(tbl_IO_List[[#This Row],[Slot]],"00")&amp;tbl_IO_List[[#This Row],[I/O Type]]&amp;TEXT(tbl_IO_List[[#This Row],[Point]],"00")</f>
        <v>C3S06AI14</v>
      </c>
      <c r="Z533" s="136" t="str">
        <f>tbl_IO_List[[#This Row],[Chassis]]&amp;"S"&amp;TEXT(tbl_IO_List[[#This Row],[Slot]],"00")&amp;","&amp;TEXT(tbl_IO_List[[#This Row],[Point]],"00")</f>
        <v>C3S06,14</v>
      </c>
      <c r="AA533" s="136" t="str">
        <f>VLOOKUP(tbl_IO_List[[#This Row],[Column23]],tbl_RackConfig[],5,FALSE) &amp;"-"&amp;tbl_IO_List[[#This Row],[Point]]</f>
        <v>1756-N2-14</v>
      </c>
      <c r="AB533" s="136"/>
      <c r="AC533" s="136"/>
      <c r="AD533" s="136" t="str">
        <f>tbl_IO_List[[#This Row],[I/O Type]]</f>
        <v>AI</v>
      </c>
      <c r="AE533" s="136" t="s">
        <v>1334</v>
      </c>
      <c r="AF533" s="136">
        <v>6</v>
      </c>
      <c r="AG533" s="136">
        <v>14</v>
      </c>
      <c r="AH533" s="136"/>
      <c r="AI533" s="136"/>
      <c r="AJ533" s="136">
        <v>0</v>
      </c>
      <c r="AK533" s="136">
        <v>0</v>
      </c>
      <c r="AL533" s="136">
        <v>1</v>
      </c>
      <c r="AM533" s="136">
        <v>0</v>
      </c>
      <c r="AN533" s="136">
        <v>0</v>
      </c>
      <c r="AO533" s="136"/>
      <c r="AP533" s="143" t="e">
        <f>VLOOKUP(tbl_IO_List[[#This Row],[Instruement Tag]],tbl_Instruement_List[],14,FALSE)</f>
        <v>#N/A</v>
      </c>
      <c r="AQ533" s="143" t="str">
        <f>tbl_IO_List[[#This Row],[Chassis]]&amp;"S"&amp;tbl_IO_List[[#This Row],[Slot]]&amp;"-"&amp;tbl_IO_List[[#This Row],[Front Terminal Number]]</f>
        <v>C3S6-</v>
      </c>
      <c r="AR533" s="143"/>
      <c r="AS533" s="136" t="str">
        <f>tbl_IO_List[[#This Row],[Terminal Tagging]]&amp;"-"&amp;tbl_IO_List[[#This Row],[Point-Count]]</f>
        <v>-</v>
      </c>
      <c r="AT533" s="136" t="str">
        <f>tbl_IO_List[[#This Row],[Front Terminal Tagging]]&amp;"/"&amp;tbl_IO_List[[#This Row],[Terminal Tagging-Item]]</f>
        <v>C3S6-/-</v>
      </c>
      <c r="AU533" s="136" t="str">
        <f>tbl_IO_List[[#This Row],[Terminal Tagging-Item]]&amp;"/"&amp;tbl_IO_List[[#This Row],[Front Terminal Tagging]]</f>
        <v>-/C3S6-</v>
      </c>
    </row>
    <row r="534" spans="1:47" hidden="1">
      <c r="A534" s="147" t="s">
        <v>1367</v>
      </c>
      <c r="B534" s="136" t="s">
        <v>221</v>
      </c>
      <c r="C534" s="136" t="str">
        <f>tbl_IO_List[[#This Row],[Column3]]</f>
        <v>C3S06,15</v>
      </c>
      <c r="D534" s="136" t="str">
        <f>tbl_IO_List[[#This Row],[Card]]</f>
        <v>1756-N2-15</v>
      </c>
      <c r="E534" s="136" t="s">
        <v>1366</v>
      </c>
      <c r="F534" s="136" t="str">
        <f>tbl_IO_List[[#This Row],[Column23]]&amp;"-" &amp;tbl_IO_List[[#This Row],[Column52]]</f>
        <v>C3S06-X1</v>
      </c>
      <c r="G534" s="136" t="str">
        <f>tbl_IO_List[[#This Row],[PLC_Tag]]</f>
        <v>Spare_AI_0</v>
      </c>
      <c r="H534" s="136"/>
      <c r="I534" s="136" t="str">
        <f>VLOOKUP(tbl_IO_List[[#This Row],[Destination]],tbl_Junction[],2,FALSE)</f>
        <v>Spray Dryer 3rd Floor</v>
      </c>
      <c r="J534" s="136"/>
      <c r="K534" s="136"/>
      <c r="L534" s="136" t="s">
        <v>411</v>
      </c>
      <c r="M534" s="136" t="e">
        <f>VLOOKUP(tbl_IO_List[[#This Row],[Instruement Tag]],tbl_Instruement_List[],2,FALSE)</f>
        <v>#N/A</v>
      </c>
      <c r="N534" s="136"/>
      <c r="O534" s="136"/>
      <c r="P534" s="136"/>
      <c r="Q534" s="136" t="e">
        <f>VLOOKUP(tbl_IO_List[[#This Row],[Instruement Tag]],tbl_Instruement_List[],6,FALSE)</f>
        <v>#N/A</v>
      </c>
      <c r="R534" s="136"/>
      <c r="S53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34" s="136" t="str">
        <f>tbl_IO_List[[#This Row],[Instruement Tag]]&amp;"_"&amp;tbl_IO_List[[#This Row],[I/O Type]]&amp;"_"&amp;tbl_IO_List[[#This Row],[IO-Point 
(Instruement)]]</f>
        <v>Spare_AI_0</v>
      </c>
      <c r="U534" s="136" t="s">
        <v>10</v>
      </c>
      <c r="V534" s="136">
        <f>VLOOKUP(tbl_IO_List[[#This Row],[I/O Type]],tbl_Slot_Group[],2,FALSE)</f>
        <v>3</v>
      </c>
      <c r="W534" s="136">
        <v>0</v>
      </c>
      <c r="X534" s="136" t="str">
        <f>tbl_IO_List[[#This Row],[Chassis]]&amp;"S"&amp;TEXT(tbl_IO_List[[#This Row],[Slot]],"00")</f>
        <v>C3S06</v>
      </c>
      <c r="Y534" s="136" t="str">
        <f>tbl_IO_List[[#This Row],[Chassis]]&amp;"S"&amp;TEXT(tbl_IO_List[[#This Row],[Slot]],"00")&amp;tbl_IO_List[[#This Row],[I/O Type]]&amp;TEXT(tbl_IO_List[[#This Row],[Point]],"00")</f>
        <v>C3S06AI15</v>
      </c>
      <c r="Z534" s="136" t="str">
        <f>tbl_IO_List[[#This Row],[Chassis]]&amp;"S"&amp;TEXT(tbl_IO_List[[#This Row],[Slot]],"00")&amp;","&amp;TEXT(tbl_IO_List[[#This Row],[Point]],"00")</f>
        <v>C3S06,15</v>
      </c>
      <c r="AA534" s="136" t="str">
        <f>VLOOKUP(tbl_IO_List[[#This Row],[Column23]],tbl_RackConfig[],5,FALSE) &amp;"-"&amp;tbl_IO_List[[#This Row],[Point]]</f>
        <v>1756-N2-15</v>
      </c>
      <c r="AB534" s="136"/>
      <c r="AC534" s="136"/>
      <c r="AD534" s="136" t="str">
        <f>tbl_IO_List[[#This Row],[I/O Type]]</f>
        <v>AI</v>
      </c>
      <c r="AE534" s="136" t="s">
        <v>1334</v>
      </c>
      <c r="AF534" s="136">
        <v>6</v>
      </c>
      <c r="AG534" s="136">
        <v>15</v>
      </c>
      <c r="AH534" s="136"/>
      <c r="AI534" s="136"/>
      <c r="AJ534" s="136">
        <v>0</v>
      </c>
      <c r="AK534" s="136">
        <v>0</v>
      </c>
      <c r="AL534" s="136">
        <v>1</v>
      </c>
      <c r="AM534" s="136">
        <v>0</v>
      </c>
      <c r="AN534" s="136">
        <v>0</v>
      </c>
      <c r="AO534" s="136"/>
      <c r="AP534" s="143" t="e">
        <f>VLOOKUP(tbl_IO_List[[#This Row],[Instruement Tag]],tbl_Instruement_List[],14,FALSE)</f>
        <v>#N/A</v>
      </c>
      <c r="AQ534" s="143" t="str">
        <f>tbl_IO_List[[#This Row],[Chassis]]&amp;"S"&amp;tbl_IO_List[[#This Row],[Slot]]&amp;"-"&amp;tbl_IO_List[[#This Row],[Front Terminal Number]]</f>
        <v>C3S6-</v>
      </c>
      <c r="AR534" s="143"/>
      <c r="AS534" s="136" t="str">
        <f>tbl_IO_List[[#This Row],[Terminal Tagging]]&amp;"-"&amp;tbl_IO_List[[#This Row],[Point-Count]]</f>
        <v>-</v>
      </c>
      <c r="AT534" s="136" t="str">
        <f>tbl_IO_List[[#This Row],[Front Terminal Tagging]]&amp;"/"&amp;tbl_IO_List[[#This Row],[Terminal Tagging-Item]]</f>
        <v>C3S6-/-</v>
      </c>
      <c r="AU534" s="136" t="str">
        <f>tbl_IO_List[[#This Row],[Terminal Tagging-Item]]&amp;"/"&amp;tbl_IO_List[[#This Row],[Front Terminal Tagging]]</f>
        <v>-/C3S6-</v>
      </c>
    </row>
    <row r="535" spans="1:47" hidden="1">
      <c r="A535" s="147" t="s">
        <v>1367</v>
      </c>
      <c r="B535" s="136" t="s">
        <v>270</v>
      </c>
      <c r="C535" s="136" t="str">
        <f>tbl_IO_List[[#This Row],[Column3]]</f>
        <v>C3S07,00</v>
      </c>
      <c r="D535" s="136" t="str">
        <f>tbl_IO_List[[#This Row],[Card]]</f>
        <v>1756-N2-0</v>
      </c>
      <c r="E535" s="136" t="s">
        <v>1366</v>
      </c>
      <c r="F535" s="136" t="str">
        <f>tbl_IO_List[[#This Row],[Column23]]&amp;"-" &amp;tbl_IO_List[[#This Row],[Column52]]</f>
        <v>C3S07-X1</v>
      </c>
      <c r="G535" s="136" t="str">
        <f>tbl_IO_List[[#This Row],[PLC_Tag]]</f>
        <v>FT-60207_AI_1</v>
      </c>
      <c r="H535" s="136"/>
      <c r="I535" s="136" t="str">
        <f>VLOOKUP(tbl_IO_List[[#This Row],[Destination]],tbl_Junction[],2,FALSE)</f>
        <v>Spray Dryer 7th Floor</v>
      </c>
      <c r="J535" s="136" t="s">
        <v>270</v>
      </c>
      <c r="K535" s="136" t="s">
        <v>14</v>
      </c>
      <c r="L535" s="136" t="s">
        <v>295</v>
      </c>
      <c r="M535" s="136">
        <f>VLOOKUP(tbl_IO_List[[#This Row],[Instruement Tag]],tbl_Instruement_List[],2,FALSE)</f>
        <v>0</v>
      </c>
      <c r="N535" s="136" t="s">
        <v>95</v>
      </c>
      <c r="O535" s="136" t="s">
        <v>248</v>
      </c>
      <c r="P535" s="136" t="s">
        <v>249</v>
      </c>
      <c r="Q535" s="136" t="str">
        <f>VLOOKUP(tbl_IO_List[[#This Row],[Instruement Tag]],tbl_Instruement_List[],6,FALSE)</f>
        <v>Instr. Air Flow Transmitter for Camera #4 (ACAM-21)</v>
      </c>
      <c r="R535" s="136"/>
      <c r="S53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35" s="136" t="str">
        <f>tbl_IO_List[[#This Row],[Instruement Tag]]&amp;"_"&amp;tbl_IO_List[[#This Row],[I/O Type]]&amp;"_"&amp;tbl_IO_List[[#This Row],[IO-Point 
(Instruement)]]</f>
        <v>FT-60207_AI_1</v>
      </c>
      <c r="U535" s="136" t="s">
        <v>10</v>
      </c>
      <c r="V535" s="136">
        <f>VLOOKUP(tbl_IO_List[[#This Row],[I/O Type]],tbl_Slot_Group[],2,FALSE)</f>
        <v>3</v>
      </c>
      <c r="W535" s="136">
        <v>1</v>
      </c>
      <c r="X535" s="136" t="str">
        <f>tbl_IO_List[[#This Row],[Chassis]]&amp;"S"&amp;TEXT(tbl_IO_List[[#This Row],[Slot]],"00")</f>
        <v>C3S07</v>
      </c>
      <c r="Y535" s="136" t="str">
        <f>tbl_IO_List[[#This Row],[Chassis]]&amp;"S"&amp;TEXT(tbl_IO_List[[#This Row],[Slot]],"00")&amp;tbl_IO_List[[#This Row],[I/O Type]]&amp;TEXT(tbl_IO_List[[#This Row],[Point]],"00")</f>
        <v>C3S07AI00</v>
      </c>
      <c r="Z535" s="136" t="str">
        <f>tbl_IO_List[[#This Row],[Chassis]]&amp;"S"&amp;TEXT(tbl_IO_List[[#This Row],[Slot]],"00")&amp;","&amp;TEXT(tbl_IO_List[[#This Row],[Point]],"00")</f>
        <v>C3S07,00</v>
      </c>
      <c r="AA535" s="136" t="str">
        <f>VLOOKUP(tbl_IO_List[[#This Row],[Column23]],tbl_RackConfig[],5,FALSE) &amp;"-"&amp;tbl_IO_List[[#This Row],[Point]]</f>
        <v>1756-N2-0</v>
      </c>
      <c r="AB535" s="136"/>
      <c r="AC535" s="136"/>
      <c r="AD535" s="136" t="str">
        <f>tbl_IO_List[[#This Row],[I/O Type]]</f>
        <v>AI</v>
      </c>
      <c r="AE535" s="136" t="s">
        <v>1334</v>
      </c>
      <c r="AF535" s="136">
        <v>7</v>
      </c>
      <c r="AG535" s="136">
        <v>0</v>
      </c>
      <c r="AH535" s="136"/>
      <c r="AI535" s="136"/>
      <c r="AJ535" s="136">
        <v>0</v>
      </c>
      <c r="AK535" s="136">
        <v>0</v>
      </c>
      <c r="AL535" s="136">
        <v>1</v>
      </c>
      <c r="AM535" s="136">
        <v>0</v>
      </c>
      <c r="AN535" s="136">
        <v>0</v>
      </c>
      <c r="AO535" s="136"/>
      <c r="AP535" s="143" t="str">
        <f>VLOOKUP(tbl_IO_List[[#This Row],[Instruement Tag]],tbl_Instruement_List[],14,FALSE)</f>
        <v>4 - 20 mA</v>
      </c>
      <c r="AQ535" s="143" t="str">
        <f>tbl_IO_List[[#This Row],[Chassis]]&amp;"S"&amp;tbl_IO_List[[#This Row],[Slot]]&amp;"-"&amp;tbl_IO_List[[#This Row],[Front Terminal Number]]</f>
        <v>C3S7-</v>
      </c>
      <c r="AR535" s="143"/>
      <c r="AS535" s="136" t="str">
        <f>tbl_IO_List[[#This Row],[Terminal Tagging]]&amp;"-"&amp;tbl_IO_List[[#This Row],[Point-Count]]</f>
        <v>-</v>
      </c>
      <c r="AT535" s="136" t="str">
        <f>tbl_IO_List[[#This Row],[Front Terminal Tagging]]&amp;"/"&amp;tbl_IO_List[[#This Row],[Terminal Tagging-Item]]</f>
        <v>C3S7-/-</v>
      </c>
      <c r="AU535" s="136" t="str">
        <f>tbl_IO_List[[#This Row],[Terminal Tagging-Item]]&amp;"/"&amp;tbl_IO_List[[#This Row],[Front Terminal Tagging]]</f>
        <v>-/C3S7-</v>
      </c>
    </row>
    <row r="536" spans="1:47" hidden="1">
      <c r="A536" s="147" t="s">
        <v>1367</v>
      </c>
      <c r="B536" s="136" t="s">
        <v>270</v>
      </c>
      <c r="C536" s="136" t="str">
        <f>tbl_IO_List[[#This Row],[Column3]]</f>
        <v>C3S07,01</v>
      </c>
      <c r="D536" s="136" t="str">
        <f>tbl_IO_List[[#This Row],[Card]]</f>
        <v>1756-N2-1</v>
      </c>
      <c r="E536" s="136" t="s">
        <v>1366</v>
      </c>
      <c r="F536" s="136" t="str">
        <f>tbl_IO_List[[#This Row],[Column23]]&amp;"-" &amp;tbl_IO_List[[#This Row],[Column52]]</f>
        <v>C3S07-X1</v>
      </c>
      <c r="G536" s="136" t="str">
        <f>tbl_IO_List[[#This Row],[PLC_Tag]]</f>
        <v>FT-60221_AI_1</v>
      </c>
      <c r="H536" s="136"/>
      <c r="I536" s="136" t="str">
        <f>VLOOKUP(tbl_IO_List[[#This Row],[Destination]],tbl_Junction[],2,FALSE)</f>
        <v>Spray Dryer 7th Floor</v>
      </c>
      <c r="J536" s="136" t="s">
        <v>270</v>
      </c>
      <c r="K536" s="136" t="s">
        <v>14</v>
      </c>
      <c r="L536" s="136" t="s">
        <v>269</v>
      </c>
      <c r="M536" s="136">
        <f>VLOOKUP(tbl_IO_List[[#This Row],[Instruement Tag]],tbl_Instruement_List[],2,FALSE)</f>
        <v>0</v>
      </c>
      <c r="N536" s="136" t="s">
        <v>95</v>
      </c>
      <c r="O536" s="136" t="s">
        <v>16</v>
      </c>
      <c r="P536" s="136" t="s">
        <v>17</v>
      </c>
      <c r="Q536" s="136" t="str">
        <f>VLOOKUP(tbl_IO_List[[#This Row],[Instruement Tag]],tbl_Instruement_List[],6,FALSE)</f>
        <v xml:space="preserve">Cool air Flow </v>
      </c>
      <c r="R536" s="136"/>
      <c r="S53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36" s="136" t="str">
        <f>tbl_IO_List[[#This Row],[Instruement Tag]]&amp;"_"&amp;tbl_IO_List[[#This Row],[I/O Type]]&amp;"_"&amp;tbl_IO_List[[#This Row],[IO-Point 
(Instruement)]]</f>
        <v>FT-60221_AI_1</v>
      </c>
      <c r="U536" s="136" t="s">
        <v>10</v>
      </c>
      <c r="V536" s="136">
        <f>VLOOKUP(tbl_IO_List[[#This Row],[I/O Type]],tbl_Slot_Group[],2,FALSE)</f>
        <v>3</v>
      </c>
      <c r="W536" s="136">
        <v>1</v>
      </c>
      <c r="X536" s="136" t="str">
        <f>tbl_IO_List[[#This Row],[Chassis]]&amp;"S"&amp;TEXT(tbl_IO_List[[#This Row],[Slot]],"00")</f>
        <v>C3S07</v>
      </c>
      <c r="Y536" s="136" t="str">
        <f>tbl_IO_List[[#This Row],[Chassis]]&amp;"S"&amp;TEXT(tbl_IO_List[[#This Row],[Slot]],"00")&amp;tbl_IO_List[[#This Row],[I/O Type]]&amp;TEXT(tbl_IO_List[[#This Row],[Point]],"00")</f>
        <v>C3S07AI01</v>
      </c>
      <c r="Z536" s="136" t="str">
        <f>tbl_IO_List[[#This Row],[Chassis]]&amp;"S"&amp;TEXT(tbl_IO_List[[#This Row],[Slot]],"00")&amp;","&amp;TEXT(tbl_IO_List[[#This Row],[Point]],"00")</f>
        <v>C3S07,01</v>
      </c>
      <c r="AA536" s="136" t="str">
        <f>VLOOKUP(tbl_IO_List[[#This Row],[Column23]],tbl_RackConfig[],5,FALSE) &amp;"-"&amp;tbl_IO_List[[#This Row],[Point]]</f>
        <v>1756-N2-1</v>
      </c>
      <c r="AB536" s="136"/>
      <c r="AC536" s="136"/>
      <c r="AD536" s="136" t="str">
        <f>tbl_IO_List[[#This Row],[I/O Type]]</f>
        <v>AI</v>
      </c>
      <c r="AE536" s="136" t="s">
        <v>1334</v>
      </c>
      <c r="AF536" s="136">
        <v>7</v>
      </c>
      <c r="AG536" s="136">
        <v>1</v>
      </c>
      <c r="AH536" s="136"/>
      <c r="AI536" s="136"/>
      <c r="AJ536" s="136">
        <v>0</v>
      </c>
      <c r="AK536" s="136">
        <v>0</v>
      </c>
      <c r="AL536" s="136">
        <v>1</v>
      </c>
      <c r="AM536" s="136">
        <v>0</v>
      </c>
      <c r="AN536" s="136">
        <v>0</v>
      </c>
      <c r="AO536" s="136"/>
      <c r="AP536" s="143" t="str">
        <f>VLOOKUP(tbl_IO_List[[#This Row],[Instruement Tag]],tbl_Instruement_List[],14,FALSE)</f>
        <v>4 - 20 mA</v>
      </c>
      <c r="AQ536" s="143" t="str">
        <f>tbl_IO_List[[#This Row],[Chassis]]&amp;"S"&amp;tbl_IO_List[[#This Row],[Slot]]&amp;"-"&amp;tbl_IO_List[[#This Row],[Front Terminal Number]]</f>
        <v>C3S7-</v>
      </c>
      <c r="AR536" s="143"/>
      <c r="AS536" s="136" t="str">
        <f>tbl_IO_List[[#This Row],[Terminal Tagging]]&amp;"-"&amp;tbl_IO_List[[#This Row],[Point-Count]]</f>
        <v>-</v>
      </c>
      <c r="AT536" s="136" t="str">
        <f>tbl_IO_List[[#This Row],[Front Terminal Tagging]]&amp;"/"&amp;tbl_IO_List[[#This Row],[Terminal Tagging-Item]]</f>
        <v>C3S7-/-</v>
      </c>
      <c r="AU536" s="136" t="str">
        <f>tbl_IO_List[[#This Row],[Terminal Tagging-Item]]&amp;"/"&amp;tbl_IO_List[[#This Row],[Front Terminal Tagging]]</f>
        <v>-/C3S7-</v>
      </c>
    </row>
    <row r="537" spans="1:47" hidden="1">
      <c r="A537" s="147" t="s">
        <v>1367</v>
      </c>
      <c r="B537" s="136" t="s">
        <v>270</v>
      </c>
      <c r="C537" s="136" t="str">
        <f>tbl_IO_List[[#This Row],[Column3]]</f>
        <v>C3S07,02</v>
      </c>
      <c r="D537" s="136" t="str">
        <f>tbl_IO_List[[#This Row],[Card]]</f>
        <v>1756-N2-2</v>
      </c>
      <c r="E537" s="136" t="s">
        <v>1366</v>
      </c>
      <c r="F537" s="136" t="str">
        <f>tbl_IO_List[[#This Row],[Column23]]&amp;"-" &amp;tbl_IO_List[[#This Row],[Column52]]</f>
        <v>C3S07-X1</v>
      </c>
      <c r="G537" s="136" t="str">
        <f>tbl_IO_List[[#This Row],[PLC_Tag]]</f>
        <v>FT-60261FA_AI_1</v>
      </c>
      <c r="H537" s="136"/>
      <c r="I537" s="136" t="str">
        <f>VLOOKUP(tbl_IO_List[[#This Row],[Destination]],tbl_Junction[],2,FALSE)</f>
        <v>Spray Dryer 7th Floor</v>
      </c>
      <c r="J537" s="136" t="s">
        <v>270</v>
      </c>
      <c r="K537" s="136" t="s">
        <v>14</v>
      </c>
      <c r="L537" s="136" t="s">
        <v>271</v>
      </c>
      <c r="M537" s="136">
        <f>VLOOKUP(tbl_IO_List[[#This Row],[Instruement Tag]],tbl_Instruement_List[],2,FALSE)</f>
        <v>0</v>
      </c>
      <c r="N537" s="136" t="s">
        <v>95</v>
      </c>
      <c r="O537" s="136" t="s">
        <v>272</v>
      </c>
      <c r="P537" s="136" t="s">
        <v>273</v>
      </c>
      <c r="Q537" s="136" t="str">
        <f>VLOOKUP(tbl_IO_List[[#This Row],[Instruement Tag]],tbl_Instruement_List[],6,FALSE)</f>
        <v>Feed Slurry Flow Transmitter for Nozzle #1 (AMTV-11A)</v>
      </c>
      <c r="R537" s="136"/>
      <c r="S53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37" s="136" t="str">
        <f>tbl_IO_List[[#This Row],[Instruement Tag]]&amp;"_"&amp;tbl_IO_List[[#This Row],[I/O Type]]&amp;"_"&amp;tbl_IO_List[[#This Row],[IO-Point 
(Instruement)]]</f>
        <v>FT-60261FA_AI_1</v>
      </c>
      <c r="U537" s="136" t="s">
        <v>10</v>
      </c>
      <c r="V537" s="136">
        <f>VLOOKUP(tbl_IO_List[[#This Row],[I/O Type]],tbl_Slot_Group[],2,FALSE)</f>
        <v>3</v>
      </c>
      <c r="W537" s="136">
        <v>1</v>
      </c>
      <c r="X537" s="136" t="str">
        <f>tbl_IO_List[[#This Row],[Chassis]]&amp;"S"&amp;TEXT(tbl_IO_List[[#This Row],[Slot]],"00")</f>
        <v>C3S07</v>
      </c>
      <c r="Y537" s="136" t="str">
        <f>tbl_IO_List[[#This Row],[Chassis]]&amp;"S"&amp;TEXT(tbl_IO_List[[#This Row],[Slot]],"00")&amp;tbl_IO_List[[#This Row],[I/O Type]]&amp;TEXT(tbl_IO_List[[#This Row],[Point]],"00")</f>
        <v>C3S07AI02</v>
      </c>
      <c r="Z537" s="136" t="str">
        <f>tbl_IO_List[[#This Row],[Chassis]]&amp;"S"&amp;TEXT(tbl_IO_List[[#This Row],[Slot]],"00")&amp;","&amp;TEXT(tbl_IO_List[[#This Row],[Point]],"00")</f>
        <v>C3S07,02</v>
      </c>
      <c r="AA537" s="136" t="str">
        <f>VLOOKUP(tbl_IO_List[[#This Row],[Column23]],tbl_RackConfig[],5,FALSE) &amp;"-"&amp;tbl_IO_List[[#This Row],[Point]]</f>
        <v>1756-N2-2</v>
      </c>
      <c r="AB537" s="136"/>
      <c r="AC537" s="136"/>
      <c r="AD537" s="136" t="str">
        <f>tbl_IO_List[[#This Row],[I/O Type]]</f>
        <v>AI</v>
      </c>
      <c r="AE537" s="136" t="s">
        <v>1334</v>
      </c>
      <c r="AF537" s="136">
        <v>7</v>
      </c>
      <c r="AG537" s="136">
        <v>2</v>
      </c>
      <c r="AH537" s="136"/>
      <c r="AI537" s="136"/>
      <c r="AJ537" s="136">
        <v>0</v>
      </c>
      <c r="AK537" s="136">
        <v>0</v>
      </c>
      <c r="AL537" s="136">
        <v>1</v>
      </c>
      <c r="AM537" s="136">
        <v>0</v>
      </c>
      <c r="AN537" s="136">
        <v>0</v>
      </c>
      <c r="AO537" s="136"/>
      <c r="AP537" s="143" t="str">
        <f>VLOOKUP(tbl_IO_List[[#This Row],[Instruement Tag]],tbl_Instruement_List[],14,FALSE)</f>
        <v>4 - 20 mA</v>
      </c>
      <c r="AQ537" s="143" t="str">
        <f>tbl_IO_List[[#This Row],[Chassis]]&amp;"S"&amp;tbl_IO_List[[#This Row],[Slot]]&amp;"-"&amp;tbl_IO_List[[#This Row],[Front Terminal Number]]</f>
        <v>C3S7-</v>
      </c>
      <c r="AR537" s="143"/>
      <c r="AS537" s="136" t="str">
        <f>tbl_IO_List[[#This Row],[Terminal Tagging]]&amp;"-"&amp;tbl_IO_List[[#This Row],[Point-Count]]</f>
        <v>-</v>
      </c>
      <c r="AT537" s="136" t="str">
        <f>tbl_IO_List[[#This Row],[Front Terminal Tagging]]&amp;"/"&amp;tbl_IO_List[[#This Row],[Terminal Tagging-Item]]</f>
        <v>C3S7-/-</v>
      </c>
      <c r="AU537" s="136" t="str">
        <f>tbl_IO_List[[#This Row],[Terminal Tagging-Item]]&amp;"/"&amp;tbl_IO_List[[#This Row],[Front Terminal Tagging]]</f>
        <v>-/C3S7-</v>
      </c>
    </row>
    <row r="538" spans="1:47" hidden="1">
      <c r="A538" s="147" t="s">
        <v>1367</v>
      </c>
      <c r="B538" s="136" t="s">
        <v>270</v>
      </c>
      <c r="C538" s="136" t="str">
        <f>tbl_IO_List[[#This Row],[Column3]]</f>
        <v>C3S07,03</v>
      </c>
      <c r="D538" s="136" t="str">
        <f>tbl_IO_List[[#This Row],[Card]]</f>
        <v>1756-N2-3</v>
      </c>
      <c r="E538" s="136" t="s">
        <v>1366</v>
      </c>
      <c r="F538" s="136" t="str">
        <f>tbl_IO_List[[#This Row],[Column23]]&amp;"-" &amp;tbl_IO_List[[#This Row],[Column52]]</f>
        <v>C3S07-X1</v>
      </c>
      <c r="G538" s="136" t="str">
        <f>tbl_IO_List[[#This Row],[PLC_Tag]]</f>
        <v>FT-60261FB_AI_1</v>
      </c>
      <c r="H538" s="136"/>
      <c r="I538" s="136" t="str">
        <f>VLOOKUP(tbl_IO_List[[#This Row],[Destination]],tbl_Junction[],2,FALSE)</f>
        <v>Spray Dryer 7th Floor</v>
      </c>
      <c r="J538" s="136" t="s">
        <v>270</v>
      </c>
      <c r="K538" s="136" t="s">
        <v>14</v>
      </c>
      <c r="L538" s="136" t="s">
        <v>274</v>
      </c>
      <c r="M538" s="136">
        <f>VLOOKUP(tbl_IO_List[[#This Row],[Instruement Tag]],tbl_Instruement_List[],2,FALSE)</f>
        <v>0</v>
      </c>
      <c r="N538" s="136" t="s">
        <v>95</v>
      </c>
      <c r="O538" s="136" t="s">
        <v>272</v>
      </c>
      <c r="P538" s="136" t="s">
        <v>273</v>
      </c>
      <c r="Q538" s="136" t="str">
        <f>VLOOKUP(tbl_IO_List[[#This Row],[Instruement Tag]],tbl_Instruement_List[],6,FALSE)</f>
        <v>Feed Slurry Flow Transmitter for Nozzle #2 (AMTV-11A)</v>
      </c>
      <c r="R538" s="136"/>
      <c r="S53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38" s="136" t="str">
        <f>tbl_IO_List[[#This Row],[Instruement Tag]]&amp;"_"&amp;tbl_IO_List[[#This Row],[I/O Type]]&amp;"_"&amp;tbl_IO_List[[#This Row],[IO-Point 
(Instruement)]]</f>
        <v>FT-60261FB_AI_1</v>
      </c>
      <c r="U538" s="136" t="s">
        <v>10</v>
      </c>
      <c r="V538" s="136">
        <f>VLOOKUP(tbl_IO_List[[#This Row],[I/O Type]],tbl_Slot_Group[],2,FALSE)</f>
        <v>3</v>
      </c>
      <c r="W538" s="136">
        <v>1</v>
      </c>
      <c r="X538" s="136" t="str">
        <f>tbl_IO_List[[#This Row],[Chassis]]&amp;"S"&amp;TEXT(tbl_IO_List[[#This Row],[Slot]],"00")</f>
        <v>C3S07</v>
      </c>
      <c r="Y538" s="136" t="str">
        <f>tbl_IO_List[[#This Row],[Chassis]]&amp;"S"&amp;TEXT(tbl_IO_List[[#This Row],[Slot]],"00")&amp;tbl_IO_List[[#This Row],[I/O Type]]&amp;TEXT(tbl_IO_List[[#This Row],[Point]],"00")</f>
        <v>C3S07AI03</v>
      </c>
      <c r="Z538" s="136" t="str">
        <f>tbl_IO_List[[#This Row],[Chassis]]&amp;"S"&amp;TEXT(tbl_IO_List[[#This Row],[Slot]],"00")&amp;","&amp;TEXT(tbl_IO_List[[#This Row],[Point]],"00")</f>
        <v>C3S07,03</v>
      </c>
      <c r="AA538" s="136" t="str">
        <f>VLOOKUP(tbl_IO_List[[#This Row],[Column23]],tbl_RackConfig[],5,FALSE) &amp;"-"&amp;tbl_IO_List[[#This Row],[Point]]</f>
        <v>1756-N2-3</v>
      </c>
      <c r="AB538" s="136"/>
      <c r="AC538" s="136"/>
      <c r="AD538" s="136" t="str">
        <f>tbl_IO_List[[#This Row],[I/O Type]]</f>
        <v>AI</v>
      </c>
      <c r="AE538" s="136" t="s">
        <v>1334</v>
      </c>
      <c r="AF538" s="136">
        <v>7</v>
      </c>
      <c r="AG538" s="136">
        <v>3</v>
      </c>
      <c r="AH538" s="136"/>
      <c r="AI538" s="136"/>
      <c r="AJ538" s="136">
        <v>0</v>
      </c>
      <c r="AK538" s="136">
        <v>0</v>
      </c>
      <c r="AL538" s="136">
        <v>1</v>
      </c>
      <c r="AM538" s="136">
        <v>0</v>
      </c>
      <c r="AN538" s="136">
        <v>0</v>
      </c>
      <c r="AO538" s="136"/>
      <c r="AP538" s="143" t="str">
        <f>VLOOKUP(tbl_IO_List[[#This Row],[Instruement Tag]],tbl_Instruement_List[],14,FALSE)</f>
        <v>4 - 20 mA</v>
      </c>
      <c r="AQ538" s="143" t="str">
        <f>tbl_IO_List[[#This Row],[Chassis]]&amp;"S"&amp;tbl_IO_List[[#This Row],[Slot]]&amp;"-"&amp;tbl_IO_List[[#This Row],[Front Terminal Number]]</f>
        <v>C3S7-</v>
      </c>
      <c r="AR538" s="143"/>
      <c r="AS538" s="136" t="str">
        <f>tbl_IO_List[[#This Row],[Terminal Tagging]]&amp;"-"&amp;tbl_IO_List[[#This Row],[Point-Count]]</f>
        <v>-</v>
      </c>
      <c r="AT538" s="136" t="str">
        <f>tbl_IO_List[[#This Row],[Front Terminal Tagging]]&amp;"/"&amp;tbl_IO_List[[#This Row],[Terminal Tagging-Item]]</f>
        <v>C3S7-/-</v>
      </c>
      <c r="AU538" s="136" t="str">
        <f>tbl_IO_List[[#This Row],[Terminal Tagging-Item]]&amp;"/"&amp;tbl_IO_List[[#This Row],[Front Terminal Tagging]]</f>
        <v>-/C3S7-</v>
      </c>
    </row>
    <row r="539" spans="1:47" hidden="1">
      <c r="A539" s="147" t="s">
        <v>1367</v>
      </c>
      <c r="B539" s="136" t="s">
        <v>270</v>
      </c>
      <c r="C539" s="136" t="str">
        <f>tbl_IO_List[[#This Row],[Column3]]</f>
        <v>C3S07,04</v>
      </c>
      <c r="D539" s="136" t="str">
        <f>tbl_IO_List[[#This Row],[Card]]</f>
        <v>1756-N2-4</v>
      </c>
      <c r="E539" s="136" t="s">
        <v>1366</v>
      </c>
      <c r="F539" s="136" t="str">
        <f>tbl_IO_List[[#This Row],[Column23]]&amp;"-" &amp;tbl_IO_List[[#This Row],[Column52]]</f>
        <v>C3S07-X1</v>
      </c>
      <c r="G539" s="136" t="str">
        <f>tbl_IO_List[[#This Row],[PLC_Tag]]</f>
        <v>FT-60261FC_AI_1</v>
      </c>
      <c r="H539" s="136"/>
      <c r="I539" s="136" t="str">
        <f>VLOOKUP(tbl_IO_List[[#This Row],[Destination]],tbl_Junction[],2,FALSE)</f>
        <v>Spray Dryer 7th Floor</v>
      </c>
      <c r="J539" s="136" t="s">
        <v>270</v>
      </c>
      <c r="K539" s="136" t="s">
        <v>14</v>
      </c>
      <c r="L539" s="136" t="s">
        <v>275</v>
      </c>
      <c r="M539" s="136">
        <f>VLOOKUP(tbl_IO_List[[#This Row],[Instruement Tag]],tbl_Instruement_List[],2,FALSE)</f>
        <v>0</v>
      </c>
      <c r="N539" s="136" t="s">
        <v>95</v>
      </c>
      <c r="O539" s="136" t="s">
        <v>272</v>
      </c>
      <c r="P539" s="136" t="s">
        <v>273</v>
      </c>
      <c r="Q539" s="136" t="str">
        <f>VLOOKUP(tbl_IO_List[[#This Row],[Instruement Tag]],tbl_Instruement_List[],6,FALSE)</f>
        <v>Feed Slurry Flow Transmitter for Nozzle #3 (AMTV-11A)</v>
      </c>
      <c r="R539" s="136"/>
      <c r="S53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39" s="136" t="str">
        <f>tbl_IO_List[[#This Row],[Instruement Tag]]&amp;"_"&amp;tbl_IO_List[[#This Row],[I/O Type]]&amp;"_"&amp;tbl_IO_List[[#This Row],[IO-Point 
(Instruement)]]</f>
        <v>FT-60261FC_AI_1</v>
      </c>
      <c r="U539" s="136" t="s">
        <v>10</v>
      </c>
      <c r="V539" s="136">
        <f>VLOOKUP(tbl_IO_List[[#This Row],[I/O Type]],tbl_Slot_Group[],2,FALSE)</f>
        <v>3</v>
      </c>
      <c r="W539" s="136">
        <v>1</v>
      </c>
      <c r="X539" s="136" t="str">
        <f>tbl_IO_List[[#This Row],[Chassis]]&amp;"S"&amp;TEXT(tbl_IO_List[[#This Row],[Slot]],"00")</f>
        <v>C3S07</v>
      </c>
      <c r="Y539" s="136" t="str">
        <f>tbl_IO_List[[#This Row],[Chassis]]&amp;"S"&amp;TEXT(tbl_IO_List[[#This Row],[Slot]],"00")&amp;tbl_IO_List[[#This Row],[I/O Type]]&amp;TEXT(tbl_IO_List[[#This Row],[Point]],"00")</f>
        <v>C3S07AI04</v>
      </c>
      <c r="Z539" s="136" t="str">
        <f>tbl_IO_List[[#This Row],[Chassis]]&amp;"S"&amp;TEXT(tbl_IO_List[[#This Row],[Slot]],"00")&amp;","&amp;TEXT(tbl_IO_List[[#This Row],[Point]],"00")</f>
        <v>C3S07,04</v>
      </c>
      <c r="AA539" s="136" t="str">
        <f>VLOOKUP(tbl_IO_List[[#This Row],[Column23]],tbl_RackConfig[],5,FALSE) &amp;"-"&amp;tbl_IO_List[[#This Row],[Point]]</f>
        <v>1756-N2-4</v>
      </c>
      <c r="AB539" s="136"/>
      <c r="AC539" s="136"/>
      <c r="AD539" s="136" t="str">
        <f>tbl_IO_List[[#This Row],[I/O Type]]</f>
        <v>AI</v>
      </c>
      <c r="AE539" s="136" t="s">
        <v>1334</v>
      </c>
      <c r="AF539" s="136">
        <v>7</v>
      </c>
      <c r="AG539" s="136">
        <v>4</v>
      </c>
      <c r="AH539" s="136"/>
      <c r="AI539" s="136"/>
      <c r="AJ539" s="136">
        <v>0</v>
      </c>
      <c r="AK539" s="136">
        <v>0</v>
      </c>
      <c r="AL539" s="136">
        <v>1</v>
      </c>
      <c r="AM539" s="136">
        <v>0</v>
      </c>
      <c r="AN539" s="136">
        <v>0</v>
      </c>
      <c r="AO539" s="136"/>
      <c r="AP539" s="143" t="str">
        <f>VLOOKUP(tbl_IO_List[[#This Row],[Instruement Tag]],tbl_Instruement_List[],14,FALSE)</f>
        <v>4 - 20 mA</v>
      </c>
      <c r="AQ539" s="143" t="str">
        <f>tbl_IO_List[[#This Row],[Chassis]]&amp;"S"&amp;tbl_IO_List[[#This Row],[Slot]]&amp;"-"&amp;tbl_IO_List[[#This Row],[Front Terminal Number]]</f>
        <v>C3S7-</v>
      </c>
      <c r="AR539" s="143"/>
      <c r="AS539" s="136" t="str">
        <f>tbl_IO_List[[#This Row],[Terminal Tagging]]&amp;"-"&amp;tbl_IO_List[[#This Row],[Point-Count]]</f>
        <v>-</v>
      </c>
      <c r="AT539" s="136" t="str">
        <f>tbl_IO_List[[#This Row],[Front Terminal Tagging]]&amp;"/"&amp;tbl_IO_List[[#This Row],[Terminal Tagging-Item]]</f>
        <v>C3S7-/-</v>
      </c>
      <c r="AU539" s="136" t="str">
        <f>tbl_IO_List[[#This Row],[Terminal Tagging-Item]]&amp;"/"&amp;tbl_IO_List[[#This Row],[Front Terminal Tagging]]</f>
        <v>-/C3S7-</v>
      </c>
    </row>
    <row r="540" spans="1:47" hidden="1">
      <c r="A540" s="147" t="s">
        <v>1367</v>
      </c>
      <c r="B540" s="136" t="s">
        <v>270</v>
      </c>
      <c r="C540" s="136" t="str">
        <f>tbl_IO_List[[#This Row],[Column3]]</f>
        <v>C3S07,05</v>
      </c>
      <c r="D540" s="136" t="str">
        <f>tbl_IO_List[[#This Row],[Card]]</f>
        <v>1756-N2-5</v>
      </c>
      <c r="E540" s="136" t="s">
        <v>1366</v>
      </c>
      <c r="F540" s="136" t="str">
        <f>tbl_IO_List[[#This Row],[Column23]]&amp;"-" &amp;tbl_IO_List[[#This Row],[Column52]]</f>
        <v>C3S07-X1</v>
      </c>
      <c r="G540" s="136" t="str">
        <f>tbl_IO_List[[#This Row],[PLC_Tag]]</f>
        <v>FT-60261FD_AI_1</v>
      </c>
      <c r="H540" s="136"/>
      <c r="I540" s="136" t="str">
        <f>VLOOKUP(tbl_IO_List[[#This Row],[Destination]],tbl_Junction[],2,FALSE)</f>
        <v>Spray Dryer 7th Floor</v>
      </c>
      <c r="J540" s="136" t="s">
        <v>270</v>
      </c>
      <c r="K540" s="136" t="s">
        <v>14</v>
      </c>
      <c r="L540" s="136" t="s">
        <v>276</v>
      </c>
      <c r="M540" s="136">
        <f>VLOOKUP(tbl_IO_List[[#This Row],[Instruement Tag]],tbl_Instruement_List[],2,FALSE)</f>
        <v>0</v>
      </c>
      <c r="N540" s="136" t="s">
        <v>95</v>
      </c>
      <c r="O540" s="136" t="s">
        <v>272</v>
      </c>
      <c r="P540" s="136" t="s">
        <v>273</v>
      </c>
      <c r="Q540" s="136" t="str">
        <f>VLOOKUP(tbl_IO_List[[#This Row],[Instruement Tag]],tbl_Instruement_List[],6,FALSE)</f>
        <v>Feed Slurry Flow Transmitter for Nozzle #4 (AMTV-11A)</v>
      </c>
      <c r="R540" s="136"/>
      <c r="S54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40" s="136" t="str">
        <f>tbl_IO_List[[#This Row],[Instruement Tag]]&amp;"_"&amp;tbl_IO_List[[#This Row],[I/O Type]]&amp;"_"&amp;tbl_IO_List[[#This Row],[IO-Point 
(Instruement)]]</f>
        <v>FT-60261FD_AI_1</v>
      </c>
      <c r="U540" s="136" t="s">
        <v>10</v>
      </c>
      <c r="V540" s="136">
        <f>VLOOKUP(tbl_IO_List[[#This Row],[I/O Type]],tbl_Slot_Group[],2,FALSE)</f>
        <v>3</v>
      </c>
      <c r="W540" s="136">
        <v>1</v>
      </c>
      <c r="X540" s="136" t="str">
        <f>tbl_IO_List[[#This Row],[Chassis]]&amp;"S"&amp;TEXT(tbl_IO_List[[#This Row],[Slot]],"00")</f>
        <v>C3S07</v>
      </c>
      <c r="Y540" s="136" t="str">
        <f>tbl_IO_List[[#This Row],[Chassis]]&amp;"S"&amp;TEXT(tbl_IO_List[[#This Row],[Slot]],"00")&amp;tbl_IO_List[[#This Row],[I/O Type]]&amp;TEXT(tbl_IO_List[[#This Row],[Point]],"00")</f>
        <v>C3S07AI05</v>
      </c>
      <c r="Z540" s="136" t="str">
        <f>tbl_IO_List[[#This Row],[Chassis]]&amp;"S"&amp;TEXT(tbl_IO_List[[#This Row],[Slot]],"00")&amp;","&amp;TEXT(tbl_IO_List[[#This Row],[Point]],"00")</f>
        <v>C3S07,05</v>
      </c>
      <c r="AA540" s="136" t="str">
        <f>VLOOKUP(tbl_IO_List[[#This Row],[Column23]],tbl_RackConfig[],5,FALSE) &amp;"-"&amp;tbl_IO_List[[#This Row],[Point]]</f>
        <v>1756-N2-5</v>
      </c>
      <c r="AB540" s="136"/>
      <c r="AC540" s="136"/>
      <c r="AD540" s="136" t="str">
        <f>tbl_IO_List[[#This Row],[I/O Type]]</f>
        <v>AI</v>
      </c>
      <c r="AE540" s="136" t="s">
        <v>1334</v>
      </c>
      <c r="AF540" s="136">
        <v>7</v>
      </c>
      <c r="AG540" s="136">
        <v>5</v>
      </c>
      <c r="AH540" s="136"/>
      <c r="AI540" s="136"/>
      <c r="AJ540" s="136">
        <v>0</v>
      </c>
      <c r="AK540" s="136">
        <v>0</v>
      </c>
      <c r="AL540" s="136">
        <v>1</v>
      </c>
      <c r="AM540" s="136">
        <v>0</v>
      </c>
      <c r="AN540" s="136">
        <v>0</v>
      </c>
      <c r="AO540" s="136"/>
      <c r="AP540" s="143" t="str">
        <f>VLOOKUP(tbl_IO_List[[#This Row],[Instruement Tag]],tbl_Instruement_List[],14,FALSE)</f>
        <v>4 - 20 mA</v>
      </c>
      <c r="AQ540" s="143" t="str">
        <f>tbl_IO_List[[#This Row],[Chassis]]&amp;"S"&amp;tbl_IO_List[[#This Row],[Slot]]&amp;"-"&amp;tbl_IO_List[[#This Row],[Front Terminal Number]]</f>
        <v>C3S7-</v>
      </c>
      <c r="AR540" s="143"/>
      <c r="AS540" s="136" t="str">
        <f>tbl_IO_List[[#This Row],[Terminal Tagging]]&amp;"-"&amp;tbl_IO_List[[#This Row],[Point-Count]]</f>
        <v>-</v>
      </c>
      <c r="AT540" s="136" t="str">
        <f>tbl_IO_List[[#This Row],[Front Terminal Tagging]]&amp;"/"&amp;tbl_IO_List[[#This Row],[Terminal Tagging-Item]]</f>
        <v>C3S7-/-</v>
      </c>
      <c r="AU540" s="136" t="str">
        <f>tbl_IO_List[[#This Row],[Terminal Tagging-Item]]&amp;"/"&amp;tbl_IO_List[[#This Row],[Front Terminal Tagging]]</f>
        <v>-/C3S7-</v>
      </c>
    </row>
    <row r="541" spans="1:47" hidden="1">
      <c r="A541" s="147" t="s">
        <v>1367</v>
      </c>
      <c r="B541" s="136" t="s">
        <v>270</v>
      </c>
      <c r="C541" s="136" t="str">
        <f>tbl_IO_List[[#This Row],[Column3]]</f>
        <v>C3S07,06</v>
      </c>
      <c r="D541" s="136" t="str">
        <f>tbl_IO_List[[#This Row],[Card]]</f>
        <v>1756-N2-6</v>
      </c>
      <c r="E541" s="136" t="s">
        <v>1366</v>
      </c>
      <c r="F541" s="136" t="str">
        <f>tbl_IO_List[[#This Row],[Column23]]&amp;"-" &amp;tbl_IO_List[[#This Row],[Column52]]</f>
        <v>C3S07-X1</v>
      </c>
      <c r="G541" s="136" t="str">
        <f>tbl_IO_List[[#This Row],[PLC_Tag]]</f>
        <v>FT-60262FE_AI_1</v>
      </c>
      <c r="H541" s="136"/>
      <c r="I541" s="136" t="str">
        <f>VLOOKUP(tbl_IO_List[[#This Row],[Destination]],tbl_Junction[],2,FALSE)</f>
        <v>Spray Dryer 7th Floor</v>
      </c>
      <c r="J541" s="136" t="s">
        <v>270</v>
      </c>
      <c r="K541" s="136" t="s">
        <v>14</v>
      </c>
      <c r="L541" s="136" t="s">
        <v>277</v>
      </c>
      <c r="M541" s="136">
        <f>VLOOKUP(tbl_IO_List[[#This Row],[Instruement Tag]],tbl_Instruement_List[],2,FALSE)</f>
        <v>0</v>
      </c>
      <c r="N541" s="136" t="s">
        <v>95</v>
      </c>
      <c r="O541" s="136" t="s">
        <v>272</v>
      </c>
      <c r="P541" s="136" t="s">
        <v>273</v>
      </c>
      <c r="Q541" s="136" t="str">
        <f>VLOOKUP(tbl_IO_List[[#This Row],[Instruement Tag]],tbl_Instruement_List[],6,FALSE)</f>
        <v>Feed Slurry Flow Transmitter for Nozzle #5 (AMTV-11B)</v>
      </c>
      <c r="R541" s="136"/>
      <c r="S54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41" s="136" t="str">
        <f>tbl_IO_List[[#This Row],[Instruement Tag]]&amp;"_"&amp;tbl_IO_List[[#This Row],[I/O Type]]&amp;"_"&amp;tbl_IO_List[[#This Row],[IO-Point 
(Instruement)]]</f>
        <v>FT-60262FE_AI_1</v>
      </c>
      <c r="U541" s="136" t="s">
        <v>10</v>
      </c>
      <c r="V541" s="136">
        <f>VLOOKUP(tbl_IO_List[[#This Row],[I/O Type]],tbl_Slot_Group[],2,FALSE)</f>
        <v>3</v>
      </c>
      <c r="W541" s="136">
        <v>1</v>
      </c>
      <c r="X541" s="136" t="str">
        <f>tbl_IO_List[[#This Row],[Chassis]]&amp;"S"&amp;TEXT(tbl_IO_List[[#This Row],[Slot]],"00")</f>
        <v>C3S07</v>
      </c>
      <c r="Y541" s="136" t="str">
        <f>tbl_IO_List[[#This Row],[Chassis]]&amp;"S"&amp;TEXT(tbl_IO_List[[#This Row],[Slot]],"00")&amp;tbl_IO_List[[#This Row],[I/O Type]]&amp;TEXT(tbl_IO_List[[#This Row],[Point]],"00")</f>
        <v>C3S07AI06</v>
      </c>
      <c r="Z541" s="136" t="str">
        <f>tbl_IO_List[[#This Row],[Chassis]]&amp;"S"&amp;TEXT(tbl_IO_List[[#This Row],[Slot]],"00")&amp;","&amp;TEXT(tbl_IO_List[[#This Row],[Point]],"00")</f>
        <v>C3S07,06</v>
      </c>
      <c r="AA541" s="136" t="str">
        <f>VLOOKUP(tbl_IO_List[[#This Row],[Column23]],tbl_RackConfig[],5,FALSE) &amp;"-"&amp;tbl_IO_List[[#This Row],[Point]]</f>
        <v>1756-N2-6</v>
      </c>
      <c r="AB541" s="136"/>
      <c r="AC541" s="136"/>
      <c r="AD541" s="136" t="str">
        <f>tbl_IO_List[[#This Row],[I/O Type]]</f>
        <v>AI</v>
      </c>
      <c r="AE541" s="136" t="s">
        <v>1334</v>
      </c>
      <c r="AF541" s="136">
        <v>7</v>
      </c>
      <c r="AG541" s="136">
        <v>6</v>
      </c>
      <c r="AH541" s="136"/>
      <c r="AI541" s="136"/>
      <c r="AJ541" s="136">
        <v>0</v>
      </c>
      <c r="AK541" s="136">
        <v>0</v>
      </c>
      <c r="AL541" s="136">
        <v>1</v>
      </c>
      <c r="AM541" s="136">
        <v>0</v>
      </c>
      <c r="AN541" s="136">
        <v>0</v>
      </c>
      <c r="AO541" s="136"/>
      <c r="AP541" s="143" t="str">
        <f>VLOOKUP(tbl_IO_List[[#This Row],[Instruement Tag]],tbl_Instruement_List[],14,FALSE)</f>
        <v>4 - 20 mA</v>
      </c>
      <c r="AQ541" s="143" t="str">
        <f>tbl_IO_List[[#This Row],[Chassis]]&amp;"S"&amp;tbl_IO_List[[#This Row],[Slot]]&amp;"-"&amp;tbl_IO_List[[#This Row],[Front Terminal Number]]</f>
        <v>C3S7-</v>
      </c>
      <c r="AR541" s="143"/>
      <c r="AS541" s="136" t="str">
        <f>tbl_IO_List[[#This Row],[Terminal Tagging]]&amp;"-"&amp;tbl_IO_List[[#This Row],[Point-Count]]</f>
        <v>-</v>
      </c>
      <c r="AT541" s="136" t="str">
        <f>tbl_IO_List[[#This Row],[Front Terminal Tagging]]&amp;"/"&amp;tbl_IO_List[[#This Row],[Terminal Tagging-Item]]</f>
        <v>C3S7-/-</v>
      </c>
      <c r="AU541" s="136" t="str">
        <f>tbl_IO_List[[#This Row],[Terminal Tagging-Item]]&amp;"/"&amp;tbl_IO_List[[#This Row],[Front Terminal Tagging]]</f>
        <v>-/C3S7-</v>
      </c>
    </row>
    <row r="542" spans="1:47" hidden="1">
      <c r="A542" s="147" t="s">
        <v>1367</v>
      </c>
      <c r="B542" s="136" t="s">
        <v>270</v>
      </c>
      <c r="C542" s="136" t="str">
        <f>tbl_IO_List[[#This Row],[Column3]]</f>
        <v>C3S07,07</v>
      </c>
      <c r="D542" s="136" t="str">
        <f>tbl_IO_List[[#This Row],[Card]]</f>
        <v>1756-N2-7</v>
      </c>
      <c r="E542" s="136" t="s">
        <v>1366</v>
      </c>
      <c r="F542" s="136" t="str">
        <f>tbl_IO_List[[#This Row],[Column23]]&amp;"-" &amp;tbl_IO_List[[#This Row],[Column52]]</f>
        <v>C3S07-X1</v>
      </c>
      <c r="G542" s="136" t="str">
        <f>tbl_IO_List[[#This Row],[PLC_Tag]]</f>
        <v>FT-60262FF_AI_1</v>
      </c>
      <c r="H542" s="136"/>
      <c r="I542" s="136" t="str">
        <f>VLOOKUP(tbl_IO_List[[#This Row],[Destination]],tbl_Junction[],2,FALSE)</f>
        <v>Spray Dryer 7th Floor</v>
      </c>
      <c r="J542" s="136" t="s">
        <v>270</v>
      </c>
      <c r="K542" s="136" t="s">
        <v>14</v>
      </c>
      <c r="L542" s="136" t="s">
        <v>278</v>
      </c>
      <c r="M542" s="136">
        <f>VLOOKUP(tbl_IO_List[[#This Row],[Instruement Tag]],tbl_Instruement_List[],2,FALSE)</f>
        <v>0</v>
      </c>
      <c r="N542" s="136" t="s">
        <v>95</v>
      </c>
      <c r="O542" s="136" t="s">
        <v>272</v>
      </c>
      <c r="P542" s="136" t="s">
        <v>273</v>
      </c>
      <c r="Q542" s="136" t="str">
        <f>VLOOKUP(tbl_IO_List[[#This Row],[Instruement Tag]],tbl_Instruement_List[],6,FALSE)</f>
        <v>Feed Slurry Flow Transmitter for Nozzle #6 (AMTV-11B)</v>
      </c>
      <c r="R542" s="136"/>
      <c r="S54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42" s="136" t="str">
        <f>tbl_IO_List[[#This Row],[Instruement Tag]]&amp;"_"&amp;tbl_IO_List[[#This Row],[I/O Type]]&amp;"_"&amp;tbl_IO_List[[#This Row],[IO-Point 
(Instruement)]]</f>
        <v>FT-60262FF_AI_1</v>
      </c>
      <c r="U542" s="136" t="s">
        <v>10</v>
      </c>
      <c r="V542" s="136">
        <f>VLOOKUP(tbl_IO_List[[#This Row],[I/O Type]],tbl_Slot_Group[],2,FALSE)</f>
        <v>3</v>
      </c>
      <c r="W542" s="136">
        <v>1</v>
      </c>
      <c r="X542" s="136" t="str">
        <f>tbl_IO_List[[#This Row],[Chassis]]&amp;"S"&amp;TEXT(tbl_IO_List[[#This Row],[Slot]],"00")</f>
        <v>C3S07</v>
      </c>
      <c r="Y542" s="136" t="str">
        <f>tbl_IO_List[[#This Row],[Chassis]]&amp;"S"&amp;TEXT(tbl_IO_List[[#This Row],[Slot]],"00")&amp;tbl_IO_List[[#This Row],[I/O Type]]&amp;TEXT(tbl_IO_List[[#This Row],[Point]],"00")</f>
        <v>C3S07AI07</v>
      </c>
      <c r="Z542" s="136" t="str">
        <f>tbl_IO_List[[#This Row],[Chassis]]&amp;"S"&amp;TEXT(tbl_IO_List[[#This Row],[Slot]],"00")&amp;","&amp;TEXT(tbl_IO_List[[#This Row],[Point]],"00")</f>
        <v>C3S07,07</v>
      </c>
      <c r="AA542" s="136" t="str">
        <f>VLOOKUP(tbl_IO_List[[#This Row],[Column23]],tbl_RackConfig[],5,FALSE) &amp;"-"&amp;tbl_IO_List[[#This Row],[Point]]</f>
        <v>1756-N2-7</v>
      </c>
      <c r="AB542" s="136"/>
      <c r="AC542" s="136"/>
      <c r="AD542" s="136" t="str">
        <f>tbl_IO_List[[#This Row],[I/O Type]]</f>
        <v>AI</v>
      </c>
      <c r="AE542" s="136" t="s">
        <v>1334</v>
      </c>
      <c r="AF542" s="136">
        <v>7</v>
      </c>
      <c r="AG542" s="136">
        <v>7</v>
      </c>
      <c r="AH542" s="136"/>
      <c r="AI542" s="136"/>
      <c r="AJ542" s="136">
        <v>0</v>
      </c>
      <c r="AK542" s="136">
        <v>0</v>
      </c>
      <c r="AL542" s="136">
        <v>1</v>
      </c>
      <c r="AM542" s="136">
        <v>0</v>
      </c>
      <c r="AN542" s="136">
        <v>0</v>
      </c>
      <c r="AO542" s="136"/>
      <c r="AP542" s="143" t="str">
        <f>VLOOKUP(tbl_IO_List[[#This Row],[Instruement Tag]],tbl_Instruement_List[],14,FALSE)</f>
        <v>4 - 20 mA</v>
      </c>
      <c r="AQ542" s="143" t="str">
        <f>tbl_IO_List[[#This Row],[Chassis]]&amp;"S"&amp;tbl_IO_List[[#This Row],[Slot]]&amp;"-"&amp;tbl_IO_List[[#This Row],[Front Terminal Number]]</f>
        <v>C3S7-</v>
      </c>
      <c r="AR542" s="143"/>
      <c r="AS542" s="136" t="str">
        <f>tbl_IO_List[[#This Row],[Terminal Tagging]]&amp;"-"&amp;tbl_IO_List[[#This Row],[Point-Count]]</f>
        <v>-</v>
      </c>
      <c r="AT542" s="136" t="str">
        <f>tbl_IO_List[[#This Row],[Front Terminal Tagging]]&amp;"/"&amp;tbl_IO_List[[#This Row],[Terminal Tagging-Item]]</f>
        <v>C3S7-/-</v>
      </c>
      <c r="AU542" s="136" t="str">
        <f>tbl_IO_List[[#This Row],[Terminal Tagging-Item]]&amp;"/"&amp;tbl_IO_List[[#This Row],[Front Terminal Tagging]]</f>
        <v>-/C3S7-</v>
      </c>
    </row>
    <row r="543" spans="1:47" hidden="1">
      <c r="A543" s="147" t="s">
        <v>1367</v>
      </c>
      <c r="B543" s="136" t="s">
        <v>270</v>
      </c>
      <c r="C543" s="136" t="str">
        <f>tbl_IO_List[[#This Row],[Column3]]</f>
        <v>C3S07,08</v>
      </c>
      <c r="D543" s="136" t="str">
        <f>tbl_IO_List[[#This Row],[Card]]</f>
        <v>1756-N2-8</v>
      </c>
      <c r="E543" s="136" t="s">
        <v>1366</v>
      </c>
      <c r="F543" s="136" t="str">
        <f>tbl_IO_List[[#This Row],[Column23]]&amp;"-" &amp;tbl_IO_List[[#This Row],[Column52]]</f>
        <v>C3S07-X1</v>
      </c>
      <c r="G543" s="136" t="str">
        <f>tbl_IO_List[[#This Row],[PLC_Tag]]</f>
        <v>FT-60262FG_AI_1</v>
      </c>
      <c r="H543" s="136"/>
      <c r="I543" s="136" t="str">
        <f>VLOOKUP(tbl_IO_List[[#This Row],[Destination]],tbl_Junction[],2,FALSE)</f>
        <v>Spray Dryer 7th Floor</v>
      </c>
      <c r="J543" s="136" t="s">
        <v>270</v>
      </c>
      <c r="K543" s="136" t="s">
        <v>14</v>
      </c>
      <c r="L543" s="136" t="s">
        <v>279</v>
      </c>
      <c r="M543" s="136">
        <f>VLOOKUP(tbl_IO_List[[#This Row],[Instruement Tag]],tbl_Instruement_List[],2,FALSE)</f>
        <v>0</v>
      </c>
      <c r="N543" s="136" t="s">
        <v>95</v>
      </c>
      <c r="O543" s="136" t="s">
        <v>272</v>
      </c>
      <c r="P543" s="136" t="s">
        <v>273</v>
      </c>
      <c r="Q543" s="136" t="str">
        <f>VLOOKUP(tbl_IO_List[[#This Row],[Instruement Tag]],tbl_Instruement_List[],6,FALSE)</f>
        <v>Feed Slurry Flow Transmitter for Nozzle #7 (AMTV-11B)</v>
      </c>
      <c r="R543" s="136"/>
      <c r="S54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43" s="136" t="str">
        <f>tbl_IO_List[[#This Row],[Instruement Tag]]&amp;"_"&amp;tbl_IO_List[[#This Row],[I/O Type]]&amp;"_"&amp;tbl_IO_List[[#This Row],[IO-Point 
(Instruement)]]</f>
        <v>FT-60262FG_AI_1</v>
      </c>
      <c r="U543" s="136" t="s">
        <v>10</v>
      </c>
      <c r="V543" s="136">
        <f>VLOOKUP(tbl_IO_List[[#This Row],[I/O Type]],tbl_Slot_Group[],2,FALSE)</f>
        <v>3</v>
      </c>
      <c r="W543" s="136">
        <v>1</v>
      </c>
      <c r="X543" s="136" t="str">
        <f>tbl_IO_List[[#This Row],[Chassis]]&amp;"S"&amp;TEXT(tbl_IO_List[[#This Row],[Slot]],"00")</f>
        <v>C3S07</v>
      </c>
      <c r="Y543" s="136" t="str">
        <f>tbl_IO_List[[#This Row],[Chassis]]&amp;"S"&amp;TEXT(tbl_IO_List[[#This Row],[Slot]],"00")&amp;tbl_IO_List[[#This Row],[I/O Type]]&amp;TEXT(tbl_IO_List[[#This Row],[Point]],"00")</f>
        <v>C3S07AI08</v>
      </c>
      <c r="Z543" s="136" t="str">
        <f>tbl_IO_List[[#This Row],[Chassis]]&amp;"S"&amp;TEXT(tbl_IO_List[[#This Row],[Slot]],"00")&amp;","&amp;TEXT(tbl_IO_List[[#This Row],[Point]],"00")</f>
        <v>C3S07,08</v>
      </c>
      <c r="AA543" s="136" t="str">
        <f>VLOOKUP(tbl_IO_List[[#This Row],[Column23]],tbl_RackConfig[],5,FALSE) &amp;"-"&amp;tbl_IO_List[[#This Row],[Point]]</f>
        <v>1756-N2-8</v>
      </c>
      <c r="AB543" s="136"/>
      <c r="AC543" s="136"/>
      <c r="AD543" s="136" t="str">
        <f>tbl_IO_List[[#This Row],[I/O Type]]</f>
        <v>AI</v>
      </c>
      <c r="AE543" s="136" t="s">
        <v>1334</v>
      </c>
      <c r="AF543" s="136">
        <v>7</v>
      </c>
      <c r="AG543" s="136">
        <v>8</v>
      </c>
      <c r="AH543" s="136"/>
      <c r="AI543" s="136"/>
      <c r="AJ543" s="136">
        <v>0</v>
      </c>
      <c r="AK543" s="136">
        <v>0</v>
      </c>
      <c r="AL543" s="136">
        <v>1</v>
      </c>
      <c r="AM543" s="136">
        <v>0</v>
      </c>
      <c r="AN543" s="136">
        <v>0</v>
      </c>
      <c r="AO543" s="136"/>
      <c r="AP543" s="143" t="str">
        <f>VLOOKUP(tbl_IO_List[[#This Row],[Instruement Tag]],tbl_Instruement_List[],14,FALSE)</f>
        <v>4 - 20 mA</v>
      </c>
      <c r="AQ543" s="143" t="str">
        <f>tbl_IO_List[[#This Row],[Chassis]]&amp;"S"&amp;tbl_IO_List[[#This Row],[Slot]]&amp;"-"&amp;tbl_IO_List[[#This Row],[Front Terminal Number]]</f>
        <v>C3S7-</v>
      </c>
      <c r="AR543" s="143"/>
      <c r="AS543" s="136" t="str">
        <f>tbl_IO_List[[#This Row],[Terminal Tagging]]&amp;"-"&amp;tbl_IO_List[[#This Row],[Point-Count]]</f>
        <v>-</v>
      </c>
      <c r="AT543" s="136" t="str">
        <f>tbl_IO_List[[#This Row],[Front Terminal Tagging]]&amp;"/"&amp;tbl_IO_List[[#This Row],[Terminal Tagging-Item]]</f>
        <v>C3S7-/-</v>
      </c>
      <c r="AU543" s="136" t="str">
        <f>tbl_IO_List[[#This Row],[Terminal Tagging-Item]]&amp;"/"&amp;tbl_IO_List[[#This Row],[Front Terminal Tagging]]</f>
        <v>-/C3S7-</v>
      </c>
    </row>
    <row r="544" spans="1:47" hidden="1">
      <c r="A544" s="147" t="s">
        <v>1367</v>
      </c>
      <c r="B544" s="136" t="s">
        <v>270</v>
      </c>
      <c r="C544" s="136" t="str">
        <f>tbl_IO_List[[#This Row],[Column3]]</f>
        <v>C3S07,09</v>
      </c>
      <c r="D544" s="136" t="str">
        <f>tbl_IO_List[[#This Row],[Card]]</f>
        <v>1756-N2-9</v>
      </c>
      <c r="E544" s="136" t="s">
        <v>1366</v>
      </c>
      <c r="F544" s="136" t="str">
        <f>tbl_IO_List[[#This Row],[Column23]]&amp;"-" &amp;tbl_IO_List[[#This Row],[Column52]]</f>
        <v>C3S07-X1</v>
      </c>
      <c r="G544" s="136" t="str">
        <f>tbl_IO_List[[#This Row],[PLC_Tag]]</f>
        <v>FT-60262FH_AI_1</v>
      </c>
      <c r="H544" s="136"/>
      <c r="I544" s="136" t="str">
        <f>VLOOKUP(tbl_IO_List[[#This Row],[Destination]],tbl_Junction[],2,FALSE)</f>
        <v>Spray Dryer 7th Floor</v>
      </c>
      <c r="J544" s="136" t="s">
        <v>270</v>
      </c>
      <c r="K544" s="136" t="s">
        <v>14</v>
      </c>
      <c r="L544" s="136" t="s">
        <v>280</v>
      </c>
      <c r="M544" s="136">
        <f>VLOOKUP(tbl_IO_List[[#This Row],[Instruement Tag]],tbl_Instruement_List[],2,FALSE)</f>
        <v>0</v>
      </c>
      <c r="N544" s="136" t="s">
        <v>95</v>
      </c>
      <c r="O544" s="136" t="s">
        <v>272</v>
      </c>
      <c r="P544" s="136" t="s">
        <v>273</v>
      </c>
      <c r="Q544" s="136" t="str">
        <f>VLOOKUP(tbl_IO_List[[#This Row],[Instruement Tag]],tbl_Instruement_List[],6,FALSE)</f>
        <v>Feed Slurry Flow Transmitter for Nozzle #8 (AMTV-11B)</v>
      </c>
      <c r="R544" s="136"/>
      <c r="S54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44" s="136" t="str">
        <f>tbl_IO_List[[#This Row],[Instruement Tag]]&amp;"_"&amp;tbl_IO_List[[#This Row],[I/O Type]]&amp;"_"&amp;tbl_IO_List[[#This Row],[IO-Point 
(Instruement)]]</f>
        <v>FT-60262FH_AI_1</v>
      </c>
      <c r="U544" s="136" t="s">
        <v>10</v>
      </c>
      <c r="V544" s="136">
        <f>VLOOKUP(tbl_IO_List[[#This Row],[I/O Type]],tbl_Slot_Group[],2,FALSE)</f>
        <v>3</v>
      </c>
      <c r="W544" s="136">
        <v>1</v>
      </c>
      <c r="X544" s="136" t="str">
        <f>tbl_IO_List[[#This Row],[Chassis]]&amp;"S"&amp;TEXT(tbl_IO_List[[#This Row],[Slot]],"00")</f>
        <v>C3S07</v>
      </c>
      <c r="Y544" s="136" t="str">
        <f>tbl_IO_List[[#This Row],[Chassis]]&amp;"S"&amp;TEXT(tbl_IO_List[[#This Row],[Slot]],"00")&amp;tbl_IO_List[[#This Row],[I/O Type]]&amp;TEXT(tbl_IO_List[[#This Row],[Point]],"00")</f>
        <v>C3S07AI09</v>
      </c>
      <c r="Z544" s="136" t="str">
        <f>tbl_IO_List[[#This Row],[Chassis]]&amp;"S"&amp;TEXT(tbl_IO_List[[#This Row],[Slot]],"00")&amp;","&amp;TEXT(tbl_IO_List[[#This Row],[Point]],"00")</f>
        <v>C3S07,09</v>
      </c>
      <c r="AA544" s="136" t="str">
        <f>VLOOKUP(tbl_IO_List[[#This Row],[Column23]],tbl_RackConfig[],5,FALSE) &amp;"-"&amp;tbl_IO_List[[#This Row],[Point]]</f>
        <v>1756-N2-9</v>
      </c>
      <c r="AB544" s="136"/>
      <c r="AC544" s="136"/>
      <c r="AD544" s="136" t="str">
        <f>tbl_IO_List[[#This Row],[I/O Type]]</f>
        <v>AI</v>
      </c>
      <c r="AE544" s="136" t="s">
        <v>1334</v>
      </c>
      <c r="AF544" s="136">
        <v>7</v>
      </c>
      <c r="AG544" s="136">
        <v>9</v>
      </c>
      <c r="AH544" s="136"/>
      <c r="AI544" s="136"/>
      <c r="AJ544" s="136">
        <v>0</v>
      </c>
      <c r="AK544" s="136">
        <v>0</v>
      </c>
      <c r="AL544" s="136">
        <v>1</v>
      </c>
      <c r="AM544" s="136">
        <v>0</v>
      </c>
      <c r="AN544" s="136">
        <v>0</v>
      </c>
      <c r="AO544" s="136"/>
      <c r="AP544" s="143" t="str">
        <f>VLOOKUP(tbl_IO_List[[#This Row],[Instruement Tag]],tbl_Instruement_List[],14,FALSE)</f>
        <v>4 - 20 mA</v>
      </c>
      <c r="AQ544" s="143" t="str">
        <f>tbl_IO_List[[#This Row],[Chassis]]&amp;"S"&amp;tbl_IO_List[[#This Row],[Slot]]&amp;"-"&amp;tbl_IO_List[[#This Row],[Front Terminal Number]]</f>
        <v>C3S7-</v>
      </c>
      <c r="AR544" s="143"/>
      <c r="AS544" s="136" t="str">
        <f>tbl_IO_List[[#This Row],[Terminal Tagging]]&amp;"-"&amp;tbl_IO_List[[#This Row],[Point-Count]]</f>
        <v>-</v>
      </c>
      <c r="AT544" s="136" t="str">
        <f>tbl_IO_List[[#This Row],[Front Terminal Tagging]]&amp;"/"&amp;tbl_IO_List[[#This Row],[Terminal Tagging-Item]]</f>
        <v>C3S7-/-</v>
      </c>
      <c r="AU544" s="136" t="str">
        <f>tbl_IO_List[[#This Row],[Terminal Tagging-Item]]&amp;"/"&amp;tbl_IO_List[[#This Row],[Front Terminal Tagging]]</f>
        <v>-/C3S7-</v>
      </c>
    </row>
    <row r="545" spans="1:47" hidden="1">
      <c r="A545" s="147" t="s">
        <v>1367</v>
      </c>
      <c r="B545" s="136" t="s">
        <v>270</v>
      </c>
      <c r="C545" s="136" t="str">
        <f>tbl_IO_List[[#This Row],[Column3]]</f>
        <v>C3S07,10</v>
      </c>
      <c r="D545" s="136" t="str">
        <f>tbl_IO_List[[#This Row],[Card]]</f>
        <v>1756-N2-10</v>
      </c>
      <c r="E545" s="136" t="s">
        <v>1366</v>
      </c>
      <c r="F545" s="136" t="str">
        <f>tbl_IO_List[[#This Row],[Column23]]&amp;"-" &amp;tbl_IO_List[[#This Row],[Column52]]</f>
        <v>C3S07-X1</v>
      </c>
      <c r="G545" s="136" t="str">
        <f>tbl_IO_List[[#This Row],[PLC_Tag]]</f>
        <v>FT-60263FJ_AI_1</v>
      </c>
      <c r="H545" s="136"/>
      <c r="I545" s="136" t="str">
        <f>VLOOKUP(tbl_IO_List[[#This Row],[Destination]],tbl_Junction[],2,FALSE)</f>
        <v>Spray Dryer 7th Floor</v>
      </c>
      <c r="J545" s="136" t="s">
        <v>270</v>
      </c>
      <c r="K545" s="136" t="s">
        <v>14</v>
      </c>
      <c r="L545" s="136" t="s">
        <v>281</v>
      </c>
      <c r="M545" s="136">
        <f>VLOOKUP(tbl_IO_List[[#This Row],[Instruement Tag]],tbl_Instruement_List[],2,FALSE)</f>
        <v>0</v>
      </c>
      <c r="N545" s="136" t="s">
        <v>95</v>
      </c>
      <c r="O545" s="136" t="s">
        <v>272</v>
      </c>
      <c r="P545" s="136" t="s">
        <v>273</v>
      </c>
      <c r="Q545" s="136" t="str">
        <f>VLOOKUP(tbl_IO_List[[#This Row],[Instruement Tag]],tbl_Instruement_List[],6,FALSE)</f>
        <v>Feed Slurry Flow Transmitter for Nozzle #9 (AMTV-11C)</v>
      </c>
      <c r="R545" s="136"/>
      <c r="S54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45" s="136" t="str">
        <f>tbl_IO_List[[#This Row],[Instruement Tag]]&amp;"_"&amp;tbl_IO_List[[#This Row],[I/O Type]]&amp;"_"&amp;tbl_IO_List[[#This Row],[IO-Point 
(Instruement)]]</f>
        <v>FT-60263FJ_AI_1</v>
      </c>
      <c r="U545" s="136" t="s">
        <v>10</v>
      </c>
      <c r="V545" s="136">
        <f>VLOOKUP(tbl_IO_List[[#This Row],[I/O Type]],tbl_Slot_Group[],2,FALSE)</f>
        <v>3</v>
      </c>
      <c r="W545" s="136">
        <v>1</v>
      </c>
      <c r="X545" s="136" t="str">
        <f>tbl_IO_List[[#This Row],[Chassis]]&amp;"S"&amp;TEXT(tbl_IO_List[[#This Row],[Slot]],"00")</f>
        <v>C3S07</v>
      </c>
      <c r="Y545" s="136" t="str">
        <f>tbl_IO_List[[#This Row],[Chassis]]&amp;"S"&amp;TEXT(tbl_IO_List[[#This Row],[Slot]],"00")&amp;tbl_IO_List[[#This Row],[I/O Type]]&amp;TEXT(tbl_IO_List[[#This Row],[Point]],"00")</f>
        <v>C3S07AI10</v>
      </c>
      <c r="Z545" s="136" t="str">
        <f>tbl_IO_List[[#This Row],[Chassis]]&amp;"S"&amp;TEXT(tbl_IO_List[[#This Row],[Slot]],"00")&amp;","&amp;TEXT(tbl_IO_List[[#This Row],[Point]],"00")</f>
        <v>C3S07,10</v>
      </c>
      <c r="AA545" s="136" t="str">
        <f>VLOOKUP(tbl_IO_List[[#This Row],[Column23]],tbl_RackConfig[],5,FALSE) &amp;"-"&amp;tbl_IO_List[[#This Row],[Point]]</f>
        <v>1756-N2-10</v>
      </c>
      <c r="AB545" s="136"/>
      <c r="AC545" s="136"/>
      <c r="AD545" s="136" t="str">
        <f>tbl_IO_List[[#This Row],[I/O Type]]</f>
        <v>AI</v>
      </c>
      <c r="AE545" s="136" t="s">
        <v>1334</v>
      </c>
      <c r="AF545" s="136">
        <v>7</v>
      </c>
      <c r="AG545" s="136">
        <v>10</v>
      </c>
      <c r="AH545" s="136"/>
      <c r="AI545" s="136"/>
      <c r="AJ545" s="136">
        <v>0</v>
      </c>
      <c r="AK545" s="136">
        <v>0</v>
      </c>
      <c r="AL545" s="136">
        <v>1</v>
      </c>
      <c r="AM545" s="136">
        <v>0</v>
      </c>
      <c r="AN545" s="136">
        <v>0</v>
      </c>
      <c r="AO545" s="136"/>
      <c r="AP545" s="143" t="str">
        <f>VLOOKUP(tbl_IO_List[[#This Row],[Instruement Tag]],tbl_Instruement_List[],14,FALSE)</f>
        <v>4 - 20 mA</v>
      </c>
      <c r="AQ545" s="143" t="str">
        <f>tbl_IO_List[[#This Row],[Chassis]]&amp;"S"&amp;tbl_IO_List[[#This Row],[Slot]]&amp;"-"&amp;tbl_IO_List[[#This Row],[Front Terminal Number]]</f>
        <v>C3S7-</v>
      </c>
      <c r="AR545" s="143"/>
      <c r="AS545" s="136" t="str">
        <f>tbl_IO_List[[#This Row],[Terminal Tagging]]&amp;"-"&amp;tbl_IO_List[[#This Row],[Point-Count]]</f>
        <v>-</v>
      </c>
      <c r="AT545" s="136" t="str">
        <f>tbl_IO_List[[#This Row],[Front Terminal Tagging]]&amp;"/"&amp;tbl_IO_List[[#This Row],[Terminal Tagging-Item]]</f>
        <v>C3S7-/-</v>
      </c>
      <c r="AU545" s="136" t="str">
        <f>tbl_IO_List[[#This Row],[Terminal Tagging-Item]]&amp;"/"&amp;tbl_IO_List[[#This Row],[Front Terminal Tagging]]</f>
        <v>-/C3S7-</v>
      </c>
    </row>
    <row r="546" spans="1:47" hidden="1">
      <c r="A546" s="147" t="s">
        <v>1367</v>
      </c>
      <c r="B546" s="136" t="s">
        <v>270</v>
      </c>
      <c r="C546" s="136" t="str">
        <f>tbl_IO_List[[#This Row],[Column3]]</f>
        <v>C3S07,11</v>
      </c>
      <c r="D546" s="136" t="str">
        <f>tbl_IO_List[[#This Row],[Card]]</f>
        <v>1756-N2-11</v>
      </c>
      <c r="E546" s="136" t="s">
        <v>1366</v>
      </c>
      <c r="F546" s="136" t="str">
        <f>tbl_IO_List[[#This Row],[Column23]]&amp;"-" &amp;tbl_IO_List[[#This Row],[Column52]]</f>
        <v>C3S07-X1</v>
      </c>
      <c r="G546" s="136" t="str">
        <f>tbl_IO_List[[#This Row],[PLC_Tag]]</f>
        <v>FT-60263FK_AI_1</v>
      </c>
      <c r="H546" s="136"/>
      <c r="I546" s="136" t="str">
        <f>VLOOKUP(tbl_IO_List[[#This Row],[Destination]],tbl_Junction[],2,FALSE)</f>
        <v>Spray Dryer 7th Floor</v>
      </c>
      <c r="J546" s="136" t="s">
        <v>270</v>
      </c>
      <c r="K546" s="136" t="s">
        <v>14</v>
      </c>
      <c r="L546" s="136" t="s">
        <v>282</v>
      </c>
      <c r="M546" s="136">
        <f>VLOOKUP(tbl_IO_List[[#This Row],[Instruement Tag]],tbl_Instruement_List[],2,FALSE)</f>
        <v>0</v>
      </c>
      <c r="N546" s="136" t="s">
        <v>95</v>
      </c>
      <c r="O546" s="136" t="s">
        <v>272</v>
      </c>
      <c r="P546" s="136" t="s">
        <v>273</v>
      </c>
      <c r="Q546" s="136" t="str">
        <f>VLOOKUP(tbl_IO_List[[#This Row],[Instruement Tag]],tbl_Instruement_List[],6,FALSE)</f>
        <v>Feed Slurry Flow Transmitter for Nozzle #10 (AMTV-11C)</v>
      </c>
      <c r="R546" s="136"/>
      <c r="S54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46" s="136" t="str">
        <f>tbl_IO_List[[#This Row],[Instruement Tag]]&amp;"_"&amp;tbl_IO_List[[#This Row],[I/O Type]]&amp;"_"&amp;tbl_IO_List[[#This Row],[IO-Point 
(Instruement)]]</f>
        <v>FT-60263FK_AI_1</v>
      </c>
      <c r="U546" s="136" t="s">
        <v>10</v>
      </c>
      <c r="V546" s="136">
        <f>VLOOKUP(tbl_IO_List[[#This Row],[I/O Type]],tbl_Slot_Group[],2,FALSE)</f>
        <v>3</v>
      </c>
      <c r="W546" s="136">
        <v>1</v>
      </c>
      <c r="X546" s="136" t="str">
        <f>tbl_IO_List[[#This Row],[Chassis]]&amp;"S"&amp;TEXT(tbl_IO_List[[#This Row],[Slot]],"00")</f>
        <v>C3S07</v>
      </c>
      <c r="Y546" s="136" t="str">
        <f>tbl_IO_List[[#This Row],[Chassis]]&amp;"S"&amp;TEXT(tbl_IO_List[[#This Row],[Slot]],"00")&amp;tbl_IO_List[[#This Row],[I/O Type]]&amp;TEXT(tbl_IO_List[[#This Row],[Point]],"00")</f>
        <v>C3S07AI11</v>
      </c>
      <c r="Z546" s="136" t="str">
        <f>tbl_IO_List[[#This Row],[Chassis]]&amp;"S"&amp;TEXT(tbl_IO_List[[#This Row],[Slot]],"00")&amp;","&amp;TEXT(tbl_IO_List[[#This Row],[Point]],"00")</f>
        <v>C3S07,11</v>
      </c>
      <c r="AA546" s="136" t="str">
        <f>VLOOKUP(tbl_IO_List[[#This Row],[Column23]],tbl_RackConfig[],5,FALSE) &amp;"-"&amp;tbl_IO_List[[#This Row],[Point]]</f>
        <v>1756-N2-11</v>
      </c>
      <c r="AB546" s="136"/>
      <c r="AC546" s="136"/>
      <c r="AD546" s="136" t="str">
        <f>tbl_IO_List[[#This Row],[I/O Type]]</f>
        <v>AI</v>
      </c>
      <c r="AE546" s="136" t="s">
        <v>1334</v>
      </c>
      <c r="AF546" s="136">
        <v>7</v>
      </c>
      <c r="AG546" s="136">
        <v>11</v>
      </c>
      <c r="AH546" s="136"/>
      <c r="AI546" s="136"/>
      <c r="AJ546" s="136">
        <v>0</v>
      </c>
      <c r="AK546" s="136">
        <v>0</v>
      </c>
      <c r="AL546" s="136">
        <v>1</v>
      </c>
      <c r="AM546" s="136">
        <v>0</v>
      </c>
      <c r="AN546" s="136">
        <v>0</v>
      </c>
      <c r="AO546" s="136"/>
      <c r="AP546" s="143" t="str">
        <f>VLOOKUP(tbl_IO_List[[#This Row],[Instruement Tag]],tbl_Instruement_List[],14,FALSE)</f>
        <v>4 - 20 mA</v>
      </c>
      <c r="AQ546" s="143" t="str">
        <f>tbl_IO_List[[#This Row],[Chassis]]&amp;"S"&amp;tbl_IO_List[[#This Row],[Slot]]&amp;"-"&amp;tbl_IO_List[[#This Row],[Front Terminal Number]]</f>
        <v>C3S7-</v>
      </c>
      <c r="AR546" s="143"/>
      <c r="AS546" s="136" t="str">
        <f>tbl_IO_List[[#This Row],[Terminal Tagging]]&amp;"-"&amp;tbl_IO_List[[#This Row],[Point-Count]]</f>
        <v>-</v>
      </c>
      <c r="AT546" s="136" t="str">
        <f>tbl_IO_List[[#This Row],[Front Terminal Tagging]]&amp;"/"&amp;tbl_IO_List[[#This Row],[Terminal Tagging-Item]]</f>
        <v>C3S7-/-</v>
      </c>
      <c r="AU546" s="136" t="str">
        <f>tbl_IO_List[[#This Row],[Terminal Tagging-Item]]&amp;"/"&amp;tbl_IO_List[[#This Row],[Front Terminal Tagging]]</f>
        <v>-/C3S7-</v>
      </c>
    </row>
    <row r="547" spans="1:47" hidden="1">
      <c r="A547" s="147" t="s">
        <v>1367</v>
      </c>
      <c r="B547" s="136" t="s">
        <v>270</v>
      </c>
      <c r="C547" s="136" t="str">
        <f>tbl_IO_List[[#This Row],[Column3]]</f>
        <v>C3S07,12</v>
      </c>
      <c r="D547" s="136" t="str">
        <f>tbl_IO_List[[#This Row],[Card]]</f>
        <v>1756-N2-12</v>
      </c>
      <c r="E547" s="136" t="s">
        <v>1366</v>
      </c>
      <c r="F547" s="136" t="str">
        <f>tbl_IO_List[[#This Row],[Column23]]&amp;"-" &amp;tbl_IO_List[[#This Row],[Column52]]</f>
        <v>C3S07-X1</v>
      </c>
      <c r="G547" s="136" t="str">
        <f>tbl_IO_List[[#This Row],[PLC_Tag]]</f>
        <v>FT-60263FL_AI_1</v>
      </c>
      <c r="H547" s="136"/>
      <c r="I547" s="136" t="str">
        <f>VLOOKUP(tbl_IO_List[[#This Row],[Destination]],tbl_Junction[],2,FALSE)</f>
        <v>Spray Dryer 7th Floor</v>
      </c>
      <c r="J547" s="136" t="s">
        <v>270</v>
      </c>
      <c r="K547" s="136" t="s">
        <v>14</v>
      </c>
      <c r="L547" s="136" t="s">
        <v>283</v>
      </c>
      <c r="M547" s="136">
        <f>VLOOKUP(tbl_IO_List[[#This Row],[Instruement Tag]],tbl_Instruement_List[],2,FALSE)</f>
        <v>0</v>
      </c>
      <c r="N547" s="136" t="s">
        <v>95</v>
      </c>
      <c r="O547" s="136" t="s">
        <v>272</v>
      </c>
      <c r="P547" s="136" t="s">
        <v>273</v>
      </c>
      <c r="Q547" s="136" t="str">
        <f>VLOOKUP(tbl_IO_List[[#This Row],[Instruement Tag]],tbl_Instruement_List[],6,FALSE)</f>
        <v>Feed Slurry Flow Transmitter for Nozzle #11 (AMTV-11C)</v>
      </c>
      <c r="R547" s="136"/>
      <c r="S54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47" s="136" t="str">
        <f>tbl_IO_List[[#This Row],[Instruement Tag]]&amp;"_"&amp;tbl_IO_List[[#This Row],[I/O Type]]&amp;"_"&amp;tbl_IO_List[[#This Row],[IO-Point 
(Instruement)]]</f>
        <v>FT-60263FL_AI_1</v>
      </c>
      <c r="U547" s="136" t="s">
        <v>10</v>
      </c>
      <c r="V547" s="136">
        <f>VLOOKUP(tbl_IO_List[[#This Row],[I/O Type]],tbl_Slot_Group[],2,FALSE)</f>
        <v>3</v>
      </c>
      <c r="W547" s="136">
        <v>1</v>
      </c>
      <c r="X547" s="136" t="str">
        <f>tbl_IO_List[[#This Row],[Chassis]]&amp;"S"&amp;TEXT(tbl_IO_List[[#This Row],[Slot]],"00")</f>
        <v>C3S07</v>
      </c>
      <c r="Y547" s="136" t="str">
        <f>tbl_IO_List[[#This Row],[Chassis]]&amp;"S"&amp;TEXT(tbl_IO_List[[#This Row],[Slot]],"00")&amp;tbl_IO_List[[#This Row],[I/O Type]]&amp;TEXT(tbl_IO_List[[#This Row],[Point]],"00")</f>
        <v>C3S07AI12</v>
      </c>
      <c r="Z547" s="136" t="str">
        <f>tbl_IO_List[[#This Row],[Chassis]]&amp;"S"&amp;TEXT(tbl_IO_List[[#This Row],[Slot]],"00")&amp;","&amp;TEXT(tbl_IO_List[[#This Row],[Point]],"00")</f>
        <v>C3S07,12</v>
      </c>
      <c r="AA547" s="136" t="str">
        <f>VLOOKUP(tbl_IO_List[[#This Row],[Column23]],tbl_RackConfig[],5,FALSE) &amp;"-"&amp;tbl_IO_List[[#This Row],[Point]]</f>
        <v>1756-N2-12</v>
      </c>
      <c r="AB547" s="136"/>
      <c r="AC547" s="136"/>
      <c r="AD547" s="136" t="str">
        <f>tbl_IO_List[[#This Row],[I/O Type]]</f>
        <v>AI</v>
      </c>
      <c r="AE547" s="136" t="s">
        <v>1334</v>
      </c>
      <c r="AF547" s="136">
        <v>7</v>
      </c>
      <c r="AG547" s="136">
        <v>12</v>
      </c>
      <c r="AH547" s="136"/>
      <c r="AI547" s="136"/>
      <c r="AJ547" s="136">
        <v>0</v>
      </c>
      <c r="AK547" s="136">
        <v>0</v>
      </c>
      <c r="AL547" s="136">
        <v>1</v>
      </c>
      <c r="AM547" s="136">
        <v>0</v>
      </c>
      <c r="AN547" s="136">
        <v>0</v>
      </c>
      <c r="AO547" s="136"/>
      <c r="AP547" s="143" t="str">
        <f>VLOOKUP(tbl_IO_List[[#This Row],[Instruement Tag]],tbl_Instruement_List[],14,FALSE)</f>
        <v>4 - 20 mA</v>
      </c>
      <c r="AQ547" s="143" t="str">
        <f>tbl_IO_List[[#This Row],[Chassis]]&amp;"S"&amp;tbl_IO_List[[#This Row],[Slot]]&amp;"-"&amp;tbl_IO_List[[#This Row],[Front Terminal Number]]</f>
        <v>C3S7-</v>
      </c>
      <c r="AR547" s="143"/>
      <c r="AS547" s="136" t="str">
        <f>tbl_IO_List[[#This Row],[Terminal Tagging]]&amp;"-"&amp;tbl_IO_List[[#This Row],[Point-Count]]</f>
        <v>-</v>
      </c>
      <c r="AT547" s="136" t="str">
        <f>tbl_IO_List[[#This Row],[Front Terminal Tagging]]&amp;"/"&amp;tbl_IO_List[[#This Row],[Terminal Tagging-Item]]</f>
        <v>C3S7-/-</v>
      </c>
      <c r="AU547" s="136" t="str">
        <f>tbl_IO_List[[#This Row],[Terminal Tagging-Item]]&amp;"/"&amp;tbl_IO_List[[#This Row],[Front Terminal Tagging]]</f>
        <v>-/C3S7-</v>
      </c>
    </row>
    <row r="548" spans="1:47" hidden="1">
      <c r="A548" s="147" t="s">
        <v>1367</v>
      </c>
      <c r="B548" s="136" t="s">
        <v>270</v>
      </c>
      <c r="C548" s="136" t="str">
        <f>tbl_IO_List[[#This Row],[Column3]]</f>
        <v>C3S07,13</v>
      </c>
      <c r="D548" s="136" t="str">
        <f>tbl_IO_List[[#This Row],[Card]]</f>
        <v>1756-N2-13</v>
      </c>
      <c r="E548" s="136" t="s">
        <v>1366</v>
      </c>
      <c r="F548" s="136" t="str">
        <f>tbl_IO_List[[#This Row],[Column23]]&amp;"-" &amp;tbl_IO_List[[#This Row],[Column52]]</f>
        <v>C3S07-X1</v>
      </c>
      <c r="G548" s="136" t="str">
        <f>tbl_IO_List[[#This Row],[PLC_Tag]]</f>
        <v>FT-60263FM_AI_1</v>
      </c>
      <c r="H548" s="136"/>
      <c r="I548" s="136" t="str">
        <f>VLOOKUP(tbl_IO_List[[#This Row],[Destination]],tbl_Junction[],2,FALSE)</f>
        <v>Spray Dryer 7th Floor</v>
      </c>
      <c r="J548" s="136" t="s">
        <v>270</v>
      </c>
      <c r="K548" s="136" t="s">
        <v>14</v>
      </c>
      <c r="L548" s="136" t="s">
        <v>284</v>
      </c>
      <c r="M548" s="136">
        <f>VLOOKUP(tbl_IO_List[[#This Row],[Instruement Tag]],tbl_Instruement_List[],2,FALSE)</f>
        <v>0</v>
      </c>
      <c r="N548" s="136" t="s">
        <v>95</v>
      </c>
      <c r="O548" s="136" t="s">
        <v>272</v>
      </c>
      <c r="P548" s="136" t="s">
        <v>273</v>
      </c>
      <c r="Q548" s="136" t="str">
        <f>VLOOKUP(tbl_IO_List[[#This Row],[Instruement Tag]],tbl_Instruement_List[],6,FALSE)</f>
        <v>Feed Slurry Flow Transmitter for Nozzle #12 (AMTV-11C)</v>
      </c>
      <c r="R548" s="136"/>
      <c r="S54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48" s="136" t="str">
        <f>tbl_IO_List[[#This Row],[Instruement Tag]]&amp;"_"&amp;tbl_IO_List[[#This Row],[I/O Type]]&amp;"_"&amp;tbl_IO_List[[#This Row],[IO-Point 
(Instruement)]]</f>
        <v>FT-60263FM_AI_1</v>
      </c>
      <c r="U548" s="136" t="s">
        <v>10</v>
      </c>
      <c r="V548" s="136">
        <f>VLOOKUP(tbl_IO_List[[#This Row],[I/O Type]],tbl_Slot_Group[],2,FALSE)</f>
        <v>3</v>
      </c>
      <c r="W548" s="136">
        <v>1</v>
      </c>
      <c r="X548" s="136" t="str">
        <f>tbl_IO_List[[#This Row],[Chassis]]&amp;"S"&amp;TEXT(tbl_IO_List[[#This Row],[Slot]],"00")</f>
        <v>C3S07</v>
      </c>
      <c r="Y548" s="136" t="str">
        <f>tbl_IO_List[[#This Row],[Chassis]]&amp;"S"&amp;TEXT(tbl_IO_List[[#This Row],[Slot]],"00")&amp;tbl_IO_List[[#This Row],[I/O Type]]&amp;TEXT(tbl_IO_List[[#This Row],[Point]],"00")</f>
        <v>C3S07AI13</v>
      </c>
      <c r="Z548" s="136" t="str">
        <f>tbl_IO_List[[#This Row],[Chassis]]&amp;"S"&amp;TEXT(tbl_IO_List[[#This Row],[Slot]],"00")&amp;","&amp;TEXT(tbl_IO_List[[#This Row],[Point]],"00")</f>
        <v>C3S07,13</v>
      </c>
      <c r="AA548" s="136" t="str">
        <f>VLOOKUP(tbl_IO_List[[#This Row],[Column23]],tbl_RackConfig[],5,FALSE) &amp;"-"&amp;tbl_IO_List[[#This Row],[Point]]</f>
        <v>1756-N2-13</v>
      </c>
      <c r="AB548" s="136"/>
      <c r="AC548" s="136"/>
      <c r="AD548" s="136" t="str">
        <f>tbl_IO_List[[#This Row],[I/O Type]]</f>
        <v>AI</v>
      </c>
      <c r="AE548" s="136" t="s">
        <v>1334</v>
      </c>
      <c r="AF548" s="136">
        <v>7</v>
      </c>
      <c r="AG548" s="136">
        <v>13</v>
      </c>
      <c r="AH548" s="136"/>
      <c r="AI548" s="136"/>
      <c r="AJ548" s="136">
        <v>0</v>
      </c>
      <c r="AK548" s="136">
        <v>0</v>
      </c>
      <c r="AL548" s="136">
        <v>1</v>
      </c>
      <c r="AM548" s="136">
        <v>0</v>
      </c>
      <c r="AN548" s="136">
        <v>0</v>
      </c>
      <c r="AO548" s="136"/>
      <c r="AP548" s="143" t="str">
        <f>VLOOKUP(tbl_IO_List[[#This Row],[Instruement Tag]],tbl_Instruement_List[],14,FALSE)</f>
        <v>4 - 20 mA</v>
      </c>
      <c r="AQ548" s="143" t="str">
        <f>tbl_IO_List[[#This Row],[Chassis]]&amp;"S"&amp;tbl_IO_List[[#This Row],[Slot]]&amp;"-"&amp;tbl_IO_List[[#This Row],[Front Terminal Number]]</f>
        <v>C3S7-</v>
      </c>
      <c r="AR548" s="143"/>
      <c r="AS548" s="136" t="str">
        <f>tbl_IO_List[[#This Row],[Terminal Tagging]]&amp;"-"&amp;tbl_IO_List[[#This Row],[Point-Count]]</f>
        <v>-</v>
      </c>
      <c r="AT548" s="136" t="str">
        <f>tbl_IO_List[[#This Row],[Front Terminal Tagging]]&amp;"/"&amp;tbl_IO_List[[#This Row],[Terminal Tagging-Item]]</f>
        <v>C3S7-/-</v>
      </c>
      <c r="AU548" s="136" t="str">
        <f>tbl_IO_List[[#This Row],[Terminal Tagging-Item]]&amp;"/"&amp;tbl_IO_List[[#This Row],[Front Terminal Tagging]]</f>
        <v>-/C3S7-</v>
      </c>
    </row>
    <row r="549" spans="1:47" hidden="1">
      <c r="A549" s="147" t="s">
        <v>1367</v>
      </c>
      <c r="B549" s="136" t="s">
        <v>270</v>
      </c>
      <c r="C549" s="136" t="str">
        <f>tbl_IO_List[[#This Row],[Column3]]</f>
        <v>C3S07,14</v>
      </c>
      <c r="D549" s="136" t="str">
        <f>tbl_IO_List[[#This Row],[Card]]</f>
        <v>1756-N2-14</v>
      </c>
      <c r="E549" s="136" t="s">
        <v>1366</v>
      </c>
      <c r="F549" s="136" t="str">
        <f>tbl_IO_List[[#This Row],[Column23]]&amp;"-" &amp;tbl_IO_List[[#This Row],[Column52]]</f>
        <v>C3S07-X1</v>
      </c>
      <c r="G549" s="136" t="str">
        <f>tbl_IO_List[[#This Row],[PLC_Tag]]</f>
        <v>FT-60264FN_AI_1</v>
      </c>
      <c r="H549" s="136"/>
      <c r="I549" s="136" t="str">
        <f>VLOOKUP(tbl_IO_List[[#This Row],[Destination]],tbl_Junction[],2,FALSE)</f>
        <v>Spray Dryer 7th Floor</v>
      </c>
      <c r="J549" s="136" t="s">
        <v>270</v>
      </c>
      <c r="K549" s="136" t="s">
        <v>14</v>
      </c>
      <c r="L549" s="136" t="s">
        <v>285</v>
      </c>
      <c r="M549" s="136">
        <f>VLOOKUP(tbl_IO_List[[#This Row],[Instruement Tag]],tbl_Instruement_List[],2,FALSE)</f>
        <v>0</v>
      </c>
      <c r="N549" s="136" t="s">
        <v>95</v>
      </c>
      <c r="O549" s="136" t="s">
        <v>272</v>
      </c>
      <c r="P549" s="136" t="s">
        <v>273</v>
      </c>
      <c r="Q549" s="136" t="str">
        <f>VLOOKUP(tbl_IO_List[[#This Row],[Instruement Tag]],tbl_Instruement_List[],6,FALSE)</f>
        <v>Feed Slurry Flow Transmitter for Nozzle #13 (AMTV-11D)</v>
      </c>
      <c r="R549" s="136"/>
      <c r="S54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49" s="136" t="str">
        <f>tbl_IO_List[[#This Row],[Instruement Tag]]&amp;"_"&amp;tbl_IO_List[[#This Row],[I/O Type]]&amp;"_"&amp;tbl_IO_List[[#This Row],[IO-Point 
(Instruement)]]</f>
        <v>FT-60264FN_AI_1</v>
      </c>
      <c r="U549" s="136" t="s">
        <v>10</v>
      </c>
      <c r="V549" s="136">
        <f>VLOOKUP(tbl_IO_List[[#This Row],[I/O Type]],tbl_Slot_Group[],2,FALSE)</f>
        <v>3</v>
      </c>
      <c r="W549" s="136">
        <v>1</v>
      </c>
      <c r="X549" s="136" t="str">
        <f>tbl_IO_List[[#This Row],[Chassis]]&amp;"S"&amp;TEXT(tbl_IO_List[[#This Row],[Slot]],"00")</f>
        <v>C3S07</v>
      </c>
      <c r="Y549" s="136" t="str">
        <f>tbl_IO_List[[#This Row],[Chassis]]&amp;"S"&amp;TEXT(tbl_IO_List[[#This Row],[Slot]],"00")&amp;tbl_IO_List[[#This Row],[I/O Type]]&amp;TEXT(tbl_IO_List[[#This Row],[Point]],"00")</f>
        <v>C3S07AI14</v>
      </c>
      <c r="Z549" s="136" t="str">
        <f>tbl_IO_List[[#This Row],[Chassis]]&amp;"S"&amp;TEXT(tbl_IO_List[[#This Row],[Slot]],"00")&amp;","&amp;TEXT(tbl_IO_List[[#This Row],[Point]],"00")</f>
        <v>C3S07,14</v>
      </c>
      <c r="AA549" s="136" t="str">
        <f>VLOOKUP(tbl_IO_List[[#This Row],[Column23]],tbl_RackConfig[],5,FALSE) &amp;"-"&amp;tbl_IO_List[[#This Row],[Point]]</f>
        <v>1756-N2-14</v>
      </c>
      <c r="AB549" s="136"/>
      <c r="AC549" s="136"/>
      <c r="AD549" s="136" t="str">
        <f>tbl_IO_List[[#This Row],[I/O Type]]</f>
        <v>AI</v>
      </c>
      <c r="AE549" s="136" t="s">
        <v>1334</v>
      </c>
      <c r="AF549" s="136">
        <v>7</v>
      </c>
      <c r="AG549" s="136">
        <v>14</v>
      </c>
      <c r="AH549" s="136"/>
      <c r="AI549" s="136"/>
      <c r="AJ549" s="136">
        <v>0</v>
      </c>
      <c r="AK549" s="136">
        <v>0</v>
      </c>
      <c r="AL549" s="136">
        <v>1</v>
      </c>
      <c r="AM549" s="136">
        <v>0</v>
      </c>
      <c r="AN549" s="136">
        <v>0</v>
      </c>
      <c r="AO549" s="136"/>
      <c r="AP549" s="143" t="str">
        <f>VLOOKUP(tbl_IO_List[[#This Row],[Instruement Tag]],tbl_Instruement_List[],14,FALSE)</f>
        <v>4 - 20 mA</v>
      </c>
      <c r="AQ549" s="143" t="str">
        <f>tbl_IO_List[[#This Row],[Chassis]]&amp;"S"&amp;tbl_IO_List[[#This Row],[Slot]]&amp;"-"&amp;tbl_IO_List[[#This Row],[Front Terminal Number]]</f>
        <v>C3S7-</v>
      </c>
      <c r="AR549" s="143"/>
      <c r="AS549" s="136" t="str">
        <f>tbl_IO_List[[#This Row],[Terminal Tagging]]&amp;"-"&amp;tbl_IO_List[[#This Row],[Point-Count]]</f>
        <v>-</v>
      </c>
      <c r="AT549" s="136" t="str">
        <f>tbl_IO_List[[#This Row],[Front Terminal Tagging]]&amp;"/"&amp;tbl_IO_List[[#This Row],[Terminal Tagging-Item]]</f>
        <v>C3S7-/-</v>
      </c>
      <c r="AU549" s="136" t="str">
        <f>tbl_IO_List[[#This Row],[Terminal Tagging-Item]]&amp;"/"&amp;tbl_IO_List[[#This Row],[Front Terminal Tagging]]</f>
        <v>-/C3S7-</v>
      </c>
    </row>
    <row r="550" spans="1:47" hidden="1">
      <c r="A550" s="147" t="s">
        <v>1367</v>
      </c>
      <c r="B550" s="136" t="s">
        <v>270</v>
      </c>
      <c r="C550" s="136" t="str">
        <f>tbl_IO_List[[#This Row],[Column3]]</f>
        <v>C3S07,15</v>
      </c>
      <c r="D550" s="136" t="str">
        <f>tbl_IO_List[[#This Row],[Card]]</f>
        <v>1756-N2-15</v>
      </c>
      <c r="E550" s="136" t="s">
        <v>1366</v>
      </c>
      <c r="F550" s="136" t="str">
        <f>tbl_IO_List[[#This Row],[Column23]]&amp;"-" &amp;tbl_IO_List[[#This Row],[Column52]]</f>
        <v>C3S07-X1</v>
      </c>
      <c r="G550" s="136" t="str">
        <f>tbl_IO_List[[#This Row],[PLC_Tag]]</f>
        <v>FT-60264FP_AI_1</v>
      </c>
      <c r="H550" s="136"/>
      <c r="I550" s="136" t="str">
        <f>VLOOKUP(tbl_IO_List[[#This Row],[Destination]],tbl_Junction[],2,FALSE)</f>
        <v>Spray Dryer 7th Floor</v>
      </c>
      <c r="J550" s="136" t="s">
        <v>270</v>
      </c>
      <c r="K550" s="136" t="s">
        <v>14</v>
      </c>
      <c r="L550" s="136" t="s">
        <v>286</v>
      </c>
      <c r="M550" s="136">
        <f>VLOOKUP(tbl_IO_List[[#This Row],[Instruement Tag]],tbl_Instruement_List[],2,FALSE)</f>
        <v>0</v>
      </c>
      <c r="N550" s="136" t="s">
        <v>95</v>
      </c>
      <c r="O550" s="136" t="s">
        <v>272</v>
      </c>
      <c r="P550" s="136" t="s">
        <v>273</v>
      </c>
      <c r="Q550" s="136" t="str">
        <f>VLOOKUP(tbl_IO_List[[#This Row],[Instruement Tag]],tbl_Instruement_List[],6,FALSE)</f>
        <v>Feed Slurry Flow Transmitter for Nozzle #14 (AMTV-11D)</v>
      </c>
      <c r="R550" s="136"/>
      <c r="S55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50" s="136" t="str">
        <f>tbl_IO_List[[#This Row],[Instruement Tag]]&amp;"_"&amp;tbl_IO_List[[#This Row],[I/O Type]]&amp;"_"&amp;tbl_IO_List[[#This Row],[IO-Point 
(Instruement)]]</f>
        <v>FT-60264FP_AI_1</v>
      </c>
      <c r="U550" s="136" t="s">
        <v>10</v>
      </c>
      <c r="V550" s="136">
        <f>VLOOKUP(tbl_IO_List[[#This Row],[I/O Type]],tbl_Slot_Group[],2,FALSE)</f>
        <v>3</v>
      </c>
      <c r="W550" s="136">
        <v>1</v>
      </c>
      <c r="X550" s="136" t="str">
        <f>tbl_IO_List[[#This Row],[Chassis]]&amp;"S"&amp;TEXT(tbl_IO_List[[#This Row],[Slot]],"00")</f>
        <v>C3S07</v>
      </c>
      <c r="Y550" s="136" t="str">
        <f>tbl_IO_List[[#This Row],[Chassis]]&amp;"S"&amp;TEXT(tbl_IO_List[[#This Row],[Slot]],"00")&amp;tbl_IO_List[[#This Row],[I/O Type]]&amp;TEXT(tbl_IO_List[[#This Row],[Point]],"00")</f>
        <v>C3S07AI15</v>
      </c>
      <c r="Z550" s="136" t="str">
        <f>tbl_IO_List[[#This Row],[Chassis]]&amp;"S"&amp;TEXT(tbl_IO_List[[#This Row],[Slot]],"00")&amp;","&amp;TEXT(tbl_IO_List[[#This Row],[Point]],"00")</f>
        <v>C3S07,15</v>
      </c>
      <c r="AA550" s="136" t="str">
        <f>VLOOKUP(tbl_IO_List[[#This Row],[Column23]],tbl_RackConfig[],5,FALSE) &amp;"-"&amp;tbl_IO_List[[#This Row],[Point]]</f>
        <v>1756-N2-15</v>
      </c>
      <c r="AB550" s="136"/>
      <c r="AC550" s="136"/>
      <c r="AD550" s="136" t="str">
        <f>tbl_IO_List[[#This Row],[I/O Type]]</f>
        <v>AI</v>
      </c>
      <c r="AE550" s="136" t="s">
        <v>1334</v>
      </c>
      <c r="AF550" s="136">
        <v>7</v>
      </c>
      <c r="AG550" s="136">
        <v>15</v>
      </c>
      <c r="AH550" s="136"/>
      <c r="AI550" s="136"/>
      <c r="AJ550" s="136">
        <v>0</v>
      </c>
      <c r="AK550" s="136">
        <v>0</v>
      </c>
      <c r="AL550" s="136">
        <v>1</v>
      </c>
      <c r="AM550" s="136">
        <v>0</v>
      </c>
      <c r="AN550" s="136">
        <v>0</v>
      </c>
      <c r="AO550" s="136"/>
      <c r="AP550" s="143" t="str">
        <f>VLOOKUP(tbl_IO_List[[#This Row],[Instruement Tag]],tbl_Instruement_List[],14,FALSE)</f>
        <v>4 - 20 mA</v>
      </c>
      <c r="AQ550" s="143" t="str">
        <f>tbl_IO_List[[#This Row],[Chassis]]&amp;"S"&amp;tbl_IO_List[[#This Row],[Slot]]&amp;"-"&amp;tbl_IO_List[[#This Row],[Front Terminal Number]]</f>
        <v>C3S7-</v>
      </c>
      <c r="AR550" s="143"/>
      <c r="AS550" s="136" t="str">
        <f>tbl_IO_List[[#This Row],[Terminal Tagging]]&amp;"-"&amp;tbl_IO_List[[#This Row],[Point-Count]]</f>
        <v>-</v>
      </c>
      <c r="AT550" s="136" t="str">
        <f>tbl_IO_List[[#This Row],[Front Terminal Tagging]]&amp;"/"&amp;tbl_IO_List[[#This Row],[Terminal Tagging-Item]]</f>
        <v>C3S7-/-</v>
      </c>
      <c r="AU550" s="136" t="str">
        <f>tbl_IO_List[[#This Row],[Terminal Tagging-Item]]&amp;"/"&amp;tbl_IO_List[[#This Row],[Front Terminal Tagging]]</f>
        <v>-/C3S7-</v>
      </c>
    </row>
    <row r="551" spans="1:47" hidden="1">
      <c r="A551" s="147" t="s">
        <v>1367</v>
      </c>
      <c r="B551" s="136" t="s">
        <v>270</v>
      </c>
      <c r="C551" s="136" t="str">
        <f>tbl_IO_List[[#This Row],[Column3]]</f>
        <v>C3S08,00</v>
      </c>
      <c r="D551" s="136" t="str">
        <f>tbl_IO_List[[#This Row],[Card]]</f>
        <v>1756-N2-0</v>
      </c>
      <c r="E551" s="136" t="s">
        <v>1366</v>
      </c>
      <c r="F551" s="136" t="str">
        <f>tbl_IO_List[[#This Row],[Column23]]&amp;"-" &amp;tbl_IO_List[[#This Row],[Column52]]</f>
        <v>C3S08-X1</v>
      </c>
      <c r="G551" s="136" t="str">
        <f>tbl_IO_List[[#This Row],[PLC_Tag]]</f>
        <v>FT-60264FQ_AI_1</v>
      </c>
      <c r="H551" s="136"/>
      <c r="I551" s="136" t="str">
        <f>VLOOKUP(tbl_IO_List[[#This Row],[Destination]],tbl_Junction[],2,FALSE)</f>
        <v>Spray Dryer 7th Floor</v>
      </c>
      <c r="J551" s="136" t="s">
        <v>270</v>
      </c>
      <c r="K551" s="136" t="s">
        <v>14</v>
      </c>
      <c r="L551" s="136" t="s">
        <v>287</v>
      </c>
      <c r="M551" s="136">
        <f>VLOOKUP(tbl_IO_List[[#This Row],[Instruement Tag]],tbl_Instruement_List[],2,FALSE)</f>
        <v>0</v>
      </c>
      <c r="N551" s="136" t="s">
        <v>95</v>
      </c>
      <c r="O551" s="136" t="s">
        <v>272</v>
      </c>
      <c r="P551" s="136" t="s">
        <v>273</v>
      </c>
      <c r="Q551" s="136" t="str">
        <f>VLOOKUP(tbl_IO_List[[#This Row],[Instruement Tag]],tbl_Instruement_List[],6,FALSE)</f>
        <v>Feed Slurry Flow Transmitter for Nozzle #15 (AMTV-11D)</v>
      </c>
      <c r="R551" s="136"/>
      <c r="S55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51" s="136" t="str">
        <f>tbl_IO_List[[#This Row],[Instruement Tag]]&amp;"_"&amp;tbl_IO_List[[#This Row],[I/O Type]]&amp;"_"&amp;tbl_IO_List[[#This Row],[IO-Point 
(Instruement)]]</f>
        <v>FT-60264FQ_AI_1</v>
      </c>
      <c r="U551" s="136" t="s">
        <v>10</v>
      </c>
      <c r="V551" s="136">
        <f>VLOOKUP(tbl_IO_List[[#This Row],[I/O Type]],tbl_Slot_Group[],2,FALSE)</f>
        <v>3</v>
      </c>
      <c r="W551" s="136">
        <v>1</v>
      </c>
      <c r="X551" s="136" t="str">
        <f>tbl_IO_List[[#This Row],[Chassis]]&amp;"S"&amp;TEXT(tbl_IO_List[[#This Row],[Slot]],"00")</f>
        <v>C3S08</v>
      </c>
      <c r="Y551" s="136" t="str">
        <f>tbl_IO_List[[#This Row],[Chassis]]&amp;"S"&amp;TEXT(tbl_IO_List[[#This Row],[Slot]],"00")&amp;tbl_IO_List[[#This Row],[I/O Type]]&amp;TEXT(tbl_IO_List[[#This Row],[Point]],"00")</f>
        <v>C3S08AI00</v>
      </c>
      <c r="Z551" s="136" t="str">
        <f>tbl_IO_List[[#This Row],[Chassis]]&amp;"S"&amp;TEXT(tbl_IO_List[[#This Row],[Slot]],"00")&amp;","&amp;TEXT(tbl_IO_List[[#This Row],[Point]],"00")</f>
        <v>C3S08,00</v>
      </c>
      <c r="AA551" s="136" t="str">
        <f>VLOOKUP(tbl_IO_List[[#This Row],[Column23]],tbl_RackConfig[],5,FALSE) &amp;"-"&amp;tbl_IO_List[[#This Row],[Point]]</f>
        <v>1756-N2-0</v>
      </c>
      <c r="AB551" s="136"/>
      <c r="AC551" s="136"/>
      <c r="AD551" s="136" t="str">
        <f>tbl_IO_List[[#This Row],[I/O Type]]</f>
        <v>AI</v>
      </c>
      <c r="AE551" s="136" t="s">
        <v>1334</v>
      </c>
      <c r="AF551" s="136">
        <v>8</v>
      </c>
      <c r="AG551" s="136">
        <v>0</v>
      </c>
      <c r="AH551" s="136"/>
      <c r="AI551" s="136"/>
      <c r="AJ551" s="136">
        <v>0</v>
      </c>
      <c r="AK551" s="136">
        <v>0</v>
      </c>
      <c r="AL551" s="136">
        <v>1</v>
      </c>
      <c r="AM551" s="136">
        <v>0</v>
      </c>
      <c r="AN551" s="136">
        <v>0</v>
      </c>
      <c r="AO551" s="136"/>
      <c r="AP551" s="143" t="str">
        <f>VLOOKUP(tbl_IO_List[[#This Row],[Instruement Tag]],tbl_Instruement_List[],14,FALSE)</f>
        <v>4 - 20 mA</v>
      </c>
      <c r="AQ551" s="143" t="str">
        <f>tbl_IO_List[[#This Row],[Chassis]]&amp;"S"&amp;tbl_IO_List[[#This Row],[Slot]]&amp;"-"&amp;tbl_IO_List[[#This Row],[Front Terminal Number]]</f>
        <v>C3S8-</v>
      </c>
      <c r="AR551" s="143"/>
      <c r="AS551" s="136" t="str">
        <f>tbl_IO_List[[#This Row],[Terminal Tagging]]&amp;"-"&amp;tbl_IO_List[[#This Row],[Point-Count]]</f>
        <v>-</v>
      </c>
      <c r="AT551" s="136" t="str">
        <f>tbl_IO_List[[#This Row],[Front Terminal Tagging]]&amp;"/"&amp;tbl_IO_List[[#This Row],[Terminal Tagging-Item]]</f>
        <v>C3S8-/-</v>
      </c>
      <c r="AU551" s="136" t="str">
        <f>tbl_IO_List[[#This Row],[Terminal Tagging-Item]]&amp;"/"&amp;tbl_IO_List[[#This Row],[Front Terminal Tagging]]</f>
        <v>-/C3S8-</v>
      </c>
    </row>
    <row r="552" spans="1:47" hidden="1">
      <c r="A552" s="147" t="s">
        <v>1367</v>
      </c>
      <c r="B552" s="136" t="s">
        <v>270</v>
      </c>
      <c r="C552" s="136" t="str">
        <f>tbl_IO_List[[#This Row],[Column3]]</f>
        <v>C3S08,01</v>
      </c>
      <c r="D552" s="136" t="str">
        <f>tbl_IO_List[[#This Row],[Card]]</f>
        <v>1756-N2-1</v>
      </c>
      <c r="E552" s="136" t="s">
        <v>1366</v>
      </c>
      <c r="F552" s="136" t="str">
        <f>tbl_IO_List[[#This Row],[Column23]]&amp;"-" &amp;tbl_IO_List[[#This Row],[Column52]]</f>
        <v>C3S08-X1</v>
      </c>
      <c r="G552" s="136" t="str">
        <f>tbl_IO_List[[#This Row],[PLC_Tag]]</f>
        <v>FT-60264FR_AI_1</v>
      </c>
      <c r="H552" s="136"/>
      <c r="I552" s="136" t="str">
        <f>VLOOKUP(tbl_IO_List[[#This Row],[Destination]],tbl_Junction[],2,FALSE)</f>
        <v>Spray Dryer 7th Floor</v>
      </c>
      <c r="J552" s="136" t="s">
        <v>270</v>
      </c>
      <c r="K552" s="136" t="s">
        <v>14</v>
      </c>
      <c r="L552" s="136" t="s">
        <v>288</v>
      </c>
      <c r="M552" s="136">
        <f>VLOOKUP(tbl_IO_List[[#This Row],[Instruement Tag]],tbl_Instruement_List[],2,FALSE)</f>
        <v>0</v>
      </c>
      <c r="N552" s="136" t="s">
        <v>95</v>
      </c>
      <c r="O552" s="136" t="s">
        <v>272</v>
      </c>
      <c r="P552" s="136" t="s">
        <v>273</v>
      </c>
      <c r="Q552" s="136" t="str">
        <f>VLOOKUP(tbl_IO_List[[#This Row],[Instruement Tag]],tbl_Instruement_List[],6,FALSE)</f>
        <v>Feed Slurry Flow Transmitter for Nozzle #16 (AMTV-11D)</v>
      </c>
      <c r="R552" s="136"/>
      <c r="S55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52" s="136" t="str">
        <f>tbl_IO_List[[#This Row],[Instruement Tag]]&amp;"_"&amp;tbl_IO_List[[#This Row],[I/O Type]]&amp;"_"&amp;tbl_IO_List[[#This Row],[IO-Point 
(Instruement)]]</f>
        <v>FT-60264FR_AI_1</v>
      </c>
      <c r="U552" s="136" t="s">
        <v>10</v>
      </c>
      <c r="V552" s="136">
        <f>VLOOKUP(tbl_IO_List[[#This Row],[I/O Type]],tbl_Slot_Group[],2,FALSE)</f>
        <v>3</v>
      </c>
      <c r="W552" s="136">
        <v>1</v>
      </c>
      <c r="X552" s="136" t="str">
        <f>tbl_IO_List[[#This Row],[Chassis]]&amp;"S"&amp;TEXT(tbl_IO_List[[#This Row],[Slot]],"00")</f>
        <v>C3S08</v>
      </c>
      <c r="Y552" s="136" t="str">
        <f>tbl_IO_List[[#This Row],[Chassis]]&amp;"S"&amp;TEXT(tbl_IO_List[[#This Row],[Slot]],"00")&amp;tbl_IO_List[[#This Row],[I/O Type]]&amp;TEXT(tbl_IO_List[[#This Row],[Point]],"00")</f>
        <v>C3S08AI01</v>
      </c>
      <c r="Z552" s="136" t="str">
        <f>tbl_IO_List[[#This Row],[Chassis]]&amp;"S"&amp;TEXT(tbl_IO_List[[#This Row],[Slot]],"00")&amp;","&amp;TEXT(tbl_IO_List[[#This Row],[Point]],"00")</f>
        <v>C3S08,01</v>
      </c>
      <c r="AA552" s="136" t="str">
        <f>VLOOKUP(tbl_IO_List[[#This Row],[Column23]],tbl_RackConfig[],5,FALSE) &amp;"-"&amp;tbl_IO_List[[#This Row],[Point]]</f>
        <v>1756-N2-1</v>
      </c>
      <c r="AB552" s="136"/>
      <c r="AC552" s="136"/>
      <c r="AD552" s="136" t="str">
        <f>tbl_IO_List[[#This Row],[I/O Type]]</f>
        <v>AI</v>
      </c>
      <c r="AE552" s="136" t="s">
        <v>1334</v>
      </c>
      <c r="AF552" s="136">
        <v>8</v>
      </c>
      <c r="AG552" s="136">
        <v>1</v>
      </c>
      <c r="AH552" s="136"/>
      <c r="AI552" s="136"/>
      <c r="AJ552" s="136">
        <v>0</v>
      </c>
      <c r="AK552" s="136">
        <v>0</v>
      </c>
      <c r="AL552" s="136">
        <v>1</v>
      </c>
      <c r="AM552" s="136">
        <v>0</v>
      </c>
      <c r="AN552" s="136">
        <v>0</v>
      </c>
      <c r="AO552" s="136"/>
      <c r="AP552" s="143" t="str">
        <f>VLOOKUP(tbl_IO_List[[#This Row],[Instruement Tag]],tbl_Instruement_List[],14,FALSE)</f>
        <v>4 - 20 mA</v>
      </c>
      <c r="AQ552" s="143" t="str">
        <f>tbl_IO_List[[#This Row],[Chassis]]&amp;"S"&amp;tbl_IO_List[[#This Row],[Slot]]&amp;"-"&amp;tbl_IO_List[[#This Row],[Front Terminal Number]]</f>
        <v>C3S8-</v>
      </c>
      <c r="AR552" s="143"/>
      <c r="AS552" s="136" t="str">
        <f>tbl_IO_List[[#This Row],[Terminal Tagging]]&amp;"-"&amp;tbl_IO_List[[#This Row],[Point-Count]]</f>
        <v>-</v>
      </c>
      <c r="AT552" s="136" t="str">
        <f>tbl_IO_List[[#This Row],[Front Terminal Tagging]]&amp;"/"&amp;tbl_IO_List[[#This Row],[Terminal Tagging-Item]]</f>
        <v>C3S8-/-</v>
      </c>
      <c r="AU552" s="136" t="str">
        <f>tbl_IO_List[[#This Row],[Terminal Tagging-Item]]&amp;"/"&amp;tbl_IO_List[[#This Row],[Front Terminal Tagging]]</f>
        <v>-/C3S8-</v>
      </c>
    </row>
    <row r="553" spans="1:47" hidden="1">
      <c r="A553" s="147" t="s">
        <v>1367</v>
      </c>
      <c r="B553" s="136" t="s">
        <v>270</v>
      </c>
      <c r="C553" s="136" t="str">
        <f>tbl_IO_List[[#This Row],[Column3]]</f>
        <v>C3S08,02</v>
      </c>
      <c r="D553" s="136" t="str">
        <f>tbl_IO_List[[#This Row],[Card]]</f>
        <v>1756-N2-2</v>
      </c>
      <c r="E553" s="136" t="s">
        <v>1366</v>
      </c>
      <c r="F553" s="136" t="str">
        <f>tbl_IO_List[[#This Row],[Column23]]&amp;"-" &amp;tbl_IO_List[[#This Row],[Column52]]</f>
        <v>C3S08-X1</v>
      </c>
      <c r="G553" s="136" t="str">
        <f>tbl_IO_List[[#This Row],[PLC_Tag]]</f>
        <v>PT-60201_AI_1</v>
      </c>
      <c r="H553" s="136"/>
      <c r="I553" s="136" t="str">
        <f>VLOOKUP(tbl_IO_List[[#This Row],[Destination]],tbl_Junction[],2,FALSE)</f>
        <v>Spray Dryer 7th Floor</v>
      </c>
      <c r="J553" s="136" t="s">
        <v>270</v>
      </c>
      <c r="K553" s="136" t="s">
        <v>14</v>
      </c>
      <c r="L553" s="136" t="s">
        <v>289</v>
      </c>
      <c r="M553" s="136" t="str">
        <f>VLOOKUP(tbl_IO_List[[#This Row],[Instruement Tag]],tbl_Instruement_List[],2,FALSE)</f>
        <v>Pressure Transmitter</v>
      </c>
      <c r="N553" s="136" t="s">
        <v>95</v>
      </c>
      <c r="O553" s="136" t="s">
        <v>18</v>
      </c>
      <c r="P553" s="136" t="s">
        <v>273</v>
      </c>
      <c r="Q553" s="136" t="str">
        <f>VLOOKUP(tbl_IO_List[[#This Row],[Instruement Tag]],tbl_Instruement_List[],6,FALSE)</f>
        <v xml:space="preserve">Steam feed to Spray dryer </v>
      </c>
      <c r="R553" s="136"/>
      <c r="S55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53" s="136" t="str">
        <f>tbl_IO_List[[#This Row],[Instruement Tag]]&amp;"_"&amp;tbl_IO_List[[#This Row],[I/O Type]]&amp;"_"&amp;tbl_IO_List[[#This Row],[IO-Point 
(Instruement)]]</f>
        <v>PT-60201_AI_1</v>
      </c>
      <c r="U553" s="136" t="s">
        <v>10</v>
      </c>
      <c r="V553" s="136">
        <f>VLOOKUP(tbl_IO_List[[#This Row],[I/O Type]],tbl_Slot_Group[],2,FALSE)</f>
        <v>3</v>
      </c>
      <c r="W553" s="136">
        <v>1</v>
      </c>
      <c r="X553" s="136" t="str">
        <f>tbl_IO_List[[#This Row],[Chassis]]&amp;"S"&amp;TEXT(tbl_IO_List[[#This Row],[Slot]],"00")</f>
        <v>C3S08</v>
      </c>
      <c r="Y553" s="136" t="str">
        <f>tbl_IO_List[[#This Row],[Chassis]]&amp;"S"&amp;TEXT(tbl_IO_List[[#This Row],[Slot]],"00")&amp;tbl_IO_List[[#This Row],[I/O Type]]&amp;TEXT(tbl_IO_List[[#This Row],[Point]],"00")</f>
        <v>C3S08AI02</v>
      </c>
      <c r="Z553" s="136" t="str">
        <f>tbl_IO_List[[#This Row],[Chassis]]&amp;"S"&amp;TEXT(tbl_IO_List[[#This Row],[Slot]],"00")&amp;","&amp;TEXT(tbl_IO_List[[#This Row],[Point]],"00")</f>
        <v>C3S08,02</v>
      </c>
      <c r="AA553" s="136" t="str">
        <f>VLOOKUP(tbl_IO_List[[#This Row],[Column23]],tbl_RackConfig[],5,FALSE) &amp;"-"&amp;tbl_IO_List[[#This Row],[Point]]</f>
        <v>1756-N2-2</v>
      </c>
      <c r="AB553" s="136"/>
      <c r="AC553" s="136"/>
      <c r="AD553" s="136" t="str">
        <f>tbl_IO_List[[#This Row],[I/O Type]]</f>
        <v>AI</v>
      </c>
      <c r="AE553" s="136" t="s">
        <v>1334</v>
      </c>
      <c r="AF553" s="136">
        <v>8</v>
      </c>
      <c r="AG553" s="136">
        <v>2</v>
      </c>
      <c r="AH553" s="136"/>
      <c r="AI553" s="136"/>
      <c r="AJ553" s="136">
        <v>0</v>
      </c>
      <c r="AK553" s="136">
        <v>0</v>
      </c>
      <c r="AL553" s="136">
        <v>1</v>
      </c>
      <c r="AM553" s="136">
        <v>0</v>
      </c>
      <c r="AN553" s="136">
        <v>0</v>
      </c>
      <c r="AO553" s="136"/>
      <c r="AP553" s="143" t="str">
        <f>VLOOKUP(tbl_IO_List[[#This Row],[Instruement Tag]],tbl_Instruement_List[],14,FALSE)</f>
        <v>4 - 20 mA</v>
      </c>
      <c r="AQ553" s="143" t="str">
        <f>tbl_IO_List[[#This Row],[Chassis]]&amp;"S"&amp;tbl_IO_List[[#This Row],[Slot]]&amp;"-"&amp;tbl_IO_List[[#This Row],[Front Terminal Number]]</f>
        <v>C3S8-</v>
      </c>
      <c r="AR553" s="143"/>
      <c r="AS553" s="136" t="str">
        <f>tbl_IO_List[[#This Row],[Terminal Tagging]]&amp;"-"&amp;tbl_IO_List[[#This Row],[Point-Count]]</f>
        <v>-</v>
      </c>
      <c r="AT553" s="136" t="str">
        <f>tbl_IO_List[[#This Row],[Front Terminal Tagging]]&amp;"/"&amp;tbl_IO_List[[#This Row],[Terminal Tagging-Item]]</f>
        <v>C3S8-/-</v>
      </c>
      <c r="AU553" s="136" t="str">
        <f>tbl_IO_List[[#This Row],[Terminal Tagging-Item]]&amp;"/"&amp;tbl_IO_List[[#This Row],[Front Terminal Tagging]]</f>
        <v>-/C3S8-</v>
      </c>
    </row>
    <row r="554" spans="1:47" hidden="1">
      <c r="A554" s="147" t="s">
        <v>1367</v>
      </c>
      <c r="B554" s="136" t="s">
        <v>270</v>
      </c>
      <c r="C554" s="136" t="str">
        <f>tbl_IO_List[[#This Row],[Column3]]</f>
        <v>C3S08,03</v>
      </c>
      <c r="D554" s="136" t="str">
        <f>tbl_IO_List[[#This Row],[Card]]</f>
        <v>1756-N2-3</v>
      </c>
      <c r="E554" s="136" t="s">
        <v>1366</v>
      </c>
      <c r="F554" s="136" t="str">
        <f>tbl_IO_List[[#This Row],[Column23]]&amp;"-" &amp;tbl_IO_List[[#This Row],[Column52]]</f>
        <v>C3S08-X1</v>
      </c>
      <c r="G554" s="136" t="str">
        <f>tbl_IO_List[[#This Row],[PLC_Tag]]</f>
        <v>PT-60207_AI_1</v>
      </c>
      <c r="H554" s="136"/>
      <c r="I554" s="136" t="str">
        <f>VLOOKUP(tbl_IO_List[[#This Row],[Destination]],tbl_Junction[],2,FALSE)</f>
        <v>Spray Dryer 7th Floor</v>
      </c>
      <c r="J554" s="136" t="s">
        <v>270</v>
      </c>
      <c r="K554" s="136" t="s">
        <v>14</v>
      </c>
      <c r="L554" s="136" t="s">
        <v>296</v>
      </c>
      <c r="M554" s="136" t="str">
        <f>VLOOKUP(tbl_IO_List[[#This Row],[Instruement Tag]],tbl_Instruement_List[],2,FALSE)</f>
        <v>Pressure Transmitter</v>
      </c>
      <c r="N554" s="136" t="s">
        <v>95</v>
      </c>
      <c r="O554" s="136" t="s">
        <v>248</v>
      </c>
      <c r="P554" s="136" t="s">
        <v>249</v>
      </c>
      <c r="Q554" s="136" t="str">
        <f>VLOOKUP(tbl_IO_List[[#This Row],[Instruement Tag]],tbl_Instruement_List[],6,FALSE)</f>
        <v>Instr. Air Pressure Transmitter for Camera #4 (ACAM-21)</v>
      </c>
      <c r="R554" s="136"/>
      <c r="S55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54" s="136" t="str">
        <f>tbl_IO_List[[#This Row],[Instruement Tag]]&amp;"_"&amp;tbl_IO_List[[#This Row],[I/O Type]]&amp;"_"&amp;tbl_IO_List[[#This Row],[IO-Point 
(Instruement)]]</f>
        <v>PT-60207_AI_1</v>
      </c>
      <c r="U554" s="136" t="s">
        <v>10</v>
      </c>
      <c r="V554" s="136">
        <f>VLOOKUP(tbl_IO_List[[#This Row],[I/O Type]],tbl_Slot_Group[],2,FALSE)</f>
        <v>3</v>
      </c>
      <c r="W554" s="136">
        <v>1</v>
      </c>
      <c r="X554" s="136" t="str">
        <f>tbl_IO_List[[#This Row],[Chassis]]&amp;"S"&amp;TEXT(tbl_IO_List[[#This Row],[Slot]],"00")</f>
        <v>C3S08</v>
      </c>
      <c r="Y554" s="136" t="str">
        <f>tbl_IO_List[[#This Row],[Chassis]]&amp;"S"&amp;TEXT(tbl_IO_List[[#This Row],[Slot]],"00")&amp;tbl_IO_List[[#This Row],[I/O Type]]&amp;TEXT(tbl_IO_List[[#This Row],[Point]],"00")</f>
        <v>C3S08AI03</v>
      </c>
      <c r="Z554" s="136" t="str">
        <f>tbl_IO_List[[#This Row],[Chassis]]&amp;"S"&amp;TEXT(tbl_IO_List[[#This Row],[Slot]],"00")&amp;","&amp;TEXT(tbl_IO_List[[#This Row],[Point]],"00")</f>
        <v>C3S08,03</v>
      </c>
      <c r="AA554" s="136" t="str">
        <f>VLOOKUP(tbl_IO_List[[#This Row],[Column23]],tbl_RackConfig[],5,FALSE) &amp;"-"&amp;tbl_IO_List[[#This Row],[Point]]</f>
        <v>1756-N2-3</v>
      </c>
      <c r="AB554" s="136"/>
      <c r="AC554" s="136"/>
      <c r="AD554" s="136" t="str">
        <f>tbl_IO_List[[#This Row],[I/O Type]]</f>
        <v>AI</v>
      </c>
      <c r="AE554" s="136" t="s">
        <v>1334</v>
      </c>
      <c r="AF554" s="136">
        <v>8</v>
      </c>
      <c r="AG554" s="136">
        <v>3</v>
      </c>
      <c r="AH554" s="136"/>
      <c r="AI554" s="136"/>
      <c r="AJ554" s="136">
        <v>0</v>
      </c>
      <c r="AK554" s="136">
        <v>0</v>
      </c>
      <c r="AL554" s="136">
        <v>1</v>
      </c>
      <c r="AM554" s="136">
        <v>0</v>
      </c>
      <c r="AN554" s="136">
        <v>0</v>
      </c>
      <c r="AO554" s="136"/>
      <c r="AP554" s="143" t="str">
        <f>VLOOKUP(tbl_IO_List[[#This Row],[Instruement Tag]],tbl_Instruement_List[],14,FALSE)</f>
        <v>4 - 20 mA</v>
      </c>
      <c r="AQ554" s="143" t="str">
        <f>tbl_IO_List[[#This Row],[Chassis]]&amp;"S"&amp;tbl_IO_List[[#This Row],[Slot]]&amp;"-"&amp;tbl_IO_List[[#This Row],[Front Terminal Number]]</f>
        <v>C3S8-</v>
      </c>
      <c r="AR554" s="143"/>
      <c r="AS554" s="136" t="str">
        <f>tbl_IO_List[[#This Row],[Terminal Tagging]]&amp;"-"&amp;tbl_IO_List[[#This Row],[Point-Count]]</f>
        <v>-</v>
      </c>
      <c r="AT554" s="136" t="str">
        <f>tbl_IO_List[[#This Row],[Front Terminal Tagging]]&amp;"/"&amp;tbl_IO_List[[#This Row],[Terminal Tagging-Item]]</f>
        <v>C3S8-/-</v>
      </c>
      <c r="AU554" s="136" t="str">
        <f>tbl_IO_List[[#This Row],[Terminal Tagging-Item]]&amp;"/"&amp;tbl_IO_List[[#This Row],[Front Terminal Tagging]]</f>
        <v>-/C3S8-</v>
      </c>
    </row>
    <row r="555" spans="1:47" hidden="1">
      <c r="A555" s="147" t="s">
        <v>1367</v>
      </c>
      <c r="B555" s="136" t="s">
        <v>270</v>
      </c>
      <c r="C555" s="136" t="str">
        <f>tbl_IO_List[[#This Row],[Column3]]</f>
        <v>C3S08,04</v>
      </c>
      <c r="D555" s="136" t="str">
        <f>tbl_IO_List[[#This Row],[Card]]</f>
        <v>1756-N2-4</v>
      </c>
      <c r="E555" s="136" t="s">
        <v>1366</v>
      </c>
      <c r="F555" s="136" t="str">
        <f>tbl_IO_List[[#This Row],[Column23]]&amp;"-" &amp;tbl_IO_List[[#This Row],[Column52]]</f>
        <v>C3S08-X1</v>
      </c>
      <c r="G555" s="136" t="str">
        <f>tbl_IO_List[[#This Row],[PLC_Tag]]</f>
        <v>PT-60221_AI_1</v>
      </c>
      <c r="H555" s="136"/>
      <c r="I555" s="136" t="str">
        <f>VLOOKUP(tbl_IO_List[[#This Row],[Destination]],tbl_Junction[],2,FALSE)</f>
        <v>Spray Dryer 7th Floor</v>
      </c>
      <c r="J555" s="136" t="s">
        <v>270</v>
      </c>
      <c r="K555" s="136" t="s">
        <v>14</v>
      </c>
      <c r="L555" s="136" t="s">
        <v>290</v>
      </c>
      <c r="M555" s="136" t="str">
        <f>VLOOKUP(tbl_IO_List[[#This Row],[Instruement Tag]],tbl_Instruement_List[],2,FALSE)</f>
        <v>Pressure Transmitter</v>
      </c>
      <c r="N555" s="136" t="s">
        <v>95</v>
      </c>
      <c r="O555" s="136" t="s">
        <v>272</v>
      </c>
      <c r="P555" s="136" t="s">
        <v>17</v>
      </c>
      <c r="Q555" s="136" t="str">
        <f>VLOOKUP(tbl_IO_List[[#This Row],[Instruement Tag]],tbl_Instruement_List[],6,FALSE)</f>
        <v>Gas Pressure Transmitter for Cooling Air Duct (DTCA-25)</v>
      </c>
      <c r="R555" s="136"/>
      <c r="S55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55" s="136" t="str">
        <f>tbl_IO_List[[#This Row],[Instruement Tag]]&amp;"_"&amp;tbl_IO_List[[#This Row],[I/O Type]]&amp;"_"&amp;tbl_IO_List[[#This Row],[IO-Point 
(Instruement)]]</f>
        <v>PT-60221_AI_1</v>
      </c>
      <c r="U555" s="136" t="s">
        <v>10</v>
      </c>
      <c r="V555" s="136">
        <f>VLOOKUP(tbl_IO_List[[#This Row],[I/O Type]],tbl_Slot_Group[],2,FALSE)</f>
        <v>3</v>
      </c>
      <c r="W555" s="136">
        <v>1</v>
      </c>
      <c r="X555" s="136" t="str">
        <f>tbl_IO_List[[#This Row],[Chassis]]&amp;"S"&amp;TEXT(tbl_IO_List[[#This Row],[Slot]],"00")</f>
        <v>C3S08</v>
      </c>
      <c r="Y555" s="136" t="str">
        <f>tbl_IO_List[[#This Row],[Chassis]]&amp;"S"&amp;TEXT(tbl_IO_List[[#This Row],[Slot]],"00")&amp;tbl_IO_List[[#This Row],[I/O Type]]&amp;TEXT(tbl_IO_List[[#This Row],[Point]],"00")</f>
        <v>C3S08AI04</v>
      </c>
      <c r="Z555" s="136" t="str">
        <f>tbl_IO_List[[#This Row],[Chassis]]&amp;"S"&amp;TEXT(tbl_IO_List[[#This Row],[Slot]],"00")&amp;","&amp;TEXT(tbl_IO_List[[#This Row],[Point]],"00")</f>
        <v>C3S08,04</v>
      </c>
      <c r="AA555" s="136" t="str">
        <f>VLOOKUP(tbl_IO_List[[#This Row],[Column23]],tbl_RackConfig[],5,FALSE) &amp;"-"&amp;tbl_IO_List[[#This Row],[Point]]</f>
        <v>1756-N2-4</v>
      </c>
      <c r="AB555" s="136"/>
      <c r="AC555" s="136"/>
      <c r="AD555" s="136" t="str">
        <f>tbl_IO_List[[#This Row],[I/O Type]]</f>
        <v>AI</v>
      </c>
      <c r="AE555" s="136" t="s">
        <v>1334</v>
      </c>
      <c r="AF555" s="136">
        <v>8</v>
      </c>
      <c r="AG555" s="136">
        <v>4</v>
      </c>
      <c r="AH555" s="136"/>
      <c r="AI555" s="136"/>
      <c r="AJ555" s="136">
        <v>0</v>
      </c>
      <c r="AK555" s="136">
        <v>0</v>
      </c>
      <c r="AL555" s="136">
        <v>1</v>
      </c>
      <c r="AM555" s="136">
        <v>0</v>
      </c>
      <c r="AN555" s="136">
        <v>0</v>
      </c>
      <c r="AO555" s="136"/>
      <c r="AP555" s="143" t="str">
        <f>VLOOKUP(tbl_IO_List[[#This Row],[Instruement Tag]],tbl_Instruement_List[],14,FALSE)</f>
        <v>4 - 20 mA</v>
      </c>
      <c r="AQ555" s="143" t="str">
        <f>tbl_IO_List[[#This Row],[Chassis]]&amp;"S"&amp;tbl_IO_List[[#This Row],[Slot]]&amp;"-"&amp;tbl_IO_List[[#This Row],[Front Terminal Number]]</f>
        <v>C3S8-</v>
      </c>
      <c r="AR555" s="143"/>
      <c r="AS555" s="136" t="str">
        <f>tbl_IO_List[[#This Row],[Terminal Tagging]]&amp;"-"&amp;tbl_IO_List[[#This Row],[Point-Count]]</f>
        <v>-</v>
      </c>
      <c r="AT555" s="136" t="str">
        <f>tbl_IO_List[[#This Row],[Front Terminal Tagging]]&amp;"/"&amp;tbl_IO_List[[#This Row],[Terminal Tagging-Item]]</f>
        <v>C3S8-/-</v>
      </c>
      <c r="AU555" s="136" t="str">
        <f>tbl_IO_List[[#This Row],[Terminal Tagging-Item]]&amp;"/"&amp;tbl_IO_List[[#This Row],[Front Terminal Tagging]]</f>
        <v>-/C3S8-</v>
      </c>
    </row>
    <row r="556" spans="1:47" hidden="1">
      <c r="A556" s="147" t="s">
        <v>1367</v>
      </c>
      <c r="B556" s="136" t="s">
        <v>270</v>
      </c>
      <c r="C556" s="136" t="str">
        <f>tbl_IO_List[[#This Row],[Column3]]</f>
        <v>C3S08,05</v>
      </c>
      <c r="D556" s="136" t="str">
        <f>tbl_IO_List[[#This Row],[Card]]</f>
        <v>1756-N2-5</v>
      </c>
      <c r="E556" s="136" t="s">
        <v>1366</v>
      </c>
      <c r="F556" s="136" t="str">
        <f>tbl_IO_List[[#This Row],[Column23]]&amp;"-" &amp;tbl_IO_List[[#This Row],[Column52]]</f>
        <v>C3S08-X1</v>
      </c>
      <c r="G556" s="136" t="str">
        <f>tbl_IO_List[[#This Row],[PLC_Tag]]</f>
        <v>PT-60221_AI_1</v>
      </c>
      <c r="H556" s="136"/>
      <c r="I556" s="136" t="str">
        <f>VLOOKUP(tbl_IO_List[[#This Row],[Destination]],tbl_Junction[],2,FALSE)</f>
        <v>Spray Dryer 7th Floor</v>
      </c>
      <c r="J556" s="136" t="s">
        <v>270</v>
      </c>
      <c r="K556" s="136" t="s">
        <v>14</v>
      </c>
      <c r="L556" s="136" t="s">
        <v>290</v>
      </c>
      <c r="M556" s="136" t="str">
        <f>VLOOKUP(tbl_IO_List[[#This Row],[Instruement Tag]],tbl_Instruement_List[],2,FALSE)</f>
        <v>Pressure Transmitter</v>
      </c>
      <c r="N556" s="136" t="s">
        <v>95</v>
      </c>
      <c r="O556" s="136" t="s">
        <v>16</v>
      </c>
      <c r="P556" s="136" t="s">
        <v>17</v>
      </c>
      <c r="Q556" s="136" t="str">
        <f>VLOOKUP(tbl_IO_List[[#This Row],[Instruement Tag]],tbl_Instruement_List[],6,FALSE)</f>
        <v>Gas Pressure Transmitter for Cooling Air Duct (DTCA-25)</v>
      </c>
      <c r="R556" s="136"/>
      <c r="S55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56" s="136" t="str">
        <f>tbl_IO_List[[#This Row],[Instruement Tag]]&amp;"_"&amp;tbl_IO_List[[#This Row],[I/O Type]]&amp;"_"&amp;tbl_IO_List[[#This Row],[IO-Point 
(Instruement)]]</f>
        <v>PT-60221_AI_1</v>
      </c>
      <c r="U556" s="136" t="s">
        <v>10</v>
      </c>
      <c r="V556" s="136">
        <f>VLOOKUP(tbl_IO_List[[#This Row],[I/O Type]],tbl_Slot_Group[],2,FALSE)</f>
        <v>3</v>
      </c>
      <c r="W556" s="136">
        <v>1</v>
      </c>
      <c r="X556" s="136" t="str">
        <f>tbl_IO_List[[#This Row],[Chassis]]&amp;"S"&amp;TEXT(tbl_IO_List[[#This Row],[Slot]],"00")</f>
        <v>C3S08</v>
      </c>
      <c r="Y556" s="136" t="str">
        <f>tbl_IO_List[[#This Row],[Chassis]]&amp;"S"&amp;TEXT(tbl_IO_List[[#This Row],[Slot]],"00")&amp;tbl_IO_List[[#This Row],[I/O Type]]&amp;TEXT(tbl_IO_List[[#This Row],[Point]],"00")</f>
        <v>C3S08AI05</v>
      </c>
      <c r="Z556" s="136" t="str">
        <f>tbl_IO_List[[#This Row],[Chassis]]&amp;"S"&amp;TEXT(tbl_IO_List[[#This Row],[Slot]],"00")&amp;","&amp;TEXT(tbl_IO_List[[#This Row],[Point]],"00")</f>
        <v>C3S08,05</v>
      </c>
      <c r="AA556" s="136" t="str">
        <f>VLOOKUP(tbl_IO_List[[#This Row],[Column23]],tbl_RackConfig[],5,FALSE) &amp;"-"&amp;tbl_IO_List[[#This Row],[Point]]</f>
        <v>1756-N2-5</v>
      </c>
      <c r="AB556" s="136"/>
      <c r="AC556" s="136"/>
      <c r="AD556" s="136" t="str">
        <f>tbl_IO_List[[#This Row],[I/O Type]]</f>
        <v>AI</v>
      </c>
      <c r="AE556" s="136" t="s">
        <v>1334</v>
      </c>
      <c r="AF556" s="136">
        <v>8</v>
      </c>
      <c r="AG556" s="136">
        <v>5</v>
      </c>
      <c r="AH556" s="136"/>
      <c r="AI556" s="136"/>
      <c r="AJ556" s="136">
        <v>0</v>
      </c>
      <c r="AK556" s="136">
        <v>0</v>
      </c>
      <c r="AL556" s="136">
        <v>1</v>
      </c>
      <c r="AM556" s="136">
        <v>0</v>
      </c>
      <c r="AN556" s="136">
        <v>0</v>
      </c>
      <c r="AO556" s="136"/>
      <c r="AP556" s="143" t="str">
        <f>VLOOKUP(tbl_IO_List[[#This Row],[Instruement Tag]],tbl_Instruement_List[],14,FALSE)</f>
        <v>4 - 20 mA</v>
      </c>
      <c r="AQ556" s="143" t="str">
        <f>tbl_IO_List[[#This Row],[Chassis]]&amp;"S"&amp;tbl_IO_List[[#This Row],[Slot]]&amp;"-"&amp;tbl_IO_List[[#This Row],[Front Terminal Number]]</f>
        <v>C3S8-</v>
      </c>
      <c r="AR556" s="143"/>
      <c r="AS556" s="136" t="str">
        <f>tbl_IO_List[[#This Row],[Terminal Tagging]]&amp;"-"&amp;tbl_IO_List[[#This Row],[Point-Count]]</f>
        <v>-</v>
      </c>
      <c r="AT556" s="136" t="str">
        <f>tbl_IO_List[[#This Row],[Front Terminal Tagging]]&amp;"/"&amp;tbl_IO_List[[#This Row],[Terminal Tagging-Item]]</f>
        <v>C3S8-/-</v>
      </c>
      <c r="AU556" s="136" t="str">
        <f>tbl_IO_List[[#This Row],[Terminal Tagging-Item]]&amp;"/"&amp;tbl_IO_List[[#This Row],[Front Terminal Tagging]]</f>
        <v>-/C3S8-</v>
      </c>
    </row>
    <row r="557" spans="1:47" hidden="1">
      <c r="A557" s="147" t="s">
        <v>1367</v>
      </c>
      <c r="B557" s="136" t="s">
        <v>270</v>
      </c>
      <c r="C557" s="136" t="str">
        <f>tbl_IO_List[[#This Row],[Column3]]</f>
        <v>C3S08,06</v>
      </c>
      <c r="D557" s="136" t="str">
        <f>tbl_IO_List[[#This Row],[Card]]</f>
        <v>1756-N2-6</v>
      </c>
      <c r="E557" s="136" t="s">
        <v>1366</v>
      </c>
      <c r="F557" s="136" t="str">
        <f>tbl_IO_List[[#This Row],[Column23]]&amp;"-" &amp;tbl_IO_List[[#This Row],[Column52]]</f>
        <v>C3S08-X1</v>
      </c>
      <c r="G557" s="136" t="str">
        <f>tbl_IO_List[[#This Row],[PLC_Tag]]</f>
        <v>TI-FH-60210_AI_1</v>
      </c>
      <c r="H557" s="136"/>
      <c r="I557" s="136" t="str">
        <f>VLOOKUP(tbl_IO_List[[#This Row],[Destination]],tbl_Junction[],2,FALSE)</f>
        <v>Spray Dryer 7th Floor</v>
      </c>
      <c r="J557" s="136" t="s">
        <v>270</v>
      </c>
      <c r="K557" s="136" t="s">
        <v>14</v>
      </c>
      <c r="L557" s="136" t="s">
        <v>1110</v>
      </c>
      <c r="M557" s="136">
        <f>VLOOKUP(tbl_IO_List[[#This Row],[Instruement Tag]],tbl_Instruement_List[],2,FALSE)</f>
        <v>0</v>
      </c>
      <c r="N557" s="136" t="s">
        <v>95</v>
      </c>
      <c r="O557" s="136" t="s">
        <v>331</v>
      </c>
      <c r="P557" s="136" t="s">
        <v>18</v>
      </c>
      <c r="Q557" s="136" t="str">
        <f>VLOOKUP(tbl_IO_List[[#This Row],[Instruement Tag]],tbl_Instruement_List[],6,FALSE)</f>
        <v>Gas Burner Firing Rate Temp Signal to AHTR-21</v>
      </c>
      <c r="R557" s="136"/>
      <c r="S55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57" s="136" t="str">
        <f>tbl_IO_List[[#This Row],[Instruement Tag]]&amp;"_"&amp;tbl_IO_List[[#This Row],[I/O Type]]&amp;"_"&amp;tbl_IO_List[[#This Row],[IO-Point 
(Instruement)]]</f>
        <v>TI-FH-60210_AI_1</v>
      </c>
      <c r="U557" s="136" t="s">
        <v>10</v>
      </c>
      <c r="V557" s="136">
        <f>VLOOKUP(tbl_IO_List[[#This Row],[I/O Type]],tbl_Slot_Group[],2,FALSE)</f>
        <v>3</v>
      </c>
      <c r="W557" s="136">
        <v>1</v>
      </c>
      <c r="X557" s="136" t="str">
        <f>tbl_IO_List[[#This Row],[Chassis]]&amp;"S"&amp;TEXT(tbl_IO_List[[#This Row],[Slot]],"00")</f>
        <v>C3S08</v>
      </c>
      <c r="Y557" s="136" t="str">
        <f>tbl_IO_List[[#This Row],[Chassis]]&amp;"S"&amp;TEXT(tbl_IO_List[[#This Row],[Slot]],"00")&amp;tbl_IO_List[[#This Row],[I/O Type]]&amp;TEXT(tbl_IO_List[[#This Row],[Point]],"00")</f>
        <v>C3S08AI06</v>
      </c>
      <c r="Z557" s="136" t="str">
        <f>tbl_IO_List[[#This Row],[Chassis]]&amp;"S"&amp;TEXT(tbl_IO_List[[#This Row],[Slot]],"00")&amp;","&amp;TEXT(tbl_IO_List[[#This Row],[Point]],"00")</f>
        <v>C3S08,06</v>
      </c>
      <c r="AA557" s="136" t="str">
        <f>VLOOKUP(tbl_IO_List[[#This Row],[Column23]],tbl_RackConfig[],5,FALSE) &amp;"-"&amp;tbl_IO_List[[#This Row],[Point]]</f>
        <v>1756-N2-6</v>
      </c>
      <c r="AB557" s="136"/>
      <c r="AC557" s="136"/>
      <c r="AD557" s="136" t="str">
        <f>tbl_IO_List[[#This Row],[I/O Type]]</f>
        <v>AI</v>
      </c>
      <c r="AE557" s="136" t="s">
        <v>1334</v>
      </c>
      <c r="AF557" s="136">
        <v>8</v>
      </c>
      <c r="AG557" s="136">
        <v>6</v>
      </c>
      <c r="AH557" s="136"/>
      <c r="AI557" s="136"/>
      <c r="AJ557" s="136">
        <v>0</v>
      </c>
      <c r="AK557" s="136">
        <v>0</v>
      </c>
      <c r="AL557" s="136">
        <v>1</v>
      </c>
      <c r="AM557" s="136">
        <v>0</v>
      </c>
      <c r="AN557" s="136">
        <v>0</v>
      </c>
      <c r="AO557" s="136"/>
      <c r="AP557" s="143" t="str">
        <f>VLOOKUP(tbl_IO_List[[#This Row],[Instruement Tag]],tbl_Instruement_List[],14,FALSE)</f>
        <v>4 - 20 mA</v>
      </c>
      <c r="AQ557" s="143" t="str">
        <f>tbl_IO_List[[#This Row],[Chassis]]&amp;"S"&amp;tbl_IO_List[[#This Row],[Slot]]&amp;"-"&amp;tbl_IO_List[[#This Row],[Front Terminal Number]]</f>
        <v>C3S8-</v>
      </c>
      <c r="AR557" s="143"/>
      <c r="AS557" s="136" t="str">
        <f>tbl_IO_List[[#This Row],[Terminal Tagging]]&amp;"-"&amp;tbl_IO_List[[#This Row],[Point-Count]]</f>
        <v>-</v>
      </c>
      <c r="AT557" s="136" t="str">
        <f>tbl_IO_List[[#This Row],[Front Terminal Tagging]]&amp;"/"&amp;tbl_IO_List[[#This Row],[Terminal Tagging-Item]]</f>
        <v>C3S8-/-</v>
      </c>
      <c r="AU557" s="136" t="str">
        <f>tbl_IO_List[[#This Row],[Terminal Tagging-Item]]&amp;"/"&amp;tbl_IO_List[[#This Row],[Front Terminal Tagging]]</f>
        <v>-/C3S8-</v>
      </c>
    </row>
    <row r="558" spans="1:47" hidden="1">
      <c r="A558" s="147" t="s">
        <v>1367</v>
      </c>
      <c r="B558" s="136" t="s">
        <v>270</v>
      </c>
      <c r="C558" s="136" t="str">
        <f>tbl_IO_List[[#This Row],[Column3]]</f>
        <v>C3S08,07</v>
      </c>
      <c r="D558" s="136" t="str">
        <f>tbl_IO_List[[#This Row],[Card]]</f>
        <v>1756-N2-7</v>
      </c>
      <c r="E558" s="136" t="s">
        <v>1366</v>
      </c>
      <c r="F558" s="136" t="str">
        <f>tbl_IO_List[[#This Row],[Column23]]&amp;"-" &amp;tbl_IO_List[[#This Row],[Column52]]</f>
        <v>C3S08-X1</v>
      </c>
      <c r="G558" s="136" t="str">
        <f>tbl_IO_List[[#This Row],[PLC_Tag]]</f>
        <v>TT-60201_AI_1</v>
      </c>
      <c r="H558" s="136"/>
      <c r="I558" s="136" t="str">
        <f>VLOOKUP(tbl_IO_List[[#This Row],[Destination]],tbl_Junction[],2,FALSE)</f>
        <v>Spray Dryer 7th Floor</v>
      </c>
      <c r="J558" s="136" t="s">
        <v>270</v>
      </c>
      <c r="K558" s="136" t="s">
        <v>14</v>
      </c>
      <c r="L558" s="136" t="s">
        <v>292</v>
      </c>
      <c r="M558" s="136">
        <f>VLOOKUP(tbl_IO_List[[#This Row],[Instruement Tag]],tbl_Instruement_List[],2,FALSE)</f>
        <v>0</v>
      </c>
      <c r="N558" s="136" t="s">
        <v>95</v>
      </c>
      <c r="O558" s="136" t="s">
        <v>272</v>
      </c>
      <c r="P558" s="136" t="s">
        <v>273</v>
      </c>
      <c r="Q558" s="136" t="str">
        <f>VLOOKUP(tbl_IO_List[[#This Row],[Instruement Tag]],tbl_Instruement_List[],6,FALSE)</f>
        <v xml:space="preserve">Steam feed to Spray dryer </v>
      </c>
      <c r="R558" s="136"/>
      <c r="S55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58" s="136" t="str">
        <f>tbl_IO_List[[#This Row],[Instruement Tag]]&amp;"_"&amp;tbl_IO_List[[#This Row],[I/O Type]]&amp;"_"&amp;tbl_IO_List[[#This Row],[IO-Point 
(Instruement)]]</f>
        <v>TT-60201_AI_1</v>
      </c>
      <c r="U558" s="136" t="s">
        <v>10</v>
      </c>
      <c r="V558" s="136">
        <f>VLOOKUP(tbl_IO_List[[#This Row],[I/O Type]],tbl_Slot_Group[],2,FALSE)</f>
        <v>3</v>
      </c>
      <c r="W558" s="136">
        <v>1</v>
      </c>
      <c r="X558" s="136" t="str">
        <f>tbl_IO_List[[#This Row],[Chassis]]&amp;"S"&amp;TEXT(tbl_IO_List[[#This Row],[Slot]],"00")</f>
        <v>C3S08</v>
      </c>
      <c r="Y558" s="136" t="str">
        <f>tbl_IO_List[[#This Row],[Chassis]]&amp;"S"&amp;TEXT(tbl_IO_List[[#This Row],[Slot]],"00")&amp;tbl_IO_List[[#This Row],[I/O Type]]&amp;TEXT(tbl_IO_List[[#This Row],[Point]],"00")</f>
        <v>C3S08AI07</v>
      </c>
      <c r="Z558" s="136" t="str">
        <f>tbl_IO_List[[#This Row],[Chassis]]&amp;"S"&amp;TEXT(tbl_IO_List[[#This Row],[Slot]],"00")&amp;","&amp;TEXT(tbl_IO_List[[#This Row],[Point]],"00")</f>
        <v>C3S08,07</v>
      </c>
      <c r="AA558" s="136" t="str">
        <f>VLOOKUP(tbl_IO_List[[#This Row],[Column23]],tbl_RackConfig[],5,FALSE) &amp;"-"&amp;tbl_IO_List[[#This Row],[Point]]</f>
        <v>1756-N2-7</v>
      </c>
      <c r="AB558" s="136"/>
      <c r="AC558" s="136"/>
      <c r="AD558" s="136" t="str">
        <f>tbl_IO_List[[#This Row],[I/O Type]]</f>
        <v>AI</v>
      </c>
      <c r="AE558" s="136" t="s">
        <v>1334</v>
      </c>
      <c r="AF558" s="136">
        <v>8</v>
      </c>
      <c r="AG558" s="136">
        <v>7</v>
      </c>
      <c r="AH558" s="136"/>
      <c r="AI558" s="136"/>
      <c r="AJ558" s="136">
        <v>0</v>
      </c>
      <c r="AK558" s="136">
        <v>0</v>
      </c>
      <c r="AL558" s="136">
        <v>1</v>
      </c>
      <c r="AM558" s="136">
        <v>0</v>
      </c>
      <c r="AN558" s="136">
        <v>0</v>
      </c>
      <c r="AO558" s="136"/>
      <c r="AP558" s="143" t="str">
        <f>VLOOKUP(tbl_IO_List[[#This Row],[Instruement Tag]],tbl_Instruement_List[],14,FALSE)</f>
        <v>4 - 20 mA</v>
      </c>
      <c r="AQ558" s="143" t="str">
        <f>tbl_IO_List[[#This Row],[Chassis]]&amp;"S"&amp;tbl_IO_List[[#This Row],[Slot]]&amp;"-"&amp;tbl_IO_List[[#This Row],[Front Terminal Number]]</f>
        <v>C3S8-</v>
      </c>
      <c r="AR558" s="143"/>
      <c r="AS558" s="136" t="str">
        <f>tbl_IO_List[[#This Row],[Terminal Tagging]]&amp;"-"&amp;tbl_IO_List[[#This Row],[Point-Count]]</f>
        <v>-</v>
      </c>
      <c r="AT558" s="136" t="str">
        <f>tbl_IO_List[[#This Row],[Front Terminal Tagging]]&amp;"/"&amp;tbl_IO_List[[#This Row],[Terminal Tagging-Item]]</f>
        <v>C3S8-/-</v>
      </c>
      <c r="AU558" s="136" t="str">
        <f>tbl_IO_List[[#This Row],[Terminal Tagging-Item]]&amp;"/"&amp;tbl_IO_List[[#This Row],[Front Terminal Tagging]]</f>
        <v>-/C3S8-</v>
      </c>
    </row>
    <row r="559" spans="1:47" hidden="1">
      <c r="A559" s="147" t="s">
        <v>1367</v>
      </c>
      <c r="B559" s="136" t="s">
        <v>270</v>
      </c>
      <c r="C559" s="136" t="str">
        <f>tbl_IO_List[[#This Row],[Column3]]</f>
        <v>C3S08,08</v>
      </c>
      <c r="D559" s="136" t="str">
        <f>tbl_IO_List[[#This Row],[Card]]</f>
        <v>1756-N2-8</v>
      </c>
      <c r="E559" s="136" t="s">
        <v>1366</v>
      </c>
      <c r="F559" s="136" t="str">
        <f>tbl_IO_List[[#This Row],[Column23]]&amp;"-" &amp;tbl_IO_List[[#This Row],[Column52]]</f>
        <v>C3S08-X1</v>
      </c>
      <c r="G559" s="136" t="str">
        <f>tbl_IO_List[[#This Row],[PLC_Tag]]</f>
        <v>TT-60202_AI_1</v>
      </c>
      <c r="H559" s="136"/>
      <c r="I559" s="136" t="str">
        <f>VLOOKUP(tbl_IO_List[[#This Row],[Destination]],tbl_Junction[],2,FALSE)</f>
        <v>Spray Dryer 7th Floor</v>
      </c>
      <c r="J559" s="136" t="s">
        <v>270</v>
      </c>
      <c r="K559" s="136" t="s">
        <v>14</v>
      </c>
      <c r="L559" s="136" t="s">
        <v>293</v>
      </c>
      <c r="M559" s="136">
        <f>VLOOKUP(tbl_IO_List[[#This Row],[Instruement Tag]],tbl_Instruement_List[],2,FALSE)</f>
        <v>0</v>
      </c>
      <c r="N559" s="136" t="s">
        <v>95</v>
      </c>
      <c r="O559" s="136" t="s">
        <v>248</v>
      </c>
      <c r="P559" s="136" t="s">
        <v>249</v>
      </c>
      <c r="Q559" s="136" t="str">
        <f>VLOOKUP(tbl_IO_List[[#This Row],[Instruement Tag]],tbl_Instruement_List[],6,FALSE)</f>
        <v xml:space="preserve">Compress air temp to camera </v>
      </c>
      <c r="R559" s="136"/>
      <c r="S55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59" s="136" t="str">
        <f>tbl_IO_List[[#This Row],[Instruement Tag]]&amp;"_"&amp;tbl_IO_List[[#This Row],[I/O Type]]&amp;"_"&amp;tbl_IO_List[[#This Row],[IO-Point 
(Instruement)]]</f>
        <v>TT-60202_AI_1</v>
      </c>
      <c r="U559" s="136" t="s">
        <v>10</v>
      </c>
      <c r="V559" s="136">
        <f>VLOOKUP(tbl_IO_List[[#This Row],[I/O Type]],tbl_Slot_Group[],2,FALSE)</f>
        <v>3</v>
      </c>
      <c r="W559" s="136">
        <v>1</v>
      </c>
      <c r="X559" s="136" t="str">
        <f>tbl_IO_List[[#This Row],[Chassis]]&amp;"S"&amp;TEXT(tbl_IO_List[[#This Row],[Slot]],"00")</f>
        <v>C3S08</v>
      </c>
      <c r="Y559" s="136" t="str">
        <f>tbl_IO_List[[#This Row],[Chassis]]&amp;"S"&amp;TEXT(tbl_IO_List[[#This Row],[Slot]],"00")&amp;tbl_IO_List[[#This Row],[I/O Type]]&amp;TEXT(tbl_IO_List[[#This Row],[Point]],"00")</f>
        <v>C3S08AI08</v>
      </c>
      <c r="Z559" s="136" t="str">
        <f>tbl_IO_List[[#This Row],[Chassis]]&amp;"S"&amp;TEXT(tbl_IO_List[[#This Row],[Slot]],"00")&amp;","&amp;TEXT(tbl_IO_List[[#This Row],[Point]],"00")</f>
        <v>C3S08,08</v>
      </c>
      <c r="AA559" s="136" t="str">
        <f>VLOOKUP(tbl_IO_List[[#This Row],[Column23]],tbl_RackConfig[],5,FALSE) &amp;"-"&amp;tbl_IO_List[[#This Row],[Point]]</f>
        <v>1756-N2-8</v>
      </c>
      <c r="AB559" s="136"/>
      <c r="AC559" s="136"/>
      <c r="AD559" s="136" t="str">
        <f>tbl_IO_List[[#This Row],[I/O Type]]</f>
        <v>AI</v>
      </c>
      <c r="AE559" s="136" t="s">
        <v>1334</v>
      </c>
      <c r="AF559" s="136">
        <v>8</v>
      </c>
      <c r="AG559" s="136">
        <v>8</v>
      </c>
      <c r="AH559" s="136"/>
      <c r="AI559" s="136"/>
      <c r="AJ559" s="136">
        <v>0</v>
      </c>
      <c r="AK559" s="136">
        <v>0</v>
      </c>
      <c r="AL559" s="136">
        <v>1</v>
      </c>
      <c r="AM559" s="136">
        <v>0</v>
      </c>
      <c r="AN559" s="136">
        <v>0</v>
      </c>
      <c r="AO559" s="136"/>
      <c r="AP559" s="143" t="str">
        <f>VLOOKUP(tbl_IO_List[[#This Row],[Instruement Tag]],tbl_Instruement_List[],14,FALSE)</f>
        <v>4 - 20 mA</v>
      </c>
      <c r="AQ559" s="143" t="str">
        <f>tbl_IO_List[[#This Row],[Chassis]]&amp;"S"&amp;tbl_IO_List[[#This Row],[Slot]]&amp;"-"&amp;tbl_IO_List[[#This Row],[Front Terminal Number]]</f>
        <v>C3S8-</v>
      </c>
      <c r="AR559" s="143"/>
      <c r="AS559" s="136" t="str">
        <f>tbl_IO_List[[#This Row],[Terminal Tagging]]&amp;"-"&amp;tbl_IO_List[[#This Row],[Point-Count]]</f>
        <v>-</v>
      </c>
      <c r="AT559" s="136" t="str">
        <f>tbl_IO_List[[#This Row],[Front Terminal Tagging]]&amp;"/"&amp;tbl_IO_List[[#This Row],[Terminal Tagging-Item]]</f>
        <v>C3S8-/-</v>
      </c>
      <c r="AU559" s="136" t="str">
        <f>tbl_IO_List[[#This Row],[Terminal Tagging-Item]]&amp;"/"&amp;tbl_IO_List[[#This Row],[Front Terminal Tagging]]</f>
        <v>-/C3S8-</v>
      </c>
    </row>
    <row r="560" spans="1:47" hidden="1">
      <c r="A560" s="147" t="s">
        <v>1367</v>
      </c>
      <c r="B560" s="136" t="s">
        <v>270</v>
      </c>
      <c r="C560" s="136" t="str">
        <f>tbl_IO_List[[#This Row],[Column3]]</f>
        <v>C3S08,09</v>
      </c>
      <c r="D560" s="136" t="str">
        <f>tbl_IO_List[[#This Row],[Card]]</f>
        <v>1756-N2-9</v>
      </c>
      <c r="E560" s="136" t="s">
        <v>1366</v>
      </c>
      <c r="F560" s="136" t="str">
        <f>tbl_IO_List[[#This Row],[Column23]]&amp;"-" &amp;tbl_IO_List[[#This Row],[Column52]]</f>
        <v>C3S08-X1</v>
      </c>
      <c r="G560" s="136" t="str">
        <f>tbl_IO_List[[#This Row],[PLC_Tag]]</f>
        <v>TT-60207_AI_1</v>
      </c>
      <c r="H560" s="136"/>
      <c r="I560" s="136" t="str">
        <f>VLOOKUP(tbl_IO_List[[#This Row],[Destination]],tbl_Junction[],2,FALSE)</f>
        <v>Spray Dryer 7th Floor</v>
      </c>
      <c r="J560" s="136" t="s">
        <v>270</v>
      </c>
      <c r="K560" s="136" t="s">
        <v>14</v>
      </c>
      <c r="L560" s="136" t="s">
        <v>298</v>
      </c>
      <c r="M560" s="136">
        <f>VLOOKUP(tbl_IO_List[[#This Row],[Instruement Tag]],tbl_Instruement_List[],2,FALSE)</f>
        <v>0</v>
      </c>
      <c r="N560" s="136" t="s">
        <v>95</v>
      </c>
      <c r="O560" s="136" t="s">
        <v>248</v>
      </c>
      <c r="P560" s="136" t="s">
        <v>249</v>
      </c>
      <c r="Q560" s="136" t="str">
        <f>VLOOKUP(tbl_IO_List[[#This Row],[Instruement Tag]],tbl_Instruement_List[],6,FALSE)</f>
        <v>Instr. Air Temperature Transmitter for Air Manifold - Camera #4 (ACAM-21)</v>
      </c>
      <c r="R560" s="136"/>
      <c r="S56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60" s="136" t="str">
        <f>tbl_IO_List[[#This Row],[Instruement Tag]]&amp;"_"&amp;tbl_IO_List[[#This Row],[I/O Type]]&amp;"_"&amp;tbl_IO_List[[#This Row],[IO-Point 
(Instruement)]]</f>
        <v>TT-60207_AI_1</v>
      </c>
      <c r="U560" s="136" t="s">
        <v>10</v>
      </c>
      <c r="V560" s="136">
        <f>VLOOKUP(tbl_IO_List[[#This Row],[I/O Type]],tbl_Slot_Group[],2,FALSE)</f>
        <v>3</v>
      </c>
      <c r="W560" s="136">
        <v>1</v>
      </c>
      <c r="X560" s="136" t="str">
        <f>tbl_IO_List[[#This Row],[Chassis]]&amp;"S"&amp;TEXT(tbl_IO_List[[#This Row],[Slot]],"00")</f>
        <v>C3S08</v>
      </c>
      <c r="Y560" s="136" t="str">
        <f>tbl_IO_List[[#This Row],[Chassis]]&amp;"S"&amp;TEXT(tbl_IO_List[[#This Row],[Slot]],"00")&amp;tbl_IO_List[[#This Row],[I/O Type]]&amp;TEXT(tbl_IO_List[[#This Row],[Point]],"00")</f>
        <v>C3S08AI09</v>
      </c>
      <c r="Z560" s="136" t="str">
        <f>tbl_IO_List[[#This Row],[Chassis]]&amp;"S"&amp;TEXT(tbl_IO_List[[#This Row],[Slot]],"00")&amp;","&amp;TEXT(tbl_IO_List[[#This Row],[Point]],"00")</f>
        <v>C3S08,09</v>
      </c>
      <c r="AA560" s="136" t="str">
        <f>VLOOKUP(tbl_IO_List[[#This Row],[Column23]],tbl_RackConfig[],5,FALSE) &amp;"-"&amp;tbl_IO_List[[#This Row],[Point]]</f>
        <v>1756-N2-9</v>
      </c>
      <c r="AB560" s="136"/>
      <c r="AC560" s="136"/>
      <c r="AD560" s="136" t="str">
        <f>tbl_IO_List[[#This Row],[I/O Type]]</f>
        <v>AI</v>
      </c>
      <c r="AE560" s="136" t="s">
        <v>1334</v>
      </c>
      <c r="AF560" s="136">
        <v>8</v>
      </c>
      <c r="AG560" s="136">
        <v>9</v>
      </c>
      <c r="AH560" s="136"/>
      <c r="AI560" s="136"/>
      <c r="AJ560" s="136">
        <v>0</v>
      </c>
      <c r="AK560" s="136">
        <v>0</v>
      </c>
      <c r="AL560" s="136">
        <v>1</v>
      </c>
      <c r="AM560" s="136">
        <v>0</v>
      </c>
      <c r="AN560" s="136">
        <v>0</v>
      </c>
      <c r="AO560" s="136"/>
      <c r="AP560" s="143" t="str">
        <f>VLOOKUP(tbl_IO_List[[#This Row],[Instruement Tag]],tbl_Instruement_List[],14,FALSE)</f>
        <v>4 - 20 mA</v>
      </c>
      <c r="AQ560" s="143" t="str">
        <f>tbl_IO_List[[#This Row],[Chassis]]&amp;"S"&amp;tbl_IO_List[[#This Row],[Slot]]&amp;"-"&amp;tbl_IO_List[[#This Row],[Front Terminal Number]]</f>
        <v>C3S8-</v>
      </c>
      <c r="AR560" s="143"/>
      <c r="AS560" s="136" t="str">
        <f>tbl_IO_List[[#This Row],[Terminal Tagging]]&amp;"-"&amp;tbl_IO_List[[#This Row],[Point-Count]]</f>
        <v>-</v>
      </c>
      <c r="AT560" s="136" t="str">
        <f>tbl_IO_List[[#This Row],[Front Terminal Tagging]]&amp;"/"&amp;tbl_IO_List[[#This Row],[Terminal Tagging-Item]]</f>
        <v>C3S8-/-</v>
      </c>
      <c r="AU560" s="136" t="str">
        <f>tbl_IO_List[[#This Row],[Terminal Tagging-Item]]&amp;"/"&amp;tbl_IO_List[[#This Row],[Front Terminal Tagging]]</f>
        <v>-/C3S8-</v>
      </c>
    </row>
    <row r="561" spans="1:47" hidden="1">
      <c r="A561" s="147" t="s">
        <v>1367</v>
      </c>
      <c r="B561" s="136" t="s">
        <v>270</v>
      </c>
      <c r="C561" s="136" t="str">
        <f>tbl_IO_List[[#This Row],[Column3]]</f>
        <v>C3S08,10</v>
      </c>
      <c r="D561" s="136" t="str">
        <f>tbl_IO_List[[#This Row],[Card]]</f>
        <v>1756-N2-10</v>
      </c>
      <c r="E561" s="136" t="s">
        <v>1366</v>
      </c>
      <c r="F561" s="136" t="str">
        <f>tbl_IO_List[[#This Row],[Column23]]&amp;"-" &amp;tbl_IO_List[[#This Row],[Column52]]</f>
        <v>C3S08-X1</v>
      </c>
      <c r="G561" s="136" t="str">
        <f>tbl_IO_List[[#This Row],[PLC_Tag]]</f>
        <v>UY-FH-60210A_AI_1</v>
      </c>
      <c r="H561" s="136"/>
      <c r="I561" s="136" t="str">
        <f>VLOOKUP(tbl_IO_List[[#This Row],[Destination]],tbl_Junction[],2,FALSE)</f>
        <v>Spray Dryer 7th Floor</v>
      </c>
      <c r="J561" s="136" t="s">
        <v>270</v>
      </c>
      <c r="K561" s="136" t="s">
        <v>14</v>
      </c>
      <c r="L561" s="136" t="s">
        <v>1113</v>
      </c>
      <c r="M561" s="136">
        <f>VLOOKUP(tbl_IO_List[[#This Row],[Instruement Tag]],tbl_Instruement_List[],2,FALSE)</f>
        <v>0</v>
      </c>
      <c r="N561" s="136" t="s">
        <v>95</v>
      </c>
      <c r="O561" s="136" t="s">
        <v>331</v>
      </c>
      <c r="P561" s="136" t="s">
        <v>18</v>
      </c>
      <c r="Q561" s="136" t="str">
        <f>VLOOKUP(tbl_IO_List[[#This Row],[Instruement Tag]],tbl_Instruement_List[],6,FALSE)</f>
        <v>Comb fan VFD Speed Control</v>
      </c>
      <c r="R561" s="136"/>
      <c r="S56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61" s="136" t="str">
        <f>tbl_IO_List[[#This Row],[Instruement Tag]]&amp;"_"&amp;tbl_IO_List[[#This Row],[I/O Type]]&amp;"_"&amp;tbl_IO_List[[#This Row],[IO-Point 
(Instruement)]]</f>
        <v>UY-FH-60210A_AI_1</v>
      </c>
      <c r="U561" s="136" t="s">
        <v>10</v>
      </c>
      <c r="V561" s="136">
        <f>VLOOKUP(tbl_IO_List[[#This Row],[I/O Type]],tbl_Slot_Group[],2,FALSE)</f>
        <v>3</v>
      </c>
      <c r="W561" s="136">
        <v>1</v>
      </c>
      <c r="X561" s="136" t="str">
        <f>tbl_IO_List[[#This Row],[Chassis]]&amp;"S"&amp;TEXT(tbl_IO_List[[#This Row],[Slot]],"00")</f>
        <v>C3S08</v>
      </c>
      <c r="Y561" s="136" t="str">
        <f>tbl_IO_List[[#This Row],[Chassis]]&amp;"S"&amp;TEXT(tbl_IO_List[[#This Row],[Slot]],"00")&amp;tbl_IO_List[[#This Row],[I/O Type]]&amp;TEXT(tbl_IO_List[[#This Row],[Point]],"00")</f>
        <v>C3S08AI10</v>
      </c>
      <c r="Z561" s="136" t="str">
        <f>tbl_IO_List[[#This Row],[Chassis]]&amp;"S"&amp;TEXT(tbl_IO_List[[#This Row],[Slot]],"00")&amp;","&amp;TEXT(tbl_IO_List[[#This Row],[Point]],"00")</f>
        <v>C3S08,10</v>
      </c>
      <c r="AA561" s="136" t="str">
        <f>VLOOKUP(tbl_IO_List[[#This Row],[Column23]],tbl_RackConfig[],5,FALSE) &amp;"-"&amp;tbl_IO_List[[#This Row],[Point]]</f>
        <v>1756-N2-10</v>
      </c>
      <c r="AB561" s="136"/>
      <c r="AC561" s="136"/>
      <c r="AD561" s="136" t="str">
        <f>tbl_IO_List[[#This Row],[I/O Type]]</f>
        <v>AI</v>
      </c>
      <c r="AE561" s="136" t="s">
        <v>1334</v>
      </c>
      <c r="AF561" s="136">
        <v>8</v>
      </c>
      <c r="AG561" s="136">
        <v>10</v>
      </c>
      <c r="AH561" s="136"/>
      <c r="AI561" s="136"/>
      <c r="AJ561" s="136">
        <v>0</v>
      </c>
      <c r="AK561" s="136">
        <v>0</v>
      </c>
      <c r="AL561" s="136">
        <v>1</v>
      </c>
      <c r="AM561" s="136">
        <v>0</v>
      </c>
      <c r="AN561" s="136">
        <v>0</v>
      </c>
      <c r="AO561" s="136"/>
      <c r="AP561" s="143" t="str">
        <f>VLOOKUP(tbl_IO_List[[#This Row],[Instruement Tag]],tbl_Instruement_List[],14,FALSE)</f>
        <v>4 - 20 mA</v>
      </c>
      <c r="AQ561" s="143" t="str">
        <f>tbl_IO_List[[#This Row],[Chassis]]&amp;"S"&amp;tbl_IO_List[[#This Row],[Slot]]&amp;"-"&amp;tbl_IO_List[[#This Row],[Front Terminal Number]]</f>
        <v>C3S8-</v>
      </c>
      <c r="AR561" s="143"/>
      <c r="AS561" s="136" t="str">
        <f>tbl_IO_List[[#This Row],[Terminal Tagging]]&amp;"-"&amp;tbl_IO_List[[#This Row],[Point-Count]]</f>
        <v>-</v>
      </c>
      <c r="AT561" s="136" t="str">
        <f>tbl_IO_List[[#This Row],[Front Terminal Tagging]]&amp;"/"&amp;tbl_IO_List[[#This Row],[Terminal Tagging-Item]]</f>
        <v>C3S8-/-</v>
      </c>
      <c r="AU561" s="136" t="str">
        <f>tbl_IO_List[[#This Row],[Terminal Tagging-Item]]&amp;"/"&amp;tbl_IO_List[[#This Row],[Front Terminal Tagging]]</f>
        <v>-/C3S8-</v>
      </c>
    </row>
    <row r="562" spans="1:47" hidden="1">
      <c r="A562" s="147" t="s">
        <v>1367</v>
      </c>
      <c r="B562" s="136" t="s">
        <v>270</v>
      </c>
      <c r="C562" s="136" t="str">
        <f>tbl_IO_List[[#This Row],[Column3]]</f>
        <v>C3S08,11</v>
      </c>
      <c r="D562" s="136" t="str">
        <f>tbl_IO_List[[#This Row],[Card]]</f>
        <v>1756-N2-11</v>
      </c>
      <c r="E562" s="136" t="s">
        <v>1366</v>
      </c>
      <c r="F562" s="136" t="str">
        <f>tbl_IO_List[[#This Row],[Column23]]&amp;"-" &amp;tbl_IO_List[[#This Row],[Column52]]</f>
        <v>C3S08-X1</v>
      </c>
      <c r="G562" s="136" t="str">
        <f>tbl_IO_List[[#This Row],[PLC_Tag]]</f>
        <v>Spare_AI_0</v>
      </c>
      <c r="H562" s="136"/>
      <c r="I562" s="136" t="str">
        <f>VLOOKUP(tbl_IO_List[[#This Row],[Destination]],tbl_Junction[],2,FALSE)</f>
        <v>Spray Dryer 7th Floor</v>
      </c>
      <c r="J562" s="136"/>
      <c r="K562" s="136"/>
      <c r="L562" s="136" t="s">
        <v>411</v>
      </c>
      <c r="M562" s="136" t="e">
        <f>VLOOKUP(tbl_IO_List[[#This Row],[Instruement Tag]],tbl_Instruement_List[],2,FALSE)</f>
        <v>#N/A</v>
      </c>
      <c r="N562" s="136"/>
      <c r="O562" s="136"/>
      <c r="P562" s="136"/>
      <c r="Q562" s="136" t="e">
        <f>VLOOKUP(tbl_IO_List[[#This Row],[Instruement Tag]],tbl_Instruement_List[],6,FALSE)</f>
        <v>#N/A</v>
      </c>
      <c r="R562" s="136"/>
      <c r="S56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62" s="136" t="str">
        <f>tbl_IO_List[[#This Row],[Instruement Tag]]&amp;"_"&amp;tbl_IO_List[[#This Row],[I/O Type]]&amp;"_"&amp;tbl_IO_List[[#This Row],[IO-Point 
(Instruement)]]</f>
        <v>Spare_AI_0</v>
      </c>
      <c r="U562" s="136" t="s">
        <v>10</v>
      </c>
      <c r="V562" s="136">
        <f>VLOOKUP(tbl_IO_List[[#This Row],[I/O Type]],tbl_Slot_Group[],2,FALSE)</f>
        <v>3</v>
      </c>
      <c r="W562" s="136">
        <v>0</v>
      </c>
      <c r="X562" s="136" t="str">
        <f>tbl_IO_List[[#This Row],[Chassis]]&amp;"S"&amp;TEXT(tbl_IO_List[[#This Row],[Slot]],"00")</f>
        <v>C3S08</v>
      </c>
      <c r="Y562" s="136" t="str">
        <f>tbl_IO_List[[#This Row],[Chassis]]&amp;"S"&amp;TEXT(tbl_IO_List[[#This Row],[Slot]],"00")&amp;tbl_IO_List[[#This Row],[I/O Type]]&amp;TEXT(tbl_IO_List[[#This Row],[Point]],"00")</f>
        <v>C3S08AI11</v>
      </c>
      <c r="Z562" s="136" t="str">
        <f>tbl_IO_List[[#This Row],[Chassis]]&amp;"S"&amp;TEXT(tbl_IO_List[[#This Row],[Slot]],"00")&amp;","&amp;TEXT(tbl_IO_List[[#This Row],[Point]],"00")</f>
        <v>C3S08,11</v>
      </c>
      <c r="AA562" s="136" t="str">
        <f>VLOOKUP(tbl_IO_List[[#This Row],[Column23]],tbl_RackConfig[],5,FALSE) &amp;"-"&amp;tbl_IO_List[[#This Row],[Point]]</f>
        <v>1756-N2-11</v>
      </c>
      <c r="AB562" s="136"/>
      <c r="AC562" s="136"/>
      <c r="AD562" s="136" t="str">
        <f>tbl_IO_List[[#This Row],[I/O Type]]</f>
        <v>AI</v>
      </c>
      <c r="AE562" s="136" t="s">
        <v>1334</v>
      </c>
      <c r="AF562" s="136">
        <v>8</v>
      </c>
      <c r="AG562" s="136">
        <v>11</v>
      </c>
      <c r="AH562" s="136"/>
      <c r="AI562" s="136"/>
      <c r="AJ562" s="136">
        <v>0</v>
      </c>
      <c r="AK562" s="136">
        <v>0</v>
      </c>
      <c r="AL562" s="136">
        <v>1</v>
      </c>
      <c r="AM562" s="136">
        <v>0</v>
      </c>
      <c r="AN562" s="136">
        <v>0</v>
      </c>
      <c r="AO562" s="136"/>
      <c r="AP562" s="143" t="e">
        <f>VLOOKUP(tbl_IO_List[[#This Row],[Instruement Tag]],tbl_Instruement_List[],14,FALSE)</f>
        <v>#N/A</v>
      </c>
      <c r="AQ562" s="143" t="str">
        <f>tbl_IO_List[[#This Row],[Chassis]]&amp;"S"&amp;tbl_IO_List[[#This Row],[Slot]]&amp;"-"&amp;tbl_IO_List[[#This Row],[Front Terminal Number]]</f>
        <v>C3S8-</v>
      </c>
      <c r="AR562" s="143"/>
      <c r="AS562" s="136" t="str">
        <f>tbl_IO_List[[#This Row],[Terminal Tagging]]&amp;"-"&amp;tbl_IO_List[[#This Row],[Point-Count]]</f>
        <v>-</v>
      </c>
      <c r="AT562" s="136" t="str">
        <f>tbl_IO_List[[#This Row],[Front Terminal Tagging]]&amp;"/"&amp;tbl_IO_List[[#This Row],[Terminal Tagging-Item]]</f>
        <v>C3S8-/-</v>
      </c>
      <c r="AU562" s="136" t="str">
        <f>tbl_IO_List[[#This Row],[Terminal Tagging-Item]]&amp;"/"&amp;tbl_IO_List[[#This Row],[Front Terminal Tagging]]</f>
        <v>-/C3S8-</v>
      </c>
    </row>
    <row r="563" spans="1:47" hidden="1">
      <c r="A563" s="147" t="s">
        <v>1367</v>
      </c>
      <c r="B563" s="136" t="s">
        <v>270</v>
      </c>
      <c r="C563" s="136" t="str">
        <f>tbl_IO_List[[#This Row],[Column3]]</f>
        <v>C3S08,12</v>
      </c>
      <c r="D563" s="136" t="str">
        <f>tbl_IO_List[[#This Row],[Card]]</f>
        <v>1756-N2-12</v>
      </c>
      <c r="E563" s="136" t="s">
        <v>1366</v>
      </c>
      <c r="F563" s="136" t="str">
        <f>tbl_IO_List[[#This Row],[Column23]]&amp;"-" &amp;tbl_IO_List[[#This Row],[Column52]]</f>
        <v>C3S08-X1</v>
      </c>
      <c r="G563" s="136" t="str">
        <f>tbl_IO_List[[#This Row],[PLC_Tag]]</f>
        <v>Spare_AI_0</v>
      </c>
      <c r="H563" s="136"/>
      <c r="I563" s="136" t="str">
        <f>VLOOKUP(tbl_IO_List[[#This Row],[Destination]],tbl_Junction[],2,FALSE)</f>
        <v>Spray Dryer 7th Floor</v>
      </c>
      <c r="J563" s="136"/>
      <c r="K563" s="136"/>
      <c r="L563" s="136" t="s">
        <v>411</v>
      </c>
      <c r="M563" s="136" t="e">
        <f>VLOOKUP(tbl_IO_List[[#This Row],[Instruement Tag]],tbl_Instruement_List[],2,FALSE)</f>
        <v>#N/A</v>
      </c>
      <c r="N563" s="136"/>
      <c r="O563" s="136"/>
      <c r="P563" s="136"/>
      <c r="Q563" s="136" t="e">
        <f>VLOOKUP(tbl_IO_List[[#This Row],[Instruement Tag]],tbl_Instruement_List[],6,FALSE)</f>
        <v>#N/A</v>
      </c>
      <c r="R563" s="136"/>
      <c r="S56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63" s="136" t="str">
        <f>tbl_IO_List[[#This Row],[Instruement Tag]]&amp;"_"&amp;tbl_IO_List[[#This Row],[I/O Type]]&amp;"_"&amp;tbl_IO_List[[#This Row],[IO-Point 
(Instruement)]]</f>
        <v>Spare_AI_0</v>
      </c>
      <c r="U563" s="136" t="s">
        <v>10</v>
      </c>
      <c r="V563" s="136">
        <f>VLOOKUP(tbl_IO_List[[#This Row],[I/O Type]],tbl_Slot_Group[],2,FALSE)</f>
        <v>3</v>
      </c>
      <c r="W563" s="136">
        <v>0</v>
      </c>
      <c r="X563" s="136" t="str">
        <f>tbl_IO_List[[#This Row],[Chassis]]&amp;"S"&amp;TEXT(tbl_IO_List[[#This Row],[Slot]],"00")</f>
        <v>C3S08</v>
      </c>
      <c r="Y563" s="136" t="str">
        <f>tbl_IO_List[[#This Row],[Chassis]]&amp;"S"&amp;TEXT(tbl_IO_List[[#This Row],[Slot]],"00")&amp;tbl_IO_List[[#This Row],[I/O Type]]&amp;TEXT(tbl_IO_List[[#This Row],[Point]],"00")</f>
        <v>C3S08AI12</v>
      </c>
      <c r="Z563" s="136" t="str">
        <f>tbl_IO_List[[#This Row],[Chassis]]&amp;"S"&amp;TEXT(tbl_IO_List[[#This Row],[Slot]],"00")&amp;","&amp;TEXT(tbl_IO_List[[#This Row],[Point]],"00")</f>
        <v>C3S08,12</v>
      </c>
      <c r="AA563" s="136" t="str">
        <f>VLOOKUP(tbl_IO_List[[#This Row],[Column23]],tbl_RackConfig[],5,FALSE) &amp;"-"&amp;tbl_IO_List[[#This Row],[Point]]</f>
        <v>1756-N2-12</v>
      </c>
      <c r="AB563" s="136"/>
      <c r="AC563" s="136"/>
      <c r="AD563" s="136" t="str">
        <f>tbl_IO_List[[#This Row],[I/O Type]]</f>
        <v>AI</v>
      </c>
      <c r="AE563" s="136" t="s">
        <v>1334</v>
      </c>
      <c r="AF563" s="136">
        <v>8</v>
      </c>
      <c r="AG563" s="136">
        <v>12</v>
      </c>
      <c r="AH563" s="136"/>
      <c r="AI563" s="136"/>
      <c r="AJ563" s="136">
        <v>0</v>
      </c>
      <c r="AK563" s="136">
        <v>0</v>
      </c>
      <c r="AL563" s="136">
        <v>1</v>
      </c>
      <c r="AM563" s="136">
        <v>0</v>
      </c>
      <c r="AN563" s="136">
        <v>0</v>
      </c>
      <c r="AO563" s="136"/>
      <c r="AP563" s="143" t="e">
        <f>VLOOKUP(tbl_IO_List[[#This Row],[Instruement Tag]],tbl_Instruement_List[],14,FALSE)</f>
        <v>#N/A</v>
      </c>
      <c r="AQ563" s="143" t="str">
        <f>tbl_IO_List[[#This Row],[Chassis]]&amp;"S"&amp;tbl_IO_List[[#This Row],[Slot]]&amp;"-"&amp;tbl_IO_List[[#This Row],[Front Terminal Number]]</f>
        <v>C3S8-</v>
      </c>
      <c r="AR563" s="143"/>
      <c r="AS563" s="136" t="str">
        <f>tbl_IO_List[[#This Row],[Terminal Tagging]]&amp;"-"&amp;tbl_IO_List[[#This Row],[Point-Count]]</f>
        <v>-</v>
      </c>
      <c r="AT563" s="136" t="str">
        <f>tbl_IO_List[[#This Row],[Front Terminal Tagging]]&amp;"/"&amp;tbl_IO_List[[#This Row],[Terminal Tagging-Item]]</f>
        <v>C3S8-/-</v>
      </c>
      <c r="AU563" s="136" t="str">
        <f>tbl_IO_List[[#This Row],[Terminal Tagging-Item]]&amp;"/"&amp;tbl_IO_List[[#This Row],[Front Terminal Tagging]]</f>
        <v>-/C3S8-</v>
      </c>
    </row>
    <row r="564" spans="1:47" hidden="1">
      <c r="A564" s="147" t="s">
        <v>1367</v>
      </c>
      <c r="B564" s="136" t="s">
        <v>270</v>
      </c>
      <c r="C564" s="136" t="str">
        <f>tbl_IO_List[[#This Row],[Column3]]</f>
        <v>C3S08,13</v>
      </c>
      <c r="D564" s="136" t="str">
        <f>tbl_IO_List[[#This Row],[Card]]</f>
        <v>1756-N2-13</v>
      </c>
      <c r="E564" s="136" t="s">
        <v>1366</v>
      </c>
      <c r="F564" s="136" t="str">
        <f>tbl_IO_List[[#This Row],[Column23]]&amp;"-" &amp;tbl_IO_List[[#This Row],[Column52]]</f>
        <v>C3S08-X1</v>
      </c>
      <c r="G564" s="136" t="str">
        <f>tbl_IO_List[[#This Row],[PLC_Tag]]</f>
        <v>Spare_AI_0</v>
      </c>
      <c r="H564" s="136"/>
      <c r="I564" s="136" t="str">
        <f>VLOOKUP(tbl_IO_List[[#This Row],[Destination]],tbl_Junction[],2,FALSE)</f>
        <v>Spray Dryer 7th Floor</v>
      </c>
      <c r="J564" s="136"/>
      <c r="K564" s="136"/>
      <c r="L564" s="136" t="s">
        <v>411</v>
      </c>
      <c r="M564" s="136" t="e">
        <f>VLOOKUP(tbl_IO_List[[#This Row],[Instruement Tag]],tbl_Instruement_List[],2,FALSE)</f>
        <v>#N/A</v>
      </c>
      <c r="N564" s="136"/>
      <c r="O564" s="136"/>
      <c r="P564" s="136"/>
      <c r="Q564" s="136" t="e">
        <f>VLOOKUP(tbl_IO_List[[#This Row],[Instruement Tag]],tbl_Instruement_List[],6,FALSE)</f>
        <v>#N/A</v>
      </c>
      <c r="R564" s="136"/>
      <c r="S56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64" s="136" t="str">
        <f>tbl_IO_List[[#This Row],[Instruement Tag]]&amp;"_"&amp;tbl_IO_List[[#This Row],[I/O Type]]&amp;"_"&amp;tbl_IO_List[[#This Row],[IO-Point 
(Instruement)]]</f>
        <v>Spare_AI_0</v>
      </c>
      <c r="U564" s="136" t="s">
        <v>10</v>
      </c>
      <c r="V564" s="136">
        <f>VLOOKUP(tbl_IO_List[[#This Row],[I/O Type]],tbl_Slot_Group[],2,FALSE)</f>
        <v>3</v>
      </c>
      <c r="W564" s="136">
        <v>0</v>
      </c>
      <c r="X564" s="136" t="str">
        <f>tbl_IO_List[[#This Row],[Chassis]]&amp;"S"&amp;TEXT(tbl_IO_List[[#This Row],[Slot]],"00")</f>
        <v>C3S08</v>
      </c>
      <c r="Y564" s="136" t="str">
        <f>tbl_IO_List[[#This Row],[Chassis]]&amp;"S"&amp;TEXT(tbl_IO_List[[#This Row],[Slot]],"00")&amp;tbl_IO_List[[#This Row],[I/O Type]]&amp;TEXT(tbl_IO_List[[#This Row],[Point]],"00")</f>
        <v>C3S08AI13</v>
      </c>
      <c r="Z564" s="136" t="str">
        <f>tbl_IO_List[[#This Row],[Chassis]]&amp;"S"&amp;TEXT(tbl_IO_List[[#This Row],[Slot]],"00")&amp;","&amp;TEXT(tbl_IO_List[[#This Row],[Point]],"00")</f>
        <v>C3S08,13</v>
      </c>
      <c r="AA564" s="136" t="str">
        <f>VLOOKUP(tbl_IO_List[[#This Row],[Column23]],tbl_RackConfig[],5,FALSE) &amp;"-"&amp;tbl_IO_List[[#This Row],[Point]]</f>
        <v>1756-N2-13</v>
      </c>
      <c r="AB564" s="136"/>
      <c r="AC564" s="136"/>
      <c r="AD564" s="136" t="str">
        <f>tbl_IO_List[[#This Row],[I/O Type]]</f>
        <v>AI</v>
      </c>
      <c r="AE564" s="136" t="s">
        <v>1334</v>
      </c>
      <c r="AF564" s="136">
        <v>8</v>
      </c>
      <c r="AG564" s="136">
        <v>13</v>
      </c>
      <c r="AH564" s="136"/>
      <c r="AI564" s="136"/>
      <c r="AJ564" s="136">
        <v>0</v>
      </c>
      <c r="AK564" s="136">
        <v>0</v>
      </c>
      <c r="AL564" s="136">
        <v>1</v>
      </c>
      <c r="AM564" s="136">
        <v>0</v>
      </c>
      <c r="AN564" s="136">
        <v>0</v>
      </c>
      <c r="AO564" s="136"/>
      <c r="AP564" s="143" t="e">
        <f>VLOOKUP(tbl_IO_List[[#This Row],[Instruement Tag]],tbl_Instruement_List[],14,FALSE)</f>
        <v>#N/A</v>
      </c>
      <c r="AQ564" s="143" t="str">
        <f>tbl_IO_List[[#This Row],[Chassis]]&amp;"S"&amp;tbl_IO_List[[#This Row],[Slot]]&amp;"-"&amp;tbl_IO_List[[#This Row],[Front Terminal Number]]</f>
        <v>C3S8-</v>
      </c>
      <c r="AR564" s="143"/>
      <c r="AS564" s="136" t="str">
        <f>tbl_IO_List[[#This Row],[Terminal Tagging]]&amp;"-"&amp;tbl_IO_List[[#This Row],[Point-Count]]</f>
        <v>-</v>
      </c>
      <c r="AT564" s="136" t="str">
        <f>tbl_IO_List[[#This Row],[Front Terminal Tagging]]&amp;"/"&amp;tbl_IO_List[[#This Row],[Terminal Tagging-Item]]</f>
        <v>C3S8-/-</v>
      </c>
      <c r="AU564" s="136" t="str">
        <f>tbl_IO_List[[#This Row],[Terminal Tagging-Item]]&amp;"/"&amp;tbl_IO_List[[#This Row],[Front Terminal Tagging]]</f>
        <v>-/C3S8-</v>
      </c>
    </row>
    <row r="565" spans="1:47" hidden="1">
      <c r="A565" s="147" t="s">
        <v>1367</v>
      </c>
      <c r="B565" s="136" t="s">
        <v>270</v>
      </c>
      <c r="C565" s="136" t="str">
        <f>tbl_IO_List[[#This Row],[Column3]]</f>
        <v>C3S08,14</v>
      </c>
      <c r="D565" s="136" t="str">
        <f>tbl_IO_List[[#This Row],[Card]]</f>
        <v>1756-N2-14</v>
      </c>
      <c r="E565" s="136" t="s">
        <v>1366</v>
      </c>
      <c r="F565" s="136" t="str">
        <f>tbl_IO_List[[#This Row],[Column23]]&amp;"-" &amp;tbl_IO_List[[#This Row],[Column52]]</f>
        <v>C3S08-X1</v>
      </c>
      <c r="G565" s="136" t="str">
        <f>tbl_IO_List[[#This Row],[PLC_Tag]]</f>
        <v>Spare_AI_0</v>
      </c>
      <c r="H565" s="136"/>
      <c r="I565" s="136" t="str">
        <f>VLOOKUP(tbl_IO_List[[#This Row],[Destination]],tbl_Junction[],2,FALSE)</f>
        <v>Spray Dryer 7th Floor</v>
      </c>
      <c r="J565" s="136"/>
      <c r="K565" s="136"/>
      <c r="L565" s="136" t="s">
        <v>411</v>
      </c>
      <c r="M565" s="136" t="e">
        <f>VLOOKUP(tbl_IO_List[[#This Row],[Instruement Tag]],tbl_Instruement_List[],2,FALSE)</f>
        <v>#N/A</v>
      </c>
      <c r="N565" s="136"/>
      <c r="O565" s="136"/>
      <c r="P565" s="136"/>
      <c r="Q565" s="136" t="e">
        <f>VLOOKUP(tbl_IO_List[[#This Row],[Instruement Tag]],tbl_Instruement_List[],6,FALSE)</f>
        <v>#N/A</v>
      </c>
      <c r="R565" s="136"/>
      <c r="S56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65" s="136" t="str">
        <f>tbl_IO_List[[#This Row],[Instruement Tag]]&amp;"_"&amp;tbl_IO_List[[#This Row],[I/O Type]]&amp;"_"&amp;tbl_IO_List[[#This Row],[IO-Point 
(Instruement)]]</f>
        <v>Spare_AI_0</v>
      </c>
      <c r="U565" s="136" t="s">
        <v>10</v>
      </c>
      <c r="V565" s="136">
        <f>VLOOKUP(tbl_IO_List[[#This Row],[I/O Type]],tbl_Slot_Group[],2,FALSE)</f>
        <v>3</v>
      </c>
      <c r="W565" s="136">
        <v>0</v>
      </c>
      <c r="X565" s="136" t="str">
        <f>tbl_IO_List[[#This Row],[Chassis]]&amp;"S"&amp;TEXT(tbl_IO_List[[#This Row],[Slot]],"00")</f>
        <v>C3S08</v>
      </c>
      <c r="Y565" s="136" t="str">
        <f>tbl_IO_List[[#This Row],[Chassis]]&amp;"S"&amp;TEXT(tbl_IO_List[[#This Row],[Slot]],"00")&amp;tbl_IO_List[[#This Row],[I/O Type]]&amp;TEXT(tbl_IO_List[[#This Row],[Point]],"00")</f>
        <v>C3S08AI14</v>
      </c>
      <c r="Z565" s="136" t="str">
        <f>tbl_IO_List[[#This Row],[Chassis]]&amp;"S"&amp;TEXT(tbl_IO_List[[#This Row],[Slot]],"00")&amp;","&amp;TEXT(tbl_IO_List[[#This Row],[Point]],"00")</f>
        <v>C3S08,14</v>
      </c>
      <c r="AA565" s="136" t="str">
        <f>VLOOKUP(tbl_IO_List[[#This Row],[Column23]],tbl_RackConfig[],5,FALSE) &amp;"-"&amp;tbl_IO_List[[#This Row],[Point]]</f>
        <v>1756-N2-14</v>
      </c>
      <c r="AB565" s="136"/>
      <c r="AC565" s="136"/>
      <c r="AD565" s="136" t="str">
        <f>tbl_IO_List[[#This Row],[I/O Type]]</f>
        <v>AI</v>
      </c>
      <c r="AE565" s="136" t="s">
        <v>1334</v>
      </c>
      <c r="AF565" s="136">
        <v>8</v>
      </c>
      <c r="AG565" s="136">
        <v>14</v>
      </c>
      <c r="AH565" s="136"/>
      <c r="AI565" s="136"/>
      <c r="AJ565" s="136">
        <v>0</v>
      </c>
      <c r="AK565" s="136">
        <v>0</v>
      </c>
      <c r="AL565" s="136">
        <v>1</v>
      </c>
      <c r="AM565" s="136">
        <v>0</v>
      </c>
      <c r="AN565" s="136">
        <v>0</v>
      </c>
      <c r="AO565" s="136"/>
      <c r="AP565" s="143" t="e">
        <f>VLOOKUP(tbl_IO_List[[#This Row],[Instruement Tag]],tbl_Instruement_List[],14,FALSE)</f>
        <v>#N/A</v>
      </c>
      <c r="AQ565" s="143" t="str">
        <f>tbl_IO_List[[#This Row],[Chassis]]&amp;"S"&amp;tbl_IO_List[[#This Row],[Slot]]&amp;"-"&amp;tbl_IO_List[[#This Row],[Front Terminal Number]]</f>
        <v>C3S8-</v>
      </c>
      <c r="AR565" s="143"/>
      <c r="AS565" s="136" t="str">
        <f>tbl_IO_List[[#This Row],[Terminal Tagging]]&amp;"-"&amp;tbl_IO_List[[#This Row],[Point-Count]]</f>
        <v>-</v>
      </c>
      <c r="AT565" s="136" t="str">
        <f>tbl_IO_List[[#This Row],[Front Terminal Tagging]]&amp;"/"&amp;tbl_IO_List[[#This Row],[Terminal Tagging-Item]]</f>
        <v>C3S8-/-</v>
      </c>
      <c r="AU565" s="136" t="str">
        <f>tbl_IO_List[[#This Row],[Terminal Tagging-Item]]&amp;"/"&amp;tbl_IO_List[[#This Row],[Front Terminal Tagging]]</f>
        <v>-/C3S8-</v>
      </c>
    </row>
    <row r="566" spans="1:47" hidden="1">
      <c r="A566" s="147" t="s">
        <v>1367</v>
      </c>
      <c r="B566" s="136" t="s">
        <v>270</v>
      </c>
      <c r="C566" s="136" t="str">
        <f>tbl_IO_List[[#This Row],[Column3]]</f>
        <v>C3S08,15</v>
      </c>
      <c r="D566" s="136" t="str">
        <f>tbl_IO_List[[#This Row],[Card]]</f>
        <v>1756-N2-15</v>
      </c>
      <c r="E566" s="136" t="s">
        <v>1366</v>
      </c>
      <c r="F566" s="136" t="str">
        <f>tbl_IO_List[[#This Row],[Column23]]&amp;"-" &amp;tbl_IO_List[[#This Row],[Column52]]</f>
        <v>C3S08-X1</v>
      </c>
      <c r="G566" s="136" t="str">
        <f>tbl_IO_List[[#This Row],[PLC_Tag]]</f>
        <v>Spare_AI_0</v>
      </c>
      <c r="H566" s="136"/>
      <c r="I566" s="136" t="str">
        <f>VLOOKUP(tbl_IO_List[[#This Row],[Destination]],tbl_Junction[],2,FALSE)</f>
        <v>Spray Dryer 7th Floor</v>
      </c>
      <c r="J566" s="136"/>
      <c r="K566" s="136"/>
      <c r="L566" s="136" t="s">
        <v>411</v>
      </c>
      <c r="M566" s="136" t="e">
        <f>VLOOKUP(tbl_IO_List[[#This Row],[Instruement Tag]],tbl_Instruement_List[],2,FALSE)</f>
        <v>#N/A</v>
      </c>
      <c r="N566" s="136"/>
      <c r="O566" s="136"/>
      <c r="P566" s="136"/>
      <c r="Q566" s="136" t="e">
        <f>VLOOKUP(tbl_IO_List[[#This Row],[Instruement Tag]],tbl_Instruement_List[],6,FALSE)</f>
        <v>#N/A</v>
      </c>
      <c r="R566" s="136"/>
      <c r="S56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566" s="136" t="str">
        <f>tbl_IO_List[[#This Row],[Instruement Tag]]&amp;"_"&amp;tbl_IO_List[[#This Row],[I/O Type]]&amp;"_"&amp;tbl_IO_List[[#This Row],[IO-Point 
(Instruement)]]</f>
        <v>Spare_AI_0</v>
      </c>
      <c r="U566" s="136" t="s">
        <v>10</v>
      </c>
      <c r="V566" s="136">
        <f>VLOOKUP(tbl_IO_List[[#This Row],[I/O Type]],tbl_Slot_Group[],2,FALSE)</f>
        <v>3</v>
      </c>
      <c r="W566" s="136">
        <v>0</v>
      </c>
      <c r="X566" s="136" t="str">
        <f>tbl_IO_List[[#This Row],[Chassis]]&amp;"S"&amp;TEXT(tbl_IO_List[[#This Row],[Slot]],"00")</f>
        <v>C3S08</v>
      </c>
      <c r="Y566" s="136" t="str">
        <f>tbl_IO_List[[#This Row],[Chassis]]&amp;"S"&amp;TEXT(tbl_IO_List[[#This Row],[Slot]],"00")&amp;tbl_IO_List[[#This Row],[I/O Type]]&amp;TEXT(tbl_IO_List[[#This Row],[Point]],"00")</f>
        <v>C3S08AI15</v>
      </c>
      <c r="Z566" s="136" t="str">
        <f>tbl_IO_List[[#This Row],[Chassis]]&amp;"S"&amp;TEXT(tbl_IO_List[[#This Row],[Slot]],"00")&amp;","&amp;TEXT(tbl_IO_List[[#This Row],[Point]],"00")</f>
        <v>C3S08,15</v>
      </c>
      <c r="AA566" s="136" t="str">
        <f>VLOOKUP(tbl_IO_List[[#This Row],[Column23]],tbl_RackConfig[],5,FALSE) &amp;"-"&amp;tbl_IO_List[[#This Row],[Point]]</f>
        <v>1756-N2-15</v>
      </c>
      <c r="AB566" s="136"/>
      <c r="AC566" s="136"/>
      <c r="AD566" s="136" t="str">
        <f>tbl_IO_List[[#This Row],[I/O Type]]</f>
        <v>AI</v>
      </c>
      <c r="AE566" s="136" t="s">
        <v>1334</v>
      </c>
      <c r="AF566" s="136">
        <v>8</v>
      </c>
      <c r="AG566" s="136">
        <v>15</v>
      </c>
      <c r="AH566" s="136"/>
      <c r="AI566" s="136"/>
      <c r="AJ566" s="136">
        <v>0</v>
      </c>
      <c r="AK566" s="136">
        <v>0</v>
      </c>
      <c r="AL566" s="136">
        <v>1</v>
      </c>
      <c r="AM566" s="136">
        <v>0</v>
      </c>
      <c r="AN566" s="136">
        <v>0</v>
      </c>
      <c r="AO566" s="136"/>
      <c r="AP566" s="143" t="e">
        <f>VLOOKUP(tbl_IO_List[[#This Row],[Instruement Tag]],tbl_Instruement_List[],14,FALSE)</f>
        <v>#N/A</v>
      </c>
      <c r="AQ566" s="143" t="str">
        <f>tbl_IO_List[[#This Row],[Chassis]]&amp;"S"&amp;tbl_IO_List[[#This Row],[Slot]]&amp;"-"&amp;tbl_IO_List[[#This Row],[Front Terminal Number]]</f>
        <v>C3S8-</v>
      </c>
      <c r="AR566" s="143"/>
      <c r="AS566" s="136" t="str">
        <f>tbl_IO_List[[#This Row],[Terminal Tagging]]&amp;"-"&amp;tbl_IO_List[[#This Row],[Point-Count]]</f>
        <v>-</v>
      </c>
      <c r="AT566" s="136" t="str">
        <f>tbl_IO_List[[#This Row],[Front Terminal Tagging]]&amp;"/"&amp;tbl_IO_List[[#This Row],[Terminal Tagging-Item]]</f>
        <v>C3S8-/-</v>
      </c>
      <c r="AU566" s="136" t="str">
        <f>tbl_IO_List[[#This Row],[Terminal Tagging-Item]]&amp;"/"&amp;tbl_IO_List[[#This Row],[Front Terminal Tagging]]</f>
        <v>-/C3S8-</v>
      </c>
    </row>
    <row r="567" spans="1:47" hidden="1">
      <c r="A567" s="147" t="s">
        <v>1369</v>
      </c>
      <c r="B567" s="136" t="s">
        <v>1306</v>
      </c>
      <c r="C567" s="136" t="str">
        <f>tbl_IO_List[[#This Row],[Column3]]</f>
        <v>C3S00,00</v>
      </c>
      <c r="D567" s="136" t="str">
        <f>tbl_IO_List[[#This Row],[Card]]</f>
        <v>1756-EN4TR-0</v>
      </c>
      <c r="E567" s="136" t="s">
        <v>1366</v>
      </c>
      <c r="F567" s="136" t="str">
        <f>tbl_IO_List[[#This Row],[Column23]]&amp;"-" &amp;tbl_IO_List[[#This Row],[Column52]]</f>
        <v>C3S00-X1</v>
      </c>
      <c r="G567" s="136">
        <f>tbl_IO_List[[#This Row],[PLC_Tag]]</f>
        <v>0</v>
      </c>
      <c r="H567" s="136"/>
      <c r="I567" s="136" t="str">
        <f>VLOOKUP(tbl_IO_List[[#This Row],[Destination]],tbl_Junction[],2,FALSE)</f>
        <v>Main Control Cabinet</v>
      </c>
      <c r="J567" s="136" t="s">
        <v>1306</v>
      </c>
      <c r="K567" s="136" t="s">
        <v>1382</v>
      </c>
      <c r="L567" s="136" t="s">
        <v>411</v>
      </c>
      <c r="M567" s="136" t="e">
        <f>VLOOKUP(tbl_IO_List[[#This Row],[Instruement Tag]],tbl_Instruement_List[],2,FALSE)</f>
        <v>#N/A</v>
      </c>
      <c r="N567" s="136"/>
      <c r="O567" s="136" t="s">
        <v>18</v>
      </c>
      <c r="P567" s="136" t="s">
        <v>18</v>
      </c>
      <c r="Q567" s="136" t="e">
        <f>VLOOKUP(tbl_IO_List[[#This Row],[Instruement Tag]],tbl_Instruement_List[],6,FALSE)</f>
        <v>#N/A</v>
      </c>
      <c r="R567" s="136"/>
      <c r="S567" s="136"/>
      <c r="T567" s="136"/>
      <c r="U567" s="136" t="s">
        <v>1844</v>
      </c>
      <c r="V567" s="136" t="e">
        <f>VLOOKUP(tbl_IO_List[[#This Row],[I/O Type]],tbl_Slot_Group[],2,FALSE)</f>
        <v>#N/A</v>
      </c>
      <c r="W567" s="136">
        <v>0</v>
      </c>
      <c r="X567" s="136" t="str">
        <f>tbl_IO_List[[#This Row],[Chassis]]&amp;"S"&amp;TEXT(tbl_IO_List[[#This Row],[Slot]],"00")</f>
        <v>C3S00</v>
      </c>
      <c r="Y567" s="136" t="str">
        <f>tbl_IO_List[[#This Row],[Chassis]]&amp;"S"&amp;TEXT(tbl_IO_List[[#This Row],[Slot]],"00")&amp;tbl_IO_List[[#This Row],[I/O Type]]&amp;TEXT(tbl_IO_List[[#This Row],[Point]],"00")</f>
        <v>C3S00ETH-100</v>
      </c>
      <c r="Z567" s="136" t="str">
        <f>tbl_IO_List[[#This Row],[Chassis]]&amp;"S"&amp;TEXT(tbl_IO_List[[#This Row],[Slot]],"00")&amp;","&amp;TEXT(tbl_IO_List[[#This Row],[Point]],"00")</f>
        <v>C3S00,00</v>
      </c>
      <c r="AA567" s="136" t="str">
        <f>VLOOKUP(tbl_IO_List[[#This Row],[Column23]],tbl_RackConfig[],5,FALSE) &amp;"-"&amp;tbl_IO_List[[#This Row],[Point]]</f>
        <v>1756-EN4TR-0</v>
      </c>
      <c r="AB567" s="136"/>
      <c r="AC567" s="136" t="s">
        <v>1370</v>
      </c>
      <c r="AD567" s="136" t="str">
        <f>tbl_IO_List[[#This Row],[I/O Type]]</f>
        <v>ETH-1</v>
      </c>
      <c r="AE567" s="136" t="s">
        <v>1334</v>
      </c>
      <c r="AF567" s="136">
        <v>0</v>
      </c>
      <c r="AG567" s="136">
        <v>0</v>
      </c>
      <c r="AH567" s="136"/>
      <c r="AI567" s="136"/>
      <c r="AJ567" s="136">
        <v>0</v>
      </c>
      <c r="AK567" s="136">
        <v>0</v>
      </c>
      <c r="AL567" s="136">
        <v>0</v>
      </c>
      <c r="AM567" s="136">
        <v>0</v>
      </c>
      <c r="AN567" s="136">
        <v>1</v>
      </c>
      <c r="AO567" s="136"/>
      <c r="AP567" s="143" t="e">
        <f>VLOOKUP(tbl_IO_List[[#This Row],[Instruement Tag]],tbl_Instruement_List[],14,FALSE)</f>
        <v>#N/A</v>
      </c>
      <c r="AQ567" s="143" t="str">
        <f>tbl_IO_List[[#This Row],[Chassis]]&amp;"S"&amp;tbl_IO_List[[#This Row],[Slot]]&amp;"-"&amp;tbl_IO_List[[#This Row],[Front Terminal Number]]</f>
        <v>C3S0-</v>
      </c>
      <c r="AR567" s="143"/>
      <c r="AS567" s="136" t="str">
        <f>tbl_IO_List[[#This Row],[Terminal Tagging]]&amp;"-"&amp;tbl_IO_List[[#This Row],[Point-Count]]</f>
        <v>-</v>
      </c>
      <c r="AT567" s="136" t="str">
        <f>tbl_IO_List[[#This Row],[Front Terminal Tagging]]&amp;"/"&amp;tbl_IO_List[[#This Row],[Terminal Tagging-Item]]</f>
        <v>C3S0-/-</v>
      </c>
      <c r="AU567" s="136" t="str">
        <f>tbl_IO_List[[#This Row],[Terminal Tagging-Item]]&amp;"/"&amp;tbl_IO_List[[#This Row],[Front Terminal Tagging]]</f>
        <v>-/C3S0-</v>
      </c>
    </row>
    <row r="568" spans="1:47" hidden="1">
      <c r="A568" s="147" t="s">
        <v>1365</v>
      </c>
      <c r="B568" s="136" t="s">
        <v>360</v>
      </c>
      <c r="C568" s="136" t="str">
        <f>tbl_IO_List[[#This Row],[Column3]]</f>
        <v>C3S01,16</v>
      </c>
      <c r="D568" s="136" t="str">
        <f>tbl_IO_List[[#This Row],[Card]]</f>
        <v>1756-IB32-16</v>
      </c>
      <c r="E568" s="136" t="s">
        <v>1372</v>
      </c>
      <c r="F568" s="136" t="str">
        <f>tbl_IO_List[[#This Row],[Column23]]&amp;"-" &amp;tbl_IO_List[[#This Row],[Column52]]</f>
        <v>C3S01-X2</v>
      </c>
      <c r="G568" s="136" t="str">
        <f>tbl_IO_List[[#This Row],[PLC_Tag]]</f>
        <v>DV-61301_DI_1</v>
      </c>
      <c r="H568" s="136"/>
      <c r="I568" s="136" t="str">
        <f>VLOOKUP(tbl_IO_List[[#This Row],[Destination]],tbl_Junction[],2,FALSE)</f>
        <v>Packing Tower 8th Floor</v>
      </c>
      <c r="J568" s="136" t="s">
        <v>360</v>
      </c>
      <c r="K568" s="136" t="s">
        <v>66</v>
      </c>
      <c r="L568" s="136" t="s">
        <v>378</v>
      </c>
      <c r="M568" s="136">
        <f>VLOOKUP(tbl_IO_List[[#This Row],[Instruement Tag]],tbl_Instruement_List[],2,FALSE)</f>
        <v>0</v>
      </c>
      <c r="N568" s="136" t="s">
        <v>47</v>
      </c>
      <c r="O568" s="136" t="s">
        <v>78</v>
      </c>
      <c r="P568" s="136" t="s">
        <v>75</v>
      </c>
      <c r="Q568" s="136" t="str">
        <f>VLOOKUP(tbl_IO_List[[#This Row],[Instruement Tag]],tbl_Instruement_List[],6,FALSE)</f>
        <v>On/Off Valve for Diverter Valve DV-61301</v>
      </c>
      <c r="R568" s="136"/>
      <c r="S56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568" s="136" t="str">
        <f>tbl_IO_List[[#This Row],[Instruement Tag]]&amp;"_"&amp;tbl_IO_List[[#This Row],[I/O Type]]&amp;"_"&amp;tbl_IO_List[[#This Row],[IO-Point 
(Instruement)]]</f>
        <v>DV-61301_DI_1</v>
      </c>
      <c r="U568" s="136" t="s">
        <v>8</v>
      </c>
      <c r="V568" s="136">
        <f>VLOOKUP(tbl_IO_List[[#This Row],[I/O Type]],tbl_Slot_Group[],2,FALSE)</f>
        <v>1</v>
      </c>
      <c r="W568" s="136">
        <v>1</v>
      </c>
      <c r="X568" s="136" t="str">
        <f>tbl_IO_List[[#This Row],[Chassis]]&amp;"S"&amp;TEXT(tbl_IO_List[[#This Row],[Slot]],"00")</f>
        <v>C3S01</v>
      </c>
      <c r="Y568" s="136" t="str">
        <f>tbl_IO_List[[#This Row],[Chassis]]&amp;"S"&amp;TEXT(tbl_IO_List[[#This Row],[Slot]],"00")&amp;tbl_IO_List[[#This Row],[I/O Type]]&amp;TEXT(tbl_IO_List[[#This Row],[Point]],"00")</f>
        <v>C3S01DI16</v>
      </c>
      <c r="Z568" s="136" t="str">
        <f>tbl_IO_List[[#This Row],[Chassis]]&amp;"S"&amp;TEXT(tbl_IO_List[[#This Row],[Slot]],"00")&amp;","&amp;TEXT(tbl_IO_List[[#This Row],[Point]],"00")</f>
        <v>C3S01,16</v>
      </c>
      <c r="AA568" s="136" t="str">
        <f>VLOOKUP(tbl_IO_List[[#This Row],[Column23]],tbl_RackConfig[],5,FALSE) &amp;"-"&amp;tbl_IO_List[[#This Row],[Point]]</f>
        <v>1756-IB32-16</v>
      </c>
      <c r="AB568" s="136"/>
      <c r="AC568" s="136"/>
      <c r="AD568" s="136" t="str">
        <f>tbl_IO_List[[#This Row],[I/O Type]]</f>
        <v>DI</v>
      </c>
      <c r="AE568" s="136" t="s">
        <v>1334</v>
      </c>
      <c r="AF568" s="136">
        <v>1</v>
      </c>
      <c r="AG568" s="136">
        <v>16</v>
      </c>
      <c r="AH568" s="136"/>
      <c r="AI568" s="136"/>
      <c r="AJ568" s="136">
        <v>2</v>
      </c>
      <c r="AK568" s="136">
        <v>1</v>
      </c>
      <c r="AL568" s="136">
        <v>0</v>
      </c>
      <c r="AM568" s="136">
        <v>0</v>
      </c>
      <c r="AN568" s="136">
        <v>0</v>
      </c>
      <c r="AO568" s="136"/>
      <c r="AP568" s="143" t="str">
        <f>VLOOKUP(tbl_IO_List[[#This Row],[Instruement Tag]],tbl_Instruement_List[],14,FALSE)</f>
        <v>24 VDC energized</v>
      </c>
      <c r="AQ568" s="143" t="str">
        <f>tbl_IO_List[[#This Row],[Chassis]]&amp;"S"&amp;tbl_IO_List[[#This Row],[Slot]]&amp;"-"&amp;tbl_IO_List[[#This Row],[Front Terminal Number]]</f>
        <v>C3S1-</v>
      </c>
      <c r="AR568" s="143"/>
      <c r="AS568" s="136" t="str">
        <f>tbl_IO_List[[#This Row],[Terminal Tagging]]&amp;"-"&amp;tbl_IO_List[[#This Row],[Point-Count]]</f>
        <v>-</v>
      </c>
      <c r="AT568" s="136" t="str">
        <f>tbl_IO_List[[#This Row],[Front Terminal Tagging]]&amp;"/"&amp;tbl_IO_List[[#This Row],[Terminal Tagging-Item]]</f>
        <v>C3S1-/-</v>
      </c>
      <c r="AU568" s="136" t="str">
        <f>tbl_IO_List[[#This Row],[Terminal Tagging-Item]]&amp;"/"&amp;tbl_IO_List[[#This Row],[Front Terminal Tagging]]</f>
        <v>-/C3S1-</v>
      </c>
    </row>
    <row r="569" spans="1:47" hidden="1">
      <c r="A569" s="147" t="s">
        <v>1365</v>
      </c>
      <c r="B569" s="136" t="s">
        <v>360</v>
      </c>
      <c r="C569" s="136" t="str">
        <f>tbl_IO_List[[#This Row],[Column3]]</f>
        <v>C3S01,17</v>
      </c>
      <c r="D569" s="136" t="str">
        <f>tbl_IO_List[[#This Row],[Card]]</f>
        <v>1756-IB32-17</v>
      </c>
      <c r="E569" s="136" t="s">
        <v>1372</v>
      </c>
      <c r="F569" s="136" t="str">
        <f>tbl_IO_List[[#This Row],[Column23]]&amp;"-" &amp;tbl_IO_List[[#This Row],[Column52]]</f>
        <v>C3S01-X2</v>
      </c>
      <c r="G569" s="136" t="str">
        <f>tbl_IO_List[[#This Row],[PLC_Tag]]</f>
        <v>DV-61301_DI_2</v>
      </c>
      <c r="H569" s="136"/>
      <c r="I569" s="136" t="str">
        <f>VLOOKUP(tbl_IO_List[[#This Row],[Destination]],tbl_Junction[],2,FALSE)</f>
        <v>Packing Tower 8th Floor</v>
      </c>
      <c r="J569" s="136" t="s">
        <v>360</v>
      </c>
      <c r="K569" s="136" t="s">
        <v>66</v>
      </c>
      <c r="L569" s="136" t="s">
        <v>378</v>
      </c>
      <c r="M569" s="136">
        <f>VLOOKUP(tbl_IO_List[[#This Row],[Instruement Tag]],tbl_Instruement_List[],2,FALSE)</f>
        <v>0</v>
      </c>
      <c r="N569" s="136" t="s">
        <v>47</v>
      </c>
      <c r="O569" s="136" t="s">
        <v>78</v>
      </c>
      <c r="P569" s="136" t="s">
        <v>75</v>
      </c>
      <c r="Q569" s="136" t="str">
        <f>VLOOKUP(tbl_IO_List[[#This Row],[Instruement Tag]],tbl_Instruement_List[],6,FALSE)</f>
        <v>On/Off Valve for Diverter Valve DV-61301</v>
      </c>
      <c r="R569" s="136"/>
      <c r="S56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569" s="136" t="str">
        <f>tbl_IO_List[[#This Row],[Instruement Tag]]&amp;"_"&amp;tbl_IO_List[[#This Row],[I/O Type]]&amp;"_"&amp;tbl_IO_List[[#This Row],[IO-Point 
(Instruement)]]</f>
        <v>DV-61301_DI_2</v>
      </c>
      <c r="U569" s="136" t="s">
        <v>8</v>
      </c>
      <c r="V569" s="136">
        <f>VLOOKUP(tbl_IO_List[[#This Row],[I/O Type]],tbl_Slot_Group[],2,FALSE)</f>
        <v>1</v>
      </c>
      <c r="W569" s="136">
        <v>2</v>
      </c>
      <c r="X569" s="136" t="str">
        <f>tbl_IO_List[[#This Row],[Chassis]]&amp;"S"&amp;TEXT(tbl_IO_List[[#This Row],[Slot]],"00")</f>
        <v>C3S01</v>
      </c>
      <c r="Y569" s="136" t="str">
        <f>tbl_IO_List[[#This Row],[Chassis]]&amp;"S"&amp;TEXT(tbl_IO_List[[#This Row],[Slot]],"00")&amp;tbl_IO_List[[#This Row],[I/O Type]]&amp;TEXT(tbl_IO_List[[#This Row],[Point]],"00")</f>
        <v>C3S01DI17</v>
      </c>
      <c r="Z569" s="136" t="str">
        <f>tbl_IO_List[[#This Row],[Chassis]]&amp;"S"&amp;TEXT(tbl_IO_List[[#This Row],[Slot]],"00")&amp;","&amp;TEXT(tbl_IO_List[[#This Row],[Point]],"00")</f>
        <v>C3S01,17</v>
      </c>
      <c r="AA569" s="136" t="str">
        <f>VLOOKUP(tbl_IO_List[[#This Row],[Column23]],tbl_RackConfig[],5,FALSE) &amp;"-"&amp;tbl_IO_List[[#This Row],[Point]]</f>
        <v>1756-IB32-17</v>
      </c>
      <c r="AB569" s="136"/>
      <c r="AC569" s="136"/>
      <c r="AD569" s="136" t="str">
        <f>tbl_IO_List[[#This Row],[I/O Type]]</f>
        <v>DI</v>
      </c>
      <c r="AE569" s="136" t="s">
        <v>1334</v>
      </c>
      <c r="AF569" s="136">
        <v>1</v>
      </c>
      <c r="AG569" s="136">
        <v>17</v>
      </c>
      <c r="AH569" s="136"/>
      <c r="AI569" s="136"/>
      <c r="AJ569" s="136">
        <v>2</v>
      </c>
      <c r="AK569" s="136">
        <v>1</v>
      </c>
      <c r="AL569" s="136">
        <v>0</v>
      </c>
      <c r="AM569" s="136">
        <v>0</v>
      </c>
      <c r="AN569" s="136">
        <v>0</v>
      </c>
      <c r="AO569" s="136"/>
      <c r="AP569" s="143" t="str">
        <f>VLOOKUP(tbl_IO_List[[#This Row],[Instruement Tag]],tbl_Instruement_List[],14,FALSE)</f>
        <v>24 VDC energized</v>
      </c>
      <c r="AQ569" s="143" t="str">
        <f>tbl_IO_List[[#This Row],[Chassis]]&amp;"S"&amp;tbl_IO_List[[#This Row],[Slot]]&amp;"-"&amp;tbl_IO_List[[#This Row],[Front Terminal Number]]</f>
        <v>C3S1-</v>
      </c>
      <c r="AR569" s="143"/>
      <c r="AS569" s="136" t="str">
        <f>tbl_IO_List[[#This Row],[Terminal Tagging]]&amp;"-"&amp;tbl_IO_List[[#This Row],[Point-Count]]</f>
        <v>-</v>
      </c>
      <c r="AT569" s="136" t="str">
        <f>tbl_IO_List[[#This Row],[Front Terminal Tagging]]&amp;"/"&amp;tbl_IO_List[[#This Row],[Terminal Tagging-Item]]</f>
        <v>C3S1-/-</v>
      </c>
      <c r="AU569" s="136" t="str">
        <f>tbl_IO_List[[#This Row],[Terminal Tagging-Item]]&amp;"/"&amp;tbl_IO_List[[#This Row],[Front Terminal Tagging]]</f>
        <v>-/C3S1-</v>
      </c>
    </row>
    <row r="570" spans="1:47" hidden="1">
      <c r="A570" s="147" t="s">
        <v>1365</v>
      </c>
      <c r="B570" s="136" t="s">
        <v>360</v>
      </c>
      <c r="C570" s="136" t="str">
        <f>tbl_IO_List[[#This Row],[Column3]]</f>
        <v>C3S01,18</v>
      </c>
      <c r="D570" s="136" t="str">
        <f>tbl_IO_List[[#This Row],[Card]]</f>
        <v>1756-IB32-18</v>
      </c>
      <c r="E570" s="136" t="s">
        <v>1372</v>
      </c>
      <c r="F570" s="136" t="str">
        <f>tbl_IO_List[[#This Row],[Column23]]&amp;"-" &amp;tbl_IO_List[[#This Row],[Column52]]</f>
        <v>C3S01-X2</v>
      </c>
      <c r="G570" s="136" t="str">
        <f>tbl_IO_List[[#This Row],[PLC_Tag]]</f>
        <v>DV-61302_DI_1</v>
      </c>
      <c r="H570" s="136"/>
      <c r="I570" s="136" t="str">
        <f>VLOOKUP(tbl_IO_List[[#This Row],[Destination]],tbl_Junction[],2,FALSE)</f>
        <v>Packing Tower 8th Floor</v>
      </c>
      <c r="J570" s="136" t="s">
        <v>360</v>
      </c>
      <c r="K570" s="136" t="s">
        <v>66</v>
      </c>
      <c r="L570" s="136" t="s">
        <v>379</v>
      </c>
      <c r="M570" s="136">
        <f>VLOOKUP(tbl_IO_List[[#This Row],[Instruement Tag]],tbl_Instruement_List[],2,FALSE)</f>
        <v>0</v>
      </c>
      <c r="N570" s="136" t="s">
        <v>93</v>
      </c>
      <c r="O570" s="136" t="s">
        <v>18</v>
      </c>
      <c r="P570" s="136" t="s">
        <v>75</v>
      </c>
      <c r="Q570" s="136" t="str">
        <f>VLOOKUP(tbl_IO_List[[#This Row],[Instruement Tag]],tbl_Instruement_List[],6,FALSE)</f>
        <v>On/Off Valve for Diverter Valve DV-61302</v>
      </c>
      <c r="R570" s="136"/>
      <c r="S57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570" s="136" t="str">
        <f>tbl_IO_List[[#This Row],[Instruement Tag]]&amp;"_"&amp;tbl_IO_List[[#This Row],[I/O Type]]&amp;"_"&amp;tbl_IO_List[[#This Row],[IO-Point 
(Instruement)]]</f>
        <v>DV-61302_DI_1</v>
      </c>
      <c r="U570" s="136" t="s">
        <v>8</v>
      </c>
      <c r="V570" s="136">
        <f>VLOOKUP(tbl_IO_List[[#This Row],[I/O Type]],tbl_Slot_Group[],2,FALSE)</f>
        <v>1</v>
      </c>
      <c r="W570" s="136">
        <v>1</v>
      </c>
      <c r="X570" s="136" t="str">
        <f>tbl_IO_List[[#This Row],[Chassis]]&amp;"S"&amp;TEXT(tbl_IO_List[[#This Row],[Slot]],"00")</f>
        <v>C3S01</v>
      </c>
      <c r="Y570" s="136" t="str">
        <f>tbl_IO_List[[#This Row],[Chassis]]&amp;"S"&amp;TEXT(tbl_IO_List[[#This Row],[Slot]],"00")&amp;tbl_IO_List[[#This Row],[I/O Type]]&amp;TEXT(tbl_IO_List[[#This Row],[Point]],"00")</f>
        <v>C3S01DI18</v>
      </c>
      <c r="Z570" s="136" t="str">
        <f>tbl_IO_List[[#This Row],[Chassis]]&amp;"S"&amp;TEXT(tbl_IO_List[[#This Row],[Slot]],"00")&amp;","&amp;TEXT(tbl_IO_List[[#This Row],[Point]],"00")</f>
        <v>C3S01,18</v>
      </c>
      <c r="AA570" s="136" t="str">
        <f>VLOOKUP(tbl_IO_List[[#This Row],[Column23]],tbl_RackConfig[],5,FALSE) &amp;"-"&amp;tbl_IO_List[[#This Row],[Point]]</f>
        <v>1756-IB32-18</v>
      </c>
      <c r="AB570" s="136"/>
      <c r="AC570" s="136"/>
      <c r="AD570" s="136" t="str">
        <f>tbl_IO_List[[#This Row],[I/O Type]]</f>
        <v>DI</v>
      </c>
      <c r="AE570" s="136" t="s">
        <v>1334</v>
      </c>
      <c r="AF570" s="136">
        <v>1</v>
      </c>
      <c r="AG570" s="136">
        <v>18</v>
      </c>
      <c r="AH570" s="136"/>
      <c r="AI570" s="136"/>
      <c r="AJ570" s="136">
        <v>2</v>
      </c>
      <c r="AK570" s="136">
        <v>1</v>
      </c>
      <c r="AL570" s="136">
        <v>0</v>
      </c>
      <c r="AM570" s="136">
        <v>0</v>
      </c>
      <c r="AN570" s="136">
        <v>0</v>
      </c>
      <c r="AO570" s="136"/>
      <c r="AP570" s="143" t="str">
        <f>VLOOKUP(tbl_IO_List[[#This Row],[Instruement Tag]],tbl_Instruement_List[],14,FALSE)</f>
        <v>24 VDC energized</v>
      </c>
      <c r="AQ570" s="143" t="str">
        <f>tbl_IO_List[[#This Row],[Chassis]]&amp;"S"&amp;tbl_IO_List[[#This Row],[Slot]]&amp;"-"&amp;tbl_IO_List[[#This Row],[Front Terminal Number]]</f>
        <v>C3S1-</v>
      </c>
      <c r="AR570" s="143"/>
      <c r="AS570" s="136" t="str">
        <f>tbl_IO_List[[#This Row],[Terminal Tagging]]&amp;"-"&amp;tbl_IO_List[[#This Row],[Point-Count]]</f>
        <v>-</v>
      </c>
      <c r="AT570" s="136" t="str">
        <f>tbl_IO_List[[#This Row],[Front Terminal Tagging]]&amp;"/"&amp;tbl_IO_List[[#This Row],[Terminal Tagging-Item]]</f>
        <v>C3S1-/-</v>
      </c>
      <c r="AU570" s="136" t="str">
        <f>tbl_IO_List[[#This Row],[Terminal Tagging-Item]]&amp;"/"&amp;tbl_IO_List[[#This Row],[Front Terminal Tagging]]</f>
        <v>-/C3S1-</v>
      </c>
    </row>
    <row r="571" spans="1:47" hidden="1">
      <c r="A571" s="147" t="s">
        <v>1365</v>
      </c>
      <c r="B571" s="136" t="s">
        <v>360</v>
      </c>
      <c r="C571" s="136" t="str">
        <f>tbl_IO_List[[#This Row],[Column3]]</f>
        <v>C3S01,19</v>
      </c>
      <c r="D571" s="136" t="str">
        <f>tbl_IO_List[[#This Row],[Card]]</f>
        <v>1756-IB32-19</v>
      </c>
      <c r="E571" s="136" t="s">
        <v>1372</v>
      </c>
      <c r="F571" s="136" t="str">
        <f>tbl_IO_List[[#This Row],[Column23]]&amp;"-" &amp;tbl_IO_List[[#This Row],[Column52]]</f>
        <v>C3S01-X2</v>
      </c>
      <c r="G571" s="136" t="str">
        <f>tbl_IO_List[[#This Row],[PLC_Tag]]</f>
        <v>DV-61302_DI_2</v>
      </c>
      <c r="H571" s="136"/>
      <c r="I571" s="136" t="str">
        <f>VLOOKUP(tbl_IO_List[[#This Row],[Destination]],tbl_Junction[],2,FALSE)</f>
        <v>Packing Tower 8th Floor</v>
      </c>
      <c r="J571" s="136" t="s">
        <v>360</v>
      </c>
      <c r="K571" s="136" t="s">
        <v>66</v>
      </c>
      <c r="L571" s="136" t="s">
        <v>379</v>
      </c>
      <c r="M571" s="136">
        <f>VLOOKUP(tbl_IO_List[[#This Row],[Instruement Tag]],tbl_Instruement_List[],2,FALSE)</f>
        <v>0</v>
      </c>
      <c r="N571" s="136" t="s">
        <v>93</v>
      </c>
      <c r="O571" s="136" t="s">
        <v>18</v>
      </c>
      <c r="P571" s="136" t="s">
        <v>75</v>
      </c>
      <c r="Q571" s="136" t="str">
        <f>VLOOKUP(tbl_IO_List[[#This Row],[Instruement Tag]],tbl_Instruement_List[],6,FALSE)</f>
        <v>On/Off Valve for Diverter Valve DV-61302</v>
      </c>
      <c r="R571" s="136"/>
      <c r="S57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571" s="136" t="str">
        <f>tbl_IO_List[[#This Row],[Instruement Tag]]&amp;"_"&amp;tbl_IO_List[[#This Row],[I/O Type]]&amp;"_"&amp;tbl_IO_List[[#This Row],[IO-Point 
(Instruement)]]</f>
        <v>DV-61302_DI_2</v>
      </c>
      <c r="U571" s="136" t="s">
        <v>8</v>
      </c>
      <c r="V571" s="136">
        <f>VLOOKUP(tbl_IO_List[[#This Row],[I/O Type]],tbl_Slot_Group[],2,FALSE)</f>
        <v>1</v>
      </c>
      <c r="W571" s="136">
        <v>2</v>
      </c>
      <c r="X571" s="136" t="str">
        <f>tbl_IO_List[[#This Row],[Chassis]]&amp;"S"&amp;TEXT(tbl_IO_List[[#This Row],[Slot]],"00")</f>
        <v>C3S01</v>
      </c>
      <c r="Y571" s="136" t="str">
        <f>tbl_IO_List[[#This Row],[Chassis]]&amp;"S"&amp;TEXT(tbl_IO_List[[#This Row],[Slot]],"00")&amp;tbl_IO_List[[#This Row],[I/O Type]]&amp;TEXT(tbl_IO_List[[#This Row],[Point]],"00")</f>
        <v>C3S01DI19</v>
      </c>
      <c r="Z571" s="136" t="str">
        <f>tbl_IO_List[[#This Row],[Chassis]]&amp;"S"&amp;TEXT(tbl_IO_List[[#This Row],[Slot]],"00")&amp;","&amp;TEXT(tbl_IO_List[[#This Row],[Point]],"00")</f>
        <v>C3S01,19</v>
      </c>
      <c r="AA571" s="136" t="str">
        <f>VLOOKUP(tbl_IO_List[[#This Row],[Column23]],tbl_RackConfig[],5,FALSE) &amp;"-"&amp;tbl_IO_List[[#This Row],[Point]]</f>
        <v>1756-IB32-19</v>
      </c>
      <c r="AB571" s="136"/>
      <c r="AC571" s="136"/>
      <c r="AD571" s="136" t="str">
        <f>tbl_IO_List[[#This Row],[I/O Type]]</f>
        <v>DI</v>
      </c>
      <c r="AE571" s="136" t="s">
        <v>1334</v>
      </c>
      <c r="AF571" s="136">
        <v>1</v>
      </c>
      <c r="AG571" s="136">
        <v>19</v>
      </c>
      <c r="AH571" s="136"/>
      <c r="AI571" s="136"/>
      <c r="AJ571" s="136">
        <v>2</v>
      </c>
      <c r="AK571" s="136">
        <v>1</v>
      </c>
      <c r="AL571" s="136">
        <v>0</v>
      </c>
      <c r="AM571" s="136">
        <v>0</v>
      </c>
      <c r="AN571" s="136">
        <v>0</v>
      </c>
      <c r="AO571" s="136"/>
      <c r="AP571" s="143" t="str">
        <f>VLOOKUP(tbl_IO_List[[#This Row],[Instruement Tag]],tbl_Instruement_List[],14,FALSE)</f>
        <v>24 VDC energized</v>
      </c>
      <c r="AQ571" s="143" t="str">
        <f>tbl_IO_List[[#This Row],[Chassis]]&amp;"S"&amp;tbl_IO_List[[#This Row],[Slot]]&amp;"-"&amp;tbl_IO_List[[#This Row],[Front Terminal Number]]</f>
        <v>C3S1-</v>
      </c>
      <c r="AR571" s="143"/>
      <c r="AS571" s="136" t="str">
        <f>tbl_IO_List[[#This Row],[Terminal Tagging]]&amp;"-"&amp;tbl_IO_List[[#This Row],[Point-Count]]</f>
        <v>-</v>
      </c>
      <c r="AT571" s="136" t="str">
        <f>tbl_IO_List[[#This Row],[Front Terminal Tagging]]&amp;"/"&amp;tbl_IO_List[[#This Row],[Terminal Tagging-Item]]</f>
        <v>C3S1-/-</v>
      </c>
      <c r="AU571" s="136" t="str">
        <f>tbl_IO_List[[#This Row],[Terminal Tagging-Item]]&amp;"/"&amp;tbl_IO_List[[#This Row],[Front Terminal Tagging]]</f>
        <v>-/C3S1-</v>
      </c>
    </row>
    <row r="572" spans="1:47" hidden="1">
      <c r="A572" s="147" t="s">
        <v>1365</v>
      </c>
      <c r="B572" s="136" t="s">
        <v>360</v>
      </c>
      <c r="C572" s="136" t="str">
        <f>tbl_IO_List[[#This Row],[Column3]]</f>
        <v>C3S01,20</v>
      </c>
      <c r="D572" s="136" t="str">
        <f>tbl_IO_List[[#This Row],[Card]]</f>
        <v>1756-IB32-20</v>
      </c>
      <c r="E572" s="136" t="s">
        <v>1372</v>
      </c>
      <c r="F572" s="136" t="str">
        <f>tbl_IO_List[[#This Row],[Column23]]&amp;"-" &amp;tbl_IO_List[[#This Row],[Column52]]</f>
        <v>C3S01-X2</v>
      </c>
      <c r="G572" s="136" t="str">
        <f>tbl_IO_List[[#This Row],[PLC_Tag]]</f>
        <v>LS-61303_DI_1</v>
      </c>
      <c r="H572" s="136"/>
      <c r="I572" s="136" t="str">
        <f>VLOOKUP(tbl_IO_List[[#This Row],[Destination]],tbl_Junction[],2,FALSE)</f>
        <v>Packing Tower 8th Floor</v>
      </c>
      <c r="J572" s="136" t="s">
        <v>360</v>
      </c>
      <c r="K572" s="136" t="s">
        <v>66</v>
      </c>
      <c r="L572" s="136" t="s">
        <v>365</v>
      </c>
      <c r="M572" s="136">
        <f>VLOOKUP(tbl_IO_List[[#This Row],[Instruement Tag]],tbl_Instruement_List[],2,FALSE)</f>
        <v>0</v>
      </c>
      <c r="N572" s="136" t="s">
        <v>95</v>
      </c>
      <c r="O572" s="136" t="s">
        <v>18</v>
      </c>
      <c r="P572" s="136" t="s">
        <v>75</v>
      </c>
      <c r="Q572" s="136" t="str">
        <f>VLOOKUP(tbl_IO_List[[#This Row],[Instruement Tag]],tbl_Instruement_List[],6,FALSE)</f>
        <v>Level switch</v>
      </c>
      <c r="R572" s="136"/>
      <c r="S57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572" s="136" t="str">
        <f>tbl_IO_List[[#This Row],[Instruement Tag]]&amp;"_"&amp;tbl_IO_List[[#This Row],[I/O Type]]&amp;"_"&amp;tbl_IO_List[[#This Row],[IO-Point 
(Instruement)]]</f>
        <v>LS-61303_DI_1</v>
      </c>
      <c r="U572" s="136" t="s">
        <v>8</v>
      </c>
      <c r="V572" s="136">
        <f>VLOOKUP(tbl_IO_List[[#This Row],[I/O Type]],tbl_Slot_Group[],2,FALSE)</f>
        <v>1</v>
      </c>
      <c r="W572" s="136">
        <v>1</v>
      </c>
      <c r="X572" s="136" t="str">
        <f>tbl_IO_List[[#This Row],[Chassis]]&amp;"S"&amp;TEXT(tbl_IO_List[[#This Row],[Slot]],"00")</f>
        <v>C3S01</v>
      </c>
      <c r="Y572" s="136" t="str">
        <f>tbl_IO_List[[#This Row],[Chassis]]&amp;"S"&amp;TEXT(tbl_IO_List[[#This Row],[Slot]],"00")&amp;tbl_IO_List[[#This Row],[I/O Type]]&amp;TEXT(tbl_IO_List[[#This Row],[Point]],"00")</f>
        <v>C3S01DI20</v>
      </c>
      <c r="Z572" s="136" t="str">
        <f>tbl_IO_List[[#This Row],[Chassis]]&amp;"S"&amp;TEXT(tbl_IO_List[[#This Row],[Slot]],"00")&amp;","&amp;TEXT(tbl_IO_List[[#This Row],[Point]],"00")</f>
        <v>C3S01,20</v>
      </c>
      <c r="AA572" s="136" t="str">
        <f>VLOOKUP(tbl_IO_List[[#This Row],[Column23]],tbl_RackConfig[],5,FALSE) &amp;"-"&amp;tbl_IO_List[[#This Row],[Point]]</f>
        <v>1756-IB32-20</v>
      </c>
      <c r="AB572" s="136"/>
      <c r="AC572" s="136"/>
      <c r="AD572" s="136" t="str">
        <f>tbl_IO_List[[#This Row],[I/O Type]]</f>
        <v>DI</v>
      </c>
      <c r="AE572" s="136" t="s">
        <v>1334</v>
      </c>
      <c r="AF572" s="136">
        <v>1</v>
      </c>
      <c r="AG572" s="136">
        <v>20</v>
      </c>
      <c r="AH572" s="136"/>
      <c r="AI572" s="136"/>
      <c r="AJ572" s="136">
        <v>1</v>
      </c>
      <c r="AK572" s="136">
        <v>0</v>
      </c>
      <c r="AL572" s="136">
        <v>0</v>
      </c>
      <c r="AM572" s="136">
        <v>0</v>
      </c>
      <c r="AN572" s="136">
        <v>0</v>
      </c>
      <c r="AO572" s="136"/>
      <c r="AP572" s="143" t="str">
        <f>VLOOKUP(tbl_IO_List[[#This Row],[Instruement Tag]],tbl_Instruement_List[],14,FALSE)</f>
        <v>Dry Contact</v>
      </c>
      <c r="AQ572" s="143" t="str">
        <f>tbl_IO_List[[#This Row],[Chassis]]&amp;"S"&amp;tbl_IO_List[[#This Row],[Slot]]&amp;"-"&amp;tbl_IO_List[[#This Row],[Front Terminal Number]]</f>
        <v>C3S1-</v>
      </c>
      <c r="AR572" s="143"/>
      <c r="AS572" s="136" t="str">
        <f>tbl_IO_List[[#This Row],[Terminal Tagging]]&amp;"-"&amp;tbl_IO_List[[#This Row],[Point-Count]]</f>
        <v>-</v>
      </c>
      <c r="AT572" s="136" t="str">
        <f>tbl_IO_List[[#This Row],[Front Terminal Tagging]]&amp;"/"&amp;tbl_IO_List[[#This Row],[Terminal Tagging-Item]]</f>
        <v>C3S1-/-</v>
      </c>
      <c r="AU572" s="136" t="str">
        <f>tbl_IO_List[[#This Row],[Terminal Tagging-Item]]&amp;"/"&amp;tbl_IO_List[[#This Row],[Front Terminal Tagging]]</f>
        <v>-/C3S1-</v>
      </c>
    </row>
    <row r="573" spans="1:47" hidden="1">
      <c r="A573" s="147" t="s">
        <v>1365</v>
      </c>
      <c r="B573" s="136" t="s">
        <v>360</v>
      </c>
      <c r="C573" s="136" t="str">
        <f>tbl_IO_List[[#This Row],[Column3]]</f>
        <v>C3S01,21</v>
      </c>
      <c r="D573" s="136" t="str">
        <f>tbl_IO_List[[#This Row],[Card]]</f>
        <v>1756-IB32-21</v>
      </c>
      <c r="E573" s="136" t="s">
        <v>1372</v>
      </c>
      <c r="F573" s="136" t="str">
        <f>tbl_IO_List[[#This Row],[Column23]]&amp;"-" &amp;tbl_IO_List[[#This Row],[Column52]]</f>
        <v>C3S01-X2</v>
      </c>
      <c r="G573" s="136" t="str">
        <f>tbl_IO_List[[#This Row],[PLC_Tag]]</f>
        <v>PSL-61301_DI_1</v>
      </c>
      <c r="H573" s="136"/>
      <c r="I573" s="136" t="str">
        <f>VLOOKUP(tbl_IO_List[[#This Row],[Destination]],tbl_Junction[],2,FALSE)</f>
        <v>Packing Tower 8th Floor</v>
      </c>
      <c r="J573" s="136" t="s">
        <v>360</v>
      </c>
      <c r="K573" s="136" t="s">
        <v>66</v>
      </c>
      <c r="L573" s="136" t="s">
        <v>366</v>
      </c>
      <c r="M573" s="136">
        <f>VLOOKUP(tbl_IO_List[[#This Row],[Instruement Tag]],tbl_Instruement_List[],2,FALSE)</f>
        <v>0</v>
      </c>
      <c r="N573" s="136" t="s">
        <v>47</v>
      </c>
      <c r="O573" s="136" t="s">
        <v>78</v>
      </c>
      <c r="P573" s="136" t="s">
        <v>18</v>
      </c>
      <c r="Q573" s="136" t="str">
        <f>VLOOKUP(tbl_IO_List[[#This Row],[Instruement Tag]],tbl_Instruement_List[],6,FALSE)</f>
        <v>Pressure alarm low</v>
      </c>
      <c r="R573" s="136"/>
      <c r="S57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573" s="136" t="str">
        <f>tbl_IO_List[[#This Row],[Instruement Tag]]&amp;"_"&amp;tbl_IO_List[[#This Row],[I/O Type]]&amp;"_"&amp;tbl_IO_List[[#This Row],[IO-Point 
(Instruement)]]</f>
        <v>PSL-61301_DI_1</v>
      </c>
      <c r="U573" s="136" t="s">
        <v>8</v>
      </c>
      <c r="V573" s="136">
        <f>VLOOKUP(tbl_IO_List[[#This Row],[I/O Type]],tbl_Slot_Group[],2,FALSE)</f>
        <v>1</v>
      </c>
      <c r="W573" s="136">
        <v>1</v>
      </c>
      <c r="X573" s="136" t="str">
        <f>tbl_IO_List[[#This Row],[Chassis]]&amp;"S"&amp;TEXT(tbl_IO_List[[#This Row],[Slot]],"00")</f>
        <v>C3S01</v>
      </c>
      <c r="Y573" s="136" t="str">
        <f>tbl_IO_List[[#This Row],[Chassis]]&amp;"S"&amp;TEXT(tbl_IO_List[[#This Row],[Slot]],"00")&amp;tbl_IO_List[[#This Row],[I/O Type]]&amp;TEXT(tbl_IO_List[[#This Row],[Point]],"00")</f>
        <v>C3S01DI21</v>
      </c>
      <c r="Z573" s="136" t="str">
        <f>tbl_IO_List[[#This Row],[Chassis]]&amp;"S"&amp;TEXT(tbl_IO_List[[#This Row],[Slot]],"00")&amp;","&amp;TEXT(tbl_IO_List[[#This Row],[Point]],"00")</f>
        <v>C3S01,21</v>
      </c>
      <c r="AA573" s="136" t="str">
        <f>VLOOKUP(tbl_IO_List[[#This Row],[Column23]],tbl_RackConfig[],5,FALSE) &amp;"-"&amp;tbl_IO_List[[#This Row],[Point]]</f>
        <v>1756-IB32-21</v>
      </c>
      <c r="AB573" s="136"/>
      <c r="AC573" s="136"/>
      <c r="AD573" s="136" t="str">
        <f>tbl_IO_List[[#This Row],[I/O Type]]</f>
        <v>DI</v>
      </c>
      <c r="AE573" s="136" t="s">
        <v>1334</v>
      </c>
      <c r="AF573" s="136">
        <v>1</v>
      </c>
      <c r="AG573" s="136">
        <v>21</v>
      </c>
      <c r="AH573" s="136"/>
      <c r="AI573" s="136"/>
      <c r="AJ573" s="136">
        <v>1</v>
      </c>
      <c r="AK573" s="136">
        <v>0</v>
      </c>
      <c r="AL573" s="136">
        <v>0</v>
      </c>
      <c r="AM573" s="136">
        <v>0</v>
      </c>
      <c r="AN573" s="136">
        <v>0</v>
      </c>
      <c r="AO573" s="136"/>
      <c r="AP573" s="143" t="str">
        <f>VLOOKUP(tbl_IO_List[[#This Row],[Instruement Tag]],tbl_Instruement_List[],14,FALSE)</f>
        <v>Dry Contact</v>
      </c>
      <c r="AQ573" s="143" t="str">
        <f>tbl_IO_List[[#This Row],[Chassis]]&amp;"S"&amp;tbl_IO_List[[#This Row],[Slot]]&amp;"-"&amp;tbl_IO_List[[#This Row],[Front Terminal Number]]</f>
        <v>C3S1-</v>
      </c>
      <c r="AR573" s="143"/>
      <c r="AS573" s="136" t="str">
        <f>tbl_IO_List[[#This Row],[Terminal Tagging]]&amp;"-"&amp;tbl_IO_List[[#This Row],[Point-Count]]</f>
        <v>-</v>
      </c>
      <c r="AT573" s="136" t="str">
        <f>tbl_IO_List[[#This Row],[Front Terminal Tagging]]&amp;"/"&amp;tbl_IO_List[[#This Row],[Terminal Tagging-Item]]</f>
        <v>C3S1-/-</v>
      </c>
      <c r="AU573" s="136" t="str">
        <f>tbl_IO_List[[#This Row],[Terminal Tagging-Item]]&amp;"/"&amp;tbl_IO_List[[#This Row],[Front Terminal Tagging]]</f>
        <v>-/C3S1-</v>
      </c>
    </row>
    <row r="574" spans="1:47" hidden="1">
      <c r="A574" s="147" t="s">
        <v>1365</v>
      </c>
      <c r="B574" s="136" t="s">
        <v>360</v>
      </c>
      <c r="C574" s="136" t="str">
        <f>tbl_IO_List[[#This Row],[Column3]]</f>
        <v>C3S01,22</v>
      </c>
      <c r="D574" s="136" t="str">
        <f>tbl_IO_List[[#This Row],[Card]]</f>
        <v>1756-IB32-22</v>
      </c>
      <c r="E574" s="136" t="s">
        <v>1372</v>
      </c>
      <c r="F574" s="136" t="str">
        <f>tbl_IO_List[[#This Row],[Column23]]&amp;"-" &amp;tbl_IO_List[[#This Row],[Column52]]</f>
        <v>C3S01-X2</v>
      </c>
      <c r="G574" s="136" t="str">
        <f>tbl_IO_List[[#This Row],[PLC_Tag]]</f>
        <v>PSL-61302_DI_1</v>
      </c>
      <c r="H574" s="136"/>
      <c r="I574" s="136" t="str">
        <f>VLOOKUP(tbl_IO_List[[#This Row],[Destination]],tbl_Junction[],2,FALSE)</f>
        <v>Packing Tower 8th Floor</v>
      </c>
      <c r="J574" s="136" t="s">
        <v>360</v>
      </c>
      <c r="K574" s="136" t="s">
        <v>66</v>
      </c>
      <c r="L574" s="136" t="s">
        <v>367</v>
      </c>
      <c r="M574" s="136">
        <f>VLOOKUP(tbl_IO_List[[#This Row],[Instruement Tag]],tbl_Instruement_List[],2,FALSE)</f>
        <v>0</v>
      </c>
      <c r="N574" s="136" t="s">
        <v>93</v>
      </c>
      <c r="O574" s="136" t="s">
        <v>78</v>
      </c>
      <c r="P574" s="136" t="s">
        <v>75</v>
      </c>
      <c r="Q574" s="136" t="str">
        <f>VLOOKUP(tbl_IO_List[[#This Row],[Instruement Tag]],tbl_Instruement_List[],6,FALSE)</f>
        <v>Pressure alarm low</v>
      </c>
      <c r="R574" s="136"/>
      <c r="S57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574" s="136" t="str">
        <f>tbl_IO_List[[#This Row],[Instruement Tag]]&amp;"_"&amp;tbl_IO_List[[#This Row],[I/O Type]]&amp;"_"&amp;tbl_IO_List[[#This Row],[IO-Point 
(Instruement)]]</f>
        <v>PSL-61302_DI_1</v>
      </c>
      <c r="U574" s="136" t="s">
        <v>8</v>
      </c>
      <c r="V574" s="136">
        <f>VLOOKUP(tbl_IO_List[[#This Row],[I/O Type]],tbl_Slot_Group[],2,FALSE)</f>
        <v>1</v>
      </c>
      <c r="W574" s="136">
        <v>1</v>
      </c>
      <c r="X574" s="136" t="str">
        <f>tbl_IO_List[[#This Row],[Chassis]]&amp;"S"&amp;TEXT(tbl_IO_List[[#This Row],[Slot]],"00")</f>
        <v>C3S01</v>
      </c>
      <c r="Y574" s="136" t="str">
        <f>tbl_IO_List[[#This Row],[Chassis]]&amp;"S"&amp;TEXT(tbl_IO_List[[#This Row],[Slot]],"00")&amp;tbl_IO_List[[#This Row],[I/O Type]]&amp;TEXT(tbl_IO_List[[#This Row],[Point]],"00")</f>
        <v>C3S01DI22</v>
      </c>
      <c r="Z574" s="136" t="str">
        <f>tbl_IO_List[[#This Row],[Chassis]]&amp;"S"&amp;TEXT(tbl_IO_List[[#This Row],[Slot]],"00")&amp;","&amp;TEXT(tbl_IO_List[[#This Row],[Point]],"00")</f>
        <v>C3S01,22</v>
      </c>
      <c r="AA574" s="136" t="str">
        <f>VLOOKUP(tbl_IO_List[[#This Row],[Column23]],tbl_RackConfig[],5,FALSE) &amp;"-"&amp;tbl_IO_List[[#This Row],[Point]]</f>
        <v>1756-IB32-22</v>
      </c>
      <c r="AB574" s="136"/>
      <c r="AC574" s="136"/>
      <c r="AD574" s="136" t="str">
        <f>tbl_IO_List[[#This Row],[I/O Type]]</f>
        <v>DI</v>
      </c>
      <c r="AE574" s="136" t="s">
        <v>1334</v>
      </c>
      <c r="AF574" s="136">
        <v>1</v>
      </c>
      <c r="AG574" s="136">
        <v>22</v>
      </c>
      <c r="AH574" s="136"/>
      <c r="AI574" s="136"/>
      <c r="AJ574" s="136">
        <v>1</v>
      </c>
      <c r="AK574" s="136">
        <v>0</v>
      </c>
      <c r="AL574" s="136">
        <v>0</v>
      </c>
      <c r="AM574" s="136">
        <v>0</v>
      </c>
      <c r="AN574" s="136">
        <v>0</v>
      </c>
      <c r="AO574" s="136"/>
      <c r="AP574" s="143" t="str">
        <f>VLOOKUP(tbl_IO_List[[#This Row],[Instruement Tag]],tbl_Instruement_List[],14,FALSE)</f>
        <v>Dry Contact</v>
      </c>
      <c r="AQ574" s="143" t="str">
        <f>tbl_IO_List[[#This Row],[Chassis]]&amp;"S"&amp;tbl_IO_List[[#This Row],[Slot]]&amp;"-"&amp;tbl_IO_List[[#This Row],[Front Terminal Number]]</f>
        <v>C3S1-</v>
      </c>
      <c r="AR574" s="143"/>
      <c r="AS574" s="136" t="str">
        <f>tbl_IO_List[[#This Row],[Terminal Tagging]]&amp;"-"&amp;tbl_IO_List[[#This Row],[Point-Count]]</f>
        <v>-</v>
      </c>
      <c r="AT574" s="136" t="str">
        <f>tbl_IO_List[[#This Row],[Front Terminal Tagging]]&amp;"/"&amp;tbl_IO_List[[#This Row],[Terminal Tagging-Item]]</f>
        <v>C3S1-/-</v>
      </c>
      <c r="AU574" s="136" t="str">
        <f>tbl_IO_List[[#This Row],[Terminal Tagging-Item]]&amp;"/"&amp;tbl_IO_List[[#This Row],[Front Terminal Tagging]]</f>
        <v>-/C3S1-</v>
      </c>
    </row>
    <row r="575" spans="1:47" hidden="1">
      <c r="A575" s="147" t="s">
        <v>1365</v>
      </c>
      <c r="B575" s="136" t="s">
        <v>360</v>
      </c>
      <c r="C575" s="136" t="str">
        <f>tbl_IO_List[[#This Row],[Column3]]</f>
        <v>C3S01,28</v>
      </c>
      <c r="D575" s="136" t="str">
        <f>tbl_IO_List[[#This Row],[Card]]</f>
        <v>1756-IB32-28</v>
      </c>
      <c r="E575" s="136" t="s">
        <v>1372</v>
      </c>
      <c r="F575" s="136" t="str">
        <f>tbl_IO_List[[#This Row],[Column23]]&amp;"-" &amp;tbl_IO_List[[#This Row],[Column52]]</f>
        <v>C3S01-X2</v>
      </c>
      <c r="G575" s="136" t="str">
        <f>tbl_IO_List[[#This Row],[PLC_Tag]]</f>
        <v>Spare_DI_0</v>
      </c>
      <c r="H575" s="136"/>
      <c r="I575" s="136" t="str">
        <f>VLOOKUP(tbl_IO_List[[#This Row],[Destination]],tbl_Junction[],2,FALSE)</f>
        <v>Packing Tower 8th Floor</v>
      </c>
      <c r="J575" s="136" t="s">
        <v>360</v>
      </c>
      <c r="K575" s="136" t="s">
        <v>66</v>
      </c>
      <c r="L575" s="136" t="s">
        <v>411</v>
      </c>
      <c r="M575" s="136" t="e">
        <f>VLOOKUP(tbl_IO_List[[#This Row],[Instruement Tag]],tbl_Instruement_List[],2,FALSE)</f>
        <v>#N/A</v>
      </c>
      <c r="N575" s="136"/>
      <c r="O575" s="136" t="s">
        <v>18</v>
      </c>
      <c r="P575" s="136" t="s">
        <v>18</v>
      </c>
      <c r="Q575" s="136" t="e">
        <f>VLOOKUP(tbl_IO_List[[#This Row],[Instruement Tag]],tbl_Instruement_List[],6,FALSE)</f>
        <v>#N/A</v>
      </c>
      <c r="R575" s="136"/>
      <c r="S57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575" s="136" t="str">
        <f>tbl_IO_List[[#This Row],[Instruement Tag]]&amp;"_"&amp;tbl_IO_List[[#This Row],[I/O Type]]&amp;"_"&amp;tbl_IO_List[[#This Row],[IO-Point 
(Instruement)]]</f>
        <v>Spare_DI_0</v>
      </c>
      <c r="U575" s="136" t="s">
        <v>8</v>
      </c>
      <c r="V575" s="136">
        <f>VLOOKUP(tbl_IO_List[[#This Row],[I/O Type]],tbl_Slot_Group[],2,FALSE)</f>
        <v>1</v>
      </c>
      <c r="W575" s="136">
        <v>0</v>
      </c>
      <c r="X575" s="136" t="str">
        <f>tbl_IO_List[[#This Row],[Chassis]]&amp;"S"&amp;TEXT(tbl_IO_List[[#This Row],[Slot]],"00")</f>
        <v>C3S01</v>
      </c>
      <c r="Y575" s="136" t="str">
        <f>tbl_IO_List[[#This Row],[Chassis]]&amp;"S"&amp;TEXT(tbl_IO_List[[#This Row],[Slot]],"00")&amp;tbl_IO_List[[#This Row],[I/O Type]]&amp;TEXT(tbl_IO_List[[#This Row],[Point]],"00")</f>
        <v>C3S01DI28</v>
      </c>
      <c r="Z575" s="136" t="str">
        <f>tbl_IO_List[[#This Row],[Chassis]]&amp;"S"&amp;TEXT(tbl_IO_List[[#This Row],[Slot]],"00")&amp;","&amp;TEXT(tbl_IO_List[[#This Row],[Point]],"00")</f>
        <v>C3S01,28</v>
      </c>
      <c r="AA575" s="136" t="str">
        <f>VLOOKUP(tbl_IO_List[[#This Row],[Column23]],tbl_RackConfig[],5,FALSE) &amp;"-"&amp;tbl_IO_List[[#This Row],[Point]]</f>
        <v>1756-IB32-28</v>
      </c>
      <c r="AB575" s="136"/>
      <c r="AC575" s="136"/>
      <c r="AD575" s="136" t="str">
        <f>tbl_IO_List[[#This Row],[I/O Type]]</f>
        <v>DI</v>
      </c>
      <c r="AE575" s="136" t="s">
        <v>1334</v>
      </c>
      <c r="AF575" s="136">
        <v>1</v>
      </c>
      <c r="AG575" s="136">
        <v>28</v>
      </c>
      <c r="AH575" s="136"/>
      <c r="AI575" s="136"/>
      <c r="AJ575" s="136">
        <v>1</v>
      </c>
      <c r="AK575" s="136">
        <v>0</v>
      </c>
      <c r="AL575" s="136">
        <v>0</v>
      </c>
      <c r="AM575" s="136">
        <v>0</v>
      </c>
      <c r="AN575" s="136">
        <v>0</v>
      </c>
      <c r="AO575" s="136"/>
      <c r="AP575" s="143"/>
      <c r="AQ575" s="143" t="str">
        <f>tbl_IO_List[[#This Row],[Chassis]]&amp;"S"&amp;tbl_IO_List[[#This Row],[Slot]]&amp;"-"&amp;tbl_IO_List[[#This Row],[Front Terminal Number]]</f>
        <v>C3S1-</v>
      </c>
      <c r="AR575" s="143"/>
      <c r="AS575" s="136" t="str">
        <f>tbl_IO_List[[#This Row],[Terminal Tagging]]&amp;"-"&amp;tbl_IO_List[[#This Row],[Point-Count]]</f>
        <v>-</v>
      </c>
      <c r="AT575" s="136" t="str">
        <f>tbl_IO_List[[#This Row],[Front Terminal Tagging]]&amp;"/"&amp;tbl_IO_List[[#This Row],[Terminal Tagging-Item]]</f>
        <v>C3S1-/-</v>
      </c>
      <c r="AU575" s="136" t="str">
        <f>tbl_IO_List[[#This Row],[Terminal Tagging-Item]]&amp;"/"&amp;tbl_IO_List[[#This Row],[Front Terminal Tagging]]</f>
        <v>-/C3S1-</v>
      </c>
    </row>
    <row r="576" spans="1:47" hidden="1">
      <c r="A576" s="147" t="s">
        <v>1365</v>
      </c>
      <c r="B576" s="136" t="s">
        <v>360</v>
      </c>
      <c r="C576" s="136" t="str">
        <f>tbl_IO_List[[#This Row],[Column3]]</f>
        <v>C3S01,29</v>
      </c>
      <c r="D576" s="136" t="str">
        <f>tbl_IO_List[[#This Row],[Card]]</f>
        <v>1756-IB32-29</v>
      </c>
      <c r="E576" s="136" t="s">
        <v>1372</v>
      </c>
      <c r="F576" s="136" t="str">
        <f>tbl_IO_List[[#This Row],[Column23]]&amp;"-" &amp;tbl_IO_List[[#This Row],[Column52]]</f>
        <v>C3S01-X2</v>
      </c>
      <c r="G576" s="136" t="str">
        <f>tbl_IO_List[[#This Row],[PLC_Tag]]</f>
        <v>Spare_DI_0</v>
      </c>
      <c r="H576" s="136"/>
      <c r="I576" s="136" t="str">
        <f>VLOOKUP(tbl_IO_List[[#This Row],[Destination]],tbl_Junction[],2,FALSE)</f>
        <v>Packing Tower 8th Floor</v>
      </c>
      <c r="J576" s="136" t="s">
        <v>360</v>
      </c>
      <c r="K576" s="136" t="s">
        <v>66</v>
      </c>
      <c r="L576" s="136" t="s">
        <v>411</v>
      </c>
      <c r="M576" s="136" t="e">
        <f>VLOOKUP(tbl_IO_List[[#This Row],[Instruement Tag]],tbl_Instruement_List[],2,FALSE)</f>
        <v>#N/A</v>
      </c>
      <c r="N576" s="136"/>
      <c r="O576" s="136" t="s">
        <v>18</v>
      </c>
      <c r="P576" s="136" t="s">
        <v>18</v>
      </c>
      <c r="Q576" s="136" t="e">
        <f>VLOOKUP(tbl_IO_List[[#This Row],[Instruement Tag]],tbl_Instruement_List[],6,FALSE)</f>
        <v>#N/A</v>
      </c>
      <c r="R576" s="136"/>
      <c r="S57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576" s="136" t="str">
        <f>tbl_IO_List[[#This Row],[Instruement Tag]]&amp;"_"&amp;tbl_IO_List[[#This Row],[I/O Type]]&amp;"_"&amp;tbl_IO_List[[#This Row],[IO-Point 
(Instruement)]]</f>
        <v>Spare_DI_0</v>
      </c>
      <c r="U576" s="136" t="s">
        <v>8</v>
      </c>
      <c r="V576" s="136">
        <f>VLOOKUP(tbl_IO_List[[#This Row],[I/O Type]],tbl_Slot_Group[],2,FALSE)</f>
        <v>1</v>
      </c>
      <c r="W576" s="136">
        <v>0</v>
      </c>
      <c r="X576" s="136" t="str">
        <f>tbl_IO_List[[#This Row],[Chassis]]&amp;"S"&amp;TEXT(tbl_IO_List[[#This Row],[Slot]],"00")</f>
        <v>C3S01</v>
      </c>
      <c r="Y576" s="136" t="str">
        <f>tbl_IO_List[[#This Row],[Chassis]]&amp;"S"&amp;TEXT(tbl_IO_List[[#This Row],[Slot]],"00")&amp;tbl_IO_List[[#This Row],[I/O Type]]&amp;TEXT(tbl_IO_List[[#This Row],[Point]],"00")</f>
        <v>C3S01DI29</v>
      </c>
      <c r="Z576" s="136" t="str">
        <f>tbl_IO_List[[#This Row],[Chassis]]&amp;"S"&amp;TEXT(tbl_IO_List[[#This Row],[Slot]],"00")&amp;","&amp;TEXT(tbl_IO_List[[#This Row],[Point]],"00")</f>
        <v>C3S01,29</v>
      </c>
      <c r="AA576" s="136" t="str">
        <f>VLOOKUP(tbl_IO_List[[#This Row],[Column23]],tbl_RackConfig[],5,FALSE) &amp;"-"&amp;tbl_IO_List[[#This Row],[Point]]</f>
        <v>1756-IB32-29</v>
      </c>
      <c r="AB576" s="136"/>
      <c r="AC576" s="136"/>
      <c r="AD576" s="136" t="str">
        <f>tbl_IO_List[[#This Row],[I/O Type]]</f>
        <v>DI</v>
      </c>
      <c r="AE576" s="136" t="s">
        <v>1334</v>
      </c>
      <c r="AF576" s="136">
        <v>1</v>
      </c>
      <c r="AG576" s="136">
        <v>29</v>
      </c>
      <c r="AH576" s="136"/>
      <c r="AI576" s="136"/>
      <c r="AJ576" s="136">
        <v>1</v>
      </c>
      <c r="AK576" s="136">
        <v>0</v>
      </c>
      <c r="AL576" s="136">
        <v>0</v>
      </c>
      <c r="AM576" s="136">
        <v>0</v>
      </c>
      <c r="AN576" s="136">
        <v>0</v>
      </c>
      <c r="AO576" s="136"/>
      <c r="AP576" s="143"/>
      <c r="AQ576" s="143" t="str">
        <f>tbl_IO_List[[#This Row],[Chassis]]&amp;"S"&amp;tbl_IO_List[[#This Row],[Slot]]&amp;"-"&amp;tbl_IO_List[[#This Row],[Front Terminal Number]]</f>
        <v>C3S1-</v>
      </c>
      <c r="AR576" s="143"/>
      <c r="AS576" s="136" t="str">
        <f>tbl_IO_List[[#This Row],[Terminal Tagging]]&amp;"-"&amp;tbl_IO_List[[#This Row],[Point-Count]]</f>
        <v>-</v>
      </c>
      <c r="AT576" s="136" t="str">
        <f>tbl_IO_List[[#This Row],[Front Terminal Tagging]]&amp;"/"&amp;tbl_IO_List[[#This Row],[Terminal Tagging-Item]]</f>
        <v>C3S1-/-</v>
      </c>
      <c r="AU576" s="136" t="str">
        <f>tbl_IO_List[[#This Row],[Terminal Tagging-Item]]&amp;"/"&amp;tbl_IO_List[[#This Row],[Front Terminal Tagging]]</f>
        <v>-/C3S1-</v>
      </c>
    </row>
    <row r="577" spans="1:47" hidden="1">
      <c r="A577" s="147" t="s">
        <v>1365</v>
      </c>
      <c r="B577" s="136" t="s">
        <v>360</v>
      </c>
      <c r="C577" s="136" t="str">
        <f>tbl_IO_List[[#This Row],[Column3]]</f>
        <v>C3S01,30</v>
      </c>
      <c r="D577" s="136" t="str">
        <f>tbl_IO_List[[#This Row],[Card]]</f>
        <v>1756-IB32-30</v>
      </c>
      <c r="E577" s="136" t="s">
        <v>1372</v>
      </c>
      <c r="F577" s="136" t="str">
        <f>tbl_IO_List[[#This Row],[Column23]]&amp;"-" &amp;tbl_IO_List[[#This Row],[Column52]]</f>
        <v>C3S01-X2</v>
      </c>
      <c r="G577" s="136" t="str">
        <f>tbl_IO_List[[#This Row],[PLC_Tag]]</f>
        <v>Spare_DI_0</v>
      </c>
      <c r="H577" s="136"/>
      <c r="I577" s="136" t="str">
        <f>VLOOKUP(tbl_IO_List[[#This Row],[Destination]],tbl_Junction[],2,FALSE)</f>
        <v>Packing Tower 8th Floor</v>
      </c>
      <c r="J577" s="136" t="s">
        <v>360</v>
      </c>
      <c r="K577" s="136" t="s">
        <v>66</v>
      </c>
      <c r="L577" s="136" t="s">
        <v>411</v>
      </c>
      <c r="M577" s="136" t="e">
        <f>VLOOKUP(tbl_IO_List[[#This Row],[Instruement Tag]],tbl_Instruement_List[],2,FALSE)</f>
        <v>#N/A</v>
      </c>
      <c r="N577" s="136"/>
      <c r="O577" s="136" t="s">
        <v>18</v>
      </c>
      <c r="P577" s="136" t="s">
        <v>18</v>
      </c>
      <c r="Q577" s="136" t="e">
        <f>VLOOKUP(tbl_IO_List[[#This Row],[Instruement Tag]],tbl_Instruement_List[],6,FALSE)</f>
        <v>#N/A</v>
      </c>
      <c r="R577" s="136"/>
      <c r="S57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577" s="136" t="str">
        <f>tbl_IO_List[[#This Row],[Instruement Tag]]&amp;"_"&amp;tbl_IO_List[[#This Row],[I/O Type]]&amp;"_"&amp;tbl_IO_List[[#This Row],[IO-Point 
(Instruement)]]</f>
        <v>Spare_DI_0</v>
      </c>
      <c r="U577" s="136" t="s">
        <v>8</v>
      </c>
      <c r="V577" s="136">
        <f>VLOOKUP(tbl_IO_List[[#This Row],[I/O Type]],tbl_Slot_Group[],2,FALSE)</f>
        <v>1</v>
      </c>
      <c r="W577" s="136">
        <v>0</v>
      </c>
      <c r="X577" s="136" t="str">
        <f>tbl_IO_List[[#This Row],[Chassis]]&amp;"S"&amp;TEXT(tbl_IO_List[[#This Row],[Slot]],"00")</f>
        <v>C3S01</v>
      </c>
      <c r="Y577" s="136" t="str">
        <f>tbl_IO_List[[#This Row],[Chassis]]&amp;"S"&amp;TEXT(tbl_IO_List[[#This Row],[Slot]],"00")&amp;tbl_IO_List[[#This Row],[I/O Type]]&amp;TEXT(tbl_IO_List[[#This Row],[Point]],"00")</f>
        <v>C3S01DI30</v>
      </c>
      <c r="Z577" s="136" t="str">
        <f>tbl_IO_List[[#This Row],[Chassis]]&amp;"S"&amp;TEXT(tbl_IO_List[[#This Row],[Slot]],"00")&amp;","&amp;TEXT(tbl_IO_List[[#This Row],[Point]],"00")</f>
        <v>C3S01,30</v>
      </c>
      <c r="AA577" s="136" t="str">
        <f>VLOOKUP(tbl_IO_List[[#This Row],[Column23]],tbl_RackConfig[],5,FALSE) &amp;"-"&amp;tbl_IO_List[[#This Row],[Point]]</f>
        <v>1756-IB32-30</v>
      </c>
      <c r="AB577" s="136"/>
      <c r="AC577" s="136"/>
      <c r="AD577" s="136" t="str">
        <f>tbl_IO_List[[#This Row],[I/O Type]]</f>
        <v>DI</v>
      </c>
      <c r="AE577" s="136" t="s">
        <v>1334</v>
      </c>
      <c r="AF577" s="136">
        <v>1</v>
      </c>
      <c r="AG577" s="136">
        <v>30</v>
      </c>
      <c r="AH577" s="136"/>
      <c r="AI577" s="136"/>
      <c r="AJ577" s="136">
        <v>1</v>
      </c>
      <c r="AK577" s="136">
        <v>0</v>
      </c>
      <c r="AL577" s="136">
        <v>0</v>
      </c>
      <c r="AM577" s="136">
        <v>0</v>
      </c>
      <c r="AN577" s="136">
        <v>0</v>
      </c>
      <c r="AO577" s="136"/>
      <c r="AP577" s="143"/>
      <c r="AQ577" s="143" t="str">
        <f>tbl_IO_List[[#This Row],[Chassis]]&amp;"S"&amp;tbl_IO_List[[#This Row],[Slot]]&amp;"-"&amp;tbl_IO_List[[#This Row],[Front Terminal Number]]</f>
        <v>C3S1-</v>
      </c>
      <c r="AR577" s="143"/>
      <c r="AS577" s="136" t="str">
        <f>tbl_IO_List[[#This Row],[Terminal Tagging]]&amp;"-"&amp;tbl_IO_List[[#This Row],[Point-Count]]</f>
        <v>-</v>
      </c>
      <c r="AT577" s="136" t="str">
        <f>tbl_IO_List[[#This Row],[Front Terminal Tagging]]&amp;"/"&amp;tbl_IO_List[[#This Row],[Terminal Tagging-Item]]</f>
        <v>C3S1-/-</v>
      </c>
      <c r="AU577" s="136" t="str">
        <f>tbl_IO_List[[#This Row],[Terminal Tagging-Item]]&amp;"/"&amp;tbl_IO_List[[#This Row],[Front Terminal Tagging]]</f>
        <v>-/C3S1-</v>
      </c>
    </row>
    <row r="578" spans="1:47" hidden="1">
      <c r="A578" s="147" t="s">
        <v>1365</v>
      </c>
      <c r="B578" s="136" t="s">
        <v>360</v>
      </c>
      <c r="C578" s="136" t="str">
        <f>tbl_IO_List[[#This Row],[Column3]]</f>
        <v>C3S01,31</v>
      </c>
      <c r="D578" s="136" t="str">
        <f>tbl_IO_List[[#This Row],[Card]]</f>
        <v>1756-IB32-31</v>
      </c>
      <c r="E578" s="136" t="s">
        <v>1372</v>
      </c>
      <c r="F578" s="136" t="str">
        <f>tbl_IO_List[[#This Row],[Column23]]&amp;"-" &amp;tbl_IO_List[[#This Row],[Column52]]</f>
        <v>C3S01-X2</v>
      </c>
      <c r="G578" s="136" t="str">
        <f>tbl_IO_List[[#This Row],[PLC_Tag]]</f>
        <v>Spare_DI_0</v>
      </c>
      <c r="H578" s="136"/>
      <c r="I578" s="136" t="str">
        <f>VLOOKUP(tbl_IO_List[[#This Row],[Destination]],tbl_Junction[],2,FALSE)</f>
        <v>Packing Tower 8th Floor</v>
      </c>
      <c r="J578" s="136" t="s">
        <v>360</v>
      </c>
      <c r="K578" s="136" t="s">
        <v>66</v>
      </c>
      <c r="L578" s="136" t="s">
        <v>411</v>
      </c>
      <c r="M578" s="136" t="e">
        <f>VLOOKUP(tbl_IO_List[[#This Row],[Instruement Tag]],tbl_Instruement_List[],2,FALSE)</f>
        <v>#N/A</v>
      </c>
      <c r="N578" s="136"/>
      <c r="O578" s="136" t="s">
        <v>18</v>
      </c>
      <c r="P578" s="136" t="s">
        <v>18</v>
      </c>
      <c r="Q578" s="136" t="e">
        <f>VLOOKUP(tbl_IO_List[[#This Row],[Instruement Tag]],tbl_Instruement_List[],6,FALSE)</f>
        <v>#N/A</v>
      </c>
      <c r="R578" s="136"/>
      <c r="S57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578" s="136" t="str">
        <f>tbl_IO_List[[#This Row],[Instruement Tag]]&amp;"_"&amp;tbl_IO_List[[#This Row],[I/O Type]]&amp;"_"&amp;tbl_IO_List[[#This Row],[IO-Point 
(Instruement)]]</f>
        <v>Spare_DI_0</v>
      </c>
      <c r="U578" s="136" t="s">
        <v>8</v>
      </c>
      <c r="V578" s="136">
        <f>VLOOKUP(tbl_IO_List[[#This Row],[I/O Type]],tbl_Slot_Group[],2,FALSE)</f>
        <v>1</v>
      </c>
      <c r="W578" s="136">
        <v>0</v>
      </c>
      <c r="X578" s="136" t="str">
        <f>tbl_IO_List[[#This Row],[Chassis]]&amp;"S"&amp;TEXT(tbl_IO_List[[#This Row],[Slot]],"00")</f>
        <v>C3S01</v>
      </c>
      <c r="Y578" s="136" t="str">
        <f>tbl_IO_List[[#This Row],[Chassis]]&amp;"S"&amp;TEXT(tbl_IO_List[[#This Row],[Slot]],"00")&amp;tbl_IO_List[[#This Row],[I/O Type]]&amp;TEXT(tbl_IO_List[[#This Row],[Point]],"00")</f>
        <v>C3S01DI31</v>
      </c>
      <c r="Z578" s="136" t="str">
        <f>tbl_IO_List[[#This Row],[Chassis]]&amp;"S"&amp;TEXT(tbl_IO_List[[#This Row],[Slot]],"00")&amp;","&amp;TEXT(tbl_IO_List[[#This Row],[Point]],"00")</f>
        <v>C3S01,31</v>
      </c>
      <c r="AA578" s="136" t="str">
        <f>VLOOKUP(tbl_IO_List[[#This Row],[Column23]],tbl_RackConfig[],5,FALSE) &amp;"-"&amp;tbl_IO_List[[#This Row],[Point]]</f>
        <v>1756-IB32-31</v>
      </c>
      <c r="AB578" s="136"/>
      <c r="AC578" s="136"/>
      <c r="AD578" s="136" t="str">
        <f>tbl_IO_List[[#This Row],[I/O Type]]</f>
        <v>DI</v>
      </c>
      <c r="AE578" s="136" t="s">
        <v>1334</v>
      </c>
      <c r="AF578" s="136">
        <v>1</v>
      </c>
      <c r="AG578" s="136">
        <v>31</v>
      </c>
      <c r="AH578" s="136"/>
      <c r="AI578" s="136"/>
      <c r="AJ578" s="136">
        <v>1</v>
      </c>
      <c r="AK578" s="136">
        <v>0</v>
      </c>
      <c r="AL578" s="136">
        <v>0</v>
      </c>
      <c r="AM578" s="136">
        <v>0</v>
      </c>
      <c r="AN578" s="136">
        <v>0</v>
      </c>
      <c r="AO578" s="136"/>
      <c r="AP578" s="143"/>
      <c r="AQ578" s="143" t="str">
        <f>tbl_IO_List[[#This Row],[Chassis]]&amp;"S"&amp;tbl_IO_List[[#This Row],[Slot]]&amp;"-"&amp;tbl_IO_List[[#This Row],[Front Terminal Number]]</f>
        <v>C3S1-</v>
      </c>
      <c r="AR578" s="143"/>
      <c r="AS578" s="136" t="str">
        <f>tbl_IO_List[[#This Row],[Terminal Tagging]]&amp;"-"&amp;tbl_IO_List[[#This Row],[Point-Count]]</f>
        <v>-</v>
      </c>
      <c r="AT578" s="136" t="str">
        <f>tbl_IO_List[[#This Row],[Front Terminal Tagging]]&amp;"/"&amp;tbl_IO_List[[#This Row],[Terminal Tagging-Item]]</f>
        <v>C3S1-/-</v>
      </c>
      <c r="AU578" s="136" t="str">
        <f>tbl_IO_List[[#This Row],[Terminal Tagging-Item]]&amp;"/"&amp;tbl_IO_List[[#This Row],[Front Terminal Tagging]]</f>
        <v>-/C3S1-</v>
      </c>
    </row>
    <row r="579" spans="1:47" hidden="1">
      <c r="A579" s="147" t="s">
        <v>1365</v>
      </c>
      <c r="B579" s="136" t="s">
        <v>360</v>
      </c>
      <c r="C579" s="136" t="str">
        <f>tbl_IO_List[[#This Row],[Column3]]</f>
        <v>C3S02,23</v>
      </c>
      <c r="D579" s="136" t="str">
        <f>tbl_IO_List[[#This Row],[Card]]</f>
        <v>1756-IB32-23</v>
      </c>
      <c r="E579" s="136" t="s">
        <v>1372</v>
      </c>
      <c r="F579" s="136" t="str">
        <f>tbl_IO_List[[#This Row],[Column23]]&amp;"-" &amp;tbl_IO_List[[#This Row],[Column52]]</f>
        <v>C3S02-X2</v>
      </c>
      <c r="G579" s="136" t="str">
        <f>tbl_IO_List[[#This Row],[PLC_Tag]]</f>
        <v>PSL-61311_DI_1</v>
      </c>
      <c r="H579" s="136"/>
      <c r="I579" s="136" t="str">
        <f>VLOOKUP(tbl_IO_List[[#This Row],[Destination]],tbl_Junction[],2,FALSE)</f>
        <v>Packing Tower 8th Floor</v>
      </c>
      <c r="J579" s="136" t="s">
        <v>360</v>
      </c>
      <c r="K579" s="136" t="s">
        <v>66</v>
      </c>
      <c r="L579" s="136" t="s">
        <v>368</v>
      </c>
      <c r="M579" s="136">
        <f>VLOOKUP(tbl_IO_List[[#This Row],[Instruement Tag]],tbl_Instruement_List[],2,FALSE)</f>
        <v>0</v>
      </c>
      <c r="N579" s="136" t="s">
        <v>91</v>
      </c>
      <c r="O579" s="136" t="s">
        <v>197</v>
      </c>
      <c r="P579" s="136" t="s">
        <v>196</v>
      </c>
      <c r="Q579" s="136" t="str">
        <f>VLOOKUP(tbl_IO_List[[#This Row],[Instruement Tag]],tbl_Instruement_List[],6,FALSE)</f>
        <v>Pressure alarm low</v>
      </c>
      <c r="R579" s="136"/>
      <c r="S57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579" s="136" t="str">
        <f>tbl_IO_List[[#This Row],[Instruement Tag]]&amp;"_"&amp;tbl_IO_List[[#This Row],[I/O Type]]&amp;"_"&amp;tbl_IO_List[[#This Row],[IO-Point 
(Instruement)]]</f>
        <v>PSL-61311_DI_1</v>
      </c>
      <c r="U579" s="136" t="s">
        <v>8</v>
      </c>
      <c r="V579" s="136">
        <f>VLOOKUP(tbl_IO_List[[#This Row],[I/O Type]],tbl_Slot_Group[],2,FALSE)</f>
        <v>1</v>
      </c>
      <c r="W579" s="136">
        <v>1</v>
      </c>
      <c r="X579" s="136" t="str">
        <f>tbl_IO_List[[#This Row],[Chassis]]&amp;"S"&amp;TEXT(tbl_IO_List[[#This Row],[Slot]],"00")</f>
        <v>C3S02</v>
      </c>
      <c r="Y579" s="136" t="str">
        <f>tbl_IO_List[[#This Row],[Chassis]]&amp;"S"&amp;TEXT(tbl_IO_List[[#This Row],[Slot]],"00")&amp;tbl_IO_List[[#This Row],[I/O Type]]&amp;TEXT(tbl_IO_List[[#This Row],[Point]],"00")</f>
        <v>C3S02DI23</v>
      </c>
      <c r="Z579" s="136" t="str">
        <f>tbl_IO_List[[#This Row],[Chassis]]&amp;"S"&amp;TEXT(tbl_IO_List[[#This Row],[Slot]],"00")&amp;","&amp;TEXT(tbl_IO_List[[#This Row],[Point]],"00")</f>
        <v>C3S02,23</v>
      </c>
      <c r="AA579" s="136" t="str">
        <f>VLOOKUP(tbl_IO_List[[#This Row],[Column23]],tbl_RackConfig[],5,FALSE) &amp;"-"&amp;tbl_IO_List[[#This Row],[Point]]</f>
        <v>1756-IB32-23</v>
      </c>
      <c r="AB579" s="136"/>
      <c r="AC579" s="136"/>
      <c r="AD579" s="136" t="str">
        <f>tbl_IO_List[[#This Row],[I/O Type]]</f>
        <v>DI</v>
      </c>
      <c r="AE579" s="136" t="s">
        <v>1334</v>
      </c>
      <c r="AF579" s="136">
        <v>2</v>
      </c>
      <c r="AG579" s="136">
        <v>23</v>
      </c>
      <c r="AH579" s="136"/>
      <c r="AI579" s="136"/>
      <c r="AJ579" s="136">
        <v>1</v>
      </c>
      <c r="AK579" s="136">
        <v>0</v>
      </c>
      <c r="AL579" s="136">
        <v>0</v>
      </c>
      <c r="AM579" s="136">
        <v>0</v>
      </c>
      <c r="AN579" s="136">
        <v>0</v>
      </c>
      <c r="AO579" s="136"/>
      <c r="AP579" s="143" t="str">
        <f>VLOOKUP(tbl_IO_List[[#This Row],[Instruement Tag]],tbl_Instruement_List[],14,FALSE)</f>
        <v>Dry Contact</v>
      </c>
      <c r="AQ579" s="143" t="str">
        <f>tbl_IO_List[[#This Row],[Chassis]]&amp;"S"&amp;tbl_IO_List[[#This Row],[Slot]]&amp;"-"&amp;tbl_IO_List[[#This Row],[Front Terminal Number]]</f>
        <v>C3S2-</v>
      </c>
      <c r="AR579" s="143"/>
      <c r="AS579" s="136" t="str">
        <f>tbl_IO_List[[#This Row],[Terminal Tagging]]&amp;"-"&amp;tbl_IO_List[[#This Row],[Point-Count]]</f>
        <v>-</v>
      </c>
      <c r="AT579" s="136" t="str">
        <f>tbl_IO_List[[#This Row],[Front Terminal Tagging]]&amp;"/"&amp;tbl_IO_List[[#This Row],[Terminal Tagging-Item]]</f>
        <v>C3S2-/-</v>
      </c>
      <c r="AU579" s="136" t="str">
        <f>tbl_IO_List[[#This Row],[Terminal Tagging-Item]]&amp;"/"&amp;tbl_IO_List[[#This Row],[Front Terminal Tagging]]</f>
        <v>-/C3S2-</v>
      </c>
    </row>
    <row r="580" spans="1:47" hidden="1">
      <c r="A580" s="147" t="s">
        <v>1365</v>
      </c>
      <c r="B580" s="136" t="s">
        <v>360</v>
      </c>
      <c r="C580" s="136" t="str">
        <f>tbl_IO_List[[#This Row],[Column3]]</f>
        <v>C3S02,24</v>
      </c>
      <c r="D580" s="136" t="str">
        <f>tbl_IO_List[[#This Row],[Card]]</f>
        <v>1756-IB32-24</v>
      </c>
      <c r="E580" s="136" t="s">
        <v>1372</v>
      </c>
      <c r="F580" s="136" t="str">
        <f>tbl_IO_List[[#This Row],[Column23]]&amp;"-" &amp;tbl_IO_List[[#This Row],[Column52]]</f>
        <v>C3S02-X2</v>
      </c>
      <c r="G580" s="136" t="str">
        <f>tbl_IO_List[[#This Row],[PLC_Tag]]</f>
        <v>SV-61304_DI_1</v>
      </c>
      <c r="H580" s="136"/>
      <c r="I580" s="136" t="str">
        <f>VLOOKUP(tbl_IO_List[[#This Row],[Destination]],tbl_Junction[],2,FALSE)</f>
        <v>Packing Tower 8th Floor</v>
      </c>
      <c r="J580" s="136" t="s">
        <v>360</v>
      </c>
      <c r="K580" s="136" t="s">
        <v>66</v>
      </c>
      <c r="L580" s="136" t="s">
        <v>380</v>
      </c>
      <c r="M580" s="136">
        <f>VLOOKUP(tbl_IO_List[[#This Row],[Instruement Tag]],tbl_Instruement_List[],2,FALSE)</f>
        <v>0</v>
      </c>
      <c r="N580" s="136" t="s">
        <v>93</v>
      </c>
      <c r="O580" s="136" t="s">
        <v>78</v>
      </c>
      <c r="P580" s="136" t="s">
        <v>75</v>
      </c>
      <c r="Q580" s="136" t="str">
        <f>VLOOKUP(tbl_IO_List[[#This Row],[Instruement Tag]],tbl_Instruement_List[],6,FALSE)</f>
        <v>PA On/Off Valve for Conveying Cooler Cyclone-31 Rotary Valve (RV-61304)</v>
      </c>
      <c r="R580" s="136"/>
      <c r="S58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580" s="136" t="str">
        <f>tbl_IO_List[[#This Row],[Instruement Tag]]&amp;"_"&amp;tbl_IO_List[[#This Row],[I/O Type]]&amp;"_"&amp;tbl_IO_List[[#This Row],[IO-Point 
(Instruement)]]</f>
        <v>SV-61304_DI_1</v>
      </c>
      <c r="U580" s="136" t="s">
        <v>8</v>
      </c>
      <c r="V580" s="136">
        <f>VLOOKUP(tbl_IO_List[[#This Row],[I/O Type]],tbl_Slot_Group[],2,FALSE)</f>
        <v>1</v>
      </c>
      <c r="W580" s="136">
        <v>1</v>
      </c>
      <c r="X580" s="136" t="str">
        <f>tbl_IO_List[[#This Row],[Chassis]]&amp;"S"&amp;TEXT(tbl_IO_List[[#This Row],[Slot]],"00")</f>
        <v>C3S02</v>
      </c>
      <c r="Y580" s="136" t="str">
        <f>tbl_IO_List[[#This Row],[Chassis]]&amp;"S"&amp;TEXT(tbl_IO_List[[#This Row],[Slot]],"00")&amp;tbl_IO_List[[#This Row],[I/O Type]]&amp;TEXT(tbl_IO_List[[#This Row],[Point]],"00")</f>
        <v>C3S02DI24</v>
      </c>
      <c r="Z580" s="136" t="str">
        <f>tbl_IO_List[[#This Row],[Chassis]]&amp;"S"&amp;TEXT(tbl_IO_List[[#This Row],[Slot]],"00")&amp;","&amp;TEXT(tbl_IO_List[[#This Row],[Point]],"00")</f>
        <v>C3S02,24</v>
      </c>
      <c r="AA580" s="136" t="str">
        <f>VLOOKUP(tbl_IO_List[[#This Row],[Column23]],tbl_RackConfig[],5,FALSE) &amp;"-"&amp;tbl_IO_List[[#This Row],[Point]]</f>
        <v>1756-IB32-24</v>
      </c>
      <c r="AB580" s="136"/>
      <c r="AC580" s="136"/>
      <c r="AD580" s="136" t="str">
        <f>tbl_IO_List[[#This Row],[I/O Type]]</f>
        <v>DI</v>
      </c>
      <c r="AE580" s="136" t="s">
        <v>1334</v>
      </c>
      <c r="AF580" s="136">
        <v>2</v>
      </c>
      <c r="AG580" s="136">
        <v>24</v>
      </c>
      <c r="AH580" s="136"/>
      <c r="AI580" s="136"/>
      <c r="AJ580" s="136">
        <v>2</v>
      </c>
      <c r="AK580" s="136">
        <v>1</v>
      </c>
      <c r="AL580" s="136">
        <v>0</v>
      </c>
      <c r="AM580" s="136">
        <v>0</v>
      </c>
      <c r="AN580" s="136">
        <v>0</v>
      </c>
      <c r="AO580" s="136"/>
      <c r="AP580" s="143" t="str">
        <f>VLOOKUP(tbl_IO_List[[#This Row],[Instruement Tag]],tbl_Instruement_List[],14,FALSE)</f>
        <v>24 VDC energized</v>
      </c>
      <c r="AQ580" s="143" t="str">
        <f>tbl_IO_List[[#This Row],[Chassis]]&amp;"S"&amp;tbl_IO_List[[#This Row],[Slot]]&amp;"-"&amp;tbl_IO_List[[#This Row],[Front Terminal Number]]</f>
        <v>C3S2-</v>
      </c>
      <c r="AR580" s="143"/>
      <c r="AS580" s="136" t="str">
        <f>tbl_IO_List[[#This Row],[Terminal Tagging]]&amp;"-"&amp;tbl_IO_List[[#This Row],[Point-Count]]</f>
        <v>-</v>
      </c>
      <c r="AT580" s="136" t="str">
        <f>tbl_IO_List[[#This Row],[Front Terminal Tagging]]&amp;"/"&amp;tbl_IO_List[[#This Row],[Terminal Tagging-Item]]</f>
        <v>C3S2-/-</v>
      </c>
      <c r="AU580" s="136" t="str">
        <f>tbl_IO_List[[#This Row],[Terminal Tagging-Item]]&amp;"/"&amp;tbl_IO_List[[#This Row],[Front Terminal Tagging]]</f>
        <v>-/C3S2-</v>
      </c>
    </row>
    <row r="581" spans="1:47" hidden="1">
      <c r="A581" s="147" t="s">
        <v>1365</v>
      </c>
      <c r="B581" s="136" t="s">
        <v>360</v>
      </c>
      <c r="C581" s="136" t="str">
        <f>tbl_IO_List[[#This Row],[Column3]]</f>
        <v>C3S02,25</v>
      </c>
      <c r="D581" s="136" t="str">
        <f>tbl_IO_List[[#This Row],[Card]]</f>
        <v>1756-IB32-25</v>
      </c>
      <c r="E581" s="136" t="s">
        <v>1372</v>
      </c>
      <c r="F581" s="136" t="str">
        <f>tbl_IO_List[[#This Row],[Column23]]&amp;"-" &amp;tbl_IO_List[[#This Row],[Column52]]</f>
        <v>C3S02-X2</v>
      </c>
      <c r="G581" s="136" t="str">
        <f>tbl_IO_List[[#This Row],[PLC_Tag]]</f>
        <v>SV-61304_DI_2</v>
      </c>
      <c r="H581" s="136"/>
      <c r="I581" s="136" t="str">
        <f>VLOOKUP(tbl_IO_List[[#This Row],[Destination]],tbl_Junction[],2,FALSE)</f>
        <v>Packing Tower 8th Floor</v>
      </c>
      <c r="J581" s="136" t="s">
        <v>360</v>
      </c>
      <c r="K581" s="136" t="s">
        <v>66</v>
      </c>
      <c r="L581" s="136" t="s">
        <v>380</v>
      </c>
      <c r="M581" s="136">
        <f>VLOOKUP(tbl_IO_List[[#This Row],[Instruement Tag]],tbl_Instruement_List[],2,FALSE)</f>
        <v>0</v>
      </c>
      <c r="N581" s="136" t="s">
        <v>93</v>
      </c>
      <c r="O581" s="136" t="s">
        <v>78</v>
      </c>
      <c r="P581" s="136" t="s">
        <v>75</v>
      </c>
      <c r="Q581" s="136" t="str">
        <f>VLOOKUP(tbl_IO_List[[#This Row],[Instruement Tag]],tbl_Instruement_List[],6,FALSE)</f>
        <v>PA On/Off Valve for Conveying Cooler Cyclone-31 Rotary Valve (RV-61304)</v>
      </c>
      <c r="R581" s="136"/>
      <c r="S58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581" s="136" t="str">
        <f>tbl_IO_List[[#This Row],[Instruement Tag]]&amp;"_"&amp;tbl_IO_List[[#This Row],[I/O Type]]&amp;"_"&amp;tbl_IO_List[[#This Row],[IO-Point 
(Instruement)]]</f>
        <v>SV-61304_DI_2</v>
      </c>
      <c r="U581" s="136" t="s">
        <v>8</v>
      </c>
      <c r="V581" s="136">
        <f>VLOOKUP(tbl_IO_List[[#This Row],[I/O Type]],tbl_Slot_Group[],2,FALSE)</f>
        <v>1</v>
      </c>
      <c r="W581" s="136">
        <v>2</v>
      </c>
      <c r="X581" s="136" t="str">
        <f>tbl_IO_List[[#This Row],[Chassis]]&amp;"S"&amp;TEXT(tbl_IO_List[[#This Row],[Slot]],"00")</f>
        <v>C3S02</v>
      </c>
      <c r="Y581" s="136" t="str">
        <f>tbl_IO_List[[#This Row],[Chassis]]&amp;"S"&amp;TEXT(tbl_IO_List[[#This Row],[Slot]],"00")&amp;tbl_IO_List[[#This Row],[I/O Type]]&amp;TEXT(tbl_IO_List[[#This Row],[Point]],"00")</f>
        <v>C3S02DI25</v>
      </c>
      <c r="Z581" s="136" t="str">
        <f>tbl_IO_List[[#This Row],[Chassis]]&amp;"S"&amp;TEXT(tbl_IO_List[[#This Row],[Slot]],"00")&amp;","&amp;TEXT(tbl_IO_List[[#This Row],[Point]],"00")</f>
        <v>C3S02,25</v>
      </c>
      <c r="AA581" s="136" t="str">
        <f>VLOOKUP(tbl_IO_List[[#This Row],[Column23]],tbl_RackConfig[],5,FALSE) &amp;"-"&amp;tbl_IO_List[[#This Row],[Point]]</f>
        <v>1756-IB32-25</v>
      </c>
      <c r="AB581" s="136"/>
      <c r="AC581" s="136"/>
      <c r="AD581" s="136" t="str">
        <f>tbl_IO_List[[#This Row],[I/O Type]]</f>
        <v>DI</v>
      </c>
      <c r="AE581" s="136" t="s">
        <v>1334</v>
      </c>
      <c r="AF581" s="136">
        <v>2</v>
      </c>
      <c r="AG581" s="136">
        <v>25</v>
      </c>
      <c r="AH581" s="136"/>
      <c r="AI581" s="136"/>
      <c r="AJ581" s="136">
        <v>2</v>
      </c>
      <c r="AK581" s="136">
        <v>1</v>
      </c>
      <c r="AL581" s="136">
        <v>0</v>
      </c>
      <c r="AM581" s="136">
        <v>0</v>
      </c>
      <c r="AN581" s="136">
        <v>0</v>
      </c>
      <c r="AO581" s="136"/>
      <c r="AP581" s="143" t="str">
        <f>VLOOKUP(tbl_IO_List[[#This Row],[Instruement Tag]],tbl_Instruement_List[],14,FALSE)</f>
        <v>24 VDC energized</v>
      </c>
      <c r="AQ581" s="143" t="str">
        <f>tbl_IO_List[[#This Row],[Chassis]]&amp;"S"&amp;tbl_IO_List[[#This Row],[Slot]]&amp;"-"&amp;tbl_IO_List[[#This Row],[Front Terminal Number]]</f>
        <v>C3S2-</v>
      </c>
      <c r="AR581" s="143"/>
      <c r="AS581" s="136" t="str">
        <f>tbl_IO_List[[#This Row],[Terminal Tagging]]&amp;"-"&amp;tbl_IO_List[[#This Row],[Point-Count]]</f>
        <v>-</v>
      </c>
      <c r="AT581" s="136" t="str">
        <f>tbl_IO_List[[#This Row],[Front Terminal Tagging]]&amp;"/"&amp;tbl_IO_List[[#This Row],[Terminal Tagging-Item]]</f>
        <v>C3S2-/-</v>
      </c>
      <c r="AU581" s="136" t="str">
        <f>tbl_IO_List[[#This Row],[Terminal Tagging-Item]]&amp;"/"&amp;tbl_IO_List[[#This Row],[Front Terminal Tagging]]</f>
        <v>-/C3S2-</v>
      </c>
    </row>
    <row r="582" spans="1:47" hidden="1">
      <c r="A582" s="147" t="s">
        <v>1365</v>
      </c>
      <c r="B582" s="136" t="s">
        <v>360</v>
      </c>
      <c r="C582" s="136" t="str">
        <f>tbl_IO_List[[#This Row],[Column3]]</f>
        <v>C3S02,26</v>
      </c>
      <c r="D582" s="136" t="str">
        <f>tbl_IO_List[[#This Row],[Card]]</f>
        <v>1756-IB32-26</v>
      </c>
      <c r="E582" s="136" t="s">
        <v>1372</v>
      </c>
      <c r="F582" s="136" t="str">
        <f>tbl_IO_List[[#This Row],[Column23]]&amp;"-" &amp;tbl_IO_List[[#This Row],[Column52]]</f>
        <v>C3S02-X2</v>
      </c>
      <c r="G582" s="136" t="str">
        <f>tbl_IO_List[[#This Row],[PLC_Tag]]</f>
        <v>XV-61301_DI_1</v>
      </c>
      <c r="H582" s="136"/>
      <c r="I582" s="136" t="str">
        <f>VLOOKUP(tbl_IO_List[[#This Row],[Destination]],tbl_Junction[],2,FALSE)</f>
        <v>Packing Tower 8th Floor</v>
      </c>
      <c r="J582" s="136" t="s">
        <v>360</v>
      </c>
      <c r="K582" s="136" t="s">
        <v>66</v>
      </c>
      <c r="L582" s="136" t="s">
        <v>792</v>
      </c>
      <c r="M582" s="136">
        <f>VLOOKUP(tbl_IO_List[[#This Row],[Instruement Tag]],tbl_Instruement_List[],2,FALSE)</f>
        <v>0</v>
      </c>
      <c r="N582" s="136" t="s">
        <v>47</v>
      </c>
      <c r="O582" s="136" t="s">
        <v>18</v>
      </c>
      <c r="P582" s="136" t="s">
        <v>75</v>
      </c>
      <c r="Q582" s="136" t="str">
        <f>VLOOKUP(tbl_IO_List[[#This Row],[Instruement Tag]],tbl_Instruement_List[],6,FALSE)</f>
        <v xml:space="preserve">Product feed-out Packing silo </v>
      </c>
      <c r="R582" s="136"/>
      <c r="S58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582" s="136" t="str">
        <f>tbl_IO_List[[#This Row],[Instruement Tag]]&amp;"_"&amp;tbl_IO_List[[#This Row],[I/O Type]]&amp;"_"&amp;tbl_IO_List[[#This Row],[IO-Point 
(Instruement)]]</f>
        <v>XV-61301_DI_1</v>
      </c>
      <c r="U582" s="136" t="s">
        <v>8</v>
      </c>
      <c r="V582" s="136">
        <f>VLOOKUP(tbl_IO_List[[#This Row],[I/O Type]],tbl_Slot_Group[],2,FALSE)</f>
        <v>1</v>
      </c>
      <c r="W582" s="136">
        <v>1</v>
      </c>
      <c r="X582" s="136" t="str">
        <f>tbl_IO_List[[#This Row],[Chassis]]&amp;"S"&amp;TEXT(tbl_IO_List[[#This Row],[Slot]],"00")</f>
        <v>C3S02</v>
      </c>
      <c r="Y582" s="136" t="str">
        <f>tbl_IO_List[[#This Row],[Chassis]]&amp;"S"&amp;TEXT(tbl_IO_List[[#This Row],[Slot]],"00")&amp;tbl_IO_List[[#This Row],[I/O Type]]&amp;TEXT(tbl_IO_List[[#This Row],[Point]],"00")</f>
        <v>C3S02DI26</v>
      </c>
      <c r="Z582" s="136" t="str">
        <f>tbl_IO_List[[#This Row],[Chassis]]&amp;"S"&amp;TEXT(tbl_IO_List[[#This Row],[Slot]],"00")&amp;","&amp;TEXT(tbl_IO_List[[#This Row],[Point]],"00")</f>
        <v>C3S02,26</v>
      </c>
      <c r="AA582" s="136" t="str">
        <f>VLOOKUP(tbl_IO_List[[#This Row],[Column23]],tbl_RackConfig[],5,FALSE) &amp;"-"&amp;tbl_IO_List[[#This Row],[Point]]</f>
        <v>1756-IB32-26</v>
      </c>
      <c r="AB582" s="136"/>
      <c r="AC582" s="136"/>
      <c r="AD582" s="136" t="str">
        <f>tbl_IO_List[[#This Row],[I/O Type]]</f>
        <v>DI</v>
      </c>
      <c r="AE582" s="136" t="s">
        <v>1334</v>
      </c>
      <c r="AF582" s="136">
        <v>2</v>
      </c>
      <c r="AG582" s="136">
        <v>26</v>
      </c>
      <c r="AH582" s="136"/>
      <c r="AI582" s="136"/>
      <c r="AJ582" s="136">
        <v>2</v>
      </c>
      <c r="AK582" s="136">
        <v>1</v>
      </c>
      <c r="AL582" s="136">
        <v>0</v>
      </c>
      <c r="AM582" s="136">
        <v>0</v>
      </c>
      <c r="AN582" s="136">
        <v>0</v>
      </c>
      <c r="AO582" s="136"/>
      <c r="AP582" s="143" t="str">
        <f>VLOOKUP(tbl_IO_List[[#This Row],[Instruement Tag]],tbl_Instruement_List[],14,FALSE)</f>
        <v>24 VDC energized</v>
      </c>
      <c r="AQ582" s="143" t="str">
        <f>tbl_IO_List[[#This Row],[Chassis]]&amp;"S"&amp;tbl_IO_List[[#This Row],[Slot]]&amp;"-"&amp;tbl_IO_List[[#This Row],[Front Terminal Number]]</f>
        <v>C3S2-</v>
      </c>
      <c r="AR582" s="143"/>
      <c r="AS582" s="136" t="str">
        <f>tbl_IO_List[[#This Row],[Terminal Tagging]]&amp;"-"&amp;tbl_IO_List[[#This Row],[Point-Count]]</f>
        <v>-</v>
      </c>
      <c r="AT582" s="136" t="str">
        <f>tbl_IO_List[[#This Row],[Front Terminal Tagging]]&amp;"/"&amp;tbl_IO_List[[#This Row],[Terminal Tagging-Item]]</f>
        <v>C3S2-/-</v>
      </c>
      <c r="AU582" s="136" t="str">
        <f>tbl_IO_List[[#This Row],[Terminal Tagging-Item]]&amp;"/"&amp;tbl_IO_List[[#This Row],[Front Terminal Tagging]]</f>
        <v>-/C3S2-</v>
      </c>
    </row>
    <row r="583" spans="1:47" hidden="1">
      <c r="A583" s="147" t="s">
        <v>1365</v>
      </c>
      <c r="B583" s="136" t="s">
        <v>360</v>
      </c>
      <c r="C583" s="136" t="str">
        <f>tbl_IO_List[[#This Row],[Column3]]</f>
        <v>C3S02,27</v>
      </c>
      <c r="D583" s="136" t="str">
        <f>tbl_IO_List[[#This Row],[Card]]</f>
        <v>1756-IB32-27</v>
      </c>
      <c r="E583" s="136" t="s">
        <v>1372</v>
      </c>
      <c r="F583" s="136" t="str">
        <f>tbl_IO_List[[#This Row],[Column23]]&amp;"-" &amp;tbl_IO_List[[#This Row],[Column52]]</f>
        <v>C3S02-X2</v>
      </c>
      <c r="G583" s="136" t="str">
        <f>tbl_IO_List[[#This Row],[PLC_Tag]]</f>
        <v>XV-61301_DI_2</v>
      </c>
      <c r="H583" s="136"/>
      <c r="I583" s="136" t="str">
        <f>VLOOKUP(tbl_IO_List[[#This Row],[Destination]],tbl_Junction[],2,FALSE)</f>
        <v>Packing Tower 8th Floor</v>
      </c>
      <c r="J583" s="136" t="s">
        <v>360</v>
      </c>
      <c r="K583" s="136" t="s">
        <v>66</v>
      </c>
      <c r="L583" s="136" t="s">
        <v>792</v>
      </c>
      <c r="M583" s="136">
        <f>VLOOKUP(tbl_IO_List[[#This Row],[Instruement Tag]],tbl_Instruement_List[],2,FALSE)</f>
        <v>0</v>
      </c>
      <c r="N583" s="136" t="s">
        <v>47</v>
      </c>
      <c r="O583" s="136" t="s">
        <v>18</v>
      </c>
      <c r="P583" s="136" t="s">
        <v>75</v>
      </c>
      <c r="Q583" s="136" t="str">
        <f>VLOOKUP(tbl_IO_List[[#This Row],[Instruement Tag]],tbl_Instruement_List[],6,FALSE)</f>
        <v xml:space="preserve">Product feed-out Packing silo </v>
      </c>
      <c r="R583" s="136"/>
      <c r="S58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583" s="136" t="str">
        <f>tbl_IO_List[[#This Row],[Instruement Tag]]&amp;"_"&amp;tbl_IO_List[[#This Row],[I/O Type]]&amp;"_"&amp;tbl_IO_List[[#This Row],[IO-Point 
(Instruement)]]</f>
        <v>XV-61301_DI_2</v>
      </c>
      <c r="U583" s="136" t="s">
        <v>8</v>
      </c>
      <c r="V583" s="136">
        <f>VLOOKUP(tbl_IO_List[[#This Row],[I/O Type]],tbl_Slot_Group[],2,FALSE)</f>
        <v>1</v>
      </c>
      <c r="W583" s="136">
        <v>2</v>
      </c>
      <c r="X583" s="136" t="str">
        <f>tbl_IO_List[[#This Row],[Chassis]]&amp;"S"&amp;TEXT(tbl_IO_List[[#This Row],[Slot]],"00")</f>
        <v>C3S02</v>
      </c>
      <c r="Y583" s="136" t="str">
        <f>tbl_IO_List[[#This Row],[Chassis]]&amp;"S"&amp;TEXT(tbl_IO_List[[#This Row],[Slot]],"00")&amp;tbl_IO_List[[#This Row],[I/O Type]]&amp;TEXT(tbl_IO_List[[#This Row],[Point]],"00")</f>
        <v>C3S02DI27</v>
      </c>
      <c r="Z583" s="136" t="str">
        <f>tbl_IO_List[[#This Row],[Chassis]]&amp;"S"&amp;TEXT(tbl_IO_List[[#This Row],[Slot]],"00")&amp;","&amp;TEXT(tbl_IO_List[[#This Row],[Point]],"00")</f>
        <v>C3S02,27</v>
      </c>
      <c r="AA583" s="136" t="str">
        <f>VLOOKUP(tbl_IO_List[[#This Row],[Column23]],tbl_RackConfig[],5,FALSE) &amp;"-"&amp;tbl_IO_List[[#This Row],[Point]]</f>
        <v>1756-IB32-27</v>
      </c>
      <c r="AB583" s="136"/>
      <c r="AC583" s="136"/>
      <c r="AD583" s="136" t="str">
        <f>tbl_IO_List[[#This Row],[I/O Type]]</f>
        <v>DI</v>
      </c>
      <c r="AE583" s="136" t="s">
        <v>1334</v>
      </c>
      <c r="AF583" s="136">
        <v>2</v>
      </c>
      <c r="AG583" s="136">
        <v>27</v>
      </c>
      <c r="AH583" s="136"/>
      <c r="AI583" s="136"/>
      <c r="AJ583" s="136">
        <v>2</v>
      </c>
      <c r="AK583" s="136">
        <v>1</v>
      </c>
      <c r="AL583" s="136">
        <v>0</v>
      </c>
      <c r="AM583" s="136">
        <v>0</v>
      </c>
      <c r="AN583" s="136">
        <v>0</v>
      </c>
      <c r="AO583" s="136"/>
      <c r="AP583" s="143" t="str">
        <f>VLOOKUP(tbl_IO_List[[#This Row],[Instruement Tag]],tbl_Instruement_List[],14,FALSE)</f>
        <v>24 VDC energized</v>
      </c>
      <c r="AQ583" s="143" t="str">
        <f>tbl_IO_List[[#This Row],[Chassis]]&amp;"S"&amp;tbl_IO_List[[#This Row],[Slot]]&amp;"-"&amp;tbl_IO_List[[#This Row],[Front Terminal Number]]</f>
        <v>C3S2-</v>
      </c>
      <c r="AR583" s="143"/>
      <c r="AS583" s="136" t="str">
        <f>tbl_IO_List[[#This Row],[Terminal Tagging]]&amp;"-"&amp;tbl_IO_List[[#This Row],[Point-Count]]</f>
        <v>-</v>
      </c>
      <c r="AT583" s="136" t="str">
        <f>tbl_IO_List[[#This Row],[Front Terminal Tagging]]&amp;"/"&amp;tbl_IO_List[[#This Row],[Terminal Tagging-Item]]</f>
        <v>C3S2-/-</v>
      </c>
      <c r="AU583" s="136" t="str">
        <f>tbl_IO_List[[#This Row],[Terminal Tagging-Item]]&amp;"/"&amp;tbl_IO_List[[#This Row],[Front Terminal Tagging]]</f>
        <v>-/C3S2-</v>
      </c>
    </row>
    <row r="584" spans="1:47" hidden="1">
      <c r="A584" s="147" t="s">
        <v>1365</v>
      </c>
      <c r="B584" s="136" t="s">
        <v>360</v>
      </c>
      <c r="C584" s="136" t="str">
        <f>tbl_IO_List[[#This Row],[Column3]]</f>
        <v>C3S03,00</v>
      </c>
      <c r="D584" s="136" t="str">
        <f>tbl_IO_List[[#This Row],[Card]]</f>
        <v>1756-OB32-0</v>
      </c>
      <c r="E584" s="136" t="s">
        <v>1366</v>
      </c>
      <c r="F584" s="136" t="str">
        <f>tbl_IO_List[[#This Row],[Column23]]&amp;"-" &amp;tbl_IO_List[[#This Row],[Column52]]</f>
        <v>C3S03-X1</v>
      </c>
      <c r="G584" s="136" t="str">
        <f>tbl_IO_List[[#This Row],[PLC_Tag]]</f>
        <v>DV-61301_DO_1</v>
      </c>
      <c r="H584" s="136"/>
      <c r="I584" s="136" t="str">
        <f>VLOOKUP(tbl_IO_List[[#This Row],[Destination]],tbl_Junction[],2,FALSE)</f>
        <v>Packing Tower 8th Floor</v>
      </c>
      <c r="J584" s="136" t="s">
        <v>360</v>
      </c>
      <c r="K584" s="136" t="s">
        <v>66</v>
      </c>
      <c r="L584" s="136" t="s">
        <v>378</v>
      </c>
      <c r="M584" s="136">
        <f>VLOOKUP(tbl_IO_List[[#This Row],[Instruement Tag]],tbl_Instruement_List[],2,FALSE)</f>
        <v>0</v>
      </c>
      <c r="N584" s="136" t="s">
        <v>47</v>
      </c>
      <c r="O584" s="136" t="s">
        <v>78</v>
      </c>
      <c r="P584" s="136" t="s">
        <v>75</v>
      </c>
      <c r="Q584" s="136" t="str">
        <f>VLOOKUP(tbl_IO_List[[#This Row],[Instruement Tag]],tbl_Instruement_List[],6,FALSE)</f>
        <v>On/Off Valve for Diverter Valve DV-61301</v>
      </c>
      <c r="R584" s="136"/>
      <c r="S58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584" s="136" t="str">
        <f>tbl_IO_List[[#This Row],[Instruement Tag]]&amp;"_"&amp;tbl_IO_List[[#This Row],[I/O Type]]&amp;"_"&amp;tbl_IO_List[[#This Row],[IO-Point 
(Instruement)]]</f>
        <v>DV-61301_DO_1</v>
      </c>
      <c r="U584" s="136" t="s">
        <v>7</v>
      </c>
      <c r="V584" s="136">
        <f>VLOOKUP(tbl_IO_List[[#This Row],[I/O Type]],tbl_Slot_Group[],2,FALSE)</f>
        <v>2</v>
      </c>
      <c r="W584" s="136">
        <v>1</v>
      </c>
      <c r="X584" s="136" t="str">
        <f>tbl_IO_List[[#This Row],[Chassis]]&amp;"S"&amp;TEXT(tbl_IO_List[[#This Row],[Slot]],"00")</f>
        <v>C3S03</v>
      </c>
      <c r="Y584" s="136" t="str">
        <f>tbl_IO_List[[#This Row],[Chassis]]&amp;"S"&amp;TEXT(tbl_IO_List[[#This Row],[Slot]],"00")&amp;tbl_IO_List[[#This Row],[I/O Type]]&amp;TEXT(tbl_IO_List[[#This Row],[Point]],"00")</f>
        <v>C3S03DO00</v>
      </c>
      <c r="Z584" s="136" t="str">
        <f>tbl_IO_List[[#This Row],[Chassis]]&amp;"S"&amp;TEXT(tbl_IO_List[[#This Row],[Slot]],"00")&amp;","&amp;TEXT(tbl_IO_List[[#This Row],[Point]],"00")</f>
        <v>C3S03,00</v>
      </c>
      <c r="AA584" s="136" t="str">
        <f>VLOOKUP(tbl_IO_List[[#This Row],[Column23]],tbl_RackConfig[],5,FALSE) &amp;"-"&amp;tbl_IO_List[[#This Row],[Point]]</f>
        <v>1756-OB32-0</v>
      </c>
      <c r="AB584" s="136"/>
      <c r="AC584" s="136"/>
      <c r="AD584" s="136" t="str">
        <f>tbl_IO_List[[#This Row],[I/O Type]]</f>
        <v>DO</v>
      </c>
      <c r="AE584" s="136" t="s">
        <v>1334</v>
      </c>
      <c r="AF584" s="136">
        <v>3</v>
      </c>
      <c r="AG584" s="136">
        <v>0</v>
      </c>
      <c r="AH584" s="136"/>
      <c r="AI584" s="136"/>
      <c r="AJ584" s="136">
        <v>2</v>
      </c>
      <c r="AK584" s="136">
        <v>1</v>
      </c>
      <c r="AL584" s="136">
        <v>0</v>
      </c>
      <c r="AM584" s="136">
        <v>0</v>
      </c>
      <c r="AN584" s="136">
        <v>0</v>
      </c>
      <c r="AO584" s="136"/>
      <c r="AP584" s="143" t="str">
        <f>VLOOKUP(tbl_IO_List[[#This Row],[Instruement Tag]],tbl_Instruement_List[],14,FALSE)</f>
        <v>24 VDC energized</v>
      </c>
      <c r="AQ584" s="143" t="str">
        <f>tbl_IO_List[[#This Row],[Chassis]]&amp;"S"&amp;tbl_IO_List[[#This Row],[Slot]]&amp;"-"&amp;tbl_IO_List[[#This Row],[Front Terminal Number]]</f>
        <v>C3S3-</v>
      </c>
      <c r="AR584" s="143"/>
      <c r="AS584" s="136" t="str">
        <f>tbl_IO_List[[#This Row],[Terminal Tagging]]&amp;"-"&amp;tbl_IO_List[[#This Row],[Point-Count]]</f>
        <v>-</v>
      </c>
      <c r="AT584" s="136" t="str">
        <f>tbl_IO_List[[#This Row],[Front Terminal Tagging]]&amp;"/"&amp;tbl_IO_List[[#This Row],[Terminal Tagging-Item]]</f>
        <v>C3S3-/-</v>
      </c>
      <c r="AU584" s="136" t="str">
        <f>tbl_IO_List[[#This Row],[Terminal Tagging-Item]]&amp;"/"&amp;tbl_IO_List[[#This Row],[Front Terminal Tagging]]</f>
        <v>-/C3S3-</v>
      </c>
    </row>
    <row r="585" spans="1:47" hidden="1">
      <c r="A585" s="147" t="s">
        <v>1365</v>
      </c>
      <c r="B585" s="136" t="s">
        <v>360</v>
      </c>
      <c r="C585" s="136" t="str">
        <f>tbl_IO_List[[#This Row],[Column3]]</f>
        <v>C3S03,01</v>
      </c>
      <c r="D585" s="136" t="str">
        <f>tbl_IO_List[[#This Row],[Card]]</f>
        <v>1756-OB32-1</v>
      </c>
      <c r="E585" s="136" t="s">
        <v>1366</v>
      </c>
      <c r="F585" s="136" t="str">
        <f>tbl_IO_List[[#This Row],[Column23]]&amp;"-" &amp;tbl_IO_List[[#This Row],[Column52]]</f>
        <v>C3S03-X1</v>
      </c>
      <c r="G585" s="136" t="str">
        <f>tbl_IO_List[[#This Row],[PLC_Tag]]</f>
        <v>DV-61302_DO_1</v>
      </c>
      <c r="H585" s="136"/>
      <c r="I585" s="136" t="str">
        <f>VLOOKUP(tbl_IO_List[[#This Row],[Destination]],tbl_Junction[],2,FALSE)</f>
        <v>Packing Tower 8th Floor</v>
      </c>
      <c r="J585" s="136" t="s">
        <v>360</v>
      </c>
      <c r="K585" s="136" t="s">
        <v>66</v>
      </c>
      <c r="L585" s="136" t="s">
        <v>379</v>
      </c>
      <c r="M585" s="136">
        <f>VLOOKUP(tbl_IO_List[[#This Row],[Instruement Tag]],tbl_Instruement_List[],2,FALSE)</f>
        <v>0</v>
      </c>
      <c r="N585" s="136" t="s">
        <v>93</v>
      </c>
      <c r="O585" s="136" t="s">
        <v>18</v>
      </c>
      <c r="P585" s="136" t="s">
        <v>75</v>
      </c>
      <c r="Q585" s="136" t="str">
        <f>VLOOKUP(tbl_IO_List[[#This Row],[Instruement Tag]],tbl_Instruement_List[],6,FALSE)</f>
        <v>On/Off Valve for Diverter Valve DV-61302</v>
      </c>
      <c r="R585" s="136"/>
      <c r="S58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585" s="136" t="str">
        <f>tbl_IO_List[[#This Row],[Instruement Tag]]&amp;"_"&amp;tbl_IO_List[[#This Row],[I/O Type]]&amp;"_"&amp;tbl_IO_List[[#This Row],[IO-Point 
(Instruement)]]</f>
        <v>DV-61302_DO_1</v>
      </c>
      <c r="U585" s="136" t="s">
        <v>7</v>
      </c>
      <c r="V585" s="136">
        <f>VLOOKUP(tbl_IO_List[[#This Row],[I/O Type]],tbl_Slot_Group[],2,FALSE)</f>
        <v>2</v>
      </c>
      <c r="W585" s="136">
        <v>1</v>
      </c>
      <c r="X585" s="136" t="str">
        <f>tbl_IO_List[[#This Row],[Chassis]]&amp;"S"&amp;TEXT(tbl_IO_List[[#This Row],[Slot]],"00")</f>
        <v>C3S03</v>
      </c>
      <c r="Y585" s="136" t="str">
        <f>tbl_IO_List[[#This Row],[Chassis]]&amp;"S"&amp;TEXT(tbl_IO_List[[#This Row],[Slot]],"00")&amp;tbl_IO_List[[#This Row],[I/O Type]]&amp;TEXT(tbl_IO_List[[#This Row],[Point]],"00")</f>
        <v>C3S03DO01</v>
      </c>
      <c r="Z585" s="136" t="str">
        <f>tbl_IO_List[[#This Row],[Chassis]]&amp;"S"&amp;TEXT(tbl_IO_List[[#This Row],[Slot]],"00")&amp;","&amp;TEXT(tbl_IO_List[[#This Row],[Point]],"00")</f>
        <v>C3S03,01</v>
      </c>
      <c r="AA585" s="136" t="str">
        <f>VLOOKUP(tbl_IO_List[[#This Row],[Column23]],tbl_RackConfig[],5,FALSE) &amp;"-"&amp;tbl_IO_List[[#This Row],[Point]]</f>
        <v>1756-OB32-1</v>
      </c>
      <c r="AB585" s="136"/>
      <c r="AC585" s="136"/>
      <c r="AD585" s="136" t="str">
        <f>tbl_IO_List[[#This Row],[I/O Type]]</f>
        <v>DO</v>
      </c>
      <c r="AE585" s="136" t="s">
        <v>1334</v>
      </c>
      <c r="AF585" s="136">
        <v>3</v>
      </c>
      <c r="AG585" s="136">
        <v>1</v>
      </c>
      <c r="AH585" s="136"/>
      <c r="AI585" s="136"/>
      <c r="AJ585" s="136">
        <v>2</v>
      </c>
      <c r="AK585" s="136">
        <v>1</v>
      </c>
      <c r="AL585" s="136">
        <v>0</v>
      </c>
      <c r="AM585" s="136">
        <v>0</v>
      </c>
      <c r="AN585" s="136">
        <v>0</v>
      </c>
      <c r="AO585" s="136"/>
      <c r="AP585" s="143" t="str">
        <f>VLOOKUP(tbl_IO_List[[#This Row],[Instruement Tag]],tbl_Instruement_List[],14,FALSE)</f>
        <v>24 VDC energized</v>
      </c>
      <c r="AQ585" s="143" t="str">
        <f>tbl_IO_List[[#This Row],[Chassis]]&amp;"S"&amp;tbl_IO_List[[#This Row],[Slot]]&amp;"-"&amp;tbl_IO_List[[#This Row],[Front Terminal Number]]</f>
        <v>C3S3-</v>
      </c>
      <c r="AR585" s="143"/>
      <c r="AS585" s="136" t="str">
        <f>tbl_IO_List[[#This Row],[Terminal Tagging]]&amp;"-"&amp;tbl_IO_List[[#This Row],[Point-Count]]</f>
        <v>-</v>
      </c>
      <c r="AT585" s="136" t="str">
        <f>tbl_IO_List[[#This Row],[Front Terminal Tagging]]&amp;"/"&amp;tbl_IO_List[[#This Row],[Terminal Tagging-Item]]</f>
        <v>C3S3-/-</v>
      </c>
      <c r="AU585" s="136" t="str">
        <f>tbl_IO_List[[#This Row],[Terminal Tagging-Item]]&amp;"/"&amp;tbl_IO_List[[#This Row],[Front Terminal Tagging]]</f>
        <v>-/C3S3-</v>
      </c>
    </row>
    <row r="586" spans="1:47" hidden="1">
      <c r="A586" s="147" t="s">
        <v>1365</v>
      </c>
      <c r="B586" s="136" t="s">
        <v>360</v>
      </c>
      <c r="C586" s="136" t="str">
        <f>tbl_IO_List[[#This Row],[Column3]]</f>
        <v>C3S03,02</v>
      </c>
      <c r="D586" s="136" t="str">
        <f>tbl_IO_List[[#This Row],[Card]]</f>
        <v>1756-OB32-2</v>
      </c>
      <c r="E586" s="136" t="s">
        <v>1366</v>
      </c>
      <c r="F586" s="136" t="str">
        <f>tbl_IO_List[[#This Row],[Column23]]&amp;"-" &amp;tbl_IO_List[[#This Row],[Column52]]</f>
        <v>C3S03-X1</v>
      </c>
      <c r="G586" s="136" t="str">
        <f>tbl_IO_List[[#This Row],[PLC_Tag]]</f>
        <v>SV-61301_DO_1</v>
      </c>
      <c r="H586" s="136"/>
      <c r="I586" s="136" t="str">
        <f>VLOOKUP(tbl_IO_List[[#This Row],[Destination]],tbl_Junction[],2,FALSE)</f>
        <v>Packing Tower 8th Floor</v>
      </c>
      <c r="J586" s="136" t="s">
        <v>360</v>
      </c>
      <c r="K586" s="136" t="s">
        <v>66</v>
      </c>
      <c r="L586" s="136" t="s">
        <v>690</v>
      </c>
      <c r="M586" s="136">
        <f>VLOOKUP(tbl_IO_List[[#This Row],[Instruement Tag]],tbl_Instruement_List[],2,FALSE)</f>
        <v>0</v>
      </c>
      <c r="N586" s="136" t="s">
        <v>91</v>
      </c>
      <c r="O586" s="136" t="s">
        <v>78</v>
      </c>
      <c r="P586" s="136" t="s">
        <v>18</v>
      </c>
      <c r="Q586" s="136" t="str">
        <f>VLOOKUP(tbl_IO_List[[#This Row],[Instruement Tag]],tbl_Instruement_List[],6,FALSE)</f>
        <v>Timer compress air pluse solenoid valve</v>
      </c>
      <c r="R586" s="136"/>
      <c r="S58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586" s="136" t="str">
        <f>tbl_IO_List[[#This Row],[Instruement Tag]]&amp;"_"&amp;tbl_IO_List[[#This Row],[I/O Type]]&amp;"_"&amp;tbl_IO_List[[#This Row],[IO-Point 
(Instruement)]]</f>
        <v>SV-61301_DO_1</v>
      </c>
      <c r="U586" s="136" t="s">
        <v>7</v>
      </c>
      <c r="V586" s="136">
        <f>VLOOKUP(tbl_IO_List[[#This Row],[I/O Type]],tbl_Slot_Group[],2,FALSE)</f>
        <v>2</v>
      </c>
      <c r="W586" s="136">
        <v>1</v>
      </c>
      <c r="X586" s="136" t="str">
        <f>tbl_IO_List[[#This Row],[Chassis]]&amp;"S"&amp;TEXT(tbl_IO_List[[#This Row],[Slot]],"00")</f>
        <v>C3S03</v>
      </c>
      <c r="Y586" s="136" t="str">
        <f>tbl_IO_List[[#This Row],[Chassis]]&amp;"S"&amp;TEXT(tbl_IO_List[[#This Row],[Slot]],"00")&amp;tbl_IO_List[[#This Row],[I/O Type]]&amp;TEXT(tbl_IO_List[[#This Row],[Point]],"00")</f>
        <v>C3S03DO02</v>
      </c>
      <c r="Z586" s="136" t="str">
        <f>tbl_IO_List[[#This Row],[Chassis]]&amp;"S"&amp;TEXT(tbl_IO_List[[#This Row],[Slot]],"00")&amp;","&amp;TEXT(tbl_IO_List[[#This Row],[Point]],"00")</f>
        <v>C3S03,02</v>
      </c>
      <c r="AA586" s="136" t="str">
        <f>VLOOKUP(tbl_IO_List[[#This Row],[Column23]],tbl_RackConfig[],5,FALSE) &amp;"-"&amp;tbl_IO_List[[#This Row],[Point]]</f>
        <v>1756-OB32-2</v>
      </c>
      <c r="AB586" s="136"/>
      <c r="AC586" s="136"/>
      <c r="AD586" s="136" t="str">
        <f>tbl_IO_List[[#This Row],[I/O Type]]</f>
        <v>DO</v>
      </c>
      <c r="AE586" s="136" t="s">
        <v>1334</v>
      </c>
      <c r="AF586" s="136">
        <v>3</v>
      </c>
      <c r="AG586" s="136">
        <v>2</v>
      </c>
      <c r="AH586" s="136"/>
      <c r="AI586" s="136"/>
      <c r="AJ586" s="136">
        <v>0</v>
      </c>
      <c r="AK586" s="136">
        <v>1</v>
      </c>
      <c r="AL586" s="136">
        <v>0</v>
      </c>
      <c r="AM586" s="136">
        <v>0</v>
      </c>
      <c r="AN586" s="136">
        <v>0</v>
      </c>
      <c r="AO586" s="136"/>
      <c r="AP586" s="143" t="str">
        <f>VLOOKUP(tbl_IO_List[[#This Row],[Instruement Tag]],tbl_Instruement_List[],14,FALSE)</f>
        <v>24 VDC energized</v>
      </c>
      <c r="AQ586" s="143" t="str">
        <f>tbl_IO_List[[#This Row],[Chassis]]&amp;"S"&amp;tbl_IO_List[[#This Row],[Slot]]&amp;"-"&amp;tbl_IO_List[[#This Row],[Front Terminal Number]]</f>
        <v>C3S3-</v>
      </c>
      <c r="AR586" s="143"/>
      <c r="AS586" s="136" t="str">
        <f>tbl_IO_List[[#This Row],[Terminal Tagging]]&amp;"-"&amp;tbl_IO_List[[#This Row],[Point-Count]]</f>
        <v>-</v>
      </c>
      <c r="AT586" s="136" t="str">
        <f>tbl_IO_List[[#This Row],[Front Terminal Tagging]]&amp;"/"&amp;tbl_IO_List[[#This Row],[Terminal Tagging-Item]]</f>
        <v>C3S3-/-</v>
      </c>
      <c r="AU586" s="136" t="str">
        <f>tbl_IO_List[[#This Row],[Terminal Tagging-Item]]&amp;"/"&amp;tbl_IO_List[[#This Row],[Front Terminal Tagging]]</f>
        <v>-/C3S3-</v>
      </c>
    </row>
    <row r="587" spans="1:47" hidden="1">
      <c r="A587" s="147" t="s">
        <v>1365</v>
      </c>
      <c r="B587" s="136" t="s">
        <v>360</v>
      </c>
      <c r="C587" s="136" t="str">
        <f>tbl_IO_List[[#This Row],[Column3]]</f>
        <v>C3S03,03</v>
      </c>
      <c r="D587" s="136" t="str">
        <f>tbl_IO_List[[#This Row],[Card]]</f>
        <v>1756-OB32-3</v>
      </c>
      <c r="E587" s="136" t="s">
        <v>1366</v>
      </c>
      <c r="F587" s="136" t="str">
        <f>tbl_IO_List[[#This Row],[Column23]]&amp;"-" &amp;tbl_IO_List[[#This Row],[Column52]]</f>
        <v>C3S03-X1</v>
      </c>
      <c r="G587" s="136" t="str">
        <f>tbl_IO_List[[#This Row],[PLC_Tag]]</f>
        <v>SV-61302_DO_1</v>
      </c>
      <c r="H587" s="136"/>
      <c r="I587" s="136" t="str">
        <f>VLOOKUP(tbl_IO_List[[#This Row],[Destination]],tbl_Junction[],2,FALSE)</f>
        <v>Packing Tower 8th Floor</v>
      </c>
      <c r="J587" s="136" t="s">
        <v>360</v>
      </c>
      <c r="K587" s="136" t="s">
        <v>66</v>
      </c>
      <c r="L587" s="136" t="s">
        <v>373</v>
      </c>
      <c r="M587" s="136">
        <f>VLOOKUP(tbl_IO_List[[#This Row],[Instruement Tag]],tbl_Instruement_List[],2,FALSE)</f>
        <v>0</v>
      </c>
      <c r="N587" s="136" t="s">
        <v>95</v>
      </c>
      <c r="O587" s="136" t="s">
        <v>78</v>
      </c>
      <c r="P587" s="136" t="s">
        <v>75</v>
      </c>
      <c r="Q587" s="136" t="str">
        <f>VLOOKUP(tbl_IO_List[[#This Row],[Instruement Tag]],tbl_Instruement_List[],6,FALSE)</f>
        <v>Air service</v>
      </c>
      <c r="R587" s="136"/>
      <c r="S58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587" s="136" t="str">
        <f>tbl_IO_List[[#This Row],[Instruement Tag]]&amp;"_"&amp;tbl_IO_List[[#This Row],[I/O Type]]&amp;"_"&amp;tbl_IO_List[[#This Row],[IO-Point 
(Instruement)]]</f>
        <v>SV-61302_DO_1</v>
      </c>
      <c r="U587" s="136" t="s">
        <v>7</v>
      </c>
      <c r="V587" s="136">
        <f>VLOOKUP(tbl_IO_List[[#This Row],[I/O Type]],tbl_Slot_Group[],2,FALSE)</f>
        <v>2</v>
      </c>
      <c r="W587" s="136">
        <v>1</v>
      </c>
      <c r="X587" s="136" t="str">
        <f>tbl_IO_List[[#This Row],[Chassis]]&amp;"S"&amp;TEXT(tbl_IO_List[[#This Row],[Slot]],"00")</f>
        <v>C3S03</v>
      </c>
      <c r="Y587" s="136" t="str">
        <f>tbl_IO_List[[#This Row],[Chassis]]&amp;"S"&amp;TEXT(tbl_IO_List[[#This Row],[Slot]],"00")&amp;tbl_IO_List[[#This Row],[I/O Type]]&amp;TEXT(tbl_IO_List[[#This Row],[Point]],"00")</f>
        <v>C3S03DO03</v>
      </c>
      <c r="Z587" s="136" t="str">
        <f>tbl_IO_List[[#This Row],[Chassis]]&amp;"S"&amp;TEXT(tbl_IO_List[[#This Row],[Slot]],"00")&amp;","&amp;TEXT(tbl_IO_List[[#This Row],[Point]],"00")</f>
        <v>C3S03,03</v>
      </c>
      <c r="AA587" s="136" t="str">
        <f>VLOOKUP(tbl_IO_List[[#This Row],[Column23]],tbl_RackConfig[],5,FALSE) &amp;"-"&amp;tbl_IO_List[[#This Row],[Point]]</f>
        <v>1756-OB32-3</v>
      </c>
      <c r="AB587" s="136"/>
      <c r="AC587" s="136"/>
      <c r="AD587" s="136" t="str">
        <f>tbl_IO_List[[#This Row],[I/O Type]]</f>
        <v>DO</v>
      </c>
      <c r="AE587" s="136" t="s">
        <v>1334</v>
      </c>
      <c r="AF587" s="136">
        <v>3</v>
      </c>
      <c r="AG587" s="136">
        <v>3</v>
      </c>
      <c r="AH587" s="136"/>
      <c r="AI587" s="136"/>
      <c r="AJ587" s="136">
        <v>0</v>
      </c>
      <c r="AK587" s="136">
        <v>1</v>
      </c>
      <c r="AL587" s="136">
        <v>0</v>
      </c>
      <c r="AM587" s="136">
        <v>0</v>
      </c>
      <c r="AN587" s="136">
        <v>0</v>
      </c>
      <c r="AO587" s="136"/>
      <c r="AP587" s="143" t="str">
        <f>VLOOKUP(tbl_IO_List[[#This Row],[Instruement Tag]],tbl_Instruement_List[],14,FALSE)</f>
        <v>24 VDC energized</v>
      </c>
      <c r="AQ587" s="143" t="str">
        <f>tbl_IO_List[[#This Row],[Chassis]]&amp;"S"&amp;tbl_IO_List[[#This Row],[Slot]]&amp;"-"&amp;tbl_IO_List[[#This Row],[Front Terminal Number]]</f>
        <v>C3S3-</v>
      </c>
      <c r="AR587" s="143"/>
      <c r="AS587" s="136" t="str">
        <f>tbl_IO_List[[#This Row],[Terminal Tagging]]&amp;"-"&amp;tbl_IO_List[[#This Row],[Point-Count]]</f>
        <v>-</v>
      </c>
      <c r="AT587" s="136" t="str">
        <f>tbl_IO_List[[#This Row],[Front Terminal Tagging]]&amp;"/"&amp;tbl_IO_List[[#This Row],[Terminal Tagging-Item]]</f>
        <v>C3S3-/-</v>
      </c>
      <c r="AU587" s="136" t="str">
        <f>tbl_IO_List[[#This Row],[Terminal Tagging-Item]]&amp;"/"&amp;tbl_IO_List[[#This Row],[Front Terminal Tagging]]</f>
        <v>-/C3S3-</v>
      </c>
    </row>
    <row r="588" spans="1:47" hidden="1">
      <c r="A588" s="147" t="s">
        <v>1365</v>
      </c>
      <c r="B588" s="136" t="s">
        <v>360</v>
      </c>
      <c r="C588" s="136" t="str">
        <f>tbl_IO_List[[#This Row],[Column3]]</f>
        <v>C3S03,04</v>
      </c>
      <c r="D588" s="136" t="str">
        <f>tbl_IO_List[[#This Row],[Card]]</f>
        <v>1756-OB32-4</v>
      </c>
      <c r="E588" s="136" t="s">
        <v>1366</v>
      </c>
      <c r="F588" s="136" t="str">
        <f>tbl_IO_List[[#This Row],[Column23]]&amp;"-" &amp;tbl_IO_List[[#This Row],[Column52]]</f>
        <v>C3S03-X1</v>
      </c>
      <c r="G588" s="136" t="str">
        <f>tbl_IO_List[[#This Row],[PLC_Tag]]</f>
        <v>SV-61303_DO_1</v>
      </c>
      <c r="H588" s="136"/>
      <c r="I588" s="136" t="str">
        <f>VLOOKUP(tbl_IO_List[[#This Row],[Destination]],tbl_Junction[],2,FALSE)</f>
        <v>Packing Tower 8th Floor</v>
      </c>
      <c r="J588" s="136" t="s">
        <v>360</v>
      </c>
      <c r="K588" s="136" t="s">
        <v>66</v>
      </c>
      <c r="L588" s="136" t="s">
        <v>374</v>
      </c>
      <c r="M588" s="136">
        <f>VLOOKUP(tbl_IO_List[[#This Row],[Instruement Tag]],tbl_Instruement_List[],2,FALSE)</f>
        <v>0</v>
      </c>
      <c r="N588" s="136" t="s">
        <v>47</v>
      </c>
      <c r="O588" s="136" t="s">
        <v>78</v>
      </c>
      <c r="P588" s="136" t="s">
        <v>75</v>
      </c>
      <c r="Q588" s="136" t="str">
        <f>VLOOKUP(tbl_IO_List[[#This Row],[Instruement Tag]],tbl_Instruement_List[],6,FALSE)</f>
        <v>Timer compress air pluse solenoid valve</v>
      </c>
      <c r="R588" s="136"/>
      <c r="S58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588" s="136" t="str">
        <f>tbl_IO_List[[#This Row],[Instruement Tag]]&amp;"_"&amp;tbl_IO_List[[#This Row],[I/O Type]]&amp;"_"&amp;tbl_IO_List[[#This Row],[IO-Point 
(Instruement)]]</f>
        <v>SV-61303_DO_1</v>
      </c>
      <c r="U588" s="136" t="s">
        <v>7</v>
      </c>
      <c r="V588" s="136">
        <f>VLOOKUP(tbl_IO_List[[#This Row],[I/O Type]],tbl_Slot_Group[],2,FALSE)</f>
        <v>2</v>
      </c>
      <c r="W588" s="136">
        <v>1</v>
      </c>
      <c r="X588" s="136" t="str">
        <f>tbl_IO_List[[#This Row],[Chassis]]&amp;"S"&amp;TEXT(tbl_IO_List[[#This Row],[Slot]],"00")</f>
        <v>C3S03</v>
      </c>
      <c r="Y588" s="136" t="str">
        <f>tbl_IO_List[[#This Row],[Chassis]]&amp;"S"&amp;TEXT(tbl_IO_List[[#This Row],[Slot]],"00")&amp;tbl_IO_List[[#This Row],[I/O Type]]&amp;TEXT(tbl_IO_List[[#This Row],[Point]],"00")</f>
        <v>C3S03DO04</v>
      </c>
      <c r="Z588" s="136" t="str">
        <f>tbl_IO_List[[#This Row],[Chassis]]&amp;"S"&amp;TEXT(tbl_IO_List[[#This Row],[Slot]],"00")&amp;","&amp;TEXT(tbl_IO_List[[#This Row],[Point]],"00")</f>
        <v>C3S03,04</v>
      </c>
      <c r="AA588" s="136" t="str">
        <f>VLOOKUP(tbl_IO_List[[#This Row],[Column23]],tbl_RackConfig[],5,FALSE) &amp;"-"&amp;tbl_IO_List[[#This Row],[Point]]</f>
        <v>1756-OB32-4</v>
      </c>
      <c r="AB588" s="136"/>
      <c r="AC588" s="136"/>
      <c r="AD588" s="136" t="str">
        <f>tbl_IO_List[[#This Row],[I/O Type]]</f>
        <v>DO</v>
      </c>
      <c r="AE588" s="136" t="s">
        <v>1334</v>
      </c>
      <c r="AF588" s="136">
        <v>3</v>
      </c>
      <c r="AG588" s="136">
        <v>4</v>
      </c>
      <c r="AH588" s="136"/>
      <c r="AI588" s="136"/>
      <c r="AJ588" s="136">
        <v>0</v>
      </c>
      <c r="AK588" s="136">
        <v>1</v>
      </c>
      <c r="AL588" s="136">
        <v>0</v>
      </c>
      <c r="AM588" s="136">
        <v>0</v>
      </c>
      <c r="AN588" s="136">
        <v>0</v>
      </c>
      <c r="AO588" s="136"/>
      <c r="AP588" s="143" t="str">
        <f>VLOOKUP(tbl_IO_List[[#This Row],[Instruement Tag]],tbl_Instruement_List[],14,FALSE)</f>
        <v>24 VDC energized</v>
      </c>
      <c r="AQ588" s="143" t="str">
        <f>tbl_IO_List[[#This Row],[Chassis]]&amp;"S"&amp;tbl_IO_List[[#This Row],[Slot]]&amp;"-"&amp;tbl_IO_List[[#This Row],[Front Terminal Number]]</f>
        <v>C3S3-</v>
      </c>
      <c r="AR588" s="143"/>
      <c r="AS588" s="136" t="str">
        <f>tbl_IO_List[[#This Row],[Terminal Tagging]]&amp;"-"&amp;tbl_IO_List[[#This Row],[Point-Count]]</f>
        <v>-</v>
      </c>
      <c r="AT588" s="136" t="str">
        <f>tbl_IO_List[[#This Row],[Front Terminal Tagging]]&amp;"/"&amp;tbl_IO_List[[#This Row],[Terminal Tagging-Item]]</f>
        <v>C3S3-/-</v>
      </c>
      <c r="AU588" s="136" t="str">
        <f>tbl_IO_List[[#This Row],[Terminal Tagging-Item]]&amp;"/"&amp;tbl_IO_List[[#This Row],[Front Terminal Tagging]]</f>
        <v>-/C3S3-</v>
      </c>
    </row>
    <row r="589" spans="1:47" hidden="1">
      <c r="A589" s="147" t="s">
        <v>1365</v>
      </c>
      <c r="B589" s="136" t="s">
        <v>360</v>
      </c>
      <c r="C589" s="136" t="str">
        <f>tbl_IO_List[[#This Row],[Column3]]</f>
        <v>C3S03,05</v>
      </c>
      <c r="D589" s="136" t="str">
        <f>tbl_IO_List[[#This Row],[Card]]</f>
        <v>1756-OB32-5</v>
      </c>
      <c r="E589" s="136" t="s">
        <v>1366</v>
      </c>
      <c r="F589" s="136" t="str">
        <f>tbl_IO_List[[#This Row],[Column23]]&amp;"-" &amp;tbl_IO_List[[#This Row],[Column52]]</f>
        <v>C3S03-X1</v>
      </c>
      <c r="G589" s="136" t="str">
        <f>tbl_IO_List[[#This Row],[PLC_Tag]]</f>
        <v>SV-61304_DO_1</v>
      </c>
      <c r="H589" s="136"/>
      <c r="I589" s="136" t="str">
        <f>VLOOKUP(tbl_IO_List[[#This Row],[Destination]],tbl_Junction[],2,FALSE)</f>
        <v>Packing Tower 8th Floor</v>
      </c>
      <c r="J589" s="136" t="s">
        <v>360</v>
      </c>
      <c r="K589" s="136" t="s">
        <v>66</v>
      </c>
      <c r="L589" s="136" t="s">
        <v>380</v>
      </c>
      <c r="M589" s="136">
        <f>VLOOKUP(tbl_IO_List[[#This Row],[Instruement Tag]],tbl_Instruement_List[],2,FALSE)</f>
        <v>0</v>
      </c>
      <c r="N589" s="136" t="s">
        <v>93</v>
      </c>
      <c r="O589" s="136" t="s">
        <v>78</v>
      </c>
      <c r="P589" s="136" t="s">
        <v>75</v>
      </c>
      <c r="Q589" s="136" t="str">
        <f>VLOOKUP(tbl_IO_List[[#This Row],[Instruement Tag]],tbl_Instruement_List[],6,FALSE)</f>
        <v>PA On/Off Valve for Conveying Cooler Cyclone-31 Rotary Valve (RV-61304)</v>
      </c>
      <c r="R589" s="136"/>
      <c r="S58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589" s="136" t="str">
        <f>tbl_IO_List[[#This Row],[Instruement Tag]]&amp;"_"&amp;tbl_IO_List[[#This Row],[I/O Type]]&amp;"_"&amp;tbl_IO_List[[#This Row],[IO-Point 
(Instruement)]]</f>
        <v>SV-61304_DO_1</v>
      </c>
      <c r="U589" s="136" t="s">
        <v>7</v>
      </c>
      <c r="V589" s="136">
        <f>VLOOKUP(tbl_IO_List[[#This Row],[I/O Type]],tbl_Slot_Group[],2,FALSE)</f>
        <v>2</v>
      </c>
      <c r="W589" s="136">
        <v>1</v>
      </c>
      <c r="X589" s="136" t="str">
        <f>tbl_IO_List[[#This Row],[Chassis]]&amp;"S"&amp;TEXT(tbl_IO_List[[#This Row],[Slot]],"00")</f>
        <v>C3S03</v>
      </c>
      <c r="Y589" s="136" t="str">
        <f>tbl_IO_List[[#This Row],[Chassis]]&amp;"S"&amp;TEXT(tbl_IO_List[[#This Row],[Slot]],"00")&amp;tbl_IO_List[[#This Row],[I/O Type]]&amp;TEXT(tbl_IO_List[[#This Row],[Point]],"00")</f>
        <v>C3S03DO05</v>
      </c>
      <c r="Z589" s="136" t="str">
        <f>tbl_IO_List[[#This Row],[Chassis]]&amp;"S"&amp;TEXT(tbl_IO_List[[#This Row],[Slot]],"00")&amp;","&amp;TEXT(tbl_IO_List[[#This Row],[Point]],"00")</f>
        <v>C3S03,05</v>
      </c>
      <c r="AA589" s="136" t="str">
        <f>VLOOKUP(tbl_IO_List[[#This Row],[Column23]],tbl_RackConfig[],5,FALSE) &amp;"-"&amp;tbl_IO_List[[#This Row],[Point]]</f>
        <v>1756-OB32-5</v>
      </c>
      <c r="AB589" s="136"/>
      <c r="AC589" s="136"/>
      <c r="AD589" s="136" t="str">
        <f>tbl_IO_List[[#This Row],[I/O Type]]</f>
        <v>DO</v>
      </c>
      <c r="AE589" s="136" t="s">
        <v>1334</v>
      </c>
      <c r="AF589" s="136">
        <v>3</v>
      </c>
      <c r="AG589" s="136">
        <v>5</v>
      </c>
      <c r="AH589" s="136"/>
      <c r="AI589" s="136"/>
      <c r="AJ589" s="136">
        <v>2</v>
      </c>
      <c r="AK589" s="136">
        <v>1</v>
      </c>
      <c r="AL589" s="136">
        <v>0</v>
      </c>
      <c r="AM589" s="136">
        <v>0</v>
      </c>
      <c r="AN589" s="136">
        <v>0</v>
      </c>
      <c r="AO589" s="136"/>
      <c r="AP589" s="143" t="str">
        <f>VLOOKUP(tbl_IO_List[[#This Row],[Instruement Tag]],tbl_Instruement_List[],14,FALSE)</f>
        <v>24 VDC energized</v>
      </c>
      <c r="AQ589" s="143" t="str">
        <f>tbl_IO_List[[#This Row],[Chassis]]&amp;"S"&amp;tbl_IO_List[[#This Row],[Slot]]&amp;"-"&amp;tbl_IO_List[[#This Row],[Front Terminal Number]]</f>
        <v>C3S3-</v>
      </c>
      <c r="AR589" s="143"/>
      <c r="AS589" s="136" t="str">
        <f>tbl_IO_List[[#This Row],[Terminal Tagging]]&amp;"-"&amp;tbl_IO_List[[#This Row],[Point-Count]]</f>
        <v>-</v>
      </c>
      <c r="AT589" s="136" t="str">
        <f>tbl_IO_List[[#This Row],[Front Terminal Tagging]]&amp;"/"&amp;tbl_IO_List[[#This Row],[Terminal Tagging-Item]]</f>
        <v>C3S3-/-</v>
      </c>
      <c r="AU589" s="136" t="str">
        <f>tbl_IO_List[[#This Row],[Terminal Tagging-Item]]&amp;"/"&amp;tbl_IO_List[[#This Row],[Front Terminal Tagging]]</f>
        <v>-/C3S3-</v>
      </c>
    </row>
    <row r="590" spans="1:47" hidden="1">
      <c r="A590" s="147" t="s">
        <v>1365</v>
      </c>
      <c r="B590" s="136" t="s">
        <v>360</v>
      </c>
      <c r="C590" s="136" t="str">
        <f>tbl_IO_List[[#This Row],[Column3]]</f>
        <v>C3S03,06</v>
      </c>
      <c r="D590" s="136" t="str">
        <f>tbl_IO_List[[#This Row],[Card]]</f>
        <v>1756-OB32-6</v>
      </c>
      <c r="E590" s="136" t="s">
        <v>1366</v>
      </c>
      <c r="F590" s="136" t="str">
        <f>tbl_IO_List[[#This Row],[Column23]]&amp;"-" &amp;tbl_IO_List[[#This Row],[Column52]]</f>
        <v>C3S03-X1</v>
      </c>
      <c r="G590" s="136" t="str">
        <f>tbl_IO_List[[#This Row],[PLC_Tag]]</f>
        <v>SV-61305_DO_1</v>
      </c>
      <c r="H590" s="136"/>
      <c r="I590" s="136" t="str">
        <f>VLOOKUP(tbl_IO_List[[#This Row],[Destination]],tbl_Junction[],2,FALSE)</f>
        <v>Packing Tower 8th Floor</v>
      </c>
      <c r="J590" s="136" t="s">
        <v>360</v>
      </c>
      <c r="K590" s="136" t="s">
        <v>66</v>
      </c>
      <c r="L590" s="136" t="s">
        <v>375</v>
      </c>
      <c r="M590" s="136">
        <f>VLOOKUP(tbl_IO_List[[#This Row],[Instruement Tag]],tbl_Instruement_List[],2,FALSE)</f>
        <v>0</v>
      </c>
      <c r="N590" s="136" t="s">
        <v>93</v>
      </c>
      <c r="O590" s="136" t="s">
        <v>78</v>
      </c>
      <c r="P590" s="136" t="s">
        <v>75</v>
      </c>
      <c r="Q590" s="136" t="str">
        <f>VLOOKUP(tbl_IO_List[[#This Row],[Instruement Tag]],tbl_Instruement_List[],6,FALSE)</f>
        <v>Air service</v>
      </c>
      <c r="R590" s="136"/>
      <c r="S59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590" s="136" t="str">
        <f>tbl_IO_List[[#This Row],[Instruement Tag]]&amp;"_"&amp;tbl_IO_List[[#This Row],[I/O Type]]&amp;"_"&amp;tbl_IO_List[[#This Row],[IO-Point 
(Instruement)]]</f>
        <v>SV-61305_DO_1</v>
      </c>
      <c r="U590" s="136" t="s">
        <v>7</v>
      </c>
      <c r="V590" s="136">
        <f>VLOOKUP(tbl_IO_List[[#This Row],[I/O Type]],tbl_Slot_Group[],2,FALSE)</f>
        <v>2</v>
      </c>
      <c r="W590" s="136">
        <v>1</v>
      </c>
      <c r="X590" s="136" t="str">
        <f>tbl_IO_List[[#This Row],[Chassis]]&amp;"S"&amp;TEXT(tbl_IO_List[[#This Row],[Slot]],"00")</f>
        <v>C3S03</v>
      </c>
      <c r="Y590" s="136" t="str">
        <f>tbl_IO_List[[#This Row],[Chassis]]&amp;"S"&amp;TEXT(tbl_IO_List[[#This Row],[Slot]],"00")&amp;tbl_IO_List[[#This Row],[I/O Type]]&amp;TEXT(tbl_IO_List[[#This Row],[Point]],"00")</f>
        <v>C3S03DO06</v>
      </c>
      <c r="Z590" s="136" t="str">
        <f>tbl_IO_List[[#This Row],[Chassis]]&amp;"S"&amp;TEXT(tbl_IO_List[[#This Row],[Slot]],"00")&amp;","&amp;TEXT(tbl_IO_List[[#This Row],[Point]],"00")</f>
        <v>C3S03,06</v>
      </c>
      <c r="AA590" s="136" t="str">
        <f>VLOOKUP(tbl_IO_List[[#This Row],[Column23]],tbl_RackConfig[],5,FALSE) &amp;"-"&amp;tbl_IO_List[[#This Row],[Point]]</f>
        <v>1756-OB32-6</v>
      </c>
      <c r="AB590" s="136"/>
      <c r="AC590" s="136"/>
      <c r="AD590" s="136" t="str">
        <f>tbl_IO_List[[#This Row],[I/O Type]]</f>
        <v>DO</v>
      </c>
      <c r="AE590" s="136" t="s">
        <v>1334</v>
      </c>
      <c r="AF590" s="136">
        <v>3</v>
      </c>
      <c r="AG590" s="136">
        <v>6</v>
      </c>
      <c r="AH590" s="136"/>
      <c r="AI590" s="136"/>
      <c r="AJ590" s="136">
        <v>0</v>
      </c>
      <c r="AK590" s="136">
        <v>1</v>
      </c>
      <c r="AL590" s="136">
        <v>0</v>
      </c>
      <c r="AM590" s="136">
        <v>0</v>
      </c>
      <c r="AN590" s="136">
        <v>0</v>
      </c>
      <c r="AO590" s="136"/>
      <c r="AP590" s="143" t="str">
        <f>VLOOKUP(tbl_IO_List[[#This Row],[Instruement Tag]],tbl_Instruement_List[],14,FALSE)</f>
        <v>24 VDC energized</v>
      </c>
      <c r="AQ590" s="143" t="str">
        <f>tbl_IO_List[[#This Row],[Chassis]]&amp;"S"&amp;tbl_IO_List[[#This Row],[Slot]]&amp;"-"&amp;tbl_IO_List[[#This Row],[Front Terminal Number]]</f>
        <v>C3S3-</v>
      </c>
      <c r="AR590" s="143"/>
      <c r="AS590" s="136" t="str">
        <f>tbl_IO_List[[#This Row],[Terminal Tagging]]&amp;"-"&amp;tbl_IO_List[[#This Row],[Point-Count]]</f>
        <v>-</v>
      </c>
      <c r="AT590" s="136" t="str">
        <f>tbl_IO_List[[#This Row],[Front Terminal Tagging]]&amp;"/"&amp;tbl_IO_List[[#This Row],[Terminal Tagging-Item]]</f>
        <v>C3S3-/-</v>
      </c>
      <c r="AU590" s="136" t="str">
        <f>tbl_IO_List[[#This Row],[Terminal Tagging-Item]]&amp;"/"&amp;tbl_IO_List[[#This Row],[Front Terminal Tagging]]</f>
        <v>-/C3S3-</v>
      </c>
    </row>
    <row r="591" spans="1:47" hidden="1">
      <c r="A591" s="147" t="s">
        <v>1365</v>
      </c>
      <c r="B591" s="136" t="s">
        <v>360</v>
      </c>
      <c r="C591" s="136" t="str">
        <f>tbl_IO_List[[#This Row],[Column3]]</f>
        <v>C3S03,07</v>
      </c>
      <c r="D591" s="136" t="str">
        <f>tbl_IO_List[[#This Row],[Card]]</f>
        <v>1756-OB32-7</v>
      </c>
      <c r="E591" s="136" t="s">
        <v>1366</v>
      </c>
      <c r="F591" s="136" t="str">
        <f>tbl_IO_List[[#This Row],[Column23]]&amp;"-" &amp;tbl_IO_List[[#This Row],[Column52]]</f>
        <v>C3S03-X1</v>
      </c>
      <c r="G591" s="136" t="str">
        <f>tbl_IO_List[[#This Row],[PLC_Tag]]</f>
        <v>SV-61306_DO_1</v>
      </c>
      <c r="H591" s="136"/>
      <c r="I591" s="136" t="str">
        <f>VLOOKUP(tbl_IO_List[[#This Row],[Destination]],tbl_Junction[],2,FALSE)</f>
        <v>Packing Tower 8th Floor</v>
      </c>
      <c r="J591" s="136" t="s">
        <v>360</v>
      </c>
      <c r="K591" s="136" t="s">
        <v>66</v>
      </c>
      <c r="L591" s="136" t="s">
        <v>376</v>
      </c>
      <c r="M591" s="136" t="e">
        <f>VLOOKUP(tbl_IO_List[[#This Row],[Instruement Tag]],tbl_Instruement_List[],2,FALSE)</f>
        <v>#N/A</v>
      </c>
      <c r="N591" s="136" t="s">
        <v>47</v>
      </c>
      <c r="O591" s="136" t="s">
        <v>18</v>
      </c>
      <c r="P591" s="136" t="s">
        <v>75</v>
      </c>
      <c r="Q591" s="136" t="e">
        <f>VLOOKUP(tbl_IO_List[[#This Row],[Instruement Tag]],tbl_Instruement_List[],6,FALSE)</f>
        <v>#N/A</v>
      </c>
      <c r="R591" s="136"/>
      <c r="S59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591" s="136" t="str">
        <f>tbl_IO_List[[#This Row],[Instruement Tag]]&amp;"_"&amp;tbl_IO_List[[#This Row],[I/O Type]]&amp;"_"&amp;tbl_IO_List[[#This Row],[IO-Point 
(Instruement)]]</f>
        <v>SV-61306_DO_1</v>
      </c>
      <c r="U591" s="136" t="s">
        <v>7</v>
      </c>
      <c r="V591" s="136">
        <f>VLOOKUP(tbl_IO_List[[#This Row],[I/O Type]],tbl_Slot_Group[],2,FALSE)</f>
        <v>2</v>
      </c>
      <c r="W591" s="136">
        <v>1</v>
      </c>
      <c r="X591" s="136" t="str">
        <f>tbl_IO_List[[#This Row],[Chassis]]&amp;"S"&amp;TEXT(tbl_IO_List[[#This Row],[Slot]],"00")</f>
        <v>C3S03</v>
      </c>
      <c r="Y591" s="136" t="str">
        <f>tbl_IO_List[[#This Row],[Chassis]]&amp;"S"&amp;TEXT(tbl_IO_List[[#This Row],[Slot]],"00")&amp;tbl_IO_List[[#This Row],[I/O Type]]&amp;TEXT(tbl_IO_List[[#This Row],[Point]],"00")</f>
        <v>C3S03DO07</v>
      </c>
      <c r="Z591" s="136" t="str">
        <f>tbl_IO_List[[#This Row],[Chassis]]&amp;"S"&amp;TEXT(tbl_IO_List[[#This Row],[Slot]],"00")&amp;","&amp;TEXT(tbl_IO_List[[#This Row],[Point]],"00")</f>
        <v>C3S03,07</v>
      </c>
      <c r="AA591" s="136" t="str">
        <f>VLOOKUP(tbl_IO_List[[#This Row],[Column23]],tbl_RackConfig[],5,FALSE) &amp;"-"&amp;tbl_IO_List[[#This Row],[Point]]</f>
        <v>1756-OB32-7</v>
      </c>
      <c r="AB591" s="136"/>
      <c r="AC591" s="136"/>
      <c r="AD591" s="136" t="str">
        <f>tbl_IO_List[[#This Row],[I/O Type]]</f>
        <v>DO</v>
      </c>
      <c r="AE591" s="136" t="s">
        <v>1334</v>
      </c>
      <c r="AF591" s="136">
        <v>3</v>
      </c>
      <c r="AG591" s="136">
        <v>7</v>
      </c>
      <c r="AH591" s="136"/>
      <c r="AI591" s="136"/>
      <c r="AJ591" s="136">
        <v>0</v>
      </c>
      <c r="AK591" s="136">
        <v>1</v>
      </c>
      <c r="AL591" s="136">
        <v>0</v>
      </c>
      <c r="AM591" s="136">
        <v>0</v>
      </c>
      <c r="AN591" s="136">
        <v>0</v>
      </c>
      <c r="AO591" s="136"/>
      <c r="AP591" s="143" t="e">
        <f>VLOOKUP(tbl_IO_List[[#This Row],[Instruement Tag]],tbl_Instruement_List[],14,FALSE)</f>
        <v>#N/A</v>
      </c>
      <c r="AQ591" s="143" t="str">
        <f>tbl_IO_List[[#This Row],[Chassis]]&amp;"S"&amp;tbl_IO_List[[#This Row],[Slot]]&amp;"-"&amp;tbl_IO_List[[#This Row],[Front Terminal Number]]</f>
        <v>C3S3-</v>
      </c>
      <c r="AR591" s="143"/>
      <c r="AS591" s="136" t="str">
        <f>tbl_IO_List[[#This Row],[Terminal Tagging]]&amp;"-"&amp;tbl_IO_List[[#This Row],[Point-Count]]</f>
        <v>-</v>
      </c>
      <c r="AT591" s="136" t="str">
        <f>tbl_IO_List[[#This Row],[Front Terminal Tagging]]&amp;"/"&amp;tbl_IO_List[[#This Row],[Terminal Tagging-Item]]</f>
        <v>C3S3-/-</v>
      </c>
      <c r="AU591" s="136" t="str">
        <f>tbl_IO_List[[#This Row],[Terminal Tagging-Item]]&amp;"/"&amp;tbl_IO_List[[#This Row],[Front Terminal Tagging]]</f>
        <v>-/C3S3-</v>
      </c>
    </row>
    <row r="592" spans="1:47" hidden="1">
      <c r="A592" s="147" t="s">
        <v>1365</v>
      </c>
      <c r="B592" s="136" t="s">
        <v>360</v>
      </c>
      <c r="C592" s="136" t="str">
        <f>tbl_IO_List[[#This Row],[Column3]]</f>
        <v>C3S03,08</v>
      </c>
      <c r="D592" s="136" t="str">
        <f>tbl_IO_List[[#This Row],[Card]]</f>
        <v>1756-OB32-8</v>
      </c>
      <c r="E592" s="136" t="s">
        <v>1366</v>
      </c>
      <c r="F592" s="136" t="str">
        <f>tbl_IO_List[[#This Row],[Column23]]&amp;"-" &amp;tbl_IO_List[[#This Row],[Column52]]</f>
        <v>C3S03-X1</v>
      </c>
      <c r="G592" s="136" t="str">
        <f>tbl_IO_List[[#This Row],[PLC_Tag]]</f>
        <v>XV-61301_DO_1</v>
      </c>
      <c r="H592" s="136"/>
      <c r="I592" s="136" t="str">
        <f>VLOOKUP(tbl_IO_List[[#This Row],[Destination]],tbl_Junction[],2,FALSE)</f>
        <v>Packing Tower 8th Floor</v>
      </c>
      <c r="J592" s="136" t="s">
        <v>360</v>
      </c>
      <c r="K592" s="136" t="s">
        <v>66</v>
      </c>
      <c r="L592" s="136" t="s">
        <v>792</v>
      </c>
      <c r="M592" s="136">
        <f>VLOOKUP(tbl_IO_List[[#This Row],[Instruement Tag]],tbl_Instruement_List[],2,FALSE)</f>
        <v>0</v>
      </c>
      <c r="N592" s="136" t="s">
        <v>47</v>
      </c>
      <c r="O592" s="136" t="s">
        <v>18</v>
      </c>
      <c r="P592" s="136" t="s">
        <v>75</v>
      </c>
      <c r="Q592" s="136" t="str">
        <f>VLOOKUP(tbl_IO_List[[#This Row],[Instruement Tag]],tbl_Instruement_List[],6,FALSE)</f>
        <v xml:space="preserve">Product feed-out Packing silo </v>
      </c>
      <c r="R592" s="136"/>
      <c r="S59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592" s="136" t="str">
        <f>tbl_IO_List[[#This Row],[Instruement Tag]]&amp;"_"&amp;tbl_IO_List[[#This Row],[I/O Type]]&amp;"_"&amp;tbl_IO_List[[#This Row],[IO-Point 
(Instruement)]]</f>
        <v>XV-61301_DO_1</v>
      </c>
      <c r="U592" s="136" t="s">
        <v>7</v>
      </c>
      <c r="V592" s="136">
        <f>VLOOKUP(tbl_IO_List[[#This Row],[I/O Type]],tbl_Slot_Group[],2,FALSE)</f>
        <v>2</v>
      </c>
      <c r="W592" s="136">
        <v>1</v>
      </c>
      <c r="X592" s="136" t="str">
        <f>tbl_IO_List[[#This Row],[Chassis]]&amp;"S"&amp;TEXT(tbl_IO_List[[#This Row],[Slot]],"00")</f>
        <v>C3S03</v>
      </c>
      <c r="Y592" s="136" t="str">
        <f>tbl_IO_List[[#This Row],[Chassis]]&amp;"S"&amp;TEXT(tbl_IO_List[[#This Row],[Slot]],"00")&amp;tbl_IO_List[[#This Row],[I/O Type]]&amp;TEXT(tbl_IO_List[[#This Row],[Point]],"00")</f>
        <v>C3S03DO08</v>
      </c>
      <c r="Z592" s="136" t="str">
        <f>tbl_IO_List[[#This Row],[Chassis]]&amp;"S"&amp;TEXT(tbl_IO_List[[#This Row],[Slot]],"00")&amp;","&amp;TEXT(tbl_IO_List[[#This Row],[Point]],"00")</f>
        <v>C3S03,08</v>
      </c>
      <c r="AA592" s="136" t="str">
        <f>VLOOKUP(tbl_IO_List[[#This Row],[Column23]],tbl_RackConfig[],5,FALSE) &amp;"-"&amp;tbl_IO_List[[#This Row],[Point]]</f>
        <v>1756-OB32-8</v>
      </c>
      <c r="AB592" s="136"/>
      <c r="AC592" s="136"/>
      <c r="AD592" s="136" t="str">
        <f>tbl_IO_List[[#This Row],[I/O Type]]</f>
        <v>DO</v>
      </c>
      <c r="AE592" s="136" t="s">
        <v>1334</v>
      </c>
      <c r="AF592" s="136">
        <v>3</v>
      </c>
      <c r="AG592" s="136">
        <v>8</v>
      </c>
      <c r="AH592" s="136"/>
      <c r="AI592" s="136"/>
      <c r="AJ592" s="136">
        <v>2</v>
      </c>
      <c r="AK592" s="136">
        <v>1</v>
      </c>
      <c r="AL592" s="136">
        <v>0</v>
      </c>
      <c r="AM592" s="136">
        <v>0</v>
      </c>
      <c r="AN592" s="136">
        <v>0</v>
      </c>
      <c r="AO592" s="136"/>
      <c r="AP592" s="143" t="str">
        <f>VLOOKUP(tbl_IO_List[[#This Row],[Instruement Tag]],tbl_Instruement_List[],14,FALSE)</f>
        <v>24 VDC energized</v>
      </c>
      <c r="AQ592" s="143" t="str">
        <f>tbl_IO_List[[#This Row],[Chassis]]&amp;"S"&amp;tbl_IO_List[[#This Row],[Slot]]&amp;"-"&amp;tbl_IO_List[[#This Row],[Front Terminal Number]]</f>
        <v>C3S3-</v>
      </c>
      <c r="AR592" s="143"/>
      <c r="AS592" s="136" t="str">
        <f>tbl_IO_List[[#This Row],[Terminal Tagging]]&amp;"-"&amp;tbl_IO_List[[#This Row],[Point-Count]]</f>
        <v>-</v>
      </c>
      <c r="AT592" s="136" t="str">
        <f>tbl_IO_List[[#This Row],[Front Terminal Tagging]]&amp;"/"&amp;tbl_IO_List[[#This Row],[Terminal Tagging-Item]]</f>
        <v>C3S3-/-</v>
      </c>
      <c r="AU592" s="136" t="str">
        <f>tbl_IO_List[[#This Row],[Terminal Tagging-Item]]&amp;"/"&amp;tbl_IO_List[[#This Row],[Front Terminal Tagging]]</f>
        <v>-/C3S3-</v>
      </c>
    </row>
    <row r="593" spans="1:47" hidden="1">
      <c r="A593" s="147" t="s">
        <v>1365</v>
      </c>
      <c r="B593" s="136" t="s">
        <v>360</v>
      </c>
      <c r="C593" s="136" t="str">
        <f>tbl_IO_List[[#This Row],[Column3]]</f>
        <v>C3S03,09</v>
      </c>
      <c r="D593" s="136" t="str">
        <f>tbl_IO_List[[#This Row],[Card]]</f>
        <v>1756-OB32-9</v>
      </c>
      <c r="E593" s="136" t="s">
        <v>1366</v>
      </c>
      <c r="F593" s="136" t="str">
        <f>tbl_IO_List[[#This Row],[Column23]]&amp;"-" &amp;tbl_IO_List[[#This Row],[Column52]]</f>
        <v>C3S03-X1</v>
      </c>
      <c r="G593" s="136" t="str">
        <f>tbl_IO_List[[#This Row],[PLC_Tag]]</f>
        <v>Spare_DO_0</v>
      </c>
      <c r="H593" s="136"/>
      <c r="I593" s="136" t="str">
        <f>VLOOKUP(tbl_IO_List[[#This Row],[Destination]],tbl_Junction[],2,FALSE)</f>
        <v>Packing Tower 8th Floor</v>
      </c>
      <c r="J593" s="136"/>
      <c r="K593" s="136"/>
      <c r="L593" s="136" t="s">
        <v>411</v>
      </c>
      <c r="M593" s="136" t="e">
        <f>VLOOKUP(tbl_IO_List[[#This Row],[Instruement Tag]],tbl_Instruement_List[],2,FALSE)</f>
        <v>#N/A</v>
      </c>
      <c r="N593" s="136"/>
      <c r="O593" s="136"/>
      <c r="P593" s="136"/>
      <c r="Q593" s="136" t="e">
        <f>VLOOKUP(tbl_IO_List[[#This Row],[Instruement Tag]],tbl_Instruement_List[],6,FALSE)</f>
        <v>#N/A</v>
      </c>
      <c r="R593" s="136"/>
      <c r="S59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593" s="136" t="str">
        <f>tbl_IO_List[[#This Row],[Instruement Tag]]&amp;"_"&amp;tbl_IO_List[[#This Row],[I/O Type]]&amp;"_"&amp;tbl_IO_List[[#This Row],[IO-Point 
(Instruement)]]</f>
        <v>Spare_DO_0</v>
      </c>
      <c r="U593" s="136" t="s">
        <v>7</v>
      </c>
      <c r="V593" s="136">
        <f>VLOOKUP(tbl_IO_List[[#This Row],[I/O Type]],tbl_Slot_Group[],2,FALSE)</f>
        <v>2</v>
      </c>
      <c r="W593" s="136">
        <v>0</v>
      </c>
      <c r="X593" s="136" t="str">
        <f>tbl_IO_List[[#This Row],[Chassis]]&amp;"S"&amp;TEXT(tbl_IO_List[[#This Row],[Slot]],"00")</f>
        <v>C3S03</v>
      </c>
      <c r="Y593" s="136" t="str">
        <f>tbl_IO_List[[#This Row],[Chassis]]&amp;"S"&amp;TEXT(tbl_IO_List[[#This Row],[Slot]],"00")&amp;tbl_IO_List[[#This Row],[I/O Type]]&amp;TEXT(tbl_IO_List[[#This Row],[Point]],"00")</f>
        <v>C3S03DO09</v>
      </c>
      <c r="Z593" s="136" t="str">
        <f>tbl_IO_List[[#This Row],[Chassis]]&amp;"S"&amp;TEXT(tbl_IO_List[[#This Row],[Slot]],"00")&amp;","&amp;TEXT(tbl_IO_List[[#This Row],[Point]],"00")</f>
        <v>C3S03,09</v>
      </c>
      <c r="AA593" s="136" t="str">
        <f>VLOOKUP(tbl_IO_List[[#This Row],[Column23]],tbl_RackConfig[],5,FALSE) &amp;"-"&amp;tbl_IO_List[[#This Row],[Point]]</f>
        <v>1756-OB32-9</v>
      </c>
      <c r="AB593" s="136"/>
      <c r="AC593" s="136"/>
      <c r="AD593" s="136" t="str">
        <f>tbl_IO_List[[#This Row],[I/O Type]]</f>
        <v>DO</v>
      </c>
      <c r="AE593" s="136" t="s">
        <v>1334</v>
      </c>
      <c r="AF593" s="136">
        <v>3</v>
      </c>
      <c r="AG593" s="136">
        <v>9</v>
      </c>
      <c r="AH593" s="136"/>
      <c r="AI593" s="136"/>
      <c r="AJ593" s="136">
        <v>0</v>
      </c>
      <c r="AK593" s="136">
        <v>1</v>
      </c>
      <c r="AL593" s="136">
        <v>0</v>
      </c>
      <c r="AM593" s="136">
        <v>0</v>
      </c>
      <c r="AN593" s="136">
        <v>0</v>
      </c>
      <c r="AO593" s="136"/>
      <c r="AP593" s="143" t="e">
        <f>VLOOKUP(tbl_IO_List[[#This Row],[Instruement Tag]],tbl_Instruement_List[],14,FALSE)</f>
        <v>#N/A</v>
      </c>
      <c r="AQ593" s="143" t="str">
        <f>tbl_IO_List[[#This Row],[Chassis]]&amp;"S"&amp;tbl_IO_List[[#This Row],[Slot]]&amp;"-"&amp;tbl_IO_List[[#This Row],[Front Terminal Number]]</f>
        <v>C3S3-</v>
      </c>
      <c r="AR593" s="143"/>
      <c r="AS593" s="136" t="str">
        <f>tbl_IO_List[[#This Row],[Terminal Tagging]]&amp;"-"&amp;tbl_IO_List[[#This Row],[Point-Count]]</f>
        <v>-</v>
      </c>
      <c r="AT593" s="136" t="str">
        <f>tbl_IO_List[[#This Row],[Front Terminal Tagging]]&amp;"/"&amp;tbl_IO_List[[#This Row],[Terminal Tagging-Item]]</f>
        <v>C3S3-/-</v>
      </c>
      <c r="AU593" s="136" t="str">
        <f>tbl_IO_List[[#This Row],[Terminal Tagging-Item]]&amp;"/"&amp;tbl_IO_List[[#This Row],[Front Terminal Tagging]]</f>
        <v>-/C3S3-</v>
      </c>
    </row>
    <row r="594" spans="1:47" hidden="1">
      <c r="A594" s="147" t="s">
        <v>1365</v>
      </c>
      <c r="B594" s="136" t="s">
        <v>360</v>
      </c>
      <c r="C594" s="136" t="str">
        <f>tbl_IO_List[[#This Row],[Column3]]</f>
        <v>C3S03,10</v>
      </c>
      <c r="D594" s="136" t="str">
        <f>tbl_IO_List[[#This Row],[Card]]</f>
        <v>1756-OB32-10</v>
      </c>
      <c r="E594" s="136" t="s">
        <v>1366</v>
      </c>
      <c r="F594" s="136" t="str">
        <f>tbl_IO_List[[#This Row],[Column23]]&amp;"-" &amp;tbl_IO_List[[#This Row],[Column52]]</f>
        <v>C3S03-X1</v>
      </c>
      <c r="G594" s="136" t="str">
        <f>tbl_IO_List[[#This Row],[PLC_Tag]]</f>
        <v>Spare_DO_0</v>
      </c>
      <c r="H594" s="136"/>
      <c r="I594" s="136" t="str">
        <f>VLOOKUP(tbl_IO_List[[#This Row],[Destination]],tbl_Junction[],2,FALSE)</f>
        <v>Packing Tower 8th Floor</v>
      </c>
      <c r="J594" s="136"/>
      <c r="K594" s="136"/>
      <c r="L594" s="136" t="s">
        <v>411</v>
      </c>
      <c r="M594" s="136" t="e">
        <f>VLOOKUP(tbl_IO_List[[#This Row],[Instruement Tag]],tbl_Instruement_List[],2,FALSE)</f>
        <v>#N/A</v>
      </c>
      <c r="N594" s="136"/>
      <c r="O594" s="136"/>
      <c r="P594" s="136"/>
      <c r="Q594" s="136" t="e">
        <f>VLOOKUP(tbl_IO_List[[#This Row],[Instruement Tag]],tbl_Instruement_List[],6,FALSE)</f>
        <v>#N/A</v>
      </c>
      <c r="R594" s="136"/>
      <c r="S59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594" s="136" t="str">
        <f>tbl_IO_List[[#This Row],[Instruement Tag]]&amp;"_"&amp;tbl_IO_List[[#This Row],[I/O Type]]&amp;"_"&amp;tbl_IO_List[[#This Row],[IO-Point 
(Instruement)]]</f>
        <v>Spare_DO_0</v>
      </c>
      <c r="U594" s="136" t="s">
        <v>7</v>
      </c>
      <c r="V594" s="136">
        <f>VLOOKUP(tbl_IO_List[[#This Row],[I/O Type]],tbl_Slot_Group[],2,FALSE)</f>
        <v>2</v>
      </c>
      <c r="W594" s="136">
        <v>0</v>
      </c>
      <c r="X594" s="136" t="str">
        <f>tbl_IO_List[[#This Row],[Chassis]]&amp;"S"&amp;TEXT(tbl_IO_List[[#This Row],[Slot]],"00")</f>
        <v>C3S03</v>
      </c>
      <c r="Y594" s="136" t="str">
        <f>tbl_IO_List[[#This Row],[Chassis]]&amp;"S"&amp;TEXT(tbl_IO_List[[#This Row],[Slot]],"00")&amp;tbl_IO_List[[#This Row],[I/O Type]]&amp;TEXT(tbl_IO_List[[#This Row],[Point]],"00")</f>
        <v>C3S03DO10</v>
      </c>
      <c r="Z594" s="136" t="str">
        <f>tbl_IO_List[[#This Row],[Chassis]]&amp;"S"&amp;TEXT(tbl_IO_List[[#This Row],[Slot]],"00")&amp;","&amp;TEXT(tbl_IO_List[[#This Row],[Point]],"00")</f>
        <v>C3S03,10</v>
      </c>
      <c r="AA594" s="136" t="str">
        <f>VLOOKUP(tbl_IO_List[[#This Row],[Column23]],tbl_RackConfig[],5,FALSE) &amp;"-"&amp;tbl_IO_List[[#This Row],[Point]]</f>
        <v>1756-OB32-10</v>
      </c>
      <c r="AB594" s="136"/>
      <c r="AC594" s="136"/>
      <c r="AD594" s="136" t="str">
        <f>tbl_IO_List[[#This Row],[I/O Type]]</f>
        <v>DO</v>
      </c>
      <c r="AE594" s="136" t="s">
        <v>1334</v>
      </c>
      <c r="AF594" s="136">
        <v>3</v>
      </c>
      <c r="AG594" s="136">
        <v>10</v>
      </c>
      <c r="AH594" s="136"/>
      <c r="AI594" s="136"/>
      <c r="AJ594" s="136">
        <v>0</v>
      </c>
      <c r="AK594" s="136">
        <v>1</v>
      </c>
      <c r="AL594" s="136">
        <v>0</v>
      </c>
      <c r="AM594" s="136">
        <v>0</v>
      </c>
      <c r="AN594" s="136">
        <v>0</v>
      </c>
      <c r="AO594" s="136"/>
      <c r="AP594" s="143" t="e">
        <f>VLOOKUP(tbl_IO_List[[#This Row],[Instruement Tag]],tbl_Instruement_List[],14,FALSE)</f>
        <v>#N/A</v>
      </c>
      <c r="AQ594" s="143" t="str">
        <f>tbl_IO_List[[#This Row],[Chassis]]&amp;"S"&amp;tbl_IO_List[[#This Row],[Slot]]&amp;"-"&amp;tbl_IO_List[[#This Row],[Front Terminal Number]]</f>
        <v>C3S3-</v>
      </c>
      <c r="AR594" s="143"/>
      <c r="AS594" s="136" t="str">
        <f>tbl_IO_List[[#This Row],[Terminal Tagging]]&amp;"-"&amp;tbl_IO_List[[#This Row],[Point-Count]]</f>
        <v>-</v>
      </c>
      <c r="AT594" s="136" t="str">
        <f>tbl_IO_List[[#This Row],[Front Terminal Tagging]]&amp;"/"&amp;tbl_IO_List[[#This Row],[Terminal Tagging-Item]]</f>
        <v>C3S3-/-</v>
      </c>
      <c r="AU594" s="136" t="str">
        <f>tbl_IO_List[[#This Row],[Terminal Tagging-Item]]&amp;"/"&amp;tbl_IO_List[[#This Row],[Front Terminal Tagging]]</f>
        <v>-/C3S3-</v>
      </c>
    </row>
    <row r="595" spans="1:47" hidden="1">
      <c r="A595" s="147" t="s">
        <v>1365</v>
      </c>
      <c r="B595" s="136" t="s">
        <v>360</v>
      </c>
      <c r="C595" s="136" t="str">
        <f>tbl_IO_List[[#This Row],[Column3]]</f>
        <v>C3S03,11</v>
      </c>
      <c r="D595" s="136" t="str">
        <f>tbl_IO_List[[#This Row],[Card]]</f>
        <v>1756-OB32-11</v>
      </c>
      <c r="E595" s="136" t="s">
        <v>1366</v>
      </c>
      <c r="F595" s="136" t="str">
        <f>tbl_IO_List[[#This Row],[Column23]]&amp;"-" &amp;tbl_IO_List[[#This Row],[Column52]]</f>
        <v>C3S03-X1</v>
      </c>
      <c r="G595" s="136" t="str">
        <f>tbl_IO_List[[#This Row],[PLC_Tag]]</f>
        <v>Spare_DO_0</v>
      </c>
      <c r="H595" s="136"/>
      <c r="I595" s="136" t="str">
        <f>VLOOKUP(tbl_IO_List[[#This Row],[Destination]],tbl_Junction[],2,FALSE)</f>
        <v>Packing Tower 8th Floor</v>
      </c>
      <c r="J595" s="136"/>
      <c r="K595" s="136"/>
      <c r="L595" s="136" t="s">
        <v>411</v>
      </c>
      <c r="M595" s="136" t="e">
        <f>VLOOKUP(tbl_IO_List[[#This Row],[Instruement Tag]],tbl_Instruement_List[],2,FALSE)</f>
        <v>#N/A</v>
      </c>
      <c r="N595" s="136"/>
      <c r="O595" s="136"/>
      <c r="P595" s="136"/>
      <c r="Q595" s="136" t="e">
        <f>VLOOKUP(tbl_IO_List[[#This Row],[Instruement Tag]],tbl_Instruement_List[],6,FALSE)</f>
        <v>#N/A</v>
      </c>
      <c r="R595" s="136"/>
      <c r="S59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595" s="136" t="str">
        <f>tbl_IO_List[[#This Row],[Instruement Tag]]&amp;"_"&amp;tbl_IO_List[[#This Row],[I/O Type]]&amp;"_"&amp;tbl_IO_List[[#This Row],[IO-Point 
(Instruement)]]</f>
        <v>Spare_DO_0</v>
      </c>
      <c r="U595" s="136" t="s">
        <v>7</v>
      </c>
      <c r="V595" s="136">
        <f>VLOOKUP(tbl_IO_List[[#This Row],[I/O Type]],tbl_Slot_Group[],2,FALSE)</f>
        <v>2</v>
      </c>
      <c r="W595" s="136">
        <v>0</v>
      </c>
      <c r="X595" s="136" t="str">
        <f>tbl_IO_List[[#This Row],[Chassis]]&amp;"S"&amp;TEXT(tbl_IO_List[[#This Row],[Slot]],"00")</f>
        <v>C3S03</v>
      </c>
      <c r="Y595" s="136" t="str">
        <f>tbl_IO_List[[#This Row],[Chassis]]&amp;"S"&amp;TEXT(tbl_IO_List[[#This Row],[Slot]],"00")&amp;tbl_IO_List[[#This Row],[I/O Type]]&amp;TEXT(tbl_IO_List[[#This Row],[Point]],"00")</f>
        <v>C3S03DO11</v>
      </c>
      <c r="Z595" s="136" t="str">
        <f>tbl_IO_List[[#This Row],[Chassis]]&amp;"S"&amp;TEXT(tbl_IO_List[[#This Row],[Slot]],"00")&amp;","&amp;TEXT(tbl_IO_List[[#This Row],[Point]],"00")</f>
        <v>C3S03,11</v>
      </c>
      <c r="AA595" s="136" t="str">
        <f>VLOOKUP(tbl_IO_List[[#This Row],[Column23]],tbl_RackConfig[],5,FALSE) &amp;"-"&amp;tbl_IO_List[[#This Row],[Point]]</f>
        <v>1756-OB32-11</v>
      </c>
      <c r="AB595" s="136"/>
      <c r="AC595" s="136"/>
      <c r="AD595" s="136" t="str">
        <f>tbl_IO_List[[#This Row],[I/O Type]]</f>
        <v>DO</v>
      </c>
      <c r="AE595" s="136" t="s">
        <v>1334</v>
      </c>
      <c r="AF595" s="136">
        <v>3</v>
      </c>
      <c r="AG595" s="136">
        <v>11</v>
      </c>
      <c r="AH595" s="136"/>
      <c r="AI595" s="136"/>
      <c r="AJ595" s="136">
        <v>0</v>
      </c>
      <c r="AK595" s="136">
        <v>1</v>
      </c>
      <c r="AL595" s="136">
        <v>0</v>
      </c>
      <c r="AM595" s="136">
        <v>0</v>
      </c>
      <c r="AN595" s="136">
        <v>0</v>
      </c>
      <c r="AO595" s="136"/>
      <c r="AP595" s="143" t="e">
        <f>VLOOKUP(tbl_IO_List[[#This Row],[Instruement Tag]],tbl_Instruement_List[],14,FALSE)</f>
        <v>#N/A</v>
      </c>
      <c r="AQ595" s="143" t="str">
        <f>tbl_IO_List[[#This Row],[Chassis]]&amp;"S"&amp;tbl_IO_List[[#This Row],[Slot]]&amp;"-"&amp;tbl_IO_List[[#This Row],[Front Terminal Number]]</f>
        <v>C3S3-</v>
      </c>
      <c r="AR595" s="143"/>
      <c r="AS595" s="136" t="str">
        <f>tbl_IO_List[[#This Row],[Terminal Tagging]]&amp;"-"&amp;tbl_IO_List[[#This Row],[Point-Count]]</f>
        <v>-</v>
      </c>
      <c r="AT595" s="136" t="str">
        <f>tbl_IO_List[[#This Row],[Front Terminal Tagging]]&amp;"/"&amp;tbl_IO_List[[#This Row],[Terminal Tagging-Item]]</f>
        <v>C3S3-/-</v>
      </c>
      <c r="AU595" s="136" t="str">
        <f>tbl_IO_List[[#This Row],[Terminal Tagging-Item]]&amp;"/"&amp;tbl_IO_List[[#This Row],[Front Terminal Tagging]]</f>
        <v>-/C3S3-</v>
      </c>
    </row>
    <row r="596" spans="1:47" hidden="1">
      <c r="A596" s="147" t="s">
        <v>1365</v>
      </c>
      <c r="B596" s="136" t="s">
        <v>360</v>
      </c>
      <c r="C596" s="136" t="str">
        <f>tbl_IO_List[[#This Row],[Column3]]</f>
        <v>C3S03,12</v>
      </c>
      <c r="D596" s="136" t="str">
        <f>tbl_IO_List[[#This Row],[Card]]</f>
        <v>1756-OB32-12</v>
      </c>
      <c r="E596" s="136" t="s">
        <v>1366</v>
      </c>
      <c r="F596" s="136" t="str">
        <f>tbl_IO_List[[#This Row],[Column23]]&amp;"-" &amp;tbl_IO_List[[#This Row],[Column52]]</f>
        <v>C3S03-X1</v>
      </c>
      <c r="G596" s="136" t="str">
        <f>tbl_IO_List[[#This Row],[PLC_Tag]]</f>
        <v>Spare_DO_0</v>
      </c>
      <c r="H596" s="136"/>
      <c r="I596" s="136" t="str">
        <f>VLOOKUP(tbl_IO_List[[#This Row],[Destination]],tbl_Junction[],2,FALSE)</f>
        <v>Packing Tower 8th Floor</v>
      </c>
      <c r="J596" s="136"/>
      <c r="K596" s="136"/>
      <c r="L596" s="136" t="s">
        <v>411</v>
      </c>
      <c r="M596" s="136" t="e">
        <f>VLOOKUP(tbl_IO_List[[#This Row],[Instruement Tag]],tbl_Instruement_List[],2,FALSE)</f>
        <v>#N/A</v>
      </c>
      <c r="N596" s="136"/>
      <c r="O596" s="136"/>
      <c r="P596" s="136"/>
      <c r="Q596" s="136" t="e">
        <f>VLOOKUP(tbl_IO_List[[#This Row],[Instruement Tag]],tbl_Instruement_List[],6,FALSE)</f>
        <v>#N/A</v>
      </c>
      <c r="R596" s="136"/>
      <c r="S59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596" s="136" t="str">
        <f>tbl_IO_List[[#This Row],[Instruement Tag]]&amp;"_"&amp;tbl_IO_List[[#This Row],[I/O Type]]&amp;"_"&amp;tbl_IO_List[[#This Row],[IO-Point 
(Instruement)]]</f>
        <v>Spare_DO_0</v>
      </c>
      <c r="U596" s="136" t="s">
        <v>7</v>
      </c>
      <c r="V596" s="136">
        <f>VLOOKUP(tbl_IO_List[[#This Row],[I/O Type]],tbl_Slot_Group[],2,FALSE)</f>
        <v>2</v>
      </c>
      <c r="W596" s="136">
        <v>0</v>
      </c>
      <c r="X596" s="136" t="str">
        <f>tbl_IO_List[[#This Row],[Chassis]]&amp;"S"&amp;TEXT(tbl_IO_List[[#This Row],[Slot]],"00")</f>
        <v>C3S03</v>
      </c>
      <c r="Y596" s="136" t="str">
        <f>tbl_IO_List[[#This Row],[Chassis]]&amp;"S"&amp;TEXT(tbl_IO_List[[#This Row],[Slot]],"00")&amp;tbl_IO_List[[#This Row],[I/O Type]]&amp;TEXT(tbl_IO_List[[#This Row],[Point]],"00")</f>
        <v>C3S03DO12</v>
      </c>
      <c r="Z596" s="136" t="str">
        <f>tbl_IO_List[[#This Row],[Chassis]]&amp;"S"&amp;TEXT(tbl_IO_List[[#This Row],[Slot]],"00")&amp;","&amp;TEXT(tbl_IO_List[[#This Row],[Point]],"00")</f>
        <v>C3S03,12</v>
      </c>
      <c r="AA596" s="136" t="str">
        <f>VLOOKUP(tbl_IO_List[[#This Row],[Column23]],tbl_RackConfig[],5,FALSE) &amp;"-"&amp;tbl_IO_List[[#This Row],[Point]]</f>
        <v>1756-OB32-12</v>
      </c>
      <c r="AB596" s="136"/>
      <c r="AC596" s="136"/>
      <c r="AD596" s="136" t="str">
        <f>tbl_IO_List[[#This Row],[I/O Type]]</f>
        <v>DO</v>
      </c>
      <c r="AE596" s="136" t="s">
        <v>1334</v>
      </c>
      <c r="AF596" s="136">
        <v>3</v>
      </c>
      <c r="AG596" s="136">
        <v>12</v>
      </c>
      <c r="AH596" s="136"/>
      <c r="AI596" s="136"/>
      <c r="AJ596" s="136">
        <v>0</v>
      </c>
      <c r="AK596" s="136">
        <v>1</v>
      </c>
      <c r="AL596" s="136">
        <v>0</v>
      </c>
      <c r="AM596" s="136">
        <v>0</v>
      </c>
      <c r="AN596" s="136">
        <v>0</v>
      </c>
      <c r="AO596" s="136"/>
      <c r="AP596" s="143" t="e">
        <f>VLOOKUP(tbl_IO_List[[#This Row],[Instruement Tag]],tbl_Instruement_List[],14,FALSE)</f>
        <v>#N/A</v>
      </c>
      <c r="AQ596" s="143" t="str">
        <f>tbl_IO_List[[#This Row],[Chassis]]&amp;"S"&amp;tbl_IO_List[[#This Row],[Slot]]&amp;"-"&amp;tbl_IO_List[[#This Row],[Front Terminal Number]]</f>
        <v>C3S3-</v>
      </c>
      <c r="AR596" s="143"/>
      <c r="AS596" s="136" t="str">
        <f>tbl_IO_List[[#This Row],[Terminal Tagging]]&amp;"-"&amp;tbl_IO_List[[#This Row],[Point-Count]]</f>
        <v>-</v>
      </c>
      <c r="AT596" s="136" t="str">
        <f>tbl_IO_List[[#This Row],[Front Terminal Tagging]]&amp;"/"&amp;tbl_IO_List[[#This Row],[Terminal Tagging-Item]]</f>
        <v>C3S3-/-</v>
      </c>
      <c r="AU596" s="136" t="str">
        <f>tbl_IO_List[[#This Row],[Terminal Tagging-Item]]&amp;"/"&amp;tbl_IO_List[[#This Row],[Front Terminal Tagging]]</f>
        <v>-/C3S3-</v>
      </c>
    </row>
    <row r="597" spans="1:47" hidden="1">
      <c r="A597" s="147" t="s">
        <v>1365</v>
      </c>
      <c r="B597" s="136" t="s">
        <v>360</v>
      </c>
      <c r="C597" s="136" t="str">
        <f>tbl_IO_List[[#This Row],[Column3]]</f>
        <v>C3S03,13</v>
      </c>
      <c r="D597" s="136" t="str">
        <f>tbl_IO_List[[#This Row],[Card]]</f>
        <v>1756-OB32-13</v>
      </c>
      <c r="E597" s="136" t="s">
        <v>1366</v>
      </c>
      <c r="F597" s="136" t="str">
        <f>tbl_IO_List[[#This Row],[Column23]]&amp;"-" &amp;tbl_IO_List[[#This Row],[Column52]]</f>
        <v>C3S03-X1</v>
      </c>
      <c r="G597" s="136" t="str">
        <f>tbl_IO_List[[#This Row],[PLC_Tag]]</f>
        <v>Spare_DO_0</v>
      </c>
      <c r="H597" s="136"/>
      <c r="I597" s="136" t="str">
        <f>VLOOKUP(tbl_IO_List[[#This Row],[Destination]],tbl_Junction[],2,FALSE)</f>
        <v>Packing Tower 8th Floor</v>
      </c>
      <c r="J597" s="136"/>
      <c r="K597" s="136"/>
      <c r="L597" s="136" t="s">
        <v>411</v>
      </c>
      <c r="M597" s="136" t="e">
        <f>VLOOKUP(tbl_IO_List[[#This Row],[Instruement Tag]],tbl_Instruement_List[],2,FALSE)</f>
        <v>#N/A</v>
      </c>
      <c r="N597" s="136"/>
      <c r="O597" s="136"/>
      <c r="P597" s="136"/>
      <c r="Q597" s="136" t="e">
        <f>VLOOKUP(tbl_IO_List[[#This Row],[Instruement Tag]],tbl_Instruement_List[],6,FALSE)</f>
        <v>#N/A</v>
      </c>
      <c r="R597" s="136"/>
      <c r="S59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597" s="136" t="str">
        <f>tbl_IO_List[[#This Row],[Instruement Tag]]&amp;"_"&amp;tbl_IO_List[[#This Row],[I/O Type]]&amp;"_"&amp;tbl_IO_List[[#This Row],[IO-Point 
(Instruement)]]</f>
        <v>Spare_DO_0</v>
      </c>
      <c r="U597" s="136" t="s">
        <v>7</v>
      </c>
      <c r="V597" s="136">
        <f>VLOOKUP(tbl_IO_List[[#This Row],[I/O Type]],tbl_Slot_Group[],2,FALSE)</f>
        <v>2</v>
      </c>
      <c r="W597" s="136">
        <v>0</v>
      </c>
      <c r="X597" s="136" t="str">
        <f>tbl_IO_List[[#This Row],[Chassis]]&amp;"S"&amp;TEXT(tbl_IO_List[[#This Row],[Slot]],"00")</f>
        <v>C3S03</v>
      </c>
      <c r="Y597" s="136" t="str">
        <f>tbl_IO_List[[#This Row],[Chassis]]&amp;"S"&amp;TEXT(tbl_IO_List[[#This Row],[Slot]],"00")&amp;tbl_IO_List[[#This Row],[I/O Type]]&amp;TEXT(tbl_IO_List[[#This Row],[Point]],"00")</f>
        <v>C3S03DO13</v>
      </c>
      <c r="Z597" s="136" t="str">
        <f>tbl_IO_List[[#This Row],[Chassis]]&amp;"S"&amp;TEXT(tbl_IO_List[[#This Row],[Slot]],"00")&amp;","&amp;TEXT(tbl_IO_List[[#This Row],[Point]],"00")</f>
        <v>C3S03,13</v>
      </c>
      <c r="AA597" s="136" t="str">
        <f>VLOOKUP(tbl_IO_List[[#This Row],[Column23]],tbl_RackConfig[],5,FALSE) &amp;"-"&amp;tbl_IO_List[[#This Row],[Point]]</f>
        <v>1756-OB32-13</v>
      </c>
      <c r="AB597" s="136"/>
      <c r="AC597" s="136"/>
      <c r="AD597" s="136" t="str">
        <f>tbl_IO_List[[#This Row],[I/O Type]]</f>
        <v>DO</v>
      </c>
      <c r="AE597" s="136" t="s">
        <v>1334</v>
      </c>
      <c r="AF597" s="136">
        <v>3</v>
      </c>
      <c r="AG597" s="136">
        <v>13</v>
      </c>
      <c r="AH597" s="136"/>
      <c r="AI597" s="136"/>
      <c r="AJ597" s="136">
        <v>0</v>
      </c>
      <c r="AK597" s="136">
        <v>1</v>
      </c>
      <c r="AL597" s="136">
        <v>0</v>
      </c>
      <c r="AM597" s="136">
        <v>0</v>
      </c>
      <c r="AN597" s="136">
        <v>0</v>
      </c>
      <c r="AO597" s="136"/>
      <c r="AP597" s="143" t="e">
        <f>VLOOKUP(tbl_IO_List[[#This Row],[Instruement Tag]],tbl_Instruement_List[],14,FALSE)</f>
        <v>#N/A</v>
      </c>
      <c r="AQ597" s="143" t="str">
        <f>tbl_IO_List[[#This Row],[Chassis]]&amp;"S"&amp;tbl_IO_List[[#This Row],[Slot]]&amp;"-"&amp;tbl_IO_List[[#This Row],[Front Terminal Number]]</f>
        <v>C3S3-</v>
      </c>
      <c r="AR597" s="143"/>
      <c r="AS597" s="136" t="str">
        <f>tbl_IO_List[[#This Row],[Terminal Tagging]]&amp;"-"&amp;tbl_IO_List[[#This Row],[Point-Count]]</f>
        <v>-</v>
      </c>
      <c r="AT597" s="136" t="str">
        <f>tbl_IO_List[[#This Row],[Front Terminal Tagging]]&amp;"/"&amp;tbl_IO_List[[#This Row],[Terminal Tagging-Item]]</f>
        <v>C3S3-/-</v>
      </c>
      <c r="AU597" s="136" t="str">
        <f>tbl_IO_List[[#This Row],[Terminal Tagging-Item]]&amp;"/"&amp;tbl_IO_List[[#This Row],[Front Terminal Tagging]]</f>
        <v>-/C3S3-</v>
      </c>
    </row>
    <row r="598" spans="1:47" hidden="1">
      <c r="A598" s="147" t="s">
        <v>1365</v>
      </c>
      <c r="B598" s="136" t="s">
        <v>360</v>
      </c>
      <c r="C598" s="136" t="str">
        <f>tbl_IO_List[[#This Row],[Column3]]</f>
        <v>C3S03,14</v>
      </c>
      <c r="D598" s="136" t="str">
        <f>tbl_IO_List[[#This Row],[Card]]</f>
        <v>1756-OB32-14</v>
      </c>
      <c r="E598" s="136" t="s">
        <v>1366</v>
      </c>
      <c r="F598" s="136" t="str">
        <f>tbl_IO_List[[#This Row],[Column23]]&amp;"-" &amp;tbl_IO_List[[#This Row],[Column52]]</f>
        <v>C3S03-X1</v>
      </c>
      <c r="G598" s="136" t="str">
        <f>tbl_IO_List[[#This Row],[PLC_Tag]]</f>
        <v>Spare_DO_0</v>
      </c>
      <c r="H598" s="136"/>
      <c r="I598" s="136" t="str">
        <f>VLOOKUP(tbl_IO_List[[#This Row],[Destination]],tbl_Junction[],2,FALSE)</f>
        <v>Packing Tower 8th Floor</v>
      </c>
      <c r="J598" s="136"/>
      <c r="K598" s="136"/>
      <c r="L598" s="136" t="s">
        <v>411</v>
      </c>
      <c r="M598" s="136" t="e">
        <f>VLOOKUP(tbl_IO_List[[#This Row],[Instruement Tag]],tbl_Instruement_List[],2,FALSE)</f>
        <v>#N/A</v>
      </c>
      <c r="N598" s="136"/>
      <c r="O598" s="136"/>
      <c r="P598" s="136"/>
      <c r="Q598" s="136" t="e">
        <f>VLOOKUP(tbl_IO_List[[#This Row],[Instruement Tag]],tbl_Instruement_List[],6,FALSE)</f>
        <v>#N/A</v>
      </c>
      <c r="R598" s="136"/>
      <c r="S59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598" s="136" t="str">
        <f>tbl_IO_List[[#This Row],[Instruement Tag]]&amp;"_"&amp;tbl_IO_List[[#This Row],[I/O Type]]&amp;"_"&amp;tbl_IO_List[[#This Row],[IO-Point 
(Instruement)]]</f>
        <v>Spare_DO_0</v>
      </c>
      <c r="U598" s="136" t="s">
        <v>7</v>
      </c>
      <c r="V598" s="136">
        <f>VLOOKUP(tbl_IO_List[[#This Row],[I/O Type]],tbl_Slot_Group[],2,FALSE)</f>
        <v>2</v>
      </c>
      <c r="W598" s="136">
        <v>0</v>
      </c>
      <c r="X598" s="136" t="str">
        <f>tbl_IO_List[[#This Row],[Chassis]]&amp;"S"&amp;TEXT(tbl_IO_List[[#This Row],[Slot]],"00")</f>
        <v>C3S03</v>
      </c>
      <c r="Y598" s="136" t="str">
        <f>tbl_IO_List[[#This Row],[Chassis]]&amp;"S"&amp;TEXT(tbl_IO_List[[#This Row],[Slot]],"00")&amp;tbl_IO_List[[#This Row],[I/O Type]]&amp;TEXT(tbl_IO_List[[#This Row],[Point]],"00")</f>
        <v>C3S03DO14</v>
      </c>
      <c r="Z598" s="136" t="str">
        <f>tbl_IO_List[[#This Row],[Chassis]]&amp;"S"&amp;TEXT(tbl_IO_List[[#This Row],[Slot]],"00")&amp;","&amp;TEXT(tbl_IO_List[[#This Row],[Point]],"00")</f>
        <v>C3S03,14</v>
      </c>
      <c r="AA598" s="136" t="str">
        <f>VLOOKUP(tbl_IO_List[[#This Row],[Column23]],tbl_RackConfig[],5,FALSE) &amp;"-"&amp;tbl_IO_List[[#This Row],[Point]]</f>
        <v>1756-OB32-14</v>
      </c>
      <c r="AB598" s="136"/>
      <c r="AC598" s="136"/>
      <c r="AD598" s="136" t="str">
        <f>tbl_IO_List[[#This Row],[I/O Type]]</f>
        <v>DO</v>
      </c>
      <c r="AE598" s="136" t="s">
        <v>1334</v>
      </c>
      <c r="AF598" s="136">
        <v>3</v>
      </c>
      <c r="AG598" s="136">
        <v>14</v>
      </c>
      <c r="AH598" s="136"/>
      <c r="AI598" s="136"/>
      <c r="AJ598" s="136">
        <v>0</v>
      </c>
      <c r="AK598" s="136">
        <v>1</v>
      </c>
      <c r="AL598" s="136">
        <v>0</v>
      </c>
      <c r="AM598" s="136">
        <v>0</v>
      </c>
      <c r="AN598" s="136">
        <v>0</v>
      </c>
      <c r="AO598" s="136"/>
      <c r="AP598" s="143" t="e">
        <f>VLOOKUP(tbl_IO_List[[#This Row],[Instruement Tag]],tbl_Instruement_List[],14,FALSE)</f>
        <v>#N/A</v>
      </c>
      <c r="AQ598" s="143" t="str">
        <f>tbl_IO_List[[#This Row],[Chassis]]&amp;"S"&amp;tbl_IO_List[[#This Row],[Slot]]&amp;"-"&amp;tbl_IO_List[[#This Row],[Front Terminal Number]]</f>
        <v>C3S3-</v>
      </c>
      <c r="AR598" s="143"/>
      <c r="AS598" s="136" t="str">
        <f>tbl_IO_List[[#This Row],[Terminal Tagging]]&amp;"-"&amp;tbl_IO_List[[#This Row],[Point-Count]]</f>
        <v>-</v>
      </c>
      <c r="AT598" s="136" t="str">
        <f>tbl_IO_List[[#This Row],[Front Terminal Tagging]]&amp;"/"&amp;tbl_IO_List[[#This Row],[Terminal Tagging-Item]]</f>
        <v>C3S3-/-</v>
      </c>
      <c r="AU598" s="136" t="str">
        <f>tbl_IO_List[[#This Row],[Terminal Tagging-Item]]&amp;"/"&amp;tbl_IO_List[[#This Row],[Front Terminal Tagging]]</f>
        <v>-/C3S3-</v>
      </c>
    </row>
    <row r="599" spans="1:47" hidden="1">
      <c r="A599" s="147" t="s">
        <v>1365</v>
      </c>
      <c r="B599" s="136" t="s">
        <v>360</v>
      </c>
      <c r="C599" s="136" t="str">
        <f>tbl_IO_List[[#This Row],[Column3]]</f>
        <v>C3S03,15</v>
      </c>
      <c r="D599" s="136" t="str">
        <f>tbl_IO_List[[#This Row],[Card]]</f>
        <v>1756-OB32-15</v>
      </c>
      <c r="E599" s="136" t="s">
        <v>1366</v>
      </c>
      <c r="F599" s="136" t="str">
        <f>tbl_IO_List[[#This Row],[Column23]]&amp;"-" &amp;tbl_IO_List[[#This Row],[Column52]]</f>
        <v>C3S03-X1</v>
      </c>
      <c r="G599" s="136" t="str">
        <f>tbl_IO_List[[#This Row],[PLC_Tag]]</f>
        <v>Spare_DO_0</v>
      </c>
      <c r="H599" s="136"/>
      <c r="I599" s="136" t="str">
        <f>VLOOKUP(tbl_IO_List[[#This Row],[Destination]],tbl_Junction[],2,FALSE)</f>
        <v>Packing Tower 8th Floor</v>
      </c>
      <c r="J599" s="136"/>
      <c r="K599" s="136"/>
      <c r="L599" s="136" t="s">
        <v>411</v>
      </c>
      <c r="M599" s="136" t="e">
        <f>VLOOKUP(tbl_IO_List[[#This Row],[Instruement Tag]],tbl_Instruement_List[],2,FALSE)</f>
        <v>#N/A</v>
      </c>
      <c r="N599" s="136"/>
      <c r="O599" s="136"/>
      <c r="P599" s="136"/>
      <c r="Q599" s="136" t="e">
        <f>VLOOKUP(tbl_IO_List[[#This Row],[Instruement Tag]],tbl_Instruement_List[],6,FALSE)</f>
        <v>#N/A</v>
      </c>
      <c r="R599" s="136"/>
      <c r="S59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599" s="136" t="str">
        <f>tbl_IO_List[[#This Row],[Instruement Tag]]&amp;"_"&amp;tbl_IO_List[[#This Row],[I/O Type]]&amp;"_"&amp;tbl_IO_List[[#This Row],[IO-Point 
(Instruement)]]</f>
        <v>Spare_DO_0</v>
      </c>
      <c r="U599" s="136" t="s">
        <v>7</v>
      </c>
      <c r="V599" s="136">
        <f>VLOOKUP(tbl_IO_List[[#This Row],[I/O Type]],tbl_Slot_Group[],2,FALSE)</f>
        <v>2</v>
      </c>
      <c r="W599" s="136">
        <v>0</v>
      </c>
      <c r="X599" s="136" t="str">
        <f>tbl_IO_List[[#This Row],[Chassis]]&amp;"S"&amp;TEXT(tbl_IO_List[[#This Row],[Slot]],"00")</f>
        <v>C3S03</v>
      </c>
      <c r="Y599" s="136" t="str">
        <f>tbl_IO_List[[#This Row],[Chassis]]&amp;"S"&amp;TEXT(tbl_IO_List[[#This Row],[Slot]],"00")&amp;tbl_IO_List[[#This Row],[I/O Type]]&amp;TEXT(tbl_IO_List[[#This Row],[Point]],"00")</f>
        <v>C3S03DO15</v>
      </c>
      <c r="Z599" s="136" t="str">
        <f>tbl_IO_List[[#This Row],[Chassis]]&amp;"S"&amp;TEXT(tbl_IO_List[[#This Row],[Slot]],"00")&amp;","&amp;TEXT(tbl_IO_List[[#This Row],[Point]],"00")</f>
        <v>C3S03,15</v>
      </c>
      <c r="AA599" s="136" t="str">
        <f>VLOOKUP(tbl_IO_List[[#This Row],[Column23]],tbl_RackConfig[],5,FALSE) &amp;"-"&amp;tbl_IO_List[[#This Row],[Point]]</f>
        <v>1756-OB32-15</v>
      </c>
      <c r="AB599" s="136"/>
      <c r="AC599" s="136"/>
      <c r="AD599" s="136" t="str">
        <f>tbl_IO_List[[#This Row],[I/O Type]]</f>
        <v>DO</v>
      </c>
      <c r="AE599" s="136" t="s">
        <v>1334</v>
      </c>
      <c r="AF599" s="136">
        <v>3</v>
      </c>
      <c r="AG599" s="136">
        <v>15</v>
      </c>
      <c r="AH599" s="136"/>
      <c r="AI599" s="136"/>
      <c r="AJ599" s="136">
        <v>0</v>
      </c>
      <c r="AK599" s="136">
        <v>1</v>
      </c>
      <c r="AL599" s="136">
        <v>0</v>
      </c>
      <c r="AM599" s="136">
        <v>0</v>
      </c>
      <c r="AN599" s="136">
        <v>0</v>
      </c>
      <c r="AO599" s="136"/>
      <c r="AP599" s="143" t="e">
        <f>VLOOKUP(tbl_IO_List[[#This Row],[Instruement Tag]],tbl_Instruement_List[],14,FALSE)</f>
        <v>#N/A</v>
      </c>
      <c r="AQ599" s="143" t="str">
        <f>tbl_IO_List[[#This Row],[Chassis]]&amp;"S"&amp;tbl_IO_List[[#This Row],[Slot]]&amp;"-"&amp;tbl_IO_List[[#This Row],[Front Terminal Number]]</f>
        <v>C3S3-</v>
      </c>
      <c r="AR599" s="143"/>
      <c r="AS599" s="136" t="str">
        <f>tbl_IO_List[[#This Row],[Terminal Tagging]]&amp;"-"&amp;tbl_IO_List[[#This Row],[Point-Count]]</f>
        <v>-</v>
      </c>
      <c r="AT599" s="136" t="str">
        <f>tbl_IO_List[[#This Row],[Front Terminal Tagging]]&amp;"/"&amp;tbl_IO_List[[#This Row],[Terminal Tagging-Item]]</f>
        <v>C3S3-/-</v>
      </c>
      <c r="AU599" s="136" t="str">
        <f>tbl_IO_List[[#This Row],[Terminal Tagging-Item]]&amp;"/"&amp;tbl_IO_List[[#This Row],[Front Terminal Tagging]]</f>
        <v>-/C3S3-</v>
      </c>
    </row>
    <row r="600" spans="1:47" hidden="1">
      <c r="A600" s="147" t="s">
        <v>1365</v>
      </c>
      <c r="B600" s="136" t="s">
        <v>360</v>
      </c>
      <c r="C600" s="136" t="str">
        <f>tbl_IO_List[[#This Row],[Column3]]</f>
        <v>C3S03,16</v>
      </c>
      <c r="D600" s="136" t="str">
        <f>tbl_IO_List[[#This Row],[Card]]</f>
        <v>1756-OB32-16</v>
      </c>
      <c r="E600" s="136" t="s">
        <v>1372</v>
      </c>
      <c r="F600" s="136" t="str">
        <f>tbl_IO_List[[#This Row],[Column23]]&amp;"-" &amp;tbl_IO_List[[#This Row],[Column52]]</f>
        <v>C3S03-X2</v>
      </c>
      <c r="G600" s="136" t="str">
        <f>tbl_IO_List[[#This Row],[PLC_Tag]]</f>
        <v>Spare_DO_0</v>
      </c>
      <c r="H600" s="136"/>
      <c r="I600" s="136" t="str">
        <f>VLOOKUP(tbl_IO_List[[#This Row],[Destination]],tbl_Junction[],2,FALSE)</f>
        <v>Packing Tower 8th Floor</v>
      </c>
      <c r="J600" s="136"/>
      <c r="K600" s="136"/>
      <c r="L600" s="136" t="s">
        <v>411</v>
      </c>
      <c r="M600" s="136" t="e">
        <f>VLOOKUP(tbl_IO_List[[#This Row],[Instruement Tag]],tbl_Instruement_List[],2,FALSE)</f>
        <v>#N/A</v>
      </c>
      <c r="N600" s="136"/>
      <c r="O600" s="136"/>
      <c r="P600" s="136"/>
      <c r="Q600" s="136" t="e">
        <f>VLOOKUP(tbl_IO_List[[#This Row],[Instruement Tag]],tbl_Instruement_List[],6,FALSE)</f>
        <v>#N/A</v>
      </c>
      <c r="R600" s="136"/>
      <c r="S60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600" s="136" t="str">
        <f>tbl_IO_List[[#This Row],[Instruement Tag]]&amp;"_"&amp;tbl_IO_List[[#This Row],[I/O Type]]&amp;"_"&amp;tbl_IO_List[[#This Row],[IO-Point 
(Instruement)]]</f>
        <v>Spare_DO_0</v>
      </c>
      <c r="U600" s="136" t="s">
        <v>7</v>
      </c>
      <c r="V600" s="136">
        <f>VLOOKUP(tbl_IO_List[[#This Row],[I/O Type]],tbl_Slot_Group[],2,FALSE)</f>
        <v>2</v>
      </c>
      <c r="W600" s="136">
        <v>0</v>
      </c>
      <c r="X600" s="136" t="str">
        <f>tbl_IO_List[[#This Row],[Chassis]]&amp;"S"&amp;TEXT(tbl_IO_List[[#This Row],[Slot]],"00")</f>
        <v>C3S03</v>
      </c>
      <c r="Y600" s="136" t="str">
        <f>tbl_IO_List[[#This Row],[Chassis]]&amp;"S"&amp;TEXT(tbl_IO_List[[#This Row],[Slot]],"00")&amp;tbl_IO_List[[#This Row],[I/O Type]]&amp;TEXT(tbl_IO_List[[#This Row],[Point]],"00")</f>
        <v>C3S03DO16</v>
      </c>
      <c r="Z600" s="136" t="str">
        <f>tbl_IO_List[[#This Row],[Chassis]]&amp;"S"&amp;TEXT(tbl_IO_List[[#This Row],[Slot]],"00")&amp;","&amp;TEXT(tbl_IO_List[[#This Row],[Point]],"00")</f>
        <v>C3S03,16</v>
      </c>
      <c r="AA600" s="136" t="str">
        <f>VLOOKUP(tbl_IO_List[[#This Row],[Column23]],tbl_RackConfig[],5,FALSE) &amp;"-"&amp;tbl_IO_List[[#This Row],[Point]]</f>
        <v>1756-OB32-16</v>
      </c>
      <c r="AB600" s="136"/>
      <c r="AC600" s="136"/>
      <c r="AD600" s="136" t="str">
        <f>tbl_IO_List[[#This Row],[I/O Type]]</f>
        <v>DO</v>
      </c>
      <c r="AE600" s="136" t="s">
        <v>1334</v>
      </c>
      <c r="AF600" s="136">
        <v>3</v>
      </c>
      <c r="AG600" s="136">
        <v>16</v>
      </c>
      <c r="AH600" s="136"/>
      <c r="AI600" s="136"/>
      <c r="AJ600" s="136">
        <v>0</v>
      </c>
      <c r="AK600" s="136">
        <v>1</v>
      </c>
      <c r="AL600" s="136">
        <v>0</v>
      </c>
      <c r="AM600" s="136">
        <v>0</v>
      </c>
      <c r="AN600" s="136">
        <v>0</v>
      </c>
      <c r="AO600" s="136"/>
      <c r="AP600" s="143" t="e">
        <f>VLOOKUP(tbl_IO_List[[#This Row],[Instruement Tag]],tbl_Instruement_List[],14,FALSE)</f>
        <v>#N/A</v>
      </c>
      <c r="AQ600" s="143" t="str">
        <f>tbl_IO_List[[#This Row],[Chassis]]&amp;"S"&amp;tbl_IO_List[[#This Row],[Slot]]&amp;"-"&amp;tbl_IO_List[[#This Row],[Front Terminal Number]]</f>
        <v>C3S3-</v>
      </c>
      <c r="AR600" s="143"/>
      <c r="AS600" s="136" t="str">
        <f>tbl_IO_List[[#This Row],[Terminal Tagging]]&amp;"-"&amp;tbl_IO_List[[#This Row],[Point-Count]]</f>
        <v>-</v>
      </c>
      <c r="AT600" s="136" t="str">
        <f>tbl_IO_List[[#This Row],[Front Terminal Tagging]]&amp;"/"&amp;tbl_IO_List[[#This Row],[Terminal Tagging-Item]]</f>
        <v>C3S3-/-</v>
      </c>
      <c r="AU600" s="136" t="str">
        <f>tbl_IO_List[[#This Row],[Terminal Tagging-Item]]&amp;"/"&amp;tbl_IO_List[[#This Row],[Front Terminal Tagging]]</f>
        <v>-/C3S3-</v>
      </c>
    </row>
    <row r="601" spans="1:47" hidden="1">
      <c r="A601" s="147" t="s">
        <v>1365</v>
      </c>
      <c r="B601" s="136" t="s">
        <v>360</v>
      </c>
      <c r="C601" s="136" t="str">
        <f>tbl_IO_List[[#This Row],[Column3]]</f>
        <v>C3S03,17</v>
      </c>
      <c r="D601" s="136" t="str">
        <f>tbl_IO_List[[#This Row],[Card]]</f>
        <v>1756-OB32-17</v>
      </c>
      <c r="E601" s="136" t="s">
        <v>1372</v>
      </c>
      <c r="F601" s="136" t="str">
        <f>tbl_IO_List[[#This Row],[Column23]]&amp;"-" &amp;tbl_IO_List[[#This Row],[Column52]]</f>
        <v>C3S03-X2</v>
      </c>
      <c r="G601" s="136" t="str">
        <f>tbl_IO_List[[#This Row],[PLC_Tag]]</f>
        <v>Spare_DO_0</v>
      </c>
      <c r="H601" s="136"/>
      <c r="I601" s="136" t="str">
        <f>VLOOKUP(tbl_IO_List[[#This Row],[Destination]],tbl_Junction[],2,FALSE)</f>
        <v>Packing Tower 8th Floor</v>
      </c>
      <c r="J601" s="136"/>
      <c r="K601" s="136"/>
      <c r="L601" s="136" t="s">
        <v>411</v>
      </c>
      <c r="M601" s="136" t="e">
        <f>VLOOKUP(tbl_IO_List[[#This Row],[Instruement Tag]],tbl_Instruement_List[],2,FALSE)</f>
        <v>#N/A</v>
      </c>
      <c r="N601" s="136"/>
      <c r="O601" s="136"/>
      <c r="P601" s="136"/>
      <c r="Q601" s="136" t="e">
        <f>VLOOKUP(tbl_IO_List[[#This Row],[Instruement Tag]],tbl_Instruement_List[],6,FALSE)</f>
        <v>#N/A</v>
      </c>
      <c r="R601" s="136"/>
      <c r="S60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601" s="136" t="str">
        <f>tbl_IO_List[[#This Row],[Instruement Tag]]&amp;"_"&amp;tbl_IO_List[[#This Row],[I/O Type]]&amp;"_"&amp;tbl_IO_List[[#This Row],[IO-Point 
(Instruement)]]</f>
        <v>Spare_DO_0</v>
      </c>
      <c r="U601" s="136" t="s">
        <v>7</v>
      </c>
      <c r="V601" s="136">
        <f>VLOOKUP(tbl_IO_List[[#This Row],[I/O Type]],tbl_Slot_Group[],2,FALSE)</f>
        <v>2</v>
      </c>
      <c r="W601" s="136">
        <v>0</v>
      </c>
      <c r="X601" s="136" t="str">
        <f>tbl_IO_List[[#This Row],[Chassis]]&amp;"S"&amp;TEXT(tbl_IO_List[[#This Row],[Slot]],"00")</f>
        <v>C3S03</v>
      </c>
      <c r="Y601" s="136" t="str">
        <f>tbl_IO_List[[#This Row],[Chassis]]&amp;"S"&amp;TEXT(tbl_IO_List[[#This Row],[Slot]],"00")&amp;tbl_IO_List[[#This Row],[I/O Type]]&amp;TEXT(tbl_IO_List[[#This Row],[Point]],"00")</f>
        <v>C3S03DO17</v>
      </c>
      <c r="Z601" s="136" t="str">
        <f>tbl_IO_List[[#This Row],[Chassis]]&amp;"S"&amp;TEXT(tbl_IO_List[[#This Row],[Slot]],"00")&amp;","&amp;TEXT(tbl_IO_List[[#This Row],[Point]],"00")</f>
        <v>C3S03,17</v>
      </c>
      <c r="AA601" s="136" t="str">
        <f>VLOOKUP(tbl_IO_List[[#This Row],[Column23]],tbl_RackConfig[],5,FALSE) &amp;"-"&amp;tbl_IO_List[[#This Row],[Point]]</f>
        <v>1756-OB32-17</v>
      </c>
      <c r="AB601" s="136"/>
      <c r="AC601" s="136"/>
      <c r="AD601" s="136" t="str">
        <f>tbl_IO_List[[#This Row],[I/O Type]]</f>
        <v>DO</v>
      </c>
      <c r="AE601" s="136" t="s">
        <v>1334</v>
      </c>
      <c r="AF601" s="136">
        <v>3</v>
      </c>
      <c r="AG601" s="136">
        <v>17</v>
      </c>
      <c r="AH601" s="136"/>
      <c r="AI601" s="136"/>
      <c r="AJ601" s="136">
        <v>0</v>
      </c>
      <c r="AK601" s="136">
        <v>1</v>
      </c>
      <c r="AL601" s="136">
        <v>0</v>
      </c>
      <c r="AM601" s="136">
        <v>0</v>
      </c>
      <c r="AN601" s="136">
        <v>0</v>
      </c>
      <c r="AO601" s="136"/>
      <c r="AP601" s="143" t="e">
        <f>VLOOKUP(tbl_IO_List[[#This Row],[Instruement Tag]],tbl_Instruement_List[],14,FALSE)</f>
        <v>#N/A</v>
      </c>
      <c r="AQ601" s="143" t="str">
        <f>tbl_IO_List[[#This Row],[Chassis]]&amp;"S"&amp;tbl_IO_List[[#This Row],[Slot]]&amp;"-"&amp;tbl_IO_List[[#This Row],[Front Terminal Number]]</f>
        <v>C3S3-</v>
      </c>
      <c r="AR601" s="143"/>
      <c r="AS601" s="136" t="str">
        <f>tbl_IO_List[[#This Row],[Terminal Tagging]]&amp;"-"&amp;tbl_IO_List[[#This Row],[Point-Count]]</f>
        <v>-</v>
      </c>
      <c r="AT601" s="136" t="str">
        <f>tbl_IO_List[[#This Row],[Front Terminal Tagging]]&amp;"/"&amp;tbl_IO_List[[#This Row],[Terminal Tagging-Item]]</f>
        <v>C3S3-/-</v>
      </c>
      <c r="AU601" s="136" t="str">
        <f>tbl_IO_List[[#This Row],[Terminal Tagging-Item]]&amp;"/"&amp;tbl_IO_List[[#This Row],[Front Terminal Tagging]]</f>
        <v>-/C3S3-</v>
      </c>
    </row>
    <row r="602" spans="1:47" hidden="1">
      <c r="A602" s="147" t="s">
        <v>1365</v>
      </c>
      <c r="B602" s="136" t="s">
        <v>360</v>
      </c>
      <c r="C602" s="136" t="str">
        <f>tbl_IO_List[[#This Row],[Column3]]</f>
        <v>C3S03,18</v>
      </c>
      <c r="D602" s="136" t="str">
        <f>tbl_IO_List[[#This Row],[Card]]</f>
        <v>1756-OB32-18</v>
      </c>
      <c r="E602" s="136" t="s">
        <v>1372</v>
      </c>
      <c r="F602" s="136" t="str">
        <f>tbl_IO_List[[#This Row],[Column23]]&amp;"-" &amp;tbl_IO_List[[#This Row],[Column52]]</f>
        <v>C3S03-X2</v>
      </c>
      <c r="G602" s="136" t="str">
        <f>tbl_IO_List[[#This Row],[PLC_Tag]]</f>
        <v>Spare_DO_0</v>
      </c>
      <c r="H602" s="136"/>
      <c r="I602" s="136" t="str">
        <f>VLOOKUP(tbl_IO_List[[#This Row],[Destination]],tbl_Junction[],2,FALSE)</f>
        <v>Packing Tower 8th Floor</v>
      </c>
      <c r="J602" s="136"/>
      <c r="K602" s="136"/>
      <c r="L602" s="136" t="s">
        <v>411</v>
      </c>
      <c r="M602" s="136" t="e">
        <f>VLOOKUP(tbl_IO_List[[#This Row],[Instruement Tag]],tbl_Instruement_List[],2,FALSE)</f>
        <v>#N/A</v>
      </c>
      <c r="N602" s="136"/>
      <c r="O602" s="136"/>
      <c r="P602" s="136"/>
      <c r="Q602" s="136" t="e">
        <f>VLOOKUP(tbl_IO_List[[#This Row],[Instruement Tag]],tbl_Instruement_List[],6,FALSE)</f>
        <v>#N/A</v>
      </c>
      <c r="R602" s="136"/>
      <c r="S60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602" s="136" t="str">
        <f>tbl_IO_List[[#This Row],[Instruement Tag]]&amp;"_"&amp;tbl_IO_List[[#This Row],[I/O Type]]&amp;"_"&amp;tbl_IO_List[[#This Row],[IO-Point 
(Instruement)]]</f>
        <v>Spare_DO_0</v>
      </c>
      <c r="U602" s="136" t="s">
        <v>7</v>
      </c>
      <c r="V602" s="136">
        <f>VLOOKUP(tbl_IO_List[[#This Row],[I/O Type]],tbl_Slot_Group[],2,FALSE)</f>
        <v>2</v>
      </c>
      <c r="W602" s="136">
        <v>0</v>
      </c>
      <c r="X602" s="136" t="str">
        <f>tbl_IO_List[[#This Row],[Chassis]]&amp;"S"&amp;TEXT(tbl_IO_List[[#This Row],[Slot]],"00")</f>
        <v>C3S03</v>
      </c>
      <c r="Y602" s="136" t="str">
        <f>tbl_IO_List[[#This Row],[Chassis]]&amp;"S"&amp;TEXT(tbl_IO_List[[#This Row],[Slot]],"00")&amp;tbl_IO_List[[#This Row],[I/O Type]]&amp;TEXT(tbl_IO_List[[#This Row],[Point]],"00")</f>
        <v>C3S03DO18</v>
      </c>
      <c r="Z602" s="136" t="str">
        <f>tbl_IO_List[[#This Row],[Chassis]]&amp;"S"&amp;TEXT(tbl_IO_List[[#This Row],[Slot]],"00")&amp;","&amp;TEXT(tbl_IO_List[[#This Row],[Point]],"00")</f>
        <v>C3S03,18</v>
      </c>
      <c r="AA602" s="136" t="str">
        <f>VLOOKUP(tbl_IO_List[[#This Row],[Column23]],tbl_RackConfig[],5,FALSE) &amp;"-"&amp;tbl_IO_List[[#This Row],[Point]]</f>
        <v>1756-OB32-18</v>
      </c>
      <c r="AB602" s="136"/>
      <c r="AC602" s="136"/>
      <c r="AD602" s="136" t="str">
        <f>tbl_IO_List[[#This Row],[I/O Type]]</f>
        <v>DO</v>
      </c>
      <c r="AE602" s="136" t="s">
        <v>1334</v>
      </c>
      <c r="AF602" s="136">
        <v>3</v>
      </c>
      <c r="AG602" s="136">
        <v>18</v>
      </c>
      <c r="AH602" s="136"/>
      <c r="AI602" s="136"/>
      <c r="AJ602" s="136">
        <v>0</v>
      </c>
      <c r="AK602" s="136">
        <v>1</v>
      </c>
      <c r="AL602" s="136">
        <v>0</v>
      </c>
      <c r="AM602" s="136">
        <v>0</v>
      </c>
      <c r="AN602" s="136">
        <v>0</v>
      </c>
      <c r="AO602" s="136"/>
      <c r="AP602" s="143" t="e">
        <f>VLOOKUP(tbl_IO_List[[#This Row],[Instruement Tag]],tbl_Instruement_List[],14,FALSE)</f>
        <v>#N/A</v>
      </c>
      <c r="AQ602" s="143" t="str">
        <f>tbl_IO_List[[#This Row],[Chassis]]&amp;"S"&amp;tbl_IO_List[[#This Row],[Slot]]&amp;"-"&amp;tbl_IO_List[[#This Row],[Front Terminal Number]]</f>
        <v>C3S3-</v>
      </c>
      <c r="AR602" s="143"/>
      <c r="AS602" s="136" t="str">
        <f>tbl_IO_List[[#This Row],[Terminal Tagging]]&amp;"-"&amp;tbl_IO_List[[#This Row],[Point-Count]]</f>
        <v>-</v>
      </c>
      <c r="AT602" s="136" t="str">
        <f>tbl_IO_List[[#This Row],[Front Terminal Tagging]]&amp;"/"&amp;tbl_IO_List[[#This Row],[Terminal Tagging-Item]]</f>
        <v>C3S3-/-</v>
      </c>
      <c r="AU602" s="136" t="str">
        <f>tbl_IO_List[[#This Row],[Terminal Tagging-Item]]&amp;"/"&amp;tbl_IO_List[[#This Row],[Front Terminal Tagging]]</f>
        <v>-/C3S3-</v>
      </c>
    </row>
    <row r="603" spans="1:47" hidden="1">
      <c r="A603" s="147" t="s">
        <v>1365</v>
      </c>
      <c r="B603" s="136" t="s">
        <v>360</v>
      </c>
      <c r="C603" s="136" t="str">
        <f>tbl_IO_List[[#This Row],[Column3]]</f>
        <v>C3S03,19</v>
      </c>
      <c r="D603" s="136" t="str">
        <f>tbl_IO_List[[#This Row],[Card]]</f>
        <v>1756-OB32-19</v>
      </c>
      <c r="E603" s="136" t="s">
        <v>1372</v>
      </c>
      <c r="F603" s="136" t="str">
        <f>tbl_IO_List[[#This Row],[Column23]]&amp;"-" &amp;tbl_IO_List[[#This Row],[Column52]]</f>
        <v>C3S03-X2</v>
      </c>
      <c r="G603" s="136" t="str">
        <f>tbl_IO_List[[#This Row],[PLC_Tag]]</f>
        <v>Spare_DO_0</v>
      </c>
      <c r="H603" s="136"/>
      <c r="I603" s="136" t="str">
        <f>VLOOKUP(tbl_IO_List[[#This Row],[Destination]],tbl_Junction[],2,FALSE)</f>
        <v>Packing Tower 8th Floor</v>
      </c>
      <c r="J603" s="136"/>
      <c r="K603" s="136"/>
      <c r="L603" s="136" t="s">
        <v>411</v>
      </c>
      <c r="M603" s="136" t="e">
        <f>VLOOKUP(tbl_IO_List[[#This Row],[Instruement Tag]],tbl_Instruement_List[],2,FALSE)</f>
        <v>#N/A</v>
      </c>
      <c r="N603" s="136"/>
      <c r="O603" s="136"/>
      <c r="P603" s="136"/>
      <c r="Q603" s="136" t="e">
        <f>VLOOKUP(tbl_IO_List[[#This Row],[Instruement Tag]],tbl_Instruement_List[],6,FALSE)</f>
        <v>#N/A</v>
      </c>
      <c r="R603" s="136"/>
      <c r="S60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603" s="136" t="str">
        <f>tbl_IO_List[[#This Row],[Instruement Tag]]&amp;"_"&amp;tbl_IO_List[[#This Row],[I/O Type]]&amp;"_"&amp;tbl_IO_List[[#This Row],[IO-Point 
(Instruement)]]</f>
        <v>Spare_DO_0</v>
      </c>
      <c r="U603" s="136" t="s">
        <v>7</v>
      </c>
      <c r="V603" s="136">
        <f>VLOOKUP(tbl_IO_List[[#This Row],[I/O Type]],tbl_Slot_Group[],2,FALSE)</f>
        <v>2</v>
      </c>
      <c r="W603" s="136">
        <v>0</v>
      </c>
      <c r="X603" s="136" t="str">
        <f>tbl_IO_List[[#This Row],[Chassis]]&amp;"S"&amp;TEXT(tbl_IO_List[[#This Row],[Slot]],"00")</f>
        <v>C3S03</v>
      </c>
      <c r="Y603" s="136" t="str">
        <f>tbl_IO_List[[#This Row],[Chassis]]&amp;"S"&amp;TEXT(tbl_IO_List[[#This Row],[Slot]],"00")&amp;tbl_IO_List[[#This Row],[I/O Type]]&amp;TEXT(tbl_IO_List[[#This Row],[Point]],"00")</f>
        <v>C3S03DO19</v>
      </c>
      <c r="Z603" s="136" t="str">
        <f>tbl_IO_List[[#This Row],[Chassis]]&amp;"S"&amp;TEXT(tbl_IO_List[[#This Row],[Slot]],"00")&amp;","&amp;TEXT(tbl_IO_List[[#This Row],[Point]],"00")</f>
        <v>C3S03,19</v>
      </c>
      <c r="AA603" s="136" t="str">
        <f>VLOOKUP(tbl_IO_List[[#This Row],[Column23]],tbl_RackConfig[],5,FALSE) &amp;"-"&amp;tbl_IO_List[[#This Row],[Point]]</f>
        <v>1756-OB32-19</v>
      </c>
      <c r="AB603" s="136"/>
      <c r="AC603" s="136"/>
      <c r="AD603" s="136" t="str">
        <f>tbl_IO_List[[#This Row],[I/O Type]]</f>
        <v>DO</v>
      </c>
      <c r="AE603" s="136" t="s">
        <v>1334</v>
      </c>
      <c r="AF603" s="136">
        <v>3</v>
      </c>
      <c r="AG603" s="136">
        <v>19</v>
      </c>
      <c r="AH603" s="136"/>
      <c r="AI603" s="136"/>
      <c r="AJ603" s="136">
        <v>0</v>
      </c>
      <c r="AK603" s="136">
        <v>1</v>
      </c>
      <c r="AL603" s="136">
        <v>0</v>
      </c>
      <c r="AM603" s="136">
        <v>0</v>
      </c>
      <c r="AN603" s="136">
        <v>0</v>
      </c>
      <c r="AO603" s="136"/>
      <c r="AP603" s="143" t="e">
        <f>VLOOKUP(tbl_IO_List[[#This Row],[Instruement Tag]],tbl_Instruement_List[],14,FALSE)</f>
        <v>#N/A</v>
      </c>
      <c r="AQ603" s="143" t="str">
        <f>tbl_IO_List[[#This Row],[Chassis]]&amp;"S"&amp;tbl_IO_List[[#This Row],[Slot]]&amp;"-"&amp;tbl_IO_List[[#This Row],[Front Terminal Number]]</f>
        <v>C3S3-</v>
      </c>
      <c r="AR603" s="143"/>
      <c r="AS603" s="136" t="str">
        <f>tbl_IO_List[[#This Row],[Terminal Tagging]]&amp;"-"&amp;tbl_IO_List[[#This Row],[Point-Count]]</f>
        <v>-</v>
      </c>
      <c r="AT603" s="136" t="str">
        <f>tbl_IO_List[[#This Row],[Front Terminal Tagging]]&amp;"/"&amp;tbl_IO_List[[#This Row],[Terminal Tagging-Item]]</f>
        <v>C3S3-/-</v>
      </c>
      <c r="AU603" s="136" t="str">
        <f>tbl_IO_List[[#This Row],[Terminal Tagging-Item]]&amp;"/"&amp;tbl_IO_List[[#This Row],[Front Terminal Tagging]]</f>
        <v>-/C3S3-</v>
      </c>
    </row>
    <row r="604" spans="1:47" hidden="1">
      <c r="A604" s="147" t="s">
        <v>1365</v>
      </c>
      <c r="B604" s="136" t="s">
        <v>360</v>
      </c>
      <c r="C604" s="136" t="str">
        <f>tbl_IO_List[[#This Row],[Column3]]</f>
        <v>C3S03,20</v>
      </c>
      <c r="D604" s="136" t="str">
        <f>tbl_IO_List[[#This Row],[Card]]</f>
        <v>1756-OB32-20</v>
      </c>
      <c r="E604" s="136" t="s">
        <v>1372</v>
      </c>
      <c r="F604" s="136" t="str">
        <f>tbl_IO_List[[#This Row],[Column23]]&amp;"-" &amp;tbl_IO_List[[#This Row],[Column52]]</f>
        <v>C3S03-X2</v>
      </c>
      <c r="G604" s="136" t="str">
        <f>tbl_IO_List[[#This Row],[PLC_Tag]]</f>
        <v>Spare_DO_0</v>
      </c>
      <c r="H604" s="136"/>
      <c r="I604" s="136" t="str">
        <f>VLOOKUP(tbl_IO_List[[#This Row],[Destination]],tbl_Junction[],2,FALSE)</f>
        <v>Packing Tower 8th Floor</v>
      </c>
      <c r="J604" s="136"/>
      <c r="K604" s="136"/>
      <c r="L604" s="136" t="s">
        <v>411</v>
      </c>
      <c r="M604" s="136" t="e">
        <f>VLOOKUP(tbl_IO_List[[#This Row],[Instruement Tag]],tbl_Instruement_List[],2,FALSE)</f>
        <v>#N/A</v>
      </c>
      <c r="N604" s="136"/>
      <c r="O604" s="136"/>
      <c r="P604" s="136"/>
      <c r="Q604" s="136" t="e">
        <f>VLOOKUP(tbl_IO_List[[#This Row],[Instruement Tag]],tbl_Instruement_List[],6,FALSE)</f>
        <v>#N/A</v>
      </c>
      <c r="R604" s="136"/>
      <c r="S60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604" s="136" t="str">
        <f>tbl_IO_List[[#This Row],[Instruement Tag]]&amp;"_"&amp;tbl_IO_List[[#This Row],[I/O Type]]&amp;"_"&amp;tbl_IO_List[[#This Row],[IO-Point 
(Instruement)]]</f>
        <v>Spare_DO_0</v>
      </c>
      <c r="U604" s="136" t="s">
        <v>7</v>
      </c>
      <c r="V604" s="136">
        <f>VLOOKUP(tbl_IO_List[[#This Row],[I/O Type]],tbl_Slot_Group[],2,FALSE)</f>
        <v>2</v>
      </c>
      <c r="W604" s="136">
        <v>0</v>
      </c>
      <c r="X604" s="136" t="str">
        <f>tbl_IO_List[[#This Row],[Chassis]]&amp;"S"&amp;TEXT(tbl_IO_List[[#This Row],[Slot]],"00")</f>
        <v>C3S03</v>
      </c>
      <c r="Y604" s="136" t="str">
        <f>tbl_IO_List[[#This Row],[Chassis]]&amp;"S"&amp;TEXT(tbl_IO_List[[#This Row],[Slot]],"00")&amp;tbl_IO_List[[#This Row],[I/O Type]]&amp;TEXT(tbl_IO_List[[#This Row],[Point]],"00")</f>
        <v>C3S03DO20</v>
      </c>
      <c r="Z604" s="136" t="str">
        <f>tbl_IO_List[[#This Row],[Chassis]]&amp;"S"&amp;TEXT(tbl_IO_List[[#This Row],[Slot]],"00")&amp;","&amp;TEXT(tbl_IO_List[[#This Row],[Point]],"00")</f>
        <v>C3S03,20</v>
      </c>
      <c r="AA604" s="136" t="str">
        <f>VLOOKUP(tbl_IO_List[[#This Row],[Column23]],tbl_RackConfig[],5,FALSE) &amp;"-"&amp;tbl_IO_List[[#This Row],[Point]]</f>
        <v>1756-OB32-20</v>
      </c>
      <c r="AB604" s="136"/>
      <c r="AC604" s="136"/>
      <c r="AD604" s="136" t="str">
        <f>tbl_IO_List[[#This Row],[I/O Type]]</f>
        <v>DO</v>
      </c>
      <c r="AE604" s="136" t="s">
        <v>1334</v>
      </c>
      <c r="AF604" s="136">
        <v>3</v>
      </c>
      <c r="AG604" s="136">
        <v>20</v>
      </c>
      <c r="AH604" s="136"/>
      <c r="AI604" s="136"/>
      <c r="AJ604" s="136">
        <v>0</v>
      </c>
      <c r="AK604" s="136">
        <v>1</v>
      </c>
      <c r="AL604" s="136">
        <v>0</v>
      </c>
      <c r="AM604" s="136">
        <v>0</v>
      </c>
      <c r="AN604" s="136">
        <v>0</v>
      </c>
      <c r="AO604" s="136"/>
      <c r="AP604" s="143" t="e">
        <f>VLOOKUP(tbl_IO_List[[#This Row],[Instruement Tag]],tbl_Instruement_List[],14,FALSE)</f>
        <v>#N/A</v>
      </c>
      <c r="AQ604" s="143" t="str">
        <f>tbl_IO_List[[#This Row],[Chassis]]&amp;"S"&amp;tbl_IO_List[[#This Row],[Slot]]&amp;"-"&amp;tbl_IO_List[[#This Row],[Front Terminal Number]]</f>
        <v>C3S3-</v>
      </c>
      <c r="AR604" s="143"/>
      <c r="AS604" s="136" t="str">
        <f>tbl_IO_List[[#This Row],[Terminal Tagging]]&amp;"-"&amp;tbl_IO_List[[#This Row],[Point-Count]]</f>
        <v>-</v>
      </c>
      <c r="AT604" s="136" t="str">
        <f>tbl_IO_List[[#This Row],[Front Terminal Tagging]]&amp;"/"&amp;tbl_IO_List[[#This Row],[Terminal Tagging-Item]]</f>
        <v>C3S3-/-</v>
      </c>
      <c r="AU604" s="136" t="str">
        <f>tbl_IO_List[[#This Row],[Terminal Tagging-Item]]&amp;"/"&amp;tbl_IO_List[[#This Row],[Front Terminal Tagging]]</f>
        <v>-/C3S3-</v>
      </c>
    </row>
    <row r="605" spans="1:47" hidden="1">
      <c r="A605" s="147" t="s">
        <v>1365</v>
      </c>
      <c r="B605" s="136" t="s">
        <v>360</v>
      </c>
      <c r="C605" s="136" t="str">
        <f>tbl_IO_List[[#This Row],[Column3]]</f>
        <v>C3S03,21</v>
      </c>
      <c r="D605" s="136" t="str">
        <f>tbl_IO_List[[#This Row],[Card]]</f>
        <v>1756-OB32-21</v>
      </c>
      <c r="E605" s="136" t="s">
        <v>1372</v>
      </c>
      <c r="F605" s="136" t="str">
        <f>tbl_IO_List[[#This Row],[Column23]]&amp;"-" &amp;tbl_IO_List[[#This Row],[Column52]]</f>
        <v>C3S03-X2</v>
      </c>
      <c r="G605" s="136" t="str">
        <f>tbl_IO_List[[#This Row],[PLC_Tag]]</f>
        <v>Spare_DO_0</v>
      </c>
      <c r="H605" s="136"/>
      <c r="I605" s="136" t="str">
        <f>VLOOKUP(tbl_IO_List[[#This Row],[Destination]],tbl_Junction[],2,FALSE)</f>
        <v>Packing Tower 8th Floor</v>
      </c>
      <c r="J605" s="136"/>
      <c r="K605" s="136"/>
      <c r="L605" s="136" t="s">
        <v>411</v>
      </c>
      <c r="M605" s="136" t="e">
        <f>VLOOKUP(tbl_IO_List[[#This Row],[Instruement Tag]],tbl_Instruement_List[],2,FALSE)</f>
        <v>#N/A</v>
      </c>
      <c r="N605" s="136"/>
      <c r="O605" s="136"/>
      <c r="P605" s="136"/>
      <c r="Q605" s="136" t="e">
        <f>VLOOKUP(tbl_IO_List[[#This Row],[Instruement Tag]],tbl_Instruement_List[],6,FALSE)</f>
        <v>#N/A</v>
      </c>
      <c r="R605" s="136"/>
      <c r="S60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605" s="136" t="str">
        <f>tbl_IO_List[[#This Row],[Instruement Tag]]&amp;"_"&amp;tbl_IO_List[[#This Row],[I/O Type]]&amp;"_"&amp;tbl_IO_List[[#This Row],[IO-Point 
(Instruement)]]</f>
        <v>Spare_DO_0</v>
      </c>
      <c r="U605" s="136" t="s">
        <v>7</v>
      </c>
      <c r="V605" s="136">
        <f>VLOOKUP(tbl_IO_List[[#This Row],[I/O Type]],tbl_Slot_Group[],2,FALSE)</f>
        <v>2</v>
      </c>
      <c r="W605" s="136">
        <v>0</v>
      </c>
      <c r="X605" s="136" t="str">
        <f>tbl_IO_List[[#This Row],[Chassis]]&amp;"S"&amp;TEXT(tbl_IO_List[[#This Row],[Slot]],"00")</f>
        <v>C3S03</v>
      </c>
      <c r="Y605" s="136" t="str">
        <f>tbl_IO_List[[#This Row],[Chassis]]&amp;"S"&amp;TEXT(tbl_IO_List[[#This Row],[Slot]],"00")&amp;tbl_IO_List[[#This Row],[I/O Type]]&amp;TEXT(tbl_IO_List[[#This Row],[Point]],"00")</f>
        <v>C3S03DO21</v>
      </c>
      <c r="Z605" s="136" t="str">
        <f>tbl_IO_List[[#This Row],[Chassis]]&amp;"S"&amp;TEXT(tbl_IO_List[[#This Row],[Slot]],"00")&amp;","&amp;TEXT(tbl_IO_List[[#This Row],[Point]],"00")</f>
        <v>C3S03,21</v>
      </c>
      <c r="AA605" s="136" t="str">
        <f>VLOOKUP(tbl_IO_List[[#This Row],[Column23]],tbl_RackConfig[],5,FALSE) &amp;"-"&amp;tbl_IO_List[[#This Row],[Point]]</f>
        <v>1756-OB32-21</v>
      </c>
      <c r="AB605" s="136"/>
      <c r="AC605" s="136"/>
      <c r="AD605" s="136" t="str">
        <f>tbl_IO_List[[#This Row],[I/O Type]]</f>
        <v>DO</v>
      </c>
      <c r="AE605" s="136" t="s">
        <v>1334</v>
      </c>
      <c r="AF605" s="136">
        <v>3</v>
      </c>
      <c r="AG605" s="136">
        <v>21</v>
      </c>
      <c r="AH605" s="136"/>
      <c r="AI605" s="136"/>
      <c r="AJ605" s="136">
        <v>0</v>
      </c>
      <c r="AK605" s="136">
        <v>1</v>
      </c>
      <c r="AL605" s="136">
        <v>0</v>
      </c>
      <c r="AM605" s="136">
        <v>0</v>
      </c>
      <c r="AN605" s="136">
        <v>0</v>
      </c>
      <c r="AO605" s="136"/>
      <c r="AP605" s="143" t="e">
        <f>VLOOKUP(tbl_IO_List[[#This Row],[Instruement Tag]],tbl_Instruement_List[],14,FALSE)</f>
        <v>#N/A</v>
      </c>
      <c r="AQ605" s="143" t="str">
        <f>tbl_IO_List[[#This Row],[Chassis]]&amp;"S"&amp;tbl_IO_List[[#This Row],[Slot]]&amp;"-"&amp;tbl_IO_List[[#This Row],[Front Terminal Number]]</f>
        <v>C3S3-</v>
      </c>
      <c r="AR605" s="143"/>
      <c r="AS605" s="136" t="str">
        <f>tbl_IO_List[[#This Row],[Terminal Tagging]]&amp;"-"&amp;tbl_IO_List[[#This Row],[Point-Count]]</f>
        <v>-</v>
      </c>
      <c r="AT605" s="136" t="str">
        <f>tbl_IO_List[[#This Row],[Front Terminal Tagging]]&amp;"/"&amp;tbl_IO_List[[#This Row],[Terminal Tagging-Item]]</f>
        <v>C3S3-/-</v>
      </c>
      <c r="AU605" s="136" t="str">
        <f>tbl_IO_List[[#This Row],[Terminal Tagging-Item]]&amp;"/"&amp;tbl_IO_List[[#This Row],[Front Terminal Tagging]]</f>
        <v>-/C3S3-</v>
      </c>
    </row>
    <row r="606" spans="1:47" hidden="1">
      <c r="A606" s="147" t="s">
        <v>1365</v>
      </c>
      <c r="B606" s="136" t="s">
        <v>360</v>
      </c>
      <c r="C606" s="136" t="str">
        <f>tbl_IO_List[[#This Row],[Column3]]</f>
        <v>C3S03,22</v>
      </c>
      <c r="D606" s="136" t="str">
        <f>tbl_IO_List[[#This Row],[Card]]</f>
        <v>1756-OB32-22</v>
      </c>
      <c r="E606" s="136" t="s">
        <v>1372</v>
      </c>
      <c r="F606" s="136" t="str">
        <f>tbl_IO_List[[#This Row],[Column23]]&amp;"-" &amp;tbl_IO_List[[#This Row],[Column52]]</f>
        <v>C3S03-X2</v>
      </c>
      <c r="G606" s="136" t="str">
        <f>tbl_IO_List[[#This Row],[PLC_Tag]]</f>
        <v>Spare_DO_0</v>
      </c>
      <c r="H606" s="136"/>
      <c r="I606" s="136" t="str">
        <f>VLOOKUP(tbl_IO_List[[#This Row],[Destination]],tbl_Junction[],2,FALSE)</f>
        <v>Packing Tower 8th Floor</v>
      </c>
      <c r="J606" s="136"/>
      <c r="K606" s="136"/>
      <c r="L606" s="136" t="s">
        <v>411</v>
      </c>
      <c r="M606" s="136" t="e">
        <f>VLOOKUP(tbl_IO_List[[#This Row],[Instruement Tag]],tbl_Instruement_List[],2,FALSE)</f>
        <v>#N/A</v>
      </c>
      <c r="N606" s="136"/>
      <c r="O606" s="136"/>
      <c r="P606" s="136"/>
      <c r="Q606" s="136" t="e">
        <f>VLOOKUP(tbl_IO_List[[#This Row],[Instruement Tag]],tbl_Instruement_List[],6,FALSE)</f>
        <v>#N/A</v>
      </c>
      <c r="R606" s="136"/>
      <c r="S60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606" s="136" t="str">
        <f>tbl_IO_List[[#This Row],[Instruement Tag]]&amp;"_"&amp;tbl_IO_List[[#This Row],[I/O Type]]&amp;"_"&amp;tbl_IO_List[[#This Row],[IO-Point 
(Instruement)]]</f>
        <v>Spare_DO_0</v>
      </c>
      <c r="U606" s="136" t="s">
        <v>7</v>
      </c>
      <c r="V606" s="136">
        <f>VLOOKUP(tbl_IO_List[[#This Row],[I/O Type]],tbl_Slot_Group[],2,FALSE)</f>
        <v>2</v>
      </c>
      <c r="W606" s="136">
        <v>0</v>
      </c>
      <c r="X606" s="136" t="str">
        <f>tbl_IO_List[[#This Row],[Chassis]]&amp;"S"&amp;TEXT(tbl_IO_List[[#This Row],[Slot]],"00")</f>
        <v>C3S03</v>
      </c>
      <c r="Y606" s="136" t="str">
        <f>tbl_IO_List[[#This Row],[Chassis]]&amp;"S"&amp;TEXT(tbl_IO_List[[#This Row],[Slot]],"00")&amp;tbl_IO_List[[#This Row],[I/O Type]]&amp;TEXT(tbl_IO_List[[#This Row],[Point]],"00")</f>
        <v>C3S03DO22</v>
      </c>
      <c r="Z606" s="136" t="str">
        <f>tbl_IO_List[[#This Row],[Chassis]]&amp;"S"&amp;TEXT(tbl_IO_List[[#This Row],[Slot]],"00")&amp;","&amp;TEXT(tbl_IO_List[[#This Row],[Point]],"00")</f>
        <v>C3S03,22</v>
      </c>
      <c r="AA606" s="136" t="str">
        <f>VLOOKUP(tbl_IO_List[[#This Row],[Column23]],tbl_RackConfig[],5,FALSE) &amp;"-"&amp;tbl_IO_List[[#This Row],[Point]]</f>
        <v>1756-OB32-22</v>
      </c>
      <c r="AB606" s="136"/>
      <c r="AC606" s="136"/>
      <c r="AD606" s="136" t="str">
        <f>tbl_IO_List[[#This Row],[I/O Type]]</f>
        <v>DO</v>
      </c>
      <c r="AE606" s="136" t="s">
        <v>1334</v>
      </c>
      <c r="AF606" s="136">
        <v>3</v>
      </c>
      <c r="AG606" s="136">
        <v>22</v>
      </c>
      <c r="AH606" s="136"/>
      <c r="AI606" s="136"/>
      <c r="AJ606" s="136">
        <v>0</v>
      </c>
      <c r="AK606" s="136">
        <v>1</v>
      </c>
      <c r="AL606" s="136">
        <v>0</v>
      </c>
      <c r="AM606" s="136">
        <v>0</v>
      </c>
      <c r="AN606" s="136">
        <v>0</v>
      </c>
      <c r="AO606" s="136"/>
      <c r="AP606" s="143" t="e">
        <f>VLOOKUP(tbl_IO_List[[#This Row],[Instruement Tag]],tbl_Instruement_List[],14,FALSE)</f>
        <v>#N/A</v>
      </c>
      <c r="AQ606" s="143" t="str">
        <f>tbl_IO_List[[#This Row],[Chassis]]&amp;"S"&amp;tbl_IO_List[[#This Row],[Slot]]&amp;"-"&amp;tbl_IO_List[[#This Row],[Front Terminal Number]]</f>
        <v>C3S3-</v>
      </c>
      <c r="AR606" s="143"/>
      <c r="AS606" s="136" t="str">
        <f>tbl_IO_List[[#This Row],[Terminal Tagging]]&amp;"-"&amp;tbl_IO_List[[#This Row],[Point-Count]]</f>
        <v>-</v>
      </c>
      <c r="AT606" s="136" t="str">
        <f>tbl_IO_List[[#This Row],[Front Terminal Tagging]]&amp;"/"&amp;tbl_IO_List[[#This Row],[Terminal Tagging-Item]]</f>
        <v>C3S3-/-</v>
      </c>
      <c r="AU606" s="136" t="str">
        <f>tbl_IO_List[[#This Row],[Terminal Tagging-Item]]&amp;"/"&amp;tbl_IO_List[[#This Row],[Front Terminal Tagging]]</f>
        <v>-/C3S3-</v>
      </c>
    </row>
    <row r="607" spans="1:47" hidden="1">
      <c r="A607" s="147" t="s">
        <v>1365</v>
      </c>
      <c r="B607" s="136" t="s">
        <v>360</v>
      </c>
      <c r="C607" s="136" t="str">
        <f>tbl_IO_List[[#This Row],[Column3]]</f>
        <v>C3S03,23</v>
      </c>
      <c r="D607" s="136" t="str">
        <f>tbl_IO_List[[#This Row],[Card]]</f>
        <v>1756-OB32-23</v>
      </c>
      <c r="E607" s="136" t="s">
        <v>1372</v>
      </c>
      <c r="F607" s="136" t="str">
        <f>tbl_IO_List[[#This Row],[Column23]]&amp;"-" &amp;tbl_IO_List[[#This Row],[Column52]]</f>
        <v>C3S03-X2</v>
      </c>
      <c r="G607" s="136" t="str">
        <f>tbl_IO_List[[#This Row],[PLC_Tag]]</f>
        <v>Spare_DO_0</v>
      </c>
      <c r="H607" s="136"/>
      <c r="I607" s="136" t="str">
        <f>VLOOKUP(tbl_IO_List[[#This Row],[Destination]],tbl_Junction[],2,FALSE)</f>
        <v>Packing Tower 8th Floor</v>
      </c>
      <c r="J607" s="136"/>
      <c r="K607" s="136"/>
      <c r="L607" s="136" t="s">
        <v>411</v>
      </c>
      <c r="M607" s="136" t="e">
        <f>VLOOKUP(tbl_IO_List[[#This Row],[Instruement Tag]],tbl_Instruement_List[],2,FALSE)</f>
        <v>#N/A</v>
      </c>
      <c r="N607" s="136"/>
      <c r="O607" s="136"/>
      <c r="P607" s="136"/>
      <c r="Q607" s="136" t="e">
        <f>VLOOKUP(tbl_IO_List[[#This Row],[Instruement Tag]],tbl_Instruement_List[],6,FALSE)</f>
        <v>#N/A</v>
      </c>
      <c r="R607" s="136"/>
      <c r="S60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607" s="136" t="str">
        <f>tbl_IO_List[[#This Row],[Instruement Tag]]&amp;"_"&amp;tbl_IO_List[[#This Row],[I/O Type]]&amp;"_"&amp;tbl_IO_List[[#This Row],[IO-Point 
(Instruement)]]</f>
        <v>Spare_DO_0</v>
      </c>
      <c r="U607" s="136" t="s">
        <v>7</v>
      </c>
      <c r="V607" s="136">
        <f>VLOOKUP(tbl_IO_List[[#This Row],[I/O Type]],tbl_Slot_Group[],2,FALSE)</f>
        <v>2</v>
      </c>
      <c r="W607" s="136">
        <v>0</v>
      </c>
      <c r="X607" s="136" t="str">
        <f>tbl_IO_List[[#This Row],[Chassis]]&amp;"S"&amp;TEXT(tbl_IO_List[[#This Row],[Slot]],"00")</f>
        <v>C3S03</v>
      </c>
      <c r="Y607" s="136" t="str">
        <f>tbl_IO_List[[#This Row],[Chassis]]&amp;"S"&amp;TEXT(tbl_IO_List[[#This Row],[Slot]],"00")&amp;tbl_IO_List[[#This Row],[I/O Type]]&amp;TEXT(tbl_IO_List[[#This Row],[Point]],"00")</f>
        <v>C3S03DO23</v>
      </c>
      <c r="Z607" s="136" t="str">
        <f>tbl_IO_List[[#This Row],[Chassis]]&amp;"S"&amp;TEXT(tbl_IO_List[[#This Row],[Slot]],"00")&amp;","&amp;TEXT(tbl_IO_List[[#This Row],[Point]],"00")</f>
        <v>C3S03,23</v>
      </c>
      <c r="AA607" s="136" t="str">
        <f>VLOOKUP(tbl_IO_List[[#This Row],[Column23]],tbl_RackConfig[],5,FALSE) &amp;"-"&amp;tbl_IO_List[[#This Row],[Point]]</f>
        <v>1756-OB32-23</v>
      </c>
      <c r="AB607" s="136"/>
      <c r="AC607" s="136"/>
      <c r="AD607" s="136" t="str">
        <f>tbl_IO_List[[#This Row],[I/O Type]]</f>
        <v>DO</v>
      </c>
      <c r="AE607" s="136" t="s">
        <v>1334</v>
      </c>
      <c r="AF607" s="136">
        <v>3</v>
      </c>
      <c r="AG607" s="136">
        <v>23</v>
      </c>
      <c r="AH607" s="136"/>
      <c r="AI607" s="136"/>
      <c r="AJ607" s="136">
        <v>0</v>
      </c>
      <c r="AK607" s="136">
        <v>1</v>
      </c>
      <c r="AL607" s="136">
        <v>0</v>
      </c>
      <c r="AM607" s="136">
        <v>0</v>
      </c>
      <c r="AN607" s="136">
        <v>0</v>
      </c>
      <c r="AO607" s="136"/>
      <c r="AP607" s="143" t="e">
        <f>VLOOKUP(tbl_IO_List[[#This Row],[Instruement Tag]],tbl_Instruement_List[],14,FALSE)</f>
        <v>#N/A</v>
      </c>
      <c r="AQ607" s="143" t="str">
        <f>tbl_IO_List[[#This Row],[Chassis]]&amp;"S"&amp;tbl_IO_List[[#This Row],[Slot]]&amp;"-"&amp;tbl_IO_List[[#This Row],[Front Terminal Number]]</f>
        <v>C3S3-</v>
      </c>
      <c r="AR607" s="143"/>
      <c r="AS607" s="136" t="str">
        <f>tbl_IO_List[[#This Row],[Terminal Tagging]]&amp;"-"&amp;tbl_IO_List[[#This Row],[Point-Count]]</f>
        <v>-</v>
      </c>
      <c r="AT607" s="136" t="str">
        <f>tbl_IO_List[[#This Row],[Front Terminal Tagging]]&amp;"/"&amp;tbl_IO_List[[#This Row],[Terminal Tagging-Item]]</f>
        <v>C3S3-/-</v>
      </c>
      <c r="AU607" s="136" t="str">
        <f>tbl_IO_List[[#This Row],[Terminal Tagging-Item]]&amp;"/"&amp;tbl_IO_List[[#This Row],[Front Terminal Tagging]]</f>
        <v>-/C3S3-</v>
      </c>
    </row>
    <row r="608" spans="1:47" hidden="1">
      <c r="A608" s="147" t="s">
        <v>1365</v>
      </c>
      <c r="B608" s="136" t="s">
        <v>360</v>
      </c>
      <c r="C608" s="136" t="str">
        <f>tbl_IO_List[[#This Row],[Column3]]</f>
        <v>C3S03,24</v>
      </c>
      <c r="D608" s="136" t="str">
        <f>tbl_IO_List[[#This Row],[Card]]</f>
        <v>1756-OB32-24</v>
      </c>
      <c r="E608" s="136" t="s">
        <v>1372</v>
      </c>
      <c r="F608" s="136" t="str">
        <f>tbl_IO_List[[#This Row],[Column23]]&amp;"-" &amp;tbl_IO_List[[#This Row],[Column52]]</f>
        <v>C3S03-X2</v>
      </c>
      <c r="G608" s="136" t="str">
        <f>tbl_IO_List[[#This Row],[PLC_Tag]]</f>
        <v>Spare_DO_0</v>
      </c>
      <c r="H608" s="136"/>
      <c r="I608" s="136" t="str">
        <f>VLOOKUP(tbl_IO_List[[#This Row],[Destination]],tbl_Junction[],2,FALSE)</f>
        <v>Packing Tower 8th Floor</v>
      </c>
      <c r="J608" s="136"/>
      <c r="K608" s="136"/>
      <c r="L608" s="136" t="s">
        <v>411</v>
      </c>
      <c r="M608" s="136" t="e">
        <f>VLOOKUP(tbl_IO_List[[#This Row],[Instruement Tag]],tbl_Instruement_List[],2,FALSE)</f>
        <v>#N/A</v>
      </c>
      <c r="N608" s="136"/>
      <c r="O608" s="136"/>
      <c r="P608" s="136"/>
      <c r="Q608" s="136" t="e">
        <f>VLOOKUP(tbl_IO_List[[#This Row],[Instruement Tag]],tbl_Instruement_List[],6,FALSE)</f>
        <v>#N/A</v>
      </c>
      <c r="R608" s="136"/>
      <c r="S60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608" s="136" t="str">
        <f>tbl_IO_List[[#This Row],[Instruement Tag]]&amp;"_"&amp;tbl_IO_List[[#This Row],[I/O Type]]&amp;"_"&amp;tbl_IO_List[[#This Row],[IO-Point 
(Instruement)]]</f>
        <v>Spare_DO_0</v>
      </c>
      <c r="U608" s="136" t="s">
        <v>7</v>
      </c>
      <c r="V608" s="136">
        <f>VLOOKUP(tbl_IO_List[[#This Row],[I/O Type]],tbl_Slot_Group[],2,FALSE)</f>
        <v>2</v>
      </c>
      <c r="W608" s="136">
        <v>0</v>
      </c>
      <c r="X608" s="136" t="str">
        <f>tbl_IO_List[[#This Row],[Chassis]]&amp;"S"&amp;TEXT(tbl_IO_List[[#This Row],[Slot]],"00")</f>
        <v>C3S03</v>
      </c>
      <c r="Y608" s="136" t="str">
        <f>tbl_IO_List[[#This Row],[Chassis]]&amp;"S"&amp;TEXT(tbl_IO_List[[#This Row],[Slot]],"00")&amp;tbl_IO_List[[#This Row],[I/O Type]]&amp;TEXT(tbl_IO_List[[#This Row],[Point]],"00")</f>
        <v>C3S03DO24</v>
      </c>
      <c r="Z608" s="136" t="str">
        <f>tbl_IO_List[[#This Row],[Chassis]]&amp;"S"&amp;TEXT(tbl_IO_List[[#This Row],[Slot]],"00")&amp;","&amp;TEXT(tbl_IO_List[[#This Row],[Point]],"00")</f>
        <v>C3S03,24</v>
      </c>
      <c r="AA608" s="136" t="str">
        <f>VLOOKUP(tbl_IO_List[[#This Row],[Column23]],tbl_RackConfig[],5,FALSE) &amp;"-"&amp;tbl_IO_List[[#This Row],[Point]]</f>
        <v>1756-OB32-24</v>
      </c>
      <c r="AB608" s="136"/>
      <c r="AC608" s="136"/>
      <c r="AD608" s="136" t="str">
        <f>tbl_IO_List[[#This Row],[I/O Type]]</f>
        <v>DO</v>
      </c>
      <c r="AE608" s="136" t="s">
        <v>1334</v>
      </c>
      <c r="AF608" s="136">
        <v>3</v>
      </c>
      <c r="AG608" s="136">
        <v>24</v>
      </c>
      <c r="AH608" s="136"/>
      <c r="AI608" s="136"/>
      <c r="AJ608" s="136">
        <v>0</v>
      </c>
      <c r="AK608" s="136">
        <v>1</v>
      </c>
      <c r="AL608" s="136">
        <v>0</v>
      </c>
      <c r="AM608" s="136">
        <v>0</v>
      </c>
      <c r="AN608" s="136">
        <v>0</v>
      </c>
      <c r="AO608" s="136"/>
      <c r="AP608" s="143" t="e">
        <f>VLOOKUP(tbl_IO_List[[#This Row],[Instruement Tag]],tbl_Instruement_List[],14,FALSE)</f>
        <v>#N/A</v>
      </c>
      <c r="AQ608" s="143" t="str">
        <f>tbl_IO_List[[#This Row],[Chassis]]&amp;"S"&amp;tbl_IO_List[[#This Row],[Slot]]&amp;"-"&amp;tbl_IO_List[[#This Row],[Front Terminal Number]]</f>
        <v>C3S3-</v>
      </c>
      <c r="AR608" s="143"/>
      <c r="AS608" s="136" t="str">
        <f>tbl_IO_List[[#This Row],[Terminal Tagging]]&amp;"-"&amp;tbl_IO_List[[#This Row],[Point-Count]]</f>
        <v>-</v>
      </c>
      <c r="AT608" s="136" t="str">
        <f>tbl_IO_List[[#This Row],[Front Terminal Tagging]]&amp;"/"&amp;tbl_IO_List[[#This Row],[Terminal Tagging-Item]]</f>
        <v>C3S3-/-</v>
      </c>
      <c r="AU608" s="136" t="str">
        <f>tbl_IO_List[[#This Row],[Terminal Tagging-Item]]&amp;"/"&amp;tbl_IO_List[[#This Row],[Front Terminal Tagging]]</f>
        <v>-/C3S3-</v>
      </c>
    </row>
    <row r="609" spans="1:47" hidden="1">
      <c r="A609" s="147" t="s">
        <v>1365</v>
      </c>
      <c r="B609" s="136" t="s">
        <v>360</v>
      </c>
      <c r="C609" s="136" t="str">
        <f>tbl_IO_List[[#This Row],[Column3]]</f>
        <v>C3S03,25</v>
      </c>
      <c r="D609" s="136" t="str">
        <f>tbl_IO_List[[#This Row],[Card]]</f>
        <v>1756-OB32-25</v>
      </c>
      <c r="E609" s="136" t="s">
        <v>1372</v>
      </c>
      <c r="F609" s="136" t="str">
        <f>tbl_IO_List[[#This Row],[Column23]]&amp;"-" &amp;tbl_IO_List[[#This Row],[Column52]]</f>
        <v>C3S03-X2</v>
      </c>
      <c r="G609" s="136" t="str">
        <f>tbl_IO_List[[#This Row],[PLC_Tag]]</f>
        <v>Spare_DO_0</v>
      </c>
      <c r="H609" s="136"/>
      <c r="I609" s="136" t="str">
        <f>VLOOKUP(tbl_IO_List[[#This Row],[Destination]],tbl_Junction[],2,FALSE)</f>
        <v>Packing Tower 8th Floor</v>
      </c>
      <c r="J609" s="136"/>
      <c r="K609" s="136"/>
      <c r="L609" s="136" t="s">
        <v>411</v>
      </c>
      <c r="M609" s="136" t="e">
        <f>VLOOKUP(tbl_IO_List[[#This Row],[Instruement Tag]],tbl_Instruement_List[],2,FALSE)</f>
        <v>#N/A</v>
      </c>
      <c r="N609" s="136"/>
      <c r="O609" s="136"/>
      <c r="P609" s="136"/>
      <c r="Q609" s="136" t="e">
        <f>VLOOKUP(tbl_IO_List[[#This Row],[Instruement Tag]],tbl_Instruement_List[],6,FALSE)</f>
        <v>#N/A</v>
      </c>
      <c r="R609" s="136"/>
      <c r="S60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609" s="136" t="str">
        <f>tbl_IO_List[[#This Row],[Instruement Tag]]&amp;"_"&amp;tbl_IO_List[[#This Row],[I/O Type]]&amp;"_"&amp;tbl_IO_List[[#This Row],[IO-Point 
(Instruement)]]</f>
        <v>Spare_DO_0</v>
      </c>
      <c r="U609" s="136" t="s">
        <v>7</v>
      </c>
      <c r="V609" s="136">
        <f>VLOOKUP(tbl_IO_List[[#This Row],[I/O Type]],tbl_Slot_Group[],2,FALSE)</f>
        <v>2</v>
      </c>
      <c r="W609" s="136">
        <v>0</v>
      </c>
      <c r="X609" s="136" t="str">
        <f>tbl_IO_List[[#This Row],[Chassis]]&amp;"S"&amp;TEXT(tbl_IO_List[[#This Row],[Slot]],"00")</f>
        <v>C3S03</v>
      </c>
      <c r="Y609" s="136" t="str">
        <f>tbl_IO_List[[#This Row],[Chassis]]&amp;"S"&amp;TEXT(tbl_IO_List[[#This Row],[Slot]],"00")&amp;tbl_IO_List[[#This Row],[I/O Type]]&amp;TEXT(tbl_IO_List[[#This Row],[Point]],"00")</f>
        <v>C3S03DO25</v>
      </c>
      <c r="Z609" s="136" t="str">
        <f>tbl_IO_List[[#This Row],[Chassis]]&amp;"S"&amp;TEXT(tbl_IO_List[[#This Row],[Slot]],"00")&amp;","&amp;TEXT(tbl_IO_List[[#This Row],[Point]],"00")</f>
        <v>C3S03,25</v>
      </c>
      <c r="AA609" s="136" t="str">
        <f>VLOOKUP(tbl_IO_List[[#This Row],[Column23]],tbl_RackConfig[],5,FALSE) &amp;"-"&amp;tbl_IO_List[[#This Row],[Point]]</f>
        <v>1756-OB32-25</v>
      </c>
      <c r="AB609" s="136"/>
      <c r="AC609" s="136"/>
      <c r="AD609" s="136" t="str">
        <f>tbl_IO_List[[#This Row],[I/O Type]]</f>
        <v>DO</v>
      </c>
      <c r="AE609" s="136" t="s">
        <v>1334</v>
      </c>
      <c r="AF609" s="136">
        <v>3</v>
      </c>
      <c r="AG609" s="136">
        <v>25</v>
      </c>
      <c r="AH609" s="136"/>
      <c r="AI609" s="136"/>
      <c r="AJ609" s="136">
        <v>0</v>
      </c>
      <c r="AK609" s="136">
        <v>1</v>
      </c>
      <c r="AL609" s="136">
        <v>0</v>
      </c>
      <c r="AM609" s="136">
        <v>0</v>
      </c>
      <c r="AN609" s="136">
        <v>0</v>
      </c>
      <c r="AO609" s="136"/>
      <c r="AP609" s="143" t="e">
        <f>VLOOKUP(tbl_IO_List[[#This Row],[Instruement Tag]],tbl_Instruement_List[],14,FALSE)</f>
        <v>#N/A</v>
      </c>
      <c r="AQ609" s="143" t="str">
        <f>tbl_IO_List[[#This Row],[Chassis]]&amp;"S"&amp;tbl_IO_List[[#This Row],[Slot]]&amp;"-"&amp;tbl_IO_List[[#This Row],[Front Terminal Number]]</f>
        <v>C3S3-</v>
      </c>
      <c r="AR609" s="143"/>
      <c r="AS609" s="136" t="str">
        <f>tbl_IO_List[[#This Row],[Terminal Tagging]]&amp;"-"&amp;tbl_IO_List[[#This Row],[Point-Count]]</f>
        <v>-</v>
      </c>
      <c r="AT609" s="136" t="str">
        <f>tbl_IO_List[[#This Row],[Front Terminal Tagging]]&amp;"/"&amp;tbl_IO_List[[#This Row],[Terminal Tagging-Item]]</f>
        <v>C3S3-/-</v>
      </c>
      <c r="AU609" s="136" t="str">
        <f>tbl_IO_List[[#This Row],[Terminal Tagging-Item]]&amp;"/"&amp;tbl_IO_List[[#This Row],[Front Terminal Tagging]]</f>
        <v>-/C3S3-</v>
      </c>
    </row>
    <row r="610" spans="1:47" hidden="1">
      <c r="A610" s="147" t="s">
        <v>1365</v>
      </c>
      <c r="B610" s="136" t="s">
        <v>360</v>
      </c>
      <c r="C610" s="136" t="str">
        <f>tbl_IO_List[[#This Row],[Column3]]</f>
        <v>C3S03,26</v>
      </c>
      <c r="D610" s="136" t="str">
        <f>tbl_IO_List[[#This Row],[Card]]</f>
        <v>1756-OB32-26</v>
      </c>
      <c r="E610" s="136" t="s">
        <v>1372</v>
      </c>
      <c r="F610" s="136" t="str">
        <f>tbl_IO_List[[#This Row],[Column23]]&amp;"-" &amp;tbl_IO_List[[#This Row],[Column52]]</f>
        <v>C3S03-X2</v>
      </c>
      <c r="G610" s="136" t="str">
        <f>tbl_IO_List[[#This Row],[PLC_Tag]]</f>
        <v>Spare_DO_0</v>
      </c>
      <c r="H610" s="136"/>
      <c r="I610" s="136" t="str">
        <f>VLOOKUP(tbl_IO_List[[#This Row],[Destination]],tbl_Junction[],2,FALSE)</f>
        <v>Packing Tower 8th Floor</v>
      </c>
      <c r="J610" s="136"/>
      <c r="K610" s="136"/>
      <c r="L610" s="136" t="s">
        <v>411</v>
      </c>
      <c r="M610" s="136" t="e">
        <f>VLOOKUP(tbl_IO_List[[#This Row],[Instruement Tag]],tbl_Instruement_List[],2,FALSE)</f>
        <v>#N/A</v>
      </c>
      <c r="N610" s="136"/>
      <c r="O610" s="136"/>
      <c r="P610" s="136"/>
      <c r="Q610" s="136" t="e">
        <f>VLOOKUP(tbl_IO_List[[#This Row],[Instruement Tag]],tbl_Instruement_List[],6,FALSE)</f>
        <v>#N/A</v>
      </c>
      <c r="R610" s="136"/>
      <c r="S61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610" s="136" t="str">
        <f>tbl_IO_List[[#This Row],[Instruement Tag]]&amp;"_"&amp;tbl_IO_List[[#This Row],[I/O Type]]&amp;"_"&amp;tbl_IO_List[[#This Row],[IO-Point 
(Instruement)]]</f>
        <v>Spare_DO_0</v>
      </c>
      <c r="U610" s="136" t="s">
        <v>7</v>
      </c>
      <c r="V610" s="136">
        <f>VLOOKUP(tbl_IO_List[[#This Row],[I/O Type]],tbl_Slot_Group[],2,FALSE)</f>
        <v>2</v>
      </c>
      <c r="W610" s="136">
        <v>0</v>
      </c>
      <c r="X610" s="136" t="str">
        <f>tbl_IO_List[[#This Row],[Chassis]]&amp;"S"&amp;TEXT(tbl_IO_List[[#This Row],[Slot]],"00")</f>
        <v>C3S03</v>
      </c>
      <c r="Y610" s="136" t="str">
        <f>tbl_IO_List[[#This Row],[Chassis]]&amp;"S"&amp;TEXT(tbl_IO_List[[#This Row],[Slot]],"00")&amp;tbl_IO_List[[#This Row],[I/O Type]]&amp;TEXT(tbl_IO_List[[#This Row],[Point]],"00")</f>
        <v>C3S03DO26</v>
      </c>
      <c r="Z610" s="136" t="str">
        <f>tbl_IO_List[[#This Row],[Chassis]]&amp;"S"&amp;TEXT(tbl_IO_List[[#This Row],[Slot]],"00")&amp;","&amp;TEXT(tbl_IO_List[[#This Row],[Point]],"00")</f>
        <v>C3S03,26</v>
      </c>
      <c r="AA610" s="136" t="str">
        <f>VLOOKUP(tbl_IO_List[[#This Row],[Column23]],tbl_RackConfig[],5,FALSE) &amp;"-"&amp;tbl_IO_List[[#This Row],[Point]]</f>
        <v>1756-OB32-26</v>
      </c>
      <c r="AB610" s="136"/>
      <c r="AC610" s="136"/>
      <c r="AD610" s="136" t="str">
        <f>tbl_IO_List[[#This Row],[I/O Type]]</f>
        <v>DO</v>
      </c>
      <c r="AE610" s="136" t="s">
        <v>1334</v>
      </c>
      <c r="AF610" s="136">
        <v>3</v>
      </c>
      <c r="AG610" s="136">
        <v>26</v>
      </c>
      <c r="AH610" s="136"/>
      <c r="AI610" s="136"/>
      <c r="AJ610" s="136">
        <v>0</v>
      </c>
      <c r="AK610" s="136">
        <v>1</v>
      </c>
      <c r="AL610" s="136">
        <v>0</v>
      </c>
      <c r="AM610" s="136">
        <v>0</v>
      </c>
      <c r="AN610" s="136">
        <v>0</v>
      </c>
      <c r="AO610" s="136"/>
      <c r="AP610" s="143" t="e">
        <f>VLOOKUP(tbl_IO_List[[#This Row],[Instruement Tag]],tbl_Instruement_List[],14,FALSE)</f>
        <v>#N/A</v>
      </c>
      <c r="AQ610" s="143" t="str">
        <f>tbl_IO_List[[#This Row],[Chassis]]&amp;"S"&amp;tbl_IO_List[[#This Row],[Slot]]&amp;"-"&amp;tbl_IO_List[[#This Row],[Front Terminal Number]]</f>
        <v>C3S3-</v>
      </c>
      <c r="AR610" s="143"/>
      <c r="AS610" s="136" t="str">
        <f>tbl_IO_List[[#This Row],[Terminal Tagging]]&amp;"-"&amp;tbl_IO_List[[#This Row],[Point-Count]]</f>
        <v>-</v>
      </c>
      <c r="AT610" s="136" t="str">
        <f>tbl_IO_List[[#This Row],[Front Terminal Tagging]]&amp;"/"&amp;tbl_IO_List[[#This Row],[Terminal Tagging-Item]]</f>
        <v>C3S3-/-</v>
      </c>
      <c r="AU610" s="136" t="str">
        <f>tbl_IO_List[[#This Row],[Terminal Tagging-Item]]&amp;"/"&amp;tbl_IO_List[[#This Row],[Front Terminal Tagging]]</f>
        <v>-/C3S3-</v>
      </c>
    </row>
    <row r="611" spans="1:47" hidden="1">
      <c r="A611" s="147" t="s">
        <v>1365</v>
      </c>
      <c r="B611" s="136" t="s">
        <v>360</v>
      </c>
      <c r="C611" s="136" t="str">
        <f>tbl_IO_List[[#This Row],[Column3]]</f>
        <v>C3S03,27</v>
      </c>
      <c r="D611" s="136" t="str">
        <f>tbl_IO_List[[#This Row],[Card]]</f>
        <v>1756-OB32-27</v>
      </c>
      <c r="E611" s="136" t="s">
        <v>1372</v>
      </c>
      <c r="F611" s="136" t="str">
        <f>tbl_IO_List[[#This Row],[Column23]]&amp;"-" &amp;tbl_IO_List[[#This Row],[Column52]]</f>
        <v>C3S03-X2</v>
      </c>
      <c r="G611" s="136" t="str">
        <f>tbl_IO_List[[#This Row],[PLC_Tag]]</f>
        <v>Spare_DO_0</v>
      </c>
      <c r="H611" s="136"/>
      <c r="I611" s="136" t="str">
        <f>VLOOKUP(tbl_IO_List[[#This Row],[Destination]],tbl_Junction[],2,FALSE)</f>
        <v>Packing Tower 8th Floor</v>
      </c>
      <c r="J611" s="136"/>
      <c r="K611" s="136"/>
      <c r="L611" s="136" t="s">
        <v>411</v>
      </c>
      <c r="M611" s="136" t="e">
        <f>VLOOKUP(tbl_IO_List[[#This Row],[Instruement Tag]],tbl_Instruement_List[],2,FALSE)</f>
        <v>#N/A</v>
      </c>
      <c r="N611" s="136"/>
      <c r="O611" s="136"/>
      <c r="P611" s="136"/>
      <c r="Q611" s="136" t="e">
        <f>VLOOKUP(tbl_IO_List[[#This Row],[Instruement Tag]],tbl_Instruement_List[],6,FALSE)</f>
        <v>#N/A</v>
      </c>
      <c r="R611" s="136"/>
      <c r="S61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611" s="136" t="str">
        <f>tbl_IO_List[[#This Row],[Instruement Tag]]&amp;"_"&amp;tbl_IO_List[[#This Row],[I/O Type]]&amp;"_"&amp;tbl_IO_List[[#This Row],[IO-Point 
(Instruement)]]</f>
        <v>Spare_DO_0</v>
      </c>
      <c r="U611" s="136" t="s">
        <v>7</v>
      </c>
      <c r="V611" s="136">
        <f>VLOOKUP(tbl_IO_List[[#This Row],[I/O Type]],tbl_Slot_Group[],2,FALSE)</f>
        <v>2</v>
      </c>
      <c r="W611" s="136">
        <v>0</v>
      </c>
      <c r="X611" s="136" t="str">
        <f>tbl_IO_List[[#This Row],[Chassis]]&amp;"S"&amp;TEXT(tbl_IO_List[[#This Row],[Slot]],"00")</f>
        <v>C3S03</v>
      </c>
      <c r="Y611" s="136" t="str">
        <f>tbl_IO_List[[#This Row],[Chassis]]&amp;"S"&amp;TEXT(tbl_IO_List[[#This Row],[Slot]],"00")&amp;tbl_IO_List[[#This Row],[I/O Type]]&amp;TEXT(tbl_IO_List[[#This Row],[Point]],"00")</f>
        <v>C3S03DO27</v>
      </c>
      <c r="Z611" s="136" t="str">
        <f>tbl_IO_List[[#This Row],[Chassis]]&amp;"S"&amp;TEXT(tbl_IO_List[[#This Row],[Slot]],"00")&amp;","&amp;TEXT(tbl_IO_List[[#This Row],[Point]],"00")</f>
        <v>C3S03,27</v>
      </c>
      <c r="AA611" s="136" t="str">
        <f>VLOOKUP(tbl_IO_List[[#This Row],[Column23]],tbl_RackConfig[],5,FALSE) &amp;"-"&amp;tbl_IO_List[[#This Row],[Point]]</f>
        <v>1756-OB32-27</v>
      </c>
      <c r="AB611" s="136"/>
      <c r="AC611" s="136"/>
      <c r="AD611" s="136" t="str">
        <f>tbl_IO_List[[#This Row],[I/O Type]]</f>
        <v>DO</v>
      </c>
      <c r="AE611" s="136" t="s">
        <v>1334</v>
      </c>
      <c r="AF611" s="136">
        <v>3</v>
      </c>
      <c r="AG611" s="136">
        <v>27</v>
      </c>
      <c r="AH611" s="136"/>
      <c r="AI611" s="136"/>
      <c r="AJ611" s="136">
        <v>0</v>
      </c>
      <c r="AK611" s="136">
        <v>1</v>
      </c>
      <c r="AL611" s="136">
        <v>0</v>
      </c>
      <c r="AM611" s="136">
        <v>0</v>
      </c>
      <c r="AN611" s="136">
        <v>0</v>
      </c>
      <c r="AO611" s="136"/>
      <c r="AP611" s="143" t="e">
        <f>VLOOKUP(tbl_IO_List[[#This Row],[Instruement Tag]],tbl_Instruement_List[],14,FALSE)</f>
        <v>#N/A</v>
      </c>
      <c r="AQ611" s="143" t="str">
        <f>tbl_IO_List[[#This Row],[Chassis]]&amp;"S"&amp;tbl_IO_List[[#This Row],[Slot]]&amp;"-"&amp;tbl_IO_List[[#This Row],[Front Terminal Number]]</f>
        <v>C3S3-</v>
      </c>
      <c r="AR611" s="143"/>
      <c r="AS611" s="136" t="str">
        <f>tbl_IO_List[[#This Row],[Terminal Tagging]]&amp;"-"&amp;tbl_IO_List[[#This Row],[Point-Count]]</f>
        <v>-</v>
      </c>
      <c r="AT611" s="136" t="str">
        <f>tbl_IO_List[[#This Row],[Front Terminal Tagging]]&amp;"/"&amp;tbl_IO_List[[#This Row],[Terminal Tagging-Item]]</f>
        <v>C3S3-/-</v>
      </c>
      <c r="AU611" s="136" t="str">
        <f>tbl_IO_List[[#This Row],[Terminal Tagging-Item]]&amp;"/"&amp;tbl_IO_List[[#This Row],[Front Terminal Tagging]]</f>
        <v>-/C3S3-</v>
      </c>
    </row>
    <row r="612" spans="1:47" hidden="1">
      <c r="A612" s="147" t="s">
        <v>1365</v>
      </c>
      <c r="B612" s="136" t="s">
        <v>360</v>
      </c>
      <c r="C612" s="136" t="str">
        <f>tbl_IO_List[[#This Row],[Column3]]</f>
        <v>C3S03,28</v>
      </c>
      <c r="D612" s="136" t="str">
        <f>tbl_IO_List[[#This Row],[Card]]</f>
        <v>1756-OB32-28</v>
      </c>
      <c r="E612" s="136" t="s">
        <v>1372</v>
      </c>
      <c r="F612" s="136" t="str">
        <f>tbl_IO_List[[#This Row],[Column23]]&amp;"-" &amp;tbl_IO_List[[#This Row],[Column52]]</f>
        <v>C3S03-X2</v>
      </c>
      <c r="G612" s="136" t="str">
        <f>tbl_IO_List[[#This Row],[PLC_Tag]]</f>
        <v>Spare_DO_0</v>
      </c>
      <c r="H612" s="136"/>
      <c r="I612" s="136" t="str">
        <f>VLOOKUP(tbl_IO_List[[#This Row],[Destination]],tbl_Junction[],2,FALSE)</f>
        <v>Packing Tower 8th Floor</v>
      </c>
      <c r="J612" s="136"/>
      <c r="K612" s="136"/>
      <c r="L612" s="136" t="s">
        <v>411</v>
      </c>
      <c r="M612" s="136" t="e">
        <f>VLOOKUP(tbl_IO_List[[#This Row],[Instruement Tag]],tbl_Instruement_List[],2,FALSE)</f>
        <v>#N/A</v>
      </c>
      <c r="N612" s="136"/>
      <c r="O612" s="136"/>
      <c r="P612" s="136"/>
      <c r="Q612" s="136" t="e">
        <f>VLOOKUP(tbl_IO_List[[#This Row],[Instruement Tag]],tbl_Instruement_List[],6,FALSE)</f>
        <v>#N/A</v>
      </c>
      <c r="R612" s="136"/>
      <c r="S61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612" s="136" t="str">
        <f>tbl_IO_List[[#This Row],[Instruement Tag]]&amp;"_"&amp;tbl_IO_List[[#This Row],[I/O Type]]&amp;"_"&amp;tbl_IO_List[[#This Row],[IO-Point 
(Instruement)]]</f>
        <v>Spare_DO_0</v>
      </c>
      <c r="U612" s="136" t="s">
        <v>7</v>
      </c>
      <c r="V612" s="136">
        <f>VLOOKUP(tbl_IO_List[[#This Row],[I/O Type]],tbl_Slot_Group[],2,FALSE)</f>
        <v>2</v>
      </c>
      <c r="W612" s="136">
        <v>0</v>
      </c>
      <c r="X612" s="136" t="str">
        <f>tbl_IO_List[[#This Row],[Chassis]]&amp;"S"&amp;TEXT(tbl_IO_List[[#This Row],[Slot]],"00")</f>
        <v>C3S03</v>
      </c>
      <c r="Y612" s="136" t="str">
        <f>tbl_IO_List[[#This Row],[Chassis]]&amp;"S"&amp;TEXT(tbl_IO_List[[#This Row],[Slot]],"00")&amp;tbl_IO_List[[#This Row],[I/O Type]]&amp;TEXT(tbl_IO_List[[#This Row],[Point]],"00")</f>
        <v>C3S03DO28</v>
      </c>
      <c r="Z612" s="136" t="str">
        <f>tbl_IO_List[[#This Row],[Chassis]]&amp;"S"&amp;TEXT(tbl_IO_List[[#This Row],[Slot]],"00")&amp;","&amp;TEXT(tbl_IO_List[[#This Row],[Point]],"00")</f>
        <v>C3S03,28</v>
      </c>
      <c r="AA612" s="136" t="str">
        <f>VLOOKUP(tbl_IO_List[[#This Row],[Column23]],tbl_RackConfig[],5,FALSE) &amp;"-"&amp;tbl_IO_List[[#This Row],[Point]]</f>
        <v>1756-OB32-28</v>
      </c>
      <c r="AB612" s="136"/>
      <c r="AC612" s="136"/>
      <c r="AD612" s="136" t="str">
        <f>tbl_IO_List[[#This Row],[I/O Type]]</f>
        <v>DO</v>
      </c>
      <c r="AE612" s="136" t="s">
        <v>1334</v>
      </c>
      <c r="AF612" s="136">
        <v>3</v>
      </c>
      <c r="AG612" s="136">
        <v>28</v>
      </c>
      <c r="AH612" s="136"/>
      <c r="AI612" s="136"/>
      <c r="AJ612" s="136">
        <v>0</v>
      </c>
      <c r="AK612" s="136">
        <v>1</v>
      </c>
      <c r="AL612" s="136">
        <v>0</v>
      </c>
      <c r="AM612" s="136">
        <v>0</v>
      </c>
      <c r="AN612" s="136">
        <v>0</v>
      </c>
      <c r="AO612" s="136"/>
      <c r="AP612" s="143" t="e">
        <f>VLOOKUP(tbl_IO_List[[#This Row],[Instruement Tag]],tbl_Instruement_List[],14,FALSE)</f>
        <v>#N/A</v>
      </c>
      <c r="AQ612" s="143" t="str">
        <f>tbl_IO_List[[#This Row],[Chassis]]&amp;"S"&amp;tbl_IO_List[[#This Row],[Slot]]&amp;"-"&amp;tbl_IO_List[[#This Row],[Front Terminal Number]]</f>
        <v>C3S3-</v>
      </c>
      <c r="AR612" s="143"/>
      <c r="AS612" s="136" t="str">
        <f>tbl_IO_List[[#This Row],[Terminal Tagging]]&amp;"-"&amp;tbl_IO_List[[#This Row],[Point-Count]]</f>
        <v>-</v>
      </c>
      <c r="AT612" s="136" t="str">
        <f>tbl_IO_List[[#This Row],[Front Terminal Tagging]]&amp;"/"&amp;tbl_IO_List[[#This Row],[Terminal Tagging-Item]]</f>
        <v>C3S3-/-</v>
      </c>
      <c r="AU612" s="136" t="str">
        <f>tbl_IO_List[[#This Row],[Terminal Tagging-Item]]&amp;"/"&amp;tbl_IO_List[[#This Row],[Front Terminal Tagging]]</f>
        <v>-/C3S3-</v>
      </c>
    </row>
    <row r="613" spans="1:47" hidden="1">
      <c r="A613" s="147" t="s">
        <v>1365</v>
      </c>
      <c r="B613" s="136" t="s">
        <v>360</v>
      </c>
      <c r="C613" s="136" t="str">
        <f>tbl_IO_List[[#This Row],[Column3]]</f>
        <v>C3S03,29</v>
      </c>
      <c r="D613" s="136" t="str">
        <f>tbl_IO_List[[#This Row],[Card]]</f>
        <v>1756-OB32-29</v>
      </c>
      <c r="E613" s="136" t="s">
        <v>1372</v>
      </c>
      <c r="F613" s="136" t="str">
        <f>tbl_IO_List[[#This Row],[Column23]]&amp;"-" &amp;tbl_IO_List[[#This Row],[Column52]]</f>
        <v>C3S03-X2</v>
      </c>
      <c r="G613" s="136" t="str">
        <f>tbl_IO_List[[#This Row],[PLC_Tag]]</f>
        <v>Spare_DO_0</v>
      </c>
      <c r="H613" s="136"/>
      <c r="I613" s="136" t="str">
        <f>VLOOKUP(tbl_IO_List[[#This Row],[Destination]],tbl_Junction[],2,FALSE)</f>
        <v>Packing Tower 8th Floor</v>
      </c>
      <c r="J613" s="136"/>
      <c r="K613" s="136"/>
      <c r="L613" s="136" t="s">
        <v>411</v>
      </c>
      <c r="M613" s="136" t="e">
        <f>VLOOKUP(tbl_IO_List[[#This Row],[Instruement Tag]],tbl_Instruement_List[],2,FALSE)</f>
        <v>#N/A</v>
      </c>
      <c r="N613" s="136"/>
      <c r="O613" s="136"/>
      <c r="P613" s="136"/>
      <c r="Q613" s="136" t="e">
        <f>VLOOKUP(tbl_IO_List[[#This Row],[Instruement Tag]],tbl_Instruement_List[],6,FALSE)</f>
        <v>#N/A</v>
      </c>
      <c r="R613" s="136"/>
      <c r="S61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613" s="136" t="str">
        <f>tbl_IO_List[[#This Row],[Instruement Tag]]&amp;"_"&amp;tbl_IO_List[[#This Row],[I/O Type]]&amp;"_"&amp;tbl_IO_List[[#This Row],[IO-Point 
(Instruement)]]</f>
        <v>Spare_DO_0</v>
      </c>
      <c r="U613" s="136" t="s">
        <v>7</v>
      </c>
      <c r="V613" s="136">
        <f>VLOOKUP(tbl_IO_List[[#This Row],[I/O Type]],tbl_Slot_Group[],2,FALSE)</f>
        <v>2</v>
      </c>
      <c r="W613" s="136">
        <v>0</v>
      </c>
      <c r="X613" s="136" t="str">
        <f>tbl_IO_List[[#This Row],[Chassis]]&amp;"S"&amp;TEXT(tbl_IO_List[[#This Row],[Slot]],"00")</f>
        <v>C3S03</v>
      </c>
      <c r="Y613" s="136" t="str">
        <f>tbl_IO_List[[#This Row],[Chassis]]&amp;"S"&amp;TEXT(tbl_IO_List[[#This Row],[Slot]],"00")&amp;tbl_IO_List[[#This Row],[I/O Type]]&amp;TEXT(tbl_IO_List[[#This Row],[Point]],"00")</f>
        <v>C3S03DO29</v>
      </c>
      <c r="Z613" s="136" t="str">
        <f>tbl_IO_List[[#This Row],[Chassis]]&amp;"S"&amp;TEXT(tbl_IO_List[[#This Row],[Slot]],"00")&amp;","&amp;TEXT(tbl_IO_List[[#This Row],[Point]],"00")</f>
        <v>C3S03,29</v>
      </c>
      <c r="AA613" s="136" t="str">
        <f>VLOOKUP(tbl_IO_List[[#This Row],[Column23]],tbl_RackConfig[],5,FALSE) &amp;"-"&amp;tbl_IO_List[[#This Row],[Point]]</f>
        <v>1756-OB32-29</v>
      </c>
      <c r="AB613" s="136"/>
      <c r="AC613" s="136"/>
      <c r="AD613" s="136" t="str">
        <f>tbl_IO_List[[#This Row],[I/O Type]]</f>
        <v>DO</v>
      </c>
      <c r="AE613" s="136" t="s">
        <v>1334</v>
      </c>
      <c r="AF613" s="136">
        <v>3</v>
      </c>
      <c r="AG613" s="136">
        <v>29</v>
      </c>
      <c r="AH613" s="136"/>
      <c r="AI613" s="136"/>
      <c r="AJ613" s="136">
        <v>0</v>
      </c>
      <c r="AK613" s="136">
        <v>1</v>
      </c>
      <c r="AL613" s="136">
        <v>0</v>
      </c>
      <c r="AM613" s="136">
        <v>0</v>
      </c>
      <c r="AN613" s="136">
        <v>0</v>
      </c>
      <c r="AO613" s="136"/>
      <c r="AP613" s="143" t="e">
        <f>VLOOKUP(tbl_IO_List[[#This Row],[Instruement Tag]],tbl_Instruement_List[],14,FALSE)</f>
        <v>#N/A</v>
      </c>
      <c r="AQ613" s="143" t="str">
        <f>tbl_IO_List[[#This Row],[Chassis]]&amp;"S"&amp;tbl_IO_List[[#This Row],[Slot]]&amp;"-"&amp;tbl_IO_List[[#This Row],[Front Terminal Number]]</f>
        <v>C3S3-</v>
      </c>
      <c r="AR613" s="143"/>
      <c r="AS613" s="136" t="str">
        <f>tbl_IO_List[[#This Row],[Terminal Tagging]]&amp;"-"&amp;tbl_IO_List[[#This Row],[Point-Count]]</f>
        <v>-</v>
      </c>
      <c r="AT613" s="136" t="str">
        <f>tbl_IO_List[[#This Row],[Front Terminal Tagging]]&amp;"/"&amp;tbl_IO_List[[#This Row],[Terminal Tagging-Item]]</f>
        <v>C3S3-/-</v>
      </c>
      <c r="AU613" s="136" t="str">
        <f>tbl_IO_List[[#This Row],[Terminal Tagging-Item]]&amp;"/"&amp;tbl_IO_List[[#This Row],[Front Terminal Tagging]]</f>
        <v>-/C3S3-</v>
      </c>
    </row>
    <row r="614" spans="1:47" hidden="1">
      <c r="A614" s="147" t="s">
        <v>1365</v>
      </c>
      <c r="B614" s="136" t="s">
        <v>360</v>
      </c>
      <c r="C614" s="136" t="str">
        <f>tbl_IO_List[[#This Row],[Column3]]</f>
        <v>C3S03,30</v>
      </c>
      <c r="D614" s="136" t="str">
        <f>tbl_IO_List[[#This Row],[Card]]</f>
        <v>1756-OB32-30</v>
      </c>
      <c r="E614" s="136" t="s">
        <v>1372</v>
      </c>
      <c r="F614" s="136" t="str">
        <f>tbl_IO_List[[#This Row],[Column23]]&amp;"-" &amp;tbl_IO_List[[#This Row],[Column52]]</f>
        <v>C3S03-X2</v>
      </c>
      <c r="G614" s="136" t="str">
        <f>tbl_IO_List[[#This Row],[PLC_Tag]]</f>
        <v>Spare_DO_0</v>
      </c>
      <c r="H614" s="136"/>
      <c r="I614" s="136" t="str">
        <f>VLOOKUP(tbl_IO_List[[#This Row],[Destination]],tbl_Junction[],2,FALSE)</f>
        <v>Packing Tower 8th Floor</v>
      </c>
      <c r="J614" s="136"/>
      <c r="K614" s="136"/>
      <c r="L614" s="136" t="s">
        <v>411</v>
      </c>
      <c r="M614" s="136" t="e">
        <f>VLOOKUP(tbl_IO_List[[#This Row],[Instruement Tag]],tbl_Instruement_List[],2,FALSE)</f>
        <v>#N/A</v>
      </c>
      <c r="N614" s="136"/>
      <c r="O614" s="136"/>
      <c r="P614" s="136"/>
      <c r="Q614" s="136" t="e">
        <f>VLOOKUP(tbl_IO_List[[#This Row],[Instruement Tag]],tbl_Instruement_List[],6,FALSE)</f>
        <v>#N/A</v>
      </c>
      <c r="R614" s="136"/>
      <c r="S61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614" s="136" t="str">
        <f>tbl_IO_List[[#This Row],[Instruement Tag]]&amp;"_"&amp;tbl_IO_List[[#This Row],[I/O Type]]&amp;"_"&amp;tbl_IO_List[[#This Row],[IO-Point 
(Instruement)]]</f>
        <v>Spare_DO_0</v>
      </c>
      <c r="U614" s="136" t="s">
        <v>7</v>
      </c>
      <c r="V614" s="136">
        <f>VLOOKUP(tbl_IO_List[[#This Row],[I/O Type]],tbl_Slot_Group[],2,FALSE)</f>
        <v>2</v>
      </c>
      <c r="W614" s="136">
        <v>0</v>
      </c>
      <c r="X614" s="136" t="str">
        <f>tbl_IO_List[[#This Row],[Chassis]]&amp;"S"&amp;TEXT(tbl_IO_List[[#This Row],[Slot]],"00")</f>
        <v>C3S03</v>
      </c>
      <c r="Y614" s="136" t="str">
        <f>tbl_IO_List[[#This Row],[Chassis]]&amp;"S"&amp;TEXT(tbl_IO_List[[#This Row],[Slot]],"00")&amp;tbl_IO_List[[#This Row],[I/O Type]]&amp;TEXT(tbl_IO_List[[#This Row],[Point]],"00")</f>
        <v>C3S03DO30</v>
      </c>
      <c r="Z614" s="136" t="str">
        <f>tbl_IO_List[[#This Row],[Chassis]]&amp;"S"&amp;TEXT(tbl_IO_List[[#This Row],[Slot]],"00")&amp;","&amp;TEXT(tbl_IO_List[[#This Row],[Point]],"00")</f>
        <v>C3S03,30</v>
      </c>
      <c r="AA614" s="136" t="str">
        <f>VLOOKUP(tbl_IO_List[[#This Row],[Column23]],tbl_RackConfig[],5,FALSE) &amp;"-"&amp;tbl_IO_List[[#This Row],[Point]]</f>
        <v>1756-OB32-30</v>
      </c>
      <c r="AB614" s="136"/>
      <c r="AC614" s="136"/>
      <c r="AD614" s="136" t="str">
        <f>tbl_IO_List[[#This Row],[I/O Type]]</f>
        <v>DO</v>
      </c>
      <c r="AE614" s="136" t="s">
        <v>1334</v>
      </c>
      <c r="AF614" s="136">
        <v>3</v>
      </c>
      <c r="AG614" s="136">
        <v>30</v>
      </c>
      <c r="AH614" s="136"/>
      <c r="AI614" s="136"/>
      <c r="AJ614" s="136">
        <v>0</v>
      </c>
      <c r="AK614" s="136">
        <v>1</v>
      </c>
      <c r="AL614" s="136">
        <v>0</v>
      </c>
      <c r="AM614" s="136">
        <v>0</v>
      </c>
      <c r="AN614" s="136">
        <v>0</v>
      </c>
      <c r="AO614" s="136"/>
      <c r="AP614" s="143" t="e">
        <f>VLOOKUP(tbl_IO_List[[#This Row],[Instruement Tag]],tbl_Instruement_List[],14,FALSE)</f>
        <v>#N/A</v>
      </c>
      <c r="AQ614" s="143" t="str">
        <f>tbl_IO_List[[#This Row],[Chassis]]&amp;"S"&amp;tbl_IO_List[[#This Row],[Slot]]&amp;"-"&amp;tbl_IO_List[[#This Row],[Front Terminal Number]]</f>
        <v>C3S3-</v>
      </c>
      <c r="AR614" s="143"/>
      <c r="AS614" s="136" t="str">
        <f>tbl_IO_List[[#This Row],[Terminal Tagging]]&amp;"-"&amp;tbl_IO_List[[#This Row],[Point-Count]]</f>
        <v>-</v>
      </c>
      <c r="AT614" s="136" t="str">
        <f>tbl_IO_List[[#This Row],[Front Terminal Tagging]]&amp;"/"&amp;tbl_IO_List[[#This Row],[Terminal Tagging-Item]]</f>
        <v>C3S3-/-</v>
      </c>
      <c r="AU614" s="136" t="str">
        <f>tbl_IO_List[[#This Row],[Terminal Tagging-Item]]&amp;"/"&amp;tbl_IO_List[[#This Row],[Front Terminal Tagging]]</f>
        <v>-/C3S3-</v>
      </c>
    </row>
    <row r="615" spans="1:47" hidden="1">
      <c r="A615" s="147" t="s">
        <v>1365</v>
      </c>
      <c r="B615" s="136" t="s">
        <v>360</v>
      </c>
      <c r="C615" s="136" t="str">
        <f>tbl_IO_List[[#This Row],[Column3]]</f>
        <v>C3S03,31</v>
      </c>
      <c r="D615" s="136" t="str">
        <f>tbl_IO_List[[#This Row],[Card]]</f>
        <v>1756-OB32-31</v>
      </c>
      <c r="E615" s="136" t="s">
        <v>1372</v>
      </c>
      <c r="F615" s="136" t="str">
        <f>tbl_IO_List[[#This Row],[Column23]]&amp;"-" &amp;tbl_IO_List[[#This Row],[Column52]]</f>
        <v>C3S03-X2</v>
      </c>
      <c r="G615" s="136" t="str">
        <f>tbl_IO_List[[#This Row],[PLC_Tag]]</f>
        <v>Spare_DO_0</v>
      </c>
      <c r="H615" s="136"/>
      <c r="I615" s="136" t="str">
        <f>VLOOKUP(tbl_IO_List[[#This Row],[Destination]],tbl_Junction[],2,FALSE)</f>
        <v>Packing Tower 8th Floor</v>
      </c>
      <c r="J615" s="136"/>
      <c r="K615" s="136"/>
      <c r="L615" s="136" t="s">
        <v>411</v>
      </c>
      <c r="M615" s="136" t="e">
        <f>VLOOKUP(tbl_IO_List[[#This Row],[Instruement Tag]],tbl_Instruement_List[],2,FALSE)</f>
        <v>#N/A</v>
      </c>
      <c r="N615" s="136"/>
      <c r="O615" s="136"/>
      <c r="P615" s="136"/>
      <c r="Q615" s="136" t="e">
        <f>VLOOKUP(tbl_IO_List[[#This Row],[Instruement Tag]],tbl_Instruement_List[],6,FALSE)</f>
        <v>#N/A</v>
      </c>
      <c r="R615" s="136"/>
      <c r="S61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615" s="136" t="str">
        <f>tbl_IO_List[[#This Row],[Instruement Tag]]&amp;"_"&amp;tbl_IO_List[[#This Row],[I/O Type]]&amp;"_"&amp;tbl_IO_List[[#This Row],[IO-Point 
(Instruement)]]</f>
        <v>Spare_DO_0</v>
      </c>
      <c r="U615" s="136" t="s">
        <v>7</v>
      </c>
      <c r="V615" s="136">
        <f>VLOOKUP(tbl_IO_List[[#This Row],[I/O Type]],tbl_Slot_Group[],2,FALSE)</f>
        <v>2</v>
      </c>
      <c r="W615" s="136">
        <v>0</v>
      </c>
      <c r="X615" s="136" t="str">
        <f>tbl_IO_List[[#This Row],[Chassis]]&amp;"S"&amp;TEXT(tbl_IO_List[[#This Row],[Slot]],"00")</f>
        <v>C3S03</v>
      </c>
      <c r="Y615" s="136" t="str">
        <f>tbl_IO_List[[#This Row],[Chassis]]&amp;"S"&amp;TEXT(tbl_IO_List[[#This Row],[Slot]],"00")&amp;tbl_IO_List[[#This Row],[I/O Type]]&amp;TEXT(tbl_IO_List[[#This Row],[Point]],"00")</f>
        <v>C3S03DO31</v>
      </c>
      <c r="Z615" s="136" t="str">
        <f>tbl_IO_List[[#This Row],[Chassis]]&amp;"S"&amp;TEXT(tbl_IO_List[[#This Row],[Slot]],"00")&amp;","&amp;TEXT(tbl_IO_List[[#This Row],[Point]],"00")</f>
        <v>C3S03,31</v>
      </c>
      <c r="AA615" s="136" t="str">
        <f>VLOOKUP(tbl_IO_List[[#This Row],[Column23]],tbl_RackConfig[],5,FALSE) &amp;"-"&amp;tbl_IO_List[[#This Row],[Point]]</f>
        <v>1756-OB32-31</v>
      </c>
      <c r="AB615" s="136"/>
      <c r="AC615" s="136"/>
      <c r="AD615" s="136" t="str">
        <f>tbl_IO_List[[#This Row],[I/O Type]]</f>
        <v>DO</v>
      </c>
      <c r="AE615" s="136" t="s">
        <v>1334</v>
      </c>
      <c r="AF615" s="136">
        <v>3</v>
      </c>
      <c r="AG615" s="136">
        <v>31</v>
      </c>
      <c r="AH615" s="136"/>
      <c r="AI615" s="136"/>
      <c r="AJ615" s="136">
        <v>0</v>
      </c>
      <c r="AK615" s="136">
        <v>1</v>
      </c>
      <c r="AL615" s="136">
        <v>0</v>
      </c>
      <c r="AM615" s="136">
        <v>0</v>
      </c>
      <c r="AN615" s="136">
        <v>0</v>
      </c>
      <c r="AO615" s="136"/>
      <c r="AP615" s="143" t="e">
        <f>VLOOKUP(tbl_IO_List[[#This Row],[Instruement Tag]],tbl_Instruement_List[],14,FALSE)</f>
        <v>#N/A</v>
      </c>
      <c r="AQ615" s="143" t="str">
        <f>tbl_IO_List[[#This Row],[Chassis]]&amp;"S"&amp;tbl_IO_List[[#This Row],[Slot]]&amp;"-"&amp;tbl_IO_List[[#This Row],[Front Terminal Number]]</f>
        <v>C3S3-</v>
      </c>
      <c r="AR615" s="143"/>
      <c r="AS615" s="136" t="str">
        <f>tbl_IO_List[[#This Row],[Terminal Tagging]]&amp;"-"&amp;tbl_IO_List[[#This Row],[Point-Count]]</f>
        <v>-</v>
      </c>
      <c r="AT615" s="136" t="str">
        <f>tbl_IO_List[[#This Row],[Front Terminal Tagging]]&amp;"/"&amp;tbl_IO_List[[#This Row],[Terminal Tagging-Item]]</f>
        <v>C3S3-/-</v>
      </c>
      <c r="AU615" s="136" t="str">
        <f>tbl_IO_List[[#This Row],[Terminal Tagging-Item]]&amp;"/"&amp;tbl_IO_List[[#This Row],[Front Terminal Tagging]]</f>
        <v>-/C3S3-</v>
      </c>
    </row>
    <row r="616" spans="1:47" hidden="1">
      <c r="A616" s="147" t="s">
        <v>1365</v>
      </c>
      <c r="B616" s="136" t="s">
        <v>360</v>
      </c>
      <c r="C616" s="136" t="str">
        <f>tbl_IO_List[[#This Row],[Column3]]</f>
        <v>C3S05,00</v>
      </c>
      <c r="D616" s="136" t="str">
        <f>tbl_IO_List[[#This Row],[Card]]</f>
        <v>1756-IF16-0</v>
      </c>
      <c r="E616" s="136" t="s">
        <v>1366</v>
      </c>
      <c r="F616" s="136" t="str">
        <f>tbl_IO_List[[#This Row],[Column23]]&amp;"-" &amp;tbl_IO_List[[#This Row],[Column52]]</f>
        <v>C3S05-X1</v>
      </c>
      <c r="G616" s="136" t="str">
        <f>tbl_IO_List[[#This Row],[PLC_Tag]]</f>
        <v>PT-61303_AI_1</v>
      </c>
      <c r="H616" s="136"/>
      <c r="I616" s="136" t="str">
        <f>VLOOKUP(tbl_IO_List[[#This Row],[Destination]],tbl_Junction[],2,FALSE)</f>
        <v>Packing Tower 8th Floor</v>
      </c>
      <c r="J616" s="136" t="s">
        <v>360</v>
      </c>
      <c r="K616" s="136" t="s">
        <v>66</v>
      </c>
      <c r="L616" s="136" t="s">
        <v>369</v>
      </c>
      <c r="M616" s="136" t="str">
        <f>VLOOKUP(tbl_IO_List[[#This Row],[Instruement Tag]],tbl_Instruement_List[],2,FALSE)</f>
        <v>Pressure Transmitter</v>
      </c>
      <c r="N616" s="136" t="s">
        <v>91</v>
      </c>
      <c r="O616" s="136" t="s">
        <v>18</v>
      </c>
      <c r="P616" s="136" t="s">
        <v>75</v>
      </c>
      <c r="Q616" s="136" t="str">
        <f>VLOOKUP(tbl_IO_List[[#This Row],[Instruement Tag]],tbl_Instruement_List[],6,FALSE)</f>
        <v>Powder Pressure Transmitter for Cooling / Conveyor Cyclone (CYCL-31)</v>
      </c>
      <c r="R616" s="136"/>
      <c r="S61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616" s="136" t="str">
        <f>tbl_IO_List[[#This Row],[Instruement Tag]]&amp;"_"&amp;tbl_IO_List[[#This Row],[I/O Type]]&amp;"_"&amp;tbl_IO_List[[#This Row],[IO-Point 
(Instruement)]]</f>
        <v>PT-61303_AI_1</v>
      </c>
      <c r="U616" s="136" t="s">
        <v>10</v>
      </c>
      <c r="V616" s="136">
        <f>VLOOKUP(tbl_IO_List[[#This Row],[I/O Type]],tbl_Slot_Group[],2,FALSE)</f>
        <v>3</v>
      </c>
      <c r="W616" s="136">
        <v>1</v>
      </c>
      <c r="X616" s="136" t="str">
        <f>tbl_IO_List[[#This Row],[Chassis]]&amp;"S"&amp;TEXT(tbl_IO_List[[#This Row],[Slot]],"00")</f>
        <v>C3S05</v>
      </c>
      <c r="Y616" s="136" t="str">
        <f>tbl_IO_List[[#This Row],[Chassis]]&amp;"S"&amp;TEXT(tbl_IO_List[[#This Row],[Slot]],"00")&amp;tbl_IO_List[[#This Row],[I/O Type]]&amp;TEXT(tbl_IO_List[[#This Row],[Point]],"00")</f>
        <v>C3S05AI00</v>
      </c>
      <c r="Z616" s="136" t="str">
        <f>tbl_IO_List[[#This Row],[Chassis]]&amp;"S"&amp;TEXT(tbl_IO_List[[#This Row],[Slot]],"00")&amp;","&amp;TEXT(tbl_IO_List[[#This Row],[Point]],"00")</f>
        <v>C3S05,00</v>
      </c>
      <c r="AA616" s="136" t="str">
        <f>VLOOKUP(tbl_IO_List[[#This Row],[Column23]],tbl_RackConfig[],5,FALSE) &amp;"-"&amp;tbl_IO_List[[#This Row],[Point]]</f>
        <v>1756-IF16-0</v>
      </c>
      <c r="AB616" s="136"/>
      <c r="AC616" s="136"/>
      <c r="AD616" s="136" t="str">
        <f>tbl_IO_List[[#This Row],[I/O Type]]</f>
        <v>AI</v>
      </c>
      <c r="AE616" s="136" t="s">
        <v>1334</v>
      </c>
      <c r="AF616" s="136">
        <v>5</v>
      </c>
      <c r="AG616" s="136">
        <v>0</v>
      </c>
      <c r="AH616" s="136"/>
      <c r="AI616" s="136"/>
      <c r="AJ616" s="136">
        <v>0</v>
      </c>
      <c r="AK616" s="136">
        <v>0</v>
      </c>
      <c r="AL616" s="136">
        <v>1</v>
      </c>
      <c r="AM616" s="136">
        <v>0</v>
      </c>
      <c r="AN616" s="136">
        <v>0</v>
      </c>
      <c r="AO616" s="136"/>
      <c r="AP616" s="143" t="str">
        <f>VLOOKUP(tbl_IO_List[[#This Row],[Instruement Tag]],tbl_Instruement_List[],14,FALSE)</f>
        <v>4 - 20 mA</v>
      </c>
      <c r="AQ616" s="143" t="str">
        <f>tbl_IO_List[[#This Row],[Chassis]]&amp;"S"&amp;tbl_IO_List[[#This Row],[Slot]]&amp;"-"&amp;tbl_IO_List[[#This Row],[Front Terminal Number]]</f>
        <v>C3S5-</v>
      </c>
      <c r="AR616" s="143"/>
      <c r="AS616" s="136" t="str">
        <f>tbl_IO_List[[#This Row],[Terminal Tagging]]&amp;"-"&amp;tbl_IO_List[[#This Row],[Point-Count]]</f>
        <v>-</v>
      </c>
      <c r="AT616" s="136" t="str">
        <f>tbl_IO_List[[#This Row],[Front Terminal Tagging]]&amp;"/"&amp;tbl_IO_List[[#This Row],[Terminal Tagging-Item]]</f>
        <v>C3S5-/-</v>
      </c>
      <c r="AU616" s="136" t="str">
        <f>tbl_IO_List[[#This Row],[Terminal Tagging-Item]]&amp;"/"&amp;tbl_IO_List[[#This Row],[Front Terminal Tagging]]</f>
        <v>-/C3S5-</v>
      </c>
    </row>
    <row r="617" spans="1:47" hidden="1">
      <c r="A617" s="147" t="s">
        <v>1365</v>
      </c>
      <c r="B617" s="136" t="s">
        <v>360</v>
      </c>
      <c r="C617" s="136" t="str">
        <f>tbl_IO_List[[#This Row],[Column3]]</f>
        <v>C3S05,01</v>
      </c>
      <c r="D617" s="136" t="str">
        <f>tbl_IO_List[[#This Row],[Card]]</f>
        <v>1756-IF16-1</v>
      </c>
      <c r="E617" s="136" t="s">
        <v>1366</v>
      </c>
      <c r="F617" s="136" t="str">
        <f>tbl_IO_List[[#This Row],[Column23]]&amp;"-" &amp;tbl_IO_List[[#This Row],[Column52]]</f>
        <v>C3S05-X1</v>
      </c>
      <c r="G617" s="136" t="str">
        <f>tbl_IO_List[[#This Row],[PLC_Tag]]</f>
        <v>PT-61306_AI_1</v>
      </c>
      <c r="H617" s="136"/>
      <c r="I617" s="136" t="str">
        <f>VLOOKUP(tbl_IO_List[[#This Row],[Destination]],tbl_Junction[],2,FALSE)</f>
        <v>Packing Tower 8th Floor</v>
      </c>
      <c r="J617" s="136" t="s">
        <v>360</v>
      </c>
      <c r="K617" s="136" t="s">
        <v>66</v>
      </c>
      <c r="L617" s="136" t="s">
        <v>370</v>
      </c>
      <c r="M617" s="136" t="e">
        <f>VLOOKUP(tbl_IO_List[[#This Row],[Instruement Tag]],tbl_Instruement_List[],2,FALSE)</f>
        <v>#N/A</v>
      </c>
      <c r="N617" s="136" t="s">
        <v>91</v>
      </c>
      <c r="O617" s="136" t="s">
        <v>18</v>
      </c>
      <c r="P617" s="136" t="s">
        <v>75</v>
      </c>
      <c r="Q617" s="136" t="e">
        <f>VLOOKUP(tbl_IO_List[[#This Row],[Instruement Tag]],tbl_Instruement_List[],6,FALSE)</f>
        <v>#N/A</v>
      </c>
      <c r="R617" s="136"/>
      <c r="S61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617" s="136" t="str">
        <f>tbl_IO_List[[#This Row],[Instruement Tag]]&amp;"_"&amp;tbl_IO_List[[#This Row],[I/O Type]]&amp;"_"&amp;tbl_IO_List[[#This Row],[IO-Point 
(Instruement)]]</f>
        <v>PT-61306_AI_1</v>
      </c>
      <c r="U617" s="136" t="s">
        <v>10</v>
      </c>
      <c r="V617" s="136">
        <f>VLOOKUP(tbl_IO_List[[#This Row],[I/O Type]],tbl_Slot_Group[],2,FALSE)</f>
        <v>3</v>
      </c>
      <c r="W617" s="136">
        <v>1</v>
      </c>
      <c r="X617" s="136" t="str">
        <f>tbl_IO_List[[#This Row],[Chassis]]&amp;"S"&amp;TEXT(tbl_IO_List[[#This Row],[Slot]],"00")</f>
        <v>C3S05</v>
      </c>
      <c r="Y617" s="136" t="str">
        <f>tbl_IO_List[[#This Row],[Chassis]]&amp;"S"&amp;TEXT(tbl_IO_List[[#This Row],[Slot]],"00")&amp;tbl_IO_List[[#This Row],[I/O Type]]&amp;TEXT(tbl_IO_List[[#This Row],[Point]],"00")</f>
        <v>C3S05AI01</v>
      </c>
      <c r="Z617" s="136" t="str">
        <f>tbl_IO_List[[#This Row],[Chassis]]&amp;"S"&amp;TEXT(tbl_IO_List[[#This Row],[Slot]],"00")&amp;","&amp;TEXT(tbl_IO_List[[#This Row],[Point]],"00")</f>
        <v>C3S05,01</v>
      </c>
      <c r="AA617" s="136" t="str">
        <f>VLOOKUP(tbl_IO_List[[#This Row],[Column23]],tbl_RackConfig[],5,FALSE) &amp;"-"&amp;tbl_IO_List[[#This Row],[Point]]</f>
        <v>1756-IF16-1</v>
      </c>
      <c r="AB617" s="136"/>
      <c r="AC617" s="136"/>
      <c r="AD617" s="136" t="str">
        <f>tbl_IO_List[[#This Row],[I/O Type]]</f>
        <v>AI</v>
      </c>
      <c r="AE617" s="136" t="s">
        <v>1334</v>
      </c>
      <c r="AF617" s="136">
        <v>5</v>
      </c>
      <c r="AG617" s="136">
        <v>1</v>
      </c>
      <c r="AH617" s="136"/>
      <c r="AI617" s="136"/>
      <c r="AJ617" s="136">
        <v>0</v>
      </c>
      <c r="AK617" s="136">
        <v>0</v>
      </c>
      <c r="AL617" s="136">
        <v>1</v>
      </c>
      <c r="AM617" s="136">
        <v>0</v>
      </c>
      <c r="AN617" s="136">
        <v>0</v>
      </c>
      <c r="AO617" s="136"/>
      <c r="AP617" s="143" t="e">
        <f>VLOOKUP(tbl_IO_List[[#This Row],[Instruement Tag]],tbl_Instruement_List[],14,FALSE)</f>
        <v>#N/A</v>
      </c>
      <c r="AQ617" s="143" t="str">
        <f>tbl_IO_List[[#This Row],[Chassis]]&amp;"S"&amp;tbl_IO_List[[#This Row],[Slot]]&amp;"-"&amp;tbl_IO_List[[#This Row],[Front Terminal Number]]</f>
        <v>C3S5-</v>
      </c>
      <c r="AR617" s="143"/>
      <c r="AS617" s="136" t="str">
        <f>tbl_IO_List[[#This Row],[Terminal Tagging]]&amp;"-"&amp;tbl_IO_List[[#This Row],[Point-Count]]</f>
        <v>-</v>
      </c>
      <c r="AT617" s="136" t="str">
        <f>tbl_IO_List[[#This Row],[Front Terminal Tagging]]&amp;"/"&amp;tbl_IO_List[[#This Row],[Terminal Tagging-Item]]</f>
        <v>C3S5-/-</v>
      </c>
      <c r="AU617" s="136" t="str">
        <f>tbl_IO_List[[#This Row],[Terminal Tagging-Item]]&amp;"/"&amp;tbl_IO_List[[#This Row],[Front Terminal Tagging]]</f>
        <v>-/C3S5-</v>
      </c>
    </row>
    <row r="618" spans="1:47" hidden="1">
      <c r="A618" s="147" t="s">
        <v>1365</v>
      </c>
      <c r="B618" s="136" t="s">
        <v>360</v>
      </c>
      <c r="C618" s="136" t="str">
        <f>tbl_IO_List[[#This Row],[Column3]]</f>
        <v>C3S05,02</v>
      </c>
      <c r="D618" s="136" t="str">
        <f>tbl_IO_List[[#This Row],[Card]]</f>
        <v>1756-IF16-2</v>
      </c>
      <c r="E618" s="136" t="s">
        <v>1366</v>
      </c>
      <c r="F618" s="136" t="str">
        <f>tbl_IO_List[[#This Row],[Column23]]&amp;"-" &amp;tbl_IO_List[[#This Row],[Column52]]</f>
        <v>C3S05-X1</v>
      </c>
      <c r="G618" s="136" t="str">
        <f>tbl_IO_List[[#This Row],[PLC_Tag]]</f>
        <v>TT-61303_AI_1</v>
      </c>
      <c r="H618" s="136"/>
      <c r="I618" s="136" t="str">
        <f>VLOOKUP(tbl_IO_List[[#This Row],[Destination]],tbl_Junction[],2,FALSE)</f>
        <v>Packing Tower 8th Floor</v>
      </c>
      <c r="J618" s="136" t="s">
        <v>360</v>
      </c>
      <c r="K618" s="136" t="s">
        <v>66</v>
      </c>
      <c r="L618" s="136" t="s">
        <v>371</v>
      </c>
      <c r="M618" s="136" t="e">
        <f>VLOOKUP(tbl_IO_List[[#This Row],[Instruement Tag]],tbl_Instruement_List[],2,FALSE)</f>
        <v>#N/A</v>
      </c>
      <c r="N618" s="136" t="s">
        <v>91</v>
      </c>
      <c r="O618" s="136" t="s">
        <v>18</v>
      </c>
      <c r="P618" s="136" t="s">
        <v>75</v>
      </c>
      <c r="Q618" s="136" t="e">
        <f>VLOOKUP(tbl_IO_List[[#This Row],[Instruement Tag]],tbl_Instruement_List[],6,FALSE)</f>
        <v>#N/A</v>
      </c>
      <c r="R618" s="136"/>
      <c r="S61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618" s="136" t="str">
        <f>tbl_IO_List[[#This Row],[Instruement Tag]]&amp;"_"&amp;tbl_IO_List[[#This Row],[I/O Type]]&amp;"_"&amp;tbl_IO_List[[#This Row],[IO-Point 
(Instruement)]]</f>
        <v>TT-61303_AI_1</v>
      </c>
      <c r="U618" s="136" t="s">
        <v>10</v>
      </c>
      <c r="V618" s="136">
        <f>VLOOKUP(tbl_IO_List[[#This Row],[I/O Type]],tbl_Slot_Group[],2,FALSE)</f>
        <v>3</v>
      </c>
      <c r="W618" s="136">
        <v>1</v>
      </c>
      <c r="X618" s="136" t="str">
        <f>tbl_IO_List[[#This Row],[Chassis]]&amp;"S"&amp;TEXT(tbl_IO_List[[#This Row],[Slot]],"00")</f>
        <v>C3S05</v>
      </c>
      <c r="Y618" s="136" t="str">
        <f>tbl_IO_List[[#This Row],[Chassis]]&amp;"S"&amp;TEXT(tbl_IO_List[[#This Row],[Slot]],"00")&amp;tbl_IO_List[[#This Row],[I/O Type]]&amp;TEXT(tbl_IO_List[[#This Row],[Point]],"00")</f>
        <v>C3S05AI02</v>
      </c>
      <c r="Z618" s="136" t="str">
        <f>tbl_IO_List[[#This Row],[Chassis]]&amp;"S"&amp;TEXT(tbl_IO_List[[#This Row],[Slot]],"00")&amp;","&amp;TEXT(tbl_IO_List[[#This Row],[Point]],"00")</f>
        <v>C3S05,02</v>
      </c>
      <c r="AA618" s="136" t="str">
        <f>VLOOKUP(tbl_IO_List[[#This Row],[Column23]],tbl_RackConfig[],5,FALSE) &amp;"-"&amp;tbl_IO_List[[#This Row],[Point]]</f>
        <v>1756-IF16-2</v>
      </c>
      <c r="AB618" s="136"/>
      <c r="AC618" s="136"/>
      <c r="AD618" s="136" t="str">
        <f>tbl_IO_List[[#This Row],[I/O Type]]</f>
        <v>AI</v>
      </c>
      <c r="AE618" s="136" t="s">
        <v>1334</v>
      </c>
      <c r="AF618" s="136">
        <v>5</v>
      </c>
      <c r="AG618" s="136">
        <v>2</v>
      </c>
      <c r="AH618" s="136"/>
      <c r="AI618" s="136"/>
      <c r="AJ618" s="136">
        <v>0</v>
      </c>
      <c r="AK618" s="136">
        <v>0</v>
      </c>
      <c r="AL618" s="136">
        <v>1</v>
      </c>
      <c r="AM618" s="136">
        <v>0</v>
      </c>
      <c r="AN618" s="136">
        <v>0</v>
      </c>
      <c r="AO618" s="136"/>
      <c r="AP618" s="143" t="e">
        <f>VLOOKUP(tbl_IO_List[[#This Row],[Instruement Tag]],tbl_Instruement_List[],14,FALSE)</f>
        <v>#N/A</v>
      </c>
      <c r="AQ618" s="143" t="str">
        <f>tbl_IO_List[[#This Row],[Chassis]]&amp;"S"&amp;tbl_IO_List[[#This Row],[Slot]]&amp;"-"&amp;tbl_IO_List[[#This Row],[Front Terminal Number]]</f>
        <v>C3S5-</v>
      </c>
      <c r="AR618" s="143"/>
      <c r="AS618" s="136" t="str">
        <f>tbl_IO_List[[#This Row],[Terminal Tagging]]&amp;"-"&amp;tbl_IO_List[[#This Row],[Point-Count]]</f>
        <v>-</v>
      </c>
      <c r="AT618" s="136" t="str">
        <f>tbl_IO_List[[#This Row],[Front Terminal Tagging]]&amp;"/"&amp;tbl_IO_List[[#This Row],[Terminal Tagging-Item]]</f>
        <v>C3S5-/-</v>
      </c>
      <c r="AU618" s="136" t="str">
        <f>tbl_IO_List[[#This Row],[Terminal Tagging-Item]]&amp;"/"&amp;tbl_IO_List[[#This Row],[Front Terminal Tagging]]</f>
        <v>-/C3S5-</v>
      </c>
    </row>
    <row r="619" spans="1:47" hidden="1">
      <c r="A619" s="147" t="s">
        <v>1365</v>
      </c>
      <c r="B619" s="136" t="s">
        <v>360</v>
      </c>
      <c r="C619" s="136" t="str">
        <f>tbl_IO_List[[#This Row],[Column3]]</f>
        <v>C3S05,03</v>
      </c>
      <c r="D619" s="136" t="str">
        <f>tbl_IO_List[[#This Row],[Card]]</f>
        <v>1756-IF16-3</v>
      </c>
      <c r="E619" s="136" t="s">
        <v>1366</v>
      </c>
      <c r="F619" s="136" t="str">
        <f>tbl_IO_List[[#This Row],[Column23]]&amp;"-" &amp;tbl_IO_List[[#This Row],[Column52]]</f>
        <v>C3S05-X1</v>
      </c>
      <c r="G619" s="136" t="str">
        <f>tbl_IO_List[[#This Row],[PLC_Tag]]</f>
        <v>TT-61304_AI_1</v>
      </c>
      <c r="H619" s="136"/>
      <c r="I619" s="136" t="str">
        <f>VLOOKUP(tbl_IO_List[[#This Row],[Destination]],tbl_Junction[],2,FALSE)</f>
        <v>Packing Tower 8th Floor</v>
      </c>
      <c r="J619" s="136" t="s">
        <v>360</v>
      </c>
      <c r="K619" s="136" t="s">
        <v>66</v>
      </c>
      <c r="L619" s="136" t="s">
        <v>372</v>
      </c>
      <c r="M619" s="136" t="e">
        <f>VLOOKUP(tbl_IO_List[[#This Row],[Instruement Tag]],tbl_Instruement_List[],2,FALSE)</f>
        <v>#N/A</v>
      </c>
      <c r="N619" s="136" t="s">
        <v>91</v>
      </c>
      <c r="O619" s="136" t="s">
        <v>18</v>
      </c>
      <c r="P619" s="136" t="s">
        <v>75</v>
      </c>
      <c r="Q619" s="136" t="e">
        <f>VLOOKUP(tbl_IO_List[[#This Row],[Instruement Tag]],tbl_Instruement_List[],6,FALSE)</f>
        <v>#N/A</v>
      </c>
      <c r="R619" s="136"/>
      <c r="S61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619" s="136" t="str">
        <f>tbl_IO_List[[#This Row],[Instruement Tag]]&amp;"_"&amp;tbl_IO_List[[#This Row],[I/O Type]]&amp;"_"&amp;tbl_IO_List[[#This Row],[IO-Point 
(Instruement)]]</f>
        <v>TT-61304_AI_1</v>
      </c>
      <c r="U619" s="136" t="s">
        <v>10</v>
      </c>
      <c r="V619" s="136">
        <f>VLOOKUP(tbl_IO_List[[#This Row],[I/O Type]],tbl_Slot_Group[],2,FALSE)</f>
        <v>3</v>
      </c>
      <c r="W619" s="136">
        <v>1</v>
      </c>
      <c r="X619" s="136" t="str">
        <f>tbl_IO_List[[#This Row],[Chassis]]&amp;"S"&amp;TEXT(tbl_IO_List[[#This Row],[Slot]],"00")</f>
        <v>C3S05</v>
      </c>
      <c r="Y619" s="136" t="str">
        <f>tbl_IO_List[[#This Row],[Chassis]]&amp;"S"&amp;TEXT(tbl_IO_List[[#This Row],[Slot]],"00")&amp;tbl_IO_List[[#This Row],[I/O Type]]&amp;TEXT(tbl_IO_List[[#This Row],[Point]],"00")</f>
        <v>C3S05AI03</v>
      </c>
      <c r="Z619" s="136" t="str">
        <f>tbl_IO_List[[#This Row],[Chassis]]&amp;"S"&amp;TEXT(tbl_IO_List[[#This Row],[Slot]],"00")&amp;","&amp;TEXT(tbl_IO_List[[#This Row],[Point]],"00")</f>
        <v>C3S05,03</v>
      </c>
      <c r="AA619" s="136" t="str">
        <f>VLOOKUP(tbl_IO_List[[#This Row],[Column23]],tbl_RackConfig[],5,FALSE) &amp;"-"&amp;tbl_IO_List[[#This Row],[Point]]</f>
        <v>1756-IF16-3</v>
      </c>
      <c r="AB619" s="136"/>
      <c r="AC619" s="136"/>
      <c r="AD619" s="136" t="str">
        <f>tbl_IO_List[[#This Row],[I/O Type]]</f>
        <v>AI</v>
      </c>
      <c r="AE619" s="136" t="s">
        <v>1334</v>
      </c>
      <c r="AF619" s="136">
        <v>5</v>
      </c>
      <c r="AG619" s="136">
        <v>3</v>
      </c>
      <c r="AH619" s="136"/>
      <c r="AI619" s="136"/>
      <c r="AJ619" s="136">
        <v>0</v>
      </c>
      <c r="AK619" s="136">
        <v>0</v>
      </c>
      <c r="AL619" s="136">
        <v>1</v>
      </c>
      <c r="AM619" s="136">
        <v>0</v>
      </c>
      <c r="AN619" s="136">
        <v>0</v>
      </c>
      <c r="AO619" s="136"/>
      <c r="AP619" s="143" t="e">
        <f>VLOOKUP(tbl_IO_List[[#This Row],[Instruement Tag]],tbl_Instruement_List[],14,FALSE)</f>
        <v>#N/A</v>
      </c>
      <c r="AQ619" s="143" t="str">
        <f>tbl_IO_List[[#This Row],[Chassis]]&amp;"S"&amp;tbl_IO_List[[#This Row],[Slot]]&amp;"-"&amp;tbl_IO_List[[#This Row],[Front Terminal Number]]</f>
        <v>C3S5-</v>
      </c>
      <c r="AR619" s="143"/>
      <c r="AS619" s="136" t="str">
        <f>tbl_IO_List[[#This Row],[Terminal Tagging]]&amp;"-"&amp;tbl_IO_List[[#This Row],[Point-Count]]</f>
        <v>-</v>
      </c>
      <c r="AT619" s="136" t="str">
        <f>tbl_IO_List[[#This Row],[Front Terminal Tagging]]&amp;"/"&amp;tbl_IO_List[[#This Row],[Terminal Tagging-Item]]</f>
        <v>C3S5-/-</v>
      </c>
      <c r="AU619" s="136" t="str">
        <f>tbl_IO_List[[#This Row],[Terminal Tagging-Item]]&amp;"/"&amp;tbl_IO_List[[#This Row],[Front Terminal Tagging]]</f>
        <v>-/C3S5-</v>
      </c>
    </row>
    <row r="620" spans="1:47" hidden="1">
      <c r="A620" s="147" t="s">
        <v>1367</v>
      </c>
      <c r="B620" s="136" t="s">
        <v>168</v>
      </c>
      <c r="C620" s="136" t="str">
        <f>tbl_IO_List[[#This Row],[Column3]]</f>
        <v>C3S11,00</v>
      </c>
      <c r="D620" s="136" t="str">
        <f>tbl_IO_List[[#This Row],[Card]]</f>
        <v>1756-N2-0</v>
      </c>
      <c r="E620" s="136" t="s">
        <v>1366</v>
      </c>
      <c r="F620" s="136" t="str">
        <f>tbl_IO_List[[#This Row],[Column23]]&amp;"-" &amp;tbl_IO_List[[#This Row],[Column52]]</f>
        <v>C3S11-X1</v>
      </c>
      <c r="G620" s="136" t="str">
        <f>tbl_IO_List[[#This Row],[PLC_Tag]]</f>
        <v>TCV-40222_AO_1</v>
      </c>
      <c r="H620" s="136"/>
      <c r="I620" s="136" t="str">
        <f>VLOOKUP(tbl_IO_List[[#This Row],[Destination]],tbl_Junction[],2,FALSE)</f>
        <v>Jet Cooker 2nd Floor</v>
      </c>
      <c r="J620" s="136" t="s">
        <v>168</v>
      </c>
      <c r="K620" s="136" t="s">
        <v>169</v>
      </c>
      <c r="L620" s="136" t="s">
        <v>180</v>
      </c>
      <c r="M620" s="136">
        <f>VLOOKUP(tbl_IO_List[[#This Row],[Instruement Tag]],tbl_Instruement_List[],2,FALSE)</f>
        <v>0</v>
      </c>
      <c r="N620" s="136" t="s">
        <v>24</v>
      </c>
      <c r="O620" s="136" t="s">
        <v>18</v>
      </c>
      <c r="P620" s="136" t="s">
        <v>172</v>
      </c>
      <c r="Q620" s="136" t="str">
        <f>VLOOKUP(tbl_IO_List[[#This Row],[Instruement Tag]],tbl_Instruement_List[],6,FALSE)</f>
        <v xml:space="preserve">Jet Cooker </v>
      </c>
      <c r="R620" s="136"/>
      <c r="S62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0,DO=0,AI=0,AO=1,Bus=0</v>
      </c>
      <c r="T620" s="136" t="str">
        <f>tbl_IO_List[[#This Row],[Instruement Tag]]&amp;"_"&amp;tbl_IO_List[[#This Row],[I/O Type]]&amp;"_"&amp;tbl_IO_List[[#This Row],[IO-Point 
(Instruement)]]</f>
        <v>TCV-40222_AO_1</v>
      </c>
      <c r="U620" s="136" t="s">
        <v>9</v>
      </c>
      <c r="V620" s="136">
        <f>VLOOKUP(tbl_IO_List[[#This Row],[I/O Type]],tbl_Slot_Group[],2,FALSE)</f>
        <v>4</v>
      </c>
      <c r="W620" s="136">
        <v>1</v>
      </c>
      <c r="X620" s="136" t="str">
        <f>tbl_IO_List[[#This Row],[Chassis]]&amp;"S"&amp;TEXT(tbl_IO_List[[#This Row],[Slot]],"00")</f>
        <v>C3S11</v>
      </c>
      <c r="Y620" s="136" t="str">
        <f>tbl_IO_List[[#This Row],[Chassis]]&amp;"S"&amp;TEXT(tbl_IO_List[[#This Row],[Slot]],"00")&amp;tbl_IO_List[[#This Row],[I/O Type]]&amp;TEXT(tbl_IO_List[[#This Row],[Point]],"00")</f>
        <v>C3S11AO00</v>
      </c>
      <c r="Z620" s="136" t="str">
        <f>tbl_IO_List[[#This Row],[Chassis]]&amp;"S"&amp;TEXT(tbl_IO_List[[#This Row],[Slot]],"00")&amp;","&amp;TEXT(tbl_IO_List[[#This Row],[Point]],"00")</f>
        <v>C3S11,00</v>
      </c>
      <c r="AA620" s="136" t="str">
        <f>VLOOKUP(tbl_IO_List[[#This Row],[Column23]],tbl_RackConfig[],5,FALSE) &amp;"-"&amp;tbl_IO_List[[#This Row],[Point]]</f>
        <v>1756-N2-0</v>
      </c>
      <c r="AB620" s="136"/>
      <c r="AC620" s="136"/>
      <c r="AD620" s="136" t="str">
        <f>tbl_IO_List[[#This Row],[I/O Type]]</f>
        <v>AO</v>
      </c>
      <c r="AE620" s="136" t="s">
        <v>1334</v>
      </c>
      <c r="AF620" s="136">
        <v>11</v>
      </c>
      <c r="AG620" s="136">
        <v>0</v>
      </c>
      <c r="AH620" s="136"/>
      <c r="AI620" s="136"/>
      <c r="AJ620" s="136">
        <v>0</v>
      </c>
      <c r="AK620" s="136">
        <v>0</v>
      </c>
      <c r="AL620" s="136">
        <v>0</v>
      </c>
      <c r="AM620" s="136">
        <v>1</v>
      </c>
      <c r="AN620" s="136">
        <v>0</v>
      </c>
      <c r="AO620" s="136"/>
      <c r="AP620" s="143" t="str">
        <f>VLOOKUP(tbl_IO_List[[#This Row],[Instruement Tag]],tbl_Instruement_List[],14,FALSE)</f>
        <v>4 - 20 mA</v>
      </c>
      <c r="AQ620" s="143" t="str">
        <f>tbl_IO_List[[#This Row],[Chassis]]&amp;"S"&amp;tbl_IO_List[[#This Row],[Slot]]&amp;"-"&amp;tbl_IO_List[[#This Row],[Front Terminal Number]]</f>
        <v>C3S11-</v>
      </c>
      <c r="AR620" s="143"/>
      <c r="AS620" s="136" t="str">
        <f>tbl_IO_List[[#This Row],[Terminal Tagging]]&amp;"-"&amp;tbl_IO_List[[#This Row],[Point-Count]]</f>
        <v>-</v>
      </c>
      <c r="AT620" s="136" t="str">
        <f>tbl_IO_List[[#This Row],[Front Terminal Tagging]]&amp;"/"&amp;tbl_IO_List[[#This Row],[Terminal Tagging-Item]]</f>
        <v>C3S11-/-</v>
      </c>
      <c r="AU620" s="136" t="str">
        <f>tbl_IO_List[[#This Row],[Terminal Tagging-Item]]&amp;"/"&amp;tbl_IO_List[[#This Row],[Front Terminal Tagging]]</f>
        <v>-/C3S11-</v>
      </c>
    </row>
    <row r="621" spans="1:47" hidden="1">
      <c r="A621" s="147" t="s">
        <v>1367</v>
      </c>
      <c r="B621" s="136" t="s">
        <v>221</v>
      </c>
      <c r="C621" s="136" t="str">
        <f>tbl_IO_List[[#This Row],[Column3]]</f>
        <v>C3S11,01</v>
      </c>
      <c r="D621" s="136" t="str">
        <f>tbl_IO_List[[#This Row],[Card]]</f>
        <v>1756-N2-1</v>
      </c>
      <c r="E621" s="136" t="s">
        <v>1366</v>
      </c>
      <c r="F621" s="136" t="str">
        <f>tbl_IO_List[[#This Row],[Column23]]&amp;"-" &amp;tbl_IO_List[[#This Row],[Column52]]</f>
        <v>C3S11-X1</v>
      </c>
      <c r="G621" s="136" t="str">
        <f>tbl_IO_List[[#This Row],[PLC_Tag]]</f>
        <v>TV-60202_AO_1</v>
      </c>
      <c r="H621" s="136"/>
      <c r="I621" s="136" t="str">
        <f>VLOOKUP(tbl_IO_List[[#This Row],[Destination]],tbl_Junction[],2,FALSE)</f>
        <v>Spray Dryer 3rd Floor</v>
      </c>
      <c r="J621" s="136" t="s">
        <v>221</v>
      </c>
      <c r="K621" s="136" t="s">
        <v>14</v>
      </c>
      <c r="L621" s="136" t="s">
        <v>247</v>
      </c>
      <c r="M621" s="136" t="e">
        <f>VLOOKUP(tbl_IO_List[[#This Row],[Instruement Tag]],tbl_Instruement_List[],2,FALSE)</f>
        <v>#N/A</v>
      </c>
      <c r="N621" s="136" t="s">
        <v>28</v>
      </c>
      <c r="O621" s="136" t="s">
        <v>248</v>
      </c>
      <c r="P621" s="136" t="s">
        <v>249</v>
      </c>
      <c r="Q621" s="136" t="e">
        <f>VLOOKUP(tbl_IO_List[[#This Row],[Instruement Tag]],tbl_Instruement_List[],6,FALSE)</f>
        <v>#N/A</v>
      </c>
      <c r="R621" s="136"/>
      <c r="S62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0,DO=0,AI=0,AO=1,Bus=0</v>
      </c>
      <c r="T621" s="136" t="str">
        <f>tbl_IO_List[[#This Row],[Instruement Tag]]&amp;"_"&amp;tbl_IO_List[[#This Row],[I/O Type]]&amp;"_"&amp;tbl_IO_List[[#This Row],[IO-Point 
(Instruement)]]</f>
        <v>TV-60202_AO_1</v>
      </c>
      <c r="U621" s="136" t="s">
        <v>9</v>
      </c>
      <c r="V621" s="136">
        <f>VLOOKUP(tbl_IO_List[[#This Row],[I/O Type]],tbl_Slot_Group[],2,FALSE)</f>
        <v>4</v>
      </c>
      <c r="W621" s="136">
        <v>1</v>
      </c>
      <c r="X621" s="136" t="str">
        <f>tbl_IO_List[[#This Row],[Chassis]]&amp;"S"&amp;TEXT(tbl_IO_List[[#This Row],[Slot]],"00")</f>
        <v>C3S11</v>
      </c>
      <c r="Y621" s="136" t="str">
        <f>tbl_IO_List[[#This Row],[Chassis]]&amp;"S"&amp;TEXT(tbl_IO_List[[#This Row],[Slot]],"00")&amp;tbl_IO_List[[#This Row],[I/O Type]]&amp;TEXT(tbl_IO_List[[#This Row],[Point]],"00")</f>
        <v>C3S11AO01</v>
      </c>
      <c r="Z621" s="136" t="str">
        <f>tbl_IO_List[[#This Row],[Chassis]]&amp;"S"&amp;TEXT(tbl_IO_List[[#This Row],[Slot]],"00")&amp;","&amp;TEXT(tbl_IO_List[[#This Row],[Point]],"00")</f>
        <v>C3S11,01</v>
      </c>
      <c r="AA621" s="136" t="str">
        <f>VLOOKUP(tbl_IO_List[[#This Row],[Column23]],tbl_RackConfig[],5,FALSE) &amp;"-"&amp;tbl_IO_List[[#This Row],[Point]]</f>
        <v>1756-N2-1</v>
      </c>
      <c r="AB621" s="136"/>
      <c r="AC621" s="136"/>
      <c r="AD621" s="136" t="str">
        <f>tbl_IO_List[[#This Row],[I/O Type]]</f>
        <v>AO</v>
      </c>
      <c r="AE621" s="136" t="s">
        <v>1334</v>
      </c>
      <c r="AF621" s="136">
        <v>11</v>
      </c>
      <c r="AG621" s="136">
        <v>1</v>
      </c>
      <c r="AH621" s="136"/>
      <c r="AI621" s="136"/>
      <c r="AJ621" s="136">
        <v>0</v>
      </c>
      <c r="AK621" s="136">
        <v>0</v>
      </c>
      <c r="AL621" s="136">
        <v>0</v>
      </c>
      <c r="AM621" s="136">
        <v>1</v>
      </c>
      <c r="AN621" s="136">
        <v>0</v>
      </c>
      <c r="AO621" s="136"/>
      <c r="AP621" s="143" t="e">
        <f>VLOOKUP(tbl_IO_List[[#This Row],[Instruement Tag]],tbl_Instruement_List[],14,FALSE)</f>
        <v>#N/A</v>
      </c>
      <c r="AQ621" s="143" t="str">
        <f>tbl_IO_List[[#This Row],[Chassis]]&amp;"S"&amp;tbl_IO_List[[#This Row],[Slot]]&amp;"-"&amp;tbl_IO_List[[#This Row],[Front Terminal Number]]</f>
        <v>C3S11-</v>
      </c>
      <c r="AR621" s="143"/>
      <c r="AS621" s="136" t="str">
        <f>tbl_IO_List[[#This Row],[Terminal Tagging]]&amp;"-"&amp;tbl_IO_List[[#This Row],[Point-Count]]</f>
        <v>-</v>
      </c>
      <c r="AT621" s="136" t="str">
        <f>tbl_IO_List[[#This Row],[Front Terminal Tagging]]&amp;"/"&amp;tbl_IO_List[[#This Row],[Terminal Tagging-Item]]</f>
        <v>C3S11-/-</v>
      </c>
      <c r="AU621" s="136" t="str">
        <f>tbl_IO_List[[#This Row],[Terminal Tagging-Item]]&amp;"/"&amp;tbl_IO_List[[#This Row],[Front Terminal Tagging]]</f>
        <v>-/C3S11-</v>
      </c>
    </row>
    <row r="622" spans="1:47" hidden="1">
      <c r="A622" s="147" t="s">
        <v>1367</v>
      </c>
      <c r="B622" s="136" t="s">
        <v>221</v>
      </c>
      <c r="C622" s="136" t="str">
        <f>tbl_IO_List[[#This Row],[Column3]]</f>
        <v>C3S11,02</v>
      </c>
      <c r="D622" s="136" t="str">
        <f>tbl_IO_List[[#This Row],[Card]]</f>
        <v>1756-N2-2</v>
      </c>
      <c r="E622" s="136" t="s">
        <v>1366</v>
      </c>
      <c r="F622" s="136" t="str">
        <f>tbl_IO_List[[#This Row],[Column23]]&amp;"-" &amp;tbl_IO_List[[#This Row],[Column52]]</f>
        <v>C3S11-X1</v>
      </c>
      <c r="G622" s="136" t="str">
        <f>tbl_IO_List[[#This Row],[PLC_Tag]]</f>
        <v>TV-60214_AO_1</v>
      </c>
      <c r="H622" s="136"/>
      <c r="I622" s="136" t="str">
        <f>VLOOKUP(tbl_IO_List[[#This Row],[Destination]],tbl_Junction[],2,FALSE)</f>
        <v>Spray Dryer 3rd Floor</v>
      </c>
      <c r="J622" s="136" t="s">
        <v>221</v>
      </c>
      <c r="K622" s="136" t="s">
        <v>14</v>
      </c>
      <c r="L622" s="136" t="s">
        <v>246</v>
      </c>
      <c r="M622" s="136" t="e">
        <f>VLOOKUP(tbl_IO_List[[#This Row],[Instruement Tag]],tbl_Instruement_List[],2,FALSE)</f>
        <v>#N/A</v>
      </c>
      <c r="N622" s="136" t="s">
        <v>47</v>
      </c>
      <c r="O622" s="136" t="s">
        <v>50</v>
      </c>
      <c r="P622" s="136" t="s">
        <v>51</v>
      </c>
      <c r="Q622" s="136" t="e">
        <f>VLOOKUP(tbl_IO_List[[#This Row],[Instruement Tag]],tbl_Instruement_List[],6,FALSE)</f>
        <v>#N/A</v>
      </c>
      <c r="R622" s="136"/>
      <c r="S62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0,DO=0,AI=0,AO=1,Bus=0</v>
      </c>
      <c r="T622" s="136" t="str">
        <f>tbl_IO_List[[#This Row],[Instruement Tag]]&amp;"_"&amp;tbl_IO_List[[#This Row],[I/O Type]]&amp;"_"&amp;tbl_IO_List[[#This Row],[IO-Point 
(Instruement)]]</f>
        <v>TV-60214_AO_1</v>
      </c>
      <c r="U622" s="136" t="s">
        <v>9</v>
      </c>
      <c r="V622" s="136">
        <f>VLOOKUP(tbl_IO_List[[#This Row],[I/O Type]],tbl_Slot_Group[],2,FALSE)</f>
        <v>4</v>
      </c>
      <c r="W622" s="136">
        <v>1</v>
      </c>
      <c r="X622" s="136" t="str">
        <f>tbl_IO_List[[#This Row],[Chassis]]&amp;"S"&amp;TEXT(tbl_IO_List[[#This Row],[Slot]],"00")</f>
        <v>C3S11</v>
      </c>
      <c r="Y622" s="136" t="str">
        <f>tbl_IO_List[[#This Row],[Chassis]]&amp;"S"&amp;TEXT(tbl_IO_List[[#This Row],[Slot]],"00")&amp;tbl_IO_List[[#This Row],[I/O Type]]&amp;TEXT(tbl_IO_List[[#This Row],[Point]],"00")</f>
        <v>C3S11AO02</v>
      </c>
      <c r="Z622" s="136" t="str">
        <f>tbl_IO_List[[#This Row],[Chassis]]&amp;"S"&amp;TEXT(tbl_IO_List[[#This Row],[Slot]],"00")&amp;","&amp;TEXT(tbl_IO_List[[#This Row],[Point]],"00")</f>
        <v>C3S11,02</v>
      </c>
      <c r="AA622" s="136" t="str">
        <f>VLOOKUP(tbl_IO_List[[#This Row],[Column23]],tbl_RackConfig[],5,FALSE) &amp;"-"&amp;tbl_IO_List[[#This Row],[Point]]</f>
        <v>1756-N2-2</v>
      </c>
      <c r="AB622" s="136"/>
      <c r="AC622" s="136"/>
      <c r="AD622" s="136" t="str">
        <f>tbl_IO_List[[#This Row],[I/O Type]]</f>
        <v>AO</v>
      </c>
      <c r="AE622" s="136" t="s">
        <v>1334</v>
      </c>
      <c r="AF622" s="136">
        <v>11</v>
      </c>
      <c r="AG622" s="136">
        <v>2</v>
      </c>
      <c r="AH622" s="136"/>
      <c r="AI622" s="136"/>
      <c r="AJ622" s="136">
        <v>0</v>
      </c>
      <c r="AK622" s="136">
        <v>0</v>
      </c>
      <c r="AL622" s="136">
        <v>0</v>
      </c>
      <c r="AM622" s="136">
        <v>1</v>
      </c>
      <c r="AN622" s="136">
        <v>0</v>
      </c>
      <c r="AO622" s="136"/>
      <c r="AP622" s="143" t="e">
        <f>VLOOKUP(tbl_IO_List[[#This Row],[Instruement Tag]],tbl_Instruement_List[],14,FALSE)</f>
        <v>#N/A</v>
      </c>
      <c r="AQ622" s="143" t="str">
        <f>tbl_IO_List[[#This Row],[Chassis]]&amp;"S"&amp;tbl_IO_List[[#This Row],[Slot]]&amp;"-"&amp;tbl_IO_List[[#This Row],[Front Terminal Number]]</f>
        <v>C3S11-</v>
      </c>
      <c r="AR622" s="143"/>
      <c r="AS622" s="136" t="str">
        <f>tbl_IO_List[[#This Row],[Terminal Tagging]]&amp;"-"&amp;tbl_IO_List[[#This Row],[Point-Count]]</f>
        <v>-</v>
      </c>
      <c r="AT622" s="136" t="str">
        <f>tbl_IO_List[[#This Row],[Front Terminal Tagging]]&amp;"/"&amp;tbl_IO_List[[#This Row],[Terminal Tagging-Item]]</f>
        <v>C3S11-/-</v>
      </c>
      <c r="AU622" s="136" t="str">
        <f>tbl_IO_List[[#This Row],[Terminal Tagging-Item]]&amp;"/"&amp;tbl_IO_List[[#This Row],[Front Terminal Tagging]]</f>
        <v>-/C3S11-</v>
      </c>
    </row>
    <row r="623" spans="1:47" hidden="1">
      <c r="A623" s="147" t="s">
        <v>1367</v>
      </c>
      <c r="B623" s="136" t="s">
        <v>270</v>
      </c>
      <c r="C623" s="136" t="str">
        <f>tbl_IO_List[[#This Row],[Column3]]</f>
        <v>C3S11,03</v>
      </c>
      <c r="D623" s="136" t="str">
        <f>tbl_IO_List[[#This Row],[Card]]</f>
        <v>1756-N2-3</v>
      </c>
      <c r="E623" s="136" t="s">
        <v>1366</v>
      </c>
      <c r="F623" s="136" t="str">
        <f>tbl_IO_List[[#This Row],[Column23]]&amp;"-" &amp;tbl_IO_List[[#This Row],[Column52]]</f>
        <v>C3S11-X1</v>
      </c>
      <c r="G623" s="136" t="str">
        <f>tbl_IO_List[[#This Row],[PLC_Tag]]</f>
        <v>PV-60201_AO_1</v>
      </c>
      <c r="H623" s="136"/>
      <c r="I623" s="136" t="str">
        <f>VLOOKUP(tbl_IO_List[[#This Row],[Destination]],tbl_Junction[],2,FALSE)</f>
        <v>Spray Dryer 7th Floor</v>
      </c>
      <c r="J623" s="136" t="s">
        <v>270</v>
      </c>
      <c r="K623" s="136" t="s">
        <v>14</v>
      </c>
      <c r="L623" s="136" t="s">
        <v>291</v>
      </c>
      <c r="M623" s="136" t="e">
        <f>VLOOKUP(tbl_IO_List[[#This Row],[Instruement Tag]],tbl_Instruement_List[],2,FALSE)</f>
        <v>#N/A</v>
      </c>
      <c r="N623" s="136" t="s">
        <v>95</v>
      </c>
      <c r="O623" s="136" t="s">
        <v>272</v>
      </c>
      <c r="P623" s="136" t="s">
        <v>273</v>
      </c>
      <c r="Q623" s="136" t="e">
        <f>VLOOKUP(tbl_IO_List[[#This Row],[Instruement Tag]],tbl_Instruement_List[],6,FALSE)</f>
        <v>#N/A</v>
      </c>
      <c r="R623" s="136"/>
      <c r="S62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0,DO=0,AI=0,AO=1,Bus=0</v>
      </c>
      <c r="T623" s="136" t="str">
        <f>tbl_IO_List[[#This Row],[Instruement Tag]]&amp;"_"&amp;tbl_IO_List[[#This Row],[I/O Type]]&amp;"_"&amp;tbl_IO_List[[#This Row],[IO-Point 
(Instruement)]]</f>
        <v>PV-60201_AO_1</v>
      </c>
      <c r="U623" s="136" t="s">
        <v>9</v>
      </c>
      <c r="V623" s="136">
        <f>VLOOKUP(tbl_IO_List[[#This Row],[I/O Type]],tbl_Slot_Group[],2,FALSE)</f>
        <v>4</v>
      </c>
      <c r="W623" s="136">
        <v>1</v>
      </c>
      <c r="X623" s="136" t="str">
        <f>tbl_IO_List[[#This Row],[Chassis]]&amp;"S"&amp;TEXT(tbl_IO_List[[#This Row],[Slot]],"00")</f>
        <v>C3S11</v>
      </c>
      <c r="Y623" s="136" t="str">
        <f>tbl_IO_List[[#This Row],[Chassis]]&amp;"S"&amp;TEXT(tbl_IO_List[[#This Row],[Slot]],"00")&amp;tbl_IO_List[[#This Row],[I/O Type]]&amp;TEXT(tbl_IO_List[[#This Row],[Point]],"00")</f>
        <v>C3S11AO03</v>
      </c>
      <c r="Z623" s="136" t="str">
        <f>tbl_IO_List[[#This Row],[Chassis]]&amp;"S"&amp;TEXT(tbl_IO_List[[#This Row],[Slot]],"00")&amp;","&amp;TEXT(tbl_IO_List[[#This Row],[Point]],"00")</f>
        <v>C3S11,03</v>
      </c>
      <c r="AA623" s="136" t="str">
        <f>VLOOKUP(tbl_IO_List[[#This Row],[Column23]],tbl_RackConfig[],5,FALSE) &amp;"-"&amp;tbl_IO_List[[#This Row],[Point]]</f>
        <v>1756-N2-3</v>
      </c>
      <c r="AB623" s="136"/>
      <c r="AC623" s="136"/>
      <c r="AD623" s="136" t="str">
        <f>tbl_IO_List[[#This Row],[I/O Type]]</f>
        <v>AO</v>
      </c>
      <c r="AE623" s="136" t="s">
        <v>1334</v>
      </c>
      <c r="AF623" s="136">
        <v>11</v>
      </c>
      <c r="AG623" s="136">
        <v>3</v>
      </c>
      <c r="AH623" s="136"/>
      <c r="AI623" s="136"/>
      <c r="AJ623" s="136">
        <v>0</v>
      </c>
      <c r="AK623" s="136">
        <v>0</v>
      </c>
      <c r="AL623" s="136">
        <v>0</v>
      </c>
      <c r="AM623" s="136">
        <v>1</v>
      </c>
      <c r="AN623" s="136">
        <v>0</v>
      </c>
      <c r="AO623" s="136"/>
      <c r="AP623" s="143" t="e">
        <f>VLOOKUP(tbl_IO_List[[#This Row],[Instruement Tag]],tbl_Instruement_List[],14,FALSE)</f>
        <v>#N/A</v>
      </c>
      <c r="AQ623" s="143" t="str">
        <f>tbl_IO_List[[#This Row],[Chassis]]&amp;"S"&amp;tbl_IO_List[[#This Row],[Slot]]&amp;"-"&amp;tbl_IO_List[[#This Row],[Front Terminal Number]]</f>
        <v>C3S11-</v>
      </c>
      <c r="AR623" s="143"/>
      <c r="AS623" s="136" t="str">
        <f>tbl_IO_List[[#This Row],[Terminal Tagging]]&amp;"-"&amp;tbl_IO_List[[#This Row],[Point-Count]]</f>
        <v>-</v>
      </c>
      <c r="AT623" s="136" t="str">
        <f>tbl_IO_List[[#This Row],[Front Terminal Tagging]]&amp;"/"&amp;tbl_IO_List[[#This Row],[Terminal Tagging-Item]]</f>
        <v>C3S11-/-</v>
      </c>
      <c r="AU623" s="136" t="str">
        <f>tbl_IO_List[[#This Row],[Terminal Tagging-Item]]&amp;"/"&amp;tbl_IO_List[[#This Row],[Front Terminal Tagging]]</f>
        <v>-/C3S11-</v>
      </c>
    </row>
    <row r="624" spans="1:47" hidden="1">
      <c r="A624" s="147" t="s">
        <v>1367</v>
      </c>
      <c r="B624" s="136" t="s">
        <v>270</v>
      </c>
      <c r="C624" s="136" t="str">
        <f>tbl_IO_List[[#This Row],[Column3]]</f>
        <v>C3S11,04</v>
      </c>
      <c r="D624" s="136" t="str">
        <f>tbl_IO_List[[#This Row],[Card]]</f>
        <v>1756-N2-4</v>
      </c>
      <c r="E624" s="136" t="s">
        <v>1366</v>
      </c>
      <c r="F624" s="136" t="str">
        <f>tbl_IO_List[[#This Row],[Column23]]&amp;"-" &amp;tbl_IO_List[[#This Row],[Column52]]</f>
        <v>C3S11-X1</v>
      </c>
      <c r="G624" s="136" t="str">
        <f>tbl_IO_List[[#This Row],[PLC_Tag]]</f>
        <v>UY-FH-60210B_AO_1</v>
      </c>
      <c r="H624" s="136"/>
      <c r="I624" s="136" t="str">
        <f>VLOOKUP(tbl_IO_List[[#This Row],[Destination]],tbl_Junction[],2,FALSE)</f>
        <v>Spray Dryer 7th Floor</v>
      </c>
      <c r="J624" s="136" t="s">
        <v>270</v>
      </c>
      <c r="K624" s="136" t="s">
        <v>14</v>
      </c>
      <c r="L624" s="136" t="s">
        <v>1115</v>
      </c>
      <c r="M624" s="136">
        <f>VLOOKUP(tbl_IO_List[[#This Row],[Instruement Tag]],tbl_Instruement_List[],2,FALSE)</f>
        <v>0</v>
      </c>
      <c r="N624" s="136" t="s">
        <v>95</v>
      </c>
      <c r="O624" s="136" t="s">
        <v>331</v>
      </c>
      <c r="P624" s="136" t="s">
        <v>18</v>
      </c>
      <c r="Q624" s="136" t="str">
        <f>VLOOKUP(tbl_IO_List[[#This Row],[Instruement Tag]],tbl_Instruement_List[],6,FALSE)</f>
        <v>Demand Signal</v>
      </c>
      <c r="R624" s="136"/>
      <c r="S62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0,DO=0,AI=0,AO=1,Bus=0</v>
      </c>
      <c r="T624" s="136" t="str">
        <f>tbl_IO_List[[#This Row],[Instruement Tag]]&amp;"_"&amp;tbl_IO_List[[#This Row],[I/O Type]]&amp;"_"&amp;tbl_IO_List[[#This Row],[IO-Point 
(Instruement)]]</f>
        <v>UY-FH-60210B_AO_1</v>
      </c>
      <c r="U624" s="136" t="s">
        <v>9</v>
      </c>
      <c r="V624" s="136">
        <f>VLOOKUP(tbl_IO_List[[#This Row],[I/O Type]],tbl_Slot_Group[],2,FALSE)</f>
        <v>4</v>
      </c>
      <c r="W624" s="136">
        <v>1</v>
      </c>
      <c r="X624" s="136" t="str">
        <f>tbl_IO_List[[#This Row],[Chassis]]&amp;"S"&amp;TEXT(tbl_IO_List[[#This Row],[Slot]],"00")</f>
        <v>C3S11</v>
      </c>
      <c r="Y624" s="136" t="str">
        <f>tbl_IO_List[[#This Row],[Chassis]]&amp;"S"&amp;TEXT(tbl_IO_List[[#This Row],[Slot]],"00")&amp;tbl_IO_List[[#This Row],[I/O Type]]&amp;TEXT(tbl_IO_List[[#This Row],[Point]],"00")</f>
        <v>C3S11AO04</v>
      </c>
      <c r="Z624" s="136" t="str">
        <f>tbl_IO_List[[#This Row],[Chassis]]&amp;"S"&amp;TEXT(tbl_IO_List[[#This Row],[Slot]],"00")&amp;","&amp;TEXT(tbl_IO_List[[#This Row],[Point]],"00")</f>
        <v>C3S11,04</v>
      </c>
      <c r="AA624" s="136" t="str">
        <f>VLOOKUP(tbl_IO_List[[#This Row],[Column23]],tbl_RackConfig[],5,FALSE) &amp;"-"&amp;tbl_IO_List[[#This Row],[Point]]</f>
        <v>1756-N2-4</v>
      </c>
      <c r="AB624" s="136"/>
      <c r="AC624" s="136"/>
      <c r="AD624" s="136" t="str">
        <f>tbl_IO_List[[#This Row],[I/O Type]]</f>
        <v>AO</v>
      </c>
      <c r="AE624" s="136" t="s">
        <v>1334</v>
      </c>
      <c r="AF624" s="136">
        <v>11</v>
      </c>
      <c r="AG624" s="136">
        <v>4</v>
      </c>
      <c r="AH624" s="136"/>
      <c r="AI624" s="136"/>
      <c r="AJ624" s="136">
        <v>0</v>
      </c>
      <c r="AK624" s="136">
        <v>0</v>
      </c>
      <c r="AL624" s="136">
        <v>0</v>
      </c>
      <c r="AM624" s="136">
        <v>1</v>
      </c>
      <c r="AN624" s="136">
        <v>0</v>
      </c>
      <c r="AO624" s="136"/>
      <c r="AP624" s="143" t="str">
        <f>VLOOKUP(tbl_IO_List[[#This Row],[Instruement Tag]],tbl_Instruement_List[],14,FALSE)</f>
        <v>4 - 20 mA</v>
      </c>
      <c r="AQ624" s="143" t="str">
        <f>tbl_IO_List[[#This Row],[Chassis]]&amp;"S"&amp;tbl_IO_List[[#This Row],[Slot]]&amp;"-"&amp;tbl_IO_List[[#This Row],[Front Terminal Number]]</f>
        <v>C3S11-</v>
      </c>
      <c r="AR624" s="143"/>
      <c r="AS624" s="136" t="str">
        <f>tbl_IO_List[[#This Row],[Terminal Tagging]]&amp;"-"&amp;tbl_IO_List[[#This Row],[Point-Count]]</f>
        <v>-</v>
      </c>
      <c r="AT624" s="136" t="str">
        <f>tbl_IO_List[[#This Row],[Front Terminal Tagging]]&amp;"/"&amp;tbl_IO_List[[#This Row],[Terminal Tagging-Item]]</f>
        <v>C3S11-/-</v>
      </c>
      <c r="AU624" s="136" t="str">
        <f>tbl_IO_List[[#This Row],[Terminal Tagging-Item]]&amp;"/"&amp;tbl_IO_List[[#This Row],[Front Terminal Tagging]]</f>
        <v>-/C3S11-</v>
      </c>
    </row>
    <row r="625" spans="1:47" hidden="1">
      <c r="A625" s="147" t="s">
        <v>1367</v>
      </c>
      <c r="B625" s="136" t="s">
        <v>270</v>
      </c>
      <c r="C625" s="136" t="str">
        <f>tbl_IO_List[[#This Row],[Column3]]</f>
        <v>C3S11,05</v>
      </c>
      <c r="D625" s="136" t="str">
        <f>tbl_IO_List[[#This Row],[Card]]</f>
        <v>1756-N2-5</v>
      </c>
      <c r="E625" s="136" t="s">
        <v>1366</v>
      </c>
      <c r="F625" s="136" t="str">
        <f>tbl_IO_List[[#This Row],[Column23]]&amp;"-" &amp;tbl_IO_List[[#This Row],[Column52]]</f>
        <v>C3S11-X1</v>
      </c>
      <c r="G625" s="136" t="str">
        <f>tbl_IO_List[[#This Row],[PLC_Tag]]</f>
        <v>Spare_AO_0</v>
      </c>
      <c r="H625" s="136"/>
      <c r="I625" s="136" t="str">
        <f>VLOOKUP(tbl_IO_List[[#This Row],[Destination]],tbl_Junction[],2,FALSE)</f>
        <v>Spray Dryer 7th Floor</v>
      </c>
      <c r="J625" s="136"/>
      <c r="K625" s="136"/>
      <c r="L625" s="136" t="s">
        <v>411</v>
      </c>
      <c r="M625" s="136" t="e">
        <f>VLOOKUP(tbl_IO_List[[#This Row],[Instruement Tag]],tbl_Instruement_List[],2,FALSE)</f>
        <v>#N/A</v>
      </c>
      <c r="N625" s="136"/>
      <c r="O625" s="136"/>
      <c r="P625" s="136"/>
      <c r="Q625" s="136" t="e">
        <f>VLOOKUP(tbl_IO_List[[#This Row],[Instruement Tag]],tbl_Instruement_List[],6,FALSE)</f>
        <v>#N/A</v>
      </c>
      <c r="R625" s="136"/>
      <c r="S62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0,DO=0,AI=0,AO=1,Bus=0</v>
      </c>
      <c r="T625" s="136" t="str">
        <f>tbl_IO_List[[#This Row],[Instruement Tag]]&amp;"_"&amp;tbl_IO_List[[#This Row],[I/O Type]]&amp;"_"&amp;tbl_IO_List[[#This Row],[IO-Point 
(Instruement)]]</f>
        <v>Spare_AO_0</v>
      </c>
      <c r="U625" s="136" t="s">
        <v>9</v>
      </c>
      <c r="V625" s="136">
        <f>VLOOKUP(tbl_IO_List[[#This Row],[I/O Type]],tbl_Slot_Group[],2,FALSE)</f>
        <v>4</v>
      </c>
      <c r="W625" s="136">
        <v>0</v>
      </c>
      <c r="X625" s="136" t="str">
        <f>tbl_IO_List[[#This Row],[Chassis]]&amp;"S"&amp;TEXT(tbl_IO_List[[#This Row],[Slot]],"00")</f>
        <v>C3S11</v>
      </c>
      <c r="Y625" s="136" t="str">
        <f>tbl_IO_List[[#This Row],[Chassis]]&amp;"S"&amp;TEXT(tbl_IO_List[[#This Row],[Slot]],"00")&amp;tbl_IO_List[[#This Row],[I/O Type]]&amp;TEXT(tbl_IO_List[[#This Row],[Point]],"00")</f>
        <v>C3S11AO05</v>
      </c>
      <c r="Z625" s="136" t="str">
        <f>tbl_IO_List[[#This Row],[Chassis]]&amp;"S"&amp;TEXT(tbl_IO_List[[#This Row],[Slot]],"00")&amp;","&amp;TEXT(tbl_IO_List[[#This Row],[Point]],"00")</f>
        <v>C3S11,05</v>
      </c>
      <c r="AA625" s="136" t="str">
        <f>VLOOKUP(tbl_IO_List[[#This Row],[Column23]],tbl_RackConfig[],5,FALSE) &amp;"-"&amp;tbl_IO_List[[#This Row],[Point]]</f>
        <v>1756-N2-5</v>
      </c>
      <c r="AB625" s="136"/>
      <c r="AC625" s="136"/>
      <c r="AD625" s="136" t="str">
        <f>tbl_IO_List[[#This Row],[I/O Type]]</f>
        <v>AO</v>
      </c>
      <c r="AE625" s="136" t="s">
        <v>1334</v>
      </c>
      <c r="AF625" s="136">
        <v>11</v>
      </c>
      <c r="AG625" s="136">
        <v>5</v>
      </c>
      <c r="AH625" s="136"/>
      <c r="AI625" s="136"/>
      <c r="AJ625" s="136">
        <v>0</v>
      </c>
      <c r="AK625" s="136">
        <v>0</v>
      </c>
      <c r="AL625" s="136">
        <v>0</v>
      </c>
      <c r="AM625" s="136">
        <v>1</v>
      </c>
      <c r="AN625" s="136">
        <v>0</v>
      </c>
      <c r="AO625" s="136"/>
      <c r="AP625" s="143" t="e">
        <f>VLOOKUP(tbl_IO_List[[#This Row],[Instruement Tag]],tbl_Instruement_List[],14,FALSE)</f>
        <v>#N/A</v>
      </c>
      <c r="AQ625" s="143" t="str">
        <f>tbl_IO_List[[#This Row],[Chassis]]&amp;"S"&amp;tbl_IO_List[[#This Row],[Slot]]&amp;"-"&amp;tbl_IO_List[[#This Row],[Front Terminal Number]]</f>
        <v>C3S11-</v>
      </c>
      <c r="AR625" s="143"/>
      <c r="AS625" s="136" t="str">
        <f>tbl_IO_List[[#This Row],[Terminal Tagging]]&amp;"-"&amp;tbl_IO_List[[#This Row],[Point-Count]]</f>
        <v>-</v>
      </c>
      <c r="AT625" s="136" t="str">
        <f>tbl_IO_List[[#This Row],[Front Terminal Tagging]]&amp;"/"&amp;tbl_IO_List[[#This Row],[Terminal Tagging-Item]]</f>
        <v>C3S11-/-</v>
      </c>
      <c r="AU625" s="136" t="str">
        <f>tbl_IO_List[[#This Row],[Terminal Tagging-Item]]&amp;"/"&amp;tbl_IO_List[[#This Row],[Front Terminal Tagging]]</f>
        <v>-/C3S11-</v>
      </c>
    </row>
    <row r="626" spans="1:47" hidden="1">
      <c r="A626" s="147" t="s">
        <v>1367</v>
      </c>
      <c r="B626" s="136" t="s">
        <v>270</v>
      </c>
      <c r="C626" s="136" t="str">
        <f>tbl_IO_List[[#This Row],[Column3]]</f>
        <v>C3S11,06</v>
      </c>
      <c r="D626" s="136" t="str">
        <f>tbl_IO_List[[#This Row],[Card]]</f>
        <v>1756-N2-6</v>
      </c>
      <c r="E626" s="136" t="s">
        <v>1366</v>
      </c>
      <c r="F626" s="136" t="str">
        <f>tbl_IO_List[[#This Row],[Column23]]&amp;"-" &amp;tbl_IO_List[[#This Row],[Column52]]</f>
        <v>C3S11-X1</v>
      </c>
      <c r="G626" s="136" t="str">
        <f>tbl_IO_List[[#This Row],[PLC_Tag]]</f>
        <v>Spare_AO_0</v>
      </c>
      <c r="H626" s="136"/>
      <c r="I626" s="136" t="str">
        <f>VLOOKUP(tbl_IO_List[[#This Row],[Destination]],tbl_Junction[],2,FALSE)</f>
        <v>Spray Dryer 7th Floor</v>
      </c>
      <c r="J626" s="136"/>
      <c r="K626" s="136"/>
      <c r="L626" s="136" t="s">
        <v>411</v>
      </c>
      <c r="M626" s="136" t="e">
        <f>VLOOKUP(tbl_IO_List[[#This Row],[Instruement Tag]],tbl_Instruement_List[],2,FALSE)</f>
        <v>#N/A</v>
      </c>
      <c r="N626" s="136"/>
      <c r="O626" s="136"/>
      <c r="P626" s="136"/>
      <c r="Q626" s="136" t="e">
        <f>VLOOKUP(tbl_IO_List[[#This Row],[Instruement Tag]],tbl_Instruement_List[],6,FALSE)</f>
        <v>#N/A</v>
      </c>
      <c r="R626" s="136"/>
      <c r="S62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0,DO=0,AI=0,AO=1,Bus=0</v>
      </c>
      <c r="T626" s="136" t="str">
        <f>tbl_IO_List[[#This Row],[Instruement Tag]]&amp;"_"&amp;tbl_IO_List[[#This Row],[I/O Type]]&amp;"_"&amp;tbl_IO_List[[#This Row],[IO-Point 
(Instruement)]]</f>
        <v>Spare_AO_0</v>
      </c>
      <c r="U626" s="136" t="s">
        <v>9</v>
      </c>
      <c r="V626" s="136">
        <f>VLOOKUP(tbl_IO_List[[#This Row],[I/O Type]],tbl_Slot_Group[],2,FALSE)</f>
        <v>4</v>
      </c>
      <c r="W626" s="136">
        <v>0</v>
      </c>
      <c r="X626" s="136" t="str">
        <f>tbl_IO_List[[#This Row],[Chassis]]&amp;"S"&amp;TEXT(tbl_IO_List[[#This Row],[Slot]],"00")</f>
        <v>C3S11</v>
      </c>
      <c r="Y626" s="136" t="str">
        <f>tbl_IO_List[[#This Row],[Chassis]]&amp;"S"&amp;TEXT(tbl_IO_List[[#This Row],[Slot]],"00")&amp;tbl_IO_List[[#This Row],[I/O Type]]&amp;TEXT(tbl_IO_List[[#This Row],[Point]],"00")</f>
        <v>C3S11AO06</v>
      </c>
      <c r="Z626" s="136" t="str">
        <f>tbl_IO_List[[#This Row],[Chassis]]&amp;"S"&amp;TEXT(tbl_IO_List[[#This Row],[Slot]],"00")&amp;","&amp;TEXT(tbl_IO_List[[#This Row],[Point]],"00")</f>
        <v>C3S11,06</v>
      </c>
      <c r="AA626" s="136" t="str">
        <f>VLOOKUP(tbl_IO_List[[#This Row],[Column23]],tbl_RackConfig[],5,FALSE) &amp;"-"&amp;tbl_IO_List[[#This Row],[Point]]</f>
        <v>1756-N2-6</v>
      </c>
      <c r="AB626" s="136"/>
      <c r="AC626" s="136"/>
      <c r="AD626" s="136" t="str">
        <f>tbl_IO_List[[#This Row],[I/O Type]]</f>
        <v>AO</v>
      </c>
      <c r="AE626" s="136" t="s">
        <v>1334</v>
      </c>
      <c r="AF626" s="136">
        <v>11</v>
      </c>
      <c r="AG626" s="136">
        <v>6</v>
      </c>
      <c r="AH626" s="136"/>
      <c r="AI626" s="136"/>
      <c r="AJ626" s="136">
        <v>0</v>
      </c>
      <c r="AK626" s="136">
        <v>0</v>
      </c>
      <c r="AL626" s="136">
        <v>0</v>
      </c>
      <c r="AM626" s="136">
        <v>1</v>
      </c>
      <c r="AN626" s="136">
        <v>0</v>
      </c>
      <c r="AO626" s="136"/>
      <c r="AP626" s="143" t="e">
        <f>VLOOKUP(tbl_IO_List[[#This Row],[Instruement Tag]],tbl_Instruement_List[],14,FALSE)</f>
        <v>#N/A</v>
      </c>
      <c r="AQ626" s="143" t="str">
        <f>tbl_IO_List[[#This Row],[Chassis]]&amp;"S"&amp;tbl_IO_List[[#This Row],[Slot]]&amp;"-"&amp;tbl_IO_List[[#This Row],[Front Terminal Number]]</f>
        <v>C3S11-</v>
      </c>
      <c r="AR626" s="143"/>
      <c r="AS626" s="136" t="str">
        <f>tbl_IO_List[[#This Row],[Terminal Tagging]]&amp;"-"&amp;tbl_IO_List[[#This Row],[Point-Count]]</f>
        <v>-</v>
      </c>
      <c r="AT626" s="136" t="str">
        <f>tbl_IO_List[[#This Row],[Front Terminal Tagging]]&amp;"/"&amp;tbl_IO_List[[#This Row],[Terminal Tagging-Item]]</f>
        <v>C3S11-/-</v>
      </c>
      <c r="AU626" s="136" t="str">
        <f>tbl_IO_List[[#This Row],[Terminal Tagging-Item]]&amp;"/"&amp;tbl_IO_List[[#This Row],[Front Terminal Tagging]]</f>
        <v>-/C3S11-</v>
      </c>
    </row>
    <row r="627" spans="1:47" hidden="1">
      <c r="A627" s="147" t="s">
        <v>1367</v>
      </c>
      <c r="B627" s="136" t="s">
        <v>270</v>
      </c>
      <c r="C627" s="136" t="str">
        <f>tbl_IO_List[[#This Row],[Column3]]</f>
        <v>C3S11,07</v>
      </c>
      <c r="D627" s="136" t="str">
        <f>tbl_IO_List[[#This Row],[Card]]</f>
        <v>1756-N2-7</v>
      </c>
      <c r="E627" s="136" t="s">
        <v>1366</v>
      </c>
      <c r="F627" s="136" t="str">
        <f>tbl_IO_List[[#This Row],[Column23]]&amp;"-" &amp;tbl_IO_List[[#This Row],[Column52]]</f>
        <v>C3S11-X1</v>
      </c>
      <c r="G627" s="136" t="str">
        <f>tbl_IO_List[[#This Row],[PLC_Tag]]</f>
        <v>Spare_AO_0</v>
      </c>
      <c r="H627" s="136"/>
      <c r="I627" s="136" t="str">
        <f>VLOOKUP(tbl_IO_List[[#This Row],[Destination]],tbl_Junction[],2,FALSE)</f>
        <v>Spray Dryer 7th Floor</v>
      </c>
      <c r="J627" s="136"/>
      <c r="K627" s="136"/>
      <c r="L627" s="136" t="s">
        <v>411</v>
      </c>
      <c r="M627" s="136" t="e">
        <f>VLOOKUP(tbl_IO_List[[#This Row],[Instruement Tag]],tbl_Instruement_List[],2,FALSE)</f>
        <v>#N/A</v>
      </c>
      <c r="N627" s="136"/>
      <c r="O627" s="136"/>
      <c r="P627" s="136"/>
      <c r="Q627" s="136" t="e">
        <f>VLOOKUP(tbl_IO_List[[#This Row],[Instruement Tag]],tbl_Instruement_List[],6,FALSE)</f>
        <v>#N/A</v>
      </c>
      <c r="R627" s="136"/>
      <c r="S62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0,DO=0,AI=0,AO=1,Bus=0</v>
      </c>
      <c r="T627" s="136" t="str">
        <f>tbl_IO_List[[#This Row],[Instruement Tag]]&amp;"_"&amp;tbl_IO_List[[#This Row],[I/O Type]]&amp;"_"&amp;tbl_IO_List[[#This Row],[IO-Point 
(Instruement)]]</f>
        <v>Spare_AO_0</v>
      </c>
      <c r="U627" s="136" t="s">
        <v>9</v>
      </c>
      <c r="V627" s="136">
        <f>VLOOKUP(tbl_IO_List[[#This Row],[I/O Type]],tbl_Slot_Group[],2,FALSE)</f>
        <v>4</v>
      </c>
      <c r="W627" s="136">
        <v>0</v>
      </c>
      <c r="X627" s="136" t="str">
        <f>tbl_IO_List[[#This Row],[Chassis]]&amp;"S"&amp;TEXT(tbl_IO_List[[#This Row],[Slot]],"00")</f>
        <v>C3S11</v>
      </c>
      <c r="Y627" s="136" t="str">
        <f>tbl_IO_List[[#This Row],[Chassis]]&amp;"S"&amp;TEXT(tbl_IO_List[[#This Row],[Slot]],"00")&amp;tbl_IO_List[[#This Row],[I/O Type]]&amp;TEXT(tbl_IO_List[[#This Row],[Point]],"00")</f>
        <v>C3S11AO07</v>
      </c>
      <c r="Z627" s="136" t="str">
        <f>tbl_IO_List[[#This Row],[Chassis]]&amp;"S"&amp;TEXT(tbl_IO_List[[#This Row],[Slot]],"00")&amp;","&amp;TEXT(tbl_IO_List[[#This Row],[Point]],"00")</f>
        <v>C3S11,07</v>
      </c>
      <c r="AA627" s="136" t="str">
        <f>VLOOKUP(tbl_IO_List[[#This Row],[Column23]],tbl_RackConfig[],5,FALSE) &amp;"-"&amp;tbl_IO_List[[#This Row],[Point]]</f>
        <v>1756-N2-7</v>
      </c>
      <c r="AB627" s="136"/>
      <c r="AC627" s="136"/>
      <c r="AD627" s="136" t="str">
        <f>tbl_IO_List[[#This Row],[I/O Type]]</f>
        <v>AO</v>
      </c>
      <c r="AE627" s="136" t="s">
        <v>1334</v>
      </c>
      <c r="AF627" s="136">
        <v>11</v>
      </c>
      <c r="AG627" s="136">
        <v>7</v>
      </c>
      <c r="AH627" s="136"/>
      <c r="AI627" s="136"/>
      <c r="AJ627" s="136">
        <v>0</v>
      </c>
      <c r="AK627" s="136">
        <v>0</v>
      </c>
      <c r="AL627" s="136">
        <v>0</v>
      </c>
      <c r="AM627" s="136">
        <v>1</v>
      </c>
      <c r="AN627" s="136">
        <v>0</v>
      </c>
      <c r="AO627" s="136"/>
      <c r="AP627" s="143" t="e">
        <f>VLOOKUP(tbl_IO_List[[#This Row],[Instruement Tag]],tbl_Instruement_List[],14,FALSE)</f>
        <v>#N/A</v>
      </c>
      <c r="AQ627" s="143" t="str">
        <f>tbl_IO_List[[#This Row],[Chassis]]&amp;"S"&amp;tbl_IO_List[[#This Row],[Slot]]&amp;"-"&amp;tbl_IO_List[[#This Row],[Front Terminal Number]]</f>
        <v>C3S11-</v>
      </c>
      <c r="AR627" s="143"/>
      <c r="AS627" s="136" t="str">
        <f>tbl_IO_List[[#This Row],[Terminal Tagging]]&amp;"-"&amp;tbl_IO_List[[#This Row],[Point-Count]]</f>
        <v>-</v>
      </c>
      <c r="AT627" s="136" t="str">
        <f>tbl_IO_List[[#This Row],[Front Terminal Tagging]]&amp;"/"&amp;tbl_IO_List[[#This Row],[Terminal Tagging-Item]]</f>
        <v>C3S11-/-</v>
      </c>
      <c r="AU627" s="136" t="str">
        <f>tbl_IO_List[[#This Row],[Terminal Tagging-Item]]&amp;"/"&amp;tbl_IO_List[[#This Row],[Front Terminal Tagging]]</f>
        <v>-/C3S11-</v>
      </c>
    </row>
    <row r="628" spans="1:47" hidden="1">
      <c r="A628" s="147" t="s">
        <v>1369</v>
      </c>
      <c r="B628" s="136" t="s">
        <v>1306</v>
      </c>
      <c r="C628" s="136" t="str">
        <f>tbl_IO_List[[#This Row],[Column3]]</f>
        <v>C4S00,00</v>
      </c>
      <c r="D628" s="136" t="str">
        <f>tbl_IO_List[[#This Row],[Card]]</f>
        <v>1756-EN4TR-0</v>
      </c>
      <c r="E628" s="136" t="s">
        <v>1366</v>
      </c>
      <c r="F628" s="136" t="str">
        <f>tbl_IO_List[[#This Row],[Column23]]&amp;"-" &amp;tbl_IO_List[[#This Row],[Column52]]</f>
        <v>C4S00-X1</v>
      </c>
      <c r="G628" s="136">
        <f>tbl_IO_List[[#This Row],[PLC_Tag]]</f>
        <v>0</v>
      </c>
      <c r="H628" s="136"/>
      <c r="I628" s="136" t="str">
        <f>VLOOKUP(tbl_IO_List[[#This Row],[Destination]],tbl_Junction[],2,FALSE)</f>
        <v>Main Control Cabinet</v>
      </c>
      <c r="J628" s="136" t="s">
        <v>1306</v>
      </c>
      <c r="K628" s="136" t="s">
        <v>1382</v>
      </c>
      <c r="L628" s="136" t="s">
        <v>411</v>
      </c>
      <c r="M628" s="136" t="e">
        <f>VLOOKUP(tbl_IO_List[[#This Row],[Instruement Tag]],tbl_Instruement_List[],2,FALSE)</f>
        <v>#N/A</v>
      </c>
      <c r="N628" s="136"/>
      <c r="O628" s="136" t="s">
        <v>18</v>
      </c>
      <c r="P628" s="136" t="s">
        <v>18</v>
      </c>
      <c r="Q628" s="136" t="e">
        <f>VLOOKUP(tbl_IO_List[[#This Row],[Instruement Tag]],tbl_Instruement_List[],6,FALSE)</f>
        <v>#N/A</v>
      </c>
      <c r="R628" s="136"/>
      <c r="S628" s="136"/>
      <c r="T628" s="136"/>
      <c r="U628" s="136" t="s">
        <v>1844</v>
      </c>
      <c r="V628" s="136" t="e">
        <f>VLOOKUP(tbl_IO_List[[#This Row],[I/O Type]],tbl_Slot_Group[],2,FALSE)</f>
        <v>#N/A</v>
      </c>
      <c r="W628" s="136">
        <v>0</v>
      </c>
      <c r="X628" s="136" t="str">
        <f>tbl_IO_List[[#This Row],[Chassis]]&amp;"S"&amp;TEXT(tbl_IO_List[[#This Row],[Slot]],"00")</f>
        <v>C4S00</v>
      </c>
      <c r="Y628" s="136" t="str">
        <f>tbl_IO_List[[#This Row],[Chassis]]&amp;"S"&amp;TEXT(tbl_IO_List[[#This Row],[Slot]],"00")&amp;tbl_IO_List[[#This Row],[I/O Type]]&amp;TEXT(tbl_IO_List[[#This Row],[Point]],"00")</f>
        <v>C4S00ETH-100</v>
      </c>
      <c r="Z628" s="136" t="str">
        <f>tbl_IO_List[[#This Row],[Chassis]]&amp;"S"&amp;TEXT(tbl_IO_List[[#This Row],[Slot]],"00")&amp;","&amp;TEXT(tbl_IO_List[[#This Row],[Point]],"00")</f>
        <v>C4S00,00</v>
      </c>
      <c r="AA628" s="136" t="str">
        <f>VLOOKUP(tbl_IO_List[[#This Row],[Column23]],tbl_RackConfig[],5,FALSE) &amp;"-"&amp;tbl_IO_List[[#This Row],[Point]]</f>
        <v>1756-EN4TR-0</v>
      </c>
      <c r="AB628" s="136"/>
      <c r="AC628" s="136" t="s">
        <v>1370</v>
      </c>
      <c r="AD628" s="136" t="str">
        <f>tbl_IO_List[[#This Row],[I/O Type]]</f>
        <v>ETH-1</v>
      </c>
      <c r="AE628" s="136" t="s">
        <v>1335</v>
      </c>
      <c r="AF628" s="136">
        <v>0</v>
      </c>
      <c r="AG628" s="136">
        <v>0</v>
      </c>
      <c r="AH628" s="136"/>
      <c r="AI628" s="136"/>
      <c r="AJ628" s="136">
        <v>0</v>
      </c>
      <c r="AK628" s="136">
        <v>0</v>
      </c>
      <c r="AL628" s="136">
        <v>0</v>
      </c>
      <c r="AM628" s="136">
        <v>0</v>
      </c>
      <c r="AN628" s="136">
        <v>1</v>
      </c>
      <c r="AO628" s="136"/>
      <c r="AP628" s="143" t="e">
        <f>VLOOKUP(tbl_IO_List[[#This Row],[Instruement Tag]],tbl_Instruement_List[],14,FALSE)</f>
        <v>#N/A</v>
      </c>
      <c r="AQ628" s="143" t="str">
        <f>tbl_IO_List[[#This Row],[Chassis]]&amp;"S"&amp;tbl_IO_List[[#This Row],[Slot]]&amp;"-"&amp;tbl_IO_List[[#This Row],[Front Terminal Number]]</f>
        <v>C4S0-</v>
      </c>
      <c r="AR628" s="143"/>
      <c r="AS628" s="136" t="str">
        <f>tbl_IO_List[[#This Row],[Terminal Tagging]]&amp;"-"&amp;tbl_IO_List[[#This Row],[Point-Count]]</f>
        <v>-</v>
      </c>
      <c r="AT628" s="136" t="str">
        <f>tbl_IO_List[[#This Row],[Front Terminal Tagging]]&amp;"/"&amp;tbl_IO_List[[#This Row],[Terminal Tagging-Item]]</f>
        <v>C4S0-/-</v>
      </c>
      <c r="AU628" s="136" t="str">
        <f>tbl_IO_List[[#This Row],[Terminal Tagging-Item]]&amp;"/"&amp;tbl_IO_List[[#This Row],[Front Terminal Tagging]]</f>
        <v>-/C4S0-</v>
      </c>
    </row>
    <row r="629" spans="1:47" hidden="1">
      <c r="A629" s="147" t="s">
        <v>1371</v>
      </c>
      <c r="B629" s="136" t="s">
        <v>265</v>
      </c>
      <c r="C629" s="136" t="str">
        <f>tbl_IO_List[[#This Row],[Column3]]</f>
        <v>C4S01,00</v>
      </c>
      <c r="D629" s="136" t="str">
        <f>tbl_IO_List[[#This Row],[Card]]</f>
        <v>1756-IB32-0</v>
      </c>
      <c r="E629" s="136" t="s">
        <v>1366</v>
      </c>
      <c r="F629" s="136" t="str">
        <f>tbl_IO_List[[#This Row],[Column23]]&amp;"-" &amp;tbl_IO_List[[#This Row],[Column52]]</f>
        <v>C4S01-X1</v>
      </c>
      <c r="G629" s="136" t="str">
        <f>tbl_IO_List[[#This Row],[PLC_Tag]]</f>
        <v>FT-60203_DI_1</v>
      </c>
      <c r="H629" s="136"/>
      <c r="I629" s="136" t="str">
        <f>VLOOKUP(tbl_IO_List[[#This Row],[Destination]],tbl_Junction[],2,FALSE)</f>
        <v>Spray Dryer 6th Floor</v>
      </c>
      <c r="J629" s="136" t="s">
        <v>265</v>
      </c>
      <c r="K629" s="136" t="s">
        <v>14</v>
      </c>
      <c r="L629" s="136" t="s">
        <v>266</v>
      </c>
      <c r="M629" s="136">
        <f>VLOOKUP(tbl_IO_List[[#This Row],[Instruement Tag]],tbl_Instruement_List[],2,FALSE)</f>
        <v>0</v>
      </c>
      <c r="N629" s="136" t="s">
        <v>58</v>
      </c>
      <c r="O629" s="136" t="s">
        <v>226</v>
      </c>
      <c r="P629" s="136" t="s">
        <v>227</v>
      </c>
      <c r="Q629" s="136" t="str">
        <f>VLOOKUP(tbl_IO_List[[#This Row],[Instruement Tag]],tbl_Instruement_List[],6,FALSE)</f>
        <v xml:space="preserve">Culinary steam feed to Spray dryer </v>
      </c>
      <c r="R629" s="136"/>
      <c r="S62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1,DO=0,AI=1,AO=0,Bus=0</v>
      </c>
      <c r="T629" s="136" t="str">
        <f>tbl_IO_List[[#This Row],[Instruement Tag]]&amp;"_"&amp;tbl_IO_List[[#This Row],[I/O Type]]&amp;"_"&amp;tbl_IO_List[[#This Row],[IO-Point 
(Instruement)]]</f>
        <v>FT-60203_DI_1</v>
      </c>
      <c r="U629" s="136" t="s">
        <v>8</v>
      </c>
      <c r="V629" s="136">
        <f>VLOOKUP(tbl_IO_List[[#This Row],[I/O Type]],tbl_Slot_Group[],2,FALSE)</f>
        <v>1</v>
      </c>
      <c r="W629" s="136">
        <v>1</v>
      </c>
      <c r="X629" s="136" t="str">
        <f>tbl_IO_List[[#This Row],[Chassis]]&amp;"S"&amp;TEXT(tbl_IO_List[[#This Row],[Slot]],"00")</f>
        <v>C4S01</v>
      </c>
      <c r="Y629" s="136" t="str">
        <f>tbl_IO_List[[#This Row],[Chassis]]&amp;"S"&amp;TEXT(tbl_IO_List[[#This Row],[Slot]],"00")&amp;tbl_IO_List[[#This Row],[I/O Type]]&amp;TEXT(tbl_IO_List[[#This Row],[Point]],"00")</f>
        <v>C4S01DI00</v>
      </c>
      <c r="Z629" s="136" t="str">
        <f>tbl_IO_List[[#This Row],[Chassis]]&amp;"S"&amp;TEXT(tbl_IO_List[[#This Row],[Slot]],"00")&amp;","&amp;TEXT(tbl_IO_List[[#This Row],[Point]],"00")</f>
        <v>C4S01,00</v>
      </c>
      <c r="AA629" s="136" t="str">
        <f>VLOOKUP(tbl_IO_List[[#This Row],[Column23]],tbl_RackConfig[],5,FALSE) &amp;"-"&amp;tbl_IO_List[[#This Row],[Point]]</f>
        <v>1756-IB32-0</v>
      </c>
      <c r="AB629" s="136"/>
      <c r="AC629" s="136"/>
      <c r="AD629" s="136" t="str">
        <f>tbl_IO_List[[#This Row],[I/O Type]]</f>
        <v>DI</v>
      </c>
      <c r="AE629" s="136" t="s">
        <v>1335</v>
      </c>
      <c r="AF629" s="136">
        <v>1</v>
      </c>
      <c r="AG629" s="136">
        <v>0</v>
      </c>
      <c r="AH629" s="136"/>
      <c r="AI629" s="136"/>
      <c r="AJ629" s="136">
        <v>1</v>
      </c>
      <c r="AK629" s="136">
        <v>0</v>
      </c>
      <c r="AL629" s="136">
        <v>1</v>
      </c>
      <c r="AM629" s="136">
        <v>0</v>
      </c>
      <c r="AN629" s="136">
        <v>0</v>
      </c>
      <c r="AO629" s="136"/>
      <c r="AP629" s="143" t="str">
        <f>VLOOKUP(tbl_IO_List[[#This Row],[Instruement Tag]],tbl_Instruement_List[],14,FALSE)</f>
        <v>4 - 20 mA</v>
      </c>
      <c r="AQ629" s="143" t="str">
        <f>tbl_IO_List[[#This Row],[Chassis]]&amp;"S"&amp;tbl_IO_List[[#This Row],[Slot]]&amp;"-"&amp;tbl_IO_List[[#This Row],[Front Terminal Number]]</f>
        <v>C4S1-</v>
      </c>
      <c r="AR629" s="143"/>
      <c r="AS629" s="136" t="str">
        <f>tbl_IO_List[[#This Row],[Terminal Tagging]]&amp;"-"&amp;tbl_IO_List[[#This Row],[Point-Count]]</f>
        <v>-</v>
      </c>
      <c r="AT629" s="136" t="str">
        <f>tbl_IO_List[[#This Row],[Front Terminal Tagging]]&amp;"/"&amp;tbl_IO_List[[#This Row],[Terminal Tagging-Item]]</f>
        <v>C4S1-/-</v>
      </c>
      <c r="AU629" s="136" t="str">
        <f>tbl_IO_List[[#This Row],[Terminal Tagging-Item]]&amp;"/"&amp;tbl_IO_List[[#This Row],[Front Terminal Tagging]]</f>
        <v>-/C4S1-</v>
      </c>
    </row>
    <row r="630" spans="1:47" hidden="1">
      <c r="A630" s="147" t="s">
        <v>1371</v>
      </c>
      <c r="B630" s="136" t="s">
        <v>265</v>
      </c>
      <c r="C630" s="136" t="str">
        <f>tbl_IO_List[[#This Row],[Column3]]</f>
        <v>C4S01,01</v>
      </c>
      <c r="D630" s="136" t="str">
        <f>tbl_IO_List[[#This Row],[Card]]</f>
        <v>1756-IB32-1</v>
      </c>
      <c r="E630" s="136" t="s">
        <v>1366</v>
      </c>
      <c r="F630" s="136" t="str">
        <f>tbl_IO_List[[#This Row],[Column23]]&amp;"-" &amp;tbl_IO_List[[#This Row],[Column52]]</f>
        <v>C4S01-X1</v>
      </c>
      <c r="G630" s="136" t="str">
        <f>tbl_IO_List[[#This Row],[PLC_Tag]]</f>
        <v>LSH-60250_DI_1</v>
      </c>
      <c r="H630" s="136"/>
      <c r="I630" s="136" t="str">
        <f>VLOOKUP(tbl_IO_List[[#This Row],[Destination]],tbl_Junction[],2,FALSE)</f>
        <v>Spray Dryer 6th Floor</v>
      </c>
      <c r="J630" s="136" t="s">
        <v>265</v>
      </c>
      <c r="K630" s="136" t="s">
        <v>14</v>
      </c>
      <c r="L630" s="136" t="s">
        <v>267</v>
      </c>
      <c r="M630" s="136">
        <f>VLOOKUP(tbl_IO_List[[#This Row],[Instruement Tag]],tbl_Instruement_List[],2,FALSE)</f>
        <v>0</v>
      </c>
      <c r="N630" s="136" t="s">
        <v>58</v>
      </c>
      <c r="O630" s="136" t="s">
        <v>21</v>
      </c>
      <c r="P630" s="136" t="s">
        <v>22</v>
      </c>
      <c r="Q630" s="136" t="str">
        <f>VLOOKUP(tbl_IO_List[[#This Row],[Instruement Tag]],tbl_Instruement_List[],6,FALSE)</f>
        <v>Water Level Switch High for Fire Deluge Pipe (FWDP-21)</v>
      </c>
      <c r="R630" s="136"/>
      <c r="S63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630" s="136" t="str">
        <f>tbl_IO_List[[#This Row],[Instruement Tag]]&amp;"_"&amp;tbl_IO_List[[#This Row],[I/O Type]]&amp;"_"&amp;tbl_IO_List[[#This Row],[IO-Point 
(Instruement)]]</f>
        <v>LSH-60250_DI_1</v>
      </c>
      <c r="U630" s="136" t="s">
        <v>8</v>
      </c>
      <c r="V630" s="136">
        <f>VLOOKUP(tbl_IO_List[[#This Row],[I/O Type]],tbl_Slot_Group[],2,FALSE)</f>
        <v>1</v>
      </c>
      <c r="W630" s="136">
        <v>1</v>
      </c>
      <c r="X630" s="136" t="str">
        <f>tbl_IO_List[[#This Row],[Chassis]]&amp;"S"&amp;TEXT(tbl_IO_List[[#This Row],[Slot]],"00")</f>
        <v>C4S01</v>
      </c>
      <c r="Y630" s="136" t="str">
        <f>tbl_IO_List[[#This Row],[Chassis]]&amp;"S"&amp;TEXT(tbl_IO_List[[#This Row],[Slot]],"00")&amp;tbl_IO_List[[#This Row],[I/O Type]]&amp;TEXT(tbl_IO_List[[#This Row],[Point]],"00")</f>
        <v>C4S01DI01</v>
      </c>
      <c r="Z630" s="136" t="str">
        <f>tbl_IO_List[[#This Row],[Chassis]]&amp;"S"&amp;TEXT(tbl_IO_List[[#This Row],[Slot]],"00")&amp;","&amp;TEXT(tbl_IO_List[[#This Row],[Point]],"00")</f>
        <v>C4S01,01</v>
      </c>
      <c r="AA630" s="136" t="str">
        <f>VLOOKUP(tbl_IO_List[[#This Row],[Column23]],tbl_RackConfig[],5,FALSE) &amp;"-"&amp;tbl_IO_List[[#This Row],[Point]]</f>
        <v>1756-IB32-1</v>
      </c>
      <c r="AB630" s="136"/>
      <c r="AC630" s="136"/>
      <c r="AD630" s="136" t="str">
        <f>tbl_IO_List[[#This Row],[I/O Type]]</f>
        <v>DI</v>
      </c>
      <c r="AE630" s="136" t="s">
        <v>1335</v>
      </c>
      <c r="AF630" s="136">
        <v>1</v>
      </c>
      <c r="AG630" s="136">
        <v>1</v>
      </c>
      <c r="AH630" s="136"/>
      <c r="AI630" s="136"/>
      <c r="AJ630" s="136">
        <v>1</v>
      </c>
      <c r="AK630" s="136">
        <v>0</v>
      </c>
      <c r="AL630" s="136">
        <v>0</v>
      </c>
      <c r="AM630" s="136">
        <v>0</v>
      </c>
      <c r="AN630" s="136">
        <v>0</v>
      </c>
      <c r="AO630" s="136"/>
      <c r="AP630" s="143" t="str">
        <f>VLOOKUP(tbl_IO_List[[#This Row],[Instruement Tag]],tbl_Instruement_List[],14,FALSE)</f>
        <v>Dry Contact</v>
      </c>
      <c r="AQ630" s="143" t="str">
        <f>tbl_IO_List[[#This Row],[Chassis]]&amp;"S"&amp;tbl_IO_List[[#This Row],[Slot]]&amp;"-"&amp;tbl_IO_List[[#This Row],[Front Terminal Number]]</f>
        <v>C4S1-</v>
      </c>
      <c r="AR630" s="143"/>
      <c r="AS630" s="136" t="str">
        <f>tbl_IO_List[[#This Row],[Terminal Tagging]]&amp;"-"&amp;tbl_IO_List[[#This Row],[Point-Count]]</f>
        <v>-</v>
      </c>
      <c r="AT630" s="136" t="str">
        <f>tbl_IO_List[[#This Row],[Front Terminal Tagging]]&amp;"/"&amp;tbl_IO_List[[#This Row],[Terminal Tagging-Item]]</f>
        <v>C4S1-/-</v>
      </c>
      <c r="AU630" s="136" t="str">
        <f>tbl_IO_List[[#This Row],[Terminal Tagging-Item]]&amp;"/"&amp;tbl_IO_List[[#This Row],[Front Terminal Tagging]]</f>
        <v>-/C4S1-</v>
      </c>
    </row>
    <row r="631" spans="1:47" hidden="1">
      <c r="A631" s="147" t="s">
        <v>1371</v>
      </c>
      <c r="B631" s="136" t="s">
        <v>265</v>
      </c>
      <c r="C631" s="136" t="str">
        <f>tbl_IO_List[[#This Row],[Column3]]</f>
        <v>C4S01,02</v>
      </c>
      <c r="D631" s="136" t="str">
        <f>tbl_IO_List[[#This Row],[Card]]</f>
        <v>1756-IB32-2</v>
      </c>
      <c r="E631" s="136" t="s">
        <v>1366</v>
      </c>
      <c r="F631" s="136" t="str">
        <f>tbl_IO_List[[#This Row],[Column23]]&amp;"-" &amp;tbl_IO_List[[#This Row],[Column52]]</f>
        <v>C4S01-X1</v>
      </c>
      <c r="G631" s="136" t="str">
        <f>tbl_IO_List[[#This Row],[PLC_Tag]]</f>
        <v>XA-60261_DI_1</v>
      </c>
      <c r="H631" s="136"/>
      <c r="I631" s="136" t="str">
        <f>VLOOKUP(tbl_IO_List[[#This Row],[Destination]],tbl_Junction[],2,FALSE)</f>
        <v>Spray Dryer 6th Floor</v>
      </c>
      <c r="J631" s="136" t="s">
        <v>265</v>
      </c>
      <c r="K631" s="136" t="s">
        <v>14</v>
      </c>
      <c r="L631" s="136" t="s">
        <v>1015</v>
      </c>
      <c r="M631" s="136">
        <f>VLOOKUP(tbl_IO_List[[#This Row],[Instruement Tag]],tbl_Instruement_List[],2,FALSE)</f>
        <v>0</v>
      </c>
      <c r="N631" s="136" t="s">
        <v>58</v>
      </c>
      <c r="O631" s="136" t="s">
        <v>21</v>
      </c>
      <c r="P631" s="136" t="s">
        <v>18</v>
      </c>
      <c r="Q631" s="136" t="str">
        <f>VLOOKUP(tbl_IO_List[[#This Row],[Instruement Tag]],tbl_Instruement_List[],6,FALSE)</f>
        <v xml:space="preserve"> Fire Deluge Fault (No Protection) for FWDP-21 (Fire Deluge)</v>
      </c>
      <c r="R631" s="136"/>
      <c r="S63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631" s="136" t="str">
        <f>tbl_IO_List[[#This Row],[Instruement Tag]]&amp;"_"&amp;tbl_IO_List[[#This Row],[I/O Type]]&amp;"_"&amp;tbl_IO_List[[#This Row],[IO-Point 
(Instruement)]]</f>
        <v>XA-60261_DI_1</v>
      </c>
      <c r="U631" s="136" t="s">
        <v>8</v>
      </c>
      <c r="V631" s="136">
        <f>VLOOKUP(tbl_IO_List[[#This Row],[I/O Type]],tbl_Slot_Group[],2,FALSE)</f>
        <v>1</v>
      </c>
      <c r="W631" s="136">
        <v>1</v>
      </c>
      <c r="X631" s="136" t="str">
        <f>tbl_IO_List[[#This Row],[Chassis]]&amp;"S"&amp;TEXT(tbl_IO_List[[#This Row],[Slot]],"00")</f>
        <v>C4S01</v>
      </c>
      <c r="Y631" s="136" t="str">
        <f>tbl_IO_List[[#This Row],[Chassis]]&amp;"S"&amp;TEXT(tbl_IO_List[[#This Row],[Slot]],"00")&amp;tbl_IO_List[[#This Row],[I/O Type]]&amp;TEXT(tbl_IO_List[[#This Row],[Point]],"00")</f>
        <v>C4S01DI02</v>
      </c>
      <c r="Z631" s="136" t="str">
        <f>tbl_IO_List[[#This Row],[Chassis]]&amp;"S"&amp;TEXT(tbl_IO_List[[#This Row],[Slot]],"00")&amp;","&amp;TEXT(tbl_IO_List[[#This Row],[Point]],"00")</f>
        <v>C4S01,02</v>
      </c>
      <c r="AA631" s="136" t="str">
        <f>VLOOKUP(tbl_IO_List[[#This Row],[Column23]],tbl_RackConfig[],5,FALSE) &amp;"-"&amp;tbl_IO_List[[#This Row],[Point]]</f>
        <v>1756-IB32-2</v>
      </c>
      <c r="AB631" s="136"/>
      <c r="AC631" s="136"/>
      <c r="AD631" s="136" t="str">
        <f>tbl_IO_List[[#This Row],[I/O Type]]</f>
        <v>DI</v>
      </c>
      <c r="AE631" s="136" t="s">
        <v>1335</v>
      </c>
      <c r="AF631" s="136">
        <v>1</v>
      </c>
      <c r="AG631" s="136">
        <v>2</v>
      </c>
      <c r="AH631" s="136"/>
      <c r="AI631" s="136"/>
      <c r="AJ631" s="136">
        <v>1</v>
      </c>
      <c r="AK631" s="136">
        <v>0</v>
      </c>
      <c r="AL631" s="136">
        <v>0</v>
      </c>
      <c r="AM631" s="136">
        <v>0</v>
      </c>
      <c r="AN631" s="136">
        <v>0</v>
      </c>
      <c r="AO631" s="136"/>
      <c r="AP631" s="143" t="str">
        <f>VLOOKUP(tbl_IO_List[[#This Row],[Instruement Tag]],tbl_Instruement_List[],14,FALSE)</f>
        <v>Dry Contact</v>
      </c>
      <c r="AQ631" s="143" t="str">
        <f>tbl_IO_List[[#This Row],[Chassis]]&amp;"S"&amp;tbl_IO_List[[#This Row],[Slot]]&amp;"-"&amp;tbl_IO_List[[#This Row],[Front Terminal Number]]</f>
        <v>C4S1-</v>
      </c>
      <c r="AR631" s="143"/>
      <c r="AS631" s="136" t="str">
        <f>tbl_IO_List[[#This Row],[Terminal Tagging]]&amp;"-"&amp;tbl_IO_List[[#This Row],[Point-Count]]</f>
        <v>-</v>
      </c>
      <c r="AT631" s="136" t="str">
        <f>tbl_IO_List[[#This Row],[Front Terminal Tagging]]&amp;"/"&amp;tbl_IO_List[[#This Row],[Terminal Tagging-Item]]</f>
        <v>C4S1-/-</v>
      </c>
      <c r="AU631" s="136" t="str">
        <f>tbl_IO_List[[#This Row],[Terminal Tagging-Item]]&amp;"/"&amp;tbl_IO_List[[#This Row],[Front Terminal Tagging]]</f>
        <v>-/C4S1-</v>
      </c>
    </row>
    <row r="632" spans="1:47" hidden="1">
      <c r="A632" s="147" t="s">
        <v>1371</v>
      </c>
      <c r="B632" s="136" t="s">
        <v>265</v>
      </c>
      <c r="C632" s="136" t="str">
        <f>tbl_IO_List[[#This Row],[Column3]]</f>
        <v>C4S01,03</v>
      </c>
      <c r="D632" s="136" t="str">
        <f>tbl_IO_List[[#This Row],[Card]]</f>
        <v>1756-IB32-3</v>
      </c>
      <c r="E632" s="136" t="s">
        <v>1366</v>
      </c>
      <c r="F632" s="136" t="str">
        <f>tbl_IO_List[[#This Row],[Column23]]&amp;"-" &amp;tbl_IO_List[[#This Row],[Column52]]</f>
        <v>C4S01-X1</v>
      </c>
      <c r="G632" s="136" t="str">
        <f>tbl_IO_List[[#This Row],[PLC_Tag]]</f>
        <v>XA-60262_DI_1</v>
      </c>
      <c r="H632" s="136"/>
      <c r="I632" s="136" t="str">
        <f>VLOOKUP(tbl_IO_List[[#This Row],[Destination]],tbl_Junction[],2,FALSE)</f>
        <v>Spray Dryer 6th Floor</v>
      </c>
      <c r="J632" s="136" t="s">
        <v>265</v>
      </c>
      <c r="K632" s="136" t="s">
        <v>14</v>
      </c>
      <c r="L632" s="136" t="s">
        <v>1018</v>
      </c>
      <c r="M632" s="136">
        <f>VLOOKUP(tbl_IO_List[[#This Row],[Instruement Tag]],tbl_Instruement_List[],2,FALSE)</f>
        <v>0</v>
      </c>
      <c r="N632" s="136" t="s">
        <v>58</v>
      </c>
      <c r="O632" s="136" t="s">
        <v>21</v>
      </c>
      <c r="P632" s="136" t="s">
        <v>18</v>
      </c>
      <c r="Q632" s="136" t="str">
        <f>VLOOKUP(tbl_IO_List[[#This Row],[Instruement Tag]],tbl_Instruement_List[],6,FALSE)</f>
        <v xml:space="preserve"> Fire Deluge Alarm (Deluge Activated) for FWDP-21 (Fire Deluge)</v>
      </c>
      <c r="R632" s="136"/>
      <c r="S63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632" s="136" t="str">
        <f>tbl_IO_List[[#This Row],[Instruement Tag]]&amp;"_"&amp;tbl_IO_List[[#This Row],[I/O Type]]&amp;"_"&amp;tbl_IO_List[[#This Row],[IO-Point 
(Instruement)]]</f>
        <v>XA-60262_DI_1</v>
      </c>
      <c r="U632" s="136" t="s">
        <v>8</v>
      </c>
      <c r="V632" s="136">
        <f>VLOOKUP(tbl_IO_List[[#This Row],[I/O Type]],tbl_Slot_Group[],2,FALSE)</f>
        <v>1</v>
      </c>
      <c r="W632" s="136">
        <v>1</v>
      </c>
      <c r="X632" s="136" t="str">
        <f>tbl_IO_List[[#This Row],[Chassis]]&amp;"S"&amp;TEXT(tbl_IO_List[[#This Row],[Slot]],"00")</f>
        <v>C4S01</v>
      </c>
      <c r="Y632" s="136" t="str">
        <f>tbl_IO_List[[#This Row],[Chassis]]&amp;"S"&amp;TEXT(tbl_IO_List[[#This Row],[Slot]],"00")&amp;tbl_IO_List[[#This Row],[I/O Type]]&amp;TEXT(tbl_IO_List[[#This Row],[Point]],"00")</f>
        <v>C4S01DI03</v>
      </c>
      <c r="Z632" s="136" t="str">
        <f>tbl_IO_List[[#This Row],[Chassis]]&amp;"S"&amp;TEXT(tbl_IO_List[[#This Row],[Slot]],"00")&amp;","&amp;TEXT(tbl_IO_List[[#This Row],[Point]],"00")</f>
        <v>C4S01,03</v>
      </c>
      <c r="AA632" s="136" t="str">
        <f>VLOOKUP(tbl_IO_List[[#This Row],[Column23]],tbl_RackConfig[],5,FALSE) &amp;"-"&amp;tbl_IO_List[[#This Row],[Point]]</f>
        <v>1756-IB32-3</v>
      </c>
      <c r="AB632" s="136"/>
      <c r="AC632" s="136"/>
      <c r="AD632" s="136" t="str">
        <f>tbl_IO_List[[#This Row],[I/O Type]]</f>
        <v>DI</v>
      </c>
      <c r="AE632" s="136" t="s">
        <v>1335</v>
      </c>
      <c r="AF632" s="136">
        <v>1</v>
      </c>
      <c r="AG632" s="136">
        <v>3</v>
      </c>
      <c r="AH632" s="136"/>
      <c r="AI632" s="136"/>
      <c r="AJ632" s="136">
        <v>1</v>
      </c>
      <c r="AK632" s="136">
        <v>0</v>
      </c>
      <c r="AL632" s="136">
        <v>0</v>
      </c>
      <c r="AM632" s="136">
        <v>0</v>
      </c>
      <c r="AN632" s="136">
        <v>0</v>
      </c>
      <c r="AO632" s="136"/>
      <c r="AP632" s="143" t="str">
        <f>VLOOKUP(tbl_IO_List[[#This Row],[Instruement Tag]],tbl_Instruement_List[],14,FALSE)</f>
        <v>Dry Contact</v>
      </c>
      <c r="AQ632" s="143" t="str">
        <f>tbl_IO_List[[#This Row],[Chassis]]&amp;"S"&amp;tbl_IO_List[[#This Row],[Slot]]&amp;"-"&amp;tbl_IO_List[[#This Row],[Front Terminal Number]]</f>
        <v>C4S1-</v>
      </c>
      <c r="AR632" s="143"/>
      <c r="AS632" s="136" t="str">
        <f>tbl_IO_List[[#This Row],[Terminal Tagging]]&amp;"-"&amp;tbl_IO_List[[#This Row],[Point-Count]]</f>
        <v>-</v>
      </c>
      <c r="AT632" s="136" t="str">
        <f>tbl_IO_List[[#This Row],[Front Terminal Tagging]]&amp;"/"&amp;tbl_IO_List[[#This Row],[Terminal Tagging-Item]]</f>
        <v>C4S1-/-</v>
      </c>
      <c r="AU632" s="136" t="str">
        <f>tbl_IO_List[[#This Row],[Terminal Tagging-Item]]&amp;"/"&amp;tbl_IO_List[[#This Row],[Front Terminal Tagging]]</f>
        <v>-/C4S1-</v>
      </c>
    </row>
    <row r="633" spans="1:47" hidden="1">
      <c r="A633" s="147" t="s">
        <v>1371</v>
      </c>
      <c r="B633" s="136" t="s">
        <v>265</v>
      </c>
      <c r="C633" s="136" t="str">
        <f>tbl_IO_List[[#This Row],[Column3]]</f>
        <v>C4S01,04</v>
      </c>
      <c r="D633" s="136" t="str">
        <f>tbl_IO_List[[#This Row],[Card]]</f>
        <v>1756-IB32-4</v>
      </c>
      <c r="E633" s="136" t="s">
        <v>1366</v>
      </c>
      <c r="F633" s="136" t="str">
        <f>tbl_IO_List[[#This Row],[Column23]]&amp;"-" &amp;tbl_IO_List[[#This Row],[Column52]]</f>
        <v>C4S01-X1</v>
      </c>
      <c r="G633" s="136" t="str">
        <f>tbl_IO_List[[#This Row],[PLC_Tag]]</f>
        <v>Spare_DI_0</v>
      </c>
      <c r="H633" s="136"/>
      <c r="I633" s="136" t="str">
        <f>VLOOKUP(tbl_IO_List[[#This Row],[Destination]],tbl_Junction[],2,FALSE)</f>
        <v>Spray Dryer 6th Floor</v>
      </c>
      <c r="J633" s="136"/>
      <c r="K633" s="136"/>
      <c r="L633" s="136" t="s">
        <v>411</v>
      </c>
      <c r="M633" s="136" t="e">
        <f>VLOOKUP(tbl_IO_List[[#This Row],[Instruement Tag]],tbl_Instruement_List[],2,FALSE)</f>
        <v>#N/A</v>
      </c>
      <c r="N633" s="136"/>
      <c r="O633" s="136"/>
      <c r="P633" s="136"/>
      <c r="Q633" s="136" t="e">
        <f>VLOOKUP(tbl_IO_List[[#This Row],[Instruement Tag]],tbl_Instruement_List[],6,FALSE)</f>
        <v>#N/A</v>
      </c>
      <c r="R633" s="136"/>
      <c r="S63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633" s="136" t="str">
        <f>tbl_IO_List[[#This Row],[Instruement Tag]]&amp;"_"&amp;tbl_IO_List[[#This Row],[I/O Type]]&amp;"_"&amp;tbl_IO_List[[#This Row],[IO-Point 
(Instruement)]]</f>
        <v>Spare_DI_0</v>
      </c>
      <c r="U633" s="136" t="s">
        <v>8</v>
      </c>
      <c r="V633" s="136">
        <f>VLOOKUP(tbl_IO_List[[#This Row],[I/O Type]],tbl_Slot_Group[],2,FALSE)</f>
        <v>1</v>
      </c>
      <c r="W633" s="136">
        <v>0</v>
      </c>
      <c r="X633" s="136" t="str">
        <f>tbl_IO_List[[#This Row],[Chassis]]&amp;"S"&amp;TEXT(tbl_IO_List[[#This Row],[Slot]],"00")</f>
        <v>C4S01</v>
      </c>
      <c r="Y633" s="136" t="str">
        <f>tbl_IO_List[[#This Row],[Chassis]]&amp;"S"&amp;TEXT(tbl_IO_List[[#This Row],[Slot]],"00")&amp;tbl_IO_List[[#This Row],[I/O Type]]&amp;TEXT(tbl_IO_List[[#This Row],[Point]],"00")</f>
        <v>C4S01DI04</v>
      </c>
      <c r="Z633" s="136" t="str">
        <f>tbl_IO_List[[#This Row],[Chassis]]&amp;"S"&amp;TEXT(tbl_IO_List[[#This Row],[Slot]],"00")&amp;","&amp;TEXT(tbl_IO_List[[#This Row],[Point]],"00")</f>
        <v>C4S01,04</v>
      </c>
      <c r="AA633" s="136" t="str">
        <f>VLOOKUP(tbl_IO_List[[#This Row],[Column23]],tbl_RackConfig[],5,FALSE) &amp;"-"&amp;tbl_IO_List[[#This Row],[Point]]</f>
        <v>1756-IB32-4</v>
      </c>
      <c r="AB633" s="136"/>
      <c r="AC633" s="136"/>
      <c r="AD633" s="136" t="str">
        <f>tbl_IO_List[[#This Row],[I/O Type]]</f>
        <v>DI</v>
      </c>
      <c r="AE633" s="136" t="s">
        <v>1335</v>
      </c>
      <c r="AF633" s="136">
        <v>1</v>
      </c>
      <c r="AG633" s="136">
        <v>4</v>
      </c>
      <c r="AH633" s="136"/>
      <c r="AI633" s="136"/>
      <c r="AJ633" s="136">
        <v>1</v>
      </c>
      <c r="AK633" s="136">
        <v>0</v>
      </c>
      <c r="AL633" s="136">
        <v>0</v>
      </c>
      <c r="AM633" s="136">
        <v>0</v>
      </c>
      <c r="AN633" s="136">
        <v>0</v>
      </c>
      <c r="AO633" s="136"/>
      <c r="AP633" s="143" t="e">
        <f>VLOOKUP(tbl_IO_List[[#This Row],[Instruement Tag]],tbl_Instruement_List[],14,FALSE)</f>
        <v>#N/A</v>
      </c>
      <c r="AQ633" s="143" t="str">
        <f>tbl_IO_List[[#This Row],[Chassis]]&amp;"S"&amp;tbl_IO_List[[#This Row],[Slot]]&amp;"-"&amp;tbl_IO_List[[#This Row],[Front Terminal Number]]</f>
        <v>C4S1-</v>
      </c>
      <c r="AR633" s="143"/>
      <c r="AS633" s="136" t="str">
        <f>tbl_IO_List[[#This Row],[Terminal Tagging]]&amp;"-"&amp;tbl_IO_List[[#This Row],[Point-Count]]</f>
        <v>-</v>
      </c>
      <c r="AT633" s="136" t="str">
        <f>tbl_IO_List[[#This Row],[Front Terminal Tagging]]&amp;"/"&amp;tbl_IO_List[[#This Row],[Terminal Tagging-Item]]</f>
        <v>C4S1-/-</v>
      </c>
      <c r="AU633" s="136" t="str">
        <f>tbl_IO_List[[#This Row],[Terminal Tagging-Item]]&amp;"/"&amp;tbl_IO_List[[#This Row],[Front Terminal Tagging]]</f>
        <v>-/C4S1-</v>
      </c>
    </row>
    <row r="634" spans="1:47" hidden="1">
      <c r="A634" s="147" t="s">
        <v>1371</v>
      </c>
      <c r="B634" s="136" t="s">
        <v>265</v>
      </c>
      <c r="C634" s="136" t="str">
        <f>tbl_IO_List[[#This Row],[Column3]]</f>
        <v>C4S01,05</v>
      </c>
      <c r="D634" s="136" t="str">
        <f>tbl_IO_List[[#This Row],[Card]]</f>
        <v>1756-IB32-5</v>
      </c>
      <c r="E634" s="136" t="s">
        <v>1366</v>
      </c>
      <c r="F634" s="136" t="str">
        <f>tbl_IO_List[[#This Row],[Column23]]&amp;"-" &amp;tbl_IO_List[[#This Row],[Column52]]</f>
        <v>C4S01-X1</v>
      </c>
      <c r="G634" s="136" t="str">
        <f>tbl_IO_List[[#This Row],[PLC_Tag]]</f>
        <v>Spare_DI_0</v>
      </c>
      <c r="H634" s="136"/>
      <c r="I634" s="136" t="str">
        <f>VLOOKUP(tbl_IO_List[[#This Row],[Destination]],tbl_Junction[],2,FALSE)</f>
        <v>Spray Dryer 6th Floor</v>
      </c>
      <c r="J634" s="136"/>
      <c r="K634" s="136"/>
      <c r="L634" s="136" t="s">
        <v>411</v>
      </c>
      <c r="M634" s="136" t="e">
        <f>VLOOKUP(tbl_IO_List[[#This Row],[Instruement Tag]],tbl_Instruement_List[],2,FALSE)</f>
        <v>#N/A</v>
      </c>
      <c r="N634" s="136"/>
      <c r="O634" s="136"/>
      <c r="P634" s="136"/>
      <c r="Q634" s="136" t="e">
        <f>VLOOKUP(tbl_IO_List[[#This Row],[Instruement Tag]],tbl_Instruement_List[],6,FALSE)</f>
        <v>#N/A</v>
      </c>
      <c r="R634" s="136"/>
      <c r="S63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634" s="136" t="str">
        <f>tbl_IO_List[[#This Row],[Instruement Tag]]&amp;"_"&amp;tbl_IO_List[[#This Row],[I/O Type]]&amp;"_"&amp;tbl_IO_List[[#This Row],[IO-Point 
(Instruement)]]</f>
        <v>Spare_DI_0</v>
      </c>
      <c r="U634" s="136" t="s">
        <v>8</v>
      </c>
      <c r="V634" s="136">
        <f>VLOOKUP(tbl_IO_List[[#This Row],[I/O Type]],tbl_Slot_Group[],2,FALSE)</f>
        <v>1</v>
      </c>
      <c r="W634" s="136">
        <v>0</v>
      </c>
      <c r="X634" s="136" t="str">
        <f>tbl_IO_List[[#This Row],[Chassis]]&amp;"S"&amp;TEXT(tbl_IO_List[[#This Row],[Slot]],"00")</f>
        <v>C4S01</v>
      </c>
      <c r="Y634" s="136" t="str">
        <f>tbl_IO_List[[#This Row],[Chassis]]&amp;"S"&amp;TEXT(tbl_IO_List[[#This Row],[Slot]],"00")&amp;tbl_IO_List[[#This Row],[I/O Type]]&amp;TEXT(tbl_IO_List[[#This Row],[Point]],"00")</f>
        <v>C4S01DI05</v>
      </c>
      <c r="Z634" s="136" t="str">
        <f>tbl_IO_List[[#This Row],[Chassis]]&amp;"S"&amp;TEXT(tbl_IO_List[[#This Row],[Slot]],"00")&amp;","&amp;TEXT(tbl_IO_List[[#This Row],[Point]],"00")</f>
        <v>C4S01,05</v>
      </c>
      <c r="AA634" s="136" t="str">
        <f>VLOOKUP(tbl_IO_List[[#This Row],[Column23]],tbl_RackConfig[],5,FALSE) &amp;"-"&amp;tbl_IO_List[[#This Row],[Point]]</f>
        <v>1756-IB32-5</v>
      </c>
      <c r="AB634" s="136"/>
      <c r="AC634" s="136"/>
      <c r="AD634" s="136" t="str">
        <f>tbl_IO_List[[#This Row],[I/O Type]]</f>
        <v>DI</v>
      </c>
      <c r="AE634" s="136" t="s">
        <v>1335</v>
      </c>
      <c r="AF634" s="136">
        <v>1</v>
      </c>
      <c r="AG634" s="136">
        <v>5</v>
      </c>
      <c r="AH634" s="136"/>
      <c r="AI634" s="136"/>
      <c r="AJ634" s="136">
        <v>1</v>
      </c>
      <c r="AK634" s="136">
        <v>0</v>
      </c>
      <c r="AL634" s="136">
        <v>0</v>
      </c>
      <c r="AM634" s="136">
        <v>0</v>
      </c>
      <c r="AN634" s="136">
        <v>0</v>
      </c>
      <c r="AO634" s="136"/>
      <c r="AP634" s="143" t="e">
        <f>VLOOKUP(tbl_IO_List[[#This Row],[Instruement Tag]],tbl_Instruement_List[],14,FALSE)</f>
        <v>#N/A</v>
      </c>
      <c r="AQ634" s="143" t="str">
        <f>tbl_IO_List[[#This Row],[Chassis]]&amp;"S"&amp;tbl_IO_List[[#This Row],[Slot]]&amp;"-"&amp;tbl_IO_List[[#This Row],[Front Terminal Number]]</f>
        <v>C4S1-</v>
      </c>
      <c r="AR634" s="143"/>
      <c r="AS634" s="136" t="str">
        <f>tbl_IO_List[[#This Row],[Terminal Tagging]]&amp;"-"&amp;tbl_IO_List[[#This Row],[Point-Count]]</f>
        <v>-</v>
      </c>
      <c r="AT634" s="136" t="str">
        <f>tbl_IO_List[[#This Row],[Front Terminal Tagging]]&amp;"/"&amp;tbl_IO_List[[#This Row],[Terminal Tagging-Item]]</f>
        <v>C4S1-/-</v>
      </c>
      <c r="AU634" s="136" t="str">
        <f>tbl_IO_List[[#This Row],[Terminal Tagging-Item]]&amp;"/"&amp;tbl_IO_List[[#This Row],[Front Terminal Tagging]]</f>
        <v>-/C4S1-</v>
      </c>
    </row>
    <row r="635" spans="1:47" hidden="1">
      <c r="A635" s="147" t="s">
        <v>1371</v>
      </c>
      <c r="B635" s="136" t="s">
        <v>265</v>
      </c>
      <c r="C635" s="136" t="str">
        <f>tbl_IO_List[[#This Row],[Column3]]</f>
        <v>C4S01,06</v>
      </c>
      <c r="D635" s="136" t="str">
        <f>tbl_IO_List[[#This Row],[Card]]</f>
        <v>1756-IB32-6</v>
      </c>
      <c r="E635" s="136" t="s">
        <v>1366</v>
      </c>
      <c r="F635" s="136" t="str">
        <f>tbl_IO_List[[#This Row],[Column23]]&amp;"-" &amp;tbl_IO_List[[#This Row],[Column52]]</f>
        <v>C4S01-X1</v>
      </c>
      <c r="G635" s="136" t="str">
        <f>tbl_IO_List[[#This Row],[PLC_Tag]]</f>
        <v>Spare_DI_0</v>
      </c>
      <c r="H635" s="136"/>
      <c r="I635" s="136" t="str">
        <f>VLOOKUP(tbl_IO_List[[#This Row],[Destination]],tbl_Junction[],2,FALSE)</f>
        <v>Spray Dryer 6th Floor</v>
      </c>
      <c r="J635" s="136"/>
      <c r="K635" s="136"/>
      <c r="L635" s="136" t="s">
        <v>411</v>
      </c>
      <c r="M635" s="136" t="e">
        <f>VLOOKUP(tbl_IO_List[[#This Row],[Instruement Tag]],tbl_Instruement_List[],2,FALSE)</f>
        <v>#N/A</v>
      </c>
      <c r="N635" s="136"/>
      <c r="O635" s="136"/>
      <c r="P635" s="136"/>
      <c r="Q635" s="136" t="e">
        <f>VLOOKUP(tbl_IO_List[[#This Row],[Instruement Tag]],tbl_Instruement_List[],6,FALSE)</f>
        <v>#N/A</v>
      </c>
      <c r="R635" s="136"/>
      <c r="S63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635" s="136" t="str">
        <f>tbl_IO_List[[#This Row],[Instruement Tag]]&amp;"_"&amp;tbl_IO_List[[#This Row],[I/O Type]]&amp;"_"&amp;tbl_IO_List[[#This Row],[IO-Point 
(Instruement)]]</f>
        <v>Spare_DI_0</v>
      </c>
      <c r="U635" s="136" t="s">
        <v>8</v>
      </c>
      <c r="V635" s="136">
        <f>VLOOKUP(tbl_IO_List[[#This Row],[I/O Type]],tbl_Slot_Group[],2,FALSE)</f>
        <v>1</v>
      </c>
      <c r="W635" s="136">
        <v>0</v>
      </c>
      <c r="X635" s="136" t="str">
        <f>tbl_IO_List[[#This Row],[Chassis]]&amp;"S"&amp;TEXT(tbl_IO_List[[#This Row],[Slot]],"00")</f>
        <v>C4S01</v>
      </c>
      <c r="Y635" s="136" t="str">
        <f>tbl_IO_List[[#This Row],[Chassis]]&amp;"S"&amp;TEXT(tbl_IO_List[[#This Row],[Slot]],"00")&amp;tbl_IO_List[[#This Row],[I/O Type]]&amp;TEXT(tbl_IO_List[[#This Row],[Point]],"00")</f>
        <v>C4S01DI06</v>
      </c>
      <c r="Z635" s="136" t="str">
        <f>tbl_IO_List[[#This Row],[Chassis]]&amp;"S"&amp;TEXT(tbl_IO_List[[#This Row],[Slot]],"00")&amp;","&amp;TEXT(tbl_IO_List[[#This Row],[Point]],"00")</f>
        <v>C4S01,06</v>
      </c>
      <c r="AA635" s="136" t="str">
        <f>VLOOKUP(tbl_IO_List[[#This Row],[Column23]],tbl_RackConfig[],5,FALSE) &amp;"-"&amp;tbl_IO_List[[#This Row],[Point]]</f>
        <v>1756-IB32-6</v>
      </c>
      <c r="AB635" s="136"/>
      <c r="AC635" s="136"/>
      <c r="AD635" s="136" t="str">
        <f>tbl_IO_List[[#This Row],[I/O Type]]</f>
        <v>DI</v>
      </c>
      <c r="AE635" s="136" t="s">
        <v>1335</v>
      </c>
      <c r="AF635" s="136">
        <v>1</v>
      </c>
      <c r="AG635" s="136">
        <v>6</v>
      </c>
      <c r="AH635" s="136"/>
      <c r="AI635" s="136"/>
      <c r="AJ635" s="136">
        <v>1</v>
      </c>
      <c r="AK635" s="136">
        <v>0</v>
      </c>
      <c r="AL635" s="136">
        <v>0</v>
      </c>
      <c r="AM635" s="136">
        <v>0</v>
      </c>
      <c r="AN635" s="136">
        <v>0</v>
      </c>
      <c r="AO635" s="136"/>
      <c r="AP635" s="143" t="e">
        <f>VLOOKUP(tbl_IO_List[[#This Row],[Instruement Tag]],tbl_Instruement_List[],14,FALSE)</f>
        <v>#N/A</v>
      </c>
      <c r="AQ635" s="143" t="str">
        <f>tbl_IO_List[[#This Row],[Chassis]]&amp;"S"&amp;tbl_IO_List[[#This Row],[Slot]]&amp;"-"&amp;tbl_IO_List[[#This Row],[Front Terminal Number]]</f>
        <v>C4S1-</v>
      </c>
      <c r="AR635" s="143"/>
      <c r="AS635" s="136" t="str">
        <f>tbl_IO_List[[#This Row],[Terminal Tagging]]&amp;"-"&amp;tbl_IO_List[[#This Row],[Point-Count]]</f>
        <v>-</v>
      </c>
      <c r="AT635" s="136" t="str">
        <f>tbl_IO_List[[#This Row],[Front Terminal Tagging]]&amp;"/"&amp;tbl_IO_List[[#This Row],[Terminal Tagging-Item]]</f>
        <v>C4S1-/-</v>
      </c>
      <c r="AU635" s="136" t="str">
        <f>tbl_IO_List[[#This Row],[Terminal Tagging-Item]]&amp;"/"&amp;tbl_IO_List[[#This Row],[Front Terminal Tagging]]</f>
        <v>-/C4S1-</v>
      </c>
    </row>
    <row r="636" spans="1:47" hidden="1">
      <c r="A636" s="147" t="s">
        <v>1371</v>
      </c>
      <c r="B636" s="136" t="s">
        <v>265</v>
      </c>
      <c r="C636" s="136" t="str">
        <f>tbl_IO_List[[#This Row],[Column3]]</f>
        <v>C4S01,07</v>
      </c>
      <c r="D636" s="136" t="str">
        <f>tbl_IO_List[[#This Row],[Card]]</f>
        <v>1756-IB32-7</v>
      </c>
      <c r="E636" s="136" t="s">
        <v>1366</v>
      </c>
      <c r="F636" s="136" t="str">
        <f>tbl_IO_List[[#This Row],[Column23]]&amp;"-" &amp;tbl_IO_List[[#This Row],[Column52]]</f>
        <v>C4S01-X1</v>
      </c>
      <c r="G636" s="136" t="str">
        <f>tbl_IO_List[[#This Row],[PLC_Tag]]</f>
        <v>Spare_DI_0</v>
      </c>
      <c r="H636" s="136"/>
      <c r="I636" s="136" t="str">
        <f>VLOOKUP(tbl_IO_List[[#This Row],[Destination]],tbl_Junction[],2,FALSE)</f>
        <v>Spray Dryer 6th Floor</v>
      </c>
      <c r="J636" s="136"/>
      <c r="K636" s="136"/>
      <c r="L636" s="136" t="s">
        <v>411</v>
      </c>
      <c r="M636" s="136" t="e">
        <f>VLOOKUP(tbl_IO_List[[#This Row],[Instruement Tag]],tbl_Instruement_List[],2,FALSE)</f>
        <v>#N/A</v>
      </c>
      <c r="N636" s="136"/>
      <c r="O636" s="136"/>
      <c r="P636" s="136"/>
      <c r="Q636" s="136" t="e">
        <f>VLOOKUP(tbl_IO_List[[#This Row],[Instruement Tag]],tbl_Instruement_List[],6,FALSE)</f>
        <v>#N/A</v>
      </c>
      <c r="R636" s="136"/>
      <c r="S63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636" s="136" t="str">
        <f>tbl_IO_List[[#This Row],[Instruement Tag]]&amp;"_"&amp;tbl_IO_List[[#This Row],[I/O Type]]&amp;"_"&amp;tbl_IO_List[[#This Row],[IO-Point 
(Instruement)]]</f>
        <v>Spare_DI_0</v>
      </c>
      <c r="U636" s="136" t="s">
        <v>8</v>
      </c>
      <c r="V636" s="136">
        <f>VLOOKUP(tbl_IO_List[[#This Row],[I/O Type]],tbl_Slot_Group[],2,FALSE)</f>
        <v>1</v>
      </c>
      <c r="W636" s="136">
        <v>0</v>
      </c>
      <c r="X636" s="136" t="str">
        <f>tbl_IO_List[[#This Row],[Chassis]]&amp;"S"&amp;TEXT(tbl_IO_List[[#This Row],[Slot]],"00")</f>
        <v>C4S01</v>
      </c>
      <c r="Y636" s="136" t="str">
        <f>tbl_IO_List[[#This Row],[Chassis]]&amp;"S"&amp;TEXT(tbl_IO_List[[#This Row],[Slot]],"00")&amp;tbl_IO_List[[#This Row],[I/O Type]]&amp;TEXT(tbl_IO_List[[#This Row],[Point]],"00")</f>
        <v>C4S01DI07</v>
      </c>
      <c r="Z636" s="136" t="str">
        <f>tbl_IO_List[[#This Row],[Chassis]]&amp;"S"&amp;TEXT(tbl_IO_List[[#This Row],[Slot]],"00")&amp;","&amp;TEXT(tbl_IO_List[[#This Row],[Point]],"00")</f>
        <v>C4S01,07</v>
      </c>
      <c r="AA636" s="136" t="str">
        <f>VLOOKUP(tbl_IO_List[[#This Row],[Column23]],tbl_RackConfig[],5,FALSE) &amp;"-"&amp;tbl_IO_List[[#This Row],[Point]]</f>
        <v>1756-IB32-7</v>
      </c>
      <c r="AB636" s="136"/>
      <c r="AC636" s="136"/>
      <c r="AD636" s="136" t="str">
        <f>tbl_IO_List[[#This Row],[I/O Type]]</f>
        <v>DI</v>
      </c>
      <c r="AE636" s="136" t="s">
        <v>1335</v>
      </c>
      <c r="AF636" s="136">
        <v>1</v>
      </c>
      <c r="AG636" s="136">
        <v>7</v>
      </c>
      <c r="AH636" s="136"/>
      <c r="AI636" s="136"/>
      <c r="AJ636" s="136">
        <v>1</v>
      </c>
      <c r="AK636" s="136">
        <v>0</v>
      </c>
      <c r="AL636" s="136">
        <v>0</v>
      </c>
      <c r="AM636" s="136">
        <v>0</v>
      </c>
      <c r="AN636" s="136">
        <v>0</v>
      </c>
      <c r="AO636" s="136"/>
      <c r="AP636" s="143" t="e">
        <f>VLOOKUP(tbl_IO_List[[#This Row],[Instruement Tag]],tbl_Instruement_List[],14,FALSE)</f>
        <v>#N/A</v>
      </c>
      <c r="AQ636" s="143" t="str">
        <f>tbl_IO_List[[#This Row],[Chassis]]&amp;"S"&amp;tbl_IO_List[[#This Row],[Slot]]&amp;"-"&amp;tbl_IO_List[[#This Row],[Front Terminal Number]]</f>
        <v>C4S1-</v>
      </c>
      <c r="AR636" s="143"/>
      <c r="AS636" s="136" t="str">
        <f>tbl_IO_List[[#This Row],[Terminal Tagging]]&amp;"-"&amp;tbl_IO_List[[#This Row],[Point-Count]]</f>
        <v>-</v>
      </c>
      <c r="AT636" s="136" t="str">
        <f>tbl_IO_List[[#This Row],[Front Terminal Tagging]]&amp;"/"&amp;tbl_IO_List[[#This Row],[Terminal Tagging-Item]]</f>
        <v>C4S1-/-</v>
      </c>
      <c r="AU636" s="136" t="str">
        <f>tbl_IO_List[[#This Row],[Terminal Tagging-Item]]&amp;"/"&amp;tbl_IO_List[[#This Row],[Front Terminal Tagging]]</f>
        <v>-/C4S1-</v>
      </c>
    </row>
    <row r="637" spans="1:47" hidden="1">
      <c r="A637" s="147" t="s">
        <v>1371</v>
      </c>
      <c r="B637" s="136" t="s">
        <v>265</v>
      </c>
      <c r="C637" s="136" t="str">
        <f>tbl_IO_List[[#This Row],[Column3]]</f>
        <v>C4S01,08</v>
      </c>
      <c r="D637" s="136" t="str">
        <f>tbl_IO_List[[#This Row],[Card]]</f>
        <v>1756-IB32-8</v>
      </c>
      <c r="E637" s="136" t="s">
        <v>1366</v>
      </c>
      <c r="F637" s="136" t="str">
        <f>tbl_IO_List[[#This Row],[Column23]]&amp;"-" &amp;tbl_IO_List[[#This Row],[Column52]]</f>
        <v>C4S01-X1</v>
      </c>
      <c r="G637" s="136" t="str">
        <f>tbl_IO_List[[#This Row],[PLC_Tag]]</f>
        <v>Spare_DI_0</v>
      </c>
      <c r="H637" s="136"/>
      <c r="I637" s="136" t="str">
        <f>VLOOKUP(tbl_IO_List[[#This Row],[Destination]],tbl_Junction[],2,FALSE)</f>
        <v>Spray Dryer 6th Floor</v>
      </c>
      <c r="J637" s="136"/>
      <c r="K637" s="136"/>
      <c r="L637" s="136" t="s">
        <v>411</v>
      </c>
      <c r="M637" s="136" t="e">
        <f>VLOOKUP(tbl_IO_List[[#This Row],[Instruement Tag]],tbl_Instruement_List[],2,FALSE)</f>
        <v>#N/A</v>
      </c>
      <c r="N637" s="136"/>
      <c r="O637" s="136"/>
      <c r="P637" s="136"/>
      <c r="Q637" s="136" t="e">
        <f>VLOOKUP(tbl_IO_List[[#This Row],[Instruement Tag]],tbl_Instruement_List[],6,FALSE)</f>
        <v>#N/A</v>
      </c>
      <c r="R637" s="136"/>
      <c r="S63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637" s="136" t="str">
        <f>tbl_IO_List[[#This Row],[Instruement Tag]]&amp;"_"&amp;tbl_IO_List[[#This Row],[I/O Type]]&amp;"_"&amp;tbl_IO_List[[#This Row],[IO-Point 
(Instruement)]]</f>
        <v>Spare_DI_0</v>
      </c>
      <c r="U637" s="136" t="s">
        <v>8</v>
      </c>
      <c r="V637" s="136">
        <f>VLOOKUP(tbl_IO_List[[#This Row],[I/O Type]],tbl_Slot_Group[],2,FALSE)</f>
        <v>1</v>
      </c>
      <c r="W637" s="136">
        <v>0</v>
      </c>
      <c r="X637" s="136" t="str">
        <f>tbl_IO_List[[#This Row],[Chassis]]&amp;"S"&amp;TEXT(tbl_IO_List[[#This Row],[Slot]],"00")</f>
        <v>C4S01</v>
      </c>
      <c r="Y637" s="136" t="str">
        <f>tbl_IO_List[[#This Row],[Chassis]]&amp;"S"&amp;TEXT(tbl_IO_List[[#This Row],[Slot]],"00")&amp;tbl_IO_List[[#This Row],[I/O Type]]&amp;TEXT(tbl_IO_List[[#This Row],[Point]],"00")</f>
        <v>C4S01DI08</v>
      </c>
      <c r="Z637" s="136" t="str">
        <f>tbl_IO_List[[#This Row],[Chassis]]&amp;"S"&amp;TEXT(tbl_IO_List[[#This Row],[Slot]],"00")&amp;","&amp;TEXT(tbl_IO_List[[#This Row],[Point]],"00")</f>
        <v>C4S01,08</v>
      </c>
      <c r="AA637" s="136" t="str">
        <f>VLOOKUP(tbl_IO_List[[#This Row],[Column23]],tbl_RackConfig[],5,FALSE) &amp;"-"&amp;tbl_IO_List[[#This Row],[Point]]</f>
        <v>1756-IB32-8</v>
      </c>
      <c r="AB637" s="136"/>
      <c r="AC637" s="136"/>
      <c r="AD637" s="136" t="str">
        <f>tbl_IO_List[[#This Row],[I/O Type]]</f>
        <v>DI</v>
      </c>
      <c r="AE637" s="136" t="s">
        <v>1335</v>
      </c>
      <c r="AF637" s="136">
        <v>1</v>
      </c>
      <c r="AG637" s="136">
        <v>8</v>
      </c>
      <c r="AH637" s="136"/>
      <c r="AI637" s="136"/>
      <c r="AJ637" s="136">
        <v>1</v>
      </c>
      <c r="AK637" s="136">
        <v>0</v>
      </c>
      <c r="AL637" s="136">
        <v>0</v>
      </c>
      <c r="AM637" s="136">
        <v>0</v>
      </c>
      <c r="AN637" s="136">
        <v>0</v>
      </c>
      <c r="AO637" s="136"/>
      <c r="AP637" s="143" t="e">
        <f>VLOOKUP(tbl_IO_List[[#This Row],[Instruement Tag]],tbl_Instruement_List[],14,FALSE)</f>
        <v>#N/A</v>
      </c>
      <c r="AQ637" s="143" t="str">
        <f>tbl_IO_List[[#This Row],[Chassis]]&amp;"S"&amp;tbl_IO_List[[#This Row],[Slot]]&amp;"-"&amp;tbl_IO_List[[#This Row],[Front Terminal Number]]</f>
        <v>C4S1-</v>
      </c>
      <c r="AR637" s="143"/>
      <c r="AS637" s="136" t="str">
        <f>tbl_IO_List[[#This Row],[Terminal Tagging]]&amp;"-"&amp;tbl_IO_List[[#This Row],[Point-Count]]</f>
        <v>-</v>
      </c>
      <c r="AT637" s="136" t="str">
        <f>tbl_IO_List[[#This Row],[Front Terminal Tagging]]&amp;"/"&amp;tbl_IO_List[[#This Row],[Terminal Tagging-Item]]</f>
        <v>C4S1-/-</v>
      </c>
      <c r="AU637" s="136" t="str">
        <f>tbl_IO_List[[#This Row],[Terminal Tagging-Item]]&amp;"/"&amp;tbl_IO_List[[#This Row],[Front Terminal Tagging]]</f>
        <v>-/C4S1-</v>
      </c>
    </row>
    <row r="638" spans="1:47" hidden="1">
      <c r="A638" s="147" t="s">
        <v>1371</v>
      </c>
      <c r="B638" s="136" t="s">
        <v>265</v>
      </c>
      <c r="C638" s="136" t="str">
        <f>tbl_IO_List[[#This Row],[Column3]]</f>
        <v>C4S01,09</v>
      </c>
      <c r="D638" s="136" t="str">
        <f>tbl_IO_List[[#This Row],[Card]]</f>
        <v>1756-IB32-9</v>
      </c>
      <c r="E638" s="136" t="s">
        <v>1366</v>
      </c>
      <c r="F638" s="136" t="str">
        <f>tbl_IO_List[[#This Row],[Column23]]&amp;"-" &amp;tbl_IO_List[[#This Row],[Column52]]</f>
        <v>C4S01-X1</v>
      </c>
      <c r="G638" s="136" t="str">
        <f>tbl_IO_List[[#This Row],[PLC_Tag]]</f>
        <v>Spare_DI_0</v>
      </c>
      <c r="H638" s="136"/>
      <c r="I638" s="136" t="str">
        <f>VLOOKUP(tbl_IO_List[[#This Row],[Destination]],tbl_Junction[],2,FALSE)</f>
        <v>Spray Dryer 6th Floor</v>
      </c>
      <c r="J638" s="136"/>
      <c r="K638" s="136"/>
      <c r="L638" s="136" t="s">
        <v>411</v>
      </c>
      <c r="M638" s="136" t="e">
        <f>VLOOKUP(tbl_IO_List[[#This Row],[Instruement Tag]],tbl_Instruement_List[],2,FALSE)</f>
        <v>#N/A</v>
      </c>
      <c r="N638" s="136"/>
      <c r="O638" s="136"/>
      <c r="P638" s="136"/>
      <c r="Q638" s="136" t="e">
        <f>VLOOKUP(tbl_IO_List[[#This Row],[Instruement Tag]],tbl_Instruement_List[],6,FALSE)</f>
        <v>#N/A</v>
      </c>
      <c r="R638" s="136"/>
      <c r="S63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638" s="136" t="str">
        <f>tbl_IO_List[[#This Row],[Instruement Tag]]&amp;"_"&amp;tbl_IO_List[[#This Row],[I/O Type]]&amp;"_"&amp;tbl_IO_List[[#This Row],[IO-Point 
(Instruement)]]</f>
        <v>Spare_DI_0</v>
      </c>
      <c r="U638" s="136" t="s">
        <v>8</v>
      </c>
      <c r="V638" s="136">
        <f>VLOOKUP(tbl_IO_List[[#This Row],[I/O Type]],tbl_Slot_Group[],2,FALSE)</f>
        <v>1</v>
      </c>
      <c r="W638" s="136">
        <v>0</v>
      </c>
      <c r="X638" s="136" t="str">
        <f>tbl_IO_List[[#This Row],[Chassis]]&amp;"S"&amp;TEXT(tbl_IO_List[[#This Row],[Slot]],"00")</f>
        <v>C4S01</v>
      </c>
      <c r="Y638" s="136" t="str">
        <f>tbl_IO_List[[#This Row],[Chassis]]&amp;"S"&amp;TEXT(tbl_IO_List[[#This Row],[Slot]],"00")&amp;tbl_IO_List[[#This Row],[I/O Type]]&amp;TEXT(tbl_IO_List[[#This Row],[Point]],"00")</f>
        <v>C4S01DI09</v>
      </c>
      <c r="Z638" s="136" t="str">
        <f>tbl_IO_List[[#This Row],[Chassis]]&amp;"S"&amp;TEXT(tbl_IO_List[[#This Row],[Slot]],"00")&amp;","&amp;TEXT(tbl_IO_List[[#This Row],[Point]],"00")</f>
        <v>C4S01,09</v>
      </c>
      <c r="AA638" s="136" t="str">
        <f>VLOOKUP(tbl_IO_List[[#This Row],[Column23]],tbl_RackConfig[],5,FALSE) &amp;"-"&amp;tbl_IO_List[[#This Row],[Point]]</f>
        <v>1756-IB32-9</v>
      </c>
      <c r="AB638" s="136"/>
      <c r="AC638" s="136"/>
      <c r="AD638" s="136" t="str">
        <f>tbl_IO_List[[#This Row],[I/O Type]]</f>
        <v>DI</v>
      </c>
      <c r="AE638" s="136" t="s">
        <v>1335</v>
      </c>
      <c r="AF638" s="136">
        <v>1</v>
      </c>
      <c r="AG638" s="136">
        <v>9</v>
      </c>
      <c r="AH638" s="136"/>
      <c r="AI638" s="136"/>
      <c r="AJ638" s="136">
        <v>1</v>
      </c>
      <c r="AK638" s="136">
        <v>0</v>
      </c>
      <c r="AL638" s="136">
        <v>0</v>
      </c>
      <c r="AM638" s="136">
        <v>0</v>
      </c>
      <c r="AN638" s="136">
        <v>0</v>
      </c>
      <c r="AO638" s="136"/>
      <c r="AP638" s="143" t="e">
        <f>VLOOKUP(tbl_IO_List[[#This Row],[Instruement Tag]],tbl_Instruement_List[],14,FALSE)</f>
        <v>#N/A</v>
      </c>
      <c r="AQ638" s="143" t="str">
        <f>tbl_IO_List[[#This Row],[Chassis]]&amp;"S"&amp;tbl_IO_List[[#This Row],[Slot]]&amp;"-"&amp;tbl_IO_List[[#This Row],[Front Terminal Number]]</f>
        <v>C4S1-</v>
      </c>
      <c r="AR638" s="143"/>
      <c r="AS638" s="136" t="str">
        <f>tbl_IO_List[[#This Row],[Terminal Tagging]]&amp;"-"&amp;tbl_IO_List[[#This Row],[Point-Count]]</f>
        <v>-</v>
      </c>
      <c r="AT638" s="136" t="str">
        <f>tbl_IO_List[[#This Row],[Front Terminal Tagging]]&amp;"/"&amp;tbl_IO_List[[#This Row],[Terminal Tagging-Item]]</f>
        <v>C4S1-/-</v>
      </c>
      <c r="AU638" s="136" t="str">
        <f>tbl_IO_List[[#This Row],[Terminal Tagging-Item]]&amp;"/"&amp;tbl_IO_List[[#This Row],[Front Terminal Tagging]]</f>
        <v>-/C4S1-</v>
      </c>
    </row>
    <row r="639" spans="1:47" hidden="1">
      <c r="A639" s="147" t="s">
        <v>1371</v>
      </c>
      <c r="B639" s="136" t="s">
        <v>265</v>
      </c>
      <c r="C639" s="136" t="str">
        <f>tbl_IO_List[[#This Row],[Column3]]</f>
        <v>C4S01,10</v>
      </c>
      <c r="D639" s="136" t="str">
        <f>tbl_IO_List[[#This Row],[Card]]</f>
        <v>1756-IB32-10</v>
      </c>
      <c r="E639" s="136" t="s">
        <v>1366</v>
      </c>
      <c r="F639" s="136" t="str">
        <f>tbl_IO_List[[#This Row],[Column23]]&amp;"-" &amp;tbl_IO_List[[#This Row],[Column52]]</f>
        <v>C4S01-X1</v>
      </c>
      <c r="G639" s="136" t="str">
        <f>tbl_IO_List[[#This Row],[PLC_Tag]]</f>
        <v>Spare_DI_0</v>
      </c>
      <c r="H639" s="136"/>
      <c r="I639" s="136" t="str">
        <f>VLOOKUP(tbl_IO_List[[#This Row],[Destination]],tbl_Junction[],2,FALSE)</f>
        <v>Spray Dryer 6th Floor</v>
      </c>
      <c r="J639" s="136"/>
      <c r="K639" s="136"/>
      <c r="L639" s="136" t="s">
        <v>411</v>
      </c>
      <c r="M639" s="136" t="e">
        <f>VLOOKUP(tbl_IO_List[[#This Row],[Instruement Tag]],tbl_Instruement_List[],2,FALSE)</f>
        <v>#N/A</v>
      </c>
      <c r="N639" s="136"/>
      <c r="O639" s="136"/>
      <c r="P639" s="136"/>
      <c r="Q639" s="136" t="e">
        <f>VLOOKUP(tbl_IO_List[[#This Row],[Instruement Tag]],tbl_Instruement_List[],6,FALSE)</f>
        <v>#N/A</v>
      </c>
      <c r="R639" s="136"/>
      <c r="S63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639" s="136" t="str">
        <f>tbl_IO_List[[#This Row],[Instruement Tag]]&amp;"_"&amp;tbl_IO_List[[#This Row],[I/O Type]]&amp;"_"&amp;tbl_IO_List[[#This Row],[IO-Point 
(Instruement)]]</f>
        <v>Spare_DI_0</v>
      </c>
      <c r="U639" s="136" t="s">
        <v>8</v>
      </c>
      <c r="V639" s="136">
        <f>VLOOKUP(tbl_IO_List[[#This Row],[I/O Type]],tbl_Slot_Group[],2,FALSE)</f>
        <v>1</v>
      </c>
      <c r="W639" s="136">
        <v>0</v>
      </c>
      <c r="X639" s="136" t="str">
        <f>tbl_IO_List[[#This Row],[Chassis]]&amp;"S"&amp;TEXT(tbl_IO_List[[#This Row],[Slot]],"00")</f>
        <v>C4S01</v>
      </c>
      <c r="Y639" s="136" t="str">
        <f>tbl_IO_List[[#This Row],[Chassis]]&amp;"S"&amp;TEXT(tbl_IO_List[[#This Row],[Slot]],"00")&amp;tbl_IO_List[[#This Row],[I/O Type]]&amp;TEXT(tbl_IO_List[[#This Row],[Point]],"00")</f>
        <v>C4S01DI10</v>
      </c>
      <c r="Z639" s="136" t="str">
        <f>tbl_IO_List[[#This Row],[Chassis]]&amp;"S"&amp;TEXT(tbl_IO_List[[#This Row],[Slot]],"00")&amp;","&amp;TEXT(tbl_IO_List[[#This Row],[Point]],"00")</f>
        <v>C4S01,10</v>
      </c>
      <c r="AA639" s="136" t="str">
        <f>VLOOKUP(tbl_IO_List[[#This Row],[Column23]],tbl_RackConfig[],5,FALSE) &amp;"-"&amp;tbl_IO_List[[#This Row],[Point]]</f>
        <v>1756-IB32-10</v>
      </c>
      <c r="AB639" s="136"/>
      <c r="AC639" s="136"/>
      <c r="AD639" s="136" t="str">
        <f>tbl_IO_List[[#This Row],[I/O Type]]</f>
        <v>DI</v>
      </c>
      <c r="AE639" s="136" t="s">
        <v>1335</v>
      </c>
      <c r="AF639" s="136">
        <v>1</v>
      </c>
      <c r="AG639" s="136">
        <v>10</v>
      </c>
      <c r="AH639" s="136"/>
      <c r="AI639" s="136"/>
      <c r="AJ639" s="136">
        <v>1</v>
      </c>
      <c r="AK639" s="136">
        <v>0</v>
      </c>
      <c r="AL639" s="136">
        <v>0</v>
      </c>
      <c r="AM639" s="136">
        <v>0</v>
      </c>
      <c r="AN639" s="136">
        <v>0</v>
      </c>
      <c r="AO639" s="136"/>
      <c r="AP639" s="143" t="e">
        <f>VLOOKUP(tbl_IO_List[[#This Row],[Instruement Tag]],tbl_Instruement_List[],14,FALSE)</f>
        <v>#N/A</v>
      </c>
      <c r="AQ639" s="143" t="str">
        <f>tbl_IO_List[[#This Row],[Chassis]]&amp;"S"&amp;tbl_IO_List[[#This Row],[Slot]]&amp;"-"&amp;tbl_IO_List[[#This Row],[Front Terminal Number]]</f>
        <v>C4S1-</v>
      </c>
      <c r="AR639" s="143"/>
      <c r="AS639" s="136" t="str">
        <f>tbl_IO_List[[#This Row],[Terminal Tagging]]&amp;"-"&amp;tbl_IO_List[[#This Row],[Point-Count]]</f>
        <v>-</v>
      </c>
      <c r="AT639" s="136" t="str">
        <f>tbl_IO_List[[#This Row],[Front Terminal Tagging]]&amp;"/"&amp;tbl_IO_List[[#This Row],[Terminal Tagging-Item]]</f>
        <v>C4S1-/-</v>
      </c>
      <c r="AU639" s="136" t="str">
        <f>tbl_IO_List[[#This Row],[Terminal Tagging-Item]]&amp;"/"&amp;tbl_IO_List[[#This Row],[Front Terminal Tagging]]</f>
        <v>-/C4S1-</v>
      </c>
    </row>
    <row r="640" spans="1:47" hidden="1">
      <c r="A640" s="147" t="s">
        <v>1371</v>
      </c>
      <c r="B640" s="136" t="s">
        <v>265</v>
      </c>
      <c r="C640" s="136" t="str">
        <f>tbl_IO_List[[#This Row],[Column3]]</f>
        <v>C4S01,11</v>
      </c>
      <c r="D640" s="136" t="str">
        <f>tbl_IO_List[[#This Row],[Card]]</f>
        <v>1756-IB32-11</v>
      </c>
      <c r="E640" s="136" t="s">
        <v>1366</v>
      </c>
      <c r="F640" s="136" t="str">
        <f>tbl_IO_List[[#This Row],[Column23]]&amp;"-" &amp;tbl_IO_List[[#This Row],[Column52]]</f>
        <v>C4S01-X1</v>
      </c>
      <c r="G640" s="136" t="str">
        <f>tbl_IO_List[[#This Row],[PLC_Tag]]</f>
        <v>Spare_DI_0</v>
      </c>
      <c r="H640" s="136"/>
      <c r="I640" s="136" t="str">
        <f>VLOOKUP(tbl_IO_List[[#This Row],[Destination]],tbl_Junction[],2,FALSE)</f>
        <v>Spray Dryer 6th Floor</v>
      </c>
      <c r="J640" s="136"/>
      <c r="K640" s="136"/>
      <c r="L640" s="136" t="s">
        <v>411</v>
      </c>
      <c r="M640" s="136" t="e">
        <f>VLOOKUP(tbl_IO_List[[#This Row],[Instruement Tag]],tbl_Instruement_List[],2,FALSE)</f>
        <v>#N/A</v>
      </c>
      <c r="N640" s="136"/>
      <c r="O640" s="136"/>
      <c r="P640" s="136"/>
      <c r="Q640" s="136" t="e">
        <f>VLOOKUP(tbl_IO_List[[#This Row],[Instruement Tag]],tbl_Instruement_List[],6,FALSE)</f>
        <v>#N/A</v>
      </c>
      <c r="R640" s="136"/>
      <c r="S64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640" s="136" t="str">
        <f>tbl_IO_List[[#This Row],[Instruement Tag]]&amp;"_"&amp;tbl_IO_List[[#This Row],[I/O Type]]&amp;"_"&amp;tbl_IO_List[[#This Row],[IO-Point 
(Instruement)]]</f>
        <v>Spare_DI_0</v>
      </c>
      <c r="U640" s="136" t="s">
        <v>8</v>
      </c>
      <c r="V640" s="136">
        <f>VLOOKUP(tbl_IO_List[[#This Row],[I/O Type]],tbl_Slot_Group[],2,FALSE)</f>
        <v>1</v>
      </c>
      <c r="W640" s="136">
        <v>0</v>
      </c>
      <c r="X640" s="136" t="str">
        <f>tbl_IO_List[[#This Row],[Chassis]]&amp;"S"&amp;TEXT(tbl_IO_List[[#This Row],[Slot]],"00")</f>
        <v>C4S01</v>
      </c>
      <c r="Y640" s="136" t="str">
        <f>tbl_IO_List[[#This Row],[Chassis]]&amp;"S"&amp;TEXT(tbl_IO_List[[#This Row],[Slot]],"00")&amp;tbl_IO_List[[#This Row],[I/O Type]]&amp;TEXT(tbl_IO_List[[#This Row],[Point]],"00")</f>
        <v>C4S01DI11</v>
      </c>
      <c r="Z640" s="136" t="str">
        <f>tbl_IO_List[[#This Row],[Chassis]]&amp;"S"&amp;TEXT(tbl_IO_List[[#This Row],[Slot]],"00")&amp;","&amp;TEXT(tbl_IO_List[[#This Row],[Point]],"00")</f>
        <v>C4S01,11</v>
      </c>
      <c r="AA640" s="136" t="str">
        <f>VLOOKUP(tbl_IO_List[[#This Row],[Column23]],tbl_RackConfig[],5,FALSE) &amp;"-"&amp;tbl_IO_List[[#This Row],[Point]]</f>
        <v>1756-IB32-11</v>
      </c>
      <c r="AB640" s="136"/>
      <c r="AC640" s="136"/>
      <c r="AD640" s="136" t="str">
        <f>tbl_IO_List[[#This Row],[I/O Type]]</f>
        <v>DI</v>
      </c>
      <c r="AE640" s="136" t="s">
        <v>1335</v>
      </c>
      <c r="AF640" s="136">
        <v>1</v>
      </c>
      <c r="AG640" s="136">
        <v>11</v>
      </c>
      <c r="AH640" s="136"/>
      <c r="AI640" s="136"/>
      <c r="AJ640" s="136">
        <v>1</v>
      </c>
      <c r="AK640" s="136">
        <v>0</v>
      </c>
      <c r="AL640" s="136">
        <v>0</v>
      </c>
      <c r="AM640" s="136">
        <v>0</v>
      </c>
      <c r="AN640" s="136">
        <v>0</v>
      </c>
      <c r="AO640" s="136"/>
      <c r="AP640" s="143" t="e">
        <f>VLOOKUP(tbl_IO_List[[#This Row],[Instruement Tag]],tbl_Instruement_List[],14,FALSE)</f>
        <v>#N/A</v>
      </c>
      <c r="AQ640" s="143" t="str">
        <f>tbl_IO_List[[#This Row],[Chassis]]&amp;"S"&amp;tbl_IO_List[[#This Row],[Slot]]&amp;"-"&amp;tbl_IO_List[[#This Row],[Front Terminal Number]]</f>
        <v>C4S1-</v>
      </c>
      <c r="AR640" s="143"/>
      <c r="AS640" s="136" t="str">
        <f>tbl_IO_List[[#This Row],[Terminal Tagging]]&amp;"-"&amp;tbl_IO_List[[#This Row],[Point-Count]]</f>
        <v>-</v>
      </c>
      <c r="AT640" s="136" t="str">
        <f>tbl_IO_List[[#This Row],[Front Terminal Tagging]]&amp;"/"&amp;tbl_IO_List[[#This Row],[Terminal Tagging-Item]]</f>
        <v>C4S1-/-</v>
      </c>
      <c r="AU640" s="136" t="str">
        <f>tbl_IO_List[[#This Row],[Terminal Tagging-Item]]&amp;"/"&amp;tbl_IO_List[[#This Row],[Front Terminal Tagging]]</f>
        <v>-/C4S1-</v>
      </c>
    </row>
    <row r="641" spans="1:47" hidden="1">
      <c r="A641" s="147" t="s">
        <v>1371</v>
      </c>
      <c r="B641" s="136" t="s">
        <v>265</v>
      </c>
      <c r="C641" s="136" t="str">
        <f>tbl_IO_List[[#This Row],[Column3]]</f>
        <v>C4S01,12</v>
      </c>
      <c r="D641" s="136" t="str">
        <f>tbl_IO_List[[#This Row],[Card]]</f>
        <v>1756-IB32-12</v>
      </c>
      <c r="E641" s="136" t="s">
        <v>1366</v>
      </c>
      <c r="F641" s="136" t="str">
        <f>tbl_IO_List[[#This Row],[Column23]]&amp;"-" &amp;tbl_IO_List[[#This Row],[Column52]]</f>
        <v>C4S01-X1</v>
      </c>
      <c r="G641" s="136" t="str">
        <f>tbl_IO_List[[#This Row],[PLC_Tag]]</f>
        <v>Spare_DI_0</v>
      </c>
      <c r="H641" s="136"/>
      <c r="I641" s="136" t="str">
        <f>VLOOKUP(tbl_IO_List[[#This Row],[Destination]],tbl_Junction[],2,FALSE)</f>
        <v>Spray Dryer 6th Floor</v>
      </c>
      <c r="J641" s="136"/>
      <c r="K641" s="136"/>
      <c r="L641" s="136" t="s">
        <v>411</v>
      </c>
      <c r="M641" s="136" t="e">
        <f>VLOOKUP(tbl_IO_List[[#This Row],[Instruement Tag]],tbl_Instruement_List[],2,FALSE)</f>
        <v>#N/A</v>
      </c>
      <c r="N641" s="136"/>
      <c r="O641" s="136"/>
      <c r="P641" s="136"/>
      <c r="Q641" s="136" t="e">
        <f>VLOOKUP(tbl_IO_List[[#This Row],[Instruement Tag]],tbl_Instruement_List[],6,FALSE)</f>
        <v>#N/A</v>
      </c>
      <c r="R641" s="136"/>
      <c r="S64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641" s="136" t="str">
        <f>tbl_IO_List[[#This Row],[Instruement Tag]]&amp;"_"&amp;tbl_IO_List[[#This Row],[I/O Type]]&amp;"_"&amp;tbl_IO_List[[#This Row],[IO-Point 
(Instruement)]]</f>
        <v>Spare_DI_0</v>
      </c>
      <c r="U641" s="136" t="s">
        <v>8</v>
      </c>
      <c r="V641" s="136">
        <f>VLOOKUP(tbl_IO_List[[#This Row],[I/O Type]],tbl_Slot_Group[],2,FALSE)</f>
        <v>1</v>
      </c>
      <c r="W641" s="136">
        <v>0</v>
      </c>
      <c r="X641" s="136" t="str">
        <f>tbl_IO_List[[#This Row],[Chassis]]&amp;"S"&amp;TEXT(tbl_IO_List[[#This Row],[Slot]],"00")</f>
        <v>C4S01</v>
      </c>
      <c r="Y641" s="136" t="str">
        <f>tbl_IO_List[[#This Row],[Chassis]]&amp;"S"&amp;TEXT(tbl_IO_List[[#This Row],[Slot]],"00")&amp;tbl_IO_List[[#This Row],[I/O Type]]&amp;TEXT(tbl_IO_List[[#This Row],[Point]],"00")</f>
        <v>C4S01DI12</v>
      </c>
      <c r="Z641" s="136" t="str">
        <f>tbl_IO_List[[#This Row],[Chassis]]&amp;"S"&amp;TEXT(tbl_IO_List[[#This Row],[Slot]],"00")&amp;","&amp;TEXT(tbl_IO_List[[#This Row],[Point]],"00")</f>
        <v>C4S01,12</v>
      </c>
      <c r="AA641" s="136" t="str">
        <f>VLOOKUP(tbl_IO_List[[#This Row],[Column23]],tbl_RackConfig[],5,FALSE) &amp;"-"&amp;tbl_IO_List[[#This Row],[Point]]</f>
        <v>1756-IB32-12</v>
      </c>
      <c r="AB641" s="136"/>
      <c r="AC641" s="136"/>
      <c r="AD641" s="136" t="str">
        <f>tbl_IO_List[[#This Row],[I/O Type]]</f>
        <v>DI</v>
      </c>
      <c r="AE641" s="136" t="s">
        <v>1335</v>
      </c>
      <c r="AF641" s="136">
        <v>1</v>
      </c>
      <c r="AG641" s="136">
        <v>12</v>
      </c>
      <c r="AH641" s="136"/>
      <c r="AI641" s="136"/>
      <c r="AJ641" s="136">
        <v>1</v>
      </c>
      <c r="AK641" s="136">
        <v>0</v>
      </c>
      <c r="AL641" s="136">
        <v>0</v>
      </c>
      <c r="AM641" s="136">
        <v>0</v>
      </c>
      <c r="AN641" s="136">
        <v>0</v>
      </c>
      <c r="AO641" s="136"/>
      <c r="AP641" s="143" t="e">
        <f>VLOOKUP(tbl_IO_List[[#This Row],[Instruement Tag]],tbl_Instruement_List[],14,FALSE)</f>
        <v>#N/A</v>
      </c>
      <c r="AQ641" s="143" t="str">
        <f>tbl_IO_List[[#This Row],[Chassis]]&amp;"S"&amp;tbl_IO_List[[#This Row],[Slot]]&amp;"-"&amp;tbl_IO_List[[#This Row],[Front Terminal Number]]</f>
        <v>C4S1-</v>
      </c>
      <c r="AR641" s="143"/>
      <c r="AS641" s="136" t="str">
        <f>tbl_IO_List[[#This Row],[Terminal Tagging]]&amp;"-"&amp;tbl_IO_List[[#This Row],[Point-Count]]</f>
        <v>-</v>
      </c>
      <c r="AT641" s="136" t="str">
        <f>tbl_IO_List[[#This Row],[Front Terminal Tagging]]&amp;"/"&amp;tbl_IO_List[[#This Row],[Terminal Tagging-Item]]</f>
        <v>C4S1-/-</v>
      </c>
      <c r="AU641" s="136" t="str">
        <f>tbl_IO_List[[#This Row],[Terminal Tagging-Item]]&amp;"/"&amp;tbl_IO_List[[#This Row],[Front Terminal Tagging]]</f>
        <v>-/C4S1-</v>
      </c>
    </row>
    <row r="642" spans="1:47" hidden="1">
      <c r="A642" s="147" t="s">
        <v>1371</v>
      </c>
      <c r="B642" s="136" t="s">
        <v>265</v>
      </c>
      <c r="C642" s="136" t="str">
        <f>tbl_IO_List[[#This Row],[Column3]]</f>
        <v>C4S01,13</v>
      </c>
      <c r="D642" s="136" t="str">
        <f>tbl_IO_List[[#This Row],[Card]]</f>
        <v>1756-IB32-13</v>
      </c>
      <c r="E642" s="136" t="s">
        <v>1366</v>
      </c>
      <c r="F642" s="136" t="str">
        <f>tbl_IO_List[[#This Row],[Column23]]&amp;"-" &amp;tbl_IO_List[[#This Row],[Column52]]</f>
        <v>C4S01-X1</v>
      </c>
      <c r="G642" s="136" t="str">
        <f>tbl_IO_List[[#This Row],[PLC_Tag]]</f>
        <v>Spare_DI_0</v>
      </c>
      <c r="H642" s="136"/>
      <c r="I642" s="136" t="str">
        <f>VLOOKUP(tbl_IO_List[[#This Row],[Destination]],tbl_Junction[],2,FALSE)</f>
        <v>Spray Dryer 6th Floor</v>
      </c>
      <c r="J642" s="136"/>
      <c r="K642" s="136"/>
      <c r="L642" s="136" t="s">
        <v>411</v>
      </c>
      <c r="M642" s="136" t="e">
        <f>VLOOKUP(tbl_IO_List[[#This Row],[Instruement Tag]],tbl_Instruement_List[],2,FALSE)</f>
        <v>#N/A</v>
      </c>
      <c r="N642" s="136"/>
      <c r="O642" s="136"/>
      <c r="P642" s="136"/>
      <c r="Q642" s="136" t="e">
        <f>VLOOKUP(tbl_IO_List[[#This Row],[Instruement Tag]],tbl_Instruement_List[],6,FALSE)</f>
        <v>#N/A</v>
      </c>
      <c r="R642" s="136"/>
      <c r="S64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642" s="136" t="str">
        <f>tbl_IO_List[[#This Row],[Instruement Tag]]&amp;"_"&amp;tbl_IO_List[[#This Row],[I/O Type]]&amp;"_"&amp;tbl_IO_List[[#This Row],[IO-Point 
(Instruement)]]</f>
        <v>Spare_DI_0</v>
      </c>
      <c r="U642" s="136" t="s">
        <v>8</v>
      </c>
      <c r="V642" s="136">
        <f>VLOOKUP(tbl_IO_List[[#This Row],[I/O Type]],tbl_Slot_Group[],2,FALSE)</f>
        <v>1</v>
      </c>
      <c r="W642" s="136">
        <v>0</v>
      </c>
      <c r="X642" s="136" t="str">
        <f>tbl_IO_List[[#This Row],[Chassis]]&amp;"S"&amp;TEXT(tbl_IO_List[[#This Row],[Slot]],"00")</f>
        <v>C4S01</v>
      </c>
      <c r="Y642" s="136" t="str">
        <f>tbl_IO_List[[#This Row],[Chassis]]&amp;"S"&amp;TEXT(tbl_IO_List[[#This Row],[Slot]],"00")&amp;tbl_IO_List[[#This Row],[I/O Type]]&amp;TEXT(tbl_IO_List[[#This Row],[Point]],"00")</f>
        <v>C4S01DI13</v>
      </c>
      <c r="Z642" s="136" t="str">
        <f>tbl_IO_List[[#This Row],[Chassis]]&amp;"S"&amp;TEXT(tbl_IO_List[[#This Row],[Slot]],"00")&amp;","&amp;TEXT(tbl_IO_List[[#This Row],[Point]],"00")</f>
        <v>C4S01,13</v>
      </c>
      <c r="AA642" s="136" t="str">
        <f>VLOOKUP(tbl_IO_List[[#This Row],[Column23]],tbl_RackConfig[],5,FALSE) &amp;"-"&amp;tbl_IO_List[[#This Row],[Point]]</f>
        <v>1756-IB32-13</v>
      </c>
      <c r="AB642" s="136"/>
      <c r="AC642" s="136"/>
      <c r="AD642" s="136" t="str">
        <f>tbl_IO_List[[#This Row],[I/O Type]]</f>
        <v>DI</v>
      </c>
      <c r="AE642" s="136" t="s">
        <v>1335</v>
      </c>
      <c r="AF642" s="136">
        <v>1</v>
      </c>
      <c r="AG642" s="136">
        <v>13</v>
      </c>
      <c r="AH642" s="136"/>
      <c r="AI642" s="136"/>
      <c r="AJ642" s="136">
        <v>1</v>
      </c>
      <c r="AK642" s="136">
        <v>0</v>
      </c>
      <c r="AL642" s="136">
        <v>0</v>
      </c>
      <c r="AM642" s="136">
        <v>0</v>
      </c>
      <c r="AN642" s="136">
        <v>0</v>
      </c>
      <c r="AO642" s="136"/>
      <c r="AP642" s="143" t="e">
        <f>VLOOKUP(tbl_IO_List[[#This Row],[Instruement Tag]],tbl_Instruement_List[],14,FALSE)</f>
        <v>#N/A</v>
      </c>
      <c r="AQ642" s="143" t="str">
        <f>tbl_IO_List[[#This Row],[Chassis]]&amp;"S"&amp;tbl_IO_List[[#This Row],[Slot]]&amp;"-"&amp;tbl_IO_List[[#This Row],[Front Terminal Number]]</f>
        <v>C4S1-</v>
      </c>
      <c r="AR642" s="143"/>
      <c r="AS642" s="136" t="str">
        <f>tbl_IO_List[[#This Row],[Terminal Tagging]]&amp;"-"&amp;tbl_IO_List[[#This Row],[Point-Count]]</f>
        <v>-</v>
      </c>
      <c r="AT642" s="136" t="str">
        <f>tbl_IO_List[[#This Row],[Front Terminal Tagging]]&amp;"/"&amp;tbl_IO_List[[#This Row],[Terminal Tagging-Item]]</f>
        <v>C4S1-/-</v>
      </c>
      <c r="AU642" s="136" t="str">
        <f>tbl_IO_List[[#This Row],[Terminal Tagging-Item]]&amp;"/"&amp;tbl_IO_List[[#This Row],[Front Terminal Tagging]]</f>
        <v>-/C4S1-</v>
      </c>
    </row>
    <row r="643" spans="1:47" hidden="1">
      <c r="A643" s="147" t="s">
        <v>1371</v>
      </c>
      <c r="B643" s="136" t="s">
        <v>265</v>
      </c>
      <c r="C643" s="136" t="str">
        <f>tbl_IO_List[[#This Row],[Column3]]</f>
        <v>C4S01,14</v>
      </c>
      <c r="D643" s="136" t="str">
        <f>tbl_IO_List[[#This Row],[Card]]</f>
        <v>1756-IB32-14</v>
      </c>
      <c r="E643" s="136" t="s">
        <v>1366</v>
      </c>
      <c r="F643" s="136" t="str">
        <f>tbl_IO_List[[#This Row],[Column23]]&amp;"-" &amp;tbl_IO_List[[#This Row],[Column52]]</f>
        <v>C4S01-X1</v>
      </c>
      <c r="G643" s="136" t="str">
        <f>tbl_IO_List[[#This Row],[PLC_Tag]]</f>
        <v>Spare_DI_0</v>
      </c>
      <c r="H643" s="136"/>
      <c r="I643" s="136" t="str">
        <f>VLOOKUP(tbl_IO_List[[#This Row],[Destination]],tbl_Junction[],2,FALSE)</f>
        <v>Spray Dryer 6th Floor</v>
      </c>
      <c r="J643" s="136"/>
      <c r="K643" s="136"/>
      <c r="L643" s="136" t="s">
        <v>411</v>
      </c>
      <c r="M643" s="136" t="e">
        <f>VLOOKUP(tbl_IO_List[[#This Row],[Instruement Tag]],tbl_Instruement_List[],2,FALSE)</f>
        <v>#N/A</v>
      </c>
      <c r="N643" s="136"/>
      <c r="O643" s="136"/>
      <c r="P643" s="136"/>
      <c r="Q643" s="136" t="e">
        <f>VLOOKUP(tbl_IO_List[[#This Row],[Instruement Tag]],tbl_Instruement_List[],6,FALSE)</f>
        <v>#N/A</v>
      </c>
      <c r="R643" s="136"/>
      <c r="S64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643" s="136" t="str">
        <f>tbl_IO_List[[#This Row],[Instruement Tag]]&amp;"_"&amp;tbl_IO_List[[#This Row],[I/O Type]]&amp;"_"&amp;tbl_IO_List[[#This Row],[IO-Point 
(Instruement)]]</f>
        <v>Spare_DI_0</v>
      </c>
      <c r="U643" s="136" t="s">
        <v>8</v>
      </c>
      <c r="V643" s="136">
        <f>VLOOKUP(tbl_IO_List[[#This Row],[I/O Type]],tbl_Slot_Group[],2,FALSE)</f>
        <v>1</v>
      </c>
      <c r="W643" s="136">
        <v>0</v>
      </c>
      <c r="X643" s="136" t="str">
        <f>tbl_IO_List[[#This Row],[Chassis]]&amp;"S"&amp;TEXT(tbl_IO_List[[#This Row],[Slot]],"00")</f>
        <v>C4S01</v>
      </c>
      <c r="Y643" s="136" t="str">
        <f>tbl_IO_List[[#This Row],[Chassis]]&amp;"S"&amp;TEXT(tbl_IO_List[[#This Row],[Slot]],"00")&amp;tbl_IO_List[[#This Row],[I/O Type]]&amp;TEXT(tbl_IO_List[[#This Row],[Point]],"00")</f>
        <v>C4S01DI14</v>
      </c>
      <c r="Z643" s="136" t="str">
        <f>tbl_IO_List[[#This Row],[Chassis]]&amp;"S"&amp;TEXT(tbl_IO_List[[#This Row],[Slot]],"00")&amp;","&amp;TEXT(tbl_IO_List[[#This Row],[Point]],"00")</f>
        <v>C4S01,14</v>
      </c>
      <c r="AA643" s="136" t="str">
        <f>VLOOKUP(tbl_IO_List[[#This Row],[Column23]],tbl_RackConfig[],5,FALSE) &amp;"-"&amp;tbl_IO_List[[#This Row],[Point]]</f>
        <v>1756-IB32-14</v>
      </c>
      <c r="AB643" s="136"/>
      <c r="AC643" s="136"/>
      <c r="AD643" s="136" t="str">
        <f>tbl_IO_List[[#This Row],[I/O Type]]</f>
        <v>DI</v>
      </c>
      <c r="AE643" s="136" t="s">
        <v>1335</v>
      </c>
      <c r="AF643" s="136">
        <v>1</v>
      </c>
      <c r="AG643" s="136">
        <v>14</v>
      </c>
      <c r="AH643" s="136"/>
      <c r="AI643" s="136"/>
      <c r="AJ643" s="136">
        <v>1</v>
      </c>
      <c r="AK643" s="136">
        <v>0</v>
      </c>
      <c r="AL643" s="136">
        <v>0</v>
      </c>
      <c r="AM643" s="136">
        <v>0</v>
      </c>
      <c r="AN643" s="136">
        <v>0</v>
      </c>
      <c r="AO643" s="136"/>
      <c r="AP643" s="143" t="e">
        <f>VLOOKUP(tbl_IO_List[[#This Row],[Instruement Tag]],tbl_Instruement_List[],14,FALSE)</f>
        <v>#N/A</v>
      </c>
      <c r="AQ643" s="143" t="str">
        <f>tbl_IO_List[[#This Row],[Chassis]]&amp;"S"&amp;tbl_IO_List[[#This Row],[Slot]]&amp;"-"&amp;tbl_IO_List[[#This Row],[Front Terminal Number]]</f>
        <v>C4S1-</v>
      </c>
      <c r="AR643" s="143"/>
      <c r="AS643" s="136" t="str">
        <f>tbl_IO_List[[#This Row],[Terminal Tagging]]&amp;"-"&amp;tbl_IO_List[[#This Row],[Point-Count]]</f>
        <v>-</v>
      </c>
      <c r="AT643" s="136" t="str">
        <f>tbl_IO_List[[#This Row],[Front Terminal Tagging]]&amp;"/"&amp;tbl_IO_List[[#This Row],[Terminal Tagging-Item]]</f>
        <v>C4S1-/-</v>
      </c>
      <c r="AU643" s="136" t="str">
        <f>tbl_IO_List[[#This Row],[Terminal Tagging-Item]]&amp;"/"&amp;tbl_IO_List[[#This Row],[Front Terminal Tagging]]</f>
        <v>-/C4S1-</v>
      </c>
    </row>
    <row r="644" spans="1:47" hidden="1">
      <c r="A644" s="147" t="s">
        <v>1371</v>
      </c>
      <c r="B644" s="136" t="s">
        <v>265</v>
      </c>
      <c r="C644" s="136" t="str">
        <f>tbl_IO_List[[#This Row],[Column3]]</f>
        <v>C4S01,15</v>
      </c>
      <c r="D644" s="136" t="str">
        <f>tbl_IO_List[[#This Row],[Card]]</f>
        <v>1756-IB32-15</v>
      </c>
      <c r="E644" s="136" t="s">
        <v>1366</v>
      </c>
      <c r="F644" s="136" t="str">
        <f>tbl_IO_List[[#This Row],[Column23]]&amp;"-" &amp;tbl_IO_List[[#This Row],[Column52]]</f>
        <v>C4S01-X1</v>
      </c>
      <c r="G644" s="136" t="str">
        <f>tbl_IO_List[[#This Row],[PLC_Tag]]</f>
        <v>Spare_DI_0</v>
      </c>
      <c r="H644" s="136"/>
      <c r="I644" s="136" t="str">
        <f>VLOOKUP(tbl_IO_List[[#This Row],[Destination]],tbl_Junction[],2,FALSE)</f>
        <v>Spray Dryer 6th Floor</v>
      </c>
      <c r="J644" s="136"/>
      <c r="K644" s="136"/>
      <c r="L644" s="136" t="s">
        <v>411</v>
      </c>
      <c r="M644" s="136" t="e">
        <f>VLOOKUP(tbl_IO_List[[#This Row],[Instruement Tag]],tbl_Instruement_List[],2,FALSE)</f>
        <v>#N/A</v>
      </c>
      <c r="N644" s="136"/>
      <c r="O644" s="136"/>
      <c r="P644" s="136"/>
      <c r="Q644" s="136" t="e">
        <f>VLOOKUP(tbl_IO_List[[#This Row],[Instruement Tag]],tbl_Instruement_List[],6,FALSE)</f>
        <v>#N/A</v>
      </c>
      <c r="R644" s="136"/>
      <c r="S64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644" s="136" t="str">
        <f>tbl_IO_List[[#This Row],[Instruement Tag]]&amp;"_"&amp;tbl_IO_List[[#This Row],[I/O Type]]&amp;"_"&amp;tbl_IO_List[[#This Row],[IO-Point 
(Instruement)]]</f>
        <v>Spare_DI_0</v>
      </c>
      <c r="U644" s="136" t="s">
        <v>8</v>
      </c>
      <c r="V644" s="136">
        <f>VLOOKUP(tbl_IO_List[[#This Row],[I/O Type]],tbl_Slot_Group[],2,FALSE)</f>
        <v>1</v>
      </c>
      <c r="W644" s="136">
        <v>0</v>
      </c>
      <c r="X644" s="136" t="str">
        <f>tbl_IO_List[[#This Row],[Chassis]]&amp;"S"&amp;TEXT(tbl_IO_List[[#This Row],[Slot]],"00")</f>
        <v>C4S01</v>
      </c>
      <c r="Y644" s="136" t="str">
        <f>tbl_IO_List[[#This Row],[Chassis]]&amp;"S"&amp;TEXT(tbl_IO_List[[#This Row],[Slot]],"00")&amp;tbl_IO_List[[#This Row],[I/O Type]]&amp;TEXT(tbl_IO_List[[#This Row],[Point]],"00")</f>
        <v>C4S01DI15</v>
      </c>
      <c r="Z644" s="136" t="str">
        <f>tbl_IO_List[[#This Row],[Chassis]]&amp;"S"&amp;TEXT(tbl_IO_List[[#This Row],[Slot]],"00")&amp;","&amp;TEXT(tbl_IO_List[[#This Row],[Point]],"00")</f>
        <v>C4S01,15</v>
      </c>
      <c r="AA644" s="136" t="str">
        <f>VLOOKUP(tbl_IO_List[[#This Row],[Column23]],tbl_RackConfig[],5,FALSE) &amp;"-"&amp;tbl_IO_List[[#This Row],[Point]]</f>
        <v>1756-IB32-15</v>
      </c>
      <c r="AB644" s="136"/>
      <c r="AC644" s="136"/>
      <c r="AD644" s="136" t="str">
        <f>tbl_IO_List[[#This Row],[I/O Type]]</f>
        <v>DI</v>
      </c>
      <c r="AE644" s="136" t="s">
        <v>1335</v>
      </c>
      <c r="AF644" s="136">
        <v>1</v>
      </c>
      <c r="AG644" s="136">
        <v>15</v>
      </c>
      <c r="AH644" s="136"/>
      <c r="AI644" s="136"/>
      <c r="AJ644" s="136">
        <v>1</v>
      </c>
      <c r="AK644" s="136">
        <v>0</v>
      </c>
      <c r="AL644" s="136">
        <v>0</v>
      </c>
      <c r="AM644" s="136">
        <v>0</v>
      </c>
      <c r="AN644" s="136">
        <v>0</v>
      </c>
      <c r="AO644" s="136"/>
      <c r="AP644" s="143" t="e">
        <f>VLOOKUP(tbl_IO_List[[#This Row],[Instruement Tag]],tbl_Instruement_List[],14,FALSE)</f>
        <v>#N/A</v>
      </c>
      <c r="AQ644" s="143" t="str">
        <f>tbl_IO_List[[#This Row],[Chassis]]&amp;"S"&amp;tbl_IO_List[[#This Row],[Slot]]&amp;"-"&amp;tbl_IO_List[[#This Row],[Front Terminal Number]]</f>
        <v>C4S1-</v>
      </c>
      <c r="AR644" s="143"/>
      <c r="AS644" s="136" t="str">
        <f>tbl_IO_List[[#This Row],[Terminal Tagging]]&amp;"-"&amp;tbl_IO_List[[#This Row],[Point-Count]]</f>
        <v>-</v>
      </c>
      <c r="AT644" s="136" t="str">
        <f>tbl_IO_List[[#This Row],[Front Terminal Tagging]]&amp;"/"&amp;tbl_IO_List[[#This Row],[Terminal Tagging-Item]]</f>
        <v>C4S1-/-</v>
      </c>
      <c r="AU644" s="136" t="str">
        <f>tbl_IO_List[[#This Row],[Terminal Tagging-Item]]&amp;"/"&amp;tbl_IO_List[[#This Row],[Front Terminal Tagging]]</f>
        <v>-/C4S1-</v>
      </c>
    </row>
    <row r="645" spans="1:47" hidden="1">
      <c r="A645" s="147" t="s">
        <v>1371</v>
      </c>
      <c r="B645" s="136" t="s">
        <v>335</v>
      </c>
      <c r="C645" s="136" t="str">
        <f>tbl_IO_List[[#This Row],[Column3]]</f>
        <v>C4S02,00</v>
      </c>
      <c r="D645" s="136" t="str">
        <f>tbl_IO_List[[#This Row],[Card]]</f>
        <v>1756-IB32-0</v>
      </c>
      <c r="E645" s="136" t="s">
        <v>1366</v>
      </c>
      <c r="F645" s="136" t="str">
        <f>tbl_IO_List[[#This Row],[Column23]]&amp;"-" &amp;tbl_IO_List[[#This Row],[Column52]]</f>
        <v>C4S02-X1</v>
      </c>
      <c r="G645" s="136" t="str">
        <f>tbl_IO_List[[#This Row],[PLC_Tag]]</f>
        <v>PSL-61305_DI_1</v>
      </c>
      <c r="H645" s="136"/>
      <c r="I645" s="136" t="str">
        <f>VLOOKUP(tbl_IO_List[[#This Row],[Destination]],tbl_Junction[],2,FALSE)</f>
        <v>Packing Tower 2th Floor</v>
      </c>
      <c r="J645" s="136" t="s">
        <v>335</v>
      </c>
      <c r="K645" s="136" t="s">
        <v>66</v>
      </c>
      <c r="L645" s="136" t="s">
        <v>348</v>
      </c>
      <c r="M645" s="136">
        <f>VLOOKUP(tbl_IO_List[[#This Row],[Instruement Tag]],tbl_Instruement_List[],2,FALSE)</f>
        <v>0</v>
      </c>
      <c r="N645" s="136" t="s">
        <v>15</v>
      </c>
      <c r="O645" s="136" t="s">
        <v>67</v>
      </c>
      <c r="P645" s="136" t="s">
        <v>68</v>
      </c>
      <c r="Q645" s="136" t="str">
        <f>VLOOKUP(tbl_IO_List[[#This Row],[Instruement Tag]],tbl_Instruement_List[],6,FALSE)</f>
        <v>Pressure alarm low</v>
      </c>
      <c r="R645" s="136"/>
      <c r="S64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645" s="136" t="str">
        <f>tbl_IO_List[[#This Row],[Instruement Tag]]&amp;"_"&amp;tbl_IO_List[[#This Row],[I/O Type]]&amp;"_"&amp;tbl_IO_List[[#This Row],[IO-Point 
(Instruement)]]</f>
        <v>PSL-61305_DI_1</v>
      </c>
      <c r="U645" s="136" t="s">
        <v>8</v>
      </c>
      <c r="V645" s="136">
        <f>VLOOKUP(tbl_IO_List[[#This Row],[I/O Type]],tbl_Slot_Group[],2,FALSE)</f>
        <v>1</v>
      </c>
      <c r="W645" s="136">
        <v>1</v>
      </c>
      <c r="X645" s="136" t="str">
        <f>tbl_IO_List[[#This Row],[Chassis]]&amp;"S"&amp;TEXT(tbl_IO_List[[#This Row],[Slot]],"00")</f>
        <v>C4S02</v>
      </c>
      <c r="Y645" s="136" t="str">
        <f>tbl_IO_List[[#This Row],[Chassis]]&amp;"S"&amp;TEXT(tbl_IO_List[[#This Row],[Slot]],"00")&amp;tbl_IO_List[[#This Row],[I/O Type]]&amp;TEXT(tbl_IO_List[[#This Row],[Point]],"00")</f>
        <v>C4S02DI00</v>
      </c>
      <c r="Z645" s="136" t="str">
        <f>tbl_IO_List[[#This Row],[Chassis]]&amp;"S"&amp;TEXT(tbl_IO_List[[#This Row],[Slot]],"00")&amp;","&amp;TEXT(tbl_IO_List[[#This Row],[Point]],"00")</f>
        <v>C4S02,00</v>
      </c>
      <c r="AA645" s="136" t="str">
        <f>VLOOKUP(tbl_IO_List[[#This Row],[Column23]],tbl_RackConfig[],5,FALSE) &amp;"-"&amp;tbl_IO_List[[#This Row],[Point]]</f>
        <v>1756-IB32-0</v>
      </c>
      <c r="AB645" s="136"/>
      <c r="AC645" s="136"/>
      <c r="AD645" s="136" t="str">
        <f>tbl_IO_List[[#This Row],[I/O Type]]</f>
        <v>DI</v>
      </c>
      <c r="AE645" s="136" t="s">
        <v>1335</v>
      </c>
      <c r="AF645" s="136">
        <v>2</v>
      </c>
      <c r="AG645" s="136">
        <v>0</v>
      </c>
      <c r="AH645" s="136"/>
      <c r="AI645" s="136"/>
      <c r="AJ645" s="136">
        <v>1</v>
      </c>
      <c r="AK645" s="136">
        <v>0</v>
      </c>
      <c r="AL645" s="136">
        <v>0</v>
      </c>
      <c r="AM645" s="136">
        <v>0</v>
      </c>
      <c r="AN645" s="136">
        <v>0</v>
      </c>
      <c r="AO645" s="136"/>
      <c r="AP645" s="143" t="str">
        <f>VLOOKUP(tbl_IO_List[[#This Row],[Instruement Tag]],tbl_Instruement_List[],14,FALSE)</f>
        <v>Dry Contact</v>
      </c>
      <c r="AQ645" s="143" t="str">
        <f>tbl_IO_List[[#This Row],[Chassis]]&amp;"S"&amp;tbl_IO_List[[#This Row],[Slot]]&amp;"-"&amp;tbl_IO_List[[#This Row],[Front Terminal Number]]</f>
        <v>C4S2-</v>
      </c>
      <c r="AR645" s="143"/>
      <c r="AS645" s="136" t="str">
        <f>tbl_IO_List[[#This Row],[Terminal Tagging]]&amp;"-"&amp;tbl_IO_List[[#This Row],[Point-Count]]</f>
        <v>-</v>
      </c>
      <c r="AT645" s="136" t="str">
        <f>tbl_IO_List[[#This Row],[Front Terminal Tagging]]&amp;"/"&amp;tbl_IO_List[[#This Row],[Terminal Tagging-Item]]</f>
        <v>C4S2-/-</v>
      </c>
      <c r="AU645" s="136" t="str">
        <f>tbl_IO_List[[#This Row],[Terminal Tagging-Item]]&amp;"/"&amp;tbl_IO_List[[#This Row],[Front Terminal Tagging]]</f>
        <v>-/C4S2-</v>
      </c>
    </row>
    <row r="646" spans="1:47" hidden="1">
      <c r="A646" s="147" t="s">
        <v>1371</v>
      </c>
      <c r="B646" s="136" t="s">
        <v>335</v>
      </c>
      <c r="C646" s="136" t="str">
        <f>tbl_IO_List[[#This Row],[Column3]]</f>
        <v>C4S02,01</v>
      </c>
      <c r="D646" s="136" t="str">
        <f>tbl_IO_List[[#This Row],[Card]]</f>
        <v>1756-IB32-1</v>
      </c>
      <c r="E646" s="136" t="s">
        <v>1366</v>
      </c>
      <c r="F646" s="136" t="str">
        <f>tbl_IO_List[[#This Row],[Column23]]&amp;"-" &amp;tbl_IO_List[[#This Row],[Column52]]</f>
        <v>C4S02-X1</v>
      </c>
      <c r="G646" s="136" t="str">
        <f>tbl_IO_List[[#This Row],[PLC_Tag]]</f>
        <v>PSL-61306_DI_1</v>
      </c>
      <c r="H646" s="136"/>
      <c r="I646" s="136" t="str">
        <f>VLOOKUP(tbl_IO_List[[#This Row],[Destination]],tbl_Junction[],2,FALSE)</f>
        <v>Packing Tower 2th Floor</v>
      </c>
      <c r="J646" s="136" t="s">
        <v>335</v>
      </c>
      <c r="K646" s="136" t="s">
        <v>66</v>
      </c>
      <c r="L646" s="136" t="s">
        <v>349</v>
      </c>
      <c r="M646" s="136">
        <f>VLOOKUP(tbl_IO_List[[#This Row],[Instruement Tag]],tbl_Instruement_List[],2,FALSE)</f>
        <v>0</v>
      </c>
      <c r="N646" s="136" t="s">
        <v>15</v>
      </c>
      <c r="O646" s="136" t="s">
        <v>70</v>
      </c>
      <c r="P646" s="136" t="s">
        <v>71</v>
      </c>
      <c r="Q646" s="136" t="str">
        <f>VLOOKUP(tbl_IO_List[[#This Row],[Instruement Tag]],tbl_Instruement_List[],6,FALSE)</f>
        <v>Pressure alarm low</v>
      </c>
      <c r="R646" s="136"/>
      <c r="S64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646" s="136" t="str">
        <f>tbl_IO_List[[#This Row],[Instruement Tag]]&amp;"_"&amp;tbl_IO_List[[#This Row],[I/O Type]]&amp;"_"&amp;tbl_IO_List[[#This Row],[IO-Point 
(Instruement)]]</f>
        <v>PSL-61306_DI_1</v>
      </c>
      <c r="U646" s="136" t="s">
        <v>8</v>
      </c>
      <c r="V646" s="136">
        <f>VLOOKUP(tbl_IO_List[[#This Row],[I/O Type]],tbl_Slot_Group[],2,FALSE)</f>
        <v>1</v>
      </c>
      <c r="W646" s="136">
        <v>1</v>
      </c>
      <c r="X646" s="136" t="str">
        <f>tbl_IO_List[[#This Row],[Chassis]]&amp;"S"&amp;TEXT(tbl_IO_List[[#This Row],[Slot]],"00")</f>
        <v>C4S02</v>
      </c>
      <c r="Y646" s="136" t="str">
        <f>tbl_IO_List[[#This Row],[Chassis]]&amp;"S"&amp;TEXT(tbl_IO_List[[#This Row],[Slot]],"00")&amp;tbl_IO_List[[#This Row],[I/O Type]]&amp;TEXT(tbl_IO_List[[#This Row],[Point]],"00")</f>
        <v>C4S02DI01</v>
      </c>
      <c r="Z646" s="136" t="str">
        <f>tbl_IO_List[[#This Row],[Chassis]]&amp;"S"&amp;TEXT(tbl_IO_List[[#This Row],[Slot]],"00")&amp;","&amp;TEXT(tbl_IO_List[[#This Row],[Point]],"00")</f>
        <v>C4S02,01</v>
      </c>
      <c r="AA646" s="136" t="str">
        <f>VLOOKUP(tbl_IO_List[[#This Row],[Column23]],tbl_RackConfig[],5,FALSE) &amp;"-"&amp;tbl_IO_List[[#This Row],[Point]]</f>
        <v>1756-IB32-1</v>
      </c>
      <c r="AB646" s="136"/>
      <c r="AC646" s="136"/>
      <c r="AD646" s="136" t="str">
        <f>tbl_IO_List[[#This Row],[I/O Type]]</f>
        <v>DI</v>
      </c>
      <c r="AE646" s="136" t="s">
        <v>1335</v>
      </c>
      <c r="AF646" s="136">
        <v>2</v>
      </c>
      <c r="AG646" s="136">
        <v>1</v>
      </c>
      <c r="AH646" s="136"/>
      <c r="AI646" s="136"/>
      <c r="AJ646" s="136">
        <v>1</v>
      </c>
      <c r="AK646" s="136">
        <v>0</v>
      </c>
      <c r="AL646" s="136">
        <v>0</v>
      </c>
      <c r="AM646" s="136">
        <v>0</v>
      </c>
      <c r="AN646" s="136">
        <v>0</v>
      </c>
      <c r="AO646" s="136"/>
      <c r="AP646" s="143" t="str">
        <f>VLOOKUP(tbl_IO_List[[#This Row],[Instruement Tag]],tbl_Instruement_List[],14,FALSE)</f>
        <v>Dry Contact</v>
      </c>
      <c r="AQ646" s="143" t="str">
        <f>tbl_IO_List[[#This Row],[Chassis]]&amp;"S"&amp;tbl_IO_List[[#This Row],[Slot]]&amp;"-"&amp;tbl_IO_List[[#This Row],[Front Terminal Number]]</f>
        <v>C4S2-</v>
      </c>
      <c r="AR646" s="143"/>
      <c r="AS646" s="136" t="str">
        <f>tbl_IO_List[[#This Row],[Terminal Tagging]]&amp;"-"&amp;tbl_IO_List[[#This Row],[Point-Count]]</f>
        <v>-</v>
      </c>
      <c r="AT646" s="136" t="str">
        <f>tbl_IO_List[[#This Row],[Front Terminal Tagging]]&amp;"/"&amp;tbl_IO_List[[#This Row],[Terminal Tagging-Item]]</f>
        <v>C4S2-/-</v>
      </c>
      <c r="AU646" s="136" t="str">
        <f>tbl_IO_List[[#This Row],[Terminal Tagging-Item]]&amp;"/"&amp;tbl_IO_List[[#This Row],[Front Terminal Tagging]]</f>
        <v>-/C4S2-</v>
      </c>
    </row>
    <row r="647" spans="1:47" hidden="1">
      <c r="A647" s="147" t="s">
        <v>1371</v>
      </c>
      <c r="B647" s="136" t="s">
        <v>335</v>
      </c>
      <c r="C647" s="136" t="str">
        <f>tbl_IO_List[[#This Row],[Column3]]</f>
        <v>C4S02,02</v>
      </c>
      <c r="D647" s="136" t="str">
        <f>tbl_IO_List[[#This Row],[Card]]</f>
        <v>1756-IB32-2</v>
      </c>
      <c r="E647" s="136" t="s">
        <v>1366</v>
      </c>
      <c r="F647" s="136" t="str">
        <f>tbl_IO_List[[#This Row],[Column23]]&amp;"-" &amp;tbl_IO_List[[#This Row],[Column52]]</f>
        <v>C4S02-X1</v>
      </c>
      <c r="G647" s="136" t="str">
        <f>tbl_IO_List[[#This Row],[PLC_Tag]]</f>
        <v>PVM-61301_DI_1</v>
      </c>
      <c r="H647" s="136"/>
      <c r="I647" s="136" t="str">
        <f>VLOOKUP(tbl_IO_List[[#This Row],[Destination]],tbl_Junction[],2,FALSE)</f>
        <v>Packing Tower 2th Floor</v>
      </c>
      <c r="J647" s="136" t="s">
        <v>335</v>
      </c>
      <c r="K647" s="136" t="s">
        <v>66</v>
      </c>
      <c r="L647" s="136" t="s">
        <v>895</v>
      </c>
      <c r="M647" s="136" t="e">
        <f>VLOOKUP(tbl_IO_List[[#This Row],[Instruement Tag]],tbl_Instruement_List[],2,FALSE)</f>
        <v>#N/A</v>
      </c>
      <c r="N647" s="136" t="s">
        <v>24</v>
      </c>
      <c r="O647" s="136" t="s">
        <v>67</v>
      </c>
      <c r="P647" s="136" t="s">
        <v>18</v>
      </c>
      <c r="Q647" s="136" t="e">
        <f>VLOOKUP(tbl_IO_List[[#This Row],[Instruement Tag]],tbl_Instruement_List[],6,FALSE)</f>
        <v>#N/A</v>
      </c>
      <c r="R647" s="136"/>
      <c r="S64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647" s="136" t="str">
        <f>tbl_IO_List[[#This Row],[Instruement Tag]]&amp;"_"&amp;tbl_IO_List[[#This Row],[I/O Type]]&amp;"_"&amp;tbl_IO_List[[#This Row],[IO-Point 
(Instruement)]]</f>
        <v>PVM-61301_DI_1</v>
      </c>
      <c r="U647" s="136" t="s">
        <v>8</v>
      </c>
      <c r="V647" s="136">
        <f>VLOOKUP(tbl_IO_List[[#This Row],[I/O Type]],tbl_Slot_Group[],2,FALSE)</f>
        <v>1</v>
      </c>
      <c r="W647" s="136">
        <v>1</v>
      </c>
      <c r="X647" s="136" t="str">
        <f>tbl_IO_List[[#This Row],[Chassis]]&amp;"S"&amp;TEXT(tbl_IO_List[[#This Row],[Slot]],"00")</f>
        <v>C4S02</v>
      </c>
      <c r="Y647" s="136" t="str">
        <f>tbl_IO_List[[#This Row],[Chassis]]&amp;"S"&amp;TEXT(tbl_IO_List[[#This Row],[Slot]],"00")&amp;tbl_IO_List[[#This Row],[I/O Type]]&amp;TEXT(tbl_IO_List[[#This Row],[Point]],"00")</f>
        <v>C4S02DI02</v>
      </c>
      <c r="Z647" s="136" t="str">
        <f>tbl_IO_List[[#This Row],[Chassis]]&amp;"S"&amp;TEXT(tbl_IO_List[[#This Row],[Slot]],"00")&amp;","&amp;TEXT(tbl_IO_List[[#This Row],[Point]],"00")</f>
        <v>C4S02,02</v>
      </c>
      <c r="AA647" s="136" t="str">
        <f>VLOOKUP(tbl_IO_List[[#This Row],[Column23]],tbl_RackConfig[],5,FALSE) &amp;"-"&amp;tbl_IO_List[[#This Row],[Point]]</f>
        <v>1756-IB32-2</v>
      </c>
      <c r="AB647" s="136"/>
      <c r="AC647" s="136"/>
      <c r="AD647" s="136" t="str">
        <f>tbl_IO_List[[#This Row],[I/O Type]]</f>
        <v>DI</v>
      </c>
      <c r="AE647" s="136" t="s">
        <v>1335</v>
      </c>
      <c r="AF647" s="136">
        <v>2</v>
      </c>
      <c r="AG647" s="136">
        <v>2</v>
      </c>
      <c r="AH647" s="136"/>
      <c r="AI647" s="136"/>
      <c r="AJ647" s="136">
        <v>2</v>
      </c>
      <c r="AK647" s="136">
        <v>2</v>
      </c>
      <c r="AL647" s="136">
        <v>0</v>
      </c>
      <c r="AM647" s="136">
        <v>0</v>
      </c>
      <c r="AN647" s="136">
        <v>0</v>
      </c>
      <c r="AO647" s="136"/>
      <c r="AP647" s="143" t="e">
        <f>VLOOKUP(tbl_IO_List[[#This Row],[Instruement Tag]],tbl_Instruement_List[],14,FALSE)</f>
        <v>#N/A</v>
      </c>
      <c r="AQ647" s="143" t="str">
        <f>tbl_IO_List[[#This Row],[Chassis]]&amp;"S"&amp;tbl_IO_List[[#This Row],[Slot]]&amp;"-"&amp;tbl_IO_List[[#This Row],[Front Terminal Number]]</f>
        <v>C4S2-</v>
      </c>
      <c r="AR647" s="143"/>
      <c r="AS647" s="136" t="str">
        <f>tbl_IO_List[[#This Row],[Terminal Tagging]]&amp;"-"&amp;tbl_IO_List[[#This Row],[Point-Count]]</f>
        <v>-</v>
      </c>
      <c r="AT647" s="136" t="str">
        <f>tbl_IO_List[[#This Row],[Front Terminal Tagging]]&amp;"/"&amp;tbl_IO_List[[#This Row],[Terminal Tagging-Item]]</f>
        <v>C4S2-/-</v>
      </c>
      <c r="AU647" s="136" t="str">
        <f>tbl_IO_List[[#This Row],[Terminal Tagging-Item]]&amp;"/"&amp;tbl_IO_List[[#This Row],[Front Terminal Tagging]]</f>
        <v>-/C4S2-</v>
      </c>
    </row>
    <row r="648" spans="1:47" hidden="1">
      <c r="A648" s="147" t="s">
        <v>1371</v>
      </c>
      <c r="B648" s="136" t="s">
        <v>335</v>
      </c>
      <c r="C648" s="136" t="str">
        <f>tbl_IO_List[[#This Row],[Column3]]</f>
        <v>C4S02,03</v>
      </c>
      <c r="D648" s="136" t="str">
        <f>tbl_IO_List[[#This Row],[Card]]</f>
        <v>1756-IB32-3</v>
      </c>
      <c r="E648" s="136" t="s">
        <v>1366</v>
      </c>
      <c r="F648" s="136" t="str">
        <f>tbl_IO_List[[#This Row],[Column23]]&amp;"-" &amp;tbl_IO_List[[#This Row],[Column52]]</f>
        <v>C4S02-X1</v>
      </c>
      <c r="G648" s="136" t="str">
        <f>tbl_IO_List[[#This Row],[PLC_Tag]]</f>
        <v>PVM-61301_DI_2</v>
      </c>
      <c r="H648" s="136"/>
      <c r="I648" s="136" t="str">
        <f>VLOOKUP(tbl_IO_List[[#This Row],[Destination]],tbl_Junction[],2,FALSE)</f>
        <v>Packing Tower 2th Floor</v>
      </c>
      <c r="J648" s="136" t="s">
        <v>335</v>
      </c>
      <c r="K648" s="136" t="s">
        <v>66</v>
      </c>
      <c r="L648" s="136" t="s">
        <v>895</v>
      </c>
      <c r="M648" s="136" t="e">
        <f>VLOOKUP(tbl_IO_List[[#This Row],[Instruement Tag]],tbl_Instruement_List[],2,FALSE)</f>
        <v>#N/A</v>
      </c>
      <c r="N648" s="136" t="s">
        <v>24</v>
      </c>
      <c r="O648" s="136" t="s">
        <v>67</v>
      </c>
      <c r="P648" s="136" t="s">
        <v>18</v>
      </c>
      <c r="Q648" s="136" t="e">
        <f>VLOOKUP(tbl_IO_List[[#This Row],[Instruement Tag]],tbl_Instruement_List[],6,FALSE)</f>
        <v>#N/A</v>
      </c>
      <c r="R648" s="136"/>
      <c r="S64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648" s="136" t="str">
        <f>tbl_IO_List[[#This Row],[Instruement Tag]]&amp;"_"&amp;tbl_IO_List[[#This Row],[I/O Type]]&amp;"_"&amp;tbl_IO_List[[#This Row],[IO-Point 
(Instruement)]]</f>
        <v>PVM-61301_DI_2</v>
      </c>
      <c r="U648" s="136" t="s">
        <v>8</v>
      </c>
      <c r="V648" s="136">
        <f>VLOOKUP(tbl_IO_List[[#This Row],[I/O Type]],tbl_Slot_Group[],2,FALSE)</f>
        <v>1</v>
      </c>
      <c r="W648" s="136">
        <v>2</v>
      </c>
      <c r="X648" s="136" t="str">
        <f>tbl_IO_List[[#This Row],[Chassis]]&amp;"S"&amp;TEXT(tbl_IO_List[[#This Row],[Slot]],"00")</f>
        <v>C4S02</v>
      </c>
      <c r="Y648" s="136" t="str">
        <f>tbl_IO_List[[#This Row],[Chassis]]&amp;"S"&amp;TEXT(tbl_IO_List[[#This Row],[Slot]],"00")&amp;tbl_IO_List[[#This Row],[I/O Type]]&amp;TEXT(tbl_IO_List[[#This Row],[Point]],"00")</f>
        <v>C4S02DI03</v>
      </c>
      <c r="Z648" s="136" t="str">
        <f>tbl_IO_List[[#This Row],[Chassis]]&amp;"S"&amp;TEXT(tbl_IO_List[[#This Row],[Slot]],"00")&amp;","&amp;TEXT(tbl_IO_List[[#This Row],[Point]],"00")</f>
        <v>C4S02,03</v>
      </c>
      <c r="AA648" s="136" t="str">
        <f>VLOOKUP(tbl_IO_List[[#This Row],[Column23]],tbl_RackConfig[],5,FALSE) &amp;"-"&amp;tbl_IO_List[[#This Row],[Point]]</f>
        <v>1756-IB32-3</v>
      </c>
      <c r="AB648" s="136"/>
      <c r="AC648" s="136"/>
      <c r="AD648" s="136" t="str">
        <f>tbl_IO_List[[#This Row],[I/O Type]]</f>
        <v>DI</v>
      </c>
      <c r="AE648" s="136" t="s">
        <v>1335</v>
      </c>
      <c r="AF648" s="136">
        <v>2</v>
      </c>
      <c r="AG648" s="136">
        <v>3</v>
      </c>
      <c r="AH648" s="136"/>
      <c r="AI648" s="136"/>
      <c r="AJ648" s="136">
        <v>2</v>
      </c>
      <c r="AK648" s="136">
        <v>2</v>
      </c>
      <c r="AL648" s="136">
        <v>0</v>
      </c>
      <c r="AM648" s="136">
        <v>0</v>
      </c>
      <c r="AN648" s="136">
        <v>0</v>
      </c>
      <c r="AO648" s="136"/>
      <c r="AP648" s="143" t="e">
        <f>VLOOKUP(tbl_IO_List[[#This Row],[Instruement Tag]],tbl_Instruement_List[],14,FALSE)</f>
        <v>#N/A</v>
      </c>
      <c r="AQ648" s="143" t="str">
        <f>tbl_IO_List[[#This Row],[Chassis]]&amp;"S"&amp;tbl_IO_List[[#This Row],[Slot]]&amp;"-"&amp;tbl_IO_List[[#This Row],[Front Terminal Number]]</f>
        <v>C4S2-</v>
      </c>
      <c r="AR648" s="143"/>
      <c r="AS648" s="136" t="str">
        <f>tbl_IO_List[[#This Row],[Terminal Tagging]]&amp;"-"&amp;tbl_IO_List[[#This Row],[Point-Count]]</f>
        <v>-</v>
      </c>
      <c r="AT648" s="136" t="str">
        <f>tbl_IO_List[[#This Row],[Front Terminal Tagging]]&amp;"/"&amp;tbl_IO_List[[#This Row],[Terminal Tagging-Item]]</f>
        <v>C4S2-/-</v>
      </c>
      <c r="AU648" s="136" t="str">
        <f>tbl_IO_List[[#This Row],[Terminal Tagging-Item]]&amp;"/"&amp;tbl_IO_List[[#This Row],[Front Terminal Tagging]]</f>
        <v>-/C4S2-</v>
      </c>
    </row>
    <row r="649" spans="1:47" hidden="1">
      <c r="A649" s="147" t="s">
        <v>1371</v>
      </c>
      <c r="B649" s="136" t="s">
        <v>335</v>
      </c>
      <c r="C649" s="136" t="str">
        <f>tbl_IO_List[[#This Row],[Column3]]</f>
        <v>C4S02,04</v>
      </c>
      <c r="D649" s="136" t="str">
        <f>tbl_IO_List[[#This Row],[Card]]</f>
        <v>1756-IB32-4</v>
      </c>
      <c r="E649" s="136" t="s">
        <v>1366</v>
      </c>
      <c r="F649" s="136" t="str">
        <f>tbl_IO_List[[#This Row],[Column23]]&amp;"-" &amp;tbl_IO_List[[#This Row],[Column52]]</f>
        <v>C4S02-X1</v>
      </c>
      <c r="G649" s="136" t="str">
        <f>tbl_IO_List[[#This Row],[PLC_Tag]]</f>
        <v>XA-61301A_DI_1</v>
      </c>
      <c r="H649" s="136"/>
      <c r="I649" s="136" t="str">
        <f>VLOOKUP(tbl_IO_List[[#This Row],[Destination]],tbl_Junction[],2,FALSE)</f>
        <v>Packing Tower 2th Floor</v>
      </c>
      <c r="J649" s="136" t="s">
        <v>335</v>
      </c>
      <c r="K649" s="136" t="s">
        <v>66</v>
      </c>
      <c r="L649" s="136" t="s">
        <v>1028</v>
      </c>
      <c r="M649" s="136">
        <f>VLOOKUP(tbl_IO_List[[#This Row],[Instruement Tag]],tbl_Instruement_List[],2,FALSE)</f>
        <v>0</v>
      </c>
      <c r="N649" s="136" t="s">
        <v>15</v>
      </c>
      <c r="O649" s="136" t="s">
        <v>356</v>
      </c>
      <c r="P649" s="136" t="s">
        <v>18</v>
      </c>
      <c r="Q649" s="136" t="str">
        <f>VLOOKUP(tbl_IO_List[[#This Row],[Instruement Tag]],tbl_Instruement_List[],6,FALSE)</f>
        <v xml:space="preserve">Request filter plant </v>
      </c>
      <c r="R649" s="136"/>
      <c r="S64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649" s="136" t="str">
        <f>tbl_IO_List[[#This Row],[Instruement Tag]]&amp;"_"&amp;tbl_IO_List[[#This Row],[I/O Type]]&amp;"_"&amp;tbl_IO_List[[#This Row],[IO-Point 
(Instruement)]]</f>
        <v>XA-61301A_DI_1</v>
      </c>
      <c r="U649" s="136" t="s">
        <v>8</v>
      </c>
      <c r="V649" s="136">
        <f>VLOOKUP(tbl_IO_List[[#This Row],[I/O Type]],tbl_Slot_Group[],2,FALSE)</f>
        <v>1</v>
      </c>
      <c r="W649" s="136">
        <v>1</v>
      </c>
      <c r="X649" s="136" t="str">
        <f>tbl_IO_List[[#This Row],[Chassis]]&amp;"S"&amp;TEXT(tbl_IO_List[[#This Row],[Slot]],"00")</f>
        <v>C4S02</v>
      </c>
      <c r="Y649" s="136" t="str">
        <f>tbl_IO_List[[#This Row],[Chassis]]&amp;"S"&amp;TEXT(tbl_IO_List[[#This Row],[Slot]],"00")&amp;tbl_IO_List[[#This Row],[I/O Type]]&amp;TEXT(tbl_IO_List[[#This Row],[Point]],"00")</f>
        <v>C4S02DI04</v>
      </c>
      <c r="Z649" s="136" t="str">
        <f>tbl_IO_List[[#This Row],[Chassis]]&amp;"S"&amp;TEXT(tbl_IO_List[[#This Row],[Slot]],"00")&amp;","&amp;TEXT(tbl_IO_List[[#This Row],[Point]],"00")</f>
        <v>C4S02,04</v>
      </c>
      <c r="AA649" s="136" t="str">
        <f>VLOOKUP(tbl_IO_List[[#This Row],[Column23]],tbl_RackConfig[],5,FALSE) &amp;"-"&amp;tbl_IO_List[[#This Row],[Point]]</f>
        <v>1756-IB32-4</v>
      </c>
      <c r="AB649" s="136"/>
      <c r="AC649" s="136"/>
      <c r="AD649" s="136" t="str">
        <f>tbl_IO_List[[#This Row],[I/O Type]]</f>
        <v>DI</v>
      </c>
      <c r="AE649" s="136" t="s">
        <v>1335</v>
      </c>
      <c r="AF649" s="136">
        <v>2</v>
      </c>
      <c r="AG649" s="136">
        <v>4</v>
      </c>
      <c r="AH649" s="136"/>
      <c r="AI649" s="136"/>
      <c r="AJ649" s="136">
        <v>1</v>
      </c>
      <c r="AK649" s="136">
        <v>0</v>
      </c>
      <c r="AL649" s="136">
        <v>0</v>
      </c>
      <c r="AM649" s="136">
        <v>0</v>
      </c>
      <c r="AN649" s="136">
        <v>0</v>
      </c>
      <c r="AO649" s="136"/>
      <c r="AP649" s="143" t="str">
        <f>VLOOKUP(tbl_IO_List[[#This Row],[Instruement Tag]],tbl_Instruement_List[],14,FALSE)</f>
        <v>Dry Contact</v>
      </c>
      <c r="AQ649" s="143" t="str">
        <f>tbl_IO_List[[#This Row],[Chassis]]&amp;"S"&amp;tbl_IO_List[[#This Row],[Slot]]&amp;"-"&amp;tbl_IO_List[[#This Row],[Front Terminal Number]]</f>
        <v>C4S2-</v>
      </c>
      <c r="AR649" s="143"/>
      <c r="AS649" s="136" t="str">
        <f>tbl_IO_List[[#This Row],[Terminal Tagging]]&amp;"-"&amp;tbl_IO_List[[#This Row],[Point-Count]]</f>
        <v>-</v>
      </c>
      <c r="AT649" s="136" t="str">
        <f>tbl_IO_List[[#This Row],[Front Terminal Tagging]]&amp;"/"&amp;tbl_IO_List[[#This Row],[Terminal Tagging-Item]]</f>
        <v>C4S2-/-</v>
      </c>
      <c r="AU649" s="136" t="str">
        <f>tbl_IO_List[[#This Row],[Terminal Tagging-Item]]&amp;"/"&amp;tbl_IO_List[[#This Row],[Front Terminal Tagging]]</f>
        <v>-/C4S2-</v>
      </c>
    </row>
    <row r="650" spans="1:47" hidden="1">
      <c r="A650" s="147" t="s">
        <v>1371</v>
      </c>
      <c r="B650" s="136" t="s">
        <v>335</v>
      </c>
      <c r="C650" s="136" t="str">
        <f>tbl_IO_List[[#This Row],[Column3]]</f>
        <v>C4S02,05</v>
      </c>
      <c r="D650" s="136" t="str">
        <f>tbl_IO_List[[#This Row],[Card]]</f>
        <v>1756-IB32-5</v>
      </c>
      <c r="E650" s="136" t="s">
        <v>1366</v>
      </c>
      <c r="F650" s="136" t="str">
        <f>tbl_IO_List[[#This Row],[Column23]]&amp;"-" &amp;tbl_IO_List[[#This Row],[Column52]]</f>
        <v>C4S02-X1</v>
      </c>
      <c r="G650" s="136" t="str">
        <f>tbl_IO_List[[#This Row],[PLC_Tag]]</f>
        <v>XA-61301B_DI_1</v>
      </c>
      <c r="H650" s="136"/>
      <c r="I650" s="136" t="str">
        <f>VLOOKUP(tbl_IO_List[[#This Row],[Destination]],tbl_Junction[],2,FALSE)</f>
        <v>Packing Tower 2th Floor</v>
      </c>
      <c r="J650" s="136" t="s">
        <v>335</v>
      </c>
      <c r="K650" s="136" t="s">
        <v>66</v>
      </c>
      <c r="L650" s="136" t="s">
        <v>1031</v>
      </c>
      <c r="M650" s="136">
        <f>VLOOKUP(tbl_IO_List[[#This Row],[Instruement Tag]],tbl_Instruement_List[],2,FALSE)</f>
        <v>0</v>
      </c>
      <c r="N650" s="136" t="s">
        <v>15</v>
      </c>
      <c r="O650" s="136" t="s">
        <v>356</v>
      </c>
      <c r="P650" s="136" t="s">
        <v>18</v>
      </c>
      <c r="Q650" s="136" t="str">
        <f>VLOOKUP(tbl_IO_List[[#This Row],[Instruement Tag]],tbl_Instruement_List[],6,FALSE)</f>
        <v>Request material transport</v>
      </c>
      <c r="R650" s="136"/>
      <c r="S65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650" s="136" t="str">
        <f>tbl_IO_List[[#This Row],[Instruement Tag]]&amp;"_"&amp;tbl_IO_List[[#This Row],[I/O Type]]&amp;"_"&amp;tbl_IO_List[[#This Row],[IO-Point 
(Instruement)]]</f>
        <v>XA-61301B_DI_1</v>
      </c>
      <c r="U650" s="136" t="s">
        <v>8</v>
      </c>
      <c r="V650" s="136">
        <f>VLOOKUP(tbl_IO_List[[#This Row],[I/O Type]],tbl_Slot_Group[],2,FALSE)</f>
        <v>1</v>
      </c>
      <c r="W650" s="136">
        <v>1</v>
      </c>
      <c r="X650" s="136" t="str">
        <f>tbl_IO_List[[#This Row],[Chassis]]&amp;"S"&amp;TEXT(tbl_IO_List[[#This Row],[Slot]],"00")</f>
        <v>C4S02</v>
      </c>
      <c r="Y650" s="136" t="str">
        <f>tbl_IO_List[[#This Row],[Chassis]]&amp;"S"&amp;TEXT(tbl_IO_List[[#This Row],[Slot]],"00")&amp;tbl_IO_List[[#This Row],[I/O Type]]&amp;TEXT(tbl_IO_List[[#This Row],[Point]],"00")</f>
        <v>C4S02DI05</v>
      </c>
      <c r="Z650" s="136" t="str">
        <f>tbl_IO_List[[#This Row],[Chassis]]&amp;"S"&amp;TEXT(tbl_IO_List[[#This Row],[Slot]],"00")&amp;","&amp;TEXT(tbl_IO_List[[#This Row],[Point]],"00")</f>
        <v>C4S02,05</v>
      </c>
      <c r="AA650" s="136" t="str">
        <f>VLOOKUP(tbl_IO_List[[#This Row],[Column23]],tbl_RackConfig[],5,FALSE) &amp;"-"&amp;tbl_IO_List[[#This Row],[Point]]</f>
        <v>1756-IB32-5</v>
      </c>
      <c r="AB650" s="136"/>
      <c r="AC650" s="136"/>
      <c r="AD650" s="136" t="str">
        <f>tbl_IO_List[[#This Row],[I/O Type]]</f>
        <v>DI</v>
      </c>
      <c r="AE650" s="136" t="s">
        <v>1335</v>
      </c>
      <c r="AF650" s="136">
        <v>2</v>
      </c>
      <c r="AG650" s="136">
        <v>5</v>
      </c>
      <c r="AH650" s="136"/>
      <c r="AI650" s="136"/>
      <c r="AJ650" s="136">
        <v>1</v>
      </c>
      <c r="AK650" s="136">
        <v>0</v>
      </c>
      <c r="AL650" s="136">
        <v>0</v>
      </c>
      <c r="AM650" s="136">
        <v>0</v>
      </c>
      <c r="AN650" s="136">
        <v>0</v>
      </c>
      <c r="AO650" s="136"/>
      <c r="AP650" s="143" t="str">
        <f>VLOOKUP(tbl_IO_List[[#This Row],[Instruement Tag]],tbl_Instruement_List[],14,FALSE)</f>
        <v>Dry Contact</v>
      </c>
      <c r="AQ650" s="143" t="str">
        <f>tbl_IO_List[[#This Row],[Chassis]]&amp;"S"&amp;tbl_IO_List[[#This Row],[Slot]]&amp;"-"&amp;tbl_IO_List[[#This Row],[Front Terminal Number]]</f>
        <v>C4S2-</v>
      </c>
      <c r="AR650" s="143"/>
      <c r="AS650" s="136" t="str">
        <f>tbl_IO_List[[#This Row],[Terminal Tagging]]&amp;"-"&amp;tbl_IO_List[[#This Row],[Point-Count]]</f>
        <v>-</v>
      </c>
      <c r="AT650" s="136" t="str">
        <f>tbl_IO_List[[#This Row],[Front Terminal Tagging]]&amp;"/"&amp;tbl_IO_List[[#This Row],[Terminal Tagging-Item]]</f>
        <v>C4S2-/-</v>
      </c>
      <c r="AU650" s="136" t="str">
        <f>tbl_IO_List[[#This Row],[Terminal Tagging-Item]]&amp;"/"&amp;tbl_IO_List[[#This Row],[Front Terminal Tagging]]</f>
        <v>-/C4S2-</v>
      </c>
    </row>
    <row r="651" spans="1:47" hidden="1">
      <c r="A651" s="147" t="s">
        <v>1371</v>
      </c>
      <c r="B651" s="136" t="s">
        <v>335</v>
      </c>
      <c r="C651" s="136" t="str">
        <f>tbl_IO_List[[#This Row],[Column3]]</f>
        <v>C4S02,06</v>
      </c>
      <c r="D651" s="136" t="str">
        <f>tbl_IO_List[[#This Row],[Card]]</f>
        <v>1756-IB32-6</v>
      </c>
      <c r="E651" s="136" t="s">
        <v>1366</v>
      </c>
      <c r="F651" s="136" t="str">
        <f>tbl_IO_List[[#This Row],[Column23]]&amp;"-" &amp;tbl_IO_List[[#This Row],[Column52]]</f>
        <v>C4S02-X1</v>
      </c>
      <c r="G651" s="136" t="str">
        <f>tbl_IO_List[[#This Row],[PLC_Tag]]</f>
        <v>XA-61301C_DI_1</v>
      </c>
      <c r="H651" s="136"/>
      <c r="I651" s="136" t="str">
        <f>VLOOKUP(tbl_IO_List[[#This Row],[Destination]],tbl_Junction[],2,FALSE)</f>
        <v>Packing Tower 2th Floor</v>
      </c>
      <c r="J651" s="136" t="s">
        <v>335</v>
      </c>
      <c r="K651" s="136" t="s">
        <v>66</v>
      </c>
      <c r="L651" s="136" t="s">
        <v>1033</v>
      </c>
      <c r="M651" s="136">
        <f>VLOOKUP(tbl_IO_List[[#This Row],[Instruement Tag]],tbl_Instruement_List[],2,FALSE)</f>
        <v>0</v>
      </c>
      <c r="N651" s="136" t="s">
        <v>15</v>
      </c>
      <c r="O651" s="136" t="s">
        <v>356</v>
      </c>
      <c r="P651" s="136" t="s">
        <v>18</v>
      </c>
      <c r="Q651" s="136" t="str">
        <f>VLOOKUP(tbl_IO_List[[#This Row],[Instruement Tag]],tbl_Instruement_List[],6,FALSE)</f>
        <v xml:space="preserve">Request belt plant </v>
      </c>
      <c r="R651" s="136"/>
      <c r="S65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651" s="136" t="str">
        <f>tbl_IO_List[[#This Row],[Instruement Tag]]&amp;"_"&amp;tbl_IO_List[[#This Row],[I/O Type]]&amp;"_"&amp;tbl_IO_List[[#This Row],[IO-Point 
(Instruement)]]</f>
        <v>XA-61301C_DI_1</v>
      </c>
      <c r="U651" s="136" t="s">
        <v>8</v>
      </c>
      <c r="V651" s="136">
        <f>VLOOKUP(tbl_IO_List[[#This Row],[I/O Type]],tbl_Slot_Group[],2,FALSE)</f>
        <v>1</v>
      </c>
      <c r="W651" s="136">
        <v>1</v>
      </c>
      <c r="X651" s="136" t="str">
        <f>tbl_IO_List[[#This Row],[Chassis]]&amp;"S"&amp;TEXT(tbl_IO_List[[#This Row],[Slot]],"00")</f>
        <v>C4S02</v>
      </c>
      <c r="Y651" s="136" t="str">
        <f>tbl_IO_List[[#This Row],[Chassis]]&amp;"S"&amp;TEXT(tbl_IO_List[[#This Row],[Slot]],"00")&amp;tbl_IO_List[[#This Row],[I/O Type]]&amp;TEXT(tbl_IO_List[[#This Row],[Point]],"00")</f>
        <v>C4S02DI06</v>
      </c>
      <c r="Z651" s="136" t="str">
        <f>tbl_IO_List[[#This Row],[Chassis]]&amp;"S"&amp;TEXT(tbl_IO_List[[#This Row],[Slot]],"00")&amp;","&amp;TEXT(tbl_IO_List[[#This Row],[Point]],"00")</f>
        <v>C4S02,06</v>
      </c>
      <c r="AA651" s="136" t="str">
        <f>VLOOKUP(tbl_IO_List[[#This Row],[Column23]],tbl_RackConfig[],5,FALSE) &amp;"-"&amp;tbl_IO_List[[#This Row],[Point]]</f>
        <v>1756-IB32-6</v>
      </c>
      <c r="AB651" s="136"/>
      <c r="AC651" s="136"/>
      <c r="AD651" s="136" t="str">
        <f>tbl_IO_List[[#This Row],[I/O Type]]</f>
        <v>DI</v>
      </c>
      <c r="AE651" s="136" t="s">
        <v>1335</v>
      </c>
      <c r="AF651" s="136">
        <v>2</v>
      </c>
      <c r="AG651" s="136">
        <v>6</v>
      </c>
      <c r="AH651" s="136"/>
      <c r="AI651" s="136"/>
      <c r="AJ651" s="136">
        <v>1</v>
      </c>
      <c r="AK651" s="136">
        <v>0</v>
      </c>
      <c r="AL651" s="136">
        <v>0</v>
      </c>
      <c r="AM651" s="136">
        <v>0</v>
      </c>
      <c r="AN651" s="136">
        <v>0</v>
      </c>
      <c r="AO651" s="136"/>
      <c r="AP651" s="143" t="str">
        <f>VLOOKUP(tbl_IO_List[[#This Row],[Instruement Tag]],tbl_Instruement_List[],14,FALSE)</f>
        <v>Dry Contact</v>
      </c>
      <c r="AQ651" s="143" t="str">
        <f>tbl_IO_List[[#This Row],[Chassis]]&amp;"S"&amp;tbl_IO_List[[#This Row],[Slot]]&amp;"-"&amp;tbl_IO_List[[#This Row],[Front Terminal Number]]</f>
        <v>C4S2-</v>
      </c>
      <c r="AR651" s="143"/>
      <c r="AS651" s="136" t="str">
        <f>tbl_IO_List[[#This Row],[Terminal Tagging]]&amp;"-"&amp;tbl_IO_List[[#This Row],[Point-Count]]</f>
        <v>-</v>
      </c>
      <c r="AT651" s="136" t="str">
        <f>tbl_IO_List[[#This Row],[Front Terminal Tagging]]&amp;"/"&amp;tbl_IO_List[[#This Row],[Terminal Tagging-Item]]</f>
        <v>C4S2-/-</v>
      </c>
      <c r="AU651" s="136" t="str">
        <f>tbl_IO_List[[#This Row],[Terminal Tagging-Item]]&amp;"/"&amp;tbl_IO_List[[#This Row],[Front Terminal Tagging]]</f>
        <v>-/C4S2-</v>
      </c>
    </row>
    <row r="652" spans="1:47" hidden="1">
      <c r="A652" s="147" t="s">
        <v>1371</v>
      </c>
      <c r="B652" s="136" t="s">
        <v>335</v>
      </c>
      <c r="C652" s="136" t="str">
        <f>tbl_IO_List[[#This Row],[Column3]]</f>
        <v>C4S02,07</v>
      </c>
      <c r="D652" s="136" t="str">
        <f>tbl_IO_List[[#This Row],[Card]]</f>
        <v>1756-IB32-7</v>
      </c>
      <c r="E652" s="136" t="s">
        <v>1366</v>
      </c>
      <c r="F652" s="136" t="str">
        <f>tbl_IO_List[[#This Row],[Column23]]&amp;"-" &amp;tbl_IO_List[[#This Row],[Column52]]</f>
        <v>C4S02-X1</v>
      </c>
      <c r="G652" s="136" t="str">
        <f>tbl_IO_List[[#This Row],[PLC_Tag]]</f>
        <v>XA-61301D_DI_1</v>
      </c>
      <c r="H652" s="136"/>
      <c r="I652" s="136" t="str">
        <f>VLOOKUP(tbl_IO_List[[#This Row],[Destination]],tbl_Junction[],2,FALSE)</f>
        <v>Packing Tower 2th Floor</v>
      </c>
      <c r="J652" s="136" t="s">
        <v>335</v>
      </c>
      <c r="K652" s="136" t="s">
        <v>66</v>
      </c>
      <c r="L652" s="136" t="s">
        <v>1035</v>
      </c>
      <c r="M652" s="136">
        <f>VLOOKUP(tbl_IO_List[[#This Row],[Instruement Tag]],tbl_Instruement_List[],2,FALSE)</f>
        <v>0</v>
      </c>
      <c r="N652" s="136" t="s">
        <v>15</v>
      </c>
      <c r="O652" s="136" t="s">
        <v>356</v>
      </c>
      <c r="P652" s="136" t="s">
        <v>18</v>
      </c>
      <c r="Q652" s="136" t="str">
        <f>VLOOKUP(tbl_IO_List[[#This Row],[Instruement Tag]],tbl_Instruement_List[],6,FALSE)</f>
        <v>Machine in operation</v>
      </c>
      <c r="R652" s="136"/>
      <c r="S65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652" s="136" t="str">
        <f>tbl_IO_List[[#This Row],[Instruement Tag]]&amp;"_"&amp;tbl_IO_List[[#This Row],[I/O Type]]&amp;"_"&amp;tbl_IO_List[[#This Row],[IO-Point 
(Instruement)]]</f>
        <v>XA-61301D_DI_1</v>
      </c>
      <c r="U652" s="136" t="s">
        <v>8</v>
      </c>
      <c r="V652" s="136">
        <f>VLOOKUP(tbl_IO_List[[#This Row],[I/O Type]],tbl_Slot_Group[],2,FALSE)</f>
        <v>1</v>
      </c>
      <c r="W652" s="136">
        <v>1</v>
      </c>
      <c r="X652" s="136" t="str">
        <f>tbl_IO_List[[#This Row],[Chassis]]&amp;"S"&amp;TEXT(tbl_IO_List[[#This Row],[Slot]],"00")</f>
        <v>C4S02</v>
      </c>
      <c r="Y652" s="136" t="str">
        <f>tbl_IO_List[[#This Row],[Chassis]]&amp;"S"&amp;TEXT(tbl_IO_List[[#This Row],[Slot]],"00")&amp;tbl_IO_List[[#This Row],[I/O Type]]&amp;TEXT(tbl_IO_List[[#This Row],[Point]],"00")</f>
        <v>C4S02DI07</v>
      </c>
      <c r="Z652" s="136" t="str">
        <f>tbl_IO_List[[#This Row],[Chassis]]&amp;"S"&amp;TEXT(tbl_IO_List[[#This Row],[Slot]],"00")&amp;","&amp;TEXT(tbl_IO_List[[#This Row],[Point]],"00")</f>
        <v>C4S02,07</v>
      </c>
      <c r="AA652" s="136" t="str">
        <f>VLOOKUP(tbl_IO_List[[#This Row],[Column23]],tbl_RackConfig[],5,FALSE) &amp;"-"&amp;tbl_IO_List[[#This Row],[Point]]</f>
        <v>1756-IB32-7</v>
      </c>
      <c r="AB652" s="136"/>
      <c r="AC652" s="136"/>
      <c r="AD652" s="136" t="str">
        <f>tbl_IO_List[[#This Row],[I/O Type]]</f>
        <v>DI</v>
      </c>
      <c r="AE652" s="136" t="s">
        <v>1335</v>
      </c>
      <c r="AF652" s="136">
        <v>2</v>
      </c>
      <c r="AG652" s="136">
        <v>7</v>
      </c>
      <c r="AH652" s="136"/>
      <c r="AI652" s="136"/>
      <c r="AJ652" s="136">
        <v>1</v>
      </c>
      <c r="AK652" s="136">
        <v>0</v>
      </c>
      <c r="AL652" s="136">
        <v>0</v>
      </c>
      <c r="AM652" s="136">
        <v>0</v>
      </c>
      <c r="AN652" s="136">
        <v>0</v>
      </c>
      <c r="AO652" s="136"/>
      <c r="AP652" s="143" t="str">
        <f>VLOOKUP(tbl_IO_List[[#This Row],[Instruement Tag]],tbl_Instruement_List[],14,FALSE)</f>
        <v>Dry Contact</v>
      </c>
      <c r="AQ652" s="143" t="str">
        <f>tbl_IO_List[[#This Row],[Chassis]]&amp;"S"&amp;tbl_IO_List[[#This Row],[Slot]]&amp;"-"&amp;tbl_IO_List[[#This Row],[Front Terminal Number]]</f>
        <v>C4S2-</v>
      </c>
      <c r="AR652" s="143"/>
      <c r="AS652" s="136" t="str">
        <f>tbl_IO_List[[#This Row],[Terminal Tagging]]&amp;"-"&amp;tbl_IO_List[[#This Row],[Point-Count]]</f>
        <v>-</v>
      </c>
      <c r="AT652" s="136" t="str">
        <f>tbl_IO_List[[#This Row],[Front Terminal Tagging]]&amp;"/"&amp;tbl_IO_List[[#This Row],[Terminal Tagging-Item]]</f>
        <v>C4S2-/-</v>
      </c>
      <c r="AU652" s="136" t="str">
        <f>tbl_IO_List[[#This Row],[Terminal Tagging-Item]]&amp;"/"&amp;tbl_IO_List[[#This Row],[Front Terminal Tagging]]</f>
        <v>-/C4S2-</v>
      </c>
    </row>
    <row r="653" spans="1:47" hidden="1">
      <c r="A653" s="147" t="s">
        <v>1371</v>
      </c>
      <c r="B653" s="136" t="s">
        <v>335</v>
      </c>
      <c r="C653" s="136" t="str">
        <f>tbl_IO_List[[#This Row],[Column3]]</f>
        <v>C4S02,08</v>
      </c>
      <c r="D653" s="136" t="str">
        <f>tbl_IO_List[[#This Row],[Card]]</f>
        <v>1756-IB32-8</v>
      </c>
      <c r="E653" s="136" t="s">
        <v>1366</v>
      </c>
      <c r="F653" s="136" t="str">
        <f>tbl_IO_List[[#This Row],[Column23]]&amp;"-" &amp;tbl_IO_List[[#This Row],[Column52]]</f>
        <v>C4S02-X1</v>
      </c>
      <c r="G653" s="136" t="str">
        <f>tbl_IO_List[[#This Row],[PLC_Tag]]</f>
        <v>XA-61301E_DI_1</v>
      </c>
      <c r="H653" s="136"/>
      <c r="I653" s="136" t="str">
        <f>VLOOKUP(tbl_IO_List[[#This Row],[Destination]],tbl_Junction[],2,FALSE)</f>
        <v>Packing Tower 2th Floor</v>
      </c>
      <c r="J653" s="136" t="s">
        <v>335</v>
      </c>
      <c r="K653" s="136" t="s">
        <v>66</v>
      </c>
      <c r="L653" s="136" t="s">
        <v>1037</v>
      </c>
      <c r="M653" s="136">
        <f>VLOOKUP(tbl_IO_List[[#This Row],[Instruement Tag]],tbl_Instruement_List[],2,FALSE)</f>
        <v>0</v>
      </c>
      <c r="N653" s="136" t="s">
        <v>15</v>
      </c>
      <c r="O653" s="136" t="s">
        <v>356</v>
      </c>
      <c r="P653" s="136" t="s">
        <v>18</v>
      </c>
      <c r="Q653" s="136" t="str">
        <f>VLOOKUP(tbl_IO_List[[#This Row],[Instruement Tag]],tbl_Instruement_List[],6,FALSE)</f>
        <v xml:space="preserve">General Fault </v>
      </c>
      <c r="R653" s="136"/>
      <c r="S65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653" s="136" t="str">
        <f>tbl_IO_List[[#This Row],[Instruement Tag]]&amp;"_"&amp;tbl_IO_List[[#This Row],[I/O Type]]&amp;"_"&amp;tbl_IO_List[[#This Row],[IO-Point 
(Instruement)]]</f>
        <v>XA-61301E_DI_1</v>
      </c>
      <c r="U653" s="136" t="s">
        <v>8</v>
      </c>
      <c r="V653" s="136">
        <f>VLOOKUP(tbl_IO_List[[#This Row],[I/O Type]],tbl_Slot_Group[],2,FALSE)</f>
        <v>1</v>
      </c>
      <c r="W653" s="136">
        <v>1</v>
      </c>
      <c r="X653" s="136" t="str">
        <f>tbl_IO_List[[#This Row],[Chassis]]&amp;"S"&amp;TEXT(tbl_IO_List[[#This Row],[Slot]],"00")</f>
        <v>C4S02</v>
      </c>
      <c r="Y653" s="136" t="str">
        <f>tbl_IO_List[[#This Row],[Chassis]]&amp;"S"&amp;TEXT(tbl_IO_List[[#This Row],[Slot]],"00")&amp;tbl_IO_List[[#This Row],[I/O Type]]&amp;TEXT(tbl_IO_List[[#This Row],[Point]],"00")</f>
        <v>C4S02DI08</v>
      </c>
      <c r="Z653" s="136" t="str">
        <f>tbl_IO_List[[#This Row],[Chassis]]&amp;"S"&amp;TEXT(tbl_IO_List[[#This Row],[Slot]],"00")&amp;","&amp;TEXT(tbl_IO_List[[#This Row],[Point]],"00")</f>
        <v>C4S02,08</v>
      </c>
      <c r="AA653" s="136" t="str">
        <f>VLOOKUP(tbl_IO_List[[#This Row],[Column23]],tbl_RackConfig[],5,FALSE) &amp;"-"&amp;tbl_IO_List[[#This Row],[Point]]</f>
        <v>1756-IB32-8</v>
      </c>
      <c r="AB653" s="136"/>
      <c r="AC653" s="136"/>
      <c r="AD653" s="136" t="str">
        <f>tbl_IO_List[[#This Row],[I/O Type]]</f>
        <v>DI</v>
      </c>
      <c r="AE653" s="136" t="s">
        <v>1335</v>
      </c>
      <c r="AF653" s="136">
        <v>2</v>
      </c>
      <c r="AG653" s="136">
        <v>8</v>
      </c>
      <c r="AH653" s="136"/>
      <c r="AI653" s="136"/>
      <c r="AJ653" s="136">
        <v>1</v>
      </c>
      <c r="AK653" s="136">
        <v>0</v>
      </c>
      <c r="AL653" s="136">
        <v>0</v>
      </c>
      <c r="AM653" s="136">
        <v>0</v>
      </c>
      <c r="AN653" s="136">
        <v>0</v>
      </c>
      <c r="AO653" s="136"/>
      <c r="AP653" s="143" t="str">
        <f>VLOOKUP(tbl_IO_List[[#This Row],[Instruement Tag]],tbl_Instruement_List[],14,FALSE)</f>
        <v>Dry Contact</v>
      </c>
      <c r="AQ653" s="143" t="str">
        <f>tbl_IO_List[[#This Row],[Chassis]]&amp;"S"&amp;tbl_IO_List[[#This Row],[Slot]]&amp;"-"&amp;tbl_IO_List[[#This Row],[Front Terminal Number]]</f>
        <v>C4S2-</v>
      </c>
      <c r="AR653" s="143"/>
      <c r="AS653" s="136" t="str">
        <f>tbl_IO_List[[#This Row],[Terminal Tagging]]&amp;"-"&amp;tbl_IO_List[[#This Row],[Point-Count]]</f>
        <v>-</v>
      </c>
      <c r="AT653" s="136" t="str">
        <f>tbl_IO_List[[#This Row],[Front Terminal Tagging]]&amp;"/"&amp;tbl_IO_List[[#This Row],[Terminal Tagging-Item]]</f>
        <v>C4S2-/-</v>
      </c>
      <c r="AU653" s="136" t="str">
        <f>tbl_IO_List[[#This Row],[Terminal Tagging-Item]]&amp;"/"&amp;tbl_IO_List[[#This Row],[Front Terminal Tagging]]</f>
        <v>-/C4S2-</v>
      </c>
    </row>
    <row r="654" spans="1:47" hidden="1">
      <c r="A654" s="147" t="s">
        <v>1371</v>
      </c>
      <c r="B654" s="136" t="s">
        <v>335</v>
      </c>
      <c r="C654" s="136" t="str">
        <f>tbl_IO_List[[#This Row],[Column3]]</f>
        <v>C4S02,09</v>
      </c>
      <c r="D654" s="136" t="str">
        <f>tbl_IO_List[[#This Row],[Card]]</f>
        <v>1756-IB32-9</v>
      </c>
      <c r="E654" s="136" t="s">
        <v>1366</v>
      </c>
      <c r="F654" s="136" t="str">
        <f>tbl_IO_List[[#This Row],[Column23]]&amp;"-" &amp;tbl_IO_List[[#This Row],[Column52]]</f>
        <v>C4S02-X1</v>
      </c>
      <c r="G654" s="136" t="str">
        <f>tbl_IO_List[[#This Row],[PLC_Tag]]</f>
        <v>XA-61301F_DI_1</v>
      </c>
      <c r="H654" s="136"/>
      <c r="I654" s="136" t="str">
        <f>VLOOKUP(tbl_IO_List[[#This Row],[Destination]],tbl_Junction[],2,FALSE)</f>
        <v>Packing Tower 2th Floor</v>
      </c>
      <c r="J654" s="136" t="s">
        <v>335</v>
      </c>
      <c r="K654" s="136" t="s">
        <v>66</v>
      </c>
      <c r="L654" s="136" t="s">
        <v>1039</v>
      </c>
      <c r="M654" s="136">
        <f>VLOOKUP(tbl_IO_List[[#This Row],[Instruement Tag]],tbl_Instruement_List[],2,FALSE)</f>
        <v>0</v>
      </c>
      <c r="N654" s="136" t="s">
        <v>15</v>
      </c>
      <c r="O654" s="136" t="s">
        <v>356</v>
      </c>
      <c r="P654" s="136" t="s">
        <v>18</v>
      </c>
      <c r="Q654" s="136" t="str">
        <f>VLOOKUP(tbl_IO_List[[#This Row],[Instruement Tag]],tbl_Instruement_List[],6,FALSE)</f>
        <v xml:space="preserve">Machine is ready </v>
      </c>
      <c r="R654" s="136"/>
      <c r="S65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654" s="136" t="str">
        <f>tbl_IO_List[[#This Row],[Instruement Tag]]&amp;"_"&amp;tbl_IO_List[[#This Row],[I/O Type]]&amp;"_"&amp;tbl_IO_List[[#This Row],[IO-Point 
(Instruement)]]</f>
        <v>XA-61301F_DI_1</v>
      </c>
      <c r="U654" s="136" t="s">
        <v>8</v>
      </c>
      <c r="V654" s="136">
        <f>VLOOKUP(tbl_IO_List[[#This Row],[I/O Type]],tbl_Slot_Group[],2,FALSE)</f>
        <v>1</v>
      </c>
      <c r="W654" s="136">
        <v>1</v>
      </c>
      <c r="X654" s="136" t="str">
        <f>tbl_IO_List[[#This Row],[Chassis]]&amp;"S"&amp;TEXT(tbl_IO_List[[#This Row],[Slot]],"00")</f>
        <v>C4S02</v>
      </c>
      <c r="Y654" s="136" t="str">
        <f>tbl_IO_List[[#This Row],[Chassis]]&amp;"S"&amp;TEXT(tbl_IO_List[[#This Row],[Slot]],"00")&amp;tbl_IO_List[[#This Row],[I/O Type]]&amp;TEXT(tbl_IO_List[[#This Row],[Point]],"00")</f>
        <v>C4S02DI09</v>
      </c>
      <c r="Z654" s="136" t="str">
        <f>tbl_IO_List[[#This Row],[Chassis]]&amp;"S"&amp;TEXT(tbl_IO_List[[#This Row],[Slot]],"00")&amp;","&amp;TEXT(tbl_IO_List[[#This Row],[Point]],"00")</f>
        <v>C4S02,09</v>
      </c>
      <c r="AA654" s="136" t="str">
        <f>VLOOKUP(tbl_IO_List[[#This Row],[Column23]],tbl_RackConfig[],5,FALSE) &amp;"-"&amp;tbl_IO_List[[#This Row],[Point]]</f>
        <v>1756-IB32-9</v>
      </c>
      <c r="AB654" s="136"/>
      <c r="AC654" s="136"/>
      <c r="AD654" s="136" t="str">
        <f>tbl_IO_List[[#This Row],[I/O Type]]</f>
        <v>DI</v>
      </c>
      <c r="AE654" s="136" t="s">
        <v>1335</v>
      </c>
      <c r="AF654" s="136">
        <v>2</v>
      </c>
      <c r="AG654" s="136">
        <v>9</v>
      </c>
      <c r="AH654" s="136"/>
      <c r="AI654" s="136"/>
      <c r="AJ654" s="136">
        <v>1</v>
      </c>
      <c r="AK654" s="136">
        <v>0</v>
      </c>
      <c r="AL654" s="136">
        <v>0</v>
      </c>
      <c r="AM654" s="136">
        <v>0</v>
      </c>
      <c r="AN654" s="136">
        <v>0</v>
      </c>
      <c r="AO654" s="136"/>
      <c r="AP654" s="143" t="str">
        <f>VLOOKUP(tbl_IO_List[[#This Row],[Instruement Tag]],tbl_Instruement_List[],14,FALSE)</f>
        <v>Dry Contact</v>
      </c>
      <c r="AQ654" s="143" t="str">
        <f>tbl_IO_List[[#This Row],[Chassis]]&amp;"S"&amp;tbl_IO_List[[#This Row],[Slot]]&amp;"-"&amp;tbl_IO_List[[#This Row],[Front Terminal Number]]</f>
        <v>C4S2-</v>
      </c>
      <c r="AR654" s="143"/>
      <c r="AS654" s="136" t="str">
        <f>tbl_IO_List[[#This Row],[Terminal Tagging]]&amp;"-"&amp;tbl_IO_List[[#This Row],[Point-Count]]</f>
        <v>-</v>
      </c>
      <c r="AT654" s="136" t="str">
        <f>tbl_IO_List[[#This Row],[Front Terminal Tagging]]&amp;"/"&amp;tbl_IO_List[[#This Row],[Terminal Tagging-Item]]</f>
        <v>C4S2-/-</v>
      </c>
      <c r="AU654" s="136" t="str">
        <f>tbl_IO_List[[#This Row],[Terminal Tagging-Item]]&amp;"/"&amp;tbl_IO_List[[#This Row],[Front Terminal Tagging]]</f>
        <v>-/C4S2-</v>
      </c>
    </row>
    <row r="655" spans="1:47" hidden="1">
      <c r="A655" s="147" t="s">
        <v>1371</v>
      </c>
      <c r="B655" s="136" t="s">
        <v>335</v>
      </c>
      <c r="C655" s="136" t="str">
        <f>tbl_IO_List[[#This Row],[Column3]]</f>
        <v>C4S02,10</v>
      </c>
      <c r="D655" s="136" t="str">
        <f>tbl_IO_List[[#This Row],[Card]]</f>
        <v>1756-IB32-10</v>
      </c>
      <c r="E655" s="136" t="s">
        <v>1366</v>
      </c>
      <c r="F655" s="136" t="str">
        <f>tbl_IO_List[[#This Row],[Column23]]&amp;"-" &amp;tbl_IO_List[[#This Row],[Column52]]</f>
        <v>C4S02-X1</v>
      </c>
      <c r="G655" s="136" t="str">
        <f>tbl_IO_List[[#This Row],[PLC_Tag]]</f>
        <v>XA-61301G_DI_1</v>
      </c>
      <c r="H655" s="136"/>
      <c r="I655" s="136" t="str">
        <f>VLOOKUP(tbl_IO_List[[#This Row],[Destination]],tbl_Junction[],2,FALSE)</f>
        <v>Packing Tower 2th Floor</v>
      </c>
      <c r="J655" s="136" t="s">
        <v>335</v>
      </c>
      <c r="K655" s="136" t="s">
        <v>66</v>
      </c>
      <c r="L655" s="136" t="s">
        <v>1041</v>
      </c>
      <c r="M655" s="136">
        <f>VLOOKUP(tbl_IO_List[[#This Row],[Instruement Tag]],tbl_Instruement_List[],2,FALSE)</f>
        <v>0</v>
      </c>
      <c r="N655" s="136" t="s">
        <v>15</v>
      </c>
      <c r="O655" s="136" t="s">
        <v>356</v>
      </c>
      <c r="P655" s="136" t="s">
        <v>18</v>
      </c>
      <c r="Q655" s="136" t="str">
        <f>VLOOKUP(tbl_IO_List[[#This Row],[Instruement Tag]],tbl_Instruement_List[],6,FALSE)</f>
        <v>Emergency stop activated</v>
      </c>
      <c r="R655" s="136"/>
      <c r="S65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655" s="136" t="str">
        <f>tbl_IO_List[[#This Row],[Instruement Tag]]&amp;"_"&amp;tbl_IO_List[[#This Row],[I/O Type]]&amp;"_"&amp;tbl_IO_List[[#This Row],[IO-Point 
(Instruement)]]</f>
        <v>XA-61301G_DI_1</v>
      </c>
      <c r="U655" s="136" t="s">
        <v>8</v>
      </c>
      <c r="V655" s="136">
        <f>VLOOKUP(tbl_IO_List[[#This Row],[I/O Type]],tbl_Slot_Group[],2,FALSE)</f>
        <v>1</v>
      </c>
      <c r="W655" s="136">
        <v>1</v>
      </c>
      <c r="X655" s="136" t="str">
        <f>tbl_IO_List[[#This Row],[Chassis]]&amp;"S"&amp;TEXT(tbl_IO_List[[#This Row],[Slot]],"00")</f>
        <v>C4S02</v>
      </c>
      <c r="Y655" s="136" t="str">
        <f>tbl_IO_List[[#This Row],[Chassis]]&amp;"S"&amp;TEXT(tbl_IO_List[[#This Row],[Slot]],"00")&amp;tbl_IO_List[[#This Row],[I/O Type]]&amp;TEXT(tbl_IO_List[[#This Row],[Point]],"00")</f>
        <v>C4S02DI10</v>
      </c>
      <c r="Z655" s="136" t="str">
        <f>tbl_IO_List[[#This Row],[Chassis]]&amp;"S"&amp;TEXT(tbl_IO_List[[#This Row],[Slot]],"00")&amp;","&amp;TEXT(tbl_IO_List[[#This Row],[Point]],"00")</f>
        <v>C4S02,10</v>
      </c>
      <c r="AA655" s="136" t="str">
        <f>VLOOKUP(tbl_IO_List[[#This Row],[Column23]],tbl_RackConfig[],5,FALSE) &amp;"-"&amp;tbl_IO_List[[#This Row],[Point]]</f>
        <v>1756-IB32-10</v>
      </c>
      <c r="AB655" s="136"/>
      <c r="AC655" s="136"/>
      <c r="AD655" s="136" t="str">
        <f>tbl_IO_List[[#This Row],[I/O Type]]</f>
        <v>DI</v>
      </c>
      <c r="AE655" s="136" t="s">
        <v>1335</v>
      </c>
      <c r="AF655" s="136">
        <v>2</v>
      </c>
      <c r="AG655" s="136">
        <v>10</v>
      </c>
      <c r="AH655" s="136"/>
      <c r="AI655" s="136"/>
      <c r="AJ655" s="136">
        <v>1</v>
      </c>
      <c r="AK655" s="136">
        <v>0</v>
      </c>
      <c r="AL655" s="136">
        <v>0</v>
      </c>
      <c r="AM655" s="136">
        <v>0</v>
      </c>
      <c r="AN655" s="136">
        <v>0</v>
      </c>
      <c r="AO655" s="136"/>
      <c r="AP655" s="143" t="str">
        <f>VLOOKUP(tbl_IO_List[[#This Row],[Instruement Tag]],tbl_Instruement_List[],14,FALSE)</f>
        <v>Dry Contact</v>
      </c>
      <c r="AQ655" s="143" t="str">
        <f>tbl_IO_List[[#This Row],[Chassis]]&amp;"S"&amp;tbl_IO_List[[#This Row],[Slot]]&amp;"-"&amp;tbl_IO_List[[#This Row],[Front Terminal Number]]</f>
        <v>C4S2-</v>
      </c>
      <c r="AR655" s="143"/>
      <c r="AS655" s="136" t="str">
        <f>tbl_IO_List[[#This Row],[Terminal Tagging]]&amp;"-"&amp;tbl_IO_List[[#This Row],[Point-Count]]</f>
        <v>-</v>
      </c>
      <c r="AT655" s="136" t="str">
        <f>tbl_IO_List[[#This Row],[Front Terminal Tagging]]&amp;"/"&amp;tbl_IO_List[[#This Row],[Terminal Tagging-Item]]</f>
        <v>C4S2-/-</v>
      </c>
      <c r="AU655" s="136" t="str">
        <f>tbl_IO_List[[#This Row],[Terminal Tagging-Item]]&amp;"/"&amp;tbl_IO_List[[#This Row],[Front Terminal Tagging]]</f>
        <v>-/C4S2-</v>
      </c>
    </row>
    <row r="656" spans="1:47" hidden="1">
      <c r="A656" s="147" t="s">
        <v>1371</v>
      </c>
      <c r="B656" s="136" t="s">
        <v>335</v>
      </c>
      <c r="C656" s="136" t="str">
        <f>tbl_IO_List[[#This Row],[Column3]]</f>
        <v>C4S02,11</v>
      </c>
      <c r="D656" s="136" t="str">
        <f>tbl_IO_List[[#This Row],[Card]]</f>
        <v>1756-IB32-11</v>
      </c>
      <c r="E656" s="136" t="s">
        <v>1366</v>
      </c>
      <c r="F656" s="136" t="str">
        <f>tbl_IO_List[[#This Row],[Column23]]&amp;"-" &amp;tbl_IO_List[[#This Row],[Column52]]</f>
        <v>C4S02-X1</v>
      </c>
      <c r="G656" s="136" t="str">
        <f>tbl_IO_List[[#This Row],[PLC_Tag]]</f>
        <v>XA-61301H_DI_1</v>
      </c>
      <c r="H656" s="136"/>
      <c r="I656" s="136" t="str">
        <f>VLOOKUP(tbl_IO_List[[#This Row],[Destination]],tbl_Junction[],2,FALSE)</f>
        <v>Packing Tower 2th Floor</v>
      </c>
      <c r="J656" s="136" t="s">
        <v>335</v>
      </c>
      <c r="K656" s="136" t="s">
        <v>66</v>
      </c>
      <c r="L656" s="136" t="s">
        <v>1043</v>
      </c>
      <c r="M656" s="136">
        <f>VLOOKUP(tbl_IO_List[[#This Row],[Instruement Tag]],tbl_Instruement_List[],2,FALSE)</f>
        <v>0</v>
      </c>
      <c r="N656" s="136" t="s">
        <v>15</v>
      </c>
      <c r="O656" s="136" t="s">
        <v>356</v>
      </c>
      <c r="P656" s="136" t="s">
        <v>18</v>
      </c>
      <c r="Q656" s="136" t="str">
        <f>VLOOKUP(tbl_IO_List[[#This Row],[Instruement Tag]],tbl_Instruement_List[],6,FALSE)</f>
        <v>Silo minimum</v>
      </c>
      <c r="R656" s="136"/>
      <c r="S65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656" s="136" t="str">
        <f>tbl_IO_List[[#This Row],[Instruement Tag]]&amp;"_"&amp;tbl_IO_List[[#This Row],[I/O Type]]&amp;"_"&amp;tbl_IO_List[[#This Row],[IO-Point 
(Instruement)]]</f>
        <v>XA-61301H_DI_1</v>
      </c>
      <c r="U656" s="136" t="s">
        <v>8</v>
      </c>
      <c r="V656" s="136">
        <f>VLOOKUP(tbl_IO_List[[#This Row],[I/O Type]],tbl_Slot_Group[],2,FALSE)</f>
        <v>1</v>
      </c>
      <c r="W656" s="136">
        <v>1</v>
      </c>
      <c r="X656" s="136" t="str">
        <f>tbl_IO_List[[#This Row],[Chassis]]&amp;"S"&amp;TEXT(tbl_IO_List[[#This Row],[Slot]],"00")</f>
        <v>C4S02</v>
      </c>
      <c r="Y656" s="136" t="str">
        <f>tbl_IO_List[[#This Row],[Chassis]]&amp;"S"&amp;TEXT(tbl_IO_List[[#This Row],[Slot]],"00")&amp;tbl_IO_List[[#This Row],[I/O Type]]&amp;TEXT(tbl_IO_List[[#This Row],[Point]],"00")</f>
        <v>C4S02DI11</v>
      </c>
      <c r="Z656" s="136" t="str">
        <f>tbl_IO_List[[#This Row],[Chassis]]&amp;"S"&amp;TEXT(tbl_IO_List[[#This Row],[Slot]],"00")&amp;","&amp;TEXT(tbl_IO_List[[#This Row],[Point]],"00")</f>
        <v>C4S02,11</v>
      </c>
      <c r="AA656" s="136" t="str">
        <f>VLOOKUP(tbl_IO_List[[#This Row],[Column23]],tbl_RackConfig[],5,FALSE) &amp;"-"&amp;tbl_IO_List[[#This Row],[Point]]</f>
        <v>1756-IB32-11</v>
      </c>
      <c r="AB656" s="136"/>
      <c r="AC656" s="136"/>
      <c r="AD656" s="136" t="str">
        <f>tbl_IO_List[[#This Row],[I/O Type]]</f>
        <v>DI</v>
      </c>
      <c r="AE656" s="136" t="s">
        <v>1335</v>
      </c>
      <c r="AF656" s="136">
        <v>2</v>
      </c>
      <c r="AG656" s="136">
        <v>11</v>
      </c>
      <c r="AH656" s="136"/>
      <c r="AI656" s="136"/>
      <c r="AJ656" s="136">
        <v>1</v>
      </c>
      <c r="AK656" s="136">
        <v>0</v>
      </c>
      <c r="AL656" s="136">
        <v>0</v>
      </c>
      <c r="AM656" s="136">
        <v>0</v>
      </c>
      <c r="AN656" s="136">
        <v>0</v>
      </c>
      <c r="AO656" s="136"/>
      <c r="AP656" s="143" t="str">
        <f>VLOOKUP(tbl_IO_List[[#This Row],[Instruement Tag]],tbl_Instruement_List[],14,FALSE)</f>
        <v>Dry Contact</v>
      </c>
      <c r="AQ656" s="143" t="str">
        <f>tbl_IO_List[[#This Row],[Chassis]]&amp;"S"&amp;tbl_IO_List[[#This Row],[Slot]]&amp;"-"&amp;tbl_IO_List[[#This Row],[Front Terminal Number]]</f>
        <v>C4S2-</v>
      </c>
      <c r="AR656" s="143"/>
      <c r="AS656" s="136" t="str">
        <f>tbl_IO_List[[#This Row],[Terminal Tagging]]&amp;"-"&amp;tbl_IO_List[[#This Row],[Point-Count]]</f>
        <v>-</v>
      </c>
      <c r="AT656" s="136" t="str">
        <f>tbl_IO_List[[#This Row],[Front Terminal Tagging]]&amp;"/"&amp;tbl_IO_List[[#This Row],[Terminal Tagging-Item]]</f>
        <v>C4S2-/-</v>
      </c>
      <c r="AU656" s="136" t="str">
        <f>tbl_IO_List[[#This Row],[Terminal Tagging-Item]]&amp;"/"&amp;tbl_IO_List[[#This Row],[Front Terminal Tagging]]</f>
        <v>-/C4S2-</v>
      </c>
    </row>
    <row r="657" spans="1:47" hidden="1">
      <c r="A657" s="147" t="s">
        <v>1371</v>
      </c>
      <c r="B657" s="136" t="s">
        <v>335</v>
      </c>
      <c r="C657" s="136" t="str">
        <f>tbl_IO_List[[#This Row],[Column3]]</f>
        <v>C4S02,12</v>
      </c>
      <c r="D657" s="136" t="str">
        <f>tbl_IO_List[[#This Row],[Card]]</f>
        <v>1756-IB32-12</v>
      </c>
      <c r="E657" s="136" t="s">
        <v>1366</v>
      </c>
      <c r="F657" s="136" t="str">
        <f>tbl_IO_List[[#This Row],[Column23]]&amp;"-" &amp;tbl_IO_List[[#This Row],[Column52]]</f>
        <v>C4S02-X1</v>
      </c>
      <c r="G657" s="136" t="str">
        <f>tbl_IO_List[[#This Row],[PLC_Tag]]</f>
        <v>XA-61301J_DI_1</v>
      </c>
      <c r="H657" s="136"/>
      <c r="I657" s="136" t="str">
        <f>VLOOKUP(tbl_IO_List[[#This Row],[Destination]],tbl_Junction[],2,FALSE)</f>
        <v>Packing Tower 2th Floor</v>
      </c>
      <c r="J657" s="136" t="s">
        <v>335</v>
      </c>
      <c r="K657" s="136" t="s">
        <v>66</v>
      </c>
      <c r="L657" s="136" t="s">
        <v>1045</v>
      </c>
      <c r="M657" s="136">
        <f>VLOOKUP(tbl_IO_List[[#This Row],[Instruement Tag]],tbl_Instruement_List[],2,FALSE)</f>
        <v>0</v>
      </c>
      <c r="N657" s="136" t="s">
        <v>15</v>
      </c>
      <c r="O657" s="136" t="s">
        <v>356</v>
      </c>
      <c r="P657" s="136" t="s">
        <v>18</v>
      </c>
      <c r="Q657" s="136" t="str">
        <f>VLOOKUP(tbl_IO_List[[#This Row],[Instruement Tag]],tbl_Instruement_List[],6,FALSE)</f>
        <v xml:space="preserve">Silo maximum </v>
      </c>
      <c r="R657" s="136"/>
      <c r="S65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657" s="136" t="str">
        <f>tbl_IO_List[[#This Row],[Instruement Tag]]&amp;"_"&amp;tbl_IO_List[[#This Row],[I/O Type]]&amp;"_"&amp;tbl_IO_List[[#This Row],[IO-Point 
(Instruement)]]</f>
        <v>XA-61301J_DI_1</v>
      </c>
      <c r="U657" s="136" t="s">
        <v>8</v>
      </c>
      <c r="V657" s="136">
        <f>VLOOKUP(tbl_IO_List[[#This Row],[I/O Type]],tbl_Slot_Group[],2,FALSE)</f>
        <v>1</v>
      </c>
      <c r="W657" s="136">
        <v>1</v>
      </c>
      <c r="X657" s="136" t="str">
        <f>tbl_IO_List[[#This Row],[Chassis]]&amp;"S"&amp;TEXT(tbl_IO_List[[#This Row],[Slot]],"00")</f>
        <v>C4S02</v>
      </c>
      <c r="Y657" s="136" t="str">
        <f>tbl_IO_List[[#This Row],[Chassis]]&amp;"S"&amp;TEXT(tbl_IO_List[[#This Row],[Slot]],"00")&amp;tbl_IO_List[[#This Row],[I/O Type]]&amp;TEXT(tbl_IO_List[[#This Row],[Point]],"00")</f>
        <v>C4S02DI12</v>
      </c>
      <c r="Z657" s="136" t="str">
        <f>tbl_IO_List[[#This Row],[Chassis]]&amp;"S"&amp;TEXT(tbl_IO_List[[#This Row],[Slot]],"00")&amp;","&amp;TEXT(tbl_IO_List[[#This Row],[Point]],"00")</f>
        <v>C4S02,12</v>
      </c>
      <c r="AA657" s="136" t="str">
        <f>VLOOKUP(tbl_IO_List[[#This Row],[Column23]],tbl_RackConfig[],5,FALSE) &amp;"-"&amp;tbl_IO_List[[#This Row],[Point]]</f>
        <v>1756-IB32-12</v>
      </c>
      <c r="AB657" s="136"/>
      <c r="AC657" s="136"/>
      <c r="AD657" s="136" t="str">
        <f>tbl_IO_List[[#This Row],[I/O Type]]</f>
        <v>DI</v>
      </c>
      <c r="AE657" s="136" t="s">
        <v>1335</v>
      </c>
      <c r="AF657" s="136">
        <v>2</v>
      </c>
      <c r="AG657" s="136">
        <v>12</v>
      </c>
      <c r="AH657" s="136"/>
      <c r="AI657" s="136"/>
      <c r="AJ657" s="136">
        <v>1</v>
      </c>
      <c r="AK657" s="136">
        <v>0</v>
      </c>
      <c r="AL657" s="136">
        <v>0</v>
      </c>
      <c r="AM657" s="136">
        <v>0</v>
      </c>
      <c r="AN657" s="136">
        <v>0</v>
      </c>
      <c r="AO657" s="136"/>
      <c r="AP657" s="143" t="str">
        <f>VLOOKUP(tbl_IO_List[[#This Row],[Instruement Tag]],tbl_Instruement_List[],14,FALSE)</f>
        <v>Dry Contact</v>
      </c>
      <c r="AQ657" s="143" t="str">
        <f>tbl_IO_List[[#This Row],[Chassis]]&amp;"S"&amp;tbl_IO_List[[#This Row],[Slot]]&amp;"-"&amp;tbl_IO_List[[#This Row],[Front Terminal Number]]</f>
        <v>C4S2-</v>
      </c>
      <c r="AR657" s="143"/>
      <c r="AS657" s="136" t="str">
        <f>tbl_IO_List[[#This Row],[Terminal Tagging]]&amp;"-"&amp;tbl_IO_List[[#This Row],[Point-Count]]</f>
        <v>-</v>
      </c>
      <c r="AT657" s="136" t="str">
        <f>tbl_IO_List[[#This Row],[Front Terminal Tagging]]&amp;"/"&amp;tbl_IO_List[[#This Row],[Terminal Tagging-Item]]</f>
        <v>C4S2-/-</v>
      </c>
      <c r="AU657" s="136" t="str">
        <f>tbl_IO_List[[#This Row],[Terminal Tagging-Item]]&amp;"/"&amp;tbl_IO_List[[#This Row],[Front Terminal Tagging]]</f>
        <v>-/C4S2-</v>
      </c>
    </row>
    <row r="658" spans="1:47" hidden="1">
      <c r="A658" s="147" t="s">
        <v>1371</v>
      </c>
      <c r="B658" s="136" t="s">
        <v>335</v>
      </c>
      <c r="C658" s="136" t="str">
        <f>tbl_IO_List[[#This Row],[Column3]]</f>
        <v>C4S02,13</v>
      </c>
      <c r="D658" s="136" t="str">
        <f>tbl_IO_List[[#This Row],[Card]]</f>
        <v>1756-IB32-13</v>
      </c>
      <c r="E658" s="136" t="s">
        <v>1366</v>
      </c>
      <c r="F658" s="136" t="str">
        <f>tbl_IO_List[[#This Row],[Column23]]&amp;"-" &amp;tbl_IO_List[[#This Row],[Column52]]</f>
        <v>C4S02-X1</v>
      </c>
      <c r="G658" s="136" t="str">
        <f>tbl_IO_List[[#This Row],[PLC_Tag]]</f>
        <v>XV-61302_DI_1</v>
      </c>
      <c r="H658" s="136"/>
      <c r="I658" s="136" t="str">
        <f>VLOOKUP(tbl_IO_List[[#This Row],[Destination]],tbl_Junction[],2,FALSE)</f>
        <v>Packing Tower 2th Floor</v>
      </c>
      <c r="J658" s="136" t="s">
        <v>335</v>
      </c>
      <c r="K658" s="136" t="s">
        <v>66</v>
      </c>
      <c r="L658" s="136" t="s">
        <v>355</v>
      </c>
      <c r="M658" s="136">
        <f>VLOOKUP(tbl_IO_List[[#This Row],[Instruement Tag]],tbl_Instruement_List[],2,FALSE)</f>
        <v>0</v>
      </c>
      <c r="N658" s="136" t="s">
        <v>24</v>
      </c>
      <c r="O658" s="136" t="s">
        <v>356</v>
      </c>
      <c r="P658" s="136" t="s">
        <v>357</v>
      </c>
      <c r="Q658" s="136" t="str">
        <f>VLOOKUP(tbl_IO_List[[#This Row],[Instruement Tag]],tbl_Instruement_List[],6,FALSE)</f>
        <v>Dust collector feed vent</v>
      </c>
      <c r="R658" s="136"/>
      <c r="S65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658" s="136" t="str">
        <f>tbl_IO_List[[#This Row],[Instruement Tag]]&amp;"_"&amp;tbl_IO_List[[#This Row],[I/O Type]]&amp;"_"&amp;tbl_IO_List[[#This Row],[IO-Point 
(Instruement)]]</f>
        <v>XV-61302_DI_1</v>
      </c>
      <c r="U658" s="136" t="s">
        <v>8</v>
      </c>
      <c r="V658" s="136">
        <f>VLOOKUP(tbl_IO_List[[#This Row],[I/O Type]],tbl_Slot_Group[],2,FALSE)</f>
        <v>1</v>
      </c>
      <c r="W658" s="136">
        <v>1</v>
      </c>
      <c r="X658" s="136" t="str">
        <f>tbl_IO_List[[#This Row],[Chassis]]&amp;"S"&amp;TEXT(tbl_IO_List[[#This Row],[Slot]],"00")</f>
        <v>C4S02</v>
      </c>
      <c r="Y658" s="136" t="str">
        <f>tbl_IO_List[[#This Row],[Chassis]]&amp;"S"&amp;TEXT(tbl_IO_List[[#This Row],[Slot]],"00")&amp;tbl_IO_List[[#This Row],[I/O Type]]&amp;TEXT(tbl_IO_List[[#This Row],[Point]],"00")</f>
        <v>C4S02DI13</v>
      </c>
      <c r="Z658" s="136" t="str">
        <f>tbl_IO_List[[#This Row],[Chassis]]&amp;"S"&amp;TEXT(tbl_IO_List[[#This Row],[Slot]],"00")&amp;","&amp;TEXT(tbl_IO_List[[#This Row],[Point]],"00")</f>
        <v>C4S02,13</v>
      </c>
      <c r="AA658" s="136" t="str">
        <f>VLOOKUP(tbl_IO_List[[#This Row],[Column23]],tbl_RackConfig[],5,FALSE) &amp;"-"&amp;tbl_IO_List[[#This Row],[Point]]</f>
        <v>1756-IB32-13</v>
      </c>
      <c r="AB658" s="136"/>
      <c r="AC658" s="136"/>
      <c r="AD658" s="136" t="str">
        <f>tbl_IO_List[[#This Row],[I/O Type]]</f>
        <v>DI</v>
      </c>
      <c r="AE658" s="136" t="s">
        <v>1335</v>
      </c>
      <c r="AF658" s="136">
        <v>2</v>
      </c>
      <c r="AG658" s="136">
        <v>13</v>
      </c>
      <c r="AH658" s="136"/>
      <c r="AI658" s="136"/>
      <c r="AJ658" s="136">
        <v>2</v>
      </c>
      <c r="AK658" s="136">
        <v>1</v>
      </c>
      <c r="AL658" s="136">
        <v>0</v>
      </c>
      <c r="AM658" s="136">
        <v>0</v>
      </c>
      <c r="AN658" s="136">
        <v>0</v>
      </c>
      <c r="AO658" s="136"/>
      <c r="AP658" s="143" t="str">
        <f>VLOOKUP(tbl_IO_List[[#This Row],[Instruement Tag]],tbl_Instruement_List[],14,FALSE)</f>
        <v>24 VDC energized</v>
      </c>
      <c r="AQ658" s="143" t="str">
        <f>tbl_IO_List[[#This Row],[Chassis]]&amp;"S"&amp;tbl_IO_List[[#This Row],[Slot]]&amp;"-"&amp;tbl_IO_List[[#This Row],[Front Terminal Number]]</f>
        <v>C4S2-</v>
      </c>
      <c r="AR658" s="143"/>
      <c r="AS658" s="136" t="str">
        <f>tbl_IO_List[[#This Row],[Terminal Tagging]]&amp;"-"&amp;tbl_IO_List[[#This Row],[Point-Count]]</f>
        <v>-</v>
      </c>
      <c r="AT658" s="136" t="str">
        <f>tbl_IO_List[[#This Row],[Front Terminal Tagging]]&amp;"/"&amp;tbl_IO_List[[#This Row],[Terminal Tagging-Item]]</f>
        <v>C4S2-/-</v>
      </c>
      <c r="AU658" s="136" t="str">
        <f>tbl_IO_List[[#This Row],[Terminal Tagging-Item]]&amp;"/"&amp;tbl_IO_List[[#This Row],[Front Terminal Tagging]]</f>
        <v>-/C4S2-</v>
      </c>
    </row>
    <row r="659" spans="1:47" hidden="1">
      <c r="A659" s="147" t="s">
        <v>1371</v>
      </c>
      <c r="B659" s="136" t="s">
        <v>335</v>
      </c>
      <c r="C659" s="136" t="str">
        <f>tbl_IO_List[[#This Row],[Column3]]</f>
        <v>C4S02,14</v>
      </c>
      <c r="D659" s="136" t="str">
        <f>tbl_IO_List[[#This Row],[Card]]</f>
        <v>1756-IB32-14</v>
      </c>
      <c r="E659" s="136" t="s">
        <v>1366</v>
      </c>
      <c r="F659" s="136" t="str">
        <f>tbl_IO_List[[#This Row],[Column23]]&amp;"-" &amp;tbl_IO_List[[#This Row],[Column52]]</f>
        <v>C4S02-X1</v>
      </c>
      <c r="G659" s="136" t="str">
        <f>tbl_IO_List[[#This Row],[PLC_Tag]]</f>
        <v>XV-61302_DI_2</v>
      </c>
      <c r="H659" s="136"/>
      <c r="I659" s="136" t="str">
        <f>VLOOKUP(tbl_IO_List[[#This Row],[Destination]],tbl_Junction[],2,FALSE)</f>
        <v>Packing Tower 2th Floor</v>
      </c>
      <c r="J659" s="136" t="s">
        <v>335</v>
      </c>
      <c r="K659" s="136" t="s">
        <v>66</v>
      </c>
      <c r="L659" s="136" t="s">
        <v>355</v>
      </c>
      <c r="M659" s="136">
        <f>VLOOKUP(tbl_IO_List[[#This Row],[Instruement Tag]],tbl_Instruement_List[],2,FALSE)</f>
        <v>0</v>
      </c>
      <c r="N659" s="136" t="s">
        <v>24</v>
      </c>
      <c r="O659" s="136" t="s">
        <v>356</v>
      </c>
      <c r="P659" s="136" t="s">
        <v>357</v>
      </c>
      <c r="Q659" s="136" t="str">
        <f>VLOOKUP(tbl_IO_List[[#This Row],[Instruement Tag]],tbl_Instruement_List[],6,FALSE)</f>
        <v>Dust collector feed vent</v>
      </c>
      <c r="R659" s="136"/>
      <c r="S65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659" s="136" t="str">
        <f>tbl_IO_List[[#This Row],[Instruement Tag]]&amp;"_"&amp;tbl_IO_List[[#This Row],[I/O Type]]&amp;"_"&amp;tbl_IO_List[[#This Row],[IO-Point 
(Instruement)]]</f>
        <v>XV-61302_DI_2</v>
      </c>
      <c r="U659" s="136" t="s">
        <v>8</v>
      </c>
      <c r="V659" s="136">
        <f>VLOOKUP(tbl_IO_List[[#This Row],[I/O Type]],tbl_Slot_Group[],2,FALSE)</f>
        <v>1</v>
      </c>
      <c r="W659" s="136">
        <v>2</v>
      </c>
      <c r="X659" s="136" t="str">
        <f>tbl_IO_List[[#This Row],[Chassis]]&amp;"S"&amp;TEXT(tbl_IO_List[[#This Row],[Slot]],"00")</f>
        <v>C4S02</v>
      </c>
      <c r="Y659" s="136" t="str">
        <f>tbl_IO_List[[#This Row],[Chassis]]&amp;"S"&amp;TEXT(tbl_IO_List[[#This Row],[Slot]],"00")&amp;tbl_IO_List[[#This Row],[I/O Type]]&amp;TEXT(tbl_IO_List[[#This Row],[Point]],"00")</f>
        <v>C4S02DI14</v>
      </c>
      <c r="Z659" s="136" t="str">
        <f>tbl_IO_List[[#This Row],[Chassis]]&amp;"S"&amp;TEXT(tbl_IO_List[[#This Row],[Slot]],"00")&amp;","&amp;TEXT(tbl_IO_List[[#This Row],[Point]],"00")</f>
        <v>C4S02,14</v>
      </c>
      <c r="AA659" s="136" t="str">
        <f>VLOOKUP(tbl_IO_List[[#This Row],[Column23]],tbl_RackConfig[],5,FALSE) &amp;"-"&amp;tbl_IO_List[[#This Row],[Point]]</f>
        <v>1756-IB32-14</v>
      </c>
      <c r="AB659" s="136"/>
      <c r="AC659" s="136"/>
      <c r="AD659" s="136" t="str">
        <f>tbl_IO_List[[#This Row],[I/O Type]]</f>
        <v>DI</v>
      </c>
      <c r="AE659" s="136" t="s">
        <v>1335</v>
      </c>
      <c r="AF659" s="136">
        <v>2</v>
      </c>
      <c r="AG659" s="136">
        <v>14</v>
      </c>
      <c r="AH659" s="136"/>
      <c r="AI659" s="136"/>
      <c r="AJ659" s="136">
        <v>2</v>
      </c>
      <c r="AK659" s="136">
        <v>1</v>
      </c>
      <c r="AL659" s="136">
        <v>0</v>
      </c>
      <c r="AM659" s="136">
        <v>0</v>
      </c>
      <c r="AN659" s="136">
        <v>0</v>
      </c>
      <c r="AO659" s="136"/>
      <c r="AP659" s="143" t="str">
        <f>VLOOKUP(tbl_IO_List[[#This Row],[Instruement Tag]],tbl_Instruement_List[],14,FALSE)</f>
        <v>24 VDC energized</v>
      </c>
      <c r="AQ659" s="143" t="str">
        <f>tbl_IO_List[[#This Row],[Chassis]]&amp;"S"&amp;tbl_IO_List[[#This Row],[Slot]]&amp;"-"&amp;tbl_IO_List[[#This Row],[Front Terminal Number]]</f>
        <v>C4S2-</v>
      </c>
      <c r="AR659" s="143"/>
      <c r="AS659" s="136" t="str">
        <f>tbl_IO_List[[#This Row],[Terminal Tagging]]&amp;"-"&amp;tbl_IO_List[[#This Row],[Point-Count]]</f>
        <v>-</v>
      </c>
      <c r="AT659" s="136" t="str">
        <f>tbl_IO_List[[#This Row],[Front Terminal Tagging]]&amp;"/"&amp;tbl_IO_List[[#This Row],[Terminal Tagging-Item]]</f>
        <v>C4S2-/-</v>
      </c>
      <c r="AU659" s="136" t="str">
        <f>tbl_IO_List[[#This Row],[Terminal Tagging-Item]]&amp;"/"&amp;tbl_IO_List[[#This Row],[Front Terminal Tagging]]</f>
        <v>-/C4S2-</v>
      </c>
    </row>
    <row r="660" spans="1:47" hidden="1">
      <c r="A660" s="147" t="s">
        <v>1371</v>
      </c>
      <c r="B660" s="136" t="s">
        <v>335</v>
      </c>
      <c r="C660" s="136" t="str">
        <f>tbl_IO_List[[#This Row],[Column3]]</f>
        <v>C4S02,15</v>
      </c>
      <c r="D660" s="136" t="str">
        <f>tbl_IO_List[[#This Row],[Card]]</f>
        <v>1756-IB32-15</v>
      </c>
      <c r="E660" s="136" t="s">
        <v>1366</v>
      </c>
      <c r="F660" s="136" t="str">
        <f>tbl_IO_List[[#This Row],[Column23]]&amp;"-" &amp;tbl_IO_List[[#This Row],[Column52]]</f>
        <v>C4S02-X1</v>
      </c>
      <c r="G660" s="136" t="str">
        <f>tbl_IO_List[[#This Row],[PLC_Tag]]</f>
        <v>XV-61303_DI_1</v>
      </c>
      <c r="H660" s="136"/>
      <c r="I660" s="136" t="str">
        <f>VLOOKUP(tbl_IO_List[[#This Row],[Destination]],tbl_Junction[],2,FALSE)</f>
        <v>Packing Tower 2th Floor</v>
      </c>
      <c r="J660" s="136" t="s">
        <v>335</v>
      </c>
      <c r="K660" s="136" t="s">
        <v>66</v>
      </c>
      <c r="L660" s="136" t="s">
        <v>358</v>
      </c>
      <c r="M660" s="136">
        <f>VLOOKUP(tbl_IO_List[[#This Row],[Instruement Tag]],tbl_Instruement_List[],2,FALSE)</f>
        <v>0</v>
      </c>
      <c r="N660" s="136" t="s">
        <v>24</v>
      </c>
      <c r="O660" s="136" t="s">
        <v>356</v>
      </c>
      <c r="P660" s="136" t="s">
        <v>357</v>
      </c>
      <c r="Q660" s="136" t="str">
        <f>VLOOKUP(tbl_IO_List[[#This Row],[Instruement Tag]],tbl_Instruement_List[],6,FALSE)</f>
        <v>Dust collector feed from packer</v>
      </c>
      <c r="R660" s="136"/>
      <c r="S66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660" s="136" t="str">
        <f>tbl_IO_List[[#This Row],[Instruement Tag]]&amp;"_"&amp;tbl_IO_List[[#This Row],[I/O Type]]&amp;"_"&amp;tbl_IO_List[[#This Row],[IO-Point 
(Instruement)]]</f>
        <v>XV-61303_DI_1</v>
      </c>
      <c r="U660" s="136" t="s">
        <v>8</v>
      </c>
      <c r="V660" s="136">
        <f>VLOOKUP(tbl_IO_List[[#This Row],[I/O Type]],tbl_Slot_Group[],2,FALSE)</f>
        <v>1</v>
      </c>
      <c r="W660" s="136">
        <v>1</v>
      </c>
      <c r="X660" s="136" t="str">
        <f>tbl_IO_List[[#This Row],[Chassis]]&amp;"S"&amp;TEXT(tbl_IO_List[[#This Row],[Slot]],"00")</f>
        <v>C4S02</v>
      </c>
      <c r="Y660" s="136" t="str">
        <f>tbl_IO_List[[#This Row],[Chassis]]&amp;"S"&amp;TEXT(tbl_IO_List[[#This Row],[Slot]],"00")&amp;tbl_IO_List[[#This Row],[I/O Type]]&amp;TEXT(tbl_IO_List[[#This Row],[Point]],"00")</f>
        <v>C4S02DI15</v>
      </c>
      <c r="Z660" s="136" t="str">
        <f>tbl_IO_List[[#This Row],[Chassis]]&amp;"S"&amp;TEXT(tbl_IO_List[[#This Row],[Slot]],"00")&amp;","&amp;TEXT(tbl_IO_List[[#This Row],[Point]],"00")</f>
        <v>C4S02,15</v>
      </c>
      <c r="AA660" s="136" t="str">
        <f>VLOOKUP(tbl_IO_List[[#This Row],[Column23]],tbl_RackConfig[],5,FALSE) &amp;"-"&amp;tbl_IO_List[[#This Row],[Point]]</f>
        <v>1756-IB32-15</v>
      </c>
      <c r="AB660" s="136"/>
      <c r="AC660" s="136"/>
      <c r="AD660" s="136" t="str">
        <f>tbl_IO_List[[#This Row],[I/O Type]]</f>
        <v>DI</v>
      </c>
      <c r="AE660" s="136" t="s">
        <v>1335</v>
      </c>
      <c r="AF660" s="136">
        <v>2</v>
      </c>
      <c r="AG660" s="136">
        <v>15</v>
      </c>
      <c r="AH660" s="136"/>
      <c r="AI660" s="136"/>
      <c r="AJ660" s="136">
        <v>2</v>
      </c>
      <c r="AK660" s="136">
        <v>1</v>
      </c>
      <c r="AL660" s="136">
        <v>0</v>
      </c>
      <c r="AM660" s="136">
        <v>0</v>
      </c>
      <c r="AN660" s="136">
        <v>0</v>
      </c>
      <c r="AO660" s="136"/>
      <c r="AP660" s="143" t="str">
        <f>VLOOKUP(tbl_IO_List[[#This Row],[Instruement Tag]],tbl_Instruement_List[],14,FALSE)</f>
        <v>24 VDC energized</v>
      </c>
      <c r="AQ660" s="143" t="str">
        <f>tbl_IO_List[[#This Row],[Chassis]]&amp;"S"&amp;tbl_IO_List[[#This Row],[Slot]]&amp;"-"&amp;tbl_IO_List[[#This Row],[Front Terminal Number]]</f>
        <v>C4S2-</v>
      </c>
      <c r="AR660" s="143"/>
      <c r="AS660" s="136" t="str">
        <f>tbl_IO_List[[#This Row],[Terminal Tagging]]&amp;"-"&amp;tbl_IO_List[[#This Row],[Point-Count]]</f>
        <v>-</v>
      </c>
      <c r="AT660" s="136" t="str">
        <f>tbl_IO_List[[#This Row],[Front Terminal Tagging]]&amp;"/"&amp;tbl_IO_List[[#This Row],[Terminal Tagging-Item]]</f>
        <v>C4S2-/-</v>
      </c>
      <c r="AU660" s="136" t="str">
        <f>tbl_IO_List[[#This Row],[Terminal Tagging-Item]]&amp;"/"&amp;tbl_IO_List[[#This Row],[Front Terminal Tagging]]</f>
        <v>-/C4S2-</v>
      </c>
    </row>
    <row r="661" spans="1:47" hidden="1">
      <c r="A661" s="147" t="s">
        <v>1371</v>
      </c>
      <c r="B661" s="136" t="s">
        <v>335</v>
      </c>
      <c r="C661" s="136" t="str">
        <f>tbl_IO_List[[#This Row],[Column3]]</f>
        <v>C4S02,16</v>
      </c>
      <c r="D661" s="136" t="str">
        <f>tbl_IO_List[[#This Row],[Card]]</f>
        <v>1756-IB32-16</v>
      </c>
      <c r="E661" s="136" t="s">
        <v>1372</v>
      </c>
      <c r="F661" s="136" t="str">
        <f>tbl_IO_List[[#This Row],[Column23]]&amp;"-" &amp;tbl_IO_List[[#This Row],[Column52]]</f>
        <v>C4S02-X2</v>
      </c>
      <c r="G661" s="136" t="str">
        <f>tbl_IO_List[[#This Row],[PLC_Tag]]</f>
        <v>XV-61303_DI_2</v>
      </c>
      <c r="H661" s="136"/>
      <c r="I661" s="136" t="str">
        <f>VLOOKUP(tbl_IO_List[[#This Row],[Destination]],tbl_Junction[],2,FALSE)</f>
        <v>Packing Tower 2th Floor</v>
      </c>
      <c r="J661" s="136" t="s">
        <v>335</v>
      </c>
      <c r="K661" s="136" t="s">
        <v>66</v>
      </c>
      <c r="L661" s="136" t="s">
        <v>358</v>
      </c>
      <c r="M661" s="136">
        <f>VLOOKUP(tbl_IO_List[[#This Row],[Instruement Tag]],tbl_Instruement_List[],2,FALSE)</f>
        <v>0</v>
      </c>
      <c r="N661" s="136" t="s">
        <v>24</v>
      </c>
      <c r="O661" s="136" t="s">
        <v>356</v>
      </c>
      <c r="P661" s="136" t="s">
        <v>357</v>
      </c>
      <c r="Q661" s="136" t="str">
        <f>VLOOKUP(tbl_IO_List[[#This Row],[Instruement Tag]],tbl_Instruement_List[],6,FALSE)</f>
        <v>Dust collector feed from packer</v>
      </c>
      <c r="R661" s="136"/>
      <c r="S66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661" s="136" t="str">
        <f>tbl_IO_List[[#This Row],[Instruement Tag]]&amp;"_"&amp;tbl_IO_List[[#This Row],[I/O Type]]&amp;"_"&amp;tbl_IO_List[[#This Row],[IO-Point 
(Instruement)]]</f>
        <v>XV-61303_DI_2</v>
      </c>
      <c r="U661" s="136" t="s">
        <v>8</v>
      </c>
      <c r="V661" s="136">
        <f>VLOOKUP(tbl_IO_List[[#This Row],[I/O Type]],tbl_Slot_Group[],2,FALSE)</f>
        <v>1</v>
      </c>
      <c r="W661" s="136">
        <v>2</v>
      </c>
      <c r="X661" s="136" t="str">
        <f>tbl_IO_List[[#This Row],[Chassis]]&amp;"S"&amp;TEXT(tbl_IO_List[[#This Row],[Slot]],"00")</f>
        <v>C4S02</v>
      </c>
      <c r="Y661" s="136" t="str">
        <f>tbl_IO_List[[#This Row],[Chassis]]&amp;"S"&amp;TEXT(tbl_IO_List[[#This Row],[Slot]],"00")&amp;tbl_IO_List[[#This Row],[I/O Type]]&amp;TEXT(tbl_IO_List[[#This Row],[Point]],"00")</f>
        <v>C4S02DI16</v>
      </c>
      <c r="Z661" s="136" t="str">
        <f>tbl_IO_List[[#This Row],[Chassis]]&amp;"S"&amp;TEXT(tbl_IO_List[[#This Row],[Slot]],"00")&amp;","&amp;TEXT(tbl_IO_List[[#This Row],[Point]],"00")</f>
        <v>C4S02,16</v>
      </c>
      <c r="AA661" s="136" t="str">
        <f>VLOOKUP(tbl_IO_List[[#This Row],[Column23]],tbl_RackConfig[],5,FALSE) &amp;"-"&amp;tbl_IO_List[[#This Row],[Point]]</f>
        <v>1756-IB32-16</v>
      </c>
      <c r="AB661" s="136"/>
      <c r="AC661" s="136"/>
      <c r="AD661" s="136" t="str">
        <f>tbl_IO_List[[#This Row],[I/O Type]]</f>
        <v>DI</v>
      </c>
      <c r="AE661" s="136" t="s">
        <v>1335</v>
      </c>
      <c r="AF661" s="136">
        <v>2</v>
      </c>
      <c r="AG661" s="136">
        <v>16</v>
      </c>
      <c r="AH661" s="136"/>
      <c r="AI661" s="136"/>
      <c r="AJ661" s="136">
        <v>2</v>
      </c>
      <c r="AK661" s="136">
        <v>1</v>
      </c>
      <c r="AL661" s="136">
        <v>0</v>
      </c>
      <c r="AM661" s="136">
        <v>0</v>
      </c>
      <c r="AN661" s="136">
        <v>0</v>
      </c>
      <c r="AO661" s="136"/>
      <c r="AP661" s="143" t="str">
        <f>VLOOKUP(tbl_IO_List[[#This Row],[Instruement Tag]],tbl_Instruement_List[],14,FALSE)</f>
        <v>24 VDC energized</v>
      </c>
      <c r="AQ661" s="143" t="str">
        <f>tbl_IO_List[[#This Row],[Chassis]]&amp;"S"&amp;tbl_IO_List[[#This Row],[Slot]]&amp;"-"&amp;tbl_IO_List[[#This Row],[Front Terminal Number]]</f>
        <v>C4S2-</v>
      </c>
      <c r="AR661" s="143"/>
      <c r="AS661" s="136" t="str">
        <f>tbl_IO_List[[#This Row],[Terminal Tagging]]&amp;"-"&amp;tbl_IO_List[[#This Row],[Point-Count]]</f>
        <v>-</v>
      </c>
      <c r="AT661" s="136" t="str">
        <f>tbl_IO_List[[#This Row],[Front Terminal Tagging]]&amp;"/"&amp;tbl_IO_List[[#This Row],[Terminal Tagging-Item]]</f>
        <v>C4S2-/-</v>
      </c>
      <c r="AU661" s="136" t="str">
        <f>tbl_IO_List[[#This Row],[Terminal Tagging-Item]]&amp;"/"&amp;tbl_IO_List[[#This Row],[Front Terminal Tagging]]</f>
        <v>-/C4S2-</v>
      </c>
    </row>
    <row r="662" spans="1:47" hidden="1">
      <c r="A662" s="147" t="s">
        <v>1371</v>
      </c>
      <c r="B662" s="136" t="s">
        <v>335</v>
      </c>
      <c r="C662" s="136" t="str">
        <f>tbl_IO_List[[#This Row],[Column3]]</f>
        <v>C4S02,17</v>
      </c>
      <c r="D662" s="136" t="str">
        <f>tbl_IO_List[[#This Row],[Card]]</f>
        <v>1756-IB32-17</v>
      </c>
      <c r="E662" s="136" t="s">
        <v>1372</v>
      </c>
      <c r="F662" s="136" t="str">
        <f>tbl_IO_List[[#This Row],[Column23]]&amp;"-" &amp;tbl_IO_List[[#This Row],[Column52]]</f>
        <v>C4S02-X2</v>
      </c>
      <c r="G662" s="136" t="str">
        <f>tbl_IO_List[[#This Row],[PLC_Tag]]</f>
        <v>Spare_DI_0</v>
      </c>
      <c r="H662" s="136"/>
      <c r="I662" s="136" t="str">
        <f>VLOOKUP(tbl_IO_List[[#This Row],[Destination]],tbl_Junction[],2,FALSE)</f>
        <v>Packing Tower 2th Floor</v>
      </c>
      <c r="J662" s="136"/>
      <c r="K662" s="136"/>
      <c r="L662" s="136" t="s">
        <v>411</v>
      </c>
      <c r="M662" s="136" t="e">
        <f>VLOOKUP(tbl_IO_List[[#This Row],[Instruement Tag]],tbl_Instruement_List[],2,FALSE)</f>
        <v>#N/A</v>
      </c>
      <c r="N662" s="136"/>
      <c r="O662" s="136"/>
      <c r="P662" s="136"/>
      <c r="Q662" s="136" t="e">
        <f>VLOOKUP(tbl_IO_List[[#This Row],[Instruement Tag]],tbl_Instruement_List[],6,FALSE)</f>
        <v>#N/A</v>
      </c>
      <c r="R662" s="136"/>
      <c r="S66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662" s="136" t="str">
        <f>tbl_IO_List[[#This Row],[Instruement Tag]]&amp;"_"&amp;tbl_IO_List[[#This Row],[I/O Type]]&amp;"_"&amp;tbl_IO_List[[#This Row],[IO-Point 
(Instruement)]]</f>
        <v>Spare_DI_0</v>
      </c>
      <c r="U662" s="136" t="s">
        <v>8</v>
      </c>
      <c r="V662" s="136">
        <f>VLOOKUP(tbl_IO_List[[#This Row],[I/O Type]],tbl_Slot_Group[],2,FALSE)</f>
        <v>1</v>
      </c>
      <c r="W662" s="136">
        <v>0</v>
      </c>
      <c r="X662" s="136" t="str">
        <f>tbl_IO_List[[#This Row],[Chassis]]&amp;"S"&amp;TEXT(tbl_IO_List[[#This Row],[Slot]],"00")</f>
        <v>C4S02</v>
      </c>
      <c r="Y662" s="136" t="str">
        <f>tbl_IO_List[[#This Row],[Chassis]]&amp;"S"&amp;TEXT(tbl_IO_List[[#This Row],[Slot]],"00")&amp;tbl_IO_List[[#This Row],[I/O Type]]&amp;TEXT(tbl_IO_List[[#This Row],[Point]],"00")</f>
        <v>C4S02DI17</v>
      </c>
      <c r="Z662" s="136" t="str">
        <f>tbl_IO_List[[#This Row],[Chassis]]&amp;"S"&amp;TEXT(tbl_IO_List[[#This Row],[Slot]],"00")&amp;","&amp;TEXT(tbl_IO_List[[#This Row],[Point]],"00")</f>
        <v>C4S02,17</v>
      </c>
      <c r="AA662" s="136" t="str">
        <f>VLOOKUP(tbl_IO_List[[#This Row],[Column23]],tbl_RackConfig[],5,FALSE) &amp;"-"&amp;tbl_IO_List[[#This Row],[Point]]</f>
        <v>1756-IB32-17</v>
      </c>
      <c r="AB662" s="136"/>
      <c r="AC662" s="136"/>
      <c r="AD662" s="136" t="str">
        <f>tbl_IO_List[[#This Row],[I/O Type]]</f>
        <v>DI</v>
      </c>
      <c r="AE662" s="136" t="s">
        <v>1335</v>
      </c>
      <c r="AF662" s="136">
        <v>2</v>
      </c>
      <c r="AG662" s="136">
        <v>17</v>
      </c>
      <c r="AH662" s="136"/>
      <c r="AI662" s="136"/>
      <c r="AJ662" s="136">
        <v>1</v>
      </c>
      <c r="AK662" s="136">
        <v>0</v>
      </c>
      <c r="AL662" s="136">
        <v>0</v>
      </c>
      <c r="AM662" s="136">
        <v>0</v>
      </c>
      <c r="AN662" s="136">
        <v>0</v>
      </c>
      <c r="AO662" s="136"/>
      <c r="AP662" s="143" t="e">
        <f>VLOOKUP(tbl_IO_List[[#This Row],[Instruement Tag]],tbl_Instruement_List[],14,FALSE)</f>
        <v>#N/A</v>
      </c>
      <c r="AQ662" s="143" t="str">
        <f>tbl_IO_List[[#This Row],[Chassis]]&amp;"S"&amp;tbl_IO_List[[#This Row],[Slot]]&amp;"-"&amp;tbl_IO_List[[#This Row],[Front Terminal Number]]</f>
        <v>C4S2-</v>
      </c>
      <c r="AR662" s="143"/>
      <c r="AS662" s="136" t="str">
        <f>tbl_IO_List[[#This Row],[Terminal Tagging]]&amp;"-"&amp;tbl_IO_List[[#This Row],[Point-Count]]</f>
        <v>-</v>
      </c>
      <c r="AT662" s="136" t="str">
        <f>tbl_IO_List[[#This Row],[Front Terminal Tagging]]&amp;"/"&amp;tbl_IO_List[[#This Row],[Terminal Tagging-Item]]</f>
        <v>C4S2-/-</v>
      </c>
      <c r="AU662" s="136" t="str">
        <f>tbl_IO_List[[#This Row],[Terminal Tagging-Item]]&amp;"/"&amp;tbl_IO_List[[#This Row],[Front Terminal Tagging]]</f>
        <v>-/C4S2-</v>
      </c>
    </row>
    <row r="663" spans="1:47" hidden="1">
      <c r="A663" s="147" t="s">
        <v>1371</v>
      </c>
      <c r="B663" s="136" t="s">
        <v>335</v>
      </c>
      <c r="C663" s="136" t="str">
        <f>tbl_IO_List[[#This Row],[Column3]]</f>
        <v>C4S02,18</v>
      </c>
      <c r="D663" s="136" t="str">
        <f>tbl_IO_List[[#This Row],[Card]]</f>
        <v>1756-IB32-18</v>
      </c>
      <c r="E663" s="136" t="s">
        <v>1372</v>
      </c>
      <c r="F663" s="136" t="str">
        <f>tbl_IO_List[[#This Row],[Column23]]&amp;"-" &amp;tbl_IO_List[[#This Row],[Column52]]</f>
        <v>C4S02-X2</v>
      </c>
      <c r="G663" s="136" t="str">
        <f>tbl_IO_List[[#This Row],[PLC_Tag]]</f>
        <v>Spare_DI_0</v>
      </c>
      <c r="H663" s="136"/>
      <c r="I663" s="136" t="str">
        <f>VLOOKUP(tbl_IO_List[[#This Row],[Destination]],tbl_Junction[],2,FALSE)</f>
        <v>Packing Tower 2th Floor</v>
      </c>
      <c r="J663" s="136"/>
      <c r="K663" s="136"/>
      <c r="L663" s="136" t="s">
        <v>411</v>
      </c>
      <c r="M663" s="136" t="e">
        <f>VLOOKUP(tbl_IO_List[[#This Row],[Instruement Tag]],tbl_Instruement_List[],2,FALSE)</f>
        <v>#N/A</v>
      </c>
      <c r="N663" s="136"/>
      <c r="O663" s="136"/>
      <c r="P663" s="136"/>
      <c r="Q663" s="136" t="e">
        <f>VLOOKUP(tbl_IO_List[[#This Row],[Instruement Tag]],tbl_Instruement_List[],6,FALSE)</f>
        <v>#N/A</v>
      </c>
      <c r="R663" s="136"/>
      <c r="S66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663" s="136" t="str">
        <f>tbl_IO_List[[#This Row],[Instruement Tag]]&amp;"_"&amp;tbl_IO_List[[#This Row],[I/O Type]]&amp;"_"&amp;tbl_IO_List[[#This Row],[IO-Point 
(Instruement)]]</f>
        <v>Spare_DI_0</v>
      </c>
      <c r="U663" s="136" t="s">
        <v>8</v>
      </c>
      <c r="V663" s="136">
        <f>VLOOKUP(tbl_IO_List[[#This Row],[I/O Type]],tbl_Slot_Group[],2,FALSE)</f>
        <v>1</v>
      </c>
      <c r="W663" s="136">
        <v>0</v>
      </c>
      <c r="X663" s="136" t="str">
        <f>tbl_IO_List[[#This Row],[Chassis]]&amp;"S"&amp;TEXT(tbl_IO_List[[#This Row],[Slot]],"00")</f>
        <v>C4S02</v>
      </c>
      <c r="Y663" s="136" t="str">
        <f>tbl_IO_List[[#This Row],[Chassis]]&amp;"S"&amp;TEXT(tbl_IO_List[[#This Row],[Slot]],"00")&amp;tbl_IO_List[[#This Row],[I/O Type]]&amp;TEXT(tbl_IO_List[[#This Row],[Point]],"00")</f>
        <v>C4S02DI18</v>
      </c>
      <c r="Z663" s="136" t="str">
        <f>tbl_IO_List[[#This Row],[Chassis]]&amp;"S"&amp;TEXT(tbl_IO_List[[#This Row],[Slot]],"00")&amp;","&amp;TEXT(tbl_IO_List[[#This Row],[Point]],"00")</f>
        <v>C4S02,18</v>
      </c>
      <c r="AA663" s="136" t="str">
        <f>VLOOKUP(tbl_IO_List[[#This Row],[Column23]],tbl_RackConfig[],5,FALSE) &amp;"-"&amp;tbl_IO_List[[#This Row],[Point]]</f>
        <v>1756-IB32-18</v>
      </c>
      <c r="AB663" s="136"/>
      <c r="AC663" s="136"/>
      <c r="AD663" s="136" t="str">
        <f>tbl_IO_List[[#This Row],[I/O Type]]</f>
        <v>DI</v>
      </c>
      <c r="AE663" s="136" t="s">
        <v>1335</v>
      </c>
      <c r="AF663" s="136">
        <v>2</v>
      </c>
      <c r="AG663" s="136">
        <v>18</v>
      </c>
      <c r="AH663" s="136"/>
      <c r="AI663" s="136"/>
      <c r="AJ663" s="136">
        <v>1</v>
      </c>
      <c r="AK663" s="136">
        <v>0</v>
      </c>
      <c r="AL663" s="136">
        <v>0</v>
      </c>
      <c r="AM663" s="136">
        <v>0</v>
      </c>
      <c r="AN663" s="136">
        <v>0</v>
      </c>
      <c r="AO663" s="136"/>
      <c r="AP663" s="143" t="e">
        <f>VLOOKUP(tbl_IO_List[[#This Row],[Instruement Tag]],tbl_Instruement_List[],14,FALSE)</f>
        <v>#N/A</v>
      </c>
      <c r="AQ663" s="143" t="str">
        <f>tbl_IO_List[[#This Row],[Chassis]]&amp;"S"&amp;tbl_IO_List[[#This Row],[Slot]]&amp;"-"&amp;tbl_IO_List[[#This Row],[Front Terminal Number]]</f>
        <v>C4S2-</v>
      </c>
      <c r="AR663" s="143"/>
      <c r="AS663" s="136" t="str">
        <f>tbl_IO_List[[#This Row],[Terminal Tagging]]&amp;"-"&amp;tbl_IO_List[[#This Row],[Point-Count]]</f>
        <v>-</v>
      </c>
      <c r="AT663" s="136" t="str">
        <f>tbl_IO_List[[#This Row],[Front Terminal Tagging]]&amp;"/"&amp;tbl_IO_List[[#This Row],[Terminal Tagging-Item]]</f>
        <v>C4S2-/-</v>
      </c>
      <c r="AU663" s="136" t="str">
        <f>tbl_IO_List[[#This Row],[Terminal Tagging-Item]]&amp;"/"&amp;tbl_IO_List[[#This Row],[Front Terminal Tagging]]</f>
        <v>-/C4S2-</v>
      </c>
    </row>
    <row r="664" spans="1:47" hidden="1">
      <c r="A664" s="147" t="s">
        <v>1371</v>
      </c>
      <c r="B664" s="136" t="s">
        <v>335</v>
      </c>
      <c r="C664" s="136" t="str">
        <f>tbl_IO_List[[#This Row],[Column3]]</f>
        <v>C4S02,19</v>
      </c>
      <c r="D664" s="136" t="str">
        <f>tbl_IO_List[[#This Row],[Card]]</f>
        <v>1756-IB32-19</v>
      </c>
      <c r="E664" s="136" t="s">
        <v>1372</v>
      </c>
      <c r="F664" s="136" t="str">
        <f>tbl_IO_List[[#This Row],[Column23]]&amp;"-" &amp;tbl_IO_List[[#This Row],[Column52]]</f>
        <v>C4S02-X2</v>
      </c>
      <c r="G664" s="136" t="str">
        <f>tbl_IO_List[[#This Row],[PLC_Tag]]</f>
        <v>Spare_DI_0</v>
      </c>
      <c r="H664" s="136"/>
      <c r="I664" s="136" t="str">
        <f>VLOOKUP(tbl_IO_List[[#This Row],[Destination]],tbl_Junction[],2,FALSE)</f>
        <v>Packing Tower 2th Floor</v>
      </c>
      <c r="J664" s="136"/>
      <c r="K664" s="136"/>
      <c r="L664" s="136" t="s">
        <v>411</v>
      </c>
      <c r="M664" s="136" t="e">
        <f>VLOOKUP(tbl_IO_List[[#This Row],[Instruement Tag]],tbl_Instruement_List[],2,FALSE)</f>
        <v>#N/A</v>
      </c>
      <c r="N664" s="136"/>
      <c r="O664" s="136"/>
      <c r="P664" s="136"/>
      <c r="Q664" s="136" t="e">
        <f>VLOOKUP(tbl_IO_List[[#This Row],[Instruement Tag]],tbl_Instruement_List[],6,FALSE)</f>
        <v>#N/A</v>
      </c>
      <c r="R664" s="136"/>
      <c r="S66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664" s="136" t="str">
        <f>tbl_IO_List[[#This Row],[Instruement Tag]]&amp;"_"&amp;tbl_IO_List[[#This Row],[I/O Type]]&amp;"_"&amp;tbl_IO_List[[#This Row],[IO-Point 
(Instruement)]]</f>
        <v>Spare_DI_0</v>
      </c>
      <c r="U664" s="136" t="s">
        <v>8</v>
      </c>
      <c r="V664" s="136">
        <f>VLOOKUP(tbl_IO_List[[#This Row],[I/O Type]],tbl_Slot_Group[],2,FALSE)</f>
        <v>1</v>
      </c>
      <c r="W664" s="136">
        <v>0</v>
      </c>
      <c r="X664" s="136" t="str">
        <f>tbl_IO_List[[#This Row],[Chassis]]&amp;"S"&amp;TEXT(tbl_IO_List[[#This Row],[Slot]],"00")</f>
        <v>C4S02</v>
      </c>
      <c r="Y664" s="136" t="str">
        <f>tbl_IO_List[[#This Row],[Chassis]]&amp;"S"&amp;TEXT(tbl_IO_List[[#This Row],[Slot]],"00")&amp;tbl_IO_List[[#This Row],[I/O Type]]&amp;TEXT(tbl_IO_List[[#This Row],[Point]],"00")</f>
        <v>C4S02DI19</v>
      </c>
      <c r="Z664" s="136" t="str">
        <f>tbl_IO_List[[#This Row],[Chassis]]&amp;"S"&amp;TEXT(tbl_IO_List[[#This Row],[Slot]],"00")&amp;","&amp;TEXT(tbl_IO_List[[#This Row],[Point]],"00")</f>
        <v>C4S02,19</v>
      </c>
      <c r="AA664" s="136" t="str">
        <f>VLOOKUP(tbl_IO_List[[#This Row],[Column23]],tbl_RackConfig[],5,FALSE) &amp;"-"&amp;tbl_IO_List[[#This Row],[Point]]</f>
        <v>1756-IB32-19</v>
      </c>
      <c r="AB664" s="136"/>
      <c r="AC664" s="136"/>
      <c r="AD664" s="136" t="str">
        <f>tbl_IO_List[[#This Row],[I/O Type]]</f>
        <v>DI</v>
      </c>
      <c r="AE664" s="136" t="s">
        <v>1335</v>
      </c>
      <c r="AF664" s="136">
        <v>2</v>
      </c>
      <c r="AG664" s="136">
        <v>19</v>
      </c>
      <c r="AH664" s="136"/>
      <c r="AI664" s="136"/>
      <c r="AJ664" s="136">
        <v>1</v>
      </c>
      <c r="AK664" s="136">
        <v>0</v>
      </c>
      <c r="AL664" s="136">
        <v>0</v>
      </c>
      <c r="AM664" s="136">
        <v>0</v>
      </c>
      <c r="AN664" s="136">
        <v>0</v>
      </c>
      <c r="AO664" s="136"/>
      <c r="AP664" s="143" t="e">
        <f>VLOOKUP(tbl_IO_List[[#This Row],[Instruement Tag]],tbl_Instruement_List[],14,FALSE)</f>
        <v>#N/A</v>
      </c>
      <c r="AQ664" s="143" t="str">
        <f>tbl_IO_List[[#This Row],[Chassis]]&amp;"S"&amp;tbl_IO_List[[#This Row],[Slot]]&amp;"-"&amp;tbl_IO_List[[#This Row],[Front Terminal Number]]</f>
        <v>C4S2-</v>
      </c>
      <c r="AR664" s="143"/>
      <c r="AS664" s="136" t="str">
        <f>tbl_IO_List[[#This Row],[Terminal Tagging]]&amp;"-"&amp;tbl_IO_List[[#This Row],[Point-Count]]</f>
        <v>-</v>
      </c>
      <c r="AT664" s="136" t="str">
        <f>tbl_IO_List[[#This Row],[Front Terminal Tagging]]&amp;"/"&amp;tbl_IO_List[[#This Row],[Terminal Tagging-Item]]</f>
        <v>C4S2-/-</v>
      </c>
      <c r="AU664" s="136" t="str">
        <f>tbl_IO_List[[#This Row],[Terminal Tagging-Item]]&amp;"/"&amp;tbl_IO_List[[#This Row],[Front Terminal Tagging]]</f>
        <v>-/C4S2-</v>
      </c>
    </row>
    <row r="665" spans="1:47" hidden="1">
      <c r="A665" s="147" t="s">
        <v>1371</v>
      </c>
      <c r="B665" s="136" t="s">
        <v>335</v>
      </c>
      <c r="C665" s="136" t="str">
        <f>tbl_IO_List[[#This Row],[Column3]]</f>
        <v>C4S02,20</v>
      </c>
      <c r="D665" s="136" t="str">
        <f>tbl_IO_List[[#This Row],[Card]]</f>
        <v>1756-IB32-20</v>
      </c>
      <c r="E665" s="136" t="s">
        <v>1372</v>
      </c>
      <c r="F665" s="136" t="str">
        <f>tbl_IO_List[[#This Row],[Column23]]&amp;"-" &amp;tbl_IO_List[[#This Row],[Column52]]</f>
        <v>C4S02-X2</v>
      </c>
      <c r="G665" s="136" t="str">
        <f>tbl_IO_List[[#This Row],[PLC_Tag]]</f>
        <v>Spare_DI_0</v>
      </c>
      <c r="H665" s="136"/>
      <c r="I665" s="136" t="str">
        <f>VLOOKUP(tbl_IO_List[[#This Row],[Destination]],tbl_Junction[],2,FALSE)</f>
        <v>Packing Tower 2th Floor</v>
      </c>
      <c r="J665" s="136"/>
      <c r="K665" s="136"/>
      <c r="L665" s="136" t="s">
        <v>411</v>
      </c>
      <c r="M665" s="136" t="e">
        <f>VLOOKUP(tbl_IO_List[[#This Row],[Instruement Tag]],tbl_Instruement_List[],2,FALSE)</f>
        <v>#N/A</v>
      </c>
      <c r="N665" s="136"/>
      <c r="O665" s="136"/>
      <c r="P665" s="136"/>
      <c r="Q665" s="136" t="e">
        <f>VLOOKUP(tbl_IO_List[[#This Row],[Instruement Tag]],tbl_Instruement_List[],6,FALSE)</f>
        <v>#N/A</v>
      </c>
      <c r="R665" s="136"/>
      <c r="S66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665" s="136" t="str">
        <f>tbl_IO_List[[#This Row],[Instruement Tag]]&amp;"_"&amp;tbl_IO_List[[#This Row],[I/O Type]]&amp;"_"&amp;tbl_IO_List[[#This Row],[IO-Point 
(Instruement)]]</f>
        <v>Spare_DI_0</v>
      </c>
      <c r="U665" s="136" t="s">
        <v>8</v>
      </c>
      <c r="V665" s="136">
        <f>VLOOKUP(tbl_IO_List[[#This Row],[I/O Type]],tbl_Slot_Group[],2,FALSE)</f>
        <v>1</v>
      </c>
      <c r="W665" s="136">
        <v>0</v>
      </c>
      <c r="X665" s="136" t="str">
        <f>tbl_IO_List[[#This Row],[Chassis]]&amp;"S"&amp;TEXT(tbl_IO_List[[#This Row],[Slot]],"00")</f>
        <v>C4S02</v>
      </c>
      <c r="Y665" s="136" t="str">
        <f>tbl_IO_List[[#This Row],[Chassis]]&amp;"S"&amp;TEXT(tbl_IO_List[[#This Row],[Slot]],"00")&amp;tbl_IO_List[[#This Row],[I/O Type]]&amp;TEXT(tbl_IO_List[[#This Row],[Point]],"00")</f>
        <v>C4S02DI20</v>
      </c>
      <c r="Z665" s="136" t="str">
        <f>tbl_IO_List[[#This Row],[Chassis]]&amp;"S"&amp;TEXT(tbl_IO_List[[#This Row],[Slot]],"00")&amp;","&amp;TEXT(tbl_IO_List[[#This Row],[Point]],"00")</f>
        <v>C4S02,20</v>
      </c>
      <c r="AA665" s="136" t="str">
        <f>VLOOKUP(tbl_IO_List[[#This Row],[Column23]],tbl_RackConfig[],5,FALSE) &amp;"-"&amp;tbl_IO_List[[#This Row],[Point]]</f>
        <v>1756-IB32-20</v>
      </c>
      <c r="AB665" s="136"/>
      <c r="AC665" s="136"/>
      <c r="AD665" s="136" t="str">
        <f>tbl_IO_List[[#This Row],[I/O Type]]</f>
        <v>DI</v>
      </c>
      <c r="AE665" s="136" t="s">
        <v>1335</v>
      </c>
      <c r="AF665" s="136">
        <v>2</v>
      </c>
      <c r="AG665" s="136">
        <v>20</v>
      </c>
      <c r="AH665" s="136"/>
      <c r="AI665" s="136"/>
      <c r="AJ665" s="136">
        <v>1</v>
      </c>
      <c r="AK665" s="136">
        <v>0</v>
      </c>
      <c r="AL665" s="136">
        <v>0</v>
      </c>
      <c r="AM665" s="136">
        <v>0</v>
      </c>
      <c r="AN665" s="136">
        <v>0</v>
      </c>
      <c r="AO665" s="136"/>
      <c r="AP665" s="143" t="e">
        <f>VLOOKUP(tbl_IO_List[[#This Row],[Instruement Tag]],tbl_Instruement_List[],14,FALSE)</f>
        <v>#N/A</v>
      </c>
      <c r="AQ665" s="143" t="str">
        <f>tbl_IO_List[[#This Row],[Chassis]]&amp;"S"&amp;tbl_IO_List[[#This Row],[Slot]]&amp;"-"&amp;tbl_IO_List[[#This Row],[Front Terminal Number]]</f>
        <v>C4S2-</v>
      </c>
      <c r="AR665" s="143"/>
      <c r="AS665" s="136" t="str">
        <f>tbl_IO_List[[#This Row],[Terminal Tagging]]&amp;"-"&amp;tbl_IO_List[[#This Row],[Point-Count]]</f>
        <v>-</v>
      </c>
      <c r="AT665" s="136" t="str">
        <f>tbl_IO_List[[#This Row],[Front Terminal Tagging]]&amp;"/"&amp;tbl_IO_List[[#This Row],[Terminal Tagging-Item]]</f>
        <v>C4S2-/-</v>
      </c>
      <c r="AU665" s="136" t="str">
        <f>tbl_IO_List[[#This Row],[Terminal Tagging-Item]]&amp;"/"&amp;tbl_IO_List[[#This Row],[Front Terminal Tagging]]</f>
        <v>-/C4S2-</v>
      </c>
    </row>
    <row r="666" spans="1:47" hidden="1">
      <c r="A666" s="147" t="s">
        <v>1371</v>
      </c>
      <c r="B666" s="136" t="s">
        <v>335</v>
      </c>
      <c r="C666" s="136" t="str">
        <f>tbl_IO_List[[#This Row],[Column3]]</f>
        <v>C4S02,21</v>
      </c>
      <c r="D666" s="136" t="str">
        <f>tbl_IO_List[[#This Row],[Card]]</f>
        <v>1756-IB32-21</v>
      </c>
      <c r="E666" s="136" t="s">
        <v>1372</v>
      </c>
      <c r="F666" s="136" t="str">
        <f>tbl_IO_List[[#This Row],[Column23]]&amp;"-" &amp;tbl_IO_List[[#This Row],[Column52]]</f>
        <v>C4S02-X2</v>
      </c>
      <c r="G666" s="136" t="str">
        <f>tbl_IO_List[[#This Row],[PLC_Tag]]</f>
        <v>Spare_DI_0</v>
      </c>
      <c r="H666" s="136"/>
      <c r="I666" s="136" t="str">
        <f>VLOOKUP(tbl_IO_List[[#This Row],[Destination]],tbl_Junction[],2,FALSE)</f>
        <v>Packing Tower 2th Floor</v>
      </c>
      <c r="J666" s="136"/>
      <c r="K666" s="136"/>
      <c r="L666" s="136" t="s">
        <v>411</v>
      </c>
      <c r="M666" s="136" t="e">
        <f>VLOOKUP(tbl_IO_List[[#This Row],[Instruement Tag]],tbl_Instruement_List[],2,FALSE)</f>
        <v>#N/A</v>
      </c>
      <c r="N666" s="136"/>
      <c r="O666" s="136"/>
      <c r="P666" s="136"/>
      <c r="Q666" s="136" t="e">
        <f>VLOOKUP(tbl_IO_List[[#This Row],[Instruement Tag]],tbl_Instruement_List[],6,FALSE)</f>
        <v>#N/A</v>
      </c>
      <c r="R666" s="136"/>
      <c r="S66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666" s="136" t="str">
        <f>tbl_IO_List[[#This Row],[Instruement Tag]]&amp;"_"&amp;tbl_IO_List[[#This Row],[I/O Type]]&amp;"_"&amp;tbl_IO_List[[#This Row],[IO-Point 
(Instruement)]]</f>
        <v>Spare_DI_0</v>
      </c>
      <c r="U666" s="136" t="s">
        <v>8</v>
      </c>
      <c r="V666" s="136">
        <f>VLOOKUP(tbl_IO_List[[#This Row],[I/O Type]],tbl_Slot_Group[],2,FALSE)</f>
        <v>1</v>
      </c>
      <c r="W666" s="136">
        <v>0</v>
      </c>
      <c r="X666" s="136" t="str">
        <f>tbl_IO_List[[#This Row],[Chassis]]&amp;"S"&amp;TEXT(tbl_IO_List[[#This Row],[Slot]],"00")</f>
        <v>C4S02</v>
      </c>
      <c r="Y666" s="136" t="str">
        <f>tbl_IO_List[[#This Row],[Chassis]]&amp;"S"&amp;TEXT(tbl_IO_List[[#This Row],[Slot]],"00")&amp;tbl_IO_List[[#This Row],[I/O Type]]&amp;TEXT(tbl_IO_List[[#This Row],[Point]],"00")</f>
        <v>C4S02DI21</v>
      </c>
      <c r="Z666" s="136" t="str">
        <f>tbl_IO_List[[#This Row],[Chassis]]&amp;"S"&amp;TEXT(tbl_IO_List[[#This Row],[Slot]],"00")&amp;","&amp;TEXT(tbl_IO_List[[#This Row],[Point]],"00")</f>
        <v>C4S02,21</v>
      </c>
      <c r="AA666" s="136" t="str">
        <f>VLOOKUP(tbl_IO_List[[#This Row],[Column23]],tbl_RackConfig[],5,FALSE) &amp;"-"&amp;tbl_IO_List[[#This Row],[Point]]</f>
        <v>1756-IB32-21</v>
      </c>
      <c r="AB666" s="136"/>
      <c r="AC666" s="136"/>
      <c r="AD666" s="136" t="str">
        <f>tbl_IO_List[[#This Row],[I/O Type]]</f>
        <v>DI</v>
      </c>
      <c r="AE666" s="136" t="s">
        <v>1335</v>
      </c>
      <c r="AF666" s="136">
        <v>2</v>
      </c>
      <c r="AG666" s="136">
        <v>21</v>
      </c>
      <c r="AH666" s="136"/>
      <c r="AI666" s="136"/>
      <c r="AJ666" s="136">
        <v>1</v>
      </c>
      <c r="AK666" s="136">
        <v>0</v>
      </c>
      <c r="AL666" s="136">
        <v>0</v>
      </c>
      <c r="AM666" s="136">
        <v>0</v>
      </c>
      <c r="AN666" s="136">
        <v>0</v>
      </c>
      <c r="AO666" s="136"/>
      <c r="AP666" s="143" t="e">
        <f>VLOOKUP(tbl_IO_List[[#This Row],[Instruement Tag]],tbl_Instruement_List[],14,FALSE)</f>
        <v>#N/A</v>
      </c>
      <c r="AQ666" s="143" t="str">
        <f>tbl_IO_List[[#This Row],[Chassis]]&amp;"S"&amp;tbl_IO_List[[#This Row],[Slot]]&amp;"-"&amp;tbl_IO_List[[#This Row],[Front Terminal Number]]</f>
        <v>C4S2-</v>
      </c>
      <c r="AR666" s="143"/>
      <c r="AS666" s="136" t="str">
        <f>tbl_IO_List[[#This Row],[Terminal Tagging]]&amp;"-"&amp;tbl_IO_List[[#This Row],[Point-Count]]</f>
        <v>-</v>
      </c>
      <c r="AT666" s="136" t="str">
        <f>tbl_IO_List[[#This Row],[Front Terminal Tagging]]&amp;"/"&amp;tbl_IO_List[[#This Row],[Terminal Tagging-Item]]</f>
        <v>C4S2-/-</v>
      </c>
      <c r="AU666" s="136" t="str">
        <f>tbl_IO_List[[#This Row],[Terminal Tagging-Item]]&amp;"/"&amp;tbl_IO_List[[#This Row],[Front Terminal Tagging]]</f>
        <v>-/C4S2-</v>
      </c>
    </row>
    <row r="667" spans="1:47" hidden="1">
      <c r="A667" s="147" t="s">
        <v>1371</v>
      </c>
      <c r="B667" s="136" t="s">
        <v>335</v>
      </c>
      <c r="C667" s="136" t="str">
        <f>tbl_IO_List[[#This Row],[Column3]]</f>
        <v>C4S02,22</v>
      </c>
      <c r="D667" s="136" t="str">
        <f>tbl_IO_List[[#This Row],[Card]]</f>
        <v>1756-IB32-22</v>
      </c>
      <c r="E667" s="136" t="s">
        <v>1372</v>
      </c>
      <c r="F667" s="136" t="str">
        <f>tbl_IO_List[[#This Row],[Column23]]&amp;"-" &amp;tbl_IO_List[[#This Row],[Column52]]</f>
        <v>C4S02-X2</v>
      </c>
      <c r="G667" s="136" t="str">
        <f>tbl_IO_List[[#This Row],[PLC_Tag]]</f>
        <v>Spare_DI_0</v>
      </c>
      <c r="H667" s="136"/>
      <c r="I667" s="136" t="str">
        <f>VLOOKUP(tbl_IO_List[[#This Row],[Destination]],tbl_Junction[],2,FALSE)</f>
        <v>Packing Tower 2th Floor</v>
      </c>
      <c r="J667" s="136"/>
      <c r="K667" s="136"/>
      <c r="L667" s="136" t="s">
        <v>411</v>
      </c>
      <c r="M667" s="136" t="e">
        <f>VLOOKUP(tbl_IO_List[[#This Row],[Instruement Tag]],tbl_Instruement_List[],2,FALSE)</f>
        <v>#N/A</v>
      </c>
      <c r="N667" s="136"/>
      <c r="O667" s="136"/>
      <c r="P667" s="136"/>
      <c r="Q667" s="136" t="e">
        <f>VLOOKUP(tbl_IO_List[[#This Row],[Instruement Tag]],tbl_Instruement_List[],6,FALSE)</f>
        <v>#N/A</v>
      </c>
      <c r="R667" s="136"/>
      <c r="S66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667" s="136" t="str">
        <f>tbl_IO_List[[#This Row],[Instruement Tag]]&amp;"_"&amp;tbl_IO_List[[#This Row],[I/O Type]]&amp;"_"&amp;tbl_IO_List[[#This Row],[IO-Point 
(Instruement)]]</f>
        <v>Spare_DI_0</v>
      </c>
      <c r="U667" s="136" t="s">
        <v>8</v>
      </c>
      <c r="V667" s="136">
        <f>VLOOKUP(tbl_IO_List[[#This Row],[I/O Type]],tbl_Slot_Group[],2,FALSE)</f>
        <v>1</v>
      </c>
      <c r="W667" s="136">
        <v>0</v>
      </c>
      <c r="X667" s="136" t="str">
        <f>tbl_IO_List[[#This Row],[Chassis]]&amp;"S"&amp;TEXT(tbl_IO_List[[#This Row],[Slot]],"00")</f>
        <v>C4S02</v>
      </c>
      <c r="Y667" s="136" t="str">
        <f>tbl_IO_List[[#This Row],[Chassis]]&amp;"S"&amp;TEXT(tbl_IO_List[[#This Row],[Slot]],"00")&amp;tbl_IO_List[[#This Row],[I/O Type]]&amp;TEXT(tbl_IO_List[[#This Row],[Point]],"00")</f>
        <v>C4S02DI22</v>
      </c>
      <c r="Z667" s="136" t="str">
        <f>tbl_IO_List[[#This Row],[Chassis]]&amp;"S"&amp;TEXT(tbl_IO_List[[#This Row],[Slot]],"00")&amp;","&amp;TEXT(tbl_IO_List[[#This Row],[Point]],"00")</f>
        <v>C4S02,22</v>
      </c>
      <c r="AA667" s="136" t="str">
        <f>VLOOKUP(tbl_IO_List[[#This Row],[Column23]],tbl_RackConfig[],5,FALSE) &amp;"-"&amp;tbl_IO_List[[#This Row],[Point]]</f>
        <v>1756-IB32-22</v>
      </c>
      <c r="AB667" s="136"/>
      <c r="AC667" s="136"/>
      <c r="AD667" s="136" t="str">
        <f>tbl_IO_List[[#This Row],[I/O Type]]</f>
        <v>DI</v>
      </c>
      <c r="AE667" s="136" t="s">
        <v>1335</v>
      </c>
      <c r="AF667" s="136">
        <v>2</v>
      </c>
      <c r="AG667" s="136">
        <v>22</v>
      </c>
      <c r="AH667" s="136"/>
      <c r="AI667" s="136"/>
      <c r="AJ667" s="136">
        <v>1</v>
      </c>
      <c r="AK667" s="136">
        <v>0</v>
      </c>
      <c r="AL667" s="136">
        <v>0</v>
      </c>
      <c r="AM667" s="136">
        <v>0</v>
      </c>
      <c r="AN667" s="136">
        <v>0</v>
      </c>
      <c r="AO667" s="136"/>
      <c r="AP667" s="143" t="e">
        <f>VLOOKUP(tbl_IO_List[[#This Row],[Instruement Tag]],tbl_Instruement_List[],14,FALSE)</f>
        <v>#N/A</v>
      </c>
      <c r="AQ667" s="143" t="str">
        <f>tbl_IO_List[[#This Row],[Chassis]]&amp;"S"&amp;tbl_IO_List[[#This Row],[Slot]]&amp;"-"&amp;tbl_IO_List[[#This Row],[Front Terminal Number]]</f>
        <v>C4S2-</v>
      </c>
      <c r="AR667" s="143"/>
      <c r="AS667" s="136" t="str">
        <f>tbl_IO_List[[#This Row],[Terminal Tagging]]&amp;"-"&amp;tbl_IO_List[[#This Row],[Point-Count]]</f>
        <v>-</v>
      </c>
      <c r="AT667" s="136" t="str">
        <f>tbl_IO_List[[#This Row],[Front Terminal Tagging]]&amp;"/"&amp;tbl_IO_List[[#This Row],[Terminal Tagging-Item]]</f>
        <v>C4S2-/-</v>
      </c>
      <c r="AU667" s="136" t="str">
        <f>tbl_IO_List[[#This Row],[Terminal Tagging-Item]]&amp;"/"&amp;tbl_IO_List[[#This Row],[Front Terminal Tagging]]</f>
        <v>-/C4S2-</v>
      </c>
    </row>
    <row r="668" spans="1:47" hidden="1">
      <c r="A668" s="147" t="s">
        <v>1371</v>
      </c>
      <c r="B668" s="136" t="s">
        <v>335</v>
      </c>
      <c r="C668" s="136" t="str">
        <f>tbl_IO_List[[#This Row],[Column3]]</f>
        <v>C4S02,23</v>
      </c>
      <c r="D668" s="136" t="str">
        <f>tbl_IO_List[[#This Row],[Card]]</f>
        <v>1756-IB32-23</v>
      </c>
      <c r="E668" s="136" t="s">
        <v>1372</v>
      </c>
      <c r="F668" s="136" t="str">
        <f>tbl_IO_List[[#This Row],[Column23]]&amp;"-" &amp;tbl_IO_List[[#This Row],[Column52]]</f>
        <v>C4S02-X2</v>
      </c>
      <c r="G668" s="136" t="str">
        <f>tbl_IO_List[[#This Row],[PLC_Tag]]</f>
        <v>Spare_DI_0</v>
      </c>
      <c r="H668" s="136"/>
      <c r="I668" s="136" t="str">
        <f>VLOOKUP(tbl_IO_List[[#This Row],[Destination]],tbl_Junction[],2,FALSE)</f>
        <v>Packing Tower 2th Floor</v>
      </c>
      <c r="J668" s="136"/>
      <c r="K668" s="136"/>
      <c r="L668" s="136" t="s">
        <v>411</v>
      </c>
      <c r="M668" s="136" t="e">
        <f>VLOOKUP(tbl_IO_List[[#This Row],[Instruement Tag]],tbl_Instruement_List[],2,FALSE)</f>
        <v>#N/A</v>
      </c>
      <c r="N668" s="136"/>
      <c r="O668" s="136"/>
      <c r="P668" s="136"/>
      <c r="Q668" s="136" t="e">
        <f>VLOOKUP(tbl_IO_List[[#This Row],[Instruement Tag]],tbl_Instruement_List[],6,FALSE)</f>
        <v>#N/A</v>
      </c>
      <c r="R668" s="136"/>
      <c r="S66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668" s="136" t="str">
        <f>tbl_IO_List[[#This Row],[Instruement Tag]]&amp;"_"&amp;tbl_IO_List[[#This Row],[I/O Type]]&amp;"_"&amp;tbl_IO_List[[#This Row],[IO-Point 
(Instruement)]]</f>
        <v>Spare_DI_0</v>
      </c>
      <c r="U668" s="136" t="s">
        <v>8</v>
      </c>
      <c r="V668" s="136">
        <f>VLOOKUP(tbl_IO_List[[#This Row],[I/O Type]],tbl_Slot_Group[],2,FALSE)</f>
        <v>1</v>
      </c>
      <c r="W668" s="136">
        <v>0</v>
      </c>
      <c r="X668" s="136" t="str">
        <f>tbl_IO_List[[#This Row],[Chassis]]&amp;"S"&amp;TEXT(tbl_IO_List[[#This Row],[Slot]],"00")</f>
        <v>C4S02</v>
      </c>
      <c r="Y668" s="136" t="str">
        <f>tbl_IO_List[[#This Row],[Chassis]]&amp;"S"&amp;TEXT(tbl_IO_List[[#This Row],[Slot]],"00")&amp;tbl_IO_List[[#This Row],[I/O Type]]&amp;TEXT(tbl_IO_List[[#This Row],[Point]],"00")</f>
        <v>C4S02DI23</v>
      </c>
      <c r="Z668" s="136" t="str">
        <f>tbl_IO_List[[#This Row],[Chassis]]&amp;"S"&amp;TEXT(tbl_IO_List[[#This Row],[Slot]],"00")&amp;","&amp;TEXT(tbl_IO_List[[#This Row],[Point]],"00")</f>
        <v>C4S02,23</v>
      </c>
      <c r="AA668" s="136" t="str">
        <f>VLOOKUP(tbl_IO_List[[#This Row],[Column23]],tbl_RackConfig[],5,FALSE) &amp;"-"&amp;tbl_IO_List[[#This Row],[Point]]</f>
        <v>1756-IB32-23</v>
      </c>
      <c r="AB668" s="136"/>
      <c r="AC668" s="136"/>
      <c r="AD668" s="136" t="str">
        <f>tbl_IO_List[[#This Row],[I/O Type]]</f>
        <v>DI</v>
      </c>
      <c r="AE668" s="136" t="s">
        <v>1335</v>
      </c>
      <c r="AF668" s="136">
        <v>2</v>
      </c>
      <c r="AG668" s="136">
        <v>23</v>
      </c>
      <c r="AH668" s="136"/>
      <c r="AI668" s="136"/>
      <c r="AJ668" s="136">
        <v>1</v>
      </c>
      <c r="AK668" s="136">
        <v>0</v>
      </c>
      <c r="AL668" s="136">
        <v>0</v>
      </c>
      <c r="AM668" s="136">
        <v>0</v>
      </c>
      <c r="AN668" s="136">
        <v>0</v>
      </c>
      <c r="AO668" s="136"/>
      <c r="AP668" s="143" t="e">
        <f>VLOOKUP(tbl_IO_List[[#This Row],[Instruement Tag]],tbl_Instruement_List[],14,FALSE)</f>
        <v>#N/A</v>
      </c>
      <c r="AQ668" s="143" t="str">
        <f>tbl_IO_List[[#This Row],[Chassis]]&amp;"S"&amp;tbl_IO_List[[#This Row],[Slot]]&amp;"-"&amp;tbl_IO_List[[#This Row],[Front Terminal Number]]</f>
        <v>C4S2-</v>
      </c>
      <c r="AR668" s="143"/>
      <c r="AS668" s="136" t="str">
        <f>tbl_IO_List[[#This Row],[Terminal Tagging]]&amp;"-"&amp;tbl_IO_List[[#This Row],[Point-Count]]</f>
        <v>-</v>
      </c>
      <c r="AT668" s="136" t="str">
        <f>tbl_IO_List[[#This Row],[Front Terminal Tagging]]&amp;"/"&amp;tbl_IO_List[[#This Row],[Terminal Tagging-Item]]</f>
        <v>C4S2-/-</v>
      </c>
      <c r="AU668" s="136" t="str">
        <f>tbl_IO_List[[#This Row],[Terminal Tagging-Item]]&amp;"/"&amp;tbl_IO_List[[#This Row],[Front Terminal Tagging]]</f>
        <v>-/C4S2-</v>
      </c>
    </row>
    <row r="669" spans="1:47" hidden="1">
      <c r="A669" s="147" t="s">
        <v>1371</v>
      </c>
      <c r="B669" s="136" t="s">
        <v>335</v>
      </c>
      <c r="C669" s="136" t="str">
        <f>tbl_IO_List[[#This Row],[Column3]]</f>
        <v>C4S02,24</v>
      </c>
      <c r="D669" s="136" t="str">
        <f>tbl_IO_List[[#This Row],[Card]]</f>
        <v>1756-IB32-24</v>
      </c>
      <c r="E669" s="136" t="s">
        <v>1372</v>
      </c>
      <c r="F669" s="136" t="str">
        <f>tbl_IO_List[[#This Row],[Column23]]&amp;"-" &amp;tbl_IO_List[[#This Row],[Column52]]</f>
        <v>C4S02-X2</v>
      </c>
      <c r="G669" s="136" t="str">
        <f>tbl_IO_List[[#This Row],[PLC_Tag]]</f>
        <v>Spare_DI_0</v>
      </c>
      <c r="H669" s="136"/>
      <c r="I669" s="136" t="str">
        <f>VLOOKUP(tbl_IO_List[[#This Row],[Destination]],tbl_Junction[],2,FALSE)</f>
        <v>Packing Tower 2th Floor</v>
      </c>
      <c r="J669" s="136"/>
      <c r="K669" s="136"/>
      <c r="L669" s="136" t="s">
        <v>411</v>
      </c>
      <c r="M669" s="136" t="e">
        <f>VLOOKUP(tbl_IO_List[[#This Row],[Instruement Tag]],tbl_Instruement_List[],2,FALSE)</f>
        <v>#N/A</v>
      </c>
      <c r="N669" s="136"/>
      <c r="O669" s="136"/>
      <c r="P669" s="136"/>
      <c r="Q669" s="136" t="e">
        <f>VLOOKUP(tbl_IO_List[[#This Row],[Instruement Tag]],tbl_Instruement_List[],6,FALSE)</f>
        <v>#N/A</v>
      </c>
      <c r="R669" s="136"/>
      <c r="S66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669" s="136" t="str">
        <f>tbl_IO_List[[#This Row],[Instruement Tag]]&amp;"_"&amp;tbl_IO_List[[#This Row],[I/O Type]]&amp;"_"&amp;tbl_IO_List[[#This Row],[IO-Point 
(Instruement)]]</f>
        <v>Spare_DI_0</v>
      </c>
      <c r="U669" s="136" t="s">
        <v>8</v>
      </c>
      <c r="V669" s="136">
        <f>VLOOKUP(tbl_IO_List[[#This Row],[I/O Type]],tbl_Slot_Group[],2,FALSE)</f>
        <v>1</v>
      </c>
      <c r="W669" s="136">
        <v>0</v>
      </c>
      <c r="X669" s="136" t="str">
        <f>tbl_IO_List[[#This Row],[Chassis]]&amp;"S"&amp;TEXT(tbl_IO_List[[#This Row],[Slot]],"00")</f>
        <v>C4S02</v>
      </c>
      <c r="Y669" s="136" t="str">
        <f>tbl_IO_List[[#This Row],[Chassis]]&amp;"S"&amp;TEXT(tbl_IO_List[[#This Row],[Slot]],"00")&amp;tbl_IO_List[[#This Row],[I/O Type]]&amp;TEXT(tbl_IO_List[[#This Row],[Point]],"00")</f>
        <v>C4S02DI24</v>
      </c>
      <c r="Z669" s="136" t="str">
        <f>tbl_IO_List[[#This Row],[Chassis]]&amp;"S"&amp;TEXT(tbl_IO_List[[#This Row],[Slot]],"00")&amp;","&amp;TEXT(tbl_IO_List[[#This Row],[Point]],"00")</f>
        <v>C4S02,24</v>
      </c>
      <c r="AA669" s="136" t="str">
        <f>VLOOKUP(tbl_IO_List[[#This Row],[Column23]],tbl_RackConfig[],5,FALSE) &amp;"-"&amp;tbl_IO_List[[#This Row],[Point]]</f>
        <v>1756-IB32-24</v>
      </c>
      <c r="AB669" s="136"/>
      <c r="AC669" s="136"/>
      <c r="AD669" s="136" t="str">
        <f>tbl_IO_List[[#This Row],[I/O Type]]</f>
        <v>DI</v>
      </c>
      <c r="AE669" s="136" t="s">
        <v>1335</v>
      </c>
      <c r="AF669" s="136">
        <v>2</v>
      </c>
      <c r="AG669" s="136">
        <v>24</v>
      </c>
      <c r="AH669" s="136"/>
      <c r="AI669" s="136"/>
      <c r="AJ669" s="136">
        <v>1</v>
      </c>
      <c r="AK669" s="136">
        <v>0</v>
      </c>
      <c r="AL669" s="136">
        <v>0</v>
      </c>
      <c r="AM669" s="136">
        <v>0</v>
      </c>
      <c r="AN669" s="136">
        <v>0</v>
      </c>
      <c r="AO669" s="136"/>
      <c r="AP669" s="143" t="e">
        <f>VLOOKUP(tbl_IO_List[[#This Row],[Instruement Tag]],tbl_Instruement_List[],14,FALSE)</f>
        <v>#N/A</v>
      </c>
      <c r="AQ669" s="143" t="str">
        <f>tbl_IO_List[[#This Row],[Chassis]]&amp;"S"&amp;tbl_IO_List[[#This Row],[Slot]]&amp;"-"&amp;tbl_IO_List[[#This Row],[Front Terminal Number]]</f>
        <v>C4S2-</v>
      </c>
      <c r="AR669" s="143"/>
      <c r="AS669" s="136" t="str">
        <f>tbl_IO_List[[#This Row],[Terminal Tagging]]&amp;"-"&amp;tbl_IO_List[[#This Row],[Point-Count]]</f>
        <v>-</v>
      </c>
      <c r="AT669" s="136" t="str">
        <f>tbl_IO_List[[#This Row],[Front Terminal Tagging]]&amp;"/"&amp;tbl_IO_List[[#This Row],[Terminal Tagging-Item]]</f>
        <v>C4S2-/-</v>
      </c>
      <c r="AU669" s="136" t="str">
        <f>tbl_IO_List[[#This Row],[Terminal Tagging-Item]]&amp;"/"&amp;tbl_IO_List[[#This Row],[Front Terminal Tagging]]</f>
        <v>-/C4S2-</v>
      </c>
    </row>
    <row r="670" spans="1:47" hidden="1">
      <c r="A670" s="147" t="s">
        <v>1371</v>
      </c>
      <c r="B670" s="136" t="s">
        <v>335</v>
      </c>
      <c r="C670" s="136" t="str">
        <f>tbl_IO_List[[#This Row],[Column3]]</f>
        <v>C4S02,25</v>
      </c>
      <c r="D670" s="136" t="str">
        <f>tbl_IO_List[[#This Row],[Card]]</f>
        <v>1756-IB32-25</v>
      </c>
      <c r="E670" s="136" t="s">
        <v>1372</v>
      </c>
      <c r="F670" s="136" t="str">
        <f>tbl_IO_List[[#This Row],[Column23]]&amp;"-" &amp;tbl_IO_List[[#This Row],[Column52]]</f>
        <v>C4S02-X2</v>
      </c>
      <c r="G670" s="136" t="str">
        <f>tbl_IO_List[[#This Row],[PLC_Tag]]</f>
        <v>Spare_DI_0</v>
      </c>
      <c r="H670" s="136"/>
      <c r="I670" s="136" t="str">
        <f>VLOOKUP(tbl_IO_List[[#This Row],[Destination]],tbl_Junction[],2,FALSE)</f>
        <v>Packing Tower 2th Floor</v>
      </c>
      <c r="J670" s="136"/>
      <c r="K670" s="136"/>
      <c r="L670" s="136" t="s">
        <v>411</v>
      </c>
      <c r="M670" s="136" t="e">
        <f>VLOOKUP(tbl_IO_List[[#This Row],[Instruement Tag]],tbl_Instruement_List[],2,FALSE)</f>
        <v>#N/A</v>
      </c>
      <c r="N670" s="136"/>
      <c r="O670" s="136"/>
      <c r="P670" s="136"/>
      <c r="Q670" s="136" t="e">
        <f>VLOOKUP(tbl_IO_List[[#This Row],[Instruement Tag]],tbl_Instruement_List[],6,FALSE)</f>
        <v>#N/A</v>
      </c>
      <c r="R670" s="136"/>
      <c r="S67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670" s="136" t="str">
        <f>tbl_IO_List[[#This Row],[Instruement Tag]]&amp;"_"&amp;tbl_IO_List[[#This Row],[I/O Type]]&amp;"_"&amp;tbl_IO_List[[#This Row],[IO-Point 
(Instruement)]]</f>
        <v>Spare_DI_0</v>
      </c>
      <c r="U670" s="136" t="s">
        <v>8</v>
      </c>
      <c r="V670" s="136">
        <f>VLOOKUP(tbl_IO_List[[#This Row],[I/O Type]],tbl_Slot_Group[],2,FALSE)</f>
        <v>1</v>
      </c>
      <c r="W670" s="136">
        <v>0</v>
      </c>
      <c r="X670" s="136" t="str">
        <f>tbl_IO_List[[#This Row],[Chassis]]&amp;"S"&amp;TEXT(tbl_IO_List[[#This Row],[Slot]],"00")</f>
        <v>C4S02</v>
      </c>
      <c r="Y670" s="136" t="str">
        <f>tbl_IO_List[[#This Row],[Chassis]]&amp;"S"&amp;TEXT(tbl_IO_List[[#This Row],[Slot]],"00")&amp;tbl_IO_List[[#This Row],[I/O Type]]&amp;TEXT(tbl_IO_List[[#This Row],[Point]],"00")</f>
        <v>C4S02DI25</v>
      </c>
      <c r="Z670" s="136" t="str">
        <f>tbl_IO_List[[#This Row],[Chassis]]&amp;"S"&amp;TEXT(tbl_IO_List[[#This Row],[Slot]],"00")&amp;","&amp;TEXT(tbl_IO_List[[#This Row],[Point]],"00")</f>
        <v>C4S02,25</v>
      </c>
      <c r="AA670" s="136" t="str">
        <f>VLOOKUP(tbl_IO_List[[#This Row],[Column23]],tbl_RackConfig[],5,FALSE) &amp;"-"&amp;tbl_IO_List[[#This Row],[Point]]</f>
        <v>1756-IB32-25</v>
      </c>
      <c r="AB670" s="136"/>
      <c r="AC670" s="136"/>
      <c r="AD670" s="136" t="str">
        <f>tbl_IO_List[[#This Row],[I/O Type]]</f>
        <v>DI</v>
      </c>
      <c r="AE670" s="136" t="s">
        <v>1335</v>
      </c>
      <c r="AF670" s="136">
        <v>2</v>
      </c>
      <c r="AG670" s="136">
        <v>25</v>
      </c>
      <c r="AH670" s="136"/>
      <c r="AI670" s="136"/>
      <c r="AJ670" s="136">
        <v>1</v>
      </c>
      <c r="AK670" s="136">
        <v>0</v>
      </c>
      <c r="AL670" s="136">
        <v>0</v>
      </c>
      <c r="AM670" s="136">
        <v>0</v>
      </c>
      <c r="AN670" s="136">
        <v>0</v>
      </c>
      <c r="AO670" s="136"/>
      <c r="AP670" s="143" t="e">
        <f>VLOOKUP(tbl_IO_List[[#This Row],[Instruement Tag]],tbl_Instruement_List[],14,FALSE)</f>
        <v>#N/A</v>
      </c>
      <c r="AQ670" s="143" t="str">
        <f>tbl_IO_List[[#This Row],[Chassis]]&amp;"S"&amp;tbl_IO_List[[#This Row],[Slot]]&amp;"-"&amp;tbl_IO_List[[#This Row],[Front Terminal Number]]</f>
        <v>C4S2-</v>
      </c>
      <c r="AR670" s="143"/>
      <c r="AS670" s="136" t="str">
        <f>tbl_IO_List[[#This Row],[Terminal Tagging]]&amp;"-"&amp;tbl_IO_List[[#This Row],[Point-Count]]</f>
        <v>-</v>
      </c>
      <c r="AT670" s="136" t="str">
        <f>tbl_IO_List[[#This Row],[Front Terminal Tagging]]&amp;"/"&amp;tbl_IO_List[[#This Row],[Terminal Tagging-Item]]</f>
        <v>C4S2-/-</v>
      </c>
      <c r="AU670" s="136" t="str">
        <f>tbl_IO_List[[#This Row],[Terminal Tagging-Item]]&amp;"/"&amp;tbl_IO_List[[#This Row],[Front Terminal Tagging]]</f>
        <v>-/C4S2-</v>
      </c>
    </row>
    <row r="671" spans="1:47" hidden="1">
      <c r="A671" s="147" t="s">
        <v>1371</v>
      </c>
      <c r="B671" s="136" t="s">
        <v>335</v>
      </c>
      <c r="C671" s="136" t="str">
        <f>tbl_IO_List[[#This Row],[Column3]]</f>
        <v>C4S02,26</v>
      </c>
      <c r="D671" s="136" t="str">
        <f>tbl_IO_List[[#This Row],[Card]]</f>
        <v>1756-IB32-26</v>
      </c>
      <c r="E671" s="136" t="s">
        <v>1372</v>
      </c>
      <c r="F671" s="136" t="str">
        <f>tbl_IO_List[[#This Row],[Column23]]&amp;"-" &amp;tbl_IO_List[[#This Row],[Column52]]</f>
        <v>C4S02-X2</v>
      </c>
      <c r="G671" s="136" t="str">
        <f>tbl_IO_List[[#This Row],[PLC_Tag]]</f>
        <v>Spare_DI_0</v>
      </c>
      <c r="H671" s="136"/>
      <c r="I671" s="136" t="str">
        <f>VLOOKUP(tbl_IO_List[[#This Row],[Destination]],tbl_Junction[],2,FALSE)</f>
        <v>Packing Tower 2th Floor</v>
      </c>
      <c r="J671" s="136"/>
      <c r="K671" s="136"/>
      <c r="L671" s="136" t="s">
        <v>411</v>
      </c>
      <c r="M671" s="136" t="e">
        <f>VLOOKUP(tbl_IO_List[[#This Row],[Instruement Tag]],tbl_Instruement_List[],2,FALSE)</f>
        <v>#N/A</v>
      </c>
      <c r="N671" s="136"/>
      <c r="O671" s="136"/>
      <c r="P671" s="136"/>
      <c r="Q671" s="136" t="e">
        <f>VLOOKUP(tbl_IO_List[[#This Row],[Instruement Tag]],tbl_Instruement_List[],6,FALSE)</f>
        <v>#N/A</v>
      </c>
      <c r="R671" s="136"/>
      <c r="S67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671" s="136" t="str">
        <f>tbl_IO_List[[#This Row],[Instruement Tag]]&amp;"_"&amp;tbl_IO_List[[#This Row],[I/O Type]]&amp;"_"&amp;tbl_IO_List[[#This Row],[IO-Point 
(Instruement)]]</f>
        <v>Spare_DI_0</v>
      </c>
      <c r="U671" s="136" t="s">
        <v>8</v>
      </c>
      <c r="V671" s="136">
        <f>VLOOKUP(tbl_IO_List[[#This Row],[I/O Type]],tbl_Slot_Group[],2,FALSE)</f>
        <v>1</v>
      </c>
      <c r="W671" s="136">
        <v>0</v>
      </c>
      <c r="X671" s="136" t="str">
        <f>tbl_IO_List[[#This Row],[Chassis]]&amp;"S"&amp;TEXT(tbl_IO_List[[#This Row],[Slot]],"00")</f>
        <v>C4S02</v>
      </c>
      <c r="Y671" s="136" t="str">
        <f>tbl_IO_List[[#This Row],[Chassis]]&amp;"S"&amp;TEXT(tbl_IO_List[[#This Row],[Slot]],"00")&amp;tbl_IO_List[[#This Row],[I/O Type]]&amp;TEXT(tbl_IO_List[[#This Row],[Point]],"00")</f>
        <v>C4S02DI26</v>
      </c>
      <c r="Z671" s="136" t="str">
        <f>tbl_IO_List[[#This Row],[Chassis]]&amp;"S"&amp;TEXT(tbl_IO_List[[#This Row],[Slot]],"00")&amp;","&amp;TEXT(tbl_IO_List[[#This Row],[Point]],"00")</f>
        <v>C4S02,26</v>
      </c>
      <c r="AA671" s="136" t="str">
        <f>VLOOKUP(tbl_IO_List[[#This Row],[Column23]],tbl_RackConfig[],5,FALSE) &amp;"-"&amp;tbl_IO_List[[#This Row],[Point]]</f>
        <v>1756-IB32-26</v>
      </c>
      <c r="AB671" s="136"/>
      <c r="AC671" s="136"/>
      <c r="AD671" s="136" t="str">
        <f>tbl_IO_List[[#This Row],[I/O Type]]</f>
        <v>DI</v>
      </c>
      <c r="AE671" s="136" t="s">
        <v>1335</v>
      </c>
      <c r="AF671" s="136">
        <v>2</v>
      </c>
      <c r="AG671" s="136">
        <v>26</v>
      </c>
      <c r="AH671" s="136"/>
      <c r="AI671" s="136"/>
      <c r="AJ671" s="136">
        <v>1</v>
      </c>
      <c r="AK671" s="136">
        <v>0</v>
      </c>
      <c r="AL671" s="136">
        <v>0</v>
      </c>
      <c r="AM671" s="136">
        <v>0</v>
      </c>
      <c r="AN671" s="136">
        <v>0</v>
      </c>
      <c r="AO671" s="136"/>
      <c r="AP671" s="143" t="e">
        <f>VLOOKUP(tbl_IO_List[[#This Row],[Instruement Tag]],tbl_Instruement_List[],14,FALSE)</f>
        <v>#N/A</v>
      </c>
      <c r="AQ671" s="143" t="str">
        <f>tbl_IO_List[[#This Row],[Chassis]]&amp;"S"&amp;tbl_IO_List[[#This Row],[Slot]]&amp;"-"&amp;tbl_IO_List[[#This Row],[Front Terminal Number]]</f>
        <v>C4S2-</v>
      </c>
      <c r="AR671" s="143"/>
      <c r="AS671" s="136" t="str">
        <f>tbl_IO_List[[#This Row],[Terminal Tagging]]&amp;"-"&amp;tbl_IO_List[[#This Row],[Point-Count]]</f>
        <v>-</v>
      </c>
      <c r="AT671" s="136" t="str">
        <f>tbl_IO_List[[#This Row],[Front Terminal Tagging]]&amp;"/"&amp;tbl_IO_List[[#This Row],[Terminal Tagging-Item]]</f>
        <v>C4S2-/-</v>
      </c>
      <c r="AU671" s="136" t="str">
        <f>tbl_IO_List[[#This Row],[Terminal Tagging-Item]]&amp;"/"&amp;tbl_IO_List[[#This Row],[Front Terminal Tagging]]</f>
        <v>-/C4S2-</v>
      </c>
    </row>
    <row r="672" spans="1:47" hidden="1">
      <c r="A672" s="147" t="s">
        <v>1371</v>
      </c>
      <c r="B672" s="136" t="s">
        <v>335</v>
      </c>
      <c r="C672" s="136" t="str">
        <f>tbl_IO_List[[#This Row],[Column3]]</f>
        <v>C4S02,27</v>
      </c>
      <c r="D672" s="136" t="str">
        <f>tbl_IO_List[[#This Row],[Card]]</f>
        <v>1756-IB32-27</v>
      </c>
      <c r="E672" s="136" t="s">
        <v>1372</v>
      </c>
      <c r="F672" s="136" t="str">
        <f>tbl_IO_List[[#This Row],[Column23]]&amp;"-" &amp;tbl_IO_List[[#This Row],[Column52]]</f>
        <v>C4S02-X2</v>
      </c>
      <c r="G672" s="136" t="str">
        <f>tbl_IO_List[[#This Row],[PLC_Tag]]</f>
        <v>Spare_DI_0</v>
      </c>
      <c r="H672" s="136"/>
      <c r="I672" s="136" t="str">
        <f>VLOOKUP(tbl_IO_List[[#This Row],[Destination]],tbl_Junction[],2,FALSE)</f>
        <v>Packing Tower 2th Floor</v>
      </c>
      <c r="J672" s="136"/>
      <c r="K672" s="136"/>
      <c r="L672" s="136" t="s">
        <v>411</v>
      </c>
      <c r="M672" s="136" t="e">
        <f>VLOOKUP(tbl_IO_List[[#This Row],[Instruement Tag]],tbl_Instruement_List[],2,FALSE)</f>
        <v>#N/A</v>
      </c>
      <c r="N672" s="136"/>
      <c r="O672" s="136"/>
      <c r="P672" s="136"/>
      <c r="Q672" s="136" t="e">
        <f>VLOOKUP(tbl_IO_List[[#This Row],[Instruement Tag]],tbl_Instruement_List[],6,FALSE)</f>
        <v>#N/A</v>
      </c>
      <c r="R672" s="136"/>
      <c r="S67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672" s="136" t="str">
        <f>tbl_IO_List[[#This Row],[Instruement Tag]]&amp;"_"&amp;tbl_IO_List[[#This Row],[I/O Type]]&amp;"_"&amp;tbl_IO_List[[#This Row],[IO-Point 
(Instruement)]]</f>
        <v>Spare_DI_0</v>
      </c>
      <c r="U672" s="136" t="s">
        <v>8</v>
      </c>
      <c r="V672" s="136">
        <f>VLOOKUP(tbl_IO_List[[#This Row],[I/O Type]],tbl_Slot_Group[],2,FALSE)</f>
        <v>1</v>
      </c>
      <c r="W672" s="136">
        <v>0</v>
      </c>
      <c r="X672" s="136" t="str">
        <f>tbl_IO_List[[#This Row],[Chassis]]&amp;"S"&amp;TEXT(tbl_IO_List[[#This Row],[Slot]],"00")</f>
        <v>C4S02</v>
      </c>
      <c r="Y672" s="136" t="str">
        <f>tbl_IO_List[[#This Row],[Chassis]]&amp;"S"&amp;TEXT(tbl_IO_List[[#This Row],[Slot]],"00")&amp;tbl_IO_List[[#This Row],[I/O Type]]&amp;TEXT(tbl_IO_List[[#This Row],[Point]],"00")</f>
        <v>C4S02DI27</v>
      </c>
      <c r="Z672" s="136" t="str">
        <f>tbl_IO_List[[#This Row],[Chassis]]&amp;"S"&amp;TEXT(tbl_IO_List[[#This Row],[Slot]],"00")&amp;","&amp;TEXT(tbl_IO_List[[#This Row],[Point]],"00")</f>
        <v>C4S02,27</v>
      </c>
      <c r="AA672" s="136" t="str">
        <f>VLOOKUP(tbl_IO_List[[#This Row],[Column23]],tbl_RackConfig[],5,FALSE) &amp;"-"&amp;tbl_IO_List[[#This Row],[Point]]</f>
        <v>1756-IB32-27</v>
      </c>
      <c r="AB672" s="136"/>
      <c r="AC672" s="136"/>
      <c r="AD672" s="136" t="str">
        <f>tbl_IO_List[[#This Row],[I/O Type]]</f>
        <v>DI</v>
      </c>
      <c r="AE672" s="136" t="s">
        <v>1335</v>
      </c>
      <c r="AF672" s="136">
        <v>2</v>
      </c>
      <c r="AG672" s="136">
        <v>27</v>
      </c>
      <c r="AH672" s="136"/>
      <c r="AI672" s="136"/>
      <c r="AJ672" s="136">
        <v>1</v>
      </c>
      <c r="AK672" s="136">
        <v>0</v>
      </c>
      <c r="AL672" s="136">
        <v>0</v>
      </c>
      <c r="AM672" s="136">
        <v>0</v>
      </c>
      <c r="AN672" s="136">
        <v>0</v>
      </c>
      <c r="AO672" s="136"/>
      <c r="AP672" s="143" t="e">
        <f>VLOOKUP(tbl_IO_List[[#This Row],[Instruement Tag]],tbl_Instruement_List[],14,FALSE)</f>
        <v>#N/A</v>
      </c>
      <c r="AQ672" s="143" t="str">
        <f>tbl_IO_List[[#This Row],[Chassis]]&amp;"S"&amp;tbl_IO_List[[#This Row],[Slot]]&amp;"-"&amp;tbl_IO_List[[#This Row],[Front Terminal Number]]</f>
        <v>C4S2-</v>
      </c>
      <c r="AR672" s="143"/>
      <c r="AS672" s="136" t="str">
        <f>tbl_IO_List[[#This Row],[Terminal Tagging]]&amp;"-"&amp;tbl_IO_List[[#This Row],[Point-Count]]</f>
        <v>-</v>
      </c>
      <c r="AT672" s="136" t="str">
        <f>tbl_IO_List[[#This Row],[Front Terminal Tagging]]&amp;"/"&amp;tbl_IO_List[[#This Row],[Terminal Tagging-Item]]</f>
        <v>C4S2-/-</v>
      </c>
      <c r="AU672" s="136" t="str">
        <f>tbl_IO_List[[#This Row],[Terminal Tagging-Item]]&amp;"/"&amp;tbl_IO_List[[#This Row],[Front Terminal Tagging]]</f>
        <v>-/C4S2-</v>
      </c>
    </row>
    <row r="673" spans="1:47" hidden="1">
      <c r="A673" s="147" t="s">
        <v>1371</v>
      </c>
      <c r="B673" s="136" t="s">
        <v>335</v>
      </c>
      <c r="C673" s="136" t="str">
        <f>tbl_IO_List[[#This Row],[Column3]]</f>
        <v>C4S02,28</v>
      </c>
      <c r="D673" s="136" t="str">
        <f>tbl_IO_List[[#This Row],[Card]]</f>
        <v>1756-IB32-28</v>
      </c>
      <c r="E673" s="136" t="s">
        <v>1372</v>
      </c>
      <c r="F673" s="136" t="str">
        <f>tbl_IO_List[[#This Row],[Column23]]&amp;"-" &amp;tbl_IO_List[[#This Row],[Column52]]</f>
        <v>C4S02-X2</v>
      </c>
      <c r="G673" s="136" t="str">
        <f>tbl_IO_List[[#This Row],[PLC_Tag]]</f>
        <v>Spare_DI_0</v>
      </c>
      <c r="H673" s="136"/>
      <c r="I673" s="136" t="str">
        <f>VLOOKUP(tbl_IO_List[[#This Row],[Destination]],tbl_Junction[],2,FALSE)</f>
        <v>Packing Tower 2th Floor</v>
      </c>
      <c r="J673" s="136"/>
      <c r="K673" s="136"/>
      <c r="L673" s="136" t="s">
        <v>411</v>
      </c>
      <c r="M673" s="136" t="e">
        <f>VLOOKUP(tbl_IO_List[[#This Row],[Instruement Tag]],tbl_Instruement_List[],2,FALSE)</f>
        <v>#N/A</v>
      </c>
      <c r="N673" s="136"/>
      <c r="O673" s="136"/>
      <c r="P673" s="136"/>
      <c r="Q673" s="136" t="e">
        <f>VLOOKUP(tbl_IO_List[[#This Row],[Instruement Tag]],tbl_Instruement_List[],6,FALSE)</f>
        <v>#N/A</v>
      </c>
      <c r="R673" s="136"/>
      <c r="S67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673" s="136" t="str">
        <f>tbl_IO_List[[#This Row],[Instruement Tag]]&amp;"_"&amp;tbl_IO_List[[#This Row],[I/O Type]]&amp;"_"&amp;tbl_IO_List[[#This Row],[IO-Point 
(Instruement)]]</f>
        <v>Spare_DI_0</v>
      </c>
      <c r="U673" s="136" t="s">
        <v>8</v>
      </c>
      <c r="V673" s="136">
        <f>VLOOKUP(tbl_IO_List[[#This Row],[I/O Type]],tbl_Slot_Group[],2,FALSE)</f>
        <v>1</v>
      </c>
      <c r="W673" s="136">
        <v>0</v>
      </c>
      <c r="X673" s="136" t="str">
        <f>tbl_IO_List[[#This Row],[Chassis]]&amp;"S"&amp;TEXT(tbl_IO_List[[#This Row],[Slot]],"00")</f>
        <v>C4S02</v>
      </c>
      <c r="Y673" s="136" t="str">
        <f>tbl_IO_List[[#This Row],[Chassis]]&amp;"S"&amp;TEXT(tbl_IO_List[[#This Row],[Slot]],"00")&amp;tbl_IO_List[[#This Row],[I/O Type]]&amp;TEXT(tbl_IO_List[[#This Row],[Point]],"00")</f>
        <v>C4S02DI28</v>
      </c>
      <c r="Z673" s="136" t="str">
        <f>tbl_IO_List[[#This Row],[Chassis]]&amp;"S"&amp;TEXT(tbl_IO_List[[#This Row],[Slot]],"00")&amp;","&amp;TEXT(tbl_IO_List[[#This Row],[Point]],"00")</f>
        <v>C4S02,28</v>
      </c>
      <c r="AA673" s="136" t="str">
        <f>VLOOKUP(tbl_IO_List[[#This Row],[Column23]],tbl_RackConfig[],5,FALSE) &amp;"-"&amp;tbl_IO_List[[#This Row],[Point]]</f>
        <v>1756-IB32-28</v>
      </c>
      <c r="AB673" s="136"/>
      <c r="AC673" s="136"/>
      <c r="AD673" s="136" t="str">
        <f>tbl_IO_List[[#This Row],[I/O Type]]</f>
        <v>DI</v>
      </c>
      <c r="AE673" s="136" t="s">
        <v>1335</v>
      </c>
      <c r="AF673" s="136">
        <v>2</v>
      </c>
      <c r="AG673" s="136">
        <v>28</v>
      </c>
      <c r="AH673" s="136"/>
      <c r="AI673" s="136"/>
      <c r="AJ673" s="136">
        <v>1</v>
      </c>
      <c r="AK673" s="136">
        <v>0</v>
      </c>
      <c r="AL673" s="136">
        <v>0</v>
      </c>
      <c r="AM673" s="136">
        <v>0</v>
      </c>
      <c r="AN673" s="136">
        <v>0</v>
      </c>
      <c r="AO673" s="136"/>
      <c r="AP673" s="143" t="e">
        <f>VLOOKUP(tbl_IO_List[[#This Row],[Instruement Tag]],tbl_Instruement_List[],14,FALSE)</f>
        <v>#N/A</v>
      </c>
      <c r="AQ673" s="143" t="str">
        <f>tbl_IO_List[[#This Row],[Chassis]]&amp;"S"&amp;tbl_IO_List[[#This Row],[Slot]]&amp;"-"&amp;tbl_IO_List[[#This Row],[Front Terminal Number]]</f>
        <v>C4S2-</v>
      </c>
      <c r="AR673" s="143"/>
      <c r="AS673" s="136" t="str">
        <f>tbl_IO_List[[#This Row],[Terminal Tagging]]&amp;"-"&amp;tbl_IO_List[[#This Row],[Point-Count]]</f>
        <v>-</v>
      </c>
      <c r="AT673" s="136" t="str">
        <f>tbl_IO_List[[#This Row],[Front Terminal Tagging]]&amp;"/"&amp;tbl_IO_List[[#This Row],[Terminal Tagging-Item]]</f>
        <v>C4S2-/-</v>
      </c>
      <c r="AU673" s="136" t="str">
        <f>tbl_IO_List[[#This Row],[Terminal Tagging-Item]]&amp;"/"&amp;tbl_IO_List[[#This Row],[Front Terminal Tagging]]</f>
        <v>-/C4S2-</v>
      </c>
    </row>
    <row r="674" spans="1:47" hidden="1">
      <c r="A674" s="147" t="s">
        <v>1371</v>
      </c>
      <c r="B674" s="136" t="s">
        <v>335</v>
      </c>
      <c r="C674" s="136" t="str">
        <f>tbl_IO_List[[#This Row],[Column3]]</f>
        <v>C4S02,29</v>
      </c>
      <c r="D674" s="136" t="str">
        <f>tbl_IO_List[[#This Row],[Card]]</f>
        <v>1756-IB32-29</v>
      </c>
      <c r="E674" s="136" t="s">
        <v>1372</v>
      </c>
      <c r="F674" s="136" t="str">
        <f>tbl_IO_List[[#This Row],[Column23]]&amp;"-" &amp;tbl_IO_List[[#This Row],[Column52]]</f>
        <v>C4S02-X2</v>
      </c>
      <c r="G674" s="136" t="str">
        <f>tbl_IO_List[[#This Row],[PLC_Tag]]</f>
        <v>Spare_DI_0</v>
      </c>
      <c r="H674" s="136"/>
      <c r="I674" s="136" t="str">
        <f>VLOOKUP(tbl_IO_List[[#This Row],[Destination]],tbl_Junction[],2,FALSE)</f>
        <v>Packing Tower 2th Floor</v>
      </c>
      <c r="J674" s="136"/>
      <c r="K674" s="136"/>
      <c r="L674" s="136" t="s">
        <v>411</v>
      </c>
      <c r="M674" s="136" t="e">
        <f>VLOOKUP(tbl_IO_List[[#This Row],[Instruement Tag]],tbl_Instruement_List[],2,FALSE)</f>
        <v>#N/A</v>
      </c>
      <c r="N674" s="136"/>
      <c r="O674" s="136"/>
      <c r="P674" s="136"/>
      <c r="Q674" s="136" t="e">
        <f>VLOOKUP(tbl_IO_List[[#This Row],[Instruement Tag]],tbl_Instruement_List[],6,FALSE)</f>
        <v>#N/A</v>
      </c>
      <c r="R674" s="136"/>
      <c r="S67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674" s="136" t="str">
        <f>tbl_IO_List[[#This Row],[Instruement Tag]]&amp;"_"&amp;tbl_IO_List[[#This Row],[I/O Type]]&amp;"_"&amp;tbl_IO_List[[#This Row],[IO-Point 
(Instruement)]]</f>
        <v>Spare_DI_0</v>
      </c>
      <c r="U674" s="136" t="s">
        <v>8</v>
      </c>
      <c r="V674" s="136">
        <f>VLOOKUP(tbl_IO_List[[#This Row],[I/O Type]],tbl_Slot_Group[],2,FALSE)</f>
        <v>1</v>
      </c>
      <c r="W674" s="136">
        <v>0</v>
      </c>
      <c r="X674" s="136" t="str">
        <f>tbl_IO_List[[#This Row],[Chassis]]&amp;"S"&amp;TEXT(tbl_IO_List[[#This Row],[Slot]],"00")</f>
        <v>C4S02</v>
      </c>
      <c r="Y674" s="136" t="str">
        <f>tbl_IO_List[[#This Row],[Chassis]]&amp;"S"&amp;TEXT(tbl_IO_List[[#This Row],[Slot]],"00")&amp;tbl_IO_List[[#This Row],[I/O Type]]&amp;TEXT(tbl_IO_List[[#This Row],[Point]],"00")</f>
        <v>C4S02DI29</v>
      </c>
      <c r="Z674" s="136" t="str">
        <f>tbl_IO_List[[#This Row],[Chassis]]&amp;"S"&amp;TEXT(tbl_IO_List[[#This Row],[Slot]],"00")&amp;","&amp;TEXT(tbl_IO_List[[#This Row],[Point]],"00")</f>
        <v>C4S02,29</v>
      </c>
      <c r="AA674" s="136" t="str">
        <f>VLOOKUP(tbl_IO_List[[#This Row],[Column23]],tbl_RackConfig[],5,FALSE) &amp;"-"&amp;tbl_IO_List[[#This Row],[Point]]</f>
        <v>1756-IB32-29</v>
      </c>
      <c r="AB674" s="136"/>
      <c r="AC674" s="136"/>
      <c r="AD674" s="136" t="str">
        <f>tbl_IO_List[[#This Row],[I/O Type]]</f>
        <v>DI</v>
      </c>
      <c r="AE674" s="136" t="s">
        <v>1335</v>
      </c>
      <c r="AF674" s="136">
        <v>2</v>
      </c>
      <c r="AG674" s="136">
        <v>29</v>
      </c>
      <c r="AH674" s="136"/>
      <c r="AI674" s="136"/>
      <c r="AJ674" s="136">
        <v>1</v>
      </c>
      <c r="AK674" s="136">
        <v>0</v>
      </c>
      <c r="AL674" s="136">
        <v>0</v>
      </c>
      <c r="AM674" s="136">
        <v>0</v>
      </c>
      <c r="AN674" s="136">
        <v>0</v>
      </c>
      <c r="AO674" s="136"/>
      <c r="AP674" s="143" t="e">
        <f>VLOOKUP(tbl_IO_List[[#This Row],[Instruement Tag]],tbl_Instruement_List[],14,FALSE)</f>
        <v>#N/A</v>
      </c>
      <c r="AQ674" s="143" t="str">
        <f>tbl_IO_List[[#This Row],[Chassis]]&amp;"S"&amp;tbl_IO_List[[#This Row],[Slot]]&amp;"-"&amp;tbl_IO_List[[#This Row],[Front Terminal Number]]</f>
        <v>C4S2-</v>
      </c>
      <c r="AR674" s="143"/>
      <c r="AS674" s="136" t="str">
        <f>tbl_IO_List[[#This Row],[Terminal Tagging]]&amp;"-"&amp;tbl_IO_List[[#This Row],[Point-Count]]</f>
        <v>-</v>
      </c>
      <c r="AT674" s="136" t="str">
        <f>tbl_IO_List[[#This Row],[Front Terminal Tagging]]&amp;"/"&amp;tbl_IO_List[[#This Row],[Terminal Tagging-Item]]</f>
        <v>C4S2-/-</v>
      </c>
      <c r="AU674" s="136" t="str">
        <f>tbl_IO_List[[#This Row],[Terminal Tagging-Item]]&amp;"/"&amp;tbl_IO_List[[#This Row],[Front Terminal Tagging]]</f>
        <v>-/C4S2-</v>
      </c>
    </row>
    <row r="675" spans="1:47" hidden="1">
      <c r="A675" s="147" t="s">
        <v>1371</v>
      </c>
      <c r="B675" s="136" t="s">
        <v>335</v>
      </c>
      <c r="C675" s="136" t="str">
        <f>tbl_IO_List[[#This Row],[Column3]]</f>
        <v>C4S02,30</v>
      </c>
      <c r="D675" s="136" t="str">
        <f>tbl_IO_List[[#This Row],[Card]]</f>
        <v>1756-IB32-30</v>
      </c>
      <c r="E675" s="136" t="s">
        <v>1372</v>
      </c>
      <c r="F675" s="136" t="str">
        <f>tbl_IO_List[[#This Row],[Column23]]&amp;"-" &amp;tbl_IO_List[[#This Row],[Column52]]</f>
        <v>C4S02-X2</v>
      </c>
      <c r="G675" s="136" t="str">
        <f>tbl_IO_List[[#This Row],[PLC_Tag]]</f>
        <v>Spare_DI_0</v>
      </c>
      <c r="H675" s="136"/>
      <c r="I675" s="136" t="str">
        <f>VLOOKUP(tbl_IO_List[[#This Row],[Destination]],tbl_Junction[],2,FALSE)</f>
        <v>Packing Tower 2th Floor</v>
      </c>
      <c r="J675" s="136"/>
      <c r="K675" s="136"/>
      <c r="L675" s="136" t="s">
        <v>411</v>
      </c>
      <c r="M675" s="136" t="e">
        <f>VLOOKUP(tbl_IO_List[[#This Row],[Instruement Tag]],tbl_Instruement_List[],2,FALSE)</f>
        <v>#N/A</v>
      </c>
      <c r="N675" s="136"/>
      <c r="O675" s="136"/>
      <c r="P675" s="136"/>
      <c r="Q675" s="136" t="e">
        <f>VLOOKUP(tbl_IO_List[[#This Row],[Instruement Tag]],tbl_Instruement_List[],6,FALSE)</f>
        <v>#N/A</v>
      </c>
      <c r="R675" s="136"/>
      <c r="S67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675" s="136" t="str">
        <f>tbl_IO_List[[#This Row],[Instruement Tag]]&amp;"_"&amp;tbl_IO_List[[#This Row],[I/O Type]]&amp;"_"&amp;tbl_IO_List[[#This Row],[IO-Point 
(Instruement)]]</f>
        <v>Spare_DI_0</v>
      </c>
      <c r="U675" s="136" t="s">
        <v>8</v>
      </c>
      <c r="V675" s="136">
        <f>VLOOKUP(tbl_IO_List[[#This Row],[I/O Type]],tbl_Slot_Group[],2,FALSE)</f>
        <v>1</v>
      </c>
      <c r="W675" s="136">
        <v>0</v>
      </c>
      <c r="X675" s="136" t="str">
        <f>tbl_IO_List[[#This Row],[Chassis]]&amp;"S"&amp;TEXT(tbl_IO_List[[#This Row],[Slot]],"00")</f>
        <v>C4S02</v>
      </c>
      <c r="Y675" s="136" t="str">
        <f>tbl_IO_List[[#This Row],[Chassis]]&amp;"S"&amp;TEXT(tbl_IO_List[[#This Row],[Slot]],"00")&amp;tbl_IO_List[[#This Row],[I/O Type]]&amp;TEXT(tbl_IO_List[[#This Row],[Point]],"00")</f>
        <v>C4S02DI30</v>
      </c>
      <c r="Z675" s="136" t="str">
        <f>tbl_IO_List[[#This Row],[Chassis]]&amp;"S"&amp;TEXT(tbl_IO_List[[#This Row],[Slot]],"00")&amp;","&amp;TEXT(tbl_IO_List[[#This Row],[Point]],"00")</f>
        <v>C4S02,30</v>
      </c>
      <c r="AA675" s="136" t="str">
        <f>VLOOKUP(tbl_IO_List[[#This Row],[Column23]],tbl_RackConfig[],5,FALSE) &amp;"-"&amp;tbl_IO_List[[#This Row],[Point]]</f>
        <v>1756-IB32-30</v>
      </c>
      <c r="AB675" s="136"/>
      <c r="AC675" s="136"/>
      <c r="AD675" s="136" t="str">
        <f>tbl_IO_List[[#This Row],[I/O Type]]</f>
        <v>DI</v>
      </c>
      <c r="AE675" s="136" t="s">
        <v>1335</v>
      </c>
      <c r="AF675" s="136">
        <v>2</v>
      </c>
      <c r="AG675" s="136">
        <v>30</v>
      </c>
      <c r="AH675" s="136"/>
      <c r="AI675" s="136"/>
      <c r="AJ675" s="136">
        <v>1</v>
      </c>
      <c r="AK675" s="136">
        <v>0</v>
      </c>
      <c r="AL675" s="136">
        <v>0</v>
      </c>
      <c r="AM675" s="136">
        <v>0</v>
      </c>
      <c r="AN675" s="136">
        <v>0</v>
      </c>
      <c r="AO675" s="136"/>
      <c r="AP675" s="143" t="e">
        <f>VLOOKUP(tbl_IO_List[[#This Row],[Instruement Tag]],tbl_Instruement_List[],14,FALSE)</f>
        <v>#N/A</v>
      </c>
      <c r="AQ675" s="143" t="str">
        <f>tbl_IO_List[[#This Row],[Chassis]]&amp;"S"&amp;tbl_IO_List[[#This Row],[Slot]]&amp;"-"&amp;tbl_IO_List[[#This Row],[Front Terminal Number]]</f>
        <v>C4S2-</v>
      </c>
      <c r="AR675" s="143"/>
      <c r="AS675" s="136" t="str">
        <f>tbl_IO_List[[#This Row],[Terminal Tagging]]&amp;"-"&amp;tbl_IO_List[[#This Row],[Point-Count]]</f>
        <v>-</v>
      </c>
      <c r="AT675" s="136" t="str">
        <f>tbl_IO_List[[#This Row],[Front Terminal Tagging]]&amp;"/"&amp;tbl_IO_List[[#This Row],[Terminal Tagging-Item]]</f>
        <v>C4S2-/-</v>
      </c>
      <c r="AU675" s="136" t="str">
        <f>tbl_IO_List[[#This Row],[Terminal Tagging-Item]]&amp;"/"&amp;tbl_IO_List[[#This Row],[Front Terminal Tagging]]</f>
        <v>-/C4S2-</v>
      </c>
    </row>
    <row r="676" spans="1:47" hidden="1">
      <c r="A676" s="147" t="s">
        <v>1371</v>
      </c>
      <c r="B676" s="136" t="s">
        <v>335</v>
      </c>
      <c r="C676" s="136" t="str">
        <f>tbl_IO_List[[#This Row],[Column3]]</f>
        <v>C4S02,31</v>
      </c>
      <c r="D676" s="136" t="str">
        <f>tbl_IO_List[[#This Row],[Card]]</f>
        <v>1756-IB32-31</v>
      </c>
      <c r="E676" s="136" t="s">
        <v>1372</v>
      </c>
      <c r="F676" s="136" t="str">
        <f>tbl_IO_List[[#This Row],[Column23]]&amp;"-" &amp;tbl_IO_List[[#This Row],[Column52]]</f>
        <v>C4S02-X2</v>
      </c>
      <c r="G676" s="136" t="str">
        <f>tbl_IO_List[[#This Row],[PLC_Tag]]</f>
        <v>Spare_DI_0</v>
      </c>
      <c r="H676" s="136"/>
      <c r="I676" s="136" t="str">
        <f>VLOOKUP(tbl_IO_List[[#This Row],[Destination]],tbl_Junction[],2,FALSE)</f>
        <v>Packing Tower 2th Floor</v>
      </c>
      <c r="J676" s="136"/>
      <c r="K676" s="136"/>
      <c r="L676" s="136" t="s">
        <v>411</v>
      </c>
      <c r="M676" s="136" t="e">
        <f>VLOOKUP(tbl_IO_List[[#This Row],[Instruement Tag]],tbl_Instruement_List[],2,FALSE)</f>
        <v>#N/A</v>
      </c>
      <c r="N676" s="136"/>
      <c r="O676" s="136"/>
      <c r="P676" s="136"/>
      <c r="Q676" s="136" t="e">
        <f>VLOOKUP(tbl_IO_List[[#This Row],[Instruement Tag]],tbl_Instruement_List[],6,FALSE)</f>
        <v>#N/A</v>
      </c>
      <c r="R676" s="136"/>
      <c r="S67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676" s="136" t="str">
        <f>tbl_IO_List[[#This Row],[Instruement Tag]]&amp;"_"&amp;tbl_IO_List[[#This Row],[I/O Type]]&amp;"_"&amp;tbl_IO_List[[#This Row],[IO-Point 
(Instruement)]]</f>
        <v>Spare_DI_0</v>
      </c>
      <c r="U676" s="136" t="s">
        <v>8</v>
      </c>
      <c r="V676" s="136">
        <f>VLOOKUP(tbl_IO_List[[#This Row],[I/O Type]],tbl_Slot_Group[],2,FALSE)</f>
        <v>1</v>
      </c>
      <c r="W676" s="136">
        <v>0</v>
      </c>
      <c r="X676" s="136" t="str">
        <f>tbl_IO_List[[#This Row],[Chassis]]&amp;"S"&amp;TEXT(tbl_IO_List[[#This Row],[Slot]],"00")</f>
        <v>C4S02</v>
      </c>
      <c r="Y676" s="136" t="str">
        <f>tbl_IO_List[[#This Row],[Chassis]]&amp;"S"&amp;TEXT(tbl_IO_List[[#This Row],[Slot]],"00")&amp;tbl_IO_List[[#This Row],[I/O Type]]&amp;TEXT(tbl_IO_List[[#This Row],[Point]],"00")</f>
        <v>C4S02DI31</v>
      </c>
      <c r="Z676" s="136" t="str">
        <f>tbl_IO_List[[#This Row],[Chassis]]&amp;"S"&amp;TEXT(tbl_IO_List[[#This Row],[Slot]],"00")&amp;","&amp;TEXT(tbl_IO_List[[#This Row],[Point]],"00")</f>
        <v>C4S02,31</v>
      </c>
      <c r="AA676" s="136" t="str">
        <f>VLOOKUP(tbl_IO_List[[#This Row],[Column23]],tbl_RackConfig[],5,FALSE) &amp;"-"&amp;tbl_IO_List[[#This Row],[Point]]</f>
        <v>1756-IB32-31</v>
      </c>
      <c r="AB676" s="136"/>
      <c r="AC676" s="136"/>
      <c r="AD676" s="136" t="str">
        <f>tbl_IO_List[[#This Row],[I/O Type]]</f>
        <v>DI</v>
      </c>
      <c r="AE676" s="136" t="s">
        <v>1335</v>
      </c>
      <c r="AF676" s="136">
        <v>2</v>
      </c>
      <c r="AG676" s="136">
        <v>31</v>
      </c>
      <c r="AH676" s="136"/>
      <c r="AI676" s="136"/>
      <c r="AJ676" s="136">
        <v>1</v>
      </c>
      <c r="AK676" s="136">
        <v>0</v>
      </c>
      <c r="AL676" s="136">
        <v>0</v>
      </c>
      <c r="AM676" s="136">
        <v>0</v>
      </c>
      <c r="AN676" s="136">
        <v>0</v>
      </c>
      <c r="AO676" s="136"/>
      <c r="AP676" s="143" t="e">
        <f>VLOOKUP(tbl_IO_List[[#This Row],[Instruement Tag]],tbl_Instruement_List[],14,FALSE)</f>
        <v>#N/A</v>
      </c>
      <c r="AQ676" s="143" t="str">
        <f>tbl_IO_List[[#This Row],[Chassis]]&amp;"S"&amp;tbl_IO_List[[#This Row],[Slot]]&amp;"-"&amp;tbl_IO_List[[#This Row],[Front Terminal Number]]</f>
        <v>C4S2-</v>
      </c>
      <c r="AR676" s="143"/>
      <c r="AS676" s="136" t="str">
        <f>tbl_IO_List[[#This Row],[Terminal Tagging]]&amp;"-"&amp;tbl_IO_List[[#This Row],[Point-Count]]</f>
        <v>-</v>
      </c>
      <c r="AT676" s="136" t="str">
        <f>tbl_IO_List[[#This Row],[Front Terminal Tagging]]&amp;"/"&amp;tbl_IO_List[[#This Row],[Terminal Tagging-Item]]</f>
        <v>C4S2-/-</v>
      </c>
      <c r="AU676" s="136" t="str">
        <f>tbl_IO_List[[#This Row],[Terminal Tagging-Item]]&amp;"/"&amp;tbl_IO_List[[#This Row],[Front Terminal Tagging]]</f>
        <v>-/C4S2-</v>
      </c>
    </row>
    <row r="677" spans="1:47" hidden="1">
      <c r="A677" s="147" t="s">
        <v>1371</v>
      </c>
      <c r="B677" s="136" t="s">
        <v>265</v>
      </c>
      <c r="C677" s="136" t="str">
        <f>tbl_IO_List[[#This Row],[Column3]]</f>
        <v>C4S04,00</v>
      </c>
      <c r="D677" s="136" t="str">
        <f>tbl_IO_List[[#This Row],[Card]]</f>
        <v>1756-OB32-0</v>
      </c>
      <c r="E677" s="136" t="s">
        <v>1366</v>
      </c>
      <c r="F677" s="136" t="str">
        <f>tbl_IO_List[[#This Row],[Column23]]&amp;"-" &amp;tbl_IO_List[[#This Row],[Column52]]</f>
        <v>C4S04-X1</v>
      </c>
      <c r="G677" s="136" t="str">
        <f>tbl_IO_List[[#This Row],[PLC_Tag]]</f>
        <v>SV-60220_DO_1</v>
      </c>
      <c r="H677" s="136"/>
      <c r="I677" s="136" t="str">
        <f>VLOOKUP(tbl_IO_List[[#This Row],[Destination]],tbl_Junction[],2,FALSE)</f>
        <v>Spray Dryer 6th Floor</v>
      </c>
      <c r="J677" s="136" t="s">
        <v>265</v>
      </c>
      <c r="K677" s="136" t="s">
        <v>14</v>
      </c>
      <c r="L677" s="136" t="s">
        <v>268</v>
      </c>
      <c r="M677" s="136">
        <f>VLOOKUP(tbl_IO_List[[#This Row],[Instruement Tag]],tbl_Instruement_List[],2,FALSE)</f>
        <v>0</v>
      </c>
      <c r="N677" s="136" t="s">
        <v>58</v>
      </c>
      <c r="O677" s="136" t="s">
        <v>16</v>
      </c>
      <c r="P677" s="136" t="s">
        <v>17</v>
      </c>
      <c r="Q677" s="136" t="str">
        <f>VLOOKUP(tbl_IO_List[[#This Row],[Instruement Tag]],tbl_Instruement_List[],6,FALSE)</f>
        <v>PA On/Off Valve for Chamber PSE purge air (CHAM-21)</v>
      </c>
      <c r="R677" s="136"/>
      <c r="S67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677" s="136" t="str">
        <f>tbl_IO_List[[#This Row],[Instruement Tag]]&amp;"_"&amp;tbl_IO_List[[#This Row],[I/O Type]]&amp;"_"&amp;tbl_IO_List[[#This Row],[IO-Point 
(Instruement)]]</f>
        <v>SV-60220_DO_1</v>
      </c>
      <c r="U677" s="136" t="s">
        <v>7</v>
      </c>
      <c r="V677" s="136">
        <f>VLOOKUP(tbl_IO_List[[#This Row],[I/O Type]],tbl_Slot_Group[],2,FALSE)</f>
        <v>2</v>
      </c>
      <c r="W677" s="136">
        <v>1</v>
      </c>
      <c r="X677" s="136" t="str">
        <f>tbl_IO_List[[#This Row],[Chassis]]&amp;"S"&amp;TEXT(tbl_IO_List[[#This Row],[Slot]],"00")</f>
        <v>C4S04</v>
      </c>
      <c r="Y677" s="136" t="str">
        <f>tbl_IO_List[[#This Row],[Chassis]]&amp;"S"&amp;TEXT(tbl_IO_List[[#This Row],[Slot]],"00")&amp;tbl_IO_List[[#This Row],[I/O Type]]&amp;TEXT(tbl_IO_List[[#This Row],[Point]],"00")</f>
        <v>C4S04DO00</v>
      </c>
      <c r="Z677" s="136" t="str">
        <f>tbl_IO_List[[#This Row],[Chassis]]&amp;"S"&amp;TEXT(tbl_IO_List[[#This Row],[Slot]],"00")&amp;","&amp;TEXT(tbl_IO_List[[#This Row],[Point]],"00")</f>
        <v>C4S04,00</v>
      </c>
      <c r="AA677" s="136" t="str">
        <f>VLOOKUP(tbl_IO_List[[#This Row],[Column23]],tbl_RackConfig[],5,FALSE) &amp;"-"&amp;tbl_IO_List[[#This Row],[Point]]</f>
        <v>1756-OB32-0</v>
      </c>
      <c r="AB677" s="136"/>
      <c r="AC677" s="136"/>
      <c r="AD677" s="136" t="str">
        <f>tbl_IO_List[[#This Row],[I/O Type]]</f>
        <v>DO</v>
      </c>
      <c r="AE677" s="136" t="s">
        <v>1335</v>
      </c>
      <c r="AF677" s="136">
        <v>4</v>
      </c>
      <c r="AG677" s="136">
        <v>0</v>
      </c>
      <c r="AH677" s="136"/>
      <c r="AI677" s="136"/>
      <c r="AJ677" s="136">
        <v>0</v>
      </c>
      <c r="AK677" s="136">
        <v>1</v>
      </c>
      <c r="AL677" s="136">
        <v>0</v>
      </c>
      <c r="AM677" s="136">
        <v>0</v>
      </c>
      <c r="AN677" s="136">
        <v>0</v>
      </c>
      <c r="AO677" s="136"/>
      <c r="AP677" s="143" t="str">
        <f>VLOOKUP(tbl_IO_List[[#This Row],[Instruement Tag]],tbl_Instruement_List[],14,FALSE)</f>
        <v>24 VDC energized</v>
      </c>
      <c r="AQ677" s="143" t="str">
        <f>tbl_IO_List[[#This Row],[Chassis]]&amp;"S"&amp;tbl_IO_List[[#This Row],[Slot]]&amp;"-"&amp;tbl_IO_List[[#This Row],[Front Terminal Number]]</f>
        <v>C4S4-</v>
      </c>
      <c r="AR677" s="143"/>
      <c r="AS677" s="136" t="str">
        <f>tbl_IO_List[[#This Row],[Terminal Tagging]]&amp;"-"&amp;tbl_IO_List[[#This Row],[Point-Count]]</f>
        <v>-</v>
      </c>
      <c r="AT677" s="136" t="str">
        <f>tbl_IO_List[[#This Row],[Front Terminal Tagging]]&amp;"/"&amp;tbl_IO_List[[#This Row],[Terminal Tagging-Item]]</f>
        <v>C4S4-/-</v>
      </c>
      <c r="AU677" s="136" t="str">
        <f>tbl_IO_List[[#This Row],[Terminal Tagging-Item]]&amp;"/"&amp;tbl_IO_List[[#This Row],[Front Terminal Tagging]]</f>
        <v>-/C4S4-</v>
      </c>
    </row>
    <row r="678" spans="1:47" hidden="1">
      <c r="A678" s="147" t="s">
        <v>1371</v>
      </c>
      <c r="B678" s="136" t="s">
        <v>265</v>
      </c>
      <c r="C678" s="136" t="str">
        <f>tbl_IO_List[[#This Row],[Column3]]</f>
        <v>C4S04,01</v>
      </c>
      <c r="D678" s="136" t="str">
        <f>tbl_IO_List[[#This Row],[Card]]</f>
        <v>1756-OB32-1</v>
      </c>
      <c r="E678" s="136" t="s">
        <v>1366</v>
      </c>
      <c r="F678" s="136" t="str">
        <f>tbl_IO_List[[#This Row],[Column23]]&amp;"-" &amp;tbl_IO_List[[#This Row],[Column52]]</f>
        <v>C4S04-X1</v>
      </c>
      <c r="G678" s="136" t="str">
        <f>tbl_IO_List[[#This Row],[PLC_Tag]]</f>
        <v>Spare_DO_0</v>
      </c>
      <c r="H678" s="136"/>
      <c r="I678" s="136" t="str">
        <f>VLOOKUP(tbl_IO_List[[#This Row],[Destination]],tbl_Junction[],2,FALSE)</f>
        <v>Spray Dryer 6th Floor</v>
      </c>
      <c r="J678" s="136" t="s">
        <v>265</v>
      </c>
      <c r="K678" s="136" t="s">
        <v>14</v>
      </c>
      <c r="L678" s="136" t="s">
        <v>411</v>
      </c>
      <c r="M678" s="136" t="e">
        <f>VLOOKUP(tbl_IO_List[[#This Row],[Instruement Tag]],tbl_Instruement_List[],2,FALSE)</f>
        <v>#N/A</v>
      </c>
      <c r="N678" s="136"/>
      <c r="O678" s="136"/>
      <c r="P678" s="136"/>
      <c r="Q678" s="136" t="e">
        <f>VLOOKUP(tbl_IO_List[[#This Row],[Instruement Tag]],tbl_Instruement_List[],6,FALSE)</f>
        <v>#N/A</v>
      </c>
      <c r="R678" s="136"/>
      <c r="S67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,DO=,AI=,AO=,Bus=</v>
      </c>
      <c r="T678" s="136" t="str">
        <f>tbl_IO_List[[#This Row],[Instruement Tag]]&amp;"_"&amp;tbl_IO_List[[#This Row],[I/O Type]]&amp;"_"&amp;tbl_IO_List[[#This Row],[IO-Point 
(Instruement)]]</f>
        <v>Spare_DO_0</v>
      </c>
      <c r="U678" s="136" t="s">
        <v>7</v>
      </c>
      <c r="V678" s="136">
        <f>VLOOKUP(tbl_IO_List[[#This Row],[I/O Type]],tbl_Slot_Group[],2,FALSE)</f>
        <v>2</v>
      </c>
      <c r="W678" s="136">
        <v>0</v>
      </c>
      <c r="X678" s="136" t="str">
        <f>tbl_IO_List[[#This Row],[Chassis]]&amp;"S"&amp;TEXT(tbl_IO_List[[#This Row],[Slot]],"00")</f>
        <v>C4S04</v>
      </c>
      <c r="Y678" s="136" t="str">
        <f>tbl_IO_List[[#This Row],[Chassis]]&amp;"S"&amp;TEXT(tbl_IO_List[[#This Row],[Slot]],"00")&amp;tbl_IO_List[[#This Row],[I/O Type]]&amp;TEXT(tbl_IO_List[[#This Row],[Point]],"00")</f>
        <v>C4S04DO01</v>
      </c>
      <c r="Z678" s="136" t="str">
        <f>tbl_IO_List[[#This Row],[Chassis]]&amp;"S"&amp;TEXT(tbl_IO_List[[#This Row],[Slot]],"00")&amp;","&amp;TEXT(tbl_IO_List[[#This Row],[Point]],"00")</f>
        <v>C4S04,01</v>
      </c>
      <c r="AA678" s="136" t="str">
        <f>VLOOKUP(tbl_IO_List[[#This Row],[Column23]],tbl_RackConfig[],5,FALSE) &amp;"-"&amp;tbl_IO_List[[#This Row],[Point]]</f>
        <v>1756-OB32-1</v>
      </c>
      <c r="AB678" s="136"/>
      <c r="AC678" s="136"/>
      <c r="AD678" s="136" t="str">
        <f>tbl_IO_List[[#This Row],[I/O Type]]</f>
        <v>DO</v>
      </c>
      <c r="AE678" s="136" t="s">
        <v>1335</v>
      </c>
      <c r="AF678" s="136">
        <v>4</v>
      </c>
      <c r="AG678" s="136">
        <v>1</v>
      </c>
      <c r="AH678" s="136"/>
      <c r="AI678" s="136"/>
      <c r="AJ678" s="136"/>
      <c r="AK678" s="136"/>
      <c r="AL678" s="136"/>
      <c r="AM678" s="136"/>
      <c r="AN678" s="136"/>
      <c r="AO678" s="136"/>
      <c r="AP678" s="143"/>
      <c r="AQ678" s="143" t="str">
        <f>tbl_IO_List[[#This Row],[Chassis]]&amp;"S"&amp;tbl_IO_List[[#This Row],[Slot]]&amp;"-"&amp;tbl_IO_List[[#This Row],[Front Terminal Number]]</f>
        <v>C4S4-</v>
      </c>
      <c r="AR678" s="143"/>
      <c r="AS678" s="136" t="str">
        <f>tbl_IO_List[[#This Row],[Terminal Tagging]]&amp;"-"&amp;tbl_IO_List[[#This Row],[Point-Count]]</f>
        <v>-</v>
      </c>
      <c r="AT678" s="136" t="str">
        <f>tbl_IO_List[[#This Row],[Front Terminal Tagging]]&amp;"/"&amp;tbl_IO_List[[#This Row],[Terminal Tagging-Item]]</f>
        <v>C4S4-/-</v>
      </c>
      <c r="AU678" s="136" t="str">
        <f>tbl_IO_List[[#This Row],[Terminal Tagging-Item]]&amp;"/"&amp;tbl_IO_List[[#This Row],[Front Terminal Tagging]]</f>
        <v>-/C4S4-</v>
      </c>
    </row>
    <row r="679" spans="1:47" hidden="1">
      <c r="A679" s="147" t="s">
        <v>1371</v>
      </c>
      <c r="B679" s="136" t="s">
        <v>265</v>
      </c>
      <c r="C679" s="136" t="str">
        <f>tbl_IO_List[[#This Row],[Column3]]</f>
        <v>C4S04,02</v>
      </c>
      <c r="D679" s="136" t="str">
        <f>tbl_IO_List[[#This Row],[Card]]</f>
        <v>1756-OB32-2</v>
      </c>
      <c r="E679" s="136" t="s">
        <v>1366</v>
      </c>
      <c r="F679" s="136" t="str">
        <f>tbl_IO_List[[#This Row],[Column23]]&amp;"-" &amp;tbl_IO_List[[#This Row],[Column52]]</f>
        <v>C4S04-X1</v>
      </c>
      <c r="G679" s="136" t="str">
        <f>tbl_IO_List[[#This Row],[PLC_Tag]]</f>
        <v>Spare_DO_0</v>
      </c>
      <c r="H679" s="136"/>
      <c r="I679" s="136" t="str">
        <f>VLOOKUP(tbl_IO_List[[#This Row],[Destination]],tbl_Junction[],2,FALSE)</f>
        <v>Spray Dryer 6th Floor</v>
      </c>
      <c r="J679" s="136" t="s">
        <v>265</v>
      </c>
      <c r="K679" s="136" t="s">
        <v>14</v>
      </c>
      <c r="L679" s="136" t="s">
        <v>411</v>
      </c>
      <c r="M679" s="136" t="e">
        <f>VLOOKUP(tbl_IO_List[[#This Row],[Instruement Tag]],tbl_Instruement_List[],2,FALSE)</f>
        <v>#N/A</v>
      </c>
      <c r="N679" s="136"/>
      <c r="O679" s="136"/>
      <c r="P679" s="136"/>
      <c r="Q679" s="136" t="e">
        <f>VLOOKUP(tbl_IO_List[[#This Row],[Instruement Tag]],tbl_Instruement_List[],6,FALSE)</f>
        <v>#N/A</v>
      </c>
      <c r="R679" s="136"/>
      <c r="S67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,DO=,AI=,AO=,Bus=</v>
      </c>
      <c r="T679" s="136" t="str">
        <f>tbl_IO_List[[#This Row],[Instruement Tag]]&amp;"_"&amp;tbl_IO_List[[#This Row],[I/O Type]]&amp;"_"&amp;tbl_IO_List[[#This Row],[IO-Point 
(Instruement)]]</f>
        <v>Spare_DO_0</v>
      </c>
      <c r="U679" s="136" t="s">
        <v>7</v>
      </c>
      <c r="V679" s="136">
        <f>VLOOKUP(tbl_IO_List[[#This Row],[I/O Type]],tbl_Slot_Group[],2,FALSE)</f>
        <v>2</v>
      </c>
      <c r="W679" s="136">
        <v>0</v>
      </c>
      <c r="X679" s="136" t="str">
        <f>tbl_IO_List[[#This Row],[Chassis]]&amp;"S"&amp;TEXT(tbl_IO_List[[#This Row],[Slot]],"00")</f>
        <v>C4S04</v>
      </c>
      <c r="Y679" s="136" t="str">
        <f>tbl_IO_List[[#This Row],[Chassis]]&amp;"S"&amp;TEXT(tbl_IO_List[[#This Row],[Slot]],"00")&amp;tbl_IO_List[[#This Row],[I/O Type]]&amp;TEXT(tbl_IO_List[[#This Row],[Point]],"00")</f>
        <v>C4S04DO02</v>
      </c>
      <c r="Z679" s="136" t="str">
        <f>tbl_IO_List[[#This Row],[Chassis]]&amp;"S"&amp;TEXT(tbl_IO_List[[#This Row],[Slot]],"00")&amp;","&amp;TEXT(tbl_IO_List[[#This Row],[Point]],"00")</f>
        <v>C4S04,02</v>
      </c>
      <c r="AA679" s="136" t="str">
        <f>VLOOKUP(tbl_IO_List[[#This Row],[Column23]],tbl_RackConfig[],5,FALSE) &amp;"-"&amp;tbl_IO_List[[#This Row],[Point]]</f>
        <v>1756-OB32-2</v>
      </c>
      <c r="AB679" s="136"/>
      <c r="AC679" s="136"/>
      <c r="AD679" s="136" t="str">
        <f>tbl_IO_List[[#This Row],[I/O Type]]</f>
        <v>DO</v>
      </c>
      <c r="AE679" s="136" t="s">
        <v>1335</v>
      </c>
      <c r="AF679" s="136">
        <v>4</v>
      </c>
      <c r="AG679" s="136">
        <v>2</v>
      </c>
      <c r="AH679" s="136"/>
      <c r="AI679" s="136"/>
      <c r="AJ679" s="136"/>
      <c r="AK679" s="136"/>
      <c r="AL679" s="136"/>
      <c r="AM679" s="136"/>
      <c r="AN679" s="136"/>
      <c r="AO679" s="136"/>
      <c r="AP679" s="143"/>
      <c r="AQ679" s="143" t="str">
        <f>tbl_IO_List[[#This Row],[Chassis]]&amp;"S"&amp;tbl_IO_List[[#This Row],[Slot]]&amp;"-"&amp;tbl_IO_List[[#This Row],[Front Terminal Number]]</f>
        <v>C4S4-</v>
      </c>
      <c r="AR679" s="143"/>
      <c r="AS679" s="136" t="str">
        <f>tbl_IO_List[[#This Row],[Terminal Tagging]]&amp;"-"&amp;tbl_IO_List[[#This Row],[Point-Count]]</f>
        <v>-</v>
      </c>
      <c r="AT679" s="136" t="str">
        <f>tbl_IO_List[[#This Row],[Front Terminal Tagging]]&amp;"/"&amp;tbl_IO_List[[#This Row],[Terminal Tagging-Item]]</f>
        <v>C4S4-/-</v>
      </c>
      <c r="AU679" s="136" t="str">
        <f>tbl_IO_List[[#This Row],[Terminal Tagging-Item]]&amp;"/"&amp;tbl_IO_List[[#This Row],[Front Terminal Tagging]]</f>
        <v>-/C4S4-</v>
      </c>
    </row>
    <row r="680" spans="1:47" hidden="1">
      <c r="A680" s="147" t="s">
        <v>1371</v>
      </c>
      <c r="B680" s="136" t="s">
        <v>265</v>
      </c>
      <c r="C680" s="136" t="str">
        <f>tbl_IO_List[[#This Row],[Column3]]</f>
        <v>C4S04,03</v>
      </c>
      <c r="D680" s="136" t="str">
        <f>tbl_IO_List[[#This Row],[Card]]</f>
        <v>1756-OB32-3</v>
      </c>
      <c r="E680" s="136" t="s">
        <v>1366</v>
      </c>
      <c r="F680" s="136" t="str">
        <f>tbl_IO_List[[#This Row],[Column23]]&amp;"-" &amp;tbl_IO_List[[#This Row],[Column52]]</f>
        <v>C4S04-X1</v>
      </c>
      <c r="G680" s="136" t="str">
        <f>tbl_IO_List[[#This Row],[PLC_Tag]]</f>
        <v>Spare_DO_0</v>
      </c>
      <c r="H680" s="136"/>
      <c r="I680" s="136" t="str">
        <f>VLOOKUP(tbl_IO_List[[#This Row],[Destination]],tbl_Junction[],2,FALSE)</f>
        <v>Spray Dryer 6th Floor</v>
      </c>
      <c r="J680" s="136" t="s">
        <v>265</v>
      </c>
      <c r="K680" s="136" t="s">
        <v>14</v>
      </c>
      <c r="L680" s="136" t="s">
        <v>411</v>
      </c>
      <c r="M680" s="136" t="e">
        <f>VLOOKUP(tbl_IO_List[[#This Row],[Instruement Tag]],tbl_Instruement_List[],2,FALSE)</f>
        <v>#N/A</v>
      </c>
      <c r="N680" s="136"/>
      <c r="O680" s="136"/>
      <c r="P680" s="136"/>
      <c r="Q680" s="136" t="e">
        <f>VLOOKUP(tbl_IO_List[[#This Row],[Instruement Tag]],tbl_Instruement_List[],6,FALSE)</f>
        <v>#N/A</v>
      </c>
      <c r="R680" s="136"/>
      <c r="S68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,DO=,AI=,AO=,Bus=</v>
      </c>
      <c r="T680" s="136" t="str">
        <f>tbl_IO_List[[#This Row],[Instruement Tag]]&amp;"_"&amp;tbl_IO_List[[#This Row],[I/O Type]]&amp;"_"&amp;tbl_IO_List[[#This Row],[IO-Point 
(Instruement)]]</f>
        <v>Spare_DO_0</v>
      </c>
      <c r="U680" s="136" t="s">
        <v>7</v>
      </c>
      <c r="V680" s="136">
        <f>VLOOKUP(tbl_IO_List[[#This Row],[I/O Type]],tbl_Slot_Group[],2,FALSE)</f>
        <v>2</v>
      </c>
      <c r="W680" s="136">
        <v>0</v>
      </c>
      <c r="X680" s="136" t="str">
        <f>tbl_IO_List[[#This Row],[Chassis]]&amp;"S"&amp;TEXT(tbl_IO_List[[#This Row],[Slot]],"00")</f>
        <v>C4S04</v>
      </c>
      <c r="Y680" s="136" t="str">
        <f>tbl_IO_List[[#This Row],[Chassis]]&amp;"S"&amp;TEXT(tbl_IO_List[[#This Row],[Slot]],"00")&amp;tbl_IO_List[[#This Row],[I/O Type]]&amp;TEXT(tbl_IO_List[[#This Row],[Point]],"00")</f>
        <v>C4S04DO03</v>
      </c>
      <c r="Z680" s="136" t="str">
        <f>tbl_IO_List[[#This Row],[Chassis]]&amp;"S"&amp;TEXT(tbl_IO_List[[#This Row],[Slot]],"00")&amp;","&amp;TEXT(tbl_IO_List[[#This Row],[Point]],"00")</f>
        <v>C4S04,03</v>
      </c>
      <c r="AA680" s="136" t="str">
        <f>VLOOKUP(tbl_IO_List[[#This Row],[Column23]],tbl_RackConfig[],5,FALSE) &amp;"-"&amp;tbl_IO_List[[#This Row],[Point]]</f>
        <v>1756-OB32-3</v>
      </c>
      <c r="AB680" s="136"/>
      <c r="AC680" s="136"/>
      <c r="AD680" s="136" t="str">
        <f>tbl_IO_List[[#This Row],[I/O Type]]</f>
        <v>DO</v>
      </c>
      <c r="AE680" s="136" t="s">
        <v>1335</v>
      </c>
      <c r="AF680" s="136">
        <v>4</v>
      </c>
      <c r="AG680" s="136">
        <v>3</v>
      </c>
      <c r="AH680" s="136"/>
      <c r="AI680" s="136"/>
      <c r="AJ680" s="136"/>
      <c r="AK680" s="136"/>
      <c r="AL680" s="136"/>
      <c r="AM680" s="136"/>
      <c r="AN680" s="136"/>
      <c r="AO680" s="136"/>
      <c r="AP680" s="143"/>
      <c r="AQ680" s="143" t="str">
        <f>tbl_IO_List[[#This Row],[Chassis]]&amp;"S"&amp;tbl_IO_List[[#This Row],[Slot]]&amp;"-"&amp;tbl_IO_List[[#This Row],[Front Terminal Number]]</f>
        <v>C4S4-</v>
      </c>
      <c r="AR680" s="143"/>
      <c r="AS680" s="136" t="str">
        <f>tbl_IO_List[[#This Row],[Terminal Tagging]]&amp;"-"&amp;tbl_IO_List[[#This Row],[Point-Count]]</f>
        <v>-</v>
      </c>
      <c r="AT680" s="136" t="str">
        <f>tbl_IO_List[[#This Row],[Front Terminal Tagging]]&amp;"/"&amp;tbl_IO_List[[#This Row],[Terminal Tagging-Item]]</f>
        <v>C4S4-/-</v>
      </c>
      <c r="AU680" s="136" t="str">
        <f>tbl_IO_List[[#This Row],[Terminal Tagging-Item]]&amp;"/"&amp;tbl_IO_List[[#This Row],[Front Terminal Tagging]]</f>
        <v>-/C4S4-</v>
      </c>
    </row>
    <row r="681" spans="1:47" hidden="1">
      <c r="A681" s="147" t="s">
        <v>1371</v>
      </c>
      <c r="B681" s="136" t="s">
        <v>265</v>
      </c>
      <c r="C681" s="136" t="str">
        <f>tbl_IO_List[[#This Row],[Column3]]</f>
        <v>C4S04,04</v>
      </c>
      <c r="D681" s="136" t="str">
        <f>tbl_IO_List[[#This Row],[Card]]</f>
        <v>1756-OB32-4</v>
      </c>
      <c r="E681" s="136" t="s">
        <v>1366</v>
      </c>
      <c r="F681" s="136" t="str">
        <f>tbl_IO_List[[#This Row],[Column23]]&amp;"-" &amp;tbl_IO_List[[#This Row],[Column52]]</f>
        <v>C4S04-X1</v>
      </c>
      <c r="G681" s="136" t="str">
        <f>tbl_IO_List[[#This Row],[PLC_Tag]]</f>
        <v>Spare_DO_0</v>
      </c>
      <c r="H681" s="136"/>
      <c r="I681" s="136" t="str">
        <f>VLOOKUP(tbl_IO_List[[#This Row],[Destination]],tbl_Junction[],2,FALSE)</f>
        <v>Spray Dryer 6th Floor</v>
      </c>
      <c r="J681" s="136" t="s">
        <v>265</v>
      </c>
      <c r="K681" s="136" t="s">
        <v>14</v>
      </c>
      <c r="L681" s="136" t="s">
        <v>411</v>
      </c>
      <c r="M681" s="136" t="e">
        <f>VLOOKUP(tbl_IO_List[[#This Row],[Instruement Tag]],tbl_Instruement_List[],2,FALSE)</f>
        <v>#N/A</v>
      </c>
      <c r="N681" s="136"/>
      <c r="O681" s="136"/>
      <c r="P681" s="136"/>
      <c r="Q681" s="136" t="e">
        <f>VLOOKUP(tbl_IO_List[[#This Row],[Instruement Tag]],tbl_Instruement_List[],6,FALSE)</f>
        <v>#N/A</v>
      </c>
      <c r="R681" s="136"/>
      <c r="S68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,DO=,AI=,AO=,Bus=</v>
      </c>
      <c r="T681" s="136" t="str">
        <f>tbl_IO_List[[#This Row],[Instruement Tag]]&amp;"_"&amp;tbl_IO_List[[#This Row],[I/O Type]]&amp;"_"&amp;tbl_IO_List[[#This Row],[IO-Point 
(Instruement)]]</f>
        <v>Spare_DO_0</v>
      </c>
      <c r="U681" s="136" t="s">
        <v>7</v>
      </c>
      <c r="V681" s="136">
        <f>VLOOKUP(tbl_IO_List[[#This Row],[I/O Type]],tbl_Slot_Group[],2,FALSE)</f>
        <v>2</v>
      </c>
      <c r="W681" s="136">
        <v>0</v>
      </c>
      <c r="X681" s="136" t="str">
        <f>tbl_IO_List[[#This Row],[Chassis]]&amp;"S"&amp;TEXT(tbl_IO_List[[#This Row],[Slot]],"00")</f>
        <v>C4S04</v>
      </c>
      <c r="Y681" s="136" t="str">
        <f>tbl_IO_List[[#This Row],[Chassis]]&amp;"S"&amp;TEXT(tbl_IO_List[[#This Row],[Slot]],"00")&amp;tbl_IO_List[[#This Row],[I/O Type]]&amp;TEXT(tbl_IO_List[[#This Row],[Point]],"00")</f>
        <v>C4S04DO04</v>
      </c>
      <c r="Z681" s="136" t="str">
        <f>tbl_IO_List[[#This Row],[Chassis]]&amp;"S"&amp;TEXT(tbl_IO_List[[#This Row],[Slot]],"00")&amp;","&amp;TEXT(tbl_IO_List[[#This Row],[Point]],"00")</f>
        <v>C4S04,04</v>
      </c>
      <c r="AA681" s="136" t="str">
        <f>VLOOKUP(tbl_IO_List[[#This Row],[Column23]],tbl_RackConfig[],5,FALSE) &amp;"-"&amp;tbl_IO_List[[#This Row],[Point]]</f>
        <v>1756-OB32-4</v>
      </c>
      <c r="AB681" s="136"/>
      <c r="AC681" s="136"/>
      <c r="AD681" s="136" t="str">
        <f>tbl_IO_List[[#This Row],[I/O Type]]</f>
        <v>DO</v>
      </c>
      <c r="AE681" s="136" t="s">
        <v>1335</v>
      </c>
      <c r="AF681" s="136">
        <v>4</v>
      </c>
      <c r="AG681" s="136">
        <v>4</v>
      </c>
      <c r="AH681" s="136"/>
      <c r="AI681" s="136"/>
      <c r="AJ681" s="136"/>
      <c r="AK681" s="136"/>
      <c r="AL681" s="136"/>
      <c r="AM681" s="136"/>
      <c r="AN681" s="136"/>
      <c r="AO681" s="136"/>
      <c r="AP681" s="143"/>
      <c r="AQ681" s="143" t="str">
        <f>tbl_IO_List[[#This Row],[Chassis]]&amp;"S"&amp;tbl_IO_List[[#This Row],[Slot]]&amp;"-"&amp;tbl_IO_List[[#This Row],[Front Terminal Number]]</f>
        <v>C4S4-</v>
      </c>
      <c r="AR681" s="143"/>
      <c r="AS681" s="136" t="str">
        <f>tbl_IO_List[[#This Row],[Terminal Tagging]]&amp;"-"&amp;tbl_IO_List[[#This Row],[Point-Count]]</f>
        <v>-</v>
      </c>
      <c r="AT681" s="136" t="str">
        <f>tbl_IO_List[[#This Row],[Front Terminal Tagging]]&amp;"/"&amp;tbl_IO_List[[#This Row],[Terminal Tagging-Item]]</f>
        <v>C4S4-/-</v>
      </c>
      <c r="AU681" s="136" t="str">
        <f>tbl_IO_List[[#This Row],[Terminal Tagging-Item]]&amp;"/"&amp;tbl_IO_List[[#This Row],[Front Terminal Tagging]]</f>
        <v>-/C4S4-</v>
      </c>
    </row>
    <row r="682" spans="1:47" hidden="1">
      <c r="A682" s="147" t="s">
        <v>1371</v>
      </c>
      <c r="B682" s="136" t="s">
        <v>265</v>
      </c>
      <c r="C682" s="136" t="str">
        <f>tbl_IO_List[[#This Row],[Column3]]</f>
        <v>C4S04,05</v>
      </c>
      <c r="D682" s="136" t="str">
        <f>tbl_IO_List[[#This Row],[Card]]</f>
        <v>1756-OB32-5</v>
      </c>
      <c r="E682" s="136" t="s">
        <v>1366</v>
      </c>
      <c r="F682" s="136" t="str">
        <f>tbl_IO_List[[#This Row],[Column23]]&amp;"-" &amp;tbl_IO_List[[#This Row],[Column52]]</f>
        <v>C4S04-X1</v>
      </c>
      <c r="G682" s="136" t="str">
        <f>tbl_IO_List[[#This Row],[PLC_Tag]]</f>
        <v>Spare_DO_0</v>
      </c>
      <c r="H682" s="136"/>
      <c r="I682" s="136" t="str">
        <f>VLOOKUP(tbl_IO_List[[#This Row],[Destination]],tbl_Junction[],2,FALSE)</f>
        <v>Spray Dryer 6th Floor</v>
      </c>
      <c r="J682" s="136" t="s">
        <v>265</v>
      </c>
      <c r="K682" s="136" t="s">
        <v>14</v>
      </c>
      <c r="L682" s="136" t="s">
        <v>411</v>
      </c>
      <c r="M682" s="136" t="e">
        <f>VLOOKUP(tbl_IO_List[[#This Row],[Instruement Tag]],tbl_Instruement_List[],2,FALSE)</f>
        <v>#N/A</v>
      </c>
      <c r="N682" s="136"/>
      <c r="O682" s="136"/>
      <c r="P682" s="136"/>
      <c r="Q682" s="136" t="e">
        <f>VLOOKUP(tbl_IO_List[[#This Row],[Instruement Tag]],tbl_Instruement_List[],6,FALSE)</f>
        <v>#N/A</v>
      </c>
      <c r="R682" s="136"/>
      <c r="S68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,DO=,AI=,AO=,Bus=</v>
      </c>
      <c r="T682" s="136" t="str">
        <f>tbl_IO_List[[#This Row],[Instruement Tag]]&amp;"_"&amp;tbl_IO_List[[#This Row],[I/O Type]]&amp;"_"&amp;tbl_IO_List[[#This Row],[IO-Point 
(Instruement)]]</f>
        <v>Spare_DO_0</v>
      </c>
      <c r="U682" s="136" t="s">
        <v>7</v>
      </c>
      <c r="V682" s="136">
        <f>VLOOKUP(tbl_IO_List[[#This Row],[I/O Type]],tbl_Slot_Group[],2,FALSE)</f>
        <v>2</v>
      </c>
      <c r="W682" s="136">
        <v>0</v>
      </c>
      <c r="X682" s="136" t="str">
        <f>tbl_IO_List[[#This Row],[Chassis]]&amp;"S"&amp;TEXT(tbl_IO_List[[#This Row],[Slot]],"00")</f>
        <v>C4S04</v>
      </c>
      <c r="Y682" s="136" t="str">
        <f>tbl_IO_List[[#This Row],[Chassis]]&amp;"S"&amp;TEXT(tbl_IO_List[[#This Row],[Slot]],"00")&amp;tbl_IO_List[[#This Row],[I/O Type]]&amp;TEXT(tbl_IO_List[[#This Row],[Point]],"00")</f>
        <v>C4S04DO05</v>
      </c>
      <c r="Z682" s="136" t="str">
        <f>tbl_IO_List[[#This Row],[Chassis]]&amp;"S"&amp;TEXT(tbl_IO_List[[#This Row],[Slot]],"00")&amp;","&amp;TEXT(tbl_IO_List[[#This Row],[Point]],"00")</f>
        <v>C4S04,05</v>
      </c>
      <c r="AA682" s="136" t="str">
        <f>VLOOKUP(tbl_IO_List[[#This Row],[Column23]],tbl_RackConfig[],5,FALSE) &amp;"-"&amp;tbl_IO_List[[#This Row],[Point]]</f>
        <v>1756-OB32-5</v>
      </c>
      <c r="AB682" s="136"/>
      <c r="AC682" s="136"/>
      <c r="AD682" s="136" t="str">
        <f>tbl_IO_List[[#This Row],[I/O Type]]</f>
        <v>DO</v>
      </c>
      <c r="AE682" s="136" t="s">
        <v>1335</v>
      </c>
      <c r="AF682" s="136">
        <v>4</v>
      </c>
      <c r="AG682" s="136">
        <v>5</v>
      </c>
      <c r="AH682" s="136"/>
      <c r="AI682" s="136"/>
      <c r="AJ682" s="136"/>
      <c r="AK682" s="136"/>
      <c r="AL682" s="136"/>
      <c r="AM682" s="136"/>
      <c r="AN682" s="136"/>
      <c r="AO682" s="136"/>
      <c r="AP682" s="143"/>
      <c r="AQ682" s="143" t="str">
        <f>tbl_IO_List[[#This Row],[Chassis]]&amp;"S"&amp;tbl_IO_List[[#This Row],[Slot]]&amp;"-"&amp;tbl_IO_List[[#This Row],[Front Terminal Number]]</f>
        <v>C4S4-</v>
      </c>
      <c r="AR682" s="143"/>
      <c r="AS682" s="136" t="str">
        <f>tbl_IO_List[[#This Row],[Terminal Tagging]]&amp;"-"&amp;tbl_IO_List[[#This Row],[Point-Count]]</f>
        <v>-</v>
      </c>
      <c r="AT682" s="136" t="str">
        <f>tbl_IO_List[[#This Row],[Front Terminal Tagging]]&amp;"/"&amp;tbl_IO_List[[#This Row],[Terminal Tagging-Item]]</f>
        <v>C4S4-/-</v>
      </c>
      <c r="AU682" s="136" t="str">
        <f>tbl_IO_List[[#This Row],[Terminal Tagging-Item]]&amp;"/"&amp;tbl_IO_List[[#This Row],[Front Terminal Tagging]]</f>
        <v>-/C4S4-</v>
      </c>
    </row>
    <row r="683" spans="1:47" hidden="1">
      <c r="A683" s="147" t="s">
        <v>1371</v>
      </c>
      <c r="B683" s="136" t="s">
        <v>265</v>
      </c>
      <c r="C683" s="136" t="str">
        <f>tbl_IO_List[[#This Row],[Column3]]</f>
        <v>C4S04,06</v>
      </c>
      <c r="D683" s="136" t="str">
        <f>tbl_IO_List[[#This Row],[Card]]</f>
        <v>1756-OB32-6</v>
      </c>
      <c r="E683" s="136" t="s">
        <v>1366</v>
      </c>
      <c r="F683" s="136" t="str">
        <f>tbl_IO_List[[#This Row],[Column23]]&amp;"-" &amp;tbl_IO_List[[#This Row],[Column52]]</f>
        <v>C4S04-X1</v>
      </c>
      <c r="G683" s="136" t="str">
        <f>tbl_IO_List[[#This Row],[PLC_Tag]]</f>
        <v>Spare_DO_0</v>
      </c>
      <c r="H683" s="136"/>
      <c r="I683" s="136" t="str">
        <f>VLOOKUP(tbl_IO_List[[#This Row],[Destination]],tbl_Junction[],2,FALSE)</f>
        <v>Spray Dryer 6th Floor</v>
      </c>
      <c r="J683" s="136" t="s">
        <v>265</v>
      </c>
      <c r="K683" s="136" t="s">
        <v>14</v>
      </c>
      <c r="L683" s="136" t="s">
        <v>411</v>
      </c>
      <c r="M683" s="136" t="e">
        <f>VLOOKUP(tbl_IO_List[[#This Row],[Instruement Tag]],tbl_Instruement_List[],2,FALSE)</f>
        <v>#N/A</v>
      </c>
      <c r="N683" s="136"/>
      <c r="O683" s="136"/>
      <c r="P683" s="136"/>
      <c r="Q683" s="136" t="e">
        <f>VLOOKUP(tbl_IO_List[[#This Row],[Instruement Tag]],tbl_Instruement_List[],6,FALSE)</f>
        <v>#N/A</v>
      </c>
      <c r="R683" s="136"/>
      <c r="S68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,DO=,AI=,AO=,Bus=</v>
      </c>
      <c r="T683" s="136" t="str">
        <f>tbl_IO_List[[#This Row],[Instruement Tag]]&amp;"_"&amp;tbl_IO_List[[#This Row],[I/O Type]]&amp;"_"&amp;tbl_IO_List[[#This Row],[IO-Point 
(Instruement)]]</f>
        <v>Spare_DO_0</v>
      </c>
      <c r="U683" s="136" t="s">
        <v>7</v>
      </c>
      <c r="V683" s="136">
        <f>VLOOKUP(tbl_IO_List[[#This Row],[I/O Type]],tbl_Slot_Group[],2,FALSE)</f>
        <v>2</v>
      </c>
      <c r="W683" s="136">
        <v>0</v>
      </c>
      <c r="X683" s="136" t="str">
        <f>tbl_IO_List[[#This Row],[Chassis]]&amp;"S"&amp;TEXT(tbl_IO_List[[#This Row],[Slot]],"00")</f>
        <v>C4S04</v>
      </c>
      <c r="Y683" s="136" t="str">
        <f>tbl_IO_List[[#This Row],[Chassis]]&amp;"S"&amp;TEXT(tbl_IO_List[[#This Row],[Slot]],"00")&amp;tbl_IO_List[[#This Row],[I/O Type]]&amp;TEXT(tbl_IO_List[[#This Row],[Point]],"00")</f>
        <v>C4S04DO06</v>
      </c>
      <c r="Z683" s="136" t="str">
        <f>tbl_IO_List[[#This Row],[Chassis]]&amp;"S"&amp;TEXT(tbl_IO_List[[#This Row],[Slot]],"00")&amp;","&amp;TEXT(tbl_IO_List[[#This Row],[Point]],"00")</f>
        <v>C4S04,06</v>
      </c>
      <c r="AA683" s="136" t="str">
        <f>VLOOKUP(tbl_IO_List[[#This Row],[Column23]],tbl_RackConfig[],5,FALSE) &amp;"-"&amp;tbl_IO_List[[#This Row],[Point]]</f>
        <v>1756-OB32-6</v>
      </c>
      <c r="AB683" s="136"/>
      <c r="AC683" s="136"/>
      <c r="AD683" s="136" t="str">
        <f>tbl_IO_List[[#This Row],[I/O Type]]</f>
        <v>DO</v>
      </c>
      <c r="AE683" s="136" t="s">
        <v>1335</v>
      </c>
      <c r="AF683" s="136">
        <v>4</v>
      </c>
      <c r="AG683" s="136">
        <v>6</v>
      </c>
      <c r="AH683" s="136"/>
      <c r="AI683" s="136"/>
      <c r="AJ683" s="136"/>
      <c r="AK683" s="136"/>
      <c r="AL683" s="136"/>
      <c r="AM683" s="136"/>
      <c r="AN683" s="136"/>
      <c r="AO683" s="136"/>
      <c r="AP683" s="143"/>
      <c r="AQ683" s="143" t="str">
        <f>tbl_IO_List[[#This Row],[Chassis]]&amp;"S"&amp;tbl_IO_List[[#This Row],[Slot]]&amp;"-"&amp;tbl_IO_List[[#This Row],[Front Terminal Number]]</f>
        <v>C4S4-</v>
      </c>
      <c r="AR683" s="143"/>
      <c r="AS683" s="136" t="str">
        <f>tbl_IO_List[[#This Row],[Terminal Tagging]]&amp;"-"&amp;tbl_IO_List[[#This Row],[Point-Count]]</f>
        <v>-</v>
      </c>
      <c r="AT683" s="136" t="str">
        <f>tbl_IO_List[[#This Row],[Front Terminal Tagging]]&amp;"/"&amp;tbl_IO_List[[#This Row],[Terminal Tagging-Item]]</f>
        <v>C4S4-/-</v>
      </c>
      <c r="AU683" s="136" t="str">
        <f>tbl_IO_List[[#This Row],[Terminal Tagging-Item]]&amp;"/"&amp;tbl_IO_List[[#This Row],[Front Terminal Tagging]]</f>
        <v>-/C4S4-</v>
      </c>
    </row>
    <row r="684" spans="1:47" hidden="1">
      <c r="A684" s="147" t="s">
        <v>1371</v>
      </c>
      <c r="B684" s="136" t="s">
        <v>265</v>
      </c>
      <c r="C684" s="136" t="str">
        <f>tbl_IO_List[[#This Row],[Column3]]</f>
        <v>C4S04,07</v>
      </c>
      <c r="D684" s="136" t="str">
        <f>tbl_IO_List[[#This Row],[Card]]</f>
        <v>1756-OB32-7</v>
      </c>
      <c r="E684" s="136" t="s">
        <v>1366</v>
      </c>
      <c r="F684" s="136" t="str">
        <f>tbl_IO_List[[#This Row],[Column23]]&amp;"-" &amp;tbl_IO_List[[#This Row],[Column52]]</f>
        <v>C4S04-X1</v>
      </c>
      <c r="G684" s="136" t="str">
        <f>tbl_IO_List[[#This Row],[PLC_Tag]]</f>
        <v>Spare_DO_0</v>
      </c>
      <c r="H684" s="136"/>
      <c r="I684" s="136" t="str">
        <f>VLOOKUP(tbl_IO_List[[#This Row],[Destination]],tbl_Junction[],2,FALSE)</f>
        <v>Spray Dryer 6th Floor</v>
      </c>
      <c r="J684" s="136" t="s">
        <v>265</v>
      </c>
      <c r="K684" s="136" t="s">
        <v>14</v>
      </c>
      <c r="L684" s="136" t="s">
        <v>411</v>
      </c>
      <c r="M684" s="136" t="e">
        <f>VLOOKUP(tbl_IO_List[[#This Row],[Instruement Tag]],tbl_Instruement_List[],2,FALSE)</f>
        <v>#N/A</v>
      </c>
      <c r="N684" s="136"/>
      <c r="O684" s="136"/>
      <c r="P684" s="136"/>
      <c r="Q684" s="136" t="e">
        <f>VLOOKUP(tbl_IO_List[[#This Row],[Instruement Tag]],tbl_Instruement_List[],6,FALSE)</f>
        <v>#N/A</v>
      </c>
      <c r="R684" s="136"/>
      <c r="S68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,DO=,AI=,AO=,Bus=</v>
      </c>
      <c r="T684" s="136" t="str">
        <f>tbl_IO_List[[#This Row],[Instruement Tag]]&amp;"_"&amp;tbl_IO_List[[#This Row],[I/O Type]]&amp;"_"&amp;tbl_IO_List[[#This Row],[IO-Point 
(Instruement)]]</f>
        <v>Spare_DO_0</v>
      </c>
      <c r="U684" s="136" t="s">
        <v>7</v>
      </c>
      <c r="V684" s="136">
        <f>VLOOKUP(tbl_IO_List[[#This Row],[I/O Type]],tbl_Slot_Group[],2,FALSE)</f>
        <v>2</v>
      </c>
      <c r="W684" s="136">
        <v>0</v>
      </c>
      <c r="X684" s="136" t="str">
        <f>tbl_IO_List[[#This Row],[Chassis]]&amp;"S"&amp;TEXT(tbl_IO_List[[#This Row],[Slot]],"00")</f>
        <v>C4S04</v>
      </c>
      <c r="Y684" s="136" t="str">
        <f>tbl_IO_List[[#This Row],[Chassis]]&amp;"S"&amp;TEXT(tbl_IO_List[[#This Row],[Slot]],"00")&amp;tbl_IO_List[[#This Row],[I/O Type]]&amp;TEXT(tbl_IO_List[[#This Row],[Point]],"00")</f>
        <v>C4S04DO07</v>
      </c>
      <c r="Z684" s="136" t="str">
        <f>tbl_IO_List[[#This Row],[Chassis]]&amp;"S"&amp;TEXT(tbl_IO_List[[#This Row],[Slot]],"00")&amp;","&amp;TEXT(tbl_IO_List[[#This Row],[Point]],"00")</f>
        <v>C4S04,07</v>
      </c>
      <c r="AA684" s="136" t="str">
        <f>VLOOKUP(tbl_IO_List[[#This Row],[Column23]],tbl_RackConfig[],5,FALSE) &amp;"-"&amp;tbl_IO_List[[#This Row],[Point]]</f>
        <v>1756-OB32-7</v>
      </c>
      <c r="AB684" s="136"/>
      <c r="AC684" s="136"/>
      <c r="AD684" s="136" t="str">
        <f>tbl_IO_List[[#This Row],[I/O Type]]</f>
        <v>DO</v>
      </c>
      <c r="AE684" s="136" t="s">
        <v>1335</v>
      </c>
      <c r="AF684" s="136">
        <v>4</v>
      </c>
      <c r="AG684" s="136">
        <v>7</v>
      </c>
      <c r="AH684" s="136"/>
      <c r="AI684" s="136"/>
      <c r="AJ684" s="136"/>
      <c r="AK684" s="136"/>
      <c r="AL684" s="136"/>
      <c r="AM684" s="136"/>
      <c r="AN684" s="136"/>
      <c r="AO684" s="136"/>
      <c r="AP684" s="143"/>
      <c r="AQ684" s="143" t="str">
        <f>tbl_IO_List[[#This Row],[Chassis]]&amp;"S"&amp;tbl_IO_List[[#This Row],[Slot]]&amp;"-"&amp;tbl_IO_List[[#This Row],[Front Terminal Number]]</f>
        <v>C4S4-</v>
      </c>
      <c r="AR684" s="143"/>
      <c r="AS684" s="136" t="str">
        <f>tbl_IO_List[[#This Row],[Terminal Tagging]]&amp;"-"&amp;tbl_IO_List[[#This Row],[Point-Count]]</f>
        <v>-</v>
      </c>
      <c r="AT684" s="136" t="str">
        <f>tbl_IO_List[[#This Row],[Front Terminal Tagging]]&amp;"/"&amp;tbl_IO_List[[#This Row],[Terminal Tagging-Item]]</f>
        <v>C4S4-/-</v>
      </c>
      <c r="AU684" s="136" t="str">
        <f>tbl_IO_List[[#This Row],[Terminal Tagging-Item]]&amp;"/"&amp;tbl_IO_List[[#This Row],[Front Terminal Tagging]]</f>
        <v>-/C4S4-</v>
      </c>
    </row>
    <row r="685" spans="1:47" hidden="1">
      <c r="A685" s="147" t="s">
        <v>1371</v>
      </c>
      <c r="B685" s="136" t="s">
        <v>335</v>
      </c>
      <c r="C685" s="136" t="str">
        <f>tbl_IO_List[[#This Row],[Column3]]</f>
        <v>C4S04,16</v>
      </c>
      <c r="D685" s="136" t="str">
        <f>tbl_IO_List[[#This Row],[Card]]</f>
        <v>1756-OB32-16</v>
      </c>
      <c r="E685" s="136" t="s">
        <v>1372</v>
      </c>
      <c r="F685" s="136" t="str">
        <f>tbl_IO_List[[#This Row],[Column23]]&amp;"-" &amp;tbl_IO_List[[#This Row],[Column52]]</f>
        <v>C4S04-X2</v>
      </c>
      <c r="G685" s="136" t="str">
        <f>tbl_IO_List[[#This Row],[PLC_Tag]]</f>
        <v>PVM-61301_DO_1</v>
      </c>
      <c r="H685" s="136"/>
      <c r="I685" s="136" t="str">
        <f>VLOOKUP(tbl_IO_List[[#This Row],[Destination]],tbl_Junction[],2,FALSE)</f>
        <v>Packing Tower 2th Floor</v>
      </c>
      <c r="J685" s="136" t="s">
        <v>335</v>
      </c>
      <c r="K685" s="136" t="s">
        <v>66</v>
      </c>
      <c r="L685" s="136" t="s">
        <v>895</v>
      </c>
      <c r="M685" s="136" t="e">
        <f>VLOOKUP(tbl_IO_List[[#This Row],[Instruement Tag]],tbl_Instruement_List[],2,FALSE)</f>
        <v>#N/A</v>
      </c>
      <c r="N685" s="136" t="s">
        <v>24</v>
      </c>
      <c r="O685" s="136" t="s">
        <v>67</v>
      </c>
      <c r="P685" s="136" t="s">
        <v>18</v>
      </c>
      <c r="Q685" s="136" t="e">
        <f>VLOOKUP(tbl_IO_List[[#This Row],[Instruement Tag]],tbl_Instruement_List[],6,FALSE)</f>
        <v>#N/A</v>
      </c>
      <c r="R685" s="136"/>
      <c r="S68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685" s="136" t="str">
        <f>tbl_IO_List[[#This Row],[Instruement Tag]]&amp;"_"&amp;tbl_IO_List[[#This Row],[I/O Type]]&amp;"_"&amp;tbl_IO_List[[#This Row],[IO-Point 
(Instruement)]]</f>
        <v>PVM-61301_DO_1</v>
      </c>
      <c r="U685" s="136" t="s">
        <v>7</v>
      </c>
      <c r="V685" s="136">
        <f>VLOOKUP(tbl_IO_List[[#This Row],[I/O Type]],tbl_Slot_Group[],2,FALSE)</f>
        <v>2</v>
      </c>
      <c r="W685" s="136">
        <v>1</v>
      </c>
      <c r="X685" s="136" t="str">
        <f>tbl_IO_List[[#This Row],[Chassis]]&amp;"S"&amp;TEXT(tbl_IO_List[[#This Row],[Slot]],"00")</f>
        <v>C4S04</v>
      </c>
      <c r="Y685" s="136" t="str">
        <f>tbl_IO_List[[#This Row],[Chassis]]&amp;"S"&amp;TEXT(tbl_IO_List[[#This Row],[Slot]],"00")&amp;tbl_IO_List[[#This Row],[I/O Type]]&amp;TEXT(tbl_IO_List[[#This Row],[Point]],"00")</f>
        <v>C4S04DO16</v>
      </c>
      <c r="Z685" s="136" t="str">
        <f>tbl_IO_List[[#This Row],[Chassis]]&amp;"S"&amp;TEXT(tbl_IO_List[[#This Row],[Slot]],"00")&amp;","&amp;TEXT(tbl_IO_List[[#This Row],[Point]],"00")</f>
        <v>C4S04,16</v>
      </c>
      <c r="AA685" s="136" t="str">
        <f>VLOOKUP(tbl_IO_List[[#This Row],[Column23]],tbl_RackConfig[],5,FALSE) &amp;"-"&amp;tbl_IO_List[[#This Row],[Point]]</f>
        <v>1756-OB32-16</v>
      </c>
      <c r="AB685" s="136"/>
      <c r="AC685" s="136"/>
      <c r="AD685" s="136" t="str">
        <f>tbl_IO_List[[#This Row],[I/O Type]]</f>
        <v>DO</v>
      </c>
      <c r="AE685" s="136" t="s">
        <v>1335</v>
      </c>
      <c r="AF685" s="136">
        <v>4</v>
      </c>
      <c r="AG685" s="136">
        <v>16</v>
      </c>
      <c r="AH685" s="136"/>
      <c r="AI685" s="136"/>
      <c r="AJ685" s="136">
        <v>2</v>
      </c>
      <c r="AK685" s="136">
        <v>2</v>
      </c>
      <c r="AL685" s="136">
        <v>0</v>
      </c>
      <c r="AM685" s="136">
        <v>0</v>
      </c>
      <c r="AN685" s="136">
        <v>0</v>
      </c>
      <c r="AO685" s="136"/>
      <c r="AP685" s="143" t="e">
        <f>VLOOKUP(tbl_IO_List[[#This Row],[Instruement Tag]],tbl_Instruement_List[],14,FALSE)</f>
        <v>#N/A</v>
      </c>
      <c r="AQ685" s="143" t="str">
        <f>tbl_IO_List[[#This Row],[Chassis]]&amp;"S"&amp;tbl_IO_List[[#This Row],[Slot]]&amp;"-"&amp;tbl_IO_List[[#This Row],[Front Terminal Number]]</f>
        <v>C4S4-</v>
      </c>
      <c r="AR685" s="143"/>
      <c r="AS685" s="136" t="str">
        <f>tbl_IO_List[[#This Row],[Terminal Tagging]]&amp;"-"&amp;tbl_IO_List[[#This Row],[Point-Count]]</f>
        <v>-</v>
      </c>
      <c r="AT685" s="136" t="str">
        <f>tbl_IO_List[[#This Row],[Front Terminal Tagging]]&amp;"/"&amp;tbl_IO_List[[#This Row],[Terminal Tagging-Item]]</f>
        <v>C4S4-/-</v>
      </c>
      <c r="AU685" s="136" t="str">
        <f>tbl_IO_List[[#This Row],[Terminal Tagging-Item]]&amp;"/"&amp;tbl_IO_List[[#This Row],[Front Terminal Tagging]]</f>
        <v>-/C4S4-</v>
      </c>
    </row>
    <row r="686" spans="1:47" hidden="1">
      <c r="A686" s="147" t="s">
        <v>1371</v>
      </c>
      <c r="B686" s="136" t="s">
        <v>335</v>
      </c>
      <c r="C686" s="136" t="str">
        <f>tbl_IO_List[[#This Row],[Column3]]</f>
        <v>C4S04,17</v>
      </c>
      <c r="D686" s="136" t="str">
        <f>tbl_IO_List[[#This Row],[Card]]</f>
        <v>1756-OB32-17</v>
      </c>
      <c r="E686" s="136" t="s">
        <v>1372</v>
      </c>
      <c r="F686" s="136" t="str">
        <f>tbl_IO_List[[#This Row],[Column23]]&amp;"-" &amp;tbl_IO_List[[#This Row],[Column52]]</f>
        <v>C4S04-X2</v>
      </c>
      <c r="G686" s="136" t="str">
        <f>tbl_IO_List[[#This Row],[PLC_Tag]]</f>
        <v>PVM-61301_DO_2</v>
      </c>
      <c r="H686" s="136"/>
      <c r="I686" s="136" t="str">
        <f>VLOOKUP(tbl_IO_List[[#This Row],[Destination]],tbl_Junction[],2,FALSE)</f>
        <v>Packing Tower 2th Floor</v>
      </c>
      <c r="J686" s="136" t="s">
        <v>335</v>
      </c>
      <c r="K686" s="136" t="s">
        <v>66</v>
      </c>
      <c r="L686" s="136" t="s">
        <v>895</v>
      </c>
      <c r="M686" s="136" t="e">
        <f>VLOOKUP(tbl_IO_List[[#This Row],[Instruement Tag]],tbl_Instruement_List[],2,FALSE)</f>
        <v>#N/A</v>
      </c>
      <c r="N686" s="136" t="s">
        <v>24</v>
      </c>
      <c r="O686" s="136" t="s">
        <v>67</v>
      </c>
      <c r="P686" s="136" t="s">
        <v>18</v>
      </c>
      <c r="Q686" s="136" t="e">
        <f>VLOOKUP(tbl_IO_List[[#This Row],[Instruement Tag]],tbl_Instruement_List[],6,FALSE)</f>
        <v>#N/A</v>
      </c>
      <c r="R686" s="136"/>
      <c r="S68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686" s="136" t="str">
        <f>tbl_IO_List[[#This Row],[Instruement Tag]]&amp;"_"&amp;tbl_IO_List[[#This Row],[I/O Type]]&amp;"_"&amp;tbl_IO_List[[#This Row],[IO-Point 
(Instruement)]]</f>
        <v>PVM-61301_DO_2</v>
      </c>
      <c r="U686" s="136" t="s">
        <v>7</v>
      </c>
      <c r="V686" s="136">
        <f>VLOOKUP(tbl_IO_List[[#This Row],[I/O Type]],tbl_Slot_Group[],2,FALSE)</f>
        <v>2</v>
      </c>
      <c r="W686" s="136">
        <v>2</v>
      </c>
      <c r="X686" s="136" t="str">
        <f>tbl_IO_List[[#This Row],[Chassis]]&amp;"S"&amp;TEXT(tbl_IO_List[[#This Row],[Slot]],"00")</f>
        <v>C4S04</v>
      </c>
      <c r="Y686" s="136" t="str">
        <f>tbl_IO_List[[#This Row],[Chassis]]&amp;"S"&amp;TEXT(tbl_IO_List[[#This Row],[Slot]],"00")&amp;tbl_IO_List[[#This Row],[I/O Type]]&amp;TEXT(tbl_IO_List[[#This Row],[Point]],"00")</f>
        <v>C4S04DO17</v>
      </c>
      <c r="Z686" s="136" t="str">
        <f>tbl_IO_List[[#This Row],[Chassis]]&amp;"S"&amp;TEXT(tbl_IO_List[[#This Row],[Slot]],"00")&amp;","&amp;TEXT(tbl_IO_List[[#This Row],[Point]],"00")</f>
        <v>C4S04,17</v>
      </c>
      <c r="AA686" s="136" t="str">
        <f>VLOOKUP(tbl_IO_List[[#This Row],[Column23]],tbl_RackConfig[],5,FALSE) &amp;"-"&amp;tbl_IO_List[[#This Row],[Point]]</f>
        <v>1756-OB32-17</v>
      </c>
      <c r="AB686" s="136"/>
      <c r="AC686" s="136"/>
      <c r="AD686" s="136" t="str">
        <f>tbl_IO_List[[#This Row],[I/O Type]]</f>
        <v>DO</v>
      </c>
      <c r="AE686" s="136" t="s">
        <v>1335</v>
      </c>
      <c r="AF686" s="136">
        <v>4</v>
      </c>
      <c r="AG686" s="136">
        <v>17</v>
      </c>
      <c r="AH686" s="136"/>
      <c r="AI686" s="136"/>
      <c r="AJ686" s="136">
        <v>2</v>
      </c>
      <c r="AK686" s="136">
        <v>2</v>
      </c>
      <c r="AL686" s="136">
        <v>0</v>
      </c>
      <c r="AM686" s="136">
        <v>0</v>
      </c>
      <c r="AN686" s="136">
        <v>0</v>
      </c>
      <c r="AO686" s="136"/>
      <c r="AP686" s="143" t="e">
        <f>VLOOKUP(tbl_IO_List[[#This Row],[Instruement Tag]],tbl_Instruement_List[],14,FALSE)</f>
        <v>#N/A</v>
      </c>
      <c r="AQ686" s="143" t="str">
        <f>tbl_IO_List[[#This Row],[Chassis]]&amp;"S"&amp;tbl_IO_List[[#This Row],[Slot]]&amp;"-"&amp;tbl_IO_List[[#This Row],[Front Terminal Number]]</f>
        <v>C4S4-</v>
      </c>
      <c r="AR686" s="143"/>
      <c r="AS686" s="136" t="str">
        <f>tbl_IO_List[[#This Row],[Terminal Tagging]]&amp;"-"&amp;tbl_IO_List[[#This Row],[Point-Count]]</f>
        <v>-</v>
      </c>
      <c r="AT686" s="136" t="str">
        <f>tbl_IO_List[[#This Row],[Front Terminal Tagging]]&amp;"/"&amp;tbl_IO_List[[#This Row],[Terminal Tagging-Item]]</f>
        <v>C4S4-/-</v>
      </c>
      <c r="AU686" s="136" t="str">
        <f>tbl_IO_List[[#This Row],[Terminal Tagging-Item]]&amp;"/"&amp;tbl_IO_List[[#This Row],[Front Terminal Tagging]]</f>
        <v>-/C4S4-</v>
      </c>
    </row>
    <row r="687" spans="1:47" hidden="1">
      <c r="A687" s="147" t="s">
        <v>1371</v>
      </c>
      <c r="B687" s="136" t="s">
        <v>335</v>
      </c>
      <c r="C687" s="136" t="str">
        <f>tbl_IO_List[[#This Row],[Column3]]</f>
        <v>C4S04,18</v>
      </c>
      <c r="D687" s="136" t="str">
        <f>tbl_IO_List[[#This Row],[Card]]</f>
        <v>1756-OB32-18</v>
      </c>
      <c r="E687" s="136" t="s">
        <v>1372</v>
      </c>
      <c r="F687" s="136" t="str">
        <f>tbl_IO_List[[#This Row],[Column23]]&amp;"-" &amp;tbl_IO_List[[#This Row],[Column52]]</f>
        <v>C4S04-X2</v>
      </c>
      <c r="G687" s="136" t="str">
        <f>tbl_IO_List[[#This Row],[PLC_Tag]]</f>
        <v>SV-61307_DO_1</v>
      </c>
      <c r="H687" s="136"/>
      <c r="I687" s="136" t="str">
        <f>VLOOKUP(tbl_IO_List[[#This Row],[Destination]],tbl_Junction[],2,FALSE)</f>
        <v>Packing Tower 2th Floor</v>
      </c>
      <c r="J687" s="136" t="s">
        <v>335</v>
      </c>
      <c r="K687" s="136" t="s">
        <v>66</v>
      </c>
      <c r="L687" s="136" t="s">
        <v>352</v>
      </c>
      <c r="M687" s="136" t="e">
        <f>VLOOKUP(tbl_IO_List[[#This Row],[Instruement Tag]],tbl_Instruement_List[],2,FALSE)</f>
        <v>#N/A</v>
      </c>
      <c r="N687" s="136" t="s">
        <v>28</v>
      </c>
      <c r="O687" s="136" t="s">
        <v>18</v>
      </c>
      <c r="P687" s="136" t="s">
        <v>75</v>
      </c>
      <c r="Q687" s="136" t="e">
        <f>VLOOKUP(tbl_IO_List[[#This Row],[Instruement Tag]],tbl_Instruement_List[],6,FALSE)</f>
        <v>#N/A</v>
      </c>
      <c r="R687" s="136"/>
      <c r="S68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687" s="136" t="str">
        <f>tbl_IO_List[[#This Row],[Instruement Tag]]&amp;"_"&amp;tbl_IO_List[[#This Row],[I/O Type]]&amp;"_"&amp;tbl_IO_List[[#This Row],[IO-Point 
(Instruement)]]</f>
        <v>SV-61307_DO_1</v>
      </c>
      <c r="U687" s="136" t="s">
        <v>7</v>
      </c>
      <c r="V687" s="136">
        <f>VLOOKUP(tbl_IO_List[[#This Row],[I/O Type]],tbl_Slot_Group[],2,FALSE)</f>
        <v>2</v>
      </c>
      <c r="W687" s="136">
        <v>1</v>
      </c>
      <c r="X687" s="136" t="str">
        <f>tbl_IO_List[[#This Row],[Chassis]]&amp;"S"&amp;TEXT(tbl_IO_List[[#This Row],[Slot]],"00")</f>
        <v>C4S04</v>
      </c>
      <c r="Y687" s="136" t="str">
        <f>tbl_IO_List[[#This Row],[Chassis]]&amp;"S"&amp;TEXT(tbl_IO_List[[#This Row],[Slot]],"00")&amp;tbl_IO_List[[#This Row],[I/O Type]]&amp;TEXT(tbl_IO_List[[#This Row],[Point]],"00")</f>
        <v>C4S04DO18</v>
      </c>
      <c r="Z687" s="136" t="str">
        <f>tbl_IO_List[[#This Row],[Chassis]]&amp;"S"&amp;TEXT(tbl_IO_List[[#This Row],[Slot]],"00")&amp;","&amp;TEXT(tbl_IO_List[[#This Row],[Point]],"00")</f>
        <v>C4S04,18</v>
      </c>
      <c r="AA687" s="136" t="str">
        <f>VLOOKUP(tbl_IO_List[[#This Row],[Column23]],tbl_RackConfig[],5,FALSE) &amp;"-"&amp;tbl_IO_List[[#This Row],[Point]]</f>
        <v>1756-OB32-18</v>
      </c>
      <c r="AB687" s="136"/>
      <c r="AC687" s="136"/>
      <c r="AD687" s="136" t="str">
        <f>tbl_IO_List[[#This Row],[I/O Type]]</f>
        <v>DO</v>
      </c>
      <c r="AE687" s="136" t="s">
        <v>1335</v>
      </c>
      <c r="AF687" s="136">
        <v>4</v>
      </c>
      <c r="AG687" s="136">
        <v>18</v>
      </c>
      <c r="AH687" s="136"/>
      <c r="AI687" s="136"/>
      <c r="AJ687" s="136">
        <v>0</v>
      </c>
      <c r="AK687" s="136">
        <v>1</v>
      </c>
      <c r="AL687" s="136">
        <v>0</v>
      </c>
      <c r="AM687" s="136">
        <v>0</v>
      </c>
      <c r="AN687" s="136">
        <v>0</v>
      </c>
      <c r="AO687" s="136"/>
      <c r="AP687" s="143" t="e">
        <f>VLOOKUP(tbl_IO_List[[#This Row],[Instruement Tag]],tbl_Instruement_List[],14,FALSE)</f>
        <v>#N/A</v>
      </c>
      <c r="AQ687" s="143" t="str">
        <f>tbl_IO_List[[#This Row],[Chassis]]&amp;"S"&amp;tbl_IO_List[[#This Row],[Slot]]&amp;"-"&amp;tbl_IO_List[[#This Row],[Front Terminal Number]]</f>
        <v>C4S4-</v>
      </c>
      <c r="AR687" s="143"/>
      <c r="AS687" s="136" t="str">
        <f>tbl_IO_List[[#This Row],[Terminal Tagging]]&amp;"-"&amp;tbl_IO_List[[#This Row],[Point-Count]]</f>
        <v>-</v>
      </c>
      <c r="AT687" s="136" t="str">
        <f>tbl_IO_List[[#This Row],[Front Terminal Tagging]]&amp;"/"&amp;tbl_IO_List[[#This Row],[Terminal Tagging-Item]]</f>
        <v>C4S4-/-</v>
      </c>
      <c r="AU687" s="136" t="str">
        <f>tbl_IO_List[[#This Row],[Terminal Tagging-Item]]&amp;"/"&amp;tbl_IO_List[[#This Row],[Front Terminal Tagging]]</f>
        <v>-/C4S4-</v>
      </c>
    </row>
    <row r="688" spans="1:47" hidden="1">
      <c r="A688" s="147" t="s">
        <v>1371</v>
      </c>
      <c r="B688" s="136" t="s">
        <v>335</v>
      </c>
      <c r="C688" s="136" t="str">
        <f>tbl_IO_List[[#This Row],[Column3]]</f>
        <v>C4S04,19</v>
      </c>
      <c r="D688" s="136" t="str">
        <f>tbl_IO_List[[#This Row],[Card]]</f>
        <v>1756-OB32-19</v>
      </c>
      <c r="E688" s="136" t="s">
        <v>1372</v>
      </c>
      <c r="F688" s="136" t="str">
        <f>tbl_IO_List[[#This Row],[Column23]]&amp;"-" &amp;tbl_IO_List[[#This Row],[Column52]]</f>
        <v>C4S04-X2</v>
      </c>
      <c r="G688" s="136" t="str">
        <f>tbl_IO_List[[#This Row],[PLC_Tag]]</f>
        <v>SV-61308_DO_1</v>
      </c>
      <c r="H688" s="136"/>
      <c r="I688" s="136" t="str">
        <f>VLOOKUP(tbl_IO_List[[#This Row],[Destination]],tbl_Junction[],2,FALSE)</f>
        <v>Packing Tower 2th Floor</v>
      </c>
      <c r="J688" s="136" t="s">
        <v>335</v>
      </c>
      <c r="K688" s="136" t="s">
        <v>66</v>
      </c>
      <c r="L688" s="136" t="s">
        <v>693</v>
      </c>
      <c r="M688" s="136">
        <f>VLOOKUP(tbl_IO_List[[#This Row],[Instruement Tag]],tbl_Instruement_List[],2,FALSE)</f>
        <v>0</v>
      </c>
      <c r="N688" s="136" t="s">
        <v>24</v>
      </c>
      <c r="O688" s="136" t="s">
        <v>67</v>
      </c>
      <c r="P688" s="136" t="s">
        <v>18</v>
      </c>
      <c r="Q688" s="136" t="str">
        <f>VLOOKUP(tbl_IO_List[[#This Row],[Instruement Tag]],tbl_Instruement_List[],6,FALSE)</f>
        <v>Timer compress air pluse solenoid valve</v>
      </c>
      <c r="R688" s="136"/>
      <c r="S68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688" s="136" t="str">
        <f>tbl_IO_List[[#This Row],[Instruement Tag]]&amp;"_"&amp;tbl_IO_List[[#This Row],[I/O Type]]&amp;"_"&amp;tbl_IO_List[[#This Row],[IO-Point 
(Instruement)]]</f>
        <v>SV-61308_DO_1</v>
      </c>
      <c r="U688" s="136" t="s">
        <v>7</v>
      </c>
      <c r="V688" s="136">
        <f>VLOOKUP(tbl_IO_List[[#This Row],[I/O Type]],tbl_Slot_Group[],2,FALSE)</f>
        <v>2</v>
      </c>
      <c r="W688" s="136">
        <v>1</v>
      </c>
      <c r="X688" s="136" t="str">
        <f>tbl_IO_List[[#This Row],[Chassis]]&amp;"S"&amp;TEXT(tbl_IO_List[[#This Row],[Slot]],"00")</f>
        <v>C4S04</v>
      </c>
      <c r="Y688" s="136" t="str">
        <f>tbl_IO_List[[#This Row],[Chassis]]&amp;"S"&amp;TEXT(tbl_IO_List[[#This Row],[Slot]],"00")&amp;tbl_IO_List[[#This Row],[I/O Type]]&amp;TEXT(tbl_IO_List[[#This Row],[Point]],"00")</f>
        <v>C4S04DO19</v>
      </c>
      <c r="Z688" s="136" t="str">
        <f>tbl_IO_List[[#This Row],[Chassis]]&amp;"S"&amp;TEXT(tbl_IO_List[[#This Row],[Slot]],"00")&amp;","&amp;TEXT(tbl_IO_List[[#This Row],[Point]],"00")</f>
        <v>C4S04,19</v>
      </c>
      <c r="AA688" s="136" t="str">
        <f>VLOOKUP(tbl_IO_List[[#This Row],[Column23]],tbl_RackConfig[],5,FALSE) &amp;"-"&amp;tbl_IO_List[[#This Row],[Point]]</f>
        <v>1756-OB32-19</v>
      </c>
      <c r="AB688" s="136"/>
      <c r="AC688" s="136"/>
      <c r="AD688" s="136" t="str">
        <f>tbl_IO_List[[#This Row],[I/O Type]]</f>
        <v>DO</v>
      </c>
      <c r="AE688" s="136" t="s">
        <v>1335</v>
      </c>
      <c r="AF688" s="136">
        <v>4</v>
      </c>
      <c r="AG688" s="136">
        <v>19</v>
      </c>
      <c r="AH688" s="136"/>
      <c r="AI688" s="136"/>
      <c r="AJ688" s="136">
        <v>0</v>
      </c>
      <c r="AK688" s="136">
        <v>1</v>
      </c>
      <c r="AL688" s="136">
        <v>0</v>
      </c>
      <c r="AM688" s="136">
        <v>0</v>
      </c>
      <c r="AN688" s="136">
        <v>0</v>
      </c>
      <c r="AO688" s="136"/>
      <c r="AP688" s="143" t="str">
        <f>VLOOKUP(tbl_IO_List[[#This Row],[Instruement Tag]],tbl_Instruement_List[],14,FALSE)</f>
        <v>24 VDC energized</v>
      </c>
      <c r="AQ688" s="143" t="str">
        <f>tbl_IO_List[[#This Row],[Chassis]]&amp;"S"&amp;tbl_IO_List[[#This Row],[Slot]]&amp;"-"&amp;tbl_IO_List[[#This Row],[Front Terminal Number]]</f>
        <v>C4S4-</v>
      </c>
      <c r="AR688" s="143"/>
      <c r="AS688" s="136" t="str">
        <f>tbl_IO_List[[#This Row],[Terminal Tagging]]&amp;"-"&amp;tbl_IO_List[[#This Row],[Point-Count]]</f>
        <v>-</v>
      </c>
      <c r="AT688" s="136" t="str">
        <f>tbl_IO_List[[#This Row],[Front Terminal Tagging]]&amp;"/"&amp;tbl_IO_List[[#This Row],[Terminal Tagging-Item]]</f>
        <v>C4S4-/-</v>
      </c>
      <c r="AU688" s="136" t="str">
        <f>tbl_IO_List[[#This Row],[Terminal Tagging-Item]]&amp;"/"&amp;tbl_IO_List[[#This Row],[Front Terminal Tagging]]</f>
        <v>-/C4S4-</v>
      </c>
    </row>
    <row r="689" spans="1:47" hidden="1">
      <c r="A689" s="147" t="s">
        <v>1371</v>
      </c>
      <c r="B689" s="136" t="s">
        <v>335</v>
      </c>
      <c r="C689" s="136" t="str">
        <f>tbl_IO_List[[#This Row],[Column3]]</f>
        <v>C4S04,20</v>
      </c>
      <c r="D689" s="136" t="str">
        <f>tbl_IO_List[[#This Row],[Card]]</f>
        <v>1756-OB32-20</v>
      </c>
      <c r="E689" s="136" t="s">
        <v>1372</v>
      </c>
      <c r="F689" s="136" t="str">
        <f>tbl_IO_List[[#This Row],[Column23]]&amp;"-" &amp;tbl_IO_List[[#This Row],[Column52]]</f>
        <v>C4S04-X2</v>
      </c>
      <c r="G689" s="136" t="str">
        <f>tbl_IO_List[[#This Row],[PLC_Tag]]</f>
        <v>SV-61309_DO_1</v>
      </c>
      <c r="H689" s="136"/>
      <c r="I689" s="136" t="str">
        <f>VLOOKUP(tbl_IO_List[[#This Row],[Destination]],tbl_Junction[],2,FALSE)</f>
        <v>Packing Tower 2th Floor</v>
      </c>
      <c r="J689" s="136" t="s">
        <v>335</v>
      </c>
      <c r="K689" s="136" t="s">
        <v>66</v>
      </c>
      <c r="L689" s="136" t="s">
        <v>353</v>
      </c>
      <c r="M689" s="136">
        <f>VLOOKUP(tbl_IO_List[[#This Row],[Instruement Tag]],tbl_Instruement_List[],2,FALSE)</f>
        <v>0</v>
      </c>
      <c r="N689" s="136" t="s">
        <v>24</v>
      </c>
      <c r="O689" s="136" t="s">
        <v>67</v>
      </c>
      <c r="P689" s="136" t="s">
        <v>68</v>
      </c>
      <c r="Q689" s="136" t="str">
        <f>VLOOKUP(tbl_IO_List[[#This Row],[Instruement Tag]],tbl_Instruement_List[],6,FALSE)</f>
        <v>Air service</v>
      </c>
      <c r="R689" s="136"/>
      <c r="S68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689" s="136" t="str">
        <f>tbl_IO_List[[#This Row],[Instruement Tag]]&amp;"_"&amp;tbl_IO_List[[#This Row],[I/O Type]]&amp;"_"&amp;tbl_IO_List[[#This Row],[IO-Point 
(Instruement)]]</f>
        <v>SV-61309_DO_1</v>
      </c>
      <c r="U689" s="136" t="s">
        <v>7</v>
      </c>
      <c r="V689" s="136">
        <f>VLOOKUP(tbl_IO_List[[#This Row],[I/O Type]],tbl_Slot_Group[],2,FALSE)</f>
        <v>2</v>
      </c>
      <c r="W689" s="136">
        <v>1</v>
      </c>
      <c r="X689" s="136" t="str">
        <f>tbl_IO_List[[#This Row],[Chassis]]&amp;"S"&amp;TEXT(tbl_IO_List[[#This Row],[Slot]],"00")</f>
        <v>C4S04</v>
      </c>
      <c r="Y689" s="136" t="str">
        <f>tbl_IO_List[[#This Row],[Chassis]]&amp;"S"&amp;TEXT(tbl_IO_List[[#This Row],[Slot]],"00")&amp;tbl_IO_List[[#This Row],[I/O Type]]&amp;TEXT(tbl_IO_List[[#This Row],[Point]],"00")</f>
        <v>C4S04DO20</v>
      </c>
      <c r="Z689" s="136" t="str">
        <f>tbl_IO_List[[#This Row],[Chassis]]&amp;"S"&amp;TEXT(tbl_IO_List[[#This Row],[Slot]],"00")&amp;","&amp;TEXT(tbl_IO_List[[#This Row],[Point]],"00")</f>
        <v>C4S04,20</v>
      </c>
      <c r="AA689" s="136" t="str">
        <f>VLOOKUP(tbl_IO_List[[#This Row],[Column23]],tbl_RackConfig[],5,FALSE) &amp;"-"&amp;tbl_IO_List[[#This Row],[Point]]</f>
        <v>1756-OB32-20</v>
      </c>
      <c r="AB689" s="136"/>
      <c r="AC689" s="136"/>
      <c r="AD689" s="136" t="str">
        <f>tbl_IO_List[[#This Row],[I/O Type]]</f>
        <v>DO</v>
      </c>
      <c r="AE689" s="136" t="s">
        <v>1335</v>
      </c>
      <c r="AF689" s="136">
        <v>4</v>
      </c>
      <c r="AG689" s="136">
        <v>20</v>
      </c>
      <c r="AH689" s="136"/>
      <c r="AI689" s="136"/>
      <c r="AJ689" s="136">
        <v>0</v>
      </c>
      <c r="AK689" s="136">
        <v>1</v>
      </c>
      <c r="AL689" s="136">
        <v>0</v>
      </c>
      <c r="AM689" s="136">
        <v>0</v>
      </c>
      <c r="AN689" s="136">
        <v>0</v>
      </c>
      <c r="AO689" s="136"/>
      <c r="AP689" s="143" t="str">
        <f>VLOOKUP(tbl_IO_List[[#This Row],[Instruement Tag]],tbl_Instruement_List[],14,FALSE)</f>
        <v>24 VDC energized</v>
      </c>
      <c r="AQ689" s="143" t="str">
        <f>tbl_IO_List[[#This Row],[Chassis]]&amp;"S"&amp;tbl_IO_List[[#This Row],[Slot]]&amp;"-"&amp;tbl_IO_List[[#This Row],[Front Terminal Number]]</f>
        <v>C4S4-</v>
      </c>
      <c r="AR689" s="143"/>
      <c r="AS689" s="136" t="str">
        <f>tbl_IO_List[[#This Row],[Terminal Tagging]]&amp;"-"&amp;tbl_IO_List[[#This Row],[Point-Count]]</f>
        <v>-</v>
      </c>
      <c r="AT689" s="136" t="str">
        <f>tbl_IO_List[[#This Row],[Front Terminal Tagging]]&amp;"/"&amp;tbl_IO_List[[#This Row],[Terminal Tagging-Item]]</f>
        <v>C4S4-/-</v>
      </c>
      <c r="AU689" s="136" t="str">
        <f>tbl_IO_List[[#This Row],[Terminal Tagging-Item]]&amp;"/"&amp;tbl_IO_List[[#This Row],[Front Terminal Tagging]]</f>
        <v>-/C4S4-</v>
      </c>
    </row>
    <row r="690" spans="1:47" hidden="1">
      <c r="A690" s="147" t="s">
        <v>1371</v>
      </c>
      <c r="B690" s="136" t="s">
        <v>335</v>
      </c>
      <c r="C690" s="136" t="str">
        <f>tbl_IO_List[[#This Row],[Column3]]</f>
        <v>C4S04,21</v>
      </c>
      <c r="D690" s="136" t="str">
        <f>tbl_IO_List[[#This Row],[Card]]</f>
        <v>1756-OB32-21</v>
      </c>
      <c r="E690" s="136" t="s">
        <v>1372</v>
      </c>
      <c r="F690" s="136" t="str">
        <f>tbl_IO_List[[#This Row],[Column23]]&amp;"-" &amp;tbl_IO_List[[#This Row],[Column52]]</f>
        <v>C4S04-X2</v>
      </c>
      <c r="G690" s="136" t="str">
        <f>tbl_IO_List[[#This Row],[PLC_Tag]]</f>
        <v>SV-61310_DO_1</v>
      </c>
      <c r="H690" s="136"/>
      <c r="I690" s="136" t="str">
        <f>VLOOKUP(tbl_IO_List[[#This Row],[Destination]],tbl_Junction[],2,FALSE)</f>
        <v>Packing Tower 2th Floor</v>
      </c>
      <c r="J690" s="136" t="s">
        <v>335</v>
      </c>
      <c r="K690" s="136" t="s">
        <v>66</v>
      </c>
      <c r="L690" s="136" t="s">
        <v>694</v>
      </c>
      <c r="M690" s="136">
        <f>VLOOKUP(tbl_IO_List[[#This Row],[Instruement Tag]],tbl_Instruement_List[],2,FALSE)</f>
        <v>0</v>
      </c>
      <c r="N690" s="136" t="s">
        <v>24</v>
      </c>
      <c r="O690" s="136" t="s">
        <v>70</v>
      </c>
      <c r="P690" s="136" t="s">
        <v>18</v>
      </c>
      <c r="Q690" s="136" t="str">
        <f>VLOOKUP(tbl_IO_List[[#This Row],[Instruement Tag]],tbl_Instruement_List[],6,FALSE)</f>
        <v>Timer compress air pluse solenoid valve</v>
      </c>
      <c r="R690" s="136"/>
      <c r="S69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690" s="136" t="str">
        <f>tbl_IO_List[[#This Row],[Instruement Tag]]&amp;"_"&amp;tbl_IO_List[[#This Row],[I/O Type]]&amp;"_"&amp;tbl_IO_List[[#This Row],[IO-Point 
(Instruement)]]</f>
        <v>SV-61310_DO_1</v>
      </c>
      <c r="U690" s="136" t="s">
        <v>7</v>
      </c>
      <c r="V690" s="136">
        <f>VLOOKUP(tbl_IO_List[[#This Row],[I/O Type]],tbl_Slot_Group[],2,FALSE)</f>
        <v>2</v>
      </c>
      <c r="W690" s="136">
        <v>1</v>
      </c>
      <c r="X690" s="136" t="str">
        <f>tbl_IO_List[[#This Row],[Chassis]]&amp;"S"&amp;TEXT(tbl_IO_List[[#This Row],[Slot]],"00")</f>
        <v>C4S04</v>
      </c>
      <c r="Y690" s="136" t="str">
        <f>tbl_IO_List[[#This Row],[Chassis]]&amp;"S"&amp;TEXT(tbl_IO_List[[#This Row],[Slot]],"00")&amp;tbl_IO_List[[#This Row],[I/O Type]]&amp;TEXT(tbl_IO_List[[#This Row],[Point]],"00")</f>
        <v>C4S04DO21</v>
      </c>
      <c r="Z690" s="136" t="str">
        <f>tbl_IO_List[[#This Row],[Chassis]]&amp;"S"&amp;TEXT(tbl_IO_List[[#This Row],[Slot]],"00")&amp;","&amp;TEXT(tbl_IO_List[[#This Row],[Point]],"00")</f>
        <v>C4S04,21</v>
      </c>
      <c r="AA690" s="136" t="str">
        <f>VLOOKUP(tbl_IO_List[[#This Row],[Column23]],tbl_RackConfig[],5,FALSE) &amp;"-"&amp;tbl_IO_List[[#This Row],[Point]]</f>
        <v>1756-OB32-21</v>
      </c>
      <c r="AB690" s="136"/>
      <c r="AC690" s="136"/>
      <c r="AD690" s="136" t="str">
        <f>tbl_IO_List[[#This Row],[I/O Type]]</f>
        <v>DO</v>
      </c>
      <c r="AE690" s="136" t="s">
        <v>1335</v>
      </c>
      <c r="AF690" s="136">
        <v>4</v>
      </c>
      <c r="AG690" s="136">
        <v>21</v>
      </c>
      <c r="AH690" s="136"/>
      <c r="AI690" s="136"/>
      <c r="AJ690" s="136">
        <v>0</v>
      </c>
      <c r="AK690" s="136">
        <v>1</v>
      </c>
      <c r="AL690" s="136">
        <v>0</v>
      </c>
      <c r="AM690" s="136">
        <v>0</v>
      </c>
      <c r="AN690" s="136">
        <v>0</v>
      </c>
      <c r="AO690" s="136"/>
      <c r="AP690" s="143" t="str">
        <f>VLOOKUP(tbl_IO_List[[#This Row],[Instruement Tag]],tbl_Instruement_List[],14,FALSE)</f>
        <v>24 VDC energized</v>
      </c>
      <c r="AQ690" s="143" t="str">
        <f>tbl_IO_List[[#This Row],[Chassis]]&amp;"S"&amp;tbl_IO_List[[#This Row],[Slot]]&amp;"-"&amp;tbl_IO_List[[#This Row],[Front Terminal Number]]</f>
        <v>C4S4-</v>
      </c>
      <c r="AR690" s="143"/>
      <c r="AS690" s="136" t="str">
        <f>tbl_IO_List[[#This Row],[Terminal Tagging]]&amp;"-"&amp;tbl_IO_List[[#This Row],[Point-Count]]</f>
        <v>-</v>
      </c>
      <c r="AT690" s="136" t="str">
        <f>tbl_IO_List[[#This Row],[Front Terminal Tagging]]&amp;"/"&amp;tbl_IO_List[[#This Row],[Terminal Tagging-Item]]</f>
        <v>C4S4-/-</v>
      </c>
      <c r="AU690" s="136" t="str">
        <f>tbl_IO_List[[#This Row],[Terminal Tagging-Item]]&amp;"/"&amp;tbl_IO_List[[#This Row],[Front Terminal Tagging]]</f>
        <v>-/C4S4-</v>
      </c>
    </row>
    <row r="691" spans="1:47" hidden="1">
      <c r="A691" s="147" t="s">
        <v>1371</v>
      </c>
      <c r="B691" s="136" t="s">
        <v>335</v>
      </c>
      <c r="C691" s="136" t="str">
        <f>tbl_IO_List[[#This Row],[Column3]]</f>
        <v>C4S04,22</v>
      </c>
      <c r="D691" s="136" t="str">
        <f>tbl_IO_List[[#This Row],[Card]]</f>
        <v>1756-OB32-22</v>
      </c>
      <c r="E691" s="136" t="s">
        <v>1372</v>
      </c>
      <c r="F691" s="136" t="str">
        <f>tbl_IO_List[[#This Row],[Column23]]&amp;"-" &amp;tbl_IO_List[[#This Row],[Column52]]</f>
        <v>C4S04-X2</v>
      </c>
      <c r="G691" s="136" t="str">
        <f>tbl_IO_List[[#This Row],[PLC_Tag]]</f>
        <v>SV-61311_DO_1</v>
      </c>
      <c r="H691" s="136"/>
      <c r="I691" s="136" t="str">
        <f>VLOOKUP(tbl_IO_List[[#This Row],[Destination]],tbl_Junction[],2,FALSE)</f>
        <v>Packing Tower 2th Floor</v>
      </c>
      <c r="J691" s="136" t="s">
        <v>335</v>
      </c>
      <c r="K691" s="136" t="s">
        <v>66</v>
      </c>
      <c r="L691" s="136" t="s">
        <v>354</v>
      </c>
      <c r="M691" s="136">
        <f>VLOOKUP(tbl_IO_List[[#This Row],[Instruement Tag]],tbl_Instruement_List[],2,FALSE)</f>
        <v>0</v>
      </c>
      <c r="N691" s="136" t="s">
        <v>15</v>
      </c>
      <c r="O691" s="136" t="s">
        <v>70</v>
      </c>
      <c r="P691" s="136" t="s">
        <v>71</v>
      </c>
      <c r="Q691" s="136" t="str">
        <f>VLOOKUP(tbl_IO_List[[#This Row],[Instruement Tag]],tbl_Instruement_List[],6,FALSE)</f>
        <v>Air service</v>
      </c>
      <c r="R691" s="136"/>
      <c r="S69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691" s="136" t="str">
        <f>tbl_IO_List[[#This Row],[Instruement Tag]]&amp;"_"&amp;tbl_IO_List[[#This Row],[I/O Type]]&amp;"_"&amp;tbl_IO_List[[#This Row],[IO-Point 
(Instruement)]]</f>
        <v>SV-61311_DO_1</v>
      </c>
      <c r="U691" s="136" t="s">
        <v>7</v>
      </c>
      <c r="V691" s="136">
        <f>VLOOKUP(tbl_IO_List[[#This Row],[I/O Type]],tbl_Slot_Group[],2,FALSE)</f>
        <v>2</v>
      </c>
      <c r="W691" s="136">
        <v>1</v>
      </c>
      <c r="X691" s="136" t="str">
        <f>tbl_IO_List[[#This Row],[Chassis]]&amp;"S"&amp;TEXT(tbl_IO_List[[#This Row],[Slot]],"00")</f>
        <v>C4S04</v>
      </c>
      <c r="Y691" s="136" t="str">
        <f>tbl_IO_List[[#This Row],[Chassis]]&amp;"S"&amp;TEXT(tbl_IO_List[[#This Row],[Slot]],"00")&amp;tbl_IO_List[[#This Row],[I/O Type]]&amp;TEXT(tbl_IO_List[[#This Row],[Point]],"00")</f>
        <v>C4S04DO22</v>
      </c>
      <c r="Z691" s="136" t="str">
        <f>tbl_IO_List[[#This Row],[Chassis]]&amp;"S"&amp;TEXT(tbl_IO_List[[#This Row],[Slot]],"00")&amp;","&amp;TEXT(tbl_IO_List[[#This Row],[Point]],"00")</f>
        <v>C4S04,22</v>
      </c>
      <c r="AA691" s="136" t="str">
        <f>VLOOKUP(tbl_IO_List[[#This Row],[Column23]],tbl_RackConfig[],5,FALSE) &amp;"-"&amp;tbl_IO_List[[#This Row],[Point]]</f>
        <v>1756-OB32-22</v>
      </c>
      <c r="AB691" s="136"/>
      <c r="AC691" s="136"/>
      <c r="AD691" s="136" t="str">
        <f>tbl_IO_List[[#This Row],[I/O Type]]</f>
        <v>DO</v>
      </c>
      <c r="AE691" s="136" t="s">
        <v>1335</v>
      </c>
      <c r="AF691" s="136">
        <v>4</v>
      </c>
      <c r="AG691" s="136">
        <v>22</v>
      </c>
      <c r="AH691" s="136"/>
      <c r="AI691" s="136"/>
      <c r="AJ691" s="136">
        <v>0</v>
      </c>
      <c r="AK691" s="136">
        <v>1</v>
      </c>
      <c r="AL691" s="136">
        <v>0</v>
      </c>
      <c r="AM691" s="136">
        <v>0</v>
      </c>
      <c r="AN691" s="136">
        <v>0</v>
      </c>
      <c r="AO691" s="136"/>
      <c r="AP691" s="143" t="str">
        <f>VLOOKUP(tbl_IO_List[[#This Row],[Instruement Tag]],tbl_Instruement_List[],14,FALSE)</f>
        <v>24 VDC energized</v>
      </c>
      <c r="AQ691" s="143" t="str">
        <f>tbl_IO_List[[#This Row],[Chassis]]&amp;"S"&amp;tbl_IO_List[[#This Row],[Slot]]&amp;"-"&amp;tbl_IO_List[[#This Row],[Front Terminal Number]]</f>
        <v>C4S4-</v>
      </c>
      <c r="AR691" s="143"/>
      <c r="AS691" s="136" t="str">
        <f>tbl_IO_List[[#This Row],[Terminal Tagging]]&amp;"-"&amp;tbl_IO_List[[#This Row],[Point-Count]]</f>
        <v>-</v>
      </c>
      <c r="AT691" s="136" t="str">
        <f>tbl_IO_List[[#This Row],[Front Terminal Tagging]]&amp;"/"&amp;tbl_IO_List[[#This Row],[Terminal Tagging-Item]]</f>
        <v>C4S4-/-</v>
      </c>
      <c r="AU691" s="136" t="str">
        <f>tbl_IO_List[[#This Row],[Terminal Tagging-Item]]&amp;"/"&amp;tbl_IO_List[[#This Row],[Front Terminal Tagging]]</f>
        <v>-/C4S4-</v>
      </c>
    </row>
    <row r="692" spans="1:47" hidden="1">
      <c r="A692" s="147" t="s">
        <v>1371</v>
      </c>
      <c r="B692" s="136" t="s">
        <v>335</v>
      </c>
      <c r="C692" s="136" t="str">
        <f>tbl_IO_List[[#This Row],[Column3]]</f>
        <v>C4S04,23</v>
      </c>
      <c r="D692" s="136" t="str">
        <f>tbl_IO_List[[#This Row],[Card]]</f>
        <v>1756-OB32-23</v>
      </c>
      <c r="E692" s="136" t="s">
        <v>1372</v>
      </c>
      <c r="F692" s="136" t="str">
        <f>tbl_IO_List[[#This Row],[Column23]]&amp;"-" &amp;tbl_IO_List[[#This Row],[Column52]]</f>
        <v>C4S04-X2</v>
      </c>
      <c r="G692" s="136" t="str">
        <f>tbl_IO_List[[#This Row],[PLC_Tag]]</f>
        <v>XS-61301A_DO_1</v>
      </c>
      <c r="H692" s="136"/>
      <c r="I692" s="136" t="str">
        <f>VLOOKUP(tbl_IO_List[[#This Row],[Destination]],tbl_Junction[],2,FALSE)</f>
        <v>Packing Tower 2th Floor</v>
      </c>
      <c r="J692" s="136" t="s">
        <v>335</v>
      </c>
      <c r="K692" s="136" t="s">
        <v>66</v>
      </c>
      <c r="L692" s="136" t="s">
        <v>1047</v>
      </c>
      <c r="M692" s="136">
        <f>VLOOKUP(tbl_IO_List[[#This Row],[Instruement Tag]],tbl_Instruement_List[],2,FALSE)</f>
        <v>0</v>
      </c>
      <c r="N692" s="136" t="s">
        <v>15</v>
      </c>
      <c r="O692" s="136" t="s">
        <v>356</v>
      </c>
      <c r="P692" s="136" t="s">
        <v>18</v>
      </c>
      <c r="Q692" s="136" t="str">
        <f>VLOOKUP(tbl_IO_List[[#This Row],[Instruement Tag]],tbl_Instruement_List[],6,FALSE)</f>
        <v xml:space="preserve">Filter plant in operation </v>
      </c>
      <c r="R692" s="136"/>
      <c r="S69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692" s="136" t="str">
        <f>tbl_IO_List[[#This Row],[Instruement Tag]]&amp;"_"&amp;tbl_IO_List[[#This Row],[I/O Type]]&amp;"_"&amp;tbl_IO_List[[#This Row],[IO-Point 
(Instruement)]]</f>
        <v>XS-61301A_DO_1</v>
      </c>
      <c r="U692" s="136" t="s">
        <v>7</v>
      </c>
      <c r="V692" s="136">
        <f>VLOOKUP(tbl_IO_List[[#This Row],[I/O Type]],tbl_Slot_Group[],2,FALSE)</f>
        <v>2</v>
      </c>
      <c r="W692" s="136">
        <v>1</v>
      </c>
      <c r="X692" s="136" t="str">
        <f>tbl_IO_List[[#This Row],[Chassis]]&amp;"S"&amp;TEXT(tbl_IO_List[[#This Row],[Slot]],"00")</f>
        <v>C4S04</v>
      </c>
      <c r="Y692" s="136" t="str">
        <f>tbl_IO_List[[#This Row],[Chassis]]&amp;"S"&amp;TEXT(tbl_IO_List[[#This Row],[Slot]],"00")&amp;tbl_IO_List[[#This Row],[I/O Type]]&amp;TEXT(tbl_IO_List[[#This Row],[Point]],"00")</f>
        <v>C4S04DO23</v>
      </c>
      <c r="Z692" s="136" t="str">
        <f>tbl_IO_List[[#This Row],[Chassis]]&amp;"S"&amp;TEXT(tbl_IO_List[[#This Row],[Slot]],"00")&amp;","&amp;TEXT(tbl_IO_List[[#This Row],[Point]],"00")</f>
        <v>C4S04,23</v>
      </c>
      <c r="AA692" s="136" t="str">
        <f>VLOOKUP(tbl_IO_List[[#This Row],[Column23]],tbl_RackConfig[],5,FALSE) &amp;"-"&amp;tbl_IO_List[[#This Row],[Point]]</f>
        <v>1756-OB32-23</v>
      </c>
      <c r="AB692" s="136"/>
      <c r="AC692" s="136"/>
      <c r="AD692" s="136" t="str">
        <f>tbl_IO_List[[#This Row],[I/O Type]]</f>
        <v>DO</v>
      </c>
      <c r="AE692" s="136" t="s">
        <v>1335</v>
      </c>
      <c r="AF692" s="136">
        <v>4</v>
      </c>
      <c r="AG692" s="136">
        <v>23</v>
      </c>
      <c r="AH692" s="136"/>
      <c r="AI692" s="136"/>
      <c r="AJ692" s="136">
        <v>0</v>
      </c>
      <c r="AK692" s="136">
        <v>1</v>
      </c>
      <c r="AL692" s="136">
        <v>0</v>
      </c>
      <c r="AM692" s="136">
        <v>0</v>
      </c>
      <c r="AN692" s="136">
        <v>0</v>
      </c>
      <c r="AO692" s="136"/>
      <c r="AP692" s="143" t="str">
        <f>VLOOKUP(tbl_IO_List[[#This Row],[Instruement Tag]],tbl_Instruement_List[],14,FALSE)</f>
        <v>24 VDC energized</v>
      </c>
      <c r="AQ692" s="143" t="str">
        <f>tbl_IO_List[[#This Row],[Chassis]]&amp;"S"&amp;tbl_IO_List[[#This Row],[Slot]]&amp;"-"&amp;tbl_IO_List[[#This Row],[Front Terminal Number]]</f>
        <v>C4S4-</v>
      </c>
      <c r="AR692" s="143"/>
      <c r="AS692" s="136" t="str">
        <f>tbl_IO_List[[#This Row],[Terminal Tagging]]&amp;"-"&amp;tbl_IO_List[[#This Row],[Point-Count]]</f>
        <v>-</v>
      </c>
      <c r="AT692" s="136" t="str">
        <f>tbl_IO_List[[#This Row],[Front Terminal Tagging]]&amp;"/"&amp;tbl_IO_List[[#This Row],[Terminal Tagging-Item]]</f>
        <v>C4S4-/-</v>
      </c>
      <c r="AU692" s="136" t="str">
        <f>tbl_IO_List[[#This Row],[Terminal Tagging-Item]]&amp;"/"&amp;tbl_IO_List[[#This Row],[Front Terminal Tagging]]</f>
        <v>-/C4S4-</v>
      </c>
    </row>
    <row r="693" spans="1:47" hidden="1">
      <c r="A693" s="147" t="s">
        <v>1371</v>
      </c>
      <c r="B693" s="136" t="s">
        <v>335</v>
      </c>
      <c r="C693" s="136" t="str">
        <f>tbl_IO_List[[#This Row],[Column3]]</f>
        <v>C4S04,24</v>
      </c>
      <c r="D693" s="136" t="str">
        <f>tbl_IO_List[[#This Row],[Card]]</f>
        <v>1756-OB32-24</v>
      </c>
      <c r="E693" s="136" t="s">
        <v>1372</v>
      </c>
      <c r="F693" s="136" t="str">
        <f>tbl_IO_List[[#This Row],[Column23]]&amp;"-" &amp;tbl_IO_List[[#This Row],[Column52]]</f>
        <v>C4S04-X2</v>
      </c>
      <c r="G693" s="136" t="str">
        <f>tbl_IO_List[[#This Row],[PLC_Tag]]</f>
        <v>XS-61301B_DO_1</v>
      </c>
      <c r="H693" s="136"/>
      <c r="I693" s="136" t="str">
        <f>VLOOKUP(tbl_IO_List[[#This Row],[Destination]],tbl_Junction[],2,FALSE)</f>
        <v>Packing Tower 2th Floor</v>
      </c>
      <c r="J693" s="136" t="s">
        <v>335</v>
      </c>
      <c r="K693" s="136" t="s">
        <v>66</v>
      </c>
      <c r="L693" s="136" t="s">
        <v>1049</v>
      </c>
      <c r="M693" s="136">
        <f>VLOOKUP(tbl_IO_List[[#This Row],[Instruement Tag]],tbl_Instruement_List[],2,FALSE)</f>
        <v>0</v>
      </c>
      <c r="N693" s="136" t="s">
        <v>15</v>
      </c>
      <c r="O693" s="136" t="s">
        <v>356</v>
      </c>
      <c r="P693" s="136" t="s">
        <v>18</v>
      </c>
      <c r="Q693" s="136" t="str">
        <f>VLOOKUP(tbl_IO_List[[#This Row],[Instruement Tag]],tbl_Instruement_List[],6,FALSE)</f>
        <v xml:space="preserve">Material transport in operation </v>
      </c>
      <c r="R693" s="136"/>
      <c r="S69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693" s="136" t="str">
        <f>tbl_IO_List[[#This Row],[Instruement Tag]]&amp;"_"&amp;tbl_IO_List[[#This Row],[I/O Type]]&amp;"_"&amp;tbl_IO_List[[#This Row],[IO-Point 
(Instruement)]]</f>
        <v>XS-61301B_DO_1</v>
      </c>
      <c r="U693" s="136" t="s">
        <v>7</v>
      </c>
      <c r="V693" s="136">
        <f>VLOOKUP(tbl_IO_List[[#This Row],[I/O Type]],tbl_Slot_Group[],2,FALSE)</f>
        <v>2</v>
      </c>
      <c r="W693" s="136">
        <v>1</v>
      </c>
      <c r="X693" s="136" t="str">
        <f>tbl_IO_List[[#This Row],[Chassis]]&amp;"S"&amp;TEXT(tbl_IO_List[[#This Row],[Slot]],"00")</f>
        <v>C4S04</v>
      </c>
      <c r="Y693" s="136" t="str">
        <f>tbl_IO_List[[#This Row],[Chassis]]&amp;"S"&amp;TEXT(tbl_IO_List[[#This Row],[Slot]],"00")&amp;tbl_IO_List[[#This Row],[I/O Type]]&amp;TEXT(tbl_IO_List[[#This Row],[Point]],"00")</f>
        <v>C4S04DO24</v>
      </c>
      <c r="Z693" s="136" t="str">
        <f>tbl_IO_List[[#This Row],[Chassis]]&amp;"S"&amp;TEXT(tbl_IO_List[[#This Row],[Slot]],"00")&amp;","&amp;TEXT(tbl_IO_List[[#This Row],[Point]],"00")</f>
        <v>C4S04,24</v>
      </c>
      <c r="AA693" s="136" t="str">
        <f>VLOOKUP(tbl_IO_List[[#This Row],[Column23]],tbl_RackConfig[],5,FALSE) &amp;"-"&amp;tbl_IO_List[[#This Row],[Point]]</f>
        <v>1756-OB32-24</v>
      </c>
      <c r="AB693" s="136"/>
      <c r="AC693" s="136"/>
      <c r="AD693" s="136" t="str">
        <f>tbl_IO_List[[#This Row],[I/O Type]]</f>
        <v>DO</v>
      </c>
      <c r="AE693" s="136" t="s">
        <v>1335</v>
      </c>
      <c r="AF693" s="136">
        <v>4</v>
      </c>
      <c r="AG693" s="136">
        <v>24</v>
      </c>
      <c r="AH693" s="136"/>
      <c r="AI693" s="136"/>
      <c r="AJ693" s="136">
        <v>0</v>
      </c>
      <c r="AK693" s="136">
        <v>1</v>
      </c>
      <c r="AL693" s="136">
        <v>0</v>
      </c>
      <c r="AM693" s="136">
        <v>0</v>
      </c>
      <c r="AN693" s="136">
        <v>0</v>
      </c>
      <c r="AO693" s="136"/>
      <c r="AP693" s="143" t="str">
        <f>VLOOKUP(tbl_IO_List[[#This Row],[Instruement Tag]],tbl_Instruement_List[],14,FALSE)</f>
        <v>24 VDC energized</v>
      </c>
      <c r="AQ693" s="143" t="str">
        <f>tbl_IO_List[[#This Row],[Chassis]]&amp;"S"&amp;tbl_IO_List[[#This Row],[Slot]]&amp;"-"&amp;tbl_IO_List[[#This Row],[Front Terminal Number]]</f>
        <v>C4S4-</v>
      </c>
      <c r="AR693" s="143"/>
      <c r="AS693" s="136" t="str">
        <f>tbl_IO_List[[#This Row],[Terminal Tagging]]&amp;"-"&amp;tbl_IO_List[[#This Row],[Point-Count]]</f>
        <v>-</v>
      </c>
      <c r="AT693" s="136" t="str">
        <f>tbl_IO_List[[#This Row],[Front Terminal Tagging]]&amp;"/"&amp;tbl_IO_List[[#This Row],[Terminal Tagging-Item]]</f>
        <v>C4S4-/-</v>
      </c>
      <c r="AU693" s="136" t="str">
        <f>tbl_IO_List[[#This Row],[Terminal Tagging-Item]]&amp;"/"&amp;tbl_IO_List[[#This Row],[Front Terminal Tagging]]</f>
        <v>-/C4S4-</v>
      </c>
    </row>
    <row r="694" spans="1:47" hidden="1">
      <c r="A694" s="147" t="s">
        <v>1371</v>
      </c>
      <c r="B694" s="136" t="s">
        <v>335</v>
      </c>
      <c r="C694" s="136" t="str">
        <f>tbl_IO_List[[#This Row],[Column3]]</f>
        <v>C4S04,25</v>
      </c>
      <c r="D694" s="136" t="str">
        <f>tbl_IO_List[[#This Row],[Card]]</f>
        <v>1756-OB32-25</v>
      </c>
      <c r="E694" s="136" t="s">
        <v>1372</v>
      </c>
      <c r="F694" s="136" t="str">
        <f>tbl_IO_List[[#This Row],[Column23]]&amp;"-" &amp;tbl_IO_List[[#This Row],[Column52]]</f>
        <v>C4S04-X2</v>
      </c>
      <c r="G694" s="136" t="str">
        <f>tbl_IO_List[[#This Row],[PLC_Tag]]</f>
        <v>XS-61301C_DO_1</v>
      </c>
      <c r="H694" s="136"/>
      <c r="I694" s="136" t="str">
        <f>VLOOKUP(tbl_IO_List[[#This Row],[Destination]],tbl_Junction[],2,FALSE)</f>
        <v>Packing Tower 2th Floor</v>
      </c>
      <c r="J694" s="136" t="s">
        <v>335</v>
      </c>
      <c r="K694" s="136" t="s">
        <v>66</v>
      </c>
      <c r="L694" s="136" t="s">
        <v>1051</v>
      </c>
      <c r="M694" s="136">
        <f>VLOOKUP(tbl_IO_List[[#This Row],[Instruement Tag]],tbl_Instruement_List[],2,FALSE)</f>
        <v>0</v>
      </c>
      <c r="N694" s="136" t="s">
        <v>15</v>
      </c>
      <c r="O694" s="136" t="s">
        <v>356</v>
      </c>
      <c r="P694" s="136" t="s">
        <v>18</v>
      </c>
      <c r="Q694" s="136" t="str">
        <f>VLOOKUP(tbl_IO_List[[#This Row],[Instruement Tag]],tbl_Instruement_List[],6,FALSE)</f>
        <v xml:space="preserve">Belt plant in operation </v>
      </c>
      <c r="R694" s="136"/>
      <c r="S69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694" s="136" t="str">
        <f>tbl_IO_List[[#This Row],[Instruement Tag]]&amp;"_"&amp;tbl_IO_List[[#This Row],[I/O Type]]&amp;"_"&amp;tbl_IO_List[[#This Row],[IO-Point 
(Instruement)]]</f>
        <v>XS-61301C_DO_1</v>
      </c>
      <c r="U694" s="136" t="s">
        <v>7</v>
      </c>
      <c r="V694" s="136">
        <f>VLOOKUP(tbl_IO_List[[#This Row],[I/O Type]],tbl_Slot_Group[],2,FALSE)</f>
        <v>2</v>
      </c>
      <c r="W694" s="136">
        <v>1</v>
      </c>
      <c r="X694" s="136" t="str">
        <f>tbl_IO_List[[#This Row],[Chassis]]&amp;"S"&amp;TEXT(tbl_IO_List[[#This Row],[Slot]],"00")</f>
        <v>C4S04</v>
      </c>
      <c r="Y694" s="136" t="str">
        <f>tbl_IO_List[[#This Row],[Chassis]]&amp;"S"&amp;TEXT(tbl_IO_List[[#This Row],[Slot]],"00")&amp;tbl_IO_List[[#This Row],[I/O Type]]&amp;TEXT(tbl_IO_List[[#This Row],[Point]],"00")</f>
        <v>C4S04DO25</v>
      </c>
      <c r="Z694" s="136" t="str">
        <f>tbl_IO_List[[#This Row],[Chassis]]&amp;"S"&amp;TEXT(tbl_IO_List[[#This Row],[Slot]],"00")&amp;","&amp;TEXT(tbl_IO_List[[#This Row],[Point]],"00")</f>
        <v>C4S04,25</v>
      </c>
      <c r="AA694" s="136" t="str">
        <f>VLOOKUP(tbl_IO_List[[#This Row],[Column23]],tbl_RackConfig[],5,FALSE) &amp;"-"&amp;tbl_IO_List[[#This Row],[Point]]</f>
        <v>1756-OB32-25</v>
      </c>
      <c r="AB694" s="136"/>
      <c r="AC694" s="136"/>
      <c r="AD694" s="136" t="str">
        <f>tbl_IO_List[[#This Row],[I/O Type]]</f>
        <v>DO</v>
      </c>
      <c r="AE694" s="136" t="s">
        <v>1335</v>
      </c>
      <c r="AF694" s="136">
        <v>4</v>
      </c>
      <c r="AG694" s="136">
        <v>25</v>
      </c>
      <c r="AH694" s="136"/>
      <c r="AI694" s="136"/>
      <c r="AJ694" s="136">
        <v>0</v>
      </c>
      <c r="AK694" s="136">
        <v>1</v>
      </c>
      <c r="AL694" s="136">
        <v>0</v>
      </c>
      <c r="AM694" s="136">
        <v>0</v>
      </c>
      <c r="AN694" s="136">
        <v>0</v>
      </c>
      <c r="AO694" s="136"/>
      <c r="AP694" s="143" t="str">
        <f>VLOOKUP(tbl_IO_List[[#This Row],[Instruement Tag]],tbl_Instruement_List[],14,FALSE)</f>
        <v>24 VDC energized</v>
      </c>
      <c r="AQ694" s="143" t="str">
        <f>tbl_IO_List[[#This Row],[Chassis]]&amp;"S"&amp;tbl_IO_List[[#This Row],[Slot]]&amp;"-"&amp;tbl_IO_List[[#This Row],[Front Terminal Number]]</f>
        <v>C4S4-</v>
      </c>
      <c r="AR694" s="143"/>
      <c r="AS694" s="136" t="str">
        <f>tbl_IO_List[[#This Row],[Terminal Tagging]]&amp;"-"&amp;tbl_IO_List[[#This Row],[Point-Count]]</f>
        <v>-</v>
      </c>
      <c r="AT694" s="136" t="str">
        <f>tbl_IO_List[[#This Row],[Front Terminal Tagging]]&amp;"/"&amp;tbl_IO_List[[#This Row],[Terminal Tagging-Item]]</f>
        <v>C4S4-/-</v>
      </c>
      <c r="AU694" s="136" t="str">
        <f>tbl_IO_List[[#This Row],[Terminal Tagging-Item]]&amp;"/"&amp;tbl_IO_List[[#This Row],[Front Terminal Tagging]]</f>
        <v>-/C4S4-</v>
      </c>
    </row>
    <row r="695" spans="1:47" hidden="1">
      <c r="A695" s="147" t="s">
        <v>1371</v>
      </c>
      <c r="B695" s="136" t="s">
        <v>335</v>
      </c>
      <c r="C695" s="136" t="str">
        <f>tbl_IO_List[[#This Row],[Column3]]</f>
        <v>C4S04,26</v>
      </c>
      <c r="D695" s="136" t="str">
        <f>tbl_IO_List[[#This Row],[Card]]</f>
        <v>1756-OB32-26</v>
      </c>
      <c r="E695" s="136" t="s">
        <v>1372</v>
      </c>
      <c r="F695" s="136" t="str">
        <f>tbl_IO_List[[#This Row],[Column23]]&amp;"-" &amp;tbl_IO_List[[#This Row],[Column52]]</f>
        <v>C4S04-X2</v>
      </c>
      <c r="G695" s="136" t="str">
        <f>tbl_IO_List[[#This Row],[PLC_Tag]]</f>
        <v>XS-61301D_DO_1</v>
      </c>
      <c r="H695" s="136"/>
      <c r="I695" s="136" t="str">
        <f>VLOOKUP(tbl_IO_List[[#This Row],[Destination]],tbl_Junction[],2,FALSE)</f>
        <v>Packing Tower 2th Floor</v>
      </c>
      <c r="J695" s="136" t="s">
        <v>335</v>
      </c>
      <c r="K695" s="136" t="s">
        <v>66</v>
      </c>
      <c r="L695" s="136" t="s">
        <v>1053</v>
      </c>
      <c r="M695" s="136">
        <f>VLOOKUP(tbl_IO_List[[#This Row],[Instruement Tag]],tbl_Instruement_List[],2,FALSE)</f>
        <v>0</v>
      </c>
      <c r="N695" s="136" t="s">
        <v>15</v>
      </c>
      <c r="O695" s="136" t="s">
        <v>356</v>
      </c>
      <c r="P695" s="136" t="s">
        <v>18</v>
      </c>
      <c r="Q695" s="136" t="str">
        <f>VLOOKUP(tbl_IO_List[[#This Row],[Instruement Tag]],tbl_Instruement_List[],6,FALSE)</f>
        <v>Sequence Stop</v>
      </c>
      <c r="R695" s="136"/>
      <c r="S69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695" s="136" t="str">
        <f>tbl_IO_List[[#This Row],[Instruement Tag]]&amp;"_"&amp;tbl_IO_List[[#This Row],[I/O Type]]&amp;"_"&amp;tbl_IO_List[[#This Row],[IO-Point 
(Instruement)]]</f>
        <v>XS-61301D_DO_1</v>
      </c>
      <c r="U695" s="136" t="s">
        <v>7</v>
      </c>
      <c r="V695" s="136">
        <f>VLOOKUP(tbl_IO_List[[#This Row],[I/O Type]],tbl_Slot_Group[],2,FALSE)</f>
        <v>2</v>
      </c>
      <c r="W695" s="136">
        <v>1</v>
      </c>
      <c r="X695" s="136" t="str">
        <f>tbl_IO_List[[#This Row],[Chassis]]&amp;"S"&amp;TEXT(tbl_IO_List[[#This Row],[Slot]],"00")</f>
        <v>C4S04</v>
      </c>
      <c r="Y695" s="136" t="str">
        <f>tbl_IO_List[[#This Row],[Chassis]]&amp;"S"&amp;TEXT(tbl_IO_List[[#This Row],[Slot]],"00")&amp;tbl_IO_List[[#This Row],[I/O Type]]&amp;TEXT(tbl_IO_List[[#This Row],[Point]],"00")</f>
        <v>C4S04DO26</v>
      </c>
      <c r="Z695" s="136" t="str">
        <f>tbl_IO_List[[#This Row],[Chassis]]&amp;"S"&amp;TEXT(tbl_IO_List[[#This Row],[Slot]],"00")&amp;","&amp;TEXT(tbl_IO_List[[#This Row],[Point]],"00")</f>
        <v>C4S04,26</v>
      </c>
      <c r="AA695" s="136" t="str">
        <f>VLOOKUP(tbl_IO_List[[#This Row],[Column23]],tbl_RackConfig[],5,FALSE) &amp;"-"&amp;tbl_IO_List[[#This Row],[Point]]</f>
        <v>1756-OB32-26</v>
      </c>
      <c r="AB695" s="136"/>
      <c r="AC695" s="136"/>
      <c r="AD695" s="136" t="str">
        <f>tbl_IO_List[[#This Row],[I/O Type]]</f>
        <v>DO</v>
      </c>
      <c r="AE695" s="136" t="s">
        <v>1335</v>
      </c>
      <c r="AF695" s="136">
        <v>4</v>
      </c>
      <c r="AG695" s="136">
        <v>26</v>
      </c>
      <c r="AH695" s="136"/>
      <c r="AI695" s="136"/>
      <c r="AJ695" s="136">
        <v>0</v>
      </c>
      <c r="AK695" s="136">
        <v>1</v>
      </c>
      <c r="AL695" s="136">
        <v>0</v>
      </c>
      <c r="AM695" s="136">
        <v>0</v>
      </c>
      <c r="AN695" s="136">
        <v>0</v>
      </c>
      <c r="AO695" s="136"/>
      <c r="AP695" s="143" t="str">
        <f>VLOOKUP(tbl_IO_List[[#This Row],[Instruement Tag]],tbl_Instruement_List[],14,FALSE)</f>
        <v>24 VDC energized</v>
      </c>
      <c r="AQ695" s="143" t="str">
        <f>tbl_IO_List[[#This Row],[Chassis]]&amp;"S"&amp;tbl_IO_List[[#This Row],[Slot]]&amp;"-"&amp;tbl_IO_List[[#This Row],[Front Terminal Number]]</f>
        <v>C4S4-</v>
      </c>
      <c r="AR695" s="143"/>
      <c r="AS695" s="136" t="str">
        <f>tbl_IO_List[[#This Row],[Terminal Tagging]]&amp;"-"&amp;tbl_IO_List[[#This Row],[Point-Count]]</f>
        <v>-</v>
      </c>
      <c r="AT695" s="136" t="str">
        <f>tbl_IO_List[[#This Row],[Front Terminal Tagging]]&amp;"/"&amp;tbl_IO_List[[#This Row],[Terminal Tagging-Item]]</f>
        <v>C4S4-/-</v>
      </c>
      <c r="AU695" s="136" t="str">
        <f>tbl_IO_List[[#This Row],[Terminal Tagging-Item]]&amp;"/"&amp;tbl_IO_List[[#This Row],[Front Terminal Tagging]]</f>
        <v>-/C4S4-</v>
      </c>
    </row>
    <row r="696" spans="1:47" hidden="1">
      <c r="A696" s="147" t="s">
        <v>1371</v>
      </c>
      <c r="B696" s="136" t="s">
        <v>335</v>
      </c>
      <c r="C696" s="136" t="str">
        <f>tbl_IO_List[[#This Row],[Column3]]</f>
        <v>C4S04,27</v>
      </c>
      <c r="D696" s="136" t="str">
        <f>tbl_IO_List[[#This Row],[Card]]</f>
        <v>1756-OB32-27</v>
      </c>
      <c r="E696" s="136" t="s">
        <v>1372</v>
      </c>
      <c r="F696" s="136" t="str">
        <f>tbl_IO_List[[#This Row],[Column23]]&amp;"-" &amp;tbl_IO_List[[#This Row],[Column52]]</f>
        <v>C4S04-X2</v>
      </c>
      <c r="G696" s="136" t="str">
        <f>tbl_IO_List[[#This Row],[PLC_Tag]]</f>
        <v>XS-61301E_DO_1</v>
      </c>
      <c r="H696" s="136"/>
      <c r="I696" s="136" t="str">
        <f>VLOOKUP(tbl_IO_List[[#This Row],[Destination]],tbl_Junction[],2,FALSE)</f>
        <v>Packing Tower 2th Floor</v>
      </c>
      <c r="J696" s="136" t="s">
        <v>335</v>
      </c>
      <c r="K696" s="136" t="s">
        <v>66</v>
      </c>
      <c r="L696" s="136" t="s">
        <v>1055</v>
      </c>
      <c r="M696" s="136">
        <f>VLOOKUP(tbl_IO_List[[#This Row],[Instruement Tag]],tbl_Instruement_List[],2,FALSE)</f>
        <v>0</v>
      </c>
      <c r="N696" s="136" t="s">
        <v>15</v>
      </c>
      <c r="O696" s="136" t="s">
        <v>356</v>
      </c>
      <c r="P696" s="136" t="s">
        <v>18</v>
      </c>
      <c r="Q696" s="136" t="str">
        <f>VLOOKUP(tbl_IO_List[[#This Row],[Instruement Tag]],tbl_Instruement_List[],6,FALSE)</f>
        <v xml:space="preserve">Status from Customer Emergency stop </v>
      </c>
      <c r="R696" s="136"/>
      <c r="S69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696" s="136" t="str">
        <f>tbl_IO_List[[#This Row],[Instruement Tag]]&amp;"_"&amp;tbl_IO_List[[#This Row],[I/O Type]]&amp;"_"&amp;tbl_IO_List[[#This Row],[IO-Point 
(Instruement)]]</f>
        <v>XS-61301E_DO_1</v>
      </c>
      <c r="U696" s="136" t="s">
        <v>7</v>
      </c>
      <c r="V696" s="136">
        <f>VLOOKUP(tbl_IO_List[[#This Row],[I/O Type]],tbl_Slot_Group[],2,FALSE)</f>
        <v>2</v>
      </c>
      <c r="W696" s="136">
        <v>1</v>
      </c>
      <c r="X696" s="136" t="str">
        <f>tbl_IO_List[[#This Row],[Chassis]]&amp;"S"&amp;TEXT(tbl_IO_List[[#This Row],[Slot]],"00")</f>
        <v>C4S04</v>
      </c>
      <c r="Y696" s="136" t="str">
        <f>tbl_IO_List[[#This Row],[Chassis]]&amp;"S"&amp;TEXT(tbl_IO_List[[#This Row],[Slot]],"00")&amp;tbl_IO_List[[#This Row],[I/O Type]]&amp;TEXT(tbl_IO_List[[#This Row],[Point]],"00")</f>
        <v>C4S04DO27</v>
      </c>
      <c r="Z696" s="136" t="str">
        <f>tbl_IO_List[[#This Row],[Chassis]]&amp;"S"&amp;TEXT(tbl_IO_List[[#This Row],[Slot]],"00")&amp;","&amp;TEXT(tbl_IO_List[[#This Row],[Point]],"00")</f>
        <v>C4S04,27</v>
      </c>
      <c r="AA696" s="136" t="str">
        <f>VLOOKUP(tbl_IO_List[[#This Row],[Column23]],tbl_RackConfig[],5,FALSE) &amp;"-"&amp;tbl_IO_List[[#This Row],[Point]]</f>
        <v>1756-OB32-27</v>
      </c>
      <c r="AB696" s="136"/>
      <c r="AC696" s="136"/>
      <c r="AD696" s="136" t="str">
        <f>tbl_IO_List[[#This Row],[I/O Type]]</f>
        <v>DO</v>
      </c>
      <c r="AE696" s="136" t="s">
        <v>1335</v>
      </c>
      <c r="AF696" s="136">
        <v>4</v>
      </c>
      <c r="AG696" s="136">
        <v>27</v>
      </c>
      <c r="AH696" s="136"/>
      <c r="AI696" s="136"/>
      <c r="AJ696" s="136">
        <v>0</v>
      </c>
      <c r="AK696" s="136">
        <v>1</v>
      </c>
      <c r="AL696" s="136">
        <v>0</v>
      </c>
      <c r="AM696" s="136">
        <v>0</v>
      </c>
      <c r="AN696" s="136">
        <v>0</v>
      </c>
      <c r="AO696" s="136"/>
      <c r="AP696" s="143" t="str">
        <f>VLOOKUP(tbl_IO_List[[#This Row],[Instruement Tag]],tbl_Instruement_List[],14,FALSE)</f>
        <v>24 VDC energized</v>
      </c>
      <c r="AQ696" s="143" t="str">
        <f>tbl_IO_List[[#This Row],[Chassis]]&amp;"S"&amp;tbl_IO_List[[#This Row],[Slot]]&amp;"-"&amp;tbl_IO_List[[#This Row],[Front Terminal Number]]</f>
        <v>C4S4-</v>
      </c>
      <c r="AR696" s="143"/>
      <c r="AS696" s="136" t="str">
        <f>tbl_IO_List[[#This Row],[Terminal Tagging]]&amp;"-"&amp;tbl_IO_List[[#This Row],[Point-Count]]</f>
        <v>-</v>
      </c>
      <c r="AT696" s="136" t="str">
        <f>tbl_IO_List[[#This Row],[Front Terminal Tagging]]&amp;"/"&amp;tbl_IO_List[[#This Row],[Terminal Tagging-Item]]</f>
        <v>C4S4-/-</v>
      </c>
      <c r="AU696" s="136" t="str">
        <f>tbl_IO_List[[#This Row],[Terminal Tagging-Item]]&amp;"/"&amp;tbl_IO_List[[#This Row],[Front Terminal Tagging]]</f>
        <v>-/C4S4-</v>
      </c>
    </row>
    <row r="697" spans="1:47" hidden="1">
      <c r="A697" s="147" t="s">
        <v>1371</v>
      </c>
      <c r="B697" s="136" t="s">
        <v>335</v>
      </c>
      <c r="C697" s="136" t="str">
        <f>tbl_IO_List[[#This Row],[Column3]]</f>
        <v>C4S04,28</v>
      </c>
      <c r="D697" s="136" t="str">
        <f>tbl_IO_List[[#This Row],[Card]]</f>
        <v>1756-OB32-28</v>
      </c>
      <c r="E697" s="136" t="s">
        <v>1372</v>
      </c>
      <c r="F697" s="136" t="str">
        <f>tbl_IO_List[[#This Row],[Column23]]&amp;"-" &amp;tbl_IO_List[[#This Row],[Column52]]</f>
        <v>C4S04-X2</v>
      </c>
      <c r="G697" s="136" t="str">
        <f>tbl_IO_List[[#This Row],[PLC_Tag]]</f>
        <v>XS-61301F_DO_1</v>
      </c>
      <c r="H697" s="136"/>
      <c r="I697" s="136" t="str">
        <f>VLOOKUP(tbl_IO_List[[#This Row],[Destination]],tbl_Junction[],2,FALSE)</f>
        <v>Packing Tower 2th Floor</v>
      </c>
      <c r="J697" s="136" t="s">
        <v>335</v>
      </c>
      <c r="K697" s="136" t="s">
        <v>66</v>
      </c>
      <c r="L697" s="136" t="s">
        <v>1057</v>
      </c>
      <c r="M697" s="136">
        <f>VLOOKUP(tbl_IO_List[[#This Row],[Instruement Tag]],tbl_Instruement_List[],2,FALSE)</f>
        <v>0</v>
      </c>
      <c r="N697" s="136" t="s">
        <v>15</v>
      </c>
      <c r="O697" s="136" t="s">
        <v>356</v>
      </c>
      <c r="P697" s="136" t="s">
        <v>18</v>
      </c>
      <c r="Q697" s="136" t="str">
        <f>VLOOKUP(tbl_IO_List[[#This Row],[Instruement Tag]],tbl_Instruement_List[],6,FALSE)</f>
        <v xml:space="preserve">Operation Release </v>
      </c>
      <c r="R697" s="136"/>
      <c r="S69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697" s="136" t="str">
        <f>tbl_IO_List[[#This Row],[Instruement Tag]]&amp;"_"&amp;tbl_IO_List[[#This Row],[I/O Type]]&amp;"_"&amp;tbl_IO_List[[#This Row],[IO-Point 
(Instruement)]]</f>
        <v>XS-61301F_DO_1</v>
      </c>
      <c r="U697" s="136" t="s">
        <v>7</v>
      </c>
      <c r="V697" s="136">
        <f>VLOOKUP(tbl_IO_List[[#This Row],[I/O Type]],tbl_Slot_Group[],2,FALSE)</f>
        <v>2</v>
      </c>
      <c r="W697" s="136">
        <v>1</v>
      </c>
      <c r="X697" s="136" t="str">
        <f>tbl_IO_List[[#This Row],[Chassis]]&amp;"S"&amp;TEXT(tbl_IO_List[[#This Row],[Slot]],"00")</f>
        <v>C4S04</v>
      </c>
      <c r="Y697" s="136" t="str">
        <f>tbl_IO_List[[#This Row],[Chassis]]&amp;"S"&amp;TEXT(tbl_IO_List[[#This Row],[Slot]],"00")&amp;tbl_IO_List[[#This Row],[I/O Type]]&amp;TEXT(tbl_IO_List[[#This Row],[Point]],"00")</f>
        <v>C4S04DO28</v>
      </c>
      <c r="Z697" s="136" t="str">
        <f>tbl_IO_List[[#This Row],[Chassis]]&amp;"S"&amp;TEXT(tbl_IO_List[[#This Row],[Slot]],"00")&amp;","&amp;TEXT(tbl_IO_List[[#This Row],[Point]],"00")</f>
        <v>C4S04,28</v>
      </c>
      <c r="AA697" s="136" t="str">
        <f>VLOOKUP(tbl_IO_List[[#This Row],[Column23]],tbl_RackConfig[],5,FALSE) &amp;"-"&amp;tbl_IO_List[[#This Row],[Point]]</f>
        <v>1756-OB32-28</v>
      </c>
      <c r="AB697" s="136"/>
      <c r="AC697" s="136"/>
      <c r="AD697" s="136" t="str">
        <f>tbl_IO_List[[#This Row],[I/O Type]]</f>
        <v>DO</v>
      </c>
      <c r="AE697" s="136" t="s">
        <v>1335</v>
      </c>
      <c r="AF697" s="136">
        <v>4</v>
      </c>
      <c r="AG697" s="136">
        <v>28</v>
      </c>
      <c r="AH697" s="136"/>
      <c r="AI697" s="136"/>
      <c r="AJ697" s="136">
        <v>0</v>
      </c>
      <c r="AK697" s="136">
        <v>1</v>
      </c>
      <c r="AL697" s="136">
        <v>0</v>
      </c>
      <c r="AM697" s="136">
        <v>0</v>
      </c>
      <c r="AN697" s="136">
        <v>0</v>
      </c>
      <c r="AO697" s="136"/>
      <c r="AP697" s="143" t="str">
        <f>VLOOKUP(tbl_IO_List[[#This Row],[Instruement Tag]],tbl_Instruement_List[],14,FALSE)</f>
        <v>24 VDC energized</v>
      </c>
      <c r="AQ697" s="143" t="str">
        <f>tbl_IO_List[[#This Row],[Chassis]]&amp;"S"&amp;tbl_IO_List[[#This Row],[Slot]]&amp;"-"&amp;tbl_IO_List[[#This Row],[Front Terminal Number]]</f>
        <v>C4S4-</v>
      </c>
      <c r="AR697" s="143"/>
      <c r="AS697" s="136" t="str">
        <f>tbl_IO_List[[#This Row],[Terminal Tagging]]&amp;"-"&amp;tbl_IO_List[[#This Row],[Point-Count]]</f>
        <v>-</v>
      </c>
      <c r="AT697" s="136" t="str">
        <f>tbl_IO_List[[#This Row],[Front Terminal Tagging]]&amp;"/"&amp;tbl_IO_List[[#This Row],[Terminal Tagging-Item]]</f>
        <v>C4S4-/-</v>
      </c>
      <c r="AU697" s="136" t="str">
        <f>tbl_IO_List[[#This Row],[Terminal Tagging-Item]]&amp;"/"&amp;tbl_IO_List[[#This Row],[Front Terminal Tagging]]</f>
        <v>-/C4S4-</v>
      </c>
    </row>
    <row r="698" spans="1:47" hidden="1">
      <c r="A698" s="147" t="s">
        <v>1371</v>
      </c>
      <c r="B698" s="136" t="s">
        <v>335</v>
      </c>
      <c r="C698" s="136" t="str">
        <f>tbl_IO_List[[#This Row],[Column3]]</f>
        <v>C4S04,29</v>
      </c>
      <c r="D698" s="136" t="str">
        <f>tbl_IO_List[[#This Row],[Card]]</f>
        <v>1756-OB32-29</v>
      </c>
      <c r="E698" s="136" t="s">
        <v>1372</v>
      </c>
      <c r="F698" s="136" t="str">
        <f>tbl_IO_List[[#This Row],[Column23]]&amp;"-" &amp;tbl_IO_List[[#This Row],[Column52]]</f>
        <v>C4S04-X2</v>
      </c>
      <c r="G698" s="136" t="str">
        <f>tbl_IO_List[[#This Row],[PLC_Tag]]</f>
        <v>XV-61302_DO_1</v>
      </c>
      <c r="H698" s="136"/>
      <c r="I698" s="136" t="str">
        <f>VLOOKUP(tbl_IO_List[[#This Row],[Destination]],tbl_Junction[],2,FALSE)</f>
        <v>Packing Tower 2th Floor</v>
      </c>
      <c r="J698" s="136" t="s">
        <v>335</v>
      </c>
      <c r="K698" s="136" t="s">
        <v>66</v>
      </c>
      <c r="L698" s="136" t="s">
        <v>355</v>
      </c>
      <c r="M698" s="136">
        <f>VLOOKUP(tbl_IO_List[[#This Row],[Instruement Tag]],tbl_Instruement_List[],2,FALSE)</f>
        <v>0</v>
      </c>
      <c r="N698" s="136" t="s">
        <v>24</v>
      </c>
      <c r="O698" s="136" t="s">
        <v>356</v>
      </c>
      <c r="P698" s="136" t="s">
        <v>357</v>
      </c>
      <c r="Q698" s="136" t="str">
        <f>VLOOKUP(tbl_IO_List[[#This Row],[Instruement Tag]],tbl_Instruement_List[],6,FALSE)</f>
        <v>Dust collector feed vent</v>
      </c>
      <c r="R698" s="136"/>
      <c r="S69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698" s="136" t="str">
        <f>tbl_IO_List[[#This Row],[Instruement Tag]]&amp;"_"&amp;tbl_IO_List[[#This Row],[I/O Type]]&amp;"_"&amp;tbl_IO_List[[#This Row],[IO-Point 
(Instruement)]]</f>
        <v>XV-61302_DO_1</v>
      </c>
      <c r="U698" s="136" t="s">
        <v>7</v>
      </c>
      <c r="V698" s="136">
        <f>VLOOKUP(tbl_IO_List[[#This Row],[I/O Type]],tbl_Slot_Group[],2,FALSE)</f>
        <v>2</v>
      </c>
      <c r="W698" s="136">
        <v>1</v>
      </c>
      <c r="X698" s="136" t="str">
        <f>tbl_IO_List[[#This Row],[Chassis]]&amp;"S"&amp;TEXT(tbl_IO_List[[#This Row],[Slot]],"00")</f>
        <v>C4S04</v>
      </c>
      <c r="Y698" s="136" t="str">
        <f>tbl_IO_List[[#This Row],[Chassis]]&amp;"S"&amp;TEXT(tbl_IO_List[[#This Row],[Slot]],"00")&amp;tbl_IO_List[[#This Row],[I/O Type]]&amp;TEXT(tbl_IO_List[[#This Row],[Point]],"00")</f>
        <v>C4S04DO29</v>
      </c>
      <c r="Z698" s="136" t="str">
        <f>tbl_IO_List[[#This Row],[Chassis]]&amp;"S"&amp;TEXT(tbl_IO_List[[#This Row],[Slot]],"00")&amp;","&amp;TEXT(tbl_IO_List[[#This Row],[Point]],"00")</f>
        <v>C4S04,29</v>
      </c>
      <c r="AA698" s="136" t="str">
        <f>VLOOKUP(tbl_IO_List[[#This Row],[Column23]],tbl_RackConfig[],5,FALSE) &amp;"-"&amp;tbl_IO_List[[#This Row],[Point]]</f>
        <v>1756-OB32-29</v>
      </c>
      <c r="AB698" s="136"/>
      <c r="AC698" s="136"/>
      <c r="AD698" s="136" t="str">
        <f>tbl_IO_List[[#This Row],[I/O Type]]</f>
        <v>DO</v>
      </c>
      <c r="AE698" s="136" t="s">
        <v>1335</v>
      </c>
      <c r="AF698" s="136">
        <v>4</v>
      </c>
      <c r="AG698" s="136">
        <v>29</v>
      </c>
      <c r="AH698" s="136"/>
      <c r="AI698" s="136"/>
      <c r="AJ698" s="136">
        <v>2</v>
      </c>
      <c r="AK698" s="136">
        <v>1</v>
      </c>
      <c r="AL698" s="136">
        <v>0</v>
      </c>
      <c r="AM698" s="136">
        <v>0</v>
      </c>
      <c r="AN698" s="136">
        <v>0</v>
      </c>
      <c r="AO698" s="136"/>
      <c r="AP698" s="143" t="str">
        <f>VLOOKUP(tbl_IO_List[[#This Row],[Instruement Tag]],tbl_Instruement_List[],14,FALSE)</f>
        <v>24 VDC energized</v>
      </c>
      <c r="AQ698" s="143" t="str">
        <f>tbl_IO_List[[#This Row],[Chassis]]&amp;"S"&amp;tbl_IO_List[[#This Row],[Slot]]&amp;"-"&amp;tbl_IO_List[[#This Row],[Front Terminal Number]]</f>
        <v>C4S4-</v>
      </c>
      <c r="AR698" s="143"/>
      <c r="AS698" s="136" t="str">
        <f>tbl_IO_List[[#This Row],[Terminal Tagging]]&amp;"-"&amp;tbl_IO_List[[#This Row],[Point-Count]]</f>
        <v>-</v>
      </c>
      <c r="AT698" s="136" t="str">
        <f>tbl_IO_List[[#This Row],[Front Terminal Tagging]]&amp;"/"&amp;tbl_IO_List[[#This Row],[Terminal Tagging-Item]]</f>
        <v>C4S4-/-</v>
      </c>
      <c r="AU698" s="136" t="str">
        <f>tbl_IO_List[[#This Row],[Terminal Tagging-Item]]&amp;"/"&amp;tbl_IO_List[[#This Row],[Front Terminal Tagging]]</f>
        <v>-/C4S4-</v>
      </c>
    </row>
    <row r="699" spans="1:47" hidden="1">
      <c r="A699" s="147" t="s">
        <v>1371</v>
      </c>
      <c r="B699" s="136" t="s">
        <v>335</v>
      </c>
      <c r="C699" s="136" t="str">
        <f>tbl_IO_List[[#This Row],[Column3]]</f>
        <v>C4S04,30</v>
      </c>
      <c r="D699" s="136" t="str">
        <f>tbl_IO_List[[#This Row],[Card]]</f>
        <v>1756-OB32-30</v>
      </c>
      <c r="E699" s="136" t="s">
        <v>1372</v>
      </c>
      <c r="F699" s="136" t="str">
        <f>tbl_IO_List[[#This Row],[Column23]]&amp;"-" &amp;tbl_IO_List[[#This Row],[Column52]]</f>
        <v>C4S04-X2</v>
      </c>
      <c r="G699" s="136" t="str">
        <f>tbl_IO_List[[#This Row],[PLC_Tag]]</f>
        <v>XV-61303_DO_1</v>
      </c>
      <c r="H699" s="136"/>
      <c r="I699" s="136" t="str">
        <f>VLOOKUP(tbl_IO_List[[#This Row],[Destination]],tbl_Junction[],2,FALSE)</f>
        <v>Packing Tower 2th Floor</v>
      </c>
      <c r="J699" s="136" t="s">
        <v>335</v>
      </c>
      <c r="K699" s="136" t="s">
        <v>66</v>
      </c>
      <c r="L699" s="136" t="s">
        <v>358</v>
      </c>
      <c r="M699" s="136">
        <f>VLOOKUP(tbl_IO_List[[#This Row],[Instruement Tag]],tbl_Instruement_List[],2,FALSE)</f>
        <v>0</v>
      </c>
      <c r="N699" s="136" t="s">
        <v>24</v>
      </c>
      <c r="O699" s="136" t="s">
        <v>356</v>
      </c>
      <c r="P699" s="136" t="s">
        <v>357</v>
      </c>
      <c r="Q699" s="136" t="str">
        <f>VLOOKUP(tbl_IO_List[[#This Row],[Instruement Tag]],tbl_Instruement_List[],6,FALSE)</f>
        <v>Dust collector feed from packer</v>
      </c>
      <c r="R699" s="136"/>
      <c r="S69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699" s="136" t="str">
        <f>tbl_IO_List[[#This Row],[Instruement Tag]]&amp;"_"&amp;tbl_IO_List[[#This Row],[I/O Type]]&amp;"_"&amp;tbl_IO_List[[#This Row],[IO-Point 
(Instruement)]]</f>
        <v>XV-61303_DO_1</v>
      </c>
      <c r="U699" s="136" t="s">
        <v>7</v>
      </c>
      <c r="V699" s="136">
        <f>VLOOKUP(tbl_IO_List[[#This Row],[I/O Type]],tbl_Slot_Group[],2,FALSE)</f>
        <v>2</v>
      </c>
      <c r="W699" s="136">
        <v>1</v>
      </c>
      <c r="X699" s="136" t="str">
        <f>tbl_IO_List[[#This Row],[Chassis]]&amp;"S"&amp;TEXT(tbl_IO_List[[#This Row],[Slot]],"00")</f>
        <v>C4S04</v>
      </c>
      <c r="Y699" s="136" t="str">
        <f>tbl_IO_List[[#This Row],[Chassis]]&amp;"S"&amp;TEXT(tbl_IO_List[[#This Row],[Slot]],"00")&amp;tbl_IO_List[[#This Row],[I/O Type]]&amp;TEXT(tbl_IO_List[[#This Row],[Point]],"00")</f>
        <v>C4S04DO30</v>
      </c>
      <c r="Z699" s="136" t="str">
        <f>tbl_IO_List[[#This Row],[Chassis]]&amp;"S"&amp;TEXT(tbl_IO_List[[#This Row],[Slot]],"00")&amp;","&amp;TEXT(tbl_IO_List[[#This Row],[Point]],"00")</f>
        <v>C4S04,30</v>
      </c>
      <c r="AA699" s="136" t="str">
        <f>VLOOKUP(tbl_IO_List[[#This Row],[Column23]],tbl_RackConfig[],5,FALSE) &amp;"-"&amp;tbl_IO_List[[#This Row],[Point]]</f>
        <v>1756-OB32-30</v>
      </c>
      <c r="AB699" s="136"/>
      <c r="AC699" s="136"/>
      <c r="AD699" s="136" t="str">
        <f>tbl_IO_List[[#This Row],[I/O Type]]</f>
        <v>DO</v>
      </c>
      <c r="AE699" s="136" t="s">
        <v>1335</v>
      </c>
      <c r="AF699" s="136">
        <v>4</v>
      </c>
      <c r="AG699" s="136">
        <v>30</v>
      </c>
      <c r="AH699" s="136"/>
      <c r="AI699" s="136"/>
      <c r="AJ699" s="136">
        <v>2</v>
      </c>
      <c r="AK699" s="136">
        <v>1</v>
      </c>
      <c r="AL699" s="136">
        <v>0</v>
      </c>
      <c r="AM699" s="136">
        <v>0</v>
      </c>
      <c r="AN699" s="136">
        <v>0</v>
      </c>
      <c r="AO699" s="136"/>
      <c r="AP699" s="143" t="str">
        <f>VLOOKUP(tbl_IO_List[[#This Row],[Instruement Tag]],tbl_Instruement_List[],14,FALSE)</f>
        <v>24 VDC energized</v>
      </c>
      <c r="AQ699" s="143" t="str">
        <f>tbl_IO_List[[#This Row],[Chassis]]&amp;"S"&amp;tbl_IO_List[[#This Row],[Slot]]&amp;"-"&amp;tbl_IO_List[[#This Row],[Front Terminal Number]]</f>
        <v>C4S4-</v>
      </c>
      <c r="AR699" s="143"/>
      <c r="AS699" s="136" t="str">
        <f>tbl_IO_List[[#This Row],[Terminal Tagging]]&amp;"-"&amp;tbl_IO_List[[#This Row],[Point-Count]]</f>
        <v>-</v>
      </c>
      <c r="AT699" s="136" t="str">
        <f>tbl_IO_List[[#This Row],[Front Terminal Tagging]]&amp;"/"&amp;tbl_IO_List[[#This Row],[Terminal Tagging-Item]]</f>
        <v>C4S4-/-</v>
      </c>
      <c r="AU699" s="136" t="str">
        <f>tbl_IO_List[[#This Row],[Terminal Tagging-Item]]&amp;"/"&amp;tbl_IO_List[[#This Row],[Front Terminal Tagging]]</f>
        <v>-/C4S4-</v>
      </c>
    </row>
    <row r="700" spans="1:47" hidden="1">
      <c r="A700" s="147" t="s">
        <v>1371</v>
      </c>
      <c r="B700" s="136" t="s">
        <v>335</v>
      </c>
      <c r="C700" s="136" t="str">
        <f>tbl_IO_List[[#This Row],[Column3]]</f>
        <v>C4S04,31</v>
      </c>
      <c r="D700" s="136" t="str">
        <f>tbl_IO_List[[#This Row],[Card]]</f>
        <v>1756-OB32-31</v>
      </c>
      <c r="E700" s="136" t="s">
        <v>1372</v>
      </c>
      <c r="F700" s="136" t="str">
        <f>tbl_IO_List[[#This Row],[Column23]]&amp;"-" &amp;tbl_IO_List[[#This Row],[Column52]]</f>
        <v>C4S04-X2</v>
      </c>
      <c r="G700" s="136" t="str">
        <f>tbl_IO_List[[#This Row],[PLC_Tag]]</f>
        <v>Spare_DO_0</v>
      </c>
      <c r="H700" s="136"/>
      <c r="I700" s="136" t="str">
        <f>VLOOKUP(tbl_IO_List[[#This Row],[Destination]],tbl_Junction[],2,FALSE)</f>
        <v>Packing Tower 2th Floor</v>
      </c>
      <c r="J700" s="136" t="s">
        <v>335</v>
      </c>
      <c r="K700" s="136" t="s">
        <v>66</v>
      </c>
      <c r="L700" s="136" t="s">
        <v>411</v>
      </c>
      <c r="M700" s="136" t="e">
        <f>VLOOKUP(tbl_IO_List[[#This Row],[Instruement Tag]],tbl_Instruement_List[],2,FALSE)</f>
        <v>#N/A</v>
      </c>
      <c r="N700" s="136"/>
      <c r="O700" s="136"/>
      <c r="P700" s="136"/>
      <c r="Q700" s="136" t="e">
        <f>VLOOKUP(tbl_IO_List[[#This Row],[Instruement Tag]],tbl_Instruement_List[],6,FALSE)</f>
        <v>#N/A</v>
      </c>
      <c r="R700" s="136"/>
      <c r="S70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,DO=,AI=,AO=,Bus=</v>
      </c>
      <c r="T700" s="136" t="str">
        <f>tbl_IO_List[[#This Row],[Instruement Tag]]&amp;"_"&amp;tbl_IO_List[[#This Row],[I/O Type]]&amp;"_"&amp;tbl_IO_List[[#This Row],[IO-Point 
(Instruement)]]</f>
        <v>Spare_DO_0</v>
      </c>
      <c r="U700" s="136" t="s">
        <v>7</v>
      </c>
      <c r="V700" s="136">
        <f>VLOOKUP(tbl_IO_List[[#This Row],[I/O Type]],tbl_Slot_Group[],2,FALSE)</f>
        <v>2</v>
      </c>
      <c r="W700" s="136">
        <v>0</v>
      </c>
      <c r="X700" s="136" t="str">
        <f>tbl_IO_List[[#This Row],[Chassis]]&amp;"S"&amp;TEXT(tbl_IO_List[[#This Row],[Slot]],"00")</f>
        <v>C4S04</v>
      </c>
      <c r="Y700" s="136" t="str">
        <f>tbl_IO_List[[#This Row],[Chassis]]&amp;"S"&amp;TEXT(tbl_IO_List[[#This Row],[Slot]],"00")&amp;tbl_IO_List[[#This Row],[I/O Type]]&amp;TEXT(tbl_IO_List[[#This Row],[Point]],"00")</f>
        <v>C4S04DO31</v>
      </c>
      <c r="Z700" s="136" t="str">
        <f>tbl_IO_List[[#This Row],[Chassis]]&amp;"S"&amp;TEXT(tbl_IO_List[[#This Row],[Slot]],"00")&amp;","&amp;TEXT(tbl_IO_List[[#This Row],[Point]],"00")</f>
        <v>C4S04,31</v>
      </c>
      <c r="AA700" s="136" t="str">
        <f>VLOOKUP(tbl_IO_List[[#This Row],[Column23]],tbl_RackConfig[],5,FALSE) &amp;"-"&amp;tbl_IO_List[[#This Row],[Point]]</f>
        <v>1756-OB32-31</v>
      </c>
      <c r="AB700" s="136"/>
      <c r="AC700" s="136"/>
      <c r="AD700" s="136" t="str">
        <f>tbl_IO_List[[#This Row],[I/O Type]]</f>
        <v>DO</v>
      </c>
      <c r="AE700" s="136" t="s">
        <v>1335</v>
      </c>
      <c r="AF700" s="136">
        <v>4</v>
      </c>
      <c r="AG700" s="136">
        <v>31</v>
      </c>
      <c r="AH700" s="136"/>
      <c r="AI700" s="136"/>
      <c r="AJ700" s="136"/>
      <c r="AK700" s="136"/>
      <c r="AL700" s="136"/>
      <c r="AM700" s="136"/>
      <c r="AN700" s="136"/>
      <c r="AO700" s="136"/>
      <c r="AP700" s="143"/>
      <c r="AQ700" s="143" t="str">
        <f>tbl_IO_List[[#This Row],[Chassis]]&amp;"S"&amp;tbl_IO_List[[#This Row],[Slot]]&amp;"-"&amp;tbl_IO_List[[#This Row],[Front Terminal Number]]</f>
        <v>C4S4-</v>
      </c>
      <c r="AR700" s="143"/>
      <c r="AS700" s="136" t="str">
        <f>tbl_IO_List[[#This Row],[Terminal Tagging]]&amp;"-"&amp;tbl_IO_List[[#This Row],[Point-Count]]</f>
        <v>-</v>
      </c>
      <c r="AT700" s="136" t="str">
        <f>tbl_IO_List[[#This Row],[Front Terminal Tagging]]&amp;"/"&amp;tbl_IO_List[[#This Row],[Terminal Tagging-Item]]</f>
        <v>C4S4-/-</v>
      </c>
      <c r="AU700" s="136" t="str">
        <f>tbl_IO_List[[#This Row],[Terminal Tagging-Item]]&amp;"/"&amp;tbl_IO_List[[#This Row],[Front Terminal Tagging]]</f>
        <v>-/C4S4-</v>
      </c>
    </row>
    <row r="701" spans="1:47" ht="15" hidden="1" customHeight="1">
      <c r="A701" s="147" t="s">
        <v>1371</v>
      </c>
      <c r="B701" s="136" t="s">
        <v>265</v>
      </c>
      <c r="C701" s="136" t="str">
        <f>tbl_IO_List[[#This Row],[Column3]]</f>
        <v>C4S05,00</v>
      </c>
      <c r="D701" s="136" t="str">
        <f>tbl_IO_List[[#This Row],[Card]]</f>
        <v>1756-IF16-0</v>
      </c>
      <c r="E701" s="136" t="s">
        <v>1366</v>
      </c>
      <c r="F701" s="136" t="str">
        <f>tbl_IO_List[[#This Row],[Column23]]&amp;"-" &amp;tbl_IO_List[[#This Row],[Column52]]</f>
        <v>C4S05-X1</v>
      </c>
      <c r="G701" s="136" t="str">
        <f>tbl_IO_List[[#This Row],[PLC_Tag]]</f>
        <v>DPT-60201_AI_1</v>
      </c>
      <c r="H701" s="136"/>
      <c r="I701" s="136" t="str">
        <f>VLOOKUP(tbl_IO_List[[#This Row],[Destination]],tbl_Junction[],2,FALSE)</f>
        <v>Spray Dryer 6th Floor</v>
      </c>
      <c r="J701" s="136" t="s">
        <v>265</v>
      </c>
      <c r="K701" s="136" t="s">
        <v>14</v>
      </c>
      <c r="L701" s="136" t="s">
        <v>264</v>
      </c>
      <c r="M701" s="136" t="str">
        <f>VLOOKUP(tbl_IO_List[[#This Row],[Instruement Tag]],tbl_Instruement_List[],2,FALSE)</f>
        <v>Differential Pressure Transmitte</v>
      </c>
      <c r="N701" s="136" t="s">
        <v>58</v>
      </c>
      <c r="O701" s="136" t="s">
        <v>226</v>
      </c>
      <c r="P701" s="136" t="s">
        <v>227</v>
      </c>
      <c r="Q701" s="136" t="str">
        <f>VLOOKUP(tbl_IO_List[[#This Row],[Instruement Tag]],tbl_Instruement_List[],6,FALSE)</f>
        <v>Steam filter pressure</v>
      </c>
      <c r="R701" s="136"/>
      <c r="S70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701" s="136" t="str">
        <f>tbl_IO_List[[#This Row],[Instruement Tag]]&amp;"_"&amp;tbl_IO_List[[#This Row],[I/O Type]]&amp;"_"&amp;tbl_IO_List[[#This Row],[IO-Point 
(Instruement)]]</f>
        <v>DPT-60201_AI_1</v>
      </c>
      <c r="U701" s="136" t="s">
        <v>10</v>
      </c>
      <c r="V701" s="136">
        <f>VLOOKUP(tbl_IO_List[[#This Row],[I/O Type]],tbl_Slot_Group[],2,FALSE)</f>
        <v>3</v>
      </c>
      <c r="W701" s="136">
        <v>1</v>
      </c>
      <c r="X701" s="136" t="str">
        <f>tbl_IO_List[[#This Row],[Chassis]]&amp;"S"&amp;TEXT(tbl_IO_List[[#This Row],[Slot]],"00")</f>
        <v>C4S05</v>
      </c>
      <c r="Y701" s="136" t="str">
        <f>tbl_IO_List[[#This Row],[Chassis]]&amp;"S"&amp;TEXT(tbl_IO_List[[#This Row],[Slot]],"00")&amp;tbl_IO_List[[#This Row],[I/O Type]]&amp;TEXT(tbl_IO_List[[#This Row],[Point]],"00")</f>
        <v>C4S05AI00</v>
      </c>
      <c r="Z701" s="136" t="str">
        <f>tbl_IO_List[[#This Row],[Chassis]]&amp;"S"&amp;TEXT(tbl_IO_List[[#This Row],[Slot]],"00")&amp;","&amp;TEXT(tbl_IO_List[[#This Row],[Point]],"00")</f>
        <v>C4S05,00</v>
      </c>
      <c r="AA701" s="136" t="str">
        <f>VLOOKUP(tbl_IO_List[[#This Row],[Column23]],tbl_RackConfig[],5,FALSE) &amp;"-"&amp;tbl_IO_List[[#This Row],[Point]]</f>
        <v>1756-IF16-0</v>
      </c>
      <c r="AB701" s="136"/>
      <c r="AC701" s="136"/>
      <c r="AD701" s="136" t="str">
        <f>tbl_IO_List[[#This Row],[I/O Type]]</f>
        <v>AI</v>
      </c>
      <c r="AE701" s="136" t="s">
        <v>1335</v>
      </c>
      <c r="AF701" s="136">
        <v>5</v>
      </c>
      <c r="AG701" s="136">
        <v>0</v>
      </c>
      <c r="AH701" s="136"/>
      <c r="AI701" s="136"/>
      <c r="AJ701" s="136">
        <v>0</v>
      </c>
      <c r="AK701" s="136">
        <v>0</v>
      </c>
      <c r="AL701" s="136">
        <v>1</v>
      </c>
      <c r="AM701" s="136">
        <v>0</v>
      </c>
      <c r="AN701" s="136">
        <v>0</v>
      </c>
      <c r="AO701" s="136"/>
      <c r="AP701" s="143" t="str">
        <f>VLOOKUP(tbl_IO_List[[#This Row],[Instruement Tag]],tbl_Instruement_List[],14,FALSE)</f>
        <v>4 - 20 mA</v>
      </c>
      <c r="AQ701" s="143" t="str">
        <f>tbl_IO_List[[#This Row],[Chassis]]&amp;"S"&amp;tbl_IO_List[[#This Row],[Slot]]&amp;"-"&amp;tbl_IO_List[[#This Row],[Front Terminal Number]]</f>
        <v>C4S5-</v>
      </c>
      <c r="AR701" s="143"/>
      <c r="AS701" s="136" t="str">
        <f>tbl_IO_List[[#This Row],[Terminal Tagging]]&amp;"-"&amp;tbl_IO_List[[#This Row],[Point-Count]]</f>
        <v>-</v>
      </c>
      <c r="AT701" s="136" t="str">
        <f>tbl_IO_List[[#This Row],[Front Terminal Tagging]]&amp;"/"&amp;tbl_IO_List[[#This Row],[Terminal Tagging-Item]]</f>
        <v>C4S5-/-</v>
      </c>
      <c r="AU701" s="136" t="str">
        <f>tbl_IO_List[[#This Row],[Terminal Tagging-Item]]&amp;"/"&amp;tbl_IO_List[[#This Row],[Front Terminal Tagging]]</f>
        <v>-/C4S5-</v>
      </c>
    </row>
    <row r="702" spans="1:47" hidden="1">
      <c r="A702" s="147" t="s">
        <v>1371</v>
      </c>
      <c r="B702" s="136" t="s">
        <v>265</v>
      </c>
      <c r="C702" s="136" t="str">
        <f>tbl_IO_List[[#This Row],[Column3]]</f>
        <v>C4S05,01</v>
      </c>
      <c r="D702" s="136" t="str">
        <f>tbl_IO_List[[#This Row],[Card]]</f>
        <v>1756-IF16-1</v>
      </c>
      <c r="E702" s="136" t="s">
        <v>1366</v>
      </c>
      <c r="F702" s="136" t="str">
        <f>tbl_IO_List[[#This Row],[Column23]]&amp;"-" &amp;tbl_IO_List[[#This Row],[Column52]]</f>
        <v>C4S05-X1</v>
      </c>
      <c r="G702" s="136" t="str">
        <f>tbl_IO_List[[#This Row],[PLC_Tag]]</f>
        <v>FT-60203_AI_1</v>
      </c>
      <c r="H702" s="136"/>
      <c r="I702" s="136" t="str">
        <f>VLOOKUP(tbl_IO_List[[#This Row],[Destination]],tbl_Junction[],2,FALSE)</f>
        <v>Spray Dryer 6th Floor</v>
      </c>
      <c r="J702" s="136" t="s">
        <v>265</v>
      </c>
      <c r="K702" s="136" t="s">
        <v>14</v>
      </c>
      <c r="L702" s="136" t="s">
        <v>266</v>
      </c>
      <c r="M702" s="136">
        <f>VLOOKUP(tbl_IO_List[[#This Row],[Instruement Tag]],tbl_Instruement_List[],2,FALSE)</f>
        <v>0</v>
      </c>
      <c r="N702" s="136" t="s">
        <v>58</v>
      </c>
      <c r="O702" s="136" t="s">
        <v>226</v>
      </c>
      <c r="P702" s="136" t="s">
        <v>227</v>
      </c>
      <c r="Q702" s="136" t="str">
        <f>VLOOKUP(tbl_IO_List[[#This Row],[Instruement Tag]],tbl_Instruement_List[],6,FALSE)</f>
        <v xml:space="preserve">Culinary steam feed to Spray dryer </v>
      </c>
      <c r="R702" s="136"/>
      <c r="S70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1,DO=0,AI=1,AO=0,Bus=0</v>
      </c>
      <c r="T702" s="136" t="str">
        <f>tbl_IO_List[[#This Row],[Instruement Tag]]&amp;"_"&amp;tbl_IO_List[[#This Row],[I/O Type]]&amp;"_"&amp;tbl_IO_List[[#This Row],[IO-Point 
(Instruement)]]</f>
        <v>FT-60203_AI_1</v>
      </c>
      <c r="U702" s="136" t="s">
        <v>10</v>
      </c>
      <c r="V702" s="136">
        <f>VLOOKUP(tbl_IO_List[[#This Row],[I/O Type]],tbl_Slot_Group[],2,FALSE)</f>
        <v>3</v>
      </c>
      <c r="W702" s="136">
        <v>1</v>
      </c>
      <c r="X702" s="136" t="str">
        <f>tbl_IO_List[[#This Row],[Chassis]]&amp;"S"&amp;TEXT(tbl_IO_List[[#This Row],[Slot]],"00")</f>
        <v>C4S05</v>
      </c>
      <c r="Y702" s="136" t="str">
        <f>tbl_IO_List[[#This Row],[Chassis]]&amp;"S"&amp;TEXT(tbl_IO_List[[#This Row],[Slot]],"00")&amp;tbl_IO_List[[#This Row],[I/O Type]]&amp;TEXT(tbl_IO_List[[#This Row],[Point]],"00")</f>
        <v>C4S05AI01</v>
      </c>
      <c r="Z702" s="136" t="str">
        <f>tbl_IO_List[[#This Row],[Chassis]]&amp;"S"&amp;TEXT(tbl_IO_List[[#This Row],[Slot]],"00")&amp;","&amp;TEXT(tbl_IO_List[[#This Row],[Point]],"00")</f>
        <v>C4S05,01</v>
      </c>
      <c r="AA702" s="136" t="str">
        <f>VLOOKUP(tbl_IO_List[[#This Row],[Column23]],tbl_RackConfig[],5,FALSE) &amp;"-"&amp;tbl_IO_List[[#This Row],[Point]]</f>
        <v>1756-IF16-1</v>
      </c>
      <c r="AB702" s="136"/>
      <c r="AC702" s="136"/>
      <c r="AD702" s="136" t="str">
        <f>tbl_IO_List[[#This Row],[I/O Type]]</f>
        <v>AI</v>
      </c>
      <c r="AE702" s="136" t="s">
        <v>1335</v>
      </c>
      <c r="AF702" s="136">
        <v>5</v>
      </c>
      <c r="AG702" s="136">
        <v>1</v>
      </c>
      <c r="AH702" s="136"/>
      <c r="AI702" s="136"/>
      <c r="AJ702" s="136">
        <v>1</v>
      </c>
      <c r="AK702" s="136">
        <v>0</v>
      </c>
      <c r="AL702" s="136">
        <v>1</v>
      </c>
      <c r="AM702" s="136">
        <v>0</v>
      </c>
      <c r="AN702" s="136">
        <v>0</v>
      </c>
      <c r="AO702" s="136"/>
      <c r="AP702" s="143" t="str">
        <f>VLOOKUP(tbl_IO_List[[#This Row],[Instruement Tag]],tbl_Instruement_List[],14,FALSE)</f>
        <v>4 - 20 mA</v>
      </c>
      <c r="AQ702" s="143" t="str">
        <f>tbl_IO_List[[#This Row],[Chassis]]&amp;"S"&amp;tbl_IO_List[[#This Row],[Slot]]&amp;"-"&amp;tbl_IO_List[[#This Row],[Front Terminal Number]]</f>
        <v>C4S5-</v>
      </c>
      <c r="AR702" s="143"/>
      <c r="AS702" s="136" t="str">
        <f>tbl_IO_List[[#This Row],[Terminal Tagging]]&amp;"-"&amp;tbl_IO_List[[#This Row],[Point-Count]]</f>
        <v>-</v>
      </c>
      <c r="AT702" s="136" t="str">
        <f>tbl_IO_List[[#This Row],[Front Terminal Tagging]]&amp;"/"&amp;tbl_IO_List[[#This Row],[Terminal Tagging-Item]]</f>
        <v>C4S5-/-</v>
      </c>
      <c r="AU702" s="136" t="str">
        <f>tbl_IO_List[[#This Row],[Terminal Tagging-Item]]&amp;"/"&amp;tbl_IO_List[[#This Row],[Front Terminal Tagging]]</f>
        <v>-/C4S5-</v>
      </c>
    </row>
    <row r="703" spans="1:47" hidden="1">
      <c r="A703" s="147" t="s">
        <v>1371</v>
      </c>
      <c r="B703" s="136" t="s">
        <v>333</v>
      </c>
      <c r="C703" s="136" t="str">
        <f>tbl_IO_List[[#This Row],[Column3]]</f>
        <v>C4S05,02</v>
      </c>
      <c r="D703" s="136" t="str">
        <f>tbl_IO_List[[#This Row],[Card]]</f>
        <v>1756-IF16-2</v>
      </c>
      <c r="E703" s="136" t="s">
        <v>1366</v>
      </c>
      <c r="F703" s="136" t="str">
        <f>tbl_IO_List[[#This Row],[Column23]]&amp;"-" &amp;tbl_IO_List[[#This Row],[Column52]]</f>
        <v>C4S05-X1</v>
      </c>
      <c r="G703" s="136" t="str">
        <f>tbl_IO_List[[#This Row],[PLC_Tag]]</f>
        <v>TT-60245_AI_1</v>
      </c>
      <c r="H703" s="136"/>
      <c r="I703" s="136" t="str">
        <f>VLOOKUP(tbl_IO_List[[#This Row],[Destination]],tbl_Junction[],2,FALSE)</f>
        <v>Spray Dryer 8th Floor</v>
      </c>
      <c r="J703" s="136" t="s">
        <v>333</v>
      </c>
      <c r="K703" s="136" t="s">
        <v>14</v>
      </c>
      <c r="L703" s="136" t="s">
        <v>332</v>
      </c>
      <c r="M703" s="136">
        <f>VLOOKUP(tbl_IO_List[[#This Row],[Instruement Tag]],tbl_Instruement_List[],2,FALSE)</f>
        <v>0</v>
      </c>
      <c r="N703" s="136" t="s">
        <v>91</v>
      </c>
      <c r="O703" s="136" t="s">
        <v>21</v>
      </c>
      <c r="P703" s="136" t="s">
        <v>22</v>
      </c>
      <c r="Q703" s="136" t="str">
        <f>VLOOKUP(tbl_IO_List[[#This Row],[Instruement Tag]],tbl_Instruement_List[],6,FALSE)</f>
        <v>Gas Temperature Transmitter for Exhaust Stack (DTXS-21)</v>
      </c>
      <c r="R703" s="136"/>
      <c r="S70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703" s="136" t="str">
        <f>tbl_IO_List[[#This Row],[Instruement Tag]]&amp;"_"&amp;tbl_IO_List[[#This Row],[I/O Type]]&amp;"_"&amp;tbl_IO_List[[#This Row],[IO-Point 
(Instruement)]]</f>
        <v>TT-60245_AI_1</v>
      </c>
      <c r="U703" s="136" t="s">
        <v>10</v>
      </c>
      <c r="V703" s="136">
        <f>VLOOKUP(tbl_IO_List[[#This Row],[I/O Type]],tbl_Slot_Group[],2,FALSE)</f>
        <v>3</v>
      </c>
      <c r="W703" s="136">
        <v>1</v>
      </c>
      <c r="X703" s="136" t="str">
        <f>tbl_IO_List[[#This Row],[Chassis]]&amp;"S"&amp;TEXT(tbl_IO_List[[#This Row],[Slot]],"00")</f>
        <v>C4S05</v>
      </c>
      <c r="Y703" s="136" t="str">
        <f>tbl_IO_List[[#This Row],[Chassis]]&amp;"S"&amp;TEXT(tbl_IO_List[[#This Row],[Slot]],"00")&amp;tbl_IO_List[[#This Row],[I/O Type]]&amp;TEXT(tbl_IO_List[[#This Row],[Point]],"00")</f>
        <v>C4S05AI02</v>
      </c>
      <c r="Z703" s="136" t="str">
        <f>tbl_IO_List[[#This Row],[Chassis]]&amp;"S"&amp;TEXT(tbl_IO_List[[#This Row],[Slot]],"00")&amp;","&amp;TEXT(tbl_IO_List[[#This Row],[Point]],"00")</f>
        <v>C4S05,02</v>
      </c>
      <c r="AA703" s="136" t="str">
        <f>VLOOKUP(tbl_IO_List[[#This Row],[Column23]],tbl_RackConfig[],5,FALSE) &amp;"-"&amp;tbl_IO_List[[#This Row],[Point]]</f>
        <v>1756-IF16-2</v>
      </c>
      <c r="AB703" s="136"/>
      <c r="AC703" s="136"/>
      <c r="AD703" s="136" t="str">
        <f>tbl_IO_List[[#This Row],[I/O Type]]</f>
        <v>AI</v>
      </c>
      <c r="AE703" s="136" t="s">
        <v>1335</v>
      </c>
      <c r="AF703" s="136">
        <v>5</v>
      </c>
      <c r="AG703" s="136">
        <v>2</v>
      </c>
      <c r="AH703" s="136"/>
      <c r="AI703" s="136"/>
      <c r="AJ703" s="136">
        <v>0</v>
      </c>
      <c r="AK703" s="136">
        <v>0</v>
      </c>
      <c r="AL703" s="136">
        <v>1</v>
      </c>
      <c r="AM703" s="136">
        <v>0</v>
      </c>
      <c r="AN703" s="136">
        <v>0</v>
      </c>
      <c r="AO703" s="136"/>
      <c r="AP703" s="143" t="str">
        <f>VLOOKUP(tbl_IO_List[[#This Row],[Instruement Tag]],tbl_Instruement_List[],14,FALSE)</f>
        <v>4 - 20 mA</v>
      </c>
      <c r="AQ703" s="143" t="str">
        <f>tbl_IO_List[[#This Row],[Chassis]]&amp;"S"&amp;tbl_IO_List[[#This Row],[Slot]]&amp;"-"&amp;tbl_IO_List[[#This Row],[Front Terminal Number]]</f>
        <v>C4S5-</v>
      </c>
      <c r="AR703" s="143"/>
      <c r="AS703" s="136" t="str">
        <f>tbl_IO_List[[#This Row],[Terminal Tagging]]&amp;"-"&amp;tbl_IO_List[[#This Row],[Point-Count]]</f>
        <v>-</v>
      </c>
      <c r="AT703" s="136" t="str">
        <f>tbl_IO_List[[#This Row],[Front Terminal Tagging]]&amp;"/"&amp;tbl_IO_List[[#This Row],[Terminal Tagging-Item]]</f>
        <v>C4S5-/-</v>
      </c>
      <c r="AU703" s="136" t="str">
        <f>tbl_IO_List[[#This Row],[Terminal Tagging-Item]]&amp;"/"&amp;tbl_IO_List[[#This Row],[Front Terminal Tagging]]</f>
        <v>-/C4S5-</v>
      </c>
    </row>
    <row r="704" spans="1:47" hidden="1">
      <c r="A704" s="147" t="s">
        <v>1371</v>
      </c>
      <c r="B704" s="136" t="s">
        <v>333</v>
      </c>
      <c r="C704" s="136" t="str">
        <f>tbl_IO_List[[#This Row],[Column3]]</f>
        <v>C4S05,03</v>
      </c>
      <c r="D704" s="136" t="str">
        <f>tbl_IO_List[[#This Row],[Card]]</f>
        <v>1756-IF16-3</v>
      </c>
      <c r="E704" s="136" t="s">
        <v>1366</v>
      </c>
      <c r="F704" s="136" t="str">
        <f>tbl_IO_List[[#This Row],[Column23]]&amp;"-" &amp;tbl_IO_List[[#This Row],[Column52]]</f>
        <v>C4S05-X1</v>
      </c>
      <c r="G704" s="136" t="str">
        <f>tbl_IO_List[[#This Row],[PLC_Tag]]</f>
        <v>Spare_AI_0</v>
      </c>
      <c r="H704" s="136"/>
      <c r="I704" s="136" t="str">
        <f>VLOOKUP(tbl_IO_List[[#This Row],[Destination]],tbl_Junction[],2,FALSE)</f>
        <v>Spray Dryer 8th Floor</v>
      </c>
      <c r="J704" s="136"/>
      <c r="K704" s="136"/>
      <c r="L704" s="136" t="s">
        <v>411</v>
      </c>
      <c r="M704" s="136" t="e">
        <f>VLOOKUP(tbl_IO_List[[#This Row],[Instruement Tag]],tbl_Instruement_List[],2,FALSE)</f>
        <v>#N/A</v>
      </c>
      <c r="N704" s="136"/>
      <c r="O704" s="136"/>
      <c r="P704" s="136"/>
      <c r="Q704" s="136" t="e">
        <f>VLOOKUP(tbl_IO_List[[#This Row],[Instruement Tag]],tbl_Instruement_List[],6,FALSE)</f>
        <v>#N/A</v>
      </c>
      <c r="R704" s="136"/>
      <c r="S70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704" s="136" t="str">
        <f>tbl_IO_List[[#This Row],[Instruement Tag]]&amp;"_"&amp;tbl_IO_List[[#This Row],[I/O Type]]&amp;"_"&amp;tbl_IO_List[[#This Row],[IO-Point 
(Instruement)]]</f>
        <v>Spare_AI_0</v>
      </c>
      <c r="U704" s="136" t="s">
        <v>10</v>
      </c>
      <c r="V704" s="136">
        <f>VLOOKUP(tbl_IO_List[[#This Row],[I/O Type]],tbl_Slot_Group[],2,FALSE)</f>
        <v>3</v>
      </c>
      <c r="W704" s="136">
        <v>0</v>
      </c>
      <c r="X704" s="136" t="str">
        <f>tbl_IO_List[[#This Row],[Chassis]]&amp;"S"&amp;TEXT(tbl_IO_List[[#This Row],[Slot]],"00")</f>
        <v>C4S05</v>
      </c>
      <c r="Y704" s="136" t="str">
        <f>tbl_IO_List[[#This Row],[Chassis]]&amp;"S"&amp;TEXT(tbl_IO_List[[#This Row],[Slot]],"00")&amp;tbl_IO_List[[#This Row],[I/O Type]]&amp;TEXT(tbl_IO_List[[#This Row],[Point]],"00")</f>
        <v>C4S05AI03</v>
      </c>
      <c r="Z704" s="136" t="str">
        <f>tbl_IO_List[[#This Row],[Chassis]]&amp;"S"&amp;TEXT(tbl_IO_List[[#This Row],[Slot]],"00")&amp;","&amp;TEXT(tbl_IO_List[[#This Row],[Point]],"00")</f>
        <v>C4S05,03</v>
      </c>
      <c r="AA704" s="136" t="str">
        <f>VLOOKUP(tbl_IO_List[[#This Row],[Column23]],tbl_RackConfig[],5,FALSE) &amp;"-"&amp;tbl_IO_List[[#This Row],[Point]]</f>
        <v>1756-IF16-3</v>
      </c>
      <c r="AB704" s="136"/>
      <c r="AC704" s="136"/>
      <c r="AD704" s="136" t="str">
        <f>tbl_IO_List[[#This Row],[I/O Type]]</f>
        <v>AI</v>
      </c>
      <c r="AE704" s="136" t="s">
        <v>1335</v>
      </c>
      <c r="AF704" s="136">
        <v>5</v>
      </c>
      <c r="AG704" s="136">
        <v>3</v>
      </c>
      <c r="AH704" s="136"/>
      <c r="AI704" s="136"/>
      <c r="AJ704" s="136">
        <v>0</v>
      </c>
      <c r="AK704" s="136">
        <v>0</v>
      </c>
      <c r="AL704" s="136">
        <v>1</v>
      </c>
      <c r="AM704" s="136">
        <v>0</v>
      </c>
      <c r="AN704" s="136">
        <v>0</v>
      </c>
      <c r="AO704" s="136"/>
      <c r="AP704" s="143" t="e">
        <f>VLOOKUP(tbl_IO_List[[#This Row],[Instruement Tag]],tbl_Instruement_List[],14,FALSE)</f>
        <v>#N/A</v>
      </c>
      <c r="AQ704" s="143" t="str">
        <f>tbl_IO_List[[#This Row],[Chassis]]&amp;"S"&amp;tbl_IO_List[[#This Row],[Slot]]&amp;"-"&amp;tbl_IO_List[[#This Row],[Front Terminal Number]]</f>
        <v>C4S5-</v>
      </c>
      <c r="AR704" s="143"/>
      <c r="AS704" s="136" t="str">
        <f>tbl_IO_List[[#This Row],[Terminal Tagging]]&amp;"-"&amp;tbl_IO_List[[#This Row],[Point-Count]]</f>
        <v>-</v>
      </c>
      <c r="AT704" s="136" t="str">
        <f>tbl_IO_List[[#This Row],[Front Terminal Tagging]]&amp;"/"&amp;tbl_IO_List[[#This Row],[Terminal Tagging-Item]]</f>
        <v>C4S5-/-</v>
      </c>
      <c r="AU704" s="136" t="str">
        <f>tbl_IO_List[[#This Row],[Terminal Tagging-Item]]&amp;"/"&amp;tbl_IO_List[[#This Row],[Front Terminal Tagging]]</f>
        <v>-/C4S5-</v>
      </c>
    </row>
    <row r="705" spans="1:47" hidden="1">
      <c r="A705" s="147" t="s">
        <v>1371</v>
      </c>
      <c r="B705" s="136" t="s">
        <v>333</v>
      </c>
      <c r="C705" s="136" t="str">
        <f>tbl_IO_List[[#This Row],[Column3]]</f>
        <v>C4S05,04</v>
      </c>
      <c r="D705" s="136" t="str">
        <f>tbl_IO_List[[#This Row],[Card]]</f>
        <v>1756-IF16-4</v>
      </c>
      <c r="E705" s="136" t="s">
        <v>1366</v>
      </c>
      <c r="F705" s="136" t="str">
        <f>tbl_IO_List[[#This Row],[Column23]]&amp;"-" &amp;tbl_IO_List[[#This Row],[Column52]]</f>
        <v>C4S05-X1</v>
      </c>
      <c r="G705" s="136" t="str">
        <f>tbl_IO_List[[#This Row],[PLC_Tag]]</f>
        <v>Spare_AI_0</v>
      </c>
      <c r="H705" s="136"/>
      <c r="I705" s="136" t="str">
        <f>VLOOKUP(tbl_IO_List[[#This Row],[Destination]],tbl_Junction[],2,FALSE)</f>
        <v>Spray Dryer 8th Floor</v>
      </c>
      <c r="J705" s="136"/>
      <c r="K705" s="136"/>
      <c r="L705" s="136" t="s">
        <v>411</v>
      </c>
      <c r="M705" s="136" t="e">
        <f>VLOOKUP(tbl_IO_List[[#This Row],[Instruement Tag]],tbl_Instruement_List[],2,FALSE)</f>
        <v>#N/A</v>
      </c>
      <c r="N705" s="136"/>
      <c r="O705" s="136"/>
      <c r="P705" s="136"/>
      <c r="Q705" s="136" t="e">
        <f>VLOOKUP(tbl_IO_List[[#This Row],[Instruement Tag]],tbl_Instruement_List[],6,FALSE)</f>
        <v>#N/A</v>
      </c>
      <c r="R705" s="136"/>
      <c r="S70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705" s="136" t="str">
        <f>tbl_IO_List[[#This Row],[Instruement Tag]]&amp;"_"&amp;tbl_IO_List[[#This Row],[I/O Type]]&amp;"_"&amp;tbl_IO_List[[#This Row],[IO-Point 
(Instruement)]]</f>
        <v>Spare_AI_0</v>
      </c>
      <c r="U705" s="136" t="s">
        <v>10</v>
      </c>
      <c r="V705" s="136">
        <f>VLOOKUP(tbl_IO_List[[#This Row],[I/O Type]],tbl_Slot_Group[],2,FALSE)</f>
        <v>3</v>
      </c>
      <c r="W705" s="136">
        <v>0</v>
      </c>
      <c r="X705" s="136" t="str">
        <f>tbl_IO_List[[#This Row],[Chassis]]&amp;"S"&amp;TEXT(tbl_IO_List[[#This Row],[Slot]],"00")</f>
        <v>C4S05</v>
      </c>
      <c r="Y705" s="136" t="str">
        <f>tbl_IO_List[[#This Row],[Chassis]]&amp;"S"&amp;TEXT(tbl_IO_List[[#This Row],[Slot]],"00")&amp;tbl_IO_List[[#This Row],[I/O Type]]&amp;TEXT(tbl_IO_List[[#This Row],[Point]],"00")</f>
        <v>C4S05AI04</v>
      </c>
      <c r="Z705" s="136" t="str">
        <f>tbl_IO_List[[#This Row],[Chassis]]&amp;"S"&amp;TEXT(tbl_IO_List[[#This Row],[Slot]],"00")&amp;","&amp;TEXT(tbl_IO_List[[#This Row],[Point]],"00")</f>
        <v>C4S05,04</v>
      </c>
      <c r="AA705" s="136" t="str">
        <f>VLOOKUP(tbl_IO_List[[#This Row],[Column23]],tbl_RackConfig[],5,FALSE) &amp;"-"&amp;tbl_IO_List[[#This Row],[Point]]</f>
        <v>1756-IF16-4</v>
      </c>
      <c r="AB705" s="136"/>
      <c r="AC705" s="136"/>
      <c r="AD705" s="136" t="str">
        <f>tbl_IO_List[[#This Row],[I/O Type]]</f>
        <v>AI</v>
      </c>
      <c r="AE705" s="136" t="s">
        <v>1335</v>
      </c>
      <c r="AF705" s="136">
        <v>5</v>
      </c>
      <c r="AG705" s="136">
        <v>4</v>
      </c>
      <c r="AH705" s="136"/>
      <c r="AI705" s="136"/>
      <c r="AJ705" s="136">
        <v>0</v>
      </c>
      <c r="AK705" s="136">
        <v>0</v>
      </c>
      <c r="AL705" s="136">
        <v>1</v>
      </c>
      <c r="AM705" s="136">
        <v>0</v>
      </c>
      <c r="AN705" s="136">
        <v>0</v>
      </c>
      <c r="AO705" s="136"/>
      <c r="AP705" s="143" t="e">
        <f>VLOOKUP(tbl_IO_List[[#This Row],[Instruement Tag]],tbl_Instruement_List[],14,FALSE)</f>
        <v>#N/A</v>
      </c>
      <c r="AQ705" s="143" t="str">
        <f>tbl_IO_List[[#This Row],[Chassis]]&amp;"S"&amp;tbl_IO_List[[#This Row],[Slot]]&amp;"-"&amp;tbl_IO_List[[#This Row],[Front Terminal Number]]</f>
        <v>C4S5-</v>
      </c>
      <c r="AR705" s="143"/>
      <c r="AS705" s="136" t="str">
        <f>tbl_IO_List[[#This Row],[Terminal Tagging]]&amp;"-"&amp;tbl_IO_List[[#This Row],[Point-Count]]</f>
        <v>-</v>
      </c>
      <c r="AT705" s="136" t="str">
        <f>tbl_IO_List[[#This Row],[Front Terminal Tagging]]&amp;"/"&amp;tbl_IO_List[[#This Row],[Terminal Tagging-Item]]</f>
        <v>C4S5-/-</v>
      </c>
      <c r="AU705" s="136" t="str">
        <f>tbl_IO_List[[#This Row],[Terminal Tagging-Item]]&amp;"/"&amp;tbl_IO_List[[#This Row],[Front Terminal Tagging]]</f>
        <v>-/C4S5-</v>
      </c>
    </row>
    <row r="706" spans="1:47" hidden="1">
      <c r="A706" s="147" t="s">
        <v>1371</v>
      </c>
      <c r="B706" s="136" t="s">
        <v>333</v>
      </c>
      <c r="C706" s="136" t="str">
        <f>tbl_IO_List[[#This Row],[Column3]]</f>
        <v>C4S05,05</v>
      </c>
      <c r="D706" s="136" t="str">
        <f>tbl_IO_List[[#This Row],[Card]]</f>
        <v>1756-IF16-5</v>
      </c>
      <c r="E706" s="136" t="s">
        <v>1366</v>
      </c>
      <c r="F706" s="136" t="str">
        <f>tbl_IO_List[[#This Row],[Column23]]&amp;"-" &amp;tbl_IO_List[[#This Row],[Column52]]</f>
        <v>C4S05-X1</v>
      </c>
      <c r="G706" s="136" t="str">
        <f>tbl_IO_List[[#This Row],[PLC_Tag]]</f>
        <v>Spare_AI_0</v>
      </c>
      <c r="H706" s="136"/>
      <c r="I706" s="136" t="str">
        <f>VLOOKUP(tbl_IO_List[[#This Row],[Destination]],tbl_Junction[],2,FALSE)</f>
        <v>Spray Dryer 8th Floor</v>
      </c>
      <c r="J706" s="136"/>
      <c r="K706" s="136"/>
      <c r="L706" s="136" t="s">
        <v>411</v>
      </c>
      <c r="M706" s="136" t="e">
        <f>VLOOKUP(tbl_IO_List[[#This Row],[Instruement Tag]],tbl_Instruement_List[],2,FALSE)</f>
        <v>#N/A</v>
      </c>
      <c r="N706" s="136"/>
      <c r="O706" s="136"/>
      <c r="P706" s="136"/>
      <c r="Q706" s="136" t="e">
        <f>VLOOKUP(tbl_IO_List[[#This Row],[Instruement Tag]],tbl_Instruement_List[],6,FALSE)</f>
        <v>#N/A</v>
      </c>
      <c r="R706" s="136"/>
      <c r="S70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706" s="136" t="str">
        <f>tbl_IO_List[[#This Row],[Instruement Tag]]&amp;"_"&amp;tbl_IO_List[[#This Row],[I/O Type]]&amp;"_"&amp;tbl_IO_List[[#This Row],[IO-Point 
(Instruement)]]</f>
        <v>Spare_AI_0</v>
      </c>
      <c r="U706" s="136" t="s">
        <v>10</v>
      </c>
      <c r="V706" s="136">
        <f>VLOOKUP(tbl_IO_List[[#This Row],[I/O Type]],tbl_Slot_Group[],2,FALSE)</f>
        <v>3</v>
      </c>
      <c r="W706" s="136">
        <v>0</v>
      </c>
      <c r="X706" s="136" t="str">
        <f>tbl_IO_List[[#This Row],[Chassis]]&amp;"S"&amp;TEXT(tbl_IO_List[[#This Row],[Slot]],"00")</f>
        <v>C4S05</v>
      </c>
      <c r="Y706" s="136" t="str">
        <f>tbl_IO_List[[#This Row],[Chassis]]&amp;"S"&amp;TEXT(tbl_IO_List[[#This Row],[Slot]],"00")&amp;tbl_IO_List[[#This Row],[I/O Type]]&amp;TEXT(tbl_IO_List[[#This Row],[Point]],"00")</f>
        <v>C4S05AI05</v>
      </c>
      <c r="Z706" s="136" t="str">
        <f>tbl_IO_List[[#This Row],[Chassis]]&amp;"S"&amp;TEXT(tbl_IO_List[[#This Row],[Slot]],"00")&amp;","&amp;TEXT(tbl_IO_List[[#This Row],[Point]],"00")</f>
        <v>C4S05,05</v>
      </c>
      <c r="AA706" s="136" t="str">
        <f>VLOOKUP(tbl_IO_List[[#This Row],[Column23]],tbl_RackConfig[],5,FALSE) &amp;"-"&amp;tbl_IO_List[[#This Row],[Point]]</f>
        <v>1756-IF16-5</v>
      </c>
      <c r="AB706" s="136"/>
      <c r="AC706" s="136"/>
      <c r="AD706" s="136" t="str">
        <f>tbl_IO_List[[#This Row],[I/O Type]]</f>
        <v>AI</v>
      </c>
      <c r="AE706" s="136" t="s">
        <v>1335</v>
      </c>
      <c r="AF706" s="136">
        <v>5</v>
      </c>
      <c r="AG706" s="136">
        <v>5</v>
      </c>
      <c r="AH706" s="136"/>
      <c r="AI706" s="136"/>
      <c r="AJ706" s="136">
        <v>0</v>
      </c>
      <c r="AK706" s="136">
        <v>0</v>
      </c>
      <c r="AL706" s="136">
        <v>1</v>
      </c>
      <c r="AM706" s="136">
        <v>0</v>
      </c>
      <c r="AN706" s="136">
        <v>0</v>
      </c>
      <c r="AO706" s="136"/>
      <c r="AP706" s="143" t="e">
        <f>VLOOKUP(tbl_IO_List[[#This Row],[Instruement Tag]],tbl_Instruement_List[],14,FALSE)</f>
        <v>#N/A</v>
      </c>
      <c r="AQ706" s="143" t="str">
        <f>tbl_IO_List[[#This Row],[Chassis]]&amp;"S"&amp;tbl_IO_List[[#This Row],[Slot]]&amp;"-"&amp;tbl_IO_List[[#This Row],[Front Terminal Number]]</f>
        <v>C4S5-</v>
      </c>
      <c r="AR706" s="143"/>
      <c r="AS706" s="136" t="str">
        <f>tbl_IO_List[[#This Row],[Terminal Tagging]]&amp;"-"&amp;tbl_IO_List[[#This Row],[Point-Count]]</f>
        <v>-</v>
      </c>
      <c r="AT706" s="136" t="str">
        <f>tbl_IO_List[[#This Row],[Front Terminal Tagging]]&amp;"/"&amp;tbl_IO_List[[#This Row],[Terminal Tagging-Item]]</f>
        <v>C4S5-/-</v>
      </c>
      <c r="AU706" s="136" t="str">
        <f>tbl_IO_List[[#This Row],[Terminal Tagging-Item]]&amp;"/"&amp;tbl_IO_List[[#This Row],[Front Terminal Tagging]]</f>
        <v>-/C4S5-</v>
      </c>
    </row>
    <row r="707" spans="1:47" hidden="1">
      <c r="A707" s="147" t="s">
        <v>1371</v>
      </c>
      <c r="B707" s="136" t="s">
        <v>333</v>
      </c>
      <c r="C707" s="136" t="str">
        <f>tbl_IO_List[[#This Row],[Column3]]</f>
        <v>C4S05,06</v>
      </c>
      <c r="D707" s="136" t="str">
        <f>tbl_IO_List[[#This Row],[Card]]</f>
        <v>1756-IF16-6</v>
      </c>
      <c r="E707" s="136" t="s">
        <v>1366</v>
      </c>
      <c r="F707" s="136" t="str">
        <f>tbl_IO_List[[#This Row],[Column23]]&amp;"-" &amp;tbl_IO_List[[#This Row],[Column52]]</f>
        <v>C4S05-X1</v>
      </c>
      <c r="G707" s="136" t="str">
        <f>tbl_IO_List[[#This Row],[PLC_Tag]]</f>
        <v>Spare_AI_0</v>
      </c>
      <c r="H707" s="136"/>
      <c r="I707" s="136" t="str">
        <f>VLOOKUP(tbl_IO_List[[#This Row],[Destination]],tbl_Junction[],2,FALSE)</f>
        <v>Spray Dryer 8th Floor</v>
      </c>
      <c r="J707" s="136"/>
      <c r="K707" s="136"/>
      <c r="L707" s="136" t="s">
        <v>411</v>
      </c>
      <c r="M707" s="136" t="e">
        <f>VLOOKUP(tbl_IO_List[[#This Row],[Instruement Tag]],tbl_Instruement_List[],2,FALSE)</f>
        <v>#N/A</v>
      </c>
      <c r="N707" s="136"/>
      <c r="O707" s="136"/>
      <c r="P707" s="136"/>
      <c r="Q707" s="136" t="e">
        <f>VLOOKUP(tbl_IO_List[[#This Row],[Instruement Tag]],tbl_Instruement_List[],6,FALSE)</f>
        <v>#N/A</v>
      </c>
      <c r="R707" s="136"/>
      <c r="S70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707" s="136" t="str">
        <f>tbl_IO_List[[#This Row],[Instruement Tag]]&amp;"_"&amp;tbl_IO_List[[#This Row],[I/O Type]]&amp;"_"&amp;tbl_IO_List[[#This Row],[IO-Point 
(Instruement)]]</f>
        <v>Spare_AI_0</v>
      </c>
      <c r="U707" s="136" t="s">
        <v>10</v>
      </c>
      <c r="V707" s="136">
        <f>VLOOKUP(tbl_IO_List[[#This Row],[I/O Type]],tbl_Slot_Group[],2,FALSE)</f>
        <v>3</v>
      </c>
      <c r="W707" s="136">
        <v>0</v>
      </c>
      <c r="X707" s="136" t="str">
        <f>tbl_IO_List[[#This Row],[Chassis]]&amp;"S"&amp;TEXT(tbl_IO_List[[#This Row],[Slot]],"00")</f>
        <v>C4S05</v>
      </c>
      <c r="Y707" s="136" t="str">
        <f>tbl_IO_List[[#This Row],[Chassis]]&amp;"S"&amp;TEXT(tbl_IO_List[[#This Row],[Slot]],"00")&amp;tbl_IO_List[[#This Row],[I/O Type]]&amp;TEXT(tbl_IO_List[[#This Row],[Point]],"00")</f>
        <v>C4S05AI06</v>
      </c>
      <c r="Z707" s="136" t="str">
        <f>tbl_IO_List[[#This Row],[Chassis]]&amp;"S"&amp;TEXT(tbl_IO_List[[#This Row],[Slot]],"00")&amp;","&amp;TEXT(tbl_IO_List[[#This Row],[Point]],"00")</f>
        <v>C4S05,06</v>
      </c>
      <c r="AA707" s="136" t="str">
        <f>VLOOKUP(tbl_IO_List[[#This Row],[Column23]],tbl_RackConfig[],5,FALSE) &amp;"-"&amp;tbl_IO_List[[#This Row],[Point]]</f>
        <v>1756-IF16-6</v>
      </c>
      <c r="AB707" s="136"/>
      <c r="AC707" s="136"/>
      <c r="AD707" s="136" t="str">
        <f>tbl_IO_List[[#This Row],[I/O Type]]</f>
        <v>AI</v>
      </c>
      <c r="AE707" s="136" t="s">
        <v>1335</v>
      </c>
      <c r="AF707" s="136">
        <v>5</v>
      </c>
      <c r="AG707" s="136">
        <v>6</v>
      </c>
      <c r="AH707" s="136"/>
      <c r="AI707" s="136"/>
      <c r="AJ707" s="136">
        <v>0</v>
      </c>
      <c r="AK707" s="136">
        <v>0</v>
      </c>
      <c r="AL707" s="136">
        <v>1</v>
      </c>
      <c r="AM707" s="136">
        <v>0</v>
      </c>
      <c r="AN707" s="136">
        <v>0</v>
      </c>
      <c r="AO707" s="136"/>
      <c r="AP707" s="143" t="e">
        <f>VLOOKUP(tbl_IO_List[[#This Row],[Instruement Tag]],tbl_Instruement_List[],14,FALSE)</f>
        <v>#N/A</v>
      </c>
      <c r="AQ707" s="143" t="str">
        <f>tbl_IO_List[[#This Row],[Chassis]]&amp;"S"&amp;tbl_IO_List[[#This Row],[Slot]]&amp;"-"&amp;tbl_IO_List[[#This Row],[Front Terminal Number]]</f>
        <v>C4S5-</v>
      </c>
      <c r="AR707" s="143"/>
      <c r="AS707" s="136" t="str">
        <f>tbl_IO_List[[#This Row],[Terminal Tagging]]&amp;"-"&amp;tbl_IO_List[[#This Row],[Point-Count]]</f>
        <v>-</v>
      </c>
      <c r="AT707" s="136" t="str">
        <f>tbl_IO_List[[#This Row],[Front Terminal Tagging]]&amp;"/"&amp;tbl_IO_List[[#This Row],[Terminal Tagging-Item]]</f>
        <v>C4S5-/-</v>
      </c>
      <c r="AU707" s="136" t="str">
        <f>tbl_IO_List[[#This Row],[Terminal Tagging-Item]]&amp;"/"&amp;tbl_IO_List[[#This Row],[Front Terminal Tagging]]</f>
        <v>-/C4S5-</v>
      </c>
    </row>
    <row r="708" spans="1:47" hidden="1">
      <c r="A708" s="147" t="s">
        <v>1371</v>
      </c>
      <c r="B708" s="136" t="s">
        <v>333</v>
      </c>
      <c r="C708" s="136" t="str">
        <f>tbl_IO_List[[#This Row],[Column3]]</f>
        <v>C4S05,07</v>
      </c>
      <c r="D708" s="136" t="str">
        <f>tbl_IO_List[[#This Row],[Card]]</f>
        <v>1756-IF16-7</v>
      </c>
      <c r="E708" s="136" t="s">
        <v>1366</v>
      </c>
      <c r="F708" s="136" t="str">
        <f>tbl_IO_List[[#This Row],[Column23]]&amp;"-" &amp;tbl_IO_List[[#This Row],[Column52]]</f>
        <v>C4S05-X1</v>
      </c>
      <c r="G708" s="136" t="str">
        <f>tbl_IO_List[[#This Row],[PLC_Tag]]</f>
        <v>Spare_AI_0</v>
      </c>
      <c r="H708" s="136"/>
      <c r="I708" s="136" t="str">
        <f>VLOOKUP(tbl_IO_List[[#This Row],[Destination]],tbl_Junction[],2,FALSE)</f>
        <v>Spray Dryer 8th Floor</v>
      </c>
      <c r="J708" s="136"/>
      <c r="K708" s="136"/>
      <c r="L708" s="136" t="s">
        <v>411</v>
      </c>
      <c r="M708" s="136" t="e">
        <f>VLOOKUP(tbl_IO_List[[#This Row],[Instruement Tag]],tbl_Instruement_List[],2,FALSE)</f>
        <v>#N/A</v>
      </c>
      <c r="N708" s="136"/>
      <c r="O708" s="136"/>
      <c r="P708" s="136"/>
      <c r="Q708" s="136" t="e">
        <f>VLOOKUP(tbl_IO_List[[#This Row],[Instruement Tag]],tbl_Instruement_List[],6,FALSE)</f>
        <v>#N/A</v>
      </c>
      <c r="R708" s="136"/>
      <c r="S70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708" s="136" t="str">
        <f>tbl_IO_List[[#This Row],[Instruement Tag]]&amp;"_"&amp;tbl_IO_List[[#This Row],[I/O Type]]&amp;"_"&amp;tbl_IO_List[[#This Row],[IO-Point 
(Instruement)]]</f>
        <v>Spare_AI_0</v>
      </c>
      <c r="U708" s="136" t="s">
        <v>10</v>
      </c>
      <c r="V708" s="136">
        <f>VLOOKUP(tbl_IO_List[[#This Row],[I/O Type]],tbl_Slot_Group[],2,FALSE)</f>
        <v>3</v>
      </c>
      <c r="W708" s="136">
        <v>0</v>
      </c>
      <c r="X708" s="136" t="str">
        <f>tbl_IO_List[[#This Row],[Chassis]]&amp;"S"&amp;TEXT(tbl_IO_List[[#This Row],[Slot]],"00")</f>
        <v>C4S05</v>
      </c>
      <c r="Y708" s="136" t="str">
        <f>tbl_IO_List[[#This Row],[Chassis]]&amp;"S"&amp;TEXT(tbl_IO_List[[#This Row],[Slot]],"00")&amp;tbl_IO_List[[#This Row],[I/O Type]]&amp;TEXT(tbl_IO_List[[#This Row],[Point]],"00")</f>
        <v>C4S05AI07</v>
      </c>
      <c r="Z708" s="136" t="str">
        <f>tbl_IO_List[[#This Row],[Chassis]]&amp;"S"&amp;TEXT(tbl_IO_List[[#This Row],[Slot]],"00")&amp;","&amp;TEXT(tbl_IO_List[[#This Row],[Point]],"00")</f>
        <v>C4S05,07</v>
      </c>
      <c r="AA708" s="136" t="str">
        <f>VLOOKUP(tbl_IO_List[[#This Row],[Column23]],tbl_RackConfig[],5,FALSE) &amp;"-"&amp;tbl_IO_List[[#This Row],[Point]]</f>
        <v>1756-IF16-7</v>
      </c>
      <c r="AB708" s="136"/>
      <c r="AC708" s="136"/>
      <c r="AD708" s="136" t="str">
        <f>tbl_IO_List[[#This Row],[I/O Type]]</f>
        <v>AI</v>
      </c>
      <c r="AE708" s="136" t="s">
        <v>1335</v>
      </c>
      <c r="AF708" s="136">
        <v>5</v>
      </c>
      <c r="AG708" s="136">
        <v>7</v>
      </c>
      <c r="AH708" s="136"/>
      <c r="AI708" s="136"/>
      <c r="AJ708" s="136">
        <v>0</v>
      </c>
      <c r="AK708" s="136">
        <v>0</v>
      </c>
      <c r="AL708" s="136">
        <v>1</v>
      </c>
      <c r="AM708" s="136">
        <v>0</v>
      </c>
      <c r="AN708" s="136">
        <v>0</v>
      </c>
      <c r="AO708" s="136"/>
      <c r="AP708" s="143" t="e">
        <f>VLOOKUP(tbl_IO_List[[#This Row],[Instruement Tag]],tbl_Instruement_List[],14,FALSE)</f>
        <v>#N/A</v>
      </c>
      <c r="AQ708" s="143" t="str">
        <f>tbl_IO_List[[#This Row],[Chassis]]&amp;"S"&amp;tbl_IO_List[[#This Row],[Slot]]&amp;"-"&amp;tbl_IO_List[[#This Row],[Front Terminal Number]]</f>
        <v>C4S5-</v>
      </c>
      <c r="AR708" s="143"/>
      <c r="AS708" s="136" t="str">
        <f>tbl_IO_List[[#This Row],[Terminal Tagging]]&amp;"-"&amp;tbl_IO_List[[#This Row],[Point-Count]]</f>
        <v>-</v>
      </c>
      <c r="AT708" s="136" t="str">
        <f>tbl_IO_List[[#This Row],[Front Terminal Tagging]]&amp;"/"&amp;tbl_IO_List[[#This Row],[Terminal Tagging-Item]]</f>
        <v>C4S5-/-</v>
      </c>
      <c r="AU708" s="136" t="str">
        <f>tbl_IO_List[[#This Row],[Terminal Tagging-Item]]&amp;"/"&amp;tbl_IO_List[[#This Row],[Front Terminal Tagging]]</f>
        <v>-/C4S5-</v>
      </c>
    </row>
    <row r="709" spans="1:47" hidden="1">
      <c r="A709" s="147" t="s">
        <v>1371</v>
      </c>
      <c r="B709" s="136" t="s">
        <v>335</v>
      </c>
      <c r="C709" s="136" t="str">
        <f>tbl_IO_List[[#This Row],[Column3]]</f>
        <v>C4S05,08</v>
      </c>
      <c r="D709" s="136" t="str">
        <f>tbl_IO_List[[#This Row],[Card]]</f>
        <v>1756-IF16-8</v>
      </c>
      <c r="E709" s="136" t="s">
        <v>1366</v>
      </c>
      <c r="F709" s="136" t="str">
        <f>tbl_IO_List[[#This Row],[Column23]]&amp;"-" &amp;tbl_IO_List[[#This Row],[Column52]]</f>
        <v>C4S05-X1</v>
      </c>
      <c r="G709" s="136" t="str">
        <f>tbl_IO_List[[#This Row],[PLC_Tag]]</f>
        <v>PT-61302_AI_1</v>
      </c>
      <c r="H709" s="136"/>
      <c r="I709" s="136" t="str">
        <f>VLOOKUP(tbl_IO_List[[#This Row],[Destination]],tbl_Junction[],2,FALSE)</f>
        <v>Packing Tower 2th Floor</v>
      </c>
      <c r="J709" s="136" t="s">
        <v>335</v>
      </c>
      <c r="K709" s="136" t="s">
        <v>66</v>
      </c>
      <c r="L709" s="136" t="s">
        <v>350</v>
      </c>
      <c r="M709" s="136" t="str">
        <f>VLOOKUP(tbl_IO_List[[#This Row],[Instruement Tag]],tbl_Instruement_List[],2,FALSE)</f>
        <v>Pressure Transmitter</v>
      </c>
      <c r="N709" s="136" t="s">
        <v>24</v>
      </c>
      <c r="O709" s="136" t="s">
        <v>67</v>
      </c>
      <c r="P709" s="136" t="s">
        <v>68</v>
      </c>
      <c r="Q709" s="136" t="str">
        <f>VLOOKUP(tbl_IO_List[[#This Row],[Instruement Tag]],tbl_Instruement_List[],6,FALSE)</f>
        <v xml:space="preserve">Pressure in vacuum line </v>
      </c>
      <c r="R709" s="136"/>
      <c r="S70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709" s="136" t="str">
        <f>tbl_IO_List[[#This Row],[Instruement Tag]]&amp;"_"&amp;tbl_IO_List[[#This Row],[I/O Type]]&amp;"_"&amp;tbl_IO_List[[#This Row],[IO-Point 
(Instruement)]]</f>
        <v>PT-61302_AI_1</v>
      </c>
      <c r="U709" s="136" t="s">
        <v>10</v>
      </c>
      <c r="V709" s="136">
        <f>VLOOKUP(tbl_IO_List[[#This Row],[I/O Type]],tbl_Slot_Group[],2,FALSE)</f>
        <v>3</v>
      </c>
      <c r="W709" s="136">
        <v>1</v>
      </c>
      <c r="X709" s="136" t="str">
        <f>tbl_IO_List[[#This Row],[Chassis]]&amp;"S"&amp;TEXT(tbl_IO_List[[#This Row],[Slot]],"00")</f>
        <v>C4S05</v>
      </c>
      <c r="Y709" s="136" t="str">
        <f>tbl_IO_List[[#This Row],[Chassis]]&amp;"S"&amp;TEXT(tbl_IO_List[[#This Row],[Slot]],"00")&amp;tbl_IO_List[[#This Row],[I/O Type]]&amp;TEXT(tbl_IO_List[[#This Row],[Point]],"00")</f>
        <v>C4S05AI08</v>
      </c>
      <c r="Z709" s="136" t="str">
        <f>tbl_IO_List[[#This Row],[Chassis]]&amp;"S"&amp;TEXT(tbl_IO_List[[#This Row],[Slot]],"00")&amp;","&amp;TEXT(tbl_IO_List[[#This Row],[Point]],"00")</f>
        <v>C4S05,08</v>
      </c>
      <c r="AA709" s="136" t="str">
        <f>VLOOKUP(tbl_IO_List[[#This Row],[Column23]],tbl_RackConfig[],5,FALSE) &amp;"-"&amp;tbl_IO_List[[#This Row],[Point]]</f>
        <v>1756-IF16-8</v>
      </c>
      <c r="AB709" s="136"/>
      <c r="AC709" s="136"/>
      <c r="AD709" s="136" t="str">
        <f>tbl_IO_List[[#This Row],[I/O Type]]</f>
        <v>AI</v>
      </c>
      <c r="AE709" s="136" t="s">
        <v>1335</v>
      </c>
      <c r="AF709" s="136">
        <v>5</v>
      </c>
      <c r="AG709" s="136">
        <v>8</v>
      </c>
      <c r="AH709" s="136"/>
      <c r="AI709" s="136"/>
      <c r="AJ709" s="136">
        <v>0</v>
      </c>
      <c r="AK709" s="136">
        <v>0</v>
      </c>
      <c r="AL709" s="136">
        <v>1</v>
      </c>
      <c r="AM709" s="136">
        <v>0</v>
      </c>
      <c r="AN709" s="136">
        <v>0</v>
      </c>
      <c r="AO709" s="136"/>
      <c r="AP709" s="143" t="str">
        <f>VLOOKUP(tbl_IO_List[[#This Row],[Instruement Tag]],tbl_Instruement_List[],14,FALSE)</f>
        <v>4 - 20 mA</v>
      </c>
      <c r="AQ709" s="143" t="str">
        <f>tbl_IO_List[[#This Row],[Chassis]]&amp;"S"&amp;tbl_IO_List[[#This Row],[Slot]]&amp;"-"&amp;tbl_IO_List[[#This Row],[Front Terminal Number]]</f>
        <v>C4S5-</v>
      </c>
      <c r="AR709" s="143"/>
      <c r="AS709" s="136" t="str">
        <f>tbl_IO_List[[#This Row],[Terminal Tagging]]&amp;"-"&amp;tbl_IO_List[[#This Row],[Point-Count]]</f>
        <v>-</v>
      </c>
      <c r="AT709" s="136" t="str">
        <f>tbl_IO_List[[#This Row],[Front Terminal Tagging]]&amp;"/"&amp;tbl_IO_List[[#This Row],[Terminal Tagging-Item]]</f>
        <v>C4S5-/-</v>
      </c>
      <c r="AU709" s="136" t="str">
        <f>tbl_IO_List[[#This Row],[Terminal Tagging-Item]]&amp;"/"&amp;tbl_IO_List[[#This Row],[Front Terminal Tagging]]</f>
        <v>-/C4S5-</v>
      </c>
    </row>
    <row r="710" spans="1:47" hidden="1">
      <c r="A710" s="147" t="s">
        <v>1371</v>
      </c>
      <c r="B710" s="136" t="s">
        <v>335</v>
      </c>
      <c r="C710" s="136" t="str">
        <f>tbl_IO_List[[#This Row],[Column3]]</f>
        <v>C4S05,09</v>
      </c>
      <c r="D710" s="136" t="str">
        <f>tbl_IO_List[[#This Row],[Card]]</f>
        <v>1756-IF16-9</v>
      </c>
      <c r="E710" s="136" t="s">
        <v>1366</v>
      </c>
      <c r="F710" s="136" t="str">
        <f>tbl_IO_List[[#This Row],[Column23]]&amp;"-" &amp;tbl_IO_List[[#This Row],[Column52]]</f>
        <v>C4S05-X1</v>
      </c>
      <c r="G710" s="136" t="str">
        <f>tbl_IO_List[[#This Row],[PLC_Tag]]</f>
        <v>PT-61309_AI_1</v>
      </c>
      <c r="H710" s="136"/>
      <c r="I710" s="136" t="str">
        <f>VLOOKUP(tbl_IO_List[[#This Row],[Destination]],tbl_Junction[],2,FALSE)</f>
        <v>Packing Tower 2th Floor</v>
      </c>
      <c r="J710" s="136" t="s">
        <v>335</v>
      </c>
      <c r="K710" s="136" t="s">
        <v>66</v>
      </c>
      <c r="L710" s="136" t="s">
        <v>351</v>
      </c>
      <c r="M710" s="136" t="str">
        <f>VLOOKUP(tbl_IO_List[[#This Row],[Instruement Tag]],tbl_Instruement_List[],2,FALSE)</f>
        <v>Pressure Transmitter</v>
      </c>
      <c r="N710" s="136" t="s">
        <v>15</v>
      </c>
      <c r="O710" s="136" t="s">
        <v>197</v>
      </c>
      <c r="P710" s="136" t="s">
        <v>196</v>
      </c>
      <c r="Q710" s="136" t="str">
        <f>VLOOKUP(tbl_IO_List[[#This Row],[Instruement Tag]],tbl_Instruement_List[],6,FALSE)</f>
        <v>Pressure transmitter</v>
      </c>
      <c r="R710" s="136"/>
      <c r="S71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710" s="136" t="str">
        <f>tbl_IO_List[[#This Row],[Instruement Tag]]&amp;"_"&amp;tbl_IO_List[[#This Row],[I/O Type]]&amp;"_"&amp;tbl_IO_List[[#This Row],[IO-Point 
(Instruement)]]</f>
        <v>PT-61309_AI_1</v>
      </c>
      <c r="U710" s="136" t="s">
        <v>10</v>
      </c>
      <c r="V710" s="136">
        <f>VLOOKUP(tbl_IO_List[[#This Row],[I/O Type]],tbl_Slot_Group[],2,FALSE)</f>
        <v>3</v>
      </c>
      <c r="W710" s="136">
        <v>1</v>
      </c>
      <c r="X710" s="136" t="str">
        <f>tbl_IO_List[[#This Row],[Chassis]]&amp;"S"&amp;TEXT(tbl_IO_List[[#This Row],[Slot]],"00")</f>
        <v>C4S05</v>
      </c>
      <c r="Y710" s="136" t="str">
        <f>tbl_IO_List[[#This Row],[Chassis]]&amp;"S"&amp;TEXT(tbl_IO_List[[#This Row],[Slot]],"00")&amp;tbl_IO_List[[#This Row],[I/O Type]]&amp;TEXT(tbl_IO_List[[#This Row],[Point]],"00")</f>
        <v>C4S05AI09</v>
      </c>
      <c r="Z710" s="136" t="str">
        <f>tbl_IO_List[[#This Row],[Chassis]]&amp;"S"&amp;TEXT(tbl_IO_List[[#This Row],[Slot]],"00")&amp;","&amp;TEXT(tbl_IO_List[[#This Row],[Point]],"00")</f>
        <v>C4S05,09</v>
      </c>
      <c r="AA710" s="136" t="str">
        <f>VLOOKUP(tbl_IO_List[[#This Row],[Column23]],tbl_RackConfig[],5,FALSE) &amp;"-"&amp;tbl_IO_List[[#This Row],[Point]]</f>
        <v>1756-IF16-9</v>
      </c>
      <c r="AB710" s="136"/>
      <c r="AC710" s="136"/>
      <c r="AD710" s="136" t="str">
        <f>tbl_IO_List[[#This Row],[I/O Type]]</f>
        <v>AI</v>
      </c>
      <c r="AE710" s="136" t="s">
        <v>1335</v>
      </c>
      <c r="AF710" s="136">
        <v>5</v>
      </c>
      <c r="AG710" s="136">
        <v>9</v>
      </c>
      <c r="AH710" s="136"/>
      <c r="AI710" s="136"/>
      <c r="AJ710" s="136">
        <v>0</v>
      </c>
      <c r="AK710" s="136">
        <v>0</v>
      </c>
      <c r="AL710" s="136">
        <v>1</v>
      </c>
      <c r="AM710" s="136">
        <v>0</v>
      </c>
      <c r="AN710" s="136">
        <v>0</v>
      </c>
      <c r="AO710" s="136"/>
      <c r="AP710" s="143" t="str">
        <f>VLOOKUP(tbl_IO_List[[#This Row],[Instruement Tag]],tbl_Instruement_List[],14,FALSE)</f>
        <v>4 - 20 mA</v>
      </c>
      <c r="AQ710" s="143" t="str">
        <f>tbl_IO_List[[#This Row],[Chassis]]&amp;"S"&amp;tbl_IO_List[[#This Row],[Slot]]&amp;"-"&amp;tbl_IO_List[[#This Row],[Front Terminal Number]]</f>
        <v>C4S5-</v>
      </c>
      <c r="AR710" s="143"/>
      <c r="AS710" s="136" t="str">
        <f>tbl_IO_List[[#This Row],[Terminal Tagging]]&amp;"-"&amp;tbl_IO_List[[#This Row],[Point-Count]]</f>
        <v>-</v>
      </c>
      <c r="AT710" s="136" t="str">
        <f>tbl_IO_List[[#This Row],[Front Terminal Tagging]]&amp;"/"&amp;tbl_IO_List[[#This Row],[Terminal Tagging-Item]]</f>
        <v>C4S5-/-</v>
      </c>
      <c r="AU710" s="136" t="str">
        <f>tbl_IO_List[[#This Row],[Terminal Tagging-Item]]&amp;"/"&amp;tbl_IO_List[[#This Row],[Front Terminal Tagging]]</f>
        <v>-/C4S5-</v>
      </c>
    </row>
    <row r="711" spans="1:47" hidden="1">
      <c r="A711" s="147" t="s">
        <v>1371</v>
      </c>
      <c r="B711" s="136" t="s">
        <v>335</v>
      </c>
      <c r="C711" s="136" t="str">
        <f>tbl_IO_List[[#This Row],[Column3]]</f>
        <v>C4S05,10</v>
      </c>
      <c r="D711" s="136" t="str">
        <f>tbl_IO_List[[#This Row],[Card]]</f>
        <v>1756-IF16-10</v>
      </c>
      <c r="E711" s="136" t="s">
        <v>1366</v>
      </c>
      <c r="F711" s="136" t="str">
        <f>tbl_IO_List[[#This Row],[Column23]]&amp;"-" &amp;tbl_IO_List[[#This Row],[Column52]]</f>
        <v>C4S05-X1</v>
      </c>
      <c r="G711" s="136" t="str">
        <f>tbl_IO_List[[#This Row],[PLC_Tag]]</f>
        <v>Spare_AI_0</v>
      </c>
      <c r="H711" s="136"/>
      <c r="I711" s="136" t="str">
        <f>VLOOKUP(tbl_IO_List[[#This Row],[Destination]],tbl_Junction[],2,FALSE)</f>
        <v>Packing Tower 2th Floor</v>
      </c>
      <c r="J711" s="136"/>
      <c r="K711" s="136"/>
      <c r="L711" s="136" t="s">
        <v>411</v>
      </c>
      <c r="M711" s="136" t="e">
        <f>VLOOKUP(tbl_IO_List[[#This Row],[Instruement Tag]],tbl_Instruement_List[],2,FALSE)</f>
        <v>#N/A</v>
      </c>
      <c r="N711" s="136"/>
      <c r="O711" s="136"/>
      <c r="P711" s="136"/>
      <c r="Q711" s="136" t="e">
        <f>VLOOKUP(tbl_IO_List[[#This Row],[Instruement Tag]],tbl_Instruement_List[],6,FALSE)</f>
        <v>#N/A</v>
      </c>
      <c r="R711" s="136"/>
      <c r="S71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711" s="136" t="str">
        <f>tbl_IO_List[[#This Row],[Instruement Tag]]&amp;"_"&amp;tbl_IO_List[[#This Row],[I/O Type]]&amp;"_"&amp;tbl_IO_List[[#This Row],[IO-Point 
(Instruement)]]</f>
        <v>Spare_AI_0</v>
      </c>
      <c r="U711" s="136" t="s">
        <v>10</v>
      </c>
      <c r="V711" s="136">
        <f>VLOOKUP(tbl_IO_List[[#This Row],[I/O Type]],tbl_Slot_Group[],2,FALSE)</f>
        <v>3</v>
      </c>
      <c r="W711" s="136">
        <v>0</v>
      </c>
      <c r="X711" s="136" t="str">
        <f>tbl_IO_List[[#This Row],[Chassis]]&amp;"S"&amp;TEXT(tbl_IO_List[[#This Row],[Slot]],"00")</f>
        <v>C4S05</v>
      </c>
      <c r="Y711" s="136" t="str">
        <f>tbl_IO_List[[#This Row],[Chassis]]&amp;"S"&amp;TEXT(tbl_IO_List[[#This Row],[Slot]],"00")&amp;tbl_IO_List[[#This Row],[I/O Type]]&amp;TEXT(tbl_IO_List[[#This Row],[Point]],"00")</f>
        <v>C4S05AI10</v>
      </c>
      <c r="Z711" s="136" t="str">
        <f>tbl_IO_List[[#This Row],[Chassis]]&amp;"S"&amp;TEXT(tbl_IO_List[[#This Row],[Slot]],"00")&amp;","&amp;TEXT(tbl_IO_List[[#This Row],[Point]],"00")</f>
        <v>C4S05,10</v>
      </c>
      <c r="AA711" s="136" t="str">
        <f>VLOOKUP(tbl_IO_List[[#This Row],[Column23]],tbl_RackConfig[],5,FALSE) &amp;"-"&amp;tbl_IO_List[[#This Row],[Point]]</f>
        <v>1756-IF16-10</v>
      </c>
      <c r="AB711" s="136"/>
      <c r="AC711" s="136"/>
      <c r="AD711" s="136" t="str">
        <f>tbl_IO_List[[#This Row],[I/O Type]]</f>
        <v>AI</v>
      </c>
      <c r="AE711" s="136" t="s">
        <v>1335</v>
      </c>
      <c r="AF711" s="136">
        <v>5</v>
      </c>
      <c r="AG711" s="136">
        <v>10</v>
      </c>
      <c r="AH711" s="136"/>
      <c r="AI711" s="136"/>
      <c r="AJ711" s="136">
        <v>0</v>
      </c>
      <c r="AK711" s="136">
        <v>0</v>
      </c>
      <c r="AL711" s="136">
        <v>1</v>
      </c>
      <c r="AM711" s="136">
        <v>0</v>
      </c>
      <c r="AN711" s="136">
        <v>0</v>
      </c>
      <c r="AO711" s="136"/>
      <c r="AP711" s="143" t="e">
        <f>VLOOKUP(tbl_IO_List[[#This Row],[Instruement Tag]],tbl_Instruement_List[],14,FALSE)</f>
        <v>#N/A</v>
      </c>
      <c r="AQ711" s="143" t="str">
        <f>tbl_IO_List[[#This Row],[Chassis]]&amp;"S"&amp;tbl_IO_List[[#This Row],[Slot]]&amp;"-"&amp;tbl_IO_List[[#This Row],[Front Terminal Number]]</f>
        <v>C4S5-</v>
      </c>
      <c r="AR711" s="143"/>
      <c r="AS711" s="136" t="str">
        <f>tbl_IO_List[[#This Row],[Terminal Tagging]]&amp;"-"&amp;tbl_IO_List[[#This Row],[Point-Count]]</f>
        <v>-</v>
      </c>
      <c r="AT711" s="136" t="str">
        <f>tbl_IO_List[[#This Row],[Front Terminal Tagging]]&amp;"/"&amp;tbl_IO_List[[#This Row],[Terminal Tagging-Item]]</f>
        <v>C4S5-/-</v>
      </c>
      <c r="AU711" s="136" t="str">
        <f>tbl_IO_List[[#This Row],[Terminal Tagging-Item]]&amp;"/"&amp;tbl_IO_List[[#This Row],[Front Terminal Tagging]]</f>
        <v>-/C4S5-</v>
      </c>
    </row>
    <row r="712" spans="1:47" hidden="1">
      <c r="A712" s="147" t="s">
        <v>1371</v>
      </c>
      <c r="B712" s="136" t="s">
        <v>335</v>
      </c>
      <c r="C712" s="136" t="str">
        <f>tbl_IO_List[[#This Row],[Column3]]</f>
        <v>C4S05,11</v>
      </c>
      <c r="D712" s="136" t="str">
        <f>tbl_IO_List[[#This Row],[Card]]</f>
        <v>1756-IF16-11</v>
      </c>
      <c r="E712" s="136" t="s">
        <v>1366</v>
      </c>
      <c r="F712" s="136" t="str">
        <f>tbl_IO_List[[#This Row],[Column23]]&amp;"-" &amp;tbl_IO_List[[#This Row],[Column52]]</f>
        <v>C4S05-X1</v>
      </c>
      <c r="G712" s="136" t="str">
        <f>tbl_IO_List[[#This Row],[PLC_Tag]]</f>
        <v>Spare_AI_0</v>
      </c>
      <c r="H712" s="136"/>
      <c r="I712" s="136" t="str">
        <f>VLOOKUP(tbl_IO_List[[#This Row],[Destination]],tbl_Junction[],2,FALSE)</f>
        <v>Packing Tower 2th Floor</v>
      </c>
      <c r="J712" s="136"/>
      <c r="K712" s="136"/>
      <c r="L712" s="136" t="s">
        <v>411</v>
      </c>
      <c r="M712" s="136" t="e">
        <f>VLOOKUP(tbl_IO_List[[#This Row],[Instruement Tag]],tbl_Instruement_List[],2,FALSE)</f>
        <v>#N/A</v>
      </c>
      <c r="N712" s="136"/>
      <c r="O712" s="136"/>
      <c r="P712" s="136"/>
      <c r="Q712" s="136" t="e">
        <f>VLOOKUP(tbl_IO_List[[#This Row],[Instruement Tag]],tbl_Instruement_List[],6,FALSE)</f>
        <v>#N/A</v>
      </c>
      <c r="R712" s="136"/>
      <c r="S71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712" s="136" t="str">
        <f>tbl_IO_List[[#This Row],[Instruement Tag]]&amp;"_"&amp;tbl_IO_List[[#This Row],[I/O Type]]&amp;"_"&amp;tbl_IO_List[[#This Row],[IO-Point 
(Instruement)]]</f>
        <v>Spare_AI_0</v>
      </c>
      <c r="U712" s="136" t="s">
        <v>10</v>
      </c>
      <c r="V712" s="136">
        <f>VLOOKUP(tbl_IO_List[[#This Row],[I/O Type]],tbl_Slot_Group[],2,FALSE)</f>
        <v>3</v>
      </c>
      <c r="W712" s="136">
        <v>0</v>
      </c>
      <c r="X712" s="136" t="str">
        <f>tbl_IO_List[[#This Row],[Chassis]]&amp;"S"&amp;TEXT(tbl_IO_List[[#This Row],[Slot]],"00")</f>
        <v>C4S05</v>
      </c>
      <c r="Y712" s="136" t="str">
        <f>tbl_IO_List[[#This Row],[Chassis]]&amp;"S"&amp;TEXT(tbl_IO_List[[#This Row],[Slot]],"00")&amp;tbl_IO_List[[#This Row],[I/O Type]]&amp;TEXT(tbl_IO_List[[#This Row],[Point]],"00")</f>
        <v>C4S05AI11</v>
      </c>
      <c r="Z712" s="136" t="str">
        <f>tbl_IO_List[[#This Row],[Chassis]]&amp;"S"&amp;TEXT(tbl_IO_List[[#This Row],[Slot]],"00")&amp;","&amp;TEXT(tbl_IO_List[[#This Row],[Point]],"00")</f>
        <v>C4S05,11</v>
      </c>
      <c r="AA712" s="136" t="str">
        <f>VLOOKUP(tbl_IO_List[[#This Row],[Column23]],tbl_RackConfig[],5,FALSE) &amp;"-"&amp;tbl_IO_List[[#This Row],[Point]]</f>
        <v>1756-IF16-11</v>
      </c>
      <c r="AB712" s="136"/>
      <c r="AC712" s="136"/>
      <c r="AD712" s="136" t="str">
        <f>tbl_IO_List[[#This Row],[I/O Type]]</f>
        <v>AI</v>
      </c>
      <c r="AE712" s="136" t="s">
        <v>1335</v>
      </c>
      <c r="AF712" s="136">
        <v>5</v>
      </c>
      <c r="AG712" s="136">
        <v>11</v>
      </c>
      <c r="AH712" s="136"/>
      <c r="AI712" s="136"/>
      <c r="AJ712" s="136">
        <v>0</v>
      </c>
      <c r="AK712" s="136">
        <v>0</v>
      </c>
      <c r="AL712" s="136">
        <v>1</v>
      </c>
      <c r="AM712" s="136">
        <v>0</v>
      </c>
      <c r="AN712" s="136">
        <v>0</v>
      </c>
      <c r="AO712" s="136"/>
      <c r="AP712" s="143" t="e">
        <f>VLOOKUP(tbl_IO_List[[#This Row],[Instruement Tag]],tbl_Instruement_List[],14,FALSE)</f>
        <v>#N/A</v>
      </c>
      <c r="AQ712" s="143" t="str">
        <f>tbl_IO_List[[#This Row],[Chassis]]&amp;"S"&amp;tbl_IO_List[[#This Row],[Slot]]&amp;"-"&amp;tbl_IO_List[[#This Row],[Front Terminal Number]]</f>
        <v>C4S5-</v>
      </c>
      <c r="AR712" s="143"/>
      <c r="AS712" s="136" t="str">
        <f>tbl_IO_List[[#This Row],[Terminal Tagging]]&amp;"-"&amp;tbl_IO_List[[#This Row],[Point-Count]]</f>
        <v>-</v>
      </c>
      <c r="AT712" s="136" t="str">
        <f>tbl_IO_List[[#This Row],[Front Terminal Tagging]]&amp;"/"&amp;tbl_IO_List[[#This Row],[Terminal Tagging-Item]]</f>
        <v>C4S5-/-</v>
      </c>
      <c r="AU712" s="136" t="str">
        <f>tbl_IO_List[[#This Row],[Terminal Tagging-Item]]&amp;"/"&amp;tbl_IO_List[[#This Row],[Front Terminal Tagging]]</f>
        <v>-/C4S5-</v>
      </c>
    </row>
    <row r="713" spans="1:47" hidden="1">
      <c r="A713" s="147" t="s">
        <v>1371</v>
      </c>
      <c r="B713" s="136" t="s">
        <v>335</v>
      </c>
      <c r="C713" s="136" t="str">
        <f>tbl_IO_List[[#This Row],[Column3]]</f>
        <v>C4S05,12</v>
      </c>
      <c r="D713" s="136" t="str">
        <f>tbl_IO_List[[#This Row],[Card]]</f>
        <v>1756-IF16-12</v>
      </c>
      <c r="E713" s="136" t="s">
        <v>1366</v>
      </c>
      <c r="F713" s="136" t="str">
        <f>tbl_IO_List[[#This Row],[Column23]]&amp;"-" &amp;tbl_IO_List[[#This Row],[Column52]]</f>
        <v>C4S05-X1</v>
      </c>
      <c r="G713" s="136" t="str">
        <f>tbl_IO_List[[#This Row],[PLC_Tag]]</f>
        <v>PT-61302_AI_1</v>
      </c>
      <c r="H713" s="136"/>
      <c r="I713" s="136" t="str">
        <f>VLOOKUP(tbl_IO_List[[#This Row],[Destination]],tbl_Junction[],2,FALSE)</f>
        <v>Packing Tower 2th Floor</v>
      </c>
      <c r="J713" s="136" t="s">
        <v>335</v>
      </c>
      <c r="K713" s="136" t="s">
        <v>66</v>
      </c>
      <c r="L713" s="136" t="s">
        <v>350</v>
      </c>
      <c r="M713" s="136" t="str">
        <f>VLOOKUP(tbl_IO_List[[#This Row],[Instruement Tag]],tbl_Instruement_List[],2,FALSE)</f>
        <v>Pressure Transmitter</v>
      </c>
      <c r="N713" s="136" t="s">
        <v>24</v>
      </c>
      <c r="O713" s="136" t="s">
        <v>67</v>
      </c>
      <c r="P713" s="136" t="s">
        <v>68</v>
      </c>
      <c r="Q713" s="136" t="str">
        <f>VLOOKUP(tbl_IO_List[[#This Row],[Instruement Tag]],tbl_Instruement_List[],6,FALSE)</f>
        <v xml:space="preserve">Pressure in vacuum line </v>
      </c>
      <c r="R713" s="136"/>
      <c r="S71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713" s="136" t="str">
        <f>tbl_IO_List[[#This Row],[Instruement Tag]]&amp;"_"&amp;tbl_IO_List[[#This Row],[I/O Type]]&amp;"_"&amp;tbl_IO_List[[#This Row],[IO-Point 
(Instruement)]]</f>
        <v>PT-61302_AI_1</v>
      </c>
      <c r="U713" s="136" t="s">
        <v>10</v>
      </c>
      <c r="V713" s="136">
        <f>VLOOKUP(tbl_IO_List[[#This Row],[I/O Type]],tbl_Slot_Group[],2,FALSE)</f>
        <v>3</v>
      </c>
      <c r="W713" s="136">
        <v>1</v>
      </c>
      <c r="X713" s="136" t="str">
        <f>tbl_IO_List[[#This Row],[Chassis]]&amp;"S"&amp;TEXT(tbl_IO_List[[#This Row],[Slot]],"00")</f>
        <v>C4S05</v>
      </c>
      <c r="Y713" s="136" t="str">
        <f>tbl_IO_List[[#This Row],[Chassis]]&amp;"S"&amp;TEXT(tbl_IO_List[[#This Row],[Slot]],"00")&amp;tbl_IO_List[[#This Row],[I/O Type]]&amp;TEXT(tbl_IO_List[[#This Row],[Point]],"00")</f>
        <v>C4S05AI12</v>
      </c>
      <c r="Z713" s="136" t="str">
        <f>tbl_IO_List[[#This Row],[Chassis]]&amp;"S"&amp;TEXT(tbl_IO_List[[#This Row],[Slot]],"00")&amp;","&amp;TEXT(tbl_IO_List[[#This Row],[Point]],"00")</f>
        <v>C4S05,12</v>
      </c>
      <c r="AA713" s="136" t="str">
        <f>VLOOKUP(tbl_IO_List[[#This Row],[Column23]],tbl_RackConfig[],5,FALSE) &amp;"-"&amp;tbl_IO_List[[#This Row],[Point]]</f>
        <v>1756-IF16-12</v>
      </c>
      <c r="AB713" s="136"/>
      <c r="AC713" s="136"/>
      <c r="AD713" s="136" t="str">
        <f>tbl_IO_List[[#This Row],[I/O Type]]</f>
        <v>AI</v>
      </c>
      <c r="AE713" s="136" t="s">
        <v>1335</v>
      </c>
      <c r="AF713" s="136">
        <v>5</v>
      </c>
      <c r="AG713" s="136">
        <v>12</v>
      </c>
      <c r="AH713" s="136"/>
      <c r="AI713" s="136"/>
      <c r="AJ713" s="136">
        <v>0</v>
      </c>
      <c r="AK713" s="136">
        <v>0</v>
      </c>
      <c r="AL713" s="136">
        <v>1</v>
      </c>
      <c r="AM713" s="136">
        <v>0</v>
      </c>
      <c r="AN713" s="136">
        <v>0</v>
      </c>
      <c r="AO713" s="136"/>
      <c r="AP713" s="143" t="str">
        <f>VLOOKUP(tbl_IO_List[[#This Row],[Instruement Tag]],tbl_Instruement_List[],14,FALSE)</f>
        <v>4 - 20 mA</v>
      </c>
      <c r="AQ713" s="143" t="str">
        <f>tbl_IO_List[[#This Row],[Chassis]]&amp;"S"&amp;tbl_IO_List[[#This Row],[Slot]]&amp;"-"&amp;tbl_IO_List[[#This Row],[Front Terminal Number]]</f>
        <v>C4S5-</v>
      </c>
      <c r="AR713" s="143"/>
      <c r="AS713" s="136" t="str">
        <f>tbl_IO_List[[#This Row],[Terminal Tagging]]&amp;"-"&amp;tbl_IO_List[[#This Row],[Point-Count]]</f>
        <v>-</v>
      </c>
      <c r="AT713" s="136" t="str">
        <f>tbl_IO_List[[#This Row],[Front Terminal Tagging]]&amp;"/"&amp;tbl_IO_List[[#This Row],[Terminal Tagging-Item]]</f>
        <v>C4S5-/-</v>
      </c>
      <c r="AU713" s="136" t="str">
        <f>tbl_IO_List[[#This Row],[Terminal Tagging-Item]]&amp;"/"&amp;tbl_IO_List[[#This Row],[Front Terminal Tagging]]</f>
        <v>-/C4S5-</v>
      </c>
    </row>
    <row r="714" spans="1:47" hidden="1">
      <c r="A714" s="147" t="s">
        <v>1371</v>
      </c>
      <c r="B714" s="136" t="s">
        <v>335</v>
      </c>
      <c r="C714" s="136" t="str">
        <f>tbl_IO_List[[#This Row],[Column3]]</f>
        <v>C4S05,13</v>
      </c>
      <c r="D714" s="136" t="str">
        <f>tbl_IO_List[[#This Row],[Card]]</f>
        <v>1756-IF16-13</v>
      </c>
      <c r="E714" s="136" t="s">
        <v>1366</v>
      </c>
      <c r="F714" s="136" t="str">
        <f>tbl_IO_List[[#This Row],[Column23]]&amp;"-" &amp;tbl_IO_List[[#This Row],[Column52]]</f>
        <v>C4S05-X1</v>
      </c>
      <c r="G714" s="136" t="str">
        <f>tbl_IO_List[[#This Row],[PLC_Tag]]</f>
        <v>PT-61309_AI_1</v>
      </c>
      <c r="H714" s="136"/>
      <c r="I714" s="136" t="str">
        <f>VLOOKUP(tbl_IO_List[[#This Row],[Destination]],tbl_Junction[],2,FALSE)</f>
        <v>Packing Tower 2th Floor</v>
      </c>
      <c r="J714" s="136" t="s">
        <v>335</v>
      </c>
      <c r="K714" s="136" t="s">
        <v>66</v>
      </c>
      <c r="L714" s="136" t="s">
        <v>351</v>
      </c>
      <c r="M714" s="136" t="str">
        <f>VLOOKUP(tbl_IO_List[[#This Row],[Instruement Tag]],tbl_Instruement_List[],2,FALSE)</f>
        <v>Pressure Transmitter</v>
      </c>
      <c r="N714" s="136" t="s">
        <v>15</v>
      </c>
      <c r="O714" s="136" t="s">
        <v>197</v>
      </c>
      <c r="P714" s="136" t="s">
        <v>196</v>
      </c>
      <c r="Q714" s="136" t="str">
        <f>VLOOKUP(tbl_IO_List[[#This Row],[Instruement Tag]],tbl_Instruement_List[],6,FALSE)</f>
        <v>Pressure transmitter</v>
      </c>
      <c r="R714" s="136"/>
      <c r="S71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714" s="136" t="str">
        <f>tbl_IO_List[[#This Row],[Instruement Tag]]&amp;"_"&amp;tbl_IO_List[[#This Row],[I/O Type]]&amp;"_"&amp;tbl_IO_List[[#This Row],[IO-Point 
(Instruement)]]</f>
        <v>PT-61309_AI_1</v>
      </c>
      <c r="U714" s="136" t="s">
        <v>10</v>
      </c>
      <c r="V714" s="136">
        <f>VLOOKUP(tbl_IO_List[[#This Row],[I/O Type]],tbl_Slot_Group[],2,FALSE)</f>
        <v>3</v>
      </c>
      <c r="W714" s="136">
        <v>1</v>
      </c>
      <c r="X714" s="136" t="str">
        <f>tbl_IO_List[[#This Row],[Chassis]]&amp;"S"&amp;TEXT(tbl_IO_List[[#This Row],[Slot]],"00")</f>
        <v>C4S05</v>
      </c>
      <c r="Y714" s="136" t="str">
        <f>tbl_IO_List[[#This Row],[Chassis]]&amp;"S"&amp;TEXT(tbl_IO_List[[#This Row],[Slot]],"00")&amp;tbl_IO_List[[#This Row],[I/O Type]]&amp;TEXT(tbl_IO_List[[#This Row],[Point]],"00")</f>
        <v>C4S05AI13</v>
      </c>
      <c r="Z714" s="136" t="str">
        <f>tbl_IO_List[[#This Row],[Chassis]]&amp;"S"&amp;TEXT(tbl_IO_List[[#This Row],[Slot]],"00")&amp;","&amp;TEXT(tbl_IO_List[[#This Row],[Point]],"00")</f>
        <v>C4S05,13</v>
      </c>
      <c r="AA714" s="136" t="str">
        <f>VLOOKUP(tbl_IO_List[[#This Row],[Column23]],tbl_RackConfig[],5,FALSE) &amp;"-"&amp;tbl_IO_List[[#This Row],[Point]]</f>
        <v>1756-IF16-13</v>
      </c>
      <c r="AB714" s="136"/>
      <c r="AC714" s="136"/>
      <c r="AD714" s="136" t="str">
        <f>tbl_IO_List[[#This Row],[I/O Type]]</f>
        <v>AI</v>
      </c>
      <c r="AE714" s="136" t="s">
        <v>1335</v>
      </c>
      <c r="AF714" s="136">
        <v>5</v>
      </c>
      <c r="AG714" s="136">
        <v>13</v>
      </c>
      <c r="AH714" s="136"/>
      <c r="AI714" s="136"/>
      <c r="AJ714" s="136">
        <v>0</v>
      </c>
      <c r="AK714" s="136">
        <v>0</v>
      </c>
      <c r="AL714" s="136">
        <v>1</v>
      </c>
      <c r="AM714" s="136">
        <v>0</v>
      </c>
      <c r="AN714" s="136">
        <v>0</v>
      </c>
      <c r="AO714" s="136"/>
      <c r="AP714" s="143" t="str">
        <f>VLOOKUP(tbl_IO_List[[#This Row],[Instruement Tag]],tbl_Instruement_List[],14,FALSE)</f>
        <v>4 - 20 mA</v>
      </c>
      <c r="AQ714" s="143" t="str">
        <f>tbl_IO_List[[#This Row],[Chassis]]&amp;"S"&amp;tbl_IO_List[[#This Row],[Slot]]&amp;"-"&amp;tbl_IO_List[[#This Row],[Front Terminal Number]]</f>
        <v>C4S5-</v>
      </c>
      <c r="AR714" s="143"/>
      <c r="AS714" s="136" t="str">
        <f>tbl_IO_List[[#This Row],[Terminal Tagging]]&amp;"-"&amp;tbl_IO_List[[#This Row],[Point-Count]]</f>
        <v>-</v>
      </c>
      <c r="AT714" s="136" t="str">
        <f>tbl_IO_List[[#This Row],[Front Terminal Tagging]]&amp;"/"&amp;tbl_IO_List[[#This Row],[Terminal Tagging-Item]]</f>
        <v>C4S5-/-</v>
      </c>
      <c r="AU714" s="136" t="str">
        <f>tbl_IO_List[[#This Row],[Terminal Tagging-Item]]&amp;"/"&amp;tbl_IO_List[[#This Row],[Front Terminal Tagging]]</f>
        <v>-/C4S5-</v>
      </c>
    </row>
    <row r="715" spans="1:47" hidden="1">
      <c r="A715" s="147" t="s">
        <v>1371</v>
      </c>
      <c r="B715" s="136" t="s">
        <v>335</v>
      </c>
      <c r="C715" s="136" t="str">
        <f>tbl_IO_List[[#This Row],[Column3]]</f>
        <v>C4S05,14</v>
      </c>
      <c r="D715" s="136" t="str">
        <f>tbl_IO_List[[#This Row],[Card]]</f>
        <v>1756-IF16-14</v>
      </c>
      <c r="E715" s="136" t="s">
        <v>1366</v>
      </c>
      <c r="F715" s="136" t="str">
        <f>tbl_IO_List[[#This Row],[Column23]]&amp;"-" &amp;tbl_IO_List[[#This Row],[Column52]]</f>
        <v>C4S05-X1</v>
      </c>
      <c r="G715" s="136" t="str">
        <f>tbl_IO_List[[#This Row],[PLC_Tag]]</f>
        <v>Spare_AI_0</v>
      </c>
      <c r="H715" s="136"/>
      <c r="I715" s="136" t="str">
        <f>VLOOKUP(tbl_IO_List[[#This Row],[Destination]],tbl_Junction[],2,FALSE)</f>
        <v>Packing Tower 2th Floor</v>
      </c>
      <c r="J715" s="136"/>
      <c r="K715" s="136"/>
      <c r="L715" s="136" t="s">
        <v>411</v>
      </c>
      <c r="M715" s="136" t="e">
        <f>VLOOKUP(tbl_IO_List[[#This Row],[Instruement Tag]],tbl_Instruement_List[],2,FALSE)</f>
        <v>#N/A</v>
      </c>
      <c r="N715" s="136"/>
      <c r="O715" s="136"/>
      <c r="P715" s="136"/>
      <c r="Q715" s="136" t="e">
        <f>VLOOKUP(tbl_IO_List[[#This Row],[Instruement Tag]],tbl_Instruement_List[],6,FALSE)</f>
        <v>#N/A</v>
      </c>
      <c r="R715" s="136"/>
      <c r="S71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715" s="136" t="str">
        <f>tbl_IO_List[[#This Row],[Instruement Tag]]&amp;"_"&amp;tbl_IO_List[[#This Row],[I/O Type]]&amp;"_"&amp;tbl_IO_List[[#This Row],[IO-Point 
(Instruement)]]</f>
        <v>Spare_AI_0</v>
      </c>
      <c r="U715" s="136" t="s">
        <v>10</v>
      </c>
      <c r="V715" s="136">
        <f>VLOOKUP(tbl_IO_List[[#This Row],[I/O Type]],tbl_Slot_Group[],2,FALSE)</f>
        <v>3</v>
      </c>
      <c r="W715" s="136">
        <v>0</v>
      </c>
      <c r="X715" s="136" t="str">
        <f>tbl_IO_List[[#This Row],[Chassis]]&amp;"S"&amp;TEXT(tbl_IO_List[[#This Row],[Slot]],"00")</f>
        <v>C4S05</v>
      </c>
      <c r="Y715" s="136" t="str">
        <f>tbl_IO_List[[#This Row],[Chassis]]&amp;"S"&amp;TEXT(tbl_IO_List[[#This Row],[Slot]],"00")&amp;tbl_IO_List[[#This Row],[I/O Type]]&amp;TEXT(tbl_IO_List[[#This Row],[Point]],"00")</f>
        <v>C4S05AI14</v>
      </c>
      <c r="Z715" s="136" t="str">
        <f>tbl_IO_List[[#This Row],[Chassis]]&amp;"S"&amp;TEXT(tbl_IO_List[[#This Row],[Slot]],"00")&amp;","&amp;TEXT(tbl_IO_List[[#This Row],[Point]],"00")</f>
        <v>C4S05,14</v>
      </c>
      <c r="AA715" s="136" t="str">
        <f>VLOOKUP(tbl_IO_List[[#This Row],[Column23]],tbl_RackConfig[],5,FALSE) &amp;"-"&amp;tbl_IO_List[[#This Row],[Point]]</f>
        <v>1756-IF16-14</v>
      </c>
      <c r="AB715" s="136"/>
      <c r="AC715" s="136"/>
      <c r="AD715" s="136" t="str">
        <f>tbl_IO_List[[#This Row],[I/O Type]]</f>
        <v>AI</v>
      </c>
      <c r="AE715" s="136" t="s">
        <v>1335</v>
      </c>
      <c r="AF715" s="136">
        <v>5</v>
      </c>
      <c r="AG715" s="136">
        <v>14</v>
      </c>
      <c r="AH715" s="136"/>
      <c r="AI715" s="136"/>
      <c r="AJ715" s="136">
        <v>0</v>
      </c>
      <c r="AK715" s="136">
        <v>0</v>
      </c>
      <c r="AL715" s="136">
        <v>1</v>
      </c>
      <c r="AM715" s="136">
        <v>0</v>
      </c>
      <c r="AN715" s="136">
        <v>0</v>
      </c>
      <c r="AO715" s="136"/>
      <c r="AP715" s="143" t="e">
        <f>VLOOKUP(tbl_IO_List[[#This Row],[Instruement Tag]],tbl_Instruement_List[],14,FALSE)</f>
        <v>#N/A</v>
      </c>
      <c r="AQ715" s="143" t="str">
        <f>tbl_IO_List[[#This Row],[Chassis]]&amp;"S"&amp;tbl_IO_List[[#This Row],[Slot]]&amp;"-"&amp;tbl_IO_List[[#This Row],[Front Terminal Number]]</f>
        <v>C4S5-</v>
      </c>
      <c r="AR715" s="143"/>
      <c r="AS715" s="136" t="str">
        <f>tbl_IO_List[[#This Row],[Terminal Tagging]]&amp;"-"&amp;tbl_IO_List[[#This Row],[Point-Count]]</f>
        <v>-</v>
      </c>
      <c r="AT715" s="136" t="str">
        <f>tbl_IO_List[[#This Row],[Front Terminal Tagging]]&amp;"/"&amp;tbl_IO_List[[#This Row],[Terminal Tagging-Item]]</f>
        <v>C4S5-/-</v>
      </c>
      <c r="AU715" s="136" t="str">
        <f>tbl_IO_List[[#This Row],[Terminal Tagging-Item]]&amp;"/"&amp;tbl_IO_List[[#This Row],[Front Terminal Tagging]]</f>
        <v>-/C4S5-</v>
      </c>
    </row>
    <row r="716" spans="1:47" hidden="1">
      <c r="A716" s="147" t="s">
        <v>1371</v>
      </c>
      <c r="B716" s="136" t="s">
        <v>335</v>
      </c>
      <c r="C716" s="136" t="str">
        <f>tbl_IO_List[[#This Row],[Column3]]</f>
        <v>C4S05,15</v>
      </c>
      <c r="D716" s="136" t="str">
        <f>tbl_IO_List[[#This Row],[Card]]</f>
        <v>1756-IF16-15</v>
      </c>
      <c r="E716" s="136" t="s">
        <v>1366</v>
      </c>
      <c r="F716" s="136" t="str">
        <f>tbl_IO_List[[#This Row],[Column23]]&amp;"-" &amp;tbl_IO_List[[#This Row],[Column52]]</f>
        <v>C4S05-X1</v>
      </c>
      <c r="G716" s="136" t="str">
        <f>tbl_IO_List[[#This Row],[PLC_Tag]]</f>
        <v>Spare_AI_0</v>
      </c>
      <c r="H716" s="136"/>
      <c r="I716" s="136" t="str">
        <f>VLOOKUP(tbl_IO_List[[#This Row],[Destination]],tbl_Junction[],2,FALSE)</f>
        <v>Packing Tower 2th Floor</v>
      </c>
      <c r="J716" s="136"/>
      <c r="K716" s="136"/>
      <c r="L716" s="136" t="s">
        <v>411</v>
      </c>
      <c r="M716" s="136" t="e">
        <f>VLOOKUP(tbl_IO_List[[#This Row],[Instruement Tag]],tbl_Instruement_List[],2,FALSE)</f>
        <v>#N/A</v>
      </c>
      <c r="N716" s="136"/>
      <c r="O716" s="136"/>
      <c r="P716" s="136"/>
      <c r="Q716" s="136" t="e">
        <f>VLOOKUP(tbl_IO_List[[#This Row],[Instruement Tag]],tbl_Instruement_List[],6,FALSE)</f>
        <v>#N/A</v>
      </c>
      <c r="R716" s="136"/>
      <c r="S71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716" s="136" t="str">
        <f>tbl_IO_List[[#This Row],[Instruement Tag]]&amp;"_"&amp;tbl_IO_List[[#This Row],[I/O Type]]&amp;"_"&amp;tbl_IO_List[[#This Row],[IO-Point 
(Instruement)]]</f>
        <v>Spare_AI_0</v>
      </c>
      <c r="U716" s="136" t="s">
        <v>10</v>
      </c>
      <c r="V716" s="136">
        <f>VLOOKUP(tbl_IO_List[[#This Row],[I/O Type]],tbl_Slot_Group[],2,FALSE)</f>
        <v>3</v>
      </c>
      <c r="W716" s="136">
        <v>0</v>
      </c>
      <c r="X716" s="136" t="str">
        <f>tbl_IO_List[[#This Row],[Chassis]]&amp;"S"&amp;TEXT(tbl_IO_List[[#This Row],[Slot]],"00")</f>
        <v>C4S05</v>
      </c>
      <c r="Y716" s="136" t="str">
        <f>tbl_IO_List[[#This Row],[Chassis]]&amp;"S"&amp;TEXT(tbl_IO_List[[#This Row],[Slot]],"00")&amp;tbl_IO_List[[#This Row],[I/O Type]]&amp;TEXT(tbl_IO_List[[#This Row],[Point]],"00")</f>
        <v>C4S05AI15</v>
      </c>
      <c r="Z716" s="136" t="str">
        <f>tbl_IO_List[[#This Row],[Chassis]]&amp;"S"&amp;TEXT(tbl_IO_List[[#This Row],[Slot]],"00")&amp;","&amp;TEXT(tbl_IO_List[[#This Row],[Point]],"00")</f>
        <v>C4S05,15</v>
      </c>
      <c r="AA716" s="136" t="str">
        <f>VLOOKUP(tbl_IO_List[[#This Row],[Column23]],tbl_RackConfig[],5,FALSE) &amp;"-"&amp;tbl_IO_List[[#This Row],[Point]]</f>
        <v>1756-IF16-15</v>
      </c>
      <c r="AB716" s="136"/>
      <c r="AC716" s="136"/>
      <c r="AD716" s="136" t="str">
        <f>tbl_IO_List[[#This Row],[I/O Type]]</f>
        <v>AI</v>
      </c>
      <c r="AE716" s="136" t="s">
        <v>1335</v>
      </c>
      <c r="AF716" s="136">
        <v>5</v>
      </c>
      <c r="AG716" s="136">
        <v>15</v>
      </c>
      <c r="AH716" s="136"/>
      <c r="AI716" s="136"/>
      <c r="AJ716" s="136">
        <v>0</v>
      </c>
      <c r="AK716" s="136">
        <v>0</v>
      </c>
      <c r="AL716" s="136">
        <v>1</v>
      </c>
      <c r="AM716" s="136">
        <v>0</v>
      </c>
      <c r="AN716" s="136">
        <v>0</v>
      </c>
      <c r="AO716" s="136"/>
      <c r="AP716" s="143" t="e">
        <f>VLOOKUP(tbl_IO_List[[#This Row],[Instruement Tag]],tbl_Instruement_List[],14,FALSE)</f>
        <v>#N/A</v>
      </c>
      <c r="AQ716" s="143" t="str">
        <f>tbl_IO_List[[#This Row],[Chassis]]&amp;"S"&amp;tbl_IO_List[[#This Row],[Slot]]&amp;"-"&amp;tbl_IO_List[[#This Row],[Front Terminal Number]]</f>
        <v>C4S5-</v>
      </c>
      <c r="AR716" s="143"/>
      <c r="AS716" s="136" t="str">
        <f>tbl_IO_List[[#This Row],[Terminal Tagging]]&amp;"-"&amp;tbl_IO_List[[#This Row],[Point-Count]]</f>
        <v>-</v>
      </c>
      <c r="AT716" s="136" t="str">
        <f>tbl_IO_List[[#This Row],[Front Terminal Tagging]]&amp;"/"&amp;tbl_IO_List[[#This Row],[Terminal Tagging-Item]]</f>
        <v>C4S5-/-</v>
      </c>
      <c r="AU716" s="136" t="str">
        <f>tbl_IO_List[[#This Row],[Terminal Tagging-Item]]&amp;"/"&amp;tbl_IO_List[[#This Row],[Front Terminal Tagging]]</f>
        <v>-/C4S5-</v>
      </c>
    </row>
    <row r="717" spans="1:47" hidden="1">
      <c r="A717" s="147" t="s">
        <v>1369</v>
      </c>
      <c r="B717" s="136" t="s">
        <v>1306</v>
      </c>
      <c r="C717" s="136" t="str">
        <f>tbl_IO_List[[#This Row],[Column3]]</f>
        <v>C5S00,00</v>
      </c>
      <c r="D717" s="136" t="str">
        <f>tbl_IO_List[[#This Row],[Card]]</f>
        <v>1756-EN4TR-0</v>
      </c>
      <c r="E717" s="136" t="s">
        <v>1366</v>
      </c>
      <c r="F717" s="136" t="str">
        <f>tbl_IO_List[[#This Row],[Column23]]&amp;"-" &amp;tbl_IO_List[[#This Row],[Column52]]</f>
        <v>C5S00-X1</v>
      </c>
      <c r="G717" s="136">
        <f>tbl_IO_List[[#This Row],[PLC_Tag]]</f>
        <v>0</v>
      </c>
      <c r="H717" s="136"/>
      <c r="I717" s="136" t="str">
        <f>VLOOKUP(tbl_IO_List[[#This Row],[Destination]],tbl_Junction[],2,FALSE)</f>
        <v>Main Control Cabinet</v>
      </c>
      <c r="J717" s="136" t="s">
        <v>1306</v>
      </c>
      <c r="K717" s="136" t="s">
        <v>1382</v>
      </c>
      <c r="L717" s="136" t="s">
        <v>411</v>
      </c>
      <c r="M717" s="136" t="e">
        <f>VLOOKUP(tbl_IO_List[[#This Row],[Instruement Tag]],tbl_Instruement_List[],2,FALSE)</f>
        <v>#N/A</v>
      </c>
      <c r="N717" s="136"/>
      <c r="O717" s="136" t="s">
        <v>18</v>
      </c>
      <c r="P717" s="136" t="s">
        <v>18</v>
      </c>
      <c r="Q717" s="136" t="e">
        <f>VLOOKUP(tbl_IO_List[[#This Row],[Instruement Tag]],tbl_Instruement_List[],6,FALSE)</f>
        <v>#N/A</v>
      </c>
      <c r="R717" s="136"/>
      <c r="S717" s="136"/>
      <c r="T717" s="136"/>
      <c r="U717" s="136" t="s">
        <v>1844</v>
      </c>
      <c r="V717" s="136" t="e">
        <f>VLOOKUP(tbl_IO_List[[#This Row],[I/O Type]],tbl_Slot_Group[],2,FALSE)</f>
        <v>#N/A</v>
      </c>
      <c r="W717" s="136">
        <v>0</v>
      </c>
      <c r="X717" s="136" t="str">
        <f>tbl_IO_List[[#This Row],[Chassis]]&amp;"S"&amp;TEXT(tbl_IO_List[[#This Row],[Slot]],"00")</f>
        <v>C5S00</v>
      </c>
      <c r="Y717" s="136" t="str">
        <f>tbl_IO_List[[#This Row],[Chassis]]&amp;"S"&amp;TEXT(tbl_IO_List[[#This Row],[Slot]],"00")&amp;tbl_IO_List[[#This Row],[I/O Type]]&amp;TEXT(tbl_IO_List[[#This Row],[Point]],"00")</f>
        <v>C5S00ETH-100</v>
      </c>
      <c r="Z717" s="136" t="str">
        <f>tbl_IO_List[[#This Row],[Chassis]]&amp;"S"&amp;TEXT(tbl_IO_List[[#This Row],[Slot]],"00")&amp;","&amp;TEXT(tbl_IO_List[[#This Row],[Point]],"00")</f>
        <v>C5S00,00</v>
      </c>
      <c r="AA717" s="136" t="str">
        <f>VLOOKUP(tbl_IO_List[[#This Row],[Column23]],tbl_RackConfig[],5,FALSE) &amp;"-"&amp;tbl_IO_List[[#This Row],[Point]]</f>
        <v>1756-EN4TR-0</v>
      </c>
      <c r="AB717" s="136"/>
      <c r="AC717" s="136" t="s">
        <v>1370</v>
      </c>
      <c r="AD717" s="136" t="str">
        <f>tbl_IO_List[[#This Row],[I/O Type]]</f>
        <v>ETH-1</v>
      </c>
      <c r="AE717" s="136" t="s">
        <v>1336</v>
      </c>
      <c r="AF717" s="136">
        <v>0</v>
      </c>
      <c r="AG717" s="136">
        <v>0</v>
      </c>
      <c r="AH717" s="136"/>
      <c r="AI717" s="136"/>
      <c r="AJ717" s="136">
        <v>0</v>
      </c>
      <c r="AK717" s="136">
        <v>0</v>
      </c>
      <c r="AL717" s="136">
        <v>0</v>
      </c>
      <c r="AM717" s="136">
        <v>0</v>
      </c>
      <c r="AN717" s="136">
        <v>1</v>
      </c>
      <c r="AO717" s="136"/>
      <c r="AP717" s="143" t="e">
        <f>VLOOKUP(tbl_IO_List[[#This Row],[Instruement Tag]],tbl_Instruement_List[],14,FALSE)</f>
        <v>#N/A</v>
      </c>
      <c r="AQ717" s="143" t="str">
        <f>tbl_IO_List[[#This Row],[Chassis]]&amp;"S"&amp;tbl_IO_List[[#This Row],[Slot]]&amp;"-"&amp;tbl_IO_List[[#This Row],[Front Terminal Number]]</f>
        <v>C5S0-</v>
      </c>
      <c r="AR717" s="143"/>
      <c r="AS717" s="136" t="str">
        <f>tbl_IO_List[[#This Row],[Terminal Tagging]]&amp;"-"&amp;tbl_IO_List[[#This Row],[Point-Count]]</f>
        <v>-</v>
      </c>
      <c r="AT717" s="136" t="str">
        <f>tbl_IO_List[[#This Row],[Front Terminal Tagging]]&amp;"/"&amp;tbl_IO_List[[#This Row],[Terminal Tagging-Item]]</f>
        <v>C5S0-/-</v>
      </c>
      <c r="AU717" s="136" t="str">
        <f>tbl_IO_List[[#This Row],[Terminal Tagging-Item]]&amp;"/"&amp;tbl_IO_List[[#This Row],[Front Terminal Tagging]]</f>
        <v>-/C5S0-</v>
      </c>
    </row>
    <row r="718" spans="1:47" hidden="1">
      <c r="A718" s="147" t="s">
        <v>1373</v>
      </c>
      <c r="B718" s="136" t="s">
        <v>382</v>
      </c>
      <c r="C718" s="136" t="str">
        <f>tbl_IO_List[[#This Row],[Column3]]</f>
        <v>C5S01,00</v>
      </c>
      <c r="D718" s="136" t="str">
        <f>tbl_IO_List[[#This Row],[Card]]</f>
        <v>1756-IB32-0</v>
      </c>
      <c r="E718" s="136" t="s">
        <v>1366</v>
      </c>
      <c r="F718" s="136" t="str">
        <f>tbl_IO_List[[#This Row],[Column23]]&amp;"-" &amp;tbl_IO_List[[#This Row],[Column52]]</f>
        <v>C5S01-X1</v>
      </c>
      <c r="G718" s="136" t="str">
        <f>tbl_IO_List[[#This Row],[PLC_Tag]]</f>
        <v>FS-20201_DI_1</v>
      </c>
      <c r="H718" s="136"/>
      <c r="I718" s="136" t="str">
        <f>VLOOKUP(tbl_IO_List[[#This Row],[Destination]],tbl_Junction[],2,FALSE)</f>
        <v>Slurry - Out Building 2nd Floor</v>
      </c>
      <c r="J718" s="136" t="s">
        <v>382</v>
      </c>
      <c r="K718" s="136" t="s">
        <v>383</v>
      </c>
      <c r="L718" s="136" t="s">
        <v>381</v>
      </c>
      <c r="M718" s="136" t="e">
        <f>VLOOKUP(tbl_IO_List[[#This Row],[Instruement Tag]],tbl_Instruement_List[],2,FALSE)</f>
        <v>#N/A</v>
      </c>
      <c r="N718" s="136" t="s">
        <v>15</v>
      </c>
      <c r="O718" s="136" t="s">
        <v>18</v>
      </c>
      <c r="P718" s="136" t="s">
        <v>384</v>
      </c>
      <c r="Q718" s="136" t="e">
        <f>VLOOKUP(tbl_IO_List[[#This Row],[Instruement Tag]],tbl_Instruement_List[],6,FALSE)</f>
        <v>#N/A</v>
      </c>
      <c r="R718" s="136"/>
      <c r="S71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18" s="136" t="str">
        <f>tbl_IO_List[[#This Row],[Instruement Tag]]&amp;"_"&amp;tbl_IO_List[[#This Row],[I/O Type]]&amp;"_"&amp;tbl_IO_List[[#This Row],[IO-Point 
(Instruement)]]</f>
        <v>FS-20201_DI_1</v>
      </c>
      <c r="U718" s="136" t="s">
        <v>8</v>
      </c>
      <c r="V718" s="136">
        <f>VLOOKUP(tbl_IO_List[[#This Row],[I/O Type]],tbl_Slot_Group[],2,FALSE)</f>
        <v>1</v>
      </c>
      <c r="W718" s="136">
        <v>1</v>
      </c>
      <c r="X718" s="136" t="str">
        <f>tbl_IO_List[[#This Row],[Chassis]]&amp;"S"&amp;TEXT(tbl_IO_List[[#This Row],[Slot]],"00")</f>
        <v>C5S01</v>
      </c>
      <c r="Y718" s="136" t="str">
        <f>tbl_IO_List[[#This Row],[Chassis]]&amp;"S"&amp;TEXT(tbl_IO_List[[#This Row],[Slot]],"00")&amp;tbl_IO_List[[#This Row],[I/O Type]]&amp;TEXT(tbl_IO_List[[#This Row],[Point]],"00")</f>
        <v>C5S01DI00</v>
      </c>
      <c r="Z718" s="136" t="str">
        <f>tbl_IO_List[[#This Row],[Chassis]]&amp;"S"&amp;TEXT(tbl_IO_List[[#This Row],[Slot]],"00")&amp;","&amp;TEXT(tbl_IO_List[[#This Row],[Point]],"00")</f>
        <v>C5S01,00</v>
      </c>
      <c r="AA718" s="136" t="str">
        <f>VLOOKUP(tbl_IO_List[[#This Row],[Column23]],tbl_RackConfig[],5,FALSE) &amp;"-"&amp;tbl_IO_List[[#This Row],[Point]]</f>
        <v>1756-IB32-0</v>
      </c>
      <c r="AB718" s="136"/>
      <c r="AC718" s="136"/>
      <c r="AD718" s="136" t="str">
        <f>tbl_IO_List[[#This Row],[I/O Type]]</f>
        <v>DI</v>
      </c>
      <c r="AE718" s="136" t="s">
        <v>1336</v>
      </c>
      <c r="AF718" s="136">
        <v>1</v>
      </c>
      <c r="AG718" s="136">
        <v>0</v>
      </c>
      <c r="AH718" s="136"/>
      <c r="AI718" s="136"/>
      <c r="AJ718" s="136">
        <v>1</v>
      </c>
      <c r="AK718" s="136">
        <v>0</v>
      </c>
      <c r="AL718" s="136">
        <v>0</v>
      </c>
      <c r="AM718" s="136">
        <v>0</v>
      </c>
      <c r="AN718" s="136">
        <v>0</v>
      </c>
      <c r="AO718" s="136"/>
      <c r="AP718" s="143" t="e">
        <f>VLOOKUP(tbl_IO_List[[#This Row],[Instruement Tag]],tbl_Instruement_List[],14,FALSE)</f>
        <v>#N/A</v>
      </c>
      <c r="AQ718" s="143" t="str">
        <f>tbl_IO_List[[#This Row],[Chassis]]&amp;"S"&amp;tbl_IO_List[[#This Row],[Slot]]&amp;"-"&amp;tbl_IO_List[[#This Row],[Front Terminal Number]]</f>
        <v>C5S1-</v>
      </c>
      <c r="AR718" s="143"/>
      <c r="AS718" s="136" t="str">
        <f>tbl_IO_List[[#This Row],[Terminal Tagging]]&amp;"-"&amp;tbl_IO_List[[#This Row],[Point-Count]]</f>
        <v>-</v>
      </c>
      <c r="AT718" s="136" t="str">
        <f>tbl_IO_List[[#This Row],[Front Terminal Tagging]]&amp;"/"&amp;tbl_IO_List[[#This Row],[Terminal Tagging-Item]]</f>
        <v>C5S1-/-</v>
      </c>
      <c r="AU718" s="136" t="str">
        <f>tbl_IO_List[[#This Row],[Terminal Tagging-Item]]&amp;"/"&amp;tbl_IO_List[[#This Row],[Front Terminal Tagging]]</f>
        <v>-/C5S1-</v>
      </c>
    </row>
    <row r="719" spans="1:47" hidden="1">
      <c r="A719" s="147" t="s">
        <v>1373</v>
      </c>
      <c r="B719" s="136" t="s">
        <v>382</v>
      </c>
      <c r="C719" s="136" t="str">
        <f>tbl_IO_List[[#This Row],[Column3]]</f>
        <v>C5S01,01</v>
      </c>
      <c r="D719" s="136" t="str">
        <f>tbl_IO_List[[#This Row],[Card]]</f>
        <v>1756-IB32-1</v>
      </c>
      <c r="E719" s="136" t="s">
        <v>1366</v>
      </c>
      <c r="F719" s="136" t="str">
        <f>tbl_IO_List[[#This Row],[Column23]]&amp;"-" &amp;tbl_IO_List[[#This Row],[Column52]]</f>
        <v>C5S01-X1</v>
      </c>
      <c r="G719" s="136" t="str">
        <f>tbl_IO_List[[#This Row],[PLC_Tag]]</f>
        <v>FT-913201_DI_1</v>
      </c>
      <c r="H719" s="136"/>
      <c r="I719" s="136" t="str">
        <f>VLOOKUP(tbl_IO_List[[#This Row],[Destination]],tbl_Junction[],2,FALSE)</f>
        <v>Slurry - Out Building 2nd Floor</v>
      </c>
      <c r="J719" s="136" t="s">
        <v>382</v>
      </c>
      <c r="K719" s="136" t="s">
        <v>404</v>
      </c>
      <c r="L719" s="136" t="s">
        <v>403</v>
      </c>
      <c r="M719" s="136">
        <f>VLOOKUP(tbl_IO_List[[#This Row],[Instruement Tag]],tbl_Instruement_List[],2,FALSE)</f>
        <v>0</v>
      </c>
      <c r="N719" s="136" t="s">
        <v>15</v>
      </c>
      <c r="O719" s="136" t="s">
        <v>405</v>
      </c>
      <c r="P719" s="136" t="s">
        <v>406</v>
      </c>
      <c r="Q719" s="136" t="str">
        <f>VLOOKUP(tbl_IO_List[[#This Row],[Instruement Tag]],tbl_Instruement_List[],6,FALSE)</f>
        <v>Flow outlet LPG line</v>
      </c>
      <c r="R719" s="136"/>
      <c r="S71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1,DO=0,AI=2,AO=0,Bus=0</v>
      </c>
      <c r="T719" s="136" t="str">
        <f>tbl_IO_List[[#This Row],[Instruement Tag]]&amp;"_"&amp;tbl_IO_List[[#This Row],[I/O Type]]&amp;"_"&amp;tbl_IO_List[[#This Row],[IO-Point 
(Instruement)]]</f>
        <v>FT-913201_DI_1</v>
      </c>
      <c r="U719" s="136" t="s">
        <v>8</v>
      </c>
      <c r="V719" s="136">
        <f>VLOOKUP(tbl_IO_List[[#This Row],[I/O Type]],tbl_Slot_Group[],2,FALSE)</f>
        <v>1</v>
      </c>
      <c r="W719" s="136">
        <v>1</v>
      </c>
      <c r="X719" s="136" t="str">
        <f>tbl_IO_List[[#This Row],[Chassis]]&amp;"S"&amp;TEXT(tbl_IO_List[[#This Row],[Slot]],"00")</f>
        <v>C5S01</v>
      </c>
      <c r="Y719" s="136" t="str">
        <f>tbl_IO_List[[#This Row],[Chassis]]&amp;"S"&amp;TEXT(tbl_IO_List[[#This Row],[Slot]],"00")&amp;tbl_IO_List[[#This Row],[I/O Type]]&amp;TEXT(tbl_IO_List[[#This Row],[Point]],"00")</f>
        <v>C5S01DI01</v>
      </c>
      <c r="Z719" s="136" t="str">
        <f>tbl_IO_List[[#This Row],[Chassis]]&amp;"S"&amp;TEXT(tbl_IO_List[[#This Row],[Slot]],"00")&amp;","&amp;TEXT(tbl_IO_List[[#This Row],[Point]],"00")</f>
        <v>C5S01,01</v>
      </c>
      <c r="AA719" s="136" t="str">
        <f>VLOOKUP(tbl_IO_List[[#This Row],[Column23]],tbl_RackConfig[],5,FALSE) &amp;"-"&amp;tbl_IO_List[[#This Row],[Point]]</f>
        <v>1756-IB32-1</v>
      </c>
      <c r="AB719" s="136"/>
      <c r="AC719" s="136"/>
      <c r="AD719" s="136" t="str">
        <f>tbl_IO_List[[#This Row],[I/O Type]]</f>
        <v>DI</v>
      </c>
      <c r="AE719" s="136" t="s">
        <v>1336</v>
      </c>
      <c r="AF719" s="136">
        <v>1</v>
      </c>
      <c r="AG719" s="136">
        <v>1</v>
      </c>
      <c r="AH719" s="136"/>
      <c r="AI719" s="136"/>
      <c r="AJ719" s="136">
        <v>1</v>
      </c>
      <c r="AK719" s="136">
        <v>0</v>
      </c>
      <c r="AL719" s="136">
        <v>2</v>
      </c>
      <c r="AM719" s="136">
        <v>0</v>
      </c>
      <c r="AN719" s="136">
        <v>0</v>
      </c>
      <c r="AO719" s="136"/>
      <c r="AP719" s="143" t="str">
        <f>VLOOKUP(tbl_IO_List[[#This Row],[Instruement Tag]],tbl_Instruement_List[],14,FALSE)</f>
        <v>4 - 20 mA,Pulse</v>
      </c>
      <c r="AQ719" s="143" t="str">
        <f>tbl_IO_List[[#This Row],[Chassis]]&amp;"S"&amp;tbl_IO_List[[#This Row],[Slot]]&amp;"-"&amp;tbl_IO_List[[#This Row],[Front Terminal Number]]</f>
        <v>C5S1-</v>
      </c>
      <c r="AR719" s="143"/>
      <c r="AS719" s="136" t="str">
        <f>tbl_IO_List[[#This Row],[Terminal Tagging]]&amp;"-"&amp;tbl_IO_List[[#This Row],[Point-Count]]</f>
        <v>-</v>
      </c>
      <c r="AT719" s="136" t="str">
        <f>tbl_IO_List[[#This Row],[Front Terminal Tagging]]&amp;"/"&amp;tbl_IO_List[[#This Row],[Terminal Tagging-Item]]</f>
        <v>C5S1-/-</v>
      </c>
      <c r="AU719" s="136" t="str">
        <f>tbl_IO_List[[#This Row],[Terminal Tagging-Item]]&amp;"/"&amp;tbl_IO_List[[#This Row],[Front Terminal Tagging]]</f>
        <v>-/C5S1-</v>
      </c>
    </row>
    <row r="720" spans="1:47" hidden="1">
      <c r="A720" s="147" t="s">
        <v>1373</v>
      </c>
      <c r="B720" s="136" t="s">
        <v>382</v>
      </c>
      <c r="C720" s="136" t="str">
        <f>tbl_IO_List[[#This Row],[Column3]]</f>
        <v>C5S01,02</v>
      </c>
      <c r="D720" s="136" t="str">
        <f>tbl_IO_List[[#This Row],[Card]]</f>
        <v>1756-IB32-2</v>
      </c>
      <c r="E720" s="136" t="s">
        <v>1366</v>
      </c>
      <c r="F720" s="136" t="str">
        <f>tbl_IO_List[[#This Row],[Column23]]&amp;"-" &amp;tbl_IO_List[[#This Row],[Column52]]</f>
        <v>C5S01-X1</v>
      </c>
      <c r="G720" s="136" t="str">
        <f>tbl_IO_List[[#This Row],[PLC_Tag]]</f>
        <v>FT-936201_DI_1</v>
      </c>
      <c r="H720" s="136"/>
      <c r="I720" s="136" t="str">
        <f>VLOOKUP(tbl_IO_List[[#This Row],[Destination]],tbl_Junction[],2,FALSE)</f>
        <v>Slurry - Out Building 2nd Floor</v>
      </c>
      <c r="J720" s="136" t="s">
        <v>382</v>
      </c>
      <c r="K720" s="136" t="s">
        <v>419</v>
      </c>
      <c r="L720" s="136" t="s">
        <v>422</v>
      </c>
      <c r="M720" s="136">
        <f>VLOOKUP(tbl_IO_List[[#This Row],[Instruement Tag]],tbl_Instruement_List[],2,FALSE)</f>
        <v>0</v>
      </c>
      <c r="N720" s="136" t="s">
        <v>15</v>
      </c>
      <c r="O720" s="136" t="s">
        <v>423</v>
      </c>
      <c r="P720" s="136" t="s">
        <v>424</v>
      </c>
      <c r="Q720" s="136" t="str">
        <f>VLOOKUP(tbl_IO_List[[#This Row],[Instruement Tag]],tbl_Instruement_List[],6,FALSE)</f>
        <v>Process Water</v>
      </c>
      <c r="R720" s="136"/>
      <c r="S72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1,DO=0,AI=1,AO=0,Bus=0</v>
      </c>
      <c r="T720" s="136" t="str">
        <f>tbl_IO_List[[#This Row],[Instruement Tag]]&amp;"_"&amp;tbl_IO_List[[#This Row],[I/O Type]]&amp;"_"&amp;tbl_IO_List[[#This Row],[IO-Point 
(Instruement)]]</f>
        <v>FT-936201_DI_1</v>
      </c>
      <c r="U720" s="136" t="s">
        <v>8</v>
      </c>
      <c r="V720" s="136">
        <f>VLOOKUP(tbl_IO_List[[#This Row],[I/O Type]],tbl_Slot_Group[],2,FALSE)</f>
        <v>1</v>
      </c>
      <c r="W720" s="136">
        <v>1</v>
      </c>
      <c r="X720" s="136" t="str">
        <f>tbl_IO_List[[#This Row],[Chassis]]&amp;"S"&amp;TEXT(tbl_IO_List[[#This Row],[Slot]],"00")</f>
        <v>C5S01</v>
      </c>
      <c r="Y720" s="136" t="str">
        <f>tbl_IO_List[[#This Row],[Chassis]]&amp;"S"&amp;TEXT(tbl_IO_List[[#This Row],[Slot]],"00")&amp;tbl_IO_List[[#This Row],[I/O Type]]&amp;TEXT(tbl_IO_List[[#This Row],[Point]],"00")</f>
        <v>C5S01DI02</v>
      </c>
      <c r="Z720" s="136" t="str">
        <f>tbl_IO_List[[#This Row],[Chassis]]&amp;"S"&amp;TEXT(tbl_IO_List[[#This Row],[Slot]],"00")&amp;","&amp;TEXT(tbl_IO_List[[#This Row],[Point]],"00")</f>
        <v>C5S01,02</v>
      </c>
      <c r="AA720" s="136" t="str">
        <f>VLOOKUP(tbl_IO_List[[#This Row],[Column23]],tbl_RackConfig[],5,FALSE) &amp;"-"&amp;tbl_IO_List[[#This Row],[Point]]</f>
        <v>1756-IB32-2</v>
      </c>
      <c r="AB720" s="136"/>
      <c r="AC720" s="136"/>
      <c r="AD720" s="136" t="str">
        <f>tbl_IO_List[[#This Row],[I/O Type]]</f>
        <v>DI</v>
      </c>
      <c r="AE720" s="136" t="s">
        <v>1336</v>
      </c>
      <c r="AF720" s="136">
        <v>1</v>
      </c>
      <c r="AG720" s="136">
        <v>2</v>
      </c>
      <c r="AH720" s="136"/>
      <c r="AI720" s="136"/>
      <c r="AJ720" s="136">
        <v>1</v>
      </c>
      <c r="AK720" s="136">
        <v>0</v>
      </c>
      <c r="AL720" s="136">
        <v>1</v>
      </c>
      <c r="AM720" s="136">
        <v>0</v>
      </c>
      <c r="AN720" s="136">
        <v>0</v>
      </c>
      <c r="AO720" s="136"/>
      <c r="AP720" s="143" t="str">
        <f>VLOOKUP(tbl_IO_List[[#This Row],[Instruement Tag]],tbl_Instruement_List[],14,FALSE)</f>
        <v>4 - 20 mA,Pulse</v>
      </c>
      <c r="AQ720" s="143" t="str">
        <f>tbl_IO_List[[#This Row],[Chassis]]&amp;"S"&amp;tbl_IO_List[[#This Row],[Slot]]&amp;"-"&amp;tbl_IO_List[[#This Row],[Front Terminal Number]]</f>
        <v>C5S1-</v>
      </c>
      <c r="AR720" s="143"/>
      <c r="AS720" s="136" t="str">
        <f>tbl_IO_List[[#This Row],[Terminal Tagging]]&amp;"-"&amp;tbl_IO_List[[#This Row],[Point-Count]]</f>
        <v>-</v>
      </c>
      <c r="AT720" s="136" t="str">
        <f>tbl_IO_List[[#This Row],[Front Terminal Tagging]]&amp;"/"&amp;tbl_IO_List[[#This Row],[Terminal Tagging-Item]]</f>
        <v>C5S1-/-</v>
      </c>
      <c r="AU720" s="136" t="str">
        <f>tbl_IO_List[[#This Row],[Terminal Tagging-Item]]&amp;"/"&amp;tbl_IO_List[[#This Row],[Front Terminal Tagging]]</f>
        <v>-/C5S1-</v>
      </c>
    </row>
    <row r="721" spans="1:47" hidden="1">
      <c r="A721" s="147" t="s">
        <v>1373</v>
      </c>
      <c r="B721" s="136" t="s">
        <v>382</v>
      </c>
      <c r="C721" s="136" t="str">
        <f>tbl_IO_List[[#This Row],[Column3]]</f>
        <v>C5S01,03</v>
      </c>
      <c r="D721" s="136" t="str">
        <f>tbl_IO_List[[#This Row],[Card]]</f>
        <v>1756-IB32-3</v>
      </c>
      <c r="E721" s="136" t="s">
        <v>1366</v>
      </c>
      <c r="F721" s="136" t="str">
        <f>tbl_IO_List[[#This Row],[Column23]]&amp;"-" &amp;tbl_IO_List[[#This Row],[Column52]]</f>
        <v>C5S01-X1</v>
      </c>
      <c r="G721" s="136" t="str">
        <f>tbl_IO_List[[#This Row],[PLC_Tag]]</f>
        <v>FT-936202_DI_1</v>
      </c>
      <c r="H721" s="136"/>
      <c r="I721" s="136" t="str">
        <f>VLOOKUP(tbl_IO_List[[#This Row],[Destination]],tbl_Junction[],2,FALSE)</f>
        <v>Slurry - Out Building 2nd Floor</v>
      </c>
      <c r="J721" s="136" t="s">
        <v>382</v>
      </c>
      <c r="K721" s="136" t="s">
        <v>419</v>
      </c>
      <c r="L721" s="136" t="s">
        <v>418</v>
      </c>
      <c r="M721" s="136">
        <f>VLOOKUP(tbl_IO_List[[#This Row],[Instruement Tag]],tbl_Instruement_List[],2,FALSE)</f>
        <v>0</v>
      </c>
      <c r="N721" s="136" t="s">
        <v>15</v>
      </c>
      <c r="O721" s="136" t="s">
        <v>420</v>
      </c>
      <c r="P721" s="136" t="s">
        <v>421</v>
      </c>
      <c r="Q721" s="136" t="str">
        <f>VLOOKUP(tbl_IO_List[[#This Row],[Instruement Tag]],tbl_Instruement_List[],6,FALSE)</f>
        <v>Process Water</v>
      </c>
      <c r="R721" s="136"/>
      <c r="S72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1,DO=0,AI=1,AO=0,Bus=0</v>
      </c>
      <c r="T721" s="136" t="str">
        <f>tbl_IO_List[[#This Row],[Instruement Tag]]&amp;"_"&amp;tbl_IO_List[[#This Row],[I/O Type]]&amp;"_"&amp;tbl_IO_List[[#This Row],[IO-Point 
(Instruement)]]</f>
        <v>FT-936202_DI_1</v>
      </c>
      <c r="U721" s="136" t="s">
        <v>8</v>
      </c>
      <c r="V721" s="136">
        <f>VLOOKUP(tbl_IO_List[[#This Row],[I/O Type]],tbl_Slot_Group[],2,FALSE)</f>
        <v>1</v>
      </c>
      <c r="W721" s="136">
        <v>1</v>
      </c>
      <c r="X721" s="136" t="str">
        <f>tbl_IO_List[[#This Row],[Chassis]]&amp;"S"&amp;TEXT(tbl_IO_List[[#This Row],[Slot]],"00")</f>
        <v>C5S01</v>
      </c>
      <c r="Y721" s="136" t="str">
        <f>tbl_IO_List[[#This Row],[Chassis]]&amp;"S"&amp;TEXT(tbl_IO_List[[#This Row],[Slot]],"00")&amp;tbl_IO_List[[#This Row],[I/O Type]]&amp;TEXT(tbl_IO_List[[#This Row],[Point]],"00")</f>
        <v>C5S01DI03</v>
      </c>
      <c r="Z721" s="136" t="str">
        <f>tbl_IO_List[[#This Row],[Chassis]]&amp;"S"&amp;TEXT(tbl_IO_List[[#This Row],[Slot]],"00")&amp;","&amp;TEXT(tbl_IO_List[[#This Row],[Point]],"00")</f>
        <v>C5S01,03</v>
      </c>
      <c r="AA721" s="136" t="str">
        <f>VLOOKUP(tbl_IO_List[[#This Row],[Column23]],tbl_RackConfig[],5,FALSE) &amp;"-"&amp;tbl_IO_List[[#This Row],[Point]]</f>
        <v>1756-IB32-3</v>
      </c>
      <c r="AB721" s="136"/>
      <c r="AC721" s="136"/>
      <c r="AD721" s="136" t="str">
        <f>tbl_IO_List[[#This Row],[I/O Type]]</f>
        <v>DI</v>
      </c>
      <c r="AE721" s="136" t="s">
        <v>1336</v>
      </c>
      <c r="AF721" s="136">
        <v>1</v>
      </c>
      <c r="AG721" s="136">
        <v>3</v>
      </c>
      <c r="AH721" s="136"/>
      <c r="AI721" s="136"/>
      <c r="AJ721" s="136">
        <v>1</v>
      </c>
      <c r="AK721" s="136">
        <v>0</v>
      </c>
      <c r="AL721" s="136">
        <v>1</v>
      </c>
      <c r="AM721" s="136">
        <v>0</v>
      </c>
      <c r="AN721" s="136">
        <v>0</v>
      </c>
      <c r="AO721" s="136"/>
      <c r="AP721" s="143" t="str">
        <f>VLOOKUP(tbl_IO_List[[#This Row],[Instruement Tag]],tbl_Instruement_List[],14,FALSE)</f>
        <v>4 - 20 mA,Pulse</v>
      </c>
      <c r="AQ721" s="143" t="str">
        <f>tbl_IO_List[[#This Row],[Chassis]]&amp;"S"&amp;tbl_IO_List[[#This Row],[Slot]]&amp;"-"&amp;tbl_IO_List[[#This Row],[Front Terminal Number]]</f>
        <v>C5S1-</v>
      </c>
      <c r="AR721" s="143"/>
      <c r="AS721" s="136" t="str">
        <f>tbl_IO_List[[#This Row],[Terminal Tagging]]&amp;"-"&amp;tbl_IO_List[[#This Row],[Point-Count]]</f>
        <v>-</v>
      </c>
      <c r="AT721" s="136" t="str">
        <f>tbl_IO_List[[#This Row],[Front Terminal Tagging]]&amp;"/"&amp;tbl_IO_List[[#This Row],[Terminal Tagging-Item]]</f>
        <v>C5S1-/-</v>
      </c>
      <c r="AU721" s="136" t="str">
        <f>tbl_IO_List[[#This Row],[Terminal Tagging-Item]]&amp;"/"&amp;tbl_IO_List[[#This Row],[Front Terminal Tagging]]</f>
        <v>-/C5S1-</v>
      </c>
    </row>
    <row r="722" spans="1:47" hidden="1">
      <c r="A722" s="147" t="s">
        <v>1373</v>
      </c>
      <c r="B722" s="136" t="s">
        <v>382</v>
      </c>
      <c r="C722" s="136" t="str">
        <f>tbl_IO_List[[#This Row],[Column3]]</f>
        <v>C5S01,04</v>
      </c>
      <c r="D722" s="136" t="str">
        <f>tbl_IO_List[[#This Row],[Card]]</f>
        <v>1756-IB32-4</v>
      </c>
      <c r="E722" s="136" t="s">
        <v>1366</v>
      </c>
      <c r="F722" s="136" t="str">
        <f>tbl_IO_List[[#This Row],[Column23]]&amp;"-" &amp;tbl_IO_List[[#This Row],[Column52]]</f>
        <v>C5S01-X1</v>
      </c>
      <c r="G722" s="136" t="str">
        <f>tbl_IO_List[[#This Row],[PLC_Tag]]</f>
        <v>LSL-814201_DI_1</v>
      </c>
      <c r="H722" s="136"/>
      <c r="I722" s="136" t="str">
        <f>VLOOKUP(tbl_IO_List[[#This Row],[Destination]],tbl_Junction[],2,FALSE)</f>
        <v>Slurry - Out Building 2nd Floor</v>
      </c>
      <c r="J722" s="136" t="s">
        <v>382</v>
      </c>
      <c r="K722" s="136" t="s">
        <v>401</v>
      </c>
      <c r="L722" s="136" t="s">
        <v>425</v>
      </c>
      <c r="M722" s="136">
        <f>VLOOKUP(tbl_IO_List[[#This Row],[Instruement Tag]],tbl_Instruement_List[],2,FALSE)</f>
        <v>0</v>
      </c>
      <c r="N722" s="136" t="s">
        <v>15</v>
      </c>
      <c r="O722" s="136" t="s">
        <v>18</v>
      </c>
      <c r="P722" s="136" t="s">
        <v>426</v>
      </c>
      <c r="Q722" s="136" t="str">
        <f>VLOOKUP(tbl_IO_List[[#This Row],[Instruement Tag]],tbl_Instruement_List[],6,FALSE)</f>
        <v xml:space="preserve">Low Level alarm </v>
      </c>
      <c r="R722" s="136"/>
      <c r="S72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22" s="136" t="str">
        <f>tbl_IO_List[[#This Row],[Instruement Tag]]&amp;"_"&amp;tbl_IO_List[[#This Row],[I/O Type]]&amp;"_"&amp;tbl_IO_List[[#This Row],[IO-Point 
(Instruement)]]</f>
        <v>LSL-814201_DI_1</v>
      </c>
      <c r="U722" s="136" t="s">
        <v>8</v>
      </c>
      <c r="V722" s="136">
        <f>VLOOKUP(tbl_IO_List[[#This Row],[I/O Type]],tbl_Slot_Group[],2,FALSE)</f>
        <v>1</v>
      </c>
      <c r="W722" s="136">
        <v>1</v>
      </c>
      <c r="X722" s="136" t="str">
        <f>tbl_IO_List[[#This Row],[Chassis]]&amp;"S"&amp;TEXT(tbl_IO_List[[#This Row],[Slot]],"00")</f>
        <v>C5S01</v>
      </c>
      <c r="Y722" s="136" t="str">
        <f>tbl_IO_List[[#This Row],[Chassis]]&amp;"S"&amp;TEXT(tbl_IO_List[[#This Row],[Slot]],"00")&amp;tbl_IO_List[[#This Row],[I/O Type]]&amp;TEXT(tbl_IO_List[[#This Row],[Point]],"00")</f>
        <v>C5S01DI04</v>
      </c>
      <c r="Z722" s="136" t="str">
        <f>tbl_IO_List[[#This Row],[Chassis]]&amp;"S"&amp;TEXT(tbl_IO_List[[#This Row],[Slot]],"00")&amp;","&amp;TEXT(tbl_IO_List[[#This Row],[Point]],"00")</f>
        <v>C5S01,04</v>
      </c>
      <c r="AA722" s="136" t="str">
        <f>VLOOKUP(tbl_IO_List[[#This Row],[Column23]],tbl_RackConfig[],5,FALSE) &amp;"-"&amp;tbl_IO_List[[#This Row],[Point]]</f>
        <v>1756-IB32-4</v>
      </c>
      <c r="AB722" s="136"/>
      <c r="AC722" s="136"/>
      <c r="AD722" s="136" t="str">
        <f>tbl_IO_List[[#This Row],[I/O Type]]</f>
        <v>DI</v>
      </c>
      <c r="AE722" s="136" t="s">
        <v>1336</v>
      </c>
      <c r="AF722" s="136">
        <v>1</v>
      </c>
      <c r="AG722" s="136">
        <v>4</v>
      </c>
      <c r="AH722" s="136"/>
      <c r="AI722" s="136"/>
      <c r="AJ722" s="136">
        <v>1</v>
      </c>
      <c r="AK722" s="136">
        <v>0</v>
      </c>
      <c r="AL722" s="136">
        <v>0</v>
      </c>
      <c r="AM722" s="136">
        <v>0</v>
      </c>
      <c r="AN722" s="136">
        <v>0</v>
      </c>
      <c r="AO722" s="136"/>
      <c r="AP722" s="143" t="str">
        <f>VLOOKUP(tbl_IO_List[[#This Row],[Instruement Tag]],tbl_Instruement_List[],14,FALSE)</f>
        <v>Dry Contact</v>
      </c>
      <c r="AQ722" s="143" t="str">
        <f>tbl_IO_List[[#This Row],[Chassis]]&amp;"S"&amp;tbl_IO_List[[#This Row],[Slot]]&amp;"-"&amp;tbl_IO_List[[#This Row],[Front Terminal Number]]</f>
        <v>C5S1-</v>
      </c>
      <c r="AR722" s="143"/>
      <c r="AS722" s="136" t="str">
        <f>tbl_IO_List[[#This Row],[Terminal Tagging]]&amp;"-"&amp;tbl_IO_List[[#This Row],[Point-Count]]</f>
        <v>-</v>
      </c>
      <c r="AT722" s="136" t="str">
        <f>tbl_IO_List[[#This Row],[Front Terminal Tagging]]&amp;"/"&amp;tbl_IO_List[[#This Row],[Terminal Tagging-Item]]</f>
        <v>C5S1-/-</v>
      </c>
      <c r="AU722" s="136" t="str">
        <f>tbl_IO_List[[#This Row],[Terminal Tagging-Item]]&amp;"/"&amp;tbl_IO_List[[#This Row],[Front Terminal Tagging]]</f>
        <v>-/C5S1-</v>
      </c>
    </row>
    <row r="723" spans="1:47" hidden="1">
      <c r="A723" s="147" t="s">
        <v>1373</v>
      </c>
      <c r="B723" s="136" t="s">
        <v>382</v>
      </c>
      <c r="C723" s="136" t="str">
        <f>tbl_IO_List[[#This Row],[Column3]]</f>
        <v>C5S01,05</v>
      </c>
      <c r="D723" s="136" t="str">
        <f>tbl_IO_List[[#This Row],[Card]]</f>
        <v>1756-IB32-5</v>
      </c>
      <c r="E723" s="136" t="s">
        <v>1366</v>
      </c>
      <c r="F723" s="136" t="str">
        <f>tbl_IO_List[[#This Row],[Column23]]&amp;"-" &amp;tbl_IO_List[[#This Row],[Column52]]</f>
        <v>C5S01-X1</v>
      </c>
      <c r="G723" s="136" t="str">
        <f>tbl_IO_List[[#This Row],[PLC_Tag]]</f>
        <v>PK-913201_DI_1</v>
      </c>
      <c r="H723" s="136"/>
      <c r="I723" s="136" t="str">
        <f>VLOOKUP(tbl_IO_List[[#This Row],[Destination]],tbl_Junction[],2,FALSE)</f>
        <v>Slurry - Out Building 2nd Floor</v>
      </c>
      <c r="J723" s="136" t="s">
        <v>382</v>
      </c>
      <c r="K723" s="136" t="s">
        <v>404</v>
      </c>
      <c r="L723" s="136" t="s">
        <v>434</v>
      </c>
      <c r="M723" s="136" t="e">
        <f>VLOOKUP(tbl_IO_List[[#This Row],[Instruement Tag]],tbl_Instruement_List[],2,FALSE)</f>
        <v>#N/A</v>
      </c>
      <c r="N723" s="136" t="s">
        <v>15</v>
      </c>
      <c r="O723" s="136" t="s">
        <v>18</v>
      </c>
      <c r="P723" s="136" t="s">
        <v>18</v>
      </c>
      <c r="Q723" s="136" t="e">
        <f>VLOOKUP(tbl_IO_List[[#This Row],[Instruement Tag]],tbl_Instruement_List[],6,FALSE)</f>
        <v>#N/A</v>
      </c>
      <c r="R723" s="136"/>
      <c r="S72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23" s="136" t="str">
        <f>tbl_IO_List[[#This Row],[Instruement Tag]]&amp;"_"&amp;tbl_IO_List[[#This Row],[I/O Type]]&amp;"_"&amp;tbl_IO_List[[#This Row],[IO-Point 
(Instruement)]]</f>
        <v>PK-913201_DI_1</v>
      </c>
      <c r="U723" s="136" t="s">
        <v>8</v>
      </c>
      <c r="V723" s="136">
        <f>VLOOKUP(tbl_IO_List[[#This Row],[I/O Type]],tbl_Slot_Group[],2,FALSE)</f>
        <v>1</v>
      </c>
      <c r="W723" s="136">
        <v>1</v>
      </c>
      <c r="X723" s="136" t="str">
        <f>tbl_IO_List[[#This Row],[Chassis]]&amp;"S"&amp;TEXT(tbl_IO_List[[#This Row],[Slot]],"00")</f>
        <v>C5S01</v>
      </c>
      <c r="Y723" s="136" t="str">
        <f>tbl_IO_List[[#This Row],[Chassis]]&amp;"S"&amp;TEXT(tbl_IO_List[[#This Row],[Slot]],"00")&amp;tbl_IO_List[[#This Row],[I/O Type]]&amp;TEXT(tbl_IO_List[[#This Row],[Point]],"00")</f>
        <v>C5S01DI05</v>
      </c>
      <c r="Z723" s="136" t="str">
        <f>tbl_IO_List[[#This Row],[Chassis]]&amp;"S"&amp;TEXT(tbl_IO_List[[#This Row],[Slot]],"00")&amp;","&amp;TEXT(tbl_IO_List[[#This Row],[Point]],"00")</f>
        <v>C5S01,05</v>
      </c>
      <c r="AA723" s="136" t="str">
        <f>VLOOKUP(tbl_IO_List[[#This Row],[Column23]],tbl_RackConfig[],5,FALSE) &amp;"-"&amp;tbl_IO_List[[#This Row],[Point]]</f>
        <v>1756-IB32-5</v>
      </c>
      <c r="AB723" s="136"/>
      <c r="AC723" s="136"/>
      <c r="AD723" s="136" t="str">
        <f>tbl_IO_List[[#This Row],[I/O Type]]</f>
        <v>DI</v>
      </c>
      <c r="AE723" s="136" t="s">
        <v>1336</v>
      </c>
      <c r="AF723" s="136">
        <v>1</v>
      </c>
      <c r="AG723" s="136">
        <v>5</v>
      </c>
      <c r="AH723" s="136"/>
      <c r="AI723" s="136"/>
      <c r="AJ723" s="136">
        <v>1</v>
      </c>
      <c r="AK723" s="136">
        <v>0</v>
      </c>
      <c r="AL723" s="136">
        <v>0</v>
      </c>
      <c r="AM723" s="136">
        <v>0</v>
      </c>
      <c r="AN723" s="136">
        <v>0</v>
      </c>
      <c r="AO723" s="136"/>
      <c r="AP723" s="143" t="e">
        <f>VLOOKUP(tbl_IO_List[[#This Row],[Instruement Tag]],tbl_Instruement_List[],14,FALSE)</f>
        <v>#N/A</v>
      </c>
      <c r="AQ723" s="143" t="str">
        <f>tbl_IO_List[[#This Row],[Chassis]]&amp;"S"&amp;tbl_IO_List[[#This Row],[Slot]]&amp;"-"&amp;tbl_IO_List[[#This Row],[Front Terminal Number]]</f>
        <v>C5S1-</v>
      </c>
      <c r="AR723" s="143"/>
      <c r="AS723" s="136" t="str">
        <f>tbl_IO_List[[#This Row],[Terminal Tagging]]&amp;"-"&amp;tbl_IO_List[[#This Row],[Point-Count]]</f>
        <v>-</v>
      </c>
      <c r="AT723" s="136" t="str">
        <f>tbl_IO_List[[#This Row],[Front Terminal Tagging]]&amp;"/"&amp;tbl_IO_List[[#This Row],[Terminal Tagging-Item]]</f>
        <v>C5S1-/-</v>
      </c>
      <c r="AU723" s="136" t="str">
        <f>tbl_IO_List[[#This Row],[Terminal Tagging-Item]]&amp;"/"&amp;tbl_IO_List[[#This Row],[Front Terminal Tagging]]</f>
        <v>-/C5S1-</v>
      </c>
    </row>
    <row r="724" spans="1:47" hidden="1">
      <c r="A724" s="147" t="s">
        <v>1373</v>
      </c>
      <c r="B724" s="136" t="s">
        <v>382</v>
      </c>
      <c r="C724" s="136" t="str">
        <f>tbl_IO_List[[#This Row],[Column3]]</f>
        <v>C5S01,06</v>
      </c>
      <c r="D724" s="136" t="str">
        <f>tbl_IO_List[[#This Row],[Card]]</f>
        <v>1756-IB32-6</v>
      </c>
      <c r="E724" s="136" t="s">
        <v>1366</v>
      </c>
      <c r="F724" s="136" t="str">
        <f>tbl_IO_List[[#This Row],[Column23]]&amp;"-" &amp;tbl_IO_List[[#This Row],[Column52]]</f>
        <v>C5S01-X1</v>
      </c>
      <c r="G724" s="136" t="str">
        <f>tbl_IO_List[[#This Row],[PLC_Tag]]</f>
        <v>PK-913202_DI_1</v>
      </c>
      <c r="H724" s="136"/>
      <c r="I724" s="136" t="str">
        <f>VLOOKUP(tbl_IO_List[[#This Row],[Destination]],tbl_Junction[],2,FALSE)</f>
        <v>Slurry - Out Building 2nd Floor</v>
      </c>
      <c r="J724" s="136" t="s">
        <v>382</v>
      </c>
      <c r="K724" s="136" t="s">
        <v>404</v>
      </c>
      <c r="L724" s="136" t="s">
        <v>435</v>
      </c>
      <c r="M724" s="136" t="e">
        <f>VLOOKUP(tbl_IO_List[[#This Row],[Instruement Tag]],tbl_Instruement_List[],2,FALSE)</f>
        <v>#N/A</v>
      </c>
      <c r="N724" s="136" t="s">
        <v>15</v>
      </c>
      <c r="O724" s="136" t="s">
        <v>18</v>
      </c>
      <c r="P724" s="136" t="s">
        <v>18</v>
      </c>
      <c r="Q724" s="136" t="e">
        <f>VLOOKUP(tbl_IO_List[[#This Row],[Instruement Tag]],tbl_Instruement_List[],6,FALSE)</f>
        <v>#N/A</v>
      </c>
      <c r="R724" s="136"/>
      <c r="S72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24" s="136" t="str">
        <f>tbl_IO_List[[#This Row],[Instruement Tag]]&amp;"_"&amp;tbl_IO_List[[#This Row],[I/O Type]]&amp;"_"&amp;tbl_IO_List[[#This Row],[IO-Point 
(Instruement)]]</f>
        <v>PK-913202_DI_1</v>
      </c>
      <c r="U724" s="136" t="s">
        <v>8</v>
      </c>
      <c r="V724" s="136">
        <f>VLOOKUP(tbl_IO_List[[#This Row],[I/O Type]],tbl_Slot_Group[],2,FALSE)</f>
        <v>1</v>
      </c>
      <c r="W724" s="136">
        <v>1</v>
      </c>
      <c r="X724" s="136" t="str">
        <f>tbl_IO_List[[#This Row],[Chassis]]&amp;"S"&amp;TEXT(tbl_IO_List[[#This Row],[Slot]],"00")</f>
        <v>C5S01</v>
      </c>
      <c r="Y724" s="136" t="str">
        <f>tbl_IO_List[[#This Row],[Chassis]]&amp;"S"&amp;TEXT(tbl_IO_List[[#This Row],[Slot]],"00")&amp;tbl_IO_List[[#This Row],[I/O Type]]&amp;TEXT(tbl_IO_List[[#This Row],[Point]],"00")</f>
        <v>C5S01DI06</v>
      </c>
      <c r="Z724" s="136" t="str">
        <f>tbl_IO_List[[#This Row],[Chassis]]&amp;"S"&amp;TEXT(tbl_IO_List[[#This Row],[Slot]],"00")&amp;","&amp;TEXT(tbl_IO_List[[#This Row],[Point]],"00")</f>
        <v>C5S01,06</v>
      </c>
      <c r="AA724" s="136" t="str">
        <f>VLOOKUP(tbl_IO_List[[#This Row],[Column23]],tbl_RackConfig[],5,FALSE) &amp;"-"&amp;tbl_IO_List[[#This Row],[Point]]</f>
        <v>1756-IB32-6</v>
      </c>
      <c r="AB724" s="136"/>
      <c r="AC724" s="136"/>
      <c r="AD724" s="136" t="str">
        <f>tbl_IO_List[[#This Row],[I/O Type]]</f>
        <v>DI</v>
      </c>
      <c r="AE724" s="136" t="s">
        <v>1336</v>
      </c>
      <c r="AF724" s="136">
        <v>1</v>
      </c>
      <c r="AG724" s="136">
        <v>6</v>
      </c>
      <c r="AH724" s="136"/>
      <c r="AI724" s="136"/>
      <c r="AJ724" s="136">
        <v>1</v>
      </c>
      <c r="AK724" s="136">
        <v>0</v>
      </c>
      <c r="AL724" s="136">
        <v>0</v>
      </c>
      <c r="AM724" s="136">
        <v>0</v>
      </c>
      <c r="AN724" s="136">
        <v>0</v>
      </c>
      <c r="AO724" s="136"/>
      <c r="AP724" s="143" t="e">
        <f>VLOOKUP(tbl_IO_List[[#This Row],[Instruement Tag]],tbl_Instruement_List[],14,FALSE)</f>
        <v>#N/A</v>
      </c>
      <c r="AQ724" s="143" t="str">
        <f>tbl_IO_List[[#This Row],[Chassis]]&amp;"S"&amp;tbl_IO_List[[#This Row],[Slot]]&amp;"-"&amp;tbl_IO_List[[#This Row],[Front Terminal Number]]</f>
        <v>C5S1-</v>
      </c>
      <c r="AR724" s="143"/>
      <c r="AS724" s="136" t="str">
        <f>tbl_IO_List[[#This Row],[Terminal Tagging]]&amp;"-"&amp;tbl_IO_List[[#This Row],[Point-Count]]</f>
        <v>-</v>
      </c>
      <c r="AT724" s="136" t="str">
        <f>tbl_IO_List[[#This Row],[Front Terminal Tagging]]&amp;"/"&amp;tbl_IO_List[[#This Row],[Terminal Tagging-Item]]</f>
        <v>C5S1-/-</v>
      </c>
      <c r="AU724" s="136" t="str">
        <f>tbl_IO_List[[#This Row],[Terminal Tagging-Item]]&amp;"/"&amp;tbl_IO_List[[#This Row],[Front Terminal Tagging]]</f>
        <v>-/C5S1-</v>
      </c>
    </row>
    <row r="725" spans="1:47" hidden="1">
      <c r="A725" s="147" t="s">
        <v>1373</v>
      </c>
      <c r="B725" s="136" t="s">
        <v>382</v>
      </c>
      <c r="C725" s="136" t="str">
        <f>tbl_IO_List[[#This Row],[Column3]]</f>
        <v>C5S01,07</v>
      </c>
      <c r="D725" s="136" t="str">
        <f>tbl_IO_List[[#This Row],[Card]]</f>
        <v>1756-IB32-7</v>
      </c>
      <c r="E725" s="136" t="s">
        <v>1366</v>
      </c>
      <c r="F725" s="136" t="str">
        <f>tbl_IO_List[[#This Row],[Column23]]&amp;"-" &amp;tbl_IO_List[[#This Row],[Column52]]</f>
        <v>C5S01-X1</v>
      </c>
      <c r="G725" s="136" t="str">
        <f>tbl_IO_List[[#This Row],[PLC_Tag]]</f>
        <v>HV-20204_DI_1</v>
      </c>
      <c r="H725" s="136"/>
      <c r="I725" s="136" t="str">
        <f>VLOOKUP(tbl_IO_List[[#This Row],[Destination]],tbl_Junction[],2,FALSE)</f>
        <v>Slurry - Out Building 2nd Floor</v>
      </c>
      <c r="J725" s="136" t="s">
        <v>382</v>
      </c>
      <c r="K725" s="136" t="s">
        <v>383</v>
      </c>
      <c r="L725" s="136" t="s">
        <v>385</v>
      </c>
      <c r="M725" s="136" t="str">
        <f>VLOOKUP(tbl_IO_List[[#This Row],[Instruement Tag]],tbl_Instruement_List[],2,FALSE)</f>
        <v xml:space="preserve">Manual Valve With Position Switch </v>
      </c>
      <c r="N725" s="136" t="s">
        <v>15</v>
      </c>
      <c r="O725" s="136" t="s">
        <v>386</v>
      </c>
      <c r="P725" s="136" t="s">
        <v>384</v>
      </c>
      <c r="Q725" s="136" t="str">
        <f>VLOOKUP(tbl_IO_List[[#This Row],[Instruement Tag]],tbl_Instruement_List[],6,FALSE)</f>
        <v>Slurry Drain line</v>
      </c>
      <c r="R725" s="136"/>
      <c r="S72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25" s="136" t="str">
        <f>tbl_IO_List[[#This Row],[Instruement Tag]]&amp;"_"&amp;tbl_IO_List[[#This Row],[I/O Type]]&amp;"_"&amp;tbl_IO_List[[#This Row],[IO-Point 
(Instruement)]]</f>
        <v>HV-20204_DI_1</v>
      </c>
      <c r="U725" s="136" t="s">
        <v>8</v>
      </c>
      <c r="V725" s="136">
        <f>VLOOKUP(tbl_IO_List[[#This Row],[I/O Type]],tbl_Slot_Group[],2,FALSE)</f>
        <v>1</v>
      </c>
      <c r="W725" s="136">
        <v>1</v>
      </c>
      <c r="X725" s="136" t="str">
        <f>tbl_IO_List[[#This Row],[Chassis]]&amp;"S"&amp;TEXT(tbl_IO_List[[#This Row],[Slot]],"00")</f>
        <v>C5S01</v>
      </c>
      <c r="Y725" s="136" t="str">
        <f>tbl_IO_List[[#This Row],[Chassis]]&amp;"S"&amp;TEXT(tbl_IO_List[[#This Row],[Slot]],"00")&amp;tbl_IO_List[[#This Row],[I/O Type]]&amp;TEXT(tbl_IO_List[[#This Row],[Point]],"00")</f>
        <v>C5S01DI07</v>
      </c>
      <c r="Z725" s="136" t="str">
        <f>tbl_IO_List[[#This Row],[Chassis]]&amp;"S"&amp;TEXT(tbl_IO_List[[#This Row],[Slot]],"00")&amp;","&amp;TEXT(tbl_IO_List[[#This Row],[Point]],"00")</f>
        <v>C5S01,07</v>
      </c>
      <c r="AA725" s="136" t="str">
        <f>VLOOKUP(tbl_IO_List[[#This Row],[Column23]],tbl_RackConfig[],5,FALSE) &amp;"-"&amp;tbl_IO_List[[#This Row],[Point]]</f>
        <v>1756-IB32-7</v>
      </c>
      <c r="AB725" s="136"/>
      <c r="AC725" s="136"/>
      <c r="AD725" s="136" t="str">
        <f>tbl_IO_List[[#This Row],[I/O Type]]</f>
        <v>DI</v>
      </c>
      <c r="AE725" s="136" t="s">
        <v>1336</v>
      </c>
      <c r="AF725" s="136">
        <v>1</v>
      </c>
      <c r="AG725" s="136">
        <v>7</v>
      </c>
      <c r="AH725" s="136"/>
      <c r="AI725" s="136"/>
      <c r="AJ725" s="136">
        <v>1</v>
      </c>
      <c r="AK725" s="136">
        <v>0</v>
      </c>
      <c r="AL725" s="136">
        <v>0</v>
      </c>
      <c r="AM725" s="136">
        <v>0</v>
      </c>
      <c r="AN725" s="136">
        <v>0</v>
      </c>
      <c r="AO725" s="136"/>
      <c r="AP725" s="143" t="str">
        <f>VLOOKUP(tbl_IO_List[[#This Row],[Instruement Tag]],tbl_Instruement_List[],14,FALSE)</f>
        <v>Dry Contact</v>
      </c>
      <c r="AQ725" s="143" t="str">
        <f>tbl_IO_List[[#This Row],[Chassis]]&amp;"S"&amp;tbl_IO_List[[#This Row],[Slot]]&amp;"-"&amp;tbl_IO_List[[#This Row],[Front Terminal Number]]</f>
        <v>C5S1-</v>
      </c>
      <c r="AR725" s="143"/>
      <c r="AS725" s="136" t="str">
        <f>tbl_IO_List[[#This Row],[Terminal Tagging]]&amp;"-"&amp;tbl_IO_List[[#This Row],[Point-Count]]</f>
        <v>-</v>
      </c>
      <c r="AT725" s="136" t="str">
        <f>tbl_IO_List[[#This Row],[Front Terminal Tagging]]&amp;"/"&amp;tbl_IO_List[[#This Row],[Terminal Tagging-Item]]</f>
        <v>C5S1-/-</v>
      </c>
      <c r="AU725" s="136" t="str">
        <f>tbl_IO_List[[#This Row],[Terminal Tagging-Item]]&amp;"/"&amp;tbl_IO_List[[#This Row],[Front Terminal Tagging]]</f>
        <v>-/C5S1-</v>
      </c>
    </row>
    <row r="726" spans="1:47" hidden="1">
      <c r="A726" s="147" t="s">
        <v>1373</v>
      </c>
      <c r="B726" s="136" t="s">
        <v>382</v>
      </c>
      <c r="C726" s="136" t="str">
        <f>tbl_IO_List[[#This Row],[Column3]]</f>
        <v>C5S01,08</v>
      </c>
      <c r="D726" s="136" t="str">
        <f>tbl_IO_List[[#This Row],[Card]]</f>
        <v>1756-IB32-8</v>
      </c>
      <c r="E726" s="136" t="s">
        <v>1366</v>
      </c>
      <c r="F726" s="136" t="str">
        <f>tbl_IO_List[[#This Row],[Column23]]&amp;"-" &amp;tbl_IO_List[[#This Row],[Column52]]</f>
        <v>C5S01-X1</v>
      </c>
      <c r="G726" s="136" t="str">
        <f>tbl_IO_List[[#This Row],[PLC_Tag]]</f>
        <v>HV-20205_DI_1</v>
      </c>
      <c r="H726" s="136"/>
      <c r="I726" s="136" t="str">
        <f>VLOOKUP(tbl_IO_List[[#This Row],[Destination]],tbl_Junction[],2,FALSE)</f>
        <v>Slurry - Out Building 2nd Floor</v>
      </c>
      <c r="J726" s="136" t="s">
        <v>382</v>
      </c>
      <c r="K726" s="136" t="s">
        <v>383</v>
      </c>
      <c r="L726" s="136" t="s">
        <v>387</v>
      </c>
      <c r="M726" s="136" t="str">
        <f>VLOOKUP(tbl_IO_List[[#This Row],[Instruement Tag]],tbl_Instruement_List[],2,FALSE)</f>
        <v xml:space="preserve">Manual Valve With Position Switch </v>
      </c>
      <c r="N726" s="136" t="s">
        <v>15</v>
      </c>
      <c r="O726" s="136" t="s">
        <v>386</v>
      </c>
      <c r="P726" s="136" t="s">
        <v>384</v>
      </c>
      <c r="Q726" s="136" t="str">
        <f>VLOOKUP(tbl_IO_List[[#This Row],[Instruement Tag]],tbl_Instruement_List[],6,FALSE)</f>
        <v>Slurry Drain line</v>
      </c>
      <c r="R726" s="136"/>
      <c r="S72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26" s="136" t="str">
        <f>tbl_IO_List[[#This Row],[Instruement Tag]]&amp;"_"&amp;tbl_IO_List[[#This Row],[I/O Type]]&amp;"_"&amp;tbl_IO_List[[#This Row],[IO-Point 
(Instruement)]]</f>
        <v>HV-20205_DI_1</v>
      </c>
      <c r="U726" s="136" t="s">
        <v>8</v>
      </c>
      <c r="V726" s="136">
        <f>VLOOKUP(tbl_IO_List[[#This Row],[I/O Type]],tbl_Slot_Group[],2,FALSE)</f>
        <v>1</v>
      </c>
      <c r="W726" s="136">
        <v>1</v>
      </c>
      <c r="X726" s="136" t="str">
        <f>tbl_IO_List[[#This Row],[Chassis]]&amp;"S"&amp;TEXT(tbl_IO_List[[#This Row],[Slot]],"00")</f>
        <v>C5S01</v>
      </c>
      <c r="Y726" s="136" t="str">
        <f>tbl_IO_List[[#This Row],[Chassis]]&amp;"S"&amp;TEXT(tbl_IO_List[[#This Row],[Slot]],"00")&amp;tbl_IO_List[[#This Row],[I/O Type]]&amp;TEXT(tbl_IO_List[[#This Row],[Point]],"00")</f>
        <v>C5S01DI08</v>
      </c>
      <c r="Z726" s="136" t="str">
        <f>tbl_IO_List[[#This Row],[Chassis]]&amp;"S"&amp;TEXT(tbl_IO_List[[#This Row],[Slot]],"00")&amp;","&amp;TEXT(tbl_IO_List[[#This Row],[Point]],"00")</f>
        <v>C5S01,08</v>
      </c>
      <c r="AA726" s="136" t="str">
        <f>VLOOKUP(tbl_IO_List[[#This Row],[Column23]],tbl_RackConfig[],5,FALSE) &amp;"-"&amp;tbl_IO_List[[#This Row],[Point]]</f>
        <v>1756-IB32-8</v>
      </c>
      <c r="AB726" s="136"/>
      <c r="AC726" s="136"/>
      <c r="AD726" s="136" t="str">
        <f>tbl_IO_List[[#This Row],[I/O Type]]</f>
        <v>DI</v>
      </c>
      <c r="AE726" s="136" t="s">
        <v>1336</v>
      </c>
      <c r="AF726" s="136">
        <v>1</v>
      </c>
      <c r="AG726" s="136">
        <v>8</v>
      </c>
      <c r="AH726" s="136"/>
      <c r="AI726" s="136"/>
      <c r="AJ726" s="136">
        <v>1</v>
      </c>
      <c r="AK726" s="136">
        <v>0</v>
      </c>
      <c r="AL726" s="136">
        <v>0</v>
      </c>
      <c r="AM726" s="136">
        <v>0</v>
      </c>
      <c r="AN726" s="136">
        <v>0</v>
      </c>
      <c r="AO726" s="136"/>
      <c r="AP726" s="143" t="str">
        <f>VLOOKUP(tbl_IO_List[[#This Row],[Instruement Tag]],tbl_Instruement_List[],14,FALSE)</f>
        <v>Dry Contact</v>
      </c>
      <c r="AQ726" s="143" t="str">
        <f>tbl_IO_List[[#This Row],[Chassis]]&amp;"S"&amp;tbl_IO_List[[#This Row],[Slot]]&amp;"-"&amp;tbl_IO_List[[#This Row],[Front Terminal Number]]</f>
        <v>C5S1-</v>
      </c>
      <c r="AR726" s="143"/>
      <c r="AS726" s="136" t="str">
        <f>tbl_IO_List[[#This Row],[Terminal Tagging]]&amp;"-"&amp;tbl_IO_List[[#This Row],[Point-Count]]</f>
        <v>-</v>
      </c>
      <c r="AT726" s="136" t="str">
        <f>tbl_IO_List[[#This Row],[Front Terminal Tagging]]&amp;"/"&amp;tbl_IO_List[[#This Row],[Terminal Tagging-Item]]</f>
        <v>C5S1-/-</v>
      </c>
      <c r="AU726" s="136" t="str">
        <f>tbl_IO_List[[#This Row],[Terminal Tagging-Item]]&amp;"/"&amp;tbl_IO_List[[#This Row],[Front Terminal Tagging]]</f>
        <v>-/C5S1-</v>
      </c>
    </row>
    <row r="727" spans="1:47" hidden="1">
      <c r="A727" s="147" t="s">
        <v>1373</v>
      </c>
      <c r="B727" s="136" t="s">
        <v>382</v>
      </c>
      <c r="C727" s="136" t="str">
        <f>tbl_IO_List[[#This Row],[Column3]]</f>
        <v>C5S01,09</v>
      </c>
      <c r="D727" s="136" t="str">
        <f>tbl_IO_List[[#This Row],[Card]]</f>
        <v>1756-IB32-9</v>
      </c>
      <c r="E727" s="136" t="s">
        <v>1366</v>
      </c>
      <c r="F727" s="136" t="str">
        <f>tbl_IO_List[[#This Row],[Column23]]&amp;"-" &amp;tbl_IO_List[[#This Row],[Column52]]</f>
        <v>C5S01-X1</v>
      </c>
      <c r="G727" s="136" t="str">
        <f>tbl_IO_List[[#This Row],[PLC_Tag]]</f>
        <v>HV-20206_DI_1</v>
      </c>
      <c r="H727" s="136"/>
      <c r="I727" s="136" t="str">
        <f>VLOOKUP(tbl_IO_List[[#This Row],[Destination]],tbl_Junction[],2,FALSE)</f>
        <v>Slurry - Out Building 2nd Floor</v>
      </c>
      <c r="J727" s="136" t="s">
        <v>382</v>
      </c>
      <c r="K727" s="136" t="s">
        <v>383</v>
      </c>
      <c r="L727" s="136" t="s">
        <v>388</v>
      </c>
      <c r="M727" s="136" t="str">
        <f>VLOOKUP(tbl_IO_List[[#This Row],[Instruement Tag]],tbl_Instruement_List[],2,FALSE)</f>
        <v xml:space="preserve">Manual Valve With Position Switch </v>
      </c>
      <c r="N727" s="136" t="s">
        <v>15</v>
      </c>
      <c r="O727" s="136" t="s">
        <v>386</v>
      </c>
      <c r="P727" s="136" t="s">
        <v>384</v>
      </c>
      <c r="Q727" s="136" t="str">
        <f>VLOOKUP(tbl_IO_List[[#This Row],[Instruement Tag]],tbl_Instruement_List[],6,FALSE)</f>
        <v>Slurry Drain line</v>
      </c>
      <c r="R727" s="136"/>
      <c r="S72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27" s="136" t="str">
        <f>tbl_IO_List[[#This Row],[Instruement Tag]]&amp;"_"&amp;tbl_IO_List[[#This Row],[I/O Type]]&amp;"_"&amp;tbl_IO_List[[#This Row],[IO-Point 
(Instruement)]]</f>
        <v>HV-20206_DI_1</v>
      </c>
      <c r="U727" s="136" t="s">
        <v>8</v>
      </c>
      <c r="V727" s="136">
        <f>VLOOKUP(tbl_IO_List[[#This Row],[I/O Type]],tbl_Slot_Group[],2,FALSE)</f>
        <v>1</v>
      </c>
      <c r="W727" s="136">
        <v>1</v>
      </c>
      <c r="X727" s="136" t="str">
        <f>tbl_IO_List[[#This Row],[Chassis]]&amp;"S"&amp;TEXT(tbl_IO_List[[#This Row],[Slot]],"00")</f>
        <v>C5S01</v>
      </c>
      <c r="Y727" s="136" t="str">
        <f>tbl_IO_List[[#This Row],[Chassis]]&amp;"S"&amp;TEXT(tbl_IO_List[[#This Row],[Slot]],"00")&amp;tbl_IO_List[[#This Row],[I/O Type]]&amp;TEXT(tbl_IO_List[[#This Row],[Point]],"00")</f>
        <v>C5S01DI09</v>
      </c>
      <c r="Z727" s="136" t="str">
        <f>tbl_IO_List[[#This Row],[Chassis]]&amp;"S"&amp;TEXT(tbl_IO_List[[#This Row],[Slot]],"00")&amp;","&amp;TEXT(tbl_IO_List[[#This Row],[Point]],"00")</f>
        <v>C5S01,09</v>
      </c>
      <c r="AA727" s="136" t="str">
        <f>VLOOKUP(tbl_IO_List[[#This Row],[Column23]],tbl_RackConfig[],5,FALSE) &amp;"-"&amp;tbl_IO_List[[#This Row],[Point]]</f>
        <v>1756-IB32-9</v>
      </c>
      <c r="AB727" s="136"/>
      <c r="AC727" s="136"/>
      <c r="AD727" s="136" t="str">
        <f>tbl_IO_List[[#This Row],[I/O Type]]</f>
        <v>DI</v>
      </c>
      <c r="AE727" s="136" t="s">
        <v>1336</v>
      </c>
      <c r="AF727" s="136">
        <v>1</v>
      </c>
      <c r="AG727" s="136">
        <v>9</v>
      </c>
      <c r="AH727" s="136"/>
      <c r="AI727" s="136"/>
      <c r="AJ727" s="136">
        <v>1</v>
      </c>
      <c r="AK727" s="136">
        <v>0</v>
      </c>
      <c r="AL727" s="136">
        <v>0</v>
      </c>
      <c r="AM727" s="136">
        <v>0</v>
      </c>
      <c r="AN727" s="136">
        <v>0</v>
      </c>
      <c r="AO727" s="136"/>
      <c r="AP727" s="143" t="str">
        <f>VLOOKUP(tbl_IO_List[[#This Row],[Instruement Tag]],tbl_Instruement_List[],14,FALSE)</f>
        <v>Dry Contact</v>
      </c>
      <c r="AQ727" s="143" t="str">
        <f>tbl_IO_List[[#This Row],[Chassis]]&amp;"S"&amp;tbl_IO_List[[#This Row],[Slot]]&amp;"-"&amp;tbl_IO_List[[#This Row],[Front Terminal Number]]</f>
        <v>C5S1-</v>
      </c>
      <c r="AR727" s="143"/>
      <c r="AS727" s="136" t="str">
        <f>tbl_IO_List[[#This Row],[Terminal Tagging]]&amp;"-"&amp;tbl_IO_List[[#This Row],[Point-Count]]</f>
        <v>-</v>
      </c>
      <c r="AT727" s="136" t="str">
        <f>tbl_IO_List[[#This Row],[Front Terminal Tagging]]&amp;"/"&amp;tbl_IO_List[[#This Row],[Terminal Tagging-Item]]</f>
        <v>C5S1-/-</v>
      </c>
      <c r="AU727" s="136" t="str">
        <f>tbl_IO_List[[#This Row],[Terminal Tagging-Item]]&amp;"/"&amp;tbl_IO_List[[#This Row],[Front Terminal Tagging]]</f>
        <v>-/C5S1-</v>
      </c>
    </row>
    <row r="728" spans="1:47" hidden="1">
      <c r="A728" s="147" t="s">
        <v>1373</v>
      </c>
      <c r="B728" s="136" t="s">
        <v>382</v>
      </c>
      <c r="C728" s="136" t="str">
        <f>tbl_IO_List[[#This Row],[Column3]]</f>
        <v>C5S01,10</v>
      </c>
      <c r="D728" s="136" t="str">
        <f>tbl_IO_List[[#This Row],[Card]]</f>
        <v>1756-IB32-10</v>
      </c>
      <c r="E728" s="136" t="s">
        <v>1366</v>
      </c>
      <c r="F728" s="136" t="str">
        <f>tbl_IO_List[[#This Row],[Column23]]&amp;"-" &amp;tbl_IO_List[[#This Row],[Column52]]</f>
        <v>C5S01-X1</v>
      </c>
      <c r="G728" s="136" t="str">
        <f>tbl_IO_List[[#This Row],[PLC_Tag]]</f>
        <v>HV-20207_DI_1</v>
      </c>
      <c r="H728" s="136"/>
      <c r="I728" s="136" t="str">
        <f>VLOOKUP(tbl_IO_List[[#This Row],[Destination]],tbl_Junction[],2,FALSE)</f>
        <v>Slurry - Out Building 2nd Floor</v>
      </c>
      <c r="J728" s="136" t="s">
        <v>382</v>
      </c>
      <c r="K728" s="136" t="s">
        <v>383</v>
      </c>
      <c r="L728" s="136" t="s">
        <v>389</v>
      </c>
      <c r="M728" s="136" t="str">
        <f>VLOOKUP(tbl_IO_List[[#This Row],[Instruement Tag]],tbl_Instruement_List[],2,FALSE)</f>
        <v xml:space="preserve">Manual Valve With Position Switch </v>
      </c>
      <c r="N728" s="136" t="s">
        <v>15</v>
      </c>
      <c r="O728" s="136" t="s">
        <v>386</v>
      </c>
      <c r="P728" s="136" t="s">
        <v>384</v>
      </c>
      <c r="Q728" s="136" t="str">
        <f>VLOOKUP(tbl_IO_List[[#This Row],[Instruement Tag]],tbl_Instruement_List[],6,FALSE)</f>
        <v>Slurry Drain line</v>
      </c>
      <c r="R728" s="136"/>
      <c r="S72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28" s="136" t="str">
        <f>tbl_IO_List[[#This Row],[Instruement Tag]]&amp;"_"&amp;tbl_IO_List[[#This Row],[I/O Type]]&amp;"_"&amp;tbl_IO_List[[#This Row],[IO-Point 
(Instruement)]]</f>
        <v>HV-20207_DI_1</v>
      </c>
      <c r="U728" s="136" t="s">
        <v>8</v>
      </c>
      <c r="V728" s="136">
        <f>VLOOKUP(tbl_IO_List[[#This Row],[I/O Type]],tbl_Slot_Group[],2,FALSE)</f>
        <v>1</v>
      </c>
      <c r="W728" s="136">
        <v>1</v>
      </c>
      <c r="X728" s="136" t="str">
        <f>tbl_IO_List[[#This Row],[Chassis]]&amp;"S"&amp;TEXT(tbl_IO_List[[#This Row],[Slot]],"00")</f>
        <v>C5S01</v>
      </c>
      <c r="Y728" s="136" t="str">
        <f>tbl_IO_List[[#This Row],[Chassis]]&amp;"S"&amp;TEXT(tbl_IO_List[[#This Row],[Slot]],"00")&amp;tbl_IO_List[[#This Row],[I/O Type]]&amp;TEXT(tbl_IO_List[[#This Row],[Point]],"00")</f>
        <v>C5S01DI10</v>
      </c>
      <c r="Z728" s="136" t="str">
        <f>tbl_IO_List[[#This Row],[Chassis]]&amp;"S"&amp;TEXT(tbl_IO_List[[#This Row],[Slot]],"00")&amp;","&amp;TEXT(tbl_IO_List[[#This Row],[Point]],"00")</f>
        <v>C5S01,10</v>
      </c>
      <c r="AA728" s="136" t="str">
        <f>VLOOKUP(tbl_IO_List[[#This Row],[Column23]],tbl_RackConfig[],5,FALSE) &amp;"-"&amp;tbl_IO_List[[#This Row],[Point]]</f>
        <v>1756-IB32-10</v>
      </c>
      <c r="AB728" s="136"/>
      <c r="AC728" s="136"/>
      <c r="AD728" s="136" t="str">
        <f>tbl_IO_List[[#This Row],[I/O Type]]</f>
        <v>DI</v>
      </c>
      <c r="AE728" s="136" t="s">
        <v>1336</v>
      </c>
      <c r="AF728" s="136">
        <v>1</v>
      </c>
      <c r="AG728" s="136">
        <v>10</v>
      </c>
      <c r="AH728" s="136"/>
      <c r="AI728" s="136"/>
      <c r="AJ728" s="136">
        <v>1</v>
      </c>
      <c r="AK728" s="136">
        <v>0</v>
      </c>
      <c r="AL728" s="136">
        <v>0</v>
      </c>
      <c r="AM728" s="136">
        <v>0</v>
      </c>
      <c r="AN728" s="136">
        <v>0</v>
      </c>
      <c r="AO728" s="136"/>
      <c r="AP728" s="143" t="str">
        <f>VLOOKUP(tbl_IO_List[[#This Row],[Instruement Tag]],tbl_Instruement_List[],14,FALSE)</f>
        <v>Dry Contact</v>
      </c>
      <c r="AQ728" s="143" t="str">
        <f>tbl_IO_List[[#This Row],[Chassis]]&amp;"S"&amp;tbl_IO_List[[#This Row],[Slot]]&amp;"-"&amp;tbl_IO_List[[#This Row],[Front Terminal Number]]</f>
        <v>C5S1-</v>
      </c>
      <c r="AR728" s="143"/>
      <c r="AS728" s="136" t="str">
        <f>tbl_IO_List[[#This Row],[Terminal Tagging]]&amp;"-"&amp;tbl_IO_List[[#This Row],[Point-Count]]</f>
        <v>-</v>
      </c>
      <c r="AT728" s="136" t="str">
        <f>tbl_IO_List[[#This Row],[Front Terminal Tagging]]&amp;"/"&amp;tbl_IO_List[[#This Row],[Terminal Tagging-Item]]</f>
        <v>C5S1-/-</v>
      </c>
      <c r="AU728" s="136" t="str">
        <f>tbl_IO_List[[#This Row],[Terminal Tagging-Item]]&amp;"/"&amp;tbl_IO_List[[#This Row],[Front Terminal Tagging]]</f>
        <v>-/C5S1-</v>
      </c>
    </row>
    <row r="729" spans="1:47" hidden="1">
      <c r="A729" s="147" t="s">
        <v>1373</v>
      </c>
      <c r="B729" s="136" t="s">
        <v>382</v>
      </c>
      <c r="C729" s="136" t="str">
        <f>tbl_IO_List[[#This Row],[Column3]]</f>
        <v>C5S01,11</v>
      </c>
      <c r="D729" s="136" t="str">
        <f>tbl_IO_List[[#This Row],[Card]]</f>
        <v>1756-IB32-11</v>
      </c>
      <c r="E729" s="136" t="s">
        <v>1366</v>
      </c>
      <c r="F729" s="136" t="str">
        <f>tbl_IO_List[[#This Row],[Column23]]&amp;"-" &amp;tbl_IO_List[[#This Row],[Column52]]</f>
        <v>C5S01-X1</v>
      </c>
      <c r="G729" s="136" t="str">
        <f>tbl_IO_List[[#This Row],[PLC_Tag]]</f>
        <v>HV-20208_DI_1</v>
      </c>
      <c r="H729" s="136"/>
      <c r="I729" s="136" t="str">
        <f>VLOOKUP(tbl_IO_List[[#This Row],[Destination]],tbl_Junction[],2,FALSE)</f>
        <v>Slurry - Out Building 2nd Floor</v>
      </c>
      <c r="J729" s="136" t="s">
        <v>382</v>
      </c>
      <c r="K729" s="136" t="s">
        <v>383</v>
      </c>
      <c r="L729" s="136" t="s">
        <v>390</v>
      </c>
      <c r="M729" s="136" t="str">
        <f>VLOOKUP(tbl_IO_List[[#This Row],[Instruement Tag]],tbl_Instruement_List[],2,FALSE)</f>
        <v xml:space="preserve">Manual Valve With Position Switch </v>
      </c>
      <c r="N729" s="136" t="s">
        <v>15</v>
      </c>
      <c r="O729" s="136" t="s">
        <v>391</v>
      </c>
      <c r="P729" s="136" t="s">
        <v>392</v>
      </c>
      <c r="Q729" s="136" t="str">
        <f>VLOOKUP(tbl_IO_List[[#This Row],[Instruement Tag]],tbl_Instruement_List[],6,FALSE)</f>
        <v>Slurry Drain line</v>
      </c>
      <c r="R729" s="136"/>
      <c r="S72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29" s="136" t="str">
        <f>tbl_IO_List[[#This Row],[Instruement Tag]]&amp;"_"&amp;tbl_IO_List[[#This Row],[I/O Type]]&amp;"_"&amp;tbl_IO_List[[#This Row],[IO-Point 
(Instruement)]]</f>
        <v>HV-20208_DI_1</v>
      </c>
      <c r="U729" s="136" t="s">
        <v>8</v>
      </c>
      <c r="V729" s="136">
        <f>VLOOKUP(tbl_IO_List[[#This Row],[I/O Type]],tbl_Slot_Group[],2,FALSE)</f>
        <v>1</v>
      </c>
      <c r="W729" s="136">
        <v>1</v>
      </c>
      <c r="X729" s="136" t="str">
        <f>tbl_IO_List[[#This Row],[Chassis]]&amp;"S"&amp;TEXT(tbl_IO_List[[#This Row],[Slot]],"00")</f>
        <v>C5S01</v>
      </c>
      <c r="Y729" s="136" t="str">
        <f>tbl_IO_List[[#This Row],[Chassis]]&amp;"S"&amp;TEXT(tbl_IO_List[[#This Row],[Slot]],"00")&amp;tbl_IO_List[[#This Row],[I/O Type]]&amp;TEXT(tbl_IO_List[[#This Row],[Point]],"00")</f>
        <v>C5S01DI11</v>
      </c>
      <c r="Z729" s="136" t="str">
        <f>tbl_IO_List[[#This Row],[Chassis]]&amp;"S"&amp;TEXT(tbl_IO_List[[#This Row],[Slot]],"00")&amp;","&amp;TEXT(tbl_IO_List[[#This Row],[Point]],"00")</f>
        <v>C5S01,11</v>
      </c>
      <c r="AA729" s="136" t="str">
        <f>VLOOKUP(tbl_IO_List[[#This Row],[Column23]],tbl_RackConfig[],5,FALSE) &amp;"-"&amp;tbl_IO_List[[#This Row],[Point]]</f>
        <v>1756-IB32-11</v>
      </c>
      <c r="AB729" s="136"/>
      <c r="AC729" s="136"/>
      <c r="AD729" s="136" t="str">
        <f>tbl_IO_List[[#This Row],[I/O Type]]</f>
        <v>DI</v>
      </c>
      <c r="AE729" s="136" t="s">
        <v>1336</v>
      </c>
      <c r="AF729" s="136">
        <v>1</v>
      </c>
      <c r="AG729" s="136">
        <v>11</v>
      </c>
      <c r="AH729" s="136"/>
      <c r="AI729" s="136"/>
      <c r="AJ729" s="136">
        <v>1</v>
      </c>
      <c r="AK729" s="136">
        <v>0</v>
      </c>
      <c r="AL729" s="136">
        <v>0</v>
      </c>
      <c r="AM729" s="136">
        <v>0</v>
      </c>
      <c r="AN729" s="136">
        <v>0</v>
      </c>
      <c r="AO729" s="136"/>
      <c r="AP729" s="143" t="str">
        <f>VLOOKUP(tbl_IO_List[[#This Row],[Instruement Tag]],tbl_Instruement_List[],14,FALSE)</f>
        <v>Dry Contact</v>
      </c>
      <c r="AQ729" s="143" t="str">
        <f>tbl_IO_List[[#This Row],[Chassis]]&amp;"S"&amp;tbl_IO_List[[#This Row],[Slot]]&amp;"-"&amp;tbl_IO_List[[#This Row],[Front Terminal Number]]</f>
        <v>C5S1-</v>
      </c>
      <c r="AR729" s="143"/>
      <c r="AS729" s="136" t="str">
        <f>tbl_IO_List[[#This Row],[Terminal Tagging]]&amp;"-"&amp;tbl_IO_List[[#This Row],[Point-Count]]</f>
        <v>-</v>
      </c>
      <c r="AT729" s="136" t="str">
        <f>tbl_IO_List[[#This Row],[Front Terminal Tagging]]&amp;"/"&amp;tbl_IO_List[[#This Row],[Terminal Tagging-Item]]</f>
        <v>C5S1-/-</v>
      </c>
      <c r="AU729" s="136" t="str">
        <f>tbl_IO_List[[#This Row],[Terminal Tagging-Item]]&amp;"/"&amp;tbl_IO_List[[#This Row],[Front Terminal Tagging]]</f>
        <v>-/C5S1-</v>
      </c>
    </row>
    <row r="730" spans="1:47" hidden="1">
      <c r="A730" s="147" t="s">
        <v>1373</v>
      </c>
      <c r="B730" s="136" t="s">
        <v>382</v>
      </c>
      <c r="C730" s="136" t="str">
        <f>tbl_IO_List[[#This Row],[Column3]]</f>
        <v>C5S01,12</v>
      </c>
      <c r="D730" s="136" t="str">
        <f>tbl_IO_List[[#This Row],[Card]]</f>
        <v>1756-IB32-12</v>
      </c>
      <c r="E730" s="136" t="s">
        <v>1366</v>
      </c>
      <c r="F730" s="136" t="str">
        <f>tbl_IO_List[[#This Row],[Column23]]&amp;"-" &amp;tbl_IO_List[[#This Row],[Column52]]</f>
        <v>C5S01-X1</v>
      </c>
      <c r="G730" s="136" t="str">
        <f>tbl_IO_List[[#This Row],[PLC_Tag]]</f>
        <v>HV-20209_DI_1</v>
      </c>
      <c r="H730" s="136"/>
      <c r="I730" s="136" t="str">
        <f>VLOOKUP(tbl_IO_List[[#This Row],[Destination]],tbl_Junction[],2,FALSE)</f>
        <v>Slurry - Out Building 2nd Floor</v>
      </c>
      <c r="J730" s="136" t="s">
        <v>382</v>
      </c>
      <c r="K730" s="136" t="s">
        <v>383</v>
      </c>
      <c r="L730" s="136" t="s">
        <v>393</v>
      </c>
      <c r="M730" s="136" t="str">
        <f>VLOOKUP(tbl_IO_List[[#This Row],[Instruement Tag]],tbl_Instruement_List[],2,FALSE)</f>
        <v xml:space="preserve">Manual Valve With Position Switch </v>
      </c>
      <c r="N730" s="136" t="s">
        <v>15</v>
      </c>
      <c r="O730" s="136" t="s">
        <v>391</v>
      </c>
      <c r="P730" s="136" t="s">
        <v>392</v>
      </c>
      <c r="Q730" s="136" t="str">
        <f>VLOOKUP(tbl_IO_List[[#This Row],[Instruement Tag]],tbl_Instruement_List[],6,FALSE)</f>
        <v>Slurry Drain line</v>
      </c>
      <c r="R730" s="136"/>
      <c r="S73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30" s="136" t="str">
        <f>tbl_IO_List[[#This Row],[Instruement Tag]]&amp;"_"&amp;tbl_IO_List[[#This Row],[I/O Type]]&amp;"_"&amp;tbl_IO_List[[#This Row],[IO-Point 
(Instruement)]]</f>
        <v>HV-20209_DI_1</v>
      </c>
      <c r="U730" s="136" t="s">
        <v>8</v>
      </c>
      <c r="V730" s="136">
        <f>VLOOKUP(tbl_IO_List[[#This Row],[I/O Type]],tbl_Slot_Group[],2,FALSE)</f>
        <v>1</v>
      </c>
      <c r="W730" s="136">
        <v>1</v>
      </c>
      <c r="X730" s="136" t="str">
        <f>tbl_IO_List[[#This Row],[Chassis]]&amp;"S"&amp;TEXT(tbl_IO_List[[#This Row],[Slot]],"00")</f>
        <v>C5S01</v>
      </c>
      <c r="Y730" s="136" t="str">
        <f>tbl_IO_List[[#This Row],[Chassis]]&amp;"S"&amp;TEXT(tbl_IO_List[[#This Row],[Slot]],"00")&amp;tbl_IO_List[[#This Row],[I/O Type]]&amp;TEXT(tbl_IO_List[[#This Row],[Point]],"00")</f>
        <v>C5S01DI12</v>
      </c>
      <c r="Z730" s="136" t="str">
        <f>tbl_IO_List[[#This Row],[Chassis]]&amp;"S"&amp;TEXT(tbl_IO_List[[#This Row],[Slot]],"00")&amp;","&amp;TEXT(tbl_IO_List[[#This Row],[Point]],"00")</f>
        <v>C5S01,12</v>
      </c>
      <c r="AA730" s="136" t="str">
        <f>VLOOKUP(tbl_IO_List[[#This Row],[Column23]],tbl_RackConfig[],5,FALSE) &amp;"-"&amp;tbl_IO_List[[#This Row],[Point]]</f>
        <v>1756-IB32-12</v>
      </c>
      <c r="AB730" s="136"/>
      <c r="AC730" s="136"/>
      <c r="AD730" s="136" t="str">
        <f>tbl_IO_List[[#This Row],[I/O Type]]</f>
        <v>DI</v>
      </c>
      <c r="AE730" s="136" t="s">
        <v>1336</v>
      </c>
      <c r="AF730" s="136">
        <v>1</v>
      </c>
      <c r="AG730" s="136">
        <v>12</v>
      </c>
      <c r="AH730" s="136"/>
      <c r="AI730" s="136"/>
      <c r="AJ730" s="136">
        <v>1</v>
      </c>
      <c r="AK730" s="136">
        <v>0</v>
      </c>
      <c r="AL730" s="136">
        <v>0</v>
      </c>
      <c r="AM730" s="136">
        <v>0</v>
      </c>
      <c r="AN730" s="136">
        <v>0</v>
      </c>
      <c r="AO730" s="136"/>
      <c r="AP730" s="143" t="str">
        <f>VLOOKUP(tbl_IO_List[[#This Row],[Instruement Tag]],tbl_Instruement_List[],14,FALSE)</f>
        <v>Dry Contact</v>
      </c>
      <c r="AQ730" s="143" t="str">
        <f>tbl_IO_List[[#This Row],[Chassis]]&amp;"S"&amp;tbl_IO_List[[#This Row],[Slot]]&amp;"-"&amp;tbl_IO_List[[#This Row],[Front Terminal Number]]</f>
        <v>C5S1-</v>
      </c>
      <c r="AR730" s="143"/>
      <c r="AS730" s="136" t="str">
        <f>tbl_IO_List[[#This Row],[Terminal Tagging]]&amp;"-"&amp;tbl_IO_List[[#This Row],[Point-Count]]</f>
        <v>-</v>
      </c>
      <c r="AT730" s="136" t="str">
        <f>tbl_IO_List[[#This Row],[Front Terminal Tagging]]&amp;"/"&amp;tbl_IO_List[[#This Row],[Terminal Tagging-Item]]</f>
        <v>C5S1-/-</v>
      </c>
      <c r="AU730" s="136" t="str">
        <f>tbl_IO_List[[#This Row],[Terminal Tagging-Item]]&amp;"/"&amp;tbl_IO_List[[#This Row],[Front Terminal Tagging]]</f>
        <v>-/C5S1-</v>
      </c>
    </row>
    <row r="731" spans="1:47" hidden="1">
      <c r="A731" s="147" t="s">
        <v>1373</v>
      </c>
      <c r="B731" s="136" t="s">
        <v>382</v>
      </c>
      <c r="C731" s="136" t="str">
        <f>tbl_IO_List[[#This Row],[Column3]]</f>
        <v>C5S01,13</v>
      </c>
      <c r="D731" s="136" t="str">
        <f>tbl_IO_List[[#This Row],[Card]]</f>
        <v>1756-IB32-13</v>
      </c>
      <c r="E731" s="136" t="s">
        <v>1366</v>
      </c>
      <c r="F731" s="136" t="str">
        <f>tbl_IO_List[[#This Row],[Column23]]&amp;"-" &amp;tbl_IO_List[[#This Row],[Column52]]</f>
        <v>C5S01-X1</v>
      </c>
      <c r="G731" s="136" t="str">
        <f>tbl_IO_List[[#This Row],[PLC_Tag]]</f>
        <v>HV-20210_DI_1</v>
      </c>
      <c r="H731" s="136"/>
      <c r="I731" s="136" t="str">
        <f>VLOOKUP(tbl_IO_List[[#This Row],[Destination]],tbl_Junction[],2,FALSE)</f>
        <v>Slurry - Out Building 2nd Floor</v>
      </c>
      <c r="J731" s="136" t="s">
        <v>382</v>
      </c>
      <c r="K731" s="136" t="s">
        <v>383</v>
      </c>
      <c r="L731" s="136" t="s">
        <v>394</v>
      </c>
      <c r="M731" s="136" t="str">
        <f>VLOOKUP(tbl_IO_List[[#This Row],[Instruement Tag]],tbl_Instruement_List[],2,FALSE)</f>
        <v xml:space="preserve">Manual Valve With Position Switch </v>
      </c>
      <c r="N731" s="136" t="s">
        <v>15</v>
      </c>
      <c r="O731" s="136" t="s">
        <v>391</v>
      </c>
      <c r="P731" s="136" t="s">
        <v>392</v>
      </c>
      <c r="Q731" s="136" t="str">
        <f>VLOOKUP(tbl_IO_List[[#This Row],[Instruement Tag]],tbl_Instruement_List[],6,FALSE)</f>
        <v>Slurry Drain line</v>
      </c>
      <c r="R731" s="136"/>
      <c r="S73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31" s="136" t="str">
        <f>tbl_IO_List[[#This Row],[Instruement Tag]]&amp;"_"&amp;tbl_IO_List[[#This Row],[I/O Type]]&amp;"_"&amp;tbl_IO_List[[#This Row],[IO-Point 
(Instruement)]]</f>
        <v>HV-20210_DI_1</v>
      </c>
      <c r="U731" s="136" t="s">
        <v>8</v>
      </c>
      <c r="V731" s="136">
        <f>VLOOKUP(tbl_IO_List[[#This Row],[I/O Type]],tbl_Slot_Group[],2,FALSE)</f>
        <v>1</v>
      </c>
      <c r="W731" s="136">
        <v>1</v>
      </c>
      <c r="X731" s="136" t="str">
        <f>tbl_IO_List[[#This Row],[Chassis]]&amp;"S"&amp;TEXT(tbl_IO_List[[#This Row],[Slot]],"00")</f>
        <v>C5S01</v>
      </c>
      <c r="Y731" s="136" t="str">
        <f>tbl_IO_List[[#This Row],[Chassis]]&amp;"S"&amp;TEXT(tbl_IO_List[[#This Row],[Slot]],"00")&amp;tbl_IO_List[[#This Row],[I/O Type]]&amp;TEXT(tbl_IO_List[[#This Row],[Point]],"00")</f>
        <v>C5S01DI13</v>
      </c>
      <c r="Z731" s="136" t="str">
        <f>tbl_IO_List[[#This Row],[Chassis]]&amp;"S"&amp;TEXT(tbl_IO_List[[#This Row],[Slot]],"00")&amp;","&amp;TEXT(tbl_IO_List[[#This Row],[Point]],"00")</f>
        <v>C5S01,13</v>
      </c>
      <c r="AA731" s="136" t="str">
        <f>VLOOKUP(tbl_IO_List[[#This Row],[Column23]],tbl_RackConfig[],5,FALSE) &amp;"-"&amp;tbl_IO_List[[#This Row],[Point]]</f>
        <v>1756-IB32-13</v>
      </c>
      <c r="AB731" s="136"/>
      <c r="AC731" s="136"/>
      <c r="AD731" s="136" t="str">
        <f>tbl_IO_List[[#This Row],[I/O Type]]</f>
        <v>DI</v>
      </c>
      <c r="AE731" s="136" t="s">
        <v>1336</v>
      </c>
      <c r="AF731" s="136">
        <v>1</v>
      </c>
      <c r="AG731" s="136">
        <v>13</v>
      </c>
      <c r="AH731" s="136"/>
      <c r="AI731" s="136"/>
      <c r="AJ731" s="136">
        <v>1</v>
      </c>
      <c r="AK731" s="136">
        <v>0</v>
      </c>
      <c r="AL731" s="136">
        <v>0</v>
      </c>
      <c r="AM731" s="136">
        <v>0</v>
      </c>
      <c r="AN731" s="136">
        <v>0</v>
      </c>
      <c r="AO731" s="136"/>
      <c r="AP731" s="143" t="str">
        <f>VLOOKUP(tbl_IO_List[[#This Row],[Instruement Tag]],tbl_Instruement_List[],14,FALSE)</f>
        <v>Dry Contact</v>
      </c>
      <c r="AQ731" s="143" t="str">
        <f>tbl_IO_List[[#This Row],[Chassis]]&amp;"S"&amp;tbl_IO_List[[#This Row],[Slot]]&amp;"-"&amp;tbl_IO_List[[#This Row],[Front Terminal Number]]</f>
        <v>C5S1-</v>
      </c>
      <c r="AR731" s="143"/>
      <c r="AS731" s="136" t="str">
        <f>tbl_IO_List[[#This Row],[Terminal Tagging]]&amp;"-"&amp;tbl_IO_List[[#This Row],[Point-Count]]</f>
        <v>-</v>
      </c>
      <c r="AT731" s="136" t="str">
        <f>tbl_IO_List[[#This Row],[Front Terminal Tagging]]&amp;"/"&amp;tbl_IO_List[[#This Row],[Terminal Tagging-Item]]</f>
        <v>C5S1-/-</v>
      </c>
      <c r="AU731" s="136" t="str">
        <f>tbl_IO_List[[#This Row],[Terminal Tagging-Item]]&amp;"/"&amp;tbl_IO_List[[#This Row],[Front Terminal Tagging]]</f>
        <v>-/C5S1-</v>
      </c>
    </row>
    <row r="732" spans="1:47" hidden="1">
      <c r="A732" s="147" t="s">
        <v>1373</v>
      </c>
      <c r="B732" s="136" t="s">
        <v>382</v>
      </c>
      <c r="C732" s="136" t="str">
        <f>tbl_IO_List[[#This Row],[Column3]]</f>
        <v>C5S01,14</v>
      </c>
      <c r="D732" s="136" t="str">
        <f>tbl_IO_List[[#This Row],[Card]]</f>
        <v>1756-IB32-14</v>
      </c>
      <c r="E732" s="136" t="s">
        <v>1366</v>
      </c>
      <c r="F732" s="136" t="str">
        <f>tbl_IO_List[[#This Row],[Column23]]&amp;"-" &amp;tbl_IO_List[[#This Row],[Column52]]</f>
        <v>C5S01-X1</v>
      </c>
      <c r="G732" s="136" t="str">
        <f>tbl_IO_List[[#This Row],[PLC_Tag]]</f>
        <v>XA-80305A_DI_1</v>
      </c>
      <c r="H732" s="136"/>
      <c r="I732" s="136" t="str">
        <f>VLOOKUP(tbl_IO_List[[#This Row],[Destination]],tbl_Junction[],2,FALSE)</f>
        <v>Slurry - Out Building 2nd Floor</v>
      </c>
      <c r="J732" s="136" t="s">
        <v>382</v>
      </c>
      <c r="K732" s="136" t="s">
        <v>404</v>
      </c>
      <c r="L732" s="136" t="s">
        <v>1270</v>
      </c>
      <c r="M732" s="136">
        <f>VLOOKUP(tbl_IO_List[[#This Row],[Instruement Tag]],tbl_Instruement_List[],2,FALSE)</f>
        <v>0</v>
      </c>
      <c r="N732" s="136" t="s">
        <v>15</v>
      </c>
      <c r="O732" s="136" t="s">
        <v>405</v>
      </c>
      <c r="P732" s="136" t="s">
        <v>18</v>
      </c>
      <c r="Q732" s="136" t="str">
        <f>VLOOKUP(tbl_IO_List[[#This Row],[Instruement Tag]],tbl_Instruement_List[],6,FALSE)</f>
        <v>Gas Vaporizer 5 control status</v>
      </c>
      <c r="R732" s="136"/>
      <c r="S73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32" s="136" t="str">
        <f>tbl_IO_List[[#This Row],[Instruement Tag]]&amp;"_"&amp;tbl_IO_List[[#This Row],[I/O Type]]&amp;"_"&amp;tbl_IO_List[[#This Row],[IO-Point 
(Instruement)]]</f>
        <v>XA-80305A_DI_1</v>
      </c>
      <c r="U732" s="136" t="s">
        <v>8</v>
      </c>
      <c r="V732" s="136">
        <f>VLOOKUP(tbl_IO_List[[#This Row],[I/O Type]],tbl_Slot_Group[],2,FALSE)</f>
        <v>1</v>
      </c>
      <c r="W732" s="136">
        <v>1</v>
      </c>
      <c r="X732" s="136" t="str">
        <f>tbl_IO_List[[#This Row],[Chassis]]&amp;"S"&amp;TEXT(tbl_IO_List[[#This Row],[Slot]],"00")</f>
        <v>C5S01</v>
      </c>
      <c r="Y732" s="136" t="str">
        <f>tbl_IO_List[[#This Row],[Chassis]]&amp;"S"&amp;TEXT(tbl_IO_List[[#This Row],[Slot]],"00")&amp;tbl_IO_List[[#This Row],[I/O Type]]&amp;TEXT(tbl_IO_List[[#This Row],[Point]],"00")</f>
        <v>C5S01DI14</v>
      </c>
      <c r="Z732" s="136" t="str">
        <f>tbl_IO_List[[#This Row],[Chassis]]&amp;"S"&amp;TEXT(tbl_IO_List[[#This Row],[Slot]],"00")&amp;","&amp;TEXT(tbl_IO_List[[#This Row],[Point]],"00")</f>
        <v>C5S01,14</v>
      </c>
      <c r="AA732" s="136" t="str">
        <f>VLOOKUP(tbl_IO_List[[#This Row],[Column23]],tbl_RackConfig[],5,FALSE) &amp;"-"&amp;tbl_IO_List[[#This Row],[Point]]</f>
        <v>1756-IB32-14</v>
      </c>
      <c r="AB732" s="136"/>
      <c r="AC732" s="136"/>
      <c r="AD732" s="136" t="str">
        <f>tbl_IO_List[[#This Row],[I/O Type]]</f>
        <v>DI</v>
      </c>
      <c r="AE732" s="136" t="s">
        <v>1336</v>
      </c>
      <c r="AF732" s="136">
        <v>1</v>
      </c>
      <c r="AG732" s="136">
        <v>14</v>
      </c>
      <c r="AH732" s="136"/>
      <c r="AI732" s="136"/>
      <c r="AJ732" s="136">
        <v>1</v>
      </c>
      <c r="AK732" s="136">
        <v>0</v>
      </c>
      <c r="AL732" s="136">
        <v>0</v>
      </c>
      <c r="AM732" s="136">
        <v>0</v>
      </c>
      <c r="AN732" s="136">
        <v>0</v>
      </c>
      <c r="AO732" s="136"/>
      <c r="AP732" s="143" t="str">
        <f>VLOOKUP(tbl_IO_List[[#This Row],[Instruement Tag]],tbl_Instruement_List[],14,FALSE)</f>
        <v>Dry Contact</v>
      </c>
      <c r="AQ732" s="143" t="str">
        <f>tbl_IO_List[[#This Row],[Chassis]]&amp;"S"&amp;tbl_IO_List[[#This Row],[Slot]]&amp;"-"&amp;tbl_IO_List[[#This Row],[Front Terminal Number]]</f>
        <v>C5S1-</v>
      </c>
      <c r="AR732" s="143"/>
      <c r="AS732" s="136" t="str">
        <f>tbl_IO_List[[#This Row],[Terminal Tagging]]&amp;"-"&amp;tbl_IO_List[[#This Row],[Point-Count]]</f>
        <v>-</v>
      </c>
      <c r="AT732" s="136" t="str">
        <f>tbl_IO_List[[#This Row],[Front Terminal Tagging]]&amp;"/"&amp;tbl_IO_List[[#This Row],[Terminal Tagging-Item]]</f>
        <v>C5S1-/-</v>
      </c>
      <c r="AU732" s="136" t="str">
        <f>tbl_IO_List[[#This Row],[Terminal Tagging-Item]]&amp;"/"&amp;tbl_IO_List[[#This Row],[Front Terminal Tagging]]</f>
        <v>-/C5S1-</v>
      </c>
    </row>
    <row r="733" spans="1:47" hidden="1">
      <c r="A733" s="147" t="s">
        <v>1373</v>
      </c>
      <c r="B733" s="136" t="s">
        <v>382</v>
      </c>
      <c r="C733" s="136" t="str">
        <f>tbl_IO_List[[#This Row],[Column3]]</f>
        <v>C5S01,15</v>
      </c>
      <c r="D733" s="136" t="str">
        <f>tbl_IO_List[[#This Row],[Card]]</f>
        <v>1756-IB32-15</v>
      </c>
      <c r="E733" s="136" t="s">
        <v>1366</v>
      </c>
      <c r="F733" s="136" t="str">
        <f>tbl_IO_List[[#This Row],[Column23]]&amp;"-" &amp;tbl_IO_List[[#This Row],[Column52]]</f>
        <v>C5S01-X1</v>
      </c>
      <c r="G733" s="136" t="str">
        <f>tbl_IO_List[[#This Row],[PLC_Tag]]</f>
        <v>XA-80305B_DI_1</v>
      </c>
      <c r="H733" s="136"/>
      <c r="I733" s="136" t="str">
        <f>VLOOKUP(tbl_IO_List[[#This Row],[Destination]],tbl_Junction[],2,FALSE)</f>
        <v>Slurry - Out Building 2nd Floor</v>
      </c>
      <c r="J733" s="136" t="s">
        <v>382</v>
      </c>
      <c r="K733" s="136" t="s">
        <v>404</v>
      </c>
      <c r="L733" s="136" t="s">
        <v>1274</v>
      </c>
      <c r="M733" s="136">
        <f>VLOOKUP(tbl_IO_List[[#This Row],[Instruement Tag]],tbl_Instruement_List[],2,FALSE)</f>
        <v>0</v>
      </c>
      <c r="N733" s="136" t="s">
        <v>15</v>
      </c>
      <c r="O733" s="136" t="s">
        <v>405</v>
      </c>
      <c r="P733" s="136" t="s">
        <v>18</v>
      </c>
      <c r="Q733" s="136" t="str">
        <f>VLOOKUP(tbl_IO_List[[#This Row],[Instruement Tag]],tbl_Instruement_List[],6,FALSE)</f>
        <v>Gas Vaporizer 5 control status</v>
      </c>
      <c r="R733" s="136"/>
      <c r="S73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33" s="136" t="str">
        <f>tbl_IO_List[[#This Row],[Instruement Tag]]&amp;"_"&amp;tbl_IO_List[[#This Row],[I/O Type]]&amp;"_"&amp;tbl_IO_List[[#This Row],[IO-Point 
(Instruement)]]</f>
        <v>XA-80305B_DI_1</v>
      </c>
      <c r="U733" s="136" t="s">
        <v>8</v>
      </c>
      <c r="V733" s="136">
        <f>VLOOKUP(tbl_IO_List[[#This Row],[I/O Type]],tbl_Slot_Group[],2,FALSE)</f>
        <v>1</v>
      </c>
      <c r="W733" s="136">
        <v>1</v>
      </c>
      <c r="X733" s="136" t="str">
        <f>tbl_IO_List[[#This Row],[Chassis]]&amp;"S"&amp;TEXT(tbl_IO_List[[#This Row],[Slot]],"00")</f>
        <v>C5S01</v>
      </c>
      <c r="Y733" s="136" t="str">
        <f>tbl_IO_List[[#This Row],[Chassis]]&amp;"S"&amp;TEXT(tbl_IO_List[[#This Row],[Slot]],"00")&amp;tbl_IO_List[[#This Row],[I/O Type]]&amp;TEXT(tbl_IO_List[[#This Row],[Point]],"00")</f>
        <v>C5S01DI15</v>
      </c>
      <c r="Z733" s="136" t="str">
        <f>tbl_IO_List[[#This Row],[Chassis]]&amp;"S"&amp;TEXT(tbl_IO_List[[#This Row],[Slot]],"00")&amp;","&amp;TEXT(tbl_IO_List[[#This Row],[Point]],"00")</f>
        <v>C5S01,15</v>
      </c>
      <c r="AA733" s="136" t="str">
        <f>VLOOKUP(tbl_IO_List[[#This Row],[Column23]],tbl_RackConfig[],5,FALSE) &amp;"-"&amp;tbl_IO_List[[#This Row],[Point]]</f>
        <v>1756-IB32-15</v>
      </c>
      <c r="AB733" s="136"/>
      <c r="AC733" s="136"/>
      <c r="AD733" s="136" t="str">
        <f>tbl_IO_List[[#This Row],[I/O Type]]</f>
        <v>DI</v>
      </c>
      <c r="AE733" s="136" t="s">
        <v>1336</v>
      </c>
      <c r="AF733" s="136">
        <v>1</v>
      </c>
      <c r="AG733" s="136">
        <v>15</v>
      </c>
      <c r="AH733" s="136"/>
      <c r="AI733" s="136"/>
      <c r="AJ733" s="136">
        <v>1</v>
      </c>
      <c r="AK733" s="136">
        <v>0</v>
      </c>
      <c r="AL733" s="136">
        <v>0</v>
      </c>
      <c r="AM733" s="136">
        <v>0</v>
      </c>
      <c r="AN733" s="136">
        <v>0</v>
      </c>
      <c r="AO733" s="136"/>
      <c r="AP733" s="143" t="str">
        <f>VLOOKUP(tbl_IO_List[[#This Row],[Instruement Tag]],tbl_Instruement_List[],14,FALSE)</f>
        <v>Dry Contact</v>
      </c>
      <c r="AQ733" s="143" t="str">
        <f>tbl_IO_List[[#This Row],[Chassis]]&amp;"S"&amp;tbl_IO_List[[#This Row],[Slot]]&amp;"-"&amp;tbl_IO_List[[#This Row],[Front Terminal Number]]</f>
        <v>C5S1-</v>
      </c>
      <c r="AR733" s="143"/>
      <c r="AS733" s="136" t="str">
        <f>tbl_IO_List[[#This Row],[Terminal Tagging]]&amp;"-"&amp;tbl_IO_List[[#This Row],[Point-Count]]</f>
        <v>-</v>
      </c>
      <c r="AT733" s="136" t="str">
        <f>tbl_IO_List[[#This Row],[Front Terminal Tagging]]&amp;"/"&amp;tbl_IO_List[[#This Row],[Terminal Tagging-Item]]</f>
        <v>C5S1-/-</v>
      </c>
      <c r="AU733" s="136" t="str">
        <f>tbl_IO_List[[#This Row],[Terminal Tagging-Item]]&amp;"/"&amp;tbl_IO_List[[#This Row],[Front Terminal Tagging]]</f>
        <v>-/C5S1-</v>
      </c>
    </row>
    <row r="734" spans="1:47" hidden="1">
      <c r="A734" s="147" t="s">
        <v>1373</v>
      </c>
      <c r="B734" s="136" t="s">
        <v>382</v>
      </c>
      <c r="C734" s="136" t="str">
        <f>tbl_IO_List[[#This Row],[Column3]]</f>
        <v>C5S01,16</v>
      </c>
      <c r="D734" s="136" t="str">
        <f>tbl_IO_List[[#This Row],[Card]]</f>
        <v>1756-IB32-16</v>
      </c>
      <c r="E734" s="136" t="s">
        <v>1372</v>
      </c>
      <c r="F734" s="136" t="str">
        <f>tbl_IO_List[[#This Row],[Column23]]&amp;"-" &amp;tbl_IO_List[[#This Row],[Column52]]</f>
        <v>C5S01-X2</v>
      </c>
      <c r="G734" s="136" t="str">
        <f>tbl_IO_List[[#This Row],[PLC_Tag]]</f>
        <v>XA-80305C_DI_1</v>
      </c>
      <c r="H734" s="136"/>
      <c r="I734" s="136" t="str">
        <f>VLOOKUP(tbl_IO_List[[#This Row],[Destination]],tbl_Junction[],2,FALSE)</f>
        <v>Slurry - Out Building 2nd Floor</v>
      </c>
      <c r="J734" s="136" t="s">
        <v>382</v>
      </c>
      <c r="K734" s="136" t="s">
        <v>404</v>
      </c>
      <c r="L734" s="136" t="s">
        <v>1276</v>
      </c>
      <c r="M734" s="136">
        <f>VLOOKUP(tbl_IO_List[[#This Row],[Instruement Tag]],tbl_Instruement_List[],2,FALSE)</f>
        <v>0</v>
      </c>
      <c r="N734" s="136" t="s">
        <v>15</v>
      </c>
      <c r="O734" s="136" t="s">
        <v>405</v>
      </c>
      <c r="P734" s="136" t="s">
        <v>18</v>
      </c>
      <c r="Q734" s="136" t="str">
        <f>VLOOKUP(tbl_IO_List[[#This Row],[Instruement Tag]],tbl_Instruement_List[],6,FALSE)</f>
        <v>Gas Vaporizer 5 control status</v>
      </c>
      <c r="R734" s="136"/>
      <c r="S73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34" s="136" t="str">
        <f>tbl_IO_List[[#This Row],[Instruement Tag]]&amp;"_"&amp;tbl_IO_List[[#This Row],[I/O Type]]&amp;"_"&amp;tbl_IO_List[[#This Row],[IO-Point 
(Instruement)]]</f>
        <v>XA-80305C_DI_1</v>
      </c>
      <c r="U734" s="136" t="s">
        <v>8</v>
      </c>
      <c r="V734" s="136">
        <f>VLOOKUP(tbl_IO_List[[#This Row],[I/O Type]],tbl_Slot_Group[],2,FALSE)</f>
        <v>1</v>
      </c>
      <c r="W734" s="136">
        <v>1</v>
      </c>
      <c r="X734" s="136" t="str">
        <f>tbl_IO_List[[#This Row],[Chassis]]&amp;"S"&amp;TEXT(tbl_IO_List[[#This Row],[Slot]],"00")</f>
        <v>C5S01</v>
      </c>
      <c r="Y734" s="136" t="str">
        <f>tbl_IO_List[[#This Row],[Chassis]]&amp;"S"&amp;TEXT(tbl_IO_List[[#This Row],[Slot]],"00")&amp;tbl_IO_List[[#This Row],[I/O Type]]&amp;TEXT(tbl_IO_List[[#This Row],[Point]],"00")</f>
        <v>C5S01DI16</v>
      </c>
      <c r="Z734" s="136" t="str">
        <f>tbl_IO_List[[#This Row],[Chassis]]&amp;"S"&amp;TEXT(tbl_IO_List[[#This Row],[Slot]],"00")&amp;","&amp;TEXT(tbl_IO_List[[#This Row],[Point]],"00")</f>
        <v>C5S01,16</v>
      </c>
      <c r="AA734" s="136" t="str">
        <f>VLOOKUP(tbl_IO_List[[#This Row],[Column23]],tbl_RackConfig[],5,FALSE) &amp;"-"&amp;tbl_IO_List[[#This Row],[Point]]</f>
        <v>1756-IB32-16</v>
      </c>
      <c r="AB734" s="136"/>
      <c r="AC734" s="136"/>
      <c r="AD734" s="136" t="str">
        <f>tbl_IO_List[[#This Row],[I/O Type]]</f>
        <v>DI</v>
      </c>
      <c r="AE734" s="136" t="s">
        <v>1336</v>
      </c>
      <c r="AF734" s="136">
        <v>1</v>
      </c>
      <c r="AG734" s="136">
        <v>16</v>
      </c>
      <c r="AH734" s="136"/>
      <c r="AI734" s="136"/>
      <c r="AJ734" s="136">
        <v>1</v>
      </c>
      <c r="AK734" s="136">
        <v>0</v>
      </c>
      <c r="AL734" s="136">
        <v>0</v>
      </c>
      <c r="AM734" s="136">
        <v>0</v>
      </c>
      <c r="AN734" s="136">
        <v>0</v>
      </c>
      <c r="AO734" s="136"/>
      <c r="AP734" s="143" t="str">
        <f>VLOOKUP(tbl_IO_List[[#This Row],[Instruement Tag]],tbl_Instruement_List[],14,FALSE)</f>
        <v>Dry Contact</v>
      </c>
      <c r="AQ734" s="143" t="str">
        <f>tbl_IO_List[[#This Row],[Chassis]]&amp;"S"&amp;tbl_IO_List[[#This Row],[Slot]]&amp;"-"&amp;tbl_IO_List[[#This Row],[Front Terminal Number]]</f>
        <v>C5S1-</v>
      </c>
      <c r="AR734" s="143"/>
      <c r="AS734" s="136" t="str">
        <f>tbl_IO_List[[#This Row],[Terminal Tagging]]&amp;"-"&amp;tbl_IO_List[[#This Row],[Point-Count]]</f>
        <v>-</v>
      </c>
      <c r="AT734" s="136" t="str">
        <f>tbl_IO_List[[#This Row],[Front Terminal Tagging]]&amp;"/"&amp;tbl_IO_List[[#This Row],[Terminal Tagging-Item]]</f>
        <v>C5S1-/-</v>
      </c>
      <c r="AU734" s="136" t="str">
        <f>tbl_IO_List[[#This Row],[Terminal Tagging-Item]]&amp;"/"&amp;tbl_IO_List[[#This Row],[Front Terminal Tagging]]</f>
        <v>-/C5S1-</v>
      </c>
    </row>
    <row r="735" spans="1:47" hidden="1">
      <c r="A735" s="147" t="s">
        <v>1373</v>
      </c>
      <c r="B735" s="136" t="s">
        <v>382</v>
      </c>
      <c r="C735" s="136" t="str">
        <f>tbl_IO_List[[#This Row],[Column3]]</f>
        <v>C5S01,17</v>
      </c>
      <c r="D735" s="136" t="str">
        <f>tbl_IO_List[[#This Row],[Card]]</f>
        <v>1756-IB32-17</v>
      </c>
      <c r="E735" s="136" t="s">
        <v>1372</v>
      </c>
      <c r="F735" s="136" t="str">
        <f>tbl_IO_List[[#This Row],[Column23]]&amp;"-" &amp;tbl_IO_List[[#This Row],[Column52]]</f>
        <v>C5S01-X2</v>
      </c>
      <c r="G735" s="136" t="str">
        <f>tbl_IO_List[[#This Row],[PLC_Tag]]</f>
        <v>XA-80305D_DI_1</v>
      </c>
      <c r="H735" s="136"/>
      <c r="I735" s="136" t="str">
        <f>VLOOKUP(tbl_IO_List[[#This Row],[Destination]],tbl_Junction[],2,FALSE)</f>
        <v>Slurry - Out Building 2nd Floor</v>
      </c>
      <c r="J735" s="136" t="s">
        <v>382</v>
      </c>
      <c r="K735" s="136" t="s">
        <v>404</v>
      </c>
      <c r="L735" s="136" t="s">
        <v>1278</v>
      </c>
      <c r="M735" s="136">
        <f>VLOOKUP(tbl_IO_List[[#This Row],[Instruement Tag]],tbl_Instruement_List[],2,FALSE)</f>
        <v>0</v>
      </c>
      <c r="N735" s="136" t="s">
        <v>15</v>
      </c>
      <c r="O735" s="136" t="s">
        <v>405</v>
      </c>
      <c r="P735" s="136" t="s">
        <v>18</v>
      </c>
      <c r="Q735" s="136" t="str">
        <f>VLOOKUP(tbl_IO_List[[#This Row],[Instruement Tag]],tbl_Instruement_List[],6,FALSE)</f>
        <v>Gas Vaporizer 5 control status</v>
      </c>
      <c r="R735" s="136"/>
      <c r="S73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35" s="136" t="str">
        <f>tbl_IO_List[[#This Row],[Instruement Tag]]&amp;"_"&amp;tbl_IO_List[[#This Row],[I/O Type]]&amp;"_"&amp;tbl_IO_List[[#This Row],[IO-Point 
(Instruement)]]</f>
        <v>XA-80305D_DI_1</v>
      </c>
      <c r="U735" s="136" t="s">
        <v>8</v>
      </c>
      <c r="V735" s="136">
        <f>VLOOKUP(tbl_IO_List[[#This Row],[I/O Type]],tbl_Slot_Group[],2,FALSE)</f>
        <v>1</v>
      </c>
      <c r="W735" s="136">
        <v>1</v>
      </c>
      <c r="X735" s="136" t="str">
        <f>tbl_IO_List[[#This Row],[Chassis]]&amp;"S"&amp;TEXT(tbl_IO_List[[#This Row],[Slot]],"00")</f>
        <v>C5S01</v>
      </c>
      <c r="Y735" s="136" t="str">
        <f>tbl_IO_List[[#This Row],[Chassis]]&amp;"S"&amp;TEXT(tbl_IO_List[[#This Row],[Slot]],"00")&amp;tbl_IO_List[[#This Row],[I/O Type]]&amp;TEXT(tbl_IO_List[[#This Row],[Point]],"00")</f>
        <v>C5S01DI17</v>
      </c>
      <c r="Z735" s="136" t="str">
        <f>tbl_IO_List[[#This Row],[Chassis]]&amp;"S"&amp;TEXT(tbl_IO_List[[#This Row],[Slot]],"00")&amp;","&amp;TEXT(tbl_IO_List[[#This Row],[Point]],"00")</f>
        <v>C5S01,17</v>
      </c>
      <c r="AA735" s="136" t="str">
        <f>VLOOKUP(tbl_IO_List[[#This Row],[Column23]],tbl_RackConfig[],5,FALSE) &amp;"-"&amp;tbl_IO_List[[#This Row],[Point]]</f>
        <v>1756-IB32-17</v>
      </c>
      <c r="AB735" s="136"/>
      <c r="AC735" s="136"/>
      <c r="AD735" s="136" t="str">
        <f>tbl_IO_List[[#This Row],[I/O Type]]</f>
        <v>DI</v>
      </c>
      <c r="AE735" s="136" t="s">
        <v>1336</v>
      </c>
      <c r="AF735" s="136">
        <v>1</v>
      </c>
      <c r="AG735" s="136">
        <v>17</v>
      </c>
      <c r="AH735" s="136"/>
      <c r="AI735" s="136"/>
      <c r="AJ735" s="136">
        <v>1</v>
      </c>
      <c r="AK735" s="136">
        <v>0</v>
      </c>
      <c r="AL735" s="136">
        <v>0</v>
      </c>
      <c r="AM735" s="136">
        <v>0</v>
      </c>
      <c r="AN735" s="136">
        <v>0</v>
      </c>
      <c r="AO735" s="136"/>
      <c r="AP735" s="143" t="str">
        <f>VLOOKUP(tbl_IO_List[[#This Row],[Instruement Tag]],tbl_Instruement_List[],14,FALSE)</f>
        <v>Dry Contact</v>
      </c>
      <c r="AQ735" s="143" t="str">
        <f>tbl_IO_List[[#This Row],[Chassis]]&amp;"S"&amp;tbl_IO_List[[#This Row],[Slot]]&amp;"-"&amp;tbl_IO_List[[#This Row],[Front Terminal Number]]</f>
        <v>C5S1-</v>
      </c>
      <c r="AR735" s="143"/>
      <c r="AS735" s="136" t="str">
        <f>tbl_IO_List[[#This Row],[Terminal Tagging]]&amp;"-"&amp;tbl_IO_List[[#This Row],[Point-Count]]</f>
        <v>-</v>
      </c>
      <c r="AT735" s="136" t="str">
        <f>tbl_IO_List[[#This Row],[Front Terminal Tagging]]&amp;"/"&amp;tbl_IO_List[[#This Row],[Terminal Tagging-Item]]</f>
        <v>C5S1-/-</v>
      </c>
      <c r="AU735" s="136" t="str">
        <f>tbl_IO_List[[#This Row],[Terminal Tagging-Item]]&amp;"/"&amp;tbl_IO_List[[#This Row],[Front Terminal Tagging]]</f>
        <v>-/C5S1-</v>
      </c>
    </row>
    <row r="736" spans="1:47" hidden="1">
      <c r="A736" s="147" t="s">
        <v>1373</v>
      </c>
      <c r="B736" s="136" t="s">
        <v>382</v>
      </c>
      <c r="C736" s="136" t="str">
        <f>tbl_IO_List[[#This Row],[Column3]]</f>
        <v>C5S01,18</v>
      </c>
      <c r="D736" s="136" t="str">
        <f>tbl_IO_List[[#This Row],[Card]]</f>
        <v>1756-IB32-18</v>
      </c>
      <c r="E736" s="136" t="s">
        <v>1372</v>
      </c>
      <c r="F736" s="136" t="str">
        <f>tbl_IO_List[[#This Row],[Column23]]&amp;"-" &amp;tbl_IO_List[[#This Row],[Column52]]</f>
        <v>C5S01-X2</v>
      </c>
      <c r="G736" s="136" t="str">
        <f>tbl_IO_List[[#This Row],[PLC_Tag]]</f>
        <v>XA-80305E_DI_1</v>
      </c>
      <c r="H736" s="136"/>
      <c r="I736" s="136" t="str">
        <f>VLOOKUP(tbl_IO_List[[#This Row],[Destination]],tbl_Junction[],2,FALSE)</f>
        <v>Slurry - Out Building 2nd Floor</v>
      </c>
      <c r="J736" s="136" t="s">
        <v>382</v>
      </c>
      <c r="K736" s="136" t="s">
        <v>404</v>
      </c>
      <c r="L736" s="136" t="s">
        <v>1280</v>
      </c>
      <c r="M736" s="136">
        <f>VLOOKUP(tbl_IO_List[[#This Row],[Instruement Tag]],tbl_Instruement_List[],2,FALSE)</f>
        <v>0</v>
      </c>
      <c r="N736" s="136" t="s">
        <v>15</v>
      </c>
      <c r="O736" s="136" t="s">
        <v>405</v>
      </c>
      <c r="P736" s="136" t="s">
        <v>18</v>
      </c>
      <c r="Q736" s="136" t="str">
        <f>VLOOKUP(tbl_IO_List[[#This Row],[Instruement Tag]],tbl_Instruement_List[],6,FALSE)</f>
        <v>Gas Vaporizer 5 control status</v>
      </c>
      <c r="R736" s="136"/>
      <c r="S73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36" s="136" t="str">
        <f>tbl_IO_List[[#This Row],[Instruement Tag]]&amp;"_"&amp;tbl_IO_List[[#This Row],[I/O Type]]&amp;"_"&amp;tbl_IO_List[[#This Row],[IO-Point 
(Instruement)]]</f>
        <v>XA-80305E_DI_1</v>
      </c>
      <c r="U736" s="136" t="s">
        <v>8</v>
      </c>
      <c r="V736" s="136">
        <f>VLOOKUP(tbl_IO_List[[#This Row],[I/O Type]],tbl_Slot_Group[],2,FALSE)</f>
        <v>1</v>
      </c>
      <c r="W736" s="136">
        <v>1</v>
      </c>
      <c r="X736" s="136" t="str">
        <f>tbl_IO_List[[#This Row],[Chassis]]&amp;"S"&amp;TEXT(tbl_IO_List[[#This Row],[Slot]],"00")</f>
        <v>C5S01</v>
      </c>
      <c r="Y736" s="136" t="str">
        <f>tbl_IO_List[[#This Row],[Chassis]]&amp;"S"&amp;TEXT(tbl_IO_List[[#This Row],[Slot]],"00")&amp;tbl_IO_List[[#This Row],[I/O Type]]&amp;TEXT(tbl_IO_List[[#This Row],[Point]],"00")</f>
        <v>C5S01DI18</v>
      </c>
      <c r="Z736" s="136" t="str">
        <f>tbl_IO_List[[#This Row],[Chassis]]&amp;"S"&amp;TEXT(tbl_IO_List[[#This Row],[Slot]],"00")&amp;","&amp;TEXT(tbl_IO_List[[#This Row],[Point]],"00")</f>
        <v>C5S01,18</v>
      </c>
      <c r="AA736" s="136" t="str">
        <f>VLOOKUP(tbl_IO_List[[#This Row],[Column23]],tbl_RackConfig[],5,FALSE) &amp;"-"&amp;tbl_IO_List[[#This Row],[Point]]</f>
        <v>1756-IB32-18</v>
      </c>
      <c r="AB736" s="136"/>
      <c r="AC736" s="136"/>
      <c r="AD736" s="136" t="str">
        <f>tbl_IO_List[[#This Row],[I/O Type]]</f>
        <v>DI</v>
      </c>
      <c r="AE736" s="136" t="s">
        <v>1336</v>
      </c>
      <c r="AF736" s="136">
        <v>1</v>
      </c>
      <c r="AG736" s="136">
        <v>18</v>
      </c>
      <c r="AH736" s="136"/>
      <c r="AI736" s="136"/>
      <c r="AJ736" s="136">
        <v>1</v>
      </c>
      <c r="AK736" s="136">
        <v>0</v>
      </c>
      <c r="AL736" s="136">
        <v>0</v>
      </c>
      <c r="AM736" s="136">
        <v>0</v>
      </c>
      <c r="AN736" s="136">
        <v>0</v>
      </c>
      <c r="AO736" s="136"/>
      <c r="AP736" s="143" t="str">
        <f>VLOOKUP(tbl_IO_List[[#This Row],[Instruement Tag]],tbl_Instruement_List[],14,FALSE)</f>
        <v>Dry Contact</v>
      </c>
      <c r="AQ736" s="143" t="str">
        <f>tbl_IO_List[[#This Row],[Chassis]]&amp;"S"&amp;tbl_IO_List[[#This Row],[Slot]]&amp;"-"&amp;tbl_IO_List[[#This Row],[Front Terminal Number]]</f>
        <v>C5S1-</v>
      </c>
      <c r="AR736" s="143"/>
      <c r="AS736" s="136" t="str">
        <f>tbl_IO_List[[#This Row],[Terminal Tagging]]&amp;"-"&amp;tbl_IO_List[[#This Row],[Point-Count]]</f>
        <v>-</v>
      </c>
      <c r="AT736" s="136" t="str">
        <f>tbl_IO_List[[#This Row],[Front Terminal Tagging]]&amp;"/"&amp;tbl_IO_List[[#This Row],[Terminal Tagging-Item]]</f>
        <v>C5S1-/-</v>
      </c>
      <c r="AU736" s="136" t="str">
        <f>tbl_IO_List[[#This Row],[Terminal Tagging-Item]]&amp;"/"&amp;tbl_IO_List[[#This Row],[Front Terminal Tagging]]</f>
        <v>-/C5S1-</v>
      </c>
    </row>
    <row r="737" spans="1:47" hidden="1">
      <c r="A737" s="147" t="s">
        <v>1373</v>
      </c>
      <c r="B737" s="136" t="s">
        <v>382</v>
      </c>
      <c r="C737" s="136" t="str">
        <f>tbl_IO_List[[#This Row],[Column3]]</f>
        <v>C5S01,19</v>
      </c>
      <c r="D737" s="136" t="str">
        <f>tbl_IO_List[[#This Row],[Card]]</f>
        <v>1756-IB32-19</v>
      </c>
      <c r="E737" s="136" t="s">
        <v>1372</v>
      </c>
      <c r="F737" s="136" t="str">
        <f>tbl_IO_List[[#This Row],[Column23]]&amp;"-" &amp;tbl_IO_List[[#This Row],[Column52]]</f>
        <v>C5S01-X2</v>
      </c>
      <c r="G737" s="136" t="str">
        <f>tbl_IO_List[[#This Row],[PLC_Tag]]</f>
        <v>XA-80305F_DI_1</v>
      </c>
      <c r="H737" s="136"/>
      <c r="I737" s="136" t="str">
        <f>VLOOKUP(tbl_IO_List[[#This Row],[Destination]],tbl_Junction[],2,FALSE)</f>
        <v>Slurry - Out Building 2nd Floor</v>
      </c>
      <c r="J737" s="136" t="s">
        <v>382</v>
      </c>
      <c r="K737" s="136" t="s">
        <v>404</v>
      </c>
      <c r="L737" s="136" t="s">
        <v>1282</v>
      </c>
      <c r="M737" s="136">
        <f>VLOOKUP(tbl_IO_List[[#This Row],[Instruement Tag]],tbl_Instruement_List[],2,FALSE)</f>
        <v>0</v>
      </c>
      <c r="N737" s="136" t="s">
        <v>15</v>
      </c>
      <c r="O737" s="136" t="s">
        <v>405</v>
      </c>
      <c r="P737" s="136" t="s">
        <v>18</v>
      </c>
      <c r="Q737" s="136" t="str">
        <f>VLOOKUP(tbl_IO_List[[#This Row],[Instruement Tag]],tbl_Instruement_List[],6,FALSE)</f>
        <v>Gas Vaporizer 5 control status</v>
      </c>
      <c r="R737" s="136"/>
      <c r="S73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37" s="136" t="str">
        <f>tbl_IO_List[[#This Row],[Instruement Tag]]&amp;"_"&amp;tbl_IO_List[[#This Row],[I/O Type]]&amp;"_"&amp;tbl_IO_List[[#This Row],[IO-Point 
(Instruement)]]</f>
        <v>XA-80305F_DI_1</v>
      </c>
      <c r="U737" s="136" t="s">
        <v>8</v>
      </c>
      <c r="V737" s="136">
        <f>VLOOKUP(tbl_IO_List[[#This Row],[I/O Type]],tbl_Slot_Group[],2,FALSE)</f>
        <v>1</v>
      </c>
      <c r="W737" s="136">
        <v>1</v>
      </c>
      <c r="X737" s="136" t="str">
        <f>tbl_IO_List[[#This Row],[Chassis]]&amp;"S"&amp;TEXT(tbl_IO_List[[#This Row],[Slot]],"00")</f>
        <v>C5S01</v>
      </c>
      <c r="Y737" s="136" t="str">
        <f>tbl_IO_List[[#This Row],[Chassis]]&amp;"S"&amp;TEXT(tbl_IO_List[[#This Row],[Slot]],"00")&amp;tbl_IO_List[[#This Row],[I/O Type]]&amp;TEXT(tbl_IO_List[[#This Row],[Point]],"00")</f>
        <v>C5S01DI19</v>
      </c>
      <c r="Z737" s="136" t="str">
        <f>tbl_IO_List[[#This Row],[Chassis]]&amp;"S"&amp;TEXT(tbl_IO_List[[#This Row],[Slot]],"00")&amp;","&amp;TEXT(tbl_IO_List[[#This Row],[Point]],"00")</f>
        <v>C5S01,19</v>
      </c>
      <c r="AA737" s="136" t="str">
        <f>VLOOKUP(tbl_IO_List[[#This Row],[Column23]],tbl_RackConfig[],5,FALSE) &amp;"-"&amp;tbl_IO_List[[#This Row],[Point]]</f>
        <v>1756-IB32-19</v>
      </c>
      <c r="AB737" s="136"/>
      <c r="AC737" s="136"/>
      <c r="AD737" s="136" t="str">
        <f>tbl_IO_List[[#This Row],[I/O Type]]</f>
        <v>DI</v>
      </c>
      <c r="AE737" s="136" t="s">
        <v>1336</v>
      </c>
      <c r="AF737" s="136">
        <v>1</v>
      </c>
      <c r="AG737" s="136">
        <v>19</v>
      </c>
      <c r="AH737" s="136"/>
      <c r="AI737" s="136"/>
      <c r="AJ737" s="136">
        <v>1</v>
      </c>
      <c r="AK737" s="136">
        <v>0</v>
      </c>
      <c r="AL737" s="136">
        <v>0</v>
      </c>
      <c r="AM737" s="136">
        <v>0</v>
      </c>
      <c r="AN737" s="136">
        <v>0</v>
      </c>
      <c r="AO737" s="136"/>
      <c r="AP737" s="143" t="str">
        <f>VLOOKUP(tbl_IO_List[[#This Row],[Instruement Tag]],tbl_Instruement_List[],14,FALSE)</f>
        <v>Dry Contact</v>
      </c>
      <c r="AQ737" s="143" t="str">
        <f>tbl_IO_List[[#This Row],[Chassis]]&amp;"S"&amp;tbl_IO_List[[#This Row],[Slot]]&amp;"-"&amp;tbl_IO_List[[#This Row],[Front Terminal Number]]</f>
        <v>C5S1-</v>
      </c>
      <c r="AR737" s="143"/>
      <c r="AS737" s="136" t="str">
        <f>tbl_IO_List[[#This Row],[Terminal Tagging]]&amp;"-"&amp;tbl_IO_List[[#This Row],[Point-Count]]</f>
        <v>-</v>
      </c>
      <c r="AT737" s="136" t="str">
        <f>tbl_IO_List[[#This Row],[Front Terminal Tagging]]&amp;"/"&amp;tbl_IO_List[[#This Row],[Terminal Tagging-Item]]</f>
        <v>C5S1-/-</v>
      </c>
      <c r="AU737" s="136" t="str">
        <f>tbl_IO_List[[#This Row],[Terminal Tagging-Item]]&amp;"/"&amp;tbl_IO_List[[#This Row],[Front Terminal Tagging]]</f>
        <v>-/C5S1-</v>
      </c>
    </row>
    <row r="738" spans="1:47" hidden="1">
      <c r="A738" s="147" t="s">
        <v>1373</v>
      </c>
      <c r="B738" s="136" t="s">
        <v>382</v>
      </c>
      <c r="C738" s="136" t="str">
        <f>tbl_IO_List[[#This Row],[Column3]]</f>
        <v>C5S01,20</v>
      </c>
      <c r="D738" s="136" t="str">
        <f>tbl_IO_List[[#This Row],[Card]]</f>
        <v>1756-IB32-20</v>
      </c>
      <c r="E738" s="136" t="s">
        <v>1372</v>
      </c>
      <c r="F738" s="136" t="str">
        <f>tbl_IO_List[[#This Row],[Column23]]&amp;"-" &amp;tbl_IO_List[[#This Row],[Column52]]</f>
        <v>C5S01-X2</v>
      </c>
      <c r="G738" s="136" t="str">
        <f>tbl_IO_List[[#This Row],[PLC_Tag]]</f>
        <v>XA-80306A_DI_1</v>
      </c>
      <c r="H738" s="136"/>
      <c r="I738" s="136" t="str">
        <f>VLOOKUP(tbl_IO_List[[#This Row],[Destination]],tbl_Junction[],2,FALSE)</f>
        <v>Slurry - Out Building 2nd Floor</v>
      </c>
      <c r="J738" s="136" t="s">
        <v>382</v>
      </c>
      <c r="K738" s="136" t="s">
        <v>404</v>
      </c>
      <c r="L738" s="136" t="s">
        <v>1287</v>
      </c>
      <c r="M738" s="136">
        <f>VLOOKUP(tbl_IO_List[[#This Row],[Instruement Tag]],tbl_Instruement_List[],2,FALSE)</f>
        <v>0</v>
      </c>
      <c r="N738" s="136" t="s">
        <v>15</v>
      </c>
      <c r="O738" s="136" t="s">
        <v>405</v>
      </c>
      <c r="P738" s="136" t="s">
        <v>18</v>
      </c>
      <c r="Q738" s="136" t="str">
        <f>VLOOKUP(tbl_IO_List[[#This Row],[Instruement Tag]],tbl_Instruement_List[],6,FALSE)</f>
        <v>Gas Vaporizer 6 control status</v>
      </c>
      <c r="R738" s="136"/>
      <c r="S73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38" s="136" t="str">
        <f>tbl_IO_List[[#This Row],[Instruement Tag]]&amp;"_"&amp;tbl_IO_List[[#This Row],[I/O Type]]&amp;"_"&amp;tbl_IO_List[[#This Row],[IO-Point 
(Instruement)]]</f>
        <v>XA-80306A_DI_1</v>
      </c>
      <c r="U738" s="136" t="s">
        <v>8</v>
      </c>
      <c r="V738" s="136">
        <f>VLOOKUP(tbl_IO_List[[#This Row],[I/O Type]],tbl_Slot_Group[],2,FALSE)</f>
        <v>1</v>
      </c>
      <c r="W738" s="136">
        <v>1</v>
      </c>
      <c r="X738" s="136" t="str">
        <f>tbl_IO_List[[#This Row],[Chassis]]&amp;"S"&amp;TEXT(tbl_IO_List[[#This Row],[Slot]],"00")</f>
        <v>C5S01</v>
      </c>
      <c r="Y738" s="136" t="str">
        <f>tbl_IO_List[[#This Row],[Chassis]]&amp;"S"&amp;TEXT(tbl_IO_List[[#This Row],[Slot]],"00")&amp;tbl_IO_List[[#This Row],[I/O Type]]&amp;TEXT(tbl_IO_List[[#This Row],[Point]],"00")</f>
        <v>C5S01DI20</v>
      </c>
      <c r="Z738" s="136" t="str">
        <f>tbl_IO_List[[#This Row],[Chassis]]&amp;"S"&amp;TEXT(tbl_IO_List[[#This Row],[Slot]],"00")&amp;","&amp;TEXT(tbl_IO_List[[#This Row],[Point]],"00")</f>
        <v>C5S01,20</v>
      </c>
      <c r="AA738" s="136" t="str">
        <f>VLOOKUP(tbl_IO_List[[#This Row],[Column23]],tbl_RackConfig[],5,FALSE) &amp;"-"&amp;tbl_IO_List[[#This Row],[Point]]</f>
        <v>1756-IB32-20</v>
      </c>
      <c r="AB738" s="136"/>
      <c r="AC738" s="136"/>
      <c r="AD738" s="136" t="str">
        <f>tbl_IO_List[[#This Row],[I/O Type]]</f>
        <v>DI</v>
      </c>
      <c r="AE738" s="136" t="s">
        <v>1336</v>
      </c>
      <c r="AF738" s="136">
        <v>1</v>
      </c>
      <c r="AG738" s="136">
        <v>20</v>
      </c>
      <c r="AH738" s="136"/>
      <c r="AI738" s="136"/>
      <c r="AJ738" s="136">
        <v>1</v>
      </c>
      <c r="AK738" s="136">
        <v>0</v>
      </c>
      <c r="AL738" s="136">
        <v>0</v>
      </c>
      <c r="AM738" s="136">
        <v>0</v>
      </c>
      <c r="AN738" s="136">
        <v>0</v>
      </c>
      <c r="AO738" s="136"/>
      <c r="AP738" s="143" t="str">
        <f>VLOOKUP(tbl_IO_List[[#This Row],[Instruement Tag]],tbl_Instruement_List[],14,FALSE)</f>
        <v>Dry Contact</v>
      </c>
      <c r="AQ738" s="143" t="str">
        <f>tbl_IO_List[[#This Row],[Chassis]]&amp;"S"&amp;tbl_IO_List[[#This Row],[Slot]]&amp;"-"&amp;tbl_IO_List[[#This Row],[Front Terminal Number]]</f>
        <v>C5S1-</v>
      </c>
      <c r="AR738" s="143"/>
      <c r="AS738" s="136" t="str">
        <f>tbl_IO_List[[#This Row],[Terminal Tagging]]&amp;"-"&amp;tbl_IO_List[[#This Row],[Point-Count]]</f>
        <v>-</v>
      </c>
      <c r="AT738" s="136" t="str">
        <f>tbl_IO_List[[#This Row],[Front Terminal Tagging]]&amp;"/"&amp;tbl_IO_List[[#This Row],[Terminal Tagging-Item]]</f>
        <v>C5S1-/-</v>
      </c>
      <c r="AU738" s="136" t="str">
        <f>tbl_IO_List[[#This Row],[Terminal Tagging-Item]]&amp;"/"&amp;tbl_IO_List[[#This Row],[Front Terminal Tagging]]</f>
        <v>-/C5S1-</v>
      </c>
    </row>
    <row r="739" spans="1:47" hidden="1">
      <c r="A739" s="147" t="s">
        <v>1373</v>
      </c>
      <c r="B739" s="136" t="s">
        <v>382</v>
      </c>
      <c r="C739" s="136" t="str">
        <f>tbl_IO_List[[#This Row],[Column3]]</f>
        <v>C5S01,21</v>
      </c>
      <c r="D739" s="136" t="str">
        <f>tbl_IO_List[[#This Row],[Card]]</f>
        <v>1756-IB32-21</v>
      </c>
      <c r="E739" s="136" t="s">
        <v>1372</v>
      </c>
      <c r="F739" s="136" t="str">
        <f>tbl_IO_List[[#This Row],[Column23]]&amp;"-" &amp;tbl_IO_List[[#This Row],[Column52]]</f>
        <v>C5S01-X2</v>
      </c>
      <c r="G739" s="136" t="str">
        <f>tbl_IO_List[[#This Row],[PLC_Tag]]</f>
        <v>XA-80306B_DI_1</v>
      </c>
      <c r="H739" s="136"/>
      <c r="I739" s="136" t="str">
        <f>VLOOKUP(tbl_IO_List[[#This Row],[Destination]],tbl_Junction[],2,FALSE)</f>
        <v>Slurry - Out Building 2nd Floor</v>
      </c>
      <c r="J739" s="136" t="s">
        <v>382</v>
      </c>
      <c r="K739" s="136" t="s">
        <v>404</v>
      </c>
      <c r="L739" s="136" t="s">
        <v>1289</v>
      </c>
      <c r="M739" s="136">
        <f>VLOOKUP(tbl_IO_List[[#This Row],[Instruement Tag]],tbl_Instruement_List[],2,FALSE)</f>
        <v>0</v>
      </c>
      <c r="N739" s="136" t="s">
        <v>15</v>
      </c>
      <c r="O739" s="136" t="s">
        <v>405</v>
      </c>
      <c r="P739" s="136" t="s">
        <v>18</v>
      </c>
      <c r="Q739" s="136" t="str">
        <f>VLOOKUP(tbl_IO_List[[#This Row],[Instruement Tag]],tbl_Instruement_List[],6,FALSE)</f>
        <v>Gas Vaporizer 6 control status</v>
      </c>
      <c r="R739" s="136"/>
      <c r="S73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39" s="136" t="str">
        <f>tbl_IO_List[[#This Row],[Instruement Tag]]&amp;"_"&amp;tbl_IO_List[[#This Row],[I/O Type]]&amp;"_"&amp;tbl_IO_List[[#This Row],[IO-Point 
(Instruement)]]</f>
        <v>XA-80306B_DI_1</v>
      </c>
      <c r="U739" s="136" t="s">
        <v>8</v>
      </c>
      <c r="V739" s="136">
        <f>VLOOKUP(tbl_IO_List[[#This Row],[I/O Type]],tbl_Slot_Group[],2,FALSE)</f>
        <v>1</v>
      </c>
      <c r="W739" s="136">
        <v>1</v>
      </c>
      <c r="X739" s="136" t="str">
        <f>tbl_IO_List[[#This Row],[Chassis]]&amp;"S"&amp;TEXT(tbl_IO_List[[#This Row],[Slot]],"00")</f>
        <v>C5S01</v>
      </c>
      <c r="Y739" s="136" t="str">
        <f>tbl_IO_List[[#This Row],[Chassis]]&amp;"S"&amp;TEXT(tbl_IO_List[[#This Row],[Slot]],"00")&amp;tbl_IO_List[[#This Row],[I/O Type]]&amp;TEXT(tbl_IO_List[[#This Row],[Point]],"00")</f>
        <v>C5S01DI21</v>
      </c>
      <c r="Z739" s="136" t="str">
        <f>tbl_IO_List[[#This Row],[Chassis]]&amp;"S"&amp;TEXT(tbl_IO_List[[#This Row],[Slot]],"00")&amp;","&amp;TEXT(tbl_IO_List[[#This Row],[Point]],"00")</f>
        <v>C5S01,21</v>
      </c>
      <c r="AA739" s="136" t="str">
        <f>VLOOKUP(tbl_IO_List[[#This Row],[Column23]],tbl_RackConfig[],5,FALSE) &amp;"-"&amp;tbl_IO_List[[#This Row],[Point]]</f>
        <v>1756-IB32-21</v>
      </c>
      <c r="AB739" s="136"/>
      <c r="AC739" s="136"/>
      <c r="AD739" s="136" t="str">
        <f>tbl_IO_List[[#This Row],[I/O Type]]</f>
        <v>DI</v>
      </c>
      <c r="AE739" s="136" t="s">
        <v>1336</v>
      </c>
      <c r="AF739" s="136">
        <v>1</v>
      </c>
      <c r="AG739" s="136">
        <v>21</v>
      </c>
      <c r="AH739" s="136"/>
      <c r="AI739" s="136"/>
      <c r="AJ739" s="136">
        <v>1</v>
      </c>
      <c r="AK739" s="136">
        <v>0</v>
      </c>
      <c r="AL739" s="136">
        <v>0</v>
      </c>
      <c r="AM739" s="136">
        <v>0</v>
      </c>
      <c r="AN739" s="136">
        <v>0</v>
      </c>
      <c r="AO739" s="136"/>
      <c r="AP739" s="143" t="str">
        <f>VLOOKUP(tbl_IO_List[[#This Row],[Instruement Tag]],tbl_Instruement_List[],14,FALSE)</f>
        <v>Dry Contact</v>
      </c>
      <c r="AQ739" s="143" t="str">
        <f>tbl_IO_List[[#This Row],[Chassis]]&amp;"S"&amp;tbl_IO_List[[#This Row],[Slot]]&amp;"-"&amp;tbl_IO_List[[#This Row],[Front Terminal Number]]</f>
        <v>C5S1-</v>
      </c>
      <c r="AR739" s="143"/>
      <c r="AS739" s="136" t="str">
        <f>tbl_IO_List[[#This Row],[Terminal Tagging]]&amp;"-"&amp;tbl_IO_List[[#This Row],[Point-Count]]</f>
        <v>-</v>
      </c>
      <c r="AT739" s="136" t="str">
        <f>tbl_IO_List[[#This Row],[Front Terminal Tagging]]&amp;"/"&amp;tbl_IO_List[[#This Row],[Terminal Tagging-Item]]</f>
        <v>C5S1-/-</v>
      </c>
      <c r="AU739" s="136" t="str">
        <f>tbl_IO_List[[#This Row],[Terminal Tagging-Item]]&amp;"/"&amp;tbl_IO_List[[#This Row],[Front Terminal Tagging]]</f>
        <v>-/C5S1-</v>
      </c>
    </row>
    <row r="740" spans="1:47" hidden="1">
      <c r="A740" s="147" t="s">
        <v>1373</v>
      </c>
      <c r="B740" s="136" t="s">
        <v>382</v>
      </c>
      <c r="C740" s="136" t="str">
        <f>tbl_IO_List[[#This Row],[Column3]]</f>
        <v>C5S01,22</v>
      </c>
      <c r="D740" s="136" t="str">
        <f>tbl_IO_List[[#This Row],[Card]]</f>
        <v>1756-IB32-22</v>
      </c>
      <c r="E740" s="136" t="s">
        <v>1372</v>
      </c>
      <c r="F740" s="136" t="str">
        <f>tbl_IO_List[[#This Row],[Column23]]&amp;"-" &amp;tbl_IO_List[[#This Row],[Column52]]</f>
        <v>C5S01-X2</v>
      </c>
      <c r="G740" s="136" t="str">
        <f>tbl_IO_List[[#This Row],[PLC_Tag]]</f>
        <v>XA-80306C_DI_1</v>
      </c>
      <c r="H740" s="136"/>
      <c r="I740" s="136" t="str">
        <f>VLOOKUP(tbl_IO_List[[#This Row],[Destination]],tbl_Junction[],2,FALSE)</f>
        <v>Slurry - Out Building 2nd Floor</v>
      </c>
      <c r="J740" s="136" t="s">
        <v>382</v>
      </c>
      <c r="K740" s="136" t="s">
        <v>404</v>
      </c>
      <c r="L740" s="136" t="s">
        <v>1290</v>
      </c>
      <c r="M740" s="136">
        <f>VLOOKUP(tbl_IO_List[[#This Row],[Instruement Tag]],tbl_Instruement_List[],2,FALSE)</f>
        <v>0</v>
      </c>
      <c r="N740" s="136" t="s">
        <v>15</v>
      </c>
      <c r="O740" s="136" t="s">
        <v>405</v>
      </c>
      <c r="P740" s="136" t="s">
        <v>18</v>
      </c>
      <c r="Q740" s="136" t="str">
        <f>VLOOKUP(tbl_IO_List[[#This Row],[Instruement Tag]],tbl_Instruement_List[],6,FALSE)</f>
        <v>Gas Vaporizer 6 control status</v>
      </c>
      <c r="R740" s="136"/>
      <c r="S74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40" s="136" t="str">
        <f>tbl_IO_List[[#This Row],[Instruement Tag]]&amp;"_"&amp;tbl_IO_List[[#This Row],[I/O Type]]&amp;"_"&amp;tbl_IO_List[[#This Row],[IO-Point 
(Instruement)]]</f>
        <v>XA-80306C_DI_1</v>
      </c>
      <c r="U740" s="136" t="s">
        <v>8</v>
      </c>
      <c r="V740" s="136">
        <f>VLOOKUP(tbl_IO_List[[#This Row],[I/O Type]],tbl_Slot_Group[],2,FALSE)</f>
        <v>1</v>
      </c>
      <c r="W740" s="136">
        <v>1</v>
      </c>
      <c r="X740" s="136" t="str">
        <f>tbl_IO_List[[#This Row],[Chassis]]&amp;"S"&amp;TEXT(tbl_IO_List[[#This Row],[Slot]],"00")</f>
        <v>C5S01</v>
      </c>
      <c r="Y740" s="136" t="str">
        <f>tbl_IO_List[[#This Row],[Chassis]]&amp;"S"&amp;TEXT(tbl_IO_List[[#This Row],[Slot]],"00")&amp;tbl_IO_List[[#This Row],[I/O Type]]&amp;TEXT(tbl_IO_List[[#This Row],[Point]],"00")</f>
        <v>C5S01DI22</v>
      </c>
      <c r="Z740" s="136" t="str">
        <f>tbl_IO_List[[#This Row],[Chassis]]&amp;"S"&amp;TEXT(tbl_IO_List[[#This Row],[Slot]],"00")&amp;","&amp;TEXT(tbl_IO_List[[#This Row],[Point]],"00")</f>
        <v>C5S01,22</v>
      </c>
      <c r="AA740" s="136" t="str">
        <f>VLOOKUP(tbl_IO_List[[#This Row],[Column23]],tbl_RackConfig[],5,FALSE) &amp;"-"&amp;tbl_IO_List[[#This Row],[Point]]</f>
        <v>1756-IB32-22</v>
      </c>
      <c r="AB740" s="136"/>
      <c r="AC740" s="136"/>
      <c r="AD740" s="136" t="str">
        <f>tbl_IO_List[[#This Row],[I/O Type]]</f>
        <v>DI</v>
      </c>
      <c r="AE740" s="136" t="s">
        <v>1336</v>
      </c>
      <c r="AF740" s="136">
        <v>1</v>
      </c>
      <c r="AG740" s="136">
        <v>22</v>
      </c>
      <c r="AH740" s="136"/>
      <c r="AI740" s="136"/>
      <c r="AJ740" s="136">
        <v>1</v>
      </c>
      <c r="AK740" s="136">
        <v>0</v>
      </c>
      <c r="AL740" s="136">
        <v>0</v>
      </c>
      <c r="AM740" s="136">
        <v>0</v>
      </c>
      <c r="AN740" s="136">
        <v>0</v>
      </c>
      <c r="AO740" s="136"/>
      <c r="AP740" s="143" t="str">
        <f>VLOOKUP(tbl_IO_List[[#This Row],[Instruement Tag]],tbl_Instruement_List[],14,FALSE)</f>
        <v>Dry Contact</v>
      </c>
      <c r="AQ740" s="143" t="str">
        <f>tbl_IO_List[[#This Row],[Chassis]]&amp;"S"&amp;tbl_IO_List[[#This Row],[Slot]]&amp;"-"&amp;tbl_IO_List[[#This Row],[Front Terminal Number]]</f>
        <v>C5S1-</v>
      </c>
      <c r="AR740" s="143"/>
      <c r="AS740" s="136" t="str">
        <f>tbl_IO_List[[#This Row],[Terminal Tagging]]&amp;"-"&amp;tbl_IO_List[[#This Row],[Point-Count]]</f>
        <v>-</v>
      </c>
      <c r="AT740" s="136" t="str">
        <f>tbl_IO_List[[#This Row],[Front Terminal Tagging]]&amp;"/"&amp;tbl_IO_List[[#This Row],[Terminal Tagging-Item]]</f>
        <v>C5S1-/-</v>
      </c>
      <c r="AU740" s="136" t="str">
        <f>tbl_IO_List[[#This Row],[Terminal Tagging-Item]]&amp;"/"&amp;tbl_IO_List[[#This Row],[Front Terminal Tagging]]</f>
        <v>-/C5S1-</v>
      </c>
    </row>
    <row r="741" spans="1:47" hidden="1">
      <c r="A741" s="147" t="s">
        <v>1373</v>
      </c>
      <c r="B741" s="136" t="s">
        <v>382</v>
      </c>
      <c r="C741" s="136" t="str">
        <f>tbl_IO_List[[#This Row],[Column3]]</f>
        <v>C5S01,23</v>
      </c>
      <c r="D741" s="136" t="str">
        <f>tbl_IO_List[[#This Row],[Card]]</f>
        <v>1756-IB32-23</v>
      </c>
      <c r="E741" s="136" t="s">
        <v>1372</v>
      </c>
      <c r="F741" s="136" t="str">
        <f>tbl_IO_List[[#This Row],[Column23]]&amp;"-" &amp;tbl_IO_List[[#This Row],[Column52]]</f>
        <v>C5S01-X2</v>
      </c>
      <c r="G741" s="136" t="str">
        <f>tbl_IO_List[[#This Row],[PLC_Tag]]</f>
        <v>XA-80306D_DI_1</v>
      </c>
      <c r="H741" s="136"/>
      <c r="I741" s="136" t="str">
        <f>VLOOKUP(tbl_IO_List[[#This Row],[Destination]],tbl_Junction[],2,FALSE)</f>
        <v>Slurry - Out Building 2nd Floor</v>
      </c>
      <c r="J741" s="136" t="s">
        <v>382</v>
      </c>
      <c r="K741" s="136" t="s">
        <v>404</v>
      </c>
      <c r="L741" s="136" t="s">
        <v>1291</v>
      </c>
      <c r="M741" s="136">
        <f>VLOOKUP(tbl_IO_List[[#This Row],[Instruement Tag]],tbl_Instruement_List[],2,FALSE)</f>
        <v>0</v>
      </c>
      <c r="N741" s="136" t="s">
        <v>15</v>
      </c>
      <c r="O741" s="136" t="s">
        <v>405</v>
      </c>
      <c r="P741" s="136" t="s">
        <v>18</v>
      </c>
      <c r="Q741" s="136" t="str">
        <f>VLOOKUP(tbl_IO_List[[#This Row],[Instruement Tag]],tbl_Instruement_List[],6,FALSE)</f>
        <v>Gas Vaporizer 6 control status</v>
      </c>
      <c r="R741" s="136"/>
      <c r="S74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41" s="136" t="str">
        <f>tbl_IO_List[[#This Row],[Instruement Tag]]&amp;"_"&amp;tbl_IO_List[[#This Row],[I/O Type]]&amp;"_"&amp;tbl_IO_List[[#This Row],[IO-Point 
(Instruement)]]</f>
        <v>XA-80306D_DI_1</v>
      </c>
      <c r="U741" s="136" t="s">
        <v>8</v>
      </c>
      <c r="V741" s="136">
        <f>VLOOKUP(tbl_IO_List[[#This Row],[I/O Type]],tbl_Slot_Group[],2,FALSE)</f>
        <v>1</v>
      </c>
      <c r="W741" s="136">
        <v>1</v>
      </c>
      <c r="X741" s="136" t="str">
        <f>tbl_IO_List[[#This Row],[Chassis]]&amp;"S"&amp;TEXT(tbl_IO_List[[#This Row],[Slot]],"00")</f>
        <v>C5S01</v>
      </c>
      <c r="Y741" s="136" t="str">
        <f>tbl_IO_List[[#This Row],[Chassis]]&amp;"S"&amp;TEXT(tbl_IO_List[[#This Row],[Slot]],"00")&amp;tbl_IO_List[[#This Row],[I/O Type]]&amp;TEXT(tbl_IO_List[[#This Row],[Point]],"00")</f>
        <v>C5S01DI23</v>
      </c>
      <c r="Z741" s="136" t="str">
        <f>tbl_IO_List[[#This Row],[Chassis]]&amp;"S"&amp;TEXT(tbl_IO_List[[#This Row],[Slot]],"00")&amp;","&amp;TEXT(tbl_IO_List[[#This Row],[Point]],"00")</f>
        <v>C5S01,23</v>
      </c>
      <c r="AA741" s="136" t="str">
        <f>VLOOKUP(tbl_IO_List[[#This Row],[Column23]],tbl_RackConfig[],5,FALSE) &amp;"-"&amp;tbl_IO_List[[#This Row],[Point]]</f>
        <v>1756-IB32-23</v>
      </c>
      <c r="AB741" s="136"/>
      <c r="AC741" s="136"/>
      <c r="AD741" s="136" t="str">
        <f>tbl_IO_List[[#This Row],[I/O Type]]</f>
        <v>DI</v>
      </c>
      <c r="AE741" s="136" t="s">
        <v>1336</v>
      </c>
      <c r="AF741" s="136">
        <v>1</v>
      </c>
      <c r="AG741" s="136">
        <v>23</v>
      </c>
      <c r="AH741" s="136"/>
      <c r="AI741" s="136"/>
      <c r="AJ741" s="136">
        <v>1</v>
      </c>
      <c r="AK741" s="136">
        <v>0</v>
      </c>
      <c r="AL741" s="136">
        <v>0</v>
      </c>
      <c r="AM741" s="136">
        <v>0</v>
      </c>
      <c r="AN741" s="136">
        <v>0</v>
      </c>
      <c r="AO741" s="136"/>
      <c r="AP741" s="143" t="str">
        <f>VLOOKUP(tbl_IO_List[[#This Row],[Instruement Tag]],tbl_Instruement_List[],14,FALSE)</f>
        <v>Dry Contact</v>
      </c>
      <c r="AQ741" s="143" t="str">
        <f>tbl_IO_List[[#This Row],[Chassis]]&amp;"S"&amp;tbl_IO_List[[#This Row],[Slot]]&amp;"-"&amp;tbl_IO_List[[#This Row],[Front Terminal Number]]</f>
        <v>C5S1-</v>
      </c>
      <c r="AR741" s="143"/>
      <c r="AS741" s="136" t="str">
        <f>tbl_IO_List[[#This Row],[Terminal Tagging]]&amp;"-"&amp;tbl_IO_List[[#This Row],[Point-Count]]</f>
        <v>-</v>
      </c>
      <c r="AT741" s="136" t="str">
        <f>tbl_IO_List[[#This Row],[Front Terminal Tagging]]&amp;"/"&amp;tbl_IO_List[[#This Row],[Terminal Tagging-Item]]</f>
        <v>C5S1-/-</v>
      </c>
      <c r="AU741" s="136" t="str">
        <f>tbl_IO_List[[#This Row],[Terminal Tagging-Item]]&amp;"/"&amp;tbl_IO_List[[#This Row],[Front Terminal Tagging]]</f>
        <v>-/C5S1-</v>
      </c>
    </row>
    <row r="742" spans="1:47" hidden="1">
      <c r="A742" s="147" t="s">
        <v>1373</v>
      </c>
      <c r="B742" s="136" t="s">
        <v>382</v>
      </c>
      <c r="C742" s="136" t="str">
        <f>tbl_IO_List[[#This Row],[Column3]]</f>
        <v>C5S01,24</v>
      </c>
      <c r="D742" s="136" t="str">
        <f>tbl_IO_List[[#This Row],[Card]]</f>
        <v>1756-IB32-24</v>
      </c>
      <c r="E742" s="136" t="s">
        <v>1372</v>
      </c>
      <c r="F742" s="136" t="str">
        <f>tbl_IO_List[[#This Row],[Column23]]&amp;"-" &amp;tbl_IO_List[[#This Row],[Column52]]</f>
        <v>C5S01-X2</v>
      </c>
      <c r="G742" s="136" t="str">
        <f>tbl_IO_List[[#This Row],[PLC_Tag]]</f>
        <v>XA-80306E_DI_1</v>
      </c>
      <c r="H742" s="136"/>
      <c r="I742" s="136" t="str">
        <f>VLOOKUP(tbl_IO_List[[#This Row],[Destination]],tbl_Junction[],2,FALSE)</f>
        <v>Slurry - Out Building 2nd Floor</v>
      </c>
      <c r="J742" s="136" t="s">
        <v>382</v>
      </c>
      <c r="K742" s="136" t="s">
        <v>404</v>
      </c>
      <c r="L742" s="136" t="s">
        <v>1292</v>
      </c>
      <c r="M742" s="136">
        <f>VLOOKUP(tbl_IO_List[[#This Row],[Instruement Tag]],tbl_Instruement_List[],2,FALSE)</f>
        <v>0</v>
      </c>
      <c r="N742" s="136" t="s">
        <v>15</v>
      </c>
      <c r="O742" s="136" t="s">
        <v>405</v>
      </c>
      <c r="P742" s="136" t="s">
        <v>18</v>
      </c>
      <c r="Q742" s="136" t="str">
        <f>VLOOKUP(tbl_IO_List[[#This Row],[Instruement Tag]],tbl_Instruement_List[],6,FALSE)</f>
        <v>Gas Vaporizer 6 control status</v>
      </c>
      <c r="R742" s="136"/>
      <c r="S74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42" s="136" t="str">
        <f>tbl_IO_List[[#This Row],[Instruement Tag]]&amp;"_"&amp;tbl_IO_List[[#This Row],[I/O Type]]&amp;"_"&amp;tbl_IO_List[[#This Row],[IO-Point 
(Instruement)]]</f>
        <v>XA-80306E_DI_1</v>
      </c>
      <c r="U742" s="136" t="s">
        <v>8</v>
      </c>
      <c r="V742" s="136">
        <f>VLOOKUP(tbl_IO_List[[#This Row],[I/O Type]],tbl_Slot_Group[],2,FALSE)</f>
        <v>1</v>
      </c>
      <c r="W742" s="136">
        <v>1</v>
      </c>
      <c r="X742" s="136" t="str">
        <f>tbl_IO_List[[#This Row],[Chassis]]&amp;"S"&amp;TEXT(tbl_IO_List[[#This Row],[Slot]],"00")</f>
        <v>C5S01</v>
      </c>
      <c r="Y742" s="136" t="str">
        <f>tbl_IO_List[[#This Row],[Chassis]]&amp;"S"&amp;TEXT(tbl_IO_List[[#This Row],[Slot]],"00")&amp;tbl_IO_List[[#This Row],[I/O Type]]&amp;TEXT(tbl_IO_List[[#This Row],[Point]],"00")</f>
        <v>C5S01DI24</v>
      </c>
      <c r="Z742" s="136" t="str">
        <f>tbl_IO_List[[#This Row],[Chassis]]&amp;"S"&amp;TEXT(tbl_IO_List[[#This Row],[Slot]],"00")&amp;","&amp;TEXT(tbl_IO_List[[#This Row],[Point]],"00")</f>
        <v>C5S01,24</v>
      </c>
      <c r="AA742" s="136" t="str">
        <f>VLOOKUP(tbl_IO_List[[#This Row],[Column23]],tbl_RackConfig[],5,FALSE) &amp;"-"&amp;tbl_IO_List[[#This Row],[Point]]</f>
        <v>1756-IB32-24</v>
      </c>
      <c r="AB742" s="136"/>
      <c r="AC742" s="136"/>
      <c r="AD742" s="136" t="str">
        <f>tbl_IO_List[[#This Row],[I/O Type]]</f>
        <v>DI</v>
      </c>
      <c r="AE742" s="136" t="s">
        <v>1336</v>
      </c>
      <c r="AF742" s="136">
        <v>1</v>
      </c>
      <c r="AG742" s="136">
        <v>24</v>
      </c>
      <c r="AH742" s="136"/>
      <c r="AI742" s="136"/>
      <c r="AJ742" s="136">
        <v>1</v>
      </c>
      <c r="AK742" s="136">
        <v>0</v>
      </c>
      <c r="AL742" s="136">
        <v>0</v>
      </c>
      <c r="AM742" s="136">
        <v>0</v>
      </c>
      <c r="AN742" s="136">
        <v>0</v>
      </c>
      <c r="AO742" s="136"/>
      <c r="AP742" s="143" t="str">
        <f>VLOOKUP(tbl_IO_List[[#This Row],[Instruement Tag]],tbl_Instruement_List[],14,FALSE)</f>
        <v>Dry Contact</v>
      </c>
      <c r="AQ742" s="143" t="str">
        <f>tbl_IO_List[[#This Row],[Chassis]]&amp;"S"&amp;tbl_IO_List[[#This Row],[Slot]]&amp;"-"&amp;tbl_IO_List[[#This Row],[Front Terminal Number]]</f>
        <v>C5S1-</v>
      </c>
      <c r="AR742" s="143"/>
      <c r="AS742" s="136" t="str">
        <f>tbl_IO_List[[#This Row],[Terminal Tagging]]&amp;"-"&amp;tbl_IO_List[[#This Row],[Point-Count]]</f>
        <v>-</v>
      </c>
      <c r="AT742" s="136" t="str">
        <f>tbl_IO_List[[#This Row],[Front Terminal Tagging]]&amp;"/"&amp;tbl_IO_List[[#This Row],[Terminal Tagging-Item]]</f>
        <v>C5S1-/-</v>
      </c>
      <c r="AU742" s="136" t="str">
        <f>tbl_IO_List[[#This Row],[Terminal Tagging-Item]]&amp;"/"&amp;tbl_IO_List[[#This Row],[Front Terminal Tagging]]</f>
        <v>-/C5S1-</v>
      </c>
    </row>
    <row r="743" spans="1:47" hidden="1">
      <c r="A743" s="147" t="s">
        <v>1373</v>
      </c>
      <c r="B743" s="136" t="s">
        <v>382</v>
      </c>
      <c r="C743" s="136" t="str">
        <f>tbl_IO_List[[#This Row],[Column3]]</f>
        <v>C5S01,25</v>
      </c>
      <c r="D743" s="136" t="str">
        <f>tbl_IO_List[[#This Row],[Card]]</f>
        <v>1756-IB32-25</v>
      </c>
      <c r="E743" s="136" t="s">
        <v>1372</v>
      </c>
      <c r="F743" s="136" t="str">
        <f>tbl_IO_List[[#This Row],[Column23]]&amp;"-" &amp;tbl_IO_List[[#This Row],[Column52]]</f>
        <v>C5S01-X2</v>
      </c>
      <c r="G743" s="136" t="str">
        <f>tbl_IO_List[[#This Row],[PLC_Tag]]</f>
        <v>XA-80306F_DI_1</v>
      </c>
      <c r="H743" s="136"/>
      <c r="I743" s="136" t="str">
        <f>VLOOKUP(tbl_IO_List[[#This Row],[Destination]],tbl_Junction[],2,FALSE)</f>
        <v>Slurry - Out Building 2nd Floor</v>
      </c>
      <c r="J743" s="136" t="s">
        <v>382</v>
      </c>
      <c r="K743" s="136" t="s">
        <v>404</v>
      </c>
      <c r="L743" s="136" t="s">
        <v>1293</v>
      </c>
      <c r="M743" s="136">
        <f>VLOOKUP(tbl_IO_List[[#This Row],[Instruement Tag]],tbl_Instruement_List[],2,FALSE)</f>
        <v>0</v>
      </c>
      <c r="N743" s="136" t="s">
        <v>15</v>
      </c>
      <c r="O743" s="136" t="s">
        <v>405</v>
      </c>
      <c r="P743" s="136" t="s">
        <v>18</v>
      </c>
      <c r="Q743" s="136" t="str">
        <f>VLOOKUP(tbl_IO_List[[#This Row],[Instruement Tag]],tbl_Instruement_List[],6,FALSE)</f>
        <v>Gas Vaporizer 6 control status</v>
      </c>
      <c r="R743" s="136"/>
      <c r="S74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43" s="136" t="str">
        <f>tbl_IO_List[[#This Row],[Instruement Tag]]&amp;"_"&amp;tbl_IO_List[[#This Row],[I/O Type]]&amp;"_"&amp;tbl_IO_List[[#This Row],[IO-Point 
(Instruement)]]</f>
        <v>XA-80306F_DI_1</v>
      </c>
      <c r="U743" s="136" t="s">
        <v>8</v>
      </c>
      <c r="V743" s="136">
        <f>VLOOKUP(tbl_IO_List[[#This Row],[I/O Type]],tbl_Slot_Group[],2,FALSE)</f>
        <v>1</v>
      </c>
      <c r="W743" s="136">
        <v>1</v>
      </c>
      <c r="X743" s="136" t="str">
        <f>tbl_IO_List[[#This Row],[Chassis]]&amp;"S"&amp;TEXT(tbl_IO_List[[#This Row],[Slot]],"00")</f>
        <v>C5S01</v>
      </c>
      <c r="Y743" s="136" t="str">
        <f>tbl_IO_List[[#This Row],[Chassis]]&amp;"S"&amp;TEXT(tbl_IO_List[[#This Row],[Slot]],"00")&amp;tbl_IO_List[[#This Row],[I/O Type]]&amp;TEXT(tbl_IO_List[[#This Row],[Point]],"00")</f>
        <v>C5S01DI25</v>
      </c>
      <c r="Z743" s="136" t="str">
        <f>tbl_IO_List[[#This Row],[Chassis]]&amp;"S"&amp;TEXT(tbl_IO_List[[#This Row],[Slot]],"00")&amp;","&amp;TEXT(tbl_IO_List[[#This Row],[Point]],"00")</f>
        <v>C5S01,25</v>
      </c>
      <c r="AA743" s="136" t="str">
        <f>VLOOKUP(tbl_IO_List[[#This Row],[Column23]],tbl_RackConfig[],5,FALSE) &amp;"-"&amp;tbl_IO_List[[#This Row],[Point]]</f>
        <v>1756-IB32-25</v>
      </c>
      <c r="AB743" s="136"/>
      <c r="AC743" s="136"/>
      <c r="AD743" s="136" t="str">
        <f>tbl_IO_List[[#This Row],[I/O Type]]</f>
        <v>DI</v>
      </c>
      <c r="AE743" s="136" t="s">
        <v>1336</v>
      </c>
      <c r="AF743" s="136">
        <v>1</v>
      </c>
      <c r="AG743" s="136">
        <v>25</v>
      </c>
      <c r="AH743" s="136"/>
      <c r="AI743" s="136"/>
      <c r="AJ743" s="136">
        <v>1</v>
      </c>
      <c r="AK743" s="136">
        <v>0</v>
      </c>
      <c r="AL743" s="136">
        <v>0</v>
      </c>
      <c r="AM743" s="136">
        <v>0</v>
      </c>
      <c r="AN743" s="136">
        <v>0</v>
      </c>
      <c r="AO743" s="136"/>
      <c r="AP743" s="143" t="str">
        <f>VLOOKUP(tbl_IO_List[[#This Row],[Instruement Tag]],tbl_Instruement_List[],14,FALSE)</f>
        <v>Dry Contact</v>
      </c>
      <c r="AQ743" s="143" t="str">
        <f>tbl_IO_List[[#This Row],[Chassis]]&amp;"S"&amp;tbl_IO_List[[#This Row],[Slot]]&amp;"-"&amp;tbl_IO_List[[#This Row],[Front Terminal Number]]</f>
        <v>C5S1-</v>
      </c>
      <c r="AR743" s="143"/>
      <c r="AS743" s="136" t="str">
        <f>tbl_IO_List[[#This Row],[Terminal Tagging]]&amp;"-"&amp;tbl_IO_List[[#This Row],[Point-Count]]</f>
        <v>-</v>
      </c>
      <c r="AT743" s="136" t="str">
        <f>tbl_IO_List[[#This Row],[Front Terminal Tagging]]&amp;"/"&amp;tbl_IO_List[[#This Row],[Terminal Tagging-Item]]</f>
        <v>C5S1-/-</v>
      </c>
      <c r="AU743" s="136" t="str">
        <f>tbl_IO_List[[#This Row],[Terminal Tagging-Item]]&amp;"/"&amp;tbl_IO_List[[#This Row],[Front Terminal Tagging]]</f>
        <v>-/C5S1-</v>
      </c>
    </row>
    <row r="744" spans="1:47" hidden="1">
      <c r="A744" s="147" t="s">
        <v>1373</v>
      </c>
      <c r="B744" s="136" t="s">
        <v>382</v>
      </c>
      <c r="C744" s="136" t="str">
        <f>tbl_IO_List[[#This Row],[Column3]]</f>
        <v>C5S01,26</v>
      </c>
      <c r="D744" s="136" t="str">
        <f>tbl_IO_List[[#This Row],[Card]]</f>
        <v>1756-IB32-26</v>
      </c>
      <c r="E744" s="136" t="s">
        <v>1372</v>
      </c>
      <c r="F744" s="136" t="str">
        <f>tbl_IO_List[[#This Row],[Column23]]&amp;"-" &amp;tbl_IO_List[[#This Row],[Column52]]</f>
        <v>C5S01-X2</v>
      </c>
      <c r="G744" s="136" t="str">
        <f>tbl_IO_List[[#This Row],[PLC_Tag]]</f>
        <v>XV-20201_DI_1</v>
      </c>
      <c r="H744" s="136"/>
      <c r="I744" s="136" t="str">
        <f>VLOOKUP(tbl_IO_List[[#This Row],[Destination]],tbl_Junction[],2,FALSE)</f>
        <v>Slurry - Out Building 2nd Floor</v>
      </c>
      <c r="J744" s="136" t="s">
        <v>382</v>
      </c>
      <c r="K744" s="136" t="s">
        <v>383</v>
      </c>
      <c r="L744" s="136" t="s">
        <v>395</v>
      </c>
      <c r="M744" s="136">
        <f>VLOOKUP(tbl_IO_List[[#This Row],[Instruement Tag]],tbl_Instruement_List[],2,FALSE)</f>
        <v>0</v>
      </c>
      <c r="N744" s="136" t="s">
        <v>15</v>
      </c>
      <c r="O744" s="136" t="s">
        <v>386</v>
      </c>
      <c r="P744" s="136" t="s">
        <v>384</v>
      </c>
      <c r="Q744" s="136" t="str">
        <f>VLOOKUP(tbl_IO_List[[#This Row],[Instruement Tag]],tbl_Instruement_List[],6,FALSE)</f>
        <v>Slurry Preparation Tank 1</v>
      </c>
      <c r="R744" s="136"/>
      <c r="S74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744" s="136" t="str">
        <f>tbl_IO_List[[#This Row],[Instruement Tag]]&amp;"_"&amp;tbl_IO_List[[#This Row],[I/O Type]]&amp;"_"&amp;tbl_IO_List[[#This Row],[IO-Point 
(Instruement)]]</f>
        <v>XV-20201_DI_1</v>
      </c>
      <c r="U744" s="136" t="s">
        <v>8</v>
      </c>
      <c r="V744" s="136">
        <f>VLOOKUP(tbl_IO_List[[#This Row],[I/O Type]],tbl_Slot_Group[],2,FALSE)</f>
        <v>1</v>
      </c>
      <c r="W744" s="136">
        <v>1</v>
      </c>
      <c r="X744" s="136" t="str">
        <f>tbl_IO_List[[#This Row],[Chassis]]&amp;"S"&amp;TEXT(tbl_IO_List[[#This Row],[Slot]],"00")</f>
        <v>C5S01</v>
      </c>
      <c r="Y744" s="136" t="str">
        <f>tbl_IO_List[[#This Row],[Chassis]]&amp;"S"&amp;TEXT(tbl_IO_List[[#This Row],[Slot]],"00")&amp;tbl_IO_List[[#This Row],[I/O Type]]&amp;TEXT(tbl_IO_List[[#This Row],[Point]],"00")</f>
        <v>C5S01DI26</v>
      </c>
      <c r="Z744" s="136" t="str">
        <f>tbl_IO_List[[#This Row],[Chassis]]&amp;"S"&amp;TEXT(tbl_IO_List[[#This Row],[Slot]],"00")&amp;","&amp;TEXT(tbl_IO_List[[#This Row],[Point]],"00")</f>
        <v>C5S01,26</v>
      </c>
      <c r="AA744" s="136" t="str">
        <f>VLOOKUP(tbl_IO_List[[#This Row],[Column23]],tbl_RackConfig[],5,FALSE) &amp;"-"&amp;tbl_IO_List[[#This Row],[Point]]</f>
        <v>1756-IB32-26</v>
      </c>
      <c r="AB744" s="136"/>
      <c r="AC744" s="136"/>
      <c r="AD744" s="136" t="str">
        <f>tbl_IO_List[[#This Row],[I/O Type]]</f>
        <v>DI</v>
      </c>
      <c r="AE744" s="136" t="s">
        <v>1336</v>
      </c>
      <c r="AF744" s="136">
        <v>1</v>
      </c>
      <c r="AG744" s="136">
        <v>26</v>
      </c>
      <c r="AH744" s="136"/>
      <c r="AI744" s="136"/>
      <c r="AJ744" s="136">
        <v>2</v>
      </c>
      <c r="AK744" s="136">
        <v>1</v>
      </c>
      <c r="AL744" s="136">
        <v>0</v>
      </c>
      <c r="AM744" s="136">
        <v>0</v>
      </c>
      <c r="AN744" s="136">
        <v>0</v>
      </c>
      <c r="AO744" s="136"/>
      <c r="AP744" s="143" t="str">
        <f>VLOOKUP(tbl_IO_List[[#This Row],[Instruement Tag]],tbl_Instruement_List[],14,FALSE)</f>
        <v>24 VDC energized</v>
      </c>
      <c r="AQ744" s="143" t="str">
        <f>tbl_IO_List[[#This Row],[Chassis]]&amp;"S"&amp;tbl_IO_List[[#This Row],[Slot]]&amp;"-"&amp;tbl_IO_List[[#This Row],[Front Terminal Number]]</f>
        <v>C5S1-</v>
      </c>
      <c r="AR744" s="143"/>
      <c r="AS744" s="136" t="str">
        <f>tbl_IO_List[[#This Row],[Terminal Tagging]]&amp;"-"&amp;tbl_IO_List[[#This Row],[Point-Count]]</f>
        <v>-</v>
      </c>
      <c r="AT744" s="136" t="str">
        <f>tbl_IO_List[[#This Row],[Front Terminal Tagging]]&amp;"/"&amp;tbl_IO_List[[#This Row],[Terminal Tagging-Item]]</f>
        <v>C5S1-/-</v>
      </c>
      <c r="AU744" s="136" t="str">
        <f>tbl_IO_List[[#This Row],[Terminal Tagging-Item]]&amp;"/"&amp;tbl_IO_List[[#This Row],[Front Terminal Tagging]]</f>
        <v>-/C5S1-</v>
      </c>
    </row>
    <row r="745" spans="1:47" hidden="1">
      <c r="A745" s="147" t="s">
        <v>1373</v>
      </c>
      <c r="B745" s="136" t="s">
        <v>382</v>
      </c>
      <c r="C745" s="136" t="str">
        <f>tbl_IO_List[[#This Row],[Column3]]</f>
        <v>C5S01,27</v>
      </c>
      <c r="D745" s="136" t="str">
        <f>tbl_IO_List[[#This Row],[Card]]</f>
        <v>1756-IB32-27</v>
      </c>
      <c r="E745" s="136" t="s">
        <v>1372</v>
      </c>
      <c r="F745" s="136" t="str">
        <f>tbl_IO_List[[#This Row],[Column23]]&amp;"-" &amp;tbl_IO_List[[#This Row],[Column52]]</f>
        <v>C5S01-X2</v>
      </c>
      <c r="G745" s="136" t="str">
        <f>tbl_IO_List[[#This Row],[PLC_Tag]]</f>
        <v>XV-20201_DI_2</v>
      </c>
      <c r="H745" s="136"/>
      <c r="I745" s="136" t="str">
        <f>VLOOKUP(tbl_IO_List[[#This Row],[Destination]],tbl_Junction[],2,FALSE)</f>
        <v>Slurry - Out Building 2nd Floor</v>
      </c>
      <c r="J745" s="136" t="s">
        <v>382</v>
      </c>
      <c r="K745" s="136" t="s">
        <v>383</v>
      </c>
      <c r="L745" s="136" t="s">
        <v>395</v>
      </c>
      <c r="M745" s="136">
        <f>VLOOKUP(tbl_IO_List[[#This Row],[Instruement Tag]],tbl_Instruement_List[],2,FALSE)</f>
        <v>0</v>
      </c>
      <c r="N745" s="136" t="s">
        <v>15</v>
      </c>
      <c r="O745" s="136" t="s">
        <v>386</v>
      </c>
      <c r="P745" s="136" t="s">
        <v>384</v>
      </c>
      <c r="Q745" s="136" t="str">
        <f>VLOOKUP(tbl_IO_List[[#This Row],[Instruement Tag]],tbl_Instruement_List[],6,FALSE)</f>
        <v>Slurry Preparation Tank 1</v>
      </c>
      <c r="R745" s="136"/>
      <c r="S74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745" s="136" t="str">
        <f>tbl_IO_List[[#This Row],[Instruement Tag]]&amp;"_"&amp;tbl_IO_List[[#This Row],[I/O Type]]&amp;"_"&amp;tbl_IO_List[[#This Row],[IO-Point 
(Instruement)]]</f>
        <v>XV-20201_DI_2</v>
      </c>
      <c r="U745" s="136" t="s">
        <v>8</v>
      </c>
      <c r="V745" s="136">
        <f>VLOOKUP(tbl_IO_List[[#This Row],[I/O Type]],tbl_Slot_Group[],2,FALSE)</f>
        <v>1</v>
      </c>
      <c r="W745" s="136">
        <v>2</v>
      </c>
      <c r="X745" s="136" t="str">
        <f>tbl_IO_List[[#This Row],[Chassis]]&amp;"S"&amp;TEXT(tbl_IO_List[[#This Row],[Slot]],"00")</f>
        <v>C5S01</v>
      </c>
      <c r="Y745" s="136" t="str">
        <f>tbl_IO_List[[#This Row],[Chassis]]&amp;"S"&amp;TEXT(tbl_IO_List[[#This Row],[Slot]],"00")&amp;tbl_IO_List[[#This Row],[I/O Type]]&amp;TEXT(tbl_IO_List[[#This Row],[Point]],"00")</f>
        <v>C5S01DI27</v>
      </c>
      <c r="Z745" s="136" t="str">
        <f>tbl_IO_List[[#This Row],[Chassis]]&amp;"S"&amp;TEXT(tbl_IO_List[[#This Row],[Slot]],"00")&amp;","&amp;TEXT(tbl_IO_List[[#This Row],[Point]],"00")</f>
        <v>C5S01,27</v>
      </c>
      <c r="AA745" s="136" t="str">
        <f>VLOOKUP(tbl_IO_List[[#This Row],[Column23]],tbl_RackConfig[],5,FALSE) &amp;"-"&amp;tbl_IO_List[[#This Row],[Point]]</f>
        <v>1756-IB32-27</v>
      </c>
      <c r="AB745" s="136"/>
      <c r="AC745" s="136"/>
      <c r="AD745" s="136" t="str">
        <f>tbl_IO_List[[#This Row],[I/O Type]]</f>
        <v>DI</v>
      </c>
      <c r="AE745" s="136" t="s">
        <v>1336</v>
      </c>
      <c r="AF745" s="136">
        <v>1</v>
      </c>
      <c r="AG745" s="136">
        <v>27</v>
      </c>
      <c r="AH745" s="136"/>
      <c r="AI745" s="136"/>
      <c r="AJ745" s="136">
        <v>2</v>
      </c>
      <c r="AK745" s="136">
        <v>1</v>
      </c>
      <c r="AL745" s="136">
        <v>0</v>
      </c>
      <c r="AM745" s="136">
        <v>0</v>
      </c>
      <c r="AN745" s="136">
        <v>0</v>
      </c>
      <c r="AO745" s="136"/>
      <c r="AP745" s="143" t="str">
        <f>VLOOKUP(tbl_IO_List[[#This Row],[Instruement Tag]],tbl_Instruement_List[],14,FALSE)</f>
        <v>24 VDC energized</v>
      </c>
      <c r="AQ745" s="143" t="str">
        <f>tbl_IO_List[[#This Row],[Chassis]]&amp;"S"&amp;tbl_IO_List[[#This Row],[Slot]]&amp;"-"&amp;tbl_IO_List[[#This Row],[Front Terminal Number]]</f>
        <v>C5S1-</v>
      </c>
      <c r="AR745" s="143"/>
      <c r="AS745" s="136" t="str">
        <f>tbl_IO_List[[#This Row],[Terminal Tagging]]&amp;"-"&amp;tbl_IO_List[[#This Row],[Point-Count]]</f>
        <v>-</v>
      </c>
      <c r="AT745" s="136" t="str">
        <f>tbl_IO_List[[#This Row],[Front Terminal Tagging]]&amp;"/"&amp;tbl_IO_List[[#This Row],[Terminal Tagging-Item]]</f>
        <v>C5S1-/-</v>
      </c>
      <c r="AU745" s="136" t="str">
        <f>tbl_IO_List[[#This Row],[Terminal Tagging-Item]]&amp;"/"&amp;tbl_IO_List[[#This Row],[Front Terminal Tagging]]</f>
        <v>-/C5S1-</v>
      </c>
    </row>
    <row r="746" spans="1:47" hidden="1">
      <c r="A746" s="147" t="s">
        <v>1373</v>
      </c>
      <c r="B746" s="136" t="s">
        <v>382</v>
      </c>
      <c r="C746" s="136" t="str">
        <f>tbl_IO_List[[#This Row],[Column3]]</f>
        <v>C5S01,28</v>
      </c>
      <c r="D746" s="136" t="str">
        <f>tbl_IO_List[[#This Row],[Card]]</f>
        <v>1756-IB32-28</v>
      </c>
      <c r="E746" s="136" t="s">
        <v>1372</v>
      </c>
      <c r="F746" s="136" t="str">
        <f>tbl_IO_List[[#This Row],[Column23]]&amp;"-" &amp;tbl_IO_List[[#This Row],[Column52]]</f>
        <v>C5S01-X2</v>
      </c>
      <c r="G746" s="136" t="str">
        <f>tbl_IO_List[[#This Row],[PLC_Tag]]</f>
        <v>XV-20202_DI_1</v>
      </c>
      <c r="H746" s="136"/>
      <c r="I746" s="136" t="str">
        <f>VLOOKUP(tbl_IO_List[[#This Row],[Destination]],tbl_Junction[],2,FALSE)</f>
        <v>Slurry - Out Building 2nd Floor</v>
      </c>
      <c r="J746" s="136" t="s">
        <v>382</v>
      </c>
      <c r="K746" s="136" t="s">
        <v>383</v>
      </c>
      <c r="L746" s="136" t="s">
        <v>396</v>
      </c>
      <c r="M746" s="136">
        <f>VLOOKUP(tbl_IO_List[[#This Row],[Instruement Tag]],tbl_Instruement_List[],2,FALSE)</f>
        <v>0</v>
      </c>
      <c r="N746" s="136" t="s">
        <v>15</v>
      </c>
      <c r="O746" s="136" t="s">
        <v>386</v>
      </c>
      <c r="P746" s="136" t="s">
        <v>384</v>
      </c>
      <c r="Q746" s="136" t="str">
        <f>VLOOKUP(tbl_IO_List[[#This Row],[Instruement Tag]],tbl_Instruement_List[],6,FALSE)</f>
        <v>Slurry Preparation Tank 1</v>
      </c>
      <c r="R746" s="136"/>
      <c r="S74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746" s="136" t="str">
        <f>tbl_IO_List[[#This Row],[Instruement Tag]]&amp;"_"&amp;tbl_IO_List[[#This Row],[I/O Type]]&amp;"_"&amp;tbl_IO_List[[#This Row],[IO-Point 
(Instruement)]]</f>
        <v>XV-20202_DI_1</v>
      </c>
      <c r="U746" s="136" t="s">
        <v>8</v>
      </c>
      <c r="V746" s="136">
        <f>VLOOKUP(tbl_IO_List[[#This Row],[I/O Type]],tbl_Slot_Group[],2,FALSE)</f>
        <v>1</v>
      </c>
      <c r="W746" s="136">
        <v>1</v>
      </c>
      <c r="X746" s="136" t="str">
        <f>tbl_IO_List[[#This Row],[Chassis]]&amp;"S"&amp;TEXT(tbl_IO_List[[#This Row],[Slot]],"00")</f>
        <v>C5S01</v>
      </c>
      <c r="Y746" s="136" t="str">
        <f>tbl_IO_List[[#This Row],[Chassis]]&amp;"S"&amp;TEXT(tbl_IO_List[[#This Row],[Slot]],"00")&amp;tbl_IO_List[[#This Row],[I/O Type]]&amp;TEXT(tbl_IO_List[[#This Row],[Point]],"00")</f>
        <v>C5S01DI28</v>
      </c>
      <c r="Z746" s="136" t="str">
        <f>tbl_IO_List[[#This Row],[Chassis]]&amp;"S"&amp;TEXT(tbl_IO_List[[#This Row],[Slot]],"00")&amp;","&amp;TEXT(tbl_IO_List[[#This Row],[Point]],"00")</f>
        <v>C5S01,28</v>
      </c>
      <c r="AA746" s="136" t="str">
        <f>VLOOKUP(tbl_IO_List[[#This Row],[Column23]],tbl_RackConfig[],5,FALSE) &amp;"-"&amp;tbl_IO_List[[#This Row],[Point]]</f>
        <v>1756-IB32-28</v>
      </c>
      <c r="AB746" s="136"/>
      <c r="AC746" s="136"/>
      <c r="AD746" s="136" t="str">
        <f>tbl_IO_List[[#This Row],[I/O Type]]</f>
        <v>DI</v>
      </c>
      <c r="AE746" s="136" t="s">
        <v>1336</v>
      </c>
      <c r="AF746" s="136">
        <v>1</v>
      </c>
      <c r="AG746" s="136">
        <v>28</v>
      </c>
      <c r="AH746" s="136"/>
      <c r="AI746" s="136"/>
      <c r="AJ746" s="136">
        <v>2</v>
      </c>
      <c r="AK746" s="136">
        <v>1</v>
      </c>
      <c r="AL746" s="136">
        <v>0</v>
      </c>
      <c r="AM746" s="136">
        <v>0</v>
      </c>
      <c r="AN746" s="136">
        <v>0</v>
      </c>
      <c r="AO746" s="136"/>
      <c r="AP746" s="143" t="str">
        <f>VLOOKUP(tbl_IO_List[[#This Row],[Instruement Tag]],tbl_Instruement_List[],14,FALSE)</f>
        <v>24 VDC energized</v>
      </c>
      <c r="AQ746" s="143" t="str">
        <f>tbl_IO_List[[#This Row],[Chassis]]&amp;"S"&amp;tbl_IO_List[[#This Row],[Slot]]&amp;"-"&amp;tbl_IO_List[[#This Row],[Front Terminal Number]]</f>
        <v>C5S1-</v>
      </c>
      <c r="AR746" s="143"/>
      <c r="AS746" s="136" t="str">
        <f>tbl_IO_List[[#This Row],[Terminal Tagging]]&amp;"-"&amp;tbl_IO_List[[#This Row],[Point-Count]]</f>
        <v>-</v>
      </c>
      <c r="AT746" s="136" t="str">
        <f>tbl_IO_List[[#This Row],[Front Terminal Tagging]]&amp;"/"&amp;tbl_IO_List[[#This Row],[Terminal Tagging-Item]]</f>
        <v>C5S1-/-</v>
      </c>
      <c r="AU746" s="136" t="str">
        <f>tbl_IO_List[[#This Row],[Terminal Tagging-Item]]&amp;"/"&amp;tbl_IO_List[[#This Row],[Front Terminal Tagging]]</f>
        <v>-/C5S1-</v>
      </c>
    </row>
    <row r="747" spans="1:47" hidden="1">
      <c r="A747" s="147" t="s">
        <v>1373</v>
      </c>
      <c r="B747" s="136" t="s">
        <v>382</v>
      </c>
      <c r="C747" s="136" t="str">
        <f>tbl_IO_List[[#This Row],[Column3]]</f>
        <v>C5S01,29</v>
      </c>
      <c r="D747" s="136" t="str">
        <f>tbl_IO_List[[#This Row],[Card]]</f>
        <v>1756-IB32-29</v>
      </c>
      <c r="E747" s="136" t="s">
        <v>1372</v>
      </c>
      <c r="F747" s="136" t="str">
        <f>tbl_IO_List[[#This Row],[Column23]]&amp;"-" &amp;tbl_IO_List[[#This Row],[Column52]]</f>
        <v>C5S01-X2</v>
      </c>
      <c r="G747" s="136" t="str">
        <f>tbl_IO_List[[#This Row],[PLC_Tag]]</f>
        <v>XV-20202_DI_2</v>
      </c>
      <c r="H747" s="136"/>
      <c r="I747" s="136" t="str">
        <f>VLOOKUP(tbl_IO_List[[#This Row],[Destination]],tbl_Junction[],2,FALSE)</f>
        <v>Slurry - Out Building 2nd Floor</v>
      </c>
      <c r="J747" s="136" t="s">
        <v>382</v>
      </c>
      <c r="K747" s="136" t="s">
        <v>383</v>
      </c>
      <c r="L747" s="136" t="s">
        <v>396</v>
      </c>
      <c r="M747" s="136">
        <f>VLOOKUP(tbl_IO_List[[#This Row],[Instruement Tag]],tbl_Instruement_List[],2,FALSE)</f>
        <v>0</v>
      </c>
      <c r="N747" s="136" t="s">
        <v>15</v>
      </c>
      <c r="O747" s="136" t="s">
        <v>386</v>
      </c>
      <c r="P747" s="136" t="s">
        <v>384</v>
      </c>
      <c r="Q747" s="136" t="str">
        <f>VLOOKUP(tbl_IO_List[[#This Row],[Instruement Tag]],tbl_Instruement_List[],6,FALSE)</f>
        <v>Slurry Preparation Tank 1</v>
      </c>
      <c r="R747" s="136"/>
      <c r="S74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747" s="136" t="str">
        <f>tbl_IO_List[[#This Row],[Instruement Tag]]&amp;"_"&amp;tbl_IO_List[[#This Row],[I/O Type]]&amp;"_"&amp;tbl_IO_List[[#This Row],[IO-Point 
(Instruement)]]</f>
        <v>XV-20202_DI_2</v>
      </c>
      <c r="U747" s="136" t="s">
        <v>8</v>
      </c>
      <c r="V747" s="136">
        <f>VLOOKUP(tbl_IO_List[[#This Row],[I/O Type]],tbl_Slot_Group[],2,FALSE)</f>
        <v>1</v>
      </c>
      <c r="W747" s="136">
        <v>2</v>
      </c>
      <c r="X747" s="136" t="str">
        <f>tbl_IO_List[[#This Row],[Chassis]]&amp;"S"&amp;TEXT(tbl_IO_List[[#This Row],[Slot]],"00")</f>
        <v>C5S01</v>
      </c>
      <c r="Y747" s="136" t="str">
        <f>tbl_IO_List[[#This Row],[Chassis]]&amp;"S"&amp;TEXT(tbl_IO_List[[#This Row],[Slot]],"00")&amp;tbl_IO_List[[#This Row],[I/O Type]]&amp;TEXT(tbl_IO_List[[#This Row],[Point]],"00")</f>
        <v>C5S01DI29</v>
      </c>
      <c r="Z747" s="136" t="str">
        <f>tbl_IO_List[[#This Row],[Chassis]]&amp;"S"&amp;TEXT(tbl_IO_List[[#This Row],[Slot]],"00")&amp;","&amp;TEXT(tbl_IO_List[[#This Row],[Point]],"00")</f>
        <v>C5S01,29</v>
      </c>
      <c r="AA747" s="136" t="str">
        <f>VLOOKUP(tbl_IO_List[[#This Row],[Column23]],tbl_RackConfig[],5,FALSE) &amp;"-"&amp;tbl_IO_List[[#This Row],[Point]]</f>
        <v>1756-IB32-29</v>
      </c>
      <c r="AB747" s="136"/>
      <c r="AC747" s="136"/>
      <c r="AD747" s="136" t="str">
        <f>tbl_IO_List[[#This Row],[I/O Type]]</f>
        <v>DI</v>
      </c>
      <c r="AE747" s="136" t="s">
        <v>1336</v>
      </c>
      <c r="AF747" s="136">
        <v>1</v>
      </c>
      <c r="AG747" s="136">
        <v>29</v>
      </c>
      <c r="AH747" s="136"/>
      <c r="AI747" s="136"/>
      <c r="AJ747" s="136">
        <v>2</v>
      </c>
      <c r="AK747" s="136">
        <v>1</v>
      </c>
      <c r="AL747" s="136">
        <v>0</v>
      </c>
      <c r="AM747" s="136">
        <v>0</v>
      </c>
      <c r="AN747" s="136">
        <v>0</v>
      </c>
      <c r="AO747" s="136"/>
      <c r="AP747" s="143" t="str">
        <f>VLOOKUP(tbl_IO_List[[#This Row],[Instruement Tag]],tbl_Instruement_List[],14,FALSE)</f>
        <v>24 VDC energized</v>
      </c>
      <c r="AQ747" s="143" t="str">
        <f>tbl_IO_List[[#This Row],[Chassis]]&amp;"S"&amp;tbl_IO_List[[#This Row],[Slot]]&amp;"-"&amp;tbl_IO_List[[#This Row],[Front Terminal Number]]</f>
        <v>C5S1-</v>
      </c>
      <c r="AR747" s="143"/>
      <c r="AS747" s="136" t="str">
        <f>tbl_IO_List[[#This Row],[Terminal Tagging]]&amp;"-"&amp;tbl_IO_List[[#This Row],[Point-Count]]</f>
        <v>-</v>
      </c>
      <c r="AT747" s="136" t="str">
        <f>tbl_IO_List[[#This Row],[Front Terminal Tagging]]&amp;"/"&amp;tbl_IO_List[[#This Row],[Terminal Tagging-Item]]</f>
        <v>C5S1-/-</v>
      </c>
      <c r="AU747" s="136" t="str">
        <f>tbl_IO_List[[#This Row],[Terminal Tagging-Item]]&amp;"/"&amp;tbl_IO_List[[#This Row],[Front Terminal Tagging]]</f>
        <v>-/C5S1-</v>
      </c>
    </row>
    <row r="748" spans="1:47" hidden="1">
      <c r="A748" s="147" t="s">
        <v>1373</v>
      </c>
      <c r="B748" s="136" t="s">
        <v>382</v>
      </c>
      <c r="C748" s="136" t="str">
        <f>tbl_IO_List[[#This Row],[Column3]]</f>
        <v>C5S01,30</v>
      </c>
      <c r="D748" s="136" t="str">
        <f>tbl_IO_List[[#This Row],[Card]]</f>
        <v>1756-IB32-30</v>
      </c>
      <c r="E748" s="136" t="s">
        <v>1372</v>
      </c>
      <c r="F748" s="136" t="str">
        <f>tbl_IO_List[[#This Row],[Column23]]&amp;"-" &amp;tbl_IO_List[[#This Row],[Column52]]</f>
        <v>C5S01-X2</v>
      </c>
      <c r="G748" s="136" t="str">
        <f>tbl_IO_List[[#This Row],[PLC_Tag]]</f>
        <v>XV-20203_DI_1</v>
      </c>
      <c r="H748" s="136"/>
      <c r="I748" s="136" t="str">
        <f>VLOOKUP(tbl_IO_List[[#This Row],[Destination]],tbl_Junction[],2,FALSE)</f>
        <v>Slurry - Out Building 2nd Floor</v>
      </c>
      <c r="J748" s="136" t="s">
        <v>382</v>
      </c>
      <c r="K748" s="136" t="s">
        <v>383</v>
      </c>
      <c r="L748" s="136" t="s">
        <v>397</v>
      </c>
      <c r="M748" s="136">
        <f>VLOOKUP(tbl_IO_List[[#This Row],[Instruement Tag]],tbl_Instruement_List[],2,FALSE)</f>
        <v>0</v>
      </c>
      <c r="N748" s="136" t="s">
        <v>15</v>
      </c>
      <c r="O748" s="136" t="s">
        <v>386</v>
      </c>
      <c r="P748" s="136" t="s">
        <v>384</v>
      </c>
      <c r="Q748" s="136" t="str">
        <f>VLOOKUP(tbl_IO_List[[#This Row],[Instruement Tag]],tbl_Instruement_List[],6,FALSE)</f>
        <v>Slurry Preparation Tank 1</v>
      </c>
      <c r="R748" s="136"/>
      <c r="S74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748" s="136" t="str">
        <f>tbl_IO_List[[#This Row],[Instruement Tag]]&amp;"_"&amp;tbl_IO_List[[#This Row],[I/O Type]]&amp;"_"&amp;tbl_IO_List[[#This Row],[IO-Point 
(Instruement)]]</f>
        <v>XV-20203_DI_1</v>
      </c>
      <c r="U748" s="136" t="s">
        <v>8</v>
      </c>
      <c r="V748" s="136">
        <f>VLOOKUP(tbl_IO_List[[#This Row],[I/O Type]],tbl_Slot_Group[],2,FALSE)</f>
        <v>1</v>
      </c>
      <c r="W748" s="136">
        <v>1</v>
      </c>
      <c r="X748" s="136" t="str">
        <f>tbl_IO_List[[#This Row],[Chassis]]&amp;"S"&amp;TEXT(tbl_IO_List[[#This Row],[Slot]],"00")</f>
        <v>C5S01</v>
      </c>
      <c r="Y748" s="136" t="str">
        <f>tbl_IO_List[[#This Row],[Chassis]]&amp;"S"&amp;TEXT(tbl_IO_List[[#This Row],[Slot]],"00")&amp;tbl_IO_List[[#This Row],[I/O Type]]&amp;TEXT(tbl_IO_List[[#This Row],[Point]],"00")</f>
        <v>C5S01DI30</v>
      </c>
      <c r="Z748" s="136" t="str">
        <f>tbl_IO_List[[#This Row],[Chassis]]&amp;"S"&amp;TEXT(tbl_IO_List[[#This Row],[Slot]],"00")&amp;","&amp;TEXT(tbl_IO_List[[#This Row],[Point]],"00")</f>
        <v>C5S01,30</v>
      </c>
      <c r="AA748" s="136" t="str">
        <f>VLOOKUP(tbl_IO_List[[#This Row],[Column23]],tbl_RackConfig[],5,FALSE) &amp;"-"&amp;tbl_IO_List[[#This Row],[Point]]</f>
        <v>1756-IB32-30</v>
      </c>
      <c r="AB748" s="136"/>
      <c r="AC748" s="136"/>
      <c r="AD748" s="136" t="str">
        <f>tbl_IO_List[[#This Row],[I/O Type]]</f>
        <v>DI</v>
      </c>
      <c r="AE748" s="136" t="s">
        <v>1336</v>
      </c>
      <c r="AF748" s="136">
        <v>1</v>
      </c>
      <c r="AG748" s="136">
        <v>30</v>
      </c>
      <c r="AH748" s="136"/>
      <c r="AI748" s="136"/>
      <c r="AJ748" s="136">
        <v>2</v>
      </c>
      <c r="AK748" s="136">
        <v>1</v>
      </c>
      <c r="AL748" s="136">
        <v>0</v>
      </c>
      <c r="AM748" s="136">
        <v>0</v>
      </c>
      <c r="AN748" s="136">
        <v>0</v>
      </c>
      <c r="AO748" s="136"/>
      <c r="AP748" s="143" t="str">
        <f>VLOOKUP(tbl_IO_List[[#This Row],[Instruement Tag]],tbl_Instruement_List[],14,FALSE)</f>
        <v>24 VDC energized</v>
      </c>
      <c r="AQ748" s="143" t="str">
        <f>tbl_IO_List[[#This Row],[Chassis]]&amp;"S"&amp;tbl_IO_List[[#This Row],[Slot]]&amp;"-"&amp;tbl_IO_List[[#This Row],[Front Terminal Number]]</f>
        <v>C5S1-</v>
      </c>
      <c r="AR748" s="143"/>
      <c r="AS748" s="136" t="str">
        <f>tbl_IO_List[[#This Row],[Terminal Tagging]]&amp;"-"&amp;tbl_IO_List[[#This Row],[Point-Count]]</f>
        <v>-</v>
      </c>
      <c r="AT748" s="136" t="str">
        <f>tbl_IO_List[[#This Row],[Front Terminal Tagging]]&amp;"/"&amp;tbl_IO_List[[#This Row],[Terminal Tagging-Item]]</f>
        <v>C5S1-/-</v>
      </c>
      <c r="AU748" s="136" t="str">
        <f>tbl_IO_List[[#This Row],[Terminal Tagging-Item]]&amp;"/"&amp;tbl_IO_List[[#This Row],[Front Terminal Tagging]]</f>
        <v>-/C5S1-</v>
      </c>
    </row>
    <row r="749" spans="1:47" hidden="1">
      <c r="A749" s="147" t="s">
        <v>1373</v>
      </c>
      <c r="B749" s="136" t="s">
        <v>382</v>
      </c>
      <c r="C749" s="136" t="str">
        <f>tbl_IO_List[[#This Row],[Column3]]</f>
        <v>C5S01,31</v>
      </c>
      <c r="D749" s="136" t="str">
        <f>tbl_IO_List[[#This Row],[Card]]</f>
        <v>1756-IB32-31</v>
      </c>
      <c r="E749" s="136" t="s">
        <v>1372</v>
      </c>
      <c r="F749" s="136" t="str">
        <f>tbl_IO_List[[#This Row],[Column23]]&amp;"-" &amp;tbl_IO_List[[#This Row],[Column52]]</f>
        <v>C5S01-X2</v>
      </c>
      <c r="G749" s="136" t="str">
        <f>tbl_IO_List[[#This Row],[PLC_Tag]]</f>
        <v>XV-20203_DI_2</v>
      </c>
      <c r="H749" s="136"/>
      <c r="I749" s="136" t="str">
        <f>VLOOKUP(tbl_IO_List[[#This Row],[Destination]],tbl_Junction[],2,FALSE)</f>
        <v>Slurry - Out Building 2nd Floor</v>
      </c>
      <c r="J749" s="136" t="s">
        <v>382</v>
      </c>
      <c r="K749" s="136" t="s">
        <v>383</v>
      </c>
      <c r="L749" s="136" t="s">
        <v>397</v>
      </c>
      <c r="M749" s="136">
        <f>VLOOKUP(tbl_IO_List[[#This Row],[Instruement Tag]],tbl_Instruement_List[],2,FALSE)</f>
        <v>0</v>
      </c>
      <c r="N749" s="136" t="s">
        <v>15</v>
      </c>
      <c r="O749" s="136" t="s">
        <v>386</v>
      </c>
      <c r="P749" s="136" t="s">
        <v>384</v>
      </c>
      <c r="Q749" s="136" t="str">
        <f>VLOOKUP(tbl_IO_List[[#This Row],[Instruement Tag]],tbl_Instruement_List[],6,FALSE)</f>
        <v>Slurry Preparation Tank 1</v>
      </c>
      <c r="R749" s="136"/>
      <c r="S74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749" s="136" t="str">
        <f>tbl_IO_List[[#This Row],[Instruement Tag]]&amp;"_"&amp;tbl_IO_List[[#This Row],[I/O Type]]&amp;"_"&amp;tbl_IO_List[[#This Row],[IO-Point 
(Instruement)]]</f>
        <v>XV-20203_DI_2</v>
      </c>
      <c r="U749" s="136" t="s">
        <v>8</v>
      </c>
      <c r="V749" s="136">
        <f>VLOOKUP(tbl_IO_List[[#This Row],[I/O Type]],tbl_Slot_Group[],2,FALSE)</f>
        <v>1</v>
      </c>
      <c r="W749" s="136">
        <v>2</v>
      </c>
      <c r="X749" s="136" t="str">
        <f>tbl_IO_List[[#This Row],[Chassis]]&amp;"S"&amp;TEXT(tbl_IO_List[[#This Row],[Slot]],"00")</f>
        <v>C5S01</v>
      </c>
      <c r="Y749" s="136" t="str">
        <f>tbl_IO_List[[#This Row],[Chassis]]&amp;"S"&amp;TEXT(tbl_IO_List[[#This Row],[Slot]],"00")&amp;tbl_IO_List[[#This Row],[I/O Type]]&amp;TEXT(tbl_IO_List[[#This Row],[Point]],"00")</f>
        <v>C5S01DI31</v>
      </c>
      <c r="Z749" s="136" t="str">
        <f>tbl_IO_List[[#This Row],[Chassis]]&amp;"S"&amp;TEXT(tbl_IO_List[[#This Row],[Slot]],"00")&amp;","&amp;TEXT(tbl_IO_List[[#This Row],[Point]],"00")</f>
        <v>C5S01,31</v>
      </c>
      <c r="AA749" s="136" t="str">
        <f>VLOOKUP(tbl_IO_List[[#This Row],[Column23]],tbl_RackConfig[],5,FALSE) &amp;"-"&amp;tbl_IO_List[[#This Row],[Point]]</f>
        <v>1756-IB32-31</v>
      </c>
      <c r="AB749" s="136"/>
      <c r="AC749" s="136"/>
      <c r="AD749" s="136" t="str">
        <f>tbl_IO_List[[#This Row],[I/O Type]]</f>
        <v>DI</v>
      </c>
      <c r="AE749" s="136" t="s">
        <v>1336</v>
      </c>
      <c r="AF749" s="136">
        <v>1</v>
      </c>
      <c r="AG749" s="136">
        <v>31</v>
      </c>
      <c r="AH749" s="136"/>
      <c r="AI749" s="136"/>
      <c r="AJ749" s="136">
        <v>2</v>
      </c>
      <c r="AK749" s="136">
        <v>1</v>
      </c>
      <c r="AL749" s="136">
        <v>0</v>
      </c>
      <c r="AM749" s="136">
        <v>0</v>
      </c>
      <c r="AN749" s="136">
        <v>0</v>
      </c>
      <c r="AO749" s="136"/>
      <c r="AP749" s="143" t="str">
        <f>VLOOKUP(tbl_IO_List[[#This Row],[Instruement Tag]],tbl_Instruement_List[],14,FALSE)</f>
        <v>24 VDC energized</v>
      </c>
      <c r="AQ749" s="143" t="str">
        <f>tbl_IO_List[[#This Row],[Chassis]]&amp;"S"&amp;tbl_IO_List[[#This Row],[Slot]]&amp;"-"&amp;tbl_IO_List[[#This Row],[Front Terminal Number]]</f>
        <v>C5S1-</v>
      </c>
      <c r="AR749" s="143"/>
      <c r="AS749" s="136" t="str">
        <f>tbl_IO_List[[#This Row],[Terminal Tagging]]&amp;"-"&amp;tbl_IO_List[[#This Row],[Point-Count]]</f>
        <v>-</v>
      </c>
      <c r="AT749" s="136" t="str">
        <f>tbl_IO_List[[#This Row],[Front Terminal Tagging]]&amp;"/"&amp;tbl_IO_List[[#This Row],[Terminal Tagging-Item]]</f>
        <v>C5S1-/-</v>
      </c>
      <c r="AU749" s="136" t="str">
        <f>tbl_IO_List[[#This Row],[Terminal Tagging-Item]]&amp;"/"&amp;tbl_IO_List[[#This Row],[Front Terminal Tagging]]</f>
        <v>-/C5S1-</v>
      </c>
    </row>
    <row r="750" spans="1:47" hidden="1">
      <c r="A750" s="147" t="s">
        <v>1373</v>
      </c>
      <c r="B750" s="136" t="s">
        <v>382</v>
      </c>
      <c r="C750" s="136" t="str">
        <f>tbl_IO_List[[#This Row],[Column3]]</f>
        <v>C5S02,00</v>
      </c>
      <c r="D750" s="136" t="str">
        <f>tbl_IO_List[[#This Row],[Card]]</f>
        <v>1756-IB32-0</v>
      </c>
      <c r="E750" s="136" t="s">
        <v>1366</v>
      </c>
      <c r="F750" s="136" t="str">
        <f>tbl_IO_List[[#This Row],[Column23]]&amp;"-" &amp;tbl_IO_List[[#This Row],[Column52]]</f>
        <v>C5S02-X1</v>
      </c>
      <c r="G750" s="136" t="str">
        <f>tbl_IO_List[[#This Row],[PLC_Tag]]</f>
        <v>XV-20211_DI_1</v>
      </c>
      <c r="H750" s="136"/>
      <c r="I750" s="136" t="str">
        <f>VLOOKUP(tbl_IO_List[[#This Row],[Destination]],tbl_Junction[],2,FALSE)</f>
        <v>Slurry - Out Building 2nd Floor</v>
      </c>
      <c r="J750" s="136" t="s">
        <v>382</v>
      </c>
      <c r="K750" s="136" t="s">
        <v>383</v>
      </c>
      <c r="L750" s="136" t="s">
        <v>398</v>
      </c>
      <c r="M750" s="136">
        <f>VLOOKUP(tbl_IO_List[[#This Row],[Instruement Tag]],tbl_Instruement_List[],2,FALSE)</f>
        <v>0</v>
      </c>
      <c r="N750" s="136" t="s">
        <v>15</v>
      </c>
      <c r="O750" s="136" t="s">
        <v>386</v>
      </c>
      <c r="P750" s="136" t="s">
        <v>384</v>
      </c>
      <c r="Q750" s="136" t="str">
        <f>VLOOKUP(tbl_IO_List[[#This Row],[Instruement Tag]],tbl_Instruement_List[],6,FALSE)</f>
        <v>Slurry Preparation Tank 2</v>
      </c>
      <c r="R750" s="136"/>
      <c r="S75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750" s="136" t="str">
        <f>tbl_IO_List[[#This Row],[Instruement Tag]]&amp;"_"&amp;tbl_IO_List[[#This Row],[I/O Type]]&amp;"_"&amp;tbl_IO_List[[#This Row],[IO-Point 
(Instruement)]]</f>
        <v>XV-20211_DI_1</v>
      </c>
      <c r="U750" s="136" t="s">
        <v>8</v>
      </c>
      <c r="V750" s="136">
        <f>VLOOKUP(tbl_IO_List[[#This Row],[I/O Type]],tbl_Slot_Group[],2,FALSE)</f>
        <v>1</v>
      </c>
      <c r="W750" s="136">
        <v>1</v>
      </c>
      <c r="X750" s="136" t="str">
        <f>tbl_IO_List[[#This Row],[Chassis]]&amp;"S"&amp;TEXT(tbl_IO_List[[#This Row],[Slot]],"00")</f>
        <v>C5S02</v>
      </c>
      <c r="Y750" s="136" t="str">
        <f>tbl_IO_List[[#This Row],[Chassis]]&amp;"S"&amp;TEXT(tbl_IO_List[[#This Row],[Slot]],"00")&amp;tbl_IO_List[[#This Row],[I/O Type]]&amp;TEXT(tbl_IO_List[[#This Row],[Point]],"00")</f>
        <v>C5S02DI00</v>
      </c>
      <c r="Z750" s="136" t="str">
        <f>tbl_IO_List[[#This Row],[Chassis]]&amp;"S"&amp;TEXT(tbl_IO_List[[#This Row],[Slot]],"00")&amp;","&amp;TEXT(tbl_IO_List[[#This Row],[Point]],"00")</f>
        <v>C5S02,00</v>
      </c>
      <c r="AA750" s="136" t="str">
        <f>VLOOKUP(tbl_IO_List[[#This Row],[Column23]],tbl_RackConfig[],5,FALSE) &amp;"-"&amp;tbl_IO_List[[#This Row],[Point]]</f>
        <v>1756-IB32-0</v>
      </c>
      <c r="AB750" s="136"/>
      <c r="AC750" s="136"/>
      <c r="AD750" s="136" t="str">
        <f>tbl_IO_List[[#This Row],[I/O Type]]</f>
        <v>DI</v>
      </c>
      <c r="AE750" s="136" t="s">
        <v>1336</v>
      </c>
      <c r="AF750" s="136">
        <v>2</v>
      </c>
      <c r="AG750" s="136">
        <v>0</v>
      </c>
      <c r="AH750" s="136"/>
      <c r="AI750" s="136"/>
      <c r="AJ750" s="136">
        <v>2</v>
      </c>
      <c r="AK750" s="136">
        <v>1</v>
      </c>
      <c r="AL750" s="136">
        <v>0</v>
      </c>
      <c r="AM750" s="136">
        <v>0</v>
      </c>
      <c r="AN750" s="136">
        <v>0</v>
      </c>
      <c r="AO750" s="136"/>
      <c r="AP750" s="143" t="str">
        <f>VLOOKUP(tbl_IO_List[[#This Row],[Instruement Tag]],tbl_Instruement_List[],14,FALSE)</f>
        <v>24 VDC energized</v>
      </c>
      <c r="AQ750" s="143" t="str">
        <f>tbl_IO_List[[#This Row],[Chassis]]&amp;"S"&amp;tbl_IO_List[[#This Row],[Slot]]&amp;"-"&amp;tbl_IO_List[[#This Row],[Front Terminal Number]]</f>
        <v>C5S2-</v>
      </c>
      <c r="AR750" s="143"/>
      <c r="AS750" s="136" t="str">
        <f>tbl_IO_List[[#This Row],[Terminal Tagging]]&amp;"-"&amp;tbl_IO_List[[#This Row],[Point-Count]]</f>
        <v>-</v>
      </c>
      <c r="AT750" s="136" t="str">
        <f>tbl_IO_List[[#This Row],[Front Terminal Tagging]]&amp;"/"&amp;tbl_IO_List[[#This Row],[Terminal Tagging-Item]]</f>
        <v>C5S2-/-</v>
      </c>
      <c r="AU750" s="136" t="str">
        <f>tbl_IO_List[[#This Row],[Terminal Tagging-Item]]&amp;"/"&amp;tbl_IO_List[[#This Row],[Front Terminal Tagging]]</f>
        <v>-/C5S2-</v>
      </c>
    </row>
    <row r="751" spans="1:47" hidden="1">
      <c r="A751" s="147" t="s">
        <v>1373</v>
      </c>
      <c r="B751" s="136" t="s">
        <v>382</v>
      </c>
      <c r="C751" s="136" t="str">
        <f>tbl_IO_List[[#This Row],[Column3]]</f>
        <v>C5S02,01</v>
      </c>
      <c r="D751" s="136" t="str">
        <f>tbl_IO_List[[#This Row],[Card]]</f>
        <v>1756-IB32-1</v>
      </c>
      <c r="E751" s="136" t="s">
        <v>1366</v>
      </c>
      <c r="F751" s="136" t="str">
        <f>tbl_IO_List[[#This Row],[Column23]]&amp;"-" &amp;tbl_IO_List[[#This Row],[Column52]]</f>
        <v>C5S02-X1</v>
      </c>
      <c r="G751" s="136" t="str">
        <f>tbl_IO_List[[#This Row],[PLC_Tag]]</f>
        <v>XV-20211_DI_2</v>
      </c>
      <c r="H751" s="136"/>
      <c r="I751" s="136" t="str">
        <f>VLOOKUP(tbl_IO_List[[#This Row],[Destination]],tbl_Junction[],2,FALSE)</f>
        <v>Slurry - Out Building 2nd Floor</v>
      </c>
      <c r="J751" s="136" t="s">
        <v>382</v>
      </c>
      <c r="K751" s="136" t="s">
        <v>383</v>
      </c>
      <c r="L751" s="136" t="s">
        <v>398</v>
      </c>
      <c r="M751" s="136">
        <f>VLOOKUP(tbl_IO_List[[#This Row],[Instruement Tag]],tbl_Instruement_List[],2,FALSE)</f>
        <v>0</v>
      </c>
      <c r="N751" s="136" t="s">
        <v>15</v>
      </c>
      <c r="O751" s="136" t="s">
        <v>386</v>
      </c>
      <c r="P751" s="136" t="s">
        <v>384</v>
      </c>
      <c r="Q751" s="136" t="str">
        <f>VLOOKUP(tbl_IO_List[[#This Row],[Instruement Tag]],tbl_Instruement_List[],6,FALSE)</f>
        <v>Slurry Preparation Tank 2</v>
      </c>
      <c r="R751" s="136"/>
      <c r="S75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751" s="136" t="str">
        <f>tbl_IO_List[[#This Row],[Instruement Tag]]&amp;"_"&amp;tbl_IO_List[[#This Row],[I/O Type]]&amp;"_"&amp;tbl_IO_List[[#This Row],[IO-Point 
(Instruement)]]</f>
        <v>XV-20211_DI_2</v>
      </c>
      <c r="U751" s="136" t="s">
        <v>8</v>
      </c>
      <c r="V751" s="136">
        <f>VLOOKUP(tbl_IO_List[[#This Row],[I/O Type]],tbl_Slot_Group[],2,FALSE)</f>
        <v>1</v>
      </c>
      <c r="W751" s="136">
        <v>2</v>
      </c>
      <c r="X751" s="136" t="str">
        <f>tbl_IO_List[[#This Row],[Chassis]]&amp;"S"&amp;TEXT(tbl_IO_List[[#This Row],[Slot]],"00")</f>
        <v>C5S02</v>
      </c>
      <c r="Y751" s="136" t="str">
        <f>tbl_IO_List[[#This Row],[Chassis]]&amp;"S"&amp;TEXT(tbl_IO_List[[#This Row],[Slot]],"00")&amp;tbl_IO_List[[#This Row],[I/O Type]]&amp;TEXT(tbl_IO_List[[#This Row],[Point]],"00")</f>
        <v>C5S02DI01</v>
      </c>
      <c r="Z751" s="136" t="str">
        <f>tbl_IO_List[[#This Row],[Chassis]]&amp;"S"&amp;TEXT(tbl_IO_List[[#This Row],[Slot]],"00")&amp;","&amp;TEXT(tbl_IO_List[[#This Row],[Point]],"00")</f>
        <v>C5S02,01</v>
      </c>
      <c r="AA751" s="136" t="str">
        <f>VLOOKUP(tbl_IO_List[[#This Row],[Column23]],tbl_RackConfig[],5,FALSE) &amp;"-"&amp;tbl_IO_List[[#This Row],[Point]]</f>
        <v>1756-IB32-1</v>
      </c>
      <c r="AB751" s="136"/>
      <c r="AC751" s="136"/>
      <c r="AD751" s="136" t="str">
        <f>tbl_IO_List[[#This Row],[I/O Type]]</f>
        <v>DI</v>
      </c>
      <c r="AE751" s="136" t="s">
        <v>1336</v>
      </c>
      <c r="AF751" s="136">
        <v>2</v>
      </c>
      <c r="AG751" s="136">
        <v>1</v>
      </c>
      <c r="AH751" s="136"/>
      <c r="AI751" s="136"/>
      <c r="AJ751" s="136">
        <v>2</v>
      </c>
      <c r="AK751" s="136">
        <v>1</v>
      </c>
      <c r="AL751" s="136">
        <v>0</v>
      </c>
      <c r="AM751" s="136">
        <v>0</v>
      </c>
      <c r="AN751" s="136">
        <v>0</v>
      </c>
      <c r="AO751" s="136"/>
      <c r="AP751" s="143" t="str">
        <f>VLOOKUP(tbl_IO_List[[#This Row],[Instruement Tag]],tbl_Instruement_List[],14,FALSE)</f>
        <v>24 VDC energized</v>
      </c>
      <c r="AQ751" s="143" t="str">
        <f>tbl_IO_List[[#This Row],[Chassis]]&amp;"S"&amp;tbl_IO_List[[#This Row],[Slot]]&amp;"-"&amp;tbl_IO_List[[#This Row],[Front Terminal Number]]</f>
        <v>C5S2-</v>
      </c>
      <c r="AR751" s="143"/>
      <c r="AS751" s="136" t="str">
        <f>tbl_IO_List[[#This Row],[Terminal Tagging]]&amp;"-"&amp;tbl_IO_List[[#This Row],[Point-Count]]</f>
        <v>-</v>
      </c>
      <c r="AT751" s="136" t="str">
        <f>tbl_IO_List[[#This Row],[Front Terminal Tagging]]&amp;"/"&amp;tbl_IO_List[[#This Row],[Terminal Tagging-Item]]</f>
        <v>C5S2-/-</v>
      </c>
      <c r="AU751" s="136" t="str">
        <f>tbl_IO_List[[#This Row],[Terminal Tagging-Item]]&amp;"/"&amp;tbl_IO_List[[#This Row],[Front Terminal Tagging]]</f>
        <v>-/C5S2-</v>
      </c>
    </row>
    <row r="752" spans="1:47" hidden="1">
      <c r="A752" s="147" t="s">
        <v>1373</v>
      </c>
      <c r="B752" s="136" t="s">
        <v>382</v>
      </c>
      <c r="C752" s="136" t="str">
        <f>tbl_IO_List[[#This Row],[Column3]]</f>
        <v>C5S02,02</v>
      </c>
      <c r="D752" s="136" t="str">
        <f>tbl_IO_List[[#This Row],[Card]]</f>
        <v>1756-IB32-2</v>
      </c>
      <c r="E752" s="136" t="s">
        <v>1366</v>
      </c>
      <c r="F752" s="136" t="str">
        <f>tbl_IO_List[[#This Row],[Column23]]&amp;"-" &amp;tbl_IO_List[[#This Row],[Column52]]</f>
        <v>C5S02-X1</v>
      </c>
      <c r="G752" s="136" t="str">
        <f>tbl_IO_List[[#This Row],[PLC_Tag]]</f>
        <v>XV-20212_DI_1</v>
      </c>
      <c r="H752" s="136"/>
      <c r="I752" s="136" t="str">
        <f>VLOOKUP(tbl_IO_List[[#This Row],[Destination]],tbl_Junction[],2,FALSE)</f>
        <v>Slurry - Out Building 2nd Floor</v>
      </c>
      <c r="J752" s="136" t="s">
        <v>382</v>
      </c>
      <c r="K752" s="136" t="s">
        <v>383</v>
      </c>
      <c r="L752" s="136" t="s">
        <v>399</v>
      </c>
      <c r="M752" s="136">
        <f>VLOOKUP(tbl_IO_List[[#This Row],[Instruement Tag]],tbl_Instruement_List[],2,FALSE)</f>
        <v>0</v>
      </c>
      <c r="N752" s="136" t="s">
        <v>15</v>
      </c>
      <c r="O752" s="136" t="s">
        <v>386</v>
      </c>
      <c r="P752" s="136" t="s">
        <v>384</v>
      </c>
      <c r="Q752" s="136" t="str">
        <f>VLOOKUP(tbl_IO_List[[#This Row],[Instruement Tag]],tbl_Instruement_List[],6,FALSE)</f>
        <v>Slurry Preparation Tank 2</v>
      </c>
      <c r="R752" s="136"/>
      <c r="S75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752" s="136" t="str">
        <f>tbl_IO_List[[#This Row],[Instruement Tag]]&amp;"_"&amp;tbl_IO_List[[#This Row],[I/O Type]]&amp;"_"&amp;tbl_IO_List[[#This Row],[IO-Point 
(Instruement)]]</f>
        <v>XV-20212_DI_1</v>
      </c>
      <c r="U752" s="136" t="s">
        <v>8</v>
      </c>
      <c r="V752" s="136">
        <f>VLOOKUP(tbl_IO_List[[#This Row],[I/O Type]],tbl_Slot_Group[],2,FALSE)</f>
        <v>1</v>
      </c>
      <c r="W752" s="136">
        <v>1</v>
      </c>
      <c r="X752" s="136" t="str">
        <f>tbl_IO_List[[#This Row],[Chassis]]&amp;"S"&amp;TEXT(tbl_IO_List[[#This Row],[Slot]],"00")</f>
        <v>C5S02</v>
      </c>
      <c r="Y752" s="136" t="str">
        <f>tbl_IO_List[[#This Row],[Chassis]]&amp;"S"&amp;TEXT(tbl_IO_List[[#This Row],[Slot]],"00")&amp;tbl_IO_List[[#This Row],[I/O Type]]&amp;TEXT(tbl_IO_List[[#This Row],[Point]],"00")</f>
        <v>C5S02DI02</v>
      </c>
      <c r="Z752" s="136" t="str">
        <f>tbl_IO_List[[#This Row],[Chassis]]&amp;"S"&amp;TEXT(tbl_IO_List[[#This Row],[Slot]],"00")&amp;","&amp;TEXT(tbl_IO_List[[#This Row],[Point]],"00")</f>
        <v>C5S02,02</v>
      </c>
      <c r="AA752" s="136" t="str">
        <f>VLOOKUP(tbl_IO_List[[#This Row],[Column23]],tbl_RackConfig[],5,FALSE) &amp;"-"&amp;tbl_IO_List[[#This Row],[Point]]</f>
        <v>1756-IB32-2</v>
      </c>
      <c r="AB752" s="136"/>
      <c r="AC752" s="136"/>
      <c r="AD752" s="136" t="str">
        <f>tbl_IO_List[[#This Row],[I/O Type]]</f>
        <v>DI</v>
      </c>
      <c r="AE752" s="136" t="s">
        <v>1336</v>
      </c>
      <c r="AF752" s="136">
        <v>2</v>
      </c>
      <c r="AG752" s="136">
        <v>2</v>
      </c>
      <c r="AH752" s="136"/>
      <c r="AI752" s="136"/>
      <c r="AJ752" s="136">
        <v>2</v>
      </c>
      <c r="AK752" s="136">
        <v>1</v>
      </c>
      <c r="AL752" s="136">
        <v>0</v>
      </c>
      <c r="AM752" s="136">
        <v>0</v>
      </c>
      <c r="AN752" s="136">
        <v>0</v>
      </c>
      <c r="AO752" s="136"/>
      <c r="AP752" s="143" t="str">
        <f>VLOOKUP(tbl_IO_List[[#This Row],[Instruement Tag]],tbl_Instruement_List[],14,FALSE)</f>
        <v>24 VDC energized</v>
      </c>
      <c r="AQ752" s="143" t="str">
        <f>tbl_IO_List[[#This Row],[Chassis]]&amp;"S"&amp;tbl_IO_List[[#This Row],[Slot]]&amp;"-"&amp;tbl_IO_List[[#This Row],[Front Terminal Number]]</f>
        <v>C5S2-</v>
      </c>
      <c r="AR752" s="143"/>
      <c r="AS752" s="136" t="str">
        <f>tbl_IO_List[[#This Row],[Terminal Tagging]]&amp;"-"&amp;tbl_IO_List[[#This Row],[Point-Count]]</f>
        <v>-</v>
      </c>
      <c r="AT752" s="136" t="str">
        <f>tbl_IO_List[[#This Row],[Front Terminal Tagging]]&amp;"/"&amp;tbl_IO_List[[#This Row],[Terminal Tagging-Item]]</f>
        <v>C5S2-/-</v>
      </c>
      <c r="AU752" s="136" t="str">
        <f>tbl_IO_List[[#This Row],[Terminal Tagging-Item]]&amp;"/"&amp;tbl_IO_List[[#This Row],[Front Terminal Tagging]]</f>
        <v>-/C5S2-</v>
      </c>
    </row>
    <row r="753" spans="1:47" hidden="1">
      <c r="A753" s="147" t="s">
        <v>1373</v>
      </c>
      <c r="B753" s="136" t="s">
        <v>382</v>
      </c>
      <c r="C753" s="136" t="str">
        <f>tbl_IO_List[[#This Row],[Column3]]</f>
        <v>C5S02,03</v>
      </c>
      <c r="D753" s="136" t="str">
        <f>tbl_IO_List[[#This Row],[Card]]</f>
        <v>1756-IB32-3</v>
      </c>
      <c r="E753" s="136" t="s">
        <v>1366</v>
      </c>
      <c r="F753" s="136" t="str">
        <f>tbl_IO_List[[#This Row],[Column23]]&amp;"-" &amp;tbl_IO_List[[#This Row],[Column52]]</f>
        <v>C5S02-X1</v>
      </c>
      <c r="G753" s="136" t="str">
        <f>tbl_IO_List[[#This Row],[PLC_Tag]]</f>
        <v>XV-20212_DI_2</v>
      </c>
      <c r="H753" s="136"/>
      <c r="I753" s="136" t="str">
        <f>VLOOKUP(tbl_IO_List[[#This Row],[Destination]],tbl_Junction[],2,FALSE)</f>
        <v>Slurry - Out Building 2nd Floor</v>
      </c>
      <c r="J753" s="136" t="s">
        <v>382</v>
      </c>
      <c r="K753" s="136" t="s">
        <v>383</v>
      </c>
      <c r="L753" s="148" t="s">
        <v>399</v>
      </c>
      <c r="M753" s="136">
        <f>VLOOKUP(tbl_IO_List[[#This Row],[Instruement Tag]],tbl_Instruement_List[],2,FALSE)</f>
        <v>0</v>
      </c>
      <c r="N753" s="136" t="s">
        <v>15</v>
      </c>
      <c r="O753" s="136" t="s">
        <v>386</v>
      </c>
      <c r="P753" s="136" t="s">
        <v>384</v>
      </c>
      <c r="Q753" s="136" t="str">
        <f>VLOOKUP(tbl_IO_List[[#This Row],[Instruement Tag]],tbl_Instruement_List[],6,FALSE)</f>
        <v>Slurry Preparation Tank 2</v>
      </c>
      <c r="R753" s="136"/>
      <c r="S75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753" s="136" t="str">
        <f>tbl_IO_List[[#This Row],[Instruement Tag]]&amp;"_"&amp;tbl_IO_List[[#This Row],[I/O Type]]&amp;"_"&amp;tbl_IO_List[[#This Row],[IO-Point 
(Instruement)]]</f>
        <v>XV-20212_DI_2</v>
      </c>
      <c r="U753" s="136" t="s">
        <v>8</v>
      </c>
      <c r="V753" s="136">
        <f>VLOOKUP(tbl_IO_List[[#This Row],[I/O Type]],tbl_Slot_Group[],2,FALSE)</f>
        <v>1</v>
      </c>
      <c r="W753" s="136">
        <v>2</v>
      </c>
      <c r="X753" s="136" t="str">
        <f>tbl_IO_List[[#This Row],[Chassis]]&amp;"S"&amp;TEXT(tbl_IO_List[[#This Row],[Slot]],"00")</f>
        <v>C5S02</v>
      </c>
      <c r="Y753" s="136" t="str">
        <f>tbl_IO_List[[#This Row],[Chassis]]&amp;"S"&amp;TEXT(tbl_IO_List[[#This Row],[Slot]],"00")&amp;tbl_IO_List[[#This Row],[I/O Type]]&amp;TEXT(tbl_IO_List[[#This Row],[Point]],"00")</f>
        <v>C5S02DI03</v>
      </c>
      <c r="Z753" s="136" t="str">
        <f>tbl_IO_List[[#This Row],[Chassis]]&amp;"S"&amp;TEXT(tbl_IO_List[[#This Row],[Slot]],"00")&amp;","&amp;TEXT(tbl_IO_List[[#This Row],[Point]],"00")</f>
        <v>C5S02,03</v>
      </c>
      <c r="AA753" s="136" t="str">
        <f>VLOOKUP(tbl_IO_List[[#This Row],[Column23]],tbl_RackConfig[],5,FALSE) &amp;"-"&amp;tbl_IO_List[[#This Row],[Point]]</f>
        <v>1756-IB32-3</v>
      </c>
      <c r="AB753" s="136"/>
      <c r="AC753" s="136"/>
      <c r="AD753" s="136" t="str">
        <f>tbl_IO_List[[#This Row],[I/O Type]]</f>
        <v>DI</v>
      </c>
      <c r="AE753" s="136" t="s">
        <v>1336</v>
      </c>
      <c r="AF753" s="136">
        <v>2</v>
      </c>
      <c r="AG753" s="136">
        <v>3</v>
      </c>
      <c r="AH753" s="136"/>
      <c r="AI753" s="136"/>
      <c r="AJ753" s="136">
        <v>2</v>
      </c>
      <c r="AK753" s="136">
        <v>1</v>
      </c>
      <c r="AL753" s="136">
        <v>0</v>
      </c>
      <c r="AM753" s="136">
        <v>0</v>
      </c>
      <c r="AN753" s="136">
        <v>0</v>
      </c>
      <c r="AO753" s="136"/>
      <c r="AP753" s="143" t="str">
        <f>VLOOKUP(tbl_IO_List[[#This Row],[Instruement Tag]],tbl_Instruement_List[],14,FALSE)</f>
        <v>24 VDC energized</v>
      </c>
      <c r="AQ753" s="143" t="str">
        <f>tbl_IO_List[[#This Row],[Chassis]]&amp;"S"&amp;tbl_IO_List[[#This Row],[Slot]]&amp;"-"&amp;tbl_IO_List[[#This Row],[Front Terminal Number]]</f>
        <v>C5S2-</v>
      </c>
      <c r="AR753" s="143"/>
      <c r="AS753" s="136" t="str">
        <f>tbl_IO_List[[#This Row],[Terminal Tagging]]&amp;"-"&amp;tbl_IO_List[[#This Row],[Point-Count]]</f>
        <v>-</v>
      </c>
      <c r="AT753" s="136" t="str">
        <f>tbl_IO_List[[#This Row],[Front Terminal Tagging]]&amp;"/"&amp;tbl_IO_List[[#This Row],[Terminal Tagging-Item]]</f>
        <v>C5S2-/-</v>
      </c>
      <c r="AU753" s="136" t="str">
        <f>tbl_IO_List[[#This Row],[Terminal Tagging-Item]]&amp;"/"&amp;tbl_IO_List[[#This Row],[Front Terminal Tagging]]</f>
        <v>-/C5S2-</v>
      </c>
    </row>
    <row r="754" spans="1:47" hidden="1">
      <c r="A754" s="147" t="s">
        <v>1373</v>
      </c>
      <c r="B754" s="136" t="s">
        <v>382</v>
      </c>
      <c r="C754" s="136" t="str">
        <f>tbl_IO_List[[#This Row],[Column3]]</f>
        <v>C5S02,04</v>
      </c>
      <c r="D754" s="136" t="str">
        <f>tbl_IO_List[[#This Row],[Card]]</f>
        <v>1756-IB32-4</v>
      </c>
      <c r="E754" s="136" t="s">
        <v>1366</v>
      </c>
      <c r="F754" s="136" t="str">
        <f>tbl_IO_List[[#This Row],[Column23]]&amp;"-" &amp;tbl_IO_List[[#This Row],[Column52]]</f>
        <v>C5S02-X1</v>
      </c>
      <c r="G754" s="136" t="str">
        <f>tbl_IO_List[[#This Row],[PLC_Tag]]</f>
        <v>XV-20213_DI_1</v>
      </c>
      <c r="H754" s="136"/>
      <c r="I754" s="136" t="str">
        <f>VLOOKUP(tbl_IO_List[[#This Row],[Destination]],tbl_Junction[],2,FALSE)</f>
        <v>Slurry - Out Building 2nd Floor</v>
      </c>
      <c r="J754" s="136" t="s">
        <v>382</v>
      </c>
      <c r="K754" s="136" t="s">
        <v>383</v>
      </c>
      <c r="L754" s="136" t="s">
        <v>400</v>
      </c>
      <c r="M754" s="136">
        <f>VLOOKUP(tbl_IO_List[[#This Row],[Instruement Tag]],tbl_Instruement_List[],2,FALSE)</f>
        <v>0</v>
      </c>
      <c r="N754" s="136" t="s">
        <v>15</v>
      </c>
      <c r="O754" s="136" t="s">
        <v>386</v>
      </c>
      <c r="P754" s="136" t="s">
        <v>384</v>
      </c>
      <c r="Q754" s="136" t="str">
        <f>VLOOKUP(tbl_IO_List[[#This Row],[Instruement Tag]],tbl_Instruement_List[],6,FALSE)</f>
        <v>Slurry Preparation Tank 2</v>
      </c>
      <c r="R754" s="136"/>
      <c r="S75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754" s="136" t="str">
        <f>tbl_IO_List[[#This Row],[Instruement Tag]]&amp;"_"&amp;tbl_IO_List[[#This Row],[I/O Type]]&amp;"_"&amp;tbl_IO_List[[#This Row],[IO-Point 
(Instruement)]]</f>
        <v>XV-20213_DI_1</v>
      </c>
      <c r="U754" s="136" t="s">
        <v>8</v>
      </c>
      <c r="V754" s="136">
        <f>VLOOKUP(tbl_IO_List[[#This Row],[I/O Type]],tbl_Slot_Group[],2,FALSE)</f>
        <v>1</v>
      </c>
      <c r="W754" s="136">
        <v>1</v>
      </c>
      <c r="X754" s="136" t="str">
        <f>tbl_IO_List[[#This Row],[Chassis]]&amp;"S"&amp;TEXT(tbl_IO_List[[#This Row],[Slot]],"00")</f>
        <v>C5S02</v>
      </c>
      <c r="Y754" s="136" t="str">
        <f>tbl_IO_List[[#This Row],[Chassis]]&amp;"S"&amp;TEXT(tbl_IO_List[[#This Row],[Slot]],"00")&amp;tbl_IO_List[[#This Row],[I/O Type]]&amp;TEXT(tbl_IO_List[[#This Row],[Point]],"00")</f>
        <v>C5S02DI04</v>
      </c>
      <c r="Z754" s="136" t="str">
        <f>tbl_IO_List[[#This Row],[Chassis]]&amp;"S"&amp;TEXT(tbl_IO_List[[#This Row],[Slot]],"00")&amp;","&amp;TEXT(tbl_IO_List[[#This Row],[Point]],"00")</f>
        <v>C5S02,04</v>
      </c>
      <c r="AA754" s="136" t="str">
        <f>VLOOKUP(tbl_IO_List[[#This Row],[Column23]],tbl_RackConfig[],5,FALSE) &amp;"-"&amp;tbl_IO_List[[#This Row],[Point]]</f>
        <v>1756-IB32-4</v>
      </c>
      <c r="AB754" s="136"/>
      <c r="AC754" s="136"/>
      <c r="AD754" s="136" t="str">
        <f>tbl_IO_List[[#This Row],[I/O Type]]</f>
        <v>DI</v>
      </c>
      <c r="AE754" s="136" t="s">
        <v>1336</v>
      </c>
      <c r="AF754" s="136">
        <v>2</v>
      </c>
      <c r="AG754" s="136">
        <v>4</v>
      </c>
      <c r="AH754" s="136"/>
      <c r="AI754" s="136"/>
      <c r="AJ754" s="136">
        <v>2</v>
      </c>
      <c r="AK754" s="136">
        <v>1</v>
      </c>
      <c r="AL754" s="136">
        <v>0</v>
      </c>
      <c r="AM754" s="136">
        <v>0</v>
      </c>
      <c r="AN754" s="136">
        <v>0</v>
      </c>
      <c r="AO754" s="136"/>
      <c r="AP754" s="143" t="str">
        <f>VLOOKUP(tbl_IO_List[[#This Row],[Instruement Tag]],tbl_Instruement_List[],14,FALSE)</f>
        <v>24 VDC energized</v>
      </c>
      <c r="AQ754" s="143" t="str">
        <f>tbl_IO_List[[#This Row],[Chassis]]&amp;"S"&amp;tbl_IO_List[[#This Row],[Slot]]&amp;"-"&amp;tbl_IO_List[[#This Row],[Front Terminal Number]]</f>
        <v>C5S2-</v>
      </c>
      <c r="AR754" s="143"/>
      <c r="AS754" s="136" t="str">
        <f>tbl_IO_List[[#This Row],[Terminal Tagging]]&amp;"-"&amp;tbl_IO_List[[#This Row],[Point-Count]]</f>
        <v>-</v>
      </c>
      <c r="AT754" s="136" t="str">
        <f>tbl_IO_List[[#This Row],[Front Terminal Tagging]]&amp;"/"&amp;tbl_IO_List[[#This Row],[Terminal Tagging-Item]]</f>
        <v>C5S2-/-</v>
      </c>
      <c r="AU754" s="136" t="str">
        <f>tbl_IO_List[[#This Row],[Terminal Tagging-Item]]&amp;"/"&amp;tbl_IO_List[[#This Row],[Front Terminal Tagging]]</f>
        <v>-/C5S2-</v>
      </c>
    </row>
    <row r="755" spans="1:47" hidden="1">
      <c r="A755" s="147" t="s">
        <v>1373</v>
      </c>
      <c r="B755" s="136" t="s">
        <v>382</v>
      </c>
      <c r="C755" s="136" t="str">
        <f>tbl_IO_List[[#This Row],[Column3]]</f>
        <v>C5S02,05</v>
      </c>
      <c r="D755" s="136" t="str">
        <f>tbl_IO_List[[#This Row],[Card]]</f>
        <v>1756-IB32-5</v>
      </c>
      <c r="E755" s="136" t="s">
        <v>1366</v>
      </c>
      <c r="F755" s="136" t="str">
        <f>tbl_IO_List[[#This Row],[Column23]]&amp;"-" &amp;tbl_IO_List[[#This Row],[Column52]]</f>
        <v>C5S02-X1</v>
      </c>
      <c r="G755" s="136" t="str">
        <f>tbl_IO_List[[#This Row],[PLC_Tag]]</f>
        <v>XV-20213_DI_2</v>
      </c>
      <c r="H755" s="136"/>
      <c r="I755" s="136" t="str">
        <f>VLOOKUP(tbl_IO_List[[#This Row],[Destination]],tbl_Junction[],2,FALSE)</f>
        <v>Slurry - Out Building 2nd Floor</v>
      </c>
      <c r="J755" s="136" t="s">
        <v>382</v>
      </c>
      <c r="K755" s="136" t="s">
        <v>383</v>
      </c>
      <c r="L755" s="136" t="s">
        <v>400</v>
      </c>
      <c r="M755" s="136">
        <f>VLOOKUP(tbl_IO_List[[#This Row],[Instruement Tag]],tbl_Instruement_List[],2,FALSE)</f>
        <v>0</v>
      </c>
      <c r="N755" s="136" t="s">
        <v>15</v>
      </c>
      <c r="O755" s="136" t="s">
        <v>386</v>
      </c>
      <c r="P755" s="136" t="s">
        <v>384</v>
      </c>
      <c r="Q755" s="136" t="str">
        <f>VLOOKUP(tbl_IO_List[[#This Row],[Instruement Tag]],tbl_Instruement_List[],6,FALSE)</f>
        <v>Slurry Preparation Tank 2</v>
      </c>
      <c r="R755" s="136"/>
      <c r="S75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755" s="136" t="str">
        <f>tbl_IO_List[[#This Row],[Instruement Tag]]&amp;"_"&amp;tbl_IO_List[[#This Row],[I/O Type]]&amp;"_"&amp;tbl_IO_List[[#This Row],[IO-Point 
(Instruement)]]</f>
        <v>XV-20213_DI_2</v>
      </c>
      <c r="U755" s="136" t="s">
        <v>8</v>
      </c>
      <c r="V755" s="136">
        <f>VLOOKUP(tbl_IO_List[[#This Row],[I/O Type]],tbl_Slot_Group[],2,FALSE)</f>
        <v>1</v>
      </c>
      <c r="W755" s="136">
        <v>2</v>
      </c>
      <c r="X755" s="136" t="str">
        <f>tbl_IO_List[[#This Row],[Chassis]]&amp;"S"&amp;TEXT(tbl_IO_List[[#This Row],[Slot]],"00")</f>
        <v>C5S02</v>
      </c>
      <c r="Y755" s="136" t="str">
        <f>tbl_IO_List[[#This Row],[Chassis]]&amp;"S"&amp;TEXT(tbl_IO_List[[#This Row],[Slot]],"00")&amp;tbl_IO_List[[#This Row],[I/O Type]]&amp;TEXT(tbl_IO_List[[#This Row],[Point]],"00")</f>
        <v>C5S02DI05</v>
      </c>
      <c r="Z755" s="136" t="str">
        <f>tbl_IO_List[[#This Row],[Chassis]]&amp;"S"&amp;TEXT(tbl_IO_List[[#This Row],[Slot]],"00")&amp;","&amp;TEXT(tbl_IO_List[[#This Row],[Point]],"00")</f>
        <v>C5S02,05</v>
      </c>
      <c r="AA755" s="136" t="str">
        <f>VLOOKUP(tbl_IO_List[[#This Row],[Column23]],tbl_RackConfig[],5,FALSE) &amp;"-"&amp;tbl_IO_List[[#This Row],[Point]]</f>
        <v>1756-IB32-5</v>
      </c>
      <c r="AB755" s="136"/>
      <c r="AC755" s="136"/>
      <c r="AD755" s="136" t="str">
        <f>tbl_IO_List[[#This Row],[I/O Type]]</f>
        <v>DI</v>
      </c>
      <c r="AE755" s="136" t="s">
        <v>1336</v>
      </c>
      <c r="AF755" s="136">
        <v>2</v>
      </c>
      <c r="AG755" s="136">
        <v>5</v>
      </c>
      <c r="AH755" s="136"/>
      <c r="AI755" s="136"/>
      <c r="AJ755" s="136">
        <v>2</v>
      </c>
      <c r="AK755" s="136">
        <v>1</v>
      </c>
      <c r="AL755" s="136">
        <v>0</v>
      </c>
      <c r="AM755" s="136">
        <v>0</v>
      </c>
      <c r="AN755" s="136">
        <v>0</v>
      </c>
      <c r="AO755" s="136"/>
      <c r="AP755" s="143" t="str">
        <f>VLOOKUP(tbl_IO_List[[#This Row],[Instruement Tag]],tbl_Instruement_List[],14,FALSE)</f>
        <v>24 VDC energized</v>
      </c>
      <c r="AQ755" s="143" t="str">
        <f>tbl_IO_List[[#This Row],[Chassis]]&amp;"S"&amp;tbl_IO_List[[#This Row],[Slot]]&amp;"-"&amp;tbl_IO_List[[#This Row],[Front Terminal Number]]</f>
        <v>C5S2-</v>
      </c>
      <c r="AR755" s="143"/>
      <c r="AS755" s="136" t="str">
        <f>tbl_IO_List[[#This Row],[Terminal Tagging]]&amp;"-"&amp;tbl_IO_List[[#This Row],[Point-Count]]</f>
        <v>-</v>
      </c>
      <c r="AT755" s="136" t="str">
        <f>tbl_IO_List[[#This Row],[Front Terminal Tagging]]&amp;"/"&amp;tbl_IO_List[[#This Row],[Terminal Tagging-Item]]</f>
        <v>C5S2-/-</v>
      </c>
      <c r="AU755" s="136" t="str">
        <f>tbl_IO_List[[#This Row],[Terminal Tagging-Item]]&amp;"/"&amp;tbl_IO_List[[#This Row],[Front Terminal Tagging]]</f>
        <v>-/C5S2-</v>
      </c>
    </row>
    <row r="756" spans="1:47" hidden="1">
      <c r="A756" s="147" t="s">
        <v>1373</v>
      </c>
      <c r="B756" s="136" t="s">
        <v>382</v>
      </c>
      <c r="C756" s="136" t="str">
        <f>tbl_IO_List[[#This Row],[Column3]]</f>
        <v>C5S02,06</v>
      </c>
      <c r="D756" s="136" t="str">
        <f>tbl_IO_List[[#This Row],[Card]]</f>
        <v>1756-IB32-6</v>
      </c>
      <c r="E756" s="136" t="s">
        <v>1366</v>
      </c>
      <c r="F756" s="136" t="str">
        <f>tbl_IO_List[[#This Row],[Column23]]&amp;"-" &amp;tbl_IO_List[[#This Row],[Column52]]</f>
        <v>C5S02-X1</v>
      </c>
      <c r="G756" s="136" t="str">
        <f>tbl_IO_List[[#This Row],[PLC_Tag]]</f>
        <v>XV-913201_DI_1</v>
      </c>
      <c r="H756" s="136"/>
      <c r="I756" s="136" t="str">
        <f>VLOOKUP(tbl_IO_List[[#This Row],[Destination]],tbl_Junction[],2,FALSE)</f>
        <v>Slurry - Out Building 2nd Floor</v>
      </c>
      <c r="J756" s="136" t="s">
        <v>382</v>
      </c>
      <c r="K756" s="136" t="s">
        <v>404</v>
      </c>
      <c r="L756" s="136" t="s">
        <v>408</v>
      </c>
      <c r="M756" s="136">
        <f>VLOOKUP(tbl_IO_List[[#This Row],[Instruement Tag]],tbl_Instruement_List[],2,FALSE)</f>
        <v>0</v>
      </c>
      <c r="N756" s="136" t="s">
        <v>15</v>
      </c>
      <c r="O756" s="136" t="s">
        <v>18</v>
      </c>
      <c r="P756" s="136" t="s">
        <v>406</v>
      </c>
      <c r="Q756" s="136" t="str">
        <f>VLOOKUP(tbl_IO_List[[#This Row],[Instruement Tag]],tbl_Instruement_List[],6,FALSE)</f>
        <v>Outlet LPG line</v>
      </c>
      <c r="R756" s="136"/>
      <c r="S75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2,DO=1,AI=1,AO=0,Bus=0</v>
      </c>
      <c r="T756" s="136" t="str">
        <f>tbl_IO_List[[#This Row],[Instruement Tag]]&amp;"_"&amp;tbl_IO_List[[#This Row],[I/O Type]]&amp;"_"&amp;tbl_IO_List[[#This Row],[IO-Point 
(Instruement)]]</f>
        <v>XV-913201_DI_1</v>
      </c>
      <c r="U756" s="136" t="s">
        <v>8</v>
      </c>
      <c r="V756" s="136">
        <f>VLOOKUP(tbl_IO_List[[#This Row],[I/O Type]],tbl_Slot_Group[],2,FALSE)</f>
        <v>1</v>
      </c>
      <c r="W756" s="136">
        <v>1</v>
      </c>
      <c r="X756" s="136" t="str">
        <f>tbl_IO_List[[#This Row],[Chassis]]&amp;"S"&amp;TEXT(tbl_IO_List[[#This Row],[Slot]],"00")</f>
        <v>C5S02</v>
      </c>
      <c r="Y756" s="136" t="str">
        <f>tbl_IO_List[[#This Row],[Chassis]]&amp;"S"&amp;TEXT(tbl_IO_List[[#This Row],[Slot]],"00")&amp;tbl_IO_List[[#This Row],[I/O Type]]&amp;TEXT(tbl_IO_List[[#This Row],[Point]],"00")</f>
        <v>C5S02DI06</v>
      </c>
      <c r="Z756" s="136" t="str">
        <f>tbl_IO_List[[#This Row],[Chassis]]&amp;"S"&amp;TEXT(tbl_IO_List[[#This Row],[Slot]],"00")&amp;","&amp;TEXT(tbl_IO_List[[#This Row],[Point]],"00")</f>
        <v>C5S02,06</v>
      </c>
      <c r="AA756" s="136" t="str">
        <f>VLOOKUP(tbl_IO_List[[#This Row],[Column23]],tbl_RackConfig[],5,FALSE) &amp;"-"&amp;tbl_IO_List[[#This Row],[Point]]</f>
        <v>1756-IB32-6</v>
      </c>
      <c r="AB756" s="136"/>
      <c r="AC756" s="136"/>
      <c r="AD756" s="136" t="str">
        <f>tbl_IO_List[[#This Row],[I/O Type]]</f>
        <v>DI</v>
      </c>
      <c r="AE756" s="136" t="s">
        <v>1336</v>
      </c>
      <c r="AF756" s="136">
        <v>2</v>
      </c>
      <c r="AG756" s="136">
        <v>6</v>
      </c>
      <c r="AH756" s="136"/>
      <c r="AI756" s="136"/>
      <c r="AJ756" s="136">
        <v>2</v>
      </c>
      <c r="AK756" s="136">
        <v>1</v>
      </c>
      <c r="AL756" s="136">
        <v>1</v>
      </c>
      <c r="AM756" s="136">
        <v>0</v>
      </c>
      <c r="AN756" s="136">
        <v>0</v>
      </c>
      <c r="AO756" s="136"/>
      <c r="AP756" s="143" t="str">
        <f>VLOOKUP(tbl_IO_List[[#This Row],[Instruement Tag]],tbl_Instruement_List[],14,FALSE)</f>
        <v>24 VDC energized</v>
      </c>
      <c r="AQ756" s="143" t="str">
        <f>tbl_IO_List[[#This Row],[Chassis]]&amp;"S"&amp;tbl_IO_List[[#This Row],[Slot]]&amp;"-"&amp;tbl_IO_List[[#This Row],[Front Terminal Number]]</f>
        <v>C5S2-</v>
      </c>
      <c r="AR756" s="143"/>
      <c r="AS756" s="136" t="str">
        <f>tbl_IO_List[[#This Row],[Terminal Tagging]]&amp;"-"&amp;tbl_IO_List[[#This Row],[Point-Count]]</f>
        <v>-</v>
      </c>
      <c r="AT756" s="136" t="str">
        <f>tbl_IO_List[[#This Row],[Front Terminal Tagging]]&amp;"/"&amp;tbl_IO_List[[#This Row],[Terminal Tagging-Item]]</f>
        <v>C5S2-/-</v>
      </c>
      <c r="AU756" s="136" t="str">
        <f>tbl_IO_List[[#This Row],[Terminal Tagging-Item]]&amp;"/"&amp;tbl_IO_List[[#This Row],[Front Terminal Tagging]]</f>
        <v>-/C5S2-</v>
      </c>
    </row>
    <row r="757" spans="1:47" hidden="1">
      <c r="A757" s="147" t="s">
        <v>1373</v>
      </c>
      <c r="B757" s="136" t="s">
        <v>382</v>
      </c>
      <c r="C757" s="136" t="str">
        <f>tbl_IO_List[[#This Row],[Column3]]</f>
        <v>C5S02,07</v>
      </c>
      <c r="D757" s="136" t="str">
        <f>tbl_IO_List[[#This Row],[Card]]</f>
        <v>1756-IB32-7</v>
      </c>
      <c r="E757" s="136" t="s">
        <v>1366</v>
      </c>
      <c r="F757" s="136" t="str">
        <f>tbl_IO_List[[#This Row],[Column23]]&amp;"-" &amp;tbl_IO_List[[#This Row],[Column52]]</f>
        <v>C5S02-X1</v>
      </c>
      <c r="G757" s="136" t="str">
        <f>tbl_IO_List[[#This Row],[PLC_Tag]]</f>
        <v>XV-913201_DI_1</v>
      </c>
      <c r="H757" s="136"/>
      <c r="I757" s="136" t="str">
        <f>VLOOKUP(tbl_IO_List[[#This Row],[Destination]],tbl_Junction[],2,FALSE)</f>
        <v>Slurry - Out Building 2nd Floor</v>
      </c>
      <c r="J757" s="136" t="s">
        <v>382</v>
      </c>
      <c r="K757" s="136" t="s">
        <v>404</v>
      </c>
      <c r="L757" s="136" t="s">
        <v>408</v>
      </c>
      <c r="M757" s="136">
        <f>VLOOKUP(tbl_IO_List[[#This Row],[Instruement Tag]],tbl_Instruement_List[],2,FALSE)</f>
        <v>0</v>
      </c>
      <c r="N757" s="136" t="s">
        <v>15</v>
      </c>
      <c r="O757" s="136" t="s">
        <v>18</v>
      </c>
      <c r="P757" s="136" t="s">
        <v>406</v>
      </c>
      <c r="Q757" s="136" t="str">
        <f>VLOOKUP(tbl_IO_List[[#This Row],[Instruement Tag]],tbl_Instruement_List[],6,FALSE)</f>
        <v>Outlet LPG line</v>
      </c>
      <c r="R757" s="136"/>
      <c r="S75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2,DO=1,AI=1,AO=0,Bus=0</v>
      </c>
      <c r="T757" s="136" t="str">
        <f>tbl_IO_List[[#This Row],[Instruement Tag]]&amp;"_"&amp;tbl_IO_List[[#This Row],[I/O Type]]&amp;"_"&amp;tbl_IO_List[[#This Row],[IO-Point 
(Instruement)]]</f>
        <v>XV-913201_DI_1</v>
      </c>
      <c r="U757" s="136" t="s">
        <v>8</v>
      </c>
      <c r="V757" s="136">
        <f>VLOOKUP(tbl_IO_List[[#This Row],[I/O Type]],tbl_Slot_Group[],2,FALSE)</f>
        <v>1</v>
      </c>
      <c r="W757" s="136">
        <v>1</v>
      </c>
      <c r="X757" s="136" t="str">
        <f>tbl_IO_List[[#This Row],[Chassis]]&amp;"S"&amp;TEXT(tbl_IO_List[[#This Row],[Slot]],"00")</f>
        <v>C5S02</v>
      </c>
      <c r="Y757" s="136" t="str">
        <f>tbl_IO_List[[#This Row],[Chassis]]&amp;"S"&amp;TEXT(tbl_IO_List[[#This Row],[Slot]],"00")&amp;tbl_IO_List[[#This Row],[I/O Type]]&amp;TEXT(tbl_IO_List[[#This Row],[Point]],"00")</f>
        <v>C5S02DI07</v>
      </c>
      <c r="Z757" s="136" t="str">
        <f>tbl_IO_List[[#This Row],[Chassis]]&amp;"S"&amp;TEXT(tbl_IO_List[[#This Row],[Slot]],"00")&amp;","&amp;TEXT(tbl_IO_List[[#This Row],[Point]],"00")</f>
        <v>C5S02,07</v>
      </c>
      <c r="AA757" s="136" t="str">
        <f>VLOOKUP(tbl_IO_List[[#This Row],[Column23]],tbl_RackConfig[],5,FALSE) &amp;"-"&amp;tbl_IO_List[[#This Row],[Point]]</f>
        <v>1756-IB32-7</v>
      </c>
      <c r="AB757" s="136"/>
      <c r="AC757" s="136"/>
      <c r="AD757" s="136" t="str">
        <f>tbl_IO_List[[#This Row],[I/O Type]]</f>
        <v>DI</v>
      </c>
      <c r="AE757" s="136" t="s">
        <v>1336</v>
      </c>
      <c r="AF757" s="136">
        <v>2</v>
      </c>
      <c r="AG757" s="136">
        <v>7</v>
      </c>
      <c r="AH757" s="136"/>
      <c r="AI757" s="136"/>
      <c r="AJ757" s="136">
        <v>2</v>
      </c>
      <c r="AK757" s="136">
        <v>1</v>
      </c>
      <c r="AL757" s="136">
        <v>1</v>
      </c>
      <c r="AM757" s="136">
        <v>0</v>
      </c>
      <c r="AN757" s="136">
        <v>0</v>
      </c>
      <c r="AO757" s="136"/>
      <c r="AP757" s="143" t="str">
        <f>VLOOKUP(tbl_IO_List[[#This Row],[Instruement Tag]],tbl_Instruement_List[],14,FALSE)</f>
        <v>24 VDC energized</v>
      </c>
      <c r="AQ757" s="143" t="str">
        <f>tbl_IO_List[[#This Row],[Chassis]]&amp;"S"&amp;tbl_IO_List[[#This Row],[Slot]]&amp;"-"&amp;tbl_IO_List[[#This Row],[Front Terminal Number]]</f>
        <v>C5S2-</v>
      </c>
      <c r="AR757" s="143"/>
      <c r="AS757" s="136" t="str">
        <f>tbl_IO_List[[#This Row],[Terminal Tagging]]&amp;"-"&amp;tbl_IO_List[[#This Row],[Point-Count]]</f>
        <v>-</v>
      </c>
      <c r="AT757" s="136" t="str">
        <f>tbl_IO_List[[#This Row],[Front Terminal Tagging]]&amp;"/"&amp;tbl_IO_List[[#This Row],[Terminal Tagging-Item]]</f>
        <v>C5S2-/-</v>
      </c>
      <c r="AU757" s="136" t="str">
        <f>tbl_IO_List[[#This Row],[Terminal Tagging-Item]]&amp;"/"&amp;tbl_IO_List[[#This Row],[Front Terminal Tagging]]</f>
        <v>-/C5S2-</v>
      </c>
    </row>
    <row r="758" spans="1:47" hidden="1">
      <c r="A758" s="147" t="s">
        <v>1373</v>
      </c>
      <c r="B758" s="136" t="s">
        <v>382</v>
      </c>
      <c r="C758" s="136" t="str">
        <f>tbl_IO_List[[#This Row],[Column3]]</f>
        <v>C5S02,08</v>
      </c>
      <c r="D758" s="136" t="str">
        <f>tbl_IO_List[[#This Row],[Card]]</f>
        <v>1756-IB32-8</v>
      </c>
      <c r="E758" s="136" t="s">
        <v>1366</v>
      </c>
      <c r="F758" s="136" t="str">
        <f>tbl_IO_List[[#This Row],[Column23]]&amp;"-" &amp;tbl_IO_List[[#This Row],[Column52]]</f>
        <v>C5S02-X1</v>
      </c>
      <c r="G758" s="136" t="str">
        <f>tbl_IO_List[[#This Row],[PLC_Tag]]</f>
        <v>Spare_DI_0</v>
      </c>
      <c r="H758" s="136"/>
      <c r="I758" s="136" t="str">
        <f>VLOOKUP(tbl_IO_List[[#This Row],[Destination]],tbl_Junction[],2,FALSE)</f>
        <v>Slurry - Out Building 2nd Floor</v>
      </c>
      <c r="J758" s="136"/>
      <c r="K758" s="136"/>
      <c r="L758" s="136" t="s">
        <v>411</v>
      </c>
      <c r="M758" s="136" t="e">
        <f>VLOOKUP(tbl_IO_List[[#This Row],[Instruement Tag]],tbl_Instruement_List[],2,FALSE)</f>
        <v>#N/A</v>
      </c>
      <c r="N758" s="136"/>
      <c r="O758" s="136"/>
      <c r="P758" s="136"/>
      <c r="Q758" s="136" t="e">
        <f>VLOOKUP(tbl_IO_List[[#This Row],[Instruement Tag]],tbl_Instruement_List[],6,FALSE)</f>
        <v>#N/A</v>
      </c>
      <c r="R758" s="136"/>
      <c r="S75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58" s="136" t="str">
        <f>tbl_IO_List[[#This Row],[Instruement Tag]]&amp;"_"&amp;tbl_IO_List[[#This Row],[I/O Type]]&amp;"_"&amp;tbl_IO_List[[#This Row],[IO-Point 
(Instruement)]]</f>
        <v>Spare_DI_0</v>
      </c>
      <c r="U758" s="136" t="s">
        <v>8</v>
      </c>
      <c r="V758" s="136">
        <f>VLOOKUP(tbl_IO_List[[#This Row],[I/O Type]],tbl_Slot_Group[],2,FALSE)</f>
        <v>1</v>
      </c>
      <c r="W758" s="136">
        <v>0</v>
      </c>
      <c r="X758" s="136" t="str">
        <f>tbl_IO_List[[#This Row],[Chassis]]&amp;"S"&amp;TEXT(tbl_IO_List[[#This Row],[Slot]],"00")</f>
        <v>C5S02</v>
      </c>
      <c r="Y758" s="136" t="str">
        <f>tbl_IO_List[[#This Row],[Chassis]]&amp;"S"&amp;TEXT(tbl_IO_List[[#This Row],[Slot]],"00")&amp;tbl_IO_List[[#This Row],[I/O Type]]&amp;TEXT(tbl_IO_List[[#This Row],[Point]],"00")</f>
        <v>C5S02DI08</v>
      </c>
      <c r="Z758" s="136" t="str">
        <f>tbl_IO_List[[#This Row],[Chassis]]&amp;"S"&amp;TEXT(tbl_IO_List[[#This Row],[Slot]],"00")&amp;","&amp;TEXT(tbl_IO_List[[#This Row],[Point]],"00")</f>
        <v>C5S02,08</v>
      </c>
      <c r="AA758" s="136" t="str">
        <f>VLOOKUP(tbl_IO_List[[#This Row],[Column23]],tbl_RackConfig[],5,FALSE) &amp;"-"&amp;tbl_IO_List[[#This Row],[Point]]</f>
        <v>1756-IB32-8</v>
      </c>
      <c r="AB758" s="136"/>
      <c r="AC758" s="136"/>
      <c r="AD758" s="136" t="str">
        <f>tbl_IO_List[[#This Row],[I/O Type]]</f>
        <v>DI</v>
      </c>
      <c r="AE758" s="136" t="s">
        <v>1336</v>
      </c>
      <c r="AF758" s="136">
        <v>2</v>
      </c>
      <c r="AG758" s="136">
        <v>8</v>
      </c>
      <c r="AH758" s="136"/>
      <c r="AI758" s="136"/>
      <c r="AJ758" s="136">
        <v>1</v>
      </c>
      <c r="AK758" s="136">
        <v>0</v>
      </c>
      <c r="AL758" s="136">
        <v>0</v>
      </c>
      <c r="AM758" s="136">
        <v>0</v>
      </c>
      <c r="AN758" s="136">
        <v>0</v>
      </c>
      <c r="AO758" s="136"/>
      <c r="AP758" s="143" t="e">
        <f>VLOOKUP(tbl_IO_List[[#This Row],[Instruement Tag]],tbl_Instruement_List[],14,FALSE)</f>
        <v>#N/A</v>
      </c>
      <c r="AQ758" s="143" t="str">
        <f>tbl_IO_List[[#This Row],[Chassis]]&amp;"S"&amp;tbl_IO_List[[#This Row],[Slot]]&amp;"-"&amp;tbl_IO_List[[#This Row],[Front Terminal Number]]</f>
        <v>C5S2-</v>
      </c>
      <c r="AR758" s="143"/>
      <c r="AS758" s="136" t="str">
        <f>tbl_IO_List[[#This Row],[Terminal Tagging]]&amp;"-"&amp;tbl_IO_List[[#This Row],[Point-Count]]</f>
        <v>-</v>
      </c>
      <c r="AT758" s="136" t="str">
        <f>tbl_IO_List[[#This Row],[Front Terminal Tagging]]&amp;"/"&amp;tbl_IO_List[[#This Row],[Terminal Tagging-Item]]</f>
        <v>C5S2-/-</v>
      </c>
      <c r="AU758" s="136" t="str">
        <f>tbl_IO_List[[#This Row],[Terminal Tagging-Item]]&amp;"/"&amp;tbl_IO_List[[#This Row],[Front Terminal Tagging]]</f>
        <v>-/C5S2-</v>
      </c>
    </row>
    <row r="759" spans="1:47" hidden="1">
      <c r="A759" s="147" t="s">
        <v>1373</v>
      </c>
      <c r="B759" s="136" t="s">
        <v>382</v>
      </c>
      <c r="C759" s="136" t="str">
        <f>tbl_IO_List[[#This Row],[Column3]]</f>
        <v>C5S02,09</v>
      </c>
      <c r="D759" s="136" t="str">
        <f>tbl_IO_List[[#This Row],[Card]]</f>
        <v>1756-IB32-9</v>
      </c>
      <c r="E759" s="136" t="s">
        <v>1366</v>
      </c>
      <c r="F759" s="136" t="str">
        <f>tbl_IO_List[[#This Row],[Column23]]&amp;"-" &amp;tbl_IO_List[[#This Row],[Column52]]</f>
        <v>C5S02-X1</v>
      </c>
      <c r="G759" s="136" t="str">
        <f>tbl_IO_List[[#This Row],[PLC_Tag]]</f>
        <v>Spare_DI_0</v>
      </c>
      <c r="H759" s="136"/>
      <c r="I759" s="136" t="str">
        <f>VLOOKUP(tbl_IO_List[[#This Row],[Destination]],tbl_Junction[],2,FALSE)</f>
        <v>Slurry - Out Building 2nd Floor</v>
      </c>
      <c r="J759" s="136"/>
      <c r="K759" s="136"/>
      <c r="L759" s="136" t="s">
        <v>411</v>
      </c>
      <c r="M759" s="136" t="e">
        <f>VLOOKUP(tbl_IO_List[[#This Row],[Instruement Tag]],tbl_Instruement_List[],2,FALSE)</f>
        <v>#N/A</v>
      </c>
      <c r="N759" s="136"/>
      <c r="O759" s="136"/>
      <c r="P759" s="136"/>
      <c r="Q759" s="136" t="e">
        <f>VLOOKUP(tbl_IO_List[[#This Row],[Instruement Tag]],tbl_Instruement_List[],6,FALSE)</f>
        <v>#N/A</v>
      </c>
      <c r="R759" s="136"/>
      <c r="S75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59" s="136" t="str">
        <f>tbl_IO_List[[#This Row],[Instruement Tag]]&amp;"_"&amp;tbl_IO_List[[#This Row],[I/O Type]]&amp;"_"&amp;tbl_IO_List[[#This Row],[IO-Point 
(Instruement)]]</f>
        <v>Spare_DI_0</v>
      </c>
      <c r="U759" s="136" t="s">
        <v>8</v>
      </c>
      <c r="V759" s="136">
        <f>VLOOKUP(tbl_IO_List[[#This Row],[I/O Type]],tbl_Slot_Group[],2,FALSE)</f>
        <v>1</v>
      </c>
      <c r="W759" s="136">
        <v>0</v>
      </c>
      <c r="X759" s="136" t="str">
        <f>tbl_IO_List[[#This Row],[Chassis]]&amp;"S"&amp;TEXT(tbl_IO_List[[#This Row],[Slot]],"00")</f>
        <v>C5S02</v>
      </c>
      <c r="Y759" s="136" t="str">
        <f>tbl_IO_List[[#This Row],[Chassis]]&amp;"S"&amp;TEXT(tbl_IO_List[[#This Row],[Slot]],"00")&amp;tbl_IO_List[[#This Row],[I/O Type]]&amp;TEXT(tbl_IO_List[[#This Row],[Point]],"00")</f>
        <v>C5S02DI09</v>
      </c>
      <c r="Z759" s="136" t="str">
        <f>tbl_IO_List[[#This Row],[Chassis]]&amp;"S"&amp;TEXT(tbl_IO_List[[#This Row],[Slot]],"00")&amp;","&amp;TEXT(tbl_IO_List[[#This Row],[Point]],"00")</f>
        <v>C5S02,09</v>
      </c>
      <c r="AA759" s="136" t="str">
        <f>VLOOKUP(tbl_IO_List[[#This Row],[Column23]],tbl_RackConfig[],5,FALSE) &amp;"-"&amp;tbl_IO_List[[#This Row],[Point]]</f>
        <v>1756-IB32-9</v>
      </c>
      <c r="AB759" s="136"/>
      <c r="AC759" s="136"/>
      <c r="AD759" s="136" t="str">
        <f>tbl_IO_List[[#This Row],[I/O Type]]</f>
        <v>DI</v>
      </c>
      <c r="AE759" s="136" t="s">
        <v>1336</v>
      </c>
      <c r="AF759" s="136">
        <v>2</v>
      </c>
      <c r="AG759" s="136">
        <v>9</v>
      </c>
      <c r="AH759" s="136"/>
      <c r="AI759" s="136"/>
      <c r="AJ759" s="136">
        <v>1</v>
      </c>
      <c r="AK759" s="136">
        <v>0</v>
      </c>
      <c r="AL759" s="136">
        <v>0</v>
      </c>
      <c r="AM759" s="136">
        <v>0</v>
      </c>
      <c r="AN759" s="136">
        <v>0</v>
      </c>
      <c r="AO759" s="136"/>
      <c r="AP759" s="143" t="e">
        <f>VLOOKUP(tbl_IO_List[[#This Row],[Instruement Tag]],tbl_Instruement_List[],14,FALSE)</f>
        <v>#N/A</v>
      </c>
      <c r="AQ759" s="143" t="str">
        <f>tbl_IO_List[[#This Row],[Chassis]]&amp;"S"&amp;tbl_IO_List[[#This Row],[Slot]]&amp;"-"&amp;tbl_IO_List[[#This Row],[Front Terminal Number]]</f>
        <v>C5S2-</v>
      </c>
      <c r="AR759" s="143"/>
      <c r="AS759" s="136" t="str">
        <f>tbl_IO_List[[#This Row],[Terminal Tagging]]&amp;"-"&amp;tbl_IO_List[[#This Row],[Point-Count]]</f>
        <v>-</v>
      </c>
      <c r="AT759" s="136" t="str">
        <f>tbl_IO_List[[#This Row],[Front Terminal Tagging]]&amp;"/"&amp;tbl_IO_List[[#This Row],[Terminal Tagging-Item]]</f>
        <v>C5S2-/-</v>
      </c>
      <c r="AU759" s="136" t="str">
        <f>tbl_IO_List[[#This Row],[Terminal Tagging-Item]]&amp;"/"&amp;tbl_IO_List[[#This Row],[Front Terminal Tagging]]</f>
        <v>-/C5S2-</v>
      </c>
    </row>
    <row r="760" spans="1:47" hidden="1">
      <c r="A760" s="147" t="s">
        <v>1373</v>
      </c>
      <c r="B760" s="136" t="s">
        <v>382</v>
      </c>
      <c r="C760" s="136" t="str">
        <f>tbl_IO_List[[#This Row],[Column3]]</f>
        <v>C5S02,10</v>
      </c>
      <c r="D760" s="136" t="str">
        <f>tbl_IO_List[[#This Row],[Card]]</f>
        <v>1756-IB32-10</v>
      </c>
      <c r="E760" s="136" t="s">
        <v>1366</v>
      </c>
      <c r="F760" s="136" t="str">
        <f>tbl_IO_List[[#This Row],[Column23]]&amp;"-" &amp;tbl_IO_List[[#This Row],[Column52]]</f>
        <v>C5S02-X1</v>
      </c>
      <c r="G760" s="136" t="str">
        <f>tbl_IO_List[[#This Row],[PLC_Tag]]</f>
        <v>Spare_DI_0</v>
      </c>
      <c r="H760" s="136"/>
      <c r="I760" s="136" t="str">
        <f>VLOOKUP(tbl_IO_List[[#This Row],[Destination]],tbl_Junction[],2,FALSE)</f>
        <v>Slurry - Out Building 2nd Floor</v>
      </c>
      <c r="J760" s="136"/>
      <c r="K760" s="136"/>
      <c r="L760" s="136" t="s">
        <v>411</v>
      </c>
      <c r="M760" s="136" t="e">
        <f>VLOOKUP(tbl_IO_List[[#This Row],[Instruement Tag]],tbl_Instruement_List[],2,FALSE)</f>
        <v>#N/A</v>
      </c>
      <c r="N760" s="136"/>
      <c r="O760" s="136"/>
      <c r="P760" s="136"/>
      <c r="Q760" s="136" t="e">
        <f>VLOOKUP(tbl_IO_List[[#This Row],[Instruement Tag]],tbl_Instruement_List[],6,FALSE)</f>
        <v>#N/A</v>
      </c>
      <c r="R760" s="136"/>
      <c r="S76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60" s="136" t="str">
        <f>tbl_IO_List[[#This Row],[Instruement Tag]]&amp;"_"&amp;tbl_IO_List[[#This Row],[I/O Type]]&amp;"_"&amp;tbl_IO_List[[#This Row],[IO-Point 
(Instruement)]]</f>
        <v>Spare_DI_0</v>
      </c>
      <c r="U760" s="136" t="s">
        <v>8</v>
      </c>
      <c r="V760" s="136">
        <f>VLOOKUP(tbl_IO_List[[#This Row],[I/O Type]],tbl_Slot_Group[],2,FALSE)</f>
        <v>1</v>
      </c>
      <c r="W760" s="136">
        <v>0</v>
      </c>
      <c r="X760" s="136" t="str">
        <f>tbl_IO_List[[#This Row],[Chassis]]&amp;"S"&amp;TEXT(tbl_IO_List[[#This Row],[Slot]],"00")</f>
        <v>C5S02</v>
      </c>
      <c r="Y760" s="136" t="str">
        <f>tbl_IO_List[[#This Row],[Chassis]]&amp;"S"&amp;TEXT(tbl_IO_List[[#This Row],[Slot]],"00")&amp;tbl_IO_List[[#This Row],[I/O Type]]&amp;TEXT(tbl_IO_List[[#This Row],[Point]],"00")</f>
        <v>C5S02DI10</v>
      </c>
      <c r="Z760" s="136" t="str">
        <f>tbl_IO_List[[#This Row],[Chassis]]&amp;"S"&amp;TEXT(tbl_IO_List[[#This Row],[Slot]],"00")&amp;","&amp;TEXT(tbl_IO_List[[#This Row],[Point]],"00")</f>
        <v>C5S02,10</v>
      </c>
      <c r="AA760" s="136" t="str">
        <f>VLOOKUP(tbl_IO_List[[#This Row],[Column23]],tbl_RackConfig[],5,FALSE) &amp;"-"&amp;tbl_IO_List[[#This Row],[Point]]</f>
        <v>1756-IB32-10</v>
      </c>
      <c r="AB760" s="136"/>
      <c r="AC760" s="136"/>
      <c r="AD760" s="136" t="str">
        <f>tbl_IO_List[[#This Row],[I/O Type]]</f>
        <v>DI</v>
      </c>
      <c r="AE760" s="136" t="s">
        <v>1336</v>
      </c>
      <c r="AF760" s="136">
        <v>2</v>
      </c>
      <c r="AG760" s="136">
        <v>10</v>
      </c>
      <c r="AH760" s="136"/>
      <c r="AI760" s="136"/>
      <c r="AJ760" s="136">
        <v>1</v>
      </c>
      <c r="AK760" s="136">
        <v>0</v>
      </c>
      <c r="AL760" s="136">
        <v>0</v>
      </c>
      <c r="AM760" s="136">
        <v>0</v>
      </c>
      <c r="AN760" s="136">
        <v>0</v>
      </c>
      <c r="AO760" s="136"/>
      <c r="AP760" s="143" t="e">
        <f>VLOOKUP(tbl_IO_List[[#This Row],[Instruement Tag]],tbl_Instruement_List[],14,FALSE)</f>
        <v>#N/A</v>
      </c>
      <c r="AQ760" s="143" t="str">
        <f>tbl_IO_List[[#This Row],[Chassis]]&amp;"S"&amp;tbl_IO_List[[#This Row],[Slot]]&amp;"-"&amp;tbl_IO_List[[#This Row],[Front Terminal Number]]</f>
        <v>C5S2-</v>
      </c>
      <c r="AR760" s="143"/>
      <c r="AS760" s="136" t="str">
        <f>tbl_IO_List[[#This Row],[Terminal Tagging]]&amp;"-"&amp;tbl_IO_List[[#This Row],[Point-Count]]</f>
        <v>-</v>
      </c>
      <c r="AT760" s="136" t="str">
        <f>tbl_IO_List[[#This Row],[Front Terminal Tagging]]&amp;"/"&amp;tbl_IO_List[[#This Row],[Terminal Tagging-Item]]</f>
        <v>C5S2-/-</v>
      </c>
      <c r="AU760" s="136" t="str">
        <f>tbl_IO_List[[#This Row],[Terminal Tagging-Item]]&amp;"/"&amp;tbl_IO_List[[#This Row],[Front Terminal Tagging]]</f>
        <v>-/C5S2-</v>
      </c>
    </row>
    <row r="761" spans="1:47" hidden="1">
      <c r="A761" s="147" t="s">
        <v>1373</v>
      </c>
      <c r="B761" s="136" t="s">
        <v>382</v>
      </c>
      <c r="C761" s="136" t="str">
        <f>tbl_IO_List[[#This Row],[Column3]]</f>
        <v>C5S02,11</v>
      </c>
      <c r="D761" s="136" t="str">
        <f>tbl_IO_List[[#This Row],[Card]]</f>
        <v>1756-IB32-11</v>
      </c>
      <c r="E761" s="136" t="s">
        <v>1366</v>
      </c>
      <c r="F761" s="136" t="str">
        <f>tbl_IO_List[[#This Row],[Column23]]&amp;"-" &amp;tbl_IO_List[[#This Row],[Column52]]</f>
        <v>C5S02-X1</v>
      </c>
      <c r="G761" s="136" t="str">
        <f>tbl_IO_List[[#This Row],[PLC_Tag]]</f>
        <v>Spare_DI_0</v>
      </c>
      <c r="H761" s="136"/>
      <c r="I761" s="136" t="str">
        <f>VLOOKUP(tbl_IO_List[[#This Row],[Destination]],tbl_Junction[],2,FALSE)</f>
        <v>Slurry - Out Building 2nd Floor</v>
      </c>
      <c r="J761" s="136"/>
      <c r="K761" s="136"/>
      <c r="L761" s="136" t="s">
        <v>411</v>
      </c>
      <c r="M761" s="136" t="e">
        <f>VLOOKUP(tbl_IO_List[[#This Row],[Instruement Tag]],tbl_Instruement_List[],2,FALSE)</f>
        <v>#N/A</v>
      </c>
      <c r="N761" s="136"/>
      <c r="O761" s="136"/>
      <c r="P761" s="136"/>
      <c r="Q761" s="136" t="e">
        <f>VLOOKUP(tbl_IO_List[[#This Row],[Instruement Tag]],tbl_Instruement_List[],6,FALSE)</f>
        <v>#N/A</v>
      </c>
      <c r="R761" s="136"/>
      <c r="S76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61" s="136" t="str">
        <f>tbl_IO_List[[#This Row],[Instruement Tag]]&amp;"_"&amp;tbl_IO_List[[#This Row],[I/O Type]]&amp;"_"&amp;tbl_IO_List[[#This Row],[IO-Point 
(Instruement)]]</f>
        <v>Spare_DI_0</v>
      </c>
      <c r="U761" s="136" t="s">
        <v>8</v>
      </c>
      <c r="V761" s="136">
        <f>VLOOKUP(tbl_IO_List[[#This Row],[I/O Type]],tbl_Slot_Group[],2,FALSE)</f>
        <v>1</v>
      </c>
      <c r="W761" s="136">
        <v>0</v>
      </c>
      <c r="X761" s="136" t="str">
        <f>tbl_IO_List[[#This Row],[Chassis]]&amp;"S"&amp;TEXT(tbl_IO_List[[#This Row],[Slot]],"00")</f>
        <v>C5S02</v>
      </c>
      <c r="Y761" s="136" t="str">
        <f>tbl_IO_List[[#This Row],[Chassis]]&amp;"S"&amp;TEXT(tbl_IO_List[[#This Row],[Slot]],"00")&amp;tbl_IO_List[[#This Row],[I/O Type]]&amp;TEXT(tbl_IO_List[[#This Row],[Point]],"00")</f>
        <v>C5S02DI11</v>
      </c>
      <c r="Z761" s="136" t="str">
        <f>tbl_IO_List[[#This Row],[Chassis]]&amp;"S"&amp;TEXT(tbl_IO_List[[#This Row],[Slot]],"00")&amp;","&amp;TEXT(tbl_IO_List[[#This Row],[Point]],"00")</f>
        <v>C5S02,11</v>
      </c>
      <c r="AA761" s="136" t="str">
        <f>VLOOKUP(tbl_IO_List[[#This Row],[Column23]],tbl_RackConfig[],5,FALSE) &amp;"-"&amp;tbl_IO_List[[#This Row],[Point]]</f>
        <v>1756-IB32-11</v>
      </c>
      <c r="AB761" s="136"/>
      <c r="AC761" s="136"/>
      <c r="AD761" s="136" t="str">
        <f>tbl_IO_List[[#This Row],[I/O Type]]</f>
        <v>DI</v>
      </c>
      <c r="AE761" s="136" t="s">
        <v>1336</v>
      </c>
      <c r="AF761" s="136">
        <v>2</v>
      </c>
      <c r="AG761" s="136">
        <v>11</v>
      </c>
      <c r="AH761" s="136"/>
      <c r="AI761" s="136"/>
      <c r="AJ761" s="136">
        <v>1</v>
      </c>
      <c r="AK761" s="136">
        <v>0</v>
      </c>
      <c r="AL761" s="136">
        <v>0</v>
      </c>
      <c r="AM761" s="136">
        <v>0</v>
      </c>
      <c r="AN761" s="136">
        <v>0</v>
      </c>
      <c r="AO761" s="136"/>
      <c r="AP761" s="143" t="e">
        <f>VLOOKUP(tbl_IO_List[[#This Row],[Instruement Tag]],tbl_Instruement_List[],14,FALSE)</f>
        <v>#N/A</v>
      </c>
      <c r="AQ761" s="143" t="str">
        <f>tbl_IO_List[[#This Row],[Chassis]]&amp;"S"&amp;tbl_IO_List[[#This Row],[Slot]]&amp;"-"&amp;tbl_IO_List[[#This Row],[Front Terminal Number]]</f>
        <v>C5S2-</v>
      </c>
      <c r="AR761" s="143"/>
      <c r="AS761" s="136" t="str">
        <f>tbl_IO_List[[#This Row],[Terminal Tagging]]&amp;"-"&amp;tbl_IO_List[[#This Row],[Point-Count]]</f>
        <v>-</v>
      </c>
      <c r="AT761" s="136" t="str">
        <f>tbl_IO_List[[#This Row],[Front Terminal Tagging]]&amp;"/"&amp;tbl_IO_List[[#This Row],[Terminal Tagging-Item]]</f>
        <v>C5S2-/-</v>
      </c>
      <c r="AU761" s="136" t="str">
        <f>tbl_IO_List[[#This Row],[Terminal Tagging-Item]]&amp;"/"&amp;tbl_IO_List[[#This Row],[Front Terminal Tagging]]</f>
        <v>-/C5S2-</v>
      </c>
    </row>
    <row r="762" spans="1:47" hidden="1">
      <c r="A762" s="147" t="s">
        <v>1373</v>
      </c>
      <c r="B762" s="136" t="s">
        <v>382</v>
      </c>
      <c r="C762" s="136" t="str">
        <f>tbl_IO_List[[#This Row],[Column3]]</f>
        <v>C5S02,12</v>
      </c>
      <c r="D762" s="136" t="str">
        <f>tbl_IO_List[[#This Row],[Card]]</f>
        <v>1756-IB32-12</v>
      </c>
      <c r="E762" s="136" t="s">
        <v>1366</v>
      </c>
      <c r="F762" s="136" t="str">
        <f>tbl_IO_List[[#This Row],[Column23]]&amp;"-" &amp;tbl_IO_List[[#This Row],[Column52]]</f>
        <v>C5S02-X1</v>
      </c>
      <c r="G762" s="136" t="str">
        <f>tbl_IO_List[[#This Row],[PLC_Tag]]</f>
        <v>Spare_DI_0</v>
      </c>
      <c r="H762" s="136"/>
      <c r="I762" s="136" t="str">
        <f>VLOOKUP(tbl_IO_List[[#This Row],[Destination]],tbl_Junction[],2,FALSE)</f>
        <v>Slurry - Out Building 2nd Floor</v>
      </c>
      <c r="J762" s="136"/>
      <c r="K762" s="136"/>
      <c r="L762" s="136" t="s">
        <v>411</v>
      </c>
      <c r="M762" s="136" t="e">
        <f>VLOOKUP(tbl_IO_List[[#This Row],[Instruement Tag]],tbl_Instruement_List[],2,FALSE)</f>
        <v>#N/A</v>
      </c>
      <c r="N762" s="136"/>
      <c r="O762" s="136"/>
      <c r="P762" s="136"/>
      <c r="Q762" s="136" t="e">
        <f>VLOOKUP(tbl_IO_List[[#This Row],[Instruement Tag]],tbl_Instruement_List[],6,FALSE)</f>
        <v>#N/A</v>
      </c>
      <c r="R762" s="136"/>
      <c r="S76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62" s="136" t="str">
        <f>tbl_IO_List[[#This Row],[Instruement Tag]]&amp;"_"&amp;tbl_IO_List[[#This Row],[I/O Type]]&amp;"_"&amp;tbl_IO_List[[#This Row],[IO-Point 
(Instruement)]]</f>
        <v>Spare_DI_0</v>
      </c>
      <c r="U762" s="136" t="s">
        <v>8</v>
      </c>
      <c r="V762" s="136">
        <f>VLOOKUP(tbl_IO_List[[#This Row],[I/O Type]],tbl_Slot_Group[],2,FALSE)</f>
        <v>1</v>
      </c>
      <c r="W762" s="136">
        <v>0</v>
      </c>
      <c r="X762" s="136" t="str">
        <f>tbl_IO_List[[#This Row],[Chassis]]&amp;"S"&amp;TEXT(tbl_IO_List[[#This Row],[Slot]],"00")</f>
        <v>C5S02</v>
      </c>
      <c r="Y762" s="136" t="str">
        <f>tbl_IO_List[[#This Row],[Chassis]]&amp;"S"&amp;TEXT(tbl_IO_List[[#This Row],[Slot]],"00")&amp;tbl_IO_List[[#This Row],[I/O Type]]&amp;TEXT(tbl_IO_List[[#This Row],[Point]],"00")</f>
        <v>C5S02DI12</v>
      </c>
      <c r="Z762" s="136" t="str">
        <f>tbl_IO_List[[#This Row],[Chassis]]&amp;"S"&amp;TEXT(tbl_IO_List[[#This Row],[Slot]],"00")&amp;","&amp;TEXT(tbl_IO_List[[#This Row],[Point]],"00")</f>
        <v>C5S02,12</v>
      </c>
      <c r="AA762" s="136" t="str">
        <f>VLOOKUP(tbl_IO_List[[#This Row],[Column23]],tbl_RackConfig[],5,FALSE) &amp;"-"&amp;tbl_IO_List[[#This Row],[Point]]</f>
        <v>1756-IB32-12</v>
      </c>
      <c r="AB762" s="136"/>
      <c r="AC762" s="136"/>
      <c r="AD762" s="136" t="str">
        <f>tbl_IO_List[[#This Row],[I/O Type]]</f>
        <v>DI</v>
      </c>
      <c r="AE762" s="136" t="s">
        <v>1336</v>
      </c>
      <c r="AF762" s="136">
        <v>2</v>
      </c>
      <c r="AG762" s="136">
        <v>12</v>
      </c>
      <c r="AH762" s="136"/>
      <c r="AI762" s="136"/>
      <c r="AJ762" s="136">
        <v>1</v>
      </c>
      <c r="AK762" s="136">
        <v>0</v>
      </c>
      <c r="AL762" s="136">
        <v>0</v>
      </c>
      <c r="AM762" s="136">
        <v>0</v>
      </c>
      <c r="AN762" s="136">
        <v>0</v>
      </c>
      <c r="AO762" s="136"/>
      <c r="AP762" s="143" t="e">
        <f>VLOOKUP(tbl_IO_List[[#This Row],[Instruement Tag]],tbl_Instruement_List[],14,FALSE)</f>
        <v>#N/A</v>
      </c>
      <c r="AQ762" s="143" t="str">
        <f>tbl_IO_List[[#This Row],[Chassis]]&amp;"S"&amp;tbl_IO_List[[#This Row],[Slot]]&amp;"-"&amp;tbl_IO_List[[#This Row],[Front Terminal Number]]</f>
        <v>C5S2-</v>
      </c>
      <c r="AR762" s="143"/>
      <c r="AS762" s="136" t="str">
        <f>tbl_IO_List[[#This Row],[Terminal Tagging]]&amp;"-"&amp;tbl_IO_List[[#This Row],[Point-Count]]</f>
        <v>-</v>
      </c>
      <c r="AT762" s="136" t="str">
        <f>tbl_IO_List[[#This Row],[Front Terminal Tagging]]&amp;"/"&amp;tbl_IO_List[[#This Row],[Terminal Tagging-Item]]</f>
        <v>C5S2-/-</v>
      </c>
      <c r="AU762" s="136" t="str">
        <f>tbl_IO_List[[#This Row],[Terminal Tagging-Item]]&amp;"/"&amp;tbl_IO_List[[#This Row],[Front Terminal Tagging]]</f>
        <v>-/C5S2-</v>
      </c>
    </row>
    <row r="763" spans="1:47" hidden="1">
      <c r="A763" s="147" t="s">
        <v>1373</v>
      </c>
      <c r="B763" s="136" t="s">
        <v>382</v>
      </c>
      <c r="C763" s="136" t="str">
        <f>tbl_IO_List[[#This Row],[Column3]]</f>
        <v>C5S02,13</v>
      </c>
      <c r="D763" s="136" t="str">
        <f>tbl_IO_List[[#This Row],[Card]]</f>
        <v>1756-IB32-13</v>
      </c>
      <c r="E763" s="136" t="s">
        <v>1366</v>
      </c>
      <c r="F763" s="136" t="str">
        <f>tbl_IO_List[[#This Row],[Column23]]&amp;"-" &amp;tbl_IO_List[[#This Row],[Column52]]</f>
        <v>C5S02-X1</v>
      </c>
      <c r="G763" s="136" t="str">
        <f>tbl_IO_List[[#This Row],[PLC_Tag]]</f>
        <v>Spare_DI_0</v>
      </c>
      <c r="H763" s="136"/>
      <c r="I763" s="136" t="str">
        <f>VLOOKUP(tbl_IO_List[[#This Row],[Destination]],tbl_Junction[],2,FALSE)</f>
        <v>Slurry - Out Building 2nd Floor</v>
      </c>
      <c r="J763" s="136"/>
      <c r="K763" s="136"/>
      <c r="L763" s="136" t="s">
        <v>411</v>
      </c>
      <c r="M763" s="136" t="e">
        <f>VLOOKUP(tbl_IO_List[[#This Row],[Instruement Tag]],tbl_Instruement_List[],2,FALSE)</f>
        <v>#N/A</v>
      </c>
      <c r="N763" s="136"/>
      <c r="O763" s="136"/>
      <c r="P763" s="136"/>
      <c r="Q763" s="136" t="e">
        <f>VLOOKUP(tbl_IO_List[[#This Row],[Instruement Tag]],tbl_Instruement_List[],6,FALSE)</f>
        <v>#N/A</v>
      </c>
      <c r="R763" s="136"/>
      <c r="S76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63" s="136" t="str">
        <f>tbl_IO_List[[#This Row],[Instruement Tag]]&amp;"_"&amp;tbl_IO_List[[#This Row],[I/O Type]]&amp;"_"&amp;tbl_IO_List[[#This Row],[IO-Point 
(Instruement)]]</f>
        <v>Spare_DI_0</v>
      </c>
      <c r="U763" s="136" t="s">
        <v>8</v>
      </c>
      <c r="V763" s="136">
        <f>VLOOKUP(tbl_IO_List[[#This Row],[I/O Type]],tbl_Slot_Group[],2,FALSE)</f>
        <v>1</v>
      </c>
      <c r="W763" s="136">
        <v>0</v>
      </c>
      <c r="X763" s="136" t="str">
        <f>tbl_IO_List[[#This Row],[Chassis]]&amp;"S"&amp;TEXT(tbl_IO_List[[#This Row],[Slot]],"00")</f>
        <v>C5S02</v>
      </c>
      <c r="Y763" s="136" t="str">
        <f>tbl_IO_List[[#This Row],[Chassis]]&amp;"S"&amp;TEXT(tbl_IO_List[[#This Row],[Slot]],"00")&amp;tbl_IO_List[[#This Row],[I/O Type]]&amp;TEXT(tbl_IO_List[[#This Row],[Point]],"00")</f>
        <v>C5S02DI13</v>
      </c>
      <c r="Z763" s="136" t="str">
        <f>tbl_IO_List[[#This Row],[Chassis]]&amp;"S"&amp;TEXT(tbl_IO_List[[#This Row],[Slot]],"00")&amp;","&amp;TEXT(tbl_IO_List[[#This Row],[Point]],"00")</f>
        <v>C5S02,13</v>
      </c>
      <c r="AA763" s="136" t="str">
        <f>VLOOKUP(tbl_IO_List[[#This Row],[Column23]],tbl_RackConfig[],5,FALSE) &amp;"-"&amp;tbl_IO_List[[#This Row],[Point]]</f>
        <v>1756-IB32-13</v>
      </c>
      <c r="AB763" s="136"/>
      <c r="AC763" s="136"/>
      <c r="AD763" s="136" t="str">
        <f>tbl_IO_List[[#This Row],[I/O Type]]</f>
        <v>DI</v>
      </c>
      <c r="AE763" s="136" t="s">
        <v>1336</v>
      </c>
      <c r="AF763" s="136">
        <v>2</v>
      </c>
      <c r="AG763" s="136">
        <v>13</v>
      </c>
      <c r="AH763" s="136"/>
      <c r="AI763" s="136"/>
      <c r="AJ763" s="136">
        <v>1</v>
      </c>
      <c r="AK763" s="136">
        <v>0</v>
      </c>
      <c r="AL763" s="136">
        <v>0</v>
      </c>
      <c r="AM763" s="136">
        <v>0</v>
      </c>
      <c r="AN763" s="136">
        <v>0</v>
      </c>
      <c r="AO763" s="136"/>
      <c r="AP763" s="143" t="e">
        <f>VLOOKUP(tbl_IO_List[[#This Row],[Instruement Tag]],tbl_Instruement_List[],14,FALSE)</f>
        <v>#N/A</v>
      </c>
      <c r="AQ763" s="143" t="str">
        <f>tbl_IO_List[[#This Row],[Chassis]]&amp;"S"&amp;tbl_IO_List[[#This Row],[Slot]]&amp;"-"&amp;tbl_IO_List[[#This Row],[Front Terminal Number]]</f>
        <v>C5S2-</v>
      </c>
      <c r="AR763" s="143"/>
      <c r="AS763" s="136" t="str">
        <f>tbl_IO_List[[#This Row],[Terminal Tagging]]&amp;"-"&amp;tbl_IO_List[[#This Row],[Point-Count]]</f>
        <v>-</v>
      </c>
      <c r="AT763" s="136" t="str">
        <f>tbl_IO_List[[#This Row],[Front Terminal Tagging]]&amp;"/"&amp;tbl_IO_List[[#This Row],[Terminal Tagging-Item]]</f>
        <v>C5S2-/-</v>
      </c>
      <c r="AU763" s="136" t="str">
        <f>tbl_IO_List[[#This Row],[Terminal Tagging-Item]]&amp;"/"&amp;tbl_IO_List[[#This Row],[Front Terminal Tagging]]</f>
        <v>-/C5S2-</v>
      </c>
    </row>
    <row r="764" spans="1:47" hidden="1">
      <c r="A764" s="147" t="s">
        <v>1373</v>
      </c>
      <c r="B764" s="136" t="s">
        <v>382</v>
      </c>
      <c r="C764" s="136" t="str">
        <f>tbl_IO_List[[#This Row],[Column3]]</f>
        <v>C5S02,14</v>
      </c>
      <c r="D764" s="136" t="str">
        <f>tbl_IO_List[[#This Row],[Card]]</f>
        <v>1756-IB32-14</v>
      </c>
      <c r="E764" s="136" t="s">
        <v>1366</v>
      </c>
      <c r="F764" s="136" t="str">
        <f>tbl_IO_List[[#This Row],[Column23]]&amp;"-" &amp;tbl_IO_List[[#This Row],[Column52]]</f>
        <v>C5S02-X1</v>
      </c>
      <c r="G764" s="136" t="str">
        <f>tbl_IO_List[[#This Row],[PLC_Tag]]</f>
        <v>Spare_DI_0</v>
      </c>
      <c r="H764" s="136"/>
      <c r="I764" s="136" t="str">
        <f>VLOOKUP(tbl_IO_List[[#This Row],[Destination]],tbl_Junction[],2,FALSE)</f>
        <v>Slurry - Out Building 2nd Floor</v>
      </c>
      <c r="J764" s="136"/>
      <c r="K764" s="136"/>
      <c r="L764" s="136" t="s">
        <v>411</v>
      </c>
      <c r="M764" s="136" t="e">
        <f>VLOOKUP(tbl_IO_List[[#This Row],[Instruement Tag]],tbl_Instruement_List[],2,FALSE)</f>
        <v>#N/A</v>
      </c>
      <c r="N764" s="136"/>
      <c r="O764" s="136"/>
      <c r="P764" s="136"/>
      <c r="Q764" s="136" t="e">
        <f>VLOOKUP(tbl_IO_List[[#This Row],[Instruement Tag]],tbl_Instruement_List[],6,FALSE)</f>
        <v>#N/A</v>
      </c>
      <c r="R764" s="136"/>
      <c r="S76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64" s="136" t="str">
        <f>tbl_IO_List[[#This Row],[Instruement Tag]]&amp;"_"&amp;tbl_IO_List[[#This Row],[I/O Type]]&amp;"_"&amp;tbl_IO_List[[#This Row],[IO-Point 
(Instruement)]]</f>
        <v>Spare_DI_0</v>
      </c>
      <c r="U764" s="136" t="s">
        <v>8</v>
      </c>
      <c r="V764" s="136">
        <f>VLOOKUP(tbl_IO_List[[#This Row],[I/O Type]],tbl_Slot_Group[],2,FALSE)</f>
        <v>1</v>
      </c>
      <c r="W764" s="136">
        <v>0</v>
      </c>
      <c r="X764" s="136" t="str">
        <f>tbl_IO_List[[#This Row],[Chassis]]&amp;"S"&amp;TEXT(tbl_IO_List[[#This Row],[Slot]],"00")</f>
        <v>C5S02</v>
      </c>
      <c r="Y764" s="136" t="str">
        <f>tbl_IO_List[[#This Row],[Chassis]]&amp;"S"&amp;TEXT(tbl_IO_List[[#This Row],[Slot]],"00")&amp;tbl_IO_List[[#This Row],[I/O Type]]&amp;TEXT(tbl_IO_List[[#This Row],[Point]],"00")</f>
        <v>C5S02DI14</v>
      </c>
      <c r="Z764" s="136" t="str">
        <f>tbl_IO_List[[#This Row],[Chassis]]&amp;"S"&amp;TEXT(tbl_IO_List[[#This Row],[Slot]],"00")&amp;","&amp;TEXT(tbl_IO_List[[#This Row],[Point]],"00")</f>
        <v>C5S02,14</v>
      </c>
      <c r="AA764" s="136" t="str">
        <f>VLOOKUP(tbl_IO_List[[#This Row],[Column23]],tbl_RackConfig[],5,FALSE) &amp;"-"&amp;tbl_IO_List[[#This Row],[Point]]</f>
        <v>1756-IB32-14</v>
      </c>
      <c r="AB764" s="136"/>
      <c r="AC764" s="136"/>
      <c r="AD764" s="136" t="str">
        <f>tbl_IO_List[[#This Row],[I/O Type]]</f>
        <v>DI</v>
      </c>
      <c r="AE764" s="136" t="s">
        <v>1336</v>
      </c>
      <c r="AF764" s="136">
        <v>2</v>
      </c>
      <c r="AG764" s="136">
        <v>14</v>
      </c>
      <c r="AH764" s="136"/>
      <c r="AI764" s="136"/>
      <c r="AJ764" s="136">
        <v>1</v>
      </c>
      <c r="AK764" s="136">
        <v>0</v>
      </c>
      <c r="AL764" s="136">
        <v>0</v>
      </c>
      <c r="AM764" s="136">
        <v>0</v>
      </c>
      <c r="AN764" s="136">
        <v>0</v>
      </c>
      <c r="AO764" s="136"/>
      <c r="AP764" s="143" t="e">
        <f>VLOOKUP(tbl_IO_List[[#This Row],[Instruement Tag]],tbl_Instruement_List[],14,FALSE)</f>
        <v>#N/A</v>
      </c>
      <c r="AQ764" s="143" t="str">
        <f>tbl_IO_List[[#This Row],[Chassis]]&amp;"S"&amp;tbl_IO_List[[#This Row],[Slot]]&amp;"-"&amp;tbl_IO_List[[#This Row],[Front Terminal Number]]</f>
        <v>C5S2-</v>
      </c>
      <c r="AR764" s="143"/>
      <c r="AS764" s="136" t="str">
        <f>tbl_IO_List[[#This Row],[Terminal Tagging]]&amp;"-"&amp;tbl_IO_List[[#This Row],[Point-Count]]</f>
        <v>-</v>
      </c>
      <c r="AT764" s="136" t="str">
        <f>tbl_IO_List[[#This Row],[Front Terminal Tagging]]&amp;"/"&amp;tbl_IO_List[[#This Row],[Terminal Tagging-Item]]</f>
        <v>C5S2-/-</v>
      </c>
      <c r="AU764" s="136" t="str">
        <f>tbl_IO_List[[#This Row],[Terminal Tagging-Item]]&amp;"/"&amp;tbl_IO_List[[#This Row],[Front Terminal Tagging]]</f>
        <v>-/C5S2-</v>
      </c>
    </row>
    <row r="765" spans="1:47" hidden="1">
      <c r="A765" s="147" t="s">
        <v>1373</v>
      </c>
      <c r="B765" s="136" t="s">
        <v>382</v>
      </c>
      <c r="C765" s="136" t="str">
        <f>tbl_IO_List[[#This Row],[Column3]]</f>
        <v>C5S02,15</v>
      </c>
      <c r="D765" s="136" t="str">
        <f>tbl_IO_List[[#This Row],[Card]]</f>
        <v>1756-IB32-15</v>
      </c>
      <c r="E765" s="136" t="s">
        <v>1366</v>
      </c>
      <c r="F765" s="136" t="str">
        <f>tbl_IO_List[[#This Row],[Column23]]&amp;"-" &amp;tbl_IO_List[[#This Row],[Column52]]</f>
        <v>C5S02-X1</v>
      </c>
      <c r="G765" s="136" t="str">
        <f>tbl_IO_List[[#This Row],[PLC_Tag]]</f>
        <v>Spare_DI_0</v>
      </c>
      <c r="H765" s="136"/>
      <c r="I765" s="136" t="str">
        <f>VLOOKUP(tbl_IO_List[[#This Row],[Destination]],tbl_Junction[],2,FALSE)</f>
        <v>Slurry - Out Building 2nd Floor</v>
      </c>
      <c r="J765" s="136"/>
      <c r="K765" s="136"/>
      <c r="L765" s="136" t="s">
        <v>411</v>
      </c>
      <c r="M765" s="136" t="e">
        <f>VLOOKUP(tbl_IO_List[[#This Row],[Instruement Tag]],tbl_Instruement_List[],2,FALSE)</f>
        <v>#N/A</v>
      </c>
      <c r="N765" s="136"/>
      <c r="O765" s="136"/>
      <c r="P765" s="136"/>
      <c r="Q765" s="136" t="e">
        <f>VLOOKUP(tbl_IO_List[[#This Row],[Instruement Tag]],tbl_Instruement_List[],6,FALSE)</f>
        <v>#N/A</v>
      </c>
      <c r="R765" s="136"/>
      <c r="S76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65" s="136" t="str">
        <f>tbl_IO_List[[#This Row],[Instruement Tag]]&amp;"_"&amp;tbl_IO_List[[#This Row],[I/O Type]]&amp;"_"&amp;tbl_IO_List[[#This Row],[IO-Point 
(Instruement)]]</f>
        <v>Spare_DI_0</v>
      </c>
      <c r="U765" s="136" t="s">
        <v>8</v>
      </c>
      <c r="V765" s="136">
        <f>VLOOKUP(tbl_IO_List[[#This Row],[I/O Type]],tbl_Slot_Group[],2,FALSE)</f>
        <v>1</v>
      </c>
      <c r="W765" s="136">
        <v>0</v>
      </c>
      <c r="X765" s="136" t="str">
        <f>tbl_IO_List[[#This Row],[Chassis]]&amp;"S"&amp;TEXT(tbl_IO_List[[#This Row],[Slot]],"00")</f>
        <v>C5S02</v>
      </c>
      <c r="Y765" s="136" t="str">
        <f>tbl_IO_List[[#This Row],[Chassis]]&amp;"S"&amp;TEXT(tbl_IO_List[[#This Row],[Slot]],"00")&amp;tbl_IO_List[[#This Row],[I/O Type]]&amp;TEXT(tbl_IO_List[[#This Row],[Point]],"00")</f>
        <v>C5S02DI15</v>
      </c>
      <c r="Z765" s="136" t="str">
        <f>tbl_IO_List[[#This Row],[Chassis]]&amp;"S"&amp;TEXT(tbl_IO_List[[#This Row],[Slot]],"00")&amp;","&amp;TEXT(tbl_IO_List[[#This Row],[Point]],"00")</f>
        <v>C5S02,15</v>
      </c>
      <c r="AA765" s="136" t="str">
        <f>VLOOKUP(tbl_IO_List[[#This Row],[Column23]],tbl_RackConfig[],5,FALSE) &amp;"-"&amp;tbl_IO_List[[#This Row],[Point]]</f>
        <v>1756-IB32-15</v>
      </c>
      <c r="AB765" s="136"/>
      <c r="AC765" s="136"/>
      <c r="AD765" s="136" t="str">
        <f>tbl_IO_List[[#This Row],[I/O Type]]</f>
        <v>DI</v>
      </c>
      <c r="AE765" s="136" t="s">
        <v>1336</v>
      </c>
      <c r="AF765" s="136">
        <v>2</v>
      </c>
      <c r="AG765" s="136">
        <v>15</v>
      </c>
      <c r="AH765" s="136"/>
      <c r="AI765" s="136"/>
      <c r="AJ765" s="136">
        <v>1</v>
      </c>
      <c r="AK765" s="136">
        <v>0</v>
      </c>
      <c r="AL765" s="136">
        <v>0</v>
      </c>
      <c r="AM765" s="136">
        <v>0</v>
      </c>
      <c r="AN765" s="136">
        <v>0</v>
      </c>
      <c r="AO765" s="136"/>
      <c r="AP765" s="143" t="e">
        <f>VLOOKUP(tbl_IO_List[[#This Row],[Instruement Tag]],tbl_Instruement_List[],14,FALSE)</f>
        <v>#N/A</v>
      </c>
      <c r="AQ765" s="143" t="str">
        <f>tbl_IO_List[[#This Row],[Chassis]]&amp;"S"&amp;tbl_IO_List[[#This Row],[Slot]]&amp;"-"&amp;tbl_IO_List[[#This Row],[Front Terminal Number]]</f>
        <v>C5S2-</v>
      </c>
      <c r="AR765" s="143"/>
      <c r="AS765" s="136" t="str">
        <f>tbl_IO_List[[#This Row],[Terminal Tagging]]&amp;"-"&amp;tbl_IO_List[[#This Row],[Point-Count]]</f>
        <v>-</v>
      </c>
      <c r="AT765" s="136" t="str">
        <f>tbl_IO_List[[#This Row],[Front Terminal Tagging]]&amp;"/"&amp;tbl_IO_List[[#This Row],[Terminal Tagging-Item]]</f>
        <v>C5S2-/-</v>
      </c>
      <c r="AU765" s="136" t="str">
        <f>tbl_IO_List[[#This Row],[Terminal Tagging-Item]]&amp;"/"&amp;tbl_IO_List[[#This Row],[Front Terminal Tagging]]</f>
        <v>-/C5S2-</v>
      </c>
    </row>
    <row r="766" spans="1:47" hidden="1">
      <c r="A766" s="147" t="s">
        <v>1373</v>
      </c>
      <c r="B766" s="136" t="s">
        <v>382</v>
      </c>
      <c r="C766" s="136" t="str">
        <f>tbl_IO_List[[#This Row],[Column3]]</f>
        <v>C5S02,16</v>
      </c>
      <c r="D766" s="136" t="str">
        <f>tbl_IO_List[[#This Row],[Card]]</f>
        <v>1756-IB32-16</v>
      </c>
      <c r="E766" s="136" t="s">
        <v>1372</v>
      </c>
      <c r="F766" s="136" t="str">
        <f>tbl_IO_List[[#This Row],[Column23]]&amp;"-" &amp;tbl_IO_List[[#This Row],[Column52]]</f>
        <v>C5S02-X2</v>
      </c>
      <c r="G766" s="136" t="str">
        <f>tbl_IO_List[[#This Row],[PLC_Tag]]</f>
        <v>Spare_DI_0</v>
      </c>
      <c r="H766" s="136"/>
      <c r="I766" s="136" t="str">
        <f>VLOOKUP(tbl_IO_List[[#This Row],[Destination]],tbl_Junction[],2,FALSE)</f>
        <v>Slurry - Out Building 2nd Floor</v>
      </c>
      <c r="J766" s="136"/>
      <c r="K766" s="136"/>
      <c r="L766" s="136" t="s">
        <v>411</v>
      </c>
      <c r="M766" s="136" t="e">
        <f>VLOOKUP(tbl_IO_List[[#This Row],[Instruement Tag]],tbl_Instruement_List[],2,FALSE)</f>
        <v>#N/A</v>
      </c>
      <c r="N766" s="136"/>
      <c r="O766" s="136"/>
      <c r="P766" s="136"/>
      <c r="Q766" s="136" t="e">
        <f>VLOOKUP(tbl_IO_List[[#This Row],[Instruement Tag]],tbl_Instruement_List[],6,FALSE)</f>
        <v>#N/A</v>
      </c>
      <c r="R766" s="136"/>
      <c r="S76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66" s="136" t="str">
        <f>tbl_IO_List[[#This Row],[Instruement Tag]]&amp;"_"&amp;tbl_IO_List[[#This Row],[I/O Type]]&amp;"_"&amp;tbl_IO_List[[#This Row],[IO-Point 
(Instruement)]]</f>
        <v>Spare_DI_0</v>
      </c>
      <c r="U766" s="136" t="s">
        <v>8</v>
      </c>
      <c r="V766" s="136">
        <f>VLOOKUP(tbl_IO_List[[#This Row],[I/O Type]],tbl_Slot_Group[],2,FALSE)</f>
        <v>1</v>
      </c>
      <c r="W766" s="136">
        <v>0</v>
      </c>
      <c r="X766" s="136" t="str">
        <f>tbl_IO_List[[#This Row],[Chassis]]&amp;"S"&amp;TEXT(tbl_IO_List[[#This Row],[Slot]],"00")</f>
        <v>C5S02</v>
      </c>
      <c r="Y766" s="136" t="str">
        <f>tbl_IO_List[[#This Row],[Chassis]]&amp;"S"&amp;TEXT(tbl_IO_List[[#This Row],[Slot]],"00")&amp;tbl_IO_List[[#This Row],[I/O Type]]&amp;TEXT(tbl_IO_List[[#This Row],[Point]],"00")</f>
        <v>C5S02DI16</v>
      </c>
      <c r="Z766" s="136" t="str">
        <f>tbl_IO_List[[#This Row],[Chassis]]&amp;"S"&amp;TEXT(tbl_IO_List[[#This Row],[Slot]],"00")&amp;","&amp;TEXT(tbl_IO_List[[#This Row],[Point]],"00")</f>
        <v>C5S02,16</v>
      </c>
      <c r="AA766" s="136" t="str">
        <f>VLOOKUP(tbl_IO_List[[#This Row],[Column23]],tbl_RackConfig[],5,FALSE) &amp;"-"&amp;tbl_IO_List[[#This Row],[Point]]</f>
        <v>1756-IB32-16</v>
      </c>
      <c r="AB766" s="136"/>
      <c r="AC766" s="136"/>
      <c r="AD766" s="136" t="str">
        <f>tbl_IO_List[[#This Row],[I/O Type]]</f>
        <v>DI</v>
      </c>
      <c r="AE766" s="136" t="s">
        <v>1336</v>
      </c>
      <c r="AF766" s="136">
        <v>2</v>
      </c>
      <c r="AG766" s="136">
        <v>16</v>
      </c>
      <c r="AH766" s="136"/>
      <c r="AI766" s="136"/>
      <c r="AJ766" s="136">
        <v>1</v>
      </c>
      <c r="AK766" s="136">
        <v>0</v>
      </c>
      <c r="AL766" s="136">
        <v>0</v>
      </c>
      <c r="AM766" s="136">
        <v>0</v>
      </c>
      <c r="AN766" s="136">
        <v>0</v>
      </c>
      <c r="AO766" s="136"/>
      <c r="AP766" s="143" t="e">
        <f>VLOOKUP(tbl_IO_List[[#This Row],[Instruement Tag]],tbl_Instruement_List[],14,FALSE)</f>
        <v>#N/A</v>
      </c>
      <c r="AQ766" s="143" t="str">
        <f>tbl_IO_List[[#This Row],[Chassis]]&amp;"S"&amp;tbl_IO_List[[#This Row],[Slot]]&amp;"-"&amp;tbl_IO_List[[#This Row],[Front Terminal Number]]</f>
        <v>C5S2-</v>
      </c>
      <c r="AR766" s="143"/>
      <c r="AS766" s="136" t="str">
        <f>tbl_IO_List[[#This Row],[Terminal Tagging]]&amp;"-"&amp;tbl_IO_List[[#This Row],[Point-Count]]</f>
        <v>-</v>
      </c>
      <c r="AT766" s="136" t="str">
        <f>tbl_IO_List[[#This Row],[Front Terminal Tagging]]&amp;"/"&amp;tbl_IO_List[[#This Row],[Terminal Tagging-Item]]</f>
        <v>C5S2-/-</v>
      </c>
      <c r="AU766" s="136" t="str">
        <f>tbl_IO_List[[#This Row],[Terminal Tagging-Item]]&amp;"/"&amp;tbl_IO_List[[#This Row],[Front Terminal Tagging]]</f>
        <v>-/C5S2-</v>
      </c>
    </row>
    <row r="767" spans="1:47" hidden="1">
      <c r="A767" s="147" t="s">
        <v>1373</v>
      </c>
      <c r="B767" s="136" t="s">
        <v>382</v>
      </c>
      <c r="C767" s="136" t="str">
        <f>tbl_IO_List[[#This Row],[Column3]]</f>
        <v>C5S02,17</v>
      </c>
      <c r="D767" s="136" t="str">
        <f>tbl_IO_List[[#This Row],[Card]]</f>
        <v>1756-IB32-17</v>
      </c>
      <c r="E767" s="136" t="s">
        <v>1372</v>
      </c>
      <c r="F767" s="136" t="str">
        <f>tbl_IO_List[[#This Row],[Column23]]&amp;"-" &amp;tbl_IO_List[[#This Row],[Column52]]</f>
        <v>C5S02-X2</v>
      </c>
      <c r="G767" s="136" t="str">
        <f>tbl_IO_List[[#This Row],[PLC_Tag]]</f>
        <v>Spare_DI_0</v>
      </c>
      <c r="H767" s="136"/>
      <c r="I767" s="136" t="str">
        <f>VLOOKUP(tbl_IO_List[[#This Row],[Destination]],tbl_Junction[],2,FALSE)</f>
        <v>Slurry - Out Building 2nd Floor</v>
      </c>
      <c r="J767" s="136"/>
      <c r="K767" s="136"/>
      <c r="L767" s="136" t="s">
        <v>411</v>
      </c>
      <c r="M767" s="136" t="e">
        <f>VLOOKUP(tbl_IO_List[[#This Row],[Instruement Tag]],tbl_Instruement_List[],2,FALSE)</f>
        <v>#N/A</v>
      </c>
      <c r="N767" s="136"/>
      <c r="O767" s="136"/>
      <c r="P767" s="136"/>
      <c r="Q767" s="136" t="e">
        <f>VLOOKUP(tbl_IO_List[[#This Row],[Instruement Tag]],tbl_Instruement_List[],6,FALSE)</f>
        <v>#N/A</v>
      </c>
      <c r="R767" s="136"/>
      <c r="S76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67" s="136" t="str">
        <f>tbl_IO_List[[#This Row],[Instruement Tag]]&amp;"_"&amp;tbl_IO_List[[#This Row],[I/O Type]]&amp;"_"&amp;tbl_IO_List[[#This Row],[IO-Point 
(Instruement)]]</f>
        <v>Spare_DI_0</v>
      </c>
      <c r="U767" s="136" t="s">
        <v>8</v>
      </c>
      <c r="V767" s="136">
        <f>VLOOKUP(tbl_IO_List[[#This Row],[I/O Type]],tbl_Slot_Group[],2,FALSE)</f>
        <v>1</v>
      </c>
      <c r="W767" s="136">
        <v>0</v>
      </c>
      <c r="X767" s="136" t="str">
        <f>tbl_IO_List[[#This Row],[Chassis]]&amp;"S"&amp;TEXT(tbl_IO_List[[#This Row],[Slot]],"00")</f>
        <v>C5S02</v>
      </c>
      <c r="Y767" s="136" t="str">
        <f>tbl_IO_List[[#This Row],[Chassis]]&amp;"S"&amp;TEXT(tbl_IO_List[[#This Row],[Slot]],"00")&amp;tbl_IO_List[[#This Row],[I/O Type]]&amp;TEXT(tbl_IO_List[[#This Row],[Point]],"00")</f>
        <v>C5S02DI17</v>
      </c>
      <c r="Z767" s="136" t="str">
        <f>tbl_IO_List[[#This Row],[Chassis]]&amp;"S"&amp;TEXT(tbl_IO_List[[#This Row],[Slot]],"00")&amp;","&amp;TEXT(tbl_IO_List[[#This Row],[Point]],"00")</f>
        <v>C5S02,17</v>
      </c>
      <c r="AA767" s="136" t="str">
        <f>VLOOKUP(tbl_IO_List[[#This Row],[Column23]],tbl_RackConfig[],5,FALSE) &amp;"-"&amp;tbl_IO_List[[#This Row],[Point]]</f>
        <v>1756-IB32-17</v>
      </c>
      <c r="AB767" s="136"/>
      <c r="AC767" s="136"/>
      <c r="AD767" s="136" t="str">
        <f>tbl_IO_List[[#This Row],[I/O Type]]</f>
        <v>DI</v>
      </c>
      <c r="AE767" s="136" t="s">
        <v>1336</v>
      </c>
      <c r="AF767" s="136">
        <v>2</v>
      </c>
      <c r="AG767" s="136">
        <v>17</v>
      </c>
      <c r="AH767" s="136"/>
      <c r="AI767" s="136"/>
      <c r="AJ767" s="136">
        <v>1</v>
      </c>
      <c r="AK767" s="136">
        <v>0</v>
      </c>
      <c r="AL767" s="136">
        <v>0</v>
      </c>
      <c r="AM767" s="136">
        <v>0</v>
      </c>
      <c r="AN767" s="136">
        <v>0</v>
      </c>
      <c r="AO767" s="136"/>
      <c r="AP767" s="143" t="e">
        <f>VLOOKUP(tbl_IO_List[[#This Row],[Instruement Tag]],tbl_Instruement_List[],14,FALSE)</f>
        <v>#N/A</v>
      </c>
      <c r="AQ767" s="143" t="str">
        <f>tbl_IO_List[[#This Row],[Chassis]]&amp;"S"&amp;tbl_IO_List[[#This Row],[Slot]]&amp;"-"&amp;tbl_IO_List[[#This Row],[Front Terminal Number]]</f>
        <v>C5S2-</v>
      </c>
      <c r="AR767" s="143"/>
      <c r="AS767" s="136" t="str">
        <f>tbl_IO_List[[#This Row],[Terminal Tagging]]&amp;"-"&amp;tbl_IO_List[[#This Row],[Point-Count]]</f>
        <v>-</v>
      </c>
      <c r="AT767" s="136" t="str">
        <f>tbl_IO_List[[#This Row],[Front Terminal Tagging]]&amp;"/"&amp;tbl_IO_List[[#This Row],[Terminal Tagging-Item]]</f>
        <v>C5S2-/-</v>
      </c>
      <c r="AU767" s="136" t="str">
        <f>tbl_IO_List[[#This Row],[Terminal Tagging-Item]]&amp;"/"&amp;tbl_IO_List[[#This Row],[Front Terminal Tagging]]</f>
        <v>-/C5S2-</v>
      </c>
    </row>
    <row r="768" spans="1:47" hidden="1">
      <c r="A768" s="147" t="s">
        <v>1373</v>
      </c>
      <c r="B768" s="136" t="s">
        <v>382</v>
      </c>
      <c r="C768" s="136" t="str">
        <f>tbl_IO_List[[#This Row],[Column3]]</f>
        <v>C5S02,18</v>
      </c>
      <c r="D768" s="136" t="str">
        <f>tbl_IO_List[[#This Row],[Card]]</f>
        <v>1756-IB32-18</v>
      </c>
      <c r="E768" s="136" t="s">
        <v>1372</v>
      </c>
      <c r="F768" s="136" t="str">
        <f>tbl_IO_List[[#This Row],[Column23]]&amp;"-" &amp;tbl_IO_List[[#This Row],[Column52]]</f>
        <v>C5S02-X2</v>
      </c>
      <c r="G768" s="136" t="str">
        <f>tbl_IO_List[[#This Row],[PLC_Tag]]</f>
        <v>Spare_DI_0</v>
      </c>
      <c r="H768" s="136"/>
      <c r="I768" s="136" t="str">
        <f>VLOOKUP(tbl_IO_List[[#This Row],[Destination]],tbl_Junction[],2,FALSE)</f>
        <v>Slurry - Out Building 2nd Floor</v>
      </c>
      <c r="J768" s="136"/>
      <c r="K768" s="136"/>
      <c r="L768" s="136" t="s">
        <v>411</v>
      </c>
      <c r="M768" s="136" t="e">
        <f>VLOOKUP(tbl_IO_List[[#This Row],[Instruement Tag]],tbl_Instruement_List[],2,FALSE)</f>
        <v>#N/A</v>
      </c>
      <c r="N768" s="136"/>
      <c r="O768" s="136"/>
      <c r="P768" s="136"/>
      <c r="Q768" s="136" t="e">
        <f>VLOOKUP(tbl_IO_List[[#This Row],[Instruement Tag]],tbl_Instruement_List[],6,FALSE)</f>
        <v>#N/A</v>
      </c>
      <c r="R768" s="136"/>
      <c r="S76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68" s="136" t="str">
        <f>tbl_IO_List[[#This Row],[Instruement Tag]]&amp;"_"&amp;tbl_IO_List[[#This Row],[I/O Type]]&amp;"_"&amp;tbl_IO_List[[#This Row],[IO-Point 
(Instruement)]]</f>
        <v>Spare_DI_0</v>
      </c>
      <c r="U768" s="136" t="s">
        <v>8</v>
      </c>
      <c r="V768" s="136">
        <f>VLOOKUP(tbl_IO_List[[#This Row],[I/O Type]],tbl_Slot_Group[],2,FALSE)</f>
        <v>1</v>
      </c>
      <c r="W768" s="136">
        <v>0</v>
      </c>
      <c r="X768" s="136" t="str">
        <f>tbl_IO_List[[#This Row],[Chassis]]&amp;"S"&amp;TEXT(tbl_IO_List[[#This Row],[Slot]],"00")</f>
        <v>C5S02</v>
      </c>
      <c r="Y768" s="136" t="str">
        <f>tbl_IO_List[[#This Row],[Chassis]]&amp;"S"&amp;TEXT(tbl_IO_List[[#This Row],[Slot]],"00")&amp;tbl_IO_List[[#This Row],[I/O Type]]&amp;TEXT(tbl_IO_List[[#This Row],[Point]],"00")</f>
        <v>C5S02DI18</v>
      </c>
      <c r="Z768" s="136" t="str">
        <f>tbl_IO_List[[#This Row],[Chassis]]&amp;"S"&amp;TEXT(tbl_IO_List[[#This Row],[Slot]],"00")&amp;","&amp;TEXT(tbl_IO_List[[#This Row],[Point]],"00")</f>
        <v>C5S02,18</v>
      </c>
      <c r="AA768" s="136" t="str">
        <f>VLOOKUP(tbl_IO_List[[#This Row],[Column23]],tbl_RackConfig[],5,FALSE) &amp;"-"&amp;tbl_IO_List[[#This Row],[Point]]</f>
        <v>1756-IB32-18</v>
      </c>
      <c r="AB768" s="136"/>
      <c r="AC768" s="136"/>
      <c r="AD768" s="136" t="str">
        <f>tbl_IO_List[[#This Row],[I/O Type]]</f>
        <v>DI</v>
      </c>
      <c r="AE768" s="136" t="s">
        <v>1336</v>
      </c>
      <c r="AF768" s="136">
        <v>2</v>
      </c>
      <c r="AG768" s="136">
        <v>18</v>
      </c>
      <c r="AH768" s="136"/>
      <c r="AI768" s="136"/>
      <c r="AJ768" s="136">
        <v>1</v>
      </c>
      <c r="AK768" s="136">
        <v>0</v>
      </c>
      <c r="AL768" s="136">
        <v>0</v>
      </c>
      <c r="AM768" s="136">
        <v>0</v>
      </c>
      <c r="AN768" s="136">
        <v>0</v>
      </c>
      <c r="AO768" s="136"/>
      <c r="AP768" s="143" t="e">
        <f>VLOOKUP(tbl_IO_List[[#This Row],[Instruement Tag]],tbl_Instruement_List[],14,FALSE)</f>
        <v>#N/A</v>
      </c>
      <c r="AQ768" s="143" t="str">
        <f>tbl_IO_List[[#This Row],[Chassis]]&amp;"S"&amp;tbl_IO_List[[#This Row],[Slot]]&amp;"-"&amp;tbl_IO_List[[#This Row],[Front Terminal Number]]</f>
        <v>C5S2-</v>
      </c>
      <c r="AR768" s="143"/>
      <c r="AS768" s="136" t="str">
        <f>tbl_IO_List[[#This Row],[Terminal Tagging]]&amp;"-"&amp;tbl_IO_List[[#This Row],[Point-Count]]</f>
        <v>-</v>
      </c>
      <c r="AT768" s="136" t="str">
        <f>tbl_IO_List[[#This Row],[Front Terminal Tagging]]&amp;"/"&amp;tbl_IO_List[[#This Row],[Terminal Tagging-Item]]</f>
        <v>C5S2-/-</v>
      </c>
      <c r="AU768" s="136" t="str">
        <f>tbl_IO_List[[#This Row],[Terminal Tagging-Item]]&amp;"/"&amp;tbl_IO_List[[#This Row],[Front Terminal Tagging]]</f>
        <v>-/C5S2-</v>
      </c>
    </row>
    <row r="769" spans="1:47" hidden="1">
      <c r="A769" s="147" t="s">
        <v>1373</v>
      </c>
      <c r="B769" s="136" t="s">
        <v>382</v>
      </c>
      <c r="C769" s="136" t="str">
        <f>tbl_IO_List[[#This Row],[Column3]]</f>
        <v>C5S02,19</v>
      </c>
      <c r="D769" s="136" t="str">
        <f>tbl_IO_List[[#This Row],[Card]]</f>
        <v>1756-IB32-19</v>
      </c>
      <c r="E769" s="136" t="s">
        <v>1372</v>
      </c>
      <c r="F769" s="136" t="str">
        <f>tbl_IO_List[[#This Row],[Column23]]&amp;"-" &amp;tbl_IO_List[[#This Row],[Column52]]</f>
        <v>C5S02-X2</v>
      </c>
      <c r="G769" s="136" t="str">
        <f>tbl_IO_List[[#This Row],[PLC_Tag]]</f>
        <v>Spare_DI_0</v>
      </c>
      <c r="H769" s="136"/>
      <c r="I769" s="136" t="str">
        <f>VLOOKUP(tbl_IO_List[[#This Row],[Destination]],tbl_Junction[],2,FALSE)</f>
        <v>Slurry - Out Building 2nd Floor</v>
      </c>
      <c r="J769" s="136"/>
      <c r="K769" s="136"/>
      <c r="L769" s="136" t="s">
        <v>411</v>
      </c>
      <c r="M769" s="136" t="e">
        <f>VLOOKUP(tbl_IO_List[[#This Row],[Instruement Tag]],tbl_Instruement_List[],2,FALSE)</f>
        <v>#N/A</v>
      </c>
      <c r="N769" s="136"/>
      <c r="O769" s="136"/>
      <c r="P769" s="136"/>
      <c r="Q769" s="136" t="e">
        <f>VLOOKUP(tbl_IO_List[[#This Row],[Instruement Tag]],tbl_Instruement_List[],6,FALSE)</f>
        <v>#N/A</v>
      </c>
      <c r="R769" s="136"/>
      <c r="S76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69" s="136" t="str">
        <f>tbl_IO_List[[#This Row],[Instruement Tag]]&amp;"_"&amp;tbl_IO_List[[#This Row],[I/O Type]]&amp;"_"&amp;tbl_IO_List[[#This Row],[IO-Point 
(Instruement)]]</f>
        <v>Spare_DI_0</v>
      </c>
      <c r="U769" s="136" t="s">
        <v>8</v>
      </c>
      <c r="V769" s="136">
        <f>VLOOKUP(tbl_IO_List[[#This Row],[I/O Type]],tbl_Slot_Group[],2,FALSE)</f>
        <v>1</v>
      </c>
      <c r="W769" s="136">
        <v>0</v>
      </c>
      <c r="X769" s="136" t="str">
        <f>tbl_IO_List[[#This Row],[Chassis]]&amp;"S"&amp;TEXT(tbl_IO_List[[#This Row],[Slot]],"00")</f>
        <v>C5S02</v>
      </c>
      <c r="Y769" s="136" t="str">
        <f>tbl_IO_List[[#This Row],[Chassis]]&amp;"S"&amp;TEXT(tbl_IO_List[[#This Row],[Slot]],"00")&amp;tbl_IO_List[[#This Row],[I/O Type]]&amp;TEXT(tbl_IO_List[[#This Row],[Point]],"00")</f>
        <v>C5S02DI19</v>
      </c>
      <c r="Z769" s="136" t="str">
        <f>tbl_IO_List[[#This Row],[Chassis]]&amp;"S"&amp;TEXT(tbl_IO_List[[#This Row],[Slot]],"00")&amp;","&amp;TEXT(tbl_IO_List[[#This Row],[Point]],"00")</f>
        <v>C5S02,19</v>
      </c>
      <c r="AA769" s="136" t="str">
        <f>VLOOKUP(tbl_IO_List[[#This Row],[Column23]],tbl_RackConfig[],5,FALSE) &amp;"-"&amp;tbl_IO_List[[#This Row],[Point]]</f>
        <v>1756-IB32-19</v>
      </c>
      <c r="AB769" s="136"/>
      <c r="AC769" s="136"/>
      <c r="AD769" s="136" t="str">
        <f>tbl_IO_List[[#This Row],[I/O Type]]</f>
        <v>DI</v>
      </c>
      <c r="AE769" s="136" t="s">
        <v>1336</v>
      </c>
      <c r="AF769" s="136">
        <v>2</v>
      </c>
      <c r="AG769" s="136">
        <v>19</v>
      </c>
      <c r="AH769" s="136"/>
      <c r="AI769" s="136"/>
      <c r="AJ769" s="136">
        <v>1</v>
      </c>
      <c r="AK769" s="136">
        <v>0</v>
      </c>
      <c r="AL769" s="136">
        <v>0</v>
      </c>
      <c r="AM769" s="136">
        <v>0</v>
      </c>
      <c r="AN769" s="136">
        <v>0</v>
      </c>
      <c r="AO769" s="136"/>
      <c r="AP769" s="143" t="e">
        <f>VLOOKUP(tbl_IO_List[[#This Row],[Instruement Tag]],tbl_Instruement_List[],14,FALSE)</f>
        <v>#N/A</v>
      </c>
      <c r="AQ769" s="143" t="str">
        <f>tbl_IO_List[[#This Row],[Chassis]]&amp;"S"&amp;tbl_IO_List[[#This Row],[Slot]]&amp;"-"&amp;tbl_IO_List[[#This Row],[Front Terminal Number]]</f>
        <v>C5S2-</v>
      </c>
      <c r="AR769" s="143"/>
      <c r="AS769" s="136" t="str">
        <f>tbl_IO_List[[#This Row],[Terminal Tagging]]&amp;"-"&amp;tbl_IO_List[[#This Row],[Point-Count]]</f>
        <v>-</v>
      </c>
      <c r="AT769" s="136" t="str">
        <f>tbl_IO_List[[#This Row],[Front Terminal Tagging]]&amp;"/"&amp;tbl_IO_List[[#This Row],[Terminal Tagging-Item]]</f>
        <v>C5S2-/-</v>
      </c>
      <c r="AU769" s="136" t="str">
        <f>tbl_IO_List[[#This Row],[Terminal Tagging-Item]]&amp;"/"&amp;tbl_IO_List[[#This Row],[Front Terminal Tagging]]</f>
        <v>-/C5S2-</v>
      </c>
    </row>
    <row r="770" spans="1:47" hidden="1">
      <c r="A770" s="147" t="s">
        <v>1373</v>
      </c>
      <c r="B770" s="136" t="s">
        <v>382</v>
      </c>
      <c r="C770" s="136" t="str">
        <f>tbl_IO_List[[#This Row],[Column3]]</f>
        <v>C5S02,20</v>
      </c>
      <c r="D770" s="136" t="str">
        <f>tbl_IO_List[[#This Row],[Card]]</f>
        <v>1756-IB32-20</v>
      </c>
      <c r="E770" s="136" t="s">
        <v>1372</v>
      </c>
      <c r="F770" s="136" t="str">
        <f>tbl_IO_List[[#This Row],[Column23]]&amp;"-" &amp;tbl_IO_List[[#This Row],[Column52]]</f>
        <v>C5S02-X2</v>
      </c>
      <c r="G770" s="136" t="str">
        <f>tbl_IO_List[[#This Row],[PLC_Tag]]</f>
        <v>Spare_DI_0</v>
      </c>
      <c r="H770" s="136"/>
      <c r="I770" s="136" t="str">
        <f>VLOOKUP(tbl_IO_List[[#This Row],[Destination]],tbl_Junction[],2,FALSE)</f>
        <v>Slurry - Out Building 2nd Floor</v>
      </c>
      <c r="J770" s="136"/>
      <c r="K770" s="136"/>
      <c r="L770" s="136" t="s">
        <v>411</v>
      </c>
      <c r="M770" s="136" t="e">
        <f>VLOOKUP(tbl_IO_List[[#This Row],[Instruement Tag]],tbl_Instruement_List[],2,FALSE)</f>
        <v>#N/A</v>
      </c>
      <c r="N770" s="136"/>
      <c r="O770" s="136"/>
      <c r="P770" s="136"/>
      <c r="Q770" s="136" t="e">
        <f>VLOOKUP(tbl_IO_List[[#This Row],[Instruement Tag]],tbl_Instruement_List[],6,FALSE)</f>
        <v>#N/A</v>
      </c>
      <c r="R770" s="136"/>
      <c r="S77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70" s="136" t="str">
        <f>tbl_IO_List[[#This Row],[Instruement Tag]]&amp;"_"&amp;tbl_IO_List[[#This Row],[I/O Type]]&amp;"_"&amp;tbl_IO_List[[#This Row],[IO-Point 
(Instruement)]]</f>
        <v>Spare_DI_0</v>
      </c>
      <c r="U770" s="136" t="s">
        <v>8</v>
      </c>
      <c r="V770" s="136">
        <f>VLOOKUP(tbl_IO_List[[#This Row],[I/O Type]],tbl_Slot_Group[],2,FALSE)</f>
        <v>1</v>
      </c>
      <c r="W770" s="136">
        <v>0</v>
      </c>
      <c r="X770" s="136" t="str">
        <f>tbl_IO_List[[#This Row],[Chassis]]&amp;"S"&amp;TEXT(tbl_IO_List[[#This Row],[Slot]],"00")</f>
        <v>C5S02</v>
      </c>
      <c r="Y770" s="136" t="str">
        <f>tbl_IO_List[[#This Row],[Chassis]]&amp;"S"&amp;TEXT(tbl_IO_List[[#This Row],[Slot]],"00")&amp;tbl_IO_List[[#This Row],[I/O Type]]&amp;TEXT(tbl_IO_List[[#This Row],[Point]],"00")</f>
        <v>C5S02DI20</v>
      </c>
      <c r="Z770" s="136" t="str">
        <f>tbl_IO_List[[#This Row],[Chassis]]&amp;"S"&amp;TEXT(tbl_IO_List[[#This Row],[Slot]],"00")&amp;","&amp;TEXT(tbl_IO_List[[#This Row],[Point]],"00")</f>
        <v>C5S02,20</v>
      </c>
      <c r="AA770" s="136" t="str">
        <f>VLOOKUP(tbl_IO_List[[#This Row],[Column23]],tbl_RackConfig[],5,FALSE) &amp;"-"&amp;tbl_IO_List[[#This Row],[Point]]</f>
        <v>1756-IB32-20</v>
      </c>
      <c r="AB770" s="136"/>
      <c r="AC770" s="136"/>
      <c r="AD770" s="136" t="str">
        <f>tbl_IO_List[[#This Row],[I/O Type]]</f>
        <v>DI</v>
      </c>
      <c r="AE770" s="136" t="s">
        <v>1336</v>
      </c>
      <c r="AF770" s="136">
        <v>2</v>
      </c>
      <c r="AG770" s="136">
        <v>20</v>
      </c>
      <c r="AH770" s="136"/>
      <c r="AI770" s="136"/>
      <c r="AJ770" s="136">
        <v>1</v>
      </c>
      <c r="AK770" s="136">
        <v>0</v>
      </c>
      <c r="AL770" s="136">
        <v>0</v>
      </c>
      <c r="AM770" s="136">
        <v>0</v>
      </c>
      <c r="AN770" s="136">
        <v>0</v>
      </c>
      <c r="AO770" s="136"/>
      <c r="AP770" s="143" t="e">
        <f>VLOOKUP(tbl_IO_List[[#This Row],[Instruement Tag]],tbl_Instruement_List[],14,FALSE)</f>
        <v>#N/A</v>
      </c>
      <c r="AQ770" s="143" t="str">
        <f>tbl_IO_List[[#This Row],[Chassis]]&amp;"S"&amp;tbl_IO_List[[#This Row],[Slot]]&amp;"-"&amp;tbl_IO_List[[#This Row],[Front Terminal Number]]</f>
        <v>C5S2-</v>
      </c>
      <c r="AR770" s="143"/>
      <c r="AS770" s="136" t="str">
        <f>tbl_IO_List[[#This Row],[Terminal Tagging]]&amp;"-"&amp;tbl_IO_List[[#This Row],[Point-Count]]</f>
        <v>-</v>
      </c>
      <c r="AT770" s="136" t="str">
        <f>tbl_IO_List[[#This Row],[Front Terminal Tagging]]&amp;"/"&amp;tbl_IO_List[[#This Row],[Terminal Tagging-Item]]</f>
        <v>C5S2-/-</v>
      </c>
      <c r="AU770" s="136" t="str">
        <f>tbl_IO_List[[#This Row],[Terminal Tagging-Item]]&amp;"/"&amp;tbl_IO_List[[#This Row],[Front Terminal Tagging]]</f>
        <v>-/C5S2-</v>
      </c>
    </row>
    <row r="771" spans="1:47" hidden="1">
      <c r="A771" s="147" t="s">
        <v>1373</v>
      </c>
      <c r="B771" s="136" t="s">
        <v>382</v>
      </c>
      <c r="C771" s="136" t="str">
        <f>tbl_IO_List[[#This Row],[Column3]]</f>
        <v>C5S02,21</v>
      </c>
      <c r="D771" s="136" t="str">
        <f>tbl_IO_List[[#This Row],[Card]]</f>
        <v>1756-IB32-21</v>
      </c>
      <c r="E771" s="136" t="s">
        <v>1372</v>
      </c>
      <c r="F771" s="136" t="str">
        <f>tbl_IO_List[[#This Row],[Column23]]&amp;"-" &amp;tbl_IO_List[[#This Row],[Column52]]</f>
        <v>C5S02-X2</v>
      </c>
      <c r="G771" s="136" t="str">
        <f>tbl_IO_List[[#This Row],[PLC_Tag]]</f>
        <v>Spare_DI_0</v>
      </c>
      <c r="H771" s="136"/>
      <c r="I771" s="136" t="str">
        <f>VLOOKUP(tbl_IO_List[[#This Row],[Destination]],tbl_Junction[],2,FALSE)</f>
        <v>Slurry - Out Building 2nd Floor</v>
      </c>
      <c r="J771" s="136"/>
      <c r="K771" s="136"/>
      <c r="L771" s="136" t="s">
        <v>411</v>
      </c>
      <c r="M771" s="136" t="e">
        <f>VLOOKUP(tbl_IO_List[[#This Row],[Instruement Tag]],tbl_Instruement_List[],2,FALSE)</f>
        <v>#N/A</v>
      </c>
      <c r="N771" s="136"/>
      <c r="O771" s="136"/>
      <c r="P771" s="136"/>
      <c r="Q771" s="136" t="e">
        <f>VLOOKUP(tbl_IO_List[[#This Row],[Instruement Tag]],tbl_Instruement_List[],6,FALSE)</f>
        <v>#N/A</v>
      </c>
      <c r="R771" s="136"/>
      <c r="S77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71" s="136" t="str">
        <f>tbl_IO_List[[#This Row],[Instruement Tag]]&amp;"_"&amp;tbl_IO_List[[#This Row],[I/O Type]]&amp;"_"&amp;tbl_IO_List[[#This Row],[IO-Point 
(Instruement)]]</f>
        <v>Spare_DI_0</v>
      </c>
      <c r="U771" s="136" t="s">
        <v>8</v>
      </c>
      <c r="V771" s="136">
        <f>VLOOKUP(tbl_IO_List[[#This Row],[I/O Type]],tbl_Slot_Group[],2,FALSE)</f>
        <v>1</v>
      </c>
      <c r="W771" s="136">
        <v>0</v>
      </c>
      <c r="X771" s="136" t="str">
        <f>tbl_IO_List[[#This Row],[Chassis]]&amp;"S"&amp;TEXT(tbl_IO_List[[#This Row],[Slot]],"00")</f>
        <v>C5S02</v>
      </c>
      <c r="Y771" s="136" t="str">
        <f>tbl_IO_List[[#This Row],[Chassis]]&amp;"S"&amp;TEXT(tbl_IO_List[[#This Row],[Slot]],"00")&amp;tbl_IO_List[[#This Row],[I/O Type]]&amp;TEXT(tbl_IO_List[[#This Row],[Point]],"00")</f>
        <v>C5S02DI21</v>
      </c>
      <c r="Z771" s="136" t="str">
        <f>tbl_IO_List[[#This Row],[Chassis]]&amp;"S"&amp;TEXT(tbl_IO_List[[#This Row],[Slot]],"00")&amp;","&amp;TEXT(tbl_IO_List[[#This Row],[Point]],"00")</f>
        <v>C5S02,21</v>
      </c>
      <c r="AA771" s="136" t="str">
        <f>VLOOKUP(tbl_IO_List[[#This Row],[Column23]],tbl_RackConfig[],5,FALSE) &amp;"-"&amp;tbl_IO_List[[#This Row],[Point]]</f>
        <v>1756-IB32-21</v>
      </c>
      <c r="AB771" s="136"/>
      <c r="AC771" s="136"/>
      <c r="AD771" s="136" t="str">
        <f>tbl_IO_List[[#This Row],[I/O Type]]</f>
        <v>DI</v>
      </c>
      <c r="AE771" s="136" t="s">
        <v>1336</v>
      </c>
      <c r="AF771" s="136">
        <v>2</v>
      </c>
      <c r="AG771" s="136">
        <v>21</v>
      </c>
      <c r="AH771" s="136"/>
      <c r="AI771" s="136"/>
      <c r="AJ771" s="136">
        <v>1</v>
      </c>
      <c r="AK771" s="136">
        <v>0</v>
      </c>
      <c r="AL771" s="136">
        <v>0</v>
      </c>
      <c r="AM771" s="136">
        <v>0</v>
      </c>
      <c r="AN771" s="136">
        <v>0</v>
      </c>
      <c r="AO771" s="136"/>
      <c r="AP771" s="143" t="e">
        <f>VLOOKUP(tbl_IO_List[[#This Row],[Instruement Tag]],tbl_Instruement_List[],14,FALSE)</f>
        <v>#N/A</v>
      </c>
      <c r="AQ771" s="143" t="str">
        <f>tbl_IO_List[[#This Row],[Chassis]]&amp;"S"&amp;tbl_IO_List[[#This Row],[Slot]]&amp;"-"&amp;tbl_IO_List[[#This Row],[Front Terminal Number]]</f>
        <v>C5S2-</v>
      </c>
      <c r="AR771" s="143"/>
      <c r="AS771" s="136" t="str">
        <f>tbl_IO_List[[#This Row],[Terminal Tagging]]&amp;"-"&amp;tbl_IO_List[[#This Row],[Point-Count]]</f>
        <v>-</v>
      </c>
      <c r="AT771" s="136" t="str">
        <f>tbl_IO_List[[#This Row],[Front Terminal Tagging]]&amp;"/"&amp;tbl_IO_List[[#This Row],[Terminal Tagging-Item]]</f>
        <v>C5S2-/-</v>
      </c>
      <c r="AU771" s="136" t="str">
        <f>tbl_IO_List[[#This Row],[Terminal Tagging-Item]]&amp;"/"&amp;tbl_IO_List[[#This Row],[Front Terminal Tagging]]</f>
        <v>-/C5S2-</v>
      </c>
    </row>
    <row r="772" spans="1:47" hidden="1">
      <c r="A772" s="147" t="s">
        <v>1373</v>
      </c>
      <c r="B772" s="136" t="s">
        <v>382</v>
      </c>
      <c r="C772" s="136" t="str">
        <f>tbl_IO_List[[#This Row],[Column3]]</f>
        <v>C5S02,22</v>
      </c>
      <c r="D772" s="136" t="str">
        <f>tbl_IO_List[[#This Row],[Card]]</f>
        <v>1756-IB32-22</v>
      </c>
      <c r="E772" s="136" t="s">
        <v>1372</v>
      </c>
      <c r="F772" s="136" t="str">
        <f>tbl_IO_List[[#This Row],[Column23]]&amp;"-" &amp;tbl_IO_List[[#This Row],[Column52]]</f>
        <v>C5S02-X2</v>
      </c>
      <c r="G772" s="136" t="str">
        <f>tbl_IO_List[[#This Row],[PLC_Tag]]</f>
        <v>Spare_DI_0</v>
      </c>
      <c r="H772" s="136"/>
      <c r="I772" s="136" t="str">
        <f>VLOOKUP(tbl_IO_List[[#This Row],[Destination]],tbl_Junction[],2,FALSE)</f>
        <v>Slurry - Out Building 2nd Floor</v>
      </c>
      <c r="J772" s="136"/>
      <c r="K772" s="136"/>
      <c r="L772" s="136" t="s">
        <v>411</v>
      </c>
      <c r="M772" s="136" t="e">
        <f>VLOOKUP(tbl_IO_List[[#This Row],[Instruement Tag]],tbl_Instruement_List[],2,FALSE)</f>
        <v>#N/A</v>
      </c>
      <c r="N772" s="136"/>
      <c r="O772" s="136"/>
      <c r="P772" s="136"/>
      <c r="Q772" s="136" t="e">
        <f>VLOOKUP(tbl_IO_List[[#This Row],[Instruement Tag]],tbl_Instruement_List[],6,FALSE)</f>
        <v>#N/A</v>
      </c>
      <c r="R772" s="136"/>
      <c r="S77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72" s="136" t="str">
        <f>tbl_IO_List[[#This Row],[Instruement Tag]]&amp;"_"&amp;tbl_IO_List[[#This Row],[I/O Type]]&amp;"_"&amp;tbl_IO_List[[#This Row],[IO-Point 
(Instruement)]]</f>
        <v>Spare_DI_0</v>
      </c>
      <c r="U772" s="136" t="s">
        <v>8</v>
      </c>
      <c r="V772" s="136">
        <f>VLOOKUP(tbl_IO_List[[#This Row],[I/O Type]],tbl_Slot_Group[],2,FALSE)</f>
        <v>1</v>
      </c>
      <c r="W772" s="136">
        <v>0</v>
      </c>
      <c r="X772" s="136" t="str">
        <f>tbl_IO_List[[#This Row],[Chassis]]&amp;"S"&amp;TEXT(tbl_IO_List[[#This Row],[Slot]],"00")</f>
        <v>C5S02</v>
      </c>
      <c r="Y772" s="136" t="str">
        <f>tbl_IO_List[[#This Row],[Chassis]]&amp;"S"&amp;TEXT(tbl_IO_List[[#This Row],[Slot]],"00")&amp;tbl_IO_List[[#This Row],[I/O Type]]&amp;TEXT(tbl_IO_List[[#This Row],[Point]],"00")</f>
        <v>C5S02DI22</v>
      </c>
      <c r="Z772" s="136" t="str">
        <f>tbl_IO_List[[#This Row],[Chassis]]&amp;"S"&amp;TEXT(tbl_IO_List[[#This Row],[Slot]],"00")&amp;","&amp;TEXT(tbl_IO_List[[#This Row],[Point]],"00")</f>
        <v>C5S02,22</v>
      </c>
      <c r="AA772" s="136" t="str">
        <f>VLOOKUP(tbl_IO_List[[#This Row],[Column23]],tbl_RackConfig[],5,FALSE) &amp;"-"&amp;tbl_IO_List[[#This Row],[Point]]</f>
        <v>1756-IB32-22</v>
      </c>
      <c r="AB772" s="136"/>
      <c r="AC772" s="136"/>
      <c r="AD772" s="136" t="str">
        <f>tbl_IO_List[[#This Row],[I/O Type]]</f>
        <v>DI</v>
      </c>
      <c r="AE772" s="136" t="s">
        <v>1336</v>
      </c>
      <c r="AF772" s="136">
        <v>2</v>
      </c>
      <c r="AG772" s="136">
        <v>22</v>
      </c>
      <c r="AH772" s="136"/>
      <c r="AI772" s="136"/>
      <c r="AJ772" s="136">
        <v>1</v>
      </c>
      <c r="AK772" s="136">
        <v>0</v>
      </c>
      <c r="AL772" s="136">
        <v>0</v>
      </c>
      <c r="AM772" s="136">
        <v>0</v>
      </c>
      <c r="AN772" s="136">
        <v>0</v>
      </c>
      <c r="AO772" s="136"/>
      <c r="AP772" s="143" t="e">
        <f>VLOOKUP(tbl_IO_List[[#This Row],[Instruement Tag]],tbl_Instruement_List[],14,FALSE)</f>
        <v>#N/A</v>
      </c>
      <c r="AQ772" s="143" t="str">
        <f>tbl_IO_List[[#This Row],[Chassis]]&amp;"S"&amp;tbl_IO_List[[#This Row],[Slot]]&amp;"-"&amp;tbl_IO_List[[#This Row],[Front Terminal Number]]</f>
        <v>C5S2-</v>
      </c>
      <c r="AR772" s="143"/>
      <c r="AS772" s="136" t="str">
        <f>tbl_IO_List[[#This Row],[Terminal Tagging]]&amp;"-"&amp;tbl_IO_List[[#This Row],[Point-Count]]</f>
        <v>-</v>
      </c>
      <c r="AT772" s="136" t="str">
        <f>tbl_IO_List[[#This Row],[Front Terminal Tagging]]&amp;"/"&amp;tbl_IO_List[[#This Row],[Terminal Tagging-Item]]</f>
        <v>C5S2-/-</v>
      </c>
      <c r="AU772" s="136" t="str">
        <f>tbl_IO_List[[#This Row],[Terminal Tagging-Item]]&amp;"/"&amp;tbl_IO_List[[#This Row],[Front Terminal Tagging]]</f>
        <v>-/C5S2-</v>
      </c>
    </row>
    <row r="773" spans="1:47" hidden="1">
      <c r="A773" s="147" t="s">
        <v>1373</v>
      </c>
      <c r="B773" s="136" t="s">
        <v>382</v>
      </c>
      <c r="C773" s="136" t="str">
        <f>tbl_IO_List[[#This Row],[Column3]]</f>
        <v>C5S02,23</v>
      </c>
      <c r="D773" s="136" t="str">
        <f>tbl_IO_List[[#This Row],[Card]]</f>
        <v>1756-IB32-23</v>
      </c>
      <c r="E773" s="136" t="s">
        <v>1372</v>
      </c>
      <c r="F773" s="136" t="str">
        <f>tbl_IO_List[[#This Row],[Column23]]&amp;"-" &amp;tbl_IO_List[[#This Row],[Column52]]</f>
        <v>C5S02-X2</v>
      </c>
      <c r="G773" s="136" t="str">
        <f>tbl_IO_List[[#This Row],[PLC_Tag]]</f>
        <v>Spare_DI_0</v>
      </c>
      <c r="H773" s="136"/>
      <c r="I773" s="136" t="str">
        <f>VLOOKUP(tbl_IO_List[[#This Row],[Destination]],tbl_Junction[],2,FALSE)</f>
        <v>Slurry - Out Building 2nd Floor</v>
      </c>
      <c r="J773" s="136"/>
      <c r="K773" s="136"/>
      <c r="L773" s="136" t="s">
        <v>411</v>
      </c>
      <c r="M773" s="136" t="e">
        <f>VLOOKUP(tbl_IO_List[[#This Row],[Instruement Tag]],tbl_Instruement_List[],2,FALSE)</f>
        <v>#N/A</v>
      </c>
      <c r="N773" s="136"/>
      <c r="O773" s="136"/>
      <c r="P773" s="136"/>
      <c r="Q773" s="136" t="e">
        <f>VLOOKUP(tbl_IO_List[[#This Row],[Instruement Tag]],tbl_Instruement_List[],6,FALSE)</f>
        <v>#N/A</v>
      </c>
      <c r="R773" s="136"/>
      <c r="S77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73" s="136" t="str">
        <f>tbl_IO_List[[#This Row],[Instruement Tag]]&amp;"_"&amp;tbl_IO_List[[#This Row],[I/O Type]]&amp;"_"&amp;tbl_IO_List[[#This Row],[IO-Point 
(Instruement)]]</f>
        <v>Spare_DI_0</v>
      </c>
      <c r="U773" s="136" t="s">
        <v>8</v>
      </c>
      <c r="V773" s="136">
        <f>VLOOKUP(tbl_IO_List[[#This Row],[I/O Type]],tbl_Slot_Group[],2,FALSE)</f>
        <v>1</v>
      </c>
      <c r="W773" s="136">
        <v>0</v>
      </c>
      <c r="X773" s="136" t="str">
        <f>tbl_IO_List[[#This Row],[Chassis]]&amp;"S"&amp;TEXT(tbl_IO_List[[#This Row],[Slot]],"00")</f>
        <v>C5S02</v>
      </c>
      <c r="Y773" s="136" t="str">
        <f>tbl_IO_List[[#This Row],[Chassis]]&amp;"S"&amp;TEXT(tbl_IO_List[[#This Row],[Slot]],"00")&amp;tbl_IO_List[[#This Row],[I/O Type]]&amp;TEXT(tbl_IO_List[[#This Row],[Point]],"00")</f>
        <v>C5S02DI23</v>
      </c>
      <c r="Z773" s="136" t="str">
        <f>tbl_IO_List[[#This Row],[Chassis]]&amp;"S"&amp;TEXT(tbl_IO_List[[#This Row],[Slot]],"00")&amp;","&amp;TEXT(tbl_IO_List[[#This Row],[Point]],"00")</f>
        <v>C5S02,23</v>
      </c>
      <c r="AA773" s="136" t="str">
        <f>VLOOKUP(tbl_IO_List[[#This Row],[Column23]],tbl_RackConfig[],5,FALSE) &amp;"-"&amp;tbl_IO_List[[#This Row],[Point]]</f>
        <v>1756-IB32-23</v>
      </c>
      <c r="AB773" s="136"/>
      <c r="AC773" s="136"/>
      <c r="AD773" s="136" t="str">
        <f>tbl_IO_List[[#This Row],[I/O Type]]</f>
        <v>DI</v>
      </c>
      <c r="AE773" s="136" t="s">
        <v>1336</v>
      </c>
      <c r="AF773" s="136">
        <v>2</v>
      </c>
      <c r="AG773" s="136">
        <v>23</v>
      </c>
      <c r="AH773" s="136"/>
      <c r="AI773" s="136"/>
      <c r="AJ773" s="136">
        <v>1</v>
      </c>
      <c r="AK773" s="136">
        <v>0</v>
      </c>
      <c r="AL773" s="136">
        <v>0</v>
      </c>
      <c r="AM773" s="136">
        <v>0</v>
      </c>
      <c r="AN773" s="136">
        <v>0</v>
      </c>
      <c r="AO773" s="136"/>
      <c r="AP773" s="143" t="e">
        <f>VLOOKUP(tbl_IO_List[[#This Row],[Instruement Tag]],tbl_Instruement_List[],14,FALSE)</f>
        <v>#N/A</v>
      </c>
      <c r="AQ773" s="143" t="str">
        <f>tbl_IO_List[[#This Row],[Chassis]]&amp;"S"&amp;tbl_IO_List[[#This Row],[Slot]]&amp;"-"&amp;tbl_IO_List[[#This Row],[Front Terminal Number]]</f>
        <v>C5S2-</v>
      </c>
      <c r="AR773" s="143"/>
      <c r="AS773" s="136" t="str">
        <f>tbl_IO_List[[#This Row],[Terminal Tagging]]&amp;"-"&amp;tbl_IO_List[[#This Row],[Point-Count]]</f>
        <v>-</v>
      </c>
      <c r="AT773" s="136" t="str">
        <f>tbl_IO_List[[#This Row],[Front Terminal Tagging]]&amp;"/"&amp;tbl_IO_List[[#This Row],[Terminal Tagging-Item]]</f>
        <v>C5S2-/-</v>
      </c>
      <c r="AU773" s="136" t="str">
        <f>tbl_IO_List[[#This Row],[Terminal Tagging-Item]]&amp;"/"&amp;tbl_IO_List[[#This Row],[Front Terminal Tagging]]</f>
        <v>-/C5S2-</v>
      </c>
    </row>
    <row r="774" spans="1:47" hidden="1">
      <c r="A774" s="147" t="s">
        <v>1373</v>
      </c>
      <c r="B774" s="136" t="s">
        <v>382</v>
      </c>
      <c r="C774" s="136" t="str">
        <f>tbl_IO_List[[#This Row],[Column3]]</f>
        <v>C5S02,24</v>
      </c>
      <c r="D774" s="136" t="str">
        <f>tbl_IO_List[[#This Row],[Card]]</f>
        <v>1756-IB32-24</v>
      </c>
      <c r="E774" s="136" t="s">
        <v>1372</v>
      </c>
      <c r="F774" s="136" t="str">
        <f>tbl_IO_List[[#This Row],[Column23]]&amp;"-" &amp;tbl_IO_List[[#This Row],[Column52]]</f>
        <v>C5S02-X2</v>
      </c>
      <c r="G774" s="136" t="str">
        <f>tbl_IO_List[[#This Row],[PLC_Tag]]</f>
        <v>Spare_DI_0</v>
      </c>
      <c r="H774" s="136"/>
      <c r="I774" s="136" t="str">
        <f>VLOOKUP(tbl_IO_List[[#This Row],[Destination]],tbl_Junction[],2,FALSE)</f>
        <v>Slurry - Out Building 2nd Floor</v>
      </c>
      <c r="J774" s="136"/>
      <c r="K774" s="136"/>
      <c r="L774" s="136" t="s">
        <v>411</v>
      </c>
      <c r="M774" s="136" t="e">
        <f>VLOOKUP(tbl_IO_List[[#This Row],[Instruement Tag]],tbl_Instruement_List[],2,FALSE)</f>
        <v>#N/A</v>
      </c>
      <c r="N774" s="136"/>
      <c r="O774" s="136"/>
      <c r="P774" s="136"/>
      <c r="Q774" s="136" t="e">
        <f>VLOOKUP(tbl_IO_List[[#This Row],[Instruement Tag]],tbl_Instruement_List[],6,FALSE)</f>
        <v>#N/A</v>
      </c>
      <c r="R774" s="136"/>
      <c r="S77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74" s="136" t="str">
        <f>tbl_IO_List[[#This Row],[Instruement Tag]]&amp;"_"&amp;tbl_IO_List[[#This Row],[I/O Type]]&amp;"_"&amp;tbl_IO_List[[#This Row],[IO-Point 
(Instruement)]]</f>
        <v>Spare_DI_0</v>
      </c>
      <c r="U774" s="136" t="s">
        <v>8</v>
      </c>
      <c r="V774" s="136">
        <f>VLOOKUP(tbl_IO_List[[#This Row],[I/O Type]],tbl_Slot_Group[],2,FALSE)</f>
        <v>1</v>
      </c>
      <c r="W774" s="136">
        <v>0</v>
      </c>
      <c r="X774" s="136" t="str">
        <f>tbl_IO_List[[#This Row],[Chassis]]&amp;"S"&amp;TEXT(tbl_IO_List[[#This Row],[Slot]],"00")</f>
        <v>C5S02</v>
      </c>
      <c r="Y774" s="136" t="str">
        <f>tbl_IO_List[[#This Row],[Chassis]]&amp;"S"&amp;TEXT(tbl_IO_List[[#This Row],[Slot]],"00")&amp;tbl_IO_List[[#This Row],[I/O Type]]&amp;TEXT(tbl_IO_List[[#This Row],[Point]],"00")</f>
        <v>C5S02DI24</v>
      </c>
      <c r="Z774" s="136" t="str">
        <f>tbl_IO_List[[#This Row],[Chassis]]&amp;"S"&amp;TEXT(tbl_IO_List[[#This Row],[Slot]],"00")&amp;","&amp;TEXT(tbl_IO_List[[#This Row],[Point]],"00")</f>
        <v>C5S02,24</v>
      </c>
      <c r="AA774" s="136" t="str">
        <f>VLOOKUP(tbl_IO_List[[#This Row],[Column23]],tbl_RackConfig[],5,FALSE) &amp;"-"&amp;tbl_IO_List[[#This Row],[Point]]</f>
        <v>1756-IB32-24</v>
      </c>
      <c r="AB774" s="136"/>
      <c r="AC774" s="136"/>
      <c r="AD774" s="136" t="str">
        <f>tbl_IO_List[[#This Row],[I/O Type]]</f>
        <v>DI</v>
      </c>
      <c r="AE774" s="136" t="s">
        <v>1336</v>
      </c>
      <c r="AF774" s="136">
        <v>2</v>
      </c>
      <c r="AG774" s="136">
        <v>24</v>
      </c>
      <c r="AH774" s="136"/>
      <c r="AI774" s="136"/>
      <c r="AJ774" s="136">
        <v>1</v>
      </c>
      <c r="AK774" s="136">
        <v>0</v>
      </c>
      <c r="AL774" s="136">
        <v>0</v>
      </c>
      <c r="AM774" s="136">
        <v>0</v>
      </c>
      <c r="AN774" s="136">
        <v>0</v>
      </c>
      <c r="AO774" s="136"/>
      <c r="AP774" s="143" t="e">
        <f>VLOOKUP(tbl_IO_List[[#This Row],[Instruement Tag]],tbl_Instruement_List[],14,FALSE)</f>
        <v>#N/A</v>
      </c>
      <c r="AQ774" s="143" t="str">
        <f>tbl_IO_List[[#This Row],[Chassis]]&amp;"S"&amp;tbl_IO_List[[#This Row],[Slot]]&amp;"-"&amp;tbl_IO_List[[#This Row],[Front Terminal Number]]</f>
        <v>C5S2-</v>
      </c>
      <c r="AR774" s="143"/>
      <c r="AS774" s="136" t="str">
        <f>tbl_IO_List[[#This Row],[Terminal Tagging]]&amp;"-"&amp;tbl_IO_List[[#This Row],[Point-Count]]</f>
        <v>-</v>
      </c>
      <c r="AT774" s="136" t="str">
        <f>tbl_IO_List[[#This Row],[Front Terminal Tagging]]&amp;"/"&amp;tbl_IO_List[[#This Row],[Terminal Tagging-Item]]</f>
        <v>C5S2-/-</v>
      </c>
      <c r="AU774" s="136" t="str">
        <f>tbl_IO_List[[#This Row],[Terminal Tagging-Item]]&amp;"/"&amp;tbl_IO_List[[#This Row],[Front Terminal Tagging]]</f>
        <v>-/C5S2-</v>
      </c>
    </row>
    <row r="775" spans="1:47" hidden="1">
      <c r="A775" s="147" t="s">
        <v>1373</v>
      </c>
      <c r="B775" s="136" t="s">
        <v>382</v>
      </c>
      <c r="C775" s="136" t="str">
        <f>tbl_IO_List[[#This Row],[Column3]]</f>
        <v>C5S02,25</v>
      </c>
      <c r="D775" s="136" t="str">
        <f>tbl_IO_List[[#This Row],[Card]]</f>
        <v>1756-IB32-25</v>
      </c>
      <c r="E775" s="136" t="s">
        <v>1372</v>
      </c>
      <c r="F775" s="136" t="str">
        <f>tbl_IO_List[[#This Row],[Column23]]&amp;"-" &amp;tbl_IO_List[[#This Row],[Column52]]</f>
        <v>C5S02-X2</v>
      </c>
      <c r="G775" s="136" t="str">
        <f>tbl_IO_List[[#This Row],[PLC_Tag]]</f>
        <v>Spare_DI_0</v>
      </c>
      <c r="H775" s="136"/>
      <c r="I775" s="136" t="str">
        <f>VLOOKUP(tbl_IO_List[[#This Row],[Destination]],tbl_Junction[],2,FALSE)</f>
        <v>Slurry - Out Building 2nd Floor</v>
      </c>
      <c r="J775" s="136"/>
      <c r="K775" s="136"/>
      <c r="L775" s="136" t="s">
        <v>411</v>
      </c>
      <c r="M775" s="136" t="e">
        <f>VLOOKUP(tbl_IO_List[[#This Row],[Instruement Tag]],tbl_Instruement_List[],2,FALSE)</f>
        <v>#N/A</v>
      </c>
      <c r="N775" s="136"/>
      <c r="O775" s="136"/>
      <c r="P775" s="136"/>
      <c r="Q775" s="136" t="e">
        <f>VLOOKUP(tbl_IO_List[[#This Row],[Instruement Tag]],tbl_Instruement_List[],6,FALSE)</f>
        <v>#N/A</v>
      </c>
      <c r="R775" s="136"/>
      <c r="S77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75" s="136" t="str">
        <f>tbl_IO_List[[#This Row],[Instruement Tag]]&amp;"_"&amp;tbl_IO_List[[#This Row],[I/O Type]]&amp;"_"&amp;tbl_IO_List[[#This Row],[IO-Point 
(Instruement)]]</f>
        <v>Spare_DI_0</v>
      </c>
      <c r="U775" s="136" t="s">
        <v>8</v>
      </c>
      <c r="V775" s="136">
        <f>VLOOKUP(tbl_IO_List[[#This Row],[I/O Type]],tbl_Slot_Group[],2,FALSE)</f>
        <v>1</v>
      </c>
      <c r="W775" s="136">
        <v>0</v>
      </c>
      <c r="X775" s="136" t="str">
        <f>tbl_IO_List[[#This Row],[Chassis]]&amp;"S"&amp;TEXT(tbl_IO_List[[#This Row],[Slot]],"00")</f>
        <v>C5S02</v>
      </c>
      <c r="Y775" s="136" t="str">
        <f>tbl_IO_List[[#This Row],[Chassis]]&amp;"S"&amp;TEXT(tbl_IO_List[[#This Row],[Slot]],"00")&amp;tbl_IO_List[[#This Row],[I/O Type]]&amp;TEXT(tbl_IO_List[[#This Row],[Point]],"00")</f>
        <v>C5S02DI25</v>
      </c>
      <c r="Z775" s="136" t="str">
        <f>tbl_IO_List[[#This Row],[Chassis]]&amp;"S"&amp;TEXT(tbl_IO_List[[#This Row],[Slot]],"00")&amp;","&amp;TEXT(tbl_IO_List[[#This Row],[Point]],"00")</f>
        <v>C5S02,25</v>
      </c>
      <c r="AA775" s="136" t="str">
        <f>VLOOKUP(tbl_IO_List[[#This Row],[Column23]],tbl_RackConfig[],5,FALSE) &amp;"-"&amp;tbl_IO_List[[#This Row],[Point]]</f>
        <v>1756-IB32-25</v>
      </c>
      <c r="AB775" s="136"/>
      <c r="AC775" s="136"/>
      <c r="AD775" s="136" t="str">
        <f>tbl_IO_List[[#This Row],[I/O Type]]</f>
        <v>DI</v>
      </c>
      <c r="AE775" s="136" t="s">
        <v>1336</v>
      </c>
      <c r="AF775" s="136">
        <v>2</v>
      </c>
      <c r="AG775" s="136">
        <v>25</v>
      </c>
      <c r="AH775" s="136"/>
      <c r="AI775" s="136"/>
      <c r="AJ775" s="136">
        <v>1</v>
      </c>
      <c r="AK775" s="136">
        <v>0</v>
      </c>
      <c r="AL775" s="136">
        <v>0</v>
      </c>
      <c r="AM775" s="136">
        <v>0</v>
      </c>
      <c r="AN775" s="136">
        <v>0</v>
      </c>
      <c r="AO775" s="136"/>
      <c r="AP775" s="143" t="e">
        <f>VLOOKUP(tbl_IO_List[[#This Row],[Instruement Tag]],tbl_Instruement_List[],14,FALSE)</f>
        <v>#N/A</v>
      </c>
      <c r="AQ775" s="143" t="str">
        <f>tbl_IO_List[[#This Row],[Chassis]]&amp;"S"&amp;tbl_IO_List[[#This Row],[Slot]]&amp;"-"&amp;tbl_IO_List[[#This Row],[Front Terminal Number]]</f>
        <v>C5S2-</v>
      </c>
      <c r="AR775" s="143"/>
      <c r="AS775" s="136" t="str">
        <f>tbl_IO_List[[#This Row],[Terminal Tagging]]&amp;"-"&amp;tbl_IO_List[[#This Row],[Point-Count]]</f>
        <v>-</v>
      </c>
      <c r="AT775" s="136" t="str">
        <f>tbl_IO_List[[#This Row],[Front Terminal Tagging]]&amp;"/"&amp;tbl_IO_List[[#This Row],[Terminal Tagging-Item]]</f>
        <v>C5S2-/-</v>
      </c>
      <c r="AU775" s="136" t="str">
        <f>tbl_IO_List[[#This Row],[Terminal Tagging-Item]]&amp;"/"&amp;tbl_IO_List[[#This Row],[Front Terminal Tagging]]</f>
        <v>-/C5S2-</v>
      </c>
    </row>
    <row r="776" spans="1:47" hidden="1">
      <c r="A776" s="147" t="s">
        <v>1373</v>
      </c>
      <c r="B776" s="136" t="s">
        <v>382</v>
      </c>
      <c r="C776" s="136" t="str">
        <f>tbl_IO_List[[#This Row],[Column3]]</f>
        <v>C5S02,26</v>
      </c>
      <c r="D776" s="136" t="str">
        <f>tbl_IO_List[[#This Row],[Card]]</f>
        <v>1756-IB32-26</v>
      </c>
      <c r="E776" s="136" t="s">
        <v>1372</v>
      </c>
      <c r="F776" s="136" t="str">
        <f>tbl_IO_List[[#This Row],[Column23]]&amp;"-" &amp;tbl_IO_List[[#This Row],[Column52]]</f>
        <v>C5S02-X2</v>
      </c>
      <c r="G776" s="136" t="str">
        <f>tbl_IO_List[[#This Row],[PLC_Tag]]</f>
        <v>Spare_DI_0</v>
      </c>
      <c r="H776" s="136"/>
      <c r="I776" s="136" t="str">
        <f>VLOOKUP(tbl_IO_List[[#This Row],[Destination]],tbl_Junction[],2,FALSE)</f>
        <v>Slurry - Out Building 2nd Floor</v>
      </c>
      <c r="J776" s="136"/>
      <c r="K776" s="136"/>
      <c r="L776" s="136" t="s">
        <v>411</v>
      </c>
      <c r="M776" s="136" t="e">
        <f>VLOOKUP(tbl_IO_List[[#This Row],[Instruement Tag]],tbl_Instruement_List[],2,FALSE)</f>
        <v>#N/A</v>
      </c>
      <c r="N776" s="136"/>
      <c r="O776" s="136"/>
      <c r="P776" s="136"/>
      <c r="Q776" s="136" t="e">
        <f>VLOOKUP(tbl_IO_List[[#This Row],[Instruement Tag]],tbl_Instruement_List[],6,FALSE)</f>
        <v>#N/A</v>
      </c>
      <c r="R776" s="136"/>
      <c r="S77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76" s="136" t="str">
        <f>tbl_IO_List[[#This Row],[Instruement Tag]]&amp;"_"&amp;tbl_IO_List[[#This Row],[I/O Type]]&amp;"_"&amp;tbl_IO_List[[#This Row],[IO-Point 
(Instruement)]]</f>
        <v>Spare_DI_0</v>
      </c>
      <c r="U776" s="136" t="s">
        <v>8</v>
      </c>
      <c r="V776" s="136">
        <f>VLOOKUP(tbl_IO_List[[#This Row],[I/O Type]],tbl_Slot_Group[],2,FALSE)</f>
        <v>1</v>
      </c>
      <c r="W776" s="136">
        <v>0</v>
      </c>
      <c r="X776" s="136" t="str">
        <f>tbl_IO_List[[#This Row],[Chassis]]&amp;"S"&amp;TEXT(tbl_IO_List[[#This Row],[Slot]],"00")</f>
        <v>C5S02</v>
      </c>
      <c r="Y776" s="136" t="str">
        <f>tbl_IO_List[[#This Row],[Chassis]]&amp;"S"&amp;TEXT(tbl_IO_List[[#This Row],[Slot]],"00")&amp;tbl_IO_List[[#This Row],[I/O Type]]&amp;TEXT(tbl_IO_List[[#This Row],[Point]],"00")</f>
        <v>C5S02DI26</v>
      </c>
      <c r="Z776" s="136" t="str">
        <f>tbl_IO_List[[#This Row],[Chassis]]&amp;"S"&amp;TEXT(tbl_IO_List[[#This Row],[Slot]],"00")&amp;","&amp;TEXT(tbl_IO_List[[#This Row],[Point]],"00")</f>
        <v>C5S02,26</v>
      </c>
      <c r="AA776" s="136" t="str">
        <f>VLOOKUP(tbl_IO_List[[#This Row],[Column23]],tbl_RackConfig[],5,FALSE) &amp;"-"&amp;tbl_IO_List[[#This Row],[Point]]</f>
        <v>1756-IB32-26</v>
      </c>
      <c r="AB776" s="136"/>
      <c r="AC776" s="136"/>
      <c r="AD776" s="136" t="str">
        <f>tbl_IO_List[[#This Row],[I/O Type]]</f>
        <v>DI</v>
      </c>
      <c r="AE776" s="136" t="s">
        <v>1336</v>
      </c>
      <c r="AF776" s="136">
        <v>2</v>
      </c>
      <c r="AG776" s="136">
        <v>26</v>
      </c>
      <c r="AH776" s="136"/>
      <c r="AI776" s="136"/>
      <c r="AJ776" s="136">
        <v>1</v>
      </c>
      <c r="AK776" s="136">
        <v>0</v>
      </c>
      <c r="AL776" s="136">
        <v>0</v>
      </c>
      <c r="AM776" s="136">
        <v>0</v>
      </c>
      <c r="AN776" s="136">
        <v>0</v>
      </c>
      <c r="AO776" s="136"/>
      <c r="AP776" s="143" t="e">
        <f>VLOOKUP(tbl_IO_List[[#This Row],[Instruement Tag]],tbl_Instruement_List[],14,FALSE)</f>
        <v>#N/A</v>
      </c>
      <c r="AQ776" s="143" t="str">
        <f>tbl_IO_List[[#This Row],[Chassis]]&amp;"S"&amp;tbl_IO_List[[#This Row],[Slot]]&amp;"-"&amp;tbl_IO_List[[#This Row],[Front Terminal Number]]</f>
        <v>C5S2-</v>
      </c>
      <c r="AR776" s="143"/>
      <c r="AS776" s="136" t="str">
        <f>tbl_IO_List[[#This Row],[Terminal Tagging]]&amp;"-"&amp;tbl_IO_List[[#This Row],[Point-Count]]</f>
        <v>-</v>
      </c>
      <c r="AT776" s="136" t="str">
        <f>tbl_IO_List[[#This Row],[Front Terminal Tagging]]&amp;"/"&amp;tbl_IO_List[[#This Row],[Terminal Tagging-Item]]</f>
        <v>C5S2-/-</v>
      </c>
      <c r="AU776" s="136" t="str">
        <f>tbl_IO_List[[#This Row],[Terminal Tagging-Item]]&amp;"/"&amp;tbl_IO_List[[#This Row],[Front Terminal Tagging]]</f>
        <v>-/C5S2-</v>
      </c>
    </row>
    <row r="777" spans="1:47" hidden="1">
      <c r="A777" s="147" t="s">
        <v>1373</v>
      </c>
      <c r="B777" s="136" t="s">
        <v>382</v>
      </c>
      <c r="C777" s="136" t="str">
        <f>tbl_IO_List[[#This Row],[Column3]]</f>
        <v>C5S02,27</v>
      </c>
      <c r="D777" s="136" t="str">
        <f>tbl_IO_List[[#This Row],[Card]]</f>
        <v>1756-IB32-27</v>
      </c>
      <c r="E777" s="136" t="s">
        <v>1372</v>
      </c>
      <c r="F777" s="136" t="str">
        <f>tbl_IO_List[[#This Row],[Column23]]&amp;"-" &amp;tbl_IO_List[[#This Row],[Column52]]</f>
        <v>C5S02-X2</v>
      </c>
      <c r="G777" s="136" t="str">
        <f>tbl_IO_List[[#This Row],[PLC_Tag]]</f>
        <v>Spare_DI_0</v>
      </c>
      <c r="H777" s="136"/>
      <c r="I777" s="136" t="str">
        <f>VLOOKUP(tbl_IO_List[[#This Row],[Destination]],tbl_Junction[],2,FALSE)</f>
        <v>Slurry - Out Building 2nd Floor</v>
      </c>
      <c r="J777" s="136"/>
      <c r="K777" s="136"/>
      <c r="L777" s="136" t="s">
        <v>411</v>
      </c>
      <c r="M777" s="136" t="e">
        <f>VLOOKUP(tbl_IO_List[[#This Row],[Instruement Tag]],tbl_Instruement_List[],2,FALSE)</f>
        <v>#N/A</v>
      </c>
      <c r="N777" s="136"/>
      <c r="O777" s="136"/>
      <c r="P777" s="136"/>
      <c r="Q777" s="136" t="e">
        <f>VLOOKUP(tbl_IO_List[[#This Row],[Instruement Tag]],tbl_Instruement_List[],6,FALSE)</f>
        <v>#N/A</v>
      </c>
      <c r="R777" s="136"/>
      <c r="S77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77" s="136" t="str">
        <f>tbl_IO_List[[#This Row],[Instruement Tag]]&amp;"_"&amp;tbl_IO_List[[#This Row],[I/O Type]]&amp;"_"&amp;tbl_IO_List[[#This Row],[IO-Point 
(Instruement)]]</f>
        <v>Spare_DI_0</v>
      </c>
      <c r="U777" s="136" t="s">
        <v>8</v>
      </c>
      <c r="V777" s="136">
        <f>VLOOKUP(tbl_IO_List[[#This Row],[I/O Type]],tbl_Slot_Group[],2,FALSE)</f>
        <v>1</v>
      </c>
      <c r="W777" s="136">
        <v>0</v>
      </c>
      <c r="X777" s="136" t="str">
        <f>tbl_IO_List[[#This Row],[Chassis]]&amp;"S"&amp;TEXT(tbl_IO_List[[#This Row],[Slot]],"00")</f>
        <v>C5S02</v>
      </c>
      <c r="Y777" s="136" t="str">
        <f>tbl_IO_List[[#This Row],[Chassis]]&amp;"S"&amp;TEXT(tbl_IO_List[[#This Row],[Slot]],"00")&amp;tbl_IO_List[[#This Row],[I/O Type]]&amp;TEXT(tbl_IO_List[[#This Row],[Point]],"00")</f>
        <v>C5S02DI27</v>
      </c>
      <c r="Z777" s="136" t="str">
        <f>tbl_IO_List[[#This Row],[Chassis]]&amp;"S"&amp;TEXT(tbl_IO_List[[#This Row],[Slot]],"00")&amp;","&amp;TEXT(tbl_IO_List[[#This Row],[Point]],"00")</f>
        <v>C5S02,27</v>
      </c>
      <c r="AA777" s="136" t="str">
        <f>VLOOKUP(tbl_IO_List[[#This Row],[Column23]],tbl_RackConfig[],5,FALSE) &amp;"-"&amp;tbl_IO_List[[#This Row],[Point]]</f>
        <v>1756-IB32-27</v>
      </c>
      <c r="AB777" s="136"/>
      <c r="AC777" s="136"/>
      <c r="AD777" s="136" t="str">
        <f>tbl_IO_List[[#This Row],[I/O Type]]</f>
        <v>DI</v>
      </c>
      <c r="AE777" s="136" t="s">
        <v>1336</v>
      </c>
      <c r="AF777" s="136">
        <v>2</v>
      </c>
      <c r="AG777" s="136">
        <v>27</v>
      </c>
      <c r="AH777" s="136"/>
      <c r="AI777" s="136"/>
      <c r="AJ777" s="136">
        <v>1</v>
      </c>
      <c r="AK777" s="136">
        <v>0</v>
      </c>
      <c r="AL777" s="136">
        <v>0</v>
      </c>
      <c r="AM777" s="136">
        <v>0</v>
      </c>
      <c r="AN777" s="136">
        <v>0</v>
      </c>
      <c r="AO777" s="136"/>
      <c r="AP777" s="143" t="e">
        <f>VLOOKUP(tbl_IO_List[[#This Row],[Instruement Tag]],tbl_Instruement_List[],14,FALSE)</f>
        <v>#N/A</v>
      </c>
      <c r="AQ777" s="143" t="str">
        <f>tbl_IO_List[[#This Row],[Chassis]]&amp;"S"&amp;tbl_IO_List[[#This Row],[Slot]]&amp;"-"&amp;tbl_IO_List[[#This Row],[Front Terminal Number]]</f>
        <v>C5S2-</v>
      </c>
      <c r="AR777" s="143"/>
      <c r="AS777" s="136" t="str">
        <f>tbl_IO_List[[#This Row],[Terminal Tagging]]&amp;"-"&amp;tbl_IO_List[[#This Row],[Point-Count]]</f>
        <v>-</v>
      </c>
      <c r="AT777" s="136" t="str">
        <f>tbl_IO_List[[#This Row],[Front Terminal Tagging]]&amp;"/"&amp;tbl_IO_List[[#This Row],[Terminal Tagging-Item]]</f>
        <v>C5S2-/-</v>
      </c>
      <c r="AU777" s="136" t="str">
        <f>tbl_IO_List[[#This Row],[Terminal Tagging-Item]]&amp;"/"&amp;tbl_IO_List[[#This Row],[Front Terminal Tagging]]</f>
        <v>-/C5S2-</v>
      </c>
    </row>
    <row r="778" spans="1:47" hidden="1">
      <c r="A778" s="147" t="s">
        <v>1373</v>
      </c>
      <c r="B778" s="136" t="s">
        <v>382</v>
      </c>
      <c r="C778" s="136" t="str">
        <f>tbl_IO_List[[#This Row],[Column3]]</f>
        <v>C5S02,28</v>
      </c>
      <c r="D778" s="136" t="str">
        <f>tbl_IO_List[[#This Row],[Card]]</f>
        <v>1756-IB32-28</v>
      </c>
      <c r="E778" s="136" t="s">
        <v>1372</v>
      </c>
      <c r="F778" s="136" t="str">
        <f>tbl_IO_List[[#This Row],[Column23]]&amp;"-" &amp;tbl_IO_List[[#This Row],[Column52]]</f>
        <v>C5S02-X2</v>
      </c>
      <c r="G778" s="136" t="str">
        <f>tbl_IO_List[[#This Row],[PLC_Tag]]</f>
        <v>Spare_DI_0</v>
      </c>
      <c r="H778" s="136"/>
      <c r="I778" s="136" t="str">
        <f>VLOOKUP(tbl_IO_List[[#This Row],[Destination]],tbl_Junction[],2,FALSE)</f>
        <v>Slurry - Out Building 2nd Floor</v>
      </c>
      <c r="J778" s="136"/>
      <c r="K778" s="136"/>
      <c r="L778" s="136" t="s">
        <v>411</v>
      </c>
      <c r="M778" s="136" t="e">
        <f>VLOOKUP(tbl_IO_List[[#This Row],[Instruement Tag]],tbl_Instruement_List[],2,FALSE)</f>
        <v>#N/A</v>
      </c>
      <c r="N778" s="136"/>
      <c r="O778" s="136"/>
      <c r="P778" s="136"/>
      <c r="Q778" s="136" t="e">
        <f>VLOOKUP(tbl_IO_List[[#This Row],[Instruement Tag]],tbl_Instruement_List[],6,FALSE)</f>
        <v>#N/A</v>
      </c>
      <c r="R778" s="136"/>
      <c r="S77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78" s="136" t="str">
        <f>tbl_IO_List[[#This Row],[Instruement Tag]]&amp;"_"&amp;tbl_IO_List[[#This Row],[I/O Type]]&amp;"_"&amp;tbl_IO_List[[#This Row],[IO-Point 
(Instruement)]]</f>
        <v>Spare_DI_0</v>
      </c>
      <c r="U778" s="136" t="s">
        <v>8</v>
      </c>
      <c r="V778" s="136">
        <f>VLOOKUP(tbl_IO_List[[#This Row],[I/O Type]],tbl_Slot_Group[],2,FALSE)</f>
        <v>1</v>
      </c>
      <c r="W778" s="136">
        <v>0</v>
      </c>
      <c r="X778" s="136" t="str">
        <f>tbl_IO_List[[#This Row],[Chassis]]&amp;"S"&amp;TEXT(tbl_IO_List[[#This Row],[Slot]],"00")</f>
        <v>C5S02</v>
      </c>
      <c r="Y778" s="136" t="str">
        <f>tbl_IO_List[[#This Row],[Chassis]]&amp;"S"&amp;TEXT(tbl_IO_List[[#This Row],[Slot]],"00")&amp;tbl_IO_List[[#This Row],[I/O Type]]&amp;TEXT(tbl_IO_List[[#This Row],[Point]],"00")</f>
        <v>C5S02DI28</v>
      </c>
      <c r="Z778" s="136" t="str">
        <f>tbl_IO_List[[#This Row],[Chassis]]&amp;"S"&amp;TEXT(tbl_IO_List[[#This Row],[Slot]],"00")&amp;","&amp;TEXT(tbl_IO_List[[#This Row],[Point]],"00")</f>
        <v>C5S02,28</v>
      </c>
      <c r="AA778" s="136" t="str">
        <f>VLOOKUP(tbl_IO_List[[#This Row],[Column23]],tbl_RackConfig[],5,FALSE) &amp;"-"&amp;tbl_IO_List[[#This Row],[Point]]</f>
        <v>1756-IB32-28</v>
      </c>
      <c r="AB778" s="136"/>
      <c r="AC778" s="136"/>
      <c r="AD778" s="136" t="str">
        <f>tbl_IO_List[[#This Row],[I/O Type]]</f>
        <v>DI</v>
      </c>
      <c r="AE778" s="136" t="s">
        <v>1336</v>
      </c>
      <c r="AF778" s="136">
        <v>2</v>
      </c>
      <c r="AG778" s="136">
        <v>28</v>
      </c>
      <c r="AH778" s="136"/>
      <c r="AI778" s="136"/>
      <c r="AJ778" s="136">
        <v>1</v>
      </c>
      <c r="AK778" s="136">
        <v>0</v>
      </c>
      <c r="AL778" s="136">
        <v>0</v>
      </c>
      <c r="AM778" s="136">
        <v>0</v>
      </c>
      <c r="AN778" s="136">
        <v>0</v>
      </c>
      <c r="AO778" s="136"/>
      <c r="AP778" s="143" t="e">
        <f>VLOOKUP(tbl_IO_List[[#This Row],[Instruement Tag]],tbl_Instruement_List[],14,FALSE)</f>
        <v>#N/A</v>
      </c>
      <c r="AQ778" s="143" t="str">
        <f>tbl_IO_List[[#This Row],[Chassis]]&amp;"S"&amp;tbl_IO_List[[#This Row],[Slot]]&amp;"-"&amp;tbl_IO_List[[#This Row],[Front Terminal Number]]</f>
        <v>C5S2-</v>
      </c>
      <c r="AR778" s="143"/>
      <c r="AS778" s="136" t="str">
        <f>tbl_IO_List[[#This Row],[Terminal Tagging]]&amp;"-"&amp;tbl_IO_List[[#This Row],[Point-Count]]</f>
        <v>-</v>
      </c>
      <c r="AT778" s="136" t="str">
        <f>tbl_IO_List[[#This Row],[Front Terminal Tagging]]&amp;"/"&amp;tbl_IO_List[[#This Row],[Terminal Tagging-Item]]</f>
        <v>C5S2-/-</v>
      </c>
      <c r="AU778" s="136" t="str">
        <f>tbl_IO_List[[#This Row],[Terminal Tagging-Item]]&amp;"/"&amp;tbl_IO_List[[#This Row],[Front Terminal Tagging]]</f>
        <v>-/C5S2-</v>
      </c>
    </row>
    <row r="779" spans="1:47" hidden="1">
      <c r="A779" s="147" t="s">
        <v>1373</v>
      </c>
      <c r="B779" s="136" t="s">
        <v>382</v>
      </c>
      <c r="C779" s="136" t="str">
        <f>tbl_IO_List[[#This Row],[Column3]]</f>
        <v>C5S02,29</v>
      </c>
      <c r="D779" s="136" t="str">
        <f>tbl_IO_List[[#This Row],[Card]]</f>
        <v>1756-IB32-29</v>
      </c>
      <c r="E779" s="136" t="s">
        <v>1372</v>
      </c>
      <c r="F779" s="136" t="str">
        <f>tbl_IO_List[[#This Row],[Column23]]&amp;"-" &amp;tbl_IO_List[[#This Row],[Column52]]</f>
        <v>C5S02-X2</v>
      </c>
      <c r="G779" s="136" t="str">
        <f>tbl_IO_List[[#This Row],[PLC_Tag]]</f>
        <v>Spare_DI_0</v>
      </c>
      <c r="H779" s="136"/>
      <c r="I779" s="136" t="str">
        <f>VLOOKUP(tbl_IO_List[[#This Row],[Destination]],tbl_Junction[],2,FALSE)</f>
        <v>Slurry - Out Building 2nd Floor</v>
      </c>
      <c r="J779" s="136"/>
      <c r="K779" s="136"/>
      <c r="L779" s="136" t="s">
        <v>411</v>
      </c>
      <c r="M779" s="136" t="e">
        <f>VLOOKUP(tbl_IO_List[[#This Row],[Instruement Tag]],tbl_Instruement_List[],2,FALSE)</f>
        <v>#N/A</v>
      </c>
      <c r="N779" s="136"/>
      <c r="O779" s="136"/>
      <c r="P779" s="136"/>
      <c r="Q779" s="136" t="e">
        <f>VLOOKUP(tbl_IO_List[[#This Row],[Instruement Tag]],tbl_Instruement_List[],6,FALSE)</f>
        <v>#N/A</v>
      </c>
      <c r="R779" s="136"/>
      <c r="S77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79" s="136" t="str">
        <f>tbl_IO_List[[#This Row],[Instruement Tag]]&amp;"_"&amp;tbl_IO_List[[#This Row],[I/O Type]]&amp;"_"&amp;tbl_IO_List[[#This Row],[IO-Point 
(Instruement)]]</f>
        <v>Spare_DI_0</v>
      </c>
      <c r="U779" s="136" t="s">
        <v>8</v>
      </c>
      <c r="V779" s="136">
        <f>VLOOKUP(tbl_IO_List[[#This Row],[I/O Type]],tbl_Slot_Group[],2,FALSE)</f>
        <v>1</v>
      </c>
      <c r="W779" s="136">
        <v>0</v>
      </c>
      <c r="X779" s="136" t="str">
        <f>tbl_IO_List[[#This Row],[Chassis]]&amp;"S"&amp;TEXT(tbl_IO_List[[#This Row],[Slot]],"00")</f>
        <v>C5S02</v>
      </c>
      <c r="Y779" s="136" t="str">
        <f>tbl_IO_List[[#This Row],[Chassis]]&amp;"S"&amp;TEXT(tbl_IO_List[[#This Row],[Slot]],"00")&amp;tbl_IO_List[[#This Row],[I/O Type]]&amp;TEXT(tbl_IO_List[[#This Row],[Point]],"00")</f>
        <v>C5S02DI29</v>
      </c>
      <c r="Z779" s="136" t="str">
        <f>tbl_IO_List[[#This Row],[Chassis]]&amp;"S"&amp;TEXT(tbl_IO_List[[#This Row],[Slot]],"00")&amp;","&amp;TEXT(tbl_IO_List[[#This Row],[Point]],"00")</f>
        <v>C5S02,29</v>
      </c>
      <c r="AA779" s="136" t="str">
        <f>VLOOKUP(tbl_IO_List[[#This Row],[Column23]],tbl_RackConfig[],5,FALSE) &amp;"-"&amp;tbl_IO_List[[#This Row],[Point]]</f>
        <v>1756-IB32-29</v>
      </c>
      <c r="AB779" s="136"/>
      <c r="AC779" s="136"/>
      <c r="AD779" s="136" t="str">
        <f>tbl_IO_List[[#This Row],[I/O Type]]</f>
        <v>DI</v>
      </c>
      <c r="AE779" s="136" t="s">
        <v>1336</v>
      </c>
      <c r="AF779" s="136">
        <v>2</v>
      </c>
      <c r="AG779" s="136">
        <v>29</v>
      </c>
      <c r="AH779" s="136"/>
      <c r="AI779" s="136"/>
      <c r="AJ779" s="136">
        <v>1</v>
      </c>
      <c r="AK779" s="136">
        <v>0</v>
      </c>
      <c r="AL779" s="136">
        <v>0</v>
      </c>
      <c r="AM779" s="136">
        <v>0</v>
      </c>
      <c r="AN779" s="136">
        <v>0</v>
      </c>
      <c r="AO779" s="136"/>
      <c r="AP779" s="143" t="e">
        <f>VLOOKUP(tbl_IO_List[[#This Row],[Instruement Tag]],tbl_Instruement_List[],14,FALSE)</f>
        <v>#N/A</v>
      </c>
      <c r="AQ779" s="143" t="str">
        <f>tbl_IO_List[[#This Row],[Chassis]]&amp;"S"&amp;tbl_IO_List[[#This Row],[Slot]]&amp;"-"&amp;tbl_IO_List[[#This Row],[Front Terminal Number]]</f>
        <v>C5S2-</v>
      </c>
      <c r="AR779" s="143"/>
      <c r="AS779" s="136" t="str">
        <f>tbl_IO_List[[#This Row],[Terminal Tagging]]&amp;"-"&amp;tbl_IO_List[[#This Row],[Point-Count]]</f>
        <v>-</v>
      </c>
      <c r="AT779" s="136" t="str">
        <f>tbl_IO_List[[#This Row],[Front Terminal Tagging]]&amp;"/"&amp;tbl_IO_List[[#This Row],[Terminal Tagging-Item]]</f>
        <v>C5S2-/-</v>
      </c>
      <c r="AU779" s="136" t="str">
        <f>tbl_IO_List[[#This Row],[Terminal Tagging-Item]]&amp;"/"&amp;tbl_IO_List[[#This Row],[Front Terminal Tagging]]</f>
        <v>-/C5S2-</v>
      </c>
    </row>
    <row r="780" spans="1:47" hidden="1">
      <c r="A780" s="147" t="s">
        <v>1373</v>
      </c>
      <c r="B780" s="136" t="s">
        <v>382</v>
      </c>
      <c r="C780" s="136" t="str">
        <f>tbl_IO_List[[#This Row],[Column3]]</f>
        <v>C5S02,30</v>
      </c>
      <c r="D780" s="136" t="str">
        <f>tbl_IO_List[[#This Row],[Card]]</f>
        <v>1756-IB32-30</v>
      </c>
      <c r="E780" s="136" t="s">
        <v>1372</v>
      </c>
      <c r="F780" s="136" t="str">
        <f>tbl_IO_List[[#This Row],[Column23]]&amp;"-" &amp;tbl_IO_List[[#This Row],[Column52]]</f>
        <v>C5S02-X2</v>
      </c>
      <c r="G780" s="136" t="str">
        <f>tbl_IO_List[[#This Row],[PLC_Tag]]</f>
        <v>Spare_DI_0</v>
      </c>
      <c r="H780" s="136"/>
      <c r="I780" s="136" t="str">
        <f>VLOOKUP(tbl_IO_List[[#This Row],[Destination]],tbl_Junction[],2,FALSE)</f>
        <v>Slurry - Out Building 2nd Floor</v>
      </c>
      <c r="J780" s="136"/>
      <c r="K780" s="136"/>
      <c r="L780" s="136" t="s">
        <v>411</v>
      </c>
      <c r="M780" s="136" t="e">
        <f>VLOOKUP(tbl_IO_List[[#This Row],[Instruement Tag]],tbl_Instruement_List[],2,FALSE)</f>
        <v>#N/A</v>
      </c>
      <c r="N780" s="136"/>
      <c r="O780" s="136"/>
      <c r="P780" s="136"/>
      <c r="Q780" s="136" t="e">
        <f>VLOOKUP(tbl_IO_List[[#This Row],[Instruement Tag]],tbl_Instruement_List[],6,FALSE)</f>
        <v>#N/A</v>
      </c>
      <c r="R780" s="136"/>
      <c r="S78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80" s="136" t="str">
        <f>tbl_IO_List[[#This Row],[Instruement Tag]]&amp;"_"&amp;tbl_IO_List[[#This Row],[I/O Type]]&amp;"_"&amp;tbl_IO_List[[#This Row],[IO-Point 
(Instruement)]]</f>
        <v>Spare_DI_0</v>
      </c>
      <c r="U780" s="136" t="s">
        <v>8</v>
      </c>
      <c r="V780" s="136">
        <f>VLOOKUP(tbl_IO_List[[#This Row],[I/O Type]],tbl_Slot_Group[],2,FALSE)</f>
        <v>1</v>
      </c>
      <c r="W780" s="136">
        <v>0</v>
      </c>
      <c r="X780" s="136" t="str">
        <f>tbl_IO_List[[#This Row],[Chassis]]&amp;"S"&amp;TEXT(tbl_IO_List[[#This Row],[Slot]],"00")</f>
        <v>C5S02</v>
      </c>
      <c r="Y780" s="136" t="str">
        <f>tbl_IO_List[[#This Row],[Chassis]]&amp;"S"&amp;TEXT(tbl_IO_List[[#This Row],[Slot]],"00")&amp;tbl_IO_List[[#This Row],[I/O Type]]&amp;TEXT(tbl_IO_List[[#This Row],[Point]],"00")</f>
        <v>C5S02DI30</v>
      </c>
      <c r="Z780" s="136" t="str">
        <f>tbl_IO_List[[#This Row],[Chassis]]&amp;"S"&amp;TEXT(tbl_IO_List[[#This Row],[Slot]],"00")&amp;","&amp;TEXT(tbl_IO_List[[#This Row],[Point]],"00")</f>
        <v>C5S02,30</v>
      </c>
      <c r="AA780" s="136" t="str">
        <f>VLOOKUP(tbl_IO_List[[#This Row],[Column23]],tbl_RackConfig[],5,FALSE) &amp;"-"&amp;tbl_IO_List[[#This Row],[Point]]</f>
        <v>1756-IB32-30</v>
      </c>
      <c r="AB780" s="136"/>
      <c r="AC780" s="136"/>
      <c r="AD780" s="136" t="str">
        <f>tbl_IO_List[[#This Row],[I/O Type]]</f>
        <v>DI</v>
      </c>
      <c r="AE780" s="136" t="s">
        <v>1336</v>
      </c>
      <c r="AF780" s="136">
        <v>2</v>
      </c>
      <c r="AG780" s="136">
        <v>30</v>
      </c>
      <c r="AH780" s="136"/>
      <c r="AI780" s="136"/>
      <c r="AJ780" s="136">
        <v>1</v>
      </c>
      <c r="AK780" s="136">
        <v>0</v>
      </c>
      <c r="AL780" s="136">
        <v>0</v>
      </c>
      <c r="AM780" s="136">
        <v>0</v>
      </c>
      <c r="AN780" s="136">
        <v>0</v>
      </c>
      <c r="AO780" s="136"/>
      <c r="AP780" s="143" t="e">
        <f>VLOOKUP(tbl_IO_List[[#This Row],[Instruement Tag]],tbl_Instruement_List[],14,FALSE)</f>
        <v>#N/A</v>
      </c>
      <c r="AQ780" s="143" t="str">
        <f>tbl_IO_List[[#This Row],[Chassis]]&amp;"S"&amp;tbl_IO_List[[#This Row],[Slot]]&amp;"-"&amp;tbl_IO_List[[#This Row],[Front Terminal Number]]</f>
        <v>C5S2-</v>
      </c>
      <c r="AR780" s="143"/>
      <c r="AS780" s="136" t="str">
        <f>tbl_IO_List[[#This Row],[Terminal Tagging]]&amp;"-"&amp;tbl_IO_List[[#This Row],[Point-Count]]</f>
        <v>-</v>
      </c>
      <c r="AT780" s="136" t="str">
        <f>tbl_IO_List[[#This Row],[Front Terminal Tagging]]&amp;"/"&amp;tbl_IO_List[[#This Row],[Terminal Tagging-Item]]</f>
        <v>C5S2-/-</v>
      </c>
      <c r="AU780" s="136" t="str">
        <f>tbl_IO_List[[#This Row],[Terminal Tagging-Item]]&amp;"/"&amp;tbl_IO_List[[#This Row],[Front Terminal Tagging]]</f>
        <v>-/C5S2-</v>
      </c>
    </row>
    <row r="781" spans="1:47" hidden="1">
      <c r="A781" s="147" t="s">
        <v>1373</v>
      </c>
      <c r="B781" s="136" t="s">
        <v>382</v>
      </c>
      <c r="C781" s="136" t="str">
        <f>tbl_IO_List[[#This Row],[Column3]]</f>
        <v>C5S02,31</v>
      </c>
      <c r="D781" s="136" t="str">
        <f>tbl_IO_List[[#This Row],[Card]]</f>
        <v>1756-IB32-31</v>
      </c>
      <c r="E781" s="136" t="s">
        <v>1372</v>
      </c>
      <c r="F781" s="136" t="str">
        <f>tbl_IO_List[[#This Row],[Column23]]&amp;"-" &amp;tbl_IO_List[[#This Row],[Column52]]</f>
        <v>C5S02-X2</v>
      </c>
      <c r="G781" s="136" t="str">
        <f>tbl_IO_List[[#This Row],[PLC_Tag]]</f>
        <v>Spare_DI_0</v>
      </c>
      <c r="H781" s="136"/>
      <c r="I781" s="136" t="str">
        <f>VLOOKUP(tbl_IO_List[[#This Row],[Destination]],tbl_Junction[],2,FALSE)</f>
        <v>Slurry - Out Building 2nd Floor</v>
      </c>
      <c r="J781" s="136"/>
      <c r="K781" s="136"/>
      <c r="L781" s="136" t="s">
        <v>411</v>
      </c>
      <c r="M781" s="136" t="e">
        <f>VLOOKUP(tbl_IO_List[[#This Row],[Instruement Tag]],tbl_Instruement_List[],2,FALSE)</f>
        <v>#N/A</v>
      </c>
      <c r="N781" s="136"/>
      <c r="O781" s="136"/>
      <c r="P781" s="136"/>
      <c r="Q781" s="136" t="e">
        <f>VLOOKUP(tbl_IO_List[[#This Row],[Instruement Tag]],tbl_Instruement_List[],6,FALSE)</f>
        <v>#N/A</v>
      </c>
      <c r="R781" s="136"/>
      <c r="S78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781" s="136" t="str">
        <f>tbl_IO_List[[#This Row],[Instruement Tag]]&amp;"_"&amp;tbl_IO_List[[#This Row],[I/O Type]]&amp;"_"&amp;tbl_IO_List[[#This Row],[IO-Point 
(Instruement)]]</f>
        <v>Spare_DI_0</v>
      </c>
      <c r="U781" s="136" t="s">
        <v>8</v>
      </c>
      <c r="V781" s="136">
        <f>VLOOKUP(tbl_IO_List[[#This Row],[I/O Type]],tbl_Slot_Group[],2,FALSE)</f>
        <v>1</v>
      </c>
      <c r="W781" s="136">
        <v>0</v>
      </c>
      <c r="X781" s="136" t="str">
        <f>tbl_IO_List[[#This Row],[Chassis]]&amp;"S"&amp;TEXT(tbl_IO_List[[#This Row],[Slot]],"00")</f>
        <v>C5S02</v>
      </c>
      <c r="Y781" s="136" t="str">
        <f>tbl_IO_List[[#This Row],[Chassis]]&amp;"S"&amp;TEXT(tbl_IO_List[[#This Row],[Slot]],"00")&amp;tbl_IO_List[[#This Row],[I/O Type]]&amp;TEXT(tbl_IO_List[[#This Row],[Point]],"00")</f>
        <v>C5S02DI31</v>
      </c>
      <c r="Z781" s="136" t="str">
        <f>tbl_IO_List[[#This Row],[Chassis]]&amp;"S"&amp;TEXT(tbl_IO_List[[#This Row],[Slot]],"00")&amp;","&amp;TEXT(tbl_IO_List[[#This Row],[Point]],"00")</f>
        <v>C5S02,31</v>
      </c>
      <c r="AA781" s="136" t="str">
        <f>VLOOKUP(tbl_IO_List[[#This Row],[Column23]],tbl_RackConfig[],5,FALSE) &amp;"-"&amp;tbl_IO_List[[#This Row],[Point]]</f>
        <v>1756-IB32-31</v>
      </c>
      <c r="AB781" s="136"/>
      <c r="AC781" s="136"/>
      <c r="AD781" s="136" t="str">
        <f>tbl_IO_List[[#This Row],[I/O Type]]</f>
        <v>DI</v>
      </c>
      <c r="AE781" s="136" t="s">
        <v>1336</v>
      </c>
      <c r="AF781" s="136">
        <v>2</v>
      </c>
      <c r="AG781" s="136">
        <v>31</v>
      </c>
      <c r="AH781" s="136"/>
      <c r="AI781" s="136"/>
      <c r="AJ781" s="136">
        <v>1</v>
      </c>
      <c r="AK781" s="136">
        <v>0</v>
      </c>
      <c r="AL781" s="136">
        <v>0</v>
      </c>
      <c r="AM781" s="136">
        <v>0</v>
      </c>
      <c r="AN781" s="136">
        <v>0</v>
      </c>
      <c r="AO781" s="136"/>
      <c r="AP781" s="143" t="e">
        <f>VLOOKUP(tbl_IO_List[[#This Row],[Instruement Tag]],tbl_Instruement_List[],14,FALSE)</f>
        <v>#N/A</v>
      </c>
      <c r="AQ781" s="143" t="str">
        <f>tbl_IO_List[[#This Row],[Chassis]]&amp;"S"&amp;tbl_IO_List[[#This Row],[Slot]]&amp;"-"&amp;tbl_IO_List[[#This Row],[Front Terminal Number]]</f>
        <v>C5S2-</v>
      </c>
      <c r="AR781" s="143"/>
      <c r="AS781" s="136" t="str">
        <f>tbl_IO_List[[#This Row],[Terminal Tagging]]&amp;"-"&amp;tbl_IO_List[[#This Row],[Point-Count]]</f>
        <v>-</v>
      </c>
      <c r="AT781" s="136" t="str">
        <f>tbl_IO_List[[#This Row],[Front Terminal Tagging]]&amp;"/"&amp;tbl_IO_List[[#This Row],[Terminal Tagging-Item]]</f>
        <v>C5S2-/-</v>
      </c>
      <c r="AU781" s="136" t="str">
        <f>tbl_IO_List[[#This Row],[Terminal Tagging-Item]]&amp;"/"&amp;tbl_IO_List[[#This Row],[Front Terminal Tagging]]</f>
        <v>-/C5S2-</v>
      </c>
    </row>
    <row r="782" spans="1:47" hidden="1">
      <c r="A782" s="147" t="s">
        <v>1373</v>
      </c>
      <c r="B782" s="136" t="s">
        <v>382</v>
      </c>
      <c r="C782" s="136" t="str">
        <f>tbl_IO_List[[#This Row],[Column3]]</f>
        <v>C5S03,00</v>
      </c>
      <c r="D782" s="136" t="str">
        <f>tbl_IO_List[[#This Row],[Card]]</f>
        <v>1756-OB32-0</v>
      </c>
      <c r="E782" s="136" t="s">
        <v>1366</v>
      </c>
      <c r="F782" s="136" t="str">
        <f>tbl_IO_List[[#This Row],[Column23]]&amp;"-" &amp;tbl_IO_List[[#This Row],[Column52]]</f>
        <v>C5S03-X1</v>
      </c>
      <c r="G782" s="136" t="str">
        <f>tbl_IO_List[[#This Row],[PLC_Tag]]</f>
        <v>XA-92201_DO_1</v>
      </c>
      <c r="H782" s="136"/>
      <c r="I782" s="136" t="str">
        <f>VLOOKUP(tbl_IO_List[[#This Row],[Destination]],tbl_Junction[],2,FALSE)</f>
        <v>Slurry - Out Building 2nd Floor</v>
      </c>
      <c r="J782" s="136" t="s">
        <v>382</v>
      </c>
      <c r="K782" s="136" t="s">
        <v>409</v>
      </c>
      <c r="L782" s="136" t="s">
        <v>433</v>
      </c>
      <c r="M782" s="136">
        <f>VLOOKUP(tbl_IO_List[[#This Row],[Instruement Tag]],tbl_Instruement_List[],2,FALSE)</f>
        <v>0</v>
      </c>
      <c r="N782" s="136" t="s">
        <v>15</v>
      </c>
      <c r="O782" s="136" t="s">
        <v>431</v>
      </c>
      <c r="P782" s="136" t="s">
        <v>432</v>
      </c>
      <c r="Q782" s="136" t="str">
        <f>VLOOKUP(tbl_IO_List[[#This Row],[Instruement Tag]],tbl_Instruement_List[],6,FALSE)</f>
        <v>LEL gas Buzzer Alarm</v>
      </c>
      <c r="R782" s="136"/>
      <c r="S78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782" s="136" t="str">
        <f>tbl_IO_List[[#This Row],[Instruement Tag]]&amp;"_"&amp;tbl_IO_List[[#This Row],[I/O Type]]&amp;"_"&amp;tbl_IO_List[[#This Row],[IO-Point 
(Instruement)]]</f>
        <v>XA-92201_DO_1</v>
      </c>
      <c r="U782" s="136" t="s">
        <v>7</v>
      </c>
      <c r="V782" s="136">
        <f>VLOOKUP(tbl_IO_List[[#This Row],[I/O Type]],tbl_Slot_Group[],2,FALSE)</f>
        <v>2</v>
      </c>
      <c r="W782" s="136">
        <v>1</v>
      </c>
      <c r="X782" s="136" t="str">
        <f>tbl_IO_List[[#This Row],[Chassis]]&amp;"S"&amp;TEXT(tbl_IO_List[[#This Row],[Slot]],"00")</f>
        <v>C5S03</v>
      </c>
      <c r="Y782" s="136" t="str">
        <f>tbl_IO_List[[#This Row],[Chassis]]&amp;"S"&amp;TEXT(tbl_IO_List[[#This Row],[Slot]],"00")&amp;tbl_IO_List[[#This Row],[I/O Type]]&amp;TEXT(tbl_IO_List[[#This Row],[Point]],"00")</f>
        <v>C5S03DO00</v>
      </c>
      <c r="Z782" s="136" t="str">
        <f>tbl_IO_List[[#This Row],[Chassis]]&amp;"S"&amp;TEXT(tbl_IO_List[[#This Row],[Slot]],"00")&amp;","&amp;TEXT(tbl_IO_List[[#This Row],[Point]],"00")</f>
        <v>C5S03,00</v>
      </c>
      <c r="AA782" s="136" t="str">
        <f>VLOOKUP(tbl_IO_List[[#This Row],[Column23]],tbl_RackConfig[],5,FALSE) &amp;"-"&amp;tbl_IO_List[[#This Row],[Point]]</f>
        <v>1756-OB32-0</v>
      </c>
      <c r="AB782" s="136"/>
      <c r="AC782" s="136"/>
      <c r="AD782" s="136" t="str">
        <f>tbl_IO_List[[#This Row],[I/O Type]]</f>
        <v>DO</v>
      </c>
      <c r="AE782" s="136" t="s">
        <v>1336</v>
      </c>
      <c r="AF782" s="136">
        <v>3</v>
      </c>
      <c r="AG782" s="136">
        <v>0</v>
      </c>
      <c r="AH782" s="136"/>
      <c r="AI782" s="136"/>
      <c r="AJ782" s="136">
        <v>0</v>
      </c>
      <c r="AK782" s="136">
        <v>1</v>
      </c>
      <c r="AL782" s="136">
        <v>0</v>
      </c>
      <c r="AM782" s="136">
        <v>0</v>
      </c>
      <c r="AN782" s="136">
        <v>0</v>
      </c>
      <c r="AO782" s="136"/>
      <c r="AP782" s="143" t="str">
        <f>VLOOKUP(tbl_IO_List[[#This Row],[Instruement Tag]],tbl_Instruement_List[],14,FALSE)</f>
        <v>4 - 20 mA</v>
      </c>
      <c r="AQ782" s="143" t="str">
        <f>tbl_IO_List[[#This Row],[Chassis]]&amp;"S"&amp;tbl_IO_List[[#This Row],[Slot]]&amp;"-"&amp;tbl_IO_List[[#This Row],[Front Terminal Number]]</f>
        <v>C5S3-</v>
      </c>
      <c r="AR782" s="143"/>
      <c r="AS782" s="136" t="str">
        <f>tbl_IO_List[[#This Row],[Terminal Tagging]]&amp;"-"&amp;tbl_IO_List[[#This Row],[Point-Count]]</f>
        <v>-</v>
      </c>
      <c r="AT782" s="136" t="str">
        <f>tbl_IO_List[[#This Row],[Front Terminal Tagging]]&amp;"/"&amp;tbl_IO_List[[#This Row],[Terminal Tagging-Item]]</f>
        <v>C5S3-/-</v>
      </c>
      <c r="AU782" s="136" t="str">
        <f>tbl_IO_List[[#This Row],[Terminal Tagging-Item]]&amp;"/"&amp;tbl_IO_List[[#This Row],[Front Terminal Tagging]]</f>
        <v>-/C5S3-</v>
      </c>
    </row>
    <row r="783" spans="1:47" hidden="1">
      <c r="A783" s="147" t="s">
        <v>1373</v>
      </c>
      <c r="B783" s="136" t="s">
        <v>382</v>
      </c>
      <c r="C783" s="136" t="str">
        <f>tbl_IO_List[[#This Row],[Column3]]</f>
        <v>C5S03,01</v>
      </c>
      <c r="D783" s="136" t="str">
        <f>tbl_IO_List[[#This Row],[Card]]</f>
        <v>1756-OB32-1</v>
      </c>
      <c r="E783" s="136" t="s">
        <v>1366</v>
      </c>
      <c r="F783" s="136" t="str">
        <f>tbl_IO_List[[#This Row],[Column23]]&amp;"-" &amp;tbl_IO_List[[#This Row],[Column52]]</f>
        <v>C5S03-X1</v>
      </c>
      <c r="G783" s="136" t="str">
        <f>tbl_IO_List[[#This Row],[PLC_Tag]]</f>
        <v>XV-20201_DO_1</v>
      </c>
      <c r="H783" s="136"/>
      <c r="I783" s="136" t="str">
        <f>VLOOKUP(tbl_IO_List[[#This Row],[Destination]],tbl_Junction[],2,FALSE)</f>
        <v>Slurry - Out Building 2nd Floor</v>
      </c>
      <c r="J783" s="136" t="s">
        <v>382</v>
      </c>
      <c r="K783" s="136" t="s">
        <v>383</v>
      </c>
      <c r="L783" s="136" t="s">
        <v>395</v>
      </c>
      <c r="M783" s="136">
        <f>VLOOKUP(tbl_IO_List[[#This Row],[Instruement Tag]],tbl_Instruement_List[],2,FALSE)</f>
        <v>0</v>
      </c>
      <c r="N783" s="136" t="s">
        <v>15</v>
      </c>
      <c r="O783" s="136" t="s">
        <v>386</v>
      </c>
      <c r="P783" s="136" t="s">
        <v>384</v>
      </c>
      <c r="Q783" s="136" t="str">
        <f>VLOOKUP(tbl_IO_List[[#This Row],[Instruement Tag]],tbl_Instruement_List[],6,FALSE)</f>
        <v>Slurry Preparation Tank 1</v>
      </c>
      <c r="R783" s="136"/>
      <c r="S78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783" s="136" t="str">
        <f>tbl_IO_List[[#This Row],[Instruement Tag]]&amp;"_"&amp;tbl_IO_List[[#This Row],[I/O Type]]&amp;"_"&amp;tbl_IO_List[[#This Row],[IO-Point 
(Instruement)]]</f>
        <v>XV-20201_DO_1</v>
      </c>
      <c r="U783" s="136" t="s">
        <v>7</v>
      </c>
      <c r="V783" s="136">
        <f>VLOOKUP(tbl_IO_List[[#This Row],[I/O Type]],tbl_Slot_Group[],2,FALSE)</f>
        <v>2</v>
      </c>
      <c r="W783" s="136">
        <v>1</v>
      </c>
      <c r="X783" s="136" t="str">
        <f>tbl_IO_List[[#This Row],[Chassis]]&amp;"S"&amp;TEXT(tbl_IO_List[[#This Row],[Slot]],"00")</f>
        <v>C5S03</v>
      </c>
      <c r="Y783" s="136" t="str">
        <f>tbl_IO_List[[#This Row],[Chassis]]&amp;"S"&amp;TEXT(tbl_IO_List[[#This Row],[Slot]],"00")&amp;tbl_IO_List[[#This Row],[I/O Type]]&amp;TEXT(tbl_IO_List[[#This Row],[Point]],"00")</f>
        <v>C5S03DO01</v>
      </c>
      <c r="Z783" s="136" t="str">
        <f>tbl_IO_List[[#This Row],[Chassis]]&amp;"S"&amp;TEXT(tbl_IO_List[[#This Row],[Slot]],"00")&amp;","&amp;TEXT(tbl_IO_List[[#This Row],[Point]],"00")</f>
        <v>C5S03,01</v>
      </c>
      <c r="AA783" s="136" t="str">
        <f>VLOOKUP(tbl_IO_List[[#This Row],[Column23]],tbl_RackConfig[],5,FALSE) &amp;"-"&amp;tbl_IO_List[[#This Row],[Point]]</f>
        <v>1756-OB32-1</v>
      </c>
      <c r="AB783" s="136"/>
      <c r="AC783" s="136"/>
      <c r="AD783" s="136" t="str">
        <f>tbl_IO_List[[#This Row],[I/O Type]]</f>
        <v>DO</v>
      </c>
      <c r="AE783" s="136" t="s">
        <v>1336</v>
      </c>
      <c r="AF783" s="136">
        <v>3</v>
      </c>
      <c r="AG783" s="136">
        <v>1</v>
      </c>
      <c r="AH783" s="136"/>
      <c r="AI783" s="136"/>
      <c r="AJ783" s="136">
        <v>2</v>
      </c>
      <c r="AK783" s="136">
        <v>1</v>
      </c>
      <c r="AL783" s="136">
        <v>0</v>
      </c>
      <c r="AM783" s="136">
        <v>0</v>
      </c>
      <c r="AN783" s="136">
        <v>0</v>
      </c>
      <c r="AO783" s="136"/>
      <c r="AP783" s="143" t="str">
        <f>VLOOKUP(tbl_IO_List[[#This Row],[Instruement Tag]],tbl_Instruement_List[],14,FALSE)</f>
        <v>24 VDC energized</v>
      </c>
      <c r="AQ783" s="143" t="str">
        <f>tbl_IO_List[[#This Row],[Chassis]]&amp;"S"&amp;tbl_IO_List[[#This Row],[Slot]]&amp;"-"&amp;tbl_IO_List[[#This Row],[Front Terminal Number]]</f>
        <v>C5S3-</v>
      </c>
      <c r="AR783" s="143"/>
      <c r="AS783" s="136" t="str">
        <f>tbl_IO_List[[#This Row],[Terminal Tagging]]&amp;"-"&amp;tbl_IO_List[[#This Row],[Point-Count]]</f>
        <v>-</v>
      </c>
      <c r="AT783" s="136" t="str">
        <f>tbl_IO_List[[#This Row],[Front Terminal Tagging]]&amp;"/"&amp;tbl_IO_List[[#This Row],[Terminal Tagging-Item]]</f>
        <v>C5S3-/-</v>
      </c>
      <c r="AU783" s="136" t="str">
        <f>tbl_IO_List[[#This Row],[Terminal Tagging-Item]]&amp;"/"&amp;tbl_IO_List[[#This Row],[Front Terminal Tagging]]</f>
        <v>-/C5S3-</v>
      </c>
    </row>
    <row r="784" spans="1:47" hidden="1">
      <c r="A784" s="147" t="s">
        <v>1373</v>
      </c>
      <c r="B784" s="136" t="s">
        <v>382</v>
      </c>
      <c r="C784" s="136" t="str">
        <f>tbl_IO_List[[#This Row],[Column3]]</f>
        <v>C5S03,02</v>
      </c>
      <c r="D784" s="136" t="str">
        <f>tbl_IO_List[[#This Row],[Card]]</f>
        <v>1756-OB32-2</v>
      </c>
      <c r="E784" s="136" t="s">
        <v>1366</v>
      </c>
      <c r="F784" s="136" t="str">
        <f>tbl_IO_List[[#This Row],[Column23]]&amp;"-" &amp;tbl_IO_List[[#This Row],[Column52]]</f>
        <v>C5S03-X1</v>
      </c>
      <c r="G784" s="136" t="str">
        <f>tbl_IO_List[[#This Row],[PLC_Tag]]</f>
        <v>XV-20202_DO_1</v>
      </c>
      <c r="H784" s="136"/>
      <c r="I784" s="136" t="str">
        <f>VLOOKUP(tbl_IO_List[[#This Row],[Destination]],tbl_Junction[],2,FALSE)</f>
        <v>Slurry - Out Building 2nd Floor</v>
      </c>
      <c r="J784" s="136" t="s">
        <v>382</v>
      </c>
      <c r="K784" s="136" t="s">
        <v>383</v>
      </c>
      <c r="L784" s="136" t="s">
        <v>396</v>
      </c>
      <c r="M784" s="136">
        <f>VLOOKUP(tbl_IO_List[[#This Row],[Instruement Tag]],tbl_Instruement_List[],2,FALSE)</f>
        <v>0</v>
      </c>
      <c r="N784" s="136" t="s">
        <v>15</v>
      </c>
      <c r="O784" s="136" t="s">
        <v>386</v>
      </c>
      <c r="P784" s="136" t="s">
        <v>384</v>
      </c>
      <c r="Q784" s="136" t="str">
        <f>VLOOKUP(tbl_IO_List[[#This Row],[Instruement Tag]],tbl_Instruement_List[],6,FALSE)</f>
        <v>Slurry Preparation Tank 1</v>
      </c>
      <c r="R784" s="136"/>
      <c r="S78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784" s="136" t="str">
        <f>tbl_IO_List[[#This Row],[Instruement Tag]]&amp;"_"&amp;tbl_IO_List[[#This Row],[I/O Type]]&amp;"_"&amp;tbl_IO_List[[#This Row],[IO-Point 
(Instruement)]]</f>
        <v>XV-20202_DO_1</v>
      </c>
      <c r="U784" s="136" t="s">
        <v>7</v>
      </c>
      <c r="V784" s="136">
        <f>VLOOKUP(tbl_IO_List[[#This Row],[I/O Type]],tbl_Slot_Group[],2,FALSE)</f>
        <v>2</v>
      </c>
      <c r="W784" s="136">
        <v>1</v>
      </c>
      <c r="X784" s="136" t="str">
        <f>tbl_IO_List[[#This Row],[Chassis]]&amp;"S"&amp;TEXT(tbl_IO_List[[#This Row],[Slot]],"00")</f>
        <v>C5S03</v>
      </c>
      <c r="Y784" s="136" t="str">
        <f>tbl_IO_List[[#This Row],[Chassis]]&amp;"S"&amp;TEXT(tbl_IO_List[[#This Row],[Slot]],"00")&amp;tbl_IO_List[[#This Row],[I/O Type]]&amp;TEXT(tbl_IO_List[[#This Row],[Point]],"00")</f>
        <v>C5S03DO02</v>
      </c>
      <c r="Z784" s="136" t="str">
        <f>tbl_IO_List[[#This Row],[Chassis]]&amp;"S"&amp;TEXT(tbl_IO_List[[#This Row],[Slot]],"00")&amp;","&amp;TEXT(tbl_IO_List[[#This Row],[Point]],"00")</f>
        <v>C5S03,02</v>
      </c>
      <c r="AA784" s="136" t="str">
        <f>VLOOKUP(tbl_IO_List[[#This Row],[Column23]],tbl_RackConfig[],5,FALSE) &amp;"-"&amp;tbl_IO_List[[#This Row],[Point]]</f>
        <v>1756-OB32-2</v>
      </c>
      <c r="AB784" s="136"/>
      <c r="AC784" s="136"/>
      <c r="AD784" s="136" t="str">
        <f>tbl_IO_List[[#This Row],[I/O Type]]</f>
        <v>DO</v>
      </c>
      <c r="AE784" s="136" t="s">
        <v>1336</v>
      </c>
      <c r="AF784" s="136">
        <v>3</v>
      </c>
      <c r="AG784" s="136">
        <v>2</v>
      </c>
      <c r="AH784" s="136"/>
      <c r="AI784" s="136"/>
      <c r="AJ784" s="136">
        <v>2</v>
      </c>
      <c r="AK784" s="136">
        <v>1</v>
      </c>
      <c r="AL784" s="136">
        <v>0</v>
      </c>
      <c r="AM784" s="136">
        <v>0</v>
      </c>
      <c r="AN784" s="136">
        <v>0</v>
      </c>
      <c r="AO784" s="136"/>
      <c r="AP784" s="143" t="str">
        <f>VLOOKUP(tbl_IO_List[[#This Row],[Instruement Tag]],tbl_Instruement_List[],14,FALSE)</f>
        <v>24 VDC energized</v>
      </c>
      <c r="AQ784" s="143" t="str">
        <f>tbl_IO_List[[#This Row],[Chassis]]&amp;"S"&amp;tbl_IO_List[[#This Row],[Slot]]&amp;"-"&amp;tbl_IO_List[[#This Row],[Front Terminal Number]]</f>
        <v>C5S3-</v>
      </c>
      <c r="AR784" s="143"/>
      <c r="AS784" s="136" t="str">
        <f>tbl_IO_List[[#This Row],[Terminal Tagging]]&amp;"-"&amp;tbl_IO_List[[#This Row],[Point-Count]]</f>
        <v>-</v>
      </c>
      <c r="AT784" s="136" t="str">
        <f>tbl_IO_List[[#This Row],[Front Terminal Tagging]]&amp;"/"&amp;tbl_IO_List[[#This Row],[Terminal Tagging-Item]]</f>
        <v>C5S3-/-</v>
      </c>
      <c r="AU784" s="136" t="str">
        <f>tbl_IO_List[[#This Row],[Terminal Tagging-Item]]&amp;"/"&amp;tbl_IO_List[[#This Row],[Front Terminal Tagging]]</f>
        <v>-/C5S3-</v>
      </c>
    </row>
    <row r="785" spans="1:47" hidden="1">
      <c r="A785" s="147" t="s">
        <v>1373</v>
      </c>
      <c r="B785" s="136" t="s">
        <v>382</v>
      </c>
      <c r="C785" s="136" t="str">
        <f>tbl_IO_List[[#This Row],[Column3]]</f>
        <v>C5S03,03</v>
      </c>
      <c r="D785" s="136" t="str">
        <f>tbl_IO_List[[#This Row],[Card]]</f>
        <v>1756-OB32-3</v>
      </c>
      <c r="E785" s="136" t="s">
        <v>1366</v>
      </c>
      <c r="F785" s="136" t="str">
        <f>tbl_IO_List[[#This Row],[Column23]]&amp;"-" &amp;tbl_IO_List[[#This Row],[Column52]]</f>
        <v>C5S03-X1</v>
      </c>
      <c r="G785" s="136" t="str">
        <f>tbl_IO_List[[#This Row],[PLC_Tag]]</f>
        <v>XV-20203_DO_1</v>
      </c>
      <c r="H785" s="136"/>
      <c r="I785" s="136" t="str">
        <f>VLOOKUP(tbl_IO_List[[#This Row],[Destination]],tbl_Junction[],2,FALSE)</f>
        <v>Slurry - Out Building 2nd Floor</v>
      </c>
      <c r="J785" s="136" t="s">
        <v>382</v>
      </c>
      <c r="K785" s="136" t="s">
        <v>383</v>
      </c>
      <c r="L785" s="136" t="s">
        <v>397</v>
      </c>
      <c r="M785" s="136">
        <f>VLOOKUP(tbl_IO_List[[#This Row],[Instruement Tag]],tbl_Instruement_List[],2,FALSE)</f>
        <v>0</v>
      </c>
      <c r="N785" s="136" t="s">
        <v>15</v>
      </c>
      <c r="O785" s="136" t="s">
        <v>386</v>
      </c>
      <c r="P785" s="136" t="s">
        <v>384</v>
      </c>
      <c r="Q785" s="136" t="str">
        <f>VLOOKUP(tbl_IO_List[[#This Row],[Instruement Tag]],tbl_Instruement_List[],6,FALSE)</f>
        <v>Slurry Preparation Tank 1</v>
      </c>
      <c r="R785" s="136"/>
      <c r="S78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785" s="136" t="str">
        <f>tbl_IO_List[[#This Row],[Instruement Tag]]&amp;"_"&amp;tbl_IO_List[[#This Row],[I/O Type]]&amp;"_"&amp;tbl_IO_List[[#This Row],[IO-Point 
(Instruement)]]</f>
        <v>XV-20203_DO_1</v>
      </c>
      <c r="U785" s="136" t="s">
        <v>7</v>
      </c>
      <c r="V785" s="136">
        <f>VLOOKUP(tbl_IO_List[[#This Row],[I/O Type]],tbl_Slot_Group[],2,FALSE)</f>
        <v>2</v>
      </c>
      <c r="W785" s="136">
        <v>1</v>
      </c>
      <c r="X785" s="136" t="str">
        <f>tbl_IO_List[[#This Row],[Chassis]]&amp;"S"&amp;TEXT(tbl_IO_List[[#This Row],[Slot]],"00")</f>
        <v>C5S03</v>
      </c>
      <c r="Y785" s="136" t="str">
        <f>tbl_IO_List[[#This Row],[Chassis]]&amp;"S"&amp;TEXT(tbl_IO_List[[#This Row],[Slot]],"00")&amp;tbl_IO_List[[#This Row],[I/O Type]]&amp;TEXT(tbl_IO_List[[#This Row],[Point]],"00")</f>
        <v>C5S03DO03</v>
      </c>
      <c r="Z785" s="136" t="str">
        <f>tbl_IO_List[[#This Row],[Chassis]]&amp;"S"&amp;TEXT(tbl_IO_List[[#This Row],[Slot]],"00")&amp;","&amp;TEXT(tbl_IO_List[[#This Row],[Point]],"00")</f>
        <v>C5S03,03</v>
      </c>
      <c r="AA785" s="136" t="str">
        <f>VLOOKUP(tbl_IO_List[[#This Row],[Column23]],tbl_RackConfig[],5,FALSE) &amp;"-"&amp;tbl_IO_List[[#This Row],[Point]]</f>
        <v>1756-OB32-3</v>
      </c>
      <c r="AB785" s="136"/>
      <c r="AC785" s="136"/>
      <c r="AD785" s="136" t="str">
        <f>tbl_IO_List[[#This Row],[I/O Type]]</f>
        <v>DO</v>
      </c>
      <c r="AE785" s="136" t="s">
        <v>1336</v>
      </c>
      <c r="AF785" s="136">
        <v>3</v>
      </c>
      <c r="AG785" s="136">
        <v>3</v>
      </c>
      <c r="AH785" s="136"/>
      <c r="AI785" s="136"/>
      <c r="AJ785" s="136">
        <v>2</v>
      </c>
      <c r="AK785" s="136">
        <v>1</v>
      </c>
      <c r="AL785" s="136">
        <v>0</v>
      </c>
      <c r="AM785" s="136">
        <v>0</v>
      </c>
      <c r="AN785" s="136">
        <v>0</v>
      </c>
      <c r="AO785" s="136"/>
      <c r="AP785" s="143" t="str">
        <f>VLOOKUP(tbl_IO_List[[#This Row],[Instruement Tag]],tbl_Instruement_List[],14,FALSE)</f>
        <v>24 VDC energized</v>
      </c>
      <c r="AQ785" s="143" t="str">
        <f>tbl_IO_List[[#This Row],[Chassis]]&amp;"S"&amp;tbl_IO_List[[#This Row],[Slot]]&amp;"-"&amp;tbl_IO_List[[#This Row],[Front Terminal Number]]</f>
        <v>C5S3-</v>
      </c>
      <c r="AR785" s="143"/>
      <c r="AS785" s="136" t="str">
        <f>tbl_IO_List[[#This Row],[Terminal Tagging]]&amp;"-"&amp;tbl_IO_List[[#This Row],[Point-Count]]</f>
        <v>-</v>
      </c>
      <c r="AT785" s="136" t="str">
        <f>tbl_IO_List[[#This Row],[Front Terminal Tagging]]&amp;"/"&amp;tbl_IO_List[[#This Row],[Terminal Tagging-Item]]</f>
        <v>C5S3-/-</v>
      </c>
      <c r="AU785" s="136" t="str">
        <f>tbl_IO_List[[#This Row],[Terminal Tagging-Item]]&amp;"/"&amp;tbl_IO_List[[#This Row],[Front Terminal Tagging]]</f>
        <v>-/C5S3-</v>
      </c>
    </row>
    <row r="786" spans="1:47" hidden="1">
      <c r="A786" s="147" t="s">
        <v>1373</v>
      </c>
      <c r="B786" s="136" t="s">
        <v>382</v>
      </c>
      <c r="C786" s="136" t="str">
        <f>tbl_IO_List[[#This Row],[Column3]]</f>
        <v>C5S03,04</v>
      </c>
      <c r="D786" s="136" t="str">
        <f>tbl_IO_List[[#This Row],[Card]]</f>
        <v>1756-OB32-4</v>
      </c>
      <c r="E786" s="136" t="s">
        <v>1366</v>
      </c>
      <c r="F786" s="136" t="str">
        <f>tbl_IO_List[[#This Row],[Column23]]&amp;"-" &amp;tbl_IO_List[[#This Row],[Column52]]</f>
        <v>C5S03-X1</v>
      </c>
      <c r="G786" s="136" t="str">
        <f>tbl_IO_List[[#This Row],[PLC_Tag]]</f>
        <v>XV-20211_DO_1</v>
      </c>
      <c r="H786" s="136"/>
      <c r="I786" s="136" t="str">
        <f>VLOOKUP(tbl_IO_List[[#This Row],[Destination]],tbl_Junction[],2,FALSE)</f>
        <v>Slurry - Out Building 2nd Floor</v>
      </c>
      <c r="J786" s="136" t="s">
        <v>382</v>
      </c>
      <c r="K786" s="136" t="s">
        <v>383</v>
      </c>
      <c r="L786" s="136" t="s">
        <v>398</v>
      </c>
      <c r="M786" s="136">
        <f>VLOOKUP(tbl_IO_List[[#This Row],[Instruement Tag]],tbl_Instruement_List[],2,FALSE)</f>
        <v>0</v>
      </c>
      <c r="N786" s="136" t="s">
        <v>15</v>
      </c>
      <c r="O786" s="136" t="s">
        <v>386</v>
      </c>
      <c r="P786" s="136" t="s">
        <v>384</v>
      </c>
      <c r="Q786" s="136" t="str">
        <f>VLOOKUP(tbl_IO_List[[#This Row],[Instruement Tag]],tbl_Instruement_List[],6,FALSE)</f>
        <v>Slurry Preparation Tank 2</v>
      </c>
      <c r="R786" s="136"/>
      <c r="S78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786" s="136" t="str">
        <f>tbl_IO_List[[#This Row],[Instruement Tag]]&amp;"_"&amp;tbl_IO_List[[#This Row],[I/O Type]]&amp;"_"&amp;tbl_IO_List[[#This Row],[IO-Point 
(Instruement)]]</f>
        <v>XV-20211_DO_1</v>
      </c>
      <c r="U786" s="136" t="s">
        <v>7</v>
      </c>
      <c r="V786" s="136">
        <f>VLOOKUP(tbl_IO_List[[#This Row],[I/O Type]],tbl_Slot_Group[],2,FALSE)</f>
        <v>2</v>
      </c>
      <c r="W786" s="136">
        <v>1</v>
      </c>
      <c r="X786" s="136" t="str">
        <f>tbl_IO_List[[#This Row],[Chassis]]&amp;"S"&amp;TEXT(tbl_IO_List[[#This Row],[Slot]],"00")</f>
        <v>C5S03</v>
      </c>
      <c r="Y786" s="136" t="str">
        <f>tbl_IO_List[[#This Row],[Chassis]]&amp;"S"&amp;TEXT(tbl_IO_List[[#This Row],[Slot]],"00")&amp;tbl_IO_List[[#This Row],[I/O Type]]&amp;TEXT(tbl_IO_List[[#This Row],[Point]],"00")</f>
        <v>C5S03DO04</v>
      </c>
      <c r="Z786" s="136" t="str">
        <f>tbl_IO_List[[#This Row],[Chassis]]&amp;"S"&amp;TEXT(tbl_IO_List[[#This Row],[Slot]],"00")&amp;","&amp;TEXT(tbl_IO_List[[#This Row],[Point]],"00")</f>
        <v>C5S03,04</v>
      </c>
      <c r="AA786" s="136" t="str">
        <f>VLOOKUP(tbl_IO_List[[#This Row],[Column23]],tbl_RackConfig[],5,FALSE) &amp;"-"&amp;tbl_IO_List[[#This Row],[Point]]</f>
        <v>1756-OB32-4</v>
      </c>
      <c r="AB786" s="136"/>
      <c r="AC786" s="136"/>
      <c r="AD786" s="136" t="str">
        <f>tbl_IO_List[[#This Row],[I/O Type]]</f>
        <v>DO</v>
      </c>
      <c r="AE786" s="136" t="s">
        <v>1336</v>
      </c>
      <c r="AF786" s="136">
        <v>3</v>
      </c>
      <c r="AG786" s="136">
        <v>4</v>
      </c>
      <c r="AH786" s="136"/>
      <c r="AI786" s="136"/>
      <c r="AJ786" s="136">
        <v>2</v>
      </c>
      <c r="AK786" s="136">
        <v>1</v>
      </c>
      <c r="AL786" s="136">
        <v>0</v>
      </c>
      <c r="AM786" s="136">
        <v>0</v>
      </c>
      <c r="AN786" s="136">
        <v>0</v>
      </c>
      <c r="AO786" s="136"/>
      <c r="AP786" s="143" t="str">
        <f>VLOOKUP(tbl_IO_List[[#This Row],[Instruement Tag]],tbl_Instruement_List[],14,FALSE)</f>
        <v>24 VDC energized</v>
      </c>
      <c r="AQ786" s="143" t="str">
        <f>tbl_IO_List[[#This Row],[Chassis]]&amp;"S"&amp;tbl_IO_List[[#This Row],[Slot]]&amp;"-"&amp;tbl_IO_List[[#This Row],[Front Terminal Number]]</f>
        <v>C5S3-</v>
      </c>
      <c r="AR786" s="143"/>
      <c r="AS786" s="136" t="str">
        <f>tbl_IO_List[[#This Row],[Terminal Tagging]]&amp;"-"&amp;tbl_IO_List[[#This Row],[Point-Count]]</f>
        <v>-</v>
      </c>
      <c r="AT786" s="136" t="str">
        <f>tbl_IO_List[[#This Row],[Front Terminal Tagging]]&amp;"/"&amp;tbl_IO_List[[#This Row],[Terminal Tagging-Item]]</f>
        <v>C5S3-/-</v>
      </c>
      <c r="AU786" s="136" t="str">
        <f>tbl_IO_List[[#This Row],[Terminal Tagging-Item]]&amp;"/"&amp;tbl_IO_List[[#This Row],[Front Terminal Tagging]]</f>
        <v>-/C5S3-</v>
      </c>
    </row>
    <row r="787" spans="1:47" hidden="1">
      <c r="A787" s="147" t="s">
        <v>1373</v>
      </c>
      <c r="B787" s="136" t="s">
        <v>382</v>
      </c>
      <c r="C787" s="136" t="str">
        <f>tbl_IO_List[[#This Row],[Column3]]</f>
        <v>C5S03,05</v>
      </c>
      <c r="D787" s="136" t="str">
        <f>tbl_IO_List[[#This Row],[Card]]</f>
        <v>1756-OB32-5</v>
      </c>
      <c r="E787" s="136" t="s">
        <v>1366</v>
      </c>
      <c r="F787" s="136" t="str">
        <f>tbl_IO_List[[#This Row],[Column23]]&amp;"-" &amp;tbl_IO_List[[#This Row],[Column52]]</f>
        <v>C5S03-X1</v>
      </c>
      <c r="G787" s="136" t="str">
        <f>tbl_IO_List[[#This Row],[PLC_Tag]]</f>
        <v>XV-20212_DO_1</v>
      </c>
      <c r="H787" s="136"/>
      <c r="I787" s="136" t="str">
        <f>VLOOKUP(tbl_IO_List[[#This Row],[Destination]],tbl_Junction[],2,FALSE)</f>
        <v>Slurry - Out Building 2nd Floor</v>
      </c>
      <c r="J787" s="136" t="s">
        <v>382</v>
      </c>
      <c r="K787" s="136" t="s">
        <v>383</v>
      </c>
      <c r="L787" s="136" t="s">
        <v>399</v>
      </c>
      <c r="M787" s="136">
        <f>VLOOKUP(tbl_IO_List[[#This Row],[Instruement Tag]],tbl_Instruement_List[],2,FALSE)</f>
        <v>0</v>
      </c>
      <c r="N787" s="136" t="s">
        <v>15</v>
      </c>
      <c r="O787" s="136" t="s">
        <v>386</v>
      </c>
      <c r="P787" s="136" t="s">
        <v>384</v>
      </c>
      <c r="Q787" s="136" t="str">
        <f>VLOOKUP(tbl_IO_List[[#This Row],[Instruement Tag]],tbl_Instruement_List[],6,FALSE)</f>
        <v>Slurry Preparation Tank 2</v>
      </c>
      <c r="R787" s="136"/>
      <c r="S78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787" s="136" t="str">
        <f>tbl_IO_List[[#This Row],[Instruement Tag]]&amp;"_"&amp;tbl_IO_List[[#This Row],[I/O Type]]&amp;"_"&amp;tbl_IO_List[[#This Row],[IO-Point 
(Instruement)]]</f>
        <v>XV-20212_DO_1</v>
      </c>
      <c r="U787" s="136" t="s">
        <v>7</v>
      </c>
      <c r="V787" s="136">
        <f>VLOOKUP(tbl_IO_List[[#This Row],[I/O Type]],tbl_Slot_Group[],2,FALSE)</f>
        <v>2</v>
      </c>
      <c r="W787" s="136">
        <v>1</v>
      </c>
      <c r="X787" s="136" t="str">
        <f>tbl_IO_List[[#This Row],[Chassis]]&amp;"S"&amp;TEXT(tbl_IO_List[[#This Row],[Slot]],"00")</f>
        <v>C5S03</v>
      </c>
      <c r="Y787" s="136" t="str">
        <f>tbl_IO_List[[#This Row],[Chassis]]&amp;"S"&amp;TEXT(tbl_IO_List[[#This Row],[Slot]],"00")&amp;tbl_IO_List[[#This Row],[I/O Type]]&amp;TEXT(tbl_IO_List[[#This Row],[Point]],"00")</f>
        <v>C5S03DO05</v>
      </c>
      <c r="Z787" s="136" t="str">
        <f>tbl_IO_List[[#This Row],[Chassis]]&amp;"S"&amp;TEXT(tbl_IO_List[[#This Row],[Slot]],"00")&amp;","&amp;TEXT(tbl_IO_List[[#This Row],[Point]],"00")</f>
        <v>C5S03,05</v>
      </c>
      <c r="AA787" s="136" t="str">
        <f>VLOOKUP(tbl_IO_List[[#This Row],[Column23]],tbl_RackConfig[],5,FALSE) &amp;"-"&amp;tbl_IO_List[[#This Row],[Point]]</f>
        <v>1756-OB32-5</v>
      </c>
      <c r="AB787" s="136"/>
      <c r="AC787" s="136"/>
      <c r="AD787" s="136" t="str">
        <f>tbl_IO_List[[#This Row],[I/O Type]]</f>
        <v>DO</v>
      </c>
      <c r="AE787" s="136" t="s">
        <v>1336</v>
      </c>
      <c r="AF787" s="136">
        <v>3</v>
      </c>
      <c r="AG787" s="136">
        <v>5</v>
      </c>
      <c r="AH787" s="136"/>
      <c r="AI787" s="136"/>
      <c r="AJ787" s="136">
        <v>2</v>
      </c>
      <c r="AK787" s="136">
        <v>1</v>
      </c>
      <c r="AL787" s="136">
        <v>0</v>
      </c>
      <c r="AM787" s="136">
        <v>0</v>
      </c>
      <c r="AN787" s="136">
        <v>0</v>
      </c>
      <c r="AO787" s="136"/>
      <c r="AP787" s="143" t="str">
        <f>VLOOKUP(tbl_IO_List[[#This Row],[Instruement Tag]],tbl_Instruement_List[],14,FALSE)</f>
        <v>24 VDC energized</v>
      </c>
      <c r="AQ787" s="143" t="str">
        <f>tbl_IO_List[[#This Row],[Chassis]]&amp;"S"&amp;tbl_IO_List[[#This Row],[Slot]]&amp;"-"&amp;tbl_IO_List[[#This Row],[Front Terminal Number]]</f>
        <v>C5S3-</v>
      </c>
      <c r="AR787" s="143"/>
      <c r="AS787" s="136" t="str">
        <f>tbl_IO_List[[#This Row],[Terminal Tagging]]&amp;"-"&amp;tbl_IO_List[[#This Row],[Point-Count]]</f>
        <v>-</v>
      </c>
      <c r="AT787" s="136" t="str">
        <f>tbl_IO_List[[#This Row],[Front Terminal Tagging]]&amp;"/"&amp;tbl_IO_List[[#This Row],[Terminal Tagging-Item]]</f>
        <v>C5S3-/-</v>
      </c>
      <c r="AU787" s="136" t="str">
        <f>tbl_IO_List[[#This Row],[Terminal Tagging-Item]]&amp;"/"&amp;tbl_IO_List[[#This Row],[Front Terminal Tagging]]</f>
        <v>-/C5S3-</v>
      </c>
    </row>
    <row r="788" spans="1:47" hidden="1">
      <c r="A788" s="147" t="s">
        <v>1373</v>
      </c>
      <c r="B788" s="136" t="s">
        <v>382</v>
      </c>
      <c r="C788" s="136" t="str">
        <f>tbl_IO_List[[#This Row],[Column3]]</f>
        <v>C5S03,06</v>
      </c>
      <c r="D788" s="136" t="str">
        <f>tbl_IO_List[[#This Row],[Card]]</f>
        <v>1756-OB32-6</v>
      </c>
      <c r="E788" s="136" t="s">
        <v>1366</v>
      </c>
      <c r="F788" s="136" t="str">
        <f>tbl_IO_List[[#This Row],[Column23]]&amp;"-" &amp;tbl_IO_List[[#This Row],[Column52]]</f>
        <v>C5S03-X1</v>
      </c>
      <c r="G788" s="136" t="str">
        <f>tbl_IO_List[[#This Row],[PLC_Tag]]</f>
        <v>XV-20213_DO_1</v>
      </c>
      <c r="H788" s="136"/>
      <c r="I788" s="136" t="str">
        <f>VLOOKUP(tbl_IO_List[[#This Row],[Destination]],tbl_Junction[],2,FALSE)</f>
        <v>Slurry - Out Building 2nd Floor</v>
      </c>
      <c r="J788" s="136" t="s">
        <v>382</v>
      </c>
      <c r="K788" s="136" t="s">
        <v>383</v>
      </c>
      <c r="L788" s="136" t="s">
        <v>400</v>
      </c>
      <c r="M788" s="136">
        <f>VLOOKUP(tbl_IO_List[[#This Row],[Instruement Tag]],tbl_Instruement_List[],2,FALSE)</f>
        <v>0</v>
      </c>
      <c r="N788" s="136" t="s">
        <v>15</v>
      </c>
      <c r="O788" s="136" t="s">
        <v>386</v>
      </c>
      <c r="P788" s="136" t="s">
        <v>384</v>
      </c>
      <c r="Q788" s="136" t="str">
        <f>VLOOKUP(tbl_IO_List[[#This Row],[Instruement Tag]],tbl_Instruement_List[],6,FALSE)</f>
        <v>Slurry Preparation Tank 2</v>
      </c>
      <c r="R788" s="136"/>
      <c r="S78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2,DO=1,AI=0,AO=0,Bus=0</v>
      </c>
      <c r="T788" s="136" t="str">
        <f>tbl_IO_List[[#This Row],[Instruement Tag]]&amp;"_"&amp;tbl_IO_List[[#This Row],[I/O Type]]&amp;"_"&amp;tbl_IO_List[[#This Row],[IO-Point 
(Instruement)]]</f>
        <v>XV-20213_DO_1</v>
      </c>
      <c r="U788" s="136" t="s">
        <v>7</v>
      </c>
      <c r="V788" s="136">
        <f>VLOOKUP(tbl_IO_List[[#This Row],[I/O Type]],tbl_Slot_Group[],2,FALSE)</f>
        <v>2</v>
      </c>
      <c r="W788" s="136">
        <v>1</v>
      </c>
      <c r="X788" s="136" t="str">
        <f>tbl_IO_List[[#This Row],[Chassis]]&amp;"S"&amp;TEXT(tbl_IO_List[[#This Row],[Slot]],"00")</f>
        <v>C5S03</v>
      </c>
      <c r="Y788" s="136" t="str">
        <f>tbl_IO_List[[#This Row],[Chassis]]&amp;"S"&amp;TEXT(tbl_IO_List[[#This Row],[Slot]],"00")&amp;tbl_IO_List[[#This Row],[I/O Type]]&amp;TEXT(tbl_IO_List[[#This Row],[Point]],"00")</f>
        <v>C5S03DO06</v>
      </c>
      <c r="Z788" s="136" t="str">
        <f>tbl_IO_List[[#This Row],[Chassis]]&amp;"S"&amp;TEXT(tbl_IO_List[[#This Row],[Slot]],"00")&amp;","&amp;TEXT(tbl_IO_List[[#This Row],[Point]],"00")</f>
        <v>C5S03,06</v>
      </c>
      <c r="AA788" s="136" t="str">
        <f>VLOOKUP(tbl_IO_List[[#This Row],[Column23]],tbl_RackConfig[],5,FALSE) &amp;"-"&amp;tbl_IO_List[[#This Row],[Point]]</f>
        <v>1756-OB32-6</v>
      </c>
      <c r="AB788" s="136"/>
      <c r="AC788" s="136"/>
      <c r="AD788" s="136" t="str">
        <f>tbl_IO_List[[#This Row],[I/O Type]]</f>
        <v>DO</v>
      </c>
      <c r="AE788" s="136" t="s">
        <v>1336</v>
      </c>
      <c r="AF788" s="136">
        <v>3</v>
      </c>
      <c r="AG788" s="136">
        <v>6</v>
      </c>
      <c r="AH788" s="136"/>
      <c r="AI788" s="136"/>
      <c r="AJ788" s="136">
        <v>2</v>
      </c>
      <c r="AK788" s="136">
        <v>1</v>
      </c>
      <c r="AL788" s="136">
        <v>0</v>
      </c>
      <c r="AM788" s="136">
        <v>0</v>
      </c>
      <c r="AN788" s="136">
        <v>0</v>
      </c>
      <c r="AO788" s="136"/>
      <c r="AP788" s="143" t="str">
        <f>VLOOKUP(tbl_IO_List[[#This Row],[Instruement Tag]],tbl_Instruement_List[],14,FALSE)</f>
        <v>24 VDC energized</v>
      </c>
      <c r="AQ788" s="143" t="str">
        <f>tbl_IO_List[[#This Row],[Chassis]]&amp;"S"&amp;tbl_IO_List[[#This Row],[Slot]]&amp;"-"&amp;tbl_IO_List[[#This Row],[Front Terminal Number]]</f>
        <v>C5S3-</v>
      </c>
      <c r="AR788" s="143"/>
      <c r="AS788" s="136" t="str">
        <f>tbl_IO_List[[#This Row],[Terminal Tagging]]&amp;"-"&amp;tbl_IO_List[[#This Row],[Point-Count]]</f>
        <v>-</v>
      </c>
      <c r="AT788" s="136" t="str">
        <f>tbl_IO_List[[#This Row],[Front Terminal Tagging]]&amp;"/"&amp;tbl_IO_List[[#This Row],[Terminal Tagging-Item]]</f>
        <v>C5S3-/-</v>
      </c>
      <c r="AU788" s="136" t="str">
        <f>tbl_IO_List[[#This Row],[Terminal Tagging-Item]]&amp;"/"&amp;tbl_IO_List[[#This Row],[Front Terminal Tagging]]</f>
        <v>-/C5S3-</v>
      </c>
    </row>
    <row r="789" spans="1:47" hidden="1">
      <c r="A789" s="147" t="s">
        <v>1373</v>
      </c>
      <c r="B789" s="136" t="s">
        <v>382</v>
      </c>
      <c r="C789" s="136" t="str">
        <f>tbl_IO_List[[#This Row],[Column3]]</f>
        <v>C5S03,07</v>
      </c>
      <c r="D789" s="136" t="str">
        <f>tbl_IO_List[[#This Row],[Card]]</f>
        <v>1756-OB32-7</v>
      </c>
      <c r="E789" s="136" t="s">
        <v>1366</v>
      </c>
      <c r="F789" s="136" t="str">
        <f>tbl_IO_List[[#This Row],[Column23]]&amp;"-" &amp;tbl_IO_List[[#This Row],[Column52]]</f>
        <v>C5S03-X1</v>
      </c>
      <c r="G789" s="136" t="str">
        <f>tbl_IO_List[[#This Row],[PLC_Tag]]</f>
        <v>XV-913201_DO_1</v>
      </c>
      <c r="H789" s="136"/>
      <c r="I789" s="136" t="str">
        <f>VLOOKUP(tbl_IO_List[[#This Row],[Destination]],tbl_Junction[],2,FALSE)</f>
        <v>Slurry - Out Building 2nd Floor</v>
      </c>
      <c r="J789" s="136" t="s">
        <v>382</v>
      </c>
      <c r="K789" s="136" t="s">
        <v>404</v>
      </c>
      <c r="L789" s="136" t="s">
        <v>408</v>
      </c>
      <c r="M789" s="136">
        <f>VLOOKUP(tbl_IO_List[[#This Row],[Instruement Tag]],tbl_Instruement_List[],2,FALSE)</f>
        <v>0</v>
      </c>
      <c r="N789" s="136" t="s">
        <v>15</v>
      </c>
      <c r="O789" s="136" t="s">
        <v>18</v>
      </c>
      <c r="P789" s="136" t="s">
        <v>406</v>
      </c>
      <c r="Q789" s="136" t="str">
        <f>VLOOKUP(tbl_IO_List[[#This Row],[Instruement Tag]],tbl_Instruement_List[],6,FALSE)</f>
        <v>Outlet LPG line</v>
      </c>
      <c r="R789" s="136"/>
      <c r="S78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2,DO=1,AI=1,AO=0,Bus=0</v>
      </c>
      <c r="T789" s="136" t="str">
        <f>tbl_IO_List[[#This Row],[Instruement Tag]]&amp;"_"&amp;tbl_IO_List[[#This Row],[I/O Type]]&amp;"_"&amp;tbl_IO_List[[#This Row],[IO-Point 
(Instruement)]]</f>
        <v>XV-913201_DO_1</v>
      </c>
      <c r="U789" s="136" t="s">
        <v>7</v>
      </c>
      <c r="V789" s="136">
        <f>VLOOKUP(tbl_IO_List[[#This Row],[I/O Type]],tbl_Slot_Group[],2,FALSE)</f>
        <v>2</v>
      </c>
      <c r="W789" s="136">
        <v>1</v>
      </c>
      <c r="X789" s="136" t="str">
        <f>tbl_IO_List[[#This Row],[Chassis]]&amp;"S"&amp;TEXT(tbl_IO_List[[#This Row],[Slot]],"00")</f>
        <v>C5S03</v>
      </c>
      <c r="Y789" s="136" t="str">
        <f>tbl_IO_List[[#This Row],[Chassis]]&amp;"S"&amp;TEXT(tbl_IO_List[[#This Row],[Slot]],"00")&amp;tbl_IO_List[[#This Row],[I/O Type]]&amp;TEXT(tbl_IO_List[[#This Row],[Point]],"00")</f>
        <v>C5S03DO07</v>
      </c>
      <c r="Z789" s="136" t="str">
        <f>tbl_IO_List[[#This Row],[Chassis]]&amp;"S"&amp;TEXT(tbl_IO_List[[#This Row],[Slot]],"00")&amp;","&amp;TEXT(tbl_IO_List[[#This Row],[Point]],"00")</f>
        <v>C5S03,07</v>
      </c>
      <c r="AA789" s="136" t="str">
        <f>VLOOKUP(tbl_IO_List[[#This Row],[Column23]],tbl_RackConfig[],5,FALSE) &amp;"-"&amp;tbl_IO_List[[#This Row],[Point]]</f>
        <v>1756-OB32-7</v>
      </c>
      <c r="AB789" s="136"/>
      <c r="AC789" s="136"/>
      <c r="AD789" s="136" t="str">
        <f>tbl_IO_List[[#This Row],[I/O Type]]</f>
        <v>DO</v>
      </c>
      <c r="AE789" s="136" t="s">
        <v>1336</v>
      </c>
      <c r="AF789" s="136">
        <v>3</v>
      </c>
      <c r="AG789" s="136">
        <v>7</v>
      </c>
      <c r="AH789" s="136"/>
      <c r="AI789" s="136"/>
      <c r="AJ789" s="136">
        <v>2</v>
      </c>
      <c r="AK789" s="136">
        <v>1</v>
      </c>
      <c r="AL789" s="136">
        <v>1</v>
      </c>
      <c r="AM789" s="136">
        <v>0</v>
      </c>
      <c r="AN789" s="136">
        <v>0</v>
      </c>
      <c r="AO789" s="136"/>
      <c r="AP789" s="143" t="str">
        <f>VLOOKUP(tbl_IO_List[[#This Row],[Instruement Tag]],tbl_Instruement_List[],14,FALSE)</f>
        <v>24 VDC energized</v>
      </c>
      <c r="AQ789" s="143" t="str">
        <f>tbl_IO_List[[#This Row],[Chassis]]&amp;"S"&amp;tbl_IO_List[[#This Row],[Slot]]&amp;"-"&amp;tbl_IO_List[[#This Row],[Front Terminal Number]]</f>
        <v>C5S3-</v>
      </c>
      <c r="AR789" s="143"/>
      <c r="AS789" s="136" t="str">
        <f>tbl_IO_List[[#This Row],[Terminal Tagging]]&amp;"-"&amp;tbl_IO_List[[#This Row],[Point-Count]]</f>
        <v>-</v>
      </c>
      <c r="AT789" s="136" t="str">
        <f>tbl_IO_List[[#This Row],[Front Terminal Tagging]]&amp;"/"&amp;tbl_IO_List[[#This Row],[Terminal Tagging-Item]]</f>
        <v>C5S3-/-</v>
      </c>
      <c r="AU789" s="136" t="str">
        <f>tbl_IO_List[[#This Row],[Terminal Tagging-Item]]&amp;"/"&amp;tbl_IO_List[[#This Row],[Front Terminal Tagging]]</f>
        <v>-/C5S3-</v>
      </c>
    </row>
    <row r="790" spans="1:47" hidden="1">
      <c r="A790" s="147" t="s">
        <v>1373</v>
      </c>
      <c r="B790" s="136" t="s">
        <v>382</v>
      </c>
      <c r="C790" s="136" t="str">
        <f>tbl_IO_List[[#This Row],[Column3]]</f>
        <v>C5S03,08</v>
      </c>
      <c r="D790" s="136" t="str">
        <f>tbl_IO_List[[#This Row],[Card]]</f>
        <v>1756-OB32-8</v>
      </c>
      <c r="E790" s="136" t="s">
        <v>1366</v>
      </c>
      <c r="F790" s="136" t="str">
        <f>tbl_IO_List[[#This Row],[Column23]]&amp;"-" &amp;tbl_IO_List[[#This Row],[Column52]]</f>
        <v>C5S03-X1</v>
      </c>
      <c r="G790" s="136" t="str">
        <f>tbl_IO_List[[#This Row],[PLC_Tag]]</f>
        <v>Spare_DO_0</v>
      </c>
      <c r="H790" s="136"/>
      <c r="I790" s="136" t="str">
        <f>VLOOKUP(tbl_IO_List[[#This Row],[Destination]],tbl_Junction[],2,FALSE)</f>
        <v>Slurry - Out Building 2nd Floor</v>
      </c>
      <c r="J790" s="136"/>
      <c r="K790" s="136"/>
      <c r="L790" s="136" t="s">
        <v>411</v>
      </c>
      <c r="M790" s="136" t="e">
        <f>VLOOKUP(tbl_IO_List[[#This Row],[Instruement Tag]],tbl_Instruement_List[],2,FALSE)</f>
        <v>#N/A</v>
      </c>
      <c r="N790" s="136"/>
      <c r="O790" s="136"/>
      <c r="P790" s="136"/>
      <c r="Q790" s="136" t="e">
        <f>VLOOKUP(tbl_IO_List[[#This Row],[Instruement Tag]],tbl_Instruement_List[],6,FALSE)</f>
        <v>#N/A</v>
      </c>
      <c r="R790" s="136"/>
      <c r="S79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790" s="136" t="str">
        <f>tbl_IO_List[[#This Row],[Instruement Tag]]&amp;"_"&amp;tbl_IO_List[[#This Row],[I/O Type]]&amp;"_"&amp;tbl_IO_List[[#This Row],[IO-Point 
(Instruement)]]</f>
        <v>Spare_DO_0</v>
      </c>
      <c r="U790" s="136" t="s">
        <v>7</v>
      </c>
      <c r="V790" s="136">
        <f>VLOOKUP(tbl_IO_List[[#This Row],[I/O Type]],tbl_Slot_Group[],2,FALSE)</f>
        <v>2</v>
      </c>
      <c r="W790" s="136">
        <v>0</v>
      </c>
      <c r="X790" s="136" t="str">
        <f>tbl_IO_List[[#This Row],[Chassis]]&amp;"S"&amp;TEXT(tbl_IO_List[[#This Row],[Slot]],"00")</f>
        <v>C5S03</v>
      </c>
      <c r="Y790" s="136" t="str">
        <f>tbl_IO_List[[#This Row],[Chassis]]&amp;"S"&amp;TEXT(tbl_IO_List[[#This Row],[Slot]],"00")&amp;tbl_IO_List[[#This Row],[I/O Type]]&amp;TEXT(tbl_IO_List[[#This Row],[Point]],"00")</f>
        <v>C5S03DO08</v>
      </c>
      <c r="Z790" s="136" t="str">
        <f>tbl_IO_List[[#This Row],[Chassis]]&amp;"S"&amp;TEXT(tbl_IO_List[[#This Row],[Slot]],"00")&amp;","&amp;TEXT(tbl_IO_List[[#This Row],[Point]],"00")</f>
        <v>C5S03,08</v>
      </c>
      <c r="AA790" s="136" t="str">
        <f>VLOOKUP(tbl_IO_List[[#This Row],[Column23]],tbl_RackConfig[],5,FALSE) &amp;"-"&amp;tbl_IO_List[[#This Row],[Point]]</f>
        <v>1756-OB32-8</v>
      </c>
      <c r="AB790" s="136"/>
      <c r="AC790" s="136"/>
      <c r="AD790" s="136" t="str">
        <f>tbl_IO_List[[#This Row],[I/O Type]]</f>
        <v>DO</v>
      </c>
      <c r="AE790" s="136" t="s">
        <v>1336</v>
      </c>
      <c r="AF790" s="136">
        <v>3</v>
      </c>
      <c r="AG790" s="136">
        <v>8</v>
      </c>
      <c r="AH790" s="136"/>
      <c r="AI790" s="136"/>
      <c r="AJ790" s="136">
        <v>0</v>
      </c>
      <c r="AK790" s="136">
        <v>1</v>
      </c>
      <c r="AL790" s="136">
        <v>0</v>
      </c>
      <c r="AM790" s="136">
        <v>0</v>
      </c>
      <c r="AN790" s="136">
        <v>0</v>
      </c>
      <c r="AO790" s="136"/>
      <c r="AP790" s="143" t="e">
        <f>VLOOKUP(tbl_IO_List[[#This Row],[Instruement Tag]],tbl_Instruement_List[],14,FALSE)</f>
        <v>#N/A</v>
      </c>
      <c r="AQ790" s="143" t="str">
        <f>tbl_IO_List[[#This Row],[Chassis]]&amp;"S"&amp;tbl_IO_List[[#This Row],[Slot]]&amp;"-"&amp;tbl_IO_List[[#This Row],[Front Terminal Number]]</f>
        <v>C5S3-</v>
      </c>
      <c r="AR790" s="143"/>
      <c r="AS790" s="136" t="str">
        <f>tbl_IO_List[[#This Row],[Terminal Tagging]]&amp;"-"&amp;tbl_IO_List[[#This Row],[Point-Count]]</f>
        <v>-</v>
      </c>
      <c r="AT790" s="136" t="str">
        <f>tbl_IO_List[[#This Row],[Front Terminal Tagging]]&amp;"/"&amp;tbl_IO_List[[#This Row],[Terminal Tagging-Item]]</f>
        <v>C5S3-/-</v>
      </c>
      <c r="AU790" s="136" t="str">
        <f>tbl_IO_List[[#This Row],[Terminal Tagging-Item]]&amp;"/"&amp;tbl_IO_List[[#This Row],[Front Terminal Tagging]]</f>
        <v>-/C5S3-</v>
      </c>
    </row>
    <row r="791" spans="1:47" hidden="1">
      <c r="A791" s="147" t="s">
        <v>1373</v>
      </c>
      <c r="B791" s="136" t="s">
        <v>382</v>
      </c>
      <c r="C791" s="136" t="str">
        <f>tbl_IO_List[[#This Row],[Column3]]</f>
        <v>C5S03,09</v>
      </c>
      <c r="D791" s="136" t="str">
        <f>tbl_IO_List[[#This Row],[Card]]</f>
        <v>1756-OB32-9</v>
      </c>
      <c r="E791" s="136" t="s">
        <v>1366</v>
      </c>
      <c r="F791" s="136" t="str">
        <f>tbl_IO_List[[#This Row],[Column23]]&amp;"-" &amp;tbl_IO_List[[#This Row],[Column52]]</f>
        <v>C5S03-X1</v>
      </c>
      <c r="G791" s="136" t="str">
        <f>tbl_IO_List[[#This Row],[PLC_Tag]]</f>
        <v>Spare_DO_0</v>
      </c>
      <c r="H791" s="136"/>
      <c r="I791" s="136" t="str">
        <f>VLOOKUP(tbl_IO_List[[#This Row],[Destination]],tbl_Junction[],2,FALSE)</f>
        <v>Slurry - Out Building 2nd Floor</v>
      </c>
      <c r="J791" s="136"/>
      <c r="K791" s="136"/>
      <c r="L791" s="136" t="s">
        <v>411</v>
      </c>
      <c r="M791" s="136" t="e">
        <f>VLOOKUP(tbl_IO_List[[#This Row],[Instruement Tag]],tbl_Instruement_List[],2,FALSE)</f>
        <v>#N/A</v>
      </c>
      <c r="N791" s="136"/>
      <c r="O791" s="136"/>
      <c r="P791" s="136"/>
      <c r="Q791" s="136" t="e">
        <f>VLOOKUP(tbl_IO_List[[#This Row],[Instruement Tag]],tbl_Instruement_List[],6,FALSE)</f>
        <v>#N/A</v>
      </c>
      <c r="R791" s="136"/>
      <c r="S79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791" s="136" t="str">
        <f>tbl_IO_List[[#This Row],[Instruement Tag]]&amp;"_"&amp;tbl_IO_List[[#This Row],[I/O Type]]&amp;"_"&amp;tbl_IO_List[[#This Row],[IO-Point 
(Instruement)]]</f>
        <v>Spare_DO_0</v>
      </c>
      <c r="U791" s="136" t="s">
        <v>7</v>
      </c>
      <c r="V791" s="136">
        <f>VLOOKUP(tbl_IO_List[[#This Row],[I/O Type]],tbl_Slot_Group[],2,FALSE)</f>
        <v>2</v>
      </c>
      <c r="W791" s="136">
        <v>0</v>
      </c>
      <c r="X791" s="136" t="str">
        <f>tbl_IO_List[[#This Row],[Chassis]]&amp;"S"&amp;TEXT(tbl_IO_List[[#This Row],[Slot]],"00")</f>
        <v>C5S03</v>
      </c>
      <c r="Y791" s="136" t="str">
        <f>tbl_IO_List[[#This Row],[Chassis]]&amp;"S"&amp;TEXT(tbl_IO_List[[#This Row],[Slot]],"00")&amp;tbl_IO_List[[#This Row],[I/O Type]]&amp;TEXT(tbl_IO_List[[#This Row],[Point]],"00")</f>
        <v>C5S03DO09</v>
      </c>
      <c r="Z791" s="136" t="str">
        <f>tbl_IO_List[[#This Row],[Chassis]]&amp;"S"&amp;TEXT(tbl_IO_List[[#This Row],[Slot]],"00")&amp;","&amp;TEXT(tbl_IO_List[[#This Row],[Point]],"00")</f>
        <v>C5S03,09</v>
      </c>
      <c r="AA791" s="136" t="str">
        <f>VLOOKUP(tbl_IO_List[[#This Row],[Column23]],tbl_RackConfig[],5,FALSE) &amp;"-"&amp;tbl_IO_List[[#This Row],[Point]]</f>
        <v>1756-OB32-9</v>
      </c>
      <c r="AB791" s="136"/>
      <c r="AC791" s="136"/>
      <c r="AD791" s="136" t="str">
        <f>tbl_IO_List[[#This Row],[I/O Type]]</f>
        <v>DO</v>
      </c>
      <c r="AE791" s="136" t="s">
        <v>1336</v>
      </c>
      <c r="AF791" s="136">
        <v>3</v>
      </c>
      <c r="AG791" s="136">
        <v>9</v>
      </c>
      <c r="AH791" s="136"/>
      <c r="AI791" s="136"/>
      <c r="AJ791" s="136">
        <v>0</v>
      </c>
      <c r="AK791" s="136">
        <v>1</v>
      </c>
      <c r="AL791" s="136">
        <v>0</v>
      </c>
      <c r="AM791" s="136">
        <v>0</v>
      </c>
      <c r="AN791" s="136">
        <v>0</v>
      </c>
      <c r="AO791" s="136"/>
      <c r="AP791" s="143" t="e">
        <f>VLOOKUP(tbl_IO_List[[#This Row],[Instruement Tag]],tbl_Instruement_List[],14,FALSE)</f>
        <v>#N/A</v>
      </c>
      <c r="AQ791" s="143" t="str">
        <f>tbl_IO_List[[#This Row],[Chassis]]&amp;"S"&amp;tbl_IO_List[[#This Row],[Slot]]&amp;"-"&amp;tbl_IO_List[[#This Row],[Front Terminal Number]]</f>
        <v>C5S3-</v>
      </c>
      <c r="AR791" s="143"/>
      <c r="AS791" s="136" t="str">
        <f>tbl_IO_List[[#This Row],[Terminal Tagging]]&amp;"-"&amp;tbl_IO_List[[#This Row],[Point-Count]]</f>
        <v>-</v>
      </c>
      <c r="AT791" s="136" t="str">
        <f>tbl_IO_List[[#This Row],[Front Terminal Tagging]]&amp;"/"&amp;tbl_IO_List[[#This Row],[Terminal Tagging-Item]]</f>
        <v>C5S3-/-</v>
      </c>
      <c r="AU791" s="136" t="str">
        <f>tbl_IO_List[[#This Row],[Terminal Tagging-Item]]&amp;"/"&amp;tbl_IO_List[[#This Row],[Front Terminal Tagging]]</f>
        <v>-/C5S3-</v>
      </c>
    </row>
    <row r="792" spans="1:47" hidden="1">
      <c r="A792" s="147" t="s">
        <v>1373</v>
      </c>
      <c r="B792" s="136" t="s">
        <v>382</v>
      </c>
      <c r="C792" s="136" t="str">
        <f>tbl_IO_List[[#This Row],[Column3]]</f>
        <v>C5S03,10</v>
      </c>
      <c r="D792" s="136" t="str">
        <f>tbl_IO_List[[#This Row],[Card]]</f>
        <v>1756-OB32-10</v>
      </c>
      <c r="E792" s="136" t="s">
        <v>1366</v>
      </c>
      <c r="F792" s="136" t="str">
        <f>tbl_IO_List[[#This Row],[Column23]]&amp;"-" &amp;tbl_IO_List[[#This Row],[Column52]]</f>
        <v>C5S03-X1</v>
      </c>
      <c r="G792" s="136" t="str">
        <f>tbl_IO_List[[#This Row],[PLC_Tag]]</f>
        <v>Spare_DO_0</v>
      </c>
      <c r="H792" s="136"/>
      <c r="I792" s="136" t="str">
        <f>VLOOKUP(tbl_IO_List[[#This Row],[Destination]],tbl_Junction[],2,FALSE)</f>
        <v>Slurry - Out Building 2nd Floor</v>
      </c>
      <c r="J792" s="136"/>
      <c r="K792" s="136"/>
      <c r="L792" s="136" t="s">
        <v>411</v>
      </c>
      <c r="M792" s="136" t="e">
        <f>VLOOKUP(tbl_IO_List[[#This Row],[Instruement Tag]],tbl_Instruement_List[],2,FALSE)</f>
        <v>#N/A</v>
      </c>
      <c r="N792" s="136"/>
      <c r="O792" s="136"/>
      <c r="P792" s="136"/>
      <c r="Q792" s="136" t="e">
        <f>VLOOKUP(tbl_IO_List[[#This Row],[Instruement Tag]],tbl_Instruement_List[],6,FALSE)</f>
        <v>#N/A</v>
      </c>
      <c r="R792" s="136"/>
      <c r="S79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792" s="136" t="str">
        <f>tbl_IO_List[[#This Row],[Instruement Tag]]&amp;"_"&amp;tbl_IO_List[[#This Row],[I/O Type]]&amp;"_"&amp;tbl_IO_List[[#This Row],[IO-Point 
(Instruement)]]</f>
        <v>Spare_DO_0</v>
      </c>
      <c r="U792" s="136" t="s">
        <v>7</v>
      </c>
      <c r="V792" s="136">
        <f>VLOOKUP(tbl_IO_List[[#This Row],[I/O Type]],tbl_Slot_Group[],2,FALSE)</f>
        <v>2</v>
      </c>
      <c r="W792" s="136">
        <v>0</v>
      </c>
      <c r="X792" s="136" t="str">
        <f>tbl_IO_List[[#This Row],[Chassis]]&amp;"S"&amp;TEXT(tbl_IO_List[[#This Row],[Slot]],"00")</f>
        <v>C5S03</v>
      </c>
      <c r="Y792" s="136" t="str">
        <f>tbl_IO_List[[#This Row],[Chassis]]&amp;"S"&amp;TEXT(tbl_IO_List[[#This Row],[Slot]],"00")&amp;tbl_IO_List[[#This Row],[I/O Type]]&amp;TEXT(tbl_IO_List[[#This Row],[Point]],"00")</f>
        <v>C5S03DO10</v>
      </c>
      <c r="Z792" s="136" t="str">
        <f>tbl_IO_List[[#This Row],[Chassis]]&amp;"S"&amp;TEXT(tbl_IO_List[[#This Row],[Slot]],"00")&amp;","&amp;TEXT(tbl_IO_List[[#This Row],[Point]],"00")</f>
        <v>C5S03,10</v>
      </c>
      <c r="AA792" s="136" t="str">
        <f>VLOOKUP(tbl_IO_List[[#This Row],[Column23]],tbl_RackConfig[],5,FALSE) &amp;"-"&amp;tbl_IO_List[[#This Row],[Point]]</f>
        <v>1756-OB32-10</v>
      </c>
      <c r="AB792" s="136"/>
      <c r="AC792" s="136"/>
      <c r="AD792" s="136" t="str">
        <f>tbl_IO_List[[#This Row],[I/O Type]]</f>
        <v>DO</v>
      </c>
      <c r="AE792" s="136" t="s">
        <v>1336</v>
      </c>
      <c r="AF792" s="136">
        <v>3</v>
      </c>
      <c r="AG792" s="136">
        <v>10</v>
      </c>
      <c r="AH792" s="136"/>
      <c r="AI792" s="136"/>
      <c r="AJ792" s="136">
        <v>0</v>
      </c>
      <c r="AK792" s="136">
        <v>1</v>
      </c>
      <c r="AL792" s="136">
        <v>0</v>
      </c>
      <c r="AM792" s="136">
        <v>0</v>
      </c>
      <c r="AN792" s="136">
        <v>0</v>
      </c>
      <c r="AO792" s="136"/>
      <c r="AP792" s="143" t="e">
        <f>VLOOKUP(tbl_IO_List[[#This Row],[Instruement Tag]],tbl_Instruement_List[],14,FALSE)</f>
        <v>#N/A</v>
      </c>
      <c r="AQ792" s="143" t="str">
        <f>tbl_IO_List[[#This Row],[Chassis]]&amp;"S"&amp;tbl_IO_List[[#This Row],[Slot]]&amp;"-"&amp;tbl_IO_List[[#This Row],[Front Terminal Number]]</f>
        <v>C5S3-</v>
      </c>
      <c r="AR792" s="143"/>
      <c r="AS792" s="136" t="str">
        <f>tbl_IO_List[[#This Row],[Terminal Tagging]]&amp;"-"&amp;tbl_IO_List[[#This Row],[Point-Count]]</f>
        <v>-</v>
      </c>
      <c r="AT792" s="136" t="str">
        <f>tbl_IO_List[[#This Row],[Front Terminal Tagging]]&amp;"/"&amp;tbl_IO_List[[#This Row],[Terminal Tagging-Item]]</f>
        <v>C5S3-/-</v>
      </c>
      <c r="AU792" s="136" t="str">
        <f>tbl_IO_List[[#This Row],[Terminal Tagging-Item]]&amp;"/"&amp;tbl_IO_List[[#This Row],[Front Terminal Tagging]]</f>
        <v>-/C5S3-</v>
      </c>
    </row>
    <row r="793" spans="1:47" hidden="1">
      <c r="A793" s="147" t="s">
        <v>1373</v>
      </c>
      <c r="B793" s="136" t="s">
        <v>382</v>
      </c>
      <c r="C793" s="136" t="str">
        <f>tbl_IO_List[[#This Row],[Column3]]</f>
        <v>C5S03,11</v>
      </c>
      <c r="D793" s="136" t="str">
        <f>tbl_IO_List[[#This Row],[Card]]</f>
        <v>1756-OB32-11</v>
      </c>
      <c r="E793" s="136" t="s">
        <v>1366</v>
      </c>
      <c r="F793" s="136" t="str">
        <f>tbl_IO_List[[#This Row],[Column23]]&amp;"-" &amp;tbl_IO_List[[#This Row],[Column52]]</f>
        <v>C5S03-X1</v>
      </c>
      <c r="G793" s="136" t="str">
        <f>tbl_IO_List[[#This Row],[PLC_Tag]]</f>
        <v>Spare_DO_0</v>
      </c>
      <c r="H793" s="136"/>
      <c r="I793" s="136" t="str">
        <f>VLOOKUP(tbl_IO_List[[#This Row],[Destination]],tbl_Junction[],2,FALSE)</f>
        <v>Slurry - Out Building 2nd Floor</v>
      </c>
      <c r="J793" s="136"/>
      <c r="K793" s="136"/>
      <c r="L793" s="136" t="s">
        <v>411</v>
      </c>
      <c r="M793" s="136" t="e">
        <f>VLOOKUP(tbl_IO_List[[#This Row],[Instruement Tag]],tbl_Instruement_List[],2,FALSE)</f>
        <v>#N/A</v>
      </c>
      <c r="N793" s="136"/>
      <c r="O793" s="136"/>
      <c r="P793" s="136"/>
      <c r="Q793" s="136" t="e">
        <f>VLOOKUP(tbl_IO_List[[#This Row],[Instruement Tag]],tbl_Instruement_List[],6,FALSE)</f>
        <v>#N/A</v>
      </c>
      <c r="R793" s="136"/>
      <c r="S79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793" s="136" t="str">
        <f>tbl_IO_List[[#This Row],[Instruement Tag]]&amp;"_"&amp;tbl_IO_List[[#This Row],[I/O Type]]&amp;"_"&amp;tbl_IO_List[[#This Row],[IO-Point 
(Instruement)]]</f>
        <v>Spare_DO_0</v>
      </c>
      <c r="U793" s="136" t="s">
        <v>7</v>
      </c>
      <c r="V793" s="136">
        <f>VLOOKUP(tbl_IO_List[[#This Row],[I/O Type]],tbl_Slot_Group[],2,FALSE)</f>
        <v>2</v>
      </c>
      <c r="W793" s="136">
        <v>0</v>
      </c>
      <c r="X793" s="136" t="str">
        <f>tbl_IO_List[[#This Row],[Chassis]]&amp;"S"&amp;TEXT(tbl_IO_List[[#This Row],[Slot]],"00")</f>
        <v>C5S03</v>
      </c>
      <c r="Y793" s="136" t="str">
        <f>tbl_IO_List[[#This Row],[Chassis]]&amp;"S"&amp;TEXT(tbl_IO_List[[#This Row],[Slot]],"00")&amp;tbl_IO_List[[#This Row],[I/O Type]]&amp;TEXT(tbl_IO_List[[#This Row],[Point]],"00")</f>
        <v>C5S03DO11</v>
      </c>
      <c r="Z793" s="136" t="str">
        <f>tbl_IO_List[[#This Row],[Chassis]]&amp;"S"&amp;TEXT(tbl_IO_List[[#This Row],[Slot]],"00")&amp;","&amp;TEXT(tbl_IO_List[[#This Row],[Point]],"00")</f>
        <v>C5S03,11</v>
      </c>
      <c r="AA793" s="136" t="str">
        <f>VLOOKUP(tbl_IO_List[[#This Row],[Column23]],tbl_RackConfig[],5,FALSE) &amp;"-"&amp;tbl_IO_List[[#This Row],[Point]]</f>
        <v>1756-OB32-11</v>
      </c>
      <c r="AB793" s="136"/>
      <c r="AC793" s="136"/>
      <c r="AD793" s="136" t="str">
        <f>tbl_IO_List[[#This Row],[I/O Type]]</f>
        <v>DO</v>
      </c>
      <c r="AE793" s="136" t="s">
        <v>1336</v>
      </c>
      <c r="AF793" s="136">
        <v>3</v>
      </c>
      <c r="AG793" s="136">
        <v>11</v>
      </c>
      <c r="AH793" s="136"/>
      <c r="AI793" s="136"/>
      <c r="AJ793" s="136">
        <v>0</v>
      </c>
      <c r="AK793" s="136">
        <v>1</v>
      </c>
      <c r="AL793" s="136">
        <v>0</v>
      </c>
      <c r="AM793" s="136">
        <v>0</v>
      </c>
      <c r="AN793" s="136">
        <v>0</v>
      </c>
      <c r="AO793" s="136"/>
      <c r="AP793" s="143" t="e">
        <f>VLOOKUP(tbl_IO_List[[#This Row],[Instruement Tag]],tbl_Instruement_List[],14,FALSE)</f>
        <v>#N/A</v>
      </c>
      <c r="AQ793" s="143" t="str">
        <f>tbl_IO_List[[#This Row],[Chassis]]&amp;"S"&amp;tbl_IO_List[[#This Row],[Slot]]&amp;"-"&amp;tbl_IO_List[[#This Row],[Front Terminal Number]]</f>
        <v>C5S3-</v>
      </c>
      <c r="AR793" s="143"/>
      <c r="AS793" s="136" t="str">
        <f>tbl_IO_List[[#This Row],[Terminal Tagging]]&amp;"-"&amp;tbl_IO_List[[#This Row],[Point-Count]]</f>
        <v>-</v>
      </c>
      <c r="AT793" s="136" t="str">
        <f>tbl_IO_List[[#This Row],[Front Terminal Tagging]]&amp;"/"&amp;tbl_IO_List[[#This Row],[Terminal Tagging-Item]]</f>
        <v>C5S3-/-</v>
      </c>
      <c r="AU793" s="136" t="str">
        <f>tbl_IO_List[[#This Row],[Terminal Tagging-Item]]&amp;"/"&amp;tbl_IO_List[[#This Row],[Front Terminal Tagging]]</f>
        <v>-/C5S3-</v>
      </c>
    </row>
    <row r="794" spans="1:47" hidden="1">
      <c r="A794" s="147" t="s">
        <v>1373</v>
      </c>
      <c r="B794" s="136" t="s">
        <v>382</v>
      </c>
      <c r="C794" s="136" t="str">
        <f>tbl_IO_List[[#This Row],[Column3]]</f>
        <v>C5S03,12</v>
      </c>
      <c r="D794" s="136" t="str">
        <f>tbl_IO_List[[#This Row],[Card]]</f>
        <v>1756-OB32-12</v>
      </c>
      <c r="E794" s="136" t="s">
        <v>1366</v>
      </c>
      <c r="F794" s="136" t="str">
        <f>tbl_IO_List[[#This Row],[Column23]]&amp;"-" &amp;tbl_IO_List[[#This Row],[Column52]]</f>
        <v>C5S03-X1</v>
      </c>
      <c r="G794" s="136" t="str">
        <f>tbl_IO_List[[#This Row],[PLC_Tag]]</f>
        <v>Spare_DO_0</v>
      </c>
      <c r="H794" s="136"/>
      <c r="I794" s="136" t="str">
        <f>VLOOKUP(tbl_IO_List[[#This Row],[Destination]],tbl_Junction[],2,FALSE)</f>
        <v>Slurry - Out Building 2nd Floor</v>
      </c>
      <c r="J794" s="136"/>
      <c r="K794" s="136"/>
      <c r="L794" s="136" t="s">
        <v>411</v>
      </c>
      <c r="M794" s="136" t="e">
        <f>VLOOKUP(tbl_IO_List[[#This Row],[Instruement Tag]],tbl_Instruement_List[],2,FALSE)</f>
        <v>#N/A</v>
      </c>
      <c r="N794" s="136"/>
      <c r="O794" s="136"/>
      <c r="P794" s="136"/>
      <c r="Q794" s="136" t="e">
        <f>VLOOKUP(tbl_IO_List[[#This Row],[Instruement Tag]],tbl_Instruement_List[],6,FALSE)</f>
        <v>#N/A</v>
      </c>
      <c r="R794" s="136"/>
      <c r="S79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794" s="136" t="str">
        <f>tbl_IO_List[[#This Row],[Instruement Tag]]&amp;"_"&amp;tbl_IO_List[[#This Row],[I/O Type]]&amp;"_"&amp;tbl_IO_List[[#This Row],[IO-Point 
(Instruement)]]</f>
        <v>Spare_DO_0</v>
      </c>
      <c r="U794" s="136" t="s">
        <v>7</v>
      </c>
      <c r="V794" s="136">
        <f>VLOOKUP(tbl_IO_List[[#This Row],[I/O Type]],tbl_Slot_Group[],2,FALSE)</f>
        <v>2</v>
      </c>
      <c r="W794" s="136">
        <v>0</v>
      </c>
      <c r="X794" s="136" t="str">
        <f>tbl_IO_List[[#This Row],[Chassis]]&amp;"S"&amp;TEXT(tbl_IO_List[[#This Row],[Slot]],"00")</f>
        <v>C5S03</v>
      </c>
      <c r="Y794" s="136" t="str">
        <f>tbl_IO_List[[#This Row],[Chassis]]&amp;"S"&amp;TEXT(tbl_IO_List[[#This Row],[Slot]],"00")&amp;tbl_IO_List[[#This Row],[I/O Type]]&amp;TEXT(tbl_IO_List[[#This Row],[Point]],"00")</f>
        <v>C5S03DO12</v>
      </c>
      <c r="Z794" s="136" t="str">
        <f>tbl_IO_List[[#This Row],[Chassis]]&amp;"S"&amp;TEXT(tbl_IO_List[[#This Row],[Slot]],"00")&amp;","&amp;TEXT(tbl_IO_List[[#This Row],[Point]],"00")</f>
        <v>C5S03,12</v>
      </c>
      <c r="AA794" s="136" t="str">
        <f>VLOOKUP(tbl_IO_List[[#This Row],[Column23]],tbl_RackConfig[],5,FALSE) &amp;"-"&amp;tbl_IO_List[[#This Row],[Point]]</f>
        <v>1756-OB32-12</v>
      </c>
      <c r="AB794" s="136"/>
      <c r="AC794" s="136"/>
      <c r="AD794" s="136" t="str">
        <f>tbl_IO_List[[#This Row],[I/O Type]]</f>
        <v>DO</v>
      </c>
      <c r="AE794" s="136" t="s">
        <v>1336</v>
      </c>
      <c r="AF794" s="136">
        <v>3</v>
      </c>
      <c r="AG794" s="136">
        <v>12</v>
      </c>
      <c r="AH794" s="136"/>
      <c r="AI794" s="136"/>
      <c r="AJ794" s="136">
        <v>0</v>
      </c>
      <c r="AK794" s="136">
        <v>1</v>
      </c>
      <c r="AL794" s="136">
        <v>0</v>
      </c>
      <c r="AM794" s="136">
        <v>0</v>
      </c>
      <c r="AN794" s="136">
        <v>0</v>
      </c>
      <c r="AO794" s="136"/>
      <c r="AP794" s="143" t="e">
        <f>VLOOKUP(tbl_IO_List[[#This Row],[Instruement Tag]],tbl_Instruement_List[],14,FALSE)</f>
        <v>#N/A</v>
      </c>
      <c r="AQ794" s="143" t="str">
        <f>tbl_IO_List[[#This Row],[Chassis]]&amp;"S"&amp;tbl_IO_List[[#This Row],[Slot]]&amp;"-"&amp;tbl_IO_List[[#This Row],[Front Terminal Number]]</f>
        <v>C5S3-</v>
      </c>
      <c r="AR794" s="143"/>
      <c r="AS794" s="136" t="str">
        <f>tbl_IO_List[[#This Row],[Terminal Tagging]]&amp;"-"&amp;tbl_IO_List[[#This Row],[Point-Count]]</f>
        <v>-</v>
      </c>
      <c r="AT794" s="136" t="str">
        <f>tbl_IO_List[[#This Row],[Front Terminal Tagging]]&amp;"/"&amp;tbl_IO_List[[#This Row],[Terminal Tagging-Item]]</f>
        <v>C5S3-/-</v>
      </c>
      <c r="AU794" s="136" t="str">
        <f>tbl_IO_List[[#This Row],[Terminal Tagging-Item]]&amp;"/"&amp;tbl_IO_List[[#This Row],[Front Terminal Tagging]]</f>
        <v>-/C5S3-</v>
      </c>
    </row>
    <row r="795" spans="1:47" hidden="1">
      <c r="A795" s="147" t="s">
        <v>1373</v>
      </c>
      <c r="B795" s="136" t="s">
        <v>382</v>
      </c>
      <c r="C795" s="136" t="str">
        <f>tbl_IO_List[[#This Row],[Column3]]</f>
        <v>C5S03,13</v>
      </c>
      <c r="D795" s="136" t="str">
        <f>tbl_IO_List[[#This Row],[Card]]</f>
        <v>1756-OB32-13</v>
      </c>
      <c r="E795" s="136" t="s">
        <v>1366</v>
      </c>
      <c r="F795" s="136" t="str">
        <f>tbl_IO_List[[#This Row],[Column23]]&amp;"-" &amp;tbl_IO_List[[#This Row],[Column52]]</f>
        <v>C5S03-X1</v>
      </c>
      <c r="G795" s="136" t="str">
        <f>tbl_IO_List[[#This Row],[PLC_Tag]]</f>
        <v>Spare_DO_0</v>
      </c>
      <c r="H795" s="136"/>
      <c r="I795" s="136" t="str">
        <f>VLOOKUP(tbl_IO_List[[#This Row],[Destination]],tbl_Junction[],2,FALSE)</f>
        <v>Slurry - Out Building 2nd Floor</v>
      </c>
      <c r="J795" s="136"/>
      <c r="K795" s="136"/>
      <c r="L795" s="136" t="s">
        <v>411</v>
      </c>
      <c r="M795" s="136" t="e">
        <f>VLOOKUP(tbl_IO_List[[#This Row],[Instruement Tag]],tbl_Instruement_List[],2,FALSE)</f>
        <v>#N/A</v>
      </c>
      <c r="N795" s="136"/>
      <c r="O795" s="136"/>
      <c r="P795" s="136"/>
      <c r="Q795" s="136" t="e">
        <f>VLOOKUP(tbl_IO_List[[#This Row],[Instruement Tag]],tbl_Instruement_List[],6,FALSE)</f>
        <v>#N/A</v>
      </c>
      <c r="R795" s="136"/>
      <c r="S79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795" s="136" t="str">
        <f>tbl_IO_List[[#This Row],[Instruement Tag]]&amp;"_"&amp;tbl_IO_List[[#This Row],[I/O Type]]&amp;"_"&amp;tbl_IO_List[[#This Row],[IO-Point 
(Instruement)]]</f>
        <v>Spare_DO_0</v>
      </c>
      <c r="U795" s="136" t="s">
        <v>7</v>
      </c>
      <c r="V795" s="136">
        <f>VLOOKUP(tbl_IO_List[[#This Row],[I/O Type]],tbl_Slot_Group[],2,FALSE)</f>
        <v>2</v>
      </c>
      <c r="W795" s="136">
        <v>0</v>
      </c>
      <c r="X795" s="136" t="str">
        <f>tbl_IO_List[[#This Row],[Chassis]]&amp;"S"&amp;TEXT(tbl_IO_List[[#This Row],[Slot]],"00")</f>
        <v>C5S03</v>
      </c>
      <c r="Y795" s="136" t="str">
        <f>tbl_IO_List[[#This Row],[Chassis]]&amp;"S"&amp;TEXT(tbl_IO_List[[#This Row],[Slot]],"00")&amp;tbl_IO_List[[#This Row],[I/O Type]]&amp;TEXT(tbl_IO_List[[#This Row],[Point]],"00")</f>
        <v>C5S03DO13</v>
      </c>
      <c r="Z795" s="136" t="str">
        <f>tbl_IO_List[[#This Row],[Chassis]]&amp;"S"&amp;TEXT(tbl_IO_List[[#This Row],[Slot]],"00")&amp;","&amp;TEXT(tbl_IO_List[[#This Row],[Point]],"00")</f>
        <v>C5S03,13</v>
      </c>
      <c r="AA795" s="136" t="str">
        <f>VLOOKUP(tbl_IO_List[[#This Row],[Column23]],tbl_RackConfig[],5,FALSE) &amp;"-"&amp;tbl_IO_List[[#This Row],[Point]]</f>
        <v>1756-OB32-13</v>
      </c>
      <c r="AB795" s="136"/>
      <c r="AC795" s="136"/>
      <c r="AD795" s="136" t="str">
        <f>tbl_IO_List[[#This Row],[I/O Type]]</f>
        <v>DO</v>
      </c>
      <c r="AE795" s="136" t="s">
        <v>1336</v>
      </c>
      <c r="AF795" s="136">
        <v>3</v>
      </c>
      <c r="AG795" s="136">
        <v>13</v>
      </c>
      <c r="AH795" s="136"/>
      <c r="AI795" s="136"/>
      <c r="AJ795" s="136">
        <v>0</v>
      </c>
      <c r="AK795" s="136">
        <v>1</v>
      </c>
      <c r="AL795" s="136">
        <v>0</v>
      </c>
      <c r="AM795" s="136">
        <v>0</v>
      </c>
      <c r="AN795" s="136">
        <v>0</v>
      </c>
      <c r="AO795" s="136"/>
      <c r="AP795" s="143" t="e">
        <f>VLOOKUP(tbl_IO_List[[#This Row],[Instruement Tag]],tbl_Instruement_List[],14,FALSE)</f>
        <v>#N/A</v>
      </c>
      <c r="AQ795" s="143" t="str">
        <f>tbl_IO_List[[#This Row],[Chassis]]&amp;"S"&amp;tbl_IO_List[[#This Row],[Slot]]&amp;"-"&amp;tbl_IO_List[[#This Row],[Front Terminal Number]]</f>
        <v>C5S3-</v>
      </c>
      <c r="AR795" s="143"/>
      <c r="AS795" s="136" t="str">
        <f>tbl_IO_List[[#This Row],[Terminal Tagging]]&amp;"-"&amp;tbl_IO_List[[#This Row],[Point-Count]]</f>
        <v>-</v>
      </c>
      <c r="AT795" s="136" t="str">
        <f>tbl_IO_List[[#This Row],[Front Terminal Tagging]]&amp;"/"&amp;tbl_IO_List[[#This Row],[Terminal Tagging-Item]]</f>
        <v>C5S3-/-</v>
      </c>
      <c r="AU795" s="136" t="str">
        <f>tbl_IO_List[[#This Row],[Terminal Tagging-Item]]&amp;"/"&amp;tbl_IO_List[[#This Row],[Front Terminal Tagging]]</f>
        <v>-/C5S3-</v>
      </c>
    </row>
    <row r="796" spans="1:47" hidden="1">
      <c r="A796" s="147" t="s">
        <v>1373</v>
      </c>
      <c r="B796" s="136" t="s">
        <v>382</v>
      </c>
      <c r="C796" s="136" t="str">
        <f>tbl_IO_List[[#This Row],[Column3]]</f>
        <v>C5S03,14</v>
      </c>
      <c r="D796" s="136" t="str">
        <f>tbl_IO_List[[#This Row],[Card]]</f>
        <v>1756-OB32-14</v>
      </c>
      <c r="E796" s="136" t="s">
        <v>1366</v>
      </c>
      <c r="F796" s="136" t="str">
        <f>tbl_IO_List[[#This Row],[Column23]]&amp;"-" &amp;tbl_IO_List[[#This Row],[Column52]]</f>
        <v>C5S03-X1</v>
      </c>
      <c r="G796" s="136" t="str">
        <f>tbl_IO_List[[#This Row],[PLC_Tag]]</f>
        <v>Spare_DO_0</v>
      </c>
      <c r="H796" s="136"/>
      <c r="I796" s="136" t="str">
        <f>VLOOKUP(tbl_IO_List[[#This Row],[Destination]],tbl_Junction[],2,FALSE)</f>
        <v>Slurry - Out Building 2nd Floor</v>
      </c>
      <c r="J796" s="136"/>
      <c r="K796" s="136"/>
      <c r="L796" s="136" t="s">
        <v>411</v>
      </c>
      <c r="M796" s="136" t="e">
        <f>VLOOKUP(tbl_IO_List[[#This Row],[Instruement Tag]],tbl_Instruement_List[],2,FALSE)</f>
        <v>#N/A</v>
      </c>
      <c r="N796" s="136"/>
      <c r="O796" s="136"/>
      <c r="P796" s="136"/>
      <c r="Q796" s="136" t="e">
        <f>VLOOKUP(tbl_IO_List[[#This Row],[Instruement Tag]],tbl_Instruement_List[],6,FALSE)</f>
        <v>#N/A</v>
      </c>
      <c r="R796" s="136"/>
      <c r="S79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796" s="136" t="str">
        <f>tbl_IO_List[[#This Row],[Instruement Tag]]&amp;"_"&amp;tbl_IO_List[[#This Row],[I/O Type]]&amp;"_"&amp;tbl_IO_List[[#This Row],[IO-Point 
(Instruement)]]</f>
        <v>Spare_DO_0</v>
      </c>
      <c r="U796" s="136" t="s">
        <v>7</v>
      </c>
      <c r="V796" s="136">
        <f>VLOOKUP(tbl_IO_List[[#This Row],[I/O Type]],tbl_Slot_Group[],2,FALSE)</f>
        <v>2</v>
      </c>
      <c r="W796" s="136">
        <v>0</v>
      </c>
      <c r="X796" s="136" t="str">
        <f>tbl_IO_List[[#This Row],[Chassis]]&amp;"S"&amp;TEXT(tbl_IO_List[[#This Row],[Slot]],"00")</f>
        <v>C5S03</v>
      </c>
      <c r="Y796" s="136" t="str">
        <f>tbl_IO_List[[#This Row],[Chassis]]&amp;"S"&amp;TEXT(tbl_IO_List[[#This Row],[Slot]],"00")&amp;tbl_IO_List[[#This Row],[I/O Type]]&amp;TEXT(tbl_IO_List[[#This Row],[Point]],"00")</f>
        <v>C5S03DO14</v>
      </c>
      <c r="Z796" s="136" t="str">
        <f>tbl_IO_List[[#This Row],[Chassis]]&amp;"S"&amp;TEXT(tbl_IO_List[[#This Row],[Slot]],"00")&amp;","&amp;TEXT(tbl_IO_List[[#This Row],[Point]],"00")</f>
        <v>C5S03,14</v>
      </c>
      <c r="AA796" s="136" t="str">
        <f>VLOOKUP(tbl_IO_List[[#This Row],[Column23]],tbl_RackConfig[],5,FALSE) &amp;"-"&amp;tbl_IO_List[[#This Row],[Point]]</f>
        <v>1756-OB32-14</v>
      </c>
      <c r="AB796" s="136"/>
      <c r="AC796" s="136"/>
      <c r="AD796" s="136" t="str">
        <f>tbl_IO_List[[#This Row],[I/O Type]]</f>
        <v>DO</v>
      </c>
      <c r="AE796" s="136" t="s">
        <v>1336</v>
      </c>
      <c r="AF796" s="136">
        <v>3</v>
      </c>
      <c r="AG796" s="136">
        <v>14</v>
      </c>
      <c r="AH796" s="136"/>
      <c r="AI796" s="136"/>
      <c r="AJ796" s="136">
        <v>0</v>
      </c>
      <c r="AK796" s="136">
        <v>1</v>
      </c>
      <c r="AL796" s="136">
        <v>0</v>
      </c>
      <c r="AM796" s="136">
        <v>0</v>
      </c>
      <c r="AN796" s="136">
        <v>0</v>
      </c>
      <c r="AO796" s="136"/>
      <c r="AP796" s="143" t="e">
        <f>VLOOKUP(tbl_IO_List[[#This Row],[Instruement Tag]],tbl_Instruement_List[],14,FALSE)</f>
        <v>#N/A</v>
      </c>
      <c r="AQ796" s="143" t="str">
        <f>tbl_IO_List[[#This Row],[Chassis]]&amp;"S"&amp;tbl_IO_List[[#This Row],[Slot]]&amp;"-"&amp;tbl_IO_List[[#This Row],[Front Terminal Number]]</f>
        <v>C5S3-</v>
      </c>
      <c r="AR796" s="143"/>
      <c r="AS796" s="136" t="str">
        <f>tbl_IO_List[[#This Row],[Terminal Tagging]]&amp;"-"&amp;tbl_IO_List[[#This Row],[Point-Count]]</f>
        <v>-</v>
      </c>
      <c r="AT796" s="136" t="str">
        <f>tbl_IO_List[[#This Row],[Front Terminal Tagging]]&amp;"/"&amp;tbl_IO_List[[#This Row],[Terminal Tagging-Item]]</f>
        <v>C5S3-/-</v>
      </c>
      <c r="AU796" s="136" t="str">
        <f>tbl_IO_List[[#This Row],[Terminal Tagging-Item]]&amp;"/"&amp;tbl_IO_List[[#This Row],[Front Terminal Tagging]]</f>
        <v>-/C5S3-</v>
      </c>
    </row>
    <row r="797" spans="1:47" hidden="1">
      <c r="A797" s="147" t="s">
        <v>1373</v>
      </c>
      <c r="B797" s="136" t="s">
        <v>382</v>
      </c>
      <c r="C797" s="136" t="str">
        <f>tbl_IO_List[[#This Row],[Column3]]</f>
        <v>C5S03,15</v>
      </c>
      <c r="D797" s="136" t="str">
        <f>tbl_IO_List[[#This Row],[Card]]</f>
        <v>1756-OB32-15</v>
      </c>
      <c r="E797" s="136" t="s">
        <v>1366</v>
      </c>
      <c r="F797" s="136" t="str">
        <f>tbl_IO_List[[#This Row],[Column23]]&amp;"-" &amp;tbl_IO_List[[#This Row],[Column52]]</f>
        <v>C5S03-X1</v>
      </c>
      <c r="G797" s="136" t="str">
        <f>tbl_IO_List[[#This Row],[PLC_Tag]]</f>
        <v>Spare_DO_0</v>
      </c>
      <c r="H797" s="136"/>
      <c r="I797" s="136" t="str">
        <f>VLOOKUP(tbl_IO_List[[#This Row],[Destination]],tbl_Junction[],2,FALSE)</f>
        <v>Slurry - Out Building 2nd Floor</v>
      </c>
      <c r="J797" s="136"/>
      <c r="K797" s="136"/>
      <c r="L797" s="136" t="s">
        <v>411</v>
      </c>
      <c r="M797" s="136" t="e">
        <f>VLOOKUP(tbl_IO_List[[#This Row],[Instruement Tag]],tbl_Instruement_List[],2,FALSE)</f>
        <v>#N/A</v>
      </c>
      <c r="N797" s="136"/>
      <c r="O797" s="136"/>
      <c r="P797" s="136"/>
      <c r="Q797" s="136" t="e">
        <f>VLOOKUP(tbl_IO_List[[#This Row],[Instruement Tag]],tbl_Instruement_List[],6,FALSE)</f>
        <v>#N/A</v>
      </c>
      <c r="R797" s="136"/>
      <c r="S79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797" s="136" t="str">
        <f>tbl_IO_List[[#This Row],[Instruement Tag]]&amp;"_"&amp;tbl_IO_List[[#This Row],[I/O Type]]&amp;"_"&amp;tbl_IO_List[[#This Row],[IO-Point 
(Instruement)]]</f>
        <v>Spare_DO_0</v>
      </c>
      <c r="U797" s="136" t="s">
        <v>7</v>
      </c>
      <c r="V797" s="136">
        <f>VLOOKUP(tbl_IO_List[[#This Row],[I/O Type]],tbl_Slot_Group[],2,FALSE)</f>
        <v>2</v>
      </c>
      <c r="W797" s="136">
        <v>0</v>
      </c>
      <c r="X797" s="136" t="str">
        <f>tbl_IO_List[[#This Row],[Chassis]]&amp;"S"&amp;TEXT(tbl_IO_List[[#This Row],[Slot]],"00")</f>
        <v>C5S03</v>
      </c>
      <c r="Y797" s="136" t="str">
        <f>tbl_IO_List[[#This Row],[Chassis]]&amp;"S"&amp;TEXT(tbl_IO_List[[#This Row],[Slot]],"00")&amp;tbl_IO_List[[#This Row],[I/O Type]]&amp;TEXT(tbl_IO_List[[#This Row],[Point]],"00")</f>
        <v>C5S03DO15</v>
      </c>
      <c r="Z797" s="136" t="str">
        <f>tbl_IO_List[[#This Row],[Chassis]]&amp;"S"&amp;TEXT(tbl_IO_List[[#This Row],[Slot]],"00")&amp;","&amp;TEXT(tbl_IO_List[[#This Row],[Point]],"00")</f>
        <v>C5S03,15</v>
      </c>
      <c r="AA797" s="136" t="str">
        <f>VLOOKUP(tbl_IO_List[[#This Row],[Column23]],tbl_RackConfig[],5,FALSE) &amp;"-"&amp;tbl_IO_List[[#This Row],[Point]]</f>
        <v>1756-OB32-15</v>
      </c>
      <c r="AB797" s="136"/>
      <c r="AC797" s="136"/>
      <c r="AD797" s="136" t="str">
        <f>tbl_IO_List[[#This Row],[I/O Type]]</f>
        <v>DO</v>
      </c>
      <c r="AE797" s="136" t="s">
        <v>1336</v>
      </c>
      <c r="AF797" s="136">
        <v>3</v>
      </c>
      <c r="AG797" s="136">
        <v>15</v>
      </c>
      <c r="AH797" s="136"/>
      <c r="AI797" s="136"/>
      <c r="AJ797" s="136">
        <v>0</v>
      </c>
      <c r="AK797" s="136">
        <v>1</v>
      </c>
      <c r="AL797" s="136">
        <v>0</v>
      </c>
      <c r="AM797" s="136">
        <v>0</v>
      </c>
      <c r="AN797" s="136">
        <v>0</v>
      </c>
      <c r="AO797" s="136"/>
      <c r="AP797" s="143" t="e">
        <f>VLOOKUP(tbl_IO_List[[#This Row],[Instruement Tag]],tbl_Instruement_List[],14,FALSE)</f>
        <v>#N/A</v>
      </c>
      <c r="AQ797" s="143" t="str">
        <f>tbl_IO_List[[#This Row],[Chassis]]&amp;"S"&amp;tbl_IO_List[[#This Row],[Slot]]&amp;"-"&amp;tbl_IO_List[[#This Row],[Front Terminal Number]]</f>
        <v>C5S3-</v>
      </c>
      <c r="AR797" s="143"/>
      <c r="AS797" s="136" t="str">
        <f>tbl_IO_List[[#This Row],[Terminal Tagging]]&amp;"-"&amp;tbl_IO_List[[#This Row],[Point-Count]]</f>
        <v>-</v>
      </c>
      <c r="AT797" s="136" t="str">
        <f>tbl_IO_List[[#This Row],[Front Terminal Tagging]]&amp;"/"&amp;tbl_IO_List[[#This Row],[Terminal Tagging-Item]]</f>
        <v>C5S3-/-</v>
      </c>
      <c r="AU797" s="136" t="str">
        <f>tbl_IO_List[[#This Row],[Terminal Tagging-Item]]&amp;"/"&amp;tbl_IO_List[[#This Row],[Front Terminal Tagging]]</f>
        <v>-/C5S3-</v>
      </c>
    </row>
    <row r="798" spans="1:47" hidden="1">
      <c r="A798" s="147" t="s">
        <v>1373</v>
      </c>
      <c r="B798" s="136" t="s">
        <v>382</v>
      </c>
      <c r="C798" s="136" t="str">
        <f>tbl_IO_List[[#This Row],[Column3]]</f>
        <v>C5S03,16</v>
      </c>
      <c r="D798" s="136" t="str">
        <f>tbl_IO_List[[#This Row],[Card]]</f>
        <v>1756-OB32-16</v>
      </c>
      <c r="E798" s="136" t="s">
        <v>1372</v>
      </c>
      <c r="F798" s="136" t="str">
        <f>tbl_IO_List[[#This Row],[Column23]]&amp;"-" &amp;tbl_IO_List[[#This Row],[Column52]]</f>
        <v>C5S03-X2</v>
      </c>
      <c r="G798" s="136" t="str">
        <f>tbl_IO_List[[#This Row],[PLC_Tag]]</f>
        <v>Spare_DO_0</v>
      </c>
      <c r="H798" s="136"/>
      <c r="I798" s="136" t="str">
        <f>VLOOKUP(tbl_IO_List[[#This Row],[Destination]],tbl_Junction[],2,FALSE)</f>
        <v>Slurry - Out Building 2nd Floor</v>
      </c>
      <c r="J798" s="136"/>
      <c r="K798" s="136"/>
      <c r="L798" s="136" t="s">
        <v>411</v>
      </c>
      <c r="M798" s="136" t="e">
        <f>VLOOKUP(tbl_IO_List[[#This Row],[Instruement Tag]],tbl_Instruement_List[],2,FALSE)</f>
        <v>#N/A</v>
      </c>
      <c r="N798" s="136"/>
      <c r="O798" s="136"/>
      <c r="P798" s="136"/>
      <c r="Q798" s="136" t="e">
        <f>VLOOKUP(tbl_IO_List[[#This Row],[Instruement Tag]],tbl_Instruement_List[],6,FALSE)</f>
        <v>#N/A</v>
      </c>
      <c r="R798" s="136"/>
      <c r="S79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798" s="136" t="str">
        <f>tbl_IO_List[[#This Row],[Instruement Tag]]&amp;"_"&amp;tbl_IO_List[[#This Row],[I/O Type]]&amp;"_"&amp;tbl_IO_List[[#This Row],[IO-Point 
(Instruement)]]</f>
        <v>Spare_DO_0</v>
      </c>
      <c r="U798" s="136" t="s">
        <v>7</v>
      </c>
      <c r="V798" s="136">
        <f>VLOOKUP(tbl_IO_List[[#This Row],[I/O Type]],tbl_Slot_Group[],2,FALSE)</f>
        <v>2</v>
      </c>
      <c r="W798" s="136">
        <v>0</v>
      </c>
      <c r="X798" s="136" t="str">
        <f>tbl_IO_List[[#This Row],[Chassis]]&amp;"S"&amp;TEXT(tbl_IO_List[[#This Row],[Slot]],"00")</f>
        <v>C5S03</v>
      </c>
      <c r="Y798" s="136" t="str">
        <f>tbl_IO_List[[#This Row],[Chassis]]&amp;"S"&amp;TEXT(tbl_IO_List[[#This Row],[Slot]],"00")&amp;tbl_IO_List[[#This Row],[I/O Type]]&amp;TEXT(tbl_IO_List[[#This Row],[Point]],"00")</f>
        <v>C5S03DO16</v>
      </c>
      <c r="Z798" s="136" t="str">
        <f>tbl_IO_List[[#This Row],[Chassis]]&amp;"S"&amp;TEXT(tbl_IO_List[[#This Row],[Slot]],"00")&amp;","&amp;TEXT(tbl_IO_List[[#This Row],[Point]],"00")</f>
        <v>C5S03,16</v>
      </c>
      <c r="AA798" s="136" t="str">
        <f>VLOOKUP(tbl_IO_List[[#This Row],[Column23]],tbl_RackConfig[],5,FALSE) &amp;"-"&amp;tbl_IO_List[[#This Row],[Point]]</f>
        <v>1756-OB32-16</v>
      </c>
      <c r="AB798" s="136"/>
      <c r="AC798" s="136"/>
      <c r="AD798" s="136" t="str">
        <f>tbl_IO_List[[#This Row],[I/O Type]]</f>
        <v>DO</v>
      </c>
      <c r="AE798" s="136" t="s">
        <v>1336</v>
      </c>
      <c r="AF798" s="136">
        <v>3</v>
      </c>
      <c r="AG798" s="136">
        <v>16</v>
      </c>
      <c r="AH798" s="136"/>
      <c r="AI798" s="136"/>
      <c r="AJ798" s="136">
        <v>0</v>
      </c>
      <c r="AK798" s="136">
        <v>1</v>
      </c>
      <c r="AL798" s="136">
        <v>0</v>
      </c>
      <c r="AM798" s="136">
        <v>0</v>
      </c>
      <c r="AN798" s="136">
        <v>0</v>
      </c>
      <c r="AO798" s="136"/>
      <c r="AP798" s="143" t="e">
        <f>VLOOKUP(tbl_IO_List[[#This Row],[Instruement Tag]],tbl_Instruement_List[],14,FALSE)</f>
        <v>#N/A</v>
      </c>
      <c r="AQ798" s="143" t="str">
        <f>tbl_IO_List[[#This Row],[Chassis]]&amp;"S"&amp;tbl_IO_List[[#This Row],[Slot]]&amp;"-"&amp;tbl_IO_List[[#This Row],[Front Terminal Number]]</f>
        <v>C5S3-</v>
      </c>
      <c r="AR798" s="143"/>
      <c r="AS798" s="136" t="str">
        <f>tbl_IO_List[[#This Row],[Terminal Tagging]]&amp;"-"&amp;tbl_IO_List[[#This Row],[Point-Count]]</f>
        <v>-</v>
      </c>
      <c r="AT798" s="136" t="str">
        <f>tbl_IO_List[[#This Row],[Front Terminal Tagging]]&amp;"/"&amp;tbl_IO_List[[#This Row],[Terminal Tagging-Item]]</f>
        <v>C5S3-/-</v>
      </c>
      <c r="AU798" s="136" t="str">
        <f>tbl_IO_List[[#This Row],[Terminal Tagging-Item]]&amp;"/"&amp;tbl_IO_List[[#This Row],[Front Terminal Tagging]]</f>
        <v>-/C5S3-</v>
      </c>
    </row>
    <row r="799" spans="1:47" hidden="1">
      <c r="A799" s="147" t="s">
        <v>1373</v>
      </c>
      <c r="B799" s="136" t="s">
        <v>382</v>
      </c>
      <c r="C799" s="136" t="str">
        <f>tbl_IO_List[[#This Row],[Column3]]</f>
        <v>C5S03,17</v>
      </c>
      <c r="D799" s="136" t="str">
        <f>tbl_IO_List[[#This Row],[Card]]</f>
        <v>1756-OB32-17</v>
      </c>
      <c r="E799" s="136" t="s">
        <v>1372</v>
      </c>
      <c r="F799" s="136" t="str">
        <f>tbl_IO_List[[#This Row],[Column23]]&amp;"-" &amp;tbl_IO_List[[#This Row],[Column52]]</f>
        <v>C5S03-X2</v>
      </c>
      <c r="G799" s="136" t="str">
        <f>tbl_IO_List[[#This Row],[PLC_Tag]]</f>
        <v>Spare_DO_0</v>
      </c>
      <c r="H799" s="136"/>
      <c r="I799" s="136" t="str">
        <f>VLOOKUP(tbl_IO_List[[#This Row],[Destination]],tbl_Junction[],2,FALSE)</f>
        <v>Slurry - Out Building 2nd Floor</v>
      </c>
      <c r="J799" s="136"/>
      <c r="K799" s="136"/>
      <c r="L799" s="136" t="s">
        <v>411</v>
      </c>
      <c r="M799" s="136" t="e">
        <f>VLOOKUP(tbl_IO_List[[#This Row],[Instruement Tag]],tbl_Instruement_List[],2,FALSE)</f>
        <v>#N/A</v>
      </c>
      <c r="N799" s="136"/>
      <c r="O799" s="136"/>
      <c r="P799" s="136"/>
      <c r="Q799" s="136" t="e">
        <f>VLOOKUP(tbl_IO_List[[#This Row],[Instruement Tag]],tbl_Instruement_List[],6,FALSE)</f>
        <v>#N/A</v>
      </c>
      <c r="R799" s="136"/>
      <c r="S79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799" s="136" t="str">
        <f>tbl_IO_List[[#This Row],[Instruement Tag]]&amp;"_"&amp;tbl_IO_List[[#This Row],[I/O Type]]&amp;"_"&amp;tbl_IO_List[[#This Row],[IO-Point 
(Instruement)]]</f>
        <v>Spare_DO_0</v>
      </c>
      <c r="U799" s="136" t="s">
        <v>7</v>
      </c>
      <c r="V799" s="136">
        <f>VLOOKUP(tbl_IO_List[[#This Row],[I/O Type]],tbl_Slot_Group[],2,FALSE)</f>
        <v>2</v>
      </c>
      <c r="W799" s="136">
        <v>0</v>
      </c>
      <c r="X799" s="136" t="str">
        <f>tbl_IO_List[[#This Row],[Chassis]]&amp;"S"&amp;TEXT(tbl_IO_List[[#This Row],[Slot]],"00")</f>
        <v>C5S03</v>
      </c>
      <c r="Y799" s="136" t="str">
        <f>tbl_IO_List[[#This Row],[Chassis]]&amp;"S"&amp;TEXT(tbl_IO_List[[#This Row],[Slot]],"00")&amp;tbl_IO_List[[#This Row],[I/O Type]]&amp;TEXT(tbl_IO_List[[#This Row],[Point]],"00")</f>
        <v>C5S03DO17</v>
      </c>
      <c r="Z799" s="136" t="str">
        <f>tbl_IO_List[[#This Row],[Chassis]]&amp;"S"&amp;TEXT(tbl_IO_List[[#This Row],[Slot]],"00")&amp;","&amp;TEXT(tbl_IO_List[[#This Row],[Point]],"00")</f>
        <v>C5S03,17</v>
      </c>
      <c r="AA799" s="136" t="str">
        <f>VLOOKUP(tbl_IO_List[[#This Row],[Column23]],tbl_RackConfig[],5,FALSE) &amp;"-"&amp;tbl_IO_List[[#This Row],[Point]]</f>
        <v>1756-OB32-17</v>
      </c>
      <c r="AB799" s="136"/>
      <c r="AC799" s="136"/>
      <c r="AD799" s="136" t="str">
        <f>tbl_IO_List[[#This Row],[I/O Type]]</f>
        <v>DO</v>
      </c>
      <c r="AE799" s="136" t="s">
        <v>1336</v>
      </c>
      <c r="AF799" s="136">
        <v>3</v>
      </c>
      <c r="AG799" s="136">
        <v>17</v>
      </c>
      <c r="AH799" s="136"/>
      <c r="AI799" s="136"/>
      <c r="AJ799" s="136">
        <v>0</v>
      </c>
      <c r="AK799" s="136">
        <v>1</v>
      </c>
      <c r="AL799" s="136">
        <v>0</v>
      </c>
      <c r="AM799" s="136">
        <v>0</v>
      </c>
      <c r="AN799" s="136">
        <v>0</v>
      </c>
      <c r="AO799" s="136"/>
      <c r="AP799" s="143" t="e">
        <f>VLOOKUP(tbl_IO_List[[#This Row],[Instruement Tag]],tbl_Instruement_List[],14,FALSE)</f>
        <v>#N/A</v>
      </c>
      <c r="AQ799" s="143" t="str">
        <f>tbl_IO_List[[#This Row],[Chassis]]&amp;"S"&amp;tbl_IO_List[[#This Row],[Slot]]&amp;"-"&amp;tbl_IO_List[[#This Row],[Front Terminal Number]]</f>
        <v>C5S3-</v>
      </c>
      <c r="AR799" s="143"/>
      <c r="AS799" s="136" t="str">
        <f>tbl_IO_List[[#This Row],[Terminal Tagging]]&amp;"-"&amp;tbl_IO_List[[#This Row],[Point-Count]]</f>
        <v>-</v>
      </c>
      <c r="AT799" s="136" t="str">
        <f>tbl_IO_List[[#This Row],[Front Terminal Tagging]]&amp;"/"&amp;tbl_IO_List[[#This Row],[Terminal Tagging-Item]]</f>
        <v>C5S3-/-</v>
      </c>
      <c r="AU799" s="136" t="str">
        <f>tbl_IO_List[[#This Row],[Terminal Tagging-Item]]&amp;"/"&amp;tbl_IO_List[[#This Row],[Front Terminal Tagging]]</f>
        <v>-/C5S3-</v>
      </c>
    </row>
    <row r="800" spans="1:47" hidden="1">
      <c r="A800" s="147" t="s">
        <v>1373</v>
      </c>
      <c r="B800" s="136" t="s">
        <v>382</v>
      </c>
      <c r="C800" s="136" t="str">
        <f>tbl_IO_List[[#This Row],[Column3]]</f>
        <v>C5S03,18</v>
      </c>
      <c r="D800" s="136" t="str">
        <f>tbl_IO_List[[#This Row],[Card]]</f>
        <v>1756-OB32-18</v>
      </c>
      <c r="E800" s="136" t="s">
        <v>1372</v>
      </c>
      <c r="F800" s="136" t="str">
        <f>tbl_IO_List[[#This Row],[Column23]]&amp;"-" &amp;tbl_IO_List[[#This Row],[Column52]]</f>
        <v>C5S03-X2</v>
      </c>
      <c r="G800" s="136" t="str">
        <f>tbl_IO_List[[#This Row],[PLC_Tag]]</f>
        <v>Spare_DO_0</v>
      </c>
      <c r="H800" s="136"/>
      <c r="I800" s="136" t="str">
        <f>VLOOKUP(tbl_IO_List[[#This Row],[Destination]],tbl_Junction[],2,FALSE)</f>
        <v>Slurry - Out Building 2nd Floor</v>
      </c>
      <c r="J800" s="136"/>
      <c r="K800" s="136"/>
      <c r="L800" s="136" t="s">
        <v>411</v>
      </c>
      <c r="M800" s="136" t="e">
        <f>VLOOKUP(tbl_IO_List[[#This Row],[Instruement Tag]],tbl_Instruement_List[],2,FALSE)</f>
        <v>#N/A</v>
      </c>
      <c r="N800" s="136"/>
      <c r="O800" s="136"/>
      <c r="P800" s="136"/>
      <c r="Q800" s="136" t="e">
        <f>VLOOKUP(tbl_IO_List[[#This Row],[Instruement Tag]],tbl_Instruement_List[],6,FALSE)</f>
        <v>#N/A</v>
      </c>
      <c r="R800" s="136"/>
      <c r="S80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800" s="136" t="str">
        <f>tbl_IO_List[[#This Row],[Instruement Tag]]&amp;"_"&amp;tbl_IO_List[[#This Row],[I/O Type]]&amp;"_"&amp;tbl_IO_List[[#This Row],[IO-Point 
(Instruement)]]</f>
        <v>Spare_DO_0</v>
      </c>
      <c r="U800" s="136" t="s">
        <v>7</v>
      </c>
      <c r="V800" s="136">
        <f>VLOOKUP(tbl_IO_List[[#This Row],[I/O Type]],tbl_Slot_Group[],2,FALSE)</f>
        <v>2</v>
      </c>
      <c r="W800" s="136">
        <v>0</v>
      </c>
      <c r="X800" s="136" t="str">
        <f>tbl_IO_List[[#This Row],[Chassis]]&amp;"S"&amp;TEXT(tbl_IO_List[[#This Row],[Slot]],"00")</f>
        <v>C5S03</v>
      </c>
      <c r="Y800" s="136" t="str">
        <f>tbl_IO_List[[#This Row],[Chassis]]&amp;"S"&amp;TEXT(tbl_IO_List[[#This Row],[Slot]],"00")&amp;tbl_IO_List[[#This Row],[I/O Type]]&amp;TEXT(tbl_IO_List[[#This Row],[Point]],"00")</f>
        <v>C5S03DO18</v>
      </c>
      <c r="Z800" s="136" t="str">
        <f>tbl_IO_List[[#This Row],[Chassis]]&amp;"S"&amp;TEXT(tbl_IO_List[[#This Row],[Slot]],"00")&amp;","&amp;TEXT(tbl_IO_List[[#This Row],[Point]],"00")</f>
        <v>C5S03,18</v>
      </c>
      <c r="AA800" s="136" t="str">
        <f>VLOOKUP(tbl_IO_List[[#This Row],[Column23]],tbl_RackConfig[],5,FALSE) &amp;"-"&amp;tbl_IO_List[[#This Row],[Point]]</f>
        <v>1756-OB32-18</v>
      </c>
      <c r="AB800" s="136"/>
      <c r="AC800" s="136"/>
      <c r="AD800" s="136" t="str">
        <f>tbl_IO_List[[#This Row],[I/O Type]]</f>
        <v>DO</v>
      </c>
      <c r="AE800" s="136" t="s">
        <v>1336</v>
      </c>
      <c r="AF800" s="136">
        <v>3</v>
      </c>
      <c r="AG800" s="136">
        <v>18</v>
      </c>
      <c r="AH800" s="136"/>
      <c r="AI800" s="136"/>
      <c r="AJ800" s="136">
        <v>0</v>
      </c>
      <c r="AK800" s="136">
        <v>1</v>
      </c>
      <c r="AL800" s="136">
        <v>0</v>
      </c>
      <c r="AM800" s="136">
        <v>0</v>
      </c>
      <c r="AN800" s="136">
        <v>0</v>
      </c>
      <c r="AO800" s="136"/>
      <c r="AP800" s="143" t="e">
        <f>VLOOKUP(tbl_IO_List[[#This Row],[Instruement Tag]],tbl_Instruement_List[],14,FALSE)</f>
        <v>#N/A</v>
      </c>
      <c r="AQ800" s="143" t="str">
        <f>tbl_IO_List[[#This Row],[Chassis]]&amp;"S"&amp;tbl_IO_List[[#This Row],[Slot]]&amp;"-"&amp;tbl_IO_List[[#This Row],[Front Terminal Number]]</f>
        <v>C5S3-</v>
      </c>
      <c r="AR800" s="143"/>
      <c r="AS800" s="136" t="str">
        <f>tbl_IO_List[[#This Row],[Terminal Tagging]]&amp;"-"&amp;tbl_IO_List[[#This Row],[Point-Count]]</f>
        <v>-</v>
      </c>
      <c r="AT800" s="136" t="str">
        <f>tbl_IO_List[[#This Row],[Front Terminal Tagging]]&amp;"/"&amp;tbl_IO_List[[#This Row],[Terminal Tagging-Item]]</f>
        <v>C5S3-/-</v>
      </c>
      <c r="AU800" s="136" t="str">
        <f>tbl_IO_List[[#This Row],[Terminal Tagging-Item]]&amp;"/"&amp;tbl_IO_List[[#This Row],[Front Terminal Tagging]]</f>
        <v>-/C5S3-</v>
      </c>
    </row>
    <row r="801" spans="1:47" hidden="1">
      <c r="A801" s="147" t="s">
        <v>1373</v>
      </c>
      <c r="B801" s="136" t="s">
        <v>382</v>
      </c>
      <c r="C801" s="136" t="str">
        <f>tbl_IO_List[[#This Row],[Column3]]</f>
        <v>C5S03,19</v>
      </c>
      <c r="D801" s="136" t="str">
        <f>tbl_IO_List[[#This Row],[Card]]</f>
        <v>1756-OB32-19</v>
      </c>
      <c r="E801" s="136" t="s">
        <v>1372</v>
      </c>
      <c r="F801" s="136" t="str">
        <f>tbl_IO_List[[#This Row],[Column23]]&amp;"-" &amp;tbl_IO_List[[#This Row],[Column52]]</f>
        <v>C5S03-X2</v>
      </c>
      <c r="G801" s="136" t="str">
        <f>tbl_IO_List[[#This Row],[PLC_Tag]]</f>
        <v>Spare_DO_0</v>
      </c>
      <c r="H801" s="136"/>
      <c r="I801" s="136" t="str">
        <f>VLOOKUP(tbl_IO_List[[#This Row],[Destination]],tbl_Junction[],2,FALSE)</f>
        <v>Slurry - Out Building 2nd Floor</v>
      </c>
      <c r="J801" s="136"/>
      <c r="K801" s="136"/>
      <c r="L801" s="136" t="s">
        <v>411</v>
      </c>
      <c r="M801" s="136" t="e">
        <f>VLOOKUP(tbl_IO_List[[#This Row],[Instruement Tag]],tbl_Instruement_List[],2,FALSE)</f>
        <v>#N/A</v>
      </c>
      <c r="N801" s="136"/>
      <c r="O801" s="136"/>
      <c r="P801" s="136"/>
      <c r="Q801" s="136" t="e">
        <f>VLOOKUP(tbl_IO_List[[#This Row],[Instruement Tag]],tbl_Instruement_List[],6,FALSE)</f>
        <v>#N/A</v>
      </c>
      <c r="R801" s="136"/>
      <c r="S80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801" s="136" t="str">
        <f>tbl_IO_List[[#This Row],[Instruement Tag]]&amp;"_"&amp;tbl_IO_List[[#This Row],[I/O Type]]&amp;"_"&amp;tbl_IO_List[[#This Row],[IO-Point 
(Instruement)]]</f>
        <v>Spare_DO_0</v>
      </c>
      <c r="U801" s="136" t="s">
        <v>7</v>
      </c>
      <c r="V801" s="136">
        <f>VLOOKUP(tbl_IO_List[[#This Row],[I/O Type]],tbl_Slot_Group[],2,FALSE)</f>
        <v>2</v>
      </c>
      <c r="W801" s="136">
        <v>0</v>
      </c>
      <c r="X801" s="136" t="str">
        <f>tbl_IO_List[[#This Row],[Chassis]]&amp;"S"&amp;TEXT(tbl_IO_List[[#This Row],[Slot]],"00")</f>
        <v>C5S03</v>
      </c>
      <c r="Y801" s="136" t="str">
        <f>tbl_IO_List[[#This Row],[Chassis]]&amp;"S"&amp;TEXT(tbl_IO_List[[#This Row],[Slot]],"00")&amp;tbl_IO_List[[#This Row],[I/O Type]]&amp;TEXT(tbl_IO_List[[#This Row],[Point]],"00")</f>
        <v>C5S03DO19</v>
      </c>
      <c r="Z801" s="136" t="str">
        <f>tbl_IO_List[[#This Row],[Chassis]]&amp;"S"&amp;TEXT(tbl_IO_List[[#This Row],[Slot]],"00")&amp;","&amp;TEXT(tbl_IO_List[[#This Row],[Point]],"00")</f>
        <v>C5S03,19</v>
      </c>
      <c r="AA801" s="136" t="str">
        <f>VLOOKUP(tbl_IO_List[[#This Row],[Column23]],tbl_RackConfig[],5,FALSE) &amp;"-"&amp;tbl_IO_List[[#This Row],[Point]]</f>
        <v>1756-OB32-19</v>
      </c>
      <c r="AB801" s="136"/>
      <c r="AC801" s="136"/>
      <c r="AD801" s="136" t="str">
        <f>tbl_IO_List[[#This Row],[I/O Type]]</f>
        <v>DO</v>
      </c>
      <c r="AE801" s="136" t="s">
        <v>1336</v>
      </c>
      <c r="AF801" s="136">
        <v>3</v>
      </c>
      <c r="AG801" s="136">
        <v>19</v>
      </c>
      <c r="AH801" s="136"/>
      <c r="AI801" s="136"/>
      <c r="AJ801" s="136">
        <v>0</v>
      </c>
      <c r="AK801" s="136">
        <v>1</v>
      </c>
      <c r="AL801" s="136">
        <v>0</v>
      </c>
      <c r="AM801" s="136">
        <v>0</v>
      </c>
      <c r="AN801" s="136">
        <v>0</v>
      </c>
      <c r="AO801" s="136"/>
      <c r="AP801" s="143" t="e">
        <f>VLOOKUP(tbl_IO_List[[#This Row],[Instruement Tag]],tbl_Instruement_List[],14,FALSE)</f>
        <v>#N/A</v>
      </c>
      <c r="AQ801" s="143" t="str">
        <f>tbl_IO_List[[#This Row],[Chassis]]&amp;"S"&amp;tbl_IO_List[[#This Row],[Slot]]&amp;"-"&amp;tbl_IO_List[[#This Row],[Front Terminal Number]]</f>
        <v>C5S3-</v>
      </c>
      <c r="AR801" s="143"/>
      <c r="AS801" s="136" t="str">
        <f>tbl_IO_List[[#This Row],[Terminal Tagging]]&amp;"-"&amp;tbl_IO_List[[#This Row],[Point-Count]]</f>
        <v>-</v>
      </c>
      <c r="AT801" s="136" t="str">
        <f>tbl_IO_List[[#This Row],[Front Terminal Tagging]]&amp;"/"&amp;tbl_IO_List[[#This Row],[Terminal Tagging-Item]]</f>
        <v>C5S3-/-</v>
      </c>
      <c r="AU801" s="136" t="str">
        <f>tbl_IO_List[[#This Row],[Terminal Tagging-Item]]&amp;"/"&amp;tbl_IO_List[[#This Row],[Front Terminal Tagging]]</f>
        <v>-/C5S3-</v>
      </c>
    </row>
    <row r="802" spans="1:47" hidden="1">
      <c r="A802" s="147" t="s">
        <v>1373</v>
      </c>
      <c r="B802" s="136" t="s">
        <v>382</v>
      </c>
      <c r="C802" s="136" t="str">
        <f>tbl_IO_List[[#This Row],[Column3]]</f>
        <v>C5S03,20</v>
      </c>
      <c r="D802" s="136" t="str">
        <f>tbl_IO_List[[#This Row],[Card]]</f>
        <v>1756-OB32-20</v>
      </c>
      <c r="E802" s="136" t="s">
        <v>1372</v>
      </c>
      <c r="F802" s="136" t="str">
        <f>tbl_IO_List[[#This Row],[Column23]]&amp;"-" &amp;tbl_IO_List[[#This Row],[Column52]]</f>
        <v>C5S03-X2</v>
      </c>
      <c r="G802" s="136" t="str">
        <f>tbl_IO_List[[#This Row],[PLC_Tag]]</f>
        <v>Spare_DO_0</v>
      </c>
      <c r="H802" s="136"/>
      <c r="I802" s="136" t="str">
        <f>VLOOKUP(tbl_IO_List[[#This Row],[Destination]],tbl_Junction[],2,FALSE)</f>
        <v>Slurry - Out Building 2nd Floor</v>
      </c>
      <c r="J802" s="136"/>
      <c r="K802" s="136"/>
      <c r="L802" s="136" t="s">
        <v>411</v>
      </c>
      <c r="M802" s="136" t="e">
        <f>VLOOKUP(tbl_IO_List[[#This Row],[Instruement Tag]],tbl_Instruement_List[],2,FALSE)</f>
        <v>#N/A</v>
      </c>
      <c r="N802" s="136"/>
      <c r="O802" s="136"/>
      <c r="P802" s="136"/>
      <c r="Q802" s="136" t="e">
        <f>VLOOKUP(tbl_IO_List[[#This Row],[Instruement Tag]],tbl_Instruement_List[],6,FALSE)</f>
        <v>#N/A</v>
      </c>
      <c r="R802" s="136"/>
      <c r="S80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802" s="136" t="str">
        <f>tbl_IO_List[[#This Row],[Instruement Tag]]&amp;"_"&amp;tbl_IO_List[[#This Row],[I/O Type]]&amp;"_"&amp;tbl_IO_List[[#This Row],[IO-Point 
(Instruement)]]</f>
        <v>Spare_DO_0</v>
      </c>
      <c r="U802" s="136" t="s">
        <v>7</v>
      </c>
      <c r="V802" s="136">
        <f>VLOOKUP(tbl_IO_List[[#This Row],[I/O Type]],tbl_Slot_Group[],2,FALSE)</f>
        <v>2</v>
      </c>
      <c r="W802" s="136">
        <v>0</v>
      </c>
      <c r="X802" s="136" t="str">
        <f>tbl_IO_List[[#This Row],[Chassis]]&amp;"S"&amp;TEXT(tbl_IO_List[[#This Row],[Slot]],"00")</f>
        <v>C5S03</v>
      </c>
      <c r="Y802" s="136" t="str">
        <f>tbl_IO_List[[#This Row],[Chassis]]&amp;"S"&amp;TEXT(tbl_IO_List[[#This Row],[Slot]],"00")&amp;tbl_IO_List[[#This Row],[I/O Type]]&amp;TEXT(tbl_IO_List[[#This Row],[Point]],"00")</f>
        <v>C5S03DO20</v>
      </c>
      <c r="Z802" s="136" t="str">
        <f>tbl_IO_List[[#This Row],[Chassis]]&amp;"S"&amp;TEXT(tbl_IO_List[[#This Row],[Slot]],"00")&amp;","&amp;TEXT(tbl_IO_List[[#This Row],[Point]],"00")</f>
        <v>C5S03,20</v>
      </c>
      <c r="AA802" s="136" t="str">
        <f>VLOOKUP(tbl_IO_List[[#This Row],[Column23]],tbl_RackConfig[],5,FALSE) &amp;"-"&amp;tbl_IO_List[[#This Row],[Point]]</f>
        <v>1756-OB32-20</v>
      </c>
      <c r="AB802" s="136"/>
      <c r="AC802" s="136"/>
      <c r="AD802" s="136" t="str">
        <f>tbl_IO_List[[#This Row],[I/O Type]]</f>
        <v>DO</v>
      </c>
      <c r="AE802" s="136" t="s">
        <v>1336</v>
      </c>
      <c r="AF802" s="136">
        <v>3</v>
      </c>
      <c r="AG802" s="136">
        <v>20</v>
      </c>
      <c r="AH802" s="136"/>
      <c r="AI802" s="136"/>
      <c r="AJ802" s="136">
        <v>0</v>
      </c>
      <c r="AK802" s="136">
        <v>1</v>
      </c>
      <c r="AL802" s="136">
        <v>0</v>
      </c>
      <c r="AM802" s="136">
        <v>0</v>
      </c>
      <c r="AN802" s="136">
        <v>0</v>
      </c>
      <c r="AO802" s="136"/>
      <c r="AP802" s="143" t="e">
        <f>VLOOKUP(tbl_IO_List[[#This Row],[Instruement Tag]],tbl_Instruement_List[],14,FALSE)</f>
        <v>#N/A</v>
      </c>
      <c r="AQ802" s="143" t="str">
        <f>tbl_IO_List[[#This Row],[Chassis]]&amp;"S"&amp;tbl_IO_List[[#This Row],[Slot]]&amp;"-"&amp;tbl_IO_List[[#This Row],[Front Terminal Number]]</f>
        <v>C5S3-</v>
      </c>
      <c r="AR802" s="143"/>
      <c r="AS802" s="136" t="str">
        <f>tbl_IO_List[[#This Row],[Terminal Tagging]]&amp;"-"&amp;tbl_IO_List[[#This Row],[Point-Count]]</f>
        <v>-</v>
      </c>
      <c r="AT802" s="136" t="str">
        <f>tbl_IO_List[[#This Row],[Front Terminal Tagging]]&amp;"/"&amp;tbl_IO_List[[#This Row],[Terminal Tagging-Item]]</f>
        <v>C5S3-/-</v>
      </c>
      <c r="AU802" s="136" t="str">
        <f>tbl_IO_List[[#This Row],[Terminal Tagging-Item]]&amp;"/"&amp;tbl_IO_List[[#This Row],[Front Terminal Tagging]]</f>
        <v>-/C5S3-</v>
      </c>
    </row>
    <row r="803" spans="1:47" hidden="1">
      <c r="A803" s="147" t="s">
        <v>1373</v>
      </c>
      <c r="B803" s="136" t="s">
        <v>382</v>
      </c>
      <c r="C803" s="136" t="str">
        <f>tbl_IO_List[[#This Row],[Column3]]</f>
        <v>C5S03,21</v>
      </c>
      <c r="D803" s="136" t="str">
        <f>tbl_IO_List[[#This Row],[Card]]</f>
        <v>1756-OB32-21</v>
      </c>
      <c r="E803" s="136" t="s">
        <v>1372</v>
      </c>
      <c r="F803" s="136" t="str">
        <f>tbl_IO_List[[#This Row],[Column23]]&amp;"-" &amp;tbl_IO_List[[#This Row],[Column52]]</f>
        <v>C5S03-X2</v>
      </c>
      <c r="G803" s="136" t="str">
        <f>tbl_IO_List[[#This Row],[PLC_Tag]]</f>
        <v>Spare_DO_0</v>
      </c>
      <c r="H803" s="136"/>
      <c r="I803" s="136" t="str">
        <f>VLOOKUP(tbl_IO_List[[#This Row],[Destination]],tbl_Junction[],2,FALSE)</f>
        <v>Slurry - Out Building 2nd Floor</v>
      </c>
      <c r="J803" s="136"/>
      <c r="K803" s="136"/>
      <c r="L803" s="136" t="s">
        <v>411</v>
      </c>
      <c r="M803" s="136" t="e">
        <f>VLOOKUP(tbl_IO_List[[#This Row],[Instruement Tag]],tbl_Instruement_List[],2,FALSE)</f>
        <v>#N/A</v>
      </c>
      <c r="N803" s="136"/>
      <c r="O803" s="136"/>
      <c r="P803" s="136"/>
      <c r="Q803" s="136" t="e">
        <f>VLOOKUP(tbl_IO_List[[#This Row],[Instruement Tag]],tbl_Instruement_List[],6,FALSE)</f>
        <v>#N/A</v>
      </c>
      <c r="R803" s="136"/>
      <c r="S80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803" s="136" t="str">
        <f>tbl_IO_List[[#This Row],[Instruement Tag]]&amp;"_"&amp;tbl_IO_List[[#This Row],[I/O Type]]&amp;"_"&amp;tbl_IO_List[[#This Row],[IO-Point 
(Instruement)]]</f>
        <v>Spare_DO_0</v>
      </c>
      <c r="U803" s="136" t="s">
        <v>7</v>
      </c>
      <c r="V803" s="136">
        <f>VLOOKUP(tbl_IO_List[[#This Row],[I/O Type]],tbl_Slot_Group[],2,FALSE)</f>
        <v>2</v>
      </c>
      <c r="W803" s="136">
        <v>0</v>
      </c>
      <c r="X803" s="136" t="str">
        <f>tbl_IO_List[[#This Row],[Chassis]]&amp;"S"&amp;TEXT(tbl_IO_List[[#This Row],[Slot]],"00")</f>
        <v>C5S03</v>
      </c>
      <c r="Y803" s="136" t="str">
        <f>tbl_IO_List[[#This Row],[Chassis]]&amp;"S"&amp;TEXT(tbl_IO_List[[#This Row],[Slot]],"00")&amp;tbl_IO_List[[#This Row],[I/O Type]]&amp;TEXT(tbl_IO_List[[#This Row],[Point]],"00")</f>
        <v>C5S03DO21</v>
      </c>
      <c r="Z803" s="136" t="str">
        <f>tbl_IO_List[[#This Row],[Chassis]]&amp;"S"&amp;TEXT(tbl_IO_List[[#This Row],[Slot]],"00")&amp;","&amp;TEXT(tbl_IO_List[[#This Row],[Point]],"00")</f>
        <v>C5S03,21</v>
      </c>
      <c r="AA803" s="136" t="str">
        <f>VLOOKUP(tbl_IO_List[[#This Row],[Column23]],tbl_RackConfig[],5,FALSE) &amp;"-"&amp;tbl_IO_List[[#This Row],[Point]]</f>
        <v>1756-OB32-21</v>
      </c>
      <c r="AB803" s="136"/>
      <c r="AC803" s="136"/>
      <c r="AD803" s="136" t="str">
        <f>tbl_IO_List[[#This Row],[I/O Type]]</f>
        <v>DO</v>
      </c>
      <c r="AE803" s="136" t="s">
        <v>1336</v>
      </c>
      <c r="AF803" s="136">
        <v>3</v>
      </c>
      <c r="AG803" s="136">
        <v>21</v>
      </c>
      <c r="AH803" s="136"/>
      <c r="AI803" s="136"/>
      <c r="AJ803" s="136">
        <v>0</v>
      </c>
      <c r="AK803" s="136">
        <v>1</v>
      </c>
      <c r="AL803" s="136">
        <v>0</v>
      </c>
      <c r="AM803" s="136">
        <v>0</v>
      </c>
      <c r="AN803" s="136">
        <v>0</v>
      </c>
      <c r="AO803" s="136"/>
      <c r="AP803" s="143" t="e">
        <f>VLOOKUP(tbl_IO_List[[#This Row],[Instruement Tag]],tbl_Instruement_List[],14,FALSE)</f>
        <v>#N/A</v>
      </c>
      <c r="AQ803" s="143" t="str">
        <f>tbl_IO_List[[#This Row],[Chassis]]&amp;"S"&amp;tbl_IO_List[[#This Row],[Slot]]&amp;"-"&amp;tbl_IO_List[[#This Row],[Front Terminal Number]]</f>
        <v>C5S3-</v>
      </c>
      <c r="AR803" s="143"/>
      <c r="AS803" s="136" t="str">
        <f>tbl_IO_List[[#This Row],[Terminal Tagging]]&amp;"-"&amp;tbl_IO_List[[#This Row],[Point-Count]]</f>
        <v>-</v>
      </c>
      <c r="AT803" s="136" t="str">
        <f>tbl_IO_List[[#This Row],[Front Terminal Tagging]]&amp;"/"&amp;tbl_IO_List[[#This Row],[Terminal Tagging-Item]]</f>
        <v>C5S3-/-</v>
      </c>
      <c r="AU803" s="136" t="str">
        <f>tbl_IO_List[[#This Row],[Terminal Tagging-Item]]&amp;"/"&amp;tbl_IO_List[[#This Row],[Front Terminal Tagging]]</f>
        <v>-/C5S3-</v>
      </c>
    </row>
    <row r="804" spans="1:47" hidden="1">
      <c r="A804" s="147" t="s">
        <v>1373</v>
      </c>
      <c r="B804" s="136" t="s">
        <v>382</v>
      </c>
      <c r="C804" s="136" t="str">
        <f>tbl_IO_List[[#This Row],[Column3]]</f>
        <v>C5S03,22</v>
      </c>
      <c r="D804" s="136" t="str">
        <f>tbl_IO_List[[#This Row],[Card]]</f>
        <v>1756-OB32-22</v>
      </c>
      <c r="E804" s="136" t="s">
        <v>1372</v>
      </c>
      <c r="F804" s="136" t="str">
        <f>tbl_IO_List[[#This Row],[Column23]]&amp;"-" &amp;tbl_IO_List[[#This Row],[Column52]]</f>
        <v>C5S03-X2</v>
      </c>
      <c r="G804" s="136" t="str">
        <f>tbl_IO_List[[#This Row],[PLC_Tag]]</f>
        <v>Spare_DO_0</v>
      </c>
      <c r="H804" s="136"/>
      <c r="I804" s="136" t="str">
        <f>VLOOKUP(tbl_IO_List[[#This Row],[Destination]],tbl_Junction[],2,FALSE)</f>
        <v>Slurry - Out Building 2nd Floor</v>
      </c>
      <c r="J804" s="136"/>
      <c r="K804" s="136"/>
      <c r="L804" s="136" t="s">
        <v>411</v>
      </c>
      <c r="M804" s="136" t="e">
        <f>VLOOKUP(tbl_IO_List[[#This Row],[Instruement Tag]],tbl_Instruement_List[],2,FALSE)</f>
        <v>#N/A</v>
      </c>
      <c r="N804" s="136"/>
      <c r="O804" s="136"/>
      <c r="P804" s="136"/>
      <c r="Q804" s="136" t="e">
        <f>VLOOKUP(tbl_IO_List[[#This Row],[Instruement Tag]],tbl_Instruement_List[],6,FALSE)</f>
        <v>#N/A</v>
      </c>
      <c r="R804" s="136"/>
      <c r="S80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804" s="136" t="str">
        <f>tbl_IO_List[[#This Row],[Instruement Tag]]&amp;"_"&amp;tbl_IO_List[[#This Row],[I/O Type]]&amp;"_"&amp;tbl_IO_List[[#This Row],[IO-Point 
(Instruement)]]</f>
        <v>Spare_DO_0</v>
      </c>
      <c r="U804" s="136" t="s">
        <v>7</v>
      </c>
      <c r="V804" s="136">
        <f>VLOOKUP(tbl_IO_List[[#This Row],[I/O Type]],tbl_Slot_Group[],2,FALSE)</f>
        <v>2</v>
      </c>
      <c r="W804" s="136">
        <v>0</v>
      </c>
      <c r="X804" s="136" t="str">
        <f>tbl_IO_List[[#This Row],[Chassis]]&amp;"S"&amp;TEXT(tbl_IO_List[[#This Row],[Slot]],"00")</f>
        <v>C5S03</v>
      </c>
      <c r="Y804" s="136" t="str">
        <f>tbl_IO_List[[#This Row],[Chassis]]&amp;"S"&amp;TEXT(tbl_IO_List[[#This Row],[Slot]],"00")&amp;tbl_IO_List[[#This Row],[I/O Type]]&amp;TEXT(tbl_IO_List[[#This Row],[Point]],"00")</f>
        <v>C5S03DO22</v>
      </c>
      <c r="Z804" s="136" t="str">
        <f>tbl_IO_List[[#This Row],[Chassis]]&amp;"S"&amp;TEXT(tbl_IO_List[[#This Row],[Slot]],"00")&amp;","&amp;TEXT(tbl_IO_List[[#This Row],[Point]],"00")</f>
        <v>C5S03,22</v>
      </c>
      <c r="AA804" s="136" t="str">
        <f>VLOOKUP(tbl_IO_List[[#This Row],[Column23]],tbl_RackConfig[],5,FALSE) &amp;"-"&amp;tbl_IO_List[[#This Row],[Point]]</f>
        <v>1756-OB32-22</v>
      </c>
      <c r="AB804" s="136"/>
      <c r="AC804" s="136"/>
      <c r="AD804" s="136" t="str">
        <f>tbl_IO_List[[#This Row],[I/O Type]]</f>
        <v>DO</v>
      </c>
      <c r="AE804" s="136" t="s">
        <v>1336</v>
      </c>
      <c r="AF804" s="136">
        <v>3</v>
      </c>
      <c r="AG804" s="136">
        <v>22</v>
      </c>
      <c r="AH804" s="136"/>
      <c r="AI804" s="136"/>
      <c r="AJ804" s="136">
        <v>0</v>
      </c>
      <c r="AK804" s="136">
        <v>1</v>
      </c>
      <c r="AL804" s="136">
        <v>0</v>
      </c>
      <c r="AM804" s="136">
        <v>0</v>
      </c>
      <c r="AN804" s="136">
        <v>0</v>
      </c>
      <c r="AO804" s="136"/>
      <c r="AP804" s="143" t="e">
        <f>VLOOKUP(tbl_IO_List[[#This Row],[Instruement Tag]],tbl_Instruement_List[],14,FALSE)</f>
        <v>#N/A</v>
      </c>
      <c r="AQ804" s="143" t="str">
        <f>tbl_IO_List[[#This Row],[Chassis]]&amp;"S"&amp;tbl_IO_List[[#This Row],[Slot]]&amp;"-"&amp;tbl_IO_List[[#This Row],[Front Terminal Number]]</f>
        <v>C5S3-</v>
      </c>
      <c r="AR804" s="143"/>
      <c r="AS804" s="136" t="str">
        <f>tbl_IO_List[[#This Row],[Terminal Tagging]]&amp;"-"&amp;tbl_IO_List[[#This Row],[Point-Count]]</f>
        <v>-</v>
      </c>
      <c r="AT804" s="136" t="str">
        <f>tbl_IO_List[[#This Row],[Front Terminal Tagging]]&amp;"/"&amp;tbl_IO_List[[#This Row],[Terminal Tagging-Item]]</f>
        <v>C5S3-/-</v>
      </c>
      <c r="AU804" s="136" t="str">
        <f>tbl_IO_List[[#This Row],[Terminal Tagging-Item]]&amp;"/"&amp;tbl_IO_List[[#This Row],[Front Terminal Tagging]]</f>
        <v>-/C5S3-</v>
      </c>
    </row>
    <row r="805" spans="1:47" hidden="1">
      <c r="A805" s="147" t="s">
        <v>1373</v>
      </c>
      <c r="B805" s="136" t="s">
        <v>382</v>
      </c>
      <c r="C805" s="136" t="str">
        <f>tbl_IO_List[[#This Row],[Column3]]</f>
        <v>C5S03,23</v>
      </c>
      <c r="D805" s="136" t="str">
        <f>tbl_IO_List[[#This Row],[Card]]</f>
        <v>1756-OB32-23</v>
      </c>
      <c r="E805" s="136" t="s">
        <v>1372</v>
      </c>
      <c r="F805" s="136" t="str">
        <f>tbl_IO_List[[#This Row],[Column23]]&amp;"-" &amp;tbl_IO_List[[#This Row],[Column52]]</f>
        <v>C5S03-X2</v>
      </c>
      <c r="G805" s="136" t="str">
        <f>tbl_IO_List[[#This Row],[PLC_Tag]]</f>
        <v>Spare_DO_0</v>
      </c>
      <c r="H805" s="136"/>
      <c r="I805" s="136" t="str">
        <f>VLOOKUP(tbl_IO_List[[#This Row],[Destination]],tbl_Junction[],2,FALSE)</f>
        <v>Slurry - Out Building 2nd Floor</v>
      </c>
      <c r="J805" s="136"/>
      <c r="K805" s="136"/>
      <c r="L805" s="136" t="s">
        <v>411</v>
      </c>
      <c r="M805" s="136" t="e">
        <f>VLOOKUP(tbl_IO_List[[#This Row],[Instruement Tag]],tbl_Instruement_List[],2,FALSE)</f>
        <v>#N/A</v>
      </c>
      <c r="N805" s="136"/>
      <c r="O805" s="136"/>
      <c r="P805" s="136"/>
      <c r="Q805" s="136" t="e">
        <f>VLOOKUP(tbl_IO_List[[#This Row],[Instruement Tag]],tbl_Instruement_List[],6,FALSE)</f>
        <v>#N/A</v>
      </c>
      <c r="R805" s="136"/>
      <c r="S80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805" s="136" t="str">
        <f>tbl_IO_List[[#This Row],[Instruement Tag]]&amp;"_"&amp;tbl_IO_List[[#This Row],[I/O Type]]&amp;"_"&amp;tbl_IO_List[[#This Row],[IO-Point 
(Instruement)]]</f>
        <v>Spare_DO_0</v>
      </c>
      <c r="U805" s="136" t="s">
        <v>7</v>
      </c>
      <c r="V805" s="136">
        <f>VLOOKUP(tbl_IO_List[[#This Row],[I/O Type]],tbl_Slot_Group[],2,FALSE)</f>
        <v>2</v>
      </c>
      <c r="W805" s="136">
        <v>0</v>
      </c>
      <c r="X805" s="136" t="str">
        <f>tbl_IO_List[[#This Row],[Chassis]]&amp;"S"&amp;TEXT(tbl_IO_List[[#This Row],[Slot]],"00")</f>
        <v>C5S03</v>
      </c>
      <c r="Y805" s="136" t="str">
        <f>tbl_IO_List[[#This Row],[Chassis]]&amp;"S"&amp;TEXT(tbl_IO_List[[#This Row],[Slot]],"00")&amp;tbl_IO_List[[#This Row],[I/O Type]]&amp;TEXT(tbl_IO_List[[#This Row],[Point]],"00")</f>
        <v>C5S03DO23</v>
      </c>
      <c r="Z805" s="136" t="str">
        <f>tbl_IO_List[[#This Row],[Chassis]]&amp;"S"&amp;TEXT(tbl_IO_List[[#This Row],[Slot]],"00")&amp;","&amp;TEXT(tbl_IO_List[[#This Row],[Point]],"00")</f>
        <v>C5S03,23</v>
      </c>
      <c r="AA805" s="136" t="str">
        <f>VLOOKUP(tbl_IO_List[[#This Row],[Column23]],tbl_RackConfig[],5,FALSE) &amp;"-"&amp;tbl_IO_List[[#This Row],[Point]]</f>
        <v>1756-OB32-23</v>
      </c>
      <c r="AB805" s="136"/>
      <c r="AC805" s="136"/>
      <c r="AD805" s="136" t="str">
        <f>tbl_IO_List[[#This Row],[I/O Type]]</f>
        <v>DO</v>
      </c>
      <c r="AE805" s="136" t="s">
        <v>1336</v>
      </c>
      <c r="AF805" s="136">
        <v>3</v>
      </c>
      <c r="AG805" s="136">
        <v>23</v>
      </c>
      <c r="AH805" s="136"/>
      <c r="AI805" s="136"/>
      <c r="AJ805" s="136">
        <v>0</v>
      </c>
      <c r="AK805" s="136">
        <v>1</v>
      </c>
      <c r="AL805" s="136">
        <v>0</v>
      </c>
      <c r="AM805" s="136">
        <v>0</v>
      </c>
      <c r="AN805" s="136">
        <v>0</v>
      </c>
      <c r="AO805" s="136"/>
      <c r="AP805" s="143" t="e">
        <f>VLOOKUP(tbl_IO_List[[#This Row],[Instruement Tag]],tbl_Instruement_List[],14,FALSE)</f>
        <v>#N/A</v>
      </c>
      <c r="AQ805" s="143" t="str">
        <f>tbl_IO_List[[#This Row],[Chassis]]&amp;"S"&amp;tbl_IO_List[[#This Row],[Slot]]&amp;"-"&amp;tbl_IO_List[[#This Row],[Front Terminal Number]]</f>
        <v>C5S3-</v>
      </c>
      <c r="AR805" s="143"/>
      <c r="AS805" s="136" t="str">
        <f>tbl_IO_List[[#This Row],[Terminal Tagging]]&amp;"-"&amp;tbl_IO_List[[#This Row],[Point-Count]]</f>
        <v>-</v>
      </c>
      <c r="AT805" s="136" t="str">
        <f>tbl_IO_List[[#This Row],[Front Terminal Tagging]]&amp;"/"&amp;tbl_IO_List[[#This Row],[Terminal Tagging-Item]]</f>
        <v>C5S3-/-</v>
      </c>
      <c r="AU805" s="136" t="str">
        <f>tbl_IO_List[[#This Row],[Terminal Tagging-Item]]&amp;"/"&amp;tbl_IO_List[[#This Row],[Front Terminal Tagging]]</f>
        <v>-/C5S3-</v>
      </c>
    </row>
    <row r="806" spans="1:47" hidden="1">
      <c r="A806" s="147" t="s">
        <v>1373</v>
      </c>
      <c r="B806" s="136" t="s">
        <v>382</v>
      </c>
      <c r="C806" s="136" t="str">
        <f>tbl_IO_List[[#This Row],[Column3]]</f>
        <v>C5S03,24</v>
      </c>
      <c r="D806" s="136" t="str">
        <f>tbl_IO_List[[#This Row],[Card]]</f>
        <v>1756-OB32-24</v>
      </c>
      <c r="E806" s="136" t="s">
        <v>1372</v>
      </c>
      <c r="F806" s="136" t="str">
        <f>tbl_IO_List[[#This Row],[Column23]]&amp;"-" &amp;tbl_IO_List[[#This Row],[Column52]]</f>
        <v>C5S03-X2</v>
      </c>
      <c r="G806" s="136" t="str">
        <f>tbl_IO_List[[#This Row],[PLC_Tag]]</f>
        <v>Spare_DO_0</v>
      </c>
      <c r="H806" s="136"/>
      <c r="I806" s="136" t="str">
        <f>VLOOKUP(tbl_IO_List[[#This Row],[Destination]],tbl_Junction[],2,FALSE)</f>
        <v>Slurry - Out Building 2nd Floor</v>
      </c>
      <c r="J806" s="136"/>
      <c r="K806" s="136"/>
      <c r="L806" s="136" t="s">
        <v>411</v>
      </c>
      <c r="M806" s="136" t="e">
        <f>VLOOKUP(tbl_IO_List[[#This Row],[Instruement Tag]],tbl_Instruement_List[],2,FALSE)</f>
        <v>#N/A</v>
      </c>
      <c r="N806" s="136"/>
      <c r="O806" s="136"/>
      <c r="P806" s="136"/>
      <c r="Q806" s="136" t="e">
        <f>VLOOKUP(tbl_IO_List[[#This Row],[Instruement Tag]],tbl_Instruement_List[],6,FALSE)</f>
        <v>#N/A</v>
      </c>
      <c r="R806" s="136"/>
      <c r="S80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806" s="136" t="str">
        <f>tbl_IO_List[[#This Row],[Instruement Tag]]&amp;"_"&amp;tbl_IO_List[[#This Row],[I/O Type]]&amp;"_"&amp;tbl_IO_List[[#This Row],[IO-Point 
(Instruement)]]</f>
        <v>Spare_DO_0</v>
      </c>
      <c r="U806" s="136" t="s">
        <v>7</v>
      </c>
      <c r="V806" s="136">
        <f>VLOOKUP(tbl_IO_List[[#This Row],[I/O Type]],tbl_Slot_Group[],2,FALSE)</f>
        <v>2</v>
      </c>
      <c r="W806" s="136">
        <v>0</v>
      </c>
      <c r="X806" s="136" t="str">
        <f>tbl_IO_List[[#This Row],[Chassis]]&amp;"S"&amp;TEXT(tbl_IO_List[[#This Row],[Slot]],"00")</f>
        <v>C5S03</v>
      </c>
      <c r="Y806" s="136" t="str">
        <f>tbl_IO_List[[#This Row],[Chassis]]&amp;"S"&amp;TEXT(tbl_IO_List[[#This Row],[Slot]],"00")&amp;tbl_IO_List[[#This Row],[I/O Type]]&amp;TEXT(tbl_IO_List[[#This Row],[Point]],"00")</f>
        <v>C5S03DO24</v>
      </c>
      <c r="Z806" s="136" t="str">
        <f>tbl_IO_List[[#This Row],[Chassis]]&amp;"S"&amp;TEXT(tbl_IO_List[[#This Row],[Slot]],"00")&amp;","&amp;TEXT(tbl_IO_List[[#This Row],[Point]],"00")</f>
        <v>C5S03,24</v>
      </c>
      <c r="AA806" s="136" t="str">
        <f>VLOOKUP(tbl_IO_List[[#This Row],[Column23]],tbl_RackConfig[],5,FALSE) &amp;"-"&amp;tbl_IO_List[[#This Row],[Point]]</f>
        <v>1756-OB32-24</v>
      </c>
      <c r="AB806" s="136"/>
      <c r="AC806" s="136"/>
      <c r="AD806" s="136" t="str">
        <f>tbl_IO_List[[#This Row],[I/O Type]]</f>
        <v>DO</v>
      </c>
      <c r="AE806" s="136" t="s">
        <v>1336</v>
      </c>
      <c r="AF806" s="136">
        <v>3</v>
      </c>
      <c r="AG806" s="136">
        <v>24</v>
      </c>
      <c r="AH806" s="136"/>
      <c r="AI806" s="136"/>
      <c r="AJ806" s="136">
        <v>0</v>
      </c>
      <c r="AK806" s="136">
        <v>1</v>
      </c>
      <c r="AL806" s="136">
        <v>0</v>
      </c>
      <c r="AM806" s="136">
        <v>0</v>
      </c>
      <c r="AN806" s="136">
        <v>0</v>
      </c>
      <c r="AO806" s="136"/>
      <c r="AP806" s="143" t="e">
        <f>VLOOKUP(tbl_IO_List[[#This Row],[Instruement Tag]],tbl_Instruement_List[],14,FALSE)</f>
        <v>#N/A</v>
      </c>
      <c r="AQ806" s="143" t="str">
        <f>tbl_IO_List[[#This Row],[Chassis]]&amp;"S"&amp;tbl_IO_List[[#This Row],[Slot]]&amp;"-"&amp;tbl_IO_List[[#This Row],[Front Terminal Number]]</f>
        <v>C5S3-</v>
      </c>
      <c r="AR806" s="143"/>
      <c r="AS806" s="136" t="str">
        <f>tbl_IO_List[[#This Row],[Terminal Tagging]]&amp;"-"&amp;tbl_IO_List[[#This Row],[Point-Count]]</f>
        <v>-</v>
      </c>
      <c r="AT806" s="136" t="str">
        <f>tbl_IO_List[[#This Row],[Front Terminal Tagging]]&amp;"/"&amp;tbl_IO_List[[#This Row],[Terminal Tagging-Item]]</f>
        <v>C5S3-/-</v>
      </c>
      <c r="AU806" s="136" t="str">
        <f>tbl_IO_List[[#This Row],[Terminal Tagging-Item]]&amp;"/"&amp;tbl_IO_List[[#This Row],[Front Terminal Tagging]]</f>
        <v>-/C5S3-</v>
      </c>
    </row>
    <row r="807" spans="1:47" hidden="1">
      <c r="A807" s="147" t="s">
        <v>1373</v>
      </c>
      <c r="B807" s="136" t="s">
        <v>382</v>
      </c>
      <c r="C807" s="136" t="str">
        <f>tbl_IO_List[[#This Row],[Column3]]</f>
        <v>C5S03,25</v>
      </c>
      <c r="D807" s="136" t="str">
        <f>tbl_IO_List[[#This Row],[Card]]</f>
        <v>1756-OB32-25</v>
      </c>
      <c r="E807" s="136" t="s">
        <v>1372</v>
      </c>
      <c r="F807" s="136" t="str">
        <f>tbl_IO_List[[#This Row],[Column23]]&amp;"-" &amp;tbl_IO_List[[#This Row],[Column52]]</f>
        <v>C5S03-X2</v>
      </c>
      <c r="G807" s="136" t="str">
        <f>tbl_IO_List[[#This Row],[PLC_Tag]]</f>
        <v>Spare_DO_0</v>
      </c>
      <c r="H807" s="136"/>
      <c r="I807" s="136" t="str">
        <f>VLOOKUP(tbl_IO_List[[#This Row],[Destination]],tbl_Junction[],2,FALSE)</f>
        <v>Slurry - Out Building 2nd Floor</v>
      </c>
      <c r="J807" s="136"/>
      <c r="K807" s="136"/>
      <c r="L807" s="136" t="s">
        <v>411</v>
      </c>
      <c r="M807" s="136" t="e">
        <f>VLOOKUP(tbl_IO_List[[#This Row],[Instruement Tag]],tbl_Instruement_List[],2,FALSE)</f>
        <v>#N/A</v>
      </c>
      <c r="N807" s="136"/>
      <c r="O807" s="136"/>
      <c r="P807" s="136"/>
      <c r="Q807" s="136" t="e">
        <f>VLOOKUP(tbl_IO_List[[#This Row],[Instruement Tag]],tbl_Instruement_List[],6,FALSE)</f>
        <v>#N/A</v>
      </c>
      <c r="R807" s="136"/>
      <c r="S80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807" s="136" t="str">
        <f>tbl_IO_List[[#This Row],[Instruement Tag]]&amp;"_"&amp;tbl_IO_List[[#This Row],[I/O Type]]&amp;"_"&amp;tbl_IO_List[[#This Row],[IO-Point 
(Instruement)]]</f>
        <v>Spare_DO_0</v>
      </c>
      <c r="U807" s="136" t="s">
        <v>7</v>
      </c>
      <c r="V807" s="136">
        <f>VLOOKUP(tbl_IO_List[[#This Row],[I/O Type]],tbl_Slot_Group[],2,FALSE)</f>
        <v>2</v>
      </c>
      <c r="W807" s="136">
        <v>0</v>
      </c>
      <c r="X807" s="136" t="str">
        <f>tbl_IO_List[[#This Row],[Chassis]]&amp;"S"&amp;TEXT(tbl_IO_List[[#This Row],[Slot]],"00")</f>
        <v>C5S03</v>
      </c>
      <c r="Y807" s="136" t="str">
        <f>tbl_IO_List[[#This Row],[Chassis]]&amp;"S"&amp;TEXT(tbl_IO_List[[#This Row],[Slot]],"00")&amp;tbl_IO_List[[#This Row],[I/O Type]]&amp;TEXT(tbl_IO_List[[#This Row],[Point]],"00")</f>
        <v>C5S03DO25</v>
      </c>
      <c r="Z807" s="136" t="str">
        <f>tbl_IO_List[[#This Row],[Chassis]]&amp;"S"&amp;TEXT(tbl_IO_List[[#This Row],[Slot]],"00")&amp;","&amp;TEXT(tbl_IO_List[[#This Row],[Point]],"00")</f>
        <v>C5S03,25</v>
      </c>
      <c r="AA807" s="136" t="str">
        <f>VLOOKUP(tbl_IO_List[[#This Row],[Column23]],tbl_RackConfig[],5,FALSE) &amp;"-"&amp;tbl_IO_List[[#This Row],[Point]]</f>
        <v>1756-OB32-25</v>
      </c>
      <c r="AB807" s="136"/>
      <c r="AC807" s="136"/>
      <c r="AD807" s="136" t="str">
        <f>tbl_IO_List[[#This Row],[I/O Type]]</f>
        <v>DO</v>
      </c>
      <c r="AE807" s="136" t="s">
        <v>1336</v>
      </c>
      <c r="AF807" s="136">
        <v>3</v>
      </c>
      <c r="AG807" s="136">
        <v>25</v>
      </c>
      <c r="AH807" s="136"/>
      <c r="AI807" s="136"/>
      <c r="AJ807" s="136">
        <v>0</v>
      </c>
      <c r="AK807" s="136">
        <v>1</v>
      </c>
      <c r="AL807" s="136">
        <v>0</v>
      </c>
      <c r="AM807" s="136">
        <v>0</v>
      </c>
      <c r="AN807" s="136">
        <v>0</v>
      </c>
      <c r="AO807" s="136"/>
      <c r="AP807" s="143" t="e">
        <f>VLOOKUP(tbl_IO_List[[#This Row],[Instruement Tag]],tbl_Instruement_List[],14,FALSE)</f>
        <v>#N/A</v>
      </c>
      <c r="AQ807" s="143" t="str">
        <f>tbl_IO_List[[#This Row],[Chassis]]&amp;"S"&amp;tbl_IO_List[[#This Row],[Slot]]&amp;"-"&amp;tbl_IO_List[[#This Row],[Front Terminal Number]]</f>
        <v>C5S3-</v>
      </c>
      <c r="AR807" s="143"/>
      <c r="AS807" s="136" t="str">
        <f>tbl_IO_List[[#This Row],[Terminal Tagging]]&amp;"-"&amp;tbl_IO_List[[#This Row],[Point-Count]]</f>
        <v>-</v>
      </c>
      <c r="AT807" s="136" t="str">
        <f>tbl_IO_List[[#This Row],[Front Terminal Tagging]]&amp;"/"&amp;tbl_IO_List[[#This Row],[Terminal Tagging-Item]]</f>
        <v>C5S3-/-</v>
      </c>
      <c r="AU807" s="136" t="str">
        <f>tbl_IO_List[[#This Row],[Terminal Tagging-Item]]&amp;"/"&amp;tbl_IO_List[[#This Row],[Front Terminal Tagging]]</f>
        <v>-/C5S3-</v>
      </c>
    </row>
    <row r="808" spans="1:47" hidden="1">
      <c r="A808" s="147" t="s">
        <v>1373</v>
      </c>
      <c r="B808" s="136" t="s">
        <v>382</v>
      </c>
      <c r="C808" s="136" t="str">
        <f>tbl_IO_List[[#This Row],[Column3]]</f>
        <v>C5S03,26</v>
      </c>
      <c r="D808" s="136" t="str">
        <f>tbl_IO_List[[#This Row],[Card]]</f>
        <v>1756-OB32-26</v>
      </c>
      <c r="E808" s="136" t="s">
        <v>1372</v>
      </c>
      <c r="F808" s="136" t="str">
        <f>tbl_IO_List[[#This Row],[Column23]]&amp;"-" &amp;tbl_IO_List[[#This Row],[Column52]]</f>
        <v>C5S03-X2</v>
      </c>
      <c r="G808" s="136" t="str">
        <f>tbl_IO_List[[#This Row],[PLC_Tag]]</f>
        <v>Spare_DO_0</v>
      </c>
      <c r="H808" s="136"/>
      <c r="I808" s="136" t="str">
        <f>VLOOKUP(tbl_IO_List[[#This Row],[Destination]],tbl_Junction[],2,FALSE)</f>
        <v>Slurry - Out Building 2nd Floor</v>
      </c>
      <c r="J808" s="136"/>
      <c r="K808" s="136"/>
      <c r="L808" s="136" t="s">
        <v>411</v>
      </c>
      <c r="M808" s="136" t="e">
        <f>VLOOKUP(tbl_IO_List[[#This Row],[Instruement Tag]],tbl_Instruement_List[],2,FALSE)</f>
        <v>#N/A</v>
      </c>
      <c r="N808" s="136"/>
      <c r="O808" s="136"/>
      <c r="P808" s="136"/>
      <c r="Q808" s="136" t="e">
        <f>VLOOKUP(tbl_IO_List[[#This Row],[Instruement Tag]],tbl_Instruement_List[],6,FALSE)</f>
        <v>#N/A</v>
      </c>
      <c r="R808" s="136"/>
      <c r="S80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808" s="136" t="str">
        <f>tbl_IO_List[[#This Row],[Instruement Tag]]&amp;"_"&amp;tbl_IO_List[[#This Row],[I/O Type]]&amp;"_"&amp;tbl_IO_List[[#This Row],[IO-Point 
(Instruement)]]</f>
        <v>Spare_DO_0</v>
      </c>
      <c r="U808" s="136" t="s">
        <v>7</v>
      </c>
      <c r="V808" s="136">
        <f>VLOOKUP(tbl_IO_List[[#This Row],[I/O Type]],tbl_Slot_Group[],2,FALSE)</f>
        <v>2</v>
      </c>
      <c r="W808" s="136">
        <v>0</v>
      </c>
      <c r="X808" s="136" t="str">
        <f>tbl_IO_List[[#This Row],[Chassis]]&amp;"S"&amp;TEXT(tbl_IO_List[[#This Row],[Slot]],"00")</f>
        <v>C5S03</v>
      </c>
      <c r="Y808" s="136" t="str">
        <f>tbl_IO_List[[#This Row],[Chassis]]&amp;"S"&amp;TEXT(tbl_IO_List[[#This Row],[Slot]],"00")&amp;tbl_IO_List[[#This Row],[I/O Type]]&amp;TEXT(tbl_IO_List[[#This Row],[Point]],"00")</f>
        <v>C5S03DO26</v>
      </c>
      <c r="Z808" s="136" t="str">
        <f>tbl_IO_List[[#This Row],[Chassis]]&amp;"S"&amp;TEXT(tbl_IO_List[[#This Row],[Slot]],"00")&amp;","&amp;TEXT(tbl_IO_List[[#This Row],[Point]],"00")</f>
        <v>C5S03,26</v>
      </c>
      <c r="AA808" s="136" t="str">
        <f>VLOOKUP(tbl_IO_List[[#This Row],[Column23]],tbl_RackConfig[],5,FALSE) &amp;"-"&amp;tbl_IO_List[[#This Row],[Point]]</f>
        <v>1756-OB32-26</v>
      </c>
      <c r="AB808" s="136"/>
      <c r="AC808" s="136"/>
      <c r="AD808" s="136" t="str">
        <f>tbl_IO_List[[#This Row],[I/O Type]]</f>
        <v>DO</v>
      </c>
      <c r="AE808" s="136" t="s">
        <v>1336</v>
      </c>
      <c r="AF808" s="136">
        <v>3</v>
      </c>
      <c r="AG808" s="136">
        <v>26</v>
      </c>
      <c r="AH808" s="136"/>
      <c r="AI808" s="136"/>
      <c r="AJ808" s="136">
        <v>0</v>
      </c>
      <c r="AK808" s="136">
        <v>1</v>
      </c>
      <c r="AL808" s="136">
        <v>0</v>
      </c>
      <c r="AM808" s="136">
        <v>0</v>
      </c>
      <c r="AN808" s="136">
        <v>0</v>
      </c>
      <c r="AO808" s="136"/>
      <c r="AP808" s="143" t="e">
        <f>VLOOKUP(tbl_IO_List[[#This Row],[Instruement Tag]],tbl_Instruement_List[],14,FALSE)</f>
        <v>#N/A</v>
      </c>
      <c r="AQ808" s="143" t="str">
        <f>tbl_IO_List[[#This Row],[Chassis]]&amp;"S"&amp;tbl_IO_List[[#This Row],[Slot]]&amp;"-"&amp;tbl_IO_List[[#This Row],[Front Terminal Number]]</f>
        <v>C5S3-</v>
      </c>
      <c r="AR808" s="143"/>
      <c r="AS808" s="136" t="str">
        <f>tbl_IO_List[[#This Row],[Terminal Tagging]]&amp;"-"&amp;tbl_IO_List[[#This Row],[Point-Count]]</f>
        <v>-</v>
      </c>
      <c r="AT808" s="136" t="str">
        <f>tbl_IO_List[[#This Row],[Front Terminal Tagging]]&amp;"/"&amp;tbl_IO_List[[#This Row],[Terminal Tagging-Item]]</f>
        <v>C5S3-/-</v>
      </c>
      <c r="AU808" s="136" t="str">
        <f>tbl_IO_List[[#This Row],[Terminal Tagging-Item]]&amp;"/"&amp;tbl_IO_List[[#This Row],[Front Terminal Tagging]]</f>
        <v>-/C5S3-</v>
      </c>
    </row>
    <row r="809" spans="1:47" hidden="1">
      <c r="A809" s="147" t="s">
        <v>1373</v>
      </c>
      <c r="B809" s="136" t="s">
        <v>382</v>
      </c>
      <c r="C809" s="136" t="str">
        <f>tbl_IO_List[[#This Row],[Column3]]</f>
        <v>C5S03,27</v>
      </c>
      <c r="D809" s="136" t="str">
        <f>tbl_IO_List[[#This Row],[Card]]</f>
        <v>1756-OB32-27</v>
      </c>
      <c r="E809" s="136" t="s">
        <v>1372</v>
      </c>
      <c r="F809" s="136" t="str">
        <f>tbl_IO_List[[#This Row],[Column23]]&amp;"-" &amp;tbl_IO_List[[#This Row],[Column52]]</f>
        <v>C5S03-X2</v>
      </c>
      <c r="G809" s="136" t="str">
        <f>tbl_IO_List[[#This Row],[PLC_Tag]]</f>
        <v>Spare_DO_0</v>
      </c>
      <c r="H809" s="136"/>
      <c r="I809" s="136" t="str">
        <f>VLOOKUP(tbl_IO_List[[#This Row],[Destination]],tbl_Junction[],2,FALSE)</f>
        <v>Slurry - Out Building 2nd Floor</v>
      </c>
      <c r="J809" s="136"/>
      <c r="K809" s="136"/>
      <c r="L809" s="136" t="s">
        <v>411</v>
      </c>
      <c r="M809" s="136" t="e">
        <f>VLOOKUP(tbl_IO_List[[#This Row],[Instruement Tag]],tbl_Instruement_List[],2,FALSE)</f>
        <v>#N/A</v>
      </c>
      <c r="N809" s="136"/>
      <c r="O809" s="136"/>
      <c r="P809" s="136"/>
      <c r="Q809" s="136" t="e">
        <f>VLOOKUP(tbl_IO_List[[#This Row],[Instruement Tag]],tbl_Instruement_List[],6,FALSE)</f>
        <v>#N/A</v>
      </c>
      <c r="R809" s="136"/>
      <c r="S80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809" s="136" t="str">
        <f>tbl_IO_List[[#This Row],[Instruement Tag]]&amp;"_"&amp;tbl_IO_List[[#This Row],[I/O Type]]&amp;"_"&amp;tbl_IO_List[[#This Row],[IO-Point 
(Instruement)]]</f>
        <v>Spare_DO_0</v>
      </c>
      <c r="U809" s="136" t="s">
        <v>7</v>
      </c>
      <c r="V809" s="136">
        <f>VLOOKUP(tbl_IO_List[[#This Row],[I/O Type]],tbl_Slot_Group[],2,FALSE)</f>
        <v>2</v>
      </c>
      <c r="W809" s="136">
        <v>0</v>
      </c>
      <c r="X809" s="136" t="str">
        <f>tbl_IO_List[[#This Row],[Chassis]]&amp;"S"&amp;TEXT(tbl_IO_List[[#This Row],[Slot]],"00")</f>
        <v>C5S03</v>
      </c>
      <c r="Y809" s="136" t="str">
        <f>tbl_IO_List[[#This Row],[Chassis]]&amp;"S"&amp;TEXT(tbl_IO_List[[#This Row],[Slot]],"00")&amp;tbl_IO_List[[#This Row],[I/O Type]]&amp;TEXT(tbl_IO_List[[#This Row],[Point]],"00")</f>
        <v>C5S03DO27</v>
      </c>
      <c r="Z809" s="136" t="str">
        <f>tbl_IO_List[[#This Row],[Chassis]]&amp;"S"&amp;TEXT(tbl_IO_List[[#This Row],[Slot]],"00")&amp;","&amp;TEXT(tbl_IO_List[[#This Row],[Point]],"00")</f>
        <v>C5S03,27</v>
      </c>
      <c r="AA809" s="136" t="str">
        <f>VLOOKUP(tbl_IO_List[[#This Row],[Column23]],tbl_RackConfig[],5,FALSE) &amp;"-"&amp;tbl_IO_List[[#This Row],[Point]]</f>
        <v>1756-OB32-27</v>
      </c>
      <c r="AB809" s="136"/>
      <c r="AC809" s="136"/>
      <c r="AD809" s="136" t="str">
        <f>tbl_IO_List[[#This Row],[I/O Type]]</f>
        <v>DO</v>
      </c>
      <c r="AE809" s="136" t="s">
        <v>1336</v>
      </c>
      <c r="AF809" s="136">
        <v>3</v>
      </c>
      <c r="AG809" s="136">
        <v>27</v>
      </c>
      <c r="AH809" s="136"/>
      <c r="AI809" s="136"/>
      <c r="AJ809" s="136">
        <v>0</v>
      </c>
      <c r="AK809" s="136">
        <v>1</v>
      </c>
      <c r="AL809" s="136">
        <v>0</v>
      </c>
      <c r="AM809" s="136">
        <v>0</v>
      </c>
      <c r="AN809" s="136">
        <v>0</v>
      </c>
      <c r="AO809" s="136"/>
      <c r="AP809" s="143" t="e">
        <f>VLOOKUP(tbl_IO_List[[#This Row],[Instruement Tag]],tbl_Instruement_List[],14,FALSE)</f>
        <v>#N/A</v>
      </c>
      <c r="AQ809" s="143" t="str">
        <f>tbl_IO_List[[#This Row],[Chassis]]&amp;"S"&amp;tbl_IO_List[[#This Row],[Slot]]&amp;"-"&amp;tbl_IO_List[[#This Row],[Front Terminal Number]]</f>
        <v>C5S3-</v>
      </c>
      <c r="AR809" s="143"/>
      <c r="AS809" s="136" t="str">
        <f>tbl_IO_List[[#This Row],[Terminal Tagging]]&amp;"-"&amp;tbl_IO_List[[#This Row],[Point-Count]]</f>
        <v>-</v>
      </c>
      <c r="AT809" s="136" t="str">
        <f>tbl_IO_List[[#This Row],[Front Terminal Tagging]]&amp;"/"&amp;tbl_IO_List[[#This Row],[Terminal Tagging-Item]]</f>
        <v>C5S3-/-</v>
      </c>
      <c r="AU809" s="136" t="str">
        <f>tbl_IO_List[[#This Row],[Terminal Tagging-Item]]&amp;"/"&amp;tbl_IO_List[[#This Row],[Front Terminal Tagging]]</f>
        <v>-/C5S3-</v>
      </c>
    </row>
    <row r="810" spans="1:47" hidden="1">
      <c r="A810" s="147" t="s">
        <v>1373</v>
      </c>
      <c r="B810" s="136" t="s">
        <v>382</v>
      </c>
      <c r="C810" s="136" t="str">
        <f>tbl_IO_List[[#This Row],[Column3]]</f>
        <v>C5S03,28</v>
      </c>
      <c r="D810" s="136" t="str">
        <f>tbl_IO_List[[#This Row],[Card]]</f>
        <v>1756-OB32-28</v>
      </c>
      <c r="E810" s="136" t="s">
        <v>1372</v>
      </c>
      <c r="F810" s="136" t="str">
        <f>tbl_IO_List[[#This Row],[Column23]]&amp;"-" &amp;tbl_IO_List[[#This Row],[Column52]]</f>
        <v>C5S03-X2</v>
      </c>
      <c r="G810" s="136" t="str">
        <f>tbl_IO_List[[#This Row],[PLC_Tag]]</f>
        <v>Spare_DO_0</v>
      </c>
      <c r="H810" s="136"/>
      <c r="I810" s="136" t="str">
        <f>VLOOKUP(tbl_IO_List[[#This Row],[Destination]],tbl_Junction[],2,FALSE)</f>
        <v>Slurry - Out Building 2nd Floor</v>
      </c>
      <c r="J810" s="136"/>
      <c r="K810" s="136"/>
      <c r="L810" s="136" t="s">
        <v>411</v>
      </c>
      <c r="M810" s="136" t="e">
        <f>VLOOKUP(tbl_IO_List[[#This Row],[Instruement Tag]],tbl_Instruement_List[],2,FALSE)</f>
        <v>#N/A</v>
      </c>
      <c r="N810" s="136"/>
      <c r="O810" s="136"/>
      <c r="P810" s="136"/>
      <c r="Q810" s="136" t="e">
        <f>VLOOKUP(tbl_IO_List[[#This Row],[Instruement Tag]],tbl_Instruement_List[],6,FALSE)</f>
        <v>#N/A</v>
      </c>
      <c r="R810" s="136"/>
      <c r="S81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810" s="136" t="str">
        <f>tbl_IO_List[[#This Row],[Instruement Tag]]&amp;"_"&amp;tbl_IO_List[[#This Row],[I/O Type]]&amp;"_"&amp;tbl_IO_List[[#This Row],[IO-Point 
(Instruement)]]</f>
        <v>Spare_DO_0</v>
      </c>
      <c r="U810" s="136" t="s">
        <v>7</v>
      </c>
      <c r="V810" s="136">
        <f>VLOOKUP(tbl_IO_List[[#This Row],[I/O Type]],tbl_Slot_Group[],2,FALSE)</f>
        <v>2</v>
      </c>
      <c r="W810" s="136">
        <v>0</v>
      </c>
      <c r="X810" s="136" t="str">
        <f>tbl_IO_List[[#This Row],[Chassis]]&amp;"S"&amp;TEXT(tbl_IO_List[[#This Row],[Slot]],"00")</f>
        <v>C5S03</v>
      </c>
      <c r="Y810" s="136" t="str">
        <f>tbl_IO_List[[#This Row],[Chassis]]&amp;"S"&amp;TEXT(tbl_IO_List[[#This Row],[Slot]],"00")&amp;tbl_IO_List[[#This Row],[I/O Type]]&amp;TEXT(tbl_IO_List[[#This Row],[Point]],"00")</f>
        <v>C5S03DO28</v>
      </c>
      <c r="Z810" s="136" t="str">
        <f>tbl_IO_List[[#This Row],[Chassis]]&amp;"S"&amp;TEXT(tbl_IO_List[[#This Row],[Slot]],"00")&amp;","&amp;TEXT(tbl_IO_List[[#This Row],[Point]],"00")</f>
        <v>C5S03,28</v>
      </c>
      <c r="AA810" s="136" t="str">
        <f>VLOOKUP(tbl_IO_List[[#This Row],[Column23]],tbl_RackConfig[],5,FALSE) &amp;"-"&amp;tbl_IO_List[[#This Row],[Point]]</f>
        <v>1756-OB32-28</v>
      </c>
      <c r="AB810" s="136"/>
      <c r="AC810" s="136"/>
      <c r="AD810" s="136" t="str">
        <f>tbl_IO_List[[#This Row],[I/O Type]]</f>
        <v>DO</v>
      </c>
      <c r="AE810" s="136" t="s">
        <v>1336</v>
      </c>
      <c r="AF810" s="136">
        <v>3</v>
      </c>
      <c r="AG810" s="136">
        <v>28</v>
      </c>
      <c r="AH810" s="136"/>
      <c r="AI810" s="136"/>
      <c r="AJ810" s="136">
        <v>0</v>
      </c>
      <c r="AK810" s="136">
        <v>1</v>
      </c>
      <c r="AL810" s="136">
        <v>0</v>
      </c>
      <c r="AM810" s="136">
        <v>0</v>
      </c>
      <c r="AN810" s="136">
        <v>0</v>
      </c>
      <c r="AO810" s="136"/>
      <c r="AP810" s="143" t="e">
        <f>VLOOKUP(tbl_IO_List[[#This Row],[Instruement Tag]],tbl_Instruement_List[],14,FALSE)</f>
        <v>#N/A</v>
      </c>
      <c r="AQ810" s="143" t="str">
        <f>tbl_IO_List[[#This Row],[Chassis]]&amp;"S"&amp;tbl_IO_List[[#This Row],[Slot]]&amp;"-"&amp;tbl_IO_List[[#This Row],[Front Terminal Number]]</f>
        <v>C5S3-</v>
      </c>
      <c r="AR810" s="143"/>
      <c r="AS810" s="136" t="str">
        <f>tbl_IO_List[[#This Row],[Terminal Tagging]]&amp;"-"&amp;tbl_IO_List[[#This Row],[Point-Count]]</f>
        <v>-</v>
      </c>
      <c r="AT810" s="136" t="str">
        <f>tbl_IO_List[[#This Row],[Front Terminal Tagging]]&amp;"/"&amp;tbl_IO_List[[#This Row],[Terminal Tagging-Item]]</f>
        <v>C5S3-/-</v>
      </c>
      <c r="AU810" s="136" t="str">
        <f>tbl_IO_List[[#This Row],[Terminal Tagging-Item]]&amp;"/"&amp;tbl_IO_List[[#This Row],[Front Terminal Tagging]]</f>
        <v>-/C5S3-</v>
      </c>
    </row>
    <row r="811" spans="1:47" hidden="1">
      <c r="A811" s="147" t="s">
        <v>1373</v>
      </c>
      <c r="B811" s="136" t="s">
        <v>382</v>
      </c>
      <c r="C811" s="136" t="str">
        <f>tbl_IO_List[[#This Row],[Column3]]</f>
        <v>C5S03,29</v>
      </c>
      <c r="D811" s="136" t="str">
        <f>tbl_IO_List[[#This Row],[Card]]</f>
        <v>1756-OB32-29</v>
      </c>
      <c r="E811" s="136" t="s">
        <v>1372</v>
      </c>
      <c r="F811" s="136" t="str">
        <f>tbl_IO_List[[#This Row],[Column23]]&amp;"-" &amp;tbl_IO_List[[#This Row],[Column52]]</f>
        <v>C5S03-X2</v>
      </c>
      <c r="G811" s="136" t="str">
        <f>tbl_IO_List[[#This Row],[PLC_Tag]]</f>
        <v>Spare_DO_0</v>
      </c>
      <c r="H811" s="136"/>
      <c r="I811" s="136" t="str">
        <f>VLOOKUP(tbl_IO_List[[#This Row],[Destination]],tbl_Junction[],2,FALSE)</f>
        <v>Slurry - Out Building 2nd Floor</v>
      </c>
      <c r="J811" s="136"/>
      <c r="K811" s="136"/>
      <c r="L811" s="136" t="s">
        <v>411</v>
      </c>
      <c r="M811" s="136" t="e">
        <f>VLOOKUP(tbl_IO_List[[#This Row],[Instruement Tag]],tbl_Instruement_List[],2,FALSE)</f>
        <v>#N/A</v>
      </c>
      <c r="N811" s="136"/>
      <c r="O811" s="136"/>
      <c r="P811" s="136"/>
      <c r="Q811" s="136" t="e">
        <f>VLOOKUP(tbl_IO_List[[#This Row],[Instruement Tag]],tbl_Instruement_List[],6,FALSE)</f>
        <v>#N/A</v>
      </c>
      <c r="R811" s="136"/>
      <c r="S81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811" s="136" t="str">
        <f>tbl_IO_List[[#This Row],[Instruement Tag]]&amp;"_"&amp;tbl_IO_List[[#This Row],[I/O Type]]&amp;"_"&amp;tbl_IO_List[[#This Row],[IO-Point 
(Instruement)]]</f>
        <v>Spare_DO_0</v>
      </c>
      <c r="U811" s="136" t="s">
        <v>7</v>
      </c>
      <c r="V811" s="136">
        <f>VLOOKUP(tbl_IO_List[[#This Row],[I/O Type]],tbl_Slot_Group[],2,FALSE)</f>
        <v>2</v>
      </c>
      <c r="W811" s="136">
        <v>0</v>
      </c>
      <c r="X811" s="136" t="str">
        <f>tbl_IO_List[[#This Row],[Chassis]]&amp;"S"&amp;TEXT(tbl_IO_List[[#This Row],[Slot]],"00")</f>
        <v>C5S03</v>
      </c>
      <c r="Y811" s="136" t="str">
        <f>tbl_IO_List[[#This Row],[Chassis]]&amp;"S"&amp;TEXT(tbl_IO_List[[#This Row],[Slot]],"00")&amp;tbl_IO_List[[#This Row],[I/O Type]]&amp;TEXT(tbl_IO_List[[#This Row],[Point]],"00")</f>
        <v>C5S03DO29</v>
      </c>
      <c r="Z811" s="136" t="str">
        <f>tbl_IO_List[[#This Row],[Chassis]]&amp;"S"&amp;TEXT(tbl_IO_List[[#This Row],[Slot]],"00")&amp;","&amp;TEXT(tbl_IO_List[[#This Row],[Point]],"00")</f>
        <v>C5S03,29</v>
      </c>
      <c r="AA811" s="136" t="str">
        <f>VLOOKUP(tbl_IO_List[[#This Row],[Column23]],tbl_RackConfig[],5,FALSE) &amp;"-"&amp;tbl_IO_List[[#This Row],[Point]]</f>
        <v>1756-OB32-29</v>
      </c>
      <c r="AB811" s="136"/>
      <c r="AC811" s="136"/>
      <c r="AD811" s="136" t="str">
        <f>tbl_IO_List[[#This Row],[I/O Type]]</f>
        <v>DO</v>
      </c>
      <c r="AE811" s="136" t="s">
        <v>1336</v>
      </c>
      <c r="AF811" s="136">
        <v>3</v>
      </c>
      <c r="AG811" s="136">
        <v>29</v>
      </c>
      <c r="AH811" s="136"/>
      <c r="AI811" s="136"/>
      <c r="AJ811" s="136">
        <v>0</v>
      </c>
      <c r="AK811" s="136">
        <v>1</v>
      </c>
      <c r="AL811" s="136">
        <v>0</v>
      </c>
      <c r="AM811" s="136">
        <v>0</v>
      </c>
      <c r="AN811" s="136">
        <v>0</v>
      </c>
      <c r="AO811" s="136"/>
      <c r="AP811" s="143" t="e">
        <f>VLOOKUP(tbl_IO_List[[#This Row],[Instruement Tag]],tbl_Instruement_List[],14,FALSE)</f>
        <v>#N/A</v>
      </c>
      <c r="AQ811" s="143" t="str">
        <f>tbl_IO_List[[#This Row],[Chassis]]&amp;"S"&amp;tbl_IO_List[[#This Row],[Slot]]&amp;"-"&amp;tbl_IO_List[[#This Row],[Front Terminal Number]]</f>
        <v>C5S3-</v>
      </c>
      <c r="AR811" s="143"/>
      <c r="AS811" s="136" t="str">
        <f>tbl_IO_List[[#This Row],[Terminal Tagging]]&amp;"-"&amp;tbl_IO_List[[#This Row],[Point-Count]]</f>
        <v>-</v>
      </c>
      <c r="AT811" s="136" t="str">
        <f>tbl_IO_List[[#This Row],[Front Terminal Tagging]]&amp;"/"&amp;tbl_IO_List[[#This Row],[Terminal Tagging-Item]]</f>
        <v>C5S3-/-</v>
      </c>
      <c r="AU811" s="136" t="str">
        <f>tbl_IO_List[[#This Row],[Terminal Tagging-Item]]&amp;"/"&amp;tbl_IO_List[[#This Row],[Front Terminal Tagging]]</f>
        <v>-/C5S3-</v>
      </c>
    </row>
    <row r="812" spans="1:47" hidden="1">
      <c r="A812" s="147" t="s">
        <v>1373</v>
      </c>
      <c r="B812" s="136" t="s">
        <v>382</v>
      </c>
      <c r="C812" s="136" t="str">
        <f>tbl_IO_List[[#This Row],[Column3]]</f>
        <v>C5S03,30</v>
      </c>
      <c r="D812" s="136" t="str">
        <f>tbl_IO_List[[#This Row],[Card]]</f>
        <v>1756-OB32-30</v>
      </c>
      <c r="E812" s="136" t="s">
        <v>1372</v>
      </c>
      <c r="F812" s="136" t="str">
        <f>tbl_IO_List[[#This Row],[Column23]]&amp;"-" &amp;tbl_IO_List[[#This Row],[Column52]]</f>
        <v>C5S03-X2</v>
      </c>
      <c r="G812" s="136" t="str">
        <f>tbl_IO_List[[#This Row],[PLC_Tag]]</f>
        <v>Spare_DO_0</v>
      </c>
      <c r="H812" s="136"/>
      <c r="I812" s="136" t="str">
        <f>VLOOKUP(tbl_IO_List[[#This Row],[Destination]],tbl_Junction[],2,FALSE)</f>
        <v>Slurry - Out Building 2nd Floor</v>
      </c>
      <c r="J812" s="136"/>
      <c r="K812" s="136"/>
      <c r="L812" s="136" t="s">
        <v>411</v>
      </c>
      <c r="M812" s="136" t="e">
        <f>VLOOKUP(tbl_IO_List[[#This Row],[Instruement Tag]],tbl_Instruement_List[],2,FALSE)</f>
        <v>#N/A</v>
      </c>
      <c r="N812" s="136"/>
      <c r="O812" s="136"/>
      <c r="P812" s="136"/>
      <c r="Q812" s="136" t="e">
        <f>VLOOKUP(tbl_IO_List[[#This Row],[Instruement Tag]],tbl_Instruement_List[],6,FALSE)</f>
        <v>#N/A</v>
      </c>
      <c r="R812" s="136"/>
      <c r="S81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812" s="136" t="str">
        <f>tbl_IO_List[[#This Row],[Instruement Tag]]&amp;"_"&amp;tbl_IO_List[[#This Row],[I/O Type]]&amp;"_"&amp;tbl_IO_List[[#This Row],[IO-Point 
(Instruement)]]</f>
        <v>Spare_DO_0</v>
      </c>
      <c r="U812" s="136" t="s">
        <v>7</v>
      </c>
      <c r="V812" s="136">
        <f>VLOOKUP(tbl_IO_List[[#This Row],[I/O Type]],tbl_Slot_Group[],2,FALSE)</f>
        <v>2</v>
      </c>
      <c r="W812" s="136">
        <v>0</v>
      </c>
      <c r="X812" s="136" t="str">
        <f>tbl_IO_List[[#This Row],[Chassis]]&amp;"S"&amp;TEXT(tbl_IO_List[[#This Row],[Slot]],"00")</f>
        <v>C5S03</v>
      </c>
      <c r="Y812" s="136" t="str">
        <f>tbl_IO_List[[#This Row],[Chassis]]&amp;"S"&amp;TEXT(tbl_IO_List[[#This Row],[Slot]],"00")&amp;tbl_IO_List[[#This Row],[I/O Type]]&amp;TEXT(tbl_IO_List[[#This Row],[Point]],"00")</f>
        <v>C5S03DO30</v>
      </c>
      <c r="Z812" s="136" t="str">
        <f>tbl_IO_List[[#This Row],[Chassis]]&amp;"S"&amp;TEXT(tbl_IO_List[[#This Row],[Slot]],"00")&amp;","&amp;TEXT(tbl_IO_List[[#This Row],[Point]],"00")</f>
        <v>C5S03,30</v>
      </c>
      <c r="AA812" s="136" t="str">
        <f>VLOOKUP(tbl_IO_List[[#This Row],[Column23]],tbl_RackConfig[],5,FALSE) &amp;"-"&amp;tbl_IO_List[[#This Row],[Point]]</f>
        <v>1756-OB32-30</v>
      </c>
      <c r="AB812" s="136"/>
      <c r="AC812" s="136"/>
      <c r="AD812" s="136" t="str">
        <f>tbl_IO_List[[#This Row],[I/O Type]]</f>
        <v>DO</v>
      </c>
      <c r="AE812" s="136" t="s">
        <v>1336</v>
      </c>
      <c r="AF812" s="136">
        <v>3</v>
      </c>
      <c r="AG812" s="136">
        <v>30</v>
      </c>
      <c r="AH812" s="136"/>
      <c r="AI812" s="136"/>
      <c r="AJ812" s="136">
        <v>0</v>
      </c>
      <c r="AK812" s="136">
        <v>1</v>
      </c>
      <c r="AL812" s="136">
        <v>0</v>
      </c>
      <c r="AM812" s="136">
        <v>0</v>
      </c>
      <c r="AN812" s="136">
        <v>0</v>
      </c>
      <c r="AO812" s="136"/>
      <c r="AP812" s="143" t="e">
        <f>VLOOKUP(tbl_IO_List[[#This Row],[Instruement Tag]],tbl_Instruement_List[],14,FALSE)</f>
        <v>#N/A</v>
      </c>
      <c r="AQ812" s="143" t="str">
        <f>tbl_IO_List[[#This Row],[Chassis]]&amp;"S"&amp;tbl_IO_List[[#This Row],[Slot]]&amp;"-"&amp;tbl_IO_List[[#This Row],[Front Terminal Number]]</f>
        <v>C5S3-</v>
      </c>
      <c r="AR812" s="143"/>
      <c r="AS812" s="136" t="str">
        <f>tbl_IO_List[[#This Row],[Terminal Tagging]]&amp;"-"&amp;tbl_IO_List[[#This Row],[Point-Count]]</f>
        <v>-</v>
      </c>
      <c r="AT812" s="136" t="str">
        <f>tbl_IO_List[[#This Row],[Front Terminal Tagging]]&amp;"/"&amp;tbl_IO_List[[#This Row],[Terminal Tagging-Item]]</f>
        <v>C5S3-/-</v>
      </c>
      <c r="AU812" s="136" t="str">
        <f>tbl_IO_List[[#This Row],[Terminal Tagging-Item]]&amp;"/"&amp;tbl_IO_List[[#This Row],[Front Terminal Tagging]]</f>
        <v>-/C5S3-</v>
      </c>
    </row>
    <row r="813" spans="1:47" hidden="1">
      <c r="A813" s="147" t="s">
        <v>1373</v>
      </c>
      <c r="B813" s="136" t="s">
        <v>382</v>
      </c>
      <c r="C813" s="136" t="str">
        <f>tbl_IO_List[[#This Row],[Column3]]</f>
        <v>C5S03,31</v>
      </c>
      <c r="D813" s="136" t="str">
        <f>tbl_IO_List[[#This Row],[Card]]</f>
        <v>1756-OB32-31</v>
      </c>
      <c r="E813" s="136" t="s">
        <v>1372</v>
      </c>
      <c r="F813" s="136" t="str">
        <f>tbl_IO_List[[#This Row],[Column23]]&amp;"-" &amp;tbl_IO_List[[#This Row],[Column52]]</f>
        <v>C5S03-X2</v>
      </c>
      <c r="G813" s="136" t="str">
        <f>tbl_IO_List[[#This Row],[PLC_Tag]]</f>
        <v>Spare_DO_0</v>
      </c>
      <c r="H813" s="136"/>
      <c r="I813" s="136" t="str">
        <f>VLOOKUP(tbl_IO_List[[#This Row],[Destination]],tbl_Junction[],2,FALSE)</f>
        <v>Slurry - Out Building 2nd Floor</v>
      </c>
      <c r="J813" s="136"/>
      <c r="K813" s="136"/>
      <c r="L813" s="136" t="s">
        <v>411</v>
      </c>
      <c r="M813" s="136" t="e">
        <f>VLOOKUP(tbl_IO_List[[#This Row],[Instruement Tag]],tbl_Instruement_List[],2,FALSE)</f>
        <v>#N/A</v>
      </c>
      <c r="N813" s="136"/>
      <c r="O813" s="136"/>
      <c r="P813" s="136"/>
      <c r="Q813" s="136" t="e">
        <f>VLOOKUP(tbl_IO_List[[#This Row],[Instruement Tag]],tbl_Instruement_List[],6,FALSE)</f>
        <v>#N/A</v>
      </c>
      <c r="R813" s="136"/>
      <c r="S81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813" s="136" t="str">
        <f>tbl_IO_List[[#This Row],[Instruement Tag]]&amp;"_"&amp;tbl_IO_List[[#This Row],[I/O Type]]&amp;"_"&amp;tbl_IO_List[[#This Row],[IO-Point 
(Instruement)]]</f>
        <v>Spare_DO_0</v>
      </c>
      <c r="U813" s="136" t="s">
        <v>7</v>
      </c>
      <c r="V813" s="136">
        <f>VLOOKUP(tbl_IO_List[[#This Row],[I/O Type]],tbl_Slot_Group[],2,FALSE)</f>
        <v>2</v>
      </c>
      <c r="W813" s="136">
        <v>0</v>
      </c>
      <c r="X813" s="136" t="str">
        <f>tbl_IO_List[[#This Row],[Chassis]]&amp;"S"&amp;TEXT(tbl_IO_List[[#This Row],[Slot]],"00")</f>
        <v>C5S03</v>
      </c>
      <c r="Y813" s="136" t="str">
        <f>tbl_IO_List[[#This Row],[Chassis]]&amp;"S"&amp;TEXT(tbl_IO_List[[#This Row],[Slot]],"00")&amp;tbl_IO_List[[#This Row],[I/O Type]]&amp;TEXT(tbl_IO_List[[#This Row],[Point]],"00")</f>
        <v>C5S03DO31</v>
      </c>
      <c r="Z813" s="136" t="str">
        <f>tbl_IO_List[[#This Row],[Chassis]]&amp;"S"&amp;TEXT(tbl_IO_List[[#This Row],[Slot]],"00")&amp;","&amp;TEXT(tbl_IO_List[[#This Row],[Point]],"00")</f>
        <v>C5S03,31</v>
      </c>
      <c r="AA813" s="136" t="str">
        <f>VLOOKUP(tbl_IO_List[[#This Row],[Column23]],tbl_RackConfig[],5,FALSE) &amp;"-"&amp;tbl_IO_List[[#This Row],[Point]]</f>
        <v>1756-OB32-31</v>
      </c>
      <c r="AB813" s="136"/>
      <c r="AC813" s="136"/>
      <c r="AD813" s="136" t="str">
        <f>tbl_IO_List[[#This Row],[I/O Type]]</f>
        <v>DO</v>
      </c>
      <c r="AE813" s="136" t="s">
        <v>1336</v>
      </c>
      <c r="AF813" s="136">
        <v>3</v>
      </c>
      <c r="AG813" s="136">
        <v>31</v>
      </c>
      <c r="AH813" s="136"/>
      <c r="AI813" s="136"/>
      <c r="AJ813" s="136">
        <v>0</v>
      </c>
      <c r="AK813" s="136">
        <v>1</v>
      </c>
      <c r="AL813" s="136">
        <v>0</v>
      </c>
      <c r="AM813" s="136">
        <v>0</v>
      </c>
      <c r="AN813" s="136">
        <v>0</v>
      </c>
      <c r="AO813" s="136"/>
      <c r="AP813" s="143" t="e">
        <f>VLOOKUP(tbl_IO_List[[#This Row],[Instruement Tag]],tbl_Instruement_List[],14,FALSE)</f>
        <v>#N/A</v>
      </c>
      <c r="AQ813" s="143" t="str">
        <f>tbl_IO_List[[#This Row],[Chassis]]&amp;"S"&amp;tbl_IO_List[[#This Row],[Slot]]&amp;"-"&amp;tbl_IO_List[[#This Row],[Front Terminal Number]]</f>
        <v>C5S3-</v>
      </c>
      <c r="AR813" s="143"/>
      <c r="AS813" s="136" t="str">
        <f>tbl_IO_List[[#This Row],[Terminal Tagging]]&amp;"-"&amp;tbl_IO_List[[#This Row],[Point-Count]]</f>
        <v>-</v>
      </c>
      <c r="AT813" s="136" t="str">
        <f>tbl_IO_List[[#This Row],[Front Terminal Tagging]]&amp;"/"&amp;tbl_IO_List[[#This Row],[Terminal Tagging-Item]]</f>
        <v>C5S3-/-</v>
      </c>
      <c r="AU813" s="136" t="str">
        <f>tbl_IO_List[[#This Row],[Terminal Tagging-Item]]&amp;"/"&amp;tbl_IO_List[[#This Row],[Front Terminal Tagging]]</f>
        <v>-/C5S3-</v>
      </c>
    </row>
    <row r="814" spans="1:47" hidden="1">
      <c r="A814" s="147" t="s">
        <v>1373</v>
      </c>
      <c r="B814" s="136" t="s">
        <v>382</v>
      </c>
      <c r="C814" s="136" t="str">
        <f>tbl_IO_List[[#This Row],[Column3]]</f>
        <v>C5S04,00</v>
      </c>
      <c r="D814" s="136" t="str">
        <f>tbl_IO_List[[#This Row],[Card]]</f>
        <v>1756-IF16-0</v>
      </c>
      <c r="E814" s="136" t="s">
        <v>1366</v>
      </c>
      <c r="F814" s="136" t="str">
        <f>tbl_IO_List[[#This Row],[Column23]]&amp;"-" &amp;tbl_IO_List[[#This Row],[Column52]]</f>
        <v>C5S04-X1</v>
      </c>
      <c r="G814" s="136" t="str">
        <f>tbl_IO_List[[#This Row],[PLC_Tag]]</f>
        <v>EXT-BIILER_AI_1</v>
      </c>
      <c r="H814" s="136"/>
      <c r="I814" s="136" t="str">
        <f>VLOOKUP(tbl_IO_List[[#This Row],[Destination]],tbl_Junction[],2,FALSE)</f>
        <v>Slurry - Out Building 2nd Floor</v>
      </c>
      <c r="J814" s="136" t="s">
        <v>382</v>
      </c>
      <c r="K814" s="136" t="s">
        <v>409</v>
      </c>
      <c r="L814" s="136" t="s">
        <v>1374</v>
      </c>
      <c r="M814" s="136" t="e">
        <f>VLOOKUP(tbl_IO_List[[#This Row],[Instruement Tag]],tbl_Instruement_List[],2,FALSE)</f>
        <v>#N/A</v>
      </c>
      <c r="N814" s="136" t="s">
        <v>15</v>
      </c>
      <c r="O814" s="136"/>
      <c r="P814" s="136" t="s">
        <v>410</v>
      </c>
      <c r="Q814" s="136" t="e">
        <f>VLOOKUP(tbl_IO_List[[#This Row],[Instruement Tag]],tbl_Instruement_List[],6,FALSE)</f>
        <v>#N/A</v>
      </c>
      <c r="R814" s="136"/>
      <c r="S81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814" s="136" t="str">
        <f>tbl_IO_List[[#This Row],[Instruement Tag]]&amp;"_"&amp;tbl_IO_List[[#This Row],[I/O Type]]&amp;"_"&amp;tbl_IO_List[[#This Row],[IO-Point 
(Instruement)]]</f>
        <v>EXT-BIILER_AI_1</v>
      </c>
      <c r="U814" s="136" t="s">
        <v>10</v>
      </c>
      <c r="V814" s="136">
        <f>VLOOKUP(tbl_IO_List[[#This Row],[I/O Type]],tbl_Slot_Group[],2,FALSE)</f>
        <v>3</v>
      </c>
      <c r="W814" s="136">
        <v>1</v>
      </c>
      <c r="X814" s="136" t="str">
        <f>tbl_IO_List[[#This Row],[Chassis]]&amp;"S"&amp;TEXT(tbl_IO_List[[#This Row],[Slot]],"00")</f>
        <v>C5S04</v>
      </c>
      <c r="Y814" s="136" t="str">
        <f>tbl_IO_List[[#This Row],[Chassis]]&amp;"S"&amp;TEXT(tbl_IO_List[[#This Row],[Slot]],"00")&amp;tbl_IO_List[[#This Row],[I/O Type]]&amp;TEXT(tbl_IO_List[[#This Row],[Point]],"00")</f>
        <v>C5S04AI00</v>
      </c>
      <c r="Z814" s="136" t="str">
        <f>tbl_IO_List[[#This Row],[Chassis]]&amp;"S"&amp;TEXT(tbl_IO_List[[#This Row],[Slot]],"00")&amp;","&amp;TEXT(tbl_IO_List[[#This Row],[Point]],"00")</f>
        <v>C5S04,00</v>
      </c>
      <c r="AA814" s="136" t="str">
        <f>VLOOKUP(tbl_IO_List[[#This Row],[Column23]],tbl_RackConfig[],5,FALSE) &amp;"-"&amp;tbl_IO_List[[#This Row],[Point]]</f>
        <v>1756-IF16-0</v>
      </c>
      <c r="AB814" s="136"/>
      <c r="AC814" s="136"/>
      <c r="AD814" s="136" t="str">
        <f>tbl_IO_List[[#This Row],[I/O Type]]</f>
        <v>AI</v>
      </c>
      <c r="AE814" s="136" t="s">
        <v>1336</v>
      </c>
      <c r="AF814" s="136">
        <v>4</v>
      </c>
      <c r="AG814" s="136">
        <v>0</v>
      </c>
      <c r="AH814" s="136"/>
      <c r="AI814" s="136"/>
      <c r="AJ814" s="136">
        <v>0</v>
      </c>
      <c r="AK814" s="136">
        <v>0</v>
      </c>
      <c r="AL814" s="136">
        <v>1</v>
      </c>
      <c r="AM814" s="136">
        <v>0</v>
      </c>
      <c r="AN814" s="136">
        <v>0</v>
      </c>
      <c r="AO814" s="136"/>
      <c r="AP814" s="143" t="e">
        <f>VLOOKUP(tbl_IO_List[[#This Row],[Instruement Tag]],tbl_Instruement_List[],14,FALSE)</f>
        <v>#N/A</v>
      </c>
      <c r="AQ814" s="143" t="str">
        <f>tbl_IO_List[[#This Row],[Chassis]]&amp;"S"&amp;tbl_IO_List[[#This Row],[Slot]]&amp;"-"&amp;tbl_IO_List[[#This Row],[Front Terminal Number]]</f>
        <v>C5S4-</v>
      </c>
      <c r="AR814" s="143"/>
      <c r="AS814" s="136" t="str">
        <f>tbl_IO_List[[#This Row],[Terminal Tagging]]&amp;"-"&amp;tbl_IO_List[[#This Row],[Point-Count]]</f>
        <v>-</v>
      </c>
      <c r="AT814" s="136" t="str">
        <f>tbl_IO_List[[#This Row],[Front Terminal Tagging]]&amp;"/"&amp;tbl_IO_List[[#This Row],[Terminal Tagging-Item]]</f>
        <v>C5S4-/-</v>
      </c>
      <c r="AU814" s="136" t="str">
        <f>tbl_IO_List[[#This Row],[Terminal Tagging-Item]]&amp;"/"&amp;tbl_IO_List[[#This Row],[Front Terminal Tagging]]</f>
        <v>-/C5S4-</v>
      </c>
    </row>
    <row r="815" spans="1:47" hidden="1">
      <c r="A815" s="147" t="s">
        <v>1373</v>
      </c>
      <c r="B815" s="136" t="s">
        <v>382</v>
      </c>
      <c r="C815" s="136" t="str">
        <f>tbl_IO_List[[#This Row],[Column3]]</f>
        <v>C5S04,01</v>
      </c>
      <c r="D815" s="136" t="str">
        <f>tbl_IO_List[[#This Row],[Card]]</f>
        <v>1756-IF16-1</v>
      </c>
      <c r="E815" s="136" t="s">
        <v>1366</v>
      </c>
      <c r="F815" s="136" t="str">
        <f>tbl_IO_List[[#This Row],[Column23]]&amp;"-" &amp;tbl_IO_List[[#This Row],[Column52]]</f>
        <v>C5S04-X1</v>
      </c>
      <c r="G815" s="136" t="str">
        <f>tbl_IO_List[[#This Row],[PLC_Tag]]</f>
        <v>FT-913201_AI_1</v>
      </c>
      <c r="H815" s="136"/>
      <c r="I815" s="136" t="str">
        <f>VLOOKUP(tbl_IO_List[[#This Row],[Destination]],tbl_Junction[],2,FALSE)</f>
        <v>Slurry - Out Building 2nd Floor</v>
      </c>
      <c r="J815" s="136" t="s">
        <v>382</v>
      </c>
      <c r="K815" s="136" t="s">
        <v>404</v>
      </c>
      <c r="L815" s="136" t="s">
        <v>403</v>
      </c>
      <c r="M815" s="136">
        <f>VLOOKUP(tbl_IO_List[[#This Row],[Instruement Tag]],tbl_Instruement_List[],2,FALSE)</f>
        <v>0</v>
      </c>
      <c r="N815" s="136" t="s">
        <v>15</v>
      </c>
      <c r="O815" s="136" t="s">
        <v>405</v>
      </c>
      <c r="P815" s="136" t="s">
        <v>406</v>
      </c>
      <c r="Q815" s="136" t="str">
        <f>VLOOKUP(tbl_IO_List[[#This Row],[Instruement Tag]],tbl_Instruement_List[],6,FALSE)</f>
        <v>Flow outlet LPG line</v>
      </c>
      <c r="R815" s="136"/>
      <c r="S81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1,DO=0,AI=2,AO=0,Bus=0</v>
      </c>
      <c r="T815" s="136" t="str">
        <f>tbl_IO_List[[#This Row],[Instruement Tag]]&amp;"_"&amp;tbl_IO_List[[#This Row],[I/O Type]]&amp;"_"&amp;tbl_IO_List[[#This Row],[IO-Point 
(Instruement)]]</f>
        <v>FT-913201_AI_1</v>
      </c>
      <c r="U815" s="136" t="s">
        <v>10</v>
      </c>
      <c r="V815" s="136">
        <f>VLOOKUP(tbl_IO_List[[#This Row],[I/O Type]],tbl_Slot_Group[],2,FALSE)</f>
        <v>3</v>
      </c>
      <c r="W815" s="136">
        <v>1</v>
      </c>
      <c r="X815" s="136" t="str">
        <f>tbl_IO_List[[#This Row],[Chassis]]&amp;"S"&amp;TEXT(tbl_IO_List[[#This Row],[Slot]],"00")</f>
        <v>C5S04</v>
      </c>
      <c r="Y815" s="136" t="str">
        <f>tbl_IO_List[[#This Row],[Chassis]]&amp;"S"&amp;TEXT(tbl_IO_List[[#This Row],[Slot]],"00")&amp;tbl_IO_List[[#This Row],[I/O Type]]&amp;TEXT(tbl_IO_List[[#This Row],[Point]],"00")</f>
        <v>C5S04AI01</v>
      </c>
      <c r="Z815" s="136" t="str">
        <f>tbl_IO_List[[#This Row],[Chassis]]&amp;"S"&amp;TEXT(tbl_IO_List[[#This Row],[Slot]],"00")&amp;","&amp;TEXT(tbl_IO_List[[#This Row],[Point]],"00")</f>
        <v>C5S04,01</v>
      </c>
      <c r="AA815" s="136" t="str">
        <f>VLOOKUP(tbl_IO_List[[#This Row],[Column23]],tbl_RackConfig[],5,FALSE) &amp;"-"&amp;tbl_IO_List[[#This Row],[Point]]</f>
        <v>1756-IF16-1</v>
      </c>
      <c r="AB815" s="136"/>
      <c r="AC815" s="136"/>
      <c r="AD815" s="136" t="str">
        <f>tbl_IO_List[[#This Row],[I/O Type]]</f>
        <v>AI</v>
      </c>
      <c r="AE815" s="136" t="s">
        <v>1336</v>
      </c>
      <c r="AF815" s="136">
        <v>4</v>
      </c>
      <c r="AG815" s="136">
        <v>1</v>
      </c>
      <c r="AH815" s="136"/>
      <c r="AI815" s="136"/>
      <c r="AJ815" s="136">
        <v>1</v>
      </c>
      <c r="AK815" s="136">
        <v>0</v>
      </c>
      <c r="AL815" s="136">
        <v>2</v>
      </c>
      <c r="AM815" s="136">
        <v>0</v>
      </c>
      <c r="AN815" s="136">
        <v>0</v>
      </c>
      <c r="AO815" s="136"/>
      <c r="AP815" s="143" t="str">
        <f>VLOOKUP(tbl_IO_List[[#This Row],[Instruement Tag]],tbl_Instruement_List[],14,FALSE)</f>
        <v>4 - 20 mA,Pulse</v>
      </c>
      <c r="AQ815" s="143" t="str">
        <f>tbl_IO_List[[#This Row],[Chassis]]&amp;"S"&amp;tbl_IO_List[[#This Row],[Slot]]&amp;"-"&amp;tbl_IO_List[[#This Row],[Front Terminal Number]]</f>
        <v>C5S4-</v>
      </c>
      <c r="AR815" s="143"/>
      <c r="AS815" s="136" t="str">
        <f>tbl_IO_List[[#This Row],[Terminal Tagging]]&amp;"-"&amp;tbl_IO_List[[#This Row],[Point-Count]]</f>
        <v>-</v>
      </c>
      <c r="AT815" s="136" t="str">
        <f>tbl_IO_List[[#This Row],[Front Terminal Tagging]]&amp;"/"&amp;tbl_IO_List[[#This Row],[Terminal Tagging-Item]]</f>
        <v>C5S4-/-</v>
      </c>
      <c r="AU815" s="136" t="str">
        <f>tbl_IO_List[[#This Row],[Terminal Tagging-Item]]&amp;"/"&amp;tbl_IO_List[[#This Row],[Front Terminal Tagging]]</f>
        <v>-/C5S4-</v>
      </c>
    </row>
    <row r="816" spans="1:47" hidden="1">
      <c r="A816" s="147" t="s">
        <v>1373</v>
      </c>
      <c r="B816" s="136" t="s">
        <v>382</v>
      </c>
      <c r="C816" s="136" t="str">
        <f>tbl_IO_List[[#This Row],[Column3]]</f>
        <v>C5S04,02</v>
      </c>
      <c r="D816" s="136" t="str">
        <f>tbl_IO_List[[#This Row],[Card]]</f>
        <v>1756-IF16-2</v>
      </c>
      <c r="E816" s="136" t="s">
        <v>1366</v>
      </c>
      <c r="F816" s="136" t="str">
        <f>tbl_IO_List[[#This Row],[Column23]]&amp;"-" &amp;tbl_IO_List[[#This Row],[Column52]]</f>
        <v>C5S04-X1</v>
      </c>
      <c r="G816" s="136" t="str">
        <f>tbl_IO_List[[#This Row],[PLC_Tag]]</f>
        <v>FT-913201_AI_2</v>
      </c>
      <c r="H816" s="136"/>
      <c r="I816" s="136" t="str">
        <f>VLOOKUP(tbl_IO_List[[#This Row],[Destination]],tbl_Junction[],2,FALSE)</f>
        <v>Slurry - Out Building 2nd Floor</v>
      </c>
      <c r="J816" s="136" t="s">
        <v>382</v>
      </c>
      <c r="K816" s="136" t="s">
        <v>404</v>
      </c>
      <c r="L816" s="136" t="s">
        <v>403</v>
      </c>
      <c r="M816" s="136">
        <f>VLOOKUP(tbl_IO_List[[#This Row],[Instruement Tag]],tbl_Instruement_List[],2,FALSE)</f>
        <v>0</v>
      </c>
      <c r="N816" s="136" t="s">
        <v>15</v>
      </c>
      <c r="O816" s="136" t="s">
        <v>405</v>
      </c>
      <c r="P816" s="136" t="s">
        <v>406</v>
      </c>
      <c r="Q816" s="136" t="str">
        <f>VLOOKUP(tbl_IO_List[[#This Row],[Instruement Tag]],tbl_Instruement_List[],6,FALSE)</f>
        <v>Flow outlet LPG line</v>
      </c>
      <c r="R816" s="136"/>
      <c r="S81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1,DO=0,AI=2,AO=0,Bus=0</v>
      </c>
      <c r="T816" s="136" t="str">
        <f>tbl_IO_List[[#This Row],[Instruement Tag]]&amp;"_"&amp;tbl_IO_List[[#This Row],[I/O Type]]&amp;"_"&amp;tbl_IO_List[[#This Row],[IO-Point 
(Instruement)]]</f>
        <v>FT-913201_AI_2</v>
      </c>
      <c r="U816" s="136" t="s">
        <v>10</v>
      </c>
      <c r="V816" s="136">
        <f>VLOOKUP(tbl_IO_List[[#This Row],[I/O Type]],tbl_Slot_Group[],2,FALSE)</f>
        <v>3</v>
      </c>
      <c r="W816" s="136">
        <v>2</v>
      </c>
      <c r="X816" s="136" t="str">
        <f>tbl_IO_List[[#This Row],[Chassis]]&amp;"S"&amp;TEXT(tbl_IO_List[[#This Row],[Slot]],"00")</f>
        <v>C5S04</v>
      </c>
      <c r="Y816" s="136" t="str">
        <f>tbl_IO_List[[#This Row],[Chassis]]&amp;"S"&amp;TEXT(tbl_IO_List[[#This Row],[Slot]],"00")&amp;tbl_IO_List[[#This Row],[I/O Type]]&amp;TEXT(tbl_IO_List[[#This Row],[Point]],"00")</f>
        <v>C5S04AI02</v>
      </c>
      <c r="Z816" s="136" t="str">
        <f>tbl_IO_List[[#This Row],[Chassis]]&amp;"S"&amp;TEXT(tbl_IO_List[[#This Row],[Slot]],"00")&amp;","&amp;TEXT(tbl_IO_List[[#This Row],[Point]],"00")</f>
        <v>C5S04,02</v>
      </c>
      <c r="AA816" s="136" t="str">
        <f>VLOOKUP(tbl_IO_List[[#This Row],[Column23]],tbl_RackConfig[],5,FALSE) &amp;"-"&amp;tbl_IO_List[[#This Row],[Point]]</f>
        <v>1756-IF16-2</v>
      </c>
      <c r="AB816" s="136"/>
      <c r="AC816" s="136"/>
      <c r="AD816" s="136" t="str">
        <f>tbl_IO_List[[#This Row],[I/O Type]]</f>
        <v>AI</v>
      </c>
      <c r="AE816" s="136" t="s">
        <v>1336</v>
      </c>
      <c r="AF816" s="136">
        <v>4</v>
      </c>
      <c r="AG816" s="136">
        <v>2</v>
      </c>
      <c r="AH816" s="136"/>
      <c r="AI816" s="136"/>
      <c r="AJ816" s="136">
        <v>1</v>
      </c>
      <c r="AK816" s="136">
        <v>0</v>
      </c>
      <c r="AL816" s="136">
        <v>2</v>
      </c>
      <c r="AM816" s="136">
        <v>0</v>
      </c>
      <c r="AN816" s="136">
        <v>0</v>
      </c>
      <c r="AO816" s="136"/>
      <c r="AP816" s="143" t="str">
        <f>VLOOKUP(tbl_IO_List[[#This Row],[Instruement Tag]],tbl_Instruement_List[],14,FALSE)</f>
        <v>4 - 20 mA,Pulse</v>
      </c>
      <c r="AQ816" s="143" t="str">
        <f>tbl_IO_List[[#This Row],[Chassis]]&amp;"S"&amp;tbl_IO_List[[#This Row],[Slot]]&amp;"-"&amp;tbl_IO_List[[#This Row],[Front Terminal Number]]</f>
        <v>C5S4-</v>
      </c>
      <c r="AR816" s="143"/>
      <c r="AS816" s="136" t="str">
        <f>tbl_IO_List[[#This Row],[Terminal Tagging]]&amp;"-"&amp;tbl_IO_List[[#This Row],[Point-Count]]</f>
        <v>-</v>
      </c>
      <c r="AT816" s="136" t="str">
        <f>tbl_IO_List[[#This Row],[Front Terminal Tagging]]&amp;"/"&amp;tbl_IO_List[[#This Row],[Terminal Tagging-Item]]</f>
        <v>C5S4-/-</v>
      </c>
      <c r="AU816" s="136" t="str">
        <f>tbl_IO_List[[#This Row],[Terminal Tagging-Item]]&amp;"/"&amp;tbl_IO_List[[#This Row],[Front Terminal Tagging]]</f>
        <v>-/C5S4-</v>
      </c>
    </row>
    <row r="817" spans="1:47" hidden="1">
      <c r="A817" s="147" t="s">
        <v>1373</v>
      </c>
      <c r="B817" s="136" t="s">
        <v>382</v>
      </c>
      <c r="C817" s="136" t="str">
        <f>tbl_IO_List[[#This Row],[Column3]]</f>
        <v>C5S04,03</v>
      </c>
      <c r="D817" s="136" t="str">
        <f>tbl_IO_List[[#This Row],[Card]]</f>
        <v>1756-IF16-3</v>
      </c>
      <c r="E817" s="136" t="s">
        <v>1366</v>
      </c>
      <c r="F817" s="136" t="str">
        <f>tbl_IO_List[[#This Row],[Column23]]&amp;"-" &amp;tbl_IO_List[[#This Row],[Column52]]</f>
        <v>C5S04-X1</v>
      </c>
      <c r="G817" s="136" t="str">
        <f>tbl_IO_List[[#This Row],[PLC_Tag]]</f>
        <v>FT-936201_AI_1</v>
      </c>
      <c r="H817" s="136"/>
      <c r="I817" s="136" t="str">
        <f>VLOOKUP(tbl_IO_List[[#This Row],[Destination]],tbl_Junction[],2,FALSE)</f>
        <v>Slurry - Out Building 2nd Floor</v>
      </c>
      <c r="J817" s="136" t="s">
        <v>382</v>
      </c>
      <c r="K817" s="136" t="s">
        <v>419</v>
      </c>
      <c r="L817" s="136" t="s">
        <v>422</v>
      </c>
      <c r="M817" s="136">
        <f>VLOOKUP(tbl_IO_List[[#This Row],[Instruement Tag]],tbl_Instruement_List[],2,FALSE)</f>
        <v>0</v>
      </c>
      <c r="N817" s="136" t="s">
        <v>15</v>
      </c>
      <c r="O817" s="136" t="s">
        <v>423</v>
      </c>
      <c r="P817" s="136" t="s">
        <v>424</v>
      </c>
      <c r="Q817" s="136" t="str">
        <f>VLOOKUP(tbl_IO_List[[#This Row],[Instruement Tag]],tbl_Instruement_List[],6,FALSE)</f>
        <v>Process Water</v>
      </c>
      <c r="R817" s="136"/>
      <c r="S81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1,DO=0,AI=1,AO=0,Bus=0</v>
      </c>
      <c r="T817" s="136" t="str">
        <f>tbl_IO_List[[#This Row],[Instruement Tag]]&amp;"_"&amp;tbl_IO_List[[#This Row],[I/O Type]]&amp;"_"&amp;tbl_IO_List[[#This Row],[IO-Point 
(Instruement)]]</f>
        <v>FT-936201_AI_1</v>
      </c>
      <c r="U817" s="136" t="s">
        <v>10</v>
      </c>
      <c r="V817" s="136">
        <f>VLOOKUP(tbl_IO_List[[#This Row],[I/O Type]],tbl_Slot_Group[],2,FALSE)</f>
        <v>3</v>
      </c>
      <c r="W817" s="136">
        <v>1</v>
      </c>
      <c r="X817" s="136" t="str">
        <f>tbl_IO_List[[#This Row],[Chassis]]&amp;"S"&amp;TEXT(tbl_IO_List[[#This Row],[Slot]],"00")</f>
        <v>C5S04</v>
      </c>
      <c r="Y817" s="136" t="str">
        <f>tbl_IO_List[[#This Row],[Chassis]]&amp;"S"&amp;TEXT(tbl_IO_List[[#This Row],[Slot]],"00")&amp;tbl_IO_List[[#This Row],[I/O Type]]&amp;TEXT(tbl_IO_List[[#This Row],[Point]],"00")</f>
        <v>C5S04AI03</v>
      </c>
      <c r="Z817" s="136" t="str">
        <f>tbl_IO_List[[#This Row],[Chassis]]&amp;"S"&amp;TEXT(tbl_IO_List[[#This Row],[Slot]],"00")&amp;","&amp;TEXT(tbl_IO_List[[#This Row],[Point]],"00")</f>
        <v>C5S04,03</v>
      </c>
      <c r="AA817" s="136" t="str">
        <f>VLOOKUP(tbl_IO_List[[#This Row],[Column23]],tbl_RackConfig[],5,FALSE) &amp;"-"&amp;tbl_IO_List[[#This Row],[Point]]</f>
        <v>1756-IF16-3</v>
      </c>
      <c r="AB817" s="136"/>
      <c r="AC817" s="136"/>
      <c r="AD817" s="136" t="str">
        <f>tbl_IO_List[[#This Row],[I/O Type]]</f>
        <v>AI</v>
      </c>
      <c r="AE817" s="136" t="s">
        <v>1336</v>
      </c>
      <c r="AF817" s="136">
        <v>4</v>
      </c>
      <c r="AG817" s="136">
        <v>3</v>
      </c>
      <c r="AH817" s="136"/>
      <c r="AI817" s="136"/>
      <c r="AJ817" s="136">
        <v>1</v>
      </c>
      <c r="AK817" s="136">
        <v>0</v>
      </c>
      <c r="AL817" s="136">
        <v>1</v>
      </c>
      <c r="AM817" s="136">
        <v>0</v>
      </c>
      <c r="AN817" s="136">
        <v>0</v>
      </c>
      <c r="AO817" s="136"/>
      <c r="AP817" s="143" t="str">
        <f>VLOOKUP(tbl_IO_List[[#This Row],[Instruement Tag]],tbl_Instruement_List[],14,FALSE)</f>
        <v>4 - 20 mA,Pulse</v>
      </c>
      <c r="AQ817" s="143" t="str">
        <f>tbl_IO_List[[#This Row],[Chassis]]&amp;"S"&amp;tbl_IO_List[[#This Row],[Slot]]&amp;"-"&amp;tbl_IO_List[[#This Row],[Front Terminal Number]]</f>
        <v>C5S4-</v>
      </c>
      <c r="AR817" s="143"/>
      <c r="AS817" s="136" t="str">
        <f>tbl_IO_List[[#This Row],[Terminal Tagging]]&amp;"-"&amp;tbl_IO_List[[#This Row],[Point-Count]]</f>
        <v>-</v>
      </c>
      <c r="AT817" s="136" t="str">
        <f>tbl_IO_List[[#This Row],[Front Terminal Tagging]]&amp;"/"&amp;tbl_IO_List[[#This Row],[Terminal Tagging-Item]]</f>
        <v>C5S4-/-</v>
      </c>
      <c r="AU817" s="136" t="str">
        <f>tbl_IO_List[[#This Row],[Terminal Tagging-Item]]&amp;"/"&amp;tbl_IO_List[[#This Row],[Front Terminal Tagging]]</f>
        <v>-/C5S4-</v>
      </c>
    </row>
    <row r="818" spans="1:47" hidden="1">
      <c r="A818" s="147" t="s">
        <v>1373</v>
      </c>
      <c r="B818" s="136" t="s">
        <v>382</v>
      </c>
      <c r="C818" s="136" t="str">
        <f>tbl_IO_List[[#This Row],[Column3]]</f>
        <v>C5S04,04</v>
      </c>
      <c r="D818" s="136" t="str">
        <f>tbl_IO_List[[#This Row],[Card]]</f>
        <v>1756-IF16-4</v>
      </c>
      <c r="E818" s="136" t="s">
        <v>1366</v>
      </c>
      <c r="F818" s="136" t="str">
        <f>tbl_IO_List[[#This Row],[Column23]]&amp;"-" &amp;tbl_IO_List[[#This Row],[Column52]]</f>
        <v>C5S04-X1</v>
      </c>
      <c r="G818" s="136" t="str">
        <f>tbl_IO_List[[#This Row],[PLC_Tag]]</f>
        <v>FT-936202_AI_1</v>
      </c>
      <c r="H818" s="136"/>
      <c r="I818" s="136" t="str">
        <f>VLOOKUP(tbl_IO_List[[#This Row],[Destination]],tbl_Junction[],2,FALSE)</f>
        <v>Slurry - Out Building 2nd Floor</v>
      </c>
      <c r="J818" s="136" t="s">
        <v>382</v>
      </c>
      <c r="K818" s="136" t="s">
        <v>419</v>
      </c>
      <c r="L818" s="136" t="s">
        <v>418</v>
      </c>
      <c r="M818" s="136">
        <f>VLOOKUP(tbl_IO_List[[#This Row],[Instruement Tag]],tbl_Instruement_List[],2,FALSE)</f>
        <v>0</v>
      </c>
      <c r="N818" s="136" t="s">
        <v>15</v>
      </c>
      <c r="O818" s="136" t="s">
        <v>420</v>
      </c>
      <c r="P818" s="136" t="s">
        <v>421</v>
      </c>
      <c r="Q818" s="136" t="str">
        <f>VLOOKUP(tbl_IO_List[[#This Row],[Instruement Tag]],tbl_Instruement_List[],6,FALSE)</f>
        <v>Process Water</v>
      </c>
      <c r="R818" s="136"/>
      <c r="S81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1,DO=0,AI=1,AO=0,Bus=0</v>
      </c>
      <c r="T818" s="136" t="str">
        <f>tbl_IO_List[[#This Row],[Instruement Tag]]&amp;"_"&amp;tbl_IO_List[[#This Row],[I/O Type]]&amp;"_"&amp;tbl_IO_List[[#This Row],[IO-Point 
(Instruement)]]</f>
        <v>FT-936202_AI_1</v>
      </c>
      <c r="U818" s="136" t="s">
        <v>10</v>
      </c>
      <c r="V818" s="136">
        <f>VLOOKUP(tbl_IO_List[[#This Row],[I/O Type]],tbl_Slot_Group[],2,FALSE)</f>
        <v>3</v>
      </c>
      <c r="W818" s="136">
        <v>1</v>
      </c>
      <c r="X818" s="136" t="str">
        <f>tbl_IO_List[[#This Row],[Chassis]]&amp;"S"&amp;TEXT(tbl_IO_List[[#This Row],[Slot]],"00")</f>
        <v>C5S04</v>
      </c>
      <c r="Y818" s="136" t="str">
        <f>tbl_IO_List[[#This Row],[Chassis]]&amp;"S"&amp;TEXT(tbl_IO_List[[#This Row],[Slot]],"00")&amp;tbl_IO_List[[#This Row],[I/O Type]]&amp;TEXT(tbl_IO_List[[#This Row],[Point]],"00")</f>
        <v>C5S04AI04</v>
      </c>
      <c r="Z818" s="136" t="str">
        <f>tbl_IO_List[[#This Row],[Chassis]]&amp;"S"&amp;TEXT(tbl_IO_List[[#This Row],[Slot]],"00")&amp;","&amp;TEXT(tbl_IO_List[[#This Row],[Point]],"00")</f>
        <v>C5S04,04</v>
      </c>
      <c r="AA818" s="136" t="str">
        <f>VLOOKUP(tbl_IO_List[[#This Row],[Column23]],tbl_RackConfig[],5,FALSE) &amp;"-"&amp;tbl_IO_List[[#This Row],[Point]]</f>
        <v>1756-IF16-4</v>
      </c>
      <c r="AB818" s="136"/>
      <c r="AC818" s="136"/>
      <c r="AD818" s="136" t="str">
        <f>tbl_IO_List[[#This Row],[I/O Type]]</f>
        <v>AI</v>
      </c>
      <c r="AE818" s="136" t="s">
        <v>1336</v>
      </c>
      <c r="AF818" s="136">
        <v>4</v>
      </c>
      <c r="AG818" s="136">
        <v>4</v>
      </c>
      <c r="AH818" s="136"/>
      <c r="AI818" s="136"/>
      <c r="AJ818" s="136">
        <v>1</v>
      </c>
      <c r="AK818" s="136">
        <v>0</v>
      </c>
      <c r="AL818" s="136">
        <v>1</v>
      </c>
      <c r="AM818" s="136">
        <v>0</v>
      </c>
      <c r="AN818" s="136">
        <v>0</v>
      </c>
      <c r="AO818" s="136"/>
      <c r="AP818" s="143" t="str">
        <f>VLOOKUP(tbl_IO_List[[#This Row],[Instruement Tag]],tbl_Instruement_List[],14,FALSE)</f>
        <v>4 - 20 mA,Pulse</v>
      </c>
      <c r="AQ818" s="143" t="str">
        <f>tbl_IO_List[[#This Row],[Chassis]]&amp;"S"&amp;tbl_IO_List[[#This Row],[Slot]]&amp;"-"&amp;tbl_IO_List[[#This Row],[Front Terminal Number]]</f>
        <v>C5S4-</v>
      </c>
      <c r="AR818" s="143"/>
      <c r="AS818" s="136" t="str">
        <f>tbl_IO_List[[#This Row],[Terminal Tagging]]&amp;"-"&amp;tbl_IO_List[[#This Row],[Point-Count]]</f>
        <v>-</v>
      </c>
      <c r="AT818" s="136" t="str">
        <f>tbl_IO_List[[#This Row],[Front Terminal Tagging]]&amp;"/"&amp;tbl_IO_List[[#This Row],[Terminal Tagging-Item]]</f>
        <v>C5S4-/-</v>
      </c>
      <c r="AU818" s="136" t="str">
        <f>tbl_IO_List[[#This Row],[Terminal Tagging-Item]]&amp;"/"&amp;tbl_IO_List[[#This Row],[Front Terminal Tagging]]</f>
        <v>-/C5S4-</v>
      </c>
    </row>
    <row r="819" spans="1:47" hidden="1">
      <c r="A819" s="147" t="s">
        <v>1373</v>
      </c>
      <c r="B819" s="136" t="s">
        <v>382</v>
      </c>
      <c r="C819" s="136" t="str">
        <f>tbl_IO_List[[#This Row],[Column3]]</f>
        <v>C5S04,05</v>
      </c>
      <c r="D819" s="136" t="str">
        <f>tbl_IO_List[[#This Row],[Card]]</f>
        <v>1756-IF16-5</v>
      </c>
      <c r="E819" s="136" t="s">
        <v>1366</v>
      </c>
      <c r="F819" s="136" t="str">
        <f>tbl_IO_List[[#This Row],[Column23]]&amp;"-" &amp;tbl_IO_List[[#This Row],[Column52]]</f>
        <v>C5S04-X1</v>
      </c>
      <c r="G819" s="136" t="str">
        <f>tbl_IO_List[[#This Row],[PLC_Tag]]</f>
        <v>LT-913201_AI_1</v>
      </c>
      <c r="H819" s="136"/>
      <c r="I819" s="136" t="str">
        <f>VLOOKUP(tbl_IO_List[[#This Row],[Destination]],tbl_Junction[],2,FALSE)</f>
        <v>Slurry - Out Building 2nd Floor</v>
      </c>
      <c r="J819" s="136" t="s">
        <v>382</v>
      </c>
      <c r="K819" s="136" t="s">
        <v>404</v>
      </c>
      <c r="L819" s="136" t="s">
        <v>427</v>
      </c>
      <c r="M819" s="136" t="str">
        <f>VLOOKUP(tbl_IO_List[[#This Row],[Instruement Tag]],tbl_Instruement_List[],2,FALSE)</f>
        <v>Level Transmitter</v>
      </c>
      <c r="N819" s="136" t="s">
        <v>15</v>
      </c>
      <c r="O819" s="136" t="s">
        <v>428</v>
      </c>
      <c r="P819" s="136" t="s">
        <v>429</v>
      </c>
      <c r="Q819" s="136" t="str">
        <f>VLOOKUP(tbl_IO_List[[#This Row],[Instruement Tag]],tbl_Instruement_List[],6,FALSE)</f>
        <v>Level LPG in storage</v>
      </c>
      <c r="R819" s="136"/>
      <c r="S81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819" s="136" t="str">
        <f>tbl_IO_List[[#This Row],[Instruement Tag]]&amp;"_"&amp;tbl_IO_List[[#This Row],[I/O Type]]&amp;"_"&amp;tbl_IO_List[[#This Row],[IO-Point 
(Instruement)]]</f>
        <v>LT-913201_AI_1</v>
      </c>
      <c r="U819" s="136" t="s">
        <v>10</v>
      </c>
      <c r="V819" s="136">
        <f>VLOOKUP(tbl_IO_List[[#This Row],[I/O Type]],tbl_Slot_Group[],2,FALSE)</f>
        <v>3</v>
      </c>
      <c r="W819" s="136">
        <v>1</v>
      </c>
      <c r="X819" s="136" t="str">
        <f>tbl_IO_List[[#This Row],[Chassis]]&amp;"S"&amp;TEXT(tbl_IO_List[[#This Row],[Slot]],"00")</f>
        <v>C5S04</v>
      </c>
      <c r="Y819" s="136" t="str">
        <f>tbl_IO_List[[#This Row],[Chassis]]&amp;"S"&amp;TEXT(tbl_IO_List[[#This Row],[Slot]],"00")&amp;tbl_IO_List[[#This Row],[I/O Type]]&amp;TEXT(tbl_IO_List[[#This Row],[Point]],"00")</f>
        <v>C5S04AI05</v>
      </c>
      <c r="Z819" s="136" t="str">
        <f>tbl_IO_List[[#This Row],[Chassis]]&amp;"S"&amp;TEXT(tbl_IO_List[[#This Row],[Slot]],"00")&amp;","&amp;TEXT(tbl_IO_List[[#This Row],[Point]],"00")</f>
        <v>C5S04,05</v>
      </c>
      <c r="AA819" s="136" t="str">
        <f>VLOOKUP(tbl_IO_List[[#This Row],[Column23]],tbl_RackConfig[],5,FALSE) &amp;"-"&amp;tbl_IO_List[[#This Row],[Point]]</f>
        <v>1756-IF16-5</v>
      </c>
      <c r="AB819" s="136"/>
      <c r="AC819" s="136"/>
      <c r="AD819" s="136" t="str">
        <f>tbl_IO_List[[#This Row],[I/O Type]]</f>
        <v>AI</v>
      </c>
      <c r="AE819" s="136" t="s">
        <v>1336</v>
      </c>
      <c r="AF819" s="136">
        <v>4</v>
      </c>
      <c r="AG819" s="136">
        <v>5</v>
      </c>
      <c r="AH819" s="136"/>
      <c r="AI819" s="136"/>
      <c r="AJ819" s="136">
        <v>0</v>
      </c>
      <c r="AK819" s="136">
        <v>0</v>
      </c>
      <c r="AL819" s="136">
        <v>1</v>
      </c>
      <c r="AM819" s="136">
        <v>0</v>
      </c>
      <c r="AN819" s="136">
        <v>0</v>
      </c>
      <c r="AO819" s="136"/>
      <c r="AP819" s="143" t="str">
        <f>VLOOKUP(tbl_IO_List[[#This Row],[Instruement Tag]],tbl_Instruement_List[],14,FALSE)</f>
        <v>4 - 20 mA</v>
      </c>
      <c r="AQ819" s="143" t="str">
        <f>tbl_IO_List[[#This Row],[Chassis]]&amp;"S"&amp;tbl_IO_List[[#This Row],[Slot]]&amp;"-"&amp;tbl_IO_List[[#This Row],[Front Terminal Number]]</f>
        <v>C5S4-</v>
      </c>
      <c r="AR819" s="143"/>
      <c r="AS819" s="136" t="str">
        <f>tbl_IO_List[[#This Row],[Terminal Tagging]]&amp;"-"&amp;tbl_IO_List[[#This Row],[Point-Count]]</f>
        <v>-</v>
      </c>
      <c r="AT819" s="136" t="str">
        <f>tbl_IO_List[[#This Row],[Front Terminal Tagging]]&amp;"/"&amp;tbl_IO_List[[#This Row],[Terminal Tagging-Item]]</f>
        <v>C5S4-/-</v>
      </c>
      <c r="AU819" s="136" t="str">
        <f>tbl_IO_List[[#This Row],[Terminal Tagging-Item]]&amp;"/"&amp;tbl_IO_List[[#This Row],[Front Terminal Tagging]]</f>
        <v>-/C5S4-</v>
      </c>
    </row>
    <row r="820" spans="1:47" hidden="1">
      <c r="A820" s="147" t="s">
        <v>1373</v>
      </c>
      <c r="B820" s="136" t="s">
        <v>382</v>
      </c>
      <c r="C820" s="136" t="str">
        <f>tbl_IO_List[[#This Row],[Column3]]</f>
        <v>C5S04,06</v>
      </c>
      <c r="D820" s="136" t="str">
        <f>tbl_IO_List[[#This Row],[Card]]</f>
        <v>1756-IF16-6</v>
      </c>
      <c r="E820" s="136" t="s">
        <v>1366</v>
      </c>
      <c r="F820" s="136" t="str">
        <f>tbl_IO_List[[#This Row],[Column23]]&amp;"-" &amp;tbl_IO_List[[#This Row],[Column52]]</f>
        <v>C5S04-X1</v>
      </c>
      <c r="G820" s="136" t="str">
        <f>tbl_IO_List[[#This Row],[PLC_Tag]]</f>
        <v>PT-913201_AI_1</v>
      </c>
      <c r="H820" s="136"/>
      <c r="I820" s="136" t="str">
        <f>VLOOKUP(tbl_IO_List[[#This Row],[Destination]],tbl_Junction[],2,FALSE)</f>
        <v>Slurry - Out Building 2nd Floor</v>
      </c>
      <c r="J820" s="136" t="s">
        <v>382</v>
      </c>
      <c r="K820" s="136" t="s">
        <v>404</v>
      </c>
      <c r="L820" s="136" t="s">
        <v>407</v>
      </c>
      <c r="M820" s="136" t="str">
        <f>VLOOKUP(tbl_IO_List[[#This Row],[Instruement Tag]],tbl_Instruement_List[],2,FALSE)</f>
        <v>Pressure Transmitter</v>
      </c>
      <c r="N820" s="136" t="s">
        <v>15</v>
      </c>
      <c r="O820" s="136" t="s">
        <v>405</v>
      </c>
      <c r="P820" s="136" t="s">
        <v>406</v>
      </c>
      <c r="Q820" s="136" t="str">
        <f>VLOOKUP(tbl_IO_List[[#This Row],[Instruement Tag]],tbl_Instruement_List[],6,FALSE)</f>
        <v>Pressure outlet LPG line</v>
      </c>
      <c r="R820" s="136"/>
      <c r="S82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820" s="136" t="str">
        <f>tbl_IO_List[[#This Row],[Instruement Tag]]&amp;"_"&amp;tbl_IO_List[[#This Row],[I/O Type]]&amp;"_"&amp;tbl_IO_List[[#This Row],[IO-Point 
(Instruement)]]</f>
        <v>PT-913201_AI_1</v>
      </c>
      <c r="U820" s="136" t="s">
        <v>10</v>
      </c>
      <c r="V820" s="136">
        <f>VLOOKUP(tbl_IO_List[[#This Row],[I/O Type]],tbl_Slot_Group[],2,FALSE)</f>
        <v>3</v>
      </c>
      <c r="W820" s="136">
        <v>1</v>
      </c>
      <c r="X820" s="136" t="str">
        <f>tbl_IO_List[[#This Row],[Chassis]]&amp;"S"&amp;TEXT(tbl_IO_List[[#This Row],[Slot]],"00")</f>
        <v>C5S04</v>
      </c>
      <c r="Y820" s="136" t="str">
        <f>tbl_IO_List[[#This Row],[Chassis]]&amp;"S"&amp;TEXT(tbl_IO_List[[#This Row],[Slot]],"00")&amp;tbl_IO_List[[#This Row],[I/O Type]]&amp;TEXT(tbl_IO_List[[#This Row],[Point]],"00")</f>
        <v>C5S04AI06</v>
      </c>
      <c r="Z820" s="136" t="str">
        <f>tbl_IO_List[[#This Row],[Chassis]]&amp;"S"&amp;TEXT(tbl_IO_List[[#This Row],[Slot]],"00")&amp;","&amp;TEXT(tbl_IO_List[[#This Row],[Point]],"00")</f>
        <v>C5S04,06</v>
      </c>
      <c r="AA820" s="136" t="str">
        <f>VLOOKUP(tbl_IO_List[[#This Row],[Column23]],tbl_RackConfig[],5,FALSE) &amp;"-"&amp;tbl_IO_List[[#This Row],[Point]]</f>
        <v>1756-IF16-6</v>
      </c>
      <c r="AB820" s="136"/>
      <c r="AC820" s="136"/>
      <c r="AD820" s="136" t="str">
        <f>tbl_IO_List[[#This Row],[I/O Type]]</f>
        <v>AI</v>
      </c>
      <c r="AE820" s="136" t="s">
        <v>1336</v>
      </c>
      <c r="AF820" s="136">
        <v>4</v>
      </c>
      <c r="AG820" s="136">
        <v>6</v>
      </c>
      <c r="AH820" s="136"/>
      <c r="AI820" s="136"/>
      <c r="AJ820" s="136">
        <v>0</v>
      </c>
      <c r="AK820" s="136">
        <v>0</v>
      </c>
      <c r="AL820" s="136">
        <v>1</v>
      </c>
      <c r="AM820" s="136">
        <v>0</v>
      </c>
      <c r="AN820" s="136">
        <v>0</v>
      </c>
      <c r="AO820" s="136"/>
      <c r="AP820" s="143" t="str">
        <f>VLOOKUP(tbl_IO_List[[#This Row],[Instruement Tag]],tbl_Instruement_List[],14,FALSE)</f>
        <v>4 - 20 mA</v>
      </c>
      <c r="AQ820" s="143" t="str">
        <f>tbl_IO_List[[#This Row],[Chassis]]&amp;"S"&amp;tbl_IO_List[[#This Row],[Slot]]&amp;"-"&amp;tbl_IO_List[[#This Row],[Front Terminal Number]]</f>
        <v>C5S4-</v>
      </c>
      <c r="AR820" s="143"/>
      <c r="AS820" s="136" t="str">
        <f>tbl_IO_List[[#This Row],[Terminal Tagging]]&amp;"-"&amp;tbl_IO_List[[#This Row],[Point-Count]]</f>
        <v>-</v>
      </c>
      <c r="AT820" s="136" t="str">
        <f>tbl_IO_List[[#This Row],[Front Terminal Tagging]]&amp;"/"&amp;tbl_IO_List[[#This Row],[Terminal Tagging-Item]]</f>
        <v>C5S4-/-</v>
      </c>
      <c r="AU820" s="136" t="str">
        <f>tbl_IO_List[[#This Row],[Terminal Tagging-Item]]&amp;"/"&amp;tbl_IO_List[[#This Row],[Front Terminal Tagging]]</f>
        <v>-/C5S4-</v>
      </c>
    </row>
    <row r="821" spans="1:47" hidden="1">
      <c r="A821" s="147" t="s">
        <v>1373</v>
      </c>
      <c r="B821" s="136" t="s">
        <v>382</v>
      </c>
      <c r="C821" s="136" t="str">
        <f>tbl_IO_List[[#This Row],[Column3]]</f>
        <v>C5S04,07</v>
      </c>
      <c r="D821" s="136" t="str">
        <f>tbl_IO_List[[#This Row],[Card]]</f>
        <v>1756-IF16-7</v>
      </c>
      <c r="E821" s="136" t="s">
        <v>1366</v>
      </c>
      <c r="F821" s="136" t="str">
        <f>tbl_IO_List[[#This Row],[Column23]]&amp;"-" &amp;tbl_IO_List[[#This Row],[Column52]]</f>
        <v>C5S04-X1</v>
      </c>
      <c r="G821" s="136" t="str">
        <f>tbl_IO_List[[#This Row],[PLC_Tag]]</f>
        <v>XT-92201_AI_1</v>
      </c>
      <c r="H821" s="136"/>
      <c r="I821" s="136" t="str">
        <f>VLOOKUP(tbl_IO_List[[#This Row],[Destination]],tbl_Junction[],2,FALSE)</f>
        <v>Slurry - Out Building 2nd Floor</v>
      </c>
      <c r="J821" s="136" t="s">
        <v>382</v>
      </c>
      <c r="K821" s="136" t="s">
        <v>409</v>
      </c>
      <c r="L821" s="136" t="s">
        <v>430</v>
      </c>
      <c r="M821" s="136">
        <f>VLOOKUP(tbl_IO_List[[#This Row],[Instruement Tag]],tbl_Instruement_List[],2,FALSE)</f>
        <v>0</v>
      </c>
      <c r="N821" s="136" t="s">
        <v>15</v>
      </c>
      <c r="O821" s="136" t="s">
        <v>431</v>
      </c>
      <c r="P821" s="136" t="s">
        <v>432</v>
      </c>
      <c r="Q821" s="136" t="str">
        <f>VLOOKUP(tbl_IO_List[[#This Row],[Instruement Tag]],tbl_Instruement_List[],6,FALSE)</f>
        <v>LEL gas analyzer</v>
      </c>
      <c r="R821" s="136"/>
      <c r="S82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821" s="136" t="str">
        <f>tbl_IO_List[[#This Row],[Instruement Tag]]&amp;"_"&amp;tbl_IO_List[[#This Row],[I/O Type]]&amp;"_"&amp;tbl_IO_List[[#This Row],[IO-Point 
(Instruement)]]</f>
        <v>XT-92201_AI_1</v>
      </c>
      <c r="U821" s="136" t="s">
        <v>10</v>
      </c>
      <c r="V821" s="136">
        <f>VLOOKUP(tbl_IO_List[[#This Row],[I/O Type]],tbl_Slot_Group[],2,FALSE)</f>
        <v>3</v>
      </c>
      <c r="W821" s="136">
        <v>1</v>
      </c>
      <c r="X821" s="136" t="str">
        <f>tbl_IO_List[[#This Row],[Chassis]]&amp;"S"&amp;TEXT(tbl_IO_List[[#This Row],[Slot]],"00")</f>
        <v>C5S04</v>
      </c>
      <c r="Y821" s="136" t="str">
        <f>tbl_IO_List[[#This Row],[Chassis]]&amp;"S"&amp;TEXT(tbl_IO_List[[#This Row],[Slot]],"00")&amp;tbl_IO_List[[#This Row],[I/O Type]]&amp;TEXT(tbl_IO_List[[#This Row],[Point]],"00")</f>
        <v>C5S04AI07</v>
      </c>
      <c r="Z821" s="136" t="str">
        <f>tbl_IO_List[[#This Row],[Chassis]]&amp;"S"&amp;TEXT(tbl_IO_List[[#This Row],[Slot]],"00")&amp;","&amp;TEXT(tbl_IO_List[[#This Row],[Point]],"00")</f>
        <v>C5S04,07</v>
      </c>
      <c r="AA821" s="136" t="str">
        <f>VLOOKUP(tbl_IO_List[[#This Row],[Column23]],tbl_RackConfig[],5,FALSE) &amp;"-"&amp;tbl_IO_List[[#This Row],[Point]]</f>
        <v>1756-IF16-7</v>
      </c>
      <c r="AB821" s="136"/>
      <c r="AC821" s="136"/>
      <c r="AD821" s="136" t="str">
        <f>tbl_IO_List[[#This Row],[I/O Type]]</f>
        <v>AI</v>
      </c>
      <c r="AE821" s="136" t="s">
        <v>1336</v>
      </c>
      <c r="AF821" s="136">
        <v>4</v>
      </c>
      <c r="AG821" s="136">
        <v>7</v>
      </c>
      <c r="AH821" s="136"/>
      <c r="AI821" s="136"/>
      <c r="AJ821" s="136">
        <v>0</v>
      </c>
      <c r="AK821" s="136">
        <v>0</v>
      </c>
      <c r="AL821" s="136">
        <v>1</v>
      </c>
      <c r="AM821" s="136">
        <v>0</v>
      </c>
      <c r="AN821" s="136">
        <v>0</v>
      </c>
      <c r="AO821" s="136"/>
      <c r="AP821" s="143" t="str">
        <f>VLOOKUP(tbl_IO_List[[#This Row],[Instruement Tag]],tbl_Instruement_List[],14,FALSE)</f>
        <v>4 - 20 mA</v>
      </c>
      <c r="AQ821" s="143" t="str">
        <f>tbl_IO_List[[#This Row],[Chassis]]&amp;"S"&amp;tbl_IO_List[[#This Row],[Slot]]&amp;"-"&amp;tbl_IO_List[[#This Row],[Front Terminal Number]]</f>
        <v>C5S4-</v>
      </c>
      <c r="AR821" s="143"/>
      <c r="AS821" s="136" t="str">
        <f>tbl_IO_List[[#This Row],[Terminal Tagging]]&amp;"-"&amp;tbl_IO_List[[#This Row],[Point-Count]]</f>
        <v>-</v>
      </c>
      <c r="AT821" s="136" t="str">
        <f>tbl_IO_List[[#This Row],[Front Terminal Tagging]]&amp;"/"&amp;tbl_IO_List[[#This Row],[Terminal Tagging-Item]]</f>
        <v>C5S4-/-</v>
      </c>
      <c r="AU821" s="136" t="str">
        <f>tbl_IO_List[[#This Row],[Terminal Tagging-Item]]&amp;"/"&amp;tbl_IO_List[[#This Row],[Front Terminal Tagging]]</f>
        <v>-/C5S4-</v>
      </c>
    </row>
    <row r="822" spans="1:47" hidden="1">
      <c r="A822" s="147" t="s">
        <v>1373</v>
      </c>
      <c r="B822" s="136" t="s">
        <v>382</v>
      </c>
      <c r="C822" s="136" t="str">
        <f>tbl_IO_List[[#This Row],[Column3]]</f>
        <v>C5S04,08</v>
      </c>
      <c r="D822" s="136" t="str">
        <f>tbl_IO_List[[#This Row],[Card]]</f>
        <v>1756-IF16-8</v>
      </c>
      <c r="E822" s="136" t="s">
        <v>1366</v>
      </c>
      <c r="F822" s="136" t="str">
        <f>tbl_IO_List[[#This Row],[Column23]]&amp;"-" &amp;tbl_IO_List[[#This Row],[Column52]]</f>
        <v>C5S04-X1</v>
      </c>
      <c r="G822" s="136" t="str">
        <f>tbl_IO_List[[#This Row],[PLC_Tag]]</f>
        <v>XV-913201_AI_1</v>
      </c>
      <c r="H822" s="136"/>
      <c r="I822" s="136" t="str">
        <f>VLOOKUP(tbl_IO_List[[#This Row],[Destination]],tbl_Junction[],2,FALSE)</f>
        <v>Slurry - Out Building 2nd Floor</v>
      </c>
      <c r="J822" s="136" t="s">
        <v>382</v>
      </c>
      <c r="K822" s="136" t="s">
        <v>404</v>
      </c>
      <c r="L822" s="136" t="s">
        <v>408</v>
      </c>
      <c r="M822" s="136">
        <f>VLOOKUP(tbl_IO_List[[#This Row],[Instruement Tag]],tbl_Instruement_List[],2,FALSE)</f>
        <v>0</v>
      </c>
      <c r="N822" s="136" t="s">
        <v>15</v>
      </c>
      <c r="O822" s="136" t="s">
        <v>18</v>
      </c>
      <c r="P822" s="136" t="s">
        <v>406</v>
      </c>
      <c r="Q822" s="136" t="str">
        <f>VLOOKUP(tbl_IO_List[[#This Row],[Instruement Tag]],tbl_Instruement_List[],6,FALSE)</f>
        <v>Outlet LPG line</v>
      </c>
      <c r="R822" s="136"/>
      <c r="S82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0,DO=0,AI=0,AO=0,Bus=0</v>
      </c>
      <c r="T822" s="136" t="str">
        <f>tbl_IO_List[[#This Row],[Instruement Tag]]&amp;"_"&amp;tbl_IO_List[[#This Row],[I/O Type]]&amp;"_"&amp;tbl_IO_List[[#This Row],[IO-Point 
(Instruement)]]</f>
        <v>XV-913201_AI_1</v>
      </c>
      <c r="U822" s="136" t="s">
        <v>10</v>
      </c>
      <c r="V822" s="136">
        <f>VLOOKUP(tbl_IO_List[[#This Row],[I/O Type]],tbl_Slot_Group[],2,FALSE)</f>
        <v>3</v>
      </c>
      <c r="W822" s="136">
        <v>1</v>
      </c>
      <c r="X822" s="136" t="str">
        <f>tbl_IO_List[[#This Row],[Chassis]]&amp;"S"&amp;TEXT(tbl_IO_List[[#This Row],[Slot]],"00")</f>
        <v>C5S04</v>
      </c>
      <c r="Y822" s="136" t="str">
        <f>tbl_IO_List[[#This Row],[Chassis]]&amp;"S"&amp;TEXT(tbl_IO_List[[#This Row],[Slot]],"00")&amp;tbl_IO_List[[#This Row],[I/O Type]]&amp;TEXT(tbl_IO_List[[#This Row],[Point]],"00")</f>
        <v>C5S04AI08</v>
      </c>
      <c r="Z822" s="136" t="str">
        <f>tbl_IO_List[[#This Row],[Chassis]]&amp;"S"&amp;TEXT(tbl_IO_List[[#This Row],[Slot]],"00")&amp;","&amp;TEXT(tbl_IO_List[[#This Row],[Point]],"00")</f>
        <v>C5S04,08</v>
      </c>
      <c r="AA822" s="136" t="str">
        <f>VLOOKUP(tbl_IO_List[[#This Row],[Column23]],tbl_RackConfig[],5,FALSE) &amp;"-"&amp;tbl_IO_List[[#This Row],[Point]]</f>
        <v>1756-IF16-8</v>
      </c>
      <c r="AB822" s="136"/>
      <c r="AC822" s="136"/>
      <c r="AD822" s="136" t="str">
        <f>tbl_IO_List[[#This Row],[I/O Type]]</f>
        <v>AI</v>
      </c>
      <c r="AE822" s="136" t="s">
        <v>1336</v>
      </c>
      <c r="AF822" s="136">
        <v>4</v>
      </c>
      <c r="AG822" s="136">
        <v>8</v>
      </c>
      <c r="AH822" s="136"/>
      <c r="AI822" s="136"/>
      <c r="AJ822" s="136">
        <v>0</v>
      </c>
      <c r="AK822" s="136">
        <v>0</v>
      </c>
      <c r="AL822" s="136">
        <v>0</v>
      </c>
      <c r="AM822" s="136">
        <v>0</v>
      </c>
      <c r="AN822" s="136">
        <v>0</v>
      </c>
      <c r="AO822" s="136"/>
      <c r="AP822" s="143" t="str">
        <f>VLOOKUP(tbl_IO_List[[#This Row],[Instruement Tag]],tbl_Instruement_List[],14,FALSE)</f>
        <v>24 VDC energized</v>
      </c>
      <c r="AQ822" s="143" t="str">
        <f>tbl_IO_List[[#This Row],[Chassis]]&amp;"S"&amp;tbl_IO_List[[#This Row],[Slot]]&amp;"-"&amp;tbl_IO_List[[#This Row],[Front Terminal Number]]</f>
        <v>C5S4-</v>
      </c>
      <c r="AR822" s="143"/>
      <c r="AS822" s="136" t="str">
        <f>tbl_IO_List[[#This Row],[Terminal Tagging]]&amp;"-"&amp;tbl_IO_List[[#This Row],[Point-Count]]</f>
        <v>-</v>
      </c>
      <c r="AT822" s="136" t="str">
        <f>tbl_IO_List[[#This Row],[Front Terminal Tagging]]&amp;"/"&amp;tbl_IO_List[[#This Row],[Terminal Tagging-Item]]</f>
        <v>C5S4-/-</v>
      </c>
      <c r="AU822" s="136" t="str">
        <f>tbl_IO_List[[#This Row],[Terminal Tagging-Item]]&amp;"/"&amp;tbl_IO_List[[#This Row],[Front Terminal Tagging]]</f>
        <v>-/C5S4-</v>
      </c>
    </row>
    <row r="823" spans="1:47" hidden="1">
      <c r="A823" s="147" t="s">
        <v>1373</v>
      </c>
      <c r="B823" s="136" t="s">
        <v>382</v>
      </c>
      <c r="C823" s="136" t="str">
        <f>tbl_IO_List[[#This Row],[Column3]]</f>
        <v>C5S04,09</v>
      </c>
      <c r="D823" s="136" t="str">
        <f>tbl_IO_List[[#This Row],[Card]]</f>
        <v>1756-IF16-9</v>
      </c>
      <c r="E823" s="136" t="s">
        <v>1366</v>
      </c>
      <c r="F823" s="136" t="str">
        <f>tbl_IO_List[[#This Row],[Column23]]&amp;"-" &amp;tbl_IO_List[[#This Row],[Column52]]</f>
        <v>C5S04-X1</v>
      </c>
      <c r="G823" s="136" t="str">
        <f>tbl_IO_List[[#This Row],[PLC_Tag]]</f>
        <v>Spare_AI_0</v>
      </c>
      <c r="H823" s="136"/>
      <c r="I823" s="136" t="str">
        <f>VLOOKUP(tbl_IO_List[[#This Row],[Destination]],tbl_Junction[],2,FALSE)</f>
        <v>Slurry - Out Building 2nd Floor</v>
      </c>
      <c r="J823" s="136" t="s">
        <v>382</v>
      </c>
      <c r="K823" s="136" t="s">
        <v>404</v>
      </c>
      <c r="L823" s="136" t="s">
        <v>411</v>
      </c>
      <c r="M823" s="136" t="e">
        <f>VLOOKUP(tbl_IO_List[[#This Row],[Instruement Tag]],tbl_Instruement_List[],2,FALSE)</f>
        <v>#N/A</v>
      </c>
      <c r="N823" s="136" t="s">
        <v>15</v>
      </c>
      <c r="O823" s="136" t="s">
        <v>18</v>
      </c>
      <c r="P823" s="136" t="s">
        <v>406</v>
      </c>
      <c r="Q823" s="136" t="e">
        <f>VLOOKUP(tbl_IO_List[[#This Row],[Instruement Tag]],tbl_Instruement_List[],6,FALSE)</f>
        <v>#N/A</v>
      </c>
      <c r="R823" s="136"/>
      <c r="S82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823" s="136" t="str">
        <f>tbl_IO_List[[#This Row],[Instruement Tag]]&amp;"_"&amp;tbl_IO_List[[#This Row],[I/O Type]]&amp;"_"&amp;tbl_IO_List[[#This Row],[IO-Point 
(Instruement)]]</f>
        <v>Spare_AI_0</v>
      </c>
      <c r="U823" s="136" t="s">
        <v>10</v>
      </c>
      <c r="V823" s="136">
        <f>VLOOKUP(tbl_IO_List[[#This Row],[I/O Type]],tbl_Slot_Group[],2,FALSE)</f>
        <v>3</v>
      </c>
      <c r="W823" s="136">
        <v>0</v>
      </c>
      <c r="X823" s="136" t="str">
        <f>tbl_IO_List[[#This Row],[Chassis]]&amp;"S"&amp;TEXT(tbl_IO_List[[#This Row],[Slot]],"00")</f>
        <v>C5S04</v>
      </c>
      <c r="Y823" s="136" t="str">
        <f>tbl_IO_List[[#This Row],[Chassis]]&amp;"S"&amp;TEXT(tbl_IO_List[[#This Row],[Slot]],"00")&amp;tbl_IO_List[[#This Row],[I/O Type]]&amp;TEXT(tbl_IO_List[[#This Row],[Point]],"00")</f>
        <v>C5S04AI09</v>
      </c>
      <c r="Z823" s="136" t="str">
        <f>tbl_IO_List[[#This Row],[Chassis]]&amp;"S"&amp;TEXT(tbl_IO_List[[#This Row],[Slot]],"00")&amp;","&amp;TEXT(tbl_IO_List[[#This Row],[Point]],"00")</f>
        <v>C5S04,09</v>
      </c>
      <c r="AA823" s="136" t="str">
        <f>VLOOKUP(tbl_IO_List[[#This Row],[Column23]],tbl_RackConfig[],5,FALSE) &amp;"-"&amp;tbl_IO_List[[#This Row],[Point]]</f>
        <v>1756-IF16-9</v>
      </c>
      <c r="AB823" s="136"/>
      <c r="AC823" s="136"/>
      <c r="AD823" s="136" t="str">
        <f>tbl_IO_List[[#This Row],[I/O Type]]</f>
        <v>AI</v>
      </c>
      <c r="AE823" s="136" t="s">
        <v>1336</v>
      </c>
      <c r="AF823" s="136">
        <v>4</v>
      </c>
      <c r="AG823" s="136">
        <v>9</v>
      </c>
      <c r="AH823" s="136"/>
      <c r="AI823" s="136"/>
      <c r="AJ823" s="136">
        <v>0</v>
      </c>
      <c r="AK823" s="136">
        <v>0</v>
      </c>
      <c r="AL823" s="136">
        <v>1</v>
      </c>
      <c r="AM823" s="136">
        <v>0</v>
      </c>
      <c r="AN823" s="136">
        <v>0</v>
      </c>
      <c r="AO823" s="136"/>
      <c r="AP823" s="143" t="e">
        <f>VLOOKUP(tbl_IO_List[[#This Row],[Instruement Tag]],tbl_Instruement_List[],14,FALSE)</f>
        <v>#N/A</v>
      </c>
      <c r="AQ823" s="143" t="str">
        <f>tbl_IO_List[[#This Row],[Chassis]]&amp;"S"&amp;tbl_IO_List[[#This Row],[Slot]]&amp;"-"&amp;tbl_IO_List[[#This Row],[Front Terminal Number]]</f>
        <v>C5S4-</v>
      </c>
      <c r="AR823" s="143"/>
      <c r="AS823" s="136" t="str">
        <f>tbl_IO_List[[#This Row],[Terminal Tagging]]&amp;"-"&amp;tbl_IO_List[[#This Row],[Point-Count]]</f>
        <v>-</v>
      </c>
      <c r="AT823" s="136" t="str">
        <f>tbl_IO_List[[#This Row],[Front Terminal Tagging]]&amp;"/"&amp;tbl_IO_List[[#This Row],[Terminal Tagging-Item]]</f>
        <v>C5S4-/-</v>
      </c>
      <c r="AU823" s="136" t="str">
        <f>tbl_IO_List[[#This Row],[Terminal Tagging-Item]]&amp;"/"&amp;tbl_IO_List[[#This Row],[Front Terminal Tagging]]</f>
        <v>-/C5S4-</v>
      </c>
    </row>
    <row r="824" spans="1:47" hidden="1">
      <c r="A824" s="147" t="s">
        <v>1373</v>
      </c>
      <c r="B824" s="136" t="s">
        <v>382</v>
      </c>
      <c r="C824" s="136" t="str">
        <f>tbl_IO_List[[#This Row],[Column3]]</f>
        <v>C5S04,10</v>
      </c>
      <c r="D824" s="136" t="str">
        <f>tbl_IO_List[[#This Row],[Card]]</f>
        <v>1756-IF16-10</v>
      </c>
      <c r="E824" s="136" t="s">
        <v>1366</v>
      </c>
      <c r="F824" s="136" t="str">
        <f>tbl_IO_List[[#This Row],[Column23]]&amp;"-" &amp;tbl_IO_List[[#This Row],[Column52]]</f>
        <v>C5S04-X1</v>
      </c>
      <c r="G824" s="136" t="str">
        <f>tbl_IO_List[[#This Row],[PLC_Tag]]</f>
        <v>Spare_AI_0</v>
      </c>
      <c r="H824" s="136"/>
      <c r="I824" s="136" t="str">
        <f>VLOOKUP(tbl_IO_List[[#This Row],[Destination]],tbl_Junction[],2,FALSE)</f>
        <v>Slurry - Out Building 2nd Floor</v>
      </c>
      <c r="J824" s="136" t="s">
        <v>382</v>
      </c>
      <c r="K824" s="136" t="s">
        <v>404</v>
      </c>
      <c r="L824" s="136" t="s">
        <v>411</v>
      </c>
      <c r="M824" s="136" t="e">
        <f>VLOOKUP(tbl_IO_List[[#This Row],[Instruement Tag]],tbl_Instruement_List[],2,FALSE)</f>
        <v>#N/A</v>
      </c>
      <c r="N824" s="136" t="s">
        <v>15</v>
      </c>
      <c r="O824" s="136" t="s">
        <v>18</v>
      </c>
      <c r="P824" s="136" t="s">
        <v>406</v>
      </c>
      <c r="Q824" s="136" t="e">
        <f>VLOOKUP(tbl_IO_List[[#This Row],[Instruement Tag]],tbl_Instruement_List[],6,FALSE)</f>
        <v>#N/A</v>
      </c>
      <c r="R824" s="136"/>
      <c r="S82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824" s="136" t="str">
        <f>tbl_IO_List[[#This Row],[Instruement Tag]]&amp;"_"&amp;tbl_IO_List[[#This Row],[I/O Type]]&amp;"_"&amp;tbl_IO_List[[#This Row],[IO-Point 
(Instruement)]]</f>
        <v>Spare_AI_0</v>
      </c>
      <c r="U824" s="136" t="s">
        <v>10</v>
      </c>
      <c r="V824" s="136">
        <f>VLOOKUP(tbl_IO_List[[#This Row],[I/O Type]],tbl_Slot_Group[],2,FALSE)</f>
        <v>3</v>
      </c>
      <c r="W824" s="136">
        <v>0</v>
      </c>
      <c r="X824" s="136" t="str">
        <f>tbl_IO_List[[#This Row],[Chassis]]&amp;"S"&amp;TEXT(tbl_IO_List[[#This Row],[Slot]],"00")</f>
        <v>C5S04</v>
      </c>
      <c r="Y824" s="136" t="str">
        <f>tbl_IO_List[[#This Row],[Chassis]]&amp;"S"&amp;TEXT(tbl_IO_List[[#This Row],[Slot]],"00")&amp;tbl_IO_List[[#This Row],[I/O Type]]&amp;TEXT(tbl_IO_List[[#This Row],[Point]],"00")</f>
        <v>C5S04AI10</v>
      </c>
      <c r="Z824" s="136" t="str">
        <f>tbl_IO_List[[#This Row],[Chassis]]&amp;"S"&amp;TEXT(tbl_IO_List[[#This Row],[Slot]],"00")&amp;","&amp;TEXT(tbl_IO_List[[#This Row],[Point]],"00")</f>
        <v>C5S04,10</v>
      </c>
      <c r="AA824" s="136" t="str">
        <f>VLOOKUP(tbl_IO_List[[#This Row],[Column23]],tbl_RackConfig[],5,FALSE) &amp;"-"&amp;tbl_IO_List[[#This Row],[Point]]</f>
        <v>1756-IF16-10</v>
      </c>
      <c r="AB824" s="136"/>
      <c r="AC824" s="136"/>
      <c r="AD824" s="136" t="str">
        <f>tbl_IO_List[[#This Row],[I/O Type]]</f>
        <v>AI</v>
      </c>
      <c r="AE824" s="136" t="s">
        <v>1336</v>
      </c>
      <c r="AF824" s="136">
        <v>4</v>
      </c>
      <c r="AG824" s="136">
        <v>10</v>
      </c>
      <c r="AH824" s="136"/>
      <c r="AI824" s="136"/>
      <c r="AJ824" s="136">
        <v>0</v>
      </c>
      <c r="AK824" s="136">
        <v>0</v>
      </c>
      <c r="AL824" s="136">
        <v>1</v>
      </c>
      <c r="AM824" s="136">
        <v>0</v>
      </c>
      <c r="AN824" s="136">
        <v>0</v>
      </c>
      <c r="AO824" s="136"/>
      <c r="AP824" s="143" t="e">
        <f>VLOOKUP(tbl_IO_List[[#This Row],[Instruement Tag]],tbl_Instruement_List[],14,FALSE)</f>
        <v>#N/A</v>
      </c>
      <c r="AQ824" s="143" t="str">
        <f>tbl_IO_List[[#This Row],[Chassis]]&amp;"S"&amp;tbl_IO_List[[#This Row],[Slot]]&amp;"-"&amp;tbl_IO_List[[#This Row],[Front Terminal Number]]</f>
        <v>C5S4-</v>
      </c>
      <c r="AR824" s="143"/>
      <c r="AS824" s="136" t="str">
        <f>tbl_IO_List[[#This Row],[Terminal Tagging]]&amp;"-"&amp;tbl_IO_List[[#This Row],[Point-Count]]</f>
        <v>-</v>
      </c>
      <c r="AT824" s="136" t="str">
        <f>tbl_IO_List[[#This Row],[Front Terminal Tagging]]&amp;"/"&amp;tbl_IO_List[[#This Row],[Terminal Tagging-Item]]</f>
        <v>C5S4-/-</v>
      </c>
      <c r="AU824" s="136" t="str">
        <f>tbl_IO_List[[#This Row],[Terminal Tagging-Item]]&amp;"/"&amp;tbl_IO_List[[#This Row],[Front Terminal Tagging]]</f>
        <v>-/C5S4-</v>
      </c>
    </row>
    <row r="825" spans="1:47" hidden="1">
      <c r="A825" s="147" t="s">
        <v>1373</v>
      </c>
      <c r="B825" s="136" t="s">
        <v>382</v>
      </c>
      <c r="C825" s="136" t="str">
        <f>tbl_IO_List[[#This Row],[Column3]]</f>
        <v>C5S04,11</v>
      </c>
      <c r="D825" s="136" t="str">
        <f>tbl_IO_List[[#This Row],[Card]]</f>
        <v>1756-IF16-11</v>
      </c>
      <c r="E825" s="136" t="s">
        <v>1366</v>
      </c>
      <c r="F825" s="136" t="str">
        <f>tbl_IO_List[[#This Row],[Column23]]&amp;"-" &amp;tbl_IO_List[[#This Row],[Column52]]</f>
        <v>C5S04-X1</v>
      </c>
      <c r="G825" s="136" t="str">
        <f>tbl_IO_List[[#This Row],[PLC_Tag]]</f>
        <v>Spare_AI_0</v>
      </c>
      <c r="H825" s="136"/>
      <c r="I825" s="136" t="str">
        <f>VLOOKUP(tbl_IO_List[[#This Row],[Destination]],tbl_Junction[],2,FALSE)</f>
        <v>Slurry - Out Building 2nd Floor</v>
      </c>
      <c r="J825" s="136" t="s">
        <v>382</v>
      </c>
      <c r="K825" s="136" t="s">
        <v>404</v>
      </c>
      <c r="L825" s="136" t="s">
        <v>411</v>
      </c>
      <c r="M825" s="136" t="e">
        <f>VLOOKUP(tbl_IO_List[[#This Row],[Instruement Tag]],tbl_Instruement_List[],2,FALSE)</f>
        <v>#N/A</v>
      </c>
      <c r="N825" s="136" t="s">
        <v>15</v>
      </c>
      <c r="O825" s="136" t="s">
        <v>18</v>
      </c>
      <c r="P825" s="136" t="s">
        <v>406</v>
      </c>
      <c r="Q825" s="136" t="e">
        <f>VLOOKUP(tbl_IO_List[[#This Row],[Instruement Tag]],tbl_Instruement_List[],6,FALSE)</f>
        <v>#N/A</v>
      </c>
      <c r="R825" s="136"/>
      <c r="S82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825" s="136" t="str">
        <f>tbl_IO_List[[#This Row],[Instruement Tag]]&amp;"_"&amp;tbl_IO_List[[#This Row],[I/O Type]]&amp;"_"&amp;tbl_IO_List[[#This Row],[IO-Point 
(Instruement)]]</f>
        <v>Spare_AI_0</v>
      </c>
      <c r="U825" s="136" t="s">
        <v>10</v>
      </c>
      <c r="V825" s="136">
        <f>VLOOKUP(tbl_IO_List[[#This Row],[I/O Type]],tbl_Slot_Group[],2,FALSE)</f>
        <v>3</v>
      </c>
      <c r="W825" s="136">
        <v>0</v>
      </c>
      <c r="X825" s="136" t="str">
        <f>tbl_IO_List[[#This Row],[Chassis]]&amp;"S"&amp;TEXT(tbl_IO_List[[#This Row],[Slot]],"00")</f>
        <v>C5S04</v>
      </c>
      <c r="Y825" s="136" t="str">
        <f>tbl_IO_List[[#This Row],[Chassis]]&amp;"S"&amp;TEXT(tbl_IO_List[[#This Row],[Slot]],"00")&amp;tbl_IO_List[[#This Row],[I/O Type]]&amp;TEXT(tbl_IO_List[[#This Row],[Point]],"00")</f>
        <v>C5S04AI11</v>
      </c>
      <c r="Z825" s="136" t="str">
        <f>tbl_IO_List[[#This Row],[Chassis]]&amp;"S"&amp;TEXT(tbl_IO_List[[#This Row],[Slot]],"00")&amp;","&amp;TEXT(tbl_IO_List[[#This Row],[Point]],"00")</f>
        <v>C5S04,11</v>
      </c>
      <c r="AA825" s="136" t="str">
        <f>VLOOKUP(tbl_IO_List[[#This Row],[Column23]],tbl_RackConfig[],5,FALSE) &amp;"-"&amp;tbl_IO_List[[#This Row],[Point]]</f>
        <v>1756-IF16-11</v>
      </c>
      <c r="AB825" s="136"/>
      <c r="AC825" s="136"/>
      <c r="AD825" s="136" t="str">
        <f>tbl_IO_List[[#This Row],[I/O Type]]</f>
        <v>AI</v>
      </c>
      <c r="AE825" s="136" t="s">
        <v>1336</v>
      </c>
      <c r="AF825" s="136">
        <v>4</v>
      </c>
      <c r="AG825" s="136">
        <v>11</v>
      </c>
      <c r="AH825" s="136"/>
      <c r="AI825" s="136"/>
      <c r="AJ825" s="136">
        <v>0</v>
      </c>
      <c r="AK825" s="136">
        <v>0</v>
      </c>
      <c r="AL825" s="136">
        <v>1</v>
      </c>
      <c r="AM825" s="136">
        <v>0</v>
      </c>
      <c r="AN825" s="136">
        <v>0</v>
      </c>
      <c r="AO825" s="136"/>
      <c r="AP825" s="143" t="e">
        <f>VLOOKUP(tbl_IO_List[[#This Row],[Instruement Tag]],tbl_Instruement_List[],14,FALSE)</f>
        <v>#N/A</v>
      </c>
      <c r="AQ825" s="143" t="str">
        <f>tbl_IO_List[[#This Row],[Chassis]]&amp;"S"&amp;tbl_IO_List[[#This Row],[Slot]]&amp;"-"&amp;tbl_IO_List[[#This Row],[Front Terminal Number]]</f>
        <v>C5S4-</v>
      </c>
      <c r="AR825" s="143"/>
      <c r="AS825" s="136" t="str">
        <f>tbl_IO_List[[#This Row],[Terminal Tagging]]&amp;"-"&amp;tbl_IO_List[[#This Row],[Point-Count]]</f>
        <v>-</v>
      </c>
      <c r="AT825" s="136" t="str">
        <f>tbl_IO_List[[#This Row],[Front Terminal Tagging]]&amp;"/"&amp;tbl_IO_List[[#This Row],[Terminal Tagging-Item]]</f>
        <v>C5S4-/-</v>
      </c>
      <c r="AU825" s="136" t="str">
        <f>tbl_IO_List[[#This Row],[Terminal Tagging-Item]]&amp;"/"&amp;tbl_IO_List[[#This Row],[Front Terminal Tagging]]</f>
        <v>-/C5S4-</v>
      </c>
    </row>
    <row r="826" spans="1:47" hidden="1">
      <c r="A826" s="147" t="s">
        <v>1373</v>
      </c>
      <c r="B826" s="136" t="s">
        <v>382</v>
      </c>
      <c r="C826" s="136" t="str">
        <f>tbl_IO_List[[#This Row],[Column3]]</f>
        <v>C5S04,12</v>
      </c>
      <c r="D826" s="136" t="str">
        <f>tbl_IO_List[[#This Row],[Card]]</f>
        <v>1756-IF16-12</v>
      </c>
      <c r="E826" s="136" t="s">
        <v>1366</v>
      </c>
      <c r="F826" s="136" t="str">
        <f>tbl_IO_List[[#This Row],[Column23]]&amp;"-" &amp;tbl_IO_List[[#This Row],[Column52]]</f>
        <v>C5S04-X1</v>
      </c>
      <c r="G826" s="136" t="str">
        <f>tbl_IO_List[[#This Row],[PLC_Tag]]</f>
        <v>Spare_AI_0</v>
      </c>
      <c r="H826" s="136"/>
      <c r="I826" s="136" t="str">
        <f>VLOOKUP(tbl_IO_List[[#This Row],[Destination]],tbl_Junction[],2,FALSE)</f>
        <v>Slurry - Out Building 2nd Floor</v>
      </c>
      <c r="J826" s="136" t="s">
        <v>382</v>
      </c>
      <c r="K826" s="136" t="s">
        <v>404</v>
      </c>
      <c r="L826" s="136" t="s">
        <v>411</v>
      </c>
      <c r="M826" s="136" t="e">
        <f>VLOOKUP(tbl_IO_List[[#This Row],[Instruement Tag]],tbl_Instruement_List[],2,FALSE)</f>
        <v>#N/A</v>
      </c>
      <c r="N826" s="136" t="s">
        <v>15</v>
      </c>
      <c r="O826" s="136" t="s">
        <v>18</v>
      </c>
      <c r="P826" s="136" t="s">
        <v>406</v>
      </c>
      <c r="Q826" s="136" t="e">
        <f>VLOOKUP(tbl_IO_List[[#This Row],[Instruement Tag]],tbl_Instruement_List[],6,FALSE)</f>
        <v>#N/A</v>
      </c>
      <c r="R826" s="136"/>
      <c r="S82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826" s="136" t="str">
        <f>tbl_IO_List[[#This Row],[Instruement Tag]]&amp;"_"&amp;tbl_IO_List[[#This Row],[I/O Type]]&amp;"_"&amp;tbl_IO_List[[#This Row],[IO-Point 
(Instruement)]]</f>
        <v>Spare_AI_0</v>
      </c>
      <c r="U826" s="136" t="s">
        <v>10</v>
      </c>
      <c r="V826" s="136">
        <f>VLOOKUP(tbl_IO_List[[#This Row],[I/O Type]],tbl_Slot_Group[],2,FALSE)</f>
        <v>3</v>
      </c>
      <c r="W826" s="136">
        <v>0</v>
      </c>
      <c r="X826" s="136" t="str">
        <f>tbl_IO_List[[#This Row],[Chassis]]&amp;"S"&amp;TEXT(tbl_IO_List[[#This Row],[Slot]],"00")</f>
        <v>C5S04</v>
      </c>
      <c r="Y826" s="136" t="str">
        <f>tbl_IO_List[[#This Row],[Chassis]]&amp;"S"&amp;TEXT(tbl_IO_List[[#This Row],[Slot]],"00")&amp;tbl_IO_List[[#This Row],[I/O Type]]&amp;TEXT(tbl_IO_List[[#This Row],[Point]],"00")</f>
        <v>C5S04AI12</v>
      </c>
      <c r="Z826" s="136" t="str">
        <f>tbl_IO_List[[#This Row],[Chassis]]&amp;"S"&amp;TEXT(tbl_IO_List[[#This Row],[Slot]],"00")&amp;","&amp;TEXT(tbl_IO_List[[#This Row],[Point]],"00")</f>
        <v>C5S04,12</v>
      </c>
      <c r="AA826" s="136" t="str">
        <f>VLOOKUP(tbl_IO_List[[#This Row],[Column23]],tbl_RackConfig[],5,FALSE) &amp;"-"&amp;tbl_IO_List[[#This Row],[Point]]</f>
        <v>1756-IF16-12</v>
      </c>
      <c r="AB826" s="136"/>
      <c r="AC826" s="136"/>
      <c r="AD826" s="136" t="str">
        <f>tbl_IO_List[[#This Row],[I/O Type]]</f>
        <v>AI</v>
      </c>
      <c r="AE826" s="136" t="s">
        <v>1336</v>
      </c>
      <c r="AF826" s="136">
        <v>4</v>
      </c>
      <c r="AG826" s="136">
        <v>12</v>
      </c>
      <c r="AH826" s="136"/>
      <c r="AI826" s="136"/>
      <c r="AJ826" s="136">
        <v>0</v>
      </c>
      <c r="AK826" s="136">
        <v>0</v>
      </c>
      <c r="AL826" s="136">
        <v>1</v>
      </c>
      <c r="AM826" s="136">
        <v>0</v>
      </c>
      <c r="AN826" s="136">
        <v>0</v>
      </c>
      <c r="AO826" s="136"/>
      <c r="AP826" s="143" t="e">
        <f>VLOOKUP(tbl_IO_List[[#This Row],[Instruement Tag]],tbl_Instruement_List[],14,FALSE)</f>
        <v>#N/A</v>
      </c>
      <c r="AQ826" s="143" t="str">
        <f>tbl_IO_List[[#This Row],[Chassis]]&amp;"S"&amp;tbl_IO_List[[#This Row],[Slot]]&amp;"-"&amp;tbl_IO_List[[#This Row],[Front Terminal Number]]</f>
        <v>C5S4-</v>
      </c>
      <c r="AR826" s="143"/>
      <c r="AS826" s="136" t="str">
        <f>tbl_IO_List[[#This Row],[Terminal Tagging]]&amp;"-"&amp;tbl_IO_List[[#This Row],[Point-Count]]</f>
        <v>-</v>
      </c>
      <c r="AT826" s="136" t="str">
        <f>tbl_IO_List[[#This Row],[Front Terminal Tagging]]&amp;"/"&amp;tbl_IO_List[[#This Row],[Terminal Tagging-Item]]</f>
        <v>C5S4-/-</v>
      </c>
      <c r="AU826" s="136" t="str">
        <f>tbl_IO_List[[#This Row],[Terminal Tagging-Item]]&amp;"/"&amp;tbl_IO_List[[#This Row],[Front Terminal Tagging]]</f>
        <v>-/C5S4-</v>
      </c>
    </row>
    <row r="827" spans="1:47" hidden="1">
      <c r="A827" s="147" t="s">
        <v>1373</v>
      </c>
      <c r="B827" s="136" t="s">
        <v>382</v>
      </c>
      <c r="C827" s="136" t="str">
        <f>tbl_IO_List[[#This Row],[Column3]]</f>
        <v>C5S04,13</v>
      </c>
      <c r="D827" s="136" t="str">
        <f>tbl_IO_List[[#This Row],[Card]]</f>
        <v>1756-IF16-13</v>
      </c>
      <c r="E827" s="136" t="s">
        <v>1366</v>
      </c>
      <c r="F827" s="136" t="str">
        <f>tbl_IO_List[[#This Row],[Column23]]&amp;"-" &amp;tbl_IO_List[[#This Row],[Column52]]</f>
        <v>C5S04-X1</v>
      </c>
      <c r="G827" s="136" t="str">
        <f>tbl_IO_List[[#This Row],[PLC_Tag]]</f>
        <v>Spare_AI_0</v>
      </c>
      <c r="H827" s="136"/>
      <c r="I827" s="136" t="str">
        <f>VLOOKUP(tbl_IO_List[[#This Row],[Destination]],tbl_Junction[],2,FALSE)</f>
        <v>Slurry - Out Building 2nd Floor</v>
      </c>
      <c r="J827" s="136" t="s">
        <v>382</v>
      </c>
      <c r="K827" s="136" t="s">
        <v>404</v>
      </c>
      <c r="L827" s="136" t="s">
        <v>411</v>
      </c>
      <c r="M827" s="136" t="e">
        <f>VLOOKUP(tbl_IO_List[[#This Row],[Instruement Tag]],tbl_Instruement_List[],2,FALSE)</f>
        <v>#N/A</v>
      </c>
      <c r="N827" s="136" t="s">
        <v>15</v>
      </c>
      <c r="O827" s="136" t="s">
        <v>18</v>
      </c>
      <c r="P827" s="136" t="s">
        <v>406</v>
      </c>
      <c r="Q827" s="136" t="e">
        <f>VLOOKUP(tbl_IO_List[[#This Row],[Instruement Tag]],tbl_Instruement_List[],6,FALSE)</f>
        <v>#N/A</v>
      </c>
      <c r="R827" s="136"/>
      <c r="S82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827" s="136" t="str">
        <f>tbl_IO_List[[#This Row],[Instruement Tag]]&amp;"_"&amp;tbl_IO_List[[#This Row],[I/O Type]]&amp;"_"&amp;tbl_IO_List[[#This Row],[IO-Point 
(Instruement)]]</f>
        <v>Spare_AI_0</v>
      </c>
      <c r="U827" s="136" t="s">
        <v>10</v>
      </c>
      <c r="V827" s="136">
        <f>VLOOKUP(tbl_IO_List[[#This Row],[I/O Type]],tbl_Slot_Group[],2,FALSE)</f>
        <v>3</v>
      </c>
      <c r="W827" s="136">
        <v>0</v>
      </c>
      <c r="X827" s="136" t="str">
        <f>tbl_IO_List[[#This Row],[Chassis]]&amp;"S"&amp;TEXT(tbl_IO_List[[#This Row],[Slot]],"00")</f>
        <v>C5S04</v>
      </c>
      <c r="Y827" s="136" t="str">
        <f>tbl_IO_List[[#This Row],[Chassis]]&amp;"S"&amp;TEXT(tbl_IO_List[[#This Row],[Slot]],"00")&amp;tbl_IO_List[[#This Row],[I/O Type]]&amp;TEXT(tbl_IO_List[[#This Row],[Point]],"00")</f>
        <v>C5S04AI13</v>
      </c>
      <c r="Z827" s="136" t="str">
        <f>tbl_IO_List[[#This Row],[Chassis]]&amp;"S"&amp;TEXT(tbl_IO_List[[#This Row],[Slot]],"00")&amp;","&amp;TEXT(tbl_IO_List[[#This Row],[Point]],"00")</f>
        <v>C5S04,13</v>
      </c>
      <c r="AA827" s="136" t="str">
        <f>VLOOKUP(tbl_IO_List[[#This Row],[Column23]],tbl_RackConfig[],5,FALSE) &amp;"-"&amp;tbl_IO_List[[#This Row],[Point]]</f>
        <v>1756-IF16-13</v>
      </c>
      <c r="AB827" s="136"/>
      <c r="AC827" s="136"/>
      <c r="AD827" s="136" t="str">
        <f>tbl_IO_List[[#This Row],[I/O Type]]</f>
        <v>AI</v>
      </c>
      <c r="AE827" s="136" t="s">
        <v>1336</v>
      </c>
      <c r="AF827" s="136">
        <v>4</v>
      </c>
      <c r="AG827" s="136">
        <v>13</v>
      </c>
      <c r="AH827" s="136"/>
      <c r="AI827" s="136"/>
      <c r="AJ827" s="136">
        <v>0</v>
      </c>
      <c r="AK827" s="136">
        <v>0</v>
      </c>
      <c r="AL827" s="136">
        <v>1</v>
      </c>
      <c r="AM827" s="136">
        <v>0</v>
      </c>
      <c r="AN827" s="136">
        <v>0</v>
      </c>
      <c r="AO827" s="136"/>
      <c r="AP827" s="143" t="e">
        <f>VLOOKUP(tbl_IO_List[[#This Row],[Instruement Tag]],tbl_Instruement_List[],14,FALSE)</f>
        <v>#N/A</v>
      </c>
      <c r="AQ827" s="143" t="str">
        <f>tbl_IO_List[[#This Row],[Chassis]]&amp;"S"&amp;tbl_IO_List[[#This Row],[Slot]]&amp;"-"&amp;tbl_IO_List[[#This Row],[Front Terminal Number]]</f>
        <v>C5S4-</v>
      </c>
      <c r="AR827" s="143"/>
      <c r="AS827" s="136" t="str">
        <f>tbl_IO_List[[#This Row],[Terminal Tagging]]&amp;"-"&amp;tbl_IO_List[[#This Row],[Point-Count]]</f>
        <v>-</v>
      </c>
      <c r="AT827" s="136" t="str">
        <f>tbl_IO_List[[#This Row],[Front Terminal Tagging]]&amp;"/"&amp;tbl_IO_List[[#This Row],[Terminal Tagging-Item]]</f>
        <v>C5S4-/-</v>
      </c>
      <c r="AU827" s="136" t="str">
        <f>tbl_IO_List[[#This Row],[Terminal Tagging-Item]]&amp;"/"&amp;tbl_IO_List[[#This Row],[Front Terminal Tagging]]</f>
        <v>-/C5S4-</v>
      </c>
    </row>
    <row r="828" spans="1:47" hidden="1">
      <c r="A828" s="147" t="s">
        <v>1373</v>
      </c>
      <c r="B828" s="136" t="s">
        <v>382</v>
      </c>
      <c r="C828" s="136" t="str">
        <f>tbl_IO_List[[#This Row],[Column3]]</f>
        <v>C5S04,14</v>
      </c>
      <c r="D828" s="136" t="str">
        <f>tbl_IO_List[[#This Row],[Card]]</f>
        <v>1756-IF16-14</v>
      </c>
      <c r="E828" s="136" t="s">
        <v>1366</v>
      </c>
      <c r="F828" s="136" t="str">
        <f>tbl_IO_List[[#This Row],[Column23]]&amp;"-" &amp;tbl_IO_List[[#This Row],[Column52]]</f>
        <v>C5S04-X1</v>
      </c>
      <c r="G828" s="136" t="str">
        <f>tbl_IO_List[[#This Row],[PLC_Tag]]</f>
        <v>Spare_AI_0</v>
      </c>
      <c r="H828" s="136"/>
      <c r="I828" s="136" t="str">
        <f>VLOOKUP(tbl_IO_List[[#This Row],[Destination]],tbl_Junction[],2,FALSE)</f>
        <v>Slurry - Out Building 2nd Floor</v>
      </c>
      <c r="J828" s="136"/>
      <c r="K828" s="136"/>
      <c r="L828" s="136" t="s">
        <v>411</v>
      </c>
      <c r="M828" s="136" t="e">
        <f>VLOOKUP(tbl_IO_List[[#This Row],[Instruement Tag]],tbl_Instruement_List[],2,FALSE)</f>
        <v>#N/A</v>
      </c>
      <c r="N828" s="136"/>
      <c r="O828" s="136"/>
      <c r="P828" s="136"/>
      <c r="Q828" s="136" t="e">
        <f>VLOOKUP(tbl_IO_List[[#This Row],[Instruement Tag]],tbl_Instruement_List[],6,FALSE)</f>
        <v>#N/A</v>
      </c>
      <c r="R828" s="136"/>
      <c r="S82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828" s="136" t="str">
        <f>tbl_IO_List[[#This Row],[Instruement Tag]]&amp;"_"&amp;tbl_IO_List[[#This Row],[I/O Type]]&amp;"_"&amp;tbl_IO_List[[#This Row],[IO-Point 
(Instruement)]]</f>
        <v>Spare_AI_0</v>
      </c>
      <c r="U828" s="136" t="s">
        <v>10</v>
      </c>
      <c r="V828" s="136">
        <f>VLOOKUP(tbl_IO_List[[#This Row],[I/O Type]],tbl_Slot_Group[],2,FALSE)</f>
        <v>3</v>
      </c>
      <c r="W828" s="136">
        <v>0</v>
      </c>
      <c r="X828" s="136" t="str">
        <f>tbl_IO_List[[#This Row],[Chassis]]&amp;"S"&amp;TEXT(tbl_IO_List[[#This Row],[Slot]],"00")</f>
        <v>C5S04</v>
      </c>
      <c r="Y828" s="136" t="str">
        <f>tbl_IO_List[[#This Row],[Chassis]]&amp;"S"&amp;TEXT(tbl_IO_List[[#This Row],[Slot]],"00")&amp;tbl_IO_List[[#This Row],[I/O Type]]&amp;TEXT(tbl_IO_List[[#This Row],[Point]],"00")</f>
        <v>C5S04AI14</v>
      </c>
      <c r="Z828" s="136" t="str">
        <f>tbl_IO_List[[#This Row],[Chassis]]&amp;"S"&amp;TEXT(tbl_IO_List[[#This Row],[Slot]],"00")&amp;","&amp;TEXT(tbl_IO_List[[#This Row],[Point]],"00")</f>
        <v>C5S04,14</v>
      </c>
      <c r="AA828" s="136" t="str">
        <f>VLOOKUP(tbl_IO_List[[#This Row],[Column23]],tbl_RackConfig[],5,FALSE) &amp;"-"&amp;tbl_IO_List[[#This Row],[Point]]</f>
        <v>1756-IF16-14</v>
      </c>
      <c r="AB828" s="136"/>
      <c r="AC828" s="136"/>
      <c r="AD828" s="136" t="str">
        <f>tbl_IO_List[[#This Row],[I/O Type]]</f>
        <v>AI</v>
      </c>
      <c r="AE828" s="136" t="s">
        <v>1336</v>
      </c>
      <c r="AF828" s="136">
        <v>4</v>
      </c>
      <c r="AG828" s="136">
        <v>14</v>
      </c>
      <c r="AH828" s="136"/>
      <c r="AI828" s="136"/>
      <c r="AJ828" s="136">
        <v>0</v>
      </c>
      <c r="AK828" s="136">
        <v>0</v>
      </c>
      <c r="AL828" s="136">
        <v>1</v>
      </c>
      <c r="AM828" s="136">
        <v>0</v>
      </c>
      <c r="AN828" s="136">
        <v>0</v>
      </c>
      <c r="AO828" s="136"/>
      <c r="AP828" s="143" t="e">
        <f>VLOOKUP(tbl_IO_List[[#This Row],[Instruement Tag]],tbl_Instruement_List[],14,FALSE)</f>
        <v>#N/A</v>
      </c>
      <c r="AQ828" s="143" t="str">
        <f>tbl_IO_List[[#This Row],[Chassis]]&amp;"S"&amp;tbl_IO_List[[#This Row],[Slot]]&amp;"-"&amp;tbl_IO_List[[#This Row],[Front Terminal Number]]</f>
        <v>C5S4-</v>
      </c>
      <c r="AR828" s="143"/>
      <c r="AS828" s="136" t="str">
        <f>tbl_IO_List[[#This Row],[Terminal Tagging]]&amp;"-"&amp;tbl_IO_List[[#This Row],[Point-Count]]</f>
        <v>-</v>
      </c>
      <c r="AT828" s="136" t="str">
        <f>tbl_IO_List[[#This Row],[Front Terminal Tagging]]&amp;"/"&amp;tbl_IO_List[[#This Row],[Terminal Tagging-Item]]</f>
        <v>C5S4-/-</v>
      </c>
      <c r="AU828" s="136" t="str">
        <f>tbl_IO_List[[#This Row],[Terminal Tagging-Item]]&amp;"/"&amp;tbl_IO_List[[#This Row],[Front Terminal Tagging]]</f>
        <v>-/C5S4-</v>
      </c>
    </row>
    <row r="829" spans="1:47" hidden="1">
      <c r="A829" s="147" t="s">
        <v>1373</v>
      </c>
      <c r="B829" s="136" t="s">
        <v>382</v>
      </c>
      <c r="C829" s="136" t="str">
        <f>tbl_IO_List[[#This Row],[Column3]]</f>
        <v>C5S04,15</v>
      </c>
      <c r="D829" s="136" t="str">
        <f>tbl_IO_List[[#This Row],[Card]]</f>
        <v>1756-IF16-15</v>
      </c>
      <c r="E829" s="136" t="s">
        <v>1366</v>
      </c>
      <c r="F829" s="136" t="str">
        <f>tbl_IO_List[[#This Row],[Column23]]&amp;"-" &amp;tbl_IO_List[[#This Row],[Column52]]</f>
        <v>C5S04-X1</v>
      </c>
      <c r="G829" s="136" t="str">
        <f>tbl_IO_List[[#This Row],[PLC_Tag]]</f>
        <v>Spare_AI_0</v>
      </c>
      <c r="H829" s="136"/>
      <c r="I829" s="136" t="str">
        <f>VLOOKUP(tbl_IO_List[[#This Row],[Destination]],tbl_Junction[],2,FALSE)</f>
        <v>Slurry - Out Building 2nd Floor</v>
      </c>
      <c r="J829" s="136"/>
      <c r="K829" s="136"/>
      <c r="L829" s="136" t="s">
        <v>411</v>
      </c>
      <c r="M829" s="136" t="e">
        <f>VLOOKUP(tbl_IO_List[[#This Row],[Instruement Tag]],tbl_Instruement_List[],2,FALSE)</f>
        <v>#N/A</v>
      </c>
      <c r="N829" s="136"/>
      <c r="O829" s="136"/>
      <c r="P829" s="136"/>
      <c r="Q829" s="136" t="e">
        <f>VLOOKUP(tbl_IO_List[[#This Row],[Instruement Tag]],tbl_Instruement_List[],6,FALSE)</f>
        <v>#N/A</v>
      </c>
      <c r="R829" s="136"/>
      <c r="S82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829" s="136" t="str">
        <f>tbl_IO_List[[#This Row],[Instruement Tag]]&amp;"_"&amp;tbl_IO_List[[#This Row],[I/O Type]]&amp;"_"&amp;tbl_IO_List[[#This Row],[IO-Point 
(Instruement)]]</f>
        <v>Spare_AI_0</v>
      </c>
      <c r="U829" s="136" t="s">
        <v>10</v>
      </c>
      <c r="V829" s="136">
        <f>VLOOKUP(tbl_IO_List[[#This Row],[I/O Type]],tbl_Slot_Group[],2,FALSE)</f>
        <v>3</v>
      </c>
      <c r="W829" s="136">
        <v>0</v>
      </c>
      <c r="X829" s="136" t="str">
        <f>tbl_IO_List[[#This Row],[Chassis]]&amp;"S"&amp;TEXT(tbl_IO_List[[#This Row],[Slot]],"00")</f>
        <v>C5S04</v>
      </c>
      <c r="Y829" s="136" t="str">
        <f>tbl_IO_List[[#This Row],[Chassis]]&amp;"S"&amp;TEXT(tbl_IO_List[[#This Row],[Slot]],"00")&amp;tbl_IO_List[[#This Row],[I/O Type]]&amp;TEXT(tbl_IO_List[[#This Row],[Point]],"00")</f>
        <v>C5S04AI15</v>
      </c>
      <c r="Z829" s="136" t="str">
        <f>tbl_IO_List[[#This Row],[Chassis]]&amp;"S"&amp;TEXT(tbl_IO_List[[#This Row],[Slot]],"00")&amp;","&amp;TEXT(tbl_IO_List[[#This Row],[Point]],"00")</f>
        <v>C5S04,15</v>
      </c>
      <c r="AA829" s="136" t="str">
        <f>VLOOKUP(tbl_IO_List[[#This Row],[Column23]],tbl_RackConfig[],5,FALSE) &amp;"-"&amp;tbl_IO_List[[#This Row],[Point]]</f>
        <v>1756-IF16-15</v>
      </c>
      <c r="AB829" s="136"/>
      <c r="AC829" s="136"/>
      <c r="AD829" s="136" t="str">
        <f>tbl_IO_List[[#This Row],[I/O Type]]</f>
        <v>AI</v>
      </c>
      <c r="AE829" s="136" t="s">
        <v>1336</v>
      </c>
      <c r="AF829" s="136">
        <v>4</v>
      </c>
      <c r="AG829" s="136">
        <v>15</v>
      </c>
      <c r="AH829" s="136"/>
      <c r="AI829" s="136"/>
      <c r="AJ829" s="136">
        <v>0</v>
      </c>
      <c r="AK829" s="136">
        <v>0</v>
      </c>
      <c r="AL829" s="136">
        <v>1</v>
      </c>
      <c r="AM829" s="136">
        <v>0</v>
      </c>
      <c r="AN829" s="136">
        <v>0</v>
      </c>
      <c r="AO829" s="136"/>
      <c r="AP829" s="143" t="e">
        <f>VLOOKUP(tbl_IO_List[[#This Row],[Instruement Tag]],tbl_Instruement_List[],14,FALSE)</f>
        <v>#N/A</v>
      </c>
      <c r="AQ829" s="143" t="str">
        <f>tbl_IO_List[[#This Row],[Chassis]]&amp;"S"&amp;tbl_IO_List[[#This Row],[Slot]]&amp;"-"&amp;tbl_IO_List[[#This Row],[Front Terminal Number]]</f>
        <v>C5S4-</v>
      </c>
      <c r="AR829" s="143"/>
      <c r="AS829" s="136" t="str">
        <f>tbl_IO_List[[#This Row],[Terminal Tagging]]&amp;"-"&amp;tbl_IO_List[[#This Row],[Point-Count]]</f>
        <v>-</v>
      </c>
      <c r="AT829" s="136" t="str">
        <f>tbl_IO_List[[#This Row],[Front Terminal Tagging]]&amp;"/"&amp;tbl_IO_List[[#This Row],[Terminal Tagging-Item]]</f>
        <v>C5S4-/-</v>
      </c>
      <c r="AU829" s="136" t="str">
        <f>tbl_IO_List[[#This Row],[Terminal Tagging-Item]]&amp;"/"&amp;tbl_IO_List[[#This Row],[Front Terminal Tagging]]</f>
        <v>-/C5S4-</v>
      </c>
    </row>
    <row r="830" spans="1:47" hidden="1">
      <c r="A830" s="136" t="s">
        <v>1307</v>
      </c>
      <c r="B830" s="136" t="s">
        <v>1307</v>
      </c>
      <c r="C830" s="136" t="str">
        <f>tbl_IO_List[[#This Row],[Column3]]</f>
        <v>C6S05,00</v>
      </c>
      <c r="D830" s="136" t="e">
        <f>tbl_IO_List[[#This Row],[Card]]</f>
        <v>#N/A</v>
      </c>
      <c r="E830" s="136"/>
      <c r="F830" s="136" t="str">
        <f>tbl_IO_List[[#This Row],[Column23]]&amp;"-" &amp;tbl_IO_List[[#This Row],[Column52]]</f>
        <v>C6S05-</v>
      </c>
      <c r="G830" s="136" t="str">
        <f>tbl_IO_List[[#This Row],[PLC_Tag]]</f>
        <v>PCM-2030_DO_1</v>
      </c>
      <c r="H830" s="136"/>
      <c r="I830" s="136" t="str">
        <f>VLOOKUP(tbl_IO_List[[#This Row],[Destination]],tbl_Junction[],2,FALSE)</f>
        <v>MCC Room</v>
      </c>
      <c r="J830" s="136" t="s">
        <v>382</v>
      </c>
      <c r="K830" s="136" t="s">
        <v>383</v>
      </c>
      <c r="L830" s="136" t="s">
        <v>1244</v>
      </c>
      <c r="M830" s="136" t="e">
        <f>VLOOKUP(tbl_IO_List[[#This Row],[Instruement Tag]],tbl_Instruement_List[],2,FALSE)</f>
        <v>#N/A</v>
      </c>
      <c r="N830" s="136" t="s">
        <v>15</v>
      </c>
      <c r="O830" s="136" t="s">
        <v>386</v>
      </c>
      <c r="P830" s="136" t="s">
        <v>384</v>
      </c>
      <c r="Q830" s="136" t="e">
        <f>VLOOKUP(tbl_IO_List[[#This Row],[Instruement Tag]],tbl_Instruement_List[],6,FALSE)</f>
        <v>#N/A</v>
      </c>
      <c r="R830" s="136"/>
      <c r="S83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830" s="136" t="str">
        <f>tbl_IO_List[[#This Row],[Instruement Tag]]&amp;"_"&amp;tbl_IO_List[[#This Row],[I/O Type]]&amp;"_"&amp;tbl_IO_List[[#This Row],[IO-Point 
(Instruement)]]</f>
        <v>PCM-2030_DO_1</v>
      </c>
      <c r="U830" s="136" t="s">
        <v>7</v>
      </c>
      <c r="V830" s="136">
        <f>VLOOKUP(tbl_IO_List[[#This Row],[I/O Type]],tbl_Slot_Group[],2,FALSE)</f>
        <v>2</v>
      </c>
      <c r="W830" s="136">
        <v>1</v>
      </c>
      <c r="X830" s="136" t="str">
        <f>tbl_IO_List[[#This Row],[Chassis]]&amp;"S"&amp;TEXT(tbl_IO_List[[#This Row],[Slot]],"00")</f>
        <v>C6S05</v>
      </c>
      <c r="Y830" s="136" t="str">
        <f>tbl_IO_List[[#This Row],[Chassis]]&amp;"S"&amp;TEXT(tbl_IO_List[[#This Row],[Slot]],"00")&amp;tbl_IO_List[[#This Row],[I/O Type]]&amp;TEXT(tbl_IO_List[[#This Row],[Point]],"00")</f>
        <v>C6S05DO00</v>
      </c>
      <c r="Z830" s="136" t="str">
        <f>tbl_IO_List[[#This Row],[Chassis]]&amp;"S"&amp;TEXT(tbl_IO_List[[#This Row],[Slot]],"00")&amp;","&amp;TEXT(tbl_IO_List[[#This Row],[Point]],"00")</f>
        <v>C6S05,00</v>
      </c>
      <c r="AA830" s="136" t="e">
        <f>VLOOKUP(tbl_IO_List[[#This Row],[Column23]],tbl_RackConfig[],5,FALSE) &amp;"-"&amp;tbl_IO_List[[#This Row],[Point]]</f>
        <v>#N/A</v>
      </c>
      <c r="AB830" s="136"/>
      <c r="AC830" s="136"/>
      <c r="AD830" s="136" t="str">
        <f>tbl_IO_List[[#This Row],[I/O Type]]</f>
        <v>DO</v>
      </c>
      <c r="AE830" s="136" t="s">
        <v>1376</v>
      </c>
      <c r="AF830" s="136">
        <v>5</v>
      </c>
      <c r="AG830" s="136">
        <v>0</v>
      </c>
      <c r="AH830" s="136"/>
      <c r="AI830" s="136"/>
      <c r="AJ830" s="136">
        <v>2</v>
      </c>
      <c r="AK830" s="136">
        <v>2</v>
      </c>
      <c r="AL830" s="136">
        <v>0</v>
      </c>
      <c r="AM830" s="136">
        <v>0</v>
      </c>
      <c r="AN830" s="136">
        <v>0</v>
      </c>
      <c r="AO830" s="136"/>
      <c r="AP830" s="143" t="e">
        <f>VLOOKUP(tbl_IO_List[[#This Row],[Instruement Tag]],tbl_Instruement_List[],14,FALSE)</f>
        <v>#N/A</v>
      </c>
      <c r="AQ830" s="143" t="str">
        <f>tbl_IO_List[[#This Row],[Chassis]]&amp;"S"&amp;tbl_IO_List[[#This Row],[Slot]]&amp;"-"&amp;tbl_IO_List[[#This Row],[Front Terminal Number]]</f>
        <v>C6S5-</v>
      </c>
      <c r="AR830" s="143"/>
      <c r="AS830" s="136" t="str">
        <f>tbl_IO_List[[#This Row],[Terminal Tagging]]&amp;"-"&amp;tbl_IO_List[[#This Row],[Point-Count]]</f>
        <v>-</v>
      </c>
      <c r="AT830" s="136" t="str">
        <f>tbl_IO_List[[#This Row],[Front Terminal Tagging]]&amp;"/"&amp;tbl_IO_List[[#This Row],[Terminal Tagging-Item]]</f>
        <v>C6S5-/-</v>
      </c>
      <c r="AU830" s="136" t="str">
        <f>tbl_IO_List[[#This Row],[Terminal Tagging-Item]]&amp;"/"&amp;tbl_IO_List[[#This Row],[Front Terminal Tagging]]</f>
        <v>-/C6S5-</v>
      </c>
    </row>
    <row r="831" spans="1:47" hidden="1">
      <c r="A831" s="136" t="s">
        <v>1307</v>
      </c>
      <c r="B831" s="136" t="s">
        <v>1307</v>
      </c>
      <c r="C831" s="136" t="str">
        <f>tbl_IO_List[[#This Row],[Column3]]</f>
        <v>C6S05,01</v>
      </c>
      <c r="D831" s="136" t="e">
        <f>tbl_IO_List[[#This Row],[Card]]</f>
        <v>#N/A</v>
      </c>
      <c r="E831" s="136"/>
      <c r="F831" s="136" t="str">
        <f>tbl_IO_List[[#This Row],[Column23]]&amp;"-" &amp;tbl_IO_List[[#This Row],[Column52]]</f>
        <v>C6S05-</v>
      </c>
      <c r="G831" s="136" t="str">
        <f>tbl_IO_List[[#This Row],[PLC_Tag]]</f>
        <v>PCM-2030_DO_2</v>
      </c>
      <c r="H831" s="136"/>
      <c r="I831" s="136" t="str">
        <f>VLOOKUP(tbl_IO_List[[#This Row],[Destination]],tbl_Junction[],2,FALSE)</f>
        <v>MCC Room</v>
      </c>
      <c r="J831" s="136" t="s">
        <v>382</v>
      </c>
      <c r="K831" s="136" t="s">
        <v>383</v>
      </c>
      <c r="L831" s="136" t="s">
        <v>1244</v>
      </c>
      <c r="M831" s="136" t="e">
        <f>VLOOKUP(tbl_IO_List[[#This Row],[Instruement Tag]],tbl_Instruement_List[],2,FALSE)</f>
        <v>#N/A</v>
      </c>
      <c r="N831" s="136" t="s">
        <v>15</v>
      </c>
      <c r="O831" s="136" t="s">
        <v>386</v>
      </c>
      <c r="P831" s="136" t="s">
        <v>384</v>
      </c>
      <c r="Q831" s="136" t="e">
        <f>VLOOKUP(tbl_IO_List[[#This Row],[Instruement Tag]],tbl_Instruement_List[],6,FALSE)</f>
        <v>#N/A</v>
      </c>
      <c r="R831" s="136"/>
      <c r="S83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831" s="136" t="str">
        <f>tbl_IO_List[[#This Row],[Instruement Tag]]&amp;"_"&amp;tbl_IO_List[[#This Row],[I/O Type]]&amp;"_"&amp;tbl_IO_List[[#This Row],[IO-Point 
(Instruement)]]</f>
        <v>PCM-2030_DO_2</v>
      </c>
      <c r="U831" s="136" t="s">
        <v>7</v>
      </c>
      <c r="V831" s="136">
        <f>VLOOKUP(tbl_IO_List[[#This Row],[I/O Type]],tbl_Slot_Group[],2,FALSE)</f>
        <v>2</v>
      </c>
      <c r="W831" s="136">
        <v>2</v>
      </c>
      <c r="X831" s="136" t="str">
        <f>tbl_IO_List[[#This Row],[Chassis]]&amp;"S"&amp;TEXT(tbl_IO_List[[#This Row],[Slot]],"00")</f>
        <v>C6S05</v>
      </c>
      <c r="Y831" s="136" t="str">
        <f>tbl_IO_List[[#This Row],[Chassis]]&amp;"S"&amp;TEXT(tbl_IO_List[[#This Row],[Slot]],"00")&amp;tbl_IO_List[[#This Row],[I/O Type]]&amp;TEXT(tbl_IO_List[[#This Row],[Point]],"00")</f>
        <v>C6S05DO01</v>
      </c>
      <c r="Z831" s="136" t="str">
        <f>tbl_IO_List[[#This Row],[Chassis]]&amp;"S"&amp;TEXT(tbl_IO_List[[#This Row],[Slot]],"00")&amp;","&amp;TEXT(tbl_IO_List[[#This Row],[Point]],"00")</f>
        <v>C6S05,01</v>
      </c>
      <c r="AA831" s="136" t="e">
        <f>VLOOKUP(tbl_IO_List[[#This Row],[Column23]],tbl_RackConfig[],5,FALSE) &amp;"-"&amp;tbl_IO_List[[#This Row],[Point]]</f>
        <v>#N/A</v>
      </c>
      <c r="AB831" s="136"/>
      <c r="AC831" s="136"/>
      <c r="AD831" s="136" t="str">
        <f>tbl_IO_List[[#This Row],[I/O Type]]</f>
        <v>DO</v>
      </c>
      <c r="AE831" s="136" t="s">
        <v>1376</v>
      </c>
      <c r="AF831" s="136">
        <v>5</v>
      </c>
      <c r="AG831" s="136">
        <v>1</v>
      </c>
      <c r="AH831" s="136"/>
      <c r="AI831" s="136"/>
      <c r="AJ831" s="136">
        <v>2</v>
      </c>
      <c r="AK831" s="136">
        <v>2</v>
      </c>
      <c r="AL831" s="136">
        <v>0</v>
      </c>
      <c r="AM831" s="136">
        <v>0</v>
      </c>
      <c r="AN831" s="136">
        <v>0</v>
      </c>
      <c r="AO831" s="136"/>
      <c r="AP831" s="143" t="e">
        <f>VLOOKUP(tbl_IO_List[[#This Row],[Instruement Tag]],tbl_Instruement_List[],14,FALSE)</f>
        <v>#N/A</v>
      </c>
      <c r="AQ831" s="143" t="str">
        <f>tbl_IO_List[[#This Row],[Chassis]]&amp;"S"&amp;tbl_IO_List[[#This Row],[Slot]]&amp;"-"&amp;tbl_IO_List[[#This Row],[Front Terminal Number]]</f>
        <v>C6S5-</v>
      </c>
      <c r="AR831" s="143"/>
      <c r="AS831" s="136" t="str">
        <f>tbl_IO_List[[#This Row],[Terminal Tagging]]&amp;"-"&amp;tbl_IO_List[[#This Row],[Point-Count]]</f>
        <v>-</v>
      </c>
      <c r="AT831" s="136" t="str">
        <f>tbl_IO_List[[#This Row],[Front Terminal Tagging]]&amp;"/"&amp;tbl_IO_List[[#This Row],[Terminal Tagging-Item]]</f>
        <v>C6S5-/-</v>
      </c>
      <c r="AU831" s="136" t="str">
        <f>tbl_IO_List[[#This Row],[Terminal Tagging-Item]]&amp;"/"&amp;tbl_IO_List[[#This Row],[Front Terminal Tagging]]</f>
        <v>-/C6S5-</v>
      </c>
    </row>
    <row r="832" spans="1:47" hidden="1">
      <c r="A832" s="136" t="s">
        <v>1307</v>
      </c>
      <c r="B832" s="136" t="s">
        <v>1307</v>
      </c>
      <c r="C832" s="136" t="str">
        <f>tbl_IO_List[[#This Row],[Column3]]</f>
        <v>C6S05,02</v>
      </c>
      <c r="D832" s="136" t="e">
        <f>tbl_IO_List[[#This Row],[Card]]</f>
        <v>#N/A</v>
      </c>
      <c r="E832" s="136"/>
      <c r="F832" s="136" t="str">
        <f>tbl_IO_List[[#This Row],[Column23]]&amp;"-" &amp;tbl_IO_List[[#This Row],[Column52]]</f>
        <v>C6S05-</v>
      </c>
      <c r="G832" s="136" t="str">
        <f>tbl_IO_List[[#This Row],[PLC_Tag]]</f>
        <v>PCM-2031_DO_1</v>
      </c>
      <c r="H832" s="136"/>
      <c r="I832" s="136" t="str">
        <f>VLOOKUP(tbl_IO_List[[#This Row],[Destination]],tbl_Junction[],2,FALSE)</f>
        <v>MCC Room</v>
      </c>
      <c r="J832" s="136" t="s">
        <v>382</v>
      </c>
      <c r="K832" s="136" t="s">
        <v>383</v>
      </c>
      <c r="L832" s="136" t="s">
        <v>1249</v>
      </c>
      <c r="M832" s="136">
        <f>VLOOKUP(tbl_IO_List[[#This Row],[Instruement Tag]],tbl_Instruement_List[],2,FALSE)</f>
        <v>0</v>
      </c>
      <c r="N832" s="136" t="s">
        <v>15</v>
      </c>
      <c r="O832" s="136" t="s">
        <v>386</v>
      </c>
      <c r="P832" s="136" t="s">
        <v>384</v>
      </c>
      <c r="Q832" s="136" t="str">
        <f>VLOOKUP(tbl_IO_List[[#This Row],[Instruement Tag]],tbl_Instruement_List[],6,FALSE)</f>
        <v xml:space="preserve"> Start / Stop Command for FVNR PC-2031</v>
      </c>
      <c r="R832" s="136"/>
      <c r="S83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832" s="136" t="str">
        <f>tbl_IO_List[[#This Row],[Instruement Tag]]&amp;"_"&amp;tbl_IO_List[[#This Row],[I/O Type]]&amp;"_"&amp;tbl_IO_List[[#This Row],[IO-Point 
(Instruement)]]</f>
        <v>PCM-2031_DO_1</v>
      </c>
      <c r="U832" s="136" t="s">
        <v>7</v>
      </c>
      <c r="V832" s="136">
        <f>VLOOKUP(tbl_IO_List[[#This Row],[I/O Type]],tbl_Slot_Group[],2,FALSE)</f>
        <v>2</v>
      </c>
      <c r="W832" s="136">
        <v>1</v>
      </c>
      <c r="X832" s="136" t="str">
        <f>tbl_IO_List[[#This Row],[Chassis]]&amp;"S"&amp;TEXT(tbl_IO_List[[#This Row],[Slot]],"00")</f>
        <v>C6S05</v>
      </c>
      <c r="Y832" s="136" t="str">
        <f>tbl_IO_List[[#This Row],[Chassis]]&amp;"S"&amp;TEXT(tbl_IO_List[[#This Row],[Slot]],"00")&amp;tbl_IO_List[[#This Row],[I/O Type]]&amp;TEXT(tbl_IO_List[[#This Row],[Point]],"00")</f>
        <v>C6S05DO02</v>
      </c>
      <c r="Z832" s="136" t="str">
        <f>tbl_IO_List[[#This Row],[Chassis]]&amp;"S"&amp;TEXT(tbl_IO_List[[#This Row],[Slot]],"00")&amp;","&amp;TEXT(tbl_IO_List[[#This Row],[Point]],"00")</f>
        <v>C6S05,02</v>
      </c>
      <c r="AA832" s="136" t="e">
        <f>VLOOKUP(tbl_IO_List[[#This Row],[Column23]],tbl_RackConfig[],5,FALSE) &amp;"-"&amp;tbl_IO_List[[#This Row],[Point]]</f>
        <v>#N/A</v>
      </c>
      <c r="AB832" s="136"/>
      <c r="AC832" s="136"/>
      <c r="AD832" s="136" t="str">
        <f>tbl_IO_List[[#This Row],[I/O Type]]</f>
        <v>DO</v>
      </c>
      <c r="AE832" s="136" t="s">
        <v>1376</v>
      </c>
      <c r="AF832" s="136">
        <v>5</v>
      </c>
      <c r="AG832" s="136">
        <v>2</v>
      </c>
      <c r="AH832" s="136"/>
      <c r="AI832" s="136"/>
      <c r="AJ832" s="136">
        <v>2</v>
      </c>
      <c r="AK832" s="136">
        <v>2</v>
      </c>
      <c r="AL832" s="136">
        <v>0</v>
      </c>
      <c r="AM832" s="136">
        <v>0</v>
      </c>
      <c r="AN832" s="136">
        <v>0</v>
      </c>
      <c r="AO832" s="136"/>
      <c r="AP832" s="143" t="str">
        <f>VLOOKUP(tbl_IO_List[[#This Row],[Instruement Tag]],tbl_Instruement_List[],14,FALSE)</f>
        <v>24 VDC energized</v>
      </c>
      <c r="AQ832" s="143" t="str">
        <f>tbl_IO_List[[#This Row],[Chassis]]&amp;"S"&amp;tbl_IO_List[[#This Row],[Slot]]&amp;"-"&amp;tbl_IO_List[[#This Row],[Front Terminal Number]]</f>
        <v>C6S5-</v>
      </c>
      <c r="AR832" s="143"/>
      <c r="AS832" s="136" t="str">
        <f>tbl_IO_List[[#This Row],[Terminal Tagging]]&amp;"-"&amp;tbl_IO_List[[#This Row],[Point-Count]]</f>
        <v>-</v>
      </c>
      <c r="AT832" s="136" t="str">
        <f>tbl_IO_List[[#This Row],[Front Terminal Tagging]]&amp;"/"&amp;tbl_IO_List[[#This Row],[Terminal Tagging-Item]]</f>
        <v>C6S5-/-</v>
      </c>
      <c r="AU832" s="136" t="str">
        <f>tbl_IO_List[[#This Row],[Terminal Tagging-Item]]&amp;"/"&amp;tbl_IO_List[[#This Row],[Front Terminal Tagging]]</f>
        <v>-/C6S5-</v>
      </c>
    </row>
    <row r="833" spans="1:47" hidden="1">
      <c r="A833" s="136" t="s">
        <v>1307</v>
      </c>
      <c r="B833" s="136" t="s">
        <v>1307</v>
      </c>
      <c r="C833" s="136" t="str">
        <f>tbl_IO_List[[#This Row],[Column3]]</f>
        <v>C6S05,03</v>
      </c>
      <c r="D833" s="136" t="e">
        <f>tbl_IO_List[[#This Row],[Card]]</f>
        <v>#N/A</v>
      </c>
      <c r="E833" s="136"/>
      <c r="F833" s="136" t="str">
        <f>tbl_IO_List[[#This Row],[Column23]]&amp;"-" &amp;tbl_IO_List[[#This Row],[Column52]]</f>
        <v>C6S05-</v>
      </c>
      <c r="G833" s="136" t="str">
        <f>tbl_IO_List[[#This Row],[PLC_Tag]]</f>
        <v>PCM-2031_DO_2</v>
      </c>
      <c r="H833" s="136"/>
      <c r="I833" s="136" t="str">
        <f>VLOOKUP(tbl_IO_List[[#This Row],[Destination]],tbl_Junction[],2,FALSE)</f>
        <v>MCC Room</v>
      </c>
      <c r="J833" s="136" t="s">
        <v>382</v>
      </c>
      <c r="K833" s="136" t="s">
        <v>383</v>
      </c>
      <c r="L833" s="136" t="s">
        <v>1249</v>
      </c>
      <c r="M833" s="136">
        <f>VLOOKUP(tbl_IO_List[[#This Row],[Instruement Tag]],tbl_Instruement_List[],2,FALSE)</f>
        <v>0</v>
      </c>
      <c r="N833" s="136" t="s">
        <v>15</v>
      </c>
      <c r="O833" s="136" t="s">
        <v>386</v>
      </c>
      <c r="P833" s="136" t="s">
        <v>384</v>
      </c>
      <c r="Q833" s="136" t="str">
        <f>VLOOKUP(tbl_IO_List[[#This Row],[Instruement Tag]],tbl_Instruement_List[],6,FALSE)</f>
        <v xml:space="preserve"> Start / Stop Command for FVNR PC-2031</v>
      </c>
      <c r="R833" s="136"/>
      <c r="S83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833" s="136" t="str">
        <f>tbl_IO_List[[#This Row],[Instruement Tag]]&amp;"_"&amp;tbl_IO_List[[#This Row],[I/O Type]]&amp;"_"&amp;tbl_IO_List[[#This Row],[IO-Point 
(Instruement)]]</f>
        <v>PCM-2031_DO_2</v>
      </c>
      <c r="U833" s="136" t="s">
        <v>7</v>
      </c>
      <c r="V833" s="136">
        <f>VLOOKUP(tbl_IO_List[[#This Row],[I/O Type]],tbl_Slot_Group[],2,FALSE)</f>
        <v>2</v>
      </c>
      <c r="W833" s="136">
        <v>2</v>
      </c>
      <c r="X833" s="136" t="str">
        <f>tbl_IO_List[[#This Row],[Chassis]]&amp;"S"&amp;TEXT(tbl_IO_List[[#This Row],[Slot]],"00")</f>
        <v>C6S05</v>
      </c>
      <c r="Y833" s="136" t="str">
        <f>tbl_IO_List[[#This Row],[Chassis]]&amp;"S"&amp;TEXT(tbl_IO_List[[#This Row],[Slot]],"00")&amp;tbl_IO_List[[#This Row],[I/O Type]]&amp;TEXT(tbl_IO_List[[#This Row],[Point]],"00")</f>
        <v>C6S05DO03</v>
      </c>
      <c r="Z833" s="136" t="str">
        <f>tbl_IO_List[[#This Row],[Chassis]]&amp;"S"&amp;TEXT(tbl_IO_List[[#This Row],[Slot]],"00")&amp;","&amp;TEXT(tbl_IO_List[[#This Row],[Point]],"00")</f>
        <v>C6S05,03</v>
      </c>
      <c r="AA833" s="136" t="e">
        <f>VLOOKUP(tbl_IO_List[[#This Row],[Column23]],tbl_RackConfig[],5,FALSE) &amp;"-"&amp;tbl_IO_List[[#This Row],[Point]]</f>
        <v>#N/A</v>
      </c>
      <c r="AB833" s="136"/>
      <c r="AC833" s="136"/>
      <c r="AD833" s="136" t="str">
        <f>tbl_IO_List[[#This Row],[I/O Type]]</f>
        <v>DO</v>
      </c>
      <c r="AE833" s="136" t="s">
        <v>1376</v>
      </c>
      <c r="AF833" s="136">
        <v>5</v>
      </c>
      <c r="AG833" s="136">
        <v>3</v>
      </c>
      <c r="AH833" s="136"/>
      <c r="AI833" s="136"/>
      <c r="AJ833" s="136">
        <v>2</v>
      </c>
      <c r="AK833" s="136">
        <v>2</v>
      </c>
      <c r="AL833" s="136">
        <v>0</v>
      </c>
      <c r="AM833" s="136">
        <v>0</v>
      </c>
      <c r="AN833" s="136">
        <v>0</v>
      </c>
      <c r="AO833" s="136"/>
      <c r="AP833" s="143" t="str">
        <f>VLOOKUP(tbl_IO_List[[#This Row],[Instruement Tag]],tbl_Instruement_List[],14,FALSE)</f>
        <v>24 VDC energized</v>
      </c>
      <c r="AQ833" s="143" t="str">
        <f>tbl_IO_List[[#This Row],[Chassis]]&amp;"S"&amp;tbl_IO_List[[#This Row],[Slot]]&amp;"-"&amp;tbl_IO_List[[#This Row],[Front Terminal Number]]</f>
        <v>C6S5-</v>
      </c>
      <c r="AR833" s="143"/>
      <c r="AS833" s="136" t="str">
        <f>tbl_IO_List[[#This Row],[Terminal Tagging]]&amp;"-"&amp;tbl_IO_List[[#This Row],[Point-Count]]</f>
        <v>-</v>
      </c>
      <c r="AT833" s="136" t="str">
        <f>tbl_IO_List[[#This Row],[Front Terminal Tagging]]&amp;"/"&amp;tbl_IO_List[[#This Row],[Terminal Tagging-Item]]</f>
        <v>C6S5-/-</v>
      </c>
      <c r="AU833" s="136" t="str">
        <f>tbl_IO_List[[#This Row],[Terminal Tagging-Item]]&amp;"/"&amp;tbl_IO_List[[#This Row],[Front Terminal Tagging]]</f>
        <v>-/C6S5-</v>
      </c>
    </row>
    <row r="834" spans="1:47" hidden="1">
      <c r="A834" s="136" t="s">
        <v>1307</v>
      </c>
      <c r="B834" s="136" t="s">
        <v>1307</v>
      </c>
      <c r="C834" s="136" t="str">
        <f>tbl_IO_List[[#This Row],[Column3]]</f>
        <v>C6S05,04</v>
      </c>
      <c r="D834" s="136" t="e">
        <f>tbl_IO_List[[#This Row],[Card]]</f>
        <v>#N/A</v>
      </c>
      <c r="E834" s="136"/>
      <c r="F834" s="136" t="str">
        <f>tbl_IO_List[[#This Row],[Column23]]&amp;"-" &amp;tbl_IO_List[[#This Row],[Column52]]</f>
        <v>C6S05-</v>
      </c>
      <c r="G834" s="136" t="str">
        <f>tbl_IO_List[[#This Row],[PLC_Tag]]</f>
        <v>PCY-814201_DO_1</v>
      </c>
      <c r="H834" s="136"/>
      <c r="I834" s="136" t="str">
        <f>VLOOKUP(tbl_IO_List[[#This Row],[Destination]],tbl_Junction[],2,FALSE)</f>
        <v>MCC Room</v>
      </c>
      <c r="J834" s="136" t="s">
        <v>382</v>
      </c>
      <c r="K834" s="136" t="s">
        <v>401</v>
      </c>
      <c r="L834" s="136" t="s">
        <v>1252</v>
      </c>
      <c r="M834" s="136" t="str">
        <f>VLOOKUP(tbl_IO_List[[#This Row],[Instruement Tag]],tbl_Instruement_List[],2,FALSE)</f>
        <v>PUMP</v>
      </c>
      <c r="N834" s="136" t="s">
        <v>24</v>
      </c>
      <c r="O834" s="136" t="s">
        <v>402</v>
      </c>
      <c r="P834" s="136" t="s">
        <v>18</v>
      </c>
      <c r="Q834" s="136" t="str">
        <f>VLOOKUP(tbl_IO_List[[#This Row],[Instruement Tag]],tbl_Instruement_List[],6,FALSE)</f>
        <v xml:space="preserve"> Start / Stop Command to VSD PC-81001</v>
      </c>
      <c r="R834" s="136"/>
      <c r="S83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3,DO=1,AI=0,AO=0,Bus=1</v>
      </c>
      <c r="T834" s="136" t="str">
        <f>tbl_IO_List[[#This Row],[Instruement Tag]]&amp;"_"&amp;tbl_IO_List[[#This Row],[I/O Type]]&amp;"_"&amp;tbl_IO_List[[#This Row],[IO-Point 
(Instruement)]]</f>
        <v>PCY-814201_DO_1</v>
      </c>
      <c r="U834" s="136" t="s">
        <v>7</v>
      </c>
      <c r="V834" s="136">
        <f>VLOOKUP(tbl_IO_List[[#This Row],[I/O Type]],tbl_Slot_Group[],2,FALSE)</f>
        <v>2</v>
      </c>
      <c r="W834" s="136">
        <v>1</v>
      </c>
      <c r="X834" s="136" t="str">
        <f>tbl_IO_List[[#This Row],[Chassis]]&amp;"S"&amp;TEXT(tbl_IO_List[[#This Row],[Slot]],"00")</f>
        <v>C6S05</v>
      </c>
      <c r="Y834" s="136" t="str">
        <f>tbl_IO_List[[#This Row],[Chassis]]&amp;"S"&amp;TEXT(tbl_IO_List[[#This Row],[Slot]],"00")&amp;tbl_IO_List[[#This Row],[I/O Type]]&amp;TEXT(tbl_IO_List[[#This Row],[Point]],"00")</f>
        <v>C6S05DO04</v>
      </c>
      <c r="Z834" s="136" t="str">
        <f>tbl_IO_List[[#This Row],[Chassis]]&amp;"S"&amp;TEXT(tbl_IO_List[[#This Row],[Slot]],"00")&amp;","&amp;TEXT(tbl_IO_List[[#This Row],[Point]],"00")</f>
        <v>C6S05,04</v>
      </c>
      <c r="AA834" s="136" t="e">
        <f>VLOOKUP(tbl_IO_List[[#This Row],[Column23]],tbl_RackConfig[],5,FALSE) &amp;"-"&amp;tbl_IO_List[[#This Row],[Point]]</f>
        <v>#N/A</v>
      </c>
      <c r="AB834" s="136"/>
      <c r="AC834" s="136"/>
      <c r="AD834" s="136" t="str">
        <f>tbl_IO_List[[#This Row],[I/O Type]]</f>
        <v>DO</v>
      </c>
      <c r="AE834" s="136" t="s">
        <v>1376</v>
      </c>
      <c r="AF834" s="136">
        <v>5</v>
      </c>
      <c r="AG834" s="136">
        <v>4</v>
      </c>
      <c r="AH834" s="136"/>
      <c r="AI834" s="136"/>
      <c r="AJ834" s="136">
        <v>3</v>
      </c>
      <c r="AK834" s="136">
        <v>1</v>
      </c>
      <c r="AL834" s="136">
        <v>0</v>
      </c>
      <c r="AM834" s="136">
        <v>0</v>
      </c>
      <c r="AN834" s="136">
        <v>1</v>
      </c>
      <c r="AO834" s="136"/>
      <c r="AP834" s="143" t="str">
        <f>VLOOKUP(tbl_IO_List[[#This Row],[Instruement Tag]],tbl_Instruement_List[],14,FALSE)</f>
        <v>24 VDC energized</v>
      </c>
      <c r="AQ834" s="143" t="str">
        <f>tbl_IO_List[[#This Row],[Chassis]]&amp;"S"&amp;tbl_IO_List[[#This Row],[Slot]]&amp;"-"&amp;tbl_IO_List[[#This Row],[Front Terminal Number]]</f>
        <v>C6S5-</v>
      </c>
      <c r="AR834" s="143"/>
      <c r="AS834" s="136" t="str">
        <f>tbl_IO_List[[#This Row],[Terminal Tagging]]&amp;"-"&amp;tbl_IO_List[[#This Row],[Point-Count]]</f>
        <v>-</v>
      </c>
      <c r="AT834" s="136" t="str">
        <f>tbl_IO_List[[#This Row],[Front Terminal Tagging]]&amp;"/"&amp;tbl_IO_List[[#This Row],[Terminal Tagging-Item]]</f>
        <v>C6S5-/-</v>
      </c>
      <c r="AU834" s="136" t="str">
        <f>tbl_IO_List[[#This Row],[Terminal Tagging-Item]]&amp;"/"&amp;tbl_IO_List[[#This Row],[Front Terminal Tagging]]</f>
        <v>-/C6S5-</v>
      </c>
    </row>
    <row r="835" spans="1:47" hidden="1">
      <c r="A835" s="136" t="s">
        <v>1307</v>
      </c>
      <c r="B835" s="136" t="s">
        <v>1307</v>
      </c>
      <c r="C835" s="136" t="str">
        <f>tbl_IO_List[[#This Row],[Column3]]</f>
        <v>C6S05,05</v>
      </c>
      <c r="D835" s="136" t="e">
        <f>tbl_IO_List[[#This Row],[Card]]</f>
        <v>#N/A</v>
      </c>
      <c r="E835" s="136"/>
      <c r="F835" s="136" t="str">
        <f>tbl_IO_List[[#This Row],[Column23]]&amp;"-" &amp;tbl_IO_List[[#This Row],[Column52]]</f>
        <v>C6S05-</v>
      </c>
      <c r="G835" s="136" t="str">
        <f>tbl_IO_List[[#This Row],[PLC_Tag]]</f>
        <v>PCY-814202_DO_1</v>
      </c>
      <c r="H835" s="136"/>
      <c r="I835" s="136" t="str">
        <f>VLOOKUP(tbl_IO_List[[#This Row],[Destination]],tbl_Junction[],2,FALSE)</f>
        <v>MCC Room</v>
      </c>
      <c r="J835" s="136" t="s">
        <v>382</v>
      </c>
      <c r="K835" s="136" t="s">
        <v>401</v>
      </c>
      <c r="L835" s="136" t="s">
        <v>1256</v>
      </c>
      <c r="M835" s="136" t="str">
        <f>VLOOKUP(tbl_IO_List[[#This Row],[Instruement Tag]],tbl_Instruement_List[],2,FALSE)</f>
        <v>PUMP</v>
      </c>
      <c r="N835" s="136" t="s">
        <v>24</v>
      </c>
      <c r="O835" s="136" t="s">
        <v>402</v>
      </c>
      <c r="P835" s="136" t="s">
        <v>18</v>
      </c>
      <c r="Q835" s="136" t="str">
        <f>VLOOKUP(tbl_IO_List[[#This Row],[Instruement Tag]],tbl_Instruement_List[],6,FALSE)</f>
        <v xml:space="preserve"> Start / Stop Command to VSD PC-81002</v>
      </c>
      <c r="R835" s="136"/>
      <c r="S83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3,DO=1,AI=0,AO=0,Bus=1</v>
      </c>
      <c r="T835" s="136" t="str">
        <f>tbl_IO_List[[#This Row],[Instruement Tag]]&amp;"_"&amp;tbl_IO_List[[#This Row],[I/O Type]]&amp;"_"&amp;tbl_IO_List[[#This Row],[IO-Point 
(Instruement)]]</f>
        <v>PCY-814202_DO_1</v>
      </c>
      <c r="U835" s="136" t="s">
        <v>7</v>
      </c>
      <c r="V835" s="136">
        <f>VLOOKUP(tbl_IO_List[[#This Row],[I/O Type]],tbl_Slot_Group[],2,FALSE)</f>
        <v>2</v>
      </c>
      <c r="W835" s="136">
        <v>1</v>
      </c>
      <c r="X835" s="136" t="str">
        <f>tbl_IO_List[[#This Row],[Chassis]]&amp;"S"&amp;TEXT(tbl_IO_List[[#This Row],[Slot]],"00")</f>
        <v>C6S05</v>
      </c>
      <c r="Y835" s="136" t="str">
        <f>tbl_IO_List[[#This Row],[Chassis]]&amp;"S"&amp;TEXT(tbl_IO_List[[#This Row],[Slot]],"00")&amp;tbl_IO_List[[#This Row],[I/O Type]]&amp;TEXT(tbl_IO_List[[#This Row],[Point]],"00")</f>
        <v>C6S05DO05</v>
      </c>
      <c r="Z835" s="136" t="str">
        <f>tbl_IO_List[[#This Row],[Chassis]]&amp;"S"&amp;TEXT(tbl_IO_List[[#This Row],[Slot]],"00")&amp;","&amp;TEXT(tbl_IO_List[[#This Row],[Point]],"00")</f>
        <v>C6S05,05</v>
      </c>
      <c r="AA835" s="136" t="e">
        <f>VLOOKUP(tbl_IO_List[[#This Row],[Column23]],tbl_RackConfig[],5,FALSE) &amp;"-"&amp;tbl_IO_List[[#This Row],[Point]]</f>
        <v>#N/A</v>
      </c>
      <c r="AB835" s="136"/>
      <c r="AC835" s="136"/>
      <c r="AD835" s="136" t="str">
        <f>tbl_IO_List[[#This Row],[I/O Type]]</f>
        <v>DO</v>
      </c>
      <c r="AE835" s="136" t="s">
        <v>1376</v>
      </c>
      <c r="AF835" s="136">
        <v>5</v>
      </c>
      <c r="AG835" s="136">
        <v>5</v>
      </c>
      <c r="AH835" s="136"/>
      <c r="AI835" s="136"/>
      <c r="AJ835" s="136">
        <v>3</v>
      </c>
      <c r="AK835" s="136">
        <v>1</v>
      </c>
      <c r="AL835" s="136">
        <v>0</v>
      </c>
      <c r="AM835" s="136">
        <v>0</v>
      </c>
      <c r="AN835" s="136">
        <v>1</v>
      </c>
      <c r="AO835" s="136"/>
      <c r="AP835" s="143" t="str">
        <f>VLOOKUP(tbl_IO_List[[#This Row],[Instruement Tag]],tbl_Instruement_List[],14,FALSE)</f>
        <v>24 VDC energized</v>
      </c>
      <c r="AQ835" s="143" t="str">
        <f>tbl_IO_List[[#This Row],[Chassis]]&amp;"S"&amp;tbl_IO_List[[#This Row],[Slot]]&amp;"-"&amp;tbl_IO_List[[#This Row],[Front Terminal Number]]</f>
        <v>C6S5-</v>
      </c>
      <c r="AR835" s="143"/>
      <c r="AS835" s="136" t="str">
        <f>tbl_IO_List[[#This Row],[Terminal Tagging]]&amp;"-"&amp;tbl_IO_List[[#This Row],[Point-Count]]</f>
        <v>-</v>
      </c>
      <c r="AT835" s="136" t="str">
        <f>tbl_IO_List[[#This Row],[Front Terminal Tagging]]&amp;"/"&amp;tbl_IO_List[[#This Row],[Terminal Tagging-Item]]</f>
        <v>C6S5-/-</v>
      </c>
      <c r="AU835" s="136" t="str">
        <f>tbl_IO_List[[#This Row],[Terminal Tagging-Item]]&amp;"/"&amp;tbl_IO_List[[#This Row],[Front Terminal Tagging]]</f>
        <v>-/C6S5-</v>
      </c>
    </row>
    <row r="836" spans="1:47" hidden="1">
      <c r="A836" s="136" t="s">
        <v>1307</v>
      </c>
      <c r="B836" s="136" t="s">
        <v>1307</v>
      </c>
      <c r="C836" s="136" t="str">
        <f>tbl_IO_List[[#This Row],[Column3]]</f>
        <v>C6S05,06</v>
      </c>
      <c r="D836" s="136" t="e">
        <f>tbl_IO_List[[#This Row],[Card]]</f>
        <v>#N/A</v>
      </c>
      <c r="E836" s="136"/>
      <c r="F836" s="136" t="str">
        <f>tbl_IO_List[[#This Row],[Column23]]&amp;"-" &amp;tbl_IO_List[[#This Row],[Column52]]</f>
        <v>C6S05-</v>
      </c>
      <c r="G836" s="136" t="str">
        <f>tbl_IO_List[[#This Row],[PLC_Tag]]</f>
        <v>XS-80305_DO_1</v>
      </c>
      <c r="H836" s="136"/>
      <c r="I836" s="136" t="str">
        <f>VLOOKUP(tbl_IO_List[[#This Row],[Destination]],tbl_Junction[],2,FALSE)</f>
        <v>MCC Room</v>
      </c>
      <c r="J836" s="136" t="s">
        <v>382</v>
      </c>
      <c r="K836" s="136" t="s">
        <v>404</v>
      </c>
      <c r="L836" s="136" t="s">
        <v>1284</v>
      </c>
      <c r="M836" s="136">
        <f>VLOOKUP(tbl_IO_List[[#This Row],[Instruement Tag]],tbl_Instruement_List[],2,FALSE)</f>
        <v>0</v>
      </c>
      <c r="N836" s="136" t="s">
        <v>15</v>
      </c>
      <c r="O836" s="136" t="s">
        <v>405</v>
      </c>
      <c r="P836" s="136" t="s">
        <v>18</v>
      </c>
      <c r="Q836" s="136" t="str">
        <f>VLOOKUP(tbl_IO_List[[#This Row],[Instruement Tag]],tbl_Instruement_List[],6,FALSE)</f>
        <v xml:space="preserve"> Start / Stop Command for Gas Vaporizer 5</v>
      </c>
      <c r="R836" s="136"/>
      <c r="S83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836" s="136" t="str">
        <f>tbl_IO_List[[#This Row],[Instruement Tag]]&amp;"_"&amp;tbl_IO_List[[#This Row],[I/O Type]]&amp;"_"&amp;tbl_IO_List[[#This Row],[IO-Point 
(Instruement)]]</f>
        <v>XS-80305_DO_1</v>
      </c>
      <c r="U836" s="136" t="s">
        <v>7</v>
      </c>
      <c r="V836" s="136">
        <f>VLOOKUP(tbl_IO_List[[#This Row],[I/O Type]],tbl_Slot_Group[],2,FALSE)</f>
        <v>2</v>
      </c>
      <c r="W836" s="136">
        <v>1</v>
      </c>
      <c r="X836" s="136" t="str">
        <f>tbl_IO_List[[#This Row],[Chassis]]&amp;"S"&amp;TEXT(tbl_IO_List[[#This Row],[Slot]],"00")</f>
        <v>C6S05</v>
      </c>
      <c r="Y836" s="136" t="str">
        <f>tbl_IO_List[[#This Row],[Chassis]]&amp;"S"&amp;TEXT(tbl_IO_List[[#This Row],[Slot]],"00")&amp;tbl_IO_List[[#This Row],[I/O Type]]&amp;TEXT(tbl_IO_List[[#This Row],[Point]],"00")</f>
        <v>C6S05DO06</v>
      </c>
      <c r="Z836" s="136" t="str">
        <f>tbl_IO_List[[#This Row],[Chassis]]&amp;"S"&amp;TEXT(tbl_IO_List[[#This Row],[Slot]],"00")&amp;","&amp;TEXT(tbl_IO_List[[#This Row],[Point]],"00")</f>
        <v>C6S05,06</v>
      </c>
      <c r="AA836" s="136" t="e">
        <f>VLOOKUP(tbl_IO_List[[#This Row],[Column23]],tbl_RackConfig[],5,FALSE) &amp;"-"&amp;tbl_IO_List[[#This Row],[Point]]</f>
        <v>#N/A</v>
      </c>
      <c r="AB836" s="136"/>
      <c r="AC836" s="136"/>
      <c r="AD836" s="136" t="str">
        <f>tbl_IO_List[[#This Row],[I/O Type]]</f>
        <v>DO</v>
      </c>
      <c r="AE836" s="136" t="s">
        <v>1376</v>
      </c>
      <c r="AF836" s="136">
        <v>5</v>
      </c>
      <c r="AG836" s="136">
        <v>6</v>
      </c>
      <c r="AH836" s="136"/>
      <c r="AI836" s="136"/>
      <c r="AJ836" s="136">
        <v>0</v>
      </c>
      <c r="AK836" s="136">
        <v>1</v>
      </c>
      <c r="AL836" s="136">
        <v>0</v>
      </c>
      <c r="AM836" s="136">
        <v>0</v>
      </c>
      <c r="AN836" s="136">
        <v>0</v>
      </c>
      <c r="AO836" s="136"/>
      <c r="AP836" s="143" t="str">
        <f>VLOOKUP(tbl_IO_List[[#This Row],[Instruement Tag]],tbl_Instruement_List[],14,FALSE)</f>
        <v>24 VDC energized</v>
      </c>
      <c r="AQ836" s="143" t="str">
        <f>tbl_IO_List[[#This Row],[Chassis]]&amp;"S"&amp;tbl_IO_List[[#This Row],[Slot]]&amp;"-"&amp;tbl_IO_List[[#This Row],[Front Terminal Number]]</f>
        <v>C6S5-</v>
      </c>
      <c r="AR836" s="143"/>
      <c r="AS836" s="136" t="str">
        <f>tbl_IO_List[[#This Row],[Terminal Tagging]]&amp;"-"&amp;tbl_IO_List[[#This Row],[Point-Count]]</f>
        <v>-</v>
      </c>
      <c r="AT836" s="136" t="str">
        <f>tbl_IO_List[[#This Row],[Front Terminal Tagging]]&amp;"/"&amp;tbl_IO_List[[#This Row],[Terminal Tagging-Item]]</f>
        <v>C6S5-/-</v>
      </c>
      <c r="AU836" s="136" t="str">
        <f>tbl_IO_List[[#This Row],[Terminal Tagging-Item]]&amp;"/"&amp;tbl_IO_List[[#This Row],[Front Terminal Tagging]]</f>
        <v>-/C6S5-</v>
      </c>
    </row>
    <row r="837" spans="1:47" hidden="1">
      <c r="A837" s="136" t="s">
        <v>1307</v>
      </c>
      <c r="B837" s="136" t="s">
        <v>1307</v>
      </c>
      <c r="C837" s="136" t="str">
        <f>tbl_IO_List[[#This Row],[Column3]]</f>
        <v>C6S05,07</v>
      </c>
      <c r="D837" s="136" t="e">
        <f>tbl_IO_List[[#This Row],[Card]]</f>
        <v>#N/A</v>
      </c>
      <c r="E837" s="136"/>
      <c r="F837" s="136" t="str">
        <f>tbl_IO_List[[#This Row],[Column23]]&amp;"-" &amp;tbl_IO_List[[#This Row],[Column52]]</f>
        <v>C6S05-</v>
      </c>
      <c r="G837" s="136" t="str">
        <f>tbl_IO_List[[#This Row],[PLC_Tag]]</f>
        <v>XS-80306_DO_1</v>
      </c>
      <c r="H837" s="136"/>
      <c r="I837" s="136" t="str">
        <f>VLOOKUP(tbl_IO_List[[#This Row],[Destination]],tbl_Junction[],2,FALSE)</f>
        <v>MCC Room</v>
      </c>
      <c r="J837" s="136" t="s">
        <v>382</v>
      </c>
      <c r="K837" s="136" t="s">
        <v>404</v>
      </c>
      <c r="L837" s="136" t="s">
        <v>1294</v>
      </c>
      <c r="M837" s="136" t="str">
        <f>VLOOKUP(tbl_IO_List[[#This Row],[Instruement Tag]],tbl_Instruement_List[],2,FALSE)</f>
        <v>Pressure Transmitter</v>
      </c>
      <c r="N837" s="136" t="s">
        <v>15</v>
      </c>
      <c r="O837" s="136" t="s">
        <v>405</v>
      </c>
      <c r="P837" s="136" t="s">
        <v>18</v>
      </c>
      <c r="Q837" s="136" t="str">
        <f>VLOOKUP(tbl_IO_List[[#This Row],[Instruement Tag]],tbl_Instruement_List[],6,FALSE)</f>
        <v xml:space="preserve"> Start / Stop Command for Gas Vaporizer 6</v>
      </c>
      <c r="R837" s="136"/>
      <c r="S83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837" s="136" t="str">
        <f>tbl_IO_List[[#This Row],[Instruement Tag]]&amp;"_"&amp;tbl_IO_List[[#This Row],[I/O Type]]&amp;"_"&amp;tbl_IO_List[[#This Row],[IO-Point 
(Instruement)]]</f>
        <v>XS-80306_DO_1</v>
      </c>
      <c r="U837" s="136" t="s">
        <v>7</v>
      </c>
      <c r="V837" s="136">
        <f>VLOOKUP(tbl_IO_List[[#This Row],[I/O Type]],tbl_Slot_Group[],2,FALSE)</f>
        <v>2</v>
      </c>
      <c r="W837" s="136">
        <v>1</v>
      </c>
      <c r="X837" s="136" t="str">
        <f>tbl_IO_List[[#This Row],[Chassis]]&amp;"S"&amp;TEXT(tbl_IO_List[[#This Row],[Slot]],"00")</f>
        <v>C6S05</v>
      </c>
      <c r="Y837" s="136" t="str">
        <f>tbl_IO_List[[#This Row],[Chassis]]&amp;"S"&amp;TEXT(tbl_IO_List[[#This Row],[Slot]],"00")&amp;tbl_IO_List[[#This Row],[I/O Type]]&amp;TEXT(tbl_IO_List[[#This Row],[Point]],"00")</f>
        <v>C6S05DO07</v>
      </c>
      <c r="Z837" s="136" t="str">
        <f>tbl_IO_List[[#This Row],[Chassis]]&amp;"S"&amp;TEXT(tbl_IO_List[[#This Row],[Slot]],"00")&amp;","&amp;TEXT(tbl_IO_List[[#This Row],[Point]],"00")</f>
        <v>C6S05,07</v>
      </c>
      <c r="AA837" s="136" t="e">
        <f>VLOOKUP(tbl_IO_List[[#This Row],[Column23]],tbl_RackConfig[],5,FALSE) &amp;"-"&amp;tbl_IO_List[[#This Row],[Point]]</f>
        <v>#N/A</v>
      </c>
      <c r="AB837" s="136"/>
      <c r="AC837" s="136"/>
      <c r="AD837" s="136" t="str">
        <f>tbl_IO_List[[#This Row],[I/O Type]]</f>
        <v>DO</v>
      </c>
      <c r="AE837" s="136" t="s">
        <v>1376</v>
      </c>
      <c r="AF837" s="136">
        <v>5</v>
      </c>
      <c r="AG837" s="136">
        <v>7</v>
      </c>
      <c r="AH837" s="136"/>
      <c r="AI837" s="136"/>
      <c r="AJ837" s="136">
        <v>0</v>
      </c>
      <c r="AK837" s="136">
        <v>1</v>
      </c>
      <c r="AL837" s="136">
        <v>0</v>
      </c>
      <c r="AM837" s="136">
        <v>0</v>
      </c>
      <c r="AN837" s="136">
        <v>0</v>
      </c>
      <c r="AO837" s="136"/>
      <c r="AP837" s="143" t="str">
        <f>VLOOKUP(tbl_IO_List[[#This Row],[Instruement Tag]],tbl_Instruement_List[],14,FALSE)</f>
        <v>24 VDC energized</v>
      </c>
      <c r="AQ837" s="143" t="str">
        <f>tbl_IO_List[[#This Row],[Chassis]]&amp;"S"&amp;tbl_IO_List[[#This Row],[Slot]]&amp;"-"&amp;tbl_IO_List[[#This Row],[Front Terminal Number]]</f>
        <v>C6S5-</v>
      </c>
      <c r="AR837" s="143"/>
      <c r="AS837" s="136" t="str">
        <f>tbl_IO_List[[#This Row],[Terminal Tagging]]&amp;"-"&amp;tbl_IO_List[[#This Row],[Point-Count]]</f>
        <v>-</v>
      </c>
      <c r="AT837" s="136" t="str">
        <f>tbl_IO_List[[#This Row],[Front Terminal Tagging]]&amp;"/"&amp;tbl_IO_List[[#This Row],[Terminal Tagging-Item]]</f>
        <v>C6S5-/-</v>
      </c>
      <c r="AU837" s="136" t="str">
        <f>tbl_IO_List[[#This Row],[Terminal Tagging-Item]]&amp;"/"&amp;tbl_IO_List[[#This Row],[Front Terminal Tagging]]</f>
        <v>-/C6S5-</v>
      </c>
    </row>
    <row r="838" spans="1:47" hidden="1">
      <c r="A838" s="136" t="s">
        <v>1307</v>
      </c>
      <c r="B838" s="136" t="s">
        <v>1307</v>
      </c>
      <c r="C838" s="136" t="str">
        <f>tbl_IO_List[[#This Row],[Column3]]</f>
        <v>C6S06,00</v>
      </c>
      <c r="D838" s="136" t="e">
        <f>tbl_IO_List[[#This Row],[Card]]</f>
        <v>#N/A</v>
      </c>
      <c r="E838" s="136"/>
      <c r="F838" s="136" t="str">
        <f>tbl_IO_List[[#This Row],[Column23]]&amp;"-" &amp;tbl_IO_List[[#This Row],[Column52]]</f>
        <v>C6S06-</v>
      </c>
      <c r="G838" s="136" t="str">
        <f>tbl_IO_List[[#This Row],[PLC_Tag]]</f>
        <v>PCM-2030_DI_1</v>
      </c>
      <c r="H838" s="136"/>
      <c r="I838" s="136" t="str">
        <f>VLOOKUP(tbl_IO_List[[#This Row],[Destination]],tbl_Junction[],2,FALSE)</f>
        <v>MCC Room</v>
      </c>
      <c r="J838" s="136" t="s">
        <v>382</v>
      </c>
      <c r="K838" s="136" t="s">
        <v>383</v>
      </c>
      <c r="L838" s="136" t="s">
        <v>1244</v>
      </c>
      <c r="M838" s="136" t="e">
        <f>VLOOKUP(tbl_IO_List[[#This Row],[Instruement Tag]],tbl_Instruement_List[],2,FALSE)</f>
        <v>#N/A</v>
      </c>
      <c r="N838" s="136" t="s">
        <v>15</v>
      </c>
      <c r="O838" s="136" t="s">
        <v>386</v>
      </c>
      <c r="P838" s="136" t="s">
        <v>384</v>
      </c>
      <c r="Q838" s="136" t="e">
        <f>VLOOKUP(tbl_IO_List[[#This Row],[Instruement Tag]],tbl_Instruement_List[],6,FALSE)</f>
        <v>#N/A</v>
      </c>
      <c r="R838" s="136"/>
      <c r="S83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838" s="136" t="str">
        <f>tbl_IO_List[[#This Row],[Instruement Tag]]&amp;"_"&amp;tbl_IO_List[[#This Row],[I/O Type]]&amp;"_"&amp;tbl_IO_List[[#This Row],[IO-Point 
(Instruement)]]</f>
        <v>PCM-2030_DI_1</v>
      </c>
      <c r="U838" s="136" t="s">
        <v>8</v>
      </c>
      <c r="V838" s="136">
        <f>VLOOKUP(tbl_IO_List[[#This Row],[I/O Type]],tbl_Slot_Group[],2,FALSE)</f>
        <v>1</v>
      </c>
      <c r="W838" s="136">
        <v>1</v>
      </c>
      <c r="X838" s="136" t="str">
        <f>tbl_IO_List[[#This Row],[Chassis]]&amp;"S"&amp;TEXT(tbl_IO_List[[#This Row],[Slot]],"00")</f>
        <v>C6S06</v>
      </c>
      <c r="Y838" s="136" t="str">
        <f>tbl_IO_List[[#This Row],[Chassis]]&amp;"S"&amp;TEXT(tbl_IO_List[[#This Row],[Slot]],"00")&amp;tbl_IO_List[[#This Row],[I/O Type]]&amp;TEXT(tbl_IO_List[[#This Row],[Point]],"00")</f>
        <v>C6S06DI00</v>
      </c>
      <c r="Z838" s="136" t="str">
        <f>tbl_IO_List[[#This Row],[Chassis]]&amp;"S"&amp;TEXT(tbl_IO_List[[#This Row],[Slot]],"00")&amp;","&amp;TEXT(tbl_IO_List[[#This Row],[Point]],"00")</f>
        <v>C6S06,00</v>
      </c>
      <c r="AA838" s="136" t="e">
        <f>VLOOKUP(tbl_IO_List[[#This Row],[Column23]],tbl_RackConfig[],5,FALSE) &amp;"-"&amp;tbl_IO_List[[#This Row],[Point]]</f>
        <v>#N/A</v>
      </c>
      <c r="AB838" s="136"/>
      <c r="AC838" s="136"/>
      <c r="AD838" s="136" t="str">
        <f>tbl_IO_List[[#This Row],[I/O Type]]</f>
        <v>DI</v>
      </c>
      <c r="AE838" s="136" t="s">
        <v>1376</v>
      </c>
      <c r="AF838" s="136">
        <v>6</v>
      </c>
      <c r="AG838" s="136">
        <v>0</v>
      </c>
      <c r="AH838" s="136"/>
      <c r="AI838" s="136"/>
      <c r="AJ838" s="136">
        <v>2</v>
      </c>
      <c r="AK838" s="136">
        <v>2</v>
      </c>
      <c r="AL838" s="136">
        <v>0</v>
      </c>
      <c r="AM838" s="136">
        <v>0</v>
      </c>
      <c r="AN838" s="136">
        <v>0</v>
      </c>
      <c r="AO838" s="136"/>
      <c r="AP838" s="143" t="e">
        <f>VLOOKUP(tbl_IO_List[[#This Row],[Instruement Tag]],tbl_Instruement_List[],14,FALSE)</f>
        <v>#N/A</v>
      </c>
      <c r="AQ838" s="143" t="str">
        <f>tbl_IO_List[[#This Row],[Chassis]]&amp;"S"&amp;tbl_IO_List[[#This Row],[Slot]]&amp;"-"&amp;tbl_IO_List[[#This Row],[Front Terminal Number]]</f>
        <v>C6S6-</v>
      </c>
      <c r="AR838" s="143"/>
      <c r="AS838" s="136" t="str">
        <f>tbl_IO_List[[#This Row],[Terminal Tagging]]&amp;"-"&amp;tbl_IO_List[[#This Row],[Point-Count]]</f>
        <v>-</v>
      </c>
      <c r="AT838" s="136" t="str">
        <f>tbl_IO_List[[#This Row],[Front Terminal Tagging]]&amp;"/"&amp;tbl_IO_List[[#This Row],[Terminal Tagging-Item]]</f>
        <v>C6S6-/-</v>
      </c>
      <c r="AU838" s="136" t="str">
        <f>tbl_IO_List[[#This Row],[Terminal Tagging-Item]]&amp;"/"&amp;tbl_IO_List[[#This Row],[Front Terminal Tagging]]</f>
        <v>-/C6S6-</v>
      </c>
    </row>
    <row r="839" spans="1:47" hidden="1">
      <c r="A839" s="136" t="s">
        <v>1307</v>
      </c>
      <c r="B839" s="136" t="s">
        <v>1307</v>
      </c>
      <c r="C839" s="136" t="str">
        <f>tbl_IO_List[[#This Row],[Column3]]</f>
        <v>C6S06,01</v>
      </c>
      <c r="D839" s="136" t="e">
        <f>tbl_IO_List[[#This Row],[Card]]</f>
        <v>#N/A</v>
      </c>
      <c r="E839" s="136"/>
      <c r="F839" s="136" t="str">
        <f>tbl_IO_List[[#This Row],[Column23]]&amp;"-" &amp;tbl_IO_List[[#This Row],[Column52]]</f>
        <v>C6S06-</v>
      </c>
      <c r="G839" s="136" t="str">
        <f>tbl_IO_List[[#This Row],[PLC_Tag]]</f>
        <v>PCM-2030_DI_2</v>
      </c>
      <c r="H839" s="136"/>
      <c r="I839" s="136" t="str">
        <f>VLOOKUP(tbl_IO_List[[#This Row],[Destination]],tbl_Junction[],2,FALSE)</f>
        <v>MCC Room</v>
      </c>
      <c r="J839" s="136" t="s">
        <v>382</v>
      </c>
      <c r="K839" s="136" t="s">
        <v>383</v>
      </c>
      <c r="L839" s="136" t="s">
        <v>1244</v>
      </c>
      <c r="M839" s="136" t="e">
        <f>VLOOKUP(tbl_IO_List[[#This Row],[Instruement Tag]],tbl_Instruement_List[],2,FALSE)</f>
        <v>#N/A</v>
      </c>
      <c r="N839" s="136" t="s">
        <v>15</v>
      </c>
      <c r="O839" s="136" t="s">
        <v>386</v>
      </c>
      <c r="P839" s="136" t="s">
        <v>384</v>
      </c>
      <c r="Q839" s="136" t="e">
        <f>VLOOKUP(tbl_IO_List[[#This Row],[Instruement Tag]],tbl_Instruement_List[],6,FALSE)</f>
        <v>#N/A</v>
      </c>
      <c r="R839" s="136"/>
      <c r="S83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839" s="136" t="str">
        <f>tbl_IO_List[[#This Row],[Instruement Tag]]&amp;"_"&amp;tbl_IO_List[[#This Row],[I/O Type]]&amp;"_"&amp;tbl_IO_List[[#This Row],[IO-Point 
(Instruement)]]</f>
        <v>PCM-2030_DI_2</v>
      </c>
      <c r="U839" s="136" t="s">
        <v>8</v>
      </c>
      <c r="V839" s="136">
        <f>VLOOKUP(tbl_IO_List[[#This Row],[I/O Type]],tbl_Slot_Group[],2,FALSE)</f>
        <v>1</v>
      </c>
      <c r="W839" s="136">
        <v>2</v>
      </c>
      <c r="X839" s="136" t="str">
        <f>tbl_IO_List[[#This Row],[Chassis]]&amp;"S"&amp;TEXT(tbl_IO_List[[#This Row],[Slot]],"00")</f>
        <v>C6S06</v>
      </c>
      <c r="Y839" s="136" t="str">
        <f>tbl_IO_List[[#This Row],[Chassis]]&amp;"S"&amp;TEXT(tbl_IO_List[[#This Row],[Slot]],"00")&amp;tbl_IO_List[[#This Row],[I/O Type]]&amp;TEXT(tbl_IO_List[[#This Row],[Point]],"00")</f>
        <v>C6S06DI01</v>
      </c>
      <c r="Z839" s="136" t="str">
        <f>tbl_IO_List[[#This Row],[Chassis]]&amp;"S"&amp;TEXT(tbl_IO_List[[#This Row],[Slot]],"00")&amp;","&amp;TEXT(tbl_IO_List[[#This Row],[Point]],"00")</f>
        <v>C6S06,01</v>
      </c>
      <c r="AA839" s="136" t="e">
        <f>VLOOKUP(tbl_IO_List[[#This Row],[Column23]],tbl_RackConfig[],5,FALSE) &amp;"-"&amp;tbl_IO_List[[#This Row],[Point]]</f>
        <v>#N/A</v>
      </c>
      <c r="AB839" s="136"/>
      <c r="AC839" s="136"/>
      <c r="AD839" s="136" t="str">
        <f>tbl_IO_List[[#This Row],[I/O Type]]</f>
        <v>DI</v>
      </c>
      <c r="AE839" s="136" t="s">
        <v>1376</v>
      </c>
      <c r="AF839" s="136">
        <v>6</v>
      </c>
      <c r="AG839" s="136">
        <v>1</v>
      </c>
      <c r="AH839" s="136"/>
      <c r="AI839" s="136"/>
      <c r="AJ839" s="136">
        <v>2</v>
      </c>
      <c r="AK839" s="136">
        <v>2</v>
      </c>
      <c r="AL839" s="136">
        <v>0</v>
      </c>
      <c r="AM839" s="136">
        <v>0</v>
      </c>
      <c r="AN839" s="136">
        <v>0</v>
      </c>
      <c r="AO839" s="136"/>
      <c r="AP839" s="143" t="e">
        <f>VLOOKUP(tbl_IO_List[[#This Row],[Instruement Tag]],tbl_Instruement_List[],14,FALSE)</f>
        <v>#N/A</v>
      </c>
      <c r="AQ839" s="143" t="str">
        <f>tbl_IO_List[[#This Row],[Chassis]]&amp;"S"&amp;tbl_IO_List[[#This Row],[Slot]]&amp;"-"&amp;tbl_IO_List[[#This Row],[Front Terminal Number]]</f>
        <v>C6S6-</v>
      </c>
      <c r="AR839" s="143"/>
      <c r="AS839" s="136" t="str">
        <f>tbl_IO_List[[#This Row],[Terminal Tagging]]&amp;"-"&amp;tbl_IO_List[[#This Row],[Point-Count]]</f>
        <v>-</v>
      </c>
      <c r="AT839" s="136" t="str">
        <f>tbl_IO_List[[#This Row],[Front Terminal Tagging]]&amp;"/"&amp;tbl_IO_List[[#This Row],[Terminal Tagging-Item]]</f>
        <v>C6S6-/-</v>
      </c>
      <c r="AU839" s="136" t="str">
        <f>tbl_IO_List[[#This Row],[Terminal Tagging-Item]]&amp;"/"&amp;tbl_IO_List[[#This Row],[Front Terminal Tagging]]</f>
        <v>-/C6S6-</v>
      </c>
    </row>
    <row r="840" spans="1:47" hidden="1">
      <c r="A840" s="136" t="s">
        <v>1307</v>
      </c>
      <c r="B840" s="136" t="s">
        <v>1307</v>
      </c>
      <c r="C840" s="136" t="str">
        <f>tbl_IO_List[[#This Row],[Column3]]</f>
        <v>C6S06,02</v>
      </c>
      <c r="D840" s="136" t="e">
        <f>tbl_IO_List[[#This Row],[Card]]</f>
        <v>#N/A</v>
      </c>
      <c r="E840" s="136"/>
      <c r="F840" s="136" t="str">
        <f>tbl_IO_List[[#This Row],[Column23]]&amp;"-" &amp;tbl_IO_List[[#This Row],[Column52]]</f>
        <v>C6S06-</v>
      </c>
      <c r="G840" s="136" t="str">
        <f>tbl_IO_List[[#This Row],[PLC_Tag]]</f>
        <v>PCM-2031_DI_1</v>
      </c>
      <c r="H840" s="136"/>
      <c r="I840" s="136" t="str">
        <f>VLOOKUP(tbl_IO_List[[#This Row],[Destination]],tbl_Junction[],2,FALSE)</f>
        <v>MCC Room</v>
      </c>
      <c r="J840" s="136" t="s">
        <v>382</v>
      </c>
      <c r="K840" s="136" t="s">
        <v>383</v>
      </c>
      <c r="L840" s="136" t="s">
        <v>1249</v>
      </c>
      <c r="M840" s="136">
        <f>VLOOKUP(tbl_IO_List[[#This Row],[Instruement Tag]],tbl_Instruement_List[],2,FALSE)</f>
        <v>0</v>
      </c>
      <c r="N840" s="136" t="s">
        <v>15</v>
      </c>
      <c r="O840" s="136" t="s">
        <v>386</v>
      </c>
      <c r="P840" s="136" t="s">
        <v>384</v>
      </c>
      <c r="Q840" s="136" t="str">
        <f>VLOOKUP(tbl_IO_List[[#This Row],[Instruement Tag]],tbl_Instruement_List[],6,FALSE)</f>
        <v xml:space="preserve"> Start / Stop Command for FVNR PC-2031</v>
      </c>
      <c r="R840" s="136"/>
      <c r="S84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840" s="136" t="str">
        <f>tbl_IO_List[[#This Row],[Instruement Tag]]&amp;"_"&amp;tbl_IO_List[[#This Row],[I/O Type]]&amp;"_"&amp;tbl_IO_List[[#This Row],[IO-Point 
(Instruement)]]</f>
        <v>PCM-2031_DI_1</v>
      </c>
      <c r="U840" s="136" t="s">
        <v>8</v>
      </c>
      <c r="V840" s="136">
        <f>VLOOKUP(tbl_IO_List[[#This Row],[I/O Type]],tbl_Slot_Group[],2,FALSE)</f>
        <v>1</v>
      </c>
      <c r="W840" s="136">
        <v>1</v>
      </c>
      <c r="X840" s="136" t="str">
        <f>tbl_IO_List[[#This Row],[Chassis]]&amp;"S"&amp;TEXT(tbl_IO_List[[#This Row],[Slot]],"00")</f>
        <v>C6S06</v>
      </c>
      <c r="Y840" s="136" t="str">
        <f>tbl_IO_List[[#This Row],[Chassis]]&amp;"S"&amp;TEXT(tbl_IO_List[[#This Row],[Slot]],"00")&amp;tbl_IO_List[[#This Row],[I/O Type]]&amp;TEXT(tbl_IO_List[[#This Row],[Point]],"00")</f>
        <v>C6S06DI02</v>
      </c>
      <c r="Z840" s="136" t="str">
        <f>tbl_IO_List[[#This Row],[Chassis]]&amp;"S"&amp;TEXT(tbl_IO_List[[#This Row],[Slot]],"00")&amp;","&amp;TEXT(tbl_IO_List[[#This Row],[Point]],"00")</f>
        <v>C6S06,02</v>
      </c>
      <c r="AA840" s="136" t="e">
        <f>VLOOKUP(tbl_IO_List[[#This Row],[Column23]],tbl_RackConfig[],5,FALSE) &amp;"-"&amp;tbl_IO_List[[#This Row],[Point]]</f>
        <v>#N/A</v>
      </c>
      <c r="AB840" s="136"/>
      <c r="AC840" s="136"/>
      <c r="AD840" s="136" t="str">
        <f>tbl_IO_List[[#This Row],[I/O Type]]</f>
        <v>DI</v>
      </c>
      <c r="AE840" s="136" t="s">
        <v>1376</v>
      </c>
      <c r="AF840" s="136">
        <v>6</v>
      </c>
      <c r="AG840" s="136">
        <v>2</v>
      </c>
      <c r="AH840" s="136"/>
      <c r="AI840" s="136"/>
      <c r="AJ840" s="136">
        <v>2</v>
      </c>
      <c r="AK840" s="136">
        <v>2</v>
      </c>
      <c r="AL840" s="136">
        <v>0</v>
      </c>
      <c r="AM840" s="136">
        <v>0</v>
      </c>
      <c r="AN840" s="136">
        <v>0</v>
      </c>
      <c r="AO840" s="136"/>
      <c r="AP840" s="143" t="str">
        <f>VLOOKUP(tbl_IO_List[[#This Row],[Instruement Tag]],tbl_Instruement_List[],14,FALSE)</f>
        <v>24 VDC energized</v>
      </c>
      <c r="AQ840" s="143" t="str">
        <f>tbl_IO_List[[#This Row],[Chassis]]&amp;"S"&amp;tbl_IO_List[[#This Row],[Slot]]&amp;"-"&amp;tbl_IO_List[[#This Row],[Front Terminal Number]]</f>
        <v>C6S6-</v>
      </c>
      <c r="AR840" s="143"/>
      <c r="AS840" s="136" t="str">
        <f>tbl_IO_List[[#This Row],[Terminal Tagging]]&amp;"-"&amp;tbl_IO_List[[#This Row],[Point-Count]]</f>
        <v>-</v>
      </c>
      <c r="AT840" s="136" t="str">
        <f>tbl_IO_List[[#This Row],[Front Terminal Tagging]]&amp;"/"&amp;tbl_IO_List[[#This Row],[Terminal Tagging-Item]]</f>
        <v>C6S6-/-</v>
      </c>
      <c r="AU840" s="136" t="str">
        <f>tbl_IO_List[[#This Row],[Terminal Tagging-Item]]&amp;"/"&amp;tbl_IO_List[[#This Row],[Front Terminal Tagging]]</f>
        <v>-/C6S6-</v>
      </c>
    </row>
    <row r="841" spans="1:47" hidden="1">
      <c r="A841" s="136" t="s">
        <v>1307</v>
      </c>
      <c r="B841" s="136" t="s">
        <v>1307</v>
      </c>
      <c r="C841" s="136" t="str">
        <f>tbl_IO_List[[#This Row],[Column3]]</f>
        <v>C6S06,03</v>
      </c>
      <c r="D841" s="136" t="e">
        <f>tbl_IO_List[[#This Row],[Card]]</f>
        <v>#N/A</v>
      </c>
      <c r="E841" s="136"/>
      <c r="F841" s="136" t="str">
        <f>tbl_IO_List[[#This Row],[Column23]]&amp;"-" &amp;tbl_IO_List[[#This Row],[Column52]]</f>
        <v>C6S06-</v>
      </c>
      <c r="G841" s="136" t="str">
        <f>tbl_IO_List[[#This Row],[PLC_Tag]]</f>
        <v>PCM-2031_DI_2</v>
      </c>
      <c r="H841" s="136"/>
      <c r="I841" s="136" t="str">
        <f>VLOOKUP(tbl_IO_List[[#This Row],[Destination]],tbl_Junction[],2,FALSE)</f>
        <v>MCC Room</v>
      </c>
      <c r="J841" s="136" t="s">
        <v>382</v>
      </c>
      <c r="K841" s="136" t="s">
        <v>383</v>
      </c>
      <c r="L841" s="136" t="s">
        <v>1249</v>
      </c>
      <c r="M841" s="136">
        <f>VLOOKUP(tbl_IO_List[[#This Row],[Instruement Tag]],tbl_Instruement_List[],2,FALSE)</f>
        <v>0</v>
      </c>
      <c r="N841" s="136" t="s">
        <v>15</v>
      </c>
      <c r="O841" s="136" t="s">
        <v>386</v>
      </c>
      <c r="P841" s="136" t="s">
        <v>384</v>
      </c>
      <c r="Q841" s="136" t="str">
        <f>VLOOKUP(tbl_IO_List[[#This Row],[Instruement Tag]],tbl_Instruement_List[],6,FALSE)</f>
        <v xml:space="preserve"> Start / Stop Command for FVNR PC-2031</v>
      </c>
      <c r="R841" s="136"/>
      <c r="S84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841" s="136" t="str">
        <f>tbl_IO_List[[#This Row],[Instruement Tag]]&amp;"_"&amp;tbl_IO_List[[#This Row],[I/O Type]]&amp;"_"&amp;tbl_IO_List[[#This Row],[IO-Point 
(Instruement)]]</f>
        <v>PCM-2031_DI_2</v>
      </c>
      <c r="U841" s="136" t="s">
        <v>8</v>
      </c>
      <c r="V841" s="136">
        <f>VLOOKUP(tbl_IO_List[[#This Row],[I/O Type]],tbl_Slot_Group[],2,FALSE)</f>
        <v>1</v>
      </c>
      <c r="W841" s="136">
        <v>2</v>
      </c>
      <c r="X841" s="136" t="str">
        <f>tbl_IO_List[[#This Row],[Chassis]]&amp;"S"&amp;TEXT(tbl_IO_List[[#This Row],[Slot]],"00")</f>
        <v>C6S06</v>
      </c>
      <c r="Y841" s="136" t="str">
        <f>tbl_IO_List[[#This Row],[Chassis]]&amp;"S"&amp;TEXT(tbl_IO_List[[#This Row],[Slot]],"00")&amp;tbl_IO_List[[#This Row],[I/O Type]]&amp;TEXT(tbl_IO_List[[#This Row],[Point]],"00")</f>
        <v>C6S06DI03</v>
      </c>
      <c r="Z841" s="136" t="str">
        <f>tbl_IO_List[[#This Row],[Chassis]]&amp;"S"&amp;TEXT(tbl_IO_List[[#This Row],[Slot]],"00")&amp;","&amp;TEXT(tbl_IO_List[[#This Row],[Point]],"00")</f>
        <v>C6S06,03</v>
      </c>
      <c r="AA841" s="136" t="e">
        <f>VLOOKUP(tbl_IO_List[[#This Row],[Column23]],tbl_RackConfig[],5,FALSE) &amp;"-"&amp;tbl_IO_List[[#This Row],[Point]]</f>
        <v>#N/A</v>
      </c>
      <c r="AB841" s="136"/>
      <c r="AC841" s="136"/>
      <c r="AD841" s="136" t="str">
        <f>tbl_IO_List[[#This Row],[I/O Type]]</f>
        <v>DI</v>
      </c>
      <c r="AE841" s="136" t="s">
        <v>1376</v>
      </c>
      <c r="AF841" s="136">
        <v>6</v>
      </c>
      <c r="AG841" s="136">
        <v>3</v>
      </c>
      <c r="AH841" s="136"/>
      <c r="AI841" s="136"/>
      <c r="AJ841" s="136">
        <v>2</v>
      </c>
      <c r="AK841" s="136">
        <v>2</v>
      </c>
      <c r="AL841" s="136">
        <v>0</v>
      </c>
      <c r="AM841" s="136">
        <v>0</v>
      </c>
      <c r="AN841" s="136">
        <v>0</v>
      </c>
      <c r="AO841" s="136"/>
      <c r="AP841" s="143" t="str">
        <f>VLOOKUP(tbl_IO_List[[#This Row],[Instruement Tag]],tbl_Instruement_List[],14,FALSE)</f>
        <v>24 VDC energized</v>
      </c>
      <c r="AQ841" s="143" t="str">
        <f>tbl_IO_List[[#This Row],[Chassis]]&amp;"S"&amp;tbl_IO_List[[#This Row],[Slot]]&amp;"-"&amp;tbl_IO_List[[#This Row],[Front Terminal Number]]</f>
        <v>C6S6-</v>
      </c>
      <c r="AR841" s="143"/>
      <c r="AS841" s="136" t="str">
        <f>tbl_IO_List[[#This Row],[Terminal Tagging]]&amp;"-"&amp;tbl_IO_List[[#This Row],[Point-Count]]</f>
        <v>-</v>
      </c>
      <c r="AT841" s="136" t="str">
        <f>tbl_IO_List[[#This Row],[Front Terminal Tagging]]&amp;"/"&amp;tbl_IO_List[[#This Row],[Terminal Tagging-Item]]</f>
        <v>C6S6-/-</v>
      </c>
      <c r="AU841" s="136" t="str">
        <f>tbl_IO_List[[#This Row],[Terminal Tagging-Item]]&amp;"/"&amp;tbl_IO_List[[#This Row],[Front Terminal Tagging]]</f>
        <v>-/C6S6-</v>
      </c>
    </row>
    <row r="842" spans="1:47" hidden="1">
      <c r="A842" s="136" t="s">
        <v>1307</v>
      </c>
      <c r="B842" s="136" t="s">
        <v>1307</v>
      </c>
      <c r="C842" s="136" t="str">
        <f>tbl_IO_List[[#This Row],[Column3]]</f>
        <v>C6S06,04</v>
      </c>
      <c r="D842" s="136" t="e">
        <f>tbl_IO_List[[#This Row],[Card]]</f>
        <v>#N/A</v>
      </c>
      <c r="E842" s="136"/>
      <c r="F842" s="136" t="str">
        <f>tbl_IO_List[[#This Row],[Column23]]&amp;"-" &amp;tbl_IO_List[[#This Row],[Column52]]</f>
        <v>C6S06-</v>
      </c>
      <c r="G842" s="136" t="str">
        <f>tbl_IO_List[[#This Row],[PLC_Tag]]</f>
        <v>PCY-814201_DI_1</v>
      </c>
      <c r="H842" s="136"/>
      <c r="I842" s="136" t="str">
        <f>VLOOKUP(tbl_IO_List[[#This Row],[Destination]],tbl_Junction[],2,FALSE)</f>
        <v>MCC Room</v>
      </c>
      <c r="J842" s="136" t="s">
        <v>382</v>
      </c>
      <c r="K842" s="136" t="s">
        <v>401</v>
      </c>
      <c r="L842" s="136" t="s">
        <v>1252</v>
      </c>
      <c r="M842" s="136" t="str">
        <f>VLOOKUP(tbl_IO_List[[#This Row],[Instruement Tag]],tbl_Instruement_List[],2,FALSE)</f>
        <v>PUMP</v>
      </c>
      <c r="N842" s="136" t="s">
        <v>24</v>
      </c>
      <c r="O842" s="136" t="s">
        <v>402</v>
      </c>
      <c r="P842" s="136" t="s">
        <v>18</v>
      </c>
      <c r="Q842" s="136" t="str">
        <f>VLOOKUP(tbl_IO_List[[#This Row],[Instruement Tag]],tbl_Instruement_List[],6,FALSE)</f>
        <v xml:space="preserve"> Start / Stop Command to VSD PC-81001</v>
      </c>
      <c r="R842" s="136"/>
      <c r="S84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3,DO=1,AI=0,AO=0,Bus=1</v>
      </c>
      <c r="T842" s="136" t="str">
        <f>tbl_IO_List[[#This Row],[Instruement Tag]]&amp;"_"&amp;tbl_IO_List[[#This Row],[I/O Type]]&amp;"_"&amp;tbl_IO_List[[#This Row],[IO-Point 
(Instruement)]]</f>
        <v>PCY-814201_DI_1</v>
      </c>
      <c r="U842" s="136" t="s">
        <v>8</v>
      </c>
      <c r="V842" s="136">
        <f>VLOOKUP(tbl_IO_List[[#This Row],[I/O Type]],tbl_Slot_Group[],2,FALSE)</f>
        <v>1</v>
      </c>
      <c r="W842" s="136">
        <v>1</v>
      </c>
      <c r="X842" s="136" t="str">
        <f>tbl_IO_List[[#This Row],[Chassis]]&amp;"S"&amp;TEXT(tbl_IO_List[[#This Row],[Slot]],"00")</f>
        <v>C6S06</v>
      </c>
      <c r="Y842" s="136" t="str">
        <f>tbl_IO_List[[#This Row],[Chassis]]&amp;"S"&amp;TEXT(tbl_IO_List[[#This Row],[Slot]],"00")&amp;tbl_IO_List[[#This Row],[I/O Type]]&amp;TEXT(tbl_IO_List[[#This Row],[Point]],"00")</f>
        <v>C6S06DI04</v>
      </c>
      <c r="Z842" s="136" t="str">
        <f>tbl_IO_List[[#This Row],[Chassis]]&amp;"S"&amp;TEXT(tbl_IO_List[[#This Row],[Slot]],"00")&amp;","&amp;TEXT(tbl_IO_List[[#This Row],[Point]],"00")</f>
        <v>C6S06,04</v>
      </c>
      <c r="AA842" s="136" t="e">
        <f>VLOOKUP(tbl_IO_List[[#This Row],[Column23]],tbl_RackConfig[],5,FALSE) &amp;"-"&amp;tbl_IO_List[[#This Row],[Point]]</f>
        <v>#N/A</v>
      </c>
      <c r="AB842" s="136"/>
      <c r="AC842" s="136"/>
      <c r="AD842" s="136" t="str">
        <f>tbl_IO_List[[#This Row],[I/O Type]]</f>
        <v>DI</v>
      </c>
      <c r="AE842" s="136" t="s">
        <v>1376</v>
      </c>
      <c r="AF842" s="136">
        <v>6</v>
      </c>
      <c r="AG842" s="136">
        <v>4</v>
      </c>
      <c r="AH842" s="136"/>
      <c r="AI842" s="136"/>
      <c r="AJ842" s="136">
        <v>3</v>
      </c>
      <c r="AK842" s="136">
        <v>1</v>
      </c>
      <c r="AL842" s="136">
        <v>0</v>
      </c>
      <c r="AM842" s="136">
        <v>0</v>
      </c>
      <c r="AN842" s="136">
        <v>1</v>
      </c>
      <c r="AO842" s="136"/>
      <c r="AP842" s="143" t="str">
        <f>VLOOKUP(tbl_IO_List[[#This Row],[Instruement Tag]],tbl_Instruement_List[],14,FALSE)</f>
        <v>24 VDC energized</v>
      </c>
      <c r="AQ842" s="143" t="str">
        <f>tbl_IO_List[[#This Row],[Chassis]]&amp;"S"&amp;tbl_IO_List[[#This Row],[Slot]]&amp;"-"&amp;tbl_IO_List[[#This Row],[Front Terminal Number]]</f>
        <v>C6S6-</v>
      </c>
      <c r="AR842" s="143"/>
      <c r="AS842" s="136" t="str">
        <f>tbl_IO_List[[#This Row],[Terminal Tagging]]&amp;"-"&amp;tbl_IO_List[[#This Row],[Point-Count]]</f>
        <v>-</v>
      </c>
      <c r="AT842" s="136" t="str">
        <f>tbl_IO_List[[#This Row],[Front Terminal Tagging]]&amp;"/"&amp;tbl_IO_List[[#This Row],[Terminal Tagging-Item]]</f>
        <v>C6S6-/-</v>
      </c>
      <c r="AU842" s="136" t="str">
        <f>tbl_IO_List[[#This Row],[Terminal Tagging-Item]]&amp;"/"&amp;tbl_IO_List[[#This Row],[Front Terminal Tagging]]</f>
        <v>-/C6S6-</v>
      </c>
    </row>
    <row r="843" spans="1:47" hidden="1">
      <c r="A843" s="136" t="s">
        <v>1307</v>
      </c>
      <c r="B843" s="136" t="s">
        <v>1307</v>
      </c>
      <c r="C843" s="136" t="str">
        <f>tbl_IO_List[[#This Row],[Column3]]</f>
        <v>C6S06,05</v>
      </c>
      <c r="D843" s="136" t="e">
        <f>tbl_IO_List[[#This Row],[Card]]</f>
        <v>#N/A</v>
      </c>
      <c r="E843" s="136"/>
      <c r="F843" s="136" t="str">
        <f>tbl_IO_List[[#This Row],[Column23]]&amp;"-" &amp;tbl_IO_List[[#This Row],[Column52]]</f>
        <v>C6S06-</v>
      </c>
      <c r="G843" s="136" t="str">
        <f>tbl_IO_List[[#This Row],[PLC_Tag]]</f>
        <v>PCY-814201_DI_2</v>
      </c>
      <c r="H843" s="136"/>
      <c r="I843" s="136" t="str">
        <f>VLOOKUP(tbl_IO_List[[#This Row],[Destination]],tbl_Junction[],2,FALSE)</f>
        <v>MCC Room</v>
      </c>
      <c r="J843" s="136" t="s">
        <v>382</v>
      </c>
      <c r="K843" s="136" t="s">
        <v>401</v>
      </c>
      <c r="L843" s="136" t="s">
        <v>1252</v>
      </c>
      <c r="M843" s="136" t="str">
        <f>VLOOKUP(tbl_IO_List[[#This Row],[Instruement Tag]],tbl_Instruement_List[],2,FALSE)</f>
        <v>PUMP</v>
      </c>
      <c r="N843" s="136" t="s">
        <v>24</v>
      </c>
      <c r="O843" s="136" t="s">
        <v>402</v>
      </c>
      <c r="P843" s="136" t="s">
        <v>18</v>
      </c>
      <c r="Q843" s="136" t="str">
        <f>VLOOKUP(tbl_IO_List[[#This Row],[Instruement Tag]],tbl_Instruement_List[],6,FALSE)</f>
        <v xml:space="preserve"> Start / Stop Command to VSD PC-81001</v>
      </c>
      <c r="R843" s="136"/>
      <c r="S84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3,DO=1,AI=0,AO=0,Bus=1</v>
      </c>
      <c r="T843" s="136" t="str">
        <f>tbl_IO_List[[#This Row],[Instruement Tag]]&amp;"_"&amp;tbl_IO_List[[#This Row],[I/O Type]]&amp;"_"&amp;tbl_IO_List[[#This Row],[IO-Point 
(Instruement)]]</f>
        <v>PCY-814201_DI_2</v>
      </c>
      <c r="U843" s="136" t="s">
        <v>8</v>
      </c>
      <c r="V843" s="136">
        <f>VLOOKUP(tbl_IO_List[[#This Row],[I/O Type]],tbl_Slot_Group[],2,FALSE)</f>
        <v>1</v>
      </c>
      <c r="W843" s="136">
        <v>2</v>
      </c>
      <c r="X843" s="136" t="str">
        <f>tbl_IO_List[[#This Row],[Chassis]]&amp;"S"&amp;TEXT(tbl_IO_List[[#This Row],[Slot]],"00")</f>
        <v>C6S06</v>
      </c>
      <c r="Y843" s="136" t="str">
        <f>tbl_IO_List[[#This Row],[Chassis]]&amp;"S"&amp;TEXT(tbl_IO_List[[#This Row],[Slot]],"00")&amp;tbl_IO_List[[#This Row],[I/O Type]]&amp;TEXT(tbl_IO_List[[#This Row],[Point]],"00")</f>
        <v>C6S06DI05</v>
      </c>
      <c r="Z843" s="136" t="str">
        <f>tbl_IO_List[[#This Row],[Chassis]]&amp;"S"&amp;TEXT(tbl_IO_List[[#This Row],[Slot]],"00")&amp;","&amp;TEXT(tbl_IO_List[[#This Row],[Point]],"00")</f>
        <v>C6S06,05</v>
      </c>
      <c r="AA843" s="136" t="e">
        <f>VLOOKUP(tbl_IO_List[[#This Row],[Column23]],tbl_RackConfig[],5,FALSE) &amp;"-"&amp;tbl_IO_List[[#This Row],[Point]]</f>
        <v>#N/A</v>
      </c>
      <c r="AB843" s="136"/>
      <c r="AC843" s="136"/>
      <c r="AD843" s="136" t="str">
        <f>tbl_IO_List[[#This Row],[I/O Type]]</f>
        <v>DI</v>
      </c>
      <c r="AE843" s="136" t="s">
        <v>1376</v>
      </c>
      <c r="AF843" s="136">
        <v>6</v>
      </c>
      <c r="AG843" s="136">
        <v>5</v>
      </c>
      <c r="AH843" s="136"/>
      <c r="AI843" s="136"/>
      <c r="AJ843" s="136">
        <v>3</v>
      </c>
      <c r="AK843" s="136">
        <v>1</v>
      </c>
      <c r="AL843" s="136">
        <v>0</v>
      </c>
      <c r="AM843" s="136">
        <v>0</v>
      </c>
      <c r="AN843" s="136">
        <v>1</v>
      </c>
      <c r="AO843" s="136"/>
      <c r="AP843" s="143" t="str">
        <f>VLOOKUP(tbl_IO_List[[#This Row],[Instruement Tag]],tbl_Instruement_List[],14,FALSE)</f>
        <v>24 VDC energized</v>
      </c>
      <c r="AQ843" s="143" t="str">
        <f>tbl_IO_List[[#This Row],[Chassis]]&amp;"S"&amp;tbl_IO_List[[#This Row],[Slot]]&amp;"-"&amp;tbl_IO_List[[#This Row],[Front Terminal Number]]</f>
        <v>C6S6-</v>
      </c>
      <c r="AR843" s="143"/>
      <c r="AS843" s="136" t="str">
        <f>tbl_IO_List[[#This Row],[Terminal Tagging]]&amp;"-"&amp;tbl_IO_List[[#This Row],[Point-Count]]</f>
        <v>-</v>
      </c>
      <c r="AT843" s="136" t="str">
        <f>tbl_IO_List[[#This Row],[Front Terminal Tagging]]&amp;"/"&amp;tbl_IO_List[[#This Row],[Terminal Tagging-Item]]</f>
        <v>C6S6-/-</v>
      </c>
      <c r="AU843" s="136" t="str">
        <f>tbl_IO_List[[#This Row],[Terminal Tagging-Item]]&amp;"/"&amp;tbl_IO_List[[#This Row],[Front Terminal Tagging]]</f>
        <v>-/C6S6-</v>
      </c>
    </row>
    <row r="844" spans="1:47" hidden="1">
      <c r="A844" s="136" t="s">
        <v>1307</v>
      </c>
      <c r="B844" s="136" t="s">
        <v>1307</v>
      </c>
      <c r="C844" s="136" t="str">
        <f>tbl_IO_List[[#This Row],[Column3]]</f>
        <v>C6S06,06</v>
      </c>
      <c r="D844" s="136" t="e">
        <f>tbl_IO_List[[#This Row],[Card]]</f>
        <v>#N/A</v>
      </c>
      <c r="E844" s="136"/>
      <c r="F844" s="136" t="str">
        <f>tbl_IO_List[[#This Row],[Column23]]&amp;"-" &amp;tbl_IO_List[[#This Row],[Column52]]</f>
        <v>C6S06-</v>
      </c>
      <c r="G844" s="136" t="str">
        <f>tbl_IO_List[[#This Row],[PLC_Tag]]</f>
        <v>PCY-814201_DI_3</v>
      </c>
      <c r="H844" s="136"/>
      <c r="I844" s="136" t="str">
        <f>VLOOKUP(tbl_IO_List[[#This Row],[Destination]],tbl_Junction[],2,FALSE)</f>
        <v>MCC Room</v>
      </c>
      <c r="J844" s="136" t="s">
        <v>382</v>
      </c>
      <c r="K844" s="136" t="s">
        <v>401</v>
      </c>
      <c r="L844" s="136" t="s">
        <v>1252</v>
      </c>
      <c r="M844" s="136" t="str">
        <f>VLOOKUP(tbl_IO_List[[#This Row],[Instruement Tag]],tbl_Instruement_List[],2,FALSE)</f>
        <v>PUMP</v>
      </c>
      <c r="N844" s="136" t="s">
        <v>24</v>
      </c>
      <c r="O844" s="136" t="s">
        <v>402</v>
      </c>
      <c r="P844" s="136" t="s">
        <v>18</v>
      </c>
      <c r="Q844" s="136" t="str">
        <f>VLOOKUP(tbl_IO_List[[#This Row],[Instruement Tag]],tbl_Instruement_List[],6,FALSE)</f>
        <v xml:space="preserve"> Start / Stop Command to VSD PC-81001</v>
      </c>
      <c r="R844" s="136"/>
      <c r="S84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3,DO=1,AI=0,AO=0,Bus=1</v>
      </c>
      <c r="T844" s="136" t="str">
        <f>tbl_IO_List[[#This Row],[Instruement Tag]]&amp;"_"&amp;tbl_IO_List[[#This Row],[I/O Type]]&amp;"_"&amp;tbl_IO_List[[#This Row],[IO-Point 
(Instruement)]]</f>
        <v>PCY-814201_DI_3</v>
      </c>
      <c r="U844" s="136" t="s">
        <v>8</v>
      </c>
      <c r="V844" s="136">
        <f>VLOOKUP(tbl_IO_List[[#This Row],[I/O Type]],tbl_Slot_Group[],2,FALSE)</f>
        <v>1</v>
      </c>
      <c r="W844" s="136">
        <v>3</v>
      </c>
      <c r="X844" s="136" t="str">
        <f>tbl_IO_List[[#This Row],[Chassis]]&amp;"S"&amp;TEXT(tbl_IO_List[[#This Row],[Slot]],"00")</f>
        <v>C6S06</v>
      </c>
      <c r="Y844" s="136" t="str">
        <f>tbl_IO_List[[#This Row],[Chassis]]&amp;"S"&amp;TEXT(tbl_IO_List[[#This Row],[Slot]],"00")&amp;tbl_IO_List[[#This Row],[I/O Type]]&amp;TEXT(tbl_IO_List[[#This Row],[Point]],"00")</f>
        <v>C6S06DI06</v>
      </c>
      <c r="Z844" s="136" t="str">
        <f>tbl_IO_List[[#This Row],[Chassis]]&amp;"S"&amp;TEXT(tbl_IO_List[[#This Row],[Slot]],"00")&amp;","&amp;TEXT(tbl_IO_List[[#This Row],[Point]],"00")</f>
        <v>C6S06,06</v>
      </c>
      <c r="AA844" s="136" t="e">
        <f>VLOOKUP(tbl_IO_List[[#This Row],[Column23]],tbl_RackConfig[],5,FALSE) &amp;"-"&amp;tbl_IO_List[[#This Row],[Point]]</f>
        <v>#N/A</v>
      </c>
      <c r="AB844" s="136"/>
      <c r="AC844" s="136"/>
      <c r="AD844" s="136" t="str">
        <f>tbl_IO_List[[#This Row],[I/O Type]]</f>
        <v>DI</v>
      </c>
      <c r="AE844" s="136" t="s">
        <v>1376</v>
      </c>
      <c r="AF844" s="136">
        <v>6</v>
      </c>
      <c r="AG844" s="136">
        <v>6</v>
      </c>
      <c r="AH844" s="136"/>
      <c r="AI844" s="136"/>
      <c r="AJ844" s="136">
        <v>3</v>
      </c>
      <c r="AK844" s="136">
        <v>1</v>
      </c>
      <c r="AL844" s="136">
        <v>0</v>
      </c>
      <c r="AM844" s="136">
        <v>0</v>
      </c>
      <c r="AN844" s="136">
        <v>1</v>
      </c>
      <c r="AO844" s="136"/>
      <c r="AP844" s="143" t="str">
        <f>VLOOKUP(tbl_IO_List[[#This Row],[Instruement Tag]],tbl_Instruement_List[],14,FALSE)</f>
        <v>24 VDC energized</v>
      </c>
      <c r="AQ844" s="143" t="str">
        <f>tbl_IO_List[[#This Row],[Chassis]]&amp;"S"&amp;tbl_IO_List[[#This Row],[Slot]]&amp;"-"&amp;tbl_IO_List[[#This Row],[Front Terminal Number]]</f>
        <v>C6S6-</v>
      </c>
      <c r="AR844" s="143"/>
      <c r="AS844" s="136" t="str">
        <f>tbl_IO_List[[#This Row],[Terminal Tagging]]&amp;"-"&amp;tbl_IO_List[[#This Row],[Point-Count]]</f>
        <v>-</v>
      </c>
      <c r="AT844" s="136" t="str">
        <f>tbl_IO_List[[#This Row],[Front Terminal Tagging]]&amp;"/"&amp;tbl_IO_List[[#This Row],[Terminal Tagging-Item]]</f>
        <v>C6S6-/-</v>
      </c>
      <c r="AU844" s="136" t="str">
        <f>tbl_IO_List[[#This Row],[Terminal Tagging-Item]]&amp;"/"&amp;tbl_IO_List[[#This Row],[Front Terminal Tagging]]</f>
        <v>-/C6S6-</v>
      </c>
    </row>
    <row r="845" spans="1:47" hidden="1">
      <c r="A845" s="136" t="s">
        <v>1307</v>
      </c>
      <c r="B845" s="136" t="s">
        <v>1307</v>
      </c>
      <c r="C845" s="136" t="str">
        <f>tbl_IO_List[[#This Row],[Column3]]</f>
        <v>C6S06,07</v>
      </c>
      <c r="D845" s="136" t="e">
        <f>tbl_IO_List[[#This Row],[Card]]</f>
        <v>#N/A</v>
      </c>
      <c r="E845" s="136"/>
      <c r="F845" s="136" t="str">
        <f>tbl_IO_List[[#This Row],[Column23]]&amp;"-" &amp;tbl_IO_List[[#This Row],[Column52]]</f>
        <v>C6S06-</v>
      </c>
      <c r="G845" s="136" t="str">
        <f>tbl_IO_List[[#This Row],[PLC_Tag]]</f>
        <v>PCY-814202_DI_1</v>
      </c>
      <c r="H845" s="136"/>
      <c r="I845" s="136" t="str">
        <f>VLOOKUP(tbl_IO_List[[#This Row],[Destination]],tbl_Junction[],2,FALSE)</f>
        <v>MCC Room</v>
      </c>
      <c r="J845" s="136" t="s">
        <v>382</v>
      </c>
      <c r="K845" s="136" t="s">
        <v>401</v>
      </c>
      <c r="L845" s="136" t="s">
        <v>1256</v>
      </c>
      <c r="M845" s="136" t="str">
        <f>VLOOKUP(tbl_IO_List[[#This Row],[Instruement Tag]],tbl_Instruement_List[],2,FALSE)</f>
        <v>PUMP</v>
      </c>
      <c r="N845" s="136" t="s">
        <v>24</v>
      </c>
      <c r="O845" s="136" t="s">
        <v>402</v>
      </c>
      <c r="P845" s="136" t="s">
        <v>18</v>
      </c>
      <c r="Q845" s="136" t="str">
        <f>VLOOKUP(tbl_IO_List[[#This Row],[Instruement Tag]],tbl_Instruement_List[],6,FALSE)</f>
        <v xml:space="preserve"> Start / Stop Command to VSD PC-81002</v>
      </c>
      <c r="R845" s="136"/>
      <c r="S84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3,DO=1,AI=0,AO=0,Bus=1</v>
      </c>
      <c r="T845" s="136" t="str">
        <f>tbl_IO_List[[#This Row],[Instruement Tag]]&amp;"_"&amp;tbl_IO_List[[#This Row],[I/O Type]]&amp;"_"&amp;tbl_IO_List[[#This Row],[IO-Point 
(Instruement)]]</f>
        <v>PCY-814202_DI_1</v>
      </c>
      <c r="U845" s="136" t="s">
        <v>8</v>
      </c>
      <c r="V845" s="136">
        <f>VLOOKUP(tbl_IO_List[[#This Row],[I/O Type]],tbl_Slot_Group[],2,FALSE)</f>
        <v>1</v>
      </c>
      <c r="W845" s="136">
        <v>1</v>
      </c>
      <c r="X845" s="136" t="str">
        <f>tbl_IO_List[[#This Row],[Chassis]]&amp;"S"&amp;TEXT(tbl_IO_List[[#This Row],[Slot]],"00")</f>
        <v>C6S06</v>
      </c>
      <c r="Y845" s="136" t="str">
        <f>tbl_IO_List[[#This Row],[Chassis]]&amp;"S"&amp;TEXT(tbl_IO_List[[#This Row],[Slot]],"00")&amp;tbl_IO_List[[#This Row],[I/O Type]]&amp;TEXT(tbl_IO_List[[#This Row],[Point]],"00")</f>
        <v>C6S06DI07</v>
      </c>
      <c r="Z845" s="136" t="str">
        <f>tbl_IO_List[[#This Row],[Chassis]]&amp;"S"&amp;TEXT(tbl_IO_List[[#This Row],[Slot]],"00")&amp;","&amp;TEXT(tbl_IO_List[[#This Row],[Point]],"00")</f>
        <v>C6S06,07</v>
      </c>
      <c r="AA845" s="136" t="e">
        <f>VLOOKUP(tbl_IO_List[[#This Row],[Column23]],tbl_RackConfig[],5,FALSE) &amp;"-"&amp;tbl_IO_List[[#This Row],[Point]]</f>
        <v>#N/A</v>
      </c>
      <c r="AB845" s="136"/>
      <c r="AC845" s="136"/>
      <c r="AD845" s="136" t="str">
        <f>tbl_IO_List[[#This Row],[I/O Type]]</f>
        <v>DI</v>
      </c>
      <c r="AE845" s="136" t="s">
        <v>1376</v>
      </c>
      <c r="AF845" s="136">
        <v>6</v>
      </c>
      <c r="AG845" s="136">
        <v>7</v>
      </c>
      <c r="AH845" s="136"/>
      <c r="AI845" s="136"/>
      <c r="AJ845" s="136">
        <v>3</v>
      </c>
      <c r="AK845" s="136">
        <v>1</v>
      </c>
      <c r="AL845" s="136">
        <v>0</v>
      </c>
      <c r="AM845" s="136">
        <v>0</v>
      </c>
      <c r="AN845" s="136">
        <v>1</v>
      </c>
      <c r="AO845" s="136"/>
      <c r="AP845" s="143" t="str">
        <f>VLOOKUP(tbl_IO_List[[#This Row],[Instruement Tag]],tbl_Instruement_List[],14,FALSE)</f>
        <v>24 VDC energized</v>
      </c>
      <c r="AQ845" s="143" t="str">
        <f>tbl_IO_List[[#This Row],[Chassis]]&amp;"S"&amp;tbl_IO_List[[#This Row],[Slot]]&amp;"-"&amp;tbl_IO_List[[#This Row],[Front Terminal Number]]</f>
        <v>C6S6-</v>
      </c>
      <c r="AR845" s="143"/>
      <c r="AS845" s="136" t="str">
        <f>tbl_IO_List[[#This Row],[Terminal Tagging]]&amp;"-"&amp;tbl_IO_List[[#This Row],[Point-Count]]</f>
        <v>-</v>
      </c>
      <c r="AT845" s="136" t="str">
        <f>tbl_IO_List[[#This Row],[Front Terminal Tagging]]&amp;"/"&amp;tbl_IO_List[[#This Row],[Terminal Tagging-Item]]</f>
        <v>C6S6-/-</v>
      </c>
      <c r="AU845" s="136" t="str">
        <f>tbl_IO_List[[#This Row],[Terminal Tagging-Item]]&amp;"/"&amp;tbl_IO_List[[#This Row],[Front Terminal Tagging]]</f>
        <v>-/C6S6-</v>
      </c>
    </row>
    <row r="846" spans="1:47" hidden="1">
      <c r="A846" s="136" t="s">
        <v>1307</v>
      </c>
      <c r="B846" s="136" t="s">
        <v>1307</v>
      </c>
      <c r="C846" s="136" t="str">
        <f>tbl_IO_List[[#This Row],[Column3]]</f>
        <v>C6S06,08</v>
      </c>
      <c r="D846" s="136" t="e">
        <f>tbl_IO_List[[#This Row],[Card]]</f>
        <v>#N/A</v>
      </c>
      <c r="E846" s="136"/>
      <c r="F846" s="136" t="str">
        <f>tbl_IO_List[[#This Row],[Column23]]&amp;"-" &amp;tbl_IO_List[[#This Row],[Column52]]</f>
        <v>C6S06-</v>
      </c>
      <c r="G846" s="136" t="str">
        <f>tbl_IO_List[[#This Row],[PLC_Tag]]</f>
        <v>PCY-814202_DI_2</v>
      </c>
      <c r="H846" s="136"/>
      <c r="I846" s="136" t="str">
        <f>VLOOKUP(tbl_IO_List[[#This Row],[Destination]],tbl_Junction[],2,FALSE)</f>
        <v>MCC Room</v>
      </c>
      <c r="J846" s="136" t="s">
        <v>382</v>
      </c>
      <c r="K846" s="136" t="s">
        <v>401</v>
      </c>
      <c r="L846" s="136" t="s">
        <v>1256</v>
      </c>
      <c r="M846" s="136" t="str">
        <f>VLOOKUP(tbl_IO_List[[#This Row],[Instruement Tag]],tbl_Instruement_List[],2,FALSE)</f>
        <v>PUMP</v>
      </c>
      <c r="N846" s="136" t="s">
        <v>24</v>
      </c>
      <c r="O846" s="136" t="s">
        <v>402</v>
      </c>
      <c r="P846" s="136" t="s">
        <v>18</v>
      </c>
      <c r="Q846" s="136" t="str">
        <f>VLOOKUP(tbl_IO_List[[#This Row],[Instruement Tag]],tbl_Instruement_List[],6,FALSE)</f>
        <v xml:space="preserve"> Start / Stop Command to VSD PC-81002</v>
      </c>
      <c r="R846" s="136"/>
      <c r="S84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3,DO=1,AI=0,AO=0,Bus=1</v>
      </c>
      <c r="T846" s="136" t="str">
        <f>tbl_IO_List[[#This Row],[Instruement Tag]]&amp;"_"&amp;tbl_IO_List[[#This Row],[I/O Type]]&amp;"_"&amp;tbl_IO_List[[#This Row],[IO-Point 
(Instruement)]]</f>
        <v>PCY-814202_DI_2</v>
      </c>
      <c r="U846" s="136" t="s">
        <v>8</v>
      </c>
      <c r="V846" s="136">
        <f>VLOOKUP(tbl_IO_List[[#This Row],[I/O Type]],tbl_Slot_Group[],2,FALSE)</f>
        <v>1</v>
      </c>
      <c r="W846" s="136">
        <v>2</v>
      </c>
      <c r="X846" s="136" t="str">
        <f>tbl_IO_List[[#This Row],[Chassis]]&amp;"S"&amp;TEXT(tbl_IO_List[[#This Row],[Slot]],"00")</f>
        <v>C6S06</v>
      </c>
      <c r="Y846" s="136" t="str">
        <f>tbl_IO_List[[#This Row],[Chassis]]&amp;"S"&amp;TEXT(tbl_IO_List[[#This Row],[Slot]],"00")&amp;tbl_IO_List[[#This Row],[I/O Type]]&amp;TEXT(tbl_IO_List[[#This Row],[Point]],"00")</f>
        <v>C6S06DI08</v>
      </c>
      <c r="Z846" s="136" t="str">
        <f>tbl_IO_List[[#This Row],[Chassis]]&amp;"S"&amp;TEXT(tbl_IO_List[[#This Row],[Slot]],"00")&amp;","&amp;TEXT(tbl_IO_List[[#This Row],[Point]],"00")</f>
        <v>C6S06,08</v>
      </c>
      <c r="AA846" s="136" t="e">
        <f>VLOOKUP(tbl_IO_List[[#This Row],[Column23]],tbl_RackConfig[],5,FALSE) &amp;"-"&amp;tbl_IO_List[[#This Row],[Point]]</f>
        <v>#N/A</v>
      </c>
      <c r="AB846" s="136"/>
      <c r="AC846" s="136"/>
      <c r="AD846" s="136" t="str">
        <f>tbl_IO_List[[#This Row],[I/O Type]]</f>
        <v>DI</v>
      </c>
      <c r="AE846" s="136" t="s">
        <v>1376</v>
      </c>
      <c r="AF846" s="136">
        <v>6</v>
      </c>
      <c r="AG846" s="136">
        <v>8</v>
      </c>
      <c r="AH846" s="136"/>
      <c r="AI846" s="136"/>
      <c r="AJ846" s="136">
        <v>3</v>
      </c>
      <c r="AK846" s="136">
        <v>1</v>
      </c>
      <c r="AL846" s="136">
        <v>0</v>
      </c>
      <c r="AM846" s="136">
        <v>0</v>
      </c>
      <c r="AN846" s="136">
        <v>1</v>
      </c>
      <c r="AO846" s="136"/>
      <c r="AP846" s="143" t="str">
        <f>VLOOKUP(tbl_IO_List[[#This Row],[Instruement Tag]],tbl_Instruement_List[],14,FALSE)</f>
        <v>24 VDC energized</v>
      </c>
      <c r="AQ846" s="143" t="str">
        <f>tbl_IO_List[[#This Row],[Chassis]]&amp;"S"&amp;tbl_IO_List[[#This Row],[Slot]]&amp;"-"&amp;tbl_IO_List[[#This Row],[Front Terminal Number]]</f>
        <v>C6S6-</v>
      </c>
      <c r="AR846" s="143"/>
      <c r="AS846" s="136" t="str">
        <f>tbl_IO_List[[#This Row],[Terminal Tagging]]&amp;"-"&amp;tbl_IO_List[[#This Row],[Point-Count]]</f>
        <v>-</v>
      </c>
      <c r="AT846" s="136" t="str">
        <f>tbl_IO_List[[#This Row],[Front Terminal Tagging]]&amp;"/"&amp;tbl_IO_List[[#This Row],[Terminal Tagging-Item]]</f>
        <v>C6S6-/-</v>
      </c>
      <c r="AU846" s="136" t="str">
        <f>tbl_IO_List[[#This Row],[Terminal Tagging-Item]]&amp;"/"&amp;tbl_IO_List[[#This Row],[Front Terminal Tagging]]</f>
        <v>-/C6S6-</v>
      </c>
    </row>
    <row r="847" spans="1:47" hidden="1">
      <c r="A847" s="136" t="s">
        <v>1307</v>
      </c>
      <c r="B847" s="136" t="s">
        <v>1307</v>
      </c>
      <c r="C847" s="136" t="str">
        <f>tbl_IO_List[[#This Row],[Column3]]</f>
        <v>C6S06,09</v>
      </c>
      <c r="D847" s="136" t="e">
        <f>tbl_IO_List[[#This Row],[Card]]</f>
        <v>#N/A</v>
      </c>
      <c r="E847" s="136"/>
      <c r="F847" s="136" t="str">
        <f>tbl_IO_List[[#This Row],[Column23]]&amp;"-" &amp;tbl_IO_List[[#This Row],[Column52]]</f>
        <v>C6S06-</v>
      </c>
      <c r="G847" s="136" t="str">
        <f>tbl_IO_List[[#This Row],[PLC_Tag]]</f>
        <v>PCY-814202_DI_3</v>
      </c>
      <c r="H847" s="136"/>
      <c r="I847" s="136" t="str">
        <f>VLOOKUP(tbl_IO_List[[#This Row],[Destination]],tbl_Junction[],2,FALSE)</f>
        <v>MCC Room</v>
      </c>
      <c r="J847" s="136" t="s">
        <v>382</v>
      </c>
      <c r="K847" s="136" t="s">
        <v>401</v>
      </c>
      <c r="L847" s="136" t="s">
        <v>1256</v>
      </c>
      <c r="M847" s="136" t="str">
        <f>VLOOKUP(tbl_IO_List[[#This Row],[Instruement Tag]],tbl_Instruement_List[],2,FALSE)</f>
        <v>PUMP</v>
      </c>
      <c r="N847" s="136" t="s">
        <v>24</v>
      </c>
      <c r="O847" s="136" t="s">
        <v>402</v>
      </c>
      <c r="P847" s="136" t="s">
        <v>18</v>
      </c>
      <c r="Q847" s="136" t="str">
        <f>VLOOKUP(tbl_IO_List[[#This Row],[Instruement Tag]],tbl_Instruement_List[],6,FALSE)</f>
        <v xml:space="preserve"> Start / Stop Command to VSD PC-81002</v>
      </c>
      <c r="R847" s="136"/>
      <c r="S84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3,DO=1,AI=0,AO=0,Bus=1</v>
      </c>
      <c r="T847" s="136" t="str">
        <f>tbl_IO_List[[#This Row],[Instruement Tag]]&amp;"_"&amp;tbl_IO_List[[#This Row],[I/O Type]]&amp;"_"&amp;tbl_IO_List[[#This Row],[IO-Point 
(Instruement)]]</f>
        <v>PCY-814202_DI_3</v>
      </c>
      <c r="U847" s="136" t="s">
        <v>8</v>
      </c>
      <c r="V847" s="136">
        <f>VLOOKUP(tbl_IO_List[[#This Row],[I/O Type]],tbl_Slot_Group[],2,FALSE)</f>
        <v>1</v>
      </c>
      <c r="W847" s="136">
        <v>3</v>
      </c>
      <c r="X847" s="136" t="str">
        <f>tbl_IO_List[[#This Row],[Chassis]]&amp;"S"&amp;TEXT(tbl_IO_List[[#This Row],[Slot]],"00")</f>
        <v>C6S06</v>
      </c>
      <c r="Y847" s="136" t="str">
        <f>tbl_IO_List[[#This Row],[Chassis]]&amp;"S"&amp;TEXT(tbl_IO_List[[#This Row],[Slot]],"00")&amp;tbl_IO_List[[#This Row],[I/O Type]]&amp;TEXT(tbl_IO_List[[#This Row],[Point]],"00")</f>
        <v>C6S06DI09</v>
      </c>
      <c r="Z847" s="136" t="str">
        <f>tbl_IO_List[[#This Row],[Chassis]]&amp;"S"&amp;TEXT(tbl_IO_List[[#This Row],[Slot]],"00")&amp;","&amp;TEXT(tbl_IO_List[[#This Row],[Point]],"00")</f>
        <v>C6S06,09</v>
      </c>
      <c r="AA847" s="136" t="e">
        <f>VLOOKUP(tbl_IO_List[[#This Row],[Column23]],tbl_RackConfig[],5,FALSE) &amp;"-"&amp;tbl_IO_List[[#This Row],[Point]]</f>
        <v>#N/A</v>
      </c>
      <c r="AB847" s="136"/>
      <c r="AC847" s="136"/>
      <c r="AD847" s="136" t="str">
        <f>tbl_IO_List[[#This Row],[I/O Type]]</f>
        <v>DI</v>
      </c>
      <c r="AE847" s="136" t="s">
        <v>1376</v>
      </c>
      <c r="AF847" s="136">
        <v>6</v>
      </c>
      <c r="AG847" s="136">
        <v>9</v>
      </c>
      <c r="AH847" s="136"/>
      <c r="AI847" s="136"/>
      <c r="AJ847" s="136">
        <v>3</v>
      </c>
      <c r="AK847" s="136">
        <v>1</v>
      </c>
      <c r="AL847" s="136">
        <v>0</v>
      </c>
      <c r="AM847" s="136">
        <v>0</v>
      </c>
      <c r="AN847" s="136">
        <v>1</v>
      </c>
      <c r="AO847" s="136"/>
      <c r="AP847" s="143" t="str">
        <f>VLOOKUP(tbl_IO_List[[#This Row],[Instruement Tag]],tbl_Instruement_List[],14,FALSE)</f>
        <v>24 VDC energized</v>
      </c>
      <c r="AQ847" s="143" t="str">
        <f>tbl_IO_List[[#This Row],[Chassis]]&amp;"S"&amp;tbl_IO_List[[#This Row],[Slot]]&amp;"-"&amp;tbl_IO_List[[#This Row],[Front Terminal Number]]</f>
        <v>C6S6-</v>
      </c>
      <c r="AR847" s="143"/>
      <c r="AS847" s="136" t="str">
        <f>tbl_IO_List[[#This Row],[Terminal Tagging]]&amp;"-"&amp;tbl_IO_List[[#This Row],[Point-Count]]</f>
        <v>-</v>
      </c>
      <c r="AT847" s="136" t="str">
        <f>tbl_IO_List[[#This Row],[Front Terminal Tagging]]&amp;"/"&amp;tbl_IO_List[[#This Row],[Terminal Tagging-Item]]</f>
        <v>C6S6-/-</v>
      </c>
      <c r="AU847" s="136" t="str">
        <f>tbl_IO_List[[#This Row],[Terminal Tagging-Item]]&amp;"/"&amp;tbl_IO_List[[#This Row],[Front Terminal Tagging]]</f>
        <v>-/C6S6-</v>
      </c>
    </row>
    <row r="848" spans="1:47" hidden="1">
      <c r="A848" s="136" t="s">
        <v>1307</v>
      </c>
      <c r="B848" s="136" t="s">
        <v>191</v>
      </c>
      <c r="C848" s="136" t="str">
        <f>tbl_IO_List[[#This Row],[Column3]]</f>
        <v>C7S00,00</v>
      </c>
      <c r="D848" s="136" t="e">
        <f>tbl_IO_List[[#This Row],[Card]]</f>
        <v>#N/A</v>
      </c>
      <c r="E848" s="136"/>
      <c r="F848" s="136" t="str">
        <f>tbl_IO_List[[#This Row],[Column23]]&amp;"-" &amp;tbl_IO_List[[#This Row],[Column52]]</f>
        <v>C7S00-</v>
      </c>
      <c r="G848" s="136" t="str">
        <f>tbl_IO_List[[#This Row],[PLC_Tag]]</f>
        <v>PCY-60205_BUS_1</v>
      </c>
      <c r="H848" s="136"/>
      <c r="I848" s="136" t="str">
        <f>VLOOKUP(tbl_IO_List[[#This Row],[Destination]],tbl_Junction[],2,FALSE)</f>
        <v>Spray Dryer 1st Floor</v>
      </c>
      <c r="J848" s="136" t="s">
        <v>191</v>
      </c>
      <c r="K848" s="136" t="s">
        <v>14</v>
      </c>
      <c r="L848" s="136" t="s">
        <v>1381</v>
      </c>
      <c r="M848" s="136" t="e">
        <f>VLOOKUP(tbl_IO_List[[#This Row],[Instruement Tag]],tbl_Instruement_List[],2,FALSE)</f>
        <v>#N/A</v>
      </c>
      <c r="N848" s="136" t="s">
        <v>15</v>
      </c>
      <c r="O848" s="136" t="s">
        <v>126</v>
      </c>
      <c r="P848" s="136" t="s">
        <v>18</v>
      </c>
      <c r="Q848" s="136" t="e">
        <f>VLOOKUP(tbl_IO_List[[#This Row],[Instruement Tag]],tbl_Instruement_List[],6,FALSE)</f>
        <v>#N/A</v>
      </c>
      <c r="R848" s="136"/>
      <c r="S84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3,DO=1,AI=0,AO=0,Bus=1</v>
      </c>
      <c r="T848" s="136" t="str">
        <f>tbl_IO_List[[#This Row],[Instruement Tag]]&amp;"_"&amp;tbl_IO_List[[#This Row],[I/O Type]]&amp;"_"&amp;tbl_IO_List[[#This Row],[IO-Point 
(Instruement)]]</f>
        <v>PCY-60205_BUS_1</v>
      </c>
      <c r="U848" s="136" t="s">
        <v>1299</v>
      </c>
      <c r="V848" s="136">
        <f>VLOOKUP(tbl_IO_List[[#This Row],[I/O Type]],tbl_Slot_Group[],2,FALSE)</f>
        <v>0</v>
      </c>
      <c r="W848" s="136">
        <v>1</v>
      </c>
      <c r="X848" s="136" t="str">
        <f>tbl_IO_List[[#This Row],[Chassis]]&amp;"S"&amp;TEXT(tbl_IO_List[[#This Row],[Slot]],"00")</f>
        <v>C7S00</v>
      </c>
      <c r="Y848" s="136" t="str">
        <f>tbl_IO_List[[#This Row],[Chassis]]&amp;"S"&amp;TEXT(tbl_IO_List[[#This Row],[Slot]],"00")&amp;tbl_IO_List[[#This Row],[I/O Type]]&amp;TEXT(tbl_IO_List[[#This Row],[Point]],"00")</f>
        <v>C7S00BUS00</v>
      </c>
      <c r="Z848" s="136" t="str">
        <f>tbl_IO_List[[#This Row],[Chassis]]&amp;"S"&amp;TEXT(tbl_IO_List[[#This Row],[Slot]],"00")&amp;","&amp;TEXT(tbl_IO_List[[#This Row],[Point]],"00")</f>
        <v>C7S00,00</v>
      </c>
      <c r="AA848" s="136" t="e">
        <f>VLOOKUP(tbl_IO_List[[#This Row],[Column23]],tbl_RackConfig[],5,FALSE) &amp;"-"&amp;tbl_IO_List[[#This Row],[Point]]</f>
        <v>#N/A</v>
      </c>
      <c r="AB848" s="136"/>
      <c r="AC848" s="136"/>
      <c r="AD848" s="136" t="str">
        <f>tbl_IO_List[[#This Row],[I/O Type]]</f>
        <v>BUS</v>
      </c>
      <c r="AE848" s="136" t="s">
        <v>1368</v>
      </c>
      <c r="AF848" s="136">
        <v>0</v>
      </c>
      <c r="AG848" s="136">
        <v>0</v>
      </c>
      <c r="AH848" s="136"/>
      <c r="AI848" s="136"/>
      <c r="AJ848" s="136">
        <v>3</v>
      </c>
      <c r="AK848" s="136">
        <v>1</v>
      </c>
      <c r="AL848" s="136">
        <v>0</v>
      </c>
      <c r="AM848" s="136">
        <v>0</v>
      </c>
      <c r="AN848" s="136">
        <v>1</v>
      </c>
      <c r="AO848" s="136"/>
      <c r="AP848" s="143" t="s">
        <v>1299</v>
      </c>
      <c r="AQ848" s="143" t="str">
        <f>tbl_IO_List[[#This Row],[Chassis]]&amp;"S"&amp;tbl_IO_List[[#This Row],[Slot]]&amp;"-"&amp;tbl_IO_List[[#This Row],[Front Terminal Number]]</f>
        <v>C7S0-</v>
      </c>
      <c r="AR848" s="143"/>
      <c r="AS848" s="136" t="str">
        <f>tbl_IO_List[[#This Row],[Terminal Tagging]]&amp;"-"&amp;tbl_IO_List[[#This Row],[Point-Count]]</f>
        <v>-</v>
      </c>
      <c r="AT848" s="136" t="str">
        <f>tbl_IO_List[[#This Row],[Front Terminal Tagging]]&amp;"/"&amp;tbl_IO_List[[#This Row],[Terminal Tagging-Item]]</f>
        <v>C7S0-/-</v>
      </c>
      <c r="AU848" s="136" t="str">
        <f>tbl_IO_List[[#This Row],[Terminal Tagging-Item]]&amp;"/"&amp;tbl_IO_List[[#This Row],[Front Terminal Tagging]]</f>
        <v>-/C7S0-</v>
      </c>
    </row>
    <row r="849" spans="1:47" hidden="1">
      <c r="A849" s="136" t="s">
        <v>1307</v>
      </c>
      <c r="B849" s="136" t="s">
        <v>270</v>
      </c>
      <c r="C849" s="136" t="str">
        <f>tbl_IO_List[[#This Row],[Column3]]</f>
        <v>C7S00,00</v>
      </c>
      <c r="D849" s="136" t="e">
        <f>tbl_IO_List[[#This Row],[Card]]</f>
        <v>#N/A</v>
      </c>
      <c r="E849" s="136"/>
      <c r="F849" s="136" t="str">
        <f>tbl_IO_List[[#This Row],[Column23]]&amp;"-" &amp;tbl_IO_List[[#This Row],[Column52]]</f>
        <v>C7S00-</v>
      </c>
      <c r="G849" s="136" t="str">
        <f>tbl_IO_List[[#This Row],[PLC_Tag]]</f>
        <v>COM-FH-60210B_BUS_1</v>
      </c>
      <c r="H849" s="136"/>
      <c r="I849" s="136" t="str">
        <f>VLOOKUP(tbl_IO_List[[#This Row],[Destination]],tbl_Junction[],2,FALSE)</f>
        <v>Spray Dryer 7th Floor</v>
      </c>
      <c r="J849" s="136" t="s">
        <v>270</v>
      </c>
      <c r="K849" s="136" t="s">
        <v>14</v>
      </c>
      <c r="L849" s="136" t="s">
        <v>1117</v>
      </c>
      <c r="M849" s="136">
        <f>VLOOKUP(tbl_IO_List[[#This Row],[Instruement Tag]],tbl_Instruement_List[],2,FALSE)</f>
        <v>0</v>
      </c>
      <c r="N849" s="136" t="s">
        <v>95</v>
      </c>
      <c r="O849" s="136" t="s">
        <v>331</v>
      </c>
      <c r="P849" s="136" t="s">
        <v>18</v>
      </c>
      <c r="Q849" s="136" t="str">
        <f>VLOOKUP(tbl_IO_List[[#This Row],[Instruement Tag]],tbl_Instruement_List[],6,FALSE)</f>
        <v>Communication Signal</v>
      </c>
      <c r="R849" s="136"/>
      <c r="S84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0,DO=0,AI=0,AO=0,Bus=1</v>
      </c>
      <c r="T849" s="136" t="str">
        <f>tbl_IO_List[[#This Row],[Instruement Tag]]&amp;"_"&amp;tbl_IO_List[[#This Row],[I/O Type]]&amp;"_"&amp;tbl_IO_List[[#This Row],[IO-Point 
(Instruement)]]</f>
        <v>COM-FH-60210B_BUS_1</v>
      </c>
      <c r="U849" s="136" t="s">
        <v>1299</v>
      </c>
      <c r="V849" s="136">
        <f>VLOOKUP(tbl_IO_List[[#This Row],[I/O Type]],tbl_Slot_Group[],2,FALSE)</f>
        <v>0</v>
      </c>
      <c r="W849" s="136">
        <v>1</v>
      </c>
      <c r="X849" s="136" t="str">
        <f>tbl_IO_List[[#This Row],[Chassis]]&amp;"S"&amp;TEXT(tbl_IO_List[[#This Row],[Slot]],"00")</f>
        <v>C7S00</v>
      </c>
      <c r="Y849" s="136" t="str">
        <f>tbl_IO_List[[#This Row],[Chassis]]&amp;"S"&amp;TEXT(tbl_IO_List[[#This Row],[Slot]],"00")&amp;tbl_IO_List[[#This Row],[I/O Type]]&amp;TEXT(tbl_IO_List[[#This Row],[Point]],"00")</f>
        <v>C7S00BUS00</v>
      </c>
      <c r="Z849" s="136" t="str">
        <f>tbl_IO_List[[#This Row],[Chassis]]&amp;"S"&amp;TEXT(tbl_IO_List[[#This Row],[Slot]],"00")&amp;","&amp;TEXT(tbl_IO_List[[#This Row],[Point]],"00")</f>
        <v>C7S00,00</v>
      </c>
      <c r="AA849" s="136" t="e">
        <f>VLOOKUP(tbl_IO_List[[#This Row],[Column23]],tbl_RackConfig[],5,FALSE) &amp;"-"&amp;tbl_IO_List[[#This Row],[Point]]</f>
        <v>#N/A</v>
      </c>
      <c r="AB849" s="136"/>
      <c r="AC849" s="136"/>
      <c r="AD849" s="136" t="str">
        <f>tbl_IO_List[[#This Row],[I/O Type]]</f>
        <v>BUS</v>
      </c>
      <c r="AE849" s="136" t="s">
        <v>1368</v>
      </c>
      <c r="AF849" s="136">
        <v>0</v>
      </c>
      <c r="AG849" s="136">
        <v>0</v>
      </c>
      <c r="AH849" s="136"/>
      <c r="AI849" s="136"/>
      <c r="AJ849" s="136">
        <v>0</v>
      </c>
      <c r="AK849" s="136">
        <v>0</v>
      </c>
      <c r="AL849" s="136">
        <v>0</v>
      </c>
      <c r="AM849" s="136">
        <v>0</v>
      </c>
      <c r="AN849" s="136">
        <v>1</v>
      </c>
      <c r="AO849" s="136"/>
      <c r="AP849" s="143" t="s">
        <v>1299</v>
      </c>
      <c r="AQ849" s="143" t="str">
        <f>tbl_IO_List[[#This Row],[Chassis]]&amp;"S"&amp;tbl_IO_List[[#This Row],[Slot]]&amp;"-"&amp;tbl_IO_List[[#This Row],[Front Terminal Number]]</f>
        <v>C7S0-</v>
      </c>
      <c r="AR849" s="143"/>
      <c r="AS849" s="136" t="str">
        <f>tbl_IO_List[[#This Row],[Terminal Tagging]]&amp;"-"&amp;tbl_IO_List[[#This Row],[Point-Count]]</f>
        <v>-</v>
      </c>
      <c r="AT849" s="136" t="str">
        <f>tbl_IO_List[[#This Row],[Front Terminal Tagging]]&amp;"/"&amp;tbl_IO_List[[#This Row],[Terminal Tagging-Item]]</f>
        <v>C7S0-/-</v>
      </c>
      <c r="AU849" s="136" t="str">
        <f>tbl_IO_List[[#This Row],[Terminal Tagging-Item]]&amp;"/"&amp;tbl_IO_List[[#This Row],[Front Terminal Tagging]]</f>
        <v>-/C7S0-</v>
      </c>
    </row>
    <row r="850" spans="1:47" hidden="1">
      <c r="A850" s="136" t="s">
        <v>1307</v>
      </c>
      <c r="B850" s="136" t="s">
        <v>335</v>
      </c>
      <c r="C850" s="136" t="str">
        <f>tbl_IO_List[[#This Row],[Column3]]</f>
        <v>C7S00,00</v>
      </c>
      <c r="D850" s="136" t="e">
        <f>tbl_IO_List[[#This Row],[Card]]</f>
        <v>#N/A</v>
      </c>
      <c r="E850" s="136"/>
      <c r="F850" s="136" t="str">
        <f>tbl_IO_List[[#This Row],[Column23]]&amp;"-" &amp;tbl_IO_List[[#This Row],[Column52]]</f>
        <v>C7S00-</v>
      </c>
      <c r="G850" s="136" t="str">
        <f>tbl_IO_List[[#This Row],[PLC_Tag]]</f>
        <v>Communication Signal_BUS_1</v>
      </c>
      <c r="H850" s="136"/>
      <c r="I850" s="136" t="str">
        <f>VLOOKUP(tbl_IO_List[[#This Row],[Destination]],tbl_Junction[],2,FALSE)</f>
        <v>Packing Tower 2th Floor</v>
      </c>
      <c r="J850" s="136" t="s">
        <v>335</v>
      </c>
      <c r="K850" s="136" t="s">
        <v>66</v>
      </c>
      <c r="L850" s="136" t="s">
        <v>1060</v>
      </c>
      <c r="M850" s="136" t="e">
        <f>VLOOKUP(tbl_IO_List[[#This Row],[Instruement Tag]],tbl_Instruement_List[],2,FALSE)</f>
        <v>#N/A</v>
      </c>
      <c r="N850" s="136" t="s">
        <v>15</v>
      </c>
      <c r="O850" s="136" t="s">
        <v>356</v>
      </c>
      <c r="P850" s="136" t="s">
        <v>18</v>
      </c>
      <c r="Q850" s="136" t="e">
        <f>VLOOKUP(tbl_IO_List[[#This Row],[Instruement Tag]],tbl_Instruement_List[],6,FALSE)</f>
        <v>#N/A</v>
      </c>
      <c r="R850" s="136"/>
      <c r="S85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0,DO=0,AI=0,AO=0,Bus=1</v>
      </c>
      <c r="T850" s="136" t="str">
        <f>tbl_IO_List[[#This Row],[Instruement Tag]]&amp;"_"&amp;tbl_IO_List[[#This Row],[I/O Type]]&amp;"_"&amp;tbl_IO_List[[#This Row],[IO-Point 
(Instruement)]]</f>
        <v>Communication Signal_BUS_1</v>
      </c>
      <c r="U850" s="136" t="s">
        <v>1299</v>
      </c>
      <c r="V850" s="136">
        <f>VLOOKUP(tbl_IO_List[[#This Row],[I/O Type]],tbl_Slot_Group[],2,FALSE)</f>
        <v>0</v>
      </c>
      <c r="W850" s="136">
        <v>1</v>
      </c>
      <c r="X850" s="136" t="str">
        <f>tbl_IO_List[[#This Row],[Chassis]]&amp;"S"&amp;TEXT(tbl_IO_List[[#This Row],[Slot]],"00")</f>
        <v>C7S00</v>
      </c>
      <c r="Y850" s="136" t="str">
        <f>tbl_IO_List[[#This Row],[Chassis]]&amp;"S"&amp;TEXT(tbl_IO_List[[#This Row],[Slot]],"00")&amp;tbl_IO_List[[#This Row],[I/O Type]]&amp;TEXT(tbl_IO_List[[#This Row],[Point]],"00")</f>
        <v>C7S00BUS00</v>
      </c>
      <c r="Z850" s="136" t="str">
        <f>tbl_IO_List[[#This Row],[Chassis]]&amp;"S"&amp;TEXT(tbl_IO_List[[#This Row],[Slot]],"00")&amp;","&amp;TEXT(tbl_IO_List[[#This Row],[Point]],"00")</f>
        <v>C7S00,00</v>
      </c>
      <c r="AA850" s="136" t="e">
        <f>VLOOKUP(tbl_IO_List[[#This Row],[Column23]],tbl_RackConfig[],5,FALSE) &amp;"-"&amp;tbl_IO_List[[#This Row],[Point]]</f>
        <v>#N/A</v>
      </c>
      <c r="AB850" s="136"/>
      <c r="AC850" s="136"/>
      <c r="AD850" s="136" t="str">
        <f>tbl_IO_List[[#This Row],[I/O Type]]</f>
        <v>BUS</v>
      </c>
      <c r="AE850" s="136" t="s">
        <v>1368</v>
      </c>
      <c r="AF850" s="136">
        <v>0</v>
      </c>
      <c r="AG850" s="136">
        <v>0</v>
      </c>
      <c r="AH850" s="136"/>
      <c r="AI850" s="136"/>
      <c r="AJ850" s="136">
        <v>0</v>
      </c>
      <c r="AK850" s="136">
        <v>0</v>
      </c>
      <c r="AL850" s="136">
        <v>0</v>
      </c>
      <c r="AM850" s="136">
        <v>0</v>
      </c>
      <c r="AN850" s="136">
        <v>1</v>
      </c>
      <c r="AO850" s="136"/>
      <c r="AP850" s="143" t="s">
        <v>1299</v>
      </c>
      <c r="AQ850" s="143" t="str">
        <f>tbl_IO_List[[#This Row],[Chassis]]&amp;"S"&amp;tbl_IO_List[[#This Row],[Slot]]&amp;"-"&amp;tbl_IO_List[[#This Row],[Front Terminal Number]]</f>
        <v>C7S0-</v>
      </c>
      <c r="AR850" s="143"/>
      <c r="AS850" s="136" t="str">
        <f>tbl_IO_List[[#This Row],[Terminal Tagging]]&amp;"-"&amp;tbl_IO_List[[#This Row],[Point-Count]]</f>
        <v>-</v>
      </c>
      <c r="AT850" s="136" t="str">
        <f>tbl_IO_List[[#This Row],[Front Terminal Tagging]]&amp;"/"&amp;tbl_IO_List[[#This Row],[Terminal Tagging-Item]]</f>
        <v>C7S0-/-</v>
      </c>
      <c r="AU850" s="136" t="str">
        <f>tbl_IO_List[[#This Row],[Terminal Tagging-Item]]&amp;"/"&amp;tbl_IO_List[[#This Row],[Front Terminal Tagging]]</f>
        <v>-/C7S0-</v>
      </c>
    </row>
    <row r="851" spans="1:47" hidden="1">
      <c r="A851" s="136" t="s">
        <v>1307</v>
      </c>
      <c r="B851" s="136" t="s">
        <v>1307</v>
      </c>
      <c r="C851" s="136" t="str">
        <f>tbl_IO_List[[#This Row],[Column3]]</f>
        <v>C7S00,00</v>
      </c>
      <c r="D851" s="136" t="e">
        <f>tbl_IO_List[[#This Row],[Card]]</f>
        <v>#N/A</v>
      </c>
      <c r="E851" s="136"/>
      <c r="F851" s="136" t="str">
        <f>tbl_IO_List[[#This Row],[Column23]]&amp;"-" &amp;tbl_IO_List[[#This Row],[Column52]]</f>
        <v>C7S00-</v>
      </c>
      <c r="G851" s="136" t="str">
        <f>tbl_IO_List[[#This Row],[PLC_Tag]]</f>
        <v>ATY-40201_BUS_1</v>
      </c>
      <c r="H851" s="136"/>
      <c r="I851" s="136" t="str">
        <f>VLOOKUP(tbl_IO_List[[#This Row],[Destination]],tbl_Junction[],2,FALSE)</f>
        <v>MCC Room</v>
      </c>
      <c r="J851" s="136" t="s">
        <v>114</v>
      </c>
      <c r="K851" s="136" t="s">
        <v>136</v>
      </c>
      <c r="L851" s="136" t="s">
        <v>841</v>
      </c>
      <c r="M851" s="136" t="str">
        <f>VLOOKUP(tbl_IO_List[[#This Row],[Instruement Tag]],tbl_Instruement_List[],2,FALSE)</f>
        <v>Tank Agitator</v>
      </c>
      <c r="N851" s="136" t="s">
        <v>15</v>
      </c>
      <c r="O851" s="136" t="s">
        <v>121</v>
      </c>
      <c r="P851" s="136" t="s">
        <v>137</v>
      </c>
      <c r="Q851" s="136" t="str">
        <f>VLOOKUP(tbl_IO_List[[#This Row],[Instruement Tag]],tbl_Instruement_List[],6,FALSE)</f>
        <v xml:space="preserve"> Start / Stop Command for VSD AT-40201</v>
      </c>
      <c r="R851" s="136"/>
      <c r="S85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3,DO=1,AI=0,AO=0,Bus=1</v>
      </c>
      <c r="T851" s="136" t="str">
        <f>tbl_IO_List[[#This Row],[Instruement Tag]]&amp;"_"&amp;tbl_IO_List[[#This Row],[I/O Type]]&amp;"_"&amp;tbl_IO_List[[#This Row],[IO-Point 
(Instruement)]]</f>
        <v>ATY-40201_BUS_1</v>
      </c>
      <c r="U851" s="136" t="s">
        <v>1299</v>
      </c>
      <c r="V851" s="136">
        <f>VLOOKUP(tbl_IO_List[[#This Row],[I/O Type]],tbl_Slot_Group[],2,FALSE)</f>
        <v>0</v>
      </c>
      <c r="W851" s="136">
        <v>1</v>
      </c>
      <c r="X851" s="136" t="str">
        <f>tbl_IO_List[[#This Row],[Chassis]]&amp;"S"&amp;TEXT(tbl_IO_List[[#This Row],[Slot]],"00")</f>
        <v>C7S00</v>
      </c>
      <c r="Y851" s="136" t="str">
        <f>tbl_IO_List[[#This Row],[Chassis]]&amp;"S"&amp;TEXT(tbl_IO_List[[#This Row],[Slot]],"00")&amp;tbl_IO_List[[#This Row],[I/O Type]]&amp;TEXT(tbl_IO_List[[#This Row],[Point]],"00")</f>
        <v>C7S00BUS00</v>
      </c>
      <c r="Z851" s="136" t="str">
        <f>tbl_IO_List[[#This Row],[Chassis]]&amp;"S"&amp;TEXT(tbl_IO_List[[#This Row],[Slot]],"00")&amp;","&amp;TEXT(tbl_IO_List[[#This Row],[Point]],"00")</f>
        <v>C7S00,00</v>
      </c>
      <c r="AA851" s="136" t="e">
        <f>VLOOKUP(tbl_IO_List[[#This Row],[Column23]],tbl_RackConfig[],5,FALSE) &amp;"-"&amp;tbl_IO_List[[#This Row],[Point]]</f>
        <v>#N/A</v>
      </c>
      <c r="AB851" s="136"/>
      <c r="AC851" s="136"/>
      <c r="AD851" s="136" t="str">
        <f>tbl_IO_List[[#This Row],[I/O Type]]</f>
        <v>BUS</v>
      </c>
      <c r="AE851" s="136" t="s">
        <v>1368</v>
      </c>
      <c r="AF851" s="136">
        <v>0</v>
      </c>
      <c r="AG851" s="136">
        <v>0</v>
      </c>
      <c r="AH851" s="136"/>
      <c r="AI851" s="136"/>
      <c r="AJ851" s="136">
        <v>3</v>
      </c>
      <c r="AK851" s="136">
        <v>1</v>
      </c>
      <c r="AL851" s="136">
        <v>0</v>
      </c>
      <c r="AM851" s="136">
        <v>0</v>
      </c>
      <c r="AN851" s="136">
        <v>1</v>
      </c>
      <c r="AO851" s="136"/>
      <c r="AP851" s="143" t="s">
        <v>1299</v>
      </c>
      <c r="AQ851" s="143" t="str">
        <f>tbl_IO_List[[#This Row],[Chassis]]&amp;"S"&amp;tbl_IO_List[[#This Row],[Slot]]&amp;"-"&amp;tbl_IO_List[[#This Row],[Front Terminal Number]]</f>
        <v>C7S0-</v>
      </c>
      <c r="AR851" s="143"/>
      <c r="AS851" s="136" t="str">
        <f>tbl_IO_List[[#This Row],[Terminal Tagging]]&amp;"-"&amp;tbl_IO_List[[#This Row],[Point-Count]]</f>
        <v>-</v>
      </c>
      <c r="AT851" s="136" t="str">
        <f>tbl_IO_List[[#This Row],[Front Terminal Tagging]]&amp;"/"&amp;tbl_IO_List[[#This Row],[Terminal Tagging-Item]]</f>
        <v>C7S0-/-</v>
      </c>
      <c r="AU851" s="136" t="str">
        <f>tbl_IO_List[[#This Row],[Terminal Tagging-Item]]&amp;"/"&amp;tbl_IO_List[[#This Row],[Front Terminal Tagging]]</f>
        <v>-/C7S0-</v>
      </c>
    </row>
    <row r="852" spans="1:47" hidden="1">
      <c r="A852" s="136" t="s">
        <v>1307</v>
      </c>
      <c r="B852" s="136" t="s">
        <v>1307</v>
      </c>
      <c r="C852" s="136" t="str">
        <f>tbl_IO_List[[#This Row],[Column3]]</f>
        <v>C7S00,00</v>
      </c>
      <c r="D852" s="136" t="e">
        <f>tbl_IO_List[[#This Row],[Card]]</f>
        <v>#N/A</v>
      </c>
      <c r="E852" s="136"/>
      <c r="F852" s="136" t="str">
        <f>tbl_IO_List[[#This Row],[Column23]]&amp;"-" &amp;tbl_IO_List[[#This Row],[Column52]]</f>
        <v>C7S00-</v>
      </c>
      <c r="G852" s="136" t="str">
        <f>tbl_IO_List[[#This Row],[PLC_Tag]]</f>
        <v>ATY-40202_BUS_1</v>
      </c>
      <c r="H852" s="136"/>
      <c r="I852" s="136" t="str">
        <f>VLOOKUP(tbl_IO_List[[#This Row],[Destination]],tbl_Junction[],2,FALSE)</f>
        <v>MCC Room</v>
      </c>
      <c r="J852" s="136" t="s">
        <v>114</v>
      </c>
      <c r="K852" s="136" t="s">
        <v>136</v>
      </c>
      <c r="L852" s="136" t="s">
        <v>845</v>
      </c>
      <c r="M852" s="136" t="str">
        <f>VLOOKUP(tbl_IO_List[[#This Row],[Instruement Tag]],tbl_Instruement_List[],2,FALSE)</f>
        <v>Tank Agitator</v>
      </c>
      <c r="N852" s="136" t="s">
        <v>15</v>
      </c>
      <c r="O852" s="136" t="s">
        <v>121</v>
      </c>
      <c r="P852" s="136" t="s">
        <v>137</v>
      </c>
      <c r="Q852" s="136" t="str">
        <f>VLOOKUP(tbl_IO_List[[#This Row],[Instruement Tag]],tbl_Instruement_List[],6,FALSE)</f>
        <v xml:space="preserve"> Start / Stop Command for VSD AT-40202</v>
      </c>
      <c r="R852" s="136"/>
      <c r="S85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3,DO=1,AI=0,AO=0,Bus=1</v>
      </c>
      <c r="T852" s="136" t="str">
        <f>tbl_IO_List[[#This Row],[Instruement Tag]]&amp;"_"&amp;tbl_IO_List[[#This Row],[I/O Type]]&amp;"_"&amp;tbl_IO_List[[#This Row],[IO-Point 
(Instruement)]]</f>
        <v>ATY-40202_BUS_1</v>
      </c>
      <c r="U852" s="136" t="s">
        <v>1299</v>
      </c>
      <c r="V852" s="136">
        <f>VLOOKUP(tbl_IO_List[[#This Row],[I/O Type]],tbl_Slot_Group[],2,FALSE)</f>
        <v>0</v>
      </c>
      <c r="W852" s="136">
        <v>1</v>
      </c>
      <c r="X852" s="136" t="str">
        <f>tbl_IO_List[[#This Row],[Chassis]]&amp;"S"&amp;TEXT(tbl_IO_List[[#This Row],[Slot]],"00")</f>
        <v>C7S00</v>
      </c>
      <c r="Y852" s="136" t="str">
        <f>tbl_IO_List[[#This Row],[Chassis]]&amp;"S"&amp;TEXT(tbl_IO_List[[#This Row],[Slot]],"00")&amp;tbl_IO_List[[#This Row],[I/O Type]]&amp;TEXT(tbl_IO_List[[#This Row],[Point]],"00")</f>
        <v>C7S00BUS00</v>
      </c>
      <c r="Z852" s="136" t="str">
        <f>tbl_IO_List[[#This Row],[Chassis]]&amp;"S"&amp;TEXT(tbl_IO_List[[#This Row],[Slot]],"00")&amp;","&amp;TEXT(tbl_IO_List[[#This Row],[Point]],"00")</f>
        <v>C7S00,00</v>
      </c>
      <c r="AA852" s="136" t="e">
        <f>VLOOKUP(tbl_IO_List[[#This Row],[Column23]],tbl_RackConfig[],5,FALSE) &amp;"-"&amp;tbl_IO_List[[#This Row],[Point]]</f>
        <v>#N/A</v>
      </c>
      <c r="AB852" s="136"/>
      <c r="AC852" s="136"/>
      <c r="AD852" s="136" t="str">
        <f>tbl_IO_List[[#This Row],[I/O Type]]</f>
        <v>BUS</v>
      </c>
      <c r="AE852" s="136" t="s">
        <v>1368</v>
      </c>
      <c r="AF852" s="136">
        <v>0</v>
      </c>
      <c r="AG852" s="136">
        <v>0</v>
      </c>
      <c r="AH852" s="136"/>
      <c r="AI852" s="136"/>
      <c r="AJ852" s="136">
        <v>3</v>
      </c>
      <c r="AK852" s="136">
        <v>1</v>
      </c>
      <c r="AL852" s="136">
        <v>0</v>
      </c>
      <c r="AM852" s="136">
        <v>0</v>
      </c>
      <c r="AN852" s="136">
        <v>1</v>
      </c>
      <c r="AO852" s="136"/>
      <c r="AP852" s="143" t="s">
        <v>1299</v>
      </c>
      <c r="AQ852" s="143" t="str">
        <f>tbl_IO_List[[#This Row],[Chassis]]&amp;"S"&amp;tbl_IO_List[[#This Row],[Slot]]&amp;"-"&amp;tbl_IO_List[[#This Row],[Front Terminal Number]]</f>
        <v>C7S0-</v>
      </c>
      <c r="AR852" s="143"/>
      <c r="AS852" s="136" t="str">
        <f>tbl_IO_List[[#This Row],[Terminal Tagging]]&amp;"-"&amp;tbl_IO_List[[#This Row],[Point-Count]]</f>
        <v>-</v>
      </c>
      <c r="AT852" s="136" t="str">
        <f>tbl_IO_List[[#This Row],[Front Terminal Tagging]]&amp;"/"&amp;tbl_IO_List[[#This Row],[Terminal Tagging-Item]]</f>
        <v>C7S0-/-</v>
      </c>
      <c r="AU852" s="136" t="str">
        <f>tbl_IO_List[[#This Row],[Terminal Tagging-Item]]&amp;"/"&amp;tbl_IO_List[[#This Row],[Front Terminal Tagging]]</f>
        <v>-/C7S0-</v>
      </c>
    </row>
    <row r="853" spans="1:47" hidden="1">
      <c r="A853" s="136" t="s">
        <v>1307</v>
      </c>
      <c r="B853" s="136" t="s">
        <v>1307</v>
      </c>
      <c r="C853" s="136" t="str">
        <f>tbl_IO_List[[#This Row],[Column3]]</f>
        <v>C7S00,00</v>
      </c>
      <c r="D853" s="136" t="e">
        <f>tbl_IO_List[[#This Row],[Card]]</f>
        <v>#N/A</v>
      </c>
      <c r="E853" s="136"/>
      <c r="F853" s="136" t="str">
        <f>tbl_IO_List[[#This Row],[Column23]]&amp;"-" &amp;tbl_IO_List[[#This Row],[Column52]]</f>
        <v>C7S00-</v>
      </c>
      <c r="G853" s="136" t="str">
        <f>tbl_IO_List[[#This Row],[PLC_Tag]]</f>
        <v>ATY-40203_BUS_1</v>
      </c>
      <c r="H853" s="136"/>
      <c r="I853" s="136" t="str">
        <f>VLOOKUP(tbl_IO_List[[#This Row],[Destination]],tbl_Junction[],2,FALSE)</f>
        <v>MCC Room</v>
      </c>
      <c r="J853" s="136" t="s">
        <v>114</v>
      </c>
      <c r="K853" s="136" t="s">
        <v>115</v>
      </c>
      <c r="L853" s="136" t="s">
        <v>133</v>
      </c>
      <c r="M853" s="136" t="str">
        <f>VLOOKUP(tbl_IO_List[[#This Row],[Instruement Tag]],tbl_Instruement_List[],2,FALSE)</f>
        <v>Tank Agitator</v>
      </c>
      <c r="N853" s="136" t="s">
        <v>15</v>
      </c>
      <c r="O853" s="136" t="s">
        <v>116</v>
      </c>
      <c r="P853" s="136" t="s">
        <v>117</v>
      </c>
      <c r="Q853" s="136" t="str">
        <f>VLOOKUP(tbl_IO_List[[#This Row],[Instruement Tag]],tbl_Instruement_List[],6,FALSE)</f>
        <v xml:space="preserve"> Start / Stop Command for VSD AT-40203</v>
      </c>
      <c r="R853" s="136"/>
      <c r="S85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3,DO=1,AI=0,AO=0,Bus=1</v>
      </c>
      <c r="T853" s="136" t="str">
        <f>tbl_IO_List[[#This Row],[Instruement Tag]]&amp;"_"&amp;tbl_IO_List[[#This Row],[I/O Type]]&amp;"_"&amp;tbl_IO_List[[#This Row],[IO-Point 
(Instruement)]]</f>
        <v>ATY-40203_BUS_1</v>
      </c>
      <c r="U853" s="136" t="s">
        <v>1299</v>
      </c>
      <c r="V853" s="136">
        <f>VLOOKUP(tbl_IO_List[[#This Row],[I/O Type]],tbl_Slot_Group[],2,FALSE)</f>
        <v>0</v>
      </c>
      <c r="W853" s="136">
        <v>1</v>
      </c>
      <c r="X853" s="136" t="str">
        <f>tbl_IO_List[[#This Row],[Chassis]]&amp;"S"&amp;TEXT(tbl_IO_List[[#This Row],[Slot]],"00")</f>
        <v>C7S00</v>
      </c>
      <c r="Y853" s="136" t="str">
        <f>tbl_IO_List[[#This Row],[Chassis]]&amp;"S"&amp;TEXT(tbl_IO_List[[#This Row],[Slot]],"00")&amp;tbl_IO_List[[#This Row],[I/O Type]]&amp;TEXT(tbl_IO_List[[#This Row],[Point]],"00")</f>
        <v>C7S00BUS00</v>
      </c>
      <c r="Z853" s="136" t="str">
        <f>tbl_IO_List[[#This Row],[Chassis]]&amp;"S"&amp;TEXT(tbl_IO_List[[#This Row],[Slot]],"00")&amp;","&amp;TEXT(tbl_IO_List[[#This Row],[Point]],"00")</f>
        <v>C7S00,00</v>
      </c>
      <c r="AA853" s="136" t="e">
        <f>VLOOKUP(tbl_IO_List[[#This Row],[Column23]],tbl_RackConfig[],5,FALSE) &amp;"-"&amp;tbl_IO_List[[#This Row],[Point]]</f>
        <v>#N/A</v>
      </c>
      <c r="AB853" s="136"/>
      <c r="AC853" s="136"/>
      <c r="AD853" s="136" t="str">
        <f>tbl_IO_List[[#This Row],[I/O Type]]</f>
        <v>BUS</v>
      </c>
      <c r="AE853" s="136" t="s">
        <v>1368</v>
      </c>
      <c r="AF853" s="136">
        <v>0</v>
      </c>
      <c r="AG853" s="136">
        <v>0</v>
      </c>
      <c r="AH853" s="136"/>
      <c r="AI853" s="136"/>
      <c r="AJ853" s="136">
        <v>3</v>
      </c>
      <c r="AK853" s="136">
        <v>1</v>
      </c>
      <c r="AL853" s="136">
        <v>0</v>
      </c>
      <c r="AM853" s="136">
        <v>0</v>
      </c>
      <c r="AN853" s="136">
        <v>1</v>
      </c>
      <c r="AO853" s="136"/>
      <c r="AP853" s="143" t="s">
        <v>1299</v>
      </c>
      <c r="AQ853" s="143" t="str">
        <f>tbl_IO_List[[#This Row],[Chassis]]&amp;"S"&amp;tbl_IO_List[[#This Row],[Slot]]&amp;"-"&amp;tbl_IO_List[[#This Row],[Front Terminal Number]]</f>
        <v>C7S0-</v>
      </c>
      <c r="AR853" s="143"/>
      <c r="AS853" s="136" t="str">
        <f>tbl_IO_List[[#This Row],[Terminal Tagging]]&amp;"-"&amp;tbl_IO_List[[#This Row],[Point-Count]]</f>
        <v>-</v>
      </c>
      <c r="AT853" s="136" t="str">
        <f>tbl_IO_List[[#This Row],[Front Terminal Tagging]]&amp;"/"&amp;tbl_IO_List[[#This Row],[Terminal Tagging-Item]]</f>
        <v>C7S0-/-</v>
      </c>
      <c r="AU853" s="136" t="str">
        <f>tbl_IO_List[[#This Row],[Terminal Tagging-Item]]&amp;"/"&amp;tbl_IO_List[[#This Row],[Front Terminal Tagging]]</f>
        <v>-/C7S0-</v>
      </c>
    </row>
    <row r="854" spans="1:47" hidden="1">
      <c r="A854" s="136" t="s">
        <v>1307</v>
      </c>
      <c r="B854" s="136" t="s">
        <v>1307</v>
      </c>
      <c r="C854" s="136" t="str">
        <f>tbl_IO_List[[#This Row],[Column3]]</f>
        <v>C7S00,00</v>
      </c>
      <c r="D854" s="136" t="e">
        <f>tbl_IO_List[[#This Row],[Card]]</f>
        <v>#N/A</v>
      </c>
      <c r="E854" s="136"/>
      <c r="F854" s="136" t="str">
        <f>tbl_IO_List[[#This Row],[Column23]]&amp;"-" &amp;tbl_IO_List[[#This Row],[Column52]]</f>
        <v>C7S00-</v>
      </c>
      <c r="G854" s="136" t="str">
        <f>tbl_IO_List[[#This Row],[PLC_Tag]]</f>
        <v>BFY-60206_BUS_1</v>
      </c>
      <c r="H854" s="136"/>
      <c r="I854" s="136" t="str">
        <f>VLOOKUP(tbl_IO_List[[#This Row],[Destination]],tbl_Junction[],2,FALSE)</f>
        <v>MCC Room</v>
      </c>
      <c r="J854" s="136" t="s">
        <v>191</v>
      </c>
      <c r="K854" s="136" t="s">
        <v>14</v>
      </c>
      <c r="L854" s="136" t="s">
        <v>856</v>
      </c>
      <c r="M854" s="136">
        <f>VLOOKUP(tbl_IO_List[[#This Row],[Instruement Tag]],tbl_Instruement_List[],2,FALSE)</f>
        <v>0</v>
      </c>
      <c r="N854" s="136" t="s">
        <v>15</v>
      </c>
      <c r="O854" s="136" t="s">
        <v>192</v>
      </c>
      <c r="P854" s="136" t="s">
        <v>18</v>
      </c>
      <c r="Q854" s="136" t="str">
        <f>VLOOKUP(tbl_IO_List[[#This Row],[Instruement Tag]],tbl_Instruement_List[],6,FALSE)</f>
        <v xml:space="preserve"> Start / Stop Command for VSD FANS-31 (Cooling / Conveying Fan)</v>
      </c>
      <c r="R854" s="136"/>
      <c r="S85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1,DO=1,AI=0,AO=0,Bus=1</v>
      </c>
      <c r="T854" s="136" t="str">
        <f>tbl_IO_List[[#This Row],[Instruement Tag]]&amp;"_"&amp;tbl_IO_List[[#This Row],[I/O Type]]&amp;"_"&amp;tbl_IO_List[[#This Row],[IO-Point 
(Instruement)]]</f>
        <v>BFY-60206_BUS_1</v>
      </c>
      <c r="U854" s="136" t="s">
        <v>1299</v>
      </c>
      <c r="V854" s="136">
        <f>VLOOKUP(tbl_IO_List[[#This Row],[I/O Type]],tbl_Slot_Group[],2,FALSE)</f>
        <v>0</v>
      </c>
      <c r="W854" s="136">
        <v>1</v>
      </c>
      <c r="X854" s="136" t="str">
        <f>tbl_IO_List[[#This Row],[Chassis]]&amp;"S"&amp;TEXT(tbl_IO_List[[#This Row],[Slot]],"00")</f>
        <v>C7S00</v>
      </c>
      <c r="Y854" s="136" t="str">
        <f>tbl_IO_List[[#This Row],[Chassis]]&amp;"S"&amp;TEXT(tbl_IO_List[[#This Row],[Slot]],"00")&amp;tbl_IO_List[[#This Row],[I/O Type]]&amp;TEXT(tbl_IO_List[[#This Row],[Point]],"00")</f>
        <v>C7S00BUS00</v>
      </c>
      <c r="Z854" s="136" t="str">
        <f>tbl_IO_List[[#This Row],[Chassis]]&amp;"S"&amp;TEXT(tbl_IO_List[[#This Row],[Slot]],"00")&amp;","&amp;TEXT(tbl_IO_List[[#This Row],[Point]],"00")</f>
        <v>C7S00,00</v>
      </c>
      <c r="AA854" s="136" t="e">
        <f>VLOOKUP(tbl_IO_List[[#This Row],[Column23]],tbl_RackConfig[],5,FALSE) &amp;"-"&amp;tbl_IO_List[[#This Row],[Point]]</f>
        <v>#N/A</v>
      </c>
      <c r="AB854" s="136"/>
      <c r="AC854" s="136"/>
      <c r="AD854" s="136" t="str">
        <f>tbl_IO_List[[#This Row],[I/O Type]]</f>
        <v>BUS</v>
      </c>
      <c r="AE854" s="136" t="s">
        <v>1368</v>
      </c>
      <c r="AF854" s="136">
        <v>0</v>
      </c>
      <c r="AG854" s="136">
        <v>0</v>
      </c>
      <c r="AH854" s="136"/>
      <c r="AI854" s="136"/>
      <c r="AJ854" s="136">
        <v>1</v>
      </c>
      <c r="AK854" s="136">
        <v>1</v>
      </c>
      <c r="AL854" s="136">
        <v>0</v>
      </c>
      <c r="AM854" s="136">
        <v>0</v>
      </c>
      <c r="AN854" s="136">
        <v>1</v>
      </c>
      <c r="AO854" s="136"/>
      <c r="AP854" s="143" t="s">
        <v>1299</v>
      </c>
      <c r="AQ854" s="143" t="str">
        <f>tbl_IO_List[[#This Row],[Chassis]]&amp;"S"&amp;tbl_IO_List[[#This Row],[Slot]]&amp;"-"&amp;tbl_IO_List[[#This Row],[Front Terminal Number]]</f>
        <v>C7S0-</v>
      </c>
      <c r="AR854" s="143"/>
      <c r="AS854" s="136" t="str">
        <f>tbl_IO_List[[#This Row],[Terminal Tagging]]&amp;"-"&amp;tbl_IO_List[[#This Row],[Point-Count]]</f>
        <v>-</v>
      </c>
      <c r="AT854" s="136" t="str">
        <f>tbl_IO_List[[#This Row],[Front Terminal Tagging]]&amp;"/"&amp;tbl_IO_List[[#This Row],[Terminal Tagging-Item]]</f>
        <v>C7S0-/-</v>
      </c>
      <c r="AU854" s="136" t="str">
        <f>tbl_IO_List[[#This Row],[Terminal Tagging-Item]]&amp;"/"&amp;tbl_IO_List[[#This Row],[Front Terminal Tagging]]</f>
        <v>-/C7S0-</v>
      </c>
    </row>
    <row r="855" spans="1:47" hidden="1">
      <c r="A855" s="136" t="s">
        <v>1307</v>
      </c>
      <c r="B855" s="136" t="s">
        <v>1307</v>
      </c>
      <c r="C855" s="136" t="str">
        <f>tbl_IO_List[[#This Row],[Column3]]</f>
        <v>C7S00,00</v>
      </c>
      <c r="D855" s="136" t="e">
        <f>tbl_IO_List[[#This Row],[Card]]</f>
        <v>#N/A</v>
      </c>
      <c r="E855" s="136"/>
      <c r="F855" s="136" t="str">
        <f>tbl_IO_List[[#This Row],[Column23]]&amp;"-" &amp;tbl_IO_List[[#This Row],[Column52]]</f>
        <v>C7S00-</v>
      </c>
      <c r="G855" s="136" t="str">
        <f>tbl_IO_List[[#This Row],[PLC_Tag]]</f>
        <v>BFY-60210_BUS_1</v>
      </c>
      <c r="H855" s="136"/>
      <c r="I855" s="136" t="str">
        <f>VLOOKUP(tbl_IO_List[[#This Row],[Destination]],tbl_Junction[],2,FALSE)</f>
        <v>MCC Room</v>
      </c>
      <c r="J855" s="136" t="s">
        <v>221</v>
      </c>
      <c r="K855" s="136" t="s">
        <v>14</v>
      </c>
      <c r="L855" s="136" t="s">
        <v>848</v>
      </c>
      <c r="M855" s="136">
        <f>VLOOKUP(tbl_IO_List[[#This Row],[Instruement Tag]],tbl_Instruement_List[],2,FALSE)</f>
        <v>0</v>
      </c>
      <c r="N855" s="136" t="s">
        <v>47</v>
      </c>
      <c r="O855" s="136" t="s">
        <v>50</v>
      </c>
      <c r="P855" s="136" t="s">
        <v>18</v>
      </c>
      <c r="Q855" s="136" t="str">
        <f>VLOOKUP(tbl_IO_List[[#This Row],[Instruement Tag]],tbl_Instruement_List[],6,FALSE)</f>
        <v xml:space="preserve"> Start / Stop Command for VSD FANS-21 (Main Supply Air Fan)</v>
      </c>
      <c r="R855" s="136"/>
      <c r="S85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1,DO=1,AI=0,AO=0,Bus=1</v>
      </c>
      <c r="T855" s="136" t="str">
        <f>tbl_IO_List[[#This Row],[Instruement Tag]]&amp;"_"&amp;tbl_IO_List[[#This Row],[I/O Type]]&amp;"_"&amp;tbl_IO_List[[#This Row],[IO-Point 
(Instruement)]]</f>
        <v>BFY-60210_BUS_1</v>
      </c>
      <c r="U855" s="136" t="s">
        <v>1299</v>
      </c>
      <c r="V855" s="136">
        <f>VLOOKUP(tbl_IO_List[[#This Row],[I/O Type]],tbl_Slot_Group[],2,FALSE)</f>
        <v>0</v>
      </c>
      <c r="W855" s="136">
        <v>1</v>
      </c>
      <c r="X855" s="136" t="str">
        <f>tbl_IO_List[[#This Row],[Chassis]]&amp;"S"&amp;TEXT(tbl_IO_List[[#This Row],[Slot]],"00")</f>
        <v>C7S00</v>
      </c>
      <c r="Y855" s="136" t="str">
        <f>tbl_IO_List[[#This Row],[Chassis]]&amp;"S"&amp;TEXT(tbl_IO_List[[#This Row],[Slot]],"00")&amp;tbl_IO_List[[#This Row],[I/O Type]]&amp;TEXT(tbl_IO_List[[#This Row],[Point]],"00")</f>
        <v>C7S00BUS00</v>
      </c>
      <c r="Z855" s="136" t="str">
        <f>tbl_IO_List[[#This Row],[Chassis]]&amp;"S"&amp;TEXT(tbl_IO_List[[#This Row],[Slot]],"00")&amp;","&amp;TEXT(tbl_IO_List[[#This Row],[Point]],"00")</f>
        <v>C7S00,00</v>
      </c>
      <c r="AA855" s="136" t="e">
        <f>VLOOKUP(tbl_IO_List[[#This Row],[Column23]],tbl_RackConfig[],5,FALSE) &amp;"-"&amp;tbl_IO_List[[#This Row],[Point]]</f>
        <v>#N/A</v>
      </c>
      <c r="AB855" s="136"/>
      <c r="AC855" s="136"/>
      <c r="AD855" s="136" t="str">
        <f>tbl_IO_List[[#This Row],[I/O Type]]</f>
        <v>BUS</v>
      </c>
      <c r="AE855" s="136" t="s">
        <v>1368</v>
      </c>
      <c r="AF855" s="136">
        <v>0</v>
      </c>
      <c r="AG855" s="136">
        <v>0</v>
      </c>
      <c r="AH855" s="136"/>
      <c r="AI855" s="136"/>
      <c r="AJ855" s="136">
        <v>1</v>
      </c>
      <c r="AK855" s="136">
        <v>1</v>
      </c>
      <c r="AL855" s="136">
        <v>0</v>
      </c>
      <c r="AM855" s="136">
        <v>0</v>
      </c>
      <c r="AN855" s="136">
        <v>1</v>
      </c>
      <c r="AO855" s="136"/>
      <c r="AP855" s="143" t="s">
        <v>1299</v>
      </c>
      <c r="AQ855" s="143" t="str">
        <f>tbl_IO_List[[#This Row],[Chassis]]&amp;"S"&amp;tbl_IO_List[[#This Row],[Slot]]&amp;"-"&amp;tbl_IO_List[[#This Row],[Front Terminal Number]]</f>
        <v>C7S0-</v>
      </c>
      <c r="AR855" s="143"/>
      <c r="AS855" s="136" t="str">
        <f>tbl_IO_List[[#This Row],[Terminal Tagging]]&amp;"-"&amp;tbl_IO_List[[#This Row],[Point-Count]]</f>
        <v>-</v>
      </c>
      <c r="AT855" s="136" t="str">
        <f>tbl_IO_List[[#This Row],[Front Terminal Tagging]]&amp;"/"&amp;tbl_IO_List[[#This Row],[Terminal Tagging-Item]]</f>
        <v>C7S0-/-</v>
      </c>
      <c r="AU855" s="136" t="str">
        <f>tbl_IO_List[[#This Row],[Terminal Tagging-Item]]&amp;"/"&amp;tbl_IO_List[[#This Row],[Front Terminal Tagging]]</f>
        <v>-/C7S0-</v>
      </c>
    </row>
    <row r="856" spans="1:47" hidden="1">
      <c r="A856" s="136" t="s">
        <v>1307</v>
      </c>
      <c r="B856" s="136" t="s">
        <v>1307</v>
      </c>
      <c r="C856" s="136" t="str">
        <f>tbl_IO_List[[#This Row],[Column3]]</f>
        <v>C7S00,00</v>
      </c>
      <c r="D856" s="136" t="e">
        <f>tbl_IO_List[[#This Row],[Card]]</f>
        <v>#N/A</v>
      </c>
      <c r="E856" s="136"/>
      <c r="F856" s="136" t="str">
        <f>tbl_IO_List[[#This Row],[Column23]]&amp;"-" &amp;tbl_IO_List[[#This Row],[Column52]]</f>
        <v>C7S00-</v>
      </c>
      <c r="G856" s="136" t="str">
        <f>tbl_IO_List[[#This Row],[PLC_Tag]]</f>
        <v>BFY-60211_BUS_1</v>
      </c>
      <c r="H856" s="136"/>
      <c r="I856" s="136" t="str">
        <f>VLOOKUP(tbl_IO_List[[#This Row],[Destination]],tbl_Junction[],2,FALSE)</f>
        <v>MCC Room</v>
      </c>
      <c r="J856" s="136" t="s">
        <v>221</v>
      </c>
      <c r="K856" s="136" t="s">
        <v>14</v>
      </c>
      <c r="L856" s="136" t="s">
        <v>850</v>
      </c>
      <c r="M856" s="136">
        <f>VLOOKUP(tbl_IO_List[[#This Row],[Instruement Tag]],tbl_Instruement_List[],2,FALSE)</f>
        <v>0</v>
      </c>
      <c r="N856" s="136" t="s">
        <v>47</v>
      </c>
      <c r="O856" s="136" t="s">
        <v>50</v>
      </c>
      <c r="P856" s="136" t="s">
        <v>18</v>
      </c>
      <c r="Q856" s="136" t="str">
        <f>VLOOKUP(tbl_IO_List[[#This Row],[Instruement Tag]],tbl_Instruement_List[],6,FALSE)</f>
        <v xml:space="preserve"> Start / Stop Command for VSD FANC-21 (Combustion Fan)</v>
      </c>
      <c r="R856" s="136"/>
      <c r="S85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1,DO=1,AI=0,AO=0,Bus=1</v>
      </c>
      <c r="T856" s="136" t="str">
        <f>tbl_IO_List[[#This Row],[Instruement Tag]]&amp;"_"&amp;tbl_IO_List[[#This Row],[I/O Type]]&amp;"_"&amp;tbl_IO_List[[#This Row],[IO-Point 
(Instruement)]]</f>
        <v>BFY-60211_BUS_1</v>
      </c>
      <c r="U856" s="136" t="s">
        <v>1299</v>
      </c>
      <c r="V856" s="136">
        <f>VLOOKUP(tbl_IO_List[[#This Row],[I/O Type]],tbl_Slot_Group[],2,FALSE)</f>
        <v>0</v>
      </c>
      <c r="W856" s="136">
        <v>1</v>
      </c>
      <c r="X856" s="136" t="str">
        <f>tbl_IO_List[[#This Row],[Chassis]]&amp;"S"&amp;TEXT(tbl_IO_List[[#This Row],[Slot]],"00")</f>
        <v>C7S00</v>
      </c>
      <c r="Y856" s="136" t="str">
        <f>tbl_IO_List[[#This Row],[Chassis]]&amp;"S"&amp;TEXT(tbl_IO_List[[#This Row],[Slot]],"00")&amp;tbl_IO_List[[#This Row],[I/O Type]]&amp;TEXT(tbl_IO_List[[#This Row],[Point]],"00")</f>
        <v>C7S00BUS00</v>
      </c>
      <c r="Z856" s="136" t="str">
        <f>tbl_IO_List[[#This Row],[Chassis]]&amp;"S"&amp;TEXT(tbl_IO_List[[#This Row],[Slot]],"00")&amp;","&amp;TEXT(tbl_IO_List[[#This Row],[Point]],"00")</f>
        <v>C7S00,00</v>
      </c>
      <c r="AA856" s="136" t="e">
        <f>VLOOKUP(tbl_IO_List[[#This Row],[Column23]],tbl_RackConfig[],5,FALSE) &amp;"-"&amp;tbl_IO_List[[#This Row],[Point]]</f>
        <v>#N/A</v>
      </c>
      <c r="AB856" s="136"/>
      <c r="AC856" s="136"/>
      <c r="AD856" s="136" t="str">
        <f>tbl_IO_List[[#This Row],[I/O Type]]</f>
        <v>BUS</v>
      </c>
      <c r="AE856" s="136" t="s">
        <v>1368</v>
      </c>
      <c r="AF856" s="136">
        <v>0</v>
      </c>
      <c r="AG856" s="136">
        <v>0</v>
      </c>
      <c r="AH856" s="136"/>
      <c r="AI856" s="136"/>
      <c r="AJ856" s="136">
        <v>1</v>
      </c>
      <c r="AK856" s="136">
        <v>1</v>
      </c>
      <c r="AL856" s="136">
        <v>0</v>
      </c>
      <c r="AM856" s="136">
        <v>0</v>
      </c>
      <c r="AN856" s="136">
        <v>1</v>
      </c>
      <c r="AO856" s="136"/>
      <c r="AP856" s="143" t="s">
        <v>1299</v>
      </c>
      <c r="AQ856" s="143" t="str">
        <f>tbl_IO_List[[#This Row],[Chassis]]&amp;"S"&amp;tbl_IO_List[[#This Row],[Slot]]&amp;"-"&amp;tbl_IO_List[[#This Row],[Front Terminal Number]]</f>
        <v>C7S0-</v>
      </c>
      <c r="AR856" s="143"/>
      <c r="AS856" s="136" t="str">
        <f>tbl_IO_List[[#This Row],[Terminal Tagging]]&amp;"-"&amp;tbl_IO_List[[#This Row],[Point-Count]]</f>
        <v>-</v>
      </c>
      <c r="AT856" s="136" t="str">
        <f>tbl_IO_List[[#This Row],[Front Terminal Tagging]]&amp;"/"&amp;tbl_IO_List[[#This Row],[Terminal Tagging-Item]]</f>
        <v>C7S0-/-</v>
      </c>
      <c r="AU856" s="136" t="str">
        <f>tbl_IO_List[[#This Row],[Terminal Tagging-Item]]&amp;"/"&amp;tbl_IO_List[[#This Row],[Front Terminal Tagging]]</f>
        <v>-/C7S0-</v>
      </c>
    </row>
    <row r="857" spans="1:47" hidden="1">
      <c r="A857" s="136" t="s">
        <v>1307</v>
      </c>
      <c r="B857" s="136" t="s">
        <v>1307</v>
      </c>
      <c r="C857" s="136" t="str">
        <f>tbl_IO_List[[#This Row],[Column3]]</f>
        <v>C7S00,00</v>
      </c>
      <c r="D857" s="136" t="e">
        <f>tbl_IO_List[[#This Row],[Card]]</f>
        <v>#N/A</v>
      </c>
      <c r="E857" s="136"/>
      <c r="F857" s="136" t="str">
        <f>tbl_IO_List[[#This Row],[Column23]]&amp;"-" &amp;tbl_IO_List[[#This Row],[Column52]]</f>
        <v>C7S00-</v>
      </c>
      <c r="G857" s="136" t="str">
        <f>tbl_IO_List[[#This Row],[PLC_Tag]]</f>
        <v>BFY-60220_BUS_1</v>
      </c>
      <c r="H857" s="136"/>
      <c r="I857" s="136" t="str">
        <f>VLOOKUP(tbl_IO_List[[#This Row],[Destination]],tbl_Junction[],2,FALSE)</f>
        <v>MCC Room</v>
      </c>
      <c r="J857" s="136" t="s">
        <v>270</v>
      </c>
      <c r="K857" s="136" t="s">
        <v>14</v>
      </c>
      <c r="L857" s="136" t="s">
        <v>854</v>
      </c>
      <c r="M857" s="136">
        <f>VLOOKUP(tbl_IO_List[[#This Row],[Instruement Tag]],tbl_Instruement_List[],2,FALSE)</f>
        <v>0</v>
      </c>
      <c r="N857" s="136" t="s">
        <v>95</v>
      </c>
      <c r="O857" s="136" t="s">
        <v>16</v>
      </c>
      <c r="P857" s="136" t="s">
        <v>18</v>
      </c>
      <c r="Q857" s="136" t="str">
        <f>VLOOKUP(tbl_IO_List[[#This Row],[Instruement Tag]],tbl_Instruement_List[],6,FALSE)</f>
        <v xml:space="preserve"> Start / Stop Command for VSD FANS-22 (Cooling Fan)</v>
      </c>
      <c r="R857" s="136"/>
      <c r="S85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1,DO=1,AI=0,AO=0,Bus=1</v>
      </c>
      <c r="T857" s="136" t="str">
        <f>tbl_IO_List[[#This Row],[Instruement Tag]]&amp;"_"&amp;tbl_IO_List[[#This Row],[I/O Type]]&amp;"_"&amp;tbl_IO_List[[#This Row],[IO-Point 
(Instruement)]]</f>
        <v>BFY-60220_BUS_1</v>
      </c>
      <c r="U857" s="136" t="s">
        <v>1299</v>
      </c>
      <c r="V857" s="136">
        <f>VLOOKUP(tbl_IO_List[[#This Row],[I/O Type]],tbl_Slot_Group[],2,FALSE)</f>
        <v>0</v>
      </c>
      <c r="W857" s="136">
        <v>1</v>
      </c>
      <c r="X857" s="136" t="str">
        <f>tbl_IO_List[[#This Row],[Chassis]]&amp;"S"&amp;TEXT(tbl_IO_List[[#This Row],[Slot]],"00")</f>
        <v>C7S00</v>
      </c>
      <c r="Y857" s="136" t="str">
        <f>tbl_IO_List[[#This Row],[Chassis]]&amp;"S"&amp;TEXT(tbl_IO_List[[#This Row],[Slot]],"00")&amp;tbl_IO_List[[#This Row],[I/O Type]]&amp;TEXT(tbl_IO_List[[#This Row],[Point]],"00")</f>
        <v>C7S00BUS00</v>
      </c>
      <c r="Z857" s="136" t="str">
        <f>tbl_IO_List[[#This Row],[Chassis]]&amp;"S"&amp;TEXT(tbl_IO_List[[#This Row],[Slot]],"00")&amp;","&amp;TEXT(tbl_IO_List[[#This Row],[Point]],"00")</f>
        <v>C7S00,00</v>
      </c>
      <c r="AA857" s="136" t="e">
        <f>VLOOKUP(tbl_IO_List[[#This Row],[Column23]],tbl_RackConfig[],5,FALSE) &amp;"-"&amp;tbl_IO_List[[#This Row],[Point]]</f>
        <v>#N/A</v>
      </c>
      <c r="AB857" s="136"/>
      <c r="AC857" s="136"/>
      <c r="AD857" s="136" t="str">
        <f>tbl_IO_List[[#This Row],[I/O Type]]</f>
        <v>BUS</v>
      </c>
      <c r="AE857" s="136" t="s">
        <v>1368</v>
      </c>
      <c r="AF857" s="136">
        <v>0</v>
      </c>
      <c r="AG857" s="136">
        <v>0</v>
      </c>
      <c r="AH857" s="136"/>
      <c r="AI857" s="136"/>
      <c r="AJ857" s="136">
        <v>1</v>
      </c>
      <c r="AK857" s="136">
        <v>1</v>
      </c>
      <c r="AL857" s="136">
        <v>0</v>
      </c>
      <c r="AM857" s="136">
        <v>0</v>
      </c>
      <c r="AN857" s="136">
        <v>1</v>
      </c>
      <c r="AO857" s="136"/>
      <c r="AP857" s="143" t="s">
        <v>1299</v>
      </c>
      <c r="AQ857" s="143" t="str">
        <f>tbl_IO_List[[#This Row],[Chassis]]&amp;"S"&amp;tbl_IO_List[[#This Row],[Slot]]&amp;"-"&amp;tbl_IO_List[[#This Row],[Front Terminal Number]]</f>
        <v>C7S0-</v>
      </c>
      <c r="AR857" s="143"/>
      <c r="AS857" s="136" t="str">
        <f>tbl_IO_List[[#This Row],[Terminal Tagging]]&amp;"-"&amp;tbl_IO_List[[#This Row],[Point-Count]]</f>
        <v>-</v>
      </c>
      <c r="AT857" s="136" t="str">
        <f>tbl_IO_List[[#This Row],[Front Terminal Tagging]]&amp;"/"&amp;tbl_IO_List[[#This Row],[Terminal Tagging-Item]]</f>
        <v>C7S0-/-</v>
      </c>
      <c r="AU857" s="136" t="str">
        <f>tbl_IO_List[[#This Row],[Terminal Tagging-Item]]&amp;"/"&amp;tbl_IO_List[[#This Row],[Front Terminal Tagging]]</f>
        <v>-/C7S0-</v>
      </c>
    </row>
    <row r="858" spans="1:47" hidden="1">
      <c r="A858" s="136" t="s">
        <v>1307</v>
      </c>
      <c r="B858" s="136" t="s">
        <v>1307</v>
      </c>
      <c r="C858" s="136" t="str">
        <f>tbl_IO_List[[#This Row],[Column3]]</f>
        <v>C7S00,00</v>
      </c>
      <c r="D858" s="136" t="e">
        <f>tbl_IO_List[[#This Row],[Card]]</f>
        <v>#N/A</v>
      </c>
      <c r="E858" s="136"/>
      <c r="F858" s="136" t="str">
        <f>tbl_IO_List[[#This Row],[Column23]]&amp;"-" &amp;tbl_IO_List[[#This Row],[Column52]]</f>
        <v>C7S00-</v>
      </c>
      <c r="G858" s="136" t="str">
        <f>tbl_IO_List[[#This Row],[PLC_Tag]]</f>
        <v>BFY-60240_BUS_1</v>
      </c>
      <c r="H858" s="136"/>
      <c r="I858" s="136" t="str">
        <f>VLOOKUP(tbl_IO_List[[#This Row],[Destination]],tbl_Junction[],2,FALSE)</f>
        <v>MCC Room</v>
      </c>
      <c r="J858" s="136" t="s">
        <v>221</v>
      </c>
      <c r="K858" s="136" t="s">
        <v>14</v>
      </c>
      <c r="L858" s="136" t="s">
        <v>852</v>
      </c>
      <c r="M858" s="136">
        <f>VLOOKUP(tbl_IO_List[[#This Row],[Instruement Tag]],tbl_Instruement_List[],2,FALSE)</f>
        <v>0</v>
      </c>
      <c r="N858" s="136" t="s">
        <v>47</v>
      </c>
      <c r="O858" s="136" t="s">
        <v>21</v>
      </c>
      <c r="P858" s="136" t="s">
        <v>18</v>
      </c>
      <c r="Q858" s="136" t="str">
        <f>VLOOKUP(tbl_IO_List[[#This Row],[Instruement Tag]],tbl_Instruement_List[],6,FALSE)</f>
        <v xml:space="preserve"> Start / Stop Command for VSD FANE-21 (Exhaust Fan)</v>
      </c>
      <c r="R858" s="136"/>
      <c r="S85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1,DO=1,AI=0,AO=0,Bus=1</v>
      </c>
      <c r="T858" s="136" t="str">
        <f>tbl_IO_List[[#This Row],[Instruement Tag]]&amp;"_"&amp;tbl_IO_List[[#This Row],[I/O Type]]&amp;"_"&amp;tbl_IO_List[[#This Row],[IO-Point 
(Instruement)]]</f>
        <v>BFY-60240_BUS_1</v>
      </c>
      <c r="U858" s="136" t="s">
        <v>1299</v>
      </c>
      <c r="V858" s="136">
        <f>VLOOKUP(tbl_IO_List[[#This Row],[I/O Type]],tbl_Slot_Group[],2,FALSE)</f>
        <v>0</v>
      </c>
      <c r="W858" s="136">
        <v>1</v>
      </c>
      <c r="X858" s="136" t="str">
        <f>tbl_IO_List[[#This Row],[Chassis]]&amp;"S"&amp;TEXT(tbl_IO_List[[#This Row],[Slot]],"00")</f>
        <v>C7S00</v>
      </c>
      <c r="Y858" s="136" t="str">
        <f>tbl_IO_List[[#This Row],[Chassis]]&amp;"S"&amp;TEXT(tbl_IO_List[[#This Row],[Slot]],"00")&amp;tbl_IO_List[[#This Row],[I/O Type]]&amp;TEXT(tbl_IO_List[[#This Row],[Point]],"00")</f>
        <v>C7S00BUS00</v>
      </c>
      <c r="Z858" s="136" t="str">
        <f>tbl_IO_List[[#This Row],[Chassis]]&amp;"S"&amp;TEXT(tbl_IO_List[[#This Row],[Slot]],"00")&amp;","&amp;TEXT(tbl_IO_List[[#This Row],[Point]],"00")</f>
        <v>C7S00,00</v>
      </c>
      <c r="AA858" s="136" t="e">
        <f>VLOOKUP(tbl_IO_List[[#This Row],[Column23]],tbl_RackConfig[],5,FALSE) &amp;"-"&amp;tbl_IO_List[[#This Row],[Point]]</f>
        <v>#N/A</v>
      </c>
      <c r="AB858" s="136"/>
      <c r="AC858" s="136"/>
      <c r="AD858" s="136" t="str">
        <f>tbl_IO_List[[#This Row],[I/O Type]]</f>
        <v>BUS</v>
      </c>
      <c r="AE858" s="136" t="s">
        <v>1368</v>
      </c>
      <c r="AF858" s="136">
        <v>0</v>
      </c>
      <c r="AG858" s="136">
        <v>0</v>
      </c>
      <c r="AH858" s="136"/>
      <c r="AI858" s="136"/>
      <c r="AJ858" s="136">
        <v>1</v>
      </c>
      <c r="AK858" s="136">
        <v>1</v>
      </c>
      <c r="AL858" s="136">
        <v>0</v>
      </c>
      <c r="AM858" s="136">
        <v>0</v>
      </c>
      <c r="AN858" s="136">
        <v>1</v>
      </c>
      <c r="AO858" s="136"/>
      <c r="AP858" s="143" t="s">
        <v>1299</v>
      </c>
      <c r="AQ858" s="143" t="str">
        <f>tbl_IO_List[[#This Row],[Chassis]]&amp;"S"&amp;tbl_IO_List[[#This Row],[Slot]]&amp;"-"&amp;tbl_IO_List[[#This Row],[Front Terminal Number]]</f>
        <v>C7S0-</v>
      </c>
      <c r="AR858" s="143"/>
      <c r="AS858" s="136" t="str">
        <f>tbl_IO_List[[#This Row],[Terminal Tagging]]&amp;"-"&amp;tbl_IO_List[[#This Row],[Point-Count]]</f>
        <v>-</v>
      </c>
      <c r="AT858" s="136" t="str">
        <f>tbl_IO_List[[#This Row],[Front Terminal Tagging]]&amp;"/"&amp;tbl_IO_List[[#This Row],[Terminal Tagging-Item]]</f>
        <v>C7S0-/-</v>
      </c>
      <c r="AU858" s="136" t="str">
        <f>tbl_IO_List[[#This Row],[Terminal Tagging-Item]]&amp;"/"&amp;tbl_IO_List[[#This Row],[Front Terminal Tagging]]</f>
        <v>-/C7S0-</v>
      </c>
    </row>
    <row r="859" spans="1:47" hidden="1">
      <c r="A859" s="136" t="s">
        <v>1307</v>
      </c>
      <c r="B859" s="136" t="s">
        <v>1307</v>
      </c>
      <c r="C859" s="136" t="str">
        <f>tbl_IO_List[[#This Row],[Column3]]</f>
        <v>C7S00,00</v>
      </c>
      <c r="D859" s="136" t="e">
        <f>tbl_IO_List[[#This Row],[Card]]</f>
        <v>#N/A</v>
      </c>
      <c r="E859" s="136"/>
      <c r="F859" s="136" t="str">
        <f>tbl_IO_List[[#This Row],[Column23]]&amp;"-" &amp;tbl_IO_List[[#This Row],[Column52]]</f>
        <v>C7S00-</v>
      </c>
      <c r="G859" s="136" t="str">
        <f>tbl_IO_List[[#This Row],[PLC_Tag]]</f>
        <v>BFY-61301_BUS_1</v>
      </c>
      <c r="H859" s="136"/>
      <c r="I859" s="136" t="str">
        <f>VLOOKUP(tbl_IO_List[[#This Row],[Destination]],tbl_Junction[],2,FALSE)</f>
        <v>MCC Room</v>
      </c>
      <c r="J859" s="136" t="s">
        <v>360</v>
      </c>
      <c r="K859" s="136" t="s">
        <v>66</v>
      </c>
      <c r="L859" s="136" t="s">
        <v>858</v>
      </c>
      <c r="M859" s="136">
        <f>VLOOKUP(tbl_IO_List[[#This Row],[Instruement Tag]],tbl_Instruement_List[],2,FALSE)</f>
        <v>0</v>
      </c>
      <c r="N859" s="136" t="s">
        <v>91</v>
      </c>
      <c r="O859" s="136" t="s">
        <v>78</v>
      </c>
      <c r="P859" s="136" t="s">
        <v>18</v>
      </c>
      <c r="Q859" s="136" t="str">
        <f>VLOOKUP(tbl_IO_List[[#This Row],[Instruement Tag]],tbl_Instruement_List[],6,FALSE)</f>
        <v xml:space="preserve"> Start / Stop Command for VSD BF-61301 (Packing silo vent fan )</v>
      </c>
      <c r="R859" s="136"/>
      <c r="S85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1,DO=1,AI=0,AO=0,Bus=1</v>
      </c>
      <c r="T859" s="136" t="str">
        <f>tbl_IO_List[[#This Row],[Instruement Tag]]&amp;"_"&amp;tbl_IO_List[[#This Row],[I/O Type]]&amp;"_"&amp;tbl_IO_List[[#This Row],[IO-Point 
(Instruement)]]</f>
        <v>BFY-61301_BUS_1</v>
      </c>
      <c r="U859" s="136" t="s">
        <v>1299</v>
      </c>
      <c r="V859" s="136">
        <f>VLOOKUP(tbl_IO_List[[#This Row],[I/O Type]],tbl_Slot_Group[],2,FALSE)</f>
        <v>0</v>
      </c>
      <c r="W859" s="136">
        <v>1</v>
      </c>
      <c r="X859" s="136" t="str">
        <f>tbl_IO_List[[#This Row],[Chassis]]&amp;"S"&amp;TEXT(tbl_IO_List[[#This Row],[Slot]],"00")</f>
        <v>C7S00</v>
      </c>
      <c r="Y859" s="136" t="str">
        <f>tbl_IO_List[[#This Row],[Chassis]]&amp;"S"&amp;TEXT(tbl_IO_List[[#This Row],[Slot]],"00")&amp;tbl_IO_List[[#This Row],[I/O Type]]&amp;TEXT(tbl_IO_List[[#This Row],[Point]],"00")</f>
        <v>C7S00BUS00</v>
      </c>
      <c r="Z859" s="136" t="str">
        <f>tbl_IO_List[[#This Row],[Chassis]]&amp;"S"&amp;TEXT(tbl_IO_List[[#This Row],[Slot]],"00")&amp;","&amp;TEXT(tbl_IO_List[[#This Row],[Point]],"00")</f>
        <v>C7S00,00</v>
      </c>
      <c r="AA859" s="136" t="e">
        <f>VLOOKUP(tbl_IO_List[[#This Row],[Column23]],tbl_RackConfig[],5,FALSE) &amp;"-"&amp;tbl_IO_List[[#This Row],[Point]]</f>
        <v>#N/A</v>
      </c>
      <c r="AB859" s="136"/>
      <c r="AC859" s="136"/>
      <c r="AD859" s="136" t="str">
        <f>tbl_IO_List[[#This Row],[I/O Type]]</f>
        <v>BUS</v>
      </c>
      <c r="AE859" s="136" t="s">
        <v>1368</v>
      </c>
      <c r="AF859" s="136">
        <v>0</v>
      </c>
      <c r="AG859" s="136">
        <v>0</v>
      </c>
      <c r="AH859" s="136"/>
      <c r="AI859" s="136"/>
      <c r="AJ859" s="136">
        <v>1</v>
      </c>
      <c r="AK859" s="136">
        <v>1</v>
      </c>
      <c r="AL859" s="136">
        <v>0</v>
      </c>
      <c r="AM859" s="136">
        <v>0</v>
      </c>
      <c r="AN859" s="136">
        <v>1</v>
      </c>
      <c r="AO859" s="136"/>
      <c r="AP859" s="143" t="s">
        <v>1299</v>
      </c>
      <c r="AQ859" s="143" t="str">
        <f>tbl_IO_List[[#This Row],[Chassis]]&amp;"S"&amp;tbl_IO_List[[#This Row],[Slot]]&amp;"-"&amp;tbl_IO_List[[#This Row],[Front Terminal Number]]</f>
        <v>C7S0-</v>
      </c>
      <c r="AR859" s="143"/>
      <c r="AS859" s="136" t="str">
        <f>tbl_IO_List[[#This Row],[Terminal Tagging]]&amp;"-"&amp;tbl_IO_List[[#This Row],[Point-Count]]</f>
        <v>-</v>
      </c>
      <c r="AT859" s="136" t="str">
        <f>tbl_IO_List[[#This Row],[Front Terminal Tagging]]&amp;"/"&amp;tbl_IO_List[[#This Row],[Terminal Tagging-Item]]</f>
        <v>C7S0-/-</v>
      </c>
      <c r="AU859" s="136" t="str">
        <f>tbl_IO_List[[#This Row],[Terminal Tagging-Item]]&amp;"/"&amp;tbl_IO_List[[#This Row],[Front Terminal Tagging]]</f>
        <v>-/C7S0-</v>
      </c>
    </row>
    <row r="860" spans="1:47" hidden="1">
      <c r="A860" s="136" t="s">
        <v>1307</v>
      </c>
      <c r="B860" s="136" t="s">
        <v>1307</v>
      </c>
      <c r="C860" s="136" t="str">
        <f>tbl_IO_List[[#This Row],[Column3]]</f>
        <v>C7S00,00</v>
      </c>
      <c r="D860" s="136" t="e">
        <f>tbl_IO_List[[#This Row],[Card]]</f>
        <v>#N/A</v>
      </c>
      <c r="E860" s="136"/>
      <c r="F860" s="136" t="str">
        <f>tbl_IO_List[[#This Row],[Column23]]&amp;"-" &amp;tbl_IO_List[[#This Row],[Column52]]</f>
        <v>C7S00-</v>
      </c>
      <c r="G860" s="136" t="str">
        <f>tbl_IO_List[[#This Row],[PLC_Tag]]</f>
        <v>BFY-61302_BUS_1</v>
      </c>
      <c r="H860" s="136"/>
      <c r="I860" s="136" t="str">
        <f>VLOOKUP(tbl_IO_List[[#This Row],[Destination]],tbl_Junction[],2,FALSE)</f>
        <v>MCC Room</v>
      </c>
      <c r="J860" s="136" t="s">
        <v>335</v>
      </c>
      <c r="K860" s="136" t="s">
        <v>66</v>
      </c>
      <c r="L860" s="136" t="s">
        <v>860</v>
      </c>
      <c r="M860" s="136">
        <f>VLOOKUP(tbl_IO_List[[#This Row],[Instruement Tag]],tbl_Instruement_List[],2,FALSE)</f>
        <v>0</v>
      </c>
      <c r="N860" s="136" t="s">
        <v>24</v>
      </c>
      <c r="O860" s="136" t="s">
        <v>70</v>
      </c>
      <c r="P860" s="136" t="s">
        <v>18</v>
      </c>
      <c r="Q860" s="136" t="str">
        <f>VLOOKUP(tbl_IO_List[[#This Row],[Instruement Tag]],tbl_Instruement_List[],6,FALSE)</f>
        <v xml:space="preserve"> Start / Stop Command for VSD BF-61302 (LEV Blower fan )</v>
      </c>
      <c r="R860" s="136"/>
      <c r="S86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1,DO=1,AI=0,AO=0,Bus=1</v>
      </c>
      <c r="T860" s="136" t="str">
        <f>tbl_IO_List[[#This Row],[Instruement Tag]]&amp;"_"&amp;tbl_IO_List[[#This Row],[I/O Type]]&amp;"_"&amp;tbl_IO_List[[#This Row],[IO-Point 
(Instruement)]]</f>
        <v>BFY-61302_BUS_1</v>
      </c>
      <c r="U860" s="136" t="s">
        <v>1299</v>
      </c>
      <c r="V860" s="136">
        <f>VLOOKUP(tbl_IO_List[[#This Row],[I/O Type]],tbl_Slot_Group[],2,FALSE)</f>
        <v>0</v>
      </c>
      <c r="W860" s="136">
        <v>1</v>
      </c>
      <c r="X860" s="136" t="str">
        <f>tbl_IO_List[[#This Row],[Chassis]]&amp;"S"&amp;TEXT(tbl_IO_List[[#This Row],[Slot]],"00")</f>
        <v>C7S00</v>
      </c>
      <c r="Y860" s="136" t="str">
        <f>tbl_IO_List[[#This Row],[Chassis]]&amp;"S"&amp;TEXT(tbl_IO_List[[#This Row],[Slot]],"00")&amp;tbl_IO_List[[#This Row],[I/O Type]]&amp;TEXT(tbl_IO_List[[#This Row],[Point]],"00")</f>
        <v>C7S00BUS00</v>
      </c>
      <c r="Z860" s="136" t="str">
        <f>tbl_IO_List[[#This Row],[Chassis]]&amp;"S"&amp;TEXT(tbl_IO_List[[#This Row],[Slot]],"00")&amp;","&amp;TEXT(tbl_IO_List[[#This Row],[Point]],"00")</f>
        <v>C7S00,00</v>
      </c>
      <c r="AA860" s="136" t="e">
        <f>VLOOKUP(tbl_IO_List[[#This Row],[Column23]],tbl_RackConfig[],5,FALSE) &amp;"-"&amp;tbl_IO_List[[#This Row],[Point]]</f>
        <v>#N/A</v>
      </c>
      <c r="AB860" s="136"/>
      <c r="AC860" s="136"/>
      <c r="AD860" s="136" t="str">
        <f>tbl_IO_List[[#This Row],[I/O Type]]</f>
        <v>BUS</v>
      </c>
      <c r="AE860" s="136" t="s">
        <v>1368</v>
      </c>
      <c r="AF860" s="136">
        <v>0</v>
      </c>
      <c r="AG860" s="136">
        <v>0</v>
      </c>
      <c r="AH860" s="136"/>
      <c r="AI860" s="136"/>
      <c r="AJ860" s="136">
        <v>1</v>
      </c>
      <c r="AK860" s="136">
        <v>1</v>
      </c>
      <c r="AL860" s="136">
        <v>0</v>
      </c>
      <c r="AM860" s="136">
        <v>0</v>
      </c>
      <c r="AN860" s="136">
        <v>1</v>
      </c>
      <c r="AO860" s="136"/>
      <c r="AP860" s="143" t="s">
        <v>1299</v>
      </c>
      <c r="AQ860" s="143" t="str">
        <f>tbl_IO_List[[#This Row],[Chassis]]&amp;"S"&amp;tbl_IO_List[[#This Row],[Slot]]&amp;"-"&amp;tbl_IO_List[[#This Row],[Front Terminal Number]]</f>
        <v>C7S0-</v>
      </c>
      <c r="AR860" s="143"/>
      <c r="AS860" s="136" t="str">
        <f>tbl_IO_List[[#This Row],[Terminal Tagging]]&amp;"-"&amp;tbl_IO_List[[#This Row],[Point-Count]]</f>
        <v>-</v>
      </c>
      <c r="AT860" s="136" t="str">
        <f>tbl_IO_List[[#This Row],[Front Terminal Tagging]]&amp;"/"&amp;tbl_IO_List[[#This Row],[Terminal Tagging-Item]]</f>
        <v>C7S0-/-</v>
      </c>
      <c r="AU860" s="136" t="str">
        <f>tbl_IO_List[[#This Row],[Terminal Tagging-Item]]&amp;"/"&amp;tbl_IO_List[[#This Row],[Front Terminal Tagging]]</f>
        <v>-/C7S0-</v>
      </c>
    </row>
    <row r="861" spans="1:47" hidden="1">
      <c r="A861" s="136" t="s">
        <v>1307</v>
      </c>
      <c r="B861" s="136" t="s">
        <v>1307</v>
      </c>
      <c r="C861" s="136" t="str">
        <f>tbl_IO_List[[#This Row],[Column3]]</f>
        <v>C7S00,00</v>
      </c>
      <c r="D861" s="136" t="e">
        <f>tbl_IO_List[[#This Row],[Card]]</f>
        <v>#N/A</v>
      </c>
      <c r="E861" s="136"/>
      <c r="F861" s="136" t="str">
        <f>tbl_IO_List[[#This Row],[Column23]]&amp;"-" &amp;tbl_IO_List[[#This Row],[Column52]]</f>
        <v>C7S00-</v>
      </c>
      <c r="G861" s="136" t="str">
        <f>tbl_IO_List[[#This Row],[PLC_Tag]]</f>
        <v>BFY-61303_BUS_1</v>
      </c>
      <c r="H861" s="136"/>
      <c r="I861" s="136" t="str">
        <f>VLOOKUP(tbl_IO_List[[#This Row],[Destination]],tbl_Junction[],2,FALSE)</f>
        <v>MCC Room</v>
      </c>
      <c r="J861" s="136" t="s">
        <v>360</v>
      </c>
      <c r="K861" s="136" t="s">
        <v>66</v>
      </c>
      <c r="L861" s="136" t="s">
        <v>862</v>
      </c>
      <c r="M861" s="136">
        <f>VLOOKUP(tbl_IO_List[[#This Row],[Instruement Tag]],tbl_Instruement_List[],2,FALSE)</f>
        <v>0</v>
      </c>
      <c r="N861" s="136" t="s">
        <v>93</v>
      </c>
      <c r="O861" s="136" t="s">
        <v>78</v>
      </c>
      <c r="P861" s="136" t="s">
        <v>18</v>
      </c>
      <c r="Q861" s="136" t="str">
        <f>VLOOKUP(tbl_IO_List[[#This Row],[Instruement Tag]],tbl_Instruement_List[],6,FALSE)</f>
        <v xml:space="preserve"> Start / Stop Command for VSD BF-61303 (Fugitive Dust Fan )</v>
      </c>
      <c r="R861" s="136"/>
      <c r="S86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1,DO=1,AI=0,AO=0,Bus=1</v>
      </c>
      <c r="T861" s="136" t="str">
        <f>tbl_IO_List[[#This Row],[Instruement Tag]]&amp;"_"&amp;tbl_IO_List[[#This Row],[I/O Type]]&amp;"_"&amp;tbl_IO_List[[#This Row],[IO-Point 
(Instruement)]]</f>
        <v>BFY-61303_BUS_1</v>
      </c>
      <c r="U861" s="136" t="s">
        <v>1299</v>
      </c>
      <c r="V861" s="136">
        <f>VLOOKUP(tbl_IO_List[[#This Row],[I/O Type]],tbl_Slot_Group[],2,FALSE)</f>
        <v>0</v>
      </c>
      <c r="W861" s="136">
        <v>1</v>
      </c>
      <c r="X861" s="136" t="str">
        <f>tbl_IO_List[[#This Row],[Chassis]]&amp;"S"&amp;TEXT(tbl_IO_List[[#This Row],[Slot]],"00")</f>
        <v>C7S00</v>
      </c>
      <c r="Y861" s="136" t="str">
        <f>tbl_IO_List[[#This Row],[Chassis]]&amp;"S"&amp;TEXT(tbl_IO_List[[#This Row],[Slot]],"00")&amp;tbl_IO_List[[#This Row],[I/O Type]]&amp;TEXT(tbl_IO_List[[#This Row],[Point]],"00")</f>
        <v>C7S00BUS00</v>
      </c>
      <c r="Z861" s="136" t="str">
        <f>tbl_IO_List[[#This Row],[Chassis]]&amp;"S"&amp;TEXT(tbl_IO_List[[#This Row],[Slot]],"00")&amp;","&amp;TEXT(tbl_IO_List[[#This Row],[Point]],"00")</f>
        <v>C7S00,00</v>
      </c>
      <c r="AA861" s="136" t="e">
        <f>VLOOKUP(tbl_IO_List[[#This Row],[Column23]],tbl_RackConfig[],5,FALSE) &amp;"-"&amp;tbl_IO_List[[#This Row],[Point]]</f>
        <v>#N/A</v>
      </c>
      <c r="AB861" s="136"/>
      <c r="AC861" s="136"/>
      <c r="AD861" s="136" t="str">
        <f>tbl_IO_List[[#This Row],[I/O Type]]</f>
        <v>BUS</v>
      </c>
      <c r="AE861" s="136" t="s">
        <v>1368</v>
      </c>
      <c r="AF861" s="136">
        <v>0</v>
      </c>
      <c r="AG861" s="136">
        <v>0</v>
      </c>
      <c r="AH861" s="136"/>
      <c r="AI861" s="136"/>
      <c r="AJ861" s="136">
        <v>1</v>
      </c>
      <c r="AK861" s="136">
        <v>1</v>
      </c>
      <c r="AL861" s="136">
        <v>0</v>
      </c>
      <c r="AM861" s="136">
        <v>0</v>
      </c>
      <c r="AN861" s="136">
        <v>1</v>
      </c>
      <c r="AO861" s="136"/>
      <c r="AP861" s="143" t="s">
        <v>1299</v>
      </c>
      <c r="AQ861" s="143" t="str">
        <f>tbl_IO_List[[#This Row],[Chassis]]&amp;"S"&amp;tbl_IO_List[[#This Row],[Slot]]&amp;"-"&amp;tbl_IO_List[[#This Row],[Front Terminal Number]]</f>
        <v>C7S0-</v>
      </c>
      <c r="AR861" s="143"/>
      <c r="AS861" s="136" t="str">
        <f>tbl_IO_List[[#This Row],[Terminal Tagging]]&amp;"-"&amp;tbl_IO_List[[#This Row],[Point-Count]]</f>
        <v>-</v>
      </c>
      <c r="AT861" s="136" t="str">
        <f>tbl_IO_List[[#This Row],[Front Terminal Tagging]]&amp;"/"&amp;tbl_IO_List[[#This Row],[Terminal Tagging-Item]]</f>
        <v>C7S0-/-</v>
      </c>
      <c r="AU861" s="136" t="str">
        <f>tbl_IO_List[[#This Row],[Terminal Tagging-Item]]&amp;"/"&amp;tbl_IO_List[[#This Row],[Front Terminal Tagging]]</f>
        <v>-/C7S0-</v>
      </c>
    </row>
    <row r="862" spans="1:47" hidden="1">
      <c r="A862" s="136" t="s">
        <v>1307</v>
      </c>
      <c r="B862" s="136" t="s">
        <v>1307</v>
      </c>
      <c r="C862" s="136" t="str">
        <f>tbl_IO_List[[#This Row],[Column3]]</f>
        <v>C7S00,00</v>
      </c>
      <c r="D862" s="136" t="e">
        <f>tbl_IO_List[[#This Row],[Card]]</f>
        <v>#N/A</v>
      </c>
      <c r="E862" s="136"/>
      <c r="F862" s="136" t="str">
        <f>tbl_IO_List[[#This Row],[Column23]]&amp;"-" &amp;tbl_IO_List[[#This Row],[Column52]]</f>
        <v>C7S00-</v>
      </c>
      <c r="G862" s="136" t="str">
        <f>tbl_IO_List[[#This Row],[PLC_Tag]]</f>
        <v>PCY-40201_BUS_1</v>
      </c>
      <c r="H862" s="136"/>
      <c r="I862" s="136" t="str">
        <f>VLOOKUP(tbl_IO_List[[#This Row],[Destination]],tbl_Junction[],2,FALSE)</f>
        <v>MCC Room</v>
      </c>
      <c r="J862" s="136" t="s">
        <v>114</v>
      </c>
      <c r="K862" s="136" t="s">
        <v>136</v>
      </c>
      <c r="L862" s="136" t="s">
        <v>879</v>
      </c>
      <c r="M862" s="136" t="str">
        <f>VLOOKUP(tbl_IO_List[[#This Row],[Instruement Tag]],tbl_Instruement_List[],2,FALSE)</f>
        <v>PUMP</v>
      </c>
      <c r="N862" s="136" t="s">
        <v>15</v>
      </c>
      <c r="O862" s="136" t="s">
        <v>121</v>
      </c>
      <c r="P862" s="136" t="s">
        <v>137</v>
      </c>
      <c r="Q862" s="136" t="str">
        <f>VLOOKUP(tbl_IO_List[[#This Row],[Instruement Tag]],tbl_Instruement_List[],6,FALSE)</f>
        <v xml:space="preserve"> Start / Stop Command for VSD PC-40201</v>
      </c>
      <c r="R862" s="136"/>
      <c r="S86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3,DO=1,AI=0,AO=0,Bus=1</v>
      </c>
      <c r="T862" s="136" t="str">
        <f>tbl_IO_List[[#This Row],[Instruement Tag]]&amp;"_"&amp;tbl_IO_List[[#This Row],[I/O Type]]&amp;"_"&amp;tbl_IO_List[[#This Row],[IO-Point 
(Instruement)]]</f>
        <v>PCY-40201_BUS_1</v>
      </c>
      <c r="U862" s="136" t="s">
        <v>1299</v>
      </c>
      <c r="V862" s="136">
        <f>VLOOKUP(tbl_IO_List[[#This Row],[I/O Type]],tbl_Slot_Group[],2,FALSE)</f>
        <v>0</v>
      </c>
      <c r="W862" s="136">
        <v>1</v>
      </c>
      <c r="X862" s="136" t="str">
        <f>tbl_IO_List[[#This Row],[Chassis]]&amp;"S"&amp;TEXT(tbl_IO_List[[#This Row],[Slot]],"00")</f>
        <v>C7S00</v>
      </c>
      <c r="Y862" s="136" t="str">
        <f>tbl_IO_List[[#This Row],[Chassis]]&amp;"S"&amp;TEXT(tbl_IO_List[[#This Row],[Slot]],"00")&amp;tbl_IO_List[[#This Row],[I/O Type]]&amp;TEXT(tbl_IO_List[[#This Row],[Point]],"00")</f>
        <v>C7S00BUS00</v>
      </c>
      <c r="Z862" s="136" t="str">
        <f>tbl_IO_List[[#This Row],[Chassis]]&amp;"S"&amp;TEXT(tbl_IO_List[[#This Row],[Slot]],"00")&amp;","&amp;TEXT(tbl_IO_List[[#This Row],[Point]],"00")</f>
        <v>C7S00,00</v>
      </c>
      <c r="AA862" s="136" t="e">
        <f>VLOOKUP(tbl_IO_List[[#This Row],[Column23]],tbl_RackConfig[],5,FALSE) &amp;"-"&amp;tbl_IO_List[[#This Row],[Point]]</f>
        <v>#N/A</v>
      </c>
      <c r="AB862" s="136"/>
      <c r="AC862" s="136"/>
      <c r="AD862" s="136" t="str">
        <f>tbl_IO_List[[#This Row],[I/O Type]]</f>
        <v>BUS</v>
      </c>
      <c r="AE862" s="136" t="s">
        <v>1368</v>
      </c>
      <c r="AF862" s="136">
        <v>0</v>
      </c>
      <c r="AG862" s="136">
        <v>0</v>
      </c>
      <c r="AH862" s="136"/>
      <c r="AI862" s="136"/>
      <c r="AJ862" s="136">
        <v>3</v>
      </c>
      <c r="AK862" s="136">
        <v>1</v>
      </c>
      <c r="AL862" s="136">
        <v>0</v>
      </c>
      <c r="AM862" s="136">
        <v>0</v>
      </c>
      <c r="AN862" s="136">
        <v>1</v>
      </c>
      <c r="AO862" s="136"/>
      <c r="AP862" s="143" t="s">
        <v>1299</v>
      </c>
      <c r="AQ862" s="143" t="str">
        <f>tbl_IO_List[[#This Row],[Chassis]]&amp;"S"&amp;tbl_IO_List[[#This Row],[Slot]]&amp;"-"&amp;tbl_IO_List[[#This Row],[Front Terminal Number]]</f>
        <v>C7S0-</v>
      </c>
      <c r="AR862" s="143"/>
      <c r="AS862" s="136" t="str">
        <f>tbl_IO_List[[#This Row],[Terminal Tagging]]&amp;"-"&amp;tbl_IO_List[[#This Row],[Point-Count]]</f>
        <v>-</v>
      </c>
      <c r="AT862" s="136" t="str">
        <f>tbl_IO_List[[#This Row],[Front Terminal Tagging]]&amp;"/"&amp;tbl_IO_List[[#This Row],[Terminal Tagging-Item]]</f>
        <v>C7S0-/-</v>
      </c>
      <c r="AU862" s="136" t="str">
        <f>tbl_IO_List[[#This Row],[Terminal Tagging-Item]]&amp;"/"&amp;tbl_IO_List[[#This Row],[Front Terminal Tagging]]</f>
        <v>-/C7S0-</v>
      </c>
    </row>
    <row r="863" spans="1:47" hidden="1">
      <c r="A863" s="136" t="s">
        <v>1307</v>
      </c>
      <c r="B863" s="136" t="s">
        <v>1307</v>
      </c>
      <c r="C863" s="136" t="str">
        <f>tbl_IO_List[[#This Row],[Column3]]</f>
        <v>C7S00,00</v>
      </c>
      <c r="D863" s="136" t="e">
        <f>tbl_IO_List[[#This Row],[Card]]</f>
        <v>#N/A</v>
      </c>
      <c r="E863" s="136"/>
      <c r="F863" s="136" t="str">
        <f>tbl_IO_List[[#This Row],[Column23]]&amp;"-" &amp;tbl_IO_List[[#This Row],[Column52]]</f>
        <v>C7S00-</v>
      </c>
      <c r="G863" s="136" t="str">
        <f>tbl_IO_List[[#This Row],[PLC_Tag]]</f>
        <v>PCY-40202_BUS_1</v>
      </c>
      <c r="H863" s="136"/>
      <c r="I863" s="136" t="str">
        <f>VLOOKUP(tbl_IO_List[[#This Row],[Destination]],tbl_Junction[],2,FALSE)</f>
        <v>MCC Room</v>
      </c>
      <c r="J863" s="136" t="s">
        <v>114</v>
      </c>
      <c r="K863" s="136" t="s">
        <v>136</v>
      </c>
      <c r="L863" s="136" t="s">
        <v>884</v>
      </c>
      <c r="M863" s="136" t="str">
        <f>VLOOKUP(tbl_IO_List[[#This Row],[Instruement Tag]],tbl_Instruement_List[],2,FALSE)</f>
        <v>PUMP</v>
      </c>
      <c r="N863" s="136" t="s">
        <v>15</v>
      </c>
      <c r="O863" s="136" t="s">
        <v>121</v>
      </c>
      <c r="P863" s="136" t="s">
        <v>137</v>
      </c>
      <c r="Q863" s="136" t="str">
        <f>VLOOKUP(tbl_IO_List[[#This Row],[Instruement Tag]],tbl_Instruement_List[],6,FALSE)</f>
        <v xml:space="preserve"> Start / Stop Command for VSD PC-40202</v>
      </c>
      <c r="R863" s="136"/>
      <c r="S86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3,DO=1,AI=0,AO=0,Bus=1</v>
      </c>
      <c r="T863" s="136" t="str">
        <f>tbl_IO_List[[#This Row],[Instruement Tag]]&amp;"_"&amp;tbl_IO_List[[#This Row],[I/O Type]]&amp;"_"&amp;tbl_IO_List[[#This Row],[IO-Point 
(Instruement)]]</f>
        <v>PCY-40202_BUS_1</v>
      </c>
      <c r="U863" s="136" t="s">
        <v>1299</v>
      </c>
      <c r="V863" s="136">
        <f>VLOOKUP(tbl_IO_List[[#This Row],[I/O Type]],tbl_Slot_Group[],2,FALSE)</f>
        <v>0</v>
      </c>
      <c r="W863" s="136">
        <v>1</v>
      </c>
      <c r="X863" s="136" t="str">
        <f>tbl_IO_List[[#This Row],[Chassis]]&amp;"S"&amp;TEXT(tbl_IO_List[[#This Row],[Slot]],"00")</f>
        <v>C7S00</v>
      </c>
      <c r="Y863" s="136" t="str">
        <f>tbl_IO_List[[#This Row],[Chassis]]&amp;"S"&amp;TEXT(tbl_IO_List[[#This Row],[Slot]],"00")&amp;tbl_IO_List[[#This Row],[I/O Type]]&amp;TEXT(tbl_IO_List[[#This Row],[Point]],"00")</f>
        <v>C7S00BUS00</v>
      </c>
      <c r="Z863" s="136" t="str">
        <f>tbl_IO_List[[#This Row],[Chassis]]&amp;"S"&amp;TEXT(tbl_IO_List[[#This Row],[Slot]],"00")&amp;","&amp;TEXT(tbl_IO_List[[#This Row],[Point]],"00")</f>
        <v>C7S00,00</v>
      </c>
      <c r="AA863" s="136" t="e">
        <f>VLOOKUP(tbl_IO_List[[#This Row],[Column23]],tbl_RackConfig[],5,FALSE) &amp;"-"&amp;tbl_IO_List[[#This Row],[Point]]</f>
        <v>#N/A</v>
      </c>
      <c r="AB863" s="136"/>
      <c r="AC863" s="136"/>
      <c r="AD863" s="136" t="str">
        <f>tbl_IO_List[[#This Row],[I/O Type]]</f>
        <v>BUS</v>
      </c>
      <c r="AE863" s="136" t="s">
        <v>1368</v>
      </c>
      <c r="AF863" s="136">
        <v>0</v>
      </c>
      <c r="AG863" s="136">
        <v>0</v>
      </c>
      <c r="AH863" s="136"/>
      <c r="AI863" s="136"/>
      <c r="AJ863" s="136">
        <v>3</v>
      </c>
      <c r="AK863" s="136">
        <v>1</v>
      </c>
      <c r="AL863" s="136">
        <v>0</v>
      </c>
      <c r="AM863" s="136">
        <v>0</v>
      </c>
      <c r="AN863" s="136">
        <v>1</v>
      </c>
      <c r="AO863" s="136"/>
      <c r="AP863" s="143" t="s">
        <v>1299</v>
      </c>
      <c r="AQ863" s="143" t="str">
        <f>tbl_IO_List[[#This Row],[Chassis]]&amp;"S"&amp;tbl_IO_List[[#This Row],[Slot]]&amp;"-"&amp;tbl_IO_List[[#This Row],[Front Terminal Number]]</f>
        <v>C7S0-</v>
      </c>
      <c r="AR863" s="143"/>
      <c r="AS863" s="136" t="str">
        <f>tbl_IO_List[[#This Row],[Terminal Tagging]]&amp;"-"&amp;tbl_IO_List[[#This Row],[Point-Count]]</f>
        <v>-</v>
      </c>
      <c r="AT863" s="136" t="str">
        <f>tbl_IO_List[[#This Row],[Front Terminal Tagging]]&amp;"/"&amp;tbl_IO_List[[#This Row],[Terminal Tagging-Item]]</f>
        <v>C7S0-/-</v>
      </c>
      <c r="AU863" s="136" t="str">
        <f>tbl_IO_List[[#This Row],[Terminal Tagging-Item]]&amp;"/"&amp;tbl_IO_List[[#This Row],[Front Terminal Tagging]]</f>
        <v>-/C7S0-</v>
      </c>
    </row>
    <row r="864" spans="1:47" hidden="1">
      <c r="A864" s="136" t="s">
        <v>1307</v>
      </c>
      <c r="B864" s="136" t="s">
        <v>1307</v>
      </c>
      <c r="C864" s="136" t="str">
        <f>tbl_IO_List[[#This Row],[Column3]]</f>
        <v>C7S00,00</v>
      </c>
      <c r="D864" s="136" t="e">
        <f>tbl_IO_List[[#This Row],[Card]]</f>
        <v>#N/A</v>
      </c>
      <c r="E864" s="136"/>
      <c r="F864" s="136" t="str">
        <f>tbl_IO_List[[#This Row],[Column23]]&amp;"-" &amp;tbl_IO_List[[#This Row],[Column52]]</f>
        <v>C7S00-</v>
      </c>
      <c r="G864" s="136" t="str">
        <f>tbl_IO_List[[#This Row],[PLC_Tag]]</f>
        <v>PCY-40203_BUS_1</v>
      </c>
      <c r="H864" s="136"/>
      <c r="I864" s="136" t="str">
        <f>VLOOKUP(tbl_IO_List[[#This Row],[Destination]],tbl_Junction[],2,FALSE)</f>
        <v>MCC Room</v>
      </c>
      <c r="J864" s="136" t="s">
        <v>114</v>
      </c>
      <c r="K864" s="136" t="s">
        <v>115</v>
      </c>
      <c r="L864" s="136" t="s">
        <v>134</v>
      </c>
      <c r="M864" s="136" t="str">
        <f>VLOOKUP(tbl_IO_List[[#This Row],[Instruement Tag]],tbl_Instruement_List[],2,FALSE)</f>
        <v>PUMP</v>
      </c>
      <c r="N864" s="136" t="s">
        <v>15</v>
      </c>
      <c r="O864" s="136" t="s">
        <v>116</v>
      </c>
      <c r="P864" s="136" t="s">
        <v>117</v>
      </c>
      <c r="Q864" s="136" t="str">
        <f>VLOOKUP(tbl_IO_List[[#This Row],[Instruement Tag]],tbl_Instruement_List[],6,FALSE)</f>
        <v xml:space="preserve"> Start / Stop Command for VSD PUCF-11 (Centrifugal Feed Pump)</v>
      </c>
      <c r="R864" s="136"/>
      <c r="S86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3,DO=1,AI=0,AO=0,Bus=1</v>
      </c>
      <c r="T864" s="136" t="str">
        <f>tbl_IO_List[[#This Row],[Instruement Tag]]&amp;"_"&amp;tbl_IO_List[[#This Row],[I/O Type]]&amp;"_"&amp;tbl_IO_List[[#This Row],[IO-Point 
(Instruement)]]</f>
        <v>PCY-40203_BUS_1</v>
      </c>
      <c r="U864" s="136" t="s">
        <v>1299</v>
      </c>
      <c r="V864" s="136">
        <f>VLOOKUP(tbl_IO_List[[#This Row],[I/O Type]],tbl_Slot_Group[],2,FALSE)</f>
        <v>0</v>
      </c>
      <c r="W864" s="136">
        <v>1</v>
      </c>
      <c r="X864" s="136" t="str">
        <f>tbl_IO_List[[#This Row],[Chassis]]&amp;"S"&amp;TEXT(tbl_IO_List[[#This Row],[Slot]],"00")</f>
        <v>C7S00</v>
      </c>
      <c r="Y864" s="136" t="str">
        <f>tbl_IO_List[[#This Row],[Chassis]]&amp;"S"&amp;TEXT(tbl_IO_List[[#This Row],[Slot]],"00")&amp;tbl_IO_List[[#This Row],[I/O Type]]&amp;TEXT(tbl_IO_List[[#This Row],[Point]],"00")</f>
        <v>C7S00BUS00</v>
      </c>
      <c r="Z864" s="136" t="str">
        <f>tbl_IO_List[[#This Row],[Chassis]]&amp;"S"&amp;TEXT(tbl_IO_List[[#This Row],[Slot]],"00")&amp;","&amp;TEXT(tbl_IO_List[[#This Row],[Point]],"00")</f>
        <v>C7S00,00</v>
      </c>
      <c r="AA864" s="136" t="e">
        <f>VLOOKUP(tbl_IO_List[[#This Row],[Column23]],tbl_RackConfig[],5,FALSE) &amp;"-"&amp;tbl_IO_List[[#This Row],[Point]]</f>
        <v>#N/A</v>
      </c>
      <c r="AB864" s="136"/>
      <c r="AC864" s="136"/>
      <c r="AD864" s="136" t="str">
        <f>tbl_IO_List[[#This Row],[I/O Type]]</f>
        <v>BUS</v>
      </c>
      <c r="AE864" s="136" t="s">
        <v>1368</v>
      </c>
      <c r="AF864" s="136">
        <v>0</v>
      </c>
      <c r="AG864" s="136">
        <v>0</v>
      </c>
      <c r="AH864" s="136"/>
      <c r="AI864" s="136"/>
      <c r="AJ864" s="136">
        <v>3</v>
      </c>
      <c r="AK864" s="136">
        <v>1</v>
      </c>
      <c r="AL864" s="136">
        <v>0</v>
      </c>
      <c r="AM864" s="136">
        <v>0</v>
      </c>
      <c r="AN864" s="136">
        <v>1</v>
      </c>
      <c r="AO864" s="136"/>
      <c r="AP864" s="143" t="s">
        <v>1299</v>
      </c>
      <c r="AQ864" s="143" t="str">
        <f>tbl_IO_List[[#This Row],[Chassis]]&amp;"S"&amp;tbl_IO_List[[#This Row],[Slot]]&amp;"-"&amp;tbl_IO_List[[#This Row],[Front Terminal Number]]</f>
        <v>C7S0-</v>
      </c>
      <c r="AR864" s="143"/>
      <c r="AS864" s="136" t="str">
        <f>tbl_IO_List[[#This Row],[Terminal Tagging]]&amp;"-"&amp;tbl_IO_List[[#This Row],[Point-Count]]</f>
        <v>-</v>
      </c>
      <c r="AT864" s="136" t="str">
        <f>tbl_IO_List[[#This Row],[Front Terminal Tagging]]&amp;"/"&amp;tbl_IO_List[[#This Row],[Terminal Tagging-Item]]</f>
        <v>C7S0-/-</v>
      </c>
      <c r="AU864" s="136" t="str">
        <f>tbl_IO_List[[#This Row],[Terminal Tagging-Item]]&amp;"/"&amp;tbl_IO_List[[#This Row],[Front Terminal Tagging]]</f>
        <v>-/C7S0-</v>
      </c>
    </row>
    <row r="865" spans="1:47" hidden="1">
      <c r="A865" s="136" t="s">
        <v>1307</v>
      </c>
      <c r="B865" s="136" t="s">
        <v>1307</v>
      </c>
      <c r="C865" s="136" t="str">
        <f>tbl_IO_List[[#This Row],[Column3]]</f>
        <v>C7S00,00</v>
      </c>
      <c r="D865" s="136" t="e">
        <f>tbl_IO_List[[#This Row],[Card]]</f>
        <v>#N/A</v>
      </c>
      <c r="E865" s="136"/>
      <c r="F865" s="136" t="str">
        <f>tbl_IO_List[[#This Row],[Column23]]&amp;"-" &amp;tbl_IO_List[[#This Row],[Column52]]</f>
        <v>C7S00-</v>
      </c>
      <c r="G865" s="136" t="str">
        <f>tbl_IO_List[[#This Row],[PLC_Tag]]</f>
        <v>PCY-60215_BUS_1</v>
      </c>
      <c r="H865" s="136"/>
      <c r="I865" s="136" t="str">
        <f>VLOOKUP(tbl_IO_List[[#This Row],[Destination]],tbl_Junction[],2,FALSE)</f>
        <v>MCC Room</v>
      </c>
      <c r="J865" s="136" t="s">
        <v>221</v>
      </c>
      <c r="K865" s="136" t="s">
        <v>14</v>
      </c>
      <c r="L865" s="136" t="s">
        <v>893</v>
      </c>
      <c r="M865" s="136" t="str">
        <f>VLOOKUP(tbl_IO_List[[#This Row],[Instruement Tag]],tbl_Instruement_List[],2,FALSE)</f>
        <v>PUMP</v>
      </c>
      <c r="N865" s="136" t="s">
        <v>47</v>
      </c>
      <c r="O865" s="136" t="s">
        <v>50</v>
      </c>
      <c r="P865" s="136" t="s">
        <v>18</v>
      </c>
      <c r="Q865" s="136" t="str">
        <f>VLOOKUP(tbl_IO_List[[#This Row],[Instruement Tag]],tbl_Instruement_List[],6,FALSE)</f>
        <v xml:space="preserve"> Start / Stop Command for VSD PUCF-21 (Heat Recovery Centrifugal Pump)</v>
      </c>
      <c r="R865" s="136"/>
      <c r="S86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3,DO=1,AI=0,AO=0,Bus=1</v>
      </c>
      <c r="T865" s="136" t="str">
        <f>tbl_IO_List[[#This Row],[Instruement Tag]]&amp;"_"&amp;tbl_IO_List[[#This Row],[I/O Type]]&amp;"_"&amp;tbl_IO_List[[#This Row],[IO-Point 
(Instruement)]]</f>
        <v>PCY-60215_BUS_1</v>
      </c>
      <c r="U865" s="136" t="s">
        <v>1299</v>
      </c>
      <c r="V865" s="136">
        <f>VLOOKUP(tbl_IO_List[[#This Row],[I/O Type]],tbl_Slot_Group[],2,FALSE)</f>
        <v>0</v>
      </c>
      <c r="W865" s="136">
        <v>1</v>
      </c>
      <c r="X865" s="136" t="str">
        <f>tbl_IO_List[[#This Row],[Chassis]]&amp;"S"&amp;TEXT(tbl_IO_List[[#This Row],[Slot]],"00")</f>
        <v>C7S00</v>
      </c>
      <c r="Y865" s="136" t="str">
        <f>tbl_IO_List[[#This Row],[Chassis]]&amp;"S"&amp;TEXT(tbl_IO_List[[#This Row],[Slot]],"00")&amp;tbl_IO_List[[#This Row],[I/O Type]]&amp;TEXT(tbl_IO_List[[#This Row],[Point]],"00")</f>
        <v>C7S00BUS00</v>
      </c>
      <c r="Z865" s="136" t="str">
        <f>tbl_IO_List[[#This Row],[Chassis]]&amp;"S"&amp;TEXT(tbl_IO_List[[#This Row],[Slot]],"00")&amp;","&amp;TEXT(tbl_IO_List[[#This Row],[Point]],"00")</f>
        <v>C7S00,00</v>
      </c>
      <c r="AA865" s="136" t="e">
        <f>VLOOKUP(tbl_IO_List[[#This Row],[Column23]],tbl_RackConfig[],5,FALSE) &amp;"-"&amp;tbl_IO_List[[#This Row],[Point]]</f>
        <v>#N/A</v>
      </c>
      <c r="AB865" s="136"/>
      <c r="AC865" s="136"/>
      <c r="AD865" s="136" t="str">
        <f>tbl_IO_List[[#This Row],[I/O Type]]</f>
        <v>BUS</v>
      </c>
      <c r="AE865" s="136" t="s">
        <v>1368</v>
      </c>
      <c r="AF865" s="136">
        <v>0</v>
      </c>
      <c r="AG865" s="136">
        <v>0</v>
      </c>
      <c r="AH865" s="136"/>
      <c r="AI865" s="136"/>
      <c r="AJ865" s="136">
        <v>3</v>
      </c>
      <c r="AK865" s="136">
        <v>1</v>
      </c>
      <c r="AL865" s="136">
        <v>0</v>
      </c>
      <c r="AM865" s="136">
        <v>0</v>
      </c>
      <c r="AN865" s="136">
        <v>1</v>
      </c>
      <c r="AO865" s="136"/>
      <c r="AP865" s="143" t="s">
        <v>1299</v>
      </c>
      <c r="AQ865" s="143" t="str">
        <f>tbl_IO_List[[#This Row],[Chassis]]&amp;"S"&amp;tbl_IO_List[[#This Row],[Slot]]&amp;"-"&amp;tbl_IO_List[[#This Row],[Front Terminal Number]]</f>
        <v>C7S0-</v>
      </c>
      <c r="AR865" s="143"/>
      <c r="AS865" s="136" t="str">
        <f>tbl_IO_List[[#This Row],[Terminal Tagging]]&amp;"-"&amp;tbl_IO_List[[#This Row],[Point-Count]]</f>
        <v>-</v>
      </c>
      <c r="AT865" s="136" t="str">
        <f>tbl_IO_List[[#This Row],[Front Terminal Tagging]]&amp;"/"&amp;tbl_IO_List[[#This Row],[Terminal Tagging-Item]]</f>
        <v>C7S0-/-</v>
      </c>
      <c r="AU865" s="136" t="str">
        <f>tbl_IO_List[[#This Row],[Terminal Tagging-Item]]&amp;"/"&amp;tbl_IO_List[[#This Row],[Front Terminal Tagging]]</f>
        <v>-/C7S0-</v>
      </c>
    </row>
    <row r="866" spans="1:47" hidden="1">
      <c r="A866" s="136" t="s">
        <v>1307</v>
      </c>
      <c r="B866" s="136" t="s">
        <v>1307</v>
      </c>
      <c r="C866" s="136" t="str">
        <f>tbl_IO_List[[#This Row],[Column3]]</f>
        <v>C7S00,00</v>
      </c>
      <c r="D866" s="136" t="e">
        <f>tbl_IO_List[[#This Row],[Card]]</f>
        <v>#N/A</v>
      </c>
      <c r="E866" s="136"/>
      <c r="F866" s="136" t="str">
        <f>tbl_IO_List[[#This Row],[Column23]]&amp;"-" &amp;tbl_IO_List[[#This Row],[Column52]]</f>
        <v>C7S00-</v>
      </c>
      <c r="G866" s="136" t="str">
        <f>tbl_IO_List[[#This Row],[PLC_Tag]]</f>
        <v>PCY-814201_BUS_1</v>
      </c>
      <c r="H866" s="136"/>
      <c r="I866" s="136" t="str">
        <f>VLOOKUP(tbl_IO_List[[#This Row],[Destination]],tbl_Junction[],2,FALSE)</f>
        <v>MCC Room</v>
      </c>
      <c r="J866" s="136" t="s">
        <v>382</v>
      </c>
      <c r="K866" s="136" t="s">
        <v>401</v>
      </c>
      <c r="L866" s="136" t="s">
        <v>1252</v>
      </c>
      <c r="M866" s="136" t="str">
        <f>VLOOKUP(tbl_IO_List[[#This Row],[Instruement Tag]],tbl_Instruement_List[],2,FALSE)</f>
        <v>PUMP</v>
      </c>
      <c r="N866" s="136" t="s">
        <v>24</v>
      </c>
      <c r="O866" s="136" t="s">
        <v>402</v>
      </c>
      <c r="P866" s="136" t="s">
        <v>18</v>
      </c>
      <c r="Q866" s="136" t="str">
        <f>VLOOKUP(tbl_IO_List[[#This Row],[Instruement Tag]],tbl_Instruement_List[],6,FALSE)</f>
        <v xml:space="preserve"> Start / Stop Command to VSD PC-81001</v>
      </c>
      <c r="R866" s="136"/>
      <c r="S86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3,DO=1,AI=0,AO=0,Bus=1</v>
      </c>
      <c r="T866" s="136" t="str">
        <f>tbl_IO_List[[#This Row],[Instruement Tag]]&amp;"_"&amp;tbl_IO_List[[#This Row],[I/O Type]]&amp;"_"&amp;tbl_IO_List[[#This Row],[IO-Point 
(Instruement)]]</f>
        <v>PCY-814201_BUS_1</v>
      </c>
      <c r="U866" s="136" t="s">
        <v>1299</v>
      </c>
      <c r="V866" s="136">
        <f>VLOOKUP(tbl_IO_List[[#This Row],[I/O Type]],tbl_Slot_Group[],2,FALSE)</f>
        <v>0</v>
      </c>
      <c r="W866" s="136">
        <v>1</v>
      </c>
      <c r="X866" s="136" t="str">
        <f>tbl_IO_List[[#This Row],[Chassis]]&amp;"S"&amp;TEXT(tbl_IO_List[[#This Row],[Slot]],"00")</f>
        <v>C7S00</v>
      </c>
      <c r="Y866" s="136" t="str">
        <f>tbl_IO_List[[#This Row],[Chassis]]&amp;"S"&amp;TEXT(tbl_IO_List[[#This Row],[Slot]],"00")&amp;tbl_IO_List[[#This Row],[I/O Type]]&amp;TEXT(tbl_IO_List[[#This Row],[Point]],"00")</f>
        <v>C7S00BUS00</v>
      </c>
      <c r="Z866" s="136" t="str">
        <f>tbl_IO_List[[#This Row],[Chassis]]&amp;"S"&amp;TEXT(tbl_IO_List[[#This Row],[Slot]],"00")&amp;","&amp;TEXT(tbl_IO_List[[#This Row],[Point]],"00")</f>
        <v>C7S00,00</v>
      </c>
      <c r="AA866" s="136" t="e">
        <f>VLOOKUP(tbl_IO_List[[#This Row],[Column23]],tbl_RackConfig[],5,FALSE) &amp;"-"&amp;tbl_IO_List[[#This Row],[Point]]</f>
        <v>#N/A</v>
      </c>
      <c r="AB866" s="136"/>
      <c r="AC866" s="136"/>
      <c r="AD866" s="136" t="str">
        <f>tbl_IO_List[[#This Row],[I/O Type]]</f>
        <v>BUS</v>
      </c>
      <c r="AE866" s="136" t="s">
        <v>1368</v>
      </c>
      <c r="AF866" s="136">
        <v>0</v>
      </c>
      <c r="AG866" s="136">
        <v>0</v>
      </c>
      <c r="AH866" s="136"/>
      <c r="AI866" s="136"/>
      <c r="AJ866" s="136">
        <v>3</v>
      </c>
      <c r="AK866" s="136">
        <v>1</v>
      </c>
      <c r="AL866" s="136">
        <v>0</v>
      </c>
      <c r="AM866" s="136">
        <v>0</v>
      </c>
      <c r="AN866" s="136">
        <v>1</v>
      </c>
      <c r="AO866" s="136"/>
      <c r="AP866" s="143" t="s">
        <v>1299</v>
      </c>
      <c r="AQ866" s="143" t="str">
        <f>tbl_IO_List[[#This Row],[Chassis]]&amp;"S"&amp;tbl_IO_List[[#This Row],[Slot]]&amp;"-"&amp;tbl_IO_List[[#This Row],[Front Terminal Number]]</f>
        <v>C7S0-</v>
      </c>
      <c r="AR866" s="143"/>
      <c r="AS866" s="136" t="str">
        <f>tbl_IO_List[[#This Row],[Terminal Tagging]]&amp;"-"&amp;tbl_IO_List[[#This Row],[Point-Count]]</f>
        <v>-</v>
      </c>
      <c r="AT866" s="136" t="str">
        <f>tbl_IO_List[[#This Row],[Front Terminal Tagging]]&amp;"/"&amp;tbl_IO_List[[#This Row],[Terminal Tagging-Item]]</f>
        <v>C7S0-/-</v>
      </c>
      <c r="AU866" s="136" t="str">
        <f>tbl_IO_List[[#This Row],[Terminal Tagging-Item]]&amp;"/"&amp;tbl_IO_List[[#This Row],[Front Terminal Tagging]]</f>
        <v>-/C7S0-</v>
      </c>
    </row>
    <row r="867" spans="1:47" hidden="1">
      <c r="A867" s="136" t="s">
        <v>1307</v>
      </c>
      <c r="B867" s="136" t="s">
        <v>1307</v>
      </c>
      <c r="C867" s="136" t="str">
        <f>tbl_IO_List[[#This Row],[Column3]]</f>
        <v>C7S00,00</v>
      </c>
      <c r="D867" s="136" t="e">
        <f>tbl_IO_List[[#This Row],[Card]]</f>
        <v>#N/A</v>
      </c>
      <c r="E867" s="136"/>
      <c r="F867" s="136" t="str">
        <f>tbl_IO_List[[#This Row],[Column23]]&amp;"-" &amp;tbl_IO_List[[#This Row],[Column52]]</f>
        <v>C7S00-</v>
      </c>
      <c r="G867" s="136" t="str">
        <f>tbl_IO_List[[#This Row],[PLC_Tag]]</f>
        <v>PCY-814202_BUS_1</v>
      </c>
      <c r="H867" s="136"/>
      <c r="I867" s="136" t="str">
        <f>VLOOKUP(tbl_IO_List[[#This Row],[Destination]],tbl_Junction[],2,FALSE)</f>
        <v>MCC Room</v>
      </c>
      <c r="J867" s="136" t="s">
        <v>382</v>
      </c>
      <c r="K867" s="136" t="s">
        <v>401</v>
      </c>
      <c r="L867" s="136" t="s">
        <v>1256</v>
      </c>
      <c r="M867" s="136" t="str">
        <f>VLOOKUP(tbl_IO_List[[#This Row],[Instruement Tag]],tbl_Instruement_List[],2,FALSE)</f>
        <v>PUMP</v>
      </c>
      <c r="N867" s="136" t="s">
        <v>24</v>
      </c>
      <c r="O867" s="136" t="s">
        <v>402</v>
      </c>
      <c r="P867" s="136" t="s">
        <v>18</v>
      </c>
      <c r="Q867" s="136" t="str">
        <f>VLOOKUP(tbl_IO_List[[#This Row],[Instruement Tag]],tbl_Instruement_List[],6,FALSE)</f>
        <v xml:space="preserve"> Start / Stop Command to VSD PC-81002</v>
      </c>
      <c r="R867" s="136"/>
      <c r="S86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3,DO=1,AI=0,AO=0,Bus=1</v>
      </c>
      <c r="T867" s="136" t="str">
        <f>tbl_IO_List[[#This Row],[Instruement Tag]]&amp;"_"&amp;tbl_IO_List[[#This Row],[I/O Type]]&amp;"_"&amp;tbl_IO_List[[#This Row],[IO-Point 
(Instruement)]]</f>
        <v>PCY-814202_BUS_1</v>
      </c>
      <c r="U867" s="136" t="s">
        <v>1299</v>
      </c>
      <c r="V867" s="136">
        <f>VLOOKUP(tbl_IO_List[[#This Row],[I/O Type]],tbl_Slot_Group[],2,FALSE)</f>
        <v>0</v>
      </c>
      <c r="W867" s="136">
        <v>1</v>
      </c>
      <c r="X867" s="136" t="str">
        <f>tbl_IO_List[[#This Row],[Chassis]]&amp;"S"&amp;TEXT(tbl_IO_List[[#This Row],[Slot]],"00")</f>
        <v>C7S00</v>
      </c>
      <c r="Y867" s="136" t="str">
        <f>tbl_IO_List[[#This Row],[Chassis]]&amp;"S"&amp;TEXT(tbl_IO_List[[#This Row],[Slot]],"00")&amp;tbl_IO_List[[#This Row],[I/O Type]]&amp;TEXT(tbl_IO_List[[#This Row],[Point]],"00")</f>
        <v>C7S00BUS00</v>
      </c>
      <c r="Z867" s="136" t="str">
        <f>tbl_IO_List[[#This Row],[Chassis]]&amp;"S"&amp;TEXT(tbl_IO_List[[#This Row],[Slot]],"00")&amp;","&amp;TEXT(tbl_IO_List[[#This Row],[Point]],"00")</f>
        <v>C7S00,00</v>
      </c>
      <c r="AA867" s="136" t="e">
        <f>VLOOKUP(tbl_IO_List[[#This Row],[Column23]],tbl_RackConfig[],5,FALSE) &amp;"-"&amp;tbl_IO_List[[#This Row],[Point]]</f>
        <v>#N/A</v>
      </c>
      <c r="AB867" s="136"/>
      <c r="AC867" s="136"/>
      <c r="AD867" s="136" t="str">
        <f>tbl_IO_List[[#This Row],[I/O Type]]</f>
        <v>BUS</v>
      </c>
      <c r="AE867" s="136" t="s">
        <v>1368</v>
      </c>
      <c r="AF867" s="136">
        <v>0</v>
      </c>
      <c r="AG867" s="136">
        <v>0</v>
      </c>
      <c r="AH867" s="136"/>
      <c r="AI867" s="136"/>
      <c r="AJ867" s="136">
        <v>3</v>
      </c>
      <c r="AK867" s="136">
        <v>1</v>
      </c>
      <c r="AL867" s="136">
        <v>0</v>
      </c>
      <c r="AM867" s="136">
        <v>0</v>
      </c>
      <c r="AN867" s="136">
        <v>1</v>
      </c>
      <c r="AO867" s="136"/>
      <c r="AP867" s="143" t="s">
        <v>1299</v>
      </c>
      <c r="AQ867" s="143" t="str">
        <f>tbl_IO_List[[#This Row],[Chassis]]&amp;"S"&amp;tbl_IO_List[[#This Row],[Slot]]&amp;"-"&amp;tbl_IO_List[[#This Row],[Front Terminal Number]]</f>
        <v>C7S0-</v>
      </c>
      <c r="AR867" s="143"/>
      <c r="AS867" s="136" t="str">
        <f>tbl_IO_List[[#This Row],[Terminal Tagging]]&amp;"-"&amp;tbl_IO_List[[#This Row],[Point-Count]]</f>
        <v>-</v>
      </c>
      <c r="AT867" s="136" t="str">
        <f>tbl_IO_List[[#This Row],[Front Terminal Tagging]]&amp;"/"&amp;tbl_IO_List[[#This Row],[Terminal Tagging-Item]]</f>
        <v>C7S0-/-</v>
      </c>
      <c r="AU867" s="136" t="str">
        <f>tbl_IO_List[[#This Row],[Terminal Tagging-Item]]&amp;"/"&amp;tbl_IO_List[[#This Row],[Front Terminal Tagging]]</f>
        <v>-/C7S0-</v>
      </c>
    </row>
    <row r="868" spans="1:47" hidden="1">
      <c r="A868" s="136" t="s">
        <v>1307</v>
      </c>
      <c r="B868" s="136" t="s">
        <v>1307</v>
      </c>
      <c r="C868" s="136" t="str">
        <f>tbl_IO_List[[#This Row],[Column3]]</f>
        <v>C7S01,00</v>
      </c>
      <c r="D868" s="136" t="e">
        <f>tbl_IO_List[[#This Row],[Card]]</f>
        <v>#N/A</v>
      </c>
      <c r="E868" s="136"/>
      <c r="F868" s="136" t="str">
        <f>tbl_IO_List[[#This Row],[Column23]]&amp;"-" &amp;tbl_IO_List[[#This Row],[Column52]]</f>
        <v>C7S01-</v>
      </c>
      <c r="G868" s="136" t="str">
        <f>tbl_IO_List[[#This Row],[PLC_Tag]]</f>
        <v>Spare_DI_0</v>
      </c>
      <c r="H868" s="136"/>
      <c r="I868" s="136" t="str">
        <f>VLOOKUP(tbl_IO_List[[#This Row],[Destination]],tbl_Junction[],2,FALSE)</f>
        <v>MCC Room</v>
      </c>
      <c r="J868" s="136" t="s">
        <v>114</v>
      </c>
      <c r="K868" s="136" t="s">
        <v>136</v>
      </c>
      <c r="L868" s="136" t="s">
        <v>411</v>
      </c>
      <c r="M868" s="136" t="e">
        <f>VLOOKUP(tbl_IO_List[[#This Row],[Instruement Tag]],tbl_Instruement_List[],2,FALSE)</f>
        <v>#N/A</v>
      </c>
      <c r="N868" s="136" t="s">
        <v>15</v>
      </c>
      <c r="O868" s="136" t="s">
        <v>121</v>
      </c>
      <c r="P868" s="136" t="s">
        <v>137</v>
      </c>
      <c r="Q868" s="136" t="e">
        <f>VLOOKUP(tbl_IO_List[[#This Row],[Instruement Tag]],tbl_Instruement_List[],6,FALSE)</f>
        <v>#N/A</v>
      </c>
      <c r="R868" s="136"/>
      <c r="S86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868" s="136" t="str">
        <f>tbl_IO_List[[#This Row],[Instruement Tag]]&amp;"_"&amp;tbl_IO_List[[#This Row],[I/O Type]]&amp;"_"&amp;tbl_IO_List[[#This Row],[IO-Point 
(Instruement)]]</f>
        <v>Spare_DI_0</v>
      </c>
      <c r="U868" s="136" t="s">
        <v>8</v>
      </c>
      <c r="V868" s="136">
        <f>VLOOKUP(tbl_IO_List[[#This Row],[I/O Type]],tbl_Slot_Group[],2,FALSE)</f>
        <v>1</v>
      </c>
      <c r="W868" s="136">
        <v>0</v>
      </c>
      <c r="X868" s="136" t="str">
        <f>tbl_IO_List[[#This Row],[Chassis]]&amp;"S"&amp;TEXT(tbl_IO_List[[#This Row],[Slot]],"00")</f>
        <v>C7S01</v>
      </c>
      <c r="Y868" s="136" t="str">
        <f>tbl_IO_List[[#This Row],[Chassis]]&amp;"S"&amp;TEXT(tbl_IO_List[[#This Row],[Slot]],"00")&amp;tbl_IO_List[[#This Row],[I/O Type]]&amp;TEXT(tbl_IO_List[[#This Row],[Point]],"00")</f>
        <v>C7S01DI00</v>
      </c>
      <c r="Z868" s="136" t="str">
        <f>tbl_IO_List[[#This Row],[Chassis]]&amp;"S"&amp;TEXT(tbl_IO_List[[#This Row],[Slot]],"00")&amp;","&amp;TEXT(tbl_IO_List[[#This Row],[Point]],"00")</f>
        <v>C7S01,00</v>
      </c>
      <c r="AA868" s="136" t="e">
        <f>VLOOKUP(tbl_IO_List[[#This Row],[Column23]],tbl_RackConfig[],5,FALSE) &amp;"-"&amp;tbl_IO_List[[#This Row],[Point]]</f>
        <v>#N/A</v>
      </c>
      <c r="AB868" s="136"/>
      <c r="AC868" s="136"/>
      <c r="AD868" s="136" t="str">
        <f>tbl_IO_List[[#This Row],[I/O Type]]</f>
        <v>DI</v>
      </c>
      <c r="AE868" s="136" t="s">
        <v>1368</v>
      </c>
      <c r="AF868" s="136">
        <v>1</v>
      </c>
      <c r="AG868" s="136">
        <v>0</v>
      </c>
      <c r="AH868" s="136"/>
      <c r="AI868" s="136"/>
      <c r="AJ868" s="136">
        <v>1</v>
      </c>
      <c r="AK868" s="136">
        <v>0</v>
      </c>
      <c r="AL868" s="136">
        <v>0</v>
      </c>
      <c r="AM868" s="136">
        <v>0</v>
      </c>
      <c r="AN868" s="136">
        <v>0</v>
      </c>
      <c r="AO868" s="136"/>
      <c r="AP868" s="143" t="e">
        <f>VLOOKUP(tbl_IO_List[[#This Row],[Instruement Tag]],tbl_Instruement_List[],14,FALSE)</f>
        <v>#N/A</v>
      </c>
      <c r="AQ868" s="143" t="str">
        <f>tbl_IO_List[[#This Row],[Chassis]]&amp;"S"&amp;tbl_IO_List[[#This Row],[Slot]]&amp;"-"&amp;tbl_IO_List[[#This Row],[Front Terminal Number]]</f>
        <v>C7S1-</v>
      </c>
      <c r="AR868" s="143"/>
      <c r="AS868" s="136" t="str">
        <f>tbl_IO_List[[#This Row],[Terminal Tagging]]&amp;"-"&amp;tbl_IO_List[[#This Row],[Point-Count]]</f>
        <v>-</v>
      </c>
      <c r="AT868" s="136" t="str">
        <f>tbl_IO_List[[#This Row],[Front Terminal Tagging]]&amp;"/"&amp;tbl_IO_List[[#This Row],[Terminal Tagging-Item]]</f>
        <v>C7S1-/-</v>
      </c>
      <c r="AU868" s="136" t="str">
        <f>tbl_IO_List[[#This Row],[Terminal Tagging-Item]]&amp;"/"&amp;tbl_IO_List[[#This Row],[Front Terminal Tagging]]</f>
        <v>-/C7S1-</v>
      </c>
    </row>
    <row r="869" spans="1:47" hidden="1">
      <c r="A869" s="136" t="s">
        <v>1307</v>
      </c>
      <c r="B869" s="136" t="s">
        <v>1307</v>
      </c>
      <c r="C869" s="136" t="str">
        <f>tbl_IO_List[[#This Row],[Column3]]</f>
        <v>C7S01,01</v>
      </c>
      <c r="D869" s="136" t="e">
        <f>tbl_IO_List[[#This Row],[Card]]</f>
        <v>#N/A</v>
      </c>
      <c r="E869" s="136"/>
      <c r="F869" s="136" t="str">
        <f>tbl_IO_List[[#This Row],[Column23]]&amp;"-" &amp;tbl_IO_List[[#This Row],[Column52]]</f>
        <v>C7S01-</v>
      </c>
      <c r="G869" s="136" t="str">
        <f>tbl_IO_List[[#This Row],[PLC_Tag]]</f>
        <v>Spare_DI_0</v>
      </c>
      <c r="H869" s="136"/>
      <c r="I869" s="136" t="str">
        <f>VLOOKUP(tbl_IO_List[[#This Row],[Destination]],tbl_Junction[],2,FALSE)</f>
        <v>MCC Room</v>
      </c>
      <c r="J869" s="136" t="s">
        <v>114</v>
      </c>
      <c r="K869" s="136" t="s">
        <v>136</v>
      </c>
      <c r="L869" s="136" t="s">
        <v>411</v>
      </c>
      <c r="M869" s="136" t="e">
        <f>VLOOKUP(tbl_IO_List[[#This Row],[Instruement Tag]],tbl_Instruement_List[],2,FALSE)</f>
        <v>#N/A</v>
      </c>
      <c r="N869" s="136" t="s">
        <v>15</v>
      </c>
      <c r="O869" s="136" t="s">
        <v>121</v>
      </c>
      <c r="P869" s="136" t="s">
        <v>137</v>
      </c>
      <c r="Q869" s="136" t="e">
        <f>VLOOKUP(tbl_IO_List[[#This Row],[Instruement Tag]],tbl_Instruement_List[],6,FALSE)</f>
        <v>#N/A</v>
      </c>
      <c r="R869" s="136"/>
      <c r="S86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869" s="136" t="str">
        <f>tbl_IO_List[[#This Row],[Instruement Tag]]&amp;"_"&amp;tbl_IO_List[[#This Row],[I/O Type]]&amp;"_"&amp;tbl_IO_List[[#This Row],[IO-Point 
(Instruement)]]</f>
        <v>Spare_DI_0</v>
      </c>
      <c r="U869" s="136" t="s">
        <v>8</v>
      </c>
      <c r="V869" s="136">
        <f>VLOOKUP(tbl_IO_List[[#This Row],[I/O Type]],tbl_Slot_Group[],2,FALSE)</f>
        <v>1</v>
      </c>
      <c r="W869" s="136">
        <v>0</v>
      </c>
      <c r="X869" s="136" t="str">
        <f>tbl_IO_List[[#This Row],[Chassis]]&amp;"S"&amp;TEXT(tbl_IO_List[[#This Row],[Slot]],"00")</f>
        <v>C7S01</v>
      </c>
      <c r="Y869" s="136" t="str">
        <f>tbl_IO_List[[#This Row],[Chassis]]&amp;"S"&amp;TEXT(tbl_IO_List[[#This Row],[Slot]],"00")&amp;tbl_IO_List[[#This Row],[I/O Type]]&amp;TEXT(tbl_IO_List[[#This Row],[Point]],"00")</f>
        <v>C7S01DI01</v>
      </c>
      <c r="Z869" s="136" t="str">
        <f>tbl_IO_List[[#This Row],[Chassis]]&amp;"S"&amp;TEXT(tbl_IO_List[[#This Row],[Slot]],"00")&amp;","&amp;TEXT(tbl_IO_List[[#This Row],[Point]],"00")</f>
        <v>C7S01,01</v>
      </c>
      <c r="AA869" s="136" t="e">
        <f>VLOOKUP(tbl_IO_List[[#This Row],[Column23]],tbl_RackConfig[],5,FALSE) &amp;"-"&amp;tbl_IO_List[[#This Row],[Point]]</f>
        <v>#N/A</v>
      </c>
      <c r="AB869" s="136"/>
      <c r="AC869" s="136"/>
      <c r="AD869" s="136" t="str">
        <f>tbl_IO_List[[#This Row],[I/O Type]]</f>
        <v>DI</v>
      </c>
      <c r="AE869" s="136" t="s">
        <v>1368</v>
      </c>
      <c r="AF869" s="136">
        <v>1</v>
      </c>
      <c r="AG869" s="136">
        <v>1</v>
      </c>
      <c r="AH869" s="136"/>
      <c r="AI869" s="136"/>
      <c r="AJ869" s="136">
        <v>1</v>
      </c>
      <c r="AK869" s="136">
        <v>0</v>
      </c>
      <c r="AL869" s="136">
        <v>0</v>
      </c>
      <c r="AM869" s="136">
        <v>0</v>
      </c>
      <c r="AN869" s="136">
        <v>0</v>
      </c>
      <c r="AO869" s="136"/>
      <c r="AP869" s="143" t="e">
        <f>VLOOKUP(tbl_IO_List[[#This Row],[Instruement Tag]],tbl_Instruement_List[],14,FALSE)</f>
        <v>#N/A</v>
      </c>
      <c r="AQ869" s="143" t="str">
        <f>tbl_IO_List[[#This Row],[Chassis]]&amp;"S"&amp;tbl_IO_List[[#This Row],[Slot]]&amp;"-"&amp;tbl_IO_List[[#This Row],[Front Terminal Number]]</f>
        <v>C7S1-</v>
      </c>
      <c r="AR869" s="143"/>
      <c r="AS869" s="136" t="str">
        <f>tbl_IO_List[[#This Row],[Terminal Tagging]]&amp;"-"&amp;tbl_IO_List[[#This Row],[Point-Count]]</f>
        <v>-</v>
      </c>
      <c r="AT869" s="136" t="str">
        <f>tbl_IO_List[[#This Row],[Front Terminal Tagging]]&amp;"/"&amp;tbl_IO_List[[#This Row],[Terminal Tagging-Item]]</f>
        <v>C7S1-/-</v>
      </c>
      <c r="AU869" s="136" t="str">
        <f>tbl_IO_List[[#This Row],[Terminal Tagging-Item]]&amp;"/"&amp;tbl_IO_List[[#This Row],[Front Terminal Tagging]]</f>
        <v>-/C7S1-</v>
      </c>
    </row>
    <row r="870" spans="1:47" hidden="1">
      <c r="A870" s="136" t="s">
        <v>1307</v>
      </c>
      <c r="B870" s="136" t="s">
        <v>1307</v>
      </c>
      <c r="C870" s="136" t="str">
        <f>tbl_IO_List[[#This Row],[Column3]]</f>
        <v>C7S01,02</v>
      </c>
      <c r="D870" s="136" t="e">
        <f>tbl_IO_List[[#This Row],[Card]]</f>
        <v>#N/A</v>
      </c>
      <c r="E870" s="136"/>
      <c r="F870" s="136" t="str">
        <f>tbl_IO_List[[#This Row],[Column23]]&amp;"-" &amp;tbl_IO_List[[#This Row],[Column52]]</f>
        <v>C7S01-</v>
      </c>
      <c r="G870" s="136" t="str">
        <f>tbl_IO_List[[#This Row],[PLC_Tag]]</f>
        <v>Spare_DI_0</v>
      </c>
      <c r="H870" s="136"/>
      <c r="I870" s="136" t="str">
        <f>VLOOKUP(tbl_IO_List[[#This Row],[Destination]],tbl_Junction[],2,FALSE)</f>
        <v>MCC Room</v>
      </c>
      <c r="J870" s="136" t="s">
        <v>114</v>
      </c>
      <c r="K870" s="136" t="s">
        <v>136</v>
      </c>
      <c r="L870" s="136" t="s">
        <v>411</v>
      </c>
      <c r="M870" s="136" t="e">
        <f>VLOOKUP(tbl_IO_List[[#This Row],[Instruement Tag]],tbl_Instruement_List[],2,FALSE)</f>
        <v>#N/A</v>
      </c>
      <c r="N870" s="136" t="s">
        <v>15</v>
      </c>
      <c r="O870" s="136" t="s">
        <v>121</v>
      </c>
      <c r="P870" s="136" t="s">
        <v>137</v>
      </c>
      <c r="Q870" s="136" t="e">
        <f>VLOOKUP(tbl_IO_List[[#This Row],[Instruement Tag]],tbl_Instruement_List[],6,FALSE)</f>
        <v>#N/A</v>
      </c>
      <c r="R870" s="136"/>
      <c r="S87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870" s="136" t="str">
        <f>tbl_IO_List[[#This Row],[Instruement Tag]]&amp;"_"&amp;tbl_IO_List[[#This Row],[I/O Type]]&amp;"_"&amp;tbl_IO_List[[#This Row],[IO-Point 
(Instruement)]]</f>
        <v>Spare_DI_0</v>
      </c>
      <c r="U870" s="136" t="s">
        <v>8</v>
      </c>
      <c r="V870" s="136">
        <f>VLOOKUP(tbl_IO_List[[#This Row],[I/O Type]],tbl_Slot_Group[],2,FALSE)</f>
        <v>1</v>
      </c>
      <c r="W870" s="136">
        <v>0</v>
      </c>
      <c r="X870" s="136" t="str">
        <f>tbl_IO_List[[#This Row],[Chassis]]&amp;"S"&amp;TEXT(tbl_IO_List[[#This Row],[Slot]],"00")</f>
        <v>C7S01</v>
      </c>
      <c r="Y870" s="136" t="str">
        <f>tbl_IO_List[[#This Row],[Chassis]]&amp;"S"&amp;TEXT(tbl_IO_List[[#This Row],[Slot]],"00")&amp;tbl_IO_List[[#This Row],[I/O Type]]&amp;TEXT(tbl_IO_List[[#This Row],[Point]],"00")</f>
        <v>C7S01DI02</v>
      </c>
      <c r="Z870" s="136" t="str">
        <f>tbl_IO_List[[#This Row],[Chassis]]&amp;"S"&amp;TEXT(tbl_IO_List[[#This Row],[Slot]],"00")&amp;","&amp;TEXT(tbl_IO_List[[#This Row],[Point]],"00")</f>
        <v>C7S01,02</v>
      </c>
      <c r="AA870" s="136" t="e">
        <f>VLOOKUP(tbl_IO_List[[#This Row],[Column23]],tbl_RackConfig[],5,FALSE) &amp;"-"&amp;tbl_IO_List[[#This Row],[Point]]</f>
        <v>#N/A</v>
      </c>
      <c r="AB870" s="136"/>
      <c r="AC870" s="136"/>
      <c r="AD870" s="136" t="str">
        <f>tbl_IO_List[[#This Row],[I/O Type]]</f>
        <v>DI</v>
      </c>
      <c r="AE870" s="136" t="s">
        <v>1368</v>
      </c>
      <c r="AF870" s="136">
        <v>1</v>
      </c>
      <c r="AG870" s="136">
        <v>2</v>
      </c>
      <c r="AH870" s="136"/>
      <c r="AI870" s="136"/>
      <c r="AJ870" s="136">
        <v>1</v>
      </c>
      <c r="AK870" s="136">
        <v>0</v>
      </c>
      <c r="AL870" s="136">
        <v>0</v>
      </c>
      <c r="AM870" s="136">
        <v>0</v>
      </c>
      <c r="AN870" s="136">
        <v>0</v>
      </c>
      <c r="AO870" s="136"/>
      <c r="AP870" s="143" t="e">
        <f>VLOOKUP(tbl_IO_List[[#This Row],[Instruement Tag]],tbl_Instruement_List[],14,FALSE)</f>
        <v>#N/A</v>
      </c>
      <c r="AQ870" s="143" t="str">
        <f>tbl_IO_List[[#This Row],[Chassis]]&amp;"S"&amp;tbl_IO_List[[#This Row],[Slot]]&amp;"-"&amp;tbl_IO_List[[#This Row],[Front Terminal Number]]</f>
        <v>C7S1-</v>
      </c>
      <c r="AR870" s="143"/>
      <c r="AS870" s="136" t="str">
        <f>tbl_IO_List[[#This Row],[Terminal Tagging]]&amp;"-"&amp;tbl_IO_List[[#This Row],[Point-Count]]</f>
        <v>-</v>
      </c>
      <c r="AT870" s="136" t="str">
        <f>tbl_IO_List[[#This Row],[Front Terminal Tagging]]&amp;"/"&amp;tbl_IO_List[[#This Row],[Terminal Tagging-Item]]</f>
        <v>C7S1-/-</v>
      </c>
      <c r="AU870" s="136" t="str">
        <f>tbl_IO_List[[#This Row],[Terminal Tagging-Item]]&amp;"/"&amp;tbl_IO_List[[#This Row],[Front Terminal Tagging]]</f>
        <v>-/C7S1-</v>
      </c>
    </row>
    <row r="871" spans="1:47" hidden="1">
      <c r="A871" s="136" t="s">
        <v>1307</v>
      </c>
      <c r="B871" s="136" t="s">
        <v>1307</v>
      </c>
      <c r="C871" s="136" t="str">
        <f>tbl_IO_List[[#This Row],[Column3]]</f>
        <v>C7S01,03</v>
      </c>
      <c r="D871" s="136" t="e">
        <f>tbl_IO_List[[#This Row],[Card]]</f>
        <v>#N/A</v>
      </c>
      <c r="E871" s="136"/>
      <c r="F871" s="136" t="str">
        <f>tbl_IO_List[[#This Row],[Column23]]&amp;"-" &amp;tbl_IO_List[[#This Row],[Column52]]</f>
        <v>C7S01-</v>
      </c>
      <c r="G871" s="136" t="str">
        <f>tbl_IO_List[[#This Row],[PLC_Tag]]</f>
        <v>Spare_DI_0</v>
      </c>
      <c r="H871" s="136"/>
      <c r="I871" s="136" t="str">
        <f>VLOOKUP(tbl_IO_List[[#This Row],[Destination]],tbl_Junction[],2,FALSE)</f>
        <v>MCC Room</v>
      </c>
      <c r="J871" s="136" t="s">
        <v>114</v>
      </c>
      <c r="K871" s="136" t="s">
        <v>136</v>
      </c>
      <c r="L871" s="136" t="s">
        <v>411</v>
      </c>
      <c r="M871" s="136" t="e">
        <f>VLOOKUP(tbl_IO_List[[#This Row],[Instruement Tag]],tbl_Instruement_List[],2,FALSE)</f>
        <v>#N/A</v>
      </c>
      <c r="N871" s="136" t="s">
        <v>15</v>
      </c>
      <c r="O871" s="136" t="s">
        <v>121</v>
      </c>
      <c r="P871" s="136" t="s">
        <v>137</v>
      </c>
      <c r="Q871" s="136" t="e">
        <f>VLOOKUP(tbl_IO_List[[#This Row],[Instruement Tag]],tbl_Instruement_List[],6,FALSE)</f>
        <v>#N/A</v>
      </c>
      <c r="R871" s="136"/>
      <c r="S87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871" s="136" t="str">
        <f>tbl_IO_List[[#This Row],[Instruement Tag]]&amp;"_"&amp;tbl_IO_List[[#This Row],[I/O Type]]&amp;"_"&amp;tbl_IO_List[[#This Row],[IO-Point 
(Instruement)]]</f>
        <v>Spare_DI_0</v>
      </c>
      <c r="U871" s="136" t="s">
        <v>8</v>
      </c>
      <c r="V871" s="136">
        <f>VLOOKUP(tbl_IO_List[[#This Row],[I/O Type]],tbl_Slot_Group[],2,FALSE)</f>
        <v>1</v>
      </c>
      <c r="W871" s="136">
        <v>0</v>
      </c>
      <c r="X871" s="136" t="str">
        <f>tbl_IO_List[[#This Row],[Chassis]]&amp;"S"&amp;TEXT(tbl_IO_List[[#This Row],[Slot]],"00")</f>
        <v>C7S01</v>
      </c>
      <c r="Y871" s="136" t="str">
        <f>tbl_IO_List[[#This Row],[Chassis]]&amp;"S"&amp;TEXT(tbl_IO_List[[#This Row],[Slot]],"00")&amp;tbl_IO_List[[#This Row],[I/O Type]]&amp;TEXT(tbl_IO_List[[#This Row],[Point]],"00")</f>
        <v>C7S01DI03</v>
      </c>
      <c r="Z871" s="136" t="str">
        <f>tbl_IO_List[[#This Row],[Chassis]]&amp;"S"&amp;TEXT(tbl_IO_List[[#This Row],[Slot]],"00")&amp;","&amp;TEXT(tbl_IO_List[[#This Row],[Point]],"00")</f>
        <v>C7S01,03</v>
      </c>
      <c r="AA871" s="136" t="e">
        <f>VLOOKUP(tbl_IO_List[[#This Row],[Column23]],tbl_RackConfig[],5,FALSE) &amp;"-"&amp;tbl_IO_List[[#This Row],[Point]]</f>
        <v>#N/A</v>
      </c>
      <c r="AB871" s="136"/>
      <c r="AC871" s="136"/>
      <c r="AD871" s="136" t="str">
        <f>tbl_IO_List[[#This Row],[I/O Type]]</f>
        <v>DI</v>
      </c>
      <c r="AE871" s="136" t="s">
        <v>1368</v>
      </c>
      <c r="AF871" s="136">
        <v>1</v>
      </c>
      <c r="AG871" s="136">
        <v>3</v>
      </c>
      <c r="AH871" s="136"/>
      <c r="AI871" s="136"/>
      <c r="AJ871" s="136">
        <v>1</v>
      </c>
      <c r="AK871" s="136">
        <v>0</v>
      </c>
      <c r="AL871" s="136">
        <v>0</v>
      </c>
      <c r="AM871" s="136">
        <v>0</v>
      </c>
      <c r="AN871" s="136">
        <v>0</v>
      </c>
      <c r="AO871" s="136"/>
      <c r="AP871" s="143" t="e">
        <f>VLOOKUP(tbl_IO_List[[#This Row],[Instruement Tag]],tbl_Instruement_List[],14,FALSE)</f>
        <v>#N/A</v>
      </c>
      <c r="AQ871" s="143" t="str">
        <f>tbl_IO_List[[#This Row],[Chassis]]&amp;"S"&amp;tbl_IO_List[[#This Row],[Slot]]&amp;"-"&amp;tbl_IO_List[[#This Row],[Front Terminal Number]]</f>
        <v>C7S1-</v>
      </c>
      <c r="AR871" s="143"/>
      <c r="AS871" s="136" t="str">
        <f>tbl_IO_List[[#This Row],[Terminal Tagging]]&amp;"-"&amp;tbl_IO_List[[#This Row],[Point-Count]]</f>
        <v>-</v>
      </c>
      <c r="AT871" s="136" t="str">
        <f>tbl_IO_List[[#This Row],[Front Terminal Tagging]]&amp;"/"&amp;tbl_IO_List[[#This Row],[Terminal Tagging-Item]]</f>
        <v>C7S1-/-</v>
      </c>
      <c r="AU871" s="136" t="str">
        <f>tbl_IO_List[[#This Row],[Terminal Tagging-Item]]&amp;"/"&amp;tbl_IO_List[[#This Row],[Front Terminal Tagging]]</f>
        <v>-/C7S1-</v>
      </c>
    </row>
    <row r="872" spans="1:47" hidden="1">
      <c r="A872" s="136" t="s">
        <v>1307</v>
      </c>
      <c r="B872" s="136" t="s">
        <v>1307</v>
      </c>
      <c r="C872" s="136" t="str">
        <f>tbl_IO_List[[#This Row],[Column3]]</f>
        <v>C7S01,04</v>
      </c>
      <c r="D872" s="136" t="e">
        <f>tbl_IO_List[[#This Row],[Card]]</f>
        <v>#N/A</v>
      </c>
      <c r="E872" s="136"/>
      <c r="F872" s="136" t="str">
        <f>tbl_IO_List[[#This Row],[Column23]]&amp;"-" &amp;tbl_IO_List[[#This Row],[Column52]]</f>
        <v>C7S01-</v>
      </c>
      <c r="G872" s="136" t="str">
        <f>tbl_IO_List[[#This Row],[PLC_Tag]]</f>
        <v>Spare_DI_0</v>
      </c>
      <c r="H872" s="136"/>
      <c r="I872" s="136" t="str">
        <f>VLOOKUP(tbl_IO_List[[#This Row],[Destination]],tbl_Junction[],2,FALSE)</f>
        <v>MCC Room</v>
      </c>
      <c r="J872" s="136" t="s">
        <v>114</v>
      </c>
      <c r="K872" s="136" t="s">
        <v>136</v>
      </c>
      <c r="L872" s="136" t="s">
        <v>411</v>
      </c>
      <c r="M872" s="136" t="e">
        <f>VLOOKUP(tbl_IO_List[[#This Row],[Instruement Tag]],tbl_Instruement_List[],2,FALSE)</f>
        <v>#N/A</v>
      </c>
      <c r="N872" s="136" t="s">
        <v>15</v>
      </c>
      <c r="O872" s="136" t="s">
        <v>121</v>
      </c>
      <c r="P872" s="136" t="s">
        <v>137</v>
      </c>
      <c r="Q872" s="136" t="e">
        <f>VLOOKUP(tbl_IO_List[[#This Row],[Instruement Tag]],tbl_Instruement_List[],6,FALSE)</f>
        <v>#N/A</v>
      </c>
      <c r="R872" s="136"/>
      <c r="S87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872" s="136" t="str">
        <f>tbl_IO_List[[#This Row],[Instruement Tag]]&amp;"_"&amp;tbl_IO_List[[#This Row],[I/O Type]]&amp;"_"&amp;tbl_IO_List[[#This Row],[IO-Point 
(Instruement)]]</f>
        <v>Spare_DI_0</v>
      </c>
      <c r="U872" s="136" t="s">
        <v>8</v>
      </c>
      <c r="V872" s="136">
        <f>VLOOKUP(tbl_IO_List[[#This Row],[I/O Type]],tbl_Slot_Group[],2,FALSE)</f>
        <v>1</v>
      </c>
      <c r="W872" s="136">
        <v>0</v>
      </c>
      <c r="X872" s="136" t="str">
        <f>tbl_IO_List[[#This Row],[Chassis]]&amp;"S"&amp;TEXT(tbl_IO_List[[#This Row],[Slot]],"00")</f>
        <v>C7S01</v>
      </c>
      <c r="Y872" s="136" t="str">
        <f>tbl_IO_List[[#This Row],[Chassis]]&amp;"S"&amp;TEXT(tbl_IO_List[[#This Row],[Slot]],"00")&amp;tbl_IO_List[[#This Row],[I/O Type]]&amp;TEXT(tbl_IO_List[[#This Row],[Point]],"00")</f>
        <v>C7S01DI04</v>
      </c>
      <c r="Z872" s="136" t="str">
        <f>tbl_IO_List[[#This Row],[Chassis]]&amp;"S"&amp;TEXT(tbl_IO_List[[#This Row],[Slot]],"00")&amp;","&amp;TEXT(tbl_IO_List[[#This Row],[Point]],"00")</f>
        <v>C7S01,04</v>
      </c>
      <c r="AA872" s="136" t="e">
        <f>VLOOKUP(tbl_IO_List[[#This Row],[Column23]],tbl_RackConfig[],5,FALSE) &amp;"-"&amp;tbl_IO_List[[#This Row],[Point]]</f>
        <v>#N/A</v>
      </c>
      <c r="AB872" s="136"/>
      <c r="AC872" s="136"/>
      <c r="AD872" s="136" t="str">
        <f>tbl_IO_List[[#This Row],[I/O Type]]</f>
        <v>DI</v>
      </c>
      <c r="AE872" s="136" t="s">
        <v>1368</v>
      </c>
      <c r="AF872" s="136">
        <v>1</v>
      </c>
      <c r="AG872" s="136">
        <v>4</v>
      </c>
      <c r="AH872" s="136"/>
      <c r="AI872" s="136"/>
      <c r="AJ872" s="136">
        <v>1</v>
      </c>
      <c r="AK872" s="136">
        <v>0</v>
      </c>
      <c r="AL872" s="136">
        <v>0</v>
      </c>
      <c r="AM872" s="136">
        <v>0</v>
      </c>
      <c r="AN872" s="136">
        <v>0</v>
      </c>
      <c r="AO872" s="136"/>
      <c r="AP872" s="143" t="e">
        <f>VLOOKUP(tbl_IO_List[[#This Row],[Instruement Tag]],tbl_Instruement_List[],14,FALSE)</f>
        <v>#N/A</v>
      </c>
      <c r="AQ872" s="143" t="str">
        <f>tbl_IO_List[[#This Row],[Chassis]]&amp;"S"&amp;tbl_IO_List[[#This Row],[Slot]]&amp;"-"&amp;tbl_IO_List[[#This Row],[Front Terminal Number]]</f>
        <v>C7S1-</v>
      </c>
      <c r="AR872" s="143"/>
      <c r="AS872" s="136" t="str">
        <f>tbl_IO_List[[#This Row],[Terminal Tagging]]&amp;"-"&amp;tbl_IO_List[[#This Row],[Point-Count]]</f>
        <v>-</v>
      </c>
      <c r="AT872" s="136" t="str">
        <f>tbl_IO_List[[#This Row],[Front Terminal Tagging]]&amp;"/"&amp;tbl_IO_List[[#This Row],[Terminal Tagging-Item]]</f>
        <v>C7S1-/-</v>
      </c>
      <c r="AU872" s="136" t="str">
        <f>tbl_IO_List[[#This Row],[Terminal Tagging-Item]]&amp;"/"&amp;tbl_IO_List[[#This Row],[Front Terminal Tagging]]</f>
        <v>-/C7S1-</v>
      </c>
    </row>
    <row r="873" spans="1:47" hidden="1">
      <c r="A873" s="136" t="s">
        <v>1307</v>
      </c>
      <c r="B873" s="136" t="s">
        <v>1307</v>
      </c>
      <c r="C873" s="136" t="str">
        <f>tbl_IO_List[[#This Row],[Column3]]</f>
        <v>C7S01,05</v>
      </c>
      <c r="D873" s="136" t="e">
        <f>tbl_IO_List[[#This Row],[Card]]</f>
        <v>#N/A</v>
      </c>
      <c r="E873" s="136"/>
      <c r="F873" s="136" t="str">
        <f>tbl_IO_List[[#This Row],[Column23]]&amp;"-" &amp;tbl_IO_List[[#This Row],[Column52]]</f>
        <v>C7S01-</v>
      </c>
      <c r="G873" s="136" t="str">
        <f>tbl_IO_List[[#This Row],[PLC_Tag]]</f>
        <v>Spare_DI_0</v>
      </c>
      <c r="H873" s="136"/>
      <c r="I873" s="136" t="str">
        <f>VLOOKUP(tbl_IO_List[[#This Row],[Destination]],tbl_Junction[],2,FALSE)</f>
        <v>MCC Room</v>
      </c>
      <c r="J873" s="136" t="s">
        <v>114</v>
      </c>
      <c r="K873" s="136" t="s">
        <v>136</v>
      </c>
      <c r="L873" s="136" t="s">
        <v>411</v>
      </c>
      <c r="M873" s="136" t="e">
        <f>VLOOKUP(tbl_IO_List[[#This Row],[Instruement Tag]],tbl_Instruement_List[],2,FALSE)</f>
        <v>#N/A</v>
      </c>
      <c r="N873" s="136" t="s">
        <v>15</v>
      </c>
      <c r="O873" s="136" t="s">
        <v>121</v>
      </c>
      <c r="P873" s="136" t="s">
        <v>137</v>
      </c>
      <c r="Q873" s="136" t="e">
        <f>VLOOKUP(tbl_IO_List[[#This Row],[Instruement Tag]],tbl_Instruement_List[],6,FALSE)</f>
        <v>#N/A</v>
      </c>
      <c r="R873" s="136"/>
      <c r="S87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873" s="136" t="str">
        <f>tbl_IO_List[[#This Row],[Instruement Tag]]&amp;"_"&amp;tbl_IO_List[[#This Row],[I/O Type]]&amp;"_"&amp;tbl_IO_List[[#This Row],[IO-Point 
(Instruement)]]</f>
        <v>Spare_DI_0</v>
      </c>
      <c r="U873" s="136" t="s">
        <v>8</v>
      </c>
      <c r="V873" s="136">
        <f>VLOOKUP(tbl_IO_List[[#This Row],[I/O Type]],tbl_Slot_Group[],2,FALSE)</f>
        <v>1</v>
      </c>
      <c r="W873" s="136">
        <v>0</v>
      </c>
      <c r="X873" s="136" t="str">
        <f>tbl_IO_List[[#This Row],[Chassis]]&amp;"S"&amp;TEXT(tbl_IO_List[[#This Row],[Slot]],"00")</f>
        <v>C7S01</v>
      </c>
      <c r="Y873" s="136" t="str">
        <f>tbl_IO_List[[#This Row],[Chassis]]&amp;"S"&amp;TEXT(tbl_IO_List[[#This Row],[Slot]],"00")&amp;tbl_IO_List[[#This Row],[I/O Type]]&amp;TEXT(tbl_IO_List[[#This Row],[Point]],"00")</f>
        <v>C7S01DI05</v>
      </c>
      <c r="Z873" s="136" t="str">
        <f>tbl_IO_List[[#This Row],[Chassis]]&amp;"S"&amp;TEXT(tbl_IO_List[[#This Row],[Slot]],"00")&amp;","&amp;TEXT(tbl_IO_List[[#This Row],[Point]],"00")</f>
        <v>C7S01,05</v>
      </c>
      <c r="AA873" s="136" t="e">
        <f>VLOOKUP(tbl_IO_List[[#This Row],[Column23]],tbl_RackConfig[],5,FALSE) &amp;"-"&amp;tbl_IO_List[[#This Row],[Point]]</f>
        <v>#N/A</v>
      </c>
      <c r="AB873" s="136"/>
      <c r="AC873" s="136"/>
      <c r="AD873" s="136" t="str">
        <f>tbl_IO_List[[#This Row],[I/O Type]]</f>
        <v>DI</v>
      </c>
      <c r="AE873" s="136" t="s">
        <v>1368</v>
      </c>
      <c r="AF873" s="136">
        <v>1</v>
      </c>
      <c r="AG873" s="136">
        <v>5</v>
      </c>
      <c r="AH873" s="136"/>
      <c r="AI873" s="136"/>
      <c r="AJ873" s="136">
        <v>1</v>
      </c>
      <c r="AK873" s="136">
        <v>0</v>
      </c>
      <c r="AL873" s="136">
        <v>0</v>
      </c>
      <c r="AM873" s="136">
        <v>0</v>
      </c>
      <c r="AN873" s="136">
        <v>0</v>
      </c>
      <c r="AO873" s="136"/>
      <c r="AP873" s="143" t="e">
        <f>VLOOKUP(tbl_IO_List[[#This Row],[Instruement Tag]],tbl_Instruement_List[],14,FALSE)</f>
        <v>#N/A</v>
      </c>
      <c r="AQ873" s="143" t="str">
        <f>tbl_IO_List[[#This Row],[Chassis]]&amp;"S"&amp;tbl_IO_List[[#This Row],[Slot]]&amp;"-"&amp;tbl_IO_List[[#This Row],[Front Terminal Number]]</f>
        <v>C7S1-</v>
      </c>
      <c r="AR873" s="143"/>
      <c r="AS873" s="136" t="str">
        <f>tbl_IO_List[[#This Row],[Terminal Tagging]]&amp;"-"&amp;tbl_IO_List[[#This Row],[Point-Count]]</f>
        <v>-</v>
      </c>
      <c r="AT873" s="136" t="str">
        <f>tbl_IO_List[[#This Row],[Front Terminal Tagging]]&amp;"/"&amp;tbl_IO_List[[#This Row],[Terminal Tagging-Item]]</f>
        <v>C7S1-/-</v>
      </c>
      <c r="AU873" s="136" t="str">
        <f>tbl_IO_List[[#This Row],[Terminal Tagging-Item]]&amp;"/"&amp;tbl_IO_List[[#This Row],[Front Terminal Tagging]]</f>
        <v>-/C7S1-</v>
      </c>
    </row>
    <row r="874" spans="1:47" hidden="1">
      <c r="A874" s="136" t="s">
        <v>1307</v>
      </c>
      <c r="B874" s="136" t="s">
        <v>1307</v>
      </c>
      <c r="C874" s="136" t="str">
        <f>tbl_IO_List[[#This Row],[Column3]]</f>
        <v>C7S01,06</v>
      </c>
      <c r="D874" s="136" t="e">
        <f>tbl_IO_List[[#This Row],[Card]]</f>
        <v>#N/A</v>
      </c>
      <c r="E874" s="136"/>
      <c r="F874" s="136" t="str">
        <f>tbl_IO_List[[#This Row],[Column23]]&amp;"-" &amp;tbl_IO_List[[#This Row],[Column52]]</f>
        <v>C7S01-</v>
      </c>
      <c r="G874" s="136" t="str">
        <f>tbl_IO_List[[#This Row],[PLC_Tag]]</f>
        <v>Spare_DI_0</v>
      </c>
      <c r="H874" s="136"/>
      <c r="I874" s="136" t="str">
        <f>VLOOKUP(tbl_IO_List[[#This Row],[Destination]],tbl_Junction[],2,FALSE)</f>
        <v>MCC Room</v>
      </c>
      <c r="J874" s="136" t="s">
        <v>114</v>
      </c>
      <c r="K874" s="136" t="s">
        <v>136</v>
      </c>
      <c r="L874" s="136" t="s">
        <v>411</v>
      </c>
      <c r="M874" s="136" t="e">
        <f>VLOOKUP(tbl_IO_List[[#This Row],[Instruement Tag]],tbl_Instruement_List[],2,FALSE)</f>
        <v>#N/A</v>
      </c>
      <c r="N874" s="136" t="s">
        <v>15</v>
      </c>
      <c r="O874" s="136" t="s">
        <v>121</v>
      </c>
      <c r="P874" s="136" t="s">
        <v>137</v>
      </c>
      <c r="Q874" s="136" t="e">
        <f>VLOOKUP(tbl_IO_List[[#This Row],[Instruement Tag]],tbl_Instruement_List[],6,FALSE)</f>
        <v>#N/A</v>
      </c>
      <c r="R874" s="136"/>
      <c r="S87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874" s="136" t="str">
        <f>tbl_IO_List[[#This Row],[Instruement Tag]]&amp;"_"&amp;tbl_IO_List[[#This Row],[I/O Type]]&amp;"_"&amp;tbl_IO_List[[#This Row],[IO-Point 
(Instruement)]]</f>
        <v>Spare_DI_0</v>
      </c>
      <c r="U874" s="136" t="s">
        <v>8</v>
      </c>
      <c r="V874" s="136">
        <f>VLOOKUP(tbl_IO_List[[#This Row],[I/O Type]],tbl_Slot_Group[],2,FALSE)</f>
        <v>1</v>
      </c>
      <c r="W874" s="136">
        <v>0</v>
      </c>
      <c r="X874" s="136" t="str">
        <f>tbl_IO_List[[#This Row],[Chassis]]&amp;"S"&amp;TEXT(tbl_IO_List[[#This Row],[Slot]],"00")</f>
        <v>C7S01</v>
      </c>
      <c r="Y874" s="136" t="str">
        <f>tbl_IO_List[[#This Row],[Chassis]]&amp;"S"&amp;TEXT(tbl_IO_List[[#This Row],[Slot]],"00")&amp;tbl_IO_List[[#This Row],[I/O Type]]&amp;TEXT(tbl_IO_List[[#This Row],[Point]],"00")</f>
        <v>C7S01DI06</v>
      </c>
      <c r="Z874" s="136" t="str">
        <f>tbl_IO_List[[#This Row],[Chassis]]&amp;"S"&amp;TEXT(tbl_IO_List[[#This Row],[Slot]],"00")&amp;","&amp;TEXT(tbl_IO_List[[#This Row],[Point]],"00")</f>
        <v>C7S01,06</v>
      </c>
      <c r="AA874" s="136" t="e">
        <f>VLOOKUP(tbl_IO_List[[#This Row],[Column23]],tbl_RackConfig[],5,FALSE) &amp;"-"&amp;tbl_IO_List[[#This Row],[Point]]</f>
        <v>#N/A</v>
      </c>
      <c r="AB874" s="136"/>
      <c r="AC874" s="136"/>
      <c r="AD874" s="136" t="str">
        <f>tbl_IO_List[[#This Row],[I/O Type]]</f>
        <v>DI</v>
      </c>
      <c r="AE874" s="136" t="s">
        <v>1368</v>
      </c>
      <c r="AF874" s="136">
        <v>1</v>
      </c>
      <c r="AG874" s="136">
        <v>6</v>
      </c>
      <c r="AH874" s="136"/>
      <c r="AI874" s="136"/>
      <c r="AJ874" s="136">
        <v>1</v>
      </c>
      <c r="AK874" s="136">
        <v>0</v>
      </c>
      <c r="AL874" s="136">
        <v>0</v>
      </c>
      <c r="AM874" s="136">
        <v>0</v>
      </c>
      <c r="AN874" s="136">
        <v>0</v>
      </c>
      <c r="AO874" s="136"/>
      <c r="AP874" s="143" t="e">
        <f>VLOOKUP(tbl_IO_List[[#This Row],[Instruement Tag]],tbl_Instruement_List[],14,FALSE)</f>
        <v>#N/A</v>
      </c>
      <c r="AQ874" s="143" t="str">
        <f>tbl_IO_List[[#This Row],[Chassis]]&amp;"S"&amp;tbl_IO_List[[#This Row],[Slot]]&amp;"-"&amp;tbl_IO_List[[#This Row],[Front Terminal Number]]</f>
        <v>C7S1-</v>
      </c>
      <c r="AR874" s="143"/>
      <c r="AS874" s="136" t="str">
        <f>tbl_IO_List[[#This Row],[Terminal Tagging]]&amp;"-"&amp;tbl_IO_List[[#This Row],[Point-Count]]</f>
        <v>-</v>
      </c>
      <c r="AT874" s="136" t="str">
        <f>tbl_IO_List[[#This Row],[Front Terminal Tagging]]&amp;"/"&amp;tbl_IO_List[[#This Row],[Terminal Tagging-Item]]</f>
        <v>C7S1-/-</v>
      </c>
      <c r="AU874" s="136" t="str">
        <f>tbl_IO_List[[#This Row],[Terminal Tagging-Item]]&amp;"/"&amp;tbl_IO_List[[#This Row],[Front Terminal Tagging]]</f>
        <v>-/C7S1-</v>
      </c>
    </row>
    <row r="875" spans="1:47" hidden="1">
      <c r="A875" s="136" t="s">
        <v>1307</v>
      </c>
      <c r="B875" s="136" t="s">
        <v>1307</v>
      </c>
      <c r="C875" s="136" t="str">
        <f>tbl_IO_List[[#This Row],[Column3]]</f>
        <v>C7S01,07</v>
      </c>
      <c r="D875" s="136" t="e">
        <f>tbl_IO_List[[#This Row],[Card]]</f>
        <v>#N/A</v>
      </c>
      <c r="E875" s="136"/>
      <c r="F875" s="136" t="str">
        <f>tbl_IO_List[[#This Row],[Column23]]&amp;"-" &amp;tbl_IO_List[[#This Row],[Column52]]</f>
        <v>C7S01-</v>
      </c>
      <c r="G875" s="136" t="str">
        <f>tbl_IO_List[[#This Row],[PLC_Tag]]</f>
        <v>Spare_DI_0</v>
      </c>
      <c r="H875" s="136"/>
      <c r="I875" s="136" t="str">
        <f>VLOOKUP(tbl_IO_List[[#This Row],[Destination]],tbl_Junction[],2,FALSE)</f>
        <v>MCC Room</v>
      </c>
      <c r="J875" s="136" t="s">
        <v>114</v>
      </c>
      <c r="K875" s="136" t="s">
        <v>136</v>
      </c>
      <c r="L875" s="136" t="s">
        <v>411</v>
      </c>
      <c r="M875" s="136" t="e">
        <f>VLOOKUP(tbl_IO_List[[#This Row],[Instruement Tag]],tbl_Instruement_List[],2,FALSE)</f>
        <v>#N/A</v>
      </c>
      <c r="N875" s="136" t="s">
        <v>15</v>
      </c>
      <c r="O875" s="136" t="s">
        <v>121</v>
      </c>
      <c r="P875" s="136" t="s">
        <v>137</v>
      </c>
      <c r="Q875" s="136" t="e">
        <f>VLOOKUP(tbl_IO_List[[#This Row],[Instruement Tag]],tbl_Instruement_List[],6,FALSE)</f>
        <v>#N/A</v>
      </c>
      <c r="R875" s="136"/>
      <c r="S87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875" s="136" t="str">
        <f>tbl_IO_List[[#This Row],[Instruement Tag]]&amp;"_"&amp;tbl_IO_List[[#This Row],[I/O Type]]&amp;"_"&amp;tbl_IO_List[[#This Row],[IO-Point 
(Instruement)]]</f>
        <v>Spare_DI_0</v>
      </c>
      <c r="U875" s="136" t="s">
        <v>8</v>
      </c>
      <c r="V875" s="136">
        <f>VLOOKUP(tbl_IO_List[[#This Row],[I/O Type]],tbl_Slot_Group[],2,FALSE)</f>
        <v>1</v>
      </c>
      <c r="W875" s="136">
        <v>0</v>
      </c>
      <c r="X875" s="136" t="str">
        <f>tbl_IO_List[[#This Row],[Chassis]]&amp;"S"&amp;TEXT(tbl_IO_List[[#This Row],[Slot]],"00")</f>
        <v>C7S01</v>
      </c>
      <c r="Y875" s="136" t="str">
        <f>tbl_IO_List[[#This Row],[Chassis]]&amp;"S"&amp;TEXT(tbl_IO_List[[#This Row],[Slot]],"00")&amp;tbl_IO_List[[#This Row],[I/O Type]]&amp;TEXT(tbl_IO_List[[#This Row],[Point]],"00")</f>
        <v>C7S01DI07</v>
      </c>
      <c r="Z875" s="136" t="str">
        <f>tbl_IO_List[[#This Row],[Chassis]]&amp;"S"&amp;TEXT(tbl_IO_List[[#This Row],[Slot]],"00")&amp;","&amp;TEXT(tbl_IO_List[[#This Row],[Point]],"00")</f>
        <v>C7S01,07</v>
      </c>
      <c r="AA875" s="136" t="e">
        <f>VLOOKUP(tbl_IO_List[[#This Row],[Column23]],tbl_RackConfig[],5,FALSE) &amp;"-"&amp;tbl_IO_List[[#This Row],[Point]]</f>
        <v>#N/A</v>
      </c>
      <c r="AB875" s="136"/>
      <c r="AC875" s="136"/>
      <c r="AD875" s="136" t="str">
        <f>tbl_IO_List[[#This Row],[I/O Type]]</f>
        <v>DI</v>
      </c>
      <c r="AE875" s="136" t="s">
        <v>1368</v>
      </c>
      <c r="AF875" s="136">
        <v>1</v>
      </c>
      <c r="AG875" s="136">
        <v>7</v>
      </c>
      <c r="AH875" s="136"/>
      <c r="AI875" s="136"/>
      <c r="AJ875" s="136">
        <v>1</v>
      </c>
      <c r="AK875" s="136">
        <v>0</v>
      </c>
      <c r="AL875" s="136">
        <v>0</v>
      </c>
      <c r="AM875" s="136">
        <v>0</v>
      </c>
      <c r="AN875" s="136">
        <v>0</v>
      </c>
      <c r="AO875" s="136"/>
      <c r="AP875" s="143" t="e">
        <f>VLOOKUP(tbl_IO_List[[#This Row],[Instruement Tag]],tbl_Instruement_List[],14,FALSE)</f>
        <v>#N/A</v>
      </c>
      <c r="AQ875" s="143" t="str">
        <f>tbl_IO_List[[#This Row],[Chassis]]&amp;"S"&amp;tbl_IO_List[[#This Row],[Slot]]&amp;"-"&amp;tbl_IO_List[[#This Row],[Front Terminal Number]]</f>
        <v>C7S1-</v>
      </c>
      <c r="AR875" s="143"/>
      <c r="AS875" s="136" t="str">
        <f>tbl_IO_List[[#This Row],[Terminal Tagging]]&amp;"-"&amp;tbl_IO_List[[#This Row],[Point-Count]]</f>
        <v>-</v>
      </c>
      <c r="AT875" s="136" t="str">
        <f>tbl_IO_List[[#This Row],[Front Terminal Tagging]]&amp;"/"&amp;tbl_IO_List[[#This Row],[Terminal Tagging-Item]]</f>
        <v>C7S1-/-</v>
      </c>
      <c r="AU875" s="136" t="str">
        <f>tbl_IO_List[[#This Row],[Terminal Tagging-Item]]&amp;"/"&amp;tbl_IO_List[[#This Row],[Front Terminal Tagging]]</f>
        <v>-/C7S1-</v>
      </c>
    </row>
    <row r="876" spans="1:47" hidden="1">
      <c r="A876" s="136" t="s">
        <v>1307</v>
      </c>
      <c r="B876" s="136" t="s">
        <v>1307</v>
      </c>
      <c r="C876" s="136" t="str">
        <f>tbl_IO_List[[#This Row],[Column3]]</f>
        <v>C7S01,08</v>
      </c>
      <c r="D876" s="136" t="e">
        <f>tbl_IO_List[[#This Row],[Card]]</f>
        <v>#N/A</v>
      </c>
      <c r="E876" s="136"/>
      <c r="F876" s="136" t="str">
        <f>tbl_IO_List[[#This Row],[Column23]]&amp;"-" &amp;tbl_IO_List[[#This Row],[Column52]]</f>
        <v>C7S01-</v>
      </c>
      <c r="G876" s="136" t="str">
        <f>tbl_IO_List[[#This Row],[PLC_Tag]]</f>
        <v>ATY-40201_DI_1</v>
      </c>
      <c r="H876" s="136"/>
      <c r="I876" s="136" t="str">
        <f>VLOOKUP(tbl_IO_List[[#This Row],[Destination]],tbl_Junction[],2,FALSE)</f>
        <v>MCC Room</v>
      </c>
      <c r="J876" s="136" t="s">
        <v>114</v>
      </c>
      <c r="K876" s="136" t="s">
        <v>136</v>
      </c>
      <c r="L876" s="136" t="s">
        <v>841</v>
      </c>
      <c r="M876" s="136" t="str">
        <f>VLOOKUP(tbl_IO_List[[#This Row],[Instruement Tag]],tbl_Instruement_List[],2,FALSE)</f>
        <v>Tank Agitator</v>
      </c>
      <c r="N876" s="136" t="s">
        <v>15</v>
      </c>
      <c r="O876" s="136" t="s">
        <v>121</v>
      </c>
      <c r="P876" s="136" t="s">
        <v>137</v>
      </c>
      <c r="Q876" s="136" t="str">
        <f>VLOOKUP(tbl_IO_List[[#This Row],[Instruement Tag]],tbl_Instruement_List[],6,FALSE)</f>
        <v xml:space="preserve"> Start / Stop Command for VSD AT-40201</v>
      </c>
      <c r="R876" s="136"/>
      <c r="S87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3,DO=1,AI=0,AO=0,Bus=1</v>
      </c>
      <c r="T876" s="136" t="str">
        <f>tbl_IO_List[[#This Row],[Instruement Tag]]&amp;"_"&amp;tbl_IO_List[[#This Row],[I/O Type]]&amp;"_"&amp;tbl_IO_List[[#This Row],[IO-Point 
(Instruement)]]</f>
        <v>ATY-40201_DI_1</v>
      </c>
      <c r="U876" s="136" t="s">
        <v>8</v>
      </c>
      <c r="V876" s="136">
        <f>VLOOKUP(tbl_IO_List[[#This Row],[I/O Type]],tbl_Slot_Group[],2,FALSE)</f>
        <v>1</v>
      </c>
      <c r="W876" s="136">
        <v>1</v>
      </c>
      <c r="X876" s="136" t="str">
        <f>tbl_IO_List[[#This Row],[Chassis]]&amp;"S"&amp;TEXT(tbl_IO_List[[#This Row],[Slot]],"00")</f>
        <v>C7S01</v>
      </c>
      <c r="Y876" s="136" t="str">
        <f>tbl_IO_List[[#This Row],[Chassis]]&amp;"S"&amp;TEXT(tbl_IO_List[[#This Row],[Slot]],"00")&amp;tbl_IO_List[[#This Row],[I/O Type]]&amp;TEXT(tbl_IO_List[[#This Row],[Point]],"00")</f>
        <v>C7S01DI08</v>
      </c>
      <c r="Z876" s="136" t="str">
        <f>tbl_IO_List[[#This Row],[Chassis]]&amp;"S"&amp;TEXT(tbl_IO_List[[#This Row],[Slot]],"00")&amp;","&amp;TEXT(tbl_IO_List[[#This Row],[Point]],"00")</f>
        <v>C7S01,08</v>
      </c>
      <c r="AA876" s="136" t="e">
        <f>VLOOKUP(tbl_IO_List[[#This Row],[Column23]],tbl_RackConfig[],5,FALSE) &amp;"-"&amp;tbl_IO_List[[#This Row],[Point]]</f>
        <v>#N/A</v>
      </c>
      <c r="AB876" s="136"/>
      <c r="AC876" s="136"/>
      <c r="AD876" s="136" t="str">
        <f>tbl_IO_List[[#This Row],[I/O Type]]</f>
        <v>DI</v>
      </c>
      <c r="AE876" s="136" t="s">
        <v>1368</v>
      </c>
      <c r="AF876" s="136">
        <v>1</v>
      </c>
      <c r="AG876" s="136">
        <v>8</v>
      </c>
      <c r="AH876" s="136"/>
      <c r="AI876" s="136"/>
      <c r="AJ876" s="136">
        <v>3</v>
      </c>
      <c r="AK876" s="136">
        <v>1</v>
      </c>
      <c r="AL876" s="136">
        <v>0</v>
      </c>
      <c r="AM876" s="136">
        <v>0</v>
      </c>
      <c r="AN876" s="136">
        <v>1</v>
      </c>
      <c r="AO876" s="136"/>
      <c r="AP876" s="143" t="str">
        <f>VLOOKUP(tbl_IO_List[[#This Row],[Instruement Tag]],tbl_Instruement_List[],14,FALSE)</f>
        <v>24 VDC energized</v>
      </c>
      <c r="AQ876" s="143" t="str">
        <f>tbl_IO_List[[#This Row],[Chassis]]&amp;"S"&amp;tbl_IO_List[[#This Row],[Slot]]&amp;"-"&amp;tbl_IO_List[[#This Row],[Front Terminal Number]]</f>
        <v>C7S1-</v>
      </c>
      <c r="AR876" s="143"/>
      <c r="AS876" s="136" t="str">
        <f>tbl_IO_List[[#This Row],[Terminal Tagging]]&amp;"-"&amp;tbl_IO_List[[#This Row],[Point-Count]]</f>
        <v>-</v>
      </c>
      <c r="AT876" s="136" t="str">
        <f>tbl_IO_List[[#This Row],[Front Terminal Tagging]]&amp;"/"&amp;tbl_IO_List[[#This Row],[Terminal Tagging-Item]]</f>
        <v>C7S1-/-</v>
      </c>
      <c r="AU876" s="136" t="str">
        <f>tbl_IO_List[[#This Row],[Terminal Tagging-Item]]&amp;"/"&amp;tbl_IO_List[[#This Row],[Front Terminal Tagging]]</f>
        <v>-/C7S1-</v>
      </c>
    </row>
    <row r="877" spans="1:47" hidden="1">
      <c r="A877" s="136" t="s">
        <v>1307</v>
      </c>
      <c r="B877" s="136" t="s">
        <v>1307</v>
      </c>
      <c r="C877" s="136" t="str">
        <f>tbl_IO_List[[#This Row],[Column3]]</f>
        <v>C7S01,09</v>
      </c>
      <c r="D877" s="136" t="e">
        <f>tbl_IO_List[[#This Row],[Card]]</f>
        <v>#N/A</v>
      </c>
      <c r="E877" s="136"/>
      <c r="F877" s="136" t="str">
        <f>tbl_IO_List[[#This Row],[Column23]]&amp;"-" &amp;tbl_IO_List[[#This Row],[Column52]]</f>
        <v>C7S01-</v>
      </c>
      <c r="G877" s="136" t="str">
        <f>tbl_IO_List[[#This Row],[PLC_Tag]]</f>
        <v>ATY-40201_DI_2</v>
      </c>
      <c r="H877" s="136"/>
      <c r="I877" s="136" t="str">
        <f>VLOOKUP(tbl_IO_List[[#This Row],[Destination]],tbl_Junction[],2,FALSE)</f>
        <v>MCC Room</v>
      </c>
      <c r="J877" s="136" t="s">
        <v>114</v>
      </c>
      <c r="K877" s="136" t="s">
        <v>136</v>
      </c>
      <c r="L877" s="136" t="s">
        <v>841</v>
      </c>
      <c r="M877" s="136" t="str">
        <f>VLOOKUP(tbl_IO_List[[#This Row],[Instruement Tag]],tbl_Instruement_List[],2,FALSE)</f>
        <v>Tank Agitator</v>
      </c>
      <c r="N877" s="136" t="s">
        <v>15</v>
      </c>
      <c r="O877" s="136" t="s">
        <v>121</v>
      </c>
      <c r="P877" s="136" t="s">
        <v>137</v>
      </c>
      <c r="Q877" s="136" t="str">
        <f>VLOOKUP(tbl_IO_List[[#This Row],[Instruement Tag]],tbl_Instruement_List[],6,FALSE)</f>
        <v xml:space="preserve"> Start / Stop Command for VSD AT-40201</v>
      </c>
      <c r="R877" s="136"/>
      <c r="S87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3,DO=1,AI=0,AO=0,Bus=1</v>
      </c>
      <c r="T877" s="136" t="str">
        <f>tbl_IO_List[[#This Row],[Instruement Tag]]&amp;"_"&amp;tbl_IO_List[[#This Row],[I/O Type]]&amp;"_"&amp;tbl_IO_List[[#This Row],[IO-Point 
(Instruement)]]</f>
        <v>ATY-40201_DI_2</v>
      </c>
      <c r="U877" s="136" t="s">
        <v>8</v>
      </c>
      <c r="V877" s="136">
        <f>VLOOKUP(tbl_IO_List[[#This Row],[I/O Type]],tbl_Slot_Group[],2,FALSE)</f>
        <v>1</v>
      </c>
      <c r="W877" s="136">
        <v>2</v>
      </c>
      <c r="X877" s="136" t="str">
        <f>tbl_IO_List[[#This Row],[Chassis]]&amp;"S"&amp;TEXT(tbl_IO_List[[#This Row],[Slot]],"00")</f>
        <v>C7S01</v>
      </c>
      <c r="Y877" s="136" t="str">
        <f>tbl_IO_List[[#This Row],[Chassis]]&amp;"S"&amp;TEXT(tbl_IO_List[[#This Row],[Slot]],"00")&amp;tbl_IO_List[[#This Row],[I/O Type]]&amp;TEXT(tbl_IO_List[[#This Row],[Point]],"00")</f>
        <v>C7S01DI09</v>
      </c>
      <c r="Z877" s="136" t="str">
        <f>tbl_IO_List[[#This Row],[Chassis]]&amp;"S"&amp;TEXT(tbl_IO_List[[#This Row],[Slot]],"00")&amp;","&amp;TEXT(tbl_IO_List[[#This Row],[Point]],"00")</f>
        <v>C7S01,09</v>
      </c>
      <c r="AA877" s="136" t="e">
        <f>VLOOKUP(tbl_IO_List[[#This Row],[Column23]],tbl_RackConfig[],5,FALSE) &amp;"-"&amp;tbl_IO_List[[#This Row],[Point]]</f>
        <v>#N/A</v>
      </c>
      <c r="AB877" s="136"/>
      <c r="AC877" s="136"/>
      <c r="AD877" s="136" t="str">
        <f>tbl_IO_List[[#This Row],[I/O Type]]</f>
        <v>DI</v>
      </c>
      <c r="AE877" s="136" t="s">
        <v>1368</v>
      </c>
      <c r="AF877" s="136">
        <v>1</v>
      </c>
      <c r="AG877" s="136">
        <v>9</v>
      </c>
      <c r="AH877" s="136"/>
      <c r="AI877" s="136"/>
      <c r="AJ877" s="136">
        <v>3</v>
      </c>
      <c r="AK877" s="136">
        <v>1</v>
      </c>
      <c r="AL877" s="136">
        <v>0</v>
      </c>
      <c r="AM877" s="136">
        <v>0</v>
      </c>
      <c r="AN877" s="136">
        <v>1</v>
      </c>
      <c r="AO877" s="136"/>
      <c r="AP877" s="143" t="str">
        <f>VLOOKUP(tbl_IO_List[[#This Row],[Instruement Tag]],tbl_Instruement_List[],14,FALSE)</f>
        <v>24 VDC energized</v>
      </c>
      <c r="AQ877" s="143" t="str">
        <f>tbl_IO_List[[#This Row],[Chassis]]&amp;"S"&amp;tbl_IO_List[[#This Row],[Slot]]&amp;"-"&amp;tbl_IO_List[[#This Row],[Front Terminal Number]]</f>
        <v>C7S1-</v>
      </c>
      <c r="AR877" s="143"/>
      <c r="AS877" s="136" t="str">
        <f>tbl_IO_List[[#This Row],[Terminal Tagging]]&amp;"-"&amp;tbl_IO_List[[#This Row],[Point-Count]]</f>
        <v>-</v>
      </c>
      <c r="AT877" s="136" t="str">
        <f>tbl_IO_List[[#This Row],[Front Terminal Tagging]]&amp;"/"&amp;tbl_IO_List[[#This Row],[Terminal Tagging-Item]]</f>
        <v>C7S1-/-</v>
      </c>
      <c r="AU877" s="136" t="str">
        <f>tbl_IO_List[[#This Row],[Terminal Tagging-Item]]&amp;"/"&amp;tbl_IO_List[[#This Row],[Front Terminal Tagging]]</f>
        <v>-/C7S1-</v>
      </c>
    </row>
    <row r="878" spans="1:47" hidden="1">
      <c r="A878" s="136" t="s">
        <v>1307</v>
      </c>
      <c r="B878" s="136" t="s">
        <v>1307</v>
      </c>
      <c r="C878" s="136" t="str">
        <f>tbl_IO_List[[#This Row],[Column3]]</f>
        <v>C7S01,10</v>
      </c>
      <c r="D878" s="136" t="e">
        <f>tbl_IO_List[[#This Row],[Card]]</f>
        <v>#N/A</v>
      </c>
      <c r="E878" s="136"/>
      <c r="F878" s="136" t="str">
        <f>tbl_IO_List[[#This Row],[Column23]]&amp;"-" &amp;tbl_IO_List[[#This Row],[Column52]]</f>
        <v>C7S01-</v>
      </c>
      <c r="G878" s="136" t="str">
        <f>tbl_IO_List[[#This Row],[PLC_Tag]]</f>
        <v>ATY-40201_DI_3</v>
      </c>
      <c r="H878" s="136"/>
      <c r="I878" s="136" t="str">
        <f>VLOOKUP(tbl_IO_List[[#This Row],[Destination]],tbl_Junction[],2,FALSE)</f>
        <v>MCC Room</v>
      </c>
      <c r="J878" s="136" t="s">
        <v>114</v>
      </c>
      <c r="K878" s="136" t="s">
        <v>136</v>
      </c>
      <c r="L878" s="136" t="s">
        <v>841</v>
      </c>
      <c r="M878" s="136" t="str">
        <f>VLOOKUP(tbl_IO_List[[#This Row],[Instruement Tag]],tbl_Instruement_List[],2,FALSE)</f>
        <v>Tank Agitator</v>
      </c>
      <c r="N878" s="136" t="s">
        <v>15</v>
      </c>
      <c r="O878" s="136" t="s">
        <v>121</v>
      </c>
      <c r="P878" s="136" t="s">
        <v>137</v>
      </c>
      <c r="Q878" s="136" t="str">
        <f>VLOOKUP(tbl_IO_List[[#This Row],[Instruement Tag]],tbl_Instruement_List[],6,FALSE)</f>
        <v xml:space="preserve"> Start / Stop Command for VSD AT-40201</v>
      </c>
      <c r="R878" s="136"/>
      <c r="S87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3,DO=1,AI=0,AO=0,Bus=1</v>
      </c>
      <c r="T878" s="136" t="str">
        <f>tbl_IO_List[[#This Row],[Instruement Tag]]&amp;"_"&amp;tbl_IO_List[[#This Row],[I/O Type]]&amp;"_"&amp;tbl_IO_List[[#This Row],[IO-Point 
(Instruement)]]</f>
        <v>ATY-40201_DI_3</v>
      </c>
      <c r="U878" s="136" t="s">
        <v>8</v>
      </c>
      <c r="V878" s="136">
        <f>VLOOKUP(tbl_IO_List[[#This Row],[I/O Type]],tbl_Slot_Group[],2,FALSE)</f>
        <v>1</v>
      </c>
      <c r="W878" s="136">
        <v>3</v>
      </c>
      <c r="X878" s="136" t="str">
        <f>tbl_IO_List[[#This Row],[Chassis]]&amp;"S"&amp;TEXT(tbl_IO_List[[#This Row],[Slot]],"00")</f>
        <v>C7S01</v>
      </c>
      <c r="Y878" s="136" t="str">
        <f>tbl_IO_List[[#This Row],[Chassis]]&amp;"S"&amp;TEXT(tbl_IO_List[[#This Row],[Slot]],"00")&amp;tbl_IO_List[[#This Row],[I/O Type]]&amp;TEXT(tbl_IO_List[[#This Row],[Point]],"00")</f>
        <v>C7S01DI10</v>
      </c>
      <c r="Z878" s="136" t="str">
        <f>tbl_IO_List[[#This Row],[Chassis]]&amp;"S"&amp;TEXT(tbl_IO_List[[#This Row],[Slot]],"00")&amp;","&amp;TEXT(tbl_IO_List[[#This Row],[Point]],"00")</f>
        <v>C7S01,10</v>
      </c>
      <c r="AA878" s="136" t="e">
        <f>VLOOKUP(tbl_IO_List[[#This Row],[Column23]],tbl_RackConfig[],5,FALSE) &amp;"-"&amp;tbl_IO_List[[#This Row],[Point]]</f>
        <v>#N/A</v>
      </c>
      <c r="AB878" s="136"/>
      <c r="AC878" s="136"/>
      <c r="AD878" s="136" t="str">
        <f>tbl_IO_List[[#This Row],[I/O Type]]</f>
        <v>DI</v>
      </c>
      <c r="AE878" s="136" t="s">
        <v>1368</v>
      </c>
      <c r="AF878" s="136">
        <v>1</v>
      </c>
      <c r="AG878" s="136">
        <v>10</v>
      </c>
      <c r="AH878" s="136"/>
      <c r="AI878" s="136"/>
      <c r="AJ878" s="136">
        <v>3</v>
      </c>
      <c r="AK878" s="136">
        <v>1</v>
      </c>
      <c r="AL878" s="136">
        <v>0</v>
      </c>
      <c r="AM878" s="136">
        <v>0</v>
      </c>
      <c r="AN878" s="136">
        <v>1</v>
      </c>
      <c r="AO878" s="136"/>
      <c r="AP878" s="143" t="str">
        <f>VLOOKUP(tbl_IO_List[[#This Row],[Instruement Tag]],tbl_Instruement_List[],14,FALSE)</f>
        <v>24 VDC energized</v>
      </c>
      <c r="AQ878" s="143" t="str">
        <f>tbl_IO_List[[#This Row],[Chassis]]&amp;"S"&amp;tbl_IO_List[[#This Row],[Slot]]&amp;"-"&amp;tbl_IO_List[[#This Row],[Front Terminal Number]]</f>
        <v>C7S1-</v>
      </c>
      <c r="AR878" s="143"/>
      <c r="AS878" s="136" t="str">
        <f>tbl_IO_List[[#This Row],[Terminal Tagging]]&amp;"-"&amp;tbl_IO_List[[#This Row],[Point-Count]]</f>
        <v>-</v>
      </c>
      <c r="AT878" s="136" t="str">
        <f>tbl_IO_List[[#This Row],[Front Terminal Tagging]]&amp;"/"&amp;tbl_IO_List[[#This Row],[Terminal Tagging-Item]]</f>
        <v>C7S1-/-</v>
      </c>
      <c r="AU878" s="136" t="str">
        <f>tbl_IO_List[[#This Row],[Terminal Tagging-Item]]&amp;"/"&amp;tbl_IO_List[[#This Row],[Front Terminal Tagging]]</f>
        <v>-/C7S1-</v>
      </c>
    </row>
    <row r="879" spans="1:47" hidden="1">
      <c r="A879" s="136" t="s">
        <v>1307</v>
      </c>
      <c r="B879" s="136" t="s">
        <v>1307</v>
      </c>
      <c r="C879" s="136" t="str">
        <f>tbl_IO_List[[#This Row],[Column3]]</f>
        <v>C7S01,11</v>
      </c>
      <c r="D879" s="136" t="e">
        <f>tbl_IO_List[[#This Row],[Card]]</f>
        <v>#N/A</v>
      </c>
      <c r="E879" s="136"/>
      <c r="F879" s="136" t="str">
        <f>tbl_IO_List[[#This Row],[Column23]]&amp;"-" &amp;tbl_IO_List[[#This Row],[Column52]]</f>
        <v>C7S01-</v>
      </c>
      <c r="G879" s="136" t="str">
        <f>tbl_IO_List[[#This Row],[PLC_Tag]]</f>
        <v>ATY-40202_DI_1</v>
      </c>
      <c r="H879" s="136"/>
      <c r="I879" s="136" t="str">
        <f>VLOOKUP(tbl_IO_List[[#This Row],[Destination]],tbl_Junction[],2,FALSE)</f>
        <v>MCC Room</v>
      </c>
      <c r="J879" s="136" t="s">
        <v>114</v>
      </c>
      <c r="K879" s="136" t="s">
        <v>136</v>
      </c>
      <c r="L879" s="136" t="s">
        <v>845</v>
      </c>
      <c r="M879" s="136" t="str">
        <f>VLOOKUP(tbl_IO_List[[#This Row],[Instruement Tag]],tbl_Instruement_List[],2,FALSE)</f>
        <v>Tank Agitator</v>
      </c>
      <c r="N879" s="136" t="s">
        <v>15</v>
      </c>
      <c r="O879" s="136" t="s">
        <v>121</v>
      </c>
      <c r="P879" s="136" t="s">
        <v>137</v>
      </c>
      <c r="Q879" s="136" t="str">
        <f>VLOOKUP(tbl_IO_List[[#This Row],[Instruement Tag]],tbl_Instruement_List[],6,FALSE)</f>
        <v xml:space="preserve"> Start / Stop Command for VSD AT-40202</v>
      </c>
      <c r="R879" s="136"/>
      <c r="S87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3,DO=1,AI=0,AO=0,Bus=1</v>
      </c>
      <c r="T879" s="136" t="str">
        <f>tbl_IO_List[[#This Row],[Instruement Tag]]&amp;"_"&amp;tbl_IO_List[[#This Row],[I/O Type]]&amp;"_"&amp;tbl_IO_List[[#This Row],[IO-Point 
(Instruement)]]</f>
        <v>ATY-40202_DI_1</v>
      </c>
      <c r="U879" s="136" t="s">
        <v>8</v>
      </c>
      <c r="V879" s="136">
        <f>VLOOKUP(tbl_IO_List[[#This Row],[I/O Type]],tbl_Slot_Group[],2,FALSE)</f>
        <v>1</v>
      </c>
      <c r="W879" s="136">
        <v>1</v>
      </c>
      <c r="X879" s="136" t="str">
        <f>tbl_IO_List[[#This Row],[Chassis]]&amp;"S"&amp;TEXT(tbl_IO_List[[#This Row],[Slot]],"00")</f>
        <v>C7S01</v>
      </c>
      <c r="Y879" s="136" t="str">
        <f>tbl_IO_List[[#This Row],[Chassis]]&amp;"S"&amp;TEXT(tbl_IO_List[[#This Row],[Slot]],"00")&amp;tbl_IO_List[[#This Row],[I/O Type]]&amp;TEXT(tbl_IO_List[[#This Row],[Point]],"00")</f>
        <v>C7S01DI11</v>
      </c>
      <c r="Z879" s="136" t="str">
        <f>tbl_IO_List[[#This Row],[Chassis]]&amp;"S"&amp;TEXT(tbl_IO_List[[#This Row],[Slot]],"00")&amp;","&amp;TEXT(tbl_IO_List[[#This Row],[Point]],"00")</f>
        <v>C7S01,11</v>
      </c>
      <c r="AA879" s="136" t="e">
        <f>VLOOKUP(tbl_IO_List[[#This Row],[Column23]],tbl_RackConfig[],5,FALSE) &amp;"-"&amp;tbl_IO_List[[#This Row],[Point]]</f>
        <v>#N/A</v>
      </c>
      <c r="AB879" s="136"/>
      <c r="AC879" s="136"/>
      <c r="AD879" s="136" t="str">
        <f>tbl_IO_List[[#This Row],[I/O Type]]</f>
        <v>DI</v>
      </c>
      <c r="AE879" s="136" t="s">
        <v>1368</v>
      </c>
      <c r="AF879" s="136">
        <v>1</v>
      </c>
      <c r="AG879" s="136">
        <v>11</v>
      </c>
      <c r="AH879" s="136"/>
      <c r="AI879" s="136"/>
      <c r="AJ879" s="136">
        <v>3</v>
      </c>
      <c r="AK879" s="136">
        <v>1</v>
      </c>
      <c r="AL879" s="136">
        <v>0</v>
      </c>
      <c r="AM879" s="136">
        <v>0</v>
      </c>
      <c r="AN879" s="136">
        <v>1</v>
      </c>
      <c r="AO879" s="136"/>
      <c r="AP879" s="143" t="str">
        <f>VLOOKUP(tbl_IO_List[[#This Row],[Instruement Tag]],tbl_Instruement_List[],14,FALSE)</f>
        <v>24 VDC energized</v>
      </c>
      <c r="AQ879" s="143" t="str">
        <f>tbl_IO_List[[#This Row],[Chassis]]&amp;"S"&amp;tbl_IO_List[[#This Row],[Slot]]&amp;"-"&amp;tbl_IO_List[[#This Row],[Front Terminal Number]]</f>
        <v>C7S1-</v>
      </c>
      <c r="AR879" s="143"/>
      <c r="AS879" s="136" t="str">
        <f>tbl_IO_List[[#This Row],[Terminal Tagging]]&amp;"-"&amp;tbl_IO_List[[#This Row],[Point-Count]]</f>
        <v>-</v>
      </c>
      <c r="AT879" s="136" t="str">
        <f>tbl_IO_List[[#This Row],[Front Terminal Tagging]]&amp;"/"&amp;tbl_IO_List[[#This Row],[Terminal Tagging-Item]]</f>
        <v>C7S1-/-</v>
      </c>
      <c r="AU879" s="136" t="str">
        <f>tbl_IO_List[[#This Row],[Terminal Tagging-Item]]&amp;"/"&amp;tbl_IO_List[[#This Row],[Front Terminal Tagging]]</f>
        <v>-/C7S1-</v>
      </c>
    </row>
    <row r="880" spans="1:47" hidden="1">
      <c r="A880" s="136" t="s">
        <v>1307</v>
      </c>
      <c r="B880" s="136" t="s">
        <v>1307</v>
      </c>
      <c r="C880" s="136" t="str">
        <f>tbl_IO_List[[#This Row],[Column3]]</f>
        <v>C7S01,12</v>
      </c>
      <c r="D880" s="136" t="e">
        <f>tbl_IO_List[[#This Row],[Card]]</f>
        <v>#N/A</v>
      </c>
      <c r="E880" s="136"/>
      <c r="F880" s="136" t="str">
        <f>tbl_IO_List[[#This Row],[Column23]]&amp;"-" &amp;tbl_IO_List[[#This Row],[Column52]]</f>
        <v>C7S01-</v>
      </c>
      <c r="G880" s="136" t="str">
        <f>tbl_IO_List[[#This Row],[PLC_Tag]]</f>
        <v>ATY-40202_DI_2</v>
      </c>
      <c r="H880" s="136"/>
      <c r="I880" s="136" t="str">
        <f>VLOOKUP(tbl_IO_List[[#This Row],[Destination]],tbl_Junction[],2,FALSE)</f>
        <v>MCC Room</v>
      </c>
      <c r="J880" s="136" t="s">
        <v>114</v>
      </c>
      <c r="K880" s="136" t="s">
        <v>136</v>
      </c>
      <c r="L880" s="136" t="s">
        <v>845</v>
      </c>
      <c r="M880" s="136" t="str">
        <f>VLOOKUP(tbl_IO_List[[#This Row],[Instruement Tag]],tbl_Instruement_List[],2,FALSE)</f>
        <v>Tank Agitator</v>
      </c>
      <c r="N880" s="136" t="s">
        <v>15</v>
      </c>
      <c r="O880" s="136" t="s">
        <v>121</v>
      </c>
      <c r="P880" s="136" t="s">
        <v>137</v>
      </c>
      <c r="Q880" s="136" t="str">
        <f>VLOOKUP(tbl_IO_List[[#This Row],[Instruement Tag]],tbl_Instruement_List[],6,FALSE)</f>
        <v xml:space="preserve"> Start / Stop Command for VSD AT-40202</v>
      </c>
      <c r="R880" s="136"/>
      <c r="S88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3,DO=1,AI=0,AO=0,Bus=1</v>
      </c>
      <c r="T880" s="136" t="str">
        <f>tbl_IO_List[[#This Row],[Instruement Tag]]&amp;"_"&amp;tbl_IO_List[[#This Row],[I/O Type]]&amp;"_"&amp;tbl_IO_List[[#This Row],[IO-Point 
(Instruement)]]</f>
        <v>ATY-40202_DI_2</v>
      </c>
      <c r="U880" s="136" t="s">
        <v>8</v>
      </c>
      <c r="V880" s="136">
        <f>VLOOKUP(tbl_IO_List[[#This Row],[I/O Type]],tbl_Slot_Group[],2,FALSE)</f>
        <v>1</v>
      </c>
      <c r="W880" s="136">
        <v>2</v>
      </c>
      <c r="X880" s="136" t="str">
        <f>tbl_IO_List[[#This Row],[Chassis]]&amp;"S"&amp;TEXT(tbl_IO_List[[#This Row],[Slot]],"00")</f>
        <v>C7S01</v>
      </c>
      <c r="Y880" s="136" t="str">
        <f>tbl_IO_List[[#This Row],[Chassis]]&amp;"S"&amp;TEXT(tbl_IO_List[[#This Row],[Slot]],"00")&amp;tbl_IO_List[[#This Row],[I/O Type]]&amp;TEXT(tbl_IO_List[[#This Row],[Point]],"00")</f>
        <v>C7S01DI12</v>
      </c>
      <c r="Z880" s="136" t="str">
        <f>tbl_IO_List[[#This Row],[Chassis]]&amp;"S"&amp;TEXT(tbl_IO_List[[#This Row],[Slot]],"00")&amp;","&amp;TEXT(tbl_IO_List[[#This Row],[Point]],"00")</f>
        <v>C7S01,12</v>
      </c>
      <c r="AA880" s="136" t="e">
        <f>VLOOKUP(tbl_IO_List[[#This Row],[Column23]],tbl_RackConfig[],5,FALSE) &amp;"-"&amp;tbl_IO_List[[#This Row],[Point]]</f>
        <v>#N/A</v>
      </c>
      <c r="AB880" s="136"/>
      <c r="AC880" s="136"/>
      <c r="AD880" s="136" t="str">
        <f>tbl_IO_List[[#This Row],[I/O Type]]</f>
        <v>DI</v>
      </c>
      <c r="AE880" s="136" t="s">
        <v>1368</v>
      </c>
      <c r="AF880" s="136">
        <v>1</v>
      </c>
      <c r="AG880" s="136">
        <v>12</v>
      </c>
      <c r="AH880" s="136"/>
      <c r="AI880" s="136"/>
      <c r="AJ880" s="136">
        <v>3</v>
      </c>
      <c r="AK880" s="136">
        <v>1</v>
      </c>
      <c r="AL880" s="136">
        <v>0</v>
      </c>
      <c r="AM880" s="136">
        <v>0</v>
      </c>
      <c r="AN880" s="136">
        <v>1</v>
      </c>
      <c r="AO880" s="136"/>
      <c r="AP880" s="143" t="str">
        <f>VLOOKUP(tbl_IO_List[[#This Row],[Instruement Tag]],tbl_Instruement_List[],14,FALSE)</f>
        <v>24 VDC energized</v>
      </c>
      <c r="AQ880" s="143" t="str">
        <f>tbl_IO_List[[#This Row],[Chassis]]&amp;"S"&amp;tbl_IO_List[[#This Row],[Slot]]&amp;"-"&amp;tbl_IO_List[[#This Row],[Front Terminal Number]]</f>
        <v>C7S1-</v>
      </c>
      <c r="AR880" s="143"/>
      <c r="AS880" s="136" t="str">
        <f>tbl_IO_List[[#This Row],[Terminal Tagging]]&amp;"-"&amp;tbl_IO_List[[#This Row],[Point-Count]]</f>
        <v>-</v>
      </c>
      <c r="AT880" s="136" t="str">
        <f>tbl_IO_List[[#This Row],[Front Terminal Tagging]]&amp;"/"&amp;tbl_IO_List[[#This Row],[Terminal Tagging-Item]]</f>
        <v>C7S1-/-</v>
      </c>
      <c r="AU880" s="136" t="str">
        <f>tbl_IO_List[[#This Row],[Terminal Tagging-Item]]&amp;"/"&amp;tbl_IO_List[[#This Row],[Front Terminal Tagging]]</f>
        <v>-/C7S1-</v>
      </c>
    </row>
    <row r="881" spans="1:47" hidden="1">
      <c r="A881" s="136" t="s">
        <v>1307</v>
      </c>
      <c r="B881" s="136" t="s">
        <v>1307</v>
      </c>
      <c r="C881" s="136" t="str">
        <f>tbl_IO_List[[#This Row],[Column3]]</f>
        <v>C7S01,13</v>
      </c>
      <c r="D881" s="136" t="e">
        <f>tbl_IO_List[[#This Row],[Card]]</f>
        <v>#N/A</v>
      </c>
      <c r="E881" s="136"/>
      <c r="F881" s="136" t="str">
        <f>tbl_IO_List[[#This Row],[Column23]]&amp;"-" &amp;tbl_IO_List[[#This Row],[Column52]]</f>
        <v>C7S01-</v>
      </c>
      <c r="G881" s="136" t="str">
        <f>tbl_IO_List[[#This Row],[PLC_Tag]]</f>
        <v>ATY-40202_DI_3</v>
      </c>
      <c r="H881" s="136"/>
      <c r="I881" s="136" t="str">
        <f>VLOOKUP(tbl_IO_List[[#This Row],[Destination]],tbl_Junction[],2,FALSE)</f>
        <v>MCC Room</v>
      </c>
      <c r="J881" s="136" t="s">
        <v>114</v>
      </c>
      <c r="K881" s="136" t="s">
        <v>136</v>
      </c>
      <c r="L881" s="136" t="s">
        <v>845</v>
      </c>
      <c r="M881" s="136" t="str">
        <f>VLOOKUP(tbl_IO_List[[#This Row],[Instruement Tag]],tbl_Instruement_List[],2,FALSE)</f>
        <v>Tank Agitator</v>
      </c>
      <c r="N881" s="136" t="s">
        <v>15</v>
      </c>
      <c r="O881" s="136" t="s">
        <v>121</v>
      </c>
      <c r="P881" s="136" t="s">
        <v>137</v>
      </c>
      <c r="Q881" s="136" t="str">
        <f>VLOOKUP(tbl_IO_List[[#This Row],[Instruement Tag]],tbl_Instruement_List[],6,FALSE)</f>
        <v xml:space="preserve"> Start / Stop Command for VSD AT-40202</v>
      </c>
      <c r="R881" s="136"/>
      <c r="S88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3,DO=1,AI=0,AO=0,Bus=1</v>
      </c>
      <c r="T881" s="136" t="str">
        <f>tbl_IO_List[[#This Row],[Instruement Tag]]&amp;"_"&amp;tbl_IO_List[[#This Row],[I/O Type]]&amp;"_"&amp;tbl_IO_List[[#This Row],[IO-Point 
(Instruement)]]</f>
        <v>ATY-40202_DI_3</v>
      </c>
      <c r="U881" s="136" t="s">
        <v>8</v>
      </c>
      <c r="V881" s="136">
        <f>VLOOKUP(tbl_IO_List[[#This Row],[I/O Type]],tbl_Slot_Group[],2,FALSE)</f>
        <v>1</v>
      </c>
      <c r="W881" s="136">
        <v>3</v>
      </c>
      <c r="X881" s="136" t="str">
        <f>tbl_IO_List[[#This Row],[Chassis]]&amp;"S"&amp;TEXT(tbl_IO_List[[#This Row],[Slot]],"00")</f>
        <v>C7S01</v>
      </c>
      <c r="Y881" s="136" t="str">
        <f>tbl_IO_List[[#This Row],[Chassis]]&amp;"S"&amp;TEXT(tbl_IO_List[[#This Row],[Slot]],"00")&amp;tbl_IO_List[[#This Row],[I/O Type]]&amp;TEXT(tbl_IO_List[[#This Row],[Point]],"00")</f>
        <v>C7S01DI13</v>
      </c>
      <c r="Z881" s="136" t="str">
        <f>tbl_IO_List[[#This Row],[Chassis]]&amp;"S"&amp;TEXT(tbl_IO_List[[#This Row],[Slot]],"00")&amp;","&amp;TEXT(tbl_IO_List[[#This Row],[Point]],"00")</f>
        <v>C7S01,13</v>
      </c>
      <c r="AA881" s="136" t="e">
        <f>VLOOKUP(tbl_IO_List[[#This Row],[Column23]],tbl_RackConfig[],5,FALSE) &amp;"-"&amp;tbl_IO_List[[#This Row],[Point]]</f>
        <v>#N/A</v>
      </c>
      <c r="AB881" s="136"/>
      <c r="AC881" s="136"/>
      <c r="AD881" s="136" t="str">
        <f>tbl_IO_List[[#This Row],[I/O Type]]</f>
        <v>DI</v>
      </c>
      <c r="AE881" s="136" t="s">
        <v>1368</v>
      </c>
      <c r="AF881" s="136">
        <v>1</v>
      </c>
      <c r="AG881" s="136">
        <v>13</v>
      </c>
      <c r="AH881" s="136"/>
      <c r="AI881" s="136"/>
      <c r="AJ881" s="136">
        <v>3</v>
      </c>
      <c r="AK881" s="136">
        <v>1</v>
      </c>
      <c r="AL881" s="136">
        <v>0</v>
      </c>
      <c r="AM881" s="136">
        <v>0</v>
      </c>
      <c r="AN881" s="136">
        <v>1</v>
      </c>
      <c r="AO881" s="136"/>
      <c r="AP881" s="143" t="str">
        <f>VLOOKUP(tbl_IO_List[[#This Row],[Instruement Tag]],tbl_Instruement_List[],14,FALSE)</f>
        <v>24 VDC energized</v>
      </c>
      <c r="AQ881" s="143" t="str">
        <f>tbl_IO_List[[#This Row],[Chassis]]&amp;"S"&amp;tbl_IO_List[[#This Row],[Slot]]&amp;"-"&amp;tbl_IO_List[[#This Row],[Front Terminal Number]]</f>
        <v>C7S1-</v>
      </c>
      <c r="AR881" s="143"/>
      <c r="AS881" s="136" t="str">
        <f>tbl_IO_List[[#This Row],[Terminal Tagging]]&amp;"-"&amp;tbl_IO_List[[#This Row],[Point-Count]]</f>
        <v>-</v>
      </c>
      <c r="AT881" s="136" t="str">
        <f>tbl_IO_List[[#This Row],[Front Terminal Tagging]]&amp;"/"&amp;tbl_IO_List[[#This Row],[Terminal Tagging-Item]]</f>
        <v>C7S1-/-</v>
      </c>
      <c r="AU881" s="136" t="str">
        <f>tbl_IO_List[[#This Row],[Terminal Tagging-Item]]&amp;"/"&amp;tbl_IO_List[[#This Row],[Front Terminal Tagging]]</f>
        <v>-/C7S1-</v>
      </c>
    </row>
    <row r="882" spans="1:47" hidden="1">
      <c r="A882" s="136" t="s">
        <v>1307</v>
      </c>
      <c r="B882" s="136" t="s">
        <v>1307</v>
      </c>
      <c r="C882" s="136" t="str">
        <f>tbl_IO_List[[#This Row],[Column3]]</f>
        <v>C7S01,14</v>
      </c>
      <c r="D882" s="136" t="e">
        <f>tbl_IO_List[[#This Row],[Card]]</f>
        <v>#N/A</v>
      </c>
      <c r="E882" s="136"/>
      <c r="F882" s="136" t="str">
        <f>tbl_IO_List[[#This Row],[Column23]]&amp;"-" &amp;tbl_IO_List[[#This Row],[Column52]]</f>
        <v>C7S01-</v>
      </c>
      <c r="G882" s="136" t="str">
        <f>tbl_IO_List[[#This Row],[PLC_Tag]]</f>
        <v>ATY-40203_DI_1</v>
      </c>
      <c r="H882" s="136"/>
      <c r="I882" s="136" t="str">
        <f>VLOOKUP(tbl_IO_List[[#This Row],[Destination]],tbl_Junction[],2,FALSE)</f>
        <v>MCC Room</v>
      </c>
      <c r="J882" s="136" t="s">
        <v>114</v>
      </c>
      <c r="K882" s="136" t="s">
        <v>115</v>
      </c>
      <c r="L882" s="136" t="s">
        <v>133</v>
      </c>
      <c r="M882" s="136" t="str">
        <f>VLOOKUP(tbl_IO_List[[#This Row],[Instruement Tag]],tbl_Instruement_List[],2,FALSE)</f>
        <v>Tank Agitator</v>
      </c>
      <c r="N882" s="136" t="s">
        <v>15</v>
      </c>
      <c r="O882" s="136" t="s">
        <v>116</v>
      </c>
      <c r="P882" s="136" t="s">
        <v>117</v>
      </c>
      <c r="Q882" s="136" t="str">
        <f>VLOOKUP(tbl_IO_List[[#This Row],[Instruement Tag]],tbl_Instruement_List[],6,FALSE)</f>
        <v xml:space="preserve"> Start / Stop Command for VSD AT-40203</v>
      </c>
      <c r="R882" s="136"/>
      <c r="S88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3,DO=1,AI=0,AO=0,Bus=1</v>
      </c>
      <c r="T882" s="136" t="str">
        <f>tbl_IO_List[[#This Row],[Instruement Tag]]&amp;"_"&amp;tbl_IO_List[[#This Row],[I/O Type]]&amp;"_"&amp;tbl_IO_List[[#This Row],[IO-Point 
(Instruement)]]</f>
        <v>ATY-40203_DI_1</v>
      </c>
      <c r="U882" s="136" t="s">
        <v>8</v>
      </c>
      <c r="V882" s="136">
        <f>VLOOKUP(tbl_IO_List[[#This Row],[I/O Type]],tbl_Slot_Group[],2,FALSE)</f>
        <v>1</v>
      </c>
      <c r="W882" s="136">
        <v>1</v>
      </c>
      <c r="X882" s="136" t="str">
        <f>tbl_IO_List[[#This Row],[Chassis]]&amp;"S"&amp;TEXT(tbl_IO_List[[#This Row],[Slot]],"00")</f>
        <v>C7S01</v>
      </c>
      <c r="Y882" s="136" t="str">
        <f>tbl_IO_List[[#This Row],[Chassis]]&amp;"S"&amp;TEXT(tbl_IO_List[[#This Row],[Slot]],"00")&amp;tbl_IO_List[[#This Row],[I/O Type]]&amp;TEXT(tbl_IO_List[[#This Row],[Point]],"00")</f>
        <v>C7S01DI14</v>
      </c>
      <c r="Z882" s="136" t="str">
        <f>tbl_IO_List[[#This Row],[Chassis]]&amp;"S"&amp;TEXT(tbl_IO_List[[#This Row],[Slot]],"00")&amp;","&amp;TEXT(tbl_IO_List[[#This Row],[Point]],"00")</f>
        <v>C7S01,14</v>
      </c>
      <c r="AA882" s="136" t="e">
        <f>VLOOKUP(tbl_IO_List[[#This Row],[Column23]],tbl_RackConfig[],5,FALSE) &amp;"-"&amp;tbl_IO_List[[#This Row],[Point]]</f>
        <v>#N/A</v>
      </c>
      <c r="AB882" s="136"/>
      <c r="AC882" s="136"/>
      <c r="AD882" s="136" t="str">
        <f>tbl_IO_List[[#This Row],[I/O Type]]</f>
        <v>DI</v>
      </c>
      <c r="AE882" s="136" t="s">
        <v>1368</v>
      </c>
      <c r="AF882" s="136">
        <v>1</v>
      </c>
      <c r="AG882" s="136">
        <v>14</v>
      </c>
      <c r="AH882" s="136"/>
      <c r="AI882" s="136"/>
      <c r="AJ882" s="136">
        <v>3</v>
      </c>
      <c r="AK882" s="136">
        <v>1</v>
      </c>
      <c r="AL882" s="136">
        <v>0</v>
      </c>
      <c r="AM882" s="136">
        <v>0</v>
      </c>
      <c r="AN882" s="136">
        <v>1</v>
      </c>
      <c r="AO882" s="136"/>
      <c r="AP882" s="143" t="str">
        <f>VLOOKUP(tbl_IO_List[[#This Row],[Instruement Tag]],tbl_Instruement_List[],14,FALSE)</f>
        <v>24 VDC energized</v>
      </c>
      <c r="AQ882" s="143" t="str">
        <f>tbl_IO_List[[#This Row],[Chassis]]&amp;"S"&amp;tbl_IO_List[[#This Row],[Slot]]&amp;"-"&amp;tbl_IO_List[[#This Row],[Front Terminal Number]]</f>
        <v>C7S1-</v>
      </c>
      <c r="AR882" s="143"/>
      <c r="AS882" s="136" t="str">
        <f>tbl_IO_List[[#This Row],[Terminal Tagging]]&amp;"-"&amp;tbl_IO_List[[#This Row],[Point-Count]]</f>
        <v>-</v>
      </c>
      <c r="AT882" s="136" t="str">
        <f>tbl_IO_List[[#This Row],[Front Terminal Tagging]]&amp;"/"&amp;tbl_IO_List[[#This Row],[Terminal Tagging-Item]]</f>
        <v>C7S1-/-</v>
      </c>
      <c r="AU882" s="136" t="str">
        <f>tbl_IO_List[[#This Row],[Terminal Tagging-Item]]&amp;"/"&amp;tbl_IO_List[[#This Row],[Front Terminal Tagging]]</f>
        <v>-/C7S1-</v>
      </c>
    </row>
    <row r="883" spans="1:47" hidden="1">
      <c r="A883" s="136" t="s">
        <v>1307</v>
      </c>
      <c r="B883" s="136" t="s">
        <v>1307</v>
      </c>
      <c r="C883" s="136" t="str">
        <f>tbl_IO_List[[#This Row],[Column3]]</f>
        <v>C7S01,15</v>
      </c>
      <c r="D883" s="136" t="e">
        <f>tbl_IO_List[[#This Row],[Card]]</f>
        <v>#N/A</v>
      </c>
      <c r="E883" s="136"/>
      <c r="F883" s="136" t="str">
        <f>tbl_IO_List[[#This Row],[Column23]]&amp;"-" &amp;tbl_IO_List[[#This Row],[Column52]]</f>
        <v>C7S01-</v>
      </c>
      <c r="G883" s="136" t="str">
        <f>tbl_IO_List[[#This Row],[PLC_Tag]]</f>
        <v>ATY-40203_DI_2</v>
      </c>
      <c r="H883" s="136"/>
      <c r="I883" s="136" t="str">
        <f>VLOOKUP(tbl_IO_List[[#This Row],[Destination]],tbl_Junction[],2,FALSE)</f>
        <v>MCC Room</v>
      </c>
      <c r="J883" s="136" t="s">
        <v>114</v>
      </c>
      <c r="K883" s="136" t="s">
        <v>115</v>
      </c>
      <c r="L883" s="136" t="s">
        <v>133</v>
      </c>
      <c r="M883" s="136" t="str">
        <f>VLOOKUP(tbl_IO_List[[#This Row],[Instruement Tag]],tbl_Instruement_List[],2,FALSE)</f>
        <v>Tank Agitator</v>
      </c>
      <c r="N883" s="136" t="s">
        <v>15</v>
      </c>
      <c r="O883" s="136" t="s">
        <v>116</v>
      </c>
      <c r="P883" s="136" t="s">
        <v>117</v>
      </c>
      <c r="Q883" s="136" t="str">
        <f>VLOOKUP(tbl_IO_List[[#This Row],[Instruement Tag]],tbl_Instruement_List[],6,FALSE)</f>
        <v xml:space="preserve"> Start / Stop Command for VSD AT-40203</v>
      </c>
      <c r="R883" s="136"/>
      <c r="S88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3,DO=1,AI=0,AO=0,Bus=1</v>
      </c>
      <c r="T883" s="136" t="str">
        <f>tbl_IO_List[[#This Row],[Instruement Tag]]&amp;"_"&amp;tbl_IO_List[[#This Row],[I/O Type]]&amp;"_"&amp;tbl_IO_List[[#This Row],[IO-Point 
(Instruement)]]</f>
        <v>ATY-40203_DI_2</v>
      </c>
      <c r="U883" s="136" t="s">
        <v>8</v>
      </c>
      <c r="V883" s="136">
        <f>VLOOKUP(tbl_IO_List[[#This Row],[I/O Type]],tbl_Slot_Group[],2,FALSE)</f>
        <v>1</v>
      </c>
      <c r="W883" s="136">
        <v>2</v>
      </c>
      <c r="X883" s="136" t="str">
        <f>tbl_IO_List[[#This Row],[Chassis]]&amp;"S"&amp;TEXT(tbl_IO_List[[#This Row],[Slot]],"00")</f>
        <v>C7S01</v>
      </c>
      <c r="Y883" s="136" t="str">
        <f>tbl_IO_List[[#This Row],[Chassis]]&amp;"S"&amp;TEXT(tbl_IO_List[[#This Row],[Slot]],"00")&amp;tbl_IO_List[[#This Row],[I/O Type]]&amp;TEXT(tbl_IO_List[[#This Row],[Point]],"00")</f>
        <v>C7S01DI15</v>
      </c>
      <c r="Z883" s="136" t="str">
        <f>tbl_IO_List[[#This Row],[Chassis]]&amp;"S"&amp;TEXT(tbl_IO_List[[#This Row],[Slot]],"00")&amp;","&amp;TEXT(tbl_IO_List[[#This Row],[Point]],"00")</f>
        <v>C7S01,15</v>
      </c>
      <c r="AA883" s="136" t="e">
        <f>VLOOKUP(tbl_IO_List[[#This Row],[Column23]],tbl_RackConfig[],5,FALSE) &amp;"-"&amp;tbl_IO_List[[#This Row],[Point]]</f>
        <v>#N/A</v>
      </c>
      <c r="AB883" s="136"/>
      <c r="AC883" s="136"/>
      <c r="AD883" s="136" t="str">
        <f>tbl_IO_List[[#This Row],[I/O Type]]</f>
        <v>DI</v>
      </c>
      <c r="AE883" s="136" t="s">
        <v>1368</v>
      </c>
      <c r="AF883" s="136">
        <v>1</v>
      </c>
      <c r="AG883" s="136">
        <v>15</v>
      </c>
      <c r="AH883" s="136"/>
      <c r="AI883" s="136"/>
      <c r="AJ883" s="136">
        <v>3</v>
      </c>
      <c r="AK883" s="136">
        <v>1</v>
      </c>
      <c r="AL883" s="136">
        <v>0</v>
      </c>
      <c r="AM883" s="136">
        <v>0</v>
      </c>
      <c r="AN883" s="136">
        <v>1</v>
      </c>
      <c r="AO883" s="136"/>
      <c r="AP883" s="143" t="str">
        <f>VLOOKUP(tbl_IO_List[[#This Row],[Instruement Tag]],tbl_Instruement_List[],14,FALSE)</f>
        <v>24 VDC energized</v>
      </c>
      <c r="AQ883" s="143" t="str">
        <f>tbl_IO_List[[#This Row],[Chassis]]&amp;"S"&amp;tbl_IO_List[[#This Row],[Slot]]&amp;"-"&amp;tbl_IO_List[[#This Row],[Front Terminal Number]]</f>
        <v>C7S1-</v>
      </c>
      <c r="AR883" s="143"/>
      <c r="AS883" s="136" t="str">
        <f>tbl_IO_List[[#This Row],[Terminal Tagging]]&amp;"-"&amp;tbl_IO_List[[#This Row],[Point-Count]]</f>
        <v>-</v>
      </c>
      <c r="AT883" s="136" t="str">
        <f>tbl_IO_List[[#This Row],[Front Terminal Tagging]]&amp;"/"&amp;tbl_IO_List[[#This Row],[Terminal Tagging-Item]]</f>
        <v>C7S1-/-</v>
      </c>
      <c r="AU883" s="136" t="str">
        <f>tbl_IO_List[[#This Row],[Terminal Tagging-Item]]&amp;"/"&amp;tbl_IO_List[[#This Row],[Front Terminal Tagging]]</f>
        <v>-/C7S1-</v>
      </c>
    </row>
    <row r="884" spans="1:47" hidden="1">
      <c r="A884" s="136" t="s">
        <v>1307</v>
      </c>
      <c r="B884" s="136" t="s">
        <v>1307</v>
      </c>
      <c r="C884" s="136" t="str">
        <f>tbl_IO_List[[#This Row],[Column3]]</f>
        <v>C7S01,16</v>
      </c>
      <c r="D884" s="136" t="e">
        <f>tbl_IO_List[[#This Row],[Card]]</f>
        <v>#N/A</v>
      </c>
      <c r="E884" s="136"/>
      <c r="F884" s="136" t="str">
        <f>tbl_IO_List[[#This Row],[Column23]]&amp;"-" &amp;tbl_IO_List[[#This Row],[Column52]]</f>
        <v>C7S01-</v>
      </c>
      <c r="G884" s="136" t="str">
        <f>tbl_IO_List[[#This Row],[PLC_Tag]]</f>
        <v>ATY-40203_DI_3</v>
      </c>
      <c r="H884" s="136"/>
      <c r="I884" s="136" t="str">
        <f>VLOOKUP(tbl_IO_List[[#This Row],[Destination]],tbl_Junction[],2,FALSE)</f>
        <v>MCC Room</v>
      </c>
      <c r="J884" s="136" t="s">
        <v>114</v>
      </c>
      <c r="K884" s="136" t="s">
        <v>115</v>
      </c>
      <c r="L884" s="136" t="s">
        <v>133</v>
      </c>
      <c r="M884" s="136" t="str">
        <f>VLOOKUP(tbl_IO_List[[#This Row],[Instruement Tag]],tbl_Instruement_List[],2,FALSE)</f>
        <v>Tank Agitator</v>
      </c>
      <c r="N884" s="136" t="s">
        <v>15</v>
      </c>
      <c r="O884" s="136" t="s">
        <v>116</v>
      </c>
      <c r="P884" s="136" t="s">
        <v>117</v>
      </c>
      <c r="Q884" s="136" t="str">
        <f>VLOOKUP(tbl_IO_List[[#This Row],[Instruement Tag]],tbl_Instruement_List[],6,FALSE)</f>
        <v xml:space="preserve"> Start / Stop Command for VSD AT-40203</v>
      </c>
      <c r="R884" s="136"/>
      <c r="S88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3,DO=1,AI=0,AO=0,Bus=1</v>
      </c>
      <c r="T884" s="136" t="str">
        <f>tbl_IO_List[[#This Row],[Instruement Tag]]&amp;"_"&amp;tbl_IO_List[[#This Row],[I/O Type]]&amp;"_"&amp;tbl_IO_List[[#This Row],[IO-Point 
(Instruement)]]</f>
        <v>ATY-40203_DI_3</v>
      </c>
      <c r="U884" s="136" t="s">
        <v>8</v>
      </c>
      <c r="V884" s="136">
        <f>VLOOKUP(tbl_IO_List[[#This Row],[I/O Type]],tbl_Slot_Group[],2,FALSE)</f>
        <v>1</v>
      </c>
      <c r="W884" s="136">
        <v>3</v>
      </c>
      <c r="X884" s="136" t="str">
        <f>tbl_IO_List[[#This Row],[Chassis]]&amp;"S"&amp;TEXT(tbl_IO_List[[#This Row],[Slot]],"00")</f>
        <v>C7S01</v>
      </c>
      <c r="Y884" s="136" t="str">
        <f>tbl_IO_List[[#This Row],[Chassis]]&amp;"S"&amp;TEXT(tbl_IO_List[[#This Row],[Slot]],"00")&amp;tbl_IO_List[[#This Row],[I/O Type]]&amp;TEXT(tbl_IO_List[[#This Row],[Point]],"00")</f>
        <v>C7S01DI16</v>
      </c>
      <c r="Z884" s="136" t="str">
        <f>tbl_IO_List[[#This Row],[Chassis]]&amp;"S"&amp;TEXT(tbl_IO_List[[#This Row],[Slot]],"00")&amp;","&amp;TEXT(tbl_IO_List[[#This Row],[Point]],"00")</f>
        <v>C7S01,16</v>
      </c>
      <c r="AA884" s="136" t="e">
        <f>VLOOKUP(tbl_IO_List[[#This Row],[Column23]],tbl_RackConfig[],5,FALSE) &amp;"-"&amp;tbl_IO_List[[#This Row],[Point]]</f>
        <v>#N/A</v>
      </c>
      <c r="AB884" s="136"/>
      <c r="AC884" s="136"/>
      <c r="AD884" s="136" t="str">
        <f>tbl_IO_List[[#This Row],[I/O Type]]</f>
        <v>DI</v>
      </c>
      <c r="AE884" s="136" t="s">
        <v>1368</v>
      </c>
      <c r="AF884" s="136">
        <v>1</v>
      </c>
      <c r="AG884" s="136">
        <v>16</v>
      </c>
      <c r="AH884" s="136"/>
      <c r="AI884" s="136"/>
      <c r="AJ884" s="136">
        <v>3</v>
      </c>
      <c r="AK884" s="136">
        <v>1</v>
      </c>
      <c r="AL884" s="136">
        <v>0</v>
      </c>
      <c r="AM884" s="136">
        <v>0</v>
      </c>
      <c r="AN884" s="136">
        <v>1</v>
      </c>
      <c r="AO884" s="136"/>
      <c r="AP884" s="143" t="str">
        <f>VLOOKUP(tbl_IO_List[[#This Row],[Instruement Tag]],tbl_Instruement_List[],14,FALSE)</f>
        <v>24 VDC energized</v>
      </c>
      <c r="AQ884" s="143" t="str">
        <f>tbl_IO_List[[#This Row],[Chassis]]&amp;"S"&amp;tbl_IO_List[[#This Row],[Slot]]&amp;"-"&amp;tbl_IO_List[[#This Row],[Front Terminal Number]]</f>
        <v>C7S1-</v>
      </c>
      <c r="AR884" s="143"/>
      <c r="AS884" s="136" t="str">
        <f>tbl_IO_List[[#This Row],[Terminal Tagging]]&amp;"-"&amp;tbl_IO_List[[#This Row],[Point-Count]]</f>
        <v>-</v>
      </c>
      <c r="AT884" s="136" t="str">
        <f>tbl_IO_List[[#This Row],[Front Terminal Tagging]]&amp;"/"&amp;tbl_IO_List[[#This Row],[Terminal Tagging-Item]]</f>
        <v>C7S1-/-</v>
      </c>
      <c r="AU884" s="136" t="str">
        <f>tbl_IO_List[[#This Row],[Terminal Tagging-Item]]&amp;"/"&amp;tbl_IO_List[[#This Row],[Front Terminal Tagging]]</f>
        <v>-/C7S1-</v>
      </c>
    </row>
    <row r="885" spans="1:47" hidden="1">
      <c r="A885" s="136" t="s">
        <v>1307</v>
      </c>
      <c r="B885" s="136" t="s">
        <v>1307</v>
      </c>
      <c r="C885" s="136" t="str">
        <f>tbl_IO_List[[#This Row],[Column3]]</f>
        <v>C7S01,17</v>
      </c>
      <c r="D885" s="136" t="e">
        <f>tbl_IO_List[[#This Row],[Card]]</f>
        <v>#N/A</v>
      </c>
      <c r="E885" s="136"/>
      <c r="F885" s="136" t="str">
        <f>tbl_IO_List[[#This Row],[Column23]]&amp;"-" &amp;tbl_IO_List[[#This Row],[Column52]]</f>
        <v>C7S01-</v>
      </c>
      <c r="G885" s="136" t="str">
        <f>tbl_IO_List[[#This Row],[PLC_Tag]]</f>
        <v>PCY-40201_DI_1</v>
      </c>
      <c r="H885" s="136"/>
      <c r="I885" s="136" t="str">
        <f>VLOOKUP(tbl_IO_List[[#This Row],[Destination]],tbl_Junction[],2,FALSE)</f>
        <v>MCC Room</v>
      </c>
      <c r="J885" s="136" t="s">
        <v>114</v>
      </c>
      <c r="K885" s="136" t="s">
        <v>136</v>
      </c>
      <c r="L885" s="136" t="s">
        <v>879</v>
      </c>
      <c r="M885" s="136" t="str">
        <f>VLOOKUP(tbl_IO_List[[#This Row],[Instruement Tag]],tbl_Instruement_List[],2,FALSE)</f>
        <v>PUMP</v>
      </c>
      <c r="N885" s="136" t="s">
        <v>15</v>
      </c>
      <c r="O885" s="136" t="s">
        <v>121</v>
      </c>
      <c r="P885" s="136" t="s">
        <v>137</v>
      </c>
      <c r="Q885" s="136" t="str">
        <f>VLOOKUP(tbl_IO_List[[#This Row],[Instruement Tag]],tbl_Instruement_List[],6,FALSE)</f>
        <v xml:space="preserve"> Start / Stop Command for VSD PC-40201</v>
      </c>
      <c r="R885" s="136"/>
      <c r="S88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3,DO=1,AI=0,AO=0,Bus=1</v>
      </c>
      <c r="T885" s="136" t="str">
        <f>tbl_IO_List[[#This Row],[Instruement Tag]]&amp;"_"&amp;tbl_IO_List[[#This Row],[I/O Type]]&amp;"_"&amp;tbl_IO_List[[#This Row],[IO-Point 
(Instruement)]]</f>
        <v>PCY-40201_DI_1</v>
      </c>
      <c r="U885" s="136" t="s">
        <v>8</v>
      </c>
      <c r="V885" s="136">
        <f>VLOOKUP(tbl_IO_List[[#This Row],[I/O Type]],tbl_Slot_Group[],2,FALSE)</f>
        <v>1</v>
      </c>
      <c r="W885" s="136">
        <v>1</v>
      </c>
      <c r="X885" s="136" t="str">
        <f>tbl_IO_List[[#This Row],[Chassis]]&amp;"S"&amp;TEXT(tbl_IO_List[[#This Row],[Slot]],"00")</f>
        <v>C7S01</v>
      </c>
      <c r="Y885" s="136" t="str">
        <f>tbl_IO_List[[#This Row],[Chassis]]&amp;"S"&amp;TEXT(tbl_IO_List[[#This Row],[Slot]],"00")&amp;tbl_IO_List[[#This Row],[I/O Type]]&amp;TEXT(tbl_IO_List[[#This Row],[Point]],"00")</f>
        <v>C7S01DI17</v>
      </c>
      <c r="Z885" s="136" t="str">
        <f>tbl_IO_List[[#This Row],[Chassis]]&amp;"S"&amp;TEXT(tbl_IO_List[[#This Row],[Slot]],"00")&amp;","&amp;TEXT(tbl_IO_List[[#This Row],[Point]],"00")</f>
        <v>C7S01,17</v>
      </c>
      <c r="AA885" s="136" t="e">
        <f>VLOOKUP(tbl_IO_List[[#This Row],[Column23]],tbl_RackConfig[],5,FALSE) &amp;"-"&amp;tbl_IO_List[[#This Row],[Point]]</f>
        <v>#N/A</v>
      </c>
      <c r="AB885" s="136"/>
      <c r="AC885" s="136"/>
      <c r="AD885" s="136" t="str">
        <f>tbl_IO_List[[#This Row],[I/O Type]]</f>
        <v>DI</v>
      </c>
      <c r="AE885" s="136" t="s">
        <v>1368</v>
      </c>
      <c r="AF885" s="136">
        <v>1</v>
      </c>
      <c r="AG885" s="136">
        <v>17</v>
      </c>
      <c r="AH885" s="136"/>
      <c r="AI885" s="136"/>
      <c r="AJ885" s="136">
        <v>3</v>
      </c>
      <c r="AK885" s="136">
        <v>1</v>
      </c>
      <c r="AL885" s="136">
        <v>0</v>
      </c>
      <c r="AM885" s="136">
        <v>0</v>
      </c>
      <c r="AN885" s="136">
        <v>1</v>
      </c>
      <c r="AO885" s="136"/>
      <c r="AP885" s="143" t="str">
        <f>VLOOKUP(tbl_IO_List[[#This Row],[Instruement Tag]],tbl_Instruement_List[],14,FALSE)</f>
        <v>24 VDC energized</v>
      </c>
      <c r="AQ885" s="143" t="str">
        <f>tbl_IO_List[[#This Row],[Chassis]]&amp;"S"&amp;tbl_IO_List[[#This Row],[Slot]]&amp;"-"&amp;tbl_IO_List[[#This Row],[Front Terminal Number]]</f>
        <v>C7S1-</v>
      </c>
      <c r="AR885" s="143"/>
      <c r="AS885" s="136" t="str">
        <f>tbl_IO_List[[#This Row],[Terminal Tagging]]&amp;"-"&amp;tbl_IO_List[[#This Row],[Point-Count]]</f>
        <v>-</v>
      </c>
      <c r="AT885" s="136" t="str">
        <f>tbl_IO_List[[#This Row],[Front Terminal Tagging]]&amp;"/"&amp;tbl_IO_List[[#This Row],[Terminal Tagging-Item]]</f>
        <v>C7S1-/-</v>
      </c>
      <c r="AU885" s="136" t="str">
        <f>tbl_IO_List[[#This Row],[Terminal Tagging-Item]]&amp;"/"&amp;tbl_IO_List[[#This Row],[Front Terminal Tagging]]</f>
        <v>-/C7S1-</v>
      </c>
    </row>
    <row r="886" spans="1:47" hidden="1">
      <c r="A886" s="136" t="s">
        <v>1307</v>
      </c>
      <c r="B886" s="136" t="s">
        <v>1307</v>
      </c>
      <c r="C886" s="136" t="str">
        <f>tbl_IO_List[[#This Row],[Column3]]</f>
        <v>C7S01,18</v>
      </c>
      <c r="D886" s="136" t="e">
        <f>tbl_IO_List[[#This Row],[Card]]</f>
        <v>#N/A</v>
      </c>
      <c r="E886" s="136"/>
      <c r="F886" s="136" t="str">
        <f>tbl_IO_List[[#This Row],[Column23]]&amp;"-" &amp;tbl_IO_List[[#This Row],[Column52]]</f>
        <v>C7S01-</v>
      </c>
      <c r="G886" s="136" t="str">
        <f>tbl_IO_List[[#This Row],[PLC_Tag]]</f>
        <v>PCY-40201_DI_2</v>
      </c>
      <c r="H886" s="136"/>
      <c r="I886" s="136" t="str">
        <f>VLOOKUP(tbl_IO_List[[#This Row],[Destination]],tbl_Junction[],2,FALSE)</f>
        <v>MCC Room</v>
      </c>
      <c r="J886" s="136" t="s">
        <v>114</v>
      </c>
      <c r="K886" s="136" t="s">
        <v>136</v>
      </c>
      <c r="L886" s="136" t="s">
        <v>879</v>
      </c>
      <c r="M886" s="136" t="str">
        <f>VLOOKUP(tbl_IO_List[[#This Row],[Instruement Tag]],tbl_Instruement_List[],2,FALSE)</f>
        <v>PUMP</v>
      </c>
      <c r="N886" s="136" t="s">
        <v>15</v>
      </c>
      <c r="O886" s="136" t="s">
        <v>121</v>
      </c>
      <c r="P886" s="136" t="s">
        <v>137</v>
      </c>
      <c r="Q886" s="136" t="str">
        <f>VLOOKUP(tbl_IO_List[[#This Row],[Instruement Tag]],tbl_Instruement_List[],6,FALSE)</f>
        <v xml:space="preserve"> Start / Stop Command for VSD PC-40201</v>
      </c>
      <c r="R886" s="136"/>
      <c r="S88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3,DO=1,AI=0,AO=0,Bus=1</v>
      </c>
      <c r="T886" s="136" t="str">
        <f>tbl_IO_List[[#This Row],[Instruement Tag]]&amp;"_"&amp;tbl_IO_List[[#This Row],[I/O Type]]&amp;"_"&amp;tbl_IO_List[[#This Row],[IO-Point 
(Instruement)]]</f>
        <v>PCY-40201_DI_2</v>
      </c>
      <c r="U886" s="136" t="s">
        <v>8</v>
      </c>
      <c r="V886" s="136">
        <f>VLOOKUP(tbl_IO_List[[#This Row],[I/O Type]],tbl_Slot_Group[],2,FALSE)</f>
        <v>1</v>
      </c>
      <c r="W886" s="136">
        <v>2</v>
      </c>
      <c r="X886" s="136" t="str">
        <f>tbl_IO_List[[#This Row],[Chassis]]&amp;"S"&amp;TEXT(tbl_IO_List[[#This Row],[Slot]],"00")</f>
        <v>C7S01</v>
      </c>
      <c r="Y886" s="136" t="str">
        <f>tbl_IO_List[[#This Row],[Chassis]]&amp;"S"&amp;TEXT(tbl_IO_List[[#This Row],[Slot]],"00")&amp;tbl_IO_List[[#This Row],[I/O Type]]&amp;TEXT(tbl_IO_List[[#This Row],[Point]],"00")</f>
        <v>C7S01DI18</v>
      </c>
      <c r="Z886" s="136" t="str">
        <f>tbl_IO_List[[#This Row],[Chassis]]&amp;"S"&amp;TEXT(tbl_IO_List[[#This Row],[Slot]],"00")&amp;","&amp;TEXT(tbl_IO_List[[#This Row],[Point]],"00")</f>
        <v>C7S01,18</v>
      </c>
      <c r="AA886" s="136" t="e">
        <f>VLOOKUP(tbl_IO_List[[#This Row],[Column23]],tbl_RackConfig[],5,FALSE) &amp;"-"&amp;tbl_IO_List[[#This Row],[Point]]</f>
        <v>#N/A</v>
      </c>
      <c r="AB886" s="136"/>
      <c r="AC886" s="136"/>
      <c r="AD886" s="136" t="str">
        <f>tbl_IO_List[[#This Row],[I/O Type]]</f>
        <v>DI</v>
      </c>
      <c r="AE886" s="136" t="s">
        <v>1368</v>
      </c>
      <c r="AF886" s="136">
        <v>1</v>
      </c>
      <c r="AG886" s="136">
        <v>18</v>
      </c>
      <c r="AH886" s="136"/>
      <c r="AI886" s="136"/>
      <c r="AJ886" s="136">
        <v>3</v>
      </c>
      <c r="AK886" s="136">
        <v>1</v>
      </c>
      <c r="AL886" s="136">
        <v>0</v>
      </c>
      <c r="AM886" s="136">
        <v>0</v>
      </c>
      <c r="AN886" s="136">
        <v>1</v>
      </c>
      <c r="AO886" s="136"/>
      <c r="AP886" s="143" t="str">
        <f>VLOOKUP(tbl_IO_List[[#This Row],[Instruement Tag]],tbl_Instruement_List[],14,FALSE)</f>
        <v>24 VDC energized</v>
      </c>
      <c r="AQ886" s="143" t="str">
        <f>tbl_IO_List[[#This Row],[Chassis]]&amp;"S"&amp;tbl_IO_List[[#This Row],[Slot]]&amp;"-"&amp;tbl_IO_List[[#This Row],[Front Terminal Number]]</f>
        <v>C7S1-</v>
      </c>
      <c r="AR886" s="143"/>
      <c r="AS886" s="136" t="str">
        <f>tbl_IO_List[[#This Row],[Terminal Tagging]]&amp;"-"&amp;tbl_IO_List[[#This Row],[Point-Count]]</f>
        <v>-</v>
      </c>
      <c r="AT886" s="136" t="str">
        <f>tbl_IO_List[[#This Row],[Front Terminal Tagging]]&amp;"/"&amp;tbl_IO_List[[#This Row],[Terminal Tagging-Item]]</f>
        <v>C7S1-/-</v>
      </c>
      <c r="AU886" s="136" t="str">
        <f>tbl_IO_List[[#This Row],[Terminal Tagging-Item]]&amp;"/"&amp;tbl_IO_List[[#This Row],[Front Terminal Tagging]]</f>
        <v>-/C7S1-</v>
      </c>
    </row>
    <row r="887" spans="1:47" hidden="1">
      <c r="A887" s="136" t="s">
        <v>1307</v>
      </c>
      <c r="B887" s="136" t="s">
        <v>1307</v>
      </c>
      <c r="C887" s="136" t="str">
        <f>tbl_IO_List[[#This Row],[Column3]]</f>
        <v>C7S01,19</v>
      </c>
      <c r="D887" s="136" t="e">
        <f>tbl_IO_List[[#This Row],[Card]]</f>
        <v>#N/A</v>
      </c>
      <c r="E887" s="136"/>
      <c r="F887" s="136" t="str">
        <f>tbl_IO_List[[#This Row],[Column23]]&amp;"-" &amp;tbl_IO_List[[#This Row],[Column52]]</f>
        <v>C7S01-</v>
      </c>
      <c r="G887" s="136" t="str">
        <f>tbl_IO_List[[#This Row],[PLC_Tag]]</f>
        <v>PCY-40201_DI_3</v>
      </c>
      <c r="H887" s="136"/>
      <c r="I887" s="136" t="str">
        <f>VLOOKUP(tbl_IO_List[[#This Row],[Destination]],tbl_Junction[],2,FALSE)</f>
        <v>MCC Room</v>
      </c>
      <c r="J887" s="136" t="s">
        <v>114</v>
      </c>
      <c r="K887" s="136" t="s">
        <v>136</v>
      </c>
      <c r="L887" s="136" t="s">
        <v>879</v>
      </c>
      <c r="M887" s="136" t="str">
        <f>VLOOKUP(tbl_IO_List[[#This Row],[Instruement Tag]],tbl_Instruement_List[],2,FALSE)</f>
        <v>PUMP</v>
      </c>
      <c r="N887" s="136" t="s">
        <v>15</v>
      </c>
      <c r="O887" s="136" t="s">
        <v>121</v>
      </c>
      <c r="P887" s="136" t="s">
        <v>137</v>
      </c>
      <c r="Q887" s="136" t="str">
        <f>VLOOKUP(tbl_IO_List[[#This Row],[Instruement Tag]],tbl_Instruement_List[],6,FALSE)</f>
        <v xml:space="preserve"> Start / Stop Command for VSD PC-40201</v>
      </c>
      <c r="R887" s="136"/>
      <c r="S88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3,DO=1,AI=0,AO=0,Bus=1</v>
      </c>
      <c r="T887" s="136" t="str">
        <f>tbl_IO_List[[#This Row],[Instruement Tag]]&amp;"_"&amp;tbl_IO_List[[#This Row],[I/O Type]]&amp;"_"&amp;tbl_IO_List[[#This Row],[IO-Point 
(Instruement)]]</f>
        <v>PCY-40201_DI_3</v>
      </c>
      <c r="U887" s="136" t="s">
        <v>8</v>
      </c>
      <c r="V887" s="136">
        <f>VLOOKUP(tbl_IO_List[[#This Row],[I/O Type]],tbl_Slot_Group[],2,FALSE)</f>
        <v>1</v>
      </c>
      <c r="W887" s="136">
        <v>3</v>
      </c>
      <c r="X887" s="136" t="str">
        <f>tbl_IO_List[[#This Row],[Chassis]]&amp;"S"&amp;TEXT(tbl_IO_List[[#This Row],[Slot]],"00")</f>
        <v>C7S01</v>
      </c>
      <c r="Y887" s="136" t="str">
        <f>tbl_IO_List[[#This Row],[Chassis]]&amp;"S"&amp;TEXT(tbl_IO_List[[#This Row],[Slot]],"00")&amp;tbl_IO_List[[#This Row],[I/O Type]]&amp;TEXT(tbl_IO_List[[#This Row],[Point]],"00")</f>
        <v>C7S01DI19</v>
      </c>
      <c r="Z887" s="136" t="str">
        <f>tbl_IO_List[[#This Row],[Chassis]]&amp;"S"&amp;TEXT(tbl_IO_List[[#This Row],[Slot]],"00")&amp;","&amp;TEXT(tbl_IO_List[[#This Row],[Point]],"00")</f>
        <v>C7S01,19</v>
      </c>
      <c r="AA887" s="136" t="e">
        <f>VLOOKUP(tbl_IO_List[[#This Row],[Column23]],tbl_RackConfig[],5,FALSE) &amp;"-"&amp;tbl_IO_List[[#This Row],[Point]]</f>
        <v>#N/A</v>
      </c>
      <c r="AB887" s="136"/>
      <c r="AC887" s="136"/>
      <c r="AD887" s="136" t="str">
        <f>tbl_IO_List[[#This Row],[I/O Type]]</f>
        <v>DI</v>
      </c>
      <c r="AE887" s="136" t="s">
        <v>1368</v>
      </c>
      <c r="AF887" s="136">
        <v>1</v>
      </c>
      <c r="AG887" s="136">
        <v>19</v>
      </c>
      <c r="AH887" s="136"/>
      <c r="AI887" s="136"/>
      <c r="AJ887" s="136">
        <v>3</v>
      </c>
      <c r="AK887" s="136">
        <v>1</v>
      </c>
      <c r="AL887" s="136">
        <v>0</v>
      </c>
      <c r="AM887" s="136">
        <v>0</v>
      </c>
      <c r="AN887" s="136">
        <v>1</v>
      </c>
      <c r="AO887" s="136"/>
      <c r="AP887" s="143" t="str">
        <f>VLOOKUP(tbl_IO_List[[#This Row],[Instruement Tag]],tbl_Instruement_List[],14,FALSE)</f>
        <v>24 VDC energized</v>
      </c>
      <c r="AQ887" s="143" t="str">
        <f>tbl_IO_List[[#This Row],[Chassis]]&amp;"S"&amp;tbl_IO_List[[#This Row],[Slot]]&amp;"-"&amp;tbl_IO_List[[#This Row],[Front Terminal Number]]</f>
        <v>C7S1-</v>
      </c>
      <c r="AR887" s="143"/>
      <c r="AS887" s="136" t="str">
        <f>tbl_IO_List[[#This Row],[Terminal Tagging]]&amp;"-"&amp;tbl_IO_List[[#This Row],[Point-Count]]</f>
        <v>-</v>
      </c>
      <c r="AT887" s="136" t="str">
        <f>tbl_IO_List[[#This Row],[Front Terminal Tagging]]&amp;"/"&amp;tbl_IO_List[[#This Row],[Terminal Tagging-Item]]</f>
        <v>C7S1-/-</v>
      </c>
      <c r="AU887" s="136" t="str">
        <f>tbl_IO_List[[#This Row],[Terminal Tagging-Item]]&amp;"/"&amp;tbl_IO_List[[#This Row],[Front Terminal Tagging]]</f>
        <v>-/C7S1-</v>
      </c>
    </row>
    <row r="888" spans="1:47" hidden="1">
      <c r="A888" s="136" t="s">
        <v>1307</v>
      </c>
      <c r="B888" s="136" t="s">
        <v>1307</v>
      </c>
      <c r="C888" s="136" t="str">
        <f>tbl_IO_List[[#This Row],[Column3]]</f>
        <v>C7S01,20</v>
      </c>
      <c r="D888" s="136" t="e">
        <f>tbl_IO_List[[#This Row],[Card]]</f>
        <v>#N/A</v>
      </c>
      <c r="E888" s="136"/>
      <c r="F888" s="136" t="str">
        <f>tbl_IO_List[[#This Row],[Column23]]&amp;"-" &amp;tbl_IO_List[[#This Row],[Column52]]</f>
        <v>C7S01-</v>
      </c>
      <c r="G888" s="136" t="str">
        <f>tbl_IO_List[[#This Row],[PLC_Tag]]</f>
        <v>PCY-40202_DI_1</v>
      </c>
      <c r="H888" s="136"/>
      <c r="I888" s="136" t="str">
        <f>VLOOKUP(tbl_IO_List[[#This Row],[Destination]],tbl_Junction[],2,FALSE)</f>
        <v>MCC Room</v>
      </c>
      <c r="J888" s="136" t="s">
        <v>114</v>
      </c>
      <c r="K888" s="136" t="s">
        <v>136</v>
      </c>
      <c r="L888" s="136" t="s">
        <v>884</v>
      </c>
      <c r="M888" s="136" t="str">
        <f>VLOOKUP(tbl_IO_List[[#This Row],[Instruement Tag]],tbl_Instruement_List[],2,FALSE)</f>
        <v>PUMP</v>
      </c>
      <c r="N888" s="136" t="s">
        <v>15</v>
      </c>
      <c r="O888" s="136" t="s">
        <v>121</v>
      </c>
      <c r="P888" s="136" t="s">
        <v>137</v>
      </c>
      <c r="Q888" s="136" t="str">
        <f>VLOOKUP(tbl_IO_List[[#This Row],[Instruement Tag]],tbl_Instruement_List[],6,FALSE)</f>
        <v xml:space="preserve"> Start / Stop Command for VSD PC-40202</v>
      </c>
      <c r="R888" s="136"/>
      <c r="S88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3,DO=1,AI=0,AO=0,Bus=1</v>
      </c>
      <c r="T888" s="136" t="str">
        <f>tbl_IO_List[[#This Row],[Instruement Tag]]&amp;"_"&amp;tbl_IO_List[[#This Row],[I/O Type]]&amp;"_"&amp;tbl_IO_List[[#This Row],[IO-Point 
(Instruement)]]</f>
        <v>PCY-40202_DI_1</v>
      </c>
      <c r="U888" s="136" t="s">
        <v>8</v>
      </c>
      <c r="V888" s="136">
        <f>VLOOKUP(tbl_IO_List[[#This Row],[I/O Type]],tbl_Slot_Group[],2,FALSE)</f>
        <v>1</v>
      </c>
      <c r="W888" s="136">
        <v>1</v>
      </c>
      <c r="X888" s="136" t="str">
        <f>tbl_IO_List[[#This Row],[Chassis]]&amp;"S"&amp;TEXT(tbl_IO_List[[#This Row],[Slot]],"00")</f>
        <v>C7S01</v>
      </c>
      <c r="Y888" s="136" t="str">
        <f>tbl_IO_List[[#This Row],[Chassis]]&amp;"S"&amp;TEXT(tbl_IO_List[[#This Row],[Slot]],"00")&amp;tbl_IO_List[[#This Row],[I/O Type]]&amp;TEXT(tbl_IO_List[[#This Row],[Point]],"00")</f>
        <v>C7S01DI20</v>
      </c>
      <c r="Z888" s="136" t="str">
        <f>tbl_IO_List[[#This Row],[Chassis]]&amp;"S"&amp;TEXT(tbl_IO_List[[#This Row],[Slot]],"00")&amp;","&amp;TEXT(tbl_IO_List[[#This Row],[Point]],"00")</f>
        <v>C7S01,20</v>
      </c>
      <c r="AA888" s="136" t="e">
        <f>VLOOKUP(tbl_IO_List[[#This Row],[Column23]],tbl_RackConfig[],5,FALSE) &amp;"-"&amp;tbl_IO_List[[#This Row],[Point]]</f>
        <v>#N/A</v>
      </c>
      <c r="AB888" s="136"/>
      <c r="AC888" s="136"/>
      <c r="AD888" s="136" t="str">
        <f>tbl_IO_List[[#This Row],[I/O Type]]</f>
        <v>DI</v>
      </c>
      <c r="AE888" s="136" t="s">
        <v>1368</v>
      </c>
      <c r="AF888" s="136">
        <v>1</v>
      </c>
      <c r="AG888" s="136">
        <v>20</v>
      </c>
      <c r="AH888" s="136"/>
      <c r="AI888" s="136"/>
      <c r="AJ888" s="136">
        <v>3</v>
      </c>
      <c r="AK888" s="136">
        <v>1</v>
      </c>
      <c r="AL888" s="136">
        <v>0</v>
      </c>
      <c r="AM888" s="136">
        <v>0</v>
      </c>
      <c r="AN888" s="136">
        <v>1</v>
      </c>
      <c r="AO888" s="136"/>
      <c r="AP888" s="143" t="str">
        <f>VLOOKUP(tbl_IO_List[[#This Row],[Instruement Tag]],tbl_Instruement_List[],14,FALSE)</f>
        <v>24 VDC energized</v>
      </c>
      <c r="AQ888" s="143" t="str">
        <f>tbl_IO_List[[#This Row],[Chassis]]&amp;"S"&amp;tbl_IO_List[[#This Row],[Slot]]&amp;"-"&amp;tbl_IO_List[[#This Row],[Front Terminal Number]]</f>
        <v>C7S1-</v>
      </c>
      <c r="AR888" s="143"/>
      <c r="AS888" s="136" t="str">
        <f>tbl_IO_List[[#This Row],[Terminal Tagging]]&amp;"-"&amp;tbl_IO_List[[#This Row],[Point-Count]]</f>
        <v>-</v>
      </c>
      <c r="AT888" s="136" t="str">
        <f>tbl_IO_List[[#This Row],[Front Terminal Tagging]]&amp;"/"&amp;tbl_IO_List[[#This Row],[Terminal Tagging-Item]]</f>
        <v>C7S1-/-</v>
      </c>
      <c r="AU888" s="136" t="str">
        <f>tbl_IO_List[[#This Row],[Terminal Tagging-Item]]&amp;"/"&amp;tbl_IO_List[[#This Row],[Front Terminal Tagging]]</f>
        <v>-/C7S1-</v>
      </c>
    </row>
    <row r="889" spans="1:47" hidden="1">
      <c r="A889" s="136" t="s">
        <v>1307</v>
      </c>
      <c r="B889" s="136" t="s">
        <v>1307</v>
      </c>
      <c r="C889" s="136" t="str">
        <f>tbl_IO_List[[#This Row],[Column3]]</f>
        <v>C7S01,21</v>
      </c>
      <c r="D889" s="136" t="e">
        <f>tbl_IO_List[[#This Row],[Card]]</f>
        <v>#N/A</v>
      </c>
      <c r="E889" s="136"/>
      <c r="F889" s="136" t="str">
        <f>tbl_IO_List[[#This Row],[Column23]]&amp;"-" &amp;tbl_IO_List[[#This Row],[Column52]]</f>
        <v>C7S01-</v>
      </c>
      <c r="G889" s="136" t="str">
        <f>tbl_IO_List[[#This Row],[PLC_Tag]]</f>
        <v>PCY-40202_DI_2</v>
      </c>
      <c r="H889" s="136"/>
      <c r="I889" s="136" t="str">
        <f>VLOOKUP(tbl_IO_List[[#This Row],[Destination]],tbl_Junction[],2,FALSE)</f>
        <v>MCC Room</v>
      </c>
      <c r="J889" s="136" t="s">
        <v>114</v>
      </c>
      <c r="K889" s="136" t="s">
        <v>136</v>
      </c>
      <c r="L889" s="136" t="s">
        <v>884</v>
      </c>
      <c r="M889" s="136" t="str">
        <f>VLOOKUP(tbl_IO_List[[#This Row],[Instruement Tag]],tbl_Instruement_List[],2,FALSE)</f>
        <v>PUMP</v>
      </c>
      <c r="N889" s="136" t="s">
        <v>15</v>
      </c>
      <c r="O889" s="136" t="s">
        <v>121</v>
      </c>
      <c r="P889" s="136" t="s">
        <v>137</v>
      </c>
      <c r="Q889" s="136" t="str">
        <f>VLOOKUP(tbl_IO_List[[#This Row],[Instruement Tag]],tbl_Instruement_List[],6,FALSE)</f>
        <v xml:space="preserve"> Start / Stop Command for VSD PC-40202</v>
      </c>
      <c r="R889" s="136"/>
      <c r="S88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3,DO=1,AI=0,AO=0,Bus=1</v>
      </c>
      <c r="T889" s="136" t="str">
        <f>tbl_IO_List[[#This Row],[Instruement Tag]]&amp;"_"&amp;tbl_IO_List[[#This Row],[I/O Type]]&amp;"_"&amp;tbl_IO_List[[#This Row],[IO-Point 
(Instruement)]]</f>
        <v>PCY-40202_DI_2</v>
      </c>
      <c r="U889" s="136" t="s">
        <v>8</v>
      </c>
      <c r="V889" s="136">
        <f>VLOOKUP(tbl_IO_List[[#This Row],[I/O Type]],tbl_Slot_Group[],2,FALSE)</f>
        <v>1</v>
      </c>
      <c r="W889" s="136">
        <v>2</v>
      </c>
      <c r="X889" s="136" t="str">
        <f>tbl_IO_List[[#This Row],[Chassis]]&amp;"S"&amp;TEXT(tbl_IO_List[[#This Row],[Slot]],"00")</f>
        <v>C7S01</v>
      </c>
      <c r="Y889" s="136" t="str">
        <f>tbl_IO_List[[#This Row],[Chassis]]&amp;"S"&amp;TEXT(tbl_IO_List[[#This Row],[Slot]],"00")&amp;tbl_IO_List[[#This Row],[I/O Type]]&amp;TEXT(tbl_IO_List[[#This Row],[Point]],"00")</f>
        <v>C7S01DI21</v>
      </c>
      <c r="Z889" s="136" t="str">
        <f>tbl_IO_List[[#This Row],[Chassis]]&amp;"S"&amp;TEXT(tbl_IO_List[[#This Row],[Slot]],"00")&amp;","&amp;TEXT(tbl_IO_List[[#This Row],[Point]],"00")</f>
        <v>C7S01,21</v>
      </c>
      <c r="AA889" s="136" t="e">
        <f>VLOOKUP(tbl_IO_List[[#This Row],[Column23]],tbl_RackConfig[],5,FALSE) &amp;"-"&amp;tbl_IO_List[[#This Row],[Point]]</f>
        <v>#N/A</v>
      </c>
      <c r="AB889" s="136"/>
      <c r="AC889" s="136"/>
      <c r="AD889" s="136" t="str">
        <f>tbl_IO_List[[#This Row],[I/O Type]]</f>
        <v>DI</v>
      </c>
      <c r="AE889" s="136" t="s">
        <v>1368</v>
      </c>
      <c r="AF889" s="136">
        <v>1</v>
      </c>
      <c r="AG889" s="136">
        <v>21</v>
      </c>
      <c r="AH889" s="136"/>
      <c r="AI889" s="136"/>
      <c r="AJ889" s="136">
        <v>3</v>
      </c>
      <c r="AK889" s="136">
        <v>1</v>
      </c>
      <c r="AL889" s="136">
        <v>0</v>
      </c>
      <c r="AM889" s="136">
        <v>0</v>
      </c>
      <c r="AN889" s="136">
        <v>1</v>
      </c>
      <c r="AO889" s="136"/>
      <c r="AP889" s="143" t="str">
        <f>VLOOKUP(tbl_IO_List[[#This Row],[Instruement Tag]],tbl_Instruement_List[],14,FALSE)</f>
        <v>24 VDC energized</v>
      </c>
      <c r="AQ889" s="143" t="str">
        <f>tbl_IO_List[[#This Row],[Chassis]]&amp;"S"&amp;tbl_IO_List[[#This Row],[Slot]]&amp;"-"&amp;tbl_IO_List[[#This Row],[Front Terminal Number]]</f>
        <v>C7S1-</v>
      </c>
      <c r="AR889" s="143"/>
      <c r="AS889" s="136" t="str">
        <f>tbl_IO_List[[#This Row],[Terminal Tagging]]&amp;"-"&amp;tbl_IO_List[[#This Row],[Point-Count]]</f>
        <v>-</v>
      </c>
      <c r="AT889" s="136" t="str">
        <f>tbl_IO_List[[#This Row],[Front Terminal Tagging]]&amp;"/"&amp;tbl_IO_List[[#This Row],[Terminal Tagging-Item]]</f>
        <v>C7S1-/-</v>
      </c>
      <c r="AU889" s="136" t="str">
        <f>tbl_IO_List[[#This Row],[Terminal Tagging-Item]]&amp;"/"&amp;tbl_IO_List[[#This Row],[Front Terminal Tagging]]</f>
        <v>-/C7S1-</v>
      </c>
    </row>
    <row r="890" spans="1:47" hidden="1">
      <c r="A890" s="136" t="s">
        <v>1307</v>
      </c>
      <c r="B890" s="136" t="s">
        <v>1307</v>
      </c>
      <c r="C890" s="136" t="str">
        <f>tbl_IO_List[[#This Row],[Column3]]</f>
        <v>C7S01,22</v>
      </c>
      <c r="D890" s="136" t="e">
        <f>tbl_IO_List[[#This Row],[Card]]</f>
        <v>#N/A</v>
      </c>
      <c r="E890" s="136"/>
      <c r="F890" s="136" t="str">
        <f>tbl_IO_List[[#This Row],[Column23]]&amp;"-" &amp;tbl_IO_List[[#This Row],[Column52]]</f>
        <v>C7S01-</v>
      </c>
      <c r="G890" s="136" t="str">
        <f>tbl_IO_List[[#This Row],[PLC_Tag]]</f>
        <v>PCY-40202_DI_3</v>
      </c>
      <c r="H890" s="136"/>
      <c r="I890" s="136" t="str">
        <f>VLOOKUP(tbl_IO_List[[#This Row],[Destination]],tbl_Junction[],2,FALSE)</f>
        <v>MCC Room</v>
      </c>
      <c r="J890" s="136" t="s">
        <v>114</v>
      </c>
      <c r="K890" s="136" t="s">
        <v>136</v>
      </c>
      <c r="L890" s="136" t="s">
        <v>884</v>
      </c>
      <c r="M890" s="136" t="str">
        <f>VLOOKUP(tbl_IO_List[[#This Row],[Instruement Tag]],tbl_Instruement_List[],2,FALSE)</f>
        <v>PUMP</v>
      </c>
      <c r="N890" s="136" t="s">
        <v>15</v>
      </c>
      <c r="O890" s="136" t="s">
        <v>121</v>
      </c>
      <c r="P890" s="136" t="s">
        <v>137</v>
      </c>
      <c r="Q890" s="136" t="str">
        <f>VLOOKUP(tbl_IO_List[[#This Row],[Instruement Tag]],tbl_Instruement_List[],6,FALSE)</f>
        <v xml:space="preserve"> Start / Stop Command for VSD PC-40202</v>
      </c>
      <c r="R890" s="136"/>
      <c r="S89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3,DO=1,AI=0,AO=0,Bus=1</v>
      </c>
      <c r="T890" s="136" t="str">
        <f>tbl_IO_List[[#This Row],[Instruement Tag]]&amp;"_"&amp;tbl_IO_List[[#This Row],[I/O Type]]&amp;"_"&amp;tbl_IO_List[[#This Row],[IO-Point 
(Instruement)]]</f>
        <v>PCY-40202_DI_3</v>
      </c>
      <c r="U890" s="136" t="s">
        <v>8</v>
      </c>
      <c r="V890" s="136">
        <f>VLOOKUP(tbl_IO_List[[#This Row],[I/O Type]],tbl_Slot_Group[],2,FALSE)</f>
        <v>1</v>
      </c>
      <c r="W890" s="136">
        <v>3</v>
      </c>
      <c r="X890" s="136" t="str">
        <f>tbl_IO_List[[#This Row],[Chassis]]&amp;"S"&amp;TEXT(tbl_IO_List[[#This Row],[Slot]],"00")</f>
        <v>C7S01</v>
      </c>
      <c r="Y890" s="136" t="str">
        <f>tbl_IO_List[[#This Row],[Chassis]]&amp;"S"&amp;TEXT(tbl_IO_List[[#This Row],[Slot]],"00")&amp;tbl_IO_List[[#This Row],[I/O Type]]&amp;TEXT(tbl_IO_List[[#This Row],[Point]],"00")</f>
        <v>C7S01DI22</v>
      </c>
      <c r="Z890" s="136" t="str">
        <f>tbl_IO_List[[#This Row],[Chassis]]&amp;"S"&amp;TEXT(tbl_IO_List[[#This Row],[Slot]],"00")&amp;","&amp;TEXT(tbl_IO_List[[#This Row],[Point]],"00")</f>
        <v>C7S01,22</v>
      </c>
      <c r="AA890" s="136" t="e">
        <f>VLOOKUP(tbl_IO_List[[#This Row],[Column23]],tbl_RackConfig[],5,FALSE) &amp;"-"&amp;tbl_IO_List[[#This Row],[Point]]</f>
        <v>#N/A</v>
      </c>
      <c r="AB890" s="136"/>
      <c r="AC890" s="136"/>
      <c r="AD890" s="136" t="str">
        <f>tbl_IO_List[[#This Row],[I/O Type]]</f>
        <v>DI</v>
      </c>
      <c r="AE890" s="136" t="s">
        <v>1368</v>
      </c>
      <c r="AF890" s="136">
        <v>1</v>
      </c>
      <c r="AG890" s="136">
        <v>22</v>
      </c>
      <c r="AH890" s="136"/>
      <c r="AI890" s="136"/>
      <c r="AJ890" s="136">
        <v>3</v>
      </c>
      <c r="AK890" s="136">
        <v>1</v>
      </c>
      <c r="AL890" s="136">
        <v>0</v>
      </c>
      <c r="AM890" s="136">
        <v>0</v>
      </c>
      <c r="AN890" s="136">
        <v>1</v>
      </c>
      <c r="AO890" s="136"/>
      <c r="AP890" s="143" t="str">
        <f>VLOOKUP(tbl_IO_List[[#This Row],[Instruement Tag]],tbl_Instruement_List[],14,FALSE)</f>
        <v>24 VDC energized</v>
      </c>
      <c r="AQ890" s="143" t="str">
        <f>tbl_IO_List[[#This Row],[Chassis]]&amp;"S"&amp;tbl_IO_List[[#This Row],[Slot]]&amp;"-"&amp;tbl_IO_List[[#This Row],[Front Terminal Number]]</f>
        <v>C7S1-</v>
      </c>
      <c r="AR890" s="143"/>
      <c r="AS890" s="136" t="str">
        <f>tbl_IO_List[[#This Row],[Terminal Tagging]]&amp;"-"&amp;tbl_IO_List[[#This Row],[Point-Count]]</f>
        <v>-</v>
      </c>
      <c r="AT890" s="136" t="str">
        <f>tbl_IO_List[[#This Row],[Front Terminal Tagging]]&amp;"/"&amp;tbl_IO_List[[#This Row],[Terminal Tagging-Item]]</f>
        <v>C7S1-/-</v>
      </c>
      <c r="AU890" s="136" t="str">
        <f>tbl_IO_List[[#This Row],[Terminal Tagging-Item]]&amp;"/"&amp;tbl_IO_List[[#This Row],[Front Terminal Tagging]]</f>
        <v>-/C7S1-</v>
      </c>
    </row>
    <row r="891" spans="1:47" hidden="1">
      <c r="A891" s="136" t="s">
        <v>1307</v>
      </c>
      <c r="B891" s="136" t="s">
        <v>1307</v>
      </c>
      <c r="C891" s="136" t="str">
        <f>tbl_IO_List[[#This Row],[Column3]]</f>
        <v>C7S01,23</v>
      </c>
      <c r="D891" s="136" t="e">
        <f>tbl_IO_List[[#This Row],[Card]]</f>
        <v>#N/A</v>
      </c>
      <c r="E891" s="136"/>
      <c r="F891" s="136" t="str">
        <f>tbl_IO_List[[#This Row],[Column23]]&amp;"-" &amp;tbl_IO_List[[#This Row],[Column52]]</f>
        <v>C7S01-</v>
      </c>
      <c r="G891" s="136" t="str">
        <f>tbl_IO_List[[#This Row],[PLC_Tag]]</f>
        <v>PCY-40203_DI_1</v>
      </c>
      <c r="H891" s="136"/>
      <c r="I891" s="136" t="str">
        <f>VLOOKUP(tbl_IO_List[[#This Row],[Destination]],tbl_Junction[],2,FALSE)</f>
        <v>MCC Room</v>
      </c>
      <c r="J891" s="136" t="s">
        <v>114</v>
      </c>
      <c r="K891" s="136" t="s">
        <v>115</v>
      </c>
      <c r="L891" s="136" t="s">
        <v>134</v>
      </c>
      <c r="M891" s="136" t="str">
        <f>VLOOKUP(tbl_IO_List[[#This Row],[Instruement Tag]],tbl_Instruement_List[],2,FALSE)</f>
        <v>PUMP</v>
      </c>
      <c r="N891" s="136" t="s">
        <v>15</v>
      </c>
      <c r="O891" s="136" t="s">
        <v>116</v>
      </c>
      <c r="P891" s="136" t="s">
        <v>117</v>
      </c>
      <c r="Q891" s="136" t="str">
        <f>VLOOKUP(tbl_IO_List[[#This Row],[Instruement Tag]],tbl_Instruement_List[],6,FALSE)</f>
        <v xml:space="preserve"> Start / Stop Command for VSD PUCF-11 (Centrifugal Feed Pump)</v>
      </c>
      <c r="R891" s="136"/>
      <c r="S89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3,DO=1,AI=0,AO=0,Bus=1</v>
      </c>
      <c r="T891" s="136" t="str">
        <f>tbl_IO_List[[#This Row],[Instruement Tag]]&amp;"_"&amp;tbl_IO_List[[#This Row],[I/O Type]]&amp;"_"&amp;tbl_IO_List[[#This Row],[IO-Point 
(Instruement)]]</f>
        <v>PCY-40203_DI_1</v>
      </c>
      <c r="U891" s="136" t="s">
        <v>8</v>
      </c>
      <c r="V891" s="136">
        <f>VLOOKUP(tbl_IO_List[[#This Row],[I/O Type]],tbl_Slot_Group[],2,FALSE)</f>
        <v>1</v>
      </c>
      <c r="W891" s="136">
        <v>1</v>
      </c>
      <c r="X891" s="136" t="str">
        <f>tbl_IO_List[[#This Row],[Chassis]]&amp;"S"&amp;TEXT(tbl_IO_List[[#This Row],[Slot]],"00")</f>
        <v>C7S01</v>
      </c>
      <c r="Y891" s="136" t="str">
        <f>tbl_IO_List[[#This Row],[Chassis]]&amp;"S"&amp;TEXT(tbl_IO_List[[#This Row],[Slot]],"00")&amp;tbl_IO_List[[#This Row],[I/O Type]]&amp;TEXT(tbl_IO_List[[#This Row],[Point]],"00")</f>
        <v>C7S01DI23</v>
      </c>
      <c r="Z891" s="136" t="str">
        <f>tbl_IO_List[[#This Row],[Chassis]]&amp;"S"&amp;TEXT(tbl_IO_List[[#This Row],[Slot]],"00")&amp;","&amp;TEXT(tbl_IO_List[[#This Row],[Point]],"00")</f>
        <v>C7S01,23</v>
      </c>
      <c r="AA891" s="136" t="e">
        <f>VLOOKUP(tbl_IO_List[[#This Row],[Column23]],tbl_RackConfig[],5,FALSE) &amp;"-"&amp;tbl_IO_List[[#This Row],[Point]]</f>
        <v>#N/A</v>
      </c>
      <c r="AB891" s="136"/>
      <c r="AC891" s="136"/>
      <c r="AD891" s="136" t="str">
        <f>tbl_IO_List[[#This Row],[I/O Type]]</f>
        <v>DI</v>
      </c>
      <c r="AE891" s="136" t="s">
        <v>1368</v>
      </c>
      <c r="AF891" s="136">
        <v>1</v>
      </c>
      <c r="AG891" s="136">
        <v>23</v>
      </c>
      <c r="AH891" s="136"/>
      <c r="AI891" s="136"/>
      <c r="AJ891" s="136">
        <v>3</v>
      </c>
      <c r="AK891" s="136">
        <v>1</v>
      </c>
      <c r="AL891" s="136">
        <v>0</v>
      </c>
      <c r="AM891" s="136">
        <v>0</v>
      </c>
      <c r="AN891" s="136">
        <v>1</v>
      </c>
      <c r="AO891" s="136"/>
      <c r="AP891" s="143" t="str">
        <f>VLOOKUP(tbl_IO_List[[#This Row],[Instruement Tag]],tbl_Instruement_List[],14,FALSE)</f>
        <v>24 VDC energized</v>
      </c>
      <c r="AQ891" s="143" t="str">
        <f>tbl_IO_List[[#This Row],[Chassis]]&amp;"S"&amp;tbl_IO_List[[#This Row],[Slot]]&amp;"-"&amp;tbl_IO_List[[#This Row],[Front Terminal Number]]</f>
        <v>C7S1-</v>
      </c>
      <c r="AR891" s="143"/>
      <c r="AS891" s="136" t="str">
        <f>tbl_IO_List[[#This Row],[Terminal Tagging]]&amp;"-"&amp;tbl_IO_List[[#This Row],[Point-Count]]</f>
        <v>-</v>
      </c>
      <c r="AT891" s="136" t="str">
        <f>tbl_IO_List[[#This Row],[Front Terminal Tagging]]&amp;"/"&amp;tbl_IO_List[[#This Row],[Terminal Tagging-Item]]</f>
        <v>C7S1-/-</v>
      </c>
      <c r="AU891" s="136" t="str">
        <f>tbl_IO_List[[#This Row],[Terminal Tagging-Item]]&amp;"/"&amp;tbl_IO_List[[#This Row],[Front Terminal Tagging]]</f>
        <v>-/C7S1-</v>
      </c>
    </row>
    <row r="892" spans="1:47" hidden="1">
      <c r="A892" s="136" t="s">
        <v>1307</v>
      </c>
      <c r="B892" s="136" t="s">
        <v>1307</v>
      </c>
      <c r="C892" s="136" t="str">
        <f>tbl_IO_List[[#This Row],[Column3]]</f>
        <v>C7S01,24</v>
      </c>
      <c r="D892" s="136" t="e">
        <f>tbl_IO_List[[#This Row],[Card]]</f>
        <v>#N/A</v>
      </c>
      <c r="E892" s="136"/>
      <c r="F892" s="136" t="str">
        <f>tbl_IO_List[[#This Row],[Column23]]&amp;"-" &amp;tbl_IO_List[[#This Row],[Column52]]</f>
        <v>C7S01-</v>
      </c>
      <c r="G892" s="136" t="str">
        <f>tbl_IO_List[[#This Row],[PLC_Tag]]</f>
        <v>PCY-40203_DI_2</v>
      </c>
      <c r="H892" s="136"/>
      <c r="I892" s="136" t="str">
        <f>VLOOKUP(tbl_IO_List[[#This Row],[Destination]],tbl_Junction[],2,FALSE)</f>
        <v>MCC Room</v>
      </c>
      <c r="J892" s="136" t="s">
        <v>114</v>
      </c>
      <c r="K892" s="136" t="s">
        <v>115</v>
      </c>
      <c r="L892" s="136" t="s">
        <v>134</v>
      </c>
      <c r="M892" s="136" t="str">
        <f>VLOOKUP(tbl_IO_List[[#This Row],[Instruement Tag]],tbl_Instruement_List[],2,FALSE)</f>
        <v>PUMP</v>
      </c>
      <c r="N892" s="136" t="s">
        <v>15</v>
      </c>
      <c r="O892" s="136" t="s">
        <v>116</v>
      </c>
      <c r="P892" s="136" t="s">
        <v>117</v>
      </c>
      <c r="Q892" s="136" t="str">
        <f>VLOOKUP(tbl_IO_List[[#This Row],[Instruement Tag]],tbl_Instruement_List[],6,FALSE)</f>
        <v xml:space="preserve"> Start / Stop Command for VSD PUCF-11 (Centrifugal Feed Pump)</v>
      </c>
      <c r="R892" s="136"/>
      <c r="S89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3,DO=1,AI=0,AO=0,Bus=1</v>
      </c>
      <c r="T892" s="136" t="str">
        <f>tbl_IO_List[[#This Row],[Instruement Tag]]&amp;"_"&amp;tbl_IO_List[[#This Row],[I/O Type]]&amp;"_"&amp;tbl_IO_List[[#This Row],[IO-Point 
(Instruement)]]</f>
        <v>PCY-40203_DI_2</v>
      </c>
      <c r="U892" s="136" t="s">
        <v>8</v>
      </c>
      <c r="V892" s="136">
        <f>VLOOKUP(tbl_IO_List[[#This Row],[I/O Type]],tbl_Slot_Group[],2,FALSE)</f>
        <v>1</v>
      </c>
      <c r="W892" s="136">
        <v>2</v>
      </c>
      <c r="X892" s="136" t="str">
        <f>tbl_IO_List[[#This Row],[Chassis]]&amp;"S"&amp;TEXT(tbl_IO_List[[#This Row],[Slot]],"00")</f>
        <v>C7S01</v>
      </c>
      <c r="Y892" s="136" t="str">
        <f>tbl_IO_List[[#This Row],[Chassis]]&amp;"S"&amp;TEXT(tbl_IO_List[[#This Row],[Slot]],"00")&amp;tbl_IO_List[[#This Row],[I/O Type]]&amp;TEXT(tbl_IO_List[[#This Row],[Point]],"00")</f>
        <v>C7S01DI24</v>
      </c>
      <c r="Z892" s="136" t="str">
        <f>tbl_IO_List[[#This Row],[Chassis]]&amp;"S"&amp;TEXT(tbl_IO_List[[#This Row],[Slot]],"00")&amp;","&amp;TEXT(tbl_IO_List[[#This Row],[Point]],"00")</f>
        <v>C7S01,24</v>
      </c>
      <c r="AA892" s="136" t="e">
        <f>VLOOKUP(tbl_IO_List[[#This Row],[Column23]],tbl_RackConfig[],5,FALSE) &amp;"-"&amp;tbl_IO_List[[#This Row],[Point]]</f>
        <v>#N/A</v>
      </c>
      <c r="AB892" s="136"/>
      <c r="AC892" s="136"/>
      <c r="AD892" s="136" t="str">
        <f>tbl_IO_List[[#This Row],[I/O Type]]</f>
        <v>DI</v>
      </c>
      <c r="AE892" s="136" t="s">
        <v>1368</v>
      </c>
      <c r="AF892" s="136">
        <v>1</v>
      </c>
      <c r="AG892" s="136">
        <v>24</v>
      </c>
      <c r="AH892" s="136"/>
      <c r="AI892" s="136"/>
      <c r="AJ892" s="136">
        <v>3</v>
      </c>
      <c r="AK892" s="136">
        <v>1</v>
      </c>
      <c r="AL892" s="136">
        <v>0</v>
      </c>
      <c r="AM892" s="136">
        <v>0</v>
      </c>
      <c r="AN892" s="136">
        <v>1</v>
      </c>
      <c r="AO892" s="136"/>
      <c r="AP892" s="143" t="str">
        <f>VLOOKUP(tbl_IO_List[[#This Row],[Instruement Tag]],tbl_Instruement_List[],14,FALSE)</f>
        <v>24 VDC energized</v>
      </c>
      <c r="AQ892" s="143" t="str">
        <f>tbl_IO_List[[#This Row],[Chassis]]&amp;"S"&amp;tbl_IO_List[[#This Row],[Slot]]&amp;"-"&amp;tbl_IO_List[[#This Row],[Front Terminal Number]]</f>
        <v>C7S1-</v>
      </c>
      <c r="AR892" s="143"/>
      <c r="AS892" s="136" t="str">
        <f>tbl_IO_List[[#This Row],[Terminal Tagging]]&amp;"-"&amp;tbl_IO_List[[#This Row],[Point-Count]]</f>
        <v>-</v>
      </c>
      <c r="AT892" s="136" t="str">
        <f>tbl_IO_List[[#This Row],[Front Terminal Tagging]]&amp;"/"&amp;tbl_IO_List[[#This Row],[Terminal Tagging-Item]]</f>
        <v>C7S1-/-</v>
      </c>
      <c r="AU892" s="136" t="str">
        <f>tbl_IO_List[[#This Row],[Terminal Tagging-Item]]&amp;"/"&amp;tbl_IO_List[[#This Row],[Front Terminal Tagging]]</f>
        <v>-/C7S1-</v>
      </c>
    </row>
    <row r="893" spans="1:47" hidden="1">
      <c r="A893" s="136" t="s">
        <v>1307</v>
      </c>
      <c r="B893" s="136" t="s">
        <v>1307</v>
      </c>
      <c r="C893" s="136" t="str">
        <f>tbl_IO_List[[#This Row],[Column3]]</f>
        <v>C7S01,25</v>
      </c>
      <c r="D893" s="136" t="e">
        <f>tbl_IO_List[[#This Row],[Card]]</f>
        <v>#N/A</v>
      </c>
      <c r="E893" s="136"/>
      <c r="F893" s="136" t="str">
        <f>tbl_IO_List[[#This Row],[Column23]]&amp;"-" &amp;tbl_IO_List[[#This Row],[Column52]]</f>
        <v>C7S01-</v>
      </c>
      <c r="G893" s="136" t="str">
        <f>tbl_IO_List[[#This Row],[PLC_Tag]]</f>
        <v>PCY-40203_DI_3</v>
      </c>
      <c r="H893" s="136"/>
      <c r="I893" s="136" t="str">
        <f>VLOOKUP(tbl_IO_List[[#This Row],[Destination]],tbl_Junction[],2,FALSE)</f>
        <v>MCC Room</v>
      </c>
      <c r="J893" s="136" t="s">
        <v>114</v>
      </c>
      <c r="K893" s="136" t="s">
        <v>115</v>
      </c>
      <c r="L893" s="136" t="s">
        <v>134</v>
      </c>
      <c r="M893" s="136" t="str">
        <f>VLOOKUP(tbl_IO_List[[#This Row],[Instruement Tag]],tbl_Instruement_List[],2,FALSE)</f>
        <v>PUMP</v>
      </c>
      <c r="N893" s="136" t="s">
        <v>15</v>
      </c>
      <c r="O893" s="136" t="s">
        <v>116</v>
      </c>
      <c r="P893" s="136" t="s">
        <v>117</v>
      </c>
      <c r="Q893" s="136" t="str">
        <f>VLOOKUP(tbl_IO_List[[#This Row],[Instruement Tag]],tbl_Instruement_List[],6,FALSE)</f>
        <v xml:space="preserve"> Start / Stop Command for VSD PUCF-11 (Centrifugal Feed Pump)</v>
      </c>
      <c r="R893" s="136"/>
      <c r="S89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3,DO=1,AI=0,AO=0,Bus=1</v>
      </c>
      <c r="T893" s="136" t="str">
        <f>tbl_IO_List[[#This Row],[Instruement Tag]]&amp;"_"&amp;tbl_IO_List[[#This Row],[I/O Type]]&amp;"_"&amp;tbl_IO_List[[#This Row],[IO-Point 
(Instruement)]]</f>
        <v>PCY-40203_DI_3</v>
      </c>
      <c r="U893" s="136" t="s">
        <v>8</v>
      </c>
      <c r="V893" s="136">
        <f>VLOOKUP(tbl_IO_List[[#This Row],[I/O Type]],tbl_Slot_Group[],2,FALSE)</f>
        <v>1</v>
      </c>
      <c r="W893" s="136">
        <v>3</v>
      </c>
      <c r="X893" s="136" t="str">
        <f>tbl_IO_List[[#This Row],[Chassis]]&amp;"S"&amp;TEXT(tbl_IO_List[[#This Row],[Slot]],"00")</f>
        <v>C7S01</v>
      </c>
      <c r="Y893" s="136" t="str">
        <f>tbl_IO_List[[#This Row],[Chassis]]&amp;"S"&amp;TEXT(tbl_IO_List[[#This Row],[Slot]],"00")&amp;tbl_IO_List[[#This Row],[I/O Type]]&amp;TEXT(tbl_IO_List[[#This Row],[Point]],"00")</f>
        <v>C7S01DI25</v>
      </c>
      <c r="Z893" s="136" t="str">
        <f>tbl_IO_List[[#This Row],[Chassis]]&amp;"S"&amp;TEXT(tbl_IO_List[[#This Row],[Slot]],"00")&amp;","&amp;TEXT(tbl_IO_List[[#This Row],[Point]],"00")</f>
        <v>C7S01,25</v>
      </c>
      <c r="AA893" s="136" t="e">
        <f>VLOOKUP(tbl_IO_List[[#This Row],[Column23]],tbl_RackConfig[],5,FALSE) &amp;"-"&amp;tbl_IO_List[[#This Row],[Point]]</f>
        <v>#N/A</v>
      </c>
      <c r="AB893" s="136"/>
      <c r="AC893" s="136"/>
      <c r="AD893" s="136" t="str">
        <f>tbl_IO_List[[#This Row],[I/O Type]]</f>
        <v>DI</v>
      </c>
      <c r="AE893" s="136" t="s">
        <v>1368</v>
      </c>
      <c r="AF893" s="136">
        <v>1</v>
      </c>
      <c r="AG893" s="136">
        <v>25</v>
      </c>
      <c r="AH893" s="136"/>
      <c r="AI893" s="136"/>
      <c r="AJ893" s="136">
        <v>3</v>
      </c>
      <c r="AK893" s="136">
        <v>1</v>
      </c>
      <c r="AL893" s="136">
        <v>0</v>
      </c>
      <c r="AM893" s="136">
        <v>0</v>
      </c>
      <c r="AN893" s="136">
        <v>1</v>
      </c>
      <c r="AO893" s="136"/>
      <c r="AP893" s="143" t="str">
        <f>VLOOKUP(tbl_IO_List[[#This Row],[Instruement Tag]],tbl_Instruement_List[],14,FALSE)</f>
        <v>24 VDC energized</v>
      </c>
      <c r="AQ893" s="143" t="str">
        <f>tbl_IO_List[[#This Row],[Chassis]]&amp;"S"&amp;tbl_IO_List[[#This Row],[Slot]]&amp;"-"&amp;tbl_IO_List[[#This Row],[Front Terminal Number]]</f>
        <v>C7S1-</v>
      </c>
      <c r="AR893" s="143"/>
      <c r="AS893" s="136" t="str">
        <f>tbl_IO_List[[#This Row],[Terminal Tagging]]&amp;"-"&amp;tbl_IO_List[[#This Row],[Point-Count]]</f>
        <v>-</v>
      </c>
      <c r="AT893" s="136" t="str">
        <f>tbl_IO_List[[#This Row],[Front Terminal Tagging]]&amp;"/"&amp;tbl_IO_List[[#This Row],[Terminal Tagging-Item]]</f>
        <v>C7S1-/-</v>
      </c>
      <c r="AU893" s="136" t="str">
        <f>tbl_IO_List[[#This Row],[Terminal Tagging-Item]]&amp;"/"&amp;tbl_IO_List[[#This Row],[Front Terminal Tagging]]</f>
        <v>-/C7S1-</v>
      </c>
    </row>
    <row r="894" spans="1:47" hidden="1">
      <c r="A894" s="136" t="s">
        <v>1307</v>
      </c>
      <c r="B894" s="136" t="s">
        <v>1307</v>
      </c>
      <c r="C894" s="136" t="str">
        <f>tbl_IO_List[[#This Row],[Column3]]</f>
        <v>C7S01,26</v>
      </c>
      <c r="D894" s="136" t="e">
        <f>tbl_IO_List[[#This Row],[Card]]</f>
        <v>#N/A</v>
      </c>
      <c r="E894" s="136"/>
      <c r="F894" s="136" t="str">
        <f>tbl_IO_List[[#This Row],[Column23]]&amp;"-" &amp;tbl_IO_List[[#This Row],[Column52]]</f>
        <v>C7S01-</v>
      </c>
      <c r="G894" s="136" t="str">
        <f>tbl_IO_List[[#This Row],[PLC_Tag]]</f>
        <v>BFY-60206_DI_1</v>
      </c>
      <c r="H894" s="136"/>
      <c r="I894" s="136" t="str">
        <f>VLOOKUP(tbl_IO_List[[#This Row],[Destination]],tbl_Junction[],2,FALSE)</f>
        <v>MCC Room</v>
      </c>
      <c r="J894" s="136" t="s">
        <v>191</v>
      </c>
      <c r="K894" s="136" t="s">
        <v>14</v>
      </c>
      <c r="L894" s="136" t="s">
        <v>856</v>
      </c>
      <c r="M894" s="136">
        <f>VLOOKUP(tbl_IO_List[[#This Row],[Instruement Tag]],tbl_Instruement_List[],2,FALSE)</f>
        <v>0</v>
      </c>
      <c r="N894" s="136" t="s">
        <v>15</v>
      </c>
      <c r="O894" s="136" t="s">
        <v>192</v>
      </c>
      <c r="P894" s="136" t="s">
        <v>18</v>
      </c>
      <c r="Q894" s="136" t="str">
        <f>VLOOKUP(tbl_IO_List[[#This Row],[Instruement Tag]],tbl_Instruement_List[],6,FALSE)</f>
        <v xml:space="preserve"> Start / Stop Command for VSD FANS-31 (Cooling / Conveying Fan)</v>
      </c>
      <c r="R894" s="136"/>
      <c r="S89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1,DO=1,AI=0,AO=0,Bus=1</v>
      </c>
      <c r="T894" s="136" t="str">
        <f>tbl_IO_List[[#This Row],[Instruement Tag]]&amp;"_"&amp;tbl_IO_List[[#This Row],[I/O Type]]&amp;"_"&amp;tbl_IO_List[[#This Row],[IO-Point 
(Instruement)]]</f>
        <v>BFY-60206_DI_1</v>
      </c>
      <c r="U894" s="136" t="s">
        <v>8</v>
      </c>
      <c r="V894" s="136">
        <f>VLOOKUP(tbl_IO_List[[#This Row],[I/O Type]],tbl_Slot_Group[],2,FALSE)</f>
        <v>1</v>
      </c>
      <c r="W894" s="136">
        <v>1</v>
      </c>
      <c r="X894" s="136" t="str">
        <f>tbl_IO_List[[#This Row],[Chassis]]&amp;"S"&amp;TEXT(tbl_IO_List[[#This Row],[Slot]],"00")</f>
        <v>C7S01</v>
      </c>
      <c r="Y894" s="136" t="str">
        <f>tbl_IO_List[[#This Row],[Chassis]]&amp;"S"&amp;TEXT(tbl_IO_List[[#This Row],[Slot]],"00")&amp;tbl_IO_List[[#This Row],[I/O Type]]&amp;TEXT(tbl_IO_List[[#This Row],[Point]],"00")</f>
        <v>C7S01DI26</v>
      </c>
      <c r="Z894" s="136" t="str">
        <f>tbl_IO_List[[#This Row],[Chassis]]&amp;"S"&amp;TEXT(tbl_IO_List[[#This Row],[Slot]],"00")&amp;","&amp;TEXT(tbl_IO_List[[#This Row],[Point]],"00")</f>
        <v>C7S01,26</v>
      </c>
      <c r="AA894" s="136" t="e">
        <f>VLOOKUP(tbl_IO_List[[#This Row],[Column23]],tbl_RackConfig[],5,FALSE) &amp;"-"&amp;tbl_IO_List[[#This Row],[Point]]</f>
        <v>#N/A</v>
      </c>
      <c r="AB894" s="136"/>
      <c r="AC894" s="136"/>
      <c r="AD894" s="136" t="str">
        <f>tbl_IO_List[[#This Row],[I/O Type]]</f>
        <v>DI</v>
      </c>
      <c r="AE894" s="136" t="s">
        <v>1368</v>
      </c>
      <c r="AF894" s="136">
        <v>1</v>
      </c>
      <c r="AG894" s="136">
        <v>26</v>
      </c>
      <c r="AH894" s="136"/>
      <c r="AI894" s="136"/>
      <c r="AJ894" s="136">
        <v>1</v>
      </c>
      <c r="AK894" s="136">
        <v>1</v>
      </c>
      <c r="AL894" s="136">
        <v>0</v>
      </c>
      <c r="AM894" s="136">
        <v>0</v>
      </c>
      <c r="AN894" s="136">
        <v>1</v>
      </c>
      <c r="AO894" s="136"/>
      <c r="AP894" s="143" t="str">
        <f>VLOOKUP(tbl_IO_List[[#This Row],[Instruement Tag]],tbl_Instruement_List[],14,FALSE)</f>
        <v>24 VDC energized</v>
      </c>
      <c r="AQ894" s="143" t="str">
        <f>tbl_IO_List[[#This Row],[Chassis]]&amp;"S"&amp;tbl_IO_List[[#This Row],[Slot]]&amp;"-"&amp;tbl_IO_List[[#This Row],[Front Terminal Number]]</f>
        <v>C7S1-</v>
      </c>
      <c r="AR894" s="143"/>
      <c r="AS894" s="136" t="str">
        <f>tbl_IO_List[[#This Row],[Terminal Tagging]]&amp;"-"&amp;tbl_IO_List[[#This Row],[Point-Count]]</f>
        <v>-</v>
      </c>
      <c r="AT894" s="136" t="str">
        <f>tbl_IO_List[[#This Row],[Front Terminal Tagging]]&amp;"/"&amp;tbl_IO_List[[#This Row],[Terminal Tagging-Item]]</f>
        <v>C7S1-/-</v>
      </c>
      <c r="AU894" s="136" t="str">
        <f>tbl_IO_List[[#This Row],[Terminal Tagging-Item]]&amp;"/"&amp;tbl_IO_List[[#This Row],[Front Terminal Tagging]]</f>
        <v>-/C7S1-</v>
      </c>
    </row>
    <row r="895" spans="1:47" hidden="1">
      <c r="A895" s="136" t="s">
        <v>1307</v>
      </c>
      <c r="B895" s="136" t="s">
        <v>1307</v>
      </c>
      <c r="C895" s="136" t="str">
        <f>tbl_IO_List[[#This Row],[Column3]]</f>
        <v>C7S01,27</v>
      </c>
      <c r="D895" s="136" t="e">
        <f>tbl_IO_List[[#This Row],[Card]]</f>
        <v>#N/A</v>
      </c>
      <c r="E895" s="136"/>
      <c r="F895" s="136" t="str">
        <f>tbl_IO_List[[#This Row],[Column23]]&amp;"-" &amp;tbl_IO_List[[#This Row],[Column52]]</f>
        <v>C7S01-</v>
      </c>
      <c r="G895" s="136" t="str">
        <f>tbl_IO_List[[#This Row],[PLC_Tag]]</f>
        <v>PCM-60205-2_DI_1</v>
      </c>
      <c r="H895" s="136"/>
      <c r="I895" s="136" t="str">
        <f>VLOOKUP(tbl_IO_List[[#This Row],[Destination]],tbl_Junction[],2,FALSE)</f>
        <v>MCC Room</v>
      </c>
      <c r="J895" s="136" t="s">
        <v>191</v>
      </c>
      <c r="K895" s="136" t="s">
        <v>14</v>
      </c>
      <c r="L895" s="136" t="s">
        <v>1377</v>
      </c>
      <c r="M895" s="136" t="e">
        <f>VLOOKUP(tbl_IO_List[[#This Row],[Instruement Tag]],tbl_Instruement_List[],2,FALSE)</f>
        <v>#N/A</v>
      </c>
      <c r="N895" s="136" t="s">
        <v>15</v>
      </c>
      <c r="O895" s="136" t="s">
        <v>126</v>
      </c>
      <c r="P895" s="136" t="s">
        <v>18</v>
      </c>
      <c r="Q895" s="136" t="e">
        <f>VLOOKUP(tbl_IO_List[[#This Row],[Instruement Tag]],tbl_Instruement_List[],6,FALSE)</f>
        <v>#N/A</v>
      </c>
      <c r="R895" s="136"/>
      <c r="S89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895" s="136" t="str">
        <f>tbl_IO_List[[#This Row],[Instruement Tag]]&amp;"_"&amp;tbl_IO_List[[#This Row],[I/O Type]]&amp;"_"&amp;tbl_IO_List[[#This Row],[IO-Point 
(Instruement)]]</f>
        <v>PCM-60205-2_DI_1</v>
      </c>
      <c r="U895" s="136" t="s">
        <v>8</v>
      </c>
      <c r="V895" s="136">
        <f>VLOOKUP(tbl_IO_List[[#This Row],[I/O Type]],tbl_Slot_Group[],2,FALSE)</f>
        <v>1</v>
      </c>
      <c r="W895" s="136">
        <v>1</v>
      </c>
      <c r="X895" s="136" t="str">
        <f>tbl_IO_List[[#This Row],[Chassis]]&amp;"S"&amp;TEXT(tbl_IO_List[[#This Row],[Slot]],"00")</f>
        <v>C7S01</v>
      </c>
      <c r="Y895" s="136" t="str">
        <f>tbl_IO_List[[#This Row],[Chassis]]&amp;"S"&amp;TEXT(tbl_IO_List[[#This Row],[Slot]],"00")&amp;tbl_IO_List[[#This Row],[I/O Type]]&amp;TEXT(tbl_IO_List[[#This Row],[Point]],"00")</f>
        <v>C7S01DI27</v>
      </c>
      <c r="Z895" s="136" t="str">
        <f>tbl_IO_List[[#This Row],[Chassis]]&amp;"S"&amp;TEXT(tbl_IO_List[[#This Row],[Slot]],"00")&amp;","&amp;TEXT(tbl_IO_List[[#This Row],[Point]],"00")</f>
        <v>C7S01,27</v>
      </c>
      <c r="AA895" s="136" t="e">
        <f>VLOOKUP(tbl_IO_List[[#This Row],[Column23]],tbl_RackConfig[],5,FALSE) &amp;"-"&amp;tbl_IO_List[[#This Row],[Point]]</f>
        <v>#N/A</v>
      </c>
      <c r="AB895" s="136"/>
      <c r="AC895" s="136"/>
      <c r="AD895" s="136" t="str">
        <f>tbl_IO_List[[#This Row],[I/O Type]]</f>
        <v>DI</v>
      </c>
      <c r="AE895" s="136" t="s">
        <v>1368</v>
      </c>
      <c r="AF895" s="136">
        <v>1</v>
      </c>
      <c r="AG895" s="136">
        <v>27</v>
      </c>
      <c r="AH895" s="136"/>
      <c r="AI895" s="136"/>
      <c r="AJ895" s="136">
        <v>2</v>
      </c>
      <c r="AK895" s="136">
        <v>2</v>
      </c>
      <c r="AL895" s="136">
        <v>0</v>
      </c>
      <c r="AM895" s="136">
        <v>0</v>
      </c>
      <c r="AN895" s="136">
        <v>0</v>
      </c>
      <c r="AO895" s="136"/>
      <c r="AP895" s="143" t="e">
        <f>VLOOKUP(tbl_IO_List[[#This Row],[Instruement Tag]],tbl_Instruement_List[],14,FALSE)</f>
        <v>#N/A</v>
      </c>
      <c r="AQ895" s="143" t="str">
        <f>tbl_IO_List[[#This Row],[Chassis]]&amp;"S"&amp;tbl_IO_List[[#This Row],[Slot]]&amp;"-"&amp;tbl_IO_List[[#This Row],[Front Terminal Number]]</f>
        <v>C7S1-</v>
      </c>
      <c r="AR895" s="143"/>
      <c r="AS895" s="136" t="str">
        <f>tbl_IO_List[[#This Row],[Terminal Tagging]]&amp;"-"&amp;tbl_IO_List[[#This Row],[Point-Count]]</f>
        <v>-</v>
      </c>
      <c r="AT895" s="136" t="str">
        <f>tbl_IO_List[[#This Row],[Front Terminal Tagging]]&amp;"/"&amp;tbl_IO_List[[#This Row],[Terminal Tagging-Item]]</f>
        <v>C7S1-/-</v>
      </c>
      <c r="AU895" s="136" t="str">
        <f>tbl_IO_List[[#This Row],[Terminal Tagging-Item]]&amp;"/"&amp;tbl_IO_List[[#This Row],[Front Terminal Tagging]]</f>
        <v>-/C7S1-</v>
      </c>
    </row>
    <row r="896" spans="1:47" hidden="1">
      <c r="A896" s="136" t="s">
        <v>1307</v>
      </c>
      <c r="B896" s="136" t="s">
        <v>1307</v>
      </c>
      <c r="C896" s="136" t="str">
        <f>tbl_IO_List[[#This Row],[Column3]]</f>
        <v>C7S01,28</v>
      </c>
      <c r="D896" s="136" t="e">
        <f>tbl_IO_List[[#This Row],[Card]]</f>
        <v>#N/A</v>
      </c>
      <c r="E896" s="136"/>
      <c r="F896" s="136" t="str">
        <f>tbl_IO_List[[#This Row],[Column23]]&amp;"-" &amp;tbl_IO_List[[#This Row],[Column52]]</f>
        <v>C7S01-</v>
      </c>
      <c r="G896" s="136" t="str">
        <f>tbl_IO_List[[#This Row],[PLC_Tag]]</f>
        <v>PCM-60205-2_DI_2</v>
      </c>
      <c r="H896" s="136"/>
      <c r="I896" s="136" t="str">
        <f>VLOOKUP(tbl_IO_List[[#This Row],[Destination]],tbl_Junction[],2,FALSE)</f>
        <v>MCC Room</v>
      </c>
      <c r="J896" s="136" t="s">
        <v>191</v>
      </c>
      <c r="K896" s="136" t="s">
        <v>14</v>
      </c>
      <c r="L896" s="136" t="s">
        <v>1377</v>
      </c>
      <c r="M896" s="136" t="e">
        <f>VLOOKUP(tbl_IO_List[[#This Row],[Instruement Tag]],tbl_Instruement_List[],2,FALSE)</f>
        <v>#N/A</v>
      </c>
      <c r="N896" s="136" t="s">
        <v>15</v>
      </c>
      <c r="O896" s="136" t="s">
        <v>126</v>
      </c>
      <c r="P896" s="136" t="s">
        <v>18</v>
      </c>
      <c r="Q896" s="136" t="e">
        <f>VLOOKUP(tbl_IO_List[[#This Row],[Instruement Tag]],tbl_Instruement_List[],6,FALSE)</f>
        <v>#N/A</v>
      </c>
      <c r="R896" s="136"/>
      <c r="S89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896" s="136" t="str">
        <f>tbl_IO_List[[#This Row],[Instruement Tag]]&amp;"_"&amp;tbl_IO_List[[#This Row],[I/O Type]]&amp;"_"&amp;tbl_IO_List[[#This Row],[IO-Point 
(Instruement)]]</f>
        <v>PCM-60205-2_DI_2</v>
      </c>
      <c r="U896" s="136" t="s">
        <v>8</v>
      </c>
      <c r="V896" s="136">
        <f>VLOOKUP(tbl_IO_List[[#This Row],[I/O Type]],tbl_Slot_Group[],2,FALSE)</f>
        <v>1</v>
      </c>
      <c r="W896" s="136">
        <v>2</v>
      </c>
      <c r="X896" s="136" t="str">
        <f>tbl_IO_List[[#This Row],[Chassis]]&amp;"S"&amp;TEXT(tbl_IO_List[[#This Row],[Slot]],"00")</f>
        <v>C7S01</v>
      </c>
      <c r="Y896" s="136" t="str">
        <f>tbl_IO_List[[#This Row],[Chassis]]&amp;"S"&amp;TEXT(tbl_IO_List[[#This Row],[Slot]],"00")&amp;tbl_IO_List[[#This Row],[I/O Type]]&amp;TEXT(tbl_IO_List[[#This Row],[Point]],"00")</f>
        <v>C7S01DI28</v>
      </c>
      <c r="Z896" s="136" t="str">
        <f>tbl_IO_List[[#This Row],[Chassis]]&amp;"S"&amp;TEXT(tbl_IO_List[[#This Row],[Slot]],"00")&amp;","&amp;TEXT(tbl_IO_List[[#This Row],[Point]],"00")</f>
        <v>C7S01,28</v>
      </c>
      <c r="AA896" s="136" t="e">
        <f>VLOOKUP(tbl_IO_List[[#This Row],[Column23]],tbl_RackConfig[],5,FALSE) &amp;"-"&amp;tbl_IO_List[[#This Row],[Point]]</f>
        <v>#N/A</v>
      </c>
      <c r="AB896" s="136"/>
      <c r="AC896" s="136"/>
      <c r="AD896" s="136" t="str">
        <f>tbl_IO_List[[#This Row],[I/O Type]]</f>
        <v>DI</v>
      </c>
      <c r="AE896" s="136" t="s">
        <v>1368</v>
      </c>
      <c r="AF896" s="136">
        <v>1</v>
      </c>
      <c r="AG896" s="136">
        <v>28</v>
      </c>
      <c r="AH896" s="136"/>
      <c r="AI896" s="136"/>
      <c r="AJ896" s="136">
        <v>2</v>
      </c>
      <c r="AK896" s="136">
        <v>2</v>
      </c>
      <c r="AL896" s="136">
        <v>0</v>
      </c>
      <c r="AM896" s="136">
        <v>0</v>
      </c>
      <c r="AN896" s="136">
        <v>0</v>
      </c>
      <c r="AO896" s="136"/>
      <c r="AP896" s="143" t="e">
        <f>VLOOKUP(tbl_IO_List[[#This Row],[Instruement Tag]],tbl_Instruement_List[],14,FALSE)</f>
        <v>#N/A</v>
      </c>
      <c r="AQ896" s="143" t="str">
        <f>tbl_IO_List[[#This Row],[Chassis]]&amp;"S"&amp;tbl_IO_List[[#This Row],[Slot]]&amp;"-"&amp;tbl_IO_List[[#This Row],[Front Terminal Number]]</f>
        <v>C7S1-</v>
      </c>
      <c r="AR896" s="143"/>
      <c r="AS896" s="136" t="str">
        <f>tbl_IO_List[[#This Row],[Terminal Tagging]]&amp;"-"&amp;tbl_IO_List[[#This Row],[Point-Count]]</f>
        <v>-</v>
      </c>
      <c r="AT896" s="136" t="str">
        <f>tbl_IO_List[[#This Row],[Front Terminal Tagging]]&amp;"/"&amp;tbl_IO_List[[#This Row],[Terminal Tagging-Item]]</f>
        <v>C7S1-/-</v>
      </c>
      <c r="AU896" s="136" t="str">
        <f>tbl_IO_List[[#This Row],[Terminal Tagging-Item]]&amp;"/"&amp;tbl_IO_List[[#This Row],[Front Terminal Tagging]]</f>
        <v>-/C7S1-</v>
      </c>
    </row>
    <row r="897" spans="1:47" hidden="1">
      <c r="A897" s="136" t="s">
        <v>1307</v>
      </c>
      <c r="B897" s="136" t="s">
        <v>1307</v>
      </c>
      <c r="C897" s="136" t="str">
        <f>tbl_IO_List[[#This Row],[Column3]]</f>
        <v>C7S01,29</v>
      </c>
      <c r="D897" s="136" t="e">
        <f>tbl_IO_List[[#This Row],[Card]]</f>
        <v>#N/A</v>
      </c>
      <c r="E897" s="136"/>
      <c r="F897" s="136" t="str">
        <f>tbl_IO_List[[#This Row],[Column23]]&amp;"-" &amp;tbl_IO_List[[#This Row],[Column52]]</f>
        <v>C7S01-</v>
      </c>
      <c r="G897" s="136" t="str">
        <f>tbl_IO_List[[#This Row],[PLC_Tag]]</f>
        <v>PCM-60205-3_DI_1</v>
      </c>
      <c r="H897" s="136"/>
      <c r="I897" s="136" t="str">
        <f>VLOOKUP(tbl_IO_List[[#This Row],[Destination]],tbl_Junction[],2,FALSE)</f>
        <v>MCC Room</v>
      </c>
      <c r="J897" s="136" t="s">
        <v>191</v>
      </c>
      <c r="K897" s="136" t="s">
        <v>14</v>
      </c>
      <c r="L897" s="136" t="s">
        <v>1378</v>
      </c>
      <c r="M897" s="136" t="e">
        <f>VLOOKUP(tbl_IO_List[[#This Row],[Instruement Tag]],tbl_Instruement_List[],2,FALSE)</f>
        <v>#N/A</v>
      </c>
      <c r="N897" s="136" t="s">
        <v>15</v>
      </c>
      <c r="O897" s="136" t="s">
        <v>126</v>
      </c>
      <c r="P897" s="136" t="s">
        <v>18</v>
      </c>
      <c r="Q897" s="136" t="e">
        <f>VLOOKUP(tbl_IO_List[[#This Row],[Instruement Tag]],tbl_Instruement_List[],6,FALSE)</f>
        <v>#N/A</v>
      </c>
      <c r="R897" s="136"/>
      <c r="S89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897" s="136" t="str">
        <f>tbl_IO_List[[#This Row],[Instruement Tag]]&amp;"_"&amp;tbl_IO_List[[#This Row],[I/O Type]]&amp;"_"&amp;tbl_IO_List[[#This Row],[IO-Point 
(Instruement)]]</f>
        <v>PCM-60205-3_DI_1</v>
      </c>
      <c r="U897" s="136" t="s">
        <v>8</v>
      </c>
      <c r="V897" s="136">
        <f>VLOOKUP(tbl_IO_List[[#This Row],[I/O Type]],tbl_Slot_Group[],2,FALSE)</f>
        <v>1</v>
      </c>
      <c r="W897" s="136">
        <v>1</v>
      </c>
      <c r="X897" s="136" t="str">
        <f>tbl_IO_List[[#This Row],[Chassis]]&amp;"S"&amp;TEXT(tbl_IO_List[[#This Row],[Slot]],"00")</f>
        <v>C7S01</v>
      </c>
      <c r="Y897" s="136" t="str">
        <f>tbl_IO_List[[#This Row],[Chassis]]&amp;"S"&amp;TEXT(tbl_IO_List[[#This Row],[Slot]],"00")&amp;tbl_IO_List[[#This Row],[I/O Type]]&amp;TEXT(tbl_IO_List[[#This Row],[Point]],"00")</f>
        <v>C7S01DI29</v>
      </c>
      <c r="Z897" s="136" t="str">
        <f>tbl_IO_List[[#This Row],[Chassis]]&amp;"S"&amp;TEXT(tbl_IO_List[[#This Row],[Slot]],"00")&amp;","&amp;TEXT(tbl_IO_List[[#This Row],[Point]],"00")</f>
        <v>C7S01,29</v>
      </c>
      <c r="AA897" s="136" t="e">
        <f>VLOOKUP(tbl_IO_List[[#This Row],[Column23]],tbl_RackConfig[],5,FALSE) &amp;"-"&amp;tbl_IO_List[[#This Row],[Point]]</f>
        <v>#N/A</v>
      </c>
      <c r="AB897" s="136"/>
      <c r="AC897" s="136"/>
      <c r="AD897" s="136" t="str">
        <f>tbl_IO_List[[#This Row],[I/O Type]]</f>
        <v>DI</v>
      </c>
      <c r="AE897" s="136" t="s">
        <v>1368</v>
      </c>
      <c r="AF897" s="136">
        <v>1</v>
      </c>
      <c r="AG897" s="136">
        <v>29</v>
      </c>
      <c r="AH897" s="136"/>
      <c r="AI897" s="136"/>
      <c r="AJ897" s="136">
        <v>2</v>
      </c>
      <c r="AK897" s="136">
        <v>2</v>
      </c>
      <c r="AL897" s="136">
        <v>0</v>
      </c>
      <c r="AM897" s="136">
        <v>0</v>
      </c>
      <c r="AN897" s="136">
        <v>0</v>
      </c>
      <c r="AO897" s="136"/>
      <c r="AP897" s="143" t="e">
        <f>VLOOKUP(tbl_IO_List[[#This Row],[Instruement Tag]],tbl_Instruement_List[],14,FALSE)</f>
        <v>#N/A</v>
      </c>
      <c r="AQ897" s="143" t="str">
        <f>tbl_IO_List[[#This Row],[Chassis]]&amp;"S"&amp;tbl_IO_List[[#This Row],[Slot]]&amp;"-"&amp;tbl_IO_List[[#This Row],[Front Terminal Number]]</f>
        <v>C7S1-</v>
      </c>
      <c r="AR897" s="143"/>
      <c r="AS897" s="136" t="str">
        <f>tbl_IO_List[[#This Row],[Terminal Tagging]]&amp;"-"&amp;tbl_IO_List[[#This Row],[Point-Count]]</f>
        <v>-</v>
      </c>
      <c r="AT897" s="136" t="str">
        <f>tbl_IO_List[[#This Row],[Front Terminal Tagging]]&amp;"/"&amp;tbl_IO_List[[#This Row],[Terminal Tagging-Item]]</f>
        <v>C7S1-/-</v>
      </c>
      <c r="AU897" s="136" t="str">
        <f>tbl_IO_List[[#This Row],[Terminal Tagging-Item]]&amp;"/"&amp;tbl_IO_List[[#This Row],[Front Terminal Tagging]]</f>
        <v>-/C7S1-</v>
      </c>
    </row>
    <row r="898" spans="1:47" hidden="1">
      <c r="A898" s="136" t="s">
        <v>1307</v>
      </c>
      <c r="B898" s="136" t="s">
        <v>1307</v>
      </c>
      <c r="C898" s="136" t="str">
        <f>tbl_IO_List[[#This Row],[Column3]]</f>
        <v>C7S01,30</v>
      </c>
      <c r="D898" s="136" t="e">
        <f>tbl_IO_List[[#This Row],[Card]]</f>
        <v>#N/A</v>
      </c>
      <c r="E898" s="136"/>
      <c r="F898" s="136" t="str">
        <f>tbl_IO_List[[#This Row],[Column23]]&amp;"-" &amp;tbl_IO_List[[#This Row],[Column52]]</f>
        <v>C7S01-</v>
      </c>
      <c r="G898" s="136" t="str">
        <f>tbl_IO_List[[#This Row],[PLC_Tag]]</f>
        <v>PCM-60205-3_DI_2</v>
      </c>
      <c r="H898" s="136"/>
      <c r="I898" s="136" t="str">
        <f>VLOOKUP(tbl_IO_List[[#This Row],[Destination]],tbl_Junction[],2,FALSE)</f>
        <v>MCC Room</v>
      </c>
      <c r="J898" s="136" t="s">
        <v>191</v>
      </c>
      <c r="K898" s="136" t="s">
        <v>14</v>
      </c>
      <c r="L898" s="136" t="s">
        <v>1378</v>
      </c>
      <c r="M898" s="136" t="e">
        <f>VLOOKUP(tbl_IO_List[[#This Row],[Instruement Tag]],tbl_Instruement_List[],2,FALSE)</f>
        <v>#N/A</v>
      </c>
      <c r="N898" s="136" t="s">
        <v>15</v>
      </c>
      <c r="O898" s="136" t="s">
        <v>126</v>
      </c>
      <c r="P898" s="136" t="s">
        <v>18</v>
      </c>
      <c r="Q898" s="136" t="e">
        <f>VLOOKUP(tbl_IO_List[[#This Row],[Instruement Tag]],tbl_Instruement_List[],6,FALSE)</f>
        <v>#N/A</v>
      </c>
      <c r="R898" s="136"/>
      <c r="S89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898" s="136" t="str">
        <f>tbl_IO_List[[#This Row],[Instruement Tag]]&amp;"_"&amp;tbl_IO_List[[#This Row],[I/O Type]]&amp;"_"&amp;tbl_IO_List[[#This Row],[IO-Point 
(Instruement)]]</f>
        <v>PCM-60205-3_DI_2</v>
      </c>
      <c r="U898" s="136" t="s">
        <v>8</v>
      </c>
      <c r="V898" s="136">
        <f>VLOOKUP(tbl_IO_List[[#This Row],[I/O Type]],tbl_Slot_Group[],2,FALSE)</f>
        <v>1</v>
      </c>
      <c r="W898" s="136">
        <v>2</v>
      </c>
      <c r="X898" s="136" t="str">
        <f>tbl_IO_List[[#This Row],[Chassis]]&amp;"S"&amp;TEXT(tbl_IO_List[[#This Row],[Slot]],"00")</f>
        <v>C7S01</v>
      </c>
      <c r="Y898" s="136" t="str">
        <f>tbl_IO_List[[#This Row],[Chassis]]&amp;"S"&amp;TEXT(tbl_IO_List[[#This Row],[Slot]],"00")&amp;tbl_IO_List[[#This Row],[I/O Type]]&amp;TEXT(tbl_IO_List[[#This Row],[Point]],"00")</f>
        <v>C7S01DI30</v>
      </c>
      <c r="Z898" s="136" t="str">
        <f>tbl_IO_List[[#This Row],[Chassis]]&amp;"S"&amp;TEXT(tbl_IO_List[[#This Row],[Slot]],"00")&amp;","&amp;TEXT(tbl_IO_List[[#This Row],[Point]],"00")</f>
        <v>C7S01,30</v>
      </c>
      <c r="AA898" s="136" t="e">
        <f>VLOOKUP(tbl_IO_List[[#This Row],[Column23]],tbl_RackConfig[],5,FALSE) &amp;"-"&amp;tbl_IO_List[[#This Row],[Point]]</f>
        <v>#N/A</v>
      </c>
      <c r="AB898" s="136"/>
      <c r="AC898" s="136"/>
      <c r="AD898" s="136" t="str">
        <f>tbl_IO_List[[#This Row],[I/O Type]]</f>
        <v>DI</v>
      </c>
      <c r="AE898" s="136" t="s">
        <v>1368</v>
      </c>
      <c r="AF898" s="136">
        <v>1</v>
      </c>
      <c r="AG898" s="136">
        <v>30</v>
      </c>
      <c r="AH898" s="136"/>
      <c r="AI898" s="136"/>
      <c r="AJ898" s="136">
        <v>2</v>
      </c>
      <c r="AK898" s="136">
        <v>2</v>
      </c>
      <c r="AL898" s="136">
        <v>0</v>
      </c>
      <c r="AM898" s="136">
        <v>0</v>
      </c>
      <c r="AN898" s="136">
        <v>0</v>
      </c>
      <c r="AO898" s="136"/>
      <c r="AP898" s="143" t="e">
        <f>VLOOKUP(tbl_IO_List[[#This Row],[Instruement Tag]],tbl_Instruement_List[],14,FALSE)</f>
        <v>#N/A</v>
      </c>
      <c r="AQ898" s="143" t="str">
        <f>tbl_IO_List[[#This Row],[Chassis]]&amp;"S"&amp;tbl_IO_List[[#This Row],[Slot]]&amp;"-"&amp;tbl_IO_List[[#This Row],[Front Terminal Number]]</f>
        <v>C7S1-</v>
      </c>
      <c r="AR898" s="143"/>
      <c r="AS898" s="136" t="str">
        <f>tbl_IO_List[[#This Row],[Terminal Tagging]]&amp;"-"&amp;tbl_IO_List[[#This Row],[Point-Count]]</f>
        <v>-</v>
      </c>
      <c r="AT898" s="136" t="str">
        <f>tbl_IO_List[[#This Row],[Front Terminal Tagging]]&amp;"/"&amp;tbl_IO_List[[#This Row],[Terminal Tagging-Item]]</f>
        <v>C7S1-/-</v>
      </c>
      <c r="AU898" s="136" t="str">
        <f>tbl_IO_List[[#This Row],[Terminal Tagging-Item]]&amp;"/"&amp;tbl_IO_List[[#This Row],[Front Terminal Tagging]]</f>
        <v>-/C7S1-</v>
      </c>
    </row>
    <row r="899" spans="1:47" hidden="1">
      <c r="A899" s="136" t="s">
        <v>1307</v>
      </c>
      <c r="B899" s="136" t="s">
        <v>1307</v>
      </c>
      <c r="C899" s="136" t="str">
        <f>tbl_IO_List[[#This Row],[Column3]]</f>
        <v>C7S01,31</v>
      </c>
      <c r="D899" s="136" t="e">
        <f>tbl_IO_List[[#This Row],[Card]]</f>
        <v>#N/A</v>
      </c>
      <c r="E899" s="136"/>
      <c r="F899" s="136" t="str">
        <f>tbl_IO_List[[#This Row],[Column23]]&amp;"-" &amp;tbl_IO_List[[#This Row],[Column52]]</f>
        <v>C7S01-</v>
      </c>
      <c r="G899" s="136" t="str">
        <f>tbl_IO_List[[#This Row],[PLC_Tag]]</f>
        <v>PCM-60205-4_DI_1</v>
      </c>
      <c r="H899" s="136"/>
      <c r="I899" s="136" t="str">
        <f>VLOOKUP(tbl_IO_List[[#This Row],[Destination]],tbl_Junction[],2,FALSE)</f>
        <v>MCC Room</v>
      </c>
      <c r="J899" s="136" t="s">
        <v>191</v>
      </c>
      <c r="K899" s="136" t="s">
        <v>14</v>
      </c>
      <c r="L899" s="136" t="s">
        <v>1379</v>
      </c>
      <c r="M899" s="136" t="e">
        <f>VLOOKUP(tbl_IO_List[[#This Row],[Instruement Tag]],tbl_Instruement_List[],2,FALSE)</f>
        <v>#N/A</v>
      </c>
      <c r="N899" s="136" t="s">
        <v>15</v>
      </c>
      <c r="O899" s="136" t="s">
        <v>126</v>
      </c>
      <c r="P899" s="136" t="s">
        <v>18</v>
      </c>
      <c r="Q899" s="136" t="e">
        <f>VLOOKUP(tbl_IO_List[[#This Row],[Instruement Tag]],tbl_Instruement_List[],6,FALSE)</f>
        <v>#N/A</v>
      </c>
      <c r="R899" s="136"/>
      <c r="S89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899" s="136" t="str">
        <f>tbl_IO_List[[#This Row],[Instruement Tag]]&amp;"_"&amp;tbl_IO_List[[#This Row],[I/O Type]]&amp;"_"&amp;tbl_IO_List[[#This Row],[IO-Point 
(Instruement)]]</f>
        <v>PCM-60205-4_DI_1</v>
      </c>
      <c r="U899" s="136" t="s">
        <v>8</v>
      </c>
      <c r="V899" s="136">
        <f>VLOOKUP(tbl_IO_List[[#This Row],[I/O Type]],tbl_Slot_Group[],2,FALSE)</f>
        <v>1</v>
      </c>
      <c r="W899" s="136">
        <v>1</v>
      </c>
      <c r="X899" s="136" t="str">
        <f>tbl_IO_List[[#This Row],[Chassis]]&amp;"S"&amp;TEXT(tbl_IO_List[[#This Row],[Slot]],"00")</f>
        <v>C7S01</v>
      </c>
      <c r="Y899" s="136" t="str">
        <f>tbl_IO_List[[#This Row],[Chassis]]&amp;"S"&amp;TEXT(tbl_IO_List[[#This Row],[Slot]],"00")&amp;tbl_IO_List[[#This Row],[I/O Type]]&amp;TEXT(tbl_IO_List[[#This Row],[Point]],"00")</f>
        <v>C7S01DI31</v>
      </c>
      <c r="Z899" s="136" t="str">
        <f>tbl_IO_List[[#This Row],[Chassis]]&amp;"S"&amp;TEXT(tbl_IO_List[[#This Row],[Slot]],"00")&amp;","&amp;TEXT(tbl_IO_List[[#This Row],[Point]],"00")</f>
        <v>C7S01,31</v>
      </c>
      <c r="AA899" s="136" t="e">
        <f>VLOOKUP(tbl_IO_List[[#This Row],[Column23]],tbl_RackConfig[],5,FALSE) &amp;"-"&amp;tbl_IO_List[[#This Row],[Point]]</f>
        <v>#N/A</v>
      </c>
      <c r="AB899" s="136"/>
      <c r="AC899" s="136"/>
      <c r="AD899" s="136" t="str">
        <f>tbl_IO_List[[#This Row],[I/O Type]]</f>
        <v>DI</v>
      </c>
      <c r="AE899" s="136" t="s">
        <v>1368</v>
      </c>
      <c r="AF899" s="136">
        <v>1</v>
      </c>
      <c r="AG899" s="136">
        <v>31</v>
      </c>
      <c r="AH899" s="136"/>
      <c r="AI899" s="136"/>
      <c r="AJ899" s="136">
        <v>2</v>
      </c>
      <c r="AK899" s="136">
        <v>2</v>
      </c>
      <c r="AL899" s="136">
        <v>0</v>
      </c>
      <c r="AM899" s="136">
        <v>0</v>
      </c>
      <c r="AN899" s="136">
        <v>0</v>
      </c>
      <c r="AO899" s="136"/>
      <c r="AP899" s="143" t="e">
        <f>VLOOKUP(tbl_IO_List[[#This Row],[Instruement Tag]],tbl_Instruement_List[],14,FALSE)</f>
        <v>#N/A</v>
      </c>
      <c r="AQ899" s="143" t="str">
        <f>tbl_IO_List[[#This Row],[Chassis]]&amp;"S"&amp;tbl_IO_List[[#This Row],[Slot]]&amp;"-"&amp;tbl_IO_List[[#This Row],[Front Terminal Number]]</f>
        <v>C7S1-</v>
      </c>
      <c r="AR899" s="143"/>
      <c r="AS899" s="136" t="str">
        <f>tbl_IO_List[[#This Row],[Terminal Tagging]]&amp;"-"&amp;tbl_IO_List[[#This Row],[Point-Count]]</f>
        <v>-</v>
      </c>
      <c r="AT899" s="136" t="str">
        <f>tbl_IO_List[[#This Row],[Front Terminal Tagging]]&amp;"/"&amp;tbl_IO_List[[#This Row],[Terminal Tagging-Item]]</f>
        <v>C7S1-/-</v>
      </c>
      <c r="AU899" s="136" t="str">
        <f>tbl_IO_List[[#This Row],[Terminal Tagging-Item]]&amp;"/"&amp;tbl_IO_List[[#This Row],[Front Terminal Tagging]]</f>
        <v>-/C7S1-</v>
      </c>
    </row>
    <row r="900" spans="1:47" hidden="1">
      <c r="A900" s="136" t="s">
        <v>1307</v>
      </c>
      <c r="B900" s="136" t="s">
        <v>1307</v>
      </c>
      <c r="C900" s="136" t="str">
        <f>tbl_IO_List[[#This Row],[Column3]]</f>
        <v>C7S02,00</v>
      </c>
      <c r="D900" s="136" t="e">
        <f>tbl_IO_List[[#This Row],[Card]]</f>
        <v>#N/A</v>
      </c>
      <c r="E900" s="136"/>
      <c r="F900" s="136" t="str">
        <f>tbl_IO_List[[#This Row],[Column23]]&amp;"-" &amp;tbl_IO_List[[#This Row],[Column52]]</f>
        <v>C7S02-</v>
      </c>
      <c r="G900" s="136" t="str">
        <f>tbl_IO_List[[#This Row],[PLC_Tag]]</f>
        <v>PCM-60205-4_DI_2</v>
      </c>
      <c r="H900" s="136"/>
      <c r="I900" s="136" t="str">
        <f>VLOOKUP(tbl_IO_List[[#This Row],[Destination]],tbl_Junction[],2,FALSE)</f>
        <v>MCC Room</v>
      </c>
      <c r="J900" s="136" t="s">
        <v>191</v>
      </c>
      <c r="K900" s="136" t="s">
        <v>14</v>
      </c>
      <c r="L900" s="136" t="s">
        <v>1379</v>
      </c>
      <c r="M900" s="136" t="e">
        <f>VLOOKUP(tbl_IO_List[[#This Row],[Instruement Tag]],tbl_Instruement_List[],2,FALSE)</f>
        <v>#N/A</v>
      </c>
      <c r="N900" s="136" t="s">
        <v>15</v>
      </c>
      <c r="O900" s="136" t="s">
        <v>126</v>
      </c>
      <c r="P900" s="136" t="s">
        <v>18</v>
      </c>
      <c r="Q900" s="136" t="e">
        <f>VLOOKUP(tbl_IO_List[[#This Row],[Instruement Tag]],tbl_Instruement_List[],6,FALSE)</f>
        <v>#N/A</v>
      </c>
      <c r="R900" s="136"/>
      <c r="S90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900" s="136" t="str">
        <f>tbl_IO_List[[#This Row],[Instruement Tag]]&amp;"_"&amp;tbl_IO_List[[#This Row],[I/O Type]]&amp;"_"&amp;tbl_IO_List[[#This Row],[IO-Point 
(Instruement)]]</f>
        <v>PCM-60205-4_DI_2</v>
      </c>
      <c r="U900" s="136" t="s">
        <v>8</v>
      </c>
      <c r="V900" s="136">
        <f>VLOOKUP(tbl_IO_List[[#This Row],[I/O Type]],tbl_Slot_Group[],2,FALSE)</f>
        <v>1</v>
      </c>
      <c r="W900" s="136">
        <v>2</v>
      </c>
      <c r="X900" s="136" t="str">
        <f>tbl_IO_List[[#This Row],[Chassis]]&amp;"S"&amp;TEXT(tbl_IO_List[[#This Row],[Slot]],"00")</f>
        <v>C7S02</v>
      </c>
      <c r="Y900" s="136" t="str">
        <f>tbl_IO_List[[#This Row],[Chassis]]&amp;"S"&amp;TEXT(tbl_IO_List[[#This Row],[Slot]],"00")&amp;tbl_IO_List[[#This Row],[I/O Type]]&amp;TEXT(tbl_IO_List[[#This Row],[Point]],"00")</f>
        <v>C7S02DI00</v>
      </c>
      <c r="Z900" s="136" t="str">
        <f>tbl_IO_List[[#This Row],[Chassis]]&amp;"S"&amp;TEXT(tbl_IO_List[[#This Row],[Slot]],"00")&amp;","&amp;TEXT(tbl_IO_List[[#This Row],[Point]],"00")</f>
        <v>C7S02,00</v>
      </c>
      <c r="AA900" s="136" t="e">
        <f>VLOOKUP(tbl_IO_List[[#This Row],[Column23]],tbl_RackConfig[],5,FALSE) &amp;"-"&amp;tbl_IO_List[[#This Row],[Point]]</f>
        <v>#N/A</v>
      </c>
      <c r="AB900" s="136"/>
      <c r="AC900" s="136"/>
      <c r="AD900" s="136" t="str">
        <f>tbl_IO_List[[#This Row],[I/O Type]]</f>
        <v>DI</v>
      </c>
      <c r="AE900" s="136" t="s">
        <v>1368</v>
      </c>
      <c r="AF900" s="136">
        <v>2</v>
      </c>
      <c r="AG900" s="136">
        <v>0</v>
      </c>
      <c r="AH900" s="136"/>
      <c r="AI900" s="136"/>
      <c r="AJ900" s="136">
        <v>2</v>
      </c>
      <c r="AK900" s="136">
        <v>2</v>
      </c>
      <c r="AL900" s="136">
        <v>0</v>
      </c>
      <c r="AM900" s="136">
        <v>0</v>
      </c>
      <c r="AN900" s="136">
        <v>0</v>
      </c>
      <c r="AO900" s="136"/>
      <c r="AP900" s="143" t="e">
        <f>VLOOKUP(tbl_IO_List[[#This Row],[Instruement Tag]],tbl_Instruement_List[],14,FALSE)</f>
        <v>#N/A</v>
      </c>
      <c r="AQ900" s="143" t="str">
        <f>tbl_IO_List[[#This Row],[Chassis]]&amp;"S"&amp;tbl_IO_List[[#This Row],[Slot]]&amp;"-"&amp;tbl_IO_List[[#This Row],[Front Terminal Number]]</f>
        <v>C7S2-</v>
      </c>
      <c r="AR900" s="143"/>
      <c r="AS900" s="136" t="str">
        <f>tbl_IO_List[[#This Row],[Terminal Tagging]]&amp;"-"&amp;tbl_IO_List[[#This Row],[Point-Count]]</f>
        <v>-</v>
      </c>
      <c r="AT900" s="136" t="str">
        <f>tbl_IO_List[[#This Row],[Front Terminal Tagging]]&amp;"/"&amp;tbl_IO_List[[#This Row],[Terminal Tagging-Item]]</f>
        <v>C7S2-/-</v>
      </c>
      <c r="AU900" s="136" t="str">
        <f>tbl_IO_List[[#This Row],[Terminal Tagging-Item]]&amp;"/"&amp;tbl_IO_List[[#This Row],[Front Terminal Tagging]]</f>
        <v>-/C7S2-</v>
      </c>
    </row>
    <row r="901" spans="1:47" hidden="1">
      <c r="A901" s="136" t="s">
        <v>1307</v>
      </c>
      <c r="B901" s="136" t="s">
        <v>1307</v>
      </c>
      <c r="C901" s="136" t="str">
        <f>tbl_IO_List[[#This Row],[Column3]]</f>
        <v>C7S02,01</v>
      </c>
      <c r="D901" s="136" t="e">
        <f>tbl_IO_List[[#This Row],[Card]]</f>
        <v>#N/A</v>
      </c>
      <c r="E901" s="136"/>
      <c r="F901" s="136" t="str">
        <f>tbl_IO_List[[#This Row],[Column23]]&amp;"-" &amp;tbl_IO_List[[#This Row],[Column52]]</f>
        <v>C7S02-</v>
      </c>
      <c r="G901" s="136" t="str">
        <f>tbl_IO_List[[#This Row],[PLC_Tag]]</f>
        <v>PCM-60205-5_DI_1</v>
      </c>
      <c r="H901" s="136"/>
      <c r="I901" s="136" t="str">
        <f>VLOOKUP(tbl_IO_List[[#This Row],[Destination]],tbl_Junction[],2,FALSE)</f>
        <v>MCC Room</v>
      </c>
      <c r="J901" s="136" t="s">
        <v>191</v>
      </c>
      <c r="K901" s="136" t="s">
        <v>14</v>
      </c>
      <c r="L901" s="136" t="s">
        <v>1380</v>
      </c>
      <c r="M901" s="136" t="e">
        <f>VLOOKUP(tbl_IO_List[[#This Row],[Instruement Tag]],tbl_Instruement_List[],2,FALSE)</f>
        <v>#N/A</v>
      </c>
      <c r="N901" s="136" t="s">
        <v>15</v>
      </c>
      <c r="O901" s="136" t="s">
        <v>126</v>
      </c>
      <c r="P901" s="136" t="s">
        <v>18</v>
      </c>
      <c r="Q901" s="136" t="e">
        <f>VLOOKUP(tbl_IO_List[[#This Row],[Instruement Tag]],tbl_Instruement_List[],6,FALSE)</f>
        <v>#N/A</v>
      </c>
      <c r="R901" s="136"/>
      <c r="S90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901" s="136" t="str">
        <f>tbl_IO_List[[#This Row],[Instruement Tag]]&amp;"_"&amp;tbl_IO_List[[#This Row],[I/O Type]]&amp;"_"&amp;tbl_IO_List[[#This Row],[IO-Point 
(Instruement)]]</f>
        <v>PCM-60205-5_DI_1</v>
      </c>
      <c r="U901" s="136" t="s">
        <v>8</v>
      </c>
      <c r="V901" s="136">
        <f>VLOOKUP(tbl_IO_List[[#This Row],[I/O Type]],tbl_Slot_Group[],2,FALSE)</f>
        <v>1</v>
      </c>
      <c r="W901" s="136">
        <v>1</v>
      </c>
      <c r="X901" s="136" t="str">
        <f>tbl_IO_List[[#This Row],[Chassis]]&amp;"S"&amp;TEXT(tbl_IO_List[[#This Row],[Slot]],"00")</f>
        <v>C7S02</v>
      </c>
      <c r="Y901" s="136" t="str">
        <f>tbl_IO_List[[#This Row],[Chassis]]&amp;"S"&amp;TEXT(tbl_IO_List[[#This Row],[Slot]],"00")&amp;tbl_IO_List[[#This Row],[I/O Type]]&amp;TEXT(tbl_IO_List[[#This Row],[Point]],"00")</f>
        <v>C7S02DI01</v>
      </c>
      <c r="Z901" s="136" t="str">
        <f>tbl_IO_List[[#This Row],[Chassis]]&amp;"S"&amp;TEXT(tbl_IO_List[[#This Row],[Slot]],"00")&amp;","&amp;TEXT(tbl_IO_List[[#This Row],[Point]],"00")</f>
        <v>C7S02,01</v>
      </c>
      <c r="AA901" s="136" t="e">
        <f>VLOOKUP(tbl_IO_List[[#This Row],[Column23]],tbl_RackConfig[],5,FALSE) &amp;"-"&amp;tbl_IO_List[[#This Row],[Point]]</f>
        <v>#N/A</v>
      </c>
      <c r="AB901" s="136"/>
      <c r="AC901" s="136"/>
      <c r="AD901" s="136" t="str">
        <f>tbl_IO_List[[#This Row],[I/O Type]]</f>
        <v>DI</v>
      </c>
      <c r="AE901" s="136" t="s">
        <v>1368</v>
      </c>
      <c r="AF901" s="136">
        <v>2</v>
      </c>
      <c r="AG901" s="136">
        <v>1</v>
      </c>
      <c r="AH901" s="136"/>
      <c r="AI901" s="136"/>
      <c r="AJ901" s="136">
        <v>2</v>
      </c>
      <c r="AK901" s="136">
        <v>2</v>
      </c>
      <c r="AL901" s="136">
        <v>0</v>
      </c>
      <c r="AM901" s="136">
        <v>0</v>
      </c>
      <c r="AN901" s="136">
        <v>0</v>
      </c>
      <c r="AO901" s="136"/>
      <c r="AP901" s="143" t="e">
        <f>VLOOKUP(tbl_IO_List[[#This Row],[Instruement Tag]],tbl_Instruement_List[],14,FALSE)</f>
        <v>#N/A</v>
      </c>
      <c r="AQ901" s="143" t="str">
        <f>tbl_IO_List[[#This Row],[Chassis]]&amp;"S"&amp;tbl_IO_List[[#This Row],[Slot]]&amp;"-"&amp;tbl_IO_List[[#This Row],[Front Terminal Number]]</f>
        <v>C7S2-</v>
      </c>
      <c r="AR901" s="143"/>
      <c r="AS901" s="136" t="str">
        <f>tbl_IO_List[[#This Row],[Terminal Tagging]]&amp;"-"&amp;tbl_IO_List[[#This Row],[Point-Count]]</f>
        <v>-</v>
      </c>
      <c r="AT901" s="136" t="str">
        <f>tbl_IO_List[[#This Row],[Front Terminal Tagging]]&amp;"/"&amp;tbl_IO_List[[#This Row],[Terminal Tagging-Item]]</f>
        <v>C7S2-/-</v>
      </c>
      <c r="AU901" s="136" t="str">
        <f>tbl_IO_List[[#This Row],[Terminal Tagging-Item]]&amp;"/"&amp;tbl_IO_List[[#This Row],[Front Terminal Tagging]]</f>
        <v>-/C7S2-</v>
      </c>
    </row>
    <row r="902" spans="1:47" hidden="1">
      <c r="A902" s="136" t="s">
        <v>1307</v>
      </c>
      <c r="B902" s="136" t="s">
        <v>1307</v>
      </c>
      <c r="C902" s="136" t="str">
        <f>tbl_IO_List[[#This Row],[Column3]]</f>
        <v>C7S02,02</v>
      </c>
      <c r="D902" s="136" t="e">
        <f>tbl_IO_List[[#This Row],[Card]]</f>
        <v>#N/A</v>
      </c>
      <c r="E902" s="136"/>
      <c r="F902" s="136" t="str">
        <f>tbl_IO_List[[#This Row],[Column23]]&amp;"-" &amp;tbl_IO_List[[#This Row],[Column52]]</f>
        <v>C7S02-</v>
      </c>
      <c r="G902" s="136" t="str">
        <f>tbl_IO_List[[#This Row],[PLC_Tag]]</f>
        <v>PCM-60205-5_DI_2</v>
      </c>
      <c r="H902" s="136"/>
      <c r="I902" s="136" t="str">
        <f>VLOOKUP(tbl_IO_List[[#This Row],[Destination]],tbl_Junction[],2,FALSE)</f>
        <v>MCC Room</v>
      </c>
      <c r="J902" s="136" t="s">
        <v>191</v>
      </c>
      <c r="K902" s="136" t="s">
        <v>14</v>
      </c>
      <c r="L902" s="136" t="s">
        <v>1380</v>
      </c>
      <c r="M902" s="136" t="e">
        <f>VLOOKUP(tbl_IO_List[[#This Row],[Instruement Tag]],tbl_Instruement_List[],2,FALSE)</f>
        <v>#N/A</v>
      </c>
      <c r="N902" s="136" t="s">
        <v>15</v>
      </c>
      <c r="O902" s="136" t="s">
        <v>126</v>
      </c>
      <c r="P902" s="136" t="s">
        <v>18</v>
      </c>
      <c r="Q902" s="136" t="e">
        <f>VLOOKUP(tbl_IO_List[[#This Row],[Instruement Tag]],tbl_Instruement_List[],6,FALSE)</f>
        <v>#N/A</v>
      </c>
      <c r="R902" s="136"/>
      <c r="S90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902" s="136" t="str">
        <f>tbl_IO_List[[#This Row],[Instruement Tag]]&amp;"_"&amp;tbl_IO_List[[#This Row],[I/O Type]]&amp;"_"&amp;tbl_IO_List[[#This Row],[IO-Point 
(Instruement)]]</f>
        <v>PCM-60205-5_DI_2</v>
      </c>
      <c r="U902" s="136" t="s">
        <v>8</v>
      </c>
      <c r="V902" s="136">
        <f>VLOOKUP(tbl_IO_List[[#This Row],[I/O Type]],tbl_Slot_Group[],2,FALSE)</f>
        <v>1</v>
      </c>
      <c r="W902" s="136">
        <v>2</v>
      </c>
      <c r="X902" s="136" t="str">
        <f>tbl_IO_List[[#This Row],[Chassis]]&amp;"S"&amp;TEXT(tbl_IO_List[[#This Row],[Slot]],"00")</f>
        <v>C7S02</v>
      </c>
      <c r="Y902" s="136" t="str">
        <f>tbl_IO_List[[#This Row],[Chassis]]&amp;"S"&amp;TEXT(tbl_IO_List[[#This Row],[Slot]],"00")&amp;tbl_IO_List[[#This Row],[I/O Type]]&amp;TEXT(tbl_IO_List[[#This Row],[Point]],"00")</f>
        <v>C7S02DI02</v>
      </c>
      <c r="Z902" s="136" t="str">
        <f>tbl_IO_List[[#This Row],[Chassis]]&amp;"S"&amp;TEXT(tbl_IO_List[[#This Row],[Slot]],"00")&amp;","&amp;TEXT(tbl_IO_List[[#This Row],[Point]],"00")</f>
        <v>C7S02,02</v>
      </c>
      <c r="AA902" s="136" t="e">
        <f>VLOOKUP(tbl_IO_List[[#This Row],[Column23]],tbl_RackConfig[],5,FALSE) &amp;"-"&amp;tbl_IO_List[[#This Row],[Point]]</f>
        <v>#N/A</v>
      </c>
      <c r="AB902" s="136"/>
      <c r="AC902" s="136"/>
      <c r="AD902" s="136" t="str">
        <f>tbl_IO_List[[#This Row],[I/O Type]]</f>
        <v>DI</v>
      </c>
      <c r="AE902" s="136" t="s">
        <v>1368</v>
      </c>
      <c r="AF902" s="136">
        <v>2</v>
      </c>
      <c r="AG902" s="136">
        <v>2</v>
      </c>
      <c r="AH902" s="136"/>
      <c r="AI902" s="136"/>
      <c r="AJ902" s="136">
        <v>2</v>
      </c>
      <c r="AK902" s="136">
        <v>2</v>
      </c>
      <c r="AL902" s="136">
        <v>0</v>
      </c>
      <c r="AM902" s="136">
        <v>0</v>
      </c>
      <c r="AN902" s="136">
        <v>0</v>
      </c>
      <c r="AO902" s="136"/>
      <c r="AP902" s="143" t="e">
        <f>VLOOKUP(tbl_IO_List[[#This Row],[Instruement Tag]],tbl_Instruement_List[],14,FALSE)</f>
        <v>#N/A</v>
      </c>
      <c r="AQ902" s="143" t="str">
        <f>tbl_IO_List[[#This Row],[Chassis]]&amp;"S"&amp;tbl_IO_List[[#This Row],[Slot]]&amp;"-"&amp;tbl_IO_List[[#This Row],[Front Terminal Number]]</f>
        <v>C7S2-</v>
      </c>
      <c r="AR902" s="143"/>
      <c r="AS902" s="136" t="str">
        <f>tbl_IO_List[[#This Row],[Terminal Tagging]]&amp;"-"&amp;tbl_IO_List[[#This Row],[Point-Count]]</f>
        <v>-</v>
      </c>
      <c r="AT902" s="136" t="str">
        <f>tbl_IO_List[[#This Row],[Front Terminal Tagging]]&amp;"/"&amp;tbl_IO_List[[#This Row],[Terminal Tagging-Item]]</f>
        <v>C7S2-/-</v>
      </c>
      <c r="AU902" s="136" t="str">
        <f>tbl_IO_List[[#This Row],[Terminal Tagging-Item]]&amp;"/"&amp;tbl_IO_List[[#This Row],[Front Terminal Tagging]]</f>
        <v>-/C7S2-</v>
      </c>
    </row>
    <row r="903" spans="1:47" hidden="1">
      <c r="A903" s="136" t="s">
        <v>1307</v>
      </c>
      <c r="B903" s="136" t="s">
        <v>191</v>
      </c>
      <c r="C903" s="136" t="str">
        <f>tbl_IO_List[[#This Row],[Column3]]</f>
        <v>C7S02,03</v>
      </c>
      <c r="D903" s="136" t="e">
        <f>tbl_IO_List[[#This Row],[Card]]</f>
        <v>#N/A</v>
      </c>
      <c r="E903" s="136"/>
      <c r="F903" s="136" t="str">
        <f>tbl_IO_List[[#This Row],[Column23]]&amp;"-" &amp;tbl_IO_List[[#This Row],[Column52]]</f>
        <v>C7S02-</v>
      </c>
      <c r="G903" s="136" t="str">
        <f>tbl_IO_List[[#This Row],[PLC_Tag]]</f>
        <v>PCY-60205_DI_1</v>
      </c>
      <c r="H903" s="136"/>
      <c r="I903" s="136" t="str">
        <f>VLOOKUP(tbl_IO_List[[#This Row],[Destination]],tbl_Junction[],2,FALSE)</f>
        <v>Spray Dryer 1st Floor</v>
      </c>
      <c r="J903" s="136" t="s">
        <v>191</v>
      </c>
      <c r="K903" s="136" t="s">
        <v>14</v>
      </c>
      <c r="L903" s="136" t="s">
        <v>1381</v>
      </c>
      <c r="M903" s="136" t="e">
        <f>VLOOKUP(tbl_IO_List[[#This Row],[Instruement Tag]],tbl_Instruement_List[],2,FALSE)</f>
        <v>#N/A</v>
      </c>
      <c r="N903" s="136" t="s">
        <v>15</v>
      </c>
      <c r="O903" s="136" t="s">
        <v>126</v>
      </c>
      <c r="P903" s="136" t="s">
        <v>18</v>
      </c>
      <c r="Q903" s="136" t="e">
        <f>VLOOKUP(tbl_IO_List[[#This Row],[Instruement Tag]],tbl_Instruement_List[],6,FALSE)</f>
        <v>#N/A</v>
      </c>
      <c r="R903" s="136"/>
      <c r="S90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3,DO=1,AI=0,AO=0,Bus=1</v>
      </c>
      <c r="T903" s="136" t="str">
        <f>tbl_IO_List[[#This Row],[Instruement Tag]]&amp;"_"&amp;tbl_IO_List[[#This Row],[I/O Type]]&amp;"_"&amp;tbl_IO_List[[#This Row],[IO-Point 
(Instruement)]]</f>
        <v>PCY-60205_DI_1</v>
      </c>
      <c r="U903" s="136" t="s">
        <v>8</v>
      </c>
      <c r="V903" s="136">
        <f>VLOOKUP(tbl_IO_List[[#This Row],[I/O Type]],tbl_Slot_Group[],2,FALSE)</f>
        <v>1</v>
      </c>
      <c r="W903" s="136">
        <v>1</v>
      </c>
      <c r="X903" s="136" t="str">
        <f>tbl_IO_List[[#This Row],[Chassis]]&amp;"S"&amp;TEXT(tbl_IO_List[[#This Row],[Slot]],"00")</f>
        <v>C7S02</v>
      </c>
      <c r="Y903" s="136" t="str">
        <f>tbl_IO_List[[#This Row],[Chassis]]&amp;"S"&amp;TEXT(tbl_IO_List[[#This Row],[Slot]],"00")&amp;tbl_IO_List[[#This Row],[I/O Type]]&amp;TEXT(tbl_IO_List[[#This Row],[Point]],"00")</f>
        <v>C7S02DI03</v>
      </c>
      <c r="Z903" s="136" t="str">
        <f>tbl_IO_List[[#This Row],[Chassis]]&amp;"S"&amp;TEXT(tbl_IO_List[[#This Row],[Slot]],"00")&amp;","&amp;TEXT(tbl_IO_List[[#This Row],[Point]],"00")</f>
        <v>C7S02,03</v>
      </c>
      <c r="AA903" s="136" t="e">
        <f>VLOOKUP(tbl_IO_List[[#This Row],[Column23]],tbl_RackConfig[],5,FALSE) &amp;"-"&amp;tbl_IO_List[[#This Row],[Point]]</f>
        <v>#N/A</v>
      </c>
      <c r="AB903" s="136"/>
      <c r="AC903" s="136"/>
      <c r="AD903" s="136" t="str">
        <f>tbl_IO_List[[#This Row],[I/O Type]]</f>
        <v>DI</v>
      </c>
      <c r="AE903" s="136" t="s">
        <v>1368</v>
      </c>
      <c r="AF903" s="136">
        <v>2</v>
      </c>
      <c r="AG903" s="136">
        <v>3</v>
      </c>
      <c r="AH903" s="136"/>
      <c r="AI903" s="136"/>
      <c r="AJ903" s="136">
        <v>3</v>
      </c>
      <c r="AK903" s="136">
        <v>1</v>
      </c>
      <c r="AL903" s="136">
        <v>0</v>
      </c>
      <c r="AM903" s="136">
        <v>0</v>
      </c>
      <c r="AN903" s="136">
        <v>1</v>
      </c>
      <c r="AO903" s="136"/>
      <c r="AP903" s="143" t="e">
        <f>VLOOKUP(tbl_IO_List[[#This Row],[Instruement Tag]],tbl_Instruement_List[],14,FALSE)</f>
        <v>#N/A</v>
      </c>
      <c r="AQ903" s="143" t="str">
        <f>tbl_IO_List[[#This Row],[Chassis]]&amp;"S"&amp;tbl_IO_List[[#This Row],[Slot]]&amp;"-"&amp;tbl_IO_List[[#This Row],[Front Terminal Number]]</f>
        <v>C7S2-</v>
      </c>
      <c r="AR903" s="143"/>
      <c r="AS903" s="136" t="str">
        <f>tbl_IO_List[[#This Row],[Terminal Tagging]]&amp;"-"&amp;tbl_IO_List[[#This Row],[Point-Count]]</f>
        <v>-</v>
      </c>
      <c r="AT903" s="136" t="str">
        <f>tbl_IO_List[[#This Row],[Front Terminal Tagging]]&amp;"/"&amp;tbl_IO_List[[#This Row],[Terminal Tagging-Item]]</f>
        <v>C7S2-/-</v>
      </c>
      <c r="AU903" s="136" t="str">
        <f>tbl_IO_List[[#This Row],[Terminal Tagging-Item]]&amp;"/"&amp;tbl_IO_List[[#This Row],[Front Terminal Tagging]]</f>
        <v>-/C7S2-</v>
      </c>
    </row>
    <row r="904" spans="1:47" hidden="1">
      <c r="A904" s="136" t="s">
        <v>1307</v>
      </c>
      <c r="B904" s="136" t="s">
        <v>191</v>
      </c>
      <c r="C904" s="136" t="str">
        <f>tbl_IO_List[[#This Row],[Column3]]</f>
        <v>C7S02,04</v>
      </c>
      <c r="D904" s="136" t="e">
        <f>tbl_IO_List[[#This Row],[Card]]</f>
        <v>#N/A</v>
      </c>
      <c r="E904" s="136"/>
      <c r="F904" s="136" t="str">
        <f>tbl_IO_List[[#This Row],[Column23]]&amp;"-" &amp;tbl_IO_List[[#This Row],[Column52]]</f>
        <v>C7S02-</v>
      </c>
      <c r="G904" s="136" t="str">
        <f>tbl_IO_List[[#This Row],[PLC_Tag]]</f>
        <v>PCY-60205_DI_2</v>
      </c>
      <c r="H904" s="136"/>
      <c r="I904" s="136" t="str">
        <f>VLOOKUP(tbl_IO_List[[#This Row],[Destination]],tbl_Junction[],2,FALSE)</f>
        <v>Spray Dryer 1st Floor</v>
      </c>
      <c r="J904" s="136" t="s">
        <v>191</v>
      </c>
      <c r="K904" s="136" t="s">
        <v>14</v>
      </c>
      <c r="L904" s="136" t="s">
        <v>1381</v>
      </c>
      <c r="M904" s="136" t="e">
        <f>VLOOKUP(tbl_IO_List[[#This Row],[Instruement Tag]],tbl_Instruement_List[],2,FALSE)</f>
        <v>#N/A</v>
      </c>
      <c r="N904" s="136" t="s">
        <v>15</v>
      </c>
      <c r="O904" s="136" t="s">
        <v>126</v>
      </c>
      <c r="P904" s="136" t="s">
        <v>18</v>
      </c>
      <c r="Q904" s="136" t="e">
        <f>VLOOKUP(tbl_IO_List[[#This Row],[Instruement Tag]],tbl_Instruement_List[],6,FALSE)</f>
        <v>#N/A</v>
      </c>
      <c r="R904" s="136"/>
      <c r="S90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3,DO=1,AI=0,AO=0,Bus=1</v>
      </c>
      <c r="T904" s="136" t="str">
        <f>tbl_IO_List[[#This Row],[Instruement Tag]]&amp;"_"&amp;tbl_IO_List[[#This Row],[I/O Type]]&amp;"_"&amp;tbl_IO_List[[#This Row],[IO-Point 
(Instruement)]]</f>
        <v>PCY-60205_DI_2</v>
      </c>
      <c r="U904" s="136" t="s">
        <v>8</v>
      </c>
      <c r="V904" s="136">
        <f>VLOOKUP(tbl_IO_List[[#This Row],[I/O Type]],tbl_Slot_Group[],2,FALSE)</f>
        <v>1</v>
      </c>
      <c r="W904" s="136">
        <v>2</v>
      </c>
      <c r="X904" s="136" t="str">
        <f>tbl_IO_List[[#This Row],[Chassis]]&amp;"S"&amp;TEXT(tbl_IO_List[[#This Row],[Slot]],"00")</f>
        <v>C7S02</v>
      </c>
      <c r="Y904" s="136" t="str">
        <f>tbl_IO_List[[#This Row],[Chassis]]&amp;"S"&amp;TEXT(tbl_IO_List[[#This Row],[Slot]],"00")&amp;tbl_IO_List[[#This Row],[I/O Type]]&amp;TEXT(tbl_IO_List[[#This Row],[Point]],"00")</f>
        <v>C7S02DI04</v>
      </c>
      <c r="Z904" s="136" t="str">
        <f>tbl_IO_List[[#This Row],[Chassis]]&amp;"S"&amp;TEXT(tbl_IO_List[[#This Row],[Slot]],"00")&amp;","&amp;TEXT(tbl_IO_List[[#This Row],[Point]],"00")</f>
        <v>C7S02,04</v>
      </c>
      <c r="AA904" s="136" t="e">
        <f>VLOOKUP(tbl_IO_List[[#This Row],[Column23]],tbl_RackConfig[],5,FALSE) &amp;"-"&amp;tbl_IO_List[[#This Row],[Point]]</f>
        <v>#N/A</v>
      </c>
      <c r="AB904" s="136"/>
      <c r="AC904" s="136"/>
      <c r="AD904" s="136" t="str">
        <f>tbl_IO_List[[#This Row],[I/O Type]]</f>
        <v>DI</v>
      </c>
      <c r="AE904" s="136" t="s">
        <v>1368</v>
      </c>
      <c r="AF904" s="136">
        <v>2</v>
      </c>
      <c r="AG904" s="136">
        <v>4</v>
      </c>
      <c r="AH904" s="136"/>
      <c r="AI904" s="136"/>
      <c r="AJ904" s="136">
        <v>3</v>
      </c>
      <c r="AK904" s="136">
        <v>1</v>
      </c>
      <c r="AL904" s="136">
        <v>0</v>
      </c>
      <c r="AM904" s="136">
        <v>0</v>
      </c>
      <c r="AN904" s="136">
        <v>1</v>
      </c>
      <c r="AO904" s="136"/>
      <c r="AP904" s="143" t="e">
        <f>VLOOKUP(tbl_IO_List[[#This Row],[Instruement Tag]],tbl_Instruement_List[],14,FALSE)</f>
        <v>#N/A</v>
      </c>
      <c r="AQ904" s="143" t="str">
        <f>tbl_IO_List[[#This Row],[Chassis]]&amp;"S"&amp;tbl_IO_List[[#This Row],[Slot]]&amp;"-"&amp;tbl_IO_List[[#This Row],[Front Terminal Number]]</f>
        <v>C7S2-</v>
      </c>
      <c r="AR904" s="143"/>
      <c r="AS904" s="136" t="str">
        <f>tbl_IO_List[[#This Row],[Terminal Tagging]]&amp;"-"&amp;tbl_IO_List[[#This Row],[Point-Count]]</f>
        <v>-</v>
      </c>
      <c r="AT904" s="136" t="str">
        <f>tbl_IO_List[[#This Row],[Front Terminal Tagging]]&amp;"/"&amp;tbl_IO_List[[#This Row],[Terminal Tagging-Item]]</f>
        <v>C7S2-/-</v>
      </c>
      <c r="AU904" s="136" t="str">
        <f>tbl_IO_List[[#This Row],[Terminal Tagging-Item]]&amp;"/"&amp;tbl_IO_List[[#This Row],[Front Terminal Tagging]]</f>
        <v>-/C7S2-</v>
      </c>
    </row>
    <row r="905" spans="1:47" hidden="1">
      <c r="A905" s="136" t="s">
        <v>1307</v>
      </c>
      <c r="B905" s="136" t="s">
        <v>1307</v>
      </c>
      <c r="C905" s="136" t="str">
        <f>tbl_IO_List[[#This Row],[Column3]]</f>
        <v>C7S02,05</v>
      </c>
      <c r="D905" s="136" t="e">
        <f>tbl_IO_List[[#This Row],[Card]]</f>
        <v>#N/A</v>
      </c>
      <c r="E905" s="136"/>
      <c r="F905" s="136" t="str">
        <f>tbl_IO_List[[#This Row],[Column23]]&amp;"-" &amp;tbl_IO_List[[#This Row],[Column52]]</f>
        <v>C7S02-</v>
      </c>
      <c r="G905" s="136" t="str">
        <f>tbl_IO_List[[#This Row],[PLC_Tag]]</f>
        <v>RVM-60201_DI_1</v>
      </c>
      <c r="H905" s="136"/>
      <c r="I905" s="136" t="str">
        <f>VLOOKUP(tbl_IO_List[[#This Row],[Destination]],tbl_Junction[],2,FALSE)</f>
        <v>MCC Room</v>
      </c>
      <c r="J905" s="136" t="s">
        <v>191</v>
      </c>
      <c r="K905" s="136" t="s">
        <v>14</v>
      </c>
      <c r="L905" s="136" t="s">
        <v>898</v>
      </c>
      <c r="M905" s="136">
        <f>VLOOKUP(tbl_IO_List[[#This Row],[Instruement Tag]],tbl_Instruement_List[],2,FALSE)</f>
        <v>0</v>
      </c>
      <c r="N905" s="136" t="s">
        <v>15</v>
      </c>
      <c r="O905" s="136" t="s">
        <v>192</v>
      </c>
      <c r="P905" s="136" t="s">
        <v>18</v>
      </c>
      <c r="Q905" s="136" t="str">
        <f>VLOOKUP(tbl_IO_List[[#This Row],[Instruement Tag]],tbl_Instruement_List[],6,FALSE)</f>
        <v xml:space="preserve"> Start / Stop Command for FVNR RVAL-21 (Cyclone-21 Rotary Valve )</v>
      </c>
      <c r="R905" s="136"/>
      <c r="S90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905" s="136" t="str">
        <f>tbl_IO_List[[#This Row],[Instruement Tag]]&amp;"_"&amp;tbl_IO_List[[#This Row],[I/O Type]]&amp;"_"&amp;tbl_IO_List[[#This Row],[IO-Point 
(Instruement)]]</f>
        <v>RVM-60201_DI_1</v>
      </c>
      <c r="U905" s="136" t="s">
        <v>8</v>
      </c>
      <c r="V905" s="136">
        <f>VLOOKUP(tbl_IO_List[[#This Row],[I/O Type]],tbl_Slot_Group[],2,FALSE)</f>
        <v>1</v>
      </c>
      <c r="W905" s="136">
        <v>1</v>
      </c>
      <c r="X905" s="136" t="str">
        <f>tbl_IO_List[[#This Row],[Chassis]]&amp;"S"&amp;TEXT(tbl_IO_List[[#This Row],[Slot]],"00")</f>
        <v>C7S02</v>
      </c>
      <c r="Y905" s="136" t="str">
        <f>tbl_IO_List[[#This Row],[Chassis]]&amp;"S"&amp;TEXT(tbl_IO_List[[#This Row],[Slot]],"00")&amp;tbl_IO_List[[#This Row],[I/O Type]]&amp;TEXT(tbl_IO_List[[#This Row],[Point]],"00")</f>
        <v>C7S02DI05</v>
      </c>
      <c r="Z905" s="136" t="str">
        <f>tbl_IO_List[[#This Row],[Chassis]]&amp;"S"&amp;TEXT(tbl_IO_List[[#This Row],[Slot]],"00")&amp;","&amp;TEXT(tbl_IO_List[[#This Row],[Point]],"00")</f>
        <v>C7S02,05</v>
      </c>
      <c r="AA905" s="136" t="e">
        <f>VLOOKUP(tbl_IO_List[[#This Row],[Column23]],tbl_RackConfig[],5,FALSE) &amp;"-"&amp;tbl_IO_List[[#This Row],[Point]]</f>
        <v>#N/A</v>
      </c>
      <c r="AB905" s="136"/>
      <c r="AC905" s="136"/>
      <c r="AD905" s="136" t="str">
        <f>tbl_IO_List[[#This Row],[I/O Type]]</f>
        <v>DI</v>
      </c>
      <c r="AE905" s="136" t="s">
        <v>1368</v>
      </c>
      <c r="AF905" s="136">
        <v>2</v>
      </c>
      <c r="AG905" s="136">
        <v>5</v>
      </c>
      <c r="AH905" s="136"/>
      <c r="AI905" s="136"/>
      <c r="AJ905" s="136">
        <v>2</v>
      </c>
      <c r="AK905" s="136">
        <v>2</v>
      </c>
      <c r="AL905" s="136">
        <v>0</v>
      </c>
      <c r="AM905" s="136">
        <v>0</v>
      </c>
      <c r="AN905" s="136">
        <v>0</v>
      </c>
      <c r="AO905" s="136"/>
      <c r="AP905" s="143" t="str">
        <f>VLOOKUP(tbl_IO_List[[#This Row],[Instruement Tag]],tbl_Instruement_List[],14,FALSE)</f>
        <v>24 VDC energized</v>
      </c>
      <c r="AQ905" s="143" t="str">
        <f>tbl_IO_List[[#This Row],[Chassis]]&amp;"S"&amp;tbl_IO_List[[#This Row],[Slot]]&amp;"-"&amp;tbl_IO_List[[#This Row],[Front Terminal Number]]</f>
        <v>C7S2-</v>
      </c>
      <c r="AR905" s="143"/>
      <c r="AS905" s="136" t="str">
        <f>tbl_IO_List[[#This Row],[Terminal Tagging]]&amp;"-"&amp;tbl_IO_List[[#This Row],[Point-Count]]</f>
        <v>-</v>
      </c>
      <c r="AT905" s="136" t="str">
        <f>tbl_IO_List[[#This Row],[Front Terminal Tagging]]&amp;"/"&amp;tbl_IO_List[[#This Row],[Terminal Tagging-Item]]</f>
        <v>C7S2-/-</v>
      </c>
      <c r="AU905" s="136" t="str">
        <f>tbl_IO_List[[#This Row],[Terminal Tagging-Item]]&amp;"/"&amp;tbl_IO_List[[#This Row],[Front Terminal Tagging]]</f>
        <v>-/C7S2-</v>
      </c>
    </row>
    <row r="906" spans="1:47" hidden="1">
      <c r="A906" s="136" t="s">
        <v>1307</v>
      </c>
      <c r="B906" s="136" t="s">
        <v>1307</v>
      </c>
      <c r="C906" s="136" t="str">
        <f>tbl_IO_List[[#This Row],[Column3]]</f>
        <v>C7S02,06</v>
      </c>
      <c r="D906" s="136" t="e">
        <f>tbl_IO_List[[#This Row],[Card]]</f>
        <v>#N/A</v>
      </c>
      <c r="E906" s="136"/>
      <c r="F906" s="136" t="str">
        <f>tbl_IO_List[[#This Row],[Column23]]&amp;"-" &amp;tbl_IO_List[[#This Row],[Column52]]</f>
        <v>C7S02-</v>
      </c>
      <c r="G906" s="136" t="str">
        <f>tbl_IO_List[[#This Row],[PLC_Tag]]</f>
        <v>RVM-60201_DI_2</v>
      </c>
      <c r="H906" s="136"/>
      <c r="I906" s="136" t="str">
        <f>VLOOKUP(tbl_IO_List[[#This Row],[Destination]],tbl_Junction[],2,FALSE)</f>
        <v>MCC Room</v>
      </c>
      <c r="J906" s="136" t="s">
        <v>191</v>
      </c>
      <c r="K906" s="136" t="s">
        <v>14</v>
      </c>
      <c r="L906" s="136" t="s">
        <v>898</v>
      </c>
      <c r="M906" s="136">
        <f>VLOOKUP(tbl_IO_List[[#This Row],[Instruement Tag]],tbl_Instruement_List[],2,FALSE)</f>
        <v>0</v>
      </c>
      <c r="N906" s="136" t="s">
        <v>15</v>
      </c>
      <c r="O906" s="136" t="s">
        <v>192</v>
      </c>
      <c r="P906" s="136" t="s">
        <v>18</v>
      </c>
      <c r="Q906" s="136" t="str">
        <f>VLOOKUP(tbl_IO_List[[#This Row],[Instruement Tag]],tbl_Instruement_List[],6,FALSE)</f>
        <v xml:space="preserve"> Start / Stop Command for FVNR RVAL-21 (Cyclone-21 Rotary Valve )</v>
      </c>
      <c r="R906" s="136"/>
      <c r="S90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906" s="136" t="str">
        <f>tbl_IO_List[[#This Row],[Instruement Tag]]&amp;"_"&amp;tbl_IO_List[[#This Row],[I/O Type]]&amp;"_"&amp;tbl_IO_List[[#This Row],[IO-Point 
(Instruement)]]</f>
        <v>RVM-60201_DI_2</v>
      </c>
      <c r="U906" s="136" t="s">
        <v>8</v>
      </c>
      <c r="V906" s="136">
        <f>VLOOKUP(tbl_IO_List[[#This Row],[I/O Type]],tbl_Slot_Group[],2,FALSE)</f>
        <v>1</v>
      </c>
      <c r="W906" s="136">
        <v>2</v>
      </c>
      <c r="X906" s="136" t="str">
        <f>tbl_IO_List[[#This Row],[Chassis]]&amp;"S"&amp;TEXT(tbl_IO_List[[#This Row],[Slot]],"00")</f>
        <v>C7S02</v>
      </c>
      <c r="Y906" s="136" t="str">
        <f>tbl_IO_List[[#This Row],[Chassis]]&amp;"S"&amp;TEXT(tbl_IO_List[[#This Row],[Slot]],"00")&amp;tbl_IO_List[[#This Row],[I/O Type]]&amp;TEXT(tbl_IO_List[[#This Row],[Point]],"00")</f>
        <v>C7S02DI06</v>
      </c>
      <c r="Z906" s="136" t="str">
        <f>tbl_IO_List[[#This Row],[Chassis]]&amp;"S"&amp;TEXT(tbl_IO_List[[#This Row],[Slot]],"00")&amp;","&amp;TEXT(tbl_IO_List[[#This Row],[Point]],"00")</f>
        <v>C7S02,06</v>
      </c>
      <c r="AA906" s="136" t="e">
        <f>VLOOKUP(tbl_IO_List[[#This Row],[Column23]],tbl_RackConfig[],5,FALSE) &amp;"-"&amp;tbl_IO_List[[#This Row],[Point]]</f>
        <v>#N/A</v>
      </c>
      <c r="AB906" s="136"/>
      <c r="AC906" s="136"/>
      <c r="AD906" s="136" t="str">
        <f>tbl_IO_List[[#This Row],[I/O Type]]</f>
        <v>DI</v>
      </c>
      <c r="AE906" s="136" t="s">
        <v>1368</v>
      </c>
      <c r="AF906" s="136">
        <v>2</v>
      </c>
      <c r="AG906" s="136">
        <v>6</v>
      </c>
      <c r="AH906" s="136"/>
      <c r="AI906" s="136"/>
      <c r="AJ906" s="136">
        <v>2</v>
      </c>
      <c r="AK906" s="136">
        <v>2</v>
      </c>
      <c r="AL906" s="136">
        <v>0</v>
      </c>
      <c r="AM906" s="136">
        <v>0</v>
      </c>
      <c r="AN906" s="136">
        <v>0</v>
      </c>
      <c r="AO906" s="136"/>
      <c r="AP906" s="143" t="str">
        <f>VLOOKUP(tbl_IO_List[[#This Row],[Instruement Tag]],tbl_Instruement_List[],14,FALSE)</f>
        <v>24 VDC energized</v>
      </c>
      <c r="AQ906" s="143" t="str">
        <f>tbl_IO_List[[#This Row],[Chassis]]&amp;"S"&amp;tbl_IO_List[[#This Row],[Slot]]&amp;"-"&amp;tbl_IO_List[[#This Row],[Front Terminal Number]]</f>
        <v>C7S2-</v>
      </c>
      <c r="AR906" s="143"/>
      <c r="AS906" s="136" t="str">
        <f>tbl_IO_List[[#This Row],[Terminal Tagging]]&amp;"-"&amp;tbl_IO_List[[#This Row],[Point-Count]]</f>
        <v>-</v>
      </c>
      <c r="AT906" s="136" t="str">
        <f>tbl_IO_List[[#This Row],[Front Terminal Tagging]]&amp;"/"&amp;tbl_IO_List[[#This Row],[Terminal Tagging-Item]]</f>
        <v>C7S2-/-</v>
      </c>
      <c r="AU906" s="136" t="str">
        <f>tbl_IO_List[[#This Row],[Terminal Tagging-Item]]&amp;"/"&amp;tbl_IO_List[[#This Row],[Front Terminal Tagging]]</f>
        <v>-/C7S2-</v>
      </c>
    </row>
    <row r="907" spans="1:47" hidden="1">
      <c r="A907" s="136" t="s">
        <v>1307</v>
      </c>
      <c r="B907" s="136" t="s">
        <v>1307</v>
      </c>
      <c r="C907" s="136" t="str">
        <f>tbl_IO_List[[#This Row],[Column3]]</f>
        <v>C7S02,07</v>
      </c>
      <c r="D907" s="136" t="e">
        <f>tbl_IO_List[[#This Row],[Card]]</f>
        <v>#N/A</v>
      </c>
      <c r="E907" s="136"/>
      <c r="F907" s="136" t="str">
        <f>tbl_IO_List[[#This Row],[Column23]]&amp;"-" &amp;tbl_IO_List[[#This Row],[Column52]]</f>
        <v>C7S02-</v>
      </c>
      <c r="G907" s="136" t="str">
        <f>tbl_IO_List[[#This Row],[PLC_Tag]]</f>
        <v>RVM-60202_DI_1</v>
      </c>
      <c r="H907" s="136"/>
      <c r="I907" s="136" t="str">
        <f>VLOOKUP(tbl_IO_List[[#This Row],[Destination]],tbl_Junction[],2,FALSE)</f>
        <v>MCC Room</v>
      </c>
      <c r="J907" s="136" t="s">
        <v>191</v>
      </c>
      <c r="K907" s="136" t="s">
        <v>14</v>
      </c>
      <c r="L907" s="136" t="s">
        <v>900</v>
      </c>
      <c r="M907" s="136">
        <f>VLOOKUP(tbl_IO_List[[#This Row],[Instruement Tag]],tbl_Instruement_List[],2,FALSE)</f>
        <v>0</v>
      </c>
      <c r="N907" s="136" t="s">
        <v>15</v>
      </c>
      <c r="O907" s="136" t="s">
        <v>192</v>
      </c>
      <c r="P907" s="136" t="s">
        <v>18</v>
      </c>
      <c r="Q907" s="136" t="str">
        <f>VLOOKUP(tbl_IO_List[[#This Row],[Instruement Tag]],tbl_Instruement_List[],6,FALSE)</f>
        <v xml:space="preserve"> Start / Stop Command for FVNR RVAL-22 (Cyclone-22 Rotary Valve )</v>
      </c>
      <c r="R907" s="136"/>
      <c r="S90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907" s="136" t="str">
        <f>tbl_IO_List[[#This Row],[Instruement Tag]]&amp;"_"&amp;tbl_IO_List[[#This Row],[I/O Type]]&amp;"_"&amp;tbl_IO_List[[#This Row],[IO-Point 
(Instruement)]]</f>
        <v>RVM-60202_DI_1</v>
      </c>
      <c r="U907" s="136" t="s">
        <v>8</v>
      </c>
      <c r="V907" s="136">
        <f>VLOOKUP(tbl_IO_List[[#This Row],[I/O Type]],tbl_Slot_Group[],2,FALSE)</f>
        <v>1</v>
      </c>
      <c r="W907" s="136">
        <v>1</v>
      </c>
      <c r="X907" s="136" t="str">
        <f>tbl_IO_List[[#This Row],[Chassis]]&amp;"S"&amp;TEXT(tbl_IO_List[[#This Row],[Slot]],"00")</f>
        <v>C7S02</v>
      </c>
      <c r="Y907" s="136" t="str">
        <f>tbl_IO_List[[#This Row],[Chassis]]&amp;"S"&amp;TEXT(tbl_IO_List[[#This Row],[Slot]],"00")&amp;tbl_IO_List[[#This Row],[I/O Type]]&amp;TEXT(tbl_IO_List[[#This Row],[Point]],"00")</f>
        <v>C7S02DI07</v>
      </c>
      <c r="Z907" s="136" t="str">
        <f>tbl_IO_List[[#This Row],[Chassis]]&amp;"S"&amp;TEXT(tbl_IO_List[[#This Row],[Slot]],"00")&amp;","&amp;TEXT(tbl_IO_List[[#This Row],[Point]],"00")</f>
        <v>C7S02,07</v>
      </c>
      <c r="AA907" s="136" t="e">
        <f>VLOOKUP(tbl_IO_List[[#This Row],[Column23]],tbl_RackConfig[],5,FALSE) &amp;"-"&amp;tbl_IO_List[[#This Row],[Point]]</f>
        <v>#N/A</v>
      </c>
      <c r="AB907" s="136"/>
      <c r="AC907" s="136"/>
      <c r="AD907" s="136" t="str">
        <f>tbl_IO_List[[#This Row],[I/O Type]]</f>
        <v>DI</v>
      </c>
      <c r="AE907" s="136" t="s">
        <v>1368</v>
      </c>
      <c r="AF907" s="136">
        <v>2</v>
      </c>
      <c r="AG907" s="136">
        <v>7</v>
      </c>
      <c r="AH907" s="136"/>
      <c r="AI907" s="136"/>
      <c r="AJ907" s="136">
        <v>2</v>
      </c>
      <c r="AK907" s="136">
        <v>2</v>
      </c>
      <c r="AL907" s="136">
        <v>0</v>
      </c>
      <c r="AM907" s="136">
        <v>0</v>
      </c>
      <c r="AN907" s="136">
        <v>0</v>
      </c>
      <c r="AO907" s="136"/>
      <c r="AP907" s="143" t="str">
        <f>VLOOKUP(tbl_IO_List[[#This Row],[Instruement Tag]],tbl_Instruement_List[],14,FALSE)</f>
        <v>24 VDC energized</v>
      </c>
      <c r="AQ907" s="143" t="str">
        <f>tbl_IO_List[[#This Row],[Chassis]]&amp;"S"&amp;tbl_IO_List[[#This Row],[Slot]]&amp;"-"&amp;tbl_IO_List[[#This Row],[Front Terminal Number]]</f>
        <v>C7S2-</v>
      </c>
      <c r="AR907" s="143"/>
      <c r="AS907" s="136" t="str">
        <f>tbl_IO_List[[#This Row],[Terminal Tagging]]&amp;"-"&amp;tbl_IO_List[[#This Row],[Point-Count]]</f>
        <v>-</v>
      </c>
      <c r="AT907" s="136" t="str">
        <f>tbl_IO_List[[#This Row],[Front Terminal Tagging]]&amp;"/"&amp;tbl_IO_List[[#This Row],[Terminal Tagging-Item]]</f>
        <v>C7S2-/-</v>
      </c>
      <c r="AU907" s="136" t="str">
        <f>tbl_IO_List[[#This Row],[Terminal Tagging-Item]]&amp;"/"&amp;tbl_IO_List[[#This Row],[Front Terminal Tagging]]</f>
        <v>-/C7S2-</v>
      </c>
    </row>
    <row r="908" spans="1:47" hidden="1">
      <c r="A908" s="136" t="s">
        <v>1307</v>
      </c>
      <c r="B908" s="136" t="s">
        <v>1307</v>
      </c>
      <c r="C908" s="136" t="str">
        <f>tbl_IO_List[[#This Row],[Column3]]</f>
        <v>C7S02,08</v>
      </c>
      <c r="D908" s="136" t="e">
        <f>tbl_IO_List[[#This Row],[Card]]</f>
        <v>#N/A</v>
      </c>
      <c r="E908" s="136"/>
      <c r="F908" s="136" t="str">
        <f>tbl_IO_List[[#This Row],[Column23]]&amp;"-" &amp;tbl_IO_List[[#This Row],[Column52]]</f>
        <v>C7S02-</v>
      </c>
      <c r="G908" s="136" t="str">
        <f>tbl_IO_List[[#This Row],[PLC_Tag]]</f>
        <v>RVM-60202_DI_2</v>
      </c>
      <c r="H908" s="136"/>
      <c r="I908" s="136" t="str">
        <f>VLOOKUP(tbl_IO_List[[#This Row],[Destination]],tbl_Junction[],2,FALSE)</f>
        <v>MCC Room</v>
      </c>
      <c r="J908" s="136" t="s">
        <v>191</v>
      </c>
      <c r="K908" s="136" t="s">
        <v>14</v>
      </c>
      <c r="L908" s="136" t="s">
        <v>900</v>
      </c>
      <c r="M908" s="136">
        <f>VLOOKUP(tbl_IO_List[[#This Row],[Instruement Tag]],tbl_Instruement_List[],2,FALSE)</f>
        <v>0</v>
      </c>
      <c r="N908" s="136" t="s">
        <v>15</v>
      </c>
      <c r="O908" s="136" t="s">
        <v>192</v>
      </c>
      <c r="P908" s="136" t="s">
        <v>18</v>
      </c>
      <c r="Q908" s="136" t="str">
        <f>VLOOKUP(tbl_IO_List[[#This Row],[Instruement Tag]],tbl_Instruement_List[],6,FALSE)</f>
        <v xml:space="preserve"> Start / Stop Command for FVNR RVAL-22 (Cyclone-22 Rotary Valve )</v>
      </c>
      <c r="R908" s="136"/>
      <c r="S90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908" s="136" t="str">
        <f>tbl_IO_List[[#This Row],[Instruement Tag]]&amp;"_"&amp;tbl_IO_List[[#This Row],[I/O Type]]&amp;"_"&amp;tbl_IO_List[[#This Row],[IO-Point 
(Instruement)]]</f>
        <v>RVM-60202_DI_2</v>
      </c>
      <c r="U908" s="136" t="s">
        <v>8</v>
      </c>
      <c r="V908" s="136">
        <f>VLOOKUP(tbl_IO_List[[#This Row],[I/O Type]],tbl_Slot_Group[],2,FALSE)</f>
        <v>1</v>
      </c>
      <c r="W908" s="136">
        <v>2</v>
      </c>
      <c r="X908" s="136" t="str">
        <f>tbl_IO_List[[#This Row],[Chassis]]&amp;"S"&amp;TEXT(tbl_IO_List[[#This Row],[Slot]],"00")</f>
        <v>C7S02</v>
      </c>
      <c r="Y908" s="136" t="str">
        <f>tbl_IO_List[[#This Row],[Chassis]]&amp;"S"&amp;TEXT(tbl_IO_List[[#This Row],[Slot]],"00")&amp;tbl_IO_List[[#This Row],[I/O Type]]&amp;TEXT(tbl_IO_List[[#This Row],[Point]],"00")</f>
        <v>C7S02DI08</v>
      </c>
      <c r="Z908" s="136" t="str">
        <f>tbl_IO_List[[#This Row],[Chassis]]&amp;"S"&amp;TEXT(tbl_IO_List[[#This Row],[Slot]],"00")&amp;","&amp;TEXT(tbl_IO_List[[#This Row],[Point]],"00")</f>
        <v>C7S02,08</v>
      </c>
      <c r="AA908" s="136" t="e">
        <f>VLOOKUP(tbl_IO_List[[#This Row],[Column23]],tbl_RackConfig[],5,FALSE) &amp;"-"&amp;tbl_IO_List[[#This Row],[Point]]</f>
        <v>#N/A</v>
      </c>
      <c r="AB908" s="136"/>
      <c r="AC908" s="136"/>
      <c r="AD908" s="136" t="str">
        <f>tbl_IO_List[[#This Row],[I/O Type]]</f>
        <v>DI</v>
      </c>
      <c r="AE908" s="136" t="s">
        <v>1368</v>
      </c>
      <c r="AF908" s="136">
        <v>2</v>
      </c>
      <c r="AG908" s="136">
        <v>8</v>
      </c>
      <c r="AH908" s="136"/>
      <c r="AI908" s="136"/>
      <c r="AJ908" s="136">
        <v>2</v>
      </c>
      <c r="AK908" s="136">
        <v>2</v>
      </c>
      <c r="AL908" s="136">
        <v>0</v>
      </c>
      <c r="AM908" s="136">
        <v>0</v>
      </c>
      <c r="AN908" s="136">
        <v>0</v>
      </c>
      <c r="AO908" s="136"/>
      <c r="AP908" s="143" t="str">
        <f>VLOOKUP(tbl_IO_List[[#This Row],[Instruement Tag]],tbl_Instruement_List[],14,FALSE)</f>
        <v>24 VDC energized</v>
      </c>
      <c r="AQ908" s="143" t="str">
        <f>tbl_IO_List[[#This Row],[Chassis]]&amp;"S"&amp;tbl_IO_List[[#This Row],[Slot]]&amp;"-"&amp;tbl_IO_List[[#This Row],[Front Terminal Number]]</f>
        <v>C7S2-</v>
      </c>
      <c r="AR908" s="143"/>
      <c r="AS908" s="136" t="str">
        <f>tbl_IO_List[[#This Row],[Terminal Tagging]]&amp;"-"&amp;tbl_IO_List[[#This Row],[Point-Count]]</f>
        <v>-</v>
      </c>
      <c r="AT908" s="136" t="str">
        <f>tbl_IO_List[[#This Row],[Front Terminal Tagging]]&amp;"/"&amp;tbl_IO_List[[#This Row],[Terminal Tagging-Item]]</f>
        <v>C7S2-/-</v>
      </c>
      <c r="AU908" s="136" t="str">
        <f>tbl_IO_List[[#This Row],[Terminal Tagging-Item]]&amp;"/"&amp;tbl_IO_List[[#This Row],[Front Terminal Tagging]]</f>
        <v>-/C7S2-</v>
      </c>
    </row>
    <row r="909" spans="1:47" hidden="1">
      <c r="A909" s="136" t="s">
        <v>1307</v>
      </c>
      <c r="B909" s="136" t="s">
        <v>1307</v>
      </c>
      <c r="C909" s="136" t="str">
        <f>tbl_IO_List[[#This Row],[Column3]]</f>
        <v>C7S02,09</v>
      </c>
      <c r="D909" s="136" t="e">
        <f>tbl_IO_List[[#This Row],[Card]]</f>
        <v>#N/A</v>
      </c>
      <c r="E909" s="136"/>
      <c r="F909" s="136" t="str">
        <f>tbl_IO_List[[#This Row],[Column23]]&amp;"-" &amp;tbl_IO_List[[#This Row],[Column52]]</f>
        <v>C7S02-</v>
      </c>
      <c r="G909" s="136" t="str">
        <f>tbl_IO_List[[#This Row],[PLC_Tag]]</f>
        <v>RVM-60203_DI_1</v>
      </c>
      <c r="H909" s="136"/>
      <c r="I909" s="136" t="str">
        <f>VLOOKUP(tbl_IO_List[[#This Row],[Destination]],tbl_Junction[],2,FALSE)</f>
        <v>MCC Room</v>
      </c>
      <c r="J909" s="136" t="s">
        <v>191</v>
      </c>
      <c r="K909" s="136" t="s">
        <v>14</v>
      </c>
      <c r="L909" s="136" t="s">
        <v>902</v>
      </c>
      <c r="M909" s="136">
        <f>VLOOKUP(tbl_IO_List[[#This Row],[Instruement Tag]],tbl_Instruement_List[],2,FALSE)</f>
        <v>0</v>
      </c>
      <c r="N909" s="136" t="s">
        <v>15</v>
      </c>
      <c r="O909" s="136" t="s">
        <v>192</v>
      </c>
      <c r="P909" s="136" t="s">
        <v>18</v>
      </c>
      <c r="Q909" s="136" t="str">
        <f>VLOOKUP(tbl_IO_List[[#This Row],[Instruement Tag]],tbl_Instruement_List[],6,FALSE)</f>
        <v xml:space="preserve"> Start / Stop Command for FVNR RVAL-23 (Bag House Rotary Valve)</v>
      </c>
      <c r="R909" s="136"/>
      <c r="S90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909" s="136" t="str">
        <f>tbl_IO_List[[#This Row],[Instruement Tag]]&amp;"_"&amp;tbl_IO_List[[#This Row],[I/O Type]]&amp;"_"&amp;tbl_IO_List[[#This Row],[IO-Point 
(Instruement)]]</f>
        <v>RVM-60203_DI_1</v>
      </c>
      <c r="U909" s="136" t="s">
        <v>8</v>
      </c>
      <c r="V909" s="136">
        <f>VLOOKUP(tbl_IO_List[[#This Row],[I/O Type]],tbl_Slot_Group[],2,FALSE)</f>
        <v>1</v>
      </c>
      <c r="W909" s="136">
        <v>1</v>
      </c>
      <c r="X909" s="136" t="str">
        <f>tbl_IO_List[[#This Row],[Chassis]]&amp;"S"&amp;TEXT(tbl_IO_List[[#This Row],[Slot]],"00")</f>
        <v>C7S02</v>
      </c>
      <c r="Y909" s="136" t="str">
        <f>tbl_IO_List[[#This Row],[Chassis]]&amp;"S"&amp;TEXT(tbl_IO_List[[#This Row],[Slot]],"00")&amp;tbl_IO_List[[#This Row],[I/O Type]]&amp;TEXT(tbl_IO_List[[#This Row],[Point]],"00")</f>
        <v>C7S02DI09</v>
      </c>
      <c r="Z909" s="136" t="str">
        <f>tbl_IO_List[[#This Row],[Chassis]]&amp;"S"&amp;TEXT(tbl_IO_List[[#This Row],[Slot]],"00")&amp;","&amp;TEXT(tbl_IO_List[[#This Row],[Point]],"00")</f>
        <v>C7S02,09</v>
      </c>
      <c r="AA909" s="136" t="e">
        <f>VLOOKUP(tbl_IO_List[[#This Row],[Column23]],tbl_RackConfig[],5,FALSE) &amp;"-"&amp;tbl_IO_List[[#This Row],[Point]]</f>
        <v>#N/A</v>
      </c>
      <c r="AB909" s="136"/>
      <c r="AC909" s="136"/>
      <c r="AD909" s="136" t="str">
        <f>tbl_IO_List[[#This Row],[I/O Type]]</f>
        <v>DI</v>
      </c>
      <c r="AE909" s="136" t="s">
        <v>1368</v>
      </c>
      <c r="AF909" s="136">
        <v>2</v>
      </c>
      <c r="AG909" s="136">
        <v>9</v>
      </c>
      <c r="AH909" s="136"/>
      <c r="AI909" s="136"/>
      <c r="AJ909" s="136">
        <v>2</v>
      </c>
      <c r="AK909" s="136">
        <v>2</v>
      </c>
      <c r="AL909" s="136">
        <v>0</v>
      </c>
      <c r="AM909" s="136">
        <v>0</v>
      </c>
      <c r="AN909" s="136">
        <v>0</v>
      </c>
      <c r="AO909" s="136"/>
      <c r="AP909" s="143" t="str">
        <f>VLOOKUP(tbl_IO_List[[#This Row],[Instruement Tag]],tbl_Instruement_List[],14,FALSE)</f>
        <v>24 VDC energized</v>
      </c>
      <c r="AQ909" s="143" t="str">
        <f>tbl_IO_List[[#This Row],[Chassis]]&amp;"S"&amp;tbl_IO_List[[#This Row],[Slot]]&amp;"-"&amp;tbl_IO_List[[#This Row],[Front Terminal Number]]</f>
        <v>C7S2-</v>
      </c>
      <c r="AR909" s="143"/>
      <c r="AS909" s="136" t="str">
        <f>tbl_IO_List[[#This Row],[Terminal Tagging]]&amp;"-"&amp;tbl_IO_List[[#This Row],[Point-Count]]</f>
        <v>-</v>
      </c>
      <c r="AT909" s="136" t="str">
        <f>tbl_IO_List[[#This Row],[Front Terminal Tagging]]&amp;"/"&amp;tbl_IO_List[[#This Row],[Terminal Tagging-Item]]</f>
        <v>C7S2-/-</v>
      </c>
      <c r="AU909" s="136" t="str">
        <f>tbl_IO_List[[#This Row],[Terminal Tagging-Item]]&amp;"/"&amp;tbl_IO_List[[#This Row],[Front Terminal Tagging]]</f>
        <v>-/C7S2-</v>
      </c>
    </row>
    <row r="910" spans="1:47" hidden="1">
      <c r="A910" s="136" t="s">
        <v>1307</v>
      </c>
      <c r="B910" s="136" t="s">
        <v>1307</v>
      </c>
      <c r="C910" s="136" t="str">
        <f>tbl_IO_List[[#This Row],[Column3]]</f>
        <v>C7S02,10</v>
      </c>
      <c r="D910" s="136" t="e">
        <f>tbl_IO_List[[#This Row],[Card]]</f>
        <v>#N/A</v>
      </c>
      <c r="E910" s="136"/>
      <c r="F910" s="136" t="str">
        <f>tbl_IO_List[[#This Row],[Column23]]&amp;"-" &amp;tbl_IO_List[[#This Row],[Column52]]</f>
        <v>C7S02-</v>
      </c>
      <c r="G910" s="136" t="str">
        <f>tbl_IO_List[[#This Row],[PLC_Tag]]</f>
        <v>RVM-60203_DI_2</v>
      </c>
      <c r="H910" s="136"/>
      <c r="I910" s="136" t="str">
        <f>VLOOKUP(tbl_IO_List[[#This Row],[Destination]],tbl_Junction[],2,FALSE)</f>
        <v>MCC Room</v>
      </c>
      <c r="J910" s="136" t="s">
        <v>191</v>
      </c>
      <c r="K910" s="136" t="s">
        <v>14</v>
      </c>
      <c r="L910" s="136" t="s">
        <v>902</v>
      </c>
      <c r="M910" s="136">
        <f>VLOOKUP(tbl_IO_List[[#This Row],[Instruement Tag]],tbl_Instruement_List[],2,FALSE)</f>
        <v>0</v>
      </c>
      <c r="N910" s="136" t="s">
        <v>15</v>
      </c>
      <c r="O910" s="136" t="s">
        <v>192</v>
      </c>
      <c r="P910" s="136" t="s">
        <v>18</v>
      </c>
      <c r="Q910" s="136" t="str">
        <f>VLOOKUP(tbl_IO_List[[#This Row],[Instruement Tag]],tbl_Instruement_List[],6,FALSE)</f>
        <v xml:space="preserve"> Start / Stop Command for FVNR RVAL-23 (Bag House Rotary Valve)</v>
      </c>
      <c r="R910" s="136"/>
      <c r="S91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910" s="136" t="str">
        <f>tbl_IO_List[[#This Row],[Instruement Tag]]&amp;"_"&amp;tbl_IO_List[[#This Row],[I/O Type]]&amp;"_"&amp;tbl_IO_List[[#This Row],[IO-Point 
(Instruement)]]</f>
        <v>RVM-60203_DI_2</v>
      </c>
      <c r="U910" s="136" t="s">
        <v>8</v>
      </c>
      <c r="V910" s="136">
        <f>VLOOKUP(tbl_IO_List[[#This Row],[I/O Type]],tbl_Slot_Group[],2,FALSE)</f>
        <v>1</v>
      </c>
      <c r="W910" s="136">
        <v>2</v>
      </c>
      <c r="X910" s="136" t="str">
        <f>tbl_IO_List[[#This Row],[Chassis]]&amp;"S"&amp;TEXT(tbl_IO_List[[#This Row],[Slot]],"00")</f>
        <v>C7S02</v>
      </c>
      <c r="Y910" s="136" t="str">
        <f>tbl_IO_List[[#This Row],[Chassis]]&amp;"S"&amp;TEXT(tbl_IO_List[[#This Row],[Slot]],"00")&amp;tbl_IO_List[[#This Row],[I/O Type]]&amp;TEXT(tbl_IO_List[[#This Row],[Point]],"00")</f>
        <v>C7S02DI10</v>
      </c>
      <c r="Z910" s="136" t="str">
        <f>tbl_IO_List[[#This Row],[Chassis]]&amp;"S"&amp;TEXT(tbl_IO_List[[#This Row],[Slot]],"00")&amp;","&amp;TEXT(tbl_IO_List[[#This Row],[Point]],"00")</f>
        <v>C7S02,10</v>
      </c>
      <c r="AA910" s="136" t="e">
        <f>VLOOKUP(tbl_IO_List[[#This Row],[Column23]],tbl_RackConfig[],5,FALSE) &amp;"-"&amp;tbl_IO_List[[#This Row],[Point]]</f>
        <v>#N/A</v>
      </c>
      <c r="AB910" s="136"/>
      <c r="AC910" s="136"/>
      <c r="AD910" s="136" t="str">
        <f>tbl_IO_List[[#This Row],[I/O Type]]</f>
        <v>DI</v>
      </c>
      <c r="AE910" s="136" t="s">
        <v>1368</v>
      </c>
      <c r="AF910" s="136">
        <v>2</v>
      </c>
      <c r="AG910" s="136">
        <v>10</v>
      </c>
      <c r="AH910" s="136"/>
      <c r="AI910" s="136"/>
      <c r="AJ910" s="136">
        <v>2</v>
      </c>
      <c r="AK910" s="136">
        <v>2</v>
      </c>
      <c r="AL910" s="136">
        <v>0</v>
      </c>
      <c r="AM910" s="136">
        <v>0</v>
      </c>
      <c r="AN910" s="136">
        <v>0</v>
      </c>
      <c r="AO910" s="136"/>
      <c r="AP910" s="143" t="str">
        <f>VLOOKUP(tbl_IO_List[[#This Row],[Instruement Tag]],tbl_Instruement_List[],14,FALSE)</f>
        <v>24 VDC energized</v>
      </c>
      <c r="AQ910" s="143" t="str">
        <f>tbl_IO_List[[#This Row],[Chassis]]&amp;"S"&amp;tbl_IO_List[[#This Row],[Slot]]&amp;"-"&amp;tbl_IO_List[[#This Row],[Front Terminal Number]]</f>
        <v>C7S2-</v>
      </c>
      <c r="AR910" s="143"/>
      <c r="AS910" s="136" t="str">
        <f>tbl_IO_List[[#This Row],[Terminal Tagging]]&amp;"-"&amp;tbl_IO_List[[#This Row],[Point-Count]]</f>
        <v>-</v>
      </c>
      <c r="AT910" s="136" t="str">
        <f>tbl_IO_List[[#This Row],[Front Terminal Tagging]]&amp;"/"&amp;tbl_IO_List[[#This Row],[Terminal Tagging-Item]]</f>
        <v>C7S2-/-</v>
      </c>
      <c r="AU910" s="136" t="str">
        <f>tbl_IO_List[[#This Row],[Terminal Tagging-Item]]&amp;"/"&amp;tbl_IO_List[[#This Row],[Front Terminal Tagging]]</f>
        <v>-/C7S2-</v>
      </c>
    </row>
    <row r="911" spans="1:47" hidden="1">
      <c r="A911" s="136" t="s">
        <v>1307</v>
      </c>
      <c r="B911" s="136" t="s">
        <v>1307</v>
      </c>
      <c r="C911" s="136" t="str">
        <f>tbl_IO_List[[#This Row],[Column3]]</f>
        <v>C7S02,11</v>
      </c>
      <c r="D911" s="136" t="e">
        <f>tbl_IO_List[[#This Row],[Card]]</f>
        <v>#N/A</v>
      </c>
      <c r="E911" s="136"/>
      <c r="F911" s="136" t="str">
        <f>tbl_IO_List[[#This Row],[Column23]]&amp;"-" &amp;tbl_IO_List[[#This Row],[Column52]]</f>
        <v>C7S02-</v>
      </c>
      <c r="G911" s="136" t="str">
        <f>tbl_IO_List[[#This Row],[PLC_Tag]]</f>
        <v>BFY-60210_DI_1</v>
      </c>
      <c r="H911" s="136"/>
      <c r="I911" s="136" t="str">
        <f>VLOOKUP(tbl_IO_List[[#This Row],[Destination]],tbl_Junction[],2,FALSE)</f>
        <v>MCC Room</v>
      </c>
      <c r="J911" s="136" t="s">
        <v>221</v>
      </c>
      <c r="K911" s="136" t="s">
        <v>14</v>
      </c>
      <c r="L911" s="136" t="s">
        <v>848</v>
      </c>
      <c r="M911" s="136">
        <f>VLOOKUP(tbl_IO_List[[#This Row],[Instruement Tag]],tbl_Instruement_List[],2,FALSE)</f>
        <v>0</v>
      </c>
      <c r="N911" s="136" t="s">
        <v>47</v>
      </c>
      <c r="O911" s="136" t="s">
        <v>50</v>
      </c>
      <c r="P911" s="136" t="s">
        <v>18</v>
      </c>
      <c r="Q911" s="136" t="str">
        <f>VLOOKUP(tbl_IO_List[[#This Row],[Instruement Tag]],tbl_Instruement_List[],6,FALSE)</f>
        <v xml:space="preserve"> Start / Stop Command for VSD FANS-21 (Main Supply Air Fan)</v>
      </c>
      <c r="R911" s="136"/>
      <c r="S91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1,DO=1,AI=0,AO=0,Bus=1</v>
      </c>
      <c r="T911" s="136" t="str">
        <f>tbl_IO_List[[#This Row],[Instruement Tag]]&amp;"_"&amp;tbl_IO_List[[#This Row],[I/O Type]]&amp;"_"&amp;tbl_IO_List[[#This Row],[IO-Point 
(Instruement)]]</f>
        <v>BFY-60210_DI_1</v>
      </c>
      <c r="U911" s="136" t="s">
        <v>8</v>
      </c>
      <c r="V911" s="136">
        <f>VLOOKUP(tbl_IO_List[[#This Row],[I/O Type]],tbl_Slot_Group[],2,FALSE)</f>
        <v>1</v>
      </c>
      <c r="W911" s="136">
        <v>1</v>
      </c>
      <c r="X911" s="136" t="str">
        <f>tbl_IO_List[[#This Row],[Chassis]]&amp;"S"&amp;TEXT(tbl_IO_List[[#This Row],[Slot]],"00")</f>
        <v>C7S02</v>
      </c>
      <c r="Y911" s="136" t="str">
        <f>tbl_IO_List[[#This Row],[Chassis]]&amp;"S"&amp;TEXT(tbl_IO_List[[#This Row],[Slot]],"00")&amp;tbl_IO_List[[#This Row],[I/O Type]]&amp;TEXT(tbl_IO_List[[#This Row],[Point]],"00")</f>
        <v>C7S02DI11</v>
      </c>
      <c r="Z911" s="136" t="str">
        <f>tbl_IO_List[[#This Row],[Chassis]]&amp;"S"&amp;TEXT(tbl_IO_List[[#This Row],[Slot]],"00")&amp;","&amp;TEXT(tbl_IO_List[[#This Row],[Point]],"00")</f>
        <v>C7S02,11</v>
      </c>
      <c r="AA911" s="136" t="e">
        <f>VLOOKUP(tbl_IO_List[[#This Row],[Column23]],tbl_RackConfig[],5,FALSE) &amp;"-"&amp;tbl_IO_List[[#This Row],[Point]]</f>
        <v>#N/A</v>
      </c>
      <c r="AB911" s="136"/>
      <c r="AC911" s="136"/>
      <c r="AD911" s="136" t="str">
        <f>tbl_IO_List[[#This Row],[I/O Type]]</f>
        <v>DI</v>
      </c>
      <c r="AE911" s="136" t="s">
        <v>1368</v>
      </c>
      <c r="AF911" s="136">
        <v>2</v>
      </c>
      <c r="AG911" s="136">
        <v>11</v>
      </c>
      <c r="AH911" s="136"/>
      <c r="AI911" s="136"/>
      <c r="AJ911" s="136">
        <v>1</v>
      </c>
      <c r="AK911" s="136">
        <v>1</v>
      </c>
      <c r="AL911" s="136">
        <v>0</v>
      </c>
      <c r="AM911" s="136">
        <v>0</v>
      </c>
      <c r="AN911" s="136">
        <v>1</v>
      </c>
      <c r="AO911" s="136"/>
      <c r="AP911" s="143" t="str">
        <f>VLOOKUP(tbl_IO_List[[#This Row],[Instruement Tag]],tbl_Instruement_List[],14,FALSE)</f>
        <v>24 VDC energized</v>
      </c>
      <c r="AQ911" s="143" t="str">
        <f>tbl_IO_List[[#This Row],[Chassis]]&amp;"S"&amp;tbl_IO_List[[#This Row],[Slot]]&amp;"-"&amp;tbl_IO_List[[#This Row],[Front Terminal Number]]</f>
        <v>C7S2-</v>
      </c>
      <c r="AR911" s="143"/>
      <c r="AS911" s="136" t="str">
        <f>tbl_IO_List[[#This Row],[Terminal Tagging]]&amp;"-"&amp;tbl_IO_List[[#This Row],[Point-Count]]</f>
        <v>-</v>
      </c>
      <c r="AT911" s="136" t="str">
        <f>tbl_IO_List[[#This Row],[Front Terminal Tagging]]&amp;"/"&amp;tbl_IO_List[[#This Row],[Terminal Tagging-Item]]</f>
        <v>C7S2-/-</v>
      </c>
      <c r="AU911" s="136" t="str">
        <f>tbl_IO_List[[#This Row],[Terminal Tagging-Item]]&amp;"/"&amp;tbl_IO_List[[#This Row],[Front Terminal Tagging]]</f>
        <v>-/C7S2-</v>
      </c>
    </row>
    <row r="912" spans="1:47" hidden="1">
      <c r="A912" s="136" t="s">
        <v>1307</v>
      </c>
      <c r="B912" s="136" t="s">
        <v>1307</v>
      </c>
      <c r="C912" s="136" t="str">
        <f>tbl_IO_List[[#This Row],[Column3]]</f>
        <v>C7S02,12</v>
      </c>
      <c r="D912" s="136" t="e">
        <f>tbl_IO_List[[#This Row],[Card]]</f>
        <v>#N/A</v>
      </c>
      <c r="E912" s="136"/>
      <c r="F912" s="136" t="str">
        <f>tbl_IO_List[[#This Row],[Column23]]&amp;"-" &amp;tbl_IO_List[[#This Row],[Column52]]</f>
        <v>C7S02-</v>
      </c>
      <c r="G912" s="136" t="str">
        <f>tbl_IO_List[[#This Row],[PLC_Tag]]</f>
        <v>BFY-60211_DI_1</v>
      </c>
      <c r="H912" s="136"/>
      <c r="I912" s="136" t="str">
        <f>VLOOKUP(tbl_IO_List[[#This Row],[Destination]],tbl_Junction[],2,FALSE)</f>
        <v>MCC Room</v>
      </c>
      <c r="J912" s="136" t="s">
        <v>221</v>
      </c>
      <c r="K912" s="136" t="s">
        <v>14</v>
      </c>
      <c r="L912" s="136" t="s">
        <v>850</v>
      </c>
      <c r="M912" s="136">
        <f>VLOOKUP(tbl_IO_List[[#This Row],[Instruement Tag]],tbl_Instruement_List[],2,FALSE)</f>
        <v>0</v>
      </c>
      <c r="N912" s="136" t="s">
        <v>47</v>
      </c>
      <c r="O912" s="136" t="s">
        <v>50</v>
      </c>
      <c r="P912" s="136" t="s">
        <v>18</v>
      </c>
      <c r="Q912" s="136" t="str">
        <f>VLOOKUP(tbl_IO_List[[#This Row],[Instruement Tag]],tbl_Instruement_List[],6,FALSE)</f>
        <v xml:space="preserve"> Start / Stop Command for VSD FANC-21 (Combustion Fan)</v>
      </c>
      <c r="R912" s="136"/>
      <c r="S91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1,DO=1,AI=0,AO=0,Bus=1</v>
      </c>
      <c r="T912" s="136" t="str">
        <f>tbl_IO_List[[#This Row],[Instruement Tag]]&amp;"_"&amp;tbl_IO_List[[#This Row],[I/O Type]]&amp;"_"&amp;tbl_IO_List[[#This Row],[IO-Point 
(Instruement)]]</f>
        <v>BFY-60211_DI_1</v>
      </c>
      <c r="U912" s="136" t="s">
        <v>8</v>
      </c>
      <c r="V912" s="136">
        <f>VLOOKUP(tbl_IO_List[[#This Row],[I/O Type]],tbl_Slot_Group[],2,FALSE)</f>
        <v>1</v>
      </c>
      <c r="W912" s="136">
        <v>1</v>
      </c>
      <c r="X912" s="136" t="str">
        <f>tbl_IO_List[[#This Row],[Chassis]]&amp;"S"&amp;TEXT(tbl_IO_List[[#This Row],[Slot]],"00")</f>
        <v>C7S02</v>
      </c>
      <c r="Y912" s="136" t="str">
        <f>tbl_IO_List[[#This Row],[Chassis]]&amp;"S"&amp;TEXT(tbl_IO_List[[#This Row],[Slot]],"00")&amp;tbl_IO_List[[#This Row],[I/O Type]]&amp;TEXT(tbl_IO_List[[#This Row],[Point]],"00")</f>
        <v>C7S02DI12</v>
      </c>
      <c r="Z912" s="136" t="str">
        <f>tbl_IO_List[[#This Row],[Chassis]]&amp;"S"&amp;TEXT(tbl_IO_List[[#This Row],[Slot]],"00")&amp;","&amp;TEXT(tbl_IO_List[[#This Row],[Point]],"00")</f>
        <v>C7S02,12</v>
      </c>
      <c r="AA912" s="136" t="e">
        <f>VLOOKUP(tbl_IO_List[[#This Row],[Column23]],tbl_RackConfig[],5,FALSE) &amp;"-"&amp;tbl_IO_List[[#This Row],[Point]]</f>
        <v>#N/A</v>
      </c>
      <c r="AB912" s="136"/>
      <c r="AC912" s="136"/>
      <c r="AD912" s="136" t="str">
        <f>tbl_IO_List[[#This Row],[I/O Type]]</f>
        <v>DI</v>
      </c>
      <c r="AE912" s="136" t="s">
        <v>1368</v>
      </c>
      <c r="AF912" s="136">
        <v>2</v>
      </c>
      <c r="AG912" s="136">
        <v>12</v>
      </c>
      <c r="AH912" s="136"/>
      <c r="AI912" s="136"/>
      <c r="AJ912" s="136">
        <v>1</v>
      </c>
      <c r="AK912" s="136">
        <v>1</v>
      </c>
      <c r="AL912" s="136">
        <v>0</v>
      </c>
      <c r="AM912" s="136">
        <v>0</v>
      </c>
      <c r="AN912" s="136">
        <v>1</v>
      </c>
      <c r="AO912" s="136"/>
      <c r="AP912" s="143" t="str">
        <f>VLOOKUP(tbl_IO_List[[#This Row],[Instruement Tag]],tbl_Instruement_List[],14,FALSE)</f>
        <v>24 VDC energized</v>
      </c>
      <c r="AQ912" s="143" t="str">
        <f>tbl_IO_List[[#This Row],[Chassis]]&amp;"S"&amp;tbl_IO_List[[#This Row],[Slot]]&amp;"-"&amp;tbl_IO_List[[#This Row],[Front Terminal Number]]</f>
        <v>C7S2-</v>
      </c>
      <c r="AR912" s="143"/>
      <c r="AS912" s="136" t="str">
        <f>tbl_IO_List[[#This Row],[Terminal Tagging]]&amp;"-"&amp;tbl_IO_List[[#This Row],[Point-Count]]</f>
        <v>-</v>
      </c>
      <c r="AT912" s="136" t="str">
        <f>tbl_IO_List[[#This Row],[Front Terminal Tagging]]&amp;"/"&amp;tbl_IO_List[[#This Row],[Terminal Tagging-Item]]</f>
        <v>C7S2-/-</v>
      </c>
      <c r="AU912" s="136" t="str">
        <f>tbl_IO_List[[#This Row],[Terminal Tagging-Item]]&amp;"/"&amp;tbl_IO_List[[#This Row],[Front Terminal Tagging]]</f>
        <v>-/C7S2-</v>
      </c>
    </row>
    <row r="913" spans="1:47" hidden="1">
      <c r="A913" s="136" t="s">
        <v>1307</v>
      </c>
      <c r="B913" s="136" t="s">
        <v>1307</v>
      </c>
      <c r="C913" s="136" t="str">
        <f>tbl_IO_List[[#This Row],[Column3]]</f>
        <v>C7S02,13</v>
      </c>
      <c r="D913" s="136" t="e">
        <f>tbl_IO_List[[#This Row],[Card]]</f>
        <v>#N/A</v>
      </c>
      <c r="E913" s="136"/>
      <c r="F913" s="136" t="str">
        <f>tbl_IO_List[[#This Row],[Column23]]&amp;"-" &amp;tbl_IO_List[[#This Row],[Column52]]</f>
        <v>C7S02-</v>
      </c>
      <c r="G913" s="136" t="str">
        <f>tbl_IO_List[[#This Row],[PLC_Tag]]</f>
        <v>BFY-60240_DI_1</v>
      </c>
      <c r="H913" s="136"/>
      <c r="I913" s="136" t="str">
        <f>VLOOKUP(tbl_IO_List[[#This Row],[Destination]],tbl_Junction[],2,FALSE)</f>
        <v>MCC Room</v>
      </c>
      <c r="J913" s="136" t="s">
        <v>221</v>
      </c>
      <c r="K913" s="136" t="s">
        <v>14</v>
      </c>
      <c r="L913" s="136" t="s">
        <v>852</v>
      </c>
      <c r="M913" s="136">
        <f>VLOOKUP(tbl_IO_List[[#This Row],[Instruement Tag]],tbl_Instruement_List[],2,FALSE)</f>
        <v>0</v>
      </c>
      <c r="N913" s="136" t="s">
        <v>47</v>
      </c>
      <c r="O913" s="136" t="s">
        <v>21</v>
      </c>
      <c r="P913" s="136" t="s">
        <v>18</v>
      </c>
      <c r="Q913" s="136" t="str">
        <f>VLOOKUP(tbl_IO_List[[#This Row],[Instruement Tag]],tbl_Instruement_List[],6,FALSE)</f>
        <v xml:space="preserve"> Start / Stop Command for VSD FANE-21 (Exhaust Fan)</v>
      </c>
      <c r="R913" s="136"/>
      <c r="S91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1,DO=1,AI=0,AO=0,Bus=1</v>
      </c>
      <c r="T913" s="136" t="str">
        <f>tbl_IO_List[[#This Row],[Instruement Tag]]&amp;"_"&amp;tbl_IO_List[[#This Row],[I/O Type]]&amp;"_"&amp;tbl_IO_List[[#This Row],[IO-Point 
(Instruement)]]</f>
        <v>BFY-60240_DI_1</v>
      </c>
      <c r="U913" s="136" t="s">
        <v>8</v>
      </c>
      <c r="V913" s="136">
        <f>VLOOKUP(tbl_IO_List[[#This Row],[I/O Type]],tbl_Slot_Group[],2,FALSE)</f>
        <v>1</v>
      </c>
      <c r="W913" s="136">
        <v>1</v>
      </c>
      <c r="X913" s="136" t="str">
        <f>tbl_IO_List[[#This Row],[Chassis]]&amp;"S"&amp;TEXT(tbl_IO_List[[#This Row],[Slot]],"00")</f>
        <v>C7S02</v>
      </c>
      <c r="Y913" s="136" t="str">
        <f>tbl_IO_List[[#This Row],[Chassis]]&amp;"S"&amp;TEXT(tbl_IO_List[[#This Row],[Slot]],"00")&amp;tbl_IO_List[[#This Row],[I/O Type]]&amp;TEXT(tbl_IO_List[[#This Row],[Point]],"00")</f>
        <v>C7S02DI13</v>
      </c>
      <c r="Z913" s="136" t="str">
        <f>tbl_IO_List[[#This Row],[Chassis]]&amp;"S"&amp;TEXT(tbl_IO_List[[#This Row],[Slot]],"00")&amp;","&amp;TEXT(tbl_IO_List[[#This Row],[Point]],"00")</f>
        <v>C7S02,13</v>
      </c>
      <c r="AA913" s="136" t="e">
        <f>VLOOKUP(tbl_IO_List[[#This Row],[Column23]],tbl_RackConfig[],5,FALSE) &amp;"-"&amp;tbl_IO_List[[#This Row],[Point]]</f>
        <v>#N/A</v>
      </c>
      <c r="AB913" s="136"/>
      <c r="AC913" s="136"/>
      <c r="AD913" s="136" t="str">
        <f>tbl_IO_List[[#This Row],[I/O Type]]</f>
        <v>DI</v>
      </c>
      <c r="AE913" s="136" t="s">
        <v>1368</v>
      </c>
      <c r="AF913" s="136">
        <v>2</v>
      </c>
      <c r="AG913" s="136">
        <v>13</v>
      </c>
      <c r="AH913" s="136"/>
      <c r="AI913" s="136"/>
      <c r="AJ913" s="136">
        <v>1</v>
      </c>
      <c r="AK913" s="136">
        <v>1</v>
      </c>
      <c r="AL913" s="136">
        <v>0</v>
      </c>
      <c r="AM913" s="136">
        <v>0</v>
      </c>
      <c r="AN913" s="136">
        <v>1</v>
      </c>
      <c r="AO913" s="136"/>
      <c r="AP913" s="143" t="str">
        <f>VLOOKUP(tbl_IO_List[[#This Row],[Instruement Tag]],tbl_Instruement_List[],14,FALSE)</f>
        <v>24 VDC energized</v>
      </c>
      <c r="AQ913" s="143" t="str">
        <f>tbl_IO_List[[#This Row],[Chassis]]&amp;"S"&amp;tbl_IO_List[[#This Row],[Slot]]&amp;"-"&amp;tbl_IO_List[[#This Row],[Front Terminal Number]]</f>
        <v>C7S2-</v>
      </c>
      <c r="AR913" s="143"/>
      <c r="AS913" s="136" t="str">
        <f>tbl_IO_List[[#This Row],[Terminal Tagging]]&amp;"-"&amp;tbl_IO_List[[#This Row],[Point-Count]]</f>
        <v>-</v>
      </c>
      <c r="AT913" s="136" t="str">
        <f>tbl_IO_List[[#This Row],[Front Terminal Tagging]]&amp;"/"&amp;tbl_IO_List[[#This Row],[Terminal Tagging-Item]]</f>
        <v>C7S2-/-</v>
      </c>
      <c r="AU913" s="136" t="str">
        <f>tbl_IO_List[[#This Row],[Terminal Tagging-Item]]&amp;"/"&amp;tbl_IO_List[[#This Row],[Front Terminal Tagging]]</f>
        <v>-/C7S2-</v>
      </c>
    </row>
    <row r="914" spans="1:47" hidden="1">
      <c r="A914" s="136" t="s">
        <v>1307</v>
      </c>
      <c r="B914" s="136" t="s">
        <v>1307</v>
      </c>
      <c r="C914" s="136" t="str">
        <f>tbl_IO_List[[#This Row],[Column3]]</f>
        <v>C7S02,14</v>
      </c>
      <c r="D914" s="136" t="e">
        <f>tbl_IO_List[[#This Row],[Card]]</f>
        <v>#N/A</v>
      </c>
      <c r="E914" s="136"/>
      <c r="F914" s="136" t="str">
        <f>tbl_IO_List[[#This Row],[Column23]]&amp;"-" &amp;tbl_IO_List[[#This Row],[Column52]]</f>
        <v>C7S02-</v>
      </c>
      <c r="G914" s="136" t="str">
        <f>tbl_IO_List[[#This Row],[PLC_Tag]]</f>
        <v>PCY-60215_DI_1</v>
      </c>
      <c r="H914" s="136"/>
      <c r="I914" s="136" t="str">
        <f>VLOOKUP(tbl_IO_List[[#This Row],[Destination]],tbl_Junction[],2,FALSE)</f>
        <v>MCC Room</v>
      </c>
      <c r="J914" s="136" t="s">
        <v>221</v>
      </c>
      <c r="K914" s="136" t="s">
        <v>14</v>
      </c>
      <c r="L914" s="136" t="s">
        <v>893</v>
      </c>
      <c r="M914" s="136" t="str">
        <f>VLOOKUP(tbl_IO_List[[#This Row],[Instruement Tag]],tbl_Instruement_List[],2,FALSE)</f>
        <v>PUMP</v>
      </c>
      <c r="N914" s="136" t="s">
        <v>47</v>
      </c>
      <c r="O914" s="136" t="s">
        <v>50</v>
      </c>
      <c r="P914" s="136" t="s">
        <v>18</v>
      </c>
      <c r="Q914" s="136" t="str">
        <f>VLOOKUP(tbl_IO_List[[#This Row],[Instruement Tag]],tbl_Instruement_List[],6,FALSE)</f>
        <v xml:space="preserve"> Start / Stop Command for VSD PUCF-21 (Heat Recovery Centrifugal Pump)</v>
      </c>
      <c r="R914" s="136"/>
      <c r="S91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3,DO=1,AI=0,AO=0,Bus=1</v>
      </c>
      <c r="T914" s="136" t="str">
        <f>tbl_IO_List[[#This Row],[Instruement Tag]]&amp;"_"&amp;tbl_IO_List[[#This Row],[I/O Type]]&amp;"_"&amp;tbl_IO_List[[#This Row],[IO-Point 
(Instruement)]]</f>
        <v>PCY-60215_DI_1</v>
      </c>
      <c r="U914" s="136" t="s">
        <v>8</v>
      </c>
      <c r="V914" s="136">
        <f>VLOOKUP(tbl_IO_List[[#This Row],[I/O Type]],tbl_Slot_Group[],2,FALSE)</f>
        <v>1</v>
      </c>
      <c r="W914" s="136">
        <f>VLOOKUP(tbl_IO_List[[#This Row],[I/O Type]],tbl_Slot_Group[],2,FALSE)</f>
        <v>1</v>
      </c>
      <c r="X914" s="136" t="str">
        <f>tbl_IO_List[[#This Row],[Chassis]]&amp;"S"&amp;TEXT(tbl_IO_List[[#This Row],[Slot]],"00")</f>
        <v>C7S02</v>
      </c>
      <c r="Y914" s="136" t="str">
        <f>tbl_IO_List[[#This Row],[Chassis]]&amp;"S"&amp;TEXT(tbl_IO_List[[#This Row],[Slot]],"00")&amp;tbl_IO_List[[#This Row],[I/O Type]]&amp;TEXT(tbl_IO_List[[#This Row],[Point]],"00")</f>
        <v>C7S02DI14</v>
      </c>
      <c r="Z914" s="136" t="str">
        <f>tbl_IO_List[[#This Row],[Chassis]]&amp;"S"&amp;TEXT(tbl_IO_List[[#This Row],[Slot]],"00")&amp;","&amp;TEXT(tbl_IO_List[[#This Row],[Point]],"00")</f>
        <v>C7S02,14</v>
      </c>
      <c r="AA914" s="136" t="e">
        <f>VLOOKUP(tbl_IO_List[[#This Row],[Column23]],tbl_RackConfig[],5,FALSE) &amp;"-"&amp;tbl_IO_List[[#This Row],[Point]]</f>
        <v>#N/A</v>
      </c>
      <c r="AB914" s="136"/>
      <c r="AC914" s="136"/>
      <c r="AD914" s="136" t="str">
        <f>tbl_IO_List[[#This Row],[I/O Type]]</f>
        <v>DI</v>
      </c>
      <c r="AE914" s="136" t="s">
        <v>1368</v>
      </c>
      <c r="AF914" s="136">
        <v>2</v>
      </c>
      <c r="AG914" s="136">
        <v>14</v>
      </c>
      <c r="AH914" s="136"/>
      <c r="AI914" s="136"/>
      <c r="AJ914" s="136">
        <v>3</v>
      </c>
      <c r="AK914" s="136">
        <v>1</v>
      </c>
      <c r="AL914" s="136">
        <v>0</v>
      </c>
      <c r="AM914" s="136">
        <v>0</v>
      </c>
      <c r="AN914" s="136">
        <v>1</v>
      </c>
      <c r="AO914" s="136"/>
      <c r="AP914" s="143" t="str">
        <f>VLOOKUP(tbl_IO_List[[#This Row],[Instruement Tag]],tbl_Instruement_List[],14,FALSE)</f>
        <v>24 VDC energized</v>
      </c>
      <c r="AQ914" s="143" t="str">
        <f>tbl_IO_List[[#This Row],[Chassis]]&amp;"S"&amp;tbl_IO_List[[#This Row],[Slot]]&amp;"-"&amp;tbl_IO_List[[#This Row],[Front Terminal Number]]</f>
        <v>C7S2-</v>
      </c>
      <c r="AR914" s="143"/>
      <c r="AS914" s="136" t="str">
        <f>tbl_IO_List[[#This Row],[Terminal Tagging]]&amp;"-"&amp;tbl_IO_List[[#This Row],[Point-Count]]</f>
        <v>-</v>
      </c>
      <c r="AT914" s="136" t="str">
        <f>tbl_IO_List[[#This Row],[Front Terminal Tagging]]&amp;"/"&amp;tbl_IO_List[[#This Row],[Terminal Tagging-Item]]</f>
        <v>C7S2-/-</v>
      </c>
      <c r="AU914" s="136" t="str">
        <f>tbl_IO_List[[#This Row],[Terminal Tagging-Item]]&amp;"/"&amp;tbl_IO_List[[#This Row],[Front Terminal Tagging]]</f>
        <v>-/C7S2-</v>
      </c>
    </row>
    <row r="915" spans="1:47" hidden="1">
      <c r="A915" s="136" t="s">
        <v>1307</v>
      </c>
      <c r="B915" s="136" t="s">
        <v>1307</v>
      </c>
      <c r="C915" s="136" t="str">
        <f>tbl_IO_List[[#This Row],[Column3]]</f>
        <v>C7S02,15</v>
      </c>
      <c r="D915" s="136" t="e">
        <f>tbl_IO_List[[#This Row],[Card]]</f>
        <v>#N/A</v>
      </c>
      <c r="E915" s="136"/>
      <c r="F915" s="136" t="str">
        <f>tbl_IO_List[[#This Row],[Column23]]&amp;"-" &amp;tbl_IO_List[[#This Row],[Column52]]</f>
        <v>C7S02-</v>
      </c>
      <c r="G915" s="136" t="str">
        <f>tbl_IO_List[[#This Row],[PLC_Tag]]</f>
        <v>PCY-60215_DI_2</v>
      </c>
      <c r="H915" s="136"/>
      <c r="I915" s="136" t="str">
        <f>VLOOKUP(tbl_IO_List[[#This Row],[Destination]],tbl_Junction[],2,FALSE)</f>
        <v>MCC Room</v>
      </c>
      <c r="J915" s="136" t="s">
        <v>221</v>
      </c>
      <c r="K915" s="136" t="s">
        <v>14</v>
      </c>
      <c r="L915" s="136" t="s">
        <v>893</v>
      </c>
      <c r="M915" s="136" t="str">
        <f>VLOOKUP(tbl_IO_List[[#This Row],[Instruement Tag]],tbl_Instruement_List[],2,FALSE)</f>
        <v>PUMP</v>
      </c>
      <c r="N915" s="136" t="s">
        <v>47</v>
      </c>
      <c r="O915" s="136" t="s">
        <v>50</v>
      </c>
      <c r="P915" s="136" t="s">
        <v>18</v>
      </c>
      <c r="Q915" s="136" t="str">
        <f>VLOOKUP(tbl_IO_List[[#This Row],[Instruement Tag]],tbl_Instruement_List[],6,FALSE)</f>
        <v xml:space="preserve"> Start / Stop Command for VSD PUCF-21 (Heat Recovery Centrifugal Pump)</v>
      </c>
      <c r="R915" s="136"/>
      <c r="S91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3,DO=1,AI=0,AO=0,Bus=1</v>
      </c>
      <c r="T915" s="136" t="str">
        <f>tbl_IO_List[[#This Row],[Instruement Tag]]&amp;"_"&amp;tbl_IO_List[[#This Row],[I/O Type]]&amp;"_"&amp;tbl_IO_List[[#This Row],[IO-Point 
(Instruement)]]</f>
        <v>PCY-60215_DI_2</v>
      </c>
      <c r="U915" s="136" t="s">
        <v>8</v>
      </c>
      <c r="V915" s="136">
        <f>VLOOKUP(tbl_IO_List[[#This Row],[I/O Type]],tbl_Slot_Group[],2,FALSE)</f>
        <v>1</v>
      </c>
      <c r="W915" s="136">
        <v>2</v>
      </c>
      <c r="X915" s="136" t="str">
        <f>tbl_IO_List[[#This Row],[Chassis]]&amp;"S"&amp;TEXT(tbl_IO_List[[#This Row],[Slot]],"00")</f>
        <v>C7S02</v>
      </c>
      <c r="Y915" s="136" t="str">
        <f>tbl_IO_List[[#This Row],[Chassis]]&amp;"S"&amp;TEXT(tbl_IO_List[[#This Row],[Slot]],"00")&amp;tbl_IO_List[[#This Row],[I/O Type]]&amp;TEXT(tbl_IO_List[[#This Row],[Point]],"00")</f>
        <v>C7S02DI15</v>
      </c>
      <c r="Z915" s="136" t="str">
        <f>tbl_IO_List[[#This Row],[Chassis]]&amp;"S"&amp;TEXT(tbl_IO_List[[#This Row],[Slot]],"00")&amp;","&amp;TEXT(tbl_IO_List[[#This Row],[Point]],"00")</f>
        <v>C7S02,15</v>
      </c>
      <c r="AA915" s="136" t="e">
        <f>VLOOKUP(tbl_IO_List[[#This Row],[Column23]],tbl_RackConfig[],5,FALSE) &amp;"-"&amp;tbl_IO_List[[#This Row],[Point]]</f>
        <v>#N/A</v>
      </c>
      <c r="AB915" s="136"/>
      <c r="AC915" s="136"/>
      <c r="AD915" s="136" t="str">
        <f>tbl_IO_List[[#This Row],[I/O Type]]</f>
        <v>DI</v>
      </c>
      <c r="AE915" s="136" t="s">
        <v>1368</v>
      </c>
      <c r="AF915" s="136">
        <v>2</v>
      </c>
      <c r="AG915" s="136">
        <v>15</v>
      </c>
      <c r="AH915" s="136"/>
      <c r="AI915" s="136"/>
      <c r="AJ915" s="136">
        <v>3</v>
      </c>
      <c r="AK915" s="136">
        <v>1</v>
      </c>
      <c r="AL915" s="136">
        <v>0</v>
      </c>
      <c r="AM915" s="136">
        <v>0</v>
      </c>
      <c r="AN915" s="136">
        <v>1</v>
      </c>
      <c r="AO915" s="136"/>
      <c r="AP915" s="143" t="str">
        <f>VLOOKUP(tbl_IO_List[[#This Row],[Instruement Tag]],tbl_Instruement_List[],14,FALSE)</f>
        <v>24 VDC energized</v>
      </c>
      <c r="AQ915" s="143" t="str">
        <f>tbl_IO_List[[#This Row],[Chassis]]&amp;"S"&amp;tbl_IO_List[[#This Row],[Slot]]&amp;"-"&amp;tbl_IO_List[[#This Row],[Front Terminal Number]]</f>
        <v>C7S2-</v>
      </c>
      <c r="AR915" s="143"/>
      <c r="AS915" s="136" t="str">
        <f>tbl_IO_List[[#This Row],[Terminal Tagging]]&amp;"-"&amp;tbl_IO_List[[#This Row],[Point-Count]]</f>
        <v>-</v>
      </c>
      <c r="AT915" s="136" t="str">
        <f>tbl_IO_List[[#This Row],[Front Terminal Tagging]]&amp;"/"&amp;tbl_IO_List[[#This Row],[Terminal Tagging-Item]]</f>
        <v>C7S2-/-</v>
      </c>
      <c r="AU915" s="136" t="str">
        <f>tbl_IO_List[[#This Row],[Terminal Tagging-Item]]&amp;"/"&amp;tbl_IO_List[[#This Row],[Front Terminal Tagging]]</f>
        <v>-/C7S2-</v>
      </c>
    </row>
    <row r="916" spans="1:47" hidden="1">
      <c r="A916" s="136" t="s">
        <v>1307</v>
      </c>
      <c r="B916" s="136" t="s">
        <v>1307</v>
      </c>
      <c r="C916" s="136" t="str">
        <f>tbl_IO_List[[#This Row],[Column3]]</f>
        <v>C7S02,16</v>
      </c>
      <c r="D916" s="136" t="e">
        <f>tbl_IO_List[[#This Row],[Card]]</f>
        <v>#N/A</v>
      </c>
      <c r="E916" s="136"/>
      <c r="F916" s="136" t="str">
        <f>tbl_IO_List[[#This Row],[Column23]]&amp;"-" &amp;tbl_IO_List[[#This Row],[Column52]]</f>
        <v>C7S02-</v>
      </c>
      <c r="G916" s="136" t="str">
        <f>tbl_IO_List[[#This Row],[PLC_Tag]]</f>
        <v>PCY-60215_DI_3</v>
      </c>
      <c r="H916" s="136"/>
      <c r="I916" s="136" t="str">
        <f>VLOOKUP(tbl_IO_List[[#This Row],[Destination]],tbl_Junction[],2,FALSE)</f>
        <v>MCC Room</v>
      </c>
      <c r="J916" s="136" t="s">
        <v>221</v>
      </c>
      <c r="K916" s="136" t="s">
        <v>14</v>
      </c>
      <c r="L916" s="136" t="s">
        <v>893</v>
      </c>
      <c r="M916" s="136" t="str">
        <f>VLOOKUP(tbl_IO_List[[#This Row],[Instruement Tag]],tbl_Instruement_List[],2,FALSE)</f>
        <v>PUMP</v>
      </c>
      <c r="N916" s="136" t="s">
        <v>47</v>
      </c>
      <c r="O916" s="136" t="s">
        <v>50</v>
      </c>
      <c r="P916" s="136" t="s">
        <v>18</v>
      </c>
      <c r="Q916" s="136" t="str">
        <f>VLOOKUP(tbl_IO_List[[#This Row],[Instruement Tag]],tbl_Instruement_List[],6,FALSE)</f>
        <v xml:space="preserve"> Start / Stop Command for VSD PUCF-21 (Heat Recovery Centrifugal Pump)</v>
      </c>
      <c r="R916" s="136"/>
      <c r="S91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3,DO=1,AI=0,AO=0,Bus=1</v>
      </c>
      <c r="T916" s="136" t="str">
        <f>tbl_IO_List[[#This Row],[Instruement Tag]]&amp;"_"&amp;tbl_IO_List[[#This Row],[I/O Type]]&amp;"_"&amp;tbl_IO_List[[#This Row],[IO-Point 
(Instruement)]]</f>
        <v>PCY-60215_DI_3</v>
      </c>
      <c r="U916" s="136" t="s">
        <v>8</v>
      </c>
      <c r="V916" s="136">
        <f>VLOOKUP(tbl_IO_List[[#This Row],[I/O Type]],tbl_Slot_Group[],2,FALSE)</f>
        <v>1</v>
      </c>
      <c r="W916" s="136">
        <v>3</v>
      </c>
      <c r="X916" s="136" t="str">
        <f>tbl_IO_List[[#This Row],[Chassis]]&amp;"S"&amp;TEXT(tbl_IO_List[[#This Row],[Slot]],"00")</f>
        <v>C7S02</v>
      </c>
      <c r="Y916" s="136" t="str">
        <f>tbl_IO_List[[#This Row],[Chassis]]&amp;"S"&amp;TEXT(tbl_IO_List[[#This Row],[Slot]],"00")&amp;tbl_IO_List[[#This Row],[I/O Type]]&amp;TEXT(tbl_IO_List[[#This Row],[Point]],"00")</f>
        <v>C7S02DI16</v>
      </c>
      <c r="Z916" s="136" t="str">
        <f>tbl_IO_List[[#This Row],[Chassis]]&amp;"S"&amp;TEXT(tbl_IO_List[[#This Row],[Slot]],"00")&amp;","&amp;TEXT(tbl_IO_List[[#This Row],[Point]],"00")</f>
        <v>C7S02,16</v>
      </c>
      <c r="AA916" s="136" t="e">
        <f>VLOOKUP(tbl_IO_List[[#This Row],[Column23]],tbl_RackConfig[],5,FALSE) &amp;"-"&amp;tbl_IO_List[[#This Row],[Point]]</f>
        <v>#N/A</v>
      </c>
      <c r="AB916" s="136"/>
      <c r="AC916" s="136"/>
      <c r="AD916" s="136" t="str">
        <f>tbl_IO_List[[#This Row],[I/O Type]]</f>
        <v>DI</v>
      </c>
      <c r="AE916" s="136" t="s">
        <v>1368</v>
      </c>
      <c r="AF916" s="136">
        <v>2</v>
      </c>
      <c r="AG916" s="136">
        <v>16</v>
      </c>
      <c r="AH916" s="136"/>
      <c r="AI916" s="136"/>
      <c r="AJ916" s="136">
        <v>3</v>
      </c>
      <c r="AK916" s="136">
        <v>1</v>
      </c>
      <c r="AL916" s="136">
        <v>0</v>
      </c>
      <c r="AM916" s="136">
        <v>0</v>
      </c>
      <c r="AN916" s="136">
        <v>1</v>
      </c>
      <c r="AO916" s="136"/>
      <c r="AP916" s="143" t="str">
        <f>VLOOKUP(tbl_IO_List[[#This Row],[Instruement Tag]],tbl_Instruement_List[],14,FALSE)</f>
        <v>24 VDC energized</v>
      </c>
      <c r="AQ916" s="143" t="str">
        <f>tbl_IO_List[[#This Row],[Chassis]]&amp;"S"&amp;tbl_IO_List[[#This Row],[Slot]]&amp;"-"&amp;tbl_IO_List[[#This Row],[Front Terminal Number]]</f>
        <v>C7S2-</v>
      </c>
      <c r="AR916" s="143"/>
      <c r="AS916" s="136" t="str">
        <f>tbl_IO_List[[#This Row],[Terminal Tagging]]&amp;"-"&amp;tbl_IO_List[[#This Row],[Point-Count]]</f>
        <v>-</v>
      </c>
      <c r="AT916" s="136" t="str">
        <f>tbl_IO_List[[#This Row],[Front Terminal Tagging]]&amp;"/"&amp;tbl_IO_List[[#This Row],[Terminal Tagging-Item]]</f>
        <v>C7S2-/-</v>
      </c>
      <c r="AU916" s="136" t="str">
        <f>tbl_IO_List[[#This Row],[Terminal Tagging-Item]]&amp;"/"&amp;tbl_IO_List[[#This Row],[Front Terminal Tagging]]</f>
        <v>-/C7S2-</v>
      </c>
    </row>
    <row r="917" spans="1:47" hidden="1">
      <c r="A917" s="136" t="s">
        <v>1307</v>
      </c>
      <c r="B917" s="136" t="s">
        <v>1307</v>
      </c>
      <c r="C917" s="136" t="str">
        <f>tbl_IO_List[[#This Row],[Column3]]</f>
        <v>C7S02,17</v>
      </c>
      <c r="D917" s="136" t="e">
        <f>tbl_IO_List[[#This Row],[Card]]</f>
        <v>#N/A</v>
      </c>
      <c r="E917" s="136"/>
      <c r="F917" s="136" t="str">
        <f>tbl_IO_List[[#This Row],[Column23]]&amp;"-" &amp;tbl_IO_List[[#This Row],[Column52]]</f>
        <v>C7S02-</v>
      </c>
      <c r="G917" s="136" t="str">
        <f>tbl_IO_List[[#This Row],[PLC_Tag]]</f>
        <v>BFY-60220_DI_1</v>
      </c>
      <c r="H917" s="136"/>
      <c r="I917" s="136" t="str">
        <f>VLOOKUP(tbl_IO_List[[#This Row],[Destination]],tbl_Junction[],2,FALSE)</f>
        <v>MCC Room</v>
      </c>
      <c r="J917" s="136" t="s">
        <v>270</v>
      </c>
      <c r="K917" s="136" t="s">
        <v>14</v>
      </c>
      <c r="L917" s="136" t="s">
        <v>854</v>
      </c>
      <c r="M917" s="136">
        <f>VLOOKUP(tbl_IO_List[[#This Row],[Instruement Tag]],tbl_Instruement_List[],2,FALSE)</f>
        <v>0</v>
      </c>
      <c r="N917" s="136" t="s">
        <v>95</v>
      </c>
      <c r="O917" s="136" t="s">
        <v>16</v>
      </c>
      <c r="P917" s="136" t="s">
        <v>18</v>
      </c>
      <c r="Q917" s="136" t="str">
        <f>VLOOKUP(tbl_IO_List[[#This Row],[Instruement Tag]],tbl_Instruement_List[],6,FALSE)</f>
        <v xml:space="preserve"> Start / Stop Command for VSD FANS-22 (Cooling Fan)</v>
      </c>
      <c r="R917" s="136"/>
      <c r="S91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1,DO=1,AI=0,AO=0,Bus=1</v>
      </c>
      <c r="T917" s="136" t="str">
        <f>tbl_IO_List[[#This Row],[Instruement Tag]]&amp;"_"&amp;tbl_IO_List[[#This Row],[I/O Type]]&amp;"_"&amp;tbl_IO_List[[#This Row],[IO-Point 
(Instruement)]]</f>
        <v>BFY-60220_DI_1</v>
      </c>
      <c r="U917" s="136" t="s">
        <v>8</v>
      </c>
      <c r="V917" s="136">
        <f>VLOOKUP(tbl_IO_List[[#This Row],[I/O Type]],tbl_Slot_Group[],2,FALSE)</f>
        <v>1</v>
      </c>
      <c r="W917" s="136">
        <v>1</v>
      </c>
      <c r="X917" s="136" t="str">
        <f>tbl_IO_List[[#This Row],[Chassis]]&amp;"S"&amp;TEXT(tbl_IO_List[[#This Row],[Slot]],"00")</f>
        <v>C7S02</v>
      </c>
      <c r="Y917" s="136" t="str">
        <f>tbl_IO_List[[#This Row],[Chassis]]&amp;"S"&amp;TEXT(tbl_IO_List[[#This Row],[Slot]],"00")&amp;tbl_IO_List[[#This Row],[I/O Type]]&amp;TEXT(tbl_IO_List[[#This Row],[Point]],"00")</f>
        <v>C7S02DI17</v>
      </c>
      <c r="Z917" s="136" t="str">
        <f>tbl_IO_List[[#This Row],[Chassis]]&amp;"S"&amp;TEXT(tbl_IO_List[[#This Row],[Slot]],"00")&amp;","&amp;TEXT(tbl_IO_List[[#This Row],[Point]],"00")</f>
        <v>C7S02,17</v>
      </c>
      <c r="AA917" s="136" t="e">
        <f>VLOOKUP(tbl_IO_List[[#This Row],[Column23]],tbl_RackConfig[],5,FALSE) &amp;"-"&amp;tbl_IO_List[[#This Row],[Point]]</f>
        <v>#N/A</v>
      </c>
      <c r="AB917" s="136"/>
      <c r="AC917" s="136"/>
      <c r="AD917" s="136" t="str">
        <f>tbl_IO_List[[#This Row],[I/O Type]]</f>
        <v>DI</v>
      </c>
      <c r="AE917" s="136" t="s">
        <v>1368</v>
      </c>
      <c r="AF917" s="136">
        <v>2</v>
      </c>
      <c r="AG917" s="136">
        <v>17</v>
      </c>
      <c r="AH917" s="136"/>
      <c r="AI917" s="136"/>
      <c r="AJ917" s="136">
        <v>1</v>
      </c>
      <c r="AK917" s="136">
        <v>1</v>
      </c>
      <c r="AL917" s="136">
        <v>0</v>
      </c>
      <c r="AM917" s="136">
        <v>0</v>
      </c>
      <c r="AN917" s="136">
        <v>1</v>
      </c>
      <c r="AO917" s="136"/>
      <c r="AP917" s="143" t="str">
        <f>VLOOKUP(tbl_IO_List[[#This Row],[Instruement Tag]],tbl_Instruement_List[],14,FALSE)</f>
        <v>24 VDC energized</v>
      </c>
      <c r="AQ917" s="143" t="str">
        <f>tbl_IO_List[[#This Row],[Chassis]]&amp;"S"&amp;tbl_IO_List[[#This Row],[Slot]]&amp;"-"&amp;tbl_IO_List[[#This Row],[Front Terminal Number]]</f>
        <v>C7S2-</v>
      </c>
      <c r="AR917" s="143"/>
      <c r="AS917" s="136" t="str">
        <f>tbl_IO_List[[#This Row],[Terminal Tagging]]&amp;"-"&amp;tbl_IO_List[[#This Row],[Point-Count]]</f>
        <v>-</v>
      </c>
      <c r="AT917" s="136" t="str">
        <f>tbl_IO_List[[#This Row],[Front Terminal Tagging]]&amp;"/"&amp;tbl_IO_List[[#This Row],[Terminal Tagging-Item]]</f>
        <v>C7S2-/-</v>
      </c>
      <c r="AU917" s="136" t="str">
        <f>tbl_IO_List[[#This Row],[Terminal Tagging-Item]]&amp;"/"&amp;tbl_IO_List[[#This Row],[Front Terminal Tagging]]</f>
        <v>-/C7S2-</v>
      </c>
    </row>
    <row r="918" spans="1:47" hidden="1">
      <c r="A918" s="136" t="s">
        <v>1307</v>
      </c>
      <c r="B918" s="136" t="s">
        <v>1307</v>
      </c>
      <c r="C918" s="136" t="str">
        <f>tbl_IO_List[[#This Row],[Column3]]</f>
        <v>C7S02,18</v>
      </c>
      <c r="D918" s="136" t="e">
        <f>tbl_IO_List[[#This Row],[Card]]</f>
        <v>#N/A</v>
      </c>
      <c r="E918" s="136"/>
      <c r="F918" s="136" t="str">
        <f>tbl_IO_List[[#This Row],[Column23]]&amp;"-" &amp;tbl_IO_List[[#This Row],[Column52]]</f>
        <v>C7S02-</v>
      </c>
      <c r="G918" s="136" t="str">
        <f>tbl_IO_List[[#This Row],[PLC_Tag]]</f>
        <v>BFY-61302_DI_1</v>
      </c>
      <c r="H918" s="136"/>
      <c r="I918" s="136" t="str">
        <f>VLOOKUP(tbl_IO_List[[#This Row],[Destination]],tbl_Junction[],2,FALSE)</f>
        <v>MCC Room</v>
      </c>
      <c r="J918" s="136" t="s">
        <v>335</v>
      </c>
      <c r="K918" s="136" t="s">
        <v>66</v>
      </c>
      <c r="L918" s="136" t="s">
        <v>860</v>
      </c>
      <c r="M918" s="136">
        <f>VLOOKUP(tbl_IO_List[[#This Row],[Instruement Tag]],tbl_Instruement_List[],2,FALSE)</f>
        <v>0</v>
      </c>
      <c r="N918" s="136" t="s">
        <v>24</v>
      </c>
      <c r="O918" s="136" t="s">
        <v>70</v>
      </c>
      <c r="P918" s="136" t="s">
        <v>18</v>
      </c>
      <c r="Q918" s="136" t="str">
        <f>VLOOKUP(tbl_IO_List[[#This Row],[Instruement Tag]],tbl_Instruement_List[],6,FALSE)</f>
        <v xml:space="preserve"> Start / Stop Command for VSD BF-61302 (LEV Blower fan )</v>
      </c>
      <c r="R918" s="136"/>
      <c r="S91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1,DO=1,AI=0,AO=0,Bus=1</v>
      </c>
      <c r="T918" s="136" t="str">
        <f>tbl_IO_List[[#This Row],[Instruement Tag]]&amp;"_"&amp;tbl_IO_List[[#This Row],[I/O Type]]&amp;"_"&amp;tbl_IO_List[[#This Row],[IO-Point 
(Instruement)]]</f>
        <v>BFY-61302_DI_1</v>
      </c>
      <c r="U918" s="136" t="s">
        <v>8</v>
      </c>
      <c r="V918" s="136">
        <f>VLOOKUP(tbl_IO_List[[#This Row],[I/O Type]],tbl_Slot_Group[],2,FALSE)</f>
        <v>1</v>
      </c>
      <c r="W918" s="136">
        <v>1</v>
      </c>
      <c r="X918" s="136" t="str">
        <f>tbl_IO_List[[#This Row],[Chassis]]&amp;"S"&amp;TEXT(tbl_IO_List[[#This Row],[Slot]],"00")</f>
        <v>C7S02</v>
      </c>
      <c r="Y918" s="136" t="str">
        <f>tbl_IO_List[[#This Row],[Chassis]]&amp;"S"&amp;TEXT(tbl_IO_List[[#This Row],[Slot]],"00")&amp;tbl_IO_List[[#This Row],[I/O Type]]&amp;TEXT(tbl_IO_List[[#This Row],[Point]],"00")</f>
        <v>C7S02DI18</v>
      </c>
      <c r="Z918" s="136" t="str">
        <f>tbl_IO_List[[#This Row],[Chassis]]&amp;"S"&amp;TEXT(tbl_IO_List[[#This Row],[Slot]],"00")&amp;","&amp;TEXT(tbl_IO_List[[#This Row],[Point]],"00")</f>
        <v>C7S02,18</v>
      </c>
      <c r="AA918" s="136" t="e">
        <f>VLOOKUP(tbl_IO_List[[#This Row],[Column23]],tbl_RackConfig[],5,FALSE) &amp;"-"&amp;tbl_IO_List[[#This Row],[Point]]</f>
        <v>#N/A</v>
      </c>
      <c r="AB918" s="136"/>
      <c r="AC918" s="136"/>
      <c r="AD918" s="136" t="str">
        <f>tbl_IO_List[[#This Row],[I/O Type]]</f>
        <v>DI</v>
      </c>
      <c r="AE918" s="136" t="s">
        <v>1368</v>
      </c>
      <c r="AF918" s="136">
        <v>2</v>
      </c>
      <c r="AG918" s="136">
        <v>18</v>
      </c>
      <c r="AH918" s="136"/>
      <c r="AI918" s="136"/>
      <c r="AJ918" s="136">
        <v>1</v>
      </c>
      <c r="AK918" s="136">
        <v>1</v>
      </c>
      <c r="AL918" s="136">
        <v>0</v>
      </c>
      <c r="AM918" s="136">
        <v>0</v>
      </c>
      <c r="AN918" s="136">
        <v>1</v>
      </c>
      <c r="AO918" s="136"/>
      <c r="AP918" s="143" t="str">
        <f>VLOOKUP(tbl_IO_List[[#This Row],[Instruement Tag]],tbl_Instruement_List[],14,FALSE)</f>
        <v>24 VDC energized</v>
      </c>
      <c r="AQ918" s="143" t="str">
        <f>tbl_IO_List[[#This Row],[Chassis]]&amp;"S"&amp;tbl_IO_List[[#This Row],[Slot]]&amp;"-"&amp;tbl_IO_List[[#This Row],[Front Terminal Number]]</f>
        <v>C7S2-</v>
      </c>
      <c r="AR918" s="143"/>
      <c r="AS918" s="136" t="str">
        <f>tbl_IO_List[[#This Row],[Terminal Tagging]]&amp;"-"&amp;tbl_IO_List[[#This Row],[Point-Count]]</f>
        <v>-</v>
      </c>
      <c r="AT918" s="136" t="str">
        <f>tbl_IO_List[[#This Row],[Front Terminal Tagging]]&amp;"/"&amp;tbl_IO_List[[#This Row],[Terminal Tagging-Item]]</f>
        <v>C7S2-/-</v>
      </c>
      <c r="AU918" s="136" t="str">
        <f>tbl_IO_List[[#This Row],[Terminal Tagging-Item]]&amp;"/"&amp;tbl_IO_List[[#This Row],[Front Terminal Tagging]]</f>
        <v>-/C7S2-</v>
      </c>
    </row>
    <row r="919" spans="1:47" hidden="1">
      <c r="A919" s="136" t="s">
        <v>1307</v>
      </c>
      <c r="B919" s="136" t="s">
        <v>1307</v>
      </c>
      <c r="C919" s="136" t="str">
        <f>tbl_IO_List[[#This Row],[Column3]]</f>
        <v>C7S02,19</v>
      </c>
      <c r="D919" s="136" t="e">
        <f>tbl_IO_List[[#This Row],[Card]]</f>
        <v>#N/A</v>
      </c>
      <c r="E919" s="136"/>
      <c r="F919" s="136" t="str">
        <f>tbl_IO_List[[#This Row],[Column23]]&amp;"-" &amp;tbl_IO_List[[#This Row],[Column52]]</f>
        <v>C7S02-</v>
      </c>
      <c r="G919" s="136" t="str">
        <f>tbl_IO_List[[#This Row],[PLC_Tag]]</f>
        <v>HS-61307F_DI_1</v>
      </c>
      <c r="H919" s="136"/>
      <c r="I919" s="136" t="str">
        <f>VLOOKUP(tbl_IO_List[[#This Row],[Destination]],tbl_Junction[],2,FALSE)</f>
        <v>MCC Room</v>
      </c>
      <c r="J919" s="136" t="s">
        <v>335</v>
      </c>
      <c r="K919" s="136" t="s">
        <v>66</v>
      </c>
      <c r="L919" s="136" t="s">
        <v>334</v>
      </c>
      <c r="M919" s="136">
        <f>VLOOKUP(tbl_IO_List[[#This Row],[Instruement Tag]],tbl_Instruement_List[],2,FALSE)</f>
        <v>0</v>
      </c>
      <c r="N919" s="136" t="s">
        <v>31</v>
      </c>
      <c r="O919" s="136" t="s">
        <v>67</v>
      </c>
      <c r="P919" s="136" t="s">
        <v>68</v>
      </c>
      <c r="Q919" s="136" t="str">
        <f>VLOOKUP(tbl_IO_List[[#This Row],[Instruement Tag]],tbl_Instruement_List[],6,FALSE)</f>
        <v>Start/Stop</v>
      </c>
      <c r="R919" s="136"/>
      <c r="S91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19" s="136" t="str">
        <f>tbl_IO_List[[#This Row],[Instruement Tag]]&amp;"_"&amp;tbl_IO_List[[#This Row],[I/O Type]]&amp;"_"&amp;tbl_IO_List[[#This Row],[IO-Point 
(Instruement)]]</f>
        <v>HS-61307F_DI_1</v>
      </c>
      <c r="U919" s="136" t="s">
        <v>8</v>
      </c>
      <c r="V919" s="136">
        <f>VLOOKUP(tbl_IO_List[[#This Row],[I/O Type]],tbl_Slot_Group[],2,FALSE)</f>
        <v>1</v>
      </c>
      <c r="W919" s="136">
        <v>1</v>
      </c>
      <c r="X919" s="136" t="str">
        <f>tbl_IO_List[[#This Row],[Chassis]]&amp;"S"&amp;TEXT(tbl_IO_List[[#This Row],[Slot]],"00")</f>
        <v>C7S02</v>
      </c>
      <c r="Y919" s="136" t="str">
        <f>tbl_IO_List[[#This Row],[Chassis]]&amp;"S"&amp;TEXT(tbl_IO_List[[#This Row],[Slot]],"00")&amp;tbl_IO_List[[#This Row],[I/O Type]]&amp;TEXT(tbl_IO_List[[#This Row],[Point]],"00")</f>
        <v>C7S02DI19</v>
      </c>
      <c r="Z919" s="136" t="str">
        <f>tbl_IO_List[[#This Row],[Chassis]]&amp;"S"&amp;TEXT(tbl_IO_List[[#This Row],[Slot]],"00")&amp;","&amp;TEXT(tbl_IO_List[[#This Row],[Point]],"00")</f>
        <v>C7S02,19</v>
      </c>
      <c r="AA919" s="136" t="e">
        <f>VLOOKUP(tbl_IO_List[[#This Row],[Column23]],tbl_RackConfig[],5,FALSE) &amp;"-"&amp;tbl_IO_List[[#This Row],[Point]]</f>
        <v>#N/A</v>
      </c>
      <c r="AB919" s="136"/>
      <c r="AC919" s="136"/>
      <c r="AD919" s="136" t="str">
        <f>tbl_IO_List[[#This Row],[I/O Type]]</f>
        <v>DI</v>
      </c>
      <c r="AE919" s="136" t="s">
        <v>1368</v>
      </c>
      <c r="AF919" s="136">
        <v>2</v>
      </c>
      <c r="AG919" s="136">
        <v>19</v>
      </c>
      <c r="AH919" s="136"/>
      <c r="AI919" s="136"/>
      <c r="AJ919" s="136">
        <v>1</v>
      </c>
      <c r="AK919" s="136">
        <v>0</v>
      </c>
      <c r="AL919" s="136">
        <v>0</v>
      </c>
      <c r="AM919" s="136">
        <v>0</v>
      </c>
      <c r="AN919" s="136">
        <v>0</v>
      </c>
      <c r="AO919" s="136"/>
      <c r="AP919" s="143" t="str">
        <f>VLOOKUP(tbl_IO_List[[#This Row],[Instruement Tag]],tbl_Instruement_List[],14,FALSE)</f>
        <v>Dry Contact</v>
      </c>
      <c r="AQ919" s="143" t="str">
        <f>tbl_IO_List[[#This Row],[Chassis]]&amp;"S"&amp;tbl_IO_List[[#This Row],[Slot]]&amp;"-"&amp;tbl_IO_List[[#This Row],[Front Terminal Number]]</f>
        <v>C7S2-</v>
      </c>
      <c r="AR919" s="143"/>
      <c r="AS919" s="136" t="str">
        <f>tbl_IO_List[[#This Row],[Terminal Tagging]]&amp;"-"&amp;tbl_IO_List[[#This Row],[Point-Count]]</f>
        <v>-</v>
      </c>
      <c r="AT919" s="136" t="str">
        <f>tbl_IO_List[[#This Row],[Front Terminal Tagging]]&amp;"/"&amp;tbl_IO_List[[#This Row],[Terminal Tagging-Item]]</f>
        <v>C7S2-/-</v>
      </c>
      <c r="AU919" s="136" t="str">
        <f>tbl_IO_List[[#This Row],[Terminal Tagging-Item]]&amp;"/"&amp;tbl_IO_List[[#This Row],[Front Terminal Tagging]]</f>
        <v>-/C7S2-</v>
      </c>
    </row>
    <row r="920" spans="1:47" hidden="1">
      <c r="A920" s="136" t="s">
        <v>1307</v>
      </c>
      <c r="B920" s="136" t="s">
        <v>1307</v>
      </c>
      <c r="C920" s="136" t="str">
        <f>tbl_IO_List[[#This Row],[Column3]]</f>
        <v>C7S02,20</v>
      </c>
      <c r="D920" s="136" t="e">
        <f>tbl_IO_List[[#This Row],[Card]]</f>
        <v>#N/A</v>
      </c>
      <c r="E920" s="136"/>
      <c r="F920" s="136" t="str">
        <f>tbl_IO_List[[#This Row],[Column23]]&amp;"-" &amp;tbl_IO_List[[#This Row],[Column52]]</f>
        <v>C7S02-</v>
      </c>
      <c r="G920" s="136" t="str">
        <f>tbl_IO_List[[#This Row],[PLC_Tag]]</f>
        <v>HS-61307G_DI_1</v>
      </c>
      <c r="H920" s="136"/>
      <c r="I920" s="136" t="str">
        <f>VLOOKUP(tbl_IO_List[[#This Row],[Destination]],tbl_Junction[],2,FALSE)</f>
        <v>MCC Room</v>
      </c>
      <c r="J920" s="136" t="s">
        <v>335</v>
      </c>
      <c r="K920" s="136" t="s">
        <v>66</v>
      </c>
      <c r="L920" s="136" t="s">
        <v>336</v>
      </c>
      <c r="M920" s="136">
        <f>VLOOKUP(tbl_IO_List[[#This Row],[Instruement Tag]],tbl_Instruement_List[],2,FALSE)</f>
        <v>0</v>
      </c>
      <c r="N920" s="136" t="s">
        <v>28</v>
      </c>
      <c r="O920" s="136" t="s">
        <v>67</v>
      </c>
      <c r="P920" s="136" t="s">
        <v>68</v>
      </c>
      <c r="Q920" s="136" t="str">
        <f>VLOOKUP(tbl_IO_List[[#This Row],[Instruement Tag]],tbl_Instruement_List[],6,FALSE)</f>
        <v>Start/Stop</v>
      </c>
      <c r="R920" s="136"/>
      <c r="S92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20" s="136" t="str">
        <f>tbl_IO_List[[#This Row],[Instruement Tag]]&amp;"_"&amp;tbl_IO_List[[#This Row],[I/O Type]]&amp;"_"&amp;tbl_IO_List[[#This Row],[IO-Point 
(Instruement)]]</f>
        <v>HS-61307G_DI_1</v>
      </c>
      <c r="U920" s="136" t="s">
        <v>8</v>
      </c>
      <c r="V920" s="136">
        <f>VLOOKUP(tbl_IO_List[[#This Row],[I/O Type]],tbl_Slot_Group[],2,FALSE)</f>
        <v>1</v>
      </c>
      <c r="W920" s="136">
        <v>1</v>
      </c>
      <c r="X920" s="136" t="str">
        <f>tbl_IO_List[[#This Row],[Chassis]]&amp;"S"&amp;TEXT(tbl_IO_List[[#This Row],[Slot]],"00")</f>
        <v>C7S02</v>
      </c>
      <c r="Y920" s="136" t="str">
        <f>tbl_IO_List[[#This Row],[Chassis]]&amp;"S"&amp;TEXT(tbl_IO_List[[#This Row],[Slot]],"00")&amp;tbl_IO_List[[#This Row],[I/O Type]]&amp;TEXT(tbl_IO_List[[#This Row],[Point]],"00")</f>
        <v>C7S02DI20</v>
      </c>
      <c r="Z920" s="136" t="str">
        <f>tbl_IO_List[[#This Row],[Chassis]]&amp;"S"&amp;TEXT(tbl_IO_List[[#This Row],[Slot]],"00")&amp;","&amp;TEXT(tbl_IO_List[[#This Row],[Point]],"00")</f>
        <v>C7S02,20</v>
      </c>
      <c r="AA920" s="136" t="e">
        <f>VLOOKUP(tbl_IO_List[[#This Row],[Column23]],tbl_RackConfig[],5,FALSE) &amp;"-"&amp;tbl_IO_List[[#This Row],[Point]]</f>
        <v>#N/A</v>
      </c>
      <c r="AB920" s="136"/>
      <c r="AC920" s="136"/>
      <c r="AD920" s="136" t="str">
        <f>tbl_IO_List[[#This Row],[I/O Type]]</f>
        <v>DI</v>
      </c>
      <c r="AE920" s="136" t="s">
        <v>1368</v>
      </c>
      <c r="AF920" s="136">
        <v>2</v>
      </c>
      <c r="AG920" s="136">
        <v>20</v>
      </c>
      <c r="AH920" s="136"/>
      <c r="AI920" s="136"/>
      <c r="AJ920" s="136">
        <v>1</v>
      </c>
      <c r="AK920" s="136">
        <v>0</v>
      </c>
      <c r="AL920" s="136">
        <v>0</v>
      </c>
      <c r="AM920" s="136">
        <v>0</v>
      </c>
      <c r="AN920" s="136">
        <v>0</v>
      </c>
      <c r="AO920" s="136"/>
      <c r="AP920" s="143" t="str">
        <f>VLOOKUP(tbl_IO_List[[#This Row],[Instruement Tag]],tbl_Instruement_List[],14,FALSE)</f>
        <v>Dry Contact</v>
      </c>
      <c r="AQ920" s="143" t="str">
        <f>tbl_IO_List[[#This Row],[Chassis]]&amp;"S"&amp;tbl_IO_List[[#This Row],[Slot]]&amp;"-"&amp;tbl_IO_List[[#This Row],[Front Terminal Number]]</f>
        <v>C7S2-</v>
      </c>
      <c r="AR920" s="143"/>
      <c r="AS920" s="136" t="str">
        <f>tbl_IO_List[[#This Row],[Terminal Tagging]]&amp;"-"&amp;tbl_IO_List[[#This Row],[Point-Count]]</f>
        <v>-</v>
      </c>
      <c r="AT920" s="136" t="str">
        <f>tbl_IO_List[[#This Row],[Front Terminal Tagging]]&amp;"/"&amp;tbl_IO_List[[#This Row],[Terminal Tagging-Item]]</f>
        <v>C7S2-/-</v>
      </c>
      <c r="AU920" s="136" t="str">
        <f>tbl_IO_List[[#This Row],[Terminal Tagging-Item]]&amp;"/"&amp;tbl_IO_List[[#This Row],[Front Terminal Tagging]]</f>
        <v>-/C7S2-</v>
      </c>
    </row>
    <row r="921" spans="1:47" hidden="1">
      <c r="A921" s="136" t="s">
        <v>1307</v>
      </c>
      <c r="B921" s="136" t="s">
        <v>1307</v>
      </c>
      <c r="C921" s="136" t="str">
        <f>tbl_IO_List[[#This Row],[Column3]]</f>
        <v>C7S02,21</v>
      </c>
      <c r="D921" s="136" t="e">
        <f>tbl_IO_List[[#This Row],[Card]]</f>
        <v>#N/A</v>
      </c>
      <c r="E921" s="136"/>
      <c r="F921" s="136" t="str">
        <f>tbl_IO_List[[#This Row],[Column23]]&amp;"-" &amp;tbl_IO_List[[#This Row],[Column52]]</f>
        <v>C7S02-</v>
      </c>
      <c r="G921" s="136" t="str">
        <f>tbl_IO_List[[#This Row],[PLC_Tag]]</f>
        <v>HS-61307H_DI_1</v>
      </c>
      <c r="H921" s="136"/>
      <c r="I921" s="136" t="str">
        <f>VLOOKUP(tbl_IO_List[[#This Row],[Destination]],tbl_Junction[],2,FALSE)</f>
        <v>MCC Room</v>
      </c>
      <c r="J921" s="136" t="s">
        <v>335</v>
      </c>
      <c r="K921" s="136" t="s">
        <v>66</v>
      </c>
      <c r="L921" s="136" t="s">
        <v>337</v>
      </c>
      <c r="M921" s="136">
        <f>VLOOKUP(tbl_IO_List[[#This Row],[Instruement Tag]],tbl_Instruement_List[],2,FALSE)</f>
        <v>0</v>
      </c>
      <c r="N921" s="136" t="s">
        <v>28</v>
      </c>
      <c r="O921" s="136" t="s">
        <v>67</v>
      </c>
      <c r="P921" s="136" t="s">
        <v>68</v>
      </c>
      <c r="Q921" s="136" t="str">
        <f>VLOOKUP(tbl_IO_List[[#This Row],[Instruement Tag]],tbl_Instruement_List[],6,FALSE)</f>
        <v>Start/Stop</v>
      </c>
      <c r="R921" s="136"/>
      <c r="S92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21" s="136" t="str">
        <f>tbl_IO_List[[#This Row],[Instruement Tag]]&amp;"_"&amp;tbl_IO_List[[#This Row],[I/O Type]]&amp;"_"&amp;tbl_IO_List[[#This Row],[IO-Point 
(Instruement)]]</f>
        <v>HS-61307H_DI_1</v>
      </c>
      <c r="U921" s="136" t="s">
        <v>8</v>
      </c>
      <c r="V921" s="136">
        <f>VLOOKUP(tbl_IO_List[[#This Row],[I/O Type]],tbl_Slot_Group[],2,FALSE)</f>
        <v>1</v>
      </c>
      <c r="W921" s="136">
        <v>1</v>
      </c>
      <c r="X921" s="136" t="str">
        <f>tbl_IO_List[[#This Row],[Chassis]]&amp;"S"&amp;TEXT(tbl_IO_List[[#This Row],[Slot]],"00")</f>
        <v>C7S02</v>
      </c>
      <c r="Y921" s="136" t="str">
        <f>tbl_IO_List[[#This Row],[Chassis]]&amp;"S"&amp;TEXT(tbl_IO_List[[#This Row],[Slot]],"00")&amp;tbl_IO_List[[#This Row],[I/O Type]]&amp;TEXT(tbl_IO_List[[#This Row],[Point]],"00")</f>
        <v>C7S02DI21</v>
      </c>
      <c r="Z921" s="136" t="str">
        <f>tbl_IO_List[[#This Row],[Chassis]]&amp;"S"&amp;TEXT(tbl_IO_List[[#This Row],[Slot]],"00")&amp;","&amp;TEXT(tbl_IO_List[[#This Row],[Point]],"00")</f>
        <v>C7S02,21</v>
      </c>
      <c r="AA921" s="136" t="e">
        <f>VLOOKUP(tbl_IO_List[[#This Row],[Column23]],tbl_RackConfig[],5,FALSE) &amp;"-"&amp;tbl_IO_List[[#This Row],[Point]]</f>
        <v>#N/A</v>
      </c>
      <c r="AB921" s="136"/>
      <c r="AC921" s="136"/>
      <c r="AD921" s="136" t="str">
        <f>tbl_IO_List[[#This Row],[I/O Type]]</f>
        <v>DI</v>
      </c>
      <c r="AE921" s="136" t="s">
        <v>1368</v>
      </c>
      <c r="AF921" s="136">
        <v>2</v>
      </c>
      <c r="AG921" s="136">
        <v>21</v>
      </c>
      <c r="AH921" s="136"/>
      <c r="AI921" s="136"/>
      <c r="AJ921" s="136">
        <v>1</v>
      </c>
      <c r="AK921" s="136">
        <v>0</v>
      </c>
      <c r="AL921" s="136">
        <v>0</v>
      </c>
      <c r="AM921" s="136">
        <v>0</v>
      </c>
      <c r="AN921" s="136">
        <v>0</v>
      </c>
      <c r="AO921" s="136"/>
      <c r="AP921" s="143" t="str">
        <f>VLOOKUP(tbl_IO_List[[#This Row],[Instruement Tag]],tbl_Instruement_List[],14,FALSE)</f>
        <v>Dry Contact</v>
      </c>
      <c r="AQ921" s="143" t="str">
        <f>tbl_IO_List[[#This Row],[Chassis]]&amp;"S"&amp;tbl_IO_List[[#This Row],[Slot]]&amp;"-"&amp;tbl_IO_List[[#This Row],[Front Terminal Number]]</f>
        <v>C7S2-</v>
      </c>
      <c r="AR921" s="143"/>
      <c r="AS921" s="136" t="str">
        <f>tbl_IO_List[[#This Row],[Terminal Tagging]]&amp;"-"&amp;tbl_IO_List[[#This Row],[Point-Count]]</f>
        <v>-</v>
      </c>
      <c r="AT921" s="136" t="str">
        <f>tbl_IO_List[[#This Row],[Front Terminal Tagging]]&amp;"/"&amp;tbl_IO_List[[#This Row],[Terminal Tagging-Item]]</f>
        <v>C7S2-/-</v>
      </c>
      <c r="AU921" s="136" t="str">
        <f>tbl_IO_List[[#This Row],[Terminal Tagging-Item]]&amp;"/"&amp;tbl_IO_List[[#This Row],[Front Terminal Tagging]]</f>
        <v>-/C7S2-</v>
      </c>
    </row>
    <row r="922" spans="1:47" hidden="1">
      <c r="A922" s="136" t="s">
        <v>1307</v>
      </c>
      <c r="B922" s="136" t="s">
        <v>1307</v>
      </c>
      <c r="C922" s="136" t="str">
        <f>tbl_IO_List[[#This Row],[Column3]]</f>
        <v>C7S02,22</v>
      </c>
      <c r="D922" s="136" t="e">
        <f>tbl_IO_List[[#This Row],[Card]]</f>
        <v>#N/A</v>
      </c>
      <c r="E922" s="136"/>
      <c r="F922" s="136" t="str">
        <f>tbl_IO_List[[#This Row],[Column23]]&amp;"-" &amp;tbl_IO_List[[#This Row],[Column52]]</f>
        <v>C7S02-</v>
      </c>
      <c r="G922" s="136" t="str">
        <f>tbl_IO_List[[#This Row],[PLC_Tag]]</f>
        <v>HS-61307I_DI_1</v>
      </c>
      <c r="H922" s="136"/>
      <c r="I922" s="136" t="str">
        <f>VLOOKUP(tbl_IO_List[[#This Row],[Destination]],tbl_Junction[],2,FALSE)</f>
        <v>MCC Room</v>
      </c>
      <c r="J922" s="136" t="s">
        <v>335</v>
      </c>
      <c r="K922" s="136" t="s">
        <v>66</v>
      </c>
      <c r="L922" s="136" t="s">
        <v>338</v>
      </c>
      <c r="M922" s="136">
        <f>VLOOKUP(tbl_IO_List[[#This Row],[Instruement Tag]],tbl_Instruement_List[],2,FALSE)</f>
        <v>0</v>
      </c>
      <c r="N922" s="136" t="s">
        <v>15</v>
      </c>
      <c r="O922" s="136" t="s">
        <v>67</v>
      </c>
      <c r="P922" s="136" t="s">
        <v>68</v>
      </c>
      <c r="Q922" s="136" t="str">
        <f>VLOOKUP(tbl_IO_List[[#This Row],[Instruement Tag]],tbl_Instruement_List[],6,FALSE)</f>
        <v>Start/Stop</v>
      </c>
      <c r="R922" s="136"/>
      <c r="S92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22" s="136" t="str">
        <f>tbl_IO_List[[#This Row],[Instruement Tag]]&amp;"_"&amp;tbl_IO_List[[#This Row],[I/O Type]]&amp;"_"&amp;tbl_IO_List[[#This Row],[IO-Point 
(Instruement)]]</f>
        <v>HS-61307I_DI_1</v>
      </c>
      <c r="U922" s="136" t="s">
        <v>8</v>
      </c>
      <c r="V922" s="136">
        <f>VLOOKUP(tbl_IO_List[[#This Row],[I/O Type]],tbl_Slot_Group[],2,FALSE)</f>
        <v>1</v>
      </c>
      <c r="W922" s="136">
        <v>1</v>
      </c>
      <c r="X922" s="136" t="str">
        <f>tbl_IO_List[[#This Row],[Chassis]]&amp;"S"&amp;TEXT(tbl_IO_List[[#This Row],[Slot]],"00")</f>
        <v>C7S02</v>
      </c>
      <c r="Y922" s="136" t="str">
        <f>tbl_IO_List[[#This Row],[Chassis]]&amp;"S"&amp;TEXT(tbl_IO_List[[#This Row],[Slot]],"00")&amp;tbl_IO_List[[#This Row],[I/O Type]]&amp;TEXT(tbl_IO_List[[#This Row],[Point]],"00")</f>
        <v>C7S02DI22</v>
      </c>
      <c r="Z922" s="136" t="str">
        <f>tbl_IO_List[[#This Row],[Chassis]]&amp;"S"&amp;TEXT(tbl_IO_List[[#This Row],[Slot]],"00")&amp;","&amp;TEXT(tbl_IO_List[[#This Row],[Point]],"00")</f>
        <v>C7S02,22</v>
      </c>
      <c r="AA922" s="136" t="e">
        <f>VLOOKUP(tbl_IO_List[[#This Row],[Column23]],tbl_RackConfig[],5,FALSE) &amp;"-"&amp;tbl_IO_List[[#This Row],[Point]]</f>
        <v>#N/A</v>
      </c>
      <c r="AB922" s="136"/>
      <c r="AC922" s="136"/>
      <c r="AD922" s="136" t="str">
        <f>tbl_IO_List[[#This Row],[I/O Type]]</f>
        <v>DI</v>
      </c>
      <c r="AE922" s="136" t="s">
        <v>1368</v>
      </c>
      <c r="AF922" s="136">
        <v>2</v>
      </c>
      <c r="AG922" s="136">
        <v>22</v>
      </c>
      <c r="AH922" s="136"/>
      <c r="AI922" s="136"/>
      <c r="AJ922" s="136">
        <v>1</v>
      </c>
      <c r="AK922" s="136">
        <v>0</v>
      </c>
      <c r="AL922" s="136">
        <v>0</v>
      </c>
      <c r="AM922" s="136">
        <v>0</v>
      </c>
      <c r="AN922" s="136">
        <v>0</v>
      </c>
      <c r="AO922" s="136"/>
      <c r="AP922" s="143" t="str">
        <f>VLOOKUP(tbl_IO_List[[#This Row],[Instruement Tag]],tbl_Instruement_List[],14,FALSE)</f>
        <v>Dry Contact</v>
      </c>
      <c r="AQ922" s="143" t="str">
        <f>tbl_IO_List[[#This Row],[Chassis]]&amp;"S"&amp;tbl_IO_List[[#This Row],[Slot]]&amp;"-"&amp;tbl_IO_List[[#This Row],[Front Terminal Number]]</f>
        <v>C7S2-</v>
      </c>
      <c r="AR922" s="143"/>
      <c r="AS922" s="136" t="str">
        <f>tbl_IO_List[[#This Row],[Terminal Tagging]]&amp;"-"&amp;tbl_IO_List[[#This Row],[Point-Count]]</f>
        <v>-</v>
      </c>
      <c r="AT922" s="136" t="str">
        <f>tbl_IO_List[[#This Row],[Front Terminal Tagging]]&amp;"/"&amp;tbl_IO_List[[#This Row],[Terminal Tagging-Item]]</f>
        <v>C7S2-/-</v>
      </c>
      <c r="AU922" s="136" t="str">
        <f>tbl_IO_List[[#This Row],[Terminal Tagging-Item]]&amp;"/"&amp;tbl_IO_List[[#This Row],[Front Terminal Tagging]]</f>
        <v>-/C7S2-</v>
      </c>
    </row>
    <row r="923" spans="1:47" hidden="1">
      <c r="A923" s="136" t="s">
        <v>1307</v>
      </c>
      <c r="B923" s="136" t="s">
        <v>1307</v>
      </c>
      <c r="C923" s="136" t="str">
        <f>tbl_IO_List[[#This Row],[Column3]]</f>
        <v>C7S02,23</v>
      </c>
      <c r="D923" s="136" t="e">
        <f>tbl_IO_List[[#This Row],[Card]]</f>
        <v>#N/A</v>
      </c>
      <c r="E923" s="136"/>
      <c r="F923" s="136" t="str">
        <f>tbl_IO_List[[#This Row],[Column23]]&amp;"-" &amp;tbl_IO_List[[#This Row],[Column52]]</f>
        <v>C7S02-</v>
      </c>
      <c r="G923" s="136" t="str">
        <f>tbl_IO_List[[#This Row],[PLC_Tag]]</f>
        <v>HS-61307J_DI_1</v>
      </c>
      <c r="H923" s="136"/>
      <c r="I923" s="136" t="str">
        <f>VLOOKUP(tbl_IO_List[[#This Row],[Destination]],tbl_Junction[],2,FALSE)</f>
        <v>MCC Room</v>
      </c>
      <c r="J923" s="136" t="s">
        <v>335</v>
      </c>
      <c r="K923" s="136" t="s">
        <v>66</v>
      </c>
      <c r="L923" s="136" t="s">
        <v>339</v>
      </c>
      <c r="M923" s="136">
        <f>VLOOKUP(tbl_IO_List[[#This Row],[Instruement Tag]],tbl_Instruement_List[],2,FALSE)</f>
        <v>0</v>
      </c>
      <c r="N923" s="136" t="s">
        <v>15</v>
      </c>
      <c r="O923" s="136" t="s">
        <v>67</v>
      </c>
      <c r="P923" s="136" t="s">
        <v>68</v>
      </c>
      <c r="Q923" s="136" t="str">
        <f>VLOOKUP(tbl_IO_List[[#This Row],[Instruement Tag]],tbl_Instruement_List[],6,FALSE)</f>
        <v>Start/Stop</v>
      </c>
      <c r="R923" s="136"/>
      <c r="S92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23" s="136" t="str">
        <f>tbl_IO_List[[#This Row],[Instruement Tag]]&amp;"_"&amp;tbl_IO_List[[#This Row],[I/O Type]]&amp;"_"&amp;tbl_IO_List[[#This Row],[IO-Point 
(Instruement)]]</f>
        <v>HS-61307J_DI_1</v>
      </c>
      <c r="U923" s="136" t="s">
        <v>8</v>
      </c>
      <c r="V923" s="136">
        <f>VLOOKUP(tbl_IO_List[[#This Row],[I/O Type]],tbl_Slot_Group[],2,FALSE)</f>
        <v>1</v>
      </c>
      <c r="W923" s="136">
        <v>1</v>
      </c>
      <c r="X923" s="136" t="str">
        <f>tbl_IO_List[[#This Row],[Chassis]]&amp;"S"&amp;TEXT(tbl_IO_List[[#This Row],[Slot]],"00")</f>
        <v>C7S02</v>
      </c>
      <c r="Y923" s="136" t="str">
        <f>tbl_IO_List[[#This Row],[Chassis]]&amp;"S"&amp;TEXT(tbl_IO_List[[#This Row],[Slot]],"00")&amp;tbl_IO_List[[#This Row],[I/O Type]]&amp;TEXT(tbl_IO_List[[#This Row],[Point]],"00")</f>
        <v>C7S02DI23</v>
      </c>
      <c r="Z923" s="136" t="str">
        <f>tbl_IO_List[[#This Row],[Chassis]]&amp;"S"&amp;TEXT(tbl_IO_List[[#This Row],[Slot]],"00")&amp;","&amp;TEXT(tbl_IO_List[[#This Row],[Point]],"00")</f>
        <v>C7S02,23</v>
      </c>
      <c r="AA923" s="136" t="e">
        <f>VLOOKUP(tbl_IO_List[[#This Row],[Column23]],tbl_RackConfig[],5,FALSE) &amp;"-"&amp;tbl_IO_List[[#This Row],[Point]]</f>
        <v>#N/A</v>
      </c>
      <c r="AB923" s="136"/>
      <c r="AC923" s="136"/>
      <c r="AD923" s="136" t="str">
        <f>tbl_IO_List[[#This Row],[I/O Type]]</f>
        <v>DI</v>
      </c>
      <c r="AE923" s="136" t="s">
        <v>1368</v>
      </c>
      <c r="AF923" s="136">
        <v>2</v>
      </c>
      <c r="AG923" s="136">
        <v>23</v>
      </c>
      <c r="AH923" s="136"/>
      <c r="AI923" s="136"/>
      <c r="AJ923" s="136">
        <v>1</v>
      </c>
      <c r="AK923" s="136">
        <v>0</v>
      </c>
      <c r="AL923" s="136">
        <v>0</v>
      </c>
      <c r="AM923" s="136">
        <v>0</v>
      </c>
      <c r="AN923" s="136">
        <v>0</v>
      </c>
      <c r="AO923" s="136"/>
      <c r="AP923" s="143" t="str">
        <f>VLOOKUP(tbl_IO_List[[#This Row],[Instruement Tag]],tbl_Instruement_List[],14,FALSE)</f>
        <v>Dry Contact</v>
      </c>
      <c r="AQ923" s="143" t="str">
        <f>tbl_IO_List[[#This Row],[Chassis]]&amp;"S"&amp;tbl_IO_List[[#This Row],[Slot]]&amp;"-"&amp;tbl_IO_List[[#This Row],[Front Terminal Number]]</f>
        <v>C7S2-</v>
      </c>
      <c r="AR923" s="143"/>
      <c r="AS923" s="136" t="str">
        <f>tbl_IO_List[[#This Row],[Terminal Tagging]]&amp;"-"&amp;tbl_IO_List[[#This Row],[Point-Count]]</f>
        <v>-</v>
      </c>
      <c r="AT923" s="136" t="str">
        <f>tbl_IO_List[[#This Row],[Front Terminal Tagging]]&amp;"/"&amp;tbl_IO_List[[#This Row],[Terminal Tagging-Item]]</f>
        <v>C7S2-/-</v>
      </c>
      <c r="AU923" s="136" t="str">
        <f>tbl_IO_List[[#This Row],[Terminal Tagging-Item]]&amp;"/"&amp;tbl_IO_List[[#This Row],[Front Terminal Tagging]]</f>
        <v>-/C7S2-</v>
      </c>
    </row>
    <row r="924" spans="1:47" hidden="1">
      <c r="A924" s="136" t="s">
        <v>1307</v>
      </c>
      <c r="B924" s="136" t="s">
        <v>1307</v>
      </c>
      <c r="C924" s="136" t="str">
        <f>tbl_IO_List[[#This Row],[Column3]]</f>
        <v>C7S02,24</v>
      </c>
      <c r="D924" s="136" t="e">
        <f>tbl_IO_List[[#This Row],[Card]]</f>
        <v>#N/A</v>
      </c>
      <c r="E924" s="136"/>
      <c r="F924" s="136" t="str">
        <f>tbl_IO_List[[#This Row],[Column23]]&amp;"-" &amp;tbl_IO_List[[#This Row],[Column52]]</f>
        <v>C7S02-</v>
      </c>
      <c r="G924" s="136" t="str">
        <f>tbl_IO_List[[#This Row],[PLC_Tag]]</f>
        <v>HS-61307K_DI_1</v>
      </c>
      <c r="H924" s="136"/>
      <c r="I924" s="136" t="str">
        <f>VLOOKUP(tbl_IO_List[[#This Row],[Destination]],tbl_Junction[],2,FALSE)</f>
        <v>MCC Room</v>
      </c>
      <c r="J924" s="136" t="s">
        <v>335</v>
      </c>
      <c r="K924" s="136" t="s">
        <v>66</v>
      </c>
      <c r="L924" s="136" t="s">
        <v>340</v>
      </c>
      <c r="M924" s="136">
        <f>VLOOKUP(tbl_IO_List[[#This Row],[Instruement Tag]],tbl_Instruement_List[],2,FALSE)</f>
        <v>0</v>
      </c>
      <c r="N924" s="136" t="s">
        <v>15</v>
      </c>
      <c r="O924" s="136" t="s">
        <v>67</v>
      </c>
      <c r="P924" s="136" t="s">
        <v>68</v>
      </c>
      <c r="Q924" s="136" t="str">
        <f>VLOOKUP(tbl_IO_List[[#This Row],[Instruement Tag]],tbl_Instruement_List[],6,FALSE)</f>
        <v>Start/Stop</v>
      </c>
      <c r="R924" s="136"/>
      <c r="S92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24" s="136" t="str">
        <f>tbl_IO_List[[#This Row],[Instruement Tag]]&amp;"_"&amp;tbl_IO_List[[#This Row],[I/O Type]]&amp;"_"&amp;tbl_IO_List[[#This Row],[IO-Point 
(Instruement)]]</f>
        <v>HS-61307K_DI_1</v>
      </c>
      <c r="U924" s="136" t="s">
        <v>8</v>
      </c>
      <c r="V924" s="136">
        <f>VLOOKUP(tbl_IO_List[[#This Row],[I/O Type]],tbl_Slot_Group[],2,FALSE)</f>
        <v>1</v>
      </c>
      <c r="W924" s="136">
        <v>1</v>
      </c>
      <c r="X924" s="136" t="str">
        <f>tbl_IO_List[[#This Row],[Chassis]]&amp;"S"&amp;TEXT(tbl_IO_List[[#This Row],[Slot]],"00")</f>
        <v>C7S02</v>
      </c>
      <c r="Y924" s="136" t="str">
        <f>tbl_IO_List[[#This Row],[Chassis]]&amp;"S"&amp;TEXT(tbl_IO_List[[#This Row],[Slot]],"00")&amp;tbl_IO_List[[#This Row],[I/O Type]]&amp;TEXT(tbl_IO_List[[#This Row],[Point]],"00")</f>
        <v>C7S02DI24</v>
      </c>
      <c r="Z924" s="136" t="str">
        <f>tbl_IO_List[[#This Row],[Chassis]]&amp;"S"&amp;TEXT(tbl_IO_List[[#This Row],[Slot]],"00")&amp;","&amp;TEXT(tbl_IO_List[[#This Row],[Point]],"00")</f>
        <v>C7S02,24</v>
      </c>
      <c r="AA924" s="136" t="e">
        <f>VLOOKUP(tbl_IO_List[[#This Row],[Column23]],tbl_RackConfig[],5,FALSE) &amp;"-"&amp;tbl_IO_List[[#This Row],[Point]]</f>
        <v>#N/A</v>
      </c>
      <c r="AB924" s="136"/>
      <c r="AC924" s="136"/>
      <c r="AD924" s="136" t="str">
        <f>tbl_IO_List[[#This Row],[I/O Type]]</f>
        <v>DI</v>
      </c>
      <c r="AE924" s="136" t="s">
        <v>1368</v>
      </c>
      <c r="AF924" s="136">
        <v>2</v>
      </c>
      <c r="AG924" s="136">
        <v>24</v>
      </c>
      <c r="AH924" s="136"/>
      <c r="AI924" s="136"/>
      <c r="AJ924" s="136">
        <v>1</v>
      </c>
      <c r="AK924" s="136">
        <v>0</v>
      </c>
      <c r="AL924" s="136">
        <v>0</v>
      </c>
      <c r="AM924" s="136">
        <v>0</v>
      </c>
      <c r="AN924" s="136">
        <v>0</v>
      </c>
      <c r="AO924" s="136"/>
      <c r="AP924" s="143" t="str">
        <f>VLOOKUP(tbl_IO_List[[#This Row],[Instruement Tag]],tbl_Instruement_List[],14,FALSE)</f>
        <v>Dry Contact</v>
      </c>
      <c r="AQ924" s="143" t="str">
        <f>tbl_IO_List[[#This Row],[Chassis]]&amp;"S"&amp;tbl_IO_List[[#This Row],[Slot]]&amp;"-"&amp;tbl_IO_List[[#This Row],[Front Terminal Number]]</f>
        <v>C7S2-</v>
      </c>
      <c r="AR924" s="143"/>
      <c r="AS924" s="136" t="str">
        <f>tbl_IO_List[[#This Row],[Terminal Tagging]]&amp;"-"&amp;tbl_IO_List[[#This Row],[Point-Count]]</f>
        <v>-</v>
      </c>
      <c r="AT924" s="136" t="str">
        <f>tbl_IO_List[[#This Row],[Front Terminal Tagging]]&amp;"/"&amp;tbl_IO_List[[#This Row],[Terminal Tagging-Item]]</f>
        <v>C7S2-/-</v>
      </c>
      <c r="AU924" s="136" t="str">
        <f>tbl_IO_List[[#This Row],[Terminal Tagging-Item]]&amp;"/"&amp;tbl_IO_List[[#This Row],[Front Terminal Tagging]]</f>
        <v>-/C7S2-</v>
      </c>
    </row>
    <row r="925" spans="1:47" hidden="1">
      <c r="A925" s="136" t="s">
        <v>1307</v>
      </c>
      <c r="B925" s="136" t="s">
        <v>1307</v>
      </c>
      <c r="C925" s="136" t="str">
        <f>tbl_IO_List[[#This Row],[Column3]]</f>
        <v>C7S02,25</v>
      </c>
      <c r="D925" s="136" t="e">
        <f>tbl_IO_List[[#This Row],[Card]]</f>
        <v>#N/A</v>
      </c>
      <c r="E925" s="136"/>
      <c r="F925" s="136" t="str">
        <f>tbl_IO_List[[#This Row],[Column23]]&amp;"-" &amp;tbl_IO_List[[#This Row],[Column52]]</f>
        <v>C7S02-</v>
      </c>
      <c r="G925" s="136" t="str">
        <f>tbl_IO_List[[#This Row],[PLC_Tag]]</f>
        <v>HS-61307L_DI_1</v>
      </c>
      <c r="H925" s="136"/>
      <c r="I925" s="136" t="str">
        <f>VLOOKUP(tbl_IO_List[[#This Row],[Destination]],tbl_Junction[],2,FALSE)</f>
        <v>MCC Room</v>
      </c>
      <c r="J925" s="136" t="s">
        <v>335</v>
      </c>
      <c r="K925" s="136" t="s">
        <v>66</v>
      </c>
      <c r="L925" s="136" t="s">
        <v>341</v>
      </c>
      <c r="M925" s="136">
        <f>VLOOKUP(tbl_IO_List[[#This Row],[Instruement Tag]],tbl_Instruement_List[],2,FALSE)</f>
        <v>0</v>
      </c>
      <c r="N925" s="136" t="s">
        <v>15</v>
      </c>
      <c r="O925" s="136" t="s">
        <v>67</v>
      </c>
      <c r="P925" s="136" t="s">
        <v>68</v>
      </c>
      <c r="Q925" s="136" t="str">
        <f>VLOOKUP(tbl_IO_List[[#This Row],[Instruement Tag]],tbl_Instruement_List[],6,FALSE)</f>
        <v>Start/Stop</v>
      </c>
      <c r="R925" s="136"/>
      <c r="S92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25" s="136" t="str">
        <f>tbl_IO_List[[#This Row],[Instruement Tag]]&amp;"_"&amp;tbl_IO_List[[#This Row],[I/O Type]]&amp;"_"&amp;tbl_IO_List[[#This Row],[IO-Point 
(Instruement)]]</f>
        <v>HS-61307L_DI_1</v>
      </c>
      <c r="U925" s="136" t="s">
        <v>8</v>
      </c>
      <c r="V925" s="136">
        <f>VLOOKUP(tbl_IO_List[[#This Row],[I/O Type]],tbl_Slot_Group[],2,FALSE)</f>
        <v>1</v>
      </c>
      <c r="W925" s="136">
        <v>1</v>
      </c>
      <c r="X925" s="136" t="str">
        <f>tbl_IO_List[[#This Row],[Chassis]]&amp;"S"&amp;TEXT(tbl_IO_List[[#This Row],[Slot]],"00")</f>
        <v>C7S02</v>
      </c>
      <c r="Y925" s="136" t="str">
        <f>tbl_IO_List[[#This Row],[Chassis]]&amp;"S"&amp;TEXT(tbl_IO_List[[#This Row],[Slot]],"00")&amp;tbl_IO_List[[#This Row],[I/O Type]]&amp;TEXT(tbl_IO_List[[#This Row],[Point]],"00")</f>
        <v>C7S02DI25</v>
      </c>
      <c r="Z925" s="136" t="str">
        <f>tbl_IO_List[[#This Row],[Chassis]]&amp;"S"&amp;TEXT(tbl_IO_List[[#This Row],[Slot]],"00")&amp;","&amp;TEXT(tbl_IO_List[[#This Row],[Point]],"00")</f>
        <v>C7S02,25</v>
      </c>
      <c r="AA925" s="136" t="e">
        <f>VLOOKUP(tbl_IO_List[[#This Row],[Column23]],tbl_RackConfig[],5,FALSE) &amp;"-"&amp;tbl_IO_List[[#This Row],[Point]]</f>
        <v>#N/A</v>
      </c>
      <c r="AB925" s="136"/>
      <c r="AC925" s="136"/>
      <c r="AD925" s="136" t="str">
        <f>tbl_IO_List[[#This Row],[I/O Type]]</f>
        <v>DI</v>
      </c>
      <c r="AE925" s="136" t="s">
        <v>1368</v>
      </c>
      <c r="AF925" s="136">
        <v>2</v>
      </c>
      <c r="AG925" s="136">
        <v>25</v>
      </c>
      <c r="AH925" s="136"/>
      <c r="AI925" s="136"/>
      <c r="AJ925" s="136">
        <v>1</v>
      </c>
      <c r="AK925" s="136">
        <v>0</v>
      </c>
      <c r="AL925" s="136">
        <v>0</v>
      </c>
      <c r="AM925" s="136">
        <v>0</v>
      </c>
      <c r="AN925" s="136">
        <v>0</v>
      </c>
      <c r="AO925" s="136"/>
      <c r="AP925" s="143" t="str">
        <f>VLOOKUP(tbl_IO_List[[#This Row],[Instruement Tag]],tbl_Instruement_List[],14,FALSE)</f>
        <v>Dry Contact</v>
      </c>
      <c r="AQ925" s="143" t="str">
        <f>tbl_IO_List[[#This Row],[Chassis]]&amp;"S"&amp;tbl_IO_List[[#This Row],[Slot]]&amp;"-"&amp;tbl_IO_List[[#This Row],[Front Terminal Number]]</f>
        <v>C7S2-</v>
      </c>
      <c r="AR925" s="143"/>
      <c r="AS925" s="136" t="str">
        <f>tbl_IO_List[[#This Row],[Terminal Tagging]]&amp;"-"&amp;tbl_IO_List[[#This Row],[Point-Count]]</f>
        <v>-</v>
      </c>
      <c r="AT925" s="136" t="str">
        <f>tbl_IO_List[[#This Row],[Front Terminal Tagging]]&amp;"/"&amp;tbl_IO_List[[#This Row],[Terminal Tagging-Item]]</f>
        <v>C7S2-/-</v>
      </c>
      <c r="AU925" s="136" t="str">
        <f>tbl_IO_List[[#This Row],[Terminal Tagging-Item]]&amp;"/"&amp;tbl_IO_List[[#This Row],[Front Terminal Tagging]]</f>
        <v>-/C7S2-</v>
      </c>
    </row>
    <row r="926" spans="1:47" hidden="1">
      <c r="A926" s="136" t="s">
        <v>1307</v>
      </c>
      <c r="B926" s="136" t="s">
        <v>1307</v>
      </c>
      <c r="C926" s="136" t="str">
        <f>tbl_IO_List[[#This Row],[Column3]]</f>
        <v>C7S02,26</v>
      </c>
      <c r="D926" s="136" t="e">
        <f>tbl_IO_List[[#This Row],[Card]]</f>
        <v>#N/A</v>
      </c>
      <c r="E926" s="136"/>
      <c r="F926" s="136" t="str">
        <f>tbl_IO_List[[#This Row],[Column23]]&amp;"-" &amp;tbl_IO_List[[#This Row],[Column52]]</f>
        <v>C7S02-</v>
      </c>
      <c r="G926" s="136" t="str">
        <f>tbl_IO_List[[#This Row],[PLC_Tag]]</f>
        <v>HS-61307M_DI_1</v>
      </c>
      <c r="H926" s="136"/>
      <c r="I926" s="136" t="str">
        <f>VLOOKUP(tbl_IO_List[[#This Row],[Destination]],tbl_Junction[],2,FALSE)</f>
        <v>MCC Room</v>
      </c>
      <c r="J926" s="136" t="s">
        <v>335</v>
      </c>
      <c r="K926" s="136" t="s">
        <v>66</v>
      </c>
      <c r="L926" s="136" t="s">
        <v>342</v>
      </c>
      <c r="M926" s="136">
        <f>VLOOKUP(tbl_IO_List[[#This Row],[Instruement Tag]],tbl_Instruement_List[],2,FALSE)</f>
        <v>0</v>
      </c>
      <c r="N926" s="136" t="s">
        <v>15</v>
      </c>
      <c r="O926" s="136" t="s">
        <v>67</v>
      </c>
      <c r="P926" s="136" t="s">
        <v>68</v>
      </c>
      <c r="Q926" s="136" t="str">
        <f>VLOOKUP(tbl_IO_List[[#This Row],[Instruement Tag]],tbl_Instruement_List[],6,FALSE)</f>
        <v>Start/Stop</v>
      </c>
      <c r="R926" s="136"/>
      <c r="S92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26" s="136" t="str">
        <f>tbl_IO_List[[#This Row],[Instruement Tag]]&amp;"_"&amp;tbl_IO_List[[#This Row],[I/O Type]]&amp;"_"&amp;tbl_IO_List[[#This Row],[IO-Point 
(Instruement)]]</f>
        <v>HS-61307M_DI_1</v>
      </c>
      <c r="U926" s="136" t="s">
        <v>8</v>
      </c>
      <c r="V926" s="136">
        <f>VLOOKUP(tbl_IO_List[[#This Row],[I/O Type]],tbl_Slot_Group[],2,FALSE)</f>
        <v>1</v>
      </c>
      <c r="W926" s="136">
        <v>1</v>
      </c>
      <c r="X926" s="136" t="str">
        <f>tbl_IO_List[[#This Row],[Chassis]]&amp;"S"&amp;TEXT(tbl_IO_List[[#This Row],[Slot]],"00")</f>
        <v>C7S02</v>
      </c>
      <c r="Y926" s="136" t="str">
        <f>tbl_IO_List[[#This Row],[Chassis]]&amp;"S"&amp;TEXT(tbl_IO_List[[#This Row],[Slot]],"00")&amp;tbl_IO_List[[#This Row],[I/O Type]]&amp;TEXT(tbl_IO_List[[#This Row],[Point]],"00")</f>
        <v>C7S02DI26</v>
      </c>
      <c r="Z926" s="136" t="str">
        <f>tbl_IO_List[[#This Row],[Chassis]]&amp;"S"&amp;TEXT(tbl_IO_List[[#This Row],[Slot]],"00")&amp;","&amp;TEXT(tbl_IO_List[[#This Row],[Point]],"00")</f>
        <v>C7S02,26</v>
      </c>
      <c r="AA926" s="136" t="e">
        <f>VLOOKUP(tbl_IO_List[[#This Row],[Column23]],tbl_RackConfig[],5,FALSE) &amp;"-"&amp;tbl_IO_List[[#This Row],[Point]]</f>
        <v>#N/A</v>
      </c>
      <c r="AB926" s="136"/>
      <c r="AC926" s="136"/>
      <c r="AD926" s="136" t="str">
        <f>tbl_IO_List[[#This Row],[I/O Type]]</f>
        <v>DI</v>
      </c>
      <c r="AE926" s="136" t="s">
        <v>1368</v>
      </c>
      <c r="AF926" s="136">
        <v>2</v>
      </c>
      <c r="AG926" s="136">
        <v>26</v>
      </c>
      <c r="AH926" s="136"/>
      <c r="AI926" s="136"/>
      <c r="AJ926" s="136">
        <v>1</v>
      </c>
      <c r="AK926" s="136">
        <v>0</v>
      </c>
      <c r="AL926" s="136">
        <v>0</v>
      </c>
      <c r="AM926" s="136">
        <v>0</v>
      </c>
      <c r="AN926" s="136">
        <v>0</v>
      </c>
      <c r="AO926" s="136"/>
      <c r="AP926" s="143" t="str">
        <f>VLOOKUP(tbl_IO_List[[#This Row],[Instruement Tag]],tbl_Instruement_List[],14,FALSE)</f>
        <v>Dry Contact</v>
      </c>
      <c r="AQ926" s="143" t="str">
        <f>tbl_IO_List[[#This Row],[Chassis]]&amp;"S"&amp;tbl_IO_List[[#This Row],[Slot]]&amp;"-"&amp;tbl_IO_List[[#This Row],[Front Terminal Number]]</f>
        <v>C7S2-</v>
      </c>
      <c r="AR926" s="143"/>
      <c r="AS926" s="136" t="str">
        <f>tbl_IO_List[[#This Row],[Terminal Tagging]]&amp;"-"&amp;tbl_IO_List[[#This Row],[Point-Count]]</f>
        <v>-</v>
      </c>
      <c r="AT926" s="136" t="str">
        <f>tbl_IO_List[[#This Row],[Front Terminal Tagging]]&amp;"/"&amp;tbl_IO_List[[#This Row],[Terminal Tagging-Item]]</f>
        <v>C7S2-/-</v>
      </c>
      <c r="AU926" s="136" t="str">
        <f>tbl_IO_List[[#This Row],[Terminal Tagging-Item]]&amp;"/"&amp;tbl_IO_List[[#This Row],[Front Terminal Tagging]]</f>
        <v>-/C7S2-</v>
      </c>
    </row>
    <row r="927" spans="1:47" hidden="1">
      <c r="A927" s="136" t="s">
        <v>1307</v>
      </c>
      <c r="B927" s="136" t="s">
        <v>1307</v>
      </c>
      <c r="C927" s="136" t="str">
        <f>tbl_IO_List[[#This Row],[Column3]]</f>
        <v>C7S02,27</v>
      </c>
      <c r="D927" s="136" t="e">
        <f>tbl_IO_List[[#This Row],[Card]]</f>
        <v>#N/A</v>
      </c>
      <c r="E927" s="136"/>
      <c r="F927" s="136" t="str">
        <f>tbl_IO_List[[#This Row],[Column23]]&amp;"-" &amp;tbl_IO_List[[#This Row],[Column52]]</f>
        <v>C7S02-</v>
      </c>
      <c r="G927" s="136" t="str">
        <f>tbl_IO_List[[#This Row],[PLC_Tag]]</f>
        <v>HS-61307N_DI_1</v>
      </c>
      <c r="H927" s="136"/>
      <c r="I927" s="136" t="str">
        <f>VLOOKUP(tbl_IO_List[[#This Row],[Destination]],tbl_Junction[],2,FALSE)</f>
        <v>MCC Room</v>
      </c>
      <c r="J927" s="136" t="s">
        <v>335</v>
      </c>
      <c r="K927" s="136" t="s">
        <v>66</v>
      </c>
      <c r="L927" s="136" t="s">
        <v>343</v>
      </c>
      <c r="M927" s="136">
        <f>VLOOKUP(tbl_IO_List[[#This Row],[Instruement Tag]],tbl_Instruement_List[],2,FALSE)</f>
        <v>0</v>
      </c>
      <c r="N927" s="136" t="s">
        <v>15</v>
      </c>
      <c r="O927" s="136" t="s">
        <v>67</v>
      </c>
      <c r="P927" s="136" t="s">
        <v>68</v>
      </c>
      <c r="Q927" s="136" t="str">
        <f>VLOOKUP(tbl_IO_List[[#This Row],[Instruement Tag]],tbl_Instruement_List[],6,FALSE)</f>
        <v>Start/Stop</v>
      </c>
      <c r="R927" s="136"/>
      <c r="S92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27" s="136" t="str">
        <f>tbl_IO_List[[#This Row],[Instruement Tag]]&amp;"_"&amp;tbl_IO_List[[#This Row],[I/O Type]]&amp;"_"&amp;tbl_IO_List[[#This Row],[IO-Point 
(Instruement)]]</f>
        <v>HS-61307N_DI_1</v>
      </c>
      <c r="U927" s="136" t="s">
        <v>8</v>
      </c>
      <c r="V927" s="136">
        <f>VLOOKUP(tbl_IO_List[[#This Row],[I/O Type]],tbl_Slot_Group[],2,FALSE)</f>
        <v>1</v>
      </c>
      <c r="W927" s="136">
        <v>1</v>
      </c>
      <c r="X927" s="136" t="str">
        <f>tbl_IO_List[[#This Row],[Chassis]]&amp;"S"&amp;TEXT(tbl_IO_List[[#This Row],[Slot]],"00")</f>
        <v>C7S02</v>
      </c>
      <c r="Y927" s="136" t="str">
        <f>tbl_IO_List[[#This Row],[Chassis]]&amp;"S"&amp;TEXT(tbl_IO_List[[#This Row],[Slot]],"00")&amp;tbl_IO_List[[#This Row],[I/O Type]]&amp;TEXT(tbl_IO_List[[#This Row],[Point]],"00")</f>
        <v>C7S02DI27</v>
      </c>
      <c r="Z927" s="136" t="str">
        <f>tbl_IO_List[[#This Row],[Chassis]]&amp;"S"&amp;TEXT(tbl_IO_List[[#This Row],[Slot]],"00")&amp;","&amp;TEXT(tbl_IO_List[[#This Row],[Point]],"00")</f>
        <v>C7S02,27</v>
      </c>
      <c r="AA927" s="136" t="e">
        <f>VLOOKUP(tbl_IO_List[[#This Row],[Column23]],tbl_RackConfig[],5,FALSE) &amp;"-"&amp;tbl_IO_List[[#This Row],[Point]]</f>
        <v>#N/A</v>
      </c>
      <c r="AB927" s="136"/>
      <c r="AC927" s="136"/>
      <c r="AD927" s="136" t="str">
        <f>tbl_IO_List[[#This Row],[I/O Type]]</f>
        <v>DI</v>
      </c>
      <c r="AE927" s="136" t="s">
        <v>1368</v>
      </c>
      <c r="AF927" s="136">
        <v>2</v>
      </c>
      <c r="AG927" s="136">
        <v>27</v>
      </c>
      <c r="AH927" s="136"/>
      <c r="AI927" s="136"/>
      <c r="AJ927" s="136">
        <v>1</v>
      </c>
      <c r="AK927" s="136">
        <v>0</v>
      </c>
      <c r="AL927" s="136">
        <v>0</v>
      </c>
      <c r="AM927" s="136">
        <v>0</v>
      </c>
      <c r="AN927" s="136">
        <v>0</v>
      </c>
      <c r="AO927" s="136"/>
      <c r="AP927" s="143" t="str">
        <f>VLOOKUP(tbl_IO_List[[#This Row],[Instruement Tag]],tbl_Instruement_List[],14,FALSE)</f>
        <v>Dry Contact</v>
      </c>
      <c r="AQ927" s="143" t="str">
        <f>tbl_IO_List[[#This Row],[Chassis]]&amp;"S"&amp;tbl_IO_List[[#This Row],[Slot]]&amp;"-"&amp;tbl_IO_List[[#This Row],[Front Terminal Number]]</f>
        <v>C7S2-</v>
      </c>
      <c r="AR927" s="143"/>
      <c r="AS927" s="136" t="str">
        <f>tbl_IO_List[[#This Row],[Terminal Tagging]]&amp;"-"&amp;tbl_IO_List[[#This Row],[Point-Count]]</f>
        <v>-</v>
      </c>
      <c r="AT927" s="136" t="str">
        <f>tbl_IO_List[[#This Row],[Front Terminal Tagging]]&amp;"/"&amp;tbl_IO_List[[#This Row],[Terminal Tagging-Item]]</f>
        <v>C7S2-/-</v>
      </c>
      <c r="AU927" s="136" t="str">
        <f>tbl_IO_List[[#This Row],[Terminal Tagging-Item]]&amp;"/"&amp;tbl_IO_List[[#This Row],[Front Terminal Tagging]]</f>
        <v>-/C7S2-</v>
      </c>
    </row>
    <row r="928" spans="1:47" hidden="1">
      <c r="A928" s="136" t="s">
        <v>1307</v>
      </c>
      <c r="B928" s="136" t="s">
        <v>1307</v>
      </c>
      <c r="C928" s="136" t="str">
        <f>tbl_IO_List[[#This Row],[Column3]]</f>
        <v>C7S02,28</v>
      </c>
      <c r="D928" s="136" t="e">
        <f>tbl_IO_List[[#This Row],[Card]]</f>
        <v>#N/A</v>
      </c>
      <c r="E928" s="136"/>
      <c r="F928" s="136" t="str">
        <f>tbl_IO_List[[#This Row],[Column23]]&amp;"-" &amp;tbl_IO_List[[#This Row],[Column52]]</f>
        <v>C7S02-</v>
      </c>
      <c r="G928" s="136" t="str">
        <f>tbl_IO_List[[#This Row],[PLC_Tag]]</f>
        <v>HS-61307O_DI_1</v>
      </c>
      <c r="H928" s="136"/>
      <c r="I928" s="136" t="str">
        <f>VLOOKUP(tbl_IO_List[[#This Row],[Destination]],tbl_Junction[],2,FALSE)</f>
        <v>MCC Room</v>
      </c>
      <c r="J928" s="136" t="s">
        <v>335</v>
      </c>
      <c r="K928" s="136" t="s">
        <v>66</v>
      </c>
      <c r="L928" s="136" t="s">
        <v>344</v>
      </c>
      <c r="M928" s="136">
        <f>VLOOKUP(tbl_IO_List[[#This Row],[Instruement Tag]],tbl_Instruement_List[],2,FALSE)</f>
        <v>0</v>
      </c>
      <c r="N928" s="136" t="s">
        <v>15</v>
      </c>
      <c r="O928" s="136" t="s">
        <v>67</v>
      </c>
      <c r="P928" s="136" t="s">
        <v>68</v>
      </c>
      <c r="Q928" s="136" t="str">
        <f>VLOOKUP(tbl_IO_List[[#This Row],[Instruement Tag]],tbl_Instruement_List[],6,FALSE)</f>
        <v>Start/Stop</v>
      </c>
      <c r="R928" s="136"/>
      <c r="S92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28" s="136" t="str">
        <f>tbl_IO_List[[#This Row],[Instruement Tag]]&amp;"_"&amp;tbl_IO_List[[#This Row],[I/O Type]]&amp;"_"&amp;tbl_IO_List[[#This Row],[IO-Point 
(Instruement)]]</f>
        <v>HS-61307O_DI_1</v>
      </c>
      <c r="U928" s="136" t="s">
        <v>8</v>
      </c>
      <c r="V928" s="136">
        <f>VLOOKUP(tbl_IO_List[[#This Row],[I/O Type]],tbl_Slot_Group[],2,FALSE)</f>
        <v>1</v>
      </c>
      <c r="W928" s="136">
        <v>1</v>
      </c>
      <c r="X928" s="136" t="str">
        <f>tbl_IO_List[[#This Row],[Chassis]]&amp;"S"&amp;TEXT(tbl_IO_List[[#This Row],[Slot]],"00")</f>
        <v>C7S02</v>
      </c>
      <c r="Y928" s="136" t="str">
        <f>tbl_IO_List[[#This Row],[Chassis]]&amp;"S"&amp;TEXT(tbl_IO_List[[#This Row],[Slot]],"00")&amp;tbl_IO_List[[#This Row],[I/O Type]]&amp;TEXT(tbl_IO_List[[#This Row],[Point]],"00")</f>
        <v>C7S02DI28</v>
      </c>
      <c r="Z928" s="136" t="str">
        <f>tbl_IO_List[[#This Row],[Chassis]]&amp;"S"&amp;TEXT(tbl_IO_List[[#This Row],[Slot]],"00")&amp;","&amp;TEXT(tbl_IO_List[[#This Row],[Point]],"00")</f>
        <v>C7S02,28</v>
      </c>
      <c r="AA928" s="136" t="e">
        <f>VLOOKUP(tbl_IO_List[[#This Row],[Column23]],tbl_RackConfig[],5,FALSE) &amp;"-"&amp;tbl_IO_List[[#This Row],[Point]]</f>
        <v>#N/A</v>
      </c>
      <c r="AB928" s="136"/>
      <c r="AC928" s="136"/>
      <c r="AD928" s="136" t="str">
        <f>tbl_IO_List[[#This Row],[I/O Type]]</f>
        <v>DI</v>
      </c>
      <c r="AE928" s="136" t="s">
        <v>1368</v>
      </c>
      <c r="AF928" s="136">
        <v>2</v>
      </c>
      <c r="AG928" s="136">
        <v>28</v>
      </c>
      <c r="AH928" s="136"/>
      <c r="AI928" s="136"/>
      <c r="AJ928" s="136">
        <v>1</v>
      </c>
      <c r="AK928" s="136">
        <v>0</v>
      </c>
      <c r="AL928" s="136">
        <v>0</v>
      </c>
      <c r="AM928" s="136">
        <v>0</v>
      </c>
      <c r="AN928" s="136">
        <v>0</v>
      </c>
      <c r="AO928" s="136"/>
      <c r="AP928" s="143" t="str">
        <f>VLOOKUP(tbl_IO_List[[#This Row],[Instruement Tag]],tbl_Instruement_List[],14,FALSE)</f>
        <v>Dry Contact</v>
      </c>
      <c r="AQ928" s="143" t="str">
        <f>tbl_IO_List[[#This Row],[Chassis]]&amp;"S"&amp;tbl_IO_List[[#This Row],[Slot]]&amp;"-"&amp;tbl_IO_List[[#This Row],[Front Terminal Number]]</f>
        <v>C7S2-</v>
      </c>
      <c r="AR928" s="143"/>
      <c r="AS928" s="136" t="str">
        <f>tbl_IO_List[[#This Row],[Terminal Tagging]]&amp;"-"&amp;tbl_IO_List[[#This Row],[Point-Count]]</f>
        <v>-</v>
      </c>
      <c r="AT928" s="136" t="str">
        <f>tbl_IO_List[[#This Row],[Front Terminal Tagging]]&amp;"/"&amp;tbl_IO_List[[#This Row],[Terminal Tagging-Item]]</f>
        <v>C7S2-/-</v>
      </c>
      <c r="AU928" s="136" t="str">
        <f>tbl_IO_List[[#This Row],[Terminal Tagging-Item]]&amp;"/"&amp;tbl_IO_List[[#This Row],[Front Terminal Tagging]]</f>
        <v>-/C7S2-</v>
      </c>
    </row>
    <row r="929" spans="1:47" hidden="1">
      <c r="A929" s="136" t="s">
        <v>1307</v>
      </c>
      <c r="B929" s="136" t="s">
        <v>1307</v>
      </c>
      <c r="C929" s="136" t="str">
        <f>tbl_IO_List[[#This Row],[Column3]]</f>
        <v>C7S02,29</v>
      </c>
      <c r="D929" s="136" t="e">
        <f>tbl_IO_List[[#This Row],[Card]]</f>
        <v>#N/A</v>
      </c>
      <c r="E929" s="136"/>
      <c r="F929" s="136" t="str">
        <f>tbl_IO_List[[#This Row],[Column23]]&amp;"-" &amp;tbl_IO_List[[#This Row],[Column52]]</f>
        <v>C7S02-</v>
      </c>
      <c r="G929" s="136" t="str">
        <f>tbl_IO_List[[#This Row],[PLC_Tag]]</f>
        <v>HS-61307P_DI_1</v>
      </c>
      <c r="H929" s="136"/>
      <c r="I929" s="136" t="str">
        <f>VLOOKUP(tbl_IO_List[[#This Row],[Destination]],tbl_Junction[],2,FALSE)</f>
        <v>MCC Room</v>
      </c>
      <c r="J929" s="136" t="s">
        <v>335</v>
      </c>
      <c r="K929" s="136" t="s">
        <v>66</v>
      </c>
      <c r="L929" s="136" t="s">
        <v>345</v>
      </c>
      <c r="M929" s="136">
        <f>VLOOKUP(tbl_IO_List[[#This Row],[Instruement Tag]],tbl_Instruement_List[],2,FALSE)</f>
        <v>0</v>
      </c>
      <c r="N929" s="136" t="s">
        <v>15</v>
      </c>
      <c r="O929" s="136" t="s">
        <v>67</v>
      </c>
      <c r="P929" s="136" t="s">
        <v>68</v>
      </c>
      <c r="Q929" s="136" t="str">
        <f>VLOOKUP(tbl_IO_List[[#This Row],[Instruement Tag]],tbl_Instruement_List[],6,FALSE)</f>
        <v>Start/Stop</v>
      </c>
      <c r="R929" s="136"/>
      <c r="S92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29" s="136" t="str">
        <f>tbl_IO_List[[#This Row],[Instruement Tag]]&amp;"_"&amp;tbl_IO_List[[#This Row],[I/O Type]]&amp;"_"&amp;tbl_IO_List[[#This Row],[IO-Point 
(Instruement)]]</f>
        <v>HS-61307P_DI_1</v>
      </c>
      <c r="U929" s="136" t="s">
        <v>8</v>
      </c>
      <c r="V929" s="136">
        <f>VLOOKUP(tbl_IO_List[[#This Row],[I/O Type]],tbl_Slot_Group[],2,FALSE)</f>
        <v>1</v>
      </c>
      <c r="W929" s="136">
        <v>1</v>
      </c>
      <c r="X929" s="136" t="str">
        <f>tbl_IO_List[[#This Row],[Chassis]]&amp;"S"&amp;TEXT(tbl_IO_List[[#This Row],[Slot]],"00")</f>
        <v>C7S02</v>
      </c>
      <c r="Y929" s="136" t="str">
        <f>tbl_IO_List[[#This Row],[Chassis]]&amp;"S"&amp;TEXT(tbl_IO_List[[#This Row],[Slot]],"00")&amp;tbl_IO_List[[#This Row],[I/O Type]]&amp;TEXT(tbl_IO_List[[#This Row],[Point]],"00")</f>
        <v>C7S02DI29</v>
      </c>
      <c r="Z929" s="136" t="str">
        <f>tbl_IO_List[[#This Row],[Chassis]]&amp;"S"&amp;TEXT(tbl_IO_List[[#This Row],[Slot]],"00")&amp;","&amp;TEXT(tbl_IO_List[[#This Row],[Point]],"00")</f>
        <v>C7S02,29</v>
      </c>
      <c r="AA929" s="136" t="e">
        <f>VLOOKUP(tbl_IO_List[[#This Row],[Column23]],tbl_RackConfig[],5,FALSE) &amp;"-"&amp;tbl_IO_List[[#This Row],[Point]]</f>
        <v>#N/A</v>
      </c>
      <c r="AB929" s="136"/>
      <c r="AC929" s="136"/>
      <c r="AD929" s="136" t="str">
        <f>tbl_IO_List[[#This Row],[I/O Type]]</f>
        <v>DI</v>
      </c>
      <c r="AE929" s="136" t="s">
        <v>1368</v>
      </c>
      <c r="AF929" s="136">
        <v>2</v>
      </c>
      <c r="AG929" s="136">
        <v>29</v>
      </c>
      <c r="AH929" s="136"/>
      <c r="AI929" s="136"/>
      <c r="AJ929" s="136">
        <v>1</v>
      </c>
      <c r="AK929" s="136">
        <v>0</v>
      </c>
      <c r="AL929" s="136">
        <v>0</v>
      </c>
      <c r="AM929" s="136">
        <v>0</v>
      </c>
      <c r="AN929" s="136">
        <v>0</v>
      </c>
      <c r="AO929" s="136"/>
      <c r="AP929" s="143" t="str">
        <f>VLOOKUP(tbl_IO_List[[#This Row],[Instruement Tag]],tbl_Instruement_List[],14,FALSE)</f>
        <v>Dry Contact</v>
      </c>
      <c r="AQ929" s="143" t="str">
        <f>tbl_IO_List[[#This Row],[Chassis]]&amp;"S"&amp;tbl_IO_List[[#This Row],[Slot]]&amp;"-"&amp;tbl_IO_List[[#This Row],[Front Terminal Number]]</f>
        <v>C7S2-</v>
      </c>
      <c r="AR929" s="143"/>
      <c r="AS929" s="136" t="str">
        <f>tbl_IO_List[[#This Row],[Terminal Tagging]]&amp;"-"&amp;tbl_IO_List[[#This Row],[Point-Count]]</f>
        <v>-</v>
      </c>
      <c r="AT929" s="136" t="str">
        <f>tbl_IO_List[[#This Row],[Front Terminal Tagging]]&amp;"/"&amp;tbl_IO_List[[#This Row],[Terminal Tagging-Item]]</f>
        <v>C7S2-/-</v>
      </c>
      <c r="AU929" s="136" t="str">
        <f>tbl_IO_List[[#This Row],[Terminal Tagging-Item]]&amp;"/"&amp;tbl_IO_List[[#This Row],[Front Terminal Tagging]]</f>
        <v>-/C7S2-</v>
      </c>
    </row>
    <row r="930" spans="1:47" hidden="1">
      <c r="A930" s="136" t="s">
        <v>1307</v>
      </c>
      <c r="B930" s="136" t="s">
        <v>1307</v>
      </c>
      <c r="C930" s="136" t="str">
        <f>tbl_IO_List[[#This Row],[Column3]]</f>
        <v>C7S02,30</v>
      </c>
      <c r="D930" s="136" t="e">
        <f>tbl_IO_List[[#This Row],[Card]]</f>
        <v>#N/A</v>
      </c>
      <c r="E930" s="136"/>
      <c r="F930" s="136" t="str">
        <f>tbl_IO_List[[#This Row],[Column23]]&amp;"-" &amp;tbl_IO_List[[#This Row],[Column52]]</f>
        <v>C7S02-</v>
      </c>
      <c r="G930" s="136" t="str">
        <f>tbl_IO_List[[#This Row],[PLC_Tag]]</f>
        <v>HS-61307Q_DI_1</v>
      </c>
      <c r="H930" s="136"/>
      <c r="I930" s="136" t="str">
        <f>VLOOKUP(tbl_IO_List[[#This Row],[Destination]],tbl_Junction[],2,FALSE)</f>
        <v>MCC Room</v>
      </c>
      <c r="J930" s="136" t="s">
        <v>335</v>
      </c>
      <c r="K930" s="136" t="s">
        <v>66</v>
      </c>
      <c r="L930" s="136" t="s">
        <v>346</v>
      </c>
      <c r="M930" s="136">
        <f>VLOOKUP(tbl_IO_List[[#This Row],[Instruement Tag]],tbl_Instruement_List[],2,FALSE)</f>
        <v>0</v>
      </c>
      <c r="N930" s="136" t="s">
        <v>15</v>
      </c>
      <c r="O930" s="136" t="s">
        <v>67</v>
      </c>
      <c r="P930" s="136" t="s">
        <v>68</v>
      </c>
      <c r="Q930" s="136" t="str">
        <f>VLOOKUP(tbl_IO_List[[#This Row],[Instruement Tag]],tbl_Instruement_List[],6,FALSE)</f>
        <v>Start/Stop</v>
      </c>
      <c r="R930" s="136"/>
      <c r="S93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30" s="136" t="str">
        <f>tbl_IO_List[[#This Row],[Instruement Tag]]&amp;"_"&amp;tbl_IO_List[[#This Row],[I/O Type]]&amp;"_"&amp;tbl_IO_List[[#This Row],[IO-Point 
(Instruement)]]</f>
        <v>HS-61307Q_DI_1</v>
      </c>
      <c r="U930" s="136" t="s">
        <v>8</v>
      </c>
      <c r="V930" s="136">
        <f>VLOOKUP(tbl_IO_List[[#This Row],[I/O Type]],tbl_Slot_Group[],2,FALSE)</f>
        <v>1</v>
      </c>
      <c r="W930" s="136">
        <v>1</v>
      </c>
      <c r="X930" s="136" t="str">
        <f>tbl_IO_List[[#This Row],[Chassis]]&amp;"S"&amp;TEXT(tbl_IO_List[[#This Row],[Slot]],"00")</f>
        <v>C7S02</v>
      </c>
      <c r="Y930" s="136" t="str">
        <f>tbl_IO_List[[#This Row],[Chassis]]&amp;"S"&amp;TEXT(tbl_IO_List[[#This Row],[Slot]],"00")&amp;tbl_IO_List[[#This Row],[I/O Type]]&amp;TEXT(tbl_IO_List[[#This Row],[Point]],"00")</f>
        <v>C7S02DI30</v>
      </c>
      <c r="Z930" s="136" t="str">
        <f>tbl_IO_List[[#This Row],[Chassis]]&amp;"S"&amp;TEXT(tbl_IO_List[[#This Row],[Slot]],"00")&amp;","&amp;TEXT(tbl_IO_List[[#This Row],[Point]],"00")</f>
        <v>C7S02,30</v>
      </c>
      <c r="AA930" s="136" t="e">
        <f>VLOOKUP(tbl_IO_List[[#This Row],[Column23]],tbl_RackConfig[],5,FALSE) &amp;"-"&amp;tbl_IO_List[[#This Row],[Point]]</f>
        <v>#N/A</v>
      </c>
      <c r="AB930" s="136"/>
      <c r="AC930" s="136"/>
      <c r="AD930" s="136" t="str">
        <f>tbl_IO_List[[#This Row],[I/O Type]]</f>
        <v>DI</v>
      </c>
      <c r="AE930" s="136" t="s">
        <v>1368</v>
      </c>
      <c r="AF930" s="136">
        <v>2</v>
      </c>
      <c r="AG930" s="136">
        <v>30</v>
      </c>
      <c r="AH930" s="136"/>
      <c r="AI930" s="136"/>
      <c r="AJ930" s="136">
        <v>1</v>
      </c>
      <c r="AK930" s="136">
        <v>0</v>
      </c>
      <c r="AL930" s="136">
        <v>0</v>
      </c>
      <c r="AM930" s="136">
        <v>0</v>
      </c>
      <c r="AN930" s="136">
        <v>0</v>
      </c>
      <c r="AO930" s="136"/>
      <c r="AP930" s="143" t="str">
        <f>VLOOKUP(tbl_IO_List[[#This Row],[Instruement Tag]],tbl_Instruement_List[],14,FALSE)</f>
        <v>Dry Contact</v>
      </c>
      <c r="AQ930" s="143" t="str">
        <f>tbl_IO_List[[#This Row],[Chassis]]&amp;"S"&amp;tbl_IO_List[[#This Row],[Slot]]&amp;"-"&amp;tbl_IO_List[[#This Row],[Front Terminal Number]]</f>
        <v>C7S2-</v>
      </c>
      <c r="AR930" s="143"/>
      <c r="AS930" s="136" t="str">
        <f>tbl_IO_List[[#This Row],[Terminal Tagging]]&amp;"-"&amp;tbl_IO_List[[#This Row],[Point-Count]]</f>
        <v>-</v>
      </c>
      <c r="AT930" s="136" t="str">
        <f>tbl_IO_List[[#This Row],[Front Terminal Tagging]]&amp;"/"&amp;tbl_IO_List[[#This Row],[Terminal Tagging-Item]]</f>
        <v>C7S2-/-</v>
      </c>
      <c r="AU930" s="136" t="str">
        <f>tbl_IO_List[[#This Row],[Terminal Tagging-Item]]&amp;"/"&amp;tbl_IO_List[[#This Row],[Front Terminal Tagging]]</f>
        <v>-/C7S2-</v>
      </c>
    </row>
    <row r="931" spans="1:47" hidden="1">
      <c r="A931" s="136" t="s">
        <v>1307</v>
      </c>
      <c r="B931" s="136" t="s">
        <v>1307</v>
      </c>
      <c r="C931" s="136" t="str">
        <f>tbl_IO_List[[#This Row],[Column3]]</f>
        <v>C7S02,31</v>
      </c>
      <c r="D931" s="136" t="e">
        <f>tbl_IO_List[[#This Row],[Card]]</f>
        <v>#N/A</v>
      </c>
      <c r="E931" s="136"/>
      <c r="F931" s="136" t="str">
        <f>tbl_IO_List[[#This Row],[Column23]]&amp;"-" &amp;tbl_IO_List[[#This Row],[Column52]]</f>
        <v>C7S02-</v>
      </c>
      <c r="G931" s="136" t="str">
        <f>tbl_IO_List[[#This Row],[PLC_Tag]]</f>
        <v>HS-61307R_DI_1</v>
      </c>
      <c r="H931" s="136"/>
      <c r="I931" s="136" t="str">
        <f>VLOOKUP(tbl_IO_List[[#This Row],[Destination]],tbl_Junction[],2,FALSE)</f>
        <v>MCC Room</v>
      </c>
      <c r="J931" s="136" t="s">
        <v>335</v>
      </c>
      <c r="K931" s="136" t="s">
        <v>66</v>
      </c>
      <c r="L931" s="136" t="s">
        <v>347</v>
      </c>
      <c r="M931" s="136">
        <f>VLOOKUP(tbl_IO_List[[#This Row],[Instruement Tag]],tbl_Instruement_List[],2,FALSE)</f>
        <v>0</v>
      </c>
      <c r="N931" s="136" t="s">
        <v>15</v>
      </c>
      <c r="O931" s="136" t="s">
        <v>67</v>
      </c>
      <c r="P931" s="136" t="s">
        <v>68</v>
      </c>
      <c r="Q931" s="136" t="str">
        <f>VLOOKUP(tbl_IO_List[[#This Row],[Instruement Tag]],tbl_Instruement_List[],6,FALSE)</f>
        <v>Start/Stop</v>
      </c>
      <c r="R931" s="136"/>
      <c r="S93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31" s="136" t="str">
        <f>tbl_IO_List[[#This Row],[Instruement Tag]]&amp;"_"&amp;tbl_IO_List[[#This Row],[I/O Type]]&amp;"_"&amp;tbl_IO_List[[#This Row],[IO-Point 
(Instruement)]]</f>
        <v>HS-61307R_DI_1</v>
      </c>
      <c r="U931" s="136" t="s">
        <v>8</v>
      </c>
      <c r="V931" s="136">
        <f>VLOOKUP(tbl_IO_List[[#This Row],[I/O Type]],tbl_Slot_Group[],2,FALSE)</f>
        <v>1</v>
      </c>
      <c r="W931" s="136">
        <v>1</v>
      </c>
      <c r="X931" s="136" t="str">
        <f>tbl_IO_List[[#This Row],[Chassis]]&amp;"S"&amp;TEXT(tbl_IO_List[[#This Row],[Slot]],"00")</f>
        <v>C7S02</v>
      </c>
      <c r="Y931" s="136" t="str">
        <f>tbl_IO_List[[#This Row],[Chassis]]&amp;"S"&amp;TEXT(tbl_IO_List[[#This Row],[Slot]],"00")&amp;tbl_IO_List[[#This Row],[I/O Type]]&amp;TEXT(tbl_IO_List[[#This Row],[Point]],"00")</f>
        <v>C7S02DI31</v>
      </c>
      <c r="Z931" s="136" t="str">
        <f>tbl_IO_List[[#This Row],[Chassis]]&amp;"S"&amp;TEXT(tbl_IO_List[[#This Row],[Slot]],"00")&amp;","&amp;TEXT(tbl_IO_List[[#This Row],[Point]],"00")</f>
        <v>C7S02,31</v>
      </c>
      <c r="AA931" s="136" t="e">
        <f>VLOOKUP(tbl_IO_List[[#This Row],[Column23]],tbl_RackConfig[],5,FALSE) &amp;"-"&amp;tbl_IO_List[[#This Row],[Point]]</f>
        <v>#N/A</v>
      </c>
      <c r="AB931" s="136"/>
      <c r="AC931" s="136"/>
      <c r="AD931" s="136" t="str">
        <f>tbl_IO_List[[#This Row],[I/O Type]]</f>
        <v>DI</v>
      </c>
      <c r="AE931" s="136" t="s">
        <v>1368</v>
      </c>
      <c r="AF931" s="136">
        <v>2</v>
      </c>
      <c r="AG931" s="136">
        <v>31</v>
      </c>
      <c r="AH931" s="136"/>
      <c r="AI931" s="136"/>
      <c r="AJ931" s="136">
        <v>1</v>
      </c>
      <c r="AK931" s="136">
        <v>0</v>
      </c>
      <c r="AL931" s="136">
        <v>0</v>
      </c>
      <c r="AM931" s="136">
        <v>0</v>
      </c>
      <c r="AN931" s="136">
        <v>0</v>
      </c>
      <c r="AO931" s="136"/>
      <c r="AP931" s="143" t="str">
        <f>VLOOKUP(tbl_IO_List[[#This Row],[Instruement Tag]],tbl_Instruement_List[],14,FALSE)</f>
        <v>Dry Contact</v>
      </c>
      <c r="AQ931" s="143" t="str">
        <f>tbl_IO_List[[#This Row],[Chassis]]&amp;"S"&amp;tbl_IO_List[[#This Row],[Slot]]&amp;"-"&amp;tbl_IO_List[[#This Row],[Front Terminal Number]]</f>
        <v>C7S2-</v>
      </c>
      <c r="AR931" s="143"/>
      <c r="AS931" s="136" t="str">
        <f>tbl_IO_List[[#This Row],[Terminal Tagging]]&amp;"-"&amp;tbl_IO_List[[#This Row],[Point-Count]]</f>
        <v>-</v>
      </c>
      <c r="AT931" s="136" t="str">
        <f>tbl_IO_List[[#This Row],[Front Terminal Tagging]]&amp;"/"&amp;tbl_IO_List[[#This Row],[Terminal Tagging-Item]]</f>
        <v>C7S2-/-</v>
      </c>
      <c r="AU931" s="136" t="str">
        <f>tbl_IO_List[[#This Row],[Terminal Tagging-Item]]&amp;"/"&amp;tbl_IO_List[[#This Row],[Front Terminal Tagging]]</f>
        <v>-/C7S2-</v>
      </c>
    </row>
    <row r="932" spans="1:47" hidden="1">
      <c r="A932" s="136" t="s">
        <v>1307</v>
      </c>
      <c r="B932" s="136" t="s">
        <v>1307</v>
      </c>
      <c r="C932" s="136" t="str">
        <f>tbl_IO_List[[#This Row],[Column3]]</f>
        <v>C7S03,00</v>
      </c>
      <c r="D932" s="136" t="e">
        <f>tbl_IO_List[[#This Row],[Card]]</f>
        <v>#N/A</v>
      </c>
      <c r="E932" s="136"/>
      <c r="F932" s="136" t="str">
        <f>tbl_IO_List[[#This Row],[Column23]]&amp;"-" &amp;tbl_IO_List[[#This Row],[Column52]]</f>
        <v>C7S03-</v>
      </c>
      <c r="G932" s="136" t="str">
        <f>tbl_IO_List[[#This Row],[PLC_Tag]]</f>
        <v>RVM-61302_DI_1</v>
      </c>
      <c r="H932" s="136"/>
      <c r="I932" s="136" t="str">
        <f>VLOOKUP(tbl_IO_List[[#This Row],[Destination]],tbl_Junction[],2,FALSE)</f>
        <v>MCC Room</v>
      </c>
      <c r="J932" s="136" t="s">
        <v>335</v>
      </c>
      <c r="K932" s="136" t="s">
        <v>66</v>
      </c>
      <c r="L932" s="136" t="s">
        <v>908</v>
      </c>
      <c r="M932" s="136">
        <f>VLOOKUP(tbl_IO_List[[#This Row],[Instruement Tag]],tbl_Instruement_List[],2,FALSE)</f>
        <v>0</v>
      </c>
      <c r="N932" s="136" t="s">
        <v>15</v>
      </c>
      <c r="O932" s="136" t="s">
        <v>67</v>
      </c>
      <c r="P932" s="136" t="s">
        <v>18</v>
      </c>
      <c r="Q932" s="136" t="str">
        <f>VLOOKUP(tbl_IO_List[[#This Row],[Instruement Tag]],tbl_Instruement_List[],6,FALSE)</f>
        <v xml:space="preserve"> Start / Stop Command for FVNR RV-61302</v>
      </c>
      <c r="R932" s="136"/>
      <c r="S93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932" s="136" t="str">
        <f>tbl_IO_List[[#This Row],[Instruement Tag]]&amp;"_"&amp;tbl_IO_List[[#This Row],[I/O Type]]&amp;"_"&amp;tbl_IO_List[[#This Row],[IO-Point 
(Instruement)]]</f>
        <v>RVM-61302_DI_1</v>
      </c>
      <c r="U932" s="136" t="s">
        <v>8</v>
      </c>
      <c r="V932" s="136">
        <f>VLOOKUP(tbl_IO_List[[#This Row],[I/O Type]],tbl_Slot_Group[],2,FALSE)</f>
        <v>1</v>
      </c>
      <c r="W932" s="136">
        <v>1</v>
      </c>
      <c r="X932" s="136" t="str">
        <f>tbl_IO_List[[#This Row],[Chassis]]&amp;"S"&amp;TEXT(tbl_IO_List[[#This Row],[Slot]],"00")</f>
        <v>C7S03</v>
      </c>
      <c r="Y932" s="136" t="str">
        <f>tbl_IO_List[[#This Row],[Chassis]]&amp;"S"&amp;TEXT(tbl_IO_List[[#This Row],[Slot]],"00")&amp;tbl_IO_List[[#This Row],[I/O Type]]&amp;TEXT(tbl_IO_List[[#This Row],[Point]],"00")</f>
        <v>C7S03DI00</v>
      </c>
      <c r="Z932" s="136" t="str">
        <f>tbl_IO_List[[#This Row],[Chassis]]&amp;"S"&amp;TEXT(tbl_IO_List[[#This Row],[Slot]],"00")&amp;","&amp;TEXT(tbl_IO_List[[#This Row],[Point]],"00")</f>
        <v>C7S03,00</v>
      </c>
      <c r="AA932" s="136" t="e">
        <f>VLOOKUP(tbl_IO_List[[#This Row],[Column23]],tbl_RackConfig[],5,FALSE) &amp;"-"&amp;tbl_IO_List[[#This Row],[Point]]</f>
        <v>#N/A</v>
      </c>
      <c r="AB932" s="136"/>
      <c r="AC932" s="136"/>
      <c r="AD932" s="136" t="str">
        <f>tbl_IO_List[[#This Row],[I/O Type]]</f>
        <v>DI</v>
      </c>
      <c r="AE932" s="136" t="s">
        <v>1368</v>
      </c>
      <c r="AF932" s="136">
        <v>3</v>
      </c>
      <c r="AG932" s="136">
        <v>0</v>
      </c>
      <c r="AH932" s="136"/>
      <c r="AI932" s="136"/>
      <c r="AJ932" s="136">
        <v>2</v>
      </c>
      <c r="AK932" s="136">
        <v>2</v>
      </c>
      <c r="AL932" s="136">
        <v>0</v>
      </c>
      <c r="AM932" s="136">
        <v>0</v>
      </c>
      <c r="AN932" s="136">
        <v>0</v>
      </c>
      <c r="AO932" s="136"/>
      <c r="AP932" s="143" t="str">
        <f>VLOOKUP(tbl_IO_List[[#This Row],[Instruement Tag]],tbl_Instruement_List[],14,FALSE)</f>
        <v>24 VDC energized</v>
      </c>
      <c r="AQ932" s="143" t="str">
        <f>tbl_IO_List[[#This Row],[Chassis]]&amp;"S"&amp;tbl_IO_List[[#This Row],[Slot]]&amp;"-"&amp;tbl_IO_List[[#This Row],[Front Terminal Number]]</f>
        <v>C7S3-</v>
      </c>
      <c r="AR932" s="143"/>
      <c r="AS932" s="136" t="str">
        <f>tbl_IO_List[[#This Row],[Terminal Tagging]]&amp;"-"&amp;tbl_IO_List[[#This Row],[Point-Count]]</f>
        <v>-</v>
      </c>
      <c r="AT932" s="136" t="str">
        <f>tbl_IO_List[[#This Row],[Front Terminal Tagging]]&amp;"/"&amp;tbl_IO_List[[#This Row],[Terminal Tagging-Item]]</f>
        <v>C7S3-/-</v>
      </c>
      <c r="AU932" s="136" t="str">
        <f>tbl_IO_List[[#This Row],[Terminal Tagging-Item]]&amp;"/"&amp;tbl_IO_List[[#This Row],[Front Terminal Tagging]]</f>
        <v>-/C7S3-</v>
      </c>
    </row>
    <row r="933" spans="1:47" hidden="1">
      <c r="A933" s="136" t="s">
        <v>1307</v>
      </c>
      <c r="B933" s="136" t="s">
        <v>1307</v>
      </c>
      <c r="C933" s="136" t="str">
        <f>tbl_IO_List[[#This Row],[Column3]]</f>
        <v>C7S03,01</v>
      </c>
      <c r="D933" s="136" t="e">
        <f>tbl_IO_List[[#This Row],[Card]]</f>
        <v>#N/A</v>
      </c>
      <c r="E933" s="136"/>
      <c r="F933" s="136" t="str">
        <f>tbl_IO_List[[#This Row],[Column23]]&amp;"-" &amp;tbl_IO_List[[#This Row],[Column52]]</f>
        <v>C7S03-</v>
      </c>
      <c r="G933" s="136" t="str">
        <f>tbl_IO_List[[#This Row],[PLC_Tag]]</f>
        <v>RVM-61302_DI_2</v>
      </c>
      <c r="H933" s="136"/>
      <c r="I933" s="136" t="str">
        <f>VLOOKUP(tbl_IO_List[[#This Row],[Destination]],tbl_Junction[],2,FALSE)</f>
        <v>MCC Room</v>
      </c>
      <c r="J933" s="136" t="s">
        <v>335</v>
      </c>
      <c r="K933" s="136" t="s">
        <v>66</v>
      </c>
      <c r="L933" s="136" t="s">
        <v>908</v>
      </c>
      <c r="M933" s="136">
        <f>VLOOKUP(tbl_IO_List[[#This Row],[Instruement Tag]],tbl_Instruement_List[],2,FALSE)</f>
        <v>0</v>
      </c>
      <c r="N933" s="136" t="s">
        <v>15</v>
      </c>
      <c r="O933" s="136" t="s">
        <v>67</v>
      </c>
      <c r="P933" s="136" t="s">
        <v>18</v>
      </c>
      <c r="Q933" s="136" t="str">
        <f>VLOOKUP(tbl_IO_List[[#This Row],[Instruement Tag]],tbl_Instruement_List[],6,FALSE)</f>
        <v xml:space="preserve"> Start / Stop Command for FVNR RV-61302</v>
      </c>
      <c r="R933" s="136"/>
      <c r="S93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933" s="136" t="str">
        <f>tbl_IO_List[[#This Row],[Instruement Tag]]&amp;"_"&amp;tbl_IO_List[[#This Row],[I/O Type]]&amp;"_"&amp;tbl_IO_List[[#This Row],[IO-Point 
(Instruement)]]</f>
        <v>RVM-61302_DI_2</v>
      </c>
      <c r="U933" s="136" t="s">
        <v>8</v>
      </c>
      <c r="V933" s="136">
        <f>VLOOKUP(tbl_IO_List[[#This Row],[I/O Type]],tbl_Slot_Group[],2,FALSE)</f>
        <v>1</v>
      </c>
      <c r="W933" s="136">
        <v>2</v>
      </c>
      <c r="X933" s="136" t="str">
        <f>tbl_IO_List[[#This Row],[Chassis]]&amp;"S"&amp;TEXT(tbl_IO_List[[#This Row],[Slot]],"00")</f>
        <v>C7S03</v>
      </c>
      <c r="Y933" s="136" t="str">
        <f>tbl_IO_List[[#This Row],[Chassis]]&amp;"S"&amp;TEXT(tbl_IO_List[[#This Row],[Slot]],"00")&amp;tbl_IO_List[[#This Row],[I/O Type]]&amp;TEXT(tbl_IO_List[[#This Row],[Point]],"00")</f>
        <v>C7S03DI01</v>
      </c>
      <c r="Z933" s="136" t="str">
        <f>tbl_IO_List[[#This Row],[Chassis]]&amp;"S"&amp;TEXT(tbl_IO_List[[#This Row],[Slot]],"00")&amp;","&amp;TEXT(tbl_IO_List[[#This Row],[Point]],"00")</f>
        <v>C7S03,01</v>
      </c>
      <c r="AA933" s="136" t="e">
        <f>VLOOKUP(tbl_IO_List[[#This Row],[Column23]],tbl_RackConfig[],5,FALSE) &amp;"-"&amp;tbl_IO_List[[#This Row],[Point]]</f>
        <v>#N/A</v>
      </c>
      <c r="AB933" s="136"/>
      <c r="AC933" s="136"/>
      <c r="AD933" s="136" t="str">
        <f>tbl_IO_List[[#This Row],[I/O Type]]</f>
        <v>DI</v>
      </c>
      <c r="AE933" s="136" t="s">
        <v>1368</v>
      </c>
      <c r="AF933" s="136">
        <v>3</v>
      </c>
      <c r="AG933" s="136">
        <v>1</v>
      </c>
      <c r="AH933" s="136"/>
      <c r="AI933" s="136"/>
      <c r="AJ933" s="136">
        <v>2</v>
      </c>
      <c r="AK933" s="136">
        <v>2</v>
      </c>
      <c r="AL933" s="136">
        <v>0</v>
      </c>
      <c r="AM933" s="136">
        <v>0</v>
      </c>
      <c r="AN933" s="136">
        <v>0</v>
      </c>
      <c r="AO933" s="136"/>
      <c r="AP933" s="143" t="str">
        <f>VLOOKUP(tbl_IO_List[[#This Row],[Instruement Tag]],tbl_Instruement_List[],14,FALSE)</f>
        <v>24 VDC energized</v>
      </c>
      <c r="AQ933" s="143" t="str">
        <f>tbl_IO_List[[#This Row],[Chassis]]&amp;"S"&amp;tbl_IO_List[[#This Row],[Slot]]&amp;"-"&amp;tbl_IO_List[[#This Row],[Front Terminal Number]]</f>
        <v>C7S3-</v>
      </c>
      <c r="AR933" s="143"/>
      <c r="AS933" s="136" t="str">
        <f>tbl_IO_List[[#This Row],[Terminal Tagging]]&amp;"-"&amp;tbl_IO_List[[#This Row],[Point-Count]]</f>
        <v>-</v>
      </c>
      <c r="AT933" s="136" t="str">
        <f>tbl_IO_List[[#This Row],[Front Terminal Tagging]]&amp;"/"&amp;tbl_IO_List[[#This Row],[Terminal Tagging-Item]]</f>
        <v>C7S3-/-</v>
      </c>
      <c r="AU933" s="136" t="str">
        <f>tbl_IO_List[[#This Row],[Terminal Tagging-Item]]&amp;"/"&amp;tbl_IO_List[[#This Row],[Front Terminal Tagging]]</f>
        <v>-/C7S3-</v>
      </c>
    </row>
    <row r="934" spans="1:47" hidden="1">
      <c r="A934" s="136" t="s">
        <v>1307</v>
      </c>
      <c r="B934" s="136" t="s">
        <v>1307</v>
      </c>
      <c r="C934" s="136" t="str">
        <f>tbl_IO_List[[#This Row],[Column3]]</f>
        <v>C7S03,02</v>
      </c>
      <c r="D934" s="136" t="e">
        <f>tbl_IO_List[[#This Row],[Card]]</f>
        <v>#N/A</v>
      </c>
      <c r="E934" s="136"/>
      <c r="F934" s="136" t="str">
        <f>tbl_IO_List[[#This Row],[Column23]]&amp;"-" &amp;tbl_IO_List[[#This Row],[Column52]]</f>
        <v>C7S03-</v>
      </c>
      <c r="G934" s="136" t="str">
        <f>tbl_IO_List[[#This Row],[PLC_Tag]]</f>
        <v>RVM-61303_DI_1</v>
      </c>
      <c r="H934" s="136"/>
      <c r="I934" s="136" t="str">
        <f>VLOOKUP(tbl_IO_List[[#This Row],[Destination]],tbl_Junction[],2,FALSE)</f>
        <v>MCC Room</v>
      </c>
      <c r="J934" s="136" t="s">
        <v>335</v>
      </c>
      <c r="K934" s="136" t="s">
        <v>66</v>
      </c>
      <c r="L934" s="136" t="s">
        <v>910</v>
      </c>
      <c r="M934" s="136">
        <f>VLOOKUP(tbl_IO_List[[#This Row],[Instruement Tag]],tbl_Instruement_List[],2,FALSE)</f>
        <v>0</v>
      </c>
      <c r="N934" s="136" t="s">
        <v>15</v>
      </c>
      <c r="O934" s="136" t="s">
        <v>70</v>
      </c>
      <c r="P934" s="136" t="s">
        <v>18</v>
      </c>
      <c r="Q934" s="136" t="str">
        <f>VLOOKUP(tbl_IO_List[[#This Row],[Instruement Tag]],tbl_Instruement_List[],6,FALSE)</f>
        <v xml:space="preserve"> Start / Stop Command for FVNR RV-61303</v>
      </c>
      <c r="R934" s="136"/>
      <c r="S93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934" s="136" t="str">
        <f>tbl_IO_List[[#This Row],[Instruement Tag]]&amp;"_"&amp;tbl_IO_List[[#This Row],[I/O Type]]&amp;"_"&amp;tbl_IO_List[[#This Row],[IO-Point 
(Instruement)]]</f>
        <v>RVM-61303_DI_1</v>
      </c>
      <c r="U934" s="136" t="s">
        <v>8</v>
      </c>
      <c r="V934" s="136">
        <f>VLOOKUP(tbl_IO_List[[#This Row],[I/O Type]],tbl_Slot_Group[],2,FALSE)</f>
        <v>1</v>
      </c>
      <c r="W934" s="136">
        <v>1</v>
      </c>
      <c r="X934" s="136" t="str">
        <f>tbl_IO_List[[#This Row],[Chassis]]&amp;"S"&amp;TEXT(tbl_IO_List[[#This Row],[Slot]],"00")</f>
        <v>C7S03</v>
      </c>
      <c r="Y934" s="136" t="str">
        <f>tbl_IO_List[[#This Row],[Chassis]]&amp;"S"&amp;TEXT(tbl_IO_List[[#This Row],[Slot]],"00")&amp;tbl_IO_List[[#This Row],[I/O Type]]&amp;TEXT(tbl_IO_List[[#This Row],[Point]],"00")</f>
        <v>C7S03DI02</v>
      </c>
      <c r="Z934" s="136" t="str">
        <f>tbl_IO_List[[#This Row],[Chassis]]&amp;"S"&amp;TEXT(tbl_IO_List[[#This Row],[Slot]],"00")&amp;","&amp;TEXT(tbl_IO_List[[#This Row],[Point]],"00")</f>
        <v>C7S03,02</v>
      </c>
      <c r="AA934" s="136" t="e">
        <f>VLOOKUP(tbl_IO_List[[#This Row],[Column23]],tbl_RackConfig[],5,FALSE) &amp;"-"&amp;tbl_IO_List[[#This Row],[Point]]</f>
        <v>#N/A</v>
      </c>
      <c r="AB934" s="136"/>
      <c r="AC934" s="136"/>
      <c r="AD934" s="136" t="str">
        <f>tbl_IO_List[[#This Row],[I/O Type]]</f>
        <v>DI</v>
      </c>
      <c r="AE934" s="136" t="s">
        <v>1368</v>
      </c>
      <c r="AF934" s="136">
        <v>3</v>
      </c>
      <c r="AG934" s="136">
        <v>2</v>
      </c>
      <c r="AH934" s="136"/>
      <c r="AI934" s="136"/>
      <c r="AJ934" s="136">
        <v>2</v>
      </c>
      <c r="AK934" s="136">
        <v>2</v>
      </c>
      <c r="AL934" s="136">
        <v>0</v>
      </c>
      <c r="AM934" s="136">
        <v>0</v>
      </c>
      <c r="AN934" s="136">
        <v>0</v>
      </c>
      <c r="AO934" s="136"/>
      <c r="AP934" s="143" t="str">
        <f>VLOOKUP(tbl_IO_List[[#This Row],[Instruement Tag]],tbl_Instruement_List[],14,FALSE)</f>
        <v>24 VDC energized</v>
      </c>
      <c r="AQ934" s="143" t="str">
        <f>tbl_IO_List[[#This Row],[Chassis]]&amp;"S"&amp;tbl_IO_List[[#This Row],[Slot]]&amp;"-"&amp;tbl_IO_List[[#This Row],[Front Terminal Number]]</f>
        <v>C7S3-</v>
      </c>
      <c r="AR934" s="143"/>
      <c r="AS934" s="136" t="str">
        <f>tbl_IO_List[[#This Row],[Terminal Tagging]]&amp;"-"&amp;tbl_IO_List[[#This Row],[Point-Count]]</f>
        <v>-</v>
      </c>
      <c r="AT934" s="136" t="str">
        <f>tbl_IO_List[[#This Row],[Front Terminal Tagging]]&amp;"/"&amp;tbl_IO_List[[#This Row],[Terminal Tagging-Item]]</f>
        <v>C7S3-/-</v>
      </c>
      <c r="AU934" s="136" t="str">
        <f>tbl_IO_List[[#This Row],[Terminal Tagging-Item]]&amp;"/"&amp;tbl_IO_List[[#This Row],[Front Terminal Tagging]]</f>
        <v>-/C7S3-</v>
      </c>
    </row>
    <row r="935" spans="1:47" hidden="1">
      <c r="A935" s="136" t="s">
        <v>1307</v>
      </c>
      <c r="B935" s="136" t="s">
        <v>1307</v>
      </c>
      <c r="C935" s="136" t="str">
        <f>tbl_IO_List[[#This Row],[Column3]]</f>
        <v>C7S03,03</v>
      </c>
      <c r="D935" s="136" t="e">
        <f>tbl_IO_List[[#This Row],[Card]]</f>
        <v>#N/A</v>
      </c>
      <c r="E935" s="136"/>
      <c r="F935" s="136" t="str">
        <f>tbl_IO_List[[#This Row],[Column23]]&amp;"-" &amp;tbl_IO_List[[#This Row],[Column52]]</f>
        <v>C7S03-</v>
      </c>
      <c r="G935" s="136" t="str">
        <f>tbl_IO_List[[#This Row],[PLC_Tag]]</f>
        <v>RVM-61303_DI_2</v>
      </c>
      <c r="H935" s="136"/>
      <c r="I935" s="136" t="str">
        <f>VLOOKUP(tbl_IO_List[[#This Row],[Destination]],tbl_Junction[],2,FALSE)</f>
        <v>MCC Room</v>
      </c>
      <c r="J935" s="136" t="s">
        <v>335</v>
      </c>
      <c r="K935" s="136" t="s">
        <v>66</v>
      </c>
      <c r="L935" s="136" t="s">
        <v>910</v>
      </c>
      <c r="M935" s="136">
        <f>VLOOKUP(tbl_IO_List[[#This Row],[Instruement Tag]],tbl_Instruement_List[],2,FALSE)</f>
        <v>0</v>
      </c>
      <c r="N935" s="136" t="s">
        <v>15</v>
      </c>
      <c r="O935" s="136" t="s">
        <v>70</v>
      </c>
      <c r="P935" s="136" t="s">
        <v>18</v>
      </c>
      <c r="Q935" s="136" t="str">
        <f>VLOOKUP(tbl_IO_List[[#This Row],[Instruement Tag]],tbl_Instruement_List[],6,FALSE)</f>
        <v xml:space="preserve"> Start / Stop Command for FVNR RV-61303</v>
      </c>
      <c r="R935" s="136"/>
      <c r="S93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935" s="136" t="str">
        <f>tbl_IO_List[[#This Row],[Instruement Tag]]&amp;"_"&amp;tbl_IO_List[[#This Row],[I/O Type]]&amp;"_"&amp;tbl_IO_List[[#This Row],[IO-Point 
(Instruement)]]</f>
        <v>RVM-61303_DI_2</v>
      </c>
      <c r="U935" s="136" t="s">
        <v>8</v>
      </c>
      <c r="V935" s="136">
        <f>VLOOKUP(tbl_IO_List[[#This Row],[I/O Type]],tbl_Slot_Group[],2,FALSE)</f>
        <v>1</v>
      </c>
      <c r="W935" s="136">
        <v>2</v>
      </c>
      <c r="X935" s="136" t="str">
        <f>tbl_IO_List[[#This Row],[Chassis]]&amp;"S"&amp;TEXT(tbl_IO_List[[#This Row],[Slot]],"00")</f>
        <v>C7S03</v>
      </c>
      <c r="Y935" s="136" t="str">
        <f>tbl_IO_List[[#This Row],[Chassis]]&amp;"S"&amp;TEXT(tbl_IO_List[[#This Row],[Slot]],"00")&amp;tbl_IO_List[[#This Row],[I/O Type]]&amp;TEXT(tbl_IO_List[[#This Row],[Point]],"00")</f>
        <v>C7S03DI03</v>
      </c>
      <c r="Z935" s="136" t="str">
        <f>tbl_IO_List[[#This Row],[Chassis]]&amp;"S"&amp;TEXT(tbl_IO_List[[#This Row],[Slot]],"00")&amp;","&amp;TEXT(tbl_IO_List[[#This Row],[Point]],"00")</f>
        <v>C7S03,03</v>
      </c>
      <c r="AA935" s="136" t="e">
        <f>VLOOKUP(tbl_IO_List[[#This Row],[Column23]],tbl_RackConfig[],5,FALSE) &amp;"-"&amp;tbl_IO_List[[#This Row],[Point]]</f>
        <v>#N/A</v>
      </c>
      <c r="AB935" s="136"/>
      <c r="AC935" s="136"/>
      <c r="AD935" s="136" t="str">
        <f>tbl_IO_List[[#This Row],[I/O Type]]</f>
        <v>DI</v>
      </c>
      <c r="AE935" s="136" t="s">
        <v>1368</v>
      </c>
      <c r="AF935" s="136">
        <v>3</v>
      </c>
      <c r="AG935" s="136">
        <v>3</v>
      </c>
      <c r="AH935" s="136"/>
      <c r="AI935" s="136"/>
      <c r="AJ935" s="136">
        <v>2</v>
      </c>
      <c r="AK935" s="136">
        <v>2</v>
      </c>
      <c r="AL935" s="136">
        <v>0</v>
      </c>
      <c r="AM935" s="136">
        <v>0</v>
      </c>
      <c r="AN935" s="136">
        <v>0</v>
      </c>
      <c r="AO935" s="136"/>
      <c r="AP935" s="143" t="str">
        <f>VLOOKUP(tbl_IO_List[[#This Row],[Instruement Tag]],tbl_Instruement_List[],14,FALSE)</f>
        <v>24 VDC energized</v>
      </c>
      <c r="AQ935" s="143" t="str">
        <f>tbl_IO_List[[#This Row],[Chassis]]&amp;"S"&amp;tbl_IO_List[[#This Row],[Slot]]&amp;"-"&amp;tbl_IO_List[[#This Row],[Front Terminal Number]]</f>
        <v>C7S3-</v>
      </c>
      <c r="AR935" s="143"/>
      <c r="AS935" s="136" t="str">
        <f>tbl_IO_List[[#This Row],[Terminal Tagging]]&amp;"-"&amp;tbl_IO_List[[#This Row],[Point-Count]]</f>
        <v>-</v>
      </c>
      <c r="AT935" s="136" t="str">
        <f>tbl_IO_List[[#This Row],[Front Terminal Tagging]]&amp;"/"&amp;tbl_IO_List[[#This Row],[Terminal Tagging-Item]]</f>
        <v>C7S3-/-</v>
      </c>
      <c r="AU935" s="136" t="str">
        <f>tbl_IO_List[[#This Row],[Terminal Tagging-Item]]&amp;"/"&amp;tbl_IO_List[[#This Row],[Front Terminal Tagging]]</f>
        <v>-/C7S3-</v>
      </c>
    </row>
    <row r="936" spans="1:47" hidden="1">
      <c r="A936" s="136" t="s">
        <v>1307</v>
      </c>
      <c r="B936" s="136" t="s">
        <v>1307</v>
      </c>
      <c r="C936" s="136" t="str">
        <f>tbl_IO_List[[#This Row],[Column3]]</f>
        <v>C7S03,04</v>
      </c>
      <c r="D936" s="136" t="e">
        <f>tbl_IO_List[[#This Row],[Card]]</f>
        <v>#N/A</v>
      </c>
      <c r="E936" s="136"/>
      <c r="F936" s="136" t="str">
        <f>tbl_IO_List[[#This Row],[Column23]]&amp;"-" &amp;tbl_IO_List[[#This Row],[Column52]]</f>
        <v>C7S03-</v>
      </c>
      <c r="G936" s="136" t="str">
        <f>tbl_IO_List[[#This Row],[PLC_Tag]]</f>
        <v>SCM-61301_DI_1</v>
      </c>
      <c r="H936" s="136"/>
      <c r="I936" s="136" t="str">
        <f>VLOOKUP(tbl_IO_List[[#This Row],[Destination]],tbl_Junction[],2,FALSE)</f>
        <v>MCC Room</v>
      </c>
      <c r="J936" s="136" t="s">
        <v>335</v>
      </c>
      <c r="K936" s="136" t="s">
        <v>66</v>
      </c>
      <c r="L936" s="136" t="s">
        <v>916</v>
      </c>
      <c r="M936" s="136">
        <f>VLOOKUP(tbl_IO_List[[#This Row],[Instruement Tag]],tbl_Instruement_List[],2,FALSE)</f>
        <v>0</v>
      </c>
      <c r="N936" s="136" t="s">
        <v>31</v>
      </c>
      <c r="O936" s="136" t="s">
        <v>78</v>
      </c>
      <c r="P936" s="136" t="s">
        <v>18</v>
      </c>
      <c r="Q936" s="136" t="str">
        <f>VLOOKUP(tbl_IO_List[[#This Row],[Instruement Tag]],tbl_Instruement_List[],6,FALSE)</f>
        <v xml:space="preserve"> Start / Stop Command for FVNR SC-61301 (Sifter )</v>
      </c>
      <c r="R936" s="136"/>
      <c r="S93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936" s="136" t="str">
        <f>tbl_IO_List[[#This Row],[Instruement Tag]]&amp;"_"&amp;tbl_IO_List[[#This Row],[I/O Type]]&amp;"_"&amp;tbl_IO_List[[#This Row],[IO-Point 
(Instruement)]]</f>
        <v>SCM-61301_DI_1</v>
      </c>
      <c r="U936" s="136" t="s">
        <v>8</v>
      </c>
      <c r="V936" s="136">
        <f>VLOOKUP(tbl_IO_List[[#This Row],[I/O Type]],tbl_Slot_Group[],2,FALSE)</f>
        <v>1</v>
      </c>
      <c r="W936" s="136">
        <v>1</v>
      </c>
      <c r="X936" s="136" t="str">
        <f>tbl_IO_List[[#This Row],[Chassis]]&amp;"S"&amp;TEXT(tbl_IO_List[[#This Row],[Slot]],"00")</f>
        <v>C7S03</v>
      </c>
      <c r="Y936" s="136" t="str">
        <f>tbl_IO_List[[#This Row],[Chassis]]&amp;"S"&amp;TEXT(tbl_IO_List[[#This Row],[Slot]],"00")&amp;tbl_IO_List[[#This Row],[I/O Type]]&amp;TEXT(tbl_IO_List[[#This Row],[Point]],"00")</f>
        <v>C7S03DI04</v>
      </c>
      <c r="Z936" s="136" t="str">
        <f>tbl_IO_List[[#This Row],[Chassis]]&amp;"S"&amp;TEXT(tbl_IO_List[[#This Row],[Slot]],"00")&amp;","&amp;TEXT(tbl_IO_List[[#This Row],[Point]],"00")</f>
        <v>C7S03,04</v>
      </c>
      <c r="AA936" s="136" t="e">
        <f>VLOOKUP(tbl_IO_List[[#This Row],[Column23]],tbl_RackConfig[],5,FALSE) &amp;"-"&amp;tbl_IO_List[[#This Row],[Point]]</f>
        <v>#N/A</v>
      </c>
      <c r="AB936" s="136"/>
      <c r="AC936" s="136"/>
      <c r="AD936" s="136" t="str">
        <f>tbl_IO_List[[#This Row],[I/O Type]]</f>
        <v>DI</v>
      </c>
      <c r="AE936" s="136" t="s">
        <v>1368</v>
      </c>
      <c r="AF936" s="136">
        <v>3</v>
      </c>
      <c r="AG936" s="136">
        <v>4</v>
      </c>
      <c r="AH936" s="136"/>
      <c r="AI936" s="136"/>
      <c r="AJ936" s="136">
        <v>2</v>
      </c>
      <c r="AK936" s="136">
        <v>2</v>
      </c>
      <c r="AL936" s="136">
        <v>0</v>
      </c>
      <c r="AM936" s="136">
        <v>0</v>
      </c>
      <c r="AN936" s="136">
        <v>0</v>
      </c>
      <c r="AO936" s="136"/>
      <c r="AP936" s="143" t="str">
        <f>VLOOKUP(tbl_IO_List[[#This Row],[Instruement Tag]],tbl_Instruement_List[],14,FALSE)</f>
        <v>24 VDC energized</v>
      </c>
      <c r="AQ936" s="143" t="str">
        <f>tbl_IO_List[[#This Row],[Chassis]]&amp;"S"&amp;tbl_IO_List[[#This Row],[Slot]]&amp;"-"&amp;tbl_IO_List[[#This Row],[Front Terminal Number]]</f>
        <v>C7S3-</v>
      </c>
      <c r="AR936" s="143"/>
      <c r="AS936" s="136" t="str">
        <f>tbl_IO_List[[#This Row],[Terminal Tagging]]&amp;"-"&amp;tbl_IO_List[[#This Row],[Point-Count]]</f>
        <v>-</v>
      </c>
      <c r="AT936" s="136" t="str">
        <f>tbl_IO_List[[#This Row],[Front Terminal Tagging]]&amp;"/"&amp;tbl_IO_List[[#This Row],[Terminal Tagging-Item]]</f>
        <v>C7S3-/-</v>
      </c>
      <c r="AU936" s="136" t="str">
        <f>tbl_IO_List[[#This Row],[Terminal Tagging-Item]]&amp;"/"&amp;tbl_IO_List[[#This Row],[Front Terminal Tagging]]</f>
        <v>-/C7S3-</v>
      </c>
    </row>
    <row r="937" spans="1:47" hidden="1">
      <c r="A937" s="136" t="s">
        <v>1307</v>
      </c>
      <c r="B937" s="136" t="s">
        <v>1307</v>
      </c>
      <c r="C937" s="136" t="str">
        <f>tbl_IO_List[[#This Row],[Column3]]</f>
        <v>C7S03,05</v>
      </c>
      <c r="D937" s="136" t="e">
        <f>tbl_IO_List[[#This Row],[Card]]</f>
        <v>#N/A</v>
      </c>
      <c r="E937" s="136"/>
      <c r="F937" s="136" t="str">
        <f>tbl_IO_List[[#This Row],[Column23]]&amp;"-" &amp;tbl_IO_List[[#This Row],[Column52]]</f>
        <v>C7S03-</v>
      </c>
      <c r="G937" s="136" t="str">
        <f>tbl_IO_List[[#This Row],[PLC_Tag]]</f>
        <v>SCM-61301_DI_2</v>
      </c>
      <c r="H937" s="136"/>
      <c r="I937" s="136" t="str">
        <f>VLOOKUP(tbl_IO_List[[#This Row],[Destination]],tbl_Junction[],2,FALSE)</f>
        <v>MCC Room</v>
      </c>
      <c r="J937" s="136" t="s">
        <v>335</v>
      </c>
      <c r="K937" s="136" t="s">
        <v>66</v>
      </c>
      <c r="L937" s="136" t="s">
        <v>916</v>
      </c>
      <c r="M937" s="136">
        <f>VLOOKUP(tbl_IO_List[[#This Row],[Instruement Tag]],tbl_Instruement_List[],2,FALSE)</f>
        <v>0</v>
      </c>
      <c r="N937" s="136" t="s">
        <v>31</v>
      </c>
      <c r="O937" s="136" t="s">
        <v>78</v>
      </c>
      <c r="P937" s="136" t="s">
        <v>18</v>
      </c>
      <c r="Q937" s="136" t="str">
        <f>VLOOKUP(tbl_IO_List[[#This Row],[Instruement Tag]],tbl_Instruement_List[],6,FALSE)</f>
        <v xml:space="preserve"> Start / Stop Command for FVNR SC-61301 (Sifter )</v>
      </c>
      <c r="R937" s="136"/>
      <c r="S93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937" s="136" t="str">
        <f>tbl_IO_List[[#This Row],[Instruement Tag]]&amp;"_"&amp;tbl_IO_List[[#This Row],[I/O Type]]&amp;"_"&amp;tbl_IO_List[[#This Row],[IO-Point 
(Instruement)]]</f>
        <v>SCM-61301_DI_2</v>
      </c>
      <c r="U937" s="136" t="s">
        <v>8</v>
      </c>
      <c r="V937" s="136">
        <f>VLOOKUP(tbl_IO_List[[#This Row],[I/O Type]],tbl_Slot_Group[],2,FALSE)</f>
        <v>1</v>
      </c>
      <c r="W937" s="136">
        <v>2</v>
      </c>
      <c r="X937" s="136" t="str">
        <f>tbl_IO_List[[#This Row],[Chassis]]&amp;"S"&amp;TEXT(tbl_IO_List[[#This Row],[Slot]],"00")</f>
        <v>C7S03</v>
      </c>
      <c r="Y937" s="136" t="str">
        <f>tbl_IO_List[[#This Row],[Chassis]]&amp;"S"&amp;TEXT(tbl_IO_List[[#This Row],[Slot]],"00")&amp;tbl_IO_List[[#This Row],[I/O Type]]&amp;TEXT(tbl_IO_List[[#This Row],[Point]],"00")</f>
        <v>C7S03DI05</v>
      </c>
      <c r="Z937" s="136" t="str">
        <f>tbl_IO_List[[#This Row],[Chassis]]&amp;"S"&amp;TEXT(tbl_IO_List[[#This Row],[Slot]],"00")&amp;","&amp;TEXT(tbl_IO_List[[#This Row],[Point]],"00")</f>
        <v>C7S03,05</v>
      </c>
      <c r="AA937" s="136" t="e">
        <f>VLOOKUP(tbl_IO_List[[#This Row],[Column23]],tbl_RackConfig[],5,FALSE) &amp;"-"&amp;tbl_IO_List[[#This Row],[Point]]</f>
        <v>#N/A</v>
      </c>
      <c r="AB937" s="136"/>
      <c r="AC937" s="136"/>
      <c r="AD937" s="136" t="str">
        <f>tbl_IO_List[[#This Row],[I/O Type]]</f>
        <v>DI</v>
      </c>
      <c r="AE937" s="136" t="s">
        <v>1368</v>
      </c>
      <c r="AF937" s="136">
        <v>3</v>
      </c>
      <c r="AG937" s="136">
        <v>5</v>
      </c>
      <c r="AH937" s="136"/>
      <c r="AI937" s="136"/>
      <c r="AJ937" s="136">
        <v>2</v>
      </c>
      <c r="AK937" s="136">
        <v>2</v>
      </c>
      <c r="AL937" s="136">
        <v>0</v>
      </c>
      <c r="AM937" s="136">
        <v>0</v>
      </c>
      <c r="AN937" s="136">
        <v>0</v>
      </c>
      <c r="AO937" s="136"/>
      <c r="AP937" s="143" t="str">
        <f>VLOOKUP(tbl_IO_List[[#This Row],[Instruement Tag]],tbl_Instruement_List[],14,FALSE)</f>
        <v>24 VDC energized</v>
      </c>
      <c r="AQ937" s="143" t="str">
        <f>tbl_IO_List[[#This Row],[Chassis]]&amp;"S"&amp;tbl_IO_List[[#This Row],[Slot]]&amp;"-"&amp;tbl_IO_List[[#This Row],[Front Terminal Number]]</f>
        <v>C7S3-</v>
      </c>
      <c r="AR937" s="143"/>
      <c r="AS937" s="136" t="str">
        <f>tbl_IO_List[[#This Row],[Terminal Tagging]]&amp;"-"&amp;tbl_IO_List[[#This Row],[Point-Count]]</f>
        <v>-</v>
      </c>
      <c r="AT937" s="136" t="str">
        <f>tbl_IO_List[[#This Row],[Front Terminal Tagging]]&amp;"/"&amp;tbl_IO_List[[#This Row],[Terminal Tagging-Item]]</f>
        <v>C7S3-/-</v>
      </c>
      <c r="AU937" s="136" t="str">
        <f>tbl_IO_List[[#This Row],[Terminal Tagging-Item]]&amp;"/"&amp;tbl_IO_List[[#This Row],[Front Terminal Tagging]]</f>
        <v>-/C7S3-</v>
      </c>
    </row>
    <row r="938" spans="1:47" hidden="1">
      <c r="A938" s="136" t="s">
        <v>1307</v>
      </c>
      <c r="B938" s="136" t="s">
        <v>1307</v>
      </c>
      <c r="C938" s="136" t="str">
        <f>tbl_IO_List[[#This Row],[Column3]]</f>
        <v>C7S03,06</v>
      </c>
      <c r="D938" s="136" t="e">
        <f>tbl_IO_List[[#This Row],[Card]]</f>
        <v>#N/A</v>
      </c>
      <c r="E938" s="136"/>
      <c r="F938" s="136" t="str">
        <f>tbl_IO_List[[#This Row],[Column23]]&amp;"-" &amp;tbl_IO_List[[#This Row],[Column52]]</f>
        <v>C7S03-</v>
      </c>
      <c r="G938" s="136" t="str">
        <f>tbl_IO_List[[#This Row],[PLC_Tag]]</f>
        <v>SCM-61302_DI_2</v>
      </c>
      <c r="H938" s="136"/>
      <c r="I938" s="136" t="str">
        <f>VLOOKUP(tbl_IO_List[[#This Row],[Destination]],tbl_Junction[],2,FALSE)</f>
        <v>MCC Room</v>
      </c>
      <c r="J938" s="136" t="s">
        <v>335</v>
      </c>
      <c r="K938" s="136" t="s">
        <v>66</v>
      </c>
      <c r="L938" s="136" t="s">
        <v>918</v>
      </c>
      <c r="M938" s="136">
        <f>VLOOKUP(tbl_IO_List[[#This Row],[Instruement Tag]],tbl_Instruement_List[],2,FALSE)</f>
        <v>0</v>
      </c>
      <c r="N938" s="136" t="s">
        <v>31</v>
      </c>
      <c r="O938" s="136" t="s">
        <v>78</v>
      </c>
      <c r="P938" s="136" t="s">
        <v>18</v>
      </c>
      <c r="Q938" s="136" t="str">
        <f>VLOOKUP(tbl_IO_List[[#This Row],[Instruement Tag]],tbl_Instruement_List[],6,FALSE)</f>
        <v xml:space="preserve"> Start / Stop Command for FVNR SC-61302 (Sifter )</v>
      </c>
      <c r="R938" s="136"/>
      <c r="S93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938" s="136" t="str">
        <f>tbl_IO_List[[#This Row],[Instruement Tag]]&amp;"_"&amp;tbl_IO_List[[#This Row],[I/O Type]]&amp;"_"&amp;tbl_IO_List[[#This Row],[IO-Point 
(Instruement)]]</f>
        <v>SCM-61302_DI_2</v>
      </c>
      <c r="U938" s="136" t="s">
        <v>8</v>
      </c>
      <c r="V938" s="136">
        <f>VLOOKUP(tbl_IO_List[[#This Row],[I/O Type]],tbl_Slot_Group[],2,FALSE)</f>
        <v>1</v>
      </c>
      <c r="W938" s="136">
        <v>2</v>
      </c>
      <c r="X938" s="136" t="str">
        <f>tbl_IO_List[[#This Row],[Chassis]]&amp;"S"&amp;TEXT(tbl_IO_List[[#This Row],[Slot]],"00")</f>
        <v>C7S03</v>
      </c>
      <c r="Y938" s="136" t="str">
        <f>tbl_IO_List[[#This Row],[Chassis]]&amp;"S"&amp;TEXT(tbl_IO_List[[#This Row],[Slot]],"00")&amp;tbl_IO_List[[#This Row],[I/O Type]]&amp;TEXT(tbl_IO_List[[#This Row],[Point]],"00")</f>
        <v>C7S03DI06</v>
      </c>
      <c r="Z938" s="136" t="str">
        <f>tbl_IO_List[[#This Row],[Chassis]]&amp;"S"&amp;TEXT(tbl_IO_List[[#This Row],[Slot]],"00")&amp;","&amp;TEXT(tbl_IO_List[[#This Row],[Point]],"00")</f>
        <v>C7S03,06</v>
      </c>
      <c r="AA938" s="136" t="e">
        <f>VLOOKUP(tbl_IO_List[[#This Row],[Column23]],tbl_RackConfig[],5,FALSE) &amp;"-"&amp;tbl_IO_List[[#This Row],[Point]]</f>
        <v>#N/A</v>
      </c>
      <c r="AB938" s="136"/>
      <c r="AC938" s="136"/>
      <c r="AD938" s="136" t="str">
        <f>tbl_IO_List[[#This Row],[I/O Type]]</f>
        <v>DI</v>
      </c>
      <c r="AE938" s="136" t="s">
        <v>1368</v>
      </c>
      <c r="AF938" s="136">
        <v>3</v>
      </c>
      <c r="AG938" s="136">
        <v>6</v>
      </c>
      <c r="AH938" s="136"/>
      <c r="AI938" s="136"/>
      <c r="AJ938" s="136">
        <v>2</v>
      </c>
      <c r="AK938" s="136">
        <v>2</v>
      </c>
      <c r="AL938" s="136">
        <v>0</v>
      </c>
      <c r="AM938" s="136">
        <v>0</v>
      </c>
      <c r="AN938" s="136">
        <v>0</v>
      </c>
      <c r="AO938" s="136"/>
      <c r="AP938" s="143" t="str">
        <f>VLOOKUP(tbl_IO_List[[#This Row],[Instruement Tag]],tbl_Instruement_List[],14,FALSE)</f>
        <v>24 VDC energized</v>
      </c>
      <c r="AQ938" s="143" t="str">
        <f>tbl_IO_List[[#This Row],[Chassis]]&amp;"S"&amp;tbl_IO_List[[#This Row],[Slot]]&amp;"-"&amp;tbl_IO_List[[#This Row],[Front Terminal Number]]</f>
        <v>C7S3-</v>
      </c>
      <c r="AR938" s="143"/>
      <c r="AS938" s="136" t="str">
        <f>tbl_IO_List[[#This Row],[Terminal Tagging]]&amp;"-"&amp;tbl_IO_List[[#This Row],[Point-Count]]</f>
        <v>-</v>
      </c>
      <c r="AT938" s="136" t="str">
        <f>tbl_IO_List[[#This Row],[Front Terminal Tagging]]&amp;"/"&amp;tbl_IO_List[[#This Row],[Terminal Tagging-Item]]</f>
        <v>C7S3-/-</v>
      </c>
      <c r="AU938" s="136" t="str">
        <f>tbl_IO_List[[#This Row],[Terminal Tagging-Item]]&amp;"/"&amp;tbl_IO_List[[#This Row],[Front Terminal Tagging]]</f>
        <v>-/C7S3-</v>
      </c>
    </row>
    <row r="939" spans="1:47" hidden="1">
      <c r="A939" s="136" t="s">
        <v>1307</v>
      </c>
      <c r="B939" s="136" t="s">
        <v>1307</v>
      </c>
      <c r="C939" s="136" t="str">
        <f>tbl_IO_List[[#This Row],[Column3]]</f>
        <v>C7S03,07</v>
      </c>
      <c r="D939" s="136" t="e">
        <f>tbl_IO_List[[#This Row],[Card]]</f>
        <v>#N/A</v>
      </c>
      <c r="E939" s="136"/>
      <c r="F939" s="136" t="str">
        <f>tbl_IO_List[[#This Row],[Column23]]&amp;"-" &amp;tbl_IO_List[[#This Row],[Column52]]</f>
        <v>C7S03-</v>
      </c>
      <c r="G939" s="136" t="str">
        <f>tbl_IO_List[[#This Row],[PLC_Tag]]</f>
        <v>SCM-61302_DI_1</v>
      </c>
      <c r="H939" s="136"/>
      <c r="I939" s="136" t="str">
        <f>VLOOKUP(tbl_IO_List[[#This Row],[Destination]],tbl_Junction[],2,FALSE)</f>
        <v>MCC Room</v>
      </c>
      <c r="J939" s="136" t="s">
        <v>335</v>
      </c>
      <c r="K939" s="136" t="s">
        <v>66</v>
      </c>
      <c r="L939" s="136" t="s">
        <v>918</v>
      </c>
      <c r="M939" s="136">
        <f>VLOOKUP(tbl_IO_List[[#This Row],[Instruement Tag]],tbl_Instruement_List[],2,FALSE)</f>
        <v>0</v>
      </c>
      <c r="N939" s="136" t="s">
        <v>31</v>
      </c>
      <c r="O939" s="136" t="s">
        <v>78</v>
      </c>
      <c r="P939" s="136" t="s">
        <v>18</v>
      </c>
      <c r="Q939" s="136" t="str">
        <f>VLOOKUP(tbl_IO_List[[#This Row],[Instruement Tag]],tbl_Instruement_List[],6,FALSE)</f>
        <v xml:space="preserve"> Start / Stop Command for FVNR SC-61302 (Sifter )</v>
      </c>
      <c r="R939" s="136"/>
      <c r="S93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939" s="136" t="str">
        <f>tbl_IO_List[[#This Row],[Instruement Tag]]&amp;"_"&amp;tbl_IO_List[[#This Row],[I/O Type]]&amp;"_"&amp;tbl_IO_List[[#This Row],[IO-Point 
(Instruement)]]</f>
        <v>SCM-61302_DI_1</v>
      </c>
      <c r="U939" s="136" t="s">
        <v>8</v>
      </c>
      <c r="V939" s="136">
        <f>VLOOKUP(tbl_IO_List[[#This Row],[I/O Type]],tbl_Slot_Group[],2,FALSE)</f>
        <v>1</v>
      </c>
      <c r="W939" s="136">
        <v>1</v>
      </c>
      <c r="X939" s="136" t="str">
        <f>tbl_IO_List[[#This Row],[Chassis]]&amp;"S"&amp;TEXT(tbl_IO_List[[#This Row],[Slot]],"00")</f>
        <v>C7S03</v>
      </c>
      <c r="Y939" s="136" t="str">
        <f>tbl_IO_List[[#This Row],[Chassis]]&amp;"S"&amp;TEXT(tbl_IO_List[[#This Row],[Slot]],"00")&amp;tbl_IO_List[[#This Row],[I/O Type]]&amp;TEXT(tbl_IO_List[[#This Row],[Point]],"00")</f>
        <v>C7S03DI07</v>
      </c>
      <c r="Z939" s="136" t="str">
        <f>tbl_IO_List[[#This Row],[Chassis]]&amp;"S"&amp;TEXT(tbl_IO_List[[#This Row],[Slot]],"00")&amp;","&amp;TEXT(tbl_IO_List[[#This Row],[Point]],"00")</f>
        <v>C7S03,07</v>
      </c>
      <c r="AA939" s="136" t="e">
        <f>VLOOKUP(tbl_IO_List[[#This Row],[Column23]],tbl_RackConfig[],5,FALSE) &amp;"-"&amp;tbl_IO_List[[#This Row],[Point]]</f>
        <v>#N/A</v>
      </c>
      <c r="AB939" s="136"/>
      <c r="AC939" s="136"/>
      <c r="AD939" s="136" t="str">
        <f>tbl_IO_List[[#This Row],[I/O Type]]</f>
        <v>DI</v>
      </c>
      <c r="AE939" s="136" t="s">
        <v>1368</v>
      </c>
      <c r="AF939" s="136">
        <v>3</v>
      </c>
      <c r="AG939" s="136">
        <v>7</v>
      </c>
      <c r="AH939" s="136"/>
      <c r="AI939" s="136"/>
      <c r="AJ939" s="136">
        <v>2</v>
      </c>
      <c r="AK939" s="136">
        <v>2</v>
      </c>
      <c r="AL939" s="136">
        <v>0</v>
      </c>
      <c r="AM939" s="136">
        <v>0</v>
      </c>
      <c r="AN939" s="136">
        <v>0</v>
      </c>
      <c r="AO939" s="136"/>
      <c r="AP939" s="143" t="str">
        <f>VLOOKUP(tbl_IO_List[[#This Row],[Instruement Tag]],tbl_Instruement_List[],14,FALSE)</f>
        <v>24 VDC energized</v>
      </c>
      <c r="AQ939" s="143" t="str">
        <f>tbl_IO_List[[#This Row],[Chassis]]&amp;"S"&amp;tbl_IO_List[[#This Row],[Slot]]&amp;"-"&amp;tbl_IO_List[[#This Row],[Front Terminal Number]]</f>
        <v>C7S3-</v>
      </c>
      <c r="AR939" s="143"/>
      <c r="AS939" s="136" t="str">
        <f>tbl_IO_List[[#This Row],[Terminal Tagging]]&amp;"-"&amp;tbl_IO_List[[#This Row],[Point-Count]]</f>
        <v>-</v>
      </c>
      <c r="AT939" s="136" t="str">
        <f>tbl_IO_List[[#This Row],[Front Terminal Tagging]]&amp;"/"&amp;tbl_IO_List[[#This Row],[Terminal Tagging-Item]]</f>
        <v>C7S3-/-</v>
      </c>
      <c r="AU939" s="136" t="str">
        <f>tbl_IO_List[[#This Row],[Terminal Tagging-Item]]&amp;"/"&amp;tbl_IO_List[[#This Row],[Front Terminal Tagging]]</f>
        <v>-/C7S3-</v>
      </c>
    </row>
    <row r="940" spans="1:47" hidden="1">
      <c r="A940" s="136" t="s">
        <v>1307</v>
      </c>
      <c r="B940" s="136" t="s">
        <v>1307</v>
      </c>
      <c r="C940" s="136" t="str">
        <f>tbl_IO_List[[#This Row],[Column3]]</f>
        <v>C7S03,08</v>
      </c>
      <c r="D940" s="136" t="e">
        <f>tbl_IO_List[[#This Row],[Card]]</f>
        <v>#N/A</v>
      </c>
      <c r="E940" s="136"/>
      <c r="F940" s="136" t="str">
        <f>tbl_IO_List[[#This Row],[Column23]]&amp;"-" &amp;tbl_IO_List[[#This Row],[Column52]]</f>
        <v>C7S03-</v>
      </c>
      <c r="G940" s="136" t="str">
        <f>tbl_IO_List[[#This Row],[PLC_Tag]]</f>
        <v>BFY-61301_DI_1</v>
      </c>
      <c r="H940" s="136"/>
      <c r="I940" s="136" t="str">
        <f>VLOOKUP(tbl_IO_List[[#This Row],[Destination]],tbl_Junction[],2,FALSE)</f>
        <v>MCC Room</v>
      </c>
      <c r="J940" s="136" t="s">
        <v>360</v>
      </c>
      <c r="K940" s="136" t="s">
        <v>66</v>
      </c>
      <c r="L940" s="136" t="s">
        <v>858</v>
      </c>
      <c r="M940" s="136">
        <f>VLOOKUP(tbl_IO_List[[#This Row],[Instruement Tag]],tbl_Instruement_List[],2,FALSE)</f>
        <v>0</v>
      </c>
      <c r="N940" s="136" t="s">
        <v>91</v>
      </c>
      <c r="O940" s="136" t="s">
        <v>78</v>
      </c>
      <c r="P940" s="136" t="s">
        <v>18</v>
      </c>
      <c r="Q940" s="136" t="str">
        <f>VLOOKUP(tbl_IO_List[[#This Row],[Instruement Tag]],tbl_Instruement_List[],6,FALSE)</f>
        <v xml:space="preserve"> Start / Stop Command for VSD BF-61301 (Packing silo vent fan )</v>
      </c>
      <c r="R940" s="136"/>
      <c r="S94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1,DO=1,AI=0,AO=0,Bus=1</v>
      </c>
      <c r="T940" s="136" t="str">
        <f>tbl_IO_List[[#This Row],[Instruement Tag]]&amp;"_"&amp;tbl_IO_List[[#This Row],[I/O Type]]&amp;"_"&amp;tbl_IO_List[[#This Row],[IO-Point 
(Instruement)]]</f>
        <v>BFY-61301_DI_1</v>
      </c>
      <c r="U940" s="136" t="s">
        <v>8</v>
      </c>
      <c r="V940" s="136">
        <f>VLOOKUP(tbl_IO_List[[#This Row],[I/O Type]],tbl_Slot_Group[],2,FALSE)</f>
        <v>1</v>
      </c>
      <c r="W940" s="136">
        <v>1</v>
      </c>
      <c r="X940" s="136" t="str">
        <f>tbl_IO_List[[#This Row],[Chassis]]&amp;"S"&amp;TEXT(tbl_IO_List[[#This Row],[Slot]],"00")</f>
        <v>C7S03</v>
      </c>
      <c r="Y940" s="136" t="str">
        <f>tbl_IO_List[[#This Row],[Chassis]]&amp;"S"&amp;TEXT(tbl_IO_List[[#This Row],[Slot]],"00")&amp;tbl_IO_List[[#This Row],[I/O Type]]&amp;TEXT(tbl_IO_List[[#This Row],[Point]],"00")</f>
        <v>C7S03DI08</v>
      </c>
      <c r="Z940" s="136" t="str">
        <f>tbl_IO_List[[#This Row],[Chassis]]&amp;"S"&amp;TEXT(tbl_IO_List[[#This Row],[Slot]],"00")&amp;","&amp;TEXT(tbl_IO_List[[#This Row],[Point]],"00")</f>
        <v>C7S03,08</v>
      </c>
      <c r="AA940" s="136" t="e">
        <f>VLOOKUP(tbl_IO_List[[#This Row],[Column23]],tbl_RackConfig[],5,FALSE) &amp;"-"&amp;tbl_IO_List[[#This Row],[Point]]</f>
        <v>#N/A</v>
      </c>
      <c r="AB940" s="136"/>
      <c r="AC940" s="136"/>
      <c r="AD940" s="136" t="str">
        <f>tbl_IO_List[[#This Row],[I/O Type]]</f>
        <v>DI</v>
      </c>
      <c r="AE940" s="136" t="s">
        <v>1368</v>
      </c>
      <c r="AF940" s="136">
        <v>3</v>
      </c>
      <c r="AG940" s="136">
        <v>8</v>
      </c>
      <c r="AH940" s="136"/>
      <c r="AI940" s="136"/>
      <c r="AJ940" s="136">
        <v>1</v>
      </c>
      <c r="AK940" s="136">
        <v>1</v>
      </c>
      <c r="AL940" s="136">
        <v>0</v>
      </c>
      <c r="AM940" s="136">
        <v>0</v>
      </c>
      <c r="AN940" s="136">
        <v>1</v>
      </c>
      <c r="AO940" s="136"/>
      <c r="AP940" s="143" t="str">
        <f>VLOOKUP(tbl_IO_List[[#This Row],[Instruement Tag]],tbl_Instruement_List[],14,FALSE)</f>
        <v>24 VDC energized</v>
      </c>
      <c r="AQ940" s="143" t="str">
        <f>tbl_IO_List[[#This Row],[Chassis]]&amp;"S"&amp;tbl_IO_List[[#This Row],[Slot]]&amp;"-"&amp;tbl_IO_List[[#This Row],[Front Terminal Number]]</f>
        <v>C7S3-</v>
      </c>
      <c r="AR940" s="143"/>
      <c r="AS940" s="136" t="str">
        <f>tbl_IO_List[[#This Row],[Terminal Tagging]]&amp;"-"&amp;tbl_IO_List[[#This Row],[Point-Count]]</f>
        <v>-</v>
      </c>
      <c r="AT940" s="136" t="str">
        <f>tbl_IO_List[[#This Row],[Front Terminal Tagging]]&amp;"/"&amp;tbl_IO_List[[#This Row],[Terminal Tagging-Item]]</f>
        <v>C7S3-/-</v>
      </c>
      <c r="AU940" s="136" t="str">
        <f>tbl_IO_List[[#This Row],[Terminal Tagging-Item]]&amp;"/"&amp;tbl_IO_List[[#This Row],[Front Terminal Tagging]]</f>
        <v>-/C7S3-</v>
      </c>
    </row>
    <row r="941" spans="1:47" hidden="1">
      <c r="A941" s="136" t="s">
        <v>1307</v>
      </c>
      <c r="B941" s="136" t="s">
        <v>1307</v>
      </c>
      <c r="C941" s="136" t="str">
        <f>tbl_IO_List[[#This Row],[Column3]]</f>
        <v>C7S03,09</v>
      </c>
      <c r="D941" s="136" t="e">
        <f>tbl_IO_List[[#This Row],[Card]]</f>
        <v>#N/A</v>
      </c>
      <c r="E941" s="136"/>
      <c r="F941" s="136" t="str">
        <f>tbl_IO_List[[#This Row],[Column23]]&amp;"-" &amp;tbl_IO_List[[#This Row],[Column52]]</f>
        <v>C7S03-</v>
      </c>
      <c r="G941" s="136" t="str">
        <f>tbl_IO_List[[#This Row],[PLC_Tag]]</f>
        <v>BFY-61303_DI_1</v>
      </c>
      <c r="H941" s="136"/>
      <c r="I941" s="136" t="str">
        <f>VLOOKUP(tbl_IO_List[[#This Row],[Destination]],tbl_Junction[],2,FALSE)</f>
        <v>MCC Room</v>
      </c>
      <c r="J941" s="136" t="s">
        <v>360</v>
      </c>
      <c r="K941" s="136" t="s">
        <v>66</v>
      </c>
      <c r="L941" s="136" t="s">
        <v>862</v>
      </c>
      <c r="M941" s="136">
        <f>VLOOKUP(tbl_IO_List[[#This Row],[Instruement Tag]],tbl_Instruement_List[],2,FALSE)</f>
        <v>0</v>
      </c>
      <c r="N941" s="136" t="s">
        <v>93</v>
      </c>
      <c r="O941" s="136" t="s">
        <v>78</v>
      </c>
      <c r="P941" s="136" t="s">
        <v>18</v>
      </c>
      <c r="Q941" s="136" t="str">
        <f>VLOOKUP(tbl_IO_List[[#This Row],[Instruement Tag]],tbl_Instruement_List[],6,FALSE)</f>
        <v xml:space="preserve"> Start / Stop Command for VSD BF-61303 (Fugitive Dust Fan )</v>
      </c>
      <c r="R941" s="136"/>
      <c r="S94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1,DO=1,AI=0,AO=0,Bus=1</v>
      </c>
      <c r="T941" s="136" t="str">
        <f>tbl_IO_List[[#This Row],[Instruement Tag]]&amp;"_"&amp;tbl_IO_List[[#This Row],[I/O Type]]&amp;"_"&amp;tbl_IO_List[[#This Row],[IO-Point 
(Instruement)]]</f>
        <v>BFY-61303_DI_1</v>
      </c>
      <c r="U941" s="136" t="s">
        <v>8</v>
      </c>
      <c r="V941" s="136">
        <f>VLOOKUP(tbl_IO_List[[#This Row],[I/O Type]],tbl_Slot_Group[],2,FALSE)</f>
        <v>1</v>
      </c>
      <c r="W941" s="136">
        <v>1</v>
      </c>
      <c r="X941" s="136" t="str">
        <f>tbl_IO_List[[#This Row],[Chassis]]&amp;"S"&amp;TEXT(tbl_IO_List[[#This Row],[Slot]],"00")</f>
        <v>C7S03</v>
      </c>
      <c r="Y941" s="136" t="str">
        <f>tbl_IO_List[[#This Row],[Chassis]]&amp;"S"&amp;TEXT(tbl_IO_List[[#This Row],[Slot]],"00")&amp;tbl_IO_List[[#This Row],[I/O Type]]&amp;TEXT(tbl_IO_List[[#This Row],[Point]],"00")</f>
        <v>C7S03DI09</v>
      </c>
      <c r="Z941" s="136" t="str">
        <f>tbl_IO_List[[#This Row],[Chassis]]&amp;"S"&amp;TEXT(tbl_IO_List[[#This Row],[Slot]],"00")&amp;","&amp;TEXT(tbl_IO_List[[#This Row],[Point]],"00")</f>
        <v>C7S03,09</v>
      </c>
      <c r="AA941" s="136" t="e">
        <f>VLOOKUP(tbl_IO_List[[#This Row],[Column23]],tbl_RackConfig[],5,FALSE) &amp;"-"&amp;tbl_IO_List[[#This Row],[Point]]</f>
        <v>#N/A</v>
      </c>
      <c r="AB941" s="136"/>
      <c r="AC941" s="136"/>
      <c r="AD941" s="136" t="str">
        <f>tbl_IO_List[[#This Row],[I/O Type]]</f>
        <v>DI</v>
      </c>
      <c r="AE941" s="136" t="s">
        <v>1368</v>
      </c>
      <c r="AF941" s="136">
        <v>3</v>
      </c>
      <c r="AG941" s="136">
        <v>9</v>
      </c>
      <c r="AH941" s="136"/>
      <c r="AI941" s="136"/>
      <c r="AJ941" s="136">
        <v>1</v>
      </c>
      <c r="AK941" s="136">
        <v>1</v>
      </c>
      <c r="AL941" s="136">
        <v>0</v>
      </c>
      <c r="AM941" s="136">
        <v>0</v>
      </c>
      <c r="AN941" s="136">
        <v>1</v>
      </c>
      <c r="AO941" s="136"/>
      <c r="AP941" s="143" t="str">
        <f>VLOOKUP(tbl_IO_List[[#This Row],[Instruement Tag]],tbl_Instruement_List[],14,FALSE)</f>
        <v>24 VDC energized</v>
      </c>
      <c r="AQ941" s="143" t="str">
        <f>tbl_IO_List[[#This Row],[Chassis]]&amp;"S"&amp;tbl_IO_List[[#This Row],[Slot]]&amp;"-"&amp;tbl_IO_List[[#This Row],[Front Terminal Number]]</f>
        <v>C7S3-</v>
      </c>
      <c r="AR941" s="143"/>
      <c r="AS941" s="136" t="str">
        <f>tbl_IO_List[[#This Row],[Terminal Tagging]]&amp;"-"&amp;tbl_IO_List[[#This Row],[Point-Count]]</f>
        <v>-</v>
      </c>
      <c r="AT941" s="136" t="str">
        <f>tbl_IO_List[[#This Row],[Front Terminal Tagging]]&amp;"/"&amp;tbl_IO_List[[#This Row],[Terminal Tagging-Item]]</f>
        <v>C7S3-/-</v>
      </c>
      <c r="AU941" s="136" t="str">
        <f>tbl_IO_List[[#This Row],[Terminal Tagging-Item]]&amp;"/"&amp;tbl_IO_List[[#This Row],[Front Terminal Tagging]]</f>
        <v>-/C7S3-</v>
      </c>
    </row>
    <row r="942" spans="1:47" hidden="1">
      <c r="A942" s="136" t="s">
        <v>1307</v>
      </c>
      <c r="B942" s="136" t="s">
        <v>1307</v>
      </c>
      <c r="C942" s="136" t="str">
        <f>tbl_IO_List[[#This Row],[Column3]]</f>
        <v>C7S03,10</v>
      </c>
      <c r="D942" s="136" t="e">
        <f>tbl_IO_List[[#This Row],[Card]]</f>
        <v>#N/A</v>
      </c>
      <c r="E942" s="136"/>
      <c r="F942" s="136" t="str">
        <f>tbl_IO_List[[#This Row],[Column23]]&amp;"-" &amp;tbl_IO_List[[#This Row],[Column52]]</f>
        <v>C7S03-</v>
      </c>
      <c r="G942" s="136" t="str">
        <f>tbl_IO_List[[#This Row],[PLC_Tag]]</f>
        <v>BLM-61302_DI_1</v>
      </c>
      <c r="H942" s="136"/>
      <c r="I942" s="136" t="str">
        <f>VLOOKUP(tbl_IO_List[[#This Row],[Destination]],tbl_Junction[],2,FALSE)</f>
        <v>MCC Room</v>
      </c>
      <c r="J942" s="136" t="s">
        <v>360</v>
      </c>
      <c r="K942" s="136" t="s">
        <v>66</v>
      </c>
      <c r="L942" s="136" t="s">
        <v>864</v>
      </c>
      <c r="M942" s="136">
        <f>VLOOKUP(tbl_IO_List[[#This Row],[Instruement Tag]],tbl_Instruement_List[],2,FALSE)</f>
        <v>0</v>
      </c>
      <c r="N942" s="136" t="s">
        <v>47</v>
      </c>
      <c r="O942" s="136" t="s">
        <v>78</v>
      </c>
      <c r="P942" s="136" t="s">
        <v>18</v>
      </c>
      <c r="Q942" s="136" t="str">
        <f>VLOOKUP(tbl_IO_List[[#This Row],[Instruement Tag]],tbl_Instruement_List[],6,FALSE)</f>
        <v xml:space="preserve"> Start / Stop Command for FVNR BL-61301 ( Bin Actuator Blower )</v>
      </c>
      <c r="R942" s="136"/>
      <c r="S94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942" s="136" t="str">
        <f>tbl_IO_List[[#This Row],[Instruement Tag]]&amp;"_"&amp;tbl_IO_List[[#This Row],[I/O Type]]&amp;"_"&amp;tbl_IO_List[[#This Row],[IO-Point 
(Instruement)]]</f>
        <v>BLM-61302_DI_1</v>
      </c>
      <c r="U942" s="136" t="s">
        <v>8</v>
      </c>
      <c r="V942" s="136">
        <f>VLOOKUP(tbl_IO_List[[#This Row],[I/O Type]],tbl_Slot_Group[],2,FALSE)</f>
        <v>1</v>
      </c>
      <c r="W942" s="136">
        <v>1</v>
      </c>
      <c r="X942" s="136" t="str">
        <f>tbl_IO_List[[#This Row],[Chassis]]&amp;"S"&amp;TEXT(tbl_IO_List[[#This Row],[Slot]],"00")</f>
        <v>C7S03</v>
      </c>
      <c r="Y942" s="136" t="str">
        <f>tbl_IO_List[[#This Row],[Chassis]]&amp;"S"&amp;TEXT(tbl_IO_List[[#This Row],[Slot]],"00")&amp;tbl_IO_List[[#This Row],[I/O Type]]&amp;TEXT(tbl_IO_List[[#This Row],[Point]],"00")</f>
        <v>C7S03DI10</v>
      </c>
      <c r="Z942" s="136" t="str">
        <f>tbl_IO_List[[#This Row],[Chassis]]&amp;"S"&amp;TEXT(tbl_IO_List[[#This Row],[Slot]],"00")&amp;","&amp;TEXT(tbl_IO_List[[#This Row],[Point]],"00")</f>
        <v>C7S03,10</v>
      </c>
      <c r="AA942" s="136" t="e">
        <f>VLOOKUP(tbl_IO_List[[#This Row],[Column23]],tbl_RackConfig[],5,FALSE) &amp;"-"&amp;tbl_IO_List[[#This Row],[Point]]</f>
        <v>#N/A</v>
      </c>
      <c r="AB942" s="136"/>
      <c r="AC942" s="136"/>
      <c r="AD942" s="136" t="str">
        <f>tbl_IO_List[[#This Row],[I/O Type]]</f>
        <v>DI</v>
      </c>
      <c r="AE942" s="136" t="s">
        <v>1368</v>
      </c>
      <c r="AF942" s="136">
        <v>3</v>
      </c>
      <c r="AG942" s="136">
        <v>10</v>
      </c>
      <c r="AH942" s="136"/>
      <c r="AI942" s="136"/>
      <c r="AJ942" s="136">
        <v>2</v>
      </c>
      <c r="AK942" s="136">
        <v>2</v>
      </c>
      <c r="AL942" s="136">
        <v>0</v>
      </c>
      <c r="AM942" s="136">
        <v>0</v>
      </c>
      <c r="AN942" s="136">
        <v>0</v>
      </c>
      <c r="AO942" s="136"/>
      <c r="AP942" s="143" t="str">
        <f>VLOOKUP(tbl_IO_List[[#This Row],[Instruement Tag]],tbl_Instruement_List[],14,FALSE)</f>
        <v>24 VDC energized</v>
      </c>
      <c r="AQ942" s="143" t="str">
        <f>tbl_IO_List[[#This Row],[Chassis]]&amp;"S"&amp;tbl_IO_List[[#This Row],[Slot]]&amp;"-"&amp;tbl_IO_List[[#This Row],[Front Terminal Number]]</f>
        <v>C7S3-</v>
      </c>
      <c r="AR942" s="143"/>
      <c r="AS942" s="136" t="str">
        <f>tbl_IO_List[[#This Row],[Terminal Tagging]]&amp;"-"&amp;tbl_IO_List[[#This Row],[Point-Count]]</f>
        <v>-</v>
      </c>
      <c r="AT942" s="136" t="str">
        <f>tbl_IO_List[[#This Row],[Front Terminal Tagging]]&amp;"/"&amp;tbl_IO_List[[#This Row],[Terminal Tagging-Item]]</f>
        <v>C7S3-/-</v>
      </c>
      <c r="AU942" s="136" t="str">
        <f>tbl_IO_List[[#This Row],[Terminal Tagging-Item]]&amp;"/"&amp;tbl_IO_List[[#This Row],[Front Terminal Tagging]]</f>
        <v>-/C7S3-</v>
      </c>
    </row>
    <row r="943" spans="1:47" hidden="1">
      <c r="A943" s="136" t="s">
        <v>1307</v>
      </c>
      <c r="B943" s="136" t="s">
        <v>1307</v>
      </c>
      <c r="C943" s="136" t="str">
        <f>tbl_IO_List[[#This Row],[Column3]]</f>
        <v>C7S03,11</v>
      </c>
      <c r="D943" s="136" t="e">
        <f>tbl_IO_List[[#This Row],[Card]]</f>
        <v>#N/A</v>
      </c>
      <c r="E943" s="136"/>
      <c r="F943" s="136" t="str">
        <f>tbl_IO_List[[#This Row],[Column23]]&amp;"-" &amp;tbl_IO_List[[#This Row],[Column52]]</f>
        <v>C7S03-</v>
      </c>
      <c r="G943" s="136" t="str">
        <f>tbl_IO_List[[#This Row],[PLC_Tag]]</f>
        <v>BLM-61302_DI_2</v>
      </c>
      <c r="H943" s="136"/>
      <c r="I943" s="136" t="str">
        <f>VLOOKUP(tbl_IO_List[[#This Row],[Destination]],tbl_Junction[],2,FALSE)</f>
        <v>MCC Room</v>
      </c>
      <c r="J943" s="136" t="s">
        <v>360</v>
      </c>
      <c r="K943" s="136" t="s">
        <v>66</v>
      </c>
      <c r="L943" s="136" t="s">
        <v>864</v>
      </c>
      <c r="M943" s="136">
        <f>VLOOKUP(tbl_IO_List[[#This Row],[Instruement Tag]],tbl_Instruement_List[],2,FALSE)</f>
        <v>0</v>
      </c>
      <c r="N943" s="136" t="s">
        <v>47</v>
      </c>
      <c r="O943" s="136" t="s">
        <v>78</v>
      </c>
      <c r="P943" s="136" t="s">
        <v>18</v>
      </c>
      <c r="Q943" s="136" t="str">
        <f>VLOOKUP(tbl_IO_List[[#This Row],[Instruement Tag]],tbl_Instruement_List[],6,FALSE)</f>
        <v xml:space="preserve"> Start / Stop Command for FVNR BL-61301 ( Bin Actuator Blower )</v>
      </c>
      <c r="R943" s="136"/>
      <c r="S94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943" s="136" t="str">
        <f>tbl_IO_List[[#This Row],[Instruement Tag]]&amp;"_"&amp;tbl_IO_List[[#This Row],[I/O Type]]&amp;"_"&amp;tbl_IO_List[[#This Row],[IO-Point 
(Instruement)]]</f>
        <v>BLM-61302_DI_2</v>
      </c>
      <c r="U943" s="136" t="s">
        <v>8</v>
      </c>
      <c r="V943" s="136">
        <f>VLOOKUP(tbl_IO_List[[#This Row],[I/O Type]],tbl_Slot_Group[],2,FALSE)</f>
        <v>1</v>
      </c>
      <c r="W943" s="136">
        <v>2</v>
      </c>
      <c r="X943" s="136" t="str">
        <f>tbl_IO_List[[#This Row],[Chassis]]&amp;"S"&amp;TEXT(tbl_IO_List[[#This Row],[Slot]],"00")</f>
        <v>C7S03</v>
      </c>
      <c r="Y943" s="136" t="str">
        <f>tbl_IO_List[[#This Row],[Chassis]]&amp;"S"&amp;TEXT(tbl_IO_List[[#This Row],[Slot]],"00")&amp;tbl_IO_List[[#This Row],[I/O Type]]&amp;TEXT(tbl_IO_List[[#This Row],[Point]],"00")</f>
        <v>C7S03DI11</v>
      </c>
      <c r="Z943" s="136" t="str">
        <f>tbl_IO_List[[#This Row],[Chassis]]&amp;"S"&amp;TEXT(tbl_IO_List[[#This Row],[Slot]],"00")&amp;","&amp;TEXT(tbl_IO_List[[#This Row],[Point]],"00")</f>
        <v>C7S03,11</v>
      </c>
      <c r="AA943" s="136" t="e">
        <f>VLOOKUP(tbl_IO_List[[#This Row],[Column23]],tbl_RackConfig[],5,FALSE) &amp;"-"&amp;tbl_IO_List[[#This Row],[Point]]</f>
        <v>#N/A</v>
      </c>
      <c r="AB943" s="136"/>
      <c r="AC943" s="136"/>
      <c r="AD943" s="136" t="str">
        <f>tbl_IO_List[[#This Row],[I/O Type]]</f>
        <v>DI</v>
      </c>
      <c r="AE943" s="136" t="s">
        <v>1368</v>
      </c>
      <c r="AF943" s="136">
        <v>3</v>
      </c>
      <c r="AG943" s="136">
        <v>11</v>
      </c>
      <c r="AH943" s="136"/>
      <c r="AI943" s="136"/>
      <c r="AJ943" s="136">
        <v>2</v>
      </c>
      <c r="AK943" s="136">
        <v>2</v>
      </c>
      <c r="AL943" s="136">
        <v>0</v>
      </c>
      <c r="AM943" s="136">
        <v>0</v>
      </c>
      <c r="AN943" s="136">
        <v>0</v>
      </c>
      <c r="AO943" s="136"/>
      <c r="AP943" s="143" t="str">
        <f>VLOOKUP(tbl_IO_List[[#This Row],[Instruement Tag]],tbl_Instruement_List[],14,FALSE)</f>
        <v>24 VDC energized</v>
      </c>
      <c r="AQ943" s="143" t="str">
        <f>tbl_IO_List[[#This Row],[Chassis]]&amp;"S"&amp;tbl_IO_List[[#This Row],[Slot]]&amp;"-"&amp;tbl_IO_List[[#This Row],[Front Terminal Number]]</f>
        <v>C7S3-</v>
      </c>
      <c r="AR943" s="143"/>
      <c r="AS943" s="136" t="str">
        <f>tbl_IO_List[[#This Row],[Terminal Tagging]]&amp;"-"&amp;tbl_IO_List[[#This Row],[Point-Count]]</f>
        <v>-</v>
      </c>
      <c r="AT943" s="136" t="str">
        <f>tbl_IO_List[[#This Row],[Front Terminal Tagging]]&amp;"/"&amp;tbl_IO_List[[#This Row],[Terminal Tagging-Item]]</f>
        <v>C7S3-/-</v>
      </c>
      <c r="AU943" s="136" t="str">
        <f>tbl_IO_List[[#This Row],[Terminal Tagging-Item]]&amp;"/"&amp;tbl_IO_List[[#This Row],[Front Terminal Tagging]]</f>
        <v>-/C7S3-</v>
      </c>
    </row>
    <row r="944" spans="1:47" hidden="1">
      <c r="A944" s="136" t="s">
        <v>1307</v>
      </c>
      <c r="B944" s="136" t="s">
        <v>1307</v>
      </c>
      <c r="C944" s="136" t="str">
        <f>tbl_IO_List[[#This Row],[Column3]]</f>
        <v>C7S03,12</v>
      </c>
      <c r="D944" s="136" t="e">
        <f>tbl_IO_List[[#This Row],[Card]]</f>
        <v>#N/A</v>
      </c>
      <c r="E944" s="136"/>
      <c r="F944" s="136" t="str">
        <f>tbl_IO_List[[#This Row],[Column23]]&amp;"-" &amp;tbl_IO_List[[#This Row],[Column52]]</f>
        <v>C7S03-</v>
      </c>
      <c r="G944" s="136" t="str">
        <f>tbl_IO_List[[#This Row],[PLC_Tag]]</f>
        <v>HS-61307A_DI_1</v>
      </c>
      <c r="H944" s="136"/>
      <c r="I944" s="136" t="str">
        <f>VLOOKUP(tbl_IO_List[[#This Row],[Destination]],tbl_Junction[],2,FALSE)</f>
        <v>MCC Room</v>
      </c>
      <c r="J944" s="136" t="s">
        <v>360</v>
      </c>
      <c r="K944" s="136" t="s">
        <v>66</v>
      </c>
      <c r="L944" s="136" t="s">
        <v>359</v>
      </c>
      <c r="M944" s="136">
        <f>VLOOKUP(tbl_IO_List[[#This Row],[Instruement Tag]],tbl_Instruement_List[],2,FALSE)</f>
        <v>0</v>
      </c>
      <c r="N944" s="136" t="s">
        <v>91</v>
      </c>
      <c r="O944" s="136" t="s">
        <v>67</v>
      </c>
      <c r="P944" s="136" t="s">
        <v>68</v>
      </c>
      <c r="Q944" s="136" t="str">
        <f>VLOOKUP(tbl_IO_List[[#This Row],[Instruement Tag]],tbl_Instruement_List[],6,FALSE)</f>
        <v>Start/Stop</v>
      </c>
      <c r="R944" s="136"/>
      <c r="S94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44" s="136" t="str">
        <f>tbl_IO_List[[#This Row],[Instruement Tag]]&amp;"_"&amp;tbl_IO_List[[#This Row],[I/O Type]]&amp;"_"&amp;tbl_IO_List[[#This Row],[IO-Point 
(Instruement)]]</f>
        <v>HS-61307A_DI_1</v>
      </c>
      <c r="U944" s="136" t="s">
        <v>8</v>
      </c>
      <c r="V944" s="136">
        <f>VLOOKUP(tbl_IO_List[[#This Row],[I/O Type]],tbl_Slot_Group[],2,FALSE)</f>
        <v>1</v>
      </c>
      <c r="W944" s="136">
        <v>1</v>
      </c>
      <c r="X944" s="136" t="str">
        <f>tbl_IO_List[[#This Row],[Chassis]]&amp;"S"&amp;TEXT(tbl_IO_List[[#This Row],[Slot]],"00")</f>
        <v>C7S03</v>
      </c>
      <c r="Y944" s="136" t="str">
        <f>tbl_IO_List[[#This Row],[Chassis]]&amp;"S"&amp;TEXT(tbl_IO_List[[#This Row],[Slot]],"00")&amp;tbl_IO_List[[#This Row],[I/O Type]]&amp;TEXT(tbl_IO_List[[#This Row],[Point]],"00")</f>
        <v>C7S03DI12</v>
      </c>
      <c r="Z944" s="136" t="str">
        <f>tbl_IO_List[[#This Row],[Chassis]]&amp;"S"&amp;TEXT(tbl_IO_List[[#This Row],[Slot]],"00")&amp;","&amp;TEXT(tbl_IO_List[[#This Row],[Point]],"00")</f>
        <v>C7S03,12</v>
      </c>
      <c r="AA944" s="136" t="e">
        <f>VLOOKUP(tbl_IO_List[[#This Row],[Column23]],tbl_RackConfig[],5,FALSE) &amp;"-"&amp;tbl_IO_List[[#This Row],[Point]]</f>
        <v>#N/A</v>
      </c>
      <c r="AB944" s="136"/>
      <c r="AC944" s="136"/>
      <c r="AD944" s="136" t="str">
        <f>tbl_IO_List[[#This Row],[I/O Type]]</f>
        <v>DI</v>
      </c>
      <c r="AE944" s="136" t="s">
        <v>1368</v>
      </c>
      <c r="AF944" s="136">
        <v>3</v>
      </c>
      <c r="AG944" s="136">
        <v>12</v>
      </c>
      <c r="AH944" s="136"/>
      <c r="AI944" s="136"/>
      <c r="AJ944" s="136">
        <v>1</v>
      </c>
      <c r="AK944" s="136">
        <v>0</v>
      </c>
      <c r="AL944" s="136">
        <v>0</v>
      </c>
      <c r="AM944" s="136">
        <v>0</v>
      </c>
      <c r="AN944" s="136">
        <v>0</v>
      </c>
      <c r="AO944" s="136"/>
      <c r="AP944" s="143" t="str">
        <f>VLOOKUP(tbl_IO_List[[#This Row],[Instruement Tag]],tbl_Instruement_List[],14,FALSE)</f>
        <v>Dry Contact</v>
      </c>
      <c r="AQ944" s="143" t="str">
        <f>tbl_IO_List[[#This Row],[Chassis]]&amp;"S"&amp;tbl_IO_List[[#This Row],[Slot]]&amp;"-"&amp;tbl_IO_List[[#This Row],[Front Terminal Number]]</f>
        <v>C7S3-</v>
      </c>
      <c r="AR944" s="143"/>
      <c r="AS944" s="136" t="str">
        <f>tbl_IO_List[[#This Row],[Terminal Tagging]]&amp;"-"&amp;tbl_IO_List[[#This Row],[Point-Count]]</f>
        <v>-</v>
      </c>
      <c r="AT944" s="136" t="str">
        <f>tbl_IO_List[[#This Row],[Front Terminal Tagging]]&amp;"/"&amp;tbl_IO_List[[#This Row],[Terminal Tagging-Item]]</f>
        <v>C7S3-/-</v>
      </c>
      <c r="AU944" s="136" t="str">
        <f>tbl_IO_List[[#This Row],[Terminal Tagging-Item]]&amp;"/"&amp;tbl_IO_List[[#This Row],[Front Terminal Tagging]]</f>
        <v>-/C7S3-</v>
      </c>
    </row>
    <row r="945" spans="1:47" hidden="1">
      <c r="A945" s="136" t="s">
        <v>1307</v>
      </c>
      <c r="B945" s="136" t="s">
        <v>1307</v>
      </c>
      <c r="C945" s="136" t="str">
        <f>tbl_IO_List[[#This Row],[Column3]]</f>
        <v>C7S03,13</v>
      </c>
      <c r="D945" s="136" t="e">
        <f>tbl_IO_List[[#This Row],[Card]]</f>
        <v>#N/A</v>
      </c>
      <c r="E945" s="136"/>
      <c r="F945" s="136" t="str">
        <f>tbl_IO_List[[#This Row],[Column23]]&amp;"-" &amp;tbl_IO_List[[#This Row],[Column52]]</f>
        <v>C7S03-</v>
      </c>
      <c r="G945" s="136" t="str">
        <f>tbl_IO_List[[#This Row],[PLC_Tag]]</f>
        <v>HS-61307B_DI_1</v>
      </c>
      <c r="H945" s="136"/>
      <c r="I945" s="136" t="str">
        <f>VLOOKUP(tbl_IO_List[[#This Row],[Destination]],tbl_Junction[],2,FALSE)</f>
        <v>MCC Room</v>
      </c>
      <c r="J945" s="136" t="s">
        <v>360</v>
      </c>
      <c r="K945" s="136" t="s">
        <v>66</v>
      </c>
      <c r="L945" s="136" t="s">
        <v>361</v>
      </c>
      <c r="M945" s="136">
        <f>VLOOKUP(tbl_IO_List[[#This Row],[Instruement Tag]],tbl_Instruement_List[],2,FALSE)</f>
        <v>0</v>
      </c>
      <c r="N945" s="136" t="s">
        <v>91</v>
      </c>
      <c r="O945" s="136" t="s">
        <v>67</v>
      </c>
      <c r="P945" s="136" t="s">
        <v>68</v>
      </c>
      <c r="Q945" s="136" t="str">
        <f>VLOOKUP(tbl_IO_List[[#This Row],[Instruement Tag]],tbl_Instruement_List[],6,FALSE)</f>
        <v>Start/Stop</v>
      </c>
      <c r="R945" s="136"/>
      <c r="S94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45" s="136" t="str">
        <f>tbl_IO_List[[#This Row],[Instruement Tag]]&amp;"_"&amp;tbl_IO_List[[#This Row],[I/O Type]]&amp;"_"&amp;tbl_IO_List[[#This Row],[IO-Point 
(Instruement)]]</f>
        <v>HS-61307B_DI_1</v>
      </c>
      <c r="U945" s="136" t="s">
        <v>8</v>
      </c>
      <c r="V945" s="136">
        <f>VLOOKUP(tbl_IO_List[[#This Row],[I/O Type]],tbl_Slot_Group[],2,FALSE)</f>
        <v>1</v>
      </c>
      <c r="W945" s="136">
        <v>1</v>
      </c>
      <c r="X945" s="136" t="str">
        <f>tbl_IO_List[[#This Row],[Chassis]]&amp;"S"&amp;TEXT(tbl_IO_List[[#This Row],[Slot]],"00")</f>
        <v>C7S03</v>
      </c>
      <c r="Y945" s="136" t="str">
        <f>tbl_IO_List[[#This Row],[Chassis]]&amp;"S"&amp;TEXT(tbl_IO_List[[#This Row],[Slot]],"00")&amp;tbl_IO_List[[#This Row],[I/O Type]]&amp;TEXT(tbl_IO_List[[#This Row],[Point]],"00")</f>
        <v>C7S03DI13</v>
      </c>
      <c r="Z945" s="136" t="str">
        <f>tbl_IO_List[[#This Row],[Chassis]]&amp;"S"&amp;TEXT(tbl_IO_List[[#This Row],[Slot]],"00")&amp;","&amp;TEXT(tbl_IO_List[[#This Row],[Point]],"00")</f>
        <v>C7S03,13</v>
      </c>
      <c r="AA945" s="136" t="e">
        <f>VLOOKUP(tbl_IO_List[[#This Row],[Column23]],tbl_RackConfig[],5,FALSE) &amp;"-"&amp;tbl_IO_List[[#This Row],[Point]]</f>
        <v>#N/A</v>
      </c>
      <c r="AB945" s="136"/>
      <c r="AC945" s="136"/>
      <c r="AD945" s="136" t="str">
        <f>tbl_IO_List[[#This Row],[I/O Type]]</f>
        <v>DI</v>
      </c>
      <c r="AE945" s="136" t="s">
        <v>1368</v>
      </c>
      <c r="AF945" s="136">
        <v>3</v>
      </c>
      <c r="AG945" s="136">
        <v>13</v>
      </c>
      <c r="AH945" s="136"/>
      <c r="AI945" s="136"/>
      <c r="AJ945" s="136">
        <v>1</v>
      </c>
      <c r="AK945" s="136">
        <v>0</v>
      </c>
      <c r="AL945" s="136">
        <v>0</v>
      </c>
      <c r="AM945" s="136">
        <v>0</v>
      </c>
      <c r="AN945" s="136">
        <v>0</v>
      </c>
      <c r="AO945" s="136"/>
      <c r="AP945" s="143" t="str">
        <f>VLOOKUP(tbl_IO_List[[#This Row],[Instruement Tag]],tbl_Instruement_List[],14,FALSE)</f>
        <v>Dry Contact</v>
      </c>
      <c r="AQ945" s="143" t="str">
        <f>tbl_IO_List[[#This Row],[Chassis]]&amp;"S"&amp;tbl_IO_List[[#This Row],[Slot]]&amp;"-"&amp;tbl_IO_List[[#This Row],[Front Terminal Number]]</f>
        <v>C7S3-</v>
      </c>
      <c r="AR945" s="143"/>
      <c r="AS945" s="136" t="str">
        <f>tbl_IO_List[[#This Row],[Terminal Tagging]]&amp;"-"&amp;tbl_IO_List[[#This Row],[Point-Count]]</f>
        <v>-</v>
      </c>
      <c r="AT945" s="136" t="str">
        <f>tbl_IO_List[[#This Row],[Front Terminal Tagging]]&amp;"/"&amp;tbl_IO_List[[#This Row],[Terminal Tagging-Item]]</f>
        <v>C7S3-/-</v>
      </c>
      <c r="AU945" s="136" t="str">
        <f>tbl_IO_List[[#This Row],[Terminal Tagging-Item]]&amp;"/"&amp;tbl_IO_List[[#This Row],[Front Terminal Tagging]]</f>
        <v>-/C7S3-</v>
      </c>
    </row>
    <row r="946" spans="1:47" hidden="1">
      <c r="A946" s="136" t="s">
        <v>1307</v>
      </c>
      <c r="B946" s="136" t="s">
        <v>1307</v>
      </c>
      <c r="C946" s="136" t="str">
        <f>tbl_IO_List[[#This Row],[Column3]]</f>
        <v>C7S03,14</v>
      </c>
      <c r="D946" s="136" t="e">
        <f>tbl_IO_List[[#This Row],[Card]]</f>
        <v>#N/A</v>
      </c>
      <c r="E946" s="136"/>
      <c r="F946" s="136" t="str">
        <f>tbl_IO_List[[#This Row],[Column23]]&amp;"-" &amp;tbl_IO_List[[#This Row],[Column52]]</f>
        <v>C7S03-</v>
      </c>
      <c r="G946" s="136" t="str">
        <f>tbl_IO_List[[#This Row],[PLC_Tag]]</f>
        <v>HS-61307C_DI_1</v>
      </c>
      <c r="H946" s="136"/>
      <c r="I946" s="136" t="str">
        <f>VLOOKUP(tbl_IO_List[[#This Row],[Destination]],tbl_Junction[],2,FALSE)</f>
        <v>MCC Room</v>
      </c>
      <c r="J946" s="136" t="s">
        <v>360</v>
      </c>
      <c r="K946" s="136" t="s">
        <v>66</v>
      </c>
      <c r="L946" s="136" t="s">
        <v>362</v>
      </c>
      <c r="M946" s="136">
        <f>VLOOKUP(tbl_IO_List[[#This Row],[Instruement Tag]],tbl_Instruement_List[],2,FALSE)</f>
        <v>0</v>
      </c>
      <c r="N946" s="136" t="s">
        <v>95</v>
      </c>
      <c r="O946" s="136" t="s">
        <v>67</v>
      </c>
      <c r="P946" s="136" t="s">
        <v>68</v>
      </c>
      <c r="Q946" s="136" t="str">
        <f>VLOOKUP(tbl_IO_List[[#This Row],[Instruement Tag]],tbl_Instruement_List[],6,FALSE)</f>
        <v>Start/Stop</v>
      </c>
      <c r="R946" s="136"/>
      <c r="S94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46" s="136" t="str">
        <f>tbl_IO_List[[#This Row],[Instruement Tag]]&amp;"_"&amp;tbl_IO_List[[#This Row],[I/O Type]]&amp;"_"&amp;tbl_IO_List[[#This Row],[IO-Point 
(Instruement)]]</f>
        <v>HS-61307C_DI_1</v>
      </c>
      <c r="U946" s="136" t="s">
        <v>8</v>
      </c>
      <c r="V946" s="136">
        <f>VLOOKUP(tbl_IO_List[[#This Row],[I/O Type]],tbl_Slot_Group[],2,FALSE)</f>
        <v>1</v>
      </c>
      <c r="W946" s="136">
        <v>1</v>
      </c>
      <c r="X946" s="136" t="str">
        <f>tbl_IO_List[[#This Row],[Chassis]]&amp;"S"&amp;TEXT(tbl_IO_List[[#This Row],[Slot]],"00")</f>
        <v>C7S03</v>
      </c>
      <c r="Y946" s="136" t="str">
        <f>tbl_IO_List[[#This Row],[Chassis]]&amp;"S"&amp;TEXT(tbl_IO_List[[#This Row],[Slot]],"00")&amp;tbl_IO_List[[#This Row],[I/O Type]]&amp;TEXT(tbl_IO_List[[#This Row],[Point]],"00")</f>
        <v>C7S03DI14</v>
      </c>
      <c r="Z946" s="136" t="str">
        <f>tbl_IO_List[[#This Row],[Chassis]]&amp;"S"&amp;TEXT(tbl_IO_List[[#This Row],[Slot]],"00")&amp;","&amp;TEXT(tbl_IO_List[[#This Row],[Point]],"00")</f>
        <v>C7S03,14</v>
      </c>
      <c r="AA946" s="136" t="e">
        <f>VLOOKUP(tbl_IO_List[[#This Row],[Column23]],tbl_RackConfig[],5,FALSE) &amp;"-"&amp;tbl_IO_List[[#This Row],[Point]]</f>
        <v>#N/A</v>
      </c>
      <c r="AB946" s="136"/>
      <c r="AC946" s="136"/>
      <c r="AD946" s="136" t="str">
        <f>tbl_IO_List[[#This Row],[I/O Type]]</f>
        <v>DI</v>
      </c>
      <c r="AE946" s="136" t="s">
        <v>1368</v>
      </c>
      <c r="AF946" s="136">
        <v>3</v>
      </c>
      <c r="AG946" s="136">
        <v>14</v>
      </c>
      <c r="AH946" s="136"/>
      <c r="AI946" s="136"/>
      <c r="AJ946" s="136">
        <v>1</v>
      </c>
      <c r="AK946" s="136">
        <v>0</v>
      </c>
      <c r="AL946" s="136">
        <v>0</v>
      </c>
      <c r="AM946" s="136">
        <v>0</v>
      </c>
      <c r="AN946" s="136">
        <v>0</v>
      </c>
      <c r="AO946" s="136"/>
      <c r="AP946" s="143" t="str">
        <f>VLOOKUP(tbl_IO_List[[#This Row],[Instruement Tag]],tbl_Instruement_List[],14,FALSE)</f>
        <v>Dry Contact</v>
      </c>
      <c r="AQ946" s="143" t="str">
        <f>tbl_IO_List[[#This Row],[Chassis]]&amp;"S"&amp;tbl_IO_List[[#This Row],[Slot]]&amp;"-"&amp;tbl_IO_List[[#This Row],[Front Terminal Number]]</f>
        <v>C7S3-</v>
      </c>
      <c r="AR946" s="143"/>
      <c r="AS946" s="136" t="str">
        <f>tbl_IO_List[[#This Row],[Terminal Tagging]]&amp;"-"&amp;tbl_IO_List[[#This Row],[Point-Count]]</f>
        <v>-</v>
      </c>
      <c r="AT946" s="136" t="str">
        <f>tbl_IO_List[[#This Row],[Front Terminal Tagging]]&amp;"/"&amp;tbl_IO_List[[#This Row],[Terminal Tagging-Item]]</f>
        <v>C7S3-/-</v>
      </c>
      <c r="AU946" s="136" t="str">
        <f>tbl_IO_List[[#This Row],[Terminal Tagging-Item]]&amp;"/"&amp;tbl_IO_List[[#This Row],[Front Terminal Tagging]]</f>
        <v>-/C7S3-</v>
      </c>
    </row>
    <row r="947" spans="1:47" hidden="1">
      <c r="A947" s="136" t="s">
        <v>1307</v>
      </c>
      <c r="B947" s="136" t="s">
        <v>1307</v>
      </c>
      <c r="C947" s="136" t="str">
        <f>tbl_IO_List[[#This Row],[Column3]]</f>
        <v>C7S03,15</v>
      </c>
      <c r="D947" s="136" t="e">
        <f>tbl_IO_List[[#This Row],[Card]]</f>
        <v>#N/A</v>
      </c>
      <c r="E947" s="136"/>
      <c r="F947" s="136" t="str">
        <f>tbl_IO_List[[#This Row],[Column23]]&amp;"-" &amp;tbl_IO_List[[#This Row],[Column52]]</f>
        <v>C7S03-</v>
      </c>
      <c r="G947" s="136" t="str">
        <f>tbl_IO_List[[#This Row],[PLC_Tag]]</f>
        <v>HS-61307D_DI_1</v>
      </c>
      <c r="H947" s="136"/>
      <c r="I947" s="136" t="str">
        <f>VLOOKUP(tbl_IO_List[[#This Row],[Destination]],tbl_Junction[],2,FALSE)</f>
        <v>MCC Room</v>
      </c>
      <c r="J947" s="136" t="s">
        <v>360</v>
      </c>
      <c r="K947" s="136" t="s">
        <v>66</v>
      </c>
      <c r="L947" s="136" t="s">
        <v>363</v>
      </c>
      <c r="M947" s="136">
        <f>VLOOKUP(tbl_IO_List[[#This Row],[Instruement Tag]],tbl_Instruement_List[],2,FALSE)</f>
        <v>0</v>
      </c>
      <c r="N947" s="136" t="s">
        <v>47</v>
      </c>
      <c r="O947" s="136" t="s">
        <v>67</v>
      </c>
      <c r="P947" s="136" t="s">
        <v>68</v>
      </c>
      <c r="Q947" s="136" t="str">
        <f>VLOOKUP(tbl_IO_List[[#This Row],[Instruement Tag]],tbl_Instruement_List[],6,FALSE)</f>
        <v>Start/Stop</v>
      </c>
      <c r="R947" s="136"/>
      <c r="S94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47" s="136" t="str">
        <f>tbl_IO_List[[#This Row],[Instruement Tag]]&amp;"_"&amp;tbl_IO_List[[#This Row],[I/O Type]]&amp;"_"&amp;tbl_IO_List[[#This Row],[IO-Point 
(Instruement)]]</f>
        <v>HS-61307D_DI_1</v>
      </c>
      <c r="U947" s="136" t="s">
        <v>8</v>
      </c>
      <c r="V947" s="136">
        <f>VLOOKUP(tbl_IO_List[[#This Row],[I/O Type]],tbl_Slot_Group[],2,FALSE)</f>
        <v>1</v>
      </c>
      <c r="W947" s="136">
        <v>1</v>
      </c>
      <c r="X947" s="136" t="str">
        <f>tbl_IO_List[[#This Row],[Chassis]]&amp;"S"&amp;TEXT(tbl_IO_List[[#This Row],[Slot]],"00")</f>
        <v>C7S03</v>
      </c>
      <c r="Y947" s="136" t="str">
        <f>tbl_IO_List[[#This Row],[Chassis]]&amp;"S"&amp;TEXT(tbl_IO_List[[#This Row],[Slot]],"00")&amp;tbl_IO_List[[#This Row],[I/O Type]]&amp;TEXT(tbl_IO_List[[#This Row],[Point]],"00")</f>
        <v>C7S03DI15</v>
      </c>
      <c r="Z947" s="136" t="str">
        <f>tbl_IO_List[[#This Row],[Chassis]]&amp;"S"&amp;TEXT(tbl_IO_List[[#This Row],[Slot]],"00")&amp;","&amp;TEXT(tbl_IO_List[[#This Row],[Point]],"00")</f>
        <v>C7S03,15</v>
      </c>
      <c r="AA947" s="136" t="e">
        <f>VLOOKUP(tbl_IO_List[[#This Row],[Column23]],tbl_RackConfig[],5,FALSE) &amp;"-"&amp;tbl_IO_List[[#This Row],[Point]]</f>
        <v>#N/A</v>
      </c>
      <c r="AB947" s="136"/>
      <c r="AC947" s="136"/>
      <c r="AD947" s="136" t="str">
        <f>tbl_IO_List[[#This Row],[I/O Type]]</f>
        <v>DI</v>
      </c>
      <c r="AE947" s="136" t="s">
        <v>1368</v>
      </c>
      <c r="AF947" s="136">
        <v>3</v>
      </c>
      <c r="AG947" s="136">
        <v>15</v>
      </c>
      <c r="AH947" s="136"/>
      <c r="AI947" s="136"/>
      <c r="AJ947" s="136">
        <v>1</v>
      </c>
      <c r="AK947" s="136">
        <v>0</v>
      </c>
      <c r="AL947" s="136">
        <v>0</v>
      </c>
      <c r="AM947" s="136">
        <v>0</v>
      </c>
      <c r="AN947" s="136">
        <v>0</v>
      </c>
      <c r="AO947" s="136"/>
      <c r="AP947" s="143" t="str">
        <f>VLOOKUP(tbl_IO_List[[#This Row],[Instruement Tag]],tbl_Instruement_List[],14,FALSE)</f>
        <v>Dry Contact</v>
      </c>
      <c r="AQ947" s="143" t="str">
        <f>tbl_IO_List[[#This Row],[Chassis]]&amp;"S"&amp;tbl_IO_List[[#This Row],[Slot]]&amp;"-"&amp;tbl_IO_List[[#This Row],[Front Terminal Number]]</f>
        <v>C7S3-</v>
      </c>
      <c r="AR947" s="143"/>
      <c r="AS947" s="136" t="str">
        <f>tbl_IO_List[[#This Row],[Terminal Tagging]]&amp;"-"&amp;tbl_IO_List[[#This Row],[Point-Count]]</f>
        <v>-</v>
      </c>
      <c r="AT947" s="136" t="str">
        <f>tbl_IO_List[[#This Row],[Front Terminal Tagging]]&amp;"/"&amp;tbl_IO_List[[#This Row],[Terminal Tagging-Item]]</f>
        <v>C7S3-/-</v>
      </c>
      <c r="AU947" s="136" t="str">
        <f>tbl_IO_List[[#This Row],[Terminal Tagging-Item]]&amp;"/"&amp;tbl_IO_List[[#This Row],[Front Terminal Tagging]]</f>
        <v>-/C7S3-</v>
      </c>
    </row>
    <row r="948" spans="1:47" hidden="1">
      <c r="A948" s="136" t="s">
        <v>1307</v>
      </c>
      <c r="B948" s="136" t="s">
        <v>1307</v>
      </c>
      <c r="C948" s="136" t="str">
        <f>tbl_IO_List[[#This Row],[Column3]]</f>
        <v>C7S03,16</v>
      </c>
      <c r="D948" s="136" t="e">
        <f>tbl_IO_List[[#This Row],[Card]]</f>
        <v>#N/A</v>
      </c>
      <c r="E948" s="136"/>
      <c r="F948" s="136" t="str">
        <f>tbl_IO_List[[#This Row],[Column23]]&amp;"-" &amp;tbl_IO_List[[#This Row],[Column52]]</f>
        <v>C7S03-</v>
      </c>
      <c r="G948" s="136" t="str">
        <f>tbl_IO_List[[#This Row],[PLC_Tag]]</f>
        <v>HS-61307E_DI_1</v>
      </c>
      <c r="H948" s="136"/>
      <c r="I948" s="136" t="str">
        <f>VLOOKUP(tbl_IO_List[[#This Row],[Destination]],tbl_Junction[],2,FALSE)</f>
        <v>MCC Room</v>
      </c>
      <c r="J948" s="136" t="s">
        <v>360</v>
      </c>
      <c r="K948" s="136" t="s">
        <v>66</v>
      </c>
      <c r="L948" s="136" t="s">
        <v>364</v>
      </c>
      <c r="M948" s="136">
        <f>VLOOKUP(tbl_IO_List[[#This Row],[Instruement Tag]],tbl_Instruement_List[],2,FALSE)</f>
        <v>0</v>
      </c>
      <c r="N948" s="136" t="s">
        <v>47</v>
      </c>
      <c r="O948" s="136" t="s">
        <v>67</v>
      </c>
      <c r="P948" s="136" t="s">
        <v>68</v>
      </c>
      <c r="Q948" s="136" t="str">
        <f>VLOOKUP(tbl_IO_List[[#This Row],[Instruement Tag]],tbl_Instruement_List[],6,FALSE)</f>
        <v>Start/Stop</v>
      </c>
      <c r="R948" s="136"/>
      <c r="S94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48" s="136" t="str">
        <f>tbl_IO_List[[#This Row],[Instruement Tag]]&amp;"_"&amp;tbl_IO_List[[#This Row],[I/O Type]]&amp;"_"&amp;tbl_IO_List[[#This Row],[IO-Point 
(Instruement)]]</f>
        <v>HS-61307E_DI_1</v>
      </c>
      <c r="U948" s="136" t="s">
        <v>8</v>
      </c>
      <c r="V948" s="136">
        <f>VLOOKUP(tbl_IO_List[[#This Row],[I/O Type]],tbl_Slot_Group[],2,FALSE)</f>
        <v>1</v>
      </c>
      <c r="W948" s="136">
        <v>1</v>
      </c>
      <c r="X948" s="136" t="str">
        <f>tbl_IO_List[[#This Row],[Chassis]]&amp;"S"&amp;TEXT(tbl_IO_List[[#This Row],[Slot]],"00")</f>
        <v>C7S03</v>
      </c>
      <c r="Y948" s="136" t="str">
        <f>tbl_IO_List[[#This Row],[Chassis]]&amp;"S"&amp;TEXT(tbl_IO_List[[#This Row],[Slot]],"00")&amp;tbl_IO_List[[#This Row],[I/O Type]]&amp;TEXT(tbl_IO_List[[#This Row],[Point]],"00")</f>
        <v>C7S03DI16</v>
      </c>
      <c r="Z948" s="136" t="str">
        <f>tbl_IO_List[[#This Row],[Chassis]]&amp;"S"&amp;TEXT(tbl_IO_List[[#This Row],[Slot]],"00")&amp;","&amp;TEXT(tbl_IO_List[[#This Row],[Point]],"00")</f>
        <v>C7S03,16</v>
      </c>
      <c r="AA948" s="136" t="e">
        <f>VLOOKUP(tbl_IO_List[[#This Row],[Column23]],tbl_RackConfig[],5,FALSE) &amp;"-"&amp;tbl_IO_List[[#This Row],[Point]]</f>
        <v>#N/A</v>
      </c>
      <c r="AB948" s="136"/>
      <c r="AC948" s="136"/>
      <c r="AD948" s="136" t="str">
        <f>tbl_IO_List[[#This Row],[I/O Type]]</f>
        <v>DI</v>
      </c>
      <c r="AE948" s="136" t="s">
        <v>1368</v>
      </c>
      <c r="AF948" s="136">
        <v>3</v>
      </c>
      <c r="AG948" s="136">
        <v>16</v>
      </c>
      <c r="AH948" s="136"/>
      <c r="AI948" s="136"/>
      <c r="AJ948" s="136">
        <v>1</v>
      </c>
      <c r="AK948" s="136">
        <v>0</v>
      </c>
      <c r="AL948" s="136">
        <v>0</v>
      </c>
      <c r="AM948" s="136">
        <v>0</v>
      </c>
      <c r="AN948" s="136">
        <v>0</v>
      </c>
      <c r="AO948" s="136"/>
      <c r="AP948" s="143" t="str">
        <f>VLOOKUP(tbl_IO_List[[#This Row],[Instruement Tag]],tbl_Instruement_List[],14,FALSE)</f>
        <v>Dry Contact</v>
      </c>
      <c r="AQ948" s="143" t="str">
        <f>tbl_IO_List[[#This Row],[Chassis]]&amp;"S"&amp;tbl_IO_List[[#This Row],[Slot]]&amp;"-"&amp;tbl_IO_List[[#This Row],[Front Terminal Number]]</f>
        <v>C7S3-</v>
      </c>
      <c r="AR948" s="143"/>
      <c r="AS948" s="136" t="str">
        <f>tbl_IO_List[[#This Row],[Terminal Tagging]]&amp;"-"&amp;tbl_IO_List[[#This Row],[Point-Count]]</f>
        <v>-</v>
      </c>
      <c r="AT948" s="136" t="str">
        <f>tbl_IO_List[[#This Row],[Front Terminal Tagging]]&amp;"/"&amp;tbl_IO_List[[#This Row],[Terminal Tagging-Item]]</f>
        <v>C7S3-/-</v>
      </c>
      <c r="AU948" s="136" t="str">
        <f>tbl_IO_List[[#This Row],[Terminal Tagging-Item]]&amp;"/"&amp;tbl_IO_List[[#This Row],[Front Terminal Tagging]]</f>
        <v>-/C7S3-</v>
      </c>
    </row>
    <row r="949" spans="1:47" hidden="1">
      <c r="A949" s="136" t="s">
        <v>1307</v>
      </c>
      <c r="B949" s="136" t="s">
        <v>1307</v>
      </c>
      <c r="C949" s="136" t="str">
        <f>tbl_IO_List[[#This Row],[Column3]]</f>
        <v>C7S03,17</v>
      </c>
      <c r="D949" s="136" t="e">
        <f>tbl_IO_List[[#This Row],[Card]]</f>
        <v>#N/A</v>
      </c>
      <c r="E949" s="136"/>
      <c r="F949" s="136" t="str">
        <f>tbl_IO_List[[#This Row],[Column23]]&amp;"-" &amp;tbl_IO_List[[#This Row],[Column52]]</f>
        <v>C7S03-</v>
      </c>
      <c r="G949" s="136" t="str">
        <f>tbl_IO_List[[#This Row],[PLC_Tag]]</f>
        <v>RVM-60204_DI_1</v>
      </c>
      <c r="H949" s="136"/>
      <c r="I949" s="136" t="str">
        <f>VLOOKUP(tbl_IO_List[[#This Row],[Destination]],tbl_Junction[],2,FALSE)</f>
        <v>MCC Room</v>
      </c>
      <c r="J949" s="136" t="s">
        <v>360</v>
      </c>
      <c r="K949" s="136" t="s">
        <v>66</v>
      </c>
      <c r="L949" s="136" t="s">
        <v>904</v>
      </c>
      <c r="M949" s="136">
        <f>VLOOKUP(tbl_IO_List[[#This Row],[Instruement Tag]],tbl_Instruement_List[],2,FALSE)</f>
        <v>0</v>
      </c>
      <c r="N949" s="136" t="s">
        <v>93</v>
      </c>
      <c r="O949" s="136" t="s">
        <v>192</v>
      </c>
      <c r="P949" s="136" t="s">
        <v>18</v>
      </c>
      <c r="Q949" s="136" t="str">
        <f>VLOOKUP(tbl_IO_List[[#This Row],[Instruement Tag]],tbl_Instruement_List[],6,FALSE)</f>
        <v xml:space="preserve"> Start / Stop Command for FVNR RV-60204 (Recycle silo Rotary Valve)</v>
      </c>
      <c r="R949" s="136"/>
      <c r="S94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949" s="136" t="str">
        <f>tbl_IO_List[[#This Row],[Instruement Tag]]&amp;"_"&amp;tbl_IO_List[[#This Row],[I/O Type]]&amp;"_"&amp;tbl_IO_List[[#This Row],[IO-Point 
(Instruement)]]</f>
        <v>RVM-60204_DI_1</v>
      </c>
      <c r="U949" s="136" t="s">
        <v>8</v>
      </c>
      <c r="V949" s="136">
        <f>VLOOKUP(tbl_IO_List[[#This Row],[I/O Type]],tbl_Slot_Group[],2,FALSE)</f>
        <v>1</v>
      </c>
      <c r="W949" s="136">
        <v>1</v>
      </c>
      <c r="X949" s="136" t="str">
        <f>tbl_IO_List[[#This Row],[Chassis]]&amp;"S"&amp;TEXT(tbl_IO_List[[#This Row],[Slot]],"00")</f>
        <v>C7S03</v>
      </c>
      <c r="Y949" s="136" t="str">
        <f>tbl_IO_List[[#This Row],[Chassis]]&amp;"S"&amp;TEXT(tbl_IO_List[[#This Row],[Slot]],"00")&amp;tbl_IO_List[[#This Row],[I/O Type]]&amp;TEXT(tbl_IO_List[[#This Row],[Point]],"00")</f>
        <v>C7S03DI17</v>
      </c>
      <c r="Z949" s="136" t="str">
        <f>tbl_IO_List[[#This Row],[Chassis]]&amp;"S"&amp;TEXT(tbl_IO_List[[#This Row],[Slot]],"00")&amp;","&amp;TEXT(tbl_IO_List[[#This Row],[Point]],"00")</f>
        <v>C7S03,17</v>
      </c>
      <c r="AA949" s="136" t="e">
        <f>VLOOKUP(tbl_IO_List[[#This Row],[Column23]],tbl_RackConfig[],5,FALSE) &amp;"-"&amp;tbl_IO_List[[#This Row],[Point]]</f>
        <v>#N/A</v>
      </c>
      <c r="AB949" s="136"/>
      <c r="AC949" s="136"/>
      <c r="AD949" s="136" t="str">
        <f>tbl_IO_List[[#This Row],[I/O Type]]</f>
        <v>DI</v>
      </c>
      <c r="AE949" s="136" t="s">
        <v>1368</v>
      </c>
      <c r="AF949" s="136">
        <v>3</v>
      </c>
      <c r="AG949" s="136">
        <v>17</v>
      </c>
      <c r="AH949" s="136"/>
      <c r="AI949" s="136"/>
      <c r="AJ949" s="136">
        <v>2</v>
      </c>
      <c r="AK949" s="136">
        <v>2</v>
      </c>
      <c r="AL949" s="136">
        <v>0</v>
      </c>
      <c r="AM949" s="136">
        <v>0</v>
      </c>
      <c r="AN949" s="136">
        <v>0</v>
      </c>
      <c r="AO949" s="136"/>
      <c r="AP949" s="143" t="str">
        <f>VLOOKUP(tbl_IO_List[[#This Row],[Instruement Tag]],tbl_Instruement_List[],14,FALSE)</f>
        <v>24 VDC energized</v>
      </c>
      <c r="AQ949" s="143" t="str">
        <f>tbl_IO_List[[#This Row],[Chassis]]&amp;"S"&amp;tbl_IO_List[[#This Row],[Slot]]&amp;"-"&amp;tbl_IO_List[[#This Row],[Front Terminal Number]]</f>
        <v>C7S3-</v>
      </c>
      <c r="AR949" s="143"/>
      <c r="AS949" s="136" t="str">
        <f>tbl_IO_List[[#This Row],[Terminal Tagging]]&amp;"-"&amp;tbl_IO_List[[#This Row],[Point-Count]]</f>
        <v>-</v>
      </c>
      <c r="AT949" s="136" t="str">
        <f>tbl_IO_List[[#This Row],[Front Terminal Tagging]]&amp;"/"&amp;tbl_IO_List[[#This Row],[Terminal Tagging-Item]]</f>
        <v>C7S3-/-</v>
      </c>
      <c r="AU949" s="136" t="str">
        <f>tbl_IO_List[[#This Row],[Terminal Tagging-Item]]&amp;"/"&amp;tbl_IO_List[[#This Row],[Front Terminal Tagging]]</f>
        <v>-/C7S3-</v>
      </c>
    </row>
    <row r="950" spans="1:47" hidden="1">
      <c r="A950" s="136" t="s">
        <v>1307</v>
      </c>
      <c r="B950" s="136" t="s">
        <v>1307</v>
      </c>
      <c r="C950" s="136" t="str">
        <f>tbl_IO_List[[#This Row],[Column3]]</f>
        <v>C7S03,18</v>
      </c>
      <c r="D950" s="136" t="e">
        <f>tbl_IO_List[[#This Row],[Card]]</f>
        <v>#N/A</v>
      </c>
      <c r="E950" s="136"/>
      <c r="F950" s="136" t="str">
        <f>tbl_IO_List[[#This Row],[Column23]]&amp;"-" &amp;tbl_IO_List[[#This Row],[Column52]]</f>
        <v>C7S03-</v>
      </c>
      <c r="G950" s="136" t="str">
        <f>tbl_IO_List[[#This Row],[PLC_Tag]]</f>
        <v>RVM-60204_DI_2</v>
      </c>
      <c r="H950" s="136"/>
      <c r="I950" s="136" t="str">
        <f>VLOOKUP(tbl_IO_List[[#This Row],[Destination]],tbl_Junction[],2,FALSE)</f>
        <v>MCC Room</v>
      </c>
      <c r="J950" s="136" t="s">
        <v>360</v>
      </c>
      <c r="K950" s="136" t="s">
        <v>66</v>
      </c>
      <c r="L950" s="136" t="s">
        <v>904</v>
      </c>
      <c r="M950" s="136">
        <f>VLOOKUP(tbl_IO_List[[#This Row],[Instruement Tag]],tbl_Instruement_List[],2,FALSE)</f>
        <v>0</v>
      </c>
      <c r="N950" s="136" t="s">
        <v>93</v>
      </c>
      <c r="O950" s="136" t="s">
        <v>192</v>
      </c>
      <c r="P950" s="136" t="s">
        <v>18</v>
      </c>
      <c r="Q950" s="136" t="str">
        <f>VLOOKUP(tbl_IO_List[[#This Row],[Instruement Tag]],tbl_Instruement_List[],6,FALSE)</f>
        <v xml:space="preserve"> Start / Stop Command for FVNR RV-60204 (Recycle silo Rotary Valve)</v>
      </c>
      <c r="R950" s="136"/>
      <c r="S95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950" s="136" t="str">
        <f>tbl_IO_List[[#This Row],[Instruement Tag]]&amp;"_"&amp;tbl_IO_List[[#This Row],[I/O Type]]&amp;"_"&amp;tbl_IO_List[[#This Row],[IO-Point 
(Instruement)]]</f>
        <v>RVM-60204_DI_2</v>
      </c>
      <c r="U950" s="136" t="s">
        <v>8</v>
      </c>
      <c r="V950" s="136">
        <f>VLOOKUP(tbl_IO_List[[#This Row],[I/O Type]],tbl_Slot_Group[],2,FALSE)</f>
        <v>1</v>
      </c>
      <c r="W950" s="136">
        <v>2</v>
      </c>
      <c r="X950" s="136" t="str">
        <f>tbl_IO_List[[#This Row],[Chassis]]&amp;"S"&amp;TEXT(tbl_IO_List[[#This Row],[Slot]],"00")</f>
        <v>C7S03</v>
      </c>
      <c r="Y950" s="136" t="str">
        <f>tbl_IO_List[[#This Row],[Chassis]]&amp;"S"&amp;TEXT(tbl_IO_List[[#This Row],[Slot]],"00")&amp;tbl_IO_List[[#This Row],[I/O Type]]&amp;TEXT(tbl_IO_List[[#This Row],[Point]],"00")</f>
        <v>C7S03DI18</v>
      </c>
      <c r="Z950" s="136" t="str">
        <f>tbl_IO_List[[#This Row],[Chassis]]&amp;"S"&amp;TEXT(tbl_IO_List[[#This Row],[Slot]],"00")&amp;","&amp;TEXT(tbl_IO_List[[#This Row],[Point]],"00")</f>
        <v>C7S03,18</v>
      </c>
      <c r="AA950" s="136" t="e">
        <f>VLOOKUP(tbl_IO_List[[#This Row],[Column23]],tbl_RackConfig[],5,FALSE) &amp;"-"&amp;tbl_IO_List[[#This Row],[Point]]</f>
        <v>#N/A</v>
      </c>
      <c r="AB950" s="136"/>
      <c r="AC950" s="136"/>
      <c r="AD950" s="136" t="str">
        <f>tbl_IO_List[[#This Row],[I/O Type]]</f>
        <v>DI</v>
      </c>
      <c r="AE950" s="136" t="s">
        <v>1368</v>
      </c>
      <c r="AF950" s="136">
        <v>3</v>
      </c>
      <c r="AG950" s="136">
        <v>18</v>
      </c>
      <c r="AH950" s="136"/>
      <c r="AI950" s="136"/>
      <c r="AJ950" s="136">
        <v>2</v>
      </c>
      <c r="AK950" s="136">
        <v>2</v>
      </c>
      <c r="AL950" s="136">
        <v>0</v>
      </c>
      <c r="AM950" s="136">
        <v>0</v>
      </c>
      <c r="AN950" s="136">
        <v>0</v>
      </c>
      <c r="AO950" s="136"/>
      <c r="AP950" s="143" t="str">
        <f>VLOOKUP(tbl_IO_List[[#This Row],[Instruement Tag]],tbl_Instruement_List[],14,FALSE)</f>
        <v>24 VDC energized</v>
      </c>
      <c r="AQ950" s="143" t="str">
        <f>tbl_IO_List[[#This Row],[Chassis]]&amp;"S"&amp;tbl_IO_List[[#This Row],[Slot]]&amp;"-"&amp;tbl_IO_List[[#This Row],[Front Terminal Number]]</f>
        <v>C7S3-</v>
      </c>
      <c r="AR950" s="143"/>
      <c r="AS950" s="136" t="str">
        <f>tbl_IO_List[[#This Row],[Terminal Tagging]]&amp;"-"&amp;tbl_IO_List[[#This Row],[Point-Count]]</f>
        <v>-</v>
      </c>
      <c r="AT950" s="136" t="str">
        <f>tbl_IO_List[[#This Row],[Front Terminal Tagging]]&amp;"/"&amp;tbl_IO_List[[#This Row],[Terminal Tagging-Item]]</f>
        <v>C7S3-/-</v>
      </c>
      <c r="AU950" s="136" t="str">
        <f>tbl_IO_List[[#This Row],[Terminal Tagging-Item]]&amp;"/"&amp;tbl_IO_List[[#This Row],[Front Terminal Tagging]]</f>
        <v>-/C7S3-</v>
      </c>
    </row>
    <row r="951" spans="1:47" hidden="1">
      <c r="A951" s="136" t="s">
        <v>1307</v>
      </c>
      <c r="B951" s="136" t="s">
        <v>1307</v>
      </c>
      <c r="C951" s="136" t="str">
        <f>tbl_IO_List[[#This Row],[Column3]]</f>
        <v>C7S03,19</v>
      </c>
      <c r="D951" s="136" t="e">
        <f>tbl_IO_List[[#This Row],[Card]]</f>
        <v>#N/A</v>
      </c>
      <c r="E951" s="136"/>
      <c r="F951" s="136" t="str">
        <f>tbl_IO_List[[#This Row],[Column23]]&amp;"-" &amp;tbl_IO_List[[#This Row],[Column52]]</f>
        <v>C7S03-</v>
      </c>
      <c r="G951" s="136" t="str">
        <f>tbl_IO_List[[#This Row],[PLC_Tag]]</f>
        <v>RVM-61301_DI_1</v>
      </c>
      <c r="H951" s="136"/>
      <c r="I951" s="136" t="str">
        <f>VLOOKUP(tbl_IO_List[[#This Row],[Destination]],tbl_Junction[],2,FALSE)</f>
        <v>MCC Room</v>
      </c>
      <c r="J951" s="136" t="s">
        <v>360</v>
      </c>
      <c r="K951" s="136" t="s">
        <v>66</v>
      </c>
      <c r="L951" s="136" t="s">
        <v>906</v>
      </c>
      <c r="M951" s="136">
        <f>VLOOKUP(tbl_IO_List[[#This Row],[Instruement Tag]],tbl_Instruement_List[],2,FALSE)</f>
        <v>0</v>
      </c>
      <c r="N951" s="136" t="s">
        <v>58</v>
      </c>
      <c r="O951" s="136" t="s">
        <v>78</v>
      </c>
      <c r="P951" s="136" t="s">
        <v>18</v>
      </c>
      <c r="Q951" s="136" t="str">
        <f>VLOOKUP(tbl_IO_List[[#This Row],[Instruement Tag]],tbl_Instruement_List[],6,FALSE)</f>
        <v xml:space="preserve"> Start / Stop Command for FVNR RV-61301</v>
      </c>
      <c r="R951" s="136"/>
      <c r="S95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951" s="136" t="str">
        <f>tbl_IO_List[[#This Row],[Instruement Tag]]&amp;"_"&amp;tbl_IO_List[[#This Row],[I/O Type]]&amp;"_"&amp;tbl_IO_List[[#This Row],[IO-Point 
(Instruement)]]</f>
        <v>RVM-61301_DI_1</v>
      </c>
      <c r="U951" s="136" t="s">
        <v>8</v>
      </c>
      <c r="V951" s="136">
        <f>VLOOKUP(tbl_IO_List[[#This Row],[I/O Type]],tbl_Slot_Group[],2,FALSE)</f>
        <v>1</v>
      </c>
      <c r="W951" s="136">
        <v>1</v>
      </c>
      <c r="X951" s="136" t="str">
        <f>tbl_IO_List[[#This Row],[Chassis]]&amp;"S"&amp;TEXT(tbl_IO_List[[#This Row],[Slot]],"00")</f>
        <v>C7S03</v>
      </c>
      <c r="Y951" s="136" t="str">
        <f>tbl_IO_List[[#This Row],[Chassis]]&amp;"S"&amp;TEXT(tbl_IO_List[[#This Row],[Slot]],"00")&amp;tbl_IO_List[[#This Row],[I/O Type]]&amp;TEXT(tbl_IO_List[[#This Row],[Point]],"00")</f>
        <v>C7S03DI19</v>
      </c>
      <c r="Z951" s="136" t="str">
        <f>tbl_IO_List[[#This Row],[Chassis]]&amp;"S"&amp;TEXT(tbl_IO_List[[#This Row],[Slot]],"00")&amp;","&amp;TEXT(tbl_IO_List[[#This Row],[Point]],"00")</f>
        <v>C7S03,19</v>
      </c>
      <c r="AA951" s="136" t="e">
        <f>VLOOKUP(tbl_IO_List[[#This Row],[Column23]],tbl_RackConfig[],5,FALSE) &amp;"-"&amp;tbl_IO_List[[#This Row],[Point]]</f>
        <v>#N/A</v>
      </c>
      <c r="AB951" s="136"/>
      <c r="AC951" s="136"/>
      <c r="AD951" s="136" t="str">
        <f>tbl_IO_List[[#This Row],[I/O Type]]</f>
        <v>DI</v>
      </c>
      <c r="AE951" s="136" t="s">
        <v>1368</v>
      </c>
      <c r="AF951" s="136">
        <v>3</v>
      </c>
      <c r="AG951" s="136">
        <v>19</v>
      </c>
      <c r="AH951" s="136"/>
      <c r="AI951" s="136"/>
      <c r="AJ951" s="136">
        <v>2</v>
      </c>
      <c r="AK951" s="136">
        <v>2</v>
      </c>
      <c r="AL951" s="136">
        <v>0</v>
      </c>
      <c r="AM951" s="136">
        <v>0</v>
      </c>
      <c r="AN951" s="136">
        <v>0</v>
      </c>
      <c r="AO951" s="136"/>
      <c r="AP951" s="143" t="str">
        <f>VLOOKUP(tbl_IO_List[[#This Row],[Instruement Tag]],tbl_Instruement_List[],14,FALSE)</f>
        <v>24 VDC energized</v>
      </c>
      <c r="AQ951" s="143" t="str">
        <f>tbl_IO_List[[#This Row],[Chassis]]&amp;"S"&amp;tbl_IO_List[[#This Row],[Slot]]&amp;"-"&amp;tbl_IO_List[[#This Row],[Front Terminal Number]]</f>
        <v>C7S3-</v>
      </c>
      <c r="AR951" s="143"/>
      <c r="AS951" s="136" t="str">
        <f>tbl_IO_List[[#This Row],[Terminal Tagging]]&amp;"-"&amp;tbl_IO_List[[#This Row],[Point-Count]]</f>
        <v>-</v>
      </c>
      <c r="AT951" s="136" t="str">
        <f>tbl_IO_List[[#This Row],[Front Terminal Tagging]]&amp;"/"&amp;tbl_IO_List[[#This Row],[Terminal Tagging-Item]]</f>
        <v>C7S3-/-</v>
      </c>
      <c r="AU951" s="136" t="str">
        <f>tbl_IO_List[[#This Row],[Terminal Tagging-Item]]&amp;"/"&amp;tbl_IO_List[[#This Row],[Front Terminal Tagging]]</f>
        <v>-/C7S3-</v>
      </c>
    </row>
    <row r="952" spans="1:47" hidden="1">
      <c r="A952" s="136" t="s">
        <v>1307</v>
      </c>
      <c r="B952" s="136" t="s">
        <v>1307</v>
      </c>
      <c r="C952" s="136" t="str">
        <f>tbl_IO_List[[#This Row],[Column3]]</f>
        <v>C7S03,20</v>
      </c>
      <c r="D952" s="136" t="e">
        <f>tbl_IO_List[[#This Row],[Card]]</f>
        <v>#N/A</v>
      </c>
      <c r="E952" s="136"/>
      <c r="F952" s="136" t="str">
        <f>tbl_IO_List[[#This Row],[Column23]]&amp;"-" &amp;tbl_IO_List[[#This Row],[Column52]]</f>
        <v>C7S03-</v>
      </c>
      <c r="G952" s="136" t="str">
        <f>tbl_IO_List[[#This Row],[PLC_Tag]]</f>
        <v>RVM-61301_DI_2</v>
      </c>
      <c r="H952" s="136"/>
      <c r="I952" s="136" t="str">
        <f>VLOOKUP(tbl_IO_List[[#This Row],[Destination]],tbl_Junction[],2,FALSE)</f>
        <v>MCC Room</v>
      </c>
      <c r="J952" s="136" t="s">
        <v>360</v>
      </c>
      <c r="K952" s="136" t="s">
        <v>66</v>
      </c>
      <c r="L952" s="136" t="s">
        <v>906</v>
      </c>
      <c r="M952" s="136">
        <f>VLOOKUP(tbl_IO_List[[#This Row],[Instruement Tag]],tbl_Instruement_List[],2,FALSE)</f>
        <v>0</v>
      </c>
      <c r="N952" s="136" t="s">
        <v>58</v>
      </c>
      <c r="O952" s="136" t="s">
        <v>78</v>
      </c>
      <c r="P952" s="136" t="s">
        <v>18</v>
      </c>
      <c r="Q952" s="136" t="str">
        <f>VLOOKUP(tbl_IO_List[[#This Row],[Instruement Tag]],tbl_Instruement_List[],6,FALSE)</f>
        <v xml:space="preserve"> Start / Stop Command for FVNR RV-61301</v>
      </c>
      <c r="R952" s="136"/>
      <c r="S95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952" s="136" t="str">
        <f>tbl_IO_List[[#This Row],[Instruement Tag]]&amp;"_"&amp;tbl_IO_List[[#This Row],[I/O Type]]&amp;"_"&amp;tbl_IO_List[[#This Row],[IO-Point 
(Instruement)]]</f>
        <v>RVM-61301_DI_2</v>
      </c>
      <c r="U952" s="136" t="s">
        <v>8</v>
      </c>
      <c r="V952" s="136">
        <f>VLOOKUP(tbl_IO_List[[#This Row],[I/O Type]],tbl_Slot_Group[],2,FALSE)</f>
        <v>1</v>
      </c>
      <c r="W952" s="136">
        <v>2</v>
      </c>
      <c r="X952" s="136" t="str">
        <f>tbl_IO_List[[#This Row],[Chassis]]&amp;"S"&amp;TEXT(tbl_IO_List[[#This Row],[Slot]],"00")</f>
        <v>C7S03</v>
      </c>
      <c r="Y952" s="136" t="str">
        <f>tbl_IO_List[[#This Row],[Chassis]]&amp;"S"&amp;TEXT(tbl_IO_List[[#This Row],[Slot]],"00")&amp;tbl_IO_List[[#This Row],[I/O Type]]&amp;TEXT(tbl_IO_List[[#This Row],[Point]],"00")</f>
        <v>C7S03DI20</v>
      </c>
      <c r="Z952" s="136" t="str">
        <f>tbl_IO_List[[#This Row],[Chassis]]&amp;"S"&amp;TEXT(tbl_IO_List[[#This Row],[Slot]],"00")&amp;","&amp;TEXT(tbl_IO_List[[#This Row],[Point]],"00")</f>
        <v>C7S03,20</v>
      </c>
      <c r="AA952" s="136" t="e">
        <f>VLOOKUP(tbl_IO_List[[#This Row],[Column23]],tbl_RackConfig[],5,FALSE) &amp;"-"&amp;tbl_IO_List[[#This Row],[Point]]</f>
        <v>#N/A</v>
      </c>
      <c r="AB952" s="136"/>
      <c r="AC952" s="136"/>
      <c r="AD952" s="136" t="str">
        <f>tbl_IO_List[[#This Row],[I/O Type]]</f>
        <v>DI</v>
      </c>
      <c r="AE952" s="136" t="s">
        <v>1368</v>
      </c>
      <c r="AF952" s="136">
        <v>3</v>
      </c>
      <c r="AG952" s="136">
        <v>20</v>
      </c>
      <c r="AH952" s="136"/>
      <c r="AI952" s="136"/>
      <c r="AJ952" s="136">
        <v>2</v>
      </c>
      <c r="AK952" s="136">
        <v>2</v>
      </c>
      <c r="AL952" s="136">
        <v>0</v>
      </c>
      <c r="AM952" s="136">
        <v>0</v>
      </c>
      <c r="AN952" s="136">
        <v>0</v>
      </c>
      <c r="AO952" s="136"/>
      <c r="AP952" s="143" t="str">
        <f>VLOOKUP(tbl_IO_List[[#This Row],[Instruement Tag]],tbl_Instruement_List[],14,FALSE)</f>
        <v>24 VDC energized</v>
      </c>
      <c r="AQ952" s="143" t="str">
        <f>tbl_IO_List[[#This Row],[Chassis]]&amp;"S"&amp;tbl_IO_List[[#This Row],[Slot]]&amp;"-"&amp;tbl_IO_List[[#This Row],[Front Terminal Number]]</f>
        <v>C7S3-</v>
      </c>
      <c r="AR952" s="143"/>
      <c r="AS952" s="136" t="str">
        <f>tbl_IO_List[[#This Row],[Terminal Tagging]]&amp;"-"&amp;tbl_IO_List[[#This Row],[Point-Count]]</f>
        <v>-</v>
      </c>
      <c r="AT952" s="136" t="str">
        <f>tbl_IO_List[[#This Row],[Front Terminal Tagging]]&amp;"/"&amp;tbl_IO_List[[#This Row],[Terminal Tagging-Item]]</f>
        <v>C7S3-/-</v>
      </c>
      <c r="AU952" s="136" t="str">
        <f>tbl_IO_List[[#This Row],[Terminal Tagging-Item]]&amp;"/"&amp;tbl_IO_List[[#This Row],[Front Terminal Tagging]]</f>
        <v>-/C7S3-</v>
      </c>
    </row>
    <row r="953" spans="1:47" hidden="1">
      <c r="A953" s="136" t="s">
        <v>1307</v>
      </c>
      <c r="B953" s="136" t="s">
        <v>1307</v>
      </c>
      <c r="C953" s="136" t="str">
        <f>tbl_IO_List[[#This Row],[Column3]]</f>
        <v>C7S03,21</v>
      </c>
      <c r="D953" s="136" t="e">
        <f>tbl_IO_List[[#This Row],[Card]]</f>
        <v>#N/A</v>
      </c>
      <c r="E953" s="136"/>
      <c r="F953" s="136" t="str">
        <f>tbl_IO_List[[#This Row],[Column23]]&amp;"-" &amp;tbl_IO_List[[#This Row],[Column52]]</f>
        <v>C7S03-</v>
      </c>
      <c r="G953" s="136" t="str">
        <f>tbl_IO_List[[#This Row],[PLC_Tag]]</f>
        <v>RVM-61304_DI_1</v>
      </c>
      <c r="H953" s="136"/>
      <c r="I953" s="136" t="str">
        <f>VLOOKUP(tbl_IO_List[[#This Row],[Destination]],tbl_Junction[],2,FALSE)</f>
        <v>MCC Room</v>
      </c>
      <c r="J953" s="136" t="s">
        <v>360</v>
      </c>
      <c r="K953" s="136" t="s">
        <v>66</v>
      </c>
      <c r="L953" s="136" t="s">
        <v>912</v>
      </c>
      <c r="M953" s="136">
        <f>VLOOKUP(tbl_IO_List[[#This Row],[Instruement Tag]],tbl_Instruement_List[],2,FALSE)</f>
        <v>0</v>
      </c>
      <c r="N953" s="136" t="s">
        <v>93</v>
      </c>
      <c r="O953" s="136" t="s">
        <v>78</v>
      </c>
      <c r="P953" s="136" t="s">
        <v>18</v>
      </c>
      <c r="Q953" s="136" t="str">
        <f>VLOOKUP(tbl_IO_List[[#This Row],[Instruement Tag]],tbl_Instruement_List[],6,FALSE)</f>
        <v xml:space="preserve"> Start / Stop Command for FVNR RV-61304</v>
      </c>
      <c r="R953" s="136"/>
      <c r="S95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953" s="136" t="str">
        <f>tbl_IO_List[[#This Row],[Instruement Tag]]&amp;"_"&amp;tbl_IO_List[[#This Row],[I/O Type]]&amp;"_"&amp;tbl_IO_List[[#This Row],[IO-Point 
(Instruement)]]</f>
        <v>RVM-61304_DI_1</v>
      </c>
      <c r="U953" s="136" t="s">
        <v>8</v>
      </c>
      <c r="V953" s="136">
        <f>VLOOKUP(tbl_IO_List[[#This Row],[I/O Type]],tbl_Slot_Group[],2,FALSE)</f>
        <v>1</v>
      </c>
      <c r="W953" s="136">
        <v>1</v>
      </c>
      <c r="X953" s="136" t="str">
        <f>tbl_IO_List[[#This Row],[Chassis]]&amp;"S"&amp;TEXT(tbl_IO_List[[#This Row],[Slot]],"00")</f>
        <v>C7S03</v>
      </c>
      <c r="Y953" s="136" t="str">
        <f>tbl_IO_List[[#This Row],[Chassis]]&amp;"S"&amp;TEXT(tbl_IO_List[[#This Row],[Slot]],"00")&amp;tbl_IO_List[[#This Row],[I/O Type]]&amp;TEXT(tbl_IO_List[[#This Row],[Point]],"00")</f>
        <v>C7S03DI21</v>
      </c>
      <c r="Z953" s="136" t="str">
        <f>tbl_IO_List[[#This Row],[Chassis]]&amp;"S"&amp;TEXT(tbl_IO_List[[#This Row],[Slot]],"00")&amp;","&amp;TEXT(tbl_IO_List[[#This Row],[Point]],"00")</f>
        <v>C7S03,21</v>
      </c>
      <c r="AA953" s="136" t="e">
        <f>VLOOKUP(tbl_IO_List[[#This Row],[Column23]],tbl_RackConfig[],5,FALSE) &amp;"-"&amp;tbl_IO_List[[#This Row],[Point]]</f>
        <v>#N/A</v>
      </c>
      <c r="AB953" s="136"/>
      <c r="AC953" s="136"/>
      <c r="AD953" s="136" t="str">
        <f>tbl_IO_List[[#This Row],[I/O Type]]</f>
        <v>DI</v>
      </c>
      <c r="AE953" s="136" t="s">
        <v>1368</v>
      </c>
      <c r="AF953" s="136">
        <v>3</v>
      </c>
      <c r="AG953" s="136">
        <v>21</v>
      </c>
      <c r="AH953" s="136"/>
      <c r="AI953" s="136"/>
      <c r="AJ953" s="136">
        <v>2</v>
      </c>
      <c r="AK953" s="136">
        <v>2</v>
      </c>
      <c r="AL953" s="136">
        <v>0</v>
      </c>
      <c r="AM953" s="136">
        <v>0</v>
      </c>
      <c r="AN953" s="136">
        <v>0</v>
      </c>
      <c r="AO953" s="136"/>
      <c r="AP953" s="143" t="str">
        <f>VLOOKUP(tbl_IO_List[[#This Row],[Instruement Tag]],tbl_Instruement_List[],14,FALSE)</f>
        <v>24 VDC energized</v>
      </c>
      <c r="AQ953" s="143" t="str">
        <f>tbl_IO_List[[#This Row],[Chassis]]&amp;"S"&amp;tbl_IO_List[[#This Row],[Slot]]&amp;"-"&amp;tbl_IO_List[[#This Row],[Front Terminal Number]]</f>
        <v>C7S3-</v>
      </c>
      <c r="AR953" s="143"/>
      <c r="AS953" s="136" t="str">
        <f>tbl_IO_List[[#This Row],[Terminal Tagging]]&amp;"-"&amp;tbl_IO_List[[#This Row],[Point-Count]]</f>
        <v>-</v>
      </c>
      <c r="AT953" s="136" t="str">
        <f>tbl_IO_List[[#This Row],[Front Terminal Tagging]]&amp;"/"&amp;tbl_IO_List[[#This Row],[Terminal Tagging-Item]]</f>
        <v>C7S3-/-</v>
      </c>
      <c r="AU953" s="136" t="str">
        <f>tbl_IO_List[[#This Row],[Terminal Tagging-Item]]&amp;"/"&amp;tbl_IO_List[[#This Row],[Front Terminal Tagging]]</f>
        <v>-/C7S3-</v>
      </c>
    </row>
    <row r="954" spans="1:47" hidden="1">
      <c r="A954" s="136" t="s">
        <v>1307</v>
      </c>
      <c r="B954" s="136" t="s">
        <v>1307</v>
      </c>
      <c r="C954" s="136" t="str">
        <f>tbl_IO_List[[#This Row],[Column3]]</f>
        <v>C7S03,22</v>
      </c>
      <c r="D954" s="136" t="e">
        <f>tbl_IO_List[[#This Row],[Card]]</f>
        <v>#N/A</v>
      </c>
      <c r="E954" s="136"/>
      <c r="F954" s="136" t="str">
        <f>tbl_IO_List[[#This Row],[Column23]]&amp;"-" &amp;tbl_IO_List[[#This Row],[Column52]]</f>
        <v>C7S03-</v>
      </c>
      <c r="G954" s="136" t="str">
        <f>tbl_IO_List[[#This Row],[PLC_Tag]]</f>
        <v>RVM-61304_DI_2</v>
      </c>
      <c r="H954" s="136"/>
      <c r="I954" s="136" t="str">
        <f>VLOOKUP(tbl_IO_List[[#This Row],[Destination]],tbl_Junction[],2,FALSE)</f>
        <v>MCC Room</v>
      </c>
      <c r="J954" s="136" t="s">
        <v>360</v>
      </c>
      <c r="K954" s="136" t="s">
        <v>66</v>
      </c>
      <c r="L954" s="136" t="s">
        <v>912</v>
      </c>
      <c r="M954" s="136">
        <f>VLOOKUP(tbl_IO_List[[#This Row],[Instruement Tag]],tbl_Instruement_List[],2,FALSE)</f>
        <v>0</v>
      </c>
      <c r="N954" s="136" t="s">
        <v>93</v>
      </c>
      <c r="O954" s="136" t="s">
        <v>78</v>
      </c>
      <c r="P954" s="136" t="s">
        <v>18</v>
      </c>
      <c r="Q954" s="136" t="str">
        <f>VLOOKUP(tbl_IO_List[[#This Row],[Instruement Tag]],tbl_Instruement_List[],6,FALSE)</f>
        <v xml:space="preserve"> Start / Stop Command for FVNR RV-61304</v>
      </c>
      <c r="R954" s="136"/>
      <c r="S95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954" s="136" t="str">
        <f>tbl_IO_List[[#This Row],[Instruement Tag]]&amp;"_"&amp;tbl_IO_List[[#This Row],[I/O Type]]&amp;"_"&amp;tbl_IO_List[[#This Row],[IO-Point 
(Instruement)]]</f>
        <v>RVM-61304_DI_2</v>
      </c>
      <c r="U954" s="136" t="s">
        <v>8</v>
      </c>
      <c r="V954" s="136">
        <f>VLOOKUP(tbl_IO_List[[#This Row],[I/O Type]],tbl_Slot_Group[],2,FALSE)</f>
        <v>1</v>
      </c>
      <c r="W954" s="136">
        <v>2</v>
      </c>
      <c r="X954" s="136" t="str">
        <f>tbl_IO_List[[#This Row],[Chassis]]&amp;"S"&amp;TEXT(tbl_IO_List[[#This Row],[Slot]],"00")</f>
        <v>C7S03</v>
      </c>
      <c r="Y954" s="136" t="str">
        <f>tbl_IO_List[[#This Row],[Chassis]]&amp;"S"&amp;TEXT(tbl_IO_List[[#This Row],[Slot]],"00")&amp;tbl_IO_List[[#This Row],[I/O Type]]&amp;TEXT(tbl_IO_List[[#This Row],[Point]],"00")</f>
        <v>C7S03DI22</v>
      </c>
      <c r="Z954" s="136" t="str">
        <f>tbl_IO_List[[#This Row],[Chassis]]&amp;"S"&amp;TEXT(tbl_IO_List[[#This Row],[Slot]],"00")&amp;","&amp;TEXT(tbl_IO_List[[#This Row],[Point]],"00")</f>
        <v>C7S03,22</v>
      </c>
      <c r="AA954" s="136" t="e">
        <f>VLOOKUP(tbl_IO_List[[#This Row],[Column23]],tbl_RackConfig[],5,FALSE) &amp;"-"&amp;tbl_IO_List[[#This Row],[Point]]</f>
        <v>#N/A</v>
      </c>
      <c r="AB954" s="136"/>
      <c r="AC954" s="136"/>
      <c r="AD954" s="136" t="str">
        <f>tbl_IO_List[[#This Row],[I/O Type]]</f>
        <v>DI</v>
      </c>
      <c r="AE954" s="136" t="s">
        <v>1368</v>
      </c>
      <c r="AF954" s="136">
        <v>3</v>
      </c>
      <c r="AG954" s="136">
        <v>22</v>
      </c>
      <c r="AH954" s="136"/>
      <c r="AI954" s="136"/>
      <c r="AJ954" s="136">
        <v>2</v>
      </c>
      <c r="AK954" s="136">
        <v>2</v>
      </c>
      <c r="AL954" s="136">
        <v>0</v>
      </c>
      <c r="AM954" s="136">
        <v>0</v>
      </c>
      <c r="AN954" s="136">
        <v>0</v>
      </c>
      <c r="AO954" s="136"/>
      <c r="AP954" s="143" t="str">
        <f>VLOOKUP(tbl_IO_List[[#This Row],[Instruement Tag]],tbl_Instruement_List[],14,FALSE)</f>
        <v>24 VDC energized</v>
      </c>
      <c r="AQ954" s="143" t="str">
        <f>tbl_IO_List[[#This Row],[Chassis]]&amp;"S"&amp;tbl_IO_List[[#This Row],[Slot]]&amp;"-"&amp;tbl_IO_List[[#This Row],[Front Terminal Number]]</f>
        <v>C7S3-</v>
      </c>
      <c r="AR954" s="143"/>
      <c r="AS954" s="136" t="str">
        <f>tbl_IO_List[[#This Row],[Terminal Tagging]]&amp;"-"&amp;tbl_IO_List[[#This Row],[Point-Count]]</f>
        <v>-</v>
      </c>
      <c r="AT954" s="136" t="str">
        <f>tbl_IO_List[[#This Row],[Front Terminal Tagging]]&amp;"/"&amp;tbl_IO_List[[#This Row],[Terminal Tagging-Item]]</f>
        <v>C7S3-/-</v>
      </c>
      <c r="AU954" s="136" t="str">
        <f>tbl_IO_List[[#This Row],[Terminal Tagging-Item]]&amp;"/"&amp;tbl_IO_List[[#This Row],[Front Terminal Tagging]]</f>
        <v>-/C7S3-</v>
      </c>
    </row>
    <row r="955" spans="1:47" hidden="1">
      <c r="A955" s="136" t="s">
        <v>1307</v>
      </c>
      <c r="B955" s="136" t="s">
        <v>1307</v>
      </c>
      <c r="C955" s="136" t="str">
        <f>tbl_IO_List[[#This Row],[Column3]]</f>
        <v>C7S03,23</v>
      </c>
      <c r="D955" s="136" t="e">
        <f>tbl_IO_List[[#This Row],[Card]]</f>
        <v>#N/A</v>
      </c>
      <c r="E955" s="136"/>
      <c r="F955" s="136" t="str">
        <f>tbl_IO_List[[#This Row],[Column23]]&amp;"-" &amp;tbl_IO_List[[#This Row],[Column52]]</f>
        <v>C7S03-</v>
      </c>
      <c r="G955" s="136" t="str">
        <f>tbl_IO_List[[#This Row],[PLC_Tag]]</f>
        <v>RVM-61305_DI_1</v>
      </c>
      <c r="H955" s="136"/>
      <c r="I955" s="136" t="str">
        <f>VLOOKUP(tbl_IO_List[[#This Row],[Destination]],tbl_Junction[],2,FALSE)</f>
        <v>MCC Room</v>
      </c>
      <c r="J955" s="136" t="s">
        <v>360</v>
      </c>
      <c r="K955" s="136" t="s">
        <v>66</v>
      </c>
      <c r="L955" s="136" t="s">
        <v>914</v>
      </c>
      <c r="M955" s="136">
        <f>VLOOKUP(tbl_IO_List[[#This Row],[Instruement Tag]],tbl_Instruement_List[],2,FALSE)</f>
        <v>0</v>
      </c>
      <c r="N955" s="136" t="s">
        <v>93</v>
      </c>
      <c r="O955" s="136" t="s">
        <v>78</v>
      </c>
      <c r="P955" s="136" t="s">
        <v>18</v>
      </c>
      <c r="Q955" s="136" t="str">
        <f>VLOOKUP(tbl_IO_List[[#This Row],[Instruement Tag]],tbl_Instruement_List[],6,FALSE)</f>
        <v xml:space="preserve"> Start / Stop Command for FVNR RV-61305</v>
      </c>
      <c r="R955" s="136"/>
      <c r="S95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955" s="136" t="str">
        <f>tbl_IO_List[[#This Row],[Instruement Tag]]&amp;"_"&amp;tbl_IO_List[[#This Row],[I/O Type]]&amp;"_"&amp;tbl_IO_List[[#This Row],[IO-Point 
(Instruement)]]</f>
        <v>RVM-61305_DI_1</v>
      </c>
      <c r="U955" s="136" t="s">
        <v>8</v>
      </c>
      <c r="V955" s="136">
        <f>VLOOKUP(tbl_IO_List[[#This Row],[I/O Type]],tbl_Slot_Group[],2,FALSE)</f>
        <v>1</v>
      </c>
      <c r="W955" s="136">
        <v>1</v>
      </c>
      <c r="X955" s="136" t="str">
        <f>tbl_IO_List[[#This Row],[Chassis]]&amp;"S"&amp;TEXT(tbl_IO_List[[#This Row],[Slot]],"00")</f>
        <v>C7S03</v>
      </c>
      <c r="Y955" s="136" t="str">
        <f>tbl_IO_List[[#This Row],[Chassis]]&amp;"S"&amp;TEXT(tbl_IO_List[[#This Row],[Slot]],"00")&amp;tbl_IO_List[[#This Row],[I/O Type]]&amp;TEXT(tbl_IO_List[[#This Row],[Point]],"00")</f>
        <v>C7S03DI23</v>
      </c>
      <c r="Z955" s="136" t="str">
        <f>tbl_IO_List[[#This Row],[Chassis]]&amp;"S"&amp;TEXT(tbl_IO_List[[#This Row],[Slot]],"00")&amp;","&amp;TEXT(tbl_IO_List[[#This Row],[Point]],"00")</f>
        <v>C7S03,23</v>
      </c>
      <c r="AA955" s="136" t="e">
        <f>VLOOKUP(tbl_IO_List[[#This Row],[Column23]],tbl_RackConfig[],5,FALSE) &amp;"-"&amp;tbl_IO_List[[#This Row],[Point]]</f>
        <v>#N/A</v>
      </c>
      <c r="AB955" s="136"/>
      <c r="AC955" s="136"/>
      <c r="AD955" s="136" t="str">
        <f>tbl_IO_List[[#This Row],[I/O Type]]</f>
        <v>DI</v>
      </c>
      <c r="AE955" s="136" t="s">
        <v>1368</v>
      </c>
      <c r="AF955" s="136">
        <v>3</v>
      </c>
      <c r="AG955" s="136">
        <v>23</v>
      </c>
      <c r="AH955" s="136"/>
      <c r="AI955" s="136"/>
      <c r="AJ955" s="136">
        <v>2</v>
      </c>
      <c r="AK955" s="136">
        <v>2</v>
      </c>
      <c r="AL955" s="136">
        <v>0</v>
      </c>
      <c r="AM955" s="136">
        <v>0</v>
      </c>
      <c r="AN955" s="136">
        <v>0</v>
      </c>
      <c r="AO955" s="136"/>
      <c r="AP955" s="143" t="str">
        <f>VLOOKUP(tbl_IO_List[[#This Row],[Instruement Tag]],tbl_Instruement_List[],14,FALSE)</f>
        <v>24 VDC energized</v>
      </c>
      <c r="AQ955" s="143" t="str">
        <f>tbl_IO_List[[#This Row],[Chassis]]&amp;"S"&amp;tbl_IO_List[[#This Row],[Slot]]&amp;"-"&amp;tbl_IO_List[[#This Row],[Front Terminal Number]]</f>
        <v>C7S3-</v>
      </c>
      <c r="AR955" s="143"/>
      <c r="AS955" s="136" t="str">
        <f>tbl_IO_List[[#This Row],[Terminal Tagging]]&amp;"-"&amp;tbl_IO_List[[#This Row],[Point-Count]]</f>
        <v>-</v>
      </c>
      <c r="AT955" s="136" t="str">
        <f>tbl_IO_List[[#This Row],[Front Terminal Tagging]]&amp;"/"&amp;tbl_IO_List[[#This Row],[Terminal Tagging-Item]]</f>
        <v>C7S3-/-</v>
      </c>
      <c r="AU955" s="136" t="str">
        <f>tbl_IO_List[[#This Row],[Terminal Tagging-Item]]&amp;"/"&amp;tbl_IO_List[[#This Row],[Front Terminal Tagging]]</f>
        <v>-/C7S3-</v>
      </c>
    </row>
    <row r="956" spans="1:47" hidden="1">
      <c r="A956" s="136" t="s">
        <v>1307</v>
      </c>
      <c r="B956" s="136" t="s">
        <v>1307</v>
      </c>
      <c r="C956" s="136" t="str">
        <f>tbl_IO_List[[#This Row],[Column3]]</f>
        <v>C7S03,24</v>
      </c>
      <c r="D956" s="136" t="e">
        <f>tbl_IO_List[[#This Row],[Card]]</f>
        <v>#N/A</v>
      </c>
      <c r="E956" s="136"/>
      <c r="F956" s="136" t="str">
        <f>tbl_IO_List[[#This Row],[Column23]]&amp;"-" &amp;tbl_IO_List[[#This Row],[Column52]]</f>
        <v>C7S03-</v>
      </c>
      <c r="G956" s="136" t="str">
        <f>tbl_IO_List[[#This Row],[PLC_Tag]]</f>
        <v>RVM-61305_DI_2</v>
      </c>
      <c r="H956" s="136"/>
      <c r="I956" s="136" t="str">
        <f>VLOOKUP(tbl_IO_List[[#This Row],[Destination]],tbl_Junction[],2,FALSE)</f>
        <v>MCC Room</v>
      </c>
      <c r="J956" s="136" t="s">
        <v>360</v>
      </c>
      <c r="K956" s="136" t="s">
        <v>66</v>
      </c>
      <c r="L956" s="136" t="s">
        <v>914</v>
      </c>
      <c r="M956" s="136">
        <f>VLOOKUP(tbl_IO_List[[#This Row],[Instruement Tag]],tbl_Instruement_List[],2,FALSE)</f>
        <v>0</v>
      </c>
      <c r="N956" s="136" t="s">
        <v>93</v>
      </c>
      <c r="O956" s="136" t="s">
        <v>78</v>
      </c>
      <c r="P956" s="136" t="s">
        <v>18</v>
      </c>
      <c r="Q956" s="136" t="str">
        <f>VLOOKUP(tbl_IO_List[[#This Row],[Instruement Tag]],tbl_Instruement_List[],6,FALSE)</f>
        <v xml:space="preserve"> Start / Stop Command for FVNR RV-61305</v>
      </c>
      <c r="R956" s="136"/>
      <c r="S95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956" s="136" t="str">
        <f>tbl_IO_List[[#This Row],[Instruement Tag]]&amp;"_"&amp;tbl_IO_List[[#This Row],[I/O Type]]&amp;"_"&amp;tbl_IO_List[[#This Row],[IO-Point 
(Instruement)]]</f>
        <v>RVM-61305_DI_2</v>
      </c>
      <c r="U956" s="136" t="s">
        <v>8</v>
      </c>
      <c r="V956" s="136">
        <f>VLOOKUP(tbl_IO_List[[#This Row],[I/O Type]],tbl_Slot_Group[],2,FALSE)</f>
        <v>1</v>
      </c>
      <c r="W956" s="136">
        <v>2</v>
      </c>
      <c r="X956" s="136" t="str">
        <f>tbl_IO_List[[#This Row],[Chassis]]&amp;"S"&amp;TEXT(tbl_IO_List[[#This Row],[Slot]],"00")</f>
        <v>C7S03</v>
      </c>
      <c r="Y956" s="136" t="str">
        <f>tbl_IO_List[[#This Row],[Chassis]]&amp;"S"&amp;TEXT(tbl_IO_List[[#This Row],[Slot]],"00")&amp;tbl_IO_List[[#This Row],[I/O Type]]&amp;TEXT(tbl_IO_List[[#This Row],[Point]],"00")</f>
        <v>C7S03DI24</v>
      </c>
      <c r="Z956" s="136" t="str">
        <f>tbl_IO_List[[#This Row],[Chassis]]&amp;"S"&amp;TEXT(tbl_IO_List[[#This Row],[Slot]],"00")&amp;","&amp;TEXT(tbl_IO_List[[#This Row],[Point]],"00")</f>
        <v>C7S03,24</v>
      </c>
      <c r="AA956" s="136" t="e">
        <f>VLOOKUP(tbl_IO_List[[#This Row],[Column23]],tbl_RackConfig[],5,FALSE) &amp;"-"&amp;tbl_IO_List[[#This Row],[Point]]</f>
        <v>#N/A</v>
      </c>
      <c r="AB956" s="136"/>
      <c r="AC956" s="136"/>
      <c r="AD956" s="136" t="str">
        <f>tbl_IO_List[[#This Row],[I/O Type]]</f>
        <v>DI</v>
      </c>
      <c r="AE956" s="136" t="s">
        <v>1368</v>
      </c>
      <c r="AF956" s="136">
        <v>3</v>
      </c>
      <c r="AG956" s="136">
        <v>24</v>
      </c>
      <c r="AH956" s="136"/>
      <c r="AI956" s="136"/>
      <c r="AJ956" s="136">
        <v>2</v>
      </c>
      <c r="AK956" s="136">
        <v>2</v>
      </c>
      <c r="AL956" s="136">
        <v>0</v>
      </c>
      <c r="AM956" s="136">
        <v>0</v>
      </c>
      <c r="AN956" s="136">
        <v>0</v>
      </c>
      <c r="AO956" s="136"/>
      <c r="AP956" s="143" t="str">
        <f>VLOOKUP(tbl_IO_List[[#This Row],[Instruement Tag]],tbl_Instruement_List[],14,FALSE)</f>
        <v>24 VDC energized</v>
      </c>
      <c r="AQ956" s="143" t="str">
        <f>tbl_IO_List[[#This Row],[Chassis]]&amp;"S"&amp;tbl_IO_List[[#This Row],[Slot]]&amp;"-"&amp;tbl_IO_List[[#This Row],[Front Terminal Number]]</f>
        <v>C7S3-</v>
      </c>
      <c r="AR956" s="143"/>
      <c r="AS956" s="136" t="str">
        <f>tbl_IO_List[[#This Row],[Terminal Tagging]]&amp;"-"&amp;tbl_IO_List[[#This Row],[Point-Count]]</f>
        <v>-</v>
      </c>
      <c r="AT956" s="136" t="str">
        <f>tbl_IO_List[[#This Row],[Front Terminal Tagging]]&amp;"/"&amp;tbl_IO_List[[#This Row],[Terminal Tagging-Item]]</f>
        <v>C7S3-/-</v>
      </c>
      <c r="AU956" s="136" t="str">
        <f>tbl_IO_List[[#This Row],[Terminal Tagging-Item]]&amp;"/"&amp;tbl_IO_List[[#This Row],[Front Terminal Tagging]]</f>
        <v>-/C7S3-</v>
      </c>
    </row>
    <row r="957" spans="1:47" hidden="1">
      <c r="A957" s="136" t="s">
        <v>1307</v>
      </c>
      <c r="B957" s="136" t="s">
        <v>191</v>
      </c>
      <c r="C957" s="136" t="str">
        <f>tbl_IO_List[[#This Row],[Column3]]</f>
        <v>C7S03,25</v>
      </c>
      <c r="D957" s="136" t="e">
        <f>tbl_IO_List[[#This Row],[Card]]</f>
        <v>#N/A</v>
      </c>
      <c r="E957" s="136"/>
      <c r="F957" s="136" t="str">
        <f>tbl_IO_List[[#This Row],[Column23]]&amp;"-" &amp;tbl_IO_List[[#This Row],[Column52]]</f>
        <v>C7S03-</v>
      </c>
      <c r="G957" s="136" t="str">
        <f>tbl_IO_List[[#This Row],[PLC_Tag]]</f>
        <v>PCY-60205_DI_3</v>
      </c>
      <c r="H957" s="136"/>
      <c r="I957" s="136" t="str">
        <f>VLOOKUP(tbl_IO_List[[#This Row],[Destination]],tbl_Junction[],2,FALSE)</f>
        <v>Spray Dryer 1st Floor</v>
      </c>
      <c r="J957" s="136" t="s">
        <v>1307</v>
      </c>
      <c r="K957" s="136" t="s">
        <v>14</v>
      </c>
      <c r="L957" s="136" t="s">
        <v>1381</v>
      </c>
      <c r="M957" s="136" t="e">
        <f>VLOOKUP(tbl_IO_List[[#This Row],[Instruement Tag]],tbl_Instruement_List[],2,FALSE)</f>
        <v>#N/A</v>
      </c>
      <c r="N957" s="136" t="s">
        <v>15</v>
      </c>
      <c r="O957" s="136" t="s">
        <v>126</v>
      </c>
      <c r="P957" s="136" t="s">
        <v>18</v>
      </c>
      <c r="Q957" s="136" t="e">
        <f>VLOOKUP(tbl_IO_List[[#This Row],[Instruement Tag]],tbl_Instruement_List[],6,FALSE)</f>
        <v>#N/A</v>
      </c>
      <c r="R957" s="136"/>
      <c r="S95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3,DO=1,AI=0,AO=0,Bus=1</v>
      </c>
      <c r="T957" s="136" t="str">
        <f>tbl_IO_List[[#This Row],[Instruement Tag]]&amp;"_"&amp;tbl_IO_List[[#This Row],[I/O Type]]&amp;"_"&amp;tbl_IO_List[[#This Row],[IO-Point 
(Instruement)]]</f>
        <v>PCY-60205_DI_3</v>
      </c>
      <c r="U957" s="136" t="s">
        <v>8</v>
      </c>
      <c r="V957" s="136">
        <f>VLOOKUP(tbl_IO_List[[#This Row],[I/O Type]],tbl_Slot_Group[],2,FALSE)</f>
        <v>1</v>
      </c>
      <c r="W957" s="136">
        <v>3</v>
      </c>
      <c r="X957" s="136" t="str">
        <f>tbl_IO_List[[#This Row],[Chassis]]&amp;"S"&amp;TEXT(tbl_IO_List[[#This Row],[Slot]],"00")</f>
        <v>C7S03</v>
      </c>
      <c r="Y957" s="136" t="str">
        <f>tbl_IO_List[[#This Row],[Chassis]]&amp;"S"&amp;TEXT(tbl_IO_List[[#This Row],[Slot]],"00")&amp;tbl_IO_List[[#This Row],[I/O Type]]&amp;TEXT(tbl_IO_List[[#This Row],[Point]],"00")</f>
        <v>C7S03DI25</v>
      </c>
      <c r="Z957" s="136" t="str">
        <f>tbl_IO_List[[#This Row],[Chassis]]&amp;"S"&amp;TEXT(tbl_IO_List[[#This Row],[Slot]],"00")&amp;","&amp;TEXT(tbl_IO_List[[#This Row],[Point]],"00")</f>
        <v>C7S03,25</v>
      </c>
      <c r="AA957" s="136" t="e">
        <f>VLOOKUP(tbl_IO_List[[#This Row],[Column23]],tbl_RackConfig[],5,FALSE) &amp;"-"&amp;tbl_IO_List[[#This Row],[Point]]</f>
        <v>#N/A</v>
      </c>
      <c r="AB957" s="136"/>
      <c r="AC957" s="136"/>
      <c r="AD957" s="136" t="str">
        <f>tbl_IO_List[[#This Row],[I/O Type]]</f>
        <v>DI</v>
      </c>
      <c r="AE957" s="136" t="s">
        <v>1368</v>
      </c>
      <c r="AF957" s="136">
        <v>3</v>
      </c>
      <c r="AG957" s="136">
        <v>25</v>
      </c>
      <c r="AH957" s="136"/>
      <c r="AI957" s="136"/>
      <c r="AJ957" s="136">
        <v>3</v>
      </c>
      <c r="AK957" s="136">
        <v>1</v>
      </c>
      <c r="AL957" s="136">
        <v>0</v>
      </c>
      <c r="AM957" s="136">
        <v>0</v>
      </c>
      <c r="AN957" s="136">
        <v>1</v>
      </c>
      <c r="AO957" s="136"/>
      <c r="AP957" s="143" t="e">
        <f>VLOOKUP(tbl_IO_List[[#This Row],[Instruement Tag]],tbl_Instruement_List[],14,FALSE)</f>
        <v>#N/A</v>
      </c>
      <c r="AQ957" s="143" t="str">
        <f>tbl_IO_List[[#This Row],[Chassis]]&amp;"S"&amp;tbl_IO_List[[#This Row],[Slot]]&amp;"-"&amp;tbl_IO_List[[#This Row],[Front Terminal Number]]</f>
        <v>C7S3-</v>
      </c>
      <c r="AR957" s="143"/>
      <c r="AS957" s="136" t="str">
        <f>tbl_IO_List[[#This Row],[Terminal Tagging]]&amp;"-"&amp;tbl_IO_List[[#This Row],[Point-Count]]</f>
        <v>-</v>
      </c>
      <c r="AT957" s="136" t="str">
        <f>tbl_IO_List[[#This Row],[Front Terminal Tagging]]&amp;"/"&amp;tbl_IO_List[[#This Row],[Terminal Tagging-Item]]</f>
        <v>C7S3-/-</v>
      </c>
      <c r="AU957" s="136" t="str">
        <f>tbl_IO_List[[#This Row],[Terminal Tagging-Item]]&amp;"/"&amp;tbl_IO_List[[#This Row],[Front Terminal Tagging]]</f>
        <v>-/C7S3-</v>
      </c>
    </row>
    <row r="958" spans="1:47" hidden="1">
      <c r="A958" s="136" t="s">
        <v>1307</v>
      </c>
      <c r="B958" s="136" t="s">
        <v>1307</v>
      </c>
      <c r="C958" s="136" t="str">
        <f>tbl_IO_List[[#This Row],[Column3]]</f>
        <v>C7S04,04</v>
      </c>
      <c r="D958" s="136" t="e">
        <f>tbl_IO_List[[#This Row],[Card]]</f>
        <v>#N/A</v>
      </c>
      <c r="E958" s="136"/>
      <c r="F958" s="136" t="str">
        <f>tbl_IO_List[[#This Row],[Column23]]&amp;"-" &amp;tbl_IO_List[[#This Row],[Column52]]</f>
        <v>C7S04-</v>
      </c>
      <c r="G958" s="136" t="str">
        <f>tbl_IO_List[[#This Row],[PLC_Tag]]</f>
        <v>Spare_DI_0</v>
      </c>
      <c r="H958" s="136"/>
      <c r="I958" s="136" t="str">
        <f>VLOOKUP(tbl_IO_List[[#This Row],[Destination]],tbl_Junction[],2,FALSE)</f>
        <v>MCC Room</v>
      </c>
      <c r="J958" s="136"/>
      <c r="K958" s="136"/>
      <c r="L958" s="136" t="s">
        <v>411</v>
      </c>
      <c r="M958" s="136" t="e">
        <f>VLOOKUP(tbl_IO_List[[#This Row],[Instruement Tag]],tbl_Instruement_List[],2,FALSE)</f>
        <v>#N/A</v>
      </c>
      <c r="N958" s="136"/>
      <c r="O958" s="136"/>
      <c r="P958" s="136"/>
      <c r="Q958" s="136" t="e">
        <f>VLOOKUP(tbl_IO_List[[#This Row],[Instruement Tag]],tbl_Instruement_List[],6,FALSE)</f>
        <v>#N/A</v>
      </c>
      <c r="R958" s="136"/>
      <c r="S95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58" s="136" t="str">
        <f>tbl_IO_List[[#This Row],[Instruement Tag]]&amp;"_"&amp;tbl_IO_List[[#This Row],[I/O Type]]&amp;"_"&amp;tbl_IO_List[[#This Row],[IO-Point 
(Instruement)]]</f>
        <v>Spare_DI_0</v>
      </c>
      <c r="U958" s="136" t="s">
        <v>8</v>
      </c>
      <c r="V958" s="136">
        <f>VLOOKUP(tbl_IO_List[[#This Row],[I/O Type]],tbl_Slot_Group[],2,FALSE)</f>
        <v>1</v>
      </c>
      <c r="W958" s="136">
        <v>0</v>
      </c>
      <c r="X958" s="136" t="str">
        <f>tbl_IO_List[[#This Row],[Chassis]]&amp;"S"&amp;TEXT(tbl_IO_List[[#This Row],[Slot]],"00")</f>
        <v>C7S04</v>
      </c>
      <c r="Y958" s="136" t="str">
        <f>tbl_IO_List[[#This Row],[Chassis]]&amp;"S"&amp;TEXT(tbl_IO_List[[#This Row],[Slot]],"00")&amp;tbl_IO_List[[#This Row],[I/O Type]]&amp;TEXT(tbl_IO_List[[#This Row],[Point]],"00")</f>
        <v>C7S04DI04</v>
      </c>
      <c r="Z958" s="136" t="str">
        <f>tbl_IO_List[[#This Row],[Chassis]]&amp;"S"&amp;TEXT(tbl_IO_List[[#This Row],[Slot]],"00")&amp;","&amp;TEXT(tbl_IO_List[[#This Row],[Point]],"00")</f>
        <v>C7S04,04</v>
      </c>
      <c r="AA958" s="136" t="e">
        <f>VLOOKUP(tbl_IO_List[[#This Row],[Column23]],tbl_RackConfig[],5,FALSE) &amp;"-"&amp;tbl_IO_List[[#This Row],[Point]]</f>
        <v>#N/A</v>
      </c>
      <c r="AB958" s="136"/>
      <c r="AC958" s="136"/>
      <c r="AD958" s="136" t="str">
        <f>tbl_IO_List[[#This Row],[I/O Type]]</f>
        <v>DI</v>
      </c>
      <c r="AE958" s="136" t="s">
        <v>1368</v>
      </c>
      <c r="AF958" s="136">
        <v>4</v>
      </c>
      <c r="AG958" s="136">
        <v>4</v>
      </c>
      <c r="AH958" s="136"/>
      <c r="AI958" s="136"/>
      <c r="AJ958" s="136">
        <v>1</v>
      </c>
      <c r="AK958" s="136">
        <v>0</v>
      </c>
      <c r="AL958" s="136">
        <v>0</v>
      </c>
      <c r="AM958" s="136">
        <v>0</v>
      </c>
      <c r="AN958" s="136">
        <v>0</v>
      </c>
      <c r="AO958" s="136"/>
      <c r="AP958" s="143"/>
      <c r="AQ958" s="143" t="str">
        <f>tbl_IO_List[[#This Row],[Chassis]]&amp;"S"&amp;tbl_IO_List[[#This Row],[Slot]]&amp;"-"&amp;tbl_IO_List[[#This Row],[Front Terminal Number]]</f>
        <v>C7S4-</v>
      </c>
      <c r="AR958" s="143"/>
      <c r="AS958" s="136" t="str">
        <f>tbl_IO_List[[#This Row],[Terminal Tagging]]&amp;"-"&amp;tbl_IO_List[[#This Row],[Point-Count]]</f>
        <v>-</v>
      </c>
      <c r="AT958" s="136" t="str">
        <f>tbl_IO_List[[#This Row],[Front Terminal Tagging]]&amp;"/"&amp;tbl_IO_List[[#This Row],[Terminal Tagging-Item]]</f>
        <v>C7S4-/-</v>
      </c>
      <c r="AU958" s="136" t="str">
        <f>tbl_IO_List[[#This Row],[Terminal Tagging-Item]]&amp;"/"&amp;tbl_IO_List[[#This Row],[Front Terminal Tagging]]</f>
        <v>-/C7S4-</v>
      </c>
    </row>
    <row r="959" spans="1:47" hidden="1">
      <c r="A959" s="136" t="s">
        <v>1307</v>
      </c>
      <c r="B959" s="136" t="s">
        <v>1307</v>
      </c>
      <c r="C959" s="136" t="str">
        <f>tbl_IO_List[[#This Row],[Column3]]</f>
        <v>C7S04,05</v>
      </c>
      <c r="D959" s="136" t="e">
        <f>tbl_IO_List[[#This Row],[Card]]</f>
        <v>#N/A</v>
      </c>
      <c r="E959" s="136"/>
      <c r="F959" s="136" t="str">
        <f>tbl_IO_List[[#This Row],[Column23]]&amp;"-" &amp;tbl_IO_List[[#This Row],[Column52]]</f>
        <v>C7S04-</v>
      </c>
      <c r="G959" s="136" t="str">
        <f>tbl_IO_List[[#This Row],[PLC_Tag]]</f>
        <v>Spare_DI_0</v>
      </c>
      <c r="H959" s="136"/>
      <c r="I959" s="136" t="str">
        <f>VLOOKUP(tbl_IO_List[[#This Row],[Destination]],tbl_Junction[],2,FALSE)</f>
        <v>MCC Room</v>
      </c>
      <c r="J959" s="136"/>
      <c r="K959" s="136"/>
      <c r="L959" s="136" t="s">
        <v>411</v>
      </c>
      <c r="M959" s="136" t="e">
        <f>VLOOKUP(tbl_IO_List[[#This Row],[Instruement Tag]],tbl_Instruement_List[],2,FALSE)</f>
        <v>#N/A</v>
      </c>
      <c r="N959" s="136"/>
      <c r="O959" s="136"/>
      <c r="P959" s="136"/>
      <c r="Q959" s="136" t="e">
        <f>VLOOKUP(tbl_IO_List[[#This Row],[Instruement Tag]],tbl_Instruement_List[],6,FALSE)</f>
        <v>#N/A</v>
      </c>
      <c r="R959" s="136"/>
      <c r="S95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59" s="136" t="str">
        <f>tbl_IO_List[[#This Row],[Instruement Tag]]&amp;"_"&amp;tbl_IO_List[[#This Row],[I/O Type]]&amp;"_"&amp;tbl_IO_List[[#This Row],[IO-Point 
(Instruement)]]</f>
        <v>Spare_DI_0</v>
      </c>
      <c r="U959" s="136" t="s">
        <v>8</v>
      </c>
      <c r="V959" s="136">
        <f>VLOOKUP(tbl_IO_List[[#This Row],[I/O Type]],tbl_Slot_Group[],2,FALSE)</f>
        <v>1</v>
      </c>
      <c r="W959" s="136">
        <v>0</v>
      </c>
      <c r="X959" s="136" t="str">
        <f>tbl_IO_List[[#This Row],[Chassis]]&amp;"S"&amp;TEXT(tbl_IO_List[[#This Row],[Slot]],"00")</f>
        <v>C7S04</v>
      </c>
      <c r="Y959" s="136" t="str">
        <f>tbl_IO_List[[#This Row],[Chassis]]&amp;"S"&amp;TEXT(tbl_IO_List[[#This Row],[Slot]],"00")&amp;tbl_IO_List[[#This Row],[I/O Type]]&amp;TEXT(tbl_IO_List[[#This Row],[Point]],"00")</f>
        <v>C7S04DI05</v>
      </c>
      <c r="Z959" s="136" t="str">
        <f>tbl_IO_List[[#This Row],[Chassis]]&amp;"S"&amp;TEXT(tbl_IO_List[[#This Row],[Slot]],"00")&amp;","&amp;TEXT(tbl_IO_List[[#This Row],[Point]],"00")</f>
        <v>C7S04,05</v>
      </c>
      <c r="AA959" s="136" t="e">
        <f>VLOOKUP(tbl_IO_List[[#This Row],[Column23]],tbl_RackConfig[],5,FALSE) &amp;"-"&amp;tbl_IO_List[[#This Row],[Point]]</f>
        <v>#N/A</v>
      </c>
      <c r="AB959" s="136"/>
      <c r="AC959" s="136"/>
      <c r="AD959" s="136" t="str">
        <f>tbl_IO_List[[#This Row],[I/O Type]]</f>
        <v>DI</v>
      </c>
      <c r="AE959" s="136" t="s">
        <v>1368</v>
      </c>
      <c r="AF959" s="136">
        <v>4</v>
      </c>
      <c r="AG959" s="136">
        <v>5</v>
      </c>
      <c r="AH959" s="136"/>
      <c r="AI959" s="136"/>
      <c r="AJ959" s="136">
        <v>1</v>
      </c>
      <c r="AK959" s="136">
        <v>0</v>
      </c>
      <c r="AL959" s="136">
        <v>0</v>
      </c>
      <c r="AM959" s="136">
        <v>0</v>
      </c>
      <c r="AN959" s="136">
        <v>0</v>
      </c>
      <c r="AO959" s="136"/>
      <c r="AP959" s="143"/>
      <c r="AQ959" s="143" t="str">
        <f>tbl_IO_List[[#This Row],[Chassis]]&amp;"S"&amp;tbl_IO_List[[#This Row],[Slot]]&amp;"-"&amp;tbl_IO_List[[#This Row],[Front Terminal Number]]</f>
        <v>C7S4-</v>
      </c>
      <c r="AR959" s="143"/>
      <c r="AS959" s="136" t="str">
        <f>tbl_IO_List[[#This Row],[Terminal Tagging]]&amp;"-"&amp;tbl_IO_List[[#This Row],[Point-Count]]</f>
        <v>-</v>
      </c>
      <c r="AT959" s="136" t="str">
        <f>tbl_IO_List[[#This Row],[Front Terminal Tagging]]&amp;"/"&amp;tbl_IO_List[[#This Row],[Terminal Tagging-Item]]</f>
        <v>C7S4-/-</v>
      </c>
      <c r="AU959" s="136" t="str">
        <f>tbl_IO_List[[#This Row],[Terminal Tagging-Item]]&amp;"/"&amp;tbl_IO_List[[#This Row],[Front Terminal Tagging]]</f>
        <v>-/C7S4-</v>
      </c>
    </row>
    <row r="960" spans="1:47" hidden="1">
      <c r="A960" s="136" t="s">
        <v>1307</v>
      </c>
      <c r="B960" s="136" t="s">
        <v>1307</v>
      </c>
      <c r="C960" s="136" t="str">
        <f>tbl_IO_List[[#This Row],[Column3]]</f>
        <v>C7S04,06</v>
      </c>
      <c r="D960" s="136" t="e">
        <f>tbl_IO_List[[#This Row],[Card]]</f>
        <v>#N/A</v>
      </c>
      <c r="E960" s="136"/>
      <c r="F960" s="136" t="str">
        <f>tbl_IO_List[[#This Row],[Column23]]&amp;"-" &amp;tbl_IO_List[[#This Row],[Column52]]</f>
        <v>C7S04-</v>
      </c>
      <c r="G960" s="136" t="str">
        <f>tbl_IO_List[[#This Row],[PLC_Tag]]</f>
        <v>Spare_DI_0</v>
      </c>
      <c r="H960" s="136"/>
      <c r="I960" s="136" t="str">
        <f>VLOOKUP(tbl_IO_List[[#This Row],[Destination]],tbl_Junction[],2,FALSE)</f>
        <v>MCC Room</v>
      </c>
      <c r="J960" s="136"/>
      <c r="K960" s="136"/>
      <c r="L960" s="136" t="s">
        <v>411</v>
      </c>
      <c r="M960" s="136" t="e">
        <f>VLOOKUP(tbl_IO_List[[#This Row],[Instruement Tag]],tbl_Instruement_List[],2,FALSE)</f>
        <v>#N/A</v>
      </c>
      <c r="N960" s="136"/>
      <c r="O960" s="136"/>
      <c r="P960" s="136"/>
      <c r="Q960" s="136" t="e">
        <f>VLOOKUP(tbl_IO_List[[#This Row],[Instruement Tag]],tbl_Instruement_List[],6,FALSE)</f>
        <v>#N/A</v>
      </c>
      <c r="R960" s="136"/>
      <c r="S96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60" s="136" t="str">
        <f>tbl_IO_List[[#This Row],[Instruement Tag]]&amp;"_"&amp;tbl_IO_List[[#This Row],[I/O Type]]&amp;"_"&amp;tbl_IO_List[[#This Row],[IO-Point 
(Instruement)]]</f>
        <v>Spare_DI_0</v>
      </c>
      <c r="U960" s="136" t="s">
        <v>8</v>
      </c>
      <c r="V960" s="136">
        <f>VLOOKUP(tbl_IO_List[[#This Row],[I/O Type]],tbl_Slot_Group[],2,FALSE)</f>
        <v>1</v>
      </c>
      <c r="W960" s="136">
        <v>0</v>
      </c>
      <c r="X960" s="136" t="str">
        <f>tbl_IO_List[[#This Row],[Chassis]]&amp;"S"&amp;TEXT(tbl_IO_List[[#This Row],[Slot]],"00")</f>
        <v>C7S04</v>
      </c>
      <c r="Y960" s="136" t="str">
        <f>tbl_IO_List[[#This Row],[Chassis]]&amp;"S"&amp;TEXT(tbl_IO_List[[#This Row],[Slot]],"00")&amp;tbl_IO_List[[#This Row],[I/O Type]]&amp;TEXT(tbl_IO_List[[#This Row],[Point]],"00")</f>
        <v>C7S04DI06</v>
      </c>
      <c r="Z960" s="136" t="str">
        <f>tbl_IO_List[[#This Row],[Chassis]]&amp;"S"&amp;TEXT(tbl_IO_List[[#This Row],[Slot]],"00")&amp;","&amp;TEXT(tbl_IO_List[[#This Row],[Point]],"00")</f>
        <v>C7S04,06</v>
      </c>
      <c r="AA960" s="136" t="e">
        <f>VLOOKUP(tbl_IO_List[[#This Row],[Column23]],tbl_RackConfig[],5,FALSE) &amp;"-"&amp;tbl_IO_List[[#This Row],[Point]]</f>
        <v>#N/A</v>
      </c>
      <c r="AB960" s="136"/>
      <c r="AC960" s="136"/>
      <c r="AD960" s="136" t="str">
        <f>tbl_IO_List[[#This Row],[I/O Type]]</f>
        <v>DI</v>
      </c>
      <c r="AE960" s="136" t="s">
        <v>1368</v>
      </c>
      <c r="AF960" s="136">
        <v>4</v>
      </c>
      <c r="AG960" s="136">
        <v>6</v>
      </c>
      <c r="AH960" s="136"/>
      <c r="AI960" s="136"/>
      <c r="AJ960" s="136">
        <v>1</v>
      </c>
      <c r="AK960" s="136">
        <v>0</v>
      </c>
      <c r="AL960" s="136">
        <v>0</v>
      </c>
      <c r="AM960" s="136">
        <v>0</v>
      </c>
      <c r="AN960" s="136">
        <v>0</v>
      </c>
      <c r="AO960" s="136"/>
      <c r="AP960" s="143"/>
      <c r="AQ960" s="143" t="str">
        <f>tbl_IO_List[[#This Row],[Chassis]]&amp;"S"&amp;tbl_IO_List[[#This Row],[Slot]]&amp;"-"&amp;tbl_IO_List[[#This Row],[Front Terminal Number]]</f>
        <v>C7S4-</v>
      </c>
      <c r="AR960" s="143"/>
      <c r="AS960" s="136" t="str">
        <f>tbl_IO_List[[#This Row],[Terminal Tagging]]&amp;"-"&amp;tbl_IO_List[[#This Row],[Point-Count]]</f>
        <v>-</v>
      </c>
      <c r="AT960" s="136" t="str">
        <f>tbl_IO_List[[#This Row],[Front Terminal Tagging]]&amp;"/"&amp;tbl_IO_List[[#This Row],[Terminal Tagging-Item]]</f>
        <v>C7S4-/-</v>
      </c>
      <c r="AU960" s="136" t="str">
        <f>tbl_IO_List[[#This Row],[Terminal Tagging-Item]]&amp;"/"&amp;tbl_IO_List[[#This Row],[Front Terminal Tagging]]</f>
        <v>-/C7S4-</v>
      </c>
    </row>
    <row r="961" spans="1:47" hidden="1">
      <c r="A961" s="136" t="s">
        <v>1307</v>
      </c>
      <c r="B961" s="136" t="s">
        <v>1307</v>
      </c>
      <c r="C961" s="136" t="str">
        <f>tbl_IO_List[[#This Row],[Column3]]</f>
        <v>C7S04,07</v>
      </c>
      <c r="D961" s="136" t="e">
        <f>tbl_IO_List[[#This Row],[Card]]</f>
        <v>#N/A</v>
      </c>
      <c r="E961" s="136"/>
      <c r="F961" s="136" t="str">
        <f>tbl_IO_List[[#This Row],[Column23]]&amp;"-" &amp;tbl_IO_List[[#This Row],[Column52]]</f>
        <v>C7S04-</v>
      </c>
      <c r="G961" s="136" t="str">
        <f>tbl_IO_List[[#This Row],[PLC_Tag]]</f>
        <v>Spare_DI_0</v>
      </c>
      <c r="H961" s="136"/>
      <c r="I961" s="136" t="str">
        <f>VLOOKUP(tbl_IO_List[[#This Row],[Destination]],tbl_Junction[],2,FALSE)</f>
        <v>MCC Room</v>
      </c>
      <c r="J961" s="136"/>
      <c r="K961" s="136"/>
      <c r="L961" s="136" t="s">
        <v>411</v>
      </c>
      <c r="M961" s="136" t="e">
        <f>VLOOKUP(tbl_IO_List[[#This Row],[Instruement Tag]],tbl_Instruement_List[],2,FALSE)</f>
        <v>#N/A</v>
      </c>
      <c r="N961" s="136"/>
      <c r="O961" s="136"/>
      <c r="P961" s="136"/>
      <c r="Q961" s="136" t="e">
        <f>VLOOKUP(tbl_IO_List[[#This Row],[Instruement Tag]],tbl_Instruement_List[],6,FALSE)</f>
        <v>#N/A</v>
      </c>
      <c r="R961" s="136"/>
      <c r="S96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61" s="136" t="str">
        <f>tbl_IO_List[[#This Row],[Instruement Tag]]&amp;"_"&amp;tbl_IO_List[[#This Row],[I/O Type]]&amp;"_"&amp;tbl_IO_List[[#This Row],[IO-Point 
(Instruement)]]</f>
        <v>Spare_DI_0</v>
      </c>
      <c r="U961" s="136" t="s">
        <v>8</v>
      </c>
      <c r="V961" s="136">
        <f>VLOOKUP(tbl_IO_List[[#This Row],[I/O Type]],tbl_Slot_Group[],2,FALSE)</f>
        <v>1</v>
      </c>
      <c r="W961" s="136">
        <v>0</v>
      </c>
      <c r="X961" s="136" t="str">
        <f>tbl_IO_List[[#This Row],[Chassis]]&amp;"S"&amp;TEXT(tbl_IO_List[[#This Row],[Slot]],"00")</f>
        <v>C7S04</v>
      </c>
      <c r="Y961" s="136" t="str">
        <f>tbl_IO_List[[#This Row],[Chassis]]&amp;"S"&amp;TEXT(tbl_IO_List[[#This Row],[Slot]],"00")&amp;tbl_IO_List[[#This Row],[I/O Type]]&amp;TEXT(tbl_IO_List[[#This Row],[Point]],"00")</f>
        <v>C7S04DI07</v>
      </c>
      <c r="Z961" s="136" t="str">
        <f>tbl_IO_List[[#This Row],[Chassis]]&amp;"S"&amp;TEXT(tbl_IO_List[[#This Row],[Slot]],"00")&amp;","&amp;TEXT(tbl_IO_List[[#This Row],[Point]],"00")</f>
        <v>C7S04,07</v>
      </c>
      <c r="AA961" s="136" t="e">
        <f>VLOOKUP(tbl_IO_List[[#This Row],[Column23]],tbl_RackConfig[],5,FALSE) &amp;"-"&amp;tbl_IO_List[[#This Row],[Point]]</f>
        <v>#N/A</v>
      </c>
      <c r="AB961" s="136"/>
      <c r="AC961" s="136"/>
      <c r="AD961" s="136" t="str">
        <f>tbl_IO_List[[#This Row],[I/O Type]]</f>
        <v>DI</v>
      </c>
      <c r="AE961" s="136" t="s">
        <v>1368</v>
      </c>
      <c r="AF961" s="136">
        <v>4</v>
      </c>
      <c r="AG961" s="136">
        <v>7</v>
      </c>
      <c r="AH961" s="136"/>
      <c r="AI961" s="136"/>
      <c r="AJ961" s="136">
        <v>1</v>
      </c>
      <c r="AK961" s="136">
        <v>0</v>
      </c>
      <c r="AL961" s="136">
        <v>0</v>
      </c>
      <c r="AM961" s="136">
        <v>0</v>
      </c>
      <c r="AN961" s="136">
        <v>0</v>
      </c>
      <c r="AO961" s="136"/>
      <c r="AP961" s="143"/>
      <c r="AQ961" s="143" t="str">
        <f>tbl_IO_List[[#This Row],[Chassis]]&amp;"S"&amp;tbl_IO_List[[#This Row],[Slot]]&amp;"-"&amp;tbl_IO_List[[#This Row],[Front Terminal Number]]</f>
        <v>C7S4-</v>
      </c>
      <c r="AR961" s="143"/>
      <c r="AS961" s="136" t="str">
        <f>tbl_IO_List[[#This Row],[Terminal Tagging]]&amp;"-"&amp;tbl_IO_List[[#This Row],[Point-Count]]</f>
        <v>-</v>
      </c>
      <c r="AT961" s="136" t="str">
        <f>tbl_IO_List[[#This Row],[Front Terminal Tagging]]&amp;"/"&amp;tbl_IO_List[[#This Row],[Terminal Tagging-Item]]</f>
        <v>C7S4-/-</v>
      </c>
      <c r="AU961" s="136" t="str">
        <f>tbl_IO_List[[#This Row],[Terminal Tagging-Item]]&amp;"/"&amp;tbl_IO_List[[#This Row],[Front Terminal Tagging]]</f>
        <v>-/C7S4-</v>
      </c>
    </row>
    <row r="962" spans="1:47" hidden="1">
      <c r="A962" s="136" t="s">
        <v>1307</v>
      </c>
      <c r="B962" s="136" t="s">
        <v>1307</v>
      </c>
      <c r="C962" s="136" t="str">
        <f>tbl_IO_List[[#This Row],[Column3]]</f>
        <v>C7S04,08</v>
      </c>
      <c r="D962" s="136" t="e">
        <f>tbl_IO_List[[#This Row],[Card]]</f>
        <v>#N/A</v>
      </c>
      <c r="E962" s="136"/>
      <c r="F962" s="136" t="str">
        <f>tbl_IO_List[[#This Row],[Column23]]&amp;"-" &amp;tbl_IO_List[[#This Row],[Column52]]</f>
        <v>C7S04-</v>
      </c>
      <c r="G962" s="136" t="str">
        <f>tbl_IO_List[[#This Row],[PLC_Tag]]</f>
        <v>Spare_DI_0</v>
      </c>
      <c r="H962" s="136"/>
      <c r="I962" s="136" t="str">
        <f>VLOOKUP(tbl_IO_List[[#This Row],[Destination]],tbl_Junction[],2,FALSE)</f>
        <v>MCC Room</v>
      </c>
      <c r="J962" s="136"/>
      <c r="K962" s="136"/>
      <c r="L962" s="136" t="s">
        <v>411</v>
      </c>
      <c r="M962" s="136" t="e">
        <f>VLOOKUP(tbl_IO_List[[#This Row],[Instruement Tag]],tbl_Instruement_List[],2,FALSE)</f>
        <v>#N/A</v>
      </c>
      <c r="N962" s="136"/>
      <c r="O962" s="136"/>
      <c r="P962" s="136"/>
      <c r="Q962" s="136" t="e">
        <f>VLOOKUP(tbl_IO_List[[#This Row],[Instruement Tag]],tbl_Instruement_List[],6,FALSE)</f>
        <v>#N/A</v>
      </c>
      <c r="R962" s="136"/>
      <c r="S96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62" s="136" t="str">
        <f>tbl_IO_List[[#This Row],[Instruement Tag]]&amp;"_"&amp;tbl_IO_List[[#This Row],[I/O Type]]&amp;"_"&amp;tbl_IO_List[[#This Row],[IO-Point 
(Instruement)]]</f>
        <v>Spare_DI_0</v>
      </c>
      <c r="U962" s="136" t="s">
        <v>8</v>
      </c>
      <c r="V962" s="136">
        <f>VLOOKUP(tbl_IO_List[[#This Row],[I/O Type]],tbl_Slot_Group[],2,FALSE)</f>
        <v>1</v>
      </c>
      <c r="W962" s="136">
        <v>0</v>
      </c>
      <c r="X962" s="136" t="str">
        <f>tbl_IO_List[[#This Row],[Chassis]]&amp;"S"&amp;TEXT(tbl_IO_List[[#This Row],[Slot]],"00")</f>
        <v>C7S04</v>
      </c>
      <c r="Y962" s="136" t="str">
        <f>tbl_IO_List[[#This Row],[Chassis]]&amp;"S"&amp;TEXT(tbl_IO_List[[#This Row],[Slot]],"00")&amp;tbl_IO_List[[#This Row],[I/O Type]]&amp;TEXT(tbl_IO_List[[#This Row],[Point]],"00")</f>
        <v>C7S04DI08</v>
      </c>
      <c r="Z962" s="136" t="str">
        <f>tbl_IO_List[[#This Row],[Chassis]]&amp;"S"&amp;TEXT(tbl_IO_List[[#This Row],[Slot]],"00")&amp;","&amp;TEXT(tbl_IO_List[[#This Row],[Point]],"00")</f>
        <v>C7S04,08</v>
      </c>
      <c r="AA962" s="136" t="e">
        <f>VLOOKUP(tbl_IO_List[[#This Row],[Column23]],tbl_RackConfig[],5,FALSE) &amp;"-"&amp;tbl_IO_List[[#This Row],[Point]]</f>
        <v>#N/A</v>
      </c>
      <c r="AB962" s="136"/>
      <c r="AC962" s="136"/>
      <c r="AD962" s="136" t="str">
        <f>tbl_IO_List[[#This Row],[I/O Type]]</f>
        <v>DI</v>
      </c>
      <c r="AE962" s="136" t="s">
        <v>1368</v>
      </c>
      <c r="AF962" s="136">
        <v>4</v>
      </c>
      <c r="AG962" s="136">
        <v>8</v>
      </c>
      <c r="AH962" s="136"/>
      <c r="AI962" s="136"/>
      <c r="AJ962" s="136">
        <v>1</v>
      </c>
      <c r="AK962" s="136">
        <v>0</v>
      </c>
      <c r="AL962" s="136">
        <v>0</v>
      </c>
      <c r="AM962" s="136">
        <v>0</v>
      </c>
      <c r="AN962" s="136">
        <v>0</v>
      </c>
      <c r="AO962" s="136"/>
      <c r="AP962" s="143"/>
      <c r="AQ962" s="143" t="str">
        <f>tbl_IO_List[[#This Row],[Chassis]]&amp;"S"&amp;tbl_IO_List[[#This Row],[Slot]]&amp;"-"&amp;tbl_IO_List[[#This Row],[Front Terminal Number]]</f>
        <v>C7S4-</v>
      </c>
      <c r="AR962" s="143"/>
      <c r="AS962" s="136" t="str">
        <f>tbl_IO_List[[#This Row],[Terminal Tagging]]&amp;"-"&amp;tbl_IO_List[[#This Row],[Point-Count]]</f>
        <v>-</v>
      </c>
      <c r="AT962" s="136" t="str">
        <f>tbl_IO_List[[#This Row],[Front Terminal Tagging]]&amp;"/"&amp;tbl_IO_List[[#This Row],[Terminal Tagging-Item]]</f>
        <v>C7S4-/-</v>
      </c>
      <c r="AU962" s="136" t="str">
        <f>tbl_IO_List[[#This Row],[Terminal Tagging-Item]]&amp;"/"&amp;tbl_IO_List[[#This Row],[Front Terminal Tagging]]</f>
        <v>-/C7S4-</v>
      </c>
    </row>
    <row r="963" spans="1:47" hidden="1">
      <c r="A963" s="136" t="s">
        <v>1307</v>
      </c>
      <c r="B963" s="136" t="s">
        <v>1307</v>
      </c>
      <c r="C963" s="136" t="str">
        <f>tbl_IO_List[[#This Row],[Column3]]</f>
        <v>C7S04,09</v>
      </c>
      <c r="D963" s="136" t="e">
        <f>tbl_IO_List[[#This Row],[Card]]</f>
        <v>#N/A</v>
      </c>
      <c r="E963" s="136"/>
      <c r="F963" s="136" t="str">
        <f>tbl_IO_List[[#This Row],[Column23]]&amp;"-" &amp;tbl_IO_List[[#This Row],[Column52]]</f>
        <v>C7S04-</v>
      </c>
      <c r="G963" s="136" t="str">
        <f>tbl_IO_List[[#This Row],[PLC_Tag]]</f>
        <v>Spare_DI_0</v>
      </c>
      <c r="H963" s="136"/>
      <c r="I963" s="136" t="str">
        <f>VLOOKUP(tbl_IO_List[[#This Row],[Destination]],tbl_Junction[],2,FALSE)</f>
        <v>MCC Room</v>
      </c>
      <c r="J963" s="136"/>
      <c r="K963" s="136"/>
      <c r="L963" s="136" t="s">
        <v>411</v>
      </c>
      <c r="M963" s="136" t="e">
        <f>VLOOKUP(tbl_IO_List[[#This Row],[Instruement Tag]],tbl_Instruement_List[],2,FALSE)</f>
        <v>#N/A</v>
      </c>
      <c r="N963" s="136"/>
      <c r="O963" s="136"/>
      <c r="P963" s="136"/>
      <c r="Q963" s="136" t="e">
        <f>VLOOKUP(tbl_IO_List[[#This Row],[Instruement Tag]],tbl_Instruement_List[],6,FALSE)</f>
        <v>#N/A</v>
      </c>
      <c r="R963" s="136"/>
      <c r="S96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63" s="136" t="str">
        <f>tbl_IO_List[[#This Row],[Instruement Tag]]&amp;"_"&amp;tbl_IO_List[[#This Row],[I/O Type]]&amp;"_"&amp;tbl_IO_List[[#This Row],[IO-Point 
(Instruement)]]</f>
        <v>Spare_DI_0</v>
      </c>
      <c r="U963" s="136" t="s">
        <v>8</v>
      </c>
      <c r="V963" s="136">
        <f>VLOOKUP(tbl_IO_List[[#This Row],[I/O Type]],tbl_Slot_Group[],2,FALSE)</f>
        <v>1</v>
      </c>
      <c r="W963" s="136">
        <v>0</v>
      </c>
      <c r="X963" s="136" t="str">
        <f>tbl_IO_List[[#This Row],[Chassis]]&amp;"S"&amp;TEXT(tbl_IO_List[[#This Row],[Slot]],"00")</f>
        <v>C7S04</v>
      </c>
      <c r="Y963" s="136" t="str">
        <f>tbl_IO_List[[#This Row],[Chassis]]&amp;"S"&amp;TEXT(tbl_IO_List[[#This Row],[Slot]],"00")&amp;tbl_IO_List[[#This Row],[I/O Type]]&amp;TEXT(tbl_IO_List[[#This Row],[Point]],"00")</f>
        <v>C7S04DI09</v>
      </c>
      <c r="Z963" s="136" t="str">
        <f>tbl_IO_List[[#This Row],[Chassis]]&amp;"S"&amp;TEXT(tbl_IO_List[[#This Row],[Slot]],"00")&amp;","&amp;TEXT(tbl_IO_List[[#This Row],[Point]],"00")</f>
        <v>C7S04,09</v>
      </c>
      <c r="AA963" s="136" t="e">
        <f>VLOOKUP(tbl_IO_List[[#This Row],[Column23]],tbl_RackConfig[],5,FALSE) &amp;"-"&amp;tbl_IO_List[[#This Row],[Point]]</f>
        <v>#N/A</v>
      </c>
      <c r="AB963" s="136"/>
      <c r="AC963" s="136"/>
      <c r="AD963" s="136" t="str">
        <f>tbl_IO_List[[#This Row],[I/O Type]]</f>
        <v>DI</v>
      </c>
      <c r="AE963" s="136" t="s">
        <v>1368</v>
      </c>
      <c r="AF963" s="136">
        <v>4</v>
      </c>
      <c r="AG963" s="136">
        <v>9</v>
      </c>
      <c r="AH963" s="136"/>
      <c r="AI963" s="136"/>
      <c r="AJ963" s="136">
        <v>1</v>
      </c>
      <c r="AK963" s="136">
        <v>0</v>
      </c>
      <c r="AL963" s="136">
        <v>0</v>
      </c>
      <c r="AM963" s="136">
        <v>0</v>
      </c>
      <c r="AN963" s="136">
        <v>0</v>
      </c>
      <c r="AO963" s="136"/>
      <c r="AP963" s="143"/>
      <c r="AQ963" s="143" t="str">
        <f>tbl_IO_List[[#This Row],[Chassis]]&amp;"S"&amp;tbl_IO_List[[#This Row],[Slot]]&amp;"-"&amp;tbl_IO_List[[#This Row],[Front Terminal Number]]</f>
        <v>C7S4-</v>
      </c>
      <c r="AR963" s="143"/>
      <c r="AS963" s="136" t="str">
        <f>tbl_IO_List[[#This Row],[Terminal Tagging]]&amp;"-"&amp;tbl_IO_List[[#This Row],[Point-Count]]</f>
        <v>-</v>
      </c>
      <c r="AT963" s="136" t="str">
        <f>tbl_IO_List[[#This Row],[Front Terminal Tagging]]&amp;"/"&amp;tbl_IO_List[[#This Row],[Terminal Tagging-Item]]</f>
        <v>C7S4-/-</v>
      </c>
      <c r="AU963" s="136" t="str">
        <f>tbl_IO_List[[#This Row],[Terminal Tagging-Item]]&amp;"/"&amp;tbl_IO_List[[#This Row],[Front Terminal Tagging]]</f>
        <v>-/C7S4-</v>
      </c>
    </row>
    <row r="964" spans="1:47" hidden="1">
      <c r="A964" s="136" t="s">
        <v>1307</v>
      </c>
      <c r="B964" s="136" t="s">
        <v>1307</v>
      </c>
      <c r="C964" s="136" t="str">
        <f>tbl_IO_List[[#This Row],[Column3]]</f>
        <v>C7S04,10</v>
      </c>
      <c r="D964" s="136" t="e">
        <f>tbl_IO_List[[#This Row],[Card]]</f>
        <v>#N/A</v>
      </c>
      <c r="E964" s="136"/>
      <c r="F964" s="136" t="str">
        <f>tbl_IO_List[[#This Row],[Column23]]&amp;"-" &amp;tbl_IO_List[[#This Row],[Column52]]</f>
        <v>C7S04-</v>
      </c>
      <c r="G964" s="136" t="str">
        <f>tbl_IO_List[[#This Row],[PLC_Tag]]</f>
        <v>Spare_DI_0</v>
      </c>
      <c r="H964" s="136"/>
      <c r="I964" s="136" t="str">
        <f>VLOOKUP(tbl_IO_List[[#This Row],[Destination]],tbl_Junction[],2,FALSE)</f>
        <v>MCC Room</v>
      </c>
      <c r="J964" s="136"/>
      <c r="K964" s="136"/>
      <c r="L964" s="136" t="s">
        <v>411</v>
      </c>
      <c r="M964" s="136" t="e">
        <f>VLOOKUP(tbl_IO_List[[#This Row],[Instruement Tag]],tbl_Instruement_List[],2,FALSE)</f>
        <v>#N/A</v>
      </c>
      <c r="N964" s="136"/>
      <c r="O964" s="136"/>
      <c r="P964" s="136"/>
      <c r="Q964" s="136" t="e">
        <f>VLOOKUP(tbl_IO_List[[#This Row],[Instruement Tag]],tbl_Instruement_List[],6,FALSE)</f>
        <v>#N/A</v>
      </c>
      <c r="R964" s="136"/>
      <c r="S96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64" s="136" t="str">
        <f>tbl_IO_List[[#This Row],[Instruement Tag]]&amp;"_"&amp;tbl_IO_List[[#This Row],[I/O Type]]&amp;"_"&amp;tbl_IO_List[[#This Row],[IO-Point 
(Instruement)]]</f>
        <v>Spare_DI_0</v>
      </c>
      <c r="U964" s="136" t="s">
        <v>8</v>
      </c>
      <c r="V964" s="136">
        <f>VLOOKUP(tbl_IO_List[[#This Row],[I/O Type]],tbl_Slot_Group[],2,FALSE)</f>
        <v>1</v>
      </c>
      <c r="W964" s="136">
        <v>0</v>
      </c>
      <c r="X964" s="136" t="str">
        <f>tbl_IO_List[[#This Row],[Chassis]]&amp;"S"&amp;TEXT(tbl_IO_List[[#This Row],[Slot]],"00")</f>
        <v>C7S04</v>
      </c>
      <c r="Y964" s="136" t="str">
        <f>tbl_IO_List[[#This Row],[Chassis]]&amp;"S"&amp;TEXT(tbl_IO_List[[#This Row],[Slot]],"00")&amp;tbl_IO_List[[#This Row],[I/O Type]]&amp;TEXT(tbl_IO_List[[#This Row],[Point]],"00")</f>
        <v>C7S04DI10</v>
      </c>
      <c r="Z964" s="136" t="str">
        <f>tbl_IO_List[[#This Row],[Chassis]]&amp;"S"&amp;TEXT(tbl_IO_List[[#This Row],[Slot]],"00")&amp;","&amp;TEXT(tbl_IO_List[[#This Row],[Point]],"00")</f>
        <v>C7S04,10</v>
      </c>
      <c r="AA964" s="136" t="e">
        <f>VLOOKUP(tbl_IO_List[[#This Row],[Column23]],tbl_RackConfig[],5,FALSE) &amp;"-"&amp;tbl_IO_List[[#This Row],[Point]]</f>
        <v>#N/A</v>
      </c>
      <c r="AB964" s="136"/>
      <c r="AC964" s="136"/>
      <c r="AD964" s="136" t="str">
        <f>tbl_IO_List[[#This Row],[I/O Type]]</f>
        <v>DI</v>
      </c>
      <c r="AE964" s="136" t="s">
        <v>1368</v>
      </c>
      <c r="AF964" s="136">
        <v>4</v>
      </c>
      <c r="AG964" s="136">
        <v>10</v>
      </c>
      <c r="AH964" s="136"/>
      <c r="AI964" s="136"/>
      <c r="AJ964" s="136">
        <v>1</v>
      </c>
      <c r="AK964" s="136">
        <v>0</v>
      </c>
      <c r="AL964" s="136">
        <v>0</v>
      </c>
      <c r="AM964" s="136">
        <v>0</v>
      </c>
      <c r="AN964" s="136">
        <v>0</v>
      </c>
      <c r="AO964" s="136"/>
      <c r="AP964" s="143"/>
      <c r="AQ964" s="143" t="str">
        <f>tbl_IO_List[[#This Row],[Chassis]]&amp;"S"&amp;tbl_IO_List[[#This Row],[Slot]]&amp;"-"&amp;tbl_IO_List[[#This Row],[Front Terminal Number]]</f>
        <v>C7S4-</v>
      </c>
      <c r="AR964" s="143"/>
      <c r="AS964" s="136" t="str">
        <f>tbl_IO_List[[#This Row],[Terminal Tagging]]&amp;"-"&amp;tbl_IO_List[[#This Row],[Point-Count]]</f>
        <v>-</v>
      </c>
      <c r="AT964" s="136" t="str">
        <f>tbl_IO_List[[#This Row],[Front Terminal Tagging]]&amp;"/"&amp;tbl_IO_List[[#This Row],[Terminal Tagging-Item]]</f>
        <v>C7S4-/-</v>
      </c>
      <c r="AU964" s="136" t="str">
        <f>tbl_IO_List[[#This Row],[Terminal Tagging-Item]]&amp;"/"&amp;tbl_IO_List[[#This Row],[Front Terminal Tagging]]</f>
        <v>-/C7S4-</v>
      </c>
    </row>
    <row r="965" spans="1:47" hidden="1">
      <c r="A965" s="136" t="s">
        <v>1307</v>
      </c>
      <c r="B965" s="136" t="s">
        <v>1307</v>
      </c>
      <c r="C965" s="136" t="str">
        <f>tbl_IO_List[[#This Row],[Column3]]</f>
        <v>C7S04,11</v>
      </c>
      <c r="D965" s="136" t="e">
        <f>tbl_IO_List[[#This Row],[Card]]</f>
        <v>#N/A</v>
      </c>
      <c r="E965" s="136"/>
      <c r="F965" s="136" t="str">
        <f>tbl_IO_List[[#This Row],[Column23]]&amp;"-" &amp;tbl_IO_List[[#This Row],[Column52]]</f>
        <v>C7S04-</v>
      </c>
      <c r="G965" s="136" t="str">
        <f>tbl_IO_List[[#This Row],[PLC_Tag]]</f>
        <v>Spare_DI_0</v>
      </c>
      <c r="H965" s="136"/>
      <c r="I965" s="136" t="str">
        <f>VLOOKUP(tbl_IO_List[[#This Row],[Destination]],tbl_Junction[],2,FALSE)</f>
        <v>MCC Room</v>
      </c>
      <c r="J965" s="136"/>
      <c r="K965" s="136"/>
      <c r="L965" s="136" t="s">
        <v>411</v>
      </c>
      <c r="M965" s="136" t="e">
        <f>VLOOKUP(tbl_IO_List[[#This Row],[Instruement Tag]],tbl_Instruement_List[],2,FALSE)</f>
        <v>#N/A</v>
      </c>
      <c r="N965" s="136"/>
      <c r="O965" s="136"/>
      <c r="P965" s="136"/>
      <c r="Q965" s="136" t="e">
        <f>VLOOKUP(tbl_IO_List[[#This Row],[Instruement Tag]],tbl_Instruement_List[],6,FALSE)</f>
        <v>#N/A</v>
      </c>
      <c r="R965" s="136"/>
      <c r="S96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65" s="136" t="str">
        <f>tbl_IO_List[[#This Row],[Instruement Tag]]&amp;"_"&amp;tbl_IO_List[[#This Row],[I/O Type]]&amp;"_"&amp;tbl_IO_List[[#This Row],[IO-Point 
(Instruement)]]</f>
        <v>Spare_DI_0</v>
      </c>
      <c r="U965" s="136" t="s">
        <v>8</v>
      </c>
      <c r="V965" s="136">
        <f>VLOOKUP(tbl_IO_List[[#This Row],[I/O Type]],tbl_Slot_Group[],2,FALSE)</f>
        <v>1</v>
      </c>
      <c r="W965" s="136">
        <v>0</v>
      </c>
      <c r="X965" s="136" t="str">
        <f>tbl_IO_List[[#This Row],[Chassis]]&amp;"S"&amp;TEXT(tbl_IO_List[[#This Row],[Slot]],"00")</f>
        <v>C7S04</v>
      </c>
      <c r="Y965" s="136" t="str">
        <f>tbl_IO_List[[#This Row],[Chassis]]&amp;"S"&amp;TEXT(tbl_IO_List[[#This Row],[Slot]],"00")&amp;tbl_IO_List[[#This Row],[I/O Type]]&amp;TEXT(tbl_IO_List[[#This Row],[Point]],"00")</f>
        <v>C7S04DI11</v>
      </c>
      <c r="Z965" s="136" t="str">
        <f>tbl_IO_List[[#This Row],[Chassis]]&amp;"S"&amp;TEXT(tbl_IO_List[[#This Row],[Slot]],"00")&amp;","&amp;TEXT(tbl_IO_List[[#This Row],[Point]],"00")</f>
        <v>C7S04,11</v>
      </c>
      <c r="AA965" s="136" t="e">
        <f>VLOOKUP(tbl_IO_List[[#This Row],[Column23]],tbl_RackConfig[],5,FALSE) &amp;"-"&amp;tbl_IO_List[[#This Row],[Point]]</f>
        <v>#N/A</v>
      </c>
      <c r="AB965" s="136"/>
      <c r="AC965" s="136"/>
      <c r="AD965" s="136" t="str">
        <f>tbl_IO_List[[#This Row],[I/O Type]]</f>
        <v>DI</v>
      </c>
      <c r="AE965" s="136" t="s">
        <v>1368</v>
      </c>
      <c r="AF965" s="136">
        <v>4</v>
      </c>
      <c r="AG965" s="136">
        <v>11</v>
      </c>
      <c r="AH965" s="136"/>
      <c r="AI965" s="136"/>
      <c r="AJ965" s="136">
        <v>1</v>
      </c>
      <c r="AK965" s="136">
        <v>0</v>
      </c>
      <c r="AL965" s="136">
        <v>0</v>
      </c>
      <c r="AM965" s="136">
        <v>0</v>
      </c>
      <c r="AN965" s="136">
        <v>0</v>
      </c>
      <c r="AO965" s="136"/>
      <c r="AP965" s="143"/>
      <c r="AQ965" s="143" t="str">
        <f>tbl_IO_List[[#This Row],[Chassis]]&amp;"S"&amp;tbl_IO_List[[#This Row],[Slot]]&amp;"-"&amp;tbl_IO_List[[#This Row],[Front Terminal Number]]</f>
        <v>C7S4-</v>
      </c>
      <c r="AR965" s="143"/>
      <c r="AS965" s="136" t="str">
        <f>tbl_IO_List[[#This Row],[Terminal Tagging]]&amp;"-"&amp;tbl_IO_List[[#This Row],[Point-Count]]</f>
        <v>-</v>
      </c>
      <c r="AT965" s="136" t="str">
        <f>tbl_IO_List[[#This Row],[Front Terminal Tagging]]&amp;"/"&amp;tbl_IO_List[[#This Row],[Terminal Tagging-Item]]</f>
        <v>C7S4-/-</v>
      </c>
      <c r="AU965" s="136" t="str">
        <f>tbl_IO_List[[#This Row],[Terminal Tagging-Item]]&amp;"/"&amp;tbl_IO_List[[#This Row],[Front Terminal Tagging]]</f>
        <v>-/C7S4-</v>
      </c>
    </row>
    <row r="966" spans="1:47" hidden="1">
      <c r="A966" s="136" t="s">
        <v>1307</v>
      </c>
      <c r="B966" s="136" t="s">
        <v>1307</v>
      </c>
      <c r="C966" s="136" t="str">
        <f>tbl_IO_List[[#This Row],[Column3]]</f>
        <v>C7S04,12</v>
      </c>
      <c r="D966" s="136" t="e">
        <f>tbl_IO_List[[#This Row],[Card]]</f>
        <v>#N/A</v>
      </c>
      <c r="E966" s="136"/>
      <c r="F966" s="136" t="str">
        <f>tbl_IO_List[[#This Row],[Column23]]&amp;"-" &amp;tbl_IO_List[[#This Row],[Column52]]</f>
        <v>C7S04-</v>
      </c>
      <c r="G966" s="136" t="str">
        <f>tbl_IO_List[[#This Row],[PLC_Tag]]</f>
        <v>Spare_DI_0</v>
      </c>
      <c r="H966" s="136"/>
      <c r="I966" s="136" t="str">
        <f>VLOOKUP(tbl_IO_List[[#This Row],[Destination]],tbl_Junction[],2,FALSE)</f>
        <v>MCC Room</v>
      </c>
      <c r="J966" s="136"/>
      <c r="K966" s="136"/>
      <c r="L966" s="136" t="s">
        <v>411</v>
      </c>
      <c r="M966" s="136" t="e">
        <f>VLOOKUP(tbl_IO_List[[#This Row],[Instruement Tag]],tbl_Instruement_List[],2,FALSE)</f>
        <v>#N/A</v>
      </c>
      <c r="N966" s="136"/>
      <c r="O966" s="136"/>
      <c r="P966" s="136"/>
      <c r="Q966" s="136" t="e">
        <f>VLOOKUP(tbl_IO_List[[#This Row],[Instruement Tag]],tbl_Instruement_List[],6,FALSE)</f>
        <v>#N/A</v>
      </c>
      <c r="R966" s="136"/>
      <c r="S96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66" s="136" t="str">
        <f>tbl_IO_List[[#This Row],[Instruement Tag]]&amp;"_"&amp;tbl_IO_List[[#This Row],[I/O Type]]&amp;"_"&amp;tbl_IO_List[[#This Row],[IO-Point 
(Instruement)]]</f>
        <v>Spare_DI_0</v>
      </c>
      <c r="U966" s="136" t="s">
        <v>8</v>
      </c>
      <c r="V966" s="136">
        <f>VLOOKUP(tbl_IO_List[[#This Row],[I/O Type]],tbl_Slot_Group[],2,FALSE)</f>
        <v>1</v>
      </c>
      <c r="W966" s="136">
        <v>0</v>
      </c>
      <c r="X966" s="136" t="str">
        <f>tbl_IO_List[[#This Row],[Chassis]]&amp;"S"&amp;TEXT(tbl_IO_List[[#This Row],[Slot]],"00")</f>
        <v>C7S04</v>
      </c>
      <c r="Y966" s="136" t="str">
        <f>tbl_IO_List[[#This Row],[Chassis]]&amp;"S"&amp;TEXT(tbl_IO_List[[#This Row],[Slot]],"00")&amp;tbl_IO_List[[#This Row],[I/O Type]]&amp;TEXT(tbl_IO_List[[#This Row],[Point]],"00")</f>
        <v>C7S04DI12</v>
      </c>
      <c r="Z966" s="136" t="str">
        <f>tbl_IO_List[[#This Row],[Chassis]]&amp;"S"&amp;TEXT(tbl_IO_List[[#This Row],[Slot]],"00")&amp;","&amp;TEXT(tbl_IO_List[[#This Row],[Point]],"00")</f>
        <v>C7S04,12</v>
      </c>
      <c r="AA966" s="136" t="e">
        <f>VLOOKUP(tbl_IO_List[[#This Row],[Column23]],tbl_RackConfig[],5,FALSE) &amp;"-"&amp;tbl_IO_List[[#This Row],[Point]]</f>
        <v>#N/A</v>
      </c>
      <c r="AB966" s="136"/>
      <c r="AC966" s="136"/>
      <c r="AD966" s="136" t="str">
        <f>tbl_IO_List[[#This Row],[I/O Type]]</f>
        <v>DI</v>
      </c>
      <c r="AE966" s="136" t="s">
        <v>1368</v>
      </c>
      <c r="AF966" s="136">
        <v>4</v>
      </c>
      <c r="AG966" s="136">
        <v>12</v>
      </c>
      <c r="AH966" s="136"/>
      <c r="AI966" s="136"/>
      <c r="AJ966" s="136">
        <v>1</v>
      </c>
      <c r="AK966" s="136">
        <v>0</v>
      </c>
      <c r="AL966" s="136">
        <v>0</v>
      </c>
      <c r="AM966" s="136">
        <v>0</v>
      </c>
      <c r="AN966" s="136">
        <v>0</v>
      </c>
      <c r="AO966" s="136"/>
      <c r="AP966" s="143"/>
      <c r="AQ966" s="143" t="str">
        <f>tbl_IO_List[[#This Row],[Chassis]]&amp;"S"&amp;tbl_IO_List[[#This Row],[Slot]]&amp;"-"&amp;tbl_IO_List[[#This Row],[Front Terminal Number]]</f>
        <v>C7S4-</v>
      </c>
      <c r="AR966" s="143"/>
      <c r="AS966" s="136" t="str">
        <f>tbl_IO_List[[#This Row],[Terminal Tagging]]&amp;"-"&amp;tbl_IO_List[[#This Row],[Point-Count]]</f>
        <v>-</v>
      </c>
      <c r="AT966" s="136" t="str">
        <f>tbl_IO_List[[#This Row],[Front Terminal Tagging]]&amp;"/"&amp;tbl_IO_List[[#This Row],[Terminal Tagging-Item]]</f>
        <v>C7S4-/-</v>
      </c>
      <c r="AU966" s="136" t="str">
        <f>tbl_IO_List[[#This Row],[Terminal Tagging-Item]]&amp;"/"&amp;tbl_IO_List[[#This Row],[Front Terminal Tagging]]</f>
        <v>-/C7S4-</v>
      </c>
    </row>
    <row r="967" spans="1:47" hidden="1">
      <c r="A967" s="136" t="s">
        <v>1307</v>
      </c>
      <c r="B967" s="136" t="s">
        <v>1307</v>
      </c>
      <c r="C967" s="136" t="str">
        <f>tbl_IO_List[[#This Row],[Column3]]</f>
        <v>C7S04,13</v>
      </c>
      <c r="D967" s="136" t="e">
        <f>tbl_IO_List[[#This Row],[Card]]</f>
        <v>#N/A</v>
      </c>
      <c r="E967" s="136"/>
      <c r="F967" s="136" t="str">
        <f>tbl_IO_List[[#This Row],[Column23]]&amp;"-" &amp;tbl_IO_List[[#This Row],[Column52]]</f>
        <v>C7S04-</v>
      </c>
      <c r="G967" s="136" t="str">
        <f>tbl_IO_List[[#This Row],[PLC_Tag]]</f>
        <v>Spare_DI_0</v>
      </c>
      <c r="H967" s="136"/>
      <c r="I967" s="136" t="str">
        <f>VLOOKUP(tbl_IO_List[[#This Row],[Destination]],tbl_Junction[],2,FALSE)</f>
        <v>MCC Room</v>
      </c>
      <c r="J967" s="136"/>
      <c r="K967" s="136"/>
      <c r="L967" s="136" t="s">
        <v>411</v>
      </c>
      <c r="M967" s="136" t="e">
        <f>VLOOKUP(tbl_IO_List[[#This Row],[Instruement Tag]],tbl_Instruement_List[],2,FALSE)</f>
        <v>#N/A</v>
      </c>
      <c r="N967" s="136"/>
      <c r="O967" s="136"/>
      <c r="P967" s="136"/>
      <c r="Q967" s="136" t="e">
        <f>VLOOKUP(tbl_IO_List[[#This Row],[Instruement Tag]],tbl_Instruement_List[],6,FALSE)</f>
        <v>#N/A</v>
      </c>
      <c r="R967" s="136"/>
      <c r="S96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67" s="136" t="str">
        <f>tbl_IO_List[[#This Row],[Instruement Tag]]&amp;"_"&amp;tbl_IO_List[[#This Row],[I/O Type]]&amp;"_"&amp;tbl_IO_List[[#This Row],[IO-Point 
(Instruement)]]</f>
        <v>Spare_DI_0</v>
      </c>
      <c r="U967" s="136" t="s">
        <v>8</v>
      </c>
      <c r="V967" s="136">
        <f>VLOOKUP(tbl_IO_List[[#This Row],[I/O Type]],tbl_Slot_Group[],2,FALSE)</f>
        <v>1</v>
      </c>
      <c r="W967" s="136">
        <v>0</v>
      </c>
      <c r="X967" s="136" t="str">
        <f>tbl_IO_List[[#This Row],[Chassis]]&amp;"S"&amp;TEXT(tbl_IO_List[[#This Row],[Slot]],"00")</f>
        <v>C7S04</v>
      </c>
      <c r="Y967" s="136" t="str">
        <f>tbl_IO_List[[#This Row],[Chassis]]&amp;"S"&amp;TEXT(tbl_IO_List[[#This Row],[Slot]],"00")&amp;tbl_IO_List[[#This Row],[I/O Type]]&amp;TEXT(tbl_IO_List[[#This Row],[Point]],"00")</f>
        <v>C7S04DI13</v>
      </c>
      <c r="Z967" s="136" t="str">
        <f>tbl_IO_List[[#This Row],[Chassis]]&amp;"S"&amp;TEXT(tbl_IO_List[[#This Row],[Slot]],"00")&amp;","&amp;TEXT(tbl_IO_List[[#This Row],[Point]],"00")</f>
        <v>C7S04,13</v>
      </c>
      <c r="AA967" s="136" t="e">
        <f>VLOOKUP(tbl_IO_List[[#This Row],[Column23]],tbl_RackConfig[],5,FALSE) &amp;"-"&amp;tbl_IO_List[[#This Row],[Point]]</f>
        <v>#N/A</v>
      </c>
      <c r="AB967" s="136"/>
      <c r="AC967" s="136"/>
      <c r="AD967" s="136" t="str">
        <f>tbl_IO_List[[#This Row],[I/O Type]]</f>
        <v>DI</v>
      </c>
      <c r="AE967" s="136" t="s">
        <v>1368</v>
      </c>
      <c r="AF967" s="136">
        <v>4</v>
      </c>
      <c r="AG967" s="136">
        <v>13</v>
      </c>
      <c r="AH967" s="136"/>
      <c r="AI967" s="136"/>
      <c r="AJ967" s="136">
        <v>1</v>
      </c>
      <c r="AK967" s="136">
        <v>0</v>
      </c>
      <c r="AL967" s="136">
        <v>0</v>
      </c>
      <c r="AM967" s="136">
        <v>0</v>
      </c>
      <c r="AN967" s="136">
        <v>0</v>
      </c>
      <c r="AO967" s="136"/>
      <c r="AP967" s="143"/>
      <c r="AQ967" s="143" t="str">
        <f>tbl_IO_List[[#This Row],[Chassis]]&amp;"S"&amp;tbl_IO_List[[#This Row],[Slot]]&amp;"-"&amp;tbl_IO_List[[#This Row],[Front Terminal Number]]</f>
        <v>C7S4-</v>
      </c>
      <c r="AR967" s="143"/>
      <c r="AS967" s="136" t="str">
        <f>tbl_IO_List[[#This Row],[Terminal Tagging]]&amp;"-"&amp;tbl_IO_List[[#This Row],[Point-Count]]</f>
        <v>-</v>
      </c>
      <c r="AT967" s="136" t="str">
        <f>tbl_IO_List[[#This Row],[Front Terminal Tagging]]&amp;"/"&amp;tbl_IO_List[[#This Row],[Terminal Tagging-Item]]</f>
        <v>C7S4-/-</v>
      </c>
      <c r="AU967" s="136" t="str">
        <f>tbl_IO_List[[#This Row],[Terminal Tagging-Item]]&amp;"/"&amp;tbl_IO_List[[#This Row],[Front Terminal Tagging]]</f>
        <v>-/C7S4-</v>
      </c>
    </row>
    <row r="968" spans="1:47" hidden="1">
      <c r="A968" s="136" t="s">
        <v>1307</v>
      </c>
      <c r="B968" s="136" t="s">
        <v>1307</v>
      </c>
      <c r="C968" s="136" t="str">
        <f>tbl_IO_List[[#This Row],[Column3]]</f>
        <v>C7S04,14</v>
      </c>
      <c r="D968" s="136" t="e">
        <f>tbl_IO_List[[#This Row],[Card]]</f>
        <v>#N/A</v>
      </c>
      <c r="E968" s="136"/>
      <c r="F968" s="136" t="str">
        <f>tbl_IO_List[[#This Row],[Column23]]&amp;"-" &amp;tbl_IO_List[[#This Row],[Column52]]</f>
        <v>C7S04-</v>
      </c>
      <c r="G968" s="136" t="str">
        <f>tbl_IO_List[[#This Row],[PLC_Tag]]</f>
        <v>Spare_DI_0</v>
      </c>
      <c r="H968" s="136"/>
      <c r="I968" s="136" t="str">
        <f>VLOOKUP(tbl_IO_List[[#This Row],[Destination]],tbl_Junction[],2,FALSE)</f>
        <v>MCC Room</v>
      </c>
      <c r="J968" s="136"/>
      <c r="K968" s="136"/>
      <c r="L968" s="136" t="s">
        <v>411</v>
      </c>
      <c r="M968" s="136" t="e">
        <f>VLOOKUP(tbl_IO_List[[#This Row],[Instruement Tag]],tbl_Instruement_List[],2,FALSE)</f>
        <v>#N/A</v>
      </c>
      <c r="N968" s="136"/>
      <c r="O968" s="136"/>
      <c r="P968" s="136"/>
      <c r="Q968" s="136" t="e">
        <f>VLOOKUP(tbl_IO_List[[#This Row],[Instruement Tag]],tbl_Instruement_List[],6,FALSE)</f>
        <v>#N/A</v>
      </c>
      <c r="R968" s="136"/>
      <c r="S96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68" s="136" t="str">
        <f>tbl_IO_List[[#This Row],[Instruement Tag]]&amp;"_"&amp;tbl_IO_List[[#This Row],[I/O Type]]&amp;"_"&amp;tbl_IO_List[[#This Row],[IO-Point 
(Instruement)]]</f>
        <v>Spare_DI_0</v>
      </c>
      <c r="U968" s="136" t="s">
        <v>8</v>
      </c>
      <c r="V968" s="136">
        <f>VLOOKUP(tbl_IO_List[[#This Row],[I/O Type]],tbl_Slot_Group[],2,FALSE)</f>
        <v>1</v>
      </c>
      <c r="W968" s="136">
        <v>0</v>
      </c>
      <c r="X968" s="136" t="str">
        <f>tbl_IO_List[[#This Row],[Chassis]]&amp;"S"&amp;TEXT(tbl_IO_List[[#This Row],[Slot]],"00")</f>
        <v>C7S04</v>
      </c>
      <c r="Y968" s="136" t="str">
        <f>tbl_IO_List[[#This Row],[Chassis]]&amp;"S"&amp;TEXT(tbl_IO_List[[#This Row],[Slot]],"00")&amp;tbl_IO_List[[#This Row],[I/O Type]]&amp;TEXT(tbl_IO_List[[#This Row],[Point]],"00")</f>
        <v>C7S04DI14</v>
      </c>
      <c r="Z968" s="136" t="str">
        <f>tbl_IO_List[[#This Row],[Chassis]]&amp;"S"&amp;TEXT(tbl_IO_List[[#This Row],[Slot]],"00")&amp;","&amp;TEXT(tbl_IO_List[[#This Row],[Point]],"00")</f>
        <v>C7S04,14</v>
      </c>
      <c r="AA968" s="136" t="e">
        <f>VLOOKUP(tbl_IO_List[[#This Row],[Column23]],tbl_RackConfig[],5,FALSE) &amp;"-"&amp;tbl_IO_List[[#This Row],[Point]]</f>
        <v>#N/A</v>
      </c>
      <c r="AB968" s="136"/>
      <c r="AC968" s="136"/>
      <c r="AD968" s="136" t="str">
        <f>tbl_IO_List[[#This Row],[I/O Type]]</f>
        <v>DI</v>
      </c>
      <c r="AE968" s="136" t="s">
        <v>1368</v>
      </c>
      <c r="AF968" s="136">
        <v>4</v>
      </c>
      <c r="AG968" s="136">
        <v>14</v>
      </c>
      <c r="AH968" s="136"/>
      <c r="AI968" s="136"/>
      <c r="AJ968" s="136">
        <v>1</v>
      </c>
      <c r="AK968" s="136">
        <v>0</v>
      </c>
      <c r="AL968" s="136">
        <v>0</v>
      </c>
      <c r="AM968" s="136">
        <v>0</v>
      </c>
      <c r="AN968" s="136">
        <v>0</v>
      </c>
      <c r="AO968" s="136"/>
      <c r="AP968" s="143"/>
      <c r="AQ968" s="143" t="str">
        <f>tbl_IO_List[[#This Row],[Chassis]]&amp;"S"&amp;tbl_IO_List[[#This Row],[Slot]]&amp;"-"&amp;tbl_IO_List[[#This Row],[Front Terminal Number]]</f>
        <v>C7S4-</v>
      </c>
      <c r="AR968" s="143"/>
      <c r="AS968" s="136" t="str">
        <f>tbl_IO_List[[#This Row],[Terminal Tagging]]&amp;"-"&amp;tbl_IO_List[[#This Row],[Point-Count]]</f>
        <v>-</v>
      </c>
      <c r="AT968" s="136" t="str">
        <f>tbl_IO_List[[#This Row],[Front Terminal Tagging]]&amp;"/"&amp;tbl_IO_List[[#This Row],[Terminal Tagging-Item]]</f>
        <v>C7S4-/-</v>
      </c>
      <c r="AU968" s="136" t="str">
        <f>tbl_IO_List[[#This Row],[Terminal Tagging-Item]]&amp;"/"&amp;tbl_IO_List[[#This Row],[Front Terminal Tagging]]</f>
        <v>-/C7S4-</v>
      </c>
    </row>
    <row r="969" spans="1:47" hidden="1">
      <c r="A969" s="136" t="s">
        <v>1307</v>
      </c>
      <c r="B969" s="136" t="s">
        <v>1307</v>
      </c>
      <c r="C969" s="136" t="str">
        <f>tbl_IO_List[[#This Row],[Column3]]</f>
        <v>C7S04,15</v>
      </c>
      <c r="D969" s="136" t="e">
        <f>tbl_IO_List[[#This Row],[Card]]</f>
        <v>#N/A</v>
      </c>
      <c r="E969" s="136"/>
      <c r="F969" s="136" t="str">
        <f>tbl_IO_List[[#This Row],[Column23]]&amp;"-" &amp;tbl_IO_List[[#This Row],[Column52]]</f>
        <v>C7S04-</v>
      </c>
      <c r="G969" s="136" t="str">
        <f>tbl_IO_List[[#This Row],[PLC_Tag]]</f>
        <v>Spare_DI_0</v>
      </c>
      <c r="H969" s="136"/>
      <c r="I969" s="136" t="str">
        <f>VLOOKUP(tbl_IO_List[[#This Row],[Destination]],tbl_Junction[],2,FALSE)</f>
        <v>MCC Room</v>
      </c>
      <c r="J969" s="136"/>
      <c r="K969" s="136"/>
      <c r="L969" s="136" t="s">
        <v>411</v>
      </c>
      <c r="M969" s="136" t="e">
        <f>VLOOKUP(tbl_IO_List[[#This Row],[Instruement Tag]],tbl_Instruement_List[],2,FALSE)</f>
        <v>#N/A</v>
      </c>
      <c r="N969" s="136"/>
      <c r="O969" s="136"/>
      <c r="P969" s="136"/>
      <c r="Q969" s="136" t="e">
        <f>VLOOKUP(tbl_IO_List[[#This Row],[Instruement Tag]],tbl_Instruement_List[],6,FALSE)</f>
        <v>#N/A</v>
      </c>
      <c r="R969" s="136"/>
      <c r="S96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69" s="136" t="str">
        <f>tbl_IO_List[[#This Row],[Instruement Tag]]&amp;"_"&amp;tbl_IO_List[[#This Row],[I/O Type]]&amp;"_"&amp;tbl_IO_List[[#This Row],[IO-Point 
(Instruement)]]</f>
        <v>Spare_DI_0</v>
      </c>
      <c r="U969" s="136" t="s">
        <v>8</v>
      </c>
      <c r="V969" s="136">
        <f>VLOOKUP(tbl_IO_List[[#This Row],[I/O Type]],tbl_Slot_Group[],2,FALSE)</f>
        <v>1</v>
      </c>
      <c r="W969" s="136">
        <v>0</v>
      </c>
      <c r="X969" s="136" t="str">
        <f>tbl_IO_List[[#This Row],[Chassis]]&amp;"S"&amp;TEXT(tbl_IO_List[[#This Row],[Slot]],"00")</f>
        <v>C7S04</v>
      </c>
      <c r="Y969" s="136" t="str">
        <f>tbl_IO_List[[#This Row],[Chassis]]&amp;"S"&amp;TEXT(tbl_IO_List[[#This Row],[Slot]],"00")&amp;tbl_IO_List[[#This Row],[I/O Type]]&amp;TEXT(tbl_IO_List[[#This Row],[Point]],"00")</f>
        <v>C7S04DI15</v>
      </c>
      <c r="Z969" s="136" t="str">
        <f>tbl_IO_List[[#This Row],[Chassis]]&amp;"S"&amp;TEXT(tbl_IO_List[[#This Row],[Slot]],"00")&amp;","&amp;TEXT(tbl_IO_List[[#This Row],[Point]],"00")</f>
        <v>C7S04,15</v>
      </c>
      <c r="AA969" s="136" t="e">
        <f>VLOOKUP(tbl_IO_List[[#This Row],[Column23]],tbl_RackConfig[],5,FALSE) &amp;"-"&amp;tbl_IO_List[[#This Row],[Point]]</f>
        <v>#N/A</v>
      </c>
      <c r="AB969" s="136"/>
      <c r="AC969" s="136"/>
      <c r="AD969" s="136" t="str">
        <f>tbl_IO_List[[#This Row],[I/O Type]]</f>
        <v>DI</v>
      </c>
      <c r="AE969" s="136" t="s">
        <v>1368</v>
      </c>
      <c r="AF969" s="136">
        <v>4</v>
      </c>
      <c r="AG969" s="136">
        <v>15</v>
      </c>
      <c r="AH969" s="136"/>
      <c r="AI969" s="136"/>
      <c r="AJ969" s="136">
        <v>1</v>
      </c>
      <c r="AK969" s="136">
        <v>0</v>
      </c>
      <c r="AL969" s="136">
        <v>0</v>
      </c>
      <c r="AM969" s="136">
        <v>0</v>
      </c>
      <c r="AN969" s="136">
        <v>0</v>
      </c>
      <c r="AO969" s="136"/>
      <c r="AP969" s="143"/>
      <c r="AQ969" s="143" t="str">
        <f>tbl_IO_List[[#This Row],[Chassis]]&amp;"S"&amp;tbl_IO_List[[#This Row],[Slot]]&amp;"-"&amp;tbl_IO_List[[#This Row],[Front Terminal Number]]</f>
        <v>C7S4-</v>
      </c>
      <c r="AR969" s="143"/>
      <c r="AS969" s="136" t="str">
        <f>tbl_IO_List[[#This Row],[Terminal Tagging]]&amp;"-"&amp;tbl_IO_List[[#This Row],[Point-Count]]</f>
        <v>-</v>
      </c>
      <c r="AT969" s="136" t="str">
        <f>tbl_IO_List[[#This Row],[Front Terminal Tagging]]&amp;"/"&amp;tbl_IO_List[[#This Row],[Terminal Tagging-Item]]</f>
        <v>C7S4-/-</v>
      </c>
      <c r="AU969" s="136" t="str">
        <f>tbl_IO_List[[#This Row],[Terminal Tagging-Item]]&amp;"/"&amp;tbl_IO_List[[#This Row],[Front Terminal Tagging]]</f>
        <v>-/C7S4-</v>
      </c>
    </row>
    <row r="970" spans="1:47" hidden="1">
      <c r="A970" s="136" t="s">
        <v>1307</v>
      </c>
      <c r="B970" s="136" t="s">
        <v>1307</v>
      </c>
      <c r="C970" s="136" t="str">
        <f>tbl_IO_List[[#This Row],[Column3]]</f>
        <v>C7S04,16</v>
      </c>
      <c r="D970" s="136" t="e">
        <f>tbl_IO_List[[#This Row],[Card]]</f>
        <v>#N/A</v>
      </c>
      <c r="E970" s="136"/>
      <c r="F970" s="136" t="str">
        <f>tbl_IO_List[[#This Row],[Column23]]&amp;"-" &amp;tbl_IO_List[[#This Row],[Column52]]</f>
        <v>C7S04-</v>
      </c>
      <c r="G970" s="136" t="str">
        <f>tbl_IO_List[[#This Row],[PLC_Tag]]</f>
        <v>Spare_DI_0</v>
      </c>
      <c r="H970" s="136"/>
      <c r="I970" s="136" t="str">
        <f>VLOOKUP(tbl_IO_List[[#This Row],[Destination]],tbl_Junction[],2,FALSE)</f>
        <v>MCC Room</v>
      </c>
      <c r="J970" s="136"/>
      <c r="K970" s="136"/>
      <c r="L970" s="136" t="s">
        <v>411</v>
      </c>
      <c r="M970" s="136" t="e">
        <f>VLOOKUP(tbl_IO_List[[#This Row],[Instruement Tag]],tbl_Instruement_List[],2,FALSE)</f>
        <v>#N/A</v>
      </c>
      <c r="N970" s="136"/>
      <c r="O970" s="136"/>
      <c r="P970" s="136"/>
      <c r="Q970" s="136" t="e">
        <f>VLOOKUP(tbl_IO_List[[#This Row],[Instruement Tag]],tbl_Instruement_List[],6,FALSE)</f>
        <v>#N/A</v>
      </c>
      <c r="R970" s="136"/>
      <c r="S97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70" s="136" t="str">
        <f>tbl_IO_List[[#This Row],[Instruement Tag]]&amp;"_"&amp;tbl_IO_List[[#This Row],[I/O Type]]&amp;"_"&amp;tbl_IO_List[[#This Row],[IO-Point 
(Instruement)]]</f>
        <v>Spare_DI_0</v>
      </c>
      <c r="U970" s="136" t="s">
        <v>8</v>
      </c>
      <c r="V970" s="136">
        <f>VLOOKUP(tbl_IO_List[[#This Row],[I/O Type]],tbl_Slot_Group[],2,FALSE)</f>
        <v>1</v>
      </c>
      <c r="W970" s="136">
        <v>0</v>
      </c>
      <c r="X970" s="136" t="str">
        <f>tbl_IO_List[[#This Row],[Chassis]]&amp;"S"&amp;TEXT(tbl_IO_List[[#This Row],[Slot]],"00")</f>
        <v>C7S04</v>
      </c>
      <c r="Y970" s="136" t="str">
        <f>tbl_IO_List[[#This Row],[Chassis]]&amp;"S"&amp;TEXT(tbl_IO_List[[#This Row],[Slot]],"00")&amp;tbl_IO_List[[#This Row],[I/O Type]]&amp;TEXT(tbl_IO_List[[#This Row],[Point]],"00")</f>
        <v>C7S04DI16</v>
      </c>
      <c r="Z970" s="136" t="str">
        <f>tbl_IO_List[[#This Row],[Chassis]]&amp;"S"&amp;TEXT(tbl_IO_List[[#This Row],[Slot]],"00")&amp;","&amp;TEXT(tbl_IO_List[[#This Row],[Point]],"00")</f>
        <v>C7S04,16</v>
      </c>
      <c r="AA970" s="136" t="e">
        <f>VLOOKUP(tbl_IO_List[[#This Row],[Column23]],tbl_RackConfig[],5,FALSE) &amp;"-"&amp;tbl_IO_List[[#This Row],[Point]]</f>
        <v>#N/A</v>
      </c>
      <c r="AB970" s="136"/>
      <c r="AC970" s="136"/>
      <c r="AD970" s="136" t="str">
        <f>tbl_IO_List[[#This Row],[I/O Type]]</f>
        <v>DI</v>
      </c>
      <c r="AE970" s="136" t="s">
        <v>1368</v>
      </c>
      <c r="AF970" s="136">
        <v>4</v>
      </c>
      <c r="AG970" s="136">
        <v>16</v>
      </c>
      <c r="AH970" s="136"/>
      <c r="AI970" s="136"/>
      <c r="AJ970" s="136">
        <v>1</v>
      </c>
      <c r="AK970" s="136">
        <v>0</v>
      </c>
      <c r="AL970" s="136">
        <v>0</v>
      </c>
      <c r="AM970" s="136">
        <v>0</v>
      </c>
      <c r="AN970" s="136">
        <v>0</v>
      </c>
      <c r="AO970" s="136"/>
      <c r="AP970" s="143"/>
      <c r="AQ970" s="143" t="str">
        <f>tbl_IO_List[[#This Row],[Chassis]]&amp;"S"&amp;tbl_IO_List[[#This Row],[Slot]]&amp;"-"&amp;tbl_IO_List[[#This Row],[Front Terminal Number]]</f>
        <v>C7S4-</v>
      </c>
      <c r="AR970" s="143"/>
      <c r="AS970" s="136" t="str">
        <f>tbl_IO_List[[#This Row],[Terminal Tagging]]&amp;"-"&amp;tbl_IO_List[[#This Row],[Point-Count]]</f>
        <v>-</v>
      </c>
      <c r="AT970" s="136" t="str">
        <f>tbl_IO_List[[#This Row],[Front Terminal Tagging]]&amp;"/"&amp;tbl_IO_List[[#This Row],[Terminal Tagging-Item]]</f>
        <v>C7S4-/-</v>
      </c>
      <c r="AU970" s="136" t="str">
        <f>tbl_IO_List[[#This Row],[Terminal Tagging-Item]]&amp;"/"&amp;tbl_IO_List[[#This Row],[Front Terminal Tagging]]</f>
        <v>-/C7S4-</v>
      </c>
    </row>
    <row r="971" spans="1:47" hidden="1">
      <c r="A971" s="136" t="s">
        <v>1307</v>
      </c>
      <c r="B971" s="136" t="s">
        <v>1307</v>
      </c>
      <c r="C971" s="136" t="str">
        <f>tbl_IO_List[[#This Row],[Column3]]</f>
        <v>C7S04,17</v>
      </c>
      <c r="D971" s="136" t="e">
        <f>tbl_IO_List[[#This Row],[Card]]</f>
        <v>#N/A</v>
      </c>
      <c r="E971" s="136"/>
      <c r="F971" s="136" t="str">
        <f>tbl_IO_List[[#This Row],[Column23]]&amp;"-" &amp;tbl_IO_List[[#This Row],[Column52]]</f>
        <v>C7S04-</v>
      </c>
      <c r="G971" s="136" t="str">
        <f>tbl_IO_List[[#This Row],[PLC_Tag]]</f>
        <v>Spare_DI_0</v>
      </c>
      <c r="H971" s="136"/>
      <c r="I971" s="136" t="str">
        <f>VLOOKUP(tbl_IO_List[[#This Row],[Destination]],tbl_Junction[],2,FALSE)</f>
        <v>MCC Room</v>
      </c>
      <c r="J971" s="136"/>
      <c r="K971" s="136"/>
      <c r="L971" s="136" t="s">
        <v>411</v>
      </c>
      <c r="M971" s="136" t="e">
        <f>VLOOKUP(tbl_IO_List[[#This Row],[Instruement Tag]],tbl_Instruement_List[],2,FALSE)</f>
        <v>#N/A</v>
      </c>
      <c r="N971" s="136"/>
      <c r="O971" s="136"/>
      <c r="P971" s="136"/>
      <c r="Q971" s="136" t="e">
        <f>VLOOKUP(tbl_IO_List[[#This Row],[Instruement Tag]],tbl_Instruement_List[],6,FALSE)</f>
        <v>#N/A</v>
      </c>
      <c r="R971" s="136"/>
      <c r="S97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71" s="136" t="str">
        <f>tbl_IO_List[[#This Row],[Instruement Tag]]&amp;"_"&amp;tbl_IO_List[[#This Row],[I/O Type]]&amp;"_"&amp;tbl_IO_List[[#This Row],[IO-Point 
(Instruement)]]</f>
        <v>Spare_DI_0</v>
      </c>
      <c r="U971" s="136" t="s">
        <v>8</v>
      </c>
      <c r="V971" s="136">
        <f>VLOOKUP(tbl_IO_List[[#This Row],[I/O Type]],tbl_Slot_Group[],2,FALSE)</f>
        <v>1</v>
      </c>
      <c r="W971" s="136">
        <v>0</v>
      </c>
      <c r="X971" s="136" t="str">
        <f>tbl_IO_List[[#This Row],[Chassis]]&amp;"S"&amp;TEXT(tbl_IO_List[[#This Row],[Slot]],"00")</f>
        <v>C7S04</v>
      </c>
      <c r="Y971" s="136" t="str">
        <f>tbl_IO_List[[#This Row],[Chassis]]&amp;"S"&amp;TEXT(tbl_IO_List[[#This Row],[Slot]],"00")&amp;tbl_IO_List[[#This Row],[I/O Type]]&amp;TEXT(tbl_IO_List[[#This Row],[Point]],"00")</f>
        <v>C7S04DI17</v>
      </c>
      <c r="Z971" s="136" t="str">
        <f>tbl_IO_List[[#This Row],[Chassis]]&amp;"S"&amp;TEXT(tbl_IO_List[[#This Row],[Slot]],"00")&amp;","&amp;TEXT(tbl_IO_List[[#This Row],[Point]],"00")</f>
        <v>C7S04,17</v>
      </c>
      <c r="AA971" s="136" t="e">
        <f>VLOOKUP(tbl_IO_List[[#This Row],[Column23]],tbl_RackConfig[],5,FALSE) &amp;"-"&amp;tbl_IO_List[[#This Row],[Point]]</f>
        <v>#N/A</v>
      </c>
      <c r="AB971" s="136"/>
      <c r="AC971" s="136"/>
      <c r="AD971" s="136" t="str">
        <f>tbl_IO_List[[#This Row],[I/O Type]]</f>
        <v>DI</v>
      </c>
      <c r="AE971" s="136" t="s">
        <v>1368</v>
      </c>
      <c r="AF971" s="136">
        <v>4</v>
      </c>
      <c r="AG971" s="136">
        <v>17</v>
      </c>
      <c r="AH971" s="136"/>
      <c r="AI971" s="136"/>
      <c r="AJ971" s="136">
        <v>1</v>
      </c>
      <c r="AK971" s="136">
        <v>0</v>
      </c>
      <c r="AL971" s="136">
        <v>0</v>
      </c>
      <c r="AM971" s="136">
        <v>0</v>
      </c>
      <c r="AN971" s="136">
        <v>0</v>
      </c>
      <c r="AO971" s="136"/>
      <c r="AP971" s="143"/>
      <c r="AQ971" s="143" t="str">
        <f>tbl_IO_List[[#This Row],[Chassis]]&amp;"S"&amp;tbl_IO_List[[#This Row],[Slot]]&amp;"-"&amp;tbl_IO_List[[#This Row],[Front Terminal Number]]</f>
        <v>C7S4-</v>
      </c>
      <c r="AR971" s="143"/>
      <c r="AS971" s="136" t="str">
        <f>tbl_IO_List[[#This Row],[Terminal Tagging]]&amp;"-"&amp;tbl_IO_List[[#This Row],[Point-Count]]</f>
        <v>-</v>
      </c>
      <c r="AT971" s="136" t="str">
        <f>tbl_IO_List[[#This Row],[Front Terminal Tagging]]&amp;"/"&amp;tbl_IO_List[[#This Row],[Terminal Tagging-Item]]</f>
        <v>C7S4-/-</v>
      </c>
      <c r="AU971" s="136" t="str">
        <f>tbl_IO_List[[#This Row],[Terminal Tagging-Item]]&amp;"/"&amp;tbl_IO_List[[#This Row],[Front Terminal Tagging]]</f>
        <v>-/C7S4-</v>
      </c>
    </row>
    <row r="972" spans="1:47" hidden="1">
      <c r="A972" s="136" t="s">
        <v>1307</v>
      </c>
      <c r="B972" s="136" t="s">
        <v>1307</v>
      </c>
      <c r="C972" s="136" t="str">
        <f>tbl_IO_List[[#This Row],[Column3]]</f>
        <v>C7S04,18</v>
      </c>
      <c r="D972" s="136" t="e">
        <f>tbl_IO_List[[#This Row],[Card]]</f>
        <v>#N/A</v>
      </c>
      <c r="E972" s="136"/>
      <c r="F972" s="136" t="str">
        <f>tbl_IO_List[[#This Row],[Column23]]&amp;"-" &amp;tbl_IO_List[[#This Row],[Column52]]</f>
        <v>C7S04-</v>
      </c>
      <c r="G972" s="136" t="str">
        <f>tbl_IO_List[[#This Row],[PLC_Tag]]</f>
        <v>Spare_DI_0</v>
      </c>
      <c r="H972" s="136"/>
      <c r="I972" s="136" t="str">
        <f>VLOOKUP(tbl_IO_List[[#This Row],[Destination]],tbl_Junction[],2,FALSE)</f>
        <v>MCC Room</v>
      </c>
      <c r="J972" s="136"/>
      <c r="K972" s="136"/>
      <c r="L972" s="136" t="s">
        <v>411</v>
      </c>
      <c r="M972" s="136" t="e">
        <f>VLOOKUP(tbl_IO_List[[#This Row],[Instruement Tag]],tbl_Instruement_List[],2,FALSE)</f>
        <v>#N/A</v>
      </c>
      <c r="N972" s="136"/>
      <c r="O972" s="136"/>
      <c r="P972" s="136"/>
      <c r="Q972" s="136" t="e">
        <f>VLOOKUP(tbl_IO_List[[#This Row],[Instruement Tag]],tbl_Instruement_List[],6,FALSE)</f>
        <v>#N/A</v>
      </c>
      <c r="R972" s="136"/>
      <c r="S97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72" s="136" t="str">
        <f>tbl_IO_List[[#This Row],[Instruement Tag]]&amp;"_"&amp;tbl_IO_List[[#This Row],[I/O Type]]&amp;"_"&amp;tbl_IO_List[[#This Row],[IO-Point 
(Instruement)]]</f>
        <v>Spare_DI_0</v>
      </c>
      <c r="U972" s="136" t="s">
        <v>8</v>
      </c>
      <c r="V972" s="136">
        <f>VLOOKUP(tbl_IO_List[[#This Row],[I/O Type]],tbl_Slot_Group[],2,FALSE)</f>
        <v>1</v>
      </c>
      <c r="W972" s="136">
        <v>0</v>
      </c>
      <c r="X972" s="136" t="str">
        <f>tbl_IO_List[[#This Row],[Chassis]]&amp;"S"&amp;TEXT(tbl_IO_List[[#This Row],[Slot]],"00")</f>
        <v>C7S04</v>
      </c>
      <c r="Y972" s="136" t="str">
        <f>tbl_IO_List[[#This Row],[Chassis]]&amp;"S"&amp;TEXT(tbl_IO_List[[#This Row],[Slot]],"00")&amp;tbl_IO_List[[#This Row],[I/O Type]]&amp;TEXT(tbl_IO_List[[#This Row],[Point]],"00")</f>
        <v>C7S04DI18</v>
      </c>
      <c r="Z972" s="136" t="str">
        <f>tbl_IO_List[[#This Row],[Chassis]]&amp;"S"&amp;TEXT(tbl_IO_List[[#This Row],[Slot]],"00")&amp;","&amp;TEXT(tbl_IO_List[[#This Row],[Point]],"00")</f>
        <v>C7S04,18</v>
      </c>
      <c r="AA972" s="136" t="e">
        <f>VLOOKUP(tbl_IO_List[[#This Row],[Column23]],tbl_RackConfig[],5,FALSE) &amp;"-"&amp;tbl_IO_List[[#This Row],[Point]]</f>
        <v>#N/A</v>
      </c>
      <c r="AB972" s="136"/>
      <c r="AC972" s="136"/>
      <c r="AD972" s="136" t="str">
        <f>tbl_IO_List[[#This Row],[I/O Type]]</f>
        <v>DI</v>
      </c>
      <c r="AE972" s="136" t="s">
        <v>1368</v>
      </c>
      <c r="AF972" s="136">
        <v>4</v>
      </c>
      <c r="AG972" s="136">
        <v>18</v>
      </c>
      <c r="AH972" s="136"/>
      <c r="AI972" s="136"/>
      <c r="AJ972" s="136">
        <v>1</v>
      </c>
      <c r="AK972" s="136">
        <v>0</v>
      </c>
      <c r="AL972" s="136">
        <v>0</v>
      </c>
      <c r="AM972" s="136">
        <v>0</v>
      </c>
      <c r="AN972" s="136">
        <v>0</v>
      </c>
      <c r="AO972" s="136"/>
      <c r="AP972" s="143"/>
      <c r="AQ972" s="143" t="str">
        <f>tbl_IO_List[[#This Row],[Chassis]]&amp;"S"&amp;tbl_IO_List[[#This Row],[Slot]]&amp;"-"&amp;tbl_IO_List[[#This Row],[Front Terminal Number]]</f>
        <v>C7S4-</v>
      </c>
      <c r="AR972" s="143"/>
      <c r="AS972" s="136" t="str">
        <f>tbl_IO_List[[#This Row],[Terminal Tagging]]&amp;"-"&amp;tbl_IO_List[[#This Row],[Point-Count]]</f>
        <v>-</v>
      </c>
      <c r="AT972" s="136" t="str">
        <f>tbl_IO_List[[#This Row],[Front Terminal Tagging]]&amp;"/"&amp;tbl_IO_List[[#This Row],[Terminal Tagging-Item]]</f>
        <v>C7S4-/-</v>
      </c>
      <c r="AU972" s="136" t="str">
        <f>tbl_IO_List[[#This Row],[Terminal Tagging-Item]]&amp;"/"&amp;tbl_IO_List[[#This Row],[Front Terminal Tagging]]</f>
        <v>-/C7S4-</v>
      </c>
    </row>
    <row r="973" spans="1:47" hidden="1">
      <c r="A973" s="136" t="s">
        <v>1307</v>
      </c>
      <c r="B973" s="136" t="s">
        <v>1307</v>
      </c>
      <c r="C973" s="136" t="str">
        <f>tbl_IO_List[[#This Row],[Column3]]</f>
        <v>C7S04,19</v>
      </c>
      <c r="D973" s="136" t="e">
        <f>tbl_IO_List[[#This Row],[Card]]</f>
        <v>#N/A</v>
      </c>
      <c r="E973" s="136"/>
      <c r="F973" s="136" t="str">
        <f>tbl_IO_List[[#This Row],[Column23]]&amp;"-" &amp;tbl_IO_List[[#This Row],[Column52]]</f>
        <v>C7S04-</v>
      </c>
      <c r="G973" s="136" t="str">
        <f>tbl_IO_List[[#This Row],[PLC_Tag]]</f>
        <v>Spare_DI_0</v>
      </c>
      <c r="H973" s="136"/>
      <c r="I973" s="136" t="str">
        <f>VLOOKUP(tbl_IO_List[[#This Row],[Destination]],tbl_Junction[],2,FALSE)</f>
        <v>MCC Room</v>
      </c>
      <c r="J973" s="136"/>
      <c r="K973" s="136"/>
      <c r="L973" s="136" t="s">
        <v>411</v>
      </c>
      <c r="M973" s="136" t="e">
        <f>VLOOKUP(tbl_IO_List[[#This Row],[Instruement Tag]],tbl_Instruement_List[],2,FALSE)</f>
        <v>#N/A</v>
      </c>
      <c r="N973" s="136"/>
      <c r="O973" s="136"/>
      <c r="P973" s="136"/>
      <c r="Q973" s="136" t="e">
        <f>VLOOKUP(tbl_IO_List[[#This Row],[Instruement Tag]],tbl_Instruement_List[],6,FALSE)</f>
        <v>#N/A</v>
      </c>
      <c r="R973" s="136"/>
      <c r="S97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73" s="136" t="str">
        <f>tbl_IO_List[[#This Row],[Instruement Tag]]&amp;"_"&amp;tbl_IO_List[[#This Row],[I/O Type]]&amp;"_"&amp;tbl_IO_List[[#This Row],[IO-Point 
(Instruement)]]</f>
        <v>Spare_DI_0</v>
      </c>
      <c r="U973" s="136" t="s">
        <v>8</v>
      </c>
      <c r="V973" s="136">
        <f>VLOOKUP(tbl_IO_List[[#This Row],[I/O Type]],tbl_Slot_Group[],2,FALSE)</f>
        <v>1</v>
      </c>
      <c r="W973" s="136">
        <v>0</v>
      </c>
      <c r="X973" s="136" t="str">
        <f>tbl_IO_List[[#This Row],[Chassis]]&amp;"S"&amp;TEXT(tbl_IO_List[[#This Row],[Slot]],"00")</f>
        <v>C7S04</v>
      </c>
      <c r="Y973" s="136" t="str">
        <f>tbl_IO_List[[#This Row],[Chassis]]&amp;"S"&amp;TEXT(tbl_IO_List[[#This Row],[Slot]],"00")&amp;tbl_IO_List[[#This Row],[I/O Type]]&amp;TEXT(tbl_IO_List[[#This Row],[Point]],"00")</f>
        <v>C7S04DI19</v>
      </c>
      <c r="Z973" s="136" t="str">
        <f>tbl_IO_List[[#This Row],[Chassis]]&amp;"S"&amp;TEXT(tbl_IO_List[[#This Row],[Slot]],"00")&amp;","&amp;TEXT(tbl_IO_List[[#This Row],[Point]],"00")</f>
        <v>C7S04,19</v>
      </c>
      <c r="AA973" s="136" t="e">
        <f>VLOOKUP(tbl_IO_List[[#This Row],[Column23]],tbl_RackConfig[],5,FALSE) &amp;"-"&amp;tbl_IO_List[[#This Row],[Point]]</f>
        <v>#N/A</v>
      </c>
      <c r="AB973" s="136"/>
      <c r="AC973" s="136"/>
      <c r="AD973" s="136" t="str">
        <f>tbl_IO_List[[#This Row],[I/O Type]]</f>
        <v>DI</v>
      </c>
      <c r="AE973" s="136" t="s">
        <v>1368</v>
      </c>
      <c r="AF973" s="136">
        <v>4</v>
      </c>
      <c r="AG973" s="136">
        <v>19</v>
      </c>
      <c r="AH973" s="136"/>
      <c r="AI973" s="136"/>
      <c r="AJ973" s="136">
        <v>1</v>
      </c>
      <c r="AK973" s="136">
        <v>0</v>
      </c>
      <c r="AL973" s="136">
        <v>0</v>
      </c>
      <c r="AM973" s="136">
        <v>0</v>
      </c>
      <c r="AN973" s="136">
        <v>0</v>
      </c>
      <c r="AO973" s="136"/>
      <c r="AP973" s="143"/>
      <c r="AQ973" s="143" t="str">
        <f>tbl_IO_List[[#This Row],[Chassis]]&amp;"S"&amp;tbl_IO_List[[#This Row],[Slot]]&amp;"-"&amp;tbl_IO_List[[#This Row],[Front Terminal Number]]</f>
        <v>C7S4-</v>
      </c>
      <c r="AR973" s="143"/>
      <c r="AS973" s="136" t="str">
        <f>tbl_IO_List[[#This Row],[Terminal Tagging]]&amp;"-"&amp;tbl_IO_List[[#This Row],[Point-Count]]</f>
        <v>-</v>
      </c>
      <c r="AT973" s="136" t="str">
        <f>tbl_IO_List[[#This Row],[Front Terminal Tagging]]&amp;"/"&amp;tbl_IO_List[[#This Row],[Terminal Tagging-Item]]</f>
        <v>C7S4-/-</v>
      </c>
      <c r="AU973" s="136" t="str">
        <f>tbl_IO_List[[#This Row],[Terminal Tagging-Item]]&amp;"/"&amp;tbl_IO_List[[#This Row],[Front Terminal Tagging]]</f>
        <v>-/C7S4-</v>
      </c>
    </row>
    <row r="974" spans="1:47" hidden="1">
      <c r="A974" s="136" t="s">
        <v>1307</v>
      </c>
      <c r="B974" s="136" t="s">
        <v>1307</v>
      </c>
      <c r="C974" s="136" t="str">
        <f>tbl_IO_List[[#This Row],[Column3]]</f>
        <v>C7S04,20</v>
      </c>
      <c r="D974" s="136" t="e">
        <f>tbl_IO_List[[#This Row],[Card]]</f>
        <v>#N/A</v>
      </c>
      <c r="E974" s="136"/>
      <c r="F974" s="136" t="str">
        <f>tbl_IO_List[[#This Row],[Column23]]&amp;"-" &amp;tbl_IO_List[[#This Row],[Column52]]</f>
        <v>C7S04-</v>
      </c>
      <c r="G974" s="136" t="str">
        <f>tbl_IO_List[[#This Row],[PLC_Tag]]</f>
        <v>Spare_DI_0</v>
      </c>
      <c r="H974" s="136"/>
      <c r="I974" s="136" t="str">
        <f>VLOOKUP(tbl_IO_List[[#This Row],[Destination]],tbl_Junction[],2,FALSE)</f>
        <v>MCC Room</v>
      </c>
      <c r="J974" s="136"/>
      <c r="K974" s="136"/>
      <c r="L974" s="136" t="s">
        <v>411</v>
      </c>
      <c r="M974" s="136" t="e">
        <f>VLOOKUP(tbl_IO_List[[#This Row],[Instruement Tag]],tbl_Instruement_List[],2,FALSE)</f>
        <v>#N/A</v>
      </c>
      <c r="N974" s="136"/>
      <c r="O974" s="136"/>
      <c r="P974" s="136"/>
      <c r="Q974" s="136" t="e">
        <f>VLOOKUP(tbl_IO_List[[#This Row],[Instruement Tag]],tbl_Instruement_List[],6,FALSE)</f>
        <v>#N/A</v>
      </c>
      <c r="R974" s="136"/>
      <c r="S97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74" s="136" t="str">
        <f>tbl_IO_List[[#This Row],[Instruement Tag]]&amp;"_"&amp;tbl_IO_List[[#This Row],[I/O Type]]&amp;"_"&amp;tbl_IO_List[[#This Row],[IO-Point 
(Instruement)]]</f>
        <v>Spare_DI_0</v>
      </c>
      <c r="U974" s="136" t="s">
        <v>8</v>
      </c>
      <c r="V974" s="136">
        <f>VLOOKUP(tbl_IO_List[[#This Row],[I/O Type]],tbl_Slot_Group[],2,FALSE)</f>
        <v>1</v>
      </c>
      <c r="W974" s="136">
        <v>0</v>
      </c>
      <c r="X974" s="136" t="str">
        <f>tbl_IO_List[[#This Row],[Chassis]]&amp;"S"&amp;TEXT(tbl_IO_List[[#This Row],[Slot]],"00")</f>
        <v>C7S04</v>
      </c>
      <c r="Y974" s="136" t="str">
        <f>tbl_IO_List[[#This Row],[Chassis]]&amp;"S"&amp;TEXT(tbl_IO_List[[#This Row],[Slot]],"00")&amp;tbl_IO_List[[#This Row],[I/O Type]]&amp;TEXT(tbl_IO_List[[#This Row],[Point]],"00")</f>
        <v>C7S04DI20</v>
      </c>
      <c r="Z974" s="136" t="str">
        <f>tbl_IO_List[[#This Row],[Chassis]]&amp;"S"&amp;TEXT(tbl_IO_List[[#This Row],[Slot]],"00")&amp;","&amp;TEXT(tbl_IO_List[[#This Row],[Point]],"00")</f>
        <v>C7S04,20</v>
      </c>
      <c r="AA974" s="136" t="e">
        <f>VLOOKUP(tbl_IO_List[[#This Row],[Column23]],tbl_RackConfig[],5,FALSE) &amp;"-"&amp;tbl_IO_List[[#This Row],[Point]]</f>
        <v>#N/A</v>
      </c>
      <c r="AB974" s="136"/>
      <c r="AC974" s="136"/>
      <c r="AD974" s="136" t="str">
        <f>tbl_IO_List[[#This Row],[I/O Type]]</f>
        <v>DI</v>
      </c>
      <c r="AE974" s="136" t="s">
        <v>1368</v>
      </c>
      <c r="AF974" s="136">
        <v>4</v>
      </c>
      <c r="AG974" s="136">
        <v>20</v>
      </c>
      <c r="AH974" s="136"/>
      <c r="AI974" s="136"/>
      <c r="AJ974" s="136">
        <v>1</v>
      </c>
      <c r="AK974" s="136">
        <v>0</v>
      </c>
      <c r="AL974" s="136">
        <v>0</v>
      </c>
      <c r="AM974" s="136">
        <v>0</v>
      </c>
      <c r="AN974" s="136">
        <v>0</v>
      </c>
      <c r="AO974" s="136"/>
      <c r="AP974" s="143"/>
      <c r="AQ974" s="143" t="str">
        <f>tbl_IO_List[[#This Row],[Chassis]]&amp;"S"&amp;tbl_IO_List[[#This Row],[Slot]]&amp;"-"&amp;tbl_IO_List[[#This Row],[Front Terminal Number]]</f>
        <v>C7S4-</v>
      </c>
      <c r="AR974" s="143"/>
      <c r="AS974" s="136" t="str">
        <f>tbl_IO_List[[#This Row],[Terminal Tagging]]&amp;"-"&amp;tbl_IO_List[[#This Row],[Point-Count]]</f>
        <v>-</v>
      </c>
      <c r="AT974" s="136" t="str">
        <f>tbl_IO_List[[#This Row],[Front Terminal Tagging]]&amp;"/"&amp;tbl_IO_List[[#This Row],[Terminal Tagging-Item]]</f>
        <v>C7S4-/-</v>
      </c>
      <c r="AU974" s="136" t="str">
        <f>tbl_IO_List[[#This Row],[Terminal Tagging-Item]]&amp;"/"&amp;tbl_IO_List[[#This Row],[Front Terminal Tagging]]</f>
        <v>-/C7S4-</v>
      </c>
    </row>
    <row r="975" spans="1:47" hidden="1">
      <c r="A975" s="136" t="s">
        <v>1307</v>
      </c>
      <c r="B975" s="136" t="s">
        <v>1307</v>
      </c>
      <c r="C975" s="136" t="str">
        <f>tbl_IO_List[[#This Row],[Column3]]</f>
        <v>C7S04,21</v>
      </c>
      <c r="D975" s="136" t="e">
        <f>tbl_IO_List[[#This Row],[Card]]</f>
        <v>#N/A</v>
      </c>
      <c r="E975" s="136"/>
      <c r="F975" s="136" t="str">
        <f>tbl_IO_List[[#This Row],[Column23]]&amp;"-" &amp;tbl_IO_List[[#This Row],[Column52]]</f>
        <v>C7S04-</v>
      </c>
      <c r="G975" s="136" t="str">
        <f>tbl_IO_List[[#This Row],[PLC_Tag]]</f>
        <v>Spare_DI_0</v>
      </c>
      <c r="H975" s="136"/>
      <c r="I975" s="136" t="str">
        <f>VLOOKUP(tbl_IO_List[[#This Row],[Destination]],tbl_Junction[],2,FALSE)</f>
        <v>MCC Room</v>
      </c>
      <c r="J975" s="136"/>
      <c r="K975" s="136"/>
      <c r="L975" s="136" t="s">
        <v>411</v>
      </c>
      <c r="M975" s="136" t="e">
        <f>VLOOKUP(tbl_IO_List[[#This Row],[Instruement Tag]],tbl_Instruement_List[],2,FALSE)</f>
        <v>#N/A</v>
      </c>
      <c r="N975" s="136"/>
      <c r="O975" s="136"/>
      <c r="P975" s="136"/>
      <c r="Q975" s="136" t="e">
        <f>VLOOKUP(tbl_IO_List[[#This Row],[Instruement Tag]],tbl_Instruement_List[],6,FALSE)</f>
        <v>#N/A</v>
      </c>
      <c r="R975" s="136"/>
      <c r="S97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75" s="136" t="str">
        <f>tbl_IO_List[[#This Row],[Instruement Tag]]&amp;"_"&amp;tbl_IO_List[[#This Row],[I/O Type]]&amp;"_"&amp;tbl_IO_List[[#This Row],[IO-Point 
(Instruement)]]</f>
        <v>Spare_DI_0</v>
      </c>
      <c r="U975" s="136" t="s">
        <v>8</v>
      </c>
      <c r="V975" s="136">
        <f>VLOOKUP(tbl_IO_List[[#This Row],[I/O Type]],tbl_Slot_Group[],2,FALSE)</f>
        <v>1</v>
      </c>
      <c r="W975" s="136">
        <v>0</v>
      </c>
      <c r="X975" s="136" t="str">
        <f>tbl_IO_List[[#This Row],[Chassis]]&amp;"S"&amp;TEXT(tbl_IO_List[[#This Row],[Slot]],"00")</f>
        <v>C7S04</v>
      </c>
      <c r="Y975" s="136" t="str">
        <f>tbl_IO_List[[#This Row],[Chassis]]&amp;"S"&amp;TEXT(tbl_IO_List[[#This Row],[Slot]],"00")&amp;tbl_IO_List[[#This Row],[I/O Type]]&amp;TEXT(tbl_IO_List[[#This Row],[Point]],"00")</f>
        <v>C7S04DI21</v>
      </c>
      <c r="Z975" s="136" t="str">
        <f>tbl_IO_List[[#This Row],[Chassis]]&amp;"S"&amp;TEXT(tbl_IO_List[[#This Row],[Slot]],"00")&amp;","&amp;TEXT(tbl_IO_List[[#This Row],[Point]],"00")</f>
        <v>C7S04,21</v>
      </c>
      <c r="AA975" s="136" t="e">
        <f>VLOOKUP(tbl_IO_List[[#This Row],[Column23]],tbl_RackConfig[],5,FALSE) &amp;"-"&amp;tbl_IO_List[[#This Row],[Point]]</f>
        <v>#N/A</v>
      </c>
      <c r="AB975" s="136"/>
      <c r="AC975" s="136"/>
      <c r="AD975" s="136" t="str">
        <f>tbl_IO_List[[#This Row],[I/O Type]]</f>
        <v>DI</v>
      </c>
      <c r="AE975" s="136" t="s">
        <v>1368</v>
      </c>
      <c r="AF975" s="136">
        <v>4</v>
      </c>
      <c r="AG975" s="136">
        <v>21</v>
      </c>
      <c r="AH975" s="136"/>
      <c r="AI975" s="136"/>
      <c r="AJ975" s="136">
        <v>1</v>
      </c>
      <c r="AK975" s="136">
        <v>0</v>
      </c>
      <c r="AL975" s="136">
        <v>0</v>
      </c>
      <c r="AM975" s="136">
        <v>0</v>
      </c>
      <c r="AN975" s="136">
        <v>0</v>
      </c>
      <c r="AO975" s="136"/>
      <c r="AP975" s="143"/>
      <c r="AQ975" s="143" t="str">
        <f>tbl_IO_List[[#This Row],[Chassis]]&amp;"S"&amp;tbl_IO_List[[#This Row],[Slot]]&amp;"-"&amp;tbl_IO_List[[#This Row],[Front Terminal Number]]</f>
        <v>C7S4-</v>
      </c>
      <c r="AR975" s="143"/>
      <c r="AS975" s="136" t="str">
        <f>tbl_IO_List[[#This Row],[Terminal Tagging]]&amp;"-"&amp;tbl_IO_List[[#This Row],[Point-Count]]</f>
        <v>-</v>
      </c>
      <c r="AT975" s="136" t="str">
        <f>tbl_IO_List[[#This Row],[Front Terminal Tagging]]&amp;"/"&amp;tbl_IO_List[[#This Row],[Terminal Tagging-Item]]</f>
        <v>C7S4-/-</v>
      </c>
      <c r="AU975" s="136" t="str">
        <f>tbl_IO_List[[#This Row],[Terminal Tagging-Item]]&amp;"/"&amp;tbl_IO_List[[#This Row],[Front Terminal Tagging]]</f>
        <v>-/C7S4-</v>
      </c>
    </row>
    <row r="976" spans="1:47" hidden="1">
      <c r="A976" s="136" t="s">
        <v>1307</v>
      </c>
      <c r="B976" s="136" t="s">
        <v>1307</v>
      </c>
      <c r="C976" s="136" t="str">
        <f>tbl_IO_List[[#This Row],[Column3]]</f>
        <v>C7S04,22</v>
      </c>
      <c r="D976" s="136" t="e">
        <f>tbl_IO_List[[#This Row],[Card]]</f>
        <v>#N/A</v>
      </c>
      <c r="E976" s="136"/>
      <c r="F976" s="136" t="str">
        <f>tbl_IO_List[[#This Row],[Column23]]&amp;"-" &amp;tbl_IO_List[[#This Row],[Column52]]</f>
        <v>C7S04-</v>
      </c>
      <c r="G976" s="136" t="str">
        <f>tbl_IO_List[[#This Row],[PLC_Tag]]</f>
        <v>Spare_DI_0</v>
      </c>
      <c r="H976" s="136"/>
      <c r="I976" s="136" t="str">
        <f>VLOOKUP(tbl_IO_List[[#This Row],[Destination]],tbl_Junction[],2,FALSE)</f>
        <v>MCC Room</v>
      </c>
      <c r="J976" s="136"/>
      <c r="K976" s="136"/>
      <c r="L976" s="136" t="s">
        <v>411</v>
      </c>
      <c r="M976" s="136" t="e">
        <f>VLOOKUP(tbl_IO_List[[#This Row],[Instruement Tag]],tbl_Instruement_List[],2,FALSE)</f>
        <v>#N/A</v>
      </c>
      <c r="N976" s="136"/>
      <c r="O976" s="136"/>
      <c r="P976" s="136"/>
      <c r="Q976" s="136" t="e">
        <f>VLOOKUP(tbl_IO_List[[#This Row],[Instruement Tag]],tbl_Instruement_List[],6,FALSE)</f>
        <v>#N/A</v>
      </c>
      <c r="R976" s="136"/>
      <c r="S97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76" s="136" t="str">
        <f>tbl_IO_List[[#This Row],[Instruement Tag]]&amp;"_"&amp;tbl_IO_List[[#This Row],[I/O Type]]&amp;"_"&amp;tbl_IO_List[[#This Row],[IO-Point 
(Instruement)]]</f>
        <v>Spare_DI_0</v>
      </c>
      <c r="U976" s="136" t="s">
        <v>8</v>
      </c>
      <c r="V976" s="136">
        <f>VLOOKUP(tbl_IO_List[[#This Row],[I/O Type]],tbl_Slot_Group[],2,FALSE)</f>
        <v>1</v>
      </c>
      <c r="W976" s="136">
        <v>0</v>
      </c>
      <c r="X976" s="136" t="str">
        <f>tbl_IO_List[[#This Row],[Chassis]]&amp;"S"&amp;TEXT(tbl_IO_List[[#This Row],[Slot]],"00")</f>
        <v>C7S04</v>
      </c>
      <c r="Y976" s="136" t="str">
        <f>tbl_IO_List[[#This Row],[Chassis]]&amp;"S"&amp;TEXT(tbl_IO_List[[#This Row],[Slot]],"00")&amp;tbl_IO_List[[#This Row],[I/O Type]]&amp;TEXT(tbl_IO_List[[#This Row],[Point]],"00")</f>
        <v>C7S04DI22</v>
      </c>
      <c r="Z976" s="136" t="str">
        <f>tbl_IO_List[[#This Row],[Chassis]]&amp;"S"&amp;TEXT(tbl_IO_List[[#This Row],[Slot]],"00")&amp;","&amp;TEXT(tbl_IO_List[[#This Row],[Point]],"00")</f>
        <v>C7S04,22</v>
      </c>
      <c r="AA976" s="136" t="e">
        <f>VLOOKUP(tbl_IO_List[[#This Row],[Column23]],tbl_RackConfig[],5,FALSE) &amp;"-"&amp;tbl_IO_List[[#This Row],[Point]]</f>
        <v>#N/A</v>
      </c>
      <c r="AB976" s="136"/>
      <c r="AC976" s="136"/>
      <c r="AD976" s="136" t="str">
        <f>tbl_IO_List[[#This Row],[I/O Type]]</f>
        <v>DI</v>
      </c>
      <c r="AE976" s="136" t="s">
        <v>1368</v>
      </c>
      <c r="AF976" s="136">
        <v>4</v>
      </c>
      <c r="AG976" s="136">
        <v>22</v>
      </c>
      <c r="AH976" s="136"/>
      <c r="AI976" s="136"/>
      <c r="AJ976" s="136">
        <v>1</v>
      </c>
      <c r="AK976" s="136">
        <v>0</v>
      </c>
      <c r="AL976" s="136">
        <v>0</v>
      </c>
      <c r="AM976" s="136">
        <v>0</v>
      </c>
      <c r="AN976" s="136">
        <v>0</v>
      </c>
      <c r="AO976" s="136"/>
      <c r="AP976" s="143"/>
      <c r="AQ976" s="143" t="str">
        <f>tbl_IO_List[[#This Row],[Chassis]]&amp;"S"&amp;tbl_IO_List[[#This Row],[Slot]]&amp;"-"&amp;tbl_IO_List[[#This Row],[Front Terminal Number]]</f>
        <v>C7S4-</v>
      </c>
      <c r="AR976" s="143"/>
      <c r="AS976" s="136" t="str">
        <f>tbl_IO_List[[#This Row],[Terminal Tagging]]&amp;"-"&amp;tbl_IO_List[[#This Row],[Point-Count]]</f>
        <v>-</v>
      </c>
      <c r="AT976" s="136" t="str">
        <f>tbl_IO_List[[#This Row],[Front Terminal Tagging]]&amp;"/"&amp;tbl_IO_List[[#This Row],[Terminal Tagging-Item]]</f>
        <v>C7S4-/-</v>
      </c>
      <c r="AU976" s="136" t="str">
        <f>tbl_IO_List[[#This Row],[Terminal Tagging-Item]]&amp;"/"&amp;tbl_IO_List[[#This Row],[Front Terminal Tagging]]</f>
        <v>-/C7S4-</v>
      </c>
    </row>
    <row r="977" spans="1:47" hidden="1">
      <c r="A977" s="136" t="s">
        <v>1307</v>
      </c>
      <c r="B977" s="136" t="s">
        <v>1307</v>
      </c>
      <c r="C977" s="136" t="str">
        <f>tbl_IO_List[[#This Row],[Column3]]</f>
        <v>C7S04,23</v>
      </c>
      <c r="D977" s="136" t="e">
        <f>tbl_IO_List[[#This Row],[Card]]</f>
        <v>#N/A</v>
      </c>
      <c r="E977" s="136"/>
      <c r="F977" s="136" t="str">
        <f>tbl_IO_List[[#This Row],[Column23]]&amp;"-" &amp;tbl_IO_List[[#This Row],[Column52]]</f>
        <v>C7S04-</v>
      </c>
      <c r="G977" s="136" t="str">
        <f>tbl_IO_List[[#This Row],[PLC_Tag]]</f>
        <v>Spare_DI_0</v>
      </c>
      <c r="H977" s="136"/>
      <c r="I977" s="136" t="str">
        <f>VLOOKUP(tbl_IO_List[[#This Row],[Destination]],tbl_Junction[],2,FALSE)</f>
        <v>MCC Room</v>
      </c>
      <c r="J977" s="136"/>
      <c r="K977" s="136"/>
      <c r="L977" s="136" t="s">
        <v>411</v>
      </c>
      <c r="M977" s="136" t="e">
        <f>VLOOKUP(tbl_IO_List[[#This Row],[Instruement Tag]],tbl_Instruement_List[],2,FALSE)</f>
        <v>#N/A</v>
      </c>
      <c r="N977" s="136"/>
      <c r="O977" s="136"/>
      <c r="P977" s="136"/>
      <c r="Q977" s="136" t="e">
        <f>VLOOKUP(tbl_IO_List[[#This Row],[Instruement Tag]],tbl_Instruement_List[],6,FALSE)</f>
        <v>#N/A</v>
      </c>
      <c r="R977" s="136"/>
      <c r="S97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77" s="136" t="str">
        <f>tbl_IO_List[[#This Row],[Instruement Tag]]&amp;"_"&amp;tbl_IO_List[[#This Row],[I/O Type]]&amp;"_"&amp;tbl_IO_List[[#This Row],[IO-Point 
(Instruement)]]</f>
        <v>Spare_DI_0</v>
      </c>
      <c r="U977" s="136" t="s">
        <v>8</v>
      </c>
      <c r="V977" s="136">
        <f>VLOOKUP(tbl_IO_List[[#This Row],[I/O Type]],tbl_Slot_Group[],2,FALSE)</f>
        <v>1</v>
      </c>
      <c r="W977" s="136">
        <v>0</v>
      </c>
      <c r="X977" s="136" t="str">
        <f>tbl_IO_List[[#This Row],[Chassis]]&amp;"S"&amp;TEXT(tbl_IO_List[[#This Row],[Slot]],"00")</f>
        <v>C7S04</v>
      </c>
      <c r="Y977" s="136" t="str">
        <f>tbl_IO_List[[#This Row],[Chassis]]&amp;"S"&amp;TEXT(tbl_IO_List[[#This Row],[Slot]],"00")&amp;tbl_IO_List[[#This Row],[I/O Type]]&amp;TEXT(tbl_IO_List[[#This Row],[Point]],"00")</f>
        <v>C7S04DI23</v>
      </c>
      <c r="Z977" s="136" t="str">
        <f>tbl_IO_List[[#This Row],[Chassis]]&amp;"S"&amp;TEXT(tbl_IO_List[[#This Row],[Slot]],"00")&amp;","&amp;TEXT(tbl_IO_List[[#This Row],[Point]],"00")</f>
        <v>C7S04,23</v>
      </c>
      <c r="AA977" s="136" t="e">
        <f>VLOOKUP(tbl_IO_List[[#This Row],[Column23]],tbl_RackConfig[],5,FALSE) &amp;"-"&amp;tbl_IO_List[[#This Row],[Point]]</f>
        <v>#N/A</v>
      </c>
      <c r="AB977" s="136"/>
      <c r="AC977" s="136"/>
      <c r="AD977" s="136" t="str">
        <f>tbl_IO_List[[#This Row],[I/O Type]]</f>
        <v>DI</v>
      </c>
      <c r="AE977" s="136" t="s">
        <v>1368</v>
      </c>
      <c r="AF977" s="136">
        <v>4</v>
      </c>
      <c r="AG977" s="136">
        <v>23</v>
      </c>
      <c r="AH977" s="136"/>
      <c r="AI977" s="136"/>
      <c r="AJ977" s="136">
        <v>1</v>
      </c>
      <c r="AK977" s="136">
        <v>0</v>
      </c>
      <c r="AL977" s="136">
        <v>0</v>
      </c>
      <c r="AM977" s="136">
        <v>0</v>
      </c>
      <c r="AN977" s="136">
        <v>0</v>
      </c>
      <c r="AO977" s="136"/>
      <c r="AP977" s="143"/>
      <c r="AQ977" s="143" t="str">
        <f>tbl_IO_List[[#This Row],[Chassis]]&amp;"S"&amp;tbl_IO_List[[#This Row],[Slot]]&amp;"-"&amp;tbl_IO_List[[#This Row],[Front Terminal Number]]</f>
        <v>C7S4-</v>
      </c>
      <c r="AR977" s="143"/>
      <c r="AS977" s="136" t="str">
        <f>tbl_IO_List[[#This Row],[Terminal Tagging]]&amp;"-"&amp;tbl_IO_List[[#This Row],[Point-Count]]</f>
        <v>-</v>
      </c>
      <c r="AT977" s="136" t="str">
        <f>tbl_IO_List[[#This Row],[Front Terminal Tagging]]&amp;"/"&amp;tbl_IO_List[[#This Row],[Terminal Tagging-Item]]</f>
        <v>C7S4-/-</v>
      </c>
      <c r="AU977" s="136" t="str">
        <f>tbl_IO_List[[#This Row],[Terminal Tagging-Item]]&amp;"/"&amp;tbl_IO_List[[#This Row],[Front Terminal Tagging]]</f>
        <v>-/C7S4-</v>
      </c>
    </row>
    <row r="978" spans="1:47" hidden="1">
      <c r="A978" s="136" t="s">
        <v>1307</v>
      </c>
      <c r="B978" s="136" t="s">
        <v>1307</v>
      </c>
      <c r="C978" s="136" t="str">
        <f>tbl_IO_List[[#This Row],[Column3]]</f>
        <v>C7S04,24</v>
      </c>
      <c r="D978" s="136" t="e">
        <f>tbl_IO_List[[#This Row],[Card]]</f>
        <v>#N/A</v>
      </c>
      <c r="E978" s="136"/>
      <c r="F978" s="136" t="str">
        <f>tbl_IO_List[[#This Row],[Column23]]&amp;"-" &amp;tbl_IO_List[[#This Row],[Column52]]</f>
        <v>C7S04-</v>
      </c>
      <c r="G978" s="136" t="str">
        <f>tbl_IO_List[[#This Row],[PLC_Tag]]</f>
        <v>Spare_DI_0</v>
      </c>
      <c r="H978" s="136"/>
      <c r="I978" s="136" t="str">
        <f>VLOOKUP(tbl_IO_List[[#This Row],[Destination]],tbl_Junction[],2,FALSE)</f>
        <v>MCC Room</v>
      </c>
      <c r="J978" s="136"/>
      <c r="K978" s="136"/>
      <c r="L978" s="136" t="s">
        <v>411</v>
      </c>
      <c r="M978" s="136" t="e">
        <f>VLOOKUP(tbl_IO_List[[#This Row],[Instruement Tag]],tbl_Instruement_List[],2,FALSE)</f>
        <v>#N/A</v>
      </c>
      <c r="N978" s="136"/>
      <c r="O978" s="136"/>
      <c r="P978" s="136"/>
      <c r="Q978" s="136" t="e">
        <f>VLOOKUP(tbl_IO_List[[#This Row],[Instruement Tag]],tbl_Instruement_List[],6,FALSE)</f>
        <v>#N/A</v>
      </c>
      <c r="R978" s="136"/>
      <c r="S97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78" s="136" t="str">
        <f>tbl_IO_List[[#This Row],[Instruement Tag]]&amp;"_"&amp;tbl_IO_List[[#This Row],[I/O Type]]&amp;"_"&amp;tbl_IO_List[[#This Row],[IO-Point 
(Instruement)]]</f>
        <v>Spare_DI_0</v>
      </c>
      <c r="U978" s="136" t="s">
        <v>8</v>
      </c>
      <c r="V978" s="136">
        <f>VLOOKUP(tbl_IO_List[[#This Row],[I/O Type]],tbl_Slot_Group[],2,FALSE)</f>
        <v>1</v>
      </c>
      <c r="W978" s="136">
        <v>0</v>
      </c>
      <c r="X978" s="136" t="str">
        <f>tbl_IO_List[[#This Row],[Chassis]]&amp;"S"&amp;TEXT(tbl_IO_List[[#This Row],[Slot]],"00")</f>
        <v>C7S04</v>
      </c>
      <c r="Y978" s="136" t="str">
        <f>tbl_IO_List[[#This Row],[Chassis]]&amp;"S"&amp;TEXT(tbl_IO_List[[#This Row],[Slot]],"00")&amp;tbl_IO_List[[#This Row],[I/O Type]]&amp;TEXT(tbl_IO_List[[#This Row],[Point]],"00")</f>
        <v>C7S04DI24</v>
      </c>
      <c r="Z978" s="136" t="str">
        <f>tbl_IO_List[[#This Row],[Chassis]]&amp;"S"&amp;TEXT(tbl_IO_List[[#This Row],[Slot]],"00")&amp;","&amp;TEXT(tbl_IO_List[[#This Row],[Point]],"00")</f>
        <v>C7S04,24</v>
      </c>
      <c r="AA978" s="136" t="e">
        <f>VLOOKUP(tbl_IO_List[[#This Row],[Column23]],tbl_RackConfig[],5,FALSE) &amp;"-"&amp;tbl_IO_List[[#This Row],[Point]]</f>
        <v>#N/A</v>
      </c>
      <c r="AB978" s="136"/>
      <c r="AC978" s="136"/>
      <c r="AD978" s="136" t="str">
        <f>tbl_IO_List[[#This Row],[I/O Type]]</f>
        <v>DI</v>
      </c>
      <c r="AE978" s="136" t="s">
        <v>1368</v>
      </c>
      <c r="AF978" s="136">
        <v>4</v>
      </c>
      <c r="AG978" s="136">
        <v>24</v>
      </c>
      <c r="AH978" s="136"/>
      <c r="AI978" s="136"/>
      <c r="AJ978" s="136">
        <v>1</v>
      </c>
      <c r="AK978" s="136">
        <v>0</v>
      </c>
      <c r="AL978" s="136">
        <v>0</v>
      </c>
      <c r="AM978" s="136">
        <v>0</v>
      </c>
      <c r="AN978" s="136">
        <v>0</v>
      </c>
      <c r="AO978" s="136"/>
      <c r="AP978" s="143"/>
      <c r="AQ978" s="143" t="str">
        <f>tbl_IO_List[[#This Row],[Chassis]]&amp;"S"&amp;tbl_IO_List[[#This Row],[Slot]]&amp;"-"&amp;tbl_IO_List[[#This Row],[Front Terminal Number]]</f>
        <v>C7S4-</v>
      </c>
      <c r="AR978" s="143"/>
      <c r="AS978" s="136" t="str">
        <f>tbl_IO_List[[#This Row],[Terminal Tagging]]&amp;"-"&amp;tbl_IO_List[[#This Row],[Point-Count]]</f>
        <v>-</v>
      </c>
      <c r="AT978" s="136" t="str">
        <f>tbl_IO_List[[#This Row],[Front Terminal Tagging]]&amp;"/"&amp;tbl_IO_List[[#This Row],[Terminal Tagging-Item]]</f>
        <v>C7S4-/-</v>
      </c>
      <c r="AU978" s="136" t="str">
        <f>tbl_IO_List[[#This Row],[Terminal Tagging-Item]]&amp;"/"&amp;tbl_IO_List[[#This Row],[Front Terminal Tagging]]</f>
        <v>-/C7S4-</v>
      </c>
    </row>
    <row r="979" spans="1:47" hidden="1">
      <c r="A979" s="136" t="s">
        <v>1307</v>
      </c>
      <c r="B979" s="136" t="s">
        <v>1307</v>
      </c>
      <c r="C979" s="136" t="str">
        <f>tbl_IO_List[[#This Row],[Column3]]</f>
        <v>C7S04,25</v>
      </c>
      <c r="D979" s="136" t="e">
        <f>tbl_IO_List[[#This Row],[Card]]</f>
        <v>#N/A</v>
      </c>
      <c r="E979" s="136"/>
      <c r="F979" s="136" t="str">
        <f>tbl_IO_List[[#This Row],[Column23]]&amp;"-" &amp;tbl_IO_List[[#This Row],[Column52]]</f>
        <v>C7S04-</v>
      </c>
      <c r="G979" s="136" t="str">
        <f>tbl_IO_List[[#This Row],[PLC_Tag]]</f>
        <v>Spare_DI_0</v>
      </c>
      <c r="H979" s="136"/>
      <c r="I979" s="136" t="str">
        <f>VLOOKUP(tbl_IO_List[[#This Row],[Destination]],tbl_Junction[],2,FALSE)</f>
        <v>MCC Room</v>
      </c>
      <c r="J979" s="136"/>
      <c r="K979" s="136"/>
      <c r="L979" s="136" t="s">
        <v>411</v>
      </c>
      <c r="M979" s="136" t="e">
        <f>VLOOKUP(tbl_IO_List[[#This Row],[Instruement Tag]],tbl_Instruement_List[],2,FALSE)</f>
        <v>#N/A</v>
      </c>
      <c r="N979" s="136"/>
      <c r="O979" s="136"/>
      <c r="P979" s="136"/>
      <c r="Q979" s="136" t="e">
        <f>VLOOKUP(tbl_IO_List[[#This Row],[Instruement Tag]],tbl_Instruement_List[],6,FALSE)</f>
        <v>#N/A</v>
      </c>
      <c r="R979" s="136"/>
      <c r="S97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79" s="136" t="str">
        <f>tbl_IO_List[[#This Row],[Instruement Tag]]&amp;"_"&amp;tbl_IO_List[[#This Row],[I/O Type]]&amp;"_"&amp;tbl_IO_List[[#This Row],[IO-Point 
(Instruement)]]</f>
        <v>Spare_DI_0</v>
      </c>
      <c r="U979" s="136" t="s">
        <v>8</v>
      </c>
      <c r="V979" s="136">
        <f>VLOOKUP(tbl_IO_List[[#This Row],[I/O Type]],tbl_Slot_Group[],2,FALSE)</f>
        <v>1</v>
      </c>
      <c r="W979" s="136">
        <v>0</v>
      </c>
      <c r="X979" s="136" t="str">
        <f>tbl_IO_List[[#This Row],[Chassis]]&amp;"S"&amp;TEXT(tbl_IO_List[[#This Row],[Slot]],"00")</f>
        <v>C7S04</v>
      </c>
      <c r="Y979" s="136" t="str">
        <f>tbl_IO_List[[#This Row],[Chassis]]&amp;"S"&amp;TEXT(tbl_IO_List[[#This Row],[Slot]],"00")&amp;tbl_IO_List[[#This Row],[I/O Type]]&amp;TEXT(tbl_IO_List[[#This Row],[Point]],"00")</f>
        <v>C7S04DI25</v>
      </c>
      <c r="Z979" s="136" t="str">
        <f>tbl_IO_List[[#This Row],[Chassis]]&amp;"S"&amp;TEXT(tbl_IO_List[[#This Row],[Slot]],"00")&amp;","&amp;TEXT(tbl_IO_List[[#This Row],[Point]],"00")</f>
        <v>C7S04,25</v>
      </c>
      <c r="AA979" s="136" t="e">
        <f>VLOOKUP(tbl_IO_List[[#This Row],[Column23]],tbl_RackConfig[],5,FALSE) &amp;"-"&amp;tbl_IO_List[[#This Row],[Point]]</f>
        <v>#N/A</v>
      </c>
      <c r="AB979" s="136"/>
      <c r="AC979" s="136"/>
      <c r="AD979" s="136" t="str">
        <f>tbl_IO_List[[#This Row],[I/O Type]]</f>
        <v>DI</v>
      </c>
      <c r="AE979" s="136" t="s">
        <v>1368</v>
      </c>
      <c r="AF979" s="136">
        <v>4</v>
      </c>
      <c r="AG979" s="136">
        <v>25</v>
      </c>
      <c r="AH979" s="136"/>
      <c r="AI979" s="136"/>
      <c r="AJ979" s="136">
        <v>1</v>
      </c>
      <c r="AK979" s="136">
        <v>0</v>
      </c>
      <c r="AL979" s="136">
        <v>0</v>
      </c>
      <c r="AM979" s="136">
        <v>0</v>
      </c>
      <c r="AN979" s="136">
        <v>0</v>
      </c>
      <c r="AO979" s="136"/>
      <c r="AP979" s="143"/>
      <c r="AQ979" s="143" t="str">
        <f>tbl_IO_List[[#This Row],[Chassis]]&amp;"S"&amp;tbl_IO_List[[#This Row],[Slot]]&amp;"-"&amp;tbl_IO_List[[#This Row],[Front Terminal Number]]</f>
        <v>C7S4-</v>
      </c>
      <c r="AR979" s="143"/>
      <c r="AS979" s="136" t="str">
        <f>tbl_IO_List[[#This Row],[Terminal Tagging]]&amp;"-"&amp;tbl_IO_List[[#This Row],[Point-Count]]</f>
        <v>-</v>
      </c>
      <c r="AT979" s="136" t="str">
        <f>tbl_IO_List[[#This Row],[Front Terminal Tagging]]&amp;"/"&amp;tbl_IO_List[[#This Row],[Terminal Tagging-Item]]</f>
        <v>C7S4-/-</v>
      </c>
      <c r="AU979" s="136" t="str">
        <f>tbl_IO_List[[#This Row],[Terminal Tagging-Item]]&amp;"/"&amp;tbl_IO_List[[#This Row],[Front Terminal Tagging]]</f>
        <v>-/C7S4-</v>
      </c>
    </row>
    <row r="980" spans="1:47" hidden="1">
      <c r="A980" s="136" t="s">
        <v>1307</v>
      </c>
      <c r="B980" s="136" t="s">
        <v>1307</v>
      </c>
      <c r="C980" s="136" t="str">
        <f>tbl_IO_List[[#This Row],[Column3]]</f>
        <v>C7S04,26</v>
      </c>
      <c r="D980" s="136" t="e">
        <f>tbl_IO_List[[#This Row],[Card]]</f>
        <v>#N/A</v>
      </c>
      <c r="E980" s="136"/>
      <c r="F980" s="136" t="str">
        <f>tbl_IO_List[[#This Row],[Column23]]&amp;"-" &amp;tbl_IO_List[[#This Row],[Column52]]</f>
        <v>C7S04-</v>
      </c>
      <c r="G980" s="136" t="str">
        <f>tbl_IO_List[[#This Row],[PLC_Tag]]</f>
        <v>Spare_DI_0</v>
      </c>
      <c r="H980" s="136"/>
      <c r="I980" s="136" t="str">
        <f>VLOOKUP(tbl_IO_List[[#This Row],[Destination]],tbl_Junction[],2,FALSE)</f>
        <v>MCC Room</v>
      </c>
      <c r="J980" s="136"/>
      <c r="K980" s="136"/>
      <c r="L980" s="136" t="s">
        <v>411</v>
      </c>
      <c r="M980" s="136" t="e">
        <f>VLOOKUP(tbl_IO_List[[#This Row],[Instruement Tag]],tbl_Instruement_List[],2,FALSE)</f>
        <v>#N/A</v>
      </c>
      <c r="N980" s="136"/>
      <c r="O980" s="136"/>
      <c r="P980" s="136"/>
      <c r="Q980" s="136" t="e">
        <f>VLOOKUP(tbl_IO_List[[#This Row],[Instruement Tag]],tbl_Instruement_List[],6,FALSE)</f>
        <v>#N/A</v>
      </c>
      <c r="R980" s="136"/>
      <c r="S98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80" s="136" t="str">
        <f>tbl_IO_List[[#This Row],[Instruement Tag]]&amp;"_"&amp;tbl_IO_List[[#This Row],[I/O Type]]&amp;"_"&amp;tbl_IO_List[[#This Row],[IO-Point 
(Instruement)]]</f>
        <v>Spare_DI_0</v>
      </c>
      <c r="U980" s="136" t="s">
        <v>8</v>
      </c>
      <c r="V980" s="136">
        <f>VLOOKUP(tbl_IO_List[[#This Row],[I/O Type]],tbl_Slot_Group[],2,FALSE)</f>
        <v>1</v>
      </c>
      <c r="W980" s="136">
        <v>0</v>
      </c>
      <c r="X980" s="136" t="str">
        <f>tbl_IO_List[[#This Row],[Chassis]]&amp;"S"&amp;TEXT(tbl_IO_List[[#This Row],[Slot]],"00")</f>
        <v>C7S04</v>
      </c>
      <c r="Y980" s="136" t="str">
        <f>tbl_IO_List[[#This Row],[Chassis]]&amp;"S"&amp;TEXT(tbl_IO_List[[#This Row],[Slot]],"00")&amp;tbl_IO_List[[#This Row],[I/O Type]]&amp;TEXT(tbl_IO_List[[#This Row],[Point]],"00")</f>
        <v>C7S04DI26</v>
      </c>
      <c r="Z980" s="136" t="str">
        <f>tbl_IO_List[[#This Row],[Chassis]]&amp;"S"&amp;TEXT(tbl_IO_List[[#This Row],[Slot]],"00")&amp;","&amp;TEXT(tbl_IO_List[[#This Row],[Point]],"00")</f>
        <v>C7S04,26</v>
      </c>
      <c r="AA980" s="136" t="e">
        <f>VLOOKUP(tbl_IO_List[[#This Row],[Column23]],tbl_RackConfig[],5,FALSE) &amp;"-"&amp;tbl_IO_List[[#This Row],[Point]]</f>
        <v>#N/A</v>
      </c>
      <c r="AB980" s="136"/>
      <c r="AC980" s="136"/>
      <c r="AD980" s="136" t="str">
        <f>tbl_IO_List[[#This Row],[I/O Type]]</f>
        <v>DI</v>
      </c>
      <c r="AE980" s="136" t="s">
        <v>1368</v>
      </c>
      <c r="AF980" s="136">
        <v>4</v>
      </c>
      <c r="AG980" s="136">
        <v>26</v>
      </c>
      <c r="AH980" s="136"/>
      <c r="AI980" s="136"/>
      <c r="AJ980" s="136">
        <v>1</v>
      </c>
      <c r="AK980" s="136">
        <v>0</v>
      </c>
      <c r="AL980" s="136">
        <v>0</v>
      </c>
      <c r="AM980" s="136">
        <v>0</v>
      </c>
      <c r="AN980" s="136">
        <v>0</v>
      </c>
      <c r="AO980" s="136"/>
      <c r="AP980" s="143"/>
      <c r="AQ980" s="143" t="str">
        <f>tbl_IO_List[[#This Row],[Chassis]]&amp;"S"&amp;tbl_IO_List[[#This Row],[Slot]]&amp;"-"&amp;tbl_IO_List[[#This Row],[Front Terminal Number]]</f>
        <v>C7S4-</v>
      </c>
      <c r="AR980" s="143"/>
      <c r="AS980" s="136" t="str">
        <f>tbl_IO_List[[#This Row],[Terminal Tagging]]&amp;"-"&amp;tbl_IO_List[[#This Row],[Point-Count]]</f>
        <v>-</v>
      </c>
      <c r="AT980" s="136" t="str">
        <f>tbl_IO_List[[#This Row],[Front Terminal Tagging]]&amp;"/"&amp;tbl_IO_List[[#This Row],[Terminal Tagging-Item]]</f>
        <v>C7S4-/-</v>
      </c>
      <c r="AU980" s="136" t="str">
        <f>tbl_IO_List[[#This Row],[Terminal Tagging-Item]]&amp;"/"&amp;tbl_IO_List[[#This Row],[Front Terminal Tagging]]</f>
        <v>-/C7S4-</v>
      </c>
    </row>
    <row r="981" spans="1:47" hidden="1">
      <c r="A981" s="136" t="s">
        <v>1307</v>
      </c>
      <c r="B981" s="136" t="s">
        <v>1307</v>
      </c>
      <c r="C981" s="136" t="str">
        <f>tbl_IO_List[[#This Row],[Column3]]</f>
        <v>C7S04,27</v>
      </c>
      <c r="D981" s="136" t="e">
        <f>tbl_IO_List[[#This Row],[Card]]</f>
        <v>#N/A</v>
      </c>
      <c r="E981" s="136"/>
      <c r="F981" s="136" t="str">
        <f>tbl_IO_List[[#This Row],[Column23]]&amp;"-" &amp;tbl_IO_List[[#This Row],[Column52]]</f>
        <v>C7S04-</v>
      </c>
      <c r="G981" s="136" t="str">
        <f>tbl_IO_List[[#This Row],[PLC_Tag]]</f>
        <v>Spare_DI_0</v>
      </c>
      <c r="H981" s="136"/>
      <c r="I981" s="136" t="str">
        <f>VLOOKUP(tbl_IO_List[[#This Row],[Destination]],tbl_Junction[],2,FALSE)</f>
        <v>MCC Room</v>
      </c>
      <c r="J981" s="136"/>
      <c r="K981" s="136"/>
      <c r="L981" s="136" t="s">
        <v>411</v>
      </c>
      <c r="M981" s="136" t="e">
        <f>VLOOKUP(tbl_IO_List[[#This Row],[Instruement Tag]],tbl_Instruement_List[],2,FALSE)</f>
        <v>#N/A</v>
      </c>
      <c r="N981" s="136"/>
      <c r="O981" s="136"/>
      <c r="P981" s="136"/>
      <c r="Q981" s="136" t="e">
        <f>VLOOKUP(tbl_IO_List[[#This Row],[Instruement Tag]],tbl_Instruement_List[],6,FALSE)</f>
        <v>#N/A</v>
      </c>
      <c r="R981" s="136"/>
      <c r="S98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81" s="136" t="str">
        <f>tbl_IO_List[[#This Row],[Instruement Tag]]&amp;"_"&amp;tbl_IO_List[[#This Row],[I/O Type]]&amp;"_"&amp;tbl_IO_List[[#This Row],[IO-Point 
(Instruement)]]</f>
        <v>Spare_DI_0</v>
      </c>
      <c r="U981" s="136" t="s">
        <v>8</v>
      </c>
      <c r="V981" s="136">
        <f>VLOOKUP(tbl_IO_List[[#This Row],[I/O Type]],tbl_Slot_Group[],2,FALSE)</f>
        <v>1</v>
      </c>
      <c r="W981" s="136">
        <v>0</v>
      </c>
      <c r="X981" s="136" t="str">
        <f>tbl_IO_List[[#This Row],[Chassis]]&amp;"S"&amp;TEXT(tbl_IO_List[[#This Row],[Slot]],"00")</f>
        <v>C7S04</v>
      </c>
      <c r="Y981" s="136" t="str">
        <f>tbl_IO_List[[#This Row],[Chassis]]&amp;"S"&amp;TEXT(tbl_IO_List[[#This Row],[Slot]],"00")&amp;tbl_IO_List[[#This Row],[I/O Type]]&amp;TEXT(tbl_IO_List[[#This Row],[Point]],"00")</f>
        <v>C7S04DI27</v>
      </c>
      <c r="Z981" s="136" t="str">
        <f>tbl_IO_List[[#This Row],[Chassis]]&amp;"S"&amp;TEXT(tbl_IO_List[[#This Row],[Slot]],"00")&amp;","&amp;TEXT(tbl_IO_List[[#This Row],[Point]],"00")</f>
        <v>C7S04,27</v>
      </c>
      <c r="AA981" s="136" t="e">
        <f>VLOOKUP(tbl_IO_List[[#This Row],[Column23]],tbl_RackConfig[],5,FALSE) &amp;"-"&amp;tbl_IO_List[[#This Row],[Point]]</f>
        <v>#N/A</v>
      </c>
      <c r="AB981" s="136"/>
      <c r="AC981" s="136"/>
      <c r="AD981" s="136" t="str">
        <f>tbl_IO_List[[#This Row],[I/O Type]]</f>
        <v>DI</v>
      </c>
      <c r="AE981" s="136" t="s">
        <v>1368</v>
      </c>
      <c r="AF981" s="136">
        <v>4</v>
      </c>
      <c r="AG981" s="136">
        <v>27</v>
      </c>
      <c r="AH981" s="136"/>
      <c r="AI981" s="136"/>
      <c r="AJ981" s="136">
        <v>1</v>
      </c>
      <c r="AK981" s="136">
        <v>0</v>
      </c>
      <c r="AL981" s="136">
        <v>0</v>
      </c>
      <c r="AM981" s="136">
        <v>0</v>
      </c>
      <c r="AN981" s="136">
        <v>0</v>
      </c>
      <c r="AO981" s="136"/>
      <c r="AP981" s="143"/>
      <c r="AQ981" s="143" t="str">
        <f>tbl_IO_List[[#This Row],[Chassis]]&amp;"S"&amp;tbl_IO_List[[#This Row],[Slot]]&amp;"-"&amp;tbl_IO_List[[#This Row],[Front Terminal Number]]</f>
        <v>C7S4-</v>
      </c>
      <c r="AR981" s="143"/>
      <c r="AS981" s="136" t="str">
        <f>tbl_IO_List[[#This Row],[Terminal Tagging]]&amp;"-"&amp;tbl_IO_List[[#This Row],[Point-Count]]</f>
        <v>-</v>
      </c>
      <c r="AT981" s="136" t="str">
        <f>tbl_IO_List[[#This Row],[Front Terminal Tagging]]&amp;"/"&amp;tbl_IO_List[[#This Row],[Terminal Tagging-Item]]</f>
        <v>C7S4-/-</v>
      </c>
      <c r="AU981" s="136" t="str">
        <f>tbl_IO_List[[#This Row],[Terminal Tagging-Item]]&amp;"/"&amp;tbl_IO_List[[#This Row],[Front Terminal Tagging]]</f>
        <v>-/C7S4-</v>
      </c>
    </row>
    <row r="982" spans="1:47" hidden="1">
      <c r="A982" s="136" t="s">
        <v>1307</v>
      </c>
      <c r="B982" s="136" t="s">
        <v>1307</v>
      </c>
      <c r="C982" s="136" t="str">
        <f>tbl_IO_List[[#This Row],[Column3]]</f>
        <v>C7S04,28</v>
      </c>
      <c r="D982" s="136" t="e">
        <f>tbl_IO_List[[#This Row],[Card]]</f>
        <v>#N/A</v>
      </c>
      <c r="E982" s="136"/>
      <c r="F982" s="136" t="str">
        <f>tbl_IO_List[[#This Row],[Column23]]&amp;"-" &amp;tbl_IO_List[[#This Row],[Column52]]</f>
        <v>C7S04-</v>
      </c>
      <c r="G982" s="136" t="str">
        <f>tbl_IO_List[[#This Row],[PLC_Tag]]</f>
        <v>Spare_DI_0</v>
      </c>
      <c r="H982" s="136"/>
      <c r="I982" s="136" t="str">
        <f>VLOOKUP(tbl_IO_List[[#This Row],[Destination]],tbl_Junction[],2,FALSE)</f>
        <v>MCC Room</v>
      </c>
      <c r="J982" s="136"/>
      <c r="K982" s="136"/>
      <c r="L982" s="136" t="s">
        <v>411</v>
      </c>
      <c r="M982" s="136" t="e">
        <f>VLOOKUP(tbl_IO_List[[#This Row],[Instruement Tag]],tbl_Instruement_List[],2,FALSE)</f>
        <v>#N/A</v>
      </c>
      <c r="N982" s="136"/>
      <c r="O982" s="136"/>
      <c r="P982" s="136"/>
      <c r="Q982" s="136" t="e">
        <f>VLOOKUP(tbl_IO_List[[#This Row],[Instruement Tag]],tbl_Instruement_List[],6,FALSE)</f>
        <v>#N/A</v>
      </c>
      <c r="R982" s="136"/>
      <c r="S98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82" s="136" t="str">
        <f>tbl_IO_List[[#This Row],[Instruement Tag]]&amp;"_"&amp;tbl_IO_List[[#This Row],[I/O Type]]&amp;"_"&amp;tbl_IO_List[[#This Row],[IO-Point 
(Instruement)]]</f>
        <v>Spare_DI_0</v>
      </c>
      <c r="U982" s="136" t="s">
        <v>8</v>
      </c>
      <c r="V982" s="136">
        <f>VLOOKUP(tbl_IO_List[[#This Row],[I/O Type]],tbl_Slot_Group[],2,FALSE)</f>
        <v>1</v>
      </c>
      <c r="W982" s="136">
        <v>0</v>
      </c>
      <c r="X982" s="136" t="str">
        <f>tbl_IO_List[[#This Row],[Chassis]]&amp;"S"&amp;TEXT(tbl_IO_List[[#This Row],[Slot]],"00")</f>
        <v>C7S04</v>
      </c>
      <c r="Y982" s="136" t="str">
        <f>tbl_IO_List[[#This Row],[Chassis]]&amp;"S"&amp;TEXT(tbl_IO_List[[#This Row],[Slot]],"00")&amp;tbl_IO_List[[#This Row],[I/O Type]]&amp;TEXT(tbl_IO_List[[#This Row],[Point]],"00")</f>
        <v>C7S04DI28</v>
      </c>
      <c r="Z982" s="136" t="str">
        <f>tbl_IO_List[[#This Row],[Chassis]]&amp;"S"&amp;TEXT(tbl_IO_List[[#This Row],[Slot]],"00")&amp;","&amp;TEXT(tbl_IO_List[[#This Row],[Point]],"00")</f>
        <v>C7S04,28</v>
      </c>
      <c r="AA982" s="136" t="e">
        <f>VLOOKUP(tbl_IO_List[[#This Row],[Column23]],tbl_RackConfig[],5,FALSE) &amp;"-"&amp;tbl_IO_List[[#This Row],[Point]]</f>
        <v>#N/A</v>
      </c>
      <c r="AB982" s="136"/>
      <c r="AC982" s="136"/>
      <c r="AD982" s="136" t="str">
        <f>tbl_IO_List[[#This Row],[I/O Type]]</f>
        <v>DI</v>
      </c>
      <c r="AE982" s="136" t="s">
        <v>1368</v>
      </c>
      <c r="AF982" s="136">
        <v>4</v>
      </c>
      <c r="AG982" s="136">
        <v>28</v>
      </c>
      <c r="AH982" s="136"/>
      <c r="AI982" s="136"/>
      <c r="AJ982" s="136">
        <v>1</v>
      </c>
      <c r="AK982" s="136">
        <v>0</v>
      </c>
      <c r="AL982" s="136">
        <v>0</v>
      </c>
      <c r="AM982" s="136">
        <v>0</v>
      </c>
      <c r="AN982" s="136">
        <v>0</v>
      </c>
      <c r="AO982" s="136"/>
      <c r="AP982" s="143"/>
      <c r="AQ982" s="143" t="str">
        <f>tbl_IO_List[[#This Row],[Chassis]]&amp;"S"&amp;tbl_IO_List[[#This Row],[Slot]]&amp;"-"&amp;tbl_IO_List[[#This Row],[Front Terminal Number]]</f>
        <v>C7S4-</v>
      </c>
      <c r="AR982" s="143"/>
      <c r="AS982" s="136" t="str">
        <f>tbl_IO_List[[#This Row],[Terminal Tagging]]&amp;"-"&amp;tbl_IO_List[[#This Row],[Point-Count]]</f>
        <v>-</v>
      </c>
      <c r="AT982" s="136" t="str">
        <f>tbl_IO_List[[#This Row],[Front Terminal Tagging]]&amp;"/"&amp;tbl_IO_List[[#This Row],[Terminal Tagging-Item]]</f>
        <v>C7S4-/-</v>
      </c>
      <c r="AU982" s="136" t="str">
        <f>tbl_IO_List[[#This Row],[Terminal Tagging-Item]]&amp;"/"&amp;tbl_IO_List[[#This Row],[Front Terminal Tagging]]</f>
        <v>-/C7S4-</v>
      </c>
    </row>
    <row r="983" spans="1:47" hidden="1">
      <c r="A983" s="136" t="s">
        <v>1307</v>
      </c>
      <c r="B983" s="136" t="s">
        <v>1307</v>
      </c>
      <c r="C983" s="136" t="str">
        <f>tbl_IO_List[[#This Row],[Column3]]</f>
        <v>C7S04,29</v>
      </c>
      <c r="D983" s="136" t="e">
        <f>tbl_IO_List[[#This Row],[Card]]</f>
        <v>#N/A</v>
      </c>
      <c r="E983" s="136"/>
      <c r="F983" s="136" t="str">
        <f>tbl_IO_List[[#This Row],[Column23]]&amp;"-" &amp;tbl_IO_List[[#This Row],[Column52]]</f>
        <v>C7S04-</v>
      </c>
      <c r="G983" s="136" t="str">
        <f>tbl_IO_List[[#This Row],[PLC_Tag]]</f>
        <v>Spare_DI_0</v>
      </c>
      <c r="H983" s="136"/>
      <c r="I983" s="136" t="str">
        <f>VLOOKUP(tbl_IO_List[[#This Row],[Destination]],tbl_Junction[],2,FALSE)</f>
        <v>MCC Room</v>
      </c>
      <c r="J983" s="136"/>
      <c r="K983" s="136"/>
      <c r="L983" s="136" t="s">
        <v>411</v>
      </c>
      <c r="M983" s="136" t="e">
        <f>VLOOKUP(tbl_IO_List[[#This Row],[Instruement Tag]],tbl_Instruement_List[],2,FALSE)</f>
        <v>#N/A</v>
      </c>
      <c r="N983" s="136"/>
      <c r="O983" s="136"/>
      <c r="P983" s="136"/>
      <c r="Q983" s="136" t="e">
        <f>VLOOKUP(tbl_IO_List[[#This Row],[Instruement Tag]],tbl_Instruement_List[],6,FALSE)</f>
        <v>#N/A</v>
      </c>
      <c r="R983" s="136"/>
      <c r="S98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83" s="136" t="str">
        <f>tbl_IO_List[[#This Row],[Instruement Tag]]&amp;"_"&amp;tbl_IO_List[[#This Row],[I/O Type]]&amp;"_"&amp;tbl_IO_List[[#This Row],[IO-Point 
(Instruement)]]</f>
        <v>Spare_DI_0</v>
      </c>
      <c r="U983" s="136" t="s">
        <v>8</v>
      </c>
      <c r="V983" s="136">
        <f>VLOOKUP(tbl_IO_List[[#This Row],[I/O Type]],tbl_Slot_Group[],2,FALSE)</f>
        <v>1</v>
      </c>
      <c r="W983" s="136">
        <v>0</v>
      </c>
      <c r="X983" s="136" t="str">
        <f>tbl_IO_List[[#This Row],[Chassis]]&amp;"S"&amp;TEXT(tbl_IO_List[[#This Row],[Slot]],"00")</f>
        <v>C7S04</v>
      </c>
      <c r="Y983" s="136" t="str">
        <f>tbl_IO_List[[#This Row],[Chassis]]&amp;"S"&amp;TEXT(tbl_IO_List[[#This Row],[Slot]],"00")&amp;tbl_IO_List[[#This Row],[I/O Type]]&amp;TEXT(tbl_IO_List[[#This Row],[Point]],"00")</f>
        <v>C7S04DI29</v>
      </c>
      <c r="Z983" s="136" t="str">
        <f>tbl_IO_List[[#This Row],[Chassis]]&amp;"S"&amp;TEXT(tbl_IO_List[[#This Row],[Slot]],"00")&amp;","&amp;TEXT(tbl_IO_List[[#This Row],[Point]],"00")</f>
        <v>C7S04,29</v>
      </c>
      <c r="AA983" s="136" t="e">
        <f>VLOOKUP(tbl_IO_List[[#This Row],[Column23]],tbl_RackConfig[],5,FALSE) &amp;"-"&amp;tbl_IO_List[[#This Row],[Point]]</f>
        <v>#N/A</v>
      </c>
      <c r="AB983" s="136"/>
      <c r="AC983" s="136"/>
      <c r="AD983" s="136" t="str">
        <f>tbl_IO_List[[#This Row],[I/O Type]]</f>
        <v>DI</v>
      </c>
      <c r="AE983" s="136" t="s">
        <v>1368</v>
      </c>
      <c r="AF983" s="136">
        <v>4</v>
      </c>
      <c r="AG983" s="136">
        <v>29</v>
      </c>
      <c r="AH983" s="136"/>
      <c r="AI983" s="136"/>
      <c r="AJ983" s="136">
        <v>1</v>
      </c>
      <c r="AK983" s="136">
        <v>0</v>
      </c>
      <c r="AL983" s="136">
        <v>0</v>
      </c>
      <c r="AM983" s="136">
        <v>0</v>
      </c>
      <c r="AN983" s="136">
        <v>0</v>
      </c>
      <c r="AO983" s="136"/>
      <c r="AP983" s="143"/>
      <c r="AQ983" s="143" t="str">
        <f>tbl_IO_List[[#This Row],[Chassis]]&amp;"S"&amp;tbl_IO_List[[#This Row],[Slot]]&amp;"-"&amp;tbl_IO_List[[#This Row],[Front Terminal Number]]</f>
        <v>C7S4-</v>
      </c>
      <c r="AR983" s="143"/>
      <c r="AS983" s="136" t="str">
        <f>tbl_IO_List[[#This Row],[Terminal Tagging]]&amp;"-"&amp;tbl_IO_List[[#This Row],[Point-Count]]</f>
        <v>-</v>
      </c>
      <c r="AT983" s="136" t="str">
        <f>tbl_IO_List[[#This Row],[Front Terminal Tagging]]&amp;"/"&amp;tbl_IO_List[[#This Row],[Terminal Tagging-Item]]</f>
        <v>C7S4-/-</v>
      </c>
      <c r="AU983" s="136" t="str">
        <f>tbl_IO_List[[#This Row],[Terminal Tagging-Item]]&amp;"/"&amp;tbl_IO_List[[#This Row],[Front Terminal Tagging]]</f>
        <v>-/C7S4-</v>
      </c>
    </row>
    <row r="984" spans="1:47" hidden="1">
      <c r="A984" s="136" t="s">
        <v>1307</v>
      </c>
      <c r="B984" s="136" t="s">
        <v>1307</v>
      </c>
      <c r="C984" s="136" t="str">
        <f>tbl_IO_List[[#This Row],[Column3]]</f>
        <v>C7S04,30</v>
      </c>
      <c r="D984" s="136" t="e">
        <f>tbl_IO_List[[#This Row],[Card]]</f>
        <v>#N/A</v>
      </c>
      <c r="E984" s="136"/>
      <c r="F984" s="136" t="str">
        <f>tbl_IO_List[[#This Row],[Column23]]&amp;"-" &amp;tbl_IO_List[[#This Row],[Column52]]</f>
        <v>C7S04-</v>
      </c>
      <c r="G984" s="136" t="str">
        <f>tbl_IO_List[[#This Row],[PLC_Tag]]</f>
        <v>Spare_DI_0</v>
      </c>
      <c r="H984" s="136"/>
      <c r="I984" s="136" t="str">
        <f>VLOOKUP(tbl_IO_List[[#This Row],[Destination]],tbl_Junction[],2,FALSE)</f>
        <v>MCC Room</v>
      </c>
      <c r="J984" s="136"/>
      <c r="K984" s="136"/>
      <c r="L984" s="136" t="s">
        <v>411</v>
      </c>
      <c r="M984" s="136" t="e">
        <f>VLOOKUP(tbl_IO_List[[#This Row],[Instruement Tag]],tbl_Instruement_List[],2,FALSE)</f>
        <v>#N/A</v>
      </c>
      <c r="N984" s="136"/>
      <c r="O984" s="136"/>
      <c r="P984" s="136"/>
      <c r="Q984" s="136" t="e">
        <f>VLOOKUP(tbl_IO_List[[#This Row],[Instruement Tag]],tbl_Instruement_List[],6,FALSE)</f>
        <v>#N/A</v>
      </c>
      <c r="R984" s="136"/>
      <c r="S98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84" s="136" t="str">
        <f>tbl_IO_List[[#This Row],[Instruement Tag]]&amp;"_"&amp;tbl_IO_List[[#This Row],[I/O Type]]&amp;"_"&amp;tbl_IO_List[[#This Row],[IO-Point 
(Instruement)]]</f>
        <v>Spare_DI_0</v>
      </c>
      <c r="U984" s="136" t="s">
        <v>8</v>
      </c>
      <c r="V984" s="136">
        <f>VLOOKUP(tbl_IO_List[[#This Row],[I/O Type]],tbl_Slot_Group[],2,FALSE)</f>
        <v>1</v>
      </c>
      <c r="W984" s="136">
        <v>0</v>
      </c>
      <c r="X984" s="136" t="str">
        <f>tbl_IO_List[[#This Row],[Chassis]]&amp;"S"&amp;TEXT(tbl_IO_List[[#This Row],[Slot]],"00")</f>
        <v>C7S04</v>
      </c>
      <c r="Y984" s="136" t="str">
        <f>tbl_IO_List[[#This Row],[Chassis]]&amp;"S"&amp;TEXT(tbl_IO_List[[#This Row],[Slot]],"00")&amp;tbl_IO_List[[#This Row],[I/O Type]]&amp;TEXT(tbl_IO_List[[#This Row],[Point]],"00")</f>
        <v>C7S04DI30</v>
      </c>
      <c r="Z984" s="136" t="str">
        <f>tbl_IO_List[[#This Row],[Chassis]]&amp;"S"&amp;TEXT(tbl_IO_List[[#This Row],[Slot]],"00")&amp;","&amp;TEXT(tbl_IO_List[[#This Row],[Point]],"00")</f>
        <v>C7S04,30</v>
      </c>
      <c r="AA984" s="136" t="e">
        <f>VLOOKUP(tbl_IO_List[[#This Row],[Column23]],tbl_RackConfig[],5,FALSE) &amp;"-"&amp;tbl_IO_List[[#This Row],[Point]]</f>
        <v>#N/A</v>
      </c>
      <c r="AB984" s="136"/>
      <c r="AC984" s="136"/>
      <c r="AD984" s="136" t="str">
        <f>tbl_IO_List[[#This Row],[I/O Type]]</f>
        <v>DI</v>
      </c>
      <c r="AE984" s="136" t="s">
        <v>1368</v>
      </c>
      <c r="AF984" s="136">
        <v>4</v>
      </c>
      <c r="AG984" s="136">
        <v>30</v>
      </c>
      <c r="AH984" s="136"/>
      <c r="AI984" s="136"/>
      <c r="AJ984" s="136">
        <v>1</v>
      </c>
      <c r="AK984" s="136">
        <v>0</v>
      </c>
      <c r="AL984" s="136">
        <v>0</v>
      </c>
      <c r="AM984" s="136">
        <v>0</v>
      </c>
      <c r="AN984" s="136">
        <v>0</v>
      </c>
      <c r="AO984" s="136"/>
      <c r="AP984" s="143"/>
      <c r="AQ984" s="143" t="str">
        <f>tbl_IO_List[[#This Row],[Chassis]]&amp;"S"&amp;tbl_IO_List[[#This Row],[Slot]]&amp;"-"&amp;tbl_IO_List[[#This Row],[Front Terminal Number]]</f>
        <v>C7S4-</v>
      </c>
      <c r="AR984" s="143"/>
      <c r="AS984" s="136" t="str">
        <f>tbl_IO_List[[#This Row],[Terminal Tagging]]&amp;"-"&amp;tbl_IO_List[[#This Row],[Point-Count]]</f>
        <v>-</v>
      </c>
      <c r="AT984" s="136" t="str">
        <f>tbl_IO_List[[#This Row],[Front Terminal Tagging]]&amp;"/"&amp;tbl_IO_List[[#This Row],[Terminal Tagging-Item]]</f>
        <v>C7S4-/-</v>
      </c>
      <c r="AU984" s="136" t="str">
        <f>tbl_IO_List[[#This Row],[Terminal Tagging-Item]]&amp;"/"&amp;tbl_IO_List[[#This Row],[Front Terminal Tagging]]</f>
        <v>-/C7S4-</v>
      </c>
    </row>
    <row r="985" spans="1:47" hidden="1">
      <c r="A985" s="136" t="s">
        <v>1307</v>
      </c>
      <c r="B985" s="136" t="s">
        <v>1307</v>
      </c>
      <c r="C985" s="136" t="str">
        <f>tbl_IO_List[[#This Row],[Column3]]</f>
        <v>C7S04,31</v>
      </c>
      <c r="D985" s="136" t="e">
        <f>tbl_IO_List[[#This Row],[Card]]</f>
        <v>#N/A</v>
      </c>
      <c r="E985" s="136"/>
      <c r="F985" s="136" t="str">
        <f>tbl_IO_List[[#This Row],[Column23]]&amp;"-" &amp;tbl_IO_List[[#This Row],[Column52]]</f>
        <v>C7S04-</v>
      </c>
      <c r="G985" s="136" t="str">
        <f>tbl_IO_List[[#This Row],[PLC_Tag]]</f>
        <v>Spare_DI_0</v>
      </c>
      <c r="H985" s="136"/>
      <c r="I985" s="136" t="str">
        <f>VLOOKUP(tbl_IO_List[[#This Row],[Destination]],tbl_Junction[],2,FALSE)</f>
        <v>MCC Room</v>
      </c>
      <c r="J985" s="136"/>
      <c r="K985" s="136"/>
      <c r="L985" s="136" t="s">
        <v>411</v>
      </c>
      <c r="M985" s="136" t="e">
        <f>VLOOKUP(tbl_IO_List[[#This Row],[Instruement Tag]],tbl_Instruement_List[],2,FALSE)</f>
        <v>#N/A</v>
      </c>
      <c r="N985" s="136"/>
      <c r="O985" s="136"/>
      <c r="P985" s="136"/>
      <c r="Q985" s="136" t="e">
        <f>VLOOKUP(tbl_IO_List[[#This Row],[Instruement Tag]],tbl_Instruement_List[],6,FALSE)</f>
        <v>#N/A</v>
      </c>
      <c r="R985" s="136"/>
      <c r="S98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985" s="136" t="str">
        <f>tbl_IO_List[[#This Row],[Instruement Tag]]&amp;"_"&amp;tbl_IO_List[[#This Row],[I/O Type]]&amp;"_"&amp;tbl_IO_List[[#This Row],[IO-Point 
(Instruement)]]</f>
        <v>Spare_DI_0</v>
      </c>
      <c r="U985" s="136" t="s">
        <v>8</v>
      </c>
      <c r="V985" s="136">
        <f>VLOOKUP(tbl_IO_List[[#This Row],[I/O Type]],tbl_Slot_Group[],2,FALSE)</f>
        <v>1</v>
      </c>
      <c r="W985" s="136">
        <v>0</v>
      </c>
      <c r="X985" s="136" t="str">
        <f>tbl_IO_List[[#This Row],[Chassis]]&amp;"S"&amp;TEXT(tbl_IO_List[[#This Row],[Slot]],"00")</f>
        <v>C7S04</v>
      </c>
      <c r="Y985" s="136" t="str">
        <f>tbl_IO_List[[#This Row],[Chassis]]&amp;"S"&amp;TEXT(tbl_IO_List[[#This Row],[Slot]],"00")&amp;tbl_IO_List[[#This Row],[I/O Type]]&amp;TEXT(tbl_IO_List[[#This Row],[Point]],"00")</f>
        <v>C7S04DI31</v>
      </c>
      <c r="Z985" s="136" t="str">
        <f>tbl_IO_List[[#This Row],[Chassis]]&amp;"S"&amp;TEXT(tbl_IO_List[[#This Row],[Slot]],"00")&amp;","&amp;TEXT(tbl_IO_List[[#This Row],[Point]],"00")</f>
        <v>C7S04,31</v>
      </c>
      <c r="AA985" s="136" t="e">
        <f>VLOOKUP(tbl_IO_List[[#This Row],[Column23]],tbl_RackConfig[],5,FALSE) &amp;"-"&amp;tbl_IO_List[[#This Row],[Point]]</f>
        <v>#N/A</v>
      </c>
      <c r="AB985" s="136"/>
      <c r="AC985" s="136"/>
      <c r="AD985" s="136" t="str">
        <f>tbl_IO_List[[#This Row],[I/O Type]]</f>
        <v>DI</v>
      </c>
      <c r="AE985" s="136" t="s">
        <v>1368</v>
      </c>
      <c r="AF985" s="136">
        <v>4</v>
      </c>
      <c r="AG985" s="136">
        <v>31</v>
      </c>
      <c r="AH985" s="136"/>
      <c r="AI985" s="136"/>
      <c r="AJ985" s="136">
        <v>1</v>
      </c>
      <c r="AK985" s="136">
        <v>0</v>
      </c>
      <c r="AL985" s="136">
        <v>0</v>
      </c>
      <c r="AM985" s="136">
        <v>0</v>
      </c>
      <c r="AN985" s="136">
        <v>0</v>
      </c>
      <c r="AO985" s="136"/>
      <c r="AP985" s="143"/>
      <c r="AQ985" s="143" t="str">
        <f>tbl_IO_List[[#This Row],[Chassis]]&amp;"S"&amp;tbl_IO_List[[#This Row],[Slot]]&amp;"-"&amp;tbl_IO_List[[#This Row],[Front Terminal Number]]</f>
        <v>C7S4-</v>
      </c>
      <c r="AR985" s="143"/>
      <c r="AS985" s="136" t="str">
        <f>tbl_IO_List[[#This Row],[Terminal Tagging]]&amp;"-"&amp;tbl_IO_List[[#This Row],[Point-Count]]</f>
        <v>-</v>
      </c>
      <c r="AT985" s="136" t="str">
        <f>tbl_IO_List[[#This Row],[Front Terminal Tagging]]&amp;"/"&amp;tbl_IO_List[[#This Row],[Terminal Tagging-Item]]</f>
        <v>C7S4-/-</v>
      </c>
      <c r="AU985" s="136" t="str">
        <f>tbl_IO_List[[#This Row],[Terminal Tagging-Item]]&amp;"/"&amp;tbl_IO_List[[#This Row],[Front Terminal Tagging]]</f>
        <v>-/C7S4-</v>
      </c>
    </row>
    <row r="986" spans="1:47" hidden="1">
      <c r="A986" s="136" t="s">
        <v>1307</v>
      </c>
      <c r="B986" s="136" t="s">
        <v>1307</v>
      </c>
      <c r="C986" s="136" t="str">
        <f>tbl_IO_List[[#This Row],[Column3]]</f>
        <v>C7S05,00</v>
      </c>
      <c r="D986" s="136" t="e">
        <f>tbl_IO_List[[#This Row],[Card]]</f>
        <v>#N/A</v>
      </c>
      <c r="E986" s="136"/>
      <c r="F986" s="136" t="str">
        <f>tbl_IO_List[[#This Row],[Column23]]&amp;"-" &amp;tbl_IO_List[[#This Row],[Column52]]</f>
        <v>C7S05-</v>
      </c>
      <c r="G986" s="136" t="str">
        <f>tbl_IO_List[[#This Row],[PLC_Tag]]</f>
        <v>Spare_DO_0</v>
      </c>
      <c r="H986" s="136"/>
      <c r="I986" s="136" t="str">
        <f>VLOOKUP(tbl_IO_List[[#This Row],[Destination]],tbl_Junction[],2,FALSE)</f>
        <v>MCC Room</v>
      </c>
      <c r="J986" s="136" t="s">
        <v>1307</v>
      </c>
      <c r="K986" s="136" t="s">
        <v>136</v>
      </c>
      <c r="L986" s="136" t="s">
        <v>411</v>
      </c>
      <c r="M986" s="136" t="e">
        <f>VLOOKUP(tbl_IO_List[[#This Row],[Instruement Tag]],tbl_Instruement_List[],2,FALSE)</f>
        <v>#N/A</v>
      </c>
      <c r="N986" s="136" t="s">
        <v>15</v>
      </c>
      <c r="O986" s="136" t="s">
        <v>121</v>
      </c>
      <c r="P986" s="136" t="s">
        <v>137</v>
      </c>
      <c r="Q986" s="136" t="e">
        <f>VLOOKUP(tbl_IO_List[[#This Row],[Instruement Tag]],tbl_Instruement_List[],6,FALSE)</f>
        <v>#N/A</v>
      </c>
      <c r="R986" s="136"/>
      <c r="S98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986" s="136" t="str">
        <f>tbl_IO_List[[#This Row],[Instruement Tag]]&amp;"_"&amp;tbl_IO_List[[#This Row],[I/O Type]]&amp;"_"&amp;tbl_IO_List[[#This Row],[IO-Point 
(Instruement)]]</f>
        <v>Spare_DO_0</v>
      </c>
      <c r="U986" s="136" t="s">
        <v>7</v>
      </c>
      <c r="V986" s="136">
        <f>VLOOKUP(tbl_IO_List[[#This Row],[I/O Type]],tbl_Slot_Group[],2,FALSE)</f>
        <v>2</v>
      </c>
      <c r="W986" s="136">
        <v>0</v>
      </c>
      <c r="X986" s="136" t="str">
        <f>tbl_IO_List[[#This Row],[Chassis]]&amp;"S"&amp;TEXT(tbl_IO_List[[#This Row],[Slot]],"00")</f>
        <v>C7S05</v>
      </c>
      <c r="Y986" s="136" t="str">
        <f>tbl_IO_List[[#This Row],[Chassis]]&amp;"S"&amp;TEXT(tbl_IO_List[[#This Row],[Slot]],"00")&amp;tbl_IO_List[[#This Row],[I/O Type]]&amp;TEXT(tbl_IO_List[[#This Row],[Point]],"00")</f>
        <v>C7S05DO00</v>
      </c>
      <c r="Z986" s="136" t="str">
        <f>tbl_IO_List[[#This Row],[Chassis]]&amp;"S"&amp;TEXT(tbl_IO_List[[#This Row],[Slot]],"00")&amp;","&amp;TEXT(tbl_IO_List[[#This Row],[Point]],"00")</f>
        <v>C7S05,00</v>
      </c>
      <c r="AA986" s="136" t="e">
        <f>VLOOKUP(tbl_IO_List[[#This Row],[Column23]],tbl_RackConfig[],5,FALSE) &amp;"-"&amp;tbl_IO_List[[#This Row],[Point]]</f>
        <v>#N/A</v>
      </c>
      <c r="AB986" s="136"/>
      <c r="AC986" s="136"/>
      <c r="AD986" s="136" t="str">
        <f>tbl_IO_List[[#This Row],[I/O Type]]</f>
        <v>DO</v>
      </c>
      <c r="AE986" s="136" t="s">
        <v>1368</v>
      </c>
      <c r="AF986" s="136">
        <v>5</v>
      </c>
      <c r="AG986" s="136">
        <v>0</v>
      </c>
      <c r="AH986" s="136"/>
      <c r="AI986" s="136"/>
      <c r="AJ986" s="136">
        <v>0</v>
      </c>
      <c r="AK986" s="136">
        <v>1</v>
      </c>
      <c r="AL986" s="136">
        <v>0</v>
      </c>
      <c r="AM986" s="136">
        <v>0</v>
      </c>
      <c r="AN986" s="136">
        <v>0</v>
      </c>
      <c r="AO986" s="136"/>
      <c r="AP986" s="143" t="e">
        <f>VLOOKUP(tbl_IO_List[[#This Row],[Instruement Tag]],tbl_Instruement_List[],14,FALSE)</f>
        <v>#N/A</v>
      </c>
      <c r="AQ986" s="143" t="str">
        <f>tbl_IO_List[[#This Row],[Chassis]]&amp;"S"&amp;tbl_IO_List[[#This Row],[Slot]]&amp;"-"&amp;tbl_IO_List[[#This Row],[Front Terminal Number]]</f>
        <v>C7S5-</v>
      </c>
      <c r="AR986" s="143"/>
      <c r="AS986" s="136" t="str">
        <f>tbl_IO_List[[#This Row],[Terminal Tagging]]&amp;"-"&amp;tbl_IO_List[[#This Row],[Point-Count]]</f>
        <v>-</v>
      </c>
      <c r="AT986" s="136" t="str">
        <f>tbl_IO_List[[#This Row],[Front Terminal Tagging]]&amp;"/"&amp;tbl_IO_List[[#This Row],[Terminal Tagging-Item]]</f>
        <v>C7S5-/-</v>
      </c>
      <c r="AU986" s="136" t="str">
        <f>tbl_IO_List[[#This Row],[Terminal Tagging-Item]]&amp;"/"&amp;tbl_IO_List[[#This Row],[Front Terminal Tagging]]</f>
        <v>-/C7S5-</v>
      </c>
    </row>
    <row r="987" spans="1:47" hidden="1">
      <c r="A987" s="136" t="s">
        <v>1307</v>
      </c>
      <c r="B987" s="136" t="s">
        <v>1307</v>
      </c>
      <c r="C987" s="136" t="str">
        <f>tbl_IO_List[[#This Row],[Column3]]</f>
        <v>C7S05,01</v>
      </c>
      <c r="D987" s="136" t="e">
        <f>tbl_IO_List[[#This Row],[Card]]</f>
        <v>#N/A</v>
      </c>
      <c r="E987" s="136"/>
      <c r="F987" s="136" t="str">
        <f>tbl_IO_List[[#This Row],[Column23]]&amp;"-" &amp;tbl_IO_List[[#This Row],[Column52]]</f>
        <v>C7S05-</v>
      </c>
      <c r="G987" s="136" t="str">
        <f>tbl_IO_List[[#This Row],[PLC_Tag]]</f>
        <v>Spare_DO_0</v>
      </c>
      <c r="H987" s="136"/>
      <c r="I987" s="136" t="str">
        <f>VLOOKUP(tbl_IO_List[[#This Row],[Destination]],tbl_Junction[],2,FALSE)</f>
        <v>MCC Room</v>
      </c>
      <c r="J987" s="136" t="s">
        <v>1307</v>
      </c>
      <c r="K987" s="136" t="s">
        <v>136</v>
      </c>
      <c r="L987" s="136" t="s">
        <v>411</v>
      </c>
      <c r="M987" s="136" t="e">
        <f>VLOOKUP(tbl_IO_List[[#This Row],[Instruement Tag]],tbl_Instruement_List[],2,FALSE)</f>
        <v>#N/A</v>
      </c>
      <c r="N987" s="136" t="s">
        <v>15</v>
      </c>
      <c r="O987" s="136" t="s">
        <v>121</v>
      </c>
      <c r="P987" s="136" t="s">
        <v>137</v>
      </c>
      <c r="Q987" s="136" t="e">
        <f>VLOOKUP(tbl_IO_List[[#This Row],[Instruement Tag]],tbl_Instruement_List[],6,FALSE)</f>
        <v>#N/A</v>
      </c>
      <c r="R987" s="136"/>
      <c r="S98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987" s="136" t="str">
        <f>tbl_IO_List[[#This Row],[Instruement Tag]]&amp;"_"&amp;tbl_IO_List[[#This Row],[I/O Type]]&amp;"_"&amp;tbl_IO_List[[#This Row],[IO-Point 
(Instruement)]]</f>
        <v>Spare_DO_0</v>
      </c>
      <c r="U987" s="136" t="s">
        <v>7</v>
      </c>
      <c r="V987" s="136">
        <f>VLOOKUP(tbl_IO_List[[#This Row],[I/O Type]],tbl_Slot_Group[],2,FALSE)</f>
        <v>2</v>
      </c>
      <c r="W987" s="136">
        <v>0</v>
      </c>
      <c r="X987" s="136" t="str">
        <f>tbl_IO_List[[#This Row],[Chassis]]&amp;"S"&amp;TEXT(tbl_IO_List[[#This Row],[Slot]],"00")</f>
        <v>C7S05</v>
      </c>
      <c r="Y987" s="136" t="str">
        <f>tbl_IO_List[[#This Row],[Chassis]]&amp;"S"&amp;TEXT(tbl_IO_List[[#This Row],[Slot]],"00")&amp;tbl_IO_List[[#This Row],[I/O Type]]&amp;TEXT(tbl_IO_List[[#This Row],[Point]],"00")</f>
        <v>C7S05DO01</v>
      </c>
      <c r="Z987" s="136" t="str">
        <f>tbl_IO_List[[#This Row],[Chassis]]&amp;"S"&amp;TEXT(tbl_IO_List[[#This Row],[Slot]],"00")&amp;","&amp;TEXT(tbl_IO_List[[#This Row],[Point]],"00")</f>
        <v>C7S05,01</v>
      </c>
      <c r="AA987" s="136" t="e">
        <f>VLOOKUP(tbl_IO_List[[#This Row],[Column23]],tbl_RackConfig[],5,FALSE) &amp;"-"&amp;tbl_IO_List[[#This Row],[Point]]</f>
        <v>#N/A</v>
      </c>
      <c r="AB987" s="136"/>
      <c r="AC987" s="136"/>
      <c r="AD987" s="136" t="str">
        <f>tbl_IO_List[[#This Row],[I/O Type]]</f>
        <v>DO</v>
      </c>
      <c r="AE987" s="136" t="s">
        <v>1368</v>
      </c>
      <c r="AF987" s="136">
        <v>5</v>
      </c>
      <c r="AG987" s="136">
        <v>1</v>
      </c>
      <c r="AH987" s="136"/>
      <c r="AI987" s="136"/>
      <c r="AJ987" s="136">
        <v>0</v>
      </c>
      <c r="AK987" s="136">
        <v>1</v>
      </c>
      <c r="AL987" s="136">
        <v>0</v>
      </c>
      <c r="AM987" s="136">
        <v>0</v>
      </c>
      <c r="AN987" s="136">
        <v>0</v>
      </c>
      <c r="AO987" s="136"/>
      <c r="AP987" s="143" t="e">
        <f>VLOOKUP(tbl_IO_List[[#This Row],[Instruement Tag]],tbl_Instruement_List[],14,FALSE)</f>
        <v>#N/A</v>
      </c>
      <c r="AQ987" s="143" t="str">
        <f>tbl_IO_List[[#This Row],[Chassis]]&amp;"S"&amp;tbl_IO_List[[#This Row],[Slot]]&amp;"-"&amp;tbl_IO_List[[#This Row],[Front Terminal Number]]</f>
        <v>C7S5-</v>
      </c>
      <c r="AR987" s="143"/>
      <c r="AS987" s="136" t="str">
        <f>tbl_IO_List[[#This Row],[Terminal Tagging]]&amp;"-"&amp;tbl_IO_List[[#This Row],[Point-Count]]</f>
        <v>-</v>
      </c>
      <c r="AT987" s="136" t="str">
        <f>tbl_IO_List[[#This Row],[Front Terminal Tagging]]&amp;"/"&amp;tbl_IO_List[[#This Row],[Terminal Tagging-Item]]</f>
        <v>C7S5-/-</v>
      </c>
      <c r="AU987" s="136" t="str">
        <f>tbl_IO_List[[#This Row],[Terminal Tagging-Item]]&amp;"/"&amp;tbl_IO_List[[#This Row],[Front Terminal Tagging]]</f>
        <v>-/C7S5-</v>
      </c>
    </row>
    <row r="988" spans="1:47" hidden="1">
      <c r="A988" s="136" t="s">
        <v>1307</v>
      </c>
      <c r="B988" s="136" t="s">
        <v>1307</v>
      </c>
      <c r="C988" s="136" t="str">
        <f>tbl_IO_List[[#This Row],[Column3]]</f>
        <v>C7S05,02</v>
      </c>
      <c r="D988" s="136" t="e">
        <f>tbl_IO_List[[#This Row],[Card]]</f>
        <v>#N/A</v>
      </c>
      <c r="E988" s="136"/>
      <c r="F988" s="136" t="str">
        <f>tbl_IO_List[[#This Row],[Column23]]&amp;"-" &amp;tbl_IO_List[[#This Row],[Column52]]</f>
        <v>C7S05-</v>
      </c>
      <c r="G988" s="136" t="str">
        <f>tbl_IO_List[[#This Row],[PLC_Tag]]</f>
        <v>Spare_DO_0</v>
      </c>
      <c r="H988" s="136"/>
      <c r="I988" s="136" t="str">
        <f>VLOOKUP(tbl_IO_List[[#This Row],[Destination]],tbl_Junction[],2,FALSE)</f>
        <v>MCC Room</v>
      </c>
      <c r="J988" s="136" t="s">
        <v>1307</v>
      </c>
      <c r="K988" s="136" t="s">
        <v>136</v>
      </c>
      <c r="L988" s="136" t="s">
        <v>411</v>
      </c>
      <c r="M988" s="136" t="e">
        <f>VLOOKUP(tbl_IO_List[[#This Row],[Instruement Tag]],tbl_Instruement_List[],2,FALSE)</f>
        <v>#N/A</v>
      </c>
      <c r="N988" s="136" t="s">
        <v>15</v>
      </c>
      <c r="O988" s="136" t="s">
        <v>121</v>
      </c>
      <c r="P988" s="136" t="s">
        <v>137</v>
      </c>
      <c r="Q988" s="136" t="e">
        <f>VLOOKUP(tbl_IO_List[[#This Row],[Instruement Tag]],tbl_Instruement_List[],6,FALSE)</f>
        <v>#N/A</v>
      </c>
      <c r="R988" s="136"/>
      <c r="S98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988" s="136" t="str">
        <f>tbl_IO_List[[#This Row],[Instruement Tag]]&amp;"_"&amp;tbl_IO_List[[#This Row],[I/O Type]]&amp;"_"&amp;tbl_IO_List[[#This Row],[IO-Point 
(Instruement)]]</f>
        <v>Spare_DO_0</v>
      </c>
      <c r="U988" s="136" t="s">
        <v>7</v>
      </c>
      <c r="V988" s="136">
        <f>VLOOKUP(tbl_IO_List[[#This Row],[I/O Type]],tbl_Slot_Group[],2,FALSE)</f>
        <v>2</v>
      </c>
      <c r="W988" s="136">
        <v>0</v>
      </c>
      <c r="X988" s="136" t="str">
        <f>tbl_IO_List[[#This Row],[Chassis]]&amp;"S"&amp;TEXT(tbl_IO_List[[#This Row],[Slot]],"00")</f>
        <v>C7S05</v>
      </c>
      <c r="Y988" s="136" t="str">
        <f>tbl_IO_List[[#This Row],[Chassis]]&amp;"S"&amp;TEXT(tbl_IO_List[[#This Row],[Slot]],"00")&amp;tbl_IO_List[[#This Row],[I/O Type]]&amp;TEXT(tbl_IO_List[[#This Row],[Point]],"00")</f>
        <v>C7S05DO02</v>
      </c>
      <c r="Z988" s="136" t="str">
        <f>tbl_IO_List[[#This Row],[Chassis]]&amp;"S"&amp;TEXT(tbl_IO_List[[#This Row],[Slot]],"00")&amp;","&amp;TEXT(tbl_IO_List[[#This Row],[Point]],"00")</f>
        <v>C7S05,02</v>
      </c>
      <c r="AA988" s="136" t="e">
        <f>VLOOKUP(tbl_IO_List[[#This Row],[Column23]],tbl_RackConfig[],5,FALSE) &amp;"-"&amp;tbl_IO_List[[#This Row],[Point]]</f>
        <v>#N/A</v>
      </c>
      <c r="AB988" s="136"/>
      <c r="AC988" s="136"/>
      <c r="AD988" s="136" t="str">
        <f>tbl_IO_List[[#This Row],[I/O Type]]</f>
        <v>DO</v>
      </c>
      <c r="AE988" s="136" t="s">
        <v>1368</v>
      </c>
      <c r="AF988" s="136">
        <v>5</v>
      </c>
      <c r="AG988" s="136">
        <v>2</v>
      </c>
      <c r="AH988" s="136"/>
      <c r="AI988" s="136"/>
      <c r="AJ988" s="136">
        <v>0</v>
      </c>
      <c r="AK988" s="136">
        <v>1</v>
      </c>
      <c r="AL988" s="136">
        <v>0</v>
      </c>
      <c r="AM988" s="136">
        <v>0</v>
      </c>
      <c r="AN988" s="136">
        <v>0</v>
      </c>
      <c r="AO988" s="136"/>
      <c r="AP988" s="143" t="e">
        <f>VLOOKUP(tbl_IO_List[[#This Row],[Instruement Tag]],tbl_Instruement_List[],14,FALSE)</f>
        <v>#N/A</v>
      </c>
      <c r="AQ988" s="143" t="str">
        <f>tbl_IO_List[[#This Row],[Chassis]]&amp;"S"&amp;tbl_IO_List[[#This Row],[Slot]]&amp;"-"&amp;tbl_IO_List[[#This Row],[Front Terminal Number]]</f>
        <v>C7S5-</v>
      </c>
      <c r="AR988" s="143"/>
      <c r="AS988" s="136" t="str">
        <f>tbl_IO_List[[#This Row],[Terminal Tagging]]&amp;"-"&amp;tbl_IO_List[[#This Row],[Point-Count]]</f>
        <v>-</v>
      </c>
      <c r="AT988" s="136" t="str">
        <f>tbl_IO_List[[#This Row],[Front Terminal Tagging]]&amp;"/"&amp;tbl_IO_List[[#This Row],[Terminal Tagging-Item]]</f>
        <v>C7S5-/-</v>
      </c>
      <c r="AU988" s="136" t="str">
        <f>tbl_IO_List[[#This Row],[Terminal Tagging-Item]]&amp;"/"&amp;tbl_IO_List[[#This Row],[Front Terminal Tagging]]</f>
        <v>-/C7S5-</v>
      </c>
    </row>
    <row r="989" spans="1:47" hidden="1">
      <c r="A989" s="136" t="s">
        <v>1307</v>
      </c>
      <c r="B989" s="136" t="s">
        <v>1307</v>
      </c>
      <c r="C989" s="136" t="str">
        <f>tbl_IO_List[[#This Row],[Column3]]</f>
        <v>C7S05,03</v>
      </c>
      <c r="D989" s="136" t="e">
        <f>tbl_IO_List[[#This Row],[Card]]</f>
        <v>#N/A</v>
      </c>
      <c r="E989" s="136"/>
      <c r="F989" s="136" t="str">
        <f>tbl_IO_List[[#This Row],[Column23]]&amp;"-" &amp;tbl_IO_List[[#This Row],[Column52]]</f>
        <v>C7S05-</v>
      </c>
      <c r="G989" s="136" t="str">
        <f>tbl_IO_List[[#This Row],[PLC_Tag]]</f>
        <v>Spare_DO_0</v>
      </c>
      <c r="H989" s="136"/>
      <c r="I989" s="136" t="str">
        <f>VLOOKUP(tbl_IO_List[[#This Row],[Destination]],tbl_Junction[],2,FALSE)</f>
        <v>MCC Room</v>
      </c>
      <c r="J989" s="136" t="s">
        <v>1307</v>
      </c>
      <c r="K989" s="136" t="s">
        <v>136</v>
      </c>
      <c r="L989" s="136" t="s">
        <v>411</v>
      </c>
      <c r="M989" s="136" t="e">
        <f>VLOOKUP(tbl_IO_List[[#This Row],[Instruement Tag]],tbl_Instruement_List[],2,FALSE)</f>
        <v>#N/A</v>
      </c>
      <c r="N989" s="136" t="s">
        <v>15</v>
      </c>
      <c r="O989" s="136" t="s">
        <v>121</v>
      </c>
      <c r="P989" s="136" t="s">
        <v>137</v>
      </c>
      <c r="Q989" s="136" t="e">
        <f>VLOOKUP(tbl_IO_List[[#This Row],[Instruement Tag]],tbl_Instruement_List[],6,FALSE)</f>
        <v>#N/A</v>
      </c>
      <c r="R989" s="136"/>
      <c r="S98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989" s="136" t="str">
        <f>tbl_IO_List[[#This Row],[Instruement Tag]]&amp;"_"&amp;tbl_IO_List[[#This Row],[I/O Type]]&amp;"_"&amp;tbl_IO_List[[#This Row],[IO-Point 
(Instruement)]]</f>
        <v>Spare_DO_0</v>
      </c>
      <c r="U989" s="136" t="s">
        <v>7</v>
      </c>
      <c r="V989" s="136">
        <f>VLOOKUP(tbl_IO_List[[#This Row],[I/O Type]],tbl_Slot_Group[],2,FALSE)</f>
        <v>2</v>
      </c>
      <c r="W989" s="136">
        <v>0</v>
      </c>
      <c r="X989" s="136" t="str">
        <f>tbl_IO_List[[#This Row],[Chassis]]&amp;"S"&amp;TEXT(tbl_IO_List[[#This Row],[Slot]],"00")</f>
        <v>C7S05</v>
      </c>
      <c r="Y989" s="136" t="str">
        <f>tbl_IO_List[[#This Row],[Chassis]]&amp;"S"&amp;TEXT(tbl_IO_List[[#This Row],[Slot]],"00")&amp;tbl_IO_List[[#This Row],[I/O Type]]&amp;TEXT(tbl_IO_List[[#This Row],[Point]],"00")</f>
        <v>C7S05DO03</v>
      </c>
      <c r="Z989" s="136" t="str">
        <f>tbl_IO_List[[#This Row],[Chassis]]&amp;"S"&amp;TEXT(tbl_IO_List[[#This Row],[Slot]],"00")&amp;","&amp;TEXT(tbl_IO_List[[#This Row],[Point]],"00")</f>
        <v>C7S05,03</v>
      </c>
      <c r="AA989" s="136" t="e">
        <f>VLOOKUP(tbl_IO_List[[#This Row],[Column23]],tbl_RackConfig[],5,FALSE) &amp;"-"&amp;tbl_IO_List[[#This Row],[Point]]</f>
        <v>#N/A</v>
      </c>
      <c r="AB989" s="136"/>
      <c r="AC989" s="136"/>
      <c r="AD989" s="136" t="str">
        <f>tbl_IO_List[[#This Row],[I/O Type]]</f>
        <v>DO</v>
      </c>
      <c r="AE989" s="136" t="s">
        <v>1368</v>
      </c>
      <c r="AF989" s="136">
        <v>5</v>
      </c>
      <c r="AG989" s="136">
        <v>3</v>
      </c>
      <c r="AH989" s="136"/>
      <c r="AI989" s="136"/>
      <c r="AJ989" s="136">
        <v>0</v>
      </c>
      <c r="AK989" s="136">
        <v>1</v>
      </c>
      <c r="AL989" s="136">
        <v>0</v>
      </c>
      <c r="AM989" s="136">
        <v>0</v>
      </c>
      <c r="AN989" s="136">
        <v>0</v>
      </c>
      <c r="AO989" s="136"/>
      <c r="AP989" s="143" t="e">
        <f>VLOOKUP(tbl_IO_List[[#This Row],[Instruement Tag]],tbl_Instruement_List[],14,FALSE)</f>
        <v>#N/A</v>
      </c>
      <c r="AQ989" s="143" t="str">
        <f>tbl_IO_List[[#This Row],[Chassis]]&amp;"S"&amp;tbl_IO_List[[#This Row],[Slot]]&amp;"-"&amp;tbl_IO_List[[#This Row],[Front Terminal Number]]</f>
        <v>C7S5-</v>
      </c>
      <c r="AR989" s="143"/>
      <c r="AS989" s="136" t="str">
        <f>tbl_IO_List[[#This Row],[Terminal Tagging]]&amp;"-"&amp;tbl_IO_List[[#This Row],[Point-Count]]</f>
        <v>-</v>
      </c>
      <c r="AT989" s="136" t="str">
        <f>tbl_IO_List[[#This Row],[Front Terminal Tagging]]&amp;"/"&amp;tbl_IO_List[[#This Row],[Terminal Tagging-Item]]</f>
        <v>C7S5-/-</v>
      </c>
      <c r="AU989" s="136" t="str">
        <f>tbl_IO_List[[#This Row],[Terminal Tagging-Item]]&amp;"/"&amp;tbl_IO_List[[#This Row],[Front Terminal Tagging]]</f>
        <v>-/C7S5-</v>
      </c>
    </row>
    <row r="990" spans="1:47" hidden="1">
      <c r="A990" s="136" t="s">
        <v>1307</v>
      </c>
      <c r="B990" s="136" t="s">
        <v>1307</v>
      </c>
      <c r="C990" s="136" t="str">
        <f>tbl_IO_List[[#This Row],[Column3]]</f>
        <v>C7S05,04</v>
      </c>
      <c r="D990" s="136" t="e">
        <f>tbl_IO_List[[#This Row],[Card]]</f>
        <v>#N/A</v>
      </c>
      <c r="E990" s="136"/>
      <c r="F990" s="136" t="str">
        <f>tbl_IO_List[[#This Row],[Column23]]&amp;"-" &amp;tbl_IO_List[[#This Row],[Column52]]</f>
        <v>C7S05-</v>
      </c>
      <c r="G990" s="136" t="str">
        <f>tbl_IO_List[[#This Row],[PLC_Tag]]</f>
        <v>Spare_DO_0</v>
      </c>
      <c r="H990" s="136"/>
      <c r="I990" s="136" t="str">
        <f>VLOOKUP(tbl_IO_List[[#This Row],[Destination]],tbl_Junction[],2,FALSE)</f>
        <v>MCC Room</v>
      </c>
      <c r="J990" s="136" t="s">
        <v>1307</v>
      </c>
      <c r="K990" s="136" t="s">
        <v>136</v>
      </c>
      <c r="L990" s="136" t="s">
        <v>411</v>
      </c>
      <c r="M990" s="136" t="e">
        <f>VLOOKUP(tbl_IO_List[[#This Row],[Instruement Tag]],tbl_Instruement_List[],2,FALSE)</f>
        <v>#N/A</v>
      </c>
      <c r="N990" s="136" t="s">
        <v>15</v>
      </c>
      <c r="O990" s="136" t="s">
        <v>121</v>
      </c>
      <c r="P990" s="136" t="s">
        <v>137</v>
      </c>
      <c r="Q990" s="136" t="e">
        <f>VLOOKUP(tbl_IO_List[[#This Row],[Instruement Tag]],tbl_Instruement_List[],6,FALSE)</f>
        <v>#N/A</v>
      </c>
      <c r="R990" s="136"/>
      <c r="S99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990" s="136" t="str">
        <f>tbl_IO_List[[#This Row],[Instruement Tag]]&amp;"_"&amp;tbl_IO_List[[#This Row],[I/O Type]]&amp;"_"&amp;tbl_IO_List[[#This Row],[IO-Point 
(Instruement)]]</f>
        <v>Spare_DO_0</v>
      </c>
      <c r="U990" s="136" t="s">
        <v>7</v>
      </c>
      <c r="V990" s="136">
        <f>VLOOKUP(tbl_IO_List[[#This Row],[I/O Type]],tbl_Slot_Group[],2,FALSE)</f>
        <v>2</v>
      </c>
      <c r="W990" s="136">
        <v>0</v>
      </c>
      <c r="X990" s="136" t="str">
        <f>tbl_IO_List[[#This Row],[Chassis]]&amp;"S"&amp;TEXT(tbl_IO_List[[#This Row],[Slot]],"00")</f>
        <v>C7S05</v>
      </c>
      <c r="Y990" s="136" t="str">
        <f>tbl_IO_List[[#This Row],[Chassis]]&amp;"S"&amp;TEXT(tbl_IO_List[[#This Row],[Slot]],"00")&amp;tbl_IO_List[[#This Row],[I/O Type]]&amp;TEXT(tbl_IO_List[[#This Row],[Point]],"00")</f>
        <v>C7S05DO04</v>
      </c>
      <c r="Z990" s="136" t="str">
        <f>tbl_IO_List[[#This Row],[Chassis]]&amp;"S"&amp;TEXT(tbl_IO_List[[#This Row],[Slot]],"00")&amp;","&amp;TEXT(tbl_IO_List[[#This Row],[Point]],"00")</f>
        <v>C7S05,04</v>
      </c>
      <c r="AA990" s="136" t="e">
        <f>VLOOKUP(tbl_IO_List[[#This Row],[Column23]],tbl_RackConfig[],5,FALSE) &amp;"-"&amp;tbl_IO_List[[#This Row],[Point]]</f>
        <v>#N/A</v>
      </c>
      <c r="AB990" s="136"/>
      <c r="AC990" s="136"/>
      <c r="AD990" s="136" t="str">
        <f>tbl_IO_List[[#This Row],[I/O Type]]</f>
        <v>DO</v>
      </c>
      <c r="AE990" s="136" t="s">
        <v>1368</v>
      </c>
      <c r="AF990" s="136">
        <v>5</v>
      </c>
      <c r="AG990" s="136">
        <v>4</v>
      </c>
      <c r="AH990" s="136"/>
      <c r="AI990" s="136"/>
      <c r="AJ990" s="136">
        <v>0</v>
      </c>
      <c r="AK990" s="136">
        <v>1</v>
      </c>
      <c r="AL990" s="136">
        <v>0</v>
      </c>
      <c r="AM990" s="136">
        <v>0</v>
      </c>
      <c r="AN990" s="136">
        <v>0</v>
      </c>
      <c r="AO990" s="136"/>
      <c r="AP990" s="143" t="e">
        <f>VLOOKUP(tbl_IO_List[[#This Row],[Instruement Tag]],tbl_Instruement_List[],14,FALSE)</f>
        <v>#N/A</v>
      </c>
      <c r="AQ990" s="143" t="str">
        <f>tbl_IO_List[[#This Row],[Chassis]]&amp;"S"&amp;tbl_IO_List[[#This Row],[Slot]]&amp;"-"&amp;tbl_IO_List[[#This Row],[Front Terminal Number]]</f>
        <v>C7S5-</v>
      </c>
      <c r="AR990" s="143"/>
      <c r="AS990" s="136" t="str">
        <f>tbl_IO_List[[#This Row],[Terminal Tagging]]&amp;"-"&amp;tbl_IO_List[[#This Row],[Point-Count]]</f>
        <v>-</v>
      </c>
      <c r="AT990" s="136" t="str">
        <f>tbl_IO_List[[#This Row],[Front Terminal Tagging]]&amp;"/"&amp;tbl_IO_List[[#This Row],[Terminal Tagging-Item]]</f>
        <v>C7S5-/-</v>
      </c>
      <c r="AU990" s="136" t="str">
        <f>tbl_IO_List[[#This Row],[Terminal Tagging-Item]]&amp;"/"&amp;tbl_IO_List[[#This Row],[Front Terminal Tagging]]</f>
        <v>-/C7S5-</v>
      </c>
    </row>
    <row r="991" spans="1:47" hidden="1">
      <c r="A991" s="136" t="s">
        <v>1307</v>
      </c>
      <c r="B991" s="136" t="s">
        <v>1307</v>
      </c>
      <c r="C991" s="136" t="str">
        <f>tbl_IO_List[[#This Row],[Column3]]</f>
        <v>C7S05,05</v>
      </c>
      <c r="D991" s="136" t="e">
        <f>tbl_IO_List[[#This Row],[Card]]</f>
        <v>#N/A</v>
      </c>
      <c r="E991" s="136"/>
      <c r="F991" s="136" t="str">
        <f>tbl_IO_List[[#This Row],[Column23]]&amp;"-" &amp;tbl_IO_List[[#This Row],[Column52]]</f>
        <v>C7S05-</v>
      </c>
      <c r="G991" s="136" t="str">
        <f>tbl_IO_List[[#This Row],[PLC_Tag]]</f>
        <v>Spare_DO_0</v>
      </c>
      <c r="H991" s="136"/>
      <c r="I991" s="136" t="str">
        <f>VLOOKUP(tbl_IO_List[[#This Row],[Destination]],tbl_Junction[],2,FALSE)</f>
        <v>MCC Room</v>
      </c>
      <c r="J991" s="136" t="s">
        <v>1307</v>
      </c>
      <c r="K991" s="136" t="s">
        <v>136</v>
      </c>
      <c r="L991" s="136" t="s">
        <v>411</v>
      </c>
      <c r="M991" s="136" t="e">
        <f>VLOOKUP(tbl_IO_List[[#This Row],[Instruement Tag]],tbl_Instruement_List[],2,FALSE)</f>
        <v>#N/A</v>
      </c>
      <c r="N991" s="136" t="s">
        <v>15</v>
      </c>
      <c r="O991" s="136" t="s">
        <v>121</v>
      </c>
      <c r="P991" s="136" t="s">
        <v>137</v>
      </c>
      <c r="Q991" s="136" t="e">
        <f>VLOOKUP(tbl_IO_List[[#This Row],[Instruement Tag]],tbl_Instruement_List[],6,FALSE)</f>
        <v>#N/A</v>
      </c>
      <c r="R991" s="136"/>
      <c r="S99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991" s="136" t="str">
        <f>tbl_IO_List[[#This Row],[Instruement Tag]]&amp;"_"&amp;tbl_IO_List[[#This Row],[I/O Type]]&amp;"_"&amp;tbl_IO_List[[#This Row],[IO-Point 
(Instruement)]]</f>
        <v>Spare_DO_0</v>
      </c>
      <c r="U991" s="136" t="s">
        <v>7</v>
      </c>
      <c r="V991" s="136">
        <f>VLOOKUP(tbl_IO_List[[#This Row],[I/O Type]],tbl_Slot_Group[],2,FALSE)</f>
        <v>2</v>
      </c>
      <c r="W991" s="136">
        <v>0</v>
      </c>
      <c r="X991" s="136" t="str">
        <f>tbl_IO_List[[#This Row],[Chassis]]&amp;"S"&amp;TEXT(tbl_IO_List[[#This Row],[Slot]],"00")</f>
        <v>C7S05</v>
      </c>
      <c r="Y991" s="136" t="str">
        <f>tbl_IO_List[[#This Row],[Chassis]]&amp;"S"&amp;TEXT(tbl_IO_List[[#This Row],[Slot]],"00")&amp;tbl_IO_List[[#This Row],[I/O Type]]&amp;TEXT(tbl_IO_List[[#This Row],[Point]],"00")</f>
        <v>C7S05DO05</v>
      </c>
      <c r="Z991" s="136" t="str">
        <f>tbl_IO_List[[#This Row],[Chassis]]&amp;"S"&amp;TEXT(tbl_IO_List[[#This Row],[Slot]],"00")&amp;","&amp;TEXT(tbl_IO_List[[#This Row],[Point]],"00")</f>
        <v>C7S05,05</v>
      </c>
      <c r="AA991" s="136" t="e">
        <f>VLOOKUP(tbl_IO_List[[#This Row],[Column23]],tbl_RackConfig[],5,FALSE) &amp;"-"&amp;tbl_IO_List[[#This Row],[Point]]</f>
        <v>#N/A</v>
      </c>
      <c r="AB991" s="136"/>
      <c r="AC991" s="136"/>
      <c r="AD991" s="136" t="str">
        <f>tbl_IO_List[[#This Row],[I/O Type]]</f>
        <v>DO</v>
      </c>
      <c r="AE991" s="136" t="s">
        <v>1368</v>
      </c>
      <c r="AF991" s="136">
        <v>5</v>
      </c>
      <c r="AG991" s="136">
        <v>5</v>
      </c>
      <c r="AH991" s="136"/>
      <c r="AI991" s="136"/>
      <c r="AJ991" s="136">
        <v>0</v>
      </c>
      <c r="AK991" s="136">
        <v>1</v>
      </c>
      <c r="AL991" s="136">
        <v>0</v>
      </c>
      <c r="AM991" s="136">
        <v>0</v>
      </c>
      <c r="AN991" s="136">
        <v>0</v>
      </c>
      <c r="AO991" s="136"/>
      <c r="AP991" s="143" t="e">
        <f>VLOOKUP(tbl_IO_List[[#This Row],[Instruement Tag]],tbl_Instruement_List[],14,FALSE)</f>
        <v>#N/A</v>
      </c>
      <c r="AQ991" s="143" t="str">
        <f>tbl_IO_List[[#This Row],[Chassis]]&amp;"S"&amp;tbl_IO_List[[#This Row],[Slot]]&amp;"-"&amp;tbl_IO_List[[#This Row],[Front Terminal Number]]</f>
        <v>C7S5-</v>
      </c>
      <c r="AR991" s="143"/>
      <c r="AS991" s="136" t="str">
        <f>tbl_IO_List[[#This Row],[Terminal Tagging]]&amp;"-"&amp;tbl_IO_List[[#This Row],[Point-Count]]</f>
        <v>-</v>
      </c>
      <c r="AT991" s="136" t="str">
        <f>tbl_IO_List[[#This Row],[Front Terminal Tagging]]&amp;"/"&amp;tbl_IO_List[[#This Row],[Terminal Tagging-Item]]</f>
        <v>C7S5-/-</v>
      </c>
      <c r="AU991" s="136" t="str">
        <f>tbl_IO_List[[#This Row],[Terminal Tagging-Item]]&amp;"/"&amp;tbl_IO_List[[#This Row],[Front Terminal Tagging]]</f>
        <v>-/C7S5-</v>
      </c>
    </row>
    <row r="992" spans="1:47" hidden="1">
      <c r="A992" s="136" t="s">
        <v>1307</v>
      </c>
      <c r="B992" s="136" t="s">
        <v>1307</v>
      </c>
      <c r="C992" s="136" t="str">
        <f>tbl_IO_List[[#This Row],[Column3]]</f>
        <v>C7S05,06</v>
      </c>
      <c r="D992" s="136" t="e">
        <f>tbl_IO_List[[#This Row],[Card]]</f>
        <v>#N/A</v>
      </c>
      <c r="E992" s="136"/>
      <c r="F992" s="136" t="str">
        <f>tbl_IO_List[[#This Row],[Column23]]&amp;"-" &amp;tbl_IO_List[[#This Row],[Column52]]</f>
        <v>C7S05-</v>
      </c>
      <c r="G992" s="136" t="str">
        <f>tbl_IO_List[[#This Row],[PLC_Tag]]</f>
        <v>Spare_DO_0</v>
      </c>
      <c r="H992" s="136"/>
      <c r="I992" s="136" t="str">
        <f>VLOOKUP(tbl_IO_List[[#This Row],[Destination]],tbl_Junction[],2,FALSE)</f>
        <v>MCC Room</v>
      </c>
      <c r="J992" s="136" t="s">
        <v>1307</v>
      </c>
      <c r="K992" s="136" t="s">
        <v>136</v>
      </c>
      <c r="L992" s="136" t="s">
        <v>411</v>
      </c>
      <c r="M992" s="136" t="e">
        <f>VLOOKUP(tbl_IO_List[[#This Row],[Instruement Tag]],tbl_Instruement_List[],2,FALSE)</f>
        <v>#N/A</v>
      </c>
      <c r="N992" s="136" t="s">
        <v>15</v>
      </c>
      <c r="O992" s="136" t="s">
        <v>121</v>
      </c>
      <c r="P992" s="136" t="s">
        <v>137</v>
      </c>
      <c r="Q992" s="136" t="e">
        <f>VLOOKUP(tbl_IO_List[[#This Row],[Instruement Tag]],tbl_Instruement_List[],6,FALSE)</f>
        <v>#N/A</v>
      </c>
      <c r="R992" s="136"/>
      <c r="S99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992" s="136" t="str">
        <f>tbl_IO_List[[#This Row],[Instruement Tag]]&amp;"_"&amp;tbl_IO_List[[#This Row],[I/O Type]]&amp;"_"&amp;tbl_IO_List[[#This Row],[IO-Point 
(Instruement)]]</f>
        <v>Spare_DO_0</v>
      </c>
      <c r="U992" s="136" t="s">
        <v>7</v>
      </c>
      <c r="V992" s="136">
        <f>VLOOKUP(tbl_IO_List[[#This Row],[I/O Type]],tbl_Slot_Group[],2,FALSE)</f>
        <v>2</v>
      </c>
      <c r="W992" s="136">
        <v>0</v>
      </c>
      <c r="X992" s="136" t="str">
        <f>tbl_IO_List[[#This Row],[Chassis]]&amp;"S"&amp;TEXT(tbl_IO_List[[#This Row],[Slot]],"00")</f>
        <v>C7S05</v>
      </c>
      <c r="Y992" s="136" t="str">
        <f>tbl_IO_List[[#This Row],[Chassis]]&amp;"S"&amp;TEXT(tbl_IO_List[[#This Row],[Slot]],"00")&amp;tbl_IO_List[[#This Row],[I/O Type]]&amp;TEXT(tbl_IO_List[[#This Row],[Point]],"00")</f>
        <v>C7S05DO06</v>
      </c>
      <c r="Z992" s="136" t="str">
        <f>tbl_IO_List[[#This Row],[Chassis]]&amp;"S"&amp;TEXT(tbl_IO_List[[#This Row],[Slot]],"00")&amp;","&amp;TEXT(tbl_IO_List[[#This Row],[Point]],"00")</f>
        <v>C7S05,06</v>
      </c>
      <c r="AA992" s="136" t="e">
        <f>VLOOKUP(tbl_IO_List[[#This Row],[Column23]],tbl_RackConfig[],5,FALSE) &amp;"-"&amp;tbl_IO_List[[#This Row],[Point]]</f>
        <v>#N/A</v>
      </c>
      <c r="AB992" s="136"/>
      <c r="AC992" s="136"/>
      <c r="AD992" s="136" t="str">
        <f>tbl_IO_List[[#This Row],[I/O Type]]</f>
        <v>DO</v>
      </c>
      <c r="AE992" s="136" t="s">
        <v>1368</v>
      </c>
      <c r="AF992" s="136">
        <v>5</v>
      </c>
      <c r="AG992" s="136">
        <v>6</v>
      </c>
      <c r="AH992" s="136"/>
      <c r="AI992" s="136"/>
      <c r="AJ992" s="136">
        <v>0</v>
      </c>
      <c r="AK992" s="136">
        <v>1</v>
      </c>
      <c r="AL992" s="136">
        <v>0</v>
      </c>
      <c r="AM992" s="136">
        <v>0</v>
      </c>
      <c r="AN992" s="136">
        <v>0</v>
      </c>
      <c r="AO992" s="136"/>
      <c r="AP992" s="143" t="e">
        <f>VLOOKUP(tbl_IO_List[[#This Row],[Instruement Tag]],tbl_Instruement_List[],14,FALSE)</f>
        <v>#N/A</v>
      </c>
      <c r="AQ992" s="143" t="str">
        <f>tbl_IO_List[[#This Row],[Chassis]]&amp;"S"&amp;tbl_IO_List[[#This Row],[Slot]]&amp;"-"&amp;tbl_IO_List[[#This Row],[Front Terminal Number]]</f>
        <v>C7S5-</v>
      </c>
      <c r="AR992" s="143"/>
      <c r="AS992" s="136" t="str">
        <f>tbl_IO_List[[#This Row],[Terminal Tagging]]&amp;"-"&amp;tbl_IO_List[[#This Row],[Point-Count]]</f>
        <v>-</v>
      </c>
      <c r="AT992" s="136" t="str">
        <f>tbl_IO_List[[#This Row],[Front Terminal Tagging]]&amp;"/"&amp;tbl_IO_List[[#This Row],[Terminal Tagging-Item]]</f>
        <v>C7S5-/-</v>
      </c>
      <c r="AU992" s="136" t="str">
        <f>tbl_IO_List[[#This Row],[Terminal Tagging-Item]]&amp;"/"&amp;tbl_IO_List[[#This Row],[Front Terminal Tagging]]</f>
        <v>-/C7S5-</v>
      </c>
    </row>
    <row r="993" spans="1:47" hidden="1">
      <c r="A993" s="136" t="s">
        <v>1307</v>
      </c>
      <c r="B993" s="136" t="s">
        <v>1307</v>
      </c>
      <c r="C993" s="136" t="str">
        <f>tbl_IO_List[[#This Row],[Column3]]</f>
        <v>C7S05,07</v>
      </c>
      <c r="D993" s="136" t="e">
        <f>tbl_IO_List[[#This Row],[Card]]</f>
        <v>#N/A</v>
      </c>
      <c r="E993" s="136"/>
      <c r="F993" s="136" t="str">
        <f>tbl_IO_List[[#This Row],[Column23]]&amp;"-" &amp;tbl_IO_List[[#This Row],[Column52]]</f>
        <v>C7S05-</v>
      </c>
      <c r="G993" s="136" t="str">
        <f>tbl_IO_List[[#This Row],[PLC_Tag]]</f>
        <v>Spare_DO_0</v>
      </c>
      <c r="H993" s="136"/>
      <c r="I993" s="136" t="str">
        <f>VLOOKUP(tbl_IO_List[[#This Row],[Destination]],tbl_Junction[],2,FALSE)</f>
        <v>MCC Room</v>
      </c>
      <c r="J993" s="136" t="s">
        <v>1307</v>
      </c>
      <c r="K993" s="136" t="s">
        <v>136</v>
      </c>
      <c r="L993" s="136" t="s">
        <v>411</v>
      </c>
      <c r="M993" s="136" t="e">
        <f>VLOOKUP(tbl_IO_List[[#This Row],[Instruement Tag]],tbl_Instruement_List[],2,FALSE)</f>
        <v>#N/A</v>
      </c>
      <c r="N993" s="136" t="s">
        <v>15</v>
      </c>
      <c r="O993" s="136" t="s">
        <v>121</v>
      </c>
      <c r="P993" s="136" t="s">
        <v>137</v>
      </c>
      <c r="Q993" s="136" t="e">
        <f>VLOOKUP(tbl_IO_List[[#This Row],[Instruement Tag]],tbl_Instruement_List[],6,FALSE)</f>
        <v>#N/A</v>
      </c>
      <c r="R993" s="136"/>
      <c r="S99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993" s="136" t="str">
        <f>tbl_IO_List[[#This Row],[Instruement Tag]]&amp;"_"&amp;tbl_IO_List[[#This Row],[I/O Type]]&amp;"_"&amp;tbl_IO_List[[#This Row],[IO-Point 
(Instruement)]]</f>
        <v>Spare_DO_0</v>
      </c>
      <c r="U993" s="136" t="s">
        <v>7</v>
      </c>
      <c r="V993" s="136">
        <f>VLOOKUP(tbl_IO_List[[#This Row],[I/O Type]],tbl_Slot_Group[],2,FALSE)</f>
        <v>2</v>
      </c>
      <c r="W993" s="136">
        <v>0</v>
      </c>
      <c r="X993" s="136" t="str">
        <f>tbl_IO_List[[#This Row],[Chassis]]&amp;"S"&amp;TEXT(tbl_IO_List[[#This Row],[Slot]],"00")</f>
        <v>C7S05</v>
      </c>
      <c r="Y993" s="136" t="str">
        <f>tbl_IO_List[[#This Row],[Chassis]]&amp;"S"&amp;TEXT(tbl_IO_List[[#This Row],[Slot]],"00")&amp;tbl_IO_List[[#This Row],[I/O Type]]&amp;TEXT(tbl_IO_List[[#This Row],[Point]],"00")</f>
        <v>C7S05DO07</v>
      </c>
      <c r="Z993" s="136" t="str">
        <f>tbl_IO_List[[#This Row],[Chassis]]&amp;"S"&amp;TEXT(tbl_IO_List[[#This Row],[Slot]],"00")&amp;","&amp;TEXT(tbl_IO_List[[#This Row],[Point]],"00")</f>
        <v>C7S05,07</v>
      </c>
      <c r="AA993" s="136" t="e">
        <f>VLOOKUP(tbl_IO_List[[#This Row],[Column23]],tbl_RackConfig[],5,FALSE) &amp;"-"&amp;tbl_IO_List[[#This Row],[Point]]</f>
        <v>#N/A</v>
      </c>
      <c r="AB993" s="136"/>
      <c r="AC993" s="136"/>
      <c r="AD993" s="136" t="str">
        <f>tbl_IO_List[[#This Row],[I/O Type]]</f>
        <v>DO</v>
      </c>
      <c r="AE993" s="136" t="s">
        <v>1368</v>
      </c>
      <c r="AF993" s="136">
        <v>5</v>
      </c>
      <c r="AG993" s="136">
        <v>7</v>
      </c>
      <c r="AH993" s="136"/>
      <c r="AI993" s="136"/>
      <c r="AJ993" s="136">
        <v>0</v>
      </c>
      <c r="AK993" s="136">
        <v>1</v>
      </c>
      <c r="AL993" s="136">
        <v>0</v>
      </c>
      <c r="AM993" s="136">
        <v>0</v>
      </c>
      <c r="AN993" s="136">
        <v>0</v>
      </c>
      <c r="AO993" s="136"/>
      <c r="AP993" s="143" t="e">
        <f>VLOOKUP(tbl_IO_List[[#This Row],[Instruement Tag]],tbl_Instruement_List[],14,FALSE)</f>
        <v>#N/A</v>
      </c>
      <c r="AQ993" s="143" t="str">
        <f>tbl_IO_List[[#This Row],[Chassis]]&amp;"S"&amp;tbl_IO_List[[#This Row],[Slot]]&amp;"-"&amp;tbl_IO_List[[#This Row],[Front Terminal Number]]</f>
        <v>C7S5-</v>
      </c>
      <c r="AR993" s="143"/>
      <c r="AS993" s="136" t="str">
        <f>tbl_IO_List[[#This Row],[Terminal Tagging]]&amp;"-"&amp;tbl_IO_List[[#This Row],[Point-Count]]</f>
        <v>-</v>
      </c>
      <c r="AT993" s="136" t="str">
        <f>tbl_IO_List[[#This Row],[Front Terminal Tagging]]&amp;"/"&amp;tbl_IO_List[[#This Row],[Terminal Tagging-Item]]</f>
        <v>C7S5-/-</v>
      </c>
      <c r="AU993" s="136" t="str">
        <f>tbl_IO_List[[#This Row],[Terminal Tagging-Item]]&amp;"/"&amp;tbl_IO_List[[#This Row],[Front Terminal Tagging]]</f>
        <v>-/C7S5-</v>
      </c>
    </row>
    <row r="994" spans="1:47" hidden="1">
      <c r="A994" s="136" t="s">
        <v>1307</v>
      </c>
      <c r="B994" s="136" t="s">
        <v>1307</v>
      </c>
      <c r="C994" s="136" t="str">
        <f>tbl_IO_List[[#This Row],[Column3]]</f>
        <v>C7S05,08</v>
      </c>
      <c r="D994" s="136" t="e">
        <f>tbl_IO_List[[#This Row],[Card]]</f>
        <v>#N/A</v>
      </c>
      <c r="E994" s="136"/>
      <c r="F994" s="136" t="str">
        <f>tbl_IO_List[[#This Row],[Column23]]&amp;"-" &amp;tbl_IO_List[[#This Row],[Column52]]</f>
        <v>C7S05-</v>
      </c>
      <c r="G994" s="136" t="str">
        <f>tbl_IO_List[[#This Row],[PLC_Tag]]</f>
        <v>ATY-40201_DO_1</v>
      </c>
      <c r="H994" s="136"/>
      <c r="I994" s="136" t="str">
        <f>VLOOKUP(tbl_IO_List[[#This Row],[Destination]],tbl_Junction[],2,FALSE)</f>
        <v>MCC Room</v>
      </c>
      <c r="J994" s="136" t="s">
        <v>114</v>
      </c>
      <c r="K994" s="136" t="s">
        <v>136</v>
      </c>
      <c r="L994" s="136" t="s">
        <v>841</v>
      </c>
      <c r="M994" s="136" t="str">
        <f>VLOOKUP(tbl_IO_List[[#This Row],[Instruement Tag]],tbl_Instruement_List[],2,FALSE)</f>
        <v>Tank Agitator</v>
      </c>
      <c r="N994" s="136" t="s">
        <v>15</v>
      </c>
      <c r="O994" s="136" t="s">
        <v>121</v>
      </c>
      <c r="P994" s="136" t="s">
        <v>137</v>
      </c>
      <c r="Q994" s="136" t="str">
        <f>VLOOKUP(tbl_IO_List[[#This Row],[Instruement Tag]],tbl_Instruement_List[],6,FALSE)</f>
        <v xml:space="preserve"> Start / Stop Command for VSD AT-40201</v>
      </c>
      <c r="R994" s="136"/>
      <c r="S99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3,DO=1,AI=0,AO=0,Bus=1</v>
      </c>
      <c r="T994" s="136" t="str">
        <f>tbl_IO_List[[#This Row],[Instruement Tag]]&amp;"_"&amp;tbl_IO_List[[#This Row],[I/O Type]]&amp;"_"&amp;tbl_IO_List[[#This Row],[IO-Point 
(Instruement)]]</f>
        <v>ATY-40201_DO_1</v>
      </c>
      <c r="U994" s="136" t="s">
        <v>7</v>
      </c>
      <c r="V994" s="136">
        <f>VLOOKUP(tbl_IO_List[[#This Row],[I/O Type]],tbl_Slot_Group[],2,FALSE)</f>
        <v>2</v>
      </c>
      <c r="W994" s="136">
        <v>1</v>
      </c>
      <c r="X994" s="136" t="str">
        <f>tbl_IO_List[[#This Row],[Chassis]]&amp;"S"&amp;TEXT(tbl_IO_List[[#This Row],[Slot]],"00")</f>
        <v>C7S05</v>
      </c>
      <c r="Y994" s="136" t="str">
        <f>tbl_IO_List[[#This Row],[Chassis]]&amp;"S"&amp;TEXT(tbl_IO_List[[#This Row],[Slot]],"00")&amp;tbl_IO_List[[#This Row],[I/O Type]]&amp;TEXT(tbl_IO_List[[#This Row],[Point]],"00")</f>
        <v>C7S05DO08</v>
      </c>
      <c r="Z994" s="136" t="str">
        <f>tbl_IO_List[[#This Row],[Chassis]]&amp;"S"&amp;TEXT(tbl_IO_List[[#This Row],[Slot]],"00")&amp;","&amp;TEXT(tbl_IO_List[[#This Row],[Point]],"00")</f>
        <v>C7S05,08</v>
      </c>
      <c r="AA994" s="136" t="e">
        <f>VLOOKUP(tbl_IO_List[[#This Row],[Column23]],tbl_RackConfig[],5,FALSE) &amp;"-"&amp;tbl_IO_List[[#This Row],[Point]]</f>
        <v>#N/A</v>
      </c>
      <c r="AB994" s="136"/>
      <c r="AC994" s="136"/>
      <c r="AD994" s="136" t="str">
        <f>tbl_IO_List[[#This Row],[I/O Type]]</f>
        <v>DO</v>
      </c>
      <c r="AE994" s="136" t="s">
        <v>1368</v>
      </c>
      <c r="AF994" s="136">
        <v>5</v>
      </c>
      <c r="AG994" s="136">
        <v>8</v>
      </c>
      <c r="AH994" s="136"/>
      <c r="AI994" s="136"/>
      <c r="AJ994" s="136">
        <v>3</v>
      </c>
      <c r="AK994" s="136">
        <v>1</v>
      </c>
      <c r="AL994" s="136">
        <v>0</v>
      </c>
      <c r="AM994" s="136">
        <v>0</v>
      </c>
      <c r="AN994" s="136">
        <v>1</v>
      </c>
      <c r="AO994" s="136"/>
      <c r="AP994" s="143" t="str">
        <f>VLOOKUP(tbl_IO_List[[#This Row],[Instruement Tag]],tbl_Instruement_List[],14,FALSE)</f>
        <v>24 VDC energized</v>
      </c>
      <c r="AQ994" s="143" t="str">
        <f>tbl_IO_List[[#This Row],[Chassis]]&amp;"S"&amp;tbl_IO_List[[#This Row],[Slot]]&amp;"-"&amp;tbl_IO_List[[#This Row],[Front Terminal Number]]</f>
        <v>C7S5-</v>
      </c>
      <c r="AR994" s="143"/>
      <c r="AS994" s="136" t="str">
        <f>tbl_IO_List[[#This Row],[Terminal Tagging]]&amp;"-"&amp;tbl_IO_List[[#This Row],[Point-Count]]</f>
        <v>-</v>
      </c>
      <c r="AT994" s="136" t="str">
        <f>tbl_IO_List[[#This Row],[Front Terminal Tagging]]&amp;"/"&amp;tbl_IO_List[[#This Row],[Terminal Tagging-Item]]</f>
        <v>C7S5-/-</v>
      </c>
      <c r="AU994" s="136" t="str">
        <f>tbl_IO_List[[#This Row],[Terminal Tagging-Item]]&amp;"/"&amp;tbl_IO_List[[#This Row],[Front Terminal Tagging]]</f>
        <v>-/C7S5-</v>
      </c>
    </row>
    <row r="995" spans="1:47" hidden="1">
      <c r="A995" s="136" t="s">
        <v>1307</v>
      </c>
      <c r="B995" s="136" t="s">
        <v>1307</v>
      </c>
      <c r="C995" s="136" t="str">
        <f>tbl_IO_List[[#This Row],[Column3]]</f>
        <v>C7S05,09</v>
      </c>
      <c r="D995" s="136" t="e">
        <f>tbl_IO_List[[#This Row],[Card]]</f>
        <v>#N/A</v>
      </c>
      <c r="E995" s="136"/>
      <c r="F995" s="136" t="str">
        <f>tbl_IO_List[[#This Row],[Column23]]&amp;"-" &amp;tbl_IO_List[[#This Row],[Column52]]</f>
        <v>C7S05-</v>
      </c>
      <c r="G995" s="136" t="str">
        <f>tbl_IO_List[[#This Row],[PLC_Tag]]</f>
        <v>ATY-40202_DO_1</v>
      </c>
      <c r="H995" s="136"/>
      <c r="I995" s="136" t="str">
        <f>VLOOKUP(tbl_IO_List[[#This Row],[Destination]],tbl_Junction[],2,FALSE)</f>
        <v>MCC Room</v>
      </c>
      <c r="J995" s="136" t="s">
        <v>114</v>
      </c>
      <c r="K995" s="136" t="s">
        <v>136</v>
      </c>
      <c r="L995" s="136" t="s">
        <v>845</v>
      </c>
      <c r="M995" s="136" t="str">
        <f>VLOOKUP(tbl_IO_List[[#This Row],[Instruement Tag]],tbl_Instruement_List[],2,FALSE)</f>
        <v>Tank Agitator</v>
      </c>
      <c r="N995" s="136" t="s">
        <v>15</v>
      </c>
      <c r="O995" s="136" t="s">
        <v>121</v>
      </c>
      <c r="P995" s="136" t="s">
        <v>137</v>
      </c>
      <c r="Q995" s="136" t="str">
        <f>VLOOKUP(tbl_IO_List[[#This Row],[Instruement Tag]],tbl_Instruement_List[],6,FALSE)</f>
        <v xml:space="preserve"> Start / Stop Command for VSD AT-40202</v>
      </c>
      <c r="R995" s="136"/>
      <c r="S99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1,DO=1,AI=0,AO=0,Bus=1</v>
      </c>
      <c r="T995" s="136" t="str">
        <f>tbl_IO_List[[#This Row],[Instruement Tag]]&amp;"_"&amp;tbl_IO_List[[#This Row],[I/O Type]]&amp;"_"&amp;tbl_IO_List[[#This Row],[IO-Point 
(Instruement)]]</f>
        <v>ATY-40202_DO_1</v>
      </c>
      <c r="U995" s="136" t="s">
        <v>7</v>
      </c>
      <c r="V995" s="136">
        <f>VLOOKUP(tbl_IO_List[[#This Row],[I/O Type]],tbl_Slot_Group[],2,FALSE)</f>
        <v>2</v>
      </c>
      <c r="W995" s="136">
        <v>1</v>
      </c>
      <c r="X995" s="136" t="str">
        <f>tbl_IO_List[[#This Row],[Chassis]]&amp;"S"&amp;TEXT(tbl_IO_List[[#This Row],[Slot]],"00")</f>
        <v>C7S05</v>
      </c>
      <c r="Y995" s="136" t="str">
        <f>tbl_IO_List[[#This Row],[Chassis]]&amp;"S"&amp;TEXT(tbl_IO_List[[#This Row],[Slot]],"00")&amp;tbl_IO_List[[#This Row],[I/O Type]]&amp;TEXT(tbl_IO_List[[#This Row],[Point]],"00")</f>
        <v>C7S05DO09</v>
      </c>
      <c r="Z995" s="136" t="str">
        <f>tbl_IO_List[[#This Row],[Chassis]]&amp;"S"&amp;TEXT(tbl_IO_List[[#This Row],[Slot]],"00")&amp;","&amp;TEXT(tbl_IO_List[[#This Row],[Point]],"00")</f>
        <v>C7S05,09</v>
      </c>
      <c r="AA995" s="136" t="e">
        <f>VLOOKUP(tbl_IO_List[[#This Row],[Column23]],tbl_RackConfig[],5,FALSE) &amp;"-"&amp;tbl_IO_List[[#This Row],[Point]]</f>
        <v>#N/A</v>
      </c>
      <c r="AB995" s="136"/>
      <c r="AC995" s="136"/>
      <c r="AD995" s="136" t="str">
        <f>tbl_IO_List[[#This Row],[I/O Type]]</f>
        <v>DO</v>
      </c>
      <c r="AE995" s="136" t="s">
        <v>1368</v>
      </c>
      <c r="AF995" s="136">
        <v>5</v>
      </c>
      <c r="AG995" s="136">
        <v>9</v>
      </c>
      <c r="AH995" s="136"/>
      <c r="AI995" s="136"/>
      <c r="AJ995" s="136">
        <v>1</v>
      </c>
      <c r="AK995" s="136">
        <v>1</v>
      </c>
      <c r="AL995" s="136">
        <v>0</v>
      </c>
      <c r="AM995" s="136">
        <v>0</v>
      </c>
      <c r="AN995" s="136">
        <v>1</v>
      </c>
      <c r="AO995" s="136"/>
      <c r="AP995" s="143" t="str">
        <f>VLOOKUP(tbl_IO_List[[#This Row],[Instruement Tag]],tbl_Instruement_List[],14,FALSE)</f>
        <v>24 VDC energized</v>
      </c>
      <c r="AQ995" s="143" t="str">
        <f>tbl_IO_List[[#This Row],[Chassis]]&amp;"S"&amp;tbl_IO_List[[#This Row],[Slot]]&amp;"-"&amp;tbl_IO_List[[#This Row],[Front Terminal Number]]</f>
        <v>C7S5-</v>
      </c>
      <c r="AR995" s="143"/>
      <c r="AS995" s="136" t="str">
        <f>tbl_IO_List[[#This Row],[Terminal Tagging]]&amp;"-"&amp;tbl_IO_List[[#This Row],[Point-Count]]</f>
        <v>-</v>
      </c>
      <c r="AT995" s="136" t="str">
        <f>tbl_IO_List[[#This Row],[Front Terminal Tagging]]&amp;"/"&amp;tbl_IO_List[[#This Row],[Terminal Tagging-Item]]</f>
        <v>C7S5-/-</v>
      </c>
      <c r="AU995" s="136" t="str">
        <f>tbl_IO_List[[#This Row],[Terminal Tagging-Item]]&amp;"/"&amp;tbl_IO_List[[#This Row],[Front Terminal Tagging]]</f>
        <v>-/C7S5-</v>
      </c>
    </row>
    <row r="996" spans="1:47" hidden="1">
      <c r="A996" s="136" t="s">
        <v>1307</v>
      </c>
      <c r="B996" s="136" t="s">
        <v>1307</v>
      </c>
      <c r="C996" s="136" t="str">
        <f>tbl_IO_List[[#This Row],[Column3]]</f>
        <v>C7S05,10</v>
      </c>
      <c r="D996" s="136" t="e">
        <f>tbl_IO_List[[#This Row],[Card]]</f>
        <v>#N/A</v>
      </c>
      <c r="E996" s="136"/>
      <c r="F996" s="136" t="str">
        <f>tbl_IO_List[[#This Row],[Column23]]&amp;"-" &amp;tbl_IO_List[[#This Row],[Column52]]</f>
        <v>C7S05-</v>
      </c>
      <c r="G996" s="136" t="str">
        <f>tbl_IO_List[[#This Row],[PLC_Tag]]</f>
        <v>ATY-40203_DO_1</v>
      </c>
      <c r="H996" s="136"/>
      <c r="I996" s="136" t="str">
        <f>VLOOKUP(tbl_IO_List[[#This Row],[Destination]],tbl_Junction[],2,FALSE)</f>
        <v>MCC Room</v>
      </c>
      <c r="J996" s="136" t="s">
        <v>114</v>
      </c>
      <c r="K996" s="136" t="s">
        <v>115</v>
      </c>
      <c r="L996" s="136" t="s">
        <v>133</v>
      </c>
      <c r="M996" s="136" t="str">
        <f>VLOOKUP(tbl_IO_List[[#This Row],[Instruement Tag]],tbl_Instruement_List[],2,FALSE)</f>
        <v>Tank Agitator</v>
      </c>
      <c r="N996" s="136" t="s">
        <v>15</v>
      </c>
      <c r="O996" s="136" t="s">
        <v>116</v>
      </c>
      <c r="P996" s="136" t="s">
        <v>117</v>
      </c>
      <c r="Q996" s="136" t="str">
        <f>VLOOKUP(tbl_IO_List[[#This Row],[Instruement Tag]],tbl_Instruement_List[],6,FALSE)</f>
        <v xml:space="preserve"> Start / Stop Command for VSD AT-40203</v>
      </c>
      <c r="R996" s="136"/>
      <c r="S99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3,DO=1,AI=0,AO=0,Bus=1</v>
      </c>
      <c r="T996" s="136" t="str">
        <f>tbl_IO_List[[#This Row],[Instruement Tag]]&amp;"_"&amp;tbl_IO_List[[#This Row],[I/O Type]]&amp;"_"&amp;tbl_IO_List[[#This Row],[IO-Point 
(Instruement)]]</f>
        <v>ATY-40203_DO_1</v>
      </c>
      <c r="U996" s="136" t="s">
        <v>7</v>
      </c>
      <c r="V996" s="136">
        <f>VLOOKUP(tbl_IO_List[[#This Row],[I/O Type]],tbl_Slot_Group[],2,FALSE)</f>
        <v>2</v>
      </c>
      <c r="W996" s="136">
        <v>1</v>
      </c>
      <c r="X996" s="136" t="str">
        <f>tbl_IO_List[[#This Row],[Chassis]]&amp;"S"&amp;TEXT(tbl_IO_List[[#This Row],[Slot]],"00")</f>
        <v>C7S05</v>
      </c>
      <c r="Y996" s="136" t="str">
        <f>tbl_IO_List[[#This Row],[Chassis]]&amp;"S"&amp;TEXT(tbl_IO_List[[#This Row],[Slot]],"00")&amp;tbl_IO_List[[#This Row],[I/O Type]]&amp;TEXT(tbl_IO_List[[#This Row],[Point]],"00")</f>
        <v>C7S05DO10</v>
      </c>
      <c r="Z996" s="136" t="str">
        <f>tbl_IO_List[[#This Row],[Chassis]]&amp;"S"&amp;TEXT(tbl_IO_List[[#This Row],[Slot]],"00")&amp;","&amp;TEXT(tbl_IO_List[[#This Row],[Point]],"00")</f>
        <v>C7S05,10</v>
      </c>
      <c r="AA996" s="136" t="e">
        <f>VLOOKUP(tbl_IO_List[[#This Row],[Column23]],tbl_RackConfig[],5,FALSE) &amp;"-"&amp;tbl_IO_List[[#This Row],[Point]]</f>
        <v>#N/A</v>
      </c>
      <c r="AB996" s="136"/>
      <c r="AC996" s="136"/>
      <c r="AD996" s="136" t="str">
        <f>tbl_IO_List[[#This Row],[I/O Type]]</f>
        <v>DO</v>
      </c>
      <c r="AE996" s="136" t="s">
        <v>1368</v>
      </c>
      <c r="AF996" s="136">
        <v>5</v>
      </c>
      <c r="AG996" s="136">
        <v>10</v>
      </c>
      <c r="AH996" s="136"/>
      <c r="AI996" s="136"/>
      <c r="AJ996" s="136">
        <v>3</v>
      </c>
      <c r="AK996" s="136">
        <v>1</v>
      </c>
      <c r="AL996" s="136">
        <v>0</v>
      </c>
      <c r="AM996" s="136">
        <v>0</v>
      </c>
      <c r="AN996" s="136">
        <v>1</v>
      </c>
      <c r="AO996" s="136"/>
      <c r="AP996" s="143" t="str">
        <f>VLOOKUP(tbl_IO_List[[#This Row],[Instruement Tag]],tbl_Instruement_List[],14,FALSE)</f>
        <v>24 VDC energized</v>
      </c>
      <c r="AQ996" s="143" t="str">
        <f>tbl_IO_List[[#This Row],[Chassis]]&amp;"S"&amp;tbl_IO_List[[#This Row],[Slot]]&amp;"-"&amp;tbl_IO_List[[#This Row],[Front Terminal Number]]</f>
        <v>C7S5-</v>
      </c>
      <c r="AR996" s="143"/>
      <c r="AS996" s="136" t="str">
        <f>tbl_IO_List[[#This Row],[Terminal Tagging]]&amp;"-"&amp;tbl_IO_List[[#This Row],[Point-Count]]</f>
        <v>-</v>
      </c>
      <c r="AT996" s="136" t="str">
        <f>tbl_IO_List[[#This Row],[Front Terminal Tagging]]&amp;"/"&amp;tbl_IO_List[[#This Row],[Terminal Tagging-Item]]</f>
        <v>C7S5-/-</v>
      </c>
      <c r="AU996" s="136" t="str">
        <f>tbl_IO_List[[#This Row],[Terminal Tagging-Item]]&amp;"/"&amp;tbl_IO_List[[#This Row],[Front Terminal Tagging]]</f>
        <v>-/C7S5-</v>
      </c>
    </row>
    <row r="997" spans="1:47" hidden="1">
      <c r="A997" s="136" t="s">
        <v>1307</v>
      </c>
      <c r="B997" s="136" t="s">
        <v>1307</v>
      </c>
      <c r="C997" s="136" t="str">
        <f>tbl_IO_List[[#This Row],[Column3]]</f>
        <v>C7S05,11</v>
      </c>
      <c r="D997" s="136" t="e">
        <f>tbl_IO_List[[#This Row],[Card]]</f>
        <v>#N/A</v>
      </c>
      <c r="E997" s="136"/>
      <c r="F997" s="136" t="str">
        <f>tbl_IO_List[[#This Row],[Column23]]&amp;"-" &amp;tbl_IO_List[[#This Row],[Column52]]</f>
        <v>C7S05-</v>
      </c>
      <c r="G997" s="136" t="str">
        <f>tbl_IO_List[[#This Row],[PLC_Tag]]</f>
        <v>PCY-40201_DO_1</v>
      </c>
      <c r="H997" s="136"/>
      <c r="I997" s="136" t="str">
        <f>VLOOKUP(tbl_IO_List[[#This Row],[Destination]],tbl_Junction[],2,FALSE)</f>
        <v>MCC Room</v>
      </c>
      <c r="J997" s="136" t="s">
        <v>114</v>
      </c>
      <c r="K997" s="136" t="s">
        <v>136</v>
      </c>
      <c r="L997" s="136" t="s">
        <v>879</v>
      </c>
      <c r="M997" s="136" t="str">
        <f>VLOOKUP(tbl_IO_List[[#This Row],[Instruement Tag]],tbl_Instruement_List[],2,FALSE)</f>
        <v>PUMP</v>
      </c>
      <c r="N997" s="136" t="s">
        <v>15</v>
      </c>
      <c r="O997" s="136" t="s">
        <v>121</v>
      </c>
      <c r="P997" s="136" t="s">
        <v>137</v>
      </c>
      <c r="Q997" s="136" t="str">
        <f>VLOOKUP(tbl_IO_List[[#This Row],[Instruement Tag]],tbl_Instruement_List[],6,FALSE)</f>
        <v xml:space="preserve"> Start / Stop Command for VSD PC-40201</v>
      </c>
      <c r="R997" s="136"/>
      <c r="S99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3,DO=1,AI=0,AO=0,Bus=1</v>
      </c>
      <c r="T997" s="136" t="str">
        <f>tbl_IO_List[[#This Row],[Instruement Tag]]&amp;"_"&amp;tbl_IO_List[[#This Row],[I/O Type]]&amp;"_"&amp;tbl_IO_List[[#This Row],[IO-Point 
(Instruement)]]</f>
        <v>PCY-40201_DO_1</v>
      </c>
      <c r="U997" s="136" t="s">
        <v>7</v>
      </c>
      <c r="V997" s="136">
        <f>VLOOKUP(tbl_IO_List[[#This Row],[I/O Type]],tbl_Slot_Group[],2,FALSE)</f>
        <v>2</v>
      </c>
      <c r="W997" s="136">
        <v>1</v>
      </c>
      <c r="X997" s="136" t="str">
        <f>tbl_IO_List[[#This Row],[Chassis]]&amp;"S"&amp;TEXT(tbl_IO_List[[#This Row],[Slot]],"00")</f>
        <v>C7S05</v>
      </c>
      <c r="Y997" s="136" t="str">
        <f>tbl_IO_List[[#This Row],[Chassis]]&amp;"S"&amp;TEXT(tbl_IO_List[[#This Row],[Slot]],"00")&amp;tbl_IO_List[[#This Row],[I/O Type]]&amp;TEXT(tbl_IO_List[[#This Row],[Point]],"00")</f>
        <v>C7S05DO11</v>
      </c>
      <c r="Z997" s="136" t="str">
        <f>tbl_IO_List[[#This Row],[Chassis]]&amp;"S"&amp;TEXT(tbl_IO_List[[#This Row],[Slot]],"00")&amp;","&amp;TEXT(tbl_IO_List[[#This Row],[Point]],"00")</f>
        <v>C7S05,11</v>
      </c>
      <c r="AA997" s="136" t="e">
        <f>VLOOKUP(tbl_IO_List[[#This Row],[Column23]],tbl_RackConfig[],5,FALSE) &amp;"-"&amp;tbl_IO_List[[#This Row],[Point]]</f>
        <v>#N/A</v>
      </c>
      <c r="AB997" s="136"/>
      <c r="AC997" s="136"/>
      <c r="AD997" s="136" t="str">
        <f>tbl_IO_List[[#This Row],[I/O Type]]</f>
        <v>DO</v>
      </c>
      <c r="AE997" s="136" t="s">
        <v>1368</v>
      </c>
      <c r="AF997" s="136">
        <v>5</v>
      </c>
      <c r="AG997" s="136">
        <v>11</v>
      </c>
      <c r="AH997" s="136"/>
      <c r="AI997" s="136"/>
      <c r="AJ997" s="136">
        <v>3</v>
      </c>
      <c r="AK997" s="136">
        <v>1</v>
      </c>
      <c r="AL997" s="136">
        <v>0</v>
      </c>
      <c r="AM997" s="136">
        <v>0</v>
      </c>
      <c r="AN997" s="136">
        <v>1</v>
      </c>
      <c r="AO997" s="136"/>
      <c r="AP997" s="143" t="str">
        <f>VLOOKUP(tbl_IO_List[[#This Row],[Instruement Tag]],tbl_Instruement_List[],14,FALSE)</f>
        <v>24 VDC energized</v>
      </c>
      <c r="AQ997" s="143" t="str">
        <f>tbl_IO_List[[#This Row],[Chassis]]&amp;"S"&amp;tbl_IO_List[[#This Row],[Slot]]&amp;"-"&amp;tbl_IO_List[[#This Row],[Front Terminal Number]]</f>
        <v>C7S5-</v>
      </c>
      <c r="AR997" s="143"/>
      <c r="AS997" s="136" t="str">
        <f>tbl_IO_List[[#This Row],[Terminal Tagging]]&amp;"-"&amp;tbl_IO_List[[#This Row],[Point-Count]]</f>
        <v>-</v>
      </c>
      <c r="AT997" s="136" t="str">
        <f>tbl_IO_List[[#This Row],[Front Terminal Tagging]]&amp;"/"&amp;tbl_IO_List[[#This Row],[Terminal Tagging-Item]]</f>
        <v>C7S5-/-</v>
      </c>
      <c r="AU997" s="136" t="str">
        <f>tbl_IO_List[[#This Row],[Terminal Tagging-Item]]&amp;"/"&amp;tbl_IO_List[[#This Row],[Front Terminal Tagging]]</f>
        <v>-/C7S5-</v>
      </c>
    </row>
    <row r="998" spans="1:47" hidden="1">
      <c r="A998" s="136" t="s">
        <v>1307</v>
      </c>
      <c r="B998" s="136" t="s">
        <v>1307</v>
      </c>
      <c r="C998" s="136" t="str">
        <f>tbl_IO_List[[#This Row],[Column3]]</f>
        <v>C7S05,12</v>
      </c>
      <c r="D998" s="136" t="e">
        <f>tbl_IO_List[[#This Row],[Card]]</f>
        <v>#N/A</v>
      </c>
      <c r="E998" s="136"/>
      <c r="F998" s="136" t="str">
        <f>tbl_IO_List[[#This Row],[Column23]]&amp;"-" &amp;tbl_IO_List[[#This Row],[Column52]]</f>
        <v>C7S05-</v>
      </c>
      <c r="G998" s="136" t="str">
        <f>tbl_IO_List[[#This Row],[PLC_Tag]]</f>
        <v>PCY-40202_DO_1</v>
      </c>
      <c r="H998" s="136"/>
      <c r="I998" s="136" t="str">
        <f>VLOOKUP(tbl_IO_List[[#This Row],[Destination]],tbl_Junction[],2,FALSE)</f>
        <v>MCC Room</v>
      </c>
      <c r="J998" s="136" t="s">
        <v>114</v>
      </c>
      <c r="K998" s="136" t="s">
        <v>136</v>
      </c>
      <c r="L998" s="136" t="s">
        <v>884</v>
      </c>
      <c r="M998" s="136" t="str">
        <f>VLOOKUP(tbl_IO_List[[#This Row],[Instruement Tag]],tbl_Instruement_List[],2,FALSE)</f>
        <v>PUMP</v>
      </c>
      <c r="N998" s="136" t="s">
        <v>15</v>
      </c>
      <c r="O998" s="136" t="s">
        <v>121</v>
      </c>
      <c r="P998" s="136" t="s">
        <v>137</v>
      </c>
      <c r="Q998" s="136" t="str">
        <f>VLOOKUP(tbl_IO_List[[#This Row],[Instruement Tag]],tbl_Instruement_List[],6,FALSE)</f>
        <v xml:space="preserve"> Start / Stop Command for VSD PC-40202</v>
      </c>
      <c r="R998" s="136"/>
      <c r="S99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3,DO=1,AI=0,AO=0,Bus=1</v>
      </c>
      <c r="T998" s="136" t="str">
        <f>tbl_IO_List[[#This Row],[Instruement Tag]]&amp;"_"&amp;tbl_IO_List[[#This Row],[I/O Type]]&amp;"_"&amp;tbl_IO_List[[#This Row],[IO-Point 
(Instruement)]]</f>
        <v>PCY-40202_DO_1</v>
      </c>
      <c r="U998" s="136" t="s">
        <v>7</v>
      </c>
      <c r="V998" s="136">
        <f>VLOOKUP(tbl_IO_List[[#This Row],[I/O Type]],tbl_Slot_Group[],2,FALSE)</f>
        <v>2</v>
      </c>
      <c r="W998" s="136">
        <v>1</v>
      </c>
      <c r="X998" s="136" t="str">
        <f>tbl_IO_List[[#This Row],[Chassis]]&amp;"S"&amp;TEXT(tbl_IO_List[[#This Row],[Slot]],"00")</f>
        <v>C7S05</v>
      </c>
      <c r="Y998" s="136" t="str">
        <f>tbl_IO_List[[#This Row],[Chassis]]&amp;"S"&amp;TEXT(tbl_IO_List[[#This Row],[Slot]],"00")&amp;tbl_IO_List[[#This Row],[I/O Type]]&amp;TEXT(tbl_IO_List[[#This Row],[Point]],"00")</f>
        <v>C7S05DO12</v>
      </c>
      <c r="Z998" s="136" t="str">
        <f>tbl_IO_List[[#This Row],[Chassis]]&amp;"S"&amp;TEXT(tbl_IO_List[[#This Row],[Slot]],"00")&amp;","&amp;TEXT(tbl_IO_List[[#This Row],[Point]],"00")</f>
        <v>C7S05,12</v>
      </c>
      <c r="AA998" s="136" t="e">
        <f>VLOOKUP(tbl_IO_List[[#This Row],[Column23]],tbl_RackConfig[],5,FALSE) &amp;"-"&amp;tbl_IO_List[[#This Row],[Point]]</f>
        <v>#N/A</v>
      </c>
      <c r="AB998" s="136"/>
      <c r="AC998" s="136"/>
      <c r="AD998" s="136" t="str">
        <f>tbl_IO_List[[#This Row],[I/O Type]]</f>
        <v>DO</v>
      </c>
      <c r="AE998" s="136" t="s">
        <v>1368</v>
      </c>
      <c r="AF998" s="136">
        <v>5</v>
      </c>
      <c r="AG998" s="136">
        <v>12</v>
      </c>
      <c r="AH998" s="136"/>
      <c r="AI998" s="136"/>
      <c r="AJ998" s="136">
        <v>3</v>
      </c>
      <c r="AK998" s="136">
        <v>1</v>
      </c>
      <c r="AL998" s="136">
        <v>0</v>
      </c>
      <c r="AM998" s="136">
        <v>0</v>
      </c>
      <c r="AN998" s="136">
        <v>1</v>
      </c>
      <c r="AO998" s="136"/>
      <c r="AP998" s="143" t="str">
        <f>VLOOKUP(tbl_IO_List[[#This Row],[Instruement Tag]],tbl_Instruement_List[],14,FALSE)</f>
        <v>24 VDC energized</v>
      </c>
      <c r="AQ998" s="143" t="str">
        <f>tbl_IO_List[[#This Row],[Chassis]]&amp;"S"&amp;tbl_IO_List[[#This Row],[Slot]]&amp;"-"&amp;tbl_IO_List[[#This Row],[Front Terminal Number]]</f>
        <v>C7S5-</v>
      </c>
      <c r="AR998" s="143"/>
      <c r="AS998" s="136" t="str">
        <f>tbl_IO_List[[#This Row],[Terminal Tagging]]&amp;"-"&amp;tbl_IO_List[[#This Row],[Point-Count]]</f>
        <v>-</v>
      </c>
      <c r="AT998" s="136" t="str">
        <f>tbl_IO_List[[#This Row],[Front Terminal Tagging]]&amp;"/"&amp;tbl_IO_List[[#This Row],[Terminal Tagging-Item]]</f>
        <v>C7S5-/-</v>
      </c>
      <c r="AU998" s="136" t="str">
        <f>tbl_IO_List[[#This Row],[Terminal Tagging-Item]]&amp;"/"&amp;tbl_IO_List[[#This Row],[Front Terminal Tagging]]</f>
        <v>-/C7S5-</v>
      </c>
    </row>
    <row r="999" spans="1:47" hidden="1">
      <c r="A999" s="136" t="s">
        <v>1307</v>
      </c>
      <c r="B999" s="136" t="s">
        <v>1307</v>
      </c>
      <c r="C999" s="136" t="str">
        <f>tbl_IO_List[[#This Row],[Column3]]</f>
        <v>C7S05,13</v>
      </c>
      <c r="D999" s="136" t="e">
        <f>tbl_IO_List[[#This Row],[Card]]</f>
        <v>#N/A</v>
      </c>
      <c r="E999" s="136"/>
      <c r="F999" s="136" t="str">
        <f>tbl_IO_List[[#This Row],[Column23]]&amp;"-" &amp;tbl_IO_List[[#This Row],[Column52]]</f>
        <v>C7S05-</v>
      </c>
      <c r="G999" s="136" t="str">
        <f>tbl_IO_List[[#This Row],[PLC_Tag]]</f>
        <v>PCY-40203_DO_1</v>
      </c>
      <c r="H999" s="136"/>
      <c r="I999" s="136" t="str">
        <f>VLOOKUP(tbl_IO_List[[#This Row],[Destination]],tbl_Junction[],2,FALSE)</f>
        <v>MCC Room</v>
      </c>
      <c r="J999" s="136" t="s">
        <v>114</v>
      </c>
      <c r="K999" s="136" t="s">
        <v>115</v>
      </c>
      <c r="L999" s="136" t="s">
        <v>134</v>
      </c>
      <c r="M999" s="136" t="str">
        <f>VLOOKUP(tbl_IO_List[[#This Row],[Instruement Tag]],tbl_Instruement_List[],2,FALSE)</f>
        <v>PUMP</v>
      </c>
      <c r="N999" s="136" t="s">
        <v>15</v>
      </c>
      <c r="O999" s="136" t="s">
        <v>116</v>
      </c>
      <c r="P999" s="136" t="s">
        <v>117</v>
      </c>
      <c r="Q999" s="136" t="str">
        <f>VLOOKUP(tbl_IO_List[[#This Row],[Instruement Tag]],tbl_Instruement_List[],6,FALSE)</f>
        <v xml:space="preserve"> Start / Stop Command for VSD PUCF-11 (Centrifugal Feed Pump)</v>
      </c>
      <c r="R999" s="136"/>
      <c r="S99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3,DO=1,AI=0,AO=0,Bus=1</v>
      </c>
      <c r="T999" s="136" t="str">
        <f>tbl_IO_List[[#This Row],[Instruement Tag]]&amp;"_"&amp;tbl_IO_List[[#This Row],[I/O Type]]&amp;"_"&amp;tbl_IO_List[[#This Row],[IO-Point 
(Instruement)]]</f>
        <v>PCY-40203_DO_1</v>
      </c>
      <c r="U999" s="136" t="s">
        <v>7</v>
      </c>
      <c r="V999" s="136">
        <f>VLOOKUP(tbl_IO_List[[#This Row],[I/O Type]],tbl_Slot_Group[],2,FALSE)</f>
        <v>2</v>
      </c>
      <c r="W999" s="136">
        <v>1</v>
      </c>
      <c r="X999" s="136" t="str">
        <f>tbl_IO_List[[#This Row],[Chassis]]&amp;"S"&amp;TEXT(tbl_IO_List[[#This Row],[Slot]],"00")</f>
        <v>C7S05</v>
      </c>
      <c r="Y999" s="136" t="str">
        <f>tbl_IO_List[[#This Row],[Chassis]]&amp;"S"&amp;TEXT(tbl_IO_List[[#This Row],[Slot]],"00")&amp;tbl_IO_List[[#This Row],[I/O Type]]&amp;TEXT(tbl_IO_List[[#This Row],[Point]],"00")</f>
        <v>C7S05DO13</v>
      </c>
      <c r="Z999" s="136" t="str">
        <f>tbl_IO_List[[#This Row],[Chassis]]&amp;"S"&amp;TEXT(tbl_IO_List[[#This Row],[Slot]],"00")&amp;","&amp;TEXT(tbl_IO_List[[#This Row],[Point]],"00")</f>
        <v>C7S05,13</v>
      </c>
      <c r="AA999" s="136" t="e">
        <f>VLOOKUP(tbl_IO_List[[#This Row],[Column23]],tbl_RackConfig[],5,FALSE) &amp;"-"&amp;tbl_IO_List[[#This Row],[Point]]</f>
        <v>#N/A</v>
      </c>
      <c r="AB999" s="136"/>
      <c r="AC999" s="136"/>
      <c r="AD999" s="136" t="str">
        <f>tbl_IO_List[[#This Row],[I/O Type]]</f>
        <v>DO</v>
      </c>
      <c r="AE999" s="136" t="s">
        <v>1368</v>
      </c>
      <c r="AF999" s="136">
        <v>5</v>
      </c>
      <c r="AG999" s="136">
        <v>13</v>
      </c>
      <c r="AH999" s="136"/>
      <c r="AI999" s="136"/>
      <c r="AJ999" s="136">
        <v>3</v>
      </c>
      <c r="AK999" s="136">
        <v>1</v>
      </c>
      <c r="AL999" s="136">
        <v>0</v>
      </c>
      <c r="AM999" s="136">
        <v>0</v>
      </c>
      <c r="AN999" s="136">
        <v>1</v>
      </c>
      <c r="AO999" s="136"/>
      <c r="AP999" s="143" t="str">
        <f>VLOOKUP(tbl_IO_List[[#This Row],[Instruement Tag]],tbl_Instruement_List[],14,FALSE)</f>
        <v>24 VDC energized</v>
      </c>
      <c r="AQ999" s="143" t="str">
        <f>tbl_IO_List[[#This Row],[Chassis]]&amp;"S"&amp;tbl_IO_List[[#This Row],[Slot]]&amp;"-"&amp;tbl_IO_List[[#This Row],[Front Terminal Number]]</f>
        <v>C7S5-</v>
      </c>
      <c r="AR999" s="143"/>
      <c r="AS999" s="136" t="str">
        <f>tbl_IO_List[[#This Row],[Terminal Tagging]]&amp;"-"&amp;tbl_IO_List[[#This Row],[Point-Count]]</f>
        <v>-</v>
      </c>
      <c r="AT999" s="136" t="str">
        <f>tbl_IO_List[[#This Row],[Front Terminal Tagging]]&amp;"/"&amp;tbl_IO_List[[#This Row],[Terminal Tagging-Item]]</f>
        <v>C7S5-/-</v>
      </c>
      <c r="AU999" s="136" t="str">
        <f>tbl_IO_List[[#This Row],[Terminal Tagging-Item]]&amp;"/"&amp;tbl_IO_List[[#This Row],[Front Terminal Tagging]]</f>
        <v>-/C7S5-</v>
      </c>
    </row>
    <row r="1000" spans="1:47" hidden="1">
      <c r="A1000" s="136" t="s">
        <v>1307</v>
      </c>
      <c r="B1000" s="136" t="s">
        <v>1307</v>
      </c>
      <c r="C1000" s="136" t="str">
        <f>tbl_IO_List[[#This Row],[Column3]]</f>
        <v>C7S05,14</v>
      </c>
      <c r="D1000" s="136" t="e">
        <f>tbl_IO_List[[#This Row],[Card]]</f>
        <v>#N/A</v>
      </c>
      <c r="E1000" s="136"/>
      <c r="F1000" s="136" t="str">
        <f>tbl_IO_List[[#This Row],[Column23]]&amp;"-" &amp;tbl_IO_List[[#This Row],[Column52]]</f>
        <v>C7S05-</v>
      </c>
      <c r="G1000" s="136" t="str">
        <f>tbl_IO_List[[#This Row],[PLC_Tag]]</f>
        <v>BFY-60206_DO_1</v>
      </c>
      <c r="H1000" s="136"/>
      <c r="I1000" s="136" t="str">
        <f>VLOOKUP(tbl_IO_List[[#This Row],[Destination]],tbl_Junction[],2,FALSE)</f>
        <v>MCC Room</v>
      </c>
      <c r="J1000" s="136" t="s">
        <v>191</v>
      </c>
      <c r="K1000" s="136" t="s">
        <v>14</v>
      </c>
      <c r="L1000" s="136" t="s">
        <v>856</v>
      </c>
      <c r="M1000" s="136">
        <f>VLOOKUP(tbl_IO_List[[#This Row],[Instruement Tag]],tbl_Instruement_List[],2,FALSE)</f>
        <v>0</v>
      </c>
      <c r="N1000" s="136" t="s">
        <v>15</v>
      </c>
      <c r="O1000" s="136" t="s">
        <v>192</v>
      </c>
      <c r="P1000" s="136" t="s">
        <v>18</v>
      </c>
      <c r="Q1000" s="136" t="str">
        <f>VLOOKUP(tbl_IO_List[[#This Row],[Instruement Tag]],tbl_Instruement_List[],6,FALSE)</f>
        <v xml:space="preserve"> Start / Stop Command for VSD FANS-31 (Cooling / Conveying Fan)</v>
      </c>
      <c r="R1000" s="136"/>
      <c r="S100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1,DO=1,AI=0,AO=0,Bus=1</v>
      </c>
      <c r="T1000" s="136" t="str">
        <f>tbl_IO_List[[#This Row],[Instruement Tag]]&amp;"_"&amp;tbl_IO_List[[#This Row],[I/O Type]]&amp;"_"&amp;tbl_IO_List[[#This Row],[IO-Point 
(Instruement)]]</f>
        <v>BFY-60206_DO_1</v>
      </c>
      <c r="U1000" s="136" t="s">
        <v>7</v>
      </c>
      <c r="V1000" s="136">
        <f>VLOOKUP(tbl_IO_List[[#This Row],[I/O Type]],tbl_Slot_Group[],2,FALSE)</f>
        <v>2</v>
      </c>
      <c r="W1000" s="136">
        <v>1</v>
      </c>
      <c r="X1000" s="136" t="str">
        <f>tbl_IO_List[[#This Row],[Chassis]]&amp;"S"&amp;TEXT(tbl_IO_List[[#This Row],[Slot]],"00")</f>
        <v>C7S05</v>
      </c>
      <c r="Y1000" s="136" t="str">
        <f>tbl_IO_List[[#This Row],[Chassis]]&amp;"S"&amp;TEXT(tbl_IO_List[[#This Row],[Slot]],"00")&amp;tbl_IO_List[[#This Row],[I/O Type]]&amp;TEXT(tbl_IO_List[[#This Row],[Point]],"00")</f>
        <v>C7S05DO14</v>
      </c>
      <c r="Z1000" s="136" t="str">
        <f>tbl_IO_List[[#This Row],[Chassis]]&amp;"S"&amp;TEXT(tbl_IO_List[[#This Row],[Slot]],"00")&amp;","&amp;TEXT(tbl_IO_List[[#This Row],[Point]],"00")</f>
        <v>C7S05,14</v>
      </c>
      <c r="AA1000" s="136" t="e">
        <f>VLOOKUP(tbl_IO_List[[#This Row],[Column23]],tbl_RackConfig[],5,FALSE) &amp;"-"&amp;tbl_IO_List[[#This Row],[Point]]</f>
        <v>#N/A</v>
      </c>
      <c r="AB1000" s="136"/>
      <c r="AC1000" s="136"/>
      <c r="AD1000" s="136" t="str">
        <f>tbl_IO_List[[#This Row],[I/O Type]]</f>
        <v>DO</v>
      </c>
      <c r="AE1000" s="136" t="s">
        <v>1368</v>
      </c>
      <c r="AF1000" s="136">
        <v>5</v>
      </c>
      <c r="AG1000" s="136">
        <v>14</v>
      </c>
      <c r="AH1000" s="136"/>
      <c r="AI1000" s="136"/>
      <c r="AJ1000" s="136">
        <v>1</v>
      </c>
      <c r="AK1000" s="136">
        <v>1</v>
      </c>
      <c r="AL1000" s="136">
        <v>0</v>
      </c>
      <c r="AM1000" s="136">
        <v>0</v>
      </c>
      <c r="AN1000" s="136">
        <v>1</v>
      </c>
      <c r="AO1000" s="136"/>
      <c r="AP1000" s="143" t="str">
        <f>VLOOKUP(tbl_IO_List[[#This Row],[Instruement Tag]],tbl_Instruement_List[],14,FALSE)</f>
        <v>24 VDC energized</v>
      </c>
      <c r="AQ1000" s="143" t="str">
        <f>tbl_IO_List[[#This Row],[Chassis]]&amp;"S"&amp;tbl_IO_List[[#This Row],[Slot]]&amp;"-"&amp;tbl_IO_List[[#This Row],[Front Terminal Number]]</f>
        <v>C7S5-</v>
      </c>
      <c r="AR1000" s="143"/>
      <c r="AS1000" s="136" t="str">
        <f>tbl_IO_List[[#This Row],[Terminal Tagging]]&amp;"-"&amp;tbl_IO_List[[#This Row],[Point-Count]]</f>
        <v>-</v>
      </c>
      <c r="AT1000" s="136" t="str">
        <f>tbl_IO_List[[#This Row],[Front Terminal Tagging]]&amp;"/"&amp;tbl_IO_List[[#This Row],[Terminal Tagging-Item]]</f>
        <v>C7S5-/-</v>
      </c>
      <c r="AU1000" s="136" t="str">
        <f>tbl_IO_List[[#This Row],[Terminal Tagging-Item]]&amp;"/"&amp;tbl_IO_List[[#This Row],[Front Terminal Tagging]]</f>
        <v>-/C7S5-</v>
      </c>
    </row>
    <row r="1001" spans="1:47" hidden="1">
      <c r="A1001" s="136" t="s">
        <v>1307</v>
      </c>
      <c r="B1001" s="136" t="s">
        <v>1307</v>
      </c>
      <c r="C1001" s="136" t="str">
        <f>tbl_IO_List[[#This Row],[Column3]]</f>
        <v>C7S05,15</v>
      </c>
      <c r="D1001" s="136" t="e">
        <f>tbl_IO_List[[#This Row],[Card]]</f>
        <v>#N/A</v>
      </c>
      <c r="E1001" s="136"/>
      <c r="F1001" s="136" t="str">
        <f>tbl_IO_List[[#This Row],[Column23]]&amp;"-" &amp;tbl_IO_List[[#This Row],[Column52]]</f>
        <v>C7S05-</v>
      </c>
      <c r="G1001" s="136" t="str">
        <f>tbl_IO_List[[#This Row],[PLC_Tag]]</f>
        <v>PCM-60205-2_DO_1</v>
      </c>
      <c r="H1001" s="136"/>
      <c r="I1001" s="136" t="str">
        <f>VLOOKUP(tbl_IO_List[[#This Row],[Destination]],tbl_Junction[],2,FALSE)</f>
        <v>MCC Room</v>
      </c>
      <c r="J1001" s="136" t="s">
        <v>191</v>
      </c>
      <c r="K1001" s="136" t="s">
        <v>14</v>
      </c>
      <c r="L1001" s="136" t="s">
        <v>1377</v>
      </c>
      <c r="M1001" s="136" t="e">
        <f>VLOOKUP(tbl_IO_List[[#This Row],[Instruement Tag]],tbl_Instruement_List[],2,FALSE)</f>
        <v>#N/A</v>
      </c>
      <c r="N1001" s="136" t="s">
        <v>15</v>
      </c>
      <c r="O1001" s="136" t="s">
        <v>126</v>
      </c>
      <c r="P1001" s="136" t="s">
        <v>18</v>
      </c>
      <c r="Q1001" s="136" t="e">
        <f>VLOOKUP(tbl_IO_List[[#This Row],[Instruement Tag]],tbl_Instruement_List[],6,FALSE)</f>
        <v>#N/A</v>
      </c>
      <c r="R1001" s="136"/>
      <c r="S100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1001" s="136" t="str">
        <f>tbl_IO_List[[#This Row],[Instruement Tag]]&amp;"_"&amp;tbl_IO_List[[#This Row],[I/O Type]]&amp;"_"&amp;tbl_IO_List[[#This Row],[IO-Point 
(Instruement)]]</f>
        <v>PCM-60205-2_DO_1</v>
      </c>
      <c r="U1001" s="136" t="s">
        <v>7</v>
      </c>
      <c r="V1001" s="136">
        <f>VLOOKUP(tbl_IO_List[[#This Row],[I/O Type]],tbl_Slot_Group[],2,FALSE)</f>
        <v>2</v>
      </c>
      <c r="W1001" s="136">
        <v>1</v>
      </c>
      <c r="X1001" s="136" t="str">
        <f>tbl_IO_List[[#This Row],[Chassis]]&amp;"S"&amp;TEXT(tbl_IO_List[[#This Row],[Slot]],"00")</f>
        <v>C7S05</v>
      </c>
      <c r="Y1001" s="136" t="str">
        <f>tbl_IO_List[[#This Row],[Chassis]]&amp;"S"&amp;TEXT(tbl_IO_List[[#This Row],[Slot]],"00")&amp;tbl_IO_List[[#This Row],[I/O Type]]&amp;TEXT(tbl_IO_List[[#This Row],[Point]],"00")</f>
        <v>C7S05DO15</v>
      </c>
      <c r="Z1001" s="136" t="str">
        <f>tbl_IO_List[[#This Row],[Chassis]]&amp;"S"&amp;TEXT(tbl_IO_List[[#This Row],[Slot]],"00")&amp;","&amp;TEXT(tbl_IO_List[[#This Row],[Point]],"00")</f>
        <v>C7S05,15</v>
      </c>
      <c r="AA1001" s="136" t="e">
        <f>VLOOKUP(tbl_IO_List[[#This Row],[Column23]],tbl_RackConfig[],5,FALSE) &amp;"-"&amp;tbl_IO_List[[#This Row],[Point]]</f>
        <v>#N/A</v>
      </c>
      <c r="AB1001" s="136"/>
      <c r="AC1001" s="136"/>
      <c r="AD1001" s="136" t="str">
        <f>tbl_IO_List[[#This Row],[I/O Type]]</f>
        <v>DO</v>
      </c>
      <c r="AE1001" s="136" t="s">
        <v>1368</v>
      </c>
      <c r="AF1001" s="136">
        <v>5</v>
      </c>
      <c r="AG1001" s="136">
        <v>15</v>
      </c>
      <c r="AH1001" s="136"/>
      <c r="AI1001" s="136"/>
      <c r="AJ1001" s="136">
        <v>2</v>
      </c>
      <c r="AK1001" s="136">
        <v>2</v>
      </c>
      <c r="AL1001" s="136">
        <v>0</v>
      </c>
      <c r="AM1001" s="136">
        <v>0</v>
      </c>
      <c r="AN1001" s="136">
        <v>0</v>
      </c>
      <c r="AO1001" s="136"/>
      <c r="AP1001" s="143" t="e">
        <f>VLOOKUP(tbl_IO_List[[#This Row],[Instruement Tag]],tbl_Instruement_List[],14,FALSE)</f>
        <v>#N/A</v>
      </c>
      <c r="AQ1001" s="143" t="str">
        <f>tbl_IO_List[[#This Row],[Chassis]]&amp;"S"&amp;tbl_IO_List[[#This Row],[Slot]]&amp;"-"&amp;tbl_IO_List[[#This Row],[Front Terminal Number]]</f>
        <v>C7S5-</v>
      </c>
      <c r="AR1001" s="143"/>
      <c r="AS1001" s="136" t="str">
        <f>tbl_IO_List[[#This Row],[Terminal Tagging]]&amp;"-"&amp;tbl_IO_List[[#This Row],[Point-Count]]</f>
        <v>-</v>
      </c>
      <c r="AT1001" s="136" t="str">
        <f>tbl_IO_List[[#This Row],[Front Terminal Tagging]]&amp;"/"&amp;tbl_IO_List[[#This Row],[Terminal Tagging-Item]]</f>
        <v>C7S5-/-</v>
      </c>
      <c r="AU1001" s="136" t="str">
        <f>tbl_IO_List[[#This Row],[Terminal Tagging-Item]]&amp;"/"&amp;tbl_IO_List[[#This Row],[Front Terminal Tagging]]</f>
        <v>-/C7S5-</v>
      </c>
    </row>
    <row r="1002" spans="1:47" hidden="1">
      <c r="A1002" s="136" t="s">
        <v>1307</v>
      </c>
      <c r="B1002" s="136" t="s">
        <v>1307</v>
      </c>
      <c r="C1002" s="136" t="str">
        <f>tbl_IO_List[[#This Row],[Column3]]</f>
        <v>C7S05,16</v>
      </c>
      <c r="D1002" s="136" t="e">
        <f>tbl_IO_List[[#This Row],[Card]]</f>
        <v>#N/A</v>
      </c>
      <c r="E1002" s="136"/>
      <c r="F1002" s="136" t="str">
        <f>tbl_IO_List[[#This Row],[Column23]]&amp;"-" &amp;tbl_IO_List[[#This Row],[Column52]]</f>
        <v>C7S05-</v>
      </c>
      <c r="G1002" s="136" t="str">
        <f>tbl_IO_List[[#This Row],[PLC_Tag]]</f>
        <v>PCM-60205-2_DO_2</v>
      </c>
      <c r="H1002" s="136"/>
      <c r="I1002" s="136" t="str">
        <f>VLOOKUP(tbl_IO_List[[#This Row],[Destination]],tbl_Junction[],2,FALSE)</f>
        <v>MCC Room</v>
      </c>
      <c r="J1002" s="136" t="s">
        <v>191</v>
      </c>
      <c r="K1002" s="136" t="s">
        <v>14</v>
      </c>
      <c r="L1002" s="136" t="s">
        <v>1377</v>
      </c>
      <c r="M1002" s="136" t="e">
        <f>VLOOKUP(tbl_IO_List[[#This Row],[Instruement Tag]],tbl_Instruement_List[],2,FALSE)</f>
        <v>#N/A</v>
      </c>
      <c r="N1002" s="136" t="s">
        <v>15</v>
      </c>
      <c r="O1002" s="136" t="s">
        <v>126</v>
      </c>
      <c r="P1002" s="136" t="s">
        <v>18</v>
      </c>
      <c r="Q1002" s="136" t="e">
        <f>VLOOKUP(tbl_IO_List[[#This Row],[Instruement Tag]],tbl_Instruement_List[],6,FALSE)</f>
        <v>#N/A</v>
      </c>
      <c r="R1002" s="136"/>
      <c r="S100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1002" s="136" t="str">
        <f>tbl_IO_List[[#This Row],[Instruement Tag]]&amp;"_"&amp;tbl_IO_List[[#This Row],[I/O Type]]&amp;"_"&amp;tbl_IO_List[[#This Row],[IO-Point 
(Instruement)]]</f>
        <v>PCM-60205-2_DO_2</v>
      </c>
      <c r="U1002" s="136" t="s">
        <v>7</v>
      </c>
      <c r="V1002" s="136">
        <f>VLOOKUP(tbl_IO_List[[#This Row],[I/O Type]],tbl_Slot_Group[],2,FALSE)</f>
        <v>2</v>
      </c>
      <c r="W1002" s="136">
        <v>2</v>
      </c>
      <c r="X1002" s="136" t="str">
        <f>tbl_IO_List[[#This Row],[Chassis]]&amp;"S"&amp;TEXT(tbl_IO_List[[#This Row],[Slot]],"00")</f>
        <v>C7S05</v>
      </c>
      <c r="Y1002" s="136" t="str">
        <f>tbl_IO_List[[#This Row],[Chassis]]&amp;"S"&amp;TEXT(tbl_IO_List[[#This Row],[Slot]],"00")&amp;tbl_IO_List[[#This Row],[I/O Type]]&amp;TEXT(tbl_IO_List[[#This Row],[Point]],"00")</f>
        <v>C7S05DO16</v>
      </c>
      <c r="Z1002" s="136" t="str">
        <f>tbl_IO_List[[#This Row],[Chassis]]&amp;"S"&amp;TEXT(tbl_IO_List[[#This Row],[Slot]],"00")&amp;","&amp;TEXT(tbl_IO_List[[#This Row],[Point]],"00")</f>
        <v>C7S05,16</v>
      </c>
      <c r="AA1002" s="136" t="e">
        <f>VLOOKUP(tbl_IO_List[[#This Row],[Column23]],tbl_RackConfig[],5,FALSE) &amp;"-"&amp;tbl_IO_List[[#This Row],[Point]]</f>
        <v>#N/A</v>
      </c>
      <c r="AB1002" s="136"/>
      <c r="AC1002" s="136"/>
      <c r="AD1002" s="136" t="str">
        <f>tbl_IO_List[[#This Row],[I/O Type]]</f>
        <v>DO</v>
      </c>
      <c r="AE1002" s="136" t="s">
        <v>1368</v>
      </c>
      <c r="AF1002" s="136">
        <v>5</v>
      </c>
      <c r="AG1002" s="136">
        <v>16</v>
      </c>
      <c r="AH1002" s="136"/>
      <c r="AI1002" s="136"/>
      <c r="AJ1002" s="136">
        <v>2</v>
      </c>
      <c r="AK1002" s="136">
        <v>2</v>
      </c>
      <c r="AL1002" s="136">
        <v>0</v>
      </c>
      <c r="AM1002" s="136">
        <v>0</v>
      </c>
      <c r="AN1002" s="136">
        <v>0</v>
      </c>
      <c r="AO1002" s="136"/>
      <c r="AP1002" s="143" t="e">
        <f>VLOOKUP(tbl_IO_List[[#This Row],[Instruement Tag]],tbl_Instruement_List[],14,FALSE)</f>
        <v>#N/A</v>
      </c>
      <c r="AQ1002" s="143" t="str">
        <f>tbl_IO_List[[#This Row],[Chassis]]&amp;"S"&amp;tbl_IO_List[[#This Row],[Slot]]&amp;"-"&amp;tbl_IO_List[[#This Row],[Front Terminal Number]]</f>
        <v>C7S5-</v>
      </c>
      <c r="AR1002" s="143"/>
      <c r="AS1002" s="136" t="str">
        <f>tbl_IO_List[[#This Row],[Terminal Tagging]]&amp;"-"&amp;tbl_IO_List[[#This Row],[Point-Count]]</f>
        <v>-</v>
      </c>
      <c r="AT1002" s="136" t="str">
        <f>tbl_IO_List[[#This Row],[Front Terminal Tagging]]&amp;"/"&amp;tbl_IO_List[[#This Row],[Terminal Tagging-Item]]</f>
        <v>C7S5-/-</v>
      </c>
      <c r="AU1002" s="136" t="str">
        <f>tbl_IO_List[[#This Row],[Terminal Tagging-Item]]&amp;"/"&amp;tbl_IO_List[[#This Row],[Front Terminal Tagging]]</f>
        <v>-/C7S5-</v>
      </c>
    </row>
    <row r="1003" spans="1:47" hidden="1">
      <c r="A1003" s="136" t="s">
        <v>1307</v>
      </c>
      <c r="B1003" s="136" t="s">
        <v>1307</v>
      </c>
      <c r="C1003" s="136" t="str">
        <f>tbl_IO_List[[#This Row],[Column3]]</f>
        <v>C7S05,17</v>
      </c>
      <c r="D1003" s="136" t="e">
        <f>tbl_IO_List[[#This Row],[Card]]</f>
        <v>#N/A</v>
      </c>
      <c r="E1003" s="136"/>
      <c r="F1003" s="136" t="str">
        <f>tbl_IO_List[[#This Row],[Column23]]&amp;"-" &amp;tbl_IO_List[[#This Row],[Column52]]</f>
        <v>C7S05-</v>
      </c>
      <c r="G1003" s="136" t="str">
        <f>tbl_IO_List[[#This Row],[PLC_Tag]]</f>
        <v>PCM-60205-3_DO_1</v>
      </c>
      <c r="H1003" s="136"/>
      <c r="I1003" s="136" t="str">
        <f>VLOOKUP(tbl_IO_List[[#This Row],[Destination]],tbl_Junction[],2,FALSE)</f>
        <v>MCC Room</v>
      </c>
      <c r="J1003" s="136" t="s">
        <v>191</v>
      </c>
      <c r="K1003" s="136" t="s">
        <v>14</v>
      </c>
      <c r="L1003" s="136" t="s">
        <v>1378</v>
      </c>
      <c r="M1003" s="136" t="e">
        <f>VLOOKUP(tbl_IO_List[[#This Row],[Instruement Tag]],tbl_Instruement_List[],2,FALSE)</f>
        <v>#N/A</v>
      </c>
      <c r="N1003" s="136" t="s">
        <v>15</v>
      </c>
      <c r="O1003" s="136" t="s">
        <v>126</v>
      </c>
      <c r="P1003" s="136" t="s">
        <v>18</v>
      </c>
      <c r="Q1003" s="136" t="e">
        <f>VLOOKUP(tbl_IO_List[[#This Row],[Instruement Tag]],tbl_Instruement_List[],6,FALSE)</f>
        <v>#N/A</v>
      </c>
      <c r="R1003" s="136"/>
      <c r="S100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1003" s="136" t="str">
        <f>tbl_IO_List[[#This Row],[Instruement Tag]]&amp;"_"&amp;tbl_IO_List[[#This Row],[I/O Type]]&amp;"_"&amp;tbl_IO_List[[#This Row],[IO-Point 
(Instruement)]]</f>
        <v>PCM-60205-3_DO_1</v>
      </c>
      <c r="U1003" s="136" t="s">
        <v>7</v>
      </c>
      <c r="V1003" s="136">
        <f>VLOOKUP(tbl_IO_List[[#This Row],[I/O Type]],tbl_Slot_Group[],2,FALSE)</f>
        <v>2</v>
      </c>
      <c r="W1003" s="136">
        <v>1</v>
      </c>
      <c r="X1003" s="136" t="str">
        <f>tbl_IO_List[[#This Row],[Chassis]]&amp;"S"&amp;TEXT(tbl_IO_List[[#This Row],[Slot]],"00")</f>
        <v>C7S05</v>
      </c>
      <c r="Y1003" s="136" t="str">
        <f>tbl_IO_List[[#This Row],[Chassis]]&amp;"S"&amp;TEXT(tbl_IO_List[[#This Row],[Slot]],"00")&amp;tbl_IO_List[[#This Row],[I/O Type]]&amp;TEXT(tbl_IO_List[[#This Row],[Point]],"00")</f>
        <v>C7S05DO17</v>
      </c>
      <c r="Z1003" s="136" t="str">
        <f>tbl_IO_List[[#This Row],[Chassis]]&amp;"S"&amp;TEXT(tbl_IO_List[[#This Row],[Slot]],"00")&amp;","&amp;TEXT(tbl_IO_List[[#This Row],[Point]],"00")</f>
        <v>C7S05,17</v>
      </c>
      <c r="AA1003" s="136" t="e">
        <f>VLOOKUP(tbl_IO_List[[#This Row],[Column23]],tbl_RackConfig[],5,FALSE) &amp;"-"&amp;tbl_IO_List[[#This Row],[Point]]</f>
        <v>#N/A</v>
      </c>
      <c r="AB1003" s="136"/>
      <c r="AC1003" s="136"/>
      <c r="AD1003" s="136" t="str">
        <f>tbl_IO_List[[#This Row],[I/O Type]]</f>
        <v>DO</v>
      </c>
      <c r="AE1003" s="136" t="s">
        <v>1368</v>
      </c>
      <c r="AF1003" s="136">
        <v>5</v>
      </c>
      <c r="AG1003" s="136">
        <v>17</v>
      </c>
      <c r="AH1003" s="136"/>
      <c r="AI1003" s="136"/>
      <c r="AJ1003" s="136">
        <v>2</v>
      </c>
      <c r="AK1003" s="136">
        <v>2</v>
      </c>
      <c r="AL1003" s="136">
        <v>0</v>
      </c>
      <c r="AM1003" s="136">
        <v>0</v>
      </c>
      <c r="AN1003" s="136">
        <v>0</v>
      </c>
      <c r="AO1003" s="136"/>
      <c r="AP1003" s="143" t="e">
        <f>VLOOKUP(tbl_IO_List[[#This Row],[Instruement Tag]],tbl_Instruement_List[],14,FALSE)</f>
        <v>#N/A</v>
      </c>
      <c r="AQ1003" s="143" t="str">
        <f>tbl_IO_List[[#This Row],[Chassis]]&amp;"S"&amp;tbl_IO_List[[#This Row],[Slot]]&amp;"-"&amp;tbl_IO_List[[#This Row],[Front Terminal Number]]</f>
        <v>C7S5-</v>
      </c>
      <c r="AR1003" s="143"/>
      <c r="AS1003" s="136" t="str">
        <f>tbl_IO_List[[#This Row],[Terminal Tagging]]&amp;"-"&amp;tbl_IO_List[[#This Row],[Point-Count]]</f>
        <v>-</v>
      </c>
      <c r="AT1003" s="136" t="str">
        <f>tbl_IO_List[[#This Row],[Front Terminal Tagging]]&amp;"/"&amp;tbl_IO_List[[#This Row],[Terminal Tagging-Item]]</f>
        <v>C7S5-/-</v>
      </c>
      <c r="AU1003" s="136" t="str">
        <f>tbl_IO_List[[#This Row],[Terminal Tagging-Item]]&amp;"/"&amp;tbl_IO_List[[#This Row],[Front Terminal Tagging]]</f>
        <v>-/C7S5-</v>
      </c>
    </row>
    <row r="1004" spans="1:47" hidden="1">
      <c r="A1004" s="136" t="s">
        <v>1307</v>
      </c>
      <c r="B1004" s="136" t="s">
        <v>1307</v>
      </c>
      <c r="C1004" s="136" t="str">
        <f>tbl_IO_List[[#This Row],[Column3]]</f>
        <v>C7S05,18</v>
      </c>
      <c r="D1004" s="136" t="e">
        <f>tbl_IO_List[[#This Row],[Card]]</f>
        <v>#N/A</v>
      </c>
      <c r="E1004" s="136"/>
      <c r="F1004" s="136" t="str">
        <f>tbl_IO_List[[#This Row],[Column23]]&amp;"-" &amp;tbl_IO_List[[#This Row],[Column52]]</f>
        <v>C7S05-</v>
      </c>
      <c r="G1004" s="136" t="str">
        <f>tbl_IO_List[[#This Row],[PLC_Tag]]</f>
        <v>PCM-60205-3_DO_2</v>
      </c>
      <c r="H1004" s="136"/>
      <c r="I1004" s="136" t="str">
        <f>VLOOKUP(tbl_IO_List[[#This Row],[Destination]],tbl_Junction[],2,FALSE)</f>
        <v>MCC Room</v>
      </c>
      <c r="J1004" s="136" t="s">
        <v>191</v>
      </c>
      <c r="K1004" s="136" t="s">
        <v>14</v>
      </c>
      <c r="L1004" s="136" t="s">
        <v>1378</v>
      </c>
      <c r="M1004" s="136" t="e">
        <f>VLOOKUP(tbl_IO_List[[#This Row],[Instruement Tag]],tbl_Instruement_List[],2,FALSE)</f>
        <v>#N/A</v>
      </c>
      <c r="N1004" s="136" t="s">
        <v>15</v>
      </c>
      <c r="O1004" s="136" t="s">
        <v>126</v>
      </c>
      <c r="P1004" s="136" t="s">
        <v>18</v>
      </c>
      <c r="Q1004" s="136" t="e">
        <f>VLOOKUP(tbl_IO_List[[#This Row],[Instruement Tag]],tbl_Instruement_List[],6,FALSE)</f>
        <v>#N/A</v>
      </c>
      <c r="R1004" s="136"/>
      <c r="S100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1004" s="136" t="str">
        <f>tbl_IO_List[[#This Row],[Instruement Tag]]&amp;"_"&amp;tbl_IO_List[[#This Row],[I/O Type]]&amp;"_"&amp;tbl_IO_List[[#This Row],[IO-Point 
(Instruement)]]</f>
        <v>PCM-60205-3_DO_2</v>
      </c>
      <c r="U1004" s="136" t="s">
        <v>7</v>
      </c>
      <c r="V1004" s="136">
        <f>VLOOKUP(tbl_IO_List[[#This Row],[I/O Type]],tbl_Slot_Group[],2,FALSE)</f>
        <v>2</v>
      </c>
      <c r="W1004" s="136">
        <v>2</v>
      </c>
      <c r="X1004" s="136" t="str">
        <f>tbl_IO_List[[#This Row],[Chassis]]&amp;"S"&amp;TEXT(tbl_IO_List[[#This Row],[Slot]],"00")</f>
        <v>C7S05</v>
      </c>
      <c r="Y1004" s="136" t="str">
        <f>tbl_IO_List[[#This Row],[Chassis]]&amp;"S"&amp;TEXT(tbl_IO_List[[#This Row],[Slot]],"00")&amp;tbl_IO_List[[#This Row],[I/O Type]]&amp;TEXT(tbl_IO_List[[#This Row],[Point]],"00")</f>
        <v>C7S05DO18</v>
      </c>
      <c r="Z1004" s="136" t="str">
        <f>tbl_IO_List[[#This Row],[Chassis]]&amp;"S"&amp;TEXT(tbl_IO_List[[#This Row],[Slot]],"00")&amp;","&amp;TEXT(tbl_IO_List[[#This Row],[Point]],"00")</f>
        <v>C7S05,18</v>
      </c>
      <c r="AA1004" s="136" t="e">
        <f>VLOOKUP(tbl_IO_List[[#This Row],[Column23]],tbl_RackConfig[],5,FALSE) &amp;"-"&amp;tbl_IO_List[[#This Row],[Point]]</f>
        <v>#N/A</v>
      </c>
      <c r="AB1004" s="136"/>
      <c r="AC1004" s="136"/>
      <c r="AD1004" s="136" t="str">
        <f>tbl_IO_List[[#This Row],[I/O Type]]</f>
        <v>DO</v>
      </c>
      <c r="AE1004" s="136" t="s">
        <v>1368</v>
      </c>
      <c r="AF1004" s="136">
        <v>5</v>
      </c>
      <c r="AG1004" s="136">
        <v>18</v>
      </c>
      <c r="AH1004" s="136"/>
      <c r="AI1004" s="136"/>
      <c r="AJ1004" s="136">
        <v>2</v>
      </c>
      <c r="AK1004" s="136">
        <v>2</v>
      </c>
      <c r="AL1004" s="136">
        <v>0</v>
      </c>
      <c r="AM1004" s="136">
        <v>0</v>
      </c>
      <c r="AN1004" s="136">
        <v>0</v>
      </c>
      <c r="AO1004" s="136"/>
      <c r="AP1004" s="143" t="e">
        <f>VLOOKUP(tbl_IO_List[[#This Row],[Instruement Tag]],tbl_Instruement_List[],14,FALSE)</f>
        <v>#N/A</v>
      </c>
      <c r="AQ1004" s="143" t="str">
        <f>tbl_IO_List[[#This Row],[Chassis]]&amp;"S"&amp;tbl_IO_List[[#This Row],[Slot]]&amp;"-"&amp;tbl_IO_List[[#This Row],[Front Terminal Number]]</f>
        <v>C7S5-</v>
      </c>
      <c r="AR1004" s="143"/>
      <c r="AS1004" s="136" t="str">
        <f>tbl_IO_List[[#This Row],[Terminal Tagging]]&amp;"-"&amp;tbl_IO_List[[#This Row],[Point-Count]]</f>
        <v>-</v>
      </c>
      <c r="AT1004" s="136" t="str">
        <f>tbl_IO_List[[#This Row],[Front Terminal Tagging]]&amp;"/"&amp;tbl_IO_List[[#This Row],[Terminal Tagging-Item]]</f>
        <v>C7S5-/-</v>
      </c>
      <c r="AU1004" s="136" t="str">
        <f>tbl_IO_List[[#This Row],[Terminal Tagging-Item]]&amp;"/"&amp;tbl_IO_List[[#This Row],[Front Terminal Tagging]]</f>
        <v>-/C7S5-</v>
      </c>
    </row>
    <row r="1005" spans="1:47" hidden="1">
      <c r="A1005" s="136" t="s">
        <v>1307</v>
      </c>
      <c r="B1005" s="136" t="s">
        <v>1307</v>
      </c>
      <c r="C1005" s="136" t="str">
        <f>tbl_IO_List[[#This Row],[Column3]]</f>
        <v>C7S05,19</v>
      </c>
      <c r="D1005" s="136" t="e">
        <f>tbl_IO_List[[#This Row],[Card]]</f>
        <v>#N/A</v>
      </c>
      <c r="E1005" s="136"/>
      <c r="F1005" s="136" t="str">
        <f>tbl_IO_List[[#This Row],[Column23]]&amp;"-" &amp;tbl_IO_List[[#This Row],[Column52]]</f>
        <v>C7S05-</v>
      </c>
      <c r="G1005" s="136" t="str">
        <f>tbl_IO_List[[#This Row],[PLC_Tag]]</f>
        <v>PCM-60205-4_DO_1</v>
      </c>
      <c r="H1005" s="136"/>
      <c r="I1005" s="136" t="str">
        <f>VLOOKUP(tbl_IO_List[[#This Row],[Destination]],tbl_Junction[],2,FALSE)</f>
        <v>MCC Room</v>
      </c>
      <c r="J1005" s="136" t="s">
        <v>191</v>
      </c>
      <c r="K1005" s="136" t="s">
        <v>14</v>
      </c>
      <c r="L1005" s="136" t="s">
        <v>1379</v>
      </c>
      <c r="M1005" s="136" t="e">
        <f>VLOOKUP(tbl_IO_List[[#This Row],[Instruement Tag]],tbl_Instruement_List[],2,FALSE)</f>
        <v>#N/A</v>
      </c>
      <c r="N1005" s="136" t="s">
        <v>15</v>
      </c>
      <c r="O1005" s="136" t="s">
        <v>126</v>
      </c>
      <c r="P1005" s="136" t="s">
        <v>18</v>
      </c>
      <c r="Q1005" s="136" t="e">
        <f>VLOOKUP(tbl_IO_List[[#This Row],[Instruement Tag]],tbl_Instruement_List[],6,FALSE)</f>
        <v>#N/A</v>
      </c>
      <c r="R1005" s="136"/>
      <c r="S100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1005" s="136" t="str">
        <f>tbl_IO_List[[#This Row],[Instruement Tag]]&amp;"_"&amp;tbl_IO_List[[#This Row],[I/O Type]]&amp;"_"&amp;tbl_IO_List[[#This Row],[IO-Point 
(Instruement)]]</f>
        <v>PCM-60205-4_DO_1</v>
      </c>
      <c r="U1005" s="136" t="s">
        <v>7</v>
      </c>
      <c r="V1005" s="136">
        <f>VLOOKUP(tbl_IO_List[[#This Row],[I/O Type]],tbl_Slot_Group[],2,FALSE)</f>
        <v>2</v>
      </c>
      <c r="W1005" s="136">
        <v>1</v>
      </c>
      <c r="X1005" s="136" t="str">
        <f>tbl_IO_List[[#This Row],[Chassis]]&amp;"S"&amp;TEXT(tbl_IO_List[[#This Row],[Slot]],"00")</f>
        <v>C7S05</v>
      </c>
      <c r="Y1005" s="136" t="str">
        <f>tbl_IO_List[[#This Row],[Chassis]]&amp;"S"&amp;TEXT(tbl_IO_List[[#This Row],[Slot]],"00")&amp;tbl_IO_List[[#This Row],[I/O Type]]&amp;TEXT(tbl_IO_List[[#This Row],[Point]],"00")</f>
        <v>C7S05DO19</v>
      </c>
      <c r="Z1005" s="136" t="str">
        <f>tbl_IO_List[[#This Row],[Chassis]]&amp;"S"&amp;TEXT(tbl_IO_List[[#This Row],[Slot]],"00")&amp;","&amp;TEXT(tbl_IO_List[[#This Row],[Point]],"00")</f>
        <v>C7S05,19</v>
      </c>
      <c r="AA1005" s="136" t="e">
        <f>VLOOKUP(tbl_IO_List[[#This Row],[Column23]],tbl_RackConfig[],5,FALSE) &amp;"-"&amp;tbl_IO_List[[#This Row],[Point]]</f>
        <v>#N/A</v>
      </c>
      <c r="AB1005" s="136"/>
      <c r="AC1005" s="136"/>
      <c r="AD1005" s="136" t="str">
        <f>tbl_IO_List[[#This Row],[I/O Type]]</f>
        <v>DO</v>
      </c>
      <c r="AE1005" s="136" t="s">
        <v>1368</v>
      </c>
      <c r="AF1005" s="136">
        <v>5</v>
      </c>
      <c r="AG1005" s="136">
        <v>19</v>
      </c>
      <c r="AH1005" s="136"/>
      <c r="AI1005" s="136"/>
      <c r="AJ1005" s="136">
        <v>2</v>
      </c>
      <c r="AK1005" s="136">
        <v>2</v>
      </c>
      <c r="AL1005" s="136">
        <v>0</v>
      </c>
      <c r="AM1005" s="136">
        <v>0</v>
      </c>
      <c r="AN1005" s="136">
        <v>0</v>
      </c>
      <c r="AO1005" s="136"/>
      <c r="AP1005" s="143" t="e">
        <f>VLOOKUP(tbl_IO_List[[#This Row],[Instruement Tag]],tbl_Instruement_List[],14,FALSE)</f>
        <v>#N/A</v>
      </c>
      <c r="AQ1005" s="143" t="str">
        <f>tbl_IO_List[[#This Row],[Chassis]]&amp;"S"&amp;tbl_IO_List[[#This Row],[Slot]]&amp;"-"&amp;tbl_IO_List[[#This Row],[Front Terminal Number]]</f>
        <v>C7S5-</v>
      </c>
      <c r="AR1005" s="143"/>
      <c r="AS1005" s="136" t="str">
        <f>tbl_IO_List[[#This Row],[Terminal Tagging]]&amp;"-"&amp;tbl_IO_List[[#This Row],[Point-Count]]</f>
        <v>-</v>
      </c>
      <c r="AT1005" s="136" t="str">
        <f>tbl_IO_List[[#This Row],[Front Terminal Tagging]]&amp;"/"&amp;tbl_IO_List[[#This Row],[Terminal Tagging-Item]]</f>
        <v>C7S5-/-</v>
      </c>
      <c r="AU1005" s="136" t="str">
        <f>tbl_IO_List[[#This Row],[Terminal Tagging-Item]]&amp;"/"&amp;tbl_IO_List[[#This Row],[Front Terminal Tagging]]</f>
        <v>-/C7S5-</v>
      </c>
    </row>
    <row r="1006" spans="1:47" hidden="1">
      <c r="A1006" s="136" t="s">
        <v>1307</v>
      </c>
      <c r="B1006" s="136" t="s">
        <v>1307</v>
      </c>
      <c r="C1006" s="136" t="str">
        <f>tbl_IO_List[[#This Row],[Column3]]</f>
        <v>C7S05,20</v>
      </c>
      <c r="D1006" s="136" t="e">
        <f>tbl_IO_List[[#This Row],[Card]]</f>
        <v>#N/A</v>
      </c>
      <c r="E1006" s="136"/>
      <c r="F1006" s="136" t="str">
        <f>tbl_IO_List[[#This Row],[Column23]]&amp;"-" &amp;tbl_IO_List[[#This Row],[Column52]]</f>
        <v>C7S05-</v>
      </c>
      <c r="G1006" s="136" t="str">
        <f>tbl_IO_List[[#This Row],[PLC_Tag]]</f>
        <v>PCM-60205-4_DO_2</v>
      </c>
      <c r="H1006" s="136"/>
      <c r="I1006" s="136" t="str">
        <f>VLOOKUP(tbl_IO_List[[#This Row],[Destination]],tbl_Junction[],2,FALSE)</f>
        <v>MCC Room</v>
      </c>
      <c r="J1006" s="136" t="s">
        <v>191</v>
      </c>
      <c r="K1006" s="136" t="s">
        <v>14</v>
      </c>
      <c r="L1006" s="136" t="s">
        <v>1379</v>
      </c>
      <c r="M1006" s="136" t="e">
        <f>VLOOKUP(tbl_IO_List[[#This Row],[Instruement Tag]],tbl_Instruement_List[],2,FALSE)</f>
        <v>#N/A</v>
      </c>
      <c r="N1006" s="136" t="s">
        <v>15</v>
      </c>
      <c r="O1006" s="136" t="s">
        <v>126</v>
      </c>
      <c r="P1006" s="136" t="s">
        <v>18</v>
      </c>
      <c r="Q1006" s="136" t="e">
        <f>VLOOKUP(tbl_IO_List[[#This Row],[Instruement Tag]],tbl_Instruement_List[],6,FALSE)</f>
        <v>#N/A</v>
      </c>
      <c r="R1006" s="136"/>
      <c r="S100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1006" s="136" t="str">
        <f>tbl_IO_List[[#This Row],[Instruement Tag]]&amp;"_"&amp;tbl_IO_List[[#This Row],[I/O Type]]&amp;"_"&amp;tbl_IO_List[[#This Row],[IO-Point 
(Instruement)]]</f>
        <v>PCM-60205-4_DO_2</v>
      </c>
      <c r="U1006" s="136" t="s">
        <v>7</v>
      </c>
      <c r="V1006" s="136">
        <f>VLOOKUP(tbl_IO_List[[#This Row],[I/O Type]],tbl_Slot_Group[],2,FALSE)</f>
        <v>2</v>
      </c>
      <c r="W1006" s="136">
        <v>2</v>
      </c>
      <c r="X1006" s="136" t="str">
        <f>tbl_IO_List[[#This Row],[Chassis]]&amp;"S"&amp;TEXT(tbl_IO_List[[#This Row],[Slot]],"00")</f>
        <v>C7S05</v>
      </c>
      <c r="Y1006" s="136" t="str">
        <f>tbl_IO_List[[#This Row],[Chassis]]&amp;"S"&amp;TEXT(tbl_IO_List[[#This Row],[Slot]],"00")&amp;tbl_IO_List[[#This Row],[I/O Type]]&amp;TEXT(tbl_IO_List[[#This Row],[Point]],"00")</f>
        <v>C7S05DO20</v>
      </c>
      <c r="Z1006" s="136" t="str">
        <f>tbl_IO_List[[#This Row],[Chassis]]&amp;"S"&amp;TEXT(tbl_IO_List[[#This Row],[Slot]],"00")&amp;","&amp;TEXT(tbl_IO_List[[#This Row],[Point]],"00")</f>
        <v>C7S05,20</v>
      </c>
      <c r="AA1006" s="136" t="e">
        <f>VLOOKUP(tbl_IO_List[[#This Row],[Column23]],tbl_RackConfig[],5,FALSE) &amp;"-"&amp;tbl_IO_List[[#This Row],[Point]]</f>
        <v>#N/A</v>
      </c>
      <c r="AB1006" s="136"/>
      <c r="AC1006" s="136"/>
      <c r="AD1006" s="136" t="str">
        <f>tbl_IO_List[[#This Row],[I/O Type]]</f>
        <v>DO</v>
      </c>
      <c r="AE1006" s="136" t="s">
        <v>1368</v>
      </c>
      <c r="AF1006" s="136">
        <v>5</v>
      </c>
      <c r="AG1006" s="136">
        <v>20</v>
      </c>
      <c r="AH1006" s="136"/>
      <c r="AI1006" s="136"/>
      <c r="AJ1006" s="136">
        <v>2</v>
      </c>
      <c r="AK1006" s="136">
        <v>2</v>
      </c>
      <c r="AL1006" s="136">
        <v>0</v>
      </c>
      <c r="AM1006" s="136">
        <v>0</v>
      </c>
      <c r="AN1006" s="136">
        <v>0</v>
      </c>
      <c r="AO1006" s="136"/>
      <c r="AP1006" s="143" t="e">
        <f>VLOOKUP(tbl_IO_List[[#This Row],[Instruement Tag]],tbl_Instruement_List[],14,FALSE)</f>
        <v>#N/A</v>
      </c>
      <c r="AQ1006" s="143" t="str">
        <f>tbl_IO_List[[#This Row],[Chassis]]&amp;"S"&amp;tbl_IO_List[[#This Row],[Slot]]&amp;"-"&amp;tbl_IO_List[[#This Row],[Front Terminal Number]]</f>
        <v>C7S5-</v>
      </c>
      <c r="AR1006" s="143"/>
      <c r="AS1006" s="136" t="str">
        <f>tbl_IO_List[[#This Row],[Terminal Tagging]]&amp;"-"&amp;tbl_IO_List[[#This Row],[Point-Count]]</f>
        <v>-</v>
      </c>
      <c r="AT1006" s="136" t="str">
        <f>tbl_IO_List[[#This Row],[Front Terminal Tagging]]&amp;"/"&amp;tbl_IO_List[[#This Row],[Terminal Tagging-Item]]</f>
        <v>C7S5-/-</v>
      </c>
      <c r="AU1006" s="136" t="str">
        <f>tbl_IO_List[[#This Row],[Terminal Tagging-Item]]&amp;"/"&amp;tbl_IO_List[[#This Row],[Front Terminal Tagging]]</f>
        <v>-/C7S5-</v>
      </c>
    </row>
    <row r="1007" spans="1:47" hidden="1">
      <c r="A1007" s="136" t="s">
        <v>1307</v>
      </c>
      <c r="B1007" s="136" t="s">
        <v>1307</v>
      </c>
      <c r="C1007" s="136" t="str">
        <f>tbl_IO_List[[#This Row],[Column3]]</f>
        <v>C7S05,21</v>
      </c>
      <c r="D1007" s="136" t="e">
        <f>tbl_IO_List[[#This Row],[Card]]</f>
        <v>#N/A</v>
      </c>
      <c r="E1007" s="136"/>
      <c r="F1007" s="136" t="str">
        <f>tbl_IO_List[[#This Row],[Column23]]&amp;"-" &amp;tbl_IO_List[[#This Row],[Column52]]</f>
        <v>C7S05-</v>
      </c>
      <c r="G1007" s="136" t="str">
        <f>tbl_IO_List[[#This Row],[PLC_Tag]]</f>
        <v>PCM-60205-5_DO_1</v>
      </c>
      <c r="H1007" s="136"/>
      <c r="I1007" s="136" t="str">
        <f>VLOOKUP(tbl_IO_List[[#This Row],[Destination]],tbl_Junction[],2,FALSE)</f>
        <v>MCC Room</v>
      </c>
      <c r="J1007" s="136" t="s">
        <v>191</v>
      </c>
      <c r="K1007" s="136" t="s">
        <v>14</v>
      </c>
      <c r="L1007" s="136" t="s">
        <v>1380</v>
      </c>
      <c r="M1007" s="136" t="e">
        <f>VLOOKUP(tbl_IO_List[[#This Row],[Instruement Tag]],tbl_Instruement_List[],2,FALSE)</f>
        <v>#N/A</v>
      </c>
      <c r="N1007" s="136" t="s">
        <v>15</v>
      </c>
      <c r="O1007" s="136" t="s">
        <v>126</v>
      </c>
      <c r="P1007" s="136" t="s">
        <v>18</v>
      </c>
      <c r="Q1007" s="136" t="e">
        <f>VLOOKUP(tbl_IO_List[[#This Row],[Instruement Tag]],tbl_Instruement_List[],6,FALSE)</f>
        <v>#N/A</v>
      </c>
      <c r="R1007" s="136"/>
      <c r="S100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1007" s="136" t="str">
        <f>tbl_IO_List[[#This Row],[Instruement Tag]]&amp;"_"&amp;tbl_IO_List[[#This Row],[I/O Type]]&amp;"_"&amp;tbl_IO_List[[#This Row],[IO-Point 
(Instruement)]]</f>
        <v>PCM-60205-5_DO_1</v>
      </c>
      <c r="U1007" s="136" t="s">
        <v>7</v>
      </c>
      <c r="V1007" s="136">
        <f>VLOOKUP(tbl_IO_List[[#This Row],[I/O Type]],tbl_Slot_Group[],2,FALSE)</f>
        <v>2</v>
      </c>
      <c r="W1007" s="136">
        <v>1</v>
      </c>
      <c r="X1007" s="136" t="str">
        <f>tbl_IO_List[[#This Row],[Chassis]]&amp;"S"&amp;TEXT(tbl_IO_List[[#This Row],[Slot]],"00")</f>
        <v>C7S05</v>
      </c>
      <c r="Y1007" s="136" t="str">
        <f>tbl_IO_List[[#This Row],[Chassis]]&amp;"S"&amp;TEXT(tbl_IO_List[[#This Row],[Slot]],"00")&amp;tbl_IO_List[[#This Row],[I/O Type]]&amp;TEXT(tbl_IO_List[[#This Row],[Point]],"00")</f>
        <v>C7S05DO21</v>
      </c>
      <c r="Z1007" s="136" t="str">
        <f>tbl_IO_List[[#This Row],[Chassis]]&amp;"S"&amp;TEXT(tbl_IO_List[[#This Row],[Slot]],"00")&amp;","&amp;TEXT(tbl_IO_List[[#This Row],[Point]],"00")</f>
        <v>C7S05,21</v>
      </c>
      <c r="AA1007" s="136" t="e">
        <f>VLOOKUP(tbl_IO_List[[#This Row],[Column23]],tbl_RackConfig[],5,FALSE) &amp;"-"&amp;tbl_IO_List[[#This Row],[Point]]</f>
        <v>#N/A</v>
      </c>
      <c r="AB1007" s="136"/>
      <c r="AC1007" s="136"/>
      <c r="AD1007" s="136" t="str">
        <f>tbl_IO_List[[#This Row],[I/O Type]]</f>
        <v>DO</v>
      </c>
      <c r="AE1007" s="136" t="s">
        <v>1368</v>
      </c>
      <c r="AF1007" s="136">
        <v>5</v>
      </c>
      <c r="AG1007" s="136">
        <v>21</v>
      </c>
      <c r="AH1007" s="136"/>
      <c r="AI1007" s="136"/>
      <c r="AJ1007" s="136">
        <v>2</v>
      </c>
      <c r="AK1007" s="136">
        <v>2</v>
      </c>
      <c r="AL1007" s="136">
        <v>0</v>
      </c>
      <c r="AM1007" s="136">
        <v>0</v>
      </c>
      <c r="AN1007" s="136">
        <v>0</v>
      </c>
      <c r="AO1007" s="136"/>
      <c r="AP1007" s="143" t="e">
        <f>VLOOKUP(tbl_IO_List[[#This Row],[Instruement Tag]],tbl_Instruement_List[],14,FALSE)</f>
        <v>#N/A</v>
      </c>
      <c r="AQ1007" s="143" t="str">
        <f>tbl_IO_List[[#This Row],[Chassis]]&amp;"S"&amp;tbl_IO_List[[#This Row],[Slot]]&amp;"-"&amp;tbl_IO_List[[#This Row],[Front Terminal Number]]</f>
        <v>C7S5-</v>
      </c>
      <c r="AR1007" s="143"/>
      <c r="AS1007" s="136" t="str">
        <f>tbl_IO_List[[#This Row],[Terminal Tagging]]&amp;"-"&amp;tbl_IO_List[[#This Row],[Point-Count]]</f>
        <v>-</v>
      </c>
      <c r="AT1007" s="136" t="str">
        <f>tbl_IO_List[[#This Row],[Front Terminal Tagging]]&amp;"/"&amp;tbl_IO_List[[#This Row],[Terminal Tagging-Item]]</f>
        <v>C7S5-/-</v>
      </c>
      <c r="AU1007" s="136" t="str">
        <f>tbl_IO_List[[#This Row],[Terminal Tagging-Item]]&amp;"/"&amp;tbl_IO_List[[#This Row],[Front Terminal Tagging]]</f>
        <v>-/C7S5-</v>
      </c>
    </row>
    <row r="1008" spans="1:47" hidden="1">
      <c r="A1008" s="136" t="s">
        <v>1307</v>
      </c>
      <c r="B1008" s="136" t="s">
        <v>1307</v>
      </c>
      <c r="C1008" s="136" t="str">
        <f>tbl_IO_List[[#This Row],[Column3]]</f>
        <v>C7S05,22</v>
      </c>
      <c r="D1008" s="136" t="e">
        <f>tbl_IO_List[[#This Row],[Card]]</f>
        <v>#N/A</v>
      </c>
      <c r="E1008" s="136"/>
      <c r="F1008" s="136" t="str">
        <f>tbl_IO_List[[#This Row],[Column23]]&amp;"-" &amp;tbl_IO_List[[#This Row],[Column52]]</f>
        <v>C7S05-</v>
      </c>
      <c r="G1008" s="136" t="str">
        <f>tbl_IO_List[[#This Row],[PLC_Tag]]</f>
        <v>PCM-60205-5_DO_2</v>
      </c>
      <c r="H1008" s="136"/>
      <c r="I1008" s="136" t="str">
        <f>VLOOKUP(tbl_IO_List[[#This Row],[Destination]],tbl_Junction[],2,FALSE)</f>
        <v>MCC Room</v>
      </c>
      <c r="J1008" s="136" t="s">
        <v>191</v>
      </c>
      <c r="K1008" s="136" t="s">
        <v>14</v>
      </c>
      <c r="L1008" s="136" t="s">
        <v>1380</v>
      </c>
      <c r="M1008" s="136" t="e">
        <f>VLOOKUP(tbl_IO_List[[#This Row],[Instruement Tag]],tbl_Instruement_List[],2,FALSE)</f>
        <v>#N/A</v>
      </c>
      <c r="N1008" s="136" t="s">
        <v>15</v>
      </c>
      <c r="O1008" s="136" t="s">
        <v>126</v>
      </c>
      <c r="P1008" s="136" t="s">
        <v>18</v>
      </c>
      <c r="Q1008" s="136" t="e">
        <f>VLOOKUP(tbl_IO_List[[#This Row],[Instruement Tag]],tbl_Instruement_List[],6,FALSE)</f>
        <v>#N/A</v>
      </c>
      <c r="R1008" s="136"/>
      <c r="S100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1008" s="136" t="str">
        <f>tbl_IO_List[[#This Row],[Instruement Tag]]&amp;"_"&amp;tbl_IO_List[[#This Row],[I/O Type]]&amp;"_"&amp;tbl_IO_List[[#This Row],[IO-Point 
(Instruement)]]</f>
        <v>PCM-60205-5_DO_2</v>
      </c>
      <c r="U1008" s="136" t="s">
        <v>7</v>
      </c>
      <c r="V1008" s="136">
        <f>VLOOKUP(tbl_IO_List[[#This Row],[I/O Type]],tbl_Slot_Group[],2,FALSE)</f>
        <v>2</v>
      </c>
      <c r="W1008" s="136">
        <v>2</v>
      </c>
      <c r="X1008" s="136" t="str">
        <f>tbl_IO_List[[#This Row],[Chassis]]&amp;"S"&amp;TEXT(tbl_IO_List[[#This Row],[Slot]],"00")</f>
        <v>C7S05</v>
      </c>
      <c r="Y1008" s="136" t="str">
        <f>tbl_IO_List[[#This Row],[Chassis]]&amp;"S"&amp;TEXT(tbl_IO_List[[#This Row],[Slot]],"00")&amp;tbl_IO_List[[#This Row],[I/O Type]]&amp;TEXT(tbl_IO_List[[#This Row],[Point]],"00")</f>
        <v>C7S05DO22</v>
      </c>
      <c r="Z1008" s="136" t="str">
        <f>tbl_IO_List[[#This Row],[Chassis]]&amp;"S"&amp;TEXT(tbl_IO_List[[#This Row],[Slot]],"00")&amp;","&amp;TEXT(tbl_IO_List[[#This Row],[Point]],"00")</f>
        <v>C7S05,22</v>
      </c>
      <c r="AA1008" s="136" t="e">
        <f>VLOOKUP(tbl_IO_List[[#This Row],[Column23]],tbl_RackConfig[],5,FALSE) &amp;"-"&amp;tbl_IO_List[[#This Row],[Point]]</f>
        <v>#N/A</v>
      </c>
      <c r="AB1008" s="136"/>
      <c r="AC1008" s="136"/>
      <c r="AD1008" s="136" t="str">
        <f>tbl_IO_List[[#This Row],[I/O Type]]</f>
        <v>DO</v>
      </c>
      <c r="AE1008" s="136" t="s">
        <v>1368</v>
      </c>
      <c r="AF1008" s="136">
        <v>5</v>
      </c>
      <c r="AG1008" s="136">
        <v>22</v>
      </c>
      <c r="AH1008" s="136"/>
      <c r="AI1008" s="136"/>
      <c r="AJ1008" s="136">
        <v>2</v>
      </c>
      <c r="AK1008" s="136">
        <v>2</v>
      </c>
      <c r="AL1008" s="136">
        <v>0</v>
      </c>
      <c r="AM1008" s="136">
        <v>0</v>
      </c>
      <c r="AN1008" s="136">
        <v>0</v>
      </c>
      <c r="AO1008" s="136"/>
      <c r="AP1008" s="143" t="e">
        <f>VLOOKUP(tbl_IO_List[[#This Row],[Instruement Tag]],tbl_Instruement_List[],14,FALSE)</f>
        <v>#N/A</v>
      </c>
      <c r="AQ1008" s="143" t="str">
        <f>tbl_IO_List[[#This Row],[Chassis]]&amp;"S"&amp;tbl_IO_List[[#This Row],[Slot]]&amp;"-"&amp;tbl_IO_List[[#This Row],[Front Terminal Number]]</f>
        <v>C7S5-</v>
      </c>
      <c r="AR1008" s="143"/>
      <c r="AS1008" s="136" t="str">
        <f>tbl_IO_List[[#This Row],[Terminal Tagging]]&amp;"-"&amp;tbl_IO_List[[#This Row],[Point-Count]]</f>
        <v>-</v>
      </c>
      <c r="AT1008" s="136" t="str">
        <f>tbl_IO_List[[#This Row],[Front Terminal Tagging]]&amp;"/"&amp;tbl_IO_List[[#This Row],[Terminal Tagging-Item]]</f>
        <v>C7S5-/-</v>
      </c>
      <c r="AU1008" s="136" t="str">
        <f>tbl_IO_List[[#This Row],[Terminal Tagging-Item]]&amp;"/"&amp;tbl_IO_List[[#This Row],[Front Terminal Tagging]]</f>
        <v>-/C7S5-</v>
      </c>
    </row>
    <row r="1009" spans="1:47" hidden="1">
      <c r="A1009" s="136" t="s">
        <v>1307</v>
      </c>
      <c r="B1009" s="136" t="s">
        <v>1307</v>
      </c>
      <c r="C1009" s="136" t="str">
        <f>tbl_IO_List[[#This Row],[Column3]]</f>
        <v>C7S05,23</v>
      </c>
      <c r="D1009" s="136" t="e">
        <f>tbl_IO_List[[#This Row],[Card]]</f>
        <v>#N/A</v>
      </c>
      <c r="E1009" s="136"/>
      <c r="F1009" s="136" t="str">
        <f>tbl_IO_List[[#This Row],[Column23]]&amp;"-" &amp;tbl_IO_List[[#This Row],[Column52]]</f>
        <v>C7S05-</v>
      </c>
      <c r="G1009" s="136" t="str">
        <f>tbl_IO_List[[#This Row],[PLC_Tag]]</f>
        <v>RVM-60201_DO_1</v>
      </c>
      <c r="H1009" s="136"/>
      <c r="I1009" s="136" t="str">
        <f>VLOOKUP(tbl_IO_List[[#This Row],[Destination]],tbl_Junction[],2,FALSE)</f>
        <v>MCC Room</v>
      </c>
      <c r="J1009" s="136" t="s">
        <v>191</v>
      </c>
      <c r="K1009" s="136" t="s">
        <v>14</v>
      </c>
      <c r="L1009" s="136" t="s">
        <v>898</v>
      </c>
      <c r="M1009" s="136">
        <f>VLOOKUP(tbl_IO_List[[#This Row],[Instruement Tag]],tbl_Instruement_List[],2,FALSE)</f>
        <v>0</v>
      </c>
      <c r="N1009" s="136" t="s">
        <v>15</v>
      </c>
      <c r="O1009" s="136" t="s">
        <v>192</v>
      </c>
      <c r="P1009" s="136" t="s">
        <v>18</v>
      </c>
      <c r="Q1009" s="136" t="str">
        <f>VLOOKUP(tbl_IO_List[[#This Row],[Instruement Tag]],tbl_Instruement_List[],6,FALSE)</f>
        <v xml:space="preserve"> Start / Stop Command for FVNR RVAL-21 (Cyclone-21 Rotary Valve )</v>
      </c>
      <c r="R1009" s="136"/>
      <c r="S100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1009" s="136" t="str">
        <f>tbl_IO_List[[#This Row],[Instruement Tag]]&amp;"_"&amp;tbl_IO_List[[#This Row],[I/O Type]]&amp;"_"&amp;tbl_IO_List[[#This Row],[IO-Point 
(Instruement)]]</f>
        <v>RVM-60201_DO_1</v>
      </c>
      <c r="U1009" s="136" t="s">
        <v>7</v>
      </c>
      <c r="V1009" s="136">
        <f>VLOOKUP(tbl_IO_List[[#This Row],[I/O Type]],tbl_Slot_Group[],2,FALSE)</f>
        <v>2</v>
      </c>
      <c r="W1009" s="136">
        <v>1</v>
      </c>
      <c r="X1009" s="136" t="str">
        <f>tbl_IO_List[[#This Row],[Chassis]]&amp;"S"&amp;TEXT(tbl_IO_List[[#This Row],[Slot]],"00")</f>
        <v>C7S05</v>
      </c>
      <c r="Y1009" s="136" t="str">
        <f>tbl_IO_List[[#This Row],[Chassis]]&amp;"S"&amp;TEXT(tbl_IO_List[[#This Row],[Slot]],"00")&amp;tbl_IO_List[[#This Row],[I/O Type]]&amp;TEXT(tbl_IO_List[[#This Row],[Point]],"00")</f>
        <v>C7S05DO23</v>
      </c>
      <c r="Z1009" s="136" t="str">
        <f>tbl_IO_List[[#This Row],[Chassis]]&amp;"S"&amp;TEXT(tbl_IO_List[[#This Row],[Slot]],"00")&amp;","&amp;TEXT(tbl_IO_List[[#This Row],[Point]],"00")</f>
        <v>C7S05,23</v>
      </c>
      <c r="AA1009" s="136" t="e">
        <f>VLOOKUP(tbl_IO_List[[#This Row],[Column23]],tbl_RackConfig[],5,FALSE) &amp;"-"&amp;tbl_IO_List[[#This Row],[Point]]</f>
        <v>#N/A</v>
      </c>
      <c r="AB1009" s="136"/>
      <c r="AC1009" s="136"/>
      <c r="AD1009" s="136" t="str">
        <f>tbl_IO_List[[#This Row],[I/O Type]]</f>
        <v>DO</v>
      </c>
      <c r="AE1009" s="136" t="s">
        <v>1368</v>
      </c>
      <c r="AF1009" s="136">
        <v>5</v>
      </c>
      <c r="AG1009" s="136">
        <v>23</v>
      </c>
      <c r="AH1009" s="136"/>
      <c r="AI1009" s="136"/>
      <c r="AJ1009" s="136">
        <v>2</v>
      </c>
      <c r="AK1009" s="136">
        <v>2</v>
      </c>
      <c r="AL1009" s="136">
        <v>0</v>
      </c>
      <c r="AM1009" s="136">
        <v>0</v>
      </c>
      <c r="AN1009" s="136">
        <v>0</v>
      </c>
      <c r="AO1009" s="136"/>
      <c r="AP1009" s="143" t="str">
        <f>VLOOKUP(tbl_IO_List[[#This Row],[Instruement Tag]],tbl_Instruement_List[],14,FALSE)</f>
        <v>24 VDC energized</v>
      </c>
      <c r="AQ1009" s="143" t="str">
        <f>tbl_IO_List[[#This Row],[Chassis]]&amp;"S"&amp;tbl_IO_List[[#This Row],[Slot]]&amp;"-"&amp;tbl_IO_List[[#This Row],[Front Terminal Number]]</f>
        <v>C7S5-</v>
      </c>
      <c r="AR1009" s="143"/>
      <c r="AS1009" s="136" t="str">
        <f>tbl_IO_List[[#This Row],[Terminal Tagging]]&amp;"-"&amp;tbl_IO_List[[#This Row],[Point-Count]]</f>
        <v>-</v>
      </c>
      <c r="AT1009" s="136" t="str">
        <f>tbl_IO_List[[#This Row],[Front Terminal Tagging]]&amp;"/"&amp;tbl_IO_List[[#This Row],[Terminal Tagging-Item]]</f>
        <v>C7S5-/-</v>
      </c>
      <c r="AU1009" s="136" t="str">
        <f>tbl_IO_List[[#This Row],[Terminal Tagging-Item]]&amp;"/"&amp;tbl_IO_List[[#This Row],[Front Terminal Tagging]]</f>
        <v>-/C7S5-</v>
      </c>
    </row>
    <row r="1010" spans="1:47" hidden="1">
      <c r="A1010" s="136" t="s">
        <v>1307</v>
      </c>
      <c r="B1010" s="136" t="s">
        <v>1307</v>
      </c>
      <c r="C1010" s="136" t="str">
        <f>tbl_IO_List[[#This Row],[Column3]]</f>
        <v>C7S05,24</v>
      </c>
      <c r="D1010" s="136" t="e">
        <f>tbl_IO_List[[#This Row],[Card]]</f>
        <v>#N/A</v>
      </c>
      <c r="E1010" s="136"/>
      <c r="F1010" s="136" t="str">
        <f>tbl_IO_List[[#This Row],[Column23]]&amp;"-" &amp;tbl_IO_List[[#This Row],[Column52]]</f>
        <v>C7S05-</v>
      </c>
      <c r="G1010" s="136" t="str">
        <f>tbl_IO_List[[#This Row],[PLC_Tag]]</f>
        <v>RVM-60201_DO_2</v>
      </c>
      <c r="H1010" s="136"/>
      <c r="I1010" s="136" t="str">
        <f>VLOOKUP(tbl_IO_List[[#This Row],[Destination]],tbl_Junction[],2,FALSE)</f>
        <v>MCC Room</v>
      </c>
      <c r="J1010" s="136" t="s">
        <v>191</v>
      </c>
      <c r="K1010" s="136" t="s">
        <v>14</v>
      </c>
      <c r="L1010" s="136" t="s">
        <v>898</v>
      </c>
      <c r="M1010" s="136">
        <f>VLOOKUP(tbl_IO_List[[#This Row],[Instruement Tag]],tbl_Instruement_List[],2,FALSE)</f>
        <v>0</v>
      </c>
      <c r="N1010" s="136" t="s">
        <v>15</v>
      </c>
      <c r="O1010" s="136" t="s">
        <v>192</v>
      </c>
      <c r="P1010" s="136" t="s">
        <v>18</v>
      </c>
      <c r="Q1010" s="136" t="str">
        <f>VLOOKUP(tbl_IO_List[[#This Row],[Instruement Tag]],tbl_Instruement_List[],6,FALSE)</f>
        <v xml:space="preserve"> Start / Stop Command for FVNR RVAL-21 (Cyclone-21 Rotary Valve )</v>
      </c>
      <c r="R1010" s="136"/>
      <c r="S101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1010" s="136" t="str">
        <f>tbl_IO_List[[#This Row],[Instruement Tag]]&amp;"_"&amp;tbl_IO_List[[#This Row],[I/O Type]]&amp;"_"&amp;tbl_IO_List[[#This Row],[IO-Point 
(Instruement)]]</f>
        <v>RVM-60201_DO_2</v>
      </c>
      <c r="U1010" s="136" t="s">
        <v>7</v>
      </c>
      <c r="V1010" s="136">
        <f>VLOOKUP(tbl_IO_List[[#This Row],[I/O Type]],tbl_Slot_Group[],2,FALSE)</f>
        <v>2</v>
      </c>
      <c r="W1010" s="136">
        <v>2</v>
      </c>
      <c r="X1010" s="136" t="str">
        <f>tbl_IO_List[[#This Row],[Chassis]]&amp;"S"&amp;TEXT(tbl_IO_List[[#This Row],[Slot]],"00")</f>
        <v>C7S05</v>
      </c>
      <c r="Y1010" s="136" t="str">
        <f>tbl_IO_List[[#This Row],[Chassis]]&amp;"S"&amp;TEXT(tbl_IO_List[[#This Row],[Slot]],"00")&amp;tbl_IO_List[[#This Row],[I/O Type]]&amp;TEXT(tbl_IO_List[[#This Row],[Point]],"00")</f>
        <v>C7S05DO24</v>
      </c>
      <c r="Z1010" s="136" t="str">
        <f>tbl_IO_List[[#This Row],[Chassis]]&amp;"S"&amp;TEXT(tbl_IO_List[[#This Row],[Slot]],"00")&amp;","&amp;TEXT(tbl_IO_List[[#This Row],[Point]],"00")</f>
        <v>C7S05,24</v>
      </c>
      <c r="AA1010" s="136" t="e">
        <f>VLOOKUP(tbl_IO_List[[#This Row],[Column23]],tbl_RackConfig[],5,FALSE) &amp;"-"&amp;tbl_IO_List[[#This Row],[Point]]</f>
        <v>#N/A</v>
      </c>
      <c r="AB1010" s="136"/>
      <c r="AC1010" s="136"/>
      <c r="AD1010" s="136" t="str">
        <f>tbl_IO_List[[#This Row],[I/O Type]]</f>
        <v>DO</v>
      </c>
      <c r="AE1010" s="136" t="s">
        <v>1368</v>
      </c>
      <c r="AF1010" s="136">
        <v>5</v>
      </c>
      <c r="AG1010" s="136">
        <v>24</v>
      </c>
      <c r="AH1010" s="136"/>
      <c r="AI1010" s="136"/>
      <c r="AJ1010" s="136">
        <v>2</v>
      </c>
      <c r="AK1010" s="136">
        <v>2</v>
      </c>
      <c r="AL1010" s="136">
        <v>0</v>
      </c>
      <c r="AM1010" s="136">
        <v>0</v>
      </c>
      <c r="AN1010" s="136">
        <v>0</v>
      </c>
      <c r="AO1010" s="136"/>
      <c r="AP1010" s="143" t="str">
        <f>VLOOKUP(tbl_IO_List[[#This Row],[Instruement Tag]],tbl_Instruement_List[],14,FALSE)</f>
        <v>24 VDC energized</v>
      </c>
      <c r="AQ1010" s="143" t="str">
        <f>tbl_IO_List[[#This Row],[Chassis]]&amp;"S"&amp;tbl_IO_List[[#This Row],[Slot]]&amp;"-"&amp;tbl_IO_List[[#This Row],[Front Terminal Number]]</f>
        <v>C7S5-</v>
      </c>
      <c r="AR1010" s="143"/>
      <c r="AS1010" s="136" t="str">
        <f>tbl_IO_List[[#This Row],[Terminal Tagging]]&amp;"-"&amp;tbl_IO_List[[#This Row],[Point-Count]]</f>
        <v>-</v>
      </c>
      <c r="AT1010" s="136" t="str">
        <f>tbl_IO_List[[#This Row],[Front Terminal Tagging]]&amp;"/"&amp;tbl_IO_List[[#This Row],[Terminal Tagging-Item]]</f>
        <v>C7S5-/-</v>
      </c>
      <c r="AU1010" s="136" t="str">
        <f>tbl_IO_List[[#This Row],[Terminal Tagging-Item]]&amp;"/"&amp;tbl_IO_List[[#This Row],[Front Terminal Tagging]]</f>
        <v>-/C7S5-</v>
      </c>
    </row>
    <row r="1011" spans="1:47" hidden="1">
      <c r="A1011" s="136" t="s">
        <v>1307</v>
      </c>
      <c r="B1011" s="136" t="s">
        <v>1307</v>
      </c>
      <c r="C1011" s="136" t="str">
        <f>tbl_IO_List[[#This Row],[Column3]]</f>
        <v>C7S05,25</v>
      </c>
      <c r="D1011" s="136" t="e">
        <f>tbl_IO_List[[#This Row],[Card]]</f>
        <v>#N/A</v>
      </c>
      <c r="E1011" s="136"/>
      <c r="F1011" s="136" t="str">
        <f>tbl_IO_List[[#This Row],[Column23]]&amp;"-" &amp;tbl_IO_List[[#This Row],[Column52]]</f>
        <v>C7S05-</v>
      </c>
      <c r="G1011" s="136" t="str">
        <f>tbl_IO_List[[#This Row],[PLC_Tag]]</f>
        <v>RVM-60202_DO_1</v>
      </c>
      <c r="H1011" s="136"/>
      <c r="I1011" s="136" t="str">
        <f>VLOOKUP(tbl_IO_List[[#This Row],[Destination]],tbl_Junction[],2,FALSE)</f>
        <v>MCC Room</v>
      </c>
      <c r="J1011" s="136" t="s">
        <v>191</v>
      </c>
      <c r="K1011" s="136" t="s">
        <v>14</v>
      </c>
      <c r="L1011" s="136" t="s">
        <v>900</v>
      </c>
      <c r="M1011" s="136">
        <f>VLOOKUP(tbl_IO_List[[#This Row],[Instruement Tag]],tbl_Instruement_List[],2,FALSE)</f>
        <v>0</v>
      </c>
      <c r="N1011" s="136" t="s">
        <v>15</v>
      </c>
      <c r="O1011" s="136" t="s">
        <v>192</v>
      </c>
      <c r="P1011" s="136" t="s">
        <v>18</v>
      </c>
      <c r="Q1011" s="136" t="str">
        <f>VLOOKUP(tbl_IO_List[[#This Row],[Instruement Tag]],tbl_Instruement_List[],6,FALSE)</f>
        <v xml:space="preserve"> Start / Stop Command for FVNR RVAL-22 (Cyclone-22 Rotary Valve )</v>
      </c>
      <c r="R1011" s="136"/>
      <c r="S101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1011" s="136" t="str">
        <f>tbl_IO_List[[#This Row],[Instruement Tag]]&amp;"_"&amp;tbl_IO_List[[#This Row],[I/O Type]]&amp;"_"&amp;tbl_IO_List[[#This Row],[IO-Point 
(Instruement)]]</f>
        <v>RVM-60202_DO_1</v>
      </c>
      <c r="U1011" s="136" t="s">
        <v>7</v>
      </c>
      <c r="V1011" s="136">
        <f>VLOOKUP(tbl_IO_List[[#This Row],[I/O Type]],tbl_Slot_Group[],2,FALSE)</f>
        <v>2</v>
      </c>
      <c r="W1011" s="136">
        <v>1</v>
      </c>
      <c r="X1011" s="136" t="str">
        <f>tbl_IO_List[[#This Row],[Chassis]]&amp;"S"&amp;TEXT(tbl_IO_List[[#This Row],[Slot]],"00")</f>
        <v>C7S05</v>
      </c>
      <c r="Y1011" s="136" t="str">
        <f>tbl_IO_List[[#This Row],[Chassis]]&amp;"S"&amp;TEXT(tbl_IO_List[[#This Row],[Slot]],"00")&amp;tbl_IO_List[[#This Row],[I/O Type]]&amp;TEXT(tbl_IO_List[[#This Row],[Point]],"00")</f>
        <v>C7S05DO25</v>
      </c>
      <c r="Z1011" s="136" t="str">
        <f>tbl_IO_List[[#This Row],[Chassis]]&amp;"S"&amp;TEXT(tbl_IO_List[[#This Row],[Slot]],"00")&amp;","&amp;TEXT(tbl_IO_List[[#This Row],[Point]],"00")</f>
        <v>C7S05,25</v>
      </c>
      <c r="AA1011" s="136" t="e">
        <f>VLOOKUP(tbl_IO_List[[#This Row],[Column23]],tbl_RackConfig[],5,FALSE) &amp;"-"&amp;tbl_IO_List[[#This Row],[Point]]</f>
        <v>#N/A</v>
      </c>
      <c r="AB1011" s="136"/>
      <c r="AC1011" s="136"/>
      <c r="AD1011" s="136" t="str">
        <f>tbl_IO_List[[#This Row],[I/O Type]]</f>
        <v>DO</v>
      </c>
      <c r="AE1011" s="136" t="s">
        <v>1368</v>
      </c>
      <c r="AF1011" s="136">
        <v>5</v>
      </c>
      <c r="AG1011" s="136">
        <v>25</v>
      </c>
      <c r="AH1011" s="136"/>
      <c r="AI1011" s="136"/>
      <c r="AJ1011" s="136">
        <v>2</v>
      </c>
      <c r="AK1011" s="136">
        <v>2</v>
      </c>
      <c r="AL1011" s="136">
        <v>0</v>
      </c>
      <c r="AM1011" s="136">
        <v>0</v>
      </c>
      <c r="AN1011" s="136">
        <v>0</v>
      </c>
      <c r="AO1011" s="136"/>
      <c r="AP1011" s="143" t="str">
        <f>VLOOKUP(tbl_IO_List[[#This Row],[Instruement Tag]],tbl_Instruement_List[],14,FALSE)</f>
        <v>24 VDC energized</v>
      </c>
      <c r="AQ1011" s="143" t="str">
        <f>tbl_IO_List[[#This Row],[Chassis]]&amp;"S"&amp;tbl_IO_List[[#This Row],[Slot]]&amp;"-"&amp;tbl_IO_List[[#This Row],[Front Terminal Number]]</f>
        <v>C7S5-</v>
      </c>
      <c r="AR1011" s="143"/>
      <c r="AS1011" s="136" t="str">
        <f>tbl_IO_List[[#This Row],[Terminal Tagging]]&amp;"-"&amp;tbl_IO_List[[#This Row],[Point-Count]]</f>
        <v>-</v>
      </c>
      <c r="AT1011" s="136" t="str">
        <f>tbl_IO_List[[#This Row],[Front Terminal Tagging]]&amp;"/"&amp;tbl_IO_List[[#This Row],[Terminal Tagging-Item]]</f>
        <v>C7S5-/-</v>
      </c>
      <c r="AU1011" s="136" t="str">
        <f>tbl_IO_List[[#This Row],[Terminal Tagging-Item]]&amp;"/"&amp;tbl_IO_List[[#This Row],[Front Terminal Tagging]]</f>
        <v>-/C7S5-</v>
      </c>
    </row>
    <row r="1012" spans="1:47" hidden="1">
      <c r="A1012" s="136" t="s">
        <v>1307</v>
      </c>
      <c r="B1012" s="136" t="s">
        <v>1307</v>
      </c>
      <c r="C1012" s="136" t="str">
        <f>tbl_IO_List[[#This Row],[Column3]]</f>
        <v>C7S05,26</v>
      </c>
      <c r="D1012" s="136" t="e">
        <f>tbl_IO_List[[#This Row],[Card]]</f>
        <v>#N/A</v>
      </c>
      <c r="E1012" s="136"/>
      <c r="F1012" s="136" t="str">
        <f>tbl_IO_List[[#This Row],[Column23]]&amp;"-" &amp;tbl_IO_List[[#This Row],[Column52]]</f>
        <v>C7S05-</v>
      </c>
      <c r="G1012" s="136" t="str">
        <f>tbl_IO_List[[#This Row],[PLC_Tag]]</f>
        <v>RVM-60202_DO_2</v>
      </c>
      <c r="H1012" s="136"/>
      <c r="I1012" s="136" t="str">
        <f>VLOOKUP(tbl_IO_List[[#This Row],[Destination]],tbl_Junction[],2,FALSE)</f>
        <v>MCC Room</v>
      </c>
      <c r="J1012" s="136" t="s">
        <v>191</v>
      </c>
      <c r="K1012" s="136" t="s">
        <v>14</v>
      </c>
      <c r="L1012" s="136" t="s">
        <v>900</v>
      </c>
      <c r="M1012" s="136">
        <f>VLOOKUP(tbl_IO_List[[#This Row],[Instruement Tag]],tbl_Instruement_List[],2,FALSE)</f>
        <v>0</v>
      </c>
      <c r="N1012" s="136" t="s">
        <v>15</v>
      </c>
      <c r="O1012" s="136" t="s">
        <v>192</v>
      </c>
      <c r="P1012" s="136" t="s">
        <v>18</v>
      </c>
      <c r="Q1012" s="136" t="str">
        <f>VLOOKUP(tbl_IO_List[[#This Row],[Instruement Tag]],tbl_Instruement_List[],6,FALSE)</f>
        <v xml:space="preserve"> Start / Stop Command for FVNR RVAL-22 (Cyclone-22 Rotary Valve )</v>
      </c>
      <c r="R1012" s="136"/>
      <c r="S101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1012" s="136" t="str">
        <f>tbl_IO_List[[#This Row],[Instruement Tag]]&amp;"_"&amp;tbl_IO_List[[#This Row],[I/O Type]]&amp;"_"&amp;tbl_IO_List[[#This Row],[IO-Point 
(Instruement)]]</f>
        <v>RVM-60202_DO_2</v>
      </c>
      <c r="U1012" s="136" t="s">
        <v>7</v>
      </c>
      <c r="V1012" s="136">
        <f>VLOOKUP(tbl_IO_List[[#This Row],[I/O Type]],tbl_Slot_Group[],2,FALSE)</f>
        <v>2</v>
      </c>
      <c r="W1012" s="136">
        <v>2</v>
      </c>
      <c r="X1012" s="136" t="str">
        <f>tbl_IO_List[[#This Row],[Chassis]]&amp;"S"&amp;TEXT(tbl_IO_List[[#This Row],[Slot]],"00")</f>
        <v>C7S05</v>
      </c>
      <c r="Y1012" s="136" t="str">
        <f>tbl_IO_List[[#This Row],[Chassis]]&amp;"S"&amp;TEXT(tbl_IO_List[[#This Row],[Slot]],"00")&amp;tbl_IO_List[[#This Row],[I/O Type]]&amp;TEXT(tbl_IO_List[[#This Row],[Point]],"00")</f>
        <v>C7S05DO26</v>
      </c>
      <c r="Z1012" s="136" t="str">
        <f>tbl_IO_List[[#This Row],[Chassis]]&amp;"S"&amp;TEXT(tbl_IO_List[[#This Row],[Slot]],"00")&amp;","&amp;TEXT(tbl_IO_List[[#This Row],[Point]],"00")</f>
        <v>C7S05,26</v>
      </c>
      <c r="AA1012" s="136" t="e">
        <f>VLOOKUP(tbl_IO_List[[#This Row],[Column23]],tbl_RackConfig[],5,FALSE) &amp;"-"&amp;tbl_IO_List[[#This Row],[Point]]</f>
        <v>#N/A</v>
      </c>
      <c r="AB1012" s="136"/>
      <c r="AC1012" s="136"/>
      <c r="AD1012" s="136" t="str">
        <f>tbl_IO_List[[#This Row],[I/O Type]]</f>
        <v>DO</v>
      </c>
      <c r="AE1012" s="136" t="s">
        <v>1368</v>
      </c>
      <c r="AF1012" s="136">
        <v>5</v>
      </c>
      <c r="AG1012" s="136">
        <v>26</v>
      </c>
      <c r="AH1012" s="136"/>
      <c r="AI1012" s="136"/>
      <c r="AJ1012" s="136">
        <v>2</v>
      </c>
      <c r="AK1012" s="136">
        <v>2</v>
      </c>
      <c r="AL1012" s="136">
        <v>0</v>
      </c>
      <c r="AM1012" s="136">
        <v>0</v>
      </c>
      <c r="AN1012" s="136">
        <v>0</v>
      </c>
      <c r="AO1012" s="136"/>
      <c r="AP1012" s="143" t="str">
        <f>VLOOKUP(tbl_IO_List[[#This Row],[Instruement Tag]],tbl_Instruement_List[],14,FALSE)</f>
        <v>24 VDC energized</v>
      </c>
      <c r="AQ1012" s="143" t="str">
        <f>tbl_IO_List[[#This Row],[Chassis]]&amp;"S"&amp;tbl_IO_List[[#This Row],[Slot]]&amp;"-"&amp;tbl_IO_List[[#This Row],[Front Terminal Number]]</f>
        <v>C7S5-</v>
      </c>
      <c r="AR1012" s="143"/>
      <c r="AS1012" s="136" t="str">
        <f>tbl_IO_List[[#This Row],[Terminal Tagging]]&amp;"-"&amp;tbl_IO_List[[#This Row],[Point-Count]]</f>
        <v>-</v>
      </c>
      <c r="AT1012" s="136" t="str">
        <f>tbl_IO_List[[#This Row],[Front Terminal Tagging]]&amp;"/"&amp;tbl_IO_List[[#This Row],[Terminal Tagging-Item]]</f>
        <v>C7S5-/-</v>
      </c>
      <c r="AU1012" s="136" t="str">
        <f>tbl_IO_List[[#This Row],[Terminal Tagging-Item]]&amp;"/"&amp;tbl_IO_List[[#This Row],[Front Terminal Tagging]]</f>
        <v>-/C7S5-</v>
      </c>
    </row>
    <row r="1013" spans="1:47" hidden="1">
      <c r="A1013" s="136" t="s">
        <v>1307</v>
      </c>
      <c r="B1013" s="136" t="s">
        <v>1307</v>
      </c>
      <c r="C1013" s="136" t="str">
        <f>tbl_IO_List[[#This Row],[Column3]]</f>
        <v>C7S05,27</v>
      </c>
      <c r="D1013" s="136" t="e">
        <f>tbl_IO_List[[#This Row],[Card]]</f>
        <v>#N/A</v>
      </c>
      <c r="E1013" s="136"/>
      <c r="F1013" s="136" t="str">
        <f>tbl_IO_List[[#This Row],[Column23]]&amp;"-" &amp;tbl_IO_List[[#This Row],[Column52]]</f>
        <v>C7S05-</v>
      </c>
      <c r="G1013" s="136" t="str">
        <f>tbl_IO_List[[#This Row],[PLC_Tag]]</f>
        <v>RVM-60203_DO_1</v>
      </c>
      <c r="H1013" s="136"/>
      <c r="I1013" s="136" t="str">
        <f>VLOOKUP(tbl_IO_List[[#This Row],[Destination]],tbl_Junction[],2,FALSE)</f>
        <v>MCC Room</v>
      </c>
      <c r="J1013" s="136" t="s">
        <v>191</v>
      </c>
      <c r="K1013" s="136" t="s">
        <v>14</v>
      </c>
      <c r="L1013" s="136" t="s">
        <v>902</v>
      </c>
      <c r="M1013" s="136">
        <f>VLOOKUP(tbl_IO_List[[#This Row],[Instruement Tag]],tbl_Instruement_List[],2,FALSE)</f>
        <v>0</v>
      </c>
      <c r="N1013" s="136" t="s">
        <v>15</v>
      </c>
      <c r="O1013" s="136" t="s">
        <v>192</v>
      </c>
      <c r="P1013" s="136" t="s">
        <v>18</v>
      </c>
      <c r="Q1013" s="136" t="str">
        <f>VLOOKUP(tbl_IO_List[[#This Row],[Instruement Tag]],tbl_Instruement_List[],6,FALSE)</f>
        <v xml:space="preserve"> Start / Stop Command for FVNR RVAL-23 (Bag House Rotary Valve)</v>
      </c>
      <c r="R1013" s="136"/>
      <c r="S101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1013" s="136" t="str">
        <f>tbl_IO_List[[#This Row],[Instruement Tag]]&amp;"_"&amp;tbl_IO_List[[#This Row],[I/O Type]]&amp;"_"&amp;tbl_IO_List[[#This Row],[IO-Point 
(Instruement)]]</f>
        <v>RVM-60203_DO_1</v>
      </c>
      <c r="U1013" s="136" t="s">
        <v>7</v>
      </c>
      <c r="V1013" s="136">
        <f>VLOOKUP(tbl_IO_List[[#This Row],[I/O Type]],tbl_Slot_Group[],2,FALSE)</f>
        <v>2</v>
      </c>
      <c r="W1013" s="136">
        <v>1</v>
      </c>
      <c r="X1013" s="136" t="str">
        <f>tbl_IO_List[[#This Row],[Chassis]]&amp;"S"&amp;TEXT(tbl_IO_List[[#This Row],[Slot]],"00")</f>
        <v>C7S05</v>
      </c>
      <c r="Y1013" s="136" t="str">
        <f>tbl_IO_List[[#This Row],[Chassis]]&amp;"S"&amp;TEXT(tbl_IO_List[[#This Row],[Slot]],"00")&amp;tbl_IO_List[[#This Row],[I/O Type]]&amp;TEXT(tbl_IO_List[[#This Row],[Point]],"00")</f>
        <v>C7S05DO27</v>
      </c>
      <c r="Z1013" s="136" t="str">
        <f>tbl_IO_List[[#This Row],[Chassis]]&amp;"S"&amp;TEXT(tbl_IO_List[[#This Row],[Slot]],"00")&amp;","&amp;TEXT(tbl_IO_List[[#This Row],[Point]],"00")</f>
        <v>C7S05,27</v>
      </c>
      <c r="AA1013" s="136" t="e">
        <f>VLOOKUP(tbl_IO_List[[#This Row],[Column23]],tbl_RackConfig[],5,FALSE) &amp;"-"&amp;tbl_IO_List[[#This Row],[Point]]</f>
        <v>#N/A</v>
      </c>
      <c r="AB1013" s="136"/>
      <c r="AC1013" s="136"/>
      <c r="AD1013" s="136" t="str">
        <f>tbl_IO_List[[#This Row],[I/O Type]]</f>
        <v>DO</v>
      </c>
      <c r="AE1013" s="136" t="s">
        <v>1368</v>
      </c>
      <c r="AF1013" s="136">
        <v>5</v>
      </c>
      <c r="AG1013" s="136">
        <v>27</v>
      </c>
      <c r="AH1013" s="136"/>
      <c r="AI1013" s="136"/>
      <c r="AJ1013" s="136">
        <v>2</v>
      </c>
      <c r="AK1013" s="136">
        <v>2</v>
      </c>
      <c r="AL1013" s="136">
        <v>0</v>
      </c>
      <c r="AM1013" s="136">
        <v>0</v>
      </c>
      <c r="AN1013" s="136">
        <v>0</v>
      </c>
      <c r="AO1013" s="136"/>
      <c r="AP1013" s="143" t="str">
        <f>VLOOKUP(tbl_IO_List[[#This Row],[Instruement Tag]],tbl_Instruement_List[],14,FALSE)</f>
        <v>24 VDC energized</v>
      </c>
      <c r="AQ1013" s="143" t="str">
        <f>tbl_IO_List[[#This Row],[Chassis]]&amp;"S"&amp;tbl_IO_List[[#This Row],[Slot]]&amp;"-"&amp;tbl_IO_List[[#This Row],[Front Terminal Number]]</f>
        <v>C7S5-</v>
      </c>
      <c r="AR1013" s="143"/>
      <c r="AS1013" s="136" t="str">
        <f>tbl_IO_List[[#This Row],[Terminal Tagging]]&amp;"-"&amp;tbl_IO_List[[#This Row],[Point-Count]]</f>
        <v>-</v>
      </c>
      <c r="AT1013" s="136" t="str">
        <f>tbl_IO_List[[#This Row],[Front Terminal Tagging]]&amp;"/"&amp;tbl_IO_List[[#This Row],[Terminal Tagging-Item]]</f>
        <v>C7S5-/-</v>
      </c>
      <c r="AU1013" s="136" t="str">
        <f>tbl_IO_List[[#This Row],[Terminal Tagging-Item]]&amp;"/"&amp;tbl_IO_List[[#This Row],[Front Terminal Tagging]]</f>
        <v>-/C7S5-</v>
      </c>
    </row>
    <row r="1014" spans="1:47" hidden="1">
      <c r="A1014" s="136" t="s">
        <v>1307</v>
      </c>
      <c r="B1014" s="136" t="s">
        <v>1307</v>
      </c>
      <c r="C1014" s="136" t="str">
        <f>tbl_IO_List[[#This Row],[Column3]]</f>
        <v>C7S05,28</v>
      </c>
      <c r="D1014" s="136" t="e">
        <f>tbl_IO_List[[#This Row],[Card]]</f>
        <v>#N/A</v>
      </c>
      <c r="E1014" s="136"/>
      <c r="F1014" s="136" t="str">
        <f>tbl_IO_List[[#This Row],[Column23]]&amp;"-" &amp;tbl_IO_List[[#This Row],[Column52]]</f>
        <v>C7S05-</v>
      </c>
      <c r="G1014" s="136" t="str">
        <f>tbl_IO_List[[#This Row],[PLC_Tag]]</f>
        <v>RVM-60203_DO_2</v>
      </c>
      <c r="H1014" s="136"/>
      <c r="I1014" s="136" t="str">
        <f>VLOOKUP(tbl_IO_List[[#This Row],[Destination]],tbl_Junction[],2,FALSE)</f>
        <v>MCC Room</v>
      </c>
      <c r="J1014" s="136" t="s">
        <v>191</v>
      </c>
      <c r="K1014" s="136" t="s">
        <v>14</v>
      </c>
      <c r="L1014" s="136" t="s">
        <v>902</v>
      </c>
      <c r="M1014" s="136">
        <f>VLOOKUP(tbl_IO_List[[#This Row],[Instruement Tag]],tbl_Instruement_List[],2,FALSE)</f>
        <v>0</v>
      </c>
      <c r="N1014" s="136" t="s">
        <v>15</v>
      </c>
      <c r="O1014" s="136" t="s">
        <v>192</v>
      </c>
      <c r="P1014" s="136" t="s">
        <v>18</v>
      </c>
      <c r="Q1014" s="136" t="str">
        <f>VLOOKUP(tbl_IO_List[[#This Row],[Instruement Tag]],tbl_Instruement_List[],6,FALSE)</f>
        <v xml:space="preserve"> Start / Stop Command for FVNR RVAL-23 (Bag House Rotary Valve)</v>
      </c>
      <c r="R1014" s="136"/>
      <c r="S101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1014" s="136" t="str">
        <f>tbl_IO_List[[#This Row],[Instruement Tag]]&amp;"_"&amp;tbl_IO_List[[#This Row],[I/O Type]]&amp;"_"&amp;tbl_IO_List[[#This Row],[IO-Point 
(Instruement)]]</f>
        <v>RVM-60203_DO_2</v>
      </c>
      <c r="U1014" s="136" t="s">
        <v>7</v>
      </c>
      <c r="V1014" s="136">
        <f>VLOOKUP(tbl_IO_List[[#This Row],[I/O Type]],tbl_Slot_Group[],2,FALSE)</f>
        <v>2</v>
      </c>
      <c r="W1014" s="136">
        <v>2</v>
      </c>
      <c r="X1014" s="136" t="str">
        <f>tbl_IO_List[[#This Row],[Chassis]]&amp;"S"&amp;TEXT(tbl_IO_List[[#This Row],[Slot]],"00")</f>
        <v>C7S05</v>
      </c>
      <c r="Y1014" s="136" t="str">
        <f>tbl_IO_List[[#This Row],[Chassis]]&amp;"S"&amp;TEXT(tbl_IO_List[[#This Row],[Slot]],"00")&amp;tbl_IO_List[[#This Row],[I/O Type]]&amp;TEXT(tbl_IO_List[[#This Row],[Point]],"00")</f>
        <v>C7S05DO28</v>
      </c>
      <c r="Z1014" s="136" t="str">
        <f>tbl_IO_List[[#This Row],[Chassis]]&amp;"S"&amp;TEXT(tbl_IO_List[[#This Row],[Slot]],"00")&amp;","&amp;TEXT(tbl_IO_List[[#This Row],[Point]],"00")</f>
        <v>C7S05,28</v>
      </c>
      <c r="AA1014" s="136" t="e">
        <f>VLOOKUP(tbl_IO_List[[#This Row],[Column23]],tbl_RackConfig[],5,FALSE) &amp;"-"&amp;tbl_IO_List[[#This Row],[Point]]</f>
        <v>#N/A</v>
      </c>
      <c r="AB1014" s="136"/>
      <c r="AC1014" s="136"/>
      <c r="AD1014" s="136" t="str">
        <f>tbl_IO_List[[#This Row],[I/O Type]]</f>
        <v>DO</v>
      </c>
      <c r="AE1014" s="136" t="s">
        <v>1368</v>
      </c>
      <c r="AF1014" s="136">
        <v>5</v>
      </c>
      <c r="AG1014" s="136">
        <v>28</v>
      </c>
      <c r="AH1014" s="136"/>
      <c r="AI1014" s="136"/>
      <c r="AJ1014" s="136">
        <v>2</v>
      </c>
      <c r="AK1014" s="136">
        <v>2</v>
      </c>
      <c r="AL1014" s="136">
        <v>0</v>
      </c>
      <c r="AM1014" s="136">
        <v>0</v>
      </c>
      <c r="AN1014" s="136">
        <v>0</v>
      </c>
      <c r="AO1014" s="136"/>
      <c r="AP1014" s="143" t="str">
        <f>VLOOKUP(tbl_IO_List[[#This Row],[Instruement Tag]],tbl_Instruement_List[],14,FALSE)</f>
        <v>24 VDC energized</v>
      </c>
      <c r="AQ1014" s="143" t="str">
        <f>tbl_IO_List[[#This Row],[Chassis]]&amp;"S"&amp;tbl_IO_List[[#This Row],[Slot]]&amp;"-"&amp;tbl_IO_List[[#This Row],[Front Terminal Number]]</f>
        <v>C7S5-</v>
      </c>
      <c r="AR1014" s="143"/>
      <c r="AS1014" s="136" t="str">
        <f>tbl_IO_List[[#This Row],[Terminal Tagging]]&amp;"-"&amp;tbl_IO_List[[#This Row],[Point-Count]]</f>
        <v>-</v>
      </c>
      <c r="AT1014" s="136" t="str">
        <f>tbl_IO_List[[#This Row],[Front Terminal Tagging]]&amp;"/"&amp;tbl_IO_List[[#This Row],[Terminal Tagging-Item]]</f>
        <v>C7S5-/-</v>
      </c>
      <c r="AU1014" s="136" t="str">
        <f>tbl_IO_List[[#This Row],[Terminal Tagging-Item]]&amp;"/"&amp;tbl_IO_List[[#This Row],[Front Terminal Tagging]]</f>
        <v>-/C7S5-</v>
      </c>
    </row>
    <row r="1015" spans="1:47" hidden="1">
      <c r="A1015" s="136" t="s">
        <v>1307</v>
      </c>
      <c r="B1015" s="136" t="s">
        <v>1307</v>
      </c>
      <c r="C1015" s="136" t="str">
        <f>tbl_IO_List[[#This Row],[Column3]]</f>
        <v>C7S05,29</v>
      </c>
      <c r="D1015" s="136" t="e">
        <f>tbl_IO_List[[#This Row],[Card]]</f>
        <v>#N/A</v>
      </c>
      <c r="E1015" s="136"/>
      <c r="F1015" s="136" t="str">
        <f>tbl_IO_List[[#This Row],[Column23]]&amp;"-" &amp;tbl_IO_List[[#This Row],[Column52]]</f>
        <v>C7S05-</v>
      </c>
      <c r="G1015" s="136" t="str">
        <f>tbl_IO_List[[#This Row],[PLC_Tag]]</f>
        <v>XS-60205_DO_1</v>
      </c>
      <c r="H1015" s="136"/>
      <c r="I1015" s="136" t="str">
        <f>VLOOKUP(tbl_IO_List[[#This Row],[Destination]],tbl_Junction[],2,FALSE)</f>
        <v>MCC Room</v>
      </c>
      <c r="J1015" s="136" t="s">
        <v>191</v>
      </c>
      <c r="K1015" s="136" t="s">
        <v>14</v>
      </c>
      <c r="L1015" s="136" t="s">
        <v>1208</v>
      </c>
      <c r="M1015" s="136">
        <f>VLOOKUP(tbl_IO_List[[#This Row],[Instruement Tag]],tbl_Instruement_List[],2,FALSE)</f>
        <v>0</v>
      </c>
      <c r="N1015" s="136" t="s">
        <v>15</v>
      </c>
      <c r="O1015" s="136" t="s">
        <v>126</v>
      </c>
      <c r="P1015" s="136" t="s">
        <v>18</v>
      </c>
      <c r="Q1015" s="136" t="str">
        <f>VLOOKUP(tbl_IO_List[[#This Row],[Instruement Tag]],tbl_Instruement_List[],6,FALSE)</f>
        <v xml:space="preserve"> Start / Stop Command for PUPD-11 (Positive Displacement Pump )</v>
      </c>
      <c r="R1015" s="136"/>
      <c r="S101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015" s="136" t="str">
        <f>tbl_IO_List[[#This Row],[Instruement Tag]]&amp;"_"&amp;tbl_IO_List[[#This Row],[I/O Type]]&amp;"_"&amp;tbl_IO_List[[#This Row],[IO-Point 
(Instruement)]]</f>
        <v>XS-60205_DO_1</v>
      </c>
      <c r="U1015" s="136" t="s">
        <v>7</v>
      </c>
      <c r="V1015" s="136">
        <f>VLOOKUP(tbl_IO_List[[#This Row],[I/O Type]],tbl_Slot_Group[],2,FALSE)</f>
        <v>2</v>
      </c>
      <c r="W1015" s="136">
        <v>1</v>
      </c>
      <c r="X1015" s="136" t="str">
        <f>tbl_IO_List[[#This Row],[Chassis]]&amp;"S"&amp;TEXT(tbl_IO_List[[#This Row],[Slot]],"00")</f>
        <v>C7S05</v>
      </c>
      <c r="Y1015" s="136" t="str">
        <f>tbl_IO_List[[#This Row],[Chassis]]&amp;"S"&amp;TEXT(tbl_IO_List[[#This Row],[Slot]],"00")&amp;tbl_IO_List[[#This Row],[I/O Type]]&amp;TEXT(tbl_IO_List[[#This Row],[Point]],"00")</f>
        <v>C7S05DO29</v>
      </c>
      <c r="Z1015" s="136" t="str">
        <f>tbl_IO_List[[#This Row],[Chassis]]&amp;"S"&amp;TEXT(tbl_IO_List[[#This Row],[Slot]],"00")&amp;","&amp;TEXT(tbl_IO_List[[#This Row],[Point]],"00")</f>
        <v>C7S05,29</v>
      </c>
      <c r="AA1015" s="136" t="e">
        <f>VLOOKUP(tbl_IO_List[[#This Row],[Column23]],tbl_RackConfig[],5,FALSE) &amp;"-"&amp;tbl_IO_List[[#This Row],[Point]]</f>
        <v>#N/A</v>
      </c>
      <c r="AB1015" s="136"/>
      <c r="AC1015" s="136"/>
      <c r="AD1015" s="136" t="str">
        <f>tbl_IO_List[[#This Row],[I/O Type]]</f>
        <v>DO</v>
      </c>
      <c r="AE1015" s="136" t="s">
        <v>1368</v>
      </c>
      <c r="AF1015" s="136">
        <v>5</v>
      </c>
      <c r="AG1015" s="136">
        <v>29</v>
      </c>
      <c r="AH1015" s="136"/>
      <c r="AI1015" s="136"/>
      <c r="AJ1015" s="136">
        <v>0</v>
      </c>
      <c r="AK1015" s="136">
        <v>1</v>
      </c>
      <c r="AL1015" s="136">
        <v>0</v>
      </c>
      <c r="AM1015" s="136">
        <v>0</v>
      </c>
      <c r="AN1015" s="136">
        <v>0</v>
      </c>
      <c r="AO1015" s="136"/>
      <c r="AP1015" s="143">
        <f>VLOOKUP(tbl_IO_List[[#This Row],[Instruement Tag]],tbl_Instruement_List[],14,FALSE)</f>
        <v>0</v>
      </c>
      <c r="AQ1015" s="143" t="str">
        <f>tbl_IO_List[[#This Row],[Chassis]]&amp;"S"&amp;tbl_IO_List[[#This Row],[Slot]]&amp;"-"&amp;tbl_IO_List[[#This Row],[Front Terminal Number]]</f>
        <v>C7S5-</v>
      </c>
      <c r="AR1015" s="143"/>
      <c r="AS1015" s="136" t="str">
        <f>tbl_IO_List[[#This Row],[Terminal Tagging]]&amp;"-"&amp;tbl_IO_List[[#This Row],[Point-Count]]</f>
        <v>-</v>
      </c>
      <c r="AT1015" s="136" t="str">
        <f>tbl_IO_List[[#This Row],[Front Terminal Tagging]]&amp;"/"&amp;tbl_IO_List[[#This Row],[Terminal Tagging-Item]]</f>
        <v>C7S5-/-</v>
      </c>
      <c r="AU1015" s="136" t="str">
        <f>tbl_IO_List[[#This Row],[Terminal Tagging-Item]]&amp;"/"&amp;tbl_IO_List[[#This Row],[Front Terminal Tagging]]</f>
        <v>-/C7S5-</v>
      </c>
    </row>
    <row r="1016" spans="1:47" hidden="1">
      <c r="A1016" s="136" t="s">
        <v>1307</v>
      </c>
      <c r="B1016" s="136" t="s">
        <v>1307</v>
      </c>
      <c r="C1016" s="136" t="str">
        <f>tbl_IO_List[[#This Row],[Column3]]</f>
        <v>C7S05,30</v>
      </c>
      <c r="D1016" s="136" t="e">
        <f>tbl_IO_List[[#This Row],[Card]]</f>
        <v>#N/A</v>
      </c>
      <c r="E1016" s="136"/>
      <c r="F1016" s="136" t="str">
        <f>tbl_IO_List[[#This Row],[Column23]]&amp;"-" &amp;tbl_IO_List[[#This Row],[Column52]]</f>
        <v>C7S05-</v>
      </c>
      <c r="G1016" s="136" t="str">
        <f>tbl_IO_List[[#This Row],[PLC_Tag]]</f>
        <v>BFY-60210_DO_1</v>
      </c>
      <c r="H1016" s="136"/>
      <c r="I1016" s="136" t="str">
        <f>VLOOKUP(tbl_IO_List[[#This Row],[Destination]],tbl_Junction[],2,FALSE)</f>
        <v>MCC Room</v>
      </c>
      <c r="J1016" s="136" t="s">
        <v>221</v>
      </c>
      <c r="K1016" s="136" t="s">
        <v>14</v>
      </c>
      <c r="L1016" s="136" t="s">
        <v>848</v>
      </c>
      <c r="M1016" s="136">
        <f>VLOOKUP(tbl_IO_List[[#This Row],[Instruement Tag]],tbl_Instruement_List[],2,FALSE)</f>
        <v>0</v>
      </c>
      <c r="N1016" s="136" t="s">
        <v>47</v>
      </c>
      <c r="O1016" s="136" t="s">
        <v>50</v>
      </c>
      <c r="P1016" s="136" t="s">
        <v>18</v>
      </c>
      <c r="Q1016" s="136" t="str">
        <f>VLOOKUP(tbl_IO_List[[#This Row],[Instruement Tag]],tbl_Instruement_List[],6,FALSE)</f>
        <v xml:space="preserve"> Start / Stop Command for VSD FANS-21 (Main Supply Air Fan)</v>
      </c>
      <c r="R1016" s="136"/>
      <c r="S101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1,DO=1,AI=0,AO=0,Bus=1</v>
      </c>
      <c r="T1016" s="136" t="str">
        <f>tbl_IO_List[[#This Row],[Instruement Tag]]&amp;"_"&amp;tbl_IO_List[[#This Row],[I/O Type]]&amp;"_"&amp;tbl_IO_List[[#This Row],[IO-Point 
(Instruement)]]</f>
        <v>BFY-60210_DO_1</v>
      </c>
      <c r="U1016" s="136" t="s">
        <v>7</v>
      </c>
      <c r="V1016" s="136">
        <f>VLOOKUP(tbl_IO_List[[#This Row],[I/O Type]],tbl_Slot_Group[],2,FALSE)</f>
        <v>2</v>
      </c>
      <c r="W1016" s="136">
        <v>1</v>
      </c>
      <c r="X1016" s="136" t="str">
        <f>tbl_IO_List[[#This Row],[Chassis]]&amp;"S"&amp;TEXT(tbl_IO_List[[#This Row],[Slot]],"00")</f>
        <v>C7S05</v>
      </c>
      <c r="Y1016" s="136" t="str">
        <f>tbl_IO_List[[#This Row],[Chassis]]&amp;"S"&amp;TEXT(tbl_IO_List[[#This Row],[Slot]],"00")&amp;tbl_IO_List[[#This Row],[I/O Type]]&amp;TEXT(tbl_IO_List[[#This Row],[Point]],"00")</f>
        <v>C7S05DO30</v>
      </c>
      <c r="Z1016" s="136" t="str">
        <f>tbl_IO_List[[#This Row],[Chassis]]&amp;"S"&amp;TEXT(tbl_IO_List[[#This Row],[Slot]],"00")&amp;","&amp;TEXT(tbl_IO_List[[#This Row],[Point]],"00")</f>
        <v>C7S05,30</v>
      </c>
      <c r="AA1016" s="136" t="e">
        <f>VLOOKUP(tbl_IO_List[[#This Row],[Column23]],tbl_RackConfig[],5,FALSE) &amp;"-"&amp;tbl_IO_List[[#This Row],[Point]]</f>
        <v>#N/A</v>
      </c>
      <c r="AB1016" s="136"/>
      <c r="AC1016" s="136"/>
      <c r="AD1016" s="136" t="str">
        <f>tbl_IO_List[[#This Row],[I/O Type]]</f>
        <v>DO</v>
      </c>
      <c r="AE1016" s="136" t="s">
        <v>1368</v>
      </c>
      <c r="AF1016" s="136">
        <v>5</v>
      </c>
      <c r="AG1016" s="136">
        <v>30</v>
      </c>
      <c r="AH1016" s="136"/>
      <c r="AI1016" s="136"/>
      <c r="AJ1016" s="136">
        <v>1</v>
      </c>
      <c r="AK1016" s="136">
        <v>1</v>
      </c>
      <c r="AL1016" s="136">
        <v>0</v>
      </c>
      <c r="AM1016" s="136">
        <v>0</v>
      </c>
      <c r="AN1016" s="136">
        <v>1</v>
      </c>
      <c r="AO1016" s="136"/>
      <c r="AP1016" s="143" t="str">
        <f>VLOOKUP(tbl_IO_List[[#This Row],[Instruement Tag]],tbl_Instruement_List[],14,FALSE)</f>
        <v>24 VDC energized</v>
      </c>
      <c r="AQ1016" s="143" t="str">
        <f>tbl_IO_List[[#This Row],[Chassis]]&amp;"S"&amp;tbl_IO_List[[#This Row],[Slot]]&amp;"-"&amp;tbl_IO_List[[#This Row],[Front Terminal Number]]</f>
        <v>C7S5-</v>
      </c>
      <c r="AR1016" s="143"/>
      <c r="AS1016" s="136" t="str">
        <f>tbl_IO_List[[#This Row],[Terminal Tagging]]&amp;"-"&amp;tbl_IO_List[[#This Row],[Point-Count]]</f>
        <v>-</v>
      </c>
      <c r="AT1016" s="136" t="str">
        <f>tbl_IO_List[[#This Row],[Front Terminal Tagging]]&amp;"/"&amp;tbl_IO_List[[#This Row],[Terminal Tagging-Item]]</f>
        <v>C7S5-/-</v>
      </c>
      <c r="AU1016" s="136" t="str">
        <f>tbl_IO_List[[#This Row],[Terminal Tagging-Item]]&amp;"/"&amp;tbl_IO_List[[#This Row],[Front Terminal Tagging]]</f>
        <v>-/C7S5-</v>
      </c>
    </row>
    <row r="1017" spans="1:47" hidden="1">
      <c r="A1017" s="136" t="s">
        <v>1307</v>
      </c>
      <c r="B1017" s="136" t="s">
        <v>1307</v>
      </c>
      <c r="C1017" s="136" t="str">
        <f>tbl_IO_List[[#This Row],[Column3]]</f>
        <v>C7S05,31</v>
      </c>
      <c r="D1017" s="136" t="e">
        <f>tbl_IO_List[[#This Row],[Card]]</f>
        <v>#N/A</v>
      </c>
      <c r="E1017" s="136"/>
      <c r="F1017" s="136" t="str">
        <f>tbl_IO_List[[#This Row],[Column23]]&amp;"-" &amp;tbl_IO_List[[#This Row],[Column52]]</f>
        <v>C7S05-</v>
      </c>
      <c r="G1017" s="136" t="str">
        <f>tbl_IO_List[[#This Row],[PLC_Tag]]</f>
        <v>BFY-60211_DO_1</v>
      </c>
      <c r="H1017" s="136"/>
      <c r="I1017" s="136" t="str">
        <f>VLOOKUP(tbl_IO_List[[#This Row],[Destination]],tbl_Junction[],2,FALSE)</f>
        <v>MCC Room</v>
      </c>
      <c r="J1017" s="136" t="s">
        <v>221</v>
      </c>
      <c r="K1017" s="136" t="s">
        <v>14</v>
      </c>
      <c r="L1017" s="136" t="s">
        <v>850</v>
      </c>
      <c r="M1017" s="136">
        <f>VLOOKUP(tbl_IO_List[[#This Row],[Instruement Tag]],tbl_Instruement_List[],2,FALSE)</f>
        <v>0</v>
      </c>
      <c r="N1017" s="136" t="s">
        <v>47</v>
      </c>
      <c r="O1017" s="136" t="s">
        <v>50</v>
      </c>
      <c r="P1017" s="136" t="s">
        <v>18</v>
      </c>
      <c r="Q1017" s="136" t="str">
        <f>VLOOKUP(tbl_IO_List[[#This Row],[Instruement Tag]],tbl_Instruement_List[],6,FALSE)</f>
        <v xml:space="preserve"> Start / Stop Command for VSD FANC-21 (Combustion Fan)</v>
      </c>
      <c r="R1017" s="136"/>
      <c r="S101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1,DO=1,AI=0,AO=0,Bus=1</v>
      </c>
      <c r="T1017" s="136" t="str">
        <f>tbl_IO_List[[#This Row],[Instruement Tag]]&amp;"_"&amp;tbl_IO_List[[#This Row],[I/O Type]]&amp;"_"&amp;tbl_IO_List[[#This Row],[IO-Point 
(Instruement)]]</f>
        <v>BFY-60211_DO_1</v>
      </c>
      <c r="U1017" s="136" t="s">
        <v>7</v>
      </c>
      <c r="V1017" s="136">
        <f>VLOOKUP(tbl_IO_List[[#This Row],[I/O Type]],tbl_Slot_Group[],2,FALSE)</f>
        <v>2</v>
      </c>
      <c r="W1017" s="136">
        <v>1</v>
      </c>
      <c r="X1017" s="136" t="str">
        <f>tbl_IO_List[[#This Row],[Chassis]]&amp;"S"&amp;TEXT(tbl_IO_List[[#This Row],[Slot]],"00")</f>
        <v>C7S05</v>
      </c>
      <c r="Y1017" s="136" t="str">
        <f>tbl_IO_List[[#This Row],[Chassis]]&amp;"S"&amp;TEXT(tbl_IO_List[[#This Row],[Slot]],"00")&amp;tbl_IO_List[[#This Row],[I/O Type]]&amp;TEXT(tbl_IO_List[[#This Row],[Point]],"00")</f>
        <v>C7S05DO31</v>
      </c>
      <c r="Z1017" s="136" t="str">
        <f>tbl_IO_List[[#This Row],[Chassis]]&amp;"S"&amp;TEXT(tbl_IO_List[[#This Row],[Slot]],"00")&amp;","&amp;TEXT(tbl_IO_List[[#This Row],[Point]],"00")</f>
        <v>C7S05,31</v>
      </c>
      <c r="AA1017" s="136" t="e">
        <f>VLOOKUP(tbl_IO_List[[#This Row],[Column23]],tbl_RackConfig[],5,FALSE) &amp;"-"&amp;tbl_IO_List[[#This Row],[Point]]</f>
        <v>#N/A</v>
      </c>
      <c r="AB1017" s="136"/>
      <c r="AC1017" s="136"/>
      <c r="AD1017" s="136" t="str">
        <f>tbl_IO_List[[#This Row],[I/O Type]]</f>
        <v>DO</v>
      </c>
      <c r="AE1017" s="136" t="s">
        <v>1368</v>
      </c>
      <c r="AF1017" s="136">
        <v>5</v>
      </c>
      <c r="AG1017" s="136">
        <v>31</v>
      </c>
      <c r="AH1017" s="136"/>
      <c r="AI1017" s="136"/>
      <c r="AJ1017" s="136">
        <v>1</v>
      </c>
      <c r="AK1017" s="136">
        <v>1</v>
      </c>
      <c r="AL1017" s="136">
        <v>0</v>
      </c>
      <c r="AM1017" s="136">
        <v>0</v>
      </c>
      <c r="AN1017" s="136">
        <v>1</v>
      </c>
      <c r="AO1017" s="136"/>
      <c r="AP1017" s="143" t="str">
        <f>VLOOKUP(tbl_IO_List[[#This Row],[Instruement Tag]],tbl_Instruement_List[],14,FALSE)</f>
        <v>24 VDC energized</v>
      </c>
      <c r="AQ1017" s="143" t="str">
        <f>tbl_IO_List[[#This Row],[Chassis]]&amp;"S"&amp;tbl_IO_List[[#This Row],[Slot]]&amp;"-"&amp;tbl_IO_List[[#This Row],[Front Terminal Number]]</f>
        <v>C7S5-</v>
      </c>
      <c r="AR1017" s="143"/>
      <c r="AS1017" s="136" t="str">
        <f>tbl_IO_List[[#This Row],[Terminal Tagging]]&amp;"-"&amp;tbl_IO_List[[#This Row],[Point-Count]]</f>
        <v>-</v>
      </c>
      <c r="AT1017" s="136" t="str">
        <f>tbl_IO_List[[#This Row],[Front Terminal Tagging]]&amp;"/"&amp;tbl_IO_List[[#This Row],[Terminal Tagging-Item]]</f>
        <v>C7S5-/-</v>
      </c>
      <c r="AU1017" s="136" t="str">
        <f>tbl_IO_List[[#This Row],[Terminal Tagging-Item]]&amp;"/"&amp;tbl_IO_List[[#This Row],[Front Terminal Tagging]]</f>
        <v>-/C7S5-</v>
      </c>
    </row>
    <row r="1018" spans="1:47" hidden="1">
      <c r="A1018" s="136" t="s">
        <v>1307</v>
      </c>
      <c r="B1018" s="136" t="s">
        <v>1307</v>
      </c>
      <c r="C1018" s="136" t="str">
        <f>tbl_IO_List[[#This Row],[Column3]]</f>
        <v>C7S06,00</v>
      </c>
      <c r="D1018" s="136" t="e">
        <f>tbl_IO_List[[#This Row],[Card]]</f>
        <v>#N/A</v>
      </c>
      <c r="E1018" s="136"/>
      <c r="F1018" s="136" t="str">
        <f>tbl_IO_List[[#This Row],[Column23]]&amp;"-" &amp;tbl_IO_List[[#This Row],[Column52]]</f>
        <v>C7S06-</v>
      </c>
      <c r="G1018" s="136" t="str">
        <f>tbl_IO_List[[#This Row],[PLC_Tag]]</f>
        <v>BFY-60240_DO_1</v>
      </c>
      <c r="H1018" s="136"/>
      <c r="I1018" s="136" t="str">
        <f>VLOOKUP(tbl_IO_List[[#This Row],[Destination]],tbl_Junction[],2,FALSE)</f>
        <v>MCC Room</v>
      </c>
      <c r="J1018" s="136" t="s">
        <v>221</v>
      </c>
      <c r="K1018" s="136" t="s">
        <v>14</v>
      </c>
      <c r="L1018" s="136" t="s">
        <v>852</v>
      </c>
      <c r="M1018" s="136">
        <f>VLOOKUP(tbl_IO_List[[#This Row],[Instruement Tag]],tbl_Instruement_List[],2,FALSE)</f>
        <v>0</v>
      </c>
      <c r="N1018" s="136" t="s">
        <v>47</v>
      </c>
      <c r="O1018" s="136" t="s">
        <v>21</v>
      </c>
      <c r="P1018" s="136" t="s">
        <v>18</v>
      </c>
      <c r="Q1018" s="136" t="str">
        <f>VLOOKUP(tbl_IO_List[[#This Row],[Instruement Tag]],tbl_Instruement_List[],6,FALSE)</f>
        <v xml:space="preserve"> Start / Stop Command for VSD FANE-21 (Exhaust Fan)</v>
      </c>
      <c r="R1018" s="136"/>
      <c r="S101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1,DO=1,AI=0,AO=0,Bus=1</v>
      </c>
      <c r="T1018" s="136" t="str">
        <f>tbl_IO_List[[#This Row],[Instruement Tag]]&amp;"_"&amp;tbl_IO_List[[#This Row],[I/O Type]]&amp;"_"&amp;tbl_IO_List[[#This Row],[IO-Point 
(Instruement)]]</f>
        <v>BFY-60240_DO_1</v>
      </c>
      <c r="U1018" s="136" t="s">
        <v>7</v>
      </c>
      <c r="V1018" s="136">
        <f>VLOOKUP(tbl_IO_List[[#This Row],[I/O Type]],tbl_Slot_Group[],2,FALSE)</f>
        <v>2</v>
      </c>
      <c r="W1018" s="136">
        <v>1</v>
      </c>
      <c r="X1018" s="136" t="str">
        <f>tbl_IO_List[[#This Row],[Chassis]]&amp;"S"&amp;TEXT(tbl_IO_List[[#This Row],[Slot]],"00")</f>
        <v>C7S06</v>
      </c>
      <c r="Y1018" s="136" t="str">
        <f>tbl_IO_List[[#This Row],[Chassis]]&amp;"S"&amp;TEXT(tbl_IO_List[[#This Row],[Slot]],"00")&amp;tbl_IO_List[[#This Row],[I/O Type]]&amp;TEXT(tbl_IO_List[[#This Row],[Point]],"00")</f>
        <v>C7S06DO00</v>
      </c>
      <c r="Z1018" s="136" t="str">
        <f>tbl_IO_List[[#This Row],[Chassis]]&amp;"S"&amp;TEXT(tbl_IO_List[[#This Row],[Slot]],"00")&amp;","&amp;TEXT(tbl_IO_List[[#This Row],[Point]],"00")</f>
        <v>C7S06,00</v>
      </c>
      <c r="AA1018" s="136" t="e">
        <f>VLOOKUP(tbl_IO_List[[#This Row],[Column23]],tbl_RackConfig[],5,FALSE) &amp;"-"&amp;tbl_IO_List[[#This Row],[Point]]</f>
        <v>#N/A</v>
      </c>
      <c r="AB1018" s="136"/>
      <c r="AC1018" s="136"/>
      <c r="AD1018" s="136" t="str">
        <f>tbl_IO_List[[#This Row],[I/O Type]]</f>
        <v>DO</v>
      </c>
      <c r="AE1018" s="136" t="s">
        <v>1368</v>
      </c>
      <c r="AF1018" s="136">
        <v>6</v>
      </c>
      <c r="AG1018" s="136">
        <v>0</v>
      </c>
      <c r="AH1018" s="136"/>
      <c r="AI1018" s="136"/>
      <c r="AJ1018" s="136">
        <v>1</v>
      </c>
      <c r="AK1018" s="136">
        <v>1</v>
      </c>
      <c r="AL1018" s="136">
        <v>0</v>
      </c>
      <c r="AM1018" s="136">
        <v>0</v>
      </c>
      <c r="AN1018" s="136">
        <v>1</v>
      </c>
      <c r="AO1018" s="136"/>
      <c r="AP1018" s="143" t="str">
        <f>VLOOKUP(tbl_IO_List[[#This Row],[Instruement Tag]],tbl_Instruement_List[],14,FALSE)</f>
        <v>24 VDC energized</v>
      </c>
      <c r="AQ1018" s="143" t="str">
        <f>tbl_IO_List[[#This Row],[Chassis]]&amp;"S"&amp;tbl_IO_List[[#This Row],[Slot]]&amp;"-"&amp;tbl_IO_List[[#This Row],[Front Terminal Number]]</f>
        <v>C7S6-</v>
      </c>
      <c r="AR1018" s="143"/>
      <c r="AS1018" s="136" t="str">
        <f>tbl_IO_List[[#This Row],[Terminal Tagging]]&amp;"-"&amp;tbl_IO_List[[#This Row],[Point-Count]]</f>
        <v>-</v>
      </c>
      <c r="AT1018" s="136" t="str">
        <f>tbl_IO_List[[#This Row],[Front Terminal Tagging]]&amp;"/"&amp;tbl_IO_List[[#This Row],[Terminal Tagging-Item]]</f>
        <v>C7S6-/-</v>
      </c>
      <c r="AU1018" s="136" t="str">
        <f>tbl_IO_List[[#This Row],[Terminal Tagging-Item]]&amp;"/"&amp;tbl_IO_List[[#This Row],[Front Terminal Tagging]]</f>
        <v>-/C7S6-</v>
      </c>
    </row>
    <row r="1019" spans="1:47" hidden="1">
      <c r="A1019" s="136" t="s">
        <v>1307</v>
      </c>
      <c r="B1019" s="136" t="s">
        <v>1307</v>
      </c>
      <c r="C1019" s="136" t="str">
        <f>tbl_IO_List[[#This Row],[Column3]]</f>
        <v>C7S06,01</v>
      </c>
      <c r="D1019" s="136" t="e">
        <f>tbl_IO_List[[#This Row],[Card]]</f>
        <v>#N/A</v>
      </c>
      <c r="E1019" s="136"/>
      <c r="F1019" s="136" t="str">
        <f>tbl_IO_List[[#This Row],[Column23]]&amp;"-" &amp;tbl_IO_List[[#This Row],[Column52]]</f>
        <v>C7S06-</v>
      </c>
      <c r="G1019" s="136" t="str">
        <f>tbl_IO_List[[#This Row],[PLC_Tag]]</f>
        <v>PCY-60215_DO_1</v>
      </c>
      <c r="H1019" s="136"/>
      <c r="I1019" s="136" t="str">
        <f>VLOOKUP(tbl_IO_List[[#This Row],[Destination]],tbl_Junction[],2,FALSE)</f>
        <v>MCC Room</v>
      </c>
      <c r="J1019" s="136" t="s">
        <v>221</v>
      </c>
      <c r="K1019" s="136" t="s">
        <v>14</v>
      </c>
      <c r="L1019" s="136" t="s">
        <v>893</v>
      </c>
      <c r="M1019" s="136" t="str">
        <f>VLOOKUP(tbl_IO_List[[#This Row],[Instruement Tag]],tbl_Instruement_List[],2,FALSE)</f>
        <v>PUMP</v>
      </c>
      <c r="N1019" s="136" t="s">
        <v>47</v>
      </c>
      <c r="O1019" s="136" t="s">
        <v>50</v>
      </c>
      <c r="P1019" s="136" t="s">
        <v>18</v>
      </c>
      <c r="Q1019" s="136" t="str">
        <f>VLOOKUP(tbl_IO_List[[#This Row],[Instruement Tag]],tbl_Instruement_List[],6,FALSE)</f>
        <v xml:space="preserve"> Start / Stop Command for VSD PUCF-21 (Heat Recovery Centrifugal Pump)</v>
      </c>
      <c r="R1019" s="136"/>
      <c r="S101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3,DO=1,AI=0,AO=0,Bus=1</v>
      </c>
      <c r="T1019" s="136" t="str">
        <f>tbl_IO_List[[#This Row],[Instruement Tag]]&amp;"_"&amp;tbl_IO_List[[#This Row],[I/O Type]]&amp;"_"&amp;tbl_IO_List[[#This Row],[IO-Point 
(Instruement)]]</f>
        <v>PCY-60215_DO_1</v>
      </c>
      <c r="U1019" s="136" t="s">
        <v>7</v>
      </c>
      <c r="V1019" s="136">
        <f>VLOOKUP(tbl_IO_List[[#This Row],[I/O Type]],tbl_Slot_Group[],2,FALSE)</f>
        <v>2</v>
      </c>
      <c r="W1019" s="136">
        <v>1</v>
      </c>
      <c r="X1019" s="136" t="str">
        <f>tbl_IO_List[[#This Row],[Chassis]]&amp;"S"&amp;TEXT(tbl_IO_List[[#This Row],[Slot]],"00")</f>
        <v>C7S06</v>
      </c>
      <c r="Y1019" s="136" t="str">
        <f>tbl_IO_List[[#This Row],[Chassis]]&amp;"S"&amp;TEXT(tbl_IO_List[[#This Row],[Slot]],"00")&amp;tbl_IO_List[[#This Row],[I/O Type]]&amp;TEXT(tbl_IO_List[[#This Row],[Point]],"00")</f>
        <v>C7S06DO01</v>
      </c>
      <c r="Z1019" s="136" t="str">
        <f>tbl_IO_List[[#This Row],[Chassis]]&amp;"S"&amp;TEXT(tbl_IO_List[[#This Row],[Slot]],"00")&amp;","&amp;TEXT(tbl_IO_List[[#This Row],[Point]],"00")</f>
        <v>C7S06,01</v>
      </c>
      <c r="AA1019" s="136" t="e">
        <f>VLOOKUP(tbl_IO_List[[#This Row],[Column23]],tbl_RackConfig[],5,FALSE) &amp;"-"&amp;tbl_IO_List[[#This Row],[Point]]</f>
        <v>#N/A</v>
      </c>
      <c r="AB1019" s="136"/>
      <c r="AC1019" s="136"/>
      <c r="AD1019" s="136" t="str">
        <f>tbl_IO_List[[#This Row],[I/O Type]]</f>
        <v>DO</v>
      </c>
      <c r="AE1019" s="136" t="s">
        <v>1368</v>
      </c>
      <c r="AF1019" s="136">
        <v>6</v>
      </c>
      <c r="AG1019" s="136">
        <v>1</v>
      </c>
      <c r="AH1019" s="136"/>
      <c r="AI1019" s="136"/>
      <c r="AJ1019" s="136">
        <v>3</v>
      </c>
      <c r="AK1019" s="136">
        <v>1</v>
      </c>
      <c r="AL1019" s="136">
        <v>0</v>
      </c>
      <c r="AM1019" s="136">
        <v>0</v>
      </c>
      <c r="AN1019" s="136">
        <v>1</v>
      </c>
      <c r="AO1019" s="136"/>
      <c r="AP1019" s="143" t="str">
        <f>VLOOKUP(tbl_IO_List[[#This Row],[Instruement Tag]],tbl_Instruement_List[],14,FALSE)</f>
        <v>24 VDC energized</v>
      </c>
      <c r="AQ1019" s="143" t="str">
        <f>tbl_IO_List[[#This Row],[Chassis]]&amp;"S"&amp;tbl_IO_List[[#This Row],[Slot]]&amp;"-"&amp;tbl_IO_List[[#This Row],[Front Terminal Number]]</f>
        <v>C7S6-</v>
      </c>
      <c r="AR1019" s="143"/>
      <c r="AS1019" s="136" t="str">
        <f>tbl_IO_List[[#This Row],[Terminal Tagging]]&amp;"-"&amp;tbl_IO_List[[#This Row],[Point-Count]]</f>
        <v>-</v>
      </c>
      <c r="AT1019" s="136" t="str">
        <f>tbl_IO_List[[#This Row],[Front Terminal Tagging]]&amp;"/"&amp;tbl_IO_List[[#This Row],[Terminal Tagging-Item]]</f>
        <v>C7S6-/-</v>
      </c>
      <c r="AU1019" s="136" t="str">
        <f>tbl_IO_List[[#This Row],[Terminal Tagging-Item]]&amp;"/"&amp;tbl_IO_List[[#This Row],[Front Terminal Tagging]]</f>
        <v>-/C7S6-</v>
      </c>
    </row>
    <row r="1020" spans="1:47" hidden="1">
      <c r="A1020" s="136" t="s">
        <v>1307</v>
      </c>
      <c r="B1020" s="136" t="s">
        <v>1307</v>
      </c>
      <c r="C1020" s="136" t="str">
        <f>tbl_IO_List[[#This Row],[Column3]]</f>
        <v>C7S06,02</v>
      </c>
      <c r="D1020" s="136" t="e">
        <f>tbl_IO_List[[#This Row],[Card]]</f>
        <v>#N/A</v>
      </c>
      <c r="E1020" s="136"/>
      <c r="F1020" s="136" t="str">
        <f>tbl_IO_List[[#This Row],[Column23]]&amp;"-" &amp;tbl_IO_List[[#This Row],[Column52]]</f>
        <v>C7S06-</v>
      </c>
      <c r="G1020" s="136" t="str">
        <f>tbl_IO_List[[#This Row],[PLC_Tag]]</f>
        <v>XS-60240A_DO_1</v>
      </c>
      <c r="H1020" s="136"/>
      <c r="I1020" s="136" t="str">
        <f>VLOOKUP(tbl_IO_List[[#This Row],[Destination]],tbl_Junction[],2,FALSE)</f>
        <v>MCC Room</v>
      </c>
      <c r="J1020" s="136" t="s">
        <v>221</v>
      </c>
      <c r="K1020" s="136" t="s">
        <v>14</v>
      </c>
      <c r="L1020" s="136" t="s">
        <v>1062</v>
      </c>
      <c r="M1020" s="136">
        <f>VLOOKUP(tbl_IO_List[[#This Row],[Instruement Tag]],tbl_Instruement_List[],2,FALSE)</f>
        <v>0</v>
      </c>
      <c r="N1020" s="136" t="s">
        <v>31</v>
      </c>
      <c r="O1020" s="136" t="s">
        <v>21</v>
      </c>
      <c r="P1020" s="136" t="s">
        <v>18</v>
      </c>
      <c r="Q1020" s="136" t="str">
        <f>VLOOKUP(tbl_IO_List[[#This Row],[Instruement Tag]],tbl_Instruement_List[],6,FALSE)</f>
        <v xml:space="preserve"> Start / Stop Command for BGHS-21 (Bag House Air Pulsing)</v>
      </c>
      <c r="R1020" s="136"/>
      <c r="S102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020" s="136" t="str">
        <f>tbl_IO_List[[#This Row],[Instruement Tag]]&amp;"_"&amp;tbl_IO_List[[#This Row],[I/O Type]]&amp;"_"&amp;tbl_IO_List[[#This Row],[IO-Point 
(Instruement)]]</f>
        <v>XS-60240A_DO_1</v>
      </c>
      <c r="U1020" s="136" t="s">
        <v>7</v>
      </c>
      <c r="V1020" s="136">
        <f>VLOOKUP(tbl_IO_List[[#This Row],[I/O Type]],tbl_Slot_Group[],2,FALSE)</f>
        <v>2</v>
      </c>
      <c r="W1020" s="136">
        <v>1</v>
      </c>
      <c r="X1020" s="136" t="str">
        <f>tbl_IO_List[[#This Row],[Chassis]]&amp;"S"&amp;TEXT(tbl_IO_List[[#This Row],[Slot]],"00")</f>
        <v>C7S06</v>
      </c>
      <c r="Y1020" s="136" t="str">
        <f>tbl_IO_List[[#This Row],[Chassis]]&amp;"S"&amp;TEXT(tbl_IO_List[[#This Row],[Slot]],"00")&amp;tbl_IO_List[[#This Row],[I/O Type]]&amp;TEXT(tbl_IO_List[[#This Row],[Point]],"00")</f>
        <v>C7S06DO02</v>
      </c>
      <c r="Z1020" s="136" t="str">
        <f>tbl_IO_List[[#This Row],[Chassis]]&amp;"S"&amp;TEXT(tbl_IO_List[[#This Row],[Slot]],"00")&amp;","&amp;TEXT(tbl_IO_List[[#This Row],[Point]],"00")</f>
        <v>C7S06,02</v>
      </c>
      <c r="AA1020" s="136" t="e">
        <f>VLOOKUP(tbl_IO_List[[#This Row],[Column23]],tbl_RackConfig[],5,FALSE) &amp;"-"&amp;tbl_IO_List[[#This Row],[Point]]</f>
        <v>#N/A</v>
      </c>
      <c r="AB1020" s="136"/>
      <c r="AC1020" s="136"/>
      <c r="AD1020" s="136" t="str">
        <f>tbl_IO_List[[#This Row],[I/O Type]]</f>
        <v>DO</v>
      </c>
      <c r="AE1020" s="136" t="s">
        <v>1368</v>
      </c>
      <c r="AF1020" s="136">
        <v>6</v>
      </c>
      <c r="AG1020" s="136">
        <v>2</v>
      </c>
      <c r="AH1020" s="136"/>
      <c r="AI1020" s="136"/>
      <c r="AJ1020" s="136">
        <v>0</v>
      </c>
      <c r="AK1020" s="136">
        <v>1</v>
      </c>
      <c r="AL1020" s="136">
        <v>0</v>
      </c>
      <c r="AM1020" s="136">
        <v>0</v>
      </c>
      <c r="AN1020" s="136">
        <v>0</v>
      </c>
      <c r="AO1020" s="136"/>
      <c r="AP1020" s="143" t="str">
        <f>VLOOKUP(tbl_IO_List[[#This Row],[Instruement Tag]],tbl_Instruement_List[],14,FALSE)</f>
        <v>Dry Contact</v>
      </c>
      <c r="AQ1020" s="143" t="str">
        <f>tbl_IO_List[[#This Row],[Chassis]]&amp;"S"&amp;tbl_IO_List[[#This Row],[Slot]]&amp;"-"&amp;tbl_IO_List[[#This Row],[Front Terminal Number]]</f>
        <v>C7S6-</v>
      </c>
      <c r="AR1020" s="143"/>
      <c r="AS1020" s="136" t="str">
        <f>tbl_IO_List[[#This Row],[Terminal Tagging]]&amp;"-"&amp;tbl_IO_List[[#This Row],[Point-Count]]</f>
        <v>-</v>
      </c>
      <c r="AT1020" s="136" t="str">
        <f>tbl_IO_List[[#This Row],[Front Terminal Tagging]]&amp;"/"&amp;tbl_IO_List[[#This Row],[Terminal Tagging-Item]]</f>
        <v>C7S6-/-</v>
      </c>
      <c r="AU1020" s="136" t="str">
        <f>tbl_IO_List[[#This Row],[Terminal Tagging-Item]]&amp;"/"&amp;tbl_IO_List[[#This Row],[Front Terminal Tagging]]</f>
        <v>-/C7S6-</v>
      </c>
    </row>
    <row r="1021" spans="1:47" hidden="1">
      <c r="A1021" s="136" t="s">
        <v>1307</v>
      </c>
      <c r="B1021" s="136" t="s">
        <v>1307</v>
      </c>
      <c r="C1021" s="136" t="str">
        <f>tbl_IO_List[[#This Row],[Column3]]</f>
        <v>C7S06,03</v>
      </c>
      <c r="D1021" s="136" t="e">
        <f>tbl_IO_List[[#This Row],[Card]]</f>
        <v>#N/A</v>
      </c>
      <c r="E1021" s="136"/>
      <c r="F1021" s="136" t="str">
        <f>tbl_IO_List[[#This Row],[Column23]]&amp;"-" &amp;tbl_IO_List[[#This Row],[Column52]]</f>
        <v>C7S06-</v>
      </c>
      <c r="G1021" s="136" t="str">
        <f>tbl_IO_List[[#This Row],[PLC_Tag]]</f>
        <v>XS-60241A_DO_1</v>
      </c>
      <c r="H1021" s="136"/>
      <c r="I1021" s="136" t="str">
        <f>VLOOKUP(tbl_IO_List[[#This Row],[Destination]],tbl_Junction[],2,FALSE)</f>
        <v>MCC Room</v>
      </c>
      <c r="J1021" s="136" t="s">
        <v>221</v>
      </c>
      <c r="K1021" s="136" t="s">
        <v>14</v>
      </c>
      <c r="L1021" s="136" t="s">
        <v>1073</v>
      </c>
      <c r="M1021" s="136">
        <f>VLOOKUP(tbl_IO_List[[#This Row],[Instruement Tag]],tbl_Instruement_List[],2,FALSE)</f>
        <v>0</v>
      </c>
      <c r="N1021" s="136" t="s">
        <v>31</v>
      </c>
      <c r="O1021" s="136" t="s">
        <v>21</v>
      </c>
      <c r="P1021" s="136" t="s">
        <v>18</v>
      </c>
      <c r="Q1021" s="136" t="str">
        <f>VLOOKUP(tbl_IO_List[[#This Row],[Instruement Tag]],tbl_Instruement_List[],6,FALSE)</f>
        <v xml:space="preserve"> Start / Stop Command for HTRE-21 (Heater Control Panel)</v>
      </c>
      <c r="R1021" s="136"/>
      <c r="S102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021" s="136" t="str">
        <f>tbl_IO_List[[#This Row],[Instruement Tag]]&amp;"_"&amp;tbl_IO_List[[#This Row],[I/O Type]]&amp;"_"&amp;tbl_IO_List[[#This Row],[IO-Point 
(Instruement)]]</f>
        <v>XS-60241A_DO_1</v>
      </c>
      <c r="U1021" s="136" t="s">
        <v>7</v>
      </c>
      <c r="V1021" s="136">
        <f>VLOOKUP(tbl_IO_List[[#This Row],[I/O Type]],tbl_Slot_Group[],2,FALSE)</f>
        <v>2</v>
      </c>
      <c r="W1021" s="136">
        <v>1</v>
      </c>
      <c r="X1021" s="136" t="str">
        <f>tbl_IO_List[[#This Row],[Chassis]]&amp;"S"&amp;TEXT(tbl_IO_List[[#This Row],[Slot]],"00")</f>
        <v>C7S06</v>
      </c>
      <c r="Y1021" s="136" t="str">
        <f>tbl_IO_List[[#This Row],[Chassis]]&amp;"S"&amp;TEXT(tbl_IO_List[[#This Row],[Slot]],"00")&amp;tbl_IO_List[[#This Row],[I/O Type]]&amp;TEXT(tbl_IO_List[[#This Row],[Point]],"00")</f>
        <v>C7S06DO03</v>
      </c>
      <c r="Z1021" s="136" t="str">
        <f>tbl_IO_List[[#This Row],[Chassis]]&amp;"S"&amp;TEXT(tbl_IO_List[[#This Row],[Slot]],"00")&amp;","&amp;TEXT(tbl_IO_List[[#This Row],[Point]],"00")</f>
        <v>C7S06,03</v>
      </c>
      <c r="AA1021" s="136" t="e">
        <f>VLOOKUP(tbl_IO_List[[#This Row],[Column23]],tbl_RackConfig[],5,FALSE) &amp;"-"&amp;tbl_IO_List[[#This Row],[Point]]</f>
        <v>#N/A</v>
      </c>
      <c r="AB1021" s="136"/>
      <c r="AC1021" s="136"/>
      <c r="AD1021" s="136" t="str">
        <f>tbl_IO_List[[#This Row],[I/O Type]]</f>
        <v>DO</v>
      </c>
      <c r="AE1021" s="136" t="s">
        <v>1368</v>
      </c>
      <c r="AF1021" s="136">
        <v>6</v>
      </c>
      <c r="AG1021" s="136">
        <v>3</v>
      </c>
      <c r="AH1021" s="136"/>
      <c r="AI1021" s="136"/>
      <c r="AJ1021" s="136">
        <v>0</v>
      </c>
      <c r="AK1021" s="136">
        <v>1</v>
      </c>
      <c r="AL1021" s="136">
        <v>0</v>
      </c>
      <c r="AM1021" s="136">
        <v>0</v>
      </c>
      <c r="AN1021" s="136">
        <v>0</v>
      </c>
      <c r="AO1021" s="136"/>
      <c r="AP1021" s="143" t="str">
        <f>VLOOKUP(tbl_IO_List[[#This Row],[Instruement Tag]],tbl_Instruement_List[],14,FALSE)</f>
        <v>Dry Contact</v>
      </c>
      <c r="AQ1021" s="143" t="str">
        <f>tbl_IO_List[[#This Row],[Chassis]]&amp;"S"&amp;tbl_IO_List[[#This Row],[Slot]]&amp;"-"&amp;tbl_IO_List[[#This Row],[Front Terminal Number]]</f>
        <v>C7S6-</v>
      </c>
      <c r="AR1021" s="143"/>
      <c r="AS1021" s="136" t="str">
        <f>tbl_IO_List[[#This Row],[Terminal Tagging]]&amp;"-"&amp;tbl_IO_List[[#This Row],[Point-Count]]</f>
        <v>-</v>
      </c>
      <c r="AT1021" s="136" t="str">
        <f>tbl_IO_List[[#This Row],[Front Terminal Tagging]]&amp;"/"&amp;tbl_IO_List[[#This Row],[Terminal Tagging-Item]]</f>
        <v>C7S6-/-</v>
      </c>
      <c r="AU1021" s="136" t="str">
        <f>tbl_IO_List[[#This Row],[Terminal Tagging-Item]]&amp;"/"&amp;tbl_IO_List[[#This Row],[Front Terminal Tagging]]</f>
        <v>-/C7S6-</v>
      </c>
    </row>
    <row r="1022" spans="1:47" hidden="1">
      <c r="A1022" s="136" t="s">
        <v>1307</v>
      </c>
      <c r="B1022" s="136" t="s">
        <v>1307</v>
      </c>
      <c r="C1022" s="136" t="str">
        <f>tbl_IO_List[[#This Row],[Column3]]</f>
        <v>C7S06,04</v>
      </c>
      <c r="D1022" s="136" t="e">
        <f>tbl_IO_List[[#This Row],[Card]]</f>
        <v>#N/A</v>
      </c>
      <c r="E1022" s="136"/>
      <c r="F1022" s="136" t="str">
        <f>tbl_IO_List[[#This Row],[Column23]]&amp;"-" &amp;tbl_IO_List[[#This Row],[Column52]]</f>
        <v>C7S06-</v>
      </c>
      <c r="G1022" s="136" t="str">
        <f>tbl_IO_List[[#This Row],[PLC_Tag]]</f>
        <v>XS-60242A_DO_1</v>
      </c>
      <c r="H1022" s="136"/>
      <c r="I1022" s="136" t="str">
        <f>VLOOKUP(tbl_IO_List[[#This Row],[Destination]],tbl_Junction[],2,FALSE)</f>
        <v>MCC Room</v>
      </c>
      <c r="J1022" s="136" t="s">
        <v>221</v>
      </c>
      <c r="K1022" s="136" t="s">
        <v>14</v>
      </c>
      <c r="L1022" s="136" t="s">
        <v>1081</v>
      </c>
      <c r="M1022" s="136">
        <f>VLOOKUP(tbl_IO_List[[#This Row],[Instruement Tag]],tbl_Instruement_List[],2,FALSE)</f>
        <v>0</v>
      </c>
      <c r="N1022" s="136" t="s">
        <v>28</v>
      </c>
      <c r="O1022" s="136" t="s">
        <v>21</v>
      </c>
      <c r="P1022" s="136" t="s">
        <v>18</v>
      </c>
      <c r="Q1022" s="136" t="str">
        <f>VLOOKUP(tbl_IO_List[[#This Row],[Instruement Tag]],tbl_Instruement_List[],6,FALSE)</f>
        <v xml:space="preserve"> Start / Stop Command for HTRE-21 (Heater Control Panel)</v>
      </c>
      <c r="R1022" s="136"/>
      <c r="S102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022" s="136" t="str">
        <f>tbl_IO_List[[#This Row],[Instruement Tag]]&amp;"_"&amp;tbl_IO_List[[#This Row],[I/O Type]]&amp;"_"&amp;tbl_IO_List[[#This Row],[IO-Point 
(Instruement)]]</f>
        <v>XS-60242A_DO_1</v>
      </c>
      <c r="U1022" s="136" t="s">
        <v>7</v>
      </c>
      <c r="V1022" s="136">
        <f>VLOOKUP(tbl_IO_List[[#This Row],[I/O Type]],tbl_Slot_Group[],2,FALSE)</f>
        <v>2</v>
      </c>
      <c r="W1022" s="136">
        <v>1</v>
      </c>
      <c r="X1022" s="136" t="str">
        <f>tbl_IO_List[[#This Row],[Chassis]]&amp;"S"&amp;TEXT(tbl_IO_List[[#This Row],[Slot]],"00")</f>
        <v>C7S06</v>
      </c>
      <c r="Y1022" s="136" t="str">
        <f>tbl_IO_List[[#This Row],[Chassis]]&amp;"S"&amp;TEXT(tbl_IO_List[[#This Row],[Slot]],"00")&amp;tbl_IO_List[[#This Row],[I/O Type]]&amp;TEXT(tbl_IO_List[[#This Row],[Point]],"00")</f>
        <v>C7S06DO04</v>
      </c>
      <c r="Z1022" s="136" t="str">
        <f>tbl_IO_List[[#This Row],[Chassis]]&amp;"S"&amp;TEXT(tbl_IO_List[[#This Row],[Slot]],"00")&amp;","&amp;TEXT(tbl_IO_List[[#This Row],[Point]],"00")</f>
        <v>C7S06,04</v>
      </c>
      <c r="AA1022" s="136" t="e">
        <f>VLOOKUP(tbl_IO_List[[#This Row],[Column23]],tbl_RackConfig[],5,FALSE) &amp;"-"&amp;tbl_IO_List[[#This Row],[Point]]</f>
        <v>#N/A</v>
      </c>
      <c r="AB1022" s="136"/>
      <c r="AC1022" s="136"/>
      <c r="AD1022" s="136" t="str">
        <f>tbl_IO_List[[#This Row],[I/O Type]]</f>
        <v>DO</v>
      </c>
      <c r="AE1022" s="136" t="s">
        <v>1368</v>
      </c>
      <c r="AF1022" s="136">
        <v>6</v>
      </c>
      <c r="AG1022" s="136">
        <v>4</v>
      </c>
      <c r="AH1022" s="136"/>
      <c r="AI1022" s="136"/>
      <c r="AJ1022" s="136">
        <v>0</v>
      </c>
      <c r="AK1022" s="136">
        <v>1</v>
      </c>
      <c r="AL1022" s="136">
        <v>0</v>
      </c>
      <c r="AM1022" s="136">
        <v>0</v>
      </c>
      <c r="AN1022" s="136">
        <v>0</v>
      </c>
      <c r="AO1022" s="136"/>
      <c r="AP1022" s="143" t="str">
        <f>VLOOKUP(tbl_IO_List[[#This Row],[Instruement Tag]],tbl_Instruement_List[],14,FALSE)</f>
        <v>Dry Contact</v>
      </c>
      <c r="AQ1022" s="143" t="str">
        <f>tbl_IO_List[[#This Row],[Chassis]]&amp;"S"&amp;tbl_IO_List[[#This Row],[Slot]]&amp;"-"&amp;tbl_IO_List[[#This Row],[Front Terminal Number]]</f>
        <v>C7S6-</v>
      </c>
      <c r="AR1022" s="143"/>
      <c r="AS1022" s="136" t="str">
        <f>tbl_IO_List[[#This Row],[Terminal Tagging]]&amp;"-"&amp;tbl_IO_List[[#This Row],[Point-Count]]</f>
        <v>-</v>
      </c>
      <c r="AT1022" s="136" t="str">
        <f>tbl_IO_List[[#This Row],[Front Terminal Tagging]]&amp;"/"&amp;tbl_IO_List[[#This Row],[Terminal Tagging-Item]]</f>
        <v>C7S6-/-</v>
      </c>
      <c r="AU1022" s="136" t="str">
        <f>tbl_IO_List[[#This Row],[Terminal Tagging-Item]]&amp;"/"&amp;tbl_IO_List[[#This Row],[Front Terminal Tagging]]</f>
        <v>-/C7S6-</v>
      </c>
    </row>
    <row r="1023" spans="1:47" hidden="1">
      <c r="A1023" s="136" t="s">
        <v>1307</v>
      </c>
      <c r="B1023" s="136" t="s">
        <v>1307</v>
      </c>
      <c r="C1023" s="136" t="str">
        <f>tbl_IO_List[[#This Row],[Column3]]</f>
        <v>C7S06,04</v>
      </c>
      <c r="D1023" s="136" t="e">
        <f>tbl_IO_List[[#This Row],[Card]]</f>
        <v>#N/A</v>
      </c>
      <c r="E1023" s="136"/>
      <c r="F1023" s="136" t="str">
        <f>tbl_IO_List[[#This Row],[Column23]]&amp;"-" &amp;tbl_IO_List[[#This Row],[Column52]]</f>
        <v>C7S06-</v>
      </c>
      <c r="G1023" s="136" t="str">
        <f>tbl_IO_List[[#This Row],[PLC_Tag]]</f>
        <v>XS-60243A_DO_1</v>
      </c>
      <c r="H1023" s="136"/>
      <c r="I1023" s="136" t="str">
        <f>VLOOKUP(tbl_IO_List[[#This Row],[Destination]],tbl_Junction[],2,FALSE)</f>
        <v>MCC Room</v>
      </c>
      <c r="J1023" s="136" t="s">
        <v>221</v>
      </c>
      <c r="K1023" s="136" t="s">
        <v>14</v>
      </c>
      <c r="L1023" s="136" t="s">
        <v>1086</v>
      </c>
      <c r="M1023" s="136">
        <f>VLOOKUP(tbl_IO_List[[#This Row],[Instruement Tag]],tbl_Instruement_List[],2,FALSE)</f>
        <v>0</v>
      </c>
      <c r="N1023" s="136" t="s">
        <v>31</v>
      </c>
      <c r="O1023" s="136" t="s">
        <v>21</v>
      </c>
      <c r="P1023" s="136" t="s">
        <v>18</v>
      </c>
      <c r="Q1023" s="136" t="str">
        <f>VLOOKUP(tbl_IO_List[[#This Row],[Instruement Tag]],tbl_Instruement_List[],6,FALSE)</f>
        <v xml:space="preserve"> Start / Stop Command for HTRE-21 (Heater Control Panel)</v>
      </c>
      <c r="R1023" s="136"/>
      <c r="S102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023" s="136" t="str">
        <f>tbl_IO_List[[#This Row],[Instruement Tag]]&amp;"_"&amp;tbl_IO_List[[#This Row],[I/O Type]]&amp;"_"&amp;tbl_IO_List[[#This Row],[IO-Point 
(Instruement)]]</f>
        <v>XS-60243A_DO_1</v>
      </c>
      <c r="U1023" s="136" t="s">
        <v>7</v>
      </c>
      <c r="V1023" s="136">
        <f>VLOOKUP(tbl_IO_List[[#This Row],[I/O Type]],tbl_Slot_Group[],2,FALSE)</f>
        <v>2</v>
      </c>
      <c r="W1023" s="136">
        <v>1</v>
      </c>
      <c r="X1023" s="136" t="str">
        <f>tbl_IO_List[[#This Row],[Chassis]]&amp;"S"&amp;TEXT(tbl_IO_List[[#This Row],[Slot]],"00")</f>
        <v>C7S06</v>
      </c>
      <c r="Y1023" s="136" t="str">
        <f>tbl_IO_List[[#This Row],[Chassis]]&amp;"S"&amp;TEXT(tbl_IO_List[[#This Row],[Slot]],"00")&amp;tbl_IO_List[[#This Row],[I/O Type]]&amp;TEXT(tbl_IO_List[[#This Row],[Point]],"00")</f>
        <v>C7S06DO04</v>
      </c>
      <c r="Z1023" s="136" t="str">
        <f>tbl_IO_List[[#This Row],[Chassis]]&amp;"S"&amp;TEXT(tbl_IO_List[[#This Row],[Slot]],"00")&amp;","&amp;TEXT(tbl_IO_List[[#This Row],[Point]],"00")</f>
        <v>C7S06,04</v>
      </c>
      <c r="AA1023" s="136" t="e">
        <f>VLOOKUP(tbl_IO_List[[#This Row],[Column23]],tbl_RackConfig[],5,FALSE) &amp;"-"&amp;tbl_IO_List[[#This Row],[Point]]</f>
        <v>#N/A</v>
      </c>
      <c r="AB1023" s="136"/>
      <c r="AC1023" s="136"/>
      <c r="AD1023" s="136" t="str">
        <f>tbl_IO_List[[#This Row],[I/O Type]]</f>
        <v>DO</v>
      </c>
      <c r="AE1023" s="136" t="s">
        <v>1368</v>
      </c>
      <c r="AF1023" s="136">
        <v>6</v>
      </c>
      <c r="AG1023" s="136">
        <v>4</v>
      </c>
      <c r="AH1023" s="136"/>
      <c r="AI1023" s="136"/>
      <c r="AJ1023" s="136">
        <v>0</v>
      </c>
      <c r="AK1023" s="136">
        <v>1</v>
      </c>
      <c r="AL1023" s="136">
        <v>0</v>
      </c>
      <c r="AM1023" s="136">
        <v>0</v>
      </c>
      <c r="AN1023" s="136">
        <v>0</v>
      </c>
      <c r="AO1023" s="136"/>
      <c r="AP1023" s="143" t="str">
        <f>VLOOKUP(tbl_IO_List[[#This Row],[Instruement Tag]],tbl_Instruement_List[],14,FALSE)</f>
        <v>Dry Contact</v>
      </c>
      <c r="AQ1023" s="143" t="str">
        <f>tbl_IO_List[[#This Row],[Chassis]]&amp;"S"&amp;tbl_IO_List[[#This Row],[Slot]]&amp;"-"&amp;tbl_IO_List[[#This Row],[Front Terminal Number]]</f>
        <v>C7S6-</v>
      </c>
      <c r="AR1023" s="143"/>
      <c r="AS1023" s="136" t="str">
        <f>tbl_IO_List[[#This Row],[Terminal Tagging]]&amp;"-"&amp;tbl_IO_List[[#This Row],[Point-Count]]</f>
        <v>-</v>
      </c>
      <c r="AT1023" s="136" t="str">
        <f>tbl_IO_List[[#This Row],[Front Terminal Tagging]]&amp;"/"&amp;tbl_IO_List[[#This Row],[Terminal Tagging-Item]]</f>
        <v>C7S6-/-</v>
      </c>
      <c r="AU1023" s="136" t="str">
        <f>tbl_IO_List[[#This Row],[Terminal Tagging-Item]]&amp;"/"&amp;tbl_IO_List[[#This Row],[Front Terminal Tagging]]</f>
        <v>-/C7S6-</v>
      </c>
    </row>
    <row r="1024" spans="1:47" hidden="1">
      <c r="A1024" s="136" t="s">
        <v>1307</v>
      </c>
      <c r="B1024" s="136" t="s">
        <v>1307</v>
      </c>
      <c r="C1024" s="136" t="str">
        <f>tbl_IO_List[[#This Row],[Column3]]</f>
        <v>C7S06,06</v>
      </c>
      <c r="D1024" s="136" t="e">
        <f>tbl_IO_List[[#This Row],[Card]]</f>
        <v>#N/A</v>
      </c>
      <c r="E1024" s="136"/>
      <c r="F1024" s="136" t="str">
        <f>tbl_IO_List[[#This Row],[Column23]]&amp;"-" &amp;tbl_IO_List[[#This Row],[Column52]]</f>
        <v>C7S06-</v>
      </c>
      <c r="G1024" s="136" t="str">
        <f>tbl_IO_List[[#This Row],[PLC_Tag]]</f>
        <v>XS-60260_DO_1</v>
      </c>
      <c r="H1024" s="136"/>
      <c r="I1024" s="136" t="str">
        <f>VLOOKUP(tbl_IO_List[[#This Row],[Destination]],tbl_Junction[],2,FALSE)</f>
        <v>MCC Room</v>
      </c>
      <c r="J1024" s="136" t="s">
        <v>265</v>
      </c>
      <c r="K1024" s="136" t="s">
        <v>14</v>
      </c>
      <c r="L1024" s="136" t="s">
        <v>1021</v>
      </c>
      <c r="M1024" s="136">
        <f>VLOOKUP(tbl_IO_List[[#This Row],[Instruement Tag]],tbl_Instruement_List[],2,FALSE)</f>
        <v>0</v>
      </c>
      <c r="N1024" s="136" t="s">
        <v>58</v>
      </c>
      <c r="O1024" s="136" t="s">
        <v>21</v>
      </c>
      <c r="P1024" s="136" t="s">
        <v>18</v>
      </c>
      <c r="Q1024" s="136" t="str">
        <f>VLOOKUP(tbl_IO_List[[#This Row],[Instruement Tag]],tbl_Instruement_List[],6,FALSE)</f>
        <v xml:space="preserve"> Start / Stop Command for FWDP-21 (Fire Deluge)</v>
      </c>
      <c r="R1024" s="136"/>
      <c r="S102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024" s="136" t="str">
        <f>tbl_IO_List[[#This Row],[Instruement Tag]]&amp;"_"&amp;tbl_IO_List[[#This Row],[I/O Type]]&amp;"_"&amp;tbl_IO_List[[#This Row],[IO-Point 
(Instruement)]]</f>
        <v>XS-60260_DO_1</v>
      </c>
      <c r="U1024" s="136" t="s">
        <v>7</v>
      </c>
      <c r="V1024" s="136">
        <f>VLOOKUP(tbl_IO_List[[#This Row],[I/O Type]],tbl_Slot_Group[],2,FALSE)</f>
        <v>2</v>
      </c>
      <c r="W1024" s="136">
        <v>1</v>
      </c>
      <c r="X1024" s="136" t="str">
        <f>tbl_IO_List[[#This Row],[Chassis]]&amp;"S"&amp;TEXT(tbl_IO_List[[#This Row],[Slot]],"00")</f>
        <v>C7S06</v>
      </c>
      <c r="Y1024" s="136" t="str">
        <f>tbl_IO_List[[#This Row],[Chassis]]&amp;"S"&amp;TEXT(tbl_IO_List[[#This Row],[Slot]],"00")&amp;tbl_IO_List[[#This Row],[I/O Type]]&amp;TEXT(tbl_IO_List[[#This Row],[Point]],"00")</f>
        <v>C7S06DO06</v>
      </c>
      <c r="Z1024" s="136" t="str">
        <f>tbl_IO_List[[#This Row],[Chassis]]&amp;"S"&amp;TEXT(tbl_IO_List[[#This Row],[Slot]],"00")&amp;","&amp;TEXT(tbl_IO_List[[#This Row],[Point]],"00")</f>
        <v>C7S06,06</v>
      </c>
      <c r="AA1024" s="136" t="e">
        <f>VLOOKUP(tbl_IO_List[[#This Row],[Column23]],tbl_RackConfig[],5,FALSE) &amp;"-"&amp;tbl_IO_List[[#This Row],[Point]]</f>
        <v>#N/A</v>
      </c>
      <c r="AB1024" s="136"/>
      <c r="AC1024" s="136"/>
      <c r="AD1024" s="136" t="str">
        <f>tbl_IO_List[[#This Row],[I/O Type]]</f>
        <v>DO</v>
      </c>
      <c r="AE1024" s="136" t="s">
        <v>1368</v>
      </c>
      <c r="AF1024" s="136">
        <v>6</v>
      </c>
      <c r="AG1024" s="136">
        <v>6</v>
      </c>
      <c r="AH1024" s="136"/>
      <c r="AI1024" s="136"/>
      <c r="AJ1024" s="136">
        <v>0</v>
      </c>
      <c r="AK1024" s="136">
        <v>1</v>
      </c>
      <c r="AL1024" s="136">
        <v>0</v>
      </c>
      <c r="AM1024" s="136">
        <v>0</v>
      </c>
      <c r="AN1024" s="136">
        <v>0</v>
      </c>
      <c r="AO1024" s="136"/>
      <c r="AP1024" s="143" t="str">
        <f>VLOOKUP(tbl_IO_List[[#This Row],[Instruement Tag]],tbl_Instruement_List[],14,FALSE)</f>
        <v>24 VDC energized</v>
      </c>
      <c r="AQ1024" s="143" t="str">
        <f>tbl_IO_List[[#This Row],[Chassis]]&amp;"S"&amp;tbl_IO_List[[#This Row],[Slot]]&amp;"-"&amp;tbl_IO_List[[#This Row],[Front Terminal Number]]</f>
        <v>C7S6-</v>
      </c>
      <c r="AR1024" s="143"/>
      <c r="AS1024" s="136" t="str">
        <f>tbl_IO_List[[#This Row],[Terminal Tagging]]&amp;"-"&amp;tbl_IO_List[[#This Row],[Point-Count]]</f>
        <v>-</v>
      </c>
      <c r="AT1024" s="136" t="str">
        <f>tbl_IO_List[[#This Row],[Front Terminal Tagging]]&amp;"/"&amp;tbl_IO_List[[#This Row],[Terminal Tagging-Item]]</f>
        <v>C7S6-/-</v>
      </c>
      <c r="AU1024" s="136" t="str">
        <f>tbl_IO_List[[#This Row],[Terminal Tagging-Item]]&amp;"/"&amp;tbl_IO_List[[#This Row],[Front Terminal Tagging]]</f>
        <v>-/C7S6-</v>
      </c>
    </row>
    <row r="1025" spans="1:47" hidden="1">
      <c r="A1025" s="136" t="s">
        <v>1307</v>
      </c>
      <c r="B1025" s="136" t="s">
        <v>1307</v>
      </c>
      <c r="C1025" s="136" t="str">
        <f>tbl_IO_List[[#This Row],[Column3]]</f>
        <v>C7S06,07</v>
      </c>
      <c r="D1025" s="136" t="e">
        <f>tbl_IO_List[[#This Row],[Card]]</f>
        <v>#N/A</v>
      </c>
      <c r="E1025" s="136"/>
      <c r="F1025" s="136" t="str">
        <f>tbl_IO_List[[#This Row],[Column23]]&amp;"-" &amp;tbl_IO_List[[#This Row],[Column52]]</f>
        <v>C7S06-</v>
      </c>
      <c r="G1025" s="136" t="str">
        <f>tbl_IO_List[[#This Row],[PLC_Tag]]</f>
        <v>BFY-60220_DO_1</v>
      </c>
      <c r="H1025" s="136"/>
      <c r="I1025" s="136" t="str">
        <f>VLOOKUP(tbl_IO_List[[#This Row],[Destination]],tbl_Junction[],2,FALSE)</f>
        <v>MCC Room</v>
      </c>
      <c r="J1025" s="136" t="s">
        <v>270</v>
      </c>
      <c r="K1025" s="136" t="s">
        <v>14</v>
      </c>
      <c r="L1025" s="136" t="s">
        <v>854</v>
      </c>
      <c r="M1025" s="136">
        <f>VLOOKUP(tbl_IO_List[[#This Row],[Instruement Tag]],tbl_Instruement_List[],2,FALSE)</f>
        <v>0</v>
      </c>
      <c r="N1025" s="136" t="s">
        <v>95</v>
      </c>
      <c r="O1025" s="136" t="s">
        <v>16</v>
      </c>
      <c r="P1025" s="136" t="s">
        <v>18</v>
      </c>
      <c r="Q1025" s="136" t="str">
        <f>VLOOKUP(tbl_IO_List[[#This Row],[Instruement Tag]],tbl_Instruement_List[],6,FALSE)</f>
        <v xml:space="preserve"> Start / Stop Command for VSD FANS-22 (Cooling Fan)</v>
      </c>
      <c r="R1025" s="136"/>
      <c r="S102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1,DO=1,AI=0,AO=0,Bus=1</v>
      </c>
      <c r="T1025" s="136" t="str">
        <f>tbl_IO_List[[#This Row],[Instruement Tag]]&amp;"_"&amp;tbl_IO_List[[#This Row],[I/O Type]]&amp;"_"&amp;tbl_IO_List[[#This Row],[IO-Point 
(Instruement)]]</f>
        <v>BFY-60220_DO_1</v>
      </c>
      <c r="U1025" s="136" t="s">
        <v>7</v>
      </c>
      <c r="V1025" s="136">
        <f>VLOOKUP(tbl_IO_List[[#This Row],[I/O Type]],tbl_Slot_Group[],2,FALSE)</f>
        <v>2</v>
      </c>
      <c r="W1025" s="136">
        <v>1</v>
      </c>
      <c r="X1025" s="136" t="str">
        <f>tbl_IO_List[[#This Row],[Chassis]]&amp;"S"&amp;TEXT(tbl_IO_List[[#This Row],[Slot]],"00")</f>
        <v>C7S06</v>
      </c>
      <c r="Y1025" s="136" t="str">
        <f>tbl_IO_List[[#This Row],[Chassis]]&amp;"S"&amp;TEXT(tbl_IO_List[[#This Row],[Slot]],"00")&amp;tbl_IO_List[[#This Row],[I/O Type]]&amp;TEXT(tbl_IO_List[[#This Row],[Point]],"00")</f>
        <v>C7S06DO07</v>
      </c>
      <c r="Z1025" s="136" t="str">
        <f>tbl_IO_List[[#This Row],[Chassis]]&amp;"S"&amp;TEXT(tbl_IO_List[[#This Row],[Slot]],"00")&amp;","&amp;TEXT(tbl_IO_List[[#This Row],[Point]],"00")</f>
        <v>C7S06,07</v>
      </c>
      <c r="AA1025" s="136" t="e">
        <f>VLOOKUP(tbl_IO_List[[#This Row],[Column23]],tbl_RackConfig[],5,FALSE) &amp;"-"&amp;tbl_IO_List[[#This Row],[Point]]</f>
        <v>#N/A</v>
      </c>
      <c r="AB1025" s="136"/>
      <c r="AC1025" s="136"/>
      <c r="AD1025" s="136" t="str">
        <f>tbl_IO_List[[#This Row],[I/O Type]]</f>
        <v>DO</v>
      </c>
      <c r="AE1025" s="136" t="s">
        <v>1368</v>
      </c>
      <c r="AF1025" s="136">
        <v>6</v>
      </c>
      <c r="AG1025" s="136">
        <v>7</v>
      </c>
      <c r="AH1025" s="136"/>
      <c r="AI1025" s="136"/>
      <c r="AJ1025" s="136">
        <v>1</v>
      </c>
      <c r="AK1025" s="136">
        <v>1</v>
      </c>
      <c r="AL1025" s="136">
        <v>0</v>
      </c>
      <c r="AM1025" s="136">
        <v>0</v>
      </c>
      <c r="AN1025" s="136">
        <v>1</v>
      </c>
      <c r="AO1025" s="136"/>
      <c r="AP1025" s="143" t="str">
        <f>VLOOKUP(tbl_IO_List[[#This Row],[Instruement Tag]],tbl_Instruement_List[],14,FALSE)</f>
        <v>24 VDC energized</v>
      </c>
      <c r="AQ1025" s="143" t="str">
        <f>tbl_IO_List[[#This Row],[Chassis]]&amp;"S"&amp;tbl_IO_List[[#This Row],[Slot]]&amp;"-"&amp;tbl_IO_List[[#This Row],[Front Terminal Number]]</f>
        <v>C7S6-</v>
      </c>
      <c r="AR1025" s="143"/>
      <c r="AS1025" s="136" t="str">
        <f>tbl_IO_List[[#This Row],[Terminal Tagging]]&amp;"-"&amp;tbl_IO_List[[#This Row],[Point-Count]]</f>
        <v>-</v>
      </c>
      <c r="AT1025" s="136" t="str">
        <f>tbl_IO_List[[#This Row],[Front Terminal Tagging]]&amp;"/"&amp;tbl_IO_List[[#This Row],[Terminal Tagging-Item]]</f>
        <v>C7S6-/-</v>
      </c>
      <c r="AU1025" s="136" t="str">
        <f>tbl_IO_List[[#This Row],[Terminal Tagging-Item]]&amp;"/"&amp;tbl_IO_List[[#This Row],[Front Terminal Tagging]]</f>
        <v>-/C7S6-</v>
      </c>
    </row>
    <row r="1026" spans="1:47" hidden="1">
      <c r="A1026" s="136" t="s">
        <v>1307</v>
      </c>
      <c r="B1026" s="136" t="s">
        <v>1307</v>
      </c>
      <c r="C1026" s="136" t="str">
        <f>tbl_IO_List[[#This Row],[Column3]]</f>
        <v>C7S06,08</v>
      </c>
      <c r="D1026" s="136" t="e">
        <f>tbl_IO_List[[#This Row],[Card]]</f>
        <v>#N/A</v>
      </c>
      <c r="E1026" s="136"/>
      <c r="F1026" s="136" t="str">
        <f>tbl_IO_List[[#This Row],[Column23]]&amp;"-" &amp;tbl_IO_List[[#This Row],[Column52]]</f>
        <v>C7S06-</v>
      </c>
      <c r="G1026" s="136" t="str">
        <f>tbl_IO_List[[#This Row],[PLC_Tag]]</f>
        <v>XS-FH-60210A_DO_1</v>
      </c>
      <c r="H1026" s="136"/>
      <c r="I1026" s="136" t="str">
        <f>VLOOKUP(tbl_IO_List[[#This Row],[Destination]],tbl_Junction[],2,FALSE)</f>
        <v>MCC Room</v>
      </c>
      <c r="J1026" s="136" t="s">
        <v>270</v>
      </c>
      <c r="K1026" s="136" t="s">
        <v>14</v>
      </c>
      <c r="L1026" s="136" t="s">
        <v>1103</v>
      </c>
      <c r="M1026" s="136">
        <f>VLOOKUP(tbl_IO_List[[#This Row],[Instruement Tag]],tbl_Instruement_List[],2,FALSE)</f>
        <v>0</v>
      </c>
      <c r="N1026" s="136" t="s">
        <v>95</v>
      </c>
      <c r="O1026" s="136" t="s">
        <v>331</v>
      </c>
      <c r="P1026" s="136" t="s">
        <v>18</v>
      </c>
      <c r="Q1026" s="136" t="str">
        <f>VLOOKUP(tbl_IO_List[[#This Row],[Instruement Tag]],tbl_Instruement_List[],6,FALSE)</f>
        <v>Start / Stop Command Burner Remote Start for AHTR-21</v>
      </c>
      <c r="R1026" s="136"/>
      <c r="S102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026" s="136" t="str">
        <f>tbl_IO_List[[#This Row],[Instruement Tag]]&amp;"_"&amp;tbl_IO_List[[#This Row],[I/O Type]]&amp;"_"&amp;tbl_IO_List[[#This Row],[IO-Point 
(Instruement)]]</f>
        <v>XS-FH-60210A_DO_1</v>
      </c>
      <c r="U1026" s="136" t="s">
        <v>7</v>
      </c>
      <c r="V1026" s="136">
        <f>VLOOKUP(tbl_IO_List[[#This Row],[I/O Type]],tbl_Slot_Group[],2,FALSE)</f>
        <v>2</v>
      </c>
      <c r="W1026" s="136">
        <v>1</v>
      </c>
      <c r="X1026" s="136" t="str">
        <f>tbl_IO_List[[#This Row],[Chassis]]&amp;"S"&amp;TEXT(tbl_IO_List[[#This Row],[Slot]],"00")</f>
        <v>C7S06</v>
      </c>
      <c r="Y1026" s="136" t="str">
        <f>tbl_IO_List[[#This Row],[Chassis]]&amp;"S"&amp;TEXT(tbl_IO_List[[#This Row],[Slot]],"00")&amp;tbl_IO_List[[#This Row],[I/O Type]]&amp;TEXT(tbl_IO_List[[#This Row],[Point]],"00")</f>
        <v>C7S06DO08</v>
      </c>
      <c r="Z1026" s="136" t="str">
        <f>tbl_IO_List[[#This Row],[Chassis]]&amp;"S"&amp;TEXT(tbl_IO_List[[#This Row],[Slot]],"00")&amp;","&amp;TEXT(tbl_IO_List[[#This Row],[Point]],"00")</f>
        <v>C7S06,08</v>
      </c>
      <c r="AA1026" s="136" t="e">
        <f>VLOOKUP(tbl_IO_List[[#This Row],[Column23]],tbl_RackConfig[],5,FALSE) &amp;"-"&amp;tbl_IO_List[[#This Row],[Point]]</f>
        <v>#N/A</v>
      </c>
      <c r="AB1026" s="136"/>
      <c r="AC1026" s="136"/>
      <c r="AD1026" s="136" t="str">
        <f>tbl_IO_List[[#This Row],[I/O Type]]</f>
        <v>DO</v>
      </c>
      <c r="AE1026" s="136" t="s">
        <v>1368</v>
      </c>
      <c r="AF1026" s="136">
        <v>6</v>
      </c>
      <c r="AG1026" s="136">
        <v>8</v>
      </c>
      <c r="AH1026" s="136"/>
      <c r="AI1026" s="136"/>
      <c r="AJ1026" s="136">
        <v>0</v>
      </c>
      <c r="AK1026" s="136">
        <v>1</v>
      </c>
      <c r="AL1026" s="136">
        <v>0</v>
      </c>
      <c r="AM1026" s="136">
        <v>0</v>
      </c>
      <c r="AN1026" s="136">
        <v>0</v>
      </c>
      <c r="AO1026" s="136"/>
      <c r="AP1026" s="143" t="str">
        <f>VLOOKUP(tbl_IO_List[[#This Row],[Instruement Tag]],tbl_Instruement_List[],14,FALSE)</f>
        <v>Dry Contact</v>
      </c>
      <c r="AQ1026" s="143" t="str">
        <f>tbl_IO_List[[#This Row],[Chassis]]&amp;"S"&amp;tbl_IO_List[[#This Row],[Slot]]&amp;"-"&amp;tbl_IO_List[[#This Row],[Front Terminal Number]]</f>
        <v>C7S6-</v>
      </c>
      <c r="AR1026" s="143"/>
      <c r="AS1026" s="136" t="str">
        <f>tbl_IO_List[[#This Row],[Terminal Tagging]]&amp;"-"&amp;tbl_IO_List[[#This Row],[Point-Count]]</f>
        <v>-</v>
      </c>
      <c r="AT1026" s="136" t="str">
        <f>tbl_IO_List[[#This Row],[Front Terminal Tagging]]&amp;"/"&amp;tbl_IO_List[[#This Row],[Terminal Tagging-Item]]</f>
        <v>C7S6-/-</v>
      </c>
      <c r="AU1026" s="136" t="str">
        <f>tbl_IO_List[[#This Row],[Terminal Tagging-Item]]&amp;"/"&amp;tbl_IO_List[[#This Row],[Front Terminal Tagging]]</f>
        <v>-/C7S6-</v>
      </c>
    </row>
    <row r="1027" spans="1:47" hidden="1">
      <c r="A1027" s="136" t="s">
        <v>1307</v>
      </c>
      <c r="B1027" s="136" t="s">
        <v>1307</v>
      </c>
      <c r="C1027" s="136" t="str">
        <f>tbl_IO_List[[#This Row],[Column3]]</f>
        <v>C7S06,09</v>
      </c>
      <c r="D1027" s="136" t="e">
        <f>tbl_IO_List[[#This Row],[Card]]</f>
        <v>#N/A</v>
      </c>
      <c r="E1027" s="136"/>
      <c r="F1027" s="136" t="str">
        <f>tbl_IO_List[[#This Row],[Column23]]&amp;"-" &amp;tbl_IO_List[[#This Row],[Column52]]</f>
        <v>C7S06-</v>
      </c>
      <c r="G1027" s="136" t="str">
        <f>tbl_IO_List[[#This Row],[PLC_Tag]]</f>
        <v>XS-FH-60210B_DO_1</v>
      </c>
      <c r="H1027" s="136"/>
      <c r="I1027" s="136" t="str">
        <f>VLOOKUP(tbl_IO_List[[#This Row],[Destination]],tbl_Junction[],2,FALSE)</f>
        <v>MCC Room</v>
      </c>
      <c r="J1027" s="136" t="s">
        <v>270</v>
      </c>
      <c r="K1027" s="136" t="s">
        <v>14</v>
      </c>
      <c r="L1027" s="136" t="s">
        <v>1105</v>
      </c>
      <c r="M1027" s="136">
        <f>VLOOKUP(tbl_IO_List[[#This Row],[Instruement Tag]],tbl_Instruement_List[],2,FALSE)</f>
        <v>0</v>
      </c>
      <c r="N1027" s="136" t="s">
        <v>95</v>
      </c>
      <c r="O1027" s="136" t="s">
        <v>331</v>
      </c>
      <c r="P1027" s="136" t="s">
        <v>18</v>
      </c>
      <c r="Q1027" s="136" t="str">
        <f>VLOOKUP(tbl_IO_List[[#This Row],[Instruement Tag]],tbl_Instruement_List[],6,FALSE)</f>
        <v>Start / Stop Command Dryer Interlocks for AHTR-21</v>
      </c>
      <c r="R1027" s="136"/>
      <c r="S102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027" s="136" t="str">
        <f>tbl_IO_List[[#This Row],[Instruement Tag]]&amp;"_"&amp;tbl_IO_List[[#This Row],[I/O Type]]&amp;"_"&amp;tbl_IO_List[[#This Row],[IO-Point 
(Instruement)]]</f>
        <v>XS-FH-60210B_DO_1</v>
      </c>
      <c r="U1027" s="136" t="s">
        <v>7</v>
      </c>
      <c r="V1027" s="136">
        <f>VLOOKUP(tbl_IO_List[[#This Row],[I/O Type]],tbl_Slot_Group[],2,FALSE)</f>
        <v>2</v>
      </c>
      <c r="W1027" s="136">
        <v>1</v>
      </c>
      <c r="X1027" s="136" t="str">
        <f>tbl_IO_List[[#This Row],[Chassis]]&amp;"S"&amp;TEXT(tbl_IO_List[[#This Row],[Slot]],"00")</f>
        <v>C7S06</v>
      </c>
      <c r="Y1027" s="136" t="str">
        <f>tbl_IO_List[[#This Row],[Chassis]]&amp;"S"&amp;TEXT(tbl_IO_List[[#This Row],[Slot]],"00")&amp;tbl_IO_List[[#This Row],[I/O Type]]&amp;TEXT(tbl_IO_List[[#This Row],[Point]],"00")</f>
        <v>C7S06DO09</v>
      </c>
      <c r="Z1027" s="136" t="str">
        <f>tbl_IO_List[[#This Row],[Chassis]]&amp;"S"&amp;TEXT(tbl_IO_List[[#This Row],[Slot]],"00")&amp;","&amp;TEXT(tbl_IO_List[[#This Row],[Point]],"00")</f>
        <v>C7S06,09</v>
      </c>
      <c r="AA1027" s="136" t="e">
        <f>VLOOKUP(tbl_IO_List[[#This Row],[Column23]],tbl_RackConfig[],5,FALSE) &amp;"-"&amp;tbl_IO_List[[#This Row],[Point]]</f>
        <v>#N/A</v>
      </c>
      <c r="AB1027" s="136"/>
      <c r="AC1027" s="136"/>
      <c r="AD1027" s="136" t="str">
        <f>tbl_IO_List[[#This Row],[I/O Type]]</f>
        <v>DO</v>
      </c>
      <c r="AE1027" s="136" t="s">
        <v>1368</v>
      </c>
      <c r="AF1027" s="136">
        <v>6</v>
      </c>
      <c r="AG1027" s="136">
        <v>9</v>
      </c>
      <c r="AH1027" s="136"/>
      <c r="AI1027" s="136"/>
      <c r="AJ1027" s="136">
        <v>0</v>
      </c>
      <c r="AK1027" s="136">
        <v>1</v>
      </c>
      <c r="AL1027" s="136">
        <v>0</v>
      </c>
      <c r="AM1027" s="136">
        <v>0</v>
      </c>
      <c r="AN1027" s="136">
        <v>0</v>
      </c>
      <c r="AO1027" s="136"/>
      <c r="AP1027" s="143" t="str">
        <f>VLOOKUP(tbl_IO_List[[#This Row],[Instruement Tag]],tbl_Instruement_List[],14,FALSE)</f>
        <v>Dry Contact</v>
      </c>
      <c r="AQ1027" s="143" t="str">
        <f>tbl_IO_List[[#This Row],[Chassis]]&amp;"S"&amp;tbl_IO_List[[#This Row],[Slot]]&amp;"-"&amp;tbl_IO_List[[#This Row],[Front Terminal Number]]</f>
        <v>C7S6-</v>
      </c>
      <c r="AR1027" s="143"/>
      <c r="AS1027" s="136" t="str">
        <f>tbl_IO_List[[#This Row],[Terminal Tagging]]&amp;"-"&amp;tbl_IO_List[[#This Row],[Point-Count]]</f>
        <v>-</v>
      </c>
      <c r="AT1027" s="136" t="str">
        <f>tbl_IO_List[[#This Row],[Front Terminal Tagging]]&amp;"/"&amp;tbl_IO_List[[#This Row],[Terminal Tagging-Item]]</f>
        <v>C7S6-/-</v>
      </c>
      <c r="AU1027" s="136" t="str">
        <f>tbl_IO_List[[#This Row],[Terminal Tagging-Item]]&amp;"/"&amp;tbl_IO_List[[#This Row],[Front Terminal Tagging]]</f>
        <v>-/C7S6-</v>
      </c>
    </row>
    <row r="1028" spans="1:47" hidden="1">
      <c r="A1028" s="136" t="s">
        <v>1307</v>
      </c>
      <c r="B1028" s="136" t="s">
        <v>1307</v>
      </c>
      <c r="C1028" s="136" t="str">
        <f>tbl_IO_List[[#This Row],[Column3]]</f>
        <v>C7S06,10</v>
      </c>
      <c r="D1028" s="136" t="e">
        <f>tbl_IO_List[[#This Row],[Card]]</f>
        <v>#N/A</v>
      </c>
      <c r="E1028" s="136"/>
      <c r="F1028" s="136" t="str">
        <f>tbl_IO_List[[#This Row],[Column23]]&amp;"-" &amp;tbl_IO_List[[#This Row],[Column52]]</f>
        <v>C7S06-</v>
      </c>
      <c r="G1028" s="136" t="str">
        <f>tbl_IO_List[[#This Row],[PLC_Tag]]</f>
        <v>BFY-61302_DO_1</v>
      </c>
      <c r="H1028" s="136"/>
      <c r="I1028" s="136" t="str">
        <f>VLOOKUP(tbl_IO_List[[#This Row],[Destination]],tbl_Junction[],2,FALSE)</f>
        <v>MCC Room</v>
      </c>
      <c r="J1028" s="136" t="s">
        <v>335</v>
      </c>
      <c r="K1028" s="136" t="s">
        <v>66</v>
      </c>
      <c r="L1028" s="136" t="s">
        <v>860</v>
      </c>
      <c r="M1028" s="136">
        <f>VLOOKUP(tbl_IO_List[[#This Row],[Instruement Tag]],tbl_Instruement_List[],2,FALSE)</f>
        <v>0</v>
      </c>
      <c r="N1028" s="136" t="s">
        <v>24</v>
      </c>
      <c r="O1028" s="136" t="s">
        <v>70</v>
      </c>
      <c r="P1028" s="136" t="s">
        <v>18</v>
      </c>
      <c r="Q1028" s="136" t="str">
        <f>VLOOKUP(tbl_IO_List[[#This Row],[Instruement Tag]],tbl_Instruement_List[],6,FALSE)</f>
        <v xml:space="preserve"> Start / Stop Command for VSD BF-61302 (LEV Blower fan )</v>
      </c>
      <c r="R1028" s="136"/>
      <c r="S102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1,DO=1,AI=0,AO=0,Bus=1</v>
      </c>
      <c r="T1028" s="136" t="str">
        <f>tbl_IO_List[[#This Row],[Instruement Tag]]&amp;"_"&amp;tbl_IO_List[[#This Row],[I/O Type]]&amp;"_"&amp;tbl_IO_List[[#This Row],[IO-Point 
(Instruement)]]</f>
        <v>BFY-61302_DO_1</v>
      </c>
      <c r="U1028" s="136" t="s">
        <v>7</v>
      </c>
      <c r="V1028" s="136">
        <f>VLOOKUP(tbl_IO_List[[#This Row],[I/O Type]],tbl_Slot_Group[],2,FALSE)</f>
        <v>2</v>
      </c>
      <c r="W1028" s="136">
        <v>1</v>
      </c>
      <c r="X1028" s="136" t="str">
        <f>tbl_IO_List[[#This Row],[Chassis]]&amp;"S"&amp;TEXT(tbl_IO_List[[#This Row],[Slot]],"00")</f>
        <v>C7S06</v>
      </c>
      <c r="Y1028" s="136" t="str">
        <f>tbl_IO_List[[#This Row],[Chassis]]&amp;"S"&amp;TEXT(tbl_IO_List[[#This Row],[Slot]],"00")&amp;tbl_IO_List[[#This Row],[I/O Type]]&amp;TEXT(tbl_IO_List[[#This Row],[Point]],"00")</f>
        <v>C7S06DO10</v>
      </c>
      <c r="Z1028" s="136" t="str">
        <f>tbl_IO_List[[#This Row],[Chassis]]&amp;"S"&amp;TEXT(tbl_IO_List[[#This Row],[Slot]],"00")&amp;","&amp;TEXT(tbl_IO_List[[#This Row],[Point]],"00")</f>
        <v>C7S06,10</v>
      </c>
      <c r="AA1028" s="136" t="e">
        <f>VLOOKUP(tbl_IO_List[[#This Row],[Column23]],tbl_RackConfig[],5,FALSE) &amp;"-"&amp;tbl_IO_List[[#This Row],[Point]]</f>
        <v>#N/A</v>
      </c>
      <c r="AB1028" s="136"/>
      <c r="AC1028" s="136"/>
      <c r="AD1028" s="136" t="str">
        <f>tbl_IO_List[[#This Row],[I/O Type]]</f>
        <v>DO</v>
      </c>
      <c r="AE1028" s="136" t="s">
        <v>1368</v>
      </c>
      <c r="AF1028" s="136">
        <v>6</v>
      </c>
      <c r="AG1028" s="136">
        <v>10</v>
      </c>
      <c r="AH1028" s="136"/>
      <c r="AI1028" s="136"/>
      <c r="AJ1028" s="136">
        <v>1</v>
      </c>
      <c r="AK1028" s="136">
        <v>1</v>
      </c>
      <c r="AL1028" s="136">
        <v>0</v>
      </c>
      <c r="AM1028" s="136">
        <v>0</v>
      </c>
      <c r="AN1028" s="136">
        <v>1</v>
      </c>
      <c r="AO1028" s="136"/>
      <c r="AP1028" s="143" t="str">
        <f>VLOOKUP(tbl_IO_List[[#This Row],[Instruement Tag]],tbl_Instruement_List[],14,FALSE)</f>
        <v>24 VDC energized</v>
      </c>
      <c r="AQ1028" s="143" t="str">
        <f>tbl_IO_List[[#This Row],[Chassis]]&amp;"S"&amp;tbl_IO_List[[#This Row],[Slot]]&amp;"-"&amp;tbl_IO_List[[#This Row],[Front Terminal Number]]</f>
        <v>C7S6-</v>
      </c>
      <c r="AR1028" s="143"/>
      <c r="AS1028" s="136" t="str">
        <f>tbl_IO_List[[#This Row],[Terminal Tagging]]&amp;"-"&amp;tbl_IO_List[[#This Row],[Point-Count]]</f>
        <v>-</v>
      </c>
      <c r="AT1028" s="136" t="str">
        <f>tbl_IO_List[[#This Row],[Front Terminal Tagging]]&amp;"/"&amp;tbl_IO_List[[#This Row],[Terminal Tagging-Item]]</f>
        <v>C7S6-/-</v>
      </c>
      <c r="AU1028" s="136" t="str">
        <f>tbl_IO_List[[#This Row],[Terminal Tagging-Item]]&amp;"/"&amp;tbl_IO_List[[#This Row],[Front Terminal Tagging]]</f>
        <v>-/C7S6-</v>
      </c>
    </row>
    <row r="1029" spans="1:47" hidden="1">
      <c r="A1029" s="136" t="s">
        <v>1307</v>
      </c>
      <c r="B1029" s="136" t="s">
        <v>1307</v>
      </c>
      <c r="C1029" s="136" t="str">
        <f>tbl_IO_List[[#This Row],[Column3]]</f>
        <v>C7S06,11</v>
      </c>
      <c r="D1029" s="136" t="e">
        <f>tbl_IO_List[[#This Row],[Card]]</f>
        <v>#N/A</v>
      </c>
      <c r="E1029" s="136"/>
      <c r="F1029" s="136" t="str">
        <f>tbl_IO_List[[#This Row],[Column23]]&amp;"-" &amp;tbl_IO_List[[#This Row],[Column52]]</f>
        <v>C7S06-</v>
      </c>
      <c r="G1029" s="136" t="str">
        <f>tbl_IO_List[[#This Row],[PLC_Tag]]</f>
        <v>RVM-61302_DO_1</v>
      </c>
      <c r="H1029" s="136"/>
      <c r="I1029" s="136" t="str">
        <f>VLOOKUP(tbl_IO_List[[#This Row],[Destination]],tbl_Junction[],2,FALSE)</f>
        <v>MCC Room</v>
      </c>
      <c r="J1029" s="136" t="s">
        <v>335</v>
      </c>
      <c r="K1029" s="136" t="s">
        <v>66</v>
      </c>
      <c r="L1029" s="136" t="s">
        <v>908</v>
      </c>
      <c r="M1029" s="136">
        <f>VLOOKUP(tbl_IO_List[[#This Row],[Instruement Tag]],tbl_Instruement_List[],2,FALSE)</f>
        <v>0</v>
      </c>
      <c r="N1029" s="136" t="s">
        <v>15</v>
      </c>
      <c r="O1029" s="136" t="s">
        <v>67</v>
      </c>
      <c r="P1029" s="136" t="s">
        <v>18</v>
      </c>
      <c r="Q1029" s="136" t="str">
        <f>VLOOKUP(tbl_IO_List[[#This Row],[Instruement Tag]],tbl_Instruement_List[],6,FALSE)</f>
        <v xml:space="preserve"> Start / Stop Command for FVNR RV-61302</v>
      </c>
      <c r="R1029" s="136"/>
      <c r="S102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1029" s="136" t="str">
        <f>tbl_IO_List[[#This Row],[Instruement Tag]]&amp;"_"&amp;tbl_IO_List[[#This Row],[I/O Type]]&amp;"_"&amp;tbl_IO_List[[#This Row],[IO-Point 
(Instruement)]]</f>
        <v>RVM-61302_DO_1</v>
      </c>
      <c r="U1029" s="136" t="s">
        <v>7</v>
      </c>
      <c r="V1029" s="136">
        <f>VLOOKUP(tbl_IO_List[[#This Row],[I/O Type]],tbl_Slot_Group[],2,FALSE)</f>
        <v>2</v>
      </c>
      <c r="W1029" s="136">
        <v>1</v>
      </c>
      <c r="X1029" s="136" t="str">
        <f>tbl_IO_List[[#This Row],[Chassis]]&amp;"S"&amp;TEXT(tbl_IO_List[[#This Row],[Slot]],"00")</f>
        <v>C7S06</v>
      </c>
      <c r="Y1029" s="136" t="str">
        <f>tbl_IO_List[[#This Row],[Chassis]]&amp;"S"&amp;TEXT(tbl_IO_List[[#This Row],[Slot]],"00")&amp;tbl_IO_List[[#This Row],[I/O Type]]&amp;TEXT(tbl_IO_List[[#This Row],[Point]],"00")</f>
        <v>C7S06DO11</v>
      </c>
      <c r="Z1029" s="136" t="str">
        <f>tbl_IO_List[[#This Row],[Chassis]]&amp;"S"&amp;TEXT(tbl_IO_List[[#This Row],[Slot]],"00")&amp;","&amp;TEXT(tbl_IO_List[[#This Row],[Point]],"00")</f>
        <v>C7S06,11</v>
      </c>
      <c r="AA1029" s="136" t="e">
        <f>VLOOKUP(tbl_IO_List[[#This Row],[Column23]],tbl_RackConfig[],5,FALSE) &amp;"-"&amp;tbl_IO_List[[#This Row],[Point]]</f>
        <v>#N/A</v>
      </c>
      <c r="AB1029" s="136"/>
      <c r="AC1029" s="136"/>
      <c r="AD1029" s="136" t="str">
        <f>tbl_IO_List[[#This Row],[I/O Type]]</f>
        <v>DO</v>
      </c>
      <c r="AE1029" s="136" t="s">
        <v>1368</v>
      </c>
      <c r="AF1029" s="136">
        <v>6</v>
      </c>
      <c r="AG1029" s="136">
        <v>11</v>
      </c>
      <c r="AH1029" s="136"/>
      <c r="AI1029" s="136"/>
      <c r="AJ1029" s="136">
        <v>2</v>
      </c>
      <c r="AK1029" s="136">
        <v>2</v>
      </c>
      <c r="AL1029" s="136">
        <v>0</v>
      </c>
      <c r="AM1029" s="136">
        <v>0</v>
      </c>
      <c r="AN1029" s="136">
        <v>0</v>
      </c>
      <c r="AO1029" s="136"/>
      <c r="AP1029" s="143" t="str">
        <f>VLOOKUP(tbl_IO_List[[#This Row],[Instruement Tag]],tbl_Instruement_List[],14,FALSE)</f>
        <v>24 VDC energized</v>
      </c>
      <c r="AQ1029" s="143" t="str">
        <f>tbl_IO_List[[#This Row],[Chassis]]&amp;"S"&amp;tbl_IO_List[[#This Row],[Slot]]&amp;"-"&amp;tbl_IO_List[[#This Row],[Front Terminal Number]]</f>
        <v>C7S6-</v>
      </c>
      <c r="AR1029" s="143"/>
      <c r="AS1029" s="136" t="str">
        <f>tbl_IO_List[[#This Row],[Terminal Tagging]]&amp;"-"&amp;tbl_IO_List[[#This Row],[Point-Count]]</f>
        <v>-</v>
      </c>
      <c r="AT1029" s="136" t="str">
        <f>tbl_IO_List[[#This Row],[Front Terminal Tagging]]&amp;"/"&amp;tbl_IO_List[[#This Row],[Terminal Tagging-Item]]</f>
        <v>C7S6-/-</v>
      </c>
      <c r="AU1029" s="136" t="str">
        <f>tbl_IO_List[[#This Row],[Terminal Tagging-Item]]&amp;"/"&amp;tbl_IO_List[[#This Row],[Front Terminal Tagging]]</f>
        <v>-/C7S6-</v>
      </c>
    </row>
    <row r="1030" spans="1:47" hidden="1">
      <c r="A1030" s="136" t="s">
        <v>1307</v>
      </c>
      <c r="B1030" s="136" t="s">
        <v>1307</v>
      </c>
      <c r="C1030" s="136" t="str">
        <f>tbl_IO_List[[#This Row],[Column3]]</f>
        <v>C7S06,12</v>
      </c>
      <c r="D1030" s="136" t="e">
        <f>tbl_IO_List[[#This Row],[Card]]</f>
        <v>#N/A</v>
      </c>
      <c r="E1030" s="136"/>
      <c r="F1030" s="136" t="str">
        <f>tbl_IO_List[[#This Row],[Column23]]&amp;"-" &amp;tbl_IO_List[[#This Row],[Column52]]</f>
        <v>C7S06-</v>
      </c>
      <c r="G1030" s="136" t="str">
        <f>tbl_IO_List[[#This Row],[PLC_Tag]]</f>
        <v>RVM-61302_DO_2</v>
      </c>
      <c r="H1030" s="136"/>
      <c r="I1030" s="136" t="str">
        <f>VLOOKUP(tbl_IO_List[[#This Row],[Destination]],tbl_Junction[],2,FALSE)</f>
        <v>MCC Room</v>
      </c>
      <c r="J1030" s="136" t="s">
        <v>335</v>
      </c>
      <c r="K1030" s="136" t="s">
        <v>66</v>
      </c>
      <c r="L1030" s="136" t="s">
        <v>908</v>
      </c>
      <c r="M1030" s="136">
        <f>VLOOKUP(tbl_IO_List[[#This Row],[Instruement Tag]],tbl_Instruement_List[],2,FALSE)</f>
        <v>0</v>
      </c>
      <c r="N1030" s="136" t="s">
        <v>15</v>
      </c>
      <c r="O1030" s="136" t="s">
        <v>67</v>
      </c>
      <c r="P1030" s="136" t="s">
        <v>18</v>
      </c>
      <c r="Q1030" s="136" t="str">
        <f>VLOOKUP(tbl_IO_List[[#This Row],[Instruement Tag]],tbl_Instruement_List[],6,FALSE)</f>
        <v xml:space="preserve"> Start / Stop Command for FVNR RV-61302</v>
      </c>
      <c r="R1030" s="136"/>
      <c r="S103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1030" s="136" t="str">
        <f>tbl_IO_List[[#This Row],[Instruement Tag]]&amp;"_"&amp;tbl_IO_List[[#This Row],[I/O Type]]&amp;"_"&amp;tbl_IO_List[[#This Row],[IO-Point 
(Instruement)]]</f>
        <v>RVM-61302_DO_2</v>
      </c>
      <c r="U1030" s="136" t="s">
        <v>7</v>
      </c>
      <c r="V1030" s="136">
        <f>VLOOKUP(tbl_IO_List[[#This Row],[I/O Type]],tbl_Slot_Group[],2,FALSE)</f>
        <v>2</v>
      </c>
      <c r="W1030" s="136">
        <v>2</v>
      </c>
      <c r="X1030" s="136" t="str">
        <f>tbl_IO_List[[#This Row],[Chassis]]&amp;"S"&amp;TEXT(tbl_IO_List[[#This Row],[Slot]],"00")</f>
        <v>C7S06</v>
      </c>
      <c r="Y1030" s="136" t="str">
        <f>tbl_IO_List[[#This Row],[Chassis]]&amp;"S"&amp;TEXT(tbl_IO_List[[#This Row],[Slot]],"00")&amp;tbl_IO_List[[#This Row],[I/O Type]]&amp;TEXT(tbl_IO_List[[#This Row],[Point]],"00")</f>
        <v>C7S06DO12</v>
      </c>
      <c r="Z1030" s="136" t="str">
        <f>tbl_IO_List[[#This Row],[Chassis]]&amp;"S"&amp;TEXT(tbl_IO_List[[#This Row],[Slot]],"00")&amp;","&amp;TEXT(tbl_IO_List[[#This Row],[Point]],"00")</f>
        <v>C7S06,12</v>
      </c>
      <c r="AA1030" s="136" t="e">
        <f>VLOOKUP(tbl_IO_List[[#This Row],[Column23]],tbl_RackConfig[],5,FALSE) &amp;"-"&amp;tbl_IO_List[[#This Row],[Point]]</f>
        <v>#N/A</v>
      </c>
      <c r="AB1030" s="136"/>
      <c r="AC1030" s="136"/>
      <c r="AD1030" s="136" t="str">
        <f>tbl_IO_List[[#This Row],[I/O Type]]</f>
        <v>DO</v>
      </c>
      <c r="AE1030" s="136" t="s">
        <v>1368</v>
      </c>
      <c r="AF1030" s="136">
        <v>6</v>
      </c>
      <c r="AG1030" s="136">
        <v>12</v>
      </c>
      <c r="AH1030" s="136"/>
      <c r="AI1030" s="136"/>
      <c r="AJ1030" s="136">
        <v>2</v>
      </c>
      <c r="AK1030" s="136">
        <v>2</v>
      </c>
      <c r="AL1030" s="136">
        <v>0</v>
      </c>
      <c r="AM1030" s="136">
        <v>0</v>
      </c>
      <c r="AN1030" s="136">
        <v>0</v>
      </c>
      <c r="AO1030" s="136"/>
      <c r="AP1030" s="143" t="str">
        <f>VLOOKUP(tbl_IO_List[[#This Row],[Instruement Tag]],tbl_Instruement_List[],14,FALSE)</f>
        <v>24 VDC energized</v>
      </c>
      <c r="AQ1030" s="143" t="str">
        <f>tbl_IO_List[[#This Row],[Chassis]]&amp;"S"&amp;tbl_IO_List[[#This Row],[Slot]]&amp;"-"&amp;tbl_IO_List[[#This Row],[Front Terminal Number]]</f>
        <v>C7S6-</v>
      </c>
      <c r="AR1030" s="143"/>
      <c r="AS1030" s="136" t="str">
        <f>tbl_IO_List[[#This Row],[Terminal Tagging]]&amp;"-"&amp;tbl_IO_List[[#This Row],[Point-Count]]</f>
        <v>-</v>
      </c>
      <c r="AT1030" s="136" t="str">
        <f>tbl_IO_List[[#This Row],[Front Terminal Tagging]]&amp;"/"&amp;tbl_IO_List[[#This Row],[Terminal Tagging-Item]]</f>
        <v>C7S6-/-</v>
      </c>
      <c r="AU1030" s="136" t="str">
        <f>tbl_IO_List[[#This Row],[Terminal Tagging-Item]]&amp;"/"&amp;tbl_IO_List[[#This Row],[Front Terminal Tagging]]</f>
        <v>-/C7S6-</v>
      </c>
    </row>
    <row r="1031" spans="1:47" hidden="1">
      <c r="A1031" s="136" t="s">
        <v>1307</v>
      </c>
      <c r="B1031" s="136" t="s">
        <v>1307</v>
      </c>
      <c r="C1031" s="136" t="str">
        <f>tbl_IO_List[[#This Row],[Column3]]</f>
        <v>C7S06,13</v>
      </c>
      <c r="D1031" s="136" t="e">
        <f>tbl_IO_List[[#This Row],[Card]]</f>
        <v>#N/A</v>
      </c>
      <c r="E1031" s="136"/>
      <c r="F1031" s="136" t="str">
        <f>tbl_IO_List[[#This Row],[Column23]]&amp;"-" &amp;tbl_IO_List[[#This Row],[Column52]]</f>
        <v>C7S06-</v>
      </c>
      <c r="G1031" s="136" t="str">
        <f>tbl_IO_List[[#This Row],[PLC_Tag]]</f>
        <v>RVM-61303_DO_1</v>
      </c>
      <c r="H1031" s="136"/>
      <c r="I1031" s="136" t="str">
        <f>VLOOKUP(tbl_IO_List[[#This Row],[Destination]],tbl_Junction[],2,FALSE)</f>
        <v>MCC Room</v>
      </c>
      <c r="J1031" s="136" t="s">
        <v>335</v>
      </c>
      <c r="K1031" s="136" t="s">
        <v>66</v>
      </c>
      <c r="L1031" s="136" t="s">
        <v>910</v>
      </c>
      <c r="M1031" s="136">
        <f>VLOOKUP(tbl_IO_List[[#This Row],[Instruement Tag]],tbl_Instruement_List[],2,FALSE)</f>
        <v>0</v>
      </c>
      <c r="N1031" s="136" t="s">
        <v>15</v>
      </c>
      <c r="O1031" s="136" t="s">
        <v>70</v>
      </c>
      <c r="P1031" s="136" t="s">
        <v>18</v>
      </c>
      <c r="Q1031" s="136" t="str">
        <f>VLOOKUP(tbl_IO_List[[#This Row],[Instruement Tag]],tbl_Instruement_List[],6,FALSE)</f>
        <v xml:space="preserve"> Start / Stop Command for FVNR RV-61303</v>
      </c>
      <c r="R1031" s="136"/>
      <c r="S103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1031" s="136" t="str">
        <f>tbl_IO_List[[#This Row],[Instruement Tag]]&amp;"_"&amp;tbl_IO_List[[#This Row],[I/O Type]]&amp;"_"&amp;tbl_IO_List[[#This Row],[IO-Point 
(Instruement)]]</f>
        <v>RVM-61303_DO_1</v>
      </c>
      <c r="U1031" s="136" t="s">
        <v>7</v>
      </c>
      <c r="V1031" s="136">
        <f>VLOOKUP(tbl_IO_List[[#This Row],[I/O Type]],tbl_Slot_Group[],2,FALSE)</f>
        <v>2</v>
      </c>
      <c r="W1031" s="136">
        <v>1</v>
      </c>
      <c r="X1031" s="136" t="str">
        <f>tbl_IO_List[[#This Row],[Chassis]]&amp;"S"&amp;TEXT(tbl_IO_List[[#This Row],[Slot]],"00")</f>
        <v>C7S06</v>
      </c>
      <c r="Y1031" s="136" t="str">
        <f>tbl_IO_List[[#This Row],[Chassis]]&amp;"S"&amp;TEXT(tbl_IO_List[[#This Row],[Slot]],"00")&amp;tbl_IO_List[[#This Row],[I/O Type]]&amp;TEXT(tbl_IO_List[[#This Row],[Point]],"00")</f>
        <v>C7S06DO13</v>
      </c>
      <c r="Z1031" s="136" t="str">
        <f>tbl_IO_List[[#This Row],[Chassis]]&amp;"S"&amp;TEXT(tbl_IO_List[[#This Row],[Slot]],"00")&amp;","&amp;TEXT(tbl_IO_List[[#This Row],[Point]],"00")</f>
        <v>C7S06,13</v>
      </c>
      <c r="AA1031" s="136" t="e">
        <f>VLOOKUP(tbl_IO_List[[#This Row],[Column23]],tbl_RackConfig[],5,FALSE) &amp;"-"&amp;tbl_IO_List[[#This Row],[Point]]</f>
        <v>#N/A</v>
      </c>
      <c r="AB1031" s="136"/>
      <c r="AC1031" s="136"/>
      <c r="AD1031" s="136" t="str">
        <f>tbl_IO_List[[#This Row],[I/O Type]]</f>
        <v>DO</v>
      </c>
      <c r="AE1031" s="136" t="s">
        <v>1368</v>
      </c>
      <c r="AF1031" s="136">
        <v>6</v>
      </c>
      <c r="AG1031" s="136">
        <v>13</v>
      </c>
      <c r="AH1031" s="136"/>
      <c r="AI1031" s="136"/>
      <c r="AJ1031" s="136">
        <v>2</v>
      </c>
      <c r="AK1031" s="136">
        <v>2</v>
      </c>
      <c r="AL1031" s="136">
        <v>0</v>
      </c>
      <c r="AM1031" s="136">
        <v>0</v>
      </c>
      <c r="AN1031" s="136">
        <v>0</v>
      </c>
      <c r="AO1031" s="136"/>
      <c r="AP1031" s="143" t="str">
        <f>VLOOKUP(tbl_IO_List[[#This Row],[Instruement Tag]],tbl_Instruement_List[],14,FALSE)</f>
        <v>24 VDC energized</v>
      </c>
      <c r="AQ1031" s="143" t="str">
        <f>tbl_IO_List[[#This Row],[Chassis]]&amp;"S"&amp;tbl_IO_List[[#This Row],[Slot]]&amp;"-"&amp;tbl_IO_List[[#This Row],[Front Terminal Number]]</f>
        <v>C7S6-</v>
      </c>
      <c r="AR1031" s="143"/>
      <c r="AS1031" s="136" t="str">
        <f>tbl_IO_List[[#This Row],[Terminal Tagging]]&amp;"-"&amp;tbl_IO_List[[#This Row],[Point-Count]]</f>
        <v>-</v>
      </c>
      <c r="AT1031" s="136" t="str">
        <f>tbl_IO_List[[#This Row],[Front Terminal Tagging]]&amp;"/"&amp;tbl_IO_List[[#This Row],[Terminal Tagging-Item]]</f>
        <v>C7S6-/-</v>
      </c>
      <c r="AU1031" s="136" t="str">
        <f>tbl_IO_List[[#This Row],[Terminal Tagging-Item]]&amp;"/"&amp;tbl_IO_List[[#This Row],[Front Terminal Tagging]]</f>
        <v>-/C7S6-</v>
      </c>
    </row>
    <row r="1032" spans="1:47" hidden="1">
      <c r="A1032" s="136" t="s">
        <v>1307</v>
      </c>
      <c r="B1032" s="136" t="s">
        <v>1307</v>
      </c>
      <c r="C1032" s="136" t="str">
        <f>tbl_IO_List[[#This Row],[Column3]]</f>
        <v>C7S06,14</v>
      </c>
      <c r="D1032" s="136" t="e">
        <f>tbl_IO_List[[#This Row],[Card]]</f>
        <v>#N/A</v>
      </c>
      <c r="E1032" s="136"/>
      <c r="F1032" s="136" t="str">
        <f>tbl_IO_List[[#This Row],[Column23]]&amp;"-" &amp;tbl_IO_List[[#This Row],[Column52]]</f>
        <v>C7S06-</v>
      </c>
      <c r="G1032" s="136" t="str">
        <f>tbl_IO_List[[#This Row],[PLC_Tag]]</f>
        <v>RVM-61303_DO_2</v>
      </c>
      <c r="H1032" s="136"/>
      <c r="I1032" s="136" t="str">
        <f>VLOOKUP(tbl_IO_List[[#This Row],[Destination]],tbl_Junction[],2,FALSE)</f>
        <v>MCC Room</v>
      </c>
      <c r="J1032" s="136" t="s">
        <v>335</v>
      </c>
      <c r="K1032" s="136" t="s">
        <v>66</v>
      </c>
      <c r="L1032" s="136" t="s">
        <v>910</v>
      </c>
      <c r="M1032" s="136">
        <f>VLOOKUP(tbl_IO_List[[#This Row],[Instruement Tag]],tbl_Instruement_List[],2,FALSE)</f>
        <v>0</v>
      </c>
      <c r="N1032" s="136" t="s">
        <v>15</v>
      </c>
      <c r="O1032" s="136" t="s">
        <v>70</v>
      </c>
      <c r="P1032" s="136" t="s">
        <v>18</v>
      </c>
      <c r="Q1032" s="136" t="str">
        <f>VLOOKUP(tbl_IO_List[[#This Row],[Instruement Tag]],tbl_Instruement_List[],6,FALSE)</f>
        <v xml:space="preserve"> Start / Stop Command for FVNR RV-61303</v>
      </c>
      <c r="R1032" s="136"/>
      <c r="S103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1032" s="136" t="str">
        <f>tbl_IO_List[[#This Row],[Instruement Tag]]&amp;"_"&amp;tbl_IO_List[[#This Row],[I/O Type]]&amp;"_"&amp;tbl_IO_List[[#This Row],[IO-Point 
(Instruement)]]</f>
        <v>RVM-61303_DO_2</v>
      </c>
      <c r="U1032" s="136" t="s">
        <v>7</v>
      </c>
      <c r="V1032" s="136">
        <f>VLOOKUP(tbl_IO_List[[#This Row],[I/O Type]],tbl_Slot_Group[],2,FALSE)</f>
        <v>2</v>
      </c>
      <c r="W1032" s="136">
        <v>2</v>
      </c>
      <c r="X1032" s="136" t="str">
        <f>tbl_IO_List[[#This Row],[Chassis]]&amp;"S"&amp;TEXT(tbl_IO_List[[#This Row],[Slot]],"00")</f>
        <v>C7S06</v>
      </c>
      <c r="Y1032" s="136" t="str">
        <f>tbl_IO_List[[#This Row],[Chassis]]&amp;"S"&amp;TEXT(tbl_IO_List[[#This Row],[Slot]],"00")&amp;tbl_IO_List[[#This Row],[I/O Type]]&amp;TEXT(tbl_IO_List[[#This Row],[Point]],"00")</f>
        <v>C7S06DO14</v>
      </c>
      <c r="Z1032" s="136" t="str">
        <f>tbl_IO_List[[#This Row],[Chassis]]&amp;"S"&amp;TEXT(tbl_IO_List[[#This Row],[Slot]],"00")&amp;","&amp;TEXT(tbl_IO_List[[#This Row],[Point]],"00")</f>
        <v>C7S06,14</v>
      </c>
      <c r="AA1032" s="136" t="e">
        <f>VLOOKUP(tbl_IO_List[[#This Row],[Column23]],tbl_RackConfig[],5,FALSE) &amp;"-"&amp;tbl_IO_List[[#This Row],[Point]]</f>
        <v>#N/A</v>
      </c>
      <c r="AB1032" s="136"/>
      <c r="AC1032" s="136"/>
      <c r="AD1032" s="136" t="str">
        <f>tbl_IO_List[[#This Row],[I/O Type]]</f>
        <v>DO</v>
      </c>
      <c r="AE1032" s="136" t="s">
        <v>1368</v>
      </c>
      <c r="AF1032" s="136">
        <v>6</v>
      </c>
      <c r="AG1032" s="136">
        <v>14</v>
      </c>
      <c r="AH1032" s="136"/>
      <c r="AI1032" s="136"/>
      <c r="AJ1032" s="136">
        <v>2</v>
      </c>
      <c r="AK1032" s="136">
        <v>2</v>
      </c>
      <c r="AL1032" s="136">
        <v>0</v>
      </c>
      <c r="AM1032" s="136">
        <v>0</v>
      </c>
      <c r="AN1032" s="136">
        <v>0</v>
      </c>
      <c r="AO1032" s="136"/>
      <c r="AP1032" s="143" t="str">
        <f>VLOOKUP(tbl_IO_List[[#This Row],[Instruement Tag]],tbl_Instruement_List[],14,FALSE)</f>
        <v>24 VDC energized</v>
      </c>
      <c r="AQ1032" s="143" t="str">
        <f>tbl_IO_List[[#This Row],[Chassis]]&amp;"S"&amp;tbl_IO_List[[#This Row],[Slot]]&amp;"-"&amp;tbl_IO_List[[#This Row],[Front Terminal Number]]</f>
        <v>C7S6-</v>
      </c>
      <c r="AR1032" s="143"/>
      <c r="AS1032" s="136" t="str">
        <f>tbl_IO_List[[#This Row],[Terminal Tagging]]&amp;"-"&amp;tbl_IO_List[[#This Row],[Point-Count]]</f>
        <v>-</v>
      </c>
      <c r="AT1032" s="136" t="str">
        <f>tbl_IO_List[[#This Row],[Front Terminal Tagging]]&amp;"/"&amp;tbl_IO_List[[#This Row],[Terminal Tagging-Item]]</f>
        <v>C7S6-/-</v>
      </c>
      <c r="AU1032" s="136" t="str">
        <f>tbl_IO_List[[#This Row],[Terminal Tagging-Item]]&amp;"/"&amp;tbl_IO_List[[#This Row],[Front Terminal Tagging]]</f>
        <v>-/C7S6-</v>
      </c>
    </row>
    <row r="1033" spans="1:47" hidden="1">
      <c r="A1033" s="136" t="s">
        <v>1307</v>
      </c>
      <c r="B1033" s="136" t="s">
        <v>1307</v>
      </c>
      <c r="C1033" s="136" t="str">
        <f>tbl_IO_List[[#This Row],[Column3]]</f>
        <v>C7S06,15</v>
      </c>
      <c r="D1033" s="136" t="e">
        <f>tbl_IO_List[[#This Row],[Card]]</f>
        <v>#N/A</v>
      </c>
      <c r="E1033" s="136"/>
      <c r="F1033" s="136" t="str">
        <f>tbl_IO_List[[#This Row],[Column23]]&amp;"-" &amp;tbl_IO_List[[#This Row],[Column52]]</f>
        <v>C7S06-</v>
      </c>
      <c r="G1033" s="136" t="str">
        <f>tbl_IO_List[[#This Row],[PLC_Tag]]</f>
        <v>SCM-61301_DO_1</v>
      </c>
      <c r="H1033" s="136"/>
      <c r="I1033" s="136" t="str">
        <f>VLOOKUP(tbl_IO_List[[#This Row],[Destination]],tbl_Junction[],2,FALSE)</f>
        <v>MCC Room</v>
      </c>
      <c r="J1033" s="136" t="s">
        <v>335</v>
      </c>
      <c r="K1033" s="136" t="s">
        <v>66</v>
      </c>
      <c r="L1033" s="136" t="s">
        <v>916</v>
      </c>
      <c r="M1033" s="136">
        <f>VLOOKUP(tbl_IO_List[[#This Row],[Instruement Tag]],tbl_Instruement_List[],2,FALSE)</f>
        <v>0</v>
      </c>
      <c r="N1033" s="136" t="s">
        <v>31</v>
      </c>
      <c r="O1033" s="136" t="s">
        <v>78</v>
      </c>
      <c r="P1033" s="136" t="s">
        <v>18</v>
      </c>
      <c r="Q1033" s="136" t="str">
        <f>VLOOKUP(tbl_IO_List[[#This Row],[Instruement Tag]],tbl_Instruement_List[],6,FALSE)</f>
        <v xml:space="preserve"> Start / Stop Command for FVNR SC-61301 (Sifter )</v>
      </c>
      <c r="R1033" s="136"/>
      <c r="S103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1033" s="136" t="str">
        <f>tbl_IO_List[[#This Row],[Instruement Tag]]&amp;"_"&amp;tbl_IO_List[[#This Row],[I/O Type]]&amp;"_"&amp;tbl_IO_List[[#This Row],[IO-Point 
(Instruement)]]</f>
        <v>SCM-61301_DO_1</v>
      </c>
      <c r="U1033" s="136" t="s">
        <v>7</v>
      </c>
      <c r="V1033" s="136">
        <f>VLOOKUP(tbl_IO_List[[#This Row],[I/O Type]],tbl_Slot_Group[],2,FALSE)</f>
        <v>2</v>
      </c>
      <c r="W1033" s="136">
        <v>1</v>
      </c>
      <c r="X1033" s="136" t="str">
        <f>tbl_IO_List[[#This Row],[Chassis]]&amp;"S"&amp;TEXT(tbl_IO_List[[#This Row],[Slot]],"00")</f>
        <v>C7S06</v>
      </c>
      <c r="Y1033" s="136" t="str">
        <f>tbl_IO_List[[#This Row],[Chassis]]&amp;"S"&amp;TEXT(tbl_IO_List[[#This Row],[Slot]],"00")&amp;tbl_IO_List[[#This Row],[I/O Type]]&amp;TEXT(tbl_IO_List[[#This Row],[Point]],"00")</f>
        <v>C7S06DO15</v>
      </c>
      <c r="Z1033" s="136" t="str">
        <f>tbl_IO_List[[#This Row],[Chassis]]&amp;"S"&amp;TEXT(tbl_IO_List[[#This Row],[Slot]],"00")&amp;","&amp;TEXT(tbl_IO_List[[#This Row],[Point]],"00")</f>
        <v>C7S06,15</v>
      </c>
      <c r="AA1033" s="136" t="e">
        <f>VLOOKUP(tbl_IO_List[[#This Row],[Column23]],tbl_RackConfig[],5,FALSE) &amp;"-"&amp;tbl_IO_List[[#This Row],[Point]]</f>
        <v>#N/A</v>
      </c>
      <c r="AB1033" s="136"/>
      <c r="AC1033" s="136"/>
      <c r="AD1033" s="136" t="str">
        <f>tbl_IO_List[[#This Row],[I/O Type]]</f>
        <v>DO</v>
      </c>
      <c r="AE1033" s="136" t="s">
        <v>1368</v>
      </c>
      <c r="AF1033" s="136">
        <v>6</v>
      </c>
      <c r="AG1033" s="136">
        <v>15</v>
      </c>
      <c r="AH1033" s="136"/>
      <c r="AI1033" s="136"/>
      <c r="AJ1033" s="136">
        <v>2</v>
      </c>
      <c r="AK1033" s="136">
        <v>2</v>
      </c>
      <c r="AL1033" s="136">
        <v>0</v>
      </c>
      <c r="AM1033" s="136">
        <v>0</v>
      </c>
      <c r="AN1033" s="136">
        <v>0</v>
      </c>
      <c r="AO1033" s="136"/>
      <c r="AP1033" s="143" t="str">
        <f>VLOOKUP(tbl_IO_List[[#This Row],[Instruement Tag]],tbl_Instruement_List[],14,FALSE)</f>
        <v>24 VDC energized</v>
      </c>
      <c r="AQ1033" s="143" t="str">
        <f>tbl_IO_List[[#This Row],[Chassis]]&amp;"S"&amp;tbl_IO_List[[#This Row],[Slot]]&amp;"-"&amp;tbl_IO_List[[#This Row],[Front Terminal Number]]</f>
        <v>C7S6-</v>
      </c>
      <c r="AR1033" s="143"/>
      <c r="AS1033" s="136" t="str">
        <f>tbl_IO_List[[#This Row],[Terminal Tagging]]&amp;"-"&amp;tbl_IO_List[[#This Row],[Point-Count]]</f>
        <v>-</v>
      </c>
      <c r="AT1033" s="136" t="str">
        <f>tbl_IO_List[[#This Row],[Front Terminal Tagging]]&amp;"/"&amp;tbl_IO_List[[#This Row],[Terminal Tagging-Item]]</f>
        <v>C7S6-/-</v>
      </c>
      <c r="AU1033" s="136" t="str">
        <f>tbl_IO_List[[#This Row],[Terminal Tagging-Item]]&amp;"/"&amp;tbl_IO_List[[#This Row],[Front Terminal Tagging]]</f>
        <v>-/C7S6-</v>
      </c>
    </row>
    <row r="1034" spans="1:47" hidden="1">
      <c r="A1034" s="136" t="s">
        <v>1307</v>
      </c>
      <c r="B1034" s="136" t="s">
        <v>1307</v>
      </c>
      <c r="C1034" s="136" t="str">
        <f>tbl_IO_List[[#This Row],[Column3]]</f>
        <v>C7S06,16</v>
      </c>
      <c r="D1034" s="136" t="e">
        <f>tbl_IO_List[[#This Row],[Card]]</f>
        <v>#N/A</v>
      </c>
      <c r="E1034" s="136"/>
      <c r="F1034" s="136" t="str">
        <f>tbl_IO_List[[#This Row],[Column23]]&amp;"-" &amp;tbl_IO_List[[#This Row],[Column52]]</f>
        <v>C7S06-</v>
      </c>
      <c r="G1034" s="136" t="str">
        <f>tbl_IO_List[[#This Row],[PLC_Tag]]</f>
        <v>SCM-61301_DO_2</v>
      </c>
      <c r="H1034" s="136"/>
      <c r="I1034" s="136" t="str">
        <f>VLOOKUP(tbl_IO_List[[#This Row],[Destination]],tbl_Junction[],2,FALSE)</f>
        <v>MCC Room</v>
      </c>
      <c r="J1034" s="136" t="s">
        <v>335</v>
      </c>
      <c r="K1034" s="136" t="s">
        <v>66</v>
      </c>
      <c r="L1034" s="136" t="s">
        <v>916</v>
      </c>
      <c r="M1034" s="136">
        <f>VLOOKUP(tbl_IO_List[[#This Row],[Instruement Tag]],tbl_Instruement_List[],2,FALSE)</f>
        <v>0</v>
      </c>
      <c r="N1034" s="136" t="s">
        <v>31</v>
      </c>
      <c r="O1034" s="136" t="s">
        <v>78</v>
      </c>
      <c r="P1034" s="136" t="s">
        <v>18</v>
      </c>
      <c r="Q1034" s="136" t="str">
        <f>VLOOKUP(tbl_IO_List[[#This Row],[Instruement Tag]],tbl_Instruement_List[],6,FALSE)</f>
        <v xml:space="preserve"> Start / Stop Command for FVNR SC-61301 (Sifter )</v>
      </c>
      <c r="R1034" s="136"/>
      <c r="S103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1034" s="136" t="str">
        <f>tbl_IO_List[[#This Row],[Instruement Tag]]&amp;"_"&amp;tbl_IO_List[[#This Row],[I/O Type]]&amp;"_"&amp;tbl_IO_List[[#This Row],[IO-Point 
(Instruement)]]</f>
        <v>SCM-61301_DO_2</v>
      </c>
      <c r="U1034" s="136" t="s">
        <v>7</v>
      </c>
      <c r="V1034" s="136">
        <f>VLOOKUP(tbl_IO_List[[#This Row],[I/O Type]],tbl_Slot_Group[],2,FALSE)</f>
        <v>2</v>
      </c>
      <c r="W1034" s="136">
        <v>2</v>
      </c>
      <c r="X1034" s="136" t="str">
        <f>tbl_IO_List[[#This Row],[Chassis]]&amp;"S"&amp;TEXT(tbl_IO_List[[#This Row],[Slot]],"00")</f>
        <v>C7S06</v>
      </c>
      <c r="Y1034" s="136" t="str">
        <f>tbl_IO_List[[#This Row],[Chassis]]&amp;"S"&amp;TEXT(tbl_IO_List[[#This Row],[Slot]],"00")&amp;tbl_IO_List[[#This Row],[I/O Type]]&amp;TEXT(tbl_IO_List[[#This Row],[Point]],"00")</f>
        <v>C7S06DO16</v>
      </c>
      <c r="Z1034" s="136" t="str">
        <f>tbl_IO_List[[#This Row],[Chassis]]&amp;"S"&amp;TEXT(tbl_IO_List[[#This Row],[Slot]],"00")&amp;","&amp;TEXT(tbl_IO_List[[#This Row],[Point]],"00")</f>
        <v>C7S06,16</v>
      </c>
      <c r="AA1034" s="136" t="e">
        <f>VLOOKUP(tbl_IO_List[[#This Row],[Column23]],tbl_RackConfig[],5,FALSE) &amp;"-"&amp;tbl_IO_List[[#This Row],[Point]]</f>
        <v>#N/A</v>
      </c>
      <c r="AB1034" s="136"/>
      <c r="AC1034" s="136"/>
      <c r="AD1034" s="136" t="str">
        <f>tbl_IO_List[[#This Row],[I/O Type]]</f>
        <v>DO</v>
      </c>
      <c r="AE1034" s="136" t="s">
        <v>1368</v>
      </c>
      <c r="AF1034" s="136">
        <v>6</v>
      </c>
      <c r="AG1034" s="136">
        <v>16</v>
      </c>
      <c r="AH1034" s="136"/>
      <c r="AI1034" s="136"/>
      <c r="AJ1034" s="136">
        <v>2</v>
      </c>
      <c r="AK1034" s="136">
        <v>2</v>
      </c>
      <c r="AL1034" s="136">
        <v>0</v>
      </c>
      <c r="AM1034" s="136">
        <v>0</v>
      </c>
      <c r="AN1034" s="136">
        <v>0</v>
      </c>
      <c r="AO1034" s="136"/>
      <c r="AP1034" s="143" t="str">
        <f>VLOOKUP(tbl_IO_List[[#This Row],[Instruement Tag]],tbl_Instruement_List[],14,FALSE)</f>
        <v>24 VDC energized</v>
      </c>
      <c r="AQ1034" s="143" t="str">
        <f>tbl_IO_List[[#This Row],[Chassis]]&amp;"S"&amp;tbl_IO_List[[#This Row],[Slot]]&amp;"-"&amp;tbl_IO_List[[#This Row],[Front Terminal Number]]</f>
        <v>C7S6-</v>
      </c>
      <c r="AR1034" s="143"/>
      <c r="AS1034" s="136" t="str">
        <f>tbl_IO_List[[#This Row],[Terminal Tagging]]&amp;"-"&amp;tbl_IO_List[[#This Row],[Point-Count]]</f>
        <v>-</v>
      </c>
      <c r="AT1034" s="136" t="str">
        <f>tbl_IO_List[[#This Row],[Front Terminal Tagging]]&amp;"/"&amp;tbl_IO_List[[#This Row],[Terminal Tagging-Item]]</f>
        <v>C7S6-/-</v>
      </c>
      <c r="AU1034" s="136" t="str">
        <f>tbl_IO_List[[#This Row],[Terminal Tagging-Item]]&amp;"/"&amp;tbl_IO_List[[#This Row],[Front Terminal Tagging]]</f>
        <v>-/C7S6-</v>
      </c>
    </row>
    <row r="1035" spans="1:47" hidden="1">
      <c r="A1035" s="136" t="s">
        <v>1307</v>
      </c>
      <c r="B1035" s="136" t="s">
        <v>1307</v>
      </c>
      <c r="C1035" s="136" t="str">
        <f>tbl_IO_List[[#This Row],[Column3]]</f>
        <v>C7S06,17</v>
      </c>
      <c r="D1035" s="136" t="e">
        <f>tbl_IO_List[[#This Row],[Card]]</f>
        <v>#N/A</v>
      </c>
      <c r="E1035" s="136"/>
      <c r="F1035" s="136" t="str">
        <f>tbl_IO_List[[#This Row],[Column23]]&amp;"-" &amp;tbl_IO_List[[#This Row],[Column52]]</f>
        <v>C7S06-</v>
      </c>
      <c r="G1035" s="136" t="str">
        <f>tbl_IO_List[[#This Row],[PLC_Tag]]</f>
        <v>SCM-61302_DO_1</v>
      </c>
      <c r="H1035" s="136"/>
      <c r="I1035" s="136" t="str">
        <f>VLOOKUP(tbl_IO_List[[#This Row],[Destination]],tbl_Junction[],2,FALSE)</f>
        <v>MCC Room</v>
      </c>
      <c r="J1035" s="136" t="s">
        <v>335</v>
      </c>
      <c r="K1035" s="136" t="s">
        <v>66</v>
      </c>
      <c r="L1035" s="136" t="s">
        <v>918</v>
      </c>
      <c r="M1035" s="136">
        <f>VLOOKUP(tbl_IO_List[[#This Row],[Instruement Tag]],tbl_Instruement_List[],2,FALSE)</f>
        <v>0</v>
      </c>
      <c r="N1035" s="136" t="s">
        <v>31</v>
      </c>
      <c r="O1035" s="136" t="s">
        <v>78</v>
      </c>
      <c r="P1035" s="136" t="s">
        <v>18</v>
      </c>
      <c r="Q1035" s="136" t="str">
        <f>VLOOKUP(tbl_IO_List[[#This Row],[Instruement Tag]],tbl_Instruement_List[],6,FALSE)</f>
        <v xml:space="preserve"> Start / Stop Command for FVNR SC-61302 (Sifter )</v>
      </c>
      <c r="R1035" s="136"/>
      <c r="S103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1035" s="136" t="str">
        <f>tbl_IO_List[[#This Row],[Instruement Tag]]&amp;"_"&amp;tbl_IO_List[[#This Row],[I/O Type]]&amp;"_"&amp;tbl_IO_List[[#This Row],[IO-Point 
(Instruement)]]</f>
        <v>SCM-61302_DO_1</v>
      </c>
      <c r="U1035" s="136" t="s">
        <v>7</v>
      </c>
      <c r="V1035" s="136">
        <f>VLOOKUP(tbl_IO_List[[#This Row],[I/O Type]],tbl_Slot_Group[],2,FALSE)</f>
        <v>2</v>
      </c>
      <c r="W1035" s="136">
        <v>1</v>
      </c>
      <c r="X1035" s="136" t="str">
        <f>tbl_IO_List[[#This Row],[Chassis]]&amp;"S"&amp;TEXT(tbl_IO_List[[#This Row],[Slot]],"00")</f>
        <v>C7S06</v>
      </c>
      <c r="Y1035" s="136" t="str">
        <f>tbl_IO_List[[#This Row],[Chassis]]&amp;"S"&amp;TEXT(tbl_IO_List[[#This Row],[Slot]],"00")&amp;tbl_IO_List[[#This Row],[I/O Type]]&amp;TEXT(tbl_IO_List[[#This Row],[Point]],"00")</f>
        <v>C7S06DO17</v>
      </c>
      <c r="Z1035" s="136" t="str">
        <f>tbl_IO_List[[#This Row],[Chassis]]&amp;"S"&amp;TEXT(tbl_IO_List[[#This Row],[Slot]],"00")&amp;","&amp;TEXT(tbl_IO_List[[#This Row],[Point]],"00")</f>
        <v>C7S06,17</v>
      </c>
      <c r="AA1035" s="136" t="e">
        <f>VLOOKUP(tbl_IO_List[[#This Row],[Column23]],tbl_RackConfig[],5,FALSE) &amp;"-"&amp;tbl_IO_List[[#This Row],[Point]]</f>
        <v>#N/A</v>
      </c>
      <c r="AB1035" s="136"/>
      <c r="AC1035" s="136"/>
      <c r="AD1035" s="136" t="str">
        <f>tbl_IO_List[[#This Row],[I/O Type]]</f>
        <v>DO</v>
      </c>
      <c r="AE1035" s="136" t="s">
        <v>1368</v>
      </c>
      <c r="AF1035" s="136">
        <v>6</v>
      </c>
      <c r="AG1035" s="136">
        <v>17</v>
      </c>
      <c r="AH1035" s="136"/>
      <c r="AI1035" s="136"/>
      <c r="AJ1035" s="136">
        <v>2</v>
      </c>
      <c r="AK1035" s="136">
        <v>2</v>
      </c>
      <c r="AL1035" s="136">
        <v>0</v>
      </c>
      <c r="AM1035" s="136">
        <v>0</v>
      </c>
      <c r="AN1035" s="136">
        <v>0</v>
      </c>
      <c r="AO1035" s="136"/>
      <c r="AP1035" s="143" t="str">
        <f>VLOOKUP(tbl_IO_List[[#This Row],[Instruement Tag]],tbl_Instruement_List[],14,FALSE)</f>
        <v>24 VDC energized</v>
      </c>
      <c r="AQ1035" s="143" t="str">
        <f>tbl_IO_List[[#This Row],[Chassis]]&amp;"S"&amp;tbl_IO_List[[#This Row],[Slot]]&amp;"-"&amp;tbl_IO_List[[#This Row],[Front Terminal Number]]</f>
        <v>C7S6-</v>
      </c>
      <c r="AR1035" s="143"/>
      <c r="AS1035" s="136" t="str">
        <f>tbl_IO_List[[#This Row],[Terminal Tagging]]&amp;"-"&amp;tbl_IO_List[[#This Row],[Point-Count]]</f>
        <v>-</v>
      </c>
      <c r="AT1035" s="136" t="str">
        <f>tbl_IO_List[[#This Row],[Front Terminal Tagging]]&amp;"/"&amp;tbl_IO_List[[#This Row],[Terminal Tagging-Item]]</f>
        <v>C7S6-/-</v>
      </c>
      <c r="AU1035" s="136" t="str">
        <f>tbl_IO_List[[#This Row],[Terminal Tagging-Item]]&amp;"/"&amp;tbl_IO_List[[#This Row],[Front Terminal Tagging]]</f>
        <v>-/C7S6-</v>
      </c>
    </row>
    <row r="1036" spans="1:47" hidden="1">
      <c r="A1036" s="136" t="s">
        <v>1307</v>
      </c>
      <c r="B1036" s="136" t="s">
        <v>1307</v>
      </c>
      <c r="C1036" s="136" t="str">
        <f>tbl_IO_List[[#This Row],[Column3]]</f>
        <v>C7S06,18</v>
      </c>
      <c r="D1036" s="136" t="e">
        <f>tbl_IO_List[[#This Row],[Card]]</f>
        <v>#N/A</v>
      </c>
      <c r="E1036" s="136"/>
      <c r="F1036" s="136" t="str">
        <f>tbl_IO_List[[#This Row],[Column23]]&amp;"-" &amp;tbl_IO_List[[#This Row],[Column52]]</f>
        <v>C7S06-</v>
      </c>
      <c r="G1036" s="136" t="str">
        <f>tbl_IO_List[[#This Row],[PLC_Tag]]</f>
        <v>SCM-61302_DO_2</v>
      </c>
      <c r="H1036" s="136"/>
      <c r="I1036" s="136" t="str">
        <f>VLOOKUP(tbl_IO_List[[#This Row],[Destination]],tbl_Junction[],2,FALSE)</f>
        <v>MCC Room</v>
      </c>
      <c r="J1036" s="136" t="s">
        <v>335</v>
      </c>
      <c r="K1036" s="136" t="s">
        <v>66</v>
      </c>
      <c r="L1036" s="136" t="s">
        <v>918</v>
      </c>
      <c r="M1036" s="136">
        <f>VLOOKUP(tbl_IO_List[[#This Row],[Instruement Tag]],tbl_Instruement_List[],2,FALSE)</f>
        <v>0</v>
      </c>
      <c r="N1036" s="136" t="s">
        <v>31</v>
      </c>
      <c r="O1036" s="136" t="s">
        <v>78</v>
      </c>
      <c r="P1036" s="136" t="s">
        <v>18</v>
      </c>
      <c r="Q1036" s="136" t="str">
        <f>VLOOKUP(tbl_IO_List[[#This Row],[Instruement Tag]],tbl_Instruement_List[],6,FALSE)</f>
        <v xml:space="preserve"> Start / Stop Command for FVNR SC-61302 (Sifter )</v>
      </c>
      <c r="R1036" s="136"/>
      <c r="S103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1036" s="136" t="str">
        <f>tbl_IO_List[[#This Row],[Instruement Tag]]&amp;"_"&amp;tbl_IO_List[[#This Row],[I/O Type]]&amp;"_"&amp;tbl_IO_List[[#This Row],[IO-Point 
(Instruement)]]</f>
        <v>SCM-61302_DO_2</v>
      </c>
      <c r="U1036" s="136" t="s">
        <v>7</v>
      </c>
      <c r="V1036" s="136">
        <f>VLOOKUP(tbl_IO_List[[#This Row],[I/O Type]],tbl_Slot_Group[],2,FALSE)</f>
        <v>2</v>
      </c>
      <c r="W1036" s="136">
        <v>2</v>
      </c>
      <c r="X1036" s="136" t="str">
        <f>tbl_IO_List[[#This Row],[Chassis]]&amp;"S"&amp;TEXT(tbl_IO_List[[#This Row],[Slot]],"00")</f>
        <v>C7S06</v>
      </c>
      <c r="Y1036" s="136" t="str">
        <f>tbl_IO_List[[#This Row],[Chassis]]&amp;"S"&amp;TEXT(tbl_IO_List[[#This Row],[Slot]],"00")&amp;tbl_IO_List[[#This Row],[I/O Type]]&amp;TEXT(tbl_IO_List[[#This Row],[Point]],"00")</f>
        <v>C7S06DO18</v>
      </c>
      <c r="Z1036" s="136" t="str">
        <f>tbl_IO_List[[#This Row],[Chassis]]&amp;"S"&amp;TEXT(tbl_IO_List[[#This Row],[Slot]],"00")&amp;","&amp;TEXT(tbl_IO_List[[#This Row],[Point]],"00")</f>
        <v>C7S06,18</v>
      </c>
      <c r="AA1036" s="136" t="e">
        <f>VLOOKUP(tbl_IO_List[[#This Row],[Column23]],tbl_RackConfig[],5,FALSE) &amp;"-"&amp;tbl_IO_List[[#This Row],[Point]]</f>
        <v>#N/A</v>
      </c>
      <c r="AB1036" s="136"/>
      <c r="AC1036" s="136"/>
      <c r="AD1036" s="136" t="str">
        <f>tbl_IO_List[[#This Row],[I/O Type]]</f>
        <v>DO</v>
      </c>
      <c r="AE1036" s="136" t="s">
        <v>1368</v>
      </c>
      <c r="AF1036" s="136">
        <v>6</v>
      </c>
      <c r="AG1036" s="136">
        <v>18</v>
      </c>
      <c r="AH1036" s="136"/>
      <c r="AI1036" s="136"/>
      <c r="AJ1036" s="136">
        <v>2</v>
      </c>
      <c r="AK1036" s="136">
        <v>2</v>
      </c>
      <c r="AL1036" s="136">
        <v>0</v>
      </c>
      <c r="AM1036" s="136">
        <v>0</v>
      </c>
      <c r="AN1036" s="136">
        <v>0</v>
      </c>
      <c r="AO1036" s="136"/>
      <c r="AP1036" s="143" t="str">
        <f>VLOOKUP(tbl_IO_List[[#This Row],[Instruement Tag]],tbl_Instruement_List[],14,FALSE)</f>
        <v>24 VDC energized</v>
      </c>
      <c r="AQ1036" s="143" t="str">
        <f>tbl_IO_List[[#This Row],[Chassis]]&amp;"S"&amp;tbl_IO_List[[#This Row],[Slot]]&amp;"-"&amp;tbl_IO_List[[#This Row],[Front Terminal Number]]</f>
        <v>C7S6-</v>
      </c>
      <c r="AR1036" s="143"/>
      <c r="AS1036" s="136" t="str">
        <f>tbl_IO_List[[#This Row],[Terminal Tagging]]&amp;"-"&amp;tbl_IO_List[[#This Row],[Point-Count]]</f>
        <v>-</v>
      </c>
      <c r="AT1036" s="136" t="str">
        <f>tbl_IO_List[[#This Row],[Front Terminal Tagging]]&amp;"/"&amp;tbl_IO_List[[#This Row],[Terminal Tagging-Item]]</f>
        <v>C7S6-/-</v>
      </c>
      <c r="AU1036" s="136" t="str">
        <f>tbl_IO_List[[#This Row],[Terminal Tagging-Item]]&amp;"/"&amp;tbl_IO_List[[#This Row],[Front Terminal Tagging]]</f>
        <v>-/C7S6-</v>
      </c>
    </row>
    <row r="1037" spans="1:47" hidden="1">
      <c r="A1037" s="136" t="s">
        <v>1307</v>
      </c>
      <c r="B1037" s="136" t="s">
        <v>1307</v>
      </c>
      <c r="C1037" s="136" t="str">
        <f>tbl_IO_List[[#This Row],[Column3]]</f>
        <v>C7S06,19</v>
      </c>
      <c r="D1037" s="136" t="e">
        <f>tbl_IO_List[[#This Row],[Card]]</f>
        <v>#N/A</v>
      </c>
      <c r="E1037" s="136"/>
      <c r="F1037" s="136" t="str">
        <f>tbl_IO_List[[#This Row],[Column23]]&amp;"-" &amp;tbl_IO_List[[#This Row],[Column52]]</f>
        <v>C7S06-</v>
      </c>
      <c r="G1037" s="136" t="str">
        <f>tbl_IO_List[[#This Row],[PLC_Tag]]</f>
        <v>BFY-61301_DO_1</v>
      </c>
      <c r="H1037" s="136"/>
      <c r="I1037" s="136" t="str">
        <f>VLOOKUP(tbl_IO_List[[#This Row],[Destination]],tbl_Junction[],2,FALSE)</f>
        <v>MCC Room</v>
      </c>
      <c r="J1037" s="136" t="s">
        <v>360</v>
      </c>
      <c r="K1037" s="136" t="s">
        <v>66</v>
      </c>
      <c r="L1037" s="136" t="s">
        <v>858</v>
      </c>
      <c r="M1037" s="136">
        <f>VLOOKUP(tbl_IO_List[[#This Row],[Instruement Tag]],tbl_Instruement_List[],2,FALSE)</f>
        <v>0</v>
      </c>
      <c r="N1037" s="136" t="s">
        <v>91</v>
      </c>
      <c r="O1037" s="136" t="s">
        <v>78</v>
      </c>
      <c r="P1037" s="136" t="s">
        <v>18</v>
      </c>
      <c r="Q1037" s="136" t="str">
        <f>VLOOKUP(tbl_IO_List[[#This Row],[Instruement Tag]],tbl_Instruement_List[],6,FALSE)</f>
        <v xml:space="preserve"> Start / Stop Command for VSD BF-61301 (Packing silo vent fan )</v>
      </c>
      <c r="R1037" s="136"/>
      <c r="S103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1,DO=1,AI=0,AO=0,Bus=1</v>
      </c>
      <c r="T1037" s="136" t="str">
        <f>tbl_IO_List[[#This Row],[Instruement Tag]]&amp;"_"&amp;tbl_IO_List[[#This Row],[I/O Type]]&amp;"_"&amp;tbl_IO_List[[#This Row],[IO-Point 
(Instruement)]]</f>
        <v>BFY-61301_DO_1</v>
      </c>
      <c r="U1037" s="136" t="s">
        <v>7</v>
      </c>
      <c r="V1037" s="136">
        <f>VLOOKUP(tbl_IO_List[[#This Row],[I/O Type]],tbl_Slot_Group[],2,FALSE)</f>
        <v>2</v>
      </c>
      <c r="W1037" s="136">
        <v>1</v>
      </c>
      <c r="X1037" s="136" t="str">
        <f>tbl_IO_List[[#This Row],[Chassis]]&amp;"S"&amp;TEXT(tbl_IO_List[[#This Row],[Slot]],"00")</f>
        <v>C7S06</v>
      </c>
      <c r="Y1037" s="136" t="str">
        <f>tbl_IO_List[[#This Row],[Chassis]]&amp;"S"&amp;TEXT(tbl_IO_List[[#This Row],[Slot]],"00")&amp;tbl_IO_List[[#This Row],[I/O Type]]&amp;TEXT(tbl_IO_List[[#This Row],[Point]],"00")</f>
        <v>C7S06DO19</v>
      </c>
      <c r="Z1037" s="136" t="str">
        <f>tbl_IO_List[[#This Row],[Chassis]]&amp;"S"&amp;TEXT(tbl_IO_List[[#This Row],[Slot]],"00")&amp;","&amp;TEXT(tbl_IO_List[[#This Row],[Point]],"00")</f>
        <v>C7S06,19</v>
      </c>
      <c r="AA1037" s="136" t="e">
        <f>VLOOKUP(tbl_IO_List[[#This Row],[Column23]],tbl_RackConfig[],5,FALSE) &amp;"-"&amp;tbl_IO_List[[#This Row],[Point]]</f>
        <v>#N/A</v>
      </c>
      <c r="AB1037" s="136"/>
      <c r="AC1037" s="136"/>
      <c r="AD1037" s="136" t="str">
        <f>tbl_IO_List[[#This Row],[I/O Type]]</f>
        <v>DO</v>
      </c>
      <c r="AE1037" s="136" t="s">
        <v>1368</v>
      </c>
      <c r="AF1037" s="136">
        <v>6</v>
      </c>
      <c r="AG1037" s="136">
        <v>19</v>
      </c>
      <c r="AH1037" s="136"/>
      <c r="AI1037" s="136"/>
      <c r="AJ1037" s="136">
        <v>1</v>
      </c>
      <c r="AK1037" s="136">
        <v>1</v>
      </c>
      <c r="AL1037" s="136">
        <v>0</v>
      </c>
      <c r="AM1037" s="136">
        <v>0</v>
      </c>
      <c r="AN1037" s="136">
        <v>1</v>
      </c>
      <c r="AO1037" s="136"/>
      <c r="AP1037" s="143" t="str">
        <f>VLOOKUP(tbl_IO_List[[#This Row],[Instruement Tag]],tbl_Instruement_List[],14,FALSE)</f>
        <v>24 VDC energized</v>
      </c>
      <c r="AQ1037" s="143" t="str">
        <f>tbl_IO_List[[#This Row],[Chassis]]&amp;"S"&amp;tbl_IO_List[[#This Row],[Slot]]&amp;"-"&amp;tbl_IO_List[[#This Row],[Front Terminal Number]]</f>
        <v>C7S6-</v>
      </c>
      <c r="AR1037" s="143"/>
      <c r="AS1037" s="136" t="str">
        <f>tbl_IO_List[[#This Row],[Terminal Tagging]]&amp;"-"&amp;tbl_IO_List[[#This Row],[Point-Count]]</f>
        <v>-</v>
      </c>
      <c r="AT1037" s="136" t="str">
        <f>tbl_IO_List[[#This Row],[Front Terminal Tagging]]&amp;"/"&amp;tbl_IO_List[[#This Row],[Terminal Tagging-Item]]</f>
        <v>C7S6-/-</v>
      </c>
      <c r="AU1037" s="136" t="str">
        <f>tbl_IO_List[[#This Row],[Terminal Tagging-Item]]&amp;"/"&amp;tbl_IO_List[[#This Row],[Front Terminal Tagging]]</f>
        <v>-/C7S6-</v>
      </c>
    </row>
    <row r="1038" spans="1:47" hidden="1">
      <c r="A1038" s="136" t="s">
        <v>1307</v>
      </c>
      <c r="B1038" s="136" t="s">
        <v>1307</v>
      </c>
      <c r="C1038" s="136" t="str">
        <f>tbl_IO_List[[#This Row],[Column3]]</f>
        <v>C7S06,20</v>
      </c>
      <c r="D1038" s="136" t="e">
        <f>tbl_IO_List[[#This Row],[Card]]</f>
        <v>#N/A</v>
      </c>
      <c r="E1038" s="136"/>
      <c r="F1038" s="136" t="str">
        <f>tbl_IO_List[[#This Row],[Column23]]&amp;"-" &amp;tbl_IO_List[[#This Row],[Column52]]</f>
        <v>C7S06-</v>
      </c>
      <c r="G1038" s="136" t="str">
        <f>tbl_IO_List[[#This Row],[PLC_Tag]]</f>
        <v>BFY-61303_DO_1</v>
      </c>
      <c r="H1038" s="136"/>
      <c r="I1038" s="136" t="str">
        <f>VLOOKUP(tbl_IO_List[[#This Row],[Destination]],tbl_Junction[],2,FALSE)</f>
        <v>MCC Room</v>
      </c>
      <c r="J1038" s="136" t="s">
        <v>360</v>
      </c>
      <c r="K1038" s="136" t="s">
        <v>66</v>
      </c>
      <c r="L1038" s="136" t="s">
        <v>862</v>
      </c>
      <c r="M1038" s="136">
        <f>VLOOKUP(tbl_IO_List[[#This Row],[Instruement Tag]],tbl_Instruement_List[],2,FALSE)</f>
        <v>0</v>
      </c>
      <c r="N1038" s="136" t="s">
        <v>93</v>
      </c>
      <c r="O1038" s="136" t="s">
        <v>78</v>
      </c>
      <c r="P1038" s="136" t="s">
        <v>18</v>
      </c>
      <c r="Q1038" s="136" t="str">
        <f>VLOOKUP(tbl_IO_List[[#This Row],[Instruement Tag]],tbl_Instruement_List[],6,FALSE)</f>
        <v xml:space="preserve"> Start / Stop Command for VSD BF-61303 (Fugitive Dust Fan )</v>
      </c>
      <c r="R1038" s="136"/>
      <c r="S103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1,DO=1,AI=0,AO=0,Bus=1</v>
      </c>
      <c r="T1038" s="136" t="str">
        <f>tbl_IO_List[[#This Row],[Instruement Tag]]&amp;"_"&amp;tbl_IO_List[[#This Row],[I/O Type]]&amp;"_"&amp;tbl_IO_List[[#This Row],[IO-Point 
(Instruement)]]</f>
        <v>BFY-61303_DO_1</v>
      </c>
      <c r="U1038" s="136" t="s">
        <v>7</v>
      </c>
      <c r="V1038" s="136">
        <f>VLOOKUP(tbl_IO_List[[#This Row],[I/O Type]],tbl_Slot_Group[],2,FALSE)</f>
        <v>2</v>
      </c>
      <c r="W1038" s="136">
        <v>1</v>
      </c>
      <c r="X1038" s="136" t="str">
        <f>tbl_IO_List[[#This Row],[Chassis]]&amp;"S"&amp;TEXT(tbl_IO_List[[#This Row],[Slot]],"00")</f>
        <v>C7S06</v>
      </c>
      <c r="Y1038" s="136" t="str">
        <f>tbl_IO_List[[#This Row],[Chassis]]&amp;"S"&amp;TEXT(tbl_IO_List[[#This Row],[Slot]],"00")&amp;tbl_IO_List[[#This Row],[I/O Type]]&amp;TEXT(tbl_IO_List[[#This Row],[Point]],"00")</f>
        <v>C7S06DO20</v>
      </c>
      <c r="Z1038" s="136" t="str">
        <f>tbl_IO_List[[#This Row],[Chassis]]&amp;"S"&amp;TEXT(tbl_IO_List[[#This Row],[Slot]],"00")&amp;","&amp;TEXT(tbl_IO_List[[#This Row],[Point]],"00")</f>
        <v>C7S06,20</v>
      </c>
      <c r="AA1038" s="136" t="e">
        <f>VLOOKUP(tbl_IO_List[[#This Row],[Column23]],tbl_RackConfig[],5,FALSE) &amp;"-"&amp;tbl_IO_List[[#This Row],[Point]]</f>
        <v>#N/A</v>
      </c>
      <c r="AB1038" s="136"/>
      <c r="AC1038" s="136"/>
      <c r="AD1038" s="136" t="str">
        <f>tbl_IO_List[[#This Row],[I/O Type]]</f>
        <v>DO</v>
      </c>
      <c r="AE1038" s="136" t="s">
        <v>1368</v>
      </c>
      <c r="AF1038" s="136">
        <v>6</v>
      </c>
      <c r="AG1038" s="136">
        <v>20</v>
      </c>
      <c r="AH1038" s="136"/>
      <c r="AI1038" s="136"/>
      <c r="AJ1038" s="136">
        <v>1</v>
      </c>
      <c r="AK1038" s="136">
        <v>1</v>
      </c>
      <c r="AL1038" s="136">
        <v>0</v>
      </c>
      <c r="AM1038" s="136">
        <v>0</v>
      </c>
      <c r="AN1038" s="136">
        <v>1</v>
      </c>
      <c r="AO1038" s="136"/>
      <c r="AP1038" s="143" t="str">
        <f>VLOOKUP(tbl_IO_List[[#This Row],[Instruement Tag]],tbl_Instruement_List[],14,FALSE)</f>
        <v>24 VDC energized</v>
      </c>
      <c r="AQ1038" s="143" t="str">
        <f>tbl_IO_List[[#This Row],[Chassis]]&amp;"S"&amp;tbl_IO_List[[#This Row],[Slot]]&amp;"-"&amp;tbl_IO_List[[#This Row],[Front Terminal Number]]</f>
        <v>C7S6-</v>
      </c>
      <c r="AR1038" s="143"/>
      <c r="AS1038" s="136" t="str">
        <f>tbl_IO_List[[#This Row],[Terminal Tagging]]&amp;"-"&amp;tbl_IO_List[[#This Row],[Point-Count]]</f>
        <v>-</v>
      </c>
      <c r="AT1038" s="136" t="str">
        <f>tbl_IO_List[[#This Row],[Front Terminal Tagging]]&amp;"/"&amp;tbl_IO_List[[#This Row],[Terminal Tagging-Item]]</f>
        <v>C7S6-/-</v>
      </c>
      <c r="AU1038" s="136" t="str">
        <f>tbl_IO_List[[#This Row],[Terminal Tagging-Item]]&amp;"/"&amp;tbl_IO_List[[#This Row],[Front Terminal Tagging]]</f>
        <v>-/C7S6-</v>
      </c>
    </row>
    <row r="1039" spans="1:47" hidden="1">
      <c r="A1039" s="136" t="s">
        <v>1307</v>
      </c>
      <c r="B1039" s="136" t="s">
        <v>1307</v>
      </c>
      <c r="C1039" s="136" t="str">
        <f>tbl_IO_List[[#This Row],[Column3]]</f>
        <v>C7S06,21</v>
      </c>
      <c r="D1039" s="136" t="e">
        <f>tbl_IO_List[[#This Row],[Card]]</f>
        <v>#N/A</v>
      </c>
      <c r="E1039" s="136"/>
      <c r="F1039" s="136" t="str">
        <f>tbl_IO_List[[#This Row],[Column23]]&amp;"-" &amp;tbl_IO_List[[#This Row],[Column52]]</f>
        <v>C7S06-</v>
      </c>
      <c r="G1039" s="136" t="str">
        <f>tbl_IO_List[[#This Row],[PLC_Tag]]</f>
        <v>BLM-61302_DO_1</v>
      </c>
      <c r="H1039" s="136"/>
      <c r="I1039" s="136" t="str">
        <f>VLOOKUP(tbl_IO_List[[#This Row],[Destination]],tbl_Junction[],2,FALSE)</f>
        <v>MCC Room</v>
      </c>
      <c r="J1039" s="136" t="s">
        <v>360</v>
      </c>
      <c r="K1039" s="136" t="s">
        <v>66</v>
      </c>
      <c r="L1039" s="136" t="s">
        <v>864</v>
      </c>
      <c r="M1039" s="136">
        <f>VLOOKUP(tbl_IO_List[[#This Row],[Instruement Tag]],tbl_Instruement_List[],2,FALSE)</f>
        <v>0</v>
      </c>
      <c r="N1039" s="136" t="s">
        <v>47</v>
      </c>
      <c r="O1039" s="136" t="s">
        <v>78</v>
      </c>
      <c r="P1039" s="136" t="s">
        <v>18</v>
      </c>
      <c r="Q1039" s="136" t="str">
        <f>VLOOKUP(tbl_IO_List[[#This Row],[Instruement Tag]],tbl_Instruement_List[],6,FALSE)</f>
        <v xml:space="preserve"> Start / Stop Command for FVNR BL-61301 ( Bin Actuator Blower )</v>
      </c>
      <c r="R1039" s="136"/>
      <c r="S103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1039" s="136" t="str">
        <f>tbl_IO_List[[#This Row],[Instruement Tag]]&amp;"_"&amp;tbl_IO_List[[#This Row],[I/O Type]]&amp;"_"&amp;tbl_IO_List[[#This Row],[IO-Point 
(Instruement)]]</f>
        <v>BLM-61302_DO_1</v>
      </c>
      <c r="U1039" s="136" t="s">
        <v>7</v>
      </c>
      <c r="V1039" s="136">
        <f>VLOOKUP(tbl_IO_List[[#This Row],[I/O Type]],tbl_Slot_Group[],2,FALSE)</f>
        <v>2</v>
      </c>
      <c r="W1039" s="136">
        <v>1</v>
      </c>
      <c r="X1039" s="136" t="str">
        <f>tbl_IO_List[[#This Row],[Chassis]]&amp;"S"&amp;TEXT(tbl_IO_List[[#This Row],[Slot]],"00")</f>
        <v>C7S06</v>
      </c>
      <c r="Y1039" s="136" t="str">
        <f>tbl_IO_List[[#This Row],[Chassis]]&amp;"S"&amp;TEXT(tbl_IO_List[[#This Row],[Slot]],"00")&amp;tbl_IO_List[[#This Row],[I/O Type]]&amp;TEXT(tbl_IO_List[[#This Row],[Point]],"00")</f>
        <v>C7S06DO21</v>
      </c>
      <c r="Z1039" s="136" t="str">
        <f>tbl_IO_List[[#This Row],[Chassis]]&amp;"S"&amp;TEXT(tbl_IO_List[[#This Row],[Slot]],"00")&amp;","&amp;TEXT(tbl_IO_List[[#This Row],[Point]],"00")</f>
        <v>C7S06,21</v>
      </c>
      <c r="AA1039" s="136" t="e">
        <f>VLOOKUP(tbl_IO_List[[#This Row],[Column23]],tbl_RackConfig[],5,FALSE) &amp;"-"&amp;tbl_IO_List[[#This Row],[Point]]</f>
        <v>#N/A</v>
      </c>
      <c r="AB1039" s="136"/>
      <c r="AC1039" s="136"/>
      <c r="AD1039" s="136" t="str">
        <f>tbl_IO_List[[#This Row],[I/O Type]]</f>
        <v>DO</v>
      </c>
      <c r="AE1039" s="136" t="s">
        <v>1368</v>
      </c>
      <c r="AF1039" s="136">
        <v>6</v>
      </c>
      <c r="AG1039" s="136">
        <v>21</v>
      </c>
      <c r="AH1039" s="136"/>
      <c r="AI1039" s="136"/>
      <c r="AJ1039" s="136">
        <v>2</v>
      </c>
      <c r="AK1039" s="136">
        <v>2</v>
      </c>
      <c r="AL1039" s="136">
        <v>0</v>
      </c>
      <c r="AM1039" s="136">
        <v>0</v>
      </c>
      <c r="AN1039" s="136">
        <v>0</v>
      </c>
      <c r="AO1039" s="136"/>
      <c r="AP1039" s="143" t="str">
        <f>VLOOKUP(tbl_IO_List[[#This Row],[Instruement Tag]],tbl_Instruement_List[],14,FALSE)</f>
        <v>24 VDC energized</v>
      </c>
      <c r="AQ1039" s="143" t="str">
        <f>tbl_IO_List[[#This Row],[Chassis]]&amp;"S"&amp;tbl_IO_List[[#This Row],[Slot]]&amp;"-"&amp;tbl_IO_List[[#This Row],[Front Terminal Number]]</f>
        <v>C7S6-</v>
      </c>
      <c r="AR1039" s="143"/>
      <c r="AS1039" s="136" t="str">
        <f>tbl_IO_List[[#This Row],[Terminal Tagging]]&amp;"-"&amp;tbl_IO_List[[#This Row],[Point-Count]]</f>
        <v>-</v>
      </c>
      <c r="AT1039" s="136" t="str">
        <f>tbl_IO_List[[#This Row],[Front Terminal Tagging]]&amp;"/"&amp;tbl_IO_List[[#This Row],[Terminal Tagging-Item]]</f>
        <v>C7S6-/-</v>
      </c>
      <c r="AU1039" s="136" t="str">
        <f>tbl_IO_List[[#This Row],[Terminal Tagging-Item]]&amp;"/"&amp;tbl_IO_List[[#This Row],[Front Terminal Tagging]]</f>
        <v>-/C7S6-</v>
      </c>
    </row>
    <row r="1040" spans="1:47" hidden="1">
      <c r="A1040" s="136" t="s">
        <v>1307</v>
      </c>
      <c r="B1040" s="136" t="s">
        <v>1307</v>
      </c>
      <c r="C1040" s="136" t="str">
        <f>tbl_IO_List[[#This Row],[Column3]]</f>
        <v>C7S06,22</v>
      </c>
      <c r="D1040" s="136" t="e">
        <f>tbl_IO_List[[#This Row],[Card]]</f>
        <v>#N/A</v>
      </c>
      <c r="E1040" s="136"/>
      <c r="F1040" s="136" t="str">
        <f>tbl_IO_List[[#This Row],[Column23]]&amp;"-" &amp;tbl_IO_List[[#This Row],[Column52]]</f>
        <v>C7S06-</v>
      </c>
      <c r="G1040" s="136" t="str">
        <f>tbl_IO_List[[#This Row],[PLC_Tag]]</f>
        <v>BLM-61302_DO_2</v>
      </c>
      <c r="H1040" s="136"/>
      <c r="I1040" s="136" t="str">
        <f>VLOOKUP(tbl_IO_List[[#This Row],[Destination]],tbl_Junction[],2,FALSE)</f>
        <v>MCC Room</v>
      </c>
      <c r="J1040" s="136" t="s">
        <v>360</v>
      </c>
      <c r="K1040" s="136" t="s">
        <v>66</v>
      </c>
      <c r="L1040" s="136" t="s">
        <v>864</v>
      </c>
      <c r="M1040" s="136">
        <f>VLOOKUP(tbl_IO_List[[#This Row],[Instruement Tag]],tbl_Instruement_List[],2,FALSE)</f>
        <v>0</v>
      </c>
      <c r="N1040" s="136" t="s">
        <v>47</v>
      </c>
      <c r="O1040" s="136" t="s">
        <v>78</v>
      </c>
      <c r="P1040" s="136" t="s">
        <v>18</v>
      </c>
      <c r="Q1040" s="136" t="str">
        <f>VLOOKUP(tbl_IO_List[[#This Row],[Instruement Tag]],tbl_Instruement_List[],6,FALSE)</f>
        <v xml:space="preserve"> Start / Stop Command for FVNR BL-61301 ( Bin Actuator Blower )</v>
      </c>
      <c r="R1040" s="136"/>
      <c r="S104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1040" s="136" t="str">
        <f>tbl_IO_List[[#This Row],[Instruement Tag]]&amp;"_"&amp;tbl_IO_List[[#This Row],[I/O Type]]&amp;"_"&amp;tbl_IO_List[[#This Row],[IO-Point 
(Instruement)]]</f>
        <v>BLM-61302_DO_2</v>
      </c>
      <c r="U1040" s="136" t="s">
        <v>7</v>
      </c>
      <c r="V1040" s="136">
        <f>VLOOKUP(tbl_IO_List[[#This Row],[I/O Type]],tbl_Slot_Group[],2,FALSE)</f>
        <v>2</v>
      </c>
      <c r="W1040" s="136">
        <v>2</v>
      </c>
      <c r="X1040" s="136" t="str">
        <f>tbl_IO_List[[#This Row],[Chassis]]&amp;"S"&amp;TEXT(tbl_IO_List[[#This Row],[Slot]],"00")</f>
        <v>C7S06</v>
      </c>
      <c r="Y1040" s="136" t="str">
        <f>tbl_IO_List[[#This Row],[Chassis]]&amp;"S"&amp;TEXT(tbl_IO_List[[#This Row],[Slot]],"00")&amp;tbl_IO_List[[#This Row],[I/O Type]]&amp;TEXT(tbl_IO_List[[#This Row],[Point]],"00")</f>
        <v>C7S06DO22</v>
      </c>
      <c r="Z1040" s="136" t="str">
        <f>tbl_IO_List[[#This Row],[Chassis]]&amp;"S"&amp;TEXT(tbl_IO_List[[#This Row],[Slot]],"00")&amp;","&amp;TEXT(tbl_IO_List[[#This Row],[Point]],"00")</f>
        <v>C7S06,22</v>
      </c>
      <c r="AA1040" s="136" t="e">
        <f>VLOOKUP(tbl_IO_List[[#This Row],[Column23]],tbl_RackConfig[],5,FALSE) &amp;"-"&amp;tbl_IO_List[[#This Row],[Point]]</f>
        <v>#N/A</v>
      </c>
      <c r="AB1040" s="136"/>
      <c r="AC1040" s="136"/>
      <c r="AD1040" s="136" t="str">
        <f>tbl_IO_List[[#This Row],[I/O Type]]</f>
        <v>DO</v>
      </c>
      <c r="AE1040" s="136" t="s">
        <v>1368</v>
      </c>
      <c r="AF1040" s="136">
        <v>6</v>
      </c>
      <c r="AG1040" s="136">
        <v>22</v>
      </c>
      <c r="AH1040" s="136"/>
      <c r="AI1040" s="136"/>
      <c r="AJ1040" s="136">
        <v>2</v>
      </c>
      <c r="AK1040" s="136">
        <v>2</v>
      </c>
      <c r="AL1040" s="136">
        <v>0</v>
      </c>
      <c r="AM1040" s="136">
        <v>0</v>
      </c>
      <c r="AN1040" s="136">
        <v>0</v>
      </c>
      <c r="AO1040" s="136"/>
      <c r="AP1040" s="143" t="str">
        <f>VLOOKUP(tbl_IO_List[[#This Row],[Instruement Tag]],tbl_Instruement_List[],14,FALSE)</f>
        <v>24 VDC energized</v>
      </c>
      <c r="AQ1040" s="143" t="str">
        <f>tbl_IO_List[[#This Row],[Chassis]]&amp;"S"&amp;tbl_IO_List[[#This Row],[Slot]]&amp;"-"&amp;tbl_IO_List[[#This Row],[Front Terminal Number]]</f>
        <v>C7S6-</v>
      </c>
      <c r="AR1040" s="143"/>
      <c r="AS1040" s="136" t="str">
        <f>tbl_IO_List[[#This Row],[Terminal Tagging]]&amp;"-"&amp;tbl_IO_List[[#This Row],[Point-Count]]</f>
        <v>-</v>
      </c>
      <c r="AT1040" s="136" t="str">
        <f>tbl_IO_List[[#This Row],[Front Terminal Tagging]]&amp;"/"&amp;tbl_IO_List[[#This Row],[Terminal Tagging-Item]]</f>
        <v>C7S6-/-</v>
      </c>
      <c r="AU1040" s="136" t="str">
        <f>tbl_IO_List[[#This Row],[Terminal Tagging-Item]]&amp;"/"&amp;tbl_IO_List[[#This Row],[Front Terminal Tagging]]</f>
        <v>-/C7S6-</v>
      </c>
    </row>
    <row r="1041" spans="1:47" hidden="1">
      <c r="A1041" s="136" t="s">
        <v>1307</v>
      </c>
      <c r="B1041" s="136" t="s">
        <v>1307</v>
      </c>
      <c r="C1041" s="136" t="str">
        <f>tbl_IO_List[[#This Row],[Column3]]</f>
        <v>C7S06,23</v>
      </c>
      <c r="D1041" s="136" t="e">
        <f>tbl_IO_List[[#This Row],[Card]]</f>
        <v>#N/A</v>
      </c>
      <c r="E1041" s="136"/>
      <c r="F1041" s="136" t="str">
        <f>tbl_IO_List[[#This Row],[Column23]]&amp;"-" &amp;tbl_IO_List[[#This Row],[Column52]]</f>
        <v>C7S06-</v>
      </c>
      <c r="G1041" s="136" t="str">
        <f>tbl_IO_List[[#This Row],[PLC_Tag]]</f>
        <v>RVM-60204_DO_1</v>
      </c>
      <c r="H1041" s="136"/>
      <c r="I1041" s="136" t="str">
        <f>VLOOKUP(tbl_IO_List[[#This Row],[Destination]],tbl_Junction[],2,FALSE)</f>
        <v>MCC Room</v>
      </c>
      <c r="J1041" s="136" t="s">
        <v>360</v>
      </c>
      <c r="K1041" s="136" t="s">
        <v>66</v>
      </c>
      <c r="L1041" s="136" t="s">
        <v>904</v>
      </c>
      <c r="M1041" s="136">
        <f>VLOOKUP(tbl_IO_List[[#This Row],[Instruement Tag]],tbl_Instruement_List[],2,FALSE)</f>
        <v>0</v>
      </c>
      <c r="N1041" s="136" t="s">
        <v>93</v>
      </c>
      <c r="O1041" s="136" t="s">
        <v>192</v>
      </c>
      <c r="P1041" s="136" t="s">
        <v>18</v>
      </c>
      <c r="Q1041" s="136" t="str">
        <f>VLOOKUP(tbl_IO_List[[#This Row],[Instruement Tag]],tbl_Instruement_List[],6,FALSE)</f>
        <v xml:space="preserve"> Start / Stop Command for FVNR RV-60204 (Recycle silo Rotary Valve)</v>
      </c>
      <c r="R1041" s="136"/>
      <c r="S104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1041" s="136" t="str">
        <f>tbl_IO_List[[#This Row],[Instruement Tag]]&amp;"_"&amp;tbl_IO_List[[#This Row],[I/O Type]]&amp;"_"&amp;tbl_IO_List[[#This Row],[IO-Point 
(Instruement)]]</f>
        <v>RVM-60204_DO_1</v>
      </c>
      <c r="U1041" s="136" t="s">
        <v>7</v>
      </c>
      <c r="V1041" s="136">
        <f>VLOOKUP(tbl_IO_List[[#This Row],[I/O Type]],tbl_Slot_Group[],2,FALSE)</f>
        <v>2</v>
      </c>
      <c r="W1041" s="136">
        <v>1</v>
      </c>
      <c r="X1041" s="136" t="str">
        <f>tbl_IO_List[[#This Row],[Chassis]]&amp;"S"&amp;TEXT(tbl_IO_List[[#This Row],[Slot]],"00")</f>
        <v>C7S06</v>
      </c>
      <c r="Y1041" s="136" t="str">
        <f>tbl_IO_List[[#This Row],[Chassis]]&amp;"S"&amp;TEXT(tbl_IO_List[[#This Row],[Slot]],"00")&amp;tbl_IO_List[[#This Row],[I/O Type]]&amp;TEXT(tbl_IO_List[[#This Row],[Point]],"00")</f>
        <v>C7S06DO23</v>
      </c>
      <c r="Z1041" s="136" t="str">
        <f>tbl_IO_List[[#This Row],[Chassis]]&amp;"S"&amp;TEXT(tbl_IO_List[[#This Row],[Slot]],"00")&amp;","&amp;TEXT(tbl_IO_List[[#This Row],[Point]],"00")</f>
        <v>C7S06,23</v>
      </c>
      <c r="AA1041" s="136" t="e">
        <f>VLOOKUP(tbl_IO_List[[#This Row],[Column23]],tbl_RackConfig[],5,FALSE) &amp;"-"&amp;tbl_IO_List[[#This Row],[Point]]</f>
        <v>#N/A</v>
      </c>
      <c r="AB1041" s="136"/>
      <c r="AC1041" s="136"/>
      <c r="AD1041" s="136" t="str">
        <f>tbl_IO_List[[#This Row],[I/O Type]]</f>
        <v>DO</v>
      </c>
      <c r="AE1041" s="136" t="s">
        <v>1368</v>
      </c>
      <c r="AF1041" s="136">
        <v>6</v>
      </c>
      <c r="AG1041" s="136">
        <v>23</v>
      </c>
      <c r="AH1041" s="136"/>
      <c r="AI1041" s="136"/>
      <c r="AJ1041" s="136">
        <v>2</v>
      </c>
      <c r="AK1041" s="136">
        <v>2</v>
      </c>
      <c r="AL1041" s="136">
        <v>0</v>
      </c>
      <c r="AM1041" s="136">
        <v>0</v>
      </c>
      <c r="AN1041" s="136">
        <v>0</v>
      </c>
      <c r="AO1041" s="136"/>
      <c r="AP1041" s="143" t="str">
        <f>VLOOKUP(tbl_IO_List[[#This Row],[Instruement Tag]],tbl_Instruement_List[],14,FALSE)</f>
        <v>24 VDC energized</v>
      </c>
      <c r="AQ1041" s="143" t="str">
        <f>tbl_IO_List[[#This Row],[Chassis]]&amp;"S"&amp;tbl_IO_List[[#This Row],[Slot]]&amp;"-"&amp;tbl_IO_List[[#This Row],[Front Terminal Number]]</f>
        <v>C7S6-</v>
      </c>
      <c r="AR1041" s="143"/>
      <c r="AS1041" s="136" t="str">
        <f>tbl_IO_List[[#This Row],[Terminal Tagging]]&amp;"-"&amp;tbl_IO_List[[#This Row],[Point-Count]]</f>
        <v>-</v>
      </c>
      <c r="AT1041" s="136" t="str">
        <f>tbl_IO_List[[#This Row],[Front Terminal Tagging]]&amp;"/"&amp;tbl_IO_List[[#This Row],[Terminal Tagging-Item]]</f>
        <v>C7S6-/-</v>
      </c>
      <c r="AU1041" s="136" t="str">
        <f>tbl_IO_List[[#This Row],[Terminal Tagging-Item]]&amp;"/"&amp;tbl_IO_List[[#This Row],[Front Terminal Tagging]]</f>
        <v>-/C7S6-</v>
      </c>
    </row>
    <row r="1042" spans="1:47" hidden="1">
      <c r="A1042" s="136" t="s">
        <v>1307</v>
      </c>
      <c r="B1042" s="136" t="s">
        <v>1307</v>
      </c>
      <c r="C1042" s="136" t="str">
        <f>tbl_IO_List[[#This Row],[Column3]]</f>
        <v>C7S06,24</v>
      </c>
      <c r="D1042" s="136" t="e">
        <f>tbl_IO_List[[#This Row],[Card]]</f>
        <v>#N/A</v>
      </c>
      <c r="E1042" s="136"/>
      <c r="F1042" s="136" t="str">
        <f>tbl_IO_List[[#This Row],[Column23]]&amp;"-" &amp;tbl_IO_List[[#This Row],[Column52]]</f>
        <v>C7S06-</v>
      </c>
      <c r="G1042" s="136" t="str">
        <f>tbl_IO_List[[#This Row],[PLC_Tag]]</f>
        <v>RVM-60204_DO_2</v>
      </c>
      <c r="H1042" s="136"/>
      <c r="I1042" s="136" t="str">
        <f>VLOOKUP(tbl_IO_List[[#This Row],[Destination]],tbl_Junction[],2,FALSE)</f>
        <v>MCC Room</v>
      </c>
      <c r="J1042" s="136" t="s">
        <v>360</v>
      </c>
      <c r="K1042" s="136" t="s">
        <v>66</v>
      </c>
      <c r="L1042" s="136" t="s">
        <v>904</v>
      </c>
      <c r="M1042" s="136">
        <f>VLOOKUP(tbl_IO_List[[#This Row],[Instruement Tag]],tbl_Instruement_List[],2,FALSE)</f>
        <v>0</v>
      </c>
      <c r="N1042" s="136" t="s">
        <v>93</v>
      </c>
      <c r="O1042" s="136" t="s">
        <v>192</v>
      </c>
      <c r="P1042" s="136" t="s">
        <v>18</v>
      </c>
      <c r="Q1042" s="136" t="str">
        <f>VLOOKUP(tbl_IO_List[[#This Row],[Instruement Tag]],tbl_Instruement_List[],6,FALSE)</f>
        <v xml:space="preserve"> Start / Stop Command for FVNR RV-60204 (Recycle silo Rotary Valve)</v>
      </c>
      <c r="R1042" s="136"/>
      <c r="S104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1042" s="136" t="str">
        <f>tbl_IO_List[[#This Row],[Instruement Tag]]&amp;"_"&amp;tbl_IO_List[[#This Row],[I/O Type]]&amp;"_"&amp;tbl_IO_List[[#This Row],[IO-Point 
(Instruement)]]</f>
        <v>RVM-60204_DO_2</v>
      </c>
      <c r="U1042" s="136" t="s">
        <v>7</v>
      </c>
      <c r="V1042" s="136">
        <f>VLOOKUP(tbl_IO_List[[#This Row],[I/O Type]],tbl_Slot_Group[],2,FALSE)</f>
        <v>2</v>
      </c>
      <c r="W1042" s="136">
        <v>2</v>
      </c>
      <c r="X1042" s="136" t="str">
        <f>tbl_IO_List[[#This Row],[Chassis]]&amp;"S"&amp;TEXT(tbl_IO_List[[#This Row],[Slot]],"00")</f>
        <v>C7S06</v>
      </c>
      <c r="Y1042" s="136" t="str">
        <f>tbl_IO_List[[#This Row],[Chassis]]&amp;"S"&amp;TEXT(tbl_IO_List[[#This Row],[Slot]],"00")&amp;tbl_IO_List[[#This Row],[I/O Type]]&amp;TEXT(tbl_IO_List[[#This Row],[Point]],"00")</f>
        <v>C7S06DO24</v>
      </c>
      <c r="Z1042" s="136" t="str">
        <f>tbl_IO_List[[#This Row],[Chassis]]&amp;"S"&amp;TEXT(tbl_IO_List[[#This Row],[Slot]],"00")&amp;","&amp;TEXT(tbl_IO_List[[#This Row],[Point]],"00")</f>
        <v>C7S06,24</v>
      </c>
      <c r="AA1042" s="136" t="e">
        <f>VLOOKUP(tbl_IO_List[[#This Row],[Column23]],tbl_RackConfig[],5,FALSE) &amp;"-"&amp;tbl_IO_List[[#This Row],[Point]]</f>
        <v>#N/A</v>
      </c>
      <c r="AB1042" s="136"/>
      <c r="AC1042" s="136"/>
      <c r="AD1042" s="136" t="str">
        <f>tbl_IO_List[[#This Row],[I/O Type]]</f>
        <v>DO</v>
      </c>
      <c r="AE1042" s="136" t="s">
        <v>1368</v>
      </c>
      <c r="AF1042" s="136">
        <v>6</v>
      </c>
      <c r="AG1042" s="136">
        <v>24</v>
      </c>
      <c r="AH1042" s="136"/>
      <c r="AI1042" s="136"/>
      <c r="AJ1042" s="136">
        <v>2</v>
      </c>
      <c r="AK1042" s="136">
        <v>2</v>
      </c>
      <c r="AL1042" s="136">
        <v>0</v>
      </c>
      <c r="AM1042" s="136">
        <v>0</v>
      </c>
      <c r="AN1042" s="136">
        <v>0</v>
      </c>
      <c r="AO1042" s="136"/>
      <c r="AP1042" s="143" t="str">
        <f>VLOOKUP(tbl_IO_List[[#This Row],[Instruement Tag]],tbl_Instruement_List[],14,FALSE)</f>
        <v>24 VDC energized</v>
      </c>
      <c r="AQ1042" s="143" t="str">
        <f>tbl_IO_List[[#This Row],[Chassis]]&amp;"S"&amp;tbl_IO_List[[#This Row],[Slot]]&amp;"-"&amp;tbl_IO_List[[#This Row],[Front Terminal Number]]</f>
        <v>C7S6-</v>
      </c>
      <c r="AR1042" s="143"/>
      <c r="AS1042" s="136" t="str">
        <f>tbl_IO_List[[#This Row],[Terminal Tagging]]&amp;"-"&amp;tbl_IO_List[[#This Row],[Point-Count]]</f>
        <v>-</v>
      </c>
      <c r="AT1042" s="136" t="str">
        <f>tbl_IO_List[[#This Row],[Front Terminal Tagging]]&amp;"/"&amp;tbl_IO_List[[#This Row],[Terminal Tagging-Item]]</f>
        <v>C7S6-/-</v>
      </c>
      <c r="AU1042" s="136" t="str">
        <f>tbl_IO_List[[#This Row],[Terminal Tagging-Item]]&amp;"/"&amp;tbl_IO_List[[#This Row],[Front Terminal Tagging]]</f>
        <v>-/C7S6-</v>
      </c>
    </row>
    <row r="1043" spans="1:47" hidden="1">
      <c r="A1043" s="136" t="s">
        <v>1307</v>
      </c>
      <c r="B1043" s="136" t="s">
        <v>1307</v>
      </c>
      <c r="C1043" s="136" t="str">
        <f>tbl_IO_List[[#This Row],[Column3]]</f>
        <v>C7S06,25</v>
      </c>
      <c r="D1043" s="136" t="e">
        <f>tbl_IO_List[[#This Row],[Card]]</f>
        <v>#N/A</v>
      </c>
      <c r="E1043" s="136"/>
      <c r="F1043" s="136" t="str">
        <f>tbl_IO_List[[#This Row],[Column23]]&amp;"-" &amp;tbl_IO_List[[#This Row],[Column52]]</f>
        <v>C7S06-</v>
      </c>
      <c r="G1043" s="136" t="str">
        <f>tbl_IO_List[[#This Row],[PLC_Tag]]</f>
        <v>RVM-61301_DO_1</v>
      </c>
      <c r="H1043" s="136"/>
      <c r="I1043" s="136" t="str">
        <f>VLOOKUP(tbl_IO_List[[#This Row],[Destination]],tbl_Junction[],2,FALSE)</f>
        <v>MCC Room</v>
      </c>
      <c r="J1043" s="136" t="s">
        <v>360</v>
      </c>
      <c r="K1043" s="136" t="s">
        <v>66</v>
      </c>
      <c r="L1043" s="136" t="s">
        <v>906</v>
      </c>
      <c r="M1043" s="136">
        <f>VLOOKUP(tbl_IO_List[[#This Row],[Instruement Tag]],tbl_Instruement_List[],2,FALSE)</f>
        <v>0</v>
      </c>
      <c r="N1043" s="136" t="s">
        <v>58</v>
      </c>
      <c r="O1043" s="136" t="s">
        <v>78</v>
      </c>
      <c r="P1043" s="136" t="s">
        <v>18</v>
      </c>
      <c r="Q1043" s="136" t="str">
        <f>VLOOKUP(tbl_IO_List[[#This Row],[Instruement Tag]],tbl_Instruement_List[],6,FALSE)</f>
        <v xml:space="preserve"> Start / Stop Command for FVNR RV-61301</v>
      </c>
      <c r="R1043" s="136"/>
      <c r="S104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1043" s="136" t="str">
        <f>tbl_IO_List[[#This Row],[Instruement Tag]]&amp;"_"&amp;tbl_IO_List[[#This Row],[I/O Type]]&amp;"_"&amp;tbl_IO_List[[#This Row],[IO-Point 
(Instruement)]]</f>
        <v>RVM-61301_DO_1</v>
      </c>
      <c r="U1043" s="136" t="s">
        <v>7</v>
      </c>
      <c r="V1043" s="136">
        <f>VLOOKUP(tbl_IO_List[[#This Row],[I/O Type]],tbl_Slot_Group[],2,FALSE)</f>
        <v>2</v>
      </c>
      <c r="W1043" s="136">
        <v>1</v>
      </c>
      <c r="X1043" s="136" t="str">
        <f>tbl_IO_List[[#This Row],[Chassis]]&amp;"S"&amp;TEXT(tbl_IO_List[[#This Row],[Slot]],"00")</f>
        <v>C7S06</v>
      </c>
      <c r="Y1043" s="136" t="str">
        <f>tbl_IO_List[[#This Row],[Chassis]]&amp;"S"&amp;TEXT(tbl_IO_List[[#This Row],[Slot]],"00")&amp;tbl_IO_List[[#This Row],[I/O Type]]&amp;TEXT(tbl_IO_List[[#This Row],[Point]],"00")</f>
        <v>C7S06DO25</v>
      </c>
      <c r="Z1043" s="136" t="str">
        <f>tbl_IO_List[[#This Row],[Chassis]]&amp;"S"&amp;TEXT(tbl_IO_List[[#This Row],[Slot]],"00")&amp;","&amp;TEXT(tbl_IO_List[[#This Row],[Point]],"00")</f>
        <v>C7S06,25</v>
      </c>
      <c r="AA1043" s="136" t="e">
        <f>VLOOKUP(tbl_IO_List[[#This Row],[Column23]],tbl_RackConfig[],5,FALSE) &amp;"-"&amp;tbl_IO_List[[#This Row],[Point]]</f>
        <v>#N/A</v>
      </c>
      <c r="AB1043" s="136"/>
      <c r="AC1043" s="136"/>
      <c r="AD1043" s="136" t="str">
        <f>tbl_IO_List[[#This Row],[I/O Type]]</f>
        <v>DO</v>
      </c>
      <c r="AE1043" s="136" t="s">
        <v>1368</v>
      </c>
      <c r="AF1043" s="136">
        <v>6</v>
      </c>
      <c r="AG1043" s="136">
        <v>25</v>
      </c>
      <c r="AH1043" s="136"/>
      <c r="AI1043" s="136"/>
      <c r="AJ1043" s="136">
        <v>2</v>
      </c>
      <c r="AK1043" s="136">
        <v>2</v>
      </c>
      <c r="AL1043" s="136">
        <v>0</v>
      </c>
      <c r="AM1043" s="136">
        <v>0</v>
      </c>
      <c r="AN1043" s="136">
        <v>0</v>
      </c>
      <c r="AO1043" s="136"/>
      <c r="AP1043" s="143" t="str">
        <f>VLOOKUP(tbl_IO_List[[#This Row],[Instruement Tag]],tbl_Instruement_List[],14,FALSE)</f>
        <v>24 VDC energized</v>
      </c>
      <c r="AQ1043" s="143" t="str">
        <f>tbl_IO_List[[#This Row],[Chassis]]&amp;"S"&amp;tbl_IO_List[[#This Row],[Slot]]&amp;"-"&amp;tbl_IO_List[[#This Row],[Front Terminal Number]]</f>
        <v>C7S6-</v>
      </c>
      <c r="AR1043" s="143"/>
      <c r="AS1043" s="136" t="str">
        <f>tbl_IO_List[[#This Row],[Terminal Tagging]]&amp;"-"&amp;tbl_IO_List[[#This Row],[Point-Count]]</f>
        <v>-</v>
      </c>
      <c r="AT1043" s="136" t="str">
        <f>tbl_IO_List[[#This Row],[Front Terminal Tagging]]&amp;"/"&amp;tbl_IO_List[[#This Row],[Terminal Tagging-Item]]</f>
        <v>C7S6-/-</v>
      </c>
      <c r="AU1043" s="136" t="str">
        <f>tbl_IO_List[[#This Row],[Terminal Tagging-Item]]&amp;"/"&amp;tbl_IO_List[[#This Row],[Front Terminal Tagging]]</f>
        <v>-/C7S6-</v>
      </c>
    </row>
    <row r="1044" spans="1:47" hidden="1">
      <c r="A1044" s="136" t="s">
        <v>1307</v>
      </c>
      <c r="B1044" s="136" t="s">
        <v>1307</v>
      </c>
      <c r="C1044" s="136" t="str">
        <f>tbl_IO_List[[#This Row],[Column3]]</f>
        <v>C7S06,26</v>
      </c>
      <c r="D1044" s="136" t="e">
        <f>tbl_IO_List[[#This Row],[Card]]</f>
        <v>#N/A</v>
      </c>
      <c r="E1044" s="136"/>
      <c r="F1044" s="136" t="str">
        <f>tbl_IO_List[[#This Row],[Column23]]&amp;"-" &amp;tbl_IO_List[[#This Row],[Column52]]</f>
        <v>C7S06-</v>
      </c>
      <c r="G1044" s="136" t="str">
        <f>tbl_IO_List[[#This Row],[PLC_Tag]]</f>
        <v>RVM-61301_DO_2</v>
      </c>
      <c r="H1044" s="136"/>
      <c r="I1044" s="136" t="str">
        <f>VLOOKUP(tbl_IO_List[[#This Row],[Destination]],tbl_Junction[],2,FALSE)</f>
        <v>MCC Room</v>
      </c>
      <c r="J1044" s="136" t="s">
        <v>360</v>
      </c>
      <c r="K1044" s="136" t="s">
        <v>66</v>
      </c>
      <c r="L1044" s="136" t="s">
        <v>906</v>
      </c>
      <c r="M1044" s="136">
        <f>VLOOKUP(tbl_IO_List[[#This Row],[Instruement Tag]],tbl_Instruement_List[],2,FALSE)</f>
        <v>0</v>
      </c>
      <c r="N1044" s="136" t="s">
        <v>58</v>
      </c>
      <c r="O1044" s="136" t="s">
        <v>78</v>
      </c>
      <c r="P1044" s="136" t="s">
        <v>18</v>
      </c>
      <c r="Q1044" s="136" t="str">
        <f>VLOOKUP(tbl_IO_List[[#This Row],[Instruement Tag]],tbl_Instruement_List[],6,FALSE)</f>
        <v xml:space="preserve"> Start / Stop Command for FVNR RV-61301</v>
      </c>
      <c r="R1044" s="136"/>
      <c r="S104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1044" s="136" t="str">
        <f>tbl_IO_List[[#This Row],[Instruement Tag]]&amp;"_"&amp;tbl_IO_List[[#This Row],[I/O Type]]&amp;"_"&amp;tbl_IO_List[[#This Row],[IO-Point 
(Instruement)]]</f>
        <v>RVM-61301_DO_2</v>
      </c>
      <c r="U1044" s="136" t="s">
        <v>7</v>
      </c>
      <c r="V1044" s="136">
        <f>VLOOKUP(tbl_IO_List[[#This Row],[I/O Type]],tbl_Slot_Group[],2,FALSE)</f>
        <v>2</v>
      </c>
      <c r="W1044" s="136">
        <v>2</v>
      </c>
      <c r="X1044" s="136" t="str">
        <f>tbl_IO_List[[#This Row],[Chassis]]&amp;"S"&amp;TEXT(tbl_IO_List[[#This Row],[Slot]],"00")</f>
        <v>C7S06</v>
      </c>
      <c r="Y1044" s="136" t="str">
        <f>tbl_IO_List[[#This Row],[Chassis]]&amp;"S"&amp;TEXT(tbl_IO_List[[#This Row],[Slot]],"00")&amp;tbl_IO_List[[#This Row],[I/O Type]]&amp;TEXT(tbl_IO_List[[#This Row],[Point]],"00")</f>
        <v>C7S06DO26</v>
      </c>
      <c r="Z1044" s="136" t="str">
        <f>tbl_IO_List[[#This Row],[Chassis]]&amp;"S"&amp;TEXT(tbl_IO_List[[#This Row],[Slot]],"00")&amp;","&amp;TEXT(tbl_IO_List[[#This Row],[Point]],"00")</f>
        <v>C7S06,26</v>
      </c>
      <c r="AA1044" s="136" t="e">
        <f>VLOOKUP(tbl_IO_List[[#This Row],[Column23]],tbl_RackConfig[],5,FALSE) &amp;"-"&amp;tbl_IO_List[[#This Row],[Point]]</f>
        <v>#N/A</v>
      </c>
      <c r="AB1044" s="136"/>
      <c r="AC1044" s="136"/>
      <c r="AD1044" s="136" t="str">
        <f>tbl_IO_List[[#This Row],[I/O Type]]</f>
        <v>DO</v>
      </c>
      <c r="AE1044" s="136" t="s">
        <v>1368</v>
      </c>
      <c r="AF1044" s="136">
        <v>6</v>
      </c>
      <c r="AG1044" s="136">
        <v>26</v>
      </c>
      <c r="AH1044" s="136"/>
      <c r="AI1044" s="136"/>
      <c r="AJ1044" s="136">
        <v>2</v>
      </c>
      <c r="AK1044" s="136">
        <v>2</v>
      </c>
      <c r="AL1044" s="136">
        <v>0</v>
      </c>
      <c r="AM1044" s="136">
        <v>0</v>
      </c>
      <c r="AN1044" s="136">
        <v>0</v>
      </c>
      <c r="AO1044" s="136"/>
      <c r="AP1044" s="143" t="str">
        <f>VLOOKUP(tbl_IO_List[[#This Row],[Instruement Tag]],tbl_Instruement_List[],14,FALSE)</f>
        <v>24 VDC energized</v>
      </c>
      <c r="AQ1044" s="143" t="str">
        <f>tbl_IO_List[[#This Row],[Chassis]]&amp;"S"&amp;tbl_IO_List[[#This Row],[Slot]]&amp;"-"&amp;tbl_IO_List[[#This Row],[Front Terminal Number]]</f>
        <v>C7S6-</v>
      </c>
      <c r="AR1044" s="143"/>
      <c r="AS1044" s="136" t="str">
        <f>tbl_IO_List[[#This Row],[Terminal Tagging]]&amp;"-"&amp;tbl_IO_List[[#This Row],[Point-Count]]</f>
        <v>-</v>
      </c>
      <c r="AT1044" s="136" t="str">
        <f>tbl_IO_List[[#This Row],[Front Terminal Tagging]]&amp;"/"&amp;tbl_IO_List[[#This Row],[Terminal Tagging-Item]]</f>
        <v>C7S6-/-</v>
      </c>
      <c r="AU1044" s="136" t="str">
        <f>tbl_IO_List[[#This Row],[Terminal Tagging-Item]]&amp;"/"&amp;tbl_IO_List[[#This Row],[Front Terminal Tagging]]</f>
        <v>-/C7S6-</v>
      </c>
    </row>
    <row r="1045" spans="1:47" hidden="1">
      <c r="A1045" s="136" t="s">
        <v>1307</v>
      </c>
      <c r="B1045" s="136" t="s">
        <v>1307</v>
      </c>
      <c r="C1045" s="136" t="str">
        <f>tbl_IO_List[[#This Row],[Column3]]</f>
        <v>C7S06,27</v>
      </c>
      <c r="D1045" s="136" t="e">
        <f>tbl_IO_List[[#This Row],[Card]]</f>
        <v>#N/A</v>
      </c>
      <c r="E1045" s="136"/>
      <c r="F1045" s="136" t="str">
        <f>tbl_IO_List[[#This Row],[Column23]]&amp;"-" &amp;tbl_IO_List[[#This Row],[Column52]]</f>
        <v>C7S06-</v>
      </c>
      <c r="G1045" s="136" t="str">
        <f>tbl_IO_List[[#This Row],[PLC_Tag]]</f>
        <v>RVM-61304_DO_1</v>
      </c>
      <c r="H1045" s="136"/>
      <c r="I1045" s="136" t="str">
        <f>VLOOKUP(tbl_IO_List[[#This Row],[Destination]],tbl_Junction[],2,FALSE)</f>
        <v>MCC Room</v>
      </c>
      <c r="J1045" s="136" t="s">
        <v>360</v>
      </c>
      <c r="K1045" s="136" t="s">
        <v>66</v>
      </c>
      <c r="L1045" s="136" t="s">
        <v>912</v>
      </c>
      <c r="M1045" s="136">
        <f>VLOOKUP(tbl_IO_List[[#This Row],[Instruement Tag]],tbl_Instruement_List[],2,FALSE)</f>
        <v>0</v>
      </c>
      <c r="N1045" s="136" t="s">
        <v>93</v>
      </c>
      <c r="O1045" s="136" t="s">
        <v>78</v>
      </c>
      <c r="P1045" s="136" t="s">
        <v>18</v>
      </c>
      <c r="Q1045" s="136" t="str">
        <f>VLOOKUP(tbl_IO_List[[#This Row],[Instruement Tag]],tbl_Instruement_List[],6,FALSE)</f>
        <v xml:space="preserve"> Start / Stop Command for FVNR RV-61304</v>
      </c>
      <c r="R1045" s="136"/>
      <c r="S104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1045" s="136" t="str">
        <f>tbl_IO_List[[#This Row],[Instruement Tag]]&amp;"_"&amp;tbl_IO_List[[#This Row],[I/O Type]]&amp;"_"&amp;tbl_IO_List[[#This Row],[IO-Point 
(Instruement)]]</f>
        <v>RVM-61304_DO_1</v>
      </c>
      <c r="U1045" s="136" t="s">
        <v>7</v>
      </c>
      <c r="V1045" s="136">
        <f>VLOOKUP(tbl_IO_List[[#This Row],[I/O Type]],tbl_Slot_Group[],2,FALSE)</f>
        <v>2</v>
      </c>
      <c r="W1045" s="136">
        <v>1</v>
      </c>
      <c r="X1045" s="136" t="str">
        <f>tbl_IO_List[[#This Row],[Chassis]]&amp;"S"&amp;TEXT(tbl_IO_List[[#This Row],[Slot]],"00")</f>
        <v>C7S06</v>
      </c>
      <c r="Y1045" s="136" t="str">
        <f>tbl_IO_List[[#This Row],[Chassis]]&amp;"S"&amp;TEXT(tbl_IO_List[[#This Row],[Slot]],"00")&amp;tbl_IO_List[[#This Row],[I/O Type]]&amp;TEXT(tbl_IO_List[[#This Row],[Point]],"00")</f>
        <v>C7S06DO27</v>
      </c>
      <c r="Z1045" s="136" t="str">
        <f>tbl_IO_List[[#This Row],[Chassis]]&amp;"S"&amp;TEXT(tbl_IO_List[[#This Row],[Slot]],"00")&amp;","&amp;TEXT(tbl_IO_List[[#This Row],[Point]],"00")</f>
        <v>C7S06,27</v>
      </c>
      <c r="AA1045" s="136" t="e">
        <f>VLOOKUP(tbl_IO_List[[#This Row],[Column23]],tbl_RackConfig[],5,FALSE) &amp;"-"&amp;tbl_IO_List[[#This Row],[Point]]</f>
        <v>#N/A</v>
      </c>
      <c r="AB1045" s="136"/>
      <c r="AC1045" s="136"/>
      <c r="AD1045" s="136" t="str">
        <f>tbl_IO_List[[#This Row],[I/O Type]]</f>
        <v>DO</v>
      </c>
      <c r="AE1045" s="136" t="s">
        <v>1368</v>
      </c>
      <c r="AF1045" s="136">
        <v>6</v>
      </c>
      <c r="AG1045" s="136">
        <v>27</v>
      </c>
      <c r="AH1045" s="136"/>
      <c r="AI1045" s="136"/>
      <c r="AJ1045" s="136">
        <v>2</v>
      </c>
      <c r="AK1045" s="136">
        <v>2</v>
      </c>
      <c r="AL1045" s="136">
        <v>0</v>
      </c>
      <c r="AM1045" s="136">
        <v>0</v>
      </c>
      <c r="AN1045" s="136">
        <v>0</v>
      </c>
      <c r="AO1045" s="136"/>
      <c r="AP1045" s="143" t="str">
        <f>VLOOKUP(tbl_IO_List[[#This Row],[Instruement Tag]],tbl_Instruement_List[],14,FALSE)</f>
        <v>24 VDC energized</v>
      </c>
      <c r="AQ1045" s="143" t="str">
        <f>tbl_IO_List[[#This Row],[Chassis]]&amp;"S"&amp;tbl_IO_List[[#This Row],[Slot]]&amp;"-"&amp;tbl_IO_List[[#This Row],[Front Terminal Number]]</f>
        <v>C7S6-</v>
      </c>
      <c r="AR1045" s="143"/>
      <c r="AS1045" s="136" t="str">
        <f>tbl_IO_List[[#This Row],[Terminal Tagging]]&amp;"-"&amp;tbl_IO_List[[#This Row],[Point-Count]]</f>
        <v>-</v>
      </c>
      <c r="AT1045" s="136" t="str">
        <f>tbl_IO_List[[#This Row],[Front Terminal Tagging]]&amp;"/"&amp;tbl_IO_List[[#This Row],[Terminal Tagging-Item]]</f>
        <v>C7S6-/-</v>
      </c>
      <c r="AU1045" s="136" t="str">
        <f>tbl_IO_List[[#This Row],[Terminal Tagging-Item]]&amp;"/"&amp;tbl_IO_List[[#This Row],[Front Terminal Tagging]]</f>
        <v>-/C7S6-</v>
      </c>
    </row>
    <row r="1046" spans="1:47" hidden="1">
      <c r="A1046" s="136" t="s">
        <v>1307</v>
      </c>
      <c r="B1046" s="136" t="s">
        <v>1307</v>
      </c>
      <c r="C1046" s="136" t="str">
        <f>tbl_IO_List[[#This Row],[Column3]]</f>
        <v>C7S06,28</v>
      </c>
      <c r="D1046" s="136" t="e">
        <f>tbl_IO_List[[#This Row],[Card]]</f>
        <v>#N/A</v>
      </c>
      <c r="E1046" s="136"/>
      <c r="F1046" s="136" t="str">
        <f>tbl_IO_List[[#This Row],[Column23]]&amp;"-" &amp;tbl_IO_List[[#This Row],[Column52]]</f>
        <v>C7S06-</v>
      </c>
      <c r="G1046" s="136" t="str">
        <f>tbl_IO_List[[#This Row],[PLC_Tag]]</f>
        <v>RVM-61304_DO_2</v>
      </c>
      <c r="H1046" s="136"/>
      <c r="I1046" s="136" t="str">
        <f>VLOOKUP(tbl_IO_List[[#This Row],[Destination]],tbl_Junction[],2,FALSE)</f>
        <v>MCC Room</v>
      </c>
      <c r="J1046" s="136" t="s">
        <v>360</v>
      </c>
      <c r="K1046" s="136" t="s">
        <v>66</v>
      </c>
      <c r="L1046" s="136" t="s">
        <v>912</v>
      </c>
      <c r="M1046" s="136">
        <f>VLOOKUP(tbl_IO_List[[#This Row],[Instruement Tag]],tbl_Instruement_List[],2,FALSE)</f>
        <v>0</v>
      </c>
      <c r="N1046" s="136" t="s">
        <v>93</v>
      </c>
      <c r="O1046" s="136" t="s">
        <v>78</v>
      </c>
      <c r="P1046" s="136" t="s">
        <v>18</v>
      </c>
      <c r="Q1046" s="136" t="str">
        <f>VLOOKUP(tbl_IO_List[[#This Row],[Instruement Tag]],tbl_Instruement_List[],6,FALSE)</f>
        <v xml:space="preserve"> Start / Stop Command for FVNR RV-61304</v>
      </c>
      <c r="R1046" s="136"/>
      <c r="S104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1046" s="136" t="str">
        <f>tbl_IO_List[[#This Row],[Instruement Tag]]&amp;"_"&amp;tbl_IO_List[[#This Row],[I/O Type]]&amp;"_"&amp;tbl_IO_List[[#This Row],[IO-Point 
(Instruement)]]</f>
        <v>RVM-61304_DO_2</v>
      </c>
      <c r="U1046" s="136" t="s">
        <v>7</v>
      </c>
      <c r="V1046" s="136">
        <f>VLOOKUP(tbl_IO_List[[#This Row],[I/O Type]],tbl_Slot_Group[],2,FALSE)</f>
        <v>2</v>
      </c>
      <c r="W1046" s="136">
        <v>2</v>
      </c>
      <c r="X1046" s="136" t="str">
        <f>tbl_IO_List[[#This Row],[Chassis]]&amp;"S"&amp;TEXT(tbl_IO_List[[#This Row],[Slot]],"00")</f>
        <v>C7S06</v>
      </c>
      <c r="Y1046" s="136" t="str">
        <f>tbl_IO_List[[#This Row],[Chassis]]&amp;"S"&amp;TEXT(tbl_IO_List[[#This Row],[Slot]],"00")&amp;tbl_IO_List[[#This Row],[I/O Type]]&amp;TEXT(tbl_IO_List[[#This Row],[Point]],"00")</f>
        <v>C7S06DO28</v>
      </c>
      <c r="Z1046" s="136" t="str">
        <f>tbl_IO_List[[#This Row],[Chassis]]&amp;"S"&amp;TEXT(tbl_IO_List[[#This Row],[Slot]],"00")&amp;","&amp;TEXT(tbl_IO_List[[#This Row],[Point]],"00")</f>
        <v>C7S06,28</v>
      </c>
      <c r="AA1046" s="136" t="e">
        <f>VLOOKUP(tbl_IO_List[[#This Row],[Column23]],tbl_RackConfig[],5,FALSE) &amp;"-"&amp;tbl_IO_List[[#This Row],[Point]]</f>
        <v>#N/A</v>
      </c>
      <c r="AB1046" s="136"/>
      <c r="AC1046" s="136"/>
      <c r="AD1046" s="136" t="str">
        <f>tbl_IO_List[[#This Row],[I/O Type]]</f>
        <v>DO</v>
      </c>
      <c r="AE1046" s="136" t="s">
        <v>1368</v>
      </c>
      <c r="AF1046" s="136">
        <v>6</v>
      </c>
      <c r="AG1046" s="136">
        <v>28</v>
      </c>
      <c r="AH1046" s="136"/>
      <c r="AI1046" s="136"/>
      <c r="AJ1046" s="136">
        <v>2</v>
      </c>
      <c r="AK1046" s="136">
        <v>2</v>
      </c>
      <c r="AL1046" s="136">
        <v>0</v>
      </c>
      <c r="AM1046" s="136">
        <v>0</v>
      </c>
      <c r="AN1046" s="136">
        <v>0</v>
      </c>
      <c r="AO1046" s="136"/>
      <c r="AP1046" s="143" t="str">
        <f>VLOOKUP(tbl_IO_List[[#This Row],[Instruement Tag]],tbl_Instruement_List[],14,FALSE)</f>
        <v>24 VDC energized</v>
      </c>
      <c r="AQ1046" s="143" t="str">
        <f>tbl_IO_List[[#This Row],[Chassis]]&amp;"S"&amp;tbl_IO_List[[#This Row],[Slot]]&amp;"-"&amp;tbl_IO_List[[#This Row],[Front Terminal Number]]</f>
        <v>C7S6-</v>
      </c>
      <c r="AR1046" s="143"/>
      <c r="AS1046" s="136" t="str">
        <f>tbl_IO_List[[#This Row],[Terminal Tagging]]&amp;"-"&amp;tbl_IO_List[[#This Row],[Point-Count]]</f>
        <v>-</v>
      </c>
      <c r="AT1046" s="136" t="str">
        <f>tbl_IO_List[[#This Row],[Front Terminal Tagging]]&amp;"/"&amp;tbl_IO_List[[#This Row],[Terminal Tagging-Item]]</f>
        <v>C7S6-/-</v>
      </c>
      <c r="AU1046" s="136" t="str">
        <f>tbl_IO_List[[#This Row],[Terminal Tagging-Item]]&amp;"/"&amp;tbl_IO_List[[#This Row],[Front Terminal Tagging]]</f>
        <v>-/C7S6-</v>
      </c>
    </row>
    <row r="1047" spans="1:47" hidden="1">
      <c r="A1047" s="136" t="s">
        <v>1307</v>
      </c>
      <c r="B1047" s="136" t="s">
        <v>1307</v>
      </c>
      <c r="C1047" s="136" t="str">
        <f>tbl_IO_List[[#This Row],[Column3]]</f>
        <v>C7S06,29</v>
      </c>
      <c r="D1047" s="136" t="e">
        <f>tbl_IO_List[[#This Row],[Card]]</f>
        <v>#N/A</v>
      </c>
      <c r="E1047" s="136"/>
      <c r="F1047" s="136" t="str">
        <f>tbl_IO_List[[#This Row],[Column23]]&amp;"-" &amp;tbl_IO_List[[#This Row],[Column52]]</f>
        <v>C7S06-</v>
      </c>
      <c r="G1047" s="136" t="str">
        <f>tbl_IO_List[[#This Row],[PLC_Tag]]</f>
        <v>RVM-61305_DO_1</v>
      </c>
      <c r="H1047" s="136"/>
      <c r="I1047" s="136" t="str">
        <f>VLOOKUP(tbl_IO_List[[#This Row],[Destination]],tbl_Junction[],2,FALSE)</f>
        <v>MCC Room</v>
      </c>
      <c r="J1047" s="136" t="s">
        <v>360</v>
      </c>
      <c r="K1047" s="136" t="s">
        <v>66</v>
      </c>
      <c r="L1047" s="136" t="s">
        <v>914</v>
      </c>
      <c r="M1047" s="136">
        <f>VLOOKUP(tbl_IO_List[[#This Row],[Instruement Tag]],tbl_Instruement_List[],2,FALSE)</f>
        <v>0</v>
      </c>
      <c r="N1047" s="136" t="s">
        <v>93</v>
      </c>
      <c r="O1047" s="136" t="s">
        <v>78</v>
      </c>
      <c r="P1047" s="136" t="s">
        <v>18</v>
      </c>
      <c r="Q1047" s="136" t="str">
        <f>VLOOKUP(tbl_IO_List[[#This Row],[Instruement Tag]],tbl_Instruement_List[],6,FALSE)</f>
        <v xml:space="preserve"> Start / Stop Command for FVNR RV-61305</v>
      </c>
      <c r="R1047" s="136"/>
      <c r="S104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1047" s="136" t="str">
        <f>tbl_IO_List[[#This Row],[Instruement Tag]]&amp;"_"&amp;tbl_IO_List[[#This Row],[I/O Type]]&amp;"_"&amp;tbl_IO_List[[#This Row],[IO-Point 
(Instruement)]]</f>
        <v>RVM-61305_DO_1</v>
      </c>
      <c r="U1047" s="136" t="s">
        <v>7</v>
      </c>
      <c r="V1047" s="136">
        <f>VLOOKUP(tbl_IO_List[[#This Row],[I/O Type]],tbl_Slot_Group[],2,FALSE)</f>
        <v>2</v>
      </c>
      <c r="W1047" s="136">
        <v>1</v>
      </c>
      <c r="X1047" s="136" t="str">
        <f>tbl_IO_List[[#This Row],[Chassis]]&amp;"S"&amp;TEXT(tbl_IO_List[[#This Row],[Slot]],"00")</f>
        <v>C7S06</v>
      </c>
      <c r="Y1047" s="136" t="str">
        <f>tbl_IO_List[[#This Row],[Chassis]]&amp;"S"&amp;TEXT(tbl_IO_List[[#This Row],[Slot]],"00")&amp;tbl_IO_List[[#This Row],[I/O Type]]&amp;TEXT(tbl_IO_List[[#This Row],[Point]],"00")</f>
        <v>C7S06DO29</v>
      </c>
      <c r="Z1047" s="136" t="str">
        <f>tbl_IO_List[[#This Row],[Chassis]]&amp;"S"&amp;TEXT(tbl_IO_List[[#This Row],[Slot]],"00")&amp;","&amp;TEXT(tbl_IO_List[[#This Row],[Point]],"00")</f>
        <v>C7S06,29</v>
      </c>
      <c r="AA1047" s="136" t="e">
        <f>VLOOKUP(tbl_IO_List[[#This Row],[Column23]],tbl_RackConfig[],5,FALSE) &amp;"-"&amp;tbl_IO_List[[#This Row],[Point]]</f>
        <v>#N/A</v>
      </c>
      <c r="AB1047" s="136"/>
      <c r="AC1047" s="136"/>
      <c r="AD1047" s="136" t="str">
        <f>tbl_IO_List[[#This Row],[I/O Type]]</f>
        <v>DO</v>
      </c>
      <c r="AE1047" s="136" t="s">
        <v>1368</v>
      </c>
      <c r="AF1047" s="136">
        <v>6</v>
      </c>
      <c r="AG1047" s="136">
        <v>29</v>
      </c>
      <c r="AH1047" s="136"/>
      <c r="AI1047" s="136"/>
      <c r="AJ1047" s="136">
        <v>2</v>
      </c>
      <c r="AK1047" s="136">
        <v>2</v>
      </c>
      <c r="AL1047" s="136">
        <v>0</v>
      </c>
      <c r="AM1047" s="136">
        <v>0</v>
      </c>
      <c r="AN1047" s="136">
        <v>0</v>
      </c>
      <c r="AO1047" s="136"/>
      <c r="AP1047" s="143" t="str">
        <f>VLOOKUP(tbl_IO_List[[#This Row],[Instruement Tag]],tbl_Instruement_List[],14,FALSE)</f>
        <v>24 VDC energized</v>
      </c>
      <c r="AQ1047" s="143" t="str">
        <f>tbl_IO_List[[#This Row],[Chassis]]&amp;"S"&amp;tbl_IO_List[[#This Row],[Slot]]&amp;"-"&amp;tbl_IO_List[[#This Row],[Front Terminal Number]]</f>
        <v>C7S6-</v>
      </c>
      <c r="AR1047" s="143"/>
      <c r="AS1047" s="136" t="str">
        <f>tbl_IO_List[[#This Row],[Terminal Tagging]]&amp;"-"&amp;tbl_IO_List[[#This Row],[Point-Count]]</f>
        <v>-</v>
      </c>
      <c r="AT1047" s="136" t="str">
        <f>tbl_IO_List[[#This Row],[Front Terminal Tagging]]&amp;"/"&amp;tbl_IO_List[[#This Row],[Terminal Tagging-Item]]</f>
        <v>C7S6-/-</v>
      </c>
      <c r="AU1047" s="136" t="str">
        <f>tbl_IO_List[[#This Row],[Terminal Tagging-Item]]&amp;"/"&amp;tbl_IO_List[[#This Row],[Front Terminal Tagging]]</f>
        <v>-/C7S6-</v>
      </c>
    </row>
    <row r="1048" spans="1:47" hidden="1">
      <c r="A1048" s="136" t="s">
        <v>1307</v>
      </c>
      <c r="B1048" s="136" t="s">
        <v>1307</v>
      </c>
      <c r="C1048" s="136" t="str">
        <f>tbl_IO_List[[#This Row],[Column3]]</f>
        <v>C7S06,30</v>
      </c>
      <c r="D1048" s="136" t="e">
        <f>tbl_IO_List[[#This Row],[Card]]</f>
        <v>#N/A</v>
      </c>
      <c r="E1048" s="136"/>
      <c r="F1048" s="136" t="str">
        <f>tbl_IO_List[[#This Row],[Column23]]&amp;"-" &amp;tbl_IO_List[[#This Row],[Column52]]</f>
        <v>C7S06-</v>
      </c>
      <c r="G1048" s="136" t="str">
        <f>tbl_IO_List[[#This Row],[PLC_Tag]]</f>
        <v>RVM-61305_DO_2</v>
      </c>
      <c r="H1048" s="136"/>
      <c r="I1048" s="136" t="str">
        <f>VLOOKUP(tbl_IO_List[[#This Row],[Destination]],tbl_Junction[],2,FALSE)</f>
        <v>MCC Room</v>
      </c>
      <c r="J1048" s="136" t="s">
        <v>360</v>
      </c>
      <c r="K1048" s="136" t="s">
        <v>66</v>
      </c>
      <c r="L1048" s="136" t="s">
        <v>914</v>
      </c>
      <c r="M1048" s="136">
        <f>VLOOKUP(tbl_IO_List[[#This Row],[Instruement Tag]],tbl_Instruement_List[],2,FALSE)</f>
        <v>0</v>
      </c>
      <c r="N1048" s="136" t="s">
        <v>93</v>
      </c>
      <c r="O1048" s="136" t="s">
        <v>78</v>
      </c>
      <c r="P1048" s="136" t="s">
        <v>18</v>
      </c>
      <c r="Q1048" s="136" t="str">
        <f>VLOOKUP(tbl_IO_List[[#This Row],[Instruement Tag]],tbl_Instruement_List[],6,FALSE)</f>
        <v xml:space="preserve"> Start / Stop Command for FVNR RV-61305</v>
      </c>
      <c r="R1048" s="136"/>
      <c r="S104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2,DO=2,AI=0,AO=0,Bus=0</v>
      </c>
      <c r="T1048" s="136" t="str">
        <f>tbl_IO_List[[#This Row],[Instruement Tag]]&amp;"_"&amp;tbl_IO_List[[#This Row],[I/O Type]]&amp;"_"&amp;tbl_IO_List[[#This Row],[IO-Point 
(Instruement)]]</f>
        <v>RVM-61305_DO_2</v>
      </c>
      <c r="U1048" s="136" t="s">
        <v>7</v>
      </c>
      <c r="V1048" s="136">
        <f>VLOOKUP(tbl_IO_List[[#This Row],[I/O Type]],tbl_Slot_Group[],2,FALSE)</f>
        <v>2</v>
      </c>
      <c r="W1048" s="136">
        <v>2</v>
      </c>
      <c r="X1048" s="136" t="str">
        <f>tbl_IO_List[[#This Row],[Chassis]]&amp;"S"&amp;TEXT(tbl_IO_List[[#This Row],[Slot]],"00")</f>
        <v>C7S06</v>
      </c>
      <c r="Y1048" s="136" t="str">
        <f>tbl_IO_List[[#This Row],[Chassis]]&amp;"S"&amp;TEXT(tbl_IO_List[[#This Row],[Slot]],"00")&amp;tbl_IO_List[[#This Row],[I/O Type]]&amp;TEXT(tbl_IO_List[[#This Row],[Point]],"00")</f>
        <v>C7S06DO30</v>
      </c>
      <c r="Z1048" s="136" t="str">
        <f>tbl_IO_List[[#This Row],[Chassis]]&amp;"S"&amp;TEXT(tbl_IO_List[[#This Row],[Slot]],"00")&amp;","&amp;TEXT(tbl_IO_List[[#This Row],[Point]],"00")</f>
        <v>C7S06,30</v>
      </c>
      <c r="AA1048" s="136" t="e">
        <f>VLOOKUP(tbl_IO_List[[#This Row],[Column23]],tbl_RackConfig[],5,FALSE) &amp;"-"&amp;tbl_IO_List[[#This Row],[Point]]</f>
        <v>#N/A</v>
      </c>
      <c r="AB1048" s="136"/>
      <c r="AC1048" s="136"/>
      <c r="AD1048" s="136" t="str">
        <f>tbl_IO_List[[#This Row],[I/O Type]]</f>
        <v>DO</v>
      </c>
      <c r="AE1048" s="136" t="s">
        <v>1368</v>
      </c>
      <c r="AF1048" s="136">
        <v>6</v>
      </c>
      <c r="AG1048" s="136">
        <v>30</v>
      </c>
      <c r="AH1048" s="136"/>
      <c r="AI1048" s="136"/>
      <c r="AJ1048" s="136">
        <v>2</v>
      </c>
      <c r="AK1048" s="136">
        <v>2</v>
      </c>
      <c r="AL1048" s="136">
        <v>0</v>
      </c>
      <c r="AM1048" s="136">
        <v>0</v>
      </c>
      <c r="AN1048" s="136">
        <v>0</v>
      </c>
      <c r="AO1048" s="136"/>
      <c r="AP1048" s="143" t="str">
        <f>VLOOKUP(tbl_IO_List[[#This Row],[Instruement Tag]],tbl_Instruement_List[],14,FALSE)</f>
        <v>24 VDC energized</v>
      </c>
      <c r="AQ1048" s="143" t="str">
        <f>tbl_IO_List[[#This Row],[Chassis]]&amp;"S"&amp;tbl_IO_List[[#This Row],[Slot]]&amp;"-"&amp;tbl_IO_List[[#This Row],[Front Terminal Number]]</f>
        <v>C7S6-</v>
      </c>
      <c r="AR1048" s="143"/>
      <c r="AS1048" s="136" t="str">
        <f>tbl_IO_List[[#This Row],[Terminal Tagging]]&amp;"-"&amp;tbl_IO_List[[#This Row],[Point-Count]]</f>
        <v>-</v>
      </c>
      <c r="AT1048" s="136" t="str">
        <f>tbl_IO_List[[#This Row],[Front Terminal Tagging]]&amp;"/"&amp;tbl_IO_List[[#This Row],[Terminal Tagging-Item]]</f>
        <v>C7S6-/-</v>
      </c>
      <c r="AU1048" s="136" t="str">
        <f>tbl_IO_List[[#This Row],[Terminal Tagging-Item]]&amp;"/"&amp;tbl_IO_List[[#This Row],[Front Terminal Tagging]]</f>
        <v>-/C7S6-</v>
      </c>
    </row>
    <row r="1049" spans="1:47" hidden="1">
      <c r="A1049" s="136" t="s">
        <v>1307</v>
      </c>
      <c r="B1049" s="136" t="s">
        <v>191</v>
      </c>
      <c r="C1049" s="136" t="str">
        <f>tbl_IO_List[[#This Row],[Column3]]</f>
        <v>C7S06,31</v>
      </c>
      <c r="D1049" s="136" t="e">
        <f>tbl_IO_List[[#This Row],[Card]]</f>
        <v>#N/A</v>
      </c>
      <c r="E1049" s="136"/>
      <c r="F1049" s="136" t="str">
        <f>tbl_IO_List[[#This Row],[Column23]]&amp;"-" &amp;tbl_IO_List[[#This Row],[Column52]]</f>
        <v>C7S06-</v>
      </c>
      <c r="G1049" s="136" t="str">
        <f>tbl_IO_List[[#This Row],[PLC_Tag]]</f>
        <v>PCY-60205_DO_1</v>
      </c>
      <c r="H1049" s="136"/>
      <c r="I1049" s="136" t="str">
        <f>VLOOKUP(tbl_IO_List[[#This Row],[Destination]],tbl_Junction[],2,FALSE)</f>
        <v>Spray Dryer 1st Floor</v>
      </c>
      <c r="J1049" s="136" t="s">
        <v>1307</v>
      </c>
      <c r="K1049" s="136" t="s">
        <v>14</v>
      </c>
      <c r="L1049" s="136" t="s">
        <v>1381</v>
      </c>
      <c r="M1049" s="136" t="e">
        <f>VLOOKUP(tbl_IO_List[[#This Row],[Instruement Tag]],tbl_Instruement_List[],2,FALSE)</f>
        <v>#N/A</v>
      </c>
      <c r="N1049" s="136" t="s">
        <v>15</v>
      </c>
      <c r="O1049" s="136" t="s">
        <v>126</v>
      </c>
      <c r="P1049" s="136" t="s">
        <v>18</v>
      </c>
      <c r="Q1049" s="136" t="e">
        <f>VLOOKUP(tbl_IO_List[[#This Row],[Instruement Tag]],tbl_Instruement_List[],6,FALSE)</f>
        <v>#N/A</v>
      </c>
      <c r="R1049" s="136"/>
      <c r="S104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3,DO=1,AI=0,AO=0,Bus=1</v>
      </c>
      <c r="T1049" s="136" t="str">
        <f>tbl_IO_List[[#This Row],[Instruement Tag]]&amp;"_"&amp;tbl_IO_List[[#This Row],[I/O Type]]&amp;"_"&amp;tbl_IO_List[[#This Row],[IO-Point 
(Instruement)]]</f>
        <v>PCY-60205_DO_1</v>
      </c>
      <c r="U1049" s="136" t="s">
        <v>7</v>
      </c>
      <c r="V1049" s="136">
        <f>VLOOKUP(tbl_IO_List[[#This Row],[I/O Type]],tbl_Slot_Group[],2,FALSE)</f>
        <v>2</v>
      </c>
      <c r="W1049" s="136">
        <v>1</v>
      </c>
      <c r="X1049" s="136" t="str">
        <f>tbl_IO_List[[#This Row],[Chassis]]&amp;"S"&amp;TEXT(tbl_IO_List[[#This Row],[Slot]],"00")</f>
        <v>C7S06</v>
      </c>
      <c r="Y1049" s="136" t="str">
        <f>tbl_IO_List[[#This Row],[Chassis]]&amp;"S"&amp;TEXT(tbl_IO_List[[#This Row],[Slot]],"00")&amp;tbl_IO_List[[#This Row],[I/O Type]]&amp;TEXT(tbl_IO_List[[#This Row],[Point]],"00")</f>
        <v>C7S06DO31</v>
      </c>
      <c r="Z1049" s="136" t="str">
        <f>tbl_IO_List[[#This Row],[Chassis]]&amp;"S"&amp;TEXT(tbl_IO_List[[#This Row],[Slot]],"00")&amp;","&amp;TEXT(tbl_IO_List[[#This Row],[Point]],"00")</f>
        <v>C7S06,31</v>
      </c>
      <c r="AA1049" s="136" t="e">
        <f>VLOOKUP(tbl_IO_List[[#This Row],[Column23]],tbl_RackConfig[],5,FALSE) &amp;"-"&amp;tbl_IO_List[[#This Row],[Point]]</f>
        <v>#N/A</v>
      </c>
      <c r="AB1049" s="136"/>
      <c r="AC1049" s="136"/>
      <c r="AD1049" s="136" t="str">
        <f>tbl_IO_List[[#This Row],[I/O Type]]</f>
        <v>DO</v>
      </c>
      <c r="AE1049" s="136" t="s">
        <v>1368</v>
      </c>
      <c r="AF1049" s="136">
        <v>6</v>
      </c>
      <c r="AG1049" s="136">
        <v>31</v>
      </c>
      <c r="AH1049" s="136"/>
      <c r="AI1049" s="136"/>
      <c r="AJ1049" s="136">
        <v>3</v>
      </c>
      <c r="AK1049" s="136">
        <v>1</v>
      </c>
      <c r="AL1049" s="136">
        <v>0</v>
      </c>
      <c r="AM1049" s="136">
        <v>0</v>
      </c>
      <c r="AN1049" s="136">
        <v>1</v>
      </c>
      <c r="AO1049" s="136"/>
      <c r="AP1049" s="143" t="e">
        <f>VLOOKUP(tbl_IO_List[[#This Row],[Instruement Tag]],tbl_Instruement_List[],14,FALSE)</f>
        <v>#N/A</v>
      </c>
      <c r="AQ1049" s="143" t="str">
        <f>tbl_IO_List[[#This Row],[Chassis]]&amp;"S"&amp;tbl_IO_List[[#This Row],[Slot]]&amp;"-"&amp;tbl_IO_List[[#This Row],[Front Terminal Number]]</f>
        <v>C7S6-</v>
      </c>
      <c r="AR1049" s="143"/>
      <c r="AS1049" s="136" t="str">
        <f>tbl_IO_List[[#This Row],[Terminal Tagging]]&amp;"-"&amp;tbl_IO_List[[#This Row],[Point-Count]]</f>
        <v>-</v>
      </c>
      <c r="AT1049" s="136" t="str">
        <f>tbl_IO_List[[#This Row],[Front Terminal Tagging]]&amp;"/"&amp;tbl_IO_List[[#This Row],[Terminal Tagging-Item]]</f>
        <v>C7S6-/-</v>
      </c>
      <c r="AU1049" s="136" t="str">
        <f>tbl_IO_List[[#This Row],[Terminal Tagging-Item]]&amp;"/"&amp;tbl_IO_List[[#This Row],[Front Terminal Tagging]]</f>
        <v>-/C7S6-</v>
      </c>
    </row>
    <row r="1050" spans="1:47" hidden="1">
      <c r="A1050" s="136" t="s">
        <v>1307</v>
      </c>
      <c r="B1050" s="136" t="s">
        <v>1307</v>
      </c>
      <c r="C1050" s="136" t="str">
        <f>tbl_IO_List[[#This Row],[Column3]]</f>
        <v>C7S07,08</v>
      </c>
      <c r="D1050" s="136" t="e">
        <f>tbl_IO_List[[#This Row],[Card]]</f>
        <v>#N/A</v>
      </c>
      <c r="E1050" s="136"/>
      <c r="F1050" s="136" t="str">
        <f>tbl_IO_List[[#This Row],[Column23]]&amp;"-" &amp;tbl_IO_List[[#This Row],[Column52]]</f>
        <v>C7S07-</v>
      </c>
      <c r="G1050" s="136" t="str">
        <f>tbl_IO_List[[#This Row],[PLC_Tag]]</f>
        <v>Spare_DO_0</v>
      </c>
      <c r="H1050" s="136"/>
      <c r="I1050" s="136" t="str">
        <f>VLOOKUP(tbl_IO_List[[#This Row],[Destination]],tbl_Junction[],2,FALSE)</f>
        <v>MCC Room</v>
      </c>
      <c r="J1050" s="136"/>
      <c r="K1050" s="136"/>
      <c r="L1050" s="136" t="s">
        <v>411</v>
      </c>
      <c r="M1050" s="136" t="e">
        <f>VLOOKUP(tbl_IO_List[[#This Row],[Instruement Tag]],tbl_Instruement_List[],2,FALSE)</f>
        <v>#N/A</v>
      </c>
      <c r="N1050" s="136"/>
      <c r="O1050" s="136"/>
      <c r="P1050" s="136"/>
      <c r="Q1050" s="136" t="e">
        <f>VLOOKUP(tbl_IO_List[[#This Row],[Instruement Tag]],tbl_Instruement_List[],6,FALSE)</f>
        <v>#N/A</v>
      </c>
      <c r="R1050" s="136"/>
      <c r="S105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050" s="136" t="str">
        <f>tbl_IO_List[[#This Row],[Instruement Tag]]&amp;"_"&amp;tbl_IO_List[[#This Row],[I/O Type]]&amp;"_"&amp;tbl_IO_List[[#This Row],[IO-Point 
(Instruement)]]</f>
        <v>Spare_DO_0</v>
      </c>
      <c r="U1050" s="136" t="s">
        <v>7</v>
      </c>
      <c r="V1050" s="136">
        <f>VLOOKUP(tbl_IO_List[[#This Row],[I/O Type]],tbl_Slot_Group[],2,FALSE)</f>
        <v>2</v>
      </c>
      <c r="W1050" s="136">
        <v>0</v>
      </c>
      <c r="X1050" s="136" t="str">
        <f>tbl_IO_List[[#This Row],[Chassis]]&amp;"S"&amp;TEXT(tbl_IO_List[[#This Row],[Slot]],"00")</f>
        <v>C7S07</v>
      </c>
      <c r="Y1050" s="136" t="str">
        <f>tbl_IO_List[[#This Row],[Chassis]]&amp;"S"&amp;TEXT(tbl_IO_List[[#This Row],[Slot]],"00")&amp;tbl_IO_List[[#This Row],[I/O Type]]&amp;TEXT(tbl_IO_List[[#This Row],[Point]],"00")</f>
        <v>C7S07DO08</v>
      </c>
      <c r="Z1050" s="136" t="str">
        <f>tbl_IO_List[[#This Row],[Chassis]]&amp;"S"&amp;TEXT(tbl_IO_List[[#This Row],[Slot]],"00")&amp;","&amp;TEXT(tbl_IO_List[[#This Row],[Point]],"00")</f>
        <v>C7S07,08</v>
      </c>
      <c r="AA1050" s="136" t="e">
        <f>VLOOKUP(tbl_IO_List[[#This Row],[Column23]],tbl_RackConfig[],5,FALSE) &amp;"-"&amp;tbl_IO_List[[#This Row],[Point]]</f>
        <v>#N/A</v>
      </c>
      <c r="AB1050" s="136"/>
      <c r="AC1050" s="136"/>
      <c r="AD1050" s="136" t="str">
        <f>tbl_IO_List[[#This Row],[I/O Type]]</f>
        <v>DO</v>
      </c>
      <c r="AE1050" s="136" t="s">
        <v>1368</v>
      </c>
      <c r="AF1050" s="136">
        <v>7</v>
      </c>
      <c r="AG1050" s="136">
        <v>8</v>
      </c>
      <c r="AH1050" s="136"/>
      <c r="AI1050" s="136"/>
      <c r="AJ1050" s="136">
        <v>0</v>
      </c>
      <c r="AK1050" s="136">
        <v>1</v>
      </c>
      <c r="AL1050" s="136">
        <v>0</v>
      </c>
      <c r="AM1050" s="136">
        <v>0</v>
      </c>
      <c r="AN1050" s="136">
        <v>0</v>
      </c>
      <c r="AO1050" s="136"/>
      <c r="AP1050" s="143"/>
      <c r="AQ1050" s="143" t="str">
        <f>tbl_IO_List[[#This Row],[Chassis]]&amp;"S"&amp;tbl_IO_List[[#This Row],[Slot]]&amp;"-"&amp;tbl_IO_List[[#This Row],[Front Terminal Number]]</f>
        <v>C7S7-</v>
      </c>
      <c r="AR1050" s="143"/>
      <c r="AS1050" s="136" t="str">
        <f>tbl_IO_List[[#This Row],[Terminal Tagging]]&amp;"-"&amp;tbl_IO_List[[#This Row],[Point-Count]]</f>
        <v>-</v>
      </c>
      <c r="AT1050" s="136" t="str">
        <f>tbl_IO_List[[#This Row],[Front Terminal Tagging]]&amp;"/"&amp;tbl_IO_List[[#This Row],[Terminal Tagging-Item]]</f>
        <v>C7S7-/-</v>
      </c>
      <c r="AU1050" s="136" t="str">
        <f>tbl_IO_List[[#This Row],[Terminal Tagging-Item]]&amp;"/"&amp;tbl_IO_List[[#This Row],[Front Terminal Tagging]]</f>
        <v>-/C7S7-</v>
      </c>
    </row>
    <row r="1051" spans="1:47" hidden="1">
      <c r="A1051" s="136" t="s">
        <v>1307</v>
      </c>
      <c r="B1051" s="136" t="s">
        <v>1307</v>
      </c>
      <c r="C1051" s="136" t="str">
        <f>tbl_IO_List[[#This Row],[Column3]]</f>
        <v>C7S07,09</v>
      </c>
      <c r="D1051" s="136" t="e">
        <f>tbl_IO_List[[#This Row],[Card]]</f>
        <v>#N/A</v>
      </c>
      <c r="E1051" s="136"/>
      <c r="F1051" s="136" t="str">
        <f>tbl_IO_List[[#This Row],[Column23]]&amp;"-" &amp;tbl_IO_List[[#This Row],[Column52]]</f>
        <v>C7S07-</v>
      </c>
      <c r="G1051" s="136" t="str">
        <f>tbl_IO_List[[#This Row],[PLC_Tag]]</f>
        <v>Spare_DO_0</v>
      </c>
      <c r="H1051" s="136"/>
      <c r="I1051" s="136" t="str">
        <f>VLOOKUP(tbl_IO_List[[#This Row],[Destination]],tbl_Junction[],2,FALSE)</f>
        <v>MCC Room</v>
      </c>
      <c r="J1051" s="136"/>
      <c r="K1051" s="136"/>
      <c r="L1051" s="136" t="s">
        <v>411</v>
      </c>
      <c r="M1051" s="136" t="e">
        <f>VLOOKUP(tbl_IO_List[[#This Row],[Instruement Tag]],tbl_Instruement_List[],2,FALSE)</f>
        <v>#N/A</v>
      </c>
      <c r="N1051" s="136"/>
      <c r="O1051" s="136"/>
      <c r="P1051" s="136"/>
      <c r="Q1051" s="136" t="e">
        <f>VLOOKUP(tbl_IO_List[[#This Row],[Instruement Tag]],tbl_Instruement_List[],6,FALSE)</f>
        <v>#N/A</v>
      </c>
      <c r="R1051" s="136"/>
      <c r="S105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051" s="136" t="str">
        <f>tbl_IO_List[[#This Row],[Instruement Tag]]&amp;"_"&amp;tbl_IO_List[[#This Row],[I/O Type]]&amp;"_"&amp;tbl_IO_List[[#This Row],[IO-Point 
(Instruement)]]</f>
        <v>Spare_DO_0</v>
      </c>
      <c r="U1051" s="136" t="s">
        <v>7</v>
      </c>
      <c r="V1051" s="136">
        <f>VLOOKUP(tbl_IO_List[[#This Row],[I/O Type]],tbl_Slot_Group[],2,FALSE)</f>
        <v>2</v>
      </c>
      <c r="W1051" s="136">
        <v>0</v>
      </c>
      <c r="X1051" s="136" t="str">
        <f>tbl_IO_List[[#This Row],[Chassis]]&amp;"S"&amp;TEXT(tbl_IO_List[[#This Row],[Slot]],"00")</f>
        <v>C7S07</v>
      </c>
      <c r="Y1051" s="136" t="str">
        <f>tbl_IO_List[[#This Row],[Chassis]]&amp;"S"&amp;TEXT(tbl_IO_List[[#This Row],[Slot]],"00")&amp;tbl_IO_List[[#This Row],[I/O Type]]&amp;TEXT(tbl_IO_List[[#This Row],[Point]],"00")</f>
        <v>C7S07DO09</v>
      </c>
      <c r="Z1051" s="136" t="str">
        <f>tbl_IO_List[[#This Row],[Chassis]]&amp;"S"&amp;TEXT(tbl_IO_List[[#This Row],[Slot]],"00")&amp;","&amp;TEXT(tbl_IO_List[[#This Row],[Point]],"00")</f>
        <v>C7S07,09</v>
      </c>
      <c r="AA1051" s="136" t="e">
        <f>VLOOKUP(tbl_IO_List[[#This Row],[Column23]],tbl_RackConfig[],5,FALSE) &amp;"-"&amp;tbl_IO_List[[#This Row],[Point]]</f>
        <v>#N/A</v>
      </c>
      <c r="AB1051" s="136"/>
      <c r="AC1051" s="136"/>
      <c r="AD1051" s="136" t="str">
        <f>tbl_IO_List[[#This Row],[I/O Type]]</f>
        <v>DO</v>
      </c>
      <c r="AE1051" s="136" t="s">
        <v>1368</v>
      </c>
      <c r="AF1051" s="136">
        <v>7</v>
      </c>
      <c r="AG1051" s="136">
        <v>9</v>
      </c>
      <c r="AH1051" s="136"/>
      <c r="AI1051" s="136"/>
      <c r="AJ1051" s="136">
        <v>0</v>
      </c>
      <c r="AK1051" s="136">
        <v>1</v>
      </c>
      <c r="AL1051" s="136">
        <v>0</v>
      </c>
      <c r="AM1051" s="136">
        <v>0</v>
      </c>
      <c r="AN1051" s="136">
        <v>0</v>
      </c>
      <c r="AO1051" s="136"/>
      <c r="AP1051" s="143"/>
      <c r="AQ1051" s="143" t="str">
        <f>tbl_IO_List[[#This Row],[Chassis]]&amp;"S"&amp;tbl_IO_List[[#This Row],[Slot]]&amp;"-"&amp;tbl_IO_List[[#This Row],[Front Terminal Number]]</f>
        <v>C7S7-</v>
      </c>
      <c r="AR1051" s="143"/>
      <c r="AS1051" s="136" t="str">
        <f>tbl_IO_List[[#This Row],[Terminal Tagging]]&amp;"-"&amp;tbl_IO_List[[#This Row],[Point-Count]]</f>
        <v>-</v>
      </c>
      <c r="AT1051" s="136" t="str">
        <f>tbl_IO_List[[#This Row],[Front Terminal Tagging]]&amp;"/"&amp;tbl_IO_List[[#This Row],[Terminal Tagging-Item]]</f>
        <v>C7S7-/-</v>
      </c>
      <c r="AU1051" s="136" t="str">
        <f>tbl_IO_List[[#This Row],[Terminal Tagging-Item]]&amp;"/"&amp;tbl_IO_List[[#This Row],[Front Terminal Tagging]]</f>
        <v>-/C7S7-</v>
      </c>
    </row>
    <row r="1052" spans="1:47" hidden="1">
      <c r="A1052" s="136" t="s">
        <v>1307</v>
      </c>
      <c r="B1052" s="136" t="s">
        <v>1307</v>
      </c>
      <c r="C1052" s="136" t="str">
        <f>tbl_IO_List[[#This Row],[Column3]]</f>
        <v>C7S07,10</v>
      </c>
      <c r="D1052" s="136" t="e">
        <f>tbl_IO_List[[#This Row],[Card]]</f>
        <v>#N/A</v>
      </c>
      <c r="E1052" s="136"/>
      <c r="F1052" s="136" t="str">
        <f>tbl_IO_List[[#This Row],[Column23]]&amp;"-" &amp;tbl_IO_List[[#This Row],[Column52]]</f>
        <v>C7S07-</v>
      </c>
      <c r="G1052" s="136" t="str">
        <f>tbl_IO_List[[#This Row],[PLC_Tag]]</f>
        <v>Spare_DO_0</v>
      </c>
      <c r="H1052" s="136"/>
      <c r="I1052" s="136" t="str">
        <f>VLOOKUP(tbl_IO_List[[#This Row],[Destination]],tbl_Junction[],2,FALSE)</f>
        <v>MCC Room</v>
      </c>
      <c r="J1052" s="136"/>
      <c r="K1052" s="136"/>
      <c r="L1052" s="136" t="s">
        <v>411</v>
      </c>
      <c r="M1052" s="136" t="e">
        <f>VLOOKUP(tbl_IO_List[[#This Row],[Instruement Tag]],tbl_Instruement_List[],2,FALSE)</f>
        <v>#N/A</v>
      </c>
      <c r="N1052" s="136"/>
      <c r="O1052" s="136"/>
      <c r="P1052" s="136"/>
      <c r="Q1052" s="136" t="e">
        <f>VLOOKUP(tbl_IO_List[[#This Row],[Instruement Tag]],tbl_Instruement_List[],6,FALSE)</f>
        <v>#N/A</v>
      </c>
      <c r="R1052" s="136"/>
      <c r="S105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052" s="136" t="str">
        <f>tbl_IO_List[[#This Row],[Instruement Tag]]&amp;"_"&amp;tbl_IO_List[[#This Row],[I/O Type]]&amp;"_"&amp;tbl_IO_List[[#This Row],[IO-Point 
(Instruement)]]</f>
        <v>Spare_DO_0</v>
      </c>
      <c r="U1052" s="136" t="s">
        <v>7</v>
      </c>
      <c r="V1052" s="136">
        <f>VLOOKUP(tbl_IO_List[[#This Row],[I/O Type]],tbl_Slot_Group[],2,FALSE)</f>
        <v>2</v>
      </c>
      <c r="W1052" s="136">
        <v>0</v>
      </c>
      <c r="X1052" s="136" t="str">
        <f>tbl_IO_List[[#This Row],[Chassis]]&amp;"S"&amp;TEXT(tbl_IO_List[[#This Row],[Slot]],"00")</f>
        <v>C7S07</v>
      </c>
      <c r="Y1052" s="136" t="str">
        <f>tbl_IO_List[[#This Row],[Chassis]]&amp;"S"&amp;TEXT(tbl_IO_List[[#This Row],[Slot]],"00")&amp;tbl_IO_List[[#This Row],[I/O Type]]&amp;TEXT(tbl_IO_List[[#This Row],[Point]],"00")</f>
        <v>C7S07DO10</v>
      </c>
      <c r="Z1052" s="136" t="str">
        <f>tbl_IO_List[[#This Row],[Chassis]]&amp;"S"&amp;TEXT(tbl_IO_List[[#This Row],[Slot]],"00")&amp;","&amp;TEXT(tbl_IO_List[[#This Row],[Point]],"00")</f>
        <v>C7S07,10</v>
      </c>
      <c r="AA1052" s="136" t="e">
        <f>VLOOKUP(tbl_IO_List[[#This Row],[Column23]],tbl_RackConfig[],5,FALSE) &amp;"-"&amp;tbl_IO_List[[#This Row],[Point]]</f>
        <v>#N/A</v>
      </c>
      <c r="AB1052" s="136"/>
      <c r="AC1052" s="136"/>
      <c r="AD1052" s="136" t="str">
        <f>tbl_IO_List[[#This Row],[I/O Type]]</f>
        <v>DO</v>
      </c>
      <c r="AE1052" s="136" t="s">
        <v>1368</v>
      </c>
      <c r="AF1052" s="136">
        <v>7</v>
      </c>
      <c r="AG1052" s="136">
        <v>10</v>
      </c>
      <c r="AH1052" s="136"/>
      <c r="AI1052" s="136"/>
      <c r="AJ1052" s="136">
        <v>0</v>
      </c>
      <c r="AK1052" s="136">
        <v>1</v>
      </c>
      <c r="AL1052" s="136">
        <v>0</v>
      </c>
      <c r="AM1052" s="136">
        <v>0</v>
      </c>
      <c r="AN1052" s="136">
        <v>0</v>
      </c>
      <c r="AO1052" s="136"/>
      <c r="AP1052" s="143"/>
      <c r="AQ1052" s="143" t="str">
        <f>tbl_IO_List[[#This Row],[Chassis]]&amp;"S"&amp;tbl_IO_List[[#This Row],[Slot]]&amp;"-"&amp;tbl_IO_List[[#This Row],[Front Terminal Number]]</f>
        <v>C7S7-</v>
      </c>
      <c r="AR1052" s="143"/>
      <c r="AS1052" s="136" t="str">
        <f>tbl_IO_List[[#This Row],[Terminal Tagging]]&amp;"-"&amp;tbl_IO_List[[#This Row],[Point-Count]]</f>
        <v>-</v>
      </c>
      <c r="AT1052" s="136" t="str">
        <f>tbl_IO_List[[#This Row],[Front Terminal Tagging]]&amp;"/"&amp;tbl_IO_List[[#This Row],[Terminal Tagging-Item]]</f>
        <v>C7S7-/-</v>
      </c>
      <c r="AU1052" s="136" t="str">
        <f>tbl_IO_List[[#This Row],[Terminal Tagging-Item]]&amp;"/"&amp;tbl_IO_List[[#This Row],[Front Terminal Tagging]]</f>
        <v>-/C7S7-</v>
      </c>
    </row>
    <row r="1053" spans="1:47" hidden="1">
      <c r="A1053" s="136" t="s">
        <v>1307</v>
      </c>
      <c r="B1053" s="136" t="s">
        <v>1307</v>
      </c>
      <c r="C1053" s="136" t="str">
        <f>tbl_IO_List[[#This Row],[Column3]]</f>
        <v>C7S07,11</v>
      </c>
      <c r="D1053" s="136" t="e">
        <f>tbl_IO_List[[#This Row],[Card]]</f>
        <v>#N/A</v>
      </c>
      <c r="E1053" s="136"/>
      <c r="F1053" s="136" t="str">
        <f>tbl_IO_List[[#This Row],[Column23]]&amp;"-" &amp;tbl_IO_List[[#This Row],[Column52]]</f>
        <v>C7S07-</v>
      </c>
      <c r="G1053" s="136" t="str">
        <f>tbl_IO_List[[#This Row],[PLC_Tag]]</f>
        <v>Spare_DO_0</v>
      </c>
      <c r="H1053" s="136"/>
      <c r="I1053" s="136" t="str">
        <f>VLOOKUP(tbl_IO_List[[#This Row],[Destination]],tbl_Junction[],2,FALSE)</f>
        <v>MCC Room</v>
      </c>
      <c r="J1053" s="136"/>
      <c r="K1053" s="136"/>
      <c r="L1053" s="136" t="s">
        <v>411</v>
      </c>
      <c r="M1053" s="136" t="e">
        <f>VLOOKUP(tbl_IO_List[[#This Row],[Instruement Tag]],tbl_Instruement_List[],2,FALSE)</f>
        <v>#N/A</v>
      </c>
      <c r="N1053" s="136"/>
      <c r="O1053" s="136"/>
      <c r="P1053" s="136"/>
      <c r="Q1053" s="136" t="e">
        <f>VLOOKUP(tbl_IO_List[[#This Row],[Instruement Tag]],tbl_Instruement_List[],6,FALSE)</f>
        <v>#N/A</v>
      </c>
      <c r="R1053" s="136"/>
      <c r="S105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053" s="136" t="str">
        <f>tbl_IO_List[[#This Row],[Instruement Tag]]&amp;"_"&amp;tbl_IO_List[[#This Row],[I/O Type]]&amp;"_"&amp;tbl_IO_List[[#This Row],[IO-Point 
(Instruement)]]</f>
        <v>Spare_DO_0</v>
      </c>
      <c r="U1053" s="136" t="s">
        <v>7</v>
      </c>
      <c r="V1053" s="136">
        <f>VLOOKUP(tbl_IO_List[[#This Row],[I/O Type]],tbl_Slot_Group[],2,FALSE)</f>
        <v>2</v>
      </c>
      <c r="W1053" s="136">
        <v>0</v>
      </c>
      <c r="X1053" s="136" t="str">
        <f>tbl_IO_List[[#This Row],[Chassis]]&amp;"S"&amp;TEXT(tbl_IO_List[[#This Row],[Slot]],"00")</f>
        <v>C7S07</v>
      </c>
      <c r="Y1053" s="136" t="str">
        <f>tbl_IO_List[[#This Row],[Chassis]]&amp;"S"&amp;TEXT(tbl_IO_List[[#This Row],[Slot]],"00")&amp;tbl_IO_List[[#This Row],[I/O Type]]&amp;TEXT(tbl_IO_List[[#This Row],[Point]],"00")</f>
        <v>C7S07DO11</v>
      </c>
      <c r="Z1053" s="136" t="str">
        <f>tbl_IO_List[[#This Row],[Chassis]]&amp;"S"&amp;TEXT(tbl_IO_List[[#This Row],[Slot]],"00")&amp;","&amp;TEXT(tbl_IO_List[[#This Row],[Point]],"00")</f>
        <v>C7S07,11</v>
      </c>
      <c r="AA1053" s="136" t="e">
        <f>VLOOKUP(tbl_IO_List[[#This Row],[Column23]],tbl_RackConfig[],5,FALSE) &amp;"-"&amp;tbl_IO_List[[#This Row],[Point]]</f>
        <v>#N/A</v>
      </c>
      <c r="AB1053" s="136"/>
      <c r="AC1053" s="136"/>
      <c r="AD1053" s="136" t="str">
        <f>tbl_IO_List[[#This Row],[I/O Type]]</f>
        <v>DO</v>
      </c>
      <c r="AE1053" s="136" t="s">
        <v>1368</v>
      </c>
      <c r="AF1053" s="136">
        <v>7</v>
      </c>
      <c r="AG1053" s="136">
        <v>11</v>
      </c>
      <c r="AH1053" s="136"/>
      <c r="AI1053" s="136"/>
      <c r="AJ1053" s="136">
        <v>0</v>
      </c>
      <c r="AK1053" s="136">
        <v>1</v>
      </c>
      <c r="AL1053" s="136">
        <v>0</v>
      </c>
      <c r="AM1053" s="136">
        <v>0</v>
      </c>
      <c r="AN1053" s="136">
        <v>0</v>
      </c>
      <c r="AO1053" s="136"/>
      <c r="AP1053" s="143"/>
      <c r="AQ1053" s="143" t="str">
        <f>tbl_IO_List[[#This Row],[Chassis]]&amp;"S"&amp;tbl_IO_List[[#This Row],[Slot]]&amp;"-"&amp;tbl_IO_List[[#This Row],[Front Terminal Number]]</f>
        <v>C7S7-</v>
      </c>
      <c r="AR1053" s="143"/>
      <c r="AS1053" s="136" t="str">
        <f>tbl_IO_List[[#This Row],[Terminal Tagging]]&amp;"-"&amp;tbl_IO_List[[#This Row],[Point-Count]]</f>
        <v>-</v>
      </c>
      <c r="AT1053" s="136" t="str">
        <f>tbl_IO_List[[#This Row],[Front Terminal Tagging]]&amp;"/"&amp;tbl_IO_List[[#This Row],[Terminal Tagging-Item]]</f>
        <v>C7S7-/-</v>
      </c>
      <c r="AU1053" s="136" t="str">
        <f>tbl_IO_List[[#This Row],[Terminal Tagging-Item]]&amp;"/"&amp;tbl_IO_List[[#This Row],[Front Terminal Tagging]]</f>
        <v>-/C7S7-</v>
      </c>
    </row>
    <row r="1054" spans="1:47" hidden="1">
      <c r="A1054" s="136" t="s">
        <v>1307</v>
      </c>
      <c r="B1054" s="136" t="s">
        <v>1307</v>
      </c>
      <c r="C1054" s="136" t="str">
        <f>tbl_IO_List[[#This Row],[Column3]]</f>
        <v>C7S07,12</v>
      </c>
      <c r="D1054" s="136" t="e">
        <f>tbl_IO_List[[#This Row],[Card]]</f>
        <v>#N/A</v>
      </c>
      <c r="E1054" s="136"/>
      <c r="F1054" s="136" t="str">
        <f>tbl_IO_List[[#This Row],[Column23]]&amp;"-" &amp;tbl_IO_List[[#This Row],[Column52]]</f>
        <v>C7S07-</v>
      </c>
      <c r="G1054" s="136" t="str">
        <f>tbl_IO_List[[#This Row],[PLC_Tag]]</f>
        <v>Spare_DO_0</v>
      </c>
      <c r="H1054" s="136"/>
      <c r="I1054" s="136" t="str">
        <f>VLOOKUP(tbl_IO_List[[#This Row],[Destination]],tbl_Junction[],2,FALSE)</f>
        <v>MCC Room</v>
      </c>
      <c r="J1054" s="136"/>
      <c r="K1054" s="136"/>
      <c r="L1054" s="136" t="s">
        <v>411</v>
      </c>
      <c r="M1054" s="136" t="e">
        <f>VLOOKUP(tbl_IO_List[[#This Row],[Instruement Tag]],tbl_Instruement_List[],2,FALSE)</f>
        <v>#N/A</v>
      </c>
      <c r="N1054" s="136"/>
      <c r="O1054" s="136"/>
      <c r="P1054" s="136"/>
      <c r="Q1054" s="136" t="e">
        <f>VLOOKUP(tbl_IO_List[[#This Row],[Instruement Tag]],tbl_Instruement_List[],6,FALSE)</f>
        <v>#N/A</v>
      </c>
      <c r="R1054" s="136"/>
      <c r="S105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054" s="136" t="str">
        <f>tbl_IO_List[[#This Row],[Instruement Tag]]&amp;"_"&amp;tbl_IO_List[[#This Row],[I/O Type]]&amp;"_"&amp;tbl_IO_List[[#This Row],[IO-Point 
(Instruement)]]</f>
        <v>Spare_DO_0</v>
      </c>
      <c r="U1054" s="136" t="s">
        <v>7</v>
      </c>
      <c r="V1054" s="136">
        <f>VLOOKUP(tbl_IO_List[[#This Row],[I/O Type]],tbl_Slot_Group[],2,FALSE)</f>
        <v>2</v>
      </c>
      <c r="W1054" s="136">
        <v>0</v>
      </c>
      <c r="X1054" s="136" t="str">
        <f>tbl_IO_List[[#This Row],[Chassis]]&amp;"S"&amp;TEXT(tbl_IO_List[[#This Row],[Slot]],"00")</f>
        <v>C7S07</v>
      </c>
      <c r="Y1054" s="136" t="str">
        <f>tbl_IO_List[[#This Row],[Chassis]]&amp;"S"&amp;TEXT(tbl_IO_List[[#This Row],[Slot]],"00")&amp;tbl_IO_List[[#This Row],[I/O Type]]&amp;TEXT(tbl_IO_List[[#This Row],[Point]],"00")</f>
        <v>C7S07DO12</v>
      </c>
      <c r="Z1054" s="136" t="str">
        <f>tbl_IO_List[[#This Row],[Chassis]]&amp;"S"&amp;TEXT(tbl_IO_List[[#This Row],[Slot]],"00")&amp;","&amp;TEXT(tbl_IO_List[[#This Row],[Point]],"00")</f>
        <v>C7S07,12</v>
      </c>
      <c r="AA1054" s="136" t="e">
        <f>VLOOKUP(tbl_IO_List[[#This Row],[Column23]],tbl_RackConfig[],5,FALSE) &amp;"-"&amp;tbl_IO_List[[#This Row],[Point]]</f>
        <v>#N/A</v>
      </c>
      <c r="AB1054" s="136"/>
      <c r="AC1054" s="136"/>
      <c r="AD1054" s="136" t="str">
        <f>tbl_IO_List[[#This Row],[I/O Type]]</f>
        <v>DO</v>
      </c>
      <c r="AE1054" s="136" t="s">
        <v>1368</v>
      </c>
      <c r="AF1054" s="136">
        <v>7</v>
      </c>
      <c r="AG1054" s="136">
        <v>12</v>
      </c>
      <c r="AH1054" s="136"/>
      <c r="AI1054" s="136"/>
      <c r="AJ1054" s="136">
        <v>0</v>
      </c>
      <c r="AK1054" s="136">
        <v>1</v>
      </c>
      <c r="AL1054" s="136">
        <v>0</v>
      </c>
      <c r="AM1054" s="136">
        <v>0</v>
      </c>
      <c r="AN1054" s="136">
        <v>0</v>
      </c>
      <c r="AO1054" s="136"/>
      <c r="AP1054" s="143"/>
      <c r="AQ1054" s="143" t="str">
        <f>tbl_IO_List[[#This Row],[Chassis]]&amp;"S"&amp;tbl_IO_List[[#This Row],[Slot]]&amp;"-"&amp;tbl_IO_List[[#This Row],[Front Terminal Number]]</f>
        <v>C7S7-</v>
      </c>
      <c r="AR1054" s="143"/>
      <c r="AS1054" s="136" t="str">
        <f>tbl_IO_List[[#This Row],[Terminal Tagging]]&amp;"-"&amp;tbl_IO_List[[#This Row],[Point-Count]]</f>
        <v>-</v>
      </c>
      <c r="AT1054" s="136" t="str">
        <f>tbl_IO_List[[#This Row],[Front Terminal Tagging]]&amp;"/"&amp;tbl_IO_List[[#This Row],[Terminal Tagging-Item]]</f>
        <v>C7S7-/-</v>
      </c>
      <c r="AU1054" s="136" t="str">
        <f>tbl_IO_List[[#This Row],[Terminal Tagging-Item]]&amp;"/"&amp;tbl_IO_List[[#This Row],[Front Terminal Tagging]]</f>
        <v>-/C7S7-</v>
      </c>
    </row>
    <row r="1055" spans="1:47" hidden="1">
      <c r="A1055" s="136" t="s">
        <v>1307</v>
      </c>
      <c r="B1055" s="136" t="s">
        <v>1307</v>
      </c>
      <c r="C1055" s="136" t="str">
        <f>tbl_IO_List[[#This Row],[Column3]]</f>
        <v>C7S07,13</v>
      </c>
      <c r="D1055" s="136" t="e">
        <f>tbl_IO_List[[#This Row],[Card]]</f>
        <v>#N/A</v>
      </c>
      <c r="E1055" s="136"/>
      <c r="F1055" s="136" t="str">
        <f>tbl_IO_List[[#This Row],[Column23]]&amp;"-" &amp;tbl_IO_List[[#This Row],[Column52]]</f>
        <v>C7S07-</v>
      </c>
      <c r="G1055" s="136" t="str">
        <f>tbl_IO_List[[#This Row],[PLC_Tag]]</f>
        <v>Spare_DO_0</v>
      </c>
      <c r="H1055" s="136"/>
      <c r="I1055" s="136" t="str">
        <f>VLOOKUP(tbl_IO_List[[#This Row],[Destination]],tbl_Junction[],2,FALSE)</f>
        <v>MCC Room</v>
      </c>
      <c r="J1055" s="136"/>
      <c r="K1055" s="136"/>
      <c r="L1055" s="136" t="s">
        <v>411</v>
      </c>
      <c r="M1055" s="136" t="e">
        <f>VLOOKUP(tbl_IO_List[[#This Row],[Instruement Tag]],tbl_Instruement_List[],2,FALSE)</f>
        <v>#N/A</v>
      </c>
      <c r="N1055" s="136"/>
      <c r="O1055" s="136"/>
      <c r="P1055" s="136"/>
      <c r="Q1055" s="136" t="e">
        <f>VLOOKUP(tbl_IO_List[[#This Row],[Instruement Tag]],tbl_Instruement_List[],6,FALSE)</f>
        <v>#N/A</v>
      </c>
      <c r="R1055" s="136"/>
      <c r="S105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055" s="136" t="str">
        <f>tbl_IO_List[[#This Row],[Instruement Tag]]&amp;"_"&amp;tbl_IO_List[[#This Row],[I/O Type]]&amp;"_"&amp;tbl_IO_List[[#This Row],[IO-Point 
(Instruement)]]</f>
        <v>Spare_DO_0</v>
      </c>
      <c r="U1055" s="136" t="s">
        <v>7</v>
      </c>
      <c r="V1055" s="136">
        <f>VLOOKUP(tbl_IO_List[[#This Row],[I/O Type]],tbl_Slot_Group[],2,FALSE)</f>
        <v>2</v>
      </c>
      <c r="W1055" s="136">
        <v>0</v>
      </c>
      <c r="X1055" s="136" t="str">
        <f>tbl_IO_List[[#This Row],[Chassis]]&amp;"S"&amp;TEXT(tbl_IO_List[[#This Row],[Slot]],"00")</f>
        <v>C7S07</v>
      </c>
      <c r="Y1055" s="136" t="str">
        <f>tbl_IO_List[[#This Row],[Chassis]]&amp;"S"&amp;TEXT(tbl_IO_List[[#This Row],[Slot]],"00")&amp;tbl_IO_List[[#This Row],[I/O Type]]&amp;TEXT(tbl_IO_List[[#This Row],[Point]],"00")</f>
        <v>C7S07DO13</v>
      </c>
      <c r="Z1055" s="136" t="str">
        <f>tbl_IO_List[[#This Row],[Chassis]]&amp;"S"&amp;TEXT(tbl_IO_List[[#This Row],[Slot]],"00")&amp;","&amp;TEXT(tbl_IO_List[[#This Row],[Point]],"00")</f>
        <v>C7S07,13</v>
      </c>
      <c r="AA1055" s="136" t="e">
        <f>VLOOKUP(tbl_IO_List[[#This Row],[Column23]],tbl_RackConfig[],5,FALSE) &amp;"-"&amp;tbl_IO_List[[#This Row],[Point]]</f>
        <v>#N/A</v>
      </c>
      <c r="AB1055" s="136"/>
      <c r="AC1055" s="136"/>
      <c r="AD1055" s="136" t="str">
        <f>tbl_IO_List[[#This Row],[I/O Type]]</f>
        <v>DO</v>
      </c>
      <c r="AE1055" s="136" t="s">
        <v>1368</v>
      </c>
      <c r="AF1055" s="136">
        <v>7</v>
      </c>
      <c r="AG1055" s="136">
        <v>13</v>
      </c>
      <c r="AH1055" s="136"/>
      <c r="AI1055" s="136"/>
      <c r="AJ1055" s="136">
        <v>0</v>
      </c>
      <c r="AK1055" s="136">
        <v>1</v>
      </c>
      <c r="AL1055" s="136">
        <v>0</v>
      </c>
      <c r="AM1055" s="136">
        <v>0</v>
      </c>
      <c r="AN1055" s="136">
        <v>0</v>
      </c>
      <c r="AO1055" s="136"/>
      <c r="AP1055" s="143"/>
      <c r="AQ1055" s="143" t="str">
        <f>tbl_IO_List[[#This Row],[Chassis]]&amp;"S"&amp;tbl_IO_List[[#This Row],[Slot]]&amp;"-"&amp;tbl_IO_List[[#This Row],[Front Terminal Number]]</f>
        <v>C7S7-</v>
      </c>
      <c r="AR1055" s="143"/>
      <c r="AS1055" s="136" t="str">
        <f>tbl_IO_List[[#This Row],[Terminal Tagging]]&amp;"-"&amp;tbl_IO_List[[#This Row],[Point-Count]]</f>
        <v>-</v>
      </c>
      <c r="AT1055" s="136" t="str">
        <f>tbl_IO_List[[#This Row],[Front Terminal Tagging]]&amp;"/"&amp;tbl_IO_List[[#This Row],[Terminal Tagging-Item]]</f>
        <v>C7S7-/-</v>
      </c>
      <c r="AU1055" s="136" t="str">
        <f>tbl_IO_List[[#This Row],[Terminal Tagging-Item]]&amp;"/"&amp;tbl_IO_List[[#This Row],[Front Terminal Tagging]]</f>
        <v>-/C7S7-</v>
      </c>
    </row>
    <row r="1056" spans="1:47" hidden="1">
      <c r="A1056" s="136" t="s">
        <v>1307</v>
      </c>
      <c r="B1056" s="136" t="s">
        <v>1307</v>
      </c>
      <c r="C1056" s="136" t="str">
        <f>tbl_IO_List[[#This Row],[Column3]]</f>
        <v>C7S07,14</v>
      </c>
      <c r="D1056" s="136" t="e">
        <f>tbl_IO_List[[#This Row],[Card]]</f>
        <v>#N/A</v>
      </c>
      <c r="E1056" s="136"/>
      <c r="F1056" s="136" t="str">
        <f>tbl_IO_List[[#This Row],[Column23]]&amp;"-" &amp;tbl_IO_List[[#This Row],[Column52]]</f>
        <v>C7S07-</v>
      </c>
      <c r="G1056" s="136" t="str">
        <f>tbl_IO_List[[#This Row],[PLC_Tag]]</f>
        <v>Spare_DO_0</v>
      </c>
      <c r="H1056" s="136"/>
      <c r="I1056" s="136" t="str">
        <f>VLOOKUP(tbl_IO_List[[#This Row],[Destination]],tbl_Junction[],2,FALSE)</f>
        <v>MCC Room</v>
      </c>
      <c r="J1056" s="136"/>
      <c r="K1056" s="136"/>
      <c r="L1056" s="136" t="s">
        <v>411</v>
      </c>
      <c r="M1056" s="136" t="e">
        <f>VLOOKUP(tbl_IO_List[[#This Row],[Instruement Tag]],tbl_Instruement_List[],2,FALSE)</f>
        <v>#N/A</v>
      </c>
      <c r="N1056" s="136"/>
      <c r="O1056" s="136"/>
      <c r="P1056" s="136"/>
      <c r="Q1056" s="136" t="e">
        <f>VLOOKUP(tbl_IO_List[[#This Row],[Instruement Tag]],tbl_Instruement_List[],6,FALSE)</f>
        <v>#N/A</v>
      </c>
      <c r="R1056" s="136"/>
      <c r="S105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056" s="136" t="str">
        <f>tbl_IO_List[[#This Row],[Instruement Tag]]&amp;"_"&amp;tbl_IO_List[[#This Row],[I/O Type]]&amp;"_"&amp;tbl_IO_List[[#This Row],[IO-Point 
(Instruement)]]</f>
        <v>Spare_DO_0</v>
      </c>
      <c r="U1056" s="136" t="s">
        <v>7</v>
      </c>
      <c r="V1056" s="136">
        <f>VLOOKUP(tbl_IO_List[[#This Row],[I/O Type]],tbl_Slot_Group[],2,FALSE)</f>
        <v>2</v>
      </c>
      <c r="W1056" s="136">
        <v>0</v>
      </c>
      <c r="X1056" s="136" t="str">
        <f>tbl_IO_List[[#This Row],[Chassis]]&amp;"S"&amp;TEXT(tbl_IO_List[[#This Row],[Slot]],"00")</f>
        <v>C7S07</v>
      </c>
      <c r="Y1056" s="136" t="str">
        <f>tbl_IO_List[[#This Row],[Chassis]]&amp;"S"&amp;TEXT(tbl_IO_List[[#This Row],[Slot]],"00")&amp;tbl_IO_List[[#This Row],[I/O Type]]&amp;TEXT(tbl_IO_List[[#This Row],[Point]],"00")</f>
        <v>C7S07DO14</v>
      </c>
      <c r="Z1056" s="136" t="str">
        <f>tbl_IO_List[[#This Row],[Chassis]]&amp;"S"&amp;TEXT(tbl_IO_List[[#This Row],[Slot]],"00")&amp;","&amp;TEXT(tbl_IO_List[[#This Row],[Point]],"00")</f>
        <v>C7S07,14</v>
      </c>
      <c r="AA1056" s="136" t="e">
        <f>VLOOKUP(tbl_IO_List[[#This Row],[Column23]],tbl_RackConfig[],5,FALSE) &amp;"-"&amp;tbl_IO_List[[#This Row],[Point]]</f>
        <v>#N/A</v>
      </c>
      <c r="AB1056" s="136"/>
      <c r="AC1056" s="136"/>
      <c r="AD1056" s="136" t="str">
        <f>tbl_IO_List[[#This Row],[I/O Type]]</f>
        <v>DO</v>
      </c>
      <c r="AE1056" s="136" t="s">
        <v>1368</v>
      </c>
      <c r="AF1056" s="136">
        <v>7</v>
      </c>
      <c r="AG1056" s="136">
        <v>14</v>
      </c>
      <c r="AH1056" s="136"/>
      <c r="AI1056" s="136"/>
      <c r="AJ1056" s="136">
        <v>0</v>
      </c>
      <c r="AK1056" s="136">
        <v>1</v>
      </c>
      <c r="AL1056" s="136">
        <v>0</v>
      </c>
      <c r="AM1056" s="136">
        <v>0</v>
      </c>
      <c r="AN1056" s="136">
        <v>0</v>
      </c>
      <c r="AO1056" s="136"/>
      <c r="AP1056" s="143"/>
      <c r="AQ1056" s="143" t="str">
        <f>tbl_IO_List[[#This Row],[Chassis]]&amp;"S"&amp;tbl_IO_List[[#This Row],[Slot]]&amp;"-"&amp;tbl_IO_List[[#This Row],[Front Terminal Number]]</f>
        <v>C7S7-</v>
      </c>
      <c r="AR1056" s="143"/>
      <c r="AS1056" s="136" t="str">
        <f>tbl_IO_List[[#This Row],[Terminal Tagging]]&amp;"-"&amp;tbl_IO_List[[#This Row],[Point-Count]]</f>
        <v>-</v>
      </c>
      <c r="AT1056" s="136" t="str">
        <f>tbl_IO_List[[#This Row],[Front Terminal Tagging]]&amp;"/"&amp;tbl_IO_List[[#This Row],[Terminal Tagging-Item]]</f>
        <v>C7S7-/-</v>
      </c>
      <c r="AU1056" s="136" t="str">
        <f>tbl_IO_List[[#This Row],[Terminal Tagging-Item]]&amp;"/"&amp;tbl_IO_List[[#This Row],[Front Terminal Tagging]]</f>
        <v>-/C7S7-</v>
      </c>
    </row>
    <row r="1057" spans="1:47" hidden="1">
      <c r="A1057" s="136" t="s">
        <v>1307</v>
      </c>
      <c r="B1057" s="136" t="s">
        <v>1307</v>
      </c>
      <c r="C1057" s="136" t="str">
        <f>tbl_IO_List[[#This Row],[Column3]]</f>
        <v>C7S07,15</v>
      </c>
      <c r="D1057" s="136" t="e">
        <f>tbl_IO_List[[#This Row],[Card]]</f>
        <v>#N/A</v>
      </c>
      <c r="E1057" s="136"/>
      <c r="F1057" s="136" t="str">
        <f>tbl_IO_List[[#This Row],[Column23]]&amp;"-" &amp;tbl_IO_List[[#This Row],[Column52]]</f>
        <v>C7S07-</v>
      </c>
      <c r="G1057" s="136" t="str">
        <f>tbl_IO_List[[#This Row],[PLC_Tag]]</f>
        <v>Spare_DO_0</v>
      </c>
      <c r="H1057" s="136"/>
      <c r="I1057" s="136" t="str">
        <f>VLOOKUP(tbl_IO_List[[#This Row],[Destination]],tbl_Junction[],2,FALSE)</f>
        <v>MCC Room</v>
      </c>
      <c r="J1057" s="136"/>
      <c r="K1057" s="136"/>
      <c r="L1057" s="136" t="s">
        <v>411</v>
      </c>
      <c r="M1057" s="136" t="e">
        <f>VLOOKUP(tbl_IO_List[[#This Row],[Instruement Tag]],tbl_Instruement_List[],2,FALSE)</f>
        <v>#N/A</v>
      </c>
      <c r="N1057" s="136"/>
      <c r="O1057" s="136"/>
      <c r="P1057" s="136"/>
      <c r="Q1057" s="136" t="e">
        <f>VLOOKUP(tbl_IO_List[[#This Row],[Instruement Tag]],tbl_Instruement_List[],6,FALSE)</f>
        <v>#N/A</v>
      </c>
      <c r="R1057" s="136"/>
      <c r="S105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057" s="136" t="str">
        <f>tbl_IO_List[[#This Row],[Instruement Tag]]&amp;"_"&amp;tbl_IO_List[[#This Row],[I/O Type]]&amp;"_"&amp;tbl_IO_List[[#This Row],[IO-Point 
(Instruement)]]</f>
        <v>Spare_DO_0</v>
      </c>
      <c r="U1057" s="136" t="s">
        <v>7</v>
      </c>
      <c r="V1057" s="136">
        <f>VLOOKUP(tbl_IO_List[[#This Row],[I/O Type]],tbl_Slot_Group[],2,FALSE)</f>
        <v>2</v>
      </c>
      <c r="W1057" s="136">
        <v>0</v>
      </c>
      <c r="X1057" s="136" t="str">
        <f>tbl_IO_List[[#This Row],[Chassis]]&amp;"S"&amp;TEXT(tbl_IO_List[[#This Row],[Slot]],"00")</f>
        <v>C7S07</v>
      </c>
      <c r="Y1057" s="136" t="str">
        <f>tbl_IO_List[[#This Row],[Chassis]]&amp;"S"&amp;TEXT(tbl_IO_List[[#This Row],[Slot]],"00")&amp;tbl_IO_List[[#This Row],[I/O Type]]&amp;TEXT(tbl_IO_List[[#This Row],[Point]],"00")</f>
        <v>C7S07DO15</v>
      </c>
      <c r="Z1057" s="136" t="str">
        <f>tbl_IO_List[[#This Row],[Chassis]]&amp;"S"&amp;TEXT(tbl_IO_List[[#This Row],[Slot]],"00")&amp;","&amp;TEXT(tbl_IO_List[[#This Row],[Point]],"00")</f>
        <v>C7S07,15</v>
      </c>
      <c r="AA1057" s="136" t="e">
        <f>VLOOKUP(tbl_IO_List[[#This Row],[Column23]],tbl_RackConfig[],5,FALSE) &amp;"-"&amp;tbl_IO_List[[#This Row],[Point]]</f>
        <v>#N/A</v>
      </c>
      <c r="AB1057" s="136"/>
      <c r="AC1057" s="136"/>
      <c r="AD1057" s="136" t="str">
        <f>tbl_IO_List[[#This Row],[I/O Type]]</f>
        <v>DO</v>
      </c>
      <c r="AE1057" s="136" t="s">
        <v>1368</v>
      </c>
      <c r="AF1057" s="136">
        <v>7</v>
      </c>
      <c r="AG1057" s="136">
        <v>15</v>
      </c>
      <c r="AH1057" s="136"/>
      <c r="AI1057" s="136"/>
      <c r="AJ1057" s="136">
        <v>0</v>
      </c>
      <c r="AK1057" s="136">
        <v>1</v>
      </c>
      <c r="AL1057" s="136">
        <v>0</v>
      </c>
      <c r="AM1057" s="136">
        <v>0</v>
      </c>
      <c r="AN1057" s="136">
        <v>0</v>
      </c>
      <c r="AO1057" s="136"/>
      <c r="AP1057" s="143"/>
      <c r="AQ1057" s="143" t="str">
        <f>tbl_IO_List[[#This Row],[Chassis]]&amp;"S"&amp;tbl_IO_List[[#This Row],[Slot]]&amp;"-"&amp;tbl_IO_List[[#This Row],[Front Terminal Number]]</f>
        <v>C7S7-</v>
      </c>
      <c r="AR1057" s="143"/>
      <c r="AS1057" s="136" t="str">
        <f>tbl_IO_List[[#This Row],[Terminal Tagging]]&amp;"-"&amp;tbl_IO_List[[#This Row],[Point-Count]]</f>
        <v>-</v>
      </c>
      <c r="AT1057" s="136" t="str">
        <f>tbl_IO_List[[#This Row],[Front Terminal Tagging]]&amp;"/"&amp;tbl_IO_List[[#This Row],[Terminal Tagging-Item]]</f>
        <v>C7S7-/-</v>
      </c>
      <c r="AU1057" s="136" t="str">
        <f>tbl_IO_List[[#This Row],[Terminal Tagging-Item]]&amp;"/"&amp;tbl_IO_List[[#This Row],[Front Terminal Tagging]]</f>
        <v>-/C7S7-</v>
      </c>
    </row>
    <row r="1058" spans="1:47" hidden="1">
      <c r="A1058" s="136" t="s">
        <v>1307</v>
      </c>
      <c r="B1058" s="136" t="s">
        <v>1307</v>
      </c>
      <c r="C1058" s="136" t="str">
        <f>tbl_IO_List[[#This Row],[Column3]]</f>
        <v>C7S07,16</v>
      </c>
      <c r="D1058" s="136" t="e">
        <f>tbl_IO_List[[#This Row],[Card]]</f>
        <v>#N/A</v>
      </c>
      <c r="E1058" s="136"/>
      <c r="F1058" s="136" t="str">
        <f>tbl_IO_List[[#This Row],[Column23]]&amp;"-" &amp;tbl_IO_List[[#This Row],[Column52]]</f>
        <v>C7S07-</v>
      </c>
      <c r="G1058" s="136" t="str">
        <f>tbl_IO_List[[#This Row],[PLC_Tag]]</f>
        <v>Spare_DO_0</v>
      </c>
      <c r="H1058" s="136"/>
      <c r="I1058" s="136" t="str">
        <f>VLOOKUP(tbl_IO_List[[#This Row],[Destination]],tbl_Junction[],2,FALSE)</f>
        <v>MCC Room</v>
      </c>
      <c r="J1058" s="136"/>
      <c r="K1058" s="136"/>
      <c r="L1058" s="136" t="s">
        <v>411</v>
      </c>
      <c r="M1058" s="136" t="e">
        <f>VLOOKUP(tbl_IO_List[[#This Row],[Instruement Tag]],tbl_Instruement_List[],2,FALSE)</f>
        <v>#N/A</v>
      </c>
      <c r="N1058" s="136"/>
      <c r="O1058" s="136"/>
      <c r="P1058" s="136"/>
      <c r="Q1058" s="136" t="e">
        <f>VLOOKUP(tbl_IO_List[[#This Row],[Instruement Tag]],tbl_Instruement_List[],6,FALSE)</f>
        <v>#N/A</v>
      </c>
      <c r="R1058" s="136"/>
      <c r="S105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058" s="136" t="str">
        <f>tbl_IO_List[[#This Row],[Instruement Tag]]&amp;"_"&amp;tbl_IO_List[[#This Row],[I/O Type]]&amp;"_"&amp;tbl_IO_List[[#This Row],[IO-Point 
(Instruement)]]</f>
        <v>Spare_DO_0</v>
      </c>
      <c r="U1058" s="136" t="s">
        <v>7</v>
      </c>
      <c r="V1058" s="136">
        <f>VLOOKUP(tbl_IO_List[[#This Row],[I/O Type]],tbl_Slot_Group[],2,FALSE)</f>
        <v>2</v>
      </c>
      <c r="W1058" s="136">
        <v>0</v>
      </c>
      <c r="X1058" s="136" t="str">
        <f>tbl_IO_List[[#This Row],[Chassis]]&amp;"S"&amp;TEXT(tbl_IO_List[[#This Row],[Slot]],"00")</f>
        <v>C7S07</v>
      </c>
      <c r="Y1058" s="136" t="str">
        <f>tbl_IO_List[[#This Row],[Chassis]]&amp;"S"&amp;TEXT(tbl_IO_List[[#This Row],[Slot]],"00")&amp;tbl_IO_List[[#This Row],[I/O Type]]&amp;TEXT(tbl_IO_List[[#This Row],[Point]],"00")</f>
        <v>C7S07DO16</v>
      </c>
      <c r="Z1058" s="136" t="str">
        <f>tbl_IO_List[[#This Row],[Chassis]]&amp;"S"&amp;TEXT(tbl_IO_List[[#This Row],[Slot]],"00")&amp;","&amp;TEXT(tbl_IO_List[[#This Row],[Point]],"00")</f>
        <v>C7S07,16</v>
      </c>
      <c r="AA1058" s="136" t="e">
        <f>VLOOKUP(tbl_IO_List[[#This Row],[Column23]],tbl_RackConfig[],5,FALSE) &amp;"-"&amp;tbl_IO_List[[#This Row],[Point]]</f>
        <v>#N/A</v>
      </c>
      <c r="AB1058" s="136"/>
      <c r="AC1058" s="136"/>
      <c r="AD1058" s="136" t="str">
        <f>tbl_IO_List[[#This Row],[I/O Type]]</f>
        <v>DO</v>
      </c>
      <c r="AE1058" s="136" t="s">
        <v>1368</v>
      </c>
      <c r="AF1058" s="136">
        <v>7</v>
      </c>
      <c r="AG1058" s="136">
        <v>16</v>
      </c>
      <c r="AH1058" s="136"/>
      <c r="AI1058" s="136"/>
      <c r="AJ1058" s="136">
        <v>0</v>
      </c>
      <c r="AK1058" s="136">
        <v>1</v>
      </c>
      <c r="AL1058" s="136">
        <v>0</v>
      </c>
      <c r="AM1058" s="136">
        <v>0</v>
      </c>
      <c r="AN1058" s="136">
        <v>0</v>
      </c>
      <c r="AO1058" s="136"/>
      <c r="AP1058" s="143"/>
      <c r="AQ1058" s="143" t="str">
        <f>tbl_IO_List[[#This Row],[Chassis]]&amp;"S"&amp;tbl_IO_List[[#This Row],[Slot]]&amp;"-"&amp;tbl_IO_List[[#This Row],[Front Terminal Number]]</f>
        <v>C7S7-</v>
      </c>
      <c r="AR1058" s="143"/>
      <c r="AS1058" s="136" t="str">
        <f>tbl_IO_List[[#This Row],[Terminal Tagging]]&amp;"-"&amp;tbl_IO_List[[#This Row],[Point-Count]]</f>
        <v>-</v>
      </c>
      <c r="AT1058" s="136" t="str">
        <f>tbl_IO_List[[#This Row],[Front Terminal Tagging]]&amp;"/"&amp;tbl_IO_List[[#This Row],[Terminal Tagging-Item]]</f>
        <v>C7S7-/-</v>
      </c>
      <c r="AU1058" s="136" t="str">
        <f>tbl_IO_List[[#This Row],[Terminal Tagging-Item]]&amp;"/"&amp;tbl_IO_List[[#This Row],[Front Terminal Tagging]]</f>
        <v>-/C7S7-</v>
      </c>
    </row>
    <row r="1059" spans="1:47" hidden="1">
      <c r="A1059" s="136" t="s">
        <v>1307</v>
      </c>
      <c r="B1059" s="136" t="s">
        <v>1307</v>
      </c>
      <c r="C1059" s="136" t="str">
        <f>tbl_IO_List[[#This Row],[Column3]]</f>
        <v>C7S07,17</v>
      </c>
      <c r="D1059" s="136" t="e">
        <f>tbl_IO_List[[#This Row],[Card]]</f>
        <v>#N/A</v>
      </c>
      <c r="E1059" s="136"/>
      <c r="F1059" s="136" t="str">
        <f>tbl_IO_List[[#This Row],[Column23]]&amp;"-" &amp;tbl_IO_List[[#This Row],[Column52]]</f>
        <v>C7S07-</v>
      </c>
      <c r="G1059" s="136" t="str">
        <f>tbl_IO_List[[#This Row],[PLC_Tag]]</f>
        <v>Spare_DO_0</v>
      </c>
      <c r="H1059" s="136"/>
      <c r="I1059" s="136" t="str">
        <f>VLOOKUP(tbl_IO_List[[#This Row],[Destination]],tbl_Junction[],2,FALSE)</f>
        <v>MCC Room</v>
      </c>
      <c r="J1059" s="136"/>
      <c r="K1059" s="136"/>
      <c r="L1059" s="136" t="s">
        <v>411</v>
      </c>
      <c r="M1059" s="136" t="e">
        <f>VLOOKUP(tbl_IO_List[[#This Row],[Instruement Tag]],tbl_Instruement_List[],2,FALSE)</f>
        <v>#N/A</v>
      </c>
      <c r="N1059" s="136"/>
      <c r="O1059" s="136"/>
      <c r="P1059" s="136"/>
      <c r="Q1059" s="136" t="e">
        <f>VLOOKUP(tbl_IO_List[[#This Row],[Instruement Tag]],tbl_Instruement_List[],6,FALSE)</f>
        <v>#N/A</v>
      </c>
      <c r="R1059" s="136"/>
      <c r="S105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059" s="136" t="str">
        <f>tbl_IO_List[[#This Row],[Instruement Tag]]&amp;"_"&amp;tbl_IO_List[[#This Row],[I/O Type]]&amp;"_"&amp;tbl_IO_List[[#This Row],[IO-Point 
(Instruement)]]</f>
        <v>Spare_DO_0</v>
      </c>
      <c r="U1059" s="136" t="s">
        <v>7</v>
      </c>
      <c r="V1059" s="136">
        <f>VLOOKUP(tbl_IO_List[[#This Row],[I/O Type]],tbl_Slot_Group[],2,FALSE)</f>
        <v>2</v>
      </c>
      <c r="W1059" s="136">
        <v>0</v>
      </c>
      <c r="X1059" s="136" t="str">
        <f>tbl_IO_List[[#This Row],[Chassis]]&amp;"S"&amp;TEXT(tbl_IO_List[[#This Row],[Slot]],"00")</f>
        <v>C7S07</v>
      </c>
      <c r="Y1059" s="136" t="str">
        <f>tbl_IO_List[[#This Row],[Chassis]]&amp;"S"&amp;TEXT(tbl_IO_List[[#This Row],[Slot]],"00")&amp;tbl_IO_List[[#This Row],[I/O Type]]&amp;TEXT(tbl_IO_List[[#This Row],[Point]],"00")</f>
        <v>C7S07DO17</v>
      </c>
      <c r="Z1059" s="136" t="str">
        <f>tbl_IO_List[[#This Row],[Chassis]]&amp;"S"&amp;TEXT(tbl_IO_List[[#This Row],[Slot]],"00")&amp;","&amp;TEXT(tbl_IO_List[[#This Row],[Point]],"00")</f>
        <v>C7S07,17</v>
      </c>
      <c r="AA1059" s="136" t="e">
        <f>VLOOKUP(tbl_IO_List[[#This Row],[Column23]],tbl_RackConfig[],5,FALSE) &amp;"-"&amp;tbl_IO_List[[#This Row],[Point]]</f>
        <v>#N/A</v>
      </c>
      <c r="AB1059" s="136"/>
      <c r="AC1059" s="136"/>
      <c r="AD1059" s="136" t="str">
        <f>tbl_IO_List[[#This Row],[I/O Type]]</f>
        <v>DO</v>
      </c>
      <c r="AE1059" s="136" t="s">
        <v>1368</v>
      </c>
      <c r="AF1059" s="136">
        <v>7</v>
      </c>
      <c r="AG1059" s="136">
        <v>17</v>
      </c>
      <c r="AH1059" s="136"/>
      <c r="AI1059" s="136"/>
      <c r="AJ1059" s="136">
        <v>0</v>
      </c>
      <c r="AK1059" s="136">
        <v>1</v>
      </c>
      <c r="AL1059" s="136">
        <v>0</v>
      </c>
      <c r="AM1059" s="136">
        <v>0</v>
      </c>
      <c r="AN1059" s="136">
        <v>0</v>
      </c>
      <c r="AO1059" s="136"/>
      <c r="AP1059" s="143"/>
      <c r="AQ1059" s="143" t="str">
        <f>tbl_IO_List[[#This Row],[Chassis]]&amp;"S"&amp;tbl_IO_List[[#This Row],[Slot]]&amp;"-"&amp;tbl_IO_List[[#This Row],[Front Terminal Number]]</f>
        <v>C7S7-</v>
      </c>
      <c r="AR1059" s="143"/>
      <c r="AS1059" s="136" t="str">
        <f>tbl_IO_List[[#This Row],[Terminal Tagging]]&amp;"-"&amp;tbl_IO_List[[#This Row],[Point-Count]]</f>
        <v>-</v>
      </c>
      <c r="AT1059" s="136" t="str">
        <f>tbl_IO_List[[#This Row],[Front Terminal Tagging]]&amp;"/"&amp;tbl_IO_List[[#This Row],[Terminal Tagging-Item]]</f>
        <v>C7S7-/-</v>
      </c>
      <c r="AU1059" s="136" t="str">
        <f>tbl_IO_List[[#This Row],[Terminal Tagging-Item]]&amp;"/"&amp;tbl_IO_List[[#This Row],[Front Terminal Tagging]]</f>
        <v>-/C7S7-</v>
      </c>
    </row>
    <row r="1060" spans="1:47" hidden="1">
      <c r="A1060" s="136" t="s">
        <v>1307</v>
      </c>
      <c r="B1060" s="136" t="s">
        <v>1307</v>
      </c>
      <c r="C1060" s="136" t="str">
        <f>tbl_IO_List[[#This Row],[Column3]]</f>
        <v>C7S07,18</v>
      </c>
      <c r="D1060" s="136" t="e">
        <f>tbl_IO_List[[#This Row],[Card]]</f>
        <v>#N/A</v>
      </c>
      <c r="E1060" s="136"/>
      <c r="F1060" s="136" t="str">
        <f>tbl_IO_List[[#This Row],[Column23]]&amp;"-" &amp;tbl_IO_List[[#This Row],[Column52]]</f>
        <v>C7S07-</v>
      </c>
      <c r="G1060" s="136" t="str">
        <f>tbl_IO_List[[#This Row],[PLC_Tag]]</f>
        <v>Spare_DO_0</v>
      </c>
      <c r="H1060" s="136"/>
      <c r="I1060" s="136" t="str">
        <f>VLOOKUP(tbl_IO_List[[#This Row],[Destination]],tbl_Junction[],2,FALSE)</f>
        <v>MCC Room</v>
      </c>
      <c r="J1060" s="136"/>
      <c r="K1060" s="136"/>
      <c r="L1060" s="136" t="s">
        <v>411</v>
      </c>
      <c r="M1060" s="136" t="e">
        <f>VLOOKUP(tbl_IO_List[[#This Row],[Instruement Tag]],tbl_Instruement_List[],2,FALSE)</f>
        <v>#N/A</v>
      </c>
      <c r="N1060" s="136"/>
      <c r="O1060" s="136"/>
      <c r="P1060" s="136"/>
      <c r="Q1060" s="136" t="e">
        <f>VLOOKUP(tbl_IO_List[[#This Row],[Instruement Tag]],tbl_Instruement_List[],6,FALSE)</f>
        <v>#N/A</v>
      </c>
      <c r="R1060" s="136"/>
      <c r="S106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060" s="136" t="str">
        <f>tbl_IO_List[[#This Row],[Instruement Tag]]&amp;"_"&amp;tbl_IO_List[[#This Row],[I/O Type]]&amp;"_"&amp;tbl_IO_List[[#This Row],[IO-Point 
(Instruement)]]</f>
        <v>Spare_DO_0</v>
      </c>
      <c r="U1060" s="136" t="s">
        <v>7</v>
      </c>
      <c r="V1060" s="136">
        <f>VLOOKUP(tbl_IO_List[[#This Row],[I/O Type]],tbl_Slot_Group[],2,FALSE)</f>
        <v>2</v>
      </c>
      <c r="W1060" s="136">
        <v>0</v>
      </c>
      <c r="X1060" s="136" t="str">
        <f>tbl_IO_List[[#This Row],[Chassis]]&amp;"S"&amp;TEXT(tbl_IO_List[[#This Row],[Slot]],"00")</f>
        <v>C7S07</v>
      </c>
      <c r="Y1060" s="136" t="str">
        <f>tbl_IO_List[[#This Row],[Chassis]]&amp;"S"&amp;TEXT(tbl_IO_List[[#This Row],[Slot]],"00")&amp;tbl_IO_List[[#This Row],[I/O Type]]&amp;TEXT(tbl_IO_List[[#This Row],[Point]],"00")</f>
        <v>C7S07DO18</v>
      </c>
      <c r="Z1060" s="136" t="str">
        <f>tbl_IO_List[[#This Row],[Chassis]]&amp;"S"&amp;TEXT(tbl_IO_List[[#This Row],[Slot]],"00")&amp;","&amp;TEXT(tbl_IO_List[[#This Row],[Point]],"00")</f>
        <v>C7S07,18</v>
      </c>
      <c r="AA1060" s="136" t="e">
        <f>VLOOKUP(tbl_IO_List[[#This Row],[Column23]],tbl_RackConfig[],5,FALSE) &amp;"-"&amp;tbl_IO_List[[#This Row],[Point]]</f>
        <v>#N/A</v>
      </c>
      <c r="AB1060" s="136"/>
      <c r="AC1060" s="136"/>
      <c r="AD1060" s="136" t="str">
        <f>tbl_IO_List[[#This Row],[I/O Type]]</f>
        <v>DO</v>
      </c>
      <c r="AE1060" s="136" t="s">
        <v>1368</v>
      </c>
      <c r="AF1060" s="136">
        <v>7</v>
      </c>
      <c r="AG1060" s="136">
        <v>18</v>
      </c>
      <c r="AH1060" s="136"/>
      <c r="AI1060" s="136"/>
      <c r="AJ1060" s="136">
        <v>0</v>
      </c>
      <c r="AK1060" s="136">
        <v>1</v>
      </c>
      <c r="AL1060" s="136">
        <v>0</v>
      </c>
      <c r="AM1060" s="136">
        <v>0</v>
      </c>
      <c r="AN1060" s="136">
        <v>0</v>
      </c>
      <c r="AO1060" s="136"/>
      <c r="AP1060" s="143"/>
      <c r="AQ1060" s="143" t="str">
        <f>tbl_IO_List[[#This Row],[Chassis]]&amp;"S"&amp;tbl_IO_List[[#This Row],[Slot]]&amp;"-"&amp;tbl_IO_List[[#This Row],[Front Terminal Number]]</f>
        <v>C7S7-</v>
      </c>
      <c r="AR1060" s="143"/>
      <c r="AS1060" s="136" t="str">
        <f>tbl_IO_List[[#This Row],[Terminal Tagging]]&amp;"-"&amp;tbl_IO_List[[#This Row],[Point-Count]]</f>
        <v>-</v>
      </c>
      <c r="AT1060" s="136" t="str">
        <f>tbl_IO_List[[#This Row],[Front Terminal Tagging]]&amp;"/"&amp;tbl_IO_List[[#This Row],[Terminal Tagging-Item]]</f>
        <v>C7S7-/-</v>
      </c>
      <c r="AU1060" s="136" t="str">
        <f>tbl_IO_List[[#This Row],[Terminal Tagging-Item]]&amp;"/"&amp;tbl_IO_List[[#This Row],[Front Terminal Tagging]]</f>
        <v>-/C7S7-</v>
      </c>
    </row>
    <row r="1061" spans="1:47" hidden="1">
      <c r="A1061" s="136" t="s">
        <v>1307</v>
      </c>
      <c r="B1061" s="136" t="s">
        <v>1307</v>
      </c>
      <c r="C1061" s="136" t="str">
        <f>tbl_IO_List[[#This Row],[Column3]]</f>
        <v>C7S07,19</v>
      </c>
      <c r="D1061" s="136" t="e">
        <f>tbl_IO_List[[#This Row],[Card]]</f>
        <v>#N/A</v>
      </c>
      <c r="E1061" s="136"/>
      <c r="F1061" s="136" t="str">
        <f>tbl_IO_List[[#This Row],[Column23]]&amp;"-" &amp;tbl_IO_List[[#This Row],[Column52]]</f>
        <v>C7S07-</v>
      </c>
      <c r="G1061" s="136" t="str">
        <f>tbl_IO_List[[#This Row],[PLC_Tag]]</f>
        <v>Spare_DO_0</v>
      </c>
      <c r="H1061" s="136"/>
      <c r="I1061" s="136" t="str">
        <f>VLOOKUP(tbl_IO_List[[#This Row],[Destination]],tbl_Junction[],2,FALSE)</f>
        <v>MCC Room</v>
      </c>
      <c r="J1061" s="136"/>
      <c r="K1061" s="136"/>
      <c r="L1061" s="136" t="s">
        <v>411</v>
      </c>
      <c r="M1061" s="136" t="e">
        <f>VLOOKUP(tbl_IO_List[[#This Row],[Instruement Tag]],tbl_Instruement_List[],2,FALSE)</f>
        <v>#N/A</v>
      </c>
      <c r="N1061" s="136"/>
      <c r="O1061" s="136"/>
      <c r="P1061" s="136"/>
      <c r="Q1061" s="136" t="e">
        <f>VLOOKUP(tbl_IO_List[[#This Row],[Instruement Tag]],tbl_Instruement_List[],6,FALSE)</f>
        <v>#N/A</v>
      </c>
      <c r="R1061" s="136"/>
      <c r="S106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061" s="136" t="str">
        <f>tbl_IO_List[[#This Row],[Instruement Tag]]&amp;"_"&amp;tbl_IO_List[[#This Row],[I/O Type]]&amp;"_"&amp;tbl_IO_List[[#This Row],[IO-Point 
(Instruement)]]</f>
        <v>Spare_DO_0</v>
      </c>
      <c r="U1061" s="136" t="s">
        <v>7</v>
      </c>
      <c r="V1061" s="136">
        <f>VLOOKUP(tbl_IO_List[[#This Row],[I/O Type]],tbl_Slot_Group[],2,FALSE)</f>
        <v>2</v>
      </c>
      <c r="W1061" s="136">
        <v>0</v>
      </c>
      <c r="X1061" s="136" t="str">
        <f>tbl_IO_List[[#This Row],[Chassis]]&amp;"S"&amp;TEXT(tbl_IO_List[[#This Row],[Slot]],"00")</f>
        <v>C7S07</v>
      </c>
      <c r="Y1061" s="136" t="str">
        <f>tbl_IO_List[[#This Row],[Chassis]]&amp;"S"&amp;TEXT(tbl_IO_List[[#This Row],[Slot]],"00")&amp;tbl_IO_List[[#This Row],[I/O Type]]&amp;TEXT(tbl_IO_List[[#This Row],[Point]],"00")</f>
        <v>C7S07DO19</v>
      </c>
      <c r="Z1061" s="136" t="str">
        <f>tbl_IO_List[[#This Row],[Chassis]]&amp;"S"&amp;TEXT(tbl_IO_List[[#This Row],[Slot]],"00")&amp;","&amp;TEXT(tbl_IO_List[[#This Row],[Point]],"00")</f>
        <v>C7S07,19</v>
      </c>
      <c r="AA1061" s="136" t="e">
        <f>VLOOKUP(tbl_IO_List[[#This Row],[Column23]],tbl_RackConfig[],5,FALSE) &amp;"-"&amp;tbl_IO_List[[#This Row],[Point]]</f>
        <v>#N/A</v>
      </c>
      <c r="AB1061" s="136"/>
      <c r="AC1061" s="136"/>
      <c r="AD1061" s="136" t="str">
        <f>tbl_IO_List[[#This Row],[I/O Type]]</f>
        <v>DO</v>
      </c>
      <c r="AE1061" s="136" t="s">
        <v>1368</v>
      </c>
      <c r="AF1061" s="136">
        <v>7</v>
      </c>
      <c r="AG1061" s="136">
        <v>19</v>
      </c>
      <c r="AH1061" s="136"/>
      <c r="AI1061" s="136"/>
      <c r="AJ1061" s="136">
        <v>0</v>
      </c>
      <c r="AK1061" s="136">
        <v>1</v>
      </c>
      <c r="AL1061" s="136">
        <v>0</v>
      </c>
      <c r="AM1061" s="136">
        <v>0</v>
      </c>
      <c r="AN1061" s="136">
        <v>0</v>
      </c>
      <c r="AO1061" s="136"/>
      <c r="AP1061" s="143"/>
      <c r="AQ1061" s="143" t="str">
        <f>tbl_IO_List[[#This Row],[Chassis]]&amp;"S"&amp;tbl_IO_List[[#This Row],[Slot]]&amp;"-"&amp;tbl_IO_List[[#This Row],[Front Terminal Number]]</f>
        <v>C7S7-</v>
      </c>
      <c r="AR1061" s="143"/>
      <c r="AS1061" s="136" t="str">
        <f>tbl_IO_List[[#This Row],[Terminal Tagging]]&amp;"-"&amp;tbl_IO_List[[#This Row],[Point-Count]]</f>
        <v>-</v>
      </c>
      <c r="AT1061" s="136" t="str">
        <f>tbl_IO_List[[#This Row],[Front Terminal Tagging]]&amp;"/"&amp;tbl_IO_List[[#This Row],[Terminal Tagging-Item]]</f>
        <v>C7S7-/-</v>
      </c>
      <c r="AU1061" s="136" t="str">
        <f>tbl_IO_List[[#This Row],[Terminal Tagging-Item]]&amp;"/"&amp;tbl_IO_List[[#This Row],[Front Terminal Tagging]]</f>
        <v>-/C7S7-</v>
      </c>
    </row>
    <row r="1062" spans="1:47" hidden="1">
      <c r="A1062" s="136" t="s">
        <v>1307</v>
      </c>
      <c r="B1062" s="136" t="s">
        <v>1307</v>
      </c>
      <c r="C1062" s="136" t="str">
        <f>tbl_IO_List[[#This Row],[Column3]]</f>
        <v>C7S07,20</v>
      </c>
      <c r="D1062" s="136" t="e">
        <f>tbl_IO_List[[#This Row],[Card]]</f>
        <v>#N/A</v>
      </c>
      <c r="E1062" s="136"/>
      <c r="F1062" s="136" t="str">
        <f>tbl_IO_List[[#This Row],[Column23]]&amp;"-" &amp;tbl_IO_List[[#This Row],[Column52]]</f>
        <v>C7S07-</v>
      </c>
      <c r="G1062" s="136" t="str">
        <f>tbl_IO_List[[#This Row],[PLC_Tag]]</f>
        <v>Spare_DO_0</v>
      </c>
      <c r="H1062" s="136"/>
      <c r="I1062" s="136" t="str">
        <f>VLOOKUP(tbl_IO_List[[#This Row],[Destination]],tbl_Junction[],2,FALSE)</f>
        <v>MCC Room</v>
      </c>
      <c r="J1062" s="136"/>
      <c r="K1062" s="136"/>
      <c r="L1062" s="136" t="s">
        <v>411</v>
      </c>
      <c r="M1062" s="136" t="e">
        <f>VLOOKUP(tbl_IO_List[[#This Row],[Instruement Tag]],tbl_Instruement_List[],2,FALSE)</f>
        <v>#N/A</v>
      </c>
      <c r="N1062" s="136"/>
      <c r="O1062" s="136"/>
      <c r="P1062" s="136"/>
      <c r="Q1062" s="136" t="e">
        <f>VLOOKUP(tbl_IO_List[[#This Row],[Instruement Tag]],tbl_Instruement_List[],6,FALSE)</f>
        <v>#N/A</v>
      </c>
      <c r="R1062" s="136"/>
      <c r="S106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062" s="136" t="str">
        <f>tbl_IO_List[[#This Row],[Instruement Tag]]&amp;"_"&amp;tbl_IO_List[[#This Row],[I/O Type]]&amp;"_"&amp;tbl_IO_List[[#This Row],[IO-Point 
(Instruement)]]</f>
        <v>Spare_DO_0</v>
      </c>
      <c r="U1062" s="136" t="s">
        <v>7</v>
      </c>
      <c r="V1062" s="136">
        <f>VLOOKUP(tbl_IO_List[[#This Row],[I/O Type]],tbl_Slot_Group[],2,FALSE)</f>
        <v>2</v>
      </c>
      <c r="W1062" s="136">
        <v>0</v>
      </c>
      <c r="X1062" s="136" t="str">
        <f>tbl_IO_List[[#This Row],[Chassis]]&amp;"S"&amp;TEXT(tbl_IO_List[[#This Row],[Slot]],"00")</f>
        <v>C7S07</v>
      </c>
      <c r="Y1062" s="136" t="str">
        <f>tbl_IO_List[[#This Row],[Chassis]]&amp;"S"&amp;TEXT(tbl_IO_List[[#This Row],[Slot]],"00")&amp;tbl_IO_List[[#This Row],[I/O Type]]&amp;TEXT(tbl_IO_List[[#This Row],[Point]],"00")</f>
        <v>C7S07DO20</v>
      </c>
      <c r="Z1062" s="136" t="str">
        <f>tbl_IO_List[[#This Row],[Chassis]]&amp;"S"&amp;TEXT(tbl_IO_List[[#This Row],[Slot]],"00")&amp;","&amp;TEXT(tbl_IO_List[[#This Row],[Point]],"00")</f>
        <v>C7S07,20</v>
      </c>
      <c r="AA1062" s="136" t="e">
        <f>VLOOKUP(tbl_IO_List[[#This Row],[Column23]],tbl_RackConfig[],5,FALSE) &amp;"-"&amp;tbl_IO_List[[#This Row],[Point]]</f>
        <v>#N/A</v>
      </c>
      <c r="AB1062" s="136"/>
      <c r="AC1062" s="136"/>
      <c r="AD1062" s="136" t="str">
        <f>tbl_IO_List[[#This Row],[I/O Type]]</f>
        <v>DO</v>
      </c>
      <c r="AE1062" s="136" t="s">
        <v>1368</v>
      </c>
      <c r="AF1062" s="136">
        <v>7</v>
      </c>
      <c r="AG1062" s="136">
        <v>20</v>
      </c>
      <c r="AH1062" s="136"/>
      <c r="AI1062" s="136"/>
      <c r="AJ1062" s="136">
        <v>0</v>
      </c>
      <c r="AK1062" s="136">
        <v>1</v>
      </c>
      <c r="AL1062" s="136">
        <v>0</v>
      </c>
      <c r="AM1062" s="136">
        <v>0</v>
      </c>
      <c r="AN1062" s="136">
        <v>0</v>
      </c>
      <c r="AO1062" s="136"/>
      <c r="AP1062" s="143"/>
      <c r="AQ1062" s="143" t="str">
        <f>tbl_IO_List[[#This Row],[Chassis]]&amp;"S"&amp;tbl_IO_List[[#This Row],[Slot]]&amp;"-"&amp;tbl_IO_List[[#This Row],[Front Terminal Number]]</f>
        <v>C7S7-</v>
      </c>
      <c r="AR1062" s="143"/>
      <c r="AS1062" s="136" t="str">
        <f>tbl_IO_List[[#This Row],[Terminal Tagging]]&amp;"-"&amp;tbl_IO_List[[#This Row],[Point-Count]]</f>
        <v>-</v>
      </c>
      <c r="AT1062" s="136" t="str">
        <f>tbl_IO_List[[#This Row],[Front Terminal Tagging]]&amp;"/"&amp;tbl_IO_List[[#This Row],[Terminal Tagging-Item]]</f>
        <v>C7S7-/-</v>
      </c>
      <c r="AU1062" s="136" t="str">
        <f>tbl_IO_List[[#This Row],[Terminal Tagging-Item]]&amp;"/"&amp;tbl_IO_List[[#This Row],[Front Terminal Tagging]]</f>
        <v>-/C7S7-</v>
      </c>
    </row>
    <row r="1063" spans="1:47" hidden="1">
      <c r="A1063" s="136" t="s">
        <v>1307</v>
      </c>
      <c r="B1063" s="136" t="s">
        <v>1307</v>
      </c>
      <c r="C1063" s="136" t="str">
        <f>tbl_IO_List[[#This Row],[Column3]]</f>
        <v>C7S07,21</v>
      </c>
      <c r="D1063" s="136" t="e">
        <f>tbl_IO_List[[#This Row],[Card]]</f>
        <v>#N/A</v>
      </c>
      <c r="E1063" s="136"/>
      <c r="F1063" s="136" t="str">
        <f>tbl_IO_List[[#This Row],[Column23]]&amp;"-" &amp;tbl_IO_List[[#This Row],[Column52]]</f>
        <v>C7S07-</v>
      </c>
      <c r="G1063" s="136" t="str">
        <f>tbl_IO_List[[#This Row],[PLC_Tag]]</f>
        <v>Spare_DO_0</v>
      </c>
      <c r="H1063" s="136"/>
      <c r="I1063" s="136" t="str">
        <f>VLOOKUP(tbl_IO_List[[#This Row],[Destination]],tbl_Junction[],2,FALSE)</f>
        <v>MCC Room</v>
      </c>
      <c r="J1063" s="136"/>
      <c r="K1063" s="136"/>
      <c r="L1063" s="136" t="s">
        <v>411</v>
      </c>
      <c r="M1063" s="136" t="e">
        <f>VLOOKUP(tbl_IO_List[[#This Row],[Instruement Tag]],tbl_Instruement_List[],2,FALSE)</f>
        <v>#N/A</v>
      </c>
      <c r="N1063" s="136"/>
      <c r="O1063" s="136"/>
      <c r="P1063" s="136"/>
      <c r="Q1063" s="136" t="e">
        <f>VLOOKUP(tbl_IO_List[[#This Row],[Instruement Tag]],tbl_Instruement_List[],6,FALSE)</f>
        <v>#N/A</v>
      </c>
      <c r="R1063" s="136"/>
      <c r="S106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063" s="136" t="str">
        <f>tbl_IO_List[[#This Row],[Instruement Tag]]&amp;"_"&amp;tbl_IO_List[[#This Row],[I/O Type]]&amp;"_"&amp;tbl_IO_List[[#This Row],[IO-Point 
(Instruement)]]</f>
        <v>Spare_DO_0</v>
      </c>
      <c r="U1063" s="136" t="s">
        <v>7</v>
      </c>
      <c r="V1063" s="136">
        <f>VLOOKUP(tbl_IO_List[[#This Row],[I/O Type]],tbl_Slot_Group[],2,FALSE)</f>
        <v>2</v>
      </c>
      <c r="W1063" s="136">
        <v>0</v>
      </c>
      <c r="X1063" s="136" t="str">
        <f>tbl_IO_List[[#This Row],[Chassis]]&amp;"S"&amp;TEXT(tbl_IO_List[[#This Row],[Slot]],"00")</f>
        <v>C7S07</v>
      </c>
      <c r="Y1063" s="136" t="str">
        <f>tbl_IO_List[[#This Row],[Chassis]]&amp;"S"&amp;TEXT(tbl_IO_List[[#This Row],[Slot]],"00")&amp;tbl_IO_List[[#This Row],[I/O Type]]&amp;TEXT(tbl_IO_List[[#This Row],[Point]],"00")</f>
        <v>C7S07DO21</v>
      </c>
      <c r="Z1063" s="136" t="str">
        <f>tbl_IO_List[[#This Row],[Chassis]]&amp;"S"&amp;TEXT(tbl_IO_List[[#This Row],[Slot]],"00")&amp;","&amp;TEXT(tbl_IO_List[[#This Row],[Point]],"00")</f>
        <v>C7S07,21</v>
      </c>
      <c r="AA1063" s="136" t="e">
        <f>VLOOKUP(tbl_IO_List[[#This Row],[Column23]],tbl_RackConfig[],5,FALSE) &amp;"-"&amp;tbl_IO_List[[#This Row],[Point]]</f>
        <v>#N/A</v>
      </c>
      <c r="AB1063" s="136"/>
      <c r="AC1063" s="136"/>
      <c r="AD1063" s="136" t="str">
        <f>tbl_IO_List[[#This Row],[I/O Type]]</f>
        <v>DO</v>
      </c>
      <c r="AE1063" s="136" t="s">
        <v>1368</v>
      </c>
      <c r="AF1063" s="136">
        <v>7</v>
      </c>
      <c r="AG1063" s="136">
        <v>21</v>
      </c>
      <c r="AH1063" s="136"/>
      <c r="AI1063" s="136"/>
      <c r="AJ1063" s="136">
        <v>0</v>
      </c>
      <c r="AK1063" s="136">
        <v>1</v>
      </c>
      <c r="AL1063" s="136">
        <v>0</v>
      </c>
      <c r="AM1063" s="136">
        <v>0</v>
      </c>
      <c r="AN1063" s="136">
        <v>0</v>
      </c>
      <c r="AO1063" s="136"/>
      <c r="AP1063" s="143"/>
      <c r="AQ1063" s="143" t="str">
        <f>tbl_IO_List[[#This Row],[Chassis]]&amp;"S"&amp;tbl_IO_List[[#This Row],[Slot]]&amp;"-"&amp;tbl_IO_List[[#This Row],[Front Terminal Number]]</f>
        <v>C7S7-</v>
      </c>
      <c r="AR1063" s="143"/>
      <c r="AS1063" s="136" t="str">
        <f>tbl_IO_List[[#This Row],[Terminal Tagging]]&amp;"-"&amp;tbl_IO_List[[#This Row],[Point-Count]]</f>
        <v>-</v>
      </c>
      <c r="AT1063" s="136" t="str">
        <f>tbl_IO_List[[#This Row],[Front Terminal Tagging]]&amp;"/"&amp;tbl_IO_List[[#This Row],[Terminal Tagging-Item]]</f>
        <v>C7S7-/-</v>
      </c>
      <c r="AU1063" s="136" t="str">
        <f>tbl_IO_List[[#This Row],[Terminal Tagging-Item]]&amp;"/"&amp;tbl_IO_List[[#This Row],[Front Terminal Tagging]]</f>
        <v>-/C7S7-</v>
      </c>
    </row>
    <row r="1064" spans="1:47" hidden="1">
      <c r="A1064" s="136" t="s">
        <v>1307</v>
      </c>
      <c r="B1064" s="136" t="s">
        <v>1307</v>
      </c>
      <c r="C1064" s="136" t="str">
        <f>tbl_IO_List[[#This Row],[Column3]]</f>
        <v>C7S07,22</v>
      </c>
      <c r="D1064" s="136" t="e">
        <f>tbl_IO_List[[#This Row],[Card]]</f>
        <v>#N/A</v>
      </c>
      <c r="E1064" s="136"/>
      <c r="F1064" s="136" t="str">
        <f>tbl_IO_List[[#This Row],[Column23]]&amp;"-" &amp;tbl_IO_List[[#This Row],[Column52]]</f>
        <v>C7S07-</v>
      </c>
      <c r="G1064" s="136" t="str">
        <f>tbl_IO_List[[#This Row],[PLC_Tag]]</f>
        <v>Spare_DO_0</v>
      </c>
      <c r="H1064" s="136"/>
      <c r="I1064" s="136" t="str">
        <f>VLOOKUP(tbl_IO_List[[#This Row],[Destination]],tbl_Junction[],2,FALSE)</f>
        <v>MCC Room</v>
      </c>
      <c r="J1064" s="136"/>
      <c r="K1064" s="136"/>
      <c r="L1064" s="136" t="s">
        <v>411</v>
      </c>
      <c r="M1064" s="136" t="e">
        <f>VLOOKUP(tbl_IO_List[[#This Row],[Instruement Tag]],tbl_Instruement_List[],2,FALSE)</f>
        <v>#N/A</v>
      </c>
      <c r="N1064" s="136"/>
      <c r="O1064" s="136"/>
      <c r="P1064" s="136"/>
      <c r="Q1064" s="136" t="e">
        <f>VLOOKUP(tbl_IO_List[[#This Row],[Instruement Tag]],tbl_Instruement_List[],6,FALSE)</f>
        <v>#N/A</v>
      </c>
      <c r="R1064" s="136"/>
      <c r="S106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064" s="136" t="str">
        <f>tbl_IO_List[[#This Row],[Instruement Tag]]&amp;"_"&amp;tbl_IO_List[[#This Row],[I/O Type]]&amp;"_"&amp;tbl_IO_List[[#This Row],[IO-Point 
(Instruement)]]</f>
        <v>Spare_DO_0</v>
      </c>
      <c r="U1064" s="136" t="s">
        <v>7</v>
      </c>
      <c r="V1064" s="136">
        <f>VLOOKUP(tbl_IO_List[[#This Row],[I/O Type]],tbl_Slot_Group[],2,FALSE)</f>
        <v>2</v>
      </c>
      <c r="W1064" s="136">
        <v>0</v>
      </c>
      <c r="X1064" s="136" t="str">
        <f>tbl_IO_List[[#This Row],[Chassis]]&amp;"S"&amp;TEXT(tbl_IO_List[[#This Row],[Slot]],"00")</f>
        <v>C7S07</v>
      </c>
      <c r="Y1064" s="136" t="str">
        <f>tbl_IO_List[[#This Row],[Chassis]]&amp;"S"&amp;TEXT(tbl_IO_List[[#This Row],[Slot]],"00")&amp;tbl_IO_List[[#This Row],[I/O Type]]&amp;TEXT(tbl_IO_List[[#This Row],[Point]],"00")</f>
        <v>C7S07DO22</v>
      </c>
      <c r="Z1064" s="136" t="str">
        <f>tbl_IO_List[[#This Row],[Chassis]]&amp;"S"&amp;TEXT(tbl_IO_List[[#This Row],[Slot]],"00")&amp;","&amp;TEXT(tbl_IO_List[[#This Row],[Point]],"00")</f>
        <v>C7S07,22</v>
      </c>
      <c r="AA1064" s="136" t="e">
        <f>VLOOKUP(tbl_IO_List[[#This Row],[Column23]],tbl_RackConfig[],5,FALSE) &amp;"-"&amp;tbl_IO_List[[#This Row],[Point]]</f>
        <v>#N/A</v>
      </c>
      <c r="AB1064" s="136"/>
      <c r="AC1064" s="136"/>
      <c r="AD1064" s="136" t="str">
        <f>tbl_IO_List[[#This Row],[I/O Type]]</f>
        <v>DO</v>
      </c>
      <c r="AE1064" s="136" t="s">
        <v>1368</v>
      </c>
      <c r="AF1064" s="136">
        <v>7</v>
      </c>
      <c r="AG1064" s="136">
        <v>22</v>
      </c>
      <c r="AH1064" s="136"/>
      <c r="AI1064" s="136"/>
      <c r="AJ1064" s="136">
        <v>0</v>
      </c>
      <c r="AK1064" s="136">
        <v>1</v>
      </c>
      <c r="AL1064" s="136">
        <v>0</v>
      </c>
      <c r="AM1064" s="136">
        <v>0</v>
      </c>
      <c r="AN1064" s="136">
        <v>0</v>
      </c>
      <c r="AO1064" s="136"/>
      <c r="AP1064" s="143"/>
      <c r="AQ1064" s="143" t="str">
        <f>tbl_IO_List[[#This Row],[Chassis]]&amp;"S"&amp;tbl_IO_List[[#This Row],[Slot]]&amp;"-"&amp;tbl_IO_List[[#This Row],[Front Terminal Number]]</f>
        <v>C7S7-</v>
      </c>
      <c r="AR1064" s="143"/>
      <c r="AS1064" s="136" t="str">
        <f>tbl_IO_List[[#This Row],[Terminal Tagging]]&amp;"-"&amp;tbl_IO_List[[#This Row],[Point-Count]]</f>
        <v>-</v>
      </c>
      <c r="AT1064" s="136" t="str">
        <f>tbl_IO_List[[#This Row],[Front Terminal Tagging]]&amp;"/"&amp;tbl_IO_List[[#This Row],[Terminal Tagging-Item]]</f>
        <v>C7S7-/-</v>
      </c>
      <c r="AU1064" s="136" t="str">
        <f>tbl_IO_List[[#This Row],[Terminal Tagging-Item]]&amp;"/"&amp;tbl_IO_List[[#This Row],[Front Terminal Tagging]]</f>
        <v>-/C7S7-</v>
      </c>
    </row>
    <row r="1065" spans="1:47" hidden="1">
      <c r="A1065" s="136" t="s">
        <v>1307</v>
      </c>
      <c r="B1065" s="136" t="s">
        <v>1307</v>
      </c>
      <c r="C1065" s="136" t="str">
        <f>tbl_IO_List[[#This Row],[Column3]]</f>
        <v>C7S07,23</v>
      </c>
      <c r="D1065" s="136" t="e">
        <f>tbl_IO_List[[#This Row],[Card]]</f>
        <v>#N/A</v>
      </c>
      <c r="E1065" s="136"/>
      <c r="F1065" s="136" t="str">
        <f>tbl_IO_List[[#This Row],[Column23]]&amp;"-" &amp;tbl_IO_List[[#This Row],[Column52]]</f>
        <v>C7S07-</v>
      </c>
      <c r="G1065" s="136" t="str">
        <f>tbl_IO_List[[#This Row],[PLC_Tag]]</f>
        <v>Spare_DO_0</v>
      </c>
      <c r="H1065" s="136"/>
      <c r="I1065" s="136" t="str">
        <f>VLOOKUP(tbl_IO_List[[#This Row],[Destination]],tbl_Junction[],2,FALSE)</f>
        <v>MCC Room</v>
      </c>
      <c r="J1065" s="136"/>
      <c r="K1065" s="136"/>
      <c r="L1065" s="136" t="s">
        <v>411</v>
      </c>
      <c r="M1065" s="136" t="e">
        <f>VLOOKUP(tbl_IO_List[[#This Row],[Instruement Tag]],tbl_Instruement_List[],2,FALSE)</f>
        <v>#N/A</v>
      </c>
      <c r="N1065" s="136"/>
      <c r="O1065" s="136"/>
      <c r="P1065" s="136"/>
      <c r="Q1065" s="136" t="e">
        <f>VLOOKUP(tbl_IO_List[[#This Row],[Instruement Tag]],tbl_Instruement_List[],6,FALSE)</f>
        <v>#N/A</v>
      </c>
      <c r="R1065" s="136"/>
      <c r="S106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065" s="136" t="str">
        <f>tbl_IO_List[[#This Row],[Instruement Tag]]&amp;"_"&amp;tbl_IO_List[[#This Row],[I/O Type]]&amp;"_"&amp;tbl_IO_List[[#This Row],[IO-Point 
(Instruement)]]</f>
        <v>Spare_DO_0</v>
      </c>
      <c r="U1065" s="136" t="s">
        <v>7</v>
      </c>
      <c r="V1065" s="136">
        <f>VLOOKUP(tbl_IO_List[[#This Row],[I/O Type]],tbl_Slot_Group[],2,FALSE)</f>
        <v>2</v>
      </c>
      <c r="W1065" s="136">
        <v>0</v>
      </c>
      <c r="X1065" s="136" t="str">
        <f>tbl_IO_List[[#This Row],[Chassis]]&amp;"S"&amp;TEXT(tbl_IO_List[[#This Row],[Slot]],"00")</f>
        <v>C7S07</v>
      </c>
      <c r="Y1065" s="136" t="str">
        <f>tbl_IO_List[[#This Row],[Chassis]]&amp;"S"&amp;TEXT(tbl_IO_List[[#This Row],[Slot]],"00")&amp;tbl_IO_List[[#This Row],[I/O Type]]&amp;TEXT(tbl_IO_List[[#This Row],[Point]],"00")</f>
        <v>C7S07DO23</v>
      </c>
      <c r="Z1065" s="136" t="str">
        <f>tbl_IO_List[[#This Row],[Chassis]]&amp;"S"&amp;TEXT(tbl_IO_List[[#This Row],[Slot]],"00")&amp;","&amp;TEXT(tbl_IO_List[[#This Row],[Point]],"00")</f>
        <v>C7S07,23</v>
      </c>
      <c r="AA1065" s="136" t="e">
        <f>VLOOKUP(tbl_IO_List[[#This Row],[Column23]],tbl_RackConfig[],5,FALSE) &amp;"-"&amp;tbl_IO_List[[#This Row],[Point]]</f>
        <v>#N/A</v>
      </c>
      <c r="AB1065" s="136"/>
      <c r="AC1065" s="136"/>
      <c r="AD1065" s="136" t="str">
        <f>tbl_IO_List[[#This Row],[I/O Type]]</f>
        <v>DO</v>
      </c>
      <c r="AE1065" s="136" t="s">
        <v>1368</v>
      </c>
      <c r="AF1065" s="136">
        <v>7</v>
      </c>
      <c r="AG1065" s="136">
        <v>23</v>
      </c>
      <c r="AH1065" s="136"/>
      <c r="AI1065" s="136"/>
      <c r="AJ1065" s="136">
        <v>0</v>
      </c>
      <c r="AK1065" s="136">
        <v>1</v>
      </c>
      <c r="AL1065" s="136">
        <v>0</v>
      </c>
      <c r="AM1065" s="136">
        <v>0</v>
      </c>
      <c r="AN1065" s="136">
        <v>0</v>
      </c>
      <c r="AO1065" s="136"/>
      <c r="AP1065" s="143"/>
      <c r="AQ1065" s="143" t="str">
        <f>tbl_IO_List[[#This Row],[Chassis]]&amp;"S"&amp;tbl_IO_List[[#This Row],[Slot]]&amp;"-"&amp;tbl_IO_List[[#This Row],[Front Terminal Number]]</f>
        <v>C7S7-</v>
      </c>
      <c r="AR1065" s="143"/>
      <c r="AS1065" s="136" t="str">
        <f>tbl_IO_List[[#This Row],[Terminal Tagging]]&amp;"-"&amp;tbl_IO_List[[#This Row],[Point-Count]]</f>
        <v>-</v>
      </c>
      <c r="AT1065" s="136" t="str">
        <f>tbl_IO_List[[#This Row],[Front Terminal Tagging]]&amp;"/"&amp;tbl_IO_List[[#This Row],[Terminal Tagging-Item]]</f>
        <v>C7S7-/-</v>
      </c>
      <c r="AU1065" s="136" t="str">
        <f>tbl_IO_List[[#This Row],[Terminal Tagging-Item]]&amp;"/"&amp;tbl_IO_List[[#This Row],[Front Terminal Tagging]]</f>
        <v>-/C7S7-</v>
      </c>
    </row>
    <row r="1066" spans="1:47" hidden="1">
      <c r="A1066" s="136" t="s">
        <v>1307</v>
      </c>
      <c r="B1066" s="136" t="s">
        <v>1307</v>
      </c>
      <c r="C1066" s="136" t="str">
        <f>tbl_IO_List[[#This Row],[Column3]]</f>
        <v>C7S07,24</v>
      </c>
      <c r="D1066" s="136" t="e">
        <f>tbl_IO_List[[#This Row],[Card]]</f>
        <v>#N/A</v>
      </c>
      <c r="E1066" s="136"/>
      <c r="F1066" s="136" t="str">
        <f>tbl_IO_List[[#This Row],[Column23]]&amp;"-" &amp;tbl_IO_List[[#This Row],[Column52]]</f>
        <v>C7S07-</v>
      </c>
      <c r="G1066" s="136" t="str">
        <f>tbl_IO_List[[#This Row],[PLC_Tag]]</f>
        <v>Spare_DO_0</v>
      </c>
      <c r="H1066" s="136"/>
      <c r="I1066" s="136" t="str">
        <f>VLOOKUP(tbl_IO_List[[#This Row],[Destination]],tbl_Junction[],2,FALSE)</f>
        <v>MCC Room</v>
      </c>
      <c r="J1066" s="136"/>
      <c r="K1066" s="136"/>
      <c r="L1066" s="136" t="s">
        <v>411</v>
      </c>
      <c r="M1066" s="136" t="e">
        <f>VLOOKUP(tbl_IO_List[[#This Row],[Instruement Tag]],tbl_Instruement_List[],2,FALSE)</f>
        <v>#N/A</v>
      </c>
      <c r="N1066" s="136"/>
      <c r="O1066" s="136"/>
      <c r="P1066" s="136"/>
      <c r="Q1066" s="136" t="e">
        <f>VLOOKUP(tbl_IO_List[[#This Row],[Instruement Tag]],tbl_Instruement_List[],6,FALSE)</f>
        <v>#N/A</v>
      </c>
      <c r="R1066" s="136"/>
      <c r="S106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066" s="136" t="str">
        <f>tbl_IO_List[[#This Row],[Instruement Tag]]&amp;"_"&amp;tbl_IO_List[[#This Row],[I/O Type]]&amp;"_"&amp;tbl_IO_List[[#This Row],[IO-Point 
(Instruement)]]</f>
        <v>Spare_DO_0</v>
      </c>
      <c r="U1066" s="136" t="s">
        <v>7</v>
      </c>
      <c r="V1066" s="136">
        <f>VLOOKUP(tbl_IO_List[[#This Row],[I/O Type]],tbl_Slot_Group[],2,FALSE)</f>
        <v>2</v>
      </c>
      <c r="W1066" s="136">
        <v>0</v>
      </c>
      <c r="X1066" s="136" t="str">
        <f>tbl_IO_List[[#This Row],[Chassis]]&amp;"S"&amp;TEXT(tbl_IO_List[[#This Row],[Slot]],"00")</f>
        <v>C7S07</v>
      </c>
      <c r="Y1066" s="136" t="str">
        <f>tbl_IO_List[[#This Row],[Chassis]]&amp;"S"&amp;TEXT(tbl_IO_List[[#This Row],[Slot]],"00")&amp;tbl_IO_List[[#This Row],[I/O Type]]&amp;TEXT(tbl_IO_List[[#This Row],[Point]],"00")</f>
        <v>C7S07DO24</v>
      </c>
      <c r="Z1066" s="136" t="str">
        <f>tbl_IO_List[[#This Row],[Chassis]]&amp;"S"&amp;TEXT(tbl_IO_List[[#This Row],[Slot]],"00")&amp;","&amp;TEXT(tbl_IO_List[[#This Row],[Point]],"00")</f>
        <v>C7S07,24</v>
      </c>
      <c r="AA1066" s="136" t="e">
        <f>VLOOKUP(tbl_IO_List[[#This Row],[Column23]],tbl_RackConfig[],5,FALSE) &amp;"-"&amp;tbl_IO_List[[#This Row],[Point]]</f>
        <v>#N/A</v>
      </c>
      <c r="AB1066" s="136"/>
      <c r="AC1066" s="136"/>
      <c r="AD1066" s="136" t="str">
        <f>tbl_IO_List[[#This Row],[I/O Type]]</f>
        <v>DO</v>
      </c>
      <c r="AE1066" s="136" t="s">
        <v>1368</v>
      </c>
      <c r="AF1066" s="136">
        <v>7</v>
      </c>
      <c r="AG1066" s="136">
        <v>24</v>
      </c>
      <c r="AH1066" s="136"/>
      <c r="AI1066" s="136"/>
      <c r="AJ1066" s="136">
        <v>0</v>
      </c>
      <c r="AK1066" s="136">
        <v>1</v>
      </c>
      <c r="AL1066" s="136">
        <v>0</v>
      </c>
      <c r="AM1066" s="136">
        <v>0</v>
      </c>
      <c r="AN1066" s="136">
        <v>0</v>
      </c>
      <c r="AO1066" s="136"/>
      <c r="AP1066" s="143"/>
      <c r="AQ1066" s="143" t="str">
        <f>tbl_IO_List[[#This Row],[Chassis]]&amp;"S"&amp;tbl_IO_List[[#This Row],[Slot]]&amp;"-"&amp;tbl_IO_List[[#This Row],[Front Terminal Number]]</f>
        <v>C7S7-</v>
      </c>
      <c r="AR1066" s="143"/>
      <c r="AS1066" s="136" t="str">
        <f>tbl_IO_List[[#This Row],[Terminal Tagging]]&amp;"-"&amp;tbl_IO_List[[#This Row],[Point-Count]]</f>
        <v>-</v>
      </c>
      <c r="AT1066" s="136" t="str">
        <f>tbl_IO_List[[#This Row],[Front Terminal Tagging]]&amp;"/"&amp;tbl_IO_List[[#This Row],[Terminal Tagging-Item]]</f>
        <v>C7S7-/-</v>
      </c>
      <c r="AU1066" s="136" t="str">
        <f>tbl_IO_List[[#This Row],[Terminal Tagging-Item]]&amp;"/"&amp;tbl_IO_List[[#This Row],[Front Terminal Tagging]]</f>
        <v>-/C7S7-</v>
      </c>
    </row>
    <row r="1067" spans="1:47" hidden="1">
      <c r="A1067" s="136" t="s">
        <v>1307</v>
      </c>
      <c r="B1067" s="136" t="s">
        <v>1307</v>
      </c>
      <c r="C1067" s="136" t="str">
        <f>tbl_IO_List[[#This Row],[Column3]]</f>
        <v>C7S07,25</v>
      </c>
      <c r="D1067" s="136" t="e">
        <f>tbl_IO_List[[#This Row],[Card]]</f>
        <v>#N/A</v>
      </c>
      <c r="E1067" s="136"/>
      <c r="F1067" s="136" t="str">
        <f>tbl_IO_List[[#This Row],[Column23]]&amp;"-" &amp;tbl_IO_List[[#This Row],[Column52]]</f>
        <v>C7S07-</v>
      </c>
      <c r="G1067" s="136" t="str">
        <f>tbl_IO_List[[#This Row],[PLC_Tag]]</f>
        <v>Spare_DO_0</v>
      </c>
      <c r="H1067" s="136"/>
      <c r="I1067" s="136" t="str">
        <f>VLOOKUP(tbl_IO_List[[#This Row],[Destination]],tbl_Junction[],2,FALSE)</f>
        <v>MCC Room</v>
      </c>
      <c r="J1067" s="136"/>
      <c r="K1067" s="136"/>
      <c r="L1067" s="136" t="s">
        <v>411</v>
      </c>
      <c r="M1067" s="136" t="e">
        <f>VLOOKUP(tbl_IO_List[[#This Row],[Instruement Tag]],tbl_Instruement_List[],2,FALSE)</f>
        <v>#N/A</v>
      </c>
      <c r="N1067" s="136"/>
      <c r="O1067" s="136"/>
      <c r="P1067" s="136"/>
      <c r="Q1067" s="136" t="e">
        <f>VLOOKUP(tbl_IO_List[[#This Row],[Instruement Tag]],tbl_Instruement_List[],6,FALSE)</f>
        <v>#N/A</v>
      </c>
      <c r="R1067" s="136"/>
      <c r="S106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067" s="136" t="str">
        <f>tbl_IO_List[[#This Row],[Instruement Tag]]&amp;"_"&amp;tbl_IO_List[[#This Row],[I/O Type]]&amp;"_"&amp;tbl_IO_List[[#This Row],[IO-Point 
(Instruement)]]</f>
        <v>Spare_DO_0</v>
      </c>
      <c r="U1067" s="136" t="s">
        <v>7</v>
      </c>
      <c r="V1067" s="136">
        <f>VLOOKUP(tbl_IO_List[[#This Row],[I/O Type]],tbl_Slot_Group[],2,FALSE)</f>
        <v>2</v>
      </c>
      <c r="W1067" s="136">
        <v>0</v>
      </c>
      <c r="X1067" s="136" t="str">
        <f>tbl_IO_List[[#This Row],[Chassis]]&amp;"S"&amp;TEXT(tbl_IO_List[[#This Row],[Slot]],"00")</f>
        <v>C7S07</v>
      </c>
      <c r="Y1067" s="136" t="str">
        <f>tbl_IO_List[[#This Row],[Chassis]]&amp;"S"&amp;TEXT(tbl_IO_List[[#This Row],[Slot]],"00")&amp;tbl_IO_List[[#This Row],[I/O Type]]&amp;TEXT(tbl_IO_List[[#This Row],[Point]],"00")</f>
        <v>C7S07DO25</v>
      </c>
      <c r="Z1067" s="136" t="str">
        <f>tbl_IO_List[[#This Row],[Chassis]]&amp;"S"&amp;TEXT(tbl_IO_List[[#This Row],[Slot]],"00")&amp;","&amp;TEXT(tbl_IO_List[[#This Row],[Point]],"00")</f>
        <v>C7S07,25</v>
      </c>
      <c r="AA1067" s="136" t="e">
        <f>VLOOKUP(tbl_IO_List[[#This Row],[Column23]],tbl_RackConfig[],5,FALSE) &amp;"-"&amp;tbl_IO_List[[#This Row],[Point]]</f>
        <v>#N/A</v>
      </c>
      <c r="AB1067" s="136"/>
      <c r="AC1067" s="136"/>
      <c r="AD1067" s="136" t="str">
        <f>tbl_IO_List[[#This Row],[I/O Type]]</f>
        <v>DO</v>
      </c>
      <c r="AE1067" s="136" t="s">
        <v>1368</v>
      </c>
      <c r="AF1067" s="136">
        <v>7</v>
      </c>
      <c r="AG1067" s="136">
        <v>25</v>
      </c>
      <c r="AH1067" s="136"/>
      <c r="AI1067" s="136"/>
      <c r="AJ1067" s="136">
        <v>0</v>
      </c>
      <c r="AK1067" s="136">
        <v>1</v>
      </c>
      <c r="AL1067" s="136">
        <v>0</v>
      </c>
      <c r="AM1067" s="136">
        <v>0</v>
      </c>
      <c r="AN1067" s="136">
        <v>0</v>
      </c>
      <c r="AO1067" s="136"/>
      <c r="AP1067" s="143"/>
      <c r="AQ1067" s="143" t="str">
        <f>tbl_IO_List[[#This Row],[Chassis]]&amp;"S"&amp;tbl_IO_List[[#This Row],[Slot]]&amp;"-"&amp;tbl_IO_List[[#This Row],[Front Terminal Number]]</f>
        <v>C7S7-</v>
      </c>
      <c r="AR1067" s="143"/>
      <c r="AS1067" s="136" t="str">
        <f>tbl_IO_List[[#This Row],[Terminal Tagging]]&amp;"-"&amp;tbl_IO_List[[#This Row],[Point-Count]]</f>
        <v>-</v>
      </c>
      <c r="AT1067" s="136" t="str">
        <f>tbl_IO_List[[#This Row],[Front Terminal Tagging]]&amp;"/"&amp;tbl_IO_List[[#This Row],[Terminal Tagging-Item]]</f>
        <v>C7S7-/-</v>
      </c>
      <c r="AU1067" s="136" t="str">
        <f>tbl_IO_List[[#This Row],[Terminal Tagging-Item]]&amp;"/"&amp;tbl_IO_List[[#This Row],[Front Terminal Tagging]]</f>
        <v>-/C7S7-</v>
      </c>
    </row>
    <row r="1068" spans="1:47" hidden="1">
      <c r="A1068" s="136" t="s">
        <v>1307</v>
      </c>
      <c r="B1068" s="136" t="s">
        <v>1307</v>
      </c>
      <c r="C1068" s="136" t="str">
        <f>tbl_IO_List[[#This Row],[Column3]]</f>
        <v>C7S07,26</v>
      </c>
      <c r="D1068" s="136" t="e">
        <f>tbl_IO_List[[#This Row],[Card]]</f>
        <v>#N/A</v>
      </c>
      <c r="E1068" s="136"/>
      <c r="F1068" s="136" t="str">
        <f>tbl_IO_List[[#This Row],[Column23]]&amp;"-" &amp;tbl_IO_List[[#This Row],[Column52]]</f>
        <v>C7S07-</v>
      </c>
      <c r="G1068" s="136" t="str">
        <f>tbl_IO_List[[#This Row],[PLC_Tag]]</f>
        <v>Spare_DO_0</v>
      </c>
      <c r="H1068" s="136"/>
      <c r="I1068" s="136" t="str">
        <f>VLOOKUP(tbl_IO_List[[#This Row],[Destination]],tbl_Junction[],2,FALSE)</f>
        <v>MCC Room</v>
      </c>
      <c r="J1068" s="136"/>
      <c r="K1068" s="136"/>
      <c r="L1068" s="136" t="s">
        <v>411</v>
      </c>
      <c r="M1068" s="136" t="e">
        <f>VLOOKUP(tbl_IO_List[[#This Row],[Instruement Tag]],tbl_Instruement_List[],2,FALSE)</f>
        <v>#N/A</v>
      </c>
      <c r="N1068" s="136"/>
      <c r="O1068" s="136"/>
      <c r="P1068" s="136"/>
      <c r="Q1068" s="136" t="e">
        <f>VLOOKUP(tbl_IO_List[[#This Row],[Instruement Tag]],tbl_Instruement_List[],6,FALSE)</f>
        <v>#N/A</v>
      </c>
      <c r="R1068" s="136"/>
      <c r="S106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068" s="136" t="str">
        <f>tbl_IO_List[[#This Row],[Instruement Tag]]&amp;"_"&amp;tbl_IO_List[[#This Row],[I/O Type]]&amp;"_"&amp;tbl_IO_List[[#This Row],[IO-Point 
(Instruement)]]</f>
        <v>Spare_DO_0</v>
      </c>
      <c r="U1068" s="136" t="s">
        <v>7</v>
      </c>
      <c r="V1068" s="136">
        <f>VLOOKUP(tbl_IO_List[[#This Row],[I/O Type]],tbl_Slot_Group[],2,FALSE)</f>
        <v>2</v>
      </c>
      <c r="W1068" s="136">
        <v>0</v>
      </c>
      <c r="X1068" s="136" t="str">
        <f>tbl_IO_List[[#This Row],[Chassis]]&amp;"S"&amp;TEXT(tbl_IO_List[[#This Row],[Slot]],"00")</f>
        <v>C7S07</v>
      </c>
      <c r="Y1068" s="136" t="str">
        <f>tbl_IO_List[[#This Row],[Chassis]]&amp;"S"&amp;TEXT(tbl_IO_List[[#This Row],[Slot]],"00")&amp;tbl_IO_List[[#This Row],[I/O Type]]&amp;TEXT(tbl_IO_List[[#This Row],[Point]],"00")</f>
        <v>C7S07DO26</v>
      </c>
      <c r="Z1068" s="136" t="str">
        <f>tbl_IO_List[[#This Row],[Chassis]]&amp;"S"&amp;TEXT(tbl_IO_List[[#This Row],[Slot]],"00")&amp;","&amp;TEXT(tbl_IO_List[[#This Row],[Point]],"00")</f>
        <v>C7S07,26</v>
      </c>
      <c r="AA1068" s="136" t="e">
        <f>VLOOKUP(tbl_IO_List[[#This Row],[Column23]],tbl_RackConfig[],5,FALSE) &amp;"-"&amp;tbl_IO_List[[#This Row],[Point]]</f>
        <v>#N/A</v>
      </c>
      <c r="AB1068" s="136"/>
      <c r="AC1068" s="136"/>
      <c r="AD1068" s="136" t="str">
        <f>tbl_IO_List[[#This Row],[I/O Type]]</f>
        <v>DO</v>
      </c>
      <c r="AE1068" s="136" t="s">
        <v>1368</v>
      </c>
      <c r="AF1068" s="136">
        <v>7</v>
      </c>
      <c r="AG1068" s="136">
        <v>26</v>
      </c>
      <c r="AH1068" s="136"/>
      <c r="AI1068" s="136"/>
      <c r="AJ1068" s="136">
        <v>0</v>
      </c>
      <c r="AK1068" s="136">
        <v>1</v>
      </c>
      <c r="AL1068" s="136">
        <v>0</v>
      </c>
      <c r="AM1068" s="136">
        <v>0</v>
      </c>
      <c r="AN1068" s="136">
        <v>0</v>
      </c>
      <c r="AO1068" s="136"/>
      <c r="AP1068" s="143"/>
      <c r="AQ1068" s="143" t="str">
        <f>tbl_IO_List[[#This Row],[Chassis]]&amp;"S"&amp;tbl_IO_List[[#This Row],[Slot]]&amp;"-"&amp;tbl_IO_List[[#This Row],[Front Terminal Number]]</f>
        <v>C7S7-</v>
      </c>
      <c r="AR1068" s="143"/>
      <c r="AS1068" s="136" t="str">
        <f>tbl_IO_List[[#This Row],[Terminal Tagging]]&amp;"-"&amp;tbl_IO_List[[#This Row],[Point-Count]]</f>
        <v>-</v>
      </c>
      <c r="AT1068" s="136" t="str">
        <f>tbl_IO_List[[#This Row],[Front Terminal Tagging]]&amp;"/"&amp;tbl_IO_List[[#This Row],[Terminal Tagging-Item]]</f>
        <v>C7S7-/-</v>
      </c>
      <c r="AU1068" s="136" t="str">
        <f>tbl_IO_List[[#This Row],[Terminal Tagging-Item]]&amp;"/"&amp;tbl_IO_List[[#This Row],[Front Terminal Tagging]]</f>
        <v>-/C7S7-</v>
      </c>
    </row>
    <row r="1069" spans="1:47" hidden="1">
      <c r="A1069" s="136" t="s">
        <v>1307</v>
      </c>
      <c r="B1069" s="136" t="s">
        <v>1307</v>
      </c>
      <c r="C1069" s="136" t="str">
        <f>tbl_IO_List[[#This Row],[Column3]]</f>
        <v>C7S07,27</v>
      </c>
      <c r="D1069" s="136" t="e">
        <f>tbl_IO_List[[#This Row],[Card]]</f>
        <v>#N/A</v>
      </c>
      <c r="E1069" s="136"/>
      <c r="F1069" s="136" t="str">
        <f>tbl_IO_List[[#This Row],[Column23]]&amp;"-" &amp;tbl_IO_List[[#This Row],[Column52]]</f>
        <v>C7S07-</v>
      </c>
      <c r="G1069" s="136" t="str">
        <f>tbl_IO_List[[#This Row],[PLC_Tag]]</f>
        <v>Spare_DO_0</v>
      </c>
      <c r="H1069" s="136"/>
      <c r="I1069" s="136" t="str">
        <f>VLOOKUP(tbl_IO_List[[#This Row],[Destination]],tbl_Junction[],2,FALSE)</f>
        <v>MCC Room</v>
      </c>
      <c r="J1069" s="136"/>
      <c r="K1069" s="136"/>
      <c r="L1069" s="136" t="s">
        <v>411</v>
      </c>
      <c r="M1069" s="136" t="e">
        <f>VLOOKUP(tbl_IO_List[[#This Row],[Instruement Tag]],tbl_Instruement_List[],2,FALSE)</f>
        <v>#N/A</v>
      </c>
      <c r="N1069" s="136"/>
      <c r="O1069" s="136"/>
      <c r="P1069" s="136"/>
      <c r="Q1069" s="136" t="e">
        <f>VLOOKUP(tbl_IO_List[[#This Row],[Instruement Tag]],tbl_Instruement_List[],6,FALSE)</f>
        <v>#N/A</v>
      </c>
      <c r="R1069" s="136"/>
      <c r="S106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069" s="136" t="str">
        <f>tbl_IO_List[[#This Row],[Instruement Tag]]&amp;"_"&amp;tbl_IO_List[[#This Row],[I/O Type]]&amp;"_"&amp;tbl_IO_List[[#This Row],[IO-Point 
(Instruement)]]</f>
        <v>Spare_DO_0</v>
      </c>
      <c r="U1069" s="136" t="s">
        <v>7</v>
      </c>
      <c r="V1069" s="136">
        <f>VLOOKUP(tbl_IO_List[[#This Row],[I/O Type]],tbl_Slot_Group[],2,FALSE)</f>
        <v>2</v>
      </c>
      <c r="W1069" s="136">
        <v>0</v>
      </c>
      <c r="X1069" s="136" t="str">
        <f>tbl_IO_List[[#This Row],[Chassis]]&amp;"S"&amp;TEXT(tbl_IO_List[[#This Row],[Slot]],"00")</f>
        <v>C7S07</v>
      </c>
      <c r="Y1069" s="136" t="str">
        <f>tbl_IO_List[[#This Row],[Chassis]]&amp;"S"&amp;TEXT(tbl_IO_List[[#This Row],[Slot]],"00")&amp;tbl_IO_List[[#This Row],[I/O Type]]&amp;TEXT(tbl_IO_List[[#This Row],[Point]],"00")</f>
        <v>C7S07DO27</v>
      </c>
      <c r="Z1069" s="136" t="str">
        <f>tbl_IO_List[[#This Row],[Chassis]]&amp;"S"&amp;TEXT(tbl_IO_List[[#This Row],[Slot]],"00")&amp;","&amp;TEXT(tbl_IO_List[[#This Row],[Point]],"00")</f>
        <v>C7S07,27</v>
      </c>
      <c r="AA1069" s="136" t="e">
        <f>VLOOKUP(tbl_IO_List[[#This Row],[Column23]],tbl_RackConfig[],5,FALSE) &amp;"-"&amp;tbl_IO_List[[#This Row],[Point]]</f>
        <v>#N/A</v>
      </c>
      <c r="AB1069" s="136"/>
      <c r="AC1069" s="136"/>
      <c r="AD1069" s="136" t="str">
        <f>tbl_IO_List[[#This Row],[I/O Type]]</f>
        <v>DO</v>
      </c>
      <c r="AE1069" s="136" t="s">
        <v>1368</v>
      </c>
      <c r="AF1069" s="136">
        <v>7</v>
      </c>
      <c r="AG1069" s="136">
        <v>27</v>
      </c>
      <c r="AH1069" s="136"/>
      <c r="AI1069" s="136"/>
      <c r="AJ1069" s="136">
        <v>0</v>
      </c>
      <c r="AK1069" s="136">
        <v>1</v>
      </c>
      <c r="AL1069" s="136">
        <v>0</v>
      </c>
      <c r="AM1069" s="136">
        <v>0</v>
      </c>
      <c r="AN1069" s="136">
        <v>0</v>
      </c>
      <c r="AO1069" s="136"/>
      <c r="AP1069" s="143"/>
      <c r="AQ1069" s="143" t="str">
        <f>tbl_IO_List[[#This Row],[Chassis]]&amp;"S"&amp;tbl_IO_List[[#This Row],[Slot]]&amp;"-"&amp;tbl_IO_List[[#This Row],[Front Terminal Number]]</f>
        <v>C7S7-</v>
      </c>
      <c r="AR1069" s="143"/>
      <c r="AS1069" s="136" t="str">
        <f>tbl_IO_List[[#This Row],[Terminal Tagging]]&amp;"-"&amp;tbl_IO_List[[#This Row],[Point-Count]]</f>
        <v>-</v>
      </c>
      <c r="AT1069" s="136" t="str">
        <f>tbl_IO_List[[#This Row],[Front Terminal Tagging]]&amp;"/"&amp;tbl_IO_List[[#This Row],[Terminal Tagging-Item]]</f>
        <v>C7S7-/-</v>
      </c>
      <c r="AU1069" s="136" t="str">
        <f>tbl_IO_List[[#This Row],[Terminal Tagging-Item]]&amp;"/"&amp;tbl_IO_List[[#This Row],[Front Terminal Tagging]]</f>
        <v>-/C7S7-</v>
      </c>
    </row>
    <row r="1070" spans="1:47" hidden="1">
      <c r="A1070" s="136" t="s">
        <v>1307</v>
      </c>
      <c r="B1070" s="136" t="s">
        <v>1307</v>
      </c>
      <c r="C1070" s="136" t="str">
        <f>tbl_IO_List[[#This Row],[Column3]]</f>
        <v>C7S07,28</v>
      </c>
      <c r="D1070" s="136" t="e">
        <f>tbl_IO_List[[#This Row],[Card]]</f>
        <v>#N/A</v>
      </c>
      <c r="E1070" s="136"/>
      <c r="F1070" s="136" t="str">
        <f>tbl_IO_List[[#This Row],[Column23]]&amp;"-" &amp;tbl_IO_List[[#This Row],[Column52]]</f>
        <v>C7S07-</v>
      </c>
      <c r="G1070" s="136" t="str">
        <f>tbl_IO_List[[#This Row],[PLC_Tag]]</f>
        <v>Spare_DO_0</v>
      </c>
      <c r="H1070" s="136"/>
      <c r="I1070" s="136" t="str">
        <f>VLOOKUP(tbl_IO_List[[#This Row],[Destination]],tbl_Junction[],2,FALSE)</f>
        <v>MCC Room</v>
      </c>
      <c r="J1070" s="136"/>
      <c r="K1070" s="136"/>
      <c r="L1070" s="136" t="s">
        <v>411</v>
      </c>
      <c r="M1070" s="136" t="e">
        <f>VLOOKUP(tbl_IO_List[[#This Row],[Instruement Tag]],tbl_Instruement_List[],2,FALSE)</f>
        <v>#N/A</v>
      </c>
      <c r="N1070" s="136"/>
      <c r="O1070" s="136"/>
      <c r="P1070" s="136"/>
      <c r="Q1070" s="136" t="e">
        <f>VLOOKUP(tbl_IO_List[[#This Row],[Instruement Tag]],tbl_Instruement_List[],6,FALSE)</f>
        <v>#N/A</v>
      </c>
      <c r="R1070" s="136"/>
      <c r="S107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070" s="136" t="str">
        <f>tbl_IO_List[[#This Row],[Instruement Tag]]&amp;"_"&amp;tbl_IO_List[[#This Row],[I/O Type]]&amp;"_"&amp;tbl_IO_List[[#This Row],[IO-Point 
(Instruement)]]</f>
        <v>Spare_DO_0</v>
      </c>
      <c r="U1070" s="136" t="s">
        <v>7</v>
      </c>
      <c r="V1070" s="136">
        <f>VLOOKUP(tbl_IO_List[[#This Row],[I/O Type]],tbl_Slot_Group[],2,FALSE)</f>
        <v>2</v>
      </c>
      <c r="W1070" s="136">
        <v>0</v>
      </c>
      <c r="X1070" s="136" t="str">
        <f>tbl_IO_List[[#This Row],[Chassis]]&amp;"S"&amp;TEXT(tbl_IO_List[[#This Row],[Slot]],"00")</f>
        <v>C7S07</v>
      </c>
      <c r="Y1070" s="136" t="str">
        <f>tbl_IO_List[[#This Row],[Chassis]]&amp;"S"&amp;TEXT(tbl_IO_List[[#This Row],[Slot]],"00")&amp;tbl_IO_List[[#This Row],[I/O Type]]&amp;TEXT(tbl_IO_List[[#This Row],[Point]],"00")</f>
        <v>C7S07DO28</v>
      </c>
      <c r="Z1070" s="136" t="str">
        <f>tbl_IO_List[[#This Row],[Chassis]]&amp;"S"&amp;TEXT(tbl_IO_List[[#This Row],[Slot]],"00")&amp;","&amp;TEXT(tbl_IO_List[[#This Row],[Point]],"00")</f>
        <v>C7S07,28</v>
      </c>
      <c r="AA1070" s="136" t="e">
        <f>VLOOKUP(tbl_IO_List[[#This Row],[Column23]],tbl_RackConfig[],5,FALSE) &amp;"-"&amp;tbl_IO_List[[#This Row],[Point]]</f>
        <v>#N/A</v>
      </c>
      <c r="AB1070" s="136"/>
      <c r="AC1070" s="136"/>
      <c r="AD1070" s="136" t="str">
        <f>tbl_IO_List[[#This Row],[I/O Type]]</f>
        <v>DO</v>
      </c>
      <c r="AE1070" s="136" t="s">
        <v>1368</v>
      </c>
      <c r="AF1070" s="136">
        <v>7</v>
      </c>
      <c r="AG1070" s="136">
        <v>28</v>
      </c>
      <c r="AH1070" s="136"/>
      <c r="AI1070" s="136"/>
      <c r="AJ1070" s="136">
        <v>0</v>
      </c>
      <c r="AK1070" s="136">
        <v>1</v>
      </c>
      <c r="AL1070" s="136">
        <v>0</v>
      </c>
      <c r="AM1070" s="136">
        <v>0</v>
      </c>
      <c r="AN1070" s="136">
        <v>0</v>
      </c>
      <c r="AO1070" s="136"/>
      <c r="AP1070" s="143"/>
      <c r="AQ1070" s="143" t="str">
        <f>tbl_IO_List[[#This Row],[Chassis]]&amp;"S"&amp;tbl_IO_List[[#This Row],[Slot]]&amp;"-"&amp;tbl_IO_List[[#This Row],[Front Terminal Number]]</f>
        <v>C7S7-</v>
      </c>
      <c r="AR1070" s="143"/>
      <c r="AS1070" s="136" t="str">
        <f>tbl_IO_List[[#This Row],[Terminal Tagging]]&amp;"-"&amp;tbl_IO_List[[#This Row],[Point-Count]]</f>
        <v>-</v>
      </c>
      <c r="AT1070" s="136" t="str">
        <f>tbl_IO_List[[#This Row],[Front Terminal Tagging]]&amp;"/"&amp;tbl_IO_List[[#This Row],[Terminal Tagging-Item]]</f>
        <v>C7S7-/-</v>
      </c>
      <c r="AU1070" s="136" t="str">
        <f>tbl_IO_List[[#This Row],[Terminal Tagging-Item]]&amp;"/"&amp;tbl_IO_List[[#This Row],[Front Terminal Tagging]]</f>
        <v>-/C7S7-</v>
      </c>
    </row>
    <row r="1071" spans="1:47" hidden="1">
      <c r="A1071" s="136" t="s">
        <v>1307</v>
      </c>
      <c r="B1071" s="136" t="s">
        <v>1307</v>
      </c>
      <c r="C1071" s="136" t="str">
        <f>tbl_IO_List[[#This Row],[Column3]]</f>
        <v>C7S07,29</v>
      </c>
      <c r="D1071" s="136" t="e">
        <f>tbl_IO_List[[#This Row],[Card]]</f>
        <v>#N/A</v>
      </c>
      <c r="E1071" s="136"/>
      <c r="F1071" s="136" t="str">
        <f>tbl_IO_List[[#This Row],[Column23]]&amp;"-" &amp;tbl_IO_List[[#This Row],[Column52]]</f>
        <v>C7S07-</v>
      </c>
      <c r="G1071" s="136" t="str">
        <f>tbl_IO_List[[#This Row],[PLC_Tag]]</f>
        <v>Spare_DO_0</v>
      </c>
      <c r="H1071" s="136"/>
      <c r="I1071" s="136" t="str">
        <f>VLOOKUP(tbl_IO_List[[#This Row],[Destination]],tbl_Junction[],2,FALSE)</f>
        <v>MCC Room</v>
      </c>
      <c r="J1071" s="136"/>
      <c r="K1071" s="136"/>
      <c r="L1071" s="136" t="s">
        <v>411</v>
      </c>
      <c r="M1071" s="136" t="e">
        <f>VLOOKUP(tbl_IO_List[[#This Row],[Instruement Tag]],tbl_Instruement_List[],2,FALSE)</f>
        <v>#N/A</v>
      </c>
      <c r="N1071" s="136"/>
      <c r="O1071" s="136"/>
      <c r="P1071" s="136"/>
      <c r="Q1071" s="136" t="e">
        <f>VLOOKUP(tbl_IO_List[[#This Row],[Instruement Tag]],tbl_Instruement_List[],6,FALSE)</f>
        <v>#N/A</v>
      </c>
      <c r="R1071" s="136"/>
      <c r="S107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071" s="136" t="str">
        <f>tbl_IO_List[[#This Row],[Instruement Tag]]&amp;"_"&amp;tbl_IO_List[[#This Row],[I/O Type]]&amp;"_"&amp;tbl_IO_List[[#This Row],[IO-Point 
(Instruement)]]</f>
        <v>Spare_DO_0</v>
      </c>
      <c r="U1071" s="136" t="s">
        <v>7</v>
      </c>
      <c r="V1071" s="136">
        <f>VLOOKUP(tbl_IO_List[[#This Row],[I/O Type]],tbl_Slot_Group[],2,FALSE)</f>
        <v>2</v>
      </c>
      <c r="W1071" s="136">
        <v>0</v>
      </c>
      <c r="X1071" s="136" t="str">
        <f>tbl_IO_List[[#This Row],[Chassis]]&amp;"S"&amp;TEXT(tbl_IO_List[[#This Row],[Slot]],"00")</f>
        <v>C7S07</v>
      </c>
      <c r="Y1071" s="136" t="str">
        <f>tbl_IO_List[[#This Row],[Chassis]]&amp;"S"&amp;TEXT(tbl_IO_List[[#This Row],[Slot]],"00")&amp;tbl_IO_List[[#This Row],[I/O Type]]&amp;TEXT(tbl_IO_List[[#This Row],[Point]],"00")</f>
        <v>C7S07DO29</v>
      </c>
      <c r="Z1071" s="136" t="str">
        <f>tbl_IO_List[[#This Row],[Chassis]]&amp;"S"&amp;TEXT(tbl_IO_List[[#This Row],[Slot]],"00")&amp;","&amp;TEXT(tbl_IO_List[[#This Row],[Point]],"00")</f>
        <v>C7S07,29</v>
      </c>
      <c r="AA1071" s="136" t="e">
        <f>VLOOKUP(tbl_IO_List[[#This Row],[Column23]],tbl_RackConfig[],5,FALSE) &amp;"-"&amp;tbl_IO_List[[#This Row],[Point]]</f>
        <v>#N/A</v>
      </c>
      <c r="AB1071" s="136"/>
      <c r="AC1071" s="136"/>
      <c r="AD1071" s="136" t="str">
        <f>tbl_IO_List[[#This Row],[I/O Type]]</f>
        <v>DO</v>
      </c>
      <c r="AE1071" s="136" t="s">
        <v>1368</v>
      </c>
      <c r="AF1071" s="136">
        <v>7</v>
      </c>
      <c r="AG1071" s="136">
        <v>29</v>
      </c>
      <c r="AH1071" s="136"/>
      <c r="AI1071" s="136"/>
      <c r="AJ1071" s="136">
        <v>0</v>
      </c>
      <c r="AK1071" s="136">
        <v>1</v>
      </c>
      <c r="AL1071" s="136">
        <v>0</v>
      </c>
      <c r="AM1071" s="136">
        <v>0</v>
      </c>
      <c r="AN1071" s="136">
        <v>0</v>
      </c>
      <c r="AO1071" s="136"/>
      <c r="AP1071" s="143"/>
      <c r="AQ1071" s="143" t="str">
        <f>tbl_IO_List[[#This Row],[Chassis]]&amp;"S"&amp;tbl_IO_List[[#This Row],[Slot]]&amp;"-"&amp;tbl_IO_List[[#This Row],[Front Terminal Number]]</f>
        <v>C7S7-</v>
      </c>
      <c r="AR1071" s="143"/>
      <c r="AS1071" s="136" t="str">
        <f>tbl_IO_List[[#This Row],[Terminal Tagging]]&amp;"-"&amp;tbl_IO_List[[#This Row],[Point-Count]]</f>
        <v>-</v>
      </c>
      <c r="AT1071" s="136" t="str">
        <f>tbl_IO_List[[#This Row],[Front Terminal Tagging]]&amp;"/"&amp;tbl_IO_List[[#This Row],[Terminal Tagging-Item]]</f>
        <v>C7S7-/-</v>
      </c>
      <c r="AU1071" s="136" t="str">
        <f>tbl_IO_List[[#This Row],[Terminal Tagging-Item]]&amp;"/"&amp;tbl_IO_List[[#This Row],[Front Terminal Tagging]]</f>
        <v>-/C7S7-</v>
      </c>
    </row>
    <row r="1072" spans="1:47" hidden="1">
      <c r="A1072" s="136" t="s">
        <v>1307</v>
      </c>
      <c r="B1072" s="136" t="s">
        <v>1307</v>
      </c>
      <c r="C1072" s="136" t="str">
        <f>tbl_IO_List[[#This Row],[Column3]]</f>
        <v>C7S07,30</v>
      </c>
      <c r="D1072" s="136" t="e">
        <f>tbl_IO_List[[#This Row],[Card]]</f>
        <v>#N/A</v>
      </c>
      <c r="E1072" s="136"/>
      <c r="F1072" s="136" t="str">
        <f>tbl_IO_List[[#This Row],[Column23]]&amp;"-" &amp;tbl_IO_List[[#This Row],[Column52]]</f>
        <v>C7S07-</v>
      </c>
      <c r="G1072" s="136" t="str">
        <f>tbl_IO_List[[#This Row],[PLC_Tag]]</f>
        <v>Spare_DO_0</v>
      </c>
      <c r="H1072" s="136"/>
      <c r="I1072" s="136" t="str">
        <f>VLOOKUP(tbl_IO_List[[#This Row],[Destination]],tbl_Junction[],2,FALSE)</f>
        <v>MCC Room</v>
      </c>
      <c r="J1072" s="136"/>
      <c r="K1072" s="136"/>
      <c r="L1072" s="136" t="s">
        <v>411</v>
      </c>
      <c r="M1072" s="136" t="e">
        <f>VLOOKUP(tbl_IO_List[[#This Row],[Instruement Tag]],tbl_Instruement_List[],2,FALSE)</f>
        <v>#N/A</v>
      </c>
      <c r="N1072" s="136"/>
      <c r="O1072" s="136"/>
      <c r="P1072" s="136"/>
      <c r="Q1072" s="136" t="e">
        <f>VLOOKUP(tbl_IO_List[[#This Row],[Instruement Tag]],tbl_Instruement_List[],6,FALSE)</f>
        <v>#N/A</v>
      </c>
      <c r="R1072" s="136"/>
      <c r="S107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072" s="136" t="str">
        <f>tbl_IO_List[[#This Row],[Instruement Tag]]&amp;"_"&amp;tbl_IO_List[[#This Row],[I/O Type]]&amp;"_"&amp;tbl_IO_List[[#This Row],[IO-Point 
(Instruement)]]</f>
        <v>Spare_DO_0</v>
      </c>
      <c r="U1072" s="136" t="s">
        <v>7</v>
      </c>
      <c r="V1072" s="136">
        <f>VLOOKUP(tbl_IO_List[[#This Row],[I/O Type]],tbl_Slot_Group[],2,FALSE)</f>
        <v>2</v>
      </c>
      <c r="W1072" s="136">
        <v>0</v>
      </c>
      <c r="X1072" s="136" t="str">
        <f>tbl_IO_List[[#This Row],[Chassis]]&amp;"S"&amp;TEXT(tbl_IO_List[[#This Row],[Slot]],"00")</f>
        <v>C7S07</v>
      </c>
      <c r="Y1072" s="136" t="str">
        <f>tbl_IO_List[[#This Row],[Chassis]]&amp;"S"&amp;TEXT(tbl_IO_List[[#This Row],[Slot]],"00")&amp;tbl_IO_List[[#This Row],[I/O Type]]&amp;TEXT(tbl_IO_List[[#This Row],[Point]],"00")</f>
        <v>C7S07DO30</v>
      </c>
      <c r="Z1072" s="136" t="str">
        <f>tbl_IO_List[[#This Row],[Chassis]]&amp;"S"&amp;TEXT(tbl_IO_List[[#This Row],[Slot]],"00")&amp;","&amp;TEXT(tbl_IO_List[[#This Row],[Point]],"00")</f>
        <v>C7S07,30</v>
      </c>
      <c r="AA1072" s="136" t="e">
        <f>VLOOKUP(tbl_IO_List[[#This Row],[Column23]],tbl_RackConfig[],5,FALSE) &amp;"-"&amp;tbl_IO_List[[#This Row],[Point]]</f>
        <v>#N/A</v>
      </c>
      <c r="AB1072" s="136"/>
      <c r="AC1072" s="136"/>
      <c r="AD1072" s="136" t="str">
        <f>tbl_IO_List[[#This Row],[I/O Type]]</f>
        <v>DO</v>
      </c>
      <c r="AE1072" s="136" t="s">
        <v>1368</v>
      </c>
      <c r="AF1072" s="136">
        <v>7</v>
      </c>
      <c r="AG1072" s="136">
        <v>30</v>
      </c>
      <c r="AH1072" s="136"/>
      <c r="AI1072" s="136"/>
      <c r="AJ1072" s="136">
        <v>0</v>
      </c>
      <c r="AK1072" s="136">
        <v>1</v>
      </c>
      <c r="AL1072" s="136">
        <v>0</v>
      </c>
      <c r="AM1072" s="136">
        <v>0</v>
      </c>
      <c r="AN1072" s="136">
        <v>0</v>
      </c>
      <c r="AO1072" s="136"/>
      <c r="AP1072" s="143"/>
      <c r="AQ1072" s="143" t="str">
        <f>tbl_IO_List[[#This Row],[Chassis]]&amp;"S"&amp;tbl_IO_List[[#This Row],[Slot]]&amp;"-"&amp;tbl_IO_List[[#This Row],[Front Terminal Number]]</f>
        <v>C7S7-</v>
      </c>
      <c r="AR1072" s="143"/>
      <c r="AS1072" s="136" t="str">
        <f>tbl_IO_List[[#This Row],[Terminal Tagging]]&amp;"-"&amp;tbl_IO_List[[#This Row],[Point-Count]]</f>
        <v>-</v>
      </c>
      <c r="AT1072" s="136" t="str">
        <f>tbl_IO_List[[#This Row],[Front Terminal Tagging]]&amp;"/"&amp;tbl_IO_List[[#This Row],[Terminal Tagging-Item]]</f>
        <v>C7S7-/-</v>
      </c>
      <c r="AU1072" s="136" t="str">
        <f>tbl_IO_List[[#This Row],[Terminal Tagging-Item]]&amp;"/"&amp;tbl_IO_List[[#This Row],[Front Terminal Tagging]]</f>
        <v>-/C7S7-</v>
      </c>
    </row>
    <row r="1073" spans="1:47" hidden="1">
      <c r="A1073" s="136" t="s">
        <v>1307</v>
      </c>
      <c r="B1073" s="136" t="s">
        <v>1307</v>
      </c>
      <c r="C1073" s="136" t="str">
        <f>tbl_IO_List[[#This Row],[Column3]]</f>
        <v>C7S07,31</v>
      </c>
      <c r="D1073" s="136" t="e">
        <f>tbl_IO_List[[#This Row],[Card]]</f>
        <v>#N/A</v>
      </c>
      <c r="E1073" s="136"/>
      <c r="F1073" s="136" t="str">
        <f>tbl_IO_List[[#This Row],[Column23]]&amp;"-" &amp;tbl_IO_List[[#This Row],[Column52]]</f>
        <v>C7S07-</v>
      </c>
      <c r="G1073" s="136" t="str">
        <f>tbl_IO_List[[#This Row],[PLC_Tag]]</f>
        <v>Spare_DO_0</v>
      </c>
      <c r="H1073" s="136"/>
      <c r="I1073" s="136" t="str">
        <f>VLOOKUP(tbl_IO_List[[#This Row],[Destination]],tbl_Junction[],2,FALSE)</f>
        <v>MCC Room</v>
      </c>
      <c r="J1073" s="136"/>
      <c r="K1073" s="136"/>
      <c r="L1073" s="136" t="s">
        <v>411</v>
      </c>
      <c r="M1073" s="136" t="e">
        <f>VLOOKUP(tbl_IO_List[[#This Row],[Instruement Tag]],tbl_Instruement_List[],2,FALSE)</f>
        <v>#N/A</v>
      </c>
      <c r="N1073" s="136"/>
      <c r="O1073" s="136"/>
      <c r="P1073" s="136"/>
      <c r="Q1073" s="136" t="e">
        <f>VLOOKUP(tbl_IO_List[[#This Row],[Instruement Tag]],tbl_Instruement_List[],6,FALSE)</f>
        <v>#N/A</v>
      </c>
      <c r="R1073" s="136"/>
      <c r="S107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073" s="136" t="str">
        <f>tbl_IO_List[[#This Row],[Instruement Tag]]&amp;"_"&amp;tbl_IO_List[[#This Row],[I/O Type]]&amp;"_"&amp;tbl_IO_List[[#This Row],[IO-Point 
(Instruement)]]</f>
        <v>Spare_DO_0</v>
      </c>
      <c r="U1073" s="136" t="s">
        <v>7</v>
      </c>
      <c r="V1073" s="136">
        <f>VLOOKUP(tbl_IO_List[[#This Row],[I/O Type]],tbl_Slot_Group[],2,FALSE)</f>
        <v>2</v>
      </c>
      <c r="W1073" s="136">
        <v>0</v>
      </c>
      <c r="X1073" s="136" t="str">
        <f>tbl_IO_List[[#This Row],[Chassis]]&amp;"S"&amp;TEXT(tbl_IO_List[[#This Row],[Slot]],"00")</f>
        <v>C7S07</v>
      </c>
      <c r="Y1073" s="136" t="str">
        <f>tbl_IO_List[[#This Row],[Chassis]]&amp;"S"&amp;TEXT(tbl_IO_List[[#This Row],[Slot]],"00")&amp;tbl_IO_List[[#This Row],[I/O Type]]&amp;TEXT(tbl_IO_List[[#This Row],[Point]],"00")</f>
        <v>C7S07DO31</v>
      </c>
      <c r="Z1073" s="136" t="str">
        <f>tbl_IO_List[[#This Row],[Chassis]]&amp;"S"&amp;TEXT(tbl_IO_List[[#This Row],[Slot]],"00")&amp;","&amp;TEXT(tbl_IO_List[[#This Row],[Point]],"00")</f>
        <v>C7S07,31</v>
      </c>
      <c r="AA1073" s="136" t="e">
        <f>VLOOKUP(tbl_IO_List[[#This Row],[Column23]],tbl_RackConfig[],5,FALSE) &amp;"-"&amp;tbl_IO_List[[#This Row],[Point]]</f>
        <v>#N/A</v>
      </c>
      <c r="AB1073" s="136"/>
      <c r="AC1073" s="136"/>
      <c r="AD1073" s="136" t="str">
        <f>tbl_IO_List[[#This Row],[I/O Type]]</f>
        <v>DO</v>
      </c>
      <c r="AE1073" s="136" t="s">
        <v>1368</v>
      </c>
      <c r="AF1073" s="136">
        <v>7</v>
      </c>
      <c r="AG1073" s="136">
        <v>31</v>
      </c>
      <c r="AH1073" s="136"/>
      <c r="AI1073" s="136"/>
      <c r="AJ1073" s="136">
        <v>0</v>
      </c>
      <c r="AK1073" s="136">
        <v>1</v>
      </c>
      <c r="AL1073" s="136">
        <v>0</v>
      </c>
      <c r="AM1073" s="136">
        <v>0</v>
      </c>
      <c r="AN1073" s="136">
        <v>0</v>
      </c>
      <c r="AO1073" s="136"/>
      <c r="AP1073" s="143"/>
      <c r="AQ1073" s="143" t="str">
        <f>tbl_IO_List[[#This Row],[Chassis]]&amp;"S"&amp;tbl_IO_List[[#This Row],[Slot]]&amp;"-"&amp;tbl_IO_List[[#This Row],[Front Terminal Number]]</f>
        <v>C7S7-</v>
      </c>
      <c r="AR1073" s="143"/>
      <c r="AS1073" s="136" t="str">
        <f>tbl_IO_List[[#This Row],[Terminal Tagging]]&amp;"-"&amp;tbl_IO_List[[#This Row],[Point-Count]]</f>
        <v>-</v>
      </c>
      <c r="AT1073" s="136" t="str">
        <f>tbl_IO_List[[#This Row],[Front Terminal Tagging]]&amp;"/"&amp;tbl_IO_List[[#This Row],[Terminal Tagging-Item]]</f>
        <v>C7S7-/-</v>
      </c>
      <c r="AU1073" s="136" t="str">
        <f>tbl_IO_List[[#This Row],[Terminal Tagging-Item]]&amp;"/"&amp;tbl_IO_List[[#This Row],[Front Terminal Tagging]]</f>
        <v>-/C7S7-</v>
      </c>
    </row>
    <row r="1074" spans="1:47" hidden="1">
      <c r="A1074" s="147" t="s">
        <v>1365</v>
      </c>
      <c r="B1074" s="136" t="s">
        <v>13</v>
      </c>
      <c r="C1074" s="136" t="str">
        <f>tbl_IO_List[[#This Row],[Column3]]</f>
        <v>C8S01,00</v>
      </c>
      <c r="D1074" s="136" t="e">
        <f>tbl_IO_List[[#This Row],[Card]]</f>
        <v>#N/A</v>
      </c>
      <c r="E1074" s="136" t="s">
        <v>1366</v>
      </c>
      <c r="F1074" s="136" t="str">
        <f>tbl_IO_List[[#This Row],[Column23]]&amp;"-" &amp;tbl_IO_List[[#This Row],[Column52]]</f>
        <v>C8S01-X1</v>
      </c>
      <c r="G1074" s="136" t="str">
        <f>tbl_IO_List[[#This Row],[PLC_Tag]]</f>
        <v>AT-40201_DI_1</v>
      </c>
      <c r="H1074" s="136"/>
      <c r="I1074" s="136" t="str">
        <f>VLOOKUP(tbl_IO_List[[#This Row],[Destination]],tbl_Junction[],2,FALSE)</f>
        <v>Spray Dryer 3rd Floor</v>
      </c>
      <c r="J1074" s="136" t="s">
        <v>1304</v>
      </c>
      <c r="K1074" s="136" t="s">
        <v>14</v>
      </c>
      <c r="L1074" s="136" t="s">
        <v>40</v>
      </c>
      <c r="M1074" s="136" t="e">
        <f>VLOOKUP(tbl_IO_List[[#This Row],[Instruement Tag]],tbl_Instruement_List[],2,FALSE)</f>
        <v>#N/A</v>
      </c>
      <c r="N1074" s="136" t="s">
        <v>28</v>
      </c>
      <c r="O1074" s="136" t="s">
        <v>18</v>
      </c>
      <c r="P1074" s="136" t="s">
        <v>18</v>
      </c>
      <c r="Q1074" s="136" t="e">
        <f>VLOOKUP(tbl_IO_List[[#This Row],[Instruement Tag]],tbl_Instruement_List[],6,FALSE)</f>
        <v>#N/A</v>
      </c>
      <c r="R1074" s="136"/>
      <c r="S107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074" s="136" t="str">
        <f>tbl_IO_List[[#This Row],[Instruement Tag]]&amp;"_"&amp;tbl_IO_List[[#This Row],[I/O Type]]&amp;"_"&amp;tbl_IO_List[[#This Row],[IO-Point 
(Instruement)]]</f>
        <v>AT-40201_DI_1</v>
      </c>
      <c r="U1074" s="136" t="s">
        <v>8</v>
      </c>
      <c r="V1074" s="136">
        <f>VLOOKUP(tbl_IO_List[[#This Row],[I/O Type]],tbl_Slot_Group[],2,FALSE)</f>
        <v>1</v>
      </c>
      <c r="W1074" s="136">
        <v>1</v>
      </c>
      <c r="X1074" s="136" t="str">
        <f>tbl_IO_List[[#This Row],[Chassis]]&amp;"S"&amp;TEXT(tbl_IO_List[[#This Row],[Slot]],"00")</f>
        <v>C8S01</v>
      </c>
      <c r="Y1074" s="136" t="str">
        <f>tbl_IO_List[[#This Row],[Chassis]]&amp;"S"&amp;TEXT(tbl_IO_List[[#This Row],[Slot]],"00")&amp;tbl_IO_List[[#This Row],[I/O Type]]&amp;TEXT(tbl_IO_List[[#This Row],[Point]],"00")</f>
        <v>C8S01DI00</v>
      </c>
      <c r="Z1074" s="136" t="str">
        <f>tbl_IO_List[[#This Row],[Chassis]]&amp;"S"&amp;TEXT(tbl_IO_List[[#This Row],[Slot]],"00")&amp;","&amp;TEXT(tbl_IO_List[[#This Row],[Point]],"00")</f>
        <v>C8S01,00</v>
      </c>
      <c r="AA1074" s="136" t="e">
        <f>VLOOKUP(tbl_IO_List[[#This Row],[Column23]],tbl_RackConfig[],5,FALSE) &amp;"-"&amp;tbl_IO_List[[#This Row],[Point]]</f>
        <v>#N/A</v>
      </c>
      <c r="AB1074" s="136"/>
      <c r="AC1074" s="136"/>
      <c r="AD1074" s="136" t="str">
        <f>tbl_IO_List[[#This Row],[I/O Type]]</f>
        <v>DI</v>
      </c>
      <c r="AE1074" s="136" t="s">
        <v>1843</v>
      </c>
      <c r="AF1074" s="136">
        <v>1</v>
      </c>
      <c r="AG1074" s="136">
        <v>0</v>
      </c>
      <c r="AH1074" s="136"/>
      <c r="AI1074" s="136"/>
      <c r="AJ1074" s="136">
        <v>1</v>
      </c>
      <c r="AK1074" s="136">
        <v>0</v>
      </c>
      <c r="AL1074" s="136">
        <v>0</v>
      </c>
      <c r="AM1074" s="136">
        <v>0</v>
      </c>
      <c r="AN1074" s="136">
        <v>0</v>
      </c>
      <c r="AO1074" s="136"/>
      <c r="AP1074" s="143" t="e">
        <f>VLOOKUP(tbl_IO_List[[#This Row],[Instruement Tag]],tbl_Instruement_List[],14,FALSE)</f>
        <v>#N/A</v>
      </c>
      <c r="AQ1074" s="143" t="str">
        <f>tbl_IO_List[[#This Row],[Chassis]]&amp;"S"&amp;tbl_IO_List[[#This Row],[Slot]]&amp;"-"&amp;tbl_IO_List[[#This Row],[Front Terminal Number]]</f>
        <v>C8S1-</v>
      </c>
      <c r="AR1074" s="143"/>
      <c r="AS1074" s="136" t="str">
        <f>tbl_IO_List[[#This Row],[Terminal Tagging]]&amp;"-"&amp;tbl_IO_List[[#This Row],[Point-Count]]</f>
        <v>-</v>
      </c>
      <c r="AT1074" s="136" t="str">
        <f>tbl_IO_List[[#This Row],[Front Terminal Tagging]]&amp;"/"&amp;tbl_IO_List[[#This Row],[Terminal Tagging-Item]]</f>
        <v>C8S1-/-</v>
      </c>
      <c r="AU1074" s="136" t="str">
        <f>tbl_IO_List[[#This Row],[Terminal Tagging-Item]]&amp;"/"&amp;tbl_IO_List[[#This Row],[Front Terminal Tagging]]</f>
        <v>-/C8S1-</v>
      </c>
    </row>
    <row r="1075" spans="1:47" hidden="1">
      <c r="A1075" s="147" t="s">
        <v>1365</v>
      </c>
      <c r="B1075" s="136" t="s">
        <v>13</v>
      </c>
      <c r="C1075" s="136" t="str">
        <f>tbl_IO_List[[#This Row],[Column3]]</f>
        <v>C8S01,01</v>
      </c>
      <c r="D1075" s="136" t="e">
        <f>tbl_IO_List[[#This Row],[Card]]</f>
        <v>#N/A</v>
      </c>
      <c r="E1075" s="136" t="s">
        <v>1366</v>
      </c>
      <c r="F1075" s="136" t="str">
        <f>tbl_IO_List[[#This Row],[Column23]]&amp;"-" &amp;tbl_IO_List[[#This Row],[Column52]]</f>
        <v>C8S01-X1</v>
      </c>
      <c r="G1075" s="136" t="str">
        <f>tbl_IO_List[[#This Row],[PLC_Tag]]</f>
        <v>AT-40202_DI_1</v>
      </c>
      <c r="H1075" s="136"/>
      <c r="I1075" s="136" t="str">
        <f>VLOOKUP(tbl_IO_List[[#This Row],[Destination]],tbl_Junction[],2,FALSE)</f>
        <v>Spray Dryer 3rd Floor</v>
      </c>
      <c r="J1075" s="136" t="s">
        <v>1304</v>
      </c>
      <c r="K1075" s="136" t="s">
        <v>14</v>
      </c>
      <c r="L1075" s="136" t="s">
        <v>41</v>
      </c>
      <c r="M1075" s="136" t="e">
        <f>VLOOKUP(tbl_IO_List[[#This Row],[Instruement Tag]],tbl_Instruement_List[],2,FALSE)</f>
        <v>#N/A</v>
      </c>
      <c r="N1075" s="136" t="s">
        <v>28</v>
      </c>
      <c r="O1075" s="136" t="s">
        <v>18</v>
      </c>
      <c r="P1075" s="136" t="s">
        <v>18</v>
      </c>
      <c r="Q1075" s="136" t="e">
        <f>VLOOKUP(tbl_IO_List[[#This Row],[Instruement Tag]],tbl_Instruement_List[],6,FALSE)</f>
        <v>#N/A</v>
      </c>
      <c r="R1075" s="136"/>
      <c r="S107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075" s="136" t="str">
        <f>tbl_IO_List[[#This Row],[Instruement Tag]]&amp;"_"&amp;tbl_IO_List[[#This Row],[I/O Type]]&amp;"_"&amp;tbl_IO_List[[#This Row],[IO-Point 
(Instruement)]]</f>
        <v>AT-40202_DI_1</v>
      </c>
      <c r="U1075" s="136" t="s">
        <v>8</v>
      </c>
      <c r="V1075" s="136">
        <f>VLOOKUP(tbl_IO_List[[#This Row],[I/O Type]],tbl_Slot_Group[],2,FALSE)</f>
        <v>1</v>
      </c>
      <c r="W1075" s="136">
        <v>1</v>
      </c>
      <c r="X1075" s="136" t="str">
        <f>tbl_IO_List[[#This Row],[Chassis]]&amp;"S"&amp;TEXT(tbl_IO_List[[#This Row],[Slot]],"00")</f>
        <v>C8S01</v>
      </c>
      <c r="Y1075" s="136" t="str">
        <f>tbl_IO_List[[#This Row],[Chassis]]&amp;"S"&amp;TEXT(tbl_IO_List[[#This Row],[Slot]],"00")&amp;tbl_IO_List[[#This Row],[I/O Type]]&amp;TEXT(tbl_IO_List[[#This Row],[Point]],"00")</f>
        <v>C8S01DI01</v>
      </c>
      <c r="Z1075" s="136" t="str">
        <f>tbl_IO_List[[#This Row],[Chassis]]&amp;"S"&amp;TEXT(tbl_IO_List[[#This Row],[Slot]],"00")&amp;","&amp;TEXT(tbl_IO_List[[#This Row],[Point]],"00")</f>
        <v>C8S01,01</v>
      </c>
      <c r="AA1075" s="136" t="e">
        <f>VLOOKUP(tbl_IO_List[[#This Row],[Column23]],tbl_RackConfig[],5,FALSE) &amp;"-"&amp;tbl_IO_List[[#This Row],[Point]]</f>
        <v>#N/A</v>
      </c>
      <c r="AB1075" s="136"/>
      <c r="AC1075" s="136"/>
      <c r="AD1075" s="136" t="str">
        <f>tbl_IO_List[[#This Row],[I/O Type]]</f>
        <v>DI</v>
      </c>
      <c r="AE1075" s="136" t="s">
        <v>1843</v>
      </c>
      <c r="AF1075" s="136">
        <v>1</v>
      </c>
      <c r="AG1075" s="136">
        <v>1</v>
      </c>
      <c r="AH1075" s="136"/>
      <c r="AI1075" s="136"/>
      <c r="AJ1075" s="136">
        <v>1</v>
      </c>
      <c r="AK1075" s="136">
        <v>0</v>
      </c>
      <c r="AL1075" s="136">
        <v>0</v>
      </c>
      <c r="AM1075" s="136">
        <v>0</v>
      </c>
      <c r="AN1075" s="136">
        <v>0</v>
      </c>
      <c r="AO1075" s="136"/>
      <c r="AP1075" s="143" t="e">
        <f>VLOOKUP(tbl_IO_List[[#This Row],[Instruement Tag]],tbl_Instruement_List[],14,FALSE)</f>
        <v>#N/A</v>
      </c>
      <c r="AQ1075" s="143" t="str">
        <f>tbl_IO_List[[#This Row],[Chassis]]&amp;"S"&amp;tbl_IO_List[[#This Row],[Slot]]&amp;"-"&amp;tbl_IO_List[[#This Row],[Front Terminal Number]]</f>
        <v>C8S1-</v>
      </c>
      <c r="AR1075" s="143"/>
      <c r="AS1075" s="136" t="str">
        <f>tbl_IO_List[[#This Row],[Terminal Tagging]]&amp;"-"&amp;tbl_IO_List[[#This Row],[Point-Count]]</f>
        <v>-</v>
      </c>
      <c r="AT1075" s="136" t="str">
        <f>tbl_IO_List[[#This Row],[Front Terminal Tagging]]&amp;"/"&amp;tbl_IO_List[[#This Row],[Terminal Tagging-Item]]</f>
        <v>C8S1-/-</v>
      </c>
      <c r="AU1075" s="136" t="str">
        <f>tbl_IO_List[[#This Row],[Terminal Tagging-Item]]&amp;"/"&amp;tbl_IO_List[[#This Row],[Front Terminal Tagging]]</f>
        <v>-/C8S1-</v>
      </c>
    </row>
    <row r="1076" spans="1:47" hidden="1">
      <c r="A1076" s="147" t="s">
        <v>1365</v>
      </c>
      <c r="B1076" s="136" t="s">
        <v>13</v>
      </c>
      <c r="C1076" s="136" t="str">
        <f>tbl_IO_List[[#This Row],[Column3]]</f>
        <v>C8S01,02</v>
      </c>
      <c r="D1076" s="136" t="e">
        <f>tbl_IO_List[[#This Row],[Card]]</f>
        <v>#N/A</v>
      </c>
      <c r="E1076" s="136" t="s">
        <v>1366</v>
      </c>
      <c r="F1076" s="136" t="str">
        <f>tbl_IO_List[[#This Row],[Column23]]&amp;"-" &amp;tbl_IO_List[[#This Row],[Column52]]</f>
        <v>C8S01-X1</v>
      </c>
      <c r="G1076" s="136" t="str">
        <f>tbl_IO_List[[#This Row],[PLC_Tag]]</f>
        <v>AT-40203_DI_1</v>
      </c>
      <c r="H1076" s="136"/>
      <c r="I1076" s="136" t="str">
        <f>VLOOKUP(tbl_IO_List[[#This Row],[Destination]],tbl_Junction[],2,FALSE)</f>
        <v>Spray Dryer 3rd Floor</v>
      </c>
      <c r="J1076" s="136" t="s">
        <v>1304</v>
      </c>
      <c r="K1076" s="136" t="s">
        <v>14</v>
      </c>
      <c r="L1076" s="136" t="s">
        <v>42</v>
      </c>
      <c r="M1076" s="136" t="e">
        <f>VLOOKUP(tbl_IO_List[[#This Row],[Instruement Tag]],tbl_Instruement_List[],2,FALSE)</f>
        <v>#N/A</v>
      </c>
      <c r="N1076" s="136" t="s">
        <v>28</v>
      </c>
      <c r="O1076" s="136" t="s">
        <v>18</v>
      </c>
      <c r="P1076" s="136" t="s">
        <v>18</v>
      </c>
      <c r="Q1076" s="136" t="e">
        <f>VLOOKUP(tbl_IO_List[[#This Row],[Instruement Tag]],tbl_Instruement_List[],6,FALSE)</f>
        <v>#N/A</v>
      </c>
      <c r="R1076" s="136"/>
      <c r="S107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076" s="136" t="str">
        <f>tbl_IO_List[[#This Row],[Instruement Tag]]&amp;"_"&amp;tbl_IO_List[[#This Row],[I/O Type]]&amp;"_"&amp;tbl_IO_List[[#This Row],[IO-Point 
(Instruement)]]</f>
        <v>AT-40203_DI_1</v>
      </c>
      <c r="U1076" s="136" t="s">
        <v>8</v>
      </c>
      <c r="V1076" s="136">
        <f>VLOOKUP(tbl_IO_List[[#This Row],[I/O Type]],tbl_Slot_Group[],2,FALSE)</f>
        <v>1</v>
      </c>
      <c r="W1076" s="136">
        <v>1</v>
      </c>
      <c r="X1076" s="136" t="str">
        <f>tbl_IO_List[[#This Row],[Chassis]]&amp;"S"&amp;TEXT(tbl_IO_List[[#This Row],[Slot]],"00")</f>
        <v>C8S01</v>
      </c>
      <c r="Y1076" s="136" t="str">
        <f>tbl_IO_List[[#This Row],[Chassis]]&amp;"S"&amp;TEXT(tbl_IO_List[[#This Row],[Slot]],"00")&amp;tbl_IO_List[[#This Row],[I/O Type]]&amp;TEXT(tbl_IO_List[[#This Row],[Point]],"00")</f>
        <v>C8S01DI02</v>
      </c>
      <c r="Z1076" s="136" t="str">
        <f>tbl_IO_List[[#This Row],[Chassis]]&amp;"S"&amp;TEXT(tbl_IO_List[[#This Row],[Slot]],"00")&amp;","&amp;TEXT(tbl_IO_List[[#This Row],[Point]],"00")</f>
        <v>C8S01,02</v>
      </c>
      <c r="AA1076" s="136" t="e">
        <f>VLOOKUP(tbl_IO_List[[#This Row],[Column23]],tbl_RackConfig[],5,FALSE) &amp;"-"&amp;tbl_IO_List[[#This Row],[Point]]</f>
        <v>#N/A</v>
      </c>
      <c r="AB1076" s="136"/>
      <c r="AC1076" s="136"/>
      <c r="AD1076" s="136" t="str">
        <f>tbl_IO_List[[#This Row],[I/O Type]]</f>
        <v>DI</v>
      </c>
      <c r="AE1076" s="136" t="s">
        <v>1843</v>
      </c>
      <c r="AF1076" s="136">
        <v>1</v>
      </c>
      <c r="AG1076" s="136">
        <v>2</v>
      </c>
      <c r="AH1076" s="136"/>
      <c r="AI1076" s="136"/>
      <c r="AJ1076" s="136">
        <v>1</v>
      </c>
      <c r="AK1076" s="136">
        <v>0</v>
      </c>
      <c r="AL1076" s="136">
        <v>0</v>
      </c>
      <c r="AM1076" s="136">
        <v>0</v>
      </c>
      <c r="AN1076" s="136">
        <v>0</v>
      </c>
      <c r="AO1076" s="136"/>
      <c r="AP1076" s="143" t="e">
        <f>VLOOKUP(tbl_IO_List[[#This Row],[Instruement Tag]],tbl_Instruement_List[],14,FALSE)</f>
        <v>#N/A</v>
      </c>
      <c r="AQ1076" s="143" t="str">
        <f>tbl_IO_List[[#This Row],[Chassis]]&amp;"S"&amp;tbl_IO_List[[#This Row],[Slot]]&amp;"-"&amp;tbl_IO_List[[#This Row],[Front Terminal Number]]</f>
        <v>C8S1-</v>
      </c>
      <c r="AR1076" s="143"/>
      <c r="AS1076" s="136" t="str">
        <f>tbl_IO_List[[#This Row],[Terminal Tagging]]&amp;"-"&amp;tbl_IO_List[[#This Row],[Point-Count]]</f>
        <v>-</v>
      </c>
      <c r="AT1076" s="136" t="str">
        <f>tbl_IO_List[[#This Row],[Front Terminal Tagging]]&amp;"/"&amp;tbl_IO_List[[#This Row],[Terminal Tagging-Item]]</f>
        <v>C8S1-/-</v>
      </c>
      <c r="AU1076" s="136" t="str">
        <f>tbl_IO_List[[#This Row],[Terminal Tagging-Item]]&amp;"/"&amp;tbl_IO_List[[#This Row],[Front Terminal Tagging]]</f>
        <v>-/C8S1-</v>
      </c>
    </row>
    <row r="1077" spans="1:47" hidden="1">
      <c r="A1077" s="147" t="s">
        <v>1365</v>
      </c>
      <c r="B1077" s="136" t="s">
        <v>13</v>
      </c>
      <c r="C1077" s="136" t="str">
        <f>tbl_IO_List[[#This Row],[Column3]]</f>
        <v>C8S01,03</v>
      </c>
      <c r="D1077" s="136" t="e">
        <f>tbl_IO_List[[#This Row],[Card]]</f>
        <v>#N/A</v>
      </c>
      <c r="E1077" s="136" t="s">
        <v>1366</v>
      </c>
      <c r="F1077" s="136" t="str">
        <f>tbl_IO_List[[#This Row],[Column23]]&amp;"-" &amp;tbl_IO_List[[#This Row],[Column52]]</f>
        <v>C8S01-X1</v>
      </c>
      <c r="G1077" s="136" t="str">
        <f>tbl_IO_List[[#This Row],[PLC_Tag]]</f>
        <v>LSH-60230_DI_1</v>
      </c>
      <c r="H1077" s="136"/>
      <c r="I1077" s="136" t="str">
        <f>VLOOKUP(tbl_IO_List[[#This Row],[Destination]],tbl_Junction[],2,FALSE)</f>
        <v>Spray Dryer 3rd Floor</v>
      </c>
      <c r="J1077" s="136" t="s">
        <v>1304</v>
      </c>
      <c r="K1077" s="136" t="s">
        <v>14</v>
      </c>
      <c r="L1077" s="136" t="s">
        <v>12</v>
      </c>
      <c r="M1077" s="136">
        <f>VLOOKUP(tbl_IO_List[[#This Row],[Instruement Tag]],tbl_Instruement_List[],2,FALSE)</f>
        <v>0</v>
      </c>
      <c r="N1077" s="136" t="s">
        <v>15</v>
      </c>
      <c r="O1077" s="136" t="s">
        <v>16</v>
      </c>
      <c r="P1077" s="136" t="s">
        <v>17</v>
      </c>
      <c r="Q1077" s="136" t="str">
        <f>VLOOKUP(tbl_IO_List[[#This Row],[Instruement Tag]],tbl_Instruement_List[],6,FALSE)</f>
        <v>Powder Level Switch High for Cyclone (CYCL-21)</v>
      </c>
      <c r="R1077" s="136"/>
      <c r="S107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077" s="136" t="str">
        <f>tbl_IO_List[[#This Row],[Instruement Tag]]&amp;"_"&amp;tbl_IO_List[[#This Row],[I/O Type]]&amp;"_"&amp;tbl_IO_List[[#This Row],[IO-Point 
(Instruement)]]</f>
        <v>LSH-60230_DI_1</v>
      </c>
      <c r="U1077" s="136" t="s">
        <v>8</v>
      </c>
      <c r="V1077" s="136">
        <f>VLOOKUP(tbl_IO_List[[#This Row],[I/O Type]],tbl_Slot_Group[],2,FALSE)</f>
        <v>1</v>
      </c>
      <c r="W1077" s="136">
        <v>1</v>
      </c>
      <c r="X1077" s="136" t="str">
        <f>tbl_IO_List[[#This Row],[Chassis]]&amp;"S"&amp;TEXT(tbl_IO_List[[#This Row],[Slot]],"00")</f>
        <v>C8S01</v>
      </c>
      <c r="Y1077" s="136" t="str">
        <f>tbl_IO_List[[#This Row],[Chassis]]&amp;"S"&amp;TEXT(tbl_IO_List[[#This Row],[Slot]],"00")&amp;tbl_IO_List[[#This Row],[I/O Type]]&amp;TEXT(tbl_IO_List[[#This Row],[Point]],"00")</f>
        <v>C8S01DI03</v>
      </c>
      <c r="Z1077" s="136" t="str">
        <f>tbl_IO_List[[#This Row],[Chassis]]&amp;"S"&amp;TEXT(tbl_IO_List[[#This Row],[Slot]],"00")&amp;","&amp;TEXT(tbl_IO_List[[#This Row],[Point]],"00")</f>
        <v>C8S01,03</v>
      </c>
      <c r="AA1077" s="136" t="e">
        <f>VLOOKUP(tbl_IO_List[[#This Row],[Column23]],tbl_RackConfig[],5,FALSE) &amp;"-"&amp;tbl_IO_List[[#This Row],[Point]]</f>
        <v>#N/A</v>
      </c>
      <c r="AB1077" s="136"/>
      <c r="AC1077" s="136"/>
      <c r="AD1077" s="136" t="str">
        <f>tbl_IO_List[[#This Row],[I/O Type]]</f>
        <v>DI</v>
      </c>
      <c r="AE1077" s="136" t="s">
        <v>1843</v>
      </c>
      <c r="AF1077" s="136">
        <v>1</v>
      </c>
      <c r="AG1077" s="136">
        <v>3</v>
      </c>
      <c r="AH1077" s="136"/>
      <c r="AI1077" s="136"/>
      <c r="AJ1077" s="136">
        <v>1</v>
      </c>
      <c r="AK1077" s="136">
        <v>0</v>
      </c>
      <c r="AL1077" s="136">
        <v>0</v>
      </c>
      <c r="AM1077" s="136">
        <v>0</v>
      </c>
      <c r="AN1077" s="136">
        <v>0</v>
      </c>
      <c r="AO1077" s="136"/>
      <c r="AP1077" s="143" t="str">
        <f>VLOOKUP(tbl_IO_List[[#This Row],[Instruement Tag]],tbl_Instruement_List[],14,FALSE)</f>
        <v>Dry Contact</v>
      </c>
      <c r="AQ1077" s="143" t="str">
        <f>tbl_IO_List[[#This Row],[Chassis]]&amp;"S"&amp;tbl_IO_List[[#This Row],[Slot]]&amp;"-"&amp;tbl_IO_List[[#This Row],[Front Terminal Number]]</f>
        <v>C8S1-</v>
      </c>
      <c r="AR1077" s="143"/>
      <c r="AS1077" s="136" t="str">
        <f>tbl_IO_List[[#This Row],[Terminal Tagging]]&amp;"-"&amp;tbl_IO_List[[#This Row],[Point-Count]]</f>
        <v>-</v>
      </c>
      <c r="AT1077" s="136" t="str">
        <f>tbl_IO_List[[#This Row],[Front Terminal Tagging]]&amp;"/"&amp;tbl_IO_List[[#This Row],[Terminal Tagging-Item]]</f>
        <v>C8S1-/-</v>
      </c>
      <c r="AU1077" s="136" t="str">
        <f>tbl_IO_List[[#This Row],[Terminal Tagging-Item]]&amp;"/"&amp;tbl_IO_List[[#This Row],[Front Terminal Tagging]]</f>
        <v>-/C8S1-</v>
      </c>
    </row>
    <row r="1078" spans="1:47" hidden="1">
      <c r="A1078" s="147" t="s">
        <v>1365</v>
      </c>
      <c r="B1078" s="136" t="s">
        <v>13</v>
      </c>
      <c r="C1078" s="136" t="str">
        <f>tbl_IO_List[[#This Row],[Column3]]</f>
        <v>C8S01,04</v>
      </c>
      <c r="D1078" s="136" t="e">
        <f>tbl_IO_List[[#This Row],[Card]]</f>
        <v>#N/A</v>
      </c>
      <c r="E1078" s="136" t="s">
        <v>1366</v>
      </c>
      <c r="F1078" s="136" t="str">
        <f>tbl_IO_List[[#This Row],[Column23]]&amp;"-" &amp;tbl_IO_List[[#This Row],[Column52]]</f>
        <v>C8S01-X1</v>
      </c>
      <c r="G1078" s="136" t="str">
        <f>tbl_IO_List[[#This Row],[PLC_Tag]]</f>
        <v>LSH-60231_DI_1</v>
      </c>
      <c r="H1078" s="136"/>
      <c r="I1078" s="136" t="str">
        <f>VLOOKUP(tbl_IO_List[[#This Row],[Destination]],tbl_Junction[],2,FALSE)</f>
        <v>Spray Dryer 3rd Floor</v>
      </c>
      <c r="J1078" s="136" t="s">
        <v>1304</v>
      </c>
      <c r="K1078" s="136" t="s">
        <v>14</v>
      </c>
      <c r="L1078" s="136" t="s">
        <v>19</v>
      </c>
      <c r="M1078" s="136">
        <f>VLOOKUP(tbl_IO_List[[#This Row],[Instruement Tag]],tbl_Instruement_List[],2,FALSE)</f>
        <v>0</v>
      </c>
      <c r="N1078" s="136" t="s">
        <v>15</v>
      </c>
      <c r="O1078" s="136" t="s">
        <v>16</v>
      </c>
      <c r="P1078" s="136" t="s">
        <v>17</v>
      </c>
      <c r="Q1078" s="136" t="str">
        <f>VLOOKUP(tbl_IO_List[[#This Row],[Instruement Tag]],tbl_Instruement_List[],6,FALSE)</f>
        <v>Powder Level Switch High for Cyclone (CYCL-22)</v>
      </c>
      <c r="R1078" s="136"/>
      <c r="S107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078" s="136" t="str">
        <f>tbl_IO_List[[#This Row],[Instruement Tag]]&amp;"_"&amp;tbl_IO_List[[#This Row],[I/O Type]]&amp;"_"&amp;tbl_IO_List[[#This Row],[IO-Point 
(Instruement)]]</f>
        <v>LSH-60231_DI_1</v>
      </c>
      <c r="U1078" s="136" t="s">
        <v>8</v>
      </c>
      <c r="V1078" s="136">
        <f>VLOOKUP(tbl_IO_List[[#This Row],[I/O Type]],tbl_Slot_Group[],2,FALSE)</f>
        <v>1</v>
      </c>
      <c r="W1078" s="136">
        <v>1</v>
      </c>
      <c r="X1078" s="136" t="str">
        <f>tbl_IO_List[[#This Row],[Chassis]]&amp;"S"&amp;TEXT(tbl_IO_List[[#This Row],[Slot]],"00")</f>
        <v>C8S01</v>
      </c>
      <c r="Y1078" s="136" t="str">
        <f>tbl_IO_List[[#This Row],[Chassis]]&amp;"S"&amp;TEXT(tbl_IO_List[[#This Row],[Slot]],"00")&amp;tbl_IO_List[[#This Row],[I/O Type]]&amp;TEXT(tbl_IO_List[[#This Row],[Point]],"00")</f>
        <v>C8S01DI04</v>
      </c>
      <c r="Z1078" s="136" t="str">
        <f>tbl_IO_List[[#This Row],[Chassis]]&amp;"S"&amp;TEXT(tbl_IO_List[[#This Row],[Slot]],"00")&amp;","&amp;TEXT(tbl_IO_List[[#This Row],[Point]],"00")</f>
        <v>C8S01,04</v>
      </c>
      <c r="AA1078" s="136" t="e">
        <f>VLOOKUP(tbl_IO_List[[#This Row],[Column23]],tbl_RackConfig[],5,FALSE) &amp;"-"&amp;tbl_IO_List[[#This Row],[Point]]</f>
        <v>#N/A</v>
      </c>
      <c r="AB1078" s="136"/>
      <c r="AC1078" s="136"/>
      <c r="AD1078" s="136" t="str">
        <f>tbl_IO_List[[#This Row],[I/O Type]]</f>
        <v>DI</v>
      </c>
      <c r="AE1078" s="136" t="s">
        <v>1843</v>
      </c>
      <c r="AF1078" s="136">
        <v>1</v>
      </c>
      <c r="AG1078" s="136">
        <v>4</v>
      </c>
      <c r="AH1078" s="136"/>
      <c r="AI1078" s="136"/>
      <c r="AJ1078" s="136">
        <v>1</v>
      </c>
      <c r="AK1078" s="136">
        <v>0</v>
      </c>
      <c r="AL1078" s="136">
        <v>0</v>
      </c>
      <c r="AM1078" s="136">
        <v>0</v>
      </c>
      <c r="AN1078" s="136">
        <v>0</v>
      </c>
      <c r="AO1078" s="136"/>
      <c r="AP1078" s="143" t="str">
        <f>VLOOKUP(tbl_IO_List[[#This Row],[Instruement Tag]],tbl_Instruement_List[],14,FALSE)</f>
        <v>Dry Contact</v>
      </c>
      <c r="AQ1078" s="143" t="str">
        <f>tbl_IO_List[[#This Row],[Chassis]]&amp;"S"&amp;tbl_IO_List[[#This Row],[Slot]]&amp;"-"&amp;tbl_IO_List[[#This Row],[Front Terminal Number]]</f>
        <v>C8S1-</v>
      </c>
      <c r="AR1078" s="143"/>
      <c r="AS1078" s="136" t="str">
        <f>tbl_IO_List[[#This Row],[Terminal Tagging]]&amp;"-"&amp;tbl_IO_List[[#This Row],[Point-Count]]</f>
        <v>-</v>
      </c>
      <c r="AT1078" s="136" t="str">
        <f>tbl_IO_List[[#This Row],[Front Terminal Tagging]]&amp;"/"&amp;tbl_IO_List[[#This Row],[Terminal Tagging-Item]]</f>
        <v>C8S1-/-</v>
      </c>
      <c r="AU1078" s="136" t="str">
        <f>tbl_IO_List[[#This Row],[Terminal Tagging-Item]]&amp;"/"&amp;tbl_IO_List[[#This Row],[Front Terminal Tagging]]</f>
        <v>-/C8S1-</v>
      </c>
    </row>
    <row r="1079" spans="1:47" hidden="1">
      <c r="A1079" s="147" t="s">
        <v>1365</v>
      </c>
      <c r="B1079" s="136" t="s">
        <v>13</v>
      </c>
      <c r="C1079" s="136" t="str">
        <f>tbl_IO_List[[#This Row],[Column3]]</f>
        <v>C8S01,05</v>
      </c>
      <c r="D1079" s="136" t="e">
        <f>tbl_IO_List[[#This Row],[Card]]</f>
        <v>#N/A</v>
      </c>
      <c r="E1079" s="136" t="s">
        <v>1366</v>
      </c>
      <c r="F1079" s="136" t="str">
        <f>tbl_IO_List[[#This Row],[Column23]]&amp;"-" &amp;tbl_IO_List[[#This Row],[Column52]]</f>
        <v>C8S01-X1</v>
      </c>
      <c r="G1079" s="136" t="str">
        <f>tbl_IO_List[[#This Row],[PLC_Tag]]</f>
        <v>LSH-60240_DI_1</v>
      </c>
      <c r="H1079" s="136"/>
      <c r="I1079" s="136" t="str">
        <f>VLOOKUP(tbl_IO_List[[#This Row],[Destination]],tbl_Junction[],2,FALSE)</f>
        <v>Spray Dryer 3rd Floor</v>
      </c>
      <c r="J1079" s="136" t="s">
        <v>1304</v>
      </c>
      <c r="K1079" s="136" t="s">
        <v>14</v>
      </c>
      <c r="L1079" s="136" t="s">
        <v>20</v>
      </c>
      <c r="M1079" s="136">
        <f>VLOOKUP(tbl_IO_List[[#This Row],[Instruement Tag]],tbl_Instruement_List[],2,FALSE)</f>
        <v>0</v>
      </c>
      <c r="N1079" s="136" t="s">
        <v>15</v>
      </c>
      <c r="O1079" s="136" t="s">
        <v>21</v>
      </c>
      <c r="P1079" s="136" t="s">
        <v>22</v>
      </c>
      <c r="Q1079" s="136" t="str">
        <f>VLOOKUP(tbl_IO_List[[#This Row],[Instruement Tag]],tbl_Instruement_List[],6,FALSE)</f>
        <v>Powder Level Switch High for Bag House (BGHS-21)</v>
      </c>
      <c r="R1079" s="136"/>
      <c r="S107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079" s="136" t="str">
        <f>tbl_IO_List[[#This Row],[Instruement Tag]]&amp;"_"&amp;tbl_IO_List[[#This Row],[I/O Type]]&amp;"_"&amp;tbl_IO_List[[#This Row],[IO-Point 
(Instruement)]]</f>
        <v>LSH-60240_DI_1</v>
      </c>
      <c r="U1079" s="136" t="s">
        <v>8</v>
      </c>
      <c r="V1079" s="136">
        <f>VLOOKUP(tbl_IO_List[[#This Row],[I/O Type]],tbl_Slot_Group[],2,FALSE)</f>
        <v>1</v>
      </c>
      <c r="W1079" s="136">
        <v>1</v>
      </c>
      <c r="X1079" s="136" t="str">
        <f>tbl_IO_List[[#This Row],[Chassis]]&amp;"S"&amp;TEXT(tbl_IO_List[[#This Row],[Slot]],"00")</f>
        <v>C8S01</v>
      </c>
      <c r="Y1079" s="136" t="str">
        <f>tbl_IO_List[[#This Row],[Chassis]]&amp;"S"&amp;TEXT(tbl_IO_List[[#This Row],[Slot]],"00")&amp;tbl_IO_List[[#This Row],[I/O Type]]&amp;TEXT(tbl_IO_List[[#This Row],[Point]],"00")</f>
        <v>C8S01DI05</v>
      </c>
      <c r="Z1079" s="136" t="str">
        <f>tbl_IO_List[[#This Row],[Chassis]]&amp;"S"&amp;TEXT(tbl_IO_List[[#This Row],[Slot]],"00")&amp;","&amp;TEXT(tbl_IO_List[[#This Row],[Point]],"00")</f>
        <v>C8S01,05</v>
      </c>
      <c r="AA1079" s="136" t="e">
        <f>VLOOKUP(tbl_IO_List[[#This Row],[Column23]],tbl_RackConfig[],5,FALSE) &amp;"-"&amp;tbl_IO_List[[#This Row],[Point]]</f>
        <v>#N/A</v>
      </c>
      <c r="AB1079" s="136"/>
      <c r="AC1079" s="136"/>
      <c r="AD1079" s="136" t="str">
        <f>tbl_IO_List[[#This Row],[I/O Type]]</f>
        <v>DI</v>
      </c>
      <c r="AE1079" s="136" t="s">
        <v>1843</v>
      </c>
      <c r="AF1079" s="136">
        <v>1</v>
      </c>
      <c r="AG1079" s="136">
        <v>5</v>
      </c>
      <c r="AH1079" s="136"/>
      <c r="AI1079" s="136"/>
      <c r="AJ1079" s="136">
        <v>1</v>
      </c>
      <c r="AK1079" s="136">
        <v>0</v>
      </c>
      <c r="AL1079" s="136">
        <v>0</v>
      </c>
      <c r="AM1079" s="136">
        <v>0</v>
      </c>
      <c r="AN1079" s="136">
        <v>0</v>
      </c>
      <c r="AO1079" s="136"/>
      <c r="AP1079" s="143" t="str">
        <f>VLOOKUP(tbl_IO_List[[#This Row],[Instruement Tag]],tbl_Instruement_List[],14,FALSE)</f>
        <v>Dry Contact</v>
      </c>
      <c r="AQ1079" s="143" t="str">
        <f>tbl_IO_List[[#This Row],[Chassis]]&amp;"S"&amp;tbl_IO_List[[#This Row],[Slot]]&amp;"-"&amp;tbl_IO_List[[#This Row],[Front Terminal Number]]</f>
        <v>C8S1-</v>
      </c>
      <c r="AR1079" s="143"/>
      <c r="AS1079" s="136" t="str">
        <f>tbl_IO_List[[#This Row],[Terminal Tagging]]&amp;"-"&amp;tbl_IO_List[[#This Row],[Point-Count]]</f>
        <v>-</v>
      </c>
      <c r="AT1079" s="136" t="str">
        <f>tbl_IO_List[[#This Row],[Front Terminal Tagging]]&amp;"/"&amp;tbl_IO_List[[#This Row],[Terminal Tagging-Item]]</f>
        <v>C8S1-/-</v>
      </c>
      <c r="AU1079" s="136" t="str">
        <f>tbl_IO_List[[#This Row],[Terminal Tagging-Item]]&amp;"/"&amp;tbl_IO_List[[#This Row],[Front Terminal Tagging]]</f>
        <v>-/C8S1-</v>
      </c>
    </row>
    <row r="1080" spans="1:47" hidden="1">
      <c r="A1080" s="147" t="s">
        <v>1365</v>
      </c>
      <c r="B1080" s="136" t="s">
        <v>13</v>
      </c>
      <c r="C1080" s="136" t="str">
        <f>tbl_IO_List[[#This Row],[Column3]]</f>
        <v>C8S01,06</v>
      </c>
      <c r="D1080" s="136" t="e">
        <f>tbl_IO_List[[#This Row],[Card]]</f>
        <v>#N/A</v>
      </c>
      <c r="E1080" s="136" t="s">
        <v>1366</v>
      </c>
      <c r="F1080" s="136" t="str">
        <f>tbl_IO_List[[#This Row],[Column23]]&amp;"-" &amp;tbl_IO_List[[#This Row],[Column52]]</f>
        <v>C8S01-X1</v>
      </c>
      <c r="G1080" s="136" t="str">
        <f>tbl_IO_List[[#This Row],[PLC_Tag]]</f>
        <v>PD-60202_DI_1</v>
      </c>
      <c r="H1080" s="136"/>
      <c r="I1080" s="136" t="str">
        <f>VLOOKUP(tbl_IO_List[[#This Row],[Destination]],tbl_Junction[],2,FALSE)</f>
        <v>Spray Dryer 3rd Floor</v>
      </c>
      <c r="J1080" s="136" t="s">
        <v>1304</v>
      </c>
      <c r="K1080" s="136" t="s">
        <v>14</v>
      </c>
      <c r="L1080" s="136" t="s">
        <v>44</v>
      </c>
      <c r="M1080" s="136" t="e">
        <f>VLOOKUP(tbl_IO_List[[#This Row],[Instruement Tag]],tbl_Instruement_List[],2,FALSE)</f>
        <v>#N/A</v>
      </c>
      <c r="N1080" s="136" t="s">
        <v>28</v>
      </c>
      <c r="O1080" s="136" t="s">
        <v>18</v>
      </c>
      <c r="P1080" s="136" t="s">
        <v>18</v>
      </c>
      <c r="Q1080" s="136" t="e">
        <f>VLOOKUP(tbl_IO_List[[#This Row],[Instruement Tag]],tbl_Instruement_List[],6,FALSE)</f>
        <v>#N/A</v>
      </c>
      <c r="R1080" s="136"/>
      <c r="S108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080" s="136" t="str">
        <f>tbl_IO_List[[#This Row],[Instruement Tag]]&amp;"_"&amp;tbl_IO_List[[#This Row],[I/O Type]]&amp;"_"&amp;tbl_IO_List[[#This Row],[IO-Point 
(Instruement)]]</f>
        <v>PD-60202_DI_1</v>
      </c>
      <c r="U1080" s="136" t="s">
        <v>8</v>
      </c>
      <c r="V1080" s="136">
        <f>VLOOKUP(tbl_IO_List[[#This Row],[I/O Type]],tbl_Slot_Group[],2,FALSE)</f>
        <v>1</v>
      </c>
      <c r="W1080" s="136">
        <v>1</v>
      </c>
      <c r="X1080" s="136" t="str">
        <f>tbl_IO_List[[#This Row],[Chassis]]&amp;"S"&amp;TEXT(tbl_IO_List[[#This Row],[Slot]],"00")</f>
        <v>C8S01</v>
      </c>
      <c r="Y1080" s="136" t="str">
        <f>tbl_IO_List[[#This Row],[Chassis]]&amp;"S"&amp;TEXT(tbl_IO_List[[#This Row],[Slot]],"00")&amp;tbl_IO_List[[#This Row],[I/O Type]]&amp;TEXT(tbl_IO_List[[#This Row],[Point]],"00")</f>
        <v>C8S01DI06</v>
      </c>
      <c r="Z1080" s="136" t="str">
        <f>tbl_IO_List[[#This Row],[Chassis]]&amp;"S"&amp;TEXT(tbl_IO_List[[#This Row],[Slot]],"00")&amp;","&amp;TEXT(tbl_IO_List[[#This Row],[Point]],"00")</f>
        <v>C8S01,06</v>
      </c>
      <c r="AA1080" s="136" t="e">
        <f>VLOOKUP(tbl_IO_List[[#This Row],[Column23]],tbl_RackConfig[],5,FALSE) &amp;"-"&amp;tbl_IO_List[[#This Row],[Point]]</f>
        <v>#N/A</v>
      </c>
      <c r="AB1080" s="136"/>
      <c r="AC1080" s="136"/>
      <c r="AD1080" s="136" t="str">
        <f>tbl_IO_List[[#This Row],[I/O Type]]</f>
        <v>DI</v>
      </c>
      <c r="AE1080" s="136" t="s">
        <v>1843</v>
      </c>
      <c r="AF1080" s="136">
        <v>1</v>
      </c>
      <c r="AG1080" s="136">
        <v>6</v>
      </c>
      <c r="AH1080" s="136"/>
      <c r="AI1080" s="136"/>
      <c r="AJ1080" s="136">
        <v>1</v>
      </c>
      <c r="AK1080" s="136">
        <v>0</v>
      </c>
      <c r="AL1080" s="136">
        <v>0</v>
      </c>
      <c r="AM1080" s="136">
        <v>0</v>
      </c>
      <c r="AN1080" s="136">
        <v>0</v>
      </c>
      <c r="AO1080" s="136"/>
      <c r="AP1080" s="143" t="e">
        <f>VLOOKUP(tbl_IO_List[[#This Row],[Instruement Tag]],tbl_Instruement_List[],14,FALSE)</f>
        <v>#N/A</v>
      </c>
      <c r="AQ1080" s="143" t="str">
        <f>tbl_IO_List[[#This Row],[Chassis]]&amp;"S"&amp;tbl_IO_List[[#This Row],[Slot]]&amp;"-"&amp;tbl_IO_List[[#This Row],[Front Terminal Number]]</f>
        <v>C8S1-</v>
      </c>
      <c r="AR1080" s="143"/>
      <c r="AS1080" s="136" t="str">
        <f>tbl_IO_List[[#This Row],[Terminal Tagging]]&amp;"-"&amp;tbl_IO_List[[#This Row],[Point-Count]]</f>
        <v>-</v>
      </c>
      <c r="AT1080" s="136" t="str">
        <f>tbl_IO_List[[#This Row],[Front Terminal Tagging]]&amp;"/"&amp;tbl_IO_List[[#This Row],[Terminal Tagging-Item]]</f>
        <v>C8S1-/-</v>
      </c>
      <c r="AU1080" s="136" t="str">
        <f>tbl_IO_List[[#This Row],[Terminal Tagging-Item]]&amp;"/"&amp;tbl_IO_List[[#This Row],[Front Terminal Tagging]]</f>
        <v>-/C8S1-</v>
      </c>
    </row>
    <row r="1081" spans="1:47" hidden="1">
      <c r="A1081" s="147" t="s">
        <v>1365</v>
      </c>
      <c r="B1081" s="136" t="s">
        <v>13</v>
      </c>
      <c r="C1081" s="136" t="str">
        <f>tbl_IO_List[[#This Row],[Column3]]</f>
        <v>C8S01,07</v>
      </c>
      <c r="D1081" s="136" t="e">
        <f>tbl_IO_List[[#This Row],[Card]]</f>
        <v>#N/A</v>
      </c>
      <c r="E1081" s="136" t="s">
        <v>1366</v>
      </c>
      <c r="F1081" s="136" t="str">
        <f>tbl_IO_List[[#This Row],[Column23]]&amp;"-" &amp;tbl_IO_List[[#This Row],[Column52]]</f>
        <v>C8S01-X1</v>
      </c>
      <c r="G1081" s="136" t="str">
        <f>tbl_IO_List[[#This Row],[PLC_Tag]]</f>
        <v>RV-60204_DI_1</v>
      </c>
      <c r="H1081" s="136"/>
      <c r="I1081" s="136" t="str">
        <f>VLOOKUP(tbl_IO_List[[#This Row],[Destination]],tbl_Junction[],2,FALSE)</f>
        <v>Spray Dryer 3rd Floor</v>
      </c>
      <c r="J1081" s="136" t="s">
        <v>1304</v>
      </c>
      <c r="K1081" s="136" t="s">
        <v>14</v>
      </c>
      <c r="L1081" s="136" t="s">
        <v>43</v>
      </c>
      <c r="M1081" s="136" t="e">
        <f>VLOOKUP(tbl_IO_List[[#This Row],[Instruement Tag]],tbl_Instruement_List[],2,FALSE)</f>
        <v>#N/A</v>
      </c>
      <c r="N1081" s="136" t="s">
        <v>28</v>
      </c>
      <c r="O1081" s="136" t="s">
        <v>18</v>
      </c>
      <c r="P1081" s="136" t="s">
        <v>18</v>
      </c>
      <c r="Q1081" s="136" t="e">
        <f>VLOOKUP(tbl_IO_List[[#This Row],[Instruement Tag]],tbl_Instruement_List[],6,FALSE)</f>
        <v>#N/A</v>
      </c>
      <c r="R1081" s="136"/>
      <c r="S108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081" s="136" t="str">
        <f>tbl_IO_List[[#This Row],[Instruement Tag]]&amp;"_"&amp;tbl_IO_List[[#This Row],[I/O Type]]&amp;"_"&amp;tbl_IO_List[[#This Row],[IO-Point 
(Instruement)]]</f>
        <v>RV-60204_DI_1</v>
      </c>
      <c r="U1081" s="136" t="s">
        <v>8</v>
      </c>
      <c r="V1081" s="136">
        <f>VLOOKUP(tbl_IO_List[[#This Row],[I/O Type]],tbl_Slot_Group[],2,FALSE)</f>
        <v>1</v>
      </c>
      <c r="W1081" s="136">
        <v>1</v>
      </c>
      <c r="X1081" s="136" t="str">
        <f>tbl_IO_List[[#This Row],[Chassis]]&amp;"S"&amp;TEXT(tbl_IO_List[[#This Row],[Slot]],"00")</f>
        <v>C8S01</v>
      </c>
      <c r="Y1081" s="136" t="str">
        <f>tbl_IO_List[[#This Row],[Chassis]]&amp;"S"&amp;TEXT(tbl_IO_List[[#This Row],[Slot]],"00")&amp;tbl_IO_List[[#This Row],[I/O Type]]&amp;TEXT(tbl_IO_List[[#This Row],[Point]],"00")</f>
        <v>C8S01DI07</v>
      </c>
      <c r="Z1081" s="136" t="str">
        <f>tbl_IO_List[[#This Row],[Chassis]]&amp;"S"&amp;TEXT(tbl_IO_List[[#This Row],[Slot]],"00")&amp;","&amp;TEXT(tbl_IO_List[[#This Row],[Point]],"00")</f>
        <v>C8S01,07</v>
      </c>
      <c r="AA1081" s="136" t="e">
        <f>VLOOKUP(tbl_IO_List[[#This Row],[Column23]],tbl_RackConfig[],5,FALSE) &amp;"-"&amp;tbl_IO_List[[#This Row],[Point]]</f>
        <v>#N/A</v>
      </c>
      <c r="AB1081" s="136"/>
      <c r="AC1081" s="136"/>
      <c r="AD1081" s="136" t="str">
        <f>tbl_IO_List[[#This Row],[I/O Type]]</f>
        <v>DI</v>
      </c>
      <c r="AE1081" s="136" t="s">
        <v>1843</v>
      </c>
      <c r="AF1081" s="136">
        <v>1</v>
      </c>
      <c r="AG1081" s="136">
        <v>7</v>
      </c>
      <c r="AH1081" s="136"/>
      <c r="AI1081" s="136"/>
      <c r="AJ1081" s="136">
        <v>1</v>
      </c>
      <c r="AK1081" s="136">
        <v>0</v>
      </c>
      <c r="AL1081" s="136">
        <v>0</v>
      </c>
      <c r="AM1081" s="136">
        <v>0</v>
      </c>
      <c r="AN1081" s="136">
        <v>0</v>
      </c>
      <c r="AO1081" s="136"/>
      <c r="AP1081" s="143" t="e">
        <f>VLOOKUP(tbl_IO_List[[#This Row],[Instruement Tag]],tbl_Instruement_List[],14,FALSE)</f>
        <v>#N/A</v>
      </c>
      <c r="AQ1081" s="143" t="str">
        <f>tbl_IO_List[[#This Row],[Chassis]]&amp;"S"&amp;tbl_IO_List[[#This Row],[Slot]]&amp;"-"&amp;tbl_IO_List[[#This Row],[Front Terminal Number]]</f>
        <v>C8S1-</v>
      </c>
      <c r="AR1081" s="143"/>
      <c r="AS1081" s="136" t="str">
        <f>tbl_IO_List[[#This Row],[Terminal Tagging]]&amp;"-"&amp;tbl_IO_List[[#This Row],[Point-Count]]</f>
        <v>-</v>
      </c>
      <c r="AT1081" s="136" t="str">
        <f>tbl_IO_List[[#This Row],[Front Terminal Tagging]]&amp;"/"&amp;tbl_IO_List[[#This Row],[Terminal Tagging-Item]]</f>
        <v>C8S1-/-</v>
      </c>
      <c r="AU1081" s="136" t="str">
        <f>tbl_IO_List[[#This Row],[Terminal Tagging-Item]]&amp;"/"&amp;tbl_IO_List[[#This Row],[Front Terminal Tagging]]</f>
        <v>-/C8S1-</v>
      </c>
    </row>
    <row r="1082" spans="1:47" hidden="1">
      <c r="A1082" s="147" t="s">
        <v>1365</v>
      </c>
      <c r="B1082" s="136" t="s">
        <v>13</v>
      </c>
      <c r="C1082" s="136" t="str">
        <f>tbl_IO_List[[#This Row],[Column3]]</f>
        <v>C8S01,08</v>
      </c>
      <c r="D1082" s="136" t="e">
        <f>tbl_IO_List[[#This Row],[Card]]</f>
        <v>#N/A</v>
      </c>
      <c r="E1082" s="136" t="s">
        <v>1366</v>
      </c>
      <c r="F1082" s="136" t="str">
        <f>tbl_IO_List[[#This Row],[Column23]]&amp;"-" &amp;tbl_IO_List[[#This Row],[Column52]]</f>
        <v>C8S01-X1</v>
      </c>
      <c r="G1082" s="136" t="str">
        <f>tbl_IO_List[[#This Row],[PLC_Tag]]</f>
        <v>ZS-60201C_DI_1</v>
      </c>
      <c r="H1082" s="136"/>
      <c r="I1082" s="136" t="str">
        <f>VLOOKUP(tbl_IO_List[[#This Row],[Destination]],tbl_Junction[],2,FALSE)</f>
        <v>Spray Dryer 3rd Floor</v>
      </c>
      <c r="J1082" s="136" t="s">
        <v>1304</v>
      </c>
      <c r="K1082" s="136" t="s">
        <v>14</v>
      </c>
      <c r="L1082" s="136" t="s">
        <v>34</v>
      </c>
      <c r="M1082" s="136">
        <f>VLOOKUP(tbl_IO_List[[#This Row],[Instruement Tag]],tbl_Instruement_List[],2,FALSE)</f>
        <v>0</v>
      </c>
      <c r="N1082" s="136" t="s">
        <v>31</v>
      </c>
      <c r="O1082" s="136" t="s">
        <v>16</v>
      </c>
      <c r="P1082" s="136" t="s">
        <v>17</v>
      </c>
      <c r="Q1082" s="136" t="str">
        <f>VLOOKUP(tbl_IO_List[[#This Row],[Instruement Tag]],tbl_Instruement_List[],6,FALSE)</f>
        <v xml:space="preserve"> Limit Switch for CHAM-21 (Spray Chamber)</v>
      </c>
      <c r="R1082" s="136"/>
      <c r="S108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082" s="136" t="str">
        <f>tbl_IO_List[[#This Row],[Instruement Tag]]&amp;"_"&amp;tbl_IO_List[[#This Row],[I/O Type]]&amp;"_"&amp;tbl_IO_List[[#This Row],[IO-Point 
(Instruement)]]</f>
        <v>ZS-60201C_DI_1</v>
      </c>
      <c r="U1082" s="136" t="s">
        <v>8</v>
      </c>
      <c r="V1082" s="136">
        <f>VLOOKUP(tbl_IO_List[[#This Row],[I/O Type]],tbl_Slot_Group[],2,FALSE)</f>
        <v>1</v>
      </c>
      <c r="W1082" s="136">
        <v>1</v>
      </c>
      <c r="X1082" s="136" t="str">
        <f>tbl_IO_List[[#This Row],[Chassis]]&amp;"S"&amp;TEXT(tbl_IO_List[[#This Row],[Slot]],"00")</f>
        <v>C8S01</v>
      </c>
      <c r="Y1082" s="136" t="str">
        <f>tbl_IO_List[[#This Row],[Chassis]]&amp;"S"&amp;TEXT(tbl_IO_List[[#This Row],[Slot]],"00")&amp;tbl_IO_List[[#This Row],[I/O Type]]&amp;TEXT(tbl_IO_List[[#This Row],[Point]],"00")</f>
        <v>C8S01DI08</v>
      </c>
      <c r="Z1082" s="136" t="str">
        <f>tbl_IO_List[[#This Row],[Chassis]]&amp;"S"&amp;TEXT(tbl_IO_List[[#This Row],[Slot]],"00")&amp;","&amp;TEXT(tbl_IO_List[[#This Row],[Point]],"00")</f>
        <v>C8S01,08</v>
      </c>
      <c r="AA1082" s="136" t="e">
        <f>VLOOKUP(tbl_IO_List[[#This Row],[Column23]],tbl_RackConfig[],5,FALSE) &amp;"-"&amp;tbl_IO_List[[#This Row],[Point]]</f>
        <v>#N/A</v>
      </c>
      <c r="AB1082" s="136"/>
      <c r="AC1082" s="136"/>
      <c r="AD1082" s="136" t="str">
        <f>tbl_IO_List[[#This Row],[I/O Type]]</f>
        <v>DI</v>
      </c>
      <c r="AE1082" s="136" t="s">
        <v>1843</v>
      </c>
      <c r="AF1082" s="136">
        <v>1</v>
      </c>
      <c r="AG1082" s="136">
        <v>8</v>
      </c>
      <c r="AH1082" s="136"/>
      <c r="AI1082" s="136"/>
      <c r="AJ1082" s="136">
        <v>1</v>
      </c>
      <c r="AK1082" s="136">
        <v>0</v>
      </c>
      <c r="AL1082" s="136">
        <v>0</v>
      </c>
      <c r="AM1082" s="136">
        <v>0</v>
      </c>
      <c r="AN1082" s="136">
        <v>0</v>
      </c>
      <c r="AO1082" s="136"/>
      <c r="AP1082" s="143" t="str">
        <f>VLOOKUP(tbl_IO_List[[#This Row],[Instruement Tag]],tbl_Instruement_List[],14,FALSE)</f>
        <v>Dry Contact</v>
      </c>
      <c r="AQ1082" s="143" t="str">
        <f>tbl_IO_List[[#This Row],[Chassis]]&amp;"S"&amp;tbl_IO_List[[#This Row],[Slot]]&amp;"-"&amp;tbl_IO_List[[#This Row],[Front Terminal Number]]</f>
        <v>C8S1-</v>
      </c>
      <c r="AR1082" s="143"/>
      <c r="AS1082" s="136" t="str">
        <f>tbl_IO_List[[#This Row],[Terminal Tagging]]&amp;"-"&amp;tbl_IO_List[[#This Row],[Point-Count]]</f>
        <v>-</v>
      </c>
      <c r="AT1082" s="136" t="str">
        <f>tbl_IO_List[[#This Row],[Front Terminal Tagging]]&amp;"/"&amp;tbl_IO_List[[#This Row],[Terminal Tagging-Item]]</f>
        <v>C8S1-/-</v>
      </c>
      <c r="AU1082" s="136" t="str">
        <f>tbl_IO_List[[#This Row],[Terminal Tagging-Item]]&amp;"/"&amp;tbl_IO_List[[#This Row],[Front Terminal Tagging]]</f>
        <v>-/C8S1-</v>
      </c>
    </row>
    <row r="1083" spans="1:47" hidden="1">
      <c r="A1083" s="147" t="s">
        <v>1365</v>
      </c>
      <c r="B1083" s="136" t="s">
        <v>13</v>
      </c>
      <c r="C1083" s="136" t="str">
        <f>tbl_IO_List[[#This Row],[Column3]]</f>
        <v>C8S01,09</v>
      </c>
      <c r="D1083" s="136" t="e">
        <f>tbl_IO_List[[#This Row],[Card]]</f>
        <v>#N/A</v>
      </c>
      <c r="E1083" s="136" t="s">
        <v>1366</v>
      </c>
      <c r="F1083" s="136" t="str">
        <f>tbl_IO_List[[#This Row],[Column23]]&amp;"-" &amp;tbl_IO_List[[#This Row],[Column52]]</f>
        <v>C8S01-X1</v>
      </c>
      <c r="G1083" s="136" t="str">
        <f>tbl_IO_List[[#This Row],[PLC_Tag]]</f>
        <v>ZS-60201D_DI_1</v>
      </c>
      <c r="H1083" s="136"/>
      <c r="I1083" s="136" t="str">
        <f>VLOOKUP(tbl_IO_List[[#This Row],[Destination]],tbl_Junction[],2,FALSE)</f>
        <v>Spray Dryer 3rd Floor</v>
      </c>
      <c r="J1083" s="136" t="s">
        <v>1304</v>
      </c>
      <c r="K1083" s="136" t="s">
        <v>14</v>
      </c>
      <c r="L1083" s="136" t="s">
        <v>35</v>
      </c>
      <c r="M1083" s="136">
        <f>VLOOKUP(tbl_IO_List[[#This Row],[Instruement Tag]],tbl_Instruement_List[],2,FALSE)</f>
        <v>0</v>
      </c>
      <c r="N1083" s="136" t="s">
        <v>31</v>
      </c>
      <c r="O1083" s="136" t="s">
        <v>16</v>
      </c>
      <c r="P1083" s="136" t="s">
        <v>17</v>
      </c>
      <c r="Q1083" s="136" t="str">
        <f>VLOOKUP(tbl_IO_List[[#This Row],[Instruement Tag]],tbl_Instruement_List[],6,FALSE)</f>
        <v xml:space="preserve"> Limit Switch for CHAM-21 (Spray Chamber)</v>
      </c>
      <c r="R1083" s="136"/>
      <c r="S108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083" s="136" t="str">
        <f>tbl_IO_List[[#This Row],[Instruement Tag]]&amp;"_"&amp;tbl_IO_List[[#This Row],[I/O Type]]&amp;"_"&amp;tbl_IO_List[[#This Row],[IO-Point 
(Instruement)]]</f>
        <v>ZS-60201D_DI_1</v>
      </c>
      <c r="U1083" s="136" t="s">
        <v>8</v>
      </c>
      <c r="V1083" s="136">
        <f>VLOOKUP(tbl_IO_List[[#This Row],[I/O Type]],tbl_Slot_Group[],2,FALSE)</f>
        <v>1</v>
      </c>
      <c r="W1083" s="136">
        <v>1</v>
      </c>
      <c r="X1083" s="136" t="str">
        <f>tbl_IO_List[[#This Row],[Chassis]]&amp;"S"&amp;TEXT(tbl_IO_List[[#This Row],[Slot]],"00")</f>
        <v>C8S01</v>
      </c>
      <c r="Y1083" s="136" t="str">
        <f>tbl_IO_List[[#This Row],[Chassis]]&amp;"S"&amp;TEXT(tbl_IO_List[[#This Row],[Slot]],"00")&amp;tbl_IO_List[[#This Row],[I/O Type]]&amp;TEXT(tbl_IO_List[[#This Row],[Point]],"00")</f>
        <v>C8S01DI09</v>
      </c>
      <c r="Z1083" s="136" t="str">
        <f>tbl_IO_List[[#This Row],[Chassis]]&amp;"S"&amp;TEXT(tbl_IO_List[[#This Row],[Slot]],"00")&amp;","&amp;TEXT(tbl_IO_List[[#This Row],[Point]],"00")</f>
        <v>C8S01,09</v>
      </c>
      <c r="AA1083" s="136" t="e">
        <f>VLOOKUP(tbl_IO_List[[#This Row],[Column23]],tbl_RackConfig[],5,FALSE) &amp;"-"&amp;tbl_IO_List[[#This Row],[Point]]</f>
        <v>#N/A</v>
      </c>
      <c r="AB1083" s="136"/>
      <c r="AC1083" s="136"/>
      <c r="AD1083" s="136" t="str">
        <f>tbl_IO_List[[#This Row],[I/O Type]]</f>
        <v>DI</v>
      </c>
      <c r="AE1083" s="136" t="s">
        <v>1843</v>
      </c>
      <c r="AF1083" s="136">
        <v>1</v>
      </c>
      <c r="AG1083" s="136">
        <v>9</v>
      </c>
      <c r="AH1083" s="136"/>
      <c r="AI1083" s="136"/>
      <c r="AJ1083" s="136">
        <v>1</v>
      </c>
      <c r="AK1083" s="136">
        <v>0</v>
      </c>
      <c r="AL1083" s="136">
        <v>0</v>
      </c>
      <c r="AM1083" s="136">
        <v>0</v>
      </c>
      <c r="AN1083" s="136">
        <v>0</v>
      </c>
      <c r="AO1083" s="136"/>
      <c r="AP1083" s="143" t="str">
        <f>VLOOKUP(tbl_IO_List[[#This Row],[Instruement Tag]],tbl_Instruement_List[],14,FALSE)</f>
        <v>Dry Contact</v>
      </c>
      <c r="AQ1083" s="143" t="str">
        <f>tbl_IO_List[[#This Row],[Chassis]]&amp;"S"&amp;tbl_IO_List[[#This Row],[Slot]]&amp;"-"&amp;tbl_IO_List[[#This Row],[Front Terminal Number]]</f>
        <v>C8S1-</v>
      </c>
      <c r="AR1083" s="143"/>
      <c r="AS1083" s="136" t="str">
        <f>tbl_IO_List[[#This Row],[Terminal Tagging]]&amp;"-"&amp;tbl_IO_List[[#This Row],[Point-Count]]</f>
        <v>-</v>
      </c>
      <c r="AT1083" s="136" t="str">
        <f>tbl_IO_List[[#This Row],[Front Terminal Tagging]]&amp;"/"&amp;tbl_IO_List[[#This Row],[Terminal Tagging-Item]]</f>
        <v>C8S1-/-</v>
      </c>
      <c r="AU1083" s="136" t="str">
        <f>tbl_IO_List[[#This Row],[Terminal Tagging-Item]]&amp;"/"&amp;tbl_IO_List[[#This Row],[Front Terminal Tagging]]</f>
        <v>-/C8S1-</v>
      </c>
    </row>
    <row r="1084" spans="1:47" hidden="1">
      <c r="A1084" s="147" t="s">
        <v>1365</v>
      </c>
      <c r="B1084" s="136" t="s">
        <v>13</v>
      </c>
      <c r="C1084" s="136" t="str">
        <f>tbl_IO_List[[#This Row],[Column3]]</f>
        <v>C8S01,10</v>
      </c>
      <c r="D1084" s="136" t="e">
        <f>tbl_IO_List[[#This Row],[Card]]</f>
        <v>#N/A</v>
      </c>
      <c r="E1084" s="136" t="s">
        <v>1366</v>
      </c>
      <c r="F1084" s="136" t="str">
        <f>tbl_IO_List[[#This Row],[Column23]]&amp;"-" &amp;tbl_IO_List[[#This Row],[Column52]]</f>
        <v>C8S01-X1</v>
      </c>
      <c r="G1084" s="136" t="str">
        <f>tbl_IO_List[[#This Row],[PLC_Tag]]</f>
        <v>ZS-60201E_DI_1</v>
      </c>
      <c r="H1084" s="136"/>
      <c r="I1084" s="136" t="str">
        <f>VLOOKUP(tbl_IO_List[[#This Row],[Destination]],tbl_Junction[],2,FALSE)</f>
        <v>Spray Dryer 3rd Floor</v>
      </c>
      <c r="J1084" s="136" t="s">
        <v>1304</v>
      </c>
      <c r="K1084" s="136" t="s">
        <v>14</v>
      </c>
      <c r="L1084" s="136" t="s">
        <v>26</v>
      </c>
      <c r="M1084" s="136">
        <f>VLOOKUP(tbl_IO_List[[#This Row],[Instruement Tag]],tbl_Instruement_List[],2,FALSE)</f>
        <v>0</v>
      </c>
      <c r="N1084" s="136" t="s">
        <v>15</v>
      </c>
      <c r="O1084" s="136" t="s">
        <v>16</v>
      </c>
      <c r="P1084" s="136" t="s">
        <v>17</v>
      </c>
      <c r="Q1084" s="136" t="str">
        <f>VLOOKUP(tbl_IO_List[[#This Row],[Instruement Tag]],tbl_Instruement_List[],6,FALSE)</f>
        <v xml:space="preserve"> Limit Switch for CHAM-21 (Spray Chamber)</v>
      </c>
      <c r="R1084" s="136"/>
      <c r="S108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084" s="136" t="str">
        <f>tbl_IO_List[[#This Row],[Instruement Tag]]&amp;"_"&amp;tbl_IO_List[[#This Row],[I/O Type]]&amp;"_"&amp;tbl_IO_List[[#This Row],[IO-Point 
(Instruement)]]</f>
        <v>ZS-60201E_DI_1</v>
      </c>
      <c r="U1084" s="136" t="s">
        <v>8</v>
      </c>
      <c r="V1084" s="136">
        <f>VLOOKUP(tbl_IO_List[[#This Row],[I/O Type]],tbl_Slot_Group[],2,FALSE)</f>
        <v>1</v>
      </c>
      <c r="W1084" s="136">
        <v>1</v>
      </c>
      <c r="X1084" s="136" t="str">
        <f>tbl_IO_List[[#This Row],[Chassis]]&amp;"S"&amp;TEXT(tbl_IO_List[[#This Row],[Slot]],"00")</f>
        <v>C8S01</v>
      </c>
      <c r="Y1084" s="136" t="str">
        <f>tbl_IO_List[[#This Row],[Chassis]]&amp;"S"&amp;TEXT(tbl_IO_List[[#This Row],[Slot]],"00")&amp;tbl_IO_List[[#This Row],[I/O Type]]&amp;TEXT(tbl_IO_List[[#This Row],[Point]],"00")</f>
        <v>C8S01DI10</v>
      </c>
      <c r="Z1084" s="136" t="str">
        <f>tbl_IO_List[[#This Row],[Chassis]]&amp;"S"&amp;TEXT(tbl_IO_List[[#This Row],[Slot]],"00")&amp;","&amp;TEXT(tbl_IO_List[[#This Row],[Point]],"00")</f>
        <v>C8S01,10</v>
      </c>
      <c r="AA1084" s="136" t="e">
        <f>VLOOKUP(tbl_IO_List[[#This Row],[Column23]],tbl_RackConfig[],5,FALSE) &amp;"-"&amp;tbl_IO_List[[#This Row],[Point]]</f>
        <v>#N/A</v>
      </c>
      <c r="AB1084" s="136"/>
      <c r="AC1084" s="136"/>
      <c r="AD1084" s="136" t="str">
        <f>tbl_IO_List[[#This Row],[I/O Type]]</f>
        <v>DI</v>
      </c>
      <c r="AE1084" s="136" t="s">
        <v>1843</v>
      </c>
      <c r="AF1084" s="136">
        <v>1</v>
      </c>
      <c r="AG1084" s="136">
        <v>10</v>
      </c>
      <c r="AH1084" s="136"/>
      <c r="AI1084" s="136"/>
      <c r="AJ1084" s="136">
        <v>1</v>
      </c>
      <c r="AK1084" s="136">
        <v>0</v>
      </c>
      <c r="AL1084" s="136">
        <v>0</v>
      </c>
      <c r="AM1084" s="136">
        <v>0</v>
      </c>
      <c r="AN1084" s="136">
        <v>0</v>
      </c>
      <c r="AO1084" s="136"/>
      <c r="AP1084" s="143" t="str">
        <f>VLOOKUP(tbl_IO_List[[#This Row],[Instruement Tag]],tbl_Instruement_List[],14,FALSE)</f>
        <v>Dry Contact</v>
      </c>
      <c r="AQ1084" s="143" t="str">
        <f>tbl_IO_List[[#This Row],[Chassis]]&amp;"S"&amp;tbl_IO_List[[#This Row],[Slot]]&amp;"-"&amp;tbl_IO_List[[#This Row],[Front Terminal Number]]</f>
        <v>C8S1-</v>
      </c>
      <c r="AR1084" s="143"/>
      <c r="AS1084" s="136" t="str">
        <f>tbl_IO_List[[#This Row],[Terminal Tagging]]&amp;"-"&amp;tbl_IO_List[[#This Row],[Point-Count]]</f>
        <v>-</v>
      </c>
      <c r="AT1084" s="136" t="str">
        <f>tbl_IO_List[[#This Row],[Front Terminal Tagging]]&amp;"/"&amp;tbl_IO_List[[#This Row],[Terminal Tagging-Item]]</f>
        <v>C8S1-/-</v>
      </c>
      <c r="AU1084" s="136" t="str">
        <f>tbl_IO_List[[#This Row],[Terminal Tagging-Item]]&amp;"/"&amp;tbl_IO_List[[#This Row],[Front Terminal Tagging]]</f>
        <v>-/C8S1-</v>
      </c>
    </row>
    <row r="1085" spans="1:47" hidden="1">
      <c r="A1085" s="147" t="s">
        <v>1365</v>
      </c>
      <c r="B1085" s="136" t="s">
        <v>13</v>
      </c>
      <c r="C1085" s="136" t="str">
        <f>tbl_IO_List[[#This Row],[Column3]]</f>
        <v>C8S01,11</v>
      </c>
      <c r="D1085" s="136" t="e">
        <f>tbl_IO_List[[#This Row],[Card]]</f>
        <v>#N/A</v>
      </c>
      <c r="E1085" s="136" t="s">
        <v>1366</v>
      </c>
      <c r="F1085" s="136" t="str">
        <f>tbl_IO_List[[#This Row],[Column23]]&amp;"-" &amp;tbl_IO_List[[#This Row],[Column52]]</f>
        <v>C8S01-X1</v>
      </c>
      <c r="G1085" s="136" t="str">
        <f>tbl_IO_List[[#This Row],[PLC_Tag]]</f>
        <v>ZS-60229_DI_1</v>
      </c>
      <c r="H1085" s="136"/>
      <c r="I1085" s="136" t="str">
        <f>VLOOKUP(tbl_IO_List[[#This Row],[Destination]],tbl_Junction[],2,FALSE)</f>
        <v>Spray Dryer 3rd Floor</v>
      </c>
      <c r="J1085" s="136" t="s">
        <v>1304</v>
      </c>
      <c r="K1085" s="136" t="s">
        <v>14</v>
      </c>
      <c r="L1085" s="136" t="s">
        <v>36</v>
      </c>
      <c r="M1085" s="136">
        <f>VLOOKUP(tbl_IO_List[[#This Row],[Instruement Tag]],tbl_Instruement_List[],2,FALSE)</f>
        <v>0</v>
      </c>
      <c r="N1085" s="136" t="s">
        <v>31</v>
      </c>
      <c r="O1085" s="136" t="s">
        <v>18</v>
      </c>
      <c r="P1085" s="136" t="s">
        <v>17</v>
      </c>
      <c r="Q1085" s="136" t="str">
        <f>VLOOKUP(tbl_IO_List[[#This Row],[Instruement Tag]],tbl_Instruement_List[],6,FALSE)</f>
        <v xml:space="preserve"> Limit Switch for CY-60230  (Door Service)</v>
      </c>
      <c r="R1085" s="136"/>
      <c r="S108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085" s="136" t="str">
        <f>tbl_IO_List[[#This Row],[Instruement Tag]]&amp;"_"&amp;tbl_IO_List[[#This Row],[I/O Type]]&amp;"_"&amp;tbl_IO_List[[#This Row],[IO-Point 
(Instruement)]]</f>
        <v>ZS-60229_DI_1</v>
      </c>
      <c r="U1085" s="136" t="s">
        <v>8</v>
      </c>
      <c r="V1085" s="136">
        <f>VLOOKUP(tbl_IO_List[[#This Row],[I/O Type]],tbl_Slot_Group[],2,FALSE)</f>
        <v>1</v>
      </c>
      <c r="W1085" s="136">
        <v>1</v>
      </c>
      <c r="X1085" s="136" t="str">
        <f>tbl_IO_List[[#This Row],[Chassis]]&amp;"S"&amp;TEXT(tbl_IO_List[[#This Row],[Slot]],"00")</f>
        <v>C8S01</v>
      </c>
      <c r="Y1085" s="136" t="str">
        <f>tbl_IO_List[[#This Row],[Chassis]]&amp;"S"&amp;TEXT(tbl_IO_List[[#This Row],[Slot]],"00")&amp;tbl_IO_List[[#This Row],[I/O Type]]&amp;TEXT(tbl_IO_List[[#This Row],[Point]],"00")</f>
        <v>C8S01DI11</v>
      </c>
      <c r="Z1085" s="136" t="str">
        <f>tbl_IO_List[[#This Row],[Chassis]]&amp;"S"&amp;TEXT(tbl_IO_List[[#This Row],[Slot]],"00")&amp;","&amp;TEXT(tbl_IO_List[[#This Row],[Point]],"00")</f>
        <v>C8S01,11</v>
      </c>
      <c r="AA1085" s="136" t="e">
        <f>VLOOKUP(tbl_IO_List[[#This Row],[Column23]],tbl_RackConfig[],5,FALSE) &amp;"-"&amp;tbl_IO_List[[#This Row],[Point]]</f>
        <v>#N/A</v>
      </c>
      <c r="AB1085" s="136"/>
      <c r="AC1085" s="136"/>
      <c r="AD1085" s="136" t="str">
        <f>tbl_IO_List[[#This Row],[I/O Type]]</f>
        <v>DI</v>
      </c>
      <c r="AE1085" s="136" t="s">
        <v>1843</v>
      </c>
      <c r="AF1085" s="136">
        <v>1</v>
      </c>
      <c r="AG1085" s="136">
        <v>11</v>
      </c>
      <c r="AH1085" s="136"/>
      <c r="AI1085" s="136"/>
      <c r="AJ1085" s="136">
        <v>1</v>
      </c>
      <c r="AK1085" s="136">
        <v>0</v>
      </c>
      <c r="AL1085" s="136">
        <v>0</v>
      </c>
      <c r="AM1085" s="136">
        <v>0</v>
      </c>
      <c r="AN1085" s="136">
        <v>0</v>
      </c>
      <c r="AO1085" s="136"/>
      <c r="AP1085" s="143" t="str">
        <f>VLOOKUP(tbl_IO_List[[#This Row],[Instruement Tag]],tbl_Instruement_List[],14,FALSE)</f>
        <v>Dry Contact</v>
      </c>
      <c r="AQ1085" s="143" t="str">
        <f>tbl_IO_List[[#This Row],[Chassis]]&amp;"S"&amp;tbl_IO_List[[#This Row],[Slot]]&amp;"-"&amp;tbl_IO_List[[#This Row],[Front Terminal Number]]</f>
        <v>C8S1-</v>
      </c>
      <c r="AR1085" s="143"/>
      <c r="AS1085" s="136" t="str">
        <f>tbl_IO_List[[#This Row],[Terminal Tagging]]&amp;"-"&amp;tbl_IO_List[[#This Row],[Point-Count]]</f>
        <v>-</v>
      </c>
      <c r="AT1085" s="136" t="str">
        <f>tbl_IO_List[[#This Row],[Front Terminal Tagging]]&amp;"/"&amp;tbl_IO_List[[#This Row],[Terminal Tagging-Item]]</f>
        <v>C8S1-/-</v>
      </c>
      <c r="AU1085" s="136" t="str">
        <f>tbl_IO_List[[#This Row],[Terminal Tagging-Item]]&amp;"/"&amp;tbl_IO_List[[#This Row],[Front Terminal Tagging]]</f>
        <v>-/C8S1-</v>
      </c>
    </row>
    <row r="1086" spans="1:47" hidden="1">
      <c r="A1086" s="147" t="s">
        <v>1365</v>
      </c>
      <c r="B1086" s="136" t="s">
        <v>13</v>
      </c>
      <c r="C1086" s="136" t="str">
        <f>tbl_IO_List[[#This Row],[Column3]]</f>
        <v>C8S01,12</v>
      </c>
      <c r="D1086" s="136" t="e">
        <f>tbl_IO_List[[#This Row],[Card]]</f>
        <v>#N/A</v>
      </c>
      <c r="E1086" s="136" t="s">
        <v>1366</v>
      </c>
      <c r="F1086" s="136" t="str">
        <f>tbl_IO_List[[#This Row],[Column23]]&amp;"-" &amp;tbl_IO_List[[#This Row],[Column52]]</f>
        <v>C8S01-X1</v>
      </c>
      <c r="G1086" s="136" t="str">
        <f>tbl_IO_List[[#This Row],[PLC_Tag]]</f>
        <v>ZS-60230_DI_1</v>
      </c>
      <c r="H1086" s="136"/>
      <c r="I1086" s="136" t="str">
        <f>VLOOKUP(tbl_IO_List[[#This Row],[Destination]],tbl_Junction[],2,FALSE)</f>
        <v>Spray Dryer 3rd Floor</v>
      </c>
      <c r="J1086" s="136" t="s">
        <v>1304</v>
      </c>
      <c r="K1086" s="136" t="s">
        <v>14</v>
      </c>
      <c r="L1086" s="136" t="s">
        <v>37</v>
      </c>
      <c r="M1086" s="136">
        <f>VLOOKUP(tbl_IO_List[[#This Row],[Instruement Tag]],tbl_Instruement_List[],2,FALSE)</f>
        <v>0</v>
      </c>
      <c r="N1086" s="136" t="s">
        <v>31</v>
      </c>
      <c r="O1086" s="136" t="s">
        <v>18</v>
      </c>
      <c r="P1086" s="136" t="s">
        <v>17</v>
      </c>
      <c r="Q1086" s="136" t="str">
        <f>VLOOKUP(tbl_IO_List[[#This Row],[Instruement Tag]],tbl_Instruement_List[],6,FALSE)</f>
        <v xml:space="preserve"> Limit Switch for CY-60231  (Door Service)</v>
      </c>
      <c r="R1086" s="136"/>
      <c r="S108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086" s="136" t="str">
        <f>tbl_IO_List[[#This Row],[Instruement Tag]]&amp;"_"&amp;tbl_IO_List[[#This Row],[I/O Type]]&amp;"_"&amp;tbl_IO_List[[#This Row],[IO-Point 
(Instruement)]]</f>
        <v>ZS-60230_DI_1</v>
      </c>
      <c r="U1086" s="136" t="s">
        <v>8</v>
      </c>
      <c r="V1086" s="136">
        <f>VLOOKUP(tbl_IO_List[[#This Row],[I/O Type]],tbl_Slot_Group[],2,FALSE)</f>
        <v>1</v>
      </c>
      <c r="W1086" s="136">
        <v>1</v>
      </c>
      <c r="X1086" s="136" t="str">
        <f>tbl_IO_List[[#This Row],[Chassis]]&amp;"S"&amp;TEXT(tbl_IO_List[[#This Row],[Slot]],"00")</f>
        <v>C8S01</v>
      </c>
      <c r="Y1086" s="136" t="str">
        <f>tbl_IO_List[[#This Row],[Chassis]]&amp;"S"&amp;TEXT(tbl_IO_List[[#This Row],[Slot]],"00")&amp;tbl_IO_List[[#This Row],[I/O Type]]&amp;TEXT(tbl_IO_List[[#This Row],[Point]],"00")</f>
        <v>C8S01DI12</v>
      </c>
      <c r="Z1086" s="136" t="str">
        <f>tbl_IO_List[[#This Row],[Chassis]]&amp;"S"&amp;TEXT(tbl_IO_List[[#This Row],[Slot]],"00")&amp;","&amp;TEXT(tbl_IO_List[[#This Row],[Point]],"00")</f>
        <v>C8S01,12</v>
      </c>
      <c r="AA1086" s="136" t="e">
        <f>VLOOKUP(tbl_IO_List[[#This Row],[Column23]],tbl_RackConfig[],5,FALSE) &amp;"-"&amp;tbl_IO_List[[#This Row],[Point]]</f>
        <v>#N/A</v>
      </c>
      <c r="AB1086" s="136"/>
      <c r="AC1086" s="136"/>
      <c r="AD1086" s="136" t="str">
        <f>tbl_IO_List[[#This Row],[I/O Type]]</f>
        <v>DI</v>
      </c>
      <c r="AE1086" s="136" t="s">
        <v>1843</v>
      </c>
      <c r="AF1086" s="136">
        <v>1</v>
      </c>
      <c r="AG1086" s="136">
        <v>12</v>
      </c>
      <c r="AH1086" s="136"/>
      <c r="AI1086" s="136"/>
      <c r="AJ1086" s="136">
        <v>1</v>
      </c>
      <c r="AK1086" s="136">
        <v>0</v>
      </c>
      <c r="AL1086" s="136">
        <v>0</v>
      </c>
      <c r="AM1086" s="136">
        <v>0</v>
      </c>
      <c r="AN1086" s="136">
        <v>0</v>
      </c>
      <c r="AO1086" s="136"/>
      <c r="AP1086" s="143" t="str">
        <f>VLOOKUP(tbl_IO_List[[#This Row],[Instruement Tag]],tbl_Instruement_List[],14,FALSE)</f>
        <v>Dry Contact</v>
      </c>
      <c r="AQ1086" s="143" t="str">
        <f>tbl_IO_List[[#This Row],[Chassis]]&amp;"S"&amp;tbl_IO_List[[#This Row],[Slot]]&amp;"-"&amp;tbl_IO_List[[#This Row],[Front Terminal Number]]</f>
        <v>C8S1-</v>
      </c>
      <c r="AR1086" s="143"/>
      <c r="AS1086" s="136" t="str">
        <f>tbl_IO_List[[#This Row],[Terminal Tagging]]&amp;"-"&amp;tbl_IO_List[[#This Row],[Point-Count]]</f>
        <v>-</v>
      </c>
      <c r="AT1086" s="136" t="str">
        <f>tbl_IO_List[[#This Row],[Front Terminal Tagging]]&amp;"/"&amp;tbl_IO_List[[#This Row],[Terminal Tagging-Item]]</f>
        <v>C8S1-/-</v>
      </c>
      <c r="AU1086" s="136" t="str">
        <f>tbl_IO_List[[#This Row],[Terminal Tagging-Item]]&amp;"/"&amp;tbl_IO_List[[#This Row],[Front Terminal Tagging]]</f>
        <v>-/C8S1-</v>
      </c>
    </row>
    <row r="1087" spans="1:47" hidden="1">
      <c r="A1087" s="147" t="s">
        <v>1365</v>
      </c>
      <c r="B1087" s="136" t="s">
        <v>13</v>
      </c>
      <c r="C1087" s="136" t="str">
        <f>tbl_IO_List[[#This Row],[Column3]]</f>
        <v>C8S01,13</v>
      </c>
      <c r="D1087" s="136" t="e">
        <f>tbl_IO_List[[#This Row],[Card]]</f>
        <v>#N/A</v>
      </c>
      <c r="E1087" s="136" t="s">
        <v>1366</v>
      </c>
      <c r="F1087" s="136" t="str">
        <f>tbl_IO_List[[#This Row],[Column23]]&amp;"-" &amp;tbl_IO_List[[#This Row],[Column52]]</f>
        <v>C8S01-X1</v>
      </c>
      <c r="G1087" s="136" t="str">
        <f>tbl_IO_List[[#This Row],[PLC_Tag]]</f>
        <v>ZS-60231A_DI_1</v>
      </c>
      <c r="H1087" s="136"/>
      <c r="I1087" s="136" t="str">
        <f>VLOOKUP(tbl_IO_List[[#This Row],[Destination]],tbl_Junction[],2,FALSE)</f>
        <v>Spray Dryer 3rd Floor</v>
      </c>
      <c r="J1087" s="136" t="s">
        <v>1304</v>
      </c>
      <c r="K1087" s="136" t="s">
        <v>14</v>
      </c>
      <c r="L1087" s="136" t="s">
        <v>38</v>
      </c>
      <c r="M1087" s="136">
        <f>VLOOKUP(tbl_IO_List[[#This Row],[Instruement Tag]],tbl_Instruement_List[],2,FALSE)</f>
        <v>0</v>
      </c>
      <c r="N1087" s="136" t="s">
        <v>31</v>
      </c>
      <c r="O1087" s="136" t="s">
        <v>21</v>
      </c>
      <c r="P1087" s="136" t="s">
        <v>22</v>
      </c>
      <c r="Q1087" s="136" t="str">
        <f>VLOOKUP(tbl_IO_List[[#This Row],[Instruement Tag]],tbl_Instruement_List[],6,FALSE)</f>
        <v>Gas Limit Switch for DTEX-21 (Bag House Face Spectacle Inserted)</v>
      </c>
      <c r="R1087" s="136"/>
      <c r="S108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087" s="136" t="str">
        <f>tbl_IO_List[[#This Row],[Instruement Tag]]&amp;"_"&amp;tbl_IO_List[[#This Row],[I/O Type]]&amp;"_"&amp;tbl_IO_List[[#This Row],[IO-Point 
(Instruement)]]</f>
        <v>ZS-60231A_DI_1</v>
      </c>
      <c r="U1087" s="136" t="s">
        <v>8</v>
      </c>
      <c r="V1087" s="136">
        <f>VLOOKUP(tbl_IO_List[[#This Row],[I/O Type]],tbl_Slot_Group[],2,FALSE)</f>
        <v>1</v>
      </c>
      <c r="W1087" s="136">
        <v>1</v>
      </c>
      <c r="X1087" s="136" t="str">
        <f>tbl_IO_List[[#This Row],[Chassis]]&amp;"S"&amp;TEXT(tbl_IO_List[[#This Row],[Slot]],"00")</f>
        <v>C8S01</v>
      </c>
      <c r="Y1087" s="136" t="str">
        <f>tbl_IO_List[[#This Row],[Chassis]]&amp;"S"&amp;TEXT(tbl_IO_List[[#This Row],[Slot]],"00")&amp;tbl_IO_List[[#This Row],[I/O Type]]&amp;TEXT(tbl_IO_List[[#This Row],[Point]],"00")</f>
        <v>C8S01DI13</v>
      </c>
      <c r="Z1087" s="136" t="str">
        <f>tbl_IO_List[[#This Row],[Chassis]]&amp;"S"&amp;TEXT(tbl_IO_List[[#This Row],[Slot]],"00")&amp;","&amp;TEXT(tbl_IO_List[[#This Row],[Point]],"00")</f>
        <v>C8S01,13</v>
      </c>
      <c r="AA1087" s="136" t="e">
        <f>VLOOKUP(tbl_IO_List[[#This Row],[Column23]],tbl_RackConfig[],5,FALSE) &amp;"-"&amp;tbl_IO_List[[#This Row],[Point]]</f>
        <v>#N/A</v>
      </c>
      <c r="AB1087" s="136"/>
      <c r="AC1087" s="136"/>
      <c r="AD1087" s="136" t="str">
        <f>tbl_IO_List[[#This Row],[I/O Type]]</f>
        <v>DI</v>
      </c>
      <c r="AE1087" s="136" t="s">
        <v>1843</v>
      </c>
      <c r="AF1087" s="136">
        <v>1</v>
      </c>
      <c r="AG1087" s="136">
        <v>13</v>
      </c>
      <c r="AH1087" s="136"/>
      <c r="AI1087" s="136"/>
      <c r="AJ1087" s="136">
        <v>1</v>
      </c>
      <c r="AK1087" s="136">
        <v>0</v>
      </c>
      <c r="AL1087" s="136">
        <v>0</v>
      </c>
      <c r="AM1087" s="136">
        <v>0</v>
      </c>
      <c r="AN1087" s="136">
        <v>0</v>
      </c>
      <c r="AO1087" s="136"/>
      <c r="AP1087" s="143" t="str">
        <f>VLOOKUP(tbl_IO_List[[#This Row],[Instruement Tag]],tbl_Instruement_List[],14,FALSE)</f>
        <v>Dry Contact</v>
      </c>
      <c r="AQ1087" s="143" t="str">
        <f>tbl_IO_List[[#This Row],[Chassis]]&amp;"S"&amp;tbl_IO_List[[#This Row],[Slot]]&amp;"-"&amp;tbl_IO_List[[#This Row],[Front Terminal Number]]</f>
        <v>C8S1-</v>
      </c>
      <c r="AR1087" s="143"/>
      <c r="AS1087" s="136" t="str">
        <f>tbl_IO_List[[#This Row],[Terminal Tagging]]&amp;"-"&amp;tbl_IO_List[[#This Row],[Point-Count]]</f>
        <v>-</v>
      </c>
      <c r="AT1087" s="136" t="str">
        <f>tbl_IO_List[[#This Row],[Front Terminal Tagging]]&amp;"/"&amp;tbl_IO_List[[#This Row],[Terminal Tagging-Item]]</f>
        <v>C8S1-/-</v>
      </c>
      <c r="AU1087" s="136" t="str">
        <f>tbl_IO_List[[#This Row],[Terminal Tagging-Item]]&amp;"/"&amp;tbl_IO_List[[#This Row],[Front Terminal Tagging]]</f>
        <v>-/C8S1-</v>
      </c>
    </row>
    <row r="1088" spans="1:47" hidden="1">
      <c r="A1088" s="147" t="s">
        <v>1365</v>
      </c>
      <c r="B1088" s="136" t="s">
        <v>13</v>
      </c>
      <c r="C1088" s="136" t="str">
        <f>tbl_IO_List[[#This Row],[Column3]]</f>
        <v>C8S01,14</v>
      </c>
      <c r="D1088" s="136" t="e">
        <f>tbl_IO_List[[#This Row],[Card]]</f>
        <v>#N/A</v>
      </c>
      <c r="E1088" s="136" t="s">
        <v>1366</v>
      </c>
      <c r="F1088" s="136" t="str">
        <f>tbl_IO_List[[#This Row],[Column23]]&amp;"-" &amp;tbl_IO_List[[#This Row],[Column52]]</f>
        <v>C8S01-X1</v>
      </c>
      <c r="G1088" s="136" t="str">
        <f>tbl_IO_List[[#This Row],[PLC_Tag]]</f>
        <v>ZS-60231B_DI_1</v>
      </c>
      <c r="H1088" s="136"/>
      <c r="I1088" s="136" t="str">
        <f>VLOOKUP(tbl_IO_List[[#This Row],[Destination]],tbl_Junction[],2,FALSE)</f>
        <v>Spray Dryer 3rd Floor</v>
      </c>
      <c r="J1088" s="136" t="s">
        <v>1304</v>
      </c>
      <c r="K1088" s="136" t="s">
        <v>14</v>
      </c>
      <c r="L1088" s="136" t="s">
        <v>39</v>
      </c>
      <c r="M1088" s="136">
        <f>VLOOKUP(tbl_IO_List[[#This Row],[Instruement Tag]],tbl_Instruement_List[],2,FALSE)</f>
        <v>0</v>
      </c>
      <c r="N1088" s="136" t="s">
        <v>31</v>
      </c>
      <c r="O1088" s="136" t="s">
        <v>21</v>
      </c>
      <c r="P1088" s="136" t="s">
        <v>22</v>
      </c>
      <c r="Q1088" s="136" t="str">
        <f>VLOOKUP(tbl_IO_List[[#This Row],[Instruement Tag]],tbl_Instruement_List[],6,FALSE)</f>
        <v>Gas Limit Switch for DTEX-21 (Bag House Face Blind Inserted)</v>
      </c>
      <c r="R1088" s="136"/>
      <c r="S108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088" s="136" t="str">
        <f>tbl_IO_List[[#This Row],[Instruement Tag]]&amp;"_"&amp;tbl_IO_List[[#This Row],[I/O Type]]&amp;"_"&amp;tbl_IO_List[[#This Row],[IO-Point 
(Instruement)]]</f>
        <v>ZS-60231B_DI_1</v>
      </c>
      <c r="U1088" s="136" t="s">
        <v>8</v>
      </c>
      <c r="V1088" s="136">
        <f>VLOOKUP(tbl_IO_List[[#This Row],[I/O Type]],tbl_Slot_Group[],2,FALSE)</f>
        <v>1</v>
      </c>
      <c r="W1088" s="136">
        <v>1</v>
      </c>
      <c r="X1088" s="136" t="str">
        <f>tbl_IO_List[[#This Row],[Chassis]]&amp;"S"&amp;TEXT(tbl_IO_List[[#This Row],[Slot]],"00")</f>
        <v>C8S01</v>
      </c>
      <c r="Y1088" s="136" t="str">
        <f>tbl_IO_List[[#This Row],[Chassis]]&amp;"S"&amp;TEXT(tbl_IO_List[[#This Row],[Slot]],"00")&amp;tbl_IO_List[[#This Row],[I/O Type]]&amp;TEXT(tbl_IO_List[[#This Row],[Point]],"00")</f>
        <v>C8S01DI14</v>
      </c>
      <c r="Z1088" s="136" t="str">
        <f>tbl_IO_List[[#This Row],[Chassis]]&amp;"S"&amp;TEXT(tbl_IO_List[[#This Row],[Slot]],"00")&amp;","&amp;TEXT(tbl_IO_List[[#This Row],[Point]],"00")</f>
        <v>C8S01,14</v>
      </c>
      <c r="AA1088" s="136" t="e">
        <f>VLOOKUP(tbl_IO_List[[#This Row],[Column23]],tbl_RackConfig[],5,FALSE) &amp;"-"&amp;tbl_IO_List[[#This Row],[Point]]</f>
        <v>#N/A</v>
      </c>
      <c r="AB1088" s="136"/>
      <c r="AC1088" s="136"/>
      <c r="AD1088" s="136" t="str">
        <f>tbl_IO_List[[#This Row],[I/O Type]]</f>
        <v>DI</v>
      </c>
      <c r="AE1088" s="136" t="s">
        <v>1843</v>
      </c>
      <c r="AF1088" s="136">
        <v>1</v>
      </c>
      <c r="AG1088" s="136">
        <v>14</v>
      </c>
      <c r="AH1088" s="136"/>
      <c r="AI1088" s="136"/>
      <c r="AJ1088" s="136">
        <v>1</v>
      </c>
      <c r="AK1088" s="136">
        <v>0</v>
      </c>
      <c r="AL1088" s="136">
        <v>0</v>
      </c>
      <c r="AM1088" s="136">
        <v>0</v>
      </c>
      <c r="AN1088" s="136">
        <v>0</v>
      </c>
      <c r="AO1088" s="136"/>
      <c r="AP1088" s="143" t="str">
        <f>VLOOKUP(tbl_IO_List[[#This Row],[Instruement Tag]],tbl_Instruement_List[],14,FALSE)</f>
        <v>Dry Contact</v>
      </c>
      <c r="AQ1088" s="143" t="str">
        <f>tbl_IO_List[[#This Row],[Chassis]]&amp;"S"&amp;tbl_IO_List[[#This Row],[Slot]]&amp;"-"&amp;tbl_IO_List[[#This Row],[Front Terminal Number]]</f>
        <v>C8S1-</v>
      </c>
      <c r="AR1088" s="143"/>
      <c r="AS1088" s="136" t="str">
        <f>tbl_IO_List[[#This Row],[Terminal Tagging]]&amp;"-"&amp;tbl_IO_List[[#This Row],[Point-Count]]</f>
        <v>-</v>
      </c>
      <c r="AT1088" s="136" t="str">
        <f>tbl_IO_List[[#This Row],[Front Terminal Tagging]]&amp;"/"&amp;tbl_IO_List[[#This Row],[Terminal Tagging-Item]]</f>
        <v>C8S1-/-</v>
      </c>
      <c r="AU1088" s="136" t="str">
        <f>tbl_IO_List[[#This Row],[Terminal Tagging-Item]]&amp;"/"&amp;tbl_IO_List[[#This Row],[Front Terminal Tagging]]</f>
        <v>-/C8S1-</v>
      </c>
    </row>
    <row r="1089" spans="1:47" hidden="1">
      <c r="A1089" s="147" t="s">
        <v>1365</v>
      </c>
      <c r="B1089" s="136" t="s">
        <v>13</v>
      </c>
      <c r="C1089" s="136" t="str">
        <f>tbl_IO_List[[#This Row],[Column3]]</f>
        <v>C8S01,15</v>
      </c>
      <c r="D1089" s="136" t="e">
        <f>tbl_IO_List[[#This Row],[Card]]</f>
        <v>#N/A</v>
      </c>
      <c r="E1089" s="136" t="s">
        <v>1366</v>
      </c>
      <c r="F1089" s="136" t="str">
        <f>tbl_IO_List[[#This Row],[Column23]]&amp;"-" &amp;tbl_IO_List[[#This Row],[Column52]]</f>
        <v>C8S01-X1</v>
      </c>
      <c r="G1089" s="136" t="str">
        <f>tbl_IO_List[[#This Row],[PLC_Tag]]</f>
        <v>Spare_DI_0</v>
      </c>
      <c r="H1089" s="136"/>
      <c r="I1089" s="136" t="str">
        <f>VLOOKUP(tbl_IO_List[[#This Row],[Destination]],tbl_Junction[],2,FALSE)</f>
        <v>Spray Dryer 3rd Floor</v>
      </c>
      <c r="J1089" s="136"/>
      <c r="K1089" s="136"/>
      <c r="L1089" s="136" t="s">
        <v>411</v>
      </c>
      <c r="M1089" s="136" t="e">
        <f>VLOOKUP(tbl_IO_List[[#This Row],[Instruement Tag]],tbl_Instruement_List[],2,FALSE)</f>
        <v>#N/A</v>
      </c>
      <c r="N1089" s="136"/>
      <c r="O1089" s="136"/>
      <c r="P1089" s="136"/>
      <c r="Q1089" s="136" t="e">
        <f>VLOOKUP(tbl_IO_List[[#This Row],[Instruement Tag]],tbl_Instruement_List[],6,FALSE)</f>
        <v>#N/A</v>
      </c>
      <c r="R1089" s="136"/>
      <c r="S108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089" s="136" t="str">
        <f>tbl_IO_List[[#This Row],[Instruement Tag]]&amp;"_"&amp;tbl_IO_List[[#This Row],[I/O Type]]&amp;"_"&amp;tbl_IO_List[[#This Row],[IO-Point 
(Instruement)]]</f>
        <v>Spare_DI_0</v>
      </c>
      <c r="U1089" s="136" t="s">
        <v>8</v>
      </c>
      <c r="V1089" s="136">
        <f>VLOOKUP(tbl_IO_List[[#This Row],[I/O Type]],tbl_Slot_Group[],2,FALSE)</f>
        <v>1</v>
      </c>
      <c r="W1089" s="136">
        <v>0</v>
      </c>
      <c r="X1089" s="136" t="str">
        <f>tbl_IO_List[[#This Row],[Chassis]]&amp;"S"&amp;TEXT(tbl_IO_List[[#This Row],[Slot]],"00")</f>
        <v>C8S01</v>
      </c>
      <c r="Y1089" s="136" t="str">
        <f>tbl_IO_List[[#This Row],[Chassis]]&amp;"S"&amp;TEXT(tbl_IO_List[[#This Row],[Slot]],"00")&amp;tbl_IO_List[[#This Row],[I/O Type]]&amp;TEXT(tbl_IO_List[[#This Row],[Point]],"00")</f>
        <v>C8S01DI15</v>
      </c>
      <c r="Z1089" s="136" t="str">
        <f>tbl_IO_List[[#This Row],[Chassis]]&amp;"S"&amp;TEXT(tbl_IO_List[[#This Row],[Slot]],"00")&amp;","&amp;TEXT(tbl_IO_List[[#This Row],[Point]],"00")</f>
        <v>C8S01,15</v>
      </c>
      <c r="AA1089" s="136" t="e">
        <f>VLOOKUP(tbl_IO_List[[#This Row],[Column23]],tbl_RackConfig[],5,FALSE) &amp;"-"&amp;tbl_IO_List[[#This Row],[Point]]</f>
        <v>#N/A</v>
      </c>
      <c r="AB1089" s="136"/>
      <c r="AC1089" s="136"/>
      <c r="AD1089" s="136" t="str">
        <f>tbl_IO_List[[#This Row],[I/O Type]]</f>
        <v>DI</v>
      </c>
      <c r="AE1089" s="136" t="s">
        <v>1843</v>
      </c>
      <c r="AF1089" s="136">
        <v>1</v>
      </c>
      <c r="AG1089" s="136">
        <v>15</v>
      </c>
      <c r="AH1089" s="136"/>
      <c r="AI1089" s="136"/>
      <c r="AJ1089" s="136">
        <v>1</v>
      </c>
      <c r="AK1089" s="136">
        <v>0</v>
      </c>
      <c r="AL1089" s="136">
        <v>0</v>
      </c>
      <c r="AM1089" s="136">
        <v>0</v>
      </c>
      <c r="AN1089" s="136">
        <v>0</v>
      </c>
      <c r="AO1089" s="136"/>
      <c r="AP1089" s="143" t="e">
        <f>VLOOKUP(tbl_IO_List[[#This Row],[Instruement Tag]],tbl_Instruement_List[],14,FALSE)</f>
        <v>#N/A</v>
      </c>
      <c r="AQ1089" s="143" t="str">
        <f>tbl_IO_List[[#This Row],[Chassis]]&amp;"S"&amp;tbl_IO_List[[#This Row],[Slot]]&amp;"-"&amp;tbl_IO_List[[#This Row],[Front Terminal Number]]</f>
        <v>C8S1-</v>
      </c>
      <c r="AR1089" s="143"/>
      <c r="AS1089" s="136" t="str">
        <f>tbl_IO_List[[#This Row],[Terminal Tagging]]&amp;"-"&amp;tbl_IO_List[[#This Row],[Point-Count]]</f>
        <v>-</v>
      </c>
      <c r="AT1089" s="136" t="str">
        <f>tbl_IO_List[[#This Row],[Front Terminal Tagging]]&amp;"/"&amp;tbl_IO_List[[#This Row],[Terminal Tagging-Item]]</f>
        <v>C8S1-/-</v>
      </c>
      <c r="AU1089" s="136" t="str">
        <f>tbl_IO_List[[#This Row],[Terminal Tagging-Item]]&amp;"/"&amp;tbl_IO_List[[#This Row],[Front Terminal Tagging]]</f>
        <v>-/C8S1-</v>
      </c>
    </row>
    <row r="1090" spans="1:47" hidden="1">
      <c r="A1090" s="147" t="s">
        <v>1371</v>
      </c>
      <c r="B1090" s="136" t="s">
        <v>46</v>
      </c>
      <c r="C1090" s="136" t="str">
        <f>tbl_IO_List[[#This Row],[Column3]]</f>
        <v>C8S01,16</v>
      </c>
      <c r="D1090" s="136" t="e">
        <f>tbl_IO_List[[#This Row],[Card]]</f>
        <v>#N/A</v>
      </c>
      <c r="E1090" s="136" t="s">
        <v>1372</v>
      </c>
      <c r="F1090" s="136" t="str">
        <f>tbl_IO_List[[#This Row],[Column23]]&amp;"-" &amp;tbl_IO_List[[#This Row],[Column52]]</f>
        <v>C8S01-X2</v>
      </c>
      <c r="G1090" s="136" t="str">
        <f>tbl_IO_List[[#This Row],[PLC_Tag]]</f>
        <v>ZS-60201A_DI_1</v>
      </c>
      <c r="H1090" s="136"/>
      <c r="I1090" s="136" t="str">
        <f>VLOOKUP(tbl_IO_List[[#This Row],[Destination]],tbl_Junction[],2,FALSE)</f>
        <v>Spray Dryer 8th Floor</v>
      </c>
      <c r="J1090" s="136" t="s">
        <v>333</v>
      </c>
      <c r="K1090" s="136" t="s">
        <v>14</v>
      </c>
      <c r="L1090" s="136" t="s">
        <v>61</v>
      </c>
      <c r="M1090" s="136">
        <f>VLOOKUP(tbl_IO_List[[#This Row],[Instruement Tag]],tbl_Instruement_List[],2,FALSE)</f>
        <v>0</v>
      </c>
      <c r="N1090" s="136" t="s">
        <v>58</v>
      </c>
      <c r="O1090" s="136" t="s">
        <v>16</v>
      </c>
      <c r="P1090" s="136" t="s">
        <v>17</v>
      </c>
      <c r="Q1090" s="136" t="str">
        <f>VLOOKUP(tbl_IO_List[[#This Row],[Instruement Tag]],tbl_Instruement_List[],6,FALSE)</f>
        <v xml:space="preserve"> Limit Switch for CHAM-21 (Spray Chamber)</v>
      </c>
      <c r="R1090" s="136"/>
      <c r="S109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090" s="136" t="str">
        <f>tbl_IO_List[[#This Row],[Instruement Tag]]&amp;"_"&amp;tbl_IO_List[[#This Row],[I/O Type]]&amp;"_"&amp;tbl_IO_List[[#This Row],[IO-Point 
(Instruement)]]</f>
        <v>ZS-60201A_DI_1</v>
      </c>
      <c r="U1090" s="136" t="s">
        <v>8</v>
      </c>
      <c r="V1090" s="136">
        <f>VLOOKUP(tbl_IO_List[[#This Row],[I/O Type]],tbl_Slot_Group[],2,FALSE)</f>
        <v>1</v>
      </c>
      <c r="W1090" s="136">
        <v>1</v>
      </c>
      <c r="X1090" s="136" t="str">
        <f>tbl_IO_List[[#This Row],[Chassis]]&amp;"S"&amp;TEXT(tbl_IO_List[[#This Row],[Slot]],"00")</f>
        <v>C8S01</v>
      </c>
      <c r="Y1090" s="136" t="str">
        <f>tbl_IO_List[[#This Row],[Chassis]]&amp;"S"&amp;TEXT(tbl_IO_List[[#This Row],[Slot]],"00")&amp;tbl_IO_List[[#This Row],[I/O Type]]&amp;TEXT(tbl_IO_List[[#This Row],[Point]],"00")</f>
        <v>C8S01DI16</v>
      </c>
      <c r="Z1090" s="136" t="str">
        <f>tbl_IO_List[[#This Row],[Chassis]]&amp;"S"&amp;TEXT(tbl_IO_List[[#This Row],[Slot]],"00")&amp;","&amp;TEXT(tbl_IO_List[[#This Row],[Point]],"00")</f>
        <v>C8S01,16</v>
      </c>
      <c r="AA1090" s="136" t="e">
        <f>VLOOKUP(tbl_IO_List[[#This Row],[Column23]],tbl_RackConfig[],5,FALSE) &amp;"-"&amp;tbl_IO_List[[#This Row],[Point]]</f>
        <v>#N/A</v>
      </c>
      <c r="AB1090" s="136"/>
      <c r="AC1090" s="136"/>
      <c r="AD1090" s="136" t="str">
        <f>tbl_IO_List[[#This Row],[I/O Type]]</f>
        <v>DI</v>
      </c>
      <c r="AE1090" s="136" t="s">
        <v>1843</v>
      </c>
      <c r="AF1090" s="136">
        <v>1</v>
      </c>
      <c r="AG1090" s="136">
        <v>16</v>
      </c>
      <c r="AH1090" s="136"/>
      <c r="AI1090" s="136"/>
      <c r="AJ1090" s="136">
        <v>1</v>
      </c>
      <c r="AK1090" s="136">
        <v>0</v>
      </c>
      <c r="AL1090" s="136">
        <v>0</v>
      </c>
      <c r="AM1090" s="136">
        <v>0</v>
      </c>
      <c r="AN1090" s="136">
        <v>0</v>
      </c>
      <c r="AO1090" s="136"/>
      <c r="AP1090" s="143" t="str">
        <f>VLOOKUP(tbl_IO_List[[#This Row],[Instruement Tag]],tbl_Instruement_List[],14,FALSE)</f>
        <v>Dry Contact</v>
      </c>
      <c r="AQ1090" s="143" t="str">
        <f>tbl_IO_List[[#This Row],[Chassis]]&amp;"S"&amp;tbl_IO_List[[#This Row],[Slot]]&amp;"-"&amp;tbl_IO_List[[#This Row],[Front Terminal Number]]</f>
        <v>C8S1-</v>
      </c>
      <c r="AR1090" s="143"/>
      <c r="AS1090" s="136" t="str">
        <f>tbl_IO_List[[#This Row],[Terminal Tagging]]&amp;"-"&amp;tbl_IO_List[[#This Row],[Point-Count]]</f>
        <v>-</v>
      </c>
      <c r="AT1090" s="136" t="str">
        <f>tbl_IO_List[[#This Row],[Front Terminal Tagging]]&amp;"/"&amp;tbl_IO_List[[#This Row],[Terminal Tagging-Item]]</f>
        <v>C8S1-/-</v>
      </c>
      <c r="AU1090" s="136" t="str">
        <f>tbl_IO_List[[#This Row],[Terminal Tagging-Item]]&amp;"/"&amp;tbl_IO_List[[#This Row],[Front Terminal Tagging]]</f>
        <v>-/C8S1-</v>
      </c>
    </row>
    <row r="1091" spans="1:47" hidden="1">
      <c r="A1091" s="147" t="s">
        <v>1371</v>
      </c>
      <c r="B1091" s="136" t="s">
        <v>46</v>
      </c>
      <c r="C1091" s="136" t="str">
        <f>tbl_IO_List[[#This Row],[Column3]]</f>
        <v>C8S01,17</v>
      </c>
      <c r="D1091" s="136" t="e">
        <f>tbl_IO_List[[#This Row],[Card]]</f>
        <v>#N/A</v>
      </c>
      <c r="E1091" s="136" t="s">
        <v>1372</v>
      </c>
      <c r="F1091" s="136" t="str">
        <f>tbl_IO_List[[#This Row],[Column23]]&amp;"-" &amp;tbl_IO_List[[#This Row],[Column52]]</f>
        <v>C8S01-X2</v>
      </c>
      <c r="G1091" s="136" t="str">
        <f>tbl_IO_List[[#This Row],[PLC_Tag]]</f>
        <v>ZS-60201B_DI_1</v>
      </c>
      <c r="H1091" s="136"/>
      <c r="I1091" s="136" t="str">
        <f>VLOOKUP(tbl_IO_List[[#This Row],[Destination]],tbl_Junction[],2,FALSE)</f>
        <v>Spray Dryer 8th Floor</v>
      </c>
      <c r="J1091" s="136" t="s">
        <v>333</v>
      </c>
      <c r="K1091" s="136" t="s">
        <v>14</v>
      </c>
      <c r="L1091" s="136" t="s">
        <v>62</v>
      </c>
      <c r="M1091" s="136">
        <f>VLOOKUP(tbl_IO_List[[#This Row],[Instruement Tag]],tbl_Instruement_List[],2,FALSE)</f>
        <v>0</v>
      </c>
      <c r="N1091" s="136" t="s">
        <v>58</v>
      </c>
      <c r="O1091" s="136" t="s">
        <v>16</v>
      </c>
      <c r="P1091" s="136" t="s">
        <v>17</v>
      </c>
      <c r="Q1091" s="136" t="str">
        <f>VLOOKUP(tbl_IO_List[[#This Row],[Instruement Tag]],tbl_Instruement_List[],6,FALSE)</f>
        <v xml:space="preserve"> Limit Switch for CHAM-21 (Spray Chamber)</v>
      </c>
      <c r="R1091" s="136"/>
      <c r="S109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091" s="136" t="str">
        <f>tbl_IO_List[[#This Row],[Instruement Tag]]&amp;"_"&amp;tbl_IO_List[[#This Row],[I/O Type]]&amp;"_"&amp;tbl_IO_List[[#This Row],[IO-Point 
(Instruement)]]</f>
        <v>ZS-60201B_DI_1</v>
      </c>
      <c r="U1091" s="136" t="s">
        <v>8</v>
      </c>
      <c r="V1091" s="136">
        <f>VLOOKUP(tbl_IO_List[[#This Row],[I/O Type]],tbl_Slot_Group[],2,FALSE)</f>
        <v>1</v>
      </c>
      <c r="W1091" s="136">
        <v>1</v>
      </c>
      <c r="X1091" s="136" t="str">
        <f>tbl_IO_List[[#This Row],[Chassis]]&amp;"S"&amp;TEXT(tbl_IO_List[[#This Row],[Slot]],"00")</f>
        <v>C8S01</v>
      </c>
      <c r="Y1091" s="136" t="str">
        <f>tbl_IO_List[[#This Row],[Chassis]]&amp;"S"&amp;TEXT(tbl_IO_List[[#This Row],[Slot]],"00")&amp;tbl_IO_List[[#This Row],[I/O Type]]&amp;TEXT(tbl_IO_List[[#This Row],[Point]],"00")</f>
        <v>C8S01DI17</v>
      </c>
      <c r="Z1091" s="136" t="str">
        <f>tbl_IO_List[[#This Row],[Chassis]]&amp;"S"&amp;TEXT(tbl_IO_List[[#This Row],[Slot]],"00")&amp;","&amp;TEXT(tbl_IO_List[[#This Row],[Point]],"00")</f>
        <v>C8S01,17</v>
      </c>
      <c r="AA1091" s="136" t="e">
        <f>VLOOKUP(tbl_IO_List[[#This Row],[Column23]],tbl_RackConfig[],5,FALSE) &amp;"-"&amp;tbl_IO_List[[#This Row],[Point]]</f>
        <v>#N/A</v>
      </c>
      <c r="AB1091" s="136"/>
      <c r="AC1091" s="136"/>
      <c r="AD1091" s="136" t="str">
        <f>tbl_IO_List[[#This Row],[I/O Type]]</f>
        <v>DI</v>
      </c>
      <c r="AE1091" s="136" t="s">
        <v>1843</v>
      </c>
      <c r="AF1091" s="136">
        <v>1</v>
      </c>
      <c r="AG1091" s="136">
        <v>17</v>
      </c>
      <c r="AH1091" s="136"/>
      <c r="AI1091" s="136"/>
      <c r="AJ1091" s="136">
        <v>1</v>
      </c>
      <c r="AK1091" s="136">
        <v>0</v>
      </c>
      <c r="AL1091" s="136">
        <v>0</v>
      </c>
      <c r="AM1091" s="136">
        <v>0</v>
      </c>
      <c r="AN1091" s="136">
        <v>0</v>
      </c>
      <c r="AO1091" s="136"/>
      <c r="AP1091" s="143" t="str">
        <f>VLOOKUP(tbl_IO_List[[#This Row],[Instruement Tag]],tbl_Instruement_List[],14,FALSE)</f>
        <v>Dry Contact</v>
      </c>
      <c r="AQ1091" s="143" t="str">
        <f>tbl_IO_List[[#This Row],[Chassis]]&amp;"S"&amp;tbl_IO_List[[#This Row],[Slot]]&amp;"-"&amp;tbl_IO_List[[#This Row],[Front Terminal Number]]</f>
        <v>C8S1-</v>
      </c>
      <c r="AR1091" s="143"/>
      <c r="AS1091" s="136" t="str">
        <f>tbl_IO_List[[#This Row],[Terminal Tagging]]&amp;"-"&amp;tbl_IO_List[[#This Row],[Point-Count]]</f>
        <v>-</v>
      </c>
      <c r="AT1091" s="136" t="str">
        <f>tbl_IO_List[[#This Row],[Front Terminal Tagging]]&amp;"/"&amp;tbl_IO_List[[#This Row],[Terminal Tagging-Item]]</f>
        <v>C8S1-/-</v>
      </c>
      <c r="AU1091" s="136" t="str">
        <f>tbl_IO_List[[#This Row],[Terminal Tagging-Item]]&amp;"/"&amp;tbl_IO_List[[#This Row],[Front Terminal Tagging]]</f>
        <v>-/C8S1-</v>
      </c>
    </row>
    <row r="1092" spans="1:47" hidden="1">
      <c r="A1092" s="147" t="s">
        <v>1371</v>
      </c>
      <c r="B1092" s="136" t="s">
        <v>46</v>
      </c>
      <c r="C1092" s="136" t="str">
        <f>tbl_IO_List[[#This Row],[Column3]]</f>
        <v>C8S01,18</v>
      </c>
      <c r="D1092" s="136" t="e">
        <f>tbl_IO_List[[#This Row],[Card]]</f>
        <v>#N/A</v>
      </c>
      <c r="E1092" s="136" t="s">
        <v>1372</v>
      </c>
      <c r="F1092" s="136" t="str">
        <f>tbl_IO_List[[#This Row],[Column23]]&amp;"-" &amp;tbl_IO_List[[#This Row],[Column52]]</f>
        <v>C8S01-X2</v>
      </c>
      <c r="G1092" s="136" t="str">
        <f>tbl_IO_List[[#This Row],[PLC_Tag]]</f>
        <v>ZS-60231C_DI_1</v>
      </c>
      <c r="H1092" s="136"/>
      <c r="I1092" s="136" t="str">
        <f>VLOOKUP(tbl_IO_List[[#This Row],[Destination]],tbl_Junction[],2,FALSE)</f>
        <v>Spray Dryer 8th Floor</v>
      </c>
      <c r="J1092" s="136" t="s">
        <v>333</v>
      </c>
      <c r="K1092" s="136" t="s">
        <v>14</v>
      </c>
      <c r="L1092" s="136" t="s">
        <v>53</v>
      </c>
      <c r="M1092" s="136">
        <f>VLOOKUP(tbl_IO_List[[#This Row],[Instruement Tag]],tbl_Instruement_List[],2,FALSE)</f>
        <v>0</v>
      </c>
      <c r="N1092" s="136" t="s">
        <v>47</v>
      </c>
      <c r="O1092" s="136" t="s">
        <v>16</v>
      </c>
      <c r="P1092" s="136" t="s">
        <v>17</v>
      </c>
      <c r="Q1092" s="136" t="str">
        <f>VLOOKUP(tbl_IO_List[[#This Row],[Instruement Tag]],tbl_Instruement_List[],6,FALSE)</f>
        <v>Gas Limit Switch for DTEX-23 (Bag House By-Pass Inlet Spool Inserted)</v>
      </c>
      <c r="R1092" s="136"/>
      <c r="S109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092" s="136" t="str">
        <f>tbl_IO_List[[#This Row],[Instruement Tag]]&amp;"_"&amp;tbl_IO_List[[#This Row],[I/O Type]]&amp;"_"&amp;tbl_IO_List[[#This Row],[IO-Point 
(Instruement)]]</f>
        <v>ZS-60231C_DI_1</v>
      </c>
      <c r="U1092" s="136" t="s">
        <v>8</v>
      </c>
      <c r="V1092" s="136">
        <f>VLOOKUP(tbl_IO_List[[#This Row],[I/O Type]],tbl_Slot_Group[],2,FALSE)</f>
        <v>1</v>
      </c>
      <c r="W1092" s="136">
        <v>1</v>
      </c>
      <c r="X1092" s="136" t="str">
        <f>tbl_IO_List[[#This Row],[Chassis]]&amp;"S"&amp;TEXT(tbl_IO_List[[#This Row],[Slot]],"00")</f>
        <v>C8S01</v>
      </c>
      <c r="Y1092" s="136" t="str">
        <f>tbl_IO_List[[#This Row],[Chassis]]&amp;"S"&amp;TEXT(tbl_IO_List[[#This Row],[Slot]],"00")&amp;tbl_IO_List[[#This Row],[I/O Type]]&amp;TEXT(tbl_IO_List[[#This Row],[Point]],"00")</f>
        <v>C8S01DI18</v>
      </c>
      <c r="Z1092" s="136" t="str">
        <f>tbl_IO_List[[#This Row],[Chassis]]&amp;"S"&amp;TEXT(tbl_IO_List[[#This Row],[Slot]],"00")&amp;","&amp;TEXT(tbl_IO_List[[#This Row],[Point]],"00")</f>
        <v>C8S01,18</v>
      </c>
      <c r="AA1092" s="136" t="e">
        <f>VLOOKUP(tbl_IO_List[[#This Row],[Column23]],tbl_RackConfig[],5,FALSE) &amp;"-"&amp;tbl_IO_List[[#This Row],[Point]]</f>
        <v>#N/A</v>
      </c>
      <c r="AB1092" s="136"/>
      <c r="AC1092" s="136"/>
      <c r="AD1092" s="136" t="str">
        <f>tbl_IO_List[[#This Row],[I/O Type]]</f>
        <v>DI</v>
      </c>
      <c r="AE1092" s="136" t="s">
        <v>1843</v>
      </c>
      <c r="AF1092" s="136">
        <v>1</v>
      </c>
      <c r="AG1092" s="136">
        <v>18</v>
      </c>
      <c r="AH1092" s="136"/>
      <c r="AI1092" s="136"/>
      <c r="AJ1092" s="136">
        <v>1</v>
      </c>
      <c r="AK1092" s="136">
        <v>0</v>
      </c>
      <c r="AL1092" s="136">
        <v>0</v>
      </c>
      <c r="AM1092" s="136">
        <v>0</v>
      </c>
      <c r="AN1092" s="136">
        <v>0</v>
      </c>
      <c r="AO1092" s="136"/>
      <c r="AP1092" s="143" t="str">
        <f>VLOOKUP(tbl_IO_List[[#This Row],[Instruement Tag]],tbl_Instruement_List[],14,FALSE)</f>
        <v>Dry Contact</v>
      </c>
      <c r="AQ1092" s="143" t="str">
        <f>tbl_IO_List[[#This Row],[Chassis]]&amp;"S"&amp;tbl_IO_List[[#This Row],[Slot]]&amp;"-"&amp;tbl_IO_List[[#This Row],[Front Terminal Number]]</f>
        <v>C8S1-</v>
      </c>
      <c r="AR1092" s="143"/>
      <c r="AS1092" s="136" t="str">
        <f>tbl_IO_List[[#This Row],[Terminal Tagging]]&amp;"-"&amp;tbl_IO_List[[#This Row],[Point-Count]]</f>
        <v>-</v>
      </c>
      <c r="AT1092" s="136" t="str">
        <f>tbl_IO_List[[#This Row],[Front Terminal Tagging]]&amp;"/"&amp;tbl_IO_List[[#This Row],[Terminal Tagging-Item]]</f>
        <v>C8S1-/-</v>
      </c>
      <c r="AU1092" s="136" t="str">
        <f>tbl_IO_List[[#This Row],[Terminal Tagging-Item]]&amp;"/"&amp;tbl_IO_List[[#This Row],[Front Terminal Tagging]]</f>
        <v>-/C8S1-</v>
      </c>
    </row>
    <row r="1093" spans="1:47" hidden="1">
      <c r="A1093" s="147" t="s">
        <v>1371</v>
      </c>
      <c r="B1093" s="136" t="s">
        <v>46</v>
      </c>
      <c r="C1093" s="136" t="str">
        <f>tbl_IO_List[[#This Row],[Column3]]</f>
        <v>C8S01,19</v>
      </c>
      <c r="D1093" s="136" t="e">
        <f>tbl_IO_List[[#This Row],[Card]]</f>
        <v>#N/A</v>
      </c>
      <c r="E1093" s="136" t="s">
        <v>1372</v>
      </c>
      <c r="F1093" s="136" t="str">
        <f>tbl_IO_List[[#This Row],[Column23]]&amp;"-" &amp;tbl_IO_List[[#This Row],[Column52]]</f>
        <v>C8S01-X2</v>
      </c>
      <c r="G1093" s="136" t="str">
        <f>tbl_IO_List[[#This Row],[PLC_Tag]]</f>
        <v>ZS-60231D_DI_1</v>
      </c>
      <c r="H1093" s="136"/>
      <c r="I1093" s="136" t="str">
        <f>VLOOKUP(tbl_IO_List[[#This Row],[Destination]],tbl_Junction[],2,FALSE)</f>
        <v>Spray Dryer 8th Floor</v>
      </c>
      <c r="J1093" s="136" t="s">
        <v>333</v>
      </c>
      <c r="K1093" s="136" t="s">
        <v>14</v>
      </c>
      <c r="L1093" s="136" t="s">
        <v>54</v>
      </c>
      <c r="M1093" s="136">
        <f>VLOOKUP(tbl_IO_List[[#This Row],[Instruement Tag]],tbl_Instruement_List[],2,FALSE)</f>
        <v>0</v>
      </c>
      <c r="N1093" s="136" t="s">
        <v>47</v>
      </c>
      <c r="O1093" s="136" t="s">
        <v>16</v>
      </c>
      <c r="P1093" s="136" t="s">
        <v>17</v>
      </c>
      <c r="Q1093" s="136" t="str">
        <f>VLOOKUP(tbl_IO_List[[#This Row],[Instruement Tag]],tbl_Instruement_List[],6,FALSE)</f>
        <v>Gas Limit Switch for DTEX-23 (Bag House By-Pass Inlet Blind Inserted)</v>
      </c>
      <c r="R1093" s="136"/>
      <c r="S109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093" s="136" t="str">
        <f>tbl_IO_List[[#This Row],[Instruement Tag]]&amp;"_"&amp;tbl_IO_List[[#This Row],[I/O Type]]&amp;"_"&amp;tbl_IO_List[[#This Row],[IO-Point 
(Instruement)]]</f>
        <v>ZS-60231D_DI_1</v>
      </c>
      <c r="U1093" s="136" t="s">
        <v>8</v>
      </c>
      <c r="V1093" s="136">
        <f>VLOOKUP(tbl_IO_List[[#This Row],[I/O Type]],tbl_Slot_Group[],2,FALSE)</f>
        <v>1</v>
      </c>
      <c r="W1093" s="136">
        <v>1</v>
      </c>
      <c r="X1093" s="136" t="str">
        <f>tbl_IO_List[[#This Row],[Chassis]]&amp;"S"&amp;TEXT(tbl_IO_List[[#This Row],[Slot]],"00")</f>
        <v>C8S01</v>
      </c>
      <c r="Y1093" s="136" t="str">
        <f>tbl_IO_List[[#This Row],[Chassis]]&amp;"S"&amp;TEXT(tbl_IO_List[[#This Row],[Slot]],"00")&amp;tbl_IO_List[[#This Row],[I/O Type]]&amp;TEXT(tbl_IO_List[[#This Row],[Point]],"00")</f>
        <v>C8S01DI19</v>
      </c>
      <c r="Z1093" s="136" t="str">
        <f>tbl_IO_List[[#This Row],[Chassis]]&amp;"S"&amp;TEXT(tbl_IO_List[[#This Row],[Slot]],"00")&amp;","&amp;TEXT(tbl_IO_List[[#This Row],[Point]],"00")</f>
        <v>C8S01,19</v>
      </c>
      <c r="AA1093" s="136" t="e">
        <f>VLOOKUP(tbl_IO_List[[#This Row],[Column23]],tbl_RackConfig[],5,FALSE) &amp;"-"&amp;tbl_IO_List[[#This Row],[Point]]</f>
        <v>#N/A</v>
      </c>
      <c r="AB1093" s="136"/>
      <c r="AC1093" s="136"/>
      <c r="AD1093" s="136" t="str">
        <f>tbl_IO_List[[#This Row],[I/O Type]]</f>
        <v>DI</v>
      </c>
      <c r="AE1093" s="136" t="s">
        <v>1843</v>
      </c>
      <c r="AF1093" s="136">
        <v>1</v>
      </c>
      <c r="AG1093" s="136">
        <v>19</v>
      </c>
      <c r="AH1093" s="136"/>
      <c r="AI1093" s="136"/>
      <c r="AJ1093" s="136">
        <v>1</v>
      </c>
      <c r="AK1093" s="136">
        <v>0</v>
      </c>
      <c r="AL1093" s="136">
        <v>0</v>
      </c>
      <c r="AM1093" s="136">
        <v>0</v>
      </c>
      <c r="AN1093" s="136">
        <v>0</v>
      </c>
      <c r="AO1093" s="136"/>
      <c r="AP1093" s="143" t="str">
        <f>VLOOKUP(tbl_IO_List[[#This Row],[Instruement Tag]],tbl_Instruement_List[],14,FALSE)</f>
        <v>Dry Contact</v>
      </c>
      <c r="AQ1093" s="143" t="str">
        <f>tbl_IO_List[[#This Row],[Chassis]]&amp;"S"&amp;tbl_IO_List[[#This Row],[Slot]]&amp;"-"&amp;tbl_IO_List[[#This Row],[Front Terminal Number]]</f>
        <v>C8S1-</v>
      </c>
      <c r="AR1093" s="143"/>
      <c r="AS1093" s="136" t="str">
        <f>tbl_IO_List[[#This Row],[Terminal Tagging]]&amp;"-"&amp;tbl_IO_List[[#This Row],[Point-Count]]</f>
        <v>-</v>
      </c>
      <c r="AT1093" s="136" t="str">
        <f>tbl_IO_List[[#This Row],[Front Terminal Tagging]]&amp;"/"&amp;tbl_IO_List[[#This Row],[Terminal Tagging-Item]]</f>
        <v>C8S1-/-</v>
      </c>
      <c r="AU1093" s="136" t="str">
        <f>tbl_IO_List[[#This Row],[Terminal Tagging-Item]]&amp;"/"&amp;tbl_IO_List[[#This Row],[Front Terminal Tagging]]</f>
        <v>-/C8S1-</v>
      </c>
    </row>
    <row r="1094" spans="1:47" hidden="1">
      <c r="A1094" s="147" t="s">
        <v>1371</v>
      </c>
      <c r="B1094" s="136" t="s">
        <v>46</v>
      </c>
      <c r="C1094" s="136" t="str">
        <f>tbl_IO_List[[#This Row],[Column3]]</f>
        <v>C8S01,20</v>
      </c>
      <c r="D1094" s="136" t="e">
        <f>tbl_IO_List[[#This Row],[Card]]</f>
        <v>#N/A</v>
      </c>
      <c r="E1094" s="136" t="s">
        <v>1372</v>
      </c>
      <c r="F1094" s="136" t="str">
        <f>tbl_IO_List[[#This Row],[Column23]]&amp;"-" &amp;tbl_IO_List[[#This Row],[Column52]]</f>
        <v>C8S01-X2</v>
      </c>
      <c r="G1094" s="136" t="str">
        <f>tbl_IO_List[[#This Row],[PLC_Tag]]</f>
        <v>ZS-60231E_DI_1</v>
      </c>
      <c r="H1094" s="136"/>
      <c r="I1094" s="136" t="str">
        <f>VLOOKUP(tbl_IO_List[[#This Row],[Destination]],tbl_Junction[],2,FALSE)</f>
        <v>Spray Dryer 8th Floor</v>
      </c>
      <c r="J1094" s="136" t="s">
        <v>333</v>
      </c>
      <c r="K1094" s="136" t="s">
        <v>14</v>
      </c>
      <c r="L1094" s="136" t="s">
        <v>55</v>
      </c>
      <c r="M1094" s="136">
        <f>VLOOKUP(tbl_IO_List[[#This Row],[Instruement Tag]],tbl_Instruement_List[],2,FALSE)</f>
        <v>0</v>
      </c>
      <c r="N1094" s="136" t="s">
        <v>47</v>
      </c>
      <c r="O1094" s="136" t="s">
        <v>21</v>
      </c>
      <c r="P1094" s="136" t="s">
        <v>22</v>
      </c>
      <c r="Q1094" s="136" t="str">
        <f>VLOOKUP(tbl_IO_List[[#This Row],[Instruement Tag]],tbl_Instruement_List[],6,FALSE)</f>
        <v>Gas Limit Switch for DTEX-23 (Bag House By-Pass Outlet Spool Inserted)</v>
      </c>
      <c r="R1094" s="136"/>
      <c r="S109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094" s="136" t="str">
        <f>tbl_IO_List[[#This Row],[Instruement Tag]]&amp;"_"&amp;tbl_IO_List[[#This Row],[I/O Type]]&amp;"_"&amp;tbl_IO_List[[#This Row],[IO-Point 
(Instruement)]]</f>
        <v>ZS-60231E_DI_1</v>
      </c>
      <c r="U1094" s="136" t="s">
        <v>8</v>
      </c>
      <c r="V1094" s="136">
        <f>VLOOKUP(tbl_IO_List[[#This Row],[I/O Type]],tbl_Slot_Group[],2,FALSE)</f>
        <v>1</v>
      </c>
      <c r="W1094" s="136">
        <v>1</v>
      </c>
      <c r="X1094" s="136" t="str">
        <f>tbl_IO_List[[#This Row],[Chassis]]&amp;"S"&amp;TEXT(tbl_IO_List[[#This Row],[Slot]],"00")</f>
        <v>C8S01</v>
      </c>
      <c r="Y1094" s="136" t="str">
        <f>tbl_IO_List[[#This Row],[Chassis]]&amp;"S"&amp;TEXT(tbl_IO_List[[#This Row],[Slot]],"00")&amp;tbl_IO_List[[#This Row],[I/O Type]]&amp;TEXT(tbl_IO_List[[#This Row],[Point]],"00")</f>
        <v>C8S01DI20</v>
      </c>
      <c r="Z1094" s="136" t="str">
        <f>tbl_IO_List[[#This Row],[Chassis]]&amp;"S"&amp;TEXT(tbl_IO_List[[#This Row],[Slot]],"00")&amp;","&amp;TEXT(tbl_IO_List[[#This Row],[Point]],"00")</f>
        <v>C8S01,20</v>
      </c>
      <c r="AA1094" s="136" t="e">
        <f>VLOOKUP(tbl_IO_List[[#This Row],[Column23]],tbl_RackConfig[],5,FALSE) &amp;"-"&amp;tbl_IO_List[[#This Row],[Point]]</f>
        <v>#N/A</v>
      </c>
      <c r="AB1094" s="136"/>
      <c r="AC1094" s="136"/>
      <c r="AD1094" s="136" t="str">
        <f>tbl_IO_List[[#This Row],[I/O Type]]</f>
        <v>DI</v>
      </c>
      <c r="AE1094" s="136" t="s">
        <v>1843</v>
      </c>
      <c r="AF1094" s="136">
        <v>1</v>
      </c>
      <c r="AG1094" s="136">
        <v>20</v>
      </c>
      <c r="AH1094" s="136"/>
      <c r="AI1094" s="136"/>
      <c r="AJ1094" s="136">
        <v>1</v>
      </c>
      <c r="AK1094" s="136">
        <v>0</v>
      </c>
      <c r="AL1094" s="136">
        <v>0</v>
      </c>
      <c r="AM1094" s="136">
        <v>0</v>
      </c>
      <c r="AN1094" s="136">
        <v>0</v>
      </c>
      <c r="AO1094" s="136"/>
      <c r="AP1094" s="143" t="str">
        <f>VLOOKUP(tbl_IO_List[[#This Row],[Instruement Tag]],tbl_Instruement_List[],14,FALSE)</f>
        <v>Dry Contact</v>
      </c>
      <c r="AQ1094" s="143" t="str">
        <f>tbl_IO_List[[#This Row],[Chassis]]&amp;"S"&amp;tbl_IO_List[[#This Row],[Slot]]&amp;"-"&amp;tbl_IO_List[[#This Row],[Front Terminal Number]]</f>
        <v>C8S1-</v>
      </c>
      <c r="AR1094" s="143"/>
      <c r="AS1094" s="136" t="str">
        <f>tbl_IO_List[[#This Row],[Terminal Tagging]]&amp;"-"&amp;tbl_IO_List[[#This Row],[Point-Count]]</f>
        <v>-</v>
      </c>
      <c r="AT1094" s="136" t="str">
        <f>tbl_IO_List[[#This Row],[Front Terminal Tagging]]&amp;"/"&amp;tbl_IO_List[[#This Row],[Terminal Tagging-Item]]</f>
        <v>C8S1-/-</v>
      </c>
      <c r="AU1094" s="136" t="str">
        <f>tbl_IO_List[[#This Row],[Terminal Tagging-Item]]&amp;"/"&amp;tbl_IO_List[[#This Row],[Front Terminal Tagging]]</f>
        <v>-/C8S1-</v>
      </c>
    </row>
    <row r="1095" spans="1:47" hidden="1">
      <c r="A1095" s="147" t="s">
        <v>1371</v>
      </c>
      <c r="B1095" s="136" t="s">
        <v>46</v>
      </c>
      <c r="C1095" s="136" t="str">
        <f>tbl_IO_List[[#This Row],[Column3]]</f>
        <v>C8S01,21</v>
      </c>
      <c r="D1095" s="136" t="e">
        <f>tbl_IO_List[[#This Row],[Card]]</f>
        <v>#N/A</v>
      </c>
      <c r="E1095" s="136" t="s">
        <v>1372</v>
      </c>
      <c r="F1095" s="136" t="str">
        <f>tbl_IO_List[[#This Row],[Column23]]&amp;"-" &amp;tbl_IO_List[[#This Row],[Column52]]</f>
        <v>C8S01-X2</v>
      </c>
      <c r="G1095" s="136" t="str">
        <f>tbl_IO_List[[#This Row],[PLC_Tag]]</f>
        <v>ZS-60231F_DI_1</v>
      </c>
      <c r="H1095" s="136"/>
      <c r="I1095" s="136" t="str">
        <f>VLOOKUP(tbl_IO_List[[#This Row],[Destination]],tbl_Junction[],2,FALSE)</f>
        <v>Spray Dryer 8th Floor</v>
      </c>
      <c r="J1095" s="136" t="s">
        <v>333</v>
      </c>
      <c r="K1095" s="136" t="s">
        <v>14</v>
      </c>
      <c r="L1095" s="136" t="s">
        <v>56</v>
      </c>
      <c r="M1095" s="136">
        <f>VLOOKUP(tbl_IO_List[[#This Row],[Instruement Tag]],tbl_Instruement_List[],2,FALSE)</f>
        <v>0</v>
      </c>
      <c r="N1095" s="136" t="s">
        <v>47</v>
      </c>
      <c r="O1095" s="136" t="s">
        <v>21</v>
      </c>
      <c r="P1095" s="136" t="s">
        <v>22</v>
      </c>
      <c r="Q1095" s="136" t="str">
        <f>VLOOKUP(tbl_IO_List[[#This Row],[Instruement Tag]],tbl_Instruement_List[],6,FALSE)</f>
        <v>Gas Limit Switch for DTEX-23 (Bag House By-Pass Outlet Blind Inserted)</v>
      </c>
      <c r="R1095" s="136"/>
      <c r="S109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095" s="136" t="str">
        <f>tbl_IO_List[[#This Row],[Instruement Tag]]&amp;"_"&amp;tbl_IO_List[[#This Row],[I/O Type]]&amp;"_"&amp;tbl_IO_List[[#This Row],[IO-Point 
(Instruement)]]</f>
        <v>ZS-60231F_DI_1</v>
      </c>
      <c r="U1095" s="136" t="s">
        <v>8</v>
      </c>
      <c r="V1095" s="136">
        <f>VLOOKUP(tbl_IO_List[[#This Row],[I/O Type]],tbl_Slot_Group[],2,FALSE)</f>
        <v>1</v>
      </c>
      <c r="W1095" s="136">
        <v>1</v>
      </c>
      <c r="X1095" s="136" t="str">
        <f>tbl_IO_List[[#This Row],[Chassis]]&amp;"S"&amp;TEXT(tbl_IO_List[[#This Row],[Slot]],"00")</f>
        <v>C8S01</v>
      </c>
      <c r="Y1095" s="136" t="str">
        <f>tbl_IO_List[[#This Row],[Chassis]]&amp;"S"&amp;TEXT(tbl_IO_List[[#This Row],[Slot]],"00")&amp;tbl_IO_List[[#This Row],[I/O Type]]&amp;TEXT(tbl_IO_List[[#This Row],[Point]],"00")</f>
        <v>C8S01DI21</v>
      </c>
      <c r="Z1095" s="136" t="str">
        <f>tbl_IO_List[[#This Row],[Chassis]]&amp;"S"&amp;TEXT(tbl_IO_List[[#This Row],[Slot]],"00")&amp;","&amp;TEXT(tbl_IO_List[[#This Row],[Point]],"00")</f>
        <v>C8S01,21</v>
      </c>
      <c r="AA1095" s="136" t="e">
        <f>VLOOKUP(tbl_IO_List[[#This Row],[Column23]],tbl_RackConfig[],5,FALSE) &amp;"-"&amp;tbl_IO_List[[#This Row],[Point]]</f>
        <v>#N/A</v>
      </c>
      <c r="AB1095" s="136"/>
      <c r="AC1095" s="136"/>
      <c r="AD1095" s="136" t="str">
        <f>tbl_IO_List[[#This Row],[I/O Type]]</f>
        <v>DI</v>
      </c>
      <c r="AE1095" s="136" t="s">
        <v>1843</v>
      </c>
      <c r="AF1095" s="136">
        <v>1</v>
      </c>
      <c r="AG1095" s="136">
        <v>21</v>
      </c>
      <c r="AH1095" s="136"/>
      <c r="AI1095" s="136"/>
      <c r="AJ1095" s="136">
        <v>1</v>
      </c>
      <c r="AK1095" s="136">
        <v>0</v>
      </c>
      <c r="AL1095" s="136">
        <v>0</v>
      </c>
      <c r="AM1095" s="136">
        <v>0</v>
      </c>
      <c r="AN1095" s="136">
        <v>0</v>
      </c>
      <c r="AO1095" s="136"/>
      <c r="AP1095" s="143" t="str">
        <f>VLOOKUP(tbl_IO_List[[#This Row],[Instruement Tag]],tbl_Instruement_List[],14,FALSE)</f>
        <v>Dry Contact</v>
      </c>
      <c r="AQ1095" s="143" t="str">
        <f>tbl_IO_List[[#This Row],[Chassis]]&amp;"S"&amp;tbl_IO_List[[#This Row],[Slot]]&amp;"-"&amp;tbl_IO_List[[#This Row],[Front Terminal Number]]</f>
        <v>C8S1-</v>
      </c>
      <c r="AR1095" s="143"/>
      <c r="AS1095" s="136" t="str">
        <f>tbl_IO_List[[#This Row],[Terminal Tagging]]&amp;"-"&amp;tbl_IO_List[[#This Row],[Point-Count]]</f>
        <v>-</v>
      </c>
      <c r="AT1095" s="136" t="str">
        <f>tbl_IO_List[[#This Row],[Front Terminal Tagging]]&amp;"/"&amp;tbl_IO_List[[#This Row],[Terminal Tagging-Item]]</f>
        <v>C8S1-/-</v>
      </c>
      <c r="AU1095" s="136" t="str">
        <f>tbl_IO_List[[#This Row],[Terminal Tagging-Item]]&amp;"/"&amp;tbl_IO_List[[#This Row],[Front Terminal Tagging]]</f>
        <v>-/C8S1-</v>
      </c>
    </row>
    <row r="1096" spans="1:47" hidden="1">
      <c r="A1096" s="147" t="s">
        <v>1371</v>
      </c>
      <c r="B1096" s="136" t="s">
        <v>46</v>
      </c>
      <c r="C1096" s="136" t="str">
        <f>tbl_IO_List[[#This Row],[Column3]]</f>
        <v>C8S01,22</v>
      </c>
      <c r="D1096" s="136" t="e">
        <f>tbl_IO_List[[#This Row],[Card]]</f>
        <v>#N/A</v>
      </c>
      <c r="E1096" s="136" t="s">
        <v>1372</v>
      </c>
      <c r="F1096" s="136" t="str">
        <f>tbl_IO_List[[#This Row],[Column23]]&amp;"-" &amp;tbl_IO_List[[#This Row],[Column52]]</f>
        <v>C8S01-X2</v>
      </c>
      <c r="G1096" s="136" t="str">
        <f>tbl_IO_List[[#This Row],[PLC_Tag]]</f>
        <v>ZS-60240_DI_1</v>
      </c>
      <c r="H1096" s="136"/>
      <c r="I1096" s="136" t="str">
        <f>VLOOKUP(tbl_IO_List[[#This Row],[Destination]],tbl_Junction[],2,FALSE)</f>
        <v>Spray Dryer 8th Floor</v>
      </c>
      <c r="J1096" s="136" t="s">
        <v>333</v>
      </c>
      <c r="K1096" s="136" t="s">
        <v>14</v>
      </c>
      <c r="L1096" s="136" t="s">
        <v>63</v>
      </c>
      <c r="M1096" s="136">
        <f>VLOOKUP(tbl_IO_List[[#This Row],[Instruement Tag]],tbl_Instruement_List[],2,FALSE)</f>
        <v>0</v>
      </c>
      <c r="N1096" s="136" t="s">
        <v>58</v>
      </c>
      <c r="O1096" s="136" t="s">
        <v>18</v>
      </c>
      <c r="P1096" s="136" t="s">
        <v>22</v>
      </c>
      <c r="Q1096" s="136" t="str">
        <f>VLOOKUP(tbl_IO_List[[#This Row],[Instruement Tag]],tbl_Instruement_List[],6,FALSE)</f>
        <v xml:space="preserve"> Limit Switch for FA-60240  (Door Service)</v>
      </c>
      <c r="R1096" s="136"/>
      <c r="S109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096" s="136" t="str">
        <f>tbl_IO_List[[#This Row],[Instruement Tag]]&amp;"_"&amp;tbl_IO_List[[#This Row],[I/O Type]]&amp;"_"&amp;tbl_IO_List[[#This Row],[IO-Point 
(Instruement)]]</f>
        <v>ZS-60240_DI_1</v>
      </c>
      <c r="U1096" s="136" t="s">
        <v>8</v>
      </c>
      <c r="V1096" s="136">
        <f>VLOOKUP(tbl_IO_List[[#This Row],[I/O Type]],tbl_Slot_Group[],2,FALSE)</f>
        <v>1</v>
      </c>
      <c r="W1096" s="136">
        <v>1</v>
      </c>
      <c r="X1096" s="136" t="str">
        <f>tbl_IO_List[[#This Row],[Chassis]]&amp;"S"&amp;TEXT(tbl_IO_List[[#This Row],[Slot]],"00")</f>
        <v>C8S01</v>
      </c>
      <c r="Y1096" s="136" t="str">
        <f>tbl_IO_List[[#This Row],[Chassis]]&amp;"S"&amp;TEXT(tbl_IO_List[[#This Row],[Slot]],"00")&amp;tbl_IO_List[[#This Row],[I/O Type]]&amp;TEXT(tbl_IO_List[[#This Row],[Point]],"00")</f>
        <v>C8S01DI22</v>
      </c>
      <c r="Z1096" s="136" t="str">
        <f>tbl_IO_List[[#This Row],[Chassis]]&amp;"S"&amp;TEXT(tbl_IO_List[[#This Row],[Slot]],"00")&amp;","&amp;TEXT(tbl_IO_List[[#This Row],[Point]],"00")</f>
        <v>C8S01,22</v>
      </c>
      <c r="AA1096" s="136" t="e">
        <f>VLOOKUP(tbl_IO_List[[#This Row],[Column23]],tbl_RackConfig[],5,FALSE) &amp;"-"&amp;tbl_IO_List[[#This Row],[Point]]</f>
        <v>#N/A</v>
      </c>
      <c r="AB1096" s="136"/>
      <c r="AC1096" s="136"/>
      <c r="AD1096" s="136" t="str">
        <f>tbl_IO_List[[#This Row],[I/O Type]]</f>
        <v>DI</v>
      </c>
      <c r="AE1096" s="136" t="s">
        <v>1843</v>
      </c>
      <c r="AF1096" s="136">
        <v>1</v>
      </c>
      <c r="AG1096" s="136">
        <v>22</v>
      </c>
      <c r="AH1096" s="136"/>
      <c r="AI1096" s="136"/>
      <c r="AJ1096" s="136">
        <v>1</v>
      </c>
      <c r="AK1096" s="136">
        <v>0</v>
      </c>
      <c r="AL1096" s="136">
        <v>0</v>
      </c>
      <c r="AM1096" s="136">
        <v>0</v>
      </c>
      <c r="AN1096" s="136">
        <v>0</v>
      </c>
      <c r="AO1096" s="136"/>
      <c r="AP1096" s="143" t="str">
        <f>VLOOKUP(tbl_IO_List[[#This Row],[Instruement Tag]],tbl_Instruement_List[],14,FALSE)</f>
        <v>Dry Contact</v>
      </c>
      <c r="AQ1096" s="143" t="str">
        <f>tbl_IO_List[[#This Row],[Chassis]]&amp;"S"&amp;tbl_IO_List[[#This Row],[Slot]]&amp;"-"&amp;tbl_IO_List[[#This Row],[Front Terminal Number]]</f>
        <v>C8S1-</v>
      </c>
      <c r="AR1096" s="143"/>
      <c r="AS1096" s="136" t="str">
        <f>tbl_IO_List[[#This Row],[Terminal Tagging]]&amp;"-"&amp;tbl_IO_List[[#This Row],[Point-Count]]</f>
        <v>-</v>
      </c>
      <c r="AT1096" s="136" t="str">
        <f>tbl_IO_List[[#This Row],[Front Terminal Tagging]]&amp;"/"&amp;tbl_IO_List[[#This Row],[Terminal Tagging-Item]]</f>
        <v>C8S1-/-</v>
      </c>
      <c r="AU1096" s="136" t="str">
        <f>tbl_IO_List[[#This Row],[Terminal Tagging-Item]]&amp;"/"&amp;tbl_IO_List[[#This Row],[Front Terminal Tagging]]</f>
        <v>-/C8S1-</v>
      </c>
    </row>
    <row r="1097" spans="1:47" hidden="1">
      <c r="A1097" s="147" t="s">
        <v>1371</v>
      </c>
      <c r="B1097" s="136" t="s">
        <v>46</v>
      </c>
      <c r="C1097" s="136" t="str">
        <f>tbl_IO_List[[#This Row],[Column3]]</f>
        <v>C8S01,23</v>
      </c>
      <c r="D1097" s="136" t="e">
        <f>tbl_IO_List[[#This Row],[Card]]</f>
        <v>#N/A</v>
      </c>
      <c r="E1097" s="136" t="s">
        <v>1372</v>
      </c>
      <c r="F1097" s="136" t="str">
        <f>tbl_IO_List[[#This Row],[Column23]]&amp;"-" &amp;tbl_IO_List[[#This Row],[Column52]]</f>
        <v>C8S01-X2</v>
      </c>
      <c r="G1097" s="136" t="str">
        <f>tbl_IO_List[[#This Row],[PLC_Tag]]</f>
        <v>Spare_DI_0</v>
      </c>
      <c r="H1097" s="136"/>
      <c r="I1097" s="136" t="str">
        <f>VLOOKUP(tbl_IO_List[[#This Row],[Destination]],tbl_Junction[],2,FALSE)</f>
        <v>Spray Dryer 8th Floor</v>
      </c>
      <c r="J1097" s="136"/>
      <c r="K1097" s="136"/>
      <c r="L1097" s="136" t="s">
        <v>411</v>
      </c>
      <c r="M1097" s="136" t="e">
        <f>VLOOKUP(tbl_IO_List[[#This Row],[Instruement Tag]],tbl_Instruement_List[],2,FALSE)</f>
        <v>#N/A</v>
      </c>
      <c r="N1097" s="136"/>
      <c r="O1097" s="136"/>
      <c r="P1097" s="136"/>
      <c r="Q1097" s="136" t="e">
        <f>VLOOKUP(tbl_IO_List[[#This Row],[Instruement Tag]],tbl_Instruement_List[],6,FALSE)</f>
        <v>#N/A</v>
      </c>
      <c r="R1097" s="136"/>
      <c r="S109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097" s="136" t="str">
        <f>tbl_IO_List[[#This Row],[Instruement Tag]]&amp;"_"&amp;tbl_IO_List[[#This Row],[I/O Type]]&amp;"_"&amp;tbl_IO_List[[#This Row],[IO-Point 
(Instruement)]]</f>
        <v>Spare_DI_0</v>
      </c>
      <c r="U1097" s="136" t="s">
        <v>8</v>
      </c>
      <c r="V1097" s="136">
        <f>VLOOKUP(tbl_IO_List[[#This Row],[I/O Type]],tbl_Slot_Group[],2,FALSE)</f>
        <v>1</v>
      </c>
      <c r="W1097" s="136">
        <v>0</v>
      </c>
      <c r="X1097" s="136" t="str">
        <f>tbl_IO_List[[#This Row],[Chassis]]&amp;"S"&amp;TEXT(tbl_IO_List[[#This Row],[Slot]],"00")</f>
        <v>C8S01</v>
      </c>
      <c r="Y1097" s="136" t="str">
        <f>tbl_IO_List[[#This Row],[Chassis]]&amp;"S"&amp;TEXT(tbl_IO_List[[#This Row],[Slot]],"00")&amp;tbl_IO_List[[#This Row],[I/O Type]]&amp;TEXT(tbl_IO_List[[#This Row],[Point]],"00")</f>
        <v>C8S01DI23</v>
      </c>
      <c r="Z1097" s="136" t="str">
        <f>tbl_IO_List[[#This Row],[Chassis]]&amp;"S"&amp;TEXT(tbl_IO_List[[#This Row],[Slot]],"00")&amp;","&amp;TEXT(tbl_IO_List[[#This Row],[Point]],"00")</f>
        <v>C8S01,23</v>
      </c>
      <c r="AA1097" s="136" t="e">
        <f>VLOOKUP(tbl_IO_List[[#This Row],[Column23]],tbl_RackConfig[],5,FALSE) &amp;"-"&amp;tbl_IO_List[[#This Row],[Point]]</f>
        <v>#N/A</v>
      </c>
      <c r="AB1097" s="136"/>
      <c r="AC1097" s="136"/>
      <c r="AD1097" s="136" t="str">
        <f>tbl_IO_List[[#This Row],[I/O Type]]</f>
        <v>DI</v>
      </c>
      <c r="AE1097" s="136" t="s">
        <v>1843</v>
      </c>
      <c r="AF1097" s="136">
        <v>1</v>
      </c>
      <c r="AG1097" s="136">
        <v>23</v>
      </c>
      <c r="AH1097" s="136"/>
      <c r="AI1097" s="136"/>
      <c r="AJ1097" s="136">
        <v>1</v>
      </c>
      <c r="AK1097" s="136">
        <v>0</v>
      </c>
      <c r="AL1097" s="136">
        <v>0</v>
      </c>
      <c r="AM1097" s="136">
        <v>0</v>
      </c>
      <c r="AN1097" s="136">
        <v>0</v>
      </c>
      <c r="AO1097" s="136"/>
      <c r="AP1097" s="143" t="e">
        <f>VLOOKUP(tbl_IO_List[[#This Row],[Instruement Tag]],tbl_Instruement_List[],14,FALSE)</f>
        <v>#N/A</v>
      </c>
      <c r="AQ1097" s="143" t="str">
        <f>tbl_IO_List[[#This Row],[Chassis]]&amp;"S"&amp;tbl_IO_List[[#This Row],[Slot]]&amp;"-"&amp;tbl_IO_List[[#This Row],[Front Terminal Number]]</f>
        <v>C8S1-</v>
      </c>
      <c r="AR1097" s="143"/>
      <c r="AS1097" s="136" t="str">
        <f>tbl_IO_List[[#This Row],[Terminal Tagging]]&amp;"-"&amp;tbl_IO_List[[#This Row],[Point-Count]]</f>
        <v>-</v>
      </c>
      <c r="AT1097" s="136" t="str">
        <f>tbl_IO_List[[#This Row],[Front Terminal Tagging]]&amp;"/"&amp;tbl_IO_List[[#This Row],[Terminal Tagging-Item]]</f>
        <v>C8S1-/-</v>
      </c>
      <c r="AU1097" s="136" t="str">
        <f>tbl_IO_List[[#This Row],[Terminal Tagging-Item]]&amp;"/"&amp;tbl_IO_List[[#This Row],[Front Terminal Tagging]]</f>
        <v>-/C8S1-</v>
      </c>
    </row>
    <row r="1098" spans="1:47" hidden="1">
      <c r="A1098" s="147" t="s">
        <v>1371</v>
      </c>
      <c r="B1098" s="136" t="s">
        <v>46</v>
      </c>
      <c r="C1098" s="136" t="str">
        <f>tbl_IO_List[[#This Row],[Column3]]</f>
        <v>C8S01,24</v>
      </c>
      <c r="D1098" s="136" t="e">
        <f>tbl_IO_List[[#This Row],[Card]]</f>
        <v>#N/A</v>
      </c>
      <c r="E1098" s="136" t="s">
        <v>1372</v>
      </c>
      <c r="F1098" s="136" t="str">
        <f>tbl_IO_List[[#This Row],[Column23]]&amp;"-" &amp;tbl_IO_List[[#This Row],[Column52]]</f>
        <v>C8S01-X2</v>
      </c>
      <c r="G1098" s="136" t="str">
        <f>tbl_IO_List[[#This Row],[PLC_Tag]]</f>
        <v>Spare_DI_0</v>
      </c>
      <c r="H1098" s="136"/>
      <c r="I1098" s="136" t="str">
        <f>VLOOKUP(tbl_IO_List[[#This Row],[Destination]],tbl_Junction[],2,FALSE)</f>
        <v>Spray Dryer 8th Floor</v>
      </c>
      <c r="J1098" s="136"/>
      <c r="K1098" s="136"/>
      <c r="L1098" s="136" t="s">
        <v>411</v>
      </c>
      <c r="M1098" s="136" t="e">
        <f>VLOOKUP(tbl_IO_List[[#This Row],[Instruement Tag]],tbl_Instruement_List[],2,FALSE)</f>
        <v>#N/A</v>
      </c>
      <c r="N1098" s="136"/>
      <c r="O1098" s="136"/>
      <c r="P1098" s="136"/>
      <c r="Q1098" s="136" t="e">
        <f>VLOOKUP(tbl_IO_List[[#This Row],[Instruement Tag]],tbl_Instruement_List[],6,FALSE)</f>
        <v>#N/A</v>
      </c>
      <c r="R1098" s="136"/>
      <c r="S109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098" s="136" t="str">
        <f>tbl_IO_List[[#This Row],[Instruement Tag]]&amp;"_"&amp;tbl_IO_List[[#This Row],[I/O Type]]&amp;"_"&amp;tbl_IO_List[[#This Row],[IO-Point 
(Instruement)]]</f>
        <v>Spare_DI_0</v>
      </c>
      <c r="U1098" s="136" t="s">
        <v>8</v>
      </c>
      <c r="V1098" s="136">
        <f>VLOOKUP(tbl_IO_List[[#This Row],[I/O Type]],tbl_Slot_Group[],2,FALSE)</f>
        <v>1</v>
      </c>
      <c r="W1098" s="136">
        <v>0</v>
      </c>
      <c r="X1098" s="136" t="str">
        <f>tbl_IO_List[[#This Row],[Chassis]]&amp;"S"&amp;TEXT(tbl_IO_List[[#This Row],[Slot]],"00")</f>
        <v>C8S01</v>
      </c>
      <c r="Y1098" s="136" t="str">
        <f>tbl_IO_List[[#This Row],[Chassis]]&amp;"S"&amp;TEXT(tbl_IO_List[[#This Row],[Slot]],"00")&amp;tbl_IO_List[[#This Row],[I/O Type]]&amp;TEXT(tbl_IO_List[[#This Row],[Point]],"00")</f>
        <v>C8S01DI24</v>
      </c>
      <c r="Z1098" s="136" t="str">
        <f>tbl_IO_List[[#This Row],[Chassis]]&amp;"S"&amp;TEXT(tbl_IO_List[[#This Row],[Slot]],"00")&amp;","&amp;TEXT(tbl_IO_List[[#This Row],[Point]],"00")</f>
        <v>C8S01,24</v>
      </c>
      <c r="AA1098" s="136" t="e">
        <f>VLOOKUP(tbl_IO_List[[#This Row],[Column23]],tbl_RackConfig[],5,FALSE) &amp;"-"&amp;tbl_IO_List[[#This Row],[Point]]</f>
        <v>#N/A</v>
      </c>
      <c r="AB1098" s="136"/>
      <c r="AC1098" s="136"/>
      <c r="AD1098" s="136" t="str">
        <f>tbl_IO_List[[#This Row],[I/O Type]]</f>
        <v>DI</v>
      </c>
      <c r="AE1098" s="136" t="s">
        <v>1843</v>
      </c>
      <c r="AF1098" s="136">
        <v>1</v>
      </c>
      <c r="AG1098" s="136">
        <v>24</v>
      </c>
      <c r="AH1098" s="136"/>
      <c r="AI1098" s="136"/>
      <c r="AJ1098" s="136">
        <v>1</v>
      </c>
      <c r="AK1098" s="136">
        <v>0</v>
      </c>
      <c r="AL1098" s="136">
        <v>0</v>
      </c>
      <c r="AM1098" s="136">
        <v>0</v>
      </c>
      <c r="AN1098" s="136">
        <v>0</v>
      </c>
      <c r="AO1098" s="136"/>
      <c r="AP1098" s="143" t="e">
        <f>VLOOKUP(tbl_IO_List[[#This Row],[Instruement Tag]],tbl_Instruement_List[],14,FALSE)</f>
        <v>#N/A</v>
      </c>
      <c r="AQ1098" s="143" t="str">
        <f>tbl_IO_List[[#This Row],[Chassis]]&amp;"S"&amp;tbl_IO_List[[#This Row],[Slot]]&amp;"-"&amp;tbl_IO_List[[#This Row],[Front Terminal Number]]</f>
        <v>C8S1-</v>
      </c>
      <c r="AR1098" s="143"/>
      <c r="AS1098" s="136" t="str">
        <f>tbl_IO_List[[#This Row],[Terminal Tagging]]&amp;"-"&amp;tbl_IO_List[[#This Row],[Point-Count]]</f>
        <v>-</v>
      </c>
      <c r="AT1098" s="136" t="str">
        <f>tbl_IO_List[[#This Row],[Front Terminal Tagging]]&amp;"/"&amp;tbl_IO_List[[#This Row],[Terminal Tagging-Item]]</f>
        <v>C8S1-/-</v>
      </c>
      <c r="AU1098" s="136" t="str">
        <f>tbl_IO_List[[#This Row],[Terminal Tagging-Item]]&amp;"/"&amp;tbl_IO_List[[#This Row],[Front Terminal Tagging]]</f>
        <v>-/C8S1-</v>
      </c>
    </row>
    <row r="1099" spans="1:47" hidden="1">
      <c r="A1099" s="147" t="s">
        <v>1371</v>
      </c>
      <c r="B1099" s="136" t="s">
        <v>46</v>
      </c>
      <c r="C1099" s="136" t="str">
        <f>tbl_IO_List[[#This Row],[Column3]]</f>
        <v>C8S01,25</v>
      </c>
      <c r="D1099" s="136" t="e">
        <f>tbl_IO_List[[#This Row],[Card]]</f>
        <v>#N/A</v>
      </c>
      <c r="E1099" s="136" t="s">
        <v>1372</v>
      </c>
      <c r="F1099" s="136" t="str">
        <f>tbl_IO_List[[#This Row],[Column23]]&amp;"-" &amp;tbl_IO_List[[#This Row],[Column52]]</f>
        <v>C8S01-X2</v>
      </c>
      <c r="G1099" s="136" t="str">
        <f>tbl_IO_List[[#This Row],[PLC_Tag]]</f>
        <v>Spare_DI_0</v>
      </c>
      <c r="H1099" s="136"/>
      <c r="I1099" s="136" t="str">
        <f>VLOOKUP(tbl_IO_List[[#This Row],[Destination]],tbl_Junction[],2,FALSE)</f>
        <v>Spray Dryer 8th Floor</v>
      </c>
      <c r="J1099" s="136"/>
      <c r="K1099" s="136"/>
      <c r="L1099" s="136" t="s">
        <v>411</v>
      </c>
      <c r="M1099" s="136" t="e">
        <f>VLOOKUP(tbl_IO_List[[#This Row],[Instruement Tag]],tbl_Instruement_List[],2,FALSE)</f>
        <v>#N/A</v>
      </c>
      <c r="N1099" s="136"/>
      <c r="O1099" s="136"/>
      <c r="P1099" s="136"/>
      <c r="Q1099" s="136" t="e">
        <f>VLOOKUP(tbl_IO_List[[#This Row],[Instruement Tag]],tbl_Instruement_List[],6,FALSE)</f>
        <v>#N/A</v>
      </c>
      <c r="R1099" s="136"/>
      <c r="S109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099" s="136" t="str">
        <f>tbl_IO_List[[#This Row],[Instruement Tag]]&amp;"_"&amp;tbl_IO_List[[#This Row],[I/O Type]]&amp;"_"&amp;tbl_IO_List[[#This Row],[IO-Point 
(Instruement)]]</f>
        <v>Spare_DI_0</v>
      </c>
      <c r="U1099" s="136" t="s">
        <v>8</v>
      </c>
      <c r="V1099" s="136">
        <f>VLOOKUP(tbl_IO_List[[#This Row],[I/O Type]],tbl_Slot_Group[],2,FALSE)</f>
        <v>1</v>
      </c>
      <c r="W1099" s="136">
        <v>0</v>
      </c>
      <c r="X1099" s="136" t="str">
        <f>tbl_IO_List[[#This Row],[Chassis]]&amp;"S"&amp;TEXT(tbl_IO_List[[#This Row],[Slot]],"00")</f>
        <v>C8S01</v>
      </c>
      <c r="Y1099" s="136" t="str">
        <f>tbl_IO_List[[#This Row],[Chassis]]&amp;"S"&amp;TEXT(tbl_IO_List[[#This Row],[Slot]],"00")&amp;tbl_IO_List[[#This Row],[I/O Type]]&amp;TEXT(tbl_IO_List[[#This Row],[Point]],"00")</f>
        <v>C8S01DI25</v>
      </c>
      <c r="Z1099" s="136" t="str">
        <f>tbl_IO_List[[#This Row],[Chassis]]&amp;"S"&amp;TEXT(tbl_IO_List[[#This Row],[Slot]],"00")&amp;","&amp;TEXT(tbl_IO_List[[#This Row],[Point]],"00")</f>
        <v>C8S01,25</v>
      </c>
      <c r="AA1099" s="136" t="e">
        <f>VLOOKUP(tbl_IO_List[[#This Row],[Column23]],tbl_RackConfig[],5,FALSE) &amp;"-"&amp;tbl_IO_List[[#This Row],[Point]]</f>
        <v>#N/A</v>
      </c>
      <c r="AB1099" s="136"/>
      <c r="AC1099" s="136"/>
      <c r="AD1099" s="136" t="str">
        <f>tbl_IO_List[[#This Row],[I/O Type]]</f>
        <v>DI</v>
      </c>
      <c r="AE1099" s="136" t="s">
        <v>1843</v>
      </c>
      <c r="AF1099" s="136">
        <v>1</v>
      </c>
      <c r="AG1099" s="136">
        <v>25</v>
      </c>
      <c r="AH1099" s="136"/>
      <c r="AI1099" s="136"/>
      <c r="AJ1099" s="136">
        <v>1</v>
      </c>
      <c r="AK1099" s="136">
        <v>0</v>
      </c>
      <c r="AL1099" s="136">
        <v>0</v>
      </c>
      <c r="AM1099" s="136">
        <v>0</v>
      </c>
      <c r="AN1099" s="136">
        <v>0</v>
      </c>
      <c r="AO1099" s="136"/>
      <c r="AP1099" s="143" t="e">
        <f>VLOOKUP(tbl_IO_List[[#This Row],[Instruement Tag]],tbl_Instruement_List[],14,FALSE)</f>
        <v>#N/A</v>
      </c>
      <c r="AQ1099" s="143" t="str">
        <f>tbl_IO_List[[#This Row],[Chassis]]&amp;"S"&amp;tbl_IO_List[[#This Row],[Slot]]&amp;"-"&amp;tbl_IO_List[[#This Row],[Front Terminal Number]]</f>
        <v>C8S1-</v>
      </c>
      <c r="AR1099" s="143"/>
      <c r="AS1099" s="136" t="str">
        <f>tbl_IO_List[[#This Row],[Terminal Tagging]]&amp;"-"&amp;tbl_IO_List[[#This Row],[Point-Count]]</f>
        <v>-</v>
      </c>
      <c r="AT1099" s="136" t="str">
        <f>tbl_IO_List[[#This Row],[Front Terminal Tagging]]&amp;"/"&amp;tbl_IO_List[[#This Row],[Terminal Tagging-Item]]</f>
        <v>C8S1-/-</v>
      </c>
      <c r="AU1099" s="136" t="str">
        <f>tbl_IO_List[[#This Row],[Terminal Tagging-Item]]&amp;"/"&amp;tbl_IO_List[[#This Row],[Front Terminal Tagging]]</f>
        <v>-/C8S1-</v>
      </c>
    </row>
    <row r="1100" spans="1:47" hidden="1">
      <c r="A1100" s="147" t="s">
        <v>1371</v>
      </c>
      <c r="B1100" s="136" t="s">
        <v>46</v>
      </c>
      <c r="C1100" s="136" t="str">
        <f>tbl_IO_List[[#This Row],[Column3]]</f>
        <v>C8S01,26</v>
      </c>
      <c r="D1100" s="136" t="e">
        <f>tbl_IO_List[[#This Row],[Card]]</f>
        <v>#N/A</v>
      </c>
      <c r="E1100" s="136" t="s">
        <v>1372</v>
      </c>
      <c r="F1100" s="136" t="str">
        <f>tbl_IO_List[[#This Row],[Column23]]&amp;"-" &amp;tbl_IO_List[[#This Row],[Column52]]</f>
        <v>C8S01-X2</v>
      </c>
      <c r="G1100" s="136" t="str">
        <f>tbl_IO_List[[#This Row],[PLC_Tag]]</f>
        <v>Spare_DI_0</v>
      </c>
      <c r="H1100" s="136"/>
      <c r="I1100" s="136" t="str">
        <f>VLOOKUP(tbl_IO_List[[#This Row],[Destination]],tbl_Junction[],2,FALSE)</f>
        <v>Spray Dryer 8th Floor</v>
      </c>
      <c r="J1100" s="136"/>
      <c r="K1100" s="136"/>
      <c r="L1100" s="136" t="s">
        <v>411</v>
      </c>
      <c r="M1100" s="136" t="e">
        <f>VLOOKUP(tbl_IO_List[[#This Row],[Instruement Tag]],tbl_Instruement_List[],2,FALSE)</f>
        <v>#N/A</v>
      </c>
      <c r="N1100" s="136"/>
      <c r="O1100" s="136"/>
      <c r="P1100" s="136"/>
      <c r="Q1100" s="136" t="e">
        <f>VLOOKUP(tbl_IO_List[[#This Row],[Instruement Tag]],tbl_Instruement_List[],6,FALSE)</f>
        <v>#N/A</v>
      </c>
      <c r="R1100" s="136"/>
      <c r="S110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00" s="136" t="str">
        <f>tbl_IO_List[[#This Row],[Instruement Tag]]&amp;"_"&amp;tbl_IO_List[[#This Row],[I/O Type]]&amp;"_"&amp;tbl_IO_List[[#This Row],[IO-Point 
(Instruement)]]</f>
        <v>Spare_DI_0</v>
      </c>
      <c r="U1100" s="136" t="s">
        <v>8</v>
      </c>
      <c r="V1100" s="136">
        <f>VLOOKUP(tbl_IO_List[[#This Row],[I/O Type]],tbl_Slot_Group[],2,FALSE)</f>
        <v>1</v>
      </c>
      <c r="W1100" s="136">
        <v>0</v>
      </c>
      <c r="X1100" s="136" t="str">
        <f>tbl_IO_List[[#This Row],[Chassis]]&amp;"S"&amp;TEXT(tbl_IO_List[[#This Row],[Slot]],"00")</f>
        <v>C8S01</v>
      </c>
      <c r="Y1100" s="136" t="str">
        <f>tbl_IO_List[[#This Row],[Chassis]]&amp;"S"&amp;TEXT(tbl_IO_List[[#This Row],[Slot]],"00")&amp;tbl_IO_List[[#This Row],[I/O Type]]&amp;TEXT(tbl_IO_List[[#This Row],[Point]],"00")</f>
        <v>C8S01DI26</v>
      </c>
      <c r="Z1100" s="136" t="str">
        <f>tbl_IO_List[[#This Row],[Chassis]]&amp;"S"&amp;TEXT(tbl_IO_List[[#This Row],[Slot]],"00")&amp;","&amp;TEXT(tbl_IO_List[[#This Row],[Point]],"00")</f>
        <v>C8S01,26</v>
      </c>
      <c r="AA1100" s="136" t="e">
        <f>VLOOKUP(tbl_IO_List[[#This Row],[Column23]],tbl_RackConfig[],5,FALSE) &amp;"-"&amp;tbl_IO_List[[#This Row],[Point]]</f>
        <v>#N/A</v>
      </c>
      <c r="AB1100" s="136"/>
      <c r="AC1100" s="136"/>
      <c r="AD1100" s="136" t="str">
        <f>tbl_IO_List[[#This Row],[I/O Type]]</f>
        <v>DI</v>
      </c>
      <c r="AE1100" s="136" t="s">
        <v>1843</v>
      </c>
      <c r="AF1100" s="136">
        <v>1</v>
      </c>
      <c r="AG1100" s="136">
        <v>26</v>
      </c>
      <c r="AH1100" s="136"/>
      <c r="AI1100" s="136"/>
      <c r="AJ1100" s="136">
        <v>1</v>
      </c>
      <c r="AK1100" s="136">
        <v>0</v>
      </c>
      <c r="AL1100" s="136">
        <v>0</v>
      </c>
      <c r="AM1100" s="136">
        <v>0</v>
      </c>
      <c r="AN1100" s="136">
        <v>0</v>
      </c>
      <c r="AO1100" s="136"/>
      <c r="AP1100" s="143" t="e">
        <f>VLOOKUP(tbl_IO_List[[#This Row],[Instruement Tag]],tbl_Instruement_List[],14,FALSE)</f>
        <v>#N/A</v>
      </c>
      <c r="AQ1100" s="143" t="str">
        <f>tbl_IO_List[[#This Row],[Chassis]]&amp;"S"&amp;tbl_IO_List[[#This Row],[Slot]]&amp;"-"&amp;tbl_IO_List[[#This Row],[Front Terminal Number]]</f>
        <v>C8S1-</v>
      </c>
      <c r="AR1100" s="143"/>
      <c r="AS1100" s="136" t="str">
        <f>tbl_IO_List[[#This Row],[Terminal Tagging]]&amp;"-"&amp;tbl_IO_List[[#This Row],[Point-Count]]</f>
        <v>-</v>
      </c>
      <c r="AT1100" s="136" t="str">
        <f>tbl_IO_List[[#This Row],[Front Terminal Tagging]]&amp;"/"&amp;tbl_IO_List[[#This Row],[Terminal Tagging-Item]]</f>
        <v>C8S1-/-</v>
      </c>
      <c r="AU1100" s="136" t="str">
        <f>tbl_IO_List[[#This Row],[Terminal Tagging-Item]]&amp;"/"&amp;tbl_IO_List[[#This Row],[Front Terminal Tagging]]</f>
        <v>-/C8S1-</v>
      </c>
    </row>
    <row r="1101" spans="1:47" hidden="1">
      <c r="A1101" s="147" t="s">
        <v>1371</v>
      </c>
      <c r="B1101" s="136" t="s">
        <v>46</v>
      </c>
      <c r="C1101" s="136" t="str">
        <f>tbl_IO_List[[#This Row],[Column3]]</f>
        <v>C8S01,27</v>
      </c>
      <c r="D1101" s="136" t="e">
        <f>tbl_IO_List[[#This Row],[Card]]</f>
        <v>#N/A</v>
      </c>
      <c r="E1101" s="136" t="s">
        <v>1372</v>
      </c>
      <c r="F1101" s="136" t="str">
        <f>tbl_IO_List[[#This Row],[Column23]]&amp;"-" &amp;tbl_IO_List[[#This Row],[Column52]]</f>
        <v>C8S01-X2</v>
      </c>
      <c r="G1101" s="136" t="str">
        <f>tbl_IO_List[[#This Row],[PLC_Tag]]</f>
        <v>Spare_DI_0</v>
      </c>
      <c r="H1101" s="136"/>
      <c r="I1101" s="136" t="str">
        <f>VLOOKUP(tbl_IO_List[[#This Row],[Destination]],tbl_Junction[],2,FALSE)</f>
        <v>Spray Dryer 8th Floor</v>
      </c>
      <c r="J1101" s="136"/>
      <c r="K1101" s="136"/>
      <c r="L1101" s="136" t="s">
        <v>411</v>
      </c>
      <c r="M1101" s="136" t="e">
        <f>VLOOKUP(tbl_IO_List[[#This Row],[Instruement Tag]],tbl_Instruement_List[],2,FALSE)</f>
        <v>#N/A</v>
      </c>
      <c r="N1101" s="136"/>
      <c r="O1101" s="136"/>
      <c r="P1101" s="136"/>
      <c r="Q1101" s="136" t="e">
        <f>VLOOKUP(tbl_IO_List[[#This Row],[Instruement Tag]],tbl_Instruement_List[],6,FALSE)</f>
        <v>#N/A</v>
      </c>
      <c r="R1101" s="136"/>
      <c r="S110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01" s="136" t="str">
        <f>tbl_IO_List[[#This Row],[Instruement Tag]]&amp;"_"&amp;tbl_IO_List[[#This Row],[I/O Type]]&amp;"_"&amp;tbl_IO_List[[#This Row],[IO-Point 
(Instruement)]]</f>
        <v>Spare_DI_0</v>
      </c>
      <c r="U1101" s="136" t="s">
        <v>8</v>
      </c>
      <c r="V1101" s="136">
        <f>VLOOKUP(tbl_IO_List[[#This Row],[I/O Type]],tbl_Slot_Group[],2,FALSE)</f>
        <v>1</v>
      </c>
      <c r="W1101" s="136">
        <v>0</v>
      </c>
      <c r="X1101" s="136" t="str">
        <f>tbl_IO_List[[#This Row],[Chassis]]&amp;"S"&amp;TEXT(tbl_IO_List[[#This Row],[Slot]],"00")</f>
        <v>C8S01</v>
      </c>
      <c r="Y1101" s="136" t="str">
        <f>tbl_IO_List[[#This Row],[Chassis]]&amp;"S"&amp;TEXT(tbl_IO_List[[#This Row],[Slot]],"00")&amp;tbl_IO_List[[#This Row],[I/O Type]]&amp;TEXT(tbl_IO_List[[#This Row],[Point]],"00")</f>
        <v>C8S01DI27</v>
      </c>
      <c r="Z1101" s="136" t="str">
        <f>tbl_IO_List[[#This Row],[Chassis]]&amp;"S"&amp;TEXT(tbl_IO_List[[#This Row],[Slot]],"00")&amp;","&amp;TEXT(tbl_IO_List[[#This Row],[Point]],"00")</f>
        <v>C8S01,27</v>
      </c>
      <c r="AA1101" s="136" t="e">
        <f>VLOOKUP(tbl_IO_List[[#This Row],[Column23]],tbl_RackConfig[],5,FALSE) &amp;"-"&amp;tbl_IO_List[[#This Row],[Point]]</f>
        <v>#N/A</v>
      </c>
      <c r="AB1101" s="136"/>
      <c r="AC1101" s="136"/>
      <c r="AD1101" s="136" t="str">
        <f>tbl_IO_List[[#This Row],[I/O Type]]</f>
        <v>DI</v>
      </c>
      <c r="AE1101" s="136" t="s">
        <v>1843</v>
      </c>
      <c r="AF1101" s="136">
        <v>1</v>
      </c>
      <c r="AG1101" s="136">
        <v>27</v>
      </c>
      <c r="AH1101" s="136"/>
      <c r="AI1101" s="136"/>
      <c r="AJ1101" s="136">
        <v>1</v>
      </c>
      <c r="AK1101" s="136">
        <v>0</v>
      </c>
      <c r="AL1101" s="136">
        <v>0</v>
      </c>
      <c r="AM1101" s="136">
        <v>0</v>
      </c>
      <c r="AN1101" s="136">
        <v>0</v>
      </c>
      <c r="AO1101" s="136"/>
      <c r="AP1101" s="143" t="e">
        <f>VLOOKUP(tbl_IO_List[[#This Row],[Instruement Tag]],tbl_Instruement_List[],14,FALSE)</f>
        <v>#N/A</v>
      </c>
      <c r="AQ1101" s="143" t="str">
        <f>tbl_IO_List[[#This Row],[Chassis]]&amp;"S"&amp;tbl_IO_List[[#This Row],[Slot]]&amp;"-"&amp;tbl_IO_List[[#This Row],[Front Terminal Number]]</f>
        <v>C8S1-</v>
      </c>
      <c r="AR1101" s="143"/>
      <c r="AS1101" s="136" t="str">
        <f>tbl_IO_List[[#This Row],[Terminal Tagging]]&amp;"-"&amp;tbl_IO_List[[#This Row],[Point-Count]]</f>
        <v>-</v>
      </c>
      <c r="AT1101" s="136" t="str">
        <f>tbl_IO_List[[#This Row],[Front Terminal Tagging]]&amp;"/"&amp;tbl_IO_List[[#This Row],[Terminal Tagging-Item]]</f>
        <v>C8S1-/-</v>
      </c>
      <c r="AU1101" s="136" t="str">
        <f>tbl_IO_List[[#This Row],[Terminal Tagging-Item]]&amp;"/"&amp;tbl_IO_List[[#This Row],[Front Terminal Tagging]]</f>
        <v>-/C8S1-</v>
      </c>
    </row>
    <row r="1102" spans="1:47" hidden="1">
      <c r="A1102" s="147" t="s">
        <v>1371</v>
      </c>
      <c r="B1102" s="136" t="s">
        <v>46</v>
      </c>
      <c r="C1102" s="136" t="str">
        <f>tbl_IO_List[[#This Row],[Column3]]</f>
        <v>C8S01,28</v>
      </c>
      <c r="D1102" s="136" t="e">
        <f>tbl_IO_List[[#This Row],[Card]]</f>
        <v>#N/A</v>
      </c>
      <c r="E1102" s="136" t="s">
        <v>1372</v>
      </c>
      <c r="F1102" s="136" t="str">
        <f>tbl_IO_List[[#This Row],[Column23]]&amp;"-" &amp;tbl_IO_List[[#This Row],[Column52]]</f>
        <v>C8S01-X2</v>
      </c>
      <c r="G1102" s="136" t="str">
        <f>tbl_IO_List[[#This Row],[PLC_Tag]]</f>
        <v>Spare_DI_0</v>
      </c>
      <c r="H1102" s="136"/>
      <c r="I1102" s="136" t="str">
        <f>VLOOKUP(tbl_IO_List[[#This Row],[Destination]],tbl_Junction[],2,FALSE)</f>
        <v>Spray Dryer 8th Floor</v>
      </c>
      <c r="J1102" s="136"/>
      <c r="K1102" s="136"/>
      <c r="L1102" s="136" t="s">
        <v>411</v>
      </c>
      <c r="M1102" s="136" t="e">
        <f>VLOOKUP(tbl_IO_List[[#This Row],[Instruement Tag]],tbl_Instruement_List[],2,FALSE)</f>
        <v>#N/A</v>
      </c>
      <c r="N1102" s="136"/>
      <c r="O1102" s="136"/>
      <c r="P1102" s="136"/>
      <c r="Q1102" s="136" t="e">
        <f>VLOOKUP(tbl_IO_List[[#This Row],[Instruement Tag]],tbl_Instruement_List[],6,FALSE)</f>
        <v>#N/A</v>
      </c>
      <c r="R1102" s="136"/>
      <c r="S110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02" s="136" t="str">
        <f>tbl_IO_List[[#This Row],[Instruement Tag]]&amp;"_"&amp;tbl_IO_List[[#This Row],[I/O Type]]&amp;"_"&amp;tbl_IO_List[[#This Row],[IO-Point 
(Instruement)]]</f>
        <v>Spare_DI_0</v>
      </c>
      <c r="U1102" s="136" t="s">
        <v>8</v>
      </c>
      <c r="V1102" s="136">
        <f>VLOOKUP(tbl_IO_List[[#This Row],[I/O Type]],tbl_Slot_Group[],2,FALSE)</f>
        <v>1</v>
      </c>
      <c r="W1102" s="136">
        <v>0</v>
      </c>
      <c r="X1102" s="136" t="str">
        <f>tbl_IO_List[[#This Row],[Chassis]]&amp;"S"&amp;TEXT(tbl_IO_List[[#This Row],[Slot]],"00")</f>
        <v>C8S01</v>
      </c>
      <c r="Y1102" s="136" t="str">
        <f>tbl_IO_List[[#This Row],[Chassis]]&amp;"S"&amp;TEXT(tbl_IO_List[[#This Row],[Slot]],"00")&amp;tbl_IO_List[[#This Row],[I/O Type]]&amp;TEXT(tbl_IO_List[[#This Row],[Point]],"00")</f>
        <v>C8S01DI28</v>
      </c>
      <c r="Z1102" s="136" t="str">
        <f>tbl_IO_List[[#This Row],[Chassis]]&amp;"S"&amp;TEXT(tbl_IO_List[[#This Row],[Slot]],"00")&amp;","&amp;TEXT(tbl_IO_List[[#This Row],[Point]],"00")</f>
        <v>C8S01,28</v>
      </c>
      <c r="AA1102" s="136" t="e">
        <f>VLOOKUP(tbl_IO_List[[#This Row],[Column23]],tbl_RackConfig[],5,FALSE) &amp;"-"&amp;tbl_IO_List[[#This Row],[Point]]</f>
        <v>#N/A</v>
      </c>
      <c r="AB1102" s="136"/>
      <c r="AC1102" s="136"/>
      <c r="AD1102" s="136" t="str">
        <f>tbl_IO_List[[#This Row],[I/O Type]]</f>
        <v>DI</v>
      </c>
      <c r="AE1102" s="136" t="s">
        <v>1843</v>
      </c>
      <c r="AF1102" s="136">
        <v>1</v>
      </c>
      <c r="AG1102" s="136">
        <v>28</v>
      </c>
      <c r="AH1102" s="136"/>
      <c r="AI1102" s="136"/>
      <c r="AJ1102" s="136">
        <v>1</v>
      </c>
      <c r="AK1102" s="136">
        <v>0</v>
      </c>
      <c r="AL1102" s="136">
        <v>0</v>
      </c>
      <c r="AM1102" s="136">
        <v>0</v>
      </c>
      <c r="AN1102" s="136">
        <v>0</v>
      </c>
      <c r="AO1102" s="136"/>
      <c r="AP1102" s="143" t="e">
        <f>VLOOKUP(tbl_IO_List[[#This Row],[Instruement Tag]],tbl_Instruement_List[],14,FALSE)</f>
        <v>#N/A</v>
      </c>
      <c r="AQ1102" s="143" t="str">
        <f>tbl_IO_List[[#This Row],[Chassis]]&amp;"S"&amp;tbl_IO_List[[#This Row],[Slot]]&amp;"-"&amp;tbl_IO_List[[#This Row],[Front Terminal Number]]</f>
        <v>C8S1-</v>
      </c>
      <c r="AR1102" s="143"/>
      <c r="AS1102" s="136" t="str">
        <f>tbl_IO_List[[#This Row],[Terminal Tagging]]&amp;"-"&amp;tbl_IO_List[[#This Row],[Point-Count]]</f>
        <v>-</v>
      </c>
      <c r="AT1102" s="136" t="str">
        <f>tbl_IO_List[[#This Row],[Front Terminal Tagging]]&amp;"/"&amp;tbl_IO_List[[#This Row],[Terminal Tagging-Item]]</f>
        <v>C8S1-/-</v>
      </c>
      <c r="AU1102" s="136" t="str">
        <f>tbl_IO_List[[#This Row],[Terminal Tagging-Item]]&amp;"/"&amp;tbl_IO_List[[#This Row],[Front Terminal Tagging]]</f>
        <v>-/C8S1-</v>
      </c>
    </row>
    <row r="1103" spans="1:47" hidden="1">
      <c r="A1103" s="147" t="s">
        <v>1371</v>
      </c>
      <c r="B1103" s="136" t="s">
        <v>46</v>
      </c>
      <c r="C1103" s="136" t="str">
        <f>tbl_IO_List[[#This Row],[Column3]]</f>
        <v>C8S01,29</v>
      </c>
      <c r="D1103" s="136" t="e">
        <f>tbl_IO_List[[#This Row],[Card]]</f>
        <v>#N/A</v>
      </c>
      <c r="E1103" s="136" t="s">
        <v>1372</v>
      </c>
      <c r="F1103" s="136" t="str">
        <f>tbl_IO_List[[#This Row],[Column23]]&amp;"-" &amp;tbl_IO_List[[#This Row],[Column52]]</f>
        <v>C8S01-X2</v>
      </c>
      <c r="G1103" s="136" t="str">
        <f>tbl_IO_List[[#This Row],[PLC_Tag]]</f>
        <v>Spare_DI_0</v>
      </c>
      <c r="H1103" s="136"/>
      <c r="I1103" s="136" t="str">
        <f>VLOOKUP(tbl_IO_List[[#This Row],[Destination]],tbl_Junction[],2,FALSE)</f>
        <v>Spray Dryer 8th Floor</v>
      </c>
      <c r="J1103" s="136"/>
      <c r="K1103" s="136"/>
      <c r="L1103" s="136" t="s">
        <v>411</v>
      </c>
      <c r="M1103" s="136" t="e">
        <f>VLOOKUP(tbl_IO_List[[#This Row],[Instruement Tag]],tbl_Instruement_List[],2,FALSE)</f>
        <v>#N/A</v>
      </c>
      <c r="N1103" s="136"/>
      <c r="O1103" s="136"/>
      <c r="P1103" s="136"/>
      <c r="Q1103" s="136" t="e">
        <f>VLOOKUP(tbl_IO_List[[#This Row],[Instruement Tag]],tbl_Instruement_List[],6,FALSE)</f>
        <v>#N/A</v>
      </c>
      <c r="R1103" s="136"/>
      <c r="S110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03" s="136" t="str">
        <f>tbl_IO_List[[#This Row],[Instruement Tag]]&amp;"_"&amp;tbl_IO_List[[#This Row],[I/O Type]]&amp;"_"&amp;tbl_IO_List[[#This Row],[IO-Point 
(Instruement)]]</f>
        <v>Spare_DI_0</v>
      </c>
      <c r="U1103" s="136" t="s">
        <v>8</v>
      </c>
      <c r="V1103" s="136">
        <f>VLOOKUP(tbl_IO_List[[#This Row],[I/O Type]],tbl_Slot_Group[],2,FALSE)</f>
        <v>1</v>
      </c>
      <c r="W1103" s="136">
        <v>0</v>
      </c>
      <c r="X1103" s="136" t="str">
        <f>tbl_IO_List[[#This Row],[Chassis]]&amp;"S"&amp;TEXT(tbl_IO_List[[#This Row],[Slot]],"00")</f>
        <v>C8S01</v>
      </c>
      <c r="Y1103" s="136" t="str">
        <f>tbl_IO_List[[#This Row],[Chassis]]&amp;"S"&amp;TEXT(tbl_IO_List[[#This Row],[Slot]],"00")&amp;tbl_IO_List[[#This Row],[I/O Type]]&amp;TEXT(tbl_IO_List[[#This Row],[Point]],"00")</f>
        <v>C8S01DI29</v>
      </c>
      <c r="Z1103" s="136" t="str">
        <f>tbl_IO_List[[#This Row],[Chassis]]&amp;"S"&amp;TEXT(tbl_IO_List[[#This Row],[Slot]],"00")&amp;","&amp;TEXT(tbl_IO_List[[#This Row],[Point]],"00")</f>
        <v>C8S01,29</v>
      </c>
      <c r="AA1103" s="136" t="e">
        <f>VLOOKUP(tbl_IO_List[[#This Row],[Column23]],tbl_RackConfig[],5,FALSE) &amp;"-"&amp;tbl_IO_List[[#This Row],[Point]]</f>
        <v>#N/A</v>
      </c>
      <c r="AB1103" s="136"/>
      <c r="AC1103" s="136"/>
      <c r="AD1103" s="136" t="str">
        <f>tbl_IO_List[[#This Row],[I/O Type]]</f>
        <v>DI</v>
      </c>
      <c r="AE1103" s="136" t="s">
        <v>1843</v>
      </c>
      <c r="AF1103" s="136">
        <v>1</v>
      </c>
      <c r="AG1103" s="136">
        <v>29</v>
      </c>
      <c r="AH1103" s="136"/>
      <c r="AI1103" s="136"/>
      <c r="AJ1103" s="136">
        <v>1</v>
      </c>
      <c r="AK1103" s="136">
        <v>0</v>
      </c>
      <c r="AL1103" s="136">
        <v>0</v>
      </c>
      <c r="AM1103" s="136">
        <v>0</v>
      </c>
      <c r="AN1103" s="136">
        <v>0</v>
      </c>
      <c r="AO1103" s="136"/>
      <c r="AP1103" s="143" t="e">
        <f>VLOOKUP(tbl_IO_List[[#This Row],[Instruement Tag]],tbl_Instruement_List[],14,FALSE)</f>
        <v>#N/A</v>
      </c>
      <c r="AQ1103" s="143" t="str">
        <f>tbl_IO_List[[#This Row],[Chassis]]&amp;"S"&amp;tbl_IO_List[[#This Row],[Slot]]&amp;"-"&amp;tbl_IO_List[[#This Row],[Front Terminal Number]]</f>
        <v>C8S1-</v>
      </c>
      <c r="AR1103" s="143"/>
      <c r="AS1103" s="136" t="str">
        <f>tbl_IO_List[[#This Row],[Terminal Tagging]]&amp;"-"&amp;tbl_IO_List[[#This Row],[Point-Count]]</f>
        <v>-</v>
      </c>
      <c r="AT1103" s="136" t="str">
        <f>tbl_IO_List[[#This Row],[Front Terminal Tagging]]&amp;"/"&amp;tbl_IO_List[[#This Row],[Terminal Tagging-Item]]</f>
        <v>C8S1-/-</v>
      </c>
      <c r="AU1103" s="136" t="str">
        <f>tbl_IO_List[[#This Row],[Terminal Tagging-Item]]&amp;"/"&amp;tbl_IO_List[[#This Row],[Front Terminal Tagging]]</f>
        <v>-/C8S1-</v>
      </c>
    </row>
    <row r="1104" spans="1:47" hidden="1">
      <c r="A1104" s="147" t="s">
        <v>1371</v>
      </c>
      <c r="B1104" s="136" t="s">
        <v>46</v>
      </c>
      <c r="C1104" s="136" t="str">
        <f>tbl_IO_List[[#This Row],[Column3]]</f>
        <v>C8S01,30</v>
      </c>
      <c r="D1104" s="136" t="e">
        <f>tbl_IO_List[[#This Row],[Card]]</f>
        <v>#N/A</v>
      </c>
      <c r="E1104" s="136" t="s">
        <v>1372</v>
      </c>
      <c r="F1104" s="136" t="str">
        <f>tbl_IO_List[[#This Row],[Column23]]&amp;"-" &amp;tbl_IO_List[[#This Row],[Column52]]</f>
        <v>C8S01-X2</v>
      </c>
      <c r="G1104" s="136" t="str">
        <f>tbl_IO_List[[#This Row],[PLC_Tag]]</f>
        <v>Spare_DI_0</v>
      </c>
      <c r="H1104" s="136"/>
      <c r="I1104" s="136" t="str">
        <f>VLOOKUP(tbl_IO_List[[#This Row],[Destination]],tbl_Junction[],2,FALSE)</f>
        <v>Spray Dryer 8th Floor</v>
      </c>
      <c r="J1104" s="136"/>
      <c r="K1104" s="136"/>
      <c r="L1104" s="136" t="s">
        <v>411</v>
      </c>
      <c r="M1104" s="136" t="e">
        <f>VLOOKUP(tbl_IO_List[[#This Row],[Instruement Tag]],tbl_Instruement_List[],2,FALSE)</f>
        <v>#N/A</v>
      </c>
      <c r="N1104" s="136"/>
      <c r="O1104" s="136"/>
      <c r="P1104" s="136"/>
      <c r="Q1104" s="136" t="e">
        <f>VLOOKUP(tbl_IO_List[[#This Row],[Instruement Tag]],tbl_Instruement_List[],6,FALSE)</f>
        <v>#N/A</v>
      </c>
      <c r="R1104" s="136"/>
      <c r="S110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04" s="136" t="str">
        <f>tbl_IO_List[[#This Row],[Instruement Tag]]&amp;"_"&amp;tbl_IO_List[[#This Row],[I/O Type]]&amp;"_"&amp;tbl_IO_List[[#This Row],[IO-Point 
(Instruement)]]</f>
        <v>Spare_DI_0</v>
      </c>
      <c r="U1104" s="136" t="s">
        <v>8</v>
      </c>
      <c r="V1104" s="136">
        <f>VLOOKUP(tbl_IO_List[[#This Row],[I/O Type]],tbl_Slot_Group[],2,FALSE)</f>
        <v>1</v>
      </c>
      <c r="W1104" s="136">
        <v>0</v>
      </c>
      <c r="X1104" s="136" t="str">
        <f>tbl_IO_List[[#This Row],[Chassis]]&amp;"S"&amp;TEXT(tbl_IO_List[[#This Row],[Slot]],"00")</f>
        <v>C8S01</v>
      </c>
      <c r="Y1104" s="136" t="str">
        <f>tbl_IO_List[[#This Row],[Chassis]]&amp;"S"&amp;TEXT(tbl_IO_List[[#This Row],[Slot]],"00")&amp;tbl_IO_List[[#This Row],[I/O Type]]&amp;TEXT(tbl_IO_List[[#This Row],[Point]],"00")</f>
        <v>C8S01DI30</v>
      </c>
      <c r="Z1104" s="136" t="str">
        <f>tbl_IO_List[[#This Row],[Chassis]]&amp;"S"&amp;TEXT(tbl_IO_List[[#This Row],[Slot]],"00")&amp;","&amp;TEXT(tbl_IO_List[[#This Row],[Point]],"00")</f>
        <v>C8S01,30</v>
      </c>
      <c r="AA1104" s="136" t="e">
        <f>VLOOKUP(tbl_IO_List[[#This Row],[Column23]],tbl_RackConfig[],5,FALSE) &amp;"-"&amp;tbl_IO_List[[#This Row],[Point]]</f>
        <v>#N/A</v>
      </c>
      <c r="AB1104" s="136"/>
      <c r="AC1104" s="136"/>
      <c r="AD1104" s="136" t="str">
        <f>tbl_IO_List[[#This Row],[I/O Type]]</f>
        <v>DI</v>
      </c>
      <c r="AE1104" s="136" t="s">
        <v>1843</v>
      </c>
      <c r="AF1104" s="136">
        <v>1</v>
      </c>
      <c r="AG1104" s="136">
        <v>30</v>
      </c>
      <c r="AH1104" s="136"/>
      <c r="AI1104" s="136"/>
      <c r="AJ1104" s="136">
        <v>1</v>
      </c>
      <c r="AK1104" s="136">
        <v>0</v>
      </c>
      <c r="AL1104" s="136">
        <v>0</v>
      </c>
      <c r="AM1104" s="136">
        <v>0</v>
      </c>
      <c r="AN1104" s="136">
        <v>0</v>
      </c>
      <c r="AO1104" s="136"/>
      <c r="AP1104" s="143" t="e">
        <f>VLOOKUP(tbl_IO_List[[#This Row],[Instruement Tag]],tbl_Instruement_List[],14,FALSE)</f>
        <v>#N/A</v>
      </c>
      <c r="AQ1104" s="143" t="str">
        <f>tbl_IO_List[[#This Row],[Chassis]]&amp;"S"&amp;tbl_IO_List[[#This Row],[Slot]]&amp;"-"&amp;tbl_IO_List[[#This Row],[Front Terminal Number]]</f>
        <v>C8S1-</v>
      </c>
      <c r="AR1104" s="143"/>
      <c r="AS1104" s="136" t="str">
        <f>tbl_IO_List[[#This Row],[Terminal Tagging]]&amp;"-"&amp;tbl_IO_List[[#This Row],[Point-Count]]</f>
        <v>-</v>
      </c>
      <c r="AT1104" s="136" t="str">
        <f>tbl_IO_List[[#This Row],[Front Terminal Tagging]]&amp;"/"&amp;tbl_IO_List[[#This Row],[Terminal Tagging-Item]]</f>
        <v>C8S1-/-</v>
      </c>
      <c r="AU1104" s="136" t="str">
        <f>tbl_IO_List[[#This Row],[Terminal Tagging-Item]]&amp;"/"&amp;tbl_IO_List[[#This Row],[Front Terminal Tagging]]</f>
        <v>-/C8S1-</v>
      </c>
    </row>
    <row r="1105" spans="1:47" hidden="1">
      <c r="A1105" s="147" t="s">
        <v>1371</v>
      </c>
      <c r="B1105" s="136" t="s">
        <v>46</v>
      </c>
      <c r="C1105" s="136" t="str">
        <f>tbl_IO_List[[#This Row],[Column3]]</f>
        <v>C8S01,31</v>
      </c>
      <c r="D1105" s="136" t="e">
        <f>tbl_IO_List[[#This Row],[Card]]</f>
        <v>#N/A</v>
      </c>
      <c r="E1105" s="136" t="s">
        <v>1372</v>
      </c>
      <c r="F1105" s="136" t="str">
        <f>tbl_IO_List[[#This Row],[Column23]]&amp;"-" &amp;tbl_IO_List[[#This Row],[Column52]]</f>
        <v>C8S01-X2</v>
      </c>
      <c r="G1105" s="136" t="str">
        <f>tbl_IO_List[[#This Row],[PLC_Tag]]</f>
        <v>Spare_DI_0</v>
      </c>
      <c r="H1105" s="136"/>
      <c r="I1105" s="136" t="str">
        <f>VLOOKUP(tbl_IO_List[[#This Row],[Destination]],tbl_Junction[],2,FALSE)</f>
        <v>Spray Dryer 8th Floor</v>
      </c>
      <c r="J1105" s="136"/>
      <c r="K1105" s="136"/>
      <c r="L1105" s="136" t="s">
        <v>411</v>
      </c>
      <c r="M1105" s="136" t="e">
        <f>VLOOKUP(tbl_IO_List[[#This Row],[Instruement Tag]],tbl_Instruement_List[],2,FALSE)</f>
        <v>#N/A</v>
      </c>
      <c r="N1105" s="136"/>
      <c r="O1105" s="136"/>
      <c r="P1105" s="136"/>
      <c r="Q1105" s="136" t="e">
        <f>VLOOKUP(tbl_IO_List[[#This Row],[Instruement Tag]],tbl_Instruement_List[],6,FALSE)</f>
        <v>#N/A</v>
      </c>
      <c r="R1105" s="136"/>
      <c r="S110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05" s="136" t="str">
        <f>tbl_IO_List[[#This Row],[Instruement Tag]]&amp;"_"&amp;tbl_IO_List[[#This Row],[I/O Type]]&amp;"_"&amp;tbl_IO_List[[#This Row],[IO-Point 
(Instruement)]]</f>
        <v>Spare_DI_0</v>
      </c>
      <c r="U1105" s="136" t="s">
        <v>8</v>
      </c>
      <c r="V1105" s="136">
        <f>VLOOKUP(tbl_IO_List[[#This Row],[I/O Type]],tbl_Slot_Group[],2,FALSE)</f>
        <v>1</v>
      </c>
      <c r="W1105" s="136">
        <v>0</v>
      </c>
      <c r="X1105" s="136" t="str">
        <f>tbl_IO_List[[#This Row],[Chassis]]&amp;"S"&amp;TEXT(tbl_IO_List[[#This Row],[Slot]],"00")</f>
        <v>C8S01</v>
      </c>
      <c r="Y1105" s="136" t="str">
        <f>tbl_IO_List[[#This Row],[Chassis]]&amp;"S"&amp;TEXT(tbl_IO_List[[#This Row],[Slot]],"00")&amp;tbl_IO_List[[#This Row],[I/O Type]]&amp;TEXT(tbl_IO_List[[#This Row],[Point]],"00")</f>
        <v>C8S01DI31</v>
      </c>
      <c r="Z1105" s="136" t="str">
        <f>tbl_IO_List[[#This Row],[Chassis]]&amp;"S"&amp;TEXT(tbl_IO_List[[#This Row],[Slot]],"00")&amp;","&amp;TEXT(tbl_IO_List[[#This Row],[Point]],"00")</f>
        <v>C8S01,31</v>
      </c>
      <c r="AA1105" s="136" t="e">
        <f>VLOOKUP(tbl_IO_List[[#This Row],[Column23]],tbl_RackConfig[],5,FALSE) &amp;"-"&amp;tbl_IO_List[[#This Row],[Point]]</f>
        <v>#N/A</v>
      </c>
      <c r="AB1105" s="136"/>
      <c r="AC1105" s="136"/>
      <c r="AD1105" s="136" t="str">
        <f>tbl_IO_List[[#This Row],[I/O Type]]</f>
        <v>DI</v>
      </c>
      <c r="AE1105" s="136" t="s">
        <v>1843</v>
      </c>
      <c r="AF1105" s="136">
        <v>1</v>
      </c>
      <c r="AG1105" s="136">
        <v>31</v>
      </c>
      <c r="AH1105" s="136"/>
      <c r="AI1105" s="136"/>
      <c r="AJ1105" s="136">
        <v>1</v>
      </c>
      <c r="AK1105" s="136">
        <v>0</v>
      </c>
      <c r="AL1105" s="136">
        <v>0</v>
      </c>
      <c r="AM1105" s="136">
        <v>0</v>
      </c>
      <c r="AN1105" s="136">
        <v>0</v>
      </c>
      <c r="AO1105" s="136"/>
      <c r="AP1105" s="143" t="e">
        <f>VLOOKUP(tbl_IO_List[[#This Row],[Instruement Tag]],tbl_Instruement_List[],14,FALSE)</f>
        <v>#N/A</v>
      </c>
      <c r="AQ1105" s="143" t="str">
        <f>tbl_IO_List[[#This Row],[Chassis]]&amp;"S"&amp;tbl_IO_List[[#This Row],[Slot]]&amp;"-"&amp;tbl_IO_List[[#This Row],[Front Terminal Number]]</f>
        <v>C8S1-</v>
      </c>
      <c r="AR1105" s="143"/>
      <c r="AS1105" s="136" t="str">
        <f>tbl_IO_List[[#This Row],[Terminal Tagging]]&amp;"-"&amp;tbl_IO_List[[#This Row],[Point-Count]]</f>
        <v>-</v>
      </c>
      <c r="AT1105" s="136" t="str">
        <f>tbl_IO_List[[#This Row],[Front Terminal Tagging]]&amp;"/"&amp;tbl_IO_List[[#This Row],[Terminal Tagging-Item]]</f>
        <v>C8S1-/-</v>
      </c>
      <c r="AU1105" s="136" t="str">
        <f>tbl_IO_List[[#This Row],[Terminal Tagging-Item]]&amp;"/"&amp;tbl_IO_List[[#This Row],[Front Terminal Tagging]]</f>
        <v>-/C8S1-</v>
      </c>
    </row>
    <row r="1106" spans="1:47" hidden="1">
      <c r="A1106" s="147" t="s">
        <v>1371</v>
      </c>
      <c r="B1106" s="136" t="s">
        <v>65</v>
      </c>
      <c r="C1106" s="136" t="str">
        <f>tbl_IO_List[[#This Row],[Column3]]</f>
        <v>C8S02,00</v>
      </c>
      <c r="D1106" s="136" t="e">
        <f>tbl_IO_List[[#This Row],[Card]]</f>
        <v>#N/A</v>
      </c>
      <c r="E1106" s="136" t="s">
        <v>1366</v>
      </c>
      <c r="F1106" s="136" t="str">
        <f>tbl_IO_List[[#This Row],[Column23]]&amp;"-" &amp;tbl_IO_List[[#This Row],[Column52]]</f>
        <v>C8S02-X1</v>
      </c>
      <c r="G1106" s="136" t="str">
        <f>tbl_IO_List[[#This Row],[PLC_Tag]]</f>
        <v>ISV-61303_DI_1</v>
      </c>
      <c r="H1106" s="136"/>
      <c r="I1106" s="136" t="str">
        <f>VLOOKUP(tbl_IO_List[[#This Row],[Destination]],tbl_Junction[],2,FALSE)</f>
        <v>Packing Tower 2th Floor</v>
      </c>
      <c r="J1106" s="136" t="s">
        <v>335</v>
      </c>
      <c r="K1106" s="136" t="s">
        <v>66</v>
      </c>
      <c r="L1106" s="136" t="s">
        <v>82</v>
      </c>
      <c r="M1106" s="136">
        <f>VLOOKUP(tbl_IO_List[[#This Row],[Instruement Tag]],tbl_Instruement_List[],2,FALSE)</f>
        <v>0</v>
      </c>
      <c r="N1106" s="136" t="s">
        <v>24</v>
      </c>
      <c r="O1106" s="136" t="s">
        <v>67</v>
      </c>
      <c r="P1106" s="136" t="s">
        <v>68</v>
      </c>
      <c r="Q1106" s="136" t="str">
        <f>VLOOKUP(tbl_IO_List[[#This Row],[Instruement Tag]],tbl_Instruement_List[],6,FALSE)</f>
        <v>Explosion isolation flap valve ISV-61303</v>
      </c>
      <c r="R1106" s="136"/>
      <c r="S110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06" s="136" t="str">
        <f>tbl_IO_List[[#This Row],[Instruement Tag]]&amp;"_"&amp;tbl_IO_List[[#This Row],[I/O Type]]&amp;"_"&amp;tbl_IO_List[[#This Row],[IO-Point 
(Instruement)]]</f>
        <v>ISV-61303_DI_1</v>
      </c>
      <c r="U1106" s="136" t="s">
        <v>8</v>
      </c>
      <c r="V1106" s="136">
        <f>VLOOKUP(tbl_IO_List[[#This Row],[I/O Type]],tbl_Slot_Group[],2,FALSE)</f>
        <v>1</v>
      </c>
      <c r="W1106" s="136">
        <v>1</v>
      </c>
      <c r="X1106" s="136" t="str">
        <f>tbl_IO_List[[#This Row],[Chassis]]&amp;"S"&amp;TEXT(tbl_IO_List[[#This Row],[Slot]],"00")</f>
        <v>C8S02</v>
      </c>
      <c r="Y1106" s="136" t="str">
        <f>tbl_IO_List[[#This Row],[Chassis]]&amp;"S"&amp;TEXT(tbl_IO_List[[#This Row],[Slot]],"00")&amp;tbl_IO_List[[#This Row],[I/O Type]]&amp;TEXT(tbl_IO_List[[#This Row],[Point]],"00")</f>
        <v>C8S02DI00</v>
      </c>
      <c r="Z1106" s="136" t="str">
        <f>tbl_IO_List[[#This Row],[Chassis]]&amp;"S"&amp;TEXT(tbl_IO_List[[#This Row],[Slot]],"00")&amp;","&amp;TEXT(tbl_IO_List[[#This Row],[Point]],"00")</f>
        <v>C8S02,00</v>
      </c>
      <c r="AA1106" s="136" t="e">
        <f>VLOOKUP(tbl_IO_List[[#This Row],[Column23]],tbl_RackConfig[],5,FALSE) &amp;"-"&amp;tbl_IO_List[[#This Row],[Point]]</f>
        <v>#N/A</v>
      </c>
      <c r="AB1106" s="136"/>
      <c r="AC1106" s="136"/>
      <c r="AD1106" s="136" t="str">
        <f>tbl_IO_List[[#This Row],[I/O Type]]</f>
        <v>DI</v>
      </c>
      <c r="AE1106" s="136" t="s">
        <v>1843</v>
      </c>
      <c r="AF1106" s="136">
        <v>2</v>
      </c>
      <c r="AG1106" s="136">
        <v>0</v>
      </c>
      <c r="AH1106" s="136"/>
      <c r="AI1106" s="136"/>
      <c r="AJ1106" s="136">
        <v>1</v>
      </c>
      <c r="AK1106" s="136">
        <v>0</v>
      </c>
      <c r="AL1106" s="136">
        <v>0</v>
      </c>
      <c r="AM1106" s="136">
        <v>0</v>
      </c>
      <c r="AN1106" s="136">
        <v>0</v>
      </c>
      <c r="AO1106" s="136"/>
      <c r="AP1106" s="143" t="str">
        <f>VLOOKUP(tbl_IO_List[[#This Row],[Instruement Tag]],tbl_Instruement_List[],14,FALSE)</f>
        <v>Dry Contact</v>
      </c>
      <c r="AQ1106" s="143" t="str">
        <f>tbl_IO_List[[#This Row],[Chassis]]&amp;"S"&amp;tbl_IO_List[[#This Row],[Slot]]&amp;"-"&amp;tbl_IO_List[[#This Row],[Front Terminal Number]]</f>
        <v>C8S2-</v>
      </c>
      <c r="AR1106" s="143"/>
      <c r="AS1106" s="136" t="str">
        <f>tbl_IO_List[[#This Row],[Terminal Tagging]]&amp;"-"&amp;tbl_IO_List[[#This Row],[Point-Count]]</f>
        <v>-</v>
      </c>
      <c r="AT1106" s="136" t="str">
        <f>tbl_IO_List[[#This Row],[Front Terminal Tagging]]&amp;"/"&amp;tbl_IO_List[[#This Row],[Terminal Tagging-Item]]</f>
        <v>C8S2-/-</v>
      </c>
      <c r="AU1106" s="136" t="str">
        <f>tbl_IO_List[[#This Row],[Terminal Tagging-Item]]&amp;"/"&amp;tbl_IO_List[[#This Row],[Front Terminal Tagging]]</f>
        <v>-/C8S2-</v>
      </c>
    </row>
    <row r="1107" spans="1:47" hidden="1">
      <c r="A1107" s="147" t="s">
        <v>1371</v>
      </c>
      <c r="B1107" s="136" t="s">
        <v>65</v>
      </c>
      <c r="C1107" s="136" t="str">
        <f>tbl_IO_List[[#This Row],[Column3]]</f>
        <v>C8S02,01</v>
      </c>
      <c r="D1107" s="136" t="e">
        <f>tbl_IO_List[[#This Row],[Card]]</f>
        <v>#N/A</v>
      </c>
      <c r="E1107" s="136" t="s">
        <v>1366</v>
      </c>
      <c r="F1107" s="136" t="str">
        <f>tbl_IO_List[[#This Row],[Column23]]&amp;"-" &amp;tbl_IO_List[[#This Row],[Column52]]</f>
        <v>C8S02-X1</v>
      </c>
      <c r="G1107" s="136" t="str">
        <f>tbl_IO_List[[#This Row],[PLC_Tag]]</f>
        <v>ISV-61304_DI_1</v>
      </c>
      <c r="H1107" s="136"/>
      <c r="I1107" s="136" t="str">
        <f>VLOOKUP(tbl_IO_List[[#This Row],[Destination]],tbl_Junction[],2,FALSE)</f>
        <v>Packing Tower 2th Floor</v>
      </c>
      <c r="J1107" s="136" t="s">
        <v>335</v>
      </c>
      <c r="K1107" s="136" t="s">
        <v>66</v>
      </c>
      <c r="L1107" s="136" t="s">
        <v>83</v>
      </c>
      <c r="M1107" s="136">
        <f>VLOOKUP(tbl_IO_List[[#This Row],[Instruement Tag]],tbl_Instruement_List[],2,FALSE)</f>
        <v>0</v>
      </c>
      <c r="N1107" s="136" t="s">
        <v>24</v>
      </c>
      <c r="O1107" s="136" t="s">
        <v>70</v>
      </c>
      <c r="P1107" s="136" t="s">
        <v>71</v>
      </c>
      <c r="Q1107" s="136" t="str">
        <f>VLOOKUP(tbl_IO_List[[#This Row],[Instruement Tag]],tbl_Instruement_List[],6,FALSE)</f>
        <v>Explosion isolation flap valve ISV-61304</v>
      </c>
      <c r="R1107" s="136"/>
      <c r="S110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07" s="136" t="str">
        <f>tbl_IO_List[[#This Row],[Instruement Tag]]&amp;"_"&amp;tbl_IO_List[[#This Row],[I/O Type]]&amp;"_"&amp;tbl_IO_List[[#This Row],[IO-Point 
(Instruement)]]</f>
        <v>ISV-61304_DI_1</v>
      </c>
      <c r="U1107" s="136" t="s">
        <v>8</v>
      </c>
      <c r="V1107" s="136">
        <f>VLOOKUP(tbl_IO_List[[#This Row],[I/O Type]],tbl_Slot_Group[],2,FALSE)</f>
        <v>1</v>
      </c>
      <c r="W1107" s="136">
        <v>1</v>
      </c>
      <c r="X1107" s="136" t="str">
        <f>tbl_IO_List[[#This Row],[Chassis]]&amp;"S"&amp;TEXT(tbl_IO_List[[#This Row],[Slot]],"00")</f>
        <v>C8S02</v>
      </c>
      <c r="Y1107" s="136" t="str">
        <f>tbl_IO_List[[#This Row],[Chassis]]&amp;"S"&amp;TEXT(tbl_IO_List[[#This Row],[Slot]],"00")&amp;tbl_IO_List[[#This Row],[I/O Type]]&amp;TEXT(tbl_IO_List[[#This Row],[Point]],"00")</f>
        <v>C8S02DI01</v>
      </c>
      <c r="Z1107" s="136" t="str">
        <f>tbl_IO_List[[#This Row],[Chassis]]&amp;"S"&amp;TEXT(tbl_IO_List[[#This Row],[Slot]],"00")&amp;","&amp;TEXT(tbl_IO_List[[#This Row],[Point]],"00")</f>
        <v>C8S02,01</v>
      </c>
      <c r="AA1107" s="136" t="e">
        <f>VLOOKUP(tbl_IO_List[[#This Row],[Column23]],tbl_RackConfig[],5,FALSE) &amp;"-"&amp;tbl_IO_List[[#This Row],[Point]]</f>
        <v>#N/A</v>
      </c>
      <c r="AB1107" s="136"/>
      <c r="AC1107" s="136"/>
      <c r="AD1107" s="136" t="str">
        <f>tbl_IO_List[[#This Row],[I/O Type]]</f>
        <v>DI</v>
      </c>
      <c r="AE1107" s="136" t="s">
        <v>1843</v>
      </c>
      <c r="AF1107" s="136">
        <v>2</v>
      </c>
      <c r="AG1107" s="136">
        <v>1</v>
      </c>
      <c r="AH1107" s="136"/>
      <c r="AI1107" s="136"/>
      <c r="AJ1107" s="136">
        <v>1</v>
      </c>
      <c r="AK1107" s="136">
        <v>0</v>
      </c>
      <c r="AL1107" s="136">
        <v>0</v>
      </c>
      <c r="AM1107" s="136">
        <v>0</v>
      </c>
      <c r="AN1107" s="136">
        <v>0</v>
      </c>
      <c r="AO1107" s="136"/>
      <c r="AP1107" s="143" t="str">
        <f>VLOOKUP(tbl_IO_List[[#This Row],[Instruement Tag]],tbl_Instruement_List[],14,FALSE)</f>
        <v>Dry Contact</v>
      </c>
      <c r="AQ1107" s="143" t="str">
        <f>tbl_IO_List[[#This Row],[Chassis]]&amp;"S"&amp;tbl_IO_List[[#This Row],[Slot]]&amp;"-"&amp;tbl_IO_List[[#This Row],[Front Terminal Number]]</f>
        <v>C8S2-</v>
      </c>
      <c r="AR1107" s="143"/>
      <c r="AS1107" s="136" t="str">
        <f>tbl_IO_List[[#This Row],[Terminal Tagging]]&amp;"-"&amp;tbl_IO_List[[#This Row],[Point-Count]]</f>
        <v>-</v>
      </c>
      <c r="AT1107" s="136" t="str">
        <f>tbl_IO_List[[#This Row],[Front Terminal Tagging]]&amp;"/"&amp;tbl_IO_List[[#This Row],[Terminal Tagging-Item]]</f>
        <v>C8S2-/-</v>
      </c>
      <c r="AU1107" s="136" t="str">
        <f>tbl_IO_List[[#This Row],[Terminal Tagging-Item]]&amp;"/"&amp;tbl_IO_List[[#This Row],[Front Terminal Tagging]]</f>
        <v>-/C8S2-</v>
      </c>
    </row>
    <row r="1108" spans="1:47" hidden="1">
      <c r="A1108" s="147" t="s">
        <v>1371</v>
      </c>
      <c r="B1108" s="136" t="s">
        <v>65</v>
      </c>
      <c r="C1108" s="136" t="str">
        <f>tbl_IO_List[[#This Row],[Column3]]</f>
        <v>C8S02,02</v>
      </c>
      <c r="D1108" s="136" t="e">
        <f>tbl_IO_List[[#This Row],[Card]]</f>
        <v>#N/A</v>
      </c>
      <c r="E1108" s="136" t="s">
        <v>1366</v>
      </c>
      <c r="F1108" s="136" t="str">
        <f>tbl_IO_List[[#This Row],[Column23]]&amp;"-" &amp;tbl_IO_List[[#This Row],[Column52]]</f>
        <v>C8S02-X1</v>
      </c>
      <c r="G1108" s="136" t="str">
        <f>tbl_IO_List[[#This Row],[PLC_Tag]]</f>
        <v>LSH-61304_DI_1</v>
      </c>
      <c r="H1108" s="136"/>
      <c r="I1108" s="136" t="str">
        <f>VLOOKUP(tbl_IO_List[[#This Row],[Destination]],tbl_Junction[],2,FALSE)</f>
        <v>Packing Tower 2th Floor</v>
      </c>
      <c r="J1108" s="136" t="s">
        <v>335</v>
      </c>
      <c r="K1108" s="136" t="s">
        <v>66</v>
      </c>
      <c r="L1108" s="136" t="s">
        <v>72</v>
      </c>
      <c r="M1108" s="136">
        <f>VLOOKUP(tbl_IO_List[[#This Row],[Instruement Tag]],tbl_Instruement_List[],2,FALSE)</f>
        <v>0</v>
      </c>
      <c r="N1108" s="136" t="s">
        <v>15</v>
      </c>
      <c r="O1108" s="136" t="s">
        <v>67</v>
      </c>
      <c r="P1108" s="136" t="s">
        <v>68</v>
      </c>
      <c r="Q1108" s="136" t="str">
        <f>VLOOKUP(tbl_IO_List[[#This Row],[Instruement Tag]],tbl_Instruement_List[],6,FALSE)</f>
        <v>Big bag level alarm high</v>
      </c>
      <c r="R1108" s="136"/>
      <c r="S110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08" s="136" t="str">
        <f>tbl_IO_List[[#This Row],[Instruement Tag]]&amp;"_"&amp;tbl_IO_List[[#This Row],[I/O Type]]&amp;"_"&amp;tbl_IO_List[[#This Row],[IO-Point 
(Instruement)]]</f>
        <v>LSH-61304_DI_1</v>
      </c>
      <c r="U1108" s="136" t="s">
        <v>8</v>
      </c>
      <c r="V1108" s="136">
        <f>VLOOKUP(tbl_IO_List[[#This Row],[I/O Type]],tbl_Slot_Group[],2,FALSE)</f>
        <v>1</v>
      </c>
      <c r="W1108" s="136">
        <v>1</v>
      </c>
      <c r="X1108" s="136" t="str">
        <f>tbl_IO_List[[#This Row],[Chassis]]&amp;"S"&amp;TEXT(tbl_IO_List[[#This Row],[Slot]],"00")</f>
        <v>C8S02</v>
      </c>
      <c r="Y1108" s="136" t="str">
        <f>tbl_IO_List[[#This Row],[Chassis]]&amp;"S"&amp;TEXT(tbl_IO_List[[#This Row],[Slot]],"00")&amp;tbl_IO_List[[#This Row],[I/O Type]]&amp;TEXT(tbl_IO_List[[#This Row],[Point]],"00")</f>
        <v>C8S02DI02</v>
      </c>
      <c r="Z1108" s="136" t="str">
        <f>tbl_IO_List[[#This Row],[Chassis]]&amp;"S"&amp;TEXT(tbl_IO_List[[#This Row],[Slot]],"00")&amp;","&amp;TEXT(tbl_IO_List[[#This Row],[Point]],"00")</f>
        <v>C8S02,02</v>
      </c>
      <c r="AA1108" s="136" t="e">
        <f>VLOOKUP(tbl_IO_List[[#This Row],[Column23]],tbl_RackConfig[],5,FALSE) &amp;"-"&amp;tbl_IO_List[[#This Row],[Point]]</f>
        <v>#N/A</v>
      </c>
      <c r="AB1108" s="136"/>
      <c r="AC1108" s="136"/>
      <c r="AD1108" s="136" t="str">
        <f>tbl_IO_List[[#This Row],[I/O Type]]</f>
        <v>DI</v>
      </c>
      <c r="AE1108" s="136" t="s">
        <v>1843</v>
      </c>
      <c r="AF1108" s="136">
        <v>2</v>
      </c>
      <c r="AG1108" s="136">
        <v>2</v>
      </c>
      <c r="AH1108" s="136"/>
      <c r="AI1108" s="136"/>
      <c r="AJ1108" s="136">
        <v>1</v>
      </c>
      <c r="AK1108" s="136">
        <v>0</v>
      </c>
      <c r="AL1108" s="136">
        <v>0</v>
      </c>
      <c r="AM1108" s="136">
        <v>0</v>
      </c>
      <c r="AN1108" s="136">
        <v>0</v>
      </c>
      <c r="AO1108" s="136"/>
      <c r="AP1108" s="143" t="str">
        <f>VLOOKUP(tbl_IO_List[[#This Row],[Instruement Tag]],tbl_Instruement_List[],14,FALSE)</f>
        <v>Dry Contact</v>
      </c>
      <c r="AQ1108" s="143" t="str">
        <f>tbl_IO_List[[#This Row],[Chassis]]&amp;"S"&amp;tbl_IO_List[[#This Row],[Slot]]&amp;"-"&amp;tbl_IO_List[[#This Row],[Front Terminal Number]]</f>
        <v>C8S2-</v>
      </c>
      <c r="AR1108" s="143"/>
      <c r="AS1108" s="136" t="str">
        <f>tbl_IO_List[[#This Row],[Terminal Tagging]]&amp;"-"&amp;tbl_IO_List[[#This Row],[Point-Count]]</f>
        <v>-</v>
      </c>
      <c r="AT1108" s="136" t="str">
        <f>tbl_IO_List[[#This Row],[Front Terminal Tagging]]&amp;"/"&amp;tbl_IO_List[[#This Row],[Terminal Tagging-Item]]</f>
        <v>C8S2-/-</v>
      </c>
      <c r="AU1108" s="136" t="str">
        <f>tbl_IO_List[[#This Row],[Terminal Tagging-Item]]&amp;"/"&amp;tbl_IO_List[[#This Row],[Front Terminal Tagging]]</f>
        <v>-/C8S2-</v>
      </c>
    </row>
    <row r="1109" spans="1:47" hidden="1">
      <c r="A1109" s="147" t="s">
        <v>1371</v>
      </c>
      <c r="B1109" s="136" t="s">
        <v>65</v>
      </c>
      <c r="C1109" s="136" t="str">
        <f>tbl_IO_List[[#This Row],[Column3]]</f>
        <v>C8S02,03</v>
      </c>
      <c r="D1109" s="136" t="e">
        <f>tbl_IO_List[[#This Row],[Card]]</f>
        <v>#N/A</v>
      </c>
      <c r="E1109" s="136" t="s">
        <v>1366</v>
      </c>
      <c r="F1109" s="136" t="str">
        <f>tbl_IO_List[[#This Row],[Column23]]&amp;"-" &amp;tbl_IO_List[[#This Row],[Column52]]</f>
        <v>C8S02-X1</v>
      </c>
      <c r="G1109" s="136" t="str">
        <f>tbl_IO_List[[#This Row],[PLC_Tag]]</f>
        <v>LSH-61305_DI_1</v>
      </c>
      <c r="H1109" s="136"/>
      <c r="I1109" s="136" t="str">
        <f>VLOOKUP(tbl_IO_List[[#This Row],[Destination]],tbl_Junction[],2,FALSE)</f>
        <v>Packing Tower 2th Floor</v>
      </c>
      <c r="J1109" s="136" t="s">
        <v>335</v>
      </c>
      <c r="K1109" s="136" t="s">
        <v>66</v>
      </c>
      <c r="L1109" s="136" t="s">
        <v>73</v>
      </c>
      <c r="M1109" s="136">
        <f>VLOOKUP(tbl_IO_List[[#This Row],[Instruement Tag]],tbl_Instruement_List[],2,FALSE)</f>
        <v>0</v>
      </c>
      <c r="N1109" s="136" t="s">
        <v>15</v>
      </c>
      <c r="O1109" s="136" t="s">
        <v>70</v>
      </c>
      <c r="P1109" s="136" t="s">
        <v>71</v>
      </c>
      <c r="Q1109" s="136" t="str">
        <f>VLOOKUP(tbl_IO_List[[#This Row],[Instruement Tag]],tbl_Instruement_List[],6,FALSE)</f>
        <v>Big bag level alarm high</v>
      </c>
      <c r="R1109" s="136"/>
      <c r="S110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09" s="136" t="str">
        <f>tbl_IO_List[[#This Row],[Instruement Tag]]&amp;"_"&amp;tbl_IO_List[[#This Row],[I/O Type]]&amp;"_"&amp;tbl_IO_List[[#This Row],[IO-Point 
(Instruement)]]</f>
        <v>LSH-61305_DI_1</v>
      </c>
      <c r="U1109" s="136" t="s">
        <v>8</v>
      </c>
      <c r="V1109" s="136">
        <f>VLOOKUP(tbl_IO_List[[#This Row],[I/O Type]],tbl_Slot_Group[],2,FALSE)</f>
        <v>1</v>
      </c>
      <c r="W1109" s="136">
        <v>1</v>
      </c>
      <c r="X1109" s="136" t="str">
        <f>tbl_IO_List[[#This Row],[Chassis]]&amp;"S"&amp;TEXT(tbl_IO_List[[#This Row],[Slot]],"00")</f>
        <v>C8S02</v>
      </c>
      <c r="Y1109" s="136" t="str">
        <f>tbl_IO_List[[#This Row],[Chassis]]&amp;"S"&amp;TEXT(tbl_IO_List[[#This Row],[Slot]],"00")&amp;tbl_IO_List[[#This Row],[I/O Type]]&amp;TEXT(tbl_IO_List[[#This Row],[Point]],"00")</f>
        <v>C8S02DI03</v>
      </c>
      <c r="Z1109" s="136" t="str">
        <f>tbl_IO_List[[#This Row],[Chassis]]&amp;"S"&amp;TEXT(tbl_IO_List[[#This Row],[Slot]],"00")&amp;","&amp;TEXT(tbl_IO_List[[#This Row],[Point]],"00")</f>
        <v>C8S02,03</v>
      </c>
      <c r="AA1109" s="136" t="e">
        <f>VLOOKUP(tbl_IO_List[[#This Row],[Column23]],tbl_RackConfig[],5,FALSE) &amp;"-"&amp;tbl_IO_List[[#This Row],[Point]]</f>
        <v>#N/A</v>
      </c>
      <c r="AB1109" s="136"/>
      <c r="AC1109" s="136"/>
      <c r="AD1109" s="136" t="str">
        <f>tbl_IO_List[[#This Row],[I/O Type]]</f>
        <v>DI</v>
      </c>
      <c r="AE1109" s="136" t="s">
        <v>1843</v>
      </c>
      <c r="AF1109" s="136">
        <v>2</v>
      </c>
      <c r="AG1109" s="136">
        <v>3</v>
      </c>
      <c r="AH1109" s="136"/>
      <c r="AI1109" s="136"/>
      <c r="AJ1109" s="136">
        <v>1</v>
      </c>
      <c r="AK1109" s="136">
        <v>0</v>
      </c>
      <c r="AL1109" s="136">
        <v>0</v>
      </c>
      <c r="AM1109" s="136">
        <v>0</v>
      </c>
      <c r="AN1109" s="136">
        <v>0</v>
      </c>
      <c r="AO1109" s="136"/>
      <c r="AP1109" s="143" t="str">
        <f>VLOOKUP(tbl_IO_List[[#This Row],[Instruement Tag]],tbl_Instruement_List[],14,FALSE)</f>
        <v>Dry Contact</v>
      </c>
      <c r="AQ1109" s="143" t="str">
        <f>tbl_IO_List[[#This Row],[Chassis]]&amp;"S"&amp;tbl_IO_List[[#This Row],[Slot]]&amp;"-"&amp;tbl_IO_List[[#This Row],[Front Terminal Number]]</f>
        <v>C8S2-</v>
      </c>
      <c r="AR1109" s="143"/>
      <c r="AS1109" s="136" t="str">
        <f>tbl_IO_List[[#This Row],[Terminal Tagging]]&amp;"-"&amp;tbl_IO_List[[#This Row],[Point-Count]]</f>
        <v>-</v>
      </c>
      <c r="AT1109" s="136" t="str">
        <f>tbl_IO_List[[#This Row],[Front Terminal Tagging]]&amp;"/"&amp;tbl_IO_List[[#This Row],[Terminal Tagging-Item]]</f>
        <v>C8S2-/-</v>
      </c>
      <c r="AU1109" s="136" t="str">
        <f>tbl_IO_List[[#This Row],[Terminal Tagging-Item]]&amp;"/"&amp;tbl_IO_List[[#This Row],[Front Terminal Tagging]]</f>
        <v>-/C8S2-</v>
      </c>
    </row>
    <row r="1110" spans="1:47" hidden="1">
      <c r="A1110" s="147" t="s">
        <v>1371</v>
      </c>
      <c r="B1110" s="136" t="s">
        <v>65</v>
      </c>
      <c r="C1110" s="136" t="str">
        <f>tbl_IO_List[[#This Row],[Column3]]</f>
        <v>C8S02,04</v>
      </c>
      <c r="D1110" s="136" t="e">
        <f>tbl_IO_List[[#This Row],[Card]]</f>
        <v>#N/A</v>
      </c>
      <c r="E1110" s="136" t="s">
        <v>1366</v>
      </c>
      <c r="F1110" s="136" t="str">
        <f>tbl_IO_List[[#This Row],[Column23]]&amp;"-" &amp;tbl_IO_List[[#This Row],[Column52]]</f>
        <v>C8S02-X1</v>
      </c>
      <c r="G1110" s="136" t="str">
        <f>tbl_IO_List[[#This Row],[PLC_Tag]]</f>
        <v>LSH-61307_DI_1</v>
      </c>
      <c r="H1110" s="136"/>
      <c r="I1110" s="136" t="str">
        <f>VLOOKUP(tbl_IO_List[[#This Row],[Destination]],tbl_Junction[],2,FALSE)</f>
        <v>Packing Tower 2th Floor</v>
      </c>
      <c r="J1110" s="136" t="s">
        <v>335</v>
      </c>
      <c r="K1110" s="136" t="s">
        <v>66</v>
      </c>
      <c r="L1110" s="136" t="s">
        <v>74</v>
      </c>
      <c r="M1110" s="136">
        <f>VLOOKUP(tbl_IO_List[[#This Row],[Instruement Tag]],tbl_Instruement_List[],2,FALSE)</f>
        <v>0</v>
      </c>
      <c r="N1110" s="136" t="s">
        <v>15</v>
      </c>
      <c r="O1110" s="136" t="s">
        <v>18</v>
      </c>
      <c r="P1110" s="136" t="s">
        <v>75</v>
      </c>
      <c r="Q1110" s="136" t="str">
        <f>VLOOKUP(tbl_IO_List[[#This Row],[Instruement Tag]],tbl_Instruement_List[],6,FALSE)</f>
        <v>High Level alarm reject screen</v>
      </c>
      <c r="R1110" s="136"/>
      <c r="S111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10" s="136" t="str">
        <f>tbl_IO_List[[#This Row],[Instruement Tag]]&amp;"_"&amp;tbl_IO_List[[#This Row],[I/O Type]]&amp;"_"&amp;tbl_IO_List[[#This Row],[IO-Point 
(Instruement)]]</f>
        <v>LSH-61307_DI_1</v>
      </c>
      <c r="U1110" s="136" t="s">
        <v>8</v>
      </c>
      <c r="V1110" s="136">
        <f>VLOOKUP(tbl_IO_List[[#This Row],[I/O Type]],tbl_Slot_Group[],2,FALSE)</f>
        <v>1</v>
      </c>
      <c r="W1110" s="136">
        <v>1</v>
      </c>
      <c r="X1110" s="136" t="str">
        <f>tbl_IO_List[[#This Row],[Chassis]]&amp;"S"&amp;TEXT(tbl_IO_List[[#This Row],[Slot]],"00")</f>
        <v>C8S02</v>
      </c>
      <c r="Y1110" s="136" t="str">
        <f>tbl_IO_List[[#This Row],[Chassis]]&amp;"S"&amp;TEXT(tbl_IO_List[[#This Row],[Slot]],"00")&amp;tbl_IO_List[[#This Row],[I/O Type]]&amp;TEXT(tbl_IO_List[[#This Row],[Point]],"00")</f>
        <v>C8S02DI04</v>
      </c>
      <c r="Z1110" s="136" t="str">
        <f>tbl_IO_List[[#This Row],[Chassis]]&amp;"S"&amp;TEXT(tbl_IO_List[[#This Row],[Slot]],"00")&amp;","&amp;TEXT(tbl_IO_List[[#This Row],[Point]],"00")</f>
        <v>C8S02,04</v>
      </c>
      <c r="AA1110" s="136" t="e">
        <f>VLOOKUP(tbl_IO_List[[#This Row],[Column23]],tbl_RackConfig[],5,FALSE) &amp;"-"&amp;tbl_IO_List[[#This Row],[Point]]</f>
        <v>#N/A</v>
      </c>
      <c r="AB1110" s="136"/>
      <c r="AC1110" s="136"/>
      <c r="AD1110" s="136" t="str">
        <f>tbl_IO_List[[#This Row],[I/O Type]]</f>
        <v>DI</v>
      </c>
      <c r="AE1110" s="136" t="s">
        <v>1843</v>
      </c>
      <c r="AF1110" s="136">
        <v>2</v>
      </c>
      <c r="AG1110" s="136">
        <v>4</v>
      </c>
      <c r="AH1110" s="136"/>
      <c r="AI1110" s="136"/>
      <c r="AJ1110" s="136">
        <v>1</v>
      </c>
      <c r="AK1110" s="136">
        <v>0</v>
      </c>
      <c r="AL1110" s="136">
        <v>0</v>
      </c>
      <c r="AM1110" s="136">
        <v>0</v>
      </c>
      <c r="AN1110" s="136">
        <v>0</v>
      </c>
      <c r="AO1110" s="136"/>
      <c r="AP1110" s="143" t="str">
        <f>VLOOKUP(tbl_IO_List[[#This Row],[Instruement Tag]],tbl_Instruement_List[],14,FALSE)</f>
        <v>Dry Contact</v>
      </c>
      <c r="AQ1110" s="143" t="str">
        <f>tbl_IO_List[[#This Row],[Chassis]]&amp;"S"&amp;tbl_IO_List[[#This Row],[Slot]]&amp;"-"&amp;tbl_IO_List[[#This Row],[Front Terminal Number]]</f>
        <v>C8S2-</v>
      </c>
      <c r="AR1110" s="143"/>
      <c r="AS1110" s="136" t="str">
        <f>tbl_IO_List[[#This Row],[Terminal Tagging]]&amp;"-"&amp;tbl_IO_List[[#This Row],[Point-Count]]</f>
        <v>-</v>
      </c>
      <c r="AT1110" s="136" t="str">
        <f>tbl_IO_List[[#This Row],[Front Terminal Tagging]]&amp;"/"&amp;tbl_IO_List[[#This Row],[Terminal Tagging-Item]]</f>
        <v>C8S2-/-</v>
      </c>
      <c r="AU1110" s="136" t="str">
        <f>tbl_IO_List[[#This Row],[Terminal Tagging-Item]]&amp;"/"&amp;tbl_IO_List[[#This Row],[Front Terminal Tagging]]</f>
        <v>-/C8S2-</v>
      </c>
    </row>
    <row r="1111" spans="1:47" hidden="1">
      <c r="A1111" s="147" t="s">
        <v>1371</v>
      </c>
      <c r="B1111" s="136" t="s">
        <v>65</v>
      </c>
      <c r="C1111" s="136" t="str">
        <f>tbl_IO_List[[#This Row],[Column3]]</f>
        <v>C8S02,05</v>
      </c>
      <c r="D1111" s="136" t="e">
        <f>tbl_IO_List[[#This Row],[Card]]</f>
        <v>#N/A</v>
      </c>
      <c r="E1111" s="136" t="s">
        <v>1366</v>
      </c>
      <c r="F1111" s="136" t="str">
        <f>tbl_IO_List[[#This Row],[Column23]]&amp;"-" &amp;tbl_IO_List[[#This Row],[Column52]]</f>
        <v>C8S02-X1</v>
      </c>
      <c r="G1111" s="136" t="str">
        <f>tbl_IO_List[[#This Row],[PLC_Tag]]</f>
        <v>LSH-61312_DI_1</v>
      </c>
      <c r="H1111" s="136"/>
      <c r="I1111" s="136" t="str">
        <f>VLOOKUP(tbl_IO_List[[#This Row],[Destination]],tbl_Junction[],2,FALSE)</f>
        <v>Packing Tower 2th Floor</v>
      </c>
      <c r="J1111" s="136" t="s">
        <v>335</v>
      </c>
      <c r="K1111" s="136" t="s">
        <v>66</v>
      </c>
      <c r="L1111" s="136" t="s">
        <v>76</v>
      </c>
      <c r="M1111" s="136">
        <f>VLOOKUP(tbl_IO_List[[#This Row],[Instruement Tag]],tbl_Instruement_List[],2,FALSE)</f>
        <v>0</v>
      </c>
      <c r="N1111" s="136" t="s">
        <v>24</v>
      </c>
      <c r="O1111" s="136" t="s">
        <v>70</v>
      </c>
      <c r="P1111" s="136" t="s">
        <v>71</v>
      </c>
      <c r="Q1111" s="136" t="str">
        <f>VLOOKUP(tbl_IO_List[[#This Row],[Instruement Tag]],tbl_Instruement_List[],6,FALSE)</f>
        <v>Level alarm high</v>
      </c>
      <c r="R1111" s="136"/>
      <c r="S111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11" s="136" t="str">
        <f>tbl_IO_List[[#This Row],[Instruement Tag]]&amp;"_"&amp;tbl_IO_List[[#This Row],[I/O Type]]&amp;"_"&amp;tbl_IO_List[[#This Row],[IO-Point 
(Instruement)]]</f>
        <v>LSH-61312_DI_1</v>
      </c>
      <c r="U1111" s="136" t="s">
        <v>8</v>
      </c>
      <c r="V1111" s="136">
        <f>VLOOKUP(tbl_IO_List[[#This Row],[I/O Type]],tbl_Slot_Group[],2,FALSE)</f>
        <v>1</v>
      </c>
      <c r="W1111" s="136">
        <v>1</v>
      </c>
      <c r="X1111" s="136" t="str">
        <f>tbl_IO_List[[#This Row],[Chassis]]&amp;"S"&amp;TEXT(tbl_IO_List[[#This Row],[Slot]],"00")</f>
        <v>C8S02</v>
      </c>
      <c r="Y1111" s="136" t="str">
        <f>tbl_IO_List[[#This Row],[Chassis]]&amp;"S"&amp;TEXT(tbl_IO_List[[#This Row],[Slot]],"00")&amp;tbl_IO_List[[#This Row],[I/O Type]]&amp;TEXT(tbl_IO_List[[#This Row],[Point]],"00")</f>
        <v>C8S02DI05</v>
      </c>
      <c r="Z1111" s="136" t="str">
        <f>tbl_IO_List[[#This Row],[Chassis]]&amp;"S"&amp;TEXT(tbl_IO_List[[#This Row],[Slot]],"00")&amp;","&amp;TEXT(tbl_IO_List[[#This Row],[Point]],"00")</f>
        <v>C8S02,05</v>
      </c>
      <c r="AA1111" s="136" t="e">
        <f>VLOOKUP(tbl_IO_List[[#This Row],[Column23]],tbl_RackConfig[],5,FALSE) &amp;"-"&amp;tbl_IO_List[[#This Row],[Point]]</f>
        <v>#N/A</v>
      </c>
      <c r="AB1111" s="136"/>
      <c r="AC1111" s="136"/>
      <c r="AD1111" s="136" t="str">
        <f>tbl_IO_List[[#This Row],[I/O Type]]</f>
        <v>DI</v>
      </c>
      <c r="AE1111" s="136" t="s">
        <v>1843</v>
      </c>
      <c r="AF1111" s="136">
        <v>2</v>
      </c>
      <c r="AG1111" s="136">
        <v>5</v>
      </c>
      <c r="AH1111" s="136"/>
      <c r="AI1111" s="136"/>
      <c r="AJ1111" s="136">
        <v>1</v>
      </c>
      <c r="AK1111" s="136">
        <v>0</v>
      </c>
      <c r="AL1111" s="136">
        <v>0</v>
      </c>
      <c r="AM1111" s="136">
        <v>0</v>
      </c>
      <c r="AN1111" s="136">
        <v>0</v>
      </c>
      <c r="AO1111" s="136"/>
      <c r="AP1111" s="143" t="str">
        <f>VLOOKUP(tbl_IO_List[[#This Row],[Instruement Tag]],tbl_Instruement_List[],14,FALSE)</f>
        <v>Dry Contact</v>
      </c>
      <c r="AQ1111" s="143" t="str">
        <f>tbl_IO_List[[#This Row],[Chassis]]&amp;"S"&amp;tbl_IO_List[[#This Row],[Slot]]&amp;"-"&amp;tbl_IO_List[[#This Row],[Front Terminal Number]]</f>
        <v>C8S2-</v>
      </c>
      <c r="AR1111" s="143"/>
      <c r="AS1111" s="136" t="str">
        <f>tbl_IO_List[[#This Row],[Terminal Tagging]]&amp;"-"&amp;tbl_IO_List[[#This Row],[Point-Count]]</f>
        <v>-</v>
      </c>
      <c r="AT1111" s="136" t="str">
        <f>tbl_IO_List[[#This Row],[Front Terminal Tagging]]&amp;"/"&amp;tbl_IO_List[[#This Row],[Terminal Tagging-Item]]</f>
        <v>C8S2-/-</v>
      </c>
      <c r="AU1111" s="136" t="str">
        <f>tbl_IO_List[[#This Row],[Terminal Tagging-Item]]&amp;"/"&amp;tbl_IO_List[[#This Row],[Front Terminal Tagging]]</f>
        <v>-/C8S2-</v>
      </c>
    </row>
    <row r="1112" spans="1:47" hidden="1">
      <c r="A1112" s="147" t="s">
        <v>1371</v>
      </c>
      <c r="B1112" s="136" t="s">
        <v>65</v>
      </c>
      <c r="C1112" s="136" t="str">
        <f>tbl_IO_List[[#This Row],[Column3]]</f>
        <v>C8S02,06</v>
      </c>
      <c r="D1112" s="136" t="e">
        <f>tbl_IO_List[[#This Row],[Card]]</f>
        <v>#N/A</v>
      </c>
      <c r="E1112" s="136" t="s">
        <v>1366</v>
      </c>
      <c r="F1112" s="136" t="str">
        <f>tbl_IO_List[[#This Row],[Column23]]&amp;"-" &amp;tbl_IO_List[[#This Row],[Column52]]</f>
        <v>C8S02-X1</v>
      </c>
      <c r="G1112" s="136" t="str">
        <f>tbl_IO_List[[#This Row],[PLC_Tag]]</f>
        <v>PSE-61302_DI_1</v>
      </c>
      <c r="H1112" s="136"/>
      <c r="I1112" s="136" t="str">
        <f>VLOOKUP(tbl_IO_List[[#This Row],[Destination]],tbl_Junction[],2,FALSE)</f>
        <v>Packing Tower 2th Floor</v>
      </c>
      <c r="J1112" s="136" t="s">
        <v>335</v>
      </c>
      <c r="K1112" s="136" t="s">
        <v>66</v>
      </c>
      <c r="L1112" s="136" t="s">
        <v>80</v>
      </c>
      <c r="M1112" s="136">
        <f>VLOOKUP(tbl_IO_List[[#This Row],[Instruement Tag]],tbl_Instruement_List[],2,FALSE)</f>
        <v>0</v>
      </c>
      <c r="N1112" s="136" t="s">
        <v>24</v>
      </c>
      <c r="O1112" s="136" t="s">
        <v>67</v>
      </c>
      <c r="P1112" s="136" t="s">
        <v>68</v>
      </c>
      <c r="Q1112" s="136" t="str">
        <f>VLOOKUP(tbl_IO_List[[#This Row],[Instruement Tag]],tbl_Instruement_List[],6,FALSE)</f>
        <v>Explosion Vent PSE-61302</v>
      </c>
      <c r="R1112" s="136"/>
      <c r="S111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12" s="136" t="str">
        <f>tbl_IO_List[[#This Row],[Instruement Tag]]&amp;"_"&amp;tbl_IO_List[[#This Row],[I/O Type]]&amp;"_"&amp;tbl_IO_List[[#This Row],[IO-Point 
(Instruement)]]</f>
        <v>PSE-61302_DI_1</v>
      </c>
      <c r="U1112" s="136" t="s">
        <v>8</v>
      </c>
      <c r="V1112" s="136">
        <f>VLOOKUP(tbl_IO_List[[#This Row],[I/O Type]],tbl_Slot_Group[],2,FALSE)</f>
        <v>1</v>
      </c>
      <c r="W1112" s="136">
        <v>1</v>
      </c>
      <c r="X1112" s="136" t="str">
        <f>tbl_IO_List[[#This Row],[Chassis]]&amp;"S"&amp;TEXT(tbl_IO_List[[#This Row],[Slot]],"00")</f>
        <v>C8S02</v>
      </c>
      <c r="Y1112" s="136" t="str">
        <f>tbl_IO_List[[#This Row],[Chassis]]&amp;"S"&amp;TEXT(tbl_IO_List[[#This Row],[Slot]],"00")&amp;tbl_IO_List[[#This Row],[I/O Type]]&amp;TEXT(tbl_IO_List[[#This Row],[Point]],"00")</f>
        <v>C8S02DI06</v>
      </c>
      <c r="Z1112" s="136" t="str">
        <f>tbl_IO_List[[#This Row],[Chassis]]&amp;"S"&amp;TEXT(tbl_IO_List[[#This Row],[Slot]],"00")&amp;","&amp;TEXT(tbl_IO_List[[#This Row],[Point]],"00")</f>
        <v>C8S02,06</v>
      </c>
      <c r="AA1112" s="136" t="e">
        <f>VLOOKUP(tbl_IO_List[[#This Row],[Column23]],tbl_RackConfig[],5,FALSE) &amp;"-"&amp;tbl_IO_List[[#This Row],[Point]]</f>
        <v>#N/A</v>
      </c>
      <c r="AB1112" s="136"/>
      <c r="AC1112" s="136"/>
      <c r="AD1112" s="136" t="str">
        <f>tbl_IO_List[[#This Row],[I/O Type]]</f>
        <v>DI</v>
      </c>
      <c r="AE1112" s="136" t="s">
        <v>1843</v>
      </c>
      <c r="AF1112" s="136">
        <v>2</v>
      </c>
      <c r="AG1112" s="136">
        <v>6</v>
      </c>
      <c r="AH1112" s="136"/>
      <c r="AI1112" s="136"/>
      <c r="AJ1112" s="136">
        <v>1</v>
      </c>
      <c r="AK1112" s="136">
        <v>0</v>
      </c>
      <c r="AL1112" s="136">
        <v>0</v>
      </c>
      <c r="AM1112" s="136">
        <v>0</v>
      </c>
      <c r="AN1112" s="136">
        <v>0</v>
      </c>
      <c r="AO1112" s="136"/>
      <c r="AP1112" s="143" t="str">
        <f>VLOOKUP(tbl_IO_List[[#This Row],[Instruement Tag]],tbl_Instruement_List[],14,FALSE)</f>
        <v>Dry Contact</v>
      </c>
      <c r="AQ1112" s="143" t="str">
        <f>tbl_IO_List[[#This Row],[Chassis]]&amp;"S"&amp;tbl_IO_List[[#This Row],[Slot]]&amp;"-"&amp;tbl_IO_List[[#This Row],[Front Terminal Number]]</f>
        <v>C8S2-</v>
      </c>
      <c r="AR1112" s="143"/>
      <c r="AS1112" s="136" t="str">
        <f>tbl_IO_List[[#This Row],[Terminal Tagging]]&amp;"-"&amp;tbl_IO_List[[#This Row],[Point-Count]]</f>
        <v>-</v>
      </c>
      <c r="AT1112" s="136" t="str">
        <f>tbl_IO_List[[#This Row],[Front Terminal Tagging]]&amp;"/"&amp;tbl_IO_List[[#This Row],[Terminal Tagging-Item]]</f>
        <v>C8S2-/-</v>
      </c>
      <c r="AU1112" s="136" t="str">
        <f>tbl_IO_List[[#This Row],[Terminal Tagging-Item]]&amp;"/"&amp;tbl_IO_List[[#This Row],[Front Terminal Tagging]]</f>
        <v>-/C8S2-</v>
      </c>
    </row>
    <row r="1113" spans="1:47" hidden="1">
      <c r="A1113" s="147" t="s">
        <v>1371</v>
      </c>
      <c r="B1113" s="136" t="s">
        <v>65</v>
      </c>
      <c r="C1113" s="136" t="str">
        <f>tbl_IO_List[[#This Row],[Column3]]</f>
        <v>C8S02,07</v>
      </c>
      <c r="D1113" s="136" t="e">
        <f>tbl_IO_List[[#This Row],[Card]]</f>
        <v>#N/A</v>
      </c>
      <c r="E1113" s="136" t="s">
        <v>1366</v>
      </c>
      <c r="F1113" s="136" t="str">
        <f>tbl_IO_List[[#This Row],[Column23]]&amp;"-" &amp;tbl_IO_List[[#This Row],[Column52]]</f>
        <v>C8S02-X1</v>
      </c>
      <c r="G1113" s="136" t="str">
        <f>tbl_IO_List[[#This Row],[PLC_Tag]]</f>
        <v>PSE-61303_DI_1</v>
      </c>
      <c r="H1113" s="136"/>
      <c r="I1113" s="136" t="str">
        <f>VLOOKUP(tbl_IO_List[[#This Row],[Destination]],tbl_Junction[],2,FALSE)</f>
        <v>Packing Tower 2th Floor</v>
      </c>
      <c r="J1113" s="136" t="s">
        <v>335</v>
      </c>
      <c r="K1113" s="136" t="s">
        <v>66</v>
      </c>
      <c r="L1113" s="136" t="s">
        <v>81</v>
      </c>
      <c r="M1113" s="136">
        <f>VLOOKUP(tbl_IO_List[[#This Row],[Instruement Tag]],tbl_Instruement_List[],2,FALSE)</f>
        <v>0</v>
      </c>
      <c r="N1113" s="136" t="s">
        <v>24</v>
      </c>
      <c r="O1113" s="136" t="s">
        <v>70</v>
      </c>
      <c r="P1113" s="136" t="s">
        <v>71</v>
      </c>
      <c r="Q1113" s="136" t="str">
        <f>VLOOKUP(tbl_IO_List[[#This Row],[Instruement Tag]],tbl_Instruement_List[],6,FALSE)</f>
        <v>Explosion Vent PSE-61303</v>
      </c>
      <c r="R1113" s="136"/>
      <c r="S111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13" s="136" t="str">
        <f>tbl_IO_List[[#This Row],[Instruement Tag]]&amp;"_"&amp;tbl_IO_List[[#This Row],[I/O Type]]&amp;"_"&amp;tbl_IO_List[[#This Row],[IO-Point 
(Instruement)]]</f>
        <v>PSE-61303_DI_1</v>
      </c>
      <c r="U1113" s="136" t="s">
        <v>8</v>
      </c>
      <c r="V1113" s="136">
        <f>VLOOKUP(tbl_IO_List[[#This Row],[I/O Type]],tbl_Slot_Group[],2,FALSE)</f>
        <v>1</v>
      </c>
      <c r="W1113" s="136">
        <v>1</v>
      </c>
      <c r="X1113" s="136" t="str">
        <f>tbl_IO_List[[#This Row],[Chassis]]&amp;"S"&amp;TEXT(tbl_IO_List[[#This Row],[Slot]],"00")</f>
        <v>C8S02</v>
      </c>
      <c r="Y1113" s="136" t="str">
        <f>tbl_IO_List[[#This Row],[Chassis]]&amp;"S"&amp;TEXT(tbl_IO_List[[#This Row],[Slot]],"00")&amp;tbl_IO_List[[#This Row],[I/O Type]]&amp;TEXT(tbl_IO_List[[#This Row],[Point]],"00")</f>
        <v>C8S02DI07</v>
      </c>
      <c r="Z1113" s="136" t="str">
        <f>tbl_IO_List[[#This Row],[Chassis]]&amp;"S"&amp;TEXT(tbl_IO_List[[#This Row],[Slot]],"00")&amp;","&amp;TEXT(tbl_IO_List[[#This Row],[Point]],"00")</f>
        <v>C8S02,07</v>
      </c>
      <c r="AA1113" s="136" t="e">
        <f>VLOOKUP(tbl_IO_List[[#This Row],[Column23]],tbl_RackConfig[],5,FALSE) &amp;"-"&amp;tbl_IO_List[[#This Row],[Point]]</f>
        <v>#N/A</v>
      </c>
      <c r="AB1113" s="136"/>
      <c r="AC1113" s="136"/>
      <c r="AD1113" s="136" t="str">
        <f>tbl_IO_List[[#This Row],[I/O Type]]</f>
        <v>DI</v>
      </c>
      <c r="AE1113" s="136" t="s">
        <v>1843</v>
      </c>
      <c r="AF1113" s="136">
        <v>2</v>
      </c>
      <c r="AG1113" s="136">
        <v>7</v>
      </c>
      <c r="AH1113" s="136"/>
      <c r="AI1113" s="136"/>
      <c r="AJ1113" s="136">
        <v>1</v>
      </c>
      <c r="AK1113" s="136">
        <v>0</v>
      </c>
      <c r="AL1113" s="136">
        <v>0</v>
      </c>
      <c r="AM1113" s="136">
        <v>0</v>
      </c>
      <c r="AN1113" s="136">
        <v>0</v>
      </c>
      <c r="AO1113" s="136"/>
      <c r="AP1113" s="143" t="str">
        <f>VLOOKUP(tbl_IO_List[[#This Row],[Instruement Tag]],tbl_Instruement_List[],14,FALSE)</f>
        <v>Dry Contact</v>
      </c>
      <c r="AQ1113" s="143" t="str">
        <f>tbl_IO_List[[#This Row],[Chassis]]&amp;"S"&amp;tbl_IO_List[[#This Row],[Slot]]&amp;"-"&amp;tbl_IO_List[[#This Row],[Front Terminal Number]]</f>
        <v>C8S2-</v>
      </c>
      <c r="AR1113" s="143"/>
      <c r="AS1113" s="136" t="str">
        <f>tbl_IO_List[[#This Row],[Terminal Tagging]]&amp;"-"&amp;tbl_IO_List[[#This Row],[Point-Count]]</f>
        <v>-</v>
      </c>
      <c r="AT1113" s="136" t="str">
        <f>tbl_IO_List[[#This Row],[Front Terminal Tagging]]&amp;"/"&amp;tbl_IO_List[[#This Row],[Terminal Tagging-Item]]</f>
        <v>C8S2-/-</v>
      </c>
      <c r="AU1113" s="136" t="str">
        <f>tbl_IO_List[[#This Row],[Terminal Tagging-Item]]&amp;"/"&amp;tbl_IO_List[[#This Row],[Front Terminal Tagging]]</f>
        <v>-/C8S2-</v>
      </c>
    </row>
    <row r="1114" spans="1:47" hidden="1">
      <c r="A1114" s="147" t="s">
        <v>1371</v>
      </c>
      <c r="B1114" s="136" t="s">
        <v>65</v>
      </c>
      <c r="C1114" s="136" t="str">
        <f>tbl_IO_List[[#This Row],[Column3]]</f>
        <v>C8S02,09</v>
      </c>
      <c r="D1114" s="136" t="e">
        <f>tbl_IO_List[[#This Row],[Card]]</f>
        <v>#N/A</v>
      </c>
      <c r="E1114" s="136" t="s">
        <v>1366</v>
      </c>
      <c r="F1114" s="136" t="str">
        <f>tbl_IO_List[[#This Row],[Column23]]&amp;"-" &amp;tbl_IO_List[[#This Row],[Column52]]</f>
        <v>C8S02-X1</v>
      </c>
      <c r="G1114" s="136" t="str">
        <f>tbl_IO_List[[#This Row],[PLC_Tag]]</f>
        <v>RV-61301_DI_1</v>
      </c>
      <c r="H1114" s="136"/>
      <c r="I1114" s="136" t="str">
        <f>VLOOKUP(tbl_IO_List[[#This Row],[Destination]],tbl_Junction[],2,FALSE)</f>
        <v>Packing Tower 2th Floor</v>
      </c>
      <c r="J1114" s="136" t="s">
        <v>335</v>
      </c>
      <c r="K1114" s="136" t="s">
        <v>66</v>
      </c>
      <c r="L1114" s="136" t="s">
        <v>86</v>
      </c>
      <c r="M1114" s="136" t="e">
        <f>VLOOKUP(tbl_IO_List[[#This Row],[Instruement Tag]],tbl_Instruement_List[],2,FALSE)</f>
        <v>#N/A</v>
      </c>
      <c r="N1114" s="136" t="s">
        <v>24</v>
      </c>
      <c r="O1114" s="136" t="s">
        <v>18</v>
      </c>
      <c r="P1114" s="136" t="s">
        <v>18</v>
      </c>
      <c r="Q1114" s="136" t="e">
        <f>VLOOKUP(tbl_IO_List[[#This Row],[Instruement Tag]],tbl_Instruement_List[],6,FALSE)</f>
        <v>#N/A</v>
      </c>
      <c r="R1114" s="136"/>
      <c r="S111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14" s="136" t="str">
        <f>tbl_IO_List[[#This Row],[Instruement Tag]]&amp;"_"&amp;tbl_IO_List[[#This Row],[I/O Type]]&amp;"_"&amp;tbl_IO_List[[#This Row],[IO-Point 
(Instruement)]]</f>
        <v>RV-61301_DI_1</v>
      </c>
      <c r="U1114" s="136" t="s">
        <v>8</v>
      </c>
      <c r="V1114" s="136">
        <f>VLOOKUP(tbl_IO_List[[#This Row],[I/O Type]],tbl_Slot_Group[],2,FALSE)</f>
        <v>1</v>
      </c>
      <c r="W1114" s="136">
        <v>1</v>
      </c>
      <c r="X1114" s="136" t="str">
        <f>tbl_IO_List[[#This Row],[Chassis]]&amp;"S"&amp;TEXT(tbl_IO_List[[#This Row],[Slot]],"00")</f>
        <v>C8S02</v>
      </c>
      <c r="Y1114" s="136" t="str">
        <f>tbl_IO_List[[#This Row],[Chassis]]&amp;"S"&amp;TEXT(tbl_IO_List[[#This Row],[Slot]],"00")&amp;tbl_IO_List[[#This Row],[I/O Type]]&amp;TEXT(tbl_IO_List[[#This Row],[Point]],"00")</f>
        <v>C8S02DI09</v>
      </c>
      <c r="Z1114" s="136" t="str">
        <f>tbl_IO_List[[#This Row],[Chassis]]&amp;"S"&amp;TEXT(tbl_IO_List[[#This Row],[Slot]],"00")&amp;","&amp;TEXT(tbl_IO_List[[#This Row],[Point]],"00")</f>
        <v>C8S02,09</v>
      </c>
      <c r="AA1114" s="136" t="e">
        <f>VLOOKUP(tbl_IO_List[[#This Row],[Column23]],tbl_RackConfig[],5,FALSE) &amp;"-"&amp;tbl_IO_List[[#This Row],[Point]]</f>
        <v>#N/A</v>
      </c>
      <c r="AB1114" s="136"/>
      <c r="AC1114" s="136"/>
      <c r="AD1114" s="136" t="str">
        <f>tbl_IO_List[[#This Row],[I/O Type]]</f>
        <v>DI</v>
      </c>
      <c r="AE1114" s="136" t="s">
        <v>1843</v>
      </c>
      <c r="AF1114" s="136">
        <v>2</v>
      </c>
      <c r="AG1114" s="136">
        <v>9</v>
      </c>
      <c r="AH1114" s="136"/>
      <c r="AI1114" s="136"/>
      <c r="AJ1114" s="136">
        <v>1</v>
      </c>
      <c r="AK1114" s="136">
        <v>0</v>
      </c>
      <c r="AL1114" s="136">
        <v>0</v>
      </c>
      <c r="AM1114" s="136">
        <v>0</v>
      </c>
      <c r="AN1114" s="136">
        <v>0</v>
      </c>
      <c r="AO1114" s="136"/>
      <c r="AP1114" s="143" t="e">
        <f>VLOOKUP(tbl_IO_List[[#This Row],[Instruement Tag]],tbl_Instruement_List[],14,FALSE)</f>
        <v>#N/A</v>
      </c>
      <c r="AQ1114" s="143" t="str">
        <f>tbl_IO_List[[#This Row],[Chassis]]&amp;"S"&amp;tbl_IO_List[[#This Row],[Slot]]&amp;"-"&amp;tbl_IO_List[[#This Row],[Front Terminal Number]]</f>
        <v>C8S2-</v>
      </c>
      <c r="AR1114" s="143"/>
      <c r="AS1114" s="136" t="str">
        <f>tbl_IO_List[[#This Row],[Terminal Tagging]]&amp;"-"&amp;tbl_IO_List[[#This Row],[Point-Count]]</f>
        <v>-</v>
      </c>
      <c r="AT1114" s="136" t="str">
        <f>tbl_IO_List[[#This Row],[Front Terminal Tagging]]&amp;"/"&amp;tbl_IO_List[[#This Row],[Terminal Tagging-Item]]</f>
        <v>C8S2-/-</v>
      </c>
      <c r="AU1114" s="136" t="str">
        <f>tbl_IO_List[[#This Row],[Terminal Tagging-Item]]&amp;"/"&amp;tbl_IO_List[[#This Row],[Front Terminal Tagging]]</f>
        <v>-/C8S2-</v>
      </c>
    </row>
    <row r="1115" spans="1:47" hidden="1">
      <c r="A1115" s="147" t="s">
        <v>1371</v>
      </c>
      <c r="B1115" s="136" t="s">
        <v>65</v>
      </c>
      <c r="C1115" s="136" t="str">
        <f>tbl_IO_List[[#This Row],[Column3]]</f>
        <v>C8S02,10</v>
      </c>
      <c r="D1115" s="136" t="e">
        <f>tbl_IO_List[[#This Row],[Card]]</f>
        <v>#N/A</v>
      </c>
      <c r="E1115" s="136" t="s">
        <v>1366</v>
      </c>
      <c r="F1115" s="136" t="str">
        <f>tbl_IO_List[[#This Row],[Column23]]&amp;"-" &amp;tbl_IO_List[[#This Row],[Column52]]</f>
        <v>C8S02-X1</v>
      </c>
      <c r="G1115" s="136" t="str">
        <f>tbl_IO_List[[#This Row],[PLC_Tag]]</f>
        <v>RV-61304_DI_1</v>
      </c>
      <c r="H1115" s="136"/>
      <c r="I1115" s="136" t="str">
        <f>VLOOKUP(tbl_IO_List[[#This Row],[Destination]],tbl_Junction[],2,FALSE)</f>
        <v>Packing Tower 2th Floor</v>
      </c>
      <c r="J1115" s="136" t="s">
        <v>335</v>
      </c>
      <c r="K1115" s="136" t="s">
        <v>66</v>
      </c>
      <c r="L1115" s="136" t="s">
        <v>88</v>
      </c>
      <c r="M1115" s="136" t="e">
        <f>VLOOKUP(tbl_IO_List[[#This Row],[Instruement Tag]],tbl_Instruement_List[],2,FALSE)</f>
        <v>#N/A</v>
      </c>
      <c r="N1115" s="136" t="s">
        <v>24</v>
      </c>
      <c r="O1115" s="136" t="s">
        <v>18</v>
      </c>
      <c r="P1115" s="136" t="s">
        <v>18</v>
      </c>
      <c r="Q1115" s="136" t="e">
        <f>VLOOKUP(tbl_IO_List[[#This Row],[Instruement Tag]],tbl_Instruement_List[],6,FALSE)</f>
        <v>#N/A</v>
      </c>
      <c r="R1115" s="136"/>
      <c r="S111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15" s="136" t="str">
        <f>tbl_IO_List[[#This Row],[Instruement Tag]]&amp;"_"&amp;tbl_IO_List[[#This Row],[I/O Type]]&amp;"_"&amp;tbl_IO_List[[#This Row],[IO-Point 
(Instruement)]]</f>
        <v>RV-61304_DI_1</v>
      </c>
      <c r="U1115" s="136" t="s">
        <v>8</v>
      </c>
      <c r="V1115" s="136">
        <f>VLOOKUP(tbl_IO_List[[#This Row],[I/O Type]],tbl_Slot_Group[],2,FALSE)</f>
        <v>1</v>
      </c>
      <c r="W1115" s="136">
        <v>1</v>
      </c>
      <c r="X1115" s="136" t="str">
        <f>tbl_IO_List[[#This Row],[Chassis]]&amp;"S"&amp;TEXT(tbl_IO_List[[#This Row],[Slot]],"00")</f>
        <v>C8S02</v>
      </c>
      <c r="Y1115" s="136" t="str">
        <f>tbl_IO_List[[#This Row],[Chassis]]&amp;"S"&amp;TEXT(tbl_IO_List[[#This Row],[Slot]],"00")&amp;tbl_IO_List[[#This Row],[I/O Type]]&amp;TEXT(tbl_IO_List[[#This Row],[Point]],"00")</f>
        <v>C8S02DI10</v>
      </c>
      <c r="Z1115" s="136" t="str">
        <f>tbl_IO_List[[#This Row],[Chassis]]&amp;"S"&amp;TEXT(tbl_IO_List[[#This Row],[Slot]],"00")&amp;","&amp;TEXT(tbl_IO_List[[#This Row],[Point]],"00")</f>
        <v>C8S02,10</v>
      </c>
      <c r="AA1115" s="136" t="e">
        <f>VLOOKUP(tbl_IO_List[[#This Row],[Column23]],tbl_RackConfig[],5,FALSE) &amp;"-"&amp;tbl_IO_List[[#This Row],[Point]]</f>
        <v>#N/A</v>
      </c>
      <c r="AB1115" s="136"/>
      <c r="AC1115" s="136"/>
      <c r="AD1115" s="136" t="str">
        <f>tbl_IO_List[[#This Row],[I/O Type]]</f>
        <v>DI</v>
      </c>
      <c r="AE1115" s="136" t="s">
        <v>1843</v>
      </c>
      <c r="AF1115" s="136">
        <v>2</v>
      </c>
      <c r="AG1115" s="136">
        <v>10</v>
      </c>
      <c r="AH1115" s="136"/>
      <c r="AI1115" s="136"/>
      <c r="AJ1115" s="136">
        <v>1</v>
      </c>
      <c r="AK1115" s="136">
        <v>0</v>
      </c>
      <c r="AL1115" s="136">
        <v>0</v>
      </c>
      <c r="AM1115" s="136">
        <v>0</v>
      </c>
      <c r="AN1115" s="136">
        <v>0</v>
      </c>
      <c r="AO1115" s="136"/>
      <c r="AP1115" s="143" t="e">
        <f>VLOOKUP(tbl_IO_List[[#This Row],[Instruement Tag]],tbl_Instruement_List[],14,FALSE)</f>
        <v>#N/A</v>
      </c>
      <c r="AQ1115" s="143" t="str">
        <f>tbl_IO_List[[#This Row],[Chassis]]&amp;"S"&amp;tbl_IO_List[[#This Row],[Slot]]&amp;"-"&amp;tbl_IO_List[[#This Row],[Front Terminal Number]]</f>
        <v>C8S2-</v>
      </c>
      <c r="AR1115" s="143"/>
      <c r="AS1115" s="136" t="str">
        <f>tbl_IO_List[[#This Row],[Terminal Tagging]]&amp;"-"&amp;tbl_IO_List[[#This Row],[Point-Count]]</f>
        <v>-</v>
      </c>
      <c r="AT1115" s="136" t="str">
        <f>tbl_IO_List[[#This Row],[Front Terminal Tagging]]&amp;"/"&amp;tbl_IO_List[[#This Row],[Terminal Tagging-Item]]</f>
        <v>C8S2-/-</v>
      </c>
      <c r="AU1115" s="136" t="str">
        <f>tbl_IO_List[[#This Row],[Terminal Tagging-Item]]&amp;"/"&amp;tbl_IO_List[[#This Row],[Front Terminal Tagging]]</f>
        <v>-/C8S2-</v>
      </c>
    </row>
    <row r="1116" spans="1:47" hidden="1">
      <c r="A1116" s="147" t="s">
        <v>1371</v>
      </c>
      <c r="B1116" s="136" t="s">
        <v>65</v>
      </c>
      <c r="C1116" s="136" t="str">
        <f>tbl_IO_List[[#This Row],[Column3]]</f>
        <v>C8S02,11</v>
      </c>
      <c r="D1116" s="136" t="e">
        <f>tbl_IO_List[[#This Row],[Card]]</f>
        <v>#N/A</v>
      </c>
      <c r="E1116" s="136" t="s">
        <v>1366</v>
      </c>
      <c r="F1116" s="136" t="str">
        <f>tbl_IO_List[[#This Row],[Column23]]&amp;"-" &amp;tbl_IO_List[[#This Row],[Column52]]</f>
        <v>C8S02-X1</v>
      </c>
      <c r="G1116" s="136" t="str">
        <f>tbl_IO_List[[#This Row],[PLC_Tag]]</f>
        <v>RV-61305_DI_1</v>
      </c>
      <c r="H1116" s="136"/>
      <c r="I1116" s="136" t="str">
        <f>VLOOKUP(tbl_IO_List[[#This Row],[Destination]],tbl_Junction[],2,FALSE)</f>
        <v>Packing Tower 2th Floor</v>
      </c>
      <c r="J1116" s="136" t="s">
        <v>335</v>
      </c>
      <c r="K1116" s="136" t="s">
        <v>66</v>
      </c>
      <c r="L1116" s="136" t="s">
        <v>87</v>
      </c>
      <c r="M1116" s="136" t="e">
        <f>VLOOKUP(tbl_IO_List[[#This Row],[Instruement Tag]],tbl_Instruement_List[],2,FALSE)</f>
        <v>#N/A</v>
      </c>
      <c r="N1116" s="136" t="s">
        <v>24</v>
      </c>
      <c r="O1116" s="136" t="s">
        <v>18</v>
      </c>
      <c r="P1116" s="136" t="s">
        <v>18</v>
      </c>
      <c r="Q1116" s="136" t="e">
        <f>VLOOKUP(tbl_IO_List[[#This Row],[Instruement Tag]],tbl_Instruement_List[],6,FALSE)</f>
        <v>#N/A</v>
      </c>
      <c r="R1116" s="136"/>
      <c r="S111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16" s="136" t="str">
        <f>tbl_IO_List[[#This Row],[Instruement Tag]]&amp;"_"&amp;tbl_IO_List[[#This Row],[I/O Type]]&amp;"_"&amp;tbl_IO_List[[#This Row],[IO-Point 
(Instruement)]]</f>
        <v>RV-61305_DI_1</v>
      </c>
      <c r="U1116" s="136" t="s">
        <v>8</v>
      </c>
      <c r="V1116" s="136">
        <f>VLOOKUP(tbl_IO_List[[#This Row],[I/O Type]],tbl_Slot_Group[],2,FALSE)</f>
        <v>1</v>
      </c>
      <c r="W1116" s="136">
        <v>1</v>
      </c>
      <c r="X1116" s="136" t="str">
        <f>tbl_IO_List[[#This Row],[Chassis]]&amp;"S"&amp;TEXT(tbl_IO_List[[#This Row],[Slot]],"00")</f>
        <v>C8S02</v>
      </c>
      <c r="Y1116" s="136" t="str">
        <f>tbl_IO_List[[#This Row],[Chassis]]&amp;"S"&amp;TEXT(tbl_IO_List[[#This Row],[Slot]],"00")&amp;tbl_IO_List[[#This Row],[I/O Type]]&amp;TEXT(tbl_IO_List[[#This Row],[Point]],"00")</f>
        <v>C8S02DI11</v>
      </c>
      <c r="Z1116" s="136" t="str">
        <f>tbl_IO_List[[#This Row],[Chassis]]&amp;"S"&amp;TEXT(tbl_IO_List[[#This Row],[Slot]],"00")&amp;","&amp;TEXT(tbl_IO_List[[#This Row],[Point]],"00")</f>
        <v>C8S02,11</v>
      </c>
      <c r="AA1116" s="136" t="e">
        <f>VLOOKUP(tbl_IO_List[[#This Row],[Column23]],tbl_RackConfig[],5,FALSE) &amp;"-"&amp;tbl_IO_List[[#This Row],[Point]]</f>
        <v>#N/A</v>
      </c>
      <c r="AB1116" s="136"/>
      <c r="AC1116" s="136"/>
      <c r="AD1116" s="136" t="str">
        <f>tbl_IO_List[[#This Row],[I/O Type]]</f>
        <v>DI</v>
      </c>
      <c r="AE1116" s="136" t="s">
        <v>1843</v>
      </c>
      <c r="AF1116" s="136">
        <v>2</v>
      </c>
      <c r="AG1116" s="136">
        <v>11</v>
      </c>
      <c r="AH1116" s="136"/>
      <c r="AI1116" s="136"/>
      <c r="AJ1116" s="136">
        <v>1</v>
      </c>
      <c r="AK1116" s="136">
        <v>0</v>
      </c>
      <c r="AL1116" s="136">
        <v>0</v>
      </c>
      <c r="AM1116" s="136">
        <v>0</v>
      </c>
      <c r="AN1116" s="136">
        <v>0</v>
      </c>
      <c r="AO1116" s="136"/>
      <c r="AP1116" s="143" t="e">
        <f>VLOOKUP(tbl_IO_List[[#This Row],[Instruement Tag]],tbl_Instruement_List[],14,FALSE)</f>
        <v>#N/A</v>
      </c>
      <c r="AQ1116" s="143" t="str">
        <f>tbl_IO_List[[#This Row],[Chassis]]&amp;"S"&amp;tbl_IO_List[[#This Row],[Slot]]&amp;"-"&amp;tbl_IO_List[[#This Row],[Front Terminal Number]]</f>
        <v>C8S2-</v>
      </c>
      <c r="AR1116" s="143"/>
      <c r="AS1116" s="136" t="str">
        <f>tbl_IO_List[[#This Row],[Terminal Tagging]]&amp;"-"&amp;tbl_IO_List[[#This Row],[Point-Count]]</f>
        <v>-</v>
      </c>
      <c r="AT1116" s="136" t="str">
        <f>tbl_IO_List[[#This Row],[Front Terminal Tagging]]&amp;"/"&amp;tbl_IO_List[[#This Row],[Terminal Tagging-Item]]</f>
        <v>C8S2-/-</v>
      </c>
      <c r="AU1116" s="136" t="str">
        <f>tbl_IO_List[[#This Row],[Terminal Tagging-Item]]&amp;"/"&amp;tbl_IO_List[[#This Row],[Front Terminal Tagging]]</f>
        <v>-/C8S2-</v>
      </c>
    </row>
    <row r="1117" spans="1:47" hidden="1">
      <c r="A1117" s="147" t="s">
        <v>1371</v>
      </c>
      <c r="B1117" s="136" t="s">
        <v>65</v>
      </c>
      <c r="C1117" s="136" t="str">
        <f>tbl_IO_List[[#This Row],[Column3]]</f>
        <v>C8S02,12</v>
      </c>
      <c r="D1117" s="136" t="e">
        <f>tbl_IO_List[[#This Row],[Card]]</f>
        <v>#N/A</v>
      </c>
      <c r="E1117" s="136" t="s">
        <v>1366</v>
      </c>
      <c r="F1117" s="136" t="str">
        <f>tbl_IO_List[[#This Row],[Column23]]&amp;"-" &amp;tbl_IO_List[[#This Row],[Column52]]</f>
        <v>C8S02-X1</v>
      </c>
      <c r="G1117" s="136" t="str">
        <f>tbl_IO_List[[#This Row],[PLC_Tag]]</f>
        <v>SC-61301_DI_1</v>
      </c>
      <c r="H1117" s="136"/>
      <c r="I1117" s="136" t="str">
        <f>VLOOKUP(tbl_IO_List[[#This Row],[Destination]],tbl_Junction[],2,FALSE)</f>
        <v>Packing Tower 2th Floor</v>
      </c>
      <c r="J1117" s="136" t="s">
        <v>335</v>
      </c>
      <c r="K1117" s="136" t="s">
        <v>66</v>
      </c>
      <c r="L1117" s="136" t="s">
        <v>84</v>
      </c>
      <c r="M1117" s="136" t="e">
        <f>VLOOKUP(tbl_IO_List[[#This Row],[Instruement Tag]],tbl_Instruement_List[],2,FALSE)</f>
        <v>#N/A</v>
      </c>
      <c r="N1117" s="136" t="s">
        <v>24</v>
      </c>
      <c r="O1117" s="136" t="s">
        <v>18</v>
      </c>
      <c r="P1117" s="136" t="s">
        <v>18</v>
      </c>
      <c r="Q1117" s="136" t="e">
        <f>VLOOKUP(tbl_IO_List[[#This Row],[Instruement Tag]],tbl_Instruement_List[],6,FALSE)</f>
        <v>#N/A</v>
      </c>
      <c r="R1117" s="136"/>
      <c r="S111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17" s="136" t="str">
        <f>tbl_IO_List[[#This Row],[Instruement Tag]]&amp;"_"&amp;tbl_IO_List[[#This Row],[I/O Type]]&amp;"_"&amp;tbl_IO_List[[#This Row],[IO-Point 
(Instruement)]]</f>
        <v>SC-61301_DI_1</v>
      </c>
      <c r="U1117" s="136" t="s">
        <v>8</v>
      </c>
      <c r="V1117" s="136">
        <f>VLOOKUP(tbl_IO_List[[#This Row],[I/O Type]],tbl_Slot_Group[],2,FALSE)</f>
        <v>1</v>
      </c>
      <c r="W1117" s="136">
        <v>1</v>
      </c>
      <c r="X1117" s="136" t="str">
        <f>tbl_IO_List[[#This Row],[Chassis]]&amp;"S"&amp;TEXT(tbl_IO_List[[#This Row],[Slot]],"00")</f>
        <v>C8S02</v>
      </c>
      <c r="Y1117" s="136" t="str">
        <f>tbl_IO_List[[#This Row],[Chassis]]&amp;"S"&amp;TEXT(tbl_IO_List[[#This Row],[Slot]],"00")&amp;tbl_IO_List[[#This Row],[I/O Type]]&amp;TEXT(tbl_IO_List[[#This Row],[Point]],"00")</f>
        <v>C8S02DI12</v>
      </c>
      <c r="Z1117" s="136" t="str">
        <f>tbl_IO_List[[#This Row],[Chassis]]&amp;"S"&amp;TEXT(tbl_IO_List[[#This Row],[Slot]],"00")&amp;","&amp;TEXT(tbl_IO_List[[#This Row],[Point]],"00")</f>
        <v>C8S02,12</v>
      </c>
      <c r="AA1117" s="136" t="e">
        <f>VLOOKUP(tbl_IO_List[[#This Row],[Column23]],tbl_RackConfig[],5,FALSE) &amp;"-"&amp;tbl_IO_List[[#This Row],[Point]]</f>
        <v>#N/A</v>
      </c>
      <c r="AB1117" s="136"/>
      <c r="AC1117" s="136"/>
      <c r="AD1117" s="136" t="str">
        <f>tbl_IO_List[[#This Row],[I/O Type]]</f>
        <v>DI</v>
      </c>
      <c r="AE1117" s="136" t="s">
        <v>1843</v>
      </c>
      <c r="AF1117" s="136">
        <v>2</v>
      </c>
      <c r="AG1117" s="136">
        <v>12</v>
      </c>
      <c r="AH1117" s="136"/>
      <c r="AI1117" s="136"/>
      <c r="AJ1117" s="136">
        <v>1</v>
      </c>
      <c r="AK1117" s="136">
        <v>0</v>
      </c>
      <c r="AL1117" s="136">
        <v>0</v>
      </c>
      <c r="AM1117" s="136">
        <v>0</v>
      </c>
      <c r="AN1117" s="136">
        <v>0</v>
      </c>
      <c r="AO1117" s="136"/>
      <c r="AP1117" s="143" t="e">
        <f>VLOOKUP(tbl_IO_List[[#This Row],[Instruement Tag]],tbl_Instruement_List[],14,FALSE)</f>
        <v>#N/A</v>
      </c>
      <c r="AQ1117" s="143" t="str">
        <f>tbl_IO_List[[#This Row],[Chassis]]&amp;"S"&amp;tbl_IO_List[[#This Row],[Slot]]&amp;"-"&amp;tbl_IO_List[[#This Row],[Front Terminal Number]]</f>
        <v>C8S2-</v>
      </c>
      <c r="AR1117" s="143"/>
      <c r="AS1117" s="136" t="str">
        <f>tbl_IO_List[[#This Row],[Terminal Tagging]]&amp;"-"&amp;tbl_IO_List[[#This Row],[Point-Count]]</f>
        <v>-</v>
      </c>
      <c r="AT1117" s="136" t="str">
        <f>tbl_IO_List[[#This Row],[Front Terminal Tagging]]&amp;"/"&amp;tbl_IO_List[[#This Row],[Terminal Tagging-Item]]</f>
        <v>C8S2-/-</v>
      </c>
      <c r="AU1117" s="136" t="str">
        <f>tbl_IO_List[[#This Row],[Terminal Tagging-Item]]&amp;"/"&amp;tbl_IO_List[[#This Row],[Front Terminal Tagging]]</f>
        <v>-/C8S2-</v>
      </c>
    </row>
    <row r="1118" spans="1:47" hidden="1">
      <c r="A1118" s="147" t="s">
        <v>1371</v>
      </c>
      <c r="B1118" s="136" t="s">
        <v>65</v>
      </c>
      <c r="C1118" s="136" t="str">
        <f>tbl_IO_List[[#This Row],[Column3]]</f>
        <v>C8S02,13</v>
      </c>
      <c r="D1118" s="136" t="e">
        <f>tbl_IO_List[[#This Row],[Card]]</f>
        <v>#N/A</v>
      </c>
      <c r="E1118" s="136" t="s">
        <v>1366</v>
      </c>
      <c r="F1118" s="136" t="str">
        <f>tbl_IO_List[[#This Row],[Column23]]&amp;"-" &amp;tbl_IO_List[[#This Row],[Column52]]</f>
        <v>C8S02-X1</v>
      </c>
      <c r="G1118" s="136" t="str">
        <f>tbl_IO_List[[#This Row],[PLC_Tag]]</f>
        <v>SC-61302_DI_1</v>
      </c>
      <c r="H1118" s="136"/>
      <c r="I1118" s="136" t="str">
        <f>VLOOKUP(tbl_IO_List[[#This Row],[Destination]],tbl_Junction[],2,FALSE)</f>
        <v>Packing Tower 2th Floor</v>
      </c>
      <c r="J1118" s="136" t="s">
        <v>335</v>
      </c>
      <c r="K1118" s="136" t="s">
        <v>66</v>
      </c>
      <c r="L1118" s="136" t="s">
        <v>85</v>
      </c>
      <c r="M1118" s="136" t="e">
        <f>VLOOKUP(tbl_IO_List[[#This Row],[Instruement Tag]],tbl_Instruement_List[],2,FALSE)</f>
        <v>#N/A</v>
      </c>
      <c r="N1118" s="136" t="s">
        <v>24</v>
      </c>
      <c r="O1118" s="136" t="s">
        <v>18</v>
      </c>
      <c r="P1118" s="136" t="s">
        <v>18</v>
      </c>
      <c r="Q1118" s="136" t="e">
        <f>VLOOKUP(tbl_IO_List[[#This Row],[Instruement Tag]],tbl_Instruement_List[],6,FALSE)</f>
        <v>#N/A</v>
      </c>
      <c r="R1118" s="136"/>
      <c r="S111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18" s="136" t="str">
        <f>tbl_IO_List[[#This Row],[Instruement Tag]]&amp;"_"&amp;tbl_IO_List[[#This Row],[I/O Type]]&amp;"_"&amp;tbl_IO_List[[#This Row],[IO-Point 
(Instruement)]]</f>
        <v>SC-61302_DI_1</v>
      </c>
      <c r="U1118" s="136" t="s">
        <v>8</v>
      </c>
      <c r="V1118" s="136">
        <f>VLOOKUP(tbl_IO_List[[#This Row],[I/O Type]],tbl_Slot_Group[],2,FALSE)</f>
        <v>1</v>
      </c>
      <c r="W1118" s="136">
        <v>1</v>
      </c>
      <c r="X1118" s="136" t="str">
        <f>tbl_IO_List[[#This Row],[Chassis]]&amp;"S"&amp;TEXT(tbl_IO_List[[#This Row],[Slot]],"00")</f>
        <v>C8S02</v>
      </c>
      <c r="Y1118" s="136" t="str">
        <f>tbl_IO_List[[#This Row],[Chassis]]&amp;"S"&amp;TEXT(tbl_IO_List[[#This Row],[Slot]],"00")&amp;tbl_IO_List[[#This Row],[I/O Type]]&amp;TEXT(tbl_IO_List[[#This Row],[Point]],"00")</f>
        <v>C8S02DI13</v>
      </c>
      <c r="Z1118" s="136" t="str">
        <f>tbl_IO_List[[#This Row],[Chassis]]&amp;"S"&amp;TEXT(tbl_IO_List[[#This Row],[Slot]],"00")&amp;","&amp;TEXT(tbl_IO_List[[#This Row],[Point]],"00")</f>
        <v>C8S02,13</v>
      </c>
      <c r="AA1118" s="136" t="e">
        <f>VLOOKUP(tbl_IO_List[[#This Row],[Column23]],tbl_RackConfig[],5,FALSE) &amp;"-"&amp;tbl_IO_List[[#This Row],[Point]]</f>
        <v>#N/A</v>
      </c>
      <c r="AB1118" s="136"/>
      <c r="AC1118" s="136"/>
      <c r="AD1118" s="136" t="str">
        <f>tbl_IO_List[[#This Row],[I/O Type]]</f>
        <v>DI</v>
      </c>
      <c r="AE1118" s="136" t="s">
        <v>1843</v>
      </c>
      <c r="AF1118" s="136">
        <v>2</v>
      </c>
      <c r="AG1118" s="136">
        <v>13</v>
      </c>
      <c r="AH1118" s="136"/>
      <c r="AI1118" s="136"/>
      <c r="AJ1118" s="136">
        <v>1</v>
      </c>
      <c r="AK1118" s="136">
        <v>0</v>
      </c>
      <c r="AL1118" s="136">
        <v>0</v>
      </c>
      <c r="AM1118" s="136">
        <v>0</v>
      </c>
      <c r="AN1118" s="136">
        <v>0</v>
      </c>
      <c r="AO1118" s="136"/>
      <c r="AP1118" s="143" t="e">
        <f>VLOOKUP(tbl_IO_List[[#This Row],[Instruement Tag]],tbl_Instruement_List[],14,FALSE)</f>
        <v>#N/A</v>
      </c>
      <c r="AQ1118" s="143" t="str">
        <f>tbl_IO_List[[#This Row],[Chassis]]&amp;"S"&amp;tbl_IO_List[[#This Row],[Slot]]&amp;"-"&amp;tbl_IO_List[[#This Row],[Front Terminal Number]]</f>
        <v>C8S2-</v>
      </c>
      <c r="AR1118" s="143"/>
      <c r="AS1118" s="136" t="str">
        <f>tbl_IO_List[[#This Row],[Terminal Tagging]]&amp;"-"&amp;tbl_IO_List[[#This Row],[Point-Count]]</f>
        <v>-</v>
      </c>
      <c r="AT1118" s="136" t="str">
        <f>tbl_IO_List[[#This Row],[Front Terminal Tagging]]&amp;"/"&amp;tbl_IO_List[[#This Row],[Terminal Tagging-Item]]</f>
        <v>C8S2-/-</v>
      </c>
      <c r="AU1118" s="136" t="str">
        <f>tbl_IO_List[[#This Row],[Terminal Tagging-Item]]&amp;"/"&amp;tbl_IO_List[[#This Row],[Front Terminal Tagging]]</f>
        <v>-/C8S2-</v>
      </c>
    </row>
    <row r="1119" spans="1:47" hidden="1">
      <c r="A1119" s="147" t="s">
        <v>1371</v>
      </c>
      <c r="B1119" s="136" t="s">
        <v>65</v>
      </c>
      <c r="C1119" s="136" t="str">
        <f>tbl_IO_List[[#This Row],[Column3]]</f>
        <v>C8S02,14</v>
      </c>
      <c r="D1119" s="136" t="e">
        <f>tbl_IO_List[[#This Row],[Card]]</f>
        <v>#N/A</v>
      </c>
      <c r="E1119" s="136" t="s">
        <v>1366</v>
      </c>
      <c r="F1119" s="136" t="str">
        <f>tbl_IO_List[[#This Row],[Column23]]&amp;"-" &amp;tbl_IO_List[[#This Row],[Column52]]</f>
        <v>C8S02-X1</v>
      </c>
      <c r="G1119" s="136" t="str">
        <f>tbl_IO_List[[#This Row],[PLC_Tag]]</f>
        <v>ZS-61312_DI_1</v>
      </c>
      <c r="H1119" s="136"/>
      <c r="I1119" s="136" t="str">
        <f>VLOOKUP(tbl_IO_List[[#This Row],[Destination]],tbl_Junction[],2,FALSE)</f>
        <v>Packing Tower 2th Floor</v>
      </c>
      <c r="J1119" s="136" t="s">
        <v>335</v>
      </c>
      <c r="K1119" s="136" t="s">
        <v>66</v>
      </c>
      <c r="L1119" s="136" t="s">
        <v>77</v>
      </c>
      <c r="M1119" s="136">
        <f>VLOOKUP(tbl_IO_List[[#This Row],[Instruement Tag]],tbl_Instruement_List[],2,FALSE)</f>
        <v>0</v>
      </c>
      <c r="N1119" s="136" t="s">
        <v>28</v>
      </c>
      <c r="O1119" s="136" t="s">
        <v>78</v>
      </c>
      <c r="P1119" s="136" t="s">
        <v>75</v>
      </c>
      <c r="Q1119" s="136" t="str">
        <f>VLOOKUP(tbl_IO_List[[#This Row],[Instruement Tag]],tbl_Instruement_List[],6,FALSE)</f>
        <v>Position Magnet Door</v>
      </c>
      <c r="R1119" s="136"/>
      <c r="S111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19" s="136" t="str">
        <f>tbl_IO_List[[#This Row],[Instruement Tag]]&amp;"_"&amp;tbl_IO_List[[#This Row],[I/O Type]]&amp;"_"&amp;tbl_IO_List[[#This Row],[IO-Point 
(Instruement)]]</f>
        <v>ZS-61312_DI_1</v>
      </c>
      <c r="U1119" s="136" t="s">
        <v>8</v>
      </c>
      <c r="V1119" s="136">
        <f>VLOOKUP(tbl_IO_List[[#This Row],[I/O Type]],tbl_Slot_Group[],2,FALSE)</f>
        <v>1</v>
      </c>
      <c r="W1119" s="136">
        <v>1</v>
      </c>
      <c r="X1119" s="136" t="str">
        <f>tbl_IO_List[[#This Row],[Chassis]]&amp;"S"&amp;TEXT(tbl_IO_List[[#This Row],[Slot]],"00")</f>
        <v>C8S02</v>
      </c>
      <c r="Y1119" s="136" t="str">
        <f>tbl_IO_List[[#This Row],[Chassis]]&amp;"S"&amp;TEXT(tbl_IO_List[[#This Row],[Slot]],"00")&amp;tbl_IO_List[[#This Row],[I/O Type]]&amp;TEXT(tbl_IO_List[[#This Row],[Point]],"00")</f>
        <v>C8S02DI14</v>
      </c>
      <c r="Z1119" s="136" t="str">
        <f>tbl_IO_List[[#This Row],[Chassis]]&amp;"S"&amp;TEXT(tbl_IO_List[[#This Row],[Slot]],"00")&amp;","&amp;TEXT(tbl_IO_List[[#This Row],[Point]],"00")</f>
        <v>C8S02,14</v>
      </c>
      <c r="AA1119" s="136" t="e">
        <f>VLOOKUP(tbl_IO_List[[#This Row],[Column23]],tbl_RackConfig[],5,FALSE) &amp;"-"&amp;tbl_IO_List[[#This Row],[Point]]</f>
        <v>#N/A</v>
      </c>
      <c r="AB1119" s="136"/>
      <c r="AC1119" s="136"/>
      <c r="AD1119" s="136" t="str">
        <f>tbl_IO_List[[#This Row],[I/O Type]]</f>
        <v>DI</v>
      </c>
      <c r="AE1119" s="136" t="s">
        <v>1843</v>
      </c>
      <c r="AF1119" s="136">
        <v>2</v>
      </c>
      <c r="AG1119" s="136">
        <v>14</v>
      </c>
      <c r="AH1119" s="136"/>
      <c r="AI1119" s="136"/>
      <c r="AJ1119" s="136">
        <v>1</v>
      </c>
      <c r="AK1119" s="136">
        <v>0</v>
      </c>
      <c r="AL1119" s="136">
        <v>0</v>
      </c>
      <c r="AM1119" s="136">
        <v>0</v>
      </c>
      <c r="AN1119" s="136">
        <v>0</v>
      </c>
      <c r="AO1119" s="136"/>
      <c r="AP1119" s="143" t="str">
        <f>VLOOKUP(tbl_IO_List[[#This Row],[Instruement Tag]],tbl_Instruement_List[],14,FALSE)</f>
        <v>Dry Contact</v>
      </c>
      <c r="AQ1119" s="143" t="str">
        <f>tbl_IO_List[[#This Row],[Chassis]]&amp;"S"&amp;tbl_IO_List[[#This Row],[Slot]]&amp;"-"&amp;tbl_IO_List[[#This Row],[Front Terminal Number]]</f>
        <v>C8S2-</v>
      </c>
      <c r="AR1119" s="143"/>
      <c r="AS1119" s="136" t="str">
        <f>tbl_IO_List[[#This Row],[Terminal Tagging]]&amp;"-"&amp;tbl_IO_List[[#This Row],[Point-Count]]</f>
        <v>-</v>
      </c>
      <c r="AT1119" s="136" t="str">
        <f>tbl_IO_List[[#This Row],[Front Terminal Tagging]]&amp;"/"&amp;tbl_IO_List[[#This Row],[Terminal Tagging-Item]]</f>
        <v>C8S2-/-</v>
      </c>
      <c r="AU1119" s="136" t="str">
        <f>tbl_IO_List[[#This Row],[Terminal Tagging-Item]]&amp;"/"&amp;tbl_IO_List[[#This Row],[Front Terminal Tagging]]</f>
        <v>-/C8S2-</v>
      </c>
    </row>
    <row r="1120" spans="1:47" hidden="1">
      <c r="A1120" s="147" t="s">
        <v>1371</v>
      </c>
      <c r="B1120" s="136" t="s">
        <v>65</v>
      </c>
      <c r="C1120" s="136" t="str">
        <f>tbl_IO_List[[#This Row],[Column3]]</f>
        <v>C8S02,15</v>
      </c>
      <c r="D1120" s="136" t="e">
        <f>tbl_IO_List[[#This Row],[Card]]</f>
        <v>#N/A</v>
      </c>
      <c r="E1120" s="136" t="s">
        <v>1366</v>
      </c>
      <c r="F1120" s="136" t="str">
        <f>tbl_IO_List[[#This Row],[Column23]]&amp;"-" &amp;tbl_IO_List[[#This Row],[Column52]]</f>
        <v>C8S02-X1</v>
      </c>
      <c r="G1120" s="136" t="str">
        <f>tbl_IO_List[[#This Row],[PLC_Tag]]</f>
        <v>ZS-61313_DI_1</v>
      </c>
      <c r="H1120" s="136"/>
      <c r="I1120" s="136" t="str">
        <f>VLOOKUP(tbl_IO_List[[#This Row],[Destination]],tbl_Junction[],2,FALSE)</f>
        <v>Packing Tower 2th Floor</v>
      </c>
      <c r="J1120" s="136" t="s">
        <v>335</v>
      </c>
      <c r="K1120" s="136" t="s">
        <v>66</v>
      </c>
      <c r="L1120" s="136" t="s">
        <v>79</v>
      </c>
      <c r="M1120" s="136">
        <f>VLOOKUP(tbl_IO_List[[#This Row],[Instruement Tag]],tbl_Instruement_List[],2,FALSE)</f>
        <v>0</v>
      </c>
      <c r="N1120" s="136" t="s">
        <v>28</v>
      </c>
      <c r="O1120" s="136" t="s">
        <v>78</v>
      </c>
      <c r="P1120" s="136" t="s">
        <v>75</v>
      </c>
      <c r="Q1120" s="136" t="str">
        <f>VLOOKUP(tbl_IO_List[[#This Row],[Instruement Tag]],tbl_Instruement_List[],6,FALSE)</f>
        <v>Position Magnet Door</v>
      </c>
      <c r="R1120" s="136"/>
      <c r="S112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20" s="136" t="str">
        <f>tbl_IO_List[[#This Row],[Instruement Tag]]&amp;"_"&amp;tbl_IO_List[[#This Row],[I/O Type]]&amp;"_"&amp;tbl_IO_List[[#This Row],[IO-Point 
(Instruement)]]</f>
        <v>ZS-61313_DI_1</v>
      </c>
      <c r="U1120" s="136" t="s">
        <v>8</v>
      </c>
      <c r="V1120" s="136">
        <f>VLOOKUP(tbl_IO_List[[#This Row],[I/O Type]],tbl_Slot_Group[],2,FALSE)</f>
        <v>1</v>
      </c>
      <c r="W1120" s="136">
        <v>1</v>
      </c>
      <c r="X1120" s="136" t="str">
        <f>tbl_IO_List[[#This Row],[Chassis]]&amp;"S"&amp;TEXT(tbl_IO_List[[#This Row],[Slot]],"00")</f>
        <v>C8S02</v>
      </c>
      <c r="Y1120" s="136" t="str">
        <f>tbl_IO_List[[#This Row],[Chassis]]&amp;"S"&amp;TEXT(tbl_IO_List[[#This Row],[Slot]],"00")&amp;tbl_IO_List[[#This Row],[I/O Type]]&amp;TEXT(tbl_IO_List[[#This Row],[Point]],"00")</f>
        <v>C8S02DI15</v>
      </c>
      <c r="Z1120" s="136" t="str">
        <f>tbl_IO_List[[#This Row],[Chassis]]&amp;"S"&amp;TEXT(tbl_IO_List[[#This Row],[Slot]],"00")&amp;","&amp;TEXT(tbl_IO_List[[#This Row],[Point]],"00")</f>
        <v>C8S02,15</v>
      </c>
      <c r="AA1120" s="136" t="e">
        <f>VLOOKUP(tbl_IO_List[[#This Row],[Column23]],tbl_RackConfig[],5,FALSE) &amp;"-"&amp;tbl_IO_List[[#This Row],[Point]]</f>
        <v>#N/A</v>
      </c>
      <c r="AB1120" s="136"/>
      <c r="AC1120" s="136"/>
      <c r="AD1120" s="136" t="str">
        <f>tbl_IO_List[[#This Row],[I/O Type]]</f>
        <v>DI</v>
      </c>
      <c r="AE1120" s="136" t="s">
        <v>1843</v>
      </c>
      <c r="AF1120" s="136">
        <v>2</v>
      </c>
      <c r="AG1120" s="136">
        <v>15</v>
      </c>
      <c r="AH1120" s="136"/>
      <c r="AI1120" s="136"/>
      <c r="AJ1120" s="136">
        <v>1</v>
      </c>
      <c r="AK1120" s="136">
        <v>0</v>
      </c>
      <c r="AL1120" s="136">
        <v>0</v>
      </c>
      <c r="AM1120" s="136">
        <v>0</v>
      </c>
      <c r="AN1120" s="136">
        <v>0</v>
      </c>
      <c r="AO1120" s="136"/>
      <c r="AP1120" s="143" t="str">
        <f>VLOOKUP(tbl_IO_List[[#This Row],[Instruement Tag]],tbl_Instruement_List[],14,FALSE)</f>
        <v>Dry Contact</v>
      </c>
      <c r="AQ1120" s="143" t="str">
        <f>tbl_IO_List[[#This Row],[Chassis]]&amp;"S"&amp;tbl_IO_List[[#This Row],[Slot]]&amp;"-"&amp;tbl_IO_List[[#This Row],[Front Terminal Number]]</f>
        <v>C8S2-</v>
      </c>
      <c r="AR1120" s="143"/>
      <c r="AS1120" s="136" t="str">
        <f>tbl_IO_List[[#This Row],[Terminal Tagging]]&amp;"-"&amp;tbl_IO_List[[#This Row],[Point-Count]]</f>
        <v>-</v>
      </c>
      <c r="AT1120" s="136" t="str">
        <f>tbl_IO_List[[#This Row],[Front Terminal Tagging]]&amp;"/"&amp;tbl_IO_List[[#This Row],[Terminal Tagging-Item]]</f>
        <v>C8S2-/-</v>
      </c>
      <c r="AU1120" s="136" t="str">
        <f>tbl_IO_List[[#This Row],[Terminal Tagging-Item]]&amp;"/"&amp;tbl_IO_List[[#This Row],[Front Terminal Tagging]]</f>
        <v>-/C8S2-</v>
      </c>
    </row>
    <row r="1121" spans="1:47" hidden="1">
      <c r="A1121" s="147" t="s">
        <v>1371</v>
      </c>
      <c r="B1121" s="136" t="s">
        <v>65</v>
      </c>
      <c r="C1121" s="136" t="str">
        <f>tbl_IO_List[[#This Row],[Column3]]</f>
        <v>C8S02,16</v>
      </c>
      <c r="D1121" s="136" t="e">
        <f>tbl_IO_List[[#This Row],[Card]]</f>
        <v>#N/A</v>
      </c>
      <c r="E1121" s="136" t="s">
        <v>1372</v>
      </c>
      <c r="F1121" s="136" t="str">
        <f>tbl_IO_List[[#This Row],[Column23]]&amp;"-" &amp;tbl_IO_List[[#This Row],[Column52]]</f>
        <v>C8S02-X2</v>
      </c>
      <c r="G1121" s="136" t="str">
        <f>tbl_IO_List[[#This Row],[PLC_Tag]]</f>
        <v>Spare_DI_0</v>
      </c>
      <c r="H1121" s="136"/>
      <c r="I1121" s="136" t="str">
        <f>VLOOKUP(tbl_IO_List[[#This Row],[Destination]],tbl_Junction[],2,FALSE)</f>
        <v>Packing Tower 2th Floor</v>
      </c>
      <c r="J1121" s="136"/>
      <c r="K1121" s="136"/>
      <c r="L1121" s="136" t="s">
        <v>411</v>
      </c>
      <c r="M1121" s="136" t="e">
        <f>VLOOKUP(tbl_IO_List[[#This Row],[Instruement Tag]],tbl_Instruement_List[],2,FALSE)</f>
        <v>#N/A</v>
      </c>
      <c r="N1121" s="136"/>
      <c r="O1121" s="136"/>
      <c r="P1121" s="136"/>
      <c r="Q1121" s="136" t="e">
        <f>VLOOKUP(tbl_IO_List[[#This Row],[Instruement Tag]],tbl_Instruement_List[],6,FALSE)</f>
        <v>#N/A</v>
      </c>
      <c r="R1121" s="136"/>
      <c r="S112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21" s="136" t="str">
        <f>tbl_IO_List[[#This Row],[Instruement Tag]]&amp;"_"&amp;tbl_IO_List[[#This Row],[I/O Type]]&amp;"_"&amp;tbl_IO_List[[#This Row],[IO-Point 
(Instruement)]]</f>
        <v>Spare_DI_0</v>
      </c>
      <c r="U1121" s="136" t="s">
        <v>8</v>
      </c>
      <c r="V1121" s="136">
        <f>VLOOKUP(tbl_IO_List[[#This Row],[I/O Type]],tbl_Slot_Group[],2,FALSE)</f>
        <v>1</v>
      </c>
      <c r="W1121" s="136">
        <v>0</v>
      </c>
      <c r="X1121" s="136" t="str">
        <f>tbl_IO_List[[#This Row],[Chassis]]&amp;"S"&amp;TEXT(tbl_IO_List[[#This Row],[Slot]],"00")</f>
        <v>C8S02</v>
      </c>
      <c r="Y1121" s="136" t="str">
        <f>tbl_IO_List[[#This Row],[Chassis]]&amp;"S"&amp;TEXT(tbl_IO_List[[#This Row],[Slot]],"00")&amp;tbl_IO_List[[#This Row],[I/O Type]]&amp;TEXT(tbl_IO_List[[#This Row],[Point]],"00")</f>
        <v>C8S02DI16</v>
      </c>
      <c r="Z1121" s="136" t="str">
        <f>tbl_IO_List[[#This Row],[Chassis]]&amp;"S"&amp;TEXT(tbl_IO_List[[#This Row],[Slot]],"00")&amp;","&amp;TEXT(tbl_IO_List[[#This Row],[Point]],"00")</f>
        <v>C8S02,16</v>
      </c>
      <c r="AA1121" s="136" t="e">
        <f>VLOOKUP(tbl_IO_List[[#This Row],[Column23]],tbl_RackConfig[],5,FALSE) &amp;"-"&amp;tbl_IO_List[[#This Row],[Point]]</f>
        <v>#N/A</v>
      </c>
      <c r="AB1121" s="136"/>
      <c r="AC1121" s="136"/>
      <c r="AD1121" s="136" t="str">
        <f>tbl_IO_List[[#This Row],[I/O Type]]</f>
        <v>DI</v>
      </c>
      <c r="AE1121" s="136" t="s">
        <v>1843</v>
      </c>
      <c r="AF1121" s="136">
        <v>2</v>
      </c>
      <c r="AG1121" s="136">
        <v>16</v>
      </c>
      <c r="AH1121" s="136"/>
      <c r="AI1121" s="136"/>
      <c r="AJ1121" s="136">
        <v>1</v>
      </c>
      <c r="AK1121" s="136">
        <v>0</v>
      </c>
      <c r="AL1121" s="136">
        <v>0</v>
      </c>
      <c r="AM1121" s="136">
        <v>0</v>
      </c>
      <c r="AN1121" s="136">
        <v>0</v>
      </c>
      <c r="AO1121" s="136"/>
      <c r="AP1121" s="143" t="e">
        <f>VLOOKUP(tbl_IO_List[[#This Row],[Instruement Tag]],tbl_Instruement_List[],14,FALSE)</f>
        <v>#N/A</v>
      </c>
      <c r="AQ1121" s="143" t="str">
        <f>tbl_IO_List[[#This Row],[Chassis]]&amp;"S"&amp;tbl_IO_List[[#This Row],[Slot]]&amp;"-"&amp;tbl_IO_List[[#This Row],[Front Terminal Number]]</f>
        <v>C8S2-</v>
      </c>
      <c r="AR1121" s="143"/>
      <c r="AS1121" s="136" t="str">
        <f>tbl_IO_List[[#This Row],[Terminal Tagging]]&amp;"-"&amp;tbl_IO_List[[#This Row],[Point-Count]]</f>
        <v>-</v>
      </c>
      <c r="AT1121" s="136" t="str">
        <f>tbl_IO_List[[#This Row],[Front Terminal Tagging]]&amp;"/"&amp;tbl_IO_List[[#This Row],[Terminal Tagging-Item]]</f>
        <v>C8S2-/-</v>
      </c>
      <c r="AU1121" s="136" t="str">
        <f>tbl_IO_List[[#This Row],[Terminal Tagging-Item]]&amp;"/"&amp;tbl_IO_List[[#This Row],[Front Terminal Tagging]]</f>
        <v>-/C8S2-</v>
      </c>
    </row>
    <row r="1122" spans="1:47" hidden="1">
      <c r="A1122" s="147" t="s">
        <v>1371</v>
      </c>
      <c r="B1122" s="136" t="s">
        <v>65</v>
      </c>
      <c r="C1122" s="136" t="str">
        <f>tbl_IO_List[[#This Row],[Column3]]</f>
        <v>C8S02,17</v>
      </c>
      <c r="D1122" s="136" t="e">
        <f>tbl_IO_List[[#This Row],[Card]]</f>
        <v>#N/A</v>
      </c>
      <c r="E1122" s="136" t="s">
        <v>1372</v>
      </c>
      <c r="F1122" s="136" t="str">
        <f>tbl_IO_List[[#This Row],[Column23]]&amp;"-" &amp;tbl_IO_List[[#This Row],[Column52]]</f>
        <v>C8S02-X2</v>
      </c>
      <c r="G1122" s="136" t="str">
        <f>tbl_IO_List[[#This Row],[PLC_Tag]]</f>
        <v>Spare_DI_0</v>
      </c>
      <c r="H1122" s="136"/>
      <c r="I1122" s="136" t="str">
        <f>VLOOKUP(tbl_IO_List[[#This Row],[Destination]],tbl_Junction[],2,FALSE)</f>
        <v>Packing Tower 2th Floor</v>
      </c>
      <c r="J1122" s="136"/>
      <c r="K1122" s="136"/>
      <c r="L1122" s="136" t="s">
        <v>411</v>
      </c>
      <c r="M1122" s="136" t="e">
        <f>VLOOKUP(tbl_IO_List[[#This Row],[Instruement Tag]],tbl_Instruement_List[],2,FALSE)</f>
        <v>#N/A</v>
      </c>
      <c r="N1122" s="136"/>
      <c r="O1122" s="136"/>
      <c r="P1122" s="136"/>
      <c r="Q1122" s="136" t="e">
        <f>VLOOKUP(tbl_IO_List[[#This Row],[Instruement Tag]],tbl_Instruement_List[],6,FALSE)</f>
        <v>#N/A</v>
      </c>
      <c r="R1122" s="136"/>
      <c r="S112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22" s="136" t="str">
        <f>tbl_IO_List[[#This Row],[Instruement Tag]]&amp;"_"&amp;tbl_IO_List[[#This Row],[I/O Type]]&amp;"_"&amp;tbl_IO_List[[#This Row],[IO-Point 
(Instruement)]]</f>
        <v>Spare_DI_0</v>
      </c>
      <c r="U1122" s="136" t="s">
        <v>8</v>
      </c>
      <c r="V1122" s="136">
        <f>VLOOKUP(tbl_IO_List[[#This Row],[I/O Type]],tbl_Slot_Group[],2,FALSE)</f>
        <v>1</v>
      </c>
      <c r="W1122" s="136">
        <v>0</v>
      </c>
      <c r="X1122" s="136" t="str">
        <f>tbl_IO_List[[#This Row],[Chassis]]&amp;"S"&amp;TEXT(tbl_IO_List[[#This Row],[Slot]],"00")</f>
        <v>C8S02</v>
      </c>
      <c r="Y1122" s="136" t="str">
        <f>tbl_IO_List[[#This Row],[Chassis]]&amp;"S"&amp;TEXT(tbl_IO_List[[#This Row],[Slot]],"00")&amp;tbl_IO_List[[#This Row],[I/O Type]]&amp;TEXT(tbl_IO_List[[#This Row],[Point]],"00")</f>
        <v>C8S02DI17</v>
      </c>
      <c r="Z1122" s="136" t="str">
        <f>tbl_IO_List[[#This Row],[Chassis]]&amp;"S"&amp;TEXT(tbl_IO_List[[#This Row],[Slot]],"00")&amp;","&amp;TEXT(tbl_IO_List[[#This Row],[Point]],"00")</f>
        <v>C8S02,17</v>
      </c>
      <c r="AA1122" s="136" t="e">
        <f>VLOOKUP(tbl_IO_List[[#This Row],[Column23]],tbl_RackConfig[],5,FALSE) &amp;"-"&amp;tbl_IO_List[[#This Row],[Point]]</f>
        <v>#N/A</v>
      </c>
      <c r="AB1122" s="136"/>
      <c r="AC1122" s="136"/>
      <c r="AD1122" s="136" t="str">
        <f>tbl_IO_List[[#This Row],[I/O Type]]</f>
        <v>DI</v>
      </c>
      <c r="AE1122" s="136" t="s">
        <v>1843</v>
      </c>
      <c r="AF1122" s="136">
        <v>2</v>
      </c>
      <c r="AG1122" s="136">
        <v>17</v>
      </c>
      <c r="AH1122" s="136"/>
      <c r="AI1122" s="136"/>
      <c r="AJ1122" s="136">
        <v>1</v>
      </c>
      <c r="AK1122" s="136">
        <v>0</v>
      </c>
      <c r="AL1122" s="136">
        <v>0</v>
      </c>
      <c r="AM1122" s="136">
        <v>0</v>
      </c>
      <c r="AN1122" s="136">
        <v>0</v>
      </c>
      <c r="AO1122" s="136"/>
      <c r="AP1122" s="143" t="e">
        <f>VLOOKUP(tbl_IO_List[[#This Row],[Instruement Tag]],tbl_Instruement_List[],14,FALSE)</f>
        <v>#N/A</v>
      </c>
      <c r="AQ1122" s="143" t="str">
        <f>tbl_IO_List[[#This Row],[Chassis]]&amp;"S"&amp;tbl_IO_List[[#This Row],[Slot]]&amp;"-"&amp;tbl_IO_List[[#This Row],[Front Terminal Number]]</f>
        <v>C8S2-</v>
      </c>
      <c r="AR1122" s="143"/>
      <c r="AS1122" s="136" t="str">
        <f>tbl_IO_List[[#This Row],[Terminal Tagging]]&amp;"-"&amp;tbl_IO_List[[#This Row],[Point-Count]]</f>
        <v>-</v>
      </c>
      <c r="AT1122" s="136" t="str">
        <f>tbl_IO_List[[#This Row],[Front Terminal Tagging]]&amp;"/"&amp;tbl_IO_List[[#This Row],[Terminal Tagging-Item]]</f>
        <v>C8S2-/-</v>
      </c>
      <c r="AU1122" s="136" t="str">
        <f>tbl_IO_List[[#This Row],[Terminal Tagging-Item]]&amp;"/"&amp;tbl_IO_List[[#This Row],[Front Terminal Tagging]]</f>
        <v>-/C8S2-</v>
      </c>
    </row>
    <row r="1123" spans="1:47" hidden="1">
      <c r="A1123" s="147" t="s">
        <v>1371</v>
      </c>
      <c r="B1123" s="136" t="s">
        <v>65</v>
      </c>
      <c r="C1123" s="136" t="str">
        <f>tbl_IO_List[[#This Row],[Column3]]</f>
        <v>C8S02,18</v>
      </c>
      <c r="D1123" s="136" t="e">
        <f>tbl_IO_List[[#This Row],[Card]]</f>
        <v>#N/A</v>
      </c>
      <c r="E1123" s="136" t="s">
        <v>1372</v>
      </c>
      <c r="F1123" s="136" t="str">
        <f>tbl_IO_List[[#This Row],[Column23]]&amp;"-" &amp;tbl_IO_List[[#This Row],[Column52]]</f>
        <v>C8S02-X2</v>
      </c>
      <c r="G1123" s="136" t="str">
        <f>tbl_IO_List[[#This Row],[PLC_Tag]]</f>
        <v>Spare_DI_0</v>
      </c>
      <c r="H1123" s="136"/>
      <c r="I1123" s="136" t="str">
        <f>VLOOKUP(tbl_IO_List[[#This Row],[Destination]],tbl_Junction[],2,FALSE)</f>
        <v>Packing Tower 2th Floor</v>
      </c>
      <c r="J1123" s="136"/>
      <c r="K1123" s="136"/>
      <c r="L1123" s="136" t="s">
        <v>411</v>
      </c>
      <c r="M1123" s="136" t="e">
        <f>VLOOKUP(tbl_IO_List[[#This Row],[Instruement Tag]],tbl_Instruement_List[],2,FALSE)</f>
        <v>#N/A</v>
      </c>
      <c r="N1123" s="136"/>
      <c r="O1123" s="136"/>
      <c r="P1123" s="136"/>
      <c r="Q1123" s="136" t="e">
        <f>VLOOKUP(tbl_IO_List[[#This Row],[Instruement Tag]],tbl_Instruement_List[],6,FALSE)</f>
        <v>#N/A</v>
      </c>
      <c r="R1123" s="136"/>
      <c r="S112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23" s="136" t="str">
        <f>tbl_IO_List[[#This Row],[Instruement Tag]]&amp;"_"&amp;tbl_IO_List[[#This Row],[I/O Type]]&amp;"_"&amp;tbl_IO_List[[#This Row],[IO-Point 
(Instruement)]]</f>
        <v>Spare_DI_0</v>
      </c>
      <c r="U1123" s="136" t="s">
        <v>8</v>
      </c>
      <c r="V1123" s="136">
        <f>VLOOKUP(tbl_IO_List[[#This Row],[I/O Type]],tbl_Slot_Group[],2,FALSE)</f>
        <v>1</v>
      </c>
      <c r="W1123" s="136">
        <v>0</v>
      </c>
      <c r="X1123" s="136" t="str">
        <f>tbl_IO_List[[#This Row],[Chassis]]&amp;"S"&amp;TEXT(tbl_IO_List[[#This Row],[Slot]],"00")</f>
        <v>C8S02</v>
      </c>
      <c r="Y1123" s="136" t="str">
        <f>tbl_IO_List[[#This Row],[Chassis]]&amp;"S"&amp;TEXT(tbl_IO_List[[#This Row],[Slot]],"00")&amp;tbl_IO_List[[#This Row],[I/O Type]]&amp;TEXT(tbl_IO_List[[#This Row],[Point]],"00")</f>
        <v>C8S02DI18</v>
      </c>
      <c r="Z1123" s="136" t="str">
        <f>tbl_IO_List[[#This Row],[Chassis]]&amp;"S"&amp;TEXT(tbl_IO_List[[#This Row],[Slot]],"00")&amp;","&amp;TEXT(tbl_IO_List[[#This Row],[Point]],"00")</f>
        <v>C8S02,18</v>
      </c>
      <c r="AA1123" s="136" t="e">
        <f>VLOOKUP(tbl_IO_List[[#This Row],[Column23]],tbl_RackConfig[],5,FALSE) &amp;"-"&amp;tbl_IO_List[[#This Row],[Point]]</f>
        <v>#N/A</v>
      </c>
      <c r="AB1123" s="136"/>
      <c r="AC1123" s="136"/>
      <c r="AD1123" s="136" t="str">
        <f>tbl_IO_List[[#This Row],[I/O Type]]</f>
        <v>DI</v>
      </c>
      <c r="AE1123" s="136" t="s">
        <v>1843</v>
      </c>
      <c r="AF1123" s="136">
        <v>2</v>
      </c>
      <c r="AG1123" s="136">
        <v>18</v>
      </c>
      <c r="AH1123" s="136"/>
      <c r="AI1123" s="136"/>
      <c r="AJ1123" s="136">
        <v>1</v>
      </c>
      <c r="AK1123" s="136">
        <v>0</v>
      </c>
      <c r="AL1123" s="136">
        <v>0</v>
      </c>
      <c r="AM1123" s="136">
        <v>0</v>
      </c>
      <c r="AN1123" s="136">
        <v>0</v>
      </c>
      <c r="AO1123" s="136"/>
      <c r="AP1123" s="143" t="e">
        <f>VLOOKUP(tbl_IO_List[[#This Row],[Instruement Tag]],tbl_Instruement_List[],14,FALSE)</f>
        <v>#N/A</v>
      </c>
      <c r="AQ1123" s="143" t="str">
        <f>tbl_IO_List[[#This Row],[Chassis]]&amp;"S"&amp;tbl_IO_List[[#This Row],[Slot]]&amp;"-"&amp;tbl_IO_List[[#This Row],[Front Terminal Number]]</f>
        <v>C8S2-</v>
      </c>
      <c r="AR1123" s="143"/>
      <c r="AS1123" s="136" t="str">
        <f>tbl_IO_List[[#This Row],[Terminal Tagging]]&amp;"-"&amp;tbl_IO_List[[#This Row],[Point-Count]]</f>
        <v>-</v>
      </c>
      <c r="AT1123" s="136" t="str">
        <f>tbl_IO_List[[#This Row],[Front Terminal Tagging]]&amp;"/"&amp;tbl_IO_List[[#This Row],[Terminal Tagging-Item]]</f>
        <v>C8S2-/-</v>
      </c>
      <c r="AU1123" s="136" t="str">
        <f>tbl_IO_List[[#This Row],[Terminal Tagging-Item]]&amp;"/"&amp;tbl_IO_List[[#This Row],[Front Terminal Tagging]]</f>
        <v>-/C8S2-</v>
      </c>
    </row>
    <row r="1124" spans="1:47" hidden="1">
      <c r="A1124" s="147" t="s">
        <v>1371</v>
      </c>
      <c r="B1124" s="136" t="s">
        <v>65</v>
      </c>
      <c r="C1124" s="136" t="str">
        <f>tbl_IO_List[[#This Row],[Column3]]</f>
        <v>C8S02,19</v>
      </c>
      <c r="D1124" s="136" t="e">
        <f>tbl_IO_List[[#This Row],[Card]]</f>
        <v>#N/A</v>
      </c>
      <c r="E1124" s="136" t="s">
        <v>1372</v>
      </c>
      <c r="F1124" s="136" t="str">
        <f>tbl_IO_List[[#This Row],[Column23]]&amp;"-" &amp;tbl_IO_List[[#This Row],[Column52]]</f>
        <v>C8S02-X2</v>
      </c>
      <c r="G1124" s="136" t="str">
        <f>tbl_IO_List[[#This Row],[PLC_Tag]]</f>
        <v>Spare_DI_0</v>
      </c>
      <c r="H1124" s="136"/>
      <c r="I1124" s="136" t="str">
        <f>VLOOKUP(tbl_IO_List[[#This Row],[Destination]],tbl_Junction[],2,FALSE)</f>
        <v>Packing Tower 2th Floor</v>
      </c>
      <c r="J1124" s="136"/>
      <c r="K1124" s="136"/>
      <c r="L1124" s="136" t="s">
        <v>411</v>
      </c>
      <c r="M1124" s="136" t="e">
        <f>VLOOKUP(tbl_IO_List[[#This Row],[Instruement Tag]],tbl_Instruement_List[],2,FALSE)</f>
        <v>#N/A</v>
      </c>
      <c r="N1124" s="136"/>
      <c r="O1124" s="136"/>
      <c r="P1124" s="136"/>
      <c r="Q1124" s="136" t="e">
        <f>VLOOKUP(tbl_IO_List[[#This Row],[Instruement Tag]],tbl_Instruement_List[],6,FALSE)</f>
        <v>#N/A</v>
      </c>
      <c r="R1124" s="136"/>
      <c r="S112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24" s="136" t="str">
        <f>tbl_IO_List[[#This Row],[Instruement Tag]]&amp;"_"&amp;tbl_IO_List[[#This Row],[I/O Type]]&amp;"_"&amp;tbl_IO_List[[#This Row],[IO-Point 
(Instruement)]]</f>
        <v>Spare_DI_0</v>
      </c>
      <c r="U1124" s="136" t="s">
        <v>8</v>
      </c>
      <c r="V1124" s="136">
        <f>VLOOKUP(tbl_IO_List[[#This Row],[I/O Type]],tbl_Slot_Group[],2,FALSE)</f>
        <v>1</v>
      </c>
      <c r="W1124" s="136">
        <v>0</v>
      </c>
      <c r="X1124" s="136" t="str">
        <f>tbl_IO_List[[#This Row],[Chassis]]&amp;"S"&amp;TEXT(tbl_IO_List[[#This Row],[Slot]],"00")</f>
        <v>C8S02</v>
      </c>
      <c r="Y1124" s="136" t="str">
        <f>tbl_IO_List[[#This Row],[Chassis]]&amp;"S"&amp;TEXT(tbl_IO_List[[#This Row],[Slot]],"00")&amp;tbl_IO_List[[#This Row],[I/O Type]]&amp;TEXT(tbl_IO_List[[#This Row],[Point]],"00")</f>
        <v>C8S02DI19</v>
      </c>
      <c r="Z1124" s="136" t="str">
        <f>tbl_IO_List[[#This Row],[Chassis]]&amp;"S"&amp;TEXT(tbl_IO_List[[#This Row],[Slot]],"00")&amp;","&amp;TEXT(tbl_IO_List[[#This Row],[Point]],"00")</f>
        <v>C8S02,19</v>
      </c>
      <c r="AA1124" s="136" t="e">
        <f>VLOOKUP(tbl_IO_List[[#This Row],[Column23]],tbl_RackConfig[],5,FALSE) &amp;"-"&amp;tbl_IO_List[[#This Row],[Point]]</f>
        <v>#N/A</v>
      </c>
      <c r="AB1124" s="136"/>
      <c r="AC1124" s="136"/>
      <c r="AD1124" s="136" t="str">
        <f>tbl_IO_List[[#This Row],[I/O Type]]</f>
        <v>DI</v>
      </c>
      <c r="AE1124" s="136" t="s">
        <v>1843</v>
      </c>
      <c r="AF1124" s="136">
        <v>2</v>
      </c>
      <c r="AG1124" s="136">
        <v>19</v>
      </c>
      <c r="AH1124" s="136"/>
      <c r="AI1124" s="136"/>
      <c r="AJ1124" s="136">
        <v>1</v>
      </c>
      <c r="AK1124" s="136">
        <v>0</v>
      </c>
      <c r="AL1124" s="136">
        <v>0</v>
      </c>
      <c r="AM1124" s="136">
        <v>0</v>
      </c>
      <c r="AN1124" s="136">
        <v>0</v>
      </c>
      <c r="AO1124" s="136"/>
      <c r="AP1124" s="143" t="e">
        <f>VLOOKUP(tbl_IO_List[[#This Row],[Instruement Tag]],tbl_Instruement_List[],14,FALSE)</f>
        <v>#N/A</v>
      </c>
      <c r="AQ1124" s="143" t="str">
        <f>tbl_IO_List[[#This Row],[Chassis]]&amp;"S"&amp;tbl_IO_List[[#This Row],[Slot]]&amp;"-"&amp;tbl_IO_List[[#This Row],[Front Terminal Number]]</f>
        <v>C8S2-</v>
      </c>
      <c r="AR1124" s="143"/>
      <c r="AS1124" s="136" t="str">
        <f>tbl_IO_List[[#This Row],[Terminal Tagging]]&amp;"-"&amp;tbl_IO_List[[#This Row],[Point-Count]]</f>
        <v>-</v>
      </c>
      <c r="AT1124" s="136" t="str">
        <f>tbl_IO_List[[#This Row],[Front Terminal Tagging]]&amp;"/"&amp;tbl_IO_List[[#This Row],[Terminal Tagging-Item]]</f>
        <v>C8S2-/-</v>
      </c>
      <c r="AU1124" s="136" t="str">
        <f>tbl_IO_List[[#This Row],[Terminal Tagging-Item]]&amp;"/"&amp;tbl_IO_List[[#This Row],[Front Terminal Tagging]]</f>
        <v>-/C8S2-</v>
      </c>
    </row>
    <row r="1125" spans="1:47" hidden="1">
      <c r="A1125" s="147" t="s">
        <v>1371</v>
      </c>
      <c r="B1125" s="136" t="s">
        <v>65</v>
      </c>
      <c r="C1125" s="136" t="str">
        <f>tbl_IO_List[[#This Row],[Column3]]</f>
        <v>C8S02,20</v>
      </c>
      <c r="D1125" s="136" t="e">
        <f>tbl_IO_List[[#This Row],[Card]]</f>
        <v>#N/A</v>
      </c>
      <c r="E1125" s="136" t="s">
        <v>1372</v>
      </c>
      <c r="F1125" s="136" t="str">
        <f>tbl_IO_List[[#This Row],[Column23]]&amp;"-" &amp;tbl_IO_List[[#This Row],[Column52]]</f>
        <v>C8S02-X2</v>
      </c>
      <c r="G1125" s="136" t="str">
        <f>tbl_IO_List[[#This Row],[PLC_Tag]]</f>
        <v>Spare_DI_0</v>
      </c>
      <c r="H1125" s="136"/>
      <c r="I1125" s="136" t="str">
        <f>VLOOKUP(tbl_IO_List[[#This Row],[Destination]],tbl_Junction[],2,FALSE)</f>
        <v>Packing Tower 2th Floor</v>
      </c>
      <c r="J1125" s="136"/>
      <c r="K1125" s="136"/>
      <c r="L1125" s="136" t="s">
        <v>411</v>
      </c>
      <c r="M1125" s="136" t="e">
        <f>VLOOKUP(tbl_IO_List[[#This Row],[Instruement Tag]],tbl_Instruement_List[],2,FALSE)</f>
        <v>#N/A</v>
      </c>
      <c r="N1125" s="136"/>
      <c r="O1125" s="136"/>
      <c r="P1125" s="136"/>
      <c r="Q1125" s="136" t="e">
        <f>VLOOKUP(tbl_IO_List[[#This Row],[Instruement Tag]],tbl_Instruement_List[],6,FALSE)</f>
        <v>#N/A</v>
      </c>
      <c r="R1125" s="136"/>
      <c r="S112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25" s="136" t="str">
        <f>tbl_IO_List[[#This Row],[Instruement Tag]]&amp;"_"&amp;tbl_IO_List[[#This Row],[I/O Type]]&amp;"_"&amp;tbl_IO_List[[#This Row],[IO-Point 
(Instruement)]]</f>
        <v>Spare_DI_0</v>
      </c>
      <c r="U1125" s="136" t="s">
        <v>8</v>
      </c>
      <c r="V1125" s="136">
        <f>VLOOKUP(tbl_IO_List[[#This Row],[I/O Type]],tbl_Slot_Group[],2,FALSE)</f>
        <v>1</v>
      </c>
      <c r="W1125" s="136">
        <v>0</v>
      </c>
      <c r="X1125" s="136" t="str">
        <f>tbl_IO_List[[#This Row],[Chassis]]&amp;"S"&amp;TEXT(tbl_IO_List[[#This Row],[Slot]],"00")</f>
        <v>C8S02</v>
      </c>
      <c r="Y1125" s="136" t="str">
        <f>tbl_IO_List[[#This Row],[Chassis]]&amp;"S"&amp;TEXT(tbl_IO_List[[#This Row],[Slot]],"00")&amp;tbl_IO_List[[#This Row],[I/O Type]]&amp;TEXT(tbl_IO_List[[#This Row],[Point]],"00")</f>
        <v>C8S02DI20</v>
      </c>
      <c r="Z1125" s="136" t="str">
        <f>tbl_IO_List[[#This Row],[Chassis]]&amp;"S"&amp;TEXT(tbl_IO_List[[#This Row],[Slot]],"00")&amp;","&amp;TEXT(tbl_IO_List[[#This Row],[Point]],"00")</f>
        <v>C8S02,20</v>
      </c>
      <c r="AA1125" s="136" t="e">
        <f>VLOOKUP(tbl_IO_List[[#This Row],[Column23]],tbl_RackConfig[],5,FALSE) &amp;"-"&amp;tbl_IO_List[[#This Row],[Point]]</f>
        <v>#N/A</v>
      </c>
      <c r="AB1125" s="136"/>
      <c r="AC1125" s="136"/>
      <c r="AD1125" s="136" t="str">
        <f>tbl_IO_List[[#This Row],[I/O Type]]</f>
        <v>DI</v>
      </c>
      <c r="AE1125" s="136" t="s">
        <v>1843</v>
      </c>
      <c r="AF1125" s="136">
        <v>2</v>
      </c>
      <c r="AG1125" s="136">
        <v>20</v>
      </c>
      <c r="AH1125" s="136"/>
      <c r="AI1125" s="136"/>
      <c r="AJ1125" s="136">
        <v>1</v>
      </c>
      <c r="AK1125" s="136">
        <v>0</v>
      </c>
      <c r="AL1125" s="136">
        <v>0</v>
      </c>
      <c r="AM1125" s="136">
        <v>0</v>
      </c>
      <c r="AN1125" s="136">
        <v>0</v>
      </c>
      <c r="AO1125" s="136"/>
      <c r="AP1125" s="143" t="e">
        <f>VLOOKUP(tbl_IO_List[[#This Row],[Instruement Tag]],tbl_Instruement_List[],14,FALSE)</f>
        <v>#N/A</v>
      </c>
      <c r="AQ1125" s="143" t="str">
        <f>tbl_IO_List[[#This Row],[Chassis]]&amp;"S"&amp;tbl_IO_List[[#This Row],[Slot]]&amp;"-"&amp;tbl_IO_List[[#This Row],[Front Terminal Number]]</f>
        <v>C8S2-</v>
      </c>
      <c r="AR1125" s="143"/>
      <c r="AS1125" s="136" t="str">
        <f>tbl_IO_List[[#This Row],[Terminal Tagging]]&amp;"-"&amp;tbl_IO_List[[#This Row],[Point-Count]]</f>
        <v>-</v>
      </c>
      <c r="AT1125" s="136" t="str">
        <f>tbl_IO_List[[#This Row],[Front Terminal Tagging]]&amp;"/"&amp;tbl_IO_List[[#This Row],[Terminal Tagging-Item]]</f>
        <v>C8S2-/-</v>
      </c>
      <c r="AU1125" s="136" t="str">
        <f>tbl_IO_List[[#This Row],[Terminal Tagging-Item]]&amp;"/"&amp;tbl_IO_List[[#This Row],[Front Terminal Tagging]]</f>
        <v>-/C8S2-</v>
      </c>
    </row>
    <row r="1126" spans="1:47" hidden="1">
      <c r="A1126" s="147" t="s">
        <v>1371</v>
      </c>
      <c r="B1126" s="136" t="s">
        <v>65</v>
      </c>
      <c r="C1126" s="136" t="str">
        <f>tbl_IO_List[[#This Row],[Column3]]</f>
        <v>C8S02,21</v>
      </c>
      <c r="D1126" s="136" t="e">
        <f>tbl_IO_List[[#This Row],[Card]]</f>
        <v>#N/A</v>
      </c>
      <c r="E1126" s="136" t="s">
        <v>1372</v>
      </c>
      <c r="F1126" s="136" t="str">
        <f>tbl_IO_List[[#This Row],[Column23]]&amp;"-" &amp;tbl_IO_List[[#This Row],[Column52]]</f>
        <v>C8S02-X2</v>
      </c>
      <c r="G1126" s="136" t="str">
        <f>tbl_IO_List[[#This Row],[PLC_Tag]]</f>
        <v>Spare_DI_0</v>
      </c>
      <c r="H1126" s="136"/>
      <c r="I1126" s="136" t="str">
        <f>VLOOKUP(tbl_IO_List[[#This Row],[Destination]],tbl_Junction[],2,FALSE)</f>
        <v>Packing Tower 2th Floor</v>
      </c>
      <c r="J1126" s="136"/>
      <c r="K1126" s="136"/>
      <c r="L1126" s="136" t="s">
        <v>411</v>
      </c>
      <c r="M1126" s="136" t="e">
        <f>VLOOKUP(tbl_IO_List[[#This Row],[Instruement Tag]],tbl_Instruement_List[],2,FALSE)</f>
        <v>#N/A</v>
      </c>
      <c r="N1126" s="136"/>
      <c r="O1126" s="136"/>
      <c r="P1126" s="136"/>
      <c r="Q1126" s="136" t="e">
        <f>VLOOKUP(tbl_IO_List[[#This Row],[Instruement Tag]],tbl_Instruement_List[],6,FALSE)</f>
        <v>#N/A</v>
      </c>
      <c r="R1126" s="136"/>
      <c r="S112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26" s="136" t="str">
        <f>tbl_IO_List[[#This Row],[Instruement Tag]]&amp;"_"&amp;tbl_IO_List[[#This Row],[I/O Type]]&amp;"_"&amp;tbl_IO_List[[#This Row],[IO-Point 
(Instruement)]]</f>
        <v>Spare_DI_0</v>
      </c>
      <c r="U1126" s="136" t="s">
        <v>8</v>
      </c>
      <c r="V1126" s="136">
        <f>VLOOKUP(tbl_IO_List[[#This Row],[I/O Type]],tbl_Slot_Group[],2,FALSE)</f>
        <v>1</v>
      </c>
      <c r="W1126" s="136">
        <v>0</v>
      </c>
      <c r="X1126" s="136" t="str">
        <f>tbl_IO_List[[#This Row],[Chassis]]&amp;"S"&amp;TEXT(tbl_IO_List[[#This Row],[Slot]],"00")</f>
        <v>C8S02</v>
      </c>
      <c r="Y1126" s="136" t="str">
        <f>tbl_IO_List[[#This Row],[Chassis]]&amp;"S"&amp;TEXT(tbl_IO_List[[#This Row],[Slot]],"00")&amp;tbl_IO_List[[#This Row],[I/O Type]]&amp;TEXT(tbl_IO_List[[#This Row],[Point]],"00")</f>
        <v>C8S02DI21</v>
      </c>
      <c r="Z1126" s="136" t="str">
        <f>tbl_IO_List[[#This Row],[Chassis]]&amp;"S"&amp;TEXT(tbl_IO_List[[#This Row],[Slot]],"00")&amp;","&amp;TEXT(tbl_IO_List[[#This Row],[Point]],"00")</f>
        <v>C8S02,21</v>
      </c>
      <c r="AA1126" s="136" t="e">
        <f>VLOOKUP(tbl_IO_List[[#This Row],[Column23]],tbl_RackConfig[],5,FALSE) &amp;"-"&amp;tbl_IO_List[[#This Row],[Point]]</f>
        <v>#N/A</v>
      </c>
      <c r="AB1126" s="136"/>
      <c r="AC1126" s="136"/>
      <c r="AD1126" s="136" t="str">
        <f>tbl_IO_List[[#This Row],[I/O Type]]</f>
        <v>DI</v>
      </c>
      <c r="AE1126" s="136" t="s">
        <v>1843</v>
      </c>
      <c r="AF1126" s="136">
        <v>2</v>
      </c>
      <c r="AG1126" s="136">
        <v>21</v>
      </c>
      <c r="AH1126" s="136"/>
      <c r="AI1126" s="136"/>
      <c r="AJ1126" s="136">
        <v>1</v>
      </c>
      <c r="AK1126" s="136">
        <v>0</v>
      </c>
      <c r="AL1126" s="136">
        <v>0</v>
      </c>
      <c r="AM1126" s="136">
        <v>0</v>
      </c>
      <c r="AN1126" s="136">
        <v>0</v>
      </c>
      <c r="AO1126" s="136"/>
      <c r="AP1126" s="143" t="e">
        <f>VLOOKUP(tbl_IO_List[[#This Row],[Instruement Tag]],tbl_Instruement_List[],14,FALSE)</f>
        <v>#N/A</v>
      </c>
      <c r="AQ1126" s="143" t="str">
        <f>tbl_IO_List[[#This Row],[Chassis]]&amp;"S"&amp;tbl_IO_List[[#This Row],[Slot]]&amp;"-"&amp;tbl_IO_List[[#This Row],[Front Terminal Number]]</f>
        <v>C8S2-</v>
      </c>
      <c r="AR1126" s="143"/>
      <c r="AS1126" s="136" t="str">
        <f>tbl_IO_List[[#This Row],[Terminal Tagging]]&amp;"-"&amp;tbl_IO_List[[#This Row],[Point-Count]]</f>
        <v>-</v>
      </c>
      <c r="AT1126" s="136" t="str">
        <f>tbl_IO_List[[#This Row],[Front Terminal Tagging]]&amp;"/"&amp;tbl_IO_List[[#This Row],[Terminal Tagging-Item]]</f>
        <v>C8S2-/-</v>
      </c>
      <c r="AU1126" s="136" t="str">
        <f>tbl_IO_List[[#This Row],[Terminal Tagging-Item]]&amp;"/"&amp;tbl_IO_List[[#This Row],[Front Terminal Tagging]]</f>
        <v>-/C8S2-</v>
      </c>
    </row>
    <row r="1127" spans="1:47" hidden="1">
      <c r="A1127" s="147" t="s">
        <v>1371</v>
      </c>
      <c r="B1127" s="136" t="s">
        <v>65</v>
      </c>
      <c r="C1127" s="136" t="str">
        <f>tbl_IO_List[[#This Row],[Column3]]</f>
        <v>C8S02,22</v>
      </c>
      <c r="D1127" s="136" t="e">
        <f>tbl_IO_List[[#This Row],[Card]]</f>
        <v>#N/A</v>
      </c>
      <c r="E1127" s="136" t="s">
        <v>1372</v>
      </c>
      <c r="F1127" s="136" t="str">
        <f>tbl_IO_List[[#This Row],[Column23]]&amp;"-" &amp;tbl_IO_List[[#This Row],[Column52]]</f>
        <v>C8S02-X2</v>
      </c>
      <c r="G1127" s="136" t="str">
        <f>tbl_IO_List[[#This Row],[PLC_Tag]]</f>
        <v>Spare_DI_0</v>
      </c>
      <c r="H1127" s="136"/>
      <c r="I1127" s="136" t="str">
        <f>VLOOKUP(tbl_IO_List[[#This Row],[Destination]],tbl_Junction[],2,FALSE)</f>
        <v>Packing Tower 2th Floor</v>
      </c>
      <c r="J1127" s="136"/>
      <c r="K1127" s="136"/>
      <c r="L1127" s="136" t="s">
        <v>411</v>
      </c>
      <c r="M1127" s="136" t="e">
        <f>VLOOKUP(tbl_IO_List[[#This Row],[Instruement Tag]],tbl_Instruement_List[],2,FALSE)</f>
        <v>#N/A</v>
      </c>
      <c r="N1127" s="136"/>
      <c r="O1127" s="136"/>
      <c r="P1127" s="136"/>
      <c r="Q1127" s="136" t="e">
        <f>VLOOKUP(tbl_IO_List[[#This Row],[Instruement Tag]],tbl_Instruement_List[],6,FALSE)</f>
        <v>#N/A</v>
      </c>
      <c r="R1127" s="136"/>
      <c r="S112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27" s="136" t="str">
        <f>tbl_IO_List[[#This Row],[Instruement Tag]]&amp;"_"&amp;tbl_IO_List[[#This Row],[I/O Type]]&amp;"_"&amp;tbl_IO_List[[#This Row],[IO-Point 
(Instruement)]]</f>
        <v>Spare_DI_0</v>
      </c>
      <c r="U1127" s="136" t="s">
        <v>8</v>
      </c>
      <c r="V1127" s="136">
        <f>VLOOKUP(tbl_IO_List[[#This Row],[I/O Type]],tbl_Slot_Group[],2,FALSE)</f>
        <v>1</v>
      </c>
      <c r="W1127" s="136">
        <v>0</v>
      </c>
      <c r="X1127" s="136" t="str">
        <f>tbl_IO_List[[#This Row],[Chassis]]&amp;"S"&amp;TEXT(tbl_IO_List[[#This Row],[Slot]],"00")</f>
        <v>C8S02</v>
      </c>
      <c r="Y1127" s="136" t="str">
        <f>tbl_IO_List[[#This Row],[Chassis]]&amp;"S"&amp;TEXT(tbl_IO_List[[#This Row],[Slot]],"00")&amp;tbl_IO_List[[#This Row],[I/O Type]]&amp;TEXT(tbl_IO_List[[#This Row],[Point]],"00")</f>
        <v>C8S02DI22</v>
      </c>
      <c r="Z1127" s="136" t="str">
        <f>tbl_IO_List[[#This Row],[Chassis]]&amp;"S"&amp;TEXT(tbl_IO_List[[#This Row],[Slot]],"00")&amp;","&amp;TEXT(tbl_IO_List[[#This Row],[Point]],"00")</f>
        <v>C8S02,22</v>
      </c>
      <c r="AA1127" s="136" t="e">
        <f>VLOOKUP(tbl_IO_List[[#This Row],[Column23]],tbl_RackConfig[],5,FALSE) &amp;"-"&amp;tbl_IO_List[[#This Row],[Point]]</f>
        <v>#N/A</v>
      </c>
      <c r="AB1127" s="136"/>
      <c r="AC1127" s="136"/>
      <c r="AD1127" s="136" t="str">
        <f>tbl_IO_List[[#This Row],[I/O Type]]</f>
        <v>DI</v>
      </c>
      <c r="AE1127" s="136" t="s">
        <v>1843</v>
      </c>
      <c r="AF1127" s="136">
        <v>2</v>
      </c>
      <c r="AG1127" s="136">
        <v>22</v>
      </c>
      <c r="AH1127" s="136"/>
      <c r="AI1127" s="136"/>
      <c r="AJ1127" s="136">
        <v>1</v>
      </c>
      <c r="AK1127" s="136">
        <v>0</v>
      </c>
      <c r="AL1127" s="136">
        <v>0</v>
      </c>
      <c r="AM1127" s="136">
        <v>0</v>
      </c>
      <c r="AN1127" s="136">
        <v>0</v>
      </c>
      <c r="AO1127" s="136"/>
      <c r="AP1127" s="143" t="e">
        <f>VLOOKUP(tbl_IO_List[[#This Row],[Instruement Tag]],tbl_Instruement_List[],14,FALSE)</f>
        <v>#N/A</v>
      </c>
      <c r="AQ1127" s="143" t="str">
        <f>tbl_IO_List[[#This Row],[Chassis]]&amp;"S"&amp;tbl_IO_List[[#This Row],[Slot]]&amp;"-"&amp;tbl_IO_List[[#This Row],[Front Terminal Number]]</f>
        <v>C8S2-</v>
      </c>
      <c r="AR1127" s="143"/>
      <c r="AS1127" s="136" t="str">
        <f>tbl_IO_List[[#This Row],[Terminal Tagging]]&amp;"-"&amp;tbl_IO_List[[#This Row],[Point-Count]]</f>
        <v>-</v>
      </c>
      <c r="AT1127" s="136" t="str">
        <f>tbl_IO_List[[#This Row],[Front Terminal Tagging]]&amp;"/"&amp;tbl_IO_List[[#This Row],[Terminal Tagging-Item]]</f>
        <v>C8S2-/-</v>
      </c>
      <c r="AU1127" s="136" t="str">
        <f>tbl_IO_List[[#This Row],[Terminal Tagging-Item]]&amp;"/"&amp;tbl_IO_List[[#This Row],[Front Terminal Tagging]]</f>
        <v>-/C8S2-</v>
      </c>
    </row>
    <row r="1128" spans="1:47" hidden="1">
      <c r="A1128" s="147" t="s">
        <v>1371</v>
      </c>
      <c r="B1128" s="136" t="s">
        <v>65</v>
      </c>
      <c r="C1128" s="136" t="str">
        <f>tbl_IO_List[[#This Row],[Column3]]</f>
        <v>C8S02,23</v>
      </c>
      <c r="D1128" s="136" t="e">
        <f>tbl_IO_List[[#This Row],[Card]]</f>
        <v>#N/A</v>
      </c>
      <c r="E1128" s="136" t="s">
        <v>1372</v>
      </c>
      <c r="F1128" s="136" t="str">
        <f>tbl_IO_List[[#This Row],[Column23]]&amp;"-" &amp;tbl_IO_List[[#This Row],[Column52]]</f>
        <v>C8S02-X2</v>
      </c>
      <c r="G1128" s="136" t="str">
        <f>tbl_IO_List[[#This Row],[PLC_Tag]]</f>
        <v>Spare_DI_0</v>
      </c>
      <c r="H1128" s="136"/>
      <c r="I1128" s="136" t="str">
        <f>VLOOKUP(tbl_IO_List[[#This Row],[Destination]],tbl_Junction[],2,FALSE)</f>
        <v>Packing Tower 2th Floor</v>
      </c>
      <c r="J1128" s="136"/>
      <c r="K1128" s="136"/>
      <c r="L1128" s="136" t="s">
        <v>411</v>
      </c>
      <c r="M1128" s="136" t="e">
        <f>VLOOKUP(tbl_IO_List[[#This Row],[Instruement Tag]],tbl_Instruement_List[],2,FALSE)</f>
        <v>#N/A</v>
      </c>
      <c r="N1128" s="136"/>
      <c r="O1128" s="136"/>
      <c r="P1128" s="136"/>
      <c r="Q1128" s="136" t="e">
        <f>VLOOKUP(tbl_IO_List[[#This Row],[Instruement Tag]],tbl_Instruement_List[],6,FALSE)</f>
        <v>#N/A</v>
      </c>
      <c r="R1128" s="136"/>
      <c r="S112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28" s="136" t="str">
        <f>tbl_IO_List[[#This Row],[Instruement Tag]]&amp;"_"&amp;tbl_IO_List[[#This Row],[I/O Type]]&amp;"_"&amp;tbl_IO_List[[#This Row],[IO-Point 
(Instruement)]]</f>
        <v>Spare_DI_0</v>
      </c>
      <c r="U1128" s="136" t="s">
        <v>8</v>
      </c>
      <c r="V1128" s="136">
        <f>VLOOKUP(tbl_IO_List[[#This Row],[I/O Type]],tbl_Slot_Group[],2,FALSE)</f>
        <v>1</v>
      </c>
      <c r="W1128" s="136">
        <v>0</v>
      </c>
      <c r="X1128" s="136" t="str">
        <f>tbl_IO_List[[#This Row],[Chassis]]&amp;"S"&amp;TEXT(tbl_IO_List[[#This Row],[Slot]],"00")</f>
        <v>C8S02</v>
      </c>
      <c r="Y1128" s="136" t="str">
        <f>tbl_IO_List[[#This Row],[Chassis]]&amp;"S"&amp;TEXT(tbl_IO_List[[#This Row],[Slot]],"00")&amp;tbl_IO_List[[#This Row],[I/O Type]]&amp;TEXT(tbl_IO_List[[#This Row],[Point]],"00")</f>
        <v>C8S02DI23</v>
      </c>
      <c r="Z1128" s="136" t="str">
        <f>tbl_IO_List[[#This Row],[Chassis]]&amp;"S"&amp;TEXT(tbl_IO_List[[#This Row],[Slot]],"00")&amp;","&amp;TEXT(tbl_IO_List[[#This Row],[Point]],"00")</f>
        <v>C8S02,23</v>
      </c>
      <c r="AA1128" s="136" t="e">
        <f>VLOOKUP(tbl_IO_List[[#This Row],[Column23]],tbl_RackConfig[],5,FALSE) &amp;"-"&amp;tbl_IO_List[[#This Row],[Point]]</f>
        <v>#N/A</v>
      </c>
      <c r="AB1128" s="136"/>
      <c r="AC1128" s="136"/>
      <c r="AD1128" s="136" t="str">
        <f>tbl_IO_List[[#This Row],[I/O Type]]</f>
        <v>DI</v>
      </c>
      <c r="AE1128" s="136" t="s">
        <v>1843</v>
      </c>
      <c r="AF1128" s="136">
        <v>2</v>
      </c>
      <c r="AG1128" s="136">
        <v>23</v>
      </c>
      <c r="AH1128" s="136"/>
      <c r="AI1128" s="136"/>
      <c r="AJ1128" s="136">
        <v>1</v>
      </c>
      <c r="AK1128" s="136">
        <v>0</v>
      </c>
      <c r="AL1128" s="136">
        <v>0</v>
      </c>
      <c r="AM1128" s="136">
        <v>0</v>
      </c>
      <c r="AN1128" s="136">
        <v>0</v>
      </c>
      <c r="AO1128" s="136"/>
      <c r="AP1128" s="143" t="e">
        <f>VLOOKUP(tbl_IO_List[[#This Row],[Instruement Tag]],tbl_Instruement_List[],14,FALSE)</f>
        <v>#N/A</v>
      </c>
      <c r="AQ1128" s="143" t="str">
        <f>tbl_IO_List[[#This Row],[Chassis]]&amp;"S"&amp;tbl_IO_List[[#This Row],[Slot]]&amp;"-"&amp;tbl_IO_List[[#This Row],[Front Terminal Number]]</f>
        <v>C8S2-</v>
      </c>
      <c r="AR1128" s="143"/>
      <c r="AS1128" s="136" t="str">
        <f>tbl_IO_List[[#This Row],[Terminal Tagging]]&amp;"-"&amp;tbl_IO_List[[#This Row],[Point-Count]]</f>
        <v>-</v>
      </c>
      <c r="AT1128" s="136" t="str">
        <f>tbl_IO_List[[#This Row],[Front Terminal Tagging]]&amp;"/"&amp;tbl_IO_List[[#This Row],[Terminal Tagging-Item]]</f>
        <v>C8S2-/-</v>
      </c>
      <c r="AU1128" s="136" t="str">
        <f>tbl_IO_List[[#This Row],[Terminal Tagging-Item]]&amp;"/"&amp;tbl_IO_List[[#This Row],[Front Terminal Tagging]]</f>
        <v>-/C8S2-</v>
      </c>
    </row>
    <row r="1129" spans="1:47" hidden="1">
      <c r="A1129" s="147" t="s">
        <v>1371</v>
      </c>
      <c r="B1129" s="136" t="s">
        <v>65</v>
      </c>
      <c r="C1129" s="136" t="str">
        <f>tbl_IO_List[[#This Row],[Column3]]</f>
        <v>C8S02,24</v>
      </c>
      <c r="D1129" s="136" t="e">
        <f>tbl_IO_List[[#This Row],[Card]]</f>
        <v>#N/A</v>
      </c>
      <c r="E1129" s="136" t="s">
        <v>1372</v>
      </c>
      <c r="F1129" s="136" t="str">
        <f>tbl_IO_List[[#This Row],[Column23]]&amp;"-" &amp;tbl_IO_List[[#This Row],[Column52]]</f>
        <v>C8S02-X2</v>
      </c>
      <c r="G1129" s="136" t="str">
        <f>tbl_IO_List[[#This Row],[PLC_Tag]]</f>
        <v>Spare_DI_0</v>
      </c>
      <c r="H1129" s="136"/>
      <c r="I1129" s="136" t="str">
        <f>VLOOKUP(tbl_IO_List[[#This Row],[Destination]],tbl_Junction[],2,FALSE)</f>
        <v>Packing Tower 2th Floor</v>
      </c>
      <c r="J1129" s="136"/>
      <c r="K1129" s="136"/>
      <c r="L1129" s="136" t="s">
        <v>411</v>
      </c>
      <c r="M1129" s="136" t="e">
        <f>VLOOKUP(tbl_IO_List[[#This Row],[Instruement Tag]],tbl_Instruement_List[],2,FALSE)</f>
        <v>#N/A</v>
      </c>
      <c r="N1129" s="136"/>
      <c r="O1129" s="136"/>
      <c r="P1129" s="136"/>
      <c r="Q1129" s="136" t="e">
        <f>VLOOKUP(tbl_IO_List[[#This Row],[Instruement Tag]],tbl_Instruement_List[],6,FALSE)</f>
        <v>#N/A</v>
      </c>
      <c r="R1129" s="136"/>
      <c r="S112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29" s="136" t="str">
        <f>tbl_IO_List[[#This Row],[Instruement Tag]]&amp;"_"&amp;tbl_IO_List[[#This Row],[I/O Type]]&amp;"_"&amp;tbl_IO_List[[#This Row],[IO-Point 
(Instruement)]]</f>
        <v>Spare_DI_0</v>
      </c>
      <c r="U1129" s="136" t="s">
        <v>8</v>
      </c>
      <c r="V1129" s="136">
        <f>VLOOKUP(tbl_IO_List[[#This Row],[I/O Type]],tbl_Slot_Group[],2,FALSE)</f>
        <v>1</v>
      </c>
      <c r="W1129" s="136">
        <v>0</v>
      </c>
      <c r="X1129" s="136" t="str">
        <f>tbl_IO_List[[#This Row],[Chassis]]&amp;"S"&amp;TEXT(tbl_IO_List[[#This Row],[Slot]],"00")</f>
        <v>C8S02</v>
      </c>
      <c r="Y1129" s="136" t="str">
        <f>tbl_IO_List[[#This Row],[Chassis]]&amp;"S"&amp;TEXT(tbl_IO_List[[#This Row],[Slot]],"00")&amp;tbl_IO_List[[#This Row],[I/O Type]]&amp;TEXT(tbl_IO_List[[#This Row],[Point]],"00")</f>
        <v>C8S02DI24</v>
      </c>
      <c r="Z1129" s="136" t="str">
        <f>tbl_IO_List[[#This Row],[Chassis]]&amp;"S"&amp;TEXT(tbl_IO_List[[#This Row],[Slot]],"00")&amp;","&amp;TEXT(tbl_IO_List[[#This Row],[Point]],"00")</f>
        <v>C8S02,24</v>
      </c>
      <c r="AA1129" s="136" t="e">
        <f>VLOOKUP(tbl_IO_List[[#This Row],[Column23]],tbl_RackConfig[],5,FALSE) &amp;"-"&amp;tbl_IO_List[[#This Row],[Point]]</f>
        <v>#N/A</v>
      </c>
      <c r="AB1129" s="136"/>
      <c r="AC1129" s="136"/>
      <c r="AD1129" s="136" t="str">
        <f>tbl_IO_List[[#This Row],[I/O Type]]</f>
        <v>DI</v>
      </c>
      <c r="AE1129" s="136" t="s">
        <v>1843</v>
      </c>
      <c r="AF1129" s="136">
        <v>2</v>
      </c>
      <c r="AG1129" s="136">
        <v>24</v>
      </c>
      <c r="AH1129" s="136"/>
      <c r="AI1129" s="136"/>
      <c r="AJ1129" s="136">
        <v>1</v>
      </c>
      <c r="AK1129" s="136">
        <v>0</v>
      </c>
      <c r="AL1129" s="136">
        <v>0</v>
      </c>
      <c r="AM1129" s="136">
        <v>0</v>
      </c>
      <c r="AN1129" s="136">
        <v>0</v>
      </c>
      <c r="AO1129" s="136"/>
      <c r="AP1129" s="143" t="e">
        <f>VLOOKUP(tbl_IO_List[[#This Row],[Instruement Tag]],tbl_Instruement_List[],14,FALSE)</f>
        <v>#N/A</v>
      </c>
      <c r="AQ1129" s="143" t="str">
        <f>tbl_IO_List[[#This Row],[Chassis]]&amp;"S"&amp;tbl_IO_List[[#This Row],[Slot]]&amp;"-"&amp;tbl_IO_List[[#This Row],[Front Terminal Number]]</f>
        <v>C8S2-</v>
      </c>
      <c r="AR1129" s="143"/>
      <c r="AS1129" s="136" t="str">
        <f>tbl_IO_List[[#This Row],[Terminal Tagging]]&amp;"-"&amp;tbl_IO_List[[#This Row],[Point-Count]]</f>
        <v>-</v>
      </c>
      <c r="AT1129" s="136" t="str">
        <f>tbl_IO_List[[#This Row],[Front Terminal Tagging]]&amp;"/"&amp;tbl_IO_List[[#This Row],[Terminal Tagging-Item]]</f>
        <v>C8S2-/-</v>
      </c>
      <c r="AU1129" s="136" t="str">
        <f>tbl_IO_List[[#This Row],[Terminal Tagging-Item]]&amp;"/"&amp;tbl_IO_List[[#This Row],[Front Terminal Tagging]]</f>
        <v>-/C8S2-</v>
      </c>
    </row>
    <row r="1130" spans="1:47" hidden="1">
      <c r="A1130" s="147" t="s">
        <v>1371</v>
      </c>
      <c r="B1130" s="136" t="s">
        <v>65</v>
      </c>
      <c r="C1130" s="136" t="str">
        <f>tbl_IO_List[[#This Row],[Column3]]</f>
        <v>C8S02,25</v>
      </c>
      <c r="D1130" s="136" t="e">
        <f>tbl_IO_List[[#This Row],[Card]]</f>
        <v>#N/A</v>
      </c>
      <c r="E1130" s="136" t="s">
        <v>1372</v>
      </c>
      <c r="F1130" s="136" t="str">
        <f>tbl_IO_List[[#This Row],[Column23]]&amp;"-" &amp;tbl_IO_List[[#This Row],[Column52]]</f>
        <v>C8S02-X2</v>
      </c>
      <c r="G1130" s="136" t="str">
        <f>tbl_IO_List[[#This Row],[PLC_Tag]]</f>
        <v>Spare_DI_0</v>
      </c>
      <c r="H1130" s="136"/>
      <c r="I1130" s="136" t="str">
        <f>VLOOKUP(tbl_IO_List[[#This Row],[Destination]],tbl_Junction[],2,FALSE)</f>
        <v>Packing Tower 2th Floor</v>
      </c>
      <c r="J1130" s="136"/>
      <c r="K1130" s="136"/>
      <c r="L1130" s="136" t="s">
        <v>411</v>
      </c>
      <c r="M1130" s="136" t="e">
        <f>VLOOKUP(tbl_IO_List[[#This Row],[Instruement Tag]],tbl_Instruement_List[],2,FALSE)</f>
        <v>#N/A</v>
      </c>
      <c r="N1130" s="136"/>
      <c r="O1130" s="136"/>
      <c r="P1130" s="136"/>
      <c r="Q1130" s="136" t="e">
        <f>VLOOKUP(tbl_IO_List[[#This Row],[Instruement Tag]],tbl_Instruement_List[],6,FALSE)</f>
        <v>#N/A</v>
      </c>
      <c r="R1130" s="136"/>
      <c r="S113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30" s="136" t="str">
        <f>tbl_IO_List[[#This Row],[Instruement Tag]]&amp;"_"&amp;tbl_IO_List[[#This Row],[I/O Type]]&amp;"_"&amp;tbl_IO_List[[#This Row],[IO-Point 
(Instruement)]]</f>
        <v>Spare_DI_0</v>
      </c>
      <c r="U1130" s="136" t="s">
        <v>8</v>
      </c>
      <c r="V1130" s="136">
        <f>VLOOKUP(tbl_IO_List[[#This Row],[I/O Type]],tbl_Slot_Group[],2,FALSE)</f>
        <v>1</v>
      </c>
      <c r="W1130" s="136">
        <v>0</v>
      </c>
      <c r="X1130" s="136" t="str">
        <f>tbl_IO_List[[#This Row],[Chassis]]&amp;"S"&amp;TEXT(tbl_IO_List[[#This Row],[Slot]],"00")</f>
        <v>C8S02</v>
      </c>
      <c r="Y1130" s="136" t="str">
        <f>tbl_IO_List[[#This Row],[Chassis]]&amp;"S"&amp;TEXT(tbl_IO_List[[#This Row],[Slot]],"00")&amp;tbl_IO_List[[#This Row],[I/O Type]]&amp;TEXT(tbl_IO_List[[#This Row],[Point]],"00")</f>
        <v>C8S02DI25</v>
      </c>
      <c r="Z1130" s="136" t="str">
        <f>tbl_IO_List[[#This Row],[Chassis]]&amp;"S"&amp;TEXT(tbl_IO_List[[#This Row],[Slot]],"00")&amp;","&amp;TEXT(tbl_IO_List[[#This Row],[Point]],"00")</f>
        <v>C8S02,25</v>
      </c>
      <c r="AA1130" s="136" t="e">
        <f>VLOOKUP(tbl_IO_List[[#This Row],[Column23]],tbl_RackConfig[],5,FALSE) &amp;"-"&amp;tbl_IO_List[[#This Row],[Point]]</f>
        <v>#N/A</v>
      </c>
      <c r="AB1130" s="136"/>
      <c r="AC1130" s="136"/>
      <c r="AD1130" s="136" t="str">
        <f>tbl_IO_List[[#This Row],[I/O Type]]</f>
        <v>DI</v>
      </c>
      <c r="AE1130" s="136" t="s">
        <v>1843</v>
      </c>
      <c r="AF1130" s="136">
        <v>2</v>
      </c>
      <c r="AG1130" s="136">
        <v>25</v>
      </c>
      <c r="AH1130" s="136"/>
      <c r="AI1130" s="136"/>
      <c r="AJ1130" s="136">
        <v>1</v>
      </c>
      <c r="AK1130" s="136">
        <v>0</v>
      </c>
      <c r="AL1130" s="136">
        <v>0</v>
      </c>
      <c r="AM1130" s="136">
        <v>0</v>
      </c>
      <c r="AN1130" s="136">
        <v>0</v>
      </c>
      <c r="AO1130" s="136"/>
      <c r="AP1130" s="143" t="e">
        <f>VLOOKUP(tbl_IO_List[[#This Row],[Instruement Tag]],tbl_Instruement_List[],14,FALSE)</f>
        <v>#N/A</v>
      </c>
      <c r="AQ1130" s="143" t="str">
        <f>tbl_IO_List[[#This Row],[Chassis]]&amp;"S"&amp;tbl_IO_List[[#This Row],[Slot]]&amp;"-"&amp;tbl_IO_List[[#This Row],[Front Terminal Number]]</f>
        <v>C8S2-</v>
      </c>
      <c r="AR1130" s="143"/>
      <c r="AS1130" s="136" t="str">
        <f>tbl_IO_List[[#This Row],[Terminal Tagging]]&amp;"-"&amp;tbl_IO_List[[#This Row],[Point-Count]]</f>
        <v>-</v>
      </c>
      <c r="AT1130" s="136" t="str">
        <f>tbl_IO_List[[#This Row],[Front Terminal Tagging]]&amp;"/"&amp;tbl_IO_List[[#This Row],[Terminal Tagging-Item]]</f>
        <v>C8S2-/-</v>
      </c>
      <c r="AU1130" s="136" t="str">
        <f>tbl_IO_List[[#This Row],[Terminal Tagging-Item]]&amp;"/"&amp;tbl_IO_List[[#This Row],[Front Terminal Tagging]]</f>
        <v>-/C8S2-</v>
      </c>
    </row>
    <row r="1131" spans="1:47" hidden="1">
      <c r="A1131" s="147" t="s">
        <v>1371</v>
      </c>
      <c r="B1131" s="136" t="s">
        <v>65</v>
      </c>
      <c r="C1131" s="136" t="str">
        <f>tbl_IO_List[[#This Row],[Column3]]</f>
        <v>C8S02,26</v>
      </c>
      <c r="D1131" s="136" t="e">
        <f>tbl_IO_List[[#This Row],[Card]]</f>
        <v>#N/A</v>
      </c>
      <c r="E1131" s="136" t="s">
        <v>1372</v>
      </c>
      <c r="F1131" s="136" t="str">
        <f>tbl_IO_List[[#This Row],[Column23]]&amp;"-" &amp;tbl_IO_List[[#This Row],[Column52]]</f>
        <v>C8S02-X2</v>
      </c>
      <c r="G1131" s="136" t="str">
        <f>tbl_IO_List[[#This Row],[PLC_Tag]]</f>
        <v>Spare_DI_0</v>
      </c>
      <c r="H1131" s="136"/>
      <c r="I1131" s="136" t="str">
        <f>VLOOKUP(tbl_IO_List[[#This Row],[Destination]],tbl_Junction[],2,FALSE)</f>
        <v>Packing Tower 2th Floor</v>
      </c>
      <c r="J1131" s="136"/>
      <c r="K1131" s="136"/>
      <c r="L1131" s="136" t="s">
        <v>411</v>
      </c>
      <c r="M1131" s="136" t="e">
        <f>VLOOKUP(tbl_IO_List[[#This Row],[Instruement Tag]],tbl_Instruement_List[],2,FALSE)</f>
        <v>#N/A</v>
      </c>
      <c r="N1131" s="136"/>
      <c r="O1131" s="136"/>
      <c r="P1131" s="136"/>
      <c r="Q1131" s="136" t="e">
        <f>VLOOKUP(tbl_IO_List[[#This Row],[Instruement Tag]],tbl_Instruement_List[],6,FALSE)</f>
        <v>#N/A</v>
      </c>
      <c r="R1131" s="136"/>
      <c r="S113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31" s="136" t="str">
        <f>tbl_IO_List[[#This Row],[Instruement Tag]]&amp;"_"&amp;tbl_IO_List[[#This Row],[I/O Type]]&amp;"_"&amp;tbl_IO_List[[#This Row],[IO-Point 
(Instruement)]]</f>
        <v>Spare_DI_0</v>
      </c>
      <c r="U1131" s="136" t="s">
        <v>8</v>
      </c>
      <c r="V1131" s="136">
        <f>VLOOKUP(tbl_IO_List[[#This Row],[I/O Type]],tbl_Slot_Group[],2,FALSE)</f>
        <v>1</v>
      </c>
      <c r="W1131" s="136">
        <v>0</v>
      </c>
      <c r="X1131" s="136" t="str">
        <f>tbl_IO_List[[#This Row],[Chassis]]&amp;"S"&amp;TEXT(tbl_IO_List[[#This Row],[Slot]],"00")</f>
        <v>C8S02</v>
      </c>
      <c r="Y1131" s="136" t="str">
        <f>tbl_IO_List[[#This Row],[Chassis]]&amp;"S"&amp;TEXT(tbl_IO_List[[#This Row],[Slot]],"00")&amp;tbl_IO_List[[#This Row],[I/O Type]]&amp;TEXT(tbl_IO_List[[#This Row],[Point]],"00")</f>
        <v>C8S02DI26</v>
      </c>
      <c r="Z1131" s="136" t="str">
        <f>tbl_IO_List[[#This Row],[Chassis]]&amp;"S"&amp;TEXT(tbl_IO_List[[#This Row],[Slot]],"00")&amp;","&amp;TEXT(tbl_IO_List[[#This Row],[Point]],"00")</f>
        <v>C8S02,26</v>
      </c>
      <c r="AA1131" s="136" t="e">
        <f>VLOOKUP(tbl_IO_List[[#This Row],[Column23]],tbl_RackConfig[],5,FALSE) &amp;"-"&amp;tbl_IO_List[[#This Row],[Point]]</f>
        <v>#N/A</v>
      </c>
      <c r="AB1131" s="136"/>
      <c r="AC1131" s="136"/>
      <c r="AD1131" s="136" t="str">
        <f>tbl_IO_List[[#This Row],[I/O Type]]</f>
        <v>DI</v>
      </c>
      <c r="AE1131" s="136" t="s">
        <v>1843</v>
      </c>
      <c r="AF1131" s="136">
        <v>2</v>
      </c>
      <c r="AG1131" s="136">
        <v>26</v>
      </c>
      <c r="AH1131" s="136"/>
      <c r="AI1131" s="136"/>
      <c r="AJ1131" s="136">
        <v>1</v>
      </c>
      <c r="AK1131" s="136">
        <v>0</v>
      </c>
      <c r="AL1131" s="136">
        <v>0</v>
      </c>
      <c r="AM1131" s="136">
        <v>0</v>
      </c>
      <c r="AN1131" s="136">
        <v>0</v>
      </c>
      <c r="AO1131" s="136"/>
      <c r="AP1131" s="143" t="e">
        <f>VLOOKUP(tbl_IO_List[[#This Row],[Instruement Tag]],tbl_Instruement_List[],14,FALSE)</f>
        <v>#N/A</v>
      </c>
      <c r="AQ1131" s="143" t="str">
        <f>tbl_IO_List[[#This Row],[Chassis]]&amp;"S"&amp;tbl_IO_List[[#This Row],[Slot]]&amp;"-"&amp;tbl_IO_List[[#This Row],[Front Terminal Number]]</f>
        <v>C8S2-</v>
      </c>
      <c r="AR1131" s="143"/>
      <c r="AS1131" s="136" t="str">
        <f>tbl_IO_List[[#This Row],[Terminal Tagging]]&amp;"-"&amp;tbl_IO_List[[#This Row],[Point-Count]]</f>
        <v>-</v>
      </c>
      <c r="AT1131" s="136" t="str">
        <f>tbl_IO_List[[#This Row],[Front Terminal Tagging]]&amp;"/"&amp;tbl_IO_List[[#This Row],[Terminal Tagging-Item]]</f>
        <v>C8S2-/-</v>
      </c>
      <c r="AU1131" s="136" t="str">
        <f>tbl_IO_List[[#This Row],[Terminal Tagging-Item]]&amp;"/"&amp;tbl_IO_List[[#This Row],[Front Terminal Tagging]]</f>
        <v>-/C8S2-</v>
      </c>
    </row>
    <row r="1132" spans="1:47" hidden="1">
      <c r="A1132" s="147" t="s">
        <v>1371</v>
      </c>
      <c r="B1132" s="136" t="s">
        <v>65</v>
      </c>
      <c r="C1132" s="136" t="str">
        <f>tbl_IO_List[[#This Row],[Column3]]</f>
        <v>C8S02,27</v>
      </c>
      <c r="D1132" s="136" t="e">
        <f>tbl_IO_List[[#This Row],[Card]]</f>
        <v>#N/A</v>
      </c>
      <c r="E1132" s="136" t="s">
        <v>1372</v>
      </c>
      <c r="F1132" s="136" t="str">
        <f>tbl_IO_List[[#This Row],[Column23]]&amp;"-" &amp;tbl_IO_List[[#This Row],[Column52]]</f>
        <v>C8S02-X2</v>
      </c>
      <c r="G1132" s="136" t="str">
        <f>tbl_IO_List[[#This Row],[PLC_Tag]]</f>
        <v>Spare_DI_0</v>
      </c>
      <c r="H1132" s="136"/>
      <c r="I1132" s="136" t="str">
        <f>VLOOKUP(tbl_IO_List[[#This Row],[Destination]],tbl_Junction[],2,FALSE)</f>
        <v>Packing Tower 2th Floor</v>
      </c>
      <c r="J1132" s="136"/>
      <c r="K1132" s="136"/>
      <c r="L1132" s="136" t="s">
        <v>411</v>
      </c>
      <c r="M1132" s="136" t="e">
        <f>VLOOKUP(tbl_IO_List[[#This Row],[Instruement Tag]],tbl_Instruement_List[],2,FALSE)</f>
        <v>#N/A</v>
      </c>
      <c r="N1132" s="136"/>
      <c r="O1132" s="136"/>
      <c r="P1132" s="136"/>
      <c r="Q1132" s="136" t="e">
        <f>VLOOKUP(tbl_IO_List[[#This Row],[Instruement Tag]],tbl_Instruement_List[],6,FALSE)</f>
        <v>#N/A</v>
      </c>
      <c r="R1132" s="136"/>
      <c r="S113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32" s="136" t="str">
        <f>tbl_IO_List[[#This Row],[Instruement Tag]]&amp;"_"&amp;tbl_IO_List[[#This Row],[I/O Type]]&amp;"_"&amp;tbl_IO_List[[#This Row],[IO-Point 
(Instruement)]]</f>
        <v>Spare_DI_0</v>
      </c>
      <c r="U1132" s="136" t="s">
        <v>8</v>
      </c>
      <c r="V1132" s="136">
        <f>VLOOKUP(tbl_IO_List[[#This Row],[I/O Type]],tbl_Slot_Group[],2,FALSE)</f>
        <v>1</v>
      </c>
      <c r="W1132" s="136">
        <v>0</v>
      </c>
      <c r="X1132" s="136" t="str">
        <f>tbl_IO_List[[#This Row],[Chassis]]&amp;"S"&amp;TEXT(tbl_IO_List[[#This Row],[Slot]],"00")</f>
        <v>C8S02</v>
      </c>
      <c r="Y1132" s="136" t="str">
        <f>tbl_IO_List[[#This Row],[Chassis]]&amp;"S"&amp;TEXT(tbl_IO_List[[#This Row],[Slot]],"00")&amp;tbl_IO_List[[#This Row],[I/O Type]]&amp;TEXT(tbl_IO_List[[#This Row],[Point]],"00")</f>
        <v>C8S02DI27</v>
      </c>
      <c r="Z1132" s="136" t="str">
        <f>tbl_IO_List[[#This Row],[Chassis]]&amp;"S"&amp;TEXT(tbl_IO_List[[#This Row],[Slot]],"00")&amp;","&amp;TEXT(tbl_IO_List[[#This Row],[Point]],"00")</f>
        <v>C8S02,27</v>
      </c>
      <c r="AA1132" s="136" t="e">
        <f>VLOOKUP(tbl_IO_List[[#This Row],[Column23]],tbl_RackConfig[],5,FALSE) &amp;"-"&amp;tbl_IO_List[[#This Row],[Point]]</f>
        <v>#N/A</v>
      </c>
      <c r="AB1132" s="136"/>
      <c r="AC1132" s="136"/>
      <c r="AD1132" s="136" t="str">
        <f>tbl_IO_List[[#This Row],[I/O Type]]</f>
        <v>DI</v>
      </c>
      <c r="AE1132" s="136" t="s">
        <v>1843</v>
      </c>
      <c r="AF1132" s="136">
        <v>2</v>
      </c>
      <c r="AG1132" s="136">
        <v>27</v>
      </c>
      <c r="AH1132" s="136"/>
      <c r="AI1132" s="136"/>
      <c r="AJ1132" s="136">
        <v>1</v>
      </c>
      <c r="AK1132" s="136">
        <v>0</v>
      </c>
      <c r="AL1132" s="136">
        <v>0</v>
      </c>
      <c r="AM1132" s="136">
        <v>0</v>
      </c>
      <c r="AN1132" s="136">
        <v>0</v>
      </c>
      <c r="AO1132" s="136"/>
      <c r="AP1132" s="143" t="e">
        <f>VLOOKUP(tbl_IO_List[[#This Row],[Instruement Tag]],tbl_Instruement_List[],14,FALSE)</f>
        <v>#N/A</v>
      </c>
      <c r="AQ1132" s="143" t="str">
        <f>tbl_IO_List[[#This Row],[Chassis]]&amp;"S"&amp;tbl_IO_List[[#This Row],[Slot]]&amp;"-"&amp;tbl_IO_List[[#This Row],[Front Terminal Number]]</f>
        <v>C8S2-</v>
      </c>
      <c r="AR1132" s="143"/>
      <c r="AS1132" s="136" t="str">
        <f>tbl_IO_List[[#This Row],[Terminal Tagging]]&amp;"-"&amp;tbl_IO_List[[#This Row],[Point-Count]]</f>
        <v>-</v>
      </c>
      <c r="AT1132" s="136" t="str">
        <f>tbl_IO_List[[#This Row],[Front Terminal Tagging]]&amp;"/"&amp;tbl_IO_List[[#This Row],[Terminal Tagging-Item]]</f>
        <v>C8S2-/-</v>
      </c>
      <c r="AU1132" s="136" t="str">
        <f>tbl_IO_List[[#This Row],[Terminal Tagging-Item]]&amp;"/"&amp;tbl_IO_List[[#This Row],[Front Terminal Tagging]]</f>
        <v>-/C8S2-</v>
      </c>
    </row>
    <row r="1133" spans="1:47" hidden="1">
      <c r="A1133" s="147" t="s">
        <v>1371</v>
      </c>
      <c r="B1133" s="136" t="s">
        <v>65</v>
      </c>
      <c r="C1133" s="136" t="str">
        <f>tbl_IO_List[[#This Row],[Column3]]</f>
        <v>C8S02,28</v>
      </c>
      <c r="D1133" s="136" t="e">
        <f>tbl_IO_List[[#This Row],[Card]]</f>
        <v>#N/A</v>
      </c>
      <c r="E1133" s="136" t="s">
        <v>1372</v>
      </c>
      <c r="F1133" s="136" t="str">
        <f>tbl_IO_List[[#This Row],[Column23]]&amp;"-" &amp;tbl_IO_List[[#This Row],[Column52]]</f>
        <v>C8S02-X2</v>
      </c>
      <c r="G1133" s="136" t="str">
        <f>tbl_IO_List[[#This Row],[PLC_Tag]]</f>
        <v>Spare_DI_0</v>
      </c>
      <c r="H1133" s="136"/>
      <c r="I1133" s="136" t="str">
        <f>VLOOKUP(tbl_IO_List[[#This Row],[Destination]],tbl_Junction[],2,FALSE)</f>
        <v>Packing Tower 2th Floor</v>
      </c>
      <c r="J1133" s="136"/>
      <c r="K1133" s="136"/>
      <c r="L1133" s="136" t="s">
        <v>411</v>
      </c>
      <c r="M1133" s="136" t="e">
        <f>VLOOKUP(tbl_IO_List[[#This Row],[Instruement Tag]],tbl_Instruement_List[],2,FALSE)</f>
        <v>#N/A</v>
      </c>
      <c r="N1133" s="136"/>
      <c r="O1133" s="136"/>
      <c r="P1133" s="136"/>
      <c r="Q1133" s="136" t="e">
        <f>VLOOKUP(tbl_IO_List[[#This Row],[Instruement Tag]],tbl_Instruement_List[],6,FALSE)</f>
        <v>#N/A</v>
      </c>
      <c r="R1133" s="136"/>
      <c r="S113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33" s="136" t="str">
        <f>tbl_IO_List[[#This Row],[Instruement Tag]]&amp;"_"&amp;tbl_IO_List[[#This Row],[I/O Type]]&amp;"_"&amp;tbl_IO_List[[#This Row],[IO-Point 
(Instruement)]]</f>
        <v>Spare_DI_0</v>
      </c>
      <c r="U1133" s="136" t="s">
        <v>8</v>
      </c>
      <c r="V1133" s="136">
        <f>VLOOKUP(tbl_IO_List[[#This Row],[I/O Type]],tbl_Slot_Group[],2,FALSE)</f>
        <v>1</v>
      </c>
      <c r="W1133" s="136">
        <v>0</v>
      </c>
      <c r="X1133" s="136" t="str">
        <f>tbl_IO_List[[#This Row],[Chassis]]&amp;"S"&amp;TEXT(tbl_IO_List[[#This Row],[Slot]],"00")</f>
        <v>C8S02</v>
      </c>
      <c r="Y1133" s="136" t="str">
        <f>tbl_IO_List[[#This Row],[Chassis]]&amp;"S"&amp;TEXT(tbl_IO_List[[#This Row],[Slot]],"00")&amp;tbl_IO_List[[#This Row],[I/O Type]]&amp;TEXT(tbl_IO_List[[#This Row],[Point]],"00")</f>
        <v>C8S02DI28</v>
      </c>
      <c r="Z1133" s="136" t="str">
        <f>tbl_IO_List[[#This Row],[Chassis]]&amp;"S"&amp;TEXT(tbl_IO_List[[#This Row],[Slot]],"00")&amp;","&amp;TEXT(tbl_IO_List[[#This Row],[Point]],"00")</f>
        <v>C8S02,28</v>
      </c>
      <c r="AA1133" s="136" t="e">
        <f>VLOOKUP(tbl_IO_List[[#This Row],[Column23]],tbl_RackConfig[],5,FALSE) &amp;"-"&amp;tbl_IO_List[[#This Row],[Point]]</f>
        <v>#N/A</v>
      </c>
      <c r="AB1133" s="136"/>
      <c r="AC1133" s="136"/>
      <c r="AD1133" s="136" t="str">
        <f>tbl_IO_List[[#This Row],[I/O Type]]</f>
        <v>DI</v>
      </c>
      <c r="AE1133" s="136" t="s">
        <v>1843</v>
      </c>
      <c r="AF1133" s="136">
        <v>2</v>
      </c>
      <c r="AG1133" s="136">
        <v>28</v>
      </c>
      <c r="AH1133" s="136"/>
      <c r="AI1133" s="136"/>
      <c r="AJ1133" s="136">
        <v>1</v>
      </c>
      <c r="AK1133" s="136">
        <v>0</v>
      </c>
      <c r="AL1133" s="136">
        <v>0</v>
      </c>
      <c r="AM1133" s="136">
        <v>0</v>
      </c>
      <c r="AN1133" s="136">
        <v>0</v>
      </c>
      <c r="AO1133" s="136"/>
      <c r="AP1133" s="143" t="e">
        <f>VLOOKUP(tbl_IO_List[[#This Row],[Instruement Tag]],tbl_Instruement_List[],14,FALSE)</f>
        <v>#N/A</v>
      </c>
      <c r="AQ1133" s="143" t="str">
        <f>tbl_IO_List[[#This Row],[Chassis]]&amp;"S"&amp;tbl_IO_List[[#This Row],[Slot]]&amp;"-"&amp;tbl_IO_List[[#This Row],[Front Terminal Number]]</f>
        <v>C8S2-</v>
      </c>
      <c r="AR1133" s="143"/>
      <c r="AS1133" s="136" t="str">
        <f>tbl_IO_List[[#This Row],[Terminal Tagging]]&amp;"-"&amp;tbl_IO_List[[#This Row],[Point-Count]]</f>
        <v>-</v>
      </c>
      <c r="AT1133" s="136" t="str">
        <f>tbl_IO_List[[#This Row],[Front Terminal Tagging]]&amp;"/"&amp;tbl_IO_List[[#This Row],[Terminal Tagging-Item]]</f>
        <v>C8S2-/-</v>
      </c>
      <c r="AU1133" s="136" t="str">
        <f>tbl_IO_List[[#This Row],[Terminal Tagging-Item]]&amp;"/"&amp;tbl_IO_List[[#This Row],[Front Terminal Tagging]]</f>
        <v>-/C8S2-</v>
      </c>
    </row>
    <row r="1134" spans="1:47" hidden="1">
      <c r="A1134" s="147" t="s">
        <v>1371</v>
      </c>
      <c r="B1134" s="136" t="s">
        <v>65</v>
      </c>
      <c r="C1134" s="136" t="str">
        <f>tbl_IO_List[[#This Row],[Column3]]</f>
        <v>C8S02,29</v>
      </c>
      <c r="D1134" s="136" t="e">
        <f>tbl_IO_List[[#This Row],[Card]]</f>
        <v>#N/A</v>
      </c>
      <c r="E1134" s="136" t="s">
        <v>1372</v>
      </c>
      <c r="F1134" s="136" t="str">
        <f>tbl_IO_List[[#This Row],[Column23]]&amp;"-" &amp;tbl_IO_List[[#This Row],[Column52]]</f>
        <v>C8S02-X2</v>
      </c>
      <c r="G1134" s="136" t="str">
        <f>tbl_IO_List[[#This Row],[PLC_Tag]]</f>
        <v>Spare_DI_0</v>
      </c>
      <c r="H1134" s="136"/>
      <c r="I1134" s="136" t="str">
        <f>VLOOKUP(tbl_IO_List[[#This Row],[Destination]],tbl_Junction[],2,FALSE)</f>
        <v>Packing Tower 2th Floor</v>
      </c>
      <c r="J1134" s="136"/>
      <c r="K1134" s="136"/>
      <c r="L1134" s="136" t="s">
        <v>411</v>
      </c>
      <c r="M1134" s="136" t="e">
        <f>VLOOKUP(tbl_IO_List[[#This Row],[Instruement Tag]],tbl_Instruement_List[],2,FALSE)</f>
        <v>#N/A</v>
      </c>
      <c r="N1134" s="136"/>
      <c r="O1134" s="136"/>
      <c r="P1134" s="136"/>
      <c r="Q1134" s="136" t="e">
        <f>VLOOKUP(tbl_IO_List[[#This Row],[Instruement Tag]],tbl_Instruement_List[],6,FALSE)</f>
        <v>#N/A</v>
      </c>
      <c r="R1134" s="136"/>
      <c r="S113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34" s="136" t="str">
        <f>tbl_IO_List[[#This Row],[Instruement Tag]]&amp;"_"&amp;tbl_IO_List[[#This Row],[I/O Type]]&amp;"_"&amp;tbl_IO_List[[#This Row],[IO-Point 
(Instruement)]]</f>
        <v>Spare_DI_0</v>
      </c>
      <c r="U1134" s="136" t="s">
        <v>8</v>
      </c>
      <c r="V1134" s="136">
        <f>VLOOKUP(tbl_IO_List[[#This Row],[I/O Type]],tbl_Slot_Group[],2,FALSE)</f>
        <v>1</v>
      </c>
      <c r="W1134" s="136">
        <v>0</v>
      </c>
      <c r="X1134" s="136" t="str">
        <f>tbl_IO_List[[#This Row],[Chassis]]&amp;"S"&amp;TEXT(tbl_IO_List[[#This Row],[Slot]],"00")</f>
        <v>C8S02</v>
      </c>
      <c r="Y1134" s="136" t="str">
        <f>tbl_IO_List[[#This Row],[Chassis]]&amp;"S"&amp;TEXT(tbl_IO_List[[#This Row],[Slot]],"00")&amp;tbl_IO_List[[#This Row],[I/O Type]]&amp;TEXT(tbl_IO_List[[#This Row],[Point]],"00")</f>
        <v>C8S02DI29</v>
      </c>
      <c r="Z1134" s="136" t="str">
        <f>tbl_IO_List[[#This Row],[Chassis]]&amp;"S"&amp;TEXT(tbl_IO_List[[#This Row],[Slot]],"00")&amp;","&amp;TEXT(tbl_IO_List[[#This Row],[Point]],"00")</f>
        <v>C8S02,29</v>
      </c>
      <c r="AA1134" s="136" t="e">
        <f>VLOOKUP(tbl_IO_List[[#This Row],[Column23]],tbl_RackConfig[],5,FALSE) &amp;"-"&amp;tbl_IO_List[[#This Row],[Point]]</f>
        <v>#N/A</v>
      </c>
      <c r="AB1134" s="136"/>
      <c r="AC1134" s="136"/>
      <c r="AD1134" s="136" t="str">
        <f>tbl_IO_List[[#This Row],[I/O Type]]</f>
        <v>DI</v>
      </c>
      <c r="AE1134" s="136" t="s">
        <v>1843</v>
      </c>
      <c r="AF1134" s="136">
        <v>2</v>
      </c>
      <c r="AG1134" s="136">
        <v>29</v>
      </c>
      <c r="AH1134" s="136"/>
      <c r="AI1134" s="136"/>
      <c r="AJ1134" s="136">
        <v>1</v>
      </c>
      <c r="AK1134" s="136">
        <v>0</v>
      </c>
      <c r="AL1134" s="136">
        <v>0</v>
      </c>
      <c r="AM1134" s="136">
        <v>0</v>
      </c>
      <c r="AN1134" s="136">
        <v>0</v>
      </c>
      <c r="AO1134" s="136"/>
      <c r="AP1134" s="143" t="e">
        <f>VLOOKUP(tbl_IO_List[[#This Row],[Instruement Tag]],tbl_Instruement_List[],14,FALSE)</f>
        <v>#N/A</v>
      </c>
      <c r="AQ1134" s="143" t="str">
        <f>tbl_IO_List[[#This Row],[Chassis]]&amp;"S"&amp;tbl_IO_List[[#This Row],[Slot]]&amp;"-"&amp;tbl_IO_List[[#This Row],[Front Terminal Number]]</f>
        <v>C8S2-</v>
      </c>
      <c r="AR1134" s="143"/>
      <c r="AS1134" s="136" t="str">
        <f>tbl_IO_List[[#This Row],[Terminal Tagging]]&amp;"-"&amp;tbl_IO_List[[#This Row],[Point-Count]]</f>
        <v>-</v>
      </c>
      <c r="AT1134" s="136" t="str">
        <f>tbl_IO_List[[#This Row],[Front Terminal Tagging]]&amp;"/"&amp;tbl_IO_List[[#This Row],[Terminal Tagging-Item]]</f>
        <v>C8S2-/-</v>
      </c>
      <c r="AU1134" s="136" t="str">
        <f>tbl_IO_List[[#This Row],[Terminal Tagging-Item]]&amp;"/"&amp;tbl_IO_List[[#This Row],[Front Terminal Tagging]]</f>
        <v>-/C8S2-</v>
      </c>
    </row>
    <row r="1135" spans="1:47" hidden="1">
      <c r="A1135" s="147" t="s">
        <v>1371</v>
      </c>
      <c r="B1135" s="136" t="s">
        <v>65</v>
      </c>
      <c r="C1135" s="136" t="str">
        <f>tbl_IO_List[[#This Row],[Column3]]</f>
        <v>C8S02,30</v>
      </c>
      <c r="D1135" s="136" t="e">
        <f>tbl_IO_List[[#This Row],[Card]]</f>
        <v>#N/A</v>
      </c>
      <c r="E1135" s="136" t="s">
        <v>1372</v>
      </c>
      <c r="F1135" s="136" t="str">
        <f>tbl_IO_List[[#This Row],[Column23]]&amp;"-" &amp;tbl_IO_List[[#This Row],[Column52]]</f>
        <v>C8S02-X2</v>
      </c>
      <c r="G1135" s="136" t="str">
        <f>tbl_IO_List[[#This Row],[PLC_Tag]]</f>
        <v>Spare_DI_0</v>
      </c>
      <c r="H1135" s="136"/>
      <c r="I1135" s="136" t="str">
        <f>VLOOKUP(tbl_IO_List[[#This Row],[Destination]],tbl_Junction[],2,FALSE)</f>
        <v>Packing Tower 2th Floor</v>
      </c>
      <c r="J1135" s="136"/>
      <c r="K1135" s="136"/>
      <c r="L1135" s="136" t="s">
        <v>411</v>
      </c>
      <c r="M1135" s="136" t="e">
        <f>VLOOKUP(tbl_IO_List[[#This Row],[Instruement Tag]],tbl_Instruement_List[],2,FALSE)</f>
        <v>#N/A</v>
      </c>
      <c r="N1135" s="136"/>
      <c r="O1135" s="136"/>
      <c r="P1135" s="136"/>
      <c r="Q1135" s="136" t="e">
        <f>VLOOKUP(tbl_IO_List[[#This Row],[Instruement Tag]],tbl_Instruement_List[],6,FALSE)</f>
        <v>#N/A</v>
      </c>
      <c r="R1135" s="136"/>
      <c r="S113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35" s="136" t="str">
        <f>tbl_IO_List[[#This Row],[Instruement Tag]]&amp;"_"&amp;tbl_IO_List[[#This Row],[I/O Type]]&amp;"_"&amp;tbl_IO_List[[#This Row],[IO-Point 
(Instruement)]]</f>
        <v>Spare_DI_0</v>
      </c>
      <c r="U1135" s="136" t="s">
        <v>8</v>
      </c>
      <c r="V1135" s="136">
        <f>VLOOKUP(tbl_IO_List[[#This Row],[I/O Type]],tbl_Slot_Group[],2,FALSE)</f>
        <v>1</v>
      </c>
      <c r="W1135" s="136">
        <v>0</v>
      </c>
      <c r="X1135" s="136" t="str">
        <f>tbl_IO_List[[#This Row],[Chassis]]&amp;"S"&amp;TEXT(tbl_IO_List[[#This Row],[Slot]],"00")</f>
        <v>C8S02</v>
      </c>
      <c r="Y1135" s="136" t="str">
        <f>tbl_IO_List[[#This Row],[Chassis]]&amp;"S"&amp;TEXT(tbl_IO_List[[#This Row],[Slot]],"00")&amp;tbl_IO_List[[#This Row],[I/O Type]]&amp;TEXT(tbl_IO_List[[#This Row],[Point]],"00")</f>
        <v>C8S02DI30</v>
      </c>
      <c r="Z1135" s="136" t="str">
        <f>tbl_IO_List[[#This Row],[Chassis]]&amp;"S"&amp;TEXT(tbl_IO_List[[#This Row],[Slot]],"00")&amp;","&amp;TEXT(tbl_IO_List[[#This Row],[Point]],"00")</f>
        <v>C8S02,30</v>
      </c>
      <c r="AA1135" s="136" t="e">
        <f>VLOOKUP(tbl_IO_List[[#This Row],[Column23]],tbl_RackConfig[],5,FALSE) &amp;"-"&amp;tbl_IO_List[[#This Row],[Point]]</f>
        <v>#N/A</v>
      </c>
      <c r="AB1135" s="136"/>
      <c r="AC1135" s="136"/>
      <c r="AD1135" s="136" t="str">
        <f>tbl_IO_List[[#This Row],[I/O Type]]</f>
        <v>DI</v>
      </c>
      <c r="AE1135" s="136" t="s">
        <v>1843</v>
      </c>
      <c r="AF1135" s="136">
        <v>2</v>
      </c>
      <c r="AG1135" s="136">
        <v>30</v>
      </c>
      <c r="AH1135" s="136"/>
      <c r="AI1135" s="136"/>
      <c r="AJ1135" s="136">
        <v>1</v>
      </c>
      <c r="AK1135" s="136">
        <v>0</v>
      </c>
      <c r="AL1135" s="136">
        <v>0</v>
      </c>
      <c r="AM1135" s="136">
        <v>0</v>
      </c>
      <c r="AN1135" s="136">
        <v>0</v>
      </c>
      <c r="AO1135" s="136"/>
      <c r="AP1135" s="143" t="e">
        <f>VLOOKUP(tbl_IO_List[[#This Row],[Instruement Tag]],tbl_Instruement_List[],14,FALSE)</f>
        <v>#N/A</v>
      </c>
      <c r="AQ1135" s="143" t="str">
        <f>tbl_IO_List[[#This Row],[Chassis]]&amp;"S"&amp;tbl_IO_List[[#This Row],[Slot]]&amp;"-"&amp;tbl_IO_List[[#This Row],[Front Terminal Number]]</f>
        <v>C8S2-</v>
      </c>
      <c r="AR1135" s="143"/>
      <c r="AS1135" s="136" t="str">
        <f>tbl_IO_List[[#This Row],[Terminal Tagging]]&amp;"-"&amp;tbl_IO_List[[#This Row],[Point-Count]]</f>
        <v>-</v>
      </c>
      <c r="AT1135" s="136" t="str">
        <f>tbl_IO_List[[#This Row],[Front Terminal Tagging]]&amp;"/"&amp;tbl_IO_List[[#This Row],[Terminal Tagging-Item]]</f>
        <v>C8S2-/-</v>
      </c>
      <c r="AU1135" s="136" t="str">
        <f>tbl_IO_List[[#This Row],[Terminal Tagging-Item]]&amp;"/"&amp;tbl_IO_List[[#This Row],[Front Terminal Tagging]]</f>
        <v>-/C8S2-</v>
      </c>
    </row>
    <row r="1136" spans="1:47" hidden="1">
      <c r="A1136" s="147" t="s">
        <v>1371</v>
      </c>
      <c r="B1136" s="136" t="s">
        <v>65</v>
      </c>
      <c r="C1136" s="136" t="str">
        <f>tbl_IO_List[[#This Row],[Column3]]</f>
        <v>C8S02,31</v>
      </c>
      <c r="D1136" s="136" t="e">
        <f>tbl_IO_List[[#This Row],[Card]]</f>
        <v>#N/A</v>
      </c>
      <c r="E1136" s="136" t="s">
        <v>1372</v>
      </c>
      <c r="F1136" s="136" t="str">
        <f>tbl_IO_List[[#This Row],[Column23]]&amp;"-" &amp;tbl_IO_List[[#This Row],[Column52]]</f>
        <v>C8S02-X2</v>
      </c>
      <c r="G1136" s="136" t="str">
        <f>tbl_IO_List[[#This Row],[PLC_Tag]]</f>
        <v>Spare_DI_0</v>
      </c>
      <c r="H1136" s="136"/>
      <c r="I1136" s="136" t="str">
        <f>VLOOKUP(tbl_IO_List[[#This Row],[Destination]],tbl_Junction[],2,FALSE)</f>
        <v>Packing Tower 2th Floor</v>
      </c>
      <c r="J1136" s="136"/>
      <c r="K1136" s="136"/>
      <c r="L1136" s="136" t="s">
        <v>411</v>
      </c>
      <c r="M1136" s="136" t="e">
        <f>VLOOKUP(tbl_IO_List[[#This Row],[Instruement Tag]],tbl_Instruement_List[],2,FALSE)</f>
        <v>#N/A</v>
      </c>
      <c r="N1136" s="136"/>
      <c r="O1136" s="136"/>
      <c r="P1136" s="136"/>
      <c r="Q1136" s="136" t="e">
        <f>VLOOKUP(tbl_IO_List[[#This Row],[Instruement Tag]],tbl_Instruement_List[],6,FALSE)</f>
        <v>#N/A</v>
      </c>
      <c r="R1136" s="136"/>
      <c r="S113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36" s="136" t="str">
        <f>tbl_IO_List[[#This Row],[Instruement Tag]]&amp;"_"&amp;tbl_IO_List[[#This Row],[I/O Type]]&amp;"_"&amp;tbl_IO_List[[#This Row],[IO-Point 
(Instruement)]]</f>
        <v>Spare_DI_0</v>
      </c>
      <c r="U1136" s="136" t="s">
        <v>8</v>
      </c>
      <c r="V1136" s="136">
        <f>VLOOKUP(tbl_IO_List[[#This Row],[I/O Type]],tbl_Slot_Group[],2,FALSE)</f>
        <v>1</v>
      </c>
      <c r="W1136" s="136">
        <v>0</v>
      </c>
      <c r="X1136" s="136" t="str">
        <f>tbl_IO_List[[#This Row],[Chassis]]&amp;"S"&amp;TEXT(tbl_IO_List[[#This Row],[Slot]],"00")</f>
        <v>C8S02</v>
      </c>
      <c r="Y1136" s="136" t="str">
        <f>tbl_IO_List[[#This Row],[Chassis]]&amp;"S"&amp;TEXT(tbl_IO_List[[#This Row],[Slot]],"00")&amp;tbl_IO_List[[#This Row],[I/O Type]]&amp;TEXT(tbl_IO_List[[#This Row],[Point]],"00")</f>
        <v>C8S02DI31</v>
      </c>
      <c r="Z1136" s="136" t="str">
        <f>tbl_IO_List[[#This Row],[Chassis]]&amp;"S"&amp;TEXT(tbl_IO_List[[#This Row],[Slot]],"00")&amp;","&amp;TEXT(tbl_IO_List[[#This Row],[Point]],"00")</f>
        <v>C8S02,31</v>
      </c>
      <c r="AA1136" s="136" t="e">
        <f>VLOOKUP(tbl_IO_List[[#This Row],[Column23]],tbl_RackConfig[],5,FALSE) &amp;"-"&amp;tbl_IO_List[[#This Row],[Point]]</f>
        <v>#N/A</v>
      </c>
      <c r="AB1136" s="136"/>
      <c r="AC1136" s="136"/>
      <c r="AD1136" s="136" t="str">
        <f>tbl_IO_List[[#This Row],[I/O Type]]</f>
        <v>DI</v>
      </c>
      <c r="AE1136" s="136" t="s">
        <v>1843</v>
      </c>
      <c r="AF1136" s="136">
        <v>2</v>
      </c>
      <c r="AG1136" s="136">
        <v>31</v>
      </c>
      <c r="AH1136" s="136"/>
      <c r="AI1136" s="136"/>
      <c r="AJ1136" s="136">
        <v>1</v>
      </c>
      <c r="AK1136" s="136">
        <v>0</v>
      </c>
      <c r="AL1136" s="136">
        <v>0</v>
      </c>
      <c r="AM1136" s="136">
        <v>0</v>
      </c>
      <c r="AN1136" s="136">
        <v>0</v>
      </c>
      <c r="AO1136" s="136"/>
      <c r="AP1136" s="143" t="e">
        <f>VLOOKUP(tbl_IO_List[[#This Row],[Instruement Tag]],tbl_Instruement_List[],14,FALSE)</f>
        <v>#N/A</v>
      </c>
      <c r="AQ1136" s="143" t="str">
        <f>tbl_IO_List[[#This Row],[Chassis]]&amp;"S"&amp;tbl_IO_List[[#This Row],[Slot]]&amp;"-"&amp;tbl_IO_List[[#This Row],[Front Terminal Number]]</f>
        <v>C8S2-</v>
      </c>
      <c r="AR1136" s="143"/>
      <c r="AS1136" s="136" t="str">
        <f>tbl_IO_List[[#This Row],[Terminal Tagging]]&amp;"-"&amp;tbl_IO_List[[#This Row],[Point-Count]]</f>
        <v>-</v>
      </c>
      <c r="AT1136" s="136" t="str">
        <f>tbl_IO_List[[#This Row],[Front Terminal Tagging]]&amp;"/"&amp;tbl_IO_List[[#This Row],[Terminal Tagging-Item]]</f>
        <v>C8S2-/-</v>
      </c>
      <c r="AU1136" s="136" t="str">
        <f>tbl_IO_List[[#This Row],[Terminal Tagging-Item]]&amp;"/"&amp;tbl_IO_List[[#This Row],[Front Terminal Tagging]]</f>
        <v>-/C8S2-</v>
      </c>
    </row>
    <row r="1137" spans="1:47" hidden="1">
      <c r="A1137" s="147" t="s">
        <v>1365</v>
      </c>
      <c r="B1137" s="136" t="s">
        <v>90</v>
      </c>
      <c r="C1137" s="136" t="str">
        <f>tbl_IO_List[[#This Row],[Column3]]</f>
        <v>C8S03,00</v>
      </c>
      <c r="D1137" s="136" t="e">
        <f>tbl_IO_List[[#This Row],[Card]]</f>
        <v>#N/A</v>
      </c>
      <c r="E1137" s="136" t="s">
        <v>1366</v>
      </c>
      <c r="F1137" s="136" t="str">
        <f>tbl_IO_List[[#This Row],[Column23]]&amp;"-" &amp;tbl_IO_List[[#This Row],[Column52]]</f>
        <v>C8S03-X1</v>
      </c>
      <c r="G1137" s="136" t="str">
        <f>tbl_IO_List[[#This Row],[PLC_Tag]]</f>
        <v>ISV-61301_DI_1</v>
      </c>
      <c r="H1137" s="136"/>
      <c r="I1137" s="136" t="str">
        <f>VLOOKUP(tbl_IO_List[[#This Row],[Destination]],tbl_Junction[],2,FALSE)</f>
        <v>Packing Tower 8th Floor</v>
      </c>
      <c r="J1137" s="136" t="s">
        <v>360</v>
      </c>
      <c r="K1137" s="136" t="s">
        <v>66</v>
      </c>
      <c r="L1137" s="136" t="s">
        <v>109</v>
      </c>
      <c r="M1137" s="136" t="e">
        <f>VLOOKUP(tbl_IO_List[[#This Row],[Instruement Tag]],tbl_Instruement_List[],2,FALSE)</f>
        <v>#N/A</v>
      </c>
      <c r="N1137" s="136" t="s">
        <v>93</v>
      </c>
      <c r="O1137" s="136" t="s">
        <v>78</v>
      </c>
      <c r="P1137" s="136" t="s">
        <v>75</v>
      </c>
      <c r="Q1137" s="136" t="e">
        <f>VLOOKUP(tbl_IO_List[[#This Row],[Instruement Tag]],tbl_Instruement_List[],6,FALSE)</f>
        <v>#N/A</v>
      </c>
      <c r="R1137" s="136"/>
      <c r="S113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37" s="136" t="str">
        <f>tbl_IO_List[[#This Row],[Instruement Tag]]&amp;"_"&amp;tbl_IO_List[[#This Row],[I/O Type]]&amp;"_"&amp;tbl_IO_List[[#This Row],[IO-Point 
(Instruement)]]</f>
        <v>ISV-61301_DI_1</v>
      </c>
      <c r="U1137" s="136" t="s">
        <v>8</v>
      </c>
      <c r="V1137" s="136">
        <f>VLOOKUP(tbl_IO_List[[#This Row],[I/O Type]],tbl_Slot_Group[],2,FALSE)</f>
        <v>1</v>
      </c>
      <c r="W1137" s="136">
        <v>1</v>
      </c>
      <c r="X1137" s="136" t="str">
        <f>tbl_IO_List[[#This Row],[Chassis]]&amp;"S"&amp;TEXT(tbl_IO_List[[#This Row],[Slot]],"00")</f>
        <v>C8S03</v>
      </c>
      <c r="Y1137" s="136" t="str">
        <f>tbl_IO_List[[#This Row],[Chassis]]&amp;"S"&amp;TEXT(tbl_IO_List[[#This Row],[Slot]],"00")&amp;tbl_IO_List[[#This Row],[I/O Type]]&amp;TEXT(tbl_IO_List[[#This Row],[Point]],"00")</f>
        <v>C8S03DI00</v>
      </c>
      <c r="Z1137" s="136" t="str">
        <f>tbl_IO_List[[#This Row],[Chassis]]&amp;"S"&amp;TEXT(tbl_IO_List[[#This Row],[Slot]],"00")&amp;","&amp;TEXT(tbl_IO_List[[#This Row],[Point]],"00")</f>
        <v>C8S03,00</v>
      </c>
      <c r="AA1137" s="136" t="e">
        <f>VLOOKUP(tbl_IO_List[[#This Row],[Column23]],tbl_RackConfig[],5,FALSE) &amp;"-"&amp;tbl_IO_List[[#This Row],[Point]]</f>
        <v>#N/A</v>
      </c>
      <c r="AB1137" s="136"/>
      <c r="AC1137" s="136"/>
      <c r="AD1137" s="136" t="str">
        <f>tbl_IO_List[[#This Row],[I/O Type]]</f>
        <v>DI</v>
      </c>
      <c r="AE1137" s="136" t="s">
        <v>1843</v>
      </c>
      <c r="AF1137" s="136">
        <v>3</v>
      </c>
      <c r="AG1137" s="136">
        <v>0</v>
      </c>
      <c r="AH1137" s="136"/>
      <c r="AI1137" s="136"/>
      <c r="AJ1137" s="136">
        <v>1</v>
      </c>
      <c r="AK1137" s="136">
        <v>0</v>
      </c>
      <c r="AL1137" s="136">
        <v>0</v>
      </c>
      <c r="AM1137" s="136">
        <v>0</v>
      </c>
      <c r="AN1137" s="136">
        <v>0</v>
      </c>
      <c r="AO1137" s="136"/>
      <c r="AP1137" s="143" t="e">
        <f>VLOOKUP(tbl_IO_List[[#This Row],[Instruement Tag]],tbl_Instruement_List[],14,FALSE)</f>
        <v>#N/A</v>
      </c>
      <c r="AQ1137" s="143" t="str">
        <f>tbl_IO_List[[#This Row],[Chassis]]&amp;"S"&amp;tbl_IO_List[[#This Row],[Slot]]&amp;"-"&amp;tbl_IO_List[[#This Row],[Front Terminal Number]]</f>
        <v>C8S3-</v>
      </c>
      <c r="AR1137" s="143"/>
      <c r="AS1137" s="136" t="str">
        <f>tbl_IO_List[[#This Row],[Terminal Tagging]]&amp;"-"&amp;tbl_IO_List[[#This Row],[Point-Count]]</f>
        <v>-</v>
      </c>
      <c r="AT1137" s="136" t="str">
        <f>tbl_IO_List[[#This Row],[Front Terminal Tagging]]&amp;"/"&amp;tbl_IO_List[[#This Row],[Terminal Tagging-Item]]</f>
        <v>C8S3-/-</v>
      </c>
      <c r="AU1137" s="136" t="str">
        <f>tbl_IO_List[[#This Row],[Terminal Tagging-Item]]&amp;"/"&amp;tbl_IO_List[[#This Row],[Front Terminal Tagging]]</f>
        <v>-/C8S3-</v>
      </c>
    </row>
    <row r="1138" spans="1:47" hidden="1">
      <c r="A1138" s="147" t="s">
        <v>1365</v>
      </c>
      <c r="B1138" s="136" t="s">
        <v>90</v>
      </c>
      <c r="C1138" s="136" t="str">
        <f>tbl_IO_List[[#This Row],[Column3]]</f>
        <v>C8S03,01</v>
      </c>
      <c r="D1138" s="136" t="e">
        <f>tbl_IO_List[[#This Row],[Card]]</f>
        <v>#N/A</v>
      </c>
      <c r="E1138" s="136" t="s">
        <v>1366</v>
      </c>
      <c r="F1138" s="136" t="str">
        <f>tbl_IO_List[[#This Row],[Column23]]&amp;"-" &amp;tbl_IO_List[[#This Row],[Column52]]</f>
        <v>C8S03-X1</v>
      </c>
      <c r="G1138" s="136" t="str">
        <f>tbl_IO_List[[#This Row],[PLC_Tag]]</f>
        <v>LSH-61301_DI_1</v>
      </c>
      <c r="H1138" s="136"/>
      <c r="I1138" s="136" t="str">
        <f>VLOOKUP(tbl_IO_List[[#This Row],[Destination]],tbl_Junction[],2,FALSE)</f>
        <v>Packing Tower 8th Floor</v>
      </c>
      <c r="J1138" s="136" t="s">
        <v>360</v>
      </c>
      <c r="K1138" s="136" t="s">
        <v>66</v>
      </c>
      <c r="L1138" s="136" t="s">
        <v>94</v>
      </c>
      <c r="M1138" s="136">
        <f>VLOOKUP(tbl_IO_List[[#This Row],[Instruement Tag]],tbl_Instruement_List[],2,FALSE)</f>
        <v>0</v>
      </c>
      <c r="N1138" s="136" t="s">
        <v>95</v>
      </c>
      <c r="O1138" s="136" t="s">
        <v>78</v>
      </c>
      <c r="P1138" s="136" t="s">
        <v>75</v>
      </c>
      <c r="Q1138" s="136" t="str">
        <f>VLOOKUP(tbl_IO_List[[#This Row],[Instruement Tag]],tbl_Instruement_List[],6,FALSE)</f>
        <v xml:space="preserve">Level alarm high </v>
      </c>
      <c r="R1138" s="136"/>
      <c r="S113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38" s="136" t="str">
        <f>tbl_IO_List[[#This Row],[Instruement Tag]]&amp;"_"&amp;tbl_IO_List[[#This Row],[I/O Type]]&amp;"_"&amp;tbl_IO_List[[#This Row],[IO-Point 
(Instruement)]]</f>
        <v>LSH-61301_DI_1</v>
      </c>
      <c r="U1138" s="136" t="s">
        <v>8</v>
      </c>
      <c r="V1138" s="136">
        <f>VLOOKUP(tbl_IO_List[[#This Row],[I/O Type]],tbl_Slot_Group[],2,FALSE)</f>
        <v>1</v>
      </c>
      <c r="W1138" s="136">
        <v>1</v>
      </c>
      <c r="X1138" s="136" t="str">
        <f>tbl_IO_List[[#This Row],[Chassis]]&amp;"S"&amp;TEXT(tbl_IO_List[[#This Row],[Slot]],"00")</f>
        <v>C8S03</v>
      </c>
      <c r="Y1138" s="136" t="str">
        <f>tbl_IO_List[[#This Row],[Chassis]]&amp;"S"&amp;TEXT(tbl_IO_List[[#This Row],[Slot]],"00")&amp;tbl_IO_List[[#This Row],[I/O Type]]&amp;TEXT(tbl_IO_List[[#This Row],[Point]],"00")</f>
        <v>C8S03DI01</v>
      </c>
      <c r="Z1138" s="136" t="str">
        <f>tbl_IO_List[[#This Row],[Chassis]]&amp;"S"&amp;TEXT(tbl_IO_List[[#This Row],[Slot]],"00")&amp;","&amp;TEXT(tbl_IO_List[[#This Row],[Point]],"00")</f>
        <v>C8S03,01</v>
      </c>
      <c r="AA1138" s="136" t="e">
        <f>VLOOKUP(tbl_IO_List[[#This Row],[Column23]],tbl_RackConfig[],5,FALSE) &amp;"-"&amp;tbl_IO_List[[#This Row],[Point]]</f>
        <v>#N/A</v>
      </c>
      <c r="AB1138" s="136"/>
      <c r="AC1138" s="136"/>
      <c r="AD1138" s="136" t="str">
        <f>tbl_IO_List[[#This Row],[I/O Type]]</f>
        <v>DI</v>
      </c>
      <c r="AE1138" s="136" t="s">
        <v>1843</v>
      </c>
      <c r="AF1138" s="136">
        <v>3</v>
      </c>
      <c r="AG1138" s="136">
        <v>1</v>
      </c>
      <c r="AH1138" s="136"/>
      <c r="AI1138" s="136"/>
      <c r="AJ1138" s="136">
        <v>1</v>
      </c>
      <c r="AK1138" s="136">
        <v>0</v>
      </c>
      <c r="AL1138" s="136">
        <v>0</v>
      </c>
      <c r="AM1138" s="136">
        <v>0</v>
      </c>
      <c r="AN1138" s="136">
        <v>0</v>
      </c>
      <c r="AO1138" s="136"/>
      <c r="AP1138" s="143" t="str">
        <f>VLOOKUP(tbl_IO_List[[#This Row],[Instruement Tag]],tbl_Instruement_List[],14,FALSE)</f>
        <v>Dry Contact</v>
      </c>
      <c r="AQ1138" s="143" t="str">
        <f>tbl_IO_List[[#This Row],[Chassis]]&amp;"S"&amp;tbl_IO_List[[#This Row],[Slot]]&amp;"-"&amp;tbl_IO_List[[#This Row],[Front Terminal Number]]</f>
        <v>C8S3-</v>
      </c>
      <c r="AR1138" s="143"/>
      <c r="AS1138" s="136" t="str">
        <f>tbl_IO_List[[#This Row],[Terminal Tagging]]&amp;"-"&amp;tbl_IO_List[[#This Row],[Point-Count]]</f>
        <v>-</v>
      </c>
      <c r="AT1138" s="136" t="str">
        <f>tbl_IO_List[[#This Row],[Front Terminal Tagging]]&amp;"/"&amp;tbl_IO_List[[#This Row],[Terminal Tagging-Item]]</f>
        <v>C8S3-/-</v>
      </c>
      <c r="AU1138" s="136" t="str">
        <f>tbl_IO_List[[#This Row],[Terminal Tagging-Item]]&amp;"/"&amp;tbl_IO_List[[#This Row],[Front Terminal Tagging]]</f>
        <v>-/C8S3-</v>
      </c>
    </row>
    <row r="1139" spans="1:47" hidden="1">
      <c r="A1139" s="147" t="s">
        <v>1365</v>
      </c>
      <c r="B1139" s="136" t="s">
        <v>90</v>
      </c>
      <c r="C1139" s="136" t="str">
        <f>tbl_IO_List[[#This Row],[Column3]]</f>
        <v>C8S03,02</v>
      </c>
      <c r="D1139" s="136" t="e">
        <f>tbl_IO_List[[#This Row],[Card]]</f>
        <v>#N/A</v>
      </c>
      <c r="E1139" s="136" t="s">
        <v>1366</v>
      </c>
      <c r="F1139" s="136" t="str">
        <f>tbl_IO_List[[#This Row],[Column23]]&amp;"-" &amp;tbl_IO_List[[#This Row],[Column52]]</f>
        <v>C8S03-X1</v>
      </c>
      <c r="G1139" s="136" t="str">
        <f>tbl_IO_List[[#This Row],[PLC_Tag]]</f>
        <v>LSH-61303_DI_1</v>
      </c>
      <c r="H1139" s="136"/>
      <c r="I1139" s="136" t="str">
        <f>VLOOKUP(tbl_IO_List[[#This Row],[Destination]],tbl_Junction[],2,FALSE)</f>
        <v>Packing Tower 8th Floor</v>
      </c>
      <c r="J1139" s="136" t="s">
        <v>360</v>
      </c>
      <c r="K1139" s="136" t="s">
        <v>66</v>
      </c>
      <c r="L1139" s="136" t="s">
        <v>1375</v>
      </c>
      <c r="M1139" s="136" t="e">
        <f>VLOOKUP(tbl_IO_List[[#This Row],[Instruement Tag]],tbl_Instruement_List[],2,FALSE)</f>
        <v>#N/A</v>
      </c>
      <c r="N1139" s="136" t="s">
        <v>95</v>
      </c>
      <c r="O1139" s="136" t="s">
        <v>78</v>
      </c>
      <c r="P1139" s="136" t="s">
        <v>18</v>
      </c>
      <c r="Q1139" s="136" t="e">
        <f>VLOOKUP(tbl_IO_List[[#This Row],[Instruement Tag]],tbl_Instruement_List[],6,FALSE)</f>
        <v>#N/A</v>
      </c>
      <c r="R1139" s="136"/>
      <c r="S113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39" s="136" t="str">
        <f>tbl_IO_List[[#This Row],[Instruement Tag]]&amp;"_"&amp;tbl_IO_List[[#This Row],[I/O Type]]&amp;"_"&amp;tbl_IO_List[[#This Row],[IO-Point 
(Instruement)]]</f>
        <v>LSH-61303_DI_1</v>
      </c>
      <c r="U1139" s="136" t="s">
        <v>8</v>
      </c>
      <c r="V1139" s="136">
        <f>VLOOKUP(tbl_IO_List[[#This Row],[I/O Type]],tbl_Slot_Group[],2,FALSE)</f>
        <v>1</v>
      </c>
      <c r="W1139" s="136">
        <v>1</v>
      </c>
      <c r="X1139" s="136" t="str">
        <f>tbl_IO_List[[#This Row],[Chassis]]&amp;"S"&amp;TEXT(tbl_IO_List[[#This Row],[Slot]],"00")</f>
        <v>C8S03</v>
      </c>
      <c r="Y1139" s="136" t="str">
        <f>tbl_IO_List[[#This Row],[Chassis]]&amp;"S"&amp;TEXT(tbl_IO_List[[#This Row],[Slot]],"00")&amp;tbl_IO_List[[#This Row],[I/O Type]]&amp;TEXT(tbl_IO_List[[#This Row],[Point]],"00")</f>
        <v>C8S03DI02</v>
      </c>
      <c r="Z1139" s="136" t="str">
        <f>tbl_IO_List[[#This Row],[Chassis]]&amp;"S"&amp;TEXT(tbl_IO_List[[#This Row],[Slot]],"00")&amp;","&amp;TEXT(tbl_IO_List[[#This Row],[Point]],"00")</f>
        <v>C8S03,02</v>
      </c>
      <c r="AA1139" s="136" t="e">
        <f>VLOOKUP(tbl_IO_List[[#This Row],[Column23]],tbl_RackConfig[],5,FALSE) &amp;"-"&amp;tbl_IO_List[[#This Row],[Point]]</f>
        <v>#N/A</v>
      </c>
      <c r="AB1139" s="136"/>
      <c r="AC1139" s="136"/>
      <c r="AD1139" s="136" t="str">
        <f>tbl_IO_List[[#This Row],[I/O Type]]</f>
        <v>DI</v>
      </c>
      <c r="AE1139" s="136" t="s">
        <v>1843</v>
      </c>
      <c r="AF1139" s="136">
        <v>3</v>
      </c>
      <c r="AG1139" s="136">
        <v>2</v>
      </c>
      <c r="AH1139" s="136"/>
      <c r="AI1139" s="136"/>
      <c r="AJ1139" s="136">
        <v>1</v>
      </c>
      <c r="AK1139" s="136">
        <v>0</v>
      </c>
      <c r="AL1139" s="136">
        <v>0</v>
      </c>
      <c r="AM1139" s="136">
        <v>0</v>
      </c>
      <c r="AN1139" s="136">
        <v>0</v>
      </c>
      <c r="AO1139" s="136"/>
      <c r="AP1139" s="143" t="e">
        <f>VLOOKUP(tbl_IO_List[[#This Row],[Instruement Tag]],tbl_Instruement_List[],14,FALSE)</f>
        <v>#N/A</v>
      </c>
      <c r="AQ1139" s="143" t="str">
        <f>tbl_IO_List[[#This Row],[Chassis]]&amp;"S"&amp;tbl_IO_List[[#This Row],[Slot]]&amp;"-"&amp;tbl_IO_List[[#This Row],[Front Terminal Number]]</f>
        <v>C8S3-</v>
      </c>
      <c r="AR1139" s="143"/>
      <c r="AS1139" s="136" t="str">
        <f>tbl_IO_List[[#This Row],[Terminal Tagging]]&amp;"-"&amp;tbl_IO_List[[#This Row],[Point-Count]]</f>
        <v>-</v>
      </c>
      <c r="AT1139" s="136" t="str">
        <f>tbl_IO_List[[#This Row],[Front Terminal Tagging]]&amp;"/"&amp;tbl_IO_List[[#This Row],[Terminal Tagging-Item]]</f>
        <v>C8S3-/-</v>
      </c>
      <c r="AU1139" s="136" t="str">
        <f>tbl_IO_List[[#This Row],[Terminal Tagging-Item]]&amp;"/"&amp;tbl_IO_List[[#This Row],[Front Terminal Tagging]]</f>
        <v>-/C8S3-</v>
      </c>
    </row>
    <row r="1140" spans="1:47" hidden="1">
      <c r="A1140" s="147" t="s">
        <v>1365</v>
      </c>
      <c r="B1140" s="136" t="s">
        <v>90</v>
      </c>
      <c r="C1140" s="136" t="str">
        <f>tbl_IO_List[[#This Row],[Column3]]</f>
        <v>C8S03,03</v>
      </c>
      <c r="D1140" s="136" t="e">
        <f>tbl_IO_List[[#This Row],[Card]]</f>
        <v>#N/A</v>
      </c>
      <c r="E1140" s="136" t="s">
        <v>1366</v>
      </c>
      <c r="F1140" s="136" t="str">
        <f>tbl_IO_List[[#This Row],[Column23]]&amp;"-" &amp;tbl_IO_List[[#This Row],[Column52]]</f>
        <v>C8S03-X1</v>
      </c>
      <c r="G1140" s="136" t="str">
        <f>tbl_IO_List[[#This Row],[PLC_Tag]]</f>
        <v>LSH-61306_DI_1</v>
      </c>
      <c r="H1140" s="136"/>
      <c r="I1140" s="136" t="str">
        <f>VLOOKUP(tbl_IO_List[[#This Row],[Destination]],tbl_Junction[],2,FALSE)</f>
        <v>Packing Tower 8th Floor</v>
      </c>
      <c r="J1140" s="136" t="s">
        <v>360</v>
      </c>
      <c r="K1140" s="136" t="s">
        <v>66</v>
      </c>
      <c r="L1140" s="136" t="s">
        <v>97</v>
      </c>
      <c r="M1140" s="136">
        <f>VLOOKUP(tbl_IO_List[[#This Row],[Instruement Tag]],tbl_Instruement_List[],2,FALSE)</f>
        <v>0</v>
      </c>
      <c r="N1140" s="136" t="s">
        <v>93</v>
      </c>
      <c r="O1140" s="136" t="s">
        <v>78</v>
      </c>
      <c r="P1140" s="136" t="s">
        <v>75</v>
      </c>
      <c r="Q1140" s="136" t="str">
        <f>VLOOKUP(tbl_IO_List[[#This Row],[Instruement Tag]],tbl_Instruement_List[],6,FALSE)</f>
        <v>Level alarm high</v>
      </c>
      <c r="R1140" s="136"/>
      <c r="S114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40" s="136" t="str">
        <f>tbl_IO_List[[#This Row],[Instruement Tag]]&amp;"_"&amp;tbl_IO_List[[#This Row],[I/O Type]]&amp;"_"&amp;tbl_IO_List[[#This Row],[IO-Point 
(Instruement)]]</f>
        <v>LSH-61306_DI_1</v>
      </c>
      <c r="U1140" s="136" t="s">
        <v>8</v>
      </c>
      <c r="V1140" s="136">
        <f>VLOOKUP(tbl_IO_List[[#This Row],[I/O Type]],tbl_Slot_Group[],2,FALSE)</f>
        <v>1</v>
      </c>
      <c r="W1140" s="136">
        <v>1</v>
      </c>
      <c r="X1140" s="136" t="str">
        <f>tbl_IO_List[[#This Row],[Chassis]]&amp;"S"&amp;TEXT(tbl_IO_List[[#This Row],[Slot]],"00")</f>
        <v>C8S03</v>
      </c>
      <c r="Y1140" s="136" t="str">
        <f>tbl_IO_List[[#This Row],[Chassis]]&amp;"S"&amp;TEXT(tbl_IO_List[[#This Row],[Slot]],"00")&amp;tbl_IO_List[[#This Row],[I/O Type]]&amp;TEXT(tbl_IO_List[[#This Row],[Point]],"00")</f>
        <v>C8S03DI03</v>
      </c>
      <c r="Z1140" s="136" t="str">
        <f>tbl_IO_List[[#This Row],[Chassis]]&amp;"S"&amp;TEXT(tbl_IO_List[[#This Row],[Slot]],"00")&amp;","&amp;TEXT(tbl_IO_List[[#This Row],[Point]],"00")</f>
        <v>C8S03,03</v>
      </c>
      <c r="AA1140" s="136" t="e">
        <f>VLOOKUP(tbl_IO_List[[#This Row],[Column23]],tbl_RackConfig[],5,FALSE) &amp;"-"&amp;tbl_IO_List[[#This Row],[Point]]</f>
        <v>#N/A</v>
      </c>
      <c r="AB1140" s="136"/>
      <c r="AC1140" s="136"/>
      <c r="AD1140" s="136" t="str">
        <f>tbl_IO_List[[#This Row],[I/O Type]]</f>
        <v>DI</v>
      </c>
      <c r="AE1140" s="136" t="s">
        <v>1843</v>
      </c>
      <c r="AF1140" s="136">
        <v>3</v>
      </c>
      <c r="AG1140" s="136">
        <v>3</v>
      </c>
      <c r="AH1140" s="136"/>
      <c r="AI1140" s="136"/>
      <c r="AJ1140" s="136">
        <v>1</v>
      </c>
      <c r="AK1140" s="136">
        <v>0</v>
      </c>
      <c r="AL1140" s="136">
        <v>0</v>
      </c>
      <c r="AM1140" s="136">
        <v>0</v>
      </c>
      <c r="AN1140" s="136">
        <v>0</v>
      </c>
      <c r="AO1140" s="136"/>
      <c r="AP1140" s="143" t="str">
        <f>VLOOKUP(tbl_IO_List[[#This Row],[Instruement Tag]],tbl_Instruement_List[],14,FALSE)</f>
        <v>Dry Contact</v>
      </c>
      <c r="AQ1140" s="143" t="str">
        <f>tbl_IO_List[[#This Row],[Chassis]]&amp;"S"&amp;tbl_IO_List[[#This Row],[Slot]]&amp;"-"&amp;tbl_IO_List[[#This Row],[Front Terminal Number]]</f>
        <v>C8S3-</v>
      </c>
      <c r="AR1140" s="143"/>
      <c r="AS1140" s="136" t="str">
        <f>tbl_IO_List[[#This Row],[Terminal Tagging]]&amp;"-"&amp;tbl_IO_List[[#This Row],[Point-Count]]</f>
        <v>-</v>
      </c>
      <c r="AT1140" s="136" t="str">
        <f>tbl_IO_List[[#This Row],[Front Terminal Tagging]]&amp;"/"&amp;tbl_IO_List[[#This Row],[Terminal Tagging-Item]]</f>
        <v>C8S3-/-</v>
      </c>
      <c r="AU1140" s="136" t="str">
        <f>tbl_IO_List[[#This Row],[Terminal Tagging-Item]]&amp;"/"&amp;tbl_IO_List[[#This Row],[Front Terminal Tagging]]</f>
        <v>-/C8S3-</v>
      </c>
    </row>
    <row r="1141" spans="1:47" hidden="1">
      <c r="A1141" s="147" t="s">
        <v>1365</v>
      </c>
      <c r="B1141" s="136" t="s">
        <v>90</v>
      </c>
      <c r="C1141" s="136" t="str">
        <f>tbl_IO_List[[#This Row],[Column3]]</f>
        <v>C8S03,04</v>
      </c>
      <c r="D1141" s="136" t="e">
        <f>tbl_IO_List[[#This Row],[Card]]</f>
        <v>#N/A</v>
      </c>
      <c r="E1141" s="136" t="s">
        <v>1366</v>
      </c>
      <c r="F1141" s="136" t="str">
        <f>tbl_IO_List[[#This Row],[Column23]]&amp;"-" &amp;tbl_IO_List[[#This Row],[Column52]]</f>
        <v>C8S03-X1</v>
      </c>
      <c r="G1141" s="136" t="str">
        <f>tbl_IO_List[[#This Row],[PLC_Tag]]</f>
        <v>LSH-61308_DI_1</v>
      </c>
      <c r="H1141" s="136"/>
      <c r="I1141" s="136" t="str">
        <f>VLOOKUP(tbl_IO_List[[#This Row],[Destination]],tbl_Junction[],2,FALSE)</f>
        <v>Packing Tower 8th Floor</v>
      </c>
      <c r="J1141" s="136" t="s">
        <v>360</v>
      </c>
      <c r="K1141" s="136" t="s">
        <v>66</v>
      </c>
      <c r="L1141" s="136" t="s">
        <v>98</v>
      </c>
      <c r="M1141" s="136">
        <f>VLOOKUP(tbl_IO_List[[#This Row],[Instruement Tag]],tbl_Instruement_List[],2,FALSE)</f>
        <v>0</v>
      </c>
      <c r="N1141" s="136" t="s">
        <v>91</v>
      </c>
      <c r="O1141" s="136" t="s">
        <v>18</v>
      </c>
      <c r="P1141" s="136" t="s">
        <v>75</v>
      </c>
      <c r="Q1141" s="136" t="str">
        <f>VLOOKUP(tbl_IO_List[[#This Row],[Instruement Tag]],tbl_Instruement_List[],6,FALSE)</f>
        <v>High Level alarm Cooling cyclone</v>
      </c>
      <c r="R1141" s="136"/>
      <c r="S114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41" s="136" t="str">
        <f>tbl_IO_List[[#This Row],[Instruement Tag]]&amp;"_"&amp;tbl_IO_List[[#This Row],[I/O Type]]&amp;"_"&amp;tbl_IO_List[[#This Row],[IO-Point 
(Instruement)]]</f>
        <v>LSH-61308_DI_1</v>
      </c>
      <c r="U1141" s="136" t="s">
        <v>8</v>
      </c>
      <c r="V1141" s="136">
        <f>VLOOKUP(tbl_IO_List[[#This Row],[I/O Type]],tbl_Slot_Group[],2,FALSE)</f>
        <v>1</v>
      </c>
      <c r="W1141" s="136">
        <v>1</v>
      </c>
      <c r="X1141" s="136" t="str">
        <f>tbl_IO_List[[#This Row],[Chassis]]&amp;"S"&amp;TEXT(tbl_IO_List[[#This Row],[Slot]],"00")</f>
        <v>C8S03</v>
      </c>
      <c r="Y1141" s="136" t="str">
        <f>tbl_IO_List[[#This Row],[Chassis]]&amp;"S"&amp;TEXT(tbl_IO_List[[#This Row],[Slot]],"00")&amp;tbl_IO_List[[#This Row],[I/O Type]]&amp;TEXT(tbl_IO_List[[#This Row],[Point]],"00")</f>
        <v>C8S03DI04</v>
      </c>
      <c r="Z1141" s="136" t="str">
        <f>tbl_IO_List[[#This Row],[Chassis]]&amp;"S"&amp;TEXT(tbl_IO_List[[#This Row],[Slot]],"00")&amp;","&amp;TEXT(tbl_IO_List[[#This Row],[Point]],"00")</f>
        <v>C8S03,04</v>
      </c>
      <c r="AA1141" s="136" t="e">
        <f>VLOOKUP(tbl_IO_List[[#This Row],[Column23]],tbl_RackConfig[],5,FALSE) &amp;"-"&amp;tbl_IO_List[[#This Row],[Point]]</f>
        <v>#N/A</v>
      </c>
      <c r="AB1141" s="136"/>
      <c r="AC1141" s="136"/>
      <c r="AD1141" s="136" t="str">
        <f>tbl_IO_List[[#This Row],[I/O Type]]</f>
        <v>DI</v>
      </c>
      <c r="AE1141" s="136" t="s">
        <v>1843</v>
      </c>
      <c r="AF1141" s="136">
        <v>3</v>
      </c>
      <c r="AG1141" s="136">
        <v>4</v>
      </c>
      <c r="AH1141" s="136"/>
      <c r="AI1141" s="136"/>
      <c r="AJ1141" s="136">
        <v>1</v>
      </c>
      <c r="AK1141" s="136">
        <v>0</v>
      </c>
      <c r="AL1141" s="136">
        <v>0</v>
      </c>
      <c r="AM1141" s="136">
        <v>0</v>
      </c>
      <c r="AN1141" s="136">
        <v>0</v>
      </c>
      <c r="AO1141" s="136"/>
      <c r="AP1141" s="143" t="str">
        <f>VLOOKUP(tbl_IO_List[[#This Row],[Instruement Tag]],tbl_Instruement_List[],14,FALSE)</f>
        <v>Dry Contact</v>
      </c>
      <c r="AQ1141" s="143" t="str">
        <f>tbl_IO_List[[#This Row],[Chassis]]&amp;"S"&amp;tbl_IO_List[[#This Row],[Slot]]&amp;"-"&amp;tbl_IO_List[[#This Row],[Front Terminal Number]]</f>
        <v>C8S3-</v>
      </c>
      <c r="AR1141" s="143"/>
      <c r="AS1141" s="136" t="str">
        <f>tbl_IO_List[[#This Row],[Terminal Tagging]]&amp;"-"&amp;tbl_IO_List[[#This Row],[Point-Count]]</f>
        <v>-</v>
      </c>
      <c r="AT1141" s="136" t="str">
        <f>tbl_IO_List[[#This Row],[Front Terminal Tagging]]&amp;"/"&amp;tbl_IO_List[[#This Row],[Terminal Tagging-Item]]</f>
        <v>C8S3-/-</v>
      </c>
      <c r="AU1141" s="136" t="str">
        <f>tbl_IO_List[[#This Row],[Terminal Tagging-Item]]&amp;"/"&amp;tbl_IO_List[[#This Row],[Front Terminal Tagging]]</f>
        <v>-/C8S3-</v>
      </c>
    </row>
    <row r="1142" spans="1:47" hidden="1">
      <c r="A1142" s="147" t="s">
        <v>1365</v>
      </c>
      <c r="B1142" s="136" t="s">
        <v>90</v>
      </c>
      <c r="C1142" s="136" t="str">
        <f>tbl_IO_List[[#This Row],[Column3]]</f>
        <v>C8S03,05</v>
      </c>
      <c r="D1142" s="136" t="e">
        <f>tbl_IO_List[[#This Row],[Card]]</f>
        <v>#N/A</v>
      </c>
      <c r="E1142" s="136" t="s">
        <v>1366</v>
      </c>
      <c r="F1142" s="136" t="str">
        <f>tbl_IO_List[[#This Row],[Column23]]&amp;"-" &amp;tbl_IO_List[[#This Row],[Column52]]</f>
        <v>C8S03-X1</v>
      </c>
      <c r="G1142" s="136" t="str">
        <f>tbl_IO_List[[#This Row],[PLC_Tag]]</f>
        <v>LSL-61302_DI_1</v>
      </c>
      <c r="H1142" s="136"/>
      <c r="I1142" s="136" t="str">
        <f>VLOOKUP(tbl_IO_List[[#This Row],[Destination]],tbl_Junction[],2,FALSE)</f>
        <v>Packing Tower 8th Floor</v>
      </c>
      <c r="J1142" s="136" t="s">
        <v>360</v>
      </c>
      <c r="K1142" s="136" t="s">
        <v>66</v>
      </c>
      <c r="L1142" s="136" t="s">
        <v>96</v>
      </c>
      <c r="M1142" s="136">
        <f>VLOOKUP(tbl_IO_List[[#This Row],[Instruement Tag]],tbl_Instruement_List[],2,FALSE)</f>
        <v>0</v>
      </c>
      <c r="N1142" s="136" t="s">
        <v>58</v>
      </c>
      <c r="O1142" s="136" t="s">
        <v>78</v>
      </c>
      <c r="P1142" s="136" t="s">
        <v>75</v>
      </c>
      <c r="Q1142" s="136" t="str">
        <f>VLOOKUP(tbl_IO_List[[#This Row],[Instruement Tag]],tbl_Instruement_List[],6,FALSE)</f>
        <v>Level alarm low</v>
      </c>
      <c r="R1142" s="136"/>
      <c r="S114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42" s="136" t="str">
        <f>tbl_IO_List[[#This Row],[Instruement Tag]]&amp;"_"&amp;tbl_IO_List[[#This Row],[I/O Type]]&amp;"_"&amp;tbl_IO_List[[#This Row],[IO-Point 
(Instruement)]]</f>
        <v>LSL-61302_DI_1</v>
      </c>
      <c r="U1142" s="136" t="s">
        <v>8</v>
      </c>
      <c r="V1142" s="136">
        <f>VLOOKUP(tbl_IO_List[[#This Row],[I/O Type]],tbl_Slot_Group[],2,FALSE)</f>
        <v>1</v>
      </c>
      <c r="W1142" s="136">
        <v>1</v>
      </c>
      <c r="X1142" s="136" t="str">
        <f>tbl_IO_List[[#This Row],[Chassis]]&amp;"S"&amp;TEXT(tbl_IO_List[[#This Row],[Slot]],"00")</f>
        <v>C8S03</v>
      </c>
      <c r="Y1142" s="136" t="str">
        <f>tbl_IO_List[[#This Row],[Chassis]]&amp;"S"&amp;TEXT(tbl_IO_List[[#This Row],[Slot]],"00")&amp;tbl_IO_List[[#This Row],[I/O Type]]&amp;TEXT(tbl_IO_List[[#This Row],[Point]],"00")</f>
        <v>C8S03DI05</v>
      </c>
      <c r="Z1142" s="136" t="str">
        <f>tbl_IO_List[[#This Row],[Chassis]]&amp;"S"&amp;TEXT(tbl_IO_List[[#This Row],[Slot]],"00")&amp;","&amp;TEXT(tbl_IO_List[[#This Row],[Point]],"00")</f>
        <v>C8S03,05</v>
      </c>
      <c r="AA1142" s="136" t="e">
        <f>VLOOKUP(tbl_IO_List[[#This Row],[Column23]],tbl_RackConfig[],5,FALSE) &amp;"-"&amp;tbl_IO_List[[#This Row],[Point]]</f>
        <v>#N/A</v>
      </c>
      <c r="AB1142" s="136"/>
      <c r="AC1142" s="136"/>
      <c r="AD1142" s="136" t="str">
        <f>tbl_IO_List[[#This Row],[I/O Type]]</f>
        <v>DI</v>
      </c>
      <c r="AE1142" s="136" t="s">
        <v>1843</v>
      </c>
      <c r="AF1142" s="136">
        <v>3</v>
      </c>
      <c r="AG1142" s="136">
        <v>5</v>
      </c>
      <c r="AH1142" s="136"/>
      <c r="AI1142" s="136"/>
      <c r="AJ1142" s="136">
        <v>1</v>
      </c>
      <c r="AK1142" s="136">
        <v>0</v>
      </c>
      <c r="AL1142" s="136">
        <v>0</v>
      </c>
      <c r="AM1142" s="136">
        <v>0</v>
      </c>
      <c r="AN1142" s="136">
        <v>0</v>
      </c>
      <c r="AO1142" s="136"/>
      <c r="AP1142" s="143" t="str">
        <f>VLOOKUP(tbl_IO_List[[#This Row],[Instruement Tag]],tbl_Instruement_List[],14,FALSE)</f>
        <v>Dry Contact</v>
      </c>
      <c r="AQ1142" s="143" t="str">
        <f>tbl_IO_List[[#This Row],[Chassis]]&amp;"S"&amp;tbl_IO_List[[#This Row],[Slot]]&amp;"-"&amp;tbl_IO_List[[#This Row],[Front Terminal Number]]</f>
        <v>C8S3-</v>
      </c>
      <c r="AR1142" s="143"/>
      <c r="AS1142" s="136" t="str">
        <f>tbl_IO_List[[#This Row],[Terminal Tagging]]&amp;"-"&amp;tbl_IO_List[[#This Row],[Point-Count]]</f>
        <v>-</v>
      </c>
      <c r="AT1142" s="136" t="str">
        <f>tbl_IO_List[[#This Row],[Front Terminal Tagging]]&amp;"/"&amp;tbl_IO_List[[#This Row],[Terminal Tagging-Item]]</f>
        <v>C8S3-/-</v>
      </c>
      <c r="AU1142" s="136" t="str">
        <f>tbl_IO_List[[#This Row],[Terminal Tagging-Item]]&amp;"/"&amp;tbl_IO_List[[#This Row],[Front Terminal Tagging]]</f>
        <v>-/C8S3-</v>
      </c>
    </row>
    <row r="1143" spans="1:47" hidden="1">
      <c r="A1143" s="147" t="s">
        <v>1365</v>
      </c>
      <c r="B1143" s="136" t="s">
        <v>90</v>
      </c>
      <c r="C1143" s="136" t="str">
        <f>tbl_IO_List[[#This Row],[Column3]]</f>
        <v>C8S03,06</v>
      </c>
      <c r="D1143" s="136" t="e">
        <f>tbl_IO_List[[#This Row],[Card]]</f>
        <v>#N/A</v>
      </c>
      <c r="E1143" s="136" t="s">
        <v>1366</v>
      </c>
      <c r="F1143" s="136" t="str">
        <f>tbl_IO_List[[#This Row],[Column23]]&amp;"-" &amp;tbl_IO_List[[#This Row],[Column52]]</f>
        <v>C8S03-X1</v>
      </c>
      <c r="G1143" s="136" t="str">
        <f>tbl_IO_List[[#This Row],[PLC_Tag]]</f>
        <v>PSE-61300_DI_1</v>
      </c>
      <c r="H1143" s="136"/>
      <c r="I1143" s="136" t="str">
        <f>VLOOKUP(tbl_IO_List[[#This Row],[Destination]],tbl_Junction[],2,FALSE)</f>
        <v>Packing Tower 8th Floor</v>
      </c>
      <c r="J1143" s="136" t="s">
        <v>360</v>
      </c>
      <c r="K1143" s="136" t="s">
        <v>66</v>
      </c>
      <c r="L1143" s="136" t="s">
        <v>107</v>
      </c>
      <c r="M1143" s="136">
        <f>VLOOKUP(tbl_IO_List[[#This Row],[Instruement Tag]],tbl_Instruement_List[],2,FALSE)</f>
        <v>0</v>
      </c>
      <c r="N1143" s="136" t="s">
        <v>93</v>
      </c>
      <c r="O1143" s="136" t="s">
        <v>78</v>
      </c>
      <c r="P1143" s="136" t="s">
        <v>75</v>
      </c>
      <c r="Q1143" s="136" t="str">
        <f>VLOOKUP(tbl_IO_List[[#This Row],[Instruement Tag]],tbl_Instruement_List[],6,FALSE)</f>
        <v>Explosion Vent PSE-61300</v>
      </c>
      <c r="R1143" s="136"/>
      <c r="S114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43" s="136" t="str">
        <f>tbl_IO_List[[#This Row],[Instruement Tag]]&amp;"_"&amp;tbl_IO_List[[#This Row],[I/O Type]]&amp;"_"&amp;tbl_IO_List[[#This Row],[IO-Point 
(Instruement)]]</f>
        <v>PSE-61300_DI_1</v>
      </c>
      <c r="U1143" s="136" t="s">
        <v>8</v>
      </c>
      <c r="V1143" s="136">
        <f>VLOOKUP(tbl_IO_List[[#This Row],[I/O Type]],tbl_Slot_Group[],2,FALSE)</f>
        <v>1</v>
      </c>
      <c r="W1143" s="136">
        <v>1</v>
      </c>
      <c r="X1143" s="136" t="str">
        <f>tbl_IO_List[[#This Row],[Chassis]]&amp;"S"&amp;TEXT(tbl_IO_List[[#This Row],[Slot]],"00")</f>
        <v>C8S03</v>
      </c>
      <c r="Y1143" s="136" t="str">
        <f>tbl_IO_List[[#This Row],[Chassis]]&amp;"S"&amp;TEXT(tbl_IO_List[[#This Row],[Slot]],"00")&amp;tbl_IO_List[[#This Row],[I/O Type]]&amp;TEXT(tbl_IO_List[[#This Row],[Point]],"00")</f>
        <v>C8S03DI06</v>
      </c>
      <c r="Z1143" s="136" t="str">
        <f>tbl_IO_List[[#This Row],[Chassis]]&amp;"S"&amp;TEXT(tbl_IO_List[[#This Row],[Slot]],"00")&amp;","&amp;TEXT(tbl_IO_List[[#This Row],[Point]],"00")</f>
        <v>C8S03,06</v>
      </c>
      <c r="AA1143" s="136" t="e">
        <f>VLOOKUP(tbl_IO_List[[#This Row],[Column23]],tbl_RackConfig[],5,FALSE) &amp;"-"&amp;tbl_IO_List[[#This Row],[Point]]</f>
        <v>#N/A</v>
      </c>
      <c r="AB1143" s="136"/>
      <c r="AC1143" s="136"/>
      <c r="AD1143" s="136" t="str">
        <f>tbl_IO_List[[#This Row],[I/O Type]]</f>
        <v>DI</v>
      </c>
      <c r="AE1143" s="136" t="s">
        <v>1843</v>
      </c>
      <c r="AF1143" s="136">
        <v>3</v>
      </c>
      <c r="AG1143" s="136">
        <v>6</v>
      </c>
      <c r="AH1143" s="136"/>
      <c r="AI1143" s="136"/>
      <c r="AJ1143" s="136">
        <v>1</v>
      </c>
      <c r="AK1143" s="136">
        <v>0</v>
      </c>
      <c r="AL1143" s="136">
        <v>0</v>
      </c>
      <c r="AM1143" s="136">
        <v>0</v>
      </c>
      <c r="AN1143" s="136">
        <v>0</v>
      </c>
      <c r="AO1143" s="136"/>
      <c r="AP1143" s="143" t="str">
        <f>VLOOKUP(tbl_IO_List[[#This Row],[Instruement Tag]],tbl_Instruement_List[],14,FALSE)</f>
        <v>Dry Contact</v>
      </c>
      <c r="AQ1143" s="143" t="str">
        <f>tbl_IO_List[[#This Row],[Chassis]]&amp;"S"&amp;tbl_IO_List[[#This Row],[Slot]]&amp;"-"&amp;tbl_IO_List[[#This Row],[Front Terminal Number]]</f>
        <v>C8S3-</v>
      </c>
      <c r="AR1143" s="143"/>
      <c r="AS1143" s="136" t="str">
        <f>tbl_IO_List[[#This Row],[Terminal Tagging]]&amp;"-"&amp;tbl_IO_List[[#This Row],[Point-Count]]</f>
        <v>-</v>
      </c>
      <c r="AT1143" s="136" t="str">
        <f>tbl_IO_List[[#This Row],[Front Terminal Tagging]]&amp;"/"&amp;tbl_IO_List[[#This Row],[Terminal Tagging-Item]]</f>
        <v>C8S3-/-</v>
      </c>
      <c r="AU1143" s="136" t="str">
        <f>tbl_IO_List[[#This Row],[Terminal Tagging-Item]]&amp;"/"&amp;tbl_IO_List[[#This Row],[Front Terminal Tagging]]</f>
        <v>-/C8S3-</v>
      </c>
    </row>
    <row r="1144" spans="1:47" hidden="1">
      <c r="A1144" s="147" t="s">
        <v>1365</v>
      </c>
      <c r="B1144" s="136" t="s">
        <v>90</v>
      </c>
      <c r="C1144" s="136" t="str">
        <f>tbl_IO_List[[#This Row],[Column3]]</f>
        <v>C8S03,07</v>
      </c>
      <c r="D1144" s="136" t="e">
        <f>tbl_IO_List[[#This Row],[Card]]</f>
        <v>#N/A</v>
      </c>
      <c r="E1144" s="136" t="s">
        <v>1366</v>
      </c>
      <c r="F1144" s="136" t="str">
        <f>tbl_IO_List[[#This Row],[Column23]]&amp;"-" &amp;tbl_IO_List[[#This Row],[Column52]]</f>
        <v>C8S03-X1</v>
      </c>
      <c r="G1144" s="136" t="str">
        <f>tbl_IO_List[[#This Row],[PLC_Tag]]</f>
        <v>PSE-61301_DI_1</v>
      </c>
      <c r="H1144" s="136"/>
      <c r="I1144" s="136" t="str">
        <f>VLOOKUP(tbl_IO_List[[#This Row],[Destination]],tbl_Junction[],2,FALSE)</f>
        <v>Packing Tower 8th Floor</v>
      </c>
      <c r="J1144" s="136" t="s">
        <v>360</v>
      </c>
      <c r="K1144" s="136" t="s">
        <v>66</v>
      </c>
      <c r="L1144" s="136" t="s">
        <v>108</v>
      </c>
      <c r="M1144" s="136">
        <f>VLOOKUP(tbl_IO_List[[#This Row],[Instruement Tag]],tbl_Instruement_List[],2,FALSE)</f>
        <v>0</v>
      </c>
      <c r="N1144" s="136" t="s">
        <v>91</v>
      </c>
      <c r="O1144" s="136" t="s">
        <v>78</v>
      </c>
      <c r="P1144" s="136" t="s">
        <v>75</v>
      </c>
      <c r="Q1144" s="136" t="str">
        <f>VLOOKUP(tbl_IO_List[[#This Row],[Instruement Tag]],tbl_Instruement_List[],6,FALSE)</f>
        <v>Explosion Vent PSE-61301</v>
      </c>
      <c r="R1144" s="136"/>
      <c r="S114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44" s="136" t="str">
        <f>tbl_IO_List[[#This Row],[Instruement Tag]]&amp;"_"&amp;tbl_IO_List[[#This Row],[I/O Type]]&amp;"_"&amp;tbl_IO_List[[#This Row],[IO-Point 
(Instruement)]]</f>
        <v>PSE-61301_DI_1</v>
      </c>
      <c r="U1144" s="136" t="s">
        <v>8</v>
      </c>
      <c r="V1144" s="136">
        <f>VLOOKUP(tbl_IO_List[[#This Row],[I/O Type]],tbl_Slot_Group[],2,FALSE)</f>
        <v>1</v>
      </c>
      <c r="W1144" s="136">
        <v>1</v>
      </c>
      <c r="X1144" s="136" t="str">
        <f>tbl_IO_List[[#This Row],[Chassis]]&amp;"S"&amp;TEXT(tbl_IO_List[[#This Row],[Slot]],"00")</f>
        <v>C8S03</v>
      </c>
      <c r="Y1144" s="136" t="str">
        <f>tbl_IO_List[[#This Row],[Chassis]]&amp;"S"&amp;TEXT(tbl_IO_List[[#This Row],[Slot]],"00")&amp;tbl_IO_List[[#This Row],[I/O Type]]&amp;TEXT(tbl_IO_List[[#This Row],[Point]],"00")</f>
        <v>C8S03DI07</v>
      </c>
      <c r="Z1144" s="136" t="str">
        <f>tbl_IO_List[[#This Row],[Chassis]]&amp;"S"&amp;TEXT(tbl_IO_List[[#This Row],[Slot]],"00")&amp;","&amp;TEXT(tbl_IO_List[[#This Row],[Point]],"00")</f>
        <v>C8S03,07</v>
      </c>
      <c r="AA1144" s="136" t="e">
        <f>VLOOKUP(tbl_IO_List[[#This Row],[Column23]],tbl_RackConfig[],5,FALSE) &amp;"-"&amp;tbl_IO_List[[#This Row],[Point]]</f>
        <v>#N/A</v>
      </c>
      <c r="AB1144" s="136"/>
      <c r="AC1144" s="136"/>
      <c r="AD1144" s="136" t="str">
        <f>tbl_IO_List[[#This Row],[I/O Type]]</f>
        <v>DI</v>
      </c>
      <c r="AE1144" s="136" t="s">
        <v>1843</v>
      </c>
      <c r="AF1144" s="136">
        <v>3</v>
      </c>
      <c r="AG1144" s="136">
        <v>7</v>
      </c>
      <c r="AH1144" s="136"/>
      <c r="AI1144" s="136"/>
      <c r="AJ1144" s="136">
        <v>1</v>
      </c>
      <c r="AK1144" s="136">
        <v>0</v>
      </c>
      <c r="AL1144" s="136">
        <v>0</v>
      </c>
      <c r="AM1144" s="136">
        <v>0</v>
      </c>
      <c r="AN1144" s="136">
        <v>0</v>
      </c>
      <c r="AO1144" s="136"/>
      <c r="AP1144" s="143" t="str">
        <f>VLOOKUP(tbl_IO_List[[#This Row],[Instruement Tag]],tbl_Instruement_List[],14,FALSE)</f>
        <v>Dry Contact</v>
      </c>
      <c r="AQ1144" s="143" t="str">
        <f>tbl_IO_List[[#This Row],[Chassis]]&amp;"S"&amp;tbl_IO_List[[#This Row],[Slot]]&amp;"-"&amp;tbl_IO_List[[#This Row],[Front Terminal Number]]</f>
        <v>C8S3-</v>
      </c>
      <c r="AR1144" s="143"/>
      <c r="AS1144" s="136" t="str">
        <f>tbl_IO_List[[#This Row],[Terminal Tagging]]&amp;"-"&amp;tbl_IO_List[[#This Row],[Point-Count]]</f>
        <v>-</v>
      </c>
      <c r="AT1144" s="136" t="str">
        <f>tbl_IO_List[[#This Row],[Front Terminal Tagging]]&amp;"/"&amp;tbl_IO_List[[#This Row],[Terminal Tagging-Item]]</f>
        <v>C8S3-/-</v>
      </c>
      <c r="AU1144" s="136" t="str">
        <f>tbl_IO_List[[#This Row],[Terminal Tagging-Item]]&amp;"/"&amp;tbl_IO_List[[#This Row],[Front Terminal Tagging]]</f>
        <v>-/C8S3-</v>
      </c>
    </row>
    <row r="1145" spans="1:47" hidden="1">
      <c r="A1145" s="147" t="s">
        <v>1365</v>
      </c>
      <c r="B1145" s="136" t="s">
        <v>90</v>
      </c>
      <c r="C1145" s="136" t="str">
        <f>tbl_IO_List[[#This Row],[Column3]]</f>
        <v>C8S03,08</v>
      </c>
      <c r="D1145" s="136" t="e">
        <f>tbl_IO_List[[#This Row],[Card]]</f>
        <v>#N/A</v>
      </c>
      <c r="E1145" s="136" t="s">
        <v>1366</v>
      </c>
      <c r="F1145" s="136" t="str">
        <f>tbl_IO_List[[#This Row],[Column23]]&amp;"-" &amp;tbl_IO_List[[#This Row],[Column52]]</f>
        <v>C8S03-X1</v>
      </c>
      <c r="G1145" s="136" t="str">
        <f>tbl_IO_List[[#This Row],[PLC_Tag]]</f>
        <v>PSE-61304_DI_1</v>
      </c>
      <c r="H1145" s="136"/>
      <c r="I1145" s="136" t="str">
        <f>VLOOKUP(tbl_IO_List[[#This Row],[Destination]],tbl_Junction[],2,FALSE)</f>
        <v>Packing Tower 8th Floor</v>
      </c>
      <c r="J1145" s="136" t="s">
        <v>360</v>
      </c>
      <c r="K1145" s="136" t="s">
        <v>66</v>
      </c>
      <c r="L1145" s="136" t="s">
        <v>110</v>
      </c>
      <c r="M1145" s="136">
        <f>VLOOKUP(tbl_IO_List[[#This Row],[Instruement Tag]],tbl_Instruement_List[],2,FALSE)</f>
        <v>0</v>
      </c>
      <c r="N1145" s="136" t="s">
        <v>93</v>
      </c>
      <c r="O1145" s="136" t="s">
        <v>78</v>
      </c>
      <c r="P1145" s="136" t="s">
        <v>75</v>
      </c>
      <c r="Q1145" s="136" t="str">
        <f>VLOOKUP(tbl_IO_List[[#This Row],[Instruement Tag]],tbl_Instruement_List[],6,FALSE)</f>
        <v>Explosion Vent PSE-61304</v>
      </c>
      <c r="R1145" s="136"/>
      <c r="S114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45" s="136" t="str">
        <f>tbl_IO_List[[#This Row],[Instruement Tag]]&amp;"_"&amp;tbl_IO_List[[#This Row],[I/O Type]]&amp;"_"&amp;tbl_IO_List[[#This Row],[IO-Point 
(Instruement)]]</f>
        <v>PSE-61304_DI_1</v>
      </c>
      <c r="U1145" s="136" t="s">
        <v>8</v>
      </c>
      <c r="V1145" s="136">
        <f>VLOOKUP(tbl_IO_List[[#This Row],[I/O Type]],tbl_Slot_Group[],2,FALSE)</f>
        <v>1</v>
      </c>
      <c r="W1145" s="136">
        <v>1</v>
      </c>
      <c r="X1145" s="136" t="str">
        <f>tbl_IO_List[[#This Row],[Chassis]]&amp;"S"&amp;TEXT(tbl_IO_List[[#This Row],[Slot]],"00")</f>
        <v>C8S03</v>
      </c>
      <c r="Y1145" s="136" t="str">
        <f>tbl_IO_List[[#This Row],[Chassis]]&amp;"S"&amp;TEXT(tbl_IO_List[[#This Row],[Slot]],"00")&amp;tbl_IO_List[[#This Row],[I/O Type]]&amp;TEXT(tbl_IO_List[[#This Row],[Point]],"00")</f>
        <v>C8S03DI08</v>
      </c>
      <c r="Z1145" s="136" t="str">
        <f>tbl_IO_List[[#This Row],[Chassis]]&amp;"S"&amp;TEXT(tbl_IO_List[[#This Row],[Slot]],"00")&amp;","&amp;TEXT(tbl_IO_List[[#This Row],[Point]],"00")</f>
        <v>C8S03,08</v>
      </c>
      <c r="AA1145" s="136" t="e">
        <f>VLOOKUP(tbl_IO_List[[#This Row],[Column23]],tbl_RackConfig[],5,FALSE) &amp;"-"&amp;tbl_IO_List[[#This Row],[Point]]</f>
        <v>#N/A</v>
      </c>
      <c r="AB1145" s="136"/>
      <c r="AC1145" s="136"/>
      <c r="AD1145" s="136" t="str">
        <f>tbl_IO_List[[#This Row],[I/O Type]]</f>
        <v>DI</v>
      </c>
      <c r="AE1145" s="136" t="s">
        <v>1843</v>
      </c>
      <c r="AF1145" s="136">
        <v>3</v>
      </c>
      <c r="AG1145" s="136">
        <v>8</v>
      </c>
      <c r="AH1145" s="136"/>
      <c r="AI1145" s="136"/>
      <c r="AJ1145" s="136">
        <v>1</v>
      </c>
      <c r="AK1145" s="136">
        <v>0</v>
      </c>
      <c r="AL1145" s="136">
        <v>0</v>
      </c>
      <c r="AM1145" s="136">
        <v>0</v>
      </c>
      <c r="AN1145" s="136">
        <v>0</v>
      </c>
      <c r="AO1145" s="136"/>
      <c r="AP1145" s="143" t="str">
        <f>VLOOKUP(tbl_IO_List[[#This Row],[Instruement Tag]],tbl_Instruement_List[],14,FALSE)</f>
        <v>Dry Contact</v>
      </c>
      <c r="AQ1145" s="143" t="str">
        <f>tbl_IO_List[[#This Row],[Chassis]]&amp;"S"&amp;tbl_IO_List[[#This Row],[Slot]]&amp;"-"&amp;tbl_IO_List[[#This Row],[Front Terminal Number]]</f>
        <v>C8S3-</v>
      </c>
      <c r="AR1145" s="143"/>
      <c r="AS1145" s="136" t="str">
        <f>tbl_IO_List[[#This Row],[Terminal Tagging]]&amp;"-"&amp;tbl_IO_List[[#This Row],[Point-Count]]</f>
        <v>-</v>
      </c>
      <c r="AT1145" s="136" t="str">
        <f>tbl_IO_List[[#This Row],[Front Terminal Tagging]]&amp;"/"&amp;tbl_IO_List[[#This Row],[Terminal Tagging-Item]]</f>
        <v>C8S3-/-</v>
      </c>
      <c r="AU1145" s="136" t="str">
        <f>tbl_IO_List[[#This Row],[Terminal Tagging-Item]]&amp;"/"&amp;tbl_IO_List[[#This Row],[Front Terminal Tagging]]</f>
        <v>-/C8S3-</v>
      </c>
    </row>
    <row r="1146" spans="1:47" hidden="1">
      <c r="A1146" s="147" t="s">
        <v>1365</v>
      </c>
      <c r="B1146" s="136" t="s">
        <v>90</v>
      </c>
      <c r="C1146" s="136" t="str">
        <f>tbl_IO_List[[#This Row],[Column3]]</f>
        <v>C8S03,09</v>
      </c>
      <c r="D1146" s="136" t="e">
        <f>tbl_IO_List[[#This Row],[Card]]</f>
        <v>#N/A</v>
      </c>
      <c r="E1146" s="136" t="s">
        <v>1366</v>
      </c>
      <c r="F1146" s="136" t="str">
        <f>tbl_IO_List[[#This Row],[Column23]]&amp;"-" &amp;tbl_IO_List[[#This Row],[Column52]]</f>
        <v>C8S03-X1</v>
      </c>
      <c r="G1146" s="136" t="str">
        <f>tbl_IO_List[[#This Row],[PLC_Tag]]</f>
        <v>PSV-61301A_DI_1</v>
      </c>
      <c r="H1146" s="136"/>
      <c r="I1146" s="136" t="str">
        <f>VLOOKUP(tbl_IO_List[[#This Row],[Destination]],tbl_Junction[],2,FALSE)</f>
        <v>Packing Tower 8th Floor</v>
      </c>
      <c r="J1146" s="136" t="s">
        <v>360</v>
      </c>
      <c r="K1146" s="136" t="s">
        <v>66</v>
      </c>
      <c r="L1146" s="149" t="s">
        <v>111</v>
      </c>
      <c r="M1146" s="136" t="e">
        <f>VLOOKUP(tbl_IO_List[[#This Row],[Instruement Tag]],tbl_Instruement_List[],2,FALSE)</f>
        <v>#N/A</v>
      </c>
      <c r="N1146" s="136" t="s">
        <v>91</v>
      </c>
      <c r="O1146" s="136" t="s">
        <v>78</v>
      </c>
      <c r="P1146" s="136" t="s">
        <v>78</v>
      </c>
      <c r="Q1146" s="136" t="e">
        <f>VLOOKUP(tbl_IO_List[[#This Row],[Instruement Tag]],tbl_Instruement_List[],6,FALSE)</f>
        <v>#N/A</v>
      </c>
      <c r="R1146" s="136"/>
      <c r="S114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46" s="136" t="str">
        <f>tbl_IO_List[[#This Row],[Instruement Tag]]&amp;"_"&amp;tbl_IO_List[[#This Row],[I/O Type]]&amp;"_"&amp;tbl_IO_List[[#This Row],[IO-Point 
(Instruement)]]</f>
        <v>PSV-61301A_DI_1</v>
      </c>
      <c r="U1146" s="136" t="s">
        <v>8</v>
      </c>
      <c r="V1146" s="136">
        <f>VLOOKUP(tbl_IO_List[[#This Row],[I/O Type]],tbl_Slot_Group[],2,FALSE)</f>
        <v>1</v>
      </c>
      <c r="W1146" s="136">
        <v>1</v>
      </c>
      <c r="X1146" s="136" t="str">
        <f>tbl_IO_List[[#This Row],[Chassis]]&amp;"S"&amp;TEXT(tbl_IO_List[[#This Row],[Slot]],"00")</f>
        <v>C8S03</v>
      </c>
      <c r="Y1146" s="136" t="str">
        <f>tbl_IO_List[[#This Row],[Chassis]]&amp;"S"&amp;TEXT(tbl_IO_List[[#This Row],[Slot]],"00")&amp;tbl_IO_List[[#This Row],[I/O Type]]&amp;TEXT(tbl_IO_List[[#This Row],[Point]],"00")</f>
        <v>C8S03DI09</v>
      </c>
      <c r="Z1146" s="136" t="str">
        <f>tbl_IO_List[[#This Row],[Chassis]]&amp;"S"&amp;TEXT(tbl_IO_List[[#This Row],[Slot]],"00")&amp;","&amp;TEXT(tbl_IO_List[[#This Row],[Point]],"00")</f>
        <v>C8S03,09</v>
      </c>
      <c r="AA1146" s="136" t="e">
        <f>VLOOKUP(tbl_IO_List[[#This Row],[Column23]],tbl_RackConfig[],5,FALSE) &amp;"-"&amp;tbl_IO_List[[#This Row],[Point]]</f>
        <v>#N/A</v>
      </c>
      <c r="AB1146" s="136"/>
      <c r="AC1146" s="136"/>
      <c r="AD1146" s="136" t="str">
        <f>tbl_IO_List[[#This Row],[I/O Type]]</f>
        <v>DI</v>
      </c>
      <c r="AE1146" s="136" t="s">
        <v>1843</v>
      </c>
      <c r="AF1146" s="136">
        <v>3</v>
      </c>
      <c r="AG1146" s="136">
        <v>9</v>
      </c>
      <c r="AH1146" s="136"/>
      <c r="AI1146" s="136"/>
      <c r="AJ1146" s="136">
        <v>1</v>
      </c>
      <c r="AK1146" s="136">
        <v>0</v>
      </c>
      <c r="AL1146" s="136">
        <v>0</v>
      </c>
      <c r="AM1146" s="136">
        <v>0</v>
      </c>
      <c r="AN1146" s="136">
        <v>0</v>
      </c>
      <c r="AO1146" s="136"/>
      <c r="AP1146" s="143" t="e">
        <f>VLOOKUP(tbl_IO_List[[#This Row],[Instruement Tag]],tbl_Instruement_List[],14,FALSE)</f>
        <v>#N/A</v>
      </c>
      <c r="AQ1146" s="143" t="str">
        <f>tbl_IO_List[[#This Row],[Chassis]]&amp;"S"&amp;tbl_IO_List[[#This Row],[Slot]]&amp;"-"&amp;tbl_IO_List[[#This Row],[Front Terminal Number]]</f>
        <v>C8S3-</v>
      </c>
      <c r="AR1146" s="143"/>
      <c r="AS1146" s="136" t="str">
        <f>tbl_IO_List[[#This Row],[Terminal Tagging]]&amp;"-"&amp;tbl_IO_List[[#This Row],[Point-Count]]</f>
        <v>-</v>
      </c>
      <c r="AT1146" s="136" t="str">
        <f>tbl_IO_List[[#This Row],[Front Terminal Tagging]]&amp;"/"&amp;tbl_IO_List[[#This Row],[Terminal Tagging-Item]]</f>
        <v>C8S3-/-</v>
      </c>
      <c r="AU1146" s="136" t="str">
        <f>tbl_IO_List[[#This Row],[Terminal Tagging-Item]]&amp;"/"&amp;tbl_IO_List[[#This Row],[Front Terminal Tagging]]</f>
        <v>-/C8S3-</v>
      </c>
    </row>
    <row r="1147" spans="1:47" hidden="1">
      <c r="A1147" s="147" t="s">
        <v>1365</v>
      </c>
      <c r="B1147" s="136" t="s">
        <v>90</v>
      </c>
      <c r="C1147" s="136" t="str">
        <f>tbl_IO_List[[#This Row],[Column3]]</f>
        <v>C8S03,10</v>
      </c>
      <c r="D1147" s="136" t="e">
        <f>tbl_IO_List[[#This Row],[Card]]</f>
        <v>#N/A</v>
      </c>
      <c r="E1147" s="136" t="s">
        <v>1366</v>
      </c>
      <c r="F1147" s="136" t="str">
        <f>tbl_IO_List[[#This Row],[Column23]]&amp;"-" &amp;tbl_IO_List[[#This Row],[Column52]]</f>
        <v>C8S03-X1</v>
      </c>
      <c r="G1147" s="136" t="str">
        <f>tbl_IO_List[[#This Row],[PLC_Tag]]</f>
        <v>PSV-61301B_DI_1</v>
      </c>
      <c r="H1147" s="136"/>
      <c r="I1147" s="136" t="str">
        <f>VLOOKUP(tbl_IO_List[[#This Row],[Destination]],tbl_Junction[],2,FALSE)</f>
        <v>Packing Tower 8th Floor</v>
      </c>
      <c r="J1147" s="136" t="s">
        <v>360</v>
      </c>
      <c r="K1147" s="136" t="s">
        <v>66</v>
      </c>
      <c r="L1147" s="136" t="s">
        <v>112</v>
      </c>
      <c r="M1147" s="136" t="e">
        <f>VLOOKUP(tbl_IO_List[[#This Row],[Instruement Tag]],tbl_Instruement_List[],2,FALSE)</f>
        <v>#N/A</v>
      </c>
      <c r="N1147" s="136" t="s">
        <v>91</v>
      </c>
      <c r="O1147" s="136" t="s">
        <v>78</v>
      </c>
      <c r="P1147" s="136" t="s">
        <v>78</v>
      </c>
      <c r="Q1147" s="136" t="e">
        <f>VLOOKUP(tbl_IO_List[[#This Row],[Instruement Tag]],tbl_Instruement_List[],6,FALSE)</f>
        <v>#N/A</v>
      </c>
      <c r="R1147" s="136"/>
      <c r="S114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47" s="136" t="str">
        <f>tbl_IO_List[[#This Row],[Instruement Tag]]&amp;"_"&amp;tbl_IO_List[[#This Row],[I/O Type]]&amp;"_"&amp;tbl_IO_List[[#This Row],[IO-Point 
(Instruement)]]</f>
        <v>PSV-61301B_DI_1</v>
      </c>
      <c r="U1147" s="136" t="s">
        <v>8</v>
      </c>
      <c r="V1147" s="136">
        <f>VLOOKUP(tbl_IO_List[[#This Row],[I/O Type]],tbl_Slot_Group[],2,FALSE)</f>
        <v>1</v>
      </c>
      <c r="W1147" s="136">
        <v>1</v>
      </c>
      <c r="X1147" s="136" t="str">
        <f>tbl_IO_List[[#This Row],[Chassis]]&amp;"S"&amp;TEXT(tbl_IO_List[[#This Row],[Slot]],"00")</f>
        <v>C8S03</v>
      </c>
      <c r="Y1147" s="136" t="str">
        <f>tbl_IO_List[[#This Row],[Chassis]]&amp;"S"&amp;TEXT(tbl_IO_List[[#This Row],[Slot]],"00")&amp;tbl_IO_List[[#This Row],[I/O Type]]&amp;TEXT(tbl_IO_List[[#This Row],[Point]],"00")</f>
        <v>C8S03DI10</v>
      </c>
      <c r="Z1147" s="136" t="str">
        <f>tbl_IO_List[[#This Row],[Chassis]]&amp;"S"&amp;TEXT(tbl_IO_List[[#This Row],[Slot]],"00")&amp;","&amp;TEXT(tbl_IO_List[[#This Row],[Point]],"00")</f>
        <v>C8S03,10</v>
      </c>
      <c r="AA1147" s="136" t="e">
        <f>VLOOKUP(tbl_IO_List[[#This Row],[Column23]],tbl_RackConfig[],5,FALSE) &amp;"-"&amp;tbl_IO_List[[#This Row],[Point]]</f>
        <v>#N/A</v>
      </c>
      <c r="AB1147" s="136"/>
      <c r="AC1147" s="136"/>
      <c r="AD1147" s="136" t="str">
        <f>tbl_IO_List[[#This Row],[I/O Type]]</f>
        <v>DI</v>
      </c>
      <c r="AE1147" s="136" t="s">
        <v>1843</v>
      </c>
      <c r="AF1147" s="136">
        <v>3</v>
      </c>
      <c r="AG1147" s="136">
        <v>10</v>
      </c>
      <c r="AH1147" s="136"/>
      <c r="AI1147" s="136"/>
      <c r="AJ1147" s="136">
        <v>1</v>
      </c>
      <c r="AK1147" s="136">
        <v>0</v>
      </c>
      <c r="AL1147" s="136">
        <v>0</v>
      </c>
      <c r="AM1147" s="136">
        <v>0</v>
      </c>
      <c r="AN1147" s="136">
        <v>0</v>
      </c>
      <c r="AO1147" s="136"/>
      <c r="AP1147" s="143" t="e">
        <f>VLOOKUP(tbl_IO_List[[#This Row],[Instruement Tag]],tbl_Instruement_List[],14,FALSE)</f>
        <v>#N/A</v>
      </c>
      <c r="AQ1147" s="143" t="str">
        <f>tbl_IO_List[[#This Row],[Chassis]]&amp;"S"&amp;tbl_IO_List[[#This Row],[Slot]]&amp;"-"&amp;tbl_IO_List[[#This Row],[Front Terminal Number]]</f>
        <v>C8S3-</v>
      </c>
      <c r="AR1147" s="143"/>
      <c r="AS1147" s="136" t="str">
        <f>tbl_IO_List[[#This Row],[Terminal Tagging]]&amp;"-"&amp;tbl_IO_List[[#This Row],[Point-Count]]</f>
        <v>-</v>
      </c>
      <c r="AT1147" s="136" t="str">
        <f>tbl_IO_List[[#This Row],[Front Terminal Tagging]]&amp;"/"&amp;tbl_IO_List[[#This Row],[Terminal Tagging-Item]]</f>
        <v>C8S3-/-</v>
      </c>
      <c r="AU1147" s="136" t="str">
        <f>tbl_IO_List[[#This Row],[Terminal Tagging-Item]]&amp;"/"&amp;tbl_IO_List[[#This Row],[Front Terminal Tagging]]</f>
        <v>-/C8S3-</v>
      </c>
    </row>
    <row r="1148" spans="1:47" hidden="1">
      <c r="A1148" s="147" t="s">
        <v>1365</v>
      </c>
      <c r="B1148" s="136" t="s">
        <v>90</v>
      </c>
      <c r="C1148" s="136" t="str">
        <f>tbl_IO_List[[#This Row],[Column3]]</f>
        <v>C8S03,11</v>
      </c>
      <c r="D1148" s="136" t="e">
        <f>tbl_IO_List[[#This Row],[Card]]</f>
        <v>#N/A</v>
      </c>
      <c r="E1148" s="136" t="s">
        <v>1366</v>
      </c>
      <c r="F1148" s="136" t="str">
        <f>tbl_IO_List[[#This Row],[Column23]]&amp;"-" &amp;tbl_IO_List[[#This Row],[Column52]]</f>
        <v>C8S03-X1</v>
      </c>
      <c r="G1148" s="136" t="str">
        <f>tbl_IO_List[[#This Row],[PLC_Tag]]</f>
        <v>ZS-61310_DI_1</v>
      </c>
      <c r="H1148" s="136"/>
      <c r="I1148" s="136" t="str">
        <f>VLOOKUP(tbl_IO_List[[#This Row],[Destination]],tbl_Junction[],2,FALSE)</f>
        <v>Packing Tower 8th Floor</v>
      </c>
      <c r="J1148" s="136" t="s">
        <v>360</v>
      </c>
      <c r="K1148" s="136" t="s">
        <v>66</v>
      </c>
      <c r="L1148" s="136" t="s">
        <v>105</v>
      </c>
      <c r="M1148" s="136">
        <f>VLOOKUP(tbl_IO_List[[#This Row],[Instruement Tag]],tbl_Instruement_List[],2,FALSE)</f>
        <v>0</v>
      </c>
      <c r="N1148" s="136" t="s">
        <v>47</v>
      </c>
      <c r="O1148" s="136" t="s">
        <v>78</v>
      </c>
      <c r="P1148" s="136" t="s">
        <v>75</v>
      </c>
      <c r="Q1148" s="136" t="str">
        <f>VLOOKUP(tbl_IO_List[[#This Row],[Instruement Tag]],tbl_Instruement_List[],6,FALSE)</f>
        <v>Position Magnet Door</v>
      </c>
      <c r="R1148" s="136"/>
      <c r="S114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48" s="136" t="str">
        <f>tbl_IO_List[[#This Row],[Instruement Tag]]&amp;"_"&amp;tbl_IO_List[[#This Row],[I/O Type]]&amp;"_"&amp;tbl_IO_List[[#This Row],[IO-Point 
(Instruement)]]</f>
        <v>ZS-61310_DI_1</v>
      </c>
      <c r="U1148" s="136" t="s">
        <v>8</v>
      </c>
      <c r="V1148" s="136">
        <f>VLOOKUP(tbl_IO_List[[#This Row],[I/O Type]],tbl_Slot_Group[],2,FALSE)</f>
        <v>1</v>
      </c>
      <c r="W1148" s="136">
        <v>1</v>
      </c>
      <c r="X1148" s="136" t="str">
        <f>tbl_IO_List[[#This Row],[Chassis]]&amp;"S"&amp;TEXT(tbl_IO_List[[#This Row],[Slot]],"00")</f>
        <v>C8S03</v>
      </c>
      <c r="Y1148" s="136" t="str">
        <f>tbl_IO_List[[#This Row],[Chassis]]&amp;"S"&amp;TEXT(tbl_IO_List[[#This Row],[Slot]],"00")&amp;tbl_IO_List[[#This Row],[I/O Type]]&amp;TEXT(tbl_IO_List[[#This Row],[Point]],"00")</f>
        <v>C8S03DI11</v>
      </c>
      <c r="Z1148" s="136" t="str">
        <f>tbl_IO_List[[#This Row],[Chassis]]&amp;"S"&amp;TEXT(tbl_IO_List[[#This Row],[Slot]],"00")&amp;","&amp;TEXT(tbl_IO_List[[#This Row],[Point]],"00")</f>
        <v>C8S03,11</v>
      </c>
      <c r="AA1148" s="136" t="e">
        <f>VLOOKUP(tbl_IO_List[[#This Row],[Column23]],tbl_RackConfig[],5,FALSE) &amp;"-"&amp;tbl_IO_List[[#This Row],[Point]]</f>
        <v>#N/A</v>
      </c>
      <c r="AB1148" s="136"/>
      <c r="AC1148" s="136"/>
      <c r="AD1148" s="136" t="str">
        <f>tbl_IO_List[[#This Row],[I/O Type]]</f>
        <v>DI</v>
      </c>
      <c r="AE1148" s="136" t="s">
        <v>1843</v>
      </c>
      <c r="AF1148" s="136">
        <v>3</v>
      </c>
      <c r="AG1148" s="136">
        <v>11</v>
      </c>
      <c r="AH1148" s="136"/>
      <c r="AI1148" s="136"/>
      <c r="AJ1148" s="136">
        <v>1</v>
      </c>
      <c r="AK1148" s="136">
        <v>0</v>
      </c>
      <c r="AL1148" s="136">
        <v>0</v>
      </c>
      <c r="AM1148" s="136">
        <v>0</v>
      </c>
      <c r="AN1148" s="136">
        <v>0</v>
      </c>
      <c r="AO1148" s="136"/>
      <c r="AP1148" s="143" t="str">
        <f>VLOOKUP(tbl_IO_List[[#This Row],[Instruement Tag]],tbl_Instruement_List[],14,FALSE)</f>
        <v>Dry Contact</v>
      </c>
      <c r="AQ1148" s="143" t="str">
        <f>tbl_IO_List[[#This Row],[Chassis]]&amp;"S"&amp;tbl_IO_List[[#This Row],[Slot]]&amp;"-"&amp;tbl_IO_List[[#This Row],[Front Terminal Number]]</f>
        <v>C8S3-</v>
      </c>
      <c r="AR1148" s="143"/>
      <c r="AS1148" s="136" t="str">
        <f>tbl_IO_List[[#This Row],[Terminal Tagging]]&amp;"-"&amp;tbl_IO_List[[#This Row],[Point-Count]]</f>
        <v>-</v>
      </c>
      <c r="AT1148" s="136" t="str">
        <f>tbl_IO_List[[#This Row],[Front Terminal Tagging]]&amp;"/"&amp;tbl_IO_List[[#This Row],[Terminal Tagging-Item]]</f>
        <v>C8S3-/-</v>
      </c>
      <c r="AU1148" s="136" t="str">
        <f>tbl_IO_List[[#This Row],[Terminal Tagging-Item]]&amp;"/"&amp;tbl_IO_List[[#This Row],[Front Terminal Tagging]]</f>
        <v>-/C8S3-</v>
      </c>
    </row>
    <row r="1149" spans="1:47" hidden="1">
      <c r="A1149" s="147" t="s">
        <v>1365</v>
      </c>
      <c r="B1149" s="136" t="s">
        <v>90</v>
      </c>
      <c r="C1149" s="136" t="str">
        <f>tbl_IO_List[[#This Row],[Column3]]</f>
        <v>C8S03,12</v>
      </c>
      <c r="D1149" s="136" t="e">
        <f>tbl_IO_List[[#This Row],[Card]]</f>
        <v>#N/A</v>
      </c>
      <c r="E1149" s="136" t="s">
        <v>1366</v>
      </c>
      <c r="F1149" s="136" t="str">
        <f>tbl_IO_List[[#This Row],[Column23]]&amp;"-" &amp;tbl_IO_List[[#This Row],[Column52]]</f>
        <v>C8S03-X1</v>
      </c>
      <c r="G1149" s="136" t="str">
        <f>tbl_IO_List[[#This Row],[PLC_Tag]]</f>
        <v>ZS-61311_DI_1</v>
      </c>
      <c r="H1149" s="136"/>
      <c r="I1149" s="136" t="str">
        <f>VLOOKUP(tbl_IO_List[[#This Row],[Destination]],tbl_Junction[],2,FALSE)</f>
        <v>Packing Tower 8th Floor</v>
      </c>
      <c r="J1149" s="136" t="s">
        <v>360</v>
      </c>
      <c r="K1149" s="136" t="s">
        <v>66</v>
      </c>
      <c r="L1149" s="136" t="s">
        <v>106</v>
      </c>
      <c r="M1149" s="136">
        <f>VLOOKUP(tbl_IO_List[[#This Row],[Instruement Tag]],tbl_Instruement_List[],2,FALSE)</f>
        <v>0</v>
      </c>
      <c r="N1149" s="136" t="s">
        <v>47</v>
      </c>
      <c r="O1149" s="136" t="s">
        <v>78</v>
      </c>
      <c r="P1149" s="136" t="s">
        <v>75</v>
      </c>
      <c r="Q1149" s="136" t="str">
        <f>VLOOKUP(tbl_IO_List[[#This Row],[Instruement Tag]],tbl_Instruement_List[],6,FALSE)</f>
        <v>Position Magnet Door</v>
      </c>
      <c r="R1149" s="136"/>
      <c r="S114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49" s="136" t="str">
        <f>tbl_IO_List[[#This Row],[Instruement Tag]]&amp;"_"&amp;tbl_IO_List[[#This Row],[I/O Type]]&amp;"_"&amp;tbl_IO_List[[#This Row],[IO-Point 
(Instruement)]]</f>
        <v>ZS-61311_DI_1</v>
      </c>
      <c r="U1149" s="136" t="s">
        <v>8</v>
      </c>
      <c r="V1149" s="136">
        <f>VLOOKUP(tbl_IO_List[[#This Row],[I/O Type]],tbl_Slot_Group[],2,FALSE)</f>
        <v>1</v>
      </c>
      <c r="W1149" s="136">
        <v>1</v>
      </c>
      <c r="X1149" s="136" t="str">
        <f>tbl_IO_List[[#This Row],[Chassis]]&amp;"S"&amp;TEXT(tbl_IO_List[[#This Row],[Slot]],"00")</f>
        <v>C8S03</v>
      </c>
      <c r="Y1149" s="136" t="str">
        <f>tbl_IO_List[[#This Row],[Chassis]]&amp;"S"&amp;TEXT(tbl_IO_List[[#This Row],[Slot]],"00")&amp;tbl_IO_List[[#This Row],[I/O Type]]&amp;TEXT(tbl_IO_List[[#This Row],[Point]],"00")</f>
        <v>C8S03DI12</v>
      </c>
      <c r="Z1149" s="136" t="str">
        <f>tbl_IO_List[[#This Row],[Chassis]]&amp;"S"&amp;TEXT(tbl_IO_List[[#This Row],[Slot]],"00")&amp;","&amp;TEXT(tbl_IO_List[[#This Row],[Point]],"00")</f>
        <v>C8S03,12</v>
      </c>
      <c r="AA1149" s="136" t="e">
        <f>VLOOKUP(tbl_IO_List[[#This Row],[Column23]],tbl_RackConfig[],5,FALSE) &amp;"-"&amp;tbl_IO_List[[#This Row],[Point]]</f>
        <v>#N/A</v>
      </c>
      <c r="AB1149" s="136"/>
      <c r="AC1149" s="136"/>
      <c r="AD1149" s="136" t="str">
        <f>tbl_IO_List[[#This Row],[I/O Type]]</f>
        <v>DI</v>
      </c>
      <c r="AE1149" s="136" t="s">
        <v>1843</v>
      </c>
      <c r="AF1149" s="136">
        <v>3</v>
      </c>
      <c r="AG1149" s="136">
        <v>12</v>
      </c>
      <c r="AH1149" s="136"/>
      <c r="AI1149" s="136"/>
      <c r="AJ1149" s="136">
        <v>1</v>
      </c>
      <c r="AK1149" s="136">
        <v>0</v>
      </c>
      <c r="AL1149" s="136">
        <v>0</v>
      </c>
      <c r="AM1149" s="136">
        <v>0</v>
      </c>
      <c r="AN1149" s="136">
        <v>0</v>
      </c>
      <c r="AO1149" s="136"/>
      <c r="AP1149" s="143" t="str">
        <f>VLOOKUP(tbl_IO_List[[#This Row],[Instruement Tag]],tbl_Instruement_List[],14,FALSE)</f>
        <v>Dry Contact</v>
      </c>
      <c r="AQ1149" s="143" t="str">
        <f>tbl_IO_List[[#This Row],[Chassis]]&amp;"S"&amp;tbl_IO_List[[#This Row],[Slot]]&amp;"-"&amp;tbl_IO_List[[#This Row],[Front Terminal Number]]</f>
        <v>C8S3-</v>
      </c>
      <c r="AR1149" s="143"/>
      <c r="AS1149" s="136" t="str">
        <f>tbl_IO_List[[#This Row],[Terminal Tagging]]&amp;"-"&amp;tbl_IO_List[[#This Row],[Point-Count]]</f>
        <v>-</v>
      </c>
      <c r="AT1149" s="136" t="str">
        <f>tbl_IO_List[[#This Row],[Front Terminal Tagging]]&amp;"/"&amp;tbl_IO_List[[#This Row],[Terminal Tagging-Item]]</f>
        <v>C8S3-/-</v>
      </c>
      <c r="AU1149" s="136" t="str">
        <f>tbl_IO_List[[#This Row],[Terminal Tagging-Item]]&amp;"/"&amp;tbl_IO_List[[#This Row],[Front Terminal Tagging]]</f>
        <v>-/C8S3-</v>
      </c>
    </row>
    <row r="1150" spans="1:47" hidden="1">
      <c r="A1150" s="147" t="s">
        <v>1365</v>
      </c>
      <c r="B1150" s="136" t="s">
        <v>90</v>
      </c>
      <c r="C1150" s="136" t="str">
        <f>tbl_IO_List[[#This Row],[Column3]]</f>
        <v>C8S03,13</v>
      </c>
      <c r="D1150" s="136" t="e">
        <f>tbl_IO_List[[#This Row],[Card]]</f>
        <v>#N/A</v>
      </c>
      <c r="E1150" s="136" t="s">
        <v>1366</v>
      </c>
      <c r="F1150" s="136" t="str">
        <f>tbl_IO_List[[#This Row],[Column23]]&amp;"-" &amp;tbl_IO_List[[#This Row],[Column52]]</f>
        <v>C8S03-X1</v>
      </c>
      <c r="G1150" s="136" t="str">
        <f>tbl_IO_List[[#This Row],[PLC_Tag]]</f>
        <v>Spare_DI_0</v>
      </c>
      <c r="H1150" s="136"/>
      <c r="I1150" s="136" t="str">
        <f>VLOOKUP(tbl_IO_List[[#This Row],[Destination]],tbl_Junction[],2,FALSE)</f>
        <v>Packing Tower 8th Floor</v>
      </c>
      <c r="J1150" s="136" t="s">
        <v>360</v>
      </c>
      <c r="K1150" s="136" t="s">
        <v>66</v>
      </c>
      <c r="L1150" s="136" t="s">
        <v>411</v>
      </c>
      <c r="M1150" s="136" t="e">
        <f>VLOOKUP(tbl_IO_List[[#This Row],[Instruement Tag]],tbl_Instruement_List[],2,FALSE)</f>
        <v>#N/A</v>
      </c>
      <c r="N1150" s="136" t="s">
        <v>47</v>
      </c>
      <c r="O1150" s="136" t="s">
        <v>78</v>
      </c>
      <c r="P1150" s="136" t="s">
        <v>75</v>
      </c>
      <c r="Q1150" s="136" t="e">
        <f>VLOOKUP(tbl_IO_List[[#This Row],[Instruement Tag]],tbl_Instruement_List[],6,FALSE)</f>
        <v>#N/A</v>
      </c>
      <c r="R1150" s="136"/>
      <c r="S115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50" s="136" t="str">
        <f>tbl_IO_List[[#This Row],[Instruement Tag]]&amp;"_"&amp;tbl_IO_List[[#This Row],[I/O Type]]&amp;"_"&amp;tbl_IO_List[[#This Row],[IO-Point 
(Instruement)]]</f>
        <v>Spare_DI_0</v>
      </c>
      <c r="U1150" s="136" t="s">
        <v>8</v>
      </c>
      <c r="V1150" s="136">
        <f>VLOOKUP(tbl_IO_List[[#This Row],[I/O Type]],tbl_Slot_Group[],2,FALSE)</f>
        <v>1</v>
      </c>
      <c r="W1150" s="136">
        <v>0</v>
      </c>
      <c r="X1150" s="136" t="str">
        <f>tbl_IO_List[[#This Row],[Chassis]]&amp;"S"&amp;TEXT(tbl_IO_List[[#This Row],[Slot]],"00")</f>
        <v>C8S03</v>
      </c>
      <c r="Y1150" s="136" t="str">
        <f>tbl_IO_List[[#This Row],[Chassis]]&amp;"S"&amp;TEXT(tbl_IO_List[[#This Row],[Slot]],"00")&amp;tbl_IO_List[[#This Row],[I/O Type]]&amp;TEXT(tbl_IO_List[[#This Row],[Point]],"00")</f>
        <v>C8S03DI13</v>
      </c>
      <c r="Z1150" s="136" t="str">
        <f>tbl_IO_List[[#This Row],[Chassis]]&amp;"S"&amp;TEXT(tbl_IO_List[[#This Row],[Slot]],"00")&amp;","&amp;TEXT(tbl_IO_List[[#This Row],[Point]],"00")</f>
        <v>C8S03,13</v>
      </c>
      <c r="AA1150" s="136" t="e">
        <f>VLOOKUP(tbl_IO_List[[#This Row],[Column23]],tbl_RackConfig[],5,FALSE) &amp;"-"&amp;tbl_IO_List[[#This Row],[Point]]</f>
        <v>#N/A</v>
      </c>
      <c r="AB1150" s="136"/>
      <c r="AC1150" s="136"/>
      <c r="AD1150" s="136" t="str">
        <f>tbl_IO_List[[#This Row],[I/O Type]]</f>
        <v>DI</v>
      </c>
      <c r="AE1150" s="136" t="s">
        <v>1843</v>
      </c>
      <c r="AF1150" s="136">
        <v>3</v>
      </c>
      <c r="AG1150" s="136">
        <v>13</v>
      </c>
      <c r="AH1150" s="136"/>
      <c r="AI1150" s="136"/>
      <c r="AJ1150" s="136">
        <v>1</v>
      </c>
      <c r="AK1150" s="136">
        <v>0</v>
      </c>
      <c r="AL1150" s="136">
        <v>0</v>
      </c>
      <c r="AM1150" s="136">
        <v>0</v>
      </c>
      <c r="AN1150" s="136">
        <v>0</v>
      </c>
      <c r="AO1150" s="136"/>
      <c r="AP1150" s="143" t="e">
        <f>VLOOKUP(tbl_IO_List[[#This Row],[Instruement Tag]],tbl_Instruement_List[],14,FALSE)</f>
        <v>#N/A</v>
      </c>
      <c r="AQ1150" s="143" t="str">
        <f>tbl_IO_List[[#This Row],[Chassis]]&amp;"S"&amp;tbl_IO_List[[#This Row],[Slot]]&amp;"-"&amp;tbl_IO_List[[#This Row],[Front Terminal Number]]</f>
        <v>C8S3-</v>
      </c>
      <c r="AR1150" s="143"/>
      <c r="AS1150" s="136" t="str">
        <f>tbl_IO_List[[#This Row],[Terminal Tagging]]&amp;"-"&amp;tbl_IO_List[[#This Row],[Point-Count]]</f>
        <v>-</v>
      </c>
      <c r="AT1150" s="136" t="str">
        <f>tbl_IO_List[[#This Row],[Front Terminal Tagging]]&amp;"/"&amp;tbl_IO_List[[#This Row],[Terminal Tagging-Item]]</f>
        <v>C8S3-/-</v>
      </c>
      <c r="AU1150" s="136" t="str">
        <f>tbl_IO_List[[#This Row],[Terminal Tagging-Item]]&amp;"/"&amp;tbl_IO_List[[#This Row],[Front Terminal Tagging]]</f>
        <v>-/C8S3-</v>
      </c>
    </row>
    <row r="1151" spans="1:47" hidden="1">
      <c r="A1151" s="147" t="s">
        <v>1365</v>
      </c>
      <c r="B1151" s="136" t="s">
        <v>90</v>
      </c>
      <c r="C1151" s="136" t="str">
        <f>tbl_IO_List[[#This Row],[Column3]]</f>
        <v>C8S03,14</v>
      </c>
      <c r="D1151" s="136" t="e">
        <f>tbl_IO_List[[#This Row],[Card]]</f>
        <v>#N/A</v>
      </c>
      <c r="E1151" s="136" t="s">
        <v>1366</v>
      </c>
      <c r="F1151" s="136" t="str">
        <f>tbl_IO_List[[#This Row],[Column23]]&amp;"-" &amp;tbl_IO_List[[#This Row],[Column52]]</f>
        <v>C8S03-X1</v>
      </c>
      <c r="G1151" s="136" t="str">
        <f>tbl_IO_List[[#This Row],[PLC_Tag]]</f>
        <v>Spare_DI_0</v>
      </c>
      <c r="H1151" s="136"/>
      <c r="I1151" s="136" t="str">
        <f>VLOOKUP(tbl_IO_List[[#This Row],[Destination]],tbl_Junction[],2,FALSE)</f>
        <v>Packing Tower 8th Floor</v>
      </c>
      <c r="J1151" s="136" t="s">
        <v>360</v>
      </c>
      <c r="K1151" s="136" t="s">
        <v>66</v>
      </c>
      <c r="L1151" s="136" t="s">
        <v>411</v>
      </c>
      <c r="M1151" s="136" t="e">
        <f>VLOOKUP(tbl_IO_List[[#This Row],[Instruement Tag]],tbl_Instruement_List[],2,FALSE)</f>
        <v>#N/A</v>
      </c>
      <c r="N1151" s="136" t="s">
        <v>47</v>
      </c>
      <c r="O1151" s="136" t="s">
        <v>78</v>
      </c>
      <c r="P1151" s="136" t="s">
        <v>75</v>
      </c>
      <c r="Q1151" s="136" t="e">
        <f>VLOOKUP(tbl_IO_List[[#This Row],[Instruement Tag]],tbl_Instruement_List[],6,FALSE)</f>
        <v>#N/A</v>
      </c>
      <c r="R1151" s="136"/>
      <c r="S115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51" s="136" t="str">
        <f>tbl_IO_List[[#This Row],[Instruement Tag]]&amp;"_"&amp;tbl_IO_List[[#This Row],[I/O Type]]&amp;"_"&amp;tbl_IO_List[[#This Row],[IO-Point 
(Instruement)]]</f>
        <v>Spare_DI_0</v>
      </c>
      <c r="U1151" s="136" t="s">
        <v>8</v>
      </c>
      <c r="V1151" s="136">
        <f>VLOOKUP(tbl_IO_List[[#This Row],[I/O Type]],tbl_Slot_Group[],2,FALSE)</f>
        <v>1</v>
      </c>
      <c r="W1151" s="136">
        <v>0</v>
      </c>
      <c r="X1151" s="136" t="str">
        <f>tbl_IO_List[[#This Row],[Chassis]]&amp;"S"&amp;TEXT(tbl_IO_List[[#This Row],[Slot]],"00")</f>
        <v>C8S03</v>
      </c>
      <c r="Y1151" s="136" t="str">
        <f>tbl_IO_List[[#This Row],[Chassis]]&amp;"S"&amp;TEXT(tbl_IO_List[[#This Row],[Slot]],"00")&amp;tbl_IO_List[[#This Row],[I/O Type]]&amp;TEXT(tbl_IO_List[[#This Row],[Point]],"00")</f>
        <v>C8S03DI14</v>
      </c>
      <c r="Z1151" s="136" t="str">
        <f>tbl_IO_List[[#This Row],[Chassis]]&amp;"S"&amp;TEXT(tbl_IO_List[[#This Row],[Slot]],"00")&amp;","&amp;TEXT(tbl_IO_List[[#This Row],[Point]],"00")</f>
        <v>C8S03,14</v>
      </c>
      <c r="AA1151" s="136" t="e">
        <f>VLOOKUP(tbl_IO_List[[#This Row],[Column23]],tbl_RackConfig[],5,FALSE) &amp;"-"&amp;tbl_IO_List[[#This Row],[Point]]</f>
        <v>#N/A</v>
      </c>
      <c r="AB1151" s="136"/>
      <c r="AC1151" s="136"/>
      <c r="AD1151" s="136" t="str">
        <f>tbl_IO_List[[#This Row],[I/O Type]]</f>
        <v>DI</v>
      </c>
      <c r="AE1151" s="136" t="s">
        <v>1843</v>
      </c>
      <c r="AF1151" s="136">
        <v>3</v>
      </c>
      <c r="AG1151" s="136">
        <v>14</v>
      </c>
      <c r="AH1151" s="136"/>
      <c r="AI1151" s="136"/>
      <c r="AJ1151" s="136">
        <v>1</v>
      </c>
      <c r="AK1151" s="136">
        <v>0</v>
      </c>
      <c r="AL1151" s="136">
        <v>0</v>
      </c>
      <c r="AM1151" s="136">
        <v>0</v>
      </c>
      <c r="AN1151" s="136">
        <v>0</v>
      </c>
      <c r="AO1151" s="136"/>
      <c r="AP1151" s="143" t="e">
        <f>VLOOKUP(tbl_IO_List[[#This Row],[Instruement Tag]],tbl_Instruement_List[],14,FALSE)</f>
        <v>#N/A</v>
      </c>
      <c r="AQ1151" s="143" t="str">
        <f>tbl_IO_List[[#This Row],[Chassis]]&amp;"S"&amp;tbl_IO_List[[#This Row],[Slot]]&amp;"-"&amp;tbl_IO_List[[#This Row],[Front Terminal Number]]</f>
        <v>C8S3-</v>
      </c>
      <c r="AR1151" s="143"/>
      <c r="AS1151" s="136" t="str">
        <f>tbl_IO_List[[#This Row],[Terminal Tagging]]&amp;"-"&amp;tbl_IO_List[[#This Row],[Point-Count]]</f>
        <v>-</v>
      </c>
      <c r="AT1151" s="136" t="str">
        <f>tbl_IO_List[[#This Row],[Front Terminal Tagging]]&amp;"/"&amp;tbl_IO_List[[#This Row],[Terminal Tagging-Item]]</f>
        <v>C8S3-/-</v>
      </c>
      <c r="AU1151" s="136" t="str">
        <f>tbl_IO_List[[#This Row],[Terminal Tagging-Item]]&amp;"/"&amp;tbl_IO_List[[#This Row],[Front Terminal Tagging]]</f>
        <v>-/C8S3-</v>
      </c>
    </row>
    <row r="1152" spans="1:47" hidden="1">
      <c r="A1152" s="147" t="s">
        <v>1365</v>
      </c>
      <c r="B1152" s="136" t="s">
        <v>90</v>
      </c>
      <c r="C1152" s="136" t="str">
        <f>tbl_IO_List[[#This Row],[Column3]]</f>
        <v>C8S03,15</v>
      </c>
      <c r="D1152" s="136" t="e">
        <f>tbl_IO_List[[#This Row],[Card]]</f>
        <v>#N/A</v>
      </c>
      <c r="E1152" s="136" t="s">
        <v>1366</v>
      </c>
      <c r="F1152" s="136" t="str">
        <f>tbl_IO_List[[#This Row],[Column23]]&amp;"-" &amp;tbl_IO_List[[#This Row],[Column52]]</f>
        <v>C8S03-X1</v>
      </c>
      <c r="G1152" s="136" t="str">
        <f>tbl_IO_List[[#This Row],[PLC_Tag]]</f>
        <v>Spare_DI_0</v>
      </c>
      <c r="H1152" s="136"/>
      <c r="I1152" s="136" t="str">
        <f>VLOOKUP(tbl_IO_List[[#This Row],[Destination]],tbl_Junction[],2,FALSE)</f>
        <v>Packing Tower 8th Floor</v>
      </c>
      <c r="J1152" s="136" t="s">
        <v>360</v>
      </c>
      <c r="K1152" s="136" t="s">
        <v>66</v>
      </c>
      <c r="L1152" s="136" t="s">
        <v>411</v>
      </c>
      <c r="M1152" s="136" t="e">
        <f>VLOOKUP(tbl_IO_List[[#This Row],[Instruement Tag]],tbl_Instruement_List[],2,FALSE)</f>
        <v>#N/A</v>
      </c>
      <c r="N1152" s="136" t="s">
        <v>47</v>
      </c>
      <c r="O1152" s="136" t="s">
        <v>78</v>
      </c>
      <c r="P1152" s="136" t="s">
        <v>75</v>
      </c>
      <c r="Q1152" s="136" t="e">
        <f>VLOOKUP(tbl_IO_List[[#This Row],[Instruement Tag]],tbl_Instruement_List[],6,FALSE)</f>
        <v>#N/A</v>
      </c>
      <c r="R1152" s="136"/>
      <c r="S115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52" s="136" t="str">
        <f>tbl_IO_List[[#This Row],[Instruement Tag]]&amp;"_"&amp;tbl_IO_List[[#This Row],[I/O Type]]&amp;"_"&amp;tbl_IO_List[[#This Row],[IO-Point 
(Instruement)]]</f>
        <v>Spare_DI_0</v>
      </c>
      <c r="U1152" s="136" t="s">
        <v>8</v>
      </c>
      <c r="V1152" s="136">
        <f>VLOOKUP(tbl_IO_List[[#This Row],[I/O Type]],tbl_Slot_Group[],2,FALSE)</f>
        <v>1</v>
      </c>
      <c r="W1152" s="136">
        <v>0</v>
      </c>
      <c r="X1152" s="136" t="str">
        <f>tbl_IO_List[[#This Row],[Chassis]]&amp;"S"&amp;TEXT(tbl_IO_List[[#This Row],[Slot]],"00")</f>
        <v>C8S03</v>
      </c>
      <c r="Y1152" s="136" t="str">
        <f>tbl_IO_List[[#This Row],[Chassis]]&amp;"S"&amp;TEXT(tbl_IO_List[[#This Row],[Slot]],"00")&amp;tbl_IO_List[[#This Row],[I/O Type]]&amp;TEXT(tbl_IO_List[[#This Row],[Point]],"00")</f>
        <v>C8S03DI15</v>
      </c>
      <c r="Z1152" s="136" t="str">
        <f>tbl_IO_List[[#This Row],[Chassis]]&amp;"S"&amp;TEXT(tbl_IO_List[[#This Row],[Slot]],"00")&amp;","&amp;TEXT(tbl_IO_List[[#This Row],[Point]],"00")</f>
        <v>C8S03,15</v>
      </c>
      <c r="AA1152" s="136" t="e">
        <f>VLOOKUP(tbl_IO_List[[#This Row],[Column23]],tbl_RackConfig[],5,FALSE) &amp;"-"&amp;tbl_IO_List[[#This Row],[Point]]</f>
        <v>#N/A</v>
      </c>
      <c r="AB1152" s="136"/>
      <c r="AC1152" s="136"/>
      <c r="AD1152" s="136" t="str">
        <f>tbl_IO_List[[#This Row],[I/O Type]]</f>
        <v>DI</v>
      </c>
      <c r="AE1152" s="136" t="s">
        <v>1843</v>
      </c>
      <c r="AF1152" s="136">
        <v>3</v>
      </c>
      <c r="AG1152" s="136">
        <v>15</v>
      </c>
      <c r="AH1152" s="136"/>
      <c r="AI1152" s="136"/>
      <c r="AJ1152" s="136">
        <v>1</v>
      </c>
      <c r="AK1152" s="136">
        <v>0</v>
      </c>
      <c r="AL1152" s="136">
        <v>0</v>
      </c>
      <c r="AM1152" s="136">
        <v>0</v>
      </c>
      <c r="AN1152" s="136">
        <v>0</v>
      </c>
      <c r="AO1152" s="136"/>
      <c r="AP1152" s="143" t="e">
        <f>VLOOKUP(tbl_IO_List[[#This Row],[Instruement Tag]],tbl_Instruement_List[],14,FALSE)</f>
        <v>#N/A</v>
      </c>
      <c r="AQ1152" s="143" t="str">
        <f>tbl_IO_List[[#This Row],[Chassis]]&amp;"S"&amp;tbl_IO_List[[#This Row],[Slot]]&amp;"-"&amp;tbl_IO_List[[#This Row],[Front Terminal Number]]</f>
        <v>C8S3-</v>
      </c>
      <c r="AR1152" s="143"/>
      <c r="AS1152" s="136" t="str">
        <f>tbl_IO_List[[#This Row],[Terminal Tagging]]&amp;"-"&amp;tbl_IO_List[[#This Row],[Point-Count]]</f>
        <v>-</v>
      </c>
      <c r="AT1152" s="136" t="str">
        <f>tbl_IO_List[[#This Row],[Front Terminal Tagging]]&amp;"/"&amp;tbl_IO_List[[#This Row],[Terminal Tagging-Item]]</f>
        <v>C8S3-/-</v>
      </c>
      <c r="AU1152" s="136" t="str">
        <f>tbl_IO_List[[#This Row],[Terminal Tagging-Item]]&amp;"/"&amp;tbl_IO_List[[#This Row],[Front Terminal Tagging]]</f>
        <v>-/C8S3-</v>
      </c>
    </row>
    <row r="1153" spans="1:47" hidden="1">
      <c r="A1153" s="147" t="s">
        <v>1365</v>
      </c>
      <c r="B1153" s="136" t="s">
        <v>90</v>
      </c>
      <c r="C1153" s="136" t="str">
        <f>tbl_IO_List[[#This Row],[Column3]]</f>
        <v>C8S03,16</v>
      </c>
      <c r="D1153" s="136" t="e">
        <f>tbl_IO_List[[#This Row],[Card]]</f>
        <v>#N/A</v>
      </c>
      <c r="E1153" s="136" t="s">
        <v>1372</v>
      </c>
      <c r="F1153" s="136" t="str">
        <f>tbl_IO_List[[#This Row],[Column23]]&amp;"-" &amp;tbl_IO_List[[#This Row],[Column52]]</f>
        <v>C8S03-X2</v>
      </c>
      <c r="G1153" s="136" t="str">
        <f>tbl_IO_List[[#This Row],[PLC_Tag]]</f>
        <v>Spare_DI_0</v>
      </c>
      <c r="H1153" s="136"/>
      <c r="I1153" s="136" t="str">
        <f>VLOOKUP(tbl_IO_List[[#This Row],[Destination]],tbl_Junction[],2,FALSE)</f>
        <v>Packing Tower 8th Floor</v>
      </c>
      <c r="J1153" s="136" t="s">
        <v>360</v>
      </c>
      <c r="K1153" s="136" t="s">
        <v>66</v>
      </c>
      <c r="L1153" s="136" t="s">
        <v>411</v>
      </c>
      <c r="M1153" s="136" t="e">
        <f>VLOOKUP(tbl_IO_List[[#This Row],[Instruement Tag]],tbl_Instruement_List[],2,FALSE)</f>
        <v>#N/A</v>
      </c>
      <c r="N1153" s="136" t="s">
        <v>47</v>
      </c>
      <c r="O1153" s="136" t="s">
        <v>78</v>
      </c>
      <c r="P1153" s="136" t="s">
        <v>75</v>
      </c>
      <c r="Q1153" s="136" t="e">
        <f>VLOOKUP(tbl_IO_List[[#This Row],[Instruement Tag]],tbl_Instruement_List[],6,FALSE)</f>
        <v>#N/A</v>
      </c>
      <c r="R1153" s="136"/>
      <c r="S115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53" s="136" t="str">
        <f>tbl_IO_List[[#This Row],[Instruement Tag]]&amp;"_"&amp;tbl_IO_List[[#This Row],[I/O Type]]&amp;"_"&amp;tbl_IO_List[[#This Row],[IO-Point 
(Instruement)]]</f>
        <v>Spare_DI_0</v>
      </c>
      <c r="U1153" s="136" t="s">
        <v>8</v>
      </c>
      <c r="V1153" s="136">
        <f>VLOOKUP(tbl_IO_List[[#This Row],[I/O Type]],tbl_Slot_Group[],2,FALSE)</f>
        <v>1</v>
      </c>
      <c r="W1153" s="136">
        <v>0</v>
      </c>
      <c r="X1153" s="136" t="str">
        <f>tbl_IO_List[[#This Row],[Chassis]]&amp;"S"&amp;TEXT(tbl_IO_List[[#This Row],[Slot]],"00")</f>
        <v>C8S03</v>
      </c>
      <c r="Y1153" s="136" t="str">
        <f>tbl_IO_List[[#This Row],[Chassis]]&amp;"S"&amp;TEXT(tbl_IO_List[[#This Row],[Slot]],"00")&amp;tbl_IO_List[[#This Row],[I/O Type]]&amp;TEXT(tbl_IO_List[[#This Row],[Point]],"00")</f>
        <v>C8S03DI16</v>
      </c>
      <c r="Z1153" s="136" t="str">
        <f>tbl_IO_List[[#This Row],[Chassis]]&amp;"S"&amp;TEXT(tbl_IO_List[[#This Row],[Slot]],"00")&amp;","&amp;TEXT(tbl_IO_List[[#This Row],[Point]],"00")</f>
        <v>C8S03,16</v>
      </c>
      <c r="AA1153" s="136" t="e">
        <f>VLOOKUP(tbl_IO_List[[#This Row],[Column23]],tbl_RackConfig[],5,FALSE) &amp;"-"&amp;tbl_IO_List[[#This Row],[Point]]</f>
        <v>#N/A</v>
      </c>
      <c r="AB1153" s="136"/>
      <c r="AC1153" s="136"/>
      <c r="AD1153" s="136" t="str">
        <f>tbl_IO_List[[#This Row],[I/O Type]]</f>
        <v>DI</v>
      </c>
      <c r="AE1153" s="136" t="s">
        <v>1843</v>
      </c>
      <c r="AF1153" s="136">
        <v>3</v>
      </c>
      <c r="AG1153" s="136">
        <v>16</v>
      </c>
      <c r="AH1153" s="136"/>
      <c r="AI1153" s="136"/>
      <c r="AJ1153" s="136">
        <v>1</v>
      </c>
      <c r="AK1153" s="136">
        <v>0</v>
      </c>
      <c r="AL1153" s="136">
        <v>0</v>
      </c>
      <c r="AM1153" s="136">
        <v>0</v>
      </c>
      <c r="AN1153" s="136">
        <v>0</v>
      </c>
      <c r="AO1153" s="136"/>
      <c r="AP1153" s="143" t="e">
        <f>VLOOKUP(tbl_IO_List[[#This Row],[Instruement Tag]],tbl_Instruement_List[],14,FALSE)</f>
        <v>#N/A</v>
      </c>
      <c r="AQ1153" s="143" t="str">
        <f>tbl_IO_List[[#This Row],[Chassis]]&amp;"S"&amp;tbl_IO_List[[#This Row],[Slot]]&amp;"-"&amp;tbl_IO_List[[#This Row],[Front Terminal Number]]</f>
        <v>C8S3-</v>
      </c>
      <c r="AR1153" s="143"/>
      <c r="AS1153" s="136" t="str">
        <f>tbl_IO_List[[#This Row],[Terminal Tagging]]&amp;"-"&amp;tbl_IO_List[[#This Row],[Point-Count]]</f>
        <v>-</v>
      </c>
      <c r="AT1153" s="136" t="str">
        <f>tbl_IO_List[[#This Row],[Front Terminal Tagging]]&amp;"/"&amp;tbl_IO_List[[#This Row],[Terminal Tagging-Item]]</f>
        <v>C8S3-/-</v>
      </c>
      <c r="AU1153" s="136" t="str">
        <f>tbl_IO_List[[#This Row],[Terminal Tagging-Item]]&amp;"/"&amp;tbl_IO_List[[#This Row],[Front Terminal Tagging]]</f>
        <v>-/C8S3-</v>
      </c>
    </row>
    <row r="1154" spans="1:47" hidden="1">
      <c r="A1154" s="147" t="s">
        <v>1365</v>
      </c>
      <c r="B1154" s="136" t="s">
        <v>90</v>
      </c>
      <c r="C1154" s="136" t="str">
        <f>tbl_IO_List[[#This Row],[Column3]]</f>
        <v>C8S03,17</v>
      </c>
      <c r="D1154" s="136" t="e">
        <f>tbl_IO_List[[#This Row],[Card]]</f>
        <v>#N/A</v>
      </c>
      <c r="E1154" s="136" t="s">
        <v>1372</v>
      </c>
      <c r="F1154" s="136" t="str">
        <f>tbl_IO_List[[#This Row],[Column23]]&amp;"-" &amp;tbl_IO_List[[#This Row],[Column52]]</f>
        <v>C8S03-X2</v>
      </c>
      <c r="G1154" s="136" t="str">
        <f>tbl_IO_List[[#This Row],[PLC_Tag]]</f>
        <v>Spare_DI_0</v>
      </c>
      <c r="H1154" s="136"/>
      <c r="I1154" s="136" t="str">
        <f>VLOOKUP(tbl_IO_List[[#This Row],[Destination]],tbl_Junction[],2,FALSE)</f>
        <v>Packing Tower 8th Floor</v>
      </c>
      <c r="J1154" s="136" t="s">
        <v>360</v>
      </c>
      <c r="K1154" s="136" t="s">
        <v>66</v>
      </c>
      <c r="L1154" s="136" t="s">
        <v>411</v>
      </c>
      <c r="M1154" s="136" t="e">
        <f>VLOOKUP(tbl_IO_List[[#This Row],[Instruement Tag]],tbl_Instruement_List[],2,FALSE)</f>
        <v>#N/A</v>
      </c>
      <c r="N1154" s="136" t="s">
        <v>47</v>
      </c>
      <c r="O1154" s="136" t="s">
        <v>78</v>
      </c>
      <c r="P1154" s="136" t="s">
        <v>75</v>
      </c>
      <c r="Q1154" s="136" t="e">
        <f>VLOOKUP(tbl_IO_List[[#This Row],[Instruement Tag]],tbl_Instruement_List[],6,FALSE)</f>
        <v>#N/A</v>
      </c>
      <c r="R1154" s="136"/>
      <c r="S115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54" s="136" t="str">
        <f>tbl_IO_List[[#This Row],[Instruement Tag]]&amp;"_"&amp;tbl_IO_List[[#This Row],[I/O Type]]&amp;"_"&amp;tbl_IO_List[[#This Row],[IO-Point 
(Instruement)]]</f>
        <v>Spare_DI_0</v>
      </c>
      <c r="U1154" s="136" t="s">
        <v>8</v>
      </c>
      <c r="V1154" s="136">
        <f>VLOOKUP(tbl_IO_List[[#This Row],[I/O Type]],tbl_Slot_Group[],2,FALSE)</f>
        <v>1</v>
      </c>
      <c r="W1154" s="136">
        <v>0</v>
      </c>
      <c r="X1154" s="136" t="str">
        <f>tbl_IO_List[[#This Row],[Chassis]]&amp;"S"&amp;TEXT(tbl_IO_List[[#This Row],[Slot]],"00")</f>
        <v>C8S03</v>
      </c>
      <c r="Y1154" s="136" t="str">
        <f>tbl_IO_List[[#This Row],[Chassis]]&amp;"S"&amp;TEXT(tbl_IO_List[[#This Row],[Slot]],"00")&amp;tbl_IO_List[[#This Row],[I/O Type]]&amp;TEXT(tbl_IO_List[[#This Row],[Point]],"00")</f>
        <v>C8S03DI17</v>
      </c>
      <c r="Z1154" s="136" t="str">
        <f>tbl_IO_List[[#This Row],[Chassis]]&amp;"S"&amp;TEXT(tbl_IO_List[[#This Row],[Slot]],"00")&amp;","&amp;TEXT(tbl_IO_List[[#This Row],[Point]],"00")</f>
        <v>C8S03,17</v>
      </c>
      <c r="AA1154" s="136" t="e">
        <f>VLOOKUP(tbl_IO_List[[#This Row],[Column23]],tbl_RackConfig[],5,FALSE) &amp;"-"&amp;tbl_IO_List[[#This Row],[Point]]</f>
        <v>#N/A</v>
      </c>
      <c r="AB1154" s="136"/>
      <c r="AC1154" s="136"/>
      <c r="AD1154" s="136" t="str">
        <f>tbl_IO_List[[#This Row],[I/O Type]]</f>
        <v>DI</v>
      </c>
      <c r="AE1154" s="136" t="s">
        <v>1843</v>
      </c>
      <c r="AF1154" s="136">
        <v>3</v>
      </c>
      <c r="AG1154" s="136">
        <v>17</v>
      </c>
      <c r="AH1154" s="136"/>
      <c r="AI1154" s="136"/>
      <c r="AJ1154" s="136">
        <v>1</v>
      </c>
      <c r="AK1154" s="136">
        <v>0</v>
      </c>
      <c r="AL1154" s="136">
        <v>0</v>
      </c>
      <c r="AM1154" s="136">
        <v>0</v>
      </c>
      <c r="AN1154" s="136">
        <v>0</v>
      </c>
      <c r="AO1154" s="136"/>
      <c r="AP1154" s="143" t="e">
        <f>VLOOKUP(tbl_IO_List[[#This Row],[Instruement Tag]],tbl_Instruement_List[],14,FALSE)</f>
        <v>#N/A</v>
      </c>
      <c r="AQ1154" s="143" t="str">
        <f>tbl_IO_List[[#This Row],[Chassis]]&amp;"S"&amp;tbl_IO_List[[#This Row],[Slot]]&amp;"-"&amp;tbl_IO_List[[#This Row],[Front Terminal Number]]</f>
        <v>C8S3-</v>
      </c>
      <c r="AR1154" s="143"/>
      <c r="AS1154" s="136" t="str">
        <f>tbl_IO_List[[#This Row],[Terminal Tagging]]&amp;"-"&amp;tbl_IO_List[[#This Row],[Point-Count]]</f>
        <v>-</v>
      </c>
      <c r="AT1154" s="136" t="str">
        <f>tbl_IO_List[[#This Row],[Front Terminal Tagging]]&amp;"/"&amp;tbl_IO_List[[#This Row],[Terminal Tagging-Item]]</f>
        <v>C8S3-/-</v>
      </c>
      <c r="AU1154" s="136" t="str">
        <f>tbl_IO_List[[#This Row],[Terminal Tagging-Item]]&amp;"/"&amp;tbl_IO_List[[#This Row],[Front Terminal Tagging]]</f>
        <v>-/C8S3-</v>
      </c>
    </row>
    <row r="1155" spans="1:47" hidden="1">
      <c r="A1155" s="147" t="s">
        <v>1365</v>
      </c>
      <c r="B1155" s="136" t="s">
        <v>90</v>
      </c>
      <c r="C1155" s="136" t="str">
        <f>tbl_IO_List[[#This Row],[Column3]]</f>
        <v>C8S03,18</v>
      </c>
      <c r="D1155" s="136" t="e">
        <f>tbl_IO_List[[#This Row],[Card]]</f>
        <v>#N/A</v>
      </c>
      <c r="E1155" s="136" t="s">
        <v>1372</v>
      </c>
      <c r="F1155" s="136" t="str">
        <f>tbl_IO_List[[#This Row],[Column23]]&amp;"-" &amp;tbl_IO_List[[#This Row],[Column52]]</f>
        <v>C8S03-X2</v>
      </c>
      <c r="G1155" s="136" t="str">
        <f>tbl_IO_List[[#This Row],[PLC_Tag]]</f>
        <v>Spare_DI_0</v>
      </c>
      <c r="H1155" s="136"/>
      <c r="I1155" s="136" t="str">
        <f>VLOOKUP(tbl_IO_List[[#This Row],[Destination]],tbl_Junction[],2,FALSE)</f>
        <v>Packing Tower 8th Floor</v>
      </c>
      <c r="J1155" s="136" t="s">
        <v>360</v>
      </c>
      <c r="K1155" s="136" t="s">
        <v>66</v>
      </c>
      <c r="L1155" s="136" t="s">
        <v>411</v>
      </c>
      <c r="M1155" s="136" t="e">
        <f>VLOOKUP(tbl_IO_List[[#This Row],[Instruement Tag]],tbl_Instruement_List[],2,FALSE)</f>
        <v>#N/A</v>
      </c>
      <c r="N1155" s="136" t="s">
        <v>47</v>
      </c>
      <c r="O1155" s="136" t="s">
        <v>78</v>
      </c>
      <c r="P1155" s="136" t="s">
        <v>75</v>
      </c>
      <c r="Q1155" s="136" t="e">
        <f>VLOOKUP(tbl_IO_List[[#This Row],[Instruement Tag]],tbl_Instruement_List[],6,FALSE)</f>
        <v>#N/A</v>
      </c>
      <c r="R1155" s="136"/>
      <c r="S115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55" s="136" t="str">
        <f>tbl_IO_List[[#This Row],[Instruement Tag]]&amp;"_"&amp;tbl_IO_List[[#This Row],[I/O Type]]&amp;"_"&amp;tbl_IO_List[[#This Row],[IO-Point 
(Instruement)]]</f>
        <v>Spare_DI_0</v>
      </c>
      <c r="U1155" s="136" t="s">
        <v>8</v>
      </c>
      <c r="V1155" s="136">
        <f>VLOOKUP(tbl_IO_List[[#This Row],[I/O Type]],tbl_Slot_Group[],2,FALSE)</f>
        <v>1</v>
      </c>
      <c r="W1155" s="136">
        <v>0</v>
      </c>
      <c r="X1155" s="136" t="str">
        <f>tbl_IO_List[[#This Row],[Chassis]]&amp;"S"&amp;TEXT(tbl_IO_List[[#This Row],[Slot]],"00")</f>
        <v>C8S03</v>
      </c>
      <c r="Y1155" s="136" t="str">
        <f>tbl_IO_List[[#This Row],[Chassis]]&amp;"S"&amp;TEXT(tbl_IO_List[[#This Row],[Slot]],"00")&amp;tbl_IO_List[[#This Row],[I/O Type]]&amp;TEXT(tbl_IO_List[[#This Row],[Point]],"00")</f>
        <v>C8S03DI18</v>
      </c>
      <c r="Z1155" s="136" t="str">
        <f>tbl_IO_List[[#This Row],[Chassis]]&amp;"S"&amp;TEXT(tbl_IO_List[[#This Row],[Slot]],"00")&amp;","&amp;TEXT(tbl_IO_List[[#This Row],[Point]],"00")</f>
        <v>C8S03,18</v>
      </c>
      <c r="AA1155" s="136" t="e">
        <f>VLOOKUP(tbl_IO_List[[#This Row],[Column23]],tbl_RackConfig[],5,FALSE) &amp;"-"&amp;tbl_IO_List[[#This Row],[Point]]</f>
        <v>#N/A</v>
      </c>
      <c r="AB1155" s="136"/>
      <c r="AC1155" s="136"/>
      <c r="AD1155" s="136" t="str">
        <f>tbl_IO_List[[#This Row],[I/O Type]]</f>
        <v>DI</v>
      </c>
      <c r="AE1155" s="136" t="s">
        <v>1843</v>
      </c>
      <c r="AF1155" s="136">
        <v>3</v>
      </c>
      <c r="AG1155" s="136">
        <v>18</v>
      </c>
      <c r="AH1155" s="136"/>
      <c r="AI1155" s="136"/>
      <c r="AJ1155" s="136">
        <v>1</v>
      </c>
      <c r="AK1155" s="136">
        <v>0</v>
      </c>
      <c r="AL1155" s="136">
        <v>0</v>
      </c>
      <c r="AM1155" s="136">
        <v>0</v>
      </c>
      <c r="AN1155" s="136">
        <v>0</v>
      </c>
      <c r="AO1155" s="136"/>
      <c r="AP1155" s="143" t="e">
        <f>VLOOKUP(tbl_IO_List[[#This Row],[Instruement Tag]],tbl_Instruement_List[],14,FALSE)</f>
        <v>#N/A</v>
      </c>
      <c r="AQ1155" s="143" t="str">
        <f>tbl_IO_List[[#This Row],[Chassis]]&amp;"S"&amp;tbl_IO_List[[#This Row],[Slot]]&amp;"-"&amp;tbl_IO_List[[#This Row],[Front Terminal Number]]</f>
        <v>C8S3-</v>
      </c>
      <c r="AR1155" s="143"/>
      <c r="AS1155" s="136" t="str">
        <f>tbl_IO_List[[#This Row],[Terminal Tagging]]&amp;"-"&amp;tbl_IO_List[[#This Row],[Point-Count]]</f>
        <v>-</v>
      </c>
      <c r="AT1155" s="136" t="str">
        <f>tbl_IO_List[[#This Row],[Front Terminal Tagging]]&amp;"/"&amp;tbl_IO_List[[#This Row],[Terminal Tagging-Item]]</f>
        <v>C8S3-/-</v>
      </c>
      <c r="AU1155" s="136" t="str">
        <f>tbl_IO_List[[#This Row],[Terminal Tagging-Item]]&amp;"/"&amp;tbl_IO_List[[#This Row],[Front Terminal Tagging]]</f>
        <v>-/C8S3-</v>
      </c>
    </row>
    <row r="1156" spans="1:47" hidden="1">
      <c r="A1156" s="147" t="s">
        <v>1365</v>
      </c>
      <c r="B1156" s="136" t="s">
        <v>90</v>
      </c>
      <c r="C1156" s="136" t="str">
        <f>tbl_IO_List[[#This Row],[Column3]]</f>
        <v>C8S03,19</v>
      </c>
      <c r="D1156" s="136" t="e">
        <f>tbl_IO_List[[#This Row],[Card]]</f>
        <v>#N/A</v>
      </c>
      <c r="E1156" s="136" t="s">
        <v>1372</v>
      </c>
      <c r="F1156" s="136" t="str">
        <f>tbl_IO_List[[#This Row],[Column23]]&amp;"-" &amp;tbl_IO_List[[#This Row],[Column52]]</f>
        <v>C8S03-X2</v>
      </c>
      <c r="G1156" s="136" t="str">
        <f>tbl_IO_List[[#This Row],[PLC_Tag]]</f>
        <v>Spare_DI_0</v>
      </c>
      <c r="H1156" s="136"/>
      <c r="I1156" s="136" t="str">
        <f>VLOOKUP(tbl_IO_List[[#This Row],[Destination]],tbl_Junction[],2,FALSE)</f>
        <v>Packing Tower 8th Floor</v>
      </c>
      <c r="J1156" s="136" t="s">
        <v>360</v>
      </c>
      <c r="K1156" s="136" t="s">
        <v>66</v>
      </c>
      <c r="L1156" s="136" t="s">
        <v>411</v>
      </c>
      <c r="M1156" s="136" t="e">
        <f>VLOOKUP(tbl_IO_List[[#This Row],[Instruement Tag]],tbl_Instruement_List[],2,FALSE)</f>
        <v>#N/A</v>
      </c>
      <c r="N1156" s="136" t="s">
        <v>47</v>
      </c>
      <c r="O1156" s="136" t="s">
        <v>78</v>
      </c>
      <c r="P1156" s="136" t="s">
        <v>75</v>
      </c>
      <c r="Q1156" s="136" t="e">
        <f>VLOOKUP(tbl_IO_List[[#This Row],[Instruement Tag]],tbl_Instruement_List[],6,FALSE)</f>
        <v>#N/A</v>
      </c>
      <c r="R1156" s="136"/>
      <c r="S115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56" s="136" t="str">
        <f>tbl_IO_List[[#This Row],[Instruement Tag]]&amp;"_"&amp;tbl_IO_List[[#This Row],[I/O Type]]&amp;"_"&amp;tbl_IO_List[[#This Row],[IO-Point 
(Instruement)]]</f>
        <v>Spare_DI_0</v>
      </c>
      <c r="U1156" s="136" t="s">
        <v>8</v>
      </c>
      <c r="V1156" s="136">
        <f>VLOOKUP(tbl_IO_List[[#This Row],[I/O Type]],tbl_Slot_Group[],2,FALSE)</f>
        <v>1</v>
      </c>
      <c r="W1156" s="136">
        <v>0</v>
      </c>
      <c r="X1156" s="136" t="str">
        <f>tbl_IO_List[[#This Row],[Chassis]]&amp;"S"&amp;TEXT(tbl_IO_List[[#This Row],[Slot]],"00")</f>
        <v>C8S03</v>
      </c>
      <c r="Y1156" s="136" t="str">
        <f>tbl_IO_List[[#This Row],[Chassis]]&amp;"S"&amp;TEXT(tbl_IO_List[[#This Row],[Slot]],"00")&amp;tbl_IO_List[[#This Row],[I/O Type]]&amp;TEXT(tbl_IO_List[[#This Row],[Point]],"00")</f>
        <v>C8S03DI19</v>
      </c>
      <c r="Z1156" s="136" t="str">
        <f>tbl_IO_List[[#This Row],[Chassis]]&amp;"S"&amp;TEXT(tbl_IO_List[[#This Row],[Slot]],"00")&amp;","&amp;TEXT(tbl_IO_List[[#This Row],[Point]],"00")</f>
        <v>C8S03,19</v>
      </c>
      <c r="AA1156" s="136" t="e">
        <f>VLOOKUP(tbl_IO_List[[#This Row],[Column23]],tbl_RackConfig[],5,FALSE) &amp;"-"&amp;tbl_IO_List[[#This Row],[Point]]</f>
        <v>#N/A</v>
      </c>
      <c r="AB1156" s="136"/>
      <c r="AC1156" s="136"/>
      <c r="AD1156" s="136" t="str">
        <f>tbl_IO_List[[#This Row],[I/O Type]]</f>
        <v>DI</v>
      </c>
      <c r="AE1156" s="136" t="s">
        <v>1843</v>
      </c>
      <c r="AF1156" s="136">
        <v>3</v>
      </c>
      <c r="AG1156" s="136">
        <v>19</v>
      </c>
      <c r="AH1156" s="136"/>
      <c r="AI1156" s="136"/>
      <c r="AJ1156" s="136">
        <v>1</v>
      </c>
      <c r="AK1156" s="136">
        <v>0</v>
      </c>
      <c r="AL1156" s="136">
        <v>0</v>
      </c>
      <c r="AM1156" s="136">
        <v>0</v>
      </c>
      <c r="AN1156" s="136">
        <v>0</v>
      </c>
      <c r="AO1156" s="136"/>
      <c r="AP1156" s="143" t="e">
        <f>VLOOKUP(tbl_IO_List[[#This Row],[Instruement Tag]],tbl_Instruement_List[],14,FALSE)</f>
        <v>#N/A</v>
      </c>
      <c r="AQ1156" s="143" t="str">
        <f>tbl_IO_List[[#This Row],[Chassis]]&amp;"S"&amp;tbl_IO_List[[#This Row],[Slot]]&amp;"-"&amp;tbl_IO_List[[#This Row],[Front Terminal Number]]</f>
        <v>C8S3-</v>
      </c>
      <c r="AR1156" s="143"/>
      <c r="AS1156" s="136" t="str">
        <f>tbl_IO_List[[#This Row],[Terminal Tagging]]&amp;"-"&amp;tbl_IO_List[[#This Row],[Point-Count]]</f>
        <v>-</v>
      </c>
      <c r="AT1156" s="136" t="str">
        <f>tbl_IO_List[[#This Row],[Front Terminal Tagging]]&amp;"/"&amp;tbl_IO_List[[#This Row],[Terminal Tagging-Item]]</f>
        <v>C8S3-/-</v>
      </c>
      <c r="AU1156" s="136" t="str">
        <f>tbl_IO_List[[#This Row],[Terminal Tagging-Item]]&amp;"/"&amp;tbl_IO_List[[#This Row],[Front Terminal Tagging]]</f>
        <v>-/C8S3-</v>
      </c>
    </row>
    <row r="1157" spans="1:47" hidden="1">
      <c r="A1157" s="147" t="s">
        <v>1365</v>
      </c>
      <c r="B1157" s="136" t="s">
        <v>90</v>
      </c>
      <c r="C1157" s="136" t="str">
        <f>tbl_IO_List[[#This Row],[Column3]]</f>
        <v>C8S03,20</v>
      </c>
      <c r="D1157" s="136" t="e">
        <f>tbl_IO_List[[#This Row],[Card]]</f>
        <v>#N/A</v>
      </c>
      <c r="E1157" s="136" t="s">
        <v>1372</v>
      </c>
      <c r="F1157" s="136" t="str">
        <f>tbl_IO_List[[#This Row],[Column23]]&amp;"-" &amp;tbl_IO_List[[#This Row],[Column52]]</f>
        <v>C8S03-X2</v>
      </c>
      <c r="G1157" s="136" t="str">
        <f>tbl_IO_List[[#This Row],[PLC_Tag]]</f>
        <v>Spare_DI_0</v>
      </c>
      <c r="H1157" s="136"/>
      <c r="I1157" s="136" t="str">
        <f>VLOOKUP(tbl_IO_List[[#This Row],[Destination]],tbl_Junction[],2,FALSE)</f>
        <v>Packing Tower 8th Floor</v>
      </c>
      <c r="J1157" s="136" t="s">
        <v>360</v>
      </c>
      <c r="K1157" s="136" t="s">
        <v>66</v>
      </c>
      <c r="L1157" s="136" t="s">
        <v>411</v>
      </c>
      <c r="M1157" s="136" t="e">
        <f>VLOOKUP(tbl_IO_List[[#This Row],[Instruement Tag]],tbl_Instruement_List[],2,FALSE)</f>
        <v>#N/A</v>
      </c>
      <c r="N1157" s="136" t="s">
        <v>47</v>
      </c>
      <c r="O1157" s="136" t="s">
        <v>78</v>
      </c>
      <c r="P1157" s="136" t="s">
        <v>75</v>
      </c>
      <c r="Q1157" s="136" t="e">
        <f>VLOOKUP(tbl_IO_List[[#This Row],[Instruement Tag]],tbl_Instruement_List[],6,FALSE)</f>
        <v>#N/A</v>
      </c>
      <c r="R1157" s="136"/>
      <c r="S115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57" s="136" t="str">
        <f>tbl_IO_List[[#This Row],[Instruement Tag]]&amp;"_"&amp;tbl_IO_List[[#This Row],[I/O Type]]&amp;"_"&amp;tbl_IO_List[[#This Row],[IO-Point 
(Instruement)]]</f>
        <v>Spare_DI_0</v>
      </c>
      <c r="U1157" s="136" t="s">
        <v>8</v>
      </c>
      <c r="V1157" s="136">
        <f>VLOOKUP(tbl_IO_List[[#This Row],[I/O Type]],tbl_Slot_Group[],2,FALSE)</f>
        <v>1</v>
      </c>
      <c r="W1157" s="136">
        <v>0</v>
      </c>
      <c r="X1157" s="136" t="str">
        <f>tbl_IO_List[[#This Row],[Chassis]]&amp;"S"&amp;TEXT(tbl_IO_List[[#This Row],[Slot]],"00")</f>
        <v>C8S03</v>
      </c>
      <c r="Y1157" s="136" t="str">
        <f>tbl_IO_List[[#This Row],[Chassis]]&amp;"S"&amp;TEXT(tbl_IO_List[[#This Row],[Slot]],"00")&amp;tbl_IO_List[[#This Row],[I/O Type]]&amp;TEXT(tbl_IO_List[[#This Row],[Point]],"00")</f>
        <v>C8S03DI20</v>
      </c>
      <c r="Z1157" s="136" t="str">
        <f>tbl_IO_List[[#This Row],[Chassis]]&amp;"S"&amp;TEXT(tbl_IO_List[[#This Row],[Slot]],"00")&amp;","&amp;TEXT(tbl_IO_List[[#This Row],[Point]],"00")</f>
        <v>C8S03,20</v>
      </c>
      <c r="AA1157" s="136" t="e">
        <f>VLOOKUP(tbl_IO_List[[#This Row],[Column23]],tbl_RackConfig[],5,FALSE) &amp;"-"&amp;tbl_IO_List[[#This Row],[Point]]</f>
        <v>#N/A</v>
      </c>
      <c r="AB1157" s="136"/>
      <c r="AC1157" s="136"/>
      <c r="AD1157" s="136" t="str">
        <f>tbl_IO_List[[#This Row],[I/O Type]]</f>
        <v>DI</v>
      </c>
      <c r="AE1157" s="136" t="s">
        <v>1843</v>
      </c>
      <c r="AF1157" s="136">
        <v>3</v>
      </c>
      <c r="AG1157" s="136">
        <v>20</v>
      </c>
      <c r="AH1157" s="136"/>
      <c r="AI1157" s="136"/>
      <c r="AJ1157" s="136">
        <v>1</v>
      </c>
      <c r="AK1157" s="136">
        <v>0</v>
      </c>
      <c r="AL1157" s="136">
        <v>0</v>
      </c>
      <c r="AM1157" s="136">
        <v>0</v>
      </c>
      <c r="AN1157" s="136">
        <v>0</v>
      </c>
      <c r="AO1157" s="136"/>
      <c r="AP1157" s="143" t="e">
        <f>VLOOKUP(tbl_IO_List[[#This Row],[Instruement Tag]],tbl_Instruement_List[],14,FALSE)</f>
        <v>#N/A</v>
      </c>
      <c r="AQ1157" s="143" t="str">
        <f>tbl_IO_List[[#This Row],[Chassis]]&amp;"S"&amp;tbl_IO_List[[#This Row],[Slot]]&amp;"-"&amp;tbl_IO_List[[#This Row],[Front Terminal Number]]</f>
        <v>C8S3-</v>
      </c>
      <c r="AR1157" s="143"/>
      <c r="AS1157" s="136" t="str">
        <f>tbl_IO_List[[#This Row],[Terminal Tagging]]&amp;"-"&amp;tbl_IO_List[[#This Row],[Point-Count]]</f>
        <v>-</v>
      </c>
      <c r="AT1157" s="136" t="str">
        <f>tbl_IO_List[[#This Row],[Front Terminal Tagging]]&amp;"/"&amp;tbl_IO_List[[#This Row],[Terminal Tagging-Item]]</f>
        <v>C8S3-/-</v>
      </c>
      <c r="AU1157" s="136" t="str">
        <f>tbl_IO_List[[#This Row],[Terminal Tagging-Item]]&amp;"/"&amp;tbl_IO_List[[#This Row],[Front Terminal Tagging]]</f>
        <v>-/C8S3-</v>
      </c>
    </row>
    <row r="1158" spans="1:47" hidden="1">
      <c r="A1158" s="147" t="s">
        <v>1365</v>
      </c>
      <c r="B1158" s="136" t="s">
        <v>90</v>
      </c>
      <c r="C1158" s="136" t="str">
        <f>tbl_IO_List[[#This Row],[Column3]]</f>
        <v>C8S03,21</v>
      </c>
      <c r="D1158" s="136" t="e">
        <f>tbl_IO_List[[#This Row],[Card]]</f>
        <v>#N/A</v>
      </c>
      <c r="E1158" s="136" t="s">
        <v>1372</v>
      </c>
      <c r="F1158" s="136" t="str">
        <f>tbl_IO_List[[#This Row],[Column23]]&amp;"-" &amp;tbl_IO_List[[#This Row],[Column52]]</f>
        <v>C8S03-X2</v>
      </c>
      <c r="G1158" s="136" t="str">
        <f>tbl_IO_List[[#This Row],[PLC_Tag]]</f>
        <v>Spare_DI_0</v>
      </c>
      <c r="H1158" s="136"/>
      <c r="I1158" s="136" t="str">
        <f>VLOOKUP(tbl_IO_List[[#This Row],[Destination]],tbl_Junction[],2,FALSE)</f>
        <v>Packing Tower 8th Floor</v>
      </c>
      <c r="J1158" s="136" t="s">
        <v>360</v>
      </c>
      <c r="K1158" s="136" t="s">
        <v>66</v>
      </c>
      <c r="L1158" s="136" t="s">
        <v>411</v>
      </c>
      <c r="M1158" s="136" t="e">
        <f>VLOOKUP(tbl_IO_List[[#This Row],[Instruement Tag]],tbl_Instruement_List[],2,FALSE)</f>
        <v>#N/A</v>
      </c>
      <c r="N1158" s="136" t="s">
        <v>47</v>
      </c>
      <c r="O1158" s="136" t="s">
        <v>78</v>
      </c>
      <c r="P1158" s="136" t="s">
        <v>75</v>
      </c>
      <c r="Q1158" s="136" t="e">
        <f>VLOOKUP(tbl_IO_List[[#This Row],[Instruement Tag]],tbl_Instruement_List[],6,FALSE)</f>
        <v>#N/A</v>
      </c>
      <c r="R1158" s="136"/>
      <c r="S115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58" s="136" t="str">
        <f>tbl_IO_List[[#This Row],[Instruement Tag]]&amp;"_"&amp;tbl_IO_List[[#This Row],[I/O Type]]&amp;"_"&amp;tbl_IO_List[[#This Row],[IO-Point 
(Instruement)]]</f>
        <v>Spare_DI_0</v>
      </c>
      <c r="U1158" s="136" t="s">
        <v>8</v>
      </c>
      <c r="V1158" s="136">
        <f>VLOOKUP(tbl_IO_List[[#This Row],[I/O Type]],tbl_Slot_Group[],2,FALSE)</f>
        <v>1</v>
      </c>
      <c r="W1158" s="136">
        <v>0</v>
      </c>
      <c r="X1158" s="136" t="str">
        <f>tbl_IO_List[[#This Row],[Chassis]]&amp;"S"&amp;TEXT(tbl_IO_List[[#This Row],[Slot]],"00")</f>
        <v>C8S03</v>
      </c>
      <c r="Y1158" s="136" t="str">
        <f>tbl_IO_List[[#This Row],[Chassis]]&amp;"S"&amp;TEXT(tbl_IO_List[[#This Row],[Slot]],"00")&amp;tbl_IO_List[[#This Row],[I/O Type]]&amp;TEXT(tbl_IO_List[[#This Row],[Point]],"00")</f>
        <v>C8S03DI21</v>
      </c>
      <c r="Z1158" s="136" t="str">
        <f>tbl_IO_List[[#This Row],[Chassis]]&amp;"S"&amp;TEXT(tbl_IO_List[[#This Row],[Slot]],"00")&amp;","&amp;TEXT(tbl_IO_List[[#This Row],[Point]],"00")</f>
        <v>C8S03,21</v>
      </c>
      <c r="AA1158" s="136" t="e">
        <f>VLOOKUP(tbl_IO_List[[#This Row],[Column23]],tbl_RackConfig[],5,FALSE) &amp;"-"&amp;tbl_IO_List[[#This Row],[Point]]</f>
        <v>#N/A</v>
      </c>
      <c r="AB1158" s="136"/>
      <c r="AC1158" s="136"/>
      <c r="AD1158" s="136" t="str">
        <f>tbl_IO_List[[#This Row],[I/O Type]]</f>
        <v>DI</v>
      </c>
      <c r="AE1158" s="136" t="s">
        <v>1843</v>
      </c>
      <c r="AF1158" s="136">
        <v>3</v>
      </c>
      <c r="AG1158" s="136">
        <v>21</v>
      </c>
      <c r="AH1158" s="136"/>
      <c r="AI1158" s="136"/>
      <c r="AJ1158" s="136">
        <v>1</v>
      </c>
      <c r="AK1158" s="136">
        <v>0</v>
      </c>
      <c r="AL1158" s="136">
        <v>0</v>
      </c>
      <c r="AM1158" s="136">
        <v>0</v>
      </c>
      <c r="AN1158" s="136">
        <v>0</v>
      </c>
      <c r="AO1158" s="136"/>
      <c r="AP1158" s="143" t="e">
        <f>VLOOKUP(tbl_IO_List[[#This Row],[Instruement Tag]],tbl_Instruement_List[],14,FALSE)</f>
        <v>#N/A</v>
      </c>
      <c r="AQ1158" s="143" t="str">
        <f>tbl_IO_List[[#This Row],[Chassis]]&amp;"S"&amp;tbl_IO_List[[#This Row],[Slot]]&amp;"-"&amp;tbl_IO_List[[#This Row],[Front Terminal Number]]</f>
        <v>C8S3-</v>
      </c>
      <c r="AR1158" s="143"/>
      <c r="AS1158" s="136" t="str">
        <f>tbl_IO_List[[#This Row],[Terminal Tagging]]&amp;"-"&amp;tbl_IO_List[[#This Row],[Point-Count]]</f>
        <v>-</v>
      </c>
      <c r="AT1158" s="136" t="str">
        <f>tbl_IO_List[[#This Row],[Front Terminal Tagging]]&amp;"/"&amp;tbl_IO_List[[#This Row],[Terminal Tagging-Item]]</f>
        <v>C8S3-/-</v>
      </c>
      <c r="AU1158" s="136" t="str">
        <f>tbl_IO_List[[#This Row],[Terminal Tagging-Item]]&amp;"/"&amp;tbl_IO_List[[#This Row],[Front Terminal Tagging]]</f>
        <v>-/C8S3-</v>
      </c>
    </row>
    <row r="1159" spans="1:47" hidden="1">
      <c r="A1159" s="147" t="s">
        <v>1365</v>
      </c>
      <c r="B1159" s="136" t="s">
        <v>90</v>
      </c>
      <c r="C1159" s="136" t="str">
        <f>tbl_IO_List[[#This Row],[Column3]]</f>
        <v>C8S03,22</v>
      </c>
      <c r="D1159" s="136" t="e">
        <f>tbl_IO_List[[#This Row],[Card]]</f>
        <v>#N/A</v>
      </c>
      <c r="E1159" s="136" t="s">
        <v>1372</v>
      </c>
      <c r="F1159" s="136" t="str">
        <f>tbl_IO_List[[#This Row],[Column23]]&amp;"-" &amp;tbl_IO_List[[#This Row],[Column52]]</f>
        <v>C8S03-X2</v>
      </c>
      <c r="G1159" s="136" t="str">
        <f>tbl_IO_List[[#This Row],[PLC_Tag]]</f>
        <v>Spare_DI_0</v>
      </c>
      <c r="H1159" s="136"/>
      <c r="I1159" s="136" t="str">
        <f>VLOOKUP(tbl_IO_List[[#This Row],[Destination]],tbl_Junction[],2,FALSE)</f>
        <v>Packing Tower 8th Floor</v>
      </c>
      <c r="J1159" s="136" t="s">
        <v>360</v>
      </c>
      <c r="K1159" s="136" t="s">
        <v>66</v>
      </c>
      <c r="L1159" s="136" t="s">
        <v>411</v>
      </c>
      <c r="M1159" s="136" t="e">
        <f>VLOOKUP(tbl_IO_List[[#This Row],[Instruement Tag]],tbl_Instruement_List[],2,FALSE)</f>
        <v>#N/A</v>
      </c>
      <c r="N1159" s="136" t="s">
        <v>47</v>
      </c>
      <c r="O1159" s="136" t="s">
        <v>78</v>
      </c>
      <c r="P1159" s="136" t="s">
        <v>75</v>
      </c>
      <c r="Q1159" s="136" t="e">
        <f>VLOOKUP(tbl_IO_List[[#This Row],[Instruement Tag]],tbl_Instruement_List[],6,FALSE)</f>
        <v>#N/A</v>
      </c>
      <c r="R1159" s="136"/>
      <c r="S115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59" s="136" t="str">
        <f>tbl_IO_List[[#This Row],[Instruement Tag]]&amp;"_"&amp;tbl_IO_List[[#This Row],[I/O Type]]&amp;"_"&amp;tbl_IO_List[[#This Row],[IO-Point 
(Instruement)]]</f>
        <v>Spare_DI_0</v>
      </c>
      <c r="U1159" s="136" t="s">
        <v>8</v>
      </c>
      <c r="V1159" s="136">
        <f>VLOOKUP(tbl_IO_List[[#This Row],[I/O Type]],tbl_Slot_Group[],2,FALSE)</f>
        <v>1</v>
      </c>
      <c r="W1159" s="136">
        <v>0</v>
      </c>
      <c r="X1159" s="136" t="str">
        <f>tbl_IO_List[[#This Row],[Chassis]]&amp;"S"&amp;TEXT(tbl_IO_List[[#This Row],[Slot]],"00")</f>
        <v>C8S03</v>
      </c>
      <c r="Y1159" s="136" t="str">
        <f>tbl_IO_List[[#This Row],[Chassis]]&amp;"S"&amp;TEXT(tbl_IO_List[[#This Row],[Slot]],"00")&amp;tbl_IO_List[[#This Row],[I/O Type]]&amp;TEXT(tbl_IO_List[[#This Row],[Point]],"00")</f>
        <v>C8S03DI22</v>
      </c>
      <c r="Z1159" s="136" t="str">
        <f>tbl_IO_List[[#This Row],[Chassis]]&amp;"S"&amp;TEXT(tbl_IO_List[[#This Row],[Slot]],"00")&amp;","&amp;TEXT(tbl_IO_List[[#This Row],[Point]],"00")</f>
        <v>C8S03,22</v>
      </c>
      <c r="AA1159" s="136" t="e">
        <f>VLOOKUP(tbl_IO_List[[#This Row],[Column23]],tbl_RackConfig[],5,FALSE) &amp;"-"&amp;tbl_IO_List[[#This Row],[Point]]</f>
        <v>#N/A</v>
      </c>
      <c r="AB1159" s="136"/>
      <c r="AC1159" s="136"/>
      <c r="AD1159" s="136" t="str">
        <f>tbl_IO_List[[#This Row],[I/O Type]]</f>
        <v>DI</v>
      </c>
      <c r="AE1159" s="136" t="s">
        <v>1843</v>
      </c>
      <c r="AF1159" s="136">
        <v>3</v>
      </c>
      <c r="AG1159" s="136">
        <v>22</v>
      </c>
      <c r="AH1159" s="136"/>
      <c r="AI1159" s="136"/>
      <c r="AJ1159" s="136">
        <v>1</v>
      </c>
      <c r="AK1159" s="136">
        <v>0</v>
      </c>
      <c r="AL1159" s="136">
        <v>0</v>
      </c>
      <c r="AM1159" s="136">
        <v>0</v>
      </c>
      <c r="AN1159" s="136">
        <v>0</v>
      </c>
      <c r="AO1159" s="136"/>
      <c r="AP1159" s="143" t="e">
        <f>VLOOKUP(tbl_IO_List[[#This Row],[Instruement Tag]],tbl_Instruement_List[],14,FALSE)</f>
        <v>#N/A</v>
      </c>
      <c r="AQ1159" s="143" t="str">
        <f>tbl_IO_List[[#This Row],[Chassis]]&amp;"S"&amp;tbl_IO_List[[#This Row],[Slot]]&amp;"-"&amp;tbl_IO_List[[#This Row],[Front Terminal Number]]</f>
        <v>C8S3-</v>
      </c>
      <c r="AR1159" s="143"/>
      <c r="AS1159" s="136" t="str">
        <f>tbl_IO_List[[#This Row],[Terminal Tagging]]&amp;"-"&amp;tbl_IO_List[[#This Row],[Point-Count]]</f>
        <v>-</v>
      </c>
      <c r="AT1159" s="136" t="str">
        <f>tbl_IO_List[[#This Row],[Front Terminal Tagging]]&amp;"/"&amp;tbl_IO_List[[#This Row],[Terminal Tagging-Item]]</f>
        <v>C8S3-/-</v>
      </c>
      <c r="AU1159" s="136" t="str">
        <f>tbl_IO_List[[#This Row],[Terminal Tagging-Item]]&amp;"/"&amp;tbl_IO_List[[#This Row],[Front Terminal Tagging]]</f>
        <v>-/C8S3-</v>
      </c>
    </row>
    <row r="1160" spans="1:47" hidden="1">
      <c r="A1160" s="147" t="s">
        <v>1365</v>
      </c>
      <c r="B1160" s="136" t="s">
        <v>90</v>
      </c>
      <c r="C1160" s="136" t="str">
        <f>tbl_IO_List[[#This Row],[Column3]]</f>
        <v>C8S03,23</v>
      </c>
      <c r="D1160" s="136" t="e">
        <f>tbl_IO_List[[#This Row],[Card]]</f>
        <v>#N/A</v>
      </c>
      <c r="E1160" s="136" t="s">
        <v>1372</v>
      </c>
      <c r="F1160" s="136" t="str">
        <f>tbl_IO_List[[#This Row],[Column23]]&amp;"-" &amp;tbl_IO_List[[#This Row],[Column52]]</f>
        <v>C8S03-X2</v>
      </c>
      <c r="G1160" s="136" t="str">
        <f>tbl_IO_List[[#This Row],[PLC_Tag]]</f>
        <v>Spare_DI_0</v>
      </c>
      <c r="H1160" s="136"/>
      <c r="I1160" s="136" t="str">
        <f>VLOOKUP(tbl_IO_List[[#This Row],[Destination]],tbl_Junction[],2,FALSE)</f>
        <v>Packing Tower 8th Floor</v>
      </c>
      <c r="J1160" s="136" t="s">
        <v>360</v>
      </c>
      <c r="K1160" s="136" t="s">
        <v>66</v>
      </c>
      <c r="L1160" s="136" t="s">
        <v>411</v>
      </c>
      <c r="M1160" s="136" t="e">
        <f>VLOOKUP(tbl_IO_List[[#This Row],[Instruement Tag]],tbl_Instruement_List[],2,FALSE)</f>
        <v>#N/A</v>
      </c>
      <c r="N1160" s="136" t="s">
        <v>47</v>
      </c>
      <c r="O1160" s="136" t="s">
        <v>78</v>
      </c>
      <c r="P1160" s="136" t="s">
        <v>75</v>
      </c>
      <c r="Q1160" s="136" t="e">
        <f>VLOOKUP(tbl_IO_List[[#This Row],[Instruement Tag]],tbl_Instruement_List[],6,FALSE)</f>
        <v>#N/A</v>
      </c>
      <c r="R1160" s="136"/>
      <c r="S116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60" s="136" t="str">
        <f>tbl_IO_List[[#This Row],[Instruement Tag]]&amp;"_"&amp;tbl_IO_List[[#This Row],[I/O Type]]&amp;"_"&amp;tbl_IO_List[[#This Row],[IO-Point 
(Instruement)]]</f>
        <v>Spare_DI_0</v>
      </c>
      <c r="U1160" s="136" t="s">
        <v>8</v>
      </c>
      <c r="V1160" s="136">
        <f>VLOOKUP(tbl_IO_List[[#This Row],[I/O Type]],tbl_Slot_Group[],2,FALSE)</f>
        <v>1</v>
      </c>
      <c r="W1160" s="136">
        <v>0</v>
      </c>
      <c r="X1160" s="136" t="str">
        <f>tbl_IO_List[[#This Row],[Chassis]]&amp;"S"&amp;TEXT(tbl_IO_List[[#This Row],[Slot]],"00")</f>
        <v>C8S03</v>
      </c>
      <c r="Y1160" s="136" t="str">
        <f>tbl_IO_List[[#This Row],[Chassis]]&amp;"S"&amp;TEXT(tbl_IO_List[[#This Row],[Slot]],"00")&amp;tbl_IO_List[[#This Row],[I/O Type]]&amp;TEXT(tbl_IO_List[[#This Row],[Point]],"00")</f>
        <v>C8S03DI23</v>
      </c>
      <c r="Z1160" s="136" t="str">
        <f>tbl_IO_List[[#This Row],[Chassis]]&amp;"S"&amp;TEXT(tbl_IO_List[[#This Row],[Slot]],"00")&amp;","&amp;TEXT(tbl_IO_List[[#This Row],[Point]],"00")</f>
        <v>C8S03,23</v>
      </c>
      <c r="AA1160" s="136" t="e">
        <f>VLOOKUP(tbl_IO_List[[#This Row],[Column23]],tbl_RackConfig[],5,FALSE) &amp;"-"&amp;tbl_IO_List[[#This Row],[Point]]</f>
        <v>#N/A</v>
      </c>
      <c r="AB1160" s="136"/>
      <c r="AC1160" s="136"/>
      <c r="AD1160" s="136" t="str">
        <f>tbl_IO_List[[#This Row],[I/O Type]]</f>
        <v>DI</v>
      </c>
      <c r="AE1160" s="136" t="s">
        <v>1843</v>
      </c>
      <c r="AF1160" s="136">
        <v>3</v>
      </c>
      <c r="AG1160" s="136">
        <v>23</v>
      </c>
      <c r="AH1160" s="136"/>
      <c r="AI1160" s="136"/>
      <c r="AJ1160" s="136">
        <v>1</v>
      </c>
      <c r="AK1160" s="136">
        <v>0</v>
      </c>
      <c r="AL1160" s="136">
        <v>0</v>
      </c>
      <c r="AM1160" s="136">
        <v>0</v>
      </c>
      <c r="AN1160" s="136">
        <v>0</v>
      </c>
      <c r="AO1160" s="136"/>
      <c r="AP1160" s="143" t="e">
        <f>VLOOKUP(tbl_IO_List[[#This Row],[Instruement Tag]],tbl_Instruement_List[],14,FALSE)</f>
        <v>#N/A</v>
      </c>
      <c r="AQ1160" s="143" t="str">
        <f>tbl_IO_List[[#This Row],[Chassis]]&amp;"S"&amp;tbl_IO_List[[#This Row],[Slot]]&amp;"-"&amp;tbl_IO_List[[#This Row],[Front Terminal Number]]</f>
        <v>C8S3-</v>
      </c>
      <c r="AR1160" s="143"/>
      <c r="AS1160" s="136" t="str">
        <f>tbl_IO_List[[#This Row],[Terminal Tagging]]&amp;"-"&amp;tbl_IO_List[[#This Row],[Point-Count]]</f>
        <v>-</v>
      </c>
      <c r="AT1160" s="136" t="str">
        <f>tbl_IO_List[[#This Row],[Front Terminal Tagging]]&amp;"/"&amp;tbl_IO_List[[#This Row],[Terminal Tagging-Item]]</f>
        <v>C8S3-/-</v>
      </c>
      <c r="AU1160" s="136" t="str">
        <f>tbl_IO_List[[#This Row],[Terminal Tagging-Item]]&amp;"/"&amp;tbl_IO_List[[#This Row],[Front Terminal Tagging]]</f>
        <v>-/C8S3-</v>
      </c>
    </row>
    <row r="1161" spans="1:47" hidden="1">
      <c r="A1161" s="147" t="s">
        <v>1365</v>
      </c>
      <c r="B1161" s="136" t="s">
        <v>90</v>
      </c>
      <c r="C1161" s="136" t="str">
        <f>tbl_IO_List[[#This Row],[Column3]]</f>
        <v>C8S03,24</v>
      </c>
      <c r="D1161" s="136" t="e">
        <f>tbl_IO_List[[#This Row],[Card]]</f>
        <v>#N/A</v>
      </c>
      <c r="E1161" s="136" t="s">
        <v>1372</v>
      </c>
      <c r="F1161" s="136" t="str">
        <f>tbl_IO_List[[#This Row],[Column23]]&amp;"-" &amp;tbl_IO_List[[#This Row],[Column52]]</f>
        <v>C8S03-X2</v>
      </c>
      <c r="G1161" s="136" t="str">
        <f>tbl_IO_List[[#This Row],[PLC_Tag]]</f>
        <v>Spare_DI_0</v>
      </c>
      <c r="H1161" s="136"/>
      <c r="I1161" s="136" t="str">
        <f>VLOOKUP(tbl_IO_List[[#This Row],[Destination]],tbl_Junction[],2,FALSE)</f>
        <v>Packing Tower 8th Floor</v>
      </c>
      <c r="J1161" s="136" t="s">
        <v>360</v>
      </c>
      <c r="K1161" s="136" t="s">
        <v>66</v>
      </c>
      <c r="L1161" s="136" t="s">
        <v>411</v>
      </c>
      <c r="M1161" s="136" t="e">
        <f>VLOOKUP(tbl_IO_List[[#This Row],[Instruement Tag]],tbl_Instruement_List[],2,FALSE)</f>
        <v>#N/A</v>
      </c>
      <c r="N1161" s="136" t="s">
        <v>47</v>
      </c>
      <c r="O1161" s="136" t="s">
        <v>78</v>
      </c>
      <c r="P1161" s="136" t="s">
        <v>75</v>
      </c>
      <c r="Q1161" s="136" t="e">
        <f>VLOOKUP(tbl_IO_List[[#This Row],[Instruement Tag]],tbl_Instruement_List[],6,FALSE)</f>
        <v>#N/A</v>
      </c>
      <c r="R1161" s="136"/>
      <c r="S116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61" s="136" t="str">
        <f>tbl_IO_List[[#This Row],[Instruement Tag]]&amp;"_"&amp;tbl_IO_List[[#This Row],[I/O Type]]&amp;"_"&amp;tbl_IO_List[[#This Row],[IO-Point 
(Instruement)]]</f>
        <v>Spare_DI_0</v>
      </c>
      <c r="U1161" s="136" t="s">
        <v>8</v>
      </c>
      <c r="V1161" s="136">
        <f>VLOOKUP(tbl_IO_List[[#This Row],[I/O Type]],tbl_Slot_Group[],2,FALSE)</f>
        <v>1</v>
      </c>
      <c r="W1161" s="136">
        <v>0</v>
      </c>
      <c r="X1161" s="136" t="str">
        <f>tbl_IO_List[[#This Row],[Chassis]]&amp;"S"&amp;TEXT(tbl_IO_List[[#This Row],[Slot]],"00")</f>
        <v>C8S03</v>
      </c>
      <c r="Y1161" s="136" t="str">
        <f>tbl_IO_List[[#This Row],[Chassis]]&amp;"S"&amp;TEXT(tbl_IO_List[[#This Row],[Slot]],"00")&amp;tbl_IO_List[[#This Row],[I/O Type]]&amp;TEXT(tbl_IO_List[[#This Row],[Point]],"00")</f>
        <v>C8S03DI24</v>
      </c>
      <c r="Z1161" s="136" t="str">
        <f>tbl_IO_List[[#This Row],[Chassis]]&amp;"S"&amp;TEXT(tbl_IO_List[[#This Row],[Slot]],"00")&amp;","&amp;TEXT(tbl_IO_List[[#This Row],[Point]],"00")</f>
        <v>C8S03,24</v>
      </c>
      <c r="AA1161" s="136" t="e">
        <f>VLOOKUP(tbl_IO_List[[#This Row],[Column23]],tbl_RackConfig[],5,FALSE) &amp;"-"&amp;tbl_IO_List[[#This Row],[Point]]</f>
        <v>#N/A</v>
      </c>
      <c r="AB1161" s="136"/>
      <c r="AC1161" s="136"/>
      <c r="AD1161" s="136" t="str">
        <f>tbl_IO_List[[#This Row],[I/O Type]]</f>
        <v>DI</v>
      </c>
      <c r="AE1161" s="136" t="s">
        <v>1843</v>
      </c>
      <c r="AF1161" s="136">
        <v>3</v>
      </c>
      <c r="AG1161" s="136">
        <v>24</v>
      </c>
      <c r="AH1161" s="136"/>
      <c r="AI1161" s="136"/>
      <c r="AJ1161" s="136">
        <v>1</v>
      </c>
      <c r="AK1161" s="136">
        <v>0</v>
      </c>
      <c r="AL1161" s="136">
        <v>0</v>
      </c>
      <c r="AM1161" s="136">
        <v>0</v>
      </c>
      <c r="AN1161" s="136">
        <v>0</v>
      </c>
      <c r="AO1161" s="136"/>
      <c r="AP1161" s="143" t="e">
        <f>VLOOKUP(tbl_IO_List[[#This Row],[Instruement Tag]],tbl_Instruement_List[],14,FALSE)</f>
        <v>#N/A</v>
      </c>
      <c r="AQ1161" s="143" t="str">
        <f>tbl_IO_List[[#This Row],[Chassis]]&amp;"S"&amp;tbl_IO_List[[#This Row],[Slot]]&amp;"-"&amp;tbl_IO_List[[#This Row],[Front Terminal Number]]</f>
        <v>C8S3-</v>
      </c>
      <c r="AR1161" s="143"/>
      <c r="AS1161" s="136" t="str">
        <f>tbl_IO_List[[#This Row],[Terminal Tagging]]&amp;"-"&amp;tbl_IO_List[[#This Row],[Point-Count]]</f>
        <v>-</v>
      </c>
      <c r="AT1161" s="136" t="str">
        <f>tbl_IO_List[[#This Row],[Front Terminal Tagging]]&amp;"/"&amp;tbl_IO_List[[#This Row],[Terminal Tagging-Item]]</f>
        <v>C8S3-/-</v>
      </c>
      <c r="AU1161" s="136" t="str">
        <f>tbl_IO_List[[#This Row],[Terminal Tagging-Item]]&amp;"/"&amp;tbl_IO_List[[#This Row],[Front Terminal Tagging]]</f>
        <v>-/C8S3-</v>
      </c>
    </row>
    <row r="1162" spans="1:47" hidden="1">
      <c r="A1162" s="147" t="s">
        <v>1365</v>
      </c>
      <c r="B1162" s="136" t="s">
        <v>90</v>
      </c>
      <c r="C1162" s="136" t="str">
        <f>tbl_IO_List[[#This Row],[Column3]]</f>
        <v>C8S03,25</v>
      </c>
      <c r="D1162" s="136" t="e">
        <f>tbl_IO_List[[#This Row],[Card]]</f>
        <v>#N/A</v>
      </c>
      <c r="E1162" s="136" t="s">
        <v>1372</v>
      </c>
      <c r="F1162" s="136" t="str">
        <f>tbl_IO_List[[#This Row],[Column23]]&amp;"-" &amp;tbl_IO_List[[#This Row],[Column52]]</f>
        <v>C8S03-X2</v>
      </c>
      <c r="G1162" s="136" t="str">
        <f>tbl_IO_List[[#This Row],[PLC_Tag]]</f>
        <v>Spare_DI_0</v>
      </c>
      <c r="H1162" s="136"/>
      <c r="I1162" s="136" t="str">
        <f>VLOOKUP(tbl_IO_List[[#This Row],[Destination]],tbl_Junction[],2,FALSE)</f>
        <v>Packing Tower 8th Floor</v>
      </c>
      <c r="J1162" s="136" t="s">
        <v>360</v>
      </c>
      <c r="K1162" s="136" t="s">
        <v>66</v>
      </c>
      <c r="L1162" s="136" t="s">
        <v>411</v>
      </c>
      <c r="M1162" s="136" t="e">
        <f>VLOOKUP(tbl_IO_List[[#This Row],[Instruement Tag]],tbl_Instruement_List[],2,FALSE)</f>
        <v>#N/A</v>
      </c>
      <c r="N1162" s="136" t="s">
        <v>47</v>
      </c>
      <c r="O1162" s="136" t="s">
        <v>78</v>
      </c>
      <c r="P1162" s="136" t="s">
        <v>75</v>
      </c>
      <c r="Q1162" s="136" t="e">
        <f>VLOOKUP(tbl_IO_List[[#This Row],[Instruement Tag]],tbl_Instruement_List[],6,FALSE)</f>
        <v>#N/A</v>
      </c>
      <c r="R1162" s="136"/>
      <c r="S116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62" s="136" t="str">
        <f>tbl_IO_List[[#This Row],[Instruement Tag]]&amp;"_"&amp;tbl_IO_List[[#This Row],[I/O Type]]&amp;"_"&amp;tbl_IO_List[[#This Row],[IO-Point 
(Instruement)]]</f>
        <v>Spare_DI_0</v>
      </c>
      <c r="U1162" s="136" t="s">
        <v>8</v>
      </c>
      <c r="V1162" s="136">
        <f>VLOOKUP(tbl_IO_List[[#This Row],[I/O Type]],tbl_Slot_Group[],2,FALSE)</f>
        <v>1</v>
      </c>
      <c r="W1162" s="136">
        <v>0</v>
      </c>
      <c r="X1162" s="136" t="str">
        <f>tbl_IO_List[[#This Row],[Chassis]]&amp;"S"&amp;TEXT(tbl_IO_List[[#This Row],[Slot]],"00")</f>
        <v>C8S03</v>
      </c>
      <c r="Y1162" s="136" t="str">
        <f>tbl_IO_List[[#This Row],[Chassis]]&amp;"S"&amp;TEXT(tbl_IO_List[[#This Row],[Slot]],"00")&amp;tbl_IO_List[[#This Row],[I/O Type]]&amp;TEXT(tbl_IO_List[[#This Row],[Point]],"00")</f>
        <v>C8S03DI25</v>
      </c>
      <c r="Z1162" s="136" t="str">
        <f>tbl_IO_List[[#This Row],[Chassis]]&amp;"S"&amp;TEXT(tbl_IO_List[[#This Row],[Slot]],"00")&amp;","&amp;TEXT(tbl_IO_List[[#This Row],[Point]],"00")</f>
        <v>C8S03,25</v>
      </c>
      <c r="AA1162" s="136" t="e">
        <f>VLOOKUP(tbl_IO_List[[#This Row],[Column23]],tbl_RackConfig[],5,FALSE) &amp;"-"&amp;tbl_IO_List[[#This Row],[Point]]</f>
        <v>#N/A</v>
      </c>
      <c r="AB1162" s="136"/>
      <c r="AC1162" s="136"/>
      <c r="AD1162" s="136" t="str">
        <f>tbl_IO_List[[#This Row],[I/O Type]]</f>
        <v>DI</v>
      </c>
      <c r="AE1162" s="136" t="s">
        <v>1843</v>
      </c>
      <c r="AF1162" s="136">
        <v>3</v>
      </c>
      <c r="AG1162" s="136">
        <v>25</v>
      </c>
      <c r="AH1162" s="136"/>
      <c r="AI1162" s="136"/>
      <c r="AJ1162" s="136">
        <v>1</v>
      </c>
      <c r="AK1162" s="136">
        <v>0</v>
      </c>
      <c r="AL1162" s="136">
        <v>0</v>
      </c>
      <c r="AM1162" s="136">
        <v>0</v>
      </c>
      <c r="AN1162" s="136">
        <v>0</v>
      </c>
      <c r="AO1162" s="136"/>
      <c r="AP1162" s="143" t="e">
        <f>VLOOKUP(tbl_IO_List[[#This Row],[Instruement Tag]],tbl_Instruement_List[],14,FALSE)</f>
        <v>#N/A</v>
      </c>
      <c r="AQ1162" s="143" t="str">
        <f>tbl_IO_List[[#This Row],[Chassis]]&amp;"S"&amp;tbl_IO_List[[#This Row],[Slot]]&amp;"-"&amp;tbl_IO_List[[#This Row],[Front Terminal Number]]</f>
        <v>C8S3-</v>
      </c>
      <c r="AR1162" s="143"/>
      <c r="AS1162" s="136" t="str">
        <f>tbl_IO_List[[#This Row],[Terminal Tagging]]&amp;"-"&amp;tbl_IO_List[[#This Row],[Point-Count]]</f>
        <v>-</v>
      </c>
      <c r="AT1162" s="136" t="str">
        <f>tbl_IO_List[[#This Row],[Front Terminal Tagging]]&amp;"/"&amp;tbl_IO_List[[#This Row],[Terminal Tagging-Item]]</f>
        <v>C8S3-/-</v>
      </c>
      <c r="AU1162" s="136" t="str">
        <f>tbl_IO_List[[#This Row],[Terminal Tagging-Item]]&amp;"/"&amp;tbl_IO_List[[#This Row],[Front Terminal Tagging]]</f>
        <v>-/C8S3-</v>
      </c>
    </row>
    <row r="1163" spans="1:47" hidden="1">
      <c r="A1163" s="147" t="s">
        <v>1365</v>
      </c>
      <c r="B1163" s="136" t="s">
        <v>90</v>
      </c>
      <c r="C1163" s="136" t="str">
        <f>tbl_IO_List[[#This Row],[Column3]]</f>
        <v>C8S03,26</v>
      </c>
      <c r="D1163" s="136" t="e">
        <f>tbl_IO_List[[#This Row],[Card]]</f>
        <v>#N/A</v>
      </c>
      <c r="E1163" s="136" t="s">
        <v>1372</v>
      </c>
      <c r="F1163" s="136" t="str">
        <f>tbl_IO_List[[#This Row],[Column23]]&amp;"-" &amp;tbl_IO_List[[#This Row],[Column52]]</f>
        <v>C8S03-X2</v>
      </c>
      <c r="G1163" s="136" t="str">
        <f>tbl_IO_List[[#This Row],[PLC_Tag]]</f>
        <v>Spare_DI_0</v>
      </c>
      <c r="H1163" s="136"/>
      <c r="I1163" s="136" t="str">
        <f>VLOOKUP(tbl_IO_List[[#This Row],[Destination]],tbl_Junction[],2,FALSE)</f>
        <v>Packing Tower 8th Floor</v>
      </c>
      <c r="J1163" s="136" t="s">
        <v>360</v>
      </c>
      <c r="K1163" s="136" t="s">
        <v>66</v>
      </c>
      <c r="L1163" s="136" t="s">
        <v>411</v>
      </c>
      <c r="M1163" s="136" t="e">
        <f>VLOOKUP(tbl_IO_List[[#This Row],[Instruement Tag]],tbl_Instruement_List[],2,FALSE)</f>
        <v>#N/A</v>
      </c>
      <c r="N1163" s="136" t="s">
        <v>47</v>
      </c>
      <c r="O1163" s="136" t="s">
        <v>78</v>
      </c>
      <c r="P1163" s="136" t="s">
        <v>75</v>
      </c>
      <c r="Q1163" s="136" t="e">
        <f>VLOOKUP(tbl_IO_List[[#This Row],[Instruement Tag]],tbl_Instruement_List[],6,FALSE)</f>
        <v>#N/A</v>
      </c>
      <c r="R1163" s="136"/>
      <c r="S116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63" s="136" t="str">
        <f>tbl_IO_List[[#This Row],[Instruement Tag]]&amp;"_"&amp;tbl_IO_List[[#This Row],[I/O Type]]&amp;"_"&amp;tbl_IO_List[[#This Row],[IO-Point 
(Instruement)]]</f>
        <v>Spare_DI_0</v>
      </c>
      <c r="U1163" s="136" t="s">
        <v>8</v>
      </c>
      <c r="V1163" s="136">
        <f>VLOOKUP(tbl_IO_List[[#This Row],[I/O Type]],tbl_Slot_Group[],2,FALSE)</f>
        <v>1</v>
      </c>
      <c r="W1163" s="136">
        <v>0</v>
      </c>
      <c r="X1163" s="136" t="str">
        <f>tbl_IO_List[[#This Row],[Chassis]]&amp;"S"&amp;TEXT(tbl_IO_List[[#This Row],[Slot]],"00")</f>
        <v>C8S03</v>
      </c>
      <c r="Y1163" s="136" t="str">
        <f>tbl_IO_List[[#This Row],[Chassis]]&amp;"S"&amp;TEXT(tbl_IO_List[[#This Row],[Slot]],"00")&amp;tbl_IO_List[[#This Row],[I/O Type]]&amp;TEXT(tbl_IO_List[[#This Row],[Point]],"00")</f>
        <v>C8S03DI26</v>
      </c>
      <c r="Z1163" s="136" t="str">
        <f>tbl_IO_List[[#This Row],[Chassis]]&amp;"S"&amp;TEXT(tbl_IO_List[[#This Row],[Slot]],"00")&amp;","&amp;TEXT(tbl_IO_List[[#This Row],[Point]],"00")</f>
        <v>C8S03,26</v>
      </c>
      <c r="AA1163" s="136" t="e">
        <f>VLOOKUP(tbl_IO_List[[#This Row],[Column23]],tbl_RackConfig[],5,FALSE) &amp;"-"&amp;tbl_IO_List[[#This Row],[Point]]</f>
        <v>#N/A</v>
      </c>
      <c r="AB1163" s="136"/>
      <c r="AC1163" s="136"/>
      <c r="AD1163" s="136" t="str">
        <f>tbl_IO_List[[#This Row],[I/O Type]]</f>
        <v>DI</v>
      </c>
      <c r="AE1163" s="136" t="s">
        <v>1843</v>
      </c>
      <c r="AF1163" s="136">
        <v>3</v>
      </c>
      <c r="AG1163" s="136">
        <v>26</v>
      </c>
      <c r="AH1163" s="136"/>
      <c r="AI1163" s="136"/>
      <c r="AJ1163" s="136">
        <v>1</v>
      </c>
      <c r="AK1163" s="136">
        <v>0</v>
      </c>
      <c r="AL1163" s="136">
        <v>0</v>
      </c>
      <c r="AM1163" s="136">
        <v>0</v>
      </c>
      <c r="AN1163" s="136">
        <v>0</v>
      </c>
      <c r="AO1163" s="136"/>
      <c r="AP1163" s="143" t="e">
        <f>VLOOKUP(tbl_IO_List[[#This Row],[Instruement Tag]],tbl_Instruement_List[],14,FALSE)</f>
        <v>#N/A</v>
      </c>
      <c r="AQ1163" s="143" t="str">
        <f>tbl_IO_List[[#This Row],[Chassis]]&amp;"S"&amp;tbl_IO_List[[#This Row],[Slot]]&amp;"-"&amp;tbl_IO_List[[#This Row],[Front Terminal Number]]</f>
        <v>C8S3-</v>
      </c>
      <c r="AR1163" s="143"/>
      <c r="AS1163" s="136" t="str">
        <f>tbl_IO_List[[#This Row],[Terminal Tagging]]&amp;"-"&amp;tbl_IO_List[[#This Row],[Point-Count]]</f>
        <v>-</v>
      </c>
      <c r="AT1163" s="136" t="str">
        <f>tbl_IO_List[[#This Row],[Front Terminal Tagging]]&amp;"/"&amp;tbl_IO_List[[#This Row],[Terminal Tagging-Item]]</f>
        <v>C8S3-/-</v>
      </c>
      <c r="AU1163" s="136" t="str">
        <f>tbl_IO_List[[#This Row],[Terminal Tagging-Item]]&amp;"/"&amp;tbl_IO_List[[#This Row],[Front Terminal Tagging]]</f>
        <v>-/C8S3-</v>
      </c>
    </row>
    <row r="1164" spans="1:47" hidden="1">
      <c r="A1164" s="147" t="s">
        <v>1365</v>
      </c>
      <c r="B1164" s="136" t="s">
        <v>90</v>
      </c>
      <c r="C1164" s="136" t="str">
        <f>tbl_IO_List[[#This Row],[Column3]]</f>
        <v>C8S03,27</v>
      </c>
      <c r="D1164" s="136" t="e">
        <f>tbl_IO_List[[#This Row],[Card]]</f>
        <v>#N/A</v>
      </c>
      <c r="E1164" s="136" t="s">
        <v>1372</v>
      </c>
      <c r="F1164" s="136" t="str">
        <f>tbl_IO_List[[#This Row],[Column23]]&amp;"-" &amp;tbl_IO_List[[#This Row],[Column52]]</f>
        <v>C8S03-X2</v>
      </c>
      <c r="G1164" s="136" t="str">
        <f>tbl_IO_List[[#This Row],[PLC_Tag]]</f>
        <v>Spare_DI_0</v>
      </c>
      <c r="H1164" s="136"/>
      <c r="I1164" s="136" t="str">
        <f>VLOOKUP(tbl_IO_List[[#This Row],[Destination]],tbl_Junction[],2,FALSE)</f>
        <v>Packing Tower 8th Floor</v>
      </c>
      <c r="J1164" s="136" t="s">
        <v>360</v>
      </c>
      <c r="K1164" s="136" t="s">
        <v>66</v>
      </c>
      <c r="L1164" s="136" t="s">
        <v>411</v>
      </c>
      <c r="M1164" s="136" t="e">
        <f>VLOOKUP(tbl_IO_List[[#This Row],[Instruement Tag]],tbl_Instruement_List[],2,FALSE)</f>
        <v>#N/A</v>
      </c>
      <c r="N1164" s="136" t="s">
        <v>47</v>
      </c>
      <c r="O1164" s="136" t="s">
        <v>78</v>
      </c>
      <c r="P1164" s="136" t="s">
        <v>75</v>
      </c>
      <c r="Q1164" s="136" t="e">
        <f>VLOOKUP(tbl_IO_List[[#This Row],[Instruement Tag]],tbl_Instruement_List[],6,FALSE)</f>
        <v>#N/A</v>
      </c>
      <c r="R1164" s="136"/>
      <c r="S116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64" s="136" t="str">
        <f>tbl_IO_List[[#This Row],[Instruement Tag]]&amp;"_"&amp;tbl_IO_List[[#This Row],[I/O Type]]&amp;"_"&amp;tbl_IO_List[[#This Row],[IO-Point 
(Instruement)]]</f>
        <v>Spare_DI_0</v>
      </c>
      <c r="U1164" s="136" t="s">
        <v>8</v>
      </c>
      <c r="V1164" s="136">
        <f>VLOOKUP(tbl_IO_List[[#This Row],[I/O Type]],tbl_Slot_Group[],2,FALSE)</f>
        <v>1</v>
      </c>
      <c r="W1164" s="136">
        <v>0</v>
      </c>
      <c r="X1164" s="136" t="str">
        <f>tbl_IO_List[[#This Row],[Chassis]]&amp;"S"&amp;TEXT(tbl_IO_List[[#This Row],[Slot]],"00")</f>
        <v>C8S03</v>
      </c>
      <c r="Y1164" s="136" t="str">
        <f>tbl_IO_List[[#This Row],[Chassis]]&amp;"S"&amp;TEXT(tbl_IO_List[[#This Row],[Slot]],"00")&amp;tbl_IO_List[[#This Row],[I/O Type]]&amp;TEXT(tbl_IO_List[[#This Row],[Point]],"00")</f>
        <v>C8S03DI27</v>
      </c>
      <c r="Z1164" s="136" t="str">
        <f>tbl_IO_List[[#This Row],[Chassis]]&amp;"S"&amp;TEXT(tbl_IO_List[[#This Row],[Slot]],"00")&amp;","&amp;TEXT(tbl_IO_List[[#This Row],[Point]],"00")</f>
        <v>C8S03,27</v>
      </c>
      <c r="AA1164" s="136" t="e">
        <f>VLOOKUP(tbl_IO_List[[#This Row],[Column23]],tbl_RackConfig[],5,FALSE) &amp;"-"&amp;tbl_IO_List[[#This Row],[Point]]</f>
        <v>#N/A</v>
      </c>
      <c r="AB1164" s="136"/>
      <c r="AC1164" s="136"/>
      <c r="AD1164" s="136" t="str">
        <f>tbl_IO_List[[#This Row],[I/O Type]]</f>
        <v>DI</v>
      </c>
      <c r="AE1164" s="136" t="s">
        <v>1843</v>
      </c>
      <c r="AF1164" s="136">
        <v>3</v>
      </c>
      <c r="AG1164" s="136">
        <v>27</v>
      </c>
      <c r="AH1164" s="136"/>
      <c r="AI1164" s="136"/>
      <c r="AJ1164" s="136">
        <v>1</v>
      </c>
      <c r="AK1164" s="136">
        <v>0</v>
      </c>
      <c r="AL1164" s="136">
        <v>0</v>
      </c>
      <c r="AM1164" s="136">
        <v>0</v>
      </c>
      <c r="AN1164" s="136">
        <v>0</v>
      </c>
      <c r="AO1164" s="136"/>
      <c r="AP1164" s="143" t="e">
        <f>VLOOKUP(tbl_IO_List[[#This Row],[Instruement Tag]],tbl_Instruement_List[],14,FALSE)</f>
        <v>#N/A</v>
      </c>
      <c r="AQ1164" s="143" t="str">
        <f>tbl_IO_List[[#This Row],[Chassis]]&amp;"S"&amp;tbl_IO_List[[#This Row],[Slot]]&amp;"-"&amp;tbl_IO_List[[#This Row],[Front Terminal Number]]</f>
        <v>C8S3-</v>
      </c>
      <c r="AR1164" s="143"/>
      <c r="AS1164" s="136" t="str">
        <f>tbl_IO_List[[#This Row],[Terminal Tagging]]&amp;"-"&amp;tbl_IO_List[[#This Row],[Point-Count]]</f>
        <v>-</v>
      </c>
      <c r="AT1164" s="136" t="str">
        <f>tbl_IO_List[[#This Row],[Front Terminal Tagging]]&amp;"/"&amp;tbl_IO_List[[#This Row],[Terminal Tagging-Item]]</f>
        <v>C8S3-/-</v>
      </c>
      <c r="AU1164" s="136" t="str">
        <f>tbl_IO_List[[#This Row],[Terminal Tagging-Item]]&amp;"/"&amp;tbl_IO_List[[#This Row],[Front Terminal Tagging]]</f>
        <v>-/C8S3-</v>
      </c>
    </row>
    <row r="1165" spans="1:47" hidden="1">
      <c r="A1165" s="147" t="s">
        <v>1365</v>
      </c>
      <c r="B1165" s="136" t="s">
        <v>90</v>
      </c>
      <c r="C1165" s="136" t="str">
        <f>tbl_IO_List[[#This Row],[Column3]]</f>
        <v>C8S03,28</v>
      </c>
      <c r="D1165" s="136" t="e">
        <f>tbl_IO_List[[#This Row],[Card]]</f>
        <v>#N/A</v>
      </c>
      <c r="E1165" s="136" t="s">
        <v>1372</v>
      </c>
      <c r="F1165" s="136" t="str">
        <f>tbl_IO_List[[#This Row],[Column23]]&amp;"-" &amp;tbl_IO_List[[#This Row],[Column52]]</f>
        <v>C8S03-X2</v>
      </c>
      <c r="G1165" s="136" t="str">
        <f>tbl_IO_List[[#This Row],[PLC_Tag]]</f>
        <v>Spare_DI_0</v>
      </c>
      <c r="H1165" s="136"/>
      <c r="I1165" s="136" t="str">
        <f>VLOOKUP(tbl_IO_List[[#This Row],[Destination]],tbl_Junction[],2,FALSE)</f>
        <v>Packing Tower 8th Floor</v>
      </c>
      <c r="J1165" s="136" t="s">
        <v>360</v>
      </c>
      <c r="K1165" s="136" t="s">
        <v>66</v>
      </c>
      <c r="L1165" s="136" t="s">
        <v>411</v>
      </c>
      <c r="M1165" s="136" t="e">
        <f>VLOOKUP(tbl_IO_List[[#This Row],[Instruement Tag]],tbl_Instruement_List[],2,FALSE)</f>
        <v>#N/A</v>
      </c>
      <c r="N1165" s="136" t="s">
        <v>47</v>
      </c>
      <c r="O1165" s="136" t="s">
        <v>78</v>
      </c>
      <c r="P1165" s="136" t="s">
        <v>75</v>
      </c>
      <c r="Q1165" s="136" t="e">
        <f>VLOOKUP(tbl_IO_List[[#This Row],[Instruement Tag]],tbl_Instruement_List[],6,FALSE)</f>
        <v>#N/A</v>
      </c>
      <c r="R1165" s="136"/>
      <c r="S116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65" s="136" t="str">
        <f>tbl_IO_List[[#This Row],[Instruement Tag]]&amp;"_"&amp;tbl_IO_List[[#This Row],[I/O Type]]&amp;"_"&amp;tbl_IO_List[[#This Row],[IO-Point 
(Instruement)]]</f>
        <v>Spare_DI_0</v>
      </c>
      <c r="U1165" s="136" t="s">
        <v>8</v>
      </c>
      <c r="V1165" s="136">
        <f>VLOOKUP(tbl_IO_List[[#This Row],[I/O Type]],tbl_Slot_Group[],2,FALSE)</f>
        <v>1</v>
      </c>
      <c r="W1165" s="136">
        <v>0</v>
      </c>
      <c r="X1165" s="136" t="str">
        <f>tbl_IO_List[[#This Row],[Chassis]]&amp;"S"&amp;TEXT(tbl_IO_List[[#This Row],[Slot]],"00")</f>
        <v>C8S03</v>
      </c>
      <c r="Y1165" s="136" t="str">
        <f>tbl_IO_List[[#This Row],[Chassis]]&amp;"S"&amp;TEXT(tbl_IO_List[[#This Row],[Slot]],"00")&amp;tbl_IO_List[[#This Row],[I/O Type]]&amp;TEXT(tbl_IO_List[[#This Row],[Point]],"00")</f>
        <v>C8S03DI28</v>
      </c>
      <c r="Z1165" s="136" t="str">
        <f>tbl_IO_List[[#This Row],[Chassis]]&amp;"S"&amp;TEXT(tbl_IO_List[[#This Row],[Slot]],"00")&amp;","&amp;TEXT(tbl_IO_List[[#This Row],[Point]],"00")</f>
        <v>C8S03,28</v>
      </c>
      <c r="AA1165" s="136" t="e">
        <f>VLOOKUP(tbl_IO_List[[#This Row],[Column23]],tbl_RackConfig[],5,FALSE) &amp;"-"&amp;tbl_IO_List[[#This Row],[Point]]</f>
        <v>#N/A</v>
      </c>
      <c r="AB1165" s="136"/>
      <c r="AC1165" s="136"/>
      <c r="AD1165" s="136" t="str">
        <f>tbl_IO_List[[#This Row],[I/O Type]]</f>
        <v>DI</v>
      </c>
      <c r="AE1165" s="136" t="s">
        <v>1843</v>
      </c>
      <c r="AF1165" s="136">
        <v>3</v>
      </c>
      <c r="AG1165" s="136">
        <v>28</v>
      </c>
      <c r="AH1165" s="136"/>
      <c r="AI1165" s="136"/>
      <c r="AJ1165" s="136">
        <v>1</v>
      </c>
      <c r="AK1165" s="136">
        <v>0</v>
      </c>
      <c r="AL1165" s="136">
        <v>0</v>
      </c>
      <c r="AM1165" s="136">
        <v>0</v>
      </c>
      <c r="AN1165" s="136">
        <v>0</v>
      </c>
      <c r="AO1165" s="136"/>
      <c r="AP1165" s="143" t="e">
        <f>VLOOKUP(tbl_IO_List[[#This Row],[Instruement Tag]],tbl_Instruement_List[],14,FALSE)</f>
        <v>#N/A</v>
      </c>
      <c r="AQ1165" s="143" t="str">
        <f>tbl_IO_List[[#This Row],[Chassis]]&amp;"S"&amp;tbl_IO_List[[#This Row],[Slot]]&amp;"-"&amp;tbl_IO_List[[#This Row],[Front Terminal Number]]</f>
        <v>C8S3-</v>
      </c>
      <c r="AR1165" s="143"/>
      <c r="AS1165" s="136" t="str">
        <f>tbl_IO_List[[#This Row],[Terminal Tagging]]&amp;"-"&amp;tbl_IO_List[[#This Row],[Point-Count]]</f>
        <v>-</v>
      </c>
      <c r="AT1165" s="136" t="str">
        <f>tbl_IO_List[[#This Row],[Front Terminal Tagging]]&amp;"/"&amp;tbl_IO_List[[#This Row],[Terminal Tagging-Item]]</f>
        <v>C8S3-/-</v>
      </c>
      <c r="AU1165" s="136" t="str">
        <f>tbl_IO_List[[#This Row],[Terminal Tagging-Item]]&amp;"/"&amp;tbl_IO_List[[#This Row],[Front Terminal Tagging]]</f>
        <v>-/C8S3-</v>
      </c>
    </row>
    <row r="1166" spans="1:47" hidden="1">
      <c r="A1166" s="147" t="s">
        <v>1365</v>
      </c>
      <c r="B1166" s="136" t="s">
        <v>90</v>
      </c>
      <c r="C1166" s="136" t="str">
        <f>tbl_IO_List[[#This Row],[Column3]]</f>
        <v>C8S03,29</v>
      </c>
      <c r="D1166" s="136" t="e">
        <f>tbl_IO_List[[#This Row],[Card]]</f>
        <v>#N/A</v>
      </c>
      <c r="E1166" s="136" t="s">
        <v>1372</v>
      </c>
      <c r="F1166" s="136" t="str">
        <f>tbl_IO_List[[#This Row],[Column23]]&amp;"-" &amp;tbl_IO_List[[#This Row],[Column52]]</f>
        <v>C8S03-X2</v>
      </c>
      <c r="G1166" s="136" t="str">
        <f>tbl_IO_List[[#This Row],[PLC_Tag]]</f>
        <v>Spare_DI_0</v>
      </c>
      <c r="H1166" s="136"/>
      <c r="I1166" s="136" t="str">
        <f>VLOOKUP(tbl_IO_List[[#This Row],[Destination]],tbl_Junction[],2,FALSE)</f>
        <v>Packing Tower 8th Floor</v>
      </c>
      <c r="J1166" s="136" t="s">
        <v>360</v>
      </c>
      <c r="K1166" s="136" t="s">
        <v>66</v>
      </c>
      <c r="L1166" s="136" t="s">
        <v>411</v>
      </c>
      <c r="M1166" s="136" t="e">
        <f>VLOOKUP(tbl_IO_List[[#This Row],[Instruement Tag]],tbl_Instruement_List[],2,FALSE)</f>
        <v>#N/A</v>
      </c>
      <c r="N1166" s="136" t="s">
        <v>47</v>
      </c>
      <c r="O1166" s="136" t="s">
        <v>78</v>
      </c>
      <c r="P1166" s="136" t="s">
        <v>75</v>
      </c>
      <c r="Q1166" s="136" t="e">
        <f>VLOOKUP(tbl_IO_List[[#This Row],[Instruement Tag]],tbl_Instruement_List[],6,FALSE)</f>
        <v>#N/A</v>
      </c>
      <c r="R1166" s="136"/>
      <c r="S116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66" s="136" t="str">
        <f>tbl_IO_List[[#This Row],[Instruement Tag]]&amp;"_"&amp;tbl_IO_List[[#This Row],[I/O Type]]&amp;"_"&amp;tbl_IO_List[[#This Row],[IO-Point 
(Instruement)]]</f>
        <v>Spare_DI_0</v>
      </c>
      <c r="U1166" s="136" t="s">
        <v>8</v>
      </c>
      <c r="V1166" s="136">
        <f>VLOOKUP(tbl_IO_List[[#This Row],[I/O Type]],tbl_Slot_Group[],2,FALSE)</f>
        <v>1</v>
      </c>
      <c r="W1166" s="136">
        <v>0</v>
      </c>
      <c r="X1166" s="136" t="str">
        <f>tbl_IO_List[[#This Row],[Chassis]]&amp;"S"&amp;TEXT(tbl_IO_List[[#This Row],[Slot]],"00")</f>
        <v>C8S03</v>
      </c>
      <c r="Y1166" s="136" t="str">
        <f>tbl_IO_List[[#This Row],[Chassis]]&amp;"S"&amp;TEXT(tbl_IO_List[[#This Row],[Slot]],"00")&amp;tbl_IO_List[[#This Row],[I/O Type]]&amp;TEXT(tbl_IO_List[[#This Row],[Point]],"00")</f>
        <v>C8S03DI29</v>
      </c>
      <c r="Z1166" s="136" t="str">
        <f>tbl_IO_List[[#This Row],[Chassis]]&amp;"S"&amp;TEXT(tbl_IO_List[[#This Row],[Slot]],"00")&amp;","&amp;TEXT(tbl_IO_List[[#This Row],[Point]],"00")</f>
        <v>C8S03,29</v>
      </c>
      <c r="AA1166" s="136" t="e">
        <f>VLOOKUP(tbl_IO_List[[#This Row],[Column23]],tbl_RackConfig[],5,FALSE) &amp;"-"&amp;tbl_IO_List[[#This Row],[Point]]</f>
        <v>#N/A</v>
      </c>
      <c r="AB1166" s="136"/>
      <c r="AC1166" s="136"/>
      <c r="AD1166" s="136" t="str">
        <f>tbl_IO_List[[#This Row],[I/O Type]]</f>
        <v>DI</v>
      </c>
      <c r="AE1166" s="136" t="s">
        <v>1843</v>
      </c>
      <c r="AF1166" s="136">
        <v>3</v>
      </c>
      <c r="AG1166" s="136">
        <v>29</v>
      </c>
      <c r="AH1166" s="136"/>
      <c r="AI1166" s="136"/>
      <c r="AJ1166" s="136">
        <v>1</v>
      </c>
      <c r="AK1166" s="136">
        <v>0</v>
      </c>
      <c r="AL1166" s="136">
        <v>0</v>
      </c>
      <c r="AM1166" s="136">
        <v>0</v>
      </c>
      <c r="AN1166" s="136">
        <v>0</v>
      </c>
      <c r="AO1166" s="136"/>
      <c r="AP1166" s="143" t="e">
        <f>VLOOKUP(tbl_IO_List[[#This Row],[Instruement Tag]],tbl_Instruement_List[],14,FALSE)</f>
        <v>#N/A</v>
      </c>
      <c r="AQ1166" s="143" t="str">
        <f>tbl_IO_List[[#This Row],[Chassis]]&amp;"S"&amp;tbl_IO_List[[#This Row],[Slot]]&amp;"-"&amp;tbl_IO_List[[#This Row],[Front Terminal Number]]</f>
        <v>C8S3-</v>
      </c>
      <c r="AR1166" s="143"/>
      <c r="AS1166" s="136" t="str">
        <f>tbl_IO_List[[#This Row],[Terminal Tagging]]&amp;"-"&amp;tbl_IO_List[[#This Row],[Point-Count]]</f>
        <v>-</v>
      </c>
      <c r="AT1166" s="136" t="str">
        <f>tbl_IO_List[[#This Row],[Front Terminal Tagging]]&amp;"/"&amp;tbl_IO_List[[#This Row],[Terminal Tagging-Item]]</f>
        <v>C8S3-/-</v>
      </c>
      <c r="AU1166" s="136" t="str">
        <f>tbl_IO_List[[#This Row],[Terminal Tagging-Item]]&amp;"/"&amp;tbl_IO_List[[#This Row],[Front Terminal Tagging]]</f>
        <v>-/C8S3-</v>
      </c>
    </row>
    <row r="1167" spans="1:47" hidden="1">
      <c r="A1167" s="147" t="s">
        <v>1365</v>
      </c>
      <c r="B1167" s="136" t="s">
        <v>90</v>
      </c>
      <c r="C1167" s="136" t="str">
        <f>tbl_IO_List[[#This Row],[Column3]]</f>
        <v>C8S03,30</v>
      </c>
      <c r="D1167" s="136" t="e">
        <f>tbl_IO_List[[#This Row],[Card]]</f>
        <v>#N/A</v>
      </c>
      <c r="E1167" s="136" t="s">
        <v>1372</v>
      </c>
      <c r="F1167" s="136" t="str">
        <f>tbl_IO_List[[#This Row],[Column23]]&amp;"-" &amp;tbl_IO_List[[#This Row],[Column52]]</f>
        <v>C8S03-X2</v>
      </c>
      <c r="G1167" s="136" t="str">
        <f>tbl_IO_List[[#This Row],[PLC_Tag]]</f>
        <v>Spare_DI_0</v>
      </c>
      <c r="H1167" s="136"/>
      <c r="I1167" s="136" t="str">
        <f>VLOOKUP(tbl_IO_List[[#This Row],[Destination]],tbl_Junction[],2,FALSE)</f>
        <v>Packing Tower 8th Floor</v>
      </c>
      <c r="J1167" s="136" t="s">
        <v>360</v>
      </c>
      <c r="K1167" s="136" t="s">
        <v>66</v>
      </c>
      <c r="L1167" s="136" t="s">
        <v>411</v>
      </c>
      <c r="M1167" s="136" t="e">
        <f>VLOOKUP(tbl_IO_List[[#This Row],[Instruement Tag]],tbl_Instruement_List[],2,FALSE)</f>
        <v>#N/A</v>
      </c>
      <c r="N1167" s="136" t="s">
        <v>47</v>
      </c>
      <c r="O1167" s="136" t="s">
        <v>78</v>
      </c>
      <c r="P1167" s="136" t="s">
        <v>75</v>
      </c>
      <c r="Q1167" s="136" t="e">
        <f>VLOOKUP(tbl_IO_List[[#This Row],[Instruement Tag]],tbl_Instruement_List[],6,FALSE)</f>
        <v>#N/A</v>
      </c>
      <c r="R1167" s="136"/>
      <c r="S116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67" s="136" t="str">
        <f>tbl_IO_List[[#This Row],[Instruement Tag]]&amp;"_"&amp;tbl_IO_List[[#This Row],[I/O Type]]&amp;"_"&amp;tbl_IO_List[[#This Row],[IO-Point 
(Instruement)]]</f>
        <v>Spare_DI_0</v>
      </c>
      <c r="U1167" s="136" t="s">
        <v>8</v>
      </c>
      <c r="V1167" s="136">
        <f>VLOOKUP(tbl_IO_List[[#This Row],[I/O Type]],tbl_Slot_Group[],2,FALSE)</f>
        <v>1</v>
      </c>
      <c r="W1167" s="136">
        <v>0</v>
      </c>
      <c r="X1167" s="136" t="str">
        <f>tbl_IO_List[[#This Row],[Chassis]]&amp;"S"&amp;TEXT(tbl_IO_List[[#This Row],[Slot]],"00")</f>
        <v>C8S03</v>
      </c>
      <c r="Y1167" s="136" t="str">
        <f>tbl_IO_List[[#This Row],[Chassis]]&amp;"S"&amp;TEXT(tbl_IO_List[[#This Row],[Slot]],"00")&amp;tbl_IO_List[[#This Row],[I/O Type]]&amp;TEXT(tbl_IO_List[[#This Row],[Point]],"00")</f>
        <v>C8S03DI30</v>
      </c>
      <c r="Z1167" s="136" t="str">
        <f>tbl_IO_List[[#This Row],[Chassis]]&amp;"S"&amp;TEXT(tbl_IO_List[[#This Row],[Slot]],"00")&amp;","&amp;TEXT(tbl_IO_List[[#This Row],[Point]],"00")</f>
        <v>C8S03,30</v>
      </c>
      <c r="AA1167" s="136" t="e">
        <f>VLOOKUP(tbl_IO_List[[#This Row],[Column23]],tbl_RackConfig[],5,FALSE) &amp;"-"&amp;tbl_IO_List[[#This Row],[Point]]</f>
        <v>#N/A</v>
      </c>
      <c r="AB1167" s="136"/>
      <c r="AC1167" s="136"/>
      <c r="AD1167" s="136" t="str">
        <f>tbl_IO_List[[#This Row],[I/O Type]]</f>
        <v>DI</v>
      </c>
      <c r="AE1167" s="136" t="s">
        <v>1843</v>
      </c>
      <c r="AF1167" s="136">
        <v>3</v>
      </c>
      <c r="AG1167" s="136">
        <v>30</v>
      </c>
      <c r="AH1167" s="136"/>
      <c r="AI1167" s="136"/>
      <c r="AJ1167" s="136">
        <v>1</v>
      </c>
      <c r="AK1167" s="136">
        <v>0</v>
      </c>
      <c r="AL1167" s="136">
        <v>0</v>
      </c>
      <c r="AM1167" s="136">
        <v>0</v>
      </c>
      <c r="AN1167" s="136">
        <v>0</v>
      </c>
      <c r="AO1167" s="136"/>
      <c r="AP1167" s="143" t="e">
        <f>VLOOKUP(tbl_IO_List[[#This Row],[Instruement Tag]],tbl_Instruement_List[],14,FALSE)</f>
        <v>#N/A</v>
      </c>
      <c r="AQ1167" s="143" t="str">
        <f>tbl_IO_List[[#This Row],[Chassis]]&amp;"S"&amp;tbl_IO_List[[#This Row],[Slot]]&amp;"-"&amp;tbl_IO_List[[#This Row],[Front Terminal Number]]</f>
        <v>C8S3-</v>
      </c>
      <c r="AR1167" s="143"/>
      <c r="AS1167" s="136" t="str">
        <f>tbl_IO_List[[#This Row],[Terminal Tagging]]&amp;"-"&amp;tbl_IO_List[[#This Row],[Point-Count]]</f>
        <v>-</v>
      </c>
      <c r="AT1167" s="136" t="str">
        <f>tbl_IO_List[[#This Row],[Front Terminal Tagging]]&amp;"/"&amp;tbl_IO_List[[#This Row],[Terminal Tagging-Item]]</f>
        <v>C8S3-/-</v>
      </c>
      <c r="AU1167" s="136" t="str">
        <f>tbl_IO_List[[#This Row],[Terminal Tagging-Item]]&amp;"/"&amp;tbl_IO_List[[#This Row],[Front Terminal Tagging]]</f>
        <v>-/C8S3-</v>
      </c>
    </row>
    <row r="1168" spans="1:47" hidden="1">
      <c r="A1168" s="147" t="s">
        <v>1365</v>
      </c>
      <c r="B1168" s="136" t="s">
        <v>90</v>
      </c>
      <c r="C1168" s="136" t="str">
        <f>tbl_IO_List[[#This Row],[Column3]]</f>
        <v>C8S03,31</v>
      </c>
      <c r="D1168" s="136" t="e">
        <f>tbl_IO_List[[#This Row],[Card]]</f>
        <v>#N/A</v>
      </c>
      <c r="E1168" s="136" t="s">
        <v>1372</v>
      </c>
      <c r="F1168" s="136" t="str">
        <f>tbl_IO_List[[#This Row],[Column23]]&amp;"-" &amp;tbl_IO_List[[#This Row],[Column52]]</f>
        <v>C8S03-X2</v>
      </c>
      <c r="G1168" s="136" t="str">
        <f>tbl_IO_List[[#This Row],[PLC_Tag]]</f>
        <v>Spare_DI_0</v>
      </c>
      <c r="H1168" s="136"/>
      <c r="I1168" s="136" t="str">
        <f>VLOOKUP(tbl_IO_List[[#This Row],[Destination]],tbl_Junction[],2,FALSE)</f>
        <v>Packing Tower 8th Floor</v>
      </c>
      <c r="J1168" s="136" t="s">
        <v>360</v>
      </c>
      <c r="K1168" s="136" t="s">
        <v>66</v>
      </c>
      <c r="L1168" s="136" t="s">
        <v>411</v>
      </c>
      <c r="M1168" s="136" t="e">
        <f>VLOOKUP(tbl_IO_List[[#This Row],[Instruement Tag]],tbl_Instruement_List[],2,FALSE)</f>
        <v>#N/A</v>
      </c>
      <c r="N1168" s="136" t="s">
        <v>47</v>
      </c>
      <c r="O1168" s="136" t="s">
        <v>78</v>
      </c>
      <c r="P1168" s="136" t="s">
        <v>75</v>
      </c>
      <c r="Q1168" s="136" t="e">
        <f>VLOOKUP(tbl_IO_List[[#This Row],[Instruement Tag]],tbl_Instruement_List[],6,FALSE)</f>
        <v>#N/A</v>
      </c>
      <c r="R1168" s="136"/>
      <c r="S116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1,DO=0,AI=0,AO=0,Bus=0</v>
      </c>
      <c r="T1168" s="136" t="str">
        <f>tbl_IO_List[[#This Row],[Instruement Tag]]&amp;"_"&amp;tbl_IO_List[[#This Row],[I/O Type]]&amp;"_"&amp;tbl_IO_List[[#This Row],[IO-Point 
(Instruement)]]</f>
        <v>Spare_DI_0</v>
      </c>
      <c r="U1168" s="136" t="s">
        <v>8</v>
      </c>
      <c r="V1168" s="136">
        <f>VLOOKUP(tbl_IO_List[[#This Row],[I/O Type]],tbl_Slot_Group[],2,FALSE)</f>
        <v>1</v>
      </c>
      <c r="W1168" s="136">
        <v>0</v>
      </c>
      <c r="X1168" s="136" t="str">
        <f>tbl_IO_List[[#This Row],[Chassis]]&amp;"S"&amp;TEXT(tbl_IO_List[[#This Row],[Slot]],"00")</f>
        <v>C8S03</v>
      </c>
      <c r="Y1168" s="136" t="str">
        <f>tbl_IO_List[[#This Row],[Chassis]]&amp;"S"&amp;TEXT(tbl_IO_List[[#This Row],[Slot]],"00")&amp;tbl_IO_List[[#This Row],[I/O Type]]&amp;TEXT(tbl_IO_List[[#This Row],[Point]],"00")</f>
        <v>C8S03DI31</v>
      </c>
      <c r="Z1168" s="136" t="str">
        <f>tbl_IO_List[[#This Row],[Chassis]]&amp;"S"&amp;TEXT(tbl_IO_List[[#This Row],[Slot]],"00")&amp;","&amp;TEXT(tbl_IO_List[[#This Row],[Point]],"00")</f>
        <v>C8S03,31</v>
      </c>
      <c r="AA1168" s="136" t="e">
        <f>VLOOKUP(tbl_IO_List[[#This Row],[Column23]],tbl_RackConfig[],5,FALSE) &amp;"-"&amp;tbl_IO_List[[#This Row],[Point]]</f>
        <v>#N/A</v>
      </c>
      <c r="AB1168" s="136"/>
      <c r="AC1168" s="136"/>
      <c r="AD1168" s="136" t="str">
        <f>tbl_IO_List[[#This Row],[I/O Type]]</f>
        <v>DI</v>
      </c>
      <c r="AE1168" s="136" t="s">
        <v>1843</v>
      </c>
      <c r="AF1168" s="136">
        <v>3</v>
      </c>
      <c r="AG1168" s="136">
        <v>31</v>
      </c>
      <c r="AH1168" s="136"/>
      <c r="AI1168" s="136"/>
      <c r="AJ1168" s="136">
        <v>1</v>
      </c>
      <c r="AK1168" s="136">
        <v>0</v>
      </c>
      <c r="AL1168" s="136">
        <v>0</v>
      </c>
      <c r="AM1168" s="136">
        <v>0</v>
      </c>
      <c r="AN1168" s="136">
        <v>0</v>
      </c>
      <c r="AO1168" s="136"/>
      <c r="AP1168" s="143" t="e">
        <f>VLOOKUP(tbl_IO_List[[#This Row],[Instruement Tag]],tbl_Instruement_List[],14,FALSE)</f>
        <v>#N/A</v>
      </c>
      <c r="AQ1168" s="143" t="str">
        <f>tbl_IO_List[[#This Row],[Chassis]]&amp;"S"&amp;tbl_IO_List[[#This Row],[Slot]]&amp;"-"&amp;tbl_IO_List[[#This Row],[Front Terminal Number]]</f>
        <v>C8S3-</v>
      </c>
      <c r="AR1168" s="143"/>
      <c r="AS1168" s="136" t="str">
        <f>tbl_IO_List[[#This Row],[Terminal Tagging]]&amp;"-"&amp;tbl_IO_List[[#This Row],[Point-Count]]</f>
        <v>-</v>
      </c>
      <c r="AT1168" s="136" t="str">
        <f>tbl_IO_List[[#This Row],[Front Terminal Tagging]]&amp;"/"&amp;tbl_IO_List[[#This Row],[Terminal Tagging-Item]]</f>
        <v>C8S3-/-</v>
      </c>
      <c r="AU1168" s="136" t="str">
        <f>tbl_IO_List[[#This Row],[Terminal Tagging-Item]]&amp;"/"&amp;tbl_IO_List[[#This Row],[Front Terminal Tagging]]</f>
        <v>-/C8S3-</v>
      </c>
    </row>
    <row r="1169" spans="1:47" hidden="1">
      <c r="A1169" s="147" t="s">
        <v>1371</v>
      </c>
      <c r="B1169" s="136" t="s">
        <v>46</v>
      </c>
      <c r="C1169" s="136" t="str">
        <f>tbl_IO_List[[#This Row],[Column3]]</f>
        <v>C8S04,08</v>
      </c>
      <c r="D1169" s="136" t="e">
        <f>tbl_IO_List[[#This Row],[Card]]</f>
        <v>#N/A</v>
      </c>
      <c r="E1169" s="136" t="s">
        <v>1366</v>
      </c>
      <c r="F1169" s="136" t="str">
        <f>tbl_IO_List[[#This Row],[Column23]]&amp;"-" &amp;tbl_IO_List[[#This Row],[Column52]]</f>
        <v>C8S04-X1</v>
      </c>
      <c r="G1169" s="136" t="str">
        <f>tbl_IO_List[[#This Row],[PLC_Tag]]</f>
        <v>XA-60201_DO_1</v>
      </c>
      <c r="H1169" s="136"/>
      <c r="I1169" s="136" t="str">
        <f>VLOOKUP(tbl_IO_List[[#This Row],[Destination]],tbl_Junction[],2,FALSE)</f>
        <v>Spray Dryer 8th Floor</v>
      </c>
      <c r="J1169" s="136" t="s">
        <v>333</v>
      </c>
      <c r="K1169" s="136" t="s">
        <v>14</v>
      </c>
      <c r="L1169" s="136" t="s">
        <v>52</v>
      </c>
      <c r="M1169" s="136">
        <f>VLOOKUP(tbl_IO_List[[#This Row],[Instruement Tag]],tbl_Instruement_List[],2,FALSE)</f>
        <v>0</v>
      </c>
      <c r="N1169" s="136" t="s">
        <v>47</v>
      </c>
      <c r="O1169" s="136" t="s">
        <v>50</v>
      </c>
      <c r="P1169" s="136" t="s">
        <v>51</v>
      </c>
      <c r="Q1169" s="136" t="str">
        <f>VLOOKUP(tbl_IO_List[[#This Row],[Instruement Tag]],tbl_Instruement_List[],6,FALSE)</f>
        <v>LEL gas Buzzer Alarm</v>
      </c>
      <c r="R1169" s="136"/>
      <c r="S116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0,DO=1,AI=0,AO=0,Bus=0</v>
      </c>
      <c r="T1169" s="136" t="str">
        <f>tbl_IO_List[[#This Row],[Instruement Tag]]&amp;"_"&amp;tbl_IO_List[[#This Row],[I/O Type]]&amp;"_"&amp;tbl_IO_List[[#This Row],[IO-Point 
(Instruement)]]</f>
        <v>XA-60201_DO_1</v>
      </c>
      <c r="U1169" s="136" t="s">
        <v>7</v>
      </c>
      <c r="V1169" s="136">
        <f>VLOOKUP(tbl_IO_List[[#This Row],[I/O Type]],tbl_Slot_Group[],2,FALSE)</f>
        <v>2</v>
      </c>
      <c r="W1169" s="136">
        <v>1</v>
      </c>
      <c r="X1169" s="136" t="str">
        <f>tbl_IO_List[[#This Row],[Chassis]]&amp;"S"&amp;TEXT(tbl_IO_List[[#This Row],[Slot]],"00")</f>
        <v>C8S04</v>
      </c>
      <c r="Y1169" s="136" t="str">
        <f>tbl_IO_List[[#This Row],[Chassis]]&amp;"S"&amp;TEXT(tbl_IO_List[[#This Row],[Slot]],"00")&amp;tbl_IO_List[[#This Row],[I/O Type]]&amp;TEXT(tbl_IO_List[[#This Row],[Point]],"00")</f>
        <v>C8S04DO08</v>
      </c>
      <c r="Z1169" s="136" t="str">
        <f>tbl_IO_List[[#This Row],[Chassis]]&amp;"S"&amp;TEXT(tbl_IO_List[[#This Row],[Slot]],"00")&amp;","&amp;TEXT(tbl_IO_List[[#This Row],[Point]],"00")</f>
        <v>C8S04,08</v>
      </c>
      <c r="AA1169" s="136" t="e">
        <f>VLOOKUP(tbl_IO_List[[#This Row],[Column23]],tbl_RackConfig[],5,FALSE) &amp;"-"&amp;tbl_IO_List[[#This Row],[Point]]</f>
        <v>#N/A</v>
      </c>
      <c r="AB1169" s="136"/>
      <c r="AC1169" s="136"/>
      <c r="AD1169" s="136" t="str">
        <f>tbl_IO_List[[#This Row],[I/O Type]]</f>
        <v>DO</v>
      </c>
      <c r="AE1169" s="136" t="s">
        <v>1843</v>
      </c>
      <c r="AF1169" s="136">
        <v>4</v>
      </c>
      <c r="AG1169" s="136">
        <v>8</v>
      </c>
      <c r="AH1169" s="136"/>
      <c r="AI1169" s="136"/>
      <c r="AJ1169" s="136">
        <v>0</v>
      </c>
      <c r="AK1169" s="136">
        <v>1</v>
      </c>
      <c r="AL1169" s="136">
        <v>0</v>
      </c>
      <c r="AM1169" s="136">
        <v>0</v>
      </c>
      <c r="AN1169" s="136">
        <v>0</v>
      </c>
      <c r="AO1169" s="136"/>
      <c r="AP1169" s="143" t="str">
        <f>VLOOKUP(tbl_IO_List[[#This Row],[Instruement Tag]],tbl_Instruement_List[],14,FALSE)</f>
        <v>4 - 20 mA</v>
      </c>
      <c r="AQ1169" s="143" t="str">
        <f>tbl_IO_List[[#This Row],[Chassis]]&amp;"S"&amp;tbl_IO_List[[#This Row],[Slot]]&amp;"-"&amp;tbl_IO_List[[#This Row],[Front Terminal Number]]</f>
        <v>C8S4-</v>
      </c>
      <c r="AR1169" s="143"/>
      <c r="AS1169" s="136" t="str">
        <f>tbl_IO_List[[#This Row],[Terminal Tagging]]&amp;"-"&amp;tbl_IO_List[[#This Row],[Point-Count]]</f>
        <v>-</v>
      </c>
      <c r="AT1169" s="136" t="str">
        <f>tbl_IO_List[[#This Row],[Front Terminal Tagging]]&amp;"/"&amp;tbl_IO_List[[#This Row],[Terminal Tagging-Item]]</f>
        <v>C8S4-/-</v>
      </c>
      <c r="AU1169" s="136" t="str">
        <f>tbl_IO_List[[#This Row],[Terminal Tagging-Item]]&amp;"/"&amp;tbl_IO_List[[#This Row],[Front Terminal Tagging]]</f>
        <v>-/C8S4-</v>
      </c>
    </row>
    <row r="1170" spans="1:47" hidden="1">
      <c r="A1170" s="147" t="s">
        <v>1371</v>
      </c>
      <c r="B1170" s="136" t="s">
        <v>46</v>
      </c>
      <c r="C1170" s="136" t="str">
        <f>tbl_IO_List[[#This Row],[Column3]]</f>
        <v>C8S04,09</v>
      </c>
      <c r="D1170" s="136" t="e">
        <f>tbl_IO_List[[#This Row],[Card]]</f>
        <v>#N/A</v>
      </c>
      <c r="E1170" s="136" t="s">
        <v>1366</v>
      </c>
      <c r="F1170" s="136" t="str">
        <f>tbl_IO_List[[#This Row],[Column23]]&amp;"-" &amp;tbl_IO_List[[#This Row],[Column52]]</f>
        <v>C8S04-X1</v>
      </c>
      <c r="G1170" s="136" t="str">
        <f>tbl_IO_List[[#This Row],[PLC_Tag]]</f>
        <v>Spare_DO_0</v>
      </c>
      <c r="H1170" s="136"/>
      <c r="I1170" s="136" t="str">
        <f>VLOOKUP(tbl_IO_List[[#This Row],[Destination]],tbl_Junction[],2,FALSE)</f>
        <v>Spray Dryer 8th Floor</v>
      </c>
      <c r="J1170" s="136"/>
      <c r="K1170" s="136"/>
      <c r="L1170" s="136" t="s">
        <v>411</v>
      </c>
      <c r="M1170" s="136" t="e">
        <f>VLOOKUP(tbl_IO_List[[#This Row],[Instruement Tag]],tbl_Instruement_List[],2,FALSE)</f>
        <v>#N/A</v>
      </c>
      <c r="N1170" s="136"/>
      <c r="O1170" s="136"/>
      <c r="P1170" s="136"/>
      <c r="Q1170" s="136" t="e">
        <f>VLOOKUP(tbl_IO_List[[#This Row],[Instruement Tag]],tbl_Instruement_List[],6,FALSE)</f>
        <v>#N/A</v>
      </c>
      <c r="R1170" s="136"/>
      <c r="S117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,DO=,AI=,AO=,Bus=</v>
      </c>
      <c r="T1170" s="136" t="str">
        <f>tbl_IO_List[[#This Row],[Instruement Tag]]&amp;"_"&amp;tbl_IO_List[[#This Row],[I/O Type]]&amp;"_"&amp;tbl_IO_List[[#This Row],[IO-Point 
(Instruement)]]</f>
        <v>Spare_DO_0</v>
      </c>
      <c r="U1170" s="136" t="s">
        <v>7</v>
      </c>
      <c r="V1170" s="136">
        <f>VLOOKUP(tbl_IO_List[[#This Row],[I/O Type]],tbl_Slot_Group[],2,FALSE)</f>
        <v>2</v>
      </c>
      <c r="W1170" s="136">
        <v>0</v>
      </c>
      <c r="X1170" s="136" t="str">
        <f>tbl_IO_List[[#This Row],[Chassis]]&amp;"S"&amp;TEXT(tbl_IO_List[[#This Row],[Slot]],"00")</f>
        <v>C8S04</v>
      </c>
      <c r="Y1170" s="136" t="str">
        <f>tbl_IO_List[[#This Row],[Chassis]]&amp;"S"&amp;TEXT(tbl_IO_List[[#This Row],[Slot]],"00")&amp;tbl_IO_List[[#This Row],[I/O Type]]&amp;TEXT(tbl_IO_List[[#This Row],[Point]],"00")</f>
        <v>C8S04DO09</v>
      </c>
      <c r="Z1170" s="136" t="str">
        <f>tbl_IO_List[[#This Row],[Chassis]]&amp;"S"&amp;TEXT(tbl_IO_List[[#This Row],[Slot]],"00")&amp;","&amp;TEXT(tbl_IO_List[[#This Row],[Point]],"00")</f>
        <v>C8S04,09</v>
      </c>
      <c r="AA1170" s="136" t="e">
        <f>VLOOKUP(tbl_IO_List[[#This Row],[Column23]],tbl_RackConfig[],5,FALSE) &amp;"-"&amp;tbl_IO_List[[#This Row],[Point]]</f>
        <v>#N/A</v>
      </c>
      <c r="AB1170" s="136"/>
      <c r="AC1170" s="136"/>
      <c r="AD1170" s="136" t="str">
        <f>tbl_IO_List[[#This Row],[I/O Type]]</f>
        <v>DO</v>
      </c>
      <c r="AE1170" s="136" t="s">
        <v>1843</v>
      </c>
      <c r="AF1170" s="136">
        <v>4</v>
      </c>
      <c r="AG1170" s="136">
        <v>9</v>
      </c>
      <c r="AH1170" s="136"/>
      <c r="AI1170" s="136"/>
      <c r="AJ1170" s="136"/>
      <c r="AK1170" s="136"/>
      <c r="AL1170" s="136"/>
      <c r="AM1170" s="136"/>
      <c r="AN1170" s="136"/>
      <c r="AO1170" s="136"/>
      <c r="AP1170" s="143"/>
      <c r="AQ1170" s="143" t="str">
        <f>tbl_IO_List[[#This Row],[Chassis]]&amp;"S"&amp;tbl_IO_List[[#This Row],[Slot]]&amp;"-"&amp;tbl_IO_List[[#This Row],[Front Terminal Number]]</f>
        <v>C8S4-</v>
      </c>
      <c r="AR1170" s="143"/>
      <c r="AS1170" s="136" t="str">
        <f>tbl_IO_List[[#This Row],[Terminal Tagging]]&amp;"-"&amp;tbl_IO_List[[#This Row],[Point-Count]]</f>
        <v>-</v>
      </c>
      <c r="AT1170" s="136" t="str">
        <f>tbl_IO_List[[#This Row],[Front Terminal Tagging]]&amp;"/"&amp;tbl_IO_List[[#This Row],[Terminal Tagging-Item]]</f>
        <v>C8S4-/-</v>
      </c>
      <c r="AU1170" s="136" t="str">
        <f>tbl_IO_List[[#This Row],[Terminal Tagging-Item]]&amp;"/"&amp;tbl_IO_List[[#This Row],[Front Terminal Tagging]]</f>
        <v>-/C8S4-</v>
      </c>
    </row>
    <row r="1171" spans="1:47" hidden="1">
      <c r="A1171" s="147" t="s">
        <v>1371</v>
      </c>
      <c r="B1171" s="136" t="s">
        <v>46</v>
      </c>
      <c r="C1171" s="136" t="str">
        <f>tbl_IO_List[[#This Row],[Column3]]</f>
        <v>C8S04,10</v>
      </c>
      <c r="D1171" s="136" t="e">
        <f>tbl_IO_List[[#This Row],[Card]]</f>
        <v>#N/A</v>
      </c>
      <c r="E1171" s="136" t="s">
        <v>1366</v>
      </c>
      <c r="F1171" s="136" t="str">
        <f>tbl_IO_List[[#This Row],[Column23]]&amp;"-" &amp;tbl_IO_List[[#This Row],[Column52]]</f>
        <v>C8S04-X1</v>
      </c>
      <c r="G1171" s="136" t="str">
        <f>tbl_IO_List[[#This Row],[PLC_Tag]]</f>
        <v>Spare_DO_0</v>
      </c>
      <c r="H1171" s="136"/>
      <c r="I1171" s="136" t="str">
        <f>VLOOKUP(tbl_IO_List[[#This Row],[Destination]],tbl_Junction[],2,FALSE)</f>
        <v>Spray Dryer 8th Floor</v>
      </c>
      <c r="J1171" s="136"/>
      <c r="K1171" s="136"/>
      <c r="L1171" s="136" t="s">
        <v>411</v>
      </c>
      <c r="M1171" s="136" t="e">
        <f>VLOOKUP(tbl_IO_List[[#This Row],[Instruement Tag]],tbl_Instruement_List[],2,FALSE)</f>
        <v>#N/A</v>
      </c>
      <c r="N1171" s="136"/>
      <c r="O1171" s="136"/>
      <c r="P1171" s="136"/>
      <c r="Q1171" s="136" t="e">
        <f>VLOOKUP(tbl_IO_List[[#This Row],[Instruement Tag]],tbl_Instruement_List[],6,FALSE)</f>
        <v>#N/A</v>
      </c>
      <c r="R1171" s="136"/>
      <c r="S117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,DO=,AI=,AO=,Bus=</v>
      </c>
      <c r="T1171" s="136" t="str">
        <f>tbl_IO_List[[#This Row],[Instruement Tag]]&amp;"_"&amp;tbl_IO_List[[#This Row],[I/O Type]]&amp;"_"&amp;tbl_IO_List[[#This Row],[IO-Point 
(Instruement)]]</f>
        <v>Spare_DO_0</v>
      </c>
      <c r="U1171" s="136" t="s">
        <v>7</v>
      </c>
      <c r="V1171" s="136">
        <f>VLOOKUP(tbl_IO_List[[#This Row],[I/O Type]],tbl_Slot_Group[],2,FALSE)</f>
        <v>2</v>
      </c>
      <c r="W1171" s="136">
        <v>0</v>
      </c>
      <c r="X1171" s="136" t="str">
        <f>tbl_IO_List[[#This Row],[Chassis]]&amp;"S"&amp;TEXT(tbl_IO_List[[#This Row],[Slot]],"00")</f>
        <v>C8S04</v>
      </c>
      <c r="Y1171" s="136" t="str">
        <f>tbl_IO_List[[#This Row],[Chassis]]&amp;"S"&amp;TEXT(tbl_IO_List[[#This Row],[Slot]],"00")&amp;tbl_IO_List[[#This Row],[I/O Type]]&amp;TEXT(tbl_IO_List[[#This Row],[Point]],"00")</f>
        <v>C8S04DO10</v>
      </c>
      <c r="Z1171" s="136" t="str">
        <f>tbl_IO_List[[#This Row],[Chassis]]&amp;"S"&amp;TEXT(tbl_IO_List[[#This Row],[Slot]],"00")&amp;","&amp;TEXT(tbl_IO_List[[#This Row],[Point]],"00")</f>
        <v>C8S04,10</v>
      </c>
      <c r="AA1171" s="136" t="e">
        <f>VLOOKUP(tbl_IO_List[[#This Row],[Column23]],tbl_RackConfig[],5,FALSE) &amp;"-"&amp;tbl_IO_List[[#This Row],[Point]]</f>
        <v>#N/A</v>
      </c>
      <c r="AB1171" s="136"/>
      <c r="AC1171" s="136"/>
      <c r="AD1171" s="136" t="str">
        <f>tbl_IO_List[[#This Row],[I/O Type]]</f>
        <v>DO</v>
      </c>
      <c r="AE1171" s="136" t="s">
        <v>1843</v>
      </c>
      <c r="AF1171" s="136">
        <v>4</v>
      </c>
      <c r="AG1171" s="136">
        <v>10</v>
      </c>
      <c r="AH1171" s="136"/>
      <c r="AI1171" s="136"/>
      <c r="AJ1171" s="136"/>
      <c r="AK1171" s="136"/>
      <c r="AL1171" s="136"/>
      <c r="AM1171" s="136"/>
      <c r="AN1171" s="136"/>
      <c r="AO1171" s="136"/>
      <c r="AP1171" s="143"/>
      <c r="AQ1171" s="143" t="str">
        <f>tbl_IO_List[[#This Row],[Chassis]]&amp;"S"&amp;tbl_IO_List[[#This Row],[Slot]]&amp;"-"&amp;tbl_IO_List[[#This Row],[Front Terminal Number]]</f>
        <v>C8S4-</v>
      </c>
      <c r="AR1171" s="143"/>
      <c r="AS1171" s="136" t="str">
        <f>tbl_IO_List[[#This Row],[Terminal Tagging]]&amp;"-"&amp;tbl_IO_List[[#This Row],[Point-Count]]</f>
        <v>-</v>
      </c>
      <c r="AT1171" s="136" t="str">
        <f>tbl_IO_List[[#This Row],[Front Terminal Tagging]]&amp;"/"&amp;tbl_IO_List[[#This Row],[Terminal Tagging-Item]]</f>
        <v>C8S4-/-</v>
      </c>
      <c r="AU1171" s="136" t="str">
        <f>tbl_IO_List[[#This Row],[Terminal Tagging-Item]]&amp;"/"&amp;tbl_IO_List[[#This Row],[Front Terminal Tagging]]</f>
        <v>-/C8S4-</v>
      </c>
    </row>
    <row r="1172" spans="1:47" hidden="1">
      <c r="A1172" s="147" t="s">
        <v>1371</v>
      </c>
      <c r="B1172" s="136" t="s">
        <v>46</v>
      </c>
      <c r="C1172" s="136" t="str">
        <f>tbl_IO_List[[#This Row],[Column3]]</f>
        <v>C8S04,11</v>
      </c>
      <c r="D1172" s="136" t="e">
        <f>tbl_IO_List[[#This Row],[Card]]</f>
        <v>#N/A</v>
      </c>
      <c r="E1172" s="136" t="s">
        <v>1366</v>
      </c>
      <c r="F1172" s="136" t="str">
        <f>tbl_IO_List[[#This Row],[Column23]]&amp;"-" &amp;tbl_IO_List[[#This Row],[Column52]]</f>
        <v>C8S04-X1</v>
      </c>
      <c r="G1172" s="136" t="str">
        <f>tbl_IO_List[[#This Row],[PLC_Tag]]</f>
        <v>Spare_DO_0</v>
      </c>
      <c r="H1172" s="136"/>
      <c r="I1172" s="136" t="str">
        <f>VLOOKUP(tbl_IO_List[[#This Row],[Destination]],tbl_Junction[],2,FALSE)</f>
        <v>Spray Dryer 8th Floor</v>
      </c>
      <c r="J1172" s="136"/>
      <c r="K1172" s="136"/>
      <c r="L1172" s="136" t="s">
        <v>411</v>
      </c>
      <c r="M1172" s="136" t="e">
        <f>VLOOKUP(tbl_IO_List[[#This Row],[Instruement Tag]],tbl_Instruement_List[],2,FALSE)</f>
        <v>#N/A</v>
      </c>
      <c r="N1172" s="136"/>
      <c r="O1172" s="136"/>
      <c r="P1172" s="136"/>
      <c r="Q1172" s="136" t="e">
        <f>VLOOKUP(tbl_IO_List[[#This Row],[Instruement Tag]],tbl_Instruement_List[],6,FALSE)</f>
        <v>#N/A</v>
      </c>
      <c r="R1172" s="136"/>
      <c r="S117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,DO=,AI=,AO=,Bus=</v>
      </c>
      <c r="T1172" s="136" t="str">
        <f>tbl_IO_List[[#This Row],[Instruement Tag]]&amp;"_"&amp;tbl_IO_List[[#This Row],[I/O Type]]&amp;"_"&amp;tbl_IO_List[[#This Row],[IO-Point 
(Instruement)]]</f>
        <v>Spare_DO_0</v>
      </c>
      <c r="U1172" s="136" t="s">
        <v>7</v>
      </c>
      <c r="V1172" s="136">
        <f>VLOOKUP(tbl_IO_List[[#This Row],[I/O Type]],tbl_Slot_Group[],2,FALSE)</f>
        <v>2</v>
      </c>
      <c r="W1172" s="136">
        <v>0</v>
      </c>
      <c r="X1172" s="136" t="str">
        <f>tbl_IO_List[[#This Row],[Chassis]]&amp;"S"&amp;TEXT(tbl_IO_List[[#This Row],[Slot]],"00")</f>
        <v>C8S04</v>
      </c>
      <c r="Y1172" s="136" t="str">
        <f>tbl_IO_List[[#This Row],[Chassis]]&amp;"S"&amp;TEXT(tbl_IO_List[[#This Row],[Slot]],"00")&amp;tbl_IO_List[[#This Row],[I/O Type]]&amp;TEXT(tbl_IO_List[[#This Row],[Point]],"00")</f>
        <v>C8S04DO11</v>
      </c>
      <c r="Z1172" s="136" t="str">
        <f>tbl_IO_List[[#This Row],[Chassis]]&amp;"S"&amp;TEXT(tbl_IO_List[[#This Row],[Slot]],"00")&amp;","&amp;TEXT(tbl_IO_List[[#This Row],[Point]],"00")</f>
        <v>C8S04,11</v>
      </c>
      <c r="AA1172" s="136" t="e">
        <f>VLOOKUP(tbl_IO_List[[#This Row],[Column23]],tbl_RackConfig[],5,FALSE) &amp;"-"&amp;tbl_IO_List[[#This Row],[Point]]</f>
        <v>#N/A</v>
      </c>
      <c r="AB1172" s="136"/>
      <c r="AC1172" s="136"/>
      <c r="AD1172" s="136" t="str">
        <f>tbl_IO_List[[#This Row],[I/O Type]]</f>
        <v>DO</v>
      </c>
      <c r="AE1172" s="136" t="s">
        <v>1843</v>
      </c>
      <c r="AF1172" s="136">
        <v>4</v>
      </c>
      <c r="AG1172" s="136">
        <v>11</v>
      </c>
      <c r="AH1172" s="136"/>
      <c r="AI1172" s="136"/>
      <c r="AJ1172" s="136"/>
      <c r="AK1172" s="136"/>
      <c r="AL1172" s="136"/>
      <c r="AM1172" s="136"/>
      <c r="AN1172" s="136"/>
      <c r="AO1172" s="136"/>
      <c r="AP1172" s="143"/>
      <c r="AQ1172" s="143" t="str">
        <f>tbl_IO_List[[#This Row],[Chassis]]&amp;"S"&amp;tbl_IO_List[[#This Row],[Slot]]&amp;"-"&amp;tbl_IO_List[[#This Row],[Front Terminal Number]]</f>
        <v>C8S4-</v>
      </c>
      <c r="AR1172" s="143"/>
      <c r="AS1172" s="136" t="str">
        <f>tbl_IO_List[[#This Row],[Terminal Tagging]]&amp;"-"&amp;tbl_IO_List[[#This Row],[Point-Count]]</f>
        <v>-</v>
      </c>
      <c r="AT1172" s="136" t="str">
        <f>tbl_IO_List[[#This Row],[Front Terminal Tagging]]&amp;"/"&amp;tbl_IO_List[[#This Row],[Terminal Tagging-Item]]</f>
        <v>C8S4-/-</v>
      </c>
      <c r="AU1172" s="136" t="str">
        <f>tbl_IO_List[[#This Row],[Terminal Tagging-Item]]&amp;"/"&amp;tbl_IO_List[[#This Row],[Front Terminal Tagging]]</f>
        <v>-/C8S4-</v>
      </c>
    </row>
    <row r="1173" spans="1:47" hidden="1">
      <c r="A1173" s="147" t="s">
        <v>1371</v>
      </c>
      <c r="B1173" s="136" t="s">
        <v>46</v>
      </c>
      <c r="C1173" s="136" t="str">
        <f>tbl_IO_List[[#This Row],[Column3]]</f>
        <v>C8S04,12</v>
      </c>
      <c r="D1173" s="136" t="e">
        <f>tbl_IO_List[[#This Row],[Card]]</f>
        <v>#N/A</v>
      </c>
      <c r="E1173" s="136" t="s">
        <v>1366</v>
      </c>
      <c r="F1173" s="136" t="str">
        <f>tbl_IO_List[[#This Row],[Column23]]&amp;"-" &amp;tbl_IO_List[[#This Row],[Column52]]</f>
        <v>C8S04-X1</v>
      </c>
      <c r="G1173" s="136" t="str">
        <f>tbl_IO_List[[#This Row],[PLC_Tag]]</f>
        <v>Spare_DO_0</v>
      </c>
      <c r="H1173" s="136"/>
      <c r="I1173" s="136" t="str">
        <f>VLOOKUP(tbl_IO_List[[#This Row],[Destination]],tbl_Junction[],2,FALSE)</f>
        <v>Spray Dryer 8th Floor</v>
      </c>
      <c r="J1173" s="136"/>
      <c r="K1173" s="136"/>
      <c r="L1173" s="136" t="s">
        <v>411</v>
      </c>
      <c r="M1173" s="136" t="e">
        <f>VLOOKUP(tbl_IO_List[[#This Row],[Instruement Tag]],tbl_Instruement_List[],2,FALSE)</f>
        <v>#N/A</v>
      </c>
      <c r="N1173" s="136"/>
      <c r="O1173" s="136"/>
      <c r="P1173" s="136"/>
      <c r="Q1173" s="136" t="e">
        <f>VLOOKUP(tbl_IO_List[[#This Row],[Instruement Tag]],tbl_Instruement_List[],6,FALSE)</f>
        <v>#N/A</v>
      </c>
      <c r="R1173" s="136"/>
      <c r="S117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,DO=,AI=,AO=,Bus=</v>
      </c>
      <c r="T1173" s="136" t="str">
        <f>tbl_IO_List[[#This Row],[Instruement Tag]]&amp;"_"&amp;tbl_IO_List[[#This Row],[I/O Type]]&amp;"_"&amp;tbl_IO_List[[#This Row],[IO-Point 
(Instruement)]]</f>
        <v>Spare_DO_0</v>
      </c>
      <c r="U1173" s="136" t="s">
        <v>7</v>
      </c>
      <c r="V1173" s="136">
        <f>VLOOKUP(tbl_IO_List[[#This Row],[I/O Type]],tbl_Slot_Group[],2,FALSE)</f>
        <v>2</v>
      </c>
      <c r="W1173" s="136">
        <v>0</v>
      </c>
      <c r="X1173" s="136" t="str">
        <f>tbl_IO_List[[#This Row],[Chassis]]&amp;"S"&amp;TEXT(tbl_IO_List[[#This Row],[Slot]],"00")</f>
        <v>C8S04</v>
      </c>
      <c r="Y1173" s="136" t="str">
        <f>tbl_IO_List[[#This Row],[Chassis]]&amp;"S"&amp;TEXT(tbl_IO_List[[#This Row],[Slot]],"00")&amp;tbl_IO_List[[#This Row],[I/O Type]]&amp;TEXT(tbl_IO_List[[#This Row],[Point]],"00")</f>
        <v>C8S04DO12</v>
      </c>
      <c r="Z1173" s="136" t="str">
        <f>tbl_IO_List[[#This Row],[Chassis]]&amp;"S"&amp;TEXT(tbl_IO_List[[#This Row],[Slot]],"00")&amp;","&amp;TEXT(tbl_IO_List[[#This Row],[Point]],"00")</f>
        <v>C8S04,12</v>
      </c>
      <c r="AA1173" s="136" t="e">
        <f>VLOOKUP(tbl_IO_List[[#This Row],[Column23]],tbl_RackConfig[],5,FALSE) &amp;"-"&amp;tbl_IO_List[[#This Row],[Point]]</f>
        <v>#N/A</v>
      </c>
      <c r="AB1173" s="136"/>
      <c r="AC1173" s="136"/>
      <c r="AD1173" s="136" t="str">
        <f>tbl_IO_List[[#This Row],[I/O Type]]</f>
        <v>DO</v>
      </c>
      <c r="AE1173" s="136" t="s">
        <v>1843</v>
      </c>
      <c r="AF1173" s="136">
        <v>4</v>
      </c>
      <c r="AG1173" s="136">
        <v>12</v>
      </c>
      <c r="AH1173" s="136"/>
      <c r="AI1173" s="136"/>
      <c r="AJ1173" s="136"/>
      <c r="AK1173" s="136"/>
      <c r="AL1173" s="136"/>
      <c r="AM1173" s="136"/>
      <c r="AN1173" s="136"/>
      <c r="AO1173" s="136"/>
      <c r="AP1173" s="143"/>
      <c r="AQ1173" s="143" t="str">
        <f>tbl_IO_List[[#This Row],[Chassis]]&amp;"S"&amp;tbl_IO_List[[#This Row],[Slot]]&amp;"-"&amp;tbl_IO_List[[#This Row],[Front Terminal Number]]</f>
        <v>C8S4-</v>
      </c>
      <c r="AR1173" s="143"/>
      <c r="AS1173" s="136" t="str">
        <f>tbl_IO_List[[#This Row],[Terminal Tagging]]&amp;"-"&amp;tbl_IO_List[[#This Row],[Point-Count]]</f>
        <v>-</v>
      </c>
      <c r="AT1173" s="136" t="str">
        <f>tbl_IO_List[[#This Row],[Front Terminal Tagging]]&amp;"/"&amp;tbl_IO_List[[#This Row],[Terminal Tagging-Item]]</f>
        <v>C8S4-/-</v>
      </c>
      <c r="AU1173" s="136" t="str">
        <f>tbl_IO_List[[#This Row],[Terminal Tagging-Item]]&amp;"/"&amp;tbl_IO_List[[#This Row],[Front Terminal Tagging]]</f>
        <v>-/C8S4-</v>
      </c>
    </row>
    <row r="1174" spans="1:47" hidden="1">
      <c r="A1174" s="147" t="s">
        <v>1371</v>
      </c>
      <c r="B1174" s="136" t="s">
        <v>46</v>
      </c>
      <c r="C1174" s="136" t="str">
        <f>tbl_IO_List[[#This Row],[Column3]]</f>
        <v>C8S04,13</v>
      </c>
      <c r="D1174" s="136" t="e">
        <f>tbl_IO_List[[#This Row],[Card]]</f>
        <v>#N/A</v>
      </c>
      <c r="E1174" s="136" t="s">
        <v>1366</v>
      </c>
      <c r="F1174" s="136" t="str">
        <f>tbl_IO_List[[#This Row],[Column23]]&amp;"-" &amp;tbl_IO_List[[#This Row],[Column52]]</f>
        <v>C8S04-X1</v>
      </c>
      <c r="G1174" s="136" t="str">
        <f>tbl_IO_List[[#This Row],[PLC_Tag]]</f>
        <v>Spare_DO_0</v>
      </c>
      <c r="H1174" s="136"/>
      <c r="I1174" s="136" t="str">
        <f>VLOOKUP(tbl_IO_List[[#This Row],[Destination]],tbl_Junction[],2,FALSE)</f>
        <v>Spray Dryer 8th Floor</v>
      </c>
      <c r="J1174" s="136"/>
      <c r="K1174" s="136"/>
      <c r="L1174" s="136" t="s">
        <v>411</v>
      </c>
      <c r="M1174" s="136" t="e">
        <f>VLOOKUP(tbl_IO_List[[#This Row],[Instruement Tag]],tbl_Instruement_List[],2,FALSE)</f>
        <v>#N/A</v>
      </c>
      <c r="N1174" s="136"/>
      <c r="O1174" s="136"/>
      <c r="P1174" s="136"/>
      <c r="Q1174" s="136" t="e">
        <f>VLOOKUP(tbl_IO_List[[#This Row],[Instruement Tag]],tbl_Instruement_List[],6,FALSE)</f>
        <v>#N/A</v>
      </c>
      <c r="R1174" s="136"/>
      <c r="S117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,DO=,AI=,AO=,Bus=</v>
      </c>
      <c r="T1174" s="136" t="str">
        <f>tbl_IO_List[[#This Row],[Instruement Tag]]&amp;"_"&amp;tbl_IO_List[[#This Row],[I/O Type]]&amp;"_"&amp;tbl_IO_List[[#This Row],[IO-Point 
(Instruement)]]</f>
        <v>Spare_DO_0</v>
      </c>
      <c r="U1174" s="136" t="s">
        <v>7</v>
      </c>
      <c r="V1174" s="136">
        <f>VLOOKUP(tbl_IO_List[[#This Row],[I/O Type]],tbl_Slot_Group[],2,FALSE)</f>
        <v>2</v>
      </c>
      <c r="W1174" s="136">
        <v>0</v>
      </c>
      <c r="X1174" s="136" t="str">
        <f>tbl_IO_List[[#This Row],[Chassis]]&amp;"S"&amp;TEXT(tbl_IO_List[[#This Row],[Slot]],"00")</f>
        <v>C8S04</v>
      </c>
      <c r="Y1174" s="136" t="str">
        <f>tbl_IO_List[[#This Row],[Chassis]]&amp;"S"&amp;TEXT(tbl_IO_List[[#This Row],[Slot]],"00")&amp;tbl_IO_List[[#This Row],[I/O Type]]&amp;TEXT(tbl_IO_List[[#This Row],[Point]],"00")</f>
        <v>C8S04DO13</v>
      </c>
      <c r="Z1174" s="136" t="str">
        <f>tbl_IO_List[[#This Row],[Chassis]]&amp;"S"&amp;TEXT(tbl_IO_List[[#This Row],[Slot]],"00")&amp;","&amp;TEXT(tbl_IO_List[[#This Row],[Point]],"00")</f>
        <v>C8S04,13</v>
      </c>
      <c r="AA1174" s="136" t="e">
        <f>VLOOKUP(tbl_IO_List[[#This Row],[Column23]],tbl_RackConfig[],5,FALSE) &amp;"-"&amp;tbl_IO_List[[#This Row],[Point]]</f>
        <v>#N/A</v>
      </c>
      <c r="AB1174" s="136"/>
      <c r="AC1174" s="136"/>
      <c r="AD1174" s="136" t="str">
        <f>tbl_IO_List[[#This Row],[I/O Type]]</f>
        <v>DO</v>
      </c>
      <c r="AE1174" s="136" t="s">
        <v>1843</v>
      </c>
      <c r="AF1174" s="136">
        <v>4</v>
      </c>
      <c r="AG1174" s="136">
        <v>13</v>
      </c>
      <c r="AH1174" s="136"/>
      <c r="AI1174" s="136"/>
      <c r="AJ1174" s="136"/>
      <c r="AK1174" s="136"/>
      <c r="AL1174" s="136"/>
      <c r="AM1174" s="136"/>
      <c r="AN1174" s="136"/>
      <c r="AO1174" s="136"/>
      <c r="AP1174" s="143"/>
      <c r="AQ1174" s="143" t="str">
        <f>tbl_IO_List[[#This Row],[Chassis]]&amp;"S"&amp;tbl_IO_List[[#This Row],[Slot]]&amp;"-"&amp;tbl_IO_List[[#This Row],[Front Terminal Number]]</f>
        <v>C8S4-</v>
      </c>
      <c r="AR1174" s="143"/>
      <c r="AS1174" s="136" t="str">
        <f>tbl_IO_List[[#This Row],[Terminal Tagging]]&amp;"-"&amp;tbl_IO_List[[#This Row],[Point-Count]]</f>
        <v>-</v>
      </c>
      <c r="AT1174" s="136" t="str">
        <f>tbl_IO_List[[#This Row],[Front Terminal Tagging]]&amp;"/"&amp;tbl_IO_List[[#This Row],[Terminal Tagging-Item]]</f>
        <v>C8S4-/-</v>
      </c>
      <c r="AU1174" s="136" t="str">
        <f>tbl_IO_List[[#This Row],[Terminal Tagging-Item]]&amp;"/"&amp;tbl_IO_List[[#This Row],[Front Terminal Tagging]]</f>
        <v>-/C8S4-</v>
      </c>
    </row>
    <row r="1175" spans="1:47" hidden="1">
      <c r="A1175" s="147" t="s">
        <v>1371</v>
      </c>
      <c r="B1175" s="136" t="s">
        <v>46</v>
      </c>
      <c r="C1175" s="136" t="str">
        <f>tbl_IO_List[[#This Row],[Column3]]</f>
        <v>C8S04,14</v>
      </c>
      <c r="D1175" s="136" t="e">
        <f>tbl_IO_List[[#This Row],[Card]]</f>
        <v>#N/A</v>
      </c>
      <c r="E1175" s="136" t="s">
        <v>1366</v>
      </c>
      <c r="F1175" s="136" t="str">
        <f>tbl_IO_List[[#This Row],[Column23]]&amp;"-" &amp;tbl_IO_List[[#This Row],[Column52]]</f>
        <v>C8S04-X1</v>
      </c>
      <c r="G1175" s="136" t="str">
        <f>tbl_IO_List[[#This Row],[PLC_Tag]]</f>
        <v>Spare_DO_0</v>
      </c>
      <c r="H1175" s="136"/>
      <c r="I1175" s="136" t="str">
        <f>VLOOKUP(tbl_IO_List[[#This Row],[Destination]],tbl_Junction[],2,FALSE)</f>
        <v>Spray Dryer 8th Floor</v>
      </c>
      <c r="J1175" s="136"/>
      <c r="K1175" s="136"/>
      <c r="L1175" s="136" t="s">
        <v>411</v>
      </c>
      <c r="M1175" s="136" t="e">
        <f>VLOOKUP(tbl_IO_List[[#This Row],[Instruement Tag]],tbl_Instruement_List[],2,FALSE)</f>
        <v>#N/A</v>
      </c>
      <c r="N1175" s="136"/>
      <c r="O1175" s="136"/>
      <c r="P1175" s="136"/>
      <c r="Q1175" s="136" t="e">
        <f>VLOOKUP(tbl_IO_List[[#This Row],[Instruement Tag]],tbl_Instruement_List[],6,FALSE)</f>
        <v>#N/A</v>
      </c>
      <c r="R1175" s="136"/>
      <c r="S117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,DO=,AI=,AO=,Bus=</v>
      </c>
      <c r="T1175" s="136" t="str">
        <f>tbl_IO_List[[#This Row],[Instruement Tag]]&amp;"_"&amp;tbl_IO_List[[#This Row],[I/O Type]]&amp;"_"&amp;tbl_IO_List[[#This Row],[IO-Point 
(Instruement)]]</f>
        <v>Spare_DO_0</v>
      </c>
      <c r="U1175" s="136" t="s">
        <v>7</v>
      </c>
      <c r="V1175" s="136">
        <f>VLOOKUP(tbl_IO_List[[#This Row],[I/O Type]],tbl_Slot_Group[],2,FALSE)</f>
        <v>2</v>
      </c>
      <c r="W1175" s="136">
        <v>0</v>
      </c>
      <c r="X1175" s="136" t="str">
        <f>tbl_IO_List[[#This Row],[Chassis]]&amp;"S"&amp;TEXT(tbl_IO_List[[#This Row],[Slot]],"00")</f>
        <v>C8S04</v>
      </c>
      <c r="Y1175" s="136" t="str">
        <f>tbl_IO_List[[#This Row],[Chassis]]&amp;"S"&amp;TEXT(tbl_IO_List[[#This Row],[Slot]],"00")&amp;tbl_IO_List[[#This Row],[I/O Type]]&amp;TEXT(tbl_IO_List[[#This Row],[Point]],"00")</f>
        <v>C8S04DO14</v>
      </c>
      <c r="Z1175" s="136" t="str">
        <f>tbl_IO_List[[#This Row],[Chassis]]&amp;"S"&amp;TEXT(tbl_IO_List[[#This Row],[Slot]],"00")&amp;","&amp;TEXT(tbl_IO_List[[#This Row],[Point]],"00")</f>
        <v>C8S04,14</v>
      </c>
      <c r="AA1175" s="136" t="e">
        <f>VLOOKUP(tbl_IO_List[[#This Row],[Column23]],tbl_RackConfig[],5,FALSE) &amp;"-"&amp;tbl_IO_List[[#This Row],[Point]]</f>
        <v>#N/A</v>
      </c>
      <c r="AB1175" s="136"/>
      <c r="AC1175" s="136"/>
      <c r="AD1175" s="136" t="str">
        <f>tbl_IO_List[[#This Row],[I/O Type]]</f>
        <v>DO</v>
      </c>
      <c r="AE1175" s="136" t="s">
        <v>1843</v>
      </c>
      <c r="AF1175" s="136">
        <v>4</v>
      </c>
      <c r="AG1175" s="136">
        <v>14</v>
      </c>
      <c r="AH1175" s="136"/>
      <c r="AI1175" s="136"/>
      <c r="AJ1175" s="136"/>
      <c r="AK1175" s="136"/>
      <c r="AL1175" s="136"/>
      <c r="AM1175" s="136"/>
      <c r="AN1175" s="136"/>
      <c r="AO1175" s="136"/>
      <c r="AP1175" s="143"/>
      <c r="AQ1175" s="143" t="str">
        <f>tbl_IO_List[[#This Row],[Chassis]]&amp;"S"&amp;tbl_IO_List[[#This Row],[Slot]]&amp;"-"&amp;tbl_IO_List[[#This Row],[Front Terminal Number]]</f>
        <v>C8S4-</v>
      </c>
      <c r="AR1175" s="143"/>
      <c r="AS1175" s="136" t="str">
        <f>tbl_IO_List[[#This Row],[Terminal Tagging]]&amp;"-"&amp;tbl_IO_List[[#This Row],[Point-Count]]</f>
        <v>-</v>
      </c>
      <c r="AT1175" s="136" t="str">
        <f>tbl_IO_List[[#This Row],[Front Terminal Tagging]]&amp;"/"&amp;tbl_IO_List[[#This Row],[Terminal Tagging-Item]]</f>
        <v>C8S4-/-</v>
      </c>
      <c r="AU1175" s="136" t="str">
        <f>tbl_IO_List[[#This Row],[Terminal Tagging-Item]]&amp;"/"&amp;tbl_IO_List[[#This Row],[Front Terminal Tagging]]</f>
        <v>-/C8S4-</v>
      </c>
    </row>
    <row r="1176" spans="1:47" hidden="1">
      <c r="A1176" s="147" t="s">
        <v>1371</v>
      </c>
      <c r="B1176" s="136" t="s">
        <v>46</v>
      </c>
      <c r="C1176" s="136" t="str">
        <f>tbl_IO_List[[#This Row],[Column3]]</f>
        <v>C8S04,15</v>
      </c>
      <c r="D1176" s="136" t="e">
        <f>tbl_IO_List[[#This Row],[Card]]</f>
        <v>#N/A</v>
      </c>
      <c r="E1176" s="136" t="s">
        <v>1366</v>
      </c>
      <c r="F1176" s="136" t="str">
        <f>tbl_IO_List[[#This Row],[Column23]]&amp;"-" &amp;tbl_IO_List[[#This Row],[Column52]]</f>
        <v>C8S04-X1</v>
      </c>
      <c r="G1176" s="136" t="str">
        <f>tbl_IO_List[[#This Row],[PLC_Tag]]</f>
        <v>Spare_DO_0</v>
      </c>
      <c r="H1176" s="136"/>
      <c r="I1176" s="136" t="str">
        <f>VLOOKUP(tbl_IO_List[[#This Row],[Destination]],tbl_Junction[],2,FALSE)</f>
        <v>Spray Dryer 8th Floor</v>
      </c>
      <c r="J1176" s="136"/>
      <c r="K1176" s="136"/>
      <c r="L1176" s="136" t="s">
        <v>411</v>
      </c>
      <c r="M1176" s="136" t="e">
        <f>VLOOKUP(tbl_IO_List[[#This Row],[Instruement Tag]],tbl_Instruement_List[],2,FALSE)</f>
        <v>#N/A</v>
      </c>
      <c r="N1176" s="136"/>
      <c r="O1176" s="136"/>
      <c r="P1176" s="136"/>
      <c r="Q1176" s="136" t="e">
        <f>VLOOKUP(tbl_IO_List[[#This Row],[Instruement Tag]],tbl_Instruement_List[],6,FALSE)</f>
        <v>#N/A</v>
      </c>
      <c r="R1176" s="136"/>
      <c r="S117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,DO=,AI=,AO=,Bus=</v>
      </c>
      <c r="T1176" s="136" t="str">
        <f>tbl_IO_List[[#This Row],[Instruement Tag]]&amp;"_"&amp;tbl_IO_List[[#This Row],[I/O Type]]&amp;"_"&amp;tbl_IO_List[[#This Row],[IO-Point 
(Instruement)]]</f>
        <v>Spare_DO_0</v>
      </c>
      <c r="U1176" s="136" t="s">
        <v>7</v>
      </c>
      <c r="V1176" s="136">
        <f>VLOOKUP(tbl_IO_List[[#This Row],[I/O Type]],tbl_Slot_Group[],2,FALSE)</f>
        <v>2</v>
      </c>
      <c r="W1176" s="136">
        <v>0</v>
      </c>
      <c r="X1176" s="136" t="str">
        <f>tbl_IO_List[[#This Row],[Chassis]]&amp;"S"&amp;TEXT(tbl_IO_List[[#This Row],[Slot]],"00")</f>
        <v>C8S04</v>
      </c>
      <c r="Y1176" s="136" t="str">
        <f>tbl_IO_List[[#This Row],[Chassis]]&amp;"S"&amp;TEXT(tbl_IO_List[[#This Row],[Slot]],"00")&amp;tbl_IO_List[[#This Row],[I/O Type]]&amp;TEXT(tbl_IO_List[[#This Row],[Point]],"00")</f>
        <v>C8S04DO15</v>
      </c>
      <c r="Z1176" s="136" t="str">
        <f>tbl_IO_List[[#This Row],[Chassis]]&amp;"S"&amp;TEXT(tbl_IO_List[[#This Row],[Slot]],"00")&amp;","&amp;TEXT(tbl_IO_List[[#This Row],[Point]],"00")</f>
        <v>C8S04,15</v>
      </c>
      <c r="AA1176" s="136" t="e">
        <f>VLOOKUP(tbl_IO_List[[#This Row],[Column23]],tbl_RackConfig[],5,FALSE) &amp;"-"&amp;tbl_IO_List[[#This Row],[Point]]</f>
        <v>#N/A</v>
      </c>
      <c r="AB1176" s="136"/>
      <c r="AC1176" s="136"/>
      <c r="AD1176" s="136" t="str">
        <f>tbl_IO_List[[#This Row],[I/O Type]]</f>
        <v>DO</v>
      </c>
      <c r="AE1176" s="136" t="s">
        <v>1843</v>
      </c>
      <c r="AF1176" s="136">
        <v>4</v>
      </c>
      <c r="AG1176" s="136">
        <v>15</v>
      </c>
      <c r="AH1176" s="136"/>
      <c r="AI1176" s="136"/>
      <c r="AJ1176" s="136"/>
      <c r="AK1176" s="136"/>
      <c r="AL1176" s="136"/>
      <c r="AM1176" s="136"/>
      <c r="AN1176" s="136"/>
      <c r="AO1176" s="136"/>
      <c r="AP1176" s="143"/>
      <c r="AQ1176" s="143" t="str">
        <f>tbl_IO_List[[#This Row],[Chassis]]&amp;"S"&amp;tbl_IO_List[[#This Row],[Slot]]&amp;"-"&amp;tbl_IO_List[[#This Row],[Front Terminal Number]]</f>
        <v>C8S4-</v>
      </c>
      <c r="AR1176" s="143"/>
      <c r="AS1176" s="136" t="str">
        <f>tbl_IO_List[[#This Row],[Terminal Tagging]]&amp;"-"&amp;tbl_IO_List[[#This Row],[Point-Count]]</f>
        <v>-</v>
      </c>
      <c r="AT1176" s="136" t="str">
        <f>tbl_IO_List[[#This Row],[Front Terminal Tagging]]&amp;"/"&amp;tbl_IO_List[[#This Row],[Terminal Tagging-Item]]</f>
        <v>C8S4-/-</v>
      </c>
      <c r="AU1176" s="136" t="str">
        <f>tbl_IO_List[[#This Row],[Terminal Tagging-Item]]&amp;"/"&amp;tbl_IO_List[[#This Row],[Front Terminal Tagging]]</f>
        <v>-/C8S4-</v>
      </c>
    </row>
    <row r="1177" spans="1:47" hidden="1">
      <c r="A1177" s="147" t="s">
        <v>1365</v>
      </c>
      <c r="B1177" s="136" t="s">
        <v>13</v>
      </c>
      <c r="C1177" s="136" t="str">
        <f>tbl_IO_List[[#This Row],[Column3]]</f>
        <v>C8S05,00</v>
      </c>
      <c r="D1177" s="136" t="e">
        <f>tbl_IO_List[[#This Row],[Card]]</f>
        <v>#N/A</v>
      </c>
      <c r="E1177" s="136" t="s">
        <v>1366</v>
      </c>
      <c r="F1177" s="136" t="str">
        <f>tbl_IO_List[[#This Row],[Column23]]&amp;"-" &amp;tbl_IO_List[[#This Row],[Column52]]</f>
        <v>C8S05-X1</v>
      </c>
      <c r="G1177" s="136" t="str">
        <f>tbl_IO_List[[#This Row],[PLC_Tag]]</f>
        <v>PT-60230_AI_1</v>
      </c>
      <c r="H1177" s="136"/>
      <c r="I1177" s="136" t="str">
        <f>VLOOKUP(tbl_IO_List[[#This Row],[Destination]],tbl_Junction[],2,FALSE)</f>
        <v>Spray Dryer 3rd Floor</v>
      </c>
      <c r="J1177" s="136" t="s">
        <v>1304</v>
      </c>
      <c r="K1177" s="136" t="s">
        <v>14</v>
      </c>
      <c r="L1177" s="136" t="s">
        <v>30</v>
      </c>
      <c r="M1177" s="136" t="str">
        <f>VLOOKUP(tbl_IO_List[[#This Row],[Instruement Tag]],tbl_Instruement_List[],2,FALSE)</f>
        <v>Pressure Transmitter</v>
      </c>
      <c r="N1177" s="136" t="s">
        <v>31</v>
      </c>
      <c r="O1177" s="136" t="s">
        <v>16</v>
      </c>
      <c r="P1177" s="136" t="s">
        <v>17</v>
      </c>
      <c r="Q1177" s="136" t="str">
        <f>VLOOKUP(tbl_IO_List[[#This Row],[Instruement Tag]],tbl_Instruement_List[],6,FALSE)</f>
        <v>Gas Pressure Transmitter for Conveying Duct (DTCO-21)</v>
      </c>
      <c r="R1177" s="136"/>
      <c r="S117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1177" s="136" t="str">
        <f>tbl_IO_List[[#This Row],[Instruement Tag]]&amp;"_"&amp;tbl_IO_List[[#This Row],[I/O Type]]&amp;"_"&amp;tbl_IO_List[[#This Row],[IO-Point 
(Instruement)]]</f>
        <v>PT-60230_AI_1</v>
      </c>
      <c r="U1177" s="136" t="s">
        <v>10</v>
      </c>
      <c r="V1177" s="136">
        <f>VLOOKUP(tbl_IO_List[[#This Row],[I/O Type]],tbl_Slot_Group[],2,FALSE)</f>
        <v>3</v>
      </c>
      <c r="W1177" s="136">
        <v>1</v>
      </c>
      <c r="X1177" s="136" t="str">
        <f>tbl_IO_List[[#This Row],[Chassis]]&amp;"S"&amp;TEXT(tbl_IO_List[[#This Row],[Slot]],"00")</f>
        <v>C8S05</v>
      </c>
      <c r="Y1177" s="136" t="str">
        <f>tbl_IO_List[[#This Row],[Chassis]]&amp;"S"&amp;TEXT(tbl_IO_List[[#This Row],[Slot]],"00")&amp;tbl_IO_List[[#This Row],[I/O Type]]&amp;TEXT(tbl_IO_List[[#This Row],[Point]],"00")</f>
        <v>C8S05AI00</v>
      </c>
      <c r="Z1177" s="136" t="str">
        <f>tbl_IO_List[[#This Row],[Chassis]]&amp;"S"&amp;TEXT(tbl_IO_List[[#This Row],[Slot]],"00")&amp;","&amp;TEXT(tbl_IO_List[[#This Row],[Point]],"00")</f>
        <v>C8S05,00</v>
      </c>
      <c r="AA1177" s="136" t="e">
        <f>VLOOKUP(tbl_IO_List[[#This Row],[Column23]],tbl_RackConfig[],5,FALSE) &amp;"-"&amp;tbl_IO_List[[#This Row],[Point]]</f>
        <v>#N/A</v>
      </c>
      <c r="AB1177" s="136"/>
      <c r="AC1177" s="136"/>
      <c r="AD1177" s="136" t="str">
        <f>tbl_IO_List[[#This Row],[I/O Type]]</f>
        <v>AI</v>
      </c>
      <c r="AE1177" s="136" t="s">
        <v>1843</v>
      </c>
      <c r="AF1177" s="136">
        <v>5</v>
      </c>
      <c r="AG1177" s="136">
        <v>0</v>
      </c>
      <c r="AH1177" s="136"/>
      <c r="AI1177" s="136"/>
      <c r="AJ1177" s="136">
        <v>0</v>
      </c>
      <c r="AK1177" s="136">
        <v>0</v>
      </c>
      <c r="AL1177" s="136">
        <v>1</v>
      </c>
      <c r="AM1177" s="136">
        <v>0</v>
      </c>
      <c r="AN1177" s="136">
        <v>0</v>
      </c>
      <c r="AO1177" s="136"/>
      <c r="AP1177" s="143" t="str">
        <f>VLOOKUP(tbl_IO_List[[#This Row],[Instruement Tag]],tbl_Instruement_List[],14,FALSE)</f>
        <v>4 - 20 mA</v>
      </c>
      <c r="AQ1177" s="143" t="str">
        <f>tbl_IO_List[[#This Row],[Chassis]]&amp;"S"&amp;tbl_IO_List[[#This Row],[Slot]]&amp;"-"&amp;tbl_IO_List[[#This Row],[Front Terminal Number]]</f>
        <v>C8S5-</v>
      </c>
      <c r="AR1177" s="143"/>
      <c r="AS1177" s="136" t="str">
        <f>tbl_IO_List[[#This Row],[Terminal Tagging]]&amp;"-"&amp;tbl_IO_List[[#This Row],[Point-Count]]</f>
        <v>-</v>
      </c>
      <c r="AT1177" s="136" t="str">
        <f>tbl_IO_List[[#This Row],[Front Terminal Tagging]]&amp;"/"&amp;tbl_IO_List[[#This Row],[Terminal Tagging-Item]]</f>
        <v>C8S5-/-</v>
      </c>
      <c r="AU1177" s="136" t="str">
        <f>tbl_IO_List[[#This Row],[Terminal Tagging-Item]]&amp;"/"&amp;tbl_IO_List[[#This Row],[Front Terminal Tagging]]</f>
        <v>-/C8S5-</v>
      </c>
    </row>
    <row r="1178" spans="1:47" hidden="1">
      <c r="A1178" s="147" t="s">
        <v>1365</v>
      </c>
      <c r="B1178" s="136" t="s">
        <v>13</v>
      </c>
      <c r="C1178" s="136" t="str">
        <f>tbl_IO_List[[#This Row],[Column3]]</f>
        <v>C8S05,01</v>
      </c>
      <c r="D1178" s="136" t="e">
        <f>tbl_IO_List[[#This Row],[Card]]</f>
        <v>#N/A</v>
      </c>
      <c r="E1178" s="136" t="s">
        <v>1366</v>
      </c>
      <c r="F1178" s="136" t="str">
        <f>tbl_IO_List[[#This Row],[Column23]]&amp;"-" &amp;tbl_IO_List[[#This Row],[Column52]]</f>
        <v>C8S05-X1</v>
      </c>
      <c r="G1178" s="136" t="str">
        <f>tbl_IO_List[[#This Row],[PLC_Tag]]</f>
        <v>PT-60231_AI_1</v>
      </c>
      <c r="H1178" s="136"/>
      <c r="I1178" s="136" t="str">
        <f>VLOOKUP(tbl_IO_List[[#This Row],[Destination]],tbl_Junction[],2,FALSE)</f>
        <v>Spray Dryer 3rd Floor</v>
      </c>
      <c r="J1178" s="136" t="s">
        <v>1304</v>
      </c>
      <c r="K1178" s="136" t="s">
        <v>14</v>
      </c>
      <c r="L1178" s="136" t="s">
        <v>32</v>
      </c>
      <c r="M1178" s="136" t="str">
        <f>VLOOKUP(tbl_IO_List[[#This Row],[Instruement Tag]],tbl_Instruement_List[],2,FALSE)</f>
        <v>Pressure Transmitter</v>
      </c>
      <c r="N1178" s="136" t="s">
        <v>31</v>
      </c>
      <c r="O1178" s="136" t="s">
        <v>16</v>
      </c>
      <c r="P1178" s="136" t="s">
        <v>17</v>
      </c>
      <c r="Q1178" s="136" t="str">
        <f>VLOOKUP(tbl_IO_List[[#This Row],[Instruement Tag]],tbl_Instruement_List[],6,FALSE)</f>
        <v>Gas Pressure Transmitter for Cyclone Exhaust Duct (DTCE-21)</v>
      </c>
      <c r="R1178" s="136"/>
      <c r="S117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1178" s="136" t="str">
        <f>tbl_IO_List[[#This Row],[Instruement Tag]]&amp;"_"&amp;tbl_IO_List[[#This Row],[I/O Type]]&amp;"_"&amp;tbl_IO_List[[#This Row],[IO-Point 
(Instruement)]]</f>
        <v>PT-60231_AI_1</v>
      </c>
      <c r="U1178" s="136" t="s">
        <v>10</v>
      </c>
      <c r="V1178" s="136">
        <f>VLOOKUP(tbl_IO_List[[#This Row],[I/O Type]],tbl_Slot_Group[],2,FALSE)</f>
        <v>3</v>
      </c>
      <c r="W1178" s="136">
        <v>1</v>
      </c>
      <c r="X1178" s="136" t="str">
        <f>tbl_IO_List[[#This Row],[Chassis]]&amp;"S"&amp;TEXT(tbl_IO_List[[#This Row],[Slot]],"00")</f>
        <v>C8S05</v>
      </c>
      <c r="Y1178" s="136" t="str">
        <f>tbl_IO_List[[#This Row],[Chassis]]&amp;"S"&amp;TEXT(tbl_IO_List[[#This Row],[Slot]],"00")&amp;tbl_IO_List[[#This Row],[I/O Type]]&amp;TEXT(tbl_IO_List[[#This Row],[Point]],"00")</f>
        <v>C8S05AI01</v>
      </c>
      <c r="Z1178" s="136" t="str">
        <f>tbl_IO_List[[#This Row],[Chassis]]&amp;"S"&amp;TEXT(tbl_IO_List[[#This Row],[Slot]],"00")&amp;","&amp;TEXT(tbl_IO_List[[#This Row],[Point]],"00")</f>
        <v>C8S05,01</v>
      </c>
      <c r="AA1178" s="136" t="e">
        <f>VLOOKUP(tbl_IO_List[[#This Row],[Column23]],tbl_RackConfig[],5,FALSE) &amp;"-"&amp;tbl_IO_List[[#This Row],[Point]]</f>
        <v>#N/A</v>
      </c>
      <c r="AB1178" s="136"/>
      <c r="AC1178" s="136"/>
      <c r="AD1178" s="136" t="str">
        <f>tbl_IO_List[[#This Row],[I/O Type]]</f>
        <v>AI</v>
      </c>
      <c r="AE1178" s="136" t="s">
        <v>1843</v>
      </c>
      <c r="AF1178" s="136">
        <v>5</v>
      </c>
      <c r="AG1178" s="136">
        <v>1</v>
      </c>
      <c r="AH1178" s="136"/>
      <c r="AI1178" s="136"/>
      <c r="AJ1178" s="136">
        <v>0</v>
      </c>
      <c r="AK1178" s="136">
        <v>0</v>
      </c>
      <c r="AL1178" s="136">
        <v>1</v>
      </c>
      <c r="AM1178" s="136">
        <v>0</v>
      </c>
      <c r="AN1178" s="136">
        <v>0</v>
      </c>
      <c r="AO1178" s="136"/>
      <c r="AP1178" s="143" t="str">
        <f>VLOOKUP(tbl_IO_List[[#This Row],[Instruement Tag]],tbl_Instruement_List[],14,FALSE)</f>
        <v>4 - 20 mA</v>
      </c>
      <c r="AQ1178" s="143" t="str">
        <f>tbl_IO_List[[#This Row],[Chassis]]&amp;"S"&amp;tbl_IO_List[[#This Row],[Slot]]&amp;"-"&amp;tbl_IO_List[[#This Row],[Front Terminal Number]]</f>
        <v>C8S5-</v>
      </c>
      <c r="AR1178" s="143"/>
      <c r="AS1178" s="136" t="str">
        <f>tbl_IO_List[[#This Row],[Terminal Tagging]]&amp;"-"&amp;tbl_IO_List[[#This Row],[Point-Count]]</f>
        <v>-</v>
      </c>
      <c r="AT1178" s="136" t="str">
        <f>tbl_IO_List[[#This Row],[Front Terminal Tagging]]&amp;"/"&amp;tbl_IO_List[[#This Row],[Terminal Tagging-Item]]</f>
        <v>C8S5-/-</v>
      </c>
      <c r="AU1178" s="136" t="str">
        <f>tbl_IO_List[[#This Row],[Terminal Tagging-Item]]&amp;"/"&amp;tbl_IO_List[[#This Row],[Front Terminal Tagging]]</f>
        <v>-/C8S5-</v>
      </c>
    </row>
    <row r="1179" spans="1:47" hidden="1">
      <c r="A1179" s="147" t="s">
        <v>1365</v>
      </c>
      <c r="B1179" s="136" t="s">
        <v>13</v>
      </c>
      <c r="C1179" s="136" t="str">
        <f>tbl_IO_List[[#This Row],[Column3]]</f>
        <v>C8S05,02</v>
      </c>
      <c r="D1179" s="136" t="e">
        <f>tbl_IO_List[[#This Row],[Card]]</f>
        <v>#N/A</v>
      </c>
      <c r="E1179" s="136" t="s">
        <v>1366</v>
      </c>
      <c r="F1179" s="136" t="str">
        <f>tbl_IO_List[[#This Row],[Column23]]&amp;"-" &amp;tbl_IO_List[[#This Row],[Column52]]</f>
        <v>C8S05-X1</v>
      </c>
      <c r="G1179" s="136" t="str">
        <f>tbl_IO_List[[#This Row],[PLC_Tag]]</f>
        <v>TT-60224_AI_1</v>
      </c>
      <c r="H1179" s="136"/>
      <c r="I1179" s="136" t="str">
        <f>VLOOKUP(tbl_IO_List[[#This Row],[Destination]],tbl_Junction[],2,FALSE)</f>
        <v>Spray Dryer 3rd Floor</v>
      </c>
      <c r="J1179" s="136" t="s">
        <v>1304</v>
      </c>
      <c r="K1179" s="136" t="s">
        <v>14</v>
      </c>
      <c r="L1179" s="136" t="s">
        <v>33</v>
      </c>
      <c r="M1179" s="136">
        <f>VLOOKUP(tbl_IO_List[[#This Row],[Instruement Tag]],tbl_Instruement_List[],2,FALSE)</f>
        <v>0</v>
      </c>
      <c r="N1179" s="136" t="s">
        <v>31</v>
      </c>
      <c r="O1179" s="136" t="s">
        <v>16</v>
      </c>
      <c r="P1179" s="136" t="s">
        <v>17</v>
      </c>
      <c r="Q1179" s="136" t="str">
        <f>VLOOKUP(tbl_IO_List[[#This Row],[Instruement Tag]],tbl_Instruement_List[],6,FALSE)</f>
        <v>Gas and Powder Temperature Transmitter for Spray Chamber (CHAM-21)</v>
      </c>
      <c r="R1179" s="136"/>
      <c r="S117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1179" s="136" t="str">
        <f>tbl_IO_List[[#This Row],[Instruement Tag]]&amp;"_"&amp;tbl_IO_List[[#This Row],[I/O Type]]&amp;"_"&amp;tbl_IO_List[[#This Row],[IO-Point 
(Instruement)]]</f>
        <v>TT-60224_AI_1</v>
      </c>
      <c r="U1179" s="136" t="s">
        <v>10</v>
      </c>
      <c r="V1179" s="136">
        <f>VLOOKUP(tbl_IO_List[[#This Row],[I/O Type]],tbl_Slot_Group[],2,FALSE)</f>
        <v>3</v>
      </c>
      <c r="W1179" s="136">
        <v>1</v>
      </c>
      <c r="X1179" s="136" t="str">
        <f>tbl_IO_List[[#This Row],[Chassis]]&amp;"S"&amp;TEXT(tbl_IO_List[[#This Row],[Slot]],"00")</f>
        <v>C8S05</v>
      </c>
      <c r="Y1179" s="136" t="str">
        <f>tbl_IO_List[[#This Row],[Chassis]]&amp;"S"&amp;TEXT(tbl_IO_List[[#This Row],[Slot]],"00")&amp;tbl_IO_List[[#This Row],[I/O Type]]&amp;TEXT(tbl_IO_List[[#This Row],[Point]],"00")</f>
        <v>C8S05AI02</v>
      </c>
      <c r="Z1179" s="136" t="str">
        <f>tbl_IO_List[[#This Row],[Chassis]]&amp;"S"&amp;TEXT(tbl_IO_List[[#This Row],[Slot]],"00")&amp;","&amp;TEXT(tbl_IO_List[[#This Row],[Point]],"00")</f>
        <v>C8S05,02</v>
      </c>
      <c r="AA1179" s="136" t="e">
        <f>VLOOKUP(tbl_IO_List[[#This Row],[Column23]],tbl_RackConfig[],5,FALSE) &amp;"-"&amp;tbl_IO_List[[#This Row],[Point]]</f>
        <v>#N/A</v>
      </c>
      <c r="AB1179" s="136"/>
      <c r="AC1179" s="136"/>
      <c r="AD1179" s="136" t="str">
        <f>tbl_IO_List[[#This Row],[I/O Type]]</f>
        <v>AI</v>
      </c>
      <c r="AE1179" s="136" t="s">
        <v>1843</v>
      </c>
      <c r="AF1179" s="136">
        <v>5</v>
      </c>
      <c r="AG1179" s="136">
        <v>2</v>
      </c>
      <c r="AH1179" s="136"/>
      <c r="AI1179" s="136"/>
      <c r="AJ1179" s="136">
        <v>0</v>
      </c>
      <c r="AK1179" s="136">
        <v>0</v>
      </c>
      <c r="AL1179" s="136">
        <v>1</v>
      </c>
      <c r="AM1179" s="136">
        <v>0</v>
      </c>
      <c r="AN1179" s="136">
        <v>0</v>
      </c>
      <c r="AO1179" s="136"/>
      <c r="AP1179" s="143" t="str">
        <f>VLOOKUP(tbl_IO_List[[#This Row],[Instruement Tag]],tbl_Instruement_List[],14,FALSE)</f>
        <v>4 - 20 mA</v>
      </c>
      <c r="AQ1179" s="143" t="str">
        <f>tbl_IO_List[[#This Row],[Chassis]]&amp;"S"&amp;tbl_IO_List[[#This Row],[Slot]]&amp;"-"&amp;tbl_IO_List[[#This Row],[Front Terminal Number]]</f>
        <v>C8S5-</v>
      </c>
      <c r="AR1179" s="143"/>
      <c r="AS1179" s="136" t="str">
        <f>tbl_IO_List[[#This Row],[Terminal Tagging]]&amp;"-"&amp;tbl_IO_List[[#This Row],[Point-Count]]</f>
        <v>-</v>
      </c>
      <c r="AT1179" s="136" t="str">
        <f>tbl_IO_List[[#This Row],[Front Terminal Tagging]]&amp;"/"&amp;tbl_IO_List[[#This Row],[Terminal Tagging-Item]]</f>
        <v>C8S5-/-</v>
      </c>
      <c r="AU1179" s="136" t="str">
        <f>tbl_IO_List[[#This Row],[Terminal Tagging-Item]]&amp;"/"&amp;tbl_IO_List[[#This Row],[Front Terminal Tagging]]</f>
        <v>-/C8S5-</v>
      </c>
    </row>
    <row r="1180" spans="1:47" hidden="1">
      <c r="A1180" s="147" t="s">
        <v>1365</v>
      </c>
      <c r="B1180" s="136" t="s">
        <v>13</v>
      </c>
      <c r="C1180" s="136" t="str">
        <f>tbl_IO_List[[#This Row],[Column3]]</f>
        <v>C8S05,03</v>
      </c>
      <c r="D1180" s="136" t="e">
        <f>tbl_IO_List[[#This Row],[Card]]</f>
        <v>#N/A</v>
      </c>
      <c r="E1180" s="136" t="s">
        <v>1366</v>
      </c>
      <c r="F1180" s="136" t="str">
        <f>tbl_IO_List[[#This Row],[Column23]]&amp;"-" &amp;tbl_IO_List[[#This Row],[Column52]]</f>
        <v>C8S05-X1</v>
      </c>
      <c r="G1180" s="136" t="str">
        <f>tbl_IO_List[[#This Row],[PLC_Tag]]</f>
        <v>TT-60225_AI_1</v>
      </c>
      <c r="H1180" s="136"/>
      <c r="I1180" s="136" t="str">
        <f>VLOOKUP(tbl_IO_List[[#This Row],[Destination]],tbl_Junction[],2,FALSE)</f>
        <v>Spray Dryer 3rd Floor</v>
      </c>
      <c r="J1180" s="136" t="s">
        <v>1304</v>
      </c>
      <c r="K1180" s="136" t="s">
        <v>14</v>
      </c>
      <c r="L1180" s="136" t="s">
        <v>27</v>
      </c>
      <c r="M1180" s="136">
        <f>VLOOKUP(tbl_IO_List[[#This Row],[Instruement Tag]],tbl_Instruement_List[],2,FALSE)</f>
        <v>0</v>
      </c>
      <c r="N1180" s="136" t="s">
        <v>28</v>
      </c>
      <c r="O1180" s="136" t="s">
        <v>16</v>
      </c>
      <c r="P1180" s="136" t="s">
        <v>17</v>
      </c>
      <c r="Q1180" s="136" t="str">
        <f>VLOOKUP(tbl_IO_List[[#This Row],[Instruement Tag]],tbl_Instruement_List[],6,FALSE)</f>
        <v>Gas and Powder Temperature Transmitter for Spray Chamber (CHAM-21)</v>
      </c>
      <c r="R1180" s="136"/>
      <c r="S118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1180" s="136" t="str">
        <f>tbl_IO_List[[#This Row],[Instruement Tag]]&amp;"_"&amp;tbl_IO_List[[#This Row],[I/O Type]]&amp;"_"&amp;tbl_IO_List[[#This Row],[IO-Point 
(Instruement)]]</f>
        <v>TT-60225_AI_1</v>
      </c>
      <c r="U1180" s="136" t="s">
        <v>10</v>
      </c>
      <c r="V1180" s="136">
        <f>VLOOKUP(tbl_IO_List[[#This Row],[I/O Type]],tbl_Slot_Group[],2,FALSE)</f>
        <v>3</v>
      </c>
      <c r="W1180" s="136">
        <v>1</v>
      </c>
      <c r="X1180" s="136" t="str">
        <f>tbl_IO_List[[#This Row],[Chassis]]&amp;"S"&amp;TEXT(tbl_IO_List[[#This Row],[Slot]],"00")</f>
        <v>C8S05</v>
      </c>
      <c r="Y1180" s="136" t="str">
        <f>tbl_IO_List[[#This Row],[Chassis]]&amp;"S"&amp;TEXT(tbl_IO_List[[#This Row],[Slot]],"00")&amp;tbl_IO_List[[#This Row],[I/O Type]]&amp;TEXT(tbl_IO_List[[#This Row],[Point]],"00")</f>
        <v>C8S05AI03</v>
      </c>
      <c r="Z1180" s="136" t="str">
        <f>tbl_IO_List[[#This Row],[Chassis]]&amp;"S"&amp;TEXT(tbl_IO_List[[#This Row],[Slot]],"00")&amp;","&amp;TEXT(tbl_IO_List[[#This Row],[Point]],"00")</f>
        <v>C8S05,03</v>
      </c>
      <c r="AA1180" s="136" t="e">
        <f>VLOOKUP(tbl_IO_List[[#This Row],[Column23]],tbl_RackConfig[],5,FALSE) &amp;"-"&amp;tbl_IO_List[[#This Row],[Point]]</f>
        <v>#N/A</v>
      </c>
      <c r="AB1180" s="136"/>
      <c r="AC1180" s="136"/>
      <c r="AD1180" s="136" t="str">
        <f>tbl_IO_List[[#This Row],[I/O Type]]</f>
        <v>AI</v>
      </c>
      <c r="AE1180" s="136" t="s">
        <v>1843</v>
      </c>
      <c r="AF1180" s="136">
        <v>5</v>
      </c>
      <c r="AG1180" s="136">
        <v>3</v>
      </c>
      <c r="AH1180" s="136"/>
      <c r="AI1180" s="136"/>
      <c r="AJ1180" s="136">
        <v>0</v>
      </c>
      <c r="AK1180" s="136">
        <v>0</v>
      </c>
      <c r="AL1180" s="136">
        <v>1</v>
      </c>
      <c r="AM1180" s="136">
        <v>0</v>
      </c>
      <c r="AN1180" s="136">
        <v>0</v>
      </c>
      <c r="AO1180" s="136"/>
      <c r="AP1180" s="143" t="str">
        <f>VLOOKUP(tbl_IO_List[[#This Row],[Instruement Tag]],tbl_Instruement_List[],14,FALSE)</f>
        <v>4 - 20 mA</v>
      </c>
      <c r="AQ1180" s="143" t="str">
        <f>tbl_IO_List[[#This Row],[Chassis]]&amp;"S"&amp;tbl_IO_List[[#This Row],[Slot]]&amp;"-"&amp;tbl_IO_List[[#This Row],[Front Terminal Number]]</f>
        <v>C8S5-</v>
      </c>
      <c r="AR1180" s="143"/>
      <c r="AS1180" s="136" t="str">
        <f>tbl_IO_List[[#This Row],[Terminal Tagging]]&amp;"-"&amp;tbl_IO_List[[#This Row],[Point-Count]]</f>
        <v>-</v>
      </c>
      <c r="AT1180" s="136" t="str">
        <f>tbl_IO_List[[#This Row],[Front Terminal Tagging]]&amp;"/"&amp;tbl_IO_List[[#This Row],[Terminal Tagging-Item]]</f>
        <v>C8S5-/-</v>
      </c>
      <c r="AU1180" s="136" t="str">
        <f>tbl_IO_List[[#This Row],[Terminal Tagging-Item]]&amp;"/"&amp;tbl_IO_List[[#This Row],[Front Terminal Tagging]]</f>
        <v>-/C8S5-</v>
      </c>
    </row>
    <row r="1181" spans="1:47" hidden="1">
      <c r="A1181" s="147" t="s">
        <v>1365</v>
      </c>
      <c r="B1181" s="136" t="s">
        <v>13</v>
      </c>
      <c r="C1181" s="136" t="str">
        <f>tbl_IO_List[[#This Row],[Column3]]</f>
        <v>C8S05,04</v>
      </c>
      <c r="D1181" s="136" t="e">
        <f>tbl_IO_List[[#This Row],[Card]]</f>
        <v>#N/A</v>
      </c>
      <c r="E1181" s="136" t="s">
        <v>1366</v>
      </c>
      <c r="F1181" s="136" t="str">
        <f>tbl_IO_List[[#This Row],[Column23]]&amp;"-" &amp;tbl_IO_List[[#This Row],[Column52]]</f>
        <v>C8S05-X1</v>
      </c>
      <c r="G1181" s="136" t="str">
        <f>tbl_IO_List[[#This Row],[PLC_Tag]]</f>
        <v>TT-60226_AI_1</v>
      </c>
      <c r="H1181" s="136"/>
      <c r="I1181" s="136" t="str">
        <f>VLOOKUP(tbl_IO_List[[#This Row],[Destination]],tbl_Junction[],2,FALSE)</f>
        <v>Spray Dryer 3rd Floor</v>
      </c>
      <c r="J1181" s="136" t="s">
        <v>1304</v>
      </c>
      <c r="K1181" s="136" t="s">
        <v>14</v>
      </c>
      <c r="L1181" s="136" t="s">
        <v>23</v>
      </c>
      <c r="M1181" s="136">
        <f>VLOOKUP(tbl_IO_List[[#This Row],[Instruement Tag]],tbl_Instruement_List[],2,FALSE)</f>
        <v>0</v>
      </c>
      <c r="N1181" s="136" t="s">
        <v>24</v>
      </c>
      <c r="O1181" s="136" t="s">
        <v>16</v>
      </c>
      <c r="P1181" s="136" t="s">
        <v>17</v>
      </c>
      <c r="Q1181" s="136" t="str">
        <f>VLOOKUP(tbl_IO_List[[#This Row],[Instruement Tag]],tbl_Instruement_List[],6,FALSE)</f>
        <v>Gas and Powder Temperature Transmitter for Spray Chamber (CHAM-21)</v>
      </c>
      <c r="R1181" s="136"/>
      <c r="S118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1181" s="136" t="str">
        <f>tbl_IO_List[[#This Row],[Instruement Tag]]&amp;"_"&amp;tbl_IO_List[[#This Row],[I/O Type]]&amp;"_"&amp;tbl_IO_List[[#This Row],[IO-Point 
(Instruement)]]</f>
        <v>TT-60226_AI_1</v>
      </c>
      <c r="U1181" s="136" t="s">
        <v>10</v>
      </c>
      <c r="V1181" s="136">
        <f>VLOOKUP(tbl_IO_List[[#This Row],[I/O Type]],tbl_Slot_Group[],2,FALSE)</f>
        <v>3</v>
      </c>
      <c r="W1181" s="136">
        <v>1</v>
      </c>
      <c r="X1181" s="136" t="str">
        <f>tbl_IO_List[[#This Row],[Chassis]]&amp;"S"&amp;TEXT(tbl_IO_List[[#This Row],[Slot]],"00")</f>
        <v>C8S05</v>
      </c>
      <c r="Y1181" s="136" t="str">
        <f>tbl_IO_List[[#This Row],[Chassis]]&amp;"S"&amp;TEXT(tbl_IO_List[[#This Row],[Slot]],"00")&amp;tbl_IO_List[[#This Row],[I/O Type]]&amp;TEXT(tbl_IO_List[[#This Row],[Point]],"00")</f>
        <v>C8S05AI04</v>
      </c>
      <c r="Z1181" s="136" t="str">
        <f>tbl_IO_List[[#This Row],[Chassis]]&amp;"S"&amp;TEXT(tbl_IO_List[[#This Row],[Slot]],"00")&amp;","&amp;TEXT(tbl_IO_List[[#This Row],[Point]],"00")</f>
        <v>C8S05,04</v>
      </c>
      <c r="AA1181" s="136" t="e">
        <f>VLOOKUP(tbl_IO_List[[#This Row],[Column23]],tbl_RackConfig[],5,FALSE) &amp;"-"&amp;tbl_IO_List[[#This Row],[Point]]</f>
        <v>#N/A</v>
      </c>
      <c r="AB1181" s="136"/>
      <c r="AC1181" s="136"/>
      <c r="AD1181" s="136" t="str">
        <f>tbl_IO_List[[#This Row],[I/O Type]]</f>
        <v>AI</v>
      </c>
      <c r="AE1181" s="136" t="s">
        <v>1843</v>
      </c>
      <c r="AF1181" s="136">
        <v>5</v>
      </c>
      <c r="AG1181" s="136">
        <v>4</v>
      </c>
      <c r="AH1181" s="136"/>
      <c r="AI1181" s="136"/>
      <c r="AJ1181" s="136">
        <v>0</v>
      </c>
      <c r="AK1181" s="136">
        <v>0</v>
      </c>
      <c r="AL1181" s="136">
        <v>1</v>
      </c>
      <c r="AM1181" s="136">
        <v>0</v>
      </c>
      <c r="AN1181" s="136">
        <v>0</v>
      </c>
      <c r="AO1181" s="136"/>
      <c r="AP1181" s="143" t="str">
        <f>VLOOKUP(tbl_IO_List[[#This Row],[Instruement Tag]],tbl_Instruement_List[],14,FALSE)</f>
        <v>4 - 20 mA</v>
      </c>
      <c r="AQ1181" s="143" t="str">
        <f>tbl_IO_List[[#This Row],[Chassis]]&amp;"S"&amp;tbl_IO_List[[#This Row],[Slot]]&amp;"-"&amp;tbl_IO_List[[#This Row],[Front Terminal Number]]</f>
        <v>C8S5-</v>
      </c>
      <c r="AR1181" s="143"/>
      <c r="AS1181" s="136" t="str">
        <f>tbl_IO_List[[#This Row],[Terminal Tagging]]&amp;"-"&amp;tbl_IO_List[[#This Row],[Point-Count]]</f>
        <v>-</v>
      </c>
      <c r="AT1181" s="136" t="str">
        <f>tbl_IO_List[[#This Row],[Front Terminal Tagging]]&amp;"/"&amp;tbl_IO_List[[#This Row],[Terminal Tagging-Item]]</f>
        <v>C8S5-/-</v>
      </c>
      <c r="AU1181" s="136" t="str">
        <f>tbl_IO_List[[#This Row],[Terminal Tagging-Item]]&amp;"/"&amp;tbl_IO_List[[#This Row],[Front Terminal Tagging]]</f>
        <v>-/C8S5-</v>
      </c>
    </row>
    <row r="1182" spans="1:47" hidden="1">
      <c r="A1182" s="147" t="s">
        <v>1365</v>
      </c>
      <c r="B1182" s="136" t="s">
        <v>13</v>
      </c>
      <c r="C1182" s="136" t="str">
        <f>tbl_IO_List[[#This Row],[Column3]]</f>
        <v>C8S05,05</v>
      </c>
      <c r="D1182" s="136" t="e">
        <f>tbl_IO_List[[#This Row],[Card]]</f>
        <v>#N/A</v>
      </c>
      <c r="E1182" s="136" t="s">
        <v>1366</v>
      </c>
      <c r="F1182" s="136" t="str">
        <f>tbl_IO_List[[#This Row],[Column23]]&amp;"-" &amp;tbl_IO_List[[#This Row],[Column52]]</f>
        <v>C8S05-X1</v>
      </c>
      <c r="G1182" s="136" t="str">
        <f>tbl_IO_List[[#This Row],[PLC_Tag]]</f>
        <v>TT-60227_AI_1</v>
      </c>
      <c r="H1182" s="136"/>
      <c r="I1182" s="136" t="str">
        <f>VLOOKUP(tbl_IO_List[[#This Row],[Destination]],tbl_Junction[],2,FALSE)</f>
        <v>Spray Dryer 3rd Floor</v>
      </c>
      <c r="J1182" s="136" t="s">
        <v>1304</v>
      </c>
      <c r="K1182" s="136" t="s">
        <v>14</v>
      </c>
      <c r="L1182" s="136" t="s">
        <v>25</v>
      </c>
      <c r="M1182" s="136">
        <f>VLOOKUP(tbl_IO_List[[#This Row],[Instruement Tag]],tbl_Instruement_List[],2,FALSE)</f>
        <v>0</v>
      </c>
      <c r="N1182" s="136" t="s">
        <v>15</v>
      </c>
      <c r="O1182" s="136" t="s">
        <v>16</v>
      </c>
      <c r="P1182" s="136" t="s">
        <v>17</v>
      </c>
      <c r="Q1182" s="136" t="str">
        <f>VLOOKUP(tbl_IO_List[[#This Row],[Instruement Tag]],tbl_Instruement_List[],6,FALSE)</f>
        <v>Gas and Powder Temperature Transmitter for Spray Chamber (CHAM-21)</v>
      </c>
      <c r="R1182" s="136"/>
      <c r="S118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1182" s="136" t="str">
        <f>tbl_IO_List[[#This Row],[Instruement Tag]]&amp;"_"&amp;tbl_IO_List[[#This Row],[I/O Type]]&amp;"_"&amp;tbl_IO_List[[#This Row],[IO-Point 
(Instruement)]]</f>
        <v>TT-60227_AI_1</v>
      </c>
      <c r="U1182" s="136" t="s">
        <v>10</v>
      </c>
      <c r="V1182" s="136">
        <f>VLOOKUP(tbl_IO_List[[#This Row],[I/O Type]],tbl_Slot_Group[],2,FALSE)</f>
        <v>3</v>
      </c>
      <c r="W1182" s="136">
        <v>1</v>
      </c>
      <c r="X1182" s="136" t="str">
        <f>tbl_IO_List[[#This Row],[Chassis]]&amp;"S"&amp;TEXT(tbl_IO_List[[#This Row],[Slot]],"00")</f>
        <v>C8S05</v>
      </c>
      <c r="Y1182" s="136" t="str">
        <f>tbl_IO_List[[#This Row],[Chassis]]&amp;"S"&amp;TEXT(tbl_IO_List[[#This Row],[Slot]],"00")&amp;tbl_IO_List[[#This Row],[I/O Type]]&amp;TEXT(tbl_IO_List[[#This Row],[Point]],"00")</f>
        <v>C8S05AI05</v>
      </c>
      <c r="Z1182" s="136" t="str">
        <f>tbl_IO_List[[#This Row],[Chassis]]&amp;"S"&amp;TEXT(tbl_IO_List[[#This Row],[Slot]],"00")&amp;","&amp;TEXT(tbl_IO_List[[#This Row],[Point]],"00")</f>
        <v>C8S05,05</v>
      </c>
      <c r="AA1182" s="136" t="e">
        <f>VLOOKUP(tbl_IO_List[[#This Row],[Column23]],tbl_RackConfig[],5,FALSE) &amp;"-"&amp;tbl_IO_List[[#This Row],[Point]]</f>
        <v>#N/A</v>
      </c>
      <c r="AB1182" s="136"/>
      <c r="AC1182" s="136"/>
      <c r="AD1182" s="136" t="str">
        <f>tbl_IO_List[[#This Row],[I/O Type]]</f>
        <v>AI</v>
      </c>
      <c r="AE1182" s="136" t="s">
        <v>1843</v>
      </c>
      <c r="AF1182" s="136">
        <v>5</v>
      </c>
      <c r="AG1182" s="136">
        <v>5</v>
      </c>
      <c r="AH1182" s="136"/>
      <c r="AI1182" s="136"/>
      <c r="AJ1182" s="136">
        <v>0</v>
      </c>
      <c r="AK1182" s="136">
        <v>0</v>
      </c>
      <c r="AL1182" s="136">
        <v>1</v>
      </c>
      <c r="AM1182" s="136">
        <v>0</v>
      </c>
      <c r="AN1182" s="136">
        <v>0</v>
      </c>
      <c r="AO1182" s="136"/>
      <c r="AP1182" s="143" t="str">
        <f>VLOOKUP(tbl_IO_List[[#This Row],[Instruement Tag]],tbl_Instruement_List[],14,FALSE)</f>
        <v>4 - 20 mA</v>
      </c>
      <c r="AQ1182" s="143" t="str">
        <f>tbl_IO_List[[#This Row],[Chassis]]&amp;"S"&amp;tbl_IO_List[[#This Row],[Slot]]&amp;"-"&amp;tbl_IO_List[[#This Row],[Front Terminal Number]]</f>
        <v>C8S5-</v>
      </c>
      <c r="AR1182" s="143"/>
      <c r="AS1182" s="136" t="str">
        <f>tbl_IO_List[[#This Row],[Terminal Tagging]]&amp;"-"&amp;tbl_IO_List[[#This Row],[Point-Count]]</f>
        <v>-</v>
      </c>
      <c r="AT1182" s="136" t="str">
        <f>tbl_IO_List[[#This Row],[Front Terminal Tagging]]&amp;"/"&amp;tbl_IO_List[[#This Row],[Terminal Tagging-Item]]</f>
        <v>C8S5-/-</v>
      </c>
      <c r="AU1182" s="136" t="str">
        <f>tbl_IO_List[[#This Row],[Terminal Tagging-Item]]&amp;"/"&amp;tbl_IO_List[[#This Row],[Front Terminal Tagging]]</f>
        <v>-/C8S5-</v>
      </c>
    </row>
    <row r="1183" spans="1:47" hidden="1">
      <c r="A1183" s="147" t="s">
        <v>1365</v>
      </c>
      <c r="B1183" s="136" t="s">
        <v>13</v>
      </c>
      <c r="C1183" s="136" t="str">
        <f>tbl_IO_List[[#This Row],[Column3]]</f>
        <v>C8S05,06</v>
      </c>
      <c r="D1183" s="136" t="e">
        <f>tbl_IO_List[[#This Row],[Card]]</f>
        <v>#N/A</v>
      </c>
      <c r="E1183" s="136" t="s">
        <v>1366</v>
      </c>
      <c r="F1183" s="136" t="str">
        <f>tbl_IO_List[[#This Row],[Column23]]&amp;"-" &amp;tbl_IO_List[[#This Row],[Column52]]</f>
        <v>C8S05-X1</v>
      </c>
      <c r="G1183" s="136" t="str">
        <f>tbl_IO_List[[#This Row],[PLC_Tag]]</f>
        <v>TT-60230_AI_1</v>
      </c>
      <c r="H1183" s="136"/>
      <c r="I1183" s="136" t="str">
        <f>VLOOKUP(tbl_IO_List[[#This Row],[Destination]],tbl_Junction[],2,FALSE)</f>
        <v>Spray Dryer 3rd Floor</v>
      </c>
      <c r="J1183" s="136" t="s">
        <v>1304</v>
      </c>
      <c r="K1183" s="136" t="s">
        <v>14</v>
      </c>
      <c r="L1183" s="136" t="s">
        <v>29</v>
      </c>
      <c r="M1183" s="136">
        <f>VLOOKUP(tbl_IO_List[[#This Row],[Instruement Tag]],tbl_Instruement_List[],2,FALSE)</f>
        <v>0</v>
      </c>
      <c r="N1183" s="136" t="s">
        <v>28</v>
      </c>
      <c r="O1183" s="136" t="s">
        <v>16</v>
      </c>
      <c r="P1183" s="136" t="s">
        <v>17</v>
      </c>
      <c r="Q1183" s="136" t="str">
        <f>VLOOKUP(tbl_IO_List[[#This Row],[Instruement Tag]],tbl_Instruement_List[],6,FALSE)</f>
        <v>Gas and Powder Temperature Transmitter for Conveying Duct (DTCO-21)</v>
      </c>
      <c r="R1183" s="136"/>
      <c r="S118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1183" s="136" t="str">
        <f>tbl_IO_List[[#This Row],[Instruement Tag]]&amp;"_"&amp;tbl_IO_List[[#This Row],[I/O Type]]&amp;"_"&amp;tbl_IO_List[[#This Row],[IO-Point 
(Instruement)]]</f>
        <v>TT-60230_AI_1</v>
      </c>
      <c r="U1183" s="136" t="s">
        <v>10</v>
      </c>
      <c r="V1183" s="136">
        <f>VLOOKUP(tbl_IO_List[[#This Row],[I/O Type]],tbl_Slot_Group[],2,FALSE)</f>
        <v>3</v>
      </c>
      <c r="W1183" s="136">
        <v>1</v>
      </c>
      <c r="X1183" s="136" t="str">
        <f>tbl_IO_List[[#This Row],[Chassis]]&amp;"S"&amp;TEXT(tbl_IO_List[[#This Row],[Slot]],"00")</f>
        <v>C8S05</v>
      </c>
      <c r="Y1183" s="136" t="str">
        <f>tbl_IO_List[[#This Row],[Chassis]]&amp;"S"&amp;TEXT(tbl_IO_List[[#This Row],[Slot]],"00")&amp;tbl_IO_List[[#This Row],[I/O Type]]&amp;TEXT(tbl_IO_List[[#This Row],[Point]],"00")</f>
        <v>C8S05AI06</v>
      </c>
      <c r="Z1183" s="136" t="str">
        <f>tbl_IO_List[[#This Row],[Chassis]]&amp;"S"&amp;TEXT(tbl_IO_List[[#This Row],[Slot]],"00")&amp;","&amp;TEXT(tbl_IO_List[[#This Row],[Point]],"00")</f>
        <v>C8S05,06</v>
      </c>
      <c r="AA1183" s="136" t="e">
        <f>VLOOKUP(tbl_IO_List[[#This Row],[Column23]],tbl_RackConfig[],5,FALSE) &amp;"-"&amp;tbl_IO_List[[#This Row],[Point]]</f>
        <v>#N/A</v>
      </c>
      <c r="AB1183" s="136"/>
      <c r="AC1183" s="136"/>
      <c r="AD1183" s="136" t="str">
        <f>tbl_IO_List[[#This Row],[I/O Type]]</f>
        <v>AI</v>
      </c>
      <c r="AE1183" s="136" t="s">
        <v>1843</v>
      </c>
      <c r="AF1183" s="136">
        <v>5</v>
      </c>
      <c r="AG1183" s="136">
        <v>6</v>
      </c>
      <c r="AH1183" s="136"/>
      <c r="AI1183" s="136"/>
      <c r="AJ1183" s="136">
        <v>0</v>
      </c>
      <c r="AK1183" s="136">
        <v>0</v>
      </c>
      <c r="AL1183" s="136">
        <v>1</v>
      </c>
      <c r="AM1183" s="136">
        <v>0</v>
      </c>
      <c r="AN1183" s="136">
        <v>0</v>
      </c>
      <c r="AO1183" s="136"/>
      <c r="AP1183" s="143" t="str">
        <f>VLOOKUP(tbl_IO_List[[#This Row],[Instruement Tag]],tbl_Instruement_List[],14,FALSE)</f>
        <v>4 - 20 mA</v>
      </c>
      <c r="AQ1183" s="143" t="str">
        <f>tbl_IO_List[[#This Row],[Chassis]]&amp;"S"&amp;tbl_IO_List[[#This Row],[Slot]]&amp;"-"&amp;tbl_IO_List[[#This Row],[Front Terminal Number]]</f>
        <v>C8S5-</v>
      </c>
      <c r="AR1183" s="143"/>
      <c r="AS1183" s="136" t="str">
        <f>tbl_IO_List[[#This Row],[Terminal Tagging]]&amp;"-"&amp;tbl_IO_List[[#This Row],[Point-Count]]</f>
        <v>-</v>
      </c>
      <c r="AT1183" s="136" t="str">
        <f>tbl_IO_List[[#This Row],[Front Terminal Tagging]]&amp;"/"&amp;tbl_IO_List[[#This Row],[Terminal Tagging-Item]]</f>
        <v>C8S5-/-</v>
      </c>
      <c r="AU1183" s="136" t="str">
        <f>tbl_IO_List[[#This Row],[Terminal Tagging-Item]]&amp;"/"&amp;tbl_IO_List[[#This Row],[Front Terminal Tagging]]</f>
        <v>-/C8S5-</v>
      </c>
    </row>
    <row r="1184" spans="1:47" hidden="1">
      <c r="A1184" s="147" t="s">
        <v>1365</v>
      </c>
      <c r="B1184" s="136" t="s">
        <v>13</v>
      </c>
      <c r="C1184" s="136" t="str">
        <f>tbl_IO_List[[#This Row],[Column3]]</f>
        <v>C8S05,07</v>
      </c>
      <c r="D1184" s="136" t="e">
        <f>tbl_IO_List[[#This Row],[Card]]</f>
        <v>#N/A</v>
      </c>
      <c r="E1184" s="136" t="s">
        <v>1366</v>
      </c>
      <c r="F1184" s="136" t="str">
        <f>tbl_IO_List[[#This Row],[Column23]]&amp;"-" &amp;tbl_IO_List[[#This Row],[Column52]]</f>
        <v>C8S05-X1</v>
      </c>
      <c r="G1184" s="136" t="str">
        <f>tbl_IO_List[[#This Row],[PLC_Tag]]</f>
        <v>Spare_AI_0</v>
      </c>
      <c r="H1184" s="136"/>
      <c r="I1184" s="136" t="str">
        <f>VLOOKUP(tbl_IO_List[[#This Row],[Destination]],tbl_Junction[],2,FALSE)</f>
        <v>Spray Dryer 3rd Floor</v>
      </c>
      <c r="J1184" s="136"/>
      <c r="K1184" s="136"/>
      <c r="L1184" s="136" t="s">
        <v>411</v>
      </c>
      <c r="M1184" s="136" t="e">
        <f>VLOOKUP(tbl_IO_List[[#This Row],[Instruement Tag]],tbl_Instruement_List[],2,FALSE)</f>
        <v>#N/A</v>
      </c>
      <c r="N1184" s="136"/>
      <c r="O1184" s="136"/>
      <c r="P1184" s="136"/>
      <c r="Q1184" s="136" t="e">
        <f>VLOOKUP(tbl_IO_List[[#This Row],[Instruement Tag]],tbl_Instruement_List[],6,FALSE)</f>
        <v>#N/A</v>
      </c>
      <c r="R1184" s="136"/>
      <c r="S118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1184" s="136" t="str">
        <f>tbl_IO_List[[#This Row],[Instruement Tag]]&amp;"_"&amp;tbl_IO_List[[#This Row],[I/O Type]]&amp;"_"&amp;tbl_IO_List[[#This Row],[IO-Point 
(Instruement)]]</f>
        <v>Spare_AI_0</v>
      </c>
      <c r="U1184" s="136" t="s">
        <v>10</v>
      </c>
      <c r="V1184" s="136">
        <f>VLOOKUP(tbl_IO_List[[#This Row],[I/O Type]],tbl_Slot_Group[],2,FALSE)</f>
        <v>3</v>
      </c>
      <c r="W1184" s="136">
        <v>0</v>
      </c>
      <c r="X1184" s="136" t="str">
        <f>tbl_IO_List[[#This Row],[Chassis]]&amp;"S"&amp;TEXT(tbl_IO_List[[#This Row],[Slot]],"00")</f>
        <v>C8S05</v>
      </c>
      <c r="Y1184" s="136" t="str">
        <f>tbl_IO_List[[#This Row],[Chassis]]&amp;"S"&amp;TEXT(tbl_IO_List[[#This Row],[Slot]],"00")&amp;tbl_IO_List[[#This Row],[I/O Type]]&amp;TEXT(tbl_IO_List[[#This Row],[Point]],"00")</f>
        <v>C8S05AI07</v>
      </c>
      <c r="Z1184" s="136" t="str">
        <f>tbl_IO_List[[#This Row],[Chassis]]&amp;"S"&amp;TEXT(tbl_IO_List[[#This Row],[Slot]],"00")&amp;","&amp;TEXT(tbl_IO_List[[#This Row],[Point]],"00")</f>
        <v>C8S05,07</v>
      </c>
      <c r="AA1184" s="136" t="e">
        <f>VLOOKUP(tbl_IO_List[[#This Row],[Column23]],tbl_RackConfig[],5,FALSE) &amp;"-"&amp;tbl_IO_List[[#This Row],[Point]]</f>
        <v>#N/A</v>
      </c>
      <c r="AB1184" s="136"/>
      <c r="AC1184" s="136"/>
      <c r="AD1184" s="136" t="str">
        <f>tbl_IO_List[[#This Row],[I/O Type]]</f>
        <v>AI</v>
      </c>
      <c r="AE1184" s="136" t="s">
        <v>1843</v>
      </c>
      <c r="AF1184" s="136">
        <v>5</v>
      </c>
      <c r="AG1184" s="136">
        <v>7</v>
      </c>
      <c r="AH1184" s="136"/>
      <c r="AI1184" s="136"/>
      <c r="AJ1184" s="136">
        <v>0</v>
      </c>
      <c r="AK1184" s="136">
        <v>0</v>
      </c>
      <c r="AL1184" s="136">
        <v>1</v>
      </c>
      <c r="AM1184" s="136">
        <v>0</v>
      </c>
      <c r="AN1184" s="136">
        <v>0</v>
      </c>
      <c r="AO1184" s="136"/>
      <c r="AP1184" s="143" t="e">
        <f>VLOOKUP(tbl_IO_List[[#This Row],[Instruement Tag]],tbl_Instruement_List[],14,FALSE)</f>
        <v>#N/A</v>
      </c>
      <c r="AQ1184" s="143" t="str">
        <f>tbl_IO_List[[#This Row],[Chassis]]&amp;"S"&amp;tbl_IO_List[[#This Row],[Slot]]&amp;"-"&amp;tbl_IO_List[[#This Row],[Front Terminal Number]]</f>
        <v>C8S5-</v>
      </c>
      <c r="AR1184" s="143"/>
      <c r="AS1184" s="136" t="str">
        <f>tbl_IO_List[[#This Row],[Terminal Tagging]]&amp;"-"&amp;tbl_IO_List[[#This Row],[Point-Count]]</f>
        <v>-</v>
      </c>
      <c r="AT1184" s="136" t="str">
        <f>tbl_IO_List[[#This Row],[Front Terminal Tagging]]&amp;"/"&amp;tbl_IO_List[[#This Row],[Terminal Tagging-Item]]</f>
        <v>C8S5-/-</v>
      </c>
      <c r="AU1184" s="136" t="str">
        <f>tbl_IO_List[[#This Row],[Terminal Tagging-Item]]&amp;"/"&amp;tbl_IO_List[[#This Row],[Front Terminal Tagging]]</f>
        <v>-/C8S5-</v>
      </c>
    </row>
    <row r="1185" spans="1:47" hidden="1">
      <c r="A1185" s="147" t="s">
        <v>1365</v>
      </c>
      <c r="B1185" s="136" t="s">
        <v>13</v>
      </c>
      <c r="C1185" s="136" t="str">
        <f>tbl_IO_List[[#This Row],[Column3]]</f>
        <v>C8S05,08</v>
      </c>
      <c r="D1185" s="136" t="e">
        <f>tbl_IO_List[[#This Row],[Card]]</f>
        <v>#N/A</v>
      </c>
      <c r="E1185" s="136" t="s">
        <v>1366</v>
      </c>
      <c r="F1185" s="136" t="str">
        <f>tbl_IO_List[[#This Row],[Column23]]&amp;"-" &amp;tbl_IO_List[[#This Row],[Column52]]</f>
        <v>C8S05-X1</v>
      </c>
      <c r="G1185" s="136" t="str">
        <f>tbl_IO_List[[#This Row],[PLC_Tag]]</f>
        <v>Spare_AI_0</v>
      </c>
      <c r="H1185" s="136"/>
      <c r="I1185" s="136" t="str">
        <f>VLOOKUP(tbl_IO_List[[#This Row],[Destination]],tbl_Junction[],2,FALSE)</f>
        <v>Spray Dryer 3rd Floor</v>
      </c>
      <c r="J1185" s="136"/>
      <c r="K1185" s="136"/>
      <c r="L1185" s="136" t="s">
        <v>411</v>
      </c>
      <c r="M1185" s="136" t="e">
        <f>VLOOKUP(tbl_IO_List[[#This Row],[Instruement Tag]],tbl_Instruement_List[],2,FALSE)</f>
        <v>#N/A</v>
      </c>
      <c r="N1185" s="136"/>
      <c r="O1185" s="136"/>
      <c r="P1185" s="136"/>
      <c r="Q1185" s="136" t="e">
        <f>VLOOKUP(tbl_IO_List[[#This Row],[Instruement Tag]],tbl_Instruement_List[],6,FALSE)</f>
        <v>#N/A</v>
      </c>
      <c r="R1185" s="136"/>
      <c r="S118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1185" s="136" t="str">
        <f>tbl_IO_List[[#This Row],[Instruement Tag]]&amp;"_"&amp;tbl_IO_List[[#This Row],[I/O Type]]&amp;"_"&amp;tbl_IO_List[[#This Row],[IO-Point 
(Instruement)]]</f>
        <v>Spare_AI_0</v>
      </c>
      <c r="U1185" s="136" t="s">
        <v>10</v>
      </c>
      <c r="V1185" s="136">
        <f>VLOOKUP(tbl_IO_List[[#This Row],[I/O Type]],tbl_Slot_Group[],2,FALSE)</f>
        <v>3</v>
      </c>
      <c r="W1185" s="136">
        <v>0</v>
      </c>
      <c r="X1185" s="136" t="str">
        <f>tbl_IO_List[[#This Row],[Chassis]]&amp;"S"&amp;TEXT(tbl_IO_List[[#This Row],[Slot]],"00")</f>
        <v>C8S05</v>
      </c>
      <c r="Y1185" s="136" t="str">
        <f>tbl_IO_List[[#This Row],[Chassis]]&amp;"S"&amp;TEXT(tbl_IO_List[[#This Row],[Slot]],"00")&amp;tbl_IO_List[[#This Row],[I/O Type]]&amp;TEXT(tbl_IO_List[[#This Row],[Point]],"00")</f>
        <v>C8S05AI08</v>
      </c>
      <c r="Z1185" s="136" t="str">
        <f>tbl_IO_List[[#This Row],[Chassis]]&amp;"S"&amp;TEXT(tbl_IO_List[[#This Row],[Slot]],"00")&amp;","&amp;TEXT(tbl_IO_List[[#This Row],[Point]],"00")</f>
        <v>C8S05,08</v>
      </c>
      <c r="AA1185" s="136" t="e">
        <f>VLOOKUP(tbl_IO_List[[#This Row],[Column23]],tbl_RackConfig[],5,FALSE) &amp;"-"&amp;tbl_IO_List[[#This Row],[Point]]</f>
        <v>#N/A</v>
      </c>
      <c r="AB1185" s="136"/>
      <c r="AC1185" s="136"/>
      <c r="AD1185" s="136" t="str">
        <f>tbl_IO_List[[#This Row],[I/O Type]]</f>
        <v>AI</v>
      </c>
      <c r="AE1185" s="136" t="s">
        <v>1843</v>
      </c>
      <c r="AF1185" s="136">
        <v>5</v>
      </c>
      <c r="AG1185" s="136">
        <v>8</v>
      </c>
      <c r="AH1185" s="136"/>
      <c r="AI1185" s="136"/>
      <c r="AJ1185" s="136">
        <v>0</v>
      </c>
      <c r="AK1185" s="136">
        <v>0</v>
      </c>
      <c r="AL1185" s="136">
        <v>1</v>
      </c>
      <c r="AM1185" s="136">
        <v>0</v>
      </c>
      <c r="AN1185" s="136">
        <v>0</v>
      </c>
      <c r="AO1185" s="136"/>
      <c r="AP1185" s="143" t="e">
        <f>VLOOKUP(tbl_IO_List[[#This Row],[Instruement Tag]],tbl_Instruement_List[],14,FALSE)</f>
        <v>#N/A</v>
      </c>
      <c r="AQ1185" s="143" t="str">
        <f>tbl_IO_List[[#This Row],[Chassis]]&amp;"S"&amp;tbl_IO_List[[#This Row],[Slot]]&amp;"-"&amp;tbl_IO_List[[#This Row],[Front Terminal Number]]</f>
        <v>C8S5-</v>
      </c>
      <c r="AR1185" s="143"/>
      <c r="AS1185" s="136" t="str">
        <f>tbl_IO_List[[#This Row],[Terminal Tagging]]&amp;"-"&amp;tbl_IO_List[[#This Row],[Point-Count]]</f>
        <v>-</v>
      </c>
      <c r="AT1185" s="136" t="str">
        <f>tbl_IO_List[[#This Row],[Front Terminal Tagging]]&amp;"/"&amp;tbl_IO_List[[#This Row],[Terminal Tagging-Item]]</f>
        <v>C8S5-/-</v>
      </c>
      <c r="AU1185" s="136" t="str">
        <f>tbl_IO_List[[#This Row],[Terminal Tagging-Item]]&amp;"/"&amp;tbl_IO_List[[#This Row],[Front Terminal Tagging]]</f>
        <v>-/C8S5-</v>
      </c>
    </row>
    <row r="1186" spans="1:47" hidden="1">
      <c r="A1186" s="147" t="s">
        <v>1365</v>
      </c>
      <c r="B1186" s="136" t="s">
        <v>13</v>
      </c>
      <c r="C1186" s="136" t="str">
        <f>tbl_IO_List[[#This Row],[Column3]]</f>
        <v>C8S05,09</v>
      </c>
      <c r="D1186" s="136" t="e">
        <f>tbl_IO_List[[#This Row],[Card]]</f>
        <v>#N/A</v>
      </c>
      <c r="E1186" s="136" t="s">
        <v>1366</v>
      </c>
      <c r="F1186" s="136" t="str">
        <f>tbl_IO_List[[#This Row],[Column23]]&amp;"-" &amp;tbl_IO_List[[#This Row],[Column52]]</f>
        <v>C8S05-X1</v>
      </c>
      <c r="G1186" s="136" t="str">
        <f>tbl_IO_List[[#This Row],[PLC_Tag]]</f>
        <v>Spare_AI_0</v>
      </c>
      <c r="H1186" s="136"/>
      <c r="I1186" s="136" t="str">
        <f>VLOOKUP(tbl_IO_List[[#This Row],[Destination]],tbl_Junction[],2,FALSE)</f>
        <v>Spray Dryer 3rd Floor</v>
      </c>
      <c r="J1186" s="136"/>
      <c r="K1186" s="136"/>
      <c r="L1186" s="136" t="s">
        <v>411</v>
      </c>
      <c r="M1186" s="136" t="e">
        <f>VLOOKUP(tbl_IO_List[[#This Row],[Instruement Tag]],tbl_Instruement_List[],2,FALSE)</f>
        <v>#N/A</v>
      </c>
      <c r="N1186" s="136"/>
      <c r="O1186" s="136"/>
      <c r="P1186" s="136"/>
      <c r="Q1186" s="136" t="e">
        <f>VLOOKUP(tbl_IO_List[[#This Row],[Instruement Tag]],tbl_Instruement_List[],6,FALSE)</f>
        <v>#N/A</v>
      </c>
      <c r="R1186" s="136"/>
      <c r="S118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1186" s="136" t="str">
        <f>tbl_IO_List[[#This Row],[Instruement Tag]]&amp;"_"&amp;tbl_IO_List[[#This Row],[I/O Type]]&amp;"_"&amp;tbl_IO_List[[#This Row],[IO-Point 
(Instruement)]]</f>
        <v>Spare_AI_0</v>
      </c>
      <c r="U1186" s="136" t="s">
        <v>10</v>
      </c>
      <c r="V1186" s="136">
        <f>VLOOKUP(tbl_IO_List[[#This Row],[I/O Type]],tbl_Slot_Group[],2,FALSE)</f>
        <v>3</v>
      </c>
      <c r="W1186" s="136">
        <v>0</v>
      </c>
      <c r="X1186" s="136" t="str">
        <f>tbl_IO_List[[#This Row],[Chassis]]&amp;"S"&amp;TEXT(tbl_IO_List[[#This Row],[Slot]],"00")</f>
        <v>C8S05</v>
      </c>
      <c r="Y1186" s="136" t="str">
        <f>tbl_IO_List[[#This Row],[Chassis]]&amp;"S"&amp;TEXT(tbl_IO_List[[#This Row],[Slot]],"00")&amp;tbl_IO_List[[#This Row],[I/O Type]]&amp;TEXT(tbl_IO_List[[#This Row],[Point]],"00")</f>
        <v>C8S05AI09</v>
      </c>
      <c r="Z1186" s="136" t="str">
        <f>tbl_IO_List[[#This Row],[Chassis]]&amp;"S"&amp;TEXT(tbl_IO_List[[#This Row],[Slot]],"00")&amp;","&amp;TEXT(tbl_IO_List[[#This Row],[Point]],"00")</f>
        <v>C8S05,09</v>
      </c>
      <c r="AA1186" s="136" t="e">
        <f>VLOOKUP(tbl_IO_List[[#This Row],[Column23]],tbl_RackConfig[],5,FALSE) &amp;"-"&amp;tbl_IO_List[[#This Row],[Point]]</f>
        <v>#N/A</v>
      </c>
      <c r="AB1186" s="136"/>
      <c r="AC1186" s="136"/>
      <c r="AD1186" s="136" t="str">
        <f>tbl_IO_List[[#This Row],[I/O Type]]</f>
        <v>AI</v>
      </c>
      <c r="AE1186" s="136" t="s">
        <v>1843</v>
      </c>
      <c r="AF1186" s="136">
        <v>5</v>
      </c>
      <c r="AG1186" s="136">
        <v>9</v>
      </c>
      <c r="AH1186" s="136"/>
      <c r="AI1186" s="136"/>
      <c r="AJ1186" s="136">
        <v>0</v>
      </c>
      <c r="AK1186" s="136">
        <v>0</v>
      </c>
      <c r="AL1186" s="136">
        <v>1</v>
      </c>
      <c r="AM1186" s="136">
        <v>0</v>
      </c>
      <c r="AN1186" s="136">
        <v>0</v>
      </c>
      <c r="AO1186" s="136"/>
      <c r="AP1186" s="143" t="e">
        <f>VLOOKUP(tbl_IO_List[[#This Row],[Instruement Tag]],tbl_Instruement_List[],14,FALSE)</f>
        <v>#N/A</v>
      </c>
      <c r="AQ1186" s="143" t="str">
        <f>tbl_IO_List[[#This Row],[Chassis]]&amp;"S"&amp;tbl_IO_List[[#This Row],[Slot]]&amp;"-"&amp;tbl_IO_List[[#This Row],[Front Terminal Number]]</f>
        <v>C8S5-</v>
      </c>
      <c r="AR1186" s="143"/>
      <c r="AS1186" s="136" t="str">
        <f>tbl_IO_List[[#This Row],[Terminal Tagging]]&amp;"-"&amp;tbl_IO_List[[#This Row],[Point-Count]]</f>
        <v>-</v>
      </c>
      <c r="AT1186" s="136" t="str">
        <f>tbl_IO_List[[#This Row],[Front Terminal Tagging]]&amp;"/"&amp;tbl_IO_List[[#This Row],[Terminal Tagging-Item]]</f>
        <v>C8S5-/-</v>
      </c>
      <c r="AU1186" s="136" t="str">
        <f>tbl_IO_List[[#This Row],[Terminal Tagging-Item]]&amp;"/"&amp;tbl_IO_List[[#This Row],[Front Terminal Tagging]]</f>
        <v>-/C8S5-</v>
      </c>
    </row>
    <row r="1187" spans="1:47" hidden="1">
      <c r="A1187" s="147" t="s">
        <v>1365</v>
      </c>
      <c r="B1187" s="136" t="s">
        <v>13</v>
      </c>
      <c r="C1187" s="136" t="str">
        <f>tbl_IO_List[[#This Row],[Column3]]</f>
        <v>C8S05,10</v>
      </c>
      <c r="D1187" s="136" t="e">
        <f>tbl_IO_List[[#This Row],[Card]]</f>
        <v>#N/A</v>
      </c>
      <c r="E1187" s="136" t="s">
        <v>1366</v>
      </c>
      <c r="F1187" s="136" t="str">
        <f>tbl_IO_List[[#This Row],[Column23]]&amp;"-" &amp;tbl_IO_List[[#This Row],[Column52]]</f>
        <v>C8S05-X1</v>
      </c>
      <c r="G1187" s="136" t="str">
        <f>tbl_IO_List[[#This Row],[PLC_Tag]]</f>
        <v>Spare_AI_0</v>
      </c>
      <c r="H1187" s="136"/>
      <c r="I1187" s="136" t="str">
        <f>VLOOKUP(tbl_IO_List[[#This Row],[Destination]],tbl_Junction[],2,FALSE)</f>
        <v>Spray Dryer 3rd Floor</v>
      </c>
      <c r="J1187" s="136"/>
      <c r="K1187" s="136"/>
      <c r="L1187" s="136" t="s">
        <v>411</v>
      </c>
      <c r="M1187" s="136" t="e">
        <f>VLOOKUP(tbl_IO_List[[#This Row],[Instruement Tag]],tbl_Instruement_List[],2,FALSE)</f>
        <v>#N/A</v>
      </c>
      <c r="N1187" s="136"/>
      <c r="O1187" s="136"/>
      <c r="P1187" s="136"/>
      <c r="Q1187" s="136" t="e">
        <f>VLOOKUP(tbl_IO_List[[#This Row],[Instruement Tag]],tbl_Instruement_List[],6,FALSE)</f>
        <v>#N/A</v>
      </c>
      <c r="R1187" s="136"/>
      <c r="S118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1187" s="136" t="str">
        <f>tbl_IO_List[[#This Row],[Instruement Tag]]&amp;"_"&amp;tbl_IO_List[[#This Row],[I/O Type]]&amp;"_"&amp;tbl_IO_List[[#This Row],[IO-Point 
(Instruement)]]</f>
        <v>Spare_AI_0</v>
      </c>
      <c r="U1187" s="136" t="s">
        <v>10</v>
      </c>
      <c r="V1187" s="136">
        <f>VLOOKUP(tbl_IO_List[[#This Row],[I/O Type]],tbl_Slot_Group[],2,FALSE)</f>
        <v>3</v>
      </c>
      <c r="W1187" s="136">
        <v>0</v>
      </c>
      <c r="X1187" s="136" t="str">
        <f>tbl_IO_List[[#This Row],[Chassis]]&amp;"S"&amp;TEXT(tbl_IO_List[[#This Row],[Slot]],"00")</f>
        <v>C8S05</v>
      </c>
      <c r="Y1187" s="136" t="str">
        <f>tbl_IO_List[[#This Row],[Chassis]]&amp;"S"&amp;TEXT(tbl_IO_List[[#This Row],[Slot]],"00")&amp;tbl_IO_List[[#This Row],[I/O Type]]&amp;TEXT(tbl_IO_List[[#This Row],[Point]],"00")</f>
        <v>C8S05AI10</v>
      </c>
      <c r="Z1187" s="136" t="str">
        <f>tbl_IO_List[[#This Row],[Chassis]]&amp;"S"&amp;TEXT(tbl_IO_List[[#This Row],[Slot]],"00")&amp;","&amp;TEXT(tbl_IO_List[[#This Row],[Point]],"00")</f>
        <v>C8S05,10</v>
      </c>
      <c r="AA1187" s="136" t="e">
        <f>VLOOKUP(tbl_IO_List[[#This Row],[Column23]],tbl_RackConfig[],5,FALSE) &amp;"-"&amp;tbl_IO_List[[#This Row],[Point]]</f>
        <v>#N/A</v>
      </c>
      <c r="AB1187" s="136"/>
      <c r="AC1187" s="136"/>
      <c r="AD1187" s="136" t="str">
        <f>tbl_IO_List[[#This Row],[I/O Type]]</f>
        <v>AI</v>
      </c>
      <c r="AE1187" s="136" t="s">
        <v>1843</v>
      </c>
      <c r="AF1187" s="136">
        <v>5</v>
      </c>
      <c r="AG1187" s="136">
        <v>10</v>
      </c>
      <c r="AH1187" s="136"/>
      <c r="AI1187" s="136"/>
      <c r="AJ1187" s="136">
        <v>0</v>
      </c>
      <c r="AK1187" s="136">
        <v>0</v>
      </c>
      <c r="AL1187" s="136">
        <v>1</v>
      </c>
      <c r="AM1187" s="136">
        <v>0</v>
      </c>
      <c r="AN1187" s="136">
        <v>0</v>
      </c>
      <c r="AO1187" s="136"/>
      <c r="AP1187" s="143" t="e">
        <f>VLOOKUP(tbl_IO_List[[#This Row],[Instruement Tag]],tbl_Instruement_List[],14,FALSE)</f>
        <v>#N/A</v>
      </c>
      <c r="AQ1187" s="143" t="str">
        <f>tbl_IO_List[[#This Row],[Chassis]]&amp;"S"&amp;tbl_IO_List[[#This Row],[Slot]]&amp;"-"&amp;tbl_IO_List[[#This Row],[Front Terminal Number]]</f>
        <v>C8S5-</v>
      </c>
      <c r="AR1187" s="143"/>
      <c r="AS1187" s="136" t="str">
        <f>tbl_IO_List[[#This Row],[Terminal Tagging]]&amp;"-"&amp;tbl_IO_List[[#This Row],[Point-Count]]</f>
        <v>-</v>
      </c>
      <c r="AT1187" s="136" t="str">
        <f>tbl_IO_List[[#This Row],[Front Terminal Tagging]]&amp;"/"&amp;tbl_IO_List[[#This Row],[Terminal Tagging-Item]]</f>
        <v>C8S5-/-</v>
      </c>
      <c r="AU1187" s="136" t="str">
        <f>tbl_IO_List[[#This Row],[Terminal Tagging-Item]]&amp;"/"&amp;tbl_IO_List[[#This Row],[Front Terminal Tagging]]</f>
        <v>-/C8S5-</v>
      </c>
    </row>
    <row r="1188" spans="1:47" hidden="1">
      <c r="A1188" s="147" t="s">
        <v>1365</v>
      </c>
      <c r="B1188" s="136" t="s">
        <v>13</v>
      </c>
      <c r="C1188" s="136" t="str">
        <f>tbl_IO_List[[#This Row],[Column3]]</f>
        <v>C8S05,11</v>
      </c>
      <c r="D1188" s="136" t="e">
        <f>tbl_IO_List[[#This Row],[Card]]</f>
        <v>#N/A</v>
      </c>
      <c r="E1188" s="136" t="s">
        <v>1366</v>
      </c>
      <c r="F1188" s="136" t="str">
        <f>tbl_IO_List[[#This Row],[Column23]]&amp;"-" &amp;tbl_IO_List[[#This Row],[Column52]]</f>
        <v>C8S05-X1</v>
      </c>
      <c r="G1188" s="136" t="str">
        <f>tbl_IO_List[[#This Row],[PLC_Tag]]</f>
        <v>Spare_AI_0</v>
      </c>
      <c r="H1188" s="136"/>
      <c r="I1188" s="136" t="str">
        <f>VLOOKUP(tbl_IO_List[[#This Row],[Destination]],tbl_Junction[],2,FALSE)</f>
        <v>Spray Dryer 3rd Floor</v>
      </c>
      <c r="J1188" s="136"/>
      <c r="K1188" s="136"/>
      <c r="L1188" s="136" t="s">
        <v>411</v>
      </c>
      <c r="M1188" s="136" t="e">
        <f>VLOOKUP(tbl_IO_List[[#This Row],[Instruement Tag]],tbl_Instruement_List[],2,FALSE)</f>
        <v>#N/A</v>
      </c>
      <c r="N1188" s="136"/>
      <c r="O1188" s="136"/>
      <c r="P1188" s="136"/>
      <c r="Q1188" s="136" t="e">
        <f>VLOOKUP(tbl_IO_List[[#This Row],[Instruement Tag]],tbl_Instruement_List[],6,FALSE)</f>
        <v>#N/A</v>
      </c>
      <c r="R1188" s="136"/>
      <c r="S118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1188" s="136" t="str">
        <f>tbl_IO_List[[#This Row],[Instruement Tag]]&amp;"_"&amp;tbl_IO_List[[#This Row],[I/O Type]]&amp;"_"&amp;tbl_IO_List[[#This Row],[IO-Point 
(Instruement)]]</f>
        <v>Spare_AI_0</v>
      </c>
      <c r="U1188" s="136" t="s">
        <v>10</v>
      </c>
      <c r="V1188" s="136">
        <f>VLOOKUP(tbl_IO_List[[#This Row],[I/O Type]],tbl_Slot_Group[],2,FALSE)</f>
        <v>3</v>
      </c>
      <c r="W1188" s="136">
        <v>0</v>
      </c>
      <c r="X1188" s="136" t="str">
        <f>tbl_IO_List[[#This Row],[Chassis]]&amp;"S"&amp;TEXT(tbl_IO_List[[#This Row],[Slot]],"00")</f>
        <v>C8S05</v>
      </c>
      <c r="Y1188" s="136" t="str">
        <f>tbl_IO_List[[#This Row],[Chassis]]&amp;"S"&amp;TEXT(tbl_IO_List[[#This Row],[Slot]],"00")&amp;tbl_IO_List[[#This Row],[I/O Type]]&amp;TEXT(tbl_IO_List[[#This Row],[Point]],"00")</f>
        <v>C8S05AI11</v>
      </c>
      <c r="Z1188" s="136" t="str">
        <f>tbl_IO_List[[#This Row],[Chassis]]&amp;"S"&amp;TEXT(tbl_IO_List[[#This Row],[Slot]],"00")&amp;","&amp;TEXT(tbl_IO_List[[#This Row],[Point]],"00")</f>
        <v>C8S05,11</v>
      </c>
      <c r="AA1188" s="136" t="e">
        <f>VLOOKUP(tbl_IO_List[[#This Row],[Column23]],tbl_RackConfig[],5,FALSE) &amp;"-"&amp;tbl_IO_List[[#This Row],[Point]]</f>
        <v>#N/A</v>
      </c>
      <c r="AB1188" s="136"/>
      <c r="AC1188" s="136"/>
      <c r="AD1188" s="136" t="str">
        <f>tbl_IO_List[[#This Row],[I/O Type]]</f>
        <v>AI</v>
      </c>
      <c r="AE1188" s="136" t="s">
        <v>1843</v>
      </c>
      <c r="AF1188" s="136">
        <v>5</v>
      </c>
      <c r="AG1188" s="136">
        <v>11</v>
      </c>
      <c r="AH1188" s="136"/>
      <c r="AI1188" s="136"/>
      <c r="AJ1188" s="136">
        <v>0</v>
      </c>
      <c r="AK1188" s="136">
        <v>0</v>
      </c>
      <c r="AL1188" s="136">
        <v>1</v>
      </c>
      <c r="AM1188" s="136">
        <v>0</v>
      </c>
      <c r="AN1188" s="136">
        <v>0</v>
      </c>
      <c r="AO1188" s="136"/>
      <c r="AP1188" s="143" t="e">
        <f>VLOOKUP(tbl_IO_List[[#This Row],[Instruement Tag]],tbl_Instruement_List[],14,FALSE)</f>
        <v>#N/A</v>
      </c>
      <c r="AQ1188" s="143" t="str">
        <f>tbl_IO_List[[#This Row],[Chassis]]&amp;"S"&amp;tbl_IO_List[[#This Row],[Slot]]&amp;"-"&amp;tbl_IO_List[[#This Row],[Front Terminal Number]]</f>
        <v>C8S5-</v>
      </c>
      <c r="AR1188" s="143"/>
      <c r="AS1188" s="136" t="str">
        <f>tbl_IO_List[[#This Row],[Terminal Tagging]]&amp;"-"&amp;tbl_IO_List[[#This Row],[Point-Count]]</f>
        <v>-</v>
      </c>
      <c r="AT1188" s="136" t="str">
        <f>tbl_IO_List[[#This Row],[Front Terminal Tagging]]&amp;"/"&amp;tbl_IO_List[[#This Row],[Terminal Tagging-Item]]</f>
        <v>C8S5-/-</v>
      </c>
      <c r="AU1188" s="136" t="str">
        <f>tbl_IO_List[[#This Row],[Terminal Tagging-Item]]&amp;"/"&amp;tbl_IO_List[[#This Row],[Front Terminal Tagging]]</f>
        <v>-/C8S5-</v>
      </c>
    </row>
    <row r="1189" spans="1:47" hidden="1">
      <c r="A1189" s="147" t="s">
        <v>1365</v>
      </c>
      <c r="B1189" s="136" t="s">
        <v>13</v>
      </c>
      <c r="C1189" s="136" t="str">
        <f>tbl_IO_List[[#This Row],[Column3]]</f>
        <v>C8S05,12</v>
      </c>
      <c r="D1189" s="136" t="e">
        <f>tbl_IO_List[[#This Row],[Card]]</f>
        <v>#N/A</v>
      </c>
      <c r="E1189" s="136" t="s">
        <v>1366</v>
      </c>
      <c r="F1189" s="136" t="str">
        <f>tbl_IO_List[[#This Row],[Column23]]&amp;"-" &amp;tbl_IO_List[[#This Row],[Column52]]</f>
        <v>C8S05-X1</v>
      </c>
      <c r="G1189" s="136" t="str">
        <f>tbl_IO_List[[#This Row],[PLC_Tag]]</f>
        <v>Spare_AI_0</v>
      </c>
      <c r="H1189" s="136"/>
      <c r="I1189" s="136" t="str">
        <f>VLOOKUP(tbl_IO_List[[#This Row],[Destination]],tbl_Junction[],2,FALSE)</f>
        <v>Spray Dryer 3rd Floor</v>
      </c>
      <c r="J1189" s="136"/>
      <c r="K1189" s="136"/>
      <c r="L1189" s="136" t="s">
        <v>411</v>
      </c>
      <c r="M1189" s="142" t="e">
        <f>VLOOKUP(tbl_IO_List[[#This Row],[Instruement Tag]],tbl_Instruement_List[],2,FALSE)</f>
        <v>#N/A</v>
      </c>
      <c r="N1189" s="136"/>
      <c r="O1189" s="136"/>
      <c r="P1189" s="136"/>
      <c r="Q1189" s="142" t="e">
        <f>VLOOKUP(tbl_IO_List[[#This Row],[Instruement Tag]],tbl_Instruement_List[],6,FALSE)</f>
        <v>#N/A</v>
      </c>
      <c r="R1189" s="136"/>
      <c r="S1189" s="142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1189" s="136" t="str">
        <f>tbl_IO_List[[#This Row],[Instruement Tag]]&amp;"_"&amp;tbl_IO_List[[#This Row],[I/O Type]]&amp;"_"&amp;tbl_IO_List[[#This Row],[IO-Point 
(Instruement)]]</f>
        <v>Spare_AI_0</v>
      </c>
      <c r="U1189" s="136" t="s">
        <v>10</v>
      </c>
      <c r="V1189" s="136">
        <f>VLOOKUP(tbl_IO_List[[#This Row],[I/O Type]],tbl_Slot_Group[],2,FALSE)</f>
        <v>3</v>
      </c>
      <c r="W1189" s="136">
        <v>0</v>
      </c>
      <c r="X1189" s="142" t="str">
        <f>tbl_IO_List[[#This Row],[Chassis]]&amp;"S"&amp;TEXT(tbl_IO_List[[#This Row],[Slot]],"00")</f>
        <v>C8S05</v>
      </c>
      <c r="Y1189" s="136" t="str">
        <f>tbl_IO_List[[#This Row],[Chassis]]&amp;"S"&amp;TEXT(tbl_IO_List[[#This Row],[Slot]],"00")&amp;tbl_IO_List[[#This Row],[I/O Type]]&amp;TEXT(tbl_IO_List[[#This Row],[Point]],"00")</f>
        <v>C8S05AI12</v>
      </c>
      <c r="Z1189" s="142" t="str">
        <f>tbl_IO_List[[#This Row],[Chassis]]&amp;"S"&amp;TEXT(tbl_IO_List[[#This Row],[Slot]],"00")&amp;","&amp;TEXT(tbl_IO_List[[#This Row],[Point]],"00")</f>
        <v>C8S05,12</v>
      </c>
      <c r="AA1189" s="142" t="e">
        <f>VLOOKUP(tbl_IO_List[[#This Row],[Column23]],tbl_RackConfig[],5,FALSE) &amp;"-"&amp;tbl_IO_List[[#This Row],[Point]]</f>
        <v>#N/A</v>
      </c>
      <c r="AC1189" s="136"/>
      <c r="AD1189" s="142" t="str">
        <f>tbl_IO_List[[#This Row],[I/O Type]]</f>
        <v>AI</v>
      </c>
      <c r="AE1189" s="136" t="s">
        <v>1843</v>
      </c>
      <c r="AF1189" s="136">
        <v>5</v>
      </c>
      <c r="AG1189" s="136">
        <v>12</v>
      </c>
      <c r="AH1189" s="136"/>
      <c r="AI1189" s="136"/>
      <c r="AJ1189" s="136">
        <v>0</v>
      </c>
      <c r="AK1189" s="136">
        <v>0</v>
      </c>
      <c r="AL1189" s="136">
        <v>1</v>
      </c>
      <c r="AM1189" s="136">
        <v>0</v>
      </c>
      <c r="AN1189" s="136">
        <v>0</v>
      </c>
      <c r="AO1189" s="136"/>
      <c r="AP1189" s="143" t="e">
        <f>VLOOKUP(tbl_IO_List[[#This Row],[Instruement Tag]],tbl_Instruement_List[],14,FALSE)</f>
        <v>#N/A</v>
      </c>
      <c r="AQ1189" s="143" t="str">
        <f>tbl_IO_List[[#This Row],[Chassis]]&amp;"S"&amp;tbl_IO_List[[#This Row],[Slot]]&amp;"-"&amp;tbl_IO_List[[#This Row],[Front Terminal Number]]</f>
        <v>C8S5-</v>
      </c>
      <c r="AR1189" s="143"/>
      <c r="AS1189" s="136" t="str">
        <f>tbl_IO_List[[#This Row],[Terminal Tagging]]&amp;"-"&amp;tbl_IO_List[[#This Row],[Point-Count]]</f>
        <v>-</v>
      </c>
      <c r="AT1189" s="136" t="str">
        <f>tbl_IO_List[[#This Row],[Front Terminal Tagging]]&amp;"/"&amp;tbl_IO_List[[#This Row],[Terminal Tagging-Item]]</f>
        <v>C8S5-/-</v>
      </c>
      <c r="AU1189" s="136" t="str">
        <f>tbl_IO_List[[#This Row],[Terminal Tagging-Item]]&amp;"/"&amp;tbl_IO_List[[#This Row],[Front Terminal Tagging]]</f>
        <v>-/C8S5-</v>
      </c>
    </row>
    <row r="1190" spans="1:47" hidden="1">
      <c r="A1190" s="147" t="s">
        <v>1365</v>
      </c>
      <c r="B1190" s="136" t="s">
        <v>13</v>
      </c>
      <c r="C1190" s="136" t="str">
        <f>tbl_IO_List[[#This Row],[Column3]]</f>
        <v>C8S05,13</v>
      </c>
      <c r="D1190" s="136" t="e">
        <f>tbl_IO_List[[#This Row],[Card]]</f>
        <v>#N/A</v>
      </c>
      <c r="E1190" s="136" t="s">
        <v>1366</v>
      </c>
      <c r="F1190" s="136" t="str">
        <f>tbl_IO_List[[#This Row],[Column23]]&amp;"-" &amp;tbl_IO_List[[#This Row],[Column52]]</f>
        <v>C8S05-X1</v>
      </c>
      <c r="G1190" s="136" t="str">
        <f>tbl_IO_List[[#This Row],[PLC_Tag]]</f>
        <v>Spare_AI_0</v>
      </c>
      <c r="H1190" s="136"/>
      <c r="I1190" s="136" t="str">
        <f>VLOOKUP(tbl_IO_List[[#This Row],[Destination]],tbl_Junction[],2,FALSE)</f>
        <v>Spray Dryer 3rd Floor</v>
      </c>
      <c r="J1190" s="136"/>
      <c r="K1190" s="136"/>
      <c r="L1190" s="136" t="s">
        <v>411</v>
      </c>
      <c r="M1190" s="142" t="e">
        <f>VLOOKUP(tbl_IO_List[[#This Row],[Instruement Tag]],tbl_Instruement_List[],2,FALSE)</f>
        <v>#N/A</v>
      </c>
      <c r="N1190" s="136"/>
      <c r="O1190" s="136"/>
      <c r="P1190" s="136"/>
      <c r="Q1190" s="142" t="e">
        <f>VLOOKUP(tbl_IO_List[[#This Row],[Instruement Tag]],tbl_Instruement_List[],6,FALSE)</f>
        <v>#N/A</v>
      </c>
      <c r="R1190" s="136"/>
      <c r="S1190" s="142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1190" s="136" t="str">
        <f>tbl_IO_List[[#This Row],[Instruement Tag]]&amp;"_"&amp;tbl_IO_List[[#This Row],[I/O Type]]&amp;"_"&amp;tbl_IO_List[[#This Row],[IO-Point 
(Instruement)]]</f>
        <v>Spare_AI_0</v>
      </c>
      <c r="U1190" s="136" t="s">
        <v>10</v>
      </c>
      <c r="V1190" s="136">
        <f>VLOOKUP(tbl_IO_List[[#This Row],[I/O Type]],tbl_Slot_Group[],2,FALSE)</f>
        <v>3</v>
      </c>
      <c r="W1190" s="136">
        <v>0</v>
      </c>
      <c r="X1190" s="142" t="str">
        <f>tbl_IO_List[[#This Row],[Chassis]]&amp;"S"&amp;TEXT(tbl_IO_List[[#This Row],[Slot]],"00")</f>
        <v>C8S05</v>
      </c>
      <c r="Y1190" s="136" t="str">
        <f>tbl_IO_List[[#This Row],[Chassis]]&amp;"S"&amp;TEXT(tbl_IO_List[[#This Row],[Slot]],"00")&amp;tbl_IO_List[[#This Row],[I/O Type]]&amp;TEXT(tbl_IO_List[[#This Row],[Point]],"00")</f>
        <v>C8S05AI13</v>
      </c>
      <c r="Z1190" s="142" t="str">
        <f>tbl_IO_List[[#This Row],[Chassis]]&amp;"S"&amp;TEXT(tbl_IO_List[[#This Row],[Slot]],"00")&amp;","&amp;TEXT(tbl_IO_List[[#This Row],[Point]],"00")</f>
        <v>C8S05,13</v>
      </c>
      <c r="AA1190" s="142" t="e">
        <f>VLOOKUP(tbl_IO_List[[#This Row],[Column23]],tbl_RackConfig[],5,FALSE) &amp;"-"&amp;tbl_IO_List[[#This Row],[Point]]</f>
        <v>#N/A</v>
      </c>
      <c r="AC1190" s="136"/>
      <c r="AD1190" s="142" t="str">
        <f>tbl_IO_List[[#This Row],[I/O Type]]</f>
        <v>AI</v>
      </c>
      <c r="AE1190" s="136" t="s">
        <v>1843</v>
      </c>
      <c r="AF1190" s="136">
        <v>5</v>
      </c>
      <c r="AG1190" s="136">
        <v>13</v>
      </c>
      <c r="AH1190" s="136"/>
      <c r="AI1190" s="136"/>
      <c r="AJ1190" s="136">
        <v>0</v>
      </c>
      <c r="AK1190" s="136">
        <v>0</v>
      </c>
      <c r="AL1190" s="136">
        <v>1</v>
      </c>
      <c r="AM1190" s="136">
        <v>0</v>
      </c>
      <c r="AN1190" s="136">
        <v>0</v>
      </c>
      <c r="AO1190" s="136"/>
      <c r="AP1190" s="143" t="e">
        <f>VLOOKUP(tbl_IO_List[[#This Row],[Instruement Tag]],tbl_Instruement_List[],14,FALSE)</f>
        <v>#N/A</v>
      </c>
      <c r="AQ1190" s="143" t="str">
        <f>tbl_IO_List[[#This Row],[Chassis]]&amp;"S"&amp;tbl_IO_List[[#This Row],[Slot]]&amp;"-"&amp;tbl_IO_List[[#This Row],[Front Terminal Number]]</f>
        <v>C8S5-</v>
      </c>
      <c r="AR1190" s="143"/>
      <c r="AS1190" s="136" t="str">
        <f>tbl_IO_List[[#This Row],[Terminal Tagging]]&amp;"-"&amp;tbl_IO_List[[#This Row],[Point-Count]]</f>
        <v>-</v>
      </c>
      <c r="AT1190" s="136" t="str">
        <f>tbl_IO_List[[#This Row],[Front Terminal Tagging]]&amp;"/"&amp;tbl_IO_List[[#This Row],[Terminal Tagging-Item]]</f>
        <v>C8S5-/-</v>
      </c>
      <c r="AU1190" s="136" t="str">
        <f>tbl_IO_List[[#This Row],[Terminal Tagging-Item]]&amp;"/"&amp;tbl_IO_List[[#This Row],[Front Terminal Tagging]]</f>
        <v>-/C8S5-</v>
      </c>
    </row>
    <row r="1191" spans="1:47" hidden="1">
      <c r="A1191" s="147" t="s">
        <v>1365</v>
      </c>
      <c r="B1191" s="136" t="s">
        <v>13</v>
      </c>
      <c r="C1191" s="136" t="str">
        <f>tbl_IO_List[[#This Row],[Column3]]</f>
        <v>C8S05,14</v>
      </c>
      <c r="D1191" s="136" t="e">
        <f>tbl_IO_List[[#This Row],[Card]]</f>
        <v>#N/A</v>
      </c>
      <c r="E1191" s="136" t="s">
        <v>1366</v>
      </c>
      <c r="F1191" s="136" t="str">
        <f>tbl_IO_List[[#This Row],[Column23]]&amp;"-" &amp;tbl_IO_List[[#This Row],[Column52]]</f>
        <v>C8S05-X1</v>
      </c>
      <c r="G1191" s="136" t="str">
        <f>tbl_IO_List[[#This Row],[PLC_Tag]]</f>
        <v>Spare_AI_0</v>
      </c>
      <c r="H1191" s="136"/>
      <c r="I1191" s="136" t="str">
        <f>VLOOKUP(tbl_IO_List[[#This Row],[Destination]],tbl_Junction[],2,FALSE)</f>
        <v>Spray Dryer 3rd Floor</v>
      </c>
      <c r="J1191" s="136"/>
      <c r="K1191" s="136"/>
      <c r="L1191" s="136" t="s">
        <v>411</v>
      </c>
      <c r="M1191" s="142" t="e">
        <f>VLOOKUP(tbl_IO_List[[#This Row],[Instruement Tag]],tbl_Instruement_List[],2,FALSE)</f>
        <v>#N/A</v>
      </c>
      <c r="N1191" s="136"/>
      <c r="O1191" s="136"/>
      <c r="P1191" s="136"/>
      <c r="Q1191" s="142" t="e">
        <f>VLOOKUP(tbl_IO_List[[#This Row],[Instruement Tag]],tbl_Instruement_List[],6,FALSE)</f>
        <v>#N/A</v>
      </c>
      <c r="R1191" s="136"/>
      <c r="S1191" s="142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1191" s="136" t="str">
        <f>tbl_IO_List[[#This Row],[Instruement Tag]]&amp;"_"&amp;tbl_IO_List[[#This Row],[I/O Type]]&amp;"_"&amp;tbl_IO_List[[#This Row],[IO-Point 
(Instruement)]]</f>
        <v>Spare_AI_0</v>
      </c>
      <c r="U1191" s="136" t="s">
        <v>10</v>
      </c>
      <c r="V1191" s="136">
        <f>VLOOKUP(tbl_IO_List[[#This Row],[I/O Type]],tbl_Slot_Group[],2,FALSE)</f>
        <v>3</v>
      </c>
      <c r="W1191" s="136">
        <v>0</v>
      </c>
      <c r="X1191" s="142" t="str">
        <f>tbl_IO_List[[#This Row],[Chassis]]&amp;"S"&amp;TEXT(tbl_IO_List[[#This Row],[Slot]],"00")</f>
        <v>C8S05</v>
      </c>
      <c r="Y1191" s="136" t="str">
        <f>tbl_IO_List[[#This Row],[Chassis]]&amp;"S"&amp;TEXT(tbl_IO_List[[#This Row],[Slot]],"00")&amp;tbl_IO_List[[#This Row],[I/O Type]]&amp;TEXT(tbl_IO_List[[#This Row],[Point]],"00")</f>
        <v>C8S05AI14</v>
      </c>
      <c r="Z1191" s="142" t="str">
        <f>tbl_IO_List[[#This Row],[Chassis]]&amp;"S"&amp;TEXT(tbl_IO_List[[#This Row],[Slot]],"00")&amp;","&amp;TEXT(tbl_IO_List[[#This Row],[Point]],"00")</f>
        <v>C8S05,14</v>
      </c>
      <c r="AA1191" s="142" t="e">
        <f>VLOOKUP(tbl_IO_List[[#This Row],[Column23]],tbl_RackConfig[],5,FALSE) &amp;"-"&amp;tbl_IO_List[[#This Row],[Point]]</f>
        <v>#N/A</v>
      </c>
      <c r="AC1191" s="136"/>
      <c r="AD1191" s="142" t="str">
        <f>tbl_IO_List[[#This Row],[I/O Type]]</f>
        <v>AI</v>
      </c>
      <c r="AE1191" s="136" t="s">
        <v>1843</v>
      </c>
      <c r="AF1191" s="136">
        <v>5</v>
      </c>
      <c r="AG1191" s="136">
        <v>14</v>
      </c>
      <c r="AH1191" s="136"/>
      <c r="AI1191" s="136"/>
      <c r="AJ1191" s="136">
        <v>0</v>
      </c>
      <c r="AK1191" s="136">
        <v>0</v>
      </c>
      <c r="AL1191" s="136">
        <v>1</v>
      </c>
      <c r="AM1191" s="136">
        <v>0</v>
      </c>
      <c r="AN1191" s="136">
        <v>0</v>
      </c>
      <c r="AO1191" s="136"/>
      <c r="AP1191" s="143" t="e">
        <f>VLOOKUP(tbl_IO_List[[#This Row],[Instruement Tag]],tbl_Instruement_List[],14,FALSE)</f>
        <v>#N/A</v>
      </c>
      <c r="AQ1191" s="143" t="str">
        <f>tbl_IO_List[[#This Row],[Chassis]]&amp;"S"&amp;tbl_IO_List[[#This Row],[Slot]]&amp;"-"&amp;tbl_IO_List[[#This Row],[Front Terminal Number]]</f>
        <v>C8S5-</v>
      </c>
      <c r="AR1191" s="143"/>
      <c r="AS1191" s="136" t="str">
        <f>tbl_IO_List[[#This Row],[Terminal Tagging]]&amp;"-"&amp;tbl_IO_List[[#This Row],[Point-Count]]</f>
        <v>-</v>
      </c>
      <c r="AT1191" s="136" t="str">
        <f>tbl_IO_List[[#This Row],[Front Terminal Tagging]]&amp;"/"&amp;tbl_IO_List[[#This Row],[Terminal Tagging-Item]]</f>
        <v>C8S5-/-</v>
      </c>
      <c r="AU1191" s="136" t="str">
        <f>tbl_IO_List[[#This Row],[Terminal Tagging-Item]]&amp;"/"&amp;tbl_IO_List[[#This Row],[Front Terminal Tagging]]</f>
        <v>-/C8S5-</v>
      </c>
    </row>
    <row r="1192" spans="1:47" hidden="1">
      <c r="A1192" s="147" t="s">
        <v>1365</v>
      </c>
      <c r="B1192" s="136" t="s">
        <v>13</v>
      </c>
      <c r="C1192" s="136" t="str">
        <f>tbl_IO_List[[#This Row],[Column3]]</f>
        <v>C8S05,15</v>
      </c>
      <c r="D1192" s="136" t="e">
        <f>tbl_IO_List[[#This Row],[Card]]</f>
        <v>#N/A</v>
      </c>
      <c r="E1192" s="136" t="s">
        <v>1366</v>
      </c>
      <c r="F1192" s="136" t="str">
        <f>tbl_IO_List[[#This Row],[Column23]]&amp;"-" &amp;tbl_IO_List[[#This Row],[Column52]]</f>
        <v>C8S05-X1</v>
      </c>
      <c r="G1192" s="136" t="str">
        <f>tbl_IO_List[[#This Row],[PLC_Tag]]</f>
        <v>Spare_AI_0</v>
      </c>
      <c r="H1192" s="136"/>
      <c r="I1192" s="136" t="str">
        <f>VLOOKUP(tbl_IO_List[[#This Row],[Destination]],tbl_Junction[],2,FALSE)</f>
        <v>Spray Dryer 3rd Floor</v>
      </c>
      <c r="J1192" s="136"/>
      <c r="K1192" s="136"/>
      <c r="L1192" s="136" t="s">
        <v>411</v>
      </c>
      <c r="M1192" s="142" t="e">
        <f>VLOOKUP(tbl_IO_List[[#This Row],[Instruement Tag]],tbl_Instruement_List[],2,FALSE)</f>
        <v>#N/A</v>
      </c>
      <c r="N1192" s="136"/>
      <c r="O1192" s="136"/>
      <c r="P1192" s="136"/>
      <c r="Q1192" s="142" t="e">
        <f>VLOOKUP(tbl_IO_List[[#This Row],[Instruement Tag]],tbl_Instruement_List[],6,FALSE)</f>
        <v>#N/A</v>
      </c>
      <c r="R1192" s="136"/>
      <c r="S1192" s="142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1192" s="136" t="str">
        <f>tbl_IO_List[[#This Row],[Instruement Tag]]&amp;"_"&amp;tbl_IO_List[[#This Row],[I/O Type]]&amp;"_"&amp;tbl_IO_List[[#This Row],[IO-Point 
(Instruement)]]</f>
        <v>Spare_AI_0</v>
      </c>
      <c r="U1192" s="136" t="s">
        <v>10</v>
      </c>
      <c r="V1192" s="136">
        <f>VLOOKUP(tbl_IO_List[[#This Row],[I/O Type]],tbl_Slot_Group[],2,FALSE)</f>
        <v>3</v>
      </c>
      <c r="W1192" s="136">
        <v>0</v>
      </c>
      <c r="X1192" s="142" t="str">
        <f>tbl_IO_List[[#This Row],[Chassis]]&amp;"S"&amp;TEXT(tbl_IO_List[[#This Row],[Slot]],"00")</f>
        <v>C8S05</v>
      </c>
      <c r="Y1192" s="136" t="str">
        <f>tbl_IO_List[[#This Row],[Chassis]]&amp;"S"&amp;TEXT(tbl_IO_List[[#This Row],[Slot]],"00")&amp;tbl_IO_List[[#This Row],[I/O Type]]&amp;TEXT(tbl_IO_List[[#This Row],[Point]],"00")</f>
        <v>C8S05AI15</v>
      </c>
      <c r="Z1192" s="142" t="str">
        <f>tbl_IO_List[[#This Row],[Chassis]]&amp;"S"&amp;TEXT(tbl_IO_List[[#This Row],[Slot]],"00")&amp;","&amp;TEXT(tbl_IO_List[[#This Row],[Point]],"00")</f>
        <v>C8S05,15</v>
      </c>
      <c r="AA1192" s="142" t="e">
        <f>VLOOKUP(tbl_IO_List[[#This Row],[Column23]],tbl_RackConfig[],5,FALSE) &amp;"-"&amp;tbl_IO_List[[#This Row],[Point]]</f>
        <v>#N/A</v>
      </c>
      <c r="AC1192" s="136"/>
      <c r="AD1192" s="142" t="str">
        <f>tbl_IO_List[[#This Row],[I/O Type]]</f>
        <v>AI</v>
      </c>
      <c r="AE1192" s="136" t="s">
        <v>1843</v>
      </c>
      <c r="AF1192" s="136">
        <v>5</v>
      </c>
      <c r="AG1192" s="136">
        <v>15</v>
      </c>
      <c r="AH1192" s="136"/>
      <c r="AI1192" s="136"/>
      <c r="AJ1192" s="136">
        <v>0</v>
      </c>
      <c r="AK1192" s="136">
        <v>0</v>
      </c>
      <c r="AL1192" s="136">
        <v>1</v>
      </c>
      <c r="AM1192" s="136">
        <v>0</v>
      </c>
      <c r="AN1192" s="136">
        <v>0</v>
      </c>
      <c r="AO1192" s="136"/>
      <c r="AP1192" s="143" t="e">
        <f>VLOOKUP(tbl_IO_List[[#This Row],[Instruement Tag]],tbl_Instruement_List[],14,FALSE)</f>
        <v>#N/A</v>
      </c>
      <c r="AQ1192" s="143" t="str">
        <f>tbl_IO_List[[#This Row],[Chassis]]&amp;"S"&amp;tbl_IO_List[[#This Row],[Slot]]&amp;"-"&amp;tbl_IO_List[[#This Row],[Front Terminal Number]]</f>
        <v>C8S5-</v>
      </c>
      <c r="AR1192" s="143"/>
      <c r="AS1192" s="136" t="str">
        <f>tbl_IO_List[[#This Row],[Terminal Tagging]]&amp;"-"&amp;tbl_IO_List[[#This Row],[Point-Count]]</f>
        <v>-</v>
      </c>
      <c r="AT1192" s="136" t="str">
        <f>tbl_IO_List[[#This Row],[Front Terminal Tagging]]&amp;"/"&amp;tbl_IO_List[[#This Row],[Terminal Tagging-Item]]</f>
        <v>C8S5-/-</v>
      </c>
      <c r="AU1192" s="136" t="str">
        <f>tbl_IO_List[[#This Row],[Terminal Tagging-Item]]&amp;"/"&amp;tbl_IO_List[[#This Row],[Front Terminal Tagging]]</f>
        <v>-/C8S5-</v>
      </c>
    </row>
    <row r="1193" spans="1:47" hidden="1">
      <c r="A1193" s="147" t="s">
        <v>1371</v>
      </c>
      <c r="B1193" s="136" t="s">
        <v>46</v>
      </c>
      <c r="C1193" s="136" t="str">
        <f>tbl_IO_List[[#This Row],[Column3]]</f>
        <v>C8S06,00</v>
      </c>
      <c r="D1193" s="136" t="e">
        <f>tbl_IO_List[[#This Row],[Card]]</f>
        <v>#N/A</v>
      </c>
      <c r="E1193" s="136" t="s">
        <v>1366</v>
      </c>
      <c r="F1193" s="136" t="str">
        <f>tbl_IO_List[[#This Row],[Column23]]&amp;"-" &amp;tbl_IO_List[[#This Row],[Column52]]</f>
        <v>C8S06-X1</v>
      </c>
      <c r="G1193" s="136" t="str">
        <f>tbl_IO_List[[#This Row],[PLC_Tag]]</f>
        <v>PT-60220_AI_1</v>
      </c>
      <c r="H1193" s="136"/>
      <c r="I1193" s="136" t="str">
        <f>VLOOKUP(tbl_IO_List[[#This Row],[Destination]],tbl_Junction[],2,FALSE)</f>
        <v>Spray Dryer 8th Floor</v>
      </c>
      <c r="J1193" s="136" t="s">
        <v>333</v>
      </c>
      <c r="K1193" s="136" t="s">
        <v>14</v>
      </c>
      <c r="L1193" s="136" t="s">
        <v>57</v>
      </c>
      <c r="M1193" s="136" t="str">
        <f>VLOOKUP(tbl_IO_List[[#This Row],[Instruement Tag]],tbl_Instruement_List[],2,FALSE)</f>
        <v>Pressure Transmitter</v>
      </c>
      <c r="N1193" s="136" t="s">
        <v>58</v>
      </c>
      <c r="O1193" s="136" t="s">
        <v>16</v>
      </c>
      <c r="P1193" s="136" t="s">
        <v>17</v>
      </c>
      <c r="Q1193" s="136" t="str">
        <f>VLOOKUP(tbl_IO_List[[#This Row],[Instruement Tag]],tbl_Instruement_List[],6,FALSE)</f>
        <v>Gas Pressure Transmitter for Chamber (CHAM-21)</v>
      </c>
      <c r="R1193" s="136"/>
      <c r="S119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1193" s="136" t="str">
        <f>tbl_IO_List[[#This Row],[Instruement Tag]]&amp;"_"&amp;tbl_IO_List[[#This Row],[I/O Type]]&amp;"_"&amp;tbl_IO_List[[#This Row],[IO-Point 
(Instruement)]]</f>
        <v>PT-60220_AI_1</v>
      </c>
      <c r="U1193" s="136" t="s">
        <v>10</v>
      </c>
      <c r="V1193" s="136">
        <f>VLOOKUP(tbl_IO_List[[#This Row],[I/O Type]],tbl_Slot_Group[],2,FALSE)</f>
        <v>3</v>
      </c>
      <c r="W1193" s="136">
        <v>1</v>
      </c>
      <c r="X1193" s="136" t="str">
        <f>tbl_IO_List[[#This Row],[Chassis]]&amp;"S"&amp;TEXT(tbl_IO_List[[#This Row],[Slot]],"00")</f>
        <v>C8S06</v>
      </c>
      <c r="Y1193" s="136" t="str">
        <f>tbl_IO_List[[#This Row],[Chassis]]&amp;"S"&amp;TEXT(tbl_IO_List[[#This Row],[Slot]],"00")&amp;tbl_IO_List[[#This Row],[I/O Type]]&amp;TEXT(tbl_IO_List[[#This Row],[Point]],"00")</f>
        <v>C8S06AI00</v>
      </c>
      <c r="Z1193" s="136" t="str">
        <f>tbl_IO_List[[#This Row],[Chassis]]&amp;"S"&amp;TEXT(tbl_IO_List[[#This Row],[Slot]],"00")&amp;","&amp;TEXT(tbl_IO_List[[#This Row],[Point]],"00")</f>
        <v>C8S06,00</v>
      </c>
      <c r="AA1193" s="136" t="e">
        <f>VLOOKUP(tbl_IO_List[[#This Row],[Column23]],tbl_RackConfig[],5,FALSE) &amp;"-"&amp;tbl_IO_List[[#This Row],[Point]]</f>
        <v>#N/A</v>
      </c>
      <c r="AB1193" s="136"/>
      <c r="AC1193" s="136"/>
      <c r="AD1193" s="136" t="str">
        <f>tbl_IO_List[[#This Row],[I/O Type]]</f>
        <v>AI</v>
      </c>
      <c r="AE1193" s="136" t="s">
        <v>1843</v>
      </c>
      <c r="AF1193" s="136">
        <v>6</v>
      </c>
      <c r="AG1193" s="136">
        <v>0</v>
      </c>
      <c r="AH1193" s="136"/>
      <c r="AI1193" s="136"/>
      <c r="AJ1193" s="136">
        <v>0</v>
      </c>
      <c r="AK1193" s="136">
        <v>0</v>
      </c>
      <c r="AL1193" s="136">
        <v>1</v>
      </c>
      <c r="AM1193" s="136">
        <v>0</v>
      </c>
      <c r="AN1193" s="136">
        <v>0</v>
      </c>
      <c r="AO1193" s="136"/>
      <c r="AP1193" s="143" t="str">
        <f>VLOOKUP(tbl_IO_List[[#This Row],[Instruement Tag]],tbl_Instruement_List[],14,FALSE)</f>
        <v>4 - 20 mA</v>
      </c>
      <c r="AQ1193" s="143" t="str">
        <f>tbl_IO_List[[#This Row],[Chassis]]&amp;"S"&amp;tbl_IO_List[[#This Row],[Slot]]&amp;"-"&amp;tbl_IO_List[[#This Row],[Front Terminal Number]]</f>
        <v>C8S6-</v>
      </c>
      <c r="AR1193" s="143"/>
      <c r="AS1193" s="136" t="str">
        <f>tbl_IO_List[[#This Row],[Terminal Tagging]]&amp;"-"&amp;tbl_IO_List[[#This Row],[Point-Count]]</f>
        <v>-</v>
      </c>
      <c r="AT1193" s="136" t="str">
        <f>tbl_IO_List[[#This Row],[Front Terminal Tagging]]&amp;"/"&amp;tbl_IO_List[[#This Row],[Terminal Tagging-Item]]</f>
        <v>C8S6-/-</v>
      </c>
      <c r="AU1193" s="136" t="str">
        <f>tbl_IO_List[[#This Row],[Terminal Tagging-Item]]&amp;"/"&amp;tbl_IO_List[[#This Row],[Front Terminal Tagging]]</f>
        <v>-/C8S6-</v>
      </c>
    </row>
    <row r="1194" spans="1:47" hidden="1">
      <c r="A1194" s="147" t="s">
        <v>1371</v>
      </c>
      <c r="B1194" s="136" t="s">
        <v>46</v>
      </c>
      <c r="C1194" s="136" t="str">
        <f>tbl_IO_List[[#This Row],[Column3]]</f>
        <v>C8S06,01</v>
      </c>
      <c r="D1194" s="136" t="e">
        <f>tbl_IO_List[[#This Row],[Card]]</f>
        <v>#N/A</v>
      </c>
      <c r="E1194" s="136" t="s">
        <v>1366</v>
      </c>
      <c r="F1194" s="136" t="str">
        <f>tbl_IO_List[[#This Row],[Column23]]&amp;"-" &amp;tbl_IO_List[[#This Row],[Column52]]</f>
        <v>C8S06-X1</v>
      </c>
      <c r="G1194" s="136" t="str">
        <f>tbl_IO_List[[#This Row],[PLC_Tag]]</f>
        <v>TT-60220_AI_1</v>
      </c>
      <c r="H1194" s="136"/>
      <c r="I1194" s="136" t="str">
        <f>VLOOKUP(tbl_IO_List[[#This Row],[Destination]],tbl_Junction[],2,FALSE)</f>
        <v>Spray Dryer 8th Floor</v>
      </c>
      <c r="J1194" s="136" t="s">
        <v>333</v>
      </c>
      <c r="K1194" s="136" t="s">
        <v>14</v>
      </c>
      <c r="L1194" s="136" t="s">
        <v>59</v>
      </c>
      <c r="M1194" s="136">
        <f>VLOOKUP(tbl_IO_List[[#This Row],[Instruement Tag]],tbl_Instruement_List[],2,FALSE)</f>
        <v>0</v>
      </c>
      <c r="N1194" s="136" t="s">
        <v>58</v>
      </c>
      <c r="O1194" s="136" t="s">
        <v>16</v>
      </c>
      <c r="P1194" s="136" t="s">
        <v>17</v>
      </c>
      <c r="Q1194" s="136" t="str">
        <f>VLOOKUP(tbl_IO_List[[#This Row],[Instruement Tag]],tbl_Instruement_List[],6,FALSE)</f>
        <v>Gas and Powder Temperature Transmitter for Spray Chamber (CHAM-21)</v>
      </c>
      <c r="R1194" s="136"/>
      <c r="S119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1194" s="136" t="str">
        <f>tbl_IO_List[[#This Row],[Instruement Tag]]&amp;"_"&amp;tbl_IO_List[[#This Row],[I/O Type]]&amp;"_"&amp;tbl_IO_List[[#This Row],[IO-Point 
(Instruement)]]</f>
        <v>TT-60220_AI_1</v>
      </c>
      <c r="U1194" s="136" t="s">
        <v>10</v>
      </c>
      <c r="V1194" s="136">
        <f>VLOOKUP(tbl_IO_List[[#This Row],[I/O Type]],tbl_Slot_Group[],2,FALSE)</f>
        <v>3</v>
      </c>
      <c r="W1194" s="136">
        <v>1</v>
      </c>
      <c r="X1194" s="136" t="str">
        <f>tbl_IO_List[[#This Row],[Chassis]]&amp;"S"&amp;TEXT(tbl_IO_List[[#This Row],[Slot]],"00")</f>
        <v>C8S06</v>
      </c>
      <c r="Y1194" s="136" t="str">
        <f>tbl_IO_List[[#This Row],[Chassis]]&amp;"S"&amp;TEXT(tbl_IO_List[[#This Row],[Slot]],"00")&amp;tbl_IO_List[[#This Row],[I/O Type]]&amp;TEXT(tbl_IO_List[[#This Row],[Point]],"00")</f>
        <v>C8S06AI01</v>
      </c>
      <c r="Z1194" s="136" t="str">
        <f>tbl_IO_List[[#This Row],[Chassis]]&amp;"S"&amp;TEXT(tbl_IO_List[[#This Row],[Slot]],"00")&amp;","&amp;TEXT(tbl_IO_List[[#This Row],[Point]],"00")</f>
        <v>C8S06,01</v>
      </c>
      <c r="AA1194" s="136" t="e">
        <f>VLOOKUP(tbl_IO_List[[#This Row],[Column23]],tbl_RackConfig[],5,FALSE) &amp;"-"&amp;tbl_IO_List[[#This Row],[Point]]</f>
        <v>#N/A</v>
      </c>
      <c r="AB1194" s="136"/>
      <c r="AC1194" s="136"/>
      <c r="AD1194" s="136" t="str">
        <f>tbl_IO_List[[#This Row],[I/O Type]]</f>
        <v>AI</v>
      </c>
      <c r="AE1194" s="136" t="s">
        <v>1843</v>
      </c>
      <c r="AF1194" s="136">
        <v>6</v>
      </c>
      <c r="AG1194" s="136">
        <v>1</v>
      </c>
      <c r="AH1194" s="136"/>
      <c r="AI1194" s="136"/>
      <c r="AJ1194" s="136">
        <v>0</v>
      </c>
      <c r="AK1194" s="136">
        <v>0</v>
      </c>
      <c r="AL1194" s="136">
        <v>1</v>
      </c>
      <c r="AM1194" s="136">
        <v>0</v>
      </c>
      <c r="AN1194" s="136">
        <v>0</v>
      </c>
      <c r="AO1194" s="136"/>
      <c r="AP1194" s="143" t="str">
        <f>VLOOKUP(tbl_IO_List[[#This Row],[Instruement Tag]],tbl_Instruement_List[],14,FALSE)</f>
        <v>4 - 20 mA</v>
      </c>
      <c r="AQ1194" s="143" t="str">
        <f>tbl_IO_List[[#This Row],[Chassis]]&amp;"S"&amp;tbl_IO_List[[#This Row],[Slot]]&amp;"-"&amp;tbl_IO_List[[#This Row],[Front Terminal Number]]</f>
        <v>C8S6-</v>
      </c>
      <c r="AR1194" s="143"/>
      <c r="AS1194" s="136" t="str">
        <f>tbl_IO_List[[#This Row],[Terminal Tagging]]&amp;"-"&amp;tbl_IO_List[[#This Row],[Point-Count]]</f>
        <v>-</v>
      </c>
      <c r="AT1194" s="136" t="str">
        <f>tbl_IO_List[[#This Row],[Front Terminal Tagging]]&amp;"/"&amp;tbl_IO_List[[#This Row],[Terminal Tagging-Item]]</f>
        <v>C8S6-/-</v>
      </c>
      <c r="AU1194" s="136" t="str">
        <f>tbl_IO_List[[#This Row],[Terminal Tagging-Item]]&amp;"/"&amp;tbl_IO_List[[#This Row],[Front Terminal Tagging]]</f>
        <v>-/C8S6-</v>
      </c>
    </row>
    <row r="1195" spans="1:47" hidden="1">
      <c r="A1195" s="147" t="s">
        <v>1371</v>
      </c>
      <c r="B1195" s="136" t="s">
        <v>46</v>
      </c>
      <c r="C1195" s="136" t="str">
        <f>tbl_IO_List[[#This Row],[Column3]]</f>
        <v>C8S06,02</v>
      </c>
      <c r="D1195" s="136" t="e">
        <f>tbl_IO_List[[#This Row],[Card]]</f>
        <v>#N/A</v>
      </c>
      <c r="E1195" s="136" t="s">
        <v>1366</v>
      </c>
      <c r="F1195" s="136" t="str">
        <f>tbl_IO_List[[#This Row],[Column23]]&amp;"-" &amp;tbl_IO_List[[#This Row],[Column52]]</f>
        <v>C8S06-X1</v>
      </c>
      <c r="G1195" s="136" t="str">
        <f>tbl_IO_List[[#This Row],[PLC_Tag]]</f>
        <v>TT-60221_AI_1</v>
      </c>
      <c r="H1195" s="136"/>
      <c r="I1195" s="136" t="str">
        <f>VLOOKUP(tbl_IO_List[[#This Row],[Destination]],tbl_Junction[],2,FALSE)</f>
        <v>Spray Dryer 8th Floor</v>
      </c>
      <c r="J1195" s="136" t="s">
        <v>333</v>
      </c>
      <c r="K1195" s="136" t="s">
        <v>14</v>
      </c>
      <c r="L1195" s="136" t="s">
        <v>60</v>
      </c>
      <c r="M1195" s="136">
        <f>VLOOKUP(tbl_IO_List[[#This Row],[Instruement Tag]],tbl_Instruement_List[],2,FALSE)</f>
        <v>0</v>
      </c>
      <c r="N1195" s="136" t="s">
        <v>58</v>
      </c>
      <c r="O1195" s="136" t="s">
        <v>16</v>
      </c>
      <c r="P1195" s="136" t="s">
        <v>17</v>
      </c>
      <c r="Q1195" s="136" t="str">
        <f>VLOOKUP(tbl_IO_List[[#This Row],[Instruement Tag]],tbl_Instruement_List[],6,FALSE)</f>
        <v>Gas and Powder Temperature Transmitter for Spray Chamber (CHAM-21)</v>
      </c>
      <c r="R1195" s="136"/>
      <c r="S119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1195" s="136" t="str">
        <f>tbl_IO_List[[#This Row],[Instruement Tag]]&amp;"_"&amp;tbl_IO_List[[#This Row],[I/O Type]]&amp;"_"&amp;tbl_IO_List[[#This Row],[IO-Point 
(Instruement)]]</f>
        <v>TT-60221_AI_1</v>
      </c>
      <c r="U1195" s="136" t="s">
        <v>10</v>
      </c>
      <c r="V1195" s="136">
        <f>VLOOKUP(tbl_IO_List[[#This Row],[I/O Type]],tbl_Slot_Group[],2,FALSE)</f>
        <v>3</v>
      </c>
      <c r="W1195" s="136">
        <v>1</v>
      </c>
      <c r="X1195" s="136" t="str">
        <f>tbl_IO_List[[#This Row],[Chassis]]&amp;"S"&amp;TEXT(tbl_IO_List[[#This Row],[Slot]],"00")</f>
        <v>C8S06</v>
      </c>
      <c r="Y1195" s="136" t="str">
        <f>tbl_IO_List[[#This Row],[Chassis]]&amp;"S"&amp;TEXT(tbl_IO_List[[#This Row],[Slot]],"00")&amp;tbl_IO_List[[#This Row],[I/O Type]]&amp;TEXT(tbl_IO_List[[#This Row],[Point]],"00")</f>
        <v>C8S06AI02</v>
      </c>
      <c r="Z1195" s="136" t="str">
        <f>tbl_IO_List[[#This Row],[Chassis]]&amp;"S"&amp;TEXT(tbl_IO_List[[#This Row],[Slot]],"00")&amp;","&amp;TEXT(tbl_IO_List[[#This Row],[Point]],"00")</f>
        <v>C8S06,02</v>
      </c>
      <c r="AA1195" s="136" t="e">
        <f>VLOOKUP(tbl_IO_List[[#This Row],[Column23]],tbl_RackConfig[],5,FALSE) &amp;"-"&amp;tbl_IO_List[[#This Row],[Point]]</f>
        <v>#N/A</v>
      </c>
      <c r="AB1195" s="136"/>
      <c r="AC1195" s="136"/>
      <c r="AD1195" s="136" t="str">
        <f>tbl_IO_List[[#This Row],[I/O Type]]</f>
        <v>AI</v>
      </c>
      <c r="AE1195" s="136" t="s">
        <v>1843</v>
      </c>
      <c r="AF1195" s="136">
        <v>6</v>
      </c>
      <c r="AG1195" s="136">
        <v>2</v>
      </c>
      <c r="AH1195" s="136"/>
      <c r="AI1195" s="136"/>
      <c r="AJ1195" s="136">
        <v>0</v>
      </c>
      <c r="AK1195" s="136">
        <v>0</v>
      </c>
      <c r="AL1195" s="136">
        <v>1</v>
      </c>
      <c r="AM1195" s="136">
        <v>0</v>
      </c>
      <c r="AN1195" s="136">
        <v>0</v>
      </c>
      <c r="AO1195" s="136"/>
      <c r="AP1195" s="143" t="str">
        <f>VLOOKUP(tbl_IO_List[[#This Row],[Instruement Tag]],tbl_Instruement_List[],14,FALSE)</f>
        <v>4 - 20 mA</v>
      </c>
      <c r="AQ1195" s="143" t="str">
        <f>tbl_IO_List[[#This Row],[Chassis]]&amp;"S"&amp;tbl_IO_List[[#This Row],[Slot]]&amp;"-"&amp;tbl_IO_List[[#This Row],[Front Terminal Number]]</f>
        <v>C8S6-</v>
      </c>
      <c r="AR1195" s="143"/>
      <c r="AS1195" s="136" t="str">
        <f>tbl_IO_List[[#This Row],[Terminal Tagging]]&amp;"-"&amp;tbl_IO_List[[#This Row],[Point-Count]]</f>
        <v>-</v>
      </c>
      <c r="AT1195" s="136" t="str">
        <f>tbl_IO_List[[#This Row],[Front Terminal Tagging]]&amp;"/"&amp;tbl_IO_List[[#This Row],[Terminal Tagging-Item]]</f>
        <v>C8S6-/-</v>
      </c>
      <c r="AU1195" s="136" t="str">
        <f>tbl_IO_List[[#This Row],[Terminal Tagging-Item]]&amp;"/"&amp;tbl_IO_List[[#This Row],[Front Terminal Tagging]]</f>
        <v>-/C8S6-</v>
      </c>
    </row>
    <row r="1196" spans="1:47" hidden="1">
      <c r="A1196" s="147" t="s">
        <v>1371</v>
      </c>
      <c r="B1196" s="136" t="s">
        <v>46</v>
      </c>
      <c r="C1196" s="136" t="str">
        <f>tbl_IO_List[[#This Row],[Column3]]</f>
        <v>C8S06,03</v>
      </c>
      <c r="D1196" s="136" t="e">
        <f>tbl_IO_List[[#This Row],[Card]]</f>
        <v>#N/A</v>
      </c>
      <c r="E1196" s="136" t="s">
        <v>1366</v>
      </c>
      <c r="F1196" s="136" t="str">
        <f>tbl_IO_List[[#This Row],[Column23]]&amp;"-" &amp;tbl_IO_List[[#This Row],[Column52]]</f>
        <v>C8S06-X1</v>
      </c>
      <c r="G1196" s="136" t="str">
        <f>tbl_IO_List[[#This Row],[PLC_Tag]]</f>
        <v>TT-60222_AI_1</v>
      </c>
      <c r="H1196" s="136"/>
      <c r="I1196" s="136" t="str">
        <f>VLOOKUP(tbl_IO_List[[#This Row],[Destination]],tbl_Junction[],2,FALSE)</f>
        <v>Spray Dryer 8th Floor</v>
      </c>
      <c r="J1196" s="136" t="s">
        <v>333</v>
      </c>
      <c r="K1196" s="136" t="s">
        <v>14</v>
      </c>
      <c r="L1196" s="136" t="s">
        <v>45</v>
      </c>
      <c r="M1196" s="136">
        <f>VLOOKUP(tbl_IO_List[[#This Row],[Instruement Tag]],tbl_Instruement_List[],2,FALSE)</f>
        <v>0</v>
      </c>
      <c r="N1196" s="136" t="s">
        <v>47</v>
      </c>
      <c r="O1196" s="136" t="s">
        <v>16</v>
      </c>
      <c r="P1196" s="136" t="s">
        <v>17</v>
      </c>
      <c r="Q1196" s="136" t="str">
        <f>VLOOKUP(tbl_IO_List[[#This Row],[Instruement Tag]],tbl_Instruement_List[],6,FALSE)</f>
        <v>Gas and Powder Temperature Transmitter for Spray Chamber (CHAM-21)</v>
      </c>
      <c r="R1196" s="136"/>
      <c r="S119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1196" s="136" t="str">
        <f>tbl_IO_List[[#This Row],[Instruement Tag]]&amp;"_"&amp;tbl_IO_List[[#This Row],[I/O Type]]&amp;"_"&amp;tbl_IO_List[[#This Row],[IO-Point 
(Instruement)]]</f>
        <v>TT-60222_AI_1</v>
      </c>
      <c r="U1196" s="136" t="s">
        <v>10</v>
      </c>
      <c r="V1196" s="136">
        <f>VLOOKUP(tbl_IO_List[[#This Row],[I/O Type]],tbl_Slot_Group[],2,FALSE)</f>
        <v>3</v>
      </c>
      <c r="W1196" s="136">
        <v>1</v>
      </c>
      <c r="X1196" s="136" t="str">
        <f>tbl_IO_List[[#This Row],[Chassis]]&amp;"S"&amp;TEXT(tbl_IO_List[[#This Row],[Slot]],"00")</f>
        <v>C8S06</v>
      </c>
      <c r="Y1196" s="136" t="str">
        <f>tbl_IO_List[[#This Row],[Chassis]]&amp;"S"&amp;TEXT(tbl_IO_List[[#This Row],[Slot]],"00")&amp;tbl_IO_List[[#This Row],[I/O Type]]&amp;TEXT(tbl_IO_List[[#This Row],[Point]],"00")</f>
        <v>C8S06AI03</v>
      </c>
      <c r="Z1196" s="136" t="str">
        <f>tbl_IO_List[[#This Row],[Chassis]]&amp;"S"&amp;TEXT(tbl_IO_List[[#This Row],[Slot]],"00")&amp;","&amp;TEXT(tbl_IO_List[[#This Row],[Point]],"00")</f>
        <v>C8S06,03</v>
      </c>
      <c r="AA1196" s="136" t="e">
        <f>VLOOKUP(tbl_IO_List[[#This Row],[Column23]],tbl_RackConfig[],5,FALSE) &amp;"-"&amp;tbl_IO_List[[#This Row],[Point]]</f>
        <v>#N/A</v>
      </c>
      <c r="AB1196" s="136"/>
      <c r="AC1196" s="136"/>
      <c r="AD1196" s="136" t="str">
        <f>tbl_IO_List[[#This Row],[I/O Type]]</f>
        <v>AI</v>
      </c>
      <c r="AE1196" s="136" t="s">
        <v>1843</v>
      </c>
      <c r="AF1196" s="136">
        <v>6</v>
      </c>
      <c r="AG1196" s="136">
        <v>3</v>
      </c>
      <c r="AH1196" s="136"/>
      <c r="AI1196" s="136"/>
      <c r="AJ1196" s="136">
        <v>0</v>
      </c>
      <c r="AK1196" s="136">
        <v>0</v>
      </c>
      <c r="AL1196" s="136">
        <v>1</v>
      </c>
      <c r="AM1196" s="136">
        <v>0</v>
      </c>
      <c r="AN1196" s="136">
        <v>0</v>
      </c>
      <c r="AO1196" s="136"/>
      <c r="AP1196" s="143" t="str">
        <f>VLOOKUP(tbl_IO_List[[#This Row],[Instruement Tag]],tbl_Instruement_List[],14,FALSE)</f>
        <v>4 - 20 mA</v>
      </c>
      <c r="AQ1196" s="143" t="str">
        <f>tbl_IO_List[[#This Row],[Chassis]]&amp;"S"&amp;tbl_IO_List[[#This Row],[Slot]]&amp;"-"&amp;tbl_IO_List[[#This Row],[Front Terminal Number]]</f>
        <v>C8S6-</v>
      </c>
      <c r="AR1196" s="143"/>
      <c r="AS1196" s="136" t="str">
        <f>tbl_IO_List[[#This Row],[Terminal Tagging]]&amp;"-"&amp;tbl_IO_List[[#This Row],[Point-Count]]</f>
        <v>-</v>
      </c>
      <c r="AT1196" s="136" t="str">
        <f>tbl_IO_List[[#This Row],[Front Terminal Tagging]]&amp;"/"&amp;tbl_IO_List[[#This Row],[Terminal Tagging-Item]]</f>
        <v>C8S6-/-</v>
      </c>
      <c r="AU1196" s="136" t="str">
        <f>tbl_IO_List[[#This Row],[Terminal Tagging-Item]]&amp;"/"&amp;tbl_IO_List[[#This Row],[Front Terminal Tagging]]</f>
        <v>-/C8S6-</v>
      </c>
    </row>
    <row r="1197" spans="1:47" hidden="1">
      <c r="A1197" s="147" t="s">
        <v>1371</v>
      </c>
      <c r="B1197" s="136" t="s">
        <v>46</v>
      </c>
      <c r="C1197" s="136" t="str">
        <f>tbl_IO_List[[#This Row],[Column3]]</f>
        <v>C8S06,04</v>
      </c>
      <c r="D1197" s="136" t="e">
        <f>tbl_IO_List[[#This Row],[Card]]</f>
        <v>#N/A</v>
      </c>
      <c r="E1197" s="136" t="s">
        <v>1366</v>
      </c>
      <c r="F1197" s="136" t="str">
        <f>tbl_IO_List[[#This Row],[Column23]]&amp;"-" &amp;tbl_IO_List[[#This Row],[Column52]]</f>
        <v>C8S06-X1</v>
      </c>
      <c r="G1197" s="136" t="str">
        <f>tbl_IO_List[[#This Row],[PLC_Tag]]</f>
        <v>TT-60223_AI_1</v>
      </c>
      <c r="H1197" s="136"/>
      <c r="I1197" s="136" t="str">
        <f>VLOOKUP(tbl_IO_List[[#This Row],[Destination]],tbl_Junction[],2,FALSE)</f>
        <v>Spray Dryer 8th Floor</v>
      </c>
      <c r="J1197" s="136" t="s">
        <v>333</v>
      </c>
      <c r="K1197" s="136" t="s">
        <v>14</v>
      </c>
      <c r="L1197" s="136" t="s">
        <v>48</v>
      </c>
      <c r="M1197" s="136">
        <f>VLOOKUP(tbl_IO_List[[#This Row],[Instruement Tag]],tbl_Instruement_List[],2,FALSE)</f>
        <v>0</v>
      </c>
      <c r="N1197" s="136" t="s">
        <v>47</v>
      </c>
      <c r="O1197" s="136" t="s">
        <v>16</v>
      </c>
      <c r="P1197" s="136" t="s">
        <v>17</v>
      </c>
      <c r="Q1197" s="136" t="str">
        <f>VLOOKUP(tbl_IO_List[[#This Row],[Instruement Tag]],tbl_Instruement_List[],6,FALSE)</f>
        <v>Gas and Powder Temperature Transmitter for Spray Chamber (CHAM-21)</v>
      </c>
      <c r="R1197" s="136"/>
      <c r="S119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1197" s="136" t="str">
        <f>tbl_IO_List[[#This Row],[Instruement Tag]]&amp;"_"&amp;tbl_IO_List[[#This Row],[I/O Type]]&amp;"_"&amp;tbl_IO_List[[#This Row],[IO-Point 
(Instruement)]]</f>
        <v>TT-60223_AI_1</v>
      </c>
      <c r="U1197" s="136" t="s">
        <v>10</v>
      </c>
      <c r="V1197" s="136">
        <f>VLOOKUP(tbl_IO_List[[#This Row],[I/O Type]],tbl_Slot_Group[],2,FALSE)</f>
        <v>3</v>
      </c>
      <c r="W1197" s="136">
        <v>1</v>
      </c>
      <c r="X1197" s="136" t="str">
        <f>tbl_IO_List[[#This Row],[Chassis]]&amp;"S"&amp;TEXT(tbl_IO_List[[#This Row],[Slot]],"00")</f>
        <v>C8S06</v>
      </c>
      <c r="Y1197" s="136" t="str">
        <f>tbl_IO_List[[#This Row],[Chassis]]&amp;"S"&amp;TEXT(tbl_IO_List[[#This Row],[Slot]],"00")&amp;tbl_IO_List[[#This Row],[I/O Type]]&amp;TEXT(tbl_IO_List[[#This Row],[Point]],"00")</f>
        <v>C8S06AI04</v>
      </c>
      <c r="Z1197" s="136" t="str">
        <f>tbl_IO_List[[#This Row],[Chassis]]&amp;"S"&amp;TEXT(tbl_IO_List[[#This Row],[Slot]],"00")&amp;","&amp;TEXT(tbl_IO_List[[#This Row],[Point]],"00")</f>
        <v>C8S06,04</v>
      </c>
      <c r="AA1197" s="136" t="e">
        <f>VLOOKUP(tbl_IO_List[[#This Row],[Column23]],tbl_RackConfig[],5,FALSE) &amp;"-"&amp;tbl_IO_List[[#This Row],[Point]]</f>
        <v>#N/A</v>
      </c>
      <c r="AB1197" s="136"/>
      <c r="AC1197" s="136"/>
      <c r="AD1197" s="136" t="str">
        <f>tbl_IO_List[[#This Row],[I/O Type]]</f>
        <v>AI</v>
      </c>
      <c r="AE1197" s="136" t="s">
        <v>1843</v>
      </c>
      <c r="AF1197" s="136">
        <v>6</v>
      </c>
      <c r="AG1197" s="136">
        <v>4</v>
      </c>
      <c r="AH1197" s="136"/>
      <c r="AI1197" s="136"/>
      <c r="AJ1197" s="136">
        <v>0</v>
      </c>
      <c r="AK1197" s="136">
        <v>0</v>
      </c>
      <c r="AL1197" s="136">
        <v>1</v>
      </c>
      <c r="AM1197" s="136">
        <v>0</v>
      </c>
      <c r="AN1197" s="136">
        <v>0</v>
      </c>
      <c r="AO1197" s="136"/>
      <c r="AP1197" s="143" t="str">
        <f>VLOOKUP(tbl_IO_List[[#This Row],[Instruement Tag]],tbl_Instruement_List[],14,FALSE)</f>
        <v>4 - 20 mA</v>
      </c>
      <c r="AQ1197" s="143" t="str">
        <f>tbl_IO_List[[#This Row],[Chassis]]&amp;"S"&amp;tbl_IO_List[[#This Row],[Slot]]&amp;"-"&amp;tbl_IO_List[[#This Row],[Front Terminal Number]]</f>
        <v>C8S6-</v>
      </c>
      <c r="AR1197" s="143"/>
      <c r="AS1197" s="136" t="str">
        <f>tbl_IO_List[[#This Row],[Terminal Tagging]]&amp;"-"&amp;tbl_IO_List[[#This Row],[Point-Count]]</f>
        <v>-</v>
      </c>
      <c r="AT1197" s="136" t="str">
        <f>tbl_IO_List[[#This Row],[Front Terminal Tagging]]&amp;"/"&amp;tbl_IO_List[[#This Row],[Terminal Tagging-Item]]</f>
        <v>C8S6-/-</v>
      </c>
      <c r="AU1197" s="136" t="str">
        <f>tbl_IO_List[[#This Row],[Terminal Tagging-Item]]&amp;"/"&amp;tbl_IO_List[[#This Row],[Front Terminal Tagging]]</f>
        <v>-/C8S6-</v>
      </c>
    </row>
    <row r="1198" spans="1:47" hidden="1">
      <c r="A1198" s="147" t="s">
        <v>1371</v>
      </c>
      <c r="B1198" s="136" t="s">
        <v>46</v>
      </c>
      <c r="C1198" s="136" t="str">
        <f>tbl_IO_List[[#This Row],[Column3]]</f>
        <v>C8S06,05</v>
      </c>
      <c r="D1198" s="136" t="e">
        <f>tbl_IO_List[[#This Row],[Card]]</f>
        <v>#N/A</v>
      </c>
      <c r="E1198" s="136" t="s">
        <v>1366</v>
      </c>
      <c r="F1198" s="136" t="str">
        <f>tbl_IO_List[[#This Row],[Column23]]&amp;"-" &amp;tbl_IO_List[[#This Row],[Column52]]</f>
        <v>C8S06-X1</v>
      </c>
      <c r="G1198" s="136" t="str">
        <f>tbl_IO_List[[#This Row],[PLC_Tag]]</f>
        <v>XT-60201_AI_1</v>
      </c>
      <c r="H1198" s="136"/>
      <c r="I1198" s="136" t="str">
        <f>VLOOKUP(tbl_IO_List[[#This Row],[Destination]],tbl_Junction[],2,FALSE)</f>
        <v>Spray Dryer 8th Floor</v>
      </c>
      <c r="J1198" s="136" t="s">
        <v>333</v>
      </c>
      <c r="K1198" s="136" t="s">
        <v>14</v>
      </c>
      <c r="L1198" s="136" t="s">
        <v>49</v>
      </c>
      <c r="M1198" s="136">
        <f>VLOOKUP(tbl_IO_List[[#This Row],[Instruement Tag]],tbl_Instruement_List[],2,FALSE)</f>
        <v>0</v>
      </c>
      <c r="N1198" s="136" t="s">
        <v>47</v>
      </c>
      <c r="O1198" s="136" t="s">
        <v>50</v>
      </c>
      <c r="P1198" s="136" t="s">
        <v>51</v>
      </c>
      <c r="Q1198" s="136" t="str">
        <f>VLOOKUP(tbl_IO_List[[#This Row],[Instruement Tag]],tbl_Instruement_List[],6,FALSE)</f>
        <v>LEL gas analyzer</v>
      </c>
      <c r="R1198" s="136"/>
      <c r="S119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1198" s="136" t="str">
        <f>tbl_IO_List[[#This Row],[Instruement Tag]]&amp;"_"&amp;tbl_IO_List[[#This Row],[I/O Type]]&amp;"_"&amp;tbl_IO_List[[#This Row],[IO-Point 
(Instruement)]]</f>
        <v>XT-60201_AI_1</v>
      </c>
      <c r="U1198" s="136" t="s">
        <v>10</v>
      </c>
      <c r="V1198" s="136">
        <f>VLOOKUP(tbl_IO_List[[#This Row],[I/O Type]],tbl_Slot_Group[],2,FALSE)</f>
        <v>3</v>
      </c>
      <c r="W1198" s="136">
        <v>1</v>
      </c>
      <c r="X1198" s="136" t="str">
        <f>tbl_IO_List[[#This Row],[Chassis]]&amp;"S"&amp;TEXT(tbl_IO_List[[#This Row],[Slot]],"00")</f>
        <v>C8S06</v>
      </c>
      <c r="Y1198" s="136" t="str">
        <f>tbl_IO_List[[#This Row],[Chassis]]&amp;"S"&amp;TEXT(tbl_IO_List[[#This Row],[Slot]],"00")&amp;tbl_IO_List[[#This Row],[I/O Type]]&amp;TEXT(tbl_IO_List[[#This Row],[Point]],"00")</f>
        <v>C8S06AI05</v>
      </c>
      <c r="Z1198" s="136" t="str">
        <f>tbl_IO_List[[#This Row],[Chassis]]&amp;"S"&amp;TEXT(tbl_IO_List[[#This Row],[Slot]],"00")&amp;","&amp;TEXT(tbl_IO_List[[#This Row],[Point]],"00")</f>
        <v>C8S06,05</v>
      </c>
      <c r="AA1198" s="136" t="e">
        <f>VLOOKUP(tbl_IO_List[[#This Row],[Column23]],tbl_RackConfig[],5,FALSE) &amp;"-"&amp;tbl_IO_List[[#This Row],[Point]]</f>
        <v>#N/A</v>
      </c>
      <c r="AB1198" s="136"/>
      <c r="AC1198" s="136"/>
      <c r="AD1198" s="136" t="str">
        <f>tbl_IO_List[[#This Row],[I/O Type]]</f>
        <v>AI</v>
      </c>
      <c r="AE1198" s="136" t="s">
        <v>1843</v>
      </c>
      <c r="AF1198" s="136">
        <v>6</v>
      </c>
      <c r="AG1198" s="136">
        <v>5</v>
      </c>
      <c r="AH1198" s="136"/>
      <c r="AI1198" s="136"/>
      <c r="AJ1198" s="136">
        <v>0</v>
      </c>
      <c r="AK1198" s="136">
        <v>0</v>
      </c>
      <c r="AL1198" s="136">
        <v>1</v>
      </c>
      <c r="AM1198" s="136">
        <v>0</v>
      </c>
      <c r="AN1198" s="136">
        <v>0</v>
      </c>
      <c r="AO1198" s="136"/>
      <c r="AP1198" s="143" t="str">
        <f>VLOOKUP(tbl_IO_List[[#This Row],[Instruement Tag]],tbl_Instruement_List[],14,FALSE)</f>
        <v>4 - 20 mA</v>
      </c>
      <c r="AQ1198" s="143" t="str">
        <f>tbl_IO_List[[#This Row],[Chassis]]&amp;"S"&amp;tbl_IO_List[[#This Row],[Slot]]&amp;"-"&amp;tbl_IO_List[[#This Row],[Front Terminal Number]]</f>
        <v>C8S6-</v>
      </c>
      <c r="AR1198" s="143"/>
      <c r="AS1198" s="136" t="str">
        <f>tbl_IO_List[[#This Row],[Terminal Tagging]]&amp;"-"&amp;tbl_IO_List[[#This Row],[Point-Count]]</f>
        <v>-</v>
      </c>
      <c r="AT1198" s="136" t="str">
        <f>tbl_IO_List[[#This Row],[Front Terminal Tagging]]&amp;"/"&amp;tbl_IO_List[[#This Row],[Terminal Tagging-Item]]</f>
        <v>C8S6-/-</v>
      </c>
      <c r="AU1198" s="136" t="str">
        <f>tbl_IO_List[[#This Row],[Terminal Tagging-Item]]&amp;"/"&amp;tbl_IO_List[[#This Row],[Front Terminal Tagging]]</f>
        <v>-/C8S6-</v>
      </c>
    </row>
    <row r="1199" spans="1:47" hidden="1">
      <c r="A1199" s="147" t="s">
        <v>1371</v>
      </c>
      <c r="B1199" s="136" t="s">
        <v>46</v>
      </c>
      <c r="C1199" s="136" t="str">
        <f>tbl_IO_List[[#This Row],[Column3]]</f>
        <v>C8S06,06</v>
      </c>
      <c r="D1199" s="136" t="e">
        <f>tbl_IO_List[[#This Row],[Card]]</f>
        <v>#N/A</v>
      </c>
      <c r="E1199" s="136" t="s">
        <v>1366</v>
      </c>
      <c r="F1199" s="136" t="str">
        <f>tbl_IO_List[[#This Row],[Column23]]&amp;"-" &amp;tbl_IO_List[[#This Row],[Column52]]</f>
        <v>C8S06-X1</v>
      </c>
      <c r="G1199" s="136" t="str">
        <f>tbl_IO_List[[#This Row],[PLC_Tag]]</f>
        <v>Spare_AI_0</v>
      </c>
      <c r="H1199" s="136"/>
      <c r="I1199" s="136" t="str">
        <f>VLOOKUP(tbl_IO_List[[#This Row],[Destination]],tbl_Junction[],2,FALSE)</f>
        <v>Spray Dryer 8th Floor</v>
      </c>
      <c r="J1199" s="136"/>
      <c r="K1199" s="136"/>
      <c r="L1199" s="136" t="s">
        <v>411</v>
      </c>
      <c r="M1199" s="136" t="e">
        <f>VLOOKUP(tbl_IO_List[[#This Row],[Instruement Tag]],tbl_Instruement_List[],2,FALSE)</f>
        <v>#N/A</v>
      </c>
      <c r="N1199" s="136"/>
      <c r="O1199" s="136"/>
      <c r="P1199" s="136"/>
      <c r="Q1199" s="136" t="e">
        <f>VLOOKUP(tbl_IO_List[[#This Row],[Instruement Tag]],tbl_Instruement_List[],6,FALSE)</f>
        <v>#N/A</v>
      </c>
      <c r="R1199" s="136"/>
      <c r="S119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1199" s="136" t="str">
        <f>tbl_IO_List[[#This Row],[Instruement Tag]]&amp;"_"&amp;tbl_IO_List[[#This Row],[I/O Type]]&amp;"_"&amp;tbl_IO_List[[#This Row],[IO-Point 
(Instruement)]]</f>
        <v>Spare_AI_0</v>
      </c>
      <c r="U1199" s="136" t="s">
        <v>10</v>
      </c>
      <c r="V1199" s="136">
        <f>VLOOKUP(tbl_IO_List[[#This Row],[I/O Type]],tbl_Slot_Group[],2,FALSE)</f>
        <v>3</v>
      </c>
      <c r="W1199" s="136">
        <v>0</v>
      </c>
      <c r="X1199" s="136" t="str">
        <f>tbl_IO_List[[#This Row],[Chassis]]&amp;"S"&amp;TEXT(tbl_IO_List[[#This Row],[Slot]],"00")</f>
        <v>C8S06</v>
      </c>
      <c r="Y1199" s="136" t="str">
        <f>tbl_IO_List[[#This Row],[Chassis]]&amp;"S"&amp;TEXT(tbl_IO_List[[#This Row],[Slot]],"00")&amp;tbl_IO_List[[#This Row],[I/O Type]]&amp;TEXT(tbl_IO_List[[#This Row],[Point]],"00")</f>
        <v>C8S06AI06</v>
      </c>
      <c r="Z1199" s="136" t="str">
        <f>tbl_IO_List[[#This Row],[Chassis]]&amp;"S"&amp;TEXT(tbl_IO_List[[#This Row],[Slot]],"00")&amp;","&amp;TEXT(tbl_IO_List[[#This Row],[Point]],"00")</f>
        <v>C8S06,06</v>
      </c>
      <c r="AA1199" s="136" t="e">
        <f>VLOOKUP(tbl_IO_List[[#This Row],[Column23]],tbl_RackConfig[],5,FALSE) &amp;"-"&amp;tbl_IO_List[[#This Row],[Point]]</f>
        <v>#N/A</v>
      </c>
      <c r="AB1199" s="136"/>
      <c r="AC1199" s="136"/>
      <c r="AD1199" s="136" t="str">
        <f>tbl_IO_List[[#This Row],[I/O Type]]</f>
        <v>AI</v>
      </c>
      <c r="AE1199" s="136" t="s">
        <v>1843</v>
      </c>
      <c r="AF1199" s="136">
        <v>6</v>
      </c>
      <c r="AG1199" s="136">
        <v>6</v>
      </c>
      <c r="AH1199" s="136"/>
      <c r="AI1199" s="136"/>
      <c r="AJ1199" s="136">
        <v>0</v>
      </c>
      <c r="AK1199" s="136">
        <v>0</v>
      </c>
      <c r="AL1199" s="136">
        <v>1</v>
      </c>
      <c r="AM1199" s="136">
        <v>0</v>
      </c>
      <c r="AN1199" s="136">
        <v>0</v>
      </c>
      <c r="AO1199" s="136"/>
      <c r="AP1199" s="143" t="e">
        <f>VLOOKUP(tbl_IO_List[[#This Row],[Instruement Tag]],tbl_Instruement_List[],14,FALSE)</f>
        <v>#N/A</v>
      </c>
      <c r="AQ1199" s="143" t="str">
        <f>tbl_IO_List[[#This Row],[Chassis]]&amp;"S"&amp;tbl_IO_List[[#This Row],[Slot]]&amp;"-"&amp;tbl_IO_List[[#This Row],[Front Terminal Number]]</f>
        <v>C8S6-</v>
      </c>
      <c r="AR1199" s="143"/>
      <c r="AS1199" s="136" t="str">
        <f>tbl_IO_List[[#This Row],[Terminal Tagging]]&amp;"-"&amp;tbl_IO_List[[#This Row],[Point-Count]]</f>
        <v>-</v>
      </c>
      <c r="AT1199" s="136" t="str">
        <f>tbl_IO_List[[#This Row],[Front Terminal Tagging]]&amp;"/"&amp;tbl_IO_List[[#This Row],[Terminal Tagging-Item]]</f>
        <v>C8S6-/-</v>
      </c>
      <c r="AU1199" s="136" t="str">
        <f>tbl_IO_List[[#This Row],[Terminal Tagging-Item]]&amp;"/"&amp;tbl_IO_List[[#This Row],[Front Terminal Tagging]]</f>
        <v>-/C8S6-</v>
      </c>
    </row>
    <row r="1200" spans="1:47" hidden="1">
      <c r="A1200" s="147" t="s">
        <v>1371</v>
      </c>
      <c r="B1200" s="136" t="s">
        <v>65</v>
      </c>
      <c r="C1200" s="136" t="str">
        <f>tbl_IO_List[[#This Row],[Column3]]</f>
        <v>C8S06,06</v>
      </c>
      <c r="D1200" s="136" t="e">
        <f>tbl_IO_List[[#This Row],[Card]]</f>
        <v>#N/A</v>
      </c>
      <c r="E1200" s="136" t="s">
        <v>1366</v>
      </c>
      <c r="F1200" s="136" t="str">
        <f>tbl_IO_List[[#This Row],[Column23]]&amp;"-" &amp;tbl_IO_List[[#This Row],[Column52]]</f>
        <v>C8S06-X1</v>
      </c>
      <c r="G1200" s="136" t="str">
        <f>tbl_IO_List[[#This Row],[PLC_Tag]]</f>
        <v>DPT-61310_AI_1</v>
      </c>
      <c r="H1200" s="136"/>
      <c r="I1200" s="136" t="str">
        <f>VLOOKUP(tbl_IO_List[[#This Row],[Destination]],tbl_Junction[],2,FALSE)</f>
        <v>Packing Tower 2th Floor</v>
      </c>
      <c r="J1200" s="136" t="s">
        <v>335</v>
      </c>
      <c r="K1200" s="136" t="s">
        <v>66</v>
      </c>
      <c r="L1200" s="136" t="s">
        <v>64</v>
      </c>
      <c r="M1200" s="136" t="str">
        <f>VLOOKUP(tbl_IO_List[[#This Row],[Instruement Tag]],tbl_Instruement_List[],2,FALSE)</f>
        <v>Differential Pressure Transmitte</v>
      </c>
      <c r="N1200" s="136" t="s">
        <v>24</v>
      </c>
      <c r="O1200" s="136" t="s">
        <v>67</v>
      </c>
      <c r="P1200" s="136" t="s">
        <v>68</v>
      </c>
      <c r="Q1200" s="136" t="str">
        <f>VLOOKUP(tbl_IO_List[[#This Row],[Instruement Tag]],tbl_Instruement_List[],6,FALSE)</f>
        <v>Vent filter pressure</v>
      </c>
      <c r="R1200" s="136"/>
      <c r="S120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1200" s="136" t="str">
        <f>tbl_IO_List[[#This Row],[Instruement Tag]]&amp;"_"&amp;tbl_IO_List[[#This Row],[I/O Type]]&amp;"_"&amp;tbl_IO_List[[#This Row],[IO-Point 
(Instruement)]]</f>
        <v>DPT-61310_AI_1</v>
      </c>
      <c r="U1200" s="136" t="s">
        <v>10</v>
      </c>
      <c r="V1200" s="136">
        <f>VLOOKUP(tbl_IO_List[[#This Row],[I/O Type]],tbl_Slot_Group[],2,FALSE)</f>
        <v>3</v>
      </c>
      <c r="W1200" s="136">
        <v>1</v>
      </c>
      <c r="X1200" s="136" t="str">
        <f>tbl_IO_List[[#This Row],[Chassis]]&amp;"S"&amp;TEXT(tbl_IO_List[[#This Row],[Slot]],"00")</f>
        <v>C8S06</v>
      </c>
      <c r="Y1200" s="136" t="str">
        <f>tbl_IO_List[[#This Row],[Chassis]]&amp;"S"&amp;TEXT(tbl_IO_List[[#This Row],[Slot]],"00")&amp;tbl_IO_List[[#This Row],[I/O Type]]&amp;TEXT(tbl_IO_List[[#This Row],[Point]],"00")</f>
        <v>C8S06AI06</v>
      </c>
      <c r="Z1200" s="136" t="str">
        <f>tbl_IO_List[[#This Row],[Chassis]]&amp;"S"&amp;TEXT(tbl_IO_List[[#This Row],[Slot]],"00")&amp;","&amp;TEXT(tbl_IO_List[[#This Row],[Point]],"00")</f>
        <v>C8S06,06</v>
      </c>
      <c r="AA1200" s="136" t="e">
        <f>VLOOKUP(tbl_IO_List[[#This Row],[Column23]],tbl_RackConfig[],5,FALSE) &amp;"-"&amp;tbl_IO_List[[#This Row],[Point]]</f>
        <v>#N/A</v>
      </c>
      <c r="AB1200" s="136"/>
      <c r="AC1200" s="136"/>
      <c r="AD1200" s="136" t="str">
        <f>tbl_IO_List[[#This Row],[I/O Type]]</f>
        <v>AI</v>
      </c>
      <c r="AE1200" s="136" t="s">
        <v>1843</v>
      </c>
      <c r="AF1200" s="136">
        <v>6</v>
      </c>
      <c r="AG1200" s="136">
        <v>6</v>
      </c>
      <c r="AH1200" s="136"/>
      <c r="AI1200" s="136"/>
      <c r="AJ1200" s="136">
        <v>0</v>
      </c>
      <c r="AK1200" s="136">
        <v>0</v>
      </c>
      <c r="AL1200" s="136">
        <v>1</v>
      </c>
      <c r="AM1200" s="136">
        <v>0</v>
      </c>
      <c r="AN1200" s="136">
        <v>0</v>
      </c>
      <c r="AO1200" s="136"/>
      <c r="AP1200" s="143" t="str">
        <f>VLOOKUP(tbl_IO_List[[#This Row],[Instruement Tag]],tbl_Instruement_List[],14,FALSE)</f>
        <v>4 - 20 mA</v>
      </c>
      <c r="AQ1200" s="143" t="str">
        <f>tbl_IO_List[[#This Row],[Chassis]]&amp;"S"&amp;tbl_IO_List[[#This Row],[Slot]]&amp;"-"&amp;tbl_IO_List[[#This Row],[Front Terminal Number]]</f>
        <v>C8S6-</v>
      </c>
      <c r="AR1200" s="143"/>
      <c r="AS1200" s="136" t="str">
        <f>tbl_IO_List[[#This Row],[Terminal Tagging]]&amp;"-"&amp;tbl_IO_List[[#This Row],[Point-Count]]</f>
        <v>-</v>
      </c>
      <c r="AT1200" s="136" t="str">
        <f>tbl_IO_List[[#This Row],[Front Terminal Tagging]]&amp;"/"&amp;tbl_IO_List[[#This Row],[Terminal Tagging-Item]]</f>
        <v>C8S6-/-</v>
      </c>
      <c r="AU1200" s="136" t="str">
        <f>tbl_IO_List[[#This Row],[Terminal Tagging-Item]]&amp;"/"&amp;tbl_IO_List[[#This Row],[Front Terminal Tagging]]</f>
        <v>-/C8S6-</v>
      </c>
    </row>
    <row r="1201" spans="1:47" hidden="1">
      <c r="A1201" s="147" t="s">
        <v>1371</v>
      </c>
      <c r="B1201" s="136" t="s">
        <v>46</v>
      </c>
      <c r="C1201" s="136" t="str">
        <f>tbl_IO_List[[#This Row],[Column3]]</f>
        <v>C8S06,07</v>
      </c>
      <c r="D1201" s="136" t="e">
        <f>tbl_IO_List[[#This Row],[Card]]</f>
        <v>#N/A</v>
      </c>
      <c r="E1201" s="136" t="s">
        <v>1366</v>
      </c>
      <c r="F1201" s="136" t="str">
        <f>tbl_IO_List[[#This Row],[Column23]]&amp;"-" &amp;tbl_IO_List[[#This Row],[Column52]]</f>
        <v>C8S06-X1</v>
      </c>
      <c r="G1201" s="136" t="str">
        <f>tbl_IO_List[[#This Row],[PLC_Tag]]</f>
        <v>Spare_AI_0</v>
      </c>
      <c r="H1201" s="136"/>
      <c r="I1201" s="136" t="str">
        <f>VLOOKUP(tbl_IO_List[[#This Row],[Destination]],tbl_Junction[],2,FALSE)</f>
        <v>Spray Dryer 8th Floor</v>
      </c>
      <c r="J1201" s="136"/>
      <c r="K1201" s="136"/>
      <c r="L1201" s="136" t="s">
        <v>411</v>
      </c>
      <c r="M1201" s="136" t="e">
        <f>VLOOKUP(tbl_IO_List[[#This Row],[Instruement Tag]],tbl_Instruement_List[],2,FALSE)</f>
        <v>#N/A</v>
      </c>
      <c r="N1201" s="136"/>
      <c r="O1201" s="136"/>
      <c r="P1201" s="136"/>
      <c r="Q1201" s="136" t="e">
        <f>VLOOKUP(tbl_IO_List[[#This Row],[Instruement Tag]],tbl_Instruement_List[],6,FALSE)</f>
        <v>#N/A</v>
      </c>
      <c r="R1201" s="136"/>
      <c r="S120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1201" s="136" t="str">
        <f>tbl_IO_List[[#This Row],[Instruement Tag]]&amp;"_"&amp;tbl_IO_List[[#This Row],[I/O Type]]&amp;"_"&amp;tbl_IO_List[[#This Row],[IO-Point 
(Instruement)]]</f>
        <v>Spare_AI_0</v>
      </c>
      <c r="U1201" s="136" t="s">
        <v>10</v>
      </c>
      <c r="V1201" s="136">
        <f>VLOOKUP(tbl_IO_List[[#This Row],[I/O Type]],tbl_Slot_Group[],2,FALSE)</f>
        <v>3</v>
      </c>
      <c r="W1201" s="136">
        <v>0</v>
      </c>
      <c r="X1201" s="136" t="str">
        <f>tbl_IO_List[[#This Row],[Chassis]]&amp;"S"&amp;TEXT(tbl_IO_List[[#This Row],[Slot]],"00")</f>
        <v>C8S06</v>
      </c>
      <c r="Y1201" s="136" t="str">
        <f>tbl_IO_List[[#This Row],[Chassis]]&amp;"S"&amp;TEXT(tbl_IO_List[[#This Row],[Slot]],"00")&amp;tbl_IO_List[[#This Row],[I/O Type]]&amp;TEXT(tbl_IO_List[[#This Row],[Point]],"00")</f>
        <v>C8S06AI07</v>
      </c>
      <c r="Z1201" s="136" t="str">
        <f>tbl_IO_List[[#This Row],[Chassis]]&amp;"S"&amp;TEXT(tbl_IO_List[[#This Row],[Slot]],"00")&amp;","&amp;TEXT(tbl_IO_List[[#This Row],[Point]],"00")</f>
        <v>C8S06,07</v>
      </c>
      <c r="AA1201" s="136" t="e">
        <f>VLOOKUP(tbl_IO_List[[#This Row],[Column23]],tbl_RackConfig[],5,FALSE) &amp;"-"&amp;tbl_IO_List[[#This Row],[Point]]</f>
        <v>#N/A</v>
      </c>
      <c r="AB1201" s="136"/>
      <c r="AC1201" s="136"/>
      <c r="AD1201" s="136" t="str">
        <f>tbl_IO_List[[#This Row],[I/O Type]]</f>
        <v>AI</v>
      </c>
      <c r="AE1201" s="136" t="s">
        <v>1843</v>
      </c>
      <c r="AF1201" s="136">
        <v>6</v>
      </c>
      <c r="AG1201" s="136">
        <v>7</v>
      </c>
      <c r="AH1201" s="136"/>
      <c r="AI1201" s="136"/>
      <c r="AJ1201" s="136">
        <v>0</v>
      </c>
      <c r="AK1201" s="136">
        <v>0</v>
      </c>
      <c r="AL1201" s="136">
        <v>1</v>
      </c>
      <c r="AM1201" s="136">
        <v>0</v>
      </c>
      <c r="AN1201" s="136">
        <v>0</v>
      </c>
      <c r="AO1201" s="136"/>
      <c r="AP1201" s="143" t="e">
        <f>VLOOKUP(tbl_IO_List[[#This Row],[Instruement Tag]],tbl_Instruement_List[],14,FALSE)</f>
        <v>#N/A</v>
      </c>
      <c r="AQ1201" s="143" t="str">
        <f>tbl_IO_List[[#This Row],[Chassis]]&amp;"S"&amp;tbl_IO_List[[#This Row],[Slot]]&amp;"-"&amp;tbl_IO_List[[#This Row],[Front Terminal Number]]</f>
        <v>C8S6-</v>
      </c>
      <c r="AR1201" s="143"/>
      <c r="AS1201" s="136" t="str">
        <f>tbl_IO_List[[#This Row],[Terminal Tagging]]&amp;"-"&amp;tbl_IO_List[[#This Row],[Point-Count]]</f>
        <v>-</v>
      </c>
      <c r="AT1201" s="136" t="str">
        <f>tbl_IO_List[[#This Row],[Front Terminal Tagging]]&amp;"/"&amp;tbl_IO_List[[#This Row],[Terminal Tagging-Item]]</f>
        <v>C8S6-/-</v>
      </c>
      <c r="AU1201" s="136" t="str">
        <f>tbl_IO_List[[#This Row],[Terminal Tagging-Item]]&amp;"/"&amp;tbl_IO_List[[#This Row],[Front Terminal Tagging]]</f>
        <v>-/C8S6-</v>
      </c>
    </row>
    <row r="1202" spans="1:47" hidden="1">
      <c r="A1202" s="147" t="s">
        <v>1371</v>
      </c>
      <c r="B1202" s="136" t="s">
        <v>65</v>
      </c>
      <c r="C1202" s="136" t="str">
        <f>tbl_IO_List[[#This Row],[Column3]]</f>
        <v>C8S06,07</v>
      </c>
      <c r="D1202" s="136" t="e">
        <f>tbl_IO_List[[#This Row],[Card]]</f>
        <v>#N/A</v>
      </c>
      <c r="E1202" s="136" t="s">
        <v>1366</v>
      </c>
      <c r="F1202" s="136" t="str">
        <f>tbl_IO_List[[#This Row],[Column23]]&amp;"-" &amp;tbl_IO_List[[#This Row],[Column52]]</f>
        <v>C8S06-X1</v>
      </c>
      <c r="G1202" s="136" t="str">
        <f>tbl_IO_List[[#This Row],[PLC_Tag]]</f>
        <v>DPT-61312_AI_1</v>
      </c>
      <c r="H1202" s="136"/>
      <c r="I1202" s="136" t="str">
        <f>VLOOKUP(tbl_IO_List[[#This Row],[Destination]],tbl_Junction[],2,FALSE)</f>
        <v>Packing Tower 2th Floor</v>
      </c>
      <c r="J1202" s="136" t="s">
        <v>335</v>
      </c>
      <c r="K1202" s="136" t="s">
        <v>66</v>
      </c>
      <c r="L1202" s="136" t="s">
        <v>69</v>
      </c>
      <c r="M1202" s="136" t="e">
        <f>VLOOKUP(tbl_IO_List[[#This Row],[Instruement Tag]],tbl_Instruement_List[],2,FALSE)</f>
        <v>#N/A</v>
      </c>
      <c r="N1202" s="136" t="s">
        <v>24</v>
      </c>
      <c r="O1202" s="136" t="s">
        <v>70</v>
      </c>
      <c r="P1202" s="136" t="s">
        <v>71</v>
      </c>
      <c r="Q1202" s="136" t="e">
        <f>VLOOKUP(tbl_IO_List[[#This Row],[Instruement Tag]],tbl_Instruement_List[],6,FALSE)</f>
        <v>#N/A</v>
      </c>
      <c r="R1202" s="136"/>
      <c r="S120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1202" s="136" t="str">
        <f>tbl_IO_List[[#This Row],[Instruement Tag]]&amp;"_"&amp;tbl_IO_List[[#This Row],[I/O Type]]&amp;"_"&amp;tbl_IO_List[[#This Row],[IO-Point 
(Instruement)]]</f>
        <v>DPT-61312_AI_1</v>
      </c>
      <c r="U1202" s="136" t="s">
        <v>10</v>
      </c>
      <c r="V1202" s="136">
        <f>VLOOKUP(tbl_IO_List[[#This Row],[I/O Type]],tbl_Slot_Group[],2,FALSE)</f>
        <v>3</v>
      </c>
      <c r="W1202" s="136">
        <v>1</v>
      </c>
      <c r="X1202" s="136" t="str">
        <f>tbl_IO_List[[#This Row],[Chassis]]&amp;"S"&amp;TEXT(tbl_IO_List[[#This Row],[Slot]],"00")</f>
        <v>C8S06</v>
      </c>
      <c r="Y1202" s="136" t="str">
        <f>tbl_IO_List[[#This Row],[Chassis]]&amp;"S"&amp;TEXT(tbl_IO_List[[#This Row],[Slot]],"00")&amp;tbl_IO_List[[#This Row],[I/O Type]]&amp;TEXT(tbl_IO_List[[#This Row],[Point]],"00")</f>
        <v>C8S06AI07</v>
      </c>
      <c r="Z1202" s="136" t="str">
        <f>tbl_IO_List[[#This Row],[Chassis]]&amp;"S"&amp;TEXT(tbl_IO_List[[#This Row],[Slot]],"00")&amp;","&amp;TEXT(tbl_IO_List[[#This Row],[Point]],"00")</f>
        <v>C8S06,07</v>
      </c>
      <c r="AA1202" s="136" t="e">
        <f>VLOOKUP(tbl_IO_List[[#This Row],[Column23]],tbl_RackConfig[],5,FALSE) &amp;"-"&amp;tbl_IO_List[[#This Row],[Point]]</f>
        <v>#N/A</v>
      </c>
      <c r="AB1202" s="136"/>
      <c r="AC1202" s="136"/>
      <c r="AD1202" s="136" t="str">
        <f>tbl_IO_List[[#This Row],[I/O Type]]</f>
        <v>AI</v>
      </c>
      <c r="AE1202" s="136" t="s">
        <v>1843</v>
      </c>
      <c r="AF1202" s="136">
        <v>6</v>
      </c>
      <c r="AG1202" s="136">
        <v>7</v>
      </c>
      <c r="AH1202" s="136"/>
      <c r="AI1202" s="136"/>
      <c r="AJ1202" s="136">
        <v>0</v>
      </c>
      <c r="AK1202" s="136">
        <v>0</v>
      </c>
      <c r="AL1202" s="136">
        <v>1</v>
      </c>
      <c r="AM1202" s="136">
        <v>0</v>
      </c>
      <c r="AN1202" s="136">
        <v>0</v>
      </c>
      <c r="AO1202" s="136"/>
      <c r="AP1202" s="143" t="e">
        <f>VLOOKUP(tbl_IO_List[[#This Row],[Instruement Tag]],tbl_Instruement_List[],14,FALSE)</f>
        <v>#N/A</v>
      </c>
      <c r="AQ1202" s="143" t="str">
        <f>tbl_IO_List[[#This Row],[Chassis]]&amp;"S"&amp;tbl_IO_List[[#This Row],[Slot]]&amp;"-"&amp;tbl_IO_List[[#This Row],[Front Terminal Number]]</f>
        <v>C8S6-</v>
      </c>
      <c r="AR1202" s="143"/>
      <c r="AS1202" s="136" t="str">
        <f>tbl_IO_List[[#This Row],[Terminal Tagging]]&amp;"-"&amp;tbl_IO_List[[#This Row],[Point-Count]]</f>
        <v>-</v>
      </c>
      <c r="AT1202" s="136" t="str">
        <f>tbl_IO_List[[#This Row],[Front Terminal Tagging]]&amp;"/"&amp;tbl_IO_List[[#This Row],[Terminal Tagging-Item]]</f>
        <v>C8S6-/-</v>
      </c>
      <c r="AU1202" s="136" t="str">
        <f>tbl_IO_List[[#This Row],[Terminal Tagging-Item]]&amp;"/"&amp;tbl_IO_List[[#This Row],[Front Terminal Tagging]]</f>
        <v>-/C8S6-</v>
      </c>
    </row>
    <row r="1203" spans="1:47" hidden="1">
      <c r="A1203" s="147" t="s">
        <v>1371</v>
      </c>
      <c r="B1203" s="136" t="s">
        <v>65</v>
      </c>
      <c r="C1203" s="136" t="str">
        <f>tbl_IO_List[[#This Row],[Column3]]</f>
        <v>C8S06,14</v>
      </c>
      <c r="D1203" s="136" t="e">
        <f>tbl_IO_List[[#This Row],[Card]]</f>
        <v>#N/A</v>
      </c>
      <c r="E1203" s="136" t="s">
        <v>1366</v>
      </c>
      <c r="F1203" s="136" t="str">
        <f>tbl_IO_List[[#This Row],[Column23]]&amp;"-" &amp;tbl_IO_List[[#This Row],[Column52]]</f>
        <v>C8S06-X1</v>
      </c>
      <c r="G1203" s="136" t="str">
        <f>tbl_IO_List[[#This Row],[PLC_Tag]]</f>
        <v>Spare_AI_0</v>
      </c>
      <c r="H1203" s="136"/>
      <c r="I1203" s="136" t="str">
        <f>VLOOKUP(tbl_IO_List[[#This Row],[Destination]],tbl_Junction[],2,FALSE)</f>
        <v>Packing Tower 2th Floor</v>
      </c>
      <c r="J1203" s="136"/>
      <c r="K1203" s="136"/>
      <c r="L1203" s="136" t="s">
        <v>411</v>
      </c>
      <c r="M1203" s="136" t="e">
        <f>VLOOKUP(tbl_IO_List[[#This Row],[Instruement Tag]],tbl_Instruement_List[],2,FALSE)</f>
        <v>#N/A</v>
      </c>
      <c r="N1203" s="136"/>
      <c r="O1203" s="136"/>
      <c r="P1203" s="136"/>
      <c r="Q1203" s="136" t="e">
        <f>VLOOKUP(tbl_IO_List[[#This Row],[Instruement Tag]],tbl_Instruement_List[],6,FALSE)</f>
        <v>#N/A</v>
      </c>
      <c r="R1203" s="136"/>
      <c r="S120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1203" s="136" t="str">
        <f>tbl_IO_List[[#This Row],[Instruement Tag]]&amp;"_"&amp;tbl_IO_List[[#This Row],[I/O Type]]&amp;"_"&amp;tbl_IO_List[[#This Row],[IO-Point 
(Instruement)]]</f>
        <v>Spare_AI_0</v>
      </c>
      <c r="U1203" s="136" t="s">
        <v>10</v>
      </c>
      <c r="V1203" s="136">
        <f>VLOOKUP(tbl_IO_List[[#This Row],[I/O Type]],tbl_Slot_Group[],2,FALSE)</f>
        <v>3</v>
      </c>
      <c r="W1203" s="136">
        <v>0</v>
      </c>
      <c r="X1203" s="136" t="str">
        <f>tbl_IO_List[[#This Row],[Chassis]]&amp;"S"&amp;TEXT(tbl_IO_List[[#This Row],[Slot]],"00")</f>
        <v>C8S06</v>
      </c>
      <c r="Y1203" s="136" t="str">
        <f>tbl_IO_List[[#This Row],[Chassis]]&amp;"S"&amp;TEXT(tbl_IO_List[[#This Row],[Slot]],"00")&amp;tbl_IO_List[[#This Row],[I/O Type]]&amp;TEXT(tbl_IO_List[[#This Row],[Point]],"00")</f>
        <v>C8S06AI14</v>
      </c>
      <c r="Z1203" s="136" t="str">
        <f>tbl_IO_List[[#This Row],[Chassis]]&amp;"S"&amp;TEXT(tbl_IO_List[[#This Row],[Slot]],"00")&amp;","&amp;TEXT(tbl_IO_List[[#This Row],[Point]],"00")</f>
        <v>C8S06,14</v>
      </c>
      <c r="AA1203" s="136" t="e">
        <f>VLOOKUP(tbl_IO_List[[#This Row],[Column23]],tbl_RackConfig[],5,FALSE) &amp;"-"&amp;tbl_IO_List[[#This Row],[Point]]</f>
        <v>#N/A</v>
      </c>
      <c r="AB1203" s="136"/>
      <c r="AC1203" s="136"/>
      <c r="AD1203" s="136" t="str">
        <f>tbl_IO_List[[#This Row],[I/O Type]]</f>
        <v>AI</v>
      </c>
      <c r="AE1203" s="136" t="s">
        <v>1843</v>
      </c>
      <c r="AF1203" s="136">
        <v>6</v>
      </c>
      <c r="AG1203" s="136">
        <v>14</v>
      </c>
      <c r="AH1203" s="136"/>
      <c r="AI1203" s="136"/>
      <c r="AJ1203" s="136">
        <v>0</v>
      </c>
      <c r="AK1203" s="136">
        <v>0</v>
      </c>
      <c r="AL1203" s="136">
        <v>1</v>
      </c>
      <c r="AM1203" s="136">
        <v>0</v>
      </c>
      <c r="AN1203" s="136">
        <v>0</v>
      </c>
      <c r="AO1203" s="136"/>
      <c r="AP1203" s="143" t="e">
        <f>VLOOKUP(tbl_IO_List[[#This Row],[Instruement Tag]],tbl_Instruement_List[],14,FALSE)</f>
        <v>#N/A</v>
      </c>
      <c r="AQ1203" s="143" t="str">
        <f>tbl_IO_List[[#This Row],[Chassis]]&amp;"S"&amp;tbl_IO_List[[#This Row],[Slot]]&amp;"-"&amp;tbl_IO_List[[#This Row],[Front Terminal Number]]</f>
        <v>C8S6-</v>
      </c>
      <c r="AR1203" s="143"/>
      <c r="AS1203" s="136" t="str">
        <f>tbl_IO_List[[#This Row],[Terminal Tagging]]&amp;"-"&amp;tbl_IO_List[[#This Row],[Point-Count]]</f>
        <v>-</v>
      </c>
      <c r="AT1203" s="136" t="str">
        <f>tbl_IO_List[[#This Row],[Front Terminal Tagging]]&amp;"/"&amp;tbl_IO_List[[#This Row],[Terminal Tagging-Item]]</f>
        <v>C8S6-/-</v>
      </c>
      <c r="AU1203" s="136" t="str">
        <f>tbl_IO_List[[#This Row],[Terminal Tagging-Item]]&amp;"/"&amp;tbl_IO_List[[#This Row],[Front Terminal Tagging]]</f>
        <v>-/C8S6-</v>
      </c>
    </row>
    <row r="1204" spans="1:47" hidden="1">
      <c r="A1204" s="147" t="s">
        <v>1371</v>
      </c>
      <c r="B1204" s="136" t="s">
        <v>65</v>
      </c>
      <c r="C1204" s="136" t="str">
        <f>tbl_IO_List[[#This Row],[Column3]]</f>
        <v>C8S06,14</v>
      </c>
      <c r="D1204" s="136" t="e">
        <f>tbl_IO_List[[#This Row],[Card]]</f>
        <v>#N/A</v>
      </c>
      <c r="E1204" s="136" t="s">
        <v>1366</v>
      </c>
      <c r="F1204" s="136" t="str">
        <f>tbl_IO_List[[#This Row],[Column23]]&amp;"-" &amp;tbl_IO_List[[#This Row],[Column52]]</f>
        <v>C8S06-X1</v>
      </c>
      <c r="G1204" s="136" t="str">
        <f>tbl_IO_List[[#This Row],[PLC_Tag]]</f>
        <v>Spare_AI_0</v>
      </c>
      <c r="H1204" s="136"/>
      <c r="I1204" s="136" t="str">
        <f>VLOOKUP(tbl_IO_List[[#This Row],[Destination]],tbl_Junction[],2,FALSE)</f>
        <v>Packing Tower 2th Floor</v>
      </c>
      <c r="J1204" s="136"/>
      <c r="K1204" s="136"/>
      <c r="L1204" s="136" t="s">
        <v>411</v>
      </c>
      <c r="M1204" s="136" t="e">
        <f>VLOOKUP(tbl_IO_List[[#This Row],[Instruement Tag]],tbl_Instruement_List[],2,FALSE)</f>
        <v>#N/A</v>
      </c>
      <c r="N1204" s="136"/>
      <c r="O1204" s="136"/>
      <c r="P1204" s="136"/>
      <c r="Q1204" s="136" t="e">
        <f>VLOOKUP(tbl_IO_List[[#This Row],[Instruement Tag]],tbl_Instruement_List[],6,FALSE)</f>
        <v>#N/A</v>
      </c>
      <c r="R1204" s="136"/>
      <c r="S120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1204" s="136" t="str">
        <f>tbl_IO_List[[#This Row],[Instruement Tag]]&amp;"_"&amp;tbl_IO_List[[#This Row],[I/O Type]]&amp;"_"&amp;tbl_IO_List[[#This Row],[IO-Point 
(Instruement)]]</f>
        <v>Spare_AI_0</v>
      </c>
      <c r="U1204" s="136" t="s">
        <v>10</v>
      </c>
      <c r="V1204" s="136">
        <f>VLOOKUP(tbl_IO_List[[#This Row],[I/O Type]],tbl_Slot_Group[],2,FALSE)</f>
        <v>3</v>
      </c>
      <c r="W1204" s="136">
        <v>0</v>
      </c>
      <c r="X1204" s="136" t="str">
        <f>tbl_IO_List[[#This Row],[Chassis]]&amp;"S"&amp;TEXT(tbl_IO_List[[#This Row],[Slot]],"00")</f>
        <v>C8S06</v>
      </c>
      <c r="Y1204" s="136" t="str">
        <f>tbl_IO_List[[#This Row],[Chassis]]&amp;"S"&amp;TEXT(tbl_IO_List[[#This Row],[Slot]],"00")&amp;tbl_IO_List[[#This Row],[I/O Type]]&amp;TEXT(tbl_IO_List[[#This Row],[Point]],"00")</f>
        <v>C8S06AI14</v>
      </c>
      <c r="Z1204" s="136" t="str">
        <f>tbl_IO_List[[#This Row],[Chassis]]&amp;"S"&amp;TEXT(tbl_IO_List[[#This Row],[Slot]],"00")&amp;","&amp;TEXT(tbl_IO_List[[#This Row],[Point]],"00")</f>
        <v>C8S06,14</v>
      </c>
      <c r="AA1204" s="136" t="e">
        <f>VLOOKUP(tbl_IO_List[[#This Row],[Column23]],tbl_RackConfig[],5,FALSE) &amp;"-"&amp;tbl_IO_List[[#This Row],[Point]]</f>
        <v>#N/A</v>
      </c>
      <c r="AB1204" s="136"/>
      <c r="AC1204" s="136"/>
      <c r="AD1204" s="136" t="str">
        <f>tbl_IO_List[[#This Row],[I/O Type]]</f>
        <v>AI</v>
      </c>
      <c r="AE1204" s="136" t="s">
        <v>1843</v>
      </c>
      <c r="AF1204" s="136">
        <v>6</v>
      </c>
      <c r="AG1204" s="136">
        <v>14</v>
      </c>
      <c r="AH1204" s="136"/>
      <c r="AI1204" s="136"/>
      <c r="AJ1204" s="136">
        <v>0</v>
      </c>
      <c r="AK1204" s="136">
        <v>0</v>
      </c>
      <c r="AL1204" s="136">
        <v>1</v>
      </c>
      <c r="AM1204" s="136">
        <v>0</v>
      </c>
      <c r="AN1204" s="136">
        <v>0</v>
      </c>
      <c r="AO1204" s="136"/>
      <c r="AP1204" s="143" t="e">
        <f>VLOOKUP(tbl_IO_List[[#This Row],[Instruement Tag]],tbl_Instruement_List[],14,FALSE)</f>
        <v>#N/A</v>
      </c>
      <c r="AQ1204" s="143" t="str">
        <f>tbl_IO_List[[#This Row],[Chassis]]&amp;"S"&amp;tbl_IO_List[[#This Row],[Slot]]&amp;"-"&amp;tbl_IO_List[[#This Row],[Front Terminal Number]]</f>
        <v>C8S6-</v>
      </c>
      <c r="AR1204" s="143"/>
      <c r="AS1204" s="136" t="str">
        <f>tbl_IO_List[[#This Row],[Terminal Tagging]]&amp;"-"&amp;tbl_IO_List[[#This Row],[Point-Count]]</f>
        <v>-</v>
      </c>
      <c r="AT1204" s="136" t="str">
        <f>tbl_IO_List[[#This Row],[Front Terminal Tagging]]&amp;"/"&amp;tbl_IO_List[[#This Row],[Terminal Tagging-Item]]</f>
        <v>C8S6-/-</v>
      </c>
      <c r="AU1204" s="136" t="str">
        <f>tbl_IO_List[[#This Row],[Terminal Tagging-Item]]&amp;"/"&amp;tbl_IO_List[[#This Row],[Front Terminal Tagging]]</f>
        <v>-/C8S6-</v>
      </c>
    </row>
    <row r="1205" spans="1:47" hidden="1">
      <c r="A1205" s="147" t="s">
        <v>1371</v>
      </c>
      <c r="B1205" s="136" t="s">
        <v>65</v>
      </c>
      <c r="C1205" s="136" t="str">
        <f>tbl_IO_List[[#This Row],[Column3]]</f>
        <v>C8S06,14</v>
      </c>
      <c r="D1205" s="136" t="e">
        <f>tbl_IO_List[[#This Row],[Card]]</f>
        <v>#N/A</v>
      </c>
      <c r="E1205" s="136" t="s">
        <v>1366</v>
      </c>
      <c r="F1205" s="136" t="str">
        <f>tbl_IO_List[[#This Row],[Column23]]&amp;"-" &amp;tbl_IO_List[[#This Row],[Column52]]</f>
        <v>C8S06-X1</v>
      </c>
      <c r="G1205" s="136" t="str">
        <f>tbl_IO_List[[#This Row],[PLC_Tag]]</f>
        <v>Spare_AI_0</v>
      </c>
      <c r="H1205" s="136"/>
      <c r="I1205" s="136" t="str">
        <f>VLOOKUP(tbl_IO_List[[#This Row],[Destination]],tbl_Junction[],2,FALSE)</f>
        <v>Packing Tower 2th Floor</v>
      </c>
      <c r="J1205" s="136"/>
      <c r="K1205" s="136"/>
      <c r="L1205" s="136" t="s">
        <v>411</v>
      </c>
      <c r="M1205" s="136" t="e">
        <f>VLOOKUP(tbl_IO_List[[#This Row],[Instruement Tag]],tbl_Instruement_List[],2,FALSE)</f>
        <v>#N/A</v>
      </c>
      <c r="N1205" s="136"/>
      <c r="O1205" s="136"/>
      <c r="P1205" s="136"/>
      <c r="Q1205" s="136" t="e">
        <f>VLOOKUP(tbl_IO_List[[#This Row],[Instruement Tag]],tbl_Instruement_List[],6,FALSE)</f>
        <v>#N/A</v>
      </c>
      <c r="R1205" s="136"/>
      <c r="S120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1205" s="136" t="str">
        <f>tbl_IO_List[[#This Row],[Instruement Tag]]&amp;"_"&amp;tbl_IO_List[[#This Row],[I/O Type]]&amp;"_"&amp;tbl_IO_List[[#This Row],[IO-Point 
(Instruement)]]</f>
        <v>Spare_AI_0</v>
      </c>
      <c r="U1205" s="136" t="s">
        <v>10</v>
      </c>
      <c r="V1205" s="136">
        <f>VLOOKUP(tbl_IO_List[[#This Row],[I/O Type]],tbl_Slot_Group[],2,FALSE)</f>
        <v>3</v>
      </c>
      <c r="W1205" s="136">
        <v>0</v>
      </c>
      <c r="X1205" s="136" t="str">
        <f>tbl_IO_List[[#This Row],[Chassis]]&amp;"S"&amp;TEXT(tbl_IO_List[[#This Row],[Slot]],"00")</f>
        <v>C8S06</v>
      </c>
      <c r="Y1205" s="136" t="str">
        <f>tbl_IO_List[[#This Row],[Chassis]]&amp;"S"&amp;TEXT(tbl_IO_List[[#This Row],[Slot]],"00")&amp;tbl_IO_List[[#This Row],[I/O Type]]&amp;TEXT(tbl_IO_List[[#This Row],[Point]],"00")</f>
        <v>C8S06AI14</v>
      </c>
      <c r="Z1205" s="136" t="str">
        <f>tbl_IO_List[[#This Row],[Chassis]]&amp;"S"&amp;TEXT(tbl_IO_List[[#This Row],[Slot]],"00")&amp;","&amp;TEXT(tbl_IO_List[[#This Row],[Point]],"00")</f>
        <v>C8S06,14</v>
      </c>
      <c r="AA1205" s="136" t="e">
        <f>VLOOKUP(tbl_IO_List[[#This Row],[Column23]],tbl_RackConfig[],5,FALSE) &amp;"-"&amp;tbl_IO_List[[#This Row],[Point]]</f>
        <v>#N/A</v>
      </c>
      <c r="AB1205" s="136"/>
      <c r="AC1205" s="136"/>
      <c r="AD1205" s="136" t="str">
        <f>tbl_IO_List[[#This Row],[I/O Type]]</f>
        <v>AI</v>
      </c>
      <c r="AE1205" s="136" t="s">
        <v>1843</v>
      </c>
      <c r="AF1205" s="136">
        <v>6</v>
      </c>
      <c r="AG1205" s="136">
        <v>14</v>
      </c>
      <c r="AH1205" s="136"/>
      <c r="AI1205" s="136"/>
      <c r="AJ1205" s="136">
        <v>0</v>
      </c>
      <c r="AK1205" s="136">
        <v>0</v>
      </c>
      <c r="AL1205" s="136">
        <v>1</v>
      </c>
      <c r="AM1205" s="136">
        <v>0</v>
      </c>
      <c r="AN1205" s="136">
        <v>0</v>
      </c>
      <c r="AO1205" s="136"/>
      <c r="AP1205" s="143" t="e">
        <f>VLOOKUP(tbl_IO_List[[#This Row],[Instruement Tag]],tbl_Instruement_List[],14,FALSE)</f>
        <v>#N/A</v>
      </c>
      <c r="AQ1205" s="143" t="str">
        <f>tbl_IO_List[[#This Row],[Chassis]]&amp;"S"&amp;tbl_IO_List[[#This Row],[Slot]]&amp;"-"&amp;tbl_IO_List[[#This Row],[Front Terminal Number]]</f>
        <v>C8S6-</v>
      </c>
      <c r="AR1205" s="143"/>
      <c r="AS1205" s="136" t="str">
        <f>tbl_IO_List[[#This Row],[Terminal Tagging]]&amp;"-"&amp;tbl_IO_List[[#This Row],[Point-Count]]</f>
        <v>-</v>
      </c>
      <c r="AT1205" s="136" t="str">
        <f>tbl_IO_List[[#This Row],[Front Terminal Tagging]]&amp;"/"&amp;tbl_IO_List[[#This Row],[Terminal Tagging-Item]]</f>
        <v>C8S6-/-</v>
      </c>
      <c r="AU1205" s="136" t="str">
        <f>tbl_IO_List[[#This Row],[Terminal Tagging-Item]]&amp;"/"&amp;tbl_IO_List[[#This Row],[Front Terminal Tagging]]</f>
        <v>-/C8S6-</v>
      </c>
    </row>
    <row r="1206" spans="1:47" hidden="1">
      <c r="A1206" s="147" t="s">
        <v>1371</v>
      </c>
      <c r="B1206" s="136" t="s">
        <v>65</v>
      </c>
      <c r="C1206" s="136" t="str">
        <f>tbl_IO_List[[#This Row],[Column3]]</f>
        <v>C8S06,14</v>
      </c>
      <c r="D1206" s="136" t="e">
        <f>tbl_IO_List[[#This Row],[Card]]</f>
        <v>#N/A</v>
      </c>
      <c r="E1206" s="136" t="s">
        <v>1366</v>
      </c>
      <c r="F1206" s="136" t="str">
        <f>tbl_IO_List[[#This Row],[Column23]]&amp;"-" &amp;tbl_IO_List[[#This Row],[Column52]]</f>
        <v>C8S06-X1</v>
      </c>
      <c r="G1206" s="136" t="str">
        <f>tbl_IO_List[[#This Row],[PLC_Tag]]</f>
        <v>Spare_AI_0</v>
      </c>
      <c r="H1206" s="136"/>
      <c r="I1206" s="136" t="str">
        <f>VLOOKUP(tbl_IO_List[[#This Row],[Destination]],tbl_Junction[],2,FALSE)</f>
        <v>Packing Tower 2th Floor</v>
      </c>
      <c r="J1206" s="136"/>
      <c r="K1206" s="136"/>
      <c r="L1206" s="136" t="s">
        <v>411</v>
      </c>
      <c r="M1206" s="136" t="e">
        <f>VLOOKUP(tbl_IO_List[[#This Row],[Instruement Tag]],tbl_Instruement_List[],2,FALSE)</f>
        <v>#N/A</v>
      </c>
      <c r="N1206" s="136"/>
      <c r="O1206" s="136"/>
      <c r="P1206" s="136"/>
      <c r="Q1206" s="136" t="e">
        <f>VLOOKUP(tbl_IO_List[[#This Row],[Instruement Tag]],tbl_Instruement_List[],6,FALSE)</f>
        <v>#N/A</v>
      </c>
      <c r="R1206" s="136"/>
      <c r="S120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1206" s="136" t="str">
        <f>tbl_IO_List[[#This Row],[Instruement Tag]]&amp;"_"&amp;tbl_IO_List[[#This Row],[I/O Type]]&amp;"_"&amp;tbl_IO_List[[#This Row],[IO-Point 
(Instruement)]]</f>
        <v>Spare_AI_0</v>
      </c>
      <c r="U1206" s="136" t="s">
        <v>10</v>
      </c>
      <c r="V1206" s="136">
        <f>VLOOKUP(tbl_IO_List[[#This Row],[I/O Type]],tbl_Slot_Group[],2,FALSE)</f>
        <v>3</v>
      </c>
      <c r="W1206" s="136">
        <v>0</v>
      </c>
      <c r="X1206" s="136" t="str">
        <f>tbl_IO_List[[#This Row],[Chassis]]&amp;"S"&amp;TEXT(tbl_IO_List[[#This Row],[Slot]],"00")</f>
        <v>C8S06</v>
      </c>
      <c r="Y1206" s="136" t="str">
        <f>tbl_IO_List[[#This Row],[Chassis]]&amp;"S"&amp;TEXT(tbl_IO_List[[#This Row],[Slot]],"00")&amp;tbl_IO_List[[#This Row],[I/O Type]]&amp;TEXT(tbl_IO_List[[#This Row],[Point]],"00")</f>
        <v>C8S06AI14</v>
      </c>
      <c r="Z1206" s="136" t="str">
        <f>tbl_IO_List[[#This Row],[Chassis]]&amp;"S"&amp;TEXT(tbl_IO_List[[#This Row],[Slot]],"00")&amp;","&amp;TEXT(tbl_IO_List[[#This Row],[Point]],"00")</f>
        <v>C8S06,14</v>
      </c>
      <c r="AA1206" s="136" t="e">
        <f>VLOOKUP(tbl_IO_List[[#This Row],[Column23]],tbl_RackConfig[],5,FALSE) &amp;"-"&amp;tbl_IO_List[[#This Row],[Point]]</f>
        <v>#N/A</v>
      </c>
      <c r="AB1206" s="136"/>
      <c r="AC1206" s="136"/>
      <c r="AD1206" s="136" t="str">
        <f>tbl_IO_List[[#This Row],[I/O Type]]</f>
        <v>AI</v>
      </c>
      <c r="AE1206" s="136" t="s">
        <v>1843</v>
      </c>
      <c r="AF1206" s="136">
        <v>6</v>
      </c>
      <c r="AG1206" s="136">
        <v>14</v>
      </c>
      <c r="AH1206" s="136"/>
      <c r="AI1206" s="136"/>
      <c r="AJ1206" s="136">
        <v>0</v>
      </c>
      <c r="AK1206" s="136">
        <v>0</v>
      </c>
      <c r="AL1206" s="136">
        <v>1</v>
      </c>
      <c r="AM1206" s="136">
        <v>0</v>
      </c>
      <c r="AN1206" s="136">
        <v>0</v>
      </c>
      <c r="AO1206" s="136"/>
      <c r="AP1206" s="143" t="e">
        <f>VLOOKUP(tbl_IO_List[[#This Row],[Instruement Tag]],tbl_Instruement_List[],14,FALSE)</f>
        <v>#N/A</v>
      </c>
      <c r="AQ1206" s="143" t="str">
        <f>tbl_IO_List[[#This Row],[Chassis]]&amp;"S"&amp;tbl_IO_List[[#This Row],[Slot]]&amp;"-"&amp;tbl_IO_List[[#This Row],[Front Terminal Number]]</f>
        <v>C8S6-</v>
      </c>
      <c r="AR1206" s="143"/>
      <c r="AS1206" s="136" t="str">
        <f>tbl_IO_List[[#This Row],[Terminal Tagging]]&amp;"-"&amp;tbl_IO_List[[#This Row],[Point-Count]]</f>
        <v>-</v>
      </c>
      <c r="AT1206" s="136" t="str">
        <f>tbl_IO_List[[#This Row],[Front Terminal Tagging]]&amp;"/"&amp;tbl_IO_List[[#This Row],[Terminal Tagging-Item]]</f>
        <v>C8S6-/-</v>
      </c>
      <c r="AU1206" s="136" t="str">
        <f>tbl_IO_List[[#This Row],[Terminal Tagging-Item]]&amp;"/"&amp;tbl_IO_List[[#This Row],[Front Terminal Tagging]]</f>
        <v>-/C8S6-</v>
      </c>
    </row>
    <row r="1207" spans="1:47" hidden="1">
      <c r="A1207" s="147" t="s">
        <v>1371</v>
      </c>
      <c r="B1207" s="136" t="s">
        <v>65</v>
      </c>
      <c r="C1207" s="136" t="str">
        <f>tbl_IO_List[[#This Row],[Column3]]</f>
        <v>C8S06,14</v>
      </c>
      <c r="D1207" s="136" t="e">
        <f>tbl_IO_List[[#This Row],[Card]]</f>
        <v>#N/A</v>
      </c>
      <c r="E1207" s="136" t="s">
        <v>1366</v>
      </c>
      <c r="F1207" s="136" t="str">
        <f>tbl_IO_List[[#This Row],[Column23]]&amp;"-" &amp;tbl_IO_List[[#This Row],[Column52]]</f>
        <v>C8S06-X1</v>
      </c>
      <c r="G1207" s="136" t="str">
        <f>tbl_IO_List[[#This Row],[PLC_Tag]]</f>
        <v>Spare_AI_0</v>
      </c>
      <c r="H1207" s="136"/>
      <c r="I1207" s="136" t="str">
        <f>VLOOKUP(tbl_IO_List[[#This Row],[Destination]],tbl_Junction[],2,FALSE)</f>
        <v>Packing Tower 2th Floor</v>
      </c>
      <c r="J1207" s="136"/>
      <c r="K1207" s="136"/>
      <c r="L1207" s="136" t="s">
        <v>411</v>
      </c>
      <c r="M1207" s="136" t="e">
        <f>VLOOKUP(tbl_IO_List[[#This Row],[Instruement Tag]],tbl_Instruement_List[],2,FALSE)</f>
        <v>#N/A</v>
      </c>
      <c r="N1207" s="136"/>
      <c r="O1207" s="136"/>
      <c r="P1207" s="136"/>
      <c r="Q1207" s="136" t="e">
        <f>VLOOKUP(tbl_IO_List[[#This Row],[Instruement Tag]],tbl_Instruement_List[],6,FALSE)</f>
        <v>#N/A</v>
      </c>
      <c r="R1207" s="136"/>
      <c r="S120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1207" s="136" t="str">
        <f>tbl_IO_List[[#This Row],[Instruement Tag]]&amp;"_"&amp;tbl_IO_List[[#This Row],[I/O Type]]&amp;"_"&amp;tbl_IO_List[[#This Row],[IO-Point 
(Instruement)]]</f>
        <v>Spare_AI_0</v>
      </c>
      <c r="U1207" s="136" t="s">
        <v>10</v>
      </c>
      <c r="V1207" s="136">
        <f>VLOOKUP(tbl_IO_List[[#This Row],[I/O Type]],tbl_Slot_Group[],2,FALSE)</f>
        <v>3</v>
      </c>
      <c r="W1207" s="136">
        <v>0</v>
      </c>
      <c r="X1207" s="136" t="str">
        <f>tbl_IO_List[[#This Row],[Chassis]]&amp;"S"&amp;TEXT(tbl_IO_List[[#This Row],[Slot]],"00")</f>
        <v>C8S06</v>
      </c>
      <c r="Y1207" s="136" t="str">
        <f>tbl_IO_List[[#This Row],[Chassis]]&amp;"S"&amp;TEXT(tbl_IO_List[[#This Row],[Slot]],"00")&amp;tbl_IO_List[[#This Row],[I/O Type]]&amp;TEXT(tbl_IO_List[[#This Row],[Point]],"00")</f>
        <v>C8S06AI14</v>
      </c>
      <c r="Z1207" s="136" t="str">
        <f>tbl_IO_List[[#This Row],[Chassis]]&amp;"S"&amp;TEXT(tbl_IO_List[[#This Row],[Slot]],"00")&amp;","&amp;TEXT(tbl_IO_List[[#This Row],[Point]],"00")</f>
        <v>C8S06,14</v>
      </c>
      <c r="AA1207" s="136" t="e">
        <f>VLOOKUP(tbl_IO_List[[#This Row],[Column23]],tbl_RackConfig[],5,FALSE) &amp;"-"&amp;tbl_IO_List[[#This Row],[Point]]</f>
        <v>#N/A</v>
      </c>
      <c r="AB1207" s="136"/>
      <c r="AC1207" s="136"/>
      <c r="AD1207" s="136" t="str">
        <f>tbl_IO_List[[#This Row],[I/O Type]]</f>
        <v>AI</v>
      </c>
      <c r="AE1207" s="136" t="s">
        <v>1843</v>
      </c>
      <c r="AF1207" s="136">
        <v>6</v>
      </c>
      <c r="AG1207" s="136">
        <v>14</v>
      </c>
      <c r="AH1207" s="136"/>
      <c r="AI1207" s="136"/>
      <c r="AJ1207" s="136">
        <v>0</v>
      </c>
      <c r="AK1207" s="136">
        <v>0</v>
      </c>
      <c r="AL1207" s="136">
        <v>1</v>
      </c>
      <c r="AM1207" s="136">
        <v>0</v>
      </c>
      <c r="AN1207" s="136">
        <v>0</v>
      </c>
      <c r="AO1207" s="136"/>
      <c r="AP1207" s="143" t="e">
        <f>VLOOKUP(tbl_IO_List[[#This Row],[Instruement Tag]],tbl_Instruement_List[],14,FALSE)</f>
        <v>#N/A</v>
      </c>
      <c r="AQ1207" s="143" t="str">
        <f>tbl_IO_List[[#This Row],[Chassis]]&amp;"S"&amp;tbl_IO_List[[#This Row],[Slot]]&amp;"-"&amp;tbl_IO_List[[#This Row],[Front Terminal Number]]</f>
        <v>C8S6-</v>
      </c>
      <c r="AR1207" s="143"/>
      <c r="AS1207" s="136" t="str">
        <f>tbl_IO_List[[#This Row],[Terminal Tagging]]&amp;"-"&amp;tbl_IO_List[[#This Row],[Point-Count]]</f>
        <v>-</v>
      </c>
      <c r="AT1207" s="136" t="str">
        <f>tbl_IO_List[[#This Row],[Front Terminal Tagging]]&amp;"/"&amp;tbl_IO_List[[#This Row],[Terminal Tagging-Item]]</f>
        <v>C8S6-/-</v>
      </c>
      <c r="AU1207" s="136" t="str">
        <f>tbl_IO_List[[#This Row],[Terminal Tagging-Item]]&amp;"/"&amp;tbl_IO_List[[#This Row],[Front Terminal Tagging]]</f>
        <v>-/C8S6-</v>
      </c>
    </row>
    <row r="1208" spans="1:47" hidden="1">
      <c r="A1208" s="147" t="s">
        <v>1371</v>
      </c>
      <c r="B1208" s="136" t="s">
        <v>65</v>
      </c>
      <c r="C1208" s="136" t="str">
        <f>tbl_IO_List[[#This Row],[Column3]]</f>
        <v>C8S06,14</v>
      </c>
      <c r="D1208" s="136" t="e">
        <f>tbl_IO_List[[#This Row],[Card]]</f>
        <v>#N/A</v>
      </c>
      <c r="E1208" s="136" t="s">
        <v>1366</v>
      </c>
      <c r="F1208" s="136" t="str">
        <f>tbl_IO_List[[#This Row],[Column23]]&amp;"-" &amp;tbl_IO_List[[#This Row],[Column52]]</f>
        <v>C8S06-X1</v>
      </c>
      <c r="G1208" s="136" t="str">
        <f>tbl_IO_List[[#This Row],[PLC_Tag]]</f>
        <v>Spare_AI_0</v>
      </c>
      <c r="H1208" s="136"/>
      <c r="I1208" s="136" t="str">
        <f>VLOOKUP(tbl_IO_List[[#This Row],[Destination]],tbl_Junction[],2,FALSE)</f>
        <v>Packing Tower 2th Floor</v>
      </c>
      <c r="J1208" s="136"/>
      <c r="K1208" s="136"/>
      <c r="L1208" s="136" t="s">
        <v>411</v>
      </c>
      <c r="M1208" s="136" t="e">
        <f>VLOOKUP(tbl_IO_List[[#This Row],[Instruement Tag]],tbl_Instruement_List[],2,FALSE)</f>
        <v>#N/A</v>
      </c>
      <c r="N1208" s="136"/>
      <c r="O1208" s="136"/>
      <c r="P1208" s="136"/>
      <c r="Q1208" s="136" t="e">
        <f>VLOOKUP(tbl_IO_List[[#This Row],[Instruement Tag]],tbl_Instruement_List[],6,FALSE)</f>
        <v>#N/A</v>
      </c>
      <c r="R1208" s="136"/>
      <c r="S120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1208" s="136" t="str">
        <f>tbl_IO_List[[#This Row],[Instruement Tag]]&amp;"_"&amp;tbl_IO_List[[#This Row],[I/O Type]]&amp;"_"&amp;tbl_IO_List[[#This Row],[IO-Point 
(Instruement)]]</f>
        <v>Spare_AI_0</v>
      </c>
      <c r="U1208" s="136" t="s">
        <v>10</v>
      </c>
      <c r="V1208" s="136">
        <f>VLOOKUP(tbl_IO_List[[#This Row],[I/O Type]],tbl_Slot_Group[],2,FALSE)</f>
        <v>3</v>
      </c>
      <c r="W1208" s="136">
        <v>0</v>
      </c>
      <c r="X1208" s="136" t="str">
        <f>tbl_IO_List[[#This Row],[Chassis]]&amp;"S"&amp;TEXT(tbl_IO_List[[#This Row],[Slot]],"00")</f>
        <v>C8S06</v>
      </c>
      <c r="Y1208" s="136" t="str">
        <f>tbl_IO_List[[#This Row],[Chassis]]&amp;"S"&amp;TEXT(tbl_IO_List[[#This Row],[Slot]],"00")&amp;tbl_IO_List[[#This Row],[I/O Type]]&amp;TEXT(tbl_IO_List[[#This Row],[Point]],"00")</f>
        <v>C8S06AI14</v>
      </c>
      <c r="Z1208" s="136" t="str">
        <f>tbl_IO_List[[#This Row],[Chassis]]&amp;"S"&amp;TEXT(tbl_IO_List[[#This Row],[Slot]],"00")&amp;","&amp;TEXT(tbl_IO_List[[#This Row],[Point]],"00")</f>
        <v>C8S06,14</v>
      </c>
      <c r="AA1208" s="136" t="e">
        <f>VLOOKUP(tbl_IO_List[[#This Row],[Column23]],tbl_RackConfig[],5,FALSE) &amp;"-"&amp;tbl_IO_List[[#This Row],[Point]]</f>
        <v>#N/A</v>
      </c>
      <c r="AB1208" s="136"/>
      <c r="AC1208" s="136"/>
      <c r="AD1208" s="136" t="str">
        <f>tbl_IO_List[[#This Row],[I/O Type]]</f>
        <v>AI</v>
      </c>
      <c r="AE1208" s="136" t="s">
        <v>1843</v>
      </c>
      <c r="AF1208" s="136">
        <v>6</v>
      </c>
      <c r="AG1208" s="136">
        <v>14</v>
      </c>
      <c r="AH1208" s="136"/>
      <c r="AI1208" s="136"/>
      <c r="AJ1208" s="136">
        <v>0</v>
      </c>
      <c r="AK1208" s="136">
        <v>0</v>
      </c>
      <c r="AL1208" s="136">
        <v>1</v>
      </c>
      <c r="AM1208" s="136">
        <v>0</v>
      </c>
      <c r="AN1208" s="136">
        <v>0</v>
      </c>
      <c r="AO1208" s="136"/>
      <c r="AP1208" s="143" t="e">
        <f>VLOOKUP(tbl_IO_List[[#This Row],[Instruement Tag]],tbl_Instruement_List[],14,FALSE)</f>
        <v>#N/A</v>
      </c>
      <c r="AQ1208" s="143" t="str">
        <f>tbl_IO_List[[#This Row],[Chassis]]&amp;"S"&amp;tbl_IO_List[[#This Row],[Slot]]&amp;"-"&amp;tbl_IO_List[[#This Row],[Front Terminal Number]]</f>
        <v>C8S6-</v>
      </c>
      <c r="AR1208" s="143"/>
      <c r="AS1208" s="136" t="str">
        <f>tbl_IO_List[[#This Row],[Terminal Tagging]]&amp;"-"&amp;tbl_IO_List[[#This Row],[Point-Count]]</f>
        <v>-</v>
      </c>
      <c r="AT1208" s="136" t="str">
        <f>tbl_IO_List[[#This Row],[Front Terminal Tagging]]&amp;"/"&amp;tbl_IO_List[[#This Row],[Terminal Tagging-Item]]</f>
        <v>C8S6-/-</v>
      </c>
      <c r="AU1208" s="136" t="str">
        <f>tbl_IO_List[[#This Row],[Terminal Tagging-Item]]&amp;"/"&amp;tbl_IO_List[[#This Row],[Front Terminal Tagging]]</f>
        <v>-/C8S6-</v>
      </c>
    </row>
    <row r="1209" spans="1:47" hidden="1">
      <c r="A1209" s="147" t="s">
        <v>1371</v>
      </c>
      <c r="B1209" s="136" t="s">
        <v>65</v>
      </c>
      <c r="C1209" s="136" t="str">
        <f>tbl_IO_List[[#This Row],[Column3]]</f>
        <v>C8S06,14</v>
      </c>
      <c r="D1209" s="136" t="e">
        <f>tbl_IO_List[[#This Row],[Card]]</f>
        <v>#N/A</v>
      </c>
      <c r="E1209" s="136" t="s">
        <v>1366</v>
      </c>
      <c r="F1209" s="136" t="str">
        <f>tbl_IO_List[[#This Row],[Column23]]&amp;"-" &amp;tbl_IO_List[[#This Row],[Column52]]</f>
        <v>C8S06-X1</v>
      </c>
      <c r="G1209" s="136" t="str">
        <f>tbl_IO_List[[#This Row],[PLC_Tag]]</f>
        <v>Spare_AI_0</v>
      </c>
      <c r="H1209" s="136"/>
      <c r="I1209" s="136" t="str">
        <f>VLOOKUP(tbl_IO_List[[#This Row],[Destination]],tbl_Junction[],2,FALSE)</f>
        <v>Packing Tower 2th Floor</v>
      </c>
      <c r="J1209" s="136"/>
      <c r="K1209" s="136"/>
      <c r="L1209" s="136" t="s">
        <v>411</v>
      </c>
      <c r="M1209" s="136" t="e">
        <f>VLOOKUP(tbl_IO_List[[#This Row],[Instruement Tag]],tbl_Instruement_List[],2,FALSE)</f>
        <v>#N/A</v>
      </c>
      <c r="N1209" s="136"/>
      <c r="O1209" s="136"/>
      <c r="P1209" s="136"/>
      <c r="Q1209" s="136" t="e">
        <f>VLOOKUP(tbl_IO_List[[#This Row],[Instruement Tag]],tbl_Instruement_List[],6,FALSE)</f>
        <v>#N/A</v>
      </c>
      <c r="R1209" s="136"/>
      <c r="S120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1209" s="136" t="str">
        <f>tbl_IO_List[[#This Row],[Instruement Tag]]&amp;"_"&amp;tbl_IO_List[[#This Row],[I/O Type]]&amp;"_"&amp;tbl_IO_List[[#This Row],[IO-Point 
(Instruement)]]</f>
        <v>Spare_AI_0</v>
      </c>
      <c r="U1209" s="136" t="s">
        <v>10</v>
      </c>
      <c r="V1209" s="136">
        <f>VLOOKUP(tbl_IO_List[[#This Row],[I/O Type]],tbl_Slot_Group[],2,FALSE)</f>
        <v>3</v>
      </c>
      <c r="W1209" s="136">
        <v>0</v>
      </c>
      <c r="X1209" s="136" t="str">
        <f>tbl_IO_List[[#This Row],[Chassis]]&amp;"S"&amp;TEXT(tbl_IO_List[[#This Row],[Slot]],"00")</f>
        <v>C8S06</v>
      </c>
      <c r="Y1209" s="136" t="str">
        <f>tbl_IO_List[[#This Row],[Chassis]]&amp;"S"&amp;TEXT(tbl_IO_List[[#This Row],[Slot]],"00")&amp;tbl_IO_List[[#This Row],[I/O Type]]&amp;TEXT(tbl_IO_List[[#This Row],[Point]],"00")</f>
        <v>C8S06AI14</v>
      </c>
      <c r="Z1209" s="136" t="str">
        <f>tbl_IO_List[[#This Row],[Chassis]]&amp;"S"&amp;TEXT(tbl_IO_List[[#This Row],[Slot]],"00")&amp;","&amp;TEXT(tbl_IO_List[[#This Row],[Point]],"00")</f>
        <v>C8S06,14</v>
      </c>
      <c r="AA1209" s="136" t="e">
        <f>VLOOKUP(tbl_IO_List[[#This Row],[Column23]],tbl_RackConfig[],5,FALSE) &amp;"-"&amp;tbl_IO_List[[#This Row],[Point]]</f>
        <v>#N/A</v>
      </c>
      <c r="AB1209" s="136"/>
      <c r="AC1209" s="136"/>
      <c r="AD1209" s="136" t="str">
        <f>tbl_IO_List[[#This Row],[I/O Type]]</f>
        <v>AI</v>
      </c>
      <c r="AE1209" s="136" t="s">
        <v>1843</v>
      </c>
      <c r="AF1209" s="136">
        <v>6</v>
      </c>
      <c r="AG1209" s="136">
        <v>14</v>
      </c>
      <c r="AH1209" s="136"/>
      <c r="AI1209" s="136"/>
      <c r="AJ1209" s="136">
        <v>0</v>
      </c>
      <c r="AK1209" s="136">
        <v>0</v>
      </c>
      <c r="AL1209" s="136">
        <v>1</v>
      </c>
      <c r="AM1209" s="136">
        <v>0</v>
      </c>
      <c r="AN1209" s="136">
        <v>0</v>
      </c>
      <c r="AO1209" s="136"/>
      <c r="AP1209" s="143" t="e">
        <f>VLOOKUP(tbl_IO_List[[#This Row],[Instruement Tag]],tbl_Instruement_List[],14,FALSE)</f>
        <v>#N/A</v>
      </c>
      <c r="AQ1209" s="143" t="str">
        <f>tbl_IO_List[[#This Row],[Chassis]]&amp;"S"&amp;tbl_IO_List[[#This Row],[Slot]]&amp;"-"&amp;tbl_IO_List[[#This Row],[Front Terminal Number]]</f>
        <v>C8S6-</v>
      </c>
      <c r="AR1209" s="143"/>
      <c r="AS1209" s="136" t="str">
        <f>tbl_IO_List[[#This Row],[Terminal Tagging]]&amp;"-"&amp;tbl_IO_List[[#This Row],[Point-Count]]</f>
        <v>-</v>
      </c>
      <c r="AT1209" s="136" t="str">
        <f>tbl_IO_List[[#This Row],[Front Terminal Tagging]]&amp;"/"&amp;tbl_IO_List[[#This Row],[Terminal Tagging-Item]]</f>
        <v>C8S6-/-</v>
      </c>
      <c r="AU1209" s="136" t="str">
        <f>tbl_IO_List[[#This Row],[Terminal Tagging-Item]]&amp;"/"&amp;tbl_IO_List[[#This Row],[Front Terminal Tagging]]</f>
        <v>-/C8S6-</v>
      </c>
    </row>
    <row r="1210" spans="1:47" hidden="1">
      <c r="A1210" s="147" t="s">
        <v>1371</v>
      </c>
      <c r="B1210" s="136" t="s">
        <v>65</v>
      </c>
      <c r="C1210" s="136" t="str">
        <f>tbl_IO_List[[#This Row],[Column3]]</f>
        <v>C8S06,14</v>
      </c>
      <c r="D1210" s="136" t="e">
        <f>tbl_IO_List[[#This Row],[Card]]</f>
        <v>#N/A</v>
      </c>
      <c r="E1210" s="136" t="s">
        <v>1366</v>
      </c>
      <c r="F1210" s="136" t="str">
        <f>tbl_IO_List[[#This Row],[Column23]]&amp;"-" &amp;tbl_IO_List[[#This Row],[Column52]]</f>
        <v>C8S06-X1</v>
      </c>
      <c r="G1210" s="136" t="str">
        <f>tbl_IO_List[[#This Row],[PLC_Tag]]</f>
        <v>Spare_AI_0</v>
      </c>
      <c r="H1210" s="136"/>
      <c r="I1210" s="136" t="str">
        <f>VLOOKUP(tbl_IO_List[[#This Row],[Destination]],tbl_Junction[],2,FALSE)</f>
        <v>Packing Tower 2th Floor</v>
      </c>
      <c r="J1210" s="136"/>
      <c r="K1210" s="136"/>
      <c r="L1210" s="136" t="s">
        <v>411</v>
      </c>
      <c r="M1210" s="136" t="e">
        <f>VLOOKUP(tbl_IO_List[[#This Row],[Instruement Tag]],tbl_Instruement_List[],2,FALSE)</f>
        <v>#N/A</v>
      </c>
      <c r="N1210" s="136"/>
      <c r="O1210" s="136"/>
      <c r="P1210" s="136"/>
      <c r="Q1210" s="136" t="e">
        <f>VLOOKUP(tbl_IO_List[[#This Row],[Instruement Tag]],tbl_Instruement_List[],6,FALSE)</f>
        <v>#N/A</v>
      </c>
      <c r="R1210" s="136"/>
      <c r="S1210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1210" s="136" t="str">
        <f>tbl_IO_List[[#This Row],[Instruement Tag]]&amp;"_"&amp;tbl_IO_List[[#This Row],[I/O Type]]&amp;"_"&amp;tbl_IO_List[[#This Row],[IO-Point 
(Instruement)]]</f>
        <v>Spare_AI_0</v>
      </c>
      <c r="U1210" s="136" t="s">
        <v>10</v>
      </c>
      <c r="V1210" s="136">
        <f>VLOOKUP(tbl_IO_List[[#This Row],[I/O Type]],tbl_Slot_Group[],2,FALSE)</f>
        <v>3</v>
      </c>
      <c r="W1210" s="136">
        <v>0</v>
      </c>
      <c r="X1210" s="136" t="str">
        <f>tbl_IO_List[[#This Row],[Chassis]]&amp;"S"&amp;TEXT(tbl_IO_List[[#This Row],[Slot]],"00")</f>
        <v>C8S06</v>
      </c>
      <c r="Y1210" s="136" t="str">
        <f>tbl_IO_List[[#This Row],[Chassis]]&amp;"S"&amp;TEXT(tbl_IO_List[[#This Row],[Slot]],"00")&amp;tbl_IO_List[[#This Row],[I/O Type]]&amp;TEXT(tbl_IO_List[[#This Row],[Point]],"00")</f>
        <v>C8S06AI14</v>
      </c>
      <c r="Z1210" s="136" t="str">
        <f>tbl_IO_List[[#This Row],[Chassis]]&amp;"S"&amp;TEXT(tbl_IO_List[[#This Row],[Slot]],"00")&amp;","&amp;TEXT(tbl_IO_List[[#This Row],[Point]],"00")</f>
        <v>C8S06,14</v>
      </c>
      <c r="AA1210" s="136" t="e">
        <f>VLOOKUP(tbl_IO_List[[#This Row],[Column23]],tbl_RackConfig[],5,FALSE) &amp;"-"&amp;tbl_IO_List[[#This Row],[Point]]</f>
        <v>#N/A</v>
      </c>
      <c r="AB1210" s="136"/>
      <c r="AC1210" s="136"/>
      <c r="AD1210" s="136" t="str">
        <f>tbl_IO_List[[#This Row],[I/O Type]]</f>
        <v>AI</v>
      </c>
      <c r="AE1210" s="136" t="s">
        <v>1843</v>
      </c>
      <c r="AF1210" s="136">
        <v>6</v>
      </c>
      <c r="AG1210" s="136">
        <v>14</v>
      </c>
      <c r="AH1210" s="136"/>
      <c r="AI1210" s="136"/>
      <c r="AJ1210" s="136">
        <v>0</v>
      </c>
      <c r="AK1210" s="136">
        <v>0</v>
      </c>
      <c r="AL1210" s="136">
        <v>1</v>
      </c>
      <c r="AM1210" s="136">
        <v>0</v>
      </c>
      <c r="AN1210" s="136">
        <v>0</v>
      </c>
      <c r="AO1210" s="136"/>
      <c r="AP1210" s="143" t="e">
        <f>VLOOKUP(tbl_IO_List[[#This Row],[Instruement Tag]],tbl_Instruement_List[],14,FALSE)</f>
        <v>#N/A</v>
      </c>
      <c r="AQ1210" s="143" t="str">
        <f>tbl_IO_List[[#This Row],[Chassis]]&amp;"S"&amp;tbl_IO_List[[#This Row],[Slot]]&amp;"-"&amp;tbl_IO_List[[#This Row],[Front Terminal Number]]</f>
        <v>C8S6-</v>
      </c>
      <c r="AR1210" s="143"/>
      <c r="AS1210" s="136" t="str">
        <f>tbl_IO_List[[#This Row],[Terminal Tagging]]&amp;"-"&amp;tbl_IO_List[[#This Row],[Point-Count]]</f>
        <v>-</v>
      </c>
      <c r="AT1210" s="136" t="str">
        <f>tbl_IO_List[[#This Row],[Front Terminal Tagging]]&amp;"/"&amp;tbl_IO_List[[#This Row],[Terminal Tagging-Item]]</f>
        <v>C8S6-/-</v>
      </c>
      <c r="AU1210" s="136" t="str">
        <f>tbl_IO_List[[#This Row],[Terminal Tagging-Item]]&amp;"/"&amp;tbl_IO_List[[#This Row],[Front Terminal Tagging]]</f>
        <v>-/C8S6-</v>
      </c>
    </row>
    <row r="1211" spans="1:47" hidden="1">
      <c r="A1211" s="147" t="s">
        <v>1365</v>
      </c>
      <c r="B1211" s="136" t="s">
        <v>90</v>
      </c>
      <c r="C1211" s="136" t="str">
        <f>tbl_IO_List[[#This Row],[Column3]]</f>
        <v>C8S07,04</v>
      </c>
      <c r="D1211" s="136" t="e">
        <f>tbl_IO_List[[#This Row],[Card]]</f>
        <v>#N/A</v>
      </c>
      <c r="E1211" s="136" t="s">
        <v>1366</v>
      </c>
      <c r="F1211" s="136" t="str">
        <f>tbl_IO_List[[#This Row],[Column23]]&amp;"-" &amp;tbl_IO_List[[#This Row],[Column52]]</f>
        <v>C8S07-X1</v>
      </c>
      <c r="G1211" s="136" t="str">
        <f>tbl_IO_List[[#This Row],[PLC_Tag]]</f>
        <v>DPT-61301_AI_1</v>
      </c>
      <c r="H1211" s="136"/>
      <c r="I1211" s="136" t="str">
        <f>VLOOKUP(tbl_IO_List[[#This Row],[Destination]],tbl_Junction[],2,FALSE)</f>
        <v>Packing Tower 8th Floor</v>
      </c>
      <c r="J1211" s="136" t="s">
        <v>360</v>
      </c>
      <c r="K1211" s="136" t="s">
        <v>66</v>
      </c>
      <c r="L1211" s="136" t="s">
        <v>89</v>
      </c>
      <c r="M1211" s="136" t="str">
        <f>VLOOKUP(tbl_IO_List[[#This Row],[Instruement Tag]],tbl_Instruement_List[],2,FALSE)</f>
        <v>Differential Pressure Transmitte</v>
      </c>
      <c r="N1211" s="136" t="s">
        <v>91</v>
      </c>
      <c r="O1211" s="136" t="s">
        <v>78</v>
      </c>
      <c r="P1211" s="136" t="s">
        <v>75</v>
      </c>
      <c r="Q1211" s="136" t="str">
        <f>VLOOKUP(tbl_IO_List[[#This Row],[Instruement Tag]],tbl_Instruement_List[],6,FALSE)</f>
        <v>Vent filter pressure</v>
      </c>
      <c r="R1211" s="136"/>
      <c r="S1211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1211" s="136" t="str">
        <f>tbl_IO_List[[#This Row],[Instruement Tag]]&amp;"_"&amp;tbl_IO_List[[#This Row],[I/O Type]]&amp;"_"&amp;tbl_IO_List[[#This Row],[IO-Point 
(Instruement)]]</f>
        <v>DPT-61301_AI_1</v>
      </c>
      <c r="U1211" s="136" t="s">
        <v>10</v>
      </c>
      <c r="V1211" s="136">
        <f>VLOOKUP(tbl_IO_List[[#This Row],[I/O Type]],tbl_Slot_Group[],2,FALSE)</f>
        <v>3</v>
      </c>
      <c r="W1211" s="136">
        <v>1</v>
      </c>
      <c r="X1211" s="136" t="str">
        <f>tbl_IO_List[[#This Row],[Chassis]]&amp;"S"&amp;TEXT(tbl_IO_List[[#This Row],[Slot]],"00")</f>
        <v>C8S07</v>
      </c>
      <c r="Y1211" s="136" t="str">
        <f>tbl_IO_List[[#This Row],[Chassis]]&amp;"S"&amp;TEXT(tbl_IO_List[[#This Row],[Slot]],"00")&amp;tbl_IO_List[[#This Row],[I/O Type]]&amp;TEXT(tbl_IO_List[[#This Row],[Point]],"00")</f>
        <v>C8S07AI04</v>
      </c>
      <c r="Z1211" s="136" t="str">
        <f>tbl_IO_List[[#This Row],[Chassis]]&amp;"S"&amp;TEXT(tbl_IO_List[[#This Row],[Slot]],"00")&amp;","&amp;TEXT(tbl_IO_List[[#This Row],[Point]],"00")</f>
        <v>C8S07,04</v>
      </c>
      <c r="AA1211" s="136" t="e">
        <f>VLOOKUP(tbl_IO_List[[#This Row],[Column23]],tbl_RackConfig[],5,FALSE) &amp;"-"&amp;tbl_IO_List[[#This Row],[Point]]</f>
        <v>#N/A</v>
      </c>
      <c r="AB1211" s="136"/>
      <c r="AC1211" s="136"/>
      <c r="AD1211" s="136" t="str">
        <f>tbl_IO_List[[#This Row],[I/O Type]]</f>
        <v>AI</v>
      </c>
      <c r="AE1211" s="136" t="s">
        <v>1843</v>
      </c>
      <c r="AF1211" s="136">
        <v>7</v>
      </c>
      <c r="AG1211" s="136">
        <v>4</v>
      </c>
      <c r="AH1211" s="136"/>
      <c r="AI1211" s="136"/>
      <c r="AJ1211" s="136">
        <v>0</v>
      </c>
      <c r="AK1211" s="136">
        <v>0</v>
      </c>
      <c r="AL1211" s="136">
        <v>1</v>
      </c>
      <c r="AM1211" s="136">
        <v>0</v>
      </c>
      <c r="AN1211" s="136">
        <v>0</v>
      </c>
      <c r="AO1211" s="136"/>
      <c r="AP1211" s="143" t="str">
        <f>VLOOKUP(tbl_IO_List[[#This Row],[Instruement Tag]],tbl_Instruement_List[],14,FALSE)</f>
        <v>4 - 20 mA</v>
      </c>
      <c r="AQ1211" s="143" t="str">
        <f>tbl_IO_List[[#This Row],[Chassis]]&amp;"S"&amp;tbl_IO_List[[#This Row],[Slot]]&amp;"-"&amp;tbl_IO_List[[#This Row],[Front Terminal Number]]</f>
        <v>C8S7-</v>
      </c>
      <c r="AR1211" s="143"/>
      <c r="AS1211" s="136" t="str">
        <f>tbl_IO_List[[#This Row],[Terminal Tagging]]&amp;"-"&amp;tbl_IO_List[[#This Row],[Point-Count]]</f>
        <v>-</v>
      </c>
      <c r="AT1211" s="136" t="str">
        <f>tbl_IO_List[[#This Row],[Front Terminal Tagging]]&amp;"/"&amp;tbl_IO_List[[#This Row],[Terminal Tagging-Item]]</f>
        <v>C8S7-/-</v>
      </c>
      <c r="AU1211" s="136" t="str">
        <f>tbl_IO_List[[#This Row],[Terminal Tagging-Item]]&amp;"/"&amp;tbl_IO_List[[#This Row],[Front Terminal Tagging]]</f>
        <v>-/C8S7-</v>
      </c>
    </row>
    <row r="1212" spans="1:47" hidden="1">
      <c r="A1212" s="147" t="s">
        <v>1365</v>
      </c>
      <c r="B1212" s="136" t="s">
        <v>90</v>
      </c>
      <c r="C1212" s="136" t="str">
        <f>tbl_IO_List[[#This Row],[Column3]]</f>
        <v>C8S07,05</v>
      </c>
      <c r="D1212" s="136" t="e">
        <f>tbl_IO_List[[#This Row],[Card]]</f>
        <v>#N/A</v>
      </c>
      <c r="E1212" s="136" t="s">
        <v>1366</v>
      </c>
      <c r="F1212" s="136" t="str">
        <f>tbl_IO_List[[#This Row],[Column23]]&amp;"-" &amp;tbl_IO_List[[#This Row],[Column52]]</f>
        <v>C8S07-X1</v>
      </c>
      <c r="G1212" s="136" t="str">
        <f>tbl_IO_List[[#This Row],[PLC_Tag]]</f>
        <v>DPT-61302_AI_1</v>
      </c>
      <c r="H1212" s="136"/>
      <c r="I1212" s="136" t="str">
        <f>VLOOKUP(tbl_IO_List[[#This Row],[Destination]],tbl_Junction[],2,FALSE)</f>
        <v>Packing Tower 8th Floor</v>
      </c>
      <c r="J1212" s="136" t="s">
        <v>360</v>
      </c>
      <c r="K1212" s="136" t="s">
        <v>66</v>
      </c>
      <c r="L1212" s="136" t="s">
        <v>92</v>
      </c>
      <c r="M1212" s="136" t="str">
        <f>VLOOKUP(tbl_IO_List[[#This Row],[Instruement Tag]],tbl_Instruement_List[],2,FALSE)</f>
        <v>Differential Pressure Transmitte</v>
      </c>
      <c r="N1212" s="136" t="s">
        <v>93</v>
      </c>
      <c r="O1212" s="136" t="s">
        <v>78</v>
      </c>
      <c r="P1212" s="136" t="s">
        <v>75</v>
      </c>
      <c r="Q1212" s="136" t="str">
        <f>VLOOKUP(tbl_IO_List[[#This Row],[Instruement Tag]],tbl_Instruement_List[],6,FALSE)</f>
        <v>Vent filter pressure</v>
      </c>
      <c r="R1212" s="136"/>
      <c r="S121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1212" s="136" t="str">
        <f>tbl_IO_List[[#This Row],[Instruement Tag]]&amp;"_"&amp;tbl_IO_List[[#This Row],[I/O Type]]&amp;"_"&amp;tbl_IO_List[[#This Row],[IO-Point 
(Instruement)]]</f>
        <v>DPT-61302_AI_1</v>
      </c>
      <c r="U1212" s="136" t="s">
        <v>10</v>
      </c>
      <c r="V1212" s="136">
        <f>VLOOKUP(tbl_IO_List[[#This Row],[I/O Type]],tbl_Slot_Group[],2,FALSE)</f>
        <v>3</v>
      </c>
      <c r="W1212" s="136">
        <v>1</v>
      </c>
      <c r="X1212" s="136" t="str">
        <f>tbl_IO_List[[#This Row],[Chassis]]&amp;"S"&amp;TEXT(tbl_IO_List[[#This Row],[Slot]],"00")</f>
        <v>C8S07</v>
      </c>
      <c r="Y1212" s="136" t="str">
        <f>tbl_IO_List[[#This Row],[Chassis]]&amp;"S"&amp;TEXT(tbl_IO_List[[#This Row],[Slot]],"00")&amp;tbl_IO_List[[#This Row],[I/O Type]]&amp;TEXT(tbl_IO_List[[#This Row],[Point]],"00")</f>
        <v>C8S07AI05</v>
      </c>
      <c r="Z1212" s="136" t="str">
        <f>tbl_IO_List[[#This Row],[Chassis]]&amp;"S"&amp;TEXT(tbl_IO_List[[#This Row],[Slot]],"00")&amp;","&amp;TEXT(tbl_IO_List[[#This Row],[Point]],"00")</f>
        <v>C8S07,05</v>
      </c>
      <c r="AA1212" s="136" t="e">
        <f>VLOOKUP(tbl_IO_List[[#This Row],[Column23]],tbl_RackConfig[],5,FALSE) &amp;"-"&amp;tbl_IO_List[[#This Row],[Point]]</f>
        <v>#N/A</v>
      </c>
      <c r="AB1212" s="136"/>
      <c r="AC1212" s="136"/>
      <c r="AD1212" s="136" t="str">
        <f>tbl_IO_List[[#This Row],[I/O Type]]</f>
        <v>AI</v>
      </c>
      <c r="AE1212" s="136" t="s">
        <v>1843</v>
      </c>
      <c r="AF1212" s="136">
        <v>7</v>
      </c>
      <c r="AG1212" s="136">
        <v>5</v>
      </c>
      <c r="AH1212" s="136"/>
      <c r="AI1212" s="136"/>
      <c r="AJ1212" s="136">
        <v>0</v>
      </c>
      <c r="AK1212" s="136">
        <v>0</v>
      </c>
      <c r="AL1212" s="136">
        <v>1</v>
      </c>
      <c r="AM1212" s="136">
        <v>0</v>
      </c>
      <c r="AN1212" s="136">
        <v>0</v>
      </c>
      <c r="AO1212" s="136"/>
      <c r="AP1212" s="143" t="str">
        <f>VLOOKUP(tbl_IO_List[[#This Row],[Instruement Tag]],tbl_Instruement_List[],14,FALSE)</f>
        <v>4 - 20 mA</v>
      </c>
      <c r="AQ1212" s="143" t="str">
        <f>tbl_IO_List[[#This Row],[Chassis]]&amp;"S"&amp;tbl_IO_List[[#This Row],[Slot]]&amp;"-"&amp;tbl_IO_List[[#This Row],[Front Terminal Number]]</f>
        <v>C8S7-</v>
      </c>
      <c r="AR1212" s="143"/>
      <c r="AS1212" s="136" t="str">
        <f>tbl_IO_List[[#This Row],[Terminal Tagging]]&amp;"-"&amp;tbl_IO_List[[#This Row],[Point-Count]]</f>
        <v>-</v>
      </c>
      <c r="AT1212" s="136" t="str">
        <f>tbl_IO_List[[#This Row],[Front Terminal Tagging]]&amp;"/"&amp;tbl_IO_List[[#This Row],[Terminal Tagging-Item]]</f>
        <v>C8S7-/-</v>
      </c>
      <c r="AU1212" s="136" t="str">
        <f>tbl_IO_List[[#This Row],[Terminal Tagging-Item]]&amp;"/"&amp;tbl_IO_List[[#This Row],[Front Terminal Tagging]]</f>
        <v>-/C8S7-</v>
      </c>
    </row>
    <row r="1213" spans="1:47" hidden="1">
      <c r="A1213" s="147" t="s">
        <v>1365</v>
      </c>
      <c r="B1213" s="136" t="s">
        <v>90</v>
      </c>
      <c r="C1213" s="136" t="str">
        <f>tbl_IO_List[[#This Row],[Column3]]</f>
        <v>C8S07,06</v>
      </c>
      <c r="D1213" s="136" t="e">
        <f>tbl_IO_List[[#This Row],[Card]]</f>
        <v>#N/A</v>
      </c>
      <c r="E1213" s="136" t="s">
        <v>1366</v>
      </c>
      <c r="F1213" s="136" t="str">
        <f>tbl_IO_List[[#This Row],[Column23]]&amp;"-" &amp;tbl_IO_List[[#This Row],[Column52]]</f>
        <v>C8S07-X1</v>
      </c>
      <c r="G1213" s="136" t="str">
        <f>tbl_IO_List[[#This Row],[PLC_Tag]]</f>
        <v>LT-61301_AI_1</v>
      </c>
      <c r="H1213" s="136"/>
      <c r="I1213" s="136" t="str">
        <f>VLOOKUP(tbl_IO_List[[#This Row],[Destination]],tbl_Junction[],2,FALSE)</f>
        <v>Packing Tower 8th Floor</v>
      </c>
      <c r="J1213" s="136" t="s">
        <v>360</v>
      </c>
      <c r="K1213" s="136" t="s">
        <v>66</v>
      </c>
      <c r="L1213" s="136" t="s">
        <v>99</v>
      </c>
      <c r="M1213" s="136" t="str">
        <f>VLOOKUP(tbl_IO_List[[#This Row],[Instruement Tag]],tbl_Instruement_List[],2,FALSE)</f>
        <v>Level Transmitter</v>
      </c>
      <c r="N1213" s="136" t="s">
        <v>91</v>
      </c>
      <c r="O1213" s="136" t="s">
        <v>78</v>
      </c>
      <c r="P1213" s="136" t="s">
        <v>75</v>
      </c>
      <c r="Q1213" s="136" t="str">
        <f>VLOOKUP(tbl_IO_List[[#This Row],[Instruement Tag]],tbl_Instruement_List[],6,FALSE)</f>
        <v>Level powder in silo</v>
      </c>
      <c r="R1213" s="136"/>
      <c r="S1213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1213" s="136" t="str">
        <f>tbl_IO_List[[#This Row],[Instruement Tag]]&amp;"_"&amp;tbl_IO_List[[#This Row],[I/O Type]]&amp;"_"&amp;tbl_IO_List[[#This Row],[IO-Point 
(Instruement)]]</f>
        <v>LT-61301_AI_1</v>
      </c>
      <c r="U1213" s="136" t="s">
        <v>10</v>
      </c>
      <c r="V1213" s="136">
        <f>VLOOKUP(tbl_IO_List[[#This Row],[I/O Type]],tbl_Slot_Group[],2,FALSE)</f>
        <v>3</v>
      </c>
      <c r="W1213" s="136">
        <v>1</v>
      </c>
      <c r="X1213" s="136" t="str">
        <f>tbl_IO_List[[#This Row],[Chassis]]&amp;"S"&amp;TEXT(tbl_IO_List[[#This Row],[Slot]],"00")</f>
        <v>C8S07</v>
      </c>
      <c r="Y1213" s="136" t="str">
        <f>tbl_IO_List[[#This Row],[Chassis]]&amp;"S"&amp;TEXT(tbl_IO_List[[#This Row],[Slot]],"00")&amp;tbl_IO_List[[#This Row],[I/O Type]]&amp;TEXT(tbl_IO_List[[#This Row],[Point]],"00")</f>
        <v>C8S07AI06</v>
      </c>
      <c r="Z1213" s="136" t="str">
        <f>tbl_IO_List[[#This Row],[Chassis]]&amp;"S"&amp;TEXT(tbl_IO_List[[#This Row],[Slot]],"00")&amp;","&amp;TEXT(tbl_IO_List[[#This Row],[Point]],"00")</f>
        <v>C8S07,06</v>
      </c>
      <c r="AA1213" s="136" t="e">
        <f>VLOOKUP(tbl_IO_List[[#This Row],[Column23]],tbl_RackConfig[],5,FALSE) &amp;"-"&amp;tbl_IO_List[[#This Row],[Point]]</f>
        <v>#N/A</v>
      </c>
      <c r="AB1213" s="136"/>
      <c r="AC1213" s="136"/>
      <c r="AD1213" s="136" t="str">
        <f>tbl_IO_List[[#This Row],[I/O Type]]</f>
        <v>AI</v>
      </c>
      <c r="AE1213" s="136" t="s">
        <v>1843</v>
      </c>
      <c r="AF1213" s="136">
        <v>7</v>
      </c>
      <c r="AG1213" s="136">
        <v>6</v>
      </c>
      <c r="AH1213" s="136"/>
      <c r="AI1213" s="136"/>
      <c r="AJ1213" s="136">
        <v>0</v>
      </c>
      <c r="AK1213" s="136">
        <v>0</v>
      </c>
      <c r="AL1213" s="136">
        <v>1</v>
      </c>
      <c r="AM1213" s="136">
        <v>0</v>
      </c>
      <c r="AN1213" s="136">
        <v>0</v>
      </c>
      <c r="AO1213" s="136"/>
      <c r="AP1213" s="143" t="str">
        <f>VLOOKUP(tbl_IO_List[[#This Row],[Instruement Tag]],tbl_Instruement_List[],14,FALSE)</f>
        <v>4 - 20 mA</v>
      </c>
      <c r="AQ1213" s="143" t="str">
        <f>tbl_IO_List[[#This Row],[Chassis]]&amp;"S"&amp;tbl_IO_List[[#This Row],[Slot]]&amp;"-"&amp;tbl_IO_List[[#This Row],[Front Terminal Number]]</f>
        <v>C8S7-</v>
      </c>
      <c r="AR1213" s="143"/>
      <c r="AS1213" s="136" t="str">
        <f>tbl_IO_List[[#This Row],[Terminal Tagging]]&amp;"-"&amp;tbl_IO_List[[#This Row],[Point-Count]]</f>
        <v>-</v>
      </c>
      <c r="AT1213" s="136" t="str">
        <f>tbl_IO_List[[#This Row],[Front Terminal Tagging]]&amp;"/"&amp;tbl_IO_List[[#This Row],[Terminal Tagging-Item]]</f>
        <v>C8S7-/-</v>
      </c>
      <c r="AU1213" s="136" t="str">
        <f>tbl_IO_List[[#This Row],[Terminal Tagging-Item]]&amp;"/"&amp;tbl_IO_List[[#This Row],[Front Terminal Tagging]]</f>
        <v>-/C8S7-</v>
      </c>
    </row>
    <row r="1214" spans="1:47" hidden="1">
      <c r="A1214" s="147" t="s">
        <v>1365</v>
      </c>
      <c r="B1214" s="136" t="s">
        <v>90</v>
      </c>
      <c r="C1214" s="136" t="str">
        <f>tbl_IO_List[[#This Row],[Column3]]</f>
        <v>C8S07,07</v>
      </c>
      <c r="D1214" s="136" t="e">
        <f>tbl_IO_List[[#This Row],[Card]]</f>
        <v>#N/A</v>
      </c>
      <c r="E1214" s="136" t="s">
        <v>1366</v>
      </c>
      <c r="F1214" s="136" t="str">
        <f>tbl_IO_List[[#This Row],[Column23]]&amp;"-" &amp;tbl_IO_List[[#This Row],[Column52]]</f>
        <v>C8S07-X1</v>
      </c>
      <c r="G1214" s="136" t="str">
        <f>tbl_IO_List[[#This Row],[PLC_Tag]]</f>
        <v>PT-61301_AI_1</v>
      </c>
      <c r="H1214" s="136"/>
      <c r="I1214" s="136" t="str">
        <f>VLOOKUP(tbl_IO_List[[#This Row],[Destination]],tbl_Junction[],2,FALSE)</f>
        <v>Packing Tower 8th Floor</v>
      </c>
      <c r="J1214" s="136" t="s">
        <v>360</v>
      </c>
      <c r="K1214" s="136" t="s">
        <v>66</v>
      </c>
      <c r="L1214" s="136" t="s">
        <v>100</v>
      </c>
      <c r="M1214" s="136" t="str">
        <f>VLOOKUP(tbl_IO_List[[#This Row],[Instruement Tag]],tbl_Instruement_List[],2,FALSE)</f>
        <v>Pressure Transmitter</v>
      </c>
      <c r="N1214" s="136" t="s">
        <v>91</v>
      </c>
      <c r="O1214" s="136" t="s">
        <v>78</v>
      </c>
      <c r="P1214" s="136" t="s">
        <v>75</v>
      </c>
      <c r="Q1214" s="136" t="str">
        <f>VLOOKUP(tbl_IO_List[[#This Row],[Instruement Tag]],tbl_Instruement_List[],6,FALSE)</f>
        <v>Pressure in silo</v>
      </c>
      <c r="R1214" s="136"/>
      <c r="S1214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1214" s="136" t="str">
        <f>tbl_IO_List[[#This Row],[Instruement Tag]]&amp;"_"&amp;tbl_IO_List[[#This Row],[I/O Type]]&amp;"_"&amp;tbl_IO_List[[#This Row],[IO-Point 
(Instruement)]]</f>
        <v>PT-61301_AI_1</v>
      </c>
      <c r="U1214" s="136" t="s">
        <v>10</v>
      </c>
      <c r="V1214" s="136">
        <f>VLOOKUP(tbl_IO_List[[#This Row],[I/O Type]],tbl_Slot_Group[],2,FALSE)</f>
        <v>3</v>
      </c>
      <c r="W1214" s="136">
        <v>1</v>
      </c>
      <c r="X1214" s="136" t="str">
        <f>tbl_IO_List[[#This Row],[Chassis]]&amp;"S"&amp;TEXT(tbl_IO_List[[#This Row],[Slot]],"00")</f>
        <v>C8S07</v>
      </c>
      <c r="Y1214" s="136" t="str">
        <f>tbl_IO_List[[#This Row],[Chassis]]&amp;"S"&amp;TEXT(tbl_IO_List[[#This Row],[Slot]],"00")&amp;tbl_IO_List[[#This Row],[I/O Type]]&amp;TEXT(tbl_IO_List[[#This Row],[Point]],"00")</f>
        <v>C8S07AI07</v>
      </c>
      <c r="Z1214" s="136" t="str">
        <f>tbl_IO_List[[#This Row],[Chassis]]&amp;"S"&amp;TEXT(tbl_IO_List[[#This Row],[Slot]],"00")&amp;","&amp;TEXT(tbl_IO_List[[#This Row],[Point]],"00")</f>
        <v>C8S07,07</v>
      </c>
      <c r="AA1214" s="136" t="e">
        <f>VLOOKUP(tbl_IO_List[[#This Row],[Column23]],tbl_RackConfig[],5,FALSE) &amp;"-"&amp;tbl_IO_List[[#This Row],[Point]]</f>
        <v>#N/A</v>
      </c>
      <c r="AB1214" s="136"/>
      <c r="AC1214" s="136"/>
      <c r="AD1214" s="136" t="str">
        <f>tbl_IO_List[[#This Row],[I/O Type]]</f>
        <v>AI</v>
      </c>
      <c r="AE1214" s="136" t="s">
        <v>1843</v>
      </c>
      <c r="AF1214" s="136">
        <v>7</v>
      </c>
      <c r="AG1214" s="136">
        <v>7</v>
      </c>
      <c r="AH1214" s="136"/>
      <c r="AI1214" s="136"/>
      <c r="AJ1214" s="136">
        <v>0</v>
      </c>
      <c r="AK1214" s="136">
        <v>0</v>
      </c>
      <c r="AL1214" s="136">
        <v>1</v>
      </c>
      <c r="AM1214" s="136">
        <v>0</v>
      </c>
      <c r="AN1214" s="136">
        <v>0</v>
      </c>
      <c r="AO1214" s="136"/>
      <c r="AP1214" s="143" t="str">
        <f>VLOOKUP(tbl_IO_List[[#This Row],[Instruement Tag]],tbl_Instruement_List[],14,FALSE)</f>
        <v>4 - 20 mA</v>
      </c>
      <c r="AQ1214" s="143" t="str">
        <f>tbl_IO_List[[#This Row],[Chassis]]&amp;"S"&amp;tbl_IO_List[[#This Row],[Slot]]&amp;"-"&amp;tbl_IO_List[[#This Row],[Front Terminal Number]]</f>
        <v>C8S7-</v>
      </c>
      <c r="AR1214" s="143"/>
      <c r="AS1214" s="136" t="str">
        <f>tbl_IO_List[[#This Row],[Terminal Tagging]]&amp;"-"&amp;tbl_IO_List[[#This Row],[Point-Count]]</f>
        <v>-</v>
      </c>
      <c r="AT1214" s="136" t="str">
        <f>tbl_IO_List[[#This Row],[Front Terminal Tagging]]&amp;"/"&amp;tbl_IO_List[[#This Row],[Terminal Tagging-Item]]</f>
        <v>C8S7-/-</v>
      </c>
      <c r="AU1214" s="136" t="str">
        <f>tbl_IO_List[[#This Row],[Terminal Tagging-Item]]&amp;"/"&amp;tbl_IO_List[[#This Row],[Front Terminal Tagging]]</f>
        <v>-/C8S7-</v>
      </c>
    </row>
    <row r="1215" spans="1:47" hidden="1">
      <c r="A1215" s="147" t="s">
        <v>1365</v>
      </c>
      <c r="B1215" s="136" t="s">
        <v>90</v>
      </c>
      <c r="C1215" s="136" t="str">
        <f>tbl_IO_List[[#This Row],[Column3]]</f>
        <v>C8S07,08</v>
      </c>
      <c r="D1215" s="136" t="e">
        <f>tbl_IO_List[[#This Row],[Card]]</f>
        <v>#N/A</v>
      </c>
      <c r="E1215" s="136" t="s">
        <v>1366</v>
      </c>
      <c r="F1215" s="136" t="str">
        <f>tbl_IO_List[[#This Row],[Column23]]&amp;"-" &amp;tbl_IO_List[[#This Row],[Column52]]</f>
        <v>C8S07-X1</v>
      </c>
      <c r="G1215" s="136" t="str">
        <f>tbl_IO_List[[#This Row],[PLC_Tag]]</f>
        <v>PT-61303_AI_1</v>
      </c>
      <c r="H1215" s="136"/>
      <c r="I1215" s="136" t="str">
        <f>VLOOKUP(tbl_IO_List[[#This Row],[Destination]],tbl_Junction[],2,FALSE)</f>
        <v>Packing Tower 8th Floor</v>
      </c>
      <c r="J1215" s="136" t="s">
        <v>360</v>
      </c>
      <c r="K1215" s="136" t="s">
        <v>66</v>
      </c>
      <c r="L1215" s="136" t="s">
        <v>369</v>
      </c>
      <c r="M1215" s="136" t="str">
        <f>VLOOKUP(tbl_IO_List[[#This Row],[Instruement Tag]],tbl_Instruement_List[],2,FALSE)</f>
        <v>Pressure Transmitter</v>
      </c>
      <c r="N1215" s="136" t="s">
        <v>91</v>
      </c>
      <c r="O1215" s="136" t="s">
        <v>78</v>
      </c>
      <c r="P1215" s="136" t="s">
        <v>75</v>
      </c>
      <c r="Q1215" s="136" t="str">
        <f>VLOOKUP(tbl_IO_List[[#This Row],[Instruement Tag]],tbl_Instruement_List[],6,FALSE)</f>
        <v>Powder Pressure Transmitter for Cooling / Conveyor Cyclone (CYCL-31)</v>
      </c>
      <c r="R1215" s="136"/>
      <c r="S1215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1215" s="136" t="str">
        <f>tbl_IO_List[[#This Row],[Instruement Tag]]&amp;"_"&amp;tbl_IO_List[[#This Row],[I/O Type]]&amp;"_"&amp;tbl_IO_List[[#This Row],[IO-Point 
(Instruement)]]</f>
        <v>PT-61303_AI_1</v>
      </c>
      <c r="U1215" s="136" t="s">
        <v>10</v>
      </c>
      <c r="V1215" s="136">
        <f>VLOOKUP(tbl_IO_List[[#This Row],[I/O Type]],tbl_Slot_Group[],2,FALSE)</f>
        <v>3</v>
      </c>
      <c r="W1215" s="136">
        <v>1</v>
      </c>
      <c r="X1215" s="136" t="str">
        <f>tbl_IO_List[[#This Row],[Chassis]]&amp;"S"&amp;TEXT(tbl_IO_List[[#This Row],[Slot]],"00")</f>
        <v>C8S07</v>
      </c>
      <c r="Y1215" s="136" t="str">
        <f>tbl_IO_List[[#This Row],[Chassis]]&amp;"S"&amp;TEXT(tbl_IO_List[[#This Row],[Slot]],"00")&amp;tbl_IO_List[[#This Row],[I/O Type]]&amp;TEXT(tbl_IO_List[[#This Row],[Point]],"00")</f>
        <v>C8S07AI08</v>
      </c>
      <c r="Z1215" s="136" t="str">
        <f>tbl_IO_List[[#This Row],[Chassis]]&amp;"S"&amp;TEXT(tbl_IO_List[[#This Row],[Slot]],"00")&amp;","&amp;TEXT(tbl_IO_List[[#This Row],[Point]],"00")</f>
        <v>C8S07,08</v>
      </c>
      <c r="AA1215" s="136" t="e">
        <f>VLOOKUP(tbl_IO_List[[#This Row],[Column23]],tbl_RackConfig[],5,FALSE) &amp;"-"&amp;tbl_IO_List[[#This Row],[Point]]</f>
        <v>#N/A</v>
      </c>
      <c r="AB1215" s="136"/>
      <c r="AC1215" s="136"/>
      <c r="AD1215" s="136" t="str">
        <f>tbl_IO_List[[#This Row],[I/O Type]]</f>
        <v>AI</v>
      </c>
      <c r="AE1215" s="136" t="s">
        <v>1843</v>
      </c>
      <c r="AF1215" s="136">
        <v>7</v>
      </c>
      <c r="AG1215" s="136">
        <v>8</v>
      </c>
      <c r="AH1215" s="136"/>
      <c r="AI1215" s="136"/>
      <c r="AJ1215" s="136">
        <v>0</v>
      </c>
      <c r="AK1215" s="136">
        <v>0</v>
      </c>
      <c r="AL1215" s="136">
        <v>1</v>
      </c>
      <c r="AM1215" s="136">
        <v>0</v>
      </c>
      <c r="AN1215" s="136">
        <v>0</v>
      </c>
      <c r="AO1215" s="136"/>
      <c r="AP1215" s="143" t="str">
        <f>VLOOKUP(tbl_IO_List[[#This Row],[Instruement Tag]],tbl_Instruement_List[],14,FALSE)</f>
        <v>4 - 20 mA</v>
      </c>
      <c r="AQ1215" s="143" t="str">
        <f>tbl_IO_List[[#This Row],[Chassis]]&amp;"S"&amp;tbl_IO_List[[#This Row],[Slot]]&amp;"-"&amp;tbl_IO_List[[#This Row],[Front Terminal Number]]</f>
        <v>C8S7-</v>
      </c>
      <c r="AR1215" s="143"/>
      <c r="AS1215" s="136" t="str">
        <f>tbl_IO_List[[#This Row],[Terminal Tagging]]&amp;"-"&amp;tbl_IO_List[[#This Row],[Point-Count]]</f>
        <v>-</v>
      </c>
      <c r="AT1215" s="136" t="str">
        <f>tbl_IO_List[[#This Row],[Front Terminal Tagging]]&amp;"/"&amp;tbl_IO_List[[#This Row],[Terminal Tagging-Item]]</f>
        <v>C8S7-/-</v>
      </c>
      <c r="AU1215" s="136" t="str">
        <f>tbl_IO_List[[#This Row],[Terminal Tagging-Item]]&amp;"/"&amp;tbl_IO_List[[#This Row],[Front Terminal Tagging]]</f>
        <v>-/C8S7-</v>
      </c>
    </row>
    <row r="1216" spans="1:47" hidden="1">
      <c r="A1216" s="147" t="s">
        <v>1365</v>
      </c>
      <c r="B1216" s="136" t="s">
        <v>90</v>
      </c>
      <c r="C1216" s="136" t="str">
        <f>tbl_IO_List[[#This Row],[Column3]]</f>
        <v>C8S07,09</v>
      </c>
      <c r="D1216" s="136" t="e">
        <f>tbl_IO_List[[#This Row],[Card]]</f>
        <v>#N/A</v>
      </c>
      <c r="E1216" s="136" t="s">
        <v>1366</v>
      </c>
      <c r="F1216" s="136" t="str">
        <f>tbl_IO_List[[#This Row],[Column23]]&amp;"-" &amp;tbl_IO_List[[#This Row],[Column52]]</f>
        <v>C8S07-X1</v>
      </c>
      <c r="G1216" s="136" t="str">
        <f>tbl_IO_List[[#This Row],[PLC_Tag]]</f>
        <v>PT-61304_AI_1</v>
      </c>
      <c r="H1216" s="136"/>
      <c r="I1216" s="136" t="str">
        <f>VLOOKUP(tbl_IO_List[[#This Row],[Destination]],tbl_Junction[],2,FALSE)</f>
        <v>Packing Tower 8th Floor</v>
      </c>
      <c r="J1216" s="136" t="s">
        <v>360</v>
      </c>
      <c r="K1216" s="136" t="s">
        <v>66</v>
      </c>
      <c r="L1216" s="136" t="s">
        <v>101</v>
      </c>
      <c r="M1216" s="136" t="str">
        <f>VLOOKUP(tbl_IO_List[[#This Row],[Instruement Tag]],tbl_Instruement_List[],2,FALSE)</f>
        <v>Pressure Transmitter</v>
      </c>
      <c r="N1216" s="136" t="s">
        <v>93</v>
      </c>
      <c r="O1216" s="136" t="s">
        <v>78</v>
      </c>
      <c r="P1216" s="136" t="s">
        <v>75</v>
      </c>
      <c r="Q1216" s="136" t="str">
        <f>VLOOKUP(tbl_IO_List[[#This Row],[Instruement Tag]],tbl_Instruement_List[],6,FALSE)</f>
        <v>Gas Pressure Transmitter for Storage Bin Cyclone Inlet Duct (CYCL-31)</v>
      </c>
      <c r="R1216" s="136"/>
      <c r="S1216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1216" s="136" t="str">
        <f>tbl_IO_List[[#This Row],[Instruement Tag]]&amp;"_"&amp;tbl_IO_List[[#This Row],[I/O Type]]&amp;"_"&amp;tbl_IO_List[[#This Row],[IO-Point 
(Instruement)]]</f>
        <v>PT-61304_AI_1</v>
      </c>
      <c r="U1216" s="136" t="s">
        <v>10</v>
      </c>
      <c r="V1216" s="136">
        <f>VLOOKUP(tbl_IO_List[[#This Row],[I/O Type]],tbl_Slot_Group[],2,FALSE)</f>
        <v>3</v>
      </c>
      <c r="W1216" s="136">
        <v>1</v>
      </c>
      <c r="X1216" s="136" t="str">
        <f>tbl_IO_List[[#This Row],[Chassis]]&amp;"S"&amp;TEXT(tbl_IO_List[[#This Row],[Slot]],"00")</f>
        <v>C8S07</v>
      </c>
      <c r="Y1216" s="136" t="str">
        <f>tbl_IO_List[[#This Row],[Chassis]]&amp;"S"&amp;TEXT(tbl_IO_List[[#This Row],[Slot]],"00")&amp;tbl_IO_List[[#This Row],[I/O Type]]&amp;TEXT(tbl_IO_List[[#This Row],[Point]],"00")</f>
        <v>C8S07AI09</v>
      </c>
      <c r="Z1216" s="136" t="str">
        <f>tbl_IO_List[[#This Row],[Chassis]]&amp;"S"&amp;TEXT(tbl_IO_List[[#This Row],[Slot]],"00")&amp;","&amp;TEXT(tbl_IO_List[[#This Row],[Point]],"00")</f>
        <v>C8S07,09</v>
      </c>
      <c r="AA1216" s="136" t="e">
        <f>VLOOKUP(tbl_IO_List[[#This Row],[Column23]],tbl_RackConfig[],5,FALSE) &amp;"-"&amp;tbl_IO_List[[#This Row],[Point]]</f>
        <v>#N/A</v>
      </c>
      <c r="AB1216" s="136"/>
      <c r="AC1216" s="136"/>
      <c r="AD1216" s="136" t="str">
        <f>tbl_IO_List[[#This Row],[I/O Type]]</f>
        <v>AI</v>
      </c>
      <c r="AE1216" s="136" t="s">
        <v>1843</v>
      </c>
      <c r="AF1216" s="136">
        <v>7</v>
      </c>
      <c r="AG1216" s="136">
        <v>9</v>
      </c>
      <c r="AH1216" s="136"/>
      <c r="AI1216" s="136"/>
      <c r="AJ1216" s="136">
        <v>0</v>
      </c>
      <c r="AK1216" s="136">
        <v>0</v>
      </c>
      <c r="AL1216" s="136">
        <v>1</v>
      </c>
      <c r="AM1216" s="136">
        <v>0</v>
      </c>
      <c r="AN1216" s="136">
        <v>0</v>
      </c>
      <c r="AO1216" s="136"/>
      <c r="AP1216" s="143" t="str">
        <f>VLOOKUP(tbl_IO_List[[#This Row],[Instruement Tag]],tbl_Instruement_List[],14,FALSE)</f>
        <v>4 - 20 mA</v>
      </c>
      <c r="AQ1216" s="143" t="str">
        <f>tbl_IO_List[[#This Row],[Chassis]]&amp;"S"&amp;tbl_IO_List[[#This Row],[Slot]]&amp;"-"&amp;tbl_IO_List[[#This Row],[Front Terminal Number]]</f>
        <v>C8S7-</v>
      </c>
      <c r="AR1216" s="143"/>
      <c r="AS1216" s="136" t="str">
        <f>tbl_IO_List[[#This Row],[Terminal Tagging]]&amp;"-"&amp;tbl_IO_List[[#This Row],[Point-Count]]</f>
        <v>-</v>
      </c>
      <c r="AT1216" s="136" t="str">
        <f>tbl_IO_List[[#This Row],[Front Terminal Tagging]]&amp;"/"&amp;tbl_IO_List[[#This Row],[Terminal Tagging-Item]]</f>
        <v>C8S7-/-</v>
      </c>
      <c r="AU1216" s="136" t="str">
        <f>tbl_IO_List[[#This Row],[Terminal Tagging-Item]]&amp;"/"&amp;tbl_IO_List[[#This Row],[Front Terminal Tagging]]</f>
        <v>-/C8S7-</v>
      </c>
    </row>
    <row r="1217" spans="1:47" hidden="1">
      <c r="A1217" s="147" t="s">
        <v>1365</v>
      </c>
      <c r="B1217" s="136" t="s">
        <v>90</v>
      </c>
      <c r="C1217" s="136" t="str">
        <f>tbl_IO_List[[#This Row],[Column3]]</f>
        <v>C8S07,10</v>
      </c>
      <c r="D1217" s="136" t="e">
        <f>tbl_IO_List[[#This Row],[Card]]</f>
        <v>#N/A</v>
      </c>
      <c r="E1217" s="136" t="s">
        <v>1366</v>
      </c>
      <c r="F1217" s="136" t="str">
        <f>tbl_IO_List[[#This Row],[Column23]]&amp;"-" &amp;tbl_IO_List[[#This Row],[Column52]]</f>
        <v>C8S07-X1</v>
      </c>
      <c r="G1217" s="136" t="str">
        <f>tbl_IO_List[[#This Row],[PLC_Tag]]</f>
        <v>PT-61305_AI_1</v>
      </c>
      <c r="H1217" s="136"/>
      <c r="I1217" s="136" t="str">
        <f>VLOOKUP(tbl_IO_List[[#This Row],[Destination]],tbl_Junction[],2,FALSE)</f>
        <v>Packing Tower 8th Floor</v>
      </c>
      <c r="J1217" s="136" t="s">
        <v>360</v>
      </c>
      <c r="K1217" s="136" t="s">
        <v>66</v>
      </c>
      <c r="L1217" s="136" t="s">
        <v>102</v>
      </c>
      <c r="M1217" s="136" t="str">
        <f>VLOOKUP(tbl_IO_List[[#This Row],[Instruement Tag]],tbl_Instruement_List[],2,FALSE)</f>
        <v>Pressure Transmitter</v>
      </c>
      <c r="N1217" s="136" t="s">
        <v>93</v>
      </c>
      <c r="O1217" s="136" t="s">
        <v>78</v>
      </c>
      <c r="P1217" s="136" t="s">
        <v>75</v>
      </c>
      <c r="Q1217" s="136" t="str">
        <f>VLOOKUP(tbl_IO_List[[#This Row],[Instruement Tag]],tbl_Instruement_List[],6,FALSE)</f>
        <v>Gas Pressure Transmitter for Exhaust Duct (DTEX-31)</v>
      </c>
      <c r="R1217" s="136"/>
      <c r="S1217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1217" s="136" t="str">
        <f>tbl_IO_List[[#This Row],[Instruement Tag]]&amp;"_"&amp;tbl_IO_List[[#This Row],[I/O Type]]&amp;"_"&amp;tbl_IO_List[[#This Row],[IO-Point 
(Instruement)]]</f>
        <v>PT-61305_AI_1</v>
      </c>
      <c r="U1217" s="136" t="s">
        <v>10</v>
      </c>
      <c r="V1217" s="136">
        <f>VLOOKUP(tbl_IO_List[[#This Row],[I/O Type]],tbl_Slot_Group[],2,FALSE)</f>
        <v>3</v>
      </c>
      <c r="W1217" s="136">
        <v>1</v>
      </c>
      <c r="X1217" s="136" t="str">
        <f>tbl_IO_List[[#This Row],[Chassis]]&amp;"S"&amp;TEXT(tbl_IO_List[[#This Row],[Slot]],"00")</f>
        <v>C8S07</v>
      </c>
      <c r="Y1217" s="136" t="str">
        <f>tbl_IO_List[[#This Row],[Chassis]]&amp;"S"&amp;TEXT(tbl_IO_List[[#This Row],[Slot]],"00")&amp;tbl_IO_List[[#This Row],[I/O Type]]&amp;TEXT(tbl_IO_List[[#This Row],[Point]],"00")</f>
        <v>C8S07AI10</v>
      </c>
      <c r="Z1217" s="136" t="str">
        <f>tbl_IO_List[[#This Row],[Chassis]]&amp;"S"&amp;TEXT(tbl_IO_List[[#This Row],[Slot]],"00")&amp;","&amp;TEXT(tbl_IO_List[[#This Row],[Point]],"00")</f>
        <v>C8S07,10</v>
      </c>
      <c r="AA1217" s="136" t="e">
        <f>VLOOKUP(tbl_IO_List[[#This Row],[Column23]],tbl_RackConfig[],5,FALSE) &amp;"-"&amp;tbl_IO_List[[#This Row],[Point]]</f>
        <v>#N/A</v>
      </c>
      <c r="AB1217" s="136"/>
      <c r="AC1217" s="136"/>
      <c r="AD1217" s="136" t="str">
        <f>tbl_IO_List[[#This Row],[I/O Type]]</f>
        <v>AI</v>
      </c>
      <c r="AE1217" s="136" t="s">
        <v>1843</v>
      </c>
      <c r="AF1217" s="136">
        <v>7</v>
      </c>
      <c r="AG1217" s="136">
        <v>10</v>
      </c>
      <c r="AH1217" s="136"/>
      <c r="AI1217" s="136"/>
      <c r="AJ1217" s="136">
        <v>0</v>
      </c>
      <c r="AK1217" s="136">
        <v>0</v>
      </c>
      <c r="AL1217" s="136">
        <v>1</v>
      </c>
      <c r="AM1217" s="136">
        <v>0</v>
      </c>
      <c r="AN1217" s="136">
        <v>0</v>
      </c>
      <c r="AO1217" s="136"/>
      <c r="AP1217" s="143" t="str">
        <f>VLOOKUP(tbl_IO_List[[#This Row],[Instruement Tag]],tbl_Instruement_List[],14,FALSE)</f>
        <v>4 - 20 mA</v>
      </c>
      <c r="AQ1217" s="143" t="str">
        <f>tbl_IO_List[[#This Row],[Chassis]]&amp;"S"&amp;tbl_IO_List[[#This Row],[Slot]]&amp;"-"&amp;tbl_IO_List[[#This Row],[Front Terminal Number]]</f>
        <v>C8S7-</v>
      </c>
      <c r="AR1217" s="143"/>
      <c r="AS1217" s="136" t="str">
        <f>tbl_IO_List[[#This Row],[Terminal Tagging]]&amp;"-"&amp;tbl_IO_List[[#This Row],[Point-Count]]</f>
        <v>-</v>
      </c>
      <c r="AT1217" s="136" t="str">
        <f>tbl_IO_List[[#This Row],[Front Terminal Tagging]]&amp;"/"&amp;tbl_IO_List[[#This Row],[Terminal Tagging-Item]]</f>
        <v>C8S7-/-</v>
      </c>
      <c r="AU1217" s="136" t="str">
        <f>tbl_IO_List[[#This Row],[Terminal Tagging-Item]]&amp;"/"&amp;tbl_IO_List[[#This Row],[Front Terminal Tagging]]</f>
        <v>-/C8S7-</v>
      </c>
    </row>
    <row r="1218" spans="1:47" hidden="1">
      <c r="A1218" s="147" t="s">
        <v>1365</v>
      </c>
      <c r="B1218" s="136" t="s">
        <v>90</v>
      </c>
      <c r="C1218" s="136" t="str">
        <f>tbl_IO_List[[#This Row],[Column3]]</f>
        <v>C8S07,11</v>
      </c>
      <c r="D1218" s="136" t="e">
        <f>tbl_IO_List[[#This Row],[Card]]</f>
        <v>#N/A</v>
      </c>
      <c r="E1218" s="136" t="s">
        <v>1366</v>
      </c>
      <c r="F1218" s="136" t="str">
        <f>tbl_IO_List[[#This Row],[Column23]]&amp;"-" &amp;tbl_IO_List[[#This Row],[Column52]]</f>
        <v>C8S07-X1</v>
      </c>
      <c r="G1218" s="136" t="str">
        <f>tbl_IO_List[[#This Row],[PLC_Tag]]</f>
        <v>TT-61301_AI_1</v>
      </c>
      <c r="H1218" s="136"/>
      <c r="I1218" s="136" t="str">
        <f>VLOOKUP(tbl_IO_List[[#This Row],[Destination]],tbl_Junction[],2,FALSE)</f>
        <v>Packing Tower 8th Floor</v>
      </c>
      <c r="J1218" s="136" t="s">
        <v>360</v>
      </c>
      <c r="K1218" s="136" t="s">
        <v>66</v>
      </c>
      <c r="L1218" s="136" t="s">
        <v>103</v>
      </c>
      <c r="M1218" s="136">
        <f>VLOOKUP(tbl_IO_List[[#This Row],[Instruement Tag]],tbl_Instruement_List[],2,FALSE)</f>
        <v>0</v>
      </c>
      <c r="N1218" s="136" t="s">
        <v>93</v>
      </c>
      <c r="O1218" s="136" t="s">
        <v>78</v>
      </c>
      <c r="P1218" s="136" t="s">
        <v>75</v>
      </c>
      <c r="Q1218" s="136" t="str">
        <f>VLOOKUP(tbl_IO_List[[#This Row],[Instruement Tag]],tbl_Instruement_List[],6,FALSE)</f>
        <v>Gas Temperature Transmitter for Cold Air Duct (DTCA-32)</v>
      </c>
      <c r="R1218" s="136"/>
      <c r="S1218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1218" s="136" t="str">
        <f>tbl_IO_List[[#This Row],[Instruement Tag]]&amp;"_"&amp;tbl_IO_List[[#This Row],[I/O Type]]&amp;"_"&amp;tbl_IO_List[[#This Row],[IO-Point 
(Instruement)]]</f>
        <v>TT-61301_AI_1</v>
      </c>
      <c r="U1218" s="136" t="s">
        <v>10</v>
      </c>
      <c r="V1218" s="136">
        <f>VLOOKUP(tbl_IO_List[[#This Row],[I/O Type]],tbl_Slot_Group[],2,FALSE)</f>
        <v>3</v>
      </c>
      <c r="W1218" s="136">
        <v>1</v>
      </c>
      <c r="X1218" s="136" t="str">
        <f>tbl_IO_List[[#This Row],[Chassis]]&amp;"S"&amp;TEXT(tbl_IO_List[[#This Row],[Slot]],"00")</f>
        <v>C8S07</v>
      </c>
      <c r="Y1218" s="136" t="str">
        <f>tbl_IO_List[[#This Row],[Chassis]]&amp;"S"&amp;TEXT(tbl_IO_List[[#This Row],[Slot]],"00")&amp;tbl_IO_List[[#This Row],[I/O Type]]&amp;TEXT(tbl_IO_List[[#This Row],[Point]],"00")</f>
        <v>C8S07AI11</v>
      </c>
      <c r="Z1218" s="136" t="str">
        <f>tbl_IO_List[[#This Row],[Chassis]]&amp;"S"&amp;TEXT(tbl_IO_List[[#This Row],[Slot]],"00")&amp;","&amp;TEXT(tbl_IO_List[[#This Row],[Point]],"00")</f>
        <v>C8S07,11</v>
      </c>
      <c r="AA1218" s="136" t="e">
        <f>VLOOKUP(tbl_IO_List[[#This Row],[Column23]],tbl_RackConfig[],5,FALSE) &amp;"-"&amp;tbl_IO_List[[#This Row],[Point]]</f>
        <v>#N/A</v>
      </c>
      <c r="AB1218" s="136"/>
      <c r="AC1218" s="136"/>
      <c r="AD1218" s="136" t="str">
        <f>tbl_IO_List[[#This Row],[I/O Type]]</f>
        <v>AI</v>
      </c>
      <c r="AE1218" s="136" t="s">
        <v>1843</v>
      </c>
      <c r="AF1218" s="136">
        <v>7</v>
      </c>
      <c r="AG1218" s="136">
        <v>11</v>
      </c>
      <c r="AH1218" s="136"/>
      <c r="AI1218" s="136"/>
      <c r="AJ1218" s="136">
        <v>0</v>
      </c>
      <c r="AK1218" s="136">
        <v>0</v>
      </c>
      <c r="AL1218" s="136">
        <v>1</v>
      </c>
      <c r="AM1218" s="136">
        <v>0</v>
      </c>
      <c r="AN1218" s="136">
        <v>0</v>
      </c>
      <c r="AO1218" s="136"/>
      <c r="AP1218" s="143" t="str">
        <f>VLOOKUP(tbl_IO_List[[#This Row],[Instruement Tag]],tbl_Instruement_List[],14,FALSE)</f>
        <v>4 - 20 mA</v>
      </c>
      <c r="AQ1218" s="143" t="str">
        <f>tbl_IO_List[[#This Row],[Chassis]]&amp;"S"&amp;tbl_IO_List[[#This Row],[Slot]]&amp;"-"&amp;tbl_IO_List[[#This Row],[Front Terminal Number]]</f>
        <v>C8S7-</v>
      </c>
      <c r="AR1218" s="143"/>
      <c r="AS1218" s="136" t="str">
        <f>tbl_IO_List[[#This Row],[Terminal Tagging]]&amp;"-"&amp;tbl_IO_List[[#This Row],[Point-Count]]</f>
        <v>-</v>
      </c>
      <c r="AT1218" s="136" t="str">
        <f>tbl_IO_List[[#This Row],[Front Terminal Tagging]]&amp;"/"&amp;tbl_IO_List[[#This Row],[Terminal Tagging-Item]]</f>
        <v>C8S7-/-</v>
      </c>
      <c r="AU1218" s="136" t="str">
        <f>tbl_IO_List[[#This Row],[Terminal Tagging-Item]]&amp;"/"&amp;tbl_IO_List[[#This Row],[Front Terminal Tagging]]</f>
        <v>-/C8S7-</v>
      </c>
    </row>
    <row r="1219" spans="1:47" hidden="1">
      <c r="A1219" s="147" t="s">
        <v>1365</v>
      </c>
      <c r="B1219" s="136" t="s">
        <v>90</v>
      </c>
      <c r="C1219" s="136" t="str">
        <f>tbl_IO_List[[#This Row],[Column3]]</f>
        <v>C8S07,12</v>
      </c>
      <c r="D1219" s="136" t="e">
        <f>tbl_IO_List[[#This Row],[Card]]</f>
        <v>#N/A</v>
      </c>
      <c r="E1219" s="136" t="s">
        <v>1366</v>
      </c>
      <c r="F1219" s="136" t="str">
        <f>tbl_IO_List[[#This Row],[Column23]]&amp;"-" &amp;tbl_IO_List[[#This Row],[Column52]]</f>
        <v>C8S07-X1</v>
      </c>
      <c r="G1219" s="136" t="str">
        <f>tbl_IO_List[[#This Row],[PLC_Tag]]</f>
        <v>TT-61302_AI_1</v>
      </c>
      <c r="H1219" s="136"/>
      <c r="I1219" s="136" t="str">
        <f>VLOOKUP(tbl_IO_List[[#This Row],[Destination]],tbl_Junction[],2,FALSE)</f>
        <v>Packing Tower 8th Floor</v>
      </c>
      <c r="J1219" s="136" t="s">
        <v>360</v>
      </c>
      <c r="K1219" s="136" t="s">
        <v>66</v>
      </c>
      <c r="L1219" s="136" t="s">
        <v>104</v>
      </c>
      <c r="M1219" s="136">
        <f>VLOOKUP(tbl_IO_List[[#This Row],[Instruement Tag]],tbl_Instruement_List[],2,FALSE)</f>
        <v>0</v>
      </c>
      <c r="N1219" s="136" t="s">
        <v>93</v>
      </c>
      <c r="O1219" s="136" t="s">
        <v>78</v>
      </c>
      <c r="P1219" s="136" t="s">
        <v>75</v>
      </c>
      <c r="Q1219" s="136" t="str">
        <f>VLOOKUP(tbl_IO_List[[#This Row],[Instruement Tag]],tbl_Instruement_List[],6,FALSE)</f>
        <v>Gas and Powder Temperature Transmitter for Cooling Cyclone (CYCL-31)</v>
      </c>
      <c r="R1219" s="136"/>
      <c r="S1219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1219" s="136" t="str">
        <f>tbl_IO_List[[#This Row],[Instruement Tag]]&amp;"_"&amp;tbl_IO_List[[#This Row],[I/O Type]]&amp;"_"&amp;tbl_IO_List[[#This Row],[IO-Point 
(Instruement)]]</f>
        <v>TT-61302_AI_1</v>
      </c>
      <c r="U1219" s="136" t="s">
        <v>10</v>
      </c>
      <c r="V1219" s="136">
        <f>VLOOKUP(tbl_IO_List[[#This Row],[I/O Type]],tbl_Slot_Group[],2,FALSE)</f>
        <v>3</v>
      </c>
      <c r="W1219" s="136">
        <v>1</v>
      </c>
      <c r="X1219" s="136" t="str">
        <f>tbl_IO_List[[#This Row],[Chassis]]&amp;"S"&amp;TEXT(tbl_IO_List[[#This Row],[Slot]],"00")</f>
        <v>C8S07</v>
      </c>
      <c r="Y1219" s="136" t="str">
        <f>tbl_IO_List[[#This Row],[Chassis]]&amp;"S"&amp;TEXT(tbl_IO_List[[#This Row],[Slot]],"00")&amp;tbl_IO_List[[#This Row],[I/O Type]]&amp;TEXT(tbl_IO_List[[#This Row],[Point]],"00")</f>
        <v>C8S07AI12</v>
      </c>
      <c r="Z1219" s="136" t="str">
        <f>tbl_IO_List[[#This Row],[Chassis]]&amp;"S"&amp;TEXT(tbl_IO_List[[#This Row],[Slot]],"00")&amp;","&amp;TEXT(tbl_IO_List[[#This Row],[Point]],"00")</f>
        <v>C8S07,12</v>
      </c>
      <c r="AA1219" s="136" t="e">
        <f>VLOOKUP(tbl_IO_List[[#This Row],[Column23]],tbl_RackConfig[],5,FALSE) &amp;"-"&amp;tbl_IO_List[[#This Row],[Point]]</f>
        <v>#N/A</v>
      </c>
      <c r="AB1219" s="136"/>
      <c r="AC1219" s="136"/>
      <c r="AD1219" s="136" t="str">
        <f>tbl_IO_List[[#This Row],[I/O Type]]</f>
        <v>AI</v>
      </c>
      <c r="AE1219" s="136" t="s">
        <v>1843</v>
      </c>
      <c r="AF1219" s="136">
        <v>7</v>
      </c>
      <c r="AG1219" s="136">
        <v>12</v>
      </c>
      <c r="AH1219" s="136"/>
      <c r="AI1219" s="136"/>
      <c r="AJ1219" s="136">
        <v>0</v>
      </c>
      <c r="AK1219" s="136">
        <v>0</v>
      </c>
      <c r="AL1219" s="136">
        <v>1</v>
      </c>
      <c r="AM1219" s="136">
        <v>0</v>
      </c>
      <c r="AN1219" s="136">
        <v>0</v>
      </c>
      <c r="AO1219" s="136"/>
      <c r="AP1219" s="143" t="str">
        <f>VLOOKUP(tbl_IO_List[[#This Row],[Instruement Tag]],tbl_Instruement_List[],14,FALSE)</f>
        <v>4 - 20 mA</v>
      </c>
      <c r="AQ1219" s="143" t="str">
        <f>tbl_IO_List[[#This Row],[Chassis]]&amp;"S"&amp;tbl_IO_List[[#This Row],[Slot]]&amp;"-"&amp;tbl_IO_List[[#This Row],[Front Terminal Number]]</f>
        <v>C8S7-</v>
      </c>
      <c r="AR1219" s="143"/>
      <c r="AS1219" s="136" t="str">
        <f>tbl_IO_List[[#This Row],[Terminal Tagging]]&amp;"-"&amp;tbl_IO_List[[#This Row],[Point-Count]]</f>
        <v>-</v>
      </c>
      <c r="AT1219" s="136" t="str">
        <f>tbl_IO_List[[#This Row],[Front Terminal Tagging]]&amp;"/"&amp;tbl_IO_List[[#This Row],[Terminal Tagging-Item]]</f>
        <v>C8S7-/-</v>
      </c>
      <c r="AU1219" s="136" t="str">
        <f>tbl_IO_List[[#This Row],[Terminal Tagging-Item]]&amp;"/"&amp;tbl_IO_List[[#This Row],[Front Terminal Tagging]]</f>
        <v>-/C8S7-</v>
      </c>
    </row>
    <row r="1220" spans="1:47" hidden="1">
      <c r="A1220" s="147" t="s">
        <v>1365</v>
      </c>
      <c r="B1220" s="136" t="s">
        <v>90</v>
      </c>
      <c r="C1220" s="136" t="str">
        <f>tbl_IO_List[[#This Row],[Column3]]</f>
        <v>C8S07,13</v>
      </c>
      <c r="D1220" s="136" t="e">
        <f>tbl_IO_List[[#This Row],[Card]]</f>
        <v>#N/A</v>
      </c>
      <c r="E1220" s="136" t="s">
        <v>1366</v>
      </c>
      <c r="F1220" s="136" t="str">
        <f>tbl_IO_List[[#This Row],[Column23]]&amp;"-" &amp;tbl_IO_List[[#This Row],[Column52]]</f>
        <v>C8S07-X1</v>
      </c>
      <c r="G1220" s="136" t="str">
        <f>tbl_IO_List[[#This Row],[PLC_Tag]]</f>
        <v>Spare_AI_0</v>
      </c>
      <c r="H1220" s="136"/>
      <c r="I1220" s="136" t="str">
        <f>VLOOKUP(tbl_IO_List[[#This Row],[Destination]],tbl_Junction[],2,FALSE)</f>
        <v>Packing Tower 8th Floor</v>
      </c>
      <c r="J1220" s="136"/>
      <c r="K1220" s="136"/>
      <c r="L1220" s="136" t="s">
        <v>411</v>
      </c>
      <c r="M1220" s="142" t="e">
        <f>VLOOKUP(tbl_IO_List[[#This Row],[Instruement Tag]],tbl_Instruement_List[],2,FALSE)</f>
        <v>#N/A</v>
      </c>
      <c r="N1220" s="136"/>
      <c r="O1220" s="136"/>
      <c r="P1220" s="136"/>
      <c r="Q1220" s="142" t="e">
        <f>VLOOKUP(tbl_IO_List[[#This Row],[Instruement Tag]],tbl_Instruement_List[],6,FALSE)</f>
        <v>#N/A</v>
      </c>
      <c r="R1220" s="136"/>
      <c r="S1220" s="142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1220" s="136" t="str">
        <f>tbl_IO_List[[#This Row],[Instruement Tag]]&amp;"_"&amp;tbl_IO_List[[#This Row],[I/O Type]]&amp;"_"&amp;tbl_IO_List[[#This Row],[IO-Point 
(Instruement)]]</f>
        <v>Spare_AI_0</v>
      </c>
      <c r="U1220" s="136" t="s">
        <v>10</v>
      </c>
      <c r="V1220" s="136">
        <f>VLOOKUP(tbl_IO_List[[#This Row],[I/O Type]],tbl_Slot_Group[],2,FALSE)</f>
        <v>3</v>
      </c>
      <c r="W1220" s="136">
        <v>0</v>
      </c>
      <c r="X1220" s="142" t="str">
        <f>tbl_IO_List[[#This Row],[Chassis]]&amp;"S"&amp;TEXT(tbl_IO_List[[#This Row],[Slot]],"00")</f>
        <v>C8S07</v>
      </c>
      <c r="Y1220" s="136" t="str">
        <f>tbl_IO_List[[#This Row],[Chassis]]&amp;"S"&amp;TEXT(tbl_IO_List[[#This Row],[Slot]],"00")&amp;tbl_IO_List[[#This Row],[I/O Type]]&amp;TEXT(tbl_IO_List[[#This Row],[Point]],"00")</f>
        <v>C8S07AI13</v>
      </c>
      <c r="Z1220" s="142" t="str">
        <f>tbl_IO_List[[#This Row],[Chassis]]&amp;"S"&amp;TEXT(tbl_IO_List[[#This Row],[Slot]],"00")&amp;","&amp;TEXT(tbl_IO_List[[#This Row],[Point]],"00")</f>
        <v>C8S07,13</v>
      </c>
      <c r="AA1220" s="142" t="e">
        <f>VLOOKUP(tbl_IO_List[[#This Row],[Column23]],tbl_RackConfig[],5,FALSE) &amp;"-"&amp;tbl_IO_List[[#This Row],[Point]]</f>
        <v>#N/A</v>
      </c>
      <c r="AC1220" s="136"/>
      <c r="AD1220" s="142" t="str">
        <f>tbl_IO_List[[#This Row],[I/O Type]]</f>
        <v>AI</v>
      </c>
      <c r="AE1220" s="136" t="s">
        <v>1843</v>
      </c>
      <c r="AF1220" s="136">
        <v>7</v>
      </c>
      <c r="AG1220" s="136">
        <v>13</v>
      </c>
      <c r="AH1220" s="136"/>
      <c r="AI1220" s="136"/>
      <c r="AJ1220" s="136">
        <v>0</v>
      </c>
      <c r="AK1220" s="136">
        <v>0</v>
      </c>
      <c r="AL1220" s="136">
        <v>1</v>
      </c>
      <c r="AM1220" s="136">
        <v>0</v>
      </c>
      <c r="AN1220" s="136">
        <v>0</v>
      </c>
      <c r="AO1220" s="136"/>
      <c r="AP1220" s="143" t="e">
        <f>VLOOKUP(tbl_IO_List[[#This Row],[Instruement Tag]],tbl_Instruement_List[],14,FALSE)</f>
        <v>#N/A</v>
      </c>
      <c r="AQ1220" s="143" t="str">
        <f>tbl_IO_List[[#This Row],[Chassis]]&amp;"S"&amp;tbl_IO_List[[#This Row],[Slot]]&amp;"-"&amp;tbl_IO_List[[#This Row],[Front Terminal Number]]</f>
        <v>C8S7-</v>
      </c>
      <c r="AR1220" s="143"/>
      <c r="AS1220" s="136" t="str">
        <f>tbl_IO_List[[#This Row],[Terminal Tagging]]&amp;"-"&amp;tbl_IO_List[[#This Row],[Point-Count]]</f>
        <v>-</v>
      </c>
      <c r="AT1220" s="136" t="str">
        <f>tbl_IO_List[[#This Row],[Front Terminal Tagging]]&amp;"/"&amp;tbl_IO_List[[#This Row],[Terminal Tagging-Item]]</f>
        <v>C8S7-/-</v>
      </c>
      <c r="AU1220" s="136" t="str">
        <f>tbl_IO_List[[#This Row],[Terminal Tagging-Item]]&amp;"/"&amp;tbl_IO_List[[#This Row],[Front Terminal Tagging]]</f>
        <v>-/C8S7-</v>
      </c>
    </row>
    <row r="1221" spans="1:47" hidden="1">
      <c r="A1221" s="147" t="s">
        <v>1365</v>
      </c>
      <c r="B1221" s="136" t="s">
        <v>90</v>
      </c>
      <c r="C1221" s="136" t="str">
        <f>tbl_IO_List[[#This Row],[Column3]]</f>
        <v>C8S07,14</v>
      </c>
      <c r="D1221" s="136" t="e">
        <f>tbl_IO_List[[#This Row],[Card]]</f>
        <v>#N/A</v>
      </c>
      <c r="E1221" s="136" t="s">
        <v>1366</v>
      </c>
      <c r="F1221" s="136" t="str">
        <f>tbl_IO_List[[#This Row],[Column23]]&amp;"-" &amp;tbl_IO_List[[#This Row],[Column52]]</f>
        <v>C8S07-X1</v>
      </c>
      <c r="G1221" s="136" t="str">
        <f>tbl_IO_List[[#This Row],[PLC_Tag]]</f>
        <v>Spare_AI_0</v>
      </c>
      <c r="H1221" s="136"/>
      <c r="I1221" s="136" t="str">
        <f>VLOOKUP(tbl_IO_List[[#This Row],[Destination]],tbl_Junction[],2,FALSE)</f>
        <v>Packing Tower 8th Floor</v>
      </c>
      <c r="J1221" s="136"/>
      <c r="K1221" s="136"/>
      <c r="L1221" s="136" t="s">
        <v>411</v>
      </c>
      <c r="M1221" s="142" t="e">
        <f>VLOOKUP(tbl_IO_List[[#This Row],[Instruement Tag]],tbl_Instruement_List[],2,FALSE)</f>
        <v>#N/A</v>
      </c>
      <c r="N1221" s="136"/>
      <c r="O1221" s="136"/>
      <c r="P1221" s="136"/>
      <c r="Q1221" s="142" t="e">
        <f>VLOOKUP(tbl_IO_List[[#This Row],[Instruement Tag]],tbl_Instruement_List[],6,FALSE)</f>
        <v>#N/A</v>
      </c>
      <c r="R1221" s="136"/>
      <c r="S1221" s="142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1221" s="136" t="str">
        <f>tbl_IO_List[[#This Row],[Instruement Tag]]&amp;"_"&amp;tbl_IO_List[[#This Row],[I/O Type]]&amp;"_"&amp;tbl_IO_List[[#This Row],[IO-Point 
(Instruement)]]</f>
        <v>Spare_AI_0</v>
      </c>
      <c r="U1221" s="136" t="s">
        <v>10</v>
      </c>
      <c r="V1221" s="136">
        <f>VLOOKUP(tbl_IO_List[[#This Row],[I/O Type]],tbl_Slot_Group[],2,FALSE)</f>
        <v>3</v>
      </c>
      <c r="W1221" s="136">
        <v>0</v>
      </c>
      <c r="X1221" s="142" t="str">
        <f>tbl_IO_List[[#This Row],[Chassis]]&amp;"S"&amp;TEXT(tbl_IO_List[[#This Row],[Slot]],"00")</f>
        <v>C8S07</v>
      </c>
      <c r="Y1221" s="136" t="str">
        <f>tbl_IO_List[[#This Row],[Chassis]]&amp;"S"&amp;TEXT(tbl_IO_List[[#This Row],[Slot]],"00")&amp;tbl_IO_List[[#This Row],[I/O Type]]&amp;TEXT(tbl_IO_List[[#This Row],[Point]],"00")</f>
        <v>C8S07AI14</v>
      </c>
      <c r="Z1221" s="142" t="str">
        <f>tbl_IO_List[[#This Row],[Chassis]]&amp;"S"&amp;TEXT(tbl_IO_List[[#This Row],[Slot]],"00")&amp;","&amp;TEXT(tbl_IO_List[[#This Row],[Point]],"00")</f>
        <v>C8S07,14</v>
      </c>
      <c r="AA1221" s="142" t="e">
        <f>VLOOKUP(tbl_IO_List[[#This Row],[Column23]],tbl_RackConfig[],5,FALSE) &amp;"-"&amp;tbl_IO_List[[#This Row],[Point]]</f>
        <v>#N/A</v>
      </c>
      <c r="AC1221" s="136"/>
      <c r="AD1221" s="142" t="str">
        <f>tbl_IO_List[[#This Row],[I/O Type]]</f>
        <v>AI</v>
      </c>
      <c r="AE1221" s="136" t="s">
        <v>1843</v>
      </c>
      <c r="AF1221" s="136">
        <v>7</v>
      </c>
      <c r="AG1221" s="136">
        <v>14</v>
      </c>
      <c r="AH1221" s="136"/>
      <c r="AI1221" s="136"/>
      <c r="AJ1221" s="136">
        <v>0</v>
      </c>
      <c r="AK1221" s="136">
        <v>0</v>
      </c>
      <c r="AL1221" s="136">
        <v>1</v>
      </c>
      <c r="AM1221" s="136">
        <v>0</v>
      </c>
      <c r="AN1221" s="136">
        <v>0</v>
      </c>
      <c r="AO1221" s="136"/>
      <c r="AP1221" s="143" t="e">
        <f>VLOOKUP(tbl_IO_List[[#This Row],[Instruement Tag]],tbl_Instruement_List[],14,FALSE)</f>
        <v>#N/A</v>
      </c>
      <c r="AQ1221" s="143" t="str">
        <f>tbl_IO_List[[#This Row],[Chassis]]&amp;"S"&amp;tbl_IO_List[[#This Row],[Slot]]&amp;"-"&amp;tbl_IO_List[[#This Row],[Front Terminal Number]]</f>
        <v>C8S7-</v>
      </c>
      <c r="AR1221" s="143"/>
      <c r="AS1221" s="136" t="str">
        <f>tbl_IO_List[[#This Row],[Terminal Tagging]]&amp;"-"&amp;tbl_IO_List[[#This Row],[Point-Count]]</f>
        <v>-</v>
      </c>
      <c r="AT1221" s="136" t="str">
        <f>tbl_IO_List[[#This Row],[Front Terminal Tagging]]&amp;"/"&amp;tbl_IO_List[[#This Row],[Terminal Tagging-Item]]</f>
        <v>C8S7-/-</v>
      </c>
      <c r="AU1221" s="136" t="str">
        <f>tbl_IO_List[[#This Row],[Terminal Tagging-Item]]&amp;"/"&amp;tbl_IO_List[[#This Row],[Front Terminal Tagging]]</f>
        <v>-/C8S7-</v>
      </c>
    </row>
    <row r="1222" spans="1:47" hidden="1">
      <c r="A1222" s="147" t="s">
        <v>1365</v>
      </c>
      <c r="B1222" s="136" t="s">
        <v>90</v>
      </c>
      <c r="C1222" s="136" t="str">
        <f>tbl_IO_List[[#This Row],[Column3]]</f>
        <v>C8S07,15</v>
      </c>
      <c r="D1222" s="136" t="e">
        <f>tbl_IO_List[[#This Row],[Card]]</f>
        <v>#N/A</v>
      </c>
      <c r="E1222" s="136" t="s">
        <v>1366</v>
      </c>
      <c r="F1222" s="136" t="str">
        <f>tbl_IO_List[[#This Row],[Column23]]&amp;"-" &amp;tbl_IO_List[[#This Row],[Column52]]</f>
        <v>C8S07-X1</v>
      </c>
      <c r="G1222" s="136" t="str">
        <f>tbl_IO_List[[#This Row],[PLC_Tag]]</f>
        <v>Spare_AI_0</v>
      </c>
      <c r="H1222" s="136"/>
      <c r="I1222" s="136" t="str">
        <f>VLOOKUP(tbl_IO_List[[#This Row],[Destination]],tbl_Junction[],2,FALSE)</f>
        <v>Packing Tower 8th Floor</v>
      </c>
      <c r="J1222" s="136"/>
      <c r="K1222" s="136"/>
      <c r="L1222" s="136" t="s">
        <v>411</v>
      </c>
      <c r="M1222" s="136" t="e">
        <f>VLOOKUP(tbl_IO_List[[#This Row],[Instruement Tag]],tbl_Instruement_List[],2,FALSE)</f>
        <v>#N/A</v>
      </c>
      <c r="N1222" s="136"/>
      <c r="O1222" s="136"/>
      <c r="P1222" s="136"/>
      <c r="Q1222" s="136" t="e">
        <f>VLOOKUP(tbl_IO_List[[#This Row],[Instruement Tag]],tbl_Instruement_List[],6,FALSE)</f>
        <v>#N/A</v>
      </c>
      <c r="R1222" s="136"/>
      <c r="S1222" s="136" t="str">
        <f>"Require I/O DI= "&amp;tbl_IO_List[[#This Row],[DI]]&amp;",DO="&amp;tbl_IO_List[[#This Row],[DO]]&amp;",AI="&amp;tbl_IO_List[[#This Row],[AI]]&amp;",AO="&amp;tbl_IO_List[[#This Row],[AO]]&amp;",Bus="&amp;tbl_IO_List[[#This Row],[Bus]]</f>
        <v>Require I/O DI= 0,DO=0,AI=1,AO=0,Bus=0</v>
      </c>
      <c r="T1222" s="136" t="str">
        <f>tbl_IO_List[[#This Row],[Instruement Tag]]&amp;"_"&amp;tbl_IO_List[[#This Row],[I/O Type]]&amp;"_"&amp;tbl_IO_List[[#This Row],[IO-Point 
(Instruement)]]</f>
        <v>Spare_AI_0</v>
      </c>
      <c r="U1222" s="136" t="s">
        <v>10</v>
      </c>
      <c r="V1222" s="136">
        <f>VLOOKUP(tbl_IO_List[[#This Row],[I/O Type]],tbl_Slot_Group[],2,FALSE)</f>
        <v>3</v>
      </c>
      <c r="W1222" s="136">
        <v>0</v>
      </c>
      <c r="X1222" s="136" t="str">
        <f>tbl_IO_List[[#This Row],[Chassis]]&amp;"S"&amp;TEXT(tbl_IO_List[[#This Row],[Slot]],"00")</f>
        <v>C8S07</v>
      </c>
      <c r="Y1222" s="136" t="str">
        <f>tbl_IO_List[[#This Row],[Chassis]]&amp;"S"&amp;TEXT(tbl_IO_List[[#This Row],[Slot]],"00")&amp;tbl_IO_List[[#This Row],[I/O Type]]&amp;TEXT(tbl_IO_List[[#This Row],[Point]],"00")</f>
        <v>C8S07AI15</v>
      </c>
      <c r="Z1222" s="136" t="str">
        <f>tbl_IO_List[[#This Row],[Chassis]]&amp;"S"&amp;TEXT(tbl_IO_List[[#This Row],[Slot]],"00")&amp;","&amp;TEXT(tbl_IO_List[[#This Row],[Point]],"00")</f>
        <v>C8S07,15</v>
      </c>
      <c r="AA1222" s="136" t="e">
        <f>VLOOKUP(tbl_IO_List[[#This Row],[Column23]],tbl_RackConfig[],5,FALSE) &amp;"-"&amp;tbl_IO_List[[#This Row],[Point]]</f>
        <v>#N/A</v>
      </c>
      <c r="AB1222" s="136"/>
      <c r="AC1222" s="136"/>
      <c r="AD1222" s="136" t="str">
        <f>tbl_IO_List[[#This Row],[I/O Type]]</f>
        <v>AI</v>
      </c>
      <c r="AE1222" s="136" t="s">
        <v>1843</v>
      </c>
      <c r="AF1222" s="136">
        <v>7</v>
      </c>
      <c r="AG1222" s="136">
        <v>15</v>
      </c>
      <c r="AH1222" s="136"/>
      <c r="AI1222" s="136"/>
      <c r="AJ1222" s="136">
        <v>0</v>
      </c>
      <c r="AK1222" s="136">
        <v>0</v>
      </c>
      <c r="AL1222" s="136">
        <v>1</v>
      </c>
      <c r="AM1222" s="136">
        <v>0</v>
      </c>
      <c r="AN1222" s="136">
        <v>0</v>
      </c>
      <c r="AO1222" s="136"/>
      <c r="AP1222" s="143" t="e">
        <f>VLOOKUP(tbl_IO_List[[#This Row],[Instruement Tag]],tbl_Instruement_List[],14,FALSE)</f>
        <v>#N/A</v>
      </c>
      <c r="AQ1222" s="143" t="str">
        <f>tbl_IO_List[[#This Row],[Chassis]]&amp;"S"&amp;tbl_IO_List[[#This Row],[Slot]]&amp;"-"&amp;tbl_IO_List[[#This Row],[Front Terminal Number]]</f>
        <v>C8S7-</v>
      </c>
      <c r="AR1222" s="143"/>
      <c r="AS1222" s="136" t="str">
        <f>tbl_IO_List[[#This Row],[Terminal Tagging]]&amp;"-"&amp;tbl_IO_List[[#This Row],[Point-Count]]</f>
        <v>-</v>
      </c>
      <c r="AT1222" s="136" t="str">
        <f>tbl_IO_List[[#This Row],[Front Terminal Tagging]]&amp;"/"&amp;tbl_IO_List[[#This Row],[Terminal Tagging-Item]]</f>
        <v>C8S7-/-</v>
      </c>
      <c r="AU1222" s="136" t="str">
        <f>tbl_IO_List[[#This Row],[Terminal Tagging-Item]]&amp;"/"&amp;tbl_IO_List[[#This Row],[Front Terminal Tagging]]</f>
        <v>-/C8S7-</v>
      </c>
    </row>
    <row r="1223" spans="1:47">
      <c r="A1223" s="136" t="s">
        <v>1390</v>
      </c>
      <c r="B1223" s="136">
        <f>SUBTOTAL(103,tbl_IO_List[Destination])</f>
        <v>256</v>
      </c>
      <c r="C1223" s="136"/>
      <c r="D1223" s="136"/>
      <c r="E1223" s="136"/>
      <c r="F1223" s="136"/>
      <c r="G1223" s="136"/>
      <c r="H1223" s="136"/>
      <c r="I1223" s="136"/>
      <c r="J1223" s="136">
        <f>SUBTOTAL(109,tbl_IO_List[Master Zone])</f>
        <v>0</v>
      </c>
      <c r="K1223" s="136"/>
      <c r="L1223" s="136">
        <f>SUBTOTAL(103,tbl_IO_List[Instruement Tag])</f>
        <v>256</v>
      </c>
      <c r="M1223" s="136"/>
      <c r="N1223" s="136"/>
      <c r="O1223" s="136"/>
      <c r="P1223" s="136"/>
      <c r="Q1223" s="136"/>
      <c r="R1223" s="136"/>
      <c r="S1223" s="136"/>
      <c r="T1223" s="136"/>
      <c r="U1223" s="136">
        <f>SUBTOTAL(103,tbl_IO_List[I/O Type])</f>
        <v>256</v>
      </c>
      <c r="V1223" s="136"/>
      <c r="W1223" s="136"/>
      <c r="X1223" s="136"/>
      <c r="Y1223" s="136"/>
      <c r="Z1223" s="136"/>
      <c r="AA1223" s="136"/>
      <c r="AB1223" s="136"/>
      <c r="AC1223" s="136"/>
      <c r="AD1223" s="136"/>
      <c r="AE1223" s="136">
        <f>SUBTOTAL(103,tbl_IO_List[Chassis])</f>
        <v>256</v>
      </c>
      <c r="AF1223" s="136"/>
      <c r="AG1223" s="136"/>
      <c r="AH1223" s="136"/>
      <c r="AI1223" s="136"/>
      <c r="AJ1223" s="136">
        <f>SUBTOTAL(109,tbl_IO_List[DI])</f>
        <v>356</v>
      </c>
      <c r="AK1223" s="136">
        <f>SUBTOTAL(109,tbl_IO_List[DO])</f>
        <v>194</v>
      </c>
      <c r="AL1223" s="136">
        <f>SUBTOTAL(109,tbl_IO_List[AI])</f>
        <v>5</v>
      </c>
      <c r="AM1223" s="144" t="s">
        <v>1391</v>
      </c>
      <c r="AN1223" s="136">
        <f>SUBTOTAL(109,tbl_IO_List[Bus])</f>
        <v>0</v>
      </c>
      <c r="AO1223" s="136"/>
      <c r="AP1223" s="142">
        <f>SUBTOTAL(103,tbl_IO_List[Signal Type2])</f>
        <v>239</v>
      </c>
      <c r="AR1223" s="136"/>
      <c r="AS1223" s="136"/>
      <c r="AT1223" s="136"/>
      <c r="AU1223" s="136"/>
    </row>
  </sheetData>
  <phoneticPr fontId="54" type="noConversion"/>
  <pageMargins left="0.7" right="0.7" top="0.75" bottom="0.75" header="0.3" footer="0.3"/>
  <pageSetup paperSize="9" orientation="landscape" horizontalDpi="0" verticalDpi="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F95"/>
  <sheetViews>
    <sheetView zoomScale="170" workbookViewId="0">
      <selection activeCell="C9" sqref="C9"/>
    </sheetView>
  </sheetViews>
  <sheetFormatPr baseColWidth="10" defaultRowHeight="16"/>
  <cols>
    <col min="1" max="1" width="25.5" customWidth="1"/>
    <col min="2" max="2" width="11" customWidth="1"/>
    <col min="3" max="3" width="19.83203125" customWidth="1"/>
    <col min="4" max="4" width="32.5" customWidth="1"/>
    <col min="5" max="5" width="19" customWidth="1"/>
    <col min="6" max="6" width="18.6640625" customWidth="1"/>
    <col min="7" max="7" width="18" bestFit="1" customWidth="1"/>
    <col min="8" max="8" width="11.6640625" bestFit="1" customWidth="1"/>
    <col min="9" max="13" width="16" bestFit="1" customWidth="1"/>
    <col min="14" max="14" width="10.5" bestFit="1" customWidth="1"/>
  </cols>
  <sheetData>
    <row r="2" spans="1:6">
      <c r="B2" t="s">
        <v>1308</v>
      </c>
      <c r="C2" t="s">
        <v>1309</v>
      </c>
      <c r="D2" t="s">
        <v>1310</v>
      </c>
      <c r="E2" t="s">
        <v>1311</v>
      </c>
    </row>
    <row r="3" spans="1:6">
      <c r="B3" t="s">
        <v>1312</v>
      </c>
      <c r="C3" t="s">
        <v>1313</v>
      </c>
      <c r="D3" t="s">
        <v>1314</v>
      </c>
      <c r="E3">
        <v>20</v>
      </c>
      <c r="F3">
        <v>36</v>
      </c>
    </row>
    <row r="4" spans="1:6">
      <c r="B4" t="s">
        <v>1315</v>
      </c>
      <c r="C4" t="s">
        <v>1316</v>
      </c>
      <c r="D4" t="s">
        <v>1317</v>
      </c>
      <c r="E4">
        <v>10</v>
      </c>
      <c r="F4">
        <v>36</v>
      </c>
    </row>
    <row r="5" spans="1:6">
      <c r="B5" t="s">
        <v>1318</v>
      </c>
      <c r="C5" t="s">
        <v>1319</v>
      </c>
      <c r="D5" t="s">
        <v>1314</v>
      </c>
      <c r="E5">
        <v>10</v>
      </c>
      <c r="F5">
        <v>20</v>
      </c>
    </row>
    <row r="6" spans="1:6">
      <c r="B6" t="s">
        <v>1320</v>
      </c>
      <c r="C6" t="s">
        <v>1321</v>
      </c>
      <c r="D6" t="s">
        <v>1322</v>
      </c>
      <c r="E6">
        <v>10</v>
      </c>
      <c r="F6">
        <v>10</v>
      </c>
    </row>
    <row r="7" spans="1:6">
      <c r="B7" t="s">
        <v>1323</v>
      </c>
      <c r="C7" t="s">
        <v>1324</v>
      </c>
      <c r="D7" t="s">
        <v>1323</v>
      </c>
      <c r="F7" t="s">
        <v>18</v>
      </c>
    </row>
    <row r="8" spans="1:6">
      <c r="B8" t="s">
        <v>1325</v>
      </c>
      <c r="C8" t="s">
        <v>1326</v>
      </c>
      <c r="D8" t="s">
        <v>1327</v>
      </c>
      <c r="F8" t="s">
        <v>18</v>
      </c>
    </row>
    <row r="9" spans="1:6">
      <c r="B9" t="s">
        <v>1779</v>
      </c>
      <c r="C9" t="s">
        <v>1780</v>
      </c>
      <c r="D9" t="s">
        <v>1781</v>
      </c>
      <c r="F9" t="s">
        <v>18</v>
      </c>
    </row>
    <row r="10" spans="1:6">
      <c r="B10" t="s">
        <v>1328</v>
      </c>
      <c r="C10" t="s">
        <v>1328</v>
      </c>
      <c r="F10" t="s">
        <v>18</v>
      </c>
    </row>
    <row r="16" spans="1:6">
      <c r="A16" t="s">
        <v>463</v>
      </c>
      <c r="B16" t="s">
        <v>1301</v>
      </c>
      <c r="C16" t="s">
        <v>1329</v>
      </c>
      <c r="D16" t="s">
        <v>1308</v>
      </c>
      <c r="E16" t="s">
        <v>1330</v>
      </c>
      <c r="F16" t="s">
        <v>1331</v>
      </c>
    </row>
    <row r="17" spans="1:6">
      <c r="A17" t="str">
        <f>tbl_RackConfig[[#This Row],[Rack]]&amp;"S"&amp;TEXT(tbl_RackConfig[[#This Row],[Slot]],"00")</f>
        <v>C1S00</v>
      </c>
      <c r="B17" t="s">
        <v>1332</v>
      </c>
      <c r="C17">
        <v>0</v>
      </c>
      <c r="D17" t="s">
        <v>1323</v>
      </c>
      <c r="E17" t="str">
        <f>VLOOKUP(tbl_RackConfig[[#This Row],[Card]],tbl_CardType[],2,FALSE)</f>
        <v>1756-L950TPSXT</v>
      </c>
      <c r="F17" t="str">
        <f>VLOOKUP(tbl_RackConfig[[#This Row],[Card]],tbl_CardType[],3,FALSE)</f>
        <v>CPU</v>
      </c>
    </row>
    <row r="18" spans="1:6">
      <c r="A18" t="str">
        <f>tbl_RackConfig[[#This Row],[Rack]]&amp;"S"&amp;TEXT(tbl_RackConfig[[#This Row],[Slot]],"00")</f>
        <v>C1S01</v>
      </c>
      <c r="B18" t="s">
        <v>1332</v>
      </c>
      <c r="C18">
        <v>1</v>
      </c>
      <c r="D18" t="s">
        <v>1779</v>
      </c>
      <c r="E18" t="str">
        <f>VLOOKUP(tbl_RackConfig[[#This Row],[Card]],tbl_CardType[],2,FALSE)</f>
        <v>1756-EN4TR</v>
      </c>
      <c r="F18" t="str">
        <f>VLOOKUP(tbl_RackConfig[[#This Row],[Card]],tbl_CardType[],3,FALSE)</f>
        <v>Comm</v>
      </c>
    </row>
    <row r="19" spans="1:6">
      <c r="A19" t="str">
        <f>tbl_RackConfig[[#This Row],[Rack]]&amp;"S"&amp;TEXT(tbl_RackConfig[[#This Row],[Slot]],"00")</f>
        <v>C1S02</v>
      </c>
      <c r="B19" t="s">
        <v>1332</v>
      </c>
      <c r="C19">
        <v>2</v>
      </c>
      <c r="D19" t="s">
        <v>1779</v>
      </c>
      <c r="E19" t="str">
        <f>VLOOKUP(tbl_RackConfig[[#This Row],[Card]],tbl_CardType[],2,FALSE)</f>
        <v>1756-EN4TR</v>
      </c>
      <c r="F19" t="str">
        <f>VLOOKUP(tbl_RackConfig[[#This Row],[Card]],tbl_CardType[],3,FALSE)</f>
        <v>Comm</v>
      </c>
    </row>
    <row r="20" spans="1:6">
      <c r="A20" t="str">
        <f>tbl_RackConfig[[#This Row],[Rack]]&amp;"S"&amp;TEXT(tbl_RackConfig[[#This Row],[Slot]],"00")</f>
        <v>C1S03</v>
      </c>
      <c r="B20" t="s">
        <v>1332</v>
      </c>
      <c r="C20">
        <v>3</v>
      </c>
      <c r="D20" t="s">
        <v>1779</v>
      </c>
      <c r="E20" t="str">
        <f>VLOOKUP(tbl_RackConfig[[#This Row],[Card]],tbl_CardType[],2,FALSE)</f>
        <v>1756-EN4TR</v>
      </c>
      <c r="F20" t="str">
        <f>VLOOKUP(tbl_RackConfig[[#This Row],[Card]],tbl_CardType[],3,FALSE)</f>
        <v>Comm</v>
      </c>
    </row>
    <row r="21" spans="1:6">
      <c r="A21" t="str">
        <f>tbl_RackConfig[[#This Row],[Rack]]&amp;"S"&amp;TEXT(tbl_RackConfig[[#This Row],[Slot]],"00")</f>
        <v>C1S04</v>
      </c>
      <c r="B21" t="s">
        <v>1332</v>
      </c>
      <c r="C21">
        <v>4</v>
      </c>
      <c r="D21" t="s">
        <v>1312</v>
      </c>
      <c r="E21" t="str">
        <f>VLOOKUP(tbl_RackConfig[[#This Row],[Card]],tbl_CardType[],2,FALSE)</f>
        <v>1756-IB32</v>
      </c>
      <c r="F21" t="str">
        <f>VLOOKUP(tbl_RackConfig[[#This Row],[Card]],tbl_CardType[],3,FALSE)</f>
        <v>IN</v>
      </c>
    </row>
    <row r="22" spans="1:6">
      <c r="A22" t="str">
        <f>tbl_RackConfig[[#This Row],[Rack]]&amp;"S"&amp;TEXT(tbl_RackConfig[[#This Row],[Slot]],"00")</f>
        <v>C1S05</v>
      </c>
      <c r="B22" t="s">
        <v>1332</v>
      </c>
      <c r="C22">
        <v>5</v>
      </c>
      <c r="D22" t="s">
        <v>1312</v>
      </c>
      <c r="E22" t="str">
        <f>VLOOKUP(tbl_RackConfig[[#This Row],[Card]],tbl_CardType[],2,FALSE)</f>
        <v>1756-IB32</v>
      </c>
      <c r="F22" t="str">
        <f>VLOOKUP(tbl_RackConfig[[#This Row],[Card]],tbl_CardType[],3,FALSE)</f>
        <v>IN</v>
      </c>
    </row>
    <row r="23" spans="1:6">
      <c r="A23" t="str">
        <f>tbl_RackConfig[[#This Row],[Rack]]&amp;"S"&amp;TEXT(tbl_RackConfig[[#This Row],[Slot]],"00")</f>
        <v>C1S06</v>
      </c>
      <c r="B23" t="s">
        <v>1332</v>
      </c>
      <c r="C23">
        <v>6</v>
      </c>
      <c r="D23" t="s">
        <v>1312</v>
      </c>
      <c r="E23" t="str">
        <f>VLOOKUP(tbl_RackConfig[[#This Row],[Card]],tbl_CardType[],2,FALSE)</f>
        <v>1756-IB32</v>
      </c>
      <c r="F23" t="str">
        <f>VLOOKUP(tbl_RackConfig[[#This Row],[Card]],tbl_CardType[],3,FALSE)</f>
        <v>IN</v>
      </c>
    </row>
    <row r="24" spans="1:6">
      <c r="A24" t="str">
        <f>tbl_RackConfig[[#This Row],[Rack]]&amp;"S"&amp;TEXT(tbl_RackConfig[[#This Row],[Slot]],"00")</f>
        <v>C1S07</v>
      </c>
      <c r="B24" t="s">
        <v>1332</v>
      </c>
      <c r="C24">
        <v>7</v>
      </c>
      <c r="D24" t="s">
        <v>1312</v>
      </c>
      <c r="E24" t="str">
        <f>VLOOKUP(tbl_RackConfig[[#This Row],[Card]],tbl_CardType[],2,FALSE)</f>
        <v>1756-IB32</v>
      </c>
      <c r="F24" t="str">
        <f>VLOOKUP(tbl_RackConfig[[#This Row],[Card]],tbl_CardType[],3,FALSE)</f>
        <v>IN</v>
      </c>
    </row>
    <row r="25" spans="1:6">
      <c r="A25" t="str">
        <f>tbl_RackConfig[[#This Row],[Rack]]&amp;"S"&amp;TEXT(tbl_RackConfig[[#This Row],[Slot]],"00")</f>
        <v>C1S08</v>
      </c>
      <c r="B25" t="s">
        <v>1332</v>
      </c>
      <c r="C25">
        <v>8</v>
      </c>
      <c r="D25" t="s">
        <v>1315</v>
      </c>
      <c r="E25" t="str">
        <f>VLOOKUP(tbl_RackConfig[[#This Row],[Card]],tbl_CardType[],2,FALSE)</f>
        <v>1756-OB32</v>
      </c>
      <c r="F25" t="str">
        <f>VLOOKUP(tbl_RackConfig[[#This Row],[Card]],tbl_CardType[],3,FALSE)</f>
        <v>OUT</v>
      </c>
    </row>
    <row r="26" spans="1:6">
      <c r="A26" t="str">
        <f>tbl_RackConfig[[#This Row],[Rack]]&amp;"S"&amp;TEXT(tbl_RackConfig[[#This Row],[Slot]],"00")</f>
        <v>C1S09</v>
      </c>
      <c r="B26" t="s">
        <v>1332</v>
      </c>
      <c r="C26">
        <v>9</v>
      </c>
      <c r="D26" t="s">
        <v>1315</v>
      </c>
      <c r="E26" t="str">
        <f>VLOOKUP(tbl_RackConfig[[#This Row],[Card]],tbl_CardType[],2,FALSE)</f>
        <v>1756-OB32</v>
      </c>
      <c r="F26" t="str">
        <f>VLOOKUP(tbl_RackConfig[[#This Row],[Card]],tbl_CardType[],3,FALSE)</f>
        <v>OUT</v>
      </c>
    </row>
    <row r="27" spans="1:6">
      <c r="A27" t="str">
        <f>tbl_RackConfig[[#This Row],[Rack]]&amp;"S"&amp;TEXT(tbl_RackConfig[[#This Row],[Slot]],"00")</f>
        <v>C1S10</v>
      </c>
      <c r="B27" t="s">
        <v>1332</v>
      </c>
      <c r="C27">
        <v>10</v>
      </c>
      <c r="D27" t="s">
        <v>1318</v>
      </c>
      <c r="E27" t="str">
        <f>VLOOKUP(tbl_RackConfig[[#This Row],[Card]],tbl_CardType[],2,FALSE)</f>
        <v>1756-IF16</v>
      </c>
      <c r="F27" t="str">
        <f>VLOOKUP(tbl_RackConfig[[#This Row],[Card]],tbl_CardType[],3,FALSE)</f>
        <v>IN</v>
      </c>
    </row>
    <row r="28" spans="1:6">
      <c r="A28" t="str">
        <f>tbl_RackConfig[[#This Row],[Rack]]&amp;"S"&amp;TEXT(tbl_RackConfig[[#This Row],[Slot]],"00")</f>
        <v>C1S11</v>
      </c>
      <c r="B28" t="s">
        <v>1332</v>
      </c>
      <c r="C28">
        <v>11</v>
      </c>
      <c r="D28" t="s">
        <v>1318</v>
      </c>
      <c r="E28" t="str">
        <f>VLOOKUP(tbl_RackConfig[[#This Row],[Card]],tbl_CardType[],2,FALSE)</f>
        <v>1756-IF16</v>
      </c>
      <c r="F28" t="str">
        <f>VLOOKUP(tbl_RackConfig[[#This Row],[Card]],tbl_CardType[],3,FALSE)</f>
        <v>IN</v>
      </c>
    </row>
    <row r="29" spans="1:6">
      <c r="A29" t="str">
        <f>tbl_RackConfig[[#This Row],[Rack]]&amp;"S"&amp;TEXT(tbl_RackConfig[[#This Row],[Slot]],"00")</f>
        <v>C1S12</v>
      </c>
      <c r="B29" t="s">
        <v>1332</v>
      </c>
      <c r="C29">
        <v>12</v>
      </c>
      <c r="D29" t="s">
        <v>1325</v>
      </c>
      <c r="E29" t="str">
        <f>VLOOKUP(tbl_RackConfig[[#This Row],[Card]],tbl_CardType[],2,FALSE)</f>
        <v>1756-N2</v>
      </c>
      <c r="F29" t="str">
        <f>VLOOKUP(tbl_RackConfig[[#This Row],[Card]],tbl_CardType[],3,FALSE)</f>
        <v>EMPTY</v>
      </c>
    </row>
    <row r="30" spans="1:6">
      <c r="A30" t="str">
        <f>tbl_RackConfig[[#This Row],[Rack]]&amp;"S"&amp;TEXT(tbl_RackConfig[[#This Row],[Slot]],"00")</f>
        <v>C2S00</v>
      </c>
      <c r="B30" t="s">
        <v>1333</v>
      </c>
      <c r="C30">
        <v>0</v>
      </c>
      <c r="D30" t="s">
        <v>1779</v>
      </c>
      <c r="E30" t="str">
        <f>VLOOKUP(tbl_RackConfig[[#This Row],[Card]],tbl_CardType[],2,FALSE)</f>
        <v>1756-EN4TR</v>
      </c>
      <c r="F30" t="str">
        <f>VLOOKUP(tbl_RackConfig[[#This Row],[Card]],tbl_CardType[],3,FALSE)</f>
        <v>Comm</v>
      </c>
    </row>
    <row r="31" spans="1:6">
      <c r="A31" t="str">
        <f>tbl_RackConfig[[#This Row],[Rack]]&amp;"S"&amp;TEXT(tbl_RackConfig[[#This Row],[Slot]],"00")</f>
        <v>C2S01</v>
      </c>
      <c r="B31" t="s">
        <v>1333</v>
      </c>
      <c r="C31">
        <v>1</v>
      </c>
      <c r="D31" t="s">
        <v>1312</v>
      </c>
      <c r="E31" t="str">
        <f>VLOOKUP(tbl_RackConfig[[#This Row],[Card]],tbl_CardType[],2,FALSE)</f>
        <v>1756-IB32</v>
      </c>
      <c r="F31" t="str">
        <f>VLOOKUP(tbl_RackConfig[[#This Row],[Card]],tbl_CardType[],3,FALSE)</f>
        <v>IN</v>
      </c>
    </row>
    <row r="32" spans="1:6">
      <c r="A32" t="str">
        <f>tbl_RackConfig[[#This Row],[Rack]]&amp;"S"&amp;TEXT(tbl_RackConfig[[#This Row],[Slot]],"00")</f>
        <v>C2S02</v>
      </c>
      <c r="B32" t="s">
        <v>1333</v>
      </c>
      <c r="C32">
        <v>2</v>
      </c>
      <c r="D32" t="s">
        <v>1312</v>
      </c>
      <c r="E32" t="str">
        <f>VLOOKUP(tbl_RackConfig[[#This Row],[Card]],tbl_CardType[],2,FALSE)</f>
        <v>1756-IB32</v>
      </c>
      <c r="F32" t="str">
        <f>VLOOKUP(tbl_RackConfig[[#This Row],[Card]],tbl_CardType[],3,FALSE)</f>
        <v>IN</v>
      </c>
    </row>
    <row r="33" spans="1:6">
      <c r="A33" t="str">
        <f>tbl_RackConfig[[#This Row],[Rack]]&amp;"S"&amp;TEXT(tbl_RackConfig[[#This Row],[Slot]],"00")</f>
        <v>C2S03</v>
      </c>
      <c r="B33" t="s">
        <v>1333</v>
      </c>
      <c r="C33">
        <v>3</v>
      </c>
      <c r="D33" t="s">
        <v>1312</v>
      </c>
      <c r="E33" t="str">
        <f>VLOOKUP(tbl_RackConfig[[#This Row],[Card]],tbl_CardType[],2,FALSE)</f>
        <v>1756-IB32</v>
      </c>
      <c r="F33" t="str">
        <f>VLOOKUP(tbl_RackConfig[[#This Row],[Card]],tbl_CardType[],3,FALSE)</f>
        <v>IN</v>
      </c>
    </row>
    <row r="34" spans="1:6">
      <c r="A34" t="str">
        <f>tbl_RackConfig[[#This Row],[Rack]]&amp;"S"&amp;TEXT(tbl_RackConfig[[#This Row],[Slot]],"00")</f>
        <v>C2S04</v>
      </c>
      <c r="B34" t="s">
        <v>1333</v>
      </c>
      <c r="C34">
        <v>4</v>
      </c>
      <c r="D34" t="s">
        <v>1312</v>
      </c>
      <c r="E34" t="str">
        <f>VLOOKUP(tbl_RackConfig[[#This Row],[Card]],tbl_CardType[],2,FALSE)</f>
        <v>1756-IB32</v>
      </c>
      <c r="F34" t="str">
        <f>VLOOKUP(tbl_RackConfig[[#This Row],[Card]],tbl_CardType[],3,FALSE)</f>
        <v>IN</v>
      </c>
    </row>
    <row r="35" spans="1:6">
      <c r="A35" t="str">
        <f>tbl_RackConfig[[#This Row],[Rack]]&amp;"S"&amp;TEXT(tbl_RackConfig[[#This Row],[Slot]],"00")</f>
        <v>C2S05</v>
      </c>
      <c r="B35" t="s">
        <v>1333</v>
      </c>
      <c r="C35">
        <v>5</v>
      </c>
      <c r="D35" t="s">
        <v>1312</v>
      </c>
      <c r="E35" t="str">
        <f>VLOOKUP(tbl_RackConfig[[#This Row],[Card]],tbl_CardType[],2,FALSE)</f>
        <v>1756-IB32</v>
      </c>
      <c r="F35" t="str">
        <f>VLOOKUP(tbl_RackConfig[[#This Row],[Card]],tbl_CardType[],3,FALSE)</f>
        <v>IN</v>
      </c>
    </row>
    <row r="36" spans="1:6">
      <c r="A36" t="str">
        <f>tbl_RackConfig[[#This Row],[Rack]]&amp;"S"&amp;TEXT(tbl_RackConfig[[#This Row],[Slot]],"00")</f>
        <v>C2S06</v>
      </c>
      <c r="B36" t="s">
        <v>1333</v>
      </c>
      <c r="C36">
        <v>6</v>
      </c>
      <c r="D36" t="s">
        <v>1315</v>
      </c>
      <c r="E36" t="str">
        <f>VLOOKUP(tbl_RackConfig[[#This Row],[Card]],tbl_CardType[],2,FALSE)</f>
        <v>1756-OB32</v>
      </c>
      <c r="F36" t="str">
        <f>VLOOKUP(tbl_RackConfig[[#This Row],[Card]],tbl_CardType[],3,FALSE)</f>
        <v>OUT</v>
      </c>
    </row>
    <row r="37" spans="1:6">
      <c r="A37" t="str">
        <f>tbl_RackConfig[[#This Row],[Rack]]&amp;"S"&amp;TEXT(tbl_RackConfig[[#This Row],[Slot]],"00")</f>
        <v>C2S07</v>
      </c>
      <c r="B37" t="s">
        <v>1333</v>
      </c>
      <c r="C37">
        <v>7</v>
      </c>
      <c r="D37" t="s">
        <v>1315</v>
      </c>
      <c r="E37" t="str">
        <f>VLOOKUP(tbl_RackConfig[[#This Row],[Card]],tbl_CardType[],2,FALSE)</f>
        <v>1756-OB32</v>
      </c>
      <c r="F37" t="str">
        <f>VLOOKUP(tbl_RackConfig[[#This Row],[Card]],tbl_CardType[],3,FALSE)</f>
        <v>OUT</v>
      </c>
    </row>
    <row r="38" spans="1:6">
      <c r="A38" t="str">
        <f>tbl_RackConfig[[#This Row],[Rack]]&amp;"S"&amp;TEXT(tbl_RackConfig[[#This Row],[Slot]],"00")</f>
        <v>C2S08</v>
      </c>
      <c r="B38" t="s">
        <v>1333</v>
      </c>
      <c r="C38">
        <v>8</v>
      </c>
      <c r="D38" t="s">
        <v>1315</v>
      </c>
      <c r="E38" t="str">
        <f>VLOOKUP(tbl_RackConfig[[#This Row],[Card]],tbl_CardType[],2,FALSE)</f>
        <v>1756-OB32</v>
      </c>
      <c r="F38" t="str">
        <f>VLOOKUP(tbl_RackConfig[[#This Row],[Card]],tbl_CardType[],3,FALSE)</f>
        <v>OUT</v>
      </c>
    </row>
    <row r="39" spans="1:6">
      <c r="A39" t="str">
        <f>tbl_RackConfig[[#This Row],[Rack]]&amp;"S"&amp;TEXT(tbl_RackConfig[[#This Row],[Slot]],"00")</f>
        <v>C2S09</v>
      </c>
      <c r="B39" t="s">
        <v>1333</v>
      </c>
      <c r="C39">
        <v>9</v>
      </c>
      <c r="D39" t="s">
        <v>1318</v>
      </c>
      <c r="E39" t="str">
        <f>VLOOKUP(tbl_RackConfig[[#This Row],[Card]],tbl_CardType[],2,FALSE)</f>
        <v>1756-IF16</v>
      </c>
      <c r="F39" t="str">
        <f>VLOOKUP(tbl_RackConfig[[#This Row],[Card]],tbl_CardType[],3,FALSE)</f>
        <v>IN</v>
      </c>
    </row>
    <row r="40" spans="1:6">
      <c r="A40" t="str">
        <f>tbl_RackConfig[[#This Row],[Rack]]&amp;"S"&amp;TEXT(tbl_RackConfig[[#This Row],[Slot]],"00")</f>
        <v>C2S10</v>
      </c>
      <c r="B40" t="s">
        <v>1333</v>
      </c>
      <c r="C40">
        <v>10</v>
      </c>
      <c r="D40" t="s">
        <v>1318</v>
      </c>
      <c r="E40" t="str">
        <f>VLOOKUP(tbl_RackConfig[[#This Row],[Card]],tbl_CardType[],2,FALSE)</f>
        <v>1756-IF16</v>
      </c>
      <c r="F40" t="str">
        <f>VLOOKUP(tbl_RackConfig[[#This Row],[Card]],tbl_CardType[],3,FALSE)</f>
        <v>IN</v>
      </c>
    </row>
    <row r="41" spans="1:6">
      <c r="A41" t="str">
        <f>tbl_RackConfig[[#This Row],[Rack]]&amp;"S"&amp;TEXT(tbl_RackConfig[[#This Row],[Slot]],"00")</f>
        <v>C2S11</v>
      </c>
      <c r="B41" t="s">
        <v>1333</v>
      </c>
      <c r="C41">
        <v>11</v>
      </c>
      <c r="D41" t="s">
        <v>1318</v>
      </c>
      <c r="E41" t="str">
        <f>VLOOKUP(tbl_RackConfig[[#This Row],[Card]],tbl_CardType[],2,FALSE)</f>
        <v>1756-IF16</v>
      </c>
      <c r="F41" t="str">
        <f>VLOOKUP(tbl_RackConfig[[#This Row],[Card]],tbl_CardType[],3,FALSE)</f>
        <v>IN</v>
      </c>
    </row>
    <row r="42" spans="1:6">
      <c r="A42" t="str">
        <f>tbl_RackConfig[[#This Row],[Rack]]&amp;"S"&amp;TEXT(tbl_RackConfig[[#This Row],[Slot]],"00")</f>
        <v>C2S12</v>
      </c>
      <c r="B42" t="s">
        <v>1333</v>
      </c>
      <c r="C42">
        <v>12</v>
      </c>
      <c r="D42" t="s">
        <v>1318</v>
      </c>
      <c r="E42" t="str">
        <f>VLOOKUP(tbl_RackConfig[[#This Row],[Card]],tbl_CardType[],2,FALSE)</f>
        <v>1756-IF16</v>
      </c>
      <c r="F42" t="str">
        <f>VLOOKUP(tbl_RackConfig[[#This Row],[Card]],tbl_CardType[],3,FALSE)</f>
        <v>IN</v>
      </c>
    </row>
    <row r="43" spans="1:6">
      <c r="A43" t="str">
        <f>tbl_RackConfig[[#This Row],[Rack]]&amp;"S"&amp;TEXT(tbl_RackConfig[[#This Row],[Slot]],"00")</f>
        <v>C2S13</v>
      </c>
      <c r="B43" t="s">
        <v>1333</v>
      </c>
      <c r="C43">
        <v>13</v>
      </c>
      <c r="D43" t="s">
        <v>1318</v>
      </c>
      <c r="E43" t="str">
        <f>VLOOKUP(tbl_RackConfig[[#This Row],[Card]],tbl_CardType[],2,FALSE)</f>
        <v>1756-IF16</v>
      </c>
      <c r="F43" t="str">
        <f>VLOOKUP(tbl_RackConfig[[#This Row],[Card]],tbl_CardType[],3,FALSE)</f>
        <v>IN</v>
      </c>
    </row>
    <row r="44" spans="1:6">
      <c r="A44" t="str">
        <f>tbl_RackConfig[[#This Row],[Rack]]&amp;"S"&amp;TEXT(tbl_RackConfig[[#This Row],[Slot]],"00")</f>
        <v>C3S00</v>
      </c>
      <c r="B44" t="s">
        <v>1334</v>
      </c>
      <c r="C44">
        <v>0</v>
      </c>
      <c r="D44" t="s">
        <v>1779</v>
      </c>
      <c r="E44" t="str">
        <f>VLOOKUP(tbl_RackConfig[[#This Row],[Card]],tbl_CardType[],2,FALSE)</f>
        <v>1756-EN4TR</v>
      </c>
      <c r="F44" t="str">
        <f>VLOOKUP(tbl_RackConfig[[#This Row],[Card]],tbl_CardType[],3,FALSE)</f>
        <v>Comm</v>
      </c>
    </row>
    <row r="45" spans="1:6">
      <c r="A45" t="str">
        <f>tbl_RackConfig[[#This Row],[Rack]]&amp;"S"&amp;TEXT(tbl_RackConfig[[#This Row],[Slot]],"00")</f>
        <v>C3S01</v>
      </c>
      <c r="B45" t="s">
        <v>1334</v>
      </c>
      <c r="C45">
        <v>1</v>
      </c>
      <c r="D45" t="s">
        <v>1312</v>
      </c>
      <c r="E45" t="str">
        <f>VLOOKUP(tbl_RackConfig[[#This Row],[Card]],tbl_CardType[],2,FALSE)</f>
        <v>1756-IB32</v>
      </c>
      <c r="F45" t="str">
        <f>VLOOKUP(tbl_RackConfig[[#This Row],[Card]],tbl_CardType[],3,FALSE)</f>
        <v>IN</v>
      </c>
    </row>
    <row r="46" spans="1:6">
      <c r="A46" t="str">
        <f>tbl_RackConfig[[#This Row],[Rack]]&amp;"S"&amp;TEXT(tbl_RackConfig[[#This Row],[Slot]],"00")</f>
        <v>C3S02</v>
      </c>
      <c r="B46" t="s">
        <v>1334</v>
      </c>
      <c r="C46">
        <v>2</v>
      </c>
      <c r="D46" t="s">
        <v>1312</v>
      </c>
      <c r="E46" t="str">
        <f>VLOOKUP(tbl_RackConfig[[#This Row],[Card]],tbl_CardType[],2,FALSE)</f>
        <v>1756-IB32</v>
      </c>
      <c r="F46" t="str">
        <f>VLOOKUP(tbl_RackConfig[[#This Row],[Card]],tbl_CardType[],3,FALSE)</f>
        <v>IN</v>
      </c>
    </row>
    <row r="47" spans="1:6">
      <c r="A47" t="str">
        <f>tbl_RackConfig[[#This Row],[Rack]]&amp;"S"&amp;TEXT(tbl_RackConfig[[#This Row],[Slot]],"00")</f>
        <v>C3S03</v>
      </c>
      <c r="B47" t="s">
        <v>1334</v>
      </c>
      <c r="C47">
        <v>3</v>
      </c>
      <c r="D47" t="s">
        <v>1315</v>
      </c>
      <c r="E47" t="str">
        <f>VLOOKUP(tbl_RackConfig[[#This Row],[Card]],tbl_CardType[],2,FALSE)</f>
        <v>1756-OB32</v>
      </c>
      <c r="F47" t="str">
        <f>VLOOKUP(tbl_RackConfig[[#This Row],[Card]],tbl_CardType[],3,FALSE)</f>
        <v>OUT</v>
      </c>
    </row>
    <row r="48" spans="1:6">
      <c r="A48" t="str">
        <f>tbl_RackConfig[[#This Row],[Rack]]&amp;"S"&amp;TEXT(tbl_RackConfig[[#This Row],[Slot]],"00")</f>
        <v>C3S04</v>
      </c>
      <c r="B48" t="s">
        <v>1334</v>
      </c>
      <c r="C48">
        <v>4</v>
      </c>
      <c r="D48" t="s">
        <v>1318</v>
      </c>
      <c r="E48" t="str">
        <f>VLOOKUP(tbl_RackConfig[[#This Row],[Card]],tbl_CardType[],2,FALSE)</f>
        <v>1756-IF16</v>
      </c>
      <c r="F48" t="str">
        <f>VLOOKUP(tbl_RackConfig[[#This Row],[Card]],tbl_CardType[],3,FALSE)</f>
        <v>IN</v>
      </c>
    </row>
    <row r="49" spans="1:6">
      <c r="A49" t="str">
        <f>tbl_RackConfig[[#This Row],[Rack]]&amp;"S"&amp;TEXT(tbl_RackConfig[[#This Row],[Slot]],"00")</f>
        <v>C3S05</v>
      </c>
      <c r="B49" t="s">
        <v>1334</v>
      </c>
      <c r="C49">
        <v>5</v>
      </c>
      <c r="D49" t="s">
        <v>1318</v>
      </c>
      <c r="E49" t="str">
        <f>VLOOKUP(tbl_RackConfig[[#This Row],[Card]],tbl_CardType[],2,FALSE)</f>
        <v>1756-IF16</v>
      </c>
      <c r="F49" t="str">
        <f>VLOOKUP(tbl_RackConfig[[#This Row],[Card]],tbl_CardType[],3,FALSE)</f>
        <v>IN</v>
      </c>
    </row>
    <row r="50" spans="1:6">
      <c r="A50" t="str">
        <f>tbl_RackConfig[[#This Row],[Rack]]&amp;"S"&amp;TEXT(tbl_RackConfig[[#This Row],[Slot]],"00")</f>
        <v>C3S06</v>
      </c>
      <c r="B50" t="s">
        <v>1334</v>
      </c>
      <c r="C50">
        <v>6</v>
      </c>
      <c r="D50" t="s">
        <v>1325</v>
      </c>
      <c r="E50" t="str">
        <f>VLOOKUP(tbl_RackConfig[[#This Row],[Card]],tbl_CardType[],2,FALSE)</f>
        <v>1756-N2</v>
      </c>
      <c r="F50" t="str">
        <f>VLOOKUP(tbl_RackConfig[[#This Row],[Card]],tbl_CardType[],3,FALSE)</f>
        <v>EMPTY</v>
      </c>
    </row>
    <row r="51" spans="1:6">
      <c r="A51" t="str">
        <f>tbl_RackConfig[[#This Row],[Rack]]&amp;"S"&amp;TEXT(tbl_RackConfig[[#This Row],[Slot]],"00")</f>
        <v>C3S07</v>
      </c>
      <c r="B51" t="s">
        <v>1334</v>
      </c>
      <c r="C51">
        <v>7</v>
      </c>
      <c r="D51" t="s">
        <v>1325</v>
      </c>
      <c r="E51" t="str">
        <f>VLOOKUP(tbl_RackConfig[[#This Row],[Card]],tbl_CardType[],2,FALSE)</f>
        <v>1756-N2</v>
      </c>
      <c r="F51" t="str">
        <f>VLOOKUP(tbl_RackConfig[[#This Row],[Card]],tbl_CardType[],3,FALSE)</f>
        <v>EMPTY</v>
      </c>
    </row>
    <row r="52" spans="1:6">
      <c r="A52" t="str">
        <f>tbl_RackConfig[[#This Row],[Rack]]&amp;"S"&amp;TEXT(tbl_RackConfig[[#This Row],[Slot]],"00")</f>
        <v>C3S08</v>
      </c>
      <c r="B52" t="s">
        <v>1334</v>
      </c>
      <c r="C52">
        <v>8</v>
      </c>
      <c r="D52" t="s">
        <v>1325</v>
      </c>
      <c r="E52" t="str">
        <f>VLOOKUP(tbl_RackConfig[[#This Row],[Card]],tbl_CardType[],2,FALSE)</f>
        <v>1756-N2</v>
      </c>
      <c r="F52" t="str">
        <f>VLOOKUP(tbl_RackConfig[[#This Row],[Card]],tbl_CardType[],3,FALSE)</f>
        <v>EMPTY</v>
      </c>
    </row>
    <row r="53" spans="1:6">
      <c r="A53" t="str">
        <f>tbl_RackConfig[[#This Row],[Rack]]&amp;"S"&amp;TEXT(tbl_RackConfig[[#This Row],[Slot]],"00")</f>
        <v>C3S09</v>
      </c>
      <c r="B53" t="s">
        <v>1334</v>
      </c>
      <c r="C53">
        <v>9</v>
      </c>
      <c r="D53" t="s">
        <v>1325</v>
      </c>
      <c r="E53" t="str">
        <f>VLOOKUP(tbl_RackConfig[[#This Row],[Card]],tbl_CardType[],2,FALSE)</f>
        <v>1756-N2</v>
      </c>
      <c r="F53" t="str">
        <f>VLOOKUP(tbl_RackConfig[[#This Row],[Card]],tbl_CardType[],3,FALSE)</f>
        <v>EMPTY</v>
      </c>
    </row>
    <row r="54" spans="1:6">
      <c r="A54" t="str">
        <f>tbl_RackConfig[[#This Row],[Rack]]&amp;"S"&amp;TEXT(tbl_RackConfig[[#This Row],[Slot]],"00")</f>
        <v>C3S10</v>
      </c>
      <c r="B54" t="s">
        <v>1334</v>
      </c>
      <c r="C54">
        <v>10</v>
      </c>
      <c r="D54" t="s">
        <v>1325</v>
      </c>
      <c r="E54" t="str">
        <f>VLOOKUP(tbl_RackConfig[[#This Row],[Card]],tbl_CardType[],2,FALSE)</f>
        <v>1756-N2</v>
      </c>
      <c r="F54" t="str">
        <f>VLOOKUP(tbl_RackConfig[[#This Row],[Card]],tbl_CardType[],3,FALSE)</f>
        <v>EMPTY</v>
      </c>
    </row>
    <row r="55" spans="1:6">
      <c r="A55" t="str">
        <f>tbl_RackConfig[[#This Row],[Rack]]&amp;"S"&amp;TEXT(tbl_RackConfig[[#This Row],[Slot]],"00")</f>
        <v>C3S11</v>
      </c>
      <c r="B55" t="s">
        <v>1334</v>
      </c>
      <c r="C55">
        <v>11</v>
      </c>
      <c r="D55" t="s">
        <v>1325</v>
      </c>
      <c r="E55" t="str">
        <f>VLOOKUP(tbl_RackConfig[[#This Row],[Card]],tbl_CardType[],2,FALSE)</f>
        <v>1756-N2</v>
      </c>
      <c r="F55" t="str">
        <f>VLOOKUP(tbl_RackConfig[[#This Row],[Card]],tbl_CardType[],3,FALSE)</f>
        <v>EMPTY</v>
      </c>
    </row>
    <row r="56" spans="1:6">
      <c r="A56" t="str">
        <f>tbl_RackConfig[[#This Row],[Rack]]&amp;"S"&amp;TEXT(tbl_RackConfig[[#This Row],[Slot]],"00")</f>
        <v>C3S12</v>
      </c>
      <c r="B56" t="s">
        <v>1334</v>
      </c>
      <c r="C56">
        <v>12</v>
      </c>
      <c r="D56" t="s">
        <v>1320</v>
      </c>
      <c r="E56" t="str">
        <f>VLOOKUP(tbl_RackConfig[[#This Row],[Card]],tbl_CardType[],2,FALSE)</f>
        <v>1756-OF8</v>
      </c>
      <c r="F56" t="str">
        <f>VLOOKUP(tbl_RackConfig[[#This Row],[Card]],tbl_CardType[],3,FALSE)</f>
        <v>IOUT</v>
      </c>
    </row>
    <row r="57" spans="1:6">
      <c r="A57" t="str">
        <f>tbl_RackConfig[[#This Row],[Rack]]&amp;"S"&amp;TEXT(tbl_RackConfig[[#This Row],[Slot]],"00")</f>
        <v>C4S00</v>
      </c>
      <c r="B57" t="s">
        <v>1335</v>
      </c>
      <c r="C57">
        <v>0</v>
      </c>
      <c r="D57" t="s">
        <v>1779</v>
      </c>
      <c r="E57" t="str">
        <f>VLOOKUP(tbl_RackConfig[[#This Row],[Card]],tbl_CardType[],2,FALSE)</f>
        <v>1756-EN4TR</v>
      </c>
      <c r="F57" t="str">
        <f>VLOOKUP(tbl_RackConfig[[#This Row],[Card]],tbl_CardType[],3,FALSE)</f>
        <v>Comm</v>
      </c>
    </row>
    <row r="58" spans="1:6">
      <c r="A58" t="str">
        <f>tbl_RackConfig[[#This Row],[Rack]]&amp;"S"&amp;TEXT(tbl_RackConfig[[#This Row],[Slot]],"00")</f>
        <v>C4S01</v>
      </c>
      <c r="B58" t="s">
        <v>1335</v>
      </c>
      <c r="C58">
        <v>1</v>
      </c>
      <c r="D58" t="s">
        <v>1312</v>
      </c>
      <c r="E58" t="str">
        <f>VLOOKUP(tbl_RackConfig[[#This Row],[Card]],tbl_CardType[],2,FALSE)</f>
        <v>1756-IB32</v>
      </c>
      <c r="F58" t="str">
        <f>VLOOKUP(tbl_RackConfig[[#This Row],[Card]],tbl_CardType[],3,FALSE)</f>
        <v>IN</v>
      </c>
    </row>
    <row r="59" spans="1:6">
      <c r="A59" t="str">
        <f>tbl_RackConfig[[#This Row],[Rack]]&amp;"S"&amp;TEXT(tbl_RackConfig[[#This Row],[Slot]],"00")</f>
        <v>C4S02</v>
      </c>
      <c r="B59" t="s">
        <v>1335</v>
      </c>
      <c r="C59">
        <v>2</v>
      </c>
      <c r="D59" t="s">
        <v>1312</v>
      </c>
      <c r="E59" t="str">
        <f>VLOOKUP(tbl_RackConfig[[#This Row],[Card]],tbl_CardType[],2,FALSE)</f>
        <v>1756-IB32</v>
      </c>
      <c r="F59" t="str">
        <f>VLOOKUP(tbl_RackConfig[[#This Row],[Card]],tbl_CardType[],3,FALSE)</f>
        <v>IN</v>
      </c>
    </row>
    <row r="60" spans="1:6">
      <c r="A60" t="str">
        <f>tbl_RackConfig[[#This Row],[Rack]]&amp;"S"&amp;TEXT(tbl_RackConfig[[#This Row],[Slot]],"00")</f>
        <v>C4S03</v>
      </c>
      <c r="B60" t="s">
        <v>1335</v>
      </c>
      <c r="C60">
        <v>3</v>
      </c>
      <c r="D60" t="s">
        <v>1312</v>
      </c>
      <c r="E60" t="str">
        <f>VLOOKUP(tbl_RackConfig[[#This Row],[Card]],tbl_CardType[],2,FALSE)</f>
        <v>1756-IB32</v>
      </c>
      <c r="F60" t="str">
        <f>VLOOKUP(tbl_RackConfig[[#This Row],[Card]],tbl_CardType[],3,FALSE)</f>
        <v>IN</v>
      </c>
    </row>
    <row r="61" spans="1:6">
      <c r="A61" t="str">
        <f>tbl_RackConfig[[#This Row],[Rack]]&amp;"S"&amp;TEXT(tbl_RackConfig[[#This Row],[Slot]],"00")</f>
        <v>C4S04</v>
      </c>
      <c r="B61" t="s">
        <v>1335</v>
      </c>
      <c r="C61">
        <v>4</v>
      </c>
      <c r="D61" t="s">
        <v>1315</v>
      </c>
      <c r="E61" t="str">
        <f>VLOOKUP(tbl_RackConfig[[#This Row],[Card]],tbl_CardType[],2,FALSE)</f>
        <v>1756-OB32</v>
      </c>
      <c r="F61" t="str">
        <f>VLOOKUP(tbl_RackConfig[[#This Row],[Card]],tbl_CardType[],3,FALSE)</f>
        <v>OUT</v>
      </c>
    </row>
    <row r="62" spans="1:6">
      <c r="A62" t="str">
        <f>tbl_RackConfig[[#This Row],[Rack]]&amp;"S"&amp;TEXT(tbl_RackConfig[[#This Row],[Slot]],"00")</f>
        <v>C4S05</v>
      </c>
      <c r="B62" t="s">
        <v>1335</v>
      </c>
      <c r="C62">
        <v>5</v>
      </c>
      <c r="D62" t="s">
        <v>1318</v>
      </c>
      <c r="E62" t="str">
        <f>VLOOKUP(tbl_RackConfig[[#This Row],[Card]],tbl_CardType[],2,FALSE)</f>
        <v>1756-IF16</v>
      </c>
      <c r="F62" t="str">
        <f>VLOOKUP(tbl_RackConfig[[#This Row],[Card]],tbl_CardType[],3,FALSE)</f>
        <v>IN</v>
      </c>
    </row>
    <row r="63" spans="1:6">
      <c r="A63" t="str">
        <f>tbl_RackConfig[[#This Row],[Rack]]&amp;"S"&amp;TEXT(tbl_RackConfig[[#This Row],[Slot]],"00")</f>
        <v>C4S06</v>
      </c>
      <c r="B63" t="s">
        <v>1335</v>
      </c>
      <c r="C63">
        <v>6</v>
      </c>
      <c r="D63" t="s">
        <v>1318</v>
      </c>
      <c r="E63" t="str">
        <f>VLOOKUP(tbl_RackConfig[[#This Row],[Card]],tbl_CardType[],2,FALSE)</f>
        <v>1756-IF16</v>
      </c>
      <c r="F63" t="str">
        <f>VLOOKUP(tbl_RackConfig[[#This Row],[Card]],tbl_CardType[],3,FALSE)</f>
        <v>IN</v>
      </c>
    </row>
    <row r="64" spans="1:6">
      <c r="A64" t="str">
        <f>tbl_RackConfig[[#This Row],[Rack]]&amp;"S"&amp;TEXT(tbl_RackConfig[[#This Row],[Slot]],"00")</f>
        <v>C4S07</v>
      </c>
      <c r="B64" t="s">
        <v>1335</v>
      </c>
      <c r="C64">
        <v>7</v>
      </c>
      <c r="D64" t="s">
        <v>1325</v>
      </c>
      <c r="E64" t="str">
        <f>VLOOKUP(tbl_RackConfig[[#This Row],[Card]],tbl_CardType[],2,FALSE)</f>
        <v>1756-N2</v>
      </c>
      <c r="F64" t="str">
        <f>VLOOKUP(tbl_RackConfig[[#This Row],[Card]],tbl_CardType[],3,FALSE)</f>
        <v>EMPTY</v>
      </c>
    </row>
    <row r="65" spans="1:6">
      <c r="A65" t="str">
        <f>tbl_RackConfig[[#This Row],[Rack]]&amp;"S"&amp;TEXT(tbl_RackConfig[[#This Row],[Slot]],"00")</f>
        <v>C4S08</v>
      </c>
      <c r="B65" t="s">
        <v>1335</v>
      </c>
      <c r="C65">
        <v>8</v>
      </c>
      <c r="D65" t="s">
        <v>1325</v>
      </c>
      <c r="E65" t="str">
        <f>VLOOKUP(tbl_RackConfig[[#This Row],[Card]],tbl_CardType[],2,FALSE)</f>
        <v>1756-N2</v>
      </c>
      <c r="F65" t="str">
        <f>VLOOKUP(tbl_RackConfig[[#This Row],[Card]],tbl_CardType[],3,FALSE)</f>
        <v>EMPTY</v>
      </c>
    </row>
    <row r="66" spans="1:6">
      <c r="A66" t="str">
        <f>tbl_RackConfig[[#This Row],[Rack]]&amp;"S"&amp;TEXT(tbl_RackConfig[[#This Row],[Slot]],"00")</f>
        <v>C4S09</v>
      </c>
      <c r="B66" t="s">
        <v>1335</v>
      </c>
      <c r="C66">
        <v>9</v>
      </c>
      <c r="D66" t="s">
        <v>1325</v>
      </c>
      <c r="E66" t="str">
        <f>VLOOKUP(tbl_RackConfig[[#This Row],[Card]],tbl_CardType[],2,FALSE)</f>
        <v>1756-N2</v>
      </c>
      <c r="F66" t="str">
        <f>VLOOKUP(tbl_RackConfig[[#This Row],[Card]],tbl_CardType[],3,FALSE)</f>
        <v>EMPTY</v>
      </c>
    </row>
    <row r="67" spans="1:6">
      <c r="A67" t="str">
        <f>tbl_RackConfig[[#This Row],[Rack]]&amp;"S"&amp;TEXT(tbl_RackConfig[[#This Row],[Slot]],"00")</f>
        <v>C4S10</v>
      </c>
      <c r="B67" t="s">
        <v>1335</v>
      </c>
      <c r="C67">
        <v>10</v>
      </c>
      <c r="D67" t="s">
        <v>1325</v>
      </c>
      <c r="E67" t="str">
        <f>VLOOKUP(tbl_RackConfig[[#This Row],[Card]],tbl_CardType[],2,FALSE)</f>
        <v>1756-N2</v>
      </c>
      <c r="F67" t="str">
        <f>VLOOKUP(tbl_RackConfig[[#This Row],[Card]],tbl_CardType[],3,FALSE)</f>
        <v>EMPTY</v>
      </c>
    </row>
    <row r="68" spans="1:6">
      <c r="A68" t="str">
        <f>tbl_RackConfig[[#This Row],[Rack]]&amp;"S"&amp;TEXT(tbl_RackConfig[[#This Row],[Slot]],"00")</f>
        <v>C4S11</v>
      </c>
      <c r="B68" t="s">
        <v>1335</v>
      </c>
      <c r="C68">
        <v>11</v>
      </c>
      <c r="D68" t="s">
        <v>1325</v>
      </c>
      <c r="E68" t="str">
        <f>VLOOKUP(tbl_RackConfig[[#This Row],[Card]],tbl_CardType[],2,FALSE)</f>
        <v>1756-N2</v>
      </c>
      <c r="F68" t="str">
        <f>VLOOKUP(tbl_RackConfig[[#This Row],[Card]],tbl_CardType[],3,FALSE)</f>
        <v>EMPTY</v>
      </c>
    </row>
    <row r="69" spans="1:6">
      <c r="A69" t="str">
        <f>tbl_RackConfig[[#This Row],[Rack]]&amp;"S"&amp;TEXT(tbl_RackConfig[[#This Row],[Slot]],"00")</f>
        <v>C4S12</v>
      </c>
      <c r="B69" t="s">
        <v>1335</v>
      </c>
      <c r="C69">
        <v>12</v>
      </c>
      <c r="D69" t="s">
        <v>1325</v>
      </c>
      <c r="E69" t="str">
        <f>VLOOKUP(tbl_RackConfig[[#This Row],[Card]],tbl_CardType[],2,FALSE)</f>
        <v>1756-N2</v>
      </c>
      <c r="F69" t="str">
        <f>VLOOKUP(tbl_RackConfig[[#This Row],[Card]],tbl_CardType[],3,FALSE)</f>
        <v>EMPTY</v>
      </c>
    </row>
    <row r="70" spans="1:6">
      <c r="A70" t="str">
        <f>tbl_RackConfig[[#This Row],[Rack]]&amp;"S"&amp;TEXT(tbl_RackConfig[[#This Row],[Slot]],"00")</f>
        <v>C5S00</v>
      </c>
      <c r="B70" t="s">
        <v>1336</v>
      </c>
      <c r="C70">
        <v>0</v>
      </c>
      <c r="D70" t="s">
        <v>1779</v>
      </c>
      <c r="E70" t="str">
        <f>VLOOKUP(tbl_RackConfig[[#This Row],[Card]],tbl_CardType[],2,FALSE)</f>
        <v>1756-EN4TR</v>
      </c>
      <c r="F70" t="str">
        <f>VLOOKUP(tbl_RackConfig[[#This Row],[Card]],tbl_CardType[],3,FALSE)</f>
        <v>Comm</v>
      </c>
    </row>
    <row r="71" spans="1:6">
      <c r="A71" t="str">
        <f>tbl_RackConfig[[#This Row],[Rack]]&amp;"S"&amp;TEXT(tbl_RackConfig[[#This Row],[Slot]],"00")</f>
        <v>C5S01</v>
      </c>
      <c r="B71" t="s">
        <v>1336</v>
      </c>
      <c r="C71">
        <v>1</v>
      </c>
      <c r="D71" t="s">
        <v>1312</v>
      </c>
      <c r="E71" t="str">
        <f>VLOOKUP(tbl_RackConfig[[#This Row],[Card]],tbl_CardType[],2,FALSE)</f>
        <v>1756-IB32</v>
      </c>
      <c r="F71" t="str">
        <f>VLOOKUP(tbl_RackConfig[[#This Row],[Card]],tbl_CardType[],3,FALSE)</f>
        <v>IN</v>
      </c>
    </row>
    <row r="72" spans="1:6">
      <c r="A72" t="str">
        <f>tbl_RackConfig[[#This Row],[Rack]]&amp;"S"&amp;TEXT(tbl_RackConfig[[#This Row],[Slot]],"00")</f>
        <v>C5S02</v>
      </c>
      <c r="B72" t="s">
        <v>1336</v>
      </c>
      <c r="C72">
        <v>2</v>
      </c>
      <c r="D72" t="s">
        <v>1312</v>
      </c>
      <c r="E72" t="str">
        <f>VLOOKUP(tbl_RackConfig[[#This Row],[Card]],tbl_CardType[],2,FALSE)</f>
        <v>1756-IB32</v>
      </c>
      <c r="F72" t="str">
        <f>VLOOKUP(tbl_RackConfig[[#This Row],[Card]],tbl_CardType[],3,FALSE)</f>
        <v>IN</v>
      </c>
    </row>
    <row r="73" spans="1:6">
      <c r="A73" t="str">
        <f>tbl_RackConfig[[#This Row],[Rack]]&amp;"S"&amp;TEXT(tbl_RackConfig[[#This Row],[Slot]],"00")</f>
        <v>C5S03</v>
      </c>
      <c r="B73" t="s">
        <v>1336</v>
      </c>
      <c r="C73">
        <v>3</v>
      </c>
      <c r="D73" t="s">
        <v>1315</v>
      </c>
      <c r="E73" t="str">
        <f>VLOOKUP(tbl_RackConfig[[#This Row],[Card]],tbl_CardType[],2,FALSE)</f>
        <v>1756-OB32</v>
      </c>
      <c r="F73" t="str">
        <f>VLOOKUP(tbl_RackConfig[[#This Row],[Card]],tbl_CardType[],3,FALSE)</f>
        <v>OUT</v>
      </c>
    </row>
    <row r="74" spans="1:6">
      <c r="A74" t="str">
        <f>tbl_RackConfig[[#This Row],[Rack]]&amp;"S"&amp;TEXT(tbl_RackConfig[[#This Row],[Slot]],"00")</f>
        <v>C5S04</v>
      </c>
      <c r="B74" t="s">
        <v>1336</v>
      </c>
      <c r="C74">
        <v>4</v>
      </c>
      <c r="D74" t="s">
        <v>1318</v>
      </c>
      <c r="E74" t="str">
        <f>VLOOKUP(tbl_RackConfig[[#This Row],[Card]],tbl_CardType[],2,FALSE)</f>
        <v>1756-IF16</v>
      </c>
      <c r="F74" t="str">
        <f>VLOOKUP(tbl_RackConfig[[#This Row],[Card]],tbl_CardType[],3,FALSE)</f>
        <v>IN</v>
      </c>
    </row>
    <row r="75" spans="1:6">
      <c r="A75" t="str">
        <f>tbl_RackConfig[[#This Row],[Rack]]&amp;"S"&amp;TEXT(tbl_RackConfig[[#This Row],[Slot]],"00")</f>
        <v>C5S05</v>
      </c>
      <c r="B75" t="s">
        <v>1336</v>
      </c>
      <c r="C75">
        <v>5</v>
      </c>
      <c r="D75" t="s">
        <v>1315</v>
      </c>
      <c r="E75" t="str">
        <f>VLOOKUP(tbl_RackConfig[[#This Row],[Card]],tbl_CardType[],2,FALSE)</f>
        <v>1756-OB32</v>
      </c>
      <c r="F75" t="str">
        <f>VLOOKUP(tbl_RackConfig[[#This Row],[Card]],tbl_CardType[],3,FALSE)</f>
        <v>OUT</v>
      </c>
    </row>
    <row r="76" spans="1:6">
      <c r="A76" t="str">
        <f>tbl_RackConfig[[#This Row],[Rack]]&amp;"S"&amp;TEXT(tbl_RackConfig[[#This Row],[Slot]],"00")</f>
        <v>C5S06</v>
      </c>
      <c r="B76" t="s">
        <v>1336</v>
      </c>
      <c r="C76">
        <v>6</v>
      </c>
      <c r="D76" t="s">
        <v>1312</v>
      </c>
      <c r="E76" t="str">
        <f>VLOOKUP(tbl_RackConfig[[#This Row],[Card]],tbl_CardType[],2,FALSE)</f>
        <v>1756-IB32</v>
      </c>
      <c r="F76" t="str">
        <f>VLOOKUP(tbl_RackConfig[[#This Row],[Card]],tbl_CardType[],3,FALSE)</f>
        <v>IN</v>
      </c>
    </row>
    <row r="77" spans="1:6">
      <c r="A77" t="str">
        <f>tbl_RackConfig[[#This Row],[Rack]]&amp;"S"&amp;TEXT(tbl_RackConfig[[#This Row],[Slot]],"00")</f>
        <v>C5S07</v>
      </c>
      <c r="B77" t="s">
        <v>1336</v>
      </c>
      <c r="C77">
        <v>7</v>
      </c>
      <c r="D77" t="s">
        <v>1325</v>
      </c>
      <c r="E77" t="str">
        <f>VLOOKUP(tbl_RackConfig[[#This Row],[Card]],tbl_CardType[],2,FALSE)</f>
        <v>1756-N2</v>
      </c>
      <c r="F77" t="str">
        <f>VLOOKUP(tbl_RackConfig[[#This Row],[Card]],tbl_CardType[],3,FALSE)</f>
        <v>EMPTY</v>
      </c>
    </row>
    <row r="78" spans="1:6">
      <c r="A78" t="str">
        <f>tbl_RackConfig[[#This Row],[Rack]]&amp;"S"&amp;TEXT(tbl_RackConfig[[#This Row],[Slot]],"00")</f>
        <v>C5S08</v>
      </c>
      <c r="B78" t="s">
        <v>1336</v>
      </c>
      <c r="C78">
        <v>8</v>
      </c>
      <c r="D78" t="s">
        <v>1325</v>
      </c>
      <c r="E78" t="str">
        <f>VLOOKUP(tbl_RackConfig[[#This Row],[Card]],tbl_CardType[],2,FALSE)</f>
        <v>1756-N2</v>
      </c>
      <c r="F78" t="str">
        <f>VLOOKUP(tbl_RackConfig[[#This Row],[Card]],tbl_CardType[],3,FALSE)</f>
        <v>EMPTY</v>
      </c>
    </row>
    <row r="79" spans="1:6">
      <c r="A79" t="str">
        <f>tbl_RackConfig[[#This Row],[Rack]]&amp;"S"&amp;TEXT(tbl_RackConfig[[#This Row],[Slot]],"00")</f>
        <v>C5S09</v>
      </c>
      <c r="B79" t="s">
        <v>1336</v>
      </c>
      <c r="C79">
        <v>9</v>
      </c>
      <c r="D79" t="s">
        <v>1325</v>
      </c>
      <c r="E79" t="str">
        <f>VLOOKUP(tbl_RackConfig[[#This Row],[Card]],tbl_CardType[],2,FALSE)</f>
        <v>1756-N2</v>
      </c>
      <c r="F79" t="str">
        <f>VLOOKUP(tbl_RackConfig[[#This Row],[Card]],tbl_CardType[],3,FALSE)</f>
        <v>EMPTY</v>
      </c>
    </row>
    <row r="80" spans="1:6">
      <c r="A80" t="str">
        <f>tbl_RackConfig[[#This Row],[Rack]]&amp;"S"&amp;TEXT(tbl_RackConfig[[#This Row],[Slot]],"00")</f>
        <v>C5S10</v>
      </c>
      <c r="B80" t="s">
        <v>1336</v>
      </c>
      <c r="C80">
        <v>10</v>
      </c>
      <c r="D80" t="s">
        <v>1325</v>
      </c>
      <c r="E80" t="str">
        <f>VLOOKUP(tbl_RackConfig[[#This Row],[Card]],tbl_CardType[],2,FALSE)</f>
        <v>1756-N2</v>
      </c>
      <c r="F80" t="str">
        <f>VLOOKUP(tbl_RackConfig[[#This Row],[Card]],tbl_CardType[],3,FALSE)</f>
        <v>EMPTY</v>
      </c>
    </row>
    <row r="81" spans="1:6">
      <c r="A81" t="str">
        <f>tbl_RackConfig[[#This Row],[Rack]]&amp;"S"&amp;TEXT(tbl_RackConfig[[#This Row],[Slot]],"00")</f>
        <v>C5S11</v>
      </c>
      <c r="B81" t="s">
        <v>1336</v>
      </c>
      <c r="C81">
        <v>11</v>
      </c>
      <c r="D81" t="s">
        <v>1325</v>
      </c>
      <c r="E81" t="str">
        <f>VLOOKUP(tbl_RackConfig[[#This Row],[Card]],tbl_CardType[],2,FALSE)</f>
        <v>1756-N2</v>
      </c>
      <c r="F81" t="str">
        <f>VLOOKUP(tbl_RackConfig[[#This Row],[Card]],tbl_CardType[],3,FALSE)</f>
        <v>EMPTY</v>
      </c>
    </row>
    <row r="82" spans="1:6">
      <c r="A82" t="str">
        <f>tbl_RackConfig[[#This Row],[Rack]]&amp;"S"&amp;TEXT(tbl_RackConfig[[#This Row],[Slot]],"00")</f>
        <v>C5S12</v>
      </c>
      <c r="B82" t="s">
        <v>1336</v>
      </c>
      <c r="C82">
        <v>12</v>
      </c>
      <c r="D82" t="s">
        <v>1325</v>
      </c>
      <c r="E82" t="str">
        <f>VLOOKUP(tbl_RackConfig[[#This Row],[Card]],tbl_CardType[],2,FALSE)</f>
        <v>1756-N2</v>
      </c>
      <c r="F82" t="str">
        <f>VLOOKUP(tbl_RackConfig[[#This Row],[Card]],tbl_CardType[],3,FALSE)</f>
        <v>EMPTY</v>
      </c>
    </row>
    <row r="83" spans="1:6">
      <c r="A83" t="str">
        <f>tbl_RackConfig[[#This Row],[Rack]]&amp;"S"&amp;TEXT(tbl_RackConfig[[#This Row],[Slot]],"00")</f>
        <v>CxS00</v>
      </c>
      <c r="B83" t="s">
        <v>1337</v>
      </c>
      <c r="C83">
        <v>0</v>
      </c>
      <c r="D83" t="s">
        <v>1312</v>
      </c>
      <c r="E83" t="str">
        <f>VLOOKUP(tbl_RackConfig[[#This Row],[Card]],tbl_CardType[],2,FALSE)</f>
        <v>1756-IB32</v>
      </c>
      <c r="F83" t="str">
        <f>VLOOKUP(tbl_RackConfig[[#This Row],[Card]],tbl_CardType[],3,FALSE)</f>
        <v>IN</v>
      </c>
    </row>
    <row r="84" spans="1:6">
      <c r="A84" t="str">
        <f>tbl_RackConfig[[#This Row],[Rack]]&amp;"S"&amp;TEXT(tbl_RackConfig[[#This Row],[Slot]],"00")</f>
        <v>CxS01</v>
      </c>
      <c r="B84" t="s">
        <v>1337</v>
      </c>
      <c r="C84">
        <v>1</v>
      </c>
      <c r="D84" t="s">
        <v>1312</v>
      </c>
      <c r="E84" t="str">
        <f>VLOOKUP(tbl_RackConfig[[#This Row],[Card]],tbl_CardType[],2,FALSE)</f>
        <v>1756-IB32</v>
      </c>
      <c r="F84" t="str">
        <f>VLOOKUP(tbl_RackConfig[[#This Row],[Card]],tbl_CardType[],3,FALSE)</f>
        <v>IN</v>
      </c>
    </row>
    <row r="85" spans="1:6">
      <c r="A85" t="str">
        <f>tbl_RackConfig[[#This Row],[Rack]]&amp;"S"&amp;TEXT(tbl_RackConfig[[#This Row],[Slot]],"00")</f>
        <v>CxS02</v>
      </c>
      <c r="B85" t="s">
        <v>1337</v>
      </c>
      <c r="C85">
        <v>2</v>
      </c>
      <c r="D85" t="s">
        <v>1312</v>
      </c>
      <c r="E85" t="str">
        <f>VLOOKUP(tbl_RackConfig[[#This Row],[Card]],tbl_CardType[],2,FALSE)</f>
        <v>1756-IB32</v>
      </c>
      <c r="F85" t="str">
        <f>VLOOKUP(tbl_RackConfig[[#This Row],[Card]],tbl_CardType[],3,FALSE)</f>
        <v>IN</v>
      </c>
    </row>
    <row r="86" spans="1:6">
      <c r="A86" t="str">
        <f>tbl_RackConfig[[#This Row],[Rack]]&amp;"S"&amp;TEXT(tbl_RackConfig[[#This Row],[Slot]],"00")</f>
        <v>CxS03</v>
      </c>
      <c r="B86" t="s">
        <v>1337</v>
      </c>
      <c r="C86">
        <v>3</v>
      </c>
      <c r="D86" t="s">
        <v>1312</v>
      </c>
      <c r="E86" t="str">
        <f>VLOOKUP(tbl_RackConfig[[#This Row],[Card]],tbl_CardType[],2,FALSE)</f>
        <v>1756-IB32</v>
      </c>
      <c r="F86" t="str">
        <f>VLOOKUP(tbl_RackConfig[[#This Row],[Card]],tbl_CardType[],3,FALSE)</f>
        <v>IN</v>
      </c>
    </row>
    <row r="87" spans="1:6">
      <c r="A87" t="str">
        <f>tbl_RackConfig[[#This Row],[Rack]]&amp;"S"&amp;TEXT(tbl_RackConfig[[#This Row],[Slot]],"00")</f>
        <v>CxS04</v>
      </c>
      <c r="B87" t="s">
        <v>1337</v>
      </c>
      <c r="C87">
        <v>4</v>
      </c>
      <c r="D87" t="s">
        <v>1315</v>
      </c>
      <c r="E87" t="str">
        <f>VLOOKUP(tbl_RackConfig[[#This Row],[Card]],tbl_CardType[],2,FALSE)</f>
        <v>1756-OB32</v>
      </c>
      <c r="F87" t="str">
        <f>VLOOKUP(tbl_RackConfig[[#This Row],[Card]],tbl_CardType[],3,FALSE)</f>
        <v>OUT</v>
      </c>
    </row>
    <row r="88" spans="1:6">
      <c r="A88" t="str">
        <f>tbl_RackConfig[[#This Row],[Rack]]&amp;"S"&amp;TEXT(tbl_RackConfig[[#This Row],[Slot]],"00")</f>
        <v>CxS05</v>
      </c>
      <c r="B88" t="s">
        <v>1337</v>
      </c>
      <c r="C88">
        <v>5</v>
      </c>
      <c r="D88" t="s">
        <v>1315</v>
      </c>
      <c r="E88" t="str">
        <f>VLOOKUP(tbl_RackConfig[[#This Row],[Card]],tbl_CardType[],2,FALSE)</f>
        <v>1756-OB32</v>
      </c>
      <c r="F88" t="str">
        <f>VLOOKUP(tbl_RackConfig[[#This Row],[Card]],tbl_CardType[],3,FALSE)</f>
        <v>OUT</v>
      </c>
    </row>
    <row r="89" spans="1:6">
      <c r="A89" t="str">
        <f>tbl_RackConfig[[#This Row],[Rack]]&amp;"S"&amp;TEXT(tbl_RackConfig[[#This Row],[Slot]],"00")</f>
        <v>CxS06</v>
      </c>
      <c r="B89" t="s">
        <v>1337</v>
      </c>
      <c r="C89">
        <v>6</v>
      </c>
      <c r="D89" t="s">
        <v>1315</v>
      </c>
      <c r="E89" t="str">
        <f>VLOOKUP(tbl_RackConfig[[#This Row],[Card]],tbl_CardType[],2,FALSE)</f>
        <v>1756-OB32</v>
      </c>
      <c r="F89" t="str">
        <f>VLOOKUP(tbl_RackConfig[[#This Row],[Card]],tbl_CardType[],3,FALSE)</f>
        <v>OUT</v>
      </c>
    </row>
    <row r="90" spans="1:6">
      <c r="A90" t="str">
        <f>tbl_RackConfig[[#This Row],[Rack]]&amp;"S"&amp;TEXT(tbl_RackConfig[[#This Row],[Slot]],"00")</f>
        <v>CxS07</v>
      </c>
      <c r="B90" t="s">
        <v>1337</v>
      </c>
      <c r="C90">
        <v>7</v>
      </c>
      <c r="D90" t="s">
        <v>1325</v>
      </c>
      <c r="E90" t="str">
        <f>VLOOKUP(tbl_RackConfig[[#This Row],[Card]],tbl_CardType[],2,FALSE)</f>
        <v>1756-N2</v>
      </c>
      <c r="F90" t="str">
        <f>VLOOKUP(tbl_RackConfig[[#This Row],[Card]],tbl_CardType[],3,FALSE)</f>
        <v>EMPTY</v>
      </c>
    </row>
    <row r="91" spans="1:6">
      <c r="A91" t="str">
        <f>tbl_RackConfig[[#This Row],[Rack]]&amp;"S"&amp;TEXT(tbl_RackConfig[[#This Row],[Slot]],"00")</f>
        <v>CxS08</v>
      </c>
      <c r="B91" t="s">
        <v>1337</v>
      </c>
      <c r="C91">
        <v>8</v>
      </c>
      <c r="D91" t="s">
        <v>1325</v>
      </c>
      <c r="E91" t="str">
        <f>VLOOKUP(tbl_RackConfig[[#This Row],[Card]],tbl_CardType[],2,FALSE)</f>
        <v>1756-N2</v>
      </c>
      <c r="F91" t="str">
        <f>VLOOKUP(tbl_RackConfig[[#This Row],[Card]],tbl_CardType[],3,FALSE)</f>
        <v>EMPTY</v>
      </c>
    </row>
    <row r="92" spans="1:6">
      <c r="A92" t="str">
        <f>tbl_RackConfig[[#This Row],[Rack]]&amp;"S"&amp;TEXT(tbl_RackConfig[[#This Row],[Slot]],"00")</f>
        <v>CxS09</v>
      </c>
      <c r="B92" t="s">
        <v>1337</v>
      </c>
      <c r="C92">
        <v>9</v>
      </c>
      <c r="D92" t="s">
        <v>1325</v>
      </c>
      <c r="E92" t="str">
        <f>VLOOKUP(tbl_RackConfig[[#This Row],[Card]],tbl_CardType[],2,FALSE)</f>
        <v>1756-N2</v>
      </c>
      <c r="F92" t="str">
        <f>VLOOKUP(tbl_RackConfig[[#This Row],[Card]],tbl_CardType[],3,FALSE)</f>
        <v>EMPTY</v>
      </c>
    </row>
    <row r="93" spans="1:6">
      <c r="A93" t="str">
        <f>tbl_RackConfig[[#This Row],[Rack]]&amp;"S"&amp;TEXT(tbl_RackConfig[[#This Row],[Slot]],"00")</f>
        <v>CxS10</v>
      </c>
      <c r="B93" t="s">
        <v>1337</v>
      </c>
      <c r="C93">
        <v>10</v>
      </c>
      <c r="D93" t="s">
        <v>1325</v>
      </c>
      <c r="E93" t="str">
        <f>VLOOKUP(tbl_RackConfig[[#This Row],[Card]],tbl_CardType[],2,FALSE)</f>
        <v>1756-N2</v>
      </c>
      <c r="F93" t="str">
        <f>VLOOKUP(tbl_RackConfig[[#This Row],[Card]],tbl_CardType[],3,FALSE)</f>
        <v>EMPTY</v>
      </c>
    </row>
    <row r="94" spans="1:6">
      <c r="A94" t="str">
        <f>tbl_RackConfig[[#This Row],[Rack]]&amp;"S"&amp;TEXT(tbl_RackConfig[[#This Row],[Slot]],"00")</f>
        <v>CxS11</v>
      </c>
      <c r="B94" t="s">
        <v>1337</v>
      </c>
      <c r="C94">
        <v>11</v>
      </c>
      <c r="D94" t="s">
        <v>1325</v>
      </c>
      <c r="E94" t="str">
        <f>VLOOKUP(tbl_RackConfig[[#This Row],[Card]],tbl_CardType[],2,FALSE)</f>
        <v>1756-N2</v>
      </c>
      <c r="F94" t="str">
        <f>VLOOKUP(tbl_RackConfig[[#This Row],[Card]],tbl_CardType[],3,FALSE)</f>
        <v>EMPTY</v>
      </c>
    </row>
    <row r="95" spans="1:6">
      <c r="A95" t="str">
        <f>tbl_RackConfig[[#This Row],[Rack]]&amp;"S"&amp;TEXT(tbl_RackConfig[[#This Row],[Slot]],"00")</f>
        <v>CxS12</v>
      </c>
      <c r="B95" t="s">
        <v>1337</v>
      </c>
      <c r="C95">
        <v>12</v>
      </c>
      <c r="D95" t="s">
        <v>1325</v>
      </c>
      <c r="E95" t="str">
        <f>VLOOKUP(tbl_RackConfig[[#This Row],[Card]],tbl_CardType[],2,FALSE)</f>
        <v>1756-N2</v>
      </c>
      <c r="F95" t="str">
        <f>VLOOKUP(tbl_RackConfig[[#This Row],[Card]],tbl_CardType[],3,FALSE)</f>
        <v>EMPTY</v>
      </c>
    </row>
  </sheetData>
  <dataValidations count="1">
    <dataValidation type="list" allowBlank="1" showInputMessage="1" showErrorMessage="1" sqref="D17:D95" xr:uid="{00000000-0002-0000-0200-000000000000}">
      <formula1>$B$3:$B$10</formula1>
    </dataValidation>
  </dataValidations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55410-27DB-2441-9C14-E963A8D205DE}">
  <dimension ref="A4:F134"/>
  <sheetViews>
    <sheetView topLeftCell="A38" workbookViewId="0">
      <selection activeCell="D78" sqref="D78"/>
    </sheetView>
  </sheetViews>
  <sheetFormatPr baseColWidth="10" defaultRowHeight="16"/>
  <cols>
    <col min="1" max="1" width="31.6640625" customWidth="1"/>
    <col min="2" max="2" width="14.33203125" customWidth="1"/>
    <col min="3" max="4" width="18.83203125" customWidth="1"/>
    <col min="5" max="5" width="27.1640625" customWidth="1"/>
    <col min="6" max="6" width="22.5" customWidth="1"/>
  </cols>
  <sheetData>
    <row r="4" spans="1:6">
      <c r="A4" t="s">
        <v>1782</v>
      </c>
      <c r="B4" t="s">
        <v>1783</v>
      </c>
      <c r="C4" t="s">
        <v>1784</v>
      </c>
      <c r="D4" t="s">
        <v>1362</v>
      </c>
      <c r="E4" t="s">
        <v>1785</v>
      </c>
      <c r="F4" t="s">
        <v>1786</v>
      </c>
    </row>
    <row r="5" spans="1:6">
      <c r="A5" t="str">
        <f>Table1[[#This Row],[Card_ID]]&amp;"-"&amp;Table1[[#This Row],[Terminal Number]]</f>
        <v>1756-IB32-1</v>
      </c>
      <c r="B5" t="s">
        <v>1313</v>
      </c>
      <c r="C5">
        <v>1</v>
      </c>
      <c r="D5">
        <v>0</v>
      </c>
      <c r="E5" t="s">
        <v>1787</v>
      </c>
      <c r="F5" t="s">
        <v>1788</v>
      </c>
    </row>
    <row r="6" spans="1:6">
      <c r="A6" t="str">
        <f>Table1[[#This Row],[Card_ID]]&amp;"-"&amp;Table1[[#This Row],[Terminal Number]]</f>
        <v>1756-IB32-2</v>
      </c>
      <c r="B6" t="s">
        <v>1313</v>
      </c>
      <c r="C6">
        <v>2</v>
      </c>
      <c r="D6">
        <v>1</v>
      </c>
      <c r="E6" t="s">
        <v>1789</v>
      </c>
      <c r="F6" t="s">
        <v>1788</v>
      </c>
    </row>
    <row r="7" spans="1:6">
      <c r="A7" t="str">
        <f>Table1[[#This Row],[Card_ID]]&amp;"-"&amp;Table1[[#This Row],[Terminal Number]]</f>
        <v>1756-IB32-3</v>
      </c>
      <c r="B7" t="s">
        <v>1313</v>
      </c>
      <c r="C7">
        <v>3</v>
      </c>
      <c r="D7">
        <v>2</v>
      </c>
      <c r="E7" t="s">
        <v>1790</v>
      </c>
      <c r="F7" t="s">
        <v>1788</v>
      </c>
    </row>
    <row r="8" spans="1:6">
      <c r="A8" t="str">
        <f>Table1[[#This Row],[Card_ID]]&amp;"-"&amp;Table1[[#This Row],[Terminal Number]]</f>
        <v>1756-IB32-4</v>
      </c>
      <c r="B8" t="s">
        <v>1313</v>
      </c>
      <c r="C8">
        <v>4</v>
      </c>
      <c r="D8">
        <v>3</v>
      </c>
      <c r="E8" t="s">
        <v>1791</v>
      </c>
      <c r="F8" t="s">
        <v>1788</v>
      </c>
    </row>
    <row r="9" spans="1:6">
      <c r="A9" t="str">
        <f>Table1[[#This Row],[Card_ID]]&amp;"-"&amp;Table1[[#This Row],[Terminal Number]]</f>
        <v>1756-IB32-5</v>
      </c>
      <c r="B9" t="s">
        <v>1313</v>
      </c>
      <c r="C9">
        <v>5</v>
      </c>
      <c r="D9">
        <v>4</v>
      </c>
      <c r="E9" t="s">
        <v>1792</v>
      </c>
      <c r="F9" t="s">
        <v>1788</v>
      </c>
    </row>
    <row r="10" spans="1:6">
      <c r="A10" t="str">
        <f>Table1[[#This Row],[Card_ID]]&amp;"-"&amp;Table1[[#This Row],[Terminal Number]]</f>
        <v>1756-IB32-6</v>
      </c>
      <c r="B10" t="s">
        <v>1313</v>
      </c>
      <c r="C10">
        <v>6</v>
      </c>
      <c r="D10">
        <v>5</v>
      </c>
      <c r="E10" t="s">
        <v>1793</v>
      </c>
      <c r="F10" t="s">
        <v>1788</v>
      </c>
    </row>
    <row r="11" spans="1:6">
      <c r="A11" t="str">
        <f>Table1[[#This Row],[Card_ID]]&amp;"-"&amp;Table1[[#This Row],[Terminal Number]]</f>
        <v>1756-IB32-7</v>
      </c>
      <c r="B11" t="s">
        <v>1313</v>
      </c>
      <c r="C11">
        <v>7</v>
      </c>
      <c r="D11">
        <v>6</v>
      </c>
      <c r="E11" t="s">
        <v>1794</v>
      </c>
      <c r="F11" t="s">
        <v>1788</v>
      </c>
    </row>
    <row r="12" spans="1:6">
      <c r="A12" t="str">
        <f>Table1[[#This Row],[Card_ID]]&amp;"-"&amp;Table1[[#This Row],[Terminal Number]]</f>
        <v>1756-IB32-8</v>
      </c>
      <c r="B12" t="s">
        <v>1313</v>
      </c>
      <c r="C12">
        <v>8</v>
      </c>
      <c r="D12">
        <v>7</v>
      </c>
      <c r="E12" t="s">
        <v>1795</v>
      </c>
      <c r="F12" t="s">
        <v>1788</v>
      </c>
    </row>
    <row r="13" spans="1:6">
      <c r="A13" t="str">
        <f>Table1[[#This Row],[Card_ID]]&amp;"-"&amp;Table1[[#This Row],[Terminal Number]]</f>
        <v>1756-IB32-9</v>
      </c>
      <c r="B13" t="s">
        <v>1313</v>
      </c>
      <c r="C13">
        <v>9</v>
      </c>
      <c r="D13">
        <v>8</v>
      </c>
      <c r="E13" t="s">
        <v>1796</v>
      </c>
      <c r="F13" t="s">
        <v>1788</v>
      </c>
    </row>
    <row r="14" spans="1:6">
      <c r="A14" t="str">
        <f>Table1[[#This Row],[Card_ID]]&amp;"-"&amp;Table1[[#This Row],[Terminal Number]]</f>
        <v>1756-IB32-10</v>
      </c>
      <c r="B14" t="s">
        <v>1313</v>
      </c>
      <c r="C14">
        <v>10</v>
      </c>
      <c r="D14">
        <v>9</v>
      </c>
      <c r="E14" t="s">
        <v>1797</v>
      </c>
      <c r="F14" t="s">
        <v>1788</v>
      </c>
    </row>
    <row r="15" spans="1:6">
      <c r="A15" t="str">
        <f>Table1[[#This Row],[Card_ID]]&amp;"-"&amp;Table1[[#This Row],[Terminal Number]]</f>
        <v>1756-IB32-11</v>
      </c>
      <c r="B15" t="s">
        <v>1313</v>
      </c>
      <c r="C15">
        <v>11</v>
      </c>
      <c r="D15">
        <v>10</v>
      </c>
      <c r="E15" t="s">
        <v>1482</v>
      </c>
      <c r="F15" t="s">
        <v>1788</v>
      </c>
    </row>
    <row r="16" spans="1:6">
      <c r="A16" t="str">
        <f>Table1[[#This Row],[Card_ID]]&amp;"-"&amp;Table1[[#This Row],[Terminal Number]]</f>
        <v>1756-IB32-12</v>
      </c>
      <c r="B16" t="s">
        <v>1313</v>
      </c>
      <c r="C16">
        <v>12</v>
      </c>
      <c r="D16">
        <v>11</v>
      </c>
      <c r="E16" t="s">
        <v>1483</v>
      </c>
      <c r="F16" t="s">
        <v>1788</v>
      </c>
    </row>
    <row r="17" spans="1:6">
      <c r="A17" t="str">
        <f>Table1[[#This Row],[Card_ID]]&amp;"-"&amp;Table1[[#This Row],[Terminal Number]]</f>
        <v>1756-IB32-13</v>
      </c>
      <c r="B17" t="s">
        <v>1313</v>
      </c>
      <c r="C17">
        <v>13</v>
      </c>
      <c r="D17">
        <v>12</v>
      </c>
      <c r="E17" t="s">
        <v>1484</v>
      </c>
      <c r="F17" t="s">
        <v>1788</v>
      </c>
    </row>
    <row r="18" spans="1:6">
      <c r="A18" t="str">
        <f>Table1[[#This Row],[Card_ID]]&amp;"-"&amp;Table1[[#This Row],[Terminal Number]]</f>
        <v>1756-IB32-14</v>
      </c>
      <c r="B18" t="s">
        <v>1313</v>
      </c>
      <c r="C18">
        <v>14</v>
      </c>
      <c r="D18">
        <v>13</v>
      </c>
      <c r="E18" t="s">
        <v>1485</v>
      </c>
      <c r="F18" t="s">
        <v>1788</v>
      </c>
    </row>
    <row r="19" spans="1:6">
      <c r="A19" t="str">
        <f>Table1[[#This Row],[Card_ID]]&amp;"-"&amp;Table1[[#This Row],[Terminal Number]]</f>
        <v>1756-IB32-15</v>
      </c>
      <c r="B19" t="s">
        <v>1313</v>
      </c>
      <c r="C19">
        <v>15</v>
      </c>
      <c r="D19">
        <v>14</v>
      </c>
      <c r="E19" t="s">
        <v>1486</v>
      </c>
      <c r="F19" t="s">
        <v>1788</v>
      </c>
    </row>
    <row r="20" spans="1:6">
      <c r="A20" t="str">
        <f>Table1[[#This Row],[Card_ID]]&amp;"-"&amp;Table1[[#This Row],[Terminal Number]]</f>
        <v>1756-IB32-16</v>
      </c>
      <c r="B20" t="s">
        <v>1313</v>
      </c>
      <c r="C20">
        <v>16</v>
      </c>
      <c r="D20">
        <v>15</v>
      </c>
      <c r="E20" t="s">
        <v>1487</v>
      </c>
      <c r="F20" t="s">
        <v>1788</v>
      </c>
    </row>
    <row r="21" spans="1:6">
      <c r="A21" t="str">
        <f>Table1[[#This Row],[Card_ID]]&amp;"-"&amp;Table1[[#This Row],[Terminal Number]]</f>
        <v>1756-IB32-17</v>
      </c>
      <c r="B21" t="s">
        <v>1313</v>
      </c>
      <c r="C21">
        <v>17</v>
      </c>
      <c r="E21" t="s">
        <v>1478</v>
      </c>
      <c r="F21" t="s">
        <v>1798</v>
      </c>
    </row>
    <row r="22" spans="1:6">
      <c r="A22" t="str">
        <f>Table1[[#This Row],[Card_ID]]&amp;"-"&amp;Table1[[#This Row],[Terminal Number]]</f>
        <v>1756-IB32-18</v>
      </c>
      <c r="B22" t="s">
        <v>1313</v>
      </c>
      <c r="C22">
        <v>18</v>
      </c>
      <c r="E22" t="s">
        <v>1478</v>
      </c>
      <c r="F22" t="s">
        <v>1798</v>
      </c>
    </row>
    <row r="23" spans="1:6">
      <c r="A23" t="str">
        <f>Table1[[#This Row],[Card_ID]]&amp;"-"&amp;Table1[[#This Row],[Terminal Number]]</f>
        <v>1756-IB32-19</v>
      </c>
      <c r="B23" t="s">
        <v>1313</v>
      </c>
      <c r="C23">
        <v>19</v>
      </c>
      <c r="D23">
        <v>16</v>
      </c>
      <c r="E23" t="s">
        <v>1488</v>
      </c>
      <c r="F23" t="s">
        <v>1788</v>
      </c>
    </row>
    <row r="24" spans="1:6">
      <c r="A24" t="str">
        <f>Table1[[#This Row],[Card_ID]]&amp;"-"&amp;Table1[[#This Row],[Terminal Number]]</f>
        <v>1756-IB32-20</v>
      </c>
      <c r="B24" t="s">
        <v>1313</v>
      </c>
      <c r="C24">
        <v>20</v>
      </c>
      <c r="D24">
        <v>17</v>
      </c>
      <c r="E24" t="s">
        <v>1489</v>
      </c>
      <c r="F24" t="s">
        <v>1788</v>
      </c>
    </row>
    <row r="25" spans="1:6">
      <c r="A25" t="str">
        <f>Table1[[#This Row],[Card_ID]]&amp;"-"&amp;Table1[[#This Row],[Terminal Number]]</f>
        <v>1756-IB32-21</v>
      </c>
      <c r="B25" t="s">
        <v>1313</v>
      </c>
      <c r="C25">
        <v>21</v>
      </c>
      <c r="D25">
        <v>18</v>
      </c>
      <c r="E25" t="s">
        <v>1490</v>
      </c>
      <c r="F25" t="s">
        <v>1788</v>
      </c>
    </row>
    <row r="26" spans="1:6">
      <c r="A26" t="str">
        <f>Table1[[#This Row],[Card_ID]]&amp;"-"&amp;Table1[[#This Row],[Terminal Number]]</f>
        <v>1756-IB32-22</v>
      </c>
      <c r="B26" t="s">
        <v>1313</v>
      </c>
      <c r="C26">
        <v>22</v>
      </c>
      <c r="D26">
        <v>19</v>
      </c>
      <c r="E26" t="s">
        <v>1491</v>
      </c>
      <c r="F26" t="s">
        <v>1788</v>
      </c>
    </row>
    <row r="27" spans="1:6">
      <c r="A27" t="str">
        <f>Table1[[#This Row],[Card_ID]]&amp;"-"&amp;Table1[[#This Row],[Terminal Number]]</f>
        <v>1756-IB32-23</v>
      </c>
      <c r="B27" t="s">
        <v>1313</v>
      </c>
      <c r="C27">
        <v>23</v>
      </c>
      <c r="D27">
        <v>20</v>
      </c>
      <c r="E27" t="s">
        <v>1493</v>
      </c>
      <c r="F27" t="s">
        <v>1788</v>
      </c>
    </row>
    <row r="28" spans="1:6">
      <c r="A28" t="str">
        <f>Table1[[#This Row],[Card_ID]]&amp;"-"&amp;Table1[[#This Row],[Terminal Number]]</f>
        <v>1756-IB32-24</v>
      </c>
      <c r="B28" t="s">
        <v>1313</v>
      </c>
      <c r="C28">
        <v>24</v>
      </c>
      <c r="D28">
        <v>21</v>
      </c>
      <c r="E28" t="s">
        <v>1494</v>
      </c>
      <c r="F28" t="s">
        <v>1788</v>
      </c>
    </row>
    <row r="29" spans="1:6">
      <c r="A29" t="str">
        <f>Table1[[#This Row],[Card_ID]]&amp;"-"&amp;Table1[[#This Row],[Terminal Number]]</f>
        <v>1756-IB32-25</v>
      </c>
      <c r="B29" t="s">
        <v>1313</v>
      </c>
      <c r="C29">
        <v>25</v>
      </c>
      <c r="D29">
        <v>22</v>
      </c>
      <c r="E29" t="s">
        <v>1495</v>
      </c>
      <c r="F29" t="s">
        <v>1788</v>
      </c>
    </row>
    <row r="30" spans="1:6">
      <c r="A30" t="str">
        <f>Table1[[#This Row],[Card_ID]]&amp;"-"&amp;Table1[[#This Row],[Terminal Number]]</f>
        <v>1756-IB32-26</v>
      </c>
      <c r="B30" t="s">
        <v>1313</v>
      </c>
      <c r="C30">
        <v>26</v>
      </c>
      <c r="D30">
        <v>23</v>
      </c>
      <c r="E30" t="s">
        <v>1496</v>
      </c>
      <c r="F30" t="s">
        <v>1788</v>
      </c>
    </row>
    <row r="31" spans="1:6">
      <c r="A31" t="str">
        <f>Table1[[#This Row],[Card_ID]]&amp;"-"&amp;Table1[[#This Row],[Terminal Number]]</f>
        <v>1756-IB32-27</v>
      </c>
      <c r="B31" t="s">
        <v>1313</v>
      </c>
      <c r="C31">
        <v>27</v>
      </c>
      <c r="D31">
        <v>24</v>
      </c>
      <c r="E31" t="s">
        <v>1497</v>
      </c>
      <c r="F31" t="s">
        <v>1788</v>
      </c>
    </row>
    <row r="32" spans="1:6">
      <c r="A32" t="str">
        <f>Table1[[#This Row],[Card_ID]]&amp;"-"&amp;Table1[[#This Row],[Terminal Number]]</f>
        <v>1756-IB32-28</v>
      </c>
      <c r="B32" t="s">
        <v>1313</v>
      </c>
      <c r="C32">
        <v>28</v>
      </c>
      <c r="D32">
        <v>25</v>
      </c>
      <c r="E32" t="s">
        <v>1498</v>
      </c>
      <c r="F32" t="s">
        <v>1788</v>
      </c>
    </row>
    <row r="33" spans="1:6">
      <c r="A33" t="str">
        <f>Table1[[#This Row],[Card_ID]]&amp;"-"&amp;Table1[[#This Row],[Terminal Number]]</f>
        <v>1756-IB32-29</v>
      </c>
      <c r="B33" t="s">
        <v>1313</v>
      </c>
      <c r="C33">
        <v>29</v>
      </c>
      <c r="D33">
        <v>26</v>
      </c>
      <c r="E33" t="s">
        <v>1499</v>
      </c>
      <c r="F33" t="s">
        <v>1788</v>
      </c>
    </row>
    <row r="34" spans="1:6">
      <c r="A34" t="str">
        <f>Table1[[#This Row],[Card_ID]]&amp;"-"&amp;Table1[[#This Row],[Terminal Number]]</f>
        <v>1756-IB32-30</v>
      </c>
      <c r="B34" t="s">
        <v>1313</v>
      </c>
      <c r="C34">
        <v>30</v>
      </c>
      <c r="D34">
        <v>27</v>
      </c>
      <c r="E34" t="s">
        <v>1500</v>
      </c>
      <c r="F34" t="s">
        <v>1788</v>
      </c>
    </row>
    <row r="35" spans="1:6">
      <c r="A35" t="str">
        <f>Table1[[#This Row],[Card_ID]]&amp;"-"&amp;Table1[[#This Row],[Terminal Number]]</f>
        <v>1756-IB32-31</v>
      </c>
      <c r="B35" t="s">
        <v>1313</v>
      </c>
      <c r="C35">
        <v>31</v>
      </c>
      <c r="D35">
        <v>28</v>
      </c>
      <c r="E35" t="s">
        <v>1501</v>
      </c>
      <c r="F35" t="s">
        <v>1788</v>
      </c>
    </row>
    <row r="36" spans="1:6">
      <c r="A36" t="str">
        <f>Table1[[#This Row],[Card_ID]]&amp;"-"&amp;Table1[[#This Row],[Terminal Number]]</f>
        <v>1756-IB32-32</v>
      </c>
      <c r="B36" t="s">
        <v>1313</v>
      </c>
      <c r="C36">
        <v>32</v>
      </c>
      <c r="D36">
        <v>29</v>
      </c>
      <c r="E36" t="s">
        <v>1502</v>
      </c>
      <c r="F36" t="s">
        <v>1788</v>
      </c>
    </row>
    <row r="37" spans="1:6">
      <c r="A37" t="str">
        <f>Table1[[#This Row],[Card_ID]]&amp;"-"&amp;Table1[[#This Row],[Terminal Number]]</f>
        <v>1756-IB32-33</v>
      </c>
      <c r="B37" t="s">
        <v>1313</v>
      </c>
      <c r="C37">
        <v>33</v>
      </c>
      <c r="D37">
        <v>30</v>
      </c>
      <c r="E37" t="s">
        <v>1504</v>
      </c>
      <c r="F37" t="s">
        <v>1788</v>
      </c>
    </row>
    <row r="38" spans="1:6">
      <c r="A38" t="str">
        <f>Table1[[#This Row],[Card_ID]]&amp;"-"&amp;Table1[[#This Row],[Terminal Number]]</f>
        <v>1756-IB32-34</v>
      </c>
      <c r="B38" t="s">
        <v>1313</v>
      </c>
      <c r="C38">
        <v>34</v>
      </c>
      <c r="D38">
        <v>31</v>
      </c>
      <c r="E38" t="s">
        <v>1505</v>
      </c>
      <c r="F38" t="s">
        <v>1788</v>
      </c>
    </row>
    <row r="39" spans="1:6">
      <c r="A39" t="str">
        <f>Table1[[#This Row],[Card_ID]]&amp;"-"&amp;Table1[[#This Row],[Terminal Number]]</f>
        <v>1756-IB32-35</v>
      </c>
      <c r="B39" t="s">
        <v>1313</v>
      </c>
      <c r="C39">
        <v>35</v>
      </c>
      <c r="E39" t="s">
        <v>1799</v>
      </c>
      <c r="F39" t="s">
        <v>1798</v>
      </c>
    </row>
    <row r="40" spans="1:6">
      <c r="A40" t="str">
        <f>Table1[[#This Row],[Card_ID]]&amp;"-"&amp;Table1[[#This Row],[Terminal Number]]</f>
        <v>1756-IB32-36</v>
      </c>
      <c r="B40" t="s">
        <v>1313</v>
      </c>
      <c r="C40">
        <v>36</v>
      </c>
      <c r="E40" t="s">
        <v>1799</v>
      </c>
      <c r="F40" t="s">
        <v>1798</v>
      </c>
    </row>
    <row r="41" spans="1:6">
      <c r="A41" t="str">
        <f>Table1[[#This Row],[Card_ID]]&amp;"-"&amp;Table1[[#This Row],[Terminal Number]]</f>
        <v>1756-OB32-1</v>
      </c>
      <c r="B41" t="s">
        <v>1316</v>
      </c>
      <c r="C41">
        <v>1</v>
      </c>
      <c r="D41">
        <v>0</v>
      </c>
      <c r="E41" t="s">
        <v>1800</v>
      </c>
      <c r="F41" t="s">
        <v>1788</v>
      </c>
    </row>
    <row r="42" spans="1:6">
      <c r="A42" t="str">
        <f>Table1[[#This Row],[Card_ID]]&amp;"-"&amp;Table1[[#This Row],[Terminal Number]]</f>
        <v>1756-OB32-2</v>
      </c>
      <c r="B42" t="s">
        <v>1316</v>
      </c>
      <c r="C42">
        <v>2</v>
      </c>
      <c r="D42">
        <v>1</v>
      </c>
      <c r="E42" t="s">
        <v>1801</v>
      </c>
      <c r="F42" t="s">
        <v>1788</v>
      </c>
    </row>
    <row r="43" spans="1:6">
      <c r="A43" t="str">
        <f>Table1[[#This Row],[Card_ID]]&amp;"-"&amp;Table1[[#This Row],[Terminal Number]]</f>
        <v>1756-OB32-3</v>
      </c>
      <c r="B43" t="s">
        <v>1316</v>
      </c>
      <c r="C43">
        <v>3</v>
      </c>
      <c r="D43">
        <v>2</v>
      </c>
      <c r="E43" t="s">
        <v>1802</v>
      </c>
      <c r="F43" t="s">
        <v>1788</v>
      </c>
    </row>
    <row r="44" spans="1:6">
      <c r="A44" t="str">
        <f>Table1[[#This Row],[Card_ID]]&amp;"-"&amp;Table1[[#This Row],[Terminal Number]]</f>
        <v>1756-OB32-4</v>
      </c>
      <c r="B44" t="s">
        <v>1316</v>
      </c>
      <c r="C44">
        <v>4</v>
      </c>
      <c r="D44">
        <v>3</v>
      </c>
      <c r="E44" t="s">
        <v>1803</v>
      </c>
      <c r="F44" t="s">
        <v>1788</v>
      </c>
    </row>
    <row r="45" spans="1:6">
      <c r="A45" t="str">
        <f>Table1[[#This Row],[Card_ID]]&amp;"-"&amp;Table1[[#This Row],[Terminal Number]]</f>
        <v>1756-OB32-5</v>
      </c>
      <c r="B45" t="s">
        <v>1316</v>
      </c>
      <c r="C45">
        <v>5</v>
      </c>
      <c r="D45">
        <v>4</v>
      </c>
      <c r="E45" t="s">
        <v>1804</v>
      </c>
      <c r="F45" t="s">
        <v>1788</v>
      </c>
    </row>
    <row r="46" spans="1:6">
      <c r="A46" t="str">
        <f>Table1[[#This Row],[Card_ID]]&amp;"-"&amp;Table1[[#This Row],[Terminal Number]]</f>
        <v>1756-OB32-6</v>
      </c>
      <c r="B46" t="s">
        <v>1316</v>
      </c>
      <c r="C46">
        <v>6</v>
      </c>
      <c r="D46">
        <v>5</v>
      </c>
      <c r="E46" t="s">
        <v>1805</v>
      </c>
      <c r="F46" t="s">
        <v>1788</v>
      </c>
    </row>
    <row r="47" spans="1:6">
      <c r="A47" t="str">
        <f>Table1[[#This Row],[Card_ID]]&amp;"-"&amp;Table1[[#This Row],[Terminal Number]]</f>
        <v>1756-OB32-7</v>
      </c>
      <c r="B47" t="s">
        <v>1316</v>
      </c>
      <c r="C47">
        <v>7</v>
      </c>
      <c r="D47">
        <v>6</v>
      </c>
      <c r="E47" t="s">
        <v>1806</v>
      </c>
      <c r="F47" t="s">
        <v>1788</v>
      </c>
    </row>
    <row r="48" spans="1:6">
      <c r="A48" t="str">
        <f>Table1[[#This Row],[Card_ID]]&amp;"-"&amp;Table1[[#This Row],[Terminal Number]]</f>
        <v>1756-OB32-8</v>
      </c>
      <c r="B48" t="s">
        <v>1316</v>
      </c>
      <c r="C48">
        <v>8</v>
      </c>
      <c r="D48">
        <v>7</v>
      </c>
      <c r="E48" t="s">
        <v>1807</v>
      </c>
      <c r="F48" t="s">
        <v>1788</v>
      </c>
    </row>
    <row r="49" spans="1:6">
      <c r="A49" t="str">
        <f>Table1[[#This Row],[Card_ID]]&amp;"-"&amp;Table1[[#This Row],[Terminal Number]]</f>
        <v>1756-OB32-9</v>
      </c>
      <c r="B49" t="s">
        <v>1316</v>
      </c>
      <c r="C49">
        <v>9</v>
      </c>
      <c r="D49">
        <v>8</v>
      </c>
      <c r="E49" t="s">
        <v>1808</v>
      </c>
      <c r="F49" t="s">
        <v>1788</v>
      </c>
    </row>
    <row r="50" spans="1:6">
      <c r="A50" t="str">
        <f>Table1[[#This Row],[Card_ID]]&amp;"-"&amp;Table1[[#This Row],[Terminal Number]]</f>
        <v>1756-OB32-10</v>
      </c>
      <c r="B50" t="s">
        <v>1316</v>
      </c>
      <c r="C50">
        <v>10</v>
      </c>
      <c r="D50">
        <v>9</v>
      </c>
      <c r="E50" t="s">
        <v>1809</v>
      </c>
      <c r="F50" t="s">
        <v>1788</v>
      </c>
    </row>
    <row r="51" spans="1:6">
      <c r="A51" t="str">
        <f>Table1[[#This Row],[Card_ID]]&amp;"-"&amp;Table1[[#This Row],[Terminal Number]]</f>
        <v>1756-OB32-11</v>
      </c>
      <c r="B51" t="s">
        <v>1316</v>
      </c>
      <c r="C51">
        <v>11</v>
      </c>
      <c r="D51">
        <v>10</v>
      </c>
      <c r="E51" t="s">
        <v>1533</v>
      </c>
      <c r="F51" t="s">
        <v>1788</v>
      </c>
    </row>
    <row r="52" spans="1:6">
      <c r="A52" t="str">
        <f>Table1[[#This Row],[Card_ID]]&amp;"-"&amp;Table1[[#This Row],[Terminal Number]]</f>
        <v>1756-OB32-12</v>
      </c>
      <c r="B52" t="s">
        <v>1316</v>
      </c>
      <c r="C52">
        <v>12</v>
      </c>
      <c r="D52">
        <v>11</v>
      </c>
      <c r="E52" t="s">
        <v>1534</v>
      </c>
      <c r="F52" t="s">
        <v>1788</v>
      </c>
    </row>
    <row r="53" spans="1:6">
      <c r="A53" t="str">
        <f>Table1[[#This Row],[Card_ID]]&amp;"-"&amp;Table1[[#This Row],[Terminal Number]]</f>
        <v>1756-OB32-13</v>
      </c>
      <c r="B53" t="s">
        <v>1316</v>
      </c>
      <c r="C53">
        <v>13</v>
      </c>
      <c r="D53">
        <v>12</v>
      </c>
      <c r="E53" t="s">
        <v>1535</v>
      </c>
      <c r="F53" t="s">
        <v>1788</v>
      </c>
    </row>
    <row r="54" spans="1:6">
      <c r="A54" t="str">
        <f>Table1[[#This Row],[Card_ID]]&amp;"-"&amp;Table1[[#This Row],[Terminal Number]]</f>
        <v>1756-OB32-14</v>
      </c>
      <c r="B54" t="s">
        <v>1316</v>
      </c>
      <c r="C54">
        <v>14</v>
      </c>
      <c r="D54">
        <v>13</v>
      </c>
      <c r="E54" t="s">
        <v>1536</v>
      </c>
      <c r="F54" t="s">
        <v>1788</v>
      </c>
    </row>
    <row r="55" spans="1:6">
      <c r="A55" t="str">
        <f>Table1[[#This Row],[Card_ID]]&amp;"-"&amp;Table1[[#This Row],[Terminal Number]]</f>
        <v>1756-OB32-15</v>
      </c>
      <c r="B55" t="s">
        <v>1316</v>
      </c>
      <c r="C55">
        <v>15</v>
      </c>
      <c r="D55">
        <v>14</v>
      </c>
      <c r="E55" t="s">
        <v>1537</v>
      </c>
      <c r="F55" t="s">
        <v>1788</v>
      </c>
    </row>
    <row r="56" spans="1:6">
      <c r="A56" t="str">
        <f>Table1[[#This Row],[Card_ID]]&amp;"-"&amp;Table1[[#This Row],[Terminal Number]]</f>
        <v>1756-OB32-16</v>
      </c>
      <c r="B56" t="s">
        <v>1316</v>
      </c>
      <c r="C56">
        <v>16</v>
      </c>
      <c r="D56">
        <v>15</v>
      </c>
      <c r="E56" t="s">
        <v>1538</v>
      </c>
      <c r="F56" t="s">
        <v>1788</v>
      </c>
    </row>
    <row r="57" spans="1:6">
      <c r="A57" t="str">
        <f>Table1[[#This Row],[Card_ID]]&amp;"-"&amp;Table1[[#This Row],[Terminal Number]]</f>
        <v>1756-OB32-17</v>
      </c>
      <c r="B57" t="s">
        <v>1316</v>
      </c>
      <c r="C57">
        <v>17</v>
      </c>
      <c r="E57" t="s">
        <v>1529</v>
      </c>
      <c r="F57" t="s">
        <v>1810</v>
      </c>
    </row>
    <row r="58" spans="1:6">
      <c r="A58" t="str">
        <f>Table1[[#This Row],[Card_ID]]&amp;"-"&amp;Table1[[#This Row],[Terminal Number]]</f>
        <v>1756-OB32-18</v>
      </c>
      <c r="B58" t="s">
        <v>1316</v>
      </c>
      <c r="C58">
        <v>18</v>
      </c>
      <c r="E58" t="s">
        <v>1563</v>
      </c>
      <c r="F58" t="s">
        <v>1798</v>
      </c>
    </row>
    <row r="59" spans="1:6">
      <c r="A59" t="str">
        <f>Table1[[#This Row],[Card_ID]]&amp;"-"&amp;Table1[[#This Row],[Terminal Number]]</f>
        <v>1756-OB32-19</v>
      </c>
      <c r="B59" t="s">
        <v>1316</v>
      </c>
      <c r="C59">
        <v>19</v>
      </c>
      <c r="D59">
        <v>16</v>
      </c>
      <c r="E59" t="s">
        <v>1539</v>
      </c>
      <c r="F59" t="s">
        <v>1788</v>
      </c>
    </row>
    <row r="60" spans="1:6">
      <c r="A60" t="str">
        <f>Table1[[#This Row],[Card_ID]]&amp;"-"&amp;Table1[[#This Row],[Terminal Number]]</f>
        <v>1756-OB32-20</v>
      </c>
      <c r="B60" t="s">
        <v>1316</v>
      </c>
      <c r="C60">
        <v>20</v>
      </c>
      <c r="D60">
        <v>17</v>
      </c>
      <c r="E60" t="s">
        <v>1540</v>
      </c>
      <c r="F60" t="s">
        <v>1788</v>
      </c>
    </row>
    <row r="61" spans="1:6">
      <c r="A61" t="str">
        <f>Table1[[#This Row],[Card_ID]]&amp;"-"&amp;Table1[[#This Row],[Terminal Number]]</f>
        <v>1756-OB32-21</v>
      </c>
      <c r="B61" t="s">
        <v>1316</v>
      </c>
      <c r="C61">
        <v>21</v>
      </c>
      <c r="D61">
        <v>18</v>
      </c>
      <c r="E61" t="s">
        <v>1541</v>
      </c>
      <c r="F61" t="s">
        <v>1788</v>
      </c>
    </row>
    <row r="62" spans="1:6">
      <c r="A62" t="str">
        <f>Table1[[#This Row],[Card_ID]]&amp;"-"&amp;Table1[[#This Row],[Terminal Number]]</f>
        <v>1756-OB32-22</v>
      </c>
      <c r="B62" t="s">
        <v>1316</v>
      </c>
      <c r="C62">
        <v>22</v>
      </c>
      <c r="D62">
        <v>19</v>
      </c>
      <c r="E62" t="s">
        <v>1542</v>
      </c>
      <c r="F62" t="s">
        <v>1788</v>
      </c>
    </row>
    <row r="63" spans="1:6">
      <c r="A63" t="str">
        <f>Table1[[#This Row],[Card_ID]]&amp;"-"&amp;Table1[[#This Row],[Terminal Number]]</f>
        <v>1756-OB32-23</v>
      </c>
      <c r="B63" t="s">
        <v>1316</v>
      </c>
      <c r="C63">
        <v>23</v>
      </c>
      <c r="D63">
        <v>20</v>
      </c>
      <c r="E63" t="s">
        <v>1544</v>
      </c>
      <c r="F63" t="s">
        <v>1788</v>
      </c>
    </row>
    <row r="64" spans="1:6">
      <c r="A64" t="str">
        <f>Table1[[#This Row],[Card_ID]]&amp;"-"&amp;Table1[[#This Row],[Terminal Number]]</f>
        <v>1756-OB32-24</v>
      </c>
      <c r="B64" t="s">
        <v>1316</v>
      </c>
      <c r="C64">
        <v>24</v>
      </c>
      <c r="D64">
        <v>21</v>
      </c>
      <c r="E64" t="s">
        <v>1545</v>
      </c>
      <c r="F64" t="s">
        <v>1788</v>
      </c>
    </row>
    <row r="65" spans="1:6">
      <c r="A65" t="str">
        <f>Table1[[#This Row],[Card_ID]]&amp;"-"&amp;Table1[[#This Row],[Terminal Number]]</f>
        <v>1756-OB32-25</v>
      </c>
      <c r="B65" t="s">
        <v>1316</v>
      </c>
      <c r="C65">
        <v>25</v>
      </c>
      <c r="D65">
        <v>22</v>
      </c>
      <c r="E65" t="s">
        <v>1546</v>
      </c>
      <c r="F65" t="s">
        <v>1788</v>
      </c>
    </row>
    <row r="66" spans="1:6">
      <c r="A66" t="str">
        <f>Table1[[#This Row],[Card_ID]]&amp;"-"&amp;Table1[[#This Row],[Terminal Number]]</f>
        <v>1756-OB32-26</v>
      </c>
      <c r="B66" t="s">
        <v>1316</v>
      </c>
      <c r="C66">
        <v>26</v>
      </c>
      <c r="D66">
        <v>23</v>
      </c>
      <c r="E66" t="s">
        <v>1547</v>
      </c>
      <c r="F66" t="s">
        <v>1788</v>
      </c>
    </row>
    <row r="67" spans="1:6">
      <c r="A67" t="str">
        <f>Table1[[#This Row],[Card_ID]]&amp;"-"&amp;Table1[[#This Row],[Terminal Number]]</f>
        <v>1756-OB32-27</v>
      </c>
      <c r="B67" t="s">
        <v>1316</v>
      </c>
      <c r="C67">
        <v>27</v>
      </c>
      <c r="D67">
        <v>24</v>
      </c>
      <c r="E67" t="s">
        <v>1548</v>
      </c>
      <c r="F67" t="s">
        <v>1788</v>
      </c>
    </row>
    <row r="68" spans="1:6">
      <c r="A68" t="str">
        <f>Table1[[#This Row],[Card_ID]]&amp;"-"&amp;Table1[[#This Row],[Terminal Number]]</f>
        <v>1756-OB32-28</v>
      </c>
      <c r="B68" t="s">
        <v>1316</v>
      </c>
      <c r="C68">
        <v>28</v>
      </c>
      <c r="D68">
        <v>25</v>
      </c>
      <c r="E68" t="s">
        <v>1549</v>
      </c>
      <c r="F68" t="s">
        <v>1788</v>
      </c>
    </row>
    <row r="69" spans="1:6">
      <c r="A69" t="str">
        <f>Table1[[#This Row],[Card_ID]]&amp;"-"&amp;Table1[[#This Row],[Terminal Number]]</f>
        <v>1756-OB32-29</v>
      </c>
      <c r="B69" t="s">
        <v>1316</v>
      </c>
      <c r="C69">
        <v>29</v>
      </c>
      <c r="D69">
        <v>26</v>
      </c>
      <c r="E69" t="s">
        <v>1550</v>
      </c>
      <c r="F69" t="s">
        <v>1788</v>
      </c>
    </row>
    <row r="70" spans="1:6">
      <c r="A70" t="str">
        <f>Table1[[#This Row],[Card_ID]]&amp;"-"&amp;Table1[[#This Row],[Terminal Number]]</f>
        <v>1756-OB32-30</v>
      </c>
      <c r="B70" t="s">
        <v>1316</v>
      </c>
      <c r="C70">
        <v>30</v>
      </c>
      <c r="D70">
        <v>27</v>
      </c>
      <c r="E70" t="s">
        <v>1551</v>
      </c>
      <c r="F70" t="s">
        <v>1788</v>
      </c>
    </row>
    <row r="71" spans="1:6">
      <c r="A71" t="str">
        <f>Table1[[#This Row],[Card_ID]]&amp;"-"&amp;Table1[[#This Row],[Terminal Number]]</f>
        <v>1756-OB32-31</v>
      </c>
      <c r="B71" t="s">
        <v>1316</v>
      </c>
      <c r="C71">
        <v>31</v>
      </c>
      <c r="D71">
        <v>28</v>
      </c>
      <c r="E71" t="s">
        <v>1552</v>
      </c>
      <c r="F71" t="s">
        <v>1788</v>
      </c>
    </row>
    <row r="72" spans="1:6">
      <c r="A72" t="str">
        <f>Table1[[#This Row],[Card_ID]]&amp;"-"&amp;Table1[[#This Row],[Terminal Number]]</f>
        <v>1756-OB32-32</v>
      </c>
      <c r="B72" t="s">
        <v>1316</v>
      </c>
      <c r="C72">
        <v>32</v>
      </c>
      <c r="D72">
        <v>29</v>
      </c>
      <c r="E72" t="s">
        <v>1553</v>
      </c>
      <c r="F72" t="s">
        <v>1788</v>
      </c>
    </row>
    <row r="73" spans="1:6">
      <c r="A73" t="str">
        <f>Table1[[#This Row],[Card_ID]]&amp;"-"&amp;Table1[[#This Row],[Terminal Number]]</f>
        <v>1756-OB32-33</v>
      </c>
      <c r="B73" t="s">
        <v>1316</v>
      </c>
      <c r="C73">
        <v>33</v>
      </c>
      <c r="D73">
        <v>30</v>
      </c>
      <c r="E73" t="s">
        <v>1555</v>
      </c>
      <c r="F73" t="s">
        <v>1788</v>
      </c>
    </row>
    <row r="74" spans="1:6">
      <c r="A74" t="str">
        <f>Table1[[#This Row],[Card_ID]]&amp;"-"&amp;Table1[[#This Row],[Terminal Number]]</f>
        <v>1756-OB32-34</v>
      </c>
      <c r="B74" t="s">
        <v>1316</v>
      </c>
      <c r="C74">
        <v>34</v>
      </c>
      <c r="D74">
        <v>31</v>
      </c>
      <c r="E74" t="s">
        <v>1556</v>
      </c>
      <c r="F74" t="s">
        <v>1788</v>
      </c>
    </row>
    <row r="75" spans="1:6">
      <c r="A75" t="str">
        <f>Table1[[#This Row],[Card_ID]]&amp;"-"&amp;Table1[[#This Row],[Terminal Number]]</f>
        <v>1756-OB32-35</v>
      </c>
      <c r="B75" t="s">
        <v>1316</v>
      </c>
      <c r="C75">
        <v>35</v>
      </c>
      <c r="E75" t="s">
        <v>1530</v>
      </c>
      <c r="F75" t="s">
        <v>1810</v>
      </c>
    </row>
    <row r="76" spans="1:6">
      <c r="A76" t="str">
        <f>Table1[[#This Row],[Card_ID]]&amp;"-"&amp;Table1[[#This Row],[Terminal Number]]</f>
        <v>1756-OB32-36</v>
      </c>
      <c r="B76" t="s">
        <v>1316</v>
      </c>
      <c r="C76">
        <v>36</v>
      </c>
      <c r="E76" t="s">
        <v>1564</v>
      </c>
      <c r="F76" t="s">
        <v>1798</v>
      </c>
    </row>
    <row r="77" spans="1:6">
      <c r="A77" t="str">
        <f>Table1[[#This Row],[Card_ID]]&amp;"-"&amp;Table1[[#This Row],[Terminal Number]]</f>
        <v>1756-IF16-1</v>
      </c>
      <c r="B77" t="s">
        <v>1319</v>
      </c>
      <c r="C77">
        <v>1</v>
      </c>
      <c r="E77" t="s">
        <v>1811</v>
      </c>
      <c r="F77" t="s">
        <v>1788</v>
      </c>
    </row>
    <row r="78" spans="1:6">
      <c r="A78" t="str">
        <f>Table1[[#This Row],[Card_ID]]&amp;"-"&amp;Table1[[#This Row],[Terminal Number]]</f>
        <v>1756-IF16-2</v>
      </c>
      <c r="B78" t="s">
        <v>1319</v>
      </c>
      <c r="C78">
        <v>2</v>
      </c>
      <c r="E78" t="s">
        <v>1812</v>
      </c>
      <c r="F78" t="s">
        <v>1788</v>
      </c>
    </row>
    <row r="79" spans="1:6">
      <c r="A79" t="str">
        <f>Table1[[#This Row],[Card_ID]]&amp;"-"&amp;Table1[[#This Row],[Terminal Number]]</f>
        <v>1756-IF16-3</v>
      </c>
      <c r="B79" t="s">
        <v>1319</v>
      </c>
      <c r="C79">
        <v>3</v>
      </c>
      <c r="E79" t="s">
        <v>1813</v>
      </c>
      <c r="F79" t="s">
        <v>1788</v>
      </c>
    </row>
    <row r="80" spans="1:6">
      <c r="A80" t="str">
        <f>Table1[[#This Row],[Card_ID]]&amp;"-"&amp;Table1[[#This Row],[Terminal Number]]</f>
        <v>1756-IF16-4</v>
      </c>
      <c r="B80" t="s">
        <v>1319</v>
      </c>
      <c r="C80">
        <v>4</v>
      </c>
      <c r="E80" t="s">
        <v>1814</v>
      </c>
      <c r="F80" t="s">
        <v>1788</v>
      </c>
    </row>
    <row r="81" spans="1:6">
      <c r="A81" t="str">
        <f>Table1[[#This Row],[Card_ID]]&amp;"-"&amp;Table1[[#This Row],[Terminal Number]]</f>
        <v>1756-IF16-5</v>
      </c>
      <c r="B81" t="s">
        <v>1319</v>
      </c>
      <c r="C81">
        <v>5</v>
      </c>
      <c r="E81" t="s">
        <v>1815</v>
      </c>
      <c r="F81" t="s">
        <v>1788</v>
      </c>
    </row>
    <row r="82" spans="1:6">
      <c r="A82" t="str">
        <f>Table1[[#This Row],[Card_ID]]&amp;"-"&amp;Table1[[#This Row],[Terminal Number]]</f>
        <v>1756-IF16-6</v>
      </c>
      <c r="B82" t="s">
        <v>1319</v>
      </c>
      <c r="C82">
        <v>6</v>
      </c>
      <c r="E82" t="s">
        <v>1816</v>
      </c>
      <c r="F82" t="s">
        <v>1788</v>
      </c>
    </row>
    <row r="83" spans="1:6">
      <c r="A83" t="str">
        <f>Table1[[#This Row],[Card_ID]]&amp;"-"&amp;Table1[[#This Row],[Terminal Number]]</f>
        <v>1756-IF16-7</v>
      </c>
      <c r="B83" t="s">
        <v>1319</v>
      </c>
      <c r="C83">
        <v>7</v>
      </c>
      <c r="E83" t="s">
        <v>1817</v>
      </c>
      <c r="F83" t="s">
        <v>1788</v>
      </c>
    </row>
    <row r="84" spans="1:6">
      <c r="A84" t="str">
        <f>Table1[[#This Row],[Card_ID]]&amp;"-"&amp;Table1[[#This Row],[Terminal Number]]</f>
        <v>1756-IF16-8</v>
      </c>
      <c r="B84" t="s">
        <v>1319</v>
      </c>
      <c r="C84">
        <v>8</v>
      </c>
      <c r="E84" t="s">
        <v>1818</v>
      </c>
      <c r="F84" t="s">
        <v>1788</v>
      </c>
    </row>
    <row r="85" spans="1:6">
      <c r="A85" t="str">
        <f>Table1[[#This Row],[Card_ID]]&amp;"-"&amp;Table1[[#This Row],[Terminal Number]]</f>
        <v>1756-IF16-9</v>
      </c>
      <c r="B85" t="s">
        <v>1319</v>
      </c>
      <c r="C85">
        <v>9</v>
      </c>
      <c r="E85" t="s">
        <v>1528</v>
      </c>
      <c r="F85" t="s">
        <v>1798</v>
      </c>
    </row>
    <row r="86" spans="1:6">
      <c r="A86" t="str">
        <f>Table1[[#This Row],[Card_ID]]&amp;"-"&amp;Table1[[#This Row],[Terminal Number]]</f>
        <v>1756-IF16-10</v>
      </c>
      <c r="B86" t="s">
        <v>1319</v>
      </c>
      <c r="C86">
        <v>10</v>
      </c>
      <c r="E86" t="s">
        <v>1528</v>
      </c>
      <c r="F86" t="s">
        <v>1798</v>
      </c>
    </row>
    <row r="87" spans="1:6">
      <c r="A87" t="str">
        <f>Table1[[#This Row],[Card_ID]]&amp;"-"&amp;Table1[[#This Row],[Terminal Number]]</f>
        <v>1756-IF16-11</v>
      </c>
      <c r="B87" t="s">
        <v>1319</v>
      </c>
      <c r="C87">
        <v>11</v>
      </c>
      <c r="E87" t="s">
        <v>1819</v>
      </c>
      <c r="F87" t="s">
        <v>1788</v>
      </c>
    </row>
    <row r="88" spans="1:6">
      <c r="A88" t="str">
        <f>Table1[[#This Row],[Card_ID]]&amp;"-"&amp;Table1[[#This Row],[Terminal Number]]</f>
        <v>1756-IF16-12</v>
      </c>
      <c r="B88" t="s">
        <v>1319</v>
      </c>
      <c r="C88">
        <v>12</v>
      </c>
      <c r="E88" t="s">
        <v>1820</v>
      </c>
      <c r="F88" t="s">
        <v>1788</v>
      </c>
    </row>
    <row r="89" spans="1:6">
      <c r="A89" t="str">
        <f>Table1[[#This Row],[Card_ID]]&amp;"-"&amp;Table1[[#This Row],[Terminal Number]]</f>
        <v>1756-IF16-13</v>
      </c>
      <c r="B89" t="s">
        <v>1319</v>
      </c>
      <c r="C89">
        <v>13</v>
      </c>
      <c r="E89" t="s">
        <v>1821</v>
      </c>
      <c r="F89" t="s">
        <v>1788</v>
      </c>
    </row>
    <row r="90" spans="1:6">
      <c r="A90" t="str">
        <f>Table1[[#This Row],[Card_ID]]&amp;"-"&amp;Table1[[#This Row],[Terminal Number]]</f>
        <v>1756-IF16-14</v>
      </c>
      <c r="B90" t="s">
        <v>1319</v>
      </c>
      <c r="C90">
        <v>14</v>
      </c>
      <c r="E90" t="s">
        <v>1822</v>
      </c>
      <c r="F90" t="s">
        <v>1788</v>
      </c>
    </row>
    <row r="91" spans="1:6">
      <c r="A91" t="str">
        <f>Table1[[#This Row],[Card_ID]]&amp;"-"&amp;Table1[[#This Row],[Terminal Number]]</f>
        <v>1756-IF16-15</v>
      </c>
      <c r="B91" t="s">
        <v>1319</v>
      </c>
      <c r="C91">
        <v>15</v>
      </c>
      <c r="E91" t="s">
        <v>1823</v>
      </c>
      <c r="F91" t="s">
        <v>1788</v>
      </c>
    </row>
    <row r="92" spans="1:6">
      <c r="A92" t="str">
        <f>Table1[[#This Row],[Card_ID]]&amp;"-"&amp;Table1[[#This Row],[Terminal Number]]</f>
        <v>1756-IF16-16</v>
      </c>
      <c r="B92" t="s">
        <v>1319</v>
      </c>
      <c r="C92">
        <v>16</v>
      </c>
      <c r="E92" t="s">
        <v>1824</v>
      </c>
      <c r="F92" t="s">
        <v>1788</v>
      </c>
    </row>
    <row r="93" spans="1:6">
      <c r="A93" t="str">
        <f>Table1[[#This Row],[Card_ID]]&amp;"-"&amp;Table1[[#This Row],[Terminal Number]]</f>
        <v>1756-IF16-17</v>
      </c>
      <c r="B93" t="s">
        <v>1319</v>
      </c>
      <c r="C93">
        <v>17</v>
      </c>
      <c r="E93" t="s">
        <v>1825</v>
      </c>
      <c r="F93" t="s">
        <v>1788</v>
      </c>
    </row>
    <row r="94" spans="1:6">
      <c r="A94" t="str">
        <f>Table1[[#This Row],[Card_ID]]&amp;"-"&amp;Table1[[#This Row],[Terminal Number]]</f>
        <v>1756-IF16-18</v>
      </c>
      <c r="B94" t="s">
        <v>1319</v>
      </c>
      <c r="C94">
        <v>18</v>
      </c>
      <c r="E94" t="s">
        <v>1826</v>
      </c>
      <c r="F94" t="s">
        <v>1788</v>
      </c>
    </row>
    <row r="95" spans="1:6">
      <c r="A95" t="str">
        <f>Table1[[#This Row],[Card_ID]]&amp;"-"&amp;Table1[[#This Row],[Terminal Number]]</f>
        <v>1756-IF16-19</v>
      </c>
      <c r="B95" t="s">
        <v>1319</v>
      </c>
      <c r="C95">
        <v>19</v>
      </c>
      <c r="E95" t="s">
        <v>1827</v>
      </c>
      <c r="F95" t="s">
        <v>1788</v>
      </c>
    </row>
    <row r="96" spans="1:6">
      <c r="A96" t="str">
        <f>Table1[[#This Row],[Card_ID]]&amp;"-"&amp;Table1[[#This Row],[Terminal Number]]</f>
        <v>1756-IF16-20</v>
      </c>
      <c r="B96" t="s">
        <v>1319</v>
      </c>
      <c r="C96">
        <v>20</v>
      </c>
      <c r="E96" t="s">
        <v>1828</v>
      </c>
      <c r="F96" t="s">
        <v>1788</v>
      </c>
    </row>
    <row r="97" spans="1:6">
      <c r="A97" t="str">
        <f>Table1[[#This Row],[Card_ID]]&amp;"-"&amp;Table1[[#This Row],[Terminal Number]]</f>
        <v>1756-IF16-21</v>
      </c>
      <c r="B97" t="s">
        <v>1319</v>
      </c>
      <c r="C97">
        <v>21</v>
      </c>
      <c r="E97" t="s">
        <v>1829</v>
      </c>
      <c r="F97" t="s">
        <v>1788</v>
      </c>
    </row>
    <row r="98" spans="1:6">
      <c r="A98" t="str">
        <f>Table1[[#This Row],[Card_ID]]&amp;"-"&amp;Table1[[#This Row],[Terminal Number]]</f>
        <v>1756-IF16-22</v>
      </c>
      <c r="B98" t="s">
        <v>1319</v>
      </c>
      <c r="C98">
        <v>22</v>
      </c>
      <c r="E98" t="s">
        <v>1830</v>
      </c>
      <c r="F98" t="s">
        <v>1788</v>
      </c>
    </row>
    <row r="99" spans="1:6">
      <c r="A99" t="str">
        <f>Table1[[#This Row],[Card_ID]]&amp;"-"&amp;Table1[[#This Row],[Terminal Number]]</f>
        <v>1756-IF16-23</v>
      </c>
      <c r="B99" t="s">
        <v>1319</v>
      </c>
      <c r="C99">
        <v>23</v>
      </c>
      <c r="E99" t="s">
        <v>1831</v>
      </c>
      <c r="F99" t="s">
        <v>1788</v>
      </c>
    </row>
    <row r="100" spans="1:6">
      <c r="A100" t="str">
        <f>Table1[[#This Row],[Card_ID]]&amp;"-"&amp;Table1[[#This Row],[Terminal Number]]</f>
        <v>1756-IF16-24</v>
      </c>
      <c r="B100" t="s">
        <v>1319</v>
      </c>
      <c r="C100">
        <v>24</v>
      </c>
      <c r="E100" t="s">
        <v>1832</v>
      </c>
      <c r="F100" t="s">
        <v>1788</v>
      </c>
    </row>
    <row r="101" spans="1:6">
      <c r="A101" t="str">
        <f>Table1[[#This Row],[Card_ID]]&amp;"-"&amp;Table1[[#This Row],[Terminal Number]]</f>
        <v>1756-IF16-25</v>
      </c>
      <c r="B101" t="s">
        <v>1319</v>
      </c>
      <c r="C101">
        <v>25</v>
      </c>
      <c r="E101" t="s">
        <v>1833</v>
      </c>
      <c r="F101" t="s">
        <v>1788</v>
      </c>
    </row>
    <row r="102" spans="1:6">
      <c r="A102" t="str">
        <f>Table1[[#This Row],[Card_ID]]&amp;"-"&amp;Table1[[#This Row],[Terminal Number]]</f>
        <v>1756-IF16-26</v>
      </c>
      <c r="B102" t="s">
        <v>1319</v>
      </c>
      <c r="C102">
        <v>26</v>
      </c>
      <c r="E102" t="s">
        <v>1834</v>
      </c>
      <c r="F102" t="s">
        <v>1788</v>
      </c>
    </row>
    <row r="103" spans="1:6">
      <c r="A103" t="str">
        <f>Table1[[#This Row],[Card_ID]]&amp;"-"&amp;Table1[[#This Row],[Terminal Number]]</f>
        <v>1756-IF16-27</v>
      </c>
      <c r="B103" t="s">
        <v>1319</v>
      </c>
      <c r="C103">
        <v>27</v>
      </c>
      <c r="E103" t="s">
        <v>1528</v>
      </c>
      <c r="F103" t="s">
        <v>1798</v>
      </c>
    </row>
    <row r="104" spans="1:6">
      <c r="A104" t="str">
        <f>Table1[[#This Row],[Card_ID]]&amp;"-"&amp;Table1[[#This Row],[Terminal Number]]</f>
        <v>1756-IF16-28</v>
      </c>
      <c r="B104" t="s">
        <v>1319</v>
      </c>
      <c r="C104">
        <v>28</v>
      </c>
      <c r="E104" t="s">
        <v>1528</v>
      </c>
      <c r="F104" t="s">
        <v>1798</v>
      </c>
    </row>
    <row r="105" spans="1:6">
      <c r="A105" t="str">
        <f>Table1[[#This Row],[Card_ID]]&amp;"-"&amp;Table1[[#This Row],[Terminal Number]]</f>
        <v>1756-IF16-29</v>
      </c>
      <c r="B105" t="s">
        <v>1319</v>
      </c>
      <c r="C105">
        <v>29</v>
      </c>
      <c r="E105" t="s">
        <v>1835</v>
      </c>
      <c r="F105" t="s">
        <v>1788</v>
      </c>
    </row>
    <row r="106" spans="1:6">
      <c r="A106" t="str">
        <f>Table1[[#This Row],[Card_ID]]&amp;"-"&amp;Table1[[#This Row],[Terminal Number]]</f>
        <v>1756-IF16-30</v>
      </c>
      <c r="B106" t="s">
        <v>1319</v>
      </c>
      <c r="C106">
        <v>30</v>
      </c>
      <c r="E106" t="s">
        <v>1836</v>
      </c>
      <c r="F106" t="s">
        <v>1788</v>
      </c>
    </row>
    <row r="107" spans="1:6">
      <c r="A107" t="str">
        <f>Table1[[#This Row],[Card_ID]]&amp;"-"&amp;Table1[[#This Row],[Terminal Number]]</f>
        <v>1756-IF16-31</v>
      </c>
      <c r="B107" t="s">
        <v>1319</v>
      </c>
      <c r="C107">
        <v>31</v>
      </c>
      <c r="E107" t="s">
        <v>1837</v>
      </c>
      <c r="F107" t="s">
        <v>1788</v>
      </c>
    </row>
    <row r="108" spans="1:6">
      <c r="A108" t="str">
        <f>Table1[[#This Row],[Card_ID]]&amp;"-"&amp;Table1[[#This Row],[Terminal Number]]</f>
        <v>1756-IF16-32</v>
      </c>
      <c r="B108" t="s">
        <v>1319</v>
      </c>
      <c r="C108">
        <v>32</v>
      </c>
      <c r="E108" t="s">
        <v>1838</v>
      </c>
      <c r="F108" t="s">
        <v>1788</v>
      </c>
    </row>
    <row r="109" spans="1:6">
      <c r="A109" t="str">
        <f>Table1[[#This Row],[Card_ID]]&amp;"-"&amp;Table1[[#This Row],[Terminal Number]]</f>
        <v>1756-IF16-33</v>
      </c>
      <c r="B109" t="s">
        <v>1319</v>
      </c>
      <c r="C109">
        <v>33</v>
      </c>
      <c r="E109" t="s">
        <v>1839</v>
      </c>
      <c r="F109" t="s">
        <v>1788</v>
      </c>
    </row>
    <row r="110" spans="1:6">
      <c r="A110" t="str">
        <f>Table1[[#This Row],[Card_ID]]&amp;"-"&amp;Table1[[#This Row],[Terminal Number]]</f>
        <v>1756-IF16-34</v>
      </c>
      <c r="B110" t="s">
        <v>1319</v>
      </c>
      <c r="C110">
        <v>34</v>
      </c>
      <c r="E110" t="s">
        <v>1840</v>
      </c>
      <c r="F110" t="s">
        <v>1788</v>
      </c>
    </row>
    <row r="111" spans="1:6">
      <c r="A111" t="str">
        <f>Table1[[#This Row],[Card_ID]]&amp;"-"&amp;Table1[[#This Row],[Terminal Number]]</f>
        <v>1756-IF16-35</v>
      </c>
      <c r="B111" t="s">
        <v>1319</v>
      </c>
      <c r="C111">
        <v>35</v>
      </c>
      <c r="E111" t="s">
        <v>1841</v>
      </c>
      <c r="F111" t="s">
        <v>1788</v>
      </c>
    </row>
    <row r="112" spans="1:6">
      <c r="A112" t="str">
        <f>Table1[[#This Row],[Card_ID]]&amp;"-"&amp;Table1[[#This Row],[Terminal Number]]</f>
        <v>1756-IF16-36</v>
      </c>
      <c r="B112" t="s">
        <v>1319</v>
      </c>
      <c r="C112">
        <v>36</v>
      </c>
      <c r="E112" t="s">
        <v>1842</v>
      </c>
      <c r="F112" t="s">
        <v>1788</v>
      </c>
    </row>
    <row r="113" spans="1:6">
      <c r="A113" t="str">
        <f>Table1[[#This Row],[Card_ID]]&amp;"-"&amp;Table1[[#This Row],[Terminal Number]]</f>
        <v>1756-OF8-1</v>
      </c>
      <c r="B113" t="s">
        <v>1321</v>
      </c>
      <c r="C113">
        <v>1</v>
      </c>
      <c r="E113" t="s">
        <v>1573</v>
      </c>
      <c r="F113" t="s">
        <v>1788</v>
      </c>
    </row>
    <row r="114" spans="1:6">
      <c r="A114" t="str">
        <f>Table1[[#This Row],[Card_ID]]&amp;"-"&amp;Table1[[#This Row],[Terminal Number]]</f>
        <v>1756-OF8-2</v>
      </c>
      <c r="B114" t="s">
        <v>1321</v>
      </c>
      <c r="C114">
        <v>2</v>
      </c>
      <c r="E114" t="s">
        <v>1577</v>
      </c>
      <c r="F114" t="s">
        <v>1788</v>
      </c>
    </row>
    <row r="115" spans="1:6">
      <c r="A115" t="str">
        <f>Table1[[#This Row],[Card_ID]]&amp;"-"&amp;Table1[[#This Row],[Terminal Number]]</f>
        <v>1756-OF8-3</v>
      </c>
      <c r="B115" t="s">
        <v>1321</v>
      </c>
      <c r="C115">
        <v>3</v>
      </c>
      <c r="E115" t="s">
        <v>1565</v>
      </c>
      <c r="F115" t="s">
        <v>1788</v>
      </c>
    </row>
    <row r="116" spans="1:6">
      <c r="A116" t="str">
        <f>Table1[[#This Row],[Card_ID]]&amp;"-"&amp;Table1[[#This Row],[Terminal Number]]</f>
        <v>1756-OF8-4</v>
      </c>
      <c r="B116" t="s">
        <v>1321</v>
      </c>
      <c r="C116">
        <v>4</v>
      </c>
      <c r="E116" t="s">
        <v>1569</v>
      </c>
      <c r="F116" t="s">
        <v>1788</v>
      </c>
    </row>
    <row r="117" spans="1:6">
      <c r="A117" t="str">
        <f>Table1[[#This Row],[Card_ID]]&amp;"-"&amp;Table1[[#This Row],[Terminal Number]]</f>
        <v>1756-OF8-5</v>
      </c>
      <c r="B117" t="s">
        <v>1321</v>
      </c>
      <c r="C117">
        <v>5</v>
      </c>
      <c r="E117" t="s">
        <v>1528</v>
      </c>
      <c r="F117" t="s">
        <v>1798</v>
      </c>
    </row>
    <row r="118" spans="1:6">
      <c r="A118" t="str">
        <f>Table1[[#This Row],[Card_ID]]&amp;"-"&amp;Table1[[#This Row],[Terminal Number]]</f>
        <v>1756-OF8-6</v>
      </c>
      <c r="B118" t="s">
        <v>1321</v>
      </c>
      <c r="C118">
        <v>6</v>
      </c>
      <c r="E118" t="s">
        <v>1528</v>
      </c>
      <c r="F118" t="s">
        <v>1798</v>
      </c>
    </row>
    <row r="119" spans="1:6">
      <c r="A119" t="str">
        <f>Table1[[#This Row],[Card_ID]]&amp;"-"&amp;Table1[[#This Row],[Terminal Number]]</f>
        <v>1756-OF8-7</v>
      </c>
      <c r="B119" t="s">
        <v>1321</v>
      </c>
      <c r="C119">
        <v>7</v>
      </c>
      <c r="E119" t="s">
        <v>1574</v>
      </c>
      <c r="F119" t="s">
        <v>1788</v>
      </c>
    </row>
    <row r="120" spans="1:6">
      <c r="A120" t="str">
        <f>Table1[[#This Row],[Card_ID]]&amp;"-"&amp;Table1[[#This Row],[Terminal Number]]</f>
        <v>1756-OF8-8</v>
      </c>
      <c r="B120" t="s">
        <v>1321</v>
      </c>
      <c r="C120">
        <v>8</v>
      </c>
      <c r="E120" t="s">
        <v>1578</v>
      </c>
      <c r="F120" t="s">
        <v>1788</v>
      </c>
    </row>
    <row r="121" spans="1:6">
      <c r="A121" t="str">
        <f>Table1[[#This Row],[Card_ID]]&amp;"-"&amp;Table1[[#This Row],[Terminal Number]]</f>
        <v>1756-OF8-9</v>
      </c>
      <c r="B121" t="s">
        <v>1321</v>
      </c>
      <c r="C121">
        <v>9</v>
      </c>
      <c r="E121" t="s">
        <v>1566</v>
      </c>
      <c r="F121" t="s">
        <v>1788</v>
      </c>
    </row>
    <row r="122" spans="1:6">
      <c r="A122" t="str">
        <f>Table1[[#This Row],[Card_ID]]&amp;"-"&amp;Table1[[#This Row],[Terminal Number]]</f>
        <v>1756-OF8-10</v>
      </c>
      <c r="B122" t="s">
        <v>1321</v>
      </c>
      <c r="C122">
        <v>10</v>
      </c>
      <c r="E122" t="s">
        <v>1570</v>
      </c>
      <c r="F122" t="s">
        <v>1788</v>
      </c>
    </row>
    <row r="123" spans="1:6">
      <c r="A123" t="str">
        <f>Table1[[#This Row],[Card_ID]]&amp;"-"&amp;Table1[[#This Row],[Terminal Number]]</f>
        <v>1756-OF8-11</v>
      </c>
      <c r="B123" t="s">
        <v>1321</v>
      </c>
      <c r="C123">
        <v>11</v>
      </c>
      <c r="E123" t="s">
        <v>1575</v>
      </c>
      <c r="F123" t="s">
        <v>1788</v>
      </c>
    </row>
    <row r="124" spans="1:6">
      <c r="A124" t="str">
        <f>Table1[[#This Row],[Card_ID]]&amp;"-"&amp;Table1[[#This Row],[Terminal Number]]</f>
        <v>1756-OF8-12</v>
      </c>
      <c r="B124" t="s">
        <v>1321</v>
      </c>
      <c r="C124">
        <v>12</v>
      </c>
      <c r="E124" t="s">
        <v>1579</v>
      </c>
      <c r="F124" t="s">
        <v>1788</v>
      </c>
    </row>
    <row r="125" spans="1:6">
      <c r="A125" t="str">
        <f>Table1[[#This Row],[Card_ID]]&amp;"-"&amp;Table1[[#This Row],[Terminal Number]]</f>
        <v>1756-OF8-13</v>
      </c>
      <c r="B125" t="s">
        <v>1321</v>
      </c>
      <c r="C125">
        <v>13</v>
      </c>
      <c r="E125" t="s">
        <v>1567</v>
      </c>
      <c r="F125" t="s">
        <v>1788</v>
      </c>
    </row>
    <row r="126" spans="1:6">
      <c r="A126" t="str">
        <f>Table1[[#This Row],[Card_ID]]&amp;"-"&amp;Table1[[#This Row],[Terminal Number]]</f>
        <v>1756-OF8-14</v>
      </c>
      <c r="B126" t="s">
        <v>1321</v>
      </c>
      <c r="C126">
        <v>14</v>
      </c>
      <c r="E126" t="s">
        <v>1571</v>
      </c>
      <c r="F126" t="s">
        <v>1788</v>
      </c>
    </row>
    <row r="127" spans="1:6">
      <c r="A127" t="str">
        <f>Table1[[#This Row],[Card_ID]]&amp;"-"&amp;Table1[[#This Row],[Terminal Number]]</f>
        <v>1756-OF8-15</v>
      </c>
      <c r="B127" t="s">
        <v>1321</v>
      </c>
      <c r="C127">
        <v>15</v>
      </c>
      <c r="E127" t="s">
        <v>1528</v>
      </c>
      <c r="F127" t="s">
        <v>1798</v>
      </c>
    </row>
    <row r="128" spans="1:6">
      <c r="A128" t="str">
        <f>Table1[[#This Row],[Card_ID]]&amp;"-"&amp;Table1[[#This Row],[Terminal Number]]</f>
        <v>1756-OF8-16</v>
      </c>
      <c r="B128" t="s">
        <v>1321</v>
      </c>
      <c r="C128">
        <v>16</v>
      </c>
      <c r="E128" t="s">
        <v>1528</v>
      </c>
      <c r="F128" t="s">
        <v>1798</v>
      </c>
    </row>
    <row r="129" spans="1:6">
      <c r="A129" t="str">
        <f>Table1[[#This Row],[Card_ID]]&amp;"-"&amp;Table1[[#This Row],[Terminal Number]]</f>
        <v>1756-OF8-17</v>
      </c>
      <c r="B129" t="s">
        <v>1321</v>
      </c>
      <c r="C129">
        <v>17</v>
      </c>
      <c r="E129" t="s">
        <v>1576</v>
      </c>
      <c r="F129" t="s">
        <v>1788</v>
      </c>
    </row>
    <row r="130" spans="1:6">
      <c r="A130" t="str">
        <f>Table1[[#This Row],[Card_ID]]&amp;"-"&amp;Table1[[#This Row],[Terminal Number]]</f>
        <v>1756-OF8-18</v>
      </c>
      <c r="B130" t="s">
        <v>1321</v>
      </c>
      <c r="C130">
        <v>18</v>
      </c>
      <c r="E130" t="s">
        <v>1580</v>
      </c>
      <c r="F130" t="s">
        <v>1788</v>
      </c>
    </row>
    <row r="131" spans="1:6">
      <c r="A131" t="str">
        <f>Table1[[#This Row],[Card_ID]]&amp;"-"&amp;Table1[[#This Row],[Terminal Number]]</f>
        <v>1756-OF8-19</v>
      </c>
      <c r="B131" t="s">
        <v>1321</v>
      </c>
      <c r="C131">
        <v>19</v>
      </c>
      <c r="E131" t="s">
        <v>1568</v>
      </c>
      <c r="F131" t="s">
        <v>1788</v>
      </c>
    </row>
    <row r="132" spans="1:6">
      <c r="A132" t="str">
        <f>Table1[[#This Row],[Card_ID]]&amp;"-"&amp;Table1[[#This Row],[Terminal Number]]</f>
        <v>1756-OF8-20</v>
      </c>
      <c r="B132" t="s">
        <v>1321</v>
      </c>
      <c r="C132">
        <v>20</v>
      </c>
      <c r="E132" t="s">
        <v>1572</v>
      </c>
      <c r="F132" t="s">
        <v>1788</v>
      </c>
    </row>
    <row r="133" spans="1:6">
      <c r="A133" t="s">
        <v>1782</v>
      </c>
    </row>
    <row r="134" spans="1:6">
      <c r="A134">
        <v>5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94"/>
  <sheetViews>
    <sheetView workbookViewId="0"/>
  </sheetViews>
  <sheetFormatPr baseColWidth="10" defaultRowHeight="16"/>
  <cols>
    <col min="1" max="1" width="13" bestFit="1" customWidth="1"/>
    <col min="2" max="2" width="16" bestFit="1" customWidth="1"/>
    <col min="3" max="3" width="3.6640625" bestFit="1" customWidth="1"/>
    <col min="4" max="4" width="4.5" bestFit="1" customWidth="1"/>
    <col min="5" max="5" width="3" bestFit="1" customWidth="1"/>
    <col min="6" max="6" width="3.83203125" bestFit="1" customWidth="1"/>
    <col min="7" max="7" width="7" bestFit="1" customWidth="1"/>
    <col min="8" max="8" width="10.5" bestFit="1" customWidth="1"/>
    <col min="9" max="9" width="4.1640625" bestFit="1" customWidth="1"/>
    <col min="10" max="10" width="3.83203125" bestFit="1" customWidth="1"/>
    <col min="11" max="11" width="7" bestFit="1" customWidth="1"/>
    <col min="12" max="12" width="6.5" bestFit="1" customWidth="1"/>
    <col min="13" max="13" width="4.1640625" bestFit="1" customWidth="1"/>
    <col min="14" max="14" width="3" bestFit="1" customWidth="1"/>
    <col min="15" max="15" width="3.83203125" bestFit="1" customWidth="1"/>
    <col min="16" max="16" width="7" bestFit="1" customWidth="1"/>
    <col min="17" max="17" width="6.5" bestFit="1" customWidth="1"/>
    <col min="18" max="18" width="4.1640625" bestFit="1" customWidth="1"/>
    <col min="19" max="19" width="3" bestFit="1" customWidth="1"/>
    <col min="20" max="20" width="3.83203125" bestFit="1" customWidth="1"/>
    <col min="21" max="21" width="7" bestFit="1" customWidth="1"/>
    <col min="22" max="22" width="6.5" bestFit="1" customWidth="1"/>
    <col min="23" max="23" width="4.1640625" bestFit="1" customWidth="1"/>
    <col min="24" max="24" width="3" bestFit="1" customWidth="1"/>
    <col min="25" max="25" width="6.5" bestFit="1" customWidth="1"/>
    <col min="26" max="26" width="4.1640625" bestFit="1" customWidth="1"/>
    <col min="27" max="27" width="3.83203125" bestFit="1" customWidth="1"/>
    <col min="28" max="28" width="6.5" bestFit="1" customWidth="1"/>
    <col min="29" max="29" width="4.1640625" bestFit="1" customWidth="1"/>
    <col min="30" max="30" width="3.83203125" bestFit="1" customWidth="1"/>
    <col min="31" max="31" width="6.5" bestFit="1" customWidth="1"/>
    <col min="32" max="32" width="4.1640625" bestFit="1" customWidth="1"/>
    <col min="33" max="33" width="3.83203125" bestFit="1" customWidth="1"/>
    <col min="34" max="34" width="6.5" bestFit="1" customWidth="1"/>
    <col min="35" max="35" width="5.1640625" bestFit="1" customWidth="1"/>
    <col min="36" max="36" width="7.5" bestFit="1" customWidth="1"/>
    <col min="37" max="37" width="5.1640625" bestFit="1" customWidth="1"/>
    <col min="38" max="38" width="3.6640625" bestFit="1" customWidth="1"/>
    <col min="39" max="39" width="7.5" bestFit="1" customWidth="1"/>
    <col min="40" max="40" width="9" bestFit="1" customWidth="1"/>
    <col min="41" max="41" width="4.5" bestFit="1" customWidth="1"/>
    <col min="42" max="42" width="3" bestFit="1" customWidth="1"/>
    <col min="43" max="43" width="3.83203125" bestFit="1" customWidth="1"/>
    <col min="44" max="44" width="7" bestFit="1" customWidth="1"/>
    <col min="45" max="45" width="11.33203125" bestFit="1" customWidth="1"/>
    <col min="46" max="46" width="10.5" bestFit="1" customWidth="1"/>
  </cols>
  <sheetData>
    <row r="1" spans="1:1">
      <c r="A1" s="5" t="s">
        <v>1298</v>
      </c>
    </row>
    <row r="2" spans="1:1">
      <c r="A2" s="6" t="s">
        <v>1332</v>
      </c>
    </row>
    <row r="3" spans="1:1">
      <c r="A3" s="7">
        <v>3</v>
      </c>
    </row>
    <row r="4" spans="1:1">
      <c r="A4" s="9" t="s">
        <v>8</v>
      </c>
    </row>
    <row r="5" spans="1:1">
      <c r="A5" s="7">
        <v>4</v>
      </c>
    </row>
    <row r="6" spans="1:1">
      <c r="A6" s="9" t="s">
        <v>8</v>
      </c>
    </row>
    <row r="7" spans="1:1">
      <c r="A7" s="7">
        <v>5</v>
      </c>
    </row>
    <row r="8" spans="1:1">
      <c r="A8" s="9" t="s">
        <v>8</v>
      </c>
    </row>
    <row r="9" spans="1:1">
      <c r="A9" s="7">
        <v>6</v>
      </c>
    </row>
    <row r="10" spans="1:1">
      <c r="A10" s="9" t="s">
        <v>7</v>
      </c>
    </row>
    <row r="11" spans="1:1">
      <c r="A11" s="7">
        <v>7</v>
      </c>
    </row>
    <row r="12" spans="1:1">
      <c r="A12" s="9" t="s">
        <v>7</v>
      </c>
    </row>
    <row r="13" spans="1:1">
      <c r="A13" s="7">
        <v>8</v>
      </c>
    </row>
    <row r="14" spans="1:1">
      <c r="A14" s="9" t="s">
        <v>7</v>
      </c>
    </row>
    <row r="15" spans="1:1">
      <c r="A15" s="7">
        <v>9</v>
      </c>
    </row>
    <row r="16" spans="1:1">
      <c r="A16" s="9" t="s">
        <v>10</v>
      </c>
    </row>
    <row r="17" spans="1:1">
      <c r="A17" s="7">
        <v>10</v>
      </c>
    </row>
    <row r="18" spans="1:1">
      <c r="A18" s="9" t="s">
        <v>10</v>
      </c>
    </row>
    <row r="19" spans="1:1">
      <c r="A19" s="6" t="s">
        <v>1333</v>
      </c>
    </row>
    <row r="20" spans="1:1">
      <c r="A20" s="7">
        <v>1</v>
      </c>
    </row>
    <row r="21" spans="1:1">
      <c r="A21" s="9" t="s">
        <v>8</v>
      </c>
    </row>
    <row r="22" spans="1:1">
      <c r="A22" s="7">
        <v>2</v>
      </c>
    </row>
    <row r="23" spans="1:1">
      <c r="A23" s="9" t="s">
        <v>8</v>
      </c>
    </row>
    <row r="24" spans="1:1">
      <c r="A24" s="7">
        <v>3</v>
      </c>
    </row>
    <row r="25" spans="1:1">
      <c r="A25" s="9" t="s">
        <v>7</v>
      </c>
    </row>
    <row r="26" spans="1:1">
      <c r="A26" s="7">
        <v>4</v>
      </c>
    </row>
    <row r="27" spans="1:1">
      <c r="A27" s="9" t="s">
        <v>7</v>
      </c>
    </row>
    <row r="28" spans="1:1">
      <c r="A28" s="7">
        <v>5</v>
      </c>
    </row>
    <row r="29" spans="1:1">
      <c r="A29" s="9" t="s">
        <v>7</v>
      </c>
    </row>
    <row r="30" spans="1:1">
      <c r="A30" s="7">
        <v>6</v>
      </c>
    </row>
    <row r="31" spans="1:1">
      <c r="A31" s="9" t="s">
        <v>10</v>
      </c>
    </row>
    <row r="32" spans="1:1">
      <c r="A32" s="7">
        <v>7</v>
      </c>
    </row>
    <row r="33" spans="1:1">
      <c r="A33" s="9" t="s">
        <v>10</v>
      </c>
    </row>
    <row r="34" spans="1:1">
      <c r="A34" s="7">
        <v>8</v>
      </c>
    </row>
    <row r="35" spans="1:1">
      <c r="A35" s="9" t="s">
        <v>10</v>
      </c>
    </row>
    <row r="36" spans="1:1">
      <c r="A36" s="7">
        <v>9</v>
      </c>
    </row>
    <row r="37" spans="1:1">
      <c r="A37" s="9" t="s">
        <v>10</v>
      </c>
    </row>
    <row r="38" spans="1:1">
      <c r="A38" s="7">
        <v>10</v>
      </c>
    </row>
    <row r="39" spans="1:1">
      <c r="A39" s="9" t="s">
        <v>10</v>
      </c>
    </row>
    <row r="40" spans="1:1">
      <c r="A40" s="7">
        <v>11</v>
      </c>
    </row>
    <row r="41" spans="1:1">
      <c r="A41" s="9" t="s">
        <v>9</v>
      </c>
    </row>
    <row r="42" spans="1:1">
      <c r="A42" s="6" t="s">
        <v>1334</v>
      </c>
    </row>
    <row r="43" spans="1:1">
      <c r="A43" s="7">
        <v>1</v>
      </c>
    </row>
    <row r="44" spans="1:1">
      <c r="A44" s="9" t="s">
        <v>8</v>
      </c>
    </row>
    <row r="45" spans="1:1">
      <c r="A45" s="7">
        <v>2</v>
      </c>
    </row>
    <row r="46" spans="1:1">
      <c r="A46" s="9" t="s">
        <v>8</v>
      </c>
    </row>
    <row r="47" spans="1:1">
      <c r="A47" s="7">
        <v>3</v>
      </c>
    </row>
    <row r="48" spans="1:1">
      <c r="A48" s="9" t="s">
        <v>7</v>
      </c>
    </row>
    <row r="49" spans="1:1">
      <c r="A49" s="7">
        <v>4</v>
      </c>
    </row>
    <row r="50" spans="1:1">
      <c r="A50" s="9" t="s">
        <v>10</v>
      </c>
    </row>
    <row r="51" spans="1:1">
      <c r="A51" s="7">
        <v>5</v>
      </c>
    </row>
    <row r="52" spans="1:1">
      <c r="A52" s="9" t="s">
        <v>10</v>
      </c>
    </row>
    <row r="53" spans="1:1">
      <c r="A53" s="6" t="s">
        <v>1335</v>
      </c>
    </row>
    <row r="54" spans="1:1">
      <c r="A54" s="7">
        <v>1</v>
      </c>
    </row>
    <row r="55" spans="1:1">
      <c r="A55" s="9" t="s">
        <v>8</v>
      </c>
    </row>
    <row r="56" spans="1:1">
      <c r="A56" s="7">
        <v>2</v>
      </c>
    </row>
    <row r="57" spans="1:1">
      <c r="A57" s="9" t="s">
        <v>8</v>
      </c>
    </row>
    <row r="58" spans="1:1">
      <c r="A58" s="7">
        <v>3</v>
      </c>
    </row>
    <row r="59" spans="1:1">
      <c r="A59" s="9" t="s">
        <v>8</v>
      </c>
    </row>
    <row r="60" spans="1:1">
      <c r="A60" s="7">
        <v>4</v>
      </c>
    </row>
    <row r="61" spans="1:1">
      <c r="A61" s="9" t="s">
        <v>7</v>
      </c>
    </row>
    <row r="62" spans="1:1">
      <c r="A62" s="7">
        <v>5</v>
      </c>
    </row>
    <row r="63" spans="1:1">
      <c r="A63" s="9" t="s">
        <v>10</v>
      </c>
    </row>
    <row r="64" spans="1:1">
      <c r="A64" s="6" t="s">
        <v>1336</v>
      </c>
    </row>
    <row r="65" spans="1:1">
      <c r="A65" s="7">
        <v>1</v>
      </c>
    </row>
    <row r="66" spans="1:1">
      <c r="A66" s="9" t="s">
        <v>8</v>
      </c>
    </row>
    <row r="67" spans="1:1">
      <c r="A67" s="7">
        <v>2</v>
      </c>
    </row>
    <row r="68" spans="1:1">
      <c r="A68" s="9" t="s">
        <v>8</v>
      </c>
    </row>
    <row r="69" spans="1:1">
      <c r="A69" s="7">
        <v>3</v>
      </c>
    </row>
    <row r="70" spans="1:1">
      <c r="A70" s="9" t="s">
        <v>7</v>
      </c>
    </row>
    <row r="71" spans="1:1">
      <c r="A71" s="7">
        <v>4</v>
      </c>
    </row>
    <row r="72" spans="1:1">
      <c r="A72" s="9" t="s">
        <v>10</v>
      </c>
    </row>
    <row r="73" spans="1:1">
      <c r="A73" s="7">
        <v>5</v>
      </c>
    </row>
    <row r="74" spans="1:1">
      <c r="A74" s="9" t="s">
        <v>7</v>
      </c>
    </row>
    <row r="75" spans="1:1">
      <c r="A75" s="7">
        <v>6</v>
      </c>
    </row>
    <row r="76" spans="1:1">
      <c r="A76" s="9" t="s">
        <v>8</v>
      </c>
    </row>
    <row r="77" spans="1:1">
      <c r="A77" s="6" t="s">
        <v>1392</v>
      </c>
    </row>
    <row r="78" spans="1:1">
      <c r="A78" s="7">
        <v>1</v>
      </c>
    </row>
    <row r="79" spans="1:1">
      <c r="A79" s="9" t="s">
        <v>8</v>
      </c>
    </row>
    <row r="80" spans="1:1">
      <c r="A80" s="7">
        <v>2</v>
      </c>
    </row>
    <row r="81" spans="1:1">
      <c r="A81" s="9" t="s">
        <v>8</v>
      </c>
    </row>
    <row r="82" spans="1:1">
      <c r="A82" s="7">
        <v>3</v>
      </c>
    </row>
    <row r="83" spans="1:1">
      <c r="A83" s="9" t="s">
        <v>8</v>
      </c>
    </row>
    <row r="84" spans="1:1">
      <c r="A84" s="7">
        <v>4</v>
      </c>
    </row>
    <row r="85" spans="1:1">
      <c r="A85" s="9" t="s">
        <v>8</v>
      </c>
    </row>
    <row r="86" spans="1:1">
      <c r="A86" s="7">
        <v>5</v>
      </c>
    </row>
    <row r="87" spans="1:1">
      <c r="A87" s="9" t="s">
        <v>7</v>
      </c>
    </row>
    <row r="88" spans="1:1">
      <c r="A88" s="7">
        <v>6</v>
      </c>
    </row>
    <row r="89" spans="1:1">
      <c r="A89" s="9" t="s">
        <v>7</v>
      </c>
    </row>
    <row r="90" spans="1:1">
      <c r="A90" s="7">
        <v>7</v>
      </c>
    </row>
    <row r="91" spans="1:1">
      <c r="A91" s="9" t="s">
        <v>7</v>
      </c>
    </row>
    <row r="92" spans="1:1">
      <c r="A92" s="7">
        <v>0</v>
      </c>
    </row>
    <row r="93" spans="1:1">
      <c r="A93" s="9" t="s">
        <v>1299</v>
      </c>
    </row>
    <row r="94" spans="1:1">
      <c r="A94" s="6" t="s">
        <v>1300</v>
      </c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L19"/>
  <sheetViews>
    <sheetView workbookViewId="0">
      <selection activeCell="C19" sqref="C19"/>
    </sheetView>
  </sheetViews>
  <sheetFormatPr baseColWidth="10" defaultRowHeight="16"/>
  <cols>
    <col min="1" max="1" width="10.83203125" style="3" customWidth="1"/>
    <col min="2" max="2" width="24.5" style="3" customWidth="1"/>
    <col min="3" max="3" width="50.1640625" style="3" customWidth="1"/>
    <col min="4" max="4" width="17" style="3" customWidth="1"/>
    <col min="5" max="5" width="10.83203125" style="3" customWidth="1"/>
    <col min="6" max="16384" width="10.83203125" style="3"/>
  </cols>
  <sheetData>
    <row r="2" spans="2:12">
      <c r="B2" s="2" t="s">
        <v>1393</v>
      </c>
      <c r="C2" s="2" t="s">
        <v>1394</v>
      </c>
      <c r="D2" s="1" t="s">
        <v>1395</v>
      </c>
      <c r="E2" s="1" t="s">
        <v>1396</v>
      </c>
      <c r="F2" s="1" t="s">
        <v>1397</v>
      </c>
      <c r="I2" s="3" t="s">
        <v>1398</v>
      </c>
    </row>
    <row r="3" spans="2:12">
      <c r="B3" s="2" t="s">
        <v>382</v>
      </c>
      <c r="C3" s="2" t="s">
        <v>1399</v>
      </c>
      <c r="D3" s="4" t="s">
        <v>1400</v>
      </c>
      <c r="E3" s="1"/>
      <c r="F3" s="1" t="s">
        <v>1401</v>
      </c>
      <c r="L3" s="3" t="s">
        <v>1402</v>
      </c>
    </row>
    <row r="4" spans="2:12">
      <c r="B4" s="2" t="s">
        <v>46</v>
      </c>
      <c r="C4" s="2" t="s">
        <v>1403</v>
      </c>
      <c r="D4" s="1" t="s">
        <v>1404</v>
      </c>
      <c r="E4" s="1" t="s">
        <v>1401</v>
      </c>
      <c r="F4" s="1"/>
    </row>
    <row r="5" spans="2:12">
      <c r="B5" s="2" t="s">
        <v>13</v>
      </c>
      <c r="C5" s="2" t="s">
        <v>1405</v>
      </c>
      <c r="D5" s="1" t="s">
        <v>1404</v>
      </c>
      <c r="E5" s="1" t="s">
        <v>1401</v>
      </c>
      <c r="F5" s="1"/>
    </row>
    <row r="6" spans="2:12">
      <c r="B6" s="2" t="s">
        <v>90</v>
      </c>
      <c r="C6" s="2" t="s">
        <v>1406</v>
      </c>
      <c r="D6" s="4" t="s">
        <v>1407</v>
      </c>
      <c r="E6" s="1" t="s">
        <v>1401</v>
      </c>
      <c r="F6" s="1"/>
    </row>
    <row r="7" spans="2:12">
      <c r="B7" s="2" t="s">
        <v>65</v>
      </c>
      <c r="C7" s="2" t="s">
        <v>1408</v>
      </c>
      <c r="D7" s="1" t="s">
        <v>1404</v>
      </c>
      <c r="E7" s="1" t="s">
        <v>1401</v>
      </c>
      <c r="F7" s="1"/>
    </row>
    <row r="8" spans="2:12">
      <c r="B8" s="3" t="s">
        <v>114</v>
      </c>
      <c r="C8" t="s">
        <v>1409</v>
      </c>
      <c r="D8" s="4" t="s">
        <v>1410</v>
      </c>
      <c r="E8" s="1"/>
      <c r="F8" s="1" t="s">
        <v>1401</v>
      </c>
    </row>
    <row r="9" spans="2:12">
      <c r="B9" t="s">
        <v>168</v>
      </c>
      <c r="C9" s="1" t="s">
        <v>1411</v>
      </c>
      <c r="D9" s="4" t="s">
        <v>1407</v>
      </c>
      <c r="E9" s="1"/>
      <c r="F9" s="1" t="s">
        <v>1401</v>
      </c>
    </row>
    <row r="10" spans="2:12">
      <c r="B10" s="1" t="s">
        <v>191</v>
      </c>
      <c r="C10" s="1" t="s">
        <v>1412</v>
      </c>
      <c r="D10" s="1" t="s">
        <v>1413</v>
      </c>
      <c r="E10" s="1"/>
      <c r="F10" s="1" t="s">
        <v>1401</v>
      </c>
    </row>
    <row r="11" spans="2:12">
      <c r="B11" s="1" t="s">
        <v>270</v>
      </c>
      <c r="C11" s="1" t="s">
        <v>1414</v>
      </c>
      <c r="D11" s="1" t="s">
        <v>1410</v>
      </c>
      <c r="E11" s="1"/>
      <c r="F11" s="1" t="s">
        <v>1401</v>
      </c>
    </row>
    <row r="12" spans="2:12">
      <c r="B12" s="1" t="s">
        <v>221</v>
      </c>
      <c r="C12" s="1" t="s">
        <v>1405</v>
      </c>
      <c r="D12" s="4" t="s">
        <v>1410</v>
      </c>
      <c r="E12" s="1"/>
      <c r="F12" s="1" t="s">
        <v>1401</v>
      </c>
    </row>
    <row r="13" spans="2:12">
      <c r="B13" s="1" t="s">
        <v>265</v>
      </c>
      <c r="C13" s="1" t="s">
        <v>1415</v>
      </c>
      <c r="D13" s="1" t="s">
        <v>1404</v>
      </c>
      <c r="E13" s="1"/>
      <c r="F13" s="1" t="s">
        <v>1401</v>
      </c>
    </row>
    <row r="14" spans="2:12">
      <c r="B14" s="1" t="s">
        <v>333</v>
      </c>
      <c r="C14" s="2" t="s">
        <v>1403</v>
      </c>
      <c r="D14" s="1" t="s">
        <v>1404</v>
      </c>
      <c r="E14" s="1"/>
      <c r="F14" s="1" t="s">
        <v>1401</v>
      </c>
    </row>
    <row r="15" spans="2:12">
      <c r="B15" s="1" t="s">
        <v>360</v>
      </c>
      <c r="C15" s="2" t="s">
        <v>1406</v>
      </c>
      <c r="D15" s="4" t="s">
        <v>1407</v>
      </c>
      <c r="E15" s="1"/>
      <c r="F15" s="1" t="s">
        <v>1401</v>
      </c>
    </row>
    <row r="16" spans="2:12">
      <c r="B16" s="1" t="s">
        <v>335</v>
      </c>
      <c r="C16" s="1" t="s">
        <v>1408</v>
      </c>
      <c r="D16" s="4" t="s">
        <v>1407</v>
      </c>
      <c r="E16" s="1"/>
      <c r="F16" s="1" t="s">
        <v>1401</v>
      </c>
    </row>
    <row r="17" spans="2:6">
      <c r="B17" s="1" t="s">
        <v>1306</v>
      </c>
      <c r="C17" s="1" t="s">
        <v>1382</v>
      </c>
      <c r="D17" s="4" t="s">
        <v>1416</v>
      </c>
      <c r="E17" s="1"/>
      <c r="F17" s="1"/>
    </row>
    <row r="18" spans="2:6">
      <c r="B18" s="1" t="s">
        <v>1307</v>
      </c>
      <c r="C18" s="1" t="s">
        <v>1417</v>
      </c>
      <c r="D18" s="4"/>
      <c r="E18" s="1"/>
      <c r="F18" s="1"/>
    </row>
    <row r="19" spans="2:6">
      <c r="B19" s="1" t="s">
        <v>1390</v>
      </c>
      <c r="C19" s="1">
        <f>SUBTOTAL(103,tbl_Junction[Junction Loc])</f>
        <v>16</v>
      </c>
      <c r="D19" s="1"/>
      <c r="E19" s="1">
        <f>SUBTOTAL(103,tbl_Junction[LS])</f>
        <v>4</v>
      </c>
      <c r="F19" s="1"/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3:C18"/>
  <sheetViews>
    <sheetView workbookViewId="0">
      <selection activeCell="C10" sqref="C10"/>
    </sheetView>
  </sheetViews>
  <sheetFormatPr baseColWidth="10" defaultRowHeight="16"/>
  <cols>
    <col min="2" max="3" width="11" customWidth="1"/>
  </cols>
  <sheetData>
    <row r="3" spans="2:3">
      <c r="B3" t="s">
        <v>463</v>
      </c>
      <c r="C3" t="s">
        <v>1351</v>
      </c>
    </row>
    <row r="4" spans="2:3">
      <c r="B4" t="s">
        <v>1353</v>
      </c>
    </row>
    <row r="5" spans="2:3">
      <c r="B5" t="s">
        <v>8</v>
      </c>
      <c r="C5">
        <v>1</v>
      </c>
    </row>
    <row r="6" spans="2:3">
      <c r="B6" t="s">
        <v>7</v>
      </c>
      <c r="C6">
        <v>2</v>
      </c>
    </row>
    <row r="7" spans="2:3">
      <c r="B7" t="s">
        <v>10</v>
      </c>
      <c r="C7">
        <v>3</v>
      </c>
    </row>
    <row r="8" spans="2:3">
      <c r="B8" t="s">
        <v>9</v>
      </c>
      <c r="C8">
        <v>4</v>
      </c>
    </row>
    <row r="9" spans="2:3">
      <c r="B9" t="s">
        <v>1299</v>
      </c>
      <c r="C9">
        <v>0</v>
      </c>
    </row>
    <row r="12" spans="2:3">
      <c r="B12" t="s">
        <v>1301</v>
      </c>
      <c r="C12" t="s">
        <v>1361</v>
      </c>
    </row>
    <row r="13" spans="2:3">
      <c r="B13">
        <v>0</v>
      </c>
      <c r="C13" t="s">
        <v>1332</v>
      </c>
    </row>
    <row r="14" spans="2:3">
      <c r="B14">
        <v>1</v>
      </c>
      <c r="C14" t="s">
        <v>1333</v>
      </c>
    </row>
    <row r="15" spans="2:3">
      <c r="B15">
        <v>2</v>
      </c>
      <c r="C15" t="s">
        <v>1334</v>
      </c>
    </row>
    <row r="16" spans="2:3">
      <c r="B16">
        <v>3</v>
      </c>
      <c r="C16" t="s">
        <v>1335</v>
      </c>
    </row>
    <row r="17" spans="2:3">
      <c r="B17">
        <v>4</v>
      </c>
      <c r="C17" t="s">
        <v>1336</v>
      </c>
    </row>
    <row r="18" spans="2:3">
      <c r="B18">
        <v>5</v>
      </c>
      <c r="C18" t="s">
        <v>1376</v>
      </c>
    </row>
  </sheetData>
  <pageMargins left="0.7" right="0.7" top="0.75" bottom="0.75" header="0.3" footer="0.3"/>
  <pageSetup paperSize="9" orientation="portrait" horizontalDpi="0" verticalDpi="0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3:B5"/>
  <sheetViews>
    <sheetView workbookViewId="0"/>
  </sheetViews>
  <sheetFormatPr baseColWidth="10" defaultRowHeight="16"/>
  <cols>
    <col min="2" max="2" width="19" customWidth="1"/>
  </cols>
  <sheetData>
    <row r="3" spans="2:2">
      <c r="B3" t="s">
        <v>1418</v>
      </c>
    </row>
    <row r="4" spans="2:2">
      <c r="B4" t="s">
        <v>1419</v>
      </c>
    </row>
    <row r="5" spans="2:2">
      <c r="B5" t="s">
        <v>1420</v>
      </c>
    </row>
  </sheetData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filterMode="1"/>
  <dimension ref="A1:P37"/>
  <sheetViews>
    <sheetView workbookViewId="0">
      <selection sqref="A1:C4"/>
    </sheetView>
  </sheetViews>
  <sheetFormatPr baseColWidth="10" defaultColWidth="7.5" defaultRowHeight="13"/>
  <cols>
    <col min="1" max="1" width="6.83203125" style="10" customWidth="1"/>
    <col min="2" max="2" width="11.1640625" style="10" customWidth="1"/>
    <col min="3" max="3" width="13.33203125" style="10" customWidth="1"/>
    <col min="4" max="4" width="47" style="10" customWidth="1"/>
    <col min="5" max="5" width="21.83203125" style="10" customWidth="1"/>
    <col min="6" max="6" width="4.5" style="10" customWidth="1"/>
    <col min="7" max="7" width="4.33203125" style="10" customWidth="1"/>
    <col min="8" max="9" width="4.5" style="10" customWidth="1"/>
    <col min="10" max="10" width="4.33203125" style="10" customWidth="1"/>
    <col min="11" max="11" width="19" style="10" customWidth="1"/>
    <col min="12" max="12" width="16.5" style="10" customWidth="1"/>
    <col min="13" max="13" width="15.5" style="10" customWidth="1"/>
    <col min="14" max="14" width="23.83203125" style="10" customWidth="1"/>
    <col min="15" max="15" width="8.1640625" style="10" customWidth="1"/>
    <col min="16" max="16" width="13.5" style="10" customWidth="1"/>
    <col min="17" max="17" width="7.5" style="10" customWidth="1"/>
    <col min="18" max="16384" width="7.5" style="10"/>
  </cols>
  <sheetData>
    <row r="1" spans="1:16" ht="42.75" customHeight="1">
      <c r="A1" s="135" t="s">
        <v>1421</v>
      </c>
      <c r="B1" s="122"/>
      <c r="C1" s="123"/>
      <c r="D1" s="117" t="s">
        <v>1422</v>
      </c>
      <c r="E1" s="111"/>
      <c r="F1" s="111"/>
      <c r="G1" s="111"/>
      <c r="H1" s="111"/>
      <c r="I1" s="111"/>
      <c r="J1" s="111"/>
      <c r="K1" s="111"/>
      <c r="L1" s="112"/>
      <c r="M1" s="131" t="s">
        <v>1423</v>
      </c>
      <c r="N1" s="122"/>
      <c r="O1" s="122"/>
      <c r="P1" s="123"/>
    </row>
    <row r="2" spans="1:16" ht="25" customHeight="1">
      <c r="A2" s="124"/>
      <c r="B2" s="125"/>
      <c r="C2" s="126"/>
      <c r="D2" s="121" t="s">
        <v>1424</v>
      </c>
      <c r="E2" s="122"/>
      <c r="F2" s="122"/>
      <c r="G2" s="122"/>
      <c r="H2" s="122"/>
      <c r="I2" s="122"/>
      <c r="J2" s="122"/>
      <c r="K2" s="122"/>
      <c r="L2" s="123"/>
      <c r="M2" s="127"/>
      <c r="N2" s="128"/>
      <c r="O2" s="128"/>
      <c r="P2" s="129"/>
    </row>
    <row r="3" spans="1:16" ht="12.5" customHeight="1">
      <c r="A3" s="124"/>
      <c r="B3" s="125"/>
      <c r="C3" s="126"/>
      <c r="D3" s="124"/>
      <c r="E3" s="125"/>
      <c r="F3" s="125"/>
      <c r="G3" s="125"/>
      <c r="H3" s="125"/>
      <c r="I3" s="125"/>
      <c r="J3" s="125"/>
      <c r="K3" s="125"/>
      <c r="L3" s="126"/>
      <c r="M3" s="132" t="s">
        <v>1425</v>
      </c>
      <c r="N3" s="111"/>
      <c r="O3" s="112"/>
      <c r="P3" s="11" t="s">
        <v>438</v>
      </c>
    </row>
    <row r="4" spans="1:16" ht="13" customHeight="1">
      <c r="A4" s="127"/>
      <c r="B4" s="128"/>
      <c r="C4" s="129"/>
      <c r="D4" s="127"/>
      <c r="E4" s="128"/>
      <c r="F4" s="128"/>
      <c r="G4" s="128"/>
      <c r="H4" s="128"/>
      <c r="I4" s="128"/>
      <c r="J4" s="128"/>
      <c r="K4" s="128"/>
      <c r="L4" s="129"/>
      <c r="M4" s="132" t="s">
        <v>1426</v>
      </c>
      <c r="N4" s="111"/>
      <c r="O4" s="112"/>
      <c r="P4" s="12">
        <v>0</v>
      </c>
    </row>
    <row r="5" spans="1:16" ht="14" customHeight="1">
      <c r="A5" s="134" t="s">
        <v>1427</v>
      </c>
      <c r="B5" s="113" t="s">
        <v>1428</v>
      </c>
      <c r="C5" s="119" t="s">
        <v>460</v>
      </c>
      <c r="D5" s="115" t="s">
        <v>461</v>
      </c>
      <c r="E5" s="13" t="s">
        <v>1429</v>
      </c>
      <c r="F5" s="133" t="s">
        <v>1430</v>
      </c>
      <c r="G5" s="111"/>
      <c r="H5" s="111"/>
      <c r="I5" s="111"/>
      <c r="J5" s="112"/>
      <c r="K5" s="118" t="s">
        <v>464</v>
      </c>
      <c r="L5" s="116" t="s">
        <v>465</v>
      </c>
      <c r="M5" s="115" t="s">
        <v>466</v>
      </c>
      <c r="N5" s="115" t="s">
        <v>468</v>
      </c>
      <c r="O5" s="120" t="s">
        <v>1431</v>
      </c>
      <c r="P5" s="116" t="s">
        <v>470</v>
      </c>
    </row>
    <row r="6" spans="1:16" ht="28.25" customHeight="1">
      <c r="A6" s="114"/>
      <c r="B6" s="114"/>
      <c r="C6" s="114"/>
      <c r="D6" s="114"/>
      <c r="E6" s="14" t="s">
        <v>1432</v>
      </c>
      <c r="F6" s="14" t="s">
        <v>7</v>
      </c>
      <c r="G6" s="14" t="s">
        <v>8</v>
      </c>
      <c r="H6" s="14" t="s">
        <v>9</v>
      </c>
      <c r="I6" s="14" t="s">
        <v>10</v>
      </c>
      <c r="J6" s="14" t="s">
        <v>11</v>
      </c>
      <c r="K6" s="114"/>
      <c r="L6" s="114"/>
      <c r="M6" s="114"/>
      <c r="N6" s="114"/>
      <c r="O6" s="114"/>
      <c r="P6" s="114"/>
    </row>
    <row r="7" spans="1:16" ht="11.25" customHeight="1">
      <c r="A7" s="15"/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</row>
    <row r="8" spans="1:16" ht="11" hidden="1" customHeight="1">
      <c r="A8" s="16"/>
      <c r="B8" s="130" t="s">
        <v>1433</v>
      </c>
      <c r="C8" s="111"/>
      <c r="D8" s="111"/>
      <c r="E8" s="111"/>
      <c r="F8" s="111"/>
      <c r="G8" s="111"/>
      <c r="H8" s="111"/>
      <c r="I8" s="111"/>
      <c r="J8" s="111"/>
      <c r="K8" s="111"/>
      <c r="L8" s="111"/>
      <c r="M8" s="111"/>
      <c r="N8" s="111"/>
      <c r="O8" s="111"/>
      <c r="P8" s="112"/>
    </row>
    <row r="9" spans="1:16" ht="9" customHeight="1">
      <c r="A9" s="17">
        <v>1</v>
      </c>
      <c r="B9" s="18" t="s">
        <v>182</v>
      </c>
      <c r="C9" s="18" t="s">
        <v>170</v>
      </c>
      <c r="D9" s="19" t="s">
        <v>1434</v>
      </c>
      <c r="E9" s="19" t="s">
        <v>1435</v>
      </c>
      <c r="F9" s="17">
        <v>1</v>
      </c>
      <c r="G9" s="17">
        <v>2</v>
      </c>
      <c r="H9" s="18" t="s">
        <v>18</v>
      </c>
      <c r="I9" s="18" t="s">
        <v>18</v>
      </c>
      <c r="J9" s="18" t="s">
        <v>18</v>
      </c>
      <c r="K9" s="18" t="s">
        <v>1436</v>
      </c>
      <c r="L9" s="20" t="s">
        <v>475</v>
      </c>
      <c r="M9" s="16"/>
      <c r="N9" s="18" t="s">
        <v>582</v>
      </c>
      <c r="O9" s="18" t="s">
        <v>18</v>
      </c>
      <c r="P9" s="18" t="s">
        <v>18</v>
      </c>
    </row>
    <row r="10" spans="1:16" ht="9" customHeight="1">
      <c r="A10" s="17">
        <v>2</v>
      </c>
      <c r="B10" s="18" t="s">
        <v>183</v>
      </c>
      <c r="C10" s="18" t="s">
        <v>170</v>
      </c>
      <c r="D10" s="19" t="s">
        <v>1437</v>
      </c>
      <c r="E10" s="19" t="s">
        <v>1435</v>
      </c>
      <c r="F10" s="17">
        <v>1</v>
      </c>
      <c r="G10" s="17">
        <v>2</v>
      </c>
      <c r="H10" s="18" t="s">
        <v>18</v>
      </c>
      <c r="I10" s="18" t="s">
        <v>18</v>
      </c>
      <c r="J10" s="18" t="s">
        <v>18</v>
      </c>
      <c r="K10" s="18" t="s">
        <v>1436</v>
      </c>
      <c r="L10" s="18" t="s">
        <v>475</v>
      </c>
      <c r="M10" s="16"/>
      <c r="N10" s="18" t="s">
        <v>582</v>
      </c>
      <c r="O10" s="18" t="s">
        <v>18</v>
      </c>
      <c r="P10" s="18" t="s">
        <v>18</v>
      </c>
    </row>
    <row r="11" spans="1:16" ht="9" customHeight="1">
      <c r="A11" s="17">
        <v>3</v>
      </c>
      <c r="B11" s="18" t="s">
        <v>184</v>
      </c>
      <c r="C11" s="18" t="s">
        <v>172</v>
      </c>
      <c r="D11" s="19" t="s">
        <v>1438</v>
      </c>
      <c r="E11" s="19" t="s">
        <v>1435</v>
      </c>
      <c r="F11" s="17">
        <v>1</v>
      </c>
      <c r="G11" s="17">
        <v>2</v>
      </c>
      <c r="H11" s="18" t="s">
        <v>18</v>
      </c>
      <c r="I11" s="18" t="s">
        <v>18</v>
      </c>
      <c r="J11" s="18" t="s">
        <v>18</v>
      </c>
      <c r="K11" s="18" t="s">
        <v>1436</v>
      </c>
      <c r="L11" s="18" t="s">
        <v>475</v>
      </c>
      <c r="M11" s="16"/>
      <c r="N11" s="18" t="s">
        <v>582</v>
      </c>
      <c r="O11" s="18" t="s">
        <v>18</v>
      </c>
      <c r="P11" s="18" t="s">
        <v>18</v>
      </c>
    </row>
    <row r="12" spans="1:16" ht="9" customHeight="1">
      <c r="A12" s="17">
        <v>4</v>
      </c>
      <c r="B12" s="18" t="s">
        <v>185</v>
      </c>
      <c r="C12" s="18" t="s">
        <v>172</v>
      </c>
      <c r="D12" s="19" t="s">
        <v>1439</v>
      </c>
      <c r="E12" s="19" t="s">
        <v>1435</v>
      </c>
      <c r="F12" s="17">
        <v>1</v>
      </c>
      <c r="G12" s="17">
        <v>2</v>
      </c>
      <c r="H12" s="18" t="s">
        <v>18</v>
      </c>
      <c r="I12" s="18" t="s">
        <v>18</v>
      </c>
      <c r="J12" s="18" t="s">
        <v>18</v>
      </c>
      <c r="K12" s="18" t="s">
        <v>1436</v>
      </c>
      <c r="L12" s="18" t="s">
        <v>475</v>
      </c>
      <c r="M12" s="16"/>
      <c r="N12" s="18" t="s">
        <v>582</v>
      </c>
      <c r="O12" s="18" t="s">
        <v>18</v>
      </c>
      <c r="P12" s="18" t="s">
        <v>18</v>
      </c>
    </row>
    <row r="13" spans="1:16" ht="9" customHeight="1">
      <c r="A13" s="17">
        <v>5</v>
      </c>
      <c r="B13" s="18" t="s">
        <v>186</v>
      </c>
      <c r="C13" s="18" t="s">
        <v>172</v>
      </c>
      <c r="D13" s="19" t="s">
        <v>1440</v>
      </c>
      <c r="E13" s="19" t="s">
        <v>1435</v>
      </c>
      <c r="F13" s="17">
        <v>1</v>
      </c>
      <c r="G13" s="17">
        <v>2</v>
      </c>
      <c r="H13" s="18" t="s">
        <v>18</v>
      </c>
      <c r="I13" s="18" t="s">
        <v>18</v>
      </c>
      <c r="J13" s="18" t="s">
        <v>18</v>
      </c>
      <c r="K13" s="18" t="s">
        <v>1436</v>
      </c>
      <c r="L13" s="18" t="s">
        <v>475</v>
      </c>
      <c r="M13" s="16"/>
      <c r="N13" s="18" t="s">
        <v>582</v>
      </c>
      <c r="O13" s="18" t="s">
        <v>18</v>
      </c>
      <c r="P13" s="18" t="s">
        <v>18</v>
      </c>
    </row>
    <row r="14" spans="1:16" ht="9" customHeight="1">
      <c r="A14" s="17">
        <v>6</v>
      </c>
      <c r="B14" s="18" t="s">
        <v>187</v>
      </c>
      <c r="C14" s="18" t="s">
        <v>172</v>
      </c>
      <c r="D14" s="19" t="s">
        <v>1441</v>
      </c>
      <c r="E14" s="19" t="s">
        <v>1435</v>
      </c>
      <c r="F14" s="17">
        <v>1</v>
      </c>
      <c r="G14" s="17">
        <v>2</v>
      </c>
      <c r="H14" s="18" t="s">
        <v>18</v>
      </c>
      <c r="I14" s="18" t="s">
        <v>18</v>
      </c>
      <c r="J14" s="18" t="s">
        <v>18</v>
      </c>
      <c r="K14" s="18" t="s">
        <v>1436</v>
      </c>
      <c r="L14" s="18" t="s">
        <v>475</v>
      </c>
      <c r="M14" s="16"/>
      <c r="N14" s="18" t="s">
        <v>582</v>
      </c>
      <c r="O14" s="18" t="s">
        <v>18</v>
      </c>
      <c r="P14" s="18" t="s">
        <v>18</v>
      </c>
    </row>
    <row r="15" spans="1:16" ht="9" customHeight="1">
      <c r="A15" s="17">
        <v>7</v>
      </c>
      <c r="B15" s="18" t="s">
        <v>188</v>
      </c>
      <c r="C15" s="18" t="s">
        <v>172</v>
      </c>
      <c r="D15" s="19" t="s">
        <v>1442</v>
      </c>
      <c r="E15" s="19" t="s">
        <v>1435</v>
      </c>
      <c r="F15" s="17">
        <v>1</v>
      </c>
      <c r="G15" s="17">
        <v>2</v>
      </c>
      <c r="H15" s="18" t="s">
        <v>18</v>
      </c>
      <c r="I15" s="18" t="s">
        <v>18</v>
      </c>
      <c r="J15" s="18" t="s">
        <v>18</v>
      </c>
      <c r="K15" s="18" t="s">
        <v>1436</v>
      </c>
      <c r="L15" s="20" t="s">
        <v>475</v>
      </c>
      <c r="M15" s="16"/>
      <c r="N15" s="18" t="s">
        <v>582</v>
      </c>
      <c r="O15" s="18" t="s">
        <v>18</v>
      </c>
      <c r="P15" s="18" t="s">
        <v>18</v>
      </c>
    </row>
    <row r="16" spans="1:16" ht="9" customHeight="1">
      <c r="A16" s="17">
        <v>8</v>
      </c>
      <c r="B16" s="18" t="s">
        <v>181</v>
      </c>
      <c r="C16" s="18" t="s">
        <v>172</v>
      </c>
      <c r="D16" s="19" t="s">
        <v>1443</v>
      </c>
      <c r="E16" s="19" t="s">
        <v>1435</v>
      </c>
      <c r="F16" s="17">
        <v>1</v>
      </c>
      <c r="G16" s="17">
        <v>2</v>
      </c>
      <c r="H16" s="18" t="s">
        <v>18</v>
      </c>
      <c r="I16" s="18" t="s">
        <v>18</v>
      </c>
      <c r="J16" s="18" t="s">
        <v>18</v>
      </c>
      <c r="K16" s="18" t="s">
        <v>1436</v>
      </c>
      <c r="L16" s="20" t="s">
        <v>475</v>
      </c>
      <c r="M16" s="16"/>
      <c r="N16" s="18" t="s">
        <v>582</v>
      </c>
      <c r="O16" s="18" t="s">
        <v>18</v>
      </c>
      <c r="P16" s="18" t="s">
        <v>18</v>
      </c>
    </row>
    <row r="17" spans="1:16" ht="9" customHeight="1">
      <c r="A17" s="17">
        <v>9</v>
      </c>
      <c r="B17" s="18" t="s">
        <v>189</v>
      </c>
      <c r="C17" s="18" t="s">
        <v>172</v>
      </c>
      <c r="D17" s="19" t="s">
        <v>1444</v>
      </c>
      <c r="E17" s="19" t="s">
        <v>1435</v>
      </c>
      <c r="F17" s="17">
        <v>1</v>
      </c>
      <c r="G17" s="17">
        <v>2</v>
      </c>
      <c r="H17" s="18" t="s">
        <v>18</v>
      </c>
      <c r="I17" s="18" t="s">
        <v>18</v>
      </c>
      <c r="J17" s="18" t="s">
        <v>18</v>
      </c>
      <c r="K17" s="18" t="s">
        <v>1436</v>
      </c>
      <c r="L17" s="20" t="s">
        <v>475</v>
      </c>
      <c r="M17" s="16"/>
      <c r="N17" s="18" t="s">
        <v>582</v>
      </c>
      <c r="O17" s="18" t="s">
        <v>18</v>
      </c>
      <c r="P17" s="18" t="s">
        <v>18</v>
      </c>
    </row>
    <row r="18" spans="1:16" ht="9" hidden="1" customHeight="1">
      <c r="A18" s="17">
        <v>10</v>
      </c>
      <c r="B18" s="18" t="s">
        <v>175</v>
      </c>
      <c r="C18" s="18" t="s">
        <v>170</v>
      </c>
      <c r="D18" s="19" t="s">
        <v>572</v>
      </c>
      <c r="E18" s="19" t="s">
        <v>1445</v>
      </c>
      <c r="F18" s="18" t="s">
        <v>18</v>
      </c>
      <c r="G18" s="17">
        <v>1</v>
      </c>
      <c r="H18" s="18" t="s">
        <v>18</v>
      </c>
      <c r="I18" s="18" t="s">
        <v>18</v>
      </c>
      <c r="J18" s="18" t="s">
        <v>18</v>
      </c>
      <c r="K18" s="18" t="s">
        <v>502</v>
      </c>
      <c r="L18" s="18" t="s">
        <v>475</v>
      </c>
      <c r="M18" s="16"/>
      <c r="N18" s="18" t="s">
        <v>504</v>
      </c>
      <c r="O18" s="18" t="s">
        <v>18</v>
      </c>
      <c r="P18" s="18" t="s">
        <v>18</v>
      </c>
    </row>
    <row r="19" spans="1:16" ht="9" hidden="1" customHeight="1">
      <c r="A19" s="17">
        <v>11</v>
      </c>
      <c r="B19" s="18" t="s">
        <v>176</v>
      </c>
      <c r="C19" s="18" t="s">
        <v>172</v>
      </c>
      <c r="D19" s="19" t="s">
        <v>572</v>
      </c>
      <c r="E19" s="19" t="s">
        <v>1445</v>
      </c>
      <c r="F19" s="18" t="s">
        <v>18</v>
      </c>
      <c r="G19" s="17">
        <v>1</v>
      </c>
      <c r="H19" s="18" t="s">
        <v>18</v>
      </c>
      <c r="I19" s="18" t="s">
        <v>18</v>
      </c>
      <c r="J19" s="18" t="s">
        <v>18</v>
      </c>
      <c r="K19" s="18" t="s">
        <v>502</v>
      </c>
      <c r="L19" s="18" t="s">
        <v>475</v>
      </c>
      <c r="M19" s="16"/>
      <c r="N19" s="18" t="s">
        <v>504</v>
      </c>
      <c r="O19" s="18" t="s">
        <v>18</v>
      </c>
      <c r="P19" s="18" t="s">
        <v>18</v>
      </c>
    </row>
    <row r="20" spans="1:16" ht="9" hidden="1" customHeight="1">
      <c r="A20" s="17">
        <v>12</v>
      </c>
      <c r="B20" s="18" t="s">
        <v>1446</v>
      </c>
      <c r="C20" s="18" t="s">
        <v>170</v>
      </c>
      <c r="D20" s="19" t="s">
        <v>1447</v>
      </c>
      <c r="E20" s="19" t="s">
        <v>1448</v>
      </c>
      <c r="F20" s="18" t="s">
        <v>18</v>
      </c>
      <c r="G20" s="18" t="s">
        <v>18</v>
      </c>
      <c r="H20" s="18" t="s">
        <v>18</v>
      </c>
      <c r="I20" s="18" t="s">
        <v>18</v>
      </c>
      <c r="J20" s="18" t="s">
        <v>18</v>
      </c>
      <c r="K20" s="16"/>
      <c r="L20" s="16"/>
      <c r="M20" s="16"/>
      <c r="N20" s="16"/>
      <c r="O20" s="18" t="s">
        <v>18</v>
      </c>
      <c r="P20" s="18" t="s">
        <v>18</v>
      </c>
    </row>
    <row r="21" spans="1:16" ht="9" hidden="1" customHeight="1">
      <c r="A21" s="17">
        <v>13</v>
      </c>
      <c r="B21" s="18" t="s">
        <v>1449</v>
      </c>
      <c r="C21" s="18" t="s">
        <v>172</v>
      </c>
      <c r="D21" s="19" t="s">
        <v>1447</v>
      </c>
      <c r="E21" s="19" t="s">
        <v>1448</v>
      </c>
      <c r="F21" s="18" t="s">
        <v>18</v>
      </c>
      <c r="G21" s="18" t="s">
        <v>18</v>
      </c>
      <c r="H21" s="18" t="s">
        <v>18</v>
      </c>
      <c r="I21" s="18" t="s">
        <v>18</v>
      </c>
      <c r="J21" s="18" t="s">
        <v>18</v>
      </c>
      <c r="K21" s="16"/>
      <c r="L21" s="16"/>
      <c r="M21" s="16"/>
      <c r="N21" s="16"/>
      <c r="O21" s="18" t="s">
        <v>18</v>
      </c>
      <c r="P21" s="18" t="s">
        <v>18</v>
      </c>
    </row>
    <row r="22" spans="1:16" ht="9" hidden="1" customHeight="1">
      <c r="A22" s="17">
        <v>14</v>
      </c>
      <c r="B22" s="18" t="s">
        <v>1450</v>
      </c>
      <c r="C22" s="18" t="s">
        <v>172</v>
      </c>
      <c r="D22" s="19" t="s">
        <v>1444</v>
      </c>
      <c r="E22" s="19" t="s">
        <v>1448</v>
      </c>
      <c r="F22" s="18" t="s">
        <v>18</v>
      </c>
      <c r="G22" s="18" t="s">
        <v>18</v>
      </c>
      <c r="H22" s="18" t="s">
        <v>18</v>
      </c>
      <c r="I22" s="18" t="s">
        <v>18</v>
      </c>
      <c r="J22" s="18" t="s">
        <v>18</v>
      </c>
      <c r="K22" s="16"/>
      <c r="L22" s="16"/>
      <c r="M22" s="16"/>
      <c r="N22" s="16"/>
      <c r="O22" s="18" t="s">
        <v>18</v>
      </c>
      <c r="P22" s="18" t="s">
        <v>18</v>
      </c>
    </row>
    <row r="23" spans="1:16" ht="9" hidden="1" customHeight="1">
      <c r="A23" s="17">
        <v>15</v>
      </c>
      <c r="B23" s="18" t="s">
        <v>177</v>
      </c>
      <c r="C23" s="18" t="s">
        <v>172</v>
      </c>
      <c r="D23" s="19" t="s">
        <v>1451</v>
      </c>
      <c r="E23" s="19" t="s">
        <v>629</v>
      </c>
      <c r="F23" s="18" t="s">
        <v>18</v>
      </c>
      <c r="G23" s="18" t="s">
        <v>18</v>
      </c>
      <c r="H23" s="18" t="s">
        <v>18</v>
      </c>
      <c r="I23" s="21">
        <v>1</v>
      </c>
      <c r="J23" s="18" t="s">
        <v>18</v>
      </c>
      <c r="K23" s="18" t="s">
        <v>474</v>
      </c>
      <c r="L23" s="18" t="s">
        <v>475</v>
      </c>
      <c r="M23" s="20" t="s">
        <v>1452</v>
      </c>
      <c r="N23" s="18" t="s">
        <v>1453</v>
      </c>
      <c r="O23" s="18" t="s">
        <v>18</v>
      </c>
      <c r="P23" s="18" t="s">
        <v>18</v>
      </c>
    </row>
    <row r="24" spans="1:16" ht="9" hidden="1" customHeight="1">
      <c r="A24" s="17">
        <v>16</v>
      </c>
      <c r="B24" s="18" t="s">
        <v>1454</v>
      </c>
      <c r="C24" s="18" t="s">
        <v>172</v>
      </c>
      <c r="D24" s="19" t="s">
        <v>1444</v>
      </c>
      <c r="E24" s="19" t="s">
        <v>1455</v>
      </c>
      <c r="F24" s="18" t="s">
        <v>18</v>
      </c>
      <c r="G24" s="18" t="s">
        <v>18</v>
      </c>
      <c r="H24" s="18" t="s">
        <v>18</v>
      </c>
      <c r="I24" s="18" t="s">
        <v>18</v>
      </c>
      <c r="J24" s="18" t="s">
        <v>18</v>
      </c>
      <c r="K24" s="16"/>
      <c r="L24" s="16"/>
      <c r="M24" s="16"/>
      <c r="N24" s="16"/>
      <c r="O24" s="18" t="s">
        <v>18</v>
      </c>
      <c r="P24" s="18" t="s">
        <v>18</v>
      </c>
    </row>
    <row r="25" spans="1:16" ht="9" hidden="1" customHeight="1">
      <c r="A25" s="17">
        <v>17</v>
      </c>
      <c r="B25" s="18" t="s">
        <v>178</v>
      </c>
      <c r="C25" s="18" t="s">
        <v>172</v>
      </c>
      <c r="D25" s="19" t="s">
        <v>1456</v>
      </c>
      <c r="E25" s="19" t="s">
        <v>700</v>
      </c>
      <c r="F25" s="18" t="s">
        <v>18</v>
      </c>
      <c r="G25" s="18" t="s">
        <v>18</v>
      </c>
      <c r="H25" s="18" t="s">
        <v>18</v>
      </c>
      <c r="I25" s="21">
        <v>1</v>
      </c>
      <c r="J25" s="18" t="s">
        <v>18</v>
      </c>
      <c r="K25" s="18" t="s">
        <v>474</v>
      </c>
      <c r="L25" s="20" t="s">
        <v>475</v>
      </c>
      <c r="M25" s="20" t="s">
        <v>1457</v>
      </c>
      <c r="N25" s="18" t="s">
        <v>1453</v>
      </c>
      <c r="O25" s="18" t="s">
        <v>18</v>
      </c>
      <c r="P25" s="18" t="s">
        <v>18</v>
      </c>
    </row>
    <row r="26" spans="1:16" ht="9" hidden="1" customHeight="1">
      <c r="A26" s="17">
        <v>18</v>
      </c>
      <c r="B26" s="18" t="s">
        <v>179</v>
      </c>
      <c r="C26" s="18" t="s">
        <v>172</v>
      </c>
      <c r="D26" s="19" t="s">
        <v>1458</v>
      </c>
      <c r="E26" s="19" t="s">
        <v>700</v>
      </c>
      <c r="F26" s="18" t="s">
        <v>18</v>
      </c>
      <c r="G26" s="18" t="s">
        <v>18</v>
      </c>
      <c r="H26" s="18" t="s">
        <v>18</v>
      </c>
      <c r="I26" s="21">
        <v>1</v>
      </c>
      <c r="J26" s="18" t="s">
        <v>18</v>
      </c>
      <c r="K26" s="18" t="s">
        <v>474</v>
      </c>
      <c r="L26" s="20" t="s">
        <v>475</v>
      </c>
      <c r="M26" s="20" t="s">
        <v>1459</v>
      </c>
      <c r="N26" s="18" t="s">
        <v>1453</v>
      </c>
      <c r="O26" s="18" t="s">
        <v>18</v>
      </c>
      <c r="P26" s="18" t="s">
        <v>18</v>
      </c>
    </row>
    <row r="27" spans="1:16" ht="9" hidden="1" customHeight="1">
      <c r="A27" s="17">
        <v>19</v>
      </c>
      <c r="B27" s="18" t="s">
        <v>1460</v>
      </c>
      <c r="C27" s="18" t="s">
        <v>172</v>
      </c>
      <c r="D27" s="19" t="s">
        <v>1461</v>
      </c>
      <c r="E27" s="19" t="s">
        <v>1462</v>
      </c>
      <c r="F27" s="18" t="s">
        <v>18</v>
      </c>
      <c r="G27" s="18" t="s">
        <v>18</v>
      </c>
      <c r="H27" s="17">
        <v>1</v>
      </c>
      <c r="I27" s="21">
        <v>1</v>
      </c>
      <c r="J27" s="18" t="s">
        <v>18</v>
      </c>
      <c r="K27" s="18" t="s">
        <v>474</v>
      </c>
      <c r="L27" s="20" t="s">
        <v>475</v>
      </c>
      <c r="M27" s="16"/>
      <c r="N27" s="18" t="s">
        <v>1463</v>
      </c>
      <c r="O27" s="18" t="s">
        <v>18</v>
      </c>
      <c r="P27" s="18" t="s">
        <v>18</v>
      </c>
    </row>
    <row r="28" spans="1:16" ht="9" hidden="1" customHeight="1">
      <c r="A28" s="17">
        <v>20</v>
      </c>
      <c r="B28" s="18" t="s">
        <v>173</v>
      </c>
      <c r="C28" s="18" t="s">
        <v>172</v>
      </c>
      <c r="D28" s="19" t="s">
        <v>1464</v>
      </c>
      <c r="E28" s="19" t="s">
        <v>1465</v>
      </c>
      <c r="F28" s="18" t="s">
        <v>18</v>
      </c>
      <c r="G28" s="18" t="s">
        <v>18</v>
      </c>
      <c r="H28" s="18" t="s">
        <v>18</v>
      </c>
      <c r="I28" s="21">
        <v>2</v>
      </c>
      <c r="J28" s="18" t="s">
        <v>18</v>
      </c>
      <c r="K28" s="18" t="s">
        <v>474</v>
      </c>
      <c r="L28" s="20" t="s">
        <v>475</v>
      </c>
      <c r="M28" s="20" t="s">
        <v>1466</v>
      </c>
      <c r="N28" s="18" t="s">
        <v>1467</v>
      </c>
      <c r="O28" s="18" t="s">
        <v>18</v>
      </c>
      <c r="P28" s="18" t="s">
        <v>18</v>
      </c>
    </row>
    <row r="29" spans="1:16" ht="9" hidden="1" customHeight="1">
      <c r="A29" s="17">
        <v>21</v>
      </c>
      <c r="B29" s="18" t="s">
        <v>174</v>
      </c>
      <c r="C29" s="18" t="s">
        <v>172</v>
      </c>
      <c r="D29" s="19" t="s">
        <v>1444</v>
      </c>
      <c r="E29" s="19" t="s">
        <v>1468</v>
      </c>
      <c r="F29" s="18" t="s">
        <v>18</v>
      </c>
      <c r="G29" s="17">
        <v>1</v>
      </c>
      <c r="H29" s="18" t="s">
        <v>18</v>
      </c>
      <c r="I29" s="21">
        <v>1</v>
      </c>
      <c r="J29" s="18" t="s">
        <v>18</v>
      </c>
      <c r="K29" s="18" t="s">
        <v>509</v>
      </c>
      <c r="L29" s="20" t="s">
        <v>475</v>
      </c>
      <c r="M29" s="20" t="s">
        <v>1469</v>
      </c>
      <c r="N29" s="18" t="s">
        <v>1467</v>
      </c>
      <c r="O29" s="18" t="s">
        <v>18</v>
      </c>
      <c r="P29" s="18" t="s">
        <v>18</v>
      </c>
    </row>
    <row r="30" spans="1:16" ht="9" hidden="1" customHeight="1">
      <c r="A30" s="17">
        <v>22</v>
      </c>
      <c r="B30" s="18" t="s">
        <v>167</v>
      </c>
      <c r="C30" s="18" t="s">
        <v>170</v>
      </c>
      <c r="D30" s="19" t="s">
        <v>1470</v>
      </c>
      <c r="E30" s="19" t="s">
        <v>498</v>
      </c>
      <c r="F30" s="18" t="s">
        <v>18</v>
      </c>
      <c r="G30" s="17">
        <v>1</v>
      </c>
      <c r="H30" s="18" t="s">
        <v>18</v>
      </c>
      <c r="I30" s="18" t="s">
        <v>18</v>
      </c>
      <c r="J30" s="18" t="s">
        <v>18</v>
      </c>
      <c r="K30" s="18" t="s">
        <v>502</v>
      </c>
      <c r="L30" s="20" t="s">
        <v>475</v>
      </c>
      <c r="M30" s="16"/>
      <c r="N30" s="18" t="s">
        <v>504</v>
      </c>
      <c r="O30" s="18" t="s">
        <v>18</v>
      </c>
      <c r="P30" s="18" t="s">
        <v>18</v>
      </c>
    </row>
    <row r="31" spans="1:16" ht="9" hidden="1" customHeight="1">
      <c r="A31" s="17">
        <v>23</v>
      </c>
      <c r="B31" s="18" t="s">
        <v>171</v>
      </c>
      <c r="C31" s="18" t="s">
        <v>172</v>
      </c>
      <c r="D31" s="19" t="s">
        <v>1470</v>
      </c>
      <c r="E31" s="19" t="s">
        <v>498</v>
      </c>
      <c r="F31" s="18" t="s">
        <v>18</v>
      </c>
      <c r="G31" s="17">
        <v>1</v>
      </c>
      <c r="H31" s="18" t="s">
        <v>18</v>
      </c>
      <c r="I31" s="18" t="s">
        <v>18</v>
      </c>
      <c r="J31" s="18" t="s">
        <v>18</v>
      </c>
      <c r="K31" s="18" t="s">
        <v>502</v>
      </c>
      <c r="L31" s="20" t="s">
        <v>475</v>
      </c>
      <c r="M31" s="16"/>
      <c r="N31" s="18" t="s">
        <v>504</v>
      </c>
      <c r="O31" s="18" t="s">
        <v>18</v>
      </c>
      <c r="P31" s="18" t="s">
        <v>18</v>
      </c>
    </row>
    <row r="32" spans="1:16" ht="11" hidden="1" customHeight="1">
      <c r="A32" s="16"/>
      <c r="B32" s="110" t="s">
        <v>838</v>
      </c>
      <c r="C32" s="111"/>
      <c r="D32" s="111"/>
      <c r="E32" s="111"/>
      <c r="F32" s="111"/>
      <c r="G32" s="111"/>
      <c r="H32" s="111"/>
      <c r="I32" s="111"/>
      <c r="J32" s="111"/>
      <c r="K32" s="111"/>
      <c r="L32" s="111"/>
      <c r="M32" s="111"/>
      <c r="N32" s="111"/>
      <c r="O32" s="111"/>
      <c r="P32" s="112"/>
    </row>
    <row r="33" spans="1:16" ht="10.5" hidden="1" customHeight="1">
      <c r="A33" s="17">
        <v>24</v>
      </c>
      <c r="B33" s="18" t="s">
        <v>1471</v>
      </c>
      <c r="C33" s="18" t="s">
        <v>170</v>
      </c>
      <c r="D33" s="19" t="s">
        <v>1472</v>
      </c>
      <c r="E33" s="16"/>
      <c r="F33" s="17">
        <v>1</v>
      </c>
      <c r="G33" s="17">
        <v>1</v>
      </c>
      <c r="H33" s="18" t="s">
        <v>18</v>
      </c>
      <c r="I33" s="18" t="s">
        <v>18</v>
      </c>
      <c r="J33" s="17">
        <v>1</v>
      </c>
      <c r="K33" s="18" t="s">
        <v>675</v>
      </c>
      <c r="L33" s="18" t="s">
        <v>475</v>
      </c>
      <c r="M33" s="18" t="s">
        <v>569</v>
      </c>
      <c r="N33" s="16"/>
      <c r="O33" s="16"/>
      <c r="P33" s="16"/>
    </row>
    <row r="34" spans="1:16" ht="10.5" hidden="1" customHeight="1">
      <c r="A34" s="17">
        <v>25</v>
      </c>
      <c r="B34" s="18" t="s">
        <v>1473</v>
      </c>
      <c r="C34" s="18" t="s">
        <v>170</v>
      </c>
      <c r="D34" s="19" t="s">
        <v>1474</v>
      </c>
      <c r="E34" s="16"/>
      <c r="F34" s="17">
        <v>1</v>
      </c>
      <c r="G34" s="17">
        <v>1</v>
      </c>
      <c r="H34" s="18" t="s">
        <v>18</v>
      </c>
      <c r="I34" s="18" t="s">
        <v>18</v>
      </c>
      <c r="J34" s="17">
        <v>1</v>
      </c>
      <c r="K34" s="18" t="s">
        <v>675</v>
      </c>
      <c r="L34" s="18" t="s">
        <v>475</v>
      </c>
      <c r="M34" s="18" t="s">
        <v>569</v>
      </c>
      <c r="N34" s="16"/>
      <c r="O34" s="16"/>
      <c r="P34" s="16"/>
    </row>
    <row r="35" spans="1:16" ht="10.25" customHeight="1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</row>
    <row r="37" spans="1:16">
      <c r="F37" s="22">
        <f>SUM(F9:F36)</f>
        <v>11</v>
      </c>
      <c r="G37" s="22">
        <f>SUM(G9:G36)</f>
        <v>25</v>
      </c>
      <c r="H37" s="22">
        <f>SUM(H9:H36)</f>
        <v>1</v>
      </c>
      <c r="I37" s="22">
        <f>SUM(I9:I36)</f>
        <v>7</v>
      </c>
      <c r="J37" s="22">
        <f>SUM(J9:J36)</f>
        <v>2</v>
      </c>
    </row>
  </sheetData>
  <autoFilter ref="A7:P34" xr:uid="{00000000-0009-0000-0000-000009000000}">
    <filterColumn colId="1">
      <filters>
        <filter val="XV-40203F"/>
        <filter val="XV-40204B"/>
        <filter val="XV-40204C"/>
        <filter val="XV-40205A"/>
        <filter val="XV-40205B"/>
        <filter val="XV-40205C"/>
        <filter val="XV-40205D"/>
        <filter val="XV-40205F"/>
        <filter val="XV-40222"/>
      </filters>
    </filterColumn>
  </autoFilter>
  <mergeCells count="19">
    <mergeCell ref="A5:A6"/>
    <mergeCell ref="A1:C4"/>
    <mergeCell ref="M4:O4"/>
    <mergeCell ref="B32:P32"/>
    <mergeCell ref="B5:B6"/>
    <mergeCell ref="D5:D6"/>
    <mergeCell ref="P5:P6"/>
    <mergeCell ref="D1:L1"/>
    <mergeCell ref="K5:K6"/>
    <mergeCell ref="C5:C6"/>
    <mergeCell ref="O5:O6"/>
    <mergeCell ref="D2:L4"/>
    <mergeCell ref="B8:P8"/>
    <mergeCell ref="M1:P2"/>
    <mergeCell ref="L5:L6"/>
    <mergeCell ref="N5:N6"/>
    <mergeCell ref="M3:O3"/>
    <mergeCell ref="F5:J5"/>
    <mergeCell ref="M5:M6"/>
  </mergeCells>
  <pageMargins left="0.7" right="0.7" top="0.75" bottom="0.75" header="0.3" footer="0.3"/>
  <pageSetup paperSize="9" orientation="portrait" horizontalDpi="0" verticalDpi="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F130"/>
  <sheetViews>
    <sheetView topLeftCell="A6" zoomScale="231" workbookViewId="0">
      <selection activeCell="B3" sqref="B3"/>
    </sheetView>
  </sheetViews>
  <sheetFormatPr baseColWidth="10" defaultRowHeight="16"/>
  <cols>
    <col min="1" max="1" width="10.83203125" customWidth="1"/>
    <col min="2" max="2" width="19.1640625" bestFit="1" customWidth="1"/>
    <col min="3" max="3" width="11.1640625" customWidth="1"/>
    <col min="4" max="4" width="16.1640625" style="82" customWidth="1"/>
    <col min="5" max="5" width="10.83203125" customWidth="1"/>
  </cols>
  <sheetData>
    <row r="2" spans="2:6">
      <c r="B2" t="s">
        <v>463</v>
      </c>
      <c r="C2" t="s">
        <v>1475</v>
      </c>
      <c r="D2" t="s">
        <v>1476</v>
      </c>
      <c r="E2" s="82" t="s">
        <v>1477</v>
      </c>
      <c r="F2" t="s">
        <v>1343</v>
      </c>
    </row>
    <row r="3" spans="2:6">
      <c r="B3" s="6" t="str">
        <f>Table8[[#This Row],[Card Model]]&amp;"-"&amp;Table8[[#This Row],[Signal//Chanel]]</f>
        <v>1756-IB32-GND-0</v>
      </c>
      <c r="C3" s="6" t="s">
        <v>1313</v>
      </c>
      <c r="D3" s="6"/>
      <c r="E3" s="82" t="s">
        <v>1478</v>
      </c>
      <c r="F3">
        <v>17</v>
      </c>
    </row>
    <row r="4" spans="2:6">
      <c r="B4" s="6" t="str">
        <f>Table8[[#This Row],[Card Model]]&amp;"-"&amp;Table8[[#This Row],[Signal//Chanel]]</f>
        <v>1756-IB32-GND-0</v>
      </c>
      <c r="C4" s="6" t="s">
        <v>1313</v>
      </c>
      <c r="D4" s="6"/>
      <c r="E4" s="82" t="s">
        <v>1478</v>
      </c>
      <c r="F4">
        <v>18</v>
      </c>
    </row>
    <row r="5" spans="2:6">
      <c r="B5" s="6" t="str">
        <f>Table8[[#This Row],[Card Model]]&amp;"-"&amp;Table8[[#This Row],[Signal//Chanel]]</f>
        <v>1756-IB32-GND1</v>
      </c>
      <c r="C5" s="6" t="s">
        <v>1313</v>
      </c>
      <c r="D5" s="6"/>
      <c r="E5" s="82" t="s">
        <v>1479</v>
      </c>
      <c r="F5">
        <v>35</v>
      </c>
    </row>
    <row r="6" spans="2:6">
      <c r="B6" s="6" t="str">
        <f>Table8[[#This Row],[Card Model]]&amp;"-"&amp;Table8[[#This Row],[Signal//Chanel]]</f>
        <v>1756-IB32-GND1</v>
      </c>
      <c r="C6" s="6" t="s">
        <v>1313</v>
      </c>
      <c r="D6" s="6"/>
      <c r="E6" s="82" t="s">
        <v>1479</v>
      </c>
      <c r="F6">
        <v>36</v>
      </c>
    </row>
    <row r="7" spans="2:6">
      <c r="B7" s="6" t="str">
        <f>Table8[[#This Row],[Card Model]]&amp;"-"&amp;Table8[[#This Row],[Signal//Chanel]]</f>
        <v>1756-IB32-IN-0</v>
      </c>
      <c r="C7" s="6" t="s">
        <v>1313</v>
      </c>
      <c r="D7" s="6" t="s">
        <v>1314</v>
      </c>
      <c r="E7" s="82" t="s">
        <v>1480</v>
      </c>
      <c r="F7">
        <v>1</v>
      </c>
    </row>
    <row r="8" spans="2:6">
      <c r="B8" s="6" t="str">
        <f>Table8[[#This Row],[Card Model]]&amp;"-"&amp;Table8[[#This Row],[Signal//Chanel]]</f>
        <v>1756-IB32-IN-1</v>
      </c>
      <c r="C8" s="6" t="s">
        <v>1313</v>
      </c>
      <c r="D8" s="6" t="s">
        <v>1314</v>
      </c>
      <c r="E8" s="82" t="s">
        <v>1481</v>
      </c>
      <c r="F8">
        <v>2</v>
      </c>
    </row>
    <row r="9" spans="2:6">
      <c r="B9" s="6" t="str">
        <f>Table8[[#This Row],[Card Model]]&amp;"-"&amp;Table8[[#This Row],[Signal//Chanel]]</f>
        <v>1756-IB32-IN-10</v>
      </c>
      <c r="C9" s="6" t="s">
        <v>1313</v>
      </c>
      <c r="D9" s="6" t="s">
        <v>1314</v>
      </c>
      <c r="E9" s="82" t="s">
        <v>1482</v>
      </c>
      <c r="F9">
        <v>11</v>
      </c>
    </row>
    <row r="10" spans="2:6">
      <c r="B10" s="6" t="str">
        <f>Table8[[#This Row],[Card Model]]&amp;"-"&amp;Table8[[#This Row],[Signal//Chanel]]</f>
        <v>1756-IB32-IN-11</v>
      </c>
      <c r="C10" s="6" t="s">
        <v>1313</v>
      </c>
      <c r="D10" s="6" t="s">
        <v>1314</v>
      </c>
      <c r="E10" s="82" t="s">
        <v>1483</v>
      </c>
      <c r="F10">
        <v>12</v>
      </c>
    </row>
    <row r="11" spans="2:6">
      <c r="B11" s="6" t="str">
        <f>Table8[[#This Row],[Card Model]]&amp;"-"&amp;Table8[[#This Row],[Signal//Chanel]]</f>
        <v>1756-IB32-IN-12</v>
      </c>
      <c r="C11" s="6" t="s">
        <v>1313</v>
      </c>
      <c r="D11" s="6" t="s">
        <v>1314</v>
      </c>
      <c r="E11" s="82" t="s">
        <v>1484</v>
      </c>
      <c r="F11">
        <v>13</v>
      </c>
    </row>
    <row r="12" spans="2:6">
      <c r="B12" s="6" t="str">
        <f>Table8[[#This Row],[Card Model]]&amp;"-"&amp;Table8[[#This Row],[Signal//Chanel]]</f>
        <v>1756-IB32-IN-13</v>
      </c>
      <c r="C12" s="6" t="s">
        <v>1313</v>
      </c>
      <c r="D12" s="6" t="s">
        <v>1314</v>
      </c>
      <c r="E12" s="82" t="s">
        <v>1485</v>
      </c>
      <c r="F12">
        <v>14</v>
      </c>
    </row>
    <row r="13" spans="2:6">
      <c r="B13" s="6" t="str">
        <f>Table8[[#This Row],[Card Model]]&amp;"-"&amp;Table8[[#This Row],[Signal//Chanel]]</f>
        <v>1756-IB32-IN-14</v>
      </c>
      <c r="C13" s="6" t="s">
        <v>1313</v>
      </c>
      <c r="D13" s="6" t="s">
        <v>1314</v>
      </c>
      <c r="E13" s="82" t="s">
        <v>1486</v>
      </c>
      <c r="F13">
        <v>15</v>
      </c>
    </row>
    <row r="14" spans="2:6">
      <c r="B14" s="6" t="str">
        <f>Table8[[#This Row],[Card Model]]&amp;"-"&amp;Table8[[#This Row],[Signal//Chanel]]</f>
        <v>1756-IB32-IN-15</v>
      </c>
      <c r="C14" s="6" t="s">
        <v>1313</v>
      </c>
      <c r="D14" s="6" t="s">
        <v>1314</v>
      </c>
      <c r="E14" s="82" t="s">
        <v>1487</v>
      </c>
      <c r="F14">
        <v>16</v>
      </c>
    </row>
    <row r="15" spans="2:6">
      <c r="B15" s="6" t="str">
        <f>Table8[[#This Row],[Card Model]]&amp;"-"&amp;Table8[[#This Row],[Signal//Chanel]]</f>
        <v>1756-IB32-IN-16</v>
      </c>
      <c r="C15" s="6" t="s">
        <v>1313</v>
      </c>
      <c r="D15" s="6" t="s">
        <v>1314</v>
      </c>
      <c r="E15" s="82" t="s">
        <v>1488</v>
      </c>
      <c r="F15">
        <v>19</v>
      </c>
    </row>
    <row r="16" spans="2:6">
      <c r="B16" s="6" t="str">
        <f>Table8[[#This Row],[Card Model]]&amp;"-"&amp;Table8[[#This Row],[Signal//Chanel]]</f>
        <v>1756-IB32-IN-17</v>
      </c>
      <c r="C16" s="6" t="s">
        <v>1313</v>
      </c>
      <c r="D16" s="6" t="s">
        <v>1314</v>
      </c>
      <c r="E16" s="82" t="s">
        <v>1489</v>
      </c>
      <c r="F16">
        <v>20</v>
      </c>
    </row>
    <row r="17" spans="2:6">
      <c r="B17" s="6" t="str">
        <f>Table8[[#This Row],[Card Model]]&amp;"-"&amp;Table8[[#This Row],[Signal//Chanel]]</f>
        <v>1756-IB32-IN-18</v>
      </c>
      <c r="C17" s="6" t="s">
        <v>1313</v>
      </c>
      <c r="D17" s="6" t="s">
        <v>1314</v>
      </c>
      <c r="E17" s="82" t="s">
        <v>1490</v>
      </c>
      <c r="F17">
        <v>21</v>
      </c>
    </row>
    <row r="18" spans="2:6">
      <c r="B18" s="6" t="str">
        <f>Table8[[#This Row],[Card Model]]&amp;"-"&amp;Table8[[#This Row],[Signal//Chanel]]</f>
        <v>1756-IB32-IN-19</v>
      </c>
      <c r="C18" s="6" t="s">
        <v>1313</v>
      </c>
      <c r="D18" s="6" t="s">
        <v>1314</v>
      </c>
      <c r="E18" s="82" t="s">
        <v>1491</v>
      </c>
      <c r="F18">
        <v>22</v>
      </c>
    </row>
    <row r="19" spans="2:6">
      <c r="B19" s="6" t="str">
        <f>Table8[[#This Row],[Card Model]]&amp;"-"&amp;Table8[[#This Row],[Signal//Chanel]]</f>
        <v>1756-IB32-IN-2</v>
      </c>
      <c r="C19" s="6" t="s">
        <v>1313</v>
      </c>
      <c r="D19" s="6" t="s">
        <v>1314</v>
      </c>
      <c r="E19" s="82" t="s">
        <v>1492</v>
      </c>
      <c r="F19">
        <v>3</v>
      </c>
    </row>
    <row r="20" spans="2:6">
      <c r="B20" s="6" t="str">
        <f>Table8[[#This Row],[Card Model]]&amp;"-"&amp;Table8[[#This Row],[Signal//Chanel]]</f>
        <v>1756-IB32-IN-20</v>
      </c>
      <c r="C20" s="6" t="s">
        <v>1313</v>
      </c>
      <c r="D20" s="6" t="s">
        <v>1314</v>
      </c>
      <c r="E20" s="82" t="s">
        <v>1493</v>
      </c>
      <c r="F20">
        <v>23</v>
      </c>
    </row>
    <row r="21" spans="2:6">
      <c r="B21" s="6" t="str">
        <f>Table8[[#This Row],[Card Model]]&amp;"-"&amp;Table8[[#This Row],[Signal//Chanel]]</f>
        <v>1756-IB32-IN-21</v>
      </c>
      <c r="C21" s="6" t="s">
        <v>1313</v>
      </c>
      <c r="D21" s="6" t="s">
        <v>1314</v>
      </c>
      <c r="E21" s="82" t="s">
        <v>1494</v>
      </c>
      <c r="F21">
        <v>24</v>
      </c>
    </row>
    <row r="22" spans="2:6">
      <c r="B22" s="6" t="str">
        <f>Table8[[#This Row],[Card Model]]&amp;"-"&amp;Table8[[#This Row],[Signal//Chanel]]</f>
        <v>1756-IB32-IN-22</v>
      </c>
      <c r="C22" s="6" t="s">
        <v>1313</v>
      </c>
      <c r="D22" s="6" t="s">
        <v>1314</v>
      </c>
      <c r="E22" s="82" t="s">
        <v>1495</v>
      </c>
      <c r="F22">
        <v>25</v>
      </c>
    </row>
    <row r="23" spans="2:6">
      <c r="B23" s="6" t="str">
        <f>Table8[[#This Row],[Card Model]]&amp;"-"&amp;Table8[[#This Row],[Signal//Chanel]]</f>
        <v>1756-IB32-IN-23</v>
      </c>
      <c r="C23" s="6" t="s">
        <v>1313</v>
      </c>
      <c r="D23" s="6" t="s">
        <v>1314</v>
      </c>
      <c r="E23" s="82" t="s">
        <v>1496</v>
      </c>
      <c r="F23">
        <v>26</v>
      </c>
    </row>
    <row r="24" spans="2:6">
      <c r="B24" s="6" t="str">
        <f>Table8[[#This Row],[Card Model]]&amp;"-"&amp;Table8[[#This Row],[Signal//Chanel]]</f>
        <v>1756-IB32-IN-24</v>
      </c>
      <c r="C24" s="6" t="s">
        <v>1313</v>
      </c>
      <c r="D24" s="6" t="s">
        <v>1314</v>
      </c>
      <c r="E24" s="82" t="s">
        <v>1497</v>
      </c>
      <c r="F24">
        <v>27</v>
      </c>
    </row>
    <row r="25" spans="2:6">
      <c r="B25" s="6" t="str">
        <f>Table8[[#This Row],[Card Model]]&amp;"-"&amp;Table8[[#This Row],[Signal//Chanel]]</f>
        <v>1756-IB32-IN-25</v>
      </c>
      <c r="C25" s="6" t="s">
        <v>1313</v>
      </c>
      <c r="D25" s="6" t="s">
        <v>1314</v>
      </c>
      <c r="E25" s="82" t="s">
        <v>1498</v>
      </c>
      <c r="F25">
        <v>28</v>
      </c>
    </row>
    <row r="26" spans="2:6">
      <c r="B26" s="6" t="str">
        <f>Table8[[#This Row],[Card Model]]&amp;"-"&amp;Table8[[#This Row],[Signal//Chanel]]</f>
        <v>1756-IB32-IN-26</v>
      </c>
      <c r="C26" s="6" t="s">
        <v>1313</v>
      </c>
      <c r="D26" s="6" t="s">
        <v>1314</v>
      </c>
      <c r="E26" s="82" t="s">
        <v>1499</v>
      </c>
      <c r="F26">
        <v>29</v>
      </c>
    </row>
    <row r="27" spans="2:6">
      <c r="B27" s="6" t="str">
        <f>Table8[[#This Row],[Card Model]]&amp;"-"&amp;Table8[[#This Row],[Signal//Chanel]]</f>
        <v>1756-IB32-IN-27</v>
      </c>
      <c r="C27" s="6" t="s">
        <v>1313</v>
      </c>
      <c r="D27" s="6" t="s">
        <v>1314</v>
      </c>
      <c r="E27" s="82" t="s">
        <v>1500</v>
      </c>
      <c r="F27">
        <v>30</v>
      </c>
    </row>
    <row r="28" spans="2:6">
      <c r="B28" s="6" t="str">
        <f>Table8[[#This Row],[Card Model]]&amp;"-"&amp;Table8[[#This Row],[Signal//Chanel]]</f>
        <v>1756-IB32-IN-28</v>
      </c>
      <c r="C28" s="6" t="s">
        <v>1313</v>
      </c>
      <c r="D28" s="6" t="s">
        <v>1314</v>
      </c>
      <c r="E28" s="82" t="s">
        <v>1501</v>
      </c>
      <c r="F28">
        <v>31</v>
      </c>
    </row>
    <row r="29" spans="2:6">
      <c r="B29" s="6" t="str">
        <f>Table8[[#This Row],[Card Model]]&amp;"-"&amp;Table8[[#This Row],[Signal//Chanel]]</f>
        <v>1756-IB32-IN-29</v>
      </c>
      <c r="C29" s="6" t="s">
        <v>1313</v>
      </c>
      <c r="D29" s="6" t="s">
        <v>1314</v>
      </c>
      <c r="E29" s="82" t="s">
        <v>1502</v>
      </c>
      <c r="F29">
        <v>32</v>
      </c>
    </row>
    <row r="30" spans="2:6">
      <c r="B30" s="6" t="str">
        <f>Table8[[#This Row],[Card Model]]&amp;"-"&amp;Table8[[#This Row],[Signal//Chanel]]</f>
        <v>1756-IB32-IN-3</v>
      </c>
      <c r="C30" s="6" t="s">
        <v>1313</v>
      </c>
      <c r="D30" s="6" t="s">
        <v>1314</v>
      </c>
      <c r="E30" s="82" t="s">
        <v>1503</v>
      </c>
      <c r="F30">
        <v>4</v>
      </c>
    </row>
    <row r="31" spans="2:6">
      <c r="B31" s="6" t="str">
        <f>Table8[[#This Row],[Card Model]]&amp;"-"&amp;Table8[[#This Row],[Signal//Chanel]]</f>
        <v>1756-IB32-IN-30</v>
      </c>
      <c r="C31" s="6" t="s">
        <v>1313</v>
      </c>
      <c r="D31" s="6" t="s">
        <v>1314</v>
      </c>
      <c r="E31" s="82" t="s">
        <v>1504</v>
      </c>
      <c r="F31">
        <v>33</v>
      </c>
    </row>
    <row r="32" spans="2:6">
      <c r="B32" s="6" t="str">
        <f>Table8[[#This Row],[Card Model]]&amp;"-"&amp;Table8[[#This Row],[Signal//Chanel]]</f>
        <v>1756-IB32-IN-31</v>
      </c>
      <c r="C32" s="6" t="s">
        <v>1313</v>
      </c>
      <c r="D32" s="6" t="s">
        <v>1314</v>
      </c>
      <c r="E32" s="82" t="s">
        <v>1505</v>
      </c>
      <c r="F32">
        <v>34</v>
      </c>
    </row>
    <row r="33" spans="2:6">
      <c r="B33" s="6" t="str">
        <f>Table8[[#This Row],[Card Model]]&amp;"-"&amp;Table8[[#This Row],[Signal//Chanel]]</f>
        <v>1756-IB32-IN-4</v>
      </c>
      <c r="C33" s="6" t="s">
        <v>1313</v>
      </c>
      <c r="D33" s="6" t="s">
        <v>1314</v>
      </c>
      <c r="E33" s="82" t="s">
        <v>1506</v>
      </c>
      <c r="F33">
        <v>5</v>
      </c>
    </row>
    <row r="34" spans="2:6">
      <c r="B34" s="6" t="str">
        <f>Table8[[#This Row],[Card Model]]&amp;"-"&amp;Table8[[#This Row],[Signal//Chanel]]</f>
        <v>1756-IB32-IN-5</v>
      </c>
      <c r="C34" s="6" t="s">
        <v>1313</v>
      </c>
      <c r="D34" s="6" t="s">
        <v>1314</v>
      </c>
      <c r="E34" s="82" t="s">
        <v>1507</v>
      </c>
      <c r="F34">
        <v>6</v>
      </c>
    </row>
    <row r="35" spans="2:6">
      <c r="B35" s="6" t="str">
        <f>Table8[[#This Row],[Card Model]]&amp;"-"&amp;Table8[[#This Row],[Signal//Chanel]]</f>
        <v>1756-IB32-IN-6</v>
      </c>
      <c r="C35" s="6" t="s">
        <v>1313</v>
      </c>
      <c r="D35" s="6" t="s">
        <v>1314</v>
      </c>
      <c r="E35" s="82" t="s">
        <v>1508</v>
      </c>
      <c r="F35">
        <v>7</v>
      </c>
    </row>
    <row r="36" spans="2:6">
      <c r="B36" s="6" t="str">
        <f>Table8[[#This Row],[Card Model]]&amp;"-"&amp;Table8[[#This Row],[Signal//Chanel]]</f>
        <v>1756-IB32-IN-7</v>
      </c>
      <c r="C36" s="6" t="s">
        <v>1313</v>
      </c>
      <c r="D36" s="6" t="s">
        <v>1314</v>
      </c>
      <c r="E36" s="82" t="s">
        <v>1509</v>
      </c>
      <c r="F36">
        <v>8</v>
      </c>
    </row>
    <row r="37" spans="2:6">
      <c r="B37" s="6" t="str">
        <f>Table8[[#This Row],[Card Model]]&amp;"-"&amp;Table8[[#This Row],[Signal//Chanel]]</f>
        <v>1756-IB32-IN-8</v>
      </c>
      <c r="C37" s="6" t="s">
        <v>1313</v>
      </c>
      <c r="D37" s="6" t="s">
        <v>1314</v>
      </c>
      <c r="E37" s="82" t="s">
        <v>1510</v>
      </c>
      <c r="F37">
        <v>9</v>
      </c>
    </row>
    <row r="38" spans="2:6">
      <c r="B38" s="6" t="str">
        <f>Table8[[#This Row],[Card Model]]&amp;"-"&amp;Table8[[#This Row],[Signal//Chanel]]</f>
        <v>1756-IB32-IN-9</v>
      </c>
      <c r="C38" s="6" t="s">
        <v>1313</v>
      </c>
      <c r="D38" s="6" t="s">
        <v>1314</v>
      </c>
      <c r="E38" s="82" t="s">
        <v>1511</v>
      </c>
      <c r="F38">
        <v>10</v>
      </c>
    </row>
    <row r="39" spans="2:6">
      <c r="B39" s="6" t="str">
        <f>Table8[[#This Row],[Card Model]]&amp;"-"&amp;Table8[[#This Row],[Signal//Chanel]]</f>
        <v>1756-IF16-i RTN-0</v>
      </c>
      <c r="C39" s="6" t="s">
        <v>1319</v>
      </c>
      <c r="D39" s="6"/>
      <c r="E39" s="82" t="s">
        <v>1512</v>
      </c>
      <c r="F39">
        <v>1</v>
      </c>
    </row>
    <row r="40" spans="2:6">
      <c r="B40" s="6" t="str">
        <f>Table8[[#This Row],[Card Model]]&amp;"-"&amp;Table8[[#This Row],[Signal//Chanel]]</f>
        <v>1756-IF16-i RTN-1</v>
      </c>
      <c r="C40" s="6" t="s">
        <v>1319</v>
      </c>
      <c r="D40" s="6"/>
      <c r="E40" s="82" t="s">
        <v>1513</v>
      </c>
      <c r="F40">
        <v>3</v>
      </c>
    </row>
    <row r="41" spans="2:6">
      <c r="B41" s="6" t="str">
        <f>Table8[[#This Row],[Card Model]]&amp;"-"&amp;Table8[[#This Row],[Signal//Chanel]]</f>
        <v>1756-IF16-i RTN-10</v>
      </c>
      <c r="C41" s="6" t="s">
        <v>1319</v>
      </c>
      <c r="D41" s="6"/>
      <c r="E41" s="82" t="s">
        <v>1514</v>
      </c>
      <c r="F41">
        <v>23</v>
      </c>
    </row>
    <row r="42" spans="2:6">
      <c r="B42" s="6" t="str">
        <f>Table8[[#This Row],[Card Model]]&amp;"-"&amp;Table8[[#This Row],[Signal//Chanel]]</f>
        <v>1756-IF16-i RTN-11</v>
      </c>
      <c r="C42" s="6" t="s">
        <v>1319</v>
      </c>
      <c r="D42" s="6"/>
      <c r="E42" s="82" t="s">
        <v>1515</v>
      </c>
      <c r="F42">
        <v>25</v>
      </c>
    </row>
    <row r="43" spans="2:6">
      <c r="B43" s="6" t="str">
        <f>Table8[[#This Row],[Card Model]]&amp;"-"&amp;Table8[[#This Row],[Signal//Chanel]]</f>
        <v>1756-IF16-i RTN-12</v>
      </c>
      <c r="C43" s="6" t="s">
        <v>1319</v>
      </c>
      <c r="D43" s="6"/>
      <c r="E43" s="82" t="s">
        <v>1516</v>
      </c>
      <c r="F43">
        <v>29</v>
      </c>
    </row>
    <row r="44" spans="2:6">
      <c r="B44" s="6" t="str">
        <f>Table8[[#This Row],[Card Model]]&amp;"-"&amp;Table8[[#This Row],[Signal//Chanel]]</f>
        <v>1756-IF16-i RTN-13</v>
      </c>
      <c r="C44" s="6" t="s">
        <v>1319</v>
      </c>
      <c r="D44" s="6"/>
      <c r="E44" s="82" t="s">
        <v>1517</v>
      </c>
      <c r="F44">
        <v>31</v>
      </c>
    </row>
    <row r="45" spans="2:6">
      <c r="B45" s="6" t="str">
        <f>Table8[[#This Row],[Card Model]]&amp;"-"&amp;Table8[[#This Row],[Signal//Chanel]]</f>
        <v>1756-IF16-i RTN-14</v>
      </c>
      <c r="C45" s="6" t="s">
        <v>1319</v>
      </c>
      <c r="D45" s="6"/>
      <c r="E45" s="82" t="s">
        <v>1518</v>
      </c>
      <c r="F45">
        <v>33</v>
      </c>
    </row>
    <row r="46" spans="2:6">
      <c r="B46" s="6" t="str">
        <f>Table8[[#This Row],[Card Model]]&amp;"-"&amp;Table8[[#This Row],[Signal//Chanel]]</f>
        <v>1756-IF16-i RTN-15</v>
      </c>
      <c r="C46" s="6" t="s">
        <v>1319</v>
      </c>
      <c r="D46" s="6"/>
      <c r="E46" s="82" t="s">
        <v>1519</v>
      </c>
      <c r="F46">
        <v>35</v>
      </c>
    </row>
    <row r="47" spans="2:6">
      <c r="B47" s="6" t="str">
        <f>Table8[[#This Row],[Card Model]]&amp;"-"&amp;Table8[[#This Row],[Signal//Chanel]]</f>
        <v>1756-IF16-i RTN-2</v>
      </c>
      <c r="C47" s="6" t="s">
        <v>1319</v>
      </c>
      <c r="D47" s="6"/>
      <c r="E47" s="82" t="s">
        <v>1520</v>
      </c>
      <c r="F47">
        <v>5</v>
      </c>
    </row>
    <row r="48" spans="2:6">
      <c r="B48" s="6" t="str">
        <f>Table8[[#This Row],[Card Model]]&amp;"-"&amp;Table8[[#This Row],[Signal//Chanel]]</f>
        <v>1756-IF16-i RTN-3</v>
      </c>
      <c r="C48" s="6" t="s">
        <v>1319</v>
      </c>
      <c r="D48" s="6"/>
      <c r="E48" s="82" t="s">
        <v>1521</v>
      </c>
      <c r="F48">
        <v>7</v>
      </c>
    </row>
    <row r="49" spans="2:6">
      <c r="B49" s="6" t="str">
        <f>Table8[[#This Row],[Card Model]]&amp;"-"&amp;Table8[[#This Row],[Signal//Chanel]]</f>
        <v>1756-IF16-i RTN-4</v>
      </c>
      <c r="C49" s="6" t="s">
        <v>1319</v>
      </c>
      <c r="D49" s="6"/>
      <c r="E49" s="82" t="s">
        <v>1522</v>
      </c>
      <c r="F49">
        <v>11</v>
      </c>
    </row>
    <row r="50" spans="2:6">
      <c r="B50" s="6" t="str">
        <f>Table8[[#This Row],[Card Model]]&amp;"-"&amp;Table8[[#This Row],[Signal//Chanel]]</f>
        <v>1756-IF16-i RTN-5</v>
      </c>
      <c r="C50" s="6" t="s">
        <v>1319</v>
      </c>
      <c r="D50" s="6"/>
      <c r="E50" s="82" t="s">
        <v>1523</v>
      </c>
      <c r="F50">
        <v>13</v>
      </c>
    </row>
    <row r="51" spans="2:6">
      <c r="B51" s="6" t="str">
        <f>Table8[[#This Row],[Card Model]]&amp;"-"&amp;Table8[[#This Row],[Signal//Chanel]]</f>
        <v>1756-IF16-i RTN-6</v>
      </c>
      <c r="C51" s="6" t="s">
        <v>1319</v>
      </c>
      <c r="D51" s="6"/>
      <c r="E51" s="82" t="s">
        <v>1524</v>
      </c>
      <c r="F51">
        <v>15</v>
      </c>
    </row>
    <row r="52" spans="2:6">
      <c r="B52" s="6" t="str">
        <f>Table8[[#This Row],[Card Model]]&amp;"-"&amp;Table8[[#This Row],[Signal//Chanel]]</f>
        <v>1756-IF16-i RTN-7</v>
      </c>
      <c r="C52" s="6" t="s">
        <v>1319</v>
      </c>
      <c r="D52" s="6"/>
      <c r="E52" s="82" t="s">
        <v>1525</v>
      </c>
      <c r="F52">
        <v>17</v>
      </c>
    </row>
    <row r="53" spans="2:6">
      <c r="B53" s="6" t="str">
        <f>Table8[[#This Row],[Card Model]]&amp;"-"&amp;Table8[[#This Row],[Signal//Chanel]]</f>
        <v>1756-IF16-i RTN-8</v>
      </c>
      <c r="C53" s="6" t="s">
        <v>1319</v>
      </c>
      <c r="D53" s="6"/>
      <c r="E53" s="82" t="s">
        <v>1526</v>
      </c>
      <c r="F53">
        <v>19</v>
      </c>
    </row>
    <row r="54" spans="2:6">
      <c r="B54" s="6" t="str">
        <f>Table8[[#This Row],[Card Model]]&amp;"-"&amp;Table8[[#This Row],[Signal//Chanel]]</f>
        <v>1756-IF16-i RTN-9</v>
      </c>
      <c r="C54" s="6" t="s">
        <v>1319</v>
      </c>
      <c r="D54" s="6"/>
      <c r="E54" s="82" t="s">
        <v>1527</v>
      </c>
      <c r="F54">
        <v>21</v>
      </c>
    </row>
    <row r="55" spans="2:6">
      <c r="B55" s="6" t="str">
        <f>Table8[[#This Row],[Card Model]]&amp;"-"&amp;Table8[[#This Row],[Signal//Chanel]]</f>
        <v>1756-IF16-IN-0</v>
      </c>
      <c r="C55" s="6" t="s">
        <v>1319</v>
      </c>
      <c r="D55" s="6" t="s">
        <v>1314</v>
      </c>
      <c r="E55" s="82" t="s">
        <v>1480</v>
      </c>
      <c r="F55">
        <v>2</v>
      </c>
    </row>
    <row r="56" spans="2:6">
      <c r="B56" s="6" t="str">
        <f>Table8[[#This Row],[Card Model]]&amp;"-"&amp;Table8[[#This Row],[Signal//Chanel]]</f>
        <v>1756-IF16-IN-1</v>
      </c>
      <c r="C56" s="6" t="s">
        <v>1319</v>
      </c>
      <c r="D56" s="6"/>
      <c r="E56" s="82" t="s">
        <v>1481</v>
      </c>
      <c r="F56">
        <v>4</v>
      </c>
    </row>
    <row r="57" spans="2:6">
      <c r="B57" s="6" t="str">
        <f>Table8[[#This Row],[Card Model]]&amp;"-"&amp;Table8[[#This Row],[Signal//Chanel]]</f>
        <v>1756-IF16-IN-10</v>
      </c>
      <c r="C57" s="6" t="s">
        <v>1319</v>
      </c>
      <c r="D57" s="6"/>
      <c r="E57" s="82" t="s">
        <v>1482</v>
      </c>
      <c r="F57">
        <v>24</v>
      </c>
    </row>
    <row r="58" spans="2:6">
      <c r="B58" s="6" t="str">
        <f>Table8[[#This Row],[Card Model]]&amp;"-"&amp;Table8[[#This Row],[Signal//Chanel]]</f>
        <v>1756-IF16-IN-11</v>
      </c>
      <c r="C58" s="6" t="s">
        <v>1319</v>
      </c>
      <c r="D58" s="6"/>
      <c r="E58" s="82" t="s">
        <v>1483</v>
      </c>
      <c r="F58">
        <v>26</v>
      </c>
    </row>
    <row r="59" spans="2:6">
      <c r="B59" s="6" t="str">
        <f>Table8[[#This Row],[Card Model]]&amp;"-"&amp;Table8[[#This Row],[Signal//Chanel]]</f>
        <v>1756-IF16-IN-12</v>
      </c>
      <c r="C59" s="6" t="s">
        <v>1319</v>
      </c>
      <c r="D59" s="6"/>
      <c r="E59" s="82" t="s">
        <v>1484</v>
      </c>
      <c r="F59">
        <v>30</v>
      </c>
    </row>
    <row r="60" spans="2:6">
      <c r="B60" s="6" t="str">
        <f>Table8[[#This Row],[Card Model]]&amp;"-"&amp;Table8[[#This Row],[Signal//Chanel]]</f>
        <v>1756-IF16-IN-13</v>
      </c>
      <c r="C60" s="6" t="s">
        <v>1319</v>
      </c>
      <c r="D60" s="6"/>
      <c r="E60" s="82" t="s">
        <v>1485</v>
      </c>
      <c r="F60">
        <v>32</v>
      </c>
    </row>
    <row r="61" spans="2:6">
      <c r="B61" s="6" t="str">
        <f>Table8[[#This Row],[Card Model]]&amp;"-"&amp;Table8[[#This Row],[Signal//Chanel]]</f>
        <v>1756-IF16-IN-14</v>
      </c>
      <c r="C61" s="6" t="s">
        <v>1319</v>
      </c>
      <c r="D61" s="6"/>
      <c r="E61" s="82" t="s">
        <v>1486</v>
      </c>
      <c r="F61">
        <v>34</v>
      </c>
    </row>
    <row r="62" spans="2:6">
      <c r="B62" s="6" t="str">
        <f>Table8[[#This Row],[Card Model]]&amp;"-"&amp;Table8[[#This Row],[Signal//Chanel]]</f>
        <v>1756-IF16-IN-15</v>
      </c>
      <c r="C62" s="6" t="s">
        <v>1319</v>
      </c>
      <c r="D62" s="6"/>
      <c r="E62" s="82" t="s">
        <v>1487</v>
      </c>
      <c r="F62">
        <v>36</v>
      </c>
    </row>
    <row r="63" spans="2:6">
      <c r="B63" s="6" t="str">
        <f>Table8[[#This Row],[Card Model]]&amp;"-"&amp;Table8[[#This Row],[Signal//Chanel]]</f>
        <v>1756-IF16-IN-2</v>
      </c>
      <c r="C63" s="6" t="s">
        <v>1319</v>
      </c>
      <c r="D63" s="6"/>
      <c r="E63" s="82" t="s">
        <v>1492</v>
      </c>
      <c r="F63">
        <v>6</v>
      </c>
    </row>
    <row r="64" spans="2:6">
      <c r="B64" s="6" t="str">
        <f>Table8[[#This Row],[Card Model]]&amp;"-"&amp;Table8[[#This Row],[Signal//Chanel]]</f>
        <v>1756-IF16-IN-3</v>
      </c>
      <c r="C64" s="6" t="s">
        <v>1319</v>
      </c>
      <c r="D64" s="6"/>
      <c r="E64" s="82" t="s">
        <v>1503</v>
      </c>
      <c r="F64">
        <v>8</v>
      </c>
    </row>
    <row r="65" spans="2:6">
      <c r="B65" s="6" t="str">
        <f>Table8[[#This Row],[Card Model]]&amp;"-"&amp;Table8[[#This Row],[Signal//Chanel]]</f>
        <v>1756-IF16-IN-4</v>
      </c>
      <c r="C65" s="6" t="s">
        <v>1319</v>
      </c>
      <c r="D65" s="6"/>
      <c r="E65" s="82" t="s">
        <v>1506</v>
      </c>
      <c r="F65">
        <v>12</v>
      </c>
    </row>
    <row r="66" spans="2:6">
      <c r="B66" s="6" t="str">
        <f>Table8[[#This Row],[Card Model]]&amp;"-"&amp;Table8[[#This Row],[Signal//Chanel]]</f>
        <v>1756-IF16-IN-5</v>
      </c>
      <c r="C66" s="6" t="s">
        <v>1319</v>
      </c>
      <c r="D66" s="6"/>
      <c r="E66" s="82" t="s">
        <v>1507</v>
      </c>
      <c r="F66">
        <v>14</v>
      </c>
    </row>
    <row r="67" spans="2:6">
      <c r="B67" s="6" t="str">
        <f>Table8[[#This Row],[Card Model]]&amp;"-"&amp;Table8[[#This Row],[Signal//Chanel]]</f>
        <v>1756-IF16-IN-6</v>
      </c>
      <c r="C67" s="6" t="s">
        <v>1319</v>
      </c>
      <c r="D67" s="6"/>
      <c r="E67" s="82" t="s">
        <v>1508</v>
      </c>
      <c r="F67">
        <v>16</v>
      </c>
    </row>
    <row r="68" spans="2:6">
      <c r="B68" s="6" t="str">
        <f>Table8[[#This Row],[Card Model]]&amp;"-"&amp;Table8[[#This Row],[Signal//Chanel]]</f>
        <v>1756-IF16-IN-7</v>
      </c>
      <c r="C68" s="6" t="s">
        <v>1319</v>
      </c>
      <c r="D68" s="6"/>
      <c r="E68" s="82" t="s">
        <v>1509</v>
      </c>
      <c r="F68">
        <v>18</v>
      </c>
    </row>
    <row r="69" spans="2:6">
      <c r="B69" s="6" t="str">
        <f>Table8[[#This Row],[Card Model]]&amp;"-"&amp;Table8[[#This Row],[Signal//Chanel]]</f>
        <v>1756-IF16-IN-8</v>
      </c>
      <c r="C69" s="6" t="s">
        <v>1319</v>
      </c>
      <c r="D69" s="6"/>
      <c r="E69" s="82" t="s">
        <v>1510</v>
      </c>
      <c r="F69">
        <v>20</v>
      </c>
    </row>
    <row r="70" spans="2:6">
      <c r="B70" s="6" t="str">
        <f>Table8[[#This Row],[Card Model]]&amp;"-"&amp;Table8[[#This Row],[Signal//Chanel]]</f>
        <v>1756-IF16-IN-9</v>
      </c>
      <c r="C70" s="6" t="s">
        <v>1319</v>
      </c>
      <c r="D70" s="6"/>
      <c r="E70" s="82" t="s">
        <v>1511</v>
      </c>
      <c r="F70">
        <v>22</v>
      </c>
    </row>
    <row r="71" spans="2:6">
      <c r="B71" s="6" t="str">
        <f>Table8[[#This Row],[Card Model]]&amp;"-"&amp;Table8[[#This Row],[Signal//Chanel]]</f>
        <v>1756-IF16-RTN</v>
      </c>
      <c r="C71" s="6" t="s">
        <v>1319</v>
      </c>
      <c r="D71" s="6"/>
      <c r="E71" s="82" t="s">
        <v>1528</v>
      </c>
      <c r="F71">
        <v>9</v>
      </c>
    </row>
    <row r="72" spans="2:6">
      <c r="B72" s="6" t="str">
        <f>Table8[[#This Row],[Card Model]]&amp;"-"&amp;Table8[[#This Row],[Signal//Chanel]]</f>
        <v>1756-IF16-RTN</v>
      </c>
      <c r="C72" s="6" t="s">
        <v>1319</v>
      </c>
      <c r="D72" s="6"/>
      <c r="E72" s="82" t="s">
        <v>1528</v>
      </c>
      <c r="F72">
        <v>10</v>
      </c>
    </row>
    <row r="73" spans="2:6">
      <c r="B73" s="6" t="str">
        <f>Table8[[#This Row],[Card Model]]&amp;"-"&amp;Table8[[#This Row],[Signal//Chanel]]</f>
        <v>1756-IF16-RTN</v>
      </c>
      <c r="C73" s="6" t="s">
        <v>1319</v>
      </c>
      <c r="D73" s="6"/>
      <c r="E73" s="82" t="s">
        <v>1528</v>
      </c>
      <c r="F73">
        <v>27</v>
      </c>
    </row>
    <row r="74" spans="2:6">
      <c r="B74" s="6" t="str">
        <f>Table8[[#This Row],[Card Model]]&amp;"-"&amp;Table8[[#This Row],[Signal//Chanel]]</f>
        <v>1756-IF16-RTN</v>
      </c>
      <c r="C74" s="6" t="s">
        <v>1319</v>
      </c>
      <c r="D74" s="6"/>
      <c r="E74" s="82" t="s">
        <v>1528</v>
      </c>
      <c r="F74">
        <v>28</v>
      </c>
    </row>
    <row r="75" spans="2:6">
      <c r="B75" s="6" t="str">
        <f>Table8[[#This Row],[Card Model]]&amp;"-"&amp;Table8[[#This Row],[Signal//Chanel]]</f>
        <v>1756-OB32-DC-0(+)</v>
      </c>
      <c r="C75" s="6" t="s">
        <v>1316</v>
      </c>
      <c r="D75" s="6"/>
      <c r="E75" s="82" t="s">
        <v>1529</v>
      </c>
      <c r="F75">
        <v>18</v>
      </c>
    </row>
    <row r="76" spans="2:6">
      <c r="B76" s="6" t="str">
        <f>Table8[[#This Row],[Card Model]]&amp;"-"&amp;Table8[[#This Row],[Signal//Chanel]]</f>
        <v>1756-OB32-DC-1(+)</v>
      </c>
      <c r="C76" s="6" t="s">
        <v>1316</v>
      </c>
      <c r="D76" s="6"/>
      <c r="E76" s="82" t="s">
        <v>1530</v>
      </c>
      <c r="F76">
        <v>36</v>
      </c>
    </row>
    <row r="77" spans="2:6">
      <c r="B77" s="6" t="str">
        <f>Table8[[#This Row],[Card Model]]&amp;"-"&amp;Table8[[#This Row],[Signal//Chanel]]</f>
        <v>1756-OB32-OUT-0</v>
      </c>
      <c r="C77" s="6" t="s">
        <v>1316</v>
      </c>
      <c r="D77" s="6"/>
      <c r="E77" s="82" t="s">
        <v>1531</v>
      </c>
      <c r="F77">
        <v>1</v>
      </c>
    </row>
    <row r="78" spans="2:6">
      <c r="B78" s="6" t="str">
        <f>Table8[[#This Row],[Card Model]]&amp;"-"&amp;Table8[[#This Row],[Signal//Chanel]]</f>
        <v>1756-OB32-OUT-1</v>
      </c>
      <c r="C78" s="6" t="s">
        <v>1316</v>
      </c>
      <c r="D78" s="6"/>
      <c r="E78" s="82" t="s">
        <v>1532</v>
      </c>
      <c r="F78">
        <v>2</v>
      </c>
    </row>
    <row r="79" spans="2:6">
      <c r="B79" s="6" t="str">
        <f>Table8[[#This Row],[Card Model]]&amp;"-"&amp;Table8[[#This Row],[Signal//Chanel]]</f>
        <v>1756-OB32-OUT-10</v>
      </c>
      <c r="C79" s="6" t="s">
        <v>1316</v>
      </c>
      <c r="D79" s="6"/>
      <c r="E79" s="82" t="s">
        <v>1533</v>
      </c>
      <c r="F79">
        <v>11</v>
      </c>
    </row>
    <row r="80" spans="2:6">
      <c r="B80" s="6" t="str">
        <f>Table8[[#This Row],[Card Model]]&amp;"-"&amp;Table8[[#This Row],[Signal//Chanel]]</f>
        <v>1756-OB32-OUT-11</v>
      </c>
      <c r="C80" s="6" t="s">
        <v>1316</v>
      </c>
      <c r="D80" s="6"/>
      <c r="E80" s="82" t="s">
        <v>1534</v>
      </c>
      <c r="F80">
        <v>12</v>
      </c>
    </row>
    <row r="81" spans="2:6">
      <c r="B81" s="6" t="str">
        <f>Table8[[#This Row],[Card Model]]&amp;"-"&amp;Table8[[#This Row],[Signal//Chanel]]</f>
        <v>1756-OB32-OUT-12</v>
      </c>
      <c r="C81" s="6" t="s">
        <v>1316</v>
      </c>
      <c r="D81" s="6"/>
      <c r="E81" s="82" t="s">
        <v>1535</v>
      </c>
      <c r="F81">
        <v>13</v>
      </c>
    </row>
    <row r="82" spans="2:6">
      <c r="B82" s="6" t="str">
        <f>Table8[[#This Row],[Card Model]]&amp;"-"&amp;Table8[[#This Row],[Signal//Chanel]]</f>
        <v>1756-OB32-OUT-13</v>
      </c>
      <c r="C82" s="6" t="s">
        <v>1316</v>
      </c>
      <c r="D82" s="6"/>
      <c r="E82" s="82" t="s">
        <v>1536</v>
      </c>
      <c r="F82">
        <v>14</v>
      </c>
    </row>
    <row r="83" spans="2:6">
      <c r="B83" s="6" t="str">
        <f>Table8[[#This Row],[Card Model]]&amp;"-"&amp;Table8[[#This Row],[Signal//Chanel]]</f>
        <v>1756-OB32-OUT-14</v>
      </c>
      <c r="C83" s="6" t="s">
        <v>1316</v>
      </c>
      <c r="D83" s="6"/>
      <c r="E83" s="82" t="s">
        <v>1537</v>
      </c>
      <c r="F83">
        <v>15</v>
      </c>
    </row>
    <row r="84" spans="2:6">
      <c r="B84" s="6" t="str">
        <f>Table8[[#This Row],[Card Model]]&amp;"-"&amp;Table8[[#This Row],[Signal//Chanel]]</f>
        <v>1756-OB32-OUT-15</v>
      </c>
      <c r="C84" s="6" t="s">
        <v>1316</v>
      </c>
      <c r="D84" s="6"/>
      <c r="E84" s="82" t="s">
        <v>1538</v>
      </c>
      <c r="F84">
        <v>16</v>
      </c>
    </row>
    <row r="85" spans="2:6">
      <c r="B85" s="6" t="str">
        <f>Table8[[#This Row],[Card Model]]&amp;"-"&amp;Table8[[#This Row],[Signal//Chanel]]</f>
        <v>1756-OB32-OUT-16</v>
      </c>
      <c r="C85" s="6" t="s">
        <v>1316</v>
      </c>
      <c r="D85" s="6"/>
      <c r="E85" s="82" t="s">
        <v>1539</v>
      </c>
      <c r="F85">
        <v>19</v>
      </c>
    </row>
    <row r="86" spans="2:6">
      <c r="B86" s="6" t="str">
        <f>Table8[[#This Row],[Card Model]]&amp;"-"&amp;Table8[[#This Row],[Signal//Chanel]]</f>
        <v>1756-OB32-OUT-17</v>
      </c>
      <c r="C86" s="6" t="s">
        <v>1316</v>
      </c>
      <c r="D86" s="6"/>
      <c r="E86" s="82" t="s">
        <v>1540</v>
      </c>
      <c r="F86">
        <v>20</v>
      </c>
    </row>
    <row r="87" spans="2:6">
      <c r="B87" s="6" t="str">
        <f>Table8[[#This Row],[Card Model]]&amp;"-"&amp;Table8[[#This Row],[Signal//Chanel]]</f>
        <v>1756-OB32-OUT-18</v>
      </c>
      <c r="C87" s="6" t="s">
        <v>1316</v>
      </c>
      <c r="D87" s="6"/>
      <c r="E87" s="82" t="s">
        <v>1541</v>
      </c>
      <c r="F87">
        <v>21</v>
      </c>
    </row>
    <row r="88" spans="2:6">
      <c r="B88" s="6" t="str">
        <f>Table8[[#This Row],[Card Model]]&amp;"-"&amp;Table8[[#This Row],[Signal//Chanel]]</f>
        <v>1756-OB32-OUT-19</v>
      </c>
      <c r="C88" s="6" t="s">
        <v>1316</v>
      </c>
      <c r="D88" s="6"/>
      <c r="E88" s="82" t="s">
        <v>1542</v>
      </c>
      <c r="F88">
        <v>22</v>
      </c>
    </row>
    <row r="89" spans="2:6">
      <c r="B89" s="6" t="str">
        <f>Table8[[#This Row],[Card Model]]&amp;"-"&amp;Table8[[#This Row],[Signal//Chanel]]</f>
        <v>1756-OB32-OUT-2</v>
      </c>
      <c r="C89" s="6" t="s">
        <v>1316</v>
      </c>
      <c r="D89" s="6"/>
      <c r="E89" s="82" t="s">
        <v>1543</v>
      </c>
      <c r="F89">
        <v>3</v>
      </c>
    </row>
    <row r="90" spans="2:6">
      <c r="B90" s="6" t="str">
        <f>Table8[[#This Row],[Card Model]]&amp;"-"&amp;Table8[[#This Row],[Signal//Chanel]]</f>
        <v>1756-OB32-OUT-20</v>
      </c>
      <c r="C90" s="6" t="s">
        <v>1316</v>
      </c>
      <c r="D90" s="6"/>
      <c r="E90" s="82" t="s">
        <v>1544</v>
      </c>
      <c r="F90">
        <v>23</v>
      </c>
    </row>
    <row r="91" spans="2:6">
      <c r="B91" s="6" t="str">
        <f>Table8[[#This Row],[Card Model]]&amp;"-"&amp;Table8[[#This Row],[Signal//Chanel]]</f>
        <v>1756-OB32-OUT-21</v>
      </c>
      <c r="C91" s="6" t="s">
        <v>1316</v>
      </c>
      <c r="D91" s="6"/>
      <c r="E91" s="82" t="s">
        <v>1545</v>
      </c>
      <c r="F91">
        <v>24</v>
      </c>
    </row>
    <row r="92" spans="2:6">
      <c r="B92" s="6" t="str">
        <f>Table8[[#This Row],[Card Model]]&amp;"-"&amp;Table8[[#This Row],[Signal//Chanel]]</f>
        <v>1756-OB32-OUT-22</v>
      </c>
      <c r="C92" s="6" t="s">
        <v>1316</v>
      </c>
      <c r="D92" s="6"/>
      <c r="E92" s="82" t="s">
        <v>1546</v>
      </c>
      <c r="F92">
        <v>25</v>
      </c>
    </row>
    <row r="93" spans="2:6">
      <c r="B93" s="6" t="str">
        <f>Table8[[#This Row],[Card Model]]&amp;"-"&amp;Table8[[#This Row],[Signal//Chanel]]</f>
        <v>1756-OB32-OUT-23</v>
      </c>
      <c r="C93" s="6" t="s">
        <v>1316</v>
      </c>
      <c r="D93" s="6"/>
      <c r="E93" s="82" t="s">
        <v>1547</v>
      </c>
      <c r="F93">
        <v>26</v>
      </c>
    </row>
    <row r="94" spans="2:6">
      <c r="B94" s="6" t="str">
        <f>Table8[[#This Row],[Card Model]]&amp;"-"&amp;Table8[[#This Row],[Signal//Chanel]]</f>
        <v>1756-OB32-OUT-24</v>
      </c>
      <c r="C94" s="6" t="s">
        <v>1316</v>
      </c>
      <c r="D94" s="6"/>
      <c r="E94" s="82" t="s">
        <v>1548</v>
      </c>
      <c r="F94">
        <v>27</v>
      </c>
    </row>
    <row r="95" spans="2:6">
      <c r="B95" s="6" t="str">
        <f>Table8[[#This Row],[Card Model]]&amp;"-"&amp;Table8[[#This Row],[Signal//Chanel]]</f>
        <v>1756-OB32-OUT-25</v>
      </c>
      <c r="C95" s="6" t="s">
        <v>1316</v>
      </c>
      <c r="D95" s="6"/>
      <c r="E95" s="82" t="s">
        <v>1549</v>
      </c>
      <c r="F95">
        <v>28</v>
      </c>
    </row>
    <row r="96" spans="2:6">
      <c r="B96" s="6" t="str">
        <f>Table8[[#This Row],[Card Model]]&amp;"-"&amp;Table8[[#This Row],[Signal//Chanel]]</f>
        <v>1756-OB32-OUT-26</v>
      </c>
      <c r="C96" s="6" t="s">
        <v>1316</v>
      </c>
      <c r="D96" s="6"/>
      <c r="E96" s="82" t="s">
        <v>1550</v>
      </c>
      <c r="F96">
        <v>29</v>
      </c>
    </row>
    <row r="97" spans="2:6">
      <c r="B97" s="6" t="str">
        <f>Table8[[#This Row],[Card Model]]&amp;"-"&amp;Table8[[#This Row],[Signal//Chanel]]</f>
        <v>1756-OB32-OUT-27</v>
      </c>
      <c r="C97" s="6" t="s">
        <v>1316</v>
      </c>
      <c r="D97" s="6"/>
      <c r="E97" s="82" t="s">
        <v>1551</v>
      </c>
      <c r="F97">
        <v>30</v>
      </c>
    </row>
    <row r="98" spans="2:6">
      <c r="B98" s="6" t="str">
        <f>Table8[[#This Row],[Card Model]]&amp;"-"&amp;Table8[[#This Row],[Signal//Chanel]]</f>
        <v>1756-OB32-OUT-28</v>
      </c>
      <c r="C98" s="6" t="s">
        <v>1316</v>
      </c>
      <c r="D98" s="6"/>
      <c r="E98" s="82" t="s">
        <v>1552</v>
      </c>
      <c r="F98">
        <v>31</v>
      </c>
    </row>
    <row r="99" spans="2:6">
      <c r="B99" s="6" t="str">
        <f>Table8[[#This Row],[Card Model]]&amp;"-"&amp;Table8[[#This Row],[Signal//Chanel]]</f>
        <v>1756-OB32-OUT-29</v>
      </c>
      <c r="C99" s="6" t="s">
        <v>1316</v>
      </c>
      <c r="D99" s="6"/>
      <c r="E99" s="82" t="s">
        <v>1553</v>
      </c>
      <c r="F99">
        <v>32</v>
      </c>
    </row>
    <row r="100" spans="2:6">
      <c r="B100" s="6" t="str">
        <f>Table8[[#This Row],[Card Model]]&amp;"-"&amp;Table8[[#This Row],[Signal//Chanel]]</f>
        <v>1756-OB32-OUT-3</v>
      </c>
      <c r="C100" s="6" t="s">
        <v>1316</v>
      </c>
      <c r="D100" s="6"/>
      <c r="E100" s="82" t="s">
        <v>1554</v>
      </c>
      <c r="F100">
        <v>4</v>
      </c>
    </row>
    <row r="101" spans="2:6">
      <c r="B101" s="6" t="str">
        <f>Table8[[#This Row],[Card Model]]&amp;"-"&amp;Table8[[#This Row],[Signal//Chanel]]</f>
        <v>1756-OB32-OUT-30</v>
      </c>
      <c r="C101" s="6" t="s">
        <v>1316</v>
      </c>
      <c r="D101" s="6"/>
      <c r="E101" s="82" t="s">
        <v>1555</v>
      </c>
      <c r="F101">
        <v>33</v>
      </c>
    </row>
    <row r="102" spans="2:6">
      <c r="B102" s="6" t="str">
        <f>Table8[[#This Row],[Card Model]]&amp;"-"&amp;Table8[[#This Row],[Signal//Chanel]]</f>
        <v>1756-OB32-OUT-31</v>
      </c>
      <c r="C102" s="6" t="s">
        <v>1316</v>
      </c>
      <c r="D102" s="6"/>
      <c r="E102" s="82" t="s">
        <v>1556</v>
      </c>
      <c r="F102">
        <v>34</v>
      </c>
    </row>
    <row r="103" spans="2:6">
      <c r="B103" s="6" t="str">
        <f>Table8[[#This Row],[Card Model]]&amp;"-"&amp;Table8[[#This Row],[Signal//Chanel]]</f>
        <v>1756-OB32-OUT-4</v>
      </c>
      <c r="C103" s="6" t="s">
        <v>1316</v>
      </c>
      <c r="D103" s="6"/>
      <c r="E103" s="82" t="s">
        <v>1557</v>
      </c>
      <c r="F103">
        <v>5</v>
      </c>
    </row>
    <row r="104" spans="2:6">
      <c r="B104" s="6" t="str">
        <f>Table8[[#This Row],[Card Model]]&amp;"-"&amp;Table8[[#This Row],[Signal//Chanel]]</f>
        <v>1756-OB32-OUT-5</v>
      </c>
      <c r="C104" s="6" t="s">
        <v>1316</v>
      </c>
      <c r="D104" s="6"/>
      <c r="E104" s="82" t="s">
        <v>1558</v>
      </c>
      <c r="F104">
        <v>6</v>
      </c>
    </row>
    <row r="105" spans="2:6">
      <c r="B105" s="6" t="str">
        <f>Table8[[#This Row],[Card Model]]&amp;"-"&amp;Table8[[#This Row],[Signal//Chanel]]</f>
        <v>1756-OB32-OUT-6</v>
      </c>
      <c r="C105" s="6" t="s">
        <v>1316</v>
      </c>
      <c r="D105" s="6"/>
      <c r="E105" s="82" t="s">
        <v>1559</v>
      </c>
      <c r="F105">
        <v>7</v>
      </c>
    </row>
    <row r="106" spans="2:6">
      <c r="B106" s="6" t="str">
        <f>Table8[[#This Row],[Card Model]]&amp;"-"&amp;Table8[[#This Row],[Signal//Chanel]]</f>
        <v>1756-OB32-OUT-7</v>
      </c>
      <c r="C106" s="6" t="s">
        <v>1316</v>
      </c>
      <c r="D106" s="6"/>
      <c r="E106" s="82" t="s">
        <v>1560</v>
      </c>
      <c r="F106">
        <v>8</v>
      </c>
    </row>
    <row r="107" spans="2:6">
      <c r="B107" s="6" t="str">
        <f>Table8[[#This Row],[Card Model]]&amp;"-"&amp;Table8[[#This Row],[Signal//Chanel]]</f>
        <v>1756-OB32-OUT-8</v>
      </c>
      <c r="C107" s="6" t="s">
        <v>1316</v>
      </c>
      <c r="D107" s="6"/>
      <c r="E107" s="82" t="s">
        <v>1561</v>
      </c>
      <c r="F107">
        <v>9</v>
      </c>
    </row>
    <row r="108" spans="2:6">
      <c r="B108" s="6" t="str">
        <f>Table8[[#This Row],[Card Model]]&amp;"-"&amp;Table8[[#This Row],[Signal//Chanel]]</f>
        <v>1756-OB32-OUT-9</v>
      </c>
      <c r="C108" s="6" t="s">
        <v>1316</v>
      </c>
      <c r="D108" s="6"/>
      <c r="E108" s="82" t="s">
        <v>1562</v>
      </c>
      <c r="F108">
        <v>10</v>
      </c>
    </row>
    <row r="109" spans="2:6">
      <c r="B109" s="6" t="str">
        <f>Table8[[#This Row],[Card Model]]&amp;"-"&amp;Table8[[#This Row],[Signal//Chanel]]</f>
        <v>1756-OB32-RTN OUT-0</v>
      </c>
      <c r="C109" s="6" t="s">
        <v>1316</v>
      </c>
      <c r="D109" s="6"/>
      <c r="E109" s="82" t="s">
        <v>1563</v>
      </c>
      <c r="F109">
        <v>17</v>
      </c>
    </row>
    <row r="110" spans="2:6">
      <c r="B110" s="6" t="str">
        <f>Table8[[#This Row],[Card Model]]&amp;"-"&amp;Table8[[#This Row],[Signal//Chanel]]</f>
        <v>1756-OB32-RTN OUT-1</v>
      </c>
      <c r="C110" s="6" t="s">
        <v>1316</v>
      </c>
      <c r="D110" s="6"/>
      <c r="E110" s="82" t="s">
        <v>1564</v>
      </c>
      <c r="F110">
        <v>35</v>
      </c>
    </row>
    <row r="111" spans="2:6">
      <c r="B111" s="6" t="str">
        <f>Table8[[#This Row],[Card Model]]&amp;"-"&amp;Table8[[#This Row],[Signal//Chanel]]</f>
        <v>1756-OF8-IOUT-0</v>
      </c>
      <c r="C111" s="6" t="s">
        <v>1321</v>
      </c>
      <c r="D111" s="6"/>
      <c r="E111" s="82" t="s">
        <v>1565</v>
      </c>
      <c r="F111">
        <v>3</v>
      </c>
    </row>
    <row r="112" spans="2:6">
      <c r="B112" s="6" t="str">
        <f>Table8[[#This Row],[Card Model]]&amp;"-"&amp;Table8[[#This Row],[Signal//Chanel]]</f>
        <v>1756-OF8-IOUT-1</v>
      </c>
      <c r="C112" s="6" t="s">
        <v>1321</v>
      </c>
      <c r="D112" s="6"/>
      <c r="E112" s="82" t="s">
        <v>1566</v>
      </c>
      <c r="F112">
        <v>9</v>
      </c>
    </row>
    <row r="113" spans="2:6">
      <c r="B113" s="6" t="str">
        <f>Table8[[#This Row],[Card Model]]&amp;"-"&amp;Table8[[#This Row],[Signal//Chanel]]</f>
        <v>1756-OF8-IOUT-2</v>
      </c>
      <c r="C113" s="6" t="s">
        <v>1321</v>
      </c>
      <c r="D113" s="6"/>
      <c r="E113" s="82" t="s">
        <v>1567</v>
      </c>
      <c r="F113">
        <v>13</v>
      </c>
    </row>
    <row r="114" spans="2:6">
      <c r="B114" s="6" t="str">
        <f>Table8[[#This Row],[Card Model]]&amp;"-"&amp;Table8[[#This Row],[Signal//Chanel]]</f>
        <v>1756-OF8-IOUT-3</v>
      </c>
      <c r="C114" s="6" t="s">
        <v>1321</v>
      </c>
      <c r="D114" s="6"/>
      <c r="E114" s="82" t="s">
        <v>1568</v>
      </c>
      <c r="F114">
        <v>19</v>
      </c>
    </row>
    <row r="115" spans="2:6">
      <c r="B115" s="6" t="str">
        <f>Table8[[#This Row],[Card Model]]&amp;"-"&amp;Table8[[#This Row],[Signal//Chanel]]</f>
        <v>1756-OF8-IOUT-4</v>
      </c>
      <c r="C115" s="6" t="s">
        <v>1321</v>
      </c>
      <c r="D115" s="6"/>
      <c r="E115" s="82" t="s">
        <v>1569</v>
      </c>
      <c r="F115">
        <v>4</v>
      </c>
    </row>
    <row r="116" spans="2:6">
      <c r="B116" s="6" t="str">
        <f>Table8[[#This Row],[Card Model]]&amp;"-"&amp;Table8[[#This Row],[Signal//Chanel]]</f>
        <v>1756-OF8-IOUT-5</v>
      </c>
      <c r="C116" s="6" t="s">
        <v>1321</v>
      </c>
      <c r="D116" s="6"/>
      <c r="E116" s="82" t="s">
        <v>1570</v>
      </c>
      <c r="F116">
        <v>10</v>
      </c>
    </row>
    <row r="117" spans="2:6">
      <c r="B117" s="6" t="str">
        <f>Table8[[#This Row],[Card Model]]&amp;"-"&amp;Table8[[#This Row],[Signal//Chanel]]</f>
        <v>1756-OF8-IOUT-6</v>
      </c>
      <c r="C117" s="6" t="s">
        <v>1321</v>
      </c>
      <c r="D117" s="6"/>
      <c r="E117" s="82" t="s">
        <v>1571</v>
      </c>
      <c r="F117">
        <v>14</v>
      </c>
    </row>
    <row r="118" spans="2:6">
      <c r="B118" s="6" t="str">
        <f>Table8[[#This Row],[Card Model]]&amp;"-"&amp;Table8[[#This Row],[Signal//Chanel]]</f>
        <v>1756-OF8-IOUT-7</v>
      </c>
      <c r="C118" s="6" t="s">
        <v>1321</v>
      </c>
      <c r="D118" s="6"/>
      <c r="E118" s="82" t="s">
        <v>1572</v>
      </c>
      <c r="F118">
        <v>20</v>
      </c>
    </row>
    <row r="119" spans="2:6">
      <c r="B119" s="6" t="str">
        <f>Table8[[#This Row],[Card Model]]&amp;"-"&amp;Table8[[#This Row],[Signal//Chanel]]</f>
        <v>1756-OF8-RTN</v>
      </c>
      <c r="C119" s="6" t="s">
        <v>1321</v>
      </c>
      <c r="D119" s="6"/>
      <c r="E119" s="82" t="s">
        <v>1528</v>
      </c>
      <c r="F119">
        <v>5</v>
      </c>
    </row>
    <row r="120" spans="2:6">
      <c r="B120" s="6" t="str">
        <f>Table8[[#This Row],[Card Model]]&amp;"-"&amp;Table8[[#This Row],[Signal//Chanel]]</f>
        <v>1756-OF8-RTN</v>
      </c>
      <c r="C120" s="6" t="s">
        <v>1321</v>
      </c>
      <c r="D120" s="6"/>
      <c r="E120" s="82" t="s">
        <v>1528</v>
      </c>
      <c r="F120">
        <v>6</v>
      </c>
    </row>
    <row r="121" spans="2:6">
      <c r="B121" s="6" t="str">
        <f>Table8[[#This Row],[Card Model]]&amp;"-"&amp;Table8[[#This Row],[Signal//Chanel]]</f>
        <v>1756-OF8-RTN</v>
      </c>
      <c r="C121" s="6" t="s">
        <v>1321</v>
      </c>
      <c r="D121" s="6"/>
      <c r="E121" s="82" t="s">
        <v>1528</v>
      </c>
      <c r="F121">
        <v>15</v>
      </c>
    </row>
    <row r="122" spans="2:6">
      <c r="B122" s="6" t="str">
        <f>Table8[[#This Row],[Card Model]]&amp;"-"&amp;Table8[[#This Row],[Signal//Chanel]]</f>
        <v>1756-OF8-RTN</v>
      </c>
      <c r="C122" s="6" t="s">
        <v>1321</v>
      </c>
      <c r="D122" s="6"/>
      <c r="E122" s="82" t="s">
        <v>1528</v>
      </c>
      <c r="F122">
        <v>16</v>
      </c>
    </row>
    <row r="123" spans="2:6">
      <c r="B123" s="6" t="str">
        <f>Table8[[#This Row],[Card Model]]&amp;"-"&amp;Table8[[#This Row],[Signal//Chanel]]</f>
        <v>1756-OF8-VOUT-0</v>
      </c>
      <c r="C123" s="6" t="s">
        <v>1321</v>
      </c>
      <c r="D123" s="6"/>
      <c r="E123" s="82" t="s">
        <v>1573</v>
      </c>
      <c r="F123">
        <v>1</v>
      </c>
    </row>
    <row r="124" spans="2:6">
      <c r="B124" s="6" t="str">
        <f>Table8[[#This Row],[Card Model]]&amp;"-"&amp;Table8[[#This Row],[Signal//Chanel]]</f>
        <v>1756-OF8-VOUT-1</v>
      </c>
      <c r="C124" s="6" t="s">
        <v>1321</v>
      </c>
      <c r="D124" s="6"/>
      <c r="E124" s="82" t="s">
        <v>1574</v>
      </c>
      <c r="F124">
        <v>7</v>
      </c>
    </row>
    <row r="125" spans="2:6">
      <c r="B125" s="6" t="str">
        <f>Table8[[#This Row],[Card Model]]&amp;"-"&amp;Table8[[#This Row],[Signal//Chanel]]</f>
        <v>1756-OF8-VOUT-2</v>
      </c>
      <c r="C125" s="6" t="s">
        <v>1321</v>
      </c>
      <c r="D125" s="6"/>
      <c r="E125" s="82" t="s">
        <v>1575</v>
      </c>
      <c r="F125">
        <v>11</v>
      </c>
    </row>
    <row r="126" spans="2:6">
      <c r="B126" s="6" t="str">
        <f>Table8[[#This Row],[Card Model]]&amp;"-"&amp;Table8[[#This Row],[Signal//Chanel]]</f>
        <v>1756-OF8-VOUT-3</v>
      </c>
      <c r="C126" s="6" t="s">
        <v>1321</v>
      </c>
      <c r="D126" s="6"/>
      <c r="E126" s="82" t="s">
        <v>1576</v>
      </c>
      <c r="F126">
        <v>17</v>
      </c>
    </row>
    <row r="127" spans="2:6">
      <c r="B127" s="6" t="str">
        <f>Table8[[#This Row],[Card Model]]&amp;"-"&amp;Table8[[#This Row],[Signal//Chanel]]</f>
        <v>1756-OF8-VOUT-4</v>
      </c>
      <c r="C127" s="6" t="s">
        <v>1321</v>
      </c>
      <c r="D127" s="6"/>
      <c r="E127" s="82" t="s">
        <v>1577</v>
      </c>
      <c r="F127">
        <v>2</v>
      </c>
    </row>
    <row r="128" spans="2:6">
      <c r="B128" s="6" t="str">
        <f>Table8[[#This Row],[Card Model]]&amp;"-"&amp;Table8[[#This Row],[Signal//Chanel]]</f>
        <v>1756-OF8-VOUT-5</v>
      </c>
      <c r="C128" s="6" t="s">
        <v>1321</v>
      </c>
      <c r="D128" s="6"/>
      <c r="E128" s="82" t="s">
        <v>1578</v>
      </c>
      <c r="F128">
        <v>8</v>
      </c>
    </row>
    <row r="129" spans="2:6">
      <c r="B129" s="6" t="str">
        <f>Table8[[#This Row],[Card Model]]&amp;"-"&amp;Table8[[#This Row],[Signal//Chanel]]</f>
        <v>1756-OF8-VOUT-6</v>
      </c>
      <c r="C129" s="6" t="s">
        <v>1321</v>
      </c>
      <c r="D129" s="6"/>
      <c r="E129" s="82" t="s">
        <v>1579</v>
      </c>
      <c r="F129">
        <v>12</v>
      </c>
    </row>
    <row r="130" spans="2:6">
      <c r="B130" s="6" t="str">
        <f>Table8[[#This Row],[Card Model]]&amp;"-"&amp;Table8[[#This Row],[Signal//Chanel]]</f>
        <v>1756-OF8-VOUT-7</v>
      </c>
      <c r="C130" s="6" t="s">
        <v>1321</v>
      </c>
      <c r="D130" s="6"/>
      <c r="E130" s="82" t="s">
        <v>1580</v>
      </c>
      <c r="F130">
        <v>18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L474"/>
  <sheetViews>
    <sheetView zoomScale="167" zoomScaleNormal="90" workbookViewId="0">
      <selection activeCell="B13" sqref="B13"/>
    </sheetView>
  </sheetViews>
  <sheetFormatPr baseColWidth="10" defaultColWidth="8.83203125" defaultRowHeight="15"/>
  <cols>
    <col min="1" max="1" width="23.1640625" style="83" bestFit="1" customWidth="1"/>
    <col min="2" max="2" width="18.5" style="83" customWidth="1"/>
    <col min="3" max="3" width="8.83203125" style="83" customWidth="1"/>
    <col min="4" max="4" width="14.5" style="83" customWidth="1"/>
    <col min="5" max="5" width="12.33203125" style="83" customWidth="1"/>
    <col min="6" max="6" width="23.1640625" style="83" bestFit="1" customWidth="1"/>
    <col min="7" max="7" width="8.83203125" style="83" customWidth="1"/>
    <col min="8" max="16384" width="8.83203125" style="83"/>
  </cols>
  <sheetData>
    <row r="2" spans="1:12">
      <c r="A2" s="83" t="s">
        <v>0</v>
      </c>
      <c r="B2" s="83" t="s">
        <v>1</v>
      </c>
      <c r="C2" s="83" t="s">
        <v>2</v>
      </c>
      <c r="D2" s="83" t="s">
        <v>3</v>
      </c>
      <c r="E2" s="83" t="s">
        <v>4</v>
      </c>
      <c r="F2" s="83" t="s">
        <v>5</v>
      </c>
      <c r="G2" s="83" t="s">
        <v>6</v>
      </c>
      <c r="H2" s="83" t="s">
        <v>7</v>
      </c>
      <c r="I2" s="83" t="s">
        <v>8</v>
      </c>
      <c r="J2" s="83" t="s">
        <v>9</v>
      </c>
      <c r="K2" s="83" t="s">
        <v>10</v>
      </c>
      <c r="L2" s="83" t="s">
        <v>11</v>
      </c>
    </row>
    <row r="3" spans="1:12">
      <c r="A3" s="83" t="s">
        <v>12</v>
      </c>
      <c r="B3" s="83" t="s">
        <v>13</v>
      </c>
      <c r="C3" s="83" t="s">
        <v>14</v>
      </c>
      <c r="D3" s="83" t="s">
        <v>15</v>
      </c>
      <c r="E3" s="83" t="s">
        <v>16</v>
      </c>
      <c r="F3" s="83" t="s">
        <v>12</v>
      </c>
      <c r="G3" s="83" t="s">
        <v>17</v>
      </c>
      <c r="H3" s="83" t="s">
        <v>18</v>
      </c>
      <c r="I3" s="83">
        <v>1</v>
      </c>
      <c r="J3" s="83" t="s">
        <v>18</v>
      </c>
      <c r="K3" s="83" t="s">
        <v>18</v>
      </c>
      <c r="L3" s="83" t="s">
        <v>18</v>
      </c>
    </row>
    <row r="4" spans="1:12">
      <c r="A4" s="83" t="s">
        <v>19</v>
      </c>
      <c r="B4" s="83" t="s">
        <v>13</v>
      </c>
      <c r="C4" s="83" t="s">
        <v>14</v>
      </c>
      <c r="D4" s="83" t="s">
        <v>15</v>
      </c>
      <c r="E4" s="83" t="s">
        <v>16</v>
      </c>
      <c r="F4" s="83" t="s">
        <v>19</v>
      </c>
      <c r="G4" s="83" t="s">
        <v>17</v>
      </c>
      <c r="H4" s="83" t="s">
        <v>18</v>
      </c>
      <c r="I4" s="83">
        <v>1</v>
      </c>
      <c r="J4" s="83" t="s">
        <v>18</v>
      </c>
      <c r="K4" s="83" t="s">
        <v>18</v>
      </c>
      <c r="L4" s="83" t="s">
        <v>18</v>
      </c>
    </row>
    <row r="5" spans="1:12">
      <c r="A5" s="83" t="s">
        <v>20</v>
      </c>
      <c r="B5" s="83" t="s">
        <v>13</v>
      </c>
      <c r="C5" s="83" t="s">
        <v>14</v>
      </c>
      <c r="D5" s="83" t="s">
        <v>15</v>
      </c>
      <c r="E5" s="83" t="s">
        <v>21</v>
      </c>
      <c r="F5" s="83" t="s">
        <v>20</v>
      </c>
      <c r="G5" s="83" t="s">
        <v>22</v>
      </c>
      <c r="H5" s="83" t="s">
        <v>18</v>
      </c>
      <c r="I5" s="83">
        <v>1</v>
      </c>
      <c r="J5" s="83" t="s">
        <v>18</v>
      </c>
      <c r="K5" s="83" t="s">
        <v>18</v>
      </c>
      <c r="L5" s="83" t="s">
        <v>18</v>
      </c>
    </row>
    <row r="6" spans="1:12">
      <c r="A6" s="83" t="s">
        <v>23</v>
      </c>
      <c r="B6" s="83" t="s">
        <v>13</v>
      </c>
      <c r="C6" s="83" t="s">
        <v>14</v>
      </c>
      <c r="D6" s="83" t="s">
        <v>24</v>
      </c>
      <c r="E6" s="83" t="s">
        <v>16</v>
      </c>
      <c r="F6" s="83" t="s">
        <v>23</v>
      </c>
      <c r="G6" s="83" t="s">
        <v>17</v>
      </c>
      <c r="H6" s="83" t="s">
        <v>18</v>
      </c>
      <c r="I6" s="83" t="s">
        <v>18</v>
      </c>
      <c r="J6" s="83" t="s">
        <v>18</v>
      </c>
      <c r="K6" s="83">
        <v>1</v>
      </c>
      <c r="L6" s="83" t="s">
        <v>18</v>
      </c>
    </row>
    <row r="7" spans="1:12">
      <c r="A7" s="83" t="s">
        <v>25</v>
      </c>
      <c r="B7" s="83" t="s">
        <v>13</v>
      </c>
      <c r="C7" s="83" t="s">
        <v>14</v>
      </c>
      <c r="D7" s="83" t="s">
        <v>15</v>
      </c>
      <c r="E7" s="83" t="s">
        <v>16</v>
      </c>
      <c r="F7" s="83" t="s">
        <v>25</v>
      </c>
      <c r="G7" s="83" t="s">
        <v>17</v>
      </c>
      <c r="H7" s="83" t="s">
        <v>18</v>
      </c>
      <c r="I7" s="83" t="s">
        <v>18</v>
      </c>
      <c r="J7" s="83" t="s">
        <v>18</v>
      </c>
      <c r="K7" s="83">
        <v>1</v>
      </c>
      <c r="L7" s="83" t="s">
        <v>18</v>
      </c>
    </row>
    <row r="8" spans="1:12">
      <c r="A8" s="83" t="s">
        <v>26</v>
      </c>
      <c r="B8" s="83" t="s">
        <v>13</v>
      </c>
      <c r="C8" s="83" t="s">
        <v>14</v>
      </c>
      <c r="D8" s="83" t="s">
        <v>15</v>
      </c>
      <c r="E8" s="83" t="s">
        <v>16</v>
      </c>
      <c r="F8" s="83" t="s">
        <v>26</v>
      </c>
      <c r="G8" s="83" t="s">
        <v>17</v>
      </c>
      <c r="H8" s="83" t="s">
        <v>18</v>
      </c>
      <c r="I8" s="83">
        <v>1</v>
      </c>
      <c r="J8" s="83" t="s">
        <v>18</v>
      </c>
      <c r="K8" s="83" t="s">
        <v>18</v>
      </c>
      <c r="L8" s="83" t="s">
        <v>18</v>
      </c>
    </row>
    <row r="9" spans="1:12">
      <c r="A9" s="83" t="s">
        <v>27</v>
      </c>
      <c r="B9" s="83" t="s">
        <v>13</v>
      </c>
      <c r="C9" s="83" t="s">
        <v>14</v>
      </c>
      <c r="D9" s="83" t="s">
        <v>28</v>
      </c>
      <c r="E9" s="83" t="s">
        <v>16</v>
      </c>
      <c r="F9" s="83" t="s">
        <v>27</v>
      </c>
      <c r="G9" s="83" t="s">
        <v>17</v>
      </c>
      <c r="H9" s="83" t="s">
        <v>18</v>
      </c>
      <c r="I9" s="83" t="s">
        <v>18</v>
      </c>
      <c r="J9" s="83" t="s">
        <v>18</v>
      </c>
      <c r="K9" s="83">
        <v>1</v>
      </c>
      <c r="L9" s="83" t="s">
        <v>18</v>
      </c>
    </row>
    <row r="10" spans="1:12">
      <c r="A10" s="83" t="s">
        <v>29</v>
      </c>
      <c r="B10" s="83" t="s">
        <v>13</v>
      </c>
      <c r="C10" s="83" t="s">
        <v>14</v>
      </c>
      <c r="D10" s="83" t="s">
        <v>28</v>
      </c>
      <c r="E10" s="83" t="s">
        <v>16</v>
      </c>
      <c r="F10" s="83" t="s">
        <v>29</v>
      </c>
      <c r="G10" s="83" t="s">
        <v>17</v>
      </c>
      <c r="H10" s="83" t="s">
        <v>18</v>
      </c>
      <c r="I10" s="83" t="s">
        <v>18</v>
      </c>
      <c r="J10" s="83" t="s">
        <v>18</v>
      </c>
      <c r="K10" s="83">
        <v>1</v>
      </c>
      <c r="L10" s="83" t="s">
        <v>18</v>
      </c>
    </row>
    <row r="11" spans="1:12">
      <c r="A11" s="83" t="s">
        <v>30</v>
      </c>
      <c r="B11" s="83" t="s">
        <v>13</v>
      </c>
      <c r="C11" s="83" t="s">
        <v>14</v>
      </c>
      <c r="D11" s="83" t="s">
        <v>31</v>
      </c>
      <c r="E11" s="83" t="s">
        <v>16</v>
      </c>
      <c r="F11" s="83" t="s">
        <v>30</v>
      </c>
      <c r="G11" s="83" t="s">
        <v>17</v>
      </c>
      <c r="H11" s="83" t="s">
        <v>18</v>
      </c>
      <c r="I11" s="83" t="s">
        <v>18</v>
      </c>
      <c r="J11" s="83" t="s">
        <v>18</v>
      </c>
      <c r="K11" s="83">
        <v>1</v>
      </c>
      <c r="L11" s="83" t="s">
        <v>18</v>
      </c>
    </row>
    <row r="12" spans="1:12">
      <c r="A12" s="83" t="s">
        <v>32</v>
      </c>
      <c r="B12" s="83" t="s">
        <v>13</v>
      </c>
      <c r="C12" s="83" t="s">
        <v>14</v>
      </c>
      <c r="D12" s="83" t="s">
        <v>31</v>
      </c>
      <c r="E12" s="83" t="s">
        <v>16</v>
      </c>
      <c r="F12" s="83" t="s">
        <v>32</v>
      </c>
      <c r="G12" s="83" t="s">
        <v>17</v>
      </c>
      <c r="H12" s="83" t="s">
        <v>18</v>
      </c>
      <c r="I12" s="83" t="s">
        <v>18</v>
      </c>
      <c r="J12" s="83" t="s">
        <v>18</v>
      </c>
      <c r="K12" s="83">
        <v>1</v>
      </c>
      <c r="L12" s="83" t="s">
        <v>18</v>
      </c>
    </row>
    <row r="13" spans="1:12">
      <c r="A13" s="83" t="s">
        <v>33</v>
      </c>
      <c r="B13" s="83" t="s">
        <v>13</v>
      </c>
      <c r="C13" s="83" t="s">
        <v>14</v>
      </c>
      <c r="D13" s="83" t="s">
        <v>31</v>
      </c>
      <c r="E13" s="83" t="s">
        <v>16</v>
      </c>
      <c r="F13" s="83" t="s">
        <v>33</v>
      </c>
      <c r="G13" s="83" t="s">
        <v>17</v>
      </c>
      <c r="H13" s="83" t="s">
        <v>18</v>
      </c>
      <c r="I13" s="83" t="s">
        <v>18</v>
      </c>
      <c r="J13" s="83" t="s">
        <v>18</v>
      </c>
      <c r="K13" s="83">
        <v>1</v>
      </c>
      <c r="L13" s="83" t="s">
        <v>18</v>
      </c>
    </row>
    <row r="14" spans="1:12">
      <c r="A14" s="83" t="s">
        <v>34</v>
      </c>
      <c r="B14" s="83" t="s">
        <v>13</v>
      </c>
      <c r="C14" s="83" t="s">
        <v>14</v>
      </c>
      <c r="D14" s="83" t="s">
        <v>31</v>
      </c>
      <c r="E14" s="83" t="s">
        <v>16</v>
      </c>
      <c r="F14" s="83" t="s">
        <v>34</v>
      </c>
      <c r="G14" s="83" t="s">
        <v>17</v>
      </c>
      <c r="H14" s="83" t="s">
        <v>18</v>
      </c>
      <c r="I14" s="83">
        <v>1</v>
      </c>
      <c r="J14" s="83" t="s">
        <v>18</v>
      </c>
      <c r="K14" s="83" t="s">
        <v>18</v>
      </c>
      <c r="L14" s="83" t="s">
        <v>18</v>
      </c>
    </row>
    <row r="15" spans="1:12">
      <c r="A15" s="83" t="s">
        <v>35</v>
      </c>
      <c r="B15" s="83" t="s">
        <v>13</v>
      </c>
      <c r="C15" s="83" t="s">
        <v>14</v>
      </c>
      <c r="D15" s="83" t="s">
        <v>31</v>
      </c>
      <c r="E15" s="83" t="s">
        <v>16</v>
      </c>
      <c r="F15" s="83" t="s">
        <v>35</v>
      </c>
      <c r="G15" s="83" t="s">
        <v>17</v>
      </c>
      <c r="H15" s="83" t="s">
        <v>18</v>
      </c>
      <c r="I15" s="83">
        <v>1</v>
      </c>
      <c r="J15" s="83" t="s">
        <v>18</v>
      </c>
      <c r="K15" s="83" t="s">
        <v>18</v>
      </c>
      <c r="L15" s="83" t="s">
        <v>18</v>
      </c>
    </row>
    <row r="16" spans="1:12">
      <c r="A16" s="83" t="s">
        <v>36</v>
      </c>
      <c r="B16" s="83" t="s">
        <v>13</v>
      </c>
      <c r="C16" s="83" t="s">
        <v>14</v>
      </c>
      <c r="D16" s="83" t="s">
        <v>31</v>
      </c>
      <c r="E16" s="83" t="s">
        <v>18</v>
      </c>
      <c r="F16" s="83" t="s">
        <v>36</v>
      </c>
      <c r="G16" s="83" t="s">
        <v>17</v>
      </c>
      <c r="H16" s="83" t="s">
        <v>18</v>
      </c>
      <c r="I16" s="83">
        <v>1</v>
      </c>
      <c r="J16" s="83" t="s">
        <v>18</v>
      </c>
      <c r="K16" s="83" t="s">
        <v>18</v>
      </c>
      <c r="L16" s="83" t="s">
        <v>18</v>
      </c>
    </row>
    <row r="17" spans="1:12">
      <c r="A17" s="83" t="s">
        <v>37</v>
      </c>
      <c r="B17" s="83" t="s">
        <v>13</v>
      </c>
      <c r="C17" s="83" t="s">
        <v>14</v>
      </c>
      <c r="D17" s="83" t="s">
        <v>31</v>
      </c>
      <c r="E17" s="83" t="s">
        <v>18</v>
      </c>
      <c r="F17" s="83" t="s">
        <v>37</v>
      </c>
      <c r="G17" s="83" t="s">
        <v>17</v>
      </c>
      <c r="H17" s="83" t="s">
        <v>18</v>
      </c>
      <c r="I17" s="83">
        <v>1</v>
      </c>
      <c r="J17" s="83" t="s">
        <v>18</v>
      </c>
      <c r="K17" s="83" t="s">
        <v>18</v>
      </c>
      <c r="L17" s="83" t="s">
        <v>18</v>
      </c>
    </row>
    <row r="18" spans="1:12">
      <c r="A18" s="83" t="s">
        <v>38</v>
      </c>
      <c r="B18" s="83" t="s">
        <v>13</v>
      </c>
      <c r="C18" s="83" t="s">
        <v>14</v>
      </c>
      <c r="D18" s="83" t="s">
        <v>31</v>
      </c>
      <c r="E18" s="83" t="s">
        <v>21</v>
      </c>
      <c r="F18" s="83" t="s">
        <v>38</v>
      </c>
      <c r="G18" s="83" t="s">
        <v>22</v>
      </c>
      <c r="H18" s="83" t="s">
        <v>18</v>
      </c>
      <c r="I18" s="83">
        <v>1</v>
      </c>
      <c r="J18" s="83" t="s">
        <v>18</v>
      </c>
      <c r="K18" s="83" t="s">
        <v>18</v>
      </c>
      <c r="L18" s="83" t="s">
        <v>18</v>
      </c>
    </row>
    <row r="19" spans="1:12">
      <c r="A19" s="83" t="s">
        <v>39</v>
      </c>
      <c r="B19" s="83" t="s">
        <v>13</v>
      </c>
      <c r="C19" s="83" t="s">
        <v>14</v>
      </c>
      <c r="D19" s="83" t="s">
        <v>31</v>
      </c>
      <c r="E19" s="83" t="s">
        <v>21</v>
      </c>
      <c r="F19" s="83" t="s">
        <v>39</v>
      </c>
      <c r="G19" s="83" t="s">
        <v>22</v>
      </c>
      <c r="H19" s="83" t="s">
        <v>18</v>
      </c>
      <c r="I19" s="83">
        <v>1</v>
      </c>
      <c r="J19" s="83" t="s">
        <v>18</v>
      </c>
      <c r="K19" s="83" t="s">
        <v>18</v>
      </c>
      <c r="L19" s="83" t="s">
        <v>18</v>
      </c>
    </row>
    <row r="20" spans="1:12">
      <c r="A20" s="83" t="s">
        <v>40</v>
      </c>
      <c r="B20" s="83" t="s">
        <v>13</v>
      </c>
      <c r="C20" s="83" t="s">
        <v>14</v>
      </c>
      <c r="D20" s="83" t="s">
        <v>28</v>
      </c>
      <c r="E20" s="83" t="s">
        <v>18</v>
      </c>
      <c r="F20" s="83" t="s">
        <v>40</v>
      </c>
      <c r="G20" s="83" t="s">
        <v>18</v>
      </c>
      <c r="H20" s="83" t="s">
        <v>18</v>
      </c>
      <c r="I20" s="83">
        <v>1</v>
      </c>
      <c r="J20" s="83" t="s">
        <v>18</v>
      </c>
      <c r="K20" s="83" t="s">
        <v>18</v>
      </c>
      <c r="L20" s="83" t="s">
        <v>18</v>
      </c>
    </row>
    <row r="21" spans="1:12">
      <c r="A21" s="83" t="s">
        <v>41</v>
      </c>
      <c r="B21" s="83" t="s">
        <v>13</v>
      </c>
      <c r="C21" s="83" t="s">
        <v>14</v>
      </c>
      <c r="D21" s="83" t="s">
        <v>28</v>
      </c>
      <c r="E21" s="83" t="s">
        <v>18</v>
      </c>
      <c r="F21" s="83" t="s">
        <v>41</v>
      </c>
      <c r="G21" s="83" t="s">
        <v>18</v>
      </c>
      <c r="H21" s="83" t="s">
        <v>18</v>
      </c>
      <c r="I21" s="83">
        <v>1</v>
      </c>
      <c r="J21" s="83" t="s">
        <v>18</v>
      </c>
      <c r="K21" s="83" t="s">
        <v>18</v>
      </c>
      <c r="L21" s="83" t="s">
        <v>18</v>
      </c>
    </row>
    <row r="22" spans="1:12">
      <c r="A22" s="83" t="s">
        <v>42</v>
      </c>
      <c r="B22" s="83" t="s">
        <v>13</v>
      </c>
      <c r="C22" s="83" t="s">
        <v>14</v>
      </c>
      <c r="D22" s="83" t="s">
        <v>28</v>
      </c>
      <c r="E22" s="83" t="s">
        <v>18</v>
      </c>
      <c r="F22" s="83" t="s">
        <v>42</v>
      </c>
      <c r="G22" s="83" t="s">
        <v>18</v>
      </c>
      <c r="H22" s="83" t="s">
        <v>18</v>
      </c>
      <c r="I22" s="83">
        <v>1</v>
      </c>
      <c r="J22" s="83" t="s">
        <v>18</v>
      </c>
      <c r="K22" s="83" t="s">
        <v>18</v>
      </c>
      <c r="L22" s="83" t="s">
        <v>18</v>
      </c>
    </row>
    <row r="23" spans="1:12">
      <c r="A23" s="83" t="s">
        <v>43</v>
      </c>
      <c r="B23" s="83" t="s">
        <v>13</v>
      </c>
      <c r="C23" s="83" t="s">
        <v>14</v>
      </c>
      <c r="D23" s="83" t="s">
        <v>28</v>
      </c>
      <c r="E23" s="83" t="s">
        <v>18</v>
      </c>
      <c r="F23" s="83" t="s">
        <v>43</v>
      </c>
      <c r="G23" s="83" t="s">
        <v>18</v>
      </c>
      <c r="H23" s="83" t="s">
        <v>18</v>
      </c>
      <c r="I23" s="83">
        <v>1</v>
      </c>
      <c r="J23" s="83" t="s">
        <v>18</v>
      </c>
      <c r="K23" s="83" t="s">
        <v>18</v>
      </c>
      <c r="L23" s="83" t="s">
        <v>18</v>
      </c>
    </row>
    <row r="24" spans="1:12">
      <c r="A24" s="83" t="s">
        <v>44</v>
      </c>
      <c r="B24" s="83" t="s">
        <v>13</v>
      </c>
      <c r="C24" s="83" t="s">
        <v>14</v>
      </c>
      <c r="D24" s="83" t="s">
        <v>28</v>
      </c>
      <c r="E24" s="83" t="s">
        <v>18</v>
      </c>
      <c r="F24" s="83" t="s">
        <v>44</v>
      </c>
      <c r="G24" s="83" t="s">
        <v>18</v>
      </c>
      <c r="H24" s="83" t="s">
        <v>18</v>
      </c>
      <c r="I24" s="83">
        <v>1</v>
      </c>
      <c r="J24" s="83" t="s">
        <v>18</v>
      </c>
      <c r="K24" s="83" t="s">
        <v>18</v>
      </c>
      <c r="L24" s="83" t="s">
        <v>18</v>
      </c>
    </row>
    <row r="25" spans="1:12">
      <c r="A25" s="83" t="s">
        <v>45</v>
      </c>
      <c r="B25" s="83" t="s">
        <v>46</v>
      </c>
      <c r="C25" s="83" t="s">
        <v>14</v>
      </c>
      <c r="D25" s="83" t="s">
        <v>47</v>
      </c>
      <c r="E25" s="83" t="s">
        <v>16</v>
      </c>
      <c r="F25" s="83" t="s">
        <v>45</v>
      </c>
      <c r="G25" s="83" t="s">
        <v>17</v>
      </c>
      <c r="H25" s="83" t="s">
        <v>18</v>
      </c>
      <c r="I25" s="83" t="s">
        <v>18</v>
      </c>
      <c r="J25" s="83" t="s">
        <v>18</v>
      </c>
      <c r="K25" s="83">
        <v>1</v>
      </c>
      <c r="L25" s="83" t="s">
        <v>18</v>
      </c>
    </row>
    <row r="26" spans="1:12">
      <c r="A26" s="83" t="s">
        <v>48</v>
      </c>
      <c r="B26" s="83" t="s">
        <v>46</v>
      </c>
      <c r="C26" s="83" t="s">
        <v>14</v>
      </c>
      <c r="D26" s="83" t="s">
        <v>47</v>
      </c>
      <c r="E26" s="83" t="s">
        <v>16</v>
      </c>
      <c r="F26" s="83" t="s">
        <v>48</v>
      </c>
      <c r="G26" s="83" t="s">
        <v>17</v>
      </c>
      <c r="H26" s="83" t="s">
        <v>18</v>
      </c>
      <c r="I26" s="83" t="s">
        <v>18</v>
      </c>
      <c r="J26" s="83" t="s">
        <v>18</v>
      </c>
      <c r="K26" s="83">
        <v>1</v>
      </c>
      <c r="L26" s="83" t="s">
        <v>18</v>
      </c>
    </row>
    <row r="27" spans="1:12">
      <c r="A27" s="83" t="s">
        <v>49</v>
      </c>
      <c r="B27" s="83" t="s">
        <v>46</v>
      </c>
      <c r="C27" s="83" t="s">
        <v>14</v>
      </c>
      <c r="D27" s="83" t="s">
        <v>47</v>
      </c>
      <c r="E27" s="83" t="s">
        <v>50</v>
      </c>
      <c r="F27" s="83" t="s">
        <v>49</v>
      </c>
      <c r="G27" s="83" t="s">
        <v>51</v>
      </c>
      <c r="H27" s="83" t="s">
        <v>18</v>
      </c>
      <c r="I27" s="83" t="s">
        <v>18</v>
      </c>
      <c r="J27" s="83" t="s">
        <v>18</v>
      </c>
      <c r="K27" s="83">
        <v>1</v>
      </c>
      <c r="L27" s="83" t="s">
        <v>18</v>
      </c>
    </row>
    <row r="28" spans="1:12">
      <c r="A28" s="83" t="s">
        <v>52</v>
      </c>
      <c r="B28" s="83" t="s">
        <v>46</v>
      </c>
      <c r="C28" s="83" t="s">
        <v>14</v>
      </c>
      <c r="D28" s="83" t="s">
        <v>47</v>
      </c>
      <c r="E28" s="83" t="s">
        <v>50</v>
      </c>
      <c r="F28" s="83" t="s">
        <v>52</v>
      </c>
      <c r="G28" s="83" t="s">
        <v>51</v>
      </c>
      <c r="H28" s="83">
        <v>1</v>
      </c>
      <c r="I28" s="83" t="s">
        <v>18</v>
      </c>
      <c r="J28" s="83" t="s">
        <v>18</v>
      </c>
      <c r="K28" s="83" t="s">
        <v>18</v>
      </c>
      <c r="L28" s="83" t="s">
        <v>18</v>
      </c>
    </row>
    <row r="29" spans="1:12">
      <c r="A29" s="83" t="s">
        <v>53</v>
      </c>
      <c r="B29" s="83" t="s">
        <v>46</v>
      </c>
      <c r="C29" s="83" t="s">
        <v>14</v>
      </c>
      <c r="D29" s="83" t="s">
        <v>47</v>
      </c>
      <c r="E29" s="83" t="s">
        <v>16</v>
      </c>
      <c r="F29" s="83" t="s">
        <v>53</v>
      </c>
      <c r="G29" s="83" t="s">
        <v>17</v>
      </c>
      <c r="H29" s="83" t="s">
        <v>18</v>
      </c>
      <c r="I29" s="83">
        <v>1</v>
      </c>
      <c r="J29" s="83" t="s">
        <v>18</v>
      </c>
      <c r="K29" s="83" t="s">
        <v>18</v>
      </c>
      <c r="L29" s="83" t="s">
        <v>18</v>
      </c>
    </row>
    <row r="30" spans="1:12">
      <c r="A30" s="83" t="s">
        <v>54</v>
      </c>
      <c r="B30" s="83" t="s">
        <v>46</v>
      </c>
      <c r="C30" s="83" t="s">
        <v>14</v>
      </c>
      <c r="D30" s="83" t="s">
        <v>47</v>
      </c>
      <c r="E30" s="83" t="s">
        <v>16</v>
      </c>
      <c r="F30" s="83" t="s">
        <v>54</v>
      </c>
      <c r="G30" s="83" t="s">
        <v>17</v>
      </c>
      <c r="H30" s="83" t="s">
        <v>18</v>
      </c>
      <c r="I30" s="83">
        <v>1</v>
      </c>
      <c r="J30" s="83" t="s">
        <v>18</v>
      </c>
      <c r="K30" s="83" t="s">
        <v>18</v>
      </c>
      <c r="L30" s="83" t="s">
        <v>18</v>
      </c>
    </row>
    <row r="31" spans="1:12">
      <c r="A31" s="83" t="s">
        <v>55</v>
      </c>
      <c r="B31" s="83" t="s">
        <v>46</v>
      </c>
      <c r="C31" s="83" t="s">
        <v>14</v>
      </c>
      <c r="D31" s="83" t="s">
        <v>47</v>
      </c>
      <c r="E31" s="83" t="s">
        <v>21</v>
      </c>
      <c r="F31" s="83" t="s">
        <v>55</v>
      </c>
      <c r="G31" s="83" t="s">
        <v>22</v>
      </c>
      <c r="H31" s="83" t="s">
        <v>18</v>
      </c>
      <c r="I31" s="83">
        <v>1</v>
      </c>
      <c r="J31" s="83" t="s">
        <v>18</v>
      </c>
      <c r="K31" s="83" t="s">
        <v>18</v>
      </c>
      <c r="L31" s="83" t="s">
        <v>18</v>
      </c>
    </row>
    <row r="32" spans="1:12">
      <c r="A32" s="83" t="s">
        <v>56</v>
      </c>
      <c r="B32" s="83" t="s">
        <v>46</v>
      </c>
      <c r="C32" s="83" t="s">
        <v>14</v>
      </c>
      <c r="D32" s="83" t="s">
        <v>47</v>
      </c>
      <c r="E32" s="83" t="s">
        <v>21</v>
      </c>
      <c r="F32" s="83" t="s">
        <v>56</v>
      </c>
      <c r="G32" s="83" t="s">
        <v>22</v>
      </c>
      <c r="H32" s="83" t="s">
        <v>18</v>
      </c>
      <c r="I32" s="83">
        <v>1</v>
      </c>
      <c r="J32" s="83" t="s">
        <v>18</v>
      </c>
      <c r="K32" s="83" t="s">
        <v>18</v>
      </c>
      <c r="L32" s="83" t="s">
        <v>18</v>
      </c>
    </row>
    <row r="33" spans="1:12">
      <c r="A33" s="83" t="s">
        <v>57</v>
      </c>
      <c r="B33" s="83" t="s">
        <v>46</v>
      </c>
      <c r="C33" s="83" t="s">
        <v>14</v>
      </c>
      <c r="D33" s="83" t="s">
        <v>58</v>
      </c>
      <c r="E33" s="83" t="s">
        <v>16</v>
      </c>
      <c r="F33" s="83" t="s">
        <v>57</v>
      </c>
      <c r="G33" s="83" t="s">
        <v>17</v>
      </c>
      <c r="H33" s="83" t="s">
        <v>18</v>
      </c>
      <c r="I33" s="83" t="s">
        <v>18</v>
      </c>
      <c r="J33" s="83" t="s">
        <v>18</v>
      </c>
      <c r="K33" s="83">
        <v>1</v>
      </c>
      <c r="L33" s="83" t="s">
        <v>18</v>
      </c>
    </row>
    <row r="34" spans="1:12">
      <c r="A34" s="83" t="s">
        <v>59</v>
      </c>
      <c r="B34" s="83" t="s">
        <v>46</v>
      </c>
      <c r="C34" s="83" t="s">
        <v>14</v>
      </c>
      <c r="D34" s="83" t="s">
        <v>58</v>
      </c>
      <c r="E34" s="83" t="s">
        <v>16</v>
      </c>
      <c r="F34" s="83" t="s">
        <v>59</v>
      </c>
      <c r="G34" s="83" t="s">
        <v>17</v>
      </c>
      <c r="H34" s="83" t="s">
        <v>18</v>
      </c>
      <c r="I34" s="83" t="s">
        <v>18</v>
      </c>
      <c r="J34" s="83" t="s">
        <v>18</v>
      </c>
      <c r="K34" s="83">
        <v>1</v>
      </c>
      <c r="L34" s="83" t="s">
        <v>18</v>
      </c>
    </row>
    <row r="35" spans="1:12">
      <c r="A35" s="83" t="s">
        <v>60</v>
      </c>
      <c r="B35" s="83" t="s">
        <v>46</v>
      </c>
      <c r="C35" s="83" t="s">
        <v>14</v>
      </c>
      <c r="D35" s="83" t="s">
        <v>58</v>
      </c>
      <c r="E35" s="83" t="s">
        <v>16</v>
      </c>
      <c r="F35" s="83" t="s">
        <v>60</v>
      </c>
      <c r="G35" s="83" t="s">
        <v>17</v>
      </c>
      <c r="H35" s="83" t="s">
        <v>18</v>
      </c>
      <c r="I35" s="83" t="s">
        <v>18</v>
      </c>
      <c r="J35" s="83" t="s">
        <v>18</v>
      </c>
      <c r="K35" s="83">
        <v>1</v>
      </c>
      <c r="L35" s="83" t="s">
        <v>18</v>
      </c>
    </row>
    <row r="36" spans="1:12">
      <c r="A36" s="83" t="s">
        <v>61</v>
      </c>
      <c r="B36" s="83" t="s">
        <v>46</v>
      </c>
      <c r="C36" s="83" t="s">
        <v>14</v>
      </c>
      <c r="D36" s="83" t="s">
        <v>58</v>
      </c>
      <c r="E36" s="83" t="s">
        <v>16</v>
      </c>
      <c r="F36" s="83" t="s">
        <v>61</v>
      </c>
      <c r="G36" s="83" t="s">
        <v>17</v>
      </c>
      <c r="H36" s="83" t="s">
        <v>18</v>
      </c>
      <c r="I36" s="83">
        <v>1</v>
      </c>
      <c r="J36" s="83" t="s">
        <v>18</v>
      </c>
      <c r="K36" s="83" t="s">
        <v>18</v>
      </c>
      <c r="L36" s="83" t="s">
        <v>18</v>
      </c>
    </row>
    <row r="37" spans="1:12">
      <c r="A37" s="83" t="s">
        <v>62</v>
      </c>
      <c r="B37" s="83" t="s">
        <v>46</v>
      </c>
      <c r="C37" s="83" t="s">
        <v>14</v>
      </c>
      <c r="D37" s="83" t="s">
        <v>58</v>
      </c>
      <c r="E37" s="83" t="s">
        <v>16</v>
      </c>
      <c r="F37" s="83" t="s">
        <v>62</v>
      </c>
      <c r="G37" s="83" t="s">
        <v>17</v>
      </c>
      <c r="H37" s="83" t="s">
        <v>18</v>
      </c>
      <c r="I37" s="83">
        <v>1</v>
      </c>
      <c r="J37" s="83" t="s">
        <v>18</v>
      </c>
      <c r="K37" s="83" t="s">
        <v>18</v>
      </c>
      <c r="L37" s="83" t="s">
        <v>18</v>
      </c>
    </row>
    <row r="38" spans="1:12">
      <c r="A38" s="83" t="s">
        <v>63</v>
      </c>
      <c r="B38" s="83" t="s">
        <v>46</v>
      </c>
      <c r="C38" s="83" t="s">
        <v>14</v>
      </c>
      <c r="D38" s="83" t="s">
        <v>58</v>
      </c>
      <c r="E38" s="83" t="s">
        <v>18</v>
      </c>
      <c r="F38" s="83" t="s">
        <v>63</v>
      </c>
      <c r="G38" s="83" t="s">
        <v>22</v>
      </c>
      <c r="H38" s="83" t="s">
        <v>18</v>
      </c>
      <c r="I38" s="83">
        <v>1</v>
      </c>
      <c r="J38" s="83" t="s">
        <v>18</v>
      </c>
      <c r="K38" s="83" t="s">
        <v>18</v>
      </c>
      <c r="L38" s="83" t="s">
        <v>18</v>
      </c>
    </row>
    <row r="39" spans="1:12">
      <c r="A39" s="83" t="s">
        <v>64</v>
      </c>
      <c r="B39" s="83" t="s">
        <v>65</v>
      </c>
      <c r="C39" s="83" t="s">
        <v>66</v>
      </c>
      <c r="D39" s="83" t="s">
        <v>24</v>
      </c>
      <c r="E39" s="83" t="s">
        <v>67</v>
      </c>
      <c r="F39" s="83" t="s">
        <v>64</v>
      </c>
      <c r="G39" s="83" t="s">
        <v>68</v>
      </c>
      <c r="H39" s="83" t="s">
        <v>18</v>
      </c>
      <c r="I39" s="83" t="s">
        <v>18</v>
      </c>
      <c r="J39" s="83" t="s">
        <v>18</v>
      </c>
      <c r="K39" s="83">
        <v>1</v>
      </c>
      <c r="L39" s="83" t="s">
        <v>18</v>
      </c>
    </row>
    <row r="40" spans="1:12">
      <c r="A40" s="83" t="s">
        <v>69</v>
      </c>
      <c r="B40" s="83" t="s">
        <v>65</v>
      </c>
      <c r="C40" s="83" t="s">
        <v>66</v>
      </c>
      <c r="D40" s="83" t="s">
        <v>24</v>
      </c>
      <c r="E40" s="83" t="s">
        <v>70</v>
      </c>
      <c r="F40" s="83" t="s">
        <v>69</v>
      </c>
      <c r="G40" s="83" t="s">
        <v>71</v>
      </c>
      <c r="H40" s="83" t="s">
        <v>18</v>
      </c>
      <c r="I40" s="83" t="s">
        <v>18</v>
      </c>
      <c r="J40" s="83" t="s">
        <v>18</v>
      </c>
      <c r="K40" s="83">
        <v>1</v>
      </c>
      <c r="L40" s="83" t="s">
        <v>18</v>
      </c>
    </row>
    <row r="41" spans="1:12">
      <c r="A41" s="83" t="s">
        <v>72</v>
      </c>
      <c r="B41" s="83" t="s">
        <v>65</v>
      </c>
      <c r="C41" s="83" t="s">
        <v>66</v>
      </c>
      <c r="D41" s="83" t="s">
        <v>15</v>
      </c>
      <c r="E41" s="83" t="s">
        <v>67</v>
      </c>
      <c r="F41" s="83" t="s">
        <v>72</v>
      </c>
      <c r="G41" s="83" t="s">
        <v>68</v>
      </c>
      <c r="H41" s="83" t="s">
        <v>18</v>
      </c>
      <c r="I41" s="83">
        <v>1</v>
      </c>
      <c r="J41" s="83" t="s">
        <v>18</v>
      </c>
      <c r="K41" s="83" t="s">
        <v>18</v>
      </c>
      <c r="L41" s="83" t="s">
        <v>18</v>
      </c>
    </row>
    <row r="42" spans="1:12">
      <c r="A42" s="83" t="s">
        <v>73</v>
      </c>
      <c r="B42" s="83" t="s">
        <v>65</v>
      </c>
      <c r="C42" s="83" t="s">
        <v>66</v>
      </c>
      <c r="D42" s="83" t="s">
        <v>15</v>
      </c>
      <c r="E42" s="83" t="s">
        <v>70</v>
      </c>
      <c r="F42" s="83" t="s">
        <v>73</v>
      </c>
      <c r="G42" s="83" t="s">
        <v>71</v>
      </c>
      <c r="H42" s="83" t="s">
        <v>18</v>
      </c>
      <c r="I42" s="83">
        <v>1</v>
      </c>
      <c r="J42" s="83" t="s">
        <v>18</v>
      </c>
      <c r="K42" s="83" t="s">
        <v>18</v>
      </c>
      <c r="L42" s="83" t="s">
        <v>18</v>
      </c>
    </row>
    <row r="43" spans="1:12">
      <c r="A43" s="83" t="s">
        <v>74</v>
      </c>
      <c r="B43" s="83" t="s">
        <v>65</v>
      </c>
      <c r="C43" s="83" t="s">
        <v>66</v>
      </c>
      <c r="D43" s="83" t="s">
        <v>15</v>
      </c>
      <c r="E43" s="83" t="s">
        <v>18</v>
      </c>
      <c r="F43" s="83" t="s">
        <v>74</v>
      </c>
      <c r="G43" s="83" t="s">
        <v>75</v>
      </c>
      <c r="H43" s="83" t="s">
        <v>18</v>
      </c>
      <c r="I43" s="83">
        <v>1</v>
      </c>
      <c r="J43" s="83" t="s">
        <v>18</v>
      </c>
      <c r="K43" s="83" t="s">
        <v>18</v>
      </c>
      <c r="L43" s="83" t="s">
        <v>18</v>
      </c>
    </row>
    <row r="44" spans="1:12">
      <c r="A44" s="83" t="s">
        <v>76</v>
      </c>
      <c r="B44" s="83" t="s">
        <v>65</v>
      </c>
      <c r="C44" s="83" t="s">
        <v>66</v>
      </c>
      <c r="D44" s="83" t="s">
        <v>24</v>
      </c>
      <c r="E44" s="83" t="s">
        <v>70</v>
      </c>
      <c r="F44" s="83" t="s">
        <v>76</v>
      </c>
      <c r="G44" s="83" t="s">
        <v>71</v>
      </c>
      <c r="H44" s="83" t="s">
        <v>18</v>
      </c>
      <c r="I44" s="83">
        <v>1</v>
      </c>
      <c r="J44" s="83" t="s">
        <v>18</v>
      </c>
      <c r="K44" s="83" t="s">
        <v>18</v>
      </c>
      <c r="L44" s="83" t="s">
        <v>18</v>
      </c>
    </row>
    <row r="45" spans="1:12">
      <c r="A45" s="83" t="s">
        <v>77</v>
      </c>
      <c r="B45" s="83" t="s">
        <v>65</v>
      </c>
      <c r="C45" s="83" t="s">
        <v>66</v>
      </c>
      <c r="D45" s="83" t="s">
        <v>28</v>
      </c>
      <c r="E45" s="83" t="s">
        <v>78</v>
      </c>
      <c r="F45" s="83" t="s">
        <v>77</v>
      </c>
      <c r="G45" s="83" t="s">
        <v>75</v>
      </c>
      <c r="H45" s="83" t="s">
        <v>18</v>
      </c>
      <c r="I45" s="83">
        <v>1</v>
      </c>
      <c r="J45" s="83" t="s">
        <v>18</v>
      </c>
      <c r="K45" s="83" t="s">
        <v>18</v>
      </c>
      <c r="L45" s="83" t="s">
        <v>18</v>
      </c>
    </row>
    <row r="46" spans="1:12">
      <c r="A46" s="83" t="s">
        <v>79</v>
      </c>
      <c r="B46" s="83" t="s">
        <v>65</v>
      </c>
      <c r="C46" s="83" t="s">
        <v>66</v>
      </c>
      <c r="D46" s="83" t="s">
        <v>28</v>
      </c>
      <c r="E46" s="83" t="s">
        <v>78</v>
      </c>
      <c r="F46" s="83" t="s">
        <v>79</v>
      </c>
      <c r="G46" s="83" t="s">
        <v>75</v>
      </c>
      <c r="H46" s="83" t="s">
        <v>18</v>
      </c>
      <c r="I46" s="83">
        <v>1</v>
      </c>
      <c r="J46" s="83" t="s">
        <v>18</v>
      </c>
      <c r="K46" s="83" t="s">
        <v>18</v>
      </c>
      <c r="L46" s="83" t="s">
        <v>18</v>
      </c>
    </row>
    <row r="47" spans="1:12">
      <c r="A47" s="83" t="s">
        <v>80</v>
      </c>
      <c r="B47" s="83" t="s">
        <v>65</v>
      </c>
      <c r="C47" s="83" t="s">
        <v>66</v>
      </c>
      <c r="D47" s="83" t="s">
        <v>24</v>
      </c>
      <c r="E47" s="83" t="s">
        <v>67</v>
      </c>
      <c r="F47" s="83" t="s">
        <v>80</v>
      </c>
      <c r="G47" s="83" t="s">
        <v>68</v>
      </c>
      <c r="H47" s="83" t="s">
        <v>18</v>
      </c>
      <c r="I47" s="83">
        <v>1</v>
      </c>
      <c r="J47" s="83" t="s">
        <v>18</v>
      </c>
      <c r="K47" s="83" t="s">
        <v>18</v>
      </c>
      <c r="L47" s="83" t="s">
        <v>18</v>
      </c>
    </row>
    <row r="48" spans="1:12">
      <c r="A48" s="83" t="s">
        <v>81</v>
      </c>
      <c r="B48" s="83" t="s">
        <v>65</v>
      </c>
      <c r="C48" s="83" t="s">
        <v>66</v>
      </c>
      <c r="D48" s="83" t="s">
        <v>24</v>
      </c>
      <c r="E48" s="83" t="s">
        <v>70</v>
      </c>
      <c r="F48" s="83" t="s">
        <v>81</v>
      </c>
      <c r="G48" s="83" t="s">
        <v>71</v>
      </c>
      <c r="H48" s="83" t="s">
        <v>18</v>
      </c>
      <c r="I48" s="83">
        <v>1</v>
      </c>
      <c r="J48" s="83" t="s">
        <v>18</v>
      </c>
      <c r="K48" s="83" t="s">
        <v>18</v>
      </c>
      <c r="L48" s="83" t="s">
        <v>18</v>
      </c>
    </row>
    <row r="49" spans="1:12">
      <c r="A49" s="83" t="s">
        <v>82</v>
      </c>
      <c r="B49" s="83" t="s">
        <v>65</v>
      </c>
      <c r="C49" s="83" t="s">
        <v>66</v>
      </c>
      <c r="D49" s="83" t="s">
        <v>24</v>
      </c>
      <c r="E49" s="83" t="s">
        <v>67</v>
      </c>
      <c r="F49" s="83" t="s">
        <v>82</v>
      </c>
      <c r="G49" s="83" t="s">
        <v>68</v>
      </c>
      <c r="H49" s="83" t="s">
        <v>18</v>
      </c>
      <c r="I49" s="83">
        <v>1</v>
      </c>
      <c r="J49" s="83" t="s">
        <v>18</v>
      </c>
      <c r="K49" s="83" t="s">
        <v>18</v>
      </c>
      <c r="L49" s="83" t="s">
        <v>18</v>
      </c>
    </row>
    <row r="50" spans="1:12">
      <c r="A50" s="83" t="s">
        <v>83</v>
      </c>
      <c r="B50" s="83" t="s">
        <v>65</v>
      </c>
      <c r="C50" s="83" t="s">
        <v>66</v>
      </c>
      <c r="D50" s="83" t="s">
        <v>24</v>
      </c>
      <c r="E50" s="83" t="s">
        <v>70</v>
      </c>
      <c r="F50" s="83" t="s">
        <v>83</v>
      </c>
      <c r="G50" s="83" t="s">
        <v>71</v>
      </c>
      <c r="H50" s="83" t="s">
        <v>18</v>
      </c>
      <c r="I50" s="83">
        <v>1</v>
      </c>
      <c r="J50" s="83" t="s">
        <v>18</v>
      </c>
      <c r="K50" s="83" t="s">
        <v>18</v>
      </c>
      <c r="L50" s="83" t="s">
        <v>18</v>
      </c>
    </row>
    <row r="51" spans="1:12">
      <c r="A51" s="83" t="s">
        <v>84</v>
      </c>
      <c r="B51" s="83" t="s">
        <v>65</v>
      </c>
      <c r="C51" s="83" t="s">
        <v>66</v>
      </c>
      <c r="D51" s="83" t="s">
        <v>24</v>
      </c>
      <c r="E51" s="83" t="s">
        <v>18</v>
      </c>
      <c r="F51" s="83" t="s">
        <v>84</v>
      </c>
      <c r="G51" s="83" t="s">
        <v>18</v>
      </c>
      <c r="H51" s="83" t="s">
        <v>18</v>
      </c>
      <c r="I51" s="83">
        <v>1</v>
      </c>
      <c r="J51" s="83" t="s">
        <v>18</v>
      </c>
      <c r="K51" s="83" t="s">
        <v>18</v>
      </c>
      <c r="L51" s="83" t="s">
        <v>18</v>
      </c>
    </row>
    <row r="52" spans="1:12">
      <c r="A52" s="83" t="s">
        <v>85</v>
      </c>
      <c r="B52" s="83" t="s">
        <v>65</v>
      </c>
      <c r="C52" s="83" t="s">
        <v>66</v>
      </c>
      <c r="D52" s="83" t="s">
        <v>24</v>
      </c>
      <c r="E52" s="83" t="s">
        <v>18</v>
      </c>
      <c r="F52" s="83" t="s">
        <v>85</v>
      </c>
      <c r="G52" s="83" t="s">
        <v>18</v>
      </c>
      <c r="H52" s="83" t="s">
        <v>18</v>
      </c>
      <c r="I52" s="83">
        <v>1</v>
      </c>
      <c r="J52" s="83" t="s">
        <v>18</v>
      </c>
      <c r="K52" s="83" t="s">
        <v>18</v>
      </c>
      <c r="L52" s="83" t="s">
        <v>18</v>
      </c>
    </row>
    <row r="53" spans="1:12">
      <c r="A53" s="83" t="s">
        <v>86</v>
      </c>
      <c r="B53" s="83" t="s">
        <v>65</v>
      </c>
      <c r="C53" s="83" t="s">
        <v>66</v>
      </c>
      <c r="D53" s="83" t="s">
        <v>24</v>
      </c>
      <c r="E53" s="83" t="s">
        <v>18</v>
      </c>
      <c r="F53" s="83" t="s">
        <v>86</v>
      </c>
      <c r="G53" s="83" t="s">
        <v>18</v>
      </c>
      <c r="H53" s="83" t="s">
        <v>18</v>
      </c>
      <c r="I53" s="83">
        <v>1</v>
      </c>
      <c r="J53" s="83" t="s">
        <v>18</v>
      </c>
      <c r="K53" s="83" t="s">
        <v>18</v>
      </c>
      <c r="L53" s="83" t="s">
        <v>18</v>
      </c>
    </row>
    <row r="54" spans="1:12">
      <c r="A54" s="83" t="s">
        <v>87</v>
      </c>
      <c r="B54" s="83" t="s">
        <v>65</v>
      </c>
      <c r="C54" s="83" t="s">
        <v>66</v>
      </c>
      <c r="D54" s="83" t="s">
        <v>24</v>
      </c>
      <c r="E54" s="83" t="s">
        <v>18</v>
      </c>
      <c r="F54" s="83" t="s">
        <v>87</v>
      </c>
      <c r="G54" s="83" t="s">
        <v>18</v>
      </c>
      <c r="H54" s="83" t="s">
        <v>18</v>
      </c>
      <c r="I54" s="83">
        <v>1</v>
      </c>
      <c r="J54" s="83" t="s">
        <v>18</v>
      </c>
      <c r="K54" s="83" t="s">
        <v>18</v>
      </c>
      <c r="L54" s="83" t="s">
        <v>18</v>
      </c>
    </row>
    <row r="55" spans="1:12">
      <c r="A55" s="83" t="s">
        <v>88</v>
      </c>
      <c r="B55" s="83" t="s">
        <v>65</v>
      </c>
      <c r="C55" s="83" t="s">
        <v>66</v>
      </c>
      <c r="D55" s="83" t="s">
        <v>24</v>
      </c>
      <c r="E55" s="83" t="s">
        <v>18</v>
      </c>
      <c r="F55" s="83" t="s">
        <v>88</v>
      </c>
      <c r="G55" s="83" t="s">
        <v>18</v>
      </c>
      <c r="H55" s="83" t="s">
        <v>18</v>
      </c>
      <c r="I55" s="83">
        <v>1</v>
      </c>
      <c r="J55" s="83" t="s">
        <v>18</v>
      </c>
      <c r="K55" s="83" t="s">
        <v>18</v>
      </c>
      <c r="L55" s="83" t="s">
        <v>18</v>
      </c>
    </row>
    <row r="56" spans="1:12">
      <c r="A56" s="83" t="s">
        <v>89</v>
      </c>
      <c r="B56" s="83" t="s">
        <v>90</v>
      </c>
      <c r="C56" s="83" t="s">
        <v>66</v>
      </c>
      <c r="D56" s="83" t="s">
        <v>91</v>
      </c>
      <c r="E56" s="83" t="s">
        <v>78</v>
      </c>
      <c r="F56" s="83" t="s">
        <v>89</v>
      </c>
      <c r="G56" s="83" t="s">
        <v>75</v>
      </c>
      <c r="H56" s="83" t="s">
        <v>18</v>
      </c>
      <c r="I56" s="83" t="s">
        <v>18</v>
      </c>
      <c r="J56" s="83" t="s">
        <v>18</v>
      </c>
      <c r="K56" s="83">
        <v>1</v>
      </c>
      <c r="L56" s="83" t="s">
        <v>18</v>
      </c>
    </row>
    <row r="57" spans="1:12">
      <c r="A57" s="83" t="s">
        <v>92</v>
      </c>
      <c r="B57" s="83" t="s">
        <v>90</v>
      </c>
      <c r="C57" s="83" t="s">
        <v>66</v>
      </c>
      <c r="D57" s="83" t="s">
        <v>93</v>
      </c>
      <c r="E57" s="83" t="s">
        <v>78</v>
      </c>
      <c r="F57" s="83" t="s">
        <v>92</v>
      </c>
      <c r="G57" s="83" t="s">
        <v>75</v>
      </c>
      <c r="H57" s="83" t="s">
        <v>18</v>
      </c>
      <c r="I57" s="83" t="s">
        <v>18</v>
      </c>
      <c r="J57" s="83" t="s">
        <v>18</v>
      </c>
      <c r="K57" s="83">
        <v>1</v>
      </c>
      <c r="L57" s="83" t="s">
        <v>18</v>
      </c>
    </row>
    <row r="58" spans="1:12">
      <c r="A58" s="83" t="s">
        <v>94</v>
      </c>
      <c r="B58" s="83" t="s">
        <v>90</v>
      </c>
      <c r="C58" s="83" t="s">
        <v>66</v>
      </c>
      <c r="D58" s="83" t="s">
        <v>95</v>
      </c>
      <c r="E58" s="83" t="s">
        <v>78</v>
      </c>
      <c r="F58" s="83" t="s">
        <v>94</v>
      </c>
      <c r="G58" s="83" t="s">
        <v>75</v>
      </c>
      <c r="H58" s="83" t="s">
        <v>18</v>
      </c>
      <c r="I58" s="83">
        <v>1</v>
      </c>
      <c r="J58" s="83" t="s">
        <v>18</v>
      </c>
      <c r="K58" s="83" t="s">
        <v>18</v>
      </c>
      <c r="L58" s="83" t="s">
        <v>18</v>
      </c>
    </row>
    <row r="59" spans="1:12">
      <c r="A59" s="83" t="s">
        <v>96</v>
      </c>
      <c r="B59" s="83" t="s">
        <v>90</v>
      </c>
      <c r="C59" s="83" t="s">
        <v>66</v>
      </c>
      <c r="D59" s="83" t="s">
        <v>58</v>
      </c>
      <c r="E59" s="83" t="s">
        <v>78</v>
      </c>
      <c r="F59" s="83" t="s">
        <v>96</v>
      </c>
      <c r="G59" s="83" t="s">
        <v>75</v>
      </c>
      <c r="H59" s="83" t="s">
        <v>18</v>
      </c>
      <c r="I59" s="83">
        <v>1</v>
      </c>
      <c r="J59" s="83" t="s">
        <v>18</v>
      </c>
      <c r="K59" s="83" t="s">
        <v>18</v>
      </c>
      <c r="L59" s="83" t="s">
        <v>18</v>
      </c>
    </row>
    <row r="60" spans="1:12">
      <c r="A60" s="83" t="s">
        <v>18</v>
      </c>
      <c r="B60" s="83" t="s">
        <v>90</v>
      </c>
      <c r="C60" s="83" t="s">
        <v>66</v>
      </c>
      <c r="D60" s="83" t="s">
        <v>95</v>
      </c>
      <c r="E60" s="83" t="s">
        <v>78</v>
      </c>
      <c r="F60" s="83" t="s">
        <v>18</v>
      </c>
      <c r="G60" s="83" t="s">
        <v>18</v>
      </c>
      <c r="H60" s="83" t="s">
        <v>18</v>
      </c>
      <c r="I60" s="83">
        <v>1</v>
      </c>
      <c r="J60" s="83" t="s">
        <v>18</v>
      </c>
      <c r="K60" s="83" t="s">
        <v>18</v>
      </c>
      <c r="L60" s="83" t="s">
        <v>18</v>
      </c>
    </row>
    <row r="61" spans="1:12">
      <c r="A61" s="83" t="s">
        <v>97</v>
      </c>
      <c r="B61" s="83" t="s">
        <v>90</v>
      </c>
      <c r="C61" s="83" t="s">
        <v>66</v>
      </c>
      <c r="D61" s="83" t="s">
        <v>93</v>
      </c>
      <c r="E61" s="83" t="s">
        <v>78</v>
      </c>
      <c r="F61" s="83" t="s">
        <v>97</v>
      </c>
      <c r="G61" s="83" t="s">
        <v>75</v>
      </c>
      <c r="H61" s="83" t="s">
        <v>18</v>
      </c>
      <c r="I61" s="83">
        <v>1</v>
      </c>
      <c r="J61" s="83" t="s">
        <v>18</v>
      </c>
      <c r="K61" s="83" t="s">
        <v>18</v>
      </c>
      <c r="L61" s="83" t="s">
        <v>18</v>
      </c>
    </row>
    <row r="62" spans="1:12">
      <c r="A62" s="83" t="s">
        <v>98</v>
      </c>
      <c r="B62" s="83" t="s">
        <v>90</v>
      </c>
      <c r="C62" s="83" t="s">
        <v>66</v>
      </c>
      <c r="D62" s="83" t="s">
        <v>91</v>
      </c>
      <c r="E62" s="83" t="s">
        <v>18</v>
      </c>
      <c r="F62" s="83" t="s">
        <v>98</v>
      </c>
      <c r="G62" s="83" t="s">
        <v>75</v>
      </c>
      <c r="H62" s="83" t="s">
        <v>18</v>
      </c>
      <c r="I62" s="83">
        <v>1</v>
      </c>
      <c r="J62" s="83" t="s">
        <v>18</v>
      </c>
      <c r="K62" s="83" t="s">
        <v>18</v>
      </c>
      <c r="L62" s="83" t="s">
        <v>18</v>
      </c>
    </row>
    <row r="63" spans="1:12">
      <c r="A63" s="83" t="s">
        <v>99</v>
      </c>
      <c r="B63" s="83" t="s">
        <v>90</v>
      </c>
      <c r="C63" s="83" t="s">
        <v>66</v>
      </c>
      <c r="D63" s="83" t="s">
        <v>91</v>
      </c>
      <c r="E63" s="83" t="s">
        <v>78</v>
      </c>
      <c r="F63" s="83" t="s">
        <v>99</v>
      </c>
      <c r="G63" s="83" t="s">
        <v>75</v>
      </c>
      <c r="H63" s="83" t="s">
        <v>18</v>
      </c>
      <c r="I63" s="83" t="s">
        <v>18</v>
      </c>
      <c r="J63" s="83" t="s">
        <v>18</v>
      </c>
      <c r="K63" s="83">
        <v>1</v>
      </c>
      <c r="L63" s="83" t="s">
        <v>18</v>
      </c>
    </row>
    <row r="64" spans="1:12">
      <c r="A64" s="83" t="s">
        <v>100</v>
      </c>
      <c r="B64" s="83" t="s">
        <v>90</v>
      </c>
      <c r="C64" s="83" t="s">
        <v>66</v>
      </c>
      <c r="D64" s="83" t="s">
        <v>91</v>
      </c>
      <c r="E64" s="83" t="s">
        <v>78</v>
      </c>
      <c r="F64" s="83" t="s">
        <v>100</v>
      </c>
      <c r="G64" s="83" t="s">
        <v>75</v>
      </c>
      <c r="H64" s="83" t="s">
        <v>18</v>
      </c>
      <c r="I64" s="83" t="s">
        <v>18</v>
      </c>
      <c r="J64" s="83" t="s">
        <v>18</v>
      </c>
      <c r="K64" s="83">
        <v>1</v>
      </c>
      <c r="L64" s="83" t="s">
        <v>18</v>
      </c>
    </row>
    <row r="65" spans="1:12">
      <c r="A65" s="83" t="s">
        <v>18</v>
      </c>
      <c r="B65" s="83" t="s">
        <v>90</v>
      </c>
      <c r="C65" s="83" t="s">
        <v>66</v>
      </c>
      <c r="D65" s="83" t="s">
        <v>91</v>
      </c>
      <c r="E65" s="83" t="s">
        <v>78</v>
      </c>
      <c r="F65" s="83" t="s">
        <v>18</v>
      </c>
      <c r="G65" s="83" t="s">
        <v>75</v>
      </c>
      <c r="H65" s="83" t="s">
        <v>18</v>
      </c>
      <c r="I65" s="83" t="s">
        <v>18</v>
      </c>
      <c r="J65" s="83" t="s">
        <v>18</v>
      </c>
      <c r="K65" s="83">
        <v>1</v>
      </c>
      <c r="L65" s="83" t="s">
        <v>18</v>
      </c>
    </row>
    <row r="66" spans="1:12">
      <c r="A66" s="83" t="s">
        <v>101</v>
      </c>
      <c r="B66" s="83" t="s">
        <v>90</v>
      </c>
      <c r="C66" s="83" t="s">
        <v>66</v>
      </c>
      <c r="D66" s="83" t="s">
        <v>93</v>
      </c>
      <c r="E66" s="83" t="s">
        <v>78</v>
      </c>
      <c r="F66" s="83" t="s">
        <v>101</v>
      </c>
      <c r="G66" s="83" t="s">
        <v>75</v>
      </c>
      <c r="H66" s="83" t="s">
        <v>18</v>
      </c>
      <c r="I66" s="83" t="s">
        <v>18</v>
      </c>
      <c r="J66" s="83" t="s">
        <v>18</v>
      </c>
      <c r="K66" s="83">
        <v>1</v>
      </c>
      <c r="L66" s="83" t="s">
        <v>18</v>
      </c>
    </row>
    <row r="67" spans="1:12">
      <c r="A67" s="83" t="s">
        <v>102</v>
      </c>
      <c r="B67" s="83" t="s">
        <v>90</v>
      </c>
      <c r="C67" s="83" t="s">
        <v>66</v>
      </c>
      <c r="D67" s="83" t="s">
        <v>93</v>
      </c>
      <c r="E67" s="83" t="s">
        <v>78</v>
      </c>
      <c r="F67" s="83" t="s">
        <v>102</v>
      </c>
      <c r="G67" s="83" t="s">
        <v>75</v>
      </c>
      <c r="H67" s="83" t="s">
        <v>18</v>
      </c>
      <c r="I67" s="83" t="s">
        <v>18</v>
      </c>
      <c r="J67" s="83" t="s">
        <v>18</v>
      </c>
      <c r="K67" s="83">
        <v>1</v>
      </c>
      <c r="L67" s="83" t="s">
        <v>18</v>
      </c>
    </row>
    <row r="68" spans="1:12">
      <c r="A68" s="83" t="s">
        <v>103</v>
      </c>
      <c r="B68" s="83" t="s">
        <v>90</v>
      </c>
      <c r="C68" s="83" t="s">
        <v>66</v>
      </c>
      <c r="D68" s="83" t="s">
        <v>93</v>
      </c>
      <c r="E68" s="83" t="s">
        <v>78</v>
      </c>
      <c r="F68" s="83" t="s">
        <v>103</v>
      </c>
      <c r="G68" s="83" t="s">
        <v>75</v>
      </c>
      <c r="H68" s="83" t="s">
        <v>18</v>
      </c>
      <c r="I68" s="83" t="s">
        <v>18</v>
      </c>
      <c r="J68" s="83" t="s">
        <v>18</v>
      </c>
      <c r="K68" s="83">
        <v>1</v>
      </c>
      <c r="L68" s="83" t="s">
        <v>18</v>
      </c>
    </row>
    <row r="69" spans="1:12">
      <c r="A69" s="83" t="s">
        <v>104</v>
      </c>
      <c r="B69" s="83" t="s">
        <v>90</v>
      </c>
      <c r="C69" s="83" t="s">
        <v>66</v>
      </c>
      <c r="D69" s="83" t="s">
        <v>93</v>
      </c>
      <c r="E69" s="83" t="s">
        <v>78</v>
      </c>
      <c r="F69" s="83" t="s">
        <v>104</v>
      </c>
      <c r="G69" s="83" t="s">
        <v>75</v>
      </c>
      <c r="H69" s="83" t="s">
        <v>18</v>
      </c>
      <c r="I69" s="83" t="s">
        <v>18</v>
      </c>
      <c r="J69" s="83" t="s">
        <v>18</v>
      </c>
      <c r="K69" s="83">
        <v>1</v>
      </c>
      <c r="L69" s="83" t="s">
        <v>18</v>
      </c>
    </row>
    <row r="70" spans="1:12">
      <c r="A70" s="83" t="s">
        <v>105</v>
      </c>
      <c r="B70" s="83" t="s">
        <v>90</v>
      </c>
      <c r="C70" s="83" t="s">
        <v>66</v>
      </c>
      <c r="D70" s="83" t="s">
        <v>47</v>
      </c>
      <c r="E70" s="83" t="s">
        <v>78</v>
      </c>
      <c r="F70" s="83" t="s">
        <v>105</v>
      </c>
      <c r="G70" s="83" t="s">
        <v>75</v>
      </c>
      <c r="H70" s="83" t="s">
        <v>18</v>
      </c>
      <c r="I70" s="83">
        <v>1</v>
      </c>
      <c r="J70" s="83" t="s">
        <v>18</v>
      </c>
      <c r="K70" s="83" t="s">
        <v>18</v>
      </c>
      <c r="L70" s="83" t="s">
        <v>18</v>
      </c>
    </row>
    <row r="71" spans="1:12">
      <c r="A71" s="83" t="s">
        <v>106</v>
      </c>
      <c r="B71" s="83" t="s">
        <v>90</v>
      </c>
      <c r="C71" s="83" t="s">
        <v>66</v>
      </c>
      <c r="D71" s="83" t="s">
        <v>47</v>
      </c>
      <c r="E71" s="83" t="s">
        <v>78</v>
      </c>
      <c r="F71" s="83" t="s">
        <v>106</v>
      </c>
      <c r="G71" s="83" t="s">
        <v>75</v>
      </c>
      <c r="H71" s="83" t="s">
        <v>18</v>
      </c>
      <c r="I71" s="83">
        <v>1</v>
      </c>
      <c r="J71" s="83" t="s">
        <v>18</v>
      </c>
      <c r="K71" s="83" t="s">
        <v>18</v>
      </c>
      <c r="L71" s="83" t="s">
        <v>18</v>
      </c>
    </row>
    <row r="72" spans="1:12">
      <c r="A72" s="83" t="s">
        <v>107</v>
      </c>
      <c r="B72" s="83" t="s">
        <v>90</v>
      </c>
      <c r="C72" s="83" t="s">
        <v>66</v>
      </c>
      <c r="D72" s="83" t="s">
        <v>93</v>
      </c>
      <c r="E72" s="83" t="s">
        <v>78</v>
      </c>
      <c r="F72" s="83" t="s">
        <v>107</v>
      </c>
      <c r="G72" s="83" t="s">
        <v>75</v>
      </c>
      <c r="H72" s="83" t="s">
        <v>18</v>
      </c>
      <c r="I72" s="83">
        <v>1</v>
      </c>
      <c r="J72" s="83" t="s">
        <v>18</v>
      </c>
      <c r="K72" s="83" t="s">
        <v>18</v>
      </c>
      <c r="L72" s="83" t="s">
        <v>18</v>
      </c>
    </row>
    <row r="73" spans="1:12">
      <c r="A73" s="83" t="s">
        <v>108</v>
      </c>
      <c r="B73" s="83" t="s">
        <v>90</v>
      </c>
      <c r="C73" s="83" t="s">
        <v>66</v>
      </c>
      <c r="D73" s="83" t="s">
        <v>91</v>
      </c>
      <c r="E73" s="83" t="s">
        <v>78</v>
      </c>
      <c r="F73" s="83" t="s">
        <v>108</v>
      </c>
      <c r="G73" s="83" t="s">
        <v>75</v>
      </c>
      <c r="H73" s="83" t="s">
        <v>18</v>
      </c>
      <c r="I73" s="83">
        <v>1</v>
      </c>
      <c r="J73" s="83" t="s">
        <v>18</v>
      </c>
      <c r="K73" s="83" t="s">
        <v>18</v>
      </c>
      <c r="L73" s="83" t="s">
        <v>18</v>
      </c>
    </row>
    <row r="74" spans="1:12">
      <c r="A74" s="83" t="s">
        <v>109</v>
      </c>
      <c r="B74" s="83" t="s">
        <v>90</v>
      </c>
      <c r="C74" s="83" t="s">
        <v>66</v>
      </c>
      <c r="D74" s="83" t="s">
        <v>93</v>
      </c>
      <c r="E74" s="83" t="s">
        <v>78</v>
      </c>
      <c r="F74" s="83" t="s">
        <v>109</v>
      </c>
      <c r="G74" s="83" t="s">
        <v>75</v>
      </c>
      <c r="H74" s="83" t="s">
        <v>18</v>
      </c>
      <c r="I74" s="83">
        <v>1</v>
      </c>
      <c r="J74" s="83" t="s">
        <v>18</v>
      </c>
      <c r="K74" s="83" t="s">
        <v>18</v>
      </c>
      <c r="L74" s="83" t="s">
        <v>18</v>
      </c>
    </row>
    <row r="75" spans="1:12">
      <c r="A75" s="83" t="s">
        <v>110</v>
      </c>
      <c r="B75" s="83" t="s">
        <v>90</v>
      </c>
      <c r="C75" s="83" t="s">
        <v>66</v>
      </c>
      <c r="D75" s="83" t="s">
        <v>93</v>
      </c>
      <c r="E75" s="83" t="s">
        <v>78</v>
      </c>
      <c r="F75" s="83" t="s">
        <v>110</v>
      </c>
      <c r="G75" s="83" t="s">
        <v>75</v>
      </c>
      <c r="H75" s="83" t="s">
        <v>18</v>
      </c>
      <c r="I75" s="83">
        <v>1</v>
      </c>
      <c r="J75" s="83" t="s">
        <v>18</v>
      </c>
      <c r="K75" s="83" t="s">
        <v>18</v>
      </c>
      <c r="L75" s="83" t="s">
        <v>18</v>
      </c>
    </row>
    <row r="76" spans="1:12">
      <c r="A76" s="83" t="s">
        <v>111</v>
      </c>
      <c r="B76" s="83" t="s">
        <v>90</v>
      </c>
      <c r="C76" s="83" t="s">
        <v>66</v>
      </c>
      <c r="D76" s="83" t="s">
        <v>91</v>
      </c>
      <c r="E76" s="83" t="s">
        <v>78</v>
      </c>
      <c r="F76" s="83" t="s">
        <v>111</v>
      </c>
      <c r="G76" s="83" t="s">
        <v>78</v>
      </c>
      <c r="H76" s="83" t="s">
        <v>18</v>
      </c>
      <c r="I76" s="83">
        <v>1</v>
      </c>
      <c r="J76" s="83" t="s">
        <v>18</v>
      </c>
      <c r="K76" s="83" t="s">
        <v>18</v>
      </c>
      <c r="L76" s="83" t="s">
        <v>18</v>
      </c>
    </row>
    <row r="77" spans="1:12">
      <c r="A77" s="83" t="s">
        <v>112</v>
      </c>
      <c r="B77" s="83" t="s">
        <v>90</v>
      </c>
      <c r="C77" s="83" t="s">
        <v>66</v>
      </c>
      <c r="D77" s="83" t="s">
        <v>91</v>
      </c>
      <c r="E77" s="83" t="s">
        <v>78</v>
      </c>
      <c r="F77" s="83" t="s">
        <v>112</v>
      </c>
      <c r="G77" s="83" t="s">
        <v>78</v>
      </c>
      <c r="H77" s="83" t="s">
        <v>18</v>
      </c>
      <c r="I77" s="83">
        <v>1</v>
      </c>
      <c r="J77" s="83" t="s">
        <v>18</v>
      </c>
      <c r="K77" s="83" t="s">
        <v>18</v>
      </c>
      <c r="L77" s="83" t="s">
        <v>18</v>
      </c>
    </row>
    <row r="78" spans="1:12">
      <c r="A78" s="83" t="s">
        <v>113</v>
      </c>
      <c r="B78" s="83" t="s">
        <v>114</v>
      </c>
      <c r="C78" s="83" t="s">
        <v>115</v>
      </c>
      <c r="D78" s="83" t="s">
        <v>15</v>
      </c>
      <c r="E78" s="83" t="s">
        <v>116</v>
      </c>
      <c r="F78" s="83" t="s">
        <v>113</v>
      </c>
      <c r="G78" s="83" t="s">
        <v>117</v>
      </c>
      <c r="H78" s="83" t="s">
        <v>18</v>
      </c>
      <c r="I78" s="83" t="s">
        <v>18</v>
      </c>
      <c r="J78" s="83" t="s">
        <v>18</v>
      </c>
      <c r="K78" s="83">
        <v>1</v>
      </c>
      <c r="L78" s="83" t="s">
        <v>18</v>
      </c>
    </row>
    <row r="79" spans="1:12">
      <c r="A79" s="83" t="s">
        <v>118</v>
      </c>
      <c r="B79" s="83" t="s">
        <v>114</v>
      </c>
      <c r="C79" s="83" t="s">
        <v>115</v>
      </c>
      <c r="D79" s="83" t="s">
        <v>15</v>
      </c>
      <c r="E79" s="83" t="s">
        <v>116</v>
      </c>
      <c r="F79" s="83" t="s">
        <v>118</v>
      </c>
      <c r="G79" s="83" t="s">
        <v>117</v>
      </c>
      <c r="H79" s="83" t="s">
        <v>18</v>
      </c>
      <c r="I79" s="83">
        <v>1</v>
      </c>
      <c r="J79" s="83" t="s">
        <v>18</v>
      </c>
      <c r="K79" s="83">
        <v>2</v>
      </c>
      <c r="L79" s="83" t="s">
        <v>18</v>
      </c>
    </row>
    <row r="80" spans="1:12">
      <c r="A80" s="83" t="s">
        <v>119</v>
      </c>
      <c r="B80" s="83" t="s">
        <v>114</v>
      </c>
      <c r="C80" s="83" t="s">
        <v>115</v>
      </c>
      <c r="D80" s="83" t="s">
        <v>15</v>
      </c>
      <c r="E80" s="83" t="s">
        <v>116</v>
      </c>
      <c r="F80" s="83" t="s">
        <v>119</v>
      </c>
      <c r="G80" s="83" t="s">
        <v>117</v>
      </c>
      <c r="H80" s="83" t="s">
        <v>18</v>
      </c>
      <c r="I80" s="83">
        <v>1</v>
      </c>
      <c r="J80" s="83" t="s">
        <v>18</v>
      </c>
      <c r="K80" s="83">
        <v>1</v>
      </c>
      <c r="L80" s="83" t="s">
        <v>18</v>
      </c>
    </row>
    <row r="81" spans="1:12">
      <c r="A81" s="83" t="s">
        <v>120</v>
      </c>
      <c r="B81" s="83" t="s">
        <v>114</v>
      </c>
      <c r="C81" s="83" t="s">
        <v>115</v>
      </c>
      <c r="D81" s="83" t="s">
        <v>15</v>
      </c>
      <c r="E81" s="83" t="s">
        <v>121</v>
      </c>
      <c r="F81" s="83" t="s">
        <v>120</v>
      </c>
      <c r="G81" s="83" t="s">
        <v>117</v>
      </c>
      <c r="H81" s="83" t="s">
        <v>18</v>
      </c>
      <c r="I81" s="83">
        <v>1</v>
      </c>
      <c r="J81" s="83" t="s">
        <v>18</v>
      </c>
      <c r="K81" s="83" t="s">
        <v>18</v>
      </c>
      <c r="L81" s="83" t="s">
        <v>18</v>
      </c>
    </row>
    <row r="82" spans="1:12">
      <c r="A82" s="83" t="s">
        <v>122</v>
      </c>
      <c r="B82" s="83" t="s">
        <v>114</v>
      </c>
      <c r="C82" s="83" t="s">
        <v>115</v>
      </c>
      <c r="D82" s="83" t="s">
        <v>15</v>
      </c>
      <c r="E82" s="83" t="s">
        <v>121</v>
      </c>
      <c r="F82" s="83" t="s">
        <v>122</v>
      </c>
      <c r="G82" s="83" t="s">
        <v>117</v>
      </c>
      <c r="H82" s="83" t="s">
        <v>18</v>
      </c>
      <c r="I82" s="83">
        <v>1</v>
      </c>
      <c r="J82" s="83" t="s">
        <v>18</v>
      </c>
      <c r="K82" s="83" t="s">
        <v>18</v>
      </c>
      <c r="L82" s="83" t="s">
        <v>18</v>
      </c>
    </row>
    <row r="83" spans="1:12">
      <c r="A83" s="83" t="s">
        <v>123</v>
      </c>
      <c r="B83" s="83" t="s">
        <v>114</v>
      </c>
      <c r="C83" s="83" t="s">
        <v>115</v>
      </c>
      <c r="D83" s="83" t="s">
        <v>15</v>
      </c>
      <c r="E83" s="83" t="s">
        <v>116</v>
      </c>
      <c r="F83" s="83" t="s">
        <v>123</v>
      </c>
      <c r="G83" s="83" t="s">
        <v>117</v>
      </c>
      <c r="H83" s="83" t="s">
        <v>18</v>
      </c>
      <c r="I83" s="83" t="s">
        <v>18</v>
      </c>
      <c r="J83" s="83" t="s">
        <v>18</v>
      </c>
      <c r="K83" s="83">
        <v>1</v>
      </c>
      <c r="L83" s="83" t="s">
        <v>18</v>
      </c>
    </row>
    <row r="84" spans="1:12">
      <c r="A84" s="83" t="s">
        <v>124</v>
      </c>
      <c r="B84" s="83" t="s">
        <v>114</v>
      </c>
      <c r="C84" s="83" t="s">
        <v>115</v>
      </c>
      <c r="D84" s="83" t="s">
        <v>15</v>
      </c>
      <c r="E84" s="83" t="s">
        <v>116</v>
      </c>
      <c r="F84" s="83" t="s">
        <v>124</v>
      </c>
      <c r="G84" s="83" t="s">
        <v>117</v>
      </c>
      <c r="H84" s="83" t="s">
        <v>18</v>
      </c>
      <c r="I84" s="83" t="s">
        <v>18</v>
      </c>
      <c r="J84" s="83" t="s">
        <v>18</v>
      </c>
      <c r="K84" s="83">
        <v>1</v>
      </c>
      <c r="L84" s="83" t="s">
        <v>18</v>
      </c>
    </row>
    <row r="85" spans="1:12">
      <c r="A85" s="83" t="s">
        <v>125</v>
      </c>
      <c r="B85" s="83" t="s">
        <v>114</v>
      </c>
      <c r="C85" s="83" t="s">
        <v>115</v>
      </c>
      <c r="D85" s="83" t="s">
        <v>15</v>
      </c>
      <c r="E85" s="83" t="s">
        <v>126</v>
      </c>
      <c r="F85" s="83" t="s">
        <v>125</v>
      </c>
      <c r="G85" s="83" t="s">
        <v>127</v>
      </c>
      <c r="H85" s="83" t="s">
        <v>18</v>
      </c>
      <c r="I85" s="83" t="s">
        <v>18</v>
      </c>
      <c r="J85" s="83" t="s">
        <v>18</v>
      </c>
      <c r="K85" s="83">
        <v>1</v>
      </c>
      <c r="L85" s="83" t="s">
        <v>18</v>
      </c>
    </row>
    <row r="86" spans="1:12">
      <c r="A86" s="83" t="s">
        <v>128</v>
      </c>
      <c r="B86" s="83" t="s">
        <v>114</v>
      </c>
      <c r="C86" s="83" t="s">
        <v>115</v>
      </c>
      <c r="D86" s="83" t="s">
        <v>15</v>
      </c>
      <c r="E86" s="83" t="s">
        <v>116</v>
      </c>
      <c r="F86" s="83" t="s">
        <v>128</v>
      </c>
      <c r="G86" s="83" t="s">
        <v>117</v>
      </c>
      <c r="H86" s="83">
        <v>1</v>
      </c>
      <c r="I86" s="83">
        <v>2</v>
      </c>
      <c r="J86" s="83" t="s">
        <v>18</v>
      </c>
      <c r="K86" s="83" t="s">
        <v>18</v>
      </c>
      <c r="L86" s="83" t="s">
        <v>18</v>
      </c>
    </row>
    <row r="87" spans="1:12">
      <c r="A87" s="83" t="s">
        <v>129</v>
      </c>
      <c r="B87" s="83" t="s">
        <v>114</v>
      </c>
      <c r="C87" s="83" t="s">
        <v>115</v>
      </c>
      <c r="D87" s="83" t="s">
        <v>15</v>
      </c>
      <c r="E87" s="83" t="s">
        <v>116</v>
      </c>
      <c r="F87" s="83" t="s">
        <v>129</v>
      </c>
      <c r="G87" s="83" t="s">
        <v>117</v>
      </c>
      <c r="H87" s="83">
        <v>1</v>
      </c>
      <c r="I87" s="83">
        <v>2</v>
      </c>
      <c r="J87" s="83" t="s">
        <v>18</v>
      </c>
      <c r="K87" s="83" t="s">
        <v>18</v>
      </c>
      <c r="L87" s="83" t="s">
        <v>18</v>
      </c>
    </row>
    <row r="88" spans="1:12">
      <c r="A88" s="83" t="s">
        <v>130</v>
      </c>
      <c r="B88" s="83" t="s">
        <v>114</v>
      </c>
      <c r="C88" s="83" t="s">
        <v>115</v>
      </c>
      <c r="D88" s="83" t="s">
        <v>15</v>
      </c>
      <c r="E88" s="83" t="s">
        <v>116</v>
      </c>
      <c r="F88" s="83" t="s">
        <v>130</v>
      </c>
      <c r="G88" s="83" t="s">
        <v>117</v>
      </c>
      <c r="H88" s="83">
        <v>1</v>
      </c>
      <c r="I88" s="83">
        <v>2</v>
      </c>
      <c r="J88" s="83" t="s">
        <v>18</v>
      </c>
      <c r="K88" s="83" t="s">
        <v>18</v>
      </c>
      <c r="L88" s="83" t="s">
        <v>18</v>
      </c>
    </row>
    <row r="89" spans="1:12">
      <c r="A89" s="83" t="s">
        <v>131</v>
      </c>
      <c r="B89" s="83" t="s">
        <v>114</v>
      </c>
      <c r="C89" s="83" t="s">
        <v>115</v>
      </c>
      <c r="D89" s="83" t="s">
        <v>15</v>
      </c>
      <c r="E89" s="83" t="s">
        <v>116</v>
      </c>
      <c r="F89" s="83" t="s">
        <v>131</v>
      </c>
      <c r="G89" s="83" t="s">
        <v>117</v>
      </c>
      <c r="H89" s="83">
        <v>1</v>
      </c>
      <c r="I89" s="83">
        <v>2</v>
      </c>
      <c r="J89" s="83" t="s">
        <v>18</v>
      </c>
      <c r="K89" s="83" t="s">
        <v>18</v>
      </c>
      <c r="L89" s="83" t="s">
        <v>18</v>
      </c>
    </row>
    <row r="90" spans="1:12">
      <c r="A90" s="83" t="s">
        <v>132</v>
      </c>
      <c r="B90" s="83" t="s">
        <v>114</v>
      </c>
      <c r="C90" s="83" t="s">
        <v>115</v>
      </c>
      <c r="D90" s="83" t="s">
        <v>15</v>
      </c>
      <c r="E90" s="83" t="s">
        <v>126</v>
      </c>
      <c r="F90" s="83" t="s">
        <v>132</v>
      </c>
      <c r="G90" s="83" t="s">
        <v>127</v>
      </c>
      <c r="H90" s="83">
        <v>1</v>
      </c>
      <c r="I90" s="83">
        <v>2</v>
      </c>
      <c r="J90" s="83" t="s">
        <v>18</v>
      </c>
      <c r="K90" s="83" t="s">
        <v>18</v>
      </c>
      <c r="L90" s="83" t="s">
        <v>18</v>
      </c>
    </row>
    <row r="91" spans="1:12">
      <c r="A91" s="83" t="s">
        <v>133</v>
      </c>
      <c r="B91" s="83" t="s">
        <v>114</v>
      </c>
      <c r="C91" s="83" t="s">
        <v>115</v>
      </c>
      <c r="D91" s="83" t="s">
        <v>15</v>
      </c>
      <c r="E91" s="83" t="s">
        <v>116</v>
      </c>
      <c r="F91" s="83" t="s">
        <v>133</v>
      </c>
      <c r="G91" s="83" t="s">
        <v>117</v>
      </c>
      <c r="H91" s="83">
        <v>1</v>
      </c>
      <c r="I91" s="83">
        <v>1</v>
      </c>
      <c r="J91" s="83" t="s">
        <v>18</v>
      </c>
      <c r="K91" s="83" t="s">
        <v>18</v>
      </c>
      <c r="L91" s="83">
        <v>1</v>
      </c>
    </row>
    <row r="92" spans="1:12">
      <c r="A92" s="83" t="s">
        <v>134</v>
      </c>
      <c r="B92" s="83" t="s">
        <v>114</v>
      </c>
      <c r="C92" s="83" t="s">
        <v>115</v>
      </c>
      <c r="D92" s="83" t="s">
        <v>15</v>
      </c>
      <c r="E92" s="83" t="s">
        <v>116</v>
      </c>
      <c r="F92" s="83" t="s">
        <v>134</v>
      </c>
      <c r="G92" s="83" t="s">
        <v>117</v>
      </c>
      <c r="H92" s="83">
        <v>1</v>
      </c>
      <c r="I92" s="83">
        <v>1</v>
      </c>
      <c r="J92" s="83" t="s">
        <v>18</v>
      </c>
      <c r="K92" s="83" t="s">
        <v>18</v>
      </c>
      <c r="L92" s="83">
        <v>1</v>
      </c>
    </row>
    <row r="93" spans="1:12">
      <c r="A93" s="83" t="s">
        <v>135</v>
      </c>
      <c r="B93" s="83" t="s">
        <v>114</v>
      </c>
      <c r="C93" s="83" t="s">
        <v>136</v>
      </c>
      <c r="D93" s="83" t="s">
        <v>15</v>
      </c>
      <c r="E93" s="83" t="s">
        <v>18</v>
      </c>
      <c r="F93" s="83" t="s">
        <v>135</v>
      </c>
      <c r="G93" s="83" t="s">
        <v>137</v>
      </c>
      <c r="H93" s="83" t="s">
        <v>18</v>
      </c>
      <c r="I93" s="83" t="s">
        <v>18</v>
      </c>
      <c r="J93" s="83" t="s">
        <v>18</v>
      </c>
      <c r="K93" s="83">
        <v>1</v>
      </c>
      <c r="L93" s="83" t="s">
        <v>18</v>
      </c>
    </row>
    <row r="94" spans="1:12">
      <c r="A94" s="83" t="s">
        <v>138</v>
      </c>
      <c r="B94" s="83" t="s">
        <v>114</v>
      </c>
      <c r="C94" s="83" t="s">
        <v>136</v>
      </c>
      <c r="D94" s="83" t="s">
        <v>15</v>
      </c>
      <c r="E94" s="83" t="s">
        <v>18</v>
      </c>
      <c r="F94" s="83" t="s">
        <v>138</v>
      </c>
      <c r="G94" s="83" t="s">
        <v>137</v>
      </c>
      <c r="H94" s="83" t="s">
        <v>18</v>
      </c>
      <c r="I94" s="83" t="s">
        <v>18</v>
      </c>
      <c r="J94" s="83" t="s">
        <v>18</v>
      </c>
      <c r="K94" s="83">
        <v>1</v>
      </c>
      <c r="L94" s="83" t="s">
        <v>18</v>
      </c>
    </row>
    <row r="95" spans="1:12">
      <c r="A95" s="83" t="s">
        <v>139</v>
      </c>
      <c r="B95" s="83" t="s">
        <v>114</v>
      </c>
      <c r="C95" s="83" t="s">
        <v>136</v>
      </c>
      <c r="D95" s="83" t="s">
        <v>15</v>
      </c>
      <c r="E95" s="83" t="s">
        <v>121</v>
      </c>
      <c r="F95" s="83" t="s">
        <v>139</v>
      </c>
      <c r="G95" s="83" t="s">
        <v>137</v>
      </c>
      <c r="H95" s="83" t="s">
        <v>18</v>
      </c>
      <c r="I95" s="83">
        <v>1</v>
      </c>
      <c r="J95" s="83" t="s">
        <v>18</v>
      </c>
      <c r="K95" s="83" t="s">
        <v>18</v>
      </c>
      <c r="L95" s="83" t="s">
        <v>18</v>
      </c>
    </row>
    <row r="96" spans="1:12">
      <c r="A96" s="83" t="s">
        <v>140</v>
      </c>
      <c r="B96" s="83" t="s">
        <v>114</v>
      </c>
      <c r="C96" s="83" t="s">
        <v>136</v>
      </c>
      <c r="D96" s="83" t="s">
        <v>15</v>
      </c>
      <c r="E96" s="83" t="s">
        <v>121</v>
      </c>
      <c r="F96" s="83" t="s">
        <v>140</v>
      </c>
      <c r="G96" s="83" t="s">
        <v>137</v>
      </c>
      <c r="H96" s="83" t="s">
        <v>18</v>
      </c>
      <c r="I96" s="83">
        <v>1</v>
      </c>
      <c r="J96" s="83" t="s">
        <v>18</v>
      </c>
      <c r="K96" s="83" t="s">
        <v>18</v>
      </c>
      <c r="L96" s="83" t="s">
        <v>18</v>
      </c>
    </row>
    <row r="97" spans="1:12">
      <c r="A97" s="83" t="s">
        <v>141</v>
      </c>
      <c r="B97" s="83" t="s">
        <v>114</v>
      </c>
      <c r="C97" s="83" t="s">
        <v>136</v>
      </c>
      <c r="D97" s="83" t="s">
        <v>15</v>
      </c>
      <c r="E97" s="83" t="s">
        <v>121</v>
      </c>
      <c r="F97" s="83" t="s">
        <v>141</v>
      </c>
      <c r="G97" s="83" t="s">
        <v>137</v>
      </c>
      <c r="H97" s="83" t="s">
        <v>18</v>
      </c>
      <c r="I97" s="83">
        <v>1</v>
      </c>
      <c r="J97" s="83" t="s">
        <v>18</v>
      </c>
      <c r="K97" s="83" t="s">
        <v>18</v>
      </c>
      <c r="L97" s="83" t="s">
        <v>18</v>
      </c>
    </row>
    <row r="98" spans="1:12">
      <c r="A98" s="83" t="s">
        <v>142</v>
      </c>
      <c r="B98" s="83" t="s">
        <v>114</v>
      </c>
      <c r="C98" s="83" t="s">
        <v>136</v>
      </c>
      <c r="D98" s="83" t="s">
        <v>15</v>
      </c>
      <c r="E98" s="83" t="s">
        <v>121</v>
      </c>
      <c r="F98" s="83" t="s">
        <v>142</v>
      </c>
      <c r="G98" s="83" t="s">
        <v>137</v>
      </c>
      <c r="H98" s="83" t="s">
        <v>18</v>
      </c>
      <c r="I98" s="83">
        <v>1</v>
      </c>
      <c r="J98" s="83" t="s">
        <v>18</v>
      </c>
      <c r="K98" s="83" t="s">
        <v>18</v>
      </c>
      <c r="L98" s="83" t="s">
        <v>18</v>
      </c>
    </row>
    <row r="99" spans="1:12">
      <c r="A99" s="83" t="s">
        <v>143</v>
      </c>
      <c r="B99" s="83" t="s">
        <v>114</v>
      </c>
      <c r="C99" s="83" t="s">
        <v>136</v>
      </c>
      <c r="D99" s="83" t="s">
        <v>15</v>
      </c>
      <c r="E99" s="83" t="s">
        <v>121</v>
      </c>
      <c r="F99" s="83" t="s">
        <v>143</v>
      </c>
      <c r="G99" s="83" t="s">
        <v>137</v>
      </c>
      <c r="H99" s="83" t="s">
        <v>18</v>
      </c>
      <c r="I99" s="83">
        <v>1</v>
      </c>
      <c r="J99" s="83" t="s">
        <v>18</v>
      </c>
      <c r="K99" s="83" t="s">
        <v>18</v>
      </c>
      <c r="L99" s="83" t="s">
        <v>18</v>
      </c>
    </row>
    <row r="100" spans="1:12">
      <c r="A100" s="83" t="s">
        <v>144</v>
      </c>
      <c r="B100" s="83" t="s">
        <v>114</v>
      </c>
      <c r="C100" s="83" t="s">
        <v>136</v>
      </c>
      <c r="D100" s="83" t="s">
        <v>15</v>
      </c>
      <c r="E100" s="83" t="s">
        <v>121</v>
      </c>
      <c r="F100" s="83" t="s">
        <v>144</v>
      </c>
      <c r="G100" s="83" t="s">
        <v>137</v>
      </c>
      <c r="H100" s="83" t="s">
        <v>18</v>
      </c>
      <c r="I100" s="83">
        <v>1</v>
      </c>
      <c r="J100" s="83" t="s">
        <v>18</v>
      </c>
      <c r="K100" s="83" t="s">
        <v>18</v>
      </c>
      <c r="L100" s="83" t="s">
        <v>18</v>
      </c>
    </row>
    <row r="101" spans="1:12">
      <c r="A101" s="83" t="s">
        <v>145</v>
      </c>
      <c r="B101" s="83" t="s">
        <v>114</v>
      </c>
      <c r="C101" s="83" t="s">
        <v>136</v>
      </c>
      <c r="D101" s="83" t="s">
        <v>15</v>
      </c>
      <c r="E101" s="83" t="s">
        <v>121</v>
      </c>
      <c r="F101" s="83" t="s">
        <v>145</v>
      </c>
      <c r="G101" s="83" t="s">
        <v>137</v>
      </c>
      <c r="H101" s="83" t="s">
        <v>18</v>
      </c>
      <c r="I101" s="83">
        <v>1</v>
      </c>
      <c r="J101" s="83" t="s">
        <v>18</v>
      </c>
      <c r="K101" s="83">
        <v>1</v>
      </c>
      <c r="L101" s="83" t="s">
        <v>18</v>
      </c>
    </row>
    <row r="102" spans="1:12">
      <c r="A102" s="83" t="s">
        <v>146</v>
      </c>
      <c r="B102" s="83" t="s">
        <v>114</v>
      </c>
      <c r="C102" s="83" t="s">
        <v>136</v>
      </c>
      <c r="D102" s="83" t="s">
        <v>15</v>
      </c>
      <c r="E102" s="83" t="s">
        <v>121</v>
      </c>
      <c r="F102" s="83" t="s">
        <v>146</v>
      </c>
      <c r="G102" s="83" t="s">
        <v>137</v>
      </c>
      <c r="H102" s="83" t="s">
        <v>18</v>
      </c>
      <c r="I102" s="83">
        <v>1</v>
      </c>
      <c r="J102" s="83" t="s">
        <v>18</v>
      </c>
      <c r="K102" s="83">
        <v>1</v>
      </c>
      <c r="L102" s="83" t="s">
        <v>18</v>
      </c>
    </row>
    <row r="103" spans="1:12">
      <c r="A103" s="83" t="s">
        <v>147</v>
      </c>
      <c r="B103" s="83" t="s">
        <v>114</v>
      </c>
      <c r="C103" s="83" t="s">
        <v>136</v>
      </c>
      <c r="D103" s="83" t="s">
        <v>15</v>
      </c>
      <c r="E103" s="83" t="s">
        <v>121</v>
      </c>
      <c r="F103" s="83" t="s">
        <v>147</v>
      </c>
      <c r="G103" s="83" t="s">
        <v>137</v>
      </c>
      <c r="H103" s="83">
        <v>1</v>
      </c>
      <c r="I103" s="83" t="s">
        <v>18</v>
      </c>
      <c r="J103" s="83" t="s">
        <v>18</v>
      </c>
      <c r="K103" s="83" t="s">
        <v>18</v>
      </c>
      <c r="L103" s="83" t="s">
        <v>18</v>
      </c>
    </row>
    <row r="104" spans="1:12">
      <c r="A104" s="83" t="s">
        <v>148</v>
      </c>
      <c r="B104" s="83" t="s">
        <v>114</v>
      </c>
      <c r="C104" s="83" t="s">
        <v>136</v>
      </c>
      <c r="D104" s="83" t="s">
        <v>15</v>
      </c>
      <c r="E104" s="83" t="s">
        <v>121</v>
      </c>
      <c r="F104" s="83" t="s">
        <v>148</v>
      </c>
      <c r="G104" s="83" t="s">
        <v>137</v>
      </c>
      <c r="H104" s="83">
        <v>1</v>
      </c>
      <c r="I104" s="83" t="s">
        <v>18</v>
      </c>
      <c r="J104" s="83" t="s">
        <v>18</v>
      </c>
      <c r="K104" s="83" t="s">
        <v>18</v>
      </c>
      <c r="L104" s="83" t="s">
        <v>18</v>
      </c>
    </row>
    <row r="105" spans="1:12">
      <c r="A105" s="83" t="s">
        <v>149</v>
      </c>
      <c r="B105" s="83" t="s">
        <v>114</v>
      </c>
      <c r="C105" s="83" t="s">
        <v>136</v>
      </c>
      <c r="D105" s="83" t="s">
        <v>15</v>
      </c>
      <c r="E105" s="83" t="s">
        <v>121</v>
      </c>
      <c r="F105" s="83" t="s">
        <v>149</v>
      </c>
      <c r="G105" s="83" t="s">
        <v>137</v>
      </c>
      <c r="H105" s="83">
        <v>1</v>
      </c>
      <c r="I105" s="83" t="s">
        <v>18</v>
      </c>
      <c r="J105" s="83" t="s">
        <v>18</v>
      </c>
      <c r="K105" s="83" t="s">
        <v>18</v>
      </c>
      <c r="L105" s="83" t="s">
        <v>18</v>
      </c>
    </row>
    <row r="106" spans="1:12">
      <c r="A106" s="83" t="s">
        <v>150</v>
      </c>
      <c r="B106" s="83" t="s">
        <v>114</v>
      </c>
      <c r="C106" s="83" t="s">
        <v>136</v>
      </c>
      <c r="D106" s="83" t="s">
        <v>15</v>
      </c>
      <c r="E106" s="83" t="s">
        <v>121</v>
      </c>
      <c r="F106" s="83" t="s">
        <v>150</v>
      </c>
      <c r="G106" s="83" t="s">
        <v>137</v>
      </c>
      <c r="H106" s="83">
        <v>1</v>
      </c>
      <c r="I106" s="83" t="s">
        <v>18</v>
      </c>
      <c r="J106" s="83" t="s">
        <v>18</v>
      </c>
      <c r="K106" s="83" t="s">
        <v>18</v>
      </c>
      <c r="L106" s="83" t="s">
        <v>18</v>
      </c>
    </row>
    <row r="107" spans="1:12">
      <c r="A107" s="83" t="s">
        <v>151</v>
      </c>
      <c r="B107" s="83" t="s">
        <v>114</v>
      </c>
      <c r="C107" s="83" t="s">
        <v>136</v>
      </c>
      <c r="D107" s="83" t="s">
        <v>15</v>
      </c>
      <c r="E107" s="83" t="s">
        <v>18</v>
      </c>
      <c r="F107" s="83" t="s">
        <v>151</v>
      </c>
      <c r="G107" s="83" t="s">
        <v>137</v>
      </c>
      <c r="H107" s="83">
        <v>1</v>
      </c>
      <c r="I107" s="83">
        <v>2</v>
      </c>
      <c r="J107" s="83" t="s">
        <v>18</v>
      </c>
      <c r="K107" s="83" t="s">
        <v>18</v>
      </c>
      <c r="L107" s="83" t="s">
        <v>18</v>
      </c>
    </row>
    <row r="108" spans="1:12">
      <c r="A108" s="83" t="s">
        <v>152</v>
      </c>
      <c r="B108" s="83" t="s">
        <v>114</v>
      </c>
      <c r="C108" s="83" t="s">
        <v>136</v>
      </c>
      <c r="D108" s="83" t="s">
        <v>15</v>
      </c>
      <c r="E108" s="83" t="s">
        <v>121</v>
      </c>
      <c r="F108" s="83" t="s">
        <v>152</v>
      </c>
      <c r="G108" s="83" t="s">
        <v>137</v>
      </c>
      <c r="H108" s="83">
        <v>1</v>
      </c>
      <c r="I108" s="83">
        <v>2</v>
      </c>
      <c r="J108" s="83" t="s">
        <v>18</v>
      </c>
      <c r="K108" s="83" t="s">
        <v>18</v>
      </c>
      <c r="L108" s="83" t="s">
        <v>18</v>
      </c>
    </row>
    <row r="109" spans="1:12">
      <c r="A109" s="83" t="s">
        <v>153</v>
      </c>
      <c r="B109" s="83" t="s">
        <v>114</v>
      </c>
      <c r="C109" s="83" t="s">
        <v>136</v>
      </c>
      <c r="D109" s="83" t="s">
        <v>15</v>
      </c>
      <c r="E109" s="83" t="s">
        <v>121</v>
      </c>
      <c r="F109" s="83" t="s">
        <v>153</v>
      </c>
      <c r="G109" s="83" t="s">
        <v>137</v>
      </c>
      <c r="H109" s="83">
        <v>1</v>
      </c>
      <c r="I109" s="83">
        <v>2</v>
      </c>
      <c r="J109" s="83" t="s">
        <v>18</v>
      </c>
      <c r="K109" s="83" t="s">
        <v>18</v>
      </c>
      <c r="L109" s="83" t="s">
        <v>18</v>
      </c>
    </row>
    <row r="110" spans="1:12">
      <c r="A110" s="83" t="s">
        <v>154</v>
      </c>
      <c r="B110" s="83" t="s">
        <v>114</v>
      </c>
      <c r="C110" s="83" t="s">
        <v>136</v>
      </c>
      <c r="D110" s="83" t="s">
        <v>15</v>
      </c>
      <c r="E110" s="83" t="s">
        <v>121</v>
      </c>
      <c r="F110" s="83" t="s">
        <v>154</v>
      </c>
      <c r="G110" s="83" t="s">
        <v>137</v>
      </c>
      <c r="H110" s="83">
        <v>1</v>
      </c>
      <c r="I110" s="83">
        <v>2</v>
      </c>
      <c r="J110" s="83" t="s">
        <v>18</v>
      </c>
      <c r="K110" s="83" t="s">
        <v>18</v>
      </c>
      <c r="L110" s="83" t="s">
        <v>18</v>
      </c>
    </row>
    <row r="111" spans="1:12">
      <c r="A111" s="83" t="s">
        <v>155</v>
      </c>
      <c r="B111" s="83" t="s">
        <v>114</v>
      </c>
      <c r="C111" s="83" t="s">
        <v>136</v>
      </c>
      <c r="D111" s="83" t="s">
        <v>15</v>
      </c>
      <c r="E111" s="83" t="s">
        <v>121</v>
      </c>
      <c r="F111" s="83" t="s">
        <v>155</v>
      </c>
      <c r="G111" s="83" t="s">
        <v>137</v>
      </c>
      <c r="H111" s="83">
        <v>1</v>
      </c>
      <c r="I111" s="83">
        <v>2</v>
      </c>
      <c r="J111" s="83" t="s">
        <v>18</v>
      </c>
      <c r="K111" s="83" t="s">
        <v>18</v>
      </c>
      <c r="L111" s="83" t="s">
        <v>18</v>
      </c>
    </row>
    <row r="112" spans="1:12">
      <c r="A112" s="83" t="s">
        <v>156</v>
      </c>
      <c r="B112" s="83" t="s">
        <v>114</v>
      </c>
      <c r="C112" s="83" t="s">
        <v>136</v>
      </c>
      <c r="D112" s="83" t="s">
        <v>15</v>
      </c>
      <c r="E112" s="83" t="s">
        <v>121</v>
      </c>
      <c r="F112" s="83" t="s">
        <v>156</v>
      </c>
      <c r="G112" s="83" t="s">
        <v>137</v>
      </c>
      <c r="H112" s="83">
        <v>1</v>
      </c>
      <c r="I112" s="83">
        <v>2</v>
      </c>
      <c r="J112" s="83" t="s">
        <v>18</v>
      </c>
      <c r="K112" s="83" t="s">
        <v>18</v>
      </c>
      <c r="L112" s="83" t="s">
        <v>18</v>
      </c>
    </row>
    <row r="113" spans="1:12">
      <c r="A113" s="83" t="s">
        <v>157</v>
      </c>
      <c r="B113" s="83" t="s">
        <v>114</v>
      </c>
      <c r="C113" s="83" t="s">
        <v>136</v>
      </c>
      <c r="D113" s="83" t="s">
        <v>15</v>
      </c>
      <c r="E113" s="83" t="s">
        <v>121</v>
      </c>
      <c r="F113" s="83" t="s">
        <v>157</v>
      </c>
      <c r="G113" s="83" t="s">
        <v>137</v>
      </c>
      <c r="H113" s="83">
        <v>1</v>
      </c>
      <c r="I113" s="83">
        <v>2</v>
      </c>
      <c r="J113" s="83" t="s">
        <v>18</v>
      </c>
      <c r="K113" s="83" t="s">
        <v>18</v>
      </c>
      <c r="L113" s="83" t="s">
        <v>18</v>
      </c>
    </row>
    <row r="114" spans="1:12">
      <c r="A114" s="83" t="s">
        <v>158</v>
      </c>
      <c r="B114" s="83" t="s">
        <v>114</v>
      </c>
      <c r="C114" s="83" t="s">
        <v>136</v>
      </c>
      <c r="D114" s="83" t="s">
        <v>15</v>
      </c>
      <c r="E114" s="83" t="s">
        <v>121</v>
      </c>
      <c r="F114" s="83" t="s">
        <v>158</v>
      </c>
      <c r="G114" s="83" t="s">
        <v>137</v>
      </c>
      <c r="H114" s="83">
        <v>1</v>
      </c>
      <c r="I114" s="83">
        <v>2</v>
      </c>
      <c r="J114" s="83" t="s">
        <v>18</v>
      </c>
      <c r="K114" s="83" t="s">
        <v>18</v>
      </c>
      <c r="L114" s="83" t="s">
        <v>18</v>
      </c>
    </row>
    <row r="115" spans="1:12">
      <c r="A115" s="83" t="s">
        <v>159</v>
      </c>
      <c r="B115" s="83" t="s">
        <v>114</v>
      </c>
      <c r="C115" s="83" t="s">
        <v>136</v>
      </c>
      <c r="D115" s="83" t="s">
        <v>15</v>
      </c>
      <c r="E115" s="83" t="s">
        <v>121</v>
      </c>
      <c r="F115" s="83" t="s">
        <v>159</v>
      </c>
      <c r="G115" s="83" t="s">
        <v>137</v>
      </c>
      <c r="H115" s="83">
        <v>1</v>
      </c>
      <c r="I115" s="83">
        <v>2</v>
      </c>
      <c r="J115" s="83" t="s">
        <v>18</v>
      </c>
      <c r="K115" s="83" t="s">
        <v>18</v>
      </c>
      <c r="L115" s="83" t="s">
        <v>18</v>
      </c>
    </row>
    <row r="116" spans="1:12">
      <c r="A116" s="83" t="s">
        <v>160</v>
      </c>
      <c r="B116" s="83" t="s">
        <v>114</v>
      </c>
      <c r="C116" s="83" t="s">
        <v>136</v>
      </c>
      <c r="D116" s="83" t="s">
        <v>15</v>
      </c>
      <c r="E116" s="83" t="s">
        <v>121</v>
      </c>
      <c r="F116" s="83" t="s">
        <v>160</v>
      </c>
      <c r="G116" s="83" t="s">
        <v>137</v>
      </c>
      <c r="H116" s="83">
        <v>1</v>
      </c>
      <c r="I116" s="83">
        <v>2</v>
      </c>
      <c r="J116" s="83" t="s">
        <v>18</v>
      </c>
      <c r="K116" s="83" t="s">
        <v>18</v>
      </c>
      <c r="L116" s="83" t="s">
        <v>18</v>
      </c>
    </row>
    <row r="117" spans="1:12">
      <c r="A117" s="83" t="s">
        <v>161</v>
      </c>
      <c r="B117" s="83" t="s">
        <v>114</v>
      </c>
      <c r="C117" s="83" t="s">
        <v>136</v>
      </c>
      <c r="D117" s="83" t="s">
        <v>15</v>
      </c>
      <c r="E117" s="83" t="s">
        <v>121</v>
      </c>
      <c r="F117" s="83" t="s">
        <v>161</v>
      </c>
      <c r="G117" s="83" t="s">
        <v>137</v>
      </c>
      <c r="H117" s="83">
        <v>1</v>
      </c>
      <c r="I117" s="83">
        <v>2</v>
      </c>
      <c r="J117" s="83" t="s">
        <v>18</v>
      </c>
      <c r="K117" s="83" t="s">
        <v>18</v>
      </c>
      <c r="L117" s="83" t="s">
        <v>18</v>
      </c>
    </row>
    <row r="118" spans="1:12">
      <c r="A118" s="83" t="s">
        <v>162</v>
      </c>
      <c r="B118" s="83" t="s">
        <v>114</v>
      </c>
      <c r="C118" s="83" t="s">
        <v>136</v>
      </c>
      <c r="D118" s="83" t="s">
        <v>15</v>
      </c>
      <c r="E118" s="83" t="s">
        <v>121</v>
      </c>
      <c r="F118" s="83" t="s">
        <v>162</v>
      </c>
      <c r="G118" s="83" t="s">
        <v>137</v>
      </c>
      <c r="H118" s="83">
        <v>1</v>
      </c>
      <c r="I118" s="83">
        <v>2</v>
      </c>
      <c r="J118" s="83" t="s">
        <v>18</v>
      </c>
      <c r="K118" s="83" t="s">
        <v>18</v>
      </c>
      <c r="L118" s="83" t="s">
        <v>18</v>
      </c>
    </row>
    <row r="119" spans="1:12">
      <c r="A119" s="83" t="s">
        <v>163</v>
      </c>
      <c r="B119" s="83" t="s">
        <v>114</v>
      </c>
      <c r="C119" s="83" t="s">
        <v>136</v>
      </c>
      <c r="D119" s="83" t="s">
        <v>15</v>
      </c>
      <c r="E119" s="83" t="s">
        <v>121</v>
      </c>
      <c r="F119" s="83" t="s">
        <v>163</v>
      </c>
      <c r="G119" s="83" t="s">
        <v>137</v>
      </c>
      <c r="H119" s="83">
        <v>1</v>
      </c>
      <c r="I119" s="83">
        <v>2</v>
      </c>
      <c r="J119" s="83" t="s">
        <v>18</v>
      </c>
      <c r="K119" s="83" t="s">
        <v>18</v>
      </c>
      <c r="L119" s="83" t="s">
        <v>18</v>
      </c>
    </row>
    <row r="120" spans="1:12">
      <c r="A120" s="83" t="s">
        <v>164</v>
      </c>
      <c r="B120" s="83" t="s">
        <v>114</v>
      </c>
      <c r="C120" s="83" t="s">
        <v>136</v>
      </c>
      <c r="D120" s="83" t="s">
        <v>15</v>
      </c>
      <c r="E120" s="83" t="s">
        <v>121</v>
      </c>
      <c r="F120" s="83" t="s">
        <v>164</v>
      </c>
      <c r="G120" s="83" t="s">
        <v>137</v>
      </c>
      <c r="H120" s="83">
        <v>1</v>
      </c>
      <c r="I120" s="83">
        <v>2</v>
      </c>
      <c r="J120" s="83" t="s">
        <v>18</v>
      </c>
      <c r="K120" s="83" t="s">
        <v>18</v>
      </c>
      <c r="L120" s="83" t="s">
        <v>18</v>
      </c>
    </row>
    <row r="121" spans="1:12">
      <c r="A121" s="83" t="s">
        <v>165</v>
      </c>
      <c r="B121" s="83" t="s">
        <v>114</v>
      </c>
      <c r="C121" s="83" t="s">
        <v>136</v>
      </c>
      <c r="D121" s="83" t="s">
        <v>15</v>
      </c>
      <c r="E121" s="83" t="s">
        <v>121</v>
      </c>
      <c r="F121" s="83" t="s">
        <v>165</v>
      </c>
      <c r="G121" s="83" t="s">
        <v>137</v>
      </c>
      <c r="H121" s="83">
        <v>1</v>
      </c>
      <c r="I121" s="83">
        <v>2</v>
      </c>
      <c r="J121" s="83" t="s">
        <v>18</v>
      </c>
      <c r="K121" s="83" t="s">
        <v>18</v>
      </c>
      <c r="L121" s="83" t="s">
        <v>18</v>
      </c>
    </row>
    <row r="122" spans="1:12">
      <c r="A122" s="83" t="s">
        <v>166</v>
      </c>
      <c r="B122" s="83" t="s">
        <v>114</v>
      </c>
      <c r="C122" s="83" t="s">
        <v>136</v>
      </c>
      <c r="D122" s="83" t="s">
        <v>15</v>
      </c>
      <c r="E122" s="83" t="s">
        <v>121</v>
      </c>
      <c r="F122" s="83" t="s">
        <v>166</v>
      </c>
      <c r="G122" s="83" t="s">
        <v>137</v>
      </c>
      <c r="H122" s="83">
        <v>1</v>
      </c>
      <c r="I122" s="83">
        <v>2</v>
      </c>
      <c r="J122" s="83" t="s">
        <v>18</v>
      </c>
      <c r="K122" s="83" t="s">
        <v>18</v>
      </c>
      <c r="L122" s="83" t="s">
        <v>18</v>
      </c>
    </row>
    <row r="123" spans="1:12">
      <c r="A123" s="83" t="s">
        <v>18</v>
      </c>
      <c r="B123" s="83" t="s">
        <v>114</v>
      </c>
      <c r="C123" s="83" t="s">
        <v>136</v>
      </c>
      <c r="D123" s="83" t="s">
        <v>15</v>
      </c>
      <c r="E123" s="83" t="s">
        <v>121</v>
      </c>
      <c r="F123" s="83" t="s">
        <v>18</v>
      </c>
      <c r="G123" s="83" t="s">
        <v>137</v>
      </c>
      <c r="H123" s="83">
        <v>1</v>
      </c>
      <c r="I123" s="83">
        <v>1</v>
      </c>
      <c r="J123" s="83" t="s">
        <v>18</v>
      </c>
      <c r="K123" s="83" t="s">
        <v>18</v>
      </c>
      <c r="L123" s="83">
        <v>1</v>
      </c>
    </row>
    <row r="124" spans="1:12">
      <c r="A124" s="83" t="s">
        <v>18</v>
      </c>
      <c r="B124" s="83" t="s">
        <v>114</v>
      </c>
      <c r="C124" s="83" t="s">
        <v>136</v>
      </c>
      <c r="D124" s="83" t="s">
        <v>15</v>
      </c>
      <c r="E124" s="83" t="s">
        <v>121</v>
      </c>
      <c r="F124" s="83" t="s">
        <v>18</v>
      </c>
      <c r="G124" s="83" t="s">
        <v>137</v>
      </c>
      <c r="H124" s="83">
        <v>1</v>
      </c>
      <c r="I124" s="83">
        <v>1</v>
      </c>
      <c r="J124" s="83" t="s">
        <v>18</v>
      </c>
      <c r="K124" s="83" t="s">
        <v>18</v>
      </c>
      <c r="L124" s="83">
        <v>1</v>
      </c>
    </row>
    <row r="125" spans="1:12">
      <c r="A125" s="83" t="s">
        <v>18</v>
      </c>
      <c r="B125" s="83" t="s">
        <v>114</v>
      </c>
      <c r="C125" s="83" t="s">
        <v>136</v>
      </c>
      <c r="D125" s="83" t="s">
        <v>15</v>
      </c>
      <c r="E125" s="83" t="s">
        <v>121</v>
      </c>
      <c r="F125" s="83" t="s">
        <v>18</v>
      </c>
      <c r="G125" s="83" t="s">
        <v>137</v>
      </c>
      <c r="H125" s="83">
        <v>1</v>
      </c>
      <c r="I125" s="83">
        <v>1</v>
      </c>
      <c r="J125" s="83" t="s">
        <v>18</v>
      </c>
      <c r="K125" s="83" t="s">
        <v>18</v>
      </c>
      <c r="L125" s="83">
        <v>1</v>
      </c>
    </row>
    <row r="126" spans="1:12">
      <c r="A126" s="83" t="s">
        <v>18</v>
      </c>
      <c r="B126" s="83" t="s">
        <v>114</v>
      </c>
      <c r="C126" s="83" t="s">
        <v>136</v>
      </c>
      <c r="D126" s="83" t="s">
        <v>15</v>
      </c>
      <c r="E126" s="83" t="s">
        <v>121</v>
      </c>
      <c r="F126" s="83" t="s">
        <v>18</v>
      </c>
      <c r="G126" s="83" t="s">
        <v>137</v>
      </c>
      <c r="H126" s="83">
        <v>1</v>
      </c>
      <c r="I126" s="83">
        <v>1</v>
      </c>
      <c r="J126" s="83" t="s">
        <v>18</v>
      </c>
      <c r="K126" s="83" t="s">
        <v>18</v>
      </c>
      <c r="L126" s="83">
        <v>1</v>
      </c>
    </row>
    <row r="127" spans="1:12">
      <c r="A127" s="83" t="s">
        <v>167</v>
      </c>
      <c r="B127" s="83" t="s">
        <v>168</v>
      </c>
      <c r="C127" s="83" t="s">
        <v>169</v>
      </c>
      <c r="D127" s="83" t="s">
        <v>24</v>
      </c>
      <c r="E127" s="83" t="s">
        <v>18</v>
      </c>
      <c r="F127" s="83" t="s">
        <v>167</v>
      </c>
      <c r="G127" s="83" t="s">
        <v>170</v>
      </c>
      <c r="H127" s="83" t="s">
        <v>18</v>
      </c>
      <c r="I127" s="83">
        <v>1</v>
      </c>
      <c r="J127" s="83" t="s">
        <v>18</v>
      </c>
      <c r="K127" s="83" t="s">
        <v>18</v>
      </c>
      <c r="L127" s="83" t="s">
        <v>18</v>
      </c>
    </row>
    <row r="128" spans="1:12">
      <c r="A128" s="83" t="s">
        <v>171</v>
      </c>
      <c r="B128" s="83" t="s">
        <v>168</v>
      </c>
      <c r="C128" s="83" t="s">
        <v>169</v>
      </c>
      <c r="D128" s="83" t="s">
        <v>24</v>
      </c>
      <c r="E128" s="83" t="s">
        <v>18</v>
      </c>
      <c r="F128" s="83" t="s">
        <v>171</v>
      </c>
      <c r="G128" s="83" t="s">
        <v>172</v>
      </c>
      <c r="H128" s="83" t="s">
        <v>18</v>
      </c>
      <c r="I128" s="83">
        <v>1</v>
      </c>
      <c r="J128" s="83" t="s">
        <v>18</v>
      </c>
      <c r="K128" s="83" t="s">
        <v>18</v>
      </c>
      <c r="L128" s="83" t="s">
        <v>18</v>
      </c>
    </row>
    <row r="129" spans="1:12">
      <c r="A129" s="83" t="s">
        <v>173</v>
      </c>
      <c r="B129" s="83" t="s">
        <v>168</v>
      </c>
      <c r="C129" s="83" t="s">
        <v>169</v>
      </c>
      <c r="D129" s="83" t="s">
        <v>24</v>
      </c>
      <c r="E129" s="83" t="s">
        <v>18</v>
      </c>
      <c r="F129" s="83" t="s">
        <v>173</v>
      </c>
      <c r="G129" s="83" t="s">
        <v>172</v>
      </c>
      <c r="H129" s="83" t="s">
        <v>18</v>
      </c>
      <c r="I129" s="83">
        <v>1</v>
      </c>
      <c r="J129" s="83" t="s">
        <v>18</v>
      </c>
      <c r="K129" s="83">
        <v>2</v>
      </c>
      <c r="L129" s="83" t="s">
        <v>18</v>
      </c>
    </row>
    <row r="130" spans="1:12">
      <c r="A130" s="83" t="s">
        <v>174</v>
      </c>
      <c r="B130" s="83" t="s">
        <v>168</v>
      </c>
      <c r="C130" s="83" t="s">
        <v>169</v>
      </c>
      <c r="D130" s="83" t="s">
        <v>24</v>
      </c>
      <c r="E130" s="83" t="s">
        <v>18</v>
      </c>
      <c r="F130" s="83" t="s">
        <v>174</v>
      </c>
      <c r="G130" s="83" t="s">
        <v>172</v>
      </c>
      <c r="H130" s="83" t="s">
        <v>18</v>
      </c>
      <c r="I130" s="83">
        <v>1</v>
      </c>
      <c r="J130" s="83" t="s">
        <v>18</v>
      </c>
      <c r="K130" s="83">
        <v>2</v>
      </c>
      <c r="L130" s="83" t="s">
        <v>18</v>
      </c>
    </row>
    <row r="131" spans="1:12">
      <c r="A131" s="83" t="s">
        <v>175</v>
      </c>
      <c r="B131" s="83" t="s">
        <v>168</v>
      </c>
      <c r="C131" s="83" t="s">
        <v>169</v>
      </c>
      <c r="D131" s="83" t="s">
        <v>24</v>
      </c>
      <c r="E131" s="83" t="s">
        <v>18</v>
      </c>
      <c r="F131" s="83" t="s">
        <v>175</v>
      </c>
      <c r="G131" s="83" t="s">
        <v>170</v>
      </c>
      <c r="H131" s="83" t="s">
        <v>18</v>
      </c>
      <c r="I131" s="83">
        <v>1</v>
      </c>
      <c r="J131" s="83" t="s">
        <v>18</v>
      </c>
      <c r="K131" s="83" t="s">
        <v>18</v>
      </c>
      <c r="L131" s="83" t="s">
        <v>18</v>
      </c>
    </row>
    <row r="132" spans="1:12">
      <c r="A132" s="83" t="s">
        <v>176</v>
      </c>
      <c r="B132" s="83" t="s">
        <v>168</v>
      </c>
      <c r="C132" s="83" t="s">
        <v>169</v>
      </c>
      <c r="D132" s="83" t="s">
        <v>24</v>
      </c>
      <c r="E132" s="83" t="s">
        <v>18</v>
      </c>
      <c r="F132" s="83" t="s">
        <v>176</v>
      </c>
      <c r="G132" s="83" t="s">
        <v>170</v>
      </c>
      <c r="H132" s="83" t="s">
        <v>18</v>
      </c>
      <c r="I132" s="83">
        <v>1</v>
      </c>
      <c r="J132" s="83" t="s">
        <v>18</v>
      </c>
      <c r="K132" s="83" t="s">
        <v>18</v>
      </c>
      <c r="L132" s="83" t="s">
        <v>18</v>
      </c>
    </row>
    <row r="133" spans="1:12">
      <c r="A133" s="83" t="s">
        <v>177</v>
      </c>
      <c r="B133" s="83" t="s">
        <v>168</v>
      </c>
      <c r="C133" s="83" t="s">
        <v>169</v>
      </c>
      <c r="D133" s="83" t="s">
        <v>24</v>
      </c>
      <c r="E133" s="83" t="s">
        <v>18</v>
      </c>
      <c r="F133" s="83" t="s">
        <v>177</v>
      </c>
      <c r="G133" s="83" t="s">
        <v>172</v>
      </c>
      <c r="K133" s="83">
        <v>1</v>
      </c>
      <c r="L133" s="83" t="s">
        <v>18</v>
      </c>
    </row>
    <row r="134" spans="1:12">
      <c r="A134" s="83" t="s">
        <v>178</v>
      </c>
      <c r="B134" s="83" t="s">
        <v>168</v>
      </c>
      <c r="C134" s="83" t="s">
        <v>169</v>
      </c>
      <c r="D134" s="83" t="s">
        <v>24</v>
      </c>
      <c r="E134" s="83" t="s">
        <v>18</v>
      </c>
      <c r="F134" s="83" t="s">
        <v>178</v>
      </c>
      <c r="G134" s="83" t="s">
        <v>172</v>
      </c>
      <c r="H134" s="83" t="s">
        <v>18</v>
      </c>
      <c r="I134" s="83" t="s">
        <v>18</v>
      </c>
      <c r="J134" s="83" t="s">
        <v>18</v>
      </c>
      <c r="K134" s="83">
        <v>1</v>
      </c>
      <c r="L134" s="83" t="s">
        <v>18</v>
      </c>
    </row>
    <row r="135" spans="1:12">
      <c r="A135" s="83" t="s">
        <v>179</v>
      </c>
      <c r="B135" s="83" t="s">
        <v>168</v>
      </c>
      <c r="C135" s="83" t="s">
        <v>169</v>
      </c>
      <c r="D135" s="83" t="s">
        <v>24</v>
      </c>
      <c r="E135" s="83" t="s">
        <v>18</v>
      </c>
      <c r="F135" s="83" t="s">
        <v>179</v>
      </c>
      <c r="G135" s="83" t="s">
        <v>172</v>
      </c>
      <c r="H135" s="83" t="s">
        <v>18</v>
      </c>
      <c r="I135" s="83" t="s">
        <v>18</v>
      </c>
      <c r="J135" s="83" t="s">
        <v>18</v>
      </c>
      <c r="K135" s="83">
        <v>1</v>
      </c>
      <c r="L135" s="83" t="s">
        <v>18</v>
      </c>
    </row>
    <row r="136" spans="1:12">
      <c r="A136" s="83" t="s">
        <v>180</v>
      </c>
      <c r="B136" s="83" t="s">
        <v>168</v>
      </c>
      <c r="C136" s="83" t="s">
        <v>169</v>
      </c>
      <c r="D136" s="83" t="s">
        <v>24</v>
      </c>
      <c r="E136" s="83" t="s">
        <v>18</v>
      </c>
      <c r="F136" s="83" t="s">
        <v>180</v>
      </c>
      <c r="G136" s="83" t="s">
        <v>172</v>
      </c>
      <c r="H136" s="83" t="s">
        <v>18</v>
      </c>
      <c r="I136" s="83" t="s">
        <v>18</v>
      </c>
      <c r="J136" s="83">
        <v>1</v>
      </c>
      <c r="K136" s="83" t="s">
        <v>18</v>
      </c>
      <c r="L136" s="83" t="s">
        <v>18</v>
      </c>
    </row>
    <row r="137" spans="1:12">
      <c r="A137" s="83" t="s">
        <v>181</v>
      </c>
      <c r="B137" s="83" t="s">
        <v>168</v>
      </c>
      <c r="C137" s="83" t="s">
        <v>169</v>
      </c>
      <c r="D137" s="83" t="s">
        <v>24</v>
      </c>
      <c r="E137" s="83" t="s">
        <v>18</v>
      </c>
      <c r="F137" s="83" t="s">
        <v>181</v>
      </c>
      <c r="G137" s="83" t="s">
        <v>172</v>
      </c>
      <c r="H137" s="83">
        <v>1</v>
      </c>
      <c r="I137" s="83">
        <v>2</v>
      </c>
      <c r="J137" s="83" t="s">
        <v>18</v>
      </c>
      <c r="K137" s="83" t="s">
        <v>18</v>
      </c>
      <c r="L137" s="83" t="s">
        <v>18</v>
      </c>
    </row>
    <row r="138" spans="1:12">
      <c r="A138" s="83" t="s">
        <v>182</v>
      </c>
      <c r="B138" s="83" t="s">
        <v>168</v>
      </c>
      <c r="C138" s="83" t="s">
        <v>169</v>
      </c>
      <c r="D138" s="83" t="s">
        <v>24</v>
      </c>
      <c r="E138" s="83" t="s">
        <v>18</v>
      </c>
      <c r="F138" s="83" t="s">
        <v>182</v>
      </c>
      <c r="G138" s="83" t="s">
        <v>170</v>
      </c>
      <c r="H138" s="83">
        <v>1</v>
      </c>
      <c r="I138" s="83">
        <v>2</v>
      </c>
      <c r="J138" s="83" t="s">
        <v>18</v>
      </c>
      <c r="K138" s="83" t="s">
        <v>18</v>
      </c>
      <c r="L138" s="83" t="s">
        <v>18</v>
      </c>
    </row>
    <row r="139" spans="1:12">
      <c r="A139" s="83" t="s">
        <v>183</v>
      </c>
      <c r="B139" s="83" t="s">
        <v>168</v>
      </c>
      <c r="C139" s="83" t="s">
        <v>169</v>
      </c>
      <c r="D139" s="83" t="s">
        <v>24</v>
      </c>
      <c r="E139" s="83" t="s">
        <v>18</v>
      </c>
      <c r="F139" s="83" t="s">
        <v>183</v>
      </c>
      <c r="G139" s="83" t="s">
        <v>170</v>
      </c>
      <c r="H139" s="83">
        <v>1</v>
      </c>
      <c r="I139" s="83">
        <v>2</v>
      </c>
      <c r="J139" s="83" t="s">
        <v>18</v>
      </c>
      <c r="K139" s="83" t="s">
        <v>18</v>
      </c>
      <c r="L139" s="83" t="s">
        <v>18</v>
      </c>
    </row>
    <row r="140" spans="1:12">
      <c r="A140" s="83" t="s">
        <v>184</v>
      </c>
      <c r="B140" s="83" t="s">
        <v>168</v>
      </c>
      <c r="C140" s="83" t="s">
        <v>169</v>
      </c>
      <c r="D140" s="83" t="s">
        <v>24</v>
      </c>
      <c r="E140" s="83" t="s">
        <v>18</v>
      </c>
      <c r="F140" s="83" t="s">
        <v>184</v>
      </c>
      <c r="G140" s="83" t="s">
        <v>172</v>
      </c>
      <c r="H140" s="83">
        <v>1</v>
      </c>
      <c r="I140" s="83">
        <v>2</v>
      </c>
      <c r="J140" s="83" t="s">
        <v>18</v>
      </c>
      <c r="K140" s="83" t="s">
        <v>18</v>
      </c>
      <c r="L140" s="83" t="s">
        <v>18</v>
      </c>
    </row>
    <row r="141" spans="1:12">
      <c r="A141" s="83" t="s">
        <v>185</v>
      </c>
      <c r="B141" s="83" t="s">
        <v>168</v>
      </c>
      <c r="C141" s="83" t="s">
        <v>169</v>
      </c>
      <c r="D141" s="83" t="s">
        <v>24</v>
      </c>
      <c r="E141" s="83" t="s">
        <v>18</v>
      </c>
      <c r="F141" s="83" t="s">
        <v>185</v>
      </c>
      <c r="G141" s="83" t="s">
        <v>172</v>
      </c>
      <c r="H141" s="83">
        <v>1</v>
      </c>
      <c r="I141" s="83">
        <v>2</v>
      </c>
      <c r="J141" s="83" t="s">
        <v>18</v>
      </c>
      <c r="K141" s="83" t="s">
        <v>18</v>
      </c>
      <c r="L141" s="83" t="s">
        <v>18</v>
      </c>
    </row>
    <row r="142" spans="1:12">
      <c r="A142" s="83" t="s">
        <v>186</v>
      </c>
      <c r="B142" s="83" t="s">
        <v>168</v>
      </c>
      <c r="C142" s="83" t="s">
        <v>169</v>
      </c>
      <c r="D142" s="83" t="s">
        <v>24</v>
      </c>
      <c r="E142" s="83" t="s">
        <v>18</v>
      </c>
      <c r="F142" s="83" t="s">
        <v>186</v>
      </c>
      <c r="G142" s="83" t="s">
        <v>172</v>
      </c>
      <c r="H142" s="83">
        <v>1</v>
      </c>
      <c r="I142" s="83">
        <v>2</v>
      </c>
      <c r="J142" s="83" t="s">
        <v>18</v>
      </c>
      <c r="K142" s="83" t="s">
        <v>18</v>
      </c>
      <c r="L142" s="83" t="s">
        <v>18</v>
      </c>
    </row>
    <row r="143" spans="1:12">
      <c r="A143" s="83" t="s">
        <v>187</v>
      </c>
      <c r="B143" s="83" t="s">
        <v>168</v>
      </c>
      <c r="C143" s="83" t="s">
        <v>169</v>
      </c>
      <c r="D143" s="83" t="s">
        <v>24</v>
      </c>
      <c r="E143" s="83" t="s">
        <v>18</v>
      </c>
      <c r="F143" s="83" t="s">
        <v>187</v>
      </c>
      <c r="G143" s="83" t="s">
        <v>172</v>
      </c>
      <c r="H143" s="83">
        <v>1</v>
      </c>
      <c r="I143" s="83">
        <v>2</v>
      </c>
      <c r="J143" s="83" t="s">
        <v>18</v>
      </c>
      <c r="K143" s="83" t="s">
        <v>18</v>
      </c>
      <c r="L143" s="83" t="s">
        <v>18</v>
      </c>
    </row>
    <row r="144" spans="1:12">
      <c r="A144" s="83" t="s">
        <v>188</v>
      </c>
      <c r="B144" s="83" t="s">
        <v>168</v>
      </c>
      <c r="C144" s="83" t="s">
        <v>169</v>
      </c>
      <c r="D144" s="83" t="s">
        <v>24</v>
      </c>
      <c r="E144" s="83" t="s">
        <v>18</v>
      </c>
      <c r="F144" s="83" t="s">
        <v>188</v>
      </c>
      <c r="G144" s="83" t="s">
        <v>172</v>
      </c>
      <c r="H144" s="83">
        <v>1</v>
      </c>
      <c r="I144" s="83">
        <v>2</v>
      </c>
      <c r="J144" s="83" t="s">
        <v>18</v>
      </c>
      <c r="K144" s="83" t="s">
        <v>18</v>
      </c>
      <c r="L144" s="83" t="s">
        <v>18</v>
      </c>
    </row>
    <row r="145" spans="1:12">
      <c r="A145" s="83" t="s">
        <v>189</v>
      </c>
      <c r="B145" s="83" t="s">
        <v>168</v>
      </c>
      <c r="C145" s="83" t="s">
        <v>169</v>
      </c>
      <c r="D145" s="83" t="s">
        <v>24</v>
      </c>
      <c r="E145" s="83" t="s">
        <v>18</v>
      </c>
      <c r="F145" s="83" t="s">
        <v>189</v>
      </c>
      <c r="G145" s="83" t="s">
        <v>172</v>
      </c>
      <c r="H145" s="83">
        <v>1</v>
      </c>
      <c r="I145" s="83">
        <v>2</v>
      </c>
      <c r="J145" s="83" t="s">
        <v>18</v>
      </c>
      <c r="K145" s="83" t="s">
        <v>18</v>
      </c>
      <c r="L145" s="83" t="s">
        <v>18</v>
      </c>
    </row>
    <row r="146" spans="1:12">
      <c r="A146" s="83" t="s">
        <v>190</v>
      </c>
      <c r="B146" s="83" t="s">
        <v>191</v>
      </c>
      <c r="C146" s="83" t="s">
        <v>14</v>
      </c>
      <c r="D146" s="83" t="s">
        <v>15</v>
      </c>
      <c r="E146" s="83" t="s">
        <v>192</v>
      </c>
      <c r="F146" s="83" t="s">
        <v>190</v>
      </c>
      <c r="G146" s="83" t="s">
        <v>193</v>
      </c>
      <c r="H146" s="83" t="s">
        <v>18</v>
      </c>
      <c r="I146" s="83" t="s">
        <v>18</v>
      </c>
      <c r="J146" s="83" t="s">
        <v>18</v>
      </c>
      <c r="K146" s="83">
        <v>1</v>
      </c>
      <c r="L146" s="83" t="s">
        <v>18</v>
      </c>
    </row>
    <row r="147" spans="1:12">
      <c r="A147" s="83" t="s">
        <v>194</v>
      </c>
      <c r="B147" s="83" t="s">
        <v>191</v>
      </c>
      <c r="C147" s="83" t="s">
        <v>14</v>
      </c>
      <c r="D147" s="83" t="s">
        <v>15</v>
      </c>
      <c r="E147" s="83" t="s">
        <v>192</v>
      </c>
      <c r="F147" s="83" t="s">
        <v>194</v>
      </c>
      <c r="G147" s="83" t="s">
        <v>193</v>
      </c>
      <c r="H147" s="83" t="s">
        <v>18</v>
      </c>
      <c r="I147" s="83" t="s">
        <v>18</v>
      </c>
      <c r="J147" s="83" t="s">
        <v>18</v>
      </c>
      <c r="K147" s="83">
        <v>1</v>
      </c>
      <c r="L147" s="83" t="s">
        <v>18</v>
      </c>
    </row>
    <row r="148" spans="1:12">
      <c r="A148" s="83" t="s">
        <v>195</v>
      </c>
      <c r="B148" s="83" t="s">
        <v>191</v>
      </c>
      <c r="C148" s="83" t="s">
        <v>14</v>
      </c>
      <c r="D148" s="83" t="s">
        <v>15</v>
      </c>
      <c r="E148" s="83" t="s">
        <v>18</v>
      </c>
      <c r="F148" s="83" t="s">
        <v>195</v>
      </c>
      <c r="G148" s="83" t="s">
        <v>196</v>
      </c>
      <c r="H148" s="83" t="s">
        <v>18</v>
      </c>
      <c r="I148" s="83" t="s">
        <v>18</v>
      </c>
      <c r="J148" s="83" t="s">
        <v>18</v>
      </c>
      <c r="K148" s="83">
        <v>1</v>
      </c>
      <c r="L148" s="83" t="s">
        <v>18</v>
      </c>
    </row>
    <row r="149" spans="1:12">
      <c r="A149" s="83" t="s">
        <v>18</v>
      </c>
      <c r="B149" s="83" t="s">
        <v>191</v>
      </c>
      <c r="C149" s="83" t="s">
        <v>14</v>
      </c>
      <c r="D149" s="83" t="s">
        <v>15</v>
      </c>
      <c r="E149" s="83" t="s">
        <v>197</v>
      </c>
      <c r="F149" s="83" t="s">
        <v>18</v>
      </c>
      <c r="G149" s="83" t="s">
        <v>18</v>
      </c>
      <c r="H149" s="83" t="s">
        <v>18</v>
      </c>
      <c r="I149" s="83" t="s">
        <v>18</v>
      </c>
      <c r="J149" s="83" t="s">
        <v>18</v>
      </c>
      <c r="K149" s="83">
        <v>1</v>
      </c>
      <c r="L149" s="83" t="s">
        <v>18</v>
      </c>
    </row>
    <row r="150" spans="1:12">
      <c r="A150" s="83" t="s">
        <v>198</v>
      </c>
      <c r="B150" s="83" t="s">
        <v>191</v>
      </c>
      <c r="C150" s="83" t="s">
        <v>14</v>
      </c>
      <c r="D150" s="83" t="s">
        <v>15</v>
      </c>
      <c r="E150" s="83" t="s">
        <v>199</v>
      </c>
      <c r="F150" s="83" t="s">
        <v>198</v>
      </c>
      <c r="G150" s="83" t="s">
        <v>200</v>
      </c>
      <c r="H150" s="83" t="s">
        <v>18</v>
      </c>
      <c r="I150" s="83" t="s">
        <v>18</v>
      </c>
      <c r="J150" s="83" t="s">
        <v>18</v>
      </c>
      <c r="K150" s="83">
        <v>1</v>
      </c>
      <c r="L150" s="83" t="s">
        <v>18</v>
      </c>
    </row>
    <row r="151" spans="1:12">
      <c r="A151" s="83" t="s">
        <v>201</v>
      </c>
      <c r="B151" s="83" t="s">
        <v>191</v>
      </c>
      <c r="C151" s="83" t="s">
        <v>14</v>
      </c>
      <c r="D151" s="83" t="s">
        <v>15</v>
      </c>
      <c r="E151" s="83" t="s">
        <v>202</v>
      </c>
      <c r="F151" s="83" t="s">
        <v>201</v>
      </c>
      <c r="G151" s="83" t="s">
        <v>203</v>
      </c>
      <c r="H151" s="83" t="s">
        <v>18</v>
      </c>
      <c r="I151" s="83">
        <v>1</v>
      </c>
      <c r="J151" s="83" t="s">
        <v>18</v>
      </c>
      <c r="K151" s="83" t="s">
        <v>18</v>
      </c>
      <c r="L151" s="83" t="s">
        <v>18</v>
      </c>
    </row>
    <row r="152" spans="1:12">
      <c r="A152" s="83" t="s">
        <v>204</v>
      </c>
      <c r="B152" s="83" t="s">
        <v>191</v>
      </c>
      <c r="C152" s="83" t="s">
        <v>14</v>
      </c>
      <c r="D152" s="83" t="s">
        <v>15</v>
      </c>
      <c r="E152" s="83" t="s">
        <v>192</v>
      </c>
      <c r="F152" s="83" t="s">
        <v>204</v>
      </c>
      <c r="G152" s="83" t="s">
        <v>193</v>
      </c>
      <c r="H152" s="83" t="s">
        <v>18</v>
      </c>
      <c r="I152" s="83" t="s">
        <v>18</v>
      </c>
      <c r="J152" s="83" t="s">
        <v>18</v>
      </c>
      <c r="K152" s="83">
        <v>1</v>
      </c>
      <c r="L152" s="83" t="s">
        <v>18</v>
      </c>
    </row>
    <row r="153" spans="1:12">
      <c r="A153" s="83" t="s">
        <v>205</v>
      </c>
      <c r="B153" s="83" t="s">
        <v>191</v>
      </c>
      <c r="C153" s="83" t="s">
        <v>14</v>
      </c>
      <c r="D153" s="83" t="s">
        <v>15</v>
      </c>
      <c r="E153" s="83" t="s">
        <v>199</v>
      </c>
      <c r="F153" s="83" t="s">
        <v>205</v>
      </c>
      <c r="G153" s="83" t="s">
        <v>200</v>
      </c>
      <c r="H153" s="83" t="s">
        <v>18</v>
      </c>
      <c r="I153" s="83" t="s">
        <v>18</v>
      </c>
      <c r="J153" s="83" t="s">
        <v>18</v>
      </c>
      <c r="K153" s="83">
        <v>1</v>
      </c>
      <c r="L153" s="83" t="s">
        <v>18</v>
      </c>
    </row>
    <row r="154" spans="1:12">
      <c r="A154" s="83" t="s">
        <v>206</v>
      </c>
      <c r="B154" s="83" t="s">
        <v>191</v>
      </c>
      <c r="C154" s="83" t="s">
        <v>14</v>
      </c>
      <c r="D154" s="83" t="s">
        <v>15</v>
      </c>
      <c r="E154" s="83" t="s">
        <v>16</v>
      </c>
      <c r="F154" s="83" t="s">
        <v>206</v>
      </c>
      <c r="G154" s="83" t="s">
        <v>17</v>
      </c>
      <c r="H154" s="83">
        <v>1</v>
      </c>
      <c r="I154" s="83" t="s">
        <v>18</v>
      </c>
      <c r="J154" s="83" t="s">
        <v>18</v>
      </c>
      <c r="K154" s="83" t="s">
        <v>18</v>
      </c>
      <c r="L154" s="83" t="s">
        <v>18</v>
      </c>
    </row>
    <row r="155" spans="1:12">
      <c r="A155" s="83" t="s">
        <v>207</v>
      </c>
      <c r="B155" s="83" t="s">
        <v>191</v>
      </c>
      <c r="C155" s="83" t="s">
        <v>14</v>
      </c>
      <c r="D155" s="83" t="s">
        <v>15</v>
      </c>
      <c r="E155" s="83" t="s">
        <v>16</v>
      </c>
      <c r="F155" s="83" t="s">
        <v>207</v>
      </c>
      <c r="G155" s="83" t="s">
        <v>17</v>
      </c>
      <c r="H155" s="83">
        <v>1</v>
      </c>
      <c r="I155" s="83" t="s">
        <v>18</v>
      </c>
      <c r="J155" s="83" t="s">
        <v>18</v>
      </c>
      <c r="K155" s="83" t="s">
        <v>18</v>
      </c>
      <c r="L155" s="83" t="s">
        <v>18</v>
      </c>
    </row>
    <row r="156" spans="1:12">
      <c r="A156" s="83" t="s">
        <v>208</v>
      </c>
      <c r="B156" s="83" t="s">
        <v>191</v>
      </c>
      <c r="C156" s="83" t="s">
        <v>14</v>
      </c>
      <c r="D156" s="83" t="s">
        <v>15</v>
      </c>
      <c r="E156" s="83" t="s">
        <v>21</v>
      </c>
      <c r="F156" s="83" t="s">
        <v>208</v>
      </c>
      <c r="G156" s="83" t="s">
        <v>22</v>
      </c>
      <c r="H156" s="83">
        <v>1</v>
      </c>
      <c r="I156" s="83" t="s">
        <v>18</v>
      </c>
      <c r="J156" s="83" t="s">
        <v>18</v>
      </c>
      <c r="K156" s="83" t="s">
        <v>18</v>
      </c>
      <c r="L156" s="83" t="s">
        <v>18</v>
      </c>
    </row>
    <row r="157" spans="1:12">
      <c r="A157" s="83" t="s">
        <v>209</v>
      </c>
      <c r="B157" s="83" t="s">
        <v>191</v>
      </c>
      <c r="C157" s="83" t="s">
        <v>14</v>
      </c>
      <c r="D157" s="83" t="s">
        <v>15</v>
      </c>
      <c r="E157" s="83" t="s">
        <v>21</v>
      </c>
      <c r="F157" s="83" t="s">
        <v>209</v>
      </c>
      <c r="G157" s="83" t="s">
        <v>22</v>
      </c>
      <c r="H157" s="83">
        <v>1</v>
      </c>
      <c r="I157" s="83" t="s">
        <v>18</v>
      </c>
      <c r="J157" s="83" t="s">
        <v>18</v>
      </c>
      <c r="K157" s="83" t="s">
        <v>18</v>
      </c>
      <c r="L157" s="83" t="s">
        <v>18</v>
      </c>
    </row>
    <row r="158" spans="1:12">
      <c r="A158" s="83" t="s">
        <v>210</v>
      </c>
      <c r="B158" s="83" t="s">
        <v>191</v>
      </c>
      <c r="C158" s="83" t="s">
        <v>14</v>
      </c>
      <c r="D158" s="83" t="s">
        <v>15</v>
      </c>
      <c r="E158" s="83" t="s">
        <v>21</v>
      </c>
      <c r="F158" s="83" t="s">
        <v>210</v>
      </c>
      <c r="G158" s="83" t="s">
        <v>22</v>
      </c>
      <c r="H158" s="83">
        <v>1</v>
      </c>
      <c r="I158" s="83" t="s">
        <v>18</v>
      </c>
      <c r="J158" s="83" t="s">
        <v>18</v>
      </c>
      <c r="K158" s="83" t="s">
        <v>18</v>
      </c>
      <c r="L158" s="83" t="s">
        <v>18</v>
      </c>
    </row>
    <row r="159" spans="1:12">
      <c r="A159" s="83" t="s">
        <v>211</v>
      </c>
      <c r="B159" s="83" t="s">
        <v>191</v>
      </c>
      <c r="C159" s="83" t="s">
        <v>14</v>
      </c>
      <c r="D159" s="83" t="s">
        <v>15</v>
      </c>
      <c r="E159" s="83" t="s">
        <v>202</v>
      </c>
      <c r="F159" s="83" t="s">
        <v>211</v>
      </c>
      <c r="G159" s="83" t="s">
        <v>203</v>
      </c>
      <c r="H159" s="83">
        <v>1</v>
      </c>
      <c r="I159" s="83">
        <v>2</v>
      </c>
      <c r="J159" s="83" t="s">
        <v>18</v>
      </c>
      <c r="K159" s="83" t="s">
        <v>18</v>
      </c>
      <c r="L159" s="83" t="s">
        <v>18</v>
      </c>
    </row>
    <row r="160" spans="1:12">
      <c r="A160" s="83" t="s">
        <v>18</v>
      </c>
      <c r="B160" s="83" t="s">
        <v>191</v>
      </c>
      <c r="C160" s="83" t="s">
        <v>14</v>
      </c>
      <c r="D160" s="83" t="s">
        <v>15</v>
      </c>
      <c r="E160" s="83" t="s">
        <v>192</v>
      </c>
      <c r="F160" s="83" t="s">
        <v>18</v>
      </c>
      <c r="G160" s="83" t="s">
        <v>18</v>
      </c>
      <c r="H160" s="83">
        <v>1</v>
      </c>
      <c r="I160" s="83">
        <v>1</v>
      </c>
      <c r="J160" s="83" t="s">
        <v>18</v>
      </c>
      <c r="K160" s="83" t="s">
        <v>18</v>
      </c>
      <c r="L160" s="83">
        <v>1</v>
      </c>
    </row>
    <row r="161" spans="1:12">
      <c r="A161" s="83" t="s">
        <v>18</v>
      </c>
      <c r="B161" s="83" t="s">
        <v>191</v>
      </c>
      <c r="C161" s="83" t="s">
        <v>14</v>
      </c>
      <c r="D161" s="83" t="s">
        <v>15</v>
      </c>
      <c r="E161" s="83" t="s">
        <v>126</v>
      </c>
      <c r="F161" s="83" t="s">
        <v>18</v>
      </c>
      <c r="G161" s="83" t="s">
        <v>18</v>
      </c>
      <c r="H161" s="83">
        <v>2</v>
      </c>
      <c r="I161" s="83">
        <v>2</v>
      </c>
      <c r="J161" s="83" t="s">
        <v>18</v>
      </c>
      <c r="K161" s="83" t="s">
        <v>18</v>
      </c>
      <c r="L161" s="83" t="s">
        <v>18</v>
      </c>
    </row>
    <row r="162" spans="1:12">
      <c r="A162" s="83" t="s">
        <v>18</v>
      </c>
      <c r="B162" s="83" t="s">
        <v>191</v>
      </c>
      <c r="C162" s="83" t="s">
        <v>14</v>
      </c>
      <c r="D162" s="83" t="s">
        <v>15</v>
      </c>
      <c r="E162" s="83" t="s">
        <v>126</v>
      </c>
      <c r="F162" s="83" t="s">
        <v>18</v>
      </c>
      <c r="G162" s="83" t="s">
        <v>18</v>
      </c>
      <c r="H162" s="83">
        <v>2</v>
      </c>
      <c r="I162" s="83">
        <v>2</v>
      </c>
      <c r="J162" s="83" t="s">
        <v>18</v>
      </c>
      <c r="K162" s="83" t="s">
        <v>18</v>
      </c>
      <c r="L162" s="83" t="s">
        <v>18</v>
      </c>
    </row>
    <row r="163" spans="1:12">
      <c r="A163" s="83" t="s">
        <v>18</v>
      </c>
      <c r="B163" s="83" t="s">
        <v>191</v>
      </c>
      <c r="C163" s="83" t="s">
        <v>14</v>
      </c>
      <c r="D163" s="83" t="s">
        <v>15</v>
      </c>
      <c r="E163" s="83" t="s">
        <v>126</v>
      </c>
      <c r="F163" s="83" t="s">
        <v>18</v>
      </c>
      <c r="G163" s="83" t="s">
        <v>18</v>
      </c>
      <c r="H163" s="83">
        <v>2</v>
      </c>
      <c r="I163" s="83">
        <v>2</v>
      </c>
      <c r="J163" s="83" t="s">
        <v>18</v>
      </c>
      <c r="K163" s="83" t="s">
        <v>18</v>
      </c>
      <c r="L163" s="83" t="s">
        <v>18</v>
      </c>
    </row>
    <row r="164" spans="1:12">
      <c r="A164" s="83" t="s">
        <v>18</v>
      </c>
      <c r="B164" s="83" t="s">
        <v>191</v>
      </c>
      <c r="C164" s="83" t="s">
        <v>14</v>
      </c>
      <c r="D164" s="83" t="s">
        <v>15</v>
      </c>
      <c r="E164" s="83" t="s">
        <v>126</v>
      </c>
      <c r="F164" s="83" t="s">
        <v>18</v>
      </c>
      <c r="G164" s="83" t="s">
        <v>18</v>
      </c>
      <c r="H164" s="83">
        <v>2</v>
      </c>
      <c r="I164" s="83">
        <v>2</v>
      </c>
      <c r="J164" s="83" t="s">
        <v>18</v>
      </c>
      <c r="K164" s="83" t="s">
        <v>18</v>
      </c>
      <c r="L164" s="83" t="s">
        <v>18</v>
      </c>
    </row>
    <row r="165" spans="1:12">
      <c r="A165" s="83" t="s">
        <v>18</v>
      </c>
      <c r="B165" s="83" t="s">
        <v>191</v>
      </c>
      <c r="C165" s="83" t="s">
        <v>14</v>
      </c>
      <c r="D165" s="83" t="s">
        <v>15</v>
      </c>
      <c r="E165" s="83" t="s">
        <v>126</v>
      </c>
      <c r="F165" s="83" t="s">
        <v>18</v>
      </c>
      <c r="G165" s="83" t="s">
        <v>18</v>
      </c>
      <c r="H165" s="83">
        <v>1</v>
      </c>
      <c r="I165" s="83">
        <v>1</v>
      </c>
      <c r="J165" s="83" t="s">
        <v>18</v>
      </c>
      <c r="K165" s="83" t="s">
        <v>18</v>
      </c>
      <c r="L165" s="83">
        <v>1</v>
      </c>
    </row>
    <row r="166" spans="1:12">
      <c r="A166" s="83" t="s">
        <v>18</v>
      </c>
      <c r="B166" s="83" t="s">
        <v>191</v>
      </c>
      <c r="C166" s="83" t="s">
        <v>14</v>
      </c>
      <c r="D166" s="83" t="s">
        <v>15</v>
      </c>
      <c r="E166" s="83" t="s">
        <v>192</v>
      </c>
      <c r="F166" s="83" t="s">
        <v>18</v>
      </c>
      <c r="G166" s="83" t="s">
        <v>18</v>
      </c>
      <c r="H166" s="83">
        <v>2</v>
      </c>
      <c r="I166" s="83">
        <v>2</v>
      </c>
      <c r="J166" s="83" t="s">
        <v>18</v>
      </c>
      <c r="K166" s="83" t="s">
        <v>18</v>
      </c>
      <c r="L166" s="83" t="s">
        <v>18</v>
      </c>
    </row>
    <row r="167" spans="1:12">
      <c r="A167" s="83" t="s">
        <v>18</v>
      </c>
      <c r="B167" s="83" t="s">
        <v>191</v>
      </c>
      <c r="C167" s="83" t="s">
        <v>14</v>
      </c>
      <c r="D167" s="83" t="s">
        <v>15</v>
      </c>
      <c r="E167" s="83" t="s">
        <v>192</v>
      </c>
      <c r="F167" s="83" t="s">
        <v>18</v>
      </c>
      <c r="G167" s="83" t="s">
        <v>18</v>
      </c>
      <c r="H167" s="83">
        <v>2</v>
      </c>
      <c r="I167" s="83">
        <v>2</v>
      </c>
      <c r="J167" s="83" t="s">
        <v>18</v>
      </c>
      <c r="K167" s="83" t="s">
        <v>18</v>
      </c>
      <c r="L167" s="83" t="s">
        <v>18</v>
      </c>
    </row>
    <row r="168" spans="1:12">
      <c r="A168" s="83" t="s">
        <v>18</v>
      </c>
      <c r="B168" s="83" t="s">
        <v>191</v>
      </c>
      <c r="C168" s="83" t="s">
        <v>14</v>
      </c>
      <c r="D168" s="83" t="s">
        <v>15</v>
      </c>
      <c r="E168" s="83" t="s">
        <v>192</v>
      </c>
      <c r="F168" s="83" t="s">
        <v>18</v>
      </c>
      <c r="G168" s="83" t="s">
        <v>18</v>
      </c>
      <c r="H168" s="83">
        <v>2</v>
      </c>
      <c r="I168" s="83">
        <v>2</v>
      </c>
      <c r="J168" s="83" t="s">
        <v>18</v>
      </c>
      <c r="K168" s="83" t="s">
        <v>18</v>
      </c>
      <c r="L168" s="83" t="s">
        <v>18</v>
      </c>
    </row>
    <row r="169" spans="1:12">
      <c r="A169" s="83" t="s">
        <v>18</v>
      </c>
      <c r="B169" s="83" t="s">
        <v>191</v>
      </c>
      <c r="C169" s="83" t="s">
        <v>14</v>
      </c>
      <c r="D169" s="83" t="s">
        <v>15</v>
      </c>
      <c r="E169" s="83" t="s">
        <v>21</v>
      </c>
      <c r="F169" s="83" t="s">
        <v>18</v>
      </c>
      <c r="G169" s="83" t="s">
        <v>18</v>
      </c>
      <c r="H169" s="83">
        <v>1</v>
      </c>
      <c r="I169" s="83">
        <v>2</v>
      </c>
      <c r="J169" s="83" t="s">
        <v>18</v>
      </c>
      <c r="K169" s="83" t="s">
        <v>18</v>
      </c>
      <c r="L169" s="83" t="s">
        <v>18</v>
      </c>
    </row>
    <row r="170" spans="1:12">
      <c r="A170" s="83" t="s">
        <v>212</v>
      </c>
      <c r="B170" s="83" t="s">
        <v>191</v>
      </c>
      <c r="C170" s="83" t="s">
        <v>14</v>
      </c>
      <c r="D170" s="83" t="s">
        <v>15</v>
      </c>
      <c r="E170" s="83" t="s">
        <v>192</v>
      </c>
      <c r="F170" s="83" t="s">
        <v>212</v>
      </c>
      <c r="G170" s="83" t="s">
        <v>193</v>
      </c>
      <c r="H170" s="83">
        <v>1</v>
      </c>
      <c r="I170" s="83">
        <v>2</v>
      </c>
      <c r="J170" s="83" t="s">
        <v>18</v>
      </c>
      <c r="K170" s="83" t="s">
        <v>18</v>
      </c>
      <c r="L170" s="83" t="s">
        <v>18</v>
      </c>
    </row>
    <row r="171" spans="1:12">
      <c r="A171" s="83" t="s">
        <v>213</v>
      </c>
      <c r="B171" s="83" t="s">
        <v>191</v>
      </c>
      <c r="C171" s="83" t="s">
        <v>14</v>
      </c>
      <c r="D171" s="83" t="s">
        <v>15</v>
      </c>
      <c r="E171" s="83" t="s">
        <v>192</v>
      </c>
      <c r="F171" s="83" t="s">
        <v>213</v>
      </c>
      <c r="G171" s="83" t="s">
        <v>193</v>
      </c>
      <c r="H171" s="83">
        <v>1</v>
      </c>
      <c r="I171" s="83">
        <v>2</v>
      </c>
      <c r="J171" s="83" t="s">
        <v>18</v>
      </c>
      <c r="K171" s="83" t="s">
        <v>18</v>
      </c>
      <c r="L171" s="83" t="s">
        <v>18</v>
      </c>
    </row>
    <row r="172" spans="1:12">
      <c r="A172" s="83" t="s">
        <v>214</v>
      </c>
      <c r="B172" s="83" t="s">
        <v>191</v>
      </c>
      <c r="C172" s="83" t="s">
        <v>14</v>
      </c>
      <c r="D172" s="83" t="s">
        <v>15</v>
      </c>
      <c r="E172" s="83" t="s">
        <v>192</v>
      </c>
      <c r="F172" s="83" t="s">
        <v>214</v>
      </c>
      <c r="G172" s="83" t="s">
        <v>193</v>
      </c>
      <c r="H172" s="83">
        <v>1</v>
      </c>
      <c r="I172" s="83">
        <v>2</v>
      </c>
      <c r="J172" s="83" t="s">
        <v>18</v>
      </c>
      <c r="K172" s="83" t="s">
        <v>18</v>
      </c>
      <c r="L172" s="83" t="s">
        <v>18</v>
      </c>
    </row>
    <row r="173" spans="1:12">
      <c r="A173" s="83" t="s">
        <v>18</v>
      </c>
      <c r="B173" s="83" t="s">
        <v>191</v>
      </c>
      <c r="C173" s="83" t="s">
        <v>14</v>
      </c>
      <c r="D173" s="83" t="s">
        <v>15</v>
      </c>
      <c r="E173" s="83" t="s">
        <v>192</v>
      </c>
      <c r="F173" s="83" t="s">
        <v>18</v>
      </c>
      <c r="G173" s="83" t="s">
        <v>18</v>
      </c>
      <c r="H173" s="83" t="s">
        <v>18</v>
      </c>
      <c r="I173" s="83">
        <v>1</v>
      </c>
      <c r="J173" s="83" t="s">
        <v>18</v>
      </c>
      <c r="K173" s="83" t="s">
        <v>18</v>
      </c>
      <c r="L173" s="83" t="s">
        <v>18</v>
      </c>
    </row>
    <row r="174" spans="1:12">
      <c r="A174" s="83" t="s">
        <v>18</v>
      </c>
      <c r="B174" s="83" t="s">
        <v>191</v>
      </c>
      <c r="C174" s="83" t="s">
        <v>14</v>
      </c>
      <c r="D174" s="83" t="s">
        <v>15</v>
      </c>
      <c r="E174" s="83" t="s">
        <v>192</v>
      </c>
      <c r="F174" s="83" t="s">
        <v>18</v>
      </c>
      <c r="G174" s="83" t="s">
        <v>18</v>
      </c>
      <c r="H174" s="83" t="s">
        <v>18</v>
      </c>
      <c r="I174" s="83">
        <v>1</v>
      </c>
      <c r="J174" s="83" t="s">
        <v>18</v>
      </c>
      <c r="K174" s="83" t="s">
        <v>18</v>
      </c>
      <c r="L174" s="83" t="s">
        <v>18</v>
      </c>
    </row>
    <row r="175" spans="1:12">
      <c r="A175" s="83" t="s">
        <v>18</v>
      </c>
      <c r="B175" s="83" t="s">
        <v>191</v>
      </c>
      <c r="C175" s="83" t="s">
        <v>14</v>
      </c>
      <c r="D175" s="83" t="s">
        <v>15</v>
      </c>
      <c r="E175" s="83" t="s">
        <v>192</v>
      </c>
      <c r="F175" s="83" t="s">
        <v>18</v>
      </c>
      <c r="G175" s="83" t="s">
        <v>18</v>
      </c>
      <c r="H175" s="83" t="s">
        <v>18</v>
      </c>
      <c r="I175" s="83">
        <v>1</v>
      </c>
      <c r="J175" s="83" t="s">
        <v>18</v>
      </c>
      <c r="K175" s="83" t="s">
        <v>18</v>
      </c>
      <c r="L175" s="83" t="s">
        <v>18</v>
      </c>
    </row>
    <row r="176" spans="1:12">
      <c r="A176" s="83" t="s">
        <v>18</v>
      </c>
      <c r="B176" s="83" t="s">
        <v>191</v>
      </c>
      <c r="C176" s="83" t="s">
        <v>14</v>
      </c>
      <c r="D176" s="83" t="s">
        <v>15</v>
      </c>
      <c r="E176" s="83" t="s">
        <v>192</v>
      </c>
      <c r="F176" s="83" t="s">
        <v>18</v>
      </c>
      <c r="G176" s="83" t="s">
        <v>18</v>
      </c>
      <c r="H176" s="83" t="s">
        <v>18</v>
      </c>
      <c r="I176" s="83">
        <v>1</v>
      </c>
      <c r="J176" s="83" t="s">
        <v>18</v>
      </c>
      <c r="K176" s="83" t="s">
        <v>18</v>
      </c>
      <c r="L176" s="83" t="s">
        <v>18</v>
      </c>
    </row>
    <row r="177" spans="1:12">
      <c r="A177" s="83" t="s">
        <v>18</v>
      </c>
      <c r="B177" s="83" t="s">
        <v>191</v>
      </c>
      <c r="C177" s="83" t="s">
        <v>14</v>
      </c>
      <c r="D177" s="83" t="s">
        <v>15</v>
      </c>
      <c r="E177" s="83" t="s">
        <v>192</v>
      </c>
      <c r="F177" s="83" t="s">
        <v>18</v>
      </c>
      <c r="G177" s="83" t="s">
        <v>18</v>
      </c>
      <c r="H177" s="83" t="s">
        <v>18</v>
      </c>
      <c r="I177" s="83">
        <v>1</v>
      </c>
      <c r="J177" s="83" t="s">
        <v>18</v>
      </c>
      <c r="K177" s="83" t="s">
        <v>18</v>
      </c>
      <c r="L177" s="83" t="s">
        <v>18</v>
      </c>
    </row>
    <row r="178" spans="1:12">
      <c r="A178" s="83" t="s">
        <v>18</v>
      </c>
      <c r="B178" s="83" t="s">
        <v>191</v>
      </c>
      <c r="C178" s="83" t="s">
        <v>14</v>
      </c>
      <c r="D178" s="83" t="s">
        <v>15</v>
      </c>
      <c r="E178" s="83" t="s">
        <v>192</v>
      </c>
      <c r="F178" s="83" t="s">
        <v>18</v>
      </c>
      <c r="G178" s="83" t="s">
        <v>18</v>
      </c>
      <c r="H178" s="83" t="s">
        <v>18</v>
      </c>
      <c r="I178" s="83">
        <v>1</v>
      </c>
      <c r="J178" s="83" t="s">
        <v>18</v>
      </c>
      <c r="K178" s="83" t="s">
        <v>18</v>
      </c>
      <c r="L178" s="83" t="s">
        <v>18</v>
      </c>
    </row>
    <row r="179" spans="1:12">
      <c r="A179" s="83" t="s">
        <v>18</v>
      </c>
      <c r="B179" s="83" t="s">
        <v>191</v>
      </c>
      <c r="C179" s="83" t="s">
        <v>14</v>
      </c>
      <c r="D179" s="83" t="s">
        <v>15</v>
      </c>
      <c r="E179" s="83" t="s">
        <v>192</v>
      </c>
      <c r="F179" s="83" t="s">
        <v>18</v>
      </c>
      <c r="G179" s="83" t="s">
        <v>18</v>
      </c>
      <c r="H179" s="83" t="s">
        <v>18</v>
      </c>
      <c r="I179" s="83">
        <v>1</v>
      </c>
      <c r="J179" s="83" t="s">
        <v>18</v>
      </c>
      <c r="K179" s="83" t="s">
        <v>18</v>
      </c>
      <c r="L179" s="83" t="s">
        <v>18</v>
      </c>
    </row>
    <row r="180" spans="1:12">
      <c r="A180" s="83" t="s">
        <v>18</v>
      </c>
      <c r="B180" s="83" t="s">
        <v>191</v>
      </c>
      <c r="C180" s="83" t="s">
        <v>14</v>
      </c>
      <c r="D180" s="83" t="s">
        <v>15</v>
      </c>
      <c r="E180" s="83" t="s">
        <v>192</v>
      </c>
      <c r="F180" s="83" t="s">
        <v>18</v>
      </c>
      <c r="G180" s="83" t="s">
        <v>18</v>
      </c>
      <c r="H180" s="83" t="s">
        <v>18</v>
      </c>
      <c r="I180" s="83">
        <v>1</v>
      </c>
      <c r="J180" s="83" t="s">
        <v>18</v>
      </c>
      <c r="K180" s="83" t="s">
        <v>18</v>
      </c>
      <c r="L180" s="83" t="s">
        <v>18</v>
      </c>
    </row>
    <row r="181" spans="1:12">
      <c r="A181" s="83" t="s">
        <v>18</v>
      </c>
      <c r="B181" s="83" t="s">
        <v>191</v>
      </c>
      <c r="C181" s="83" t="s">
        <v>14</v>
      </c>
      <c r="D181" s="83" t="s">
        <v>15</v>
      </c>
      <c r="E181" s="83" t="s">
        <v>192</v>
      </c>
      <c r="F181" s="83" t="s">
        <v>18</v>
      </c>
      <c r="G181" s="83" t="s">
        <v>18</v>
      </c>
      <c r="H181" s="83" t="s">
        <v>18</v>
      </c>
      <c r="I181" s="83">
        <v>1</v>
      </c>
      <c r="J181" s="83" t="s">
        <v>18</v>
      </c>
      <c r="K181" s="83" t="s">
        <v>18</v>
      </c>
      <c r="L181" s="83" t="s">
        <v>18</v>
      </c>
    </row>
    <row r="182" spans="1:12">
      <c r="A182" s="83" t="s">
        <v>18</v>
      </c>
      <c r="B182" s="83" t="s">
        <v>191</v>
      </c>
      <c r="C182" s="83" t="s">
        <v>14</v>
      </c>
      <c r="D182" s="83" t="s">
        <v>15</v>
      </c>
      <c r="E182" s="83" t="s">
        <v>192</v>
      </c>
      <c r="F182" s="83" t="s">
        <v>18</v>
      </c>
      <c r="G182" s="83" t="s">
        <v>18</v>
      </c>
      <c r="H182" s="83" t="s">
        <v>18</v>
      </c>
      <c r="I182" s="83">
        <v>1</v>
      </c>
      <c r="J182" s="83" t="s">
        <v>18</v>
      </c>
      <c r="K182" s="83" t="s">
        <v>18</v>
      </c>
      <c r="L182" s="83" t="s">
        <v>18</v>
      </c>
    </row>
    <row r="183" spans="1:12">
      <c r="A183" s="83" t="s">
        <v>18</v>
      </c>
      <c r="B183" s="83" t="s">
        <v>191</v>
      </c>
      <c r="C183" s="83" t="s">
        <v>14</v>
      </c>
      <c r="D183" s="83" t="s">
        <v>15</v>
      </c>
      <c r="E183" s="83" t="s">
        <v>192</v>
      </c>
      <c r="F183" s="83" t="s">
        <v>18</v>
      </c>
      <c r="G183" s="83" t="s">
        <v>18</v>
      </c>
      <c r="H183" s="83" t="s">
        <v>18</v>
      </c>
      <c r="I183" s="83">
        <v>1</v>
      </c>
      <c r="J183" s="83" t="s">
        <v>18</v>
      </c>
      <c r="K183" s="83" t="s">
        <v>18</v>
      </c>
      <c r="L183" s="83" t="s">
        <v>18</v>
      </c>
    </row>
    <row r="184" spans="1:12">
      <c r="A184" s="83" t="s">
        <v>18</v>
      </c>
      <c r="B184" s="83" t="s">
        <v>191</v>
      </c>
      <c r="C184" s="83" t="s">
        <v>14</v>
      </c>
      <c r="D184" s="83" t="s">
        <v>15</v>
      </c>
      <c r="E184" s="83" t="s">
        <v>192</v>
      </c>
      <c r="F184" s="83" t="s">
        <v>18</v>
      </c>
      <c r="G184" s="83" t="s">
        <v>18</v>
      </c>
      <c r="H184" s="83" t="s">
        <v>18</v>
      </c>
      <c r="I184" s="83">
        <v>1</v>
      </c>
      <c r="J184" s="83" t="s">
        <v>18</v>
      </c>
      <c r="K184" s="83" t="s">
        <v>18</v>
      </c>
      <c r="L184" s="83" t="s">
        <v>18</v>
      </c>
    </row>
    <row r="185" spans="1:12">
      <c r="A185" s="83" t="s">
        <v>215</v>
      </c>
      <c r="B185" s="83" t="s">
        <v>191</v>
      </c>
      <c r="C185" s="83" t="s">
        <v>14</v>
      </c>
      <c r="D185" s="83" t="s">
        <v>15</v>
      </c>
      <c r="E185" s="83" t="s">
        <v>192</v>
      </c>
      <c r="F185" s="83" t="s">
        <v>215</v>
      </c>
      <c r="G185" s="83" t="s">
        <v>22</v>
      </c>
      <c r="H185" s="83">
        <v>1</v>
      </c>
      <c r="I185" s="83">
        <v>2</v>
      </c>
      <c r="J185" s="83" t="s">
        <v>18</v>
      </c>
      <c r="K185" s="83" t="s">
        <v>18</v>
      </c>
      <c r="L185" s="83" t="s">
        <v>18</v>
      </c>
    </row>
    <row r="186" spans="1:12">
      <c r="A186" s="83" t="s">
        <v>18</v>
      </c>
      <c r="B186" s="83" t="s">
        <v>191</v>
      </c>
      <c r="C186" s="83" t="s">
        <v>14</v>
      </c>
      <c r="D186" s="83" t="s">
        <v>15</v>
      </c>
      <c r="E186" s="83" t="s">
        <v>21</v>
      </c>
      <c r="F186" s="83" t="s">
        <v>18</v>
      </c>
      <c r="G186" s="83" t="s">
        <v>18</v>
      </c>
      <c r="H186" s="83" t="s">
        <v>18</v>
      </c>
      <c r="I186" s="83" t="s">
        <v>18</v>
      </c>
      <c r="J186" s="83" t="s">
        <v>18</v>
      </c>
      <c r="K186" s="83">
        <v>1</v>
      </c>
      <c r="L186" s="83" t="s">
        <v>18</v>
      </c>
    </row>
    <row r="187" spans="1:12">
      <c r="A187" s="83" t="s">
        <v>18</v>
      </c>
      <c r="B187" s="83" t="s">
        <v>191</v>
      </c>
      <c r="C187" s="83" t="s">
        <v>14</v>
      </c>
      <c r="D187" s="83" t="s">
        <v>15</v>
      </c>
      <c r="E187" s="83" t="s">
        <v>126</v>
      </c>
      <c r="F187" s="83" t="s">
        <v>18</v>
      </c>
      <c r="G187" s="83" t="s">
        <v>18</v>
      </c>
      <c r="H187" s="83" t="s">
        <v>18</v>
      </c>
      <c r="I187" s="83">
        <v>1</v>
      </c>
      <c r="J187" s="83" t="s">
        <v>18</v>
      </c>
      <c r="K187" s="83" t="s">
        <v>18</v>
      </c>
      <c r="L187" s="83" t="s">
        <v>18</v>
      </c>
    </row>
    <row r="188" spans="1:12">
      <c r="A188" s="83" t="s">
        <v>216</v>
      </c>
      <c r="B188" s="83" t="s">
        <v>191</v>
      </c>
      <c r="C188" s="83" t="s">
        <v>14</v>
      </c>
      <c r="D188" s="83" t="s">
        <v>15</v>
      </c>
      <c r="E188" s="83" t="s">
        <v>126</v>
      </c>
      <c r="F188" s="83" t="s">
        <v>216</v>
      </c>
      <c r="G188" s="83" t="s">
        <v>127</v>
      </c>
      <c r="H188" s="83" t="s">
        <v>18</v>
      </c>
      <c r="I188" s="83" t="s">
        <v>18</v>
      </c>
      <c r="J188" s="83" t="s">
        <v>18</v>
      </c>
      <c r="K188" s="83">
        <v>1</v>
      </c>
      <c r="L188" s="83" t="s">
        <v>18</v>
      </c>
    </row>
    <row r="189" spans="1:12">
      <c r="A189" s="83" t="s">
        <v>217</v>
      </c>
      <c r="B189" s="83" t="s">
        <v>191</v>
      </c>
      <c r="C189" s="83" t="s">
        <v>14</v>
      </c>
      <c r="D189" s="83" t="s">
        <v>15</v>
      </c>
      <c r="E189" s="83" t="s">
        <v>126</v>
      </c>
      <c r="F189" s="83" t="s">
        <v>217</v>
      </c>
      <c r="G189" s="83" t="s">
        <v>127</v>
      </c>
      <c r="H189" s="83" t="s">
        <v>18</v>
      </c>
      <c r="I189" s="83">
        <v>1</v>
      </c>
      <c r="J189" s="83" t="s">
        <v>18</v>
      </c>
      <c r="K189" s="83" t="s">
        <v>18</v>
      </c>
      <c r="L189" s="83" t="s">
        <v>18</v>
      </c>
    </row>
    <row r="190" spans="1:12">
      <c r="A190" s="83" t="s">
        <v>18</v>
      </c>
      <c r="B190" s="83" t="s">
        <v>191</v>
      </c>
      <c r="C190" s="83" t="s">
        <v>14</v>
      </c>
      <c r="D190" s="83" t="s">
        <v>15</v>
      </c>
      <c r="E190" s="83" t="s">
        <v>126</v>
      </c>
      <c r="F190" s="83" t="s">
        <v>18</v>
      </c>
      <c r="G190" s="83" t="s">
        <v>18</v>
      </c>
      <c r="H190" s="83">
        <v>1</v>
      </c>
      <c r="I190" s="83" t="s">
        <v>18</v>
      </c>
      <c r="J190" s="83" t="s">
        <v>18</v>
      </c>
      <c r="K190" s="83" t="s">
        <v>18</v>
      </c>
      <c r="L190" s="83" t="s">
        <v>18</v>
      </c>
    </row>
    <row r="191" spans="1:12">
      <c r="A191" s="83" t="s">
        <v>218</v>
      </c>
      <c r="B191" s="83" t="s">
        <v>191</v>
      </c>
      <c r="C191" s="83" t="s">
        <v>14</v>
      </c>
      <c r="D191" s="83" t="s">
        <v>15</v>
      </c>
      <c r="E191" s="83" t="s">
        <v>126</v>
      </c>
      <c r="F191" s="83" t="s">
        <v>218</v>
      </c>
      <c r="G191" s="83" t="s">
        <v>127</v>
      </c>
      <c r="H191" s="83" t="s">
        <v>18</v>
      </c>
      <c r="I191" s="83">
        <v>1</v>
      </c>
      <c r="J191" s="83" t="s">
        <v>18</v>
      </c>
      <c r="K191" s="83" t="s">
        <v>18</v>
      </c>
      <c r="L191" s="83" t="s">
        <v>18</v>
      </c>
    </row>
    <row r="192" spans="1:12">
      <c r="A192" s="83" t="s">
        <v>219</v>
      </c>
      <c r="B192" s="83" t="s">
        <v>191</v>
      </c>
      <c r="C192" s="83" t="s">
        <v>14</v>
      </c>
      <c r="D192" s="83" t="s">
        <v>15</v>
      </c>
      <c r="E192" s="83" t="s">
        <v>126</v>
      </c>
      <c r="F192" s="83" t="s">
        <v>219</v>
      </c>
      <c r="G192" s="83" t="s">
        <v>127</v>
      </c>
      <c r="H192" s="83">
        <v>1</v>
      </c>
      <c r="I192" s="83">
        <v>2</v>
      </c>
      <c r="J192" s="83" t="s">
        <v>18</v>
      </c>
      <c r="K192" s="83" t="s">
        <v>18</v>
      </c>
      <c r="L192" s="83" t="s">
        <v>18</v>
      </c>
    </row>
    <row r="193" spans="1:12">
      <c r="A193" s="83" t="s">
        <v>18</v>
      </c>
      <c r="B193" s="83" t="s">
        <v>191</v>
      </c>
      <c r="C193" s="83" t="s">
        <v>14</v>
      </c>
      <c r="D193" s="83" t="s">
        <v>15</v>
      </c>
      <c r="E193" s="83" t="s">
        <v>126</v>
      </c>
      <c r="F193" s="83" t="s">
        <v>18</v>
      </c>
      <c r="G193" s="83" t="s">
        <v>18</v>
      </c>
      <c r="H193" s="83" t="s">
        <v>18</v>
      </c>
      <c r="I193" s="83">
        <v>1</v>
      </c>
      <c r="J193" s="83" t="s">
        <v>18</v>
      </c>
      <c r="K193" s="83" t="s">
        <v>18</v>
      </c>
      <c r="L193" s="83" t="s">
        <v>18</v>
      </c>
    </row>
    <row r="194" spans="1:12">
      <c r="A194" s="83" t="s">
        <v>18</v>
      </c>
      <c r="B194" s="83" t="s">
        <v>191</v>
      </c>
      <c r="C194" s="83" t="s">
        <v>14</v>
      </c>
      <c r="D194" s="83" t="s">
        <v>15</v>
      </c>
      <c r="E194" s="83" t="s">
        <v>126</v>
      </c>
      <c r="F194" s="83" t="s">
        <v>18</v>
      </c>
      <c r="G194" s="83" t="s">
        <v>18</v>
      </c>
      <c r="H194" s="83" t="s">
        <v>18</v>
      </c>
      <c r="I194" s="83">
        <v>1</v>
      </c>
      <c r="J194" s="83" t="s">
        <v>18</v>
      </c>
      <c r="K194" s="83" t="s">
        <v>18</v>
      </c>
      <c r="L194" s="83" t="s">
        <v>18</v>
      </c>
    </row>
    <row r="195" spans="1:12">
      <c r="A195" s="83" t="s">
        <v>220</v>
      </c>
      <c r="B195" s="83" t="s">
        <v>221</v>
      </c>
      <c r="C195" s="83" t="s">
        <v>14</v>
      </c>
      <c r="D195" s="83" t="s">
        <v>47</v>
      </c>
      <c r="E195" s="83" t="s">
        <v>21</v>
      </c>
      <c r="F195" s="83" t="s">
        <v>220</v>
      </c>
      <c r="G195" s="83" t="s">
        <v>22</v>
      </c>
      <c r="H195" s="83" t="s">
        <v>18</v>
      </c>
      <c r="I195" s="83" t="s">
        <v>18</v>
      </c>
      <c r="J195" s="83" t="s">
        <v>18</v>
      </c>
      <c r="K195" s="83">
        <v>1</v>
      </c>
      <c r="L195" s="83" t="s">
        <v>18</v>
      </c>
    </row>
    <row r="196" spans="1:12">
      <c r="A196" s="83" t="s">
        <v>222</v>
      </c>
      <c r="B196" s="83" t="s">
        <v>221</v>
      </c>
      <c r="C196" s="83" t="s">
        <v>14</v>
      </c>
      <c r="D196" s="83" t="s">
        <v>47</v>
      </c>
      <c r="E196" s="83" t="s">
        <v>50</v>
      </c>
      <c r="F196" s="83" t="s">
        <v>222</v>
      </c>
      <c r="G196" s="83" t="s">
        <v>51</v>
      </c>
      <c r="H196" s="83" t="s">
        <v>18</v>
      </c>
      <c r="I196" s="83" t="s">
        <v>18</v>
      </c>
      <c r="J196" s="83" t="s">
        <v>18</v>
      </c>
      <c r="K196" s="83">
        <v>1</v>
      </c>
      <c r="L196" s="83" t="s">
        <v>18</v>
      </c>
    </row>
    <row r="197" spans="1:12">
      <c r="A197" s="83" t="s">
        <v>223</v>
      </c>
      <c r="B197" s="83" t="s">
        <v>221</v>
      </c>
      <c r="C197" s="83" t="s">
        <v>14</v>
      </c>
      <c r="D197" s="83" t="s">
        <v>47</v>
      </c>
      <c r="E197" s="83" t="s">
        <v>50</v>
      </c>
      <c r="F197" s="83" t="s">
        <v>223</v>
      </c>
      <c r="G197" s="83" t="s">
        <v>51</v>
      </c>
      <c r="H197" s="83" t="s">
        <v>18</v>
      </c>
      <c r="I197" s="83" t="s">
        <v>18</v>
      </c>
      <c r="J197" s="83" t="s">
        <v>18</v>
      </c>
      <c r="K197" s="83">
        <v>2</v>
      </c>
      <c r="L197" s="83" t="s">
        <v>18</v>
      </c>
    </row>
    <row r="198" spans="1:12">
      <c r="A198" s="83" t="s">
        <v>224</v>
      </c>
      <c r="B198" s="83" t="s">
        <v>221</v>
      </c>
      <c r="C198" s="83" t="s">
        <v>14</v>
      </c>
      <c r="D198" s="83" t="s">
        <v>47</v>
      </c>
      <c r="E198" s="83" t="s">
        <v>50</v>
      </c>
      <c r="F198" s="83" t="s">
        <v>224</v>
      </c>
      <c r="G198" s="83" t="s">
        <v>51</v>
      </c>
      <c r="H198" s="83" t="s">
        <v>18</v>
      </c>
      <c r="I198" s="83" t="s">
        <v>18</v>
      </c>
      <c r="J198" s="83" t="s">
        <v>18</v>
      </c>
      <c r="K198" s="83">
        <v>2</v>
      </c>
      <c r="L198" s="83" t="s">
        <v>18</v>
      </c>
    </row>
    <row r="199" spans="1:12">
      <c r="A199" s="83" t="s">
        <v>225</v>
      </c>
      <c r="B199" s="83" t="s">
        <v>221</v>
      </c>
      <c r="C199" s="83" t="s">
        <v>14</v>
      </c>
      <c r="D199" s="83" t="s">
        <v>47</v>
      </c>
      <c r="E199" s="83" t="s">
        <v>226</v>
      </c>
      <c r="F199" s="83" t="s">
        <v>225</v>
      </c>
      <c r="G199" s="83" t="s">
        <v>227</v>
      </c>
      <c r="H199" s="83" t="s">
        <v>18</v>
      </c>
      <c r="I199" s="83">
        <v>1</v>
      </c>
      <c r="J199" s="83" t="s">
        <v>18</v>
      </c>
      <c r="K199" s="83">
        <v>1</v>
      </c>
      <c r="L199" s="83" t="s">
        <v>18</v>
      </c>
    </row>
    <row r="200" spans="1:12">
      <c r="A200" s="83" t="s">
        <v>228</v>
      </c>
      <c r="B200" s="83" t="s">
        <v>221</v>
      </c>
      <c r="C200" s="83" t="s">
        <v>14</v>
      </c>
      <c r="D200" s="83" t="s">
        <v>31</v>
      </c>
      <c r="E200" s="83" t="s">
        <v>16</v>
      </c>
      <c r="F200" s="83" t="s">
        <v>228</v>
      </c>
      <c r="G200" s="83" t="s">
        <v>17</v>
      </c>
      <c r="H200" s="83" t="s">
        <v>18</v>
      </c>
      <c r="I200" s="83">
        <v>1</v>
      </c>
      <c r="J200" s="83" t="s">
        <v>18</v>
      </c>
      <c r="K200" s="83" t="s">
        <v>18</v>
      </c>
      <c r="L200" s="83" t="s">
        <v>18</v>
      </c>
    </row>
    <row r="201" spans="1:12">
      <c r="A201" s="83" t="s">
        <v>229</v>
      </c>
      <c r="B201" s="83" t="s">
        <v>221</v>
      </c>
      <c r="C201" s="83" t="s">
        <v>14</v>
      </c>
      <c r="D201" s="83" t="s">
        <v>47</v>
      </c>
      <c r="E201" s="83" t="s">
        <v>16</v>
      </c>
      <c r="F201" s="83" t="s">
        <v>229</v>
      </c>
      <c r="G201" s="83" t="s">
        <v>17</v>
      </c>
      <c r="H201" s="83" t="s">
        <v>18</v>
      </c>
      <c r="I201" s="83">
        <v>1</v>
      </c>
      <c r="J201" s="83" t="s">
        <v>18</v>
      </c>
      <c r="K201" s="83" t="s">
        <v>18</v>
      </c>
      <c r="L201" s="83" t="s">
        <v>18</v>
      </c>
    </row>
    <row r="202" spans="1:12">
      <c r="A202" s="83" t="s">
        <v>230</v>
      </c>
      <c r="B202" s="83" t="s">
        <v>221</v>
      </c>
      <c r="C202" s="83" t="s">
        <v>14</v>
      </c>
      <c r="D202" s="83" t="s">
        <v>47</v>
      </c>
      <c r="E202" s="83" t="s">
        <v>50</v>
      </c>
      <c r="F202" s="83" t="s">
        <v>230</v>
      </c>
      <c r="G202" s="83" t="s">
        <v>51</v>
      </c>
      <c r="H202" s="83" t="s">
        <v>18</v>
      </c>
      <c r="I202" s="83" t="s">
        <v>18</v>
      </c>
      <c r="J202" s="83" t="s">
        <v>18</v>
      </c>
      <c r="K202" s="83">
        <v>1</v>
      </c>
      <c r="L202" s="83" t="s">
        <v>18</v>
      </c>
    </row>
    <row r="203" spans="1:12">
      <c r="A203" s="83" t="s">
        <v>231</v>
      </c>
      <c r="B203" s="83" t="s">
        <v>221</v>
      </c>
      <c r="C203" s="83" t="s">
        <v>14</v>
      </c>
      <c r="D203" s="83" t="s">
        <v>47</v>
      </c>
      <c r="E203" s="83" t="s">
        <v>50</v>
      </c>
      <c r="F203" s="83" t="s">
        <v>231</v>
      </c>
      <c r="G203" s="83" t="s">
        <v>51</v>
      </c>
      <c r="H203" s="83" t="s">
        <v>18</v>
      </c>
      <c r="I203" s="83" t="s">
        <v>18</v>
      </c>
      <c r="J203" s="83" t="s">
        <v>18</v>
      </c>
      <c r="K203" s="83">
        <v>1</v>
      </c>
      <c r="L203" s="83" t="s">
        <v>18</v>
      </c>
    </row>
    <row r="204" spans="1:12">
      <c r="A204" s="83" t="s">
        <v>232</v>
      </c>
      <c r="B204" s="83" t="s">
        <v>221</v>
      </c>
      <c r="C204" s="83" t="s">
        <v>14</v>
      </c>
      <c r="D204" s="83" t="s">
        <v>47</v>
      </c>
      <c r="E204" s="83" t="s">
        <v>50</v>
      </c>
      <c r="F204" s="83" t="s">
        <v>232</v>
      </c>
      <c r="G204" s="83" t="s">
        <v>51</v>
      </c>
      <c r="H204" s="83" t="s">
        <v>18</v>
      </c>
      <c r="I204" s="83" t="s">
        <v>18</v>
      </c>
      <c r="J204" s="83" t="s">
        <v>18</v>
      </c>
      <c r="K204" s="83">
        <v>1</v>
      </c>
      <c r="L204" s="83" t="s">
        <v>18</v>
      </c>
    </row>
    <row r="205" spans="1:12">
      <c r="A205" s="83" t="s">
        <v>233</v>
      </c>
      <c r="B205" s="83" t="s">
        <v>221</v>
      </c>
      <c r="C205" s="83" t="s">
        <v>14</v>
      </c>
      <c r="D205" s="83" t="s">
        <v>47</v>
      </c>
      <c r="E205" s="83" t="s">
        <v>21</v>
      </c>
      <c r="F205" s="83" t="s">
        <v>233</v>
      </c>
      <c r="G205" s="83" t="s">
        <v>22</v>
      </c>
      <c r="H205" s="83" t="s">
        <v>18</v>
      </c>
      <c r="I205" s="83" t="s">
        <v>18</v>
      </c>
      <c r="J205" s="83" t="s">
        <v>18</v>
      </c>
      <c r="K205" s="83">
        <v>1</v>
      </c>
      <c r="L205" s="83" t="s">
        <v>18</v>
      </c>
    </row>
    <row r="206" spans="1:12">
      <c r="A206" s="83" t="s">
        <v>234</v>
      </c>
      <c r="B206" s="83" t="s">
        <v>221</v>
      </c>
      <c r="C206" s="83" t="s">
        <v>14</v>
      </c>
      <c r="D206" s="83" t="s">
        <v>47</v>
      </c>
      <c r="E206" s="83" t="s">
        <v>21</v>
      </c>
      <c r="F206" s="83" t="s">
        <v>234</v>
      </c>
      <c r="G206" s="83" t="s">
        <v>22</v>
      </c>
      <c r="H206" s="83" t="s">
        <v>18</v>
      </c>
      <c r="I206" s="83" t="s">
        <v>18</v>
      </c>
      <c r="J206" s="83" t="s">
        <v>18</v>
      </c>
      <c r="K206" s="83">
        <v>1</v>
      </c>
      <c r="L206" s="83" t="s">
        <v>18</v>
      </c>
    </row>
    <row r="207" spans="1:12">
      <c r="A207" s="83" t="s">
        <v>235</v>
      </c>
      <c r="B207" s="83" t="s">
        <v>221</v>
      </c>
      <c r="C207" s="83" t="s">
        <v>14</v>
      </c>
      <c r="D207" s="83" t="s">
        <v>28</v>
      </c>
      <c r="E207" s="83" t="s">
        <v>16</v>
      </c>
      <c r="F207" s="83" t="s">
        <v>235</v>
      </c>
      <c r="G207" s="83" t="s">
        <v>17</v>
      </c>
      <c r="H207" s="83" t="s">
        <v>18</v>
      </c>
      <c r="I207" s="83">
        <v>1</v>
      </c>
      <c r="J207" s="83" t="s">
        <v>18</v>
      </c>
      <c r="K207" s="83" t="s">
        <v>18</v>
      </c>
      <c r="L207" s="83" t="s">
        <v>18</v>
      </c>
    </row>
    <row r="208" spans="1:12">
      <c r="A208" s="83" t="s">
        <v>236</v>
      </c>
      <c r="B208" s="83" t="s">
        <v>221</v>
      </c>
      <c r="C208" s="83" t="s">
        <v>14</v>
      </c>
      <c r="D208" s="83" t="s">
        <v>47</v>
      </c>
      <c r="E208" s="83" t="s">
        <v>21</v>
      </c>
      <c r="F208" s="83" t="s">
        <v>236</v>
      </c>
      <c r="G208" s="83" t="s">
        <v>22</v>
      </c>
      <c r="H208" s="83" t="s">
        <v>18</v>
      </c>
      <c r="I208" s="83">
        <v>1</v>
      </c>
      <c r="J208" s="83" t="s">
        <v>18</v>
      </c>
      <c r="K208" s="83" t="s">
        <v>18</v>
      </c>
      <c r="L208" s="83" t="s">
        <v>18</v>
      </c>
    </row>
    <row r="209" spans="1:12">
      <c r="A209" s="83" t="s">
        <v>237</v>
      </c>
      <c r="B209" s="83" t="s">
        <v>221</v>
      </c>
      <c r="C209" s="83" t="s">
        <v>14</v>
      </c>
      <c r="D209" s="83" t="s">
        <v>47</v>
      </c>
      <c r="E209" s="83" t="s">
        <v>50</v>
      </c>
      <c r="F209" s="83" t="s">
        <v>237</v>
      </c>
      <c r="G209" s="83" t="s">
        <v>51</v>
      </c>
      <c r="H209" s="83" t="s">
        <v>18</v>
      </c>
      <c r="I209" s="83" t="s">
        <v>18</v>
      </c>
      <c r="J209" s="83" t="s">
        <v>18</v>
      </c>
      <c r="K209" s="83">
        <v>1</v>
      </c>
      <c r="L209" s="83" t="s">
        <v>18</v>
      </c>
    </row>
    <row r="210" spans="1:12">
      <c r="A210" s="83" t="s">
        <v>18</v>
      </c>
      <c r="B210" s="83" t="s">
        <v>221</v>
      </c>
      <c r="C210" s="83" t="s">
        <v>14</v>
      </c>
      <c r="D210" s="83" t="s">
        <v>47</v>
      </c>
      <c r="E210" s="83" t="s">
        <v>50</v>
      </c>
      <c r="F210" s="83" t="s">
        <v>18</v>
      </c>
      <c r="G210" s="83" t="s">
        <v>18</v>
      </c>
      <c r="H210" s="83" t="s">
        <v>18</v>
      </c>
      <c r="I210" s="83" t="s">
        <v>18</v>
      </c>
      <c r="J210" s="83" t="s">
        <v>18</v>
      </c>
      <c r="K210" s="83">
        <v>1</v>
      </c>
      <c r="L210" s="83" t="s">
        <v>18</v>
      </c>
    </row>
    <row r="211" spans="1:12">
      <c r="A211" s="83" t="s">
        <v>18</v>
      </c>
      <c r="B211" s="83" t="s">
        <v>221</v>
      </c>
      <c r="C211" s="83" t="s">
        <v>14</v>
      </c>
      <c r="D211" s="83" t="s">
        <v>47</v>
      </c>
      <c r="E211" s="83" t="s">
        <v>50</v>
      </c>
      <c r="F211" s="83" t="s">
        <v>18</v>
      </c>
      <c r="G211" s="83" t="s">
        <v>18</v>
      </c>
      <c r="H211" s="83" t="s">
        <v>18</v>
      </c>
      <c r="I211" s="83" t="s">
        <v>18</v>
      </c>
      <c r="J211" s="83" t="s">
        <v>18</v>
      </c>
      <c r="K211" s="83">
        <v>1</v>
      </c>
      <c r="L211" s="83" t="s">
        <v>18</v>
      </c>
    </row>
    <row r="212" spans="1:12">
      <c r="A212" s="83" t="s">
        <v>238</v>
      </c>
      <c r="B212" s="83" t="s">
        <v>221</v>
      </c>
      <c r="C212" s="83" t="s">
        <v>14</v>
      </c>
      <c r="D212" s="83" t="s">
        <v>47</v>
      </c>
      <c r="E212" s="83" t="s">
        <v>50</v>
      </c>
      <c r="F212" s="83" t="s">
        <v>238</v>
      </c>
      <c r="G212" s="83" t="s">
        <v>51</v>
      </c>
      <c r="H212" s="83" t="s">
        <v>18</v>
      </c>
      <c r="I212" s="83" t="s">
        <v>18</v>
      </c>
      <c r="J212" s="83" t="s">
        <v>18</v>
      </c>
      <c r="K212" s="83">
        <v>1</v>
      </c>
      <c r="L212" s="83" t="s">
        <v>18</v>
      </c>
    </row>
    <row r="213" spans="1:12">
      <c r="A213" s="83" t="s">
        <v>239</v>
      </c>
      <c r="B213" s="83" t="s">
        <v>221</v>
      </c>
      <c r="C213" s="83" t="s">
        <v>14</v>
      </c>
      <c r="D213" s="83" t="s">
        <v>47</v>
      </c>
      <c r="E213" s="83" t="s">
        <v>50</v>
      </c>
      <c r="F213" s="83" t="s">
        <v>239</v>
      </c>
      <c r="G213" s="83" t="s">
        <v>51</v>
      </c>
      <c r="H213" s="83" t="s">
        <v>18</v>
      </c>
      <c r="I213" s="83" t="s">
        <v>18</v>
      </c>
      <c r="J213" s="83" t="s">
        <v>18</v>
      </c>
      <c r="K213" s="83">
        <v>1</v>
      </c>
      <c r="L213" s="83" t="s">
        <v>18</v>
      </c>
    </row>
    <row r="214" spans="1:12">
      <c r="A214" s="83" t="s">
        <v>240</v>
      </c>
      <c r="B214" s="83" t="s">
        <v>221</v>
      </c>
      <c r="C214" s="83" t="s">
        <v>14</v>
      </c>
      <c r="D214" s="83" t="s">
        <v>47</v>
      </c>
      <c r="E214" s="83" t="s">
        <v>50</v>
      </c>
      <c r="F214" s="83" t="s">
        <v>240</v>
      </c>
      <c r="G214" s="83" t="s">
        <v>51</v>
      </c>
      <c r="H214" s="83" t="s">
        <v>18</v>
      </c>
      <c r="I214" s="83" t="s">
        <v>18</v>
      </c>
      <c r="J214" s="83" t="s">
        <v>18</v>
      </c>
      <c r="K214" s="83">
        <v>1</v>
      </c>
      <c r="L214" s="83" t="s">
        <v>18</v>
      </c>
    </row>
    <row r="215" spans="1:12">
      <c r="A215" s="83" t="s">
        <v>241</v>
      </c>
      <c r="B215" s="83" t="s">
        <v>221</v>
      </c>
      <c r="C215" s="83" t="s">
        <v>14</v>
      </c>
      <c r="D215" s="83" t="s">
        <v>47</v>
      </c>
      <c r="E215" s="83" t="s">
        <v>50</v>
      </c>
      <c r="F215" s="83" t="s">
        <v>241</v>
      </c>
      <c r="G215" s="83" t="s">
        <v>51</v>
      </c>
      <c r="H215" s="83" t="s">
        <v>18</v>
      </c>
      <c r="I215" s="83" t="s">
        <v>18</v>
      </c>
      <c r="J215" s="83" t="s">
        <v>18</v>
      </c>
      <c r="K215" s="83">
        <v>1</v>
      </c>
      <c r="L215" s="83" t="s">
        <v>18</v>
      </c>
    </row>
    <row r="216" spans="1:12">
      <c r="A216" s="83" t="s">
        <v>242</v>
      </c>
      <c r="B216" s="83" t="s">
        <v>221</v>
      </c>
      <c r="C216" s="83" t="s">
        <v>14</v>
      </c>
      <c r="D216" s="83" t="s">
        <v>47</v>
      </c>
      <c r="E216" s="83" t="s">
        <v>50</v>
      </c>
      <c r="F216" s="83" t="s">
        <v>242</v>
      </c>
      <c r="G216" s="83" t="s">
        <v>51</v>
      </c>
      <c r="H216" s="83" t="s">
        <v>18</v>
      </c>
      <c r="I216" s="83" t="s">
        <v>18</v>
      </c>
      <c r="J216" s="83" t="s">
        <v>18</v>
      </c>
      <c r="K216" s="83">
        <v>1</v>
      </c>
      <c r="L216" s="83" t="s">
        <v>18</v>
      </c>
    </row>
    <row r="217" spans="1:12">
      <c r="A217" s="83" t="s">
        <v>243</v>
      </c>
      <c r="B217" s="83" t="s">
        <v>221</v>
      </c>
      <c r="C217" s="83" t="s">
        <v>14</v>
      </c>
      <c r="D217" s="83" t="s">
        <v>47</v>
      </c>
      <c r="E217" s="83" t="s">
        <v>21</v>
      </c>
      <c r="F217" s="83" t="s">
        <v>243</v>
      </c>
      <c r="G217" s="83" t="s">
        <v>22</v>
      </c>
      <c r="H217" s="83" t="s">
        <v>18</v>
      </c>
      <c r="I217" s="83" t="s">
        <v>18</v>
      </c>
      <c r="J217" s="83" t="s">
        <v>18</v>
      </c>
      <c r="K217" s="83">
        <v>1</v>
      </c>
      <c r="L217" s="83" t="s">
        <v>18</v>
      </c>
    </row>
    <row r="218" spans="1:12">
      <c r="A218" s="83" t="s">
        <v>244</v>
      </c>
      <c r="B218" s="83" t="s">
        <v>221</v>
      </c>
      <c r="C218" s="83" t="s">
        <v>14</v>
      </c>
      <c r="D218" s="83" t="s">
        <v>47</v>
      </c>
      <c r="E218" s="83" t="s">
        <v>21</v>
      </c>
      <c r="F218" s="83" t="s">
        <v>244</v>
      </c>
      <c r="G218" s="83" t="s">
        <v>22</v>
      </c>
      <c r="H218" s="83" t="s">
        <v>18</v>
      </c>
      <c r="I218" s="83" t="s">
        <v>18</v>
      </c>
      <c r="J218" s="83" t="s">
        <v>18</v>
      </c>
      <c r="K218" s="83">
        <v>1</v>
      </c>
      <c r="L218" s="83" t="s">
        <v>18</v>
      </c>
    </row>
    <row r="219" spans="1:12">
      <c r="A219" s="83" t="s">
        <v>245</v>
      </c>
      <c r="B219" s="83" t="s">
        <v>221</v>
      </c>
      <c r="C219" s="83" t="s">
        <v>14</v>
      </c>
      <c r="D219" s="83" t="s">
        <v>47</v>
      </c>
      <c r="E219" s="83" t="s">
        <v>21</v>
      </c>
      <c r="F219" s="83" t="s">
        <v>245</v>
      </c>
      <c r="G219" s="83" t="s">
        <v>22</v>
      </c>
      <c r="H219" s="83" t="s">
        <v>18</v>
      </c>
      <c r="I219" s="83" t="s">
        <v>18</v>
      </c>
      <c r="J219" s="83" t="s">
        <v>18</v>
      </c>
      <c r="K219" s="83">
        <v>1</v>
      </c>
      <c r="L219" s="83" t="s">
        <v>18</v>
      </c>
    </row>
    <row r="220" spans="1:12">
      <c r="A220" s="83" t="s">
        <v>246</v>
      </c>
      <c r="B220" s="83" t="s">
        <v>221</v>
      </c>
      <c r="C220" s="83" t="s">
        <v>14</v>
      </c>
      <c r="D220" s="83" t="s">
        <v>47</v>
      </c>
      <c r="E220" s="83" t="s">
        <v>50</v>
      </c>
      <c r="F220" s="83" t="s">
        <v>246</v>
      </c>
      <c r="G220" s="83" t="s">
        <v>51</v>
      </c>
      <c r="H220" s="83" t="s">
        <v>18</v>
      </c>
      <c r="I220" s="83" t="s">
        <v>18</v>
      </c>
      <c r="J220" s="83">
        <v>1</v>
      </c>
      <c r="K220" s="83" t="s">
        <v>18</v>
      </c>
      <c r="L220" s="83" t="s">
        <v>18</v>
      </c>
    </row>
    <row r="221" spans="1:12">
      <c r="A221" s="83" t="s">
        <v>247</v>
      </c>
      <c r="B221" s="83" t="s">
        <v>221</v>
      </c>
      <c r="C221" s="83" t="s">
        <v>14</v>
      </c>
      <c r="D221" s="83" t="s">
        <v>28</v>
      </c>
      <c r="E221" s="83" t="s">
        <v>248</v>
      </c>
      <c r="F221" s="83" t="s">
        <v>247</v>
      </c>
      <c r="G221" s="83" t="s">
        <v>249</v>
      </c>
      <c r="H221" s="83" t="s">
        <v>18</v>
      </c>
      <c r="I221" s="83" t="s">
        <v>18</v>
      </c>
      <c r="J221" s="83">
        <v>1</v>
      </c>
      <c r="K221" s="83" t="s">
        <v>18</v>
      </c>
      <c r="L221" s="83" t="s">
        <v>18</v>
      </c>
    </row>
    <row r="222" spans="1:12">
      <c r="A222" s="83" t="s">
        <v>250</v>
      </c>
      <c r="B222" s="83" t="s">
        <v>221</v>
      </c>
      <c r="C222" s="83" t="s">
        <v>14</v>
      </c>
      <c r="D222" s="83" t="s">
        <v>47</v>
      </c>
      <c r="E222" s="83" t="s">
        <v>50</v>
      </c>
      <c r="F222" s="83" t="s">
        <v>250</v>
      </c>
      <c r="G222" s="83" t="s">
        <v>51</v>
      </c>
      <c r="H222" s="83" t="s">
        <v>18</v>
      </c>
      <c r="I222" s="83" t="s">
        <v>18</v>
      </c>
      <c r="J222" s="83" t="s">
        <v>18</v>
      </c>
      <c r="K222" s="83">
        <v>1</v>
      </c>
      <c r="L222" s="83" t="s">
        <v>18</v>
      </c>
    </row>
    <row r="223" spans="1:12">
      <c r="A223" s="83" t="s">
        <v>251</v>
      </c>
      <c r="B223" s="83" t="s">
        <v>221</v>
      </c>
      <c r="C223" s="83" t="s">
        <v>14</v>
      </c>
      <c r="D223" s="83" t="s">
        <v>47</v>
      </c>
      <c r="E223" s="83" t="s">
        <v>50</v>
      </c>
      <c r="F223" s="83" t="s">
        <v>251</v>
      </c>
      <c r="G223" s="83" t="s">
        <v>51</v>
      </c>
      <c r="H223" s="83" t="s">
        <v>18</v>
      </c>
      <c r="I223" s="83" t="s">
        <v>18</v>
      </c>
      <c r="J223" s="83" t="s">
        <v>18</v>
      </c>
      <c r="K223" s="83">
        <v>1</v>
      </c>
      <c r="L223" s="83" t="s">
        <v>18</v>
      </c>
    </row>
    <row r="224" spans="1:12">
      <c r="A224" s="83" t="s">
        <v>252</v>
      </c>
      <c r="B224" s="83" t="s">
        <v>221</v>
      </c>
      <c r="C224" s="83" t="s">
        <v>14</v>
      </c>
      <c r="D224" s="83" t="s">
        <v>47</v>
      </c>
      <c r="E224" s="83" t="s">
        <v>50</v>
      </c>
      <c r="F224" s="83" t="s">
        <v>252</v>
      </c>
      <c r="G224" s="83" t="s">
        <v>51</v>
      </c>
      <c r="H224" s="83" t="s">
        <v>18</v>
      </c>
      <c r="I224" s="83" t="s">
        <v>18</v>
      </c>
      <c r="J224" s="83" t="s">
        <v>18</v>
      </c>
      <c r="K224" s="83">
        <v>1</v>
      </c>
      <c r="L224" s="83" t="s">
        <v>18</v>
      </c>
    </row>
    <row r="225" spans="1:12">
      <c r="A225" s="83" t="s">
        <v>253</v>
      </c>
      <c r="B225" s="83" t="s">
        <v>221</v>
      </c>
      <c r="C225" s="83" t="s">
        <v>14</v>
      </c>
      <c r="D225" s="83" t="s">
        <v>47</v>
      </c>
      <c r="E225" s="83" t="s">
        <v>50</v>
      </c>
      <c r="F225" s="83" t="s">
        <v>253</v>
      </c>
      <c r="G225" s="83" t="s">
        <v>51</v>
      </c>
      <c r="H225" s="83" t="s">
        <v>18</v>
      </c>
      <c r="I225" s="83" t="s">
        <v>18</v>
      </c>
      <c r="J225" s="83" t="s">
        <v>18</v>
      </c>
      <c r="K225" s="83">
        <v>1</v>
      </c>
      <c r="L225" s="83" t="s">
        <v>18</v>
      </c>
    </row>
    <row r="226" spans="1:12">
      <c r="A226" s="83" t="s">
        <v>254</v>
      </c>
      <c r="B226" s="83" t="s">
        <v>221</v>
      </c>
      <c r="C226" s="83" t="s">
        <v>14</v>
      </c>
      <c r="D226" s="83" t="s">
        <v>47</v>
      </c>
      <c r="E226" s="83" t="s">
        <v>21</v>
      </c>
      <c r="F226" s="83" t="s">
        <v>254</v>
      </c>
      <c r="G226" s="83" t="s">
        <v>22</v>
      </c>
      <c r="H226" s="83" t="s">
        <v>18</v>
      </c>
      <c r="I226" s="83" t="s">
        <v>18</v>
      </c>
      <c r="J226" s="83" t="s">
        <v>18</v>
      </c>
      <c r="K226" s="83">
        <v>1</v>
      </c>
      <c r="L226" s="83" t="s">
        <v>18</v>
      </c>
    </row>
    <row r="227" spans="1:12">
      <c r="A227" s="83" t="s">
        <v>255</v>
      </c>
      <c r="B227" s="83" t="s">
        <v>221</v>
      </c>
      <c r="C227" s="83" t="s">
        <v>14</v>
      </c>
      <c r="D227" s="83" t="s">
        <v>47</v>
      </c>
      <c r="E227" s="83" t="s">
        <v>21</v>
      </c>
      <c r="F227" s="83" t="s">
        <v>255</v>
      </c>
      <c r="G227" s="83" t="s">
        <v>22</v>
      </c>
      <c r="H227" s="83" t="s">
        <v>18</v>
      </c>
      <c r="I227" s="83" t="s">
        <v>18</v>
      </c>
      <c r="J227" s="83" t="s">
        <v>18</v>
      </c>
      <c r="K227" s="83">
        <v>1</v>
      </c>
      <c r="L227" s="83" t="s">
        <v>18</v>
      </c>
    </row>
    <row r="228" spans="1:12">
      <c r="A228" s="83" t="s">
        <v>256</v>
      </c>
      <c r="B228" s="83" t="s">
        <v>221</v>
      </c>
      <c r="C228" s="83" t="s">
        <v>14</v>
      </c>
      <c r="D228" s="83" t="s">
        <v>47</v>
      </c>
      <c r="E228" s="83" t="s">
        <v>50</v>
      </c>
      <c r="F228" s="83" t="s">
        <v>256</v>
      </c>
      <c r="G228" s="83" t="s">
        <v>51</v>
      </c>
      <c r="H228" s="83">
        <v>1</v>
      </c>
      <c r="I228" s="83">
        <v>2</v>
      </c>
      <c r="J228" s="83" t="s">
        <v>18</v>
      </c>
      <c r="K228" s="83" t="s">
        <v>18</v>
      </c>
      <c r="L228" s="83" t="s">
        <v>18</v>
      </c>
    </row>
    <row r="229" spans="1:12">
      <c r="A229" s="83" t="s">
        <v>18</v>
      </c>
      <c r="B229" s="83" t="s">
        <v>221</v>
      </c>
      <c r="C229" s="83" t="s">
        <v>14</v>
      </c>
      <c r="D229" s="83" t="s">
        <v>47</v>
      </c>
      <c r="E229" s="83" t="s">
        <v>50</v>
      </c>
      <c r="F229" s="83" t="s">
        <v>18</v>
      </c>
      <c r="G229" s="83" t="s">
        <v>18</v>
      </c>
      <c r="H229" s="83">
        <v>1</v>
      </c>
      <c r="I229" s="83">
        <v>1</v>
      </c>
      <c r="J229" s="83" t="s">
        <v>18</v>
      </c>
      <c r="K229" s="83" t="s">
        <v>18</v>
      </c>
      <c r="L229" s="83">
        <v>1</v>
      </c>
    </row>
    <row r="230" spans="1:12">
      <c r="A230" s="83" t="s">
        <v>18</v>
      </c>
      <c r="B230" s="83" t="s">
        <v>221</v>
      </c>
      <c r="C230" s="83" t="s">
        <v>14</v>
      </c>
      <c r="D230" s="83" t="s">
        <v>47</v>
      </c>
      <c r="E230" s="83" t="s">
        <v>50</v>
      </c>
      <c r="F230" s="83" t="s">
        <v>18</v>
      </c>
      <c r="G230" s="83" t="s">
        <v>18</v>
      </c>
      <c r="H230" s="83">
        <v>1</v>
      </c>
      <c r="I230" s="83">
        <v>1</v>
      </c>
      <c r="J230" s="83" t="s">
        <v>18</v>
      </c>
      <c r="K230" s="83" t="s">
        <v>18</v>
      </c>
      <c r="L230" s="83">
        <v>1</v>
      </c>
    </row>
    <row r="231" spans="1:12">
      <c r="A231" s="83" t="s">
        <v>18</v>
      </c>
      <c r="B231" s="83" t="s">
        <v>221</v>
      </c>
      <c r="C231" s="83" t="s">
        <v>14</v>
      </c>
      <c r="D231" s="83" t="s">
        <v>47</v>
      </c>
      <c r="E231" s="83" t="s">
        <v>21</v>
      </c>
      <c r="F231" s="83" t="s">
        <v>18</v>
      </c>
      <c r="G231" s="83" t="s">
        <v>18</v>
      </c>
      <c r="H231" s="83">
        <v>1</v>
      </c>
      <c r="I231" s="83">
        <v>1</v>
      </c>
      <c r="J231" s="83" t="s">
        <v>18</v>
      </c>
      <c r="K231" s="83" t="s">
        <v>18</v>
      </c>
      <c r="L231" s="83">
        <v>1</v>
      </c>
    </row>
    <row r="232" spans="1:12">
      <c r="A232" s="83" t="s">
        <v>18</v>
      </c>
      <c r="B232" s="83" t="s">
        <v>221</v>
      </c>
      <c r="C232" s="83" t="s">
        <v>14</v>
      </c>
      <c r="D232" s="83" t="s">
        <v>47</v>
      </c>
      <c r="E232" s="83" t="s">
        <v>50</v>
      </c>
      <c r="F232" s="83" t="s">
        <v>18</v>
      </c>
      <c r="G232" s="83" t="s">
        <v>18</v>
      </c>
      <c r="H232" s="83">
        <v>1</v>
      </c>
      <c r="I232" s="83">
        <v>1</v>
      </c>
      <c r="J232" s="83" t="s">
        <v>18</v>
      </c>
      <c r="K232" s="83" t="s">
        <v>18</v>
      </c>
      <c r="L232" s="83">
        <v>1</v>
      </c>
    </row>
    <row r="233" spans="1:12">
      <c r="A233" s="83" t="s">
        <v>257</v>
      </c>
      <c r="B233" s="83" t="s">
        <v>221</v>
      </c>
      <c r="C233" s="83" t="s">
        <v>14</v>
      </c>
      <c r="D233" s="83" t="s">
        <v>47</v>
      </c>
      <c r="E233" s="83" t="s">
        <v>21</v>
      </c>
      <c r="F233" s="83" t="s">
        <v>257</v>
      </c>
      <c r="G233" s="83" t="s">
        <v>22</v>
      </c>
      <c r="H233" s="83">
        <v>1</v>
      </c>
      <c r="I233" s="83">
        <v>2</v>
      </c>
      <c r="J233" s="83" t="s">
        <v>18</v>
      </c>
      <c r="K233" s="83" t="s">
        <v>18</v>
      </c>
      <c r="L233" s="83" t="s">
        <v>18</v>
      </c>
    </row>
    <row r="234" spans="1:12">
      <c r="A234" s="83" t="s">
        <v>18</v>
      </c>
      <c r="B234" s="83" t="s">
        <v>221</v>
      </c>
      <c r="C234" s="83" t="s">
        <v>14</v>
      </c>
      <c r="D234" s="83" t="s">
        <v>31</v>
      </c>
      <c r="E234" s="83" t="s">
        <v>21</v>
      </c>
      <c r="F234" s="83" t="s">
        <v>18</v>
      </c>
      <c r="G234" s="83" t="s">
        <v>18</v>
      </c>
      <c r="H234" s="83">
        <v>1</v>
      </c>
      <c r="I234" s="83" t="s">
        <v>18</v>
      </c>
      <c r="J234" s="83" t="s">
        <v>18</v>
      </c>
      <c r="K234" s="83" t="s">
        <v>18</v>
      </c>
      <c r="L234" s="83" t="s">
        <v>18</v>
      </c>
    </row>
    <row r="235" spans="1:12">
      <c r="A235" s="83" t="s">
        <v>18</v>
      </c>
      <c r="B235" s="83" t="s">
        <v>221</v>
      </c>
      <c r="C235" s="83" t="s">
        <v>14</v>
      </c>
      <c r="D235" s="83" t="s">
        <v>31</v>
      </c>
      <c r="E235" s="83" t="s">
        <v>21</v>
      </c>
      <c r="F235" s="83" t="s">
        <v>18</v>
      </c>
      <c r="G235" s="83" t="s">
        <v>18</v>
      </c>
      <c r="H235" s="83">
        <v>1</v>
      </c>
      <c r="I235" s="83" t="s">
        <v>18</v>
      </c>
      <c r="J235" s="83" t="s">
        <v>18</v>
      </c>
      <c r="K235" s="83" t="s">
        <v>18</v>
      </c>
      <c r="L235" s="83" t="s">
        <v>18</v>
      </c>
    </row>
    <row r="236" spans="1:12">
      <c r="A236" s="83" t="s">
        <v>18</v>
      </c>
      <c r="B236" s="83" t="s">
        <v>221</v>
      </c>
      <c r="C236" s="83" t="s">
        <v>14</v>
      </c>
      <c r="D236" s="83" t="s">
        <v>31</v>
      </c>
      <c r="E236" s="83" t="s">
        <v>21</v>
      </c>
      <c r="F236" s="83" t="s">
        <v>18</v>
      </c>
      <c r="G236" s="83" t="s">
        <v>18</v>
      </c>
      <c r="H236" s="83" t="s">
        <v>18</v>
      </c>
      <c r="I236" s="83">
        <v>1</v>
      </c>
      <c r="J236" s="83" t="s">
        <v>18</v>
      </c>
      <c r="K236" s="83" t="s">
        <v>18</v>
      </c>
      <c r="L236" s="83" t="s">
        <v>18</v>
      </c>
    </row>
    <row r="237" spans="1:12">
      <c r="A237" s="83" t="s">
        <v>18</v>
      </c>
      <c r="B237" s="83" t="s">
        <v>221</v>
      </c>
      <c r="C237" s="83" t="s">
        <v>14</v>
      </c>
      <c r="D237" s="83" t="s">
        <v>31</v>
      </c>
      <c r="E237" s="83" t="s">
        <v>21</v>
      </c>
      <c r="F237" s="83" t="s">
        <v>18</v>
      </c>
      <c r="G237" s="83" t="s">
        <v>18</v>
      </c>
      <c r="H237" s="83" t="s">
        <v>18</v>
      </c>
      <c r="I237" s="83">
        <v>1</v>
      </c>
      <c r="J237" s="83" t="s">
        <v>18</v>
      </c>
      <c r="K237" s="83" t="s">
        <v>18</v>
      </c>
      <c r="L237" s="83" t="s">
        <v>18</v>
      </c>
    </row>
    <row r="238" spans="1:12">
      <c r="A238" s="83" t="s">
        <v>18</v>
      </c>
      <c r="B238" s="83" t="s">
        <v>221</v>
      </c>
      <c r="C238" s="83" t="s">
        <v>14</v>
      </c>
      <c r="D238" s="83" t="s">
        <v>31</v>
      </c>
      <c r="E238" s="83" t="s">
        <v>21</v>
      </c>
      <c r="F238" s="83" t="s">
        <v>18</v>
      </c>
      <c r="G238" s="83" t="s">
        <v>18</v>
      </c>
      <c r="H238" s="83">
        <v>1</v>
      </c>
      <c r="I238" s="83" t="s">
        <v>18</v>
      </c>
      <c r="J238" s="83" t="s">
        <v>18</v>
      </c>
      <c r="K238" s="83" t="s">
        <v>18</v>
      </c>
      <c r="L238" s="83" t="s">
        <v>18</v>
      </c>
    </row>
    <row r="239" spans="1:12">
      <c r="A239" s="83" t="s">
        <v>18</v>
      </c>
      <c r="B239" s="83" t="s">
        <v>221</v>
      </c>
      <c r="C239" s="83" t="s">
        <v>14</v>
      </c>
      <c r="D239" s="83" t="s">
        <v>31</v>
      </c>
      <c r="E239" s="83" t="s">
        <v>21</v>
      </c>
      <c r="F239" s="83" t="s">
        <v>18</v>
      </c>
      <c r="G239" s="83" t="s">
        <v>18</v>
      </c>
      <c r="H239" s="83" t="s">
        <v>18</v>
      </c>
      <c r="I239" s="83">
        <v>1</v>
      </c>
      <c r="J239" s="83" t="s">
        <v>18</v>
      </c>
      <c r="K239" s="83" t="s">
        <v>18</v>
      </c>
      <c r="L239" s="83" t="s">
        <v>18</v>
      </c>
    </row>
    <row r="240" spans="1:12">
      <c r="A240" s="83" t="s">
        <v>18</v>
      </c>
      <c r="B240" s="83" t="s">
        <v>221</v>
      </c>
      <c r="C240" s="83" t="s">
        <v>14</v>
      </c>
      <c r="D240" s="83" t="s">
        <v>31</v>
      </c>
      <c r="E240" s="83" t="s">
        <v>21</v>
      </c>
      <c r="F240" s="83" t="s">
        <v>18</v>
      </c>
      <c r="G240" s="83" t="s">
        <v>18</v>
      </c>
      <c r="H240" s="83" t="s">
        <v>18</v>
      </c>
      <c r="I240" s="83">
        <v>1</v>
      </c>
      <c r="J240" s="83" t="s">
        <v>18</v>
      </c>
      <c r="K240" s="83" t="s">
        <v>18</v>
      </c>
      <c r="L240" s="83" t="s">
        <v>18</v>
      </c>
    </row>
    <row r="241" spans="1:12">
      <c r="A241" s="83" t="s">
        <v>258</v>
      </c>
      <c r="B241" s="83" t="s">
        <v>221</v>
      </c>
      <c r="C241" s="83" t="s">
        <v>14</v>
      </c>
      <c r="D241" s="83" t="s">
        <v>31</v>
      </c>
      <c r="E241" s="83" t="s">
        <v>21</v>
      </c>
      <c r="F241" s="83" t="s">
        <v>258</v>
      </c>
      <c r="G241" s="83" t="s">
        <v>22</v>
      </c>
      <c r="H241" s="83" t="s">
        <v>18</v>
      </c>
      <c r="I241" s="83">
        <v>1</v>
      </c>
      <c r="J241" s="83" t="s">
        <v>18</v>
      </c>
      <c r="K241" s="83" t="s">
        <v>18</v>
      </c>
      <c r="L241" s="83" t="s">
        <v>18</v>
      </c>
    </row>
    <row r="242" spans="1:12">
      <c r="A242" s="83" t="s">
        <v>259</v>
      </c>
      <c r="B242" s="83" t="s">
        <v>221</v>
      </c>
      <c r="C242" s="83" t="s">
        <v>14</v>
      </c>
      <c r="D242" s="83" t="s">
        <v>31</v>
      </c>
      <c r="E242" s="83" t="s">
        <v>21</v>
      </c>
      <c r="F242" s="83" t="s">
        <v>259</v>
      </c>
      <c r="G242" s="83" t="s">
        <v>22</v>
      </c>
      <c r="H242" s="83" t="s">
        <v>18</v>
      </c>
      <c r="I242" s="83">
        <v>1</v>
      </c>
      <c r="J242" s="83" t="s">
        <v>18</v>
      </c>
      <c r="K242" s="83" t="s">
        <v>18</v>
      </c>
      <c r="L242" s="83" t="s">
        <v>18</v>
      </c>
    </row>
    <row r="243" spans="1:12">
      <c r="A243" s="83" t="s">
        <v>18</v>
      </c>
      <c r="B243" s="83" t="s">
        <v>221</v>
      </c>
      <c r="C243" s="83" t="s">
        <v>14</v>
      </c>
      <c r="D243" s="83" t="s">
        <v>28</v>
      </c>
      <c r="E243" s="83" t="s">
        <v>21</v>
      </c>
      <c r="F243" s="83" t="s">
        <v>18</v>
      </c>
      <c r="G243" s="83" t="s">
        <v>18</v>
      </c>
      <c r="H243" s="83">
        <v>1</v>
      </c>
      <c r="I243" s="83" t="s">
        <v>18</v>
      </c>
      <c r="J243" s="83" t="s">
        <v>18</v>
      </c>
      <c r="K243" s="83" t="s">
        <v>18</v>
      </c>
      <c r="L243" s="83" t="s">
        <v>18</v>
      </c>
    </row>
    <row r="244" spans="1:12">
      <c r="A244" s="83" t="s">
        <v>18</v>
      </c>
      <c r="B244" s="83" t="s">
        <v>221</v>
      </c>
      <c r="C244" s="83" t="s">
        <v>14</v>
      </c>
      <c r="D244" s="83" t="s">
        <v>28</v>
      </c>
      <c r="E244" s="83" t="s">
        <v>21</v>
      </c>
      <c r="F244" s="83" t="s">
        <v>18</v>
      </c>
      <c r="G244" s="83" t="s">
        <v>18</v>
      </c>
      <c r="H244" s="83" t="s">
        <v>18</v>
      </c>
      <c r="I244" s="83">
        <v>1</v>
      </c>
      <c r="J244" s="83" t="s">
        <v>18</v>
      </c>
      <c r="K244" s="83" t="s">
        <v>18</v>
      </c>
      <c r="L244" s="83" t="s">
        <v>18</v>
      </c>
    </row>
    <row r="245" spans="1:12">
      <c r="A245" s="83" t="s">
        <v>18</v>
      </c>
      <c r="B245" s="83" t="s">
        <v>221</v>
      </c>
      <c r="C245" s="83" t="s">
        <v>14</v>
      </c>
      <c r="D245" s="83" t="s">
        <v>28</v>
      </c>
      <c r="E245" s="83" t="s">
        <v>21</v>
      </c>
      <c r="F245" s="83" t="s">
        <v>18</v>
      </c>
      <c r="G245" s="83" t="s">
        <v>18</v>
      </c>
      <c r="H245" s="83" t="s">
        <v>18</v>
      </c>
      <c r="I245" s="83">
        <v>1</v>
      </c>
      <c r="J245" s="83" t="s">
        <v>18</v>
      </c>
      <c r="K245" s="83" t="s">
        <v>18</v>
      </c>
      <c r="L245" s="83" t="s">
        <v>18</v>
      </c>
    </row>
    <row r="246" spans="1:12">
      <c r="A246" s="83" t="s">
        <v>260</v>
      </c>
      <c r="B246" s="83" t="s">
        <v>221</v>
      </c>
      <c r="C246" s="83" t="s">
        <v>14</v>
      </c>
      <c r="D246" s="83" t="s">
        <v>28</v>
      </c>
      <c r="E246" s="83" t="s">
        <v>21</v>
      </c>
      <c r="F246" s="83" t="s">
        <v>260</v>
      </c>
      <c r="G246" s="83" t="s">
        <v>22</v>
      </c>
      <c r="H246" s="83" t="s">
        <v>18</v>
      </c>
      <c r="I246" s="83">
        <v>1</v>
      </c>
      <c r="J246" s="83" t="s">
        <v>18</v>
      </c>
      <c r="K246" s="83" t="s">
        <v>18</v>
      </c>
      <c r="L246" s="83" t="s">
        <v>18</v>
      </c>
    </row>
    <row r="247" spans="1:12">
      <c r="A247" s="83" t="s">
        <v>261</v>
      </c>
      <c r="B247" s="83" t="s">
        <v>221</v>
      </c>
      <c r="C247" s="83" t="s">
        <v>14</v>
      </c>
      <c r="D247" s="83" t="s">
        <v>28</v>
      </c>
      <c r="E247" s="83" t="s">
        <v>21</v>
      </c>
      <c r="F247" s="83" t="s">
        <v>261</v>
      </c>
      <c r="G247" s="83" t="s">
        <v>22</v>
      </c>
      <c r="H247" s="83" t="s">
        <v>18</v>
      </c>
      <c r="I247" s="83">
        <v>1</v>
      </c>
      <c r="J247" s="83" t="s">
        <v>18</v>
      </c>
      <c r="K247" s="83" t="s">
        <v>18</v>
      </c>
      <c r="L247" s="83" t="s">
        <v>18</v>
      </c>
    </row>
    <row r="248" spans="1:12">
      <c r="A248" s="83" t="s">
        <v>18</v>
      </c>
      <c r="B248" s="83" t="s">
        <v>221</v>
      </c>
      <c r="C248" s="83" t="s">
        <v>14</v>
      </c>
      <c r="D248" s="83" t="s">
        <v>31</v>
      </c>
      <c r="E248" s="83" t="s">
        <v>21</v>
      </c>
      <c r="F248" s="83" t="s">
        <v>18</v>
      </c>
      <c r="G248" s="83" t="s">
        <v>18</v>
      </c>
      <c r="H248" s="83">
        <v>1</v>
      </c>
      <c r="I248" s="83" t="s">
        <v>18</v>
      </c>
      <c r="J248" s="83" t="s">
        <v>18</v>
      </c>
      <c r="K248" s="83" t="s">
        <v>18</v>
      </c>
      <c r="L248" s="83" t="s">
        <v>18</v>
      </c>
    </row>
    <row r="249" spans="1:12">
      <c r="A249" s="83" t="s">
        <v>18</v>
      </c>
      <c r="B249" s="83" t="s">
        <v>221</v>
      </c>
      <c r="C249" s="83" t="s">
        <v>14</v>
      </c>
      <c r="D249" s="83" t="s">
        <v>31</v>
      </c>
      <c r="E249" s="83" t="s">
        <v>21</v>
      </c>
      <c r="F249" s="83" t="s">
        <v>18</v>
      </c>
      <c r="G249" s="83" t="s">
        <v>18</v>
      </c>
      <c r="H249" s="83" t="s">
        <v>18</v>
      </c>
      <c r="I249" s="83">
        <v>1</v>
      </c>
      <c r="J249" s="83" t="s">
        <v>18</v>
      </c>
      <c r="K249" s="83" t="s">
        <v>18</v>
      </c>
      <c r="L249" s="83" t="s">
        <v>18</v>
      </c>
    </row>
    <row r="250" spans="1:12">
      <c r="A250" s="83" t="s">
        <v>18</v>
      </c>
      <c r="B250" s="83" t="s">
        <v>221</v>
      </c>
      <c r="C250" s="83" t="s">
        <v>14</v>
      </c>
      <c r="D250" s="83" t="s">
        <v>31</v>
      </c>
      <c r="E250" s="83" t="s">
        <v>21</v>
      </c>
      <c r="F250" s="83" t="s">
        <v>18</v>
      </c>
      <c r="G250" s="83" t="s">
        <v>18</v>
      </c>
      <c r="H250" s="83" t="s">
        <v>18</v>
      </c>
      <c r="I250" s="83">
        <v>1</v>
      </c>
      <c r="J250" s="83" t="s">
        <v>18</v>
      </c>
      <c r="K250" s="83" t="s">
        <v>18</v>
      </c>
      <c r="L250" s="83" t="s">
        <v>18</v>
      </c>
    </row>
    <row r="251" spans="1:12">
      <c r="A251" s="83" t="s">
        <v>262</v>
      </c>
      <c r="B251" s="83" t="s">
        <v>221</v>
      </c>
      <c r="C251" s="83" t="s">
        <v>14</v>
      </c>
      <c r="D251" s="83" t="s">
        <v>31</v>
      </c>
      <c r="E251" s="83" t="s">
        <v>21</v>
      </c>
      <c r="F251" s="83" t="s">
        <v>262</v>
      </c>
      <c r="G251" s="83" t="s">
        <v>22</v>
      </c>
      <c r="H251" s="83" t="s">
        <v>18</v>
      </c>
      <c r="I251" s="83">
        <v>1</v>
      </c>
      <c r="J251" s="83" t="s">
        <v>18</v>
      </c>
      <c r="K251" s="83" t="s">
        <v>18</v>
      </c>
      <c r="L251" s="83" t="s">
        <v>18</v>
      </c>
    </row>
    <row r="252" spans="1:12">
      <c r="A252" s="83" t="s">
        <v>263</v>
      </c>
      <c r="B252" s="83" t="s">
        <v>221</v>
      </c>
      <c r="C252" s="83" t="s">
        <v>14</v>
      </c>
      <c r="D252" s="83" t="s">
        <v>31</v>
      </c>
      <c r="E252" s="83" t="s">
        <v>21</v>
      </c>
      <c r="F252" s="83" t="s">
        <v>263</v>
      </c>
      <c r="G252" s="83" t="s">
        <v>22</v>
      </c>
      <c r="H252" s="83" t="s">
        <v>18</v>
      </c>
      <c r="I252" s="83">
        <v>1</v>
      </c>
      <c r="J252" s="83" t="s">
        <v>18</v>
      </c>
      <c r="K252" s="83" t="s">
        <v>18</v>
      </c>
      <c r="L252" s="83" t="s">
        <v>18</v>
      </c>
    </row>
    <row r="253" spans="1:12">
      <c r="A253" s="83" t="s">
        <v>264</v>
      </c>
      <c r="B253" s="83" t="s">
        <v>265</v>
      </c>
      <c r="C253" s="83" t="s">
        <v>14</v>
      </c>
      <c r="D253" s="83" t="s">
        <v>58</v>
      </c>
      <c r="E253" s="83" t="s">
        <v>226</v>
      </c>
      <c r="F253" s="83" t="s">
        <v>264</v>
      </c>
      <c r="G253" s="83" t="s">
        <v>227</v>
      </c>
      <c r="H253" s="83" t="s">
        <v>18</v>
      </c>
      <c r="I253" s="83" t="s">
        <v>18</v>
      </c>
      <c r="J253" s="83" t="s">
        <v>18</v>
      </c>
      <c r="K253" s="83">
        <v>1</v>
      </c>
      <c r="L253" s="83" t="s">
        <v>18</v>
      </c>
    </row>
    <row r="254" spans="1:12">
      <c r="A254" s="83" t="s">
        <v>266</v>
      </c>
      <c r="B254" s="83" t="s">
        <v>265</v>
      </c>
      <c r="C254" s="83" t="s">
        <v>14</v>
      </c>
      <c r="D254" s="83" t="s">
        <v>58</v>
      </c>
      <c r="E254" s="83" t="s">
        <v>226</v>
      </c>
      <c r="F254" s="83" t="s">
        <v>266</v>
      </c>
      <c r="G254" s="83" t="s">
        <v>227</v>
      </c>
      <c r="H254" s="83" t="s">
        <v>18</v>
      </c>
      <c r="I254" s="83">
        <v>1</v>
      </c>
      <c r="J254" s="83" t="s">
        <v>18</v>
      </c>
      <c r="K254" s="83">
        <v>1</v>
      </c>
      <c r="L254" s="83" t="s">
        <v>18</v>
      </c>
    </row>
    <row r="255" spans="1:12">
      <c r="A255" s="83" t="s">
        <v>267</v>
      </c>
      <c r="B255" s="83" t="s">
        <v>265</v>
      </c>
      <c r="C255" s="83" t="s">
        <v>14</v>
      </c>
      <c r="D255" s="83" t="s">
        <v>58</v>
      </c>
      <c r="E255" s="83" t="s">
        <v>21</v>
      </c>
      <c r="F255" s="83" t="s">
        <v>267</v>
      </c>
      <c r="G255" s="83" t="s">
        <v>22</v>
      </c>
      <c r="H255" s="83" t="s">
        <v>18</v>
      </c>
      <c r="I255" s="83">
        <v>1</v>
      </c>
      <c r="J255" s="83" t="s">
        <v>18</v>
      </c>
      <c r="K255" s="83" t="s">
        <v>18</v>
      </c>
      <c r="L255" s="83" t="s">
        <v>18</v>
      </c>
    </row>
    <row r="256" spans="1:12">
      <c r="A256" s="83" t="s">
        <v>268</v>
      </c>
      <c r="B256" s="83" t="s">
        <v>265</v>
      </c>
      <c r="C256" s="83" t="s">
        <v>14</v>
      </c>
      <c r="D256" s="83" t="s">
        <v>58</v>
      </c>
      <c r="E256" s="83" t="s">
        <v>16</v>
      </c>
      <c r="F256" s="83" t="s">
        <v>268</v>
      </c>
      <c r="G256" s="83" t="s">
        <v>17</v>
      </c>
      <c r="H256" s="83">
        <v>1</v>
      </c>
      <c r="I256" s="83" t="s">
        <v>18</v>
      </c>
      <c r="J256" s="83" t="s">
        <v>18</v>
      </c>
      <c r="K256" s="83" t="s">
        <v>18</v>
      </c>
      <c r="L256" s="83" t="s">
        <v>18</v>
      </c>
    </row>
    <row r="257" spans="1:12">
      <c r="A257" s="83" t="s">
        <v>18</v>
      </c>
      <c r="B257" s="83" t="s">
        <v>265</v>
      </c>
      <c r="C257" s="83" t="s">
        <v>14</v>
      </c>
      <c r="D257" s="83" t="s">
        <v>58</v>
      </c>
      <c r="E257" s="83" t="s">
        <v>21</v>
      </c>
      <c r="F257" s="83" t="s">
        <v>18</v>
      </c>
      <c r="G257" s="83" t="s">
        <v>18</v>
      </c>
      <c r="H257" s="83" t="s">
        <v>18</v>
      </c>
      <c r="I257" s="83">
        <v>1</v>
      </c>
      <c r="J257" s="83" t="s">
        <v>18</v>
      </c>
      <c r="K257" s="83" t="s">
        <v>18</v>
      </c>
      <c r="L257" s="83" t="s">
        <v>18</v>
      </c>
    </row>
    <row r="258" spans="1:12">
      <c r="A258" s="83" t="s">
        <v>18</v>
      </c>
      <c r="B258" s="83" t="s">
        <v>265</v>
      </c>
      <c r="C258" s="83" t="s">
        <v>14</v>
      </c>
      <c r="D258" s="83" t="s">
        <v>58</v>
      </c>
      <c r="E258" s="83" t="s">
        <v>21</v>
      </c>
      <c r="F258" s="83" t="s">
        <v>18</v>
      </c>
      <c r="G258" s="83" t="s">
        <v>18</v>
      </c>
      <c r="H258" s="83" t="s">
        <v>18</v>
      </c>
      <c r="I258" s="83">
        <v>1</v>
      </c>
      <c r="J258" s="83" t="s">
        <v>18</v>
      </c>
      <c r="K258" s="83" t="s">
        <v>18</v>
      </c>
      <c r="L258" s="83" t="s">
        <v>18</v>
      </c>
    </row>
    <row r="259" spans="1:12">
      <c r="A259" s="83" t="s">
        <v>18</v>
      </c>
      <c r="B259" s="83" t="s">
        <v>265</v>
      </c>
      <c r="C259" s="83" t="s">
        <v>14</v>
      </c>
      <c r="D259" s="83" t="s">
        <v>58</v>
      </c>
      <c r="E259" s="83" t="s">
        <v>21</v>
      </c>
      <c r="F259" s="83" t="s">
        <v>18</v>
      </c>
      <c r="G259" s="83" t="s">
        <v>18</v>
      </c>
      <c r="H259" s="83">
        <v>1</v>
      </c>
      <c r="I259" s="83" t="s">
        <v>18</v>
      </c>
      <c r="J259" s="83" t="s">
        <v>18</v>
      </c>
      <c r="K259" s="83" t="s">
        <v>18</v>
      </c>
      <c r="L259" s="83" t="s">
        <v>18</v>
      </c>
    </row>
    <row r="260" spans="1:12">
      <c r="A260" s="83" t="s">
        <v>269</v>
      </c>
      <c r="B260" s="83" t="s">
        <v>270</v>
      </c>
      <c r="C260" s="83" t="s">
        <v>14</v>
      </c>
      <c r="D260" s="83" t="s">
        <v>95</v>
      </c>
      <c r="E260" s="83" t="s">
        <v>16</v>
      </c>
      <c r="F260" s="83" t="s">
        <v>269</v>
      </c>
      <c r="G260" s="83" t="s">
        <v>17</v>
      </c>
      <c r="H260" s="83" t="s">
        <v>18</v>
      </c>
      <c r="I260" s="83" t="s">
        <v>18</v>
      </c>
      <c r="J260" s="83" t="s">
        <v>18</v>
      </c>
      <c r="K260" s="83">
        <v>1</v>
      </c>
      <c r="L260" s="83" t="s">
        <v>18</v>
      </c>
    </row>
    <row r="261" spans="1:12">
      <c r="A261" s="83" t="s">
        <v>271</v>
      </c>
      <c r="B261" s="83" t="s">
        <v>270</v>
      </c>
      <c r="C261" s="83" t="s">
        <v>14</v>
      </c>
      <c r="D261" s="83" t="s">
        <v>95</v>
      </c>
      <c r="E261" s="83" t="s">
        <v>272</v>
      </c>
      <c r="F261" s="83" t="s">
        <v>271</v>
      </c>
      <c r="G261" s="83" t="s">
        <v>273</v>
      </c>
      <c r="H261" s="83" t="s">
        <v>18</v>
      </c>
      <c r="I261" s="83" t="s">
        <v>18</v>
      </c>
      <c r="J261" s="83" t="s">
        <v>18</v>
      </c>
      <c r="K261" s="83">
        <v>1</v>
      </c>
      <c r="L261" s="83" t="s">
        <v>18</v>
      </c>
    </row>
    <row r="262" spans="1:12">
      <c r="A262" s="83" t="s">
        <v>274</v>
      </c>
      <c r="B262" s="83" t="s">
        <v>270</v>
      </c>
      <c r="C262" s="83" t="s">
        <v>14</v>
      </c>
      <c r="D262" s="83" t="s">
        <v>95</v>
      </c>
      <c r="E262" s="83" t="s">
        <v>272</v>
      </c>
      <c r="F262" s="83" t="s">
        <v>274</v>
      </c>
      <c r="G262" s="83" t="s">
        <v>273</v>
      </c>
      <c r="H262" s="83" t="s">
        <v>18</v>
      </c>
      <c r="I262" s="83" t="s">
        <v>18</v>
      </c>
      <c r="J262" s="83" t="s">
        <v>18</v>
      </c>
      <c r="K262" s="83">
        <v>1</v>
      </c>
      <c r="L262" s="83" t="s">
        <v>18</v>
      </c>
    </row>
    <row r="263" spans="1:12">
      <c r="A263" s="83" t="s">
        <v>275</v>
      </c>
      <c r="B263" s="83" t="s">
        <v>270</v>
      </c>
      <c r="C263" s="83" t="s">
        <v>14</v>
      </c>
      <c r="D263" s="83" t="s">
        <v>95</v>
      </c>
      <c r="E263" s="83" t="s">
        <v>272</v>
      </c>
      <c r="F263" s="83" t="s">
        <v>275</v>
      </c>
      <c r="G263" s="83" t="s">
        <v>273</v>
      </c>
      <c r="H263" s="83" t="s">
        <v>18</v>
      </c>
      <c r="I263" s="83" t="s">
        <v>18</v>
      </c>
      <c r="J263" s="83" t="s">
        <v>18</v>
      </c>
      <c r="K263" s="83">
        <v>1</v>
      </c>
      <c r="L263" s="83" t="s">
        <v>18</v>
      </c>
    </row>
    <row r="264" spans="1:12">
      <c r="A264" s="83" t="s">
        <v>276</v>
      </c>
      <c r="B264" s="83" t="s">
        <v>270</v>
      </c>
      <c r="C264" s="83" t="s">
        <v>14</v>
      </c>
      <c r="D264" s="83" t="s">
        <v>95</v>
      </c>
      <c r="E264" s="83" t="s">
        <v>272</v>
      </c>
      <c r="F264" s="83" t="s">
        <v>276</v>
      </c>
      <c r="G264" s="83" t="s">
        <v>273</v>
      </c>
      <c r="H264" s="83" t="s">
        <v>18</v>
      </c>
      <c r="I264" s="83" t="s">
        <v>18</v>
      </c>
      <c r="J264" s="83" t="s">
        <v>18</v>
      </c>
      <c r="K264" s="83">
        <v>1</v>
      </c>
      <c r="L264" s="83" t="s">
        <v>18</v>
      </c>
    </row>
    <row r="265" spans="1:12">
      <c r="A265" s="83" t="s">
        <v>277</v>
      </c>
      <c r="B265" s="83" t="s">
        <v>270</v>
      </c>
      <c r="C265" s="83" t="s">
        <v>14</v>
      </c>
      <c r="D265" s="83" t="s">
        <v>95</v>
      </c>
      <c r="E265" s="83" t="s">
        <v>272</v>
      </c>
      <c r="F265" s="83" t="s">
        <v>277</v>
      </c>
      <c r="G265" s="83" t="s">
        <v>273</v>
      </c>
      <c r="H265" s="83" t="s">
        <v>18</v>
      </c>
      <c r="I265" s="83" t="s">
        <v>18</v>
      </c>
      <c r="J265" s="83" t="s">
        <v>18</v>
      </c>
      <c r="K265" s="83">
        <v>1</v>
      </c>
      <c r="L265" s="83" t="s">
        <v>18</v>
      </c>
    </row>
    <row r="266" spans="1:12">
      <c r="A266" s="83" t="s">
        <v>278</v>
      </c>
      <c r="B266" s="83" t="s">
        <v>270</v>
      </c>
      <c r="C266" s="83" t="s">
        <v>14</v>
      </c>
      <c r="D266" s="83" t="s">
        <v>95</v>
      </c>
      <c r="E266" s="83" t="s">
        <v>272</v>
      </c>
      <c r="F266" s="83" t="s">
        <v>278</v>
      </c>
      <c r="G266" s="83" t="s">
        <v>273</v>
      </c>
      <c r="H266" s="83" t="s">
        <v>18</v>
      </c>
      <c r="I266" s="83" t="s">
        <v>18</v>
      </c>
      <c r="J266" s="83" t="s">
        <v>18</v>
      </c>
      <c r="K266" s="83">
        <v>1</v>
      </c>
      <c r="L266" s="83" t="s">
        <v>18</v>
      </c>
    </row>
    <row r="267" spans="1:12">
      <c r="A267" s="83" t="s">
        <v>279</v>
      </c>
      <c r="B267" s="83" t="s">
        <v>270</v>
      </c>
      <c r="C267" s="83" t="s">
        <v>14</v>
      </c>
      <c r="D267" s="83" t="s">
        <v>95</v>
      </c>
      <c r="E267" s="83" t="s">
        <v>272</v>
      </c>
      <c r="F267" s="83" t="s">
        <v>279</v>
      </c>
      <c r="G267" s="83" t="s">
        <v>273</v>
      </c>
      <c r="H267" s="83" t="s">
        <v>18</v>
      </c>
      <c r="I267" s="83" t="s">
        <v>18</v>
      </c>
      <c r="J267" s="83" t="s">
        <v>18</v>
      </c>
      <c r="K267" s="83">
        <v>1</v>
      </c>
      <c r="L267" s="83" t="s">
        <v>18</v>
      </c>
    </row>
    <row r="268" spans="1:12">
      <c r="A268" s="83" t="s">
        <v>280</v>
      </c>
      <c r="B268" s="83" t="s">
        <v>270</v>
      </c>
      <c r="C268" s="83" t="s">
        <v>14</v>
      </c>
      <c r="D268" s="83" t="s">
        <v>95</v>
      </c>
      <c r="E268" s="83" t="s">
        <v>272</v>
      </c>
      <c r="F268" s="83" t="s">
        <v>280</v>
      </c>
      <c r="G268" s="83" t="s">
        <v>273</v>
      </c>
      <c r="H268" s="83" t="s">
        <v>18</v>
      </c>
      <c r="I268" s="83" t="s">
        <v>18</v>
      </c>
      <c r="J268" s="83" t="s">
        <v>18</v>
      </c>
      <c r="K268" s="83">
        <v>1</v>
      </c>
      <c r="L268" s="83" t="s">
        <v>18</v>
      </c>
    </row>
    <row r="269" spans="1:12">
      <c r="A269" s="83" t="s">
        <v>281</v>
      </c>
      <c r="B269" s="83" t="s">
        <v>270</v>
      </c>
      <c r="C269" s="83" t="s">
        <v>14</v>
      </c>
      <c r="D269" s="83" t="s">
        <v>95</v>
      </c>
      <c r="E269" s="83" t="s">
        <v>272</v>
      </c>
      <c r="F269" s="83" t="s">
        <v>281</v>
      </c>
      <c r="G269" s="83" t="s">
        <v>273</v>
      </c>
      <c r="H269" s="83" t="s">
        <v>18</v>
      </c>
      <c r="I269" s="83" t="s">
        <v>18</v>
      </c>
      <c r="J269" s="83" t="s">
        <v>18</v>
      </c>
      <c r="K269" s="83">
        <v>1</v>
      </c>
      <c r="L269" s="83" t="s">
        <v>18</v>
      </c>
    </row>
    <row r="270" spans="1:12">
      <c r="A270" s="83" t="s">
        <v>282</v>
      </c>
      <c r="B270" s="83" t="s">
        <v>270</v>
      </c>
      <c r="C270" s="83" t="s">
        <v>14</v>
      </c>
      <c r="D270" s="83" t="s">
        <v>95</v>
      </c>
      <c r="E270" s="83" t="s">
        <v>272</v>
      </c>
      <c r="F270" s="83" t="s">
        <v>282</v>
      </c>
      <c r="G270" s="83" t="s">
        <v>273</v>
      </c>
      <c r="H270" s="83" t="s">
        <v>18</v>
      </c>
      <c r="I270" s="83" t="s">
        <v>18</v>
      </c>
      <c r="J270" s="83" t="s">
        <v>18</v>
      </c>
      <c r="K270" s="83">
        <v>1</v>
      </c>
      <c r="L270" s="83" t="s">
        <v>18</v>
      </c>
    </row>
    <row r="271" spans="1:12">
      <c r="A271" s="83" t="s">
        <v>283</v>
      </c>
      <c r="B271" s="83" t="s">
        <v>270</v>
      </c>
      <c r="C271" s="83" t="s">
        <v>14</v>
      </c>
      <c r="D271" s="83" t="s">
        <v>95</v>
      </c>
      <c r="E271" s="83" t="s">
        <v>272</v>
      </c>
      <c r="F271" s="83" t="s">
        <v>283</v>
      </c>
      <c r="G271" s="83" t="s">
        <v>273</v>
      </c>
      <c r="H271" s="83" t="s">
        <v>18</v>
      </c>
      <c r="I271" s="83" t="s">
        <v>18</v>
      </c>
      <c r="J271" s="83" t="s">
        <v>18</v>
      </c>
      <c r="K271" s="83">
        <v>1</v>
      </c>
      <c r="L271" s="83" t="s">
        <v>18</v>
      </c>
    </row>
    <row r="272" spans="1:12">
      <c r="A272" s="83" t="s">
        <v>284</v>
      </c>
      <c r="B272" s="83" t="s">
        <v>270</v>
      </c>
      <c r="C272" s="83" t="s">
        <v>14</v>
      </c>
      <c r="D272" s="83" t="s">
        <v>95</v>
      </c>
      <c r="E272" s="83" t="s">
        <v>272</v>
      </c>
      <c r="F272" s="83" t="s">
        <v>284</v>
      </c>
      <c r="G272" s="83" t="s">
        <v>273</v>
      </c>
      <c r="H272" s="83" t="s">
        <v>18</v>
      </c>
      <c r="I272" s="83" t="s">
        <v>18</v>
      </c>
      <c r="J272" s="83" t="s">
        <v>18</v>
      </c>
      <c r="K272" s="83">
        <v>1</v>
      </c>
      <c r="L272" s="83" t="s">
        <v>18</v>
      </c>
    </row>
    <row r="273" spans="1:12">
      <c r="A273" s="83" t="s">
        <v>285</v>
      </c>
      <c r="B273" s="83" t="s">
        <v>270</v>
      </c>
      <c r="C273" s="83" t="s">
        <v>14</v>
      </c>
      <c r="D273" s="83" t="s">
        <v>95</v>
      </c>
      <c r="E273" s="83" t="s">
        <v>272</v>
      </c>
      <c r="F273" s="83" t="s">
        <v>285</v>
      </c>
      <c r="G273" s="83" t="s">
        <v>273</v>
      </c>
      <c r="H273" s="83" t="s">
        <v>18</v>
      </c>
      <c r="I273" s="83" t="s">
        <v>18</v>
      </c>
      <c r="J273" s="83" t="s">
        <v>18</v>
      </c>
      <c r="K273" s="83">
        <v>1</v>
      </c>
      <c r="L273" s="83" t="s">
        <v>18</v>
      </c>
    </row>
    <row r="274" spans="1:12">
      <c r="A274" s="83" t="s">
        <v>286</v>
      </c>
      <c r="B274" s="83" t="s">
        <v>270</v>
      </c>
      <c r="C274" s="83" t="s">
        <v>14</v>
      </c>
      <c r="D274" s="83" t="s">
        <v>95</v>
      </c>
      <c r="E274" s="83" t="s">
        <v>272</v>
      </c>
      <c r="F274" s="83" t="s">
        <v>286</v>
      </c>
      <c r="G274" s="83" t="s">
        <v>273</v>
      </c>
      <c r="H274" s="83" t="s">
        <v>18</v>
      </c>
      <c r="I274" s="83" t="s">
        <v>18</v>
      </c>
      <c r="J274" s="83" t="s">
        <v>18</v>
      </c>
      <c r="K274" s="83">
        <v>1</v>
      </c>
      <c r="L274" s="83" t="s">
        <v>18</v>
      </c>
    </row>
    <row r="275" spans="1:12">
      <c r="A275" s="83" t="s">
        <v>287</v>
      </c>
      <c r="B275" s="83" t="s">
        <v>270</v>
      </c>
      <c r="C275" s="83" t="s">
        <v>14</v>
      </c>
      <c r="D275" s="83" t="s">
        <v>95</v>
      </c>
      <c r="E275" s="83" t="s">
        <v>272</v>
      </c>
      <c r="F275" s="83" t="s">
        <v>287</v>
      </c>
      <c r="G275" s="83" t="s">
        <v>273</v>
      </c>
      <c r="H275" s="83" t="s">
        <v>18</v>
      </c>
      <c r="I275" s="83" t="s">
        <v>18</v>
      </c>
      <c r="J275" s="83" t="s">
        <v>18</v>
      </c>
      <c r="K275" s="83">
        <v>1</v>
      </c>
      <c r="L275" s="83" t="s">
        <v>18</v>
      </c>
    </row>
    <row r="276" spans="1:12">
      <c r="A276" s="83" t="s">
        <v>288</v>
      </c>
      <c r="B276" s="83" t="s">
        <v>270</v>
      </c>
      <c r="C276" s="83" t="s">
        <v>14</v>
      </c>
      <c r="D276" s="83" t="s">
        <v>95</v>
      </c>
      <c r="E276" s="83" t="s">
        <v>272</v>
      </c>
      <c r="F276" s="83" t="s">
        <v>288</v>
      </c>
      <c r="G276" s="83" t="s">
        <v>273</v>
      </c>
      <c r="H276" s="83" t="s">
        <v>18</v>
      </c>
      <c r="I276" s="83" t="s">
        <v>18</v>
      </c>
      <c r="J276" s="83" t="s">
        <v>18</v>
      </c>
      <c r="K276" s="83">
        <v>1</v>
      </c>
      <c r="L276" s="83" t="s">
        <v>18</v>
      </c>
    </row>
    <row r="277" spans="1:12">
      <c r="A277" s="83" t="s">
        <v>289</v>
      </c>
      <c r="B277" s="83" t="s">
        <v>270</v>
      </c>
      <c r="C277" s="83" t="s">
        <v>14</v>
      </c>
      <c r="D277" s="83" t="s">
        <v>95</v>
      </c>
      <c r="E277" s="83" t="s">
        <v>18</v>
      </c>
      <c r="F277" s="83" t="s">
        <v>289</v>
      </c>
      <c r="G277" s="83" t="s">
        <v>273</v>
      </c>
      <c r="H277" s="83" t="s">
        <v>18</v>
      </c>
      <c r="I277" s="83" t="s">
        <v>18</v>
      </c>
      <c r="J277" s="83" t="s">
        <v>18</v>
      </c>
      <c r="K277" s="83">
        <v>1</v>
      </c>
      <c r="L277" s="83" t="s">
        <v>18</v>
      </c>
    </row>
    <row r="278" spans="1:12">
      <c r="A278" s="83" t="s">
        <v>290</v>
      </c>
      <c r="B278" s="83" t="s">
        <v>270</v>
      </c>
      <c r="C278" s="83" t="s">
        <v>14</v>
      </c>
      <c r="D278" s="83" t="s">
        <v>95</v>
      </c>
      <c r="E278" s="83" t="s">
        <v>272</v>
      </c>
      <c r="F278" s="83" t="s">
        <v>290</v>
      </c>
      <c r="G278" s="83" t="s">
        <v>17</v>
      </c>
      <c r="H278" s="83" t="s">
        <v>18</v>
      </c>
      <c r="I278" s="83" t="s">
        <v>18</v>
      </c>
      <c r="J278" s="83" t="s">
        <v>18</v>
      </c>
      <c r="K278" s="83">
        <v>1</v>
      </c>
      <c r="L278" s="83" t="s">
        <v>18</v>
      </c>
    </row>
    <row r="279" spans="1:12">
      <c r="A279" s="83" t="s">
        <v>290</v>
      </c>
      <c r="B279" s="83" t="s">
        <v>270</v>
      </c>
      <c r="C279" s="83" t="s">
        <v>14</v>
      </c>
      <c r="D279" s="83" t="s">
        <v>95</v>
      </c>
      <c r="E279" s="83" t="s">
        <v>16</v>
      </c>
      <c r="F279" s="83" t="s">
        <v>290</v>
      </c>
      <c r="G279" s="83" t="s">
        <v>17</v>
      </c>
      <c r="H279" s="83" t="s">
        <v>18</v>
      </c>
      <c r="I279" s="83" t="s">
        <v>18</v>
      </c>
      <c r="J279" s="83" t="s">
        <v>18</v>
      </c>
      <c r="K279" s="83">
        <v>1</v>
      </c>
      <c r="L279" s="83" t="s">
        <v>18</v>
      </c>
    </row>
    <row r="280" spans="1:12">
      <c r="A280" s="83" t="s">
        <v>291</v>
      </c>
      <c r="B280" s="83" t="s">
        <v>270</v>
      </c>
      <c r="C280" s="83" t="s">
        <v>14</v>
      </c>
      <c r="D280" s="83" t="s">
        <v>95</v>
      </c>
      <c r="E280" s="83" t="s">
        <v>272</v>
      </c>
      <c r="F280" s="83" t="s">
        <v>291</v>
      </c>
      <c r="G280" s="83" t="s">
        <v>273</v>
      </c>
      <c r="H280" s="83" t="s">
        <v>18</v>
      </c>
      <c r="I280" s="83" t="s">
        <v>18</v>
      </c>
      <c r="J280" s="83">
        <v>1</v>
      </c>
      <c r="K280" s="83" t="s">
        <v>18</v>
      </c>
      <c r="L280" s="83" t="s">
        <v>18</v>
      </c>
    </row>
    <row r="281" spans="1:12">
      <c r="A281" s="83" t="s">
        <v>292</v>
      </c>
      <c r="B281" s="83" t="s">
        <v>270</v>
      </c>
      <c r="C281" s="83" t="s">
        <v>14</v>
      </c>
      <c r="D281" s="83" t="s">
        <v>95</v>
      </c>
      <c r="E281" s="83" t="s">
        <v>272</v>
      </c>
      <c r="F281" s="83" t="s">
        <v>292</v>
      </c>
      <c r="G281" s="83" t="s">
        <v>273</v>
      </c>
      <c r="H281" s="83" t="s">
        <v>18</v>
      </c>
      <c r="I281" s="83" t="s">
        <v>18</v>
      </c>
      <c r="J281" s="83" t="s">
        <v>18</v>
      </c>
      <c r="K281" s="83">
        <v>1</v>
      </c>
      <c r="L281" s="83" t="s">
        <v>18</v>
      </c>
    </row>
    <row r="282" spans="1:12">
      <c r="A282" s="83" t="s">
        <v>293</v>
      </c>
      <c r="B282" s="83" t="s">
        <v>270</v>
      </c>
      <c r="C282" s="83" t="s">
        <v>14</v>
      </c>
      <c r="D282" s="83" t="s">
        <v>95</v>
      </c>
      <c r="E282" s="83" t="s">
        <v>248</v>
      </c>
      <c r="F282" s="83" t="s">
        <v>293</v>
      </c>
      <c r="G282" s="83" t="s">
        <v>249</v>
      </c>
      <c r="H282" s="83" t="s">
        <v>18</v>
      </c>
      <c r="I282" s="83" t="s">
        <v>18</v>
      </c>
      <c r="J282" s="83" t="s">
        <v>18</v>
      </c>
      <c r="K282" s="83">
        <v>1</v>
      </c>
      <c r="L282" s="83" t="s">
        <v>18</v>
      </c>
    </row>
    <row r="283" spans="1:12">
      <c r="A283" s="83" t="s">
        <v>294</v>
      </c>
      <c r="B283" s="83" t="s">
        <v>270</v>
      </c>
      <c r="C283" s="83" t="s">
        <v>14</v>
      </c>
      <c r="D283" s="83" t="s">
        <v>95</v>
      </c>
      <c r="E283" s="83" t="s">
        <v>272</v>
      </c>
      <c r="F283" s="83" t="s">
        <v>294</v>
      </c>
      <c r="G283" s="83" t="s">
        <v>273</v>
      </c>
      <c r="H283" s="83">
        <v>1</v>
      </c>
      <c r="I283" s="83">
        <v>2</v>
      </c>
      <c r="J283" s="83" t="s">
        <v>18</v>
      </c>
      <c r="K283" s="83" t="s">
        <v>18</v>
      </c>
      <c r="L283" s="83" t="s">
        <v>18</v>
      </c>
    </row>
    <row r="284" spans="1:12">
      <c r="A284" s="83" t="s">
        <v>18</v>
      </c>
      <c r="B284" s="83" t="s">
        <v>270</v>
      </c>
      <c r="C284" s="83" t="s">
        <v>14</v>
      </c>
      <c r="D284" s="83" t="s">
        <v>95</v>
      </c>
      <c r="E284" s="83" t="s">
        <v>16</v>
      </c>
      <c r="F284" s="83" t="s">
        <v>18</v>
      </c>
      <c r="G284" s="83" t="s">
        <v>18</v>
      </c>
      <c r="H284" s="83">
        <v>1</v>
      </c>
      <c r="I284" s="83">
        <v>1</v>
      </c>
      <c r="J284" s="83" t="s">
        <v>18</v>
      </c>
      <c r="K284" s="83" t="s">
        <v>18</v>
      </c>
      <c r="L284" s="83">
        <v>1</v>
      </c>
    </row>
    <row r="285" spans="1:12">
      <c r="A285" s="83" t="s">
        <v>295</v>
      </c>
      <c r="B285" s="83" t="s">
        <v>270</v>
      </c>
      <c r="C285" s="83" t="s">
        <v>14</v>
      </c>
      <c r="D285" s="83" t="s">
        <v>95</v>
      </c>
      <c r="E285" s="83" t="s">
        <v>248</v>
      </c>
      <c r="F285" s="83" t="s">
        <v>295</v>
      </c>
      <c r="G285" s="83" t="s">
        <v>249</v>
      </c>
      <c r="H285" s="83" t="s">
        <v>18</v>
      </c>
      <c r="I285" s="83" t="s">
        <v>18</v>
      </c>
      <c r="J285" s="83" t="s">
        <v>18</v>
      </c>
      <c r="K285" s="83">
        <v>1</v>
      </c>
      <c r="L285" s="83" t="s">
        <v>18</v>
      </c>
    </row>
    <row r="286" spans="1:12">
      <c r="A286" s="83" t="s">
        <v>296</v>
      </c>
      <c r="B286" s="83" t="s">
        <v>270</v>
      </c>
      <c r="C286" s="83" t="s">
        <v>14</v>
      </c>
      <c r="D286" s="83" t="s">
        <v>95</v>
      </c>
      <c r="E286" s="83" t="s">
        <v>248</v>
      </c>
      <c r="F286" s="83" t="s">
        <v>296</v>
      </c>
      <c r="G286" s="83" t="s">
        <v>249</v>
      </c>
      <c r="H286" s="83" t="s">
        <v>18</v>
      </c>
      <c r="I286" s="83" t="s">
        <v>18</v>
      </c>
      <c r="J286" s="83" t="s">
        <v>18</v>
      </c>
      <c r="K286" s="83">
        <v>1</v>
      </c>
      <c r="L286" s="83" t="s">
        <v>18</v>
      </c>
    </row>
    <row r="287" spans="1:12">
      <c r="A287" s="83" t="s">
        <v>297</v>
      </c>
      <c r="B287" s="83" t="s">
        <v>270</v>
      </c>
      <c r="C287" s="83" t="s">
        <v>14</v>
      </c>
      <c r="D287" s="83" t="s">
        <v>95</v>
      </c>
      <c r="E287" s="83" t="s">
        <v>248</v>
      </c>
      <c r="F287" s="83" t="s">
        <v>297</v>
      </c>
      <c r="G287" s="83" t="s">
        <v>249</v>
      </c>
      <c r="H287" s="83">
        <v>1</v>
      </c>
      <c r="I287" s="83">
        <v>2</v>
      </c>
      <c r="J287" s="83" t="s">
        <v>18</v>
      </c>
      <c r="K287" s="83" t="s">
        <v>18</v>
      </c>
      <c r="L287" s="83" t="s">
        <v>18</v>
      </c>
    </row>
    <row r="288" spans="1:12">
      <c r="A288" s="83" t="s">
        <v>298</v>
      </c>
      <c r="B288" s="83" t="s">
        <v>270</v>
      </c>
      <c r="C288" s="83" t="s">
        <v>14</v>
      </c>
      <c r="D288" s="83" t="s">
        <v>95</v>
      </c>
      <c r="E288" s="83" t="s">
        <v>248</v>
      </c>
      <c r="F288" s="83" t="s">
        <v>298</v>
      </c>
      <c r="G288" s="83" t="s">
        <v>249</v>
      </c>
      <c r="H288" s="83" t="s">
        <v>18</v>
      </c>
      <c r="I288" s="83" t="s">
        <v>18</v>
      </c>
      <c r="J288" s="83" t="s">
        <v>18</v>
      </c>
      <c r="K288" s="83">
        <v>1</v>
      </c>
      <c r="L288" s="83" t="s">
        <v>18</v>
      </c>
    </row>
    <row r="289" spans="1:12">
      <c r="A289" s="83" t="s">
        <v>299</v>
      </c>
      <c r="B289" s="83" t="s">
        <v>270</v>
      </c>
      <c r="C289" s="83" t="s">
        <v>14</v>
      </c>
      <c r="D289" s="83" t="s">
        <v>95</v>
      </c>
      <c r="E289" s="83" t="s">
        <v>272</v>
      </c>
      <c r="F289" s="83" t="s">
        <v>299</v>
      </c>
      <c r="G289" s="83" t="s">
        <v>273</v>
      </c>
      <c r="H289" s="83">
        <v>1</v>
      </c>
      <c r="I289" s="83">
        <v>2</v>
      </c>
      <c r="J289" s="83" t="s">
        <v>18</v>
      </c>
      <c r="K289" s="83" t="s">
        <v>18</v>
      </c>
      <c r="L289" s="83" t="s">
        <v>18</v>
      </c>
    </row>
    <row r="290" spans="1:12">
      <c r="A290" s="83" t="s">
        <v>300</v>
      </c>
      <c r="B290" s="83" t="s">
        <v>270</v>
      </c>
      <c r="C290" s="83" t="s">
        <v>14</v>
      </c>
      <c r="D290" s="83" t="s">
        <v>95</v>
      </c>
      <c r="E290" s="83" t="s">
        <v>272</v>
      </c>
      <c r="F290" s="83" t="s">
        <v>300</v>
      </c>
      <c r="G290" s="83" t="s">
        <v>273</v>
      </c>
      <c r="H290" s="83">
        <v>1</v>
      </c>
      <c r="I290" s="83">
        <v>2</v>
      </c>
      <c r="J290" s="83" t="s">
        <v>18</v>
      </c>
      <c r="K290" s="83" t="s">
        <v>18</v>
      </c>
      <c r="L290" s="83" t="s">
        <v>18</v>
      </c>
    </row>
    <row r="291" spans="1:12">
      <c r="A291" s="83" t="s">
        <v>301</v>
      </c>
      <c r="B291" s="83" t="s">
        <v>270</v>
      </c>
      <c r="C291" s="83" t="s">
        <v>14</v>
      </c>
      <c r="D291" s="83" t="s">
        <v>95</v>
      </c>
      <c r="E291" s="83" t="s">
        <v>272</v>
      </c>
      <c r="F291" s="83" t="s">
        <v>301</v>
      </c>
      <c r="G291" s="83" t="s">
        <v>273</v>
      </c>
      <c r="H291" s="83">
        <v>1</v>
      </c>
      <c r="I291" s="83">
        <v>2</v>
      </c>
      <c r="J291" s="83" t="s">
        <v>18</v>
      </c>
      <c r="K291" s="83" t="s">
        <v>18</v>
      </c>
      <c r="L291" s="83" t="s">
        <v>18</v>
      </c>
    </row>
    <row r="292" spans="1:12">
      <c r="A292" s="83" t="s">
        <v>302</v>
      </c>
      <c r="B292" s="83" t="s">
        <v>270</v>
      </c>
      <c r="C292" s="83" t="s">
        <v>14</v>
      </c>
      <c r="D292" s="83" t="s">
        <v>95</v>
      </c>
      <c r="E292" s="83" t="s">
        <v>272</v>
      </c>
      <c r="F292" s="83" t="s">
        <v>302</v>
      </c>
      <c r="G292" s="83" t="s">
        <v>273</v>
      </c>
      <c r="H292" s="83">
        <v>1</v>
      </c>
      <c r="I292" s="83">
        <v>2</v>
      </c>
      <c r="J292" s="83" t="s">
        <v>18</v>
      </c>
      <c r="K292" s="83" t="s">
        <v>18</v>
      </c>
      <c r="L292" s="83" t="s">
        <v>18</v>
      </c>
    </row>
    <row r="293" spans="1:12">
      <c r="A293" s="83" t="s">
        <v>303</v>
      </c>
      <c r="B293" s="83" t="s">
        <v>270</v>
      </c>
      <c r="C293" s="83" t="s">
        <v>14</v>
      </c>
      <c r="D293" s="83" t="s">
        <v>95</v>
      </c>
      <c r="E293" s="83" t="s">
        <v>272</v>
      </c>
      <c r="F293" s="83" t="s">
        <v>303</v>
      </c>
      <c r="G293" s="83" t="s">
        <v>273</v>
      </c>
      <c r="H293" s="83">
        <v>1</v>
      </c>
      <c r="I293" s="83">
        <v>2</v>
      </c>
      <c r="J293" s="83" t="s">
        <v>18</v>
      </c>
      <c r="K293" s="83" t="s">
        <v>18</v>
      </c>
      <c r="L293" s="83" t="s">
        <v>18</v>
      </c>
    </row>
    <row r="294" spans="1:12">
      <c r="A294" s="83" t="s">
        <v>304</v>
      </c>
      <c r="B294" s="83" t="s">
        <v>270</v>
      </c>
      <c r="C294" s="83" t="s">
        <v>14</v>
      </c>
      <c r="D294" s="83" t="s">
        <v>95</v>
      </c>
      <c r="E294" s="83" t="s">
        <v>272</v>
      </c>
      <c r="F294" s="83" t="s">
        <v>304</v>
      </c>
      <c r="G294" s="83" t="s">
        <v>273</v>
      </c>
      <c r="H294" s="83">
        <v>1</v>
      </c>
      <c r="I294" s="83">
        <v>2</v>
      </c>
      <c r="J294" s="83" t="s">
        <v>18</v>
      </c>
      <c r="K294" s="83" t="s">
        <v>18</v>
      </c>
      <c r="L294" s="83" t="s">
        <v>18</v>
      </c>
    </row>
    <row r="295" spans="1:12">
      <c r="A295" s="83" t="s">
        <v>305</v>
      </c>
      <c r="B295" s="83" t="s">
        <v>270</v>
      </c>
      <c r="C295" s="83" t="s">
        <v>14</v>
      </c>
      <c r="D295" s="83" t="s">
        <v>95</v>
      </c>
      <c r="E295" s="83" t="s">
        <v>272</v>
      </c>
      <c r="F295" s="83" t="s">
        <v>305</v>
      </c>
      <c r="G295" s="83" t="s">
        <v>273</v>
      </c>
      <c r="H295" s="83">
        <v>1</v>
      </c>
      <c r="I295" s="83">
        <v>2</v>
      </c>
      <c r="J295" s="83" t="s">
        <v>18</v>
      </c>
      <c r="K295" s="83" t="s">
        <v>18</v>
      </c>
      <c r="L295" s="83" t="s">
        <v>18</v>
      </c>
    </row>
    <row r="296" spans="1:12">
      <c r="A296" s="83" t="s">
        <v>306</v>
      </c>
      <c r="B296" s="83" t="s">
        <v>270</v>
      </c>
      <c r="C296" s="83" t="s">
        <v>14</v>
      </c>
      <c r="D296" s="83" t="s">
        <v>95</v>
      </c>
      <c r="E296" s="83" t="s">
        <v>272</v>
      </c>
      <c r="F296" s="83" t="s">
        <v>306</v>
      </c>
      <c r="G296" s="83" t="s">
        <v>273</v>
      </c>
      <c r="H296" s="83">
        <v>1</v>
      </c>
      <c r="I296" s="83">
        <v>2</v>
      </c>
      <c r="J296" s="83" t="s">
        <v>18</v>
      </c>
      <c r="K296" s="83" t="s">
        <v>18</v>
      </c>
      <c r="L296" s="83" t="s">
        <v>18</v>
      </c>
    </row>
    <row r="297" spans="1:12">
      <c r="A297" s="83" t="s">
        <v>307</v>
      </c>
      <c r="B297" s="83" t="s">
        <v>270</v>
      </c>
      <c r="C297" s="83" t="s">
        <v>14</v>
      </c>
      <c r="D297" s="83" t="s">
        <v>95</v>
      </c>
      <c r="E297" s="83" t="s">
        <v>272</v>
      </c>
      <c r="F297" s="83" t="s">
        <v>307</v>
      </c>
      <c r="G297" s="83" t="s">
        <v>273</v>
      </c>
      <c r="H297" s="83">
        <v>1</v>
      </c>
      <c r="I297" s="83">
        <v>2</v>
      </c>
      <c r="J297" s="83" t="s">
        <v>18</v>
      </c>
      <c r="K297" s="83" t="s">
        <v>18</v>
      </c>
      <c r="L297" s="83" t="s">
        <v>18</v>
      </c>
    </row>
    <row r="298" spans="1:12">
      <c r="A298" s="83" t="s">
        <v>308</v>
      </c>
      <c r="B298" s="83" t="s">
        <v>270</v>
      </c>
      <c r="C298" s="83" t="s">
        <v>14</v>
      </c>
      <c r="D298" s="83" t="s">
        <v>95</v>
      </c>
      <c r="E298" s="83" t="s">
        <v>272</v>
      </c>
      <c r="F298" s="83" t="s">
        <v>308</v>
      </c>
      <c r="G298" s="83" t="s">
        <v>273</v>
      </c>
      <c r="H298" s="83">
        <v>1</v>
      </c>
      <c r="I298" s="83">
        <v>2</v>
      </c>
      <c r="J298" s="83" t="s">
        <v>18</v>
      </c>
      <c r="K298" s="83" t="s">
        <v>18</v>
      </c>
      <c r="L298" s="83" t="s">
        <v>18</v>
      </c>
    </row>
    <row r="299" spans="1:12">
      <c r="A299" s="83" t="s">
        <v>309</v>
      </c>
      <c r="B299" s="83" t="s">
        <v>270</v>
      </c>
      <c r="C299" s="83" t="s">
        <v>14</v>
      </c>
      <c r="D299" s="83" t="s">
        <v>95</v>
      </c>
      <c r="E299" s="83" t="s">
        <v>272</v>
      </c>
      <c r="F299" s="83" t="s">
        <v>309</v>
      </c>
      <c r="G299" s="83" t="s">
        <v>273</v>
      </c>
      <c r="H299" s="83">
        <v>1</v>
      </c>
      <c r="I299" s="83">
        <v>2</v>
      </c>
      <c r="J299" s="83" t="s">
        <v>18</v>
      </c>
      <c r="K299" s="83" t="s">
        <v>18</v>
      </c>
      <c r="L299" s="83" t="s">
        <v>18</v>
      </c>
    </row>
    <row r="300" spans="1:12">
      <c r="A300" s="83" t="s">
        <v>310</v>
      </c>
      <c r="B300" s="83" t="s">
        <v>270</v>
      </c>
      <c r="C300" s="83" t="s">
        <v>14</v>
      </c>
      <c r="D300" s="83" t="s">
        <v>95</v>
      </c>
      <c r="E300" s="83" t="s">
        <v>272</v>
      </c>
      <c r="F300" s="83" t="s">
        <v>310</v>
      </c>
      <c r="G300" s="83" t="s">
        <v>273</v>
      </c>
      <c r="H300" s="83">
        <v>1</v>
      </c>
      <c r="I300" s="83">
        <v>2</v>
      </c>
      <c r="J300" s="83" t="s">
        <v>18</v>
      </c>
      <c r="K300" s="83" t="s">
        <v>18</v>
      </c>
      <c r="L300" s="83" t="s">
        <v>18</v>
      </c>
    </row>
    <row r="301" spans="1:12">
      <c r="A301" s="83" t="s">
        <v>311</v>
      </c>
      <c r="B301" s="83" t="s">
        <v>270</v>
      </c>
      <c r="C301" s="83" t="s">
        <v>14</v>
      </c>
      <c r="D301" s="83" t="s">
        <v>95</v>
      </c>
      <c r="E301" s="83" t="s">
        <v>272</v>
      </c>
      <c r="F301" s="83" t="s">
        <v>311</v>
      </c>
      <c r="G301" s="83" t="s">
        <v>273</v>
      </c>
      <c r="H301" s="83">
        <v>1</v>
      </c>
      <c r="I301" s="83">
        <v>2</v>
      </c>
      <c r="J301" s="83" t="s">
        <v>18</v>
      </c>
      <c r="K301" s="83" t="s">
        <v>18</v>
      </c>
      <c r="L301" s="83" t="s">
        <v>18</v>
      </c>
    </row>
    <row r="302" spans="1:12">
      <c r="A302" s="83" t="s">
        <v>312</v>
      </c>
      <c r="B302" s="83" t="s">
        <v>270</v>
      </c>
      <c r="C302" s="83" t="s">
        <v>14</v>
      </c>
      <c r="D302" s="83" t="s">
        <v>95</v>
      </c>
      <c r="E302" s="83" t="s">
        <v>272</v>
      </c>
      <c r="F302" s="83" t="s">
        <v>312</v>
      </c>
      <c r="G302" s="83" t="s">
        <v>273</v>
      </c>
      <c r="H302" s="83">
        <v>1</v>
      </c>
      <c r="I302" s="83">
        <v>2</v>
      </c>
      <c r="J302" s="83" t="s">
        <v>18</v>
      </c>
      <c r="K302" s="83" t="s">
        <v>18</v>
      </c>
      <c r="L302" s="83" t="s">
        <v>18</v>
      </c>
    </row>
    <row r="303" spans="1:12">
      <c r="A303" s="83" t="s">
        <v>313</v>
      </c>
      <c r="B303" s="83" t="s">
        <v>270</v>
      </c>
      <c r="C303" s="83" t="s">
        <v>14</v>
      </c>
      <c r="D303" s="83" t="s">
        <v>95</v>
      </c>
      <c r="E303" s="83" t="s">
        <v>272</v>
      </c>
      <c r="F303" s="83" t="s">
        <v>313</v>
      </c>
      <c r="G303" s="83" t="s">
        <v>273</v>
      </c>
      <c r="H303" s="83">
        <v>1</v>
      </c>
      <c r="I303" s="83">
        <v>2</v>
      </c>
      <c r="J303" s="83" t="s">
        <v>18</v>
      </c>
      <c r="K303" s="83" t="s">
        <v>18</v>
      </c>
      <c r="L303" s="83" t="s">
        <v>18</v>
      </c>
    </row>
    <row r="304" spans="1:12">
      <c r="A304" s="83" t="s">
        <v>314</v>
      </c>
      <c r="B304" s="83" t="s">
        <v>270</v>
      </c>
      <c r="C304" s="83" t="s">
        <v>14</v>
      </c>
      <c r="D304" s="83" t="s">
        <v>95</v>
      </c>
      <c r="E304" s="83" t="s">
        <v>272</v>
      </c>
      <c r="F304" s="83" t="s">
        <v>314</v>
      </c>
      <c r="G304" s="83" t="s">
        <v>273</v>
      </c>
      <c r="H304" s="83">
        <v>1</v>
      </c>
      <c r="I304" s="83">
        <v>2</v>
      </c>
      <c r="J304" s="83" t="s">
        <v>18</v>
      </c>
      <c r="K304" s="83" t="s">
        <v>18</v>
      </c>
      <c r="L304" s="83" t="s">
        <v>18</v>
      </c>
    </row>
    <row r="305" spans="1:12">
      <c r="A305" s="83" t="s">
        <v>315</v>
      </c>
      <c r="B305" s="83" t="s">
        <v>270</v>
      </c>
      <c r="C305" s="83" t="s">
        <v>14</v>
      </c>
      <c r="D305" s="83" t="s">
        <v>95</v>
      </c>
      <c r="E305" s="83" t="s">
        <v>272</v>
      </c>
      <c r="F305" s="83" t="s">
        <v>315</v>
      </c>
      <c r="G305" s="83" t="s">
        <v>273</v>
      </c>
      <c r="H305" s="83">
        <v>1</v>
      </c>
      <c r="I305" s="83">
        <v>2</v>
      </c>
      <c r="J305" s="83" t="s">
        <v>18</v>
      </c>
      <c r="K305" s="83" t="s">
        <v>18</v>
      </c>
      <c r="L305" s="83" t="s">
        <v>18</v>
      </c>
    </row>
    <row r="306" spans="1:12">
      <c r="A306" s="83" t="s">
        <v>316</v>
      </c>
      <c r="B306" s="83" t="s">
        <v>270</v>
      </c>
      <c r="C306" s="83" t="s">
        <v>14</v>
      </c>
      <c r="D306" s="83" t="s">
        <v>95</v>
      </c>
      <c r="E306" s="83" t="s">
        <v>272</v>
      </c>
      <c r="F306" s="83" t="s">
        <v>316</v>
      </c>
      <c r="G306" s="83" t="s">
        <v>273</v>
      </c>
      <c r="H306" s="83">
        <v>1</v>
      </c>
      <c r="I306" s="83">
        <v>2</v>
      </c>
      <c r="J306" s="83" t="s">
        <v>18</v>
      </c>
      <c r="K306" s="83" t="s">
        <v>18</v>
      </c>
      <c r="L306" s="83" t="s">
        <v>18</v>
      </c>
    </row>
    <row r="307" spans="1:12">
      <c r="A307" s="83" t="s">
        <v>317</v>
      </c>
      <c r="B307" s="83" t="s">
        <v>270</v>
      </c>
      <c r="C307" s="83" t="s">
        <v>14</v>
      </c>
      <c r="D307" s="83" t="s">
        <v>95</v>
      </c>
      <c r="E307" s="83" t="s">
        <v>272</v>
      </c>
      <c r="F307" s="83" t="s">
        <v>317</v>
      </c>
      <c r="G307" s="83" t="s">
        <v>273</v>
      </c>
      <c r="H307" s="83">
        <v>1</v>
      </c>
      <c r="I307" s="83">
        <v>2</v>
      </c>
      <c r="J307" s="83" t="s">
        <v>18</v>
      </c>
      <c r="K307" s="83" t="s">
        <v>18</v>
      </c>
      <c r="L307" s="83" t="s">
        <v>18</v>
      </c>
    </row>
    <row r="308" spans="1:12">
      <c r="A308" s="83" t="s">
        <v>318</v>
      </c>
      <c r="B308" s="83" t="s">
        <v>270</v>
      </c>
      <c r="C308" s="83" t="s">
        <v>14</v>
      </c>
      <c r="D308" s="83" t="s">
        <v>95</v>
      </c>
      <c r="E308" s="83" t="s">
        <v>272</v>
      </c>
      <c r="F308" s="83" t="s">
        <v>318</v>
      </c>
      <c r="G308" s="83" t="s">
        <v>273</v>
      </c>
      <c r="H308" s="83">
        <v>1</v>
      </c>
      <c r="I308" s="83">
        <v>2</v>
      </c>
      <c r="J308" s="83" t="s">
        <v>18</v>
      </c>
      <c r="K308" s="83" t="s">
        <v>18</v>
      </c>
      <c r="L308" s="83" t="s">
        <v>18</v>
      </c>
    </row>
    <row r="309" spans="1:12">
      <c r="A309" s="83" t="s">
        <v>319</v>
      </c>
      <c r="B309" s="83" t="s">
        <v>270</v>
      </c>
      <c r="C309" s="83" t="s">
        <v>14</v>
      </c>
      <c r="D309" s="83" t="s">
        <v>95</v>
      </c>
      <c r="E309" s="83" t="s">
        <v>272</v>
      </c>
      <c r="F309" s="83" t="s">
        <v>319</v>
      </c>
      <c r="G309" s="83" t="s">
        <v>273</v>
      </c>
      <c r="H309" s="83">
        <v>1</v>
      </c>
      <c r="I309" s="83">
        <v>2</v>
      </c>
      <c r="J309" s="83" t="s">
        <v>18</v>
      </c>
      <c r="K309" s="83" t="s">
        <v>18</v>
      </c>
      <c r="L309" s="83" t="s">
        <v>18</v>
      </c>
    </row>
    <row r="310" spans="1:12">
      <c r="A310" s="83" t="s">
        <v>320</v>
      </c>
      <c r="B310" s="83" t="s">
        <v>270</v>
      </c>
      <c r="C310" s="83" t="s">
        <v>14</v>
      </c>
      <c r="D310" s="83" t="s">
        <v>95</v>
      </c>
      <c r="E310" s="83" t="s">
        <v>272</v>
      </c>
      <c r="F310" s="83" t="s">
        <v>320</v>
      </c>
      <c r="G310" s="83" t="s">
        <v>273</v>
      </c>
      <c r="H310" s="83">
        <v>1</v>
      </c>
      <c r="I310" s="83">
        <v>2</v>
      </c>
      <c r="J310" s="83" t="s">
        <v>18</v>
      </c>
      <c r="K310" s="83" t="s">
        <v>18</v>
      </c>
      <c r="L310" s="83" t="s">
        <v>18</v>
      </c>
    </row>
    <row r="311" spans="1:12">
      <c r="A311" s="83" t="s">
        <v>321</v>
      </c>
      <c r="B311" s="83" t="s">
        <v>270</v>
      </c>
      <c r="C311" s="83" t="s">
        <v>14</v>
      </c>
      <c r="D311" s="83" t="s">
        <v>95</v>
      </c>
      <c r="E311" s="83" t="s">
        <v>272</v>
      </c>
      <c r="F311" s="83" t="s">
        <v>321</v>
      </c>
      <c r="G311" s="83" t="s">
        <v>273</v>
      </c>
      <c r="H311" s="83">
        <v>1</v>
      </c>
      <c r="I311" s="83">
        <v>2</v>
      </c>
      <c r="J311" s="83" t="s">
        <v>18</v>
      </c>
      <c r="K311" s="83" t="s">
        <v>18</v>
      </c>
      <c r="L311" s="83" t="s">
        <v>18</v>
      </c>
    </row>
    <row r="312" spans="1:12">
      <c r="A312" s="83" t="s">
        <v>322</v>
      </c>
      <c r="B312" s="83" t="s">
        <v>270</v>
      </c>
      <c r="C312" s="83" t="s">
        <v>14</v>
      </c>
      <c r="D312" s="83" t="s">
        <v>95</v>
      </c>
      <c r="E312" s="83" t="s">
        <v>272</v>
      </c>
      <c r="F312" s="83" t="s">
        <v>322</v>
      </c>
      <c r="G312" s="83" t="s">
        <v>273</v>
      </c>
      <c r="H312" s="83">
        <v>1</v>
      </c>
      <c r="I312" s="83">
        <v>2</v>
      </c>
      <c r="J312" s="83" t="s">
        <v>18</v>
      </c>
      <c r="K312" s="83" t="s">
        <v>18</v>
      </c>
      <c r="L312" s="83" t="s">
        <v>18</v>
      </c>
    </row>
    <row r="313" spans="1:12">
      <c r="A313" s="83" t="s">
        <v>323</v>
      </c>
      <c r="B313" s="83" t="s">
        <v>270</v>
      </c>
      <c r="C313" s="83" t="s">
        <v>14</v>
      </c>
      <c r="D313" s="83" t="s">
        <v>95</v>
      </c>
      <c r="E313" s="83" t="s">
        <v>272</v>
      </c>
      <c r="F313" s="83" t="s">
        <v>323</v>
      </c>
      <c r="G313" s="83" t="s">
        <v>273</v>
      </c>
      <c r="H313" s="83">
        <v>1</v>
      </c>
      <c r="I313" s="83">
        <v>2</v>
      </c>
      <c r="J313" s="83" t="s">
        <v>18</v>
      </c>
      <c r="K313" s="83" t="s">
        <v>18</v>
      </c>
      <c r="L313" s="83" t="s">
        <v>18</v>
      </c>
    </row>
    <row r="314" spans="1:12">
      <c r="A314" s="83" t="s">
        <v>324</v>
      </c>
      <c r="B314" s="83" t="s">
        <v>270</v>
      </c>
      <c r="C314" s="83" t="s">
        <v>14</v>
      </c>
      <c r="D314" s="83" t="s">
        <v>95</v>
      </c>
      <c r="E314" s="83" t="s">
        <v>272</v>
      </c>
      <c r="F314" s="83" t="s">
        <v>324</v>
      </c>
      <c r="G314" s="83" t="s">
        <v>273</v>
      </c>
      <c r="H314" s="83">
        <v>1</v>
      </c>
      <c r="I314" s="83">
        <v>2</v>
      </c>
      <c r="J314" s="83" t="s">
        <v>18</v>
      </c>
      <c r="K314" s="83" t="s">
        <v>18</v>
      </c>
      <c r="L314" s="83" t="s">
        <v>18</v>
      </c>
    </row>
    <row r="315" spans="1:12">
      <c r="A315" s="83" t="s">
        <v>325</v>
      </c>
      <c r="B315" s="83" t="s">
        <v>270</v>
      </c>
      <c r="C315" s="83" t="s">
        <v>14</v>
      </c>
      <c r="D315" s="83" t="s">
        <v>95</v>
      </c>
      <c r="E315" s="83" t="s">
        <v>272</v>
      </c>
      <c r="F315" s="83" t="s">
        <v>325</v>
      </c>
      <c r="G315" s="83" t="s">
        <v>273</v>
      </c>
      <c r="H315" s="83">
        <v>1</v>
      </c>
      <c r="I315" s="83">
        <v>2</v>
      </c>
      <c r="J315" s="83" t="s">
        <v>18</v>
      </c>
      <c r="K315" s="83" t="s">
        <v>18</v>
      </c>
      <c r="L315" s="83" t="s">
        <v>18</v>
      </c>
    </row>
    <row r="316" spans="1:12">
      <c r="A316" s="83" t="s">
        <v>326</v>
      </c>
      <c r="B316" s="83" t="s">
        <v>270</v>
      </c>
      <c r="C316" s="83" t="s">
        <v>14</v>
      </c>
      <c r="D316" s="83" t="s">
        <v>95</v>
      </c>
      <c r="E316" s="83" t="s">
        <v>272</v>
      </c>
      <c r="F316" s="83" t="s">
        <v>326</v>
      </c>
      <c r="G316" s="83" t="s">
        <v>273</v>
      </c>
      <c r="H316" s="83">
        <v>1</v>
      </c>
      <c r="I316" s="83">
        <v>2</v>
      </c>
      <c r="J316" s="83" t="s">
        <v>18</v>
      </c>
      <c r="K316" s="83" t="s">
        <v>18</v>
      </c>
      <c r="L316" s="83" t="s">
        <v>18</v>
      </c>
    </row>
    <row r="317" spans="1:12">
      <c r="A317" s="83" t="s">
        <v>327</v>
      </c>
      <c r="B317" s="83" t="s">
        <v>270</v>
      </c>
      <c r="C317" s="83" t="s">
        <v>14</v>
      </c>
      <c r="D317" s="83" t="s">
        <v>95</v>
      </c>
      <c r="E317" s="83" t="s">
        <v>272</v>
      </c>
      <c r="F317" s="83" t="s">
        <v>327</v>
      </c>
      <c r="G317" s="83" t="s">
        <v>273</v>
      </c>
      <c r="H317" s="83">
        <v>1</v>
      </c>
      <c r="I317" s="83">
        <v>2</v>
      </c>
      <c r="J317" s="83" t="s">
        <v>18</v>
      </c>
      <c r="K317" s="83" t="s">
        <v>18</v>
      </c>
      <c r="L317" s="83" t="s">
        <v>18</v>
      </c>
    </row>
    <row r="318" spans="1:12">
      <c r="A318" s="83" t="s">
        <v>328</v>
      </c>
      <c r="B318" s="83" t="s">
        <v>270</v>
      </c>
      <c r="C318" s="83" t="s">
        <v>14</v>
      </c>
      <c r="D318" s="83" t="s">
        <v>95</v>
      </c>
      <c r="E318" s="83" t="s">
        <v>272</v>
      </c>
      <c r="F318" s="83" t="s">
        <v>328</v>
      </c>
      <c r="G318" s="83" t="s">
        <v>273</v>
      </c>
      <c r="H318" s="83">
        <v>1</v>
      </c>
      <c r="I318" s="83">
        <v>2</v>
      </c>
      <c r="J318" s="83" t="s">
        <v>18</v>
      </c>
      <c r="K318" s="83" t="s">
        <v>18</v>
      </c>
      <c r="L318" s="83" t="s">
        <v>18</v>
      </c>
    </row>
    <row r="319" spans="1:12">
      <c r="A319" s="83" t="s">
        <v>329</v>
      </c>
      <c r="B319" s="83" t="s">
        <v>270</v>
      </c>
      <c r="C319" s="83" t="s">
        <v>14</v>
      </c>
      <c r="D319" s="83" t="s">
        <v>95</v>
      </c>
      <c r="E319" s="83" t="s">
        <v>272</v>
      </c>
      <c r="F319" s="83" t="s">
        <v>329</v>
      </c>
      <c r="G319" s="83" t="s">
        <v>273</v>
      </c>
      <c r="H319" s="83">
        <v>1</v>
      </c>
      <c r="I319" s="83">
        <v>2</v>
      </c>
      <c r="J319" s="83" t="s">
        <v>18</v>
      </c>
      <c r="K319" s="83" t="s">
        <v>18</v>
      </c>
      <c r="L319" s="83" t="s">
        <v>18</v>
      </c>
    </row>
    <row r="320" spans="1:12">
      <c r="A320" s="83" t="s">
        <v>330</v>
      </c>
      <c r="B320" s="83" t="s">
        <v>270</v>
      </c>
      <c r="C320" s="83" t="s">
        <v>14</v>
      </c>
      <c r="D320" s="83" t="s">
        <v>95</v>
      </c>
      <c r="E320" s="83" t="s">
        <v>272</v>
      </c>
      <c r="F320" s="83" t="s">
        <v>330</v>
      </c>
      <c r="G320" s="83" t="s">
        <v>273</v>
      </c>
      <c r="H320" s="83">
        <v>1</v>
      </c>
      <c r="I320" s="83">
        <v>2</v>
      </c>
      <c r="J320" s="83" t="s">
        <v>18</v>
      </c>
      <c r="K320" s="83" t="s">
        <v>18</v>
      </c>
      <c r="L320" s="83" t="s">
        <v>18</v>
      </c>
    </row>
    <row r="321" spans="1:12">
      <c r="A321" s="83" t="s">
        <v>18</v>
      </c>
      <c r="B321" s="83" t="s">
        <v>270</v>
      </c>
      <c r="C321" s="83" t="s">
        <v>14</v>
      </c>
      <c r="D321" s="83" t="s">
        <v>95</v>
      </c>
      <c r="E321" s="83" t="s">
        <v>272</v>
      </c>
      <c r="F321" s="83" t="s">
        <v>18</v>
      </c>
      <c r="G321" s="83" t="s">
        <v>18</v>
      </c>
      <c r="H321" s="83">
        <v>1</v>
      </c>
      <c r="I321" s="83">
        <v>2</v>
      </c>
      <c r="J321" s="83" t="s">
        <v>18</v>
      </c>
      <c r="K321" s="83" t="s">
        <v>18</v>
      </c>
      <c r="L321" s="83" t="s">
        <v>18</v>
      </c>
    </row>
    <row r="322" spans="1:12">
      <c r="A322" s="83" t="s">
        <v>18</v>
      </c>
      <c r="B322" s="83" t="s">
        <v>270</v>
      </c>
      <c r="C322" s="83" t="s">
        <v>14</v>
      </c>
      <c r="D322" s="83" t="s">
        <v>95</v>
      </c>
      <c r="E322" s="83" t="s">
        <v>272</v>
      </c>
      <c r="F322" s="83" t="s">
        <v>18</v>
      </c>
      <c r="G322" s="83" t="s">
        <v>18</v>
      </c>
      <c r="H322" s="83">
        <v>1</v>
      </c>
      <c r="I322" s="83">
        <v>2</v>
      </c>
      <c r="J322" s="83" t="s">
        <v>18</v>
      </c>
      <c r="K322" s="83" t="s">
        <v>18</v>
      </c>
      <c r="L322" s="83" t="s">
        <v>18</v>
      </c>
    </row>
    <row r="323" spans="1:12">
      <c r="A323" s="83" t="s">
        <v>18</v>
      </c>
      <c r="B323" s="83" t="s">
        <v>270</v>
      </c>
      <c r="C323" s="83" t="s">
        <v>14</v>
      </c>
      <c r="D323" s="83" t="s">
        <v>95</v>
      </c>
      <c r="E323" s="83" t="s">
        <v>272</v>
      </c>
      <c r="F323" s="83" t="s">
        <v>18</v>
      </c>
      <c r="G323" s="83" t="s">
        <v>18</v>
      </c>
      <c r="H323" s="83">
        <v>1</v>
      </c>
      <c r="I323" s="83">
        <v>2</v>
      </c>
      <c r="J323" s="83" t="s">
        <v>18</v>
      </c>
      <c r="K323" s="83" t="s">
        <v>18</v>
      </c>
      <c r="L323" s="83" t="s">
        <v>18</v>
      </c>
    </row>
    <row r="324" spans="1:12">
      <c r="A324" s="83" t="s">
        <v>18</v>
      </c>
      <c r="B324" s="83" t="s">
        <v>270</v>
      </c>
      <c r="C324" s="83" t="s">
        <v>14</v>
      </c>
      <c r="D324" s="83" t="s">
        <v>95</v>
      </c>
      <c r="E324" s="83" t="s">
        <v>272</v>
      </c>
      <c r="F324" s="83" t="s">
        <v>18</v>
      </c>
      <c r="G324" s="83" t="s">
        <v>18</v>
      </c>
      <c r="H324" s="83">
        <v>1</v>
      </c>
      <c r="I324" s="83">
        <v>2</v>
      </c>
      <c r="J324" s="83" t="s">
        <v>18</v>
      </c>
      <c r="K324" s="83" t="s">
        <v>18</v>
      </c>
      <c r="L324" s="83" t="s">
        <v>18</v>
      </c>
    </row>
    <row r="325" spans="1:12">
      <c r="A325" s="83" t="s">
        <v>18</v>
      </c>
      <c r="B325" s="83" t="s">
        <v>270</v>
      </c>
      <c r="C325" s="83" t="s">
        <v>14</v>
      </c>
      <c r="D325" s="83" t="s">
        <v>95</v>
      </c>
      <c r="E325" s="83" t="s">
        <v>331</v>
      </c>
      <c r="F325" s="83" t="s">
        <v>18</v>
      </c>
      <c r="G325" s="83" t="s">
        <v>18</v>
      </c>
      <c r="H325" s="83" t="s">
        <v>18</v>
      </c>
      <c r="I325" s="83">
        <v>1</v>
      </c>
      <c r="J325" s="83" t="s">
        <v>18</v>
      </c>
      <c r="K325" s="83" t="s">
        <v>18</v>
      </c>
      <c r="L325" s="83" t="s">
        <v>18</v>
      </c>
    </row>
    <row r="326" spans="1:12">
      <c r="A326" s="83" t="s">
        <v>18</v>
      </c>
      <c r="B326" s="83" t="s">
        <v>270</v>
      </c>
      <c r="C326" s="83" t="s">
        <v>14</v>
      </c>
      <c r="D326" s="83" t="s">
        <v>95</v>
      </c>
      <c r="E326" s="83" t="s">
        <v>331</v>
      </c>
      <c r="F326" s="83" t="s">
        <v>18</v>
      </c>
      <c r="G326" s="83" t="s">
        <v>18</v>
      </c>
      <c r="H326" s="83" t="s">
        <v>18</v>
      </c>
      <c r="I326" s="83">
        <v>1</v>
      </c>
      <c r="J326" s="83" t="s">
        <v>18</v>
      </c>
      <c r="K326" s="83" t="s">
        <v>18</v>
      </c>
      <c r="L326" s="83" t="s">
        <v>18</v>
      </c>
    </row>
    <row r="327" spans="1:12">
      <c r="A327" s="83" t="s">
        <v>18</v>
      </c>
      <c r="B327" s="83" t="s">
        <v>270</v>
      </c>
      <c r="C327" s="83" t="s">
        <v>14</v>
      </c>
      <c r="D327" s="83" t="s">
        <v>95</v>
      </c>
      <c r="E327" s="83" t="s">
        <v>331</v>
      </c>
      <c r="F327" s="83" t="s">
        <v>18</v>
      </c>
      <c r="G327" s="83" t="s">
        <v>18</v>
      </c>
      <c r="H327" s="83" t="s">
        <v>18</v>
      </c>
      <c r="I327" s="83">
        <v>1</v>
      </c>
      <c r="J327" s="83" t="s">
        <v>18</v>
      </c>
      <c r="K327" s="83" t="s">
        <v>18</v>
      </c>
      <c r="L327" s="83" t="s">
        <v>18</v>
      </c>
    </row>
    <row r="328" spans="1:12">
      <c r="A328" s="83" t="s">
        <v>18</v>
      </c>
      <c r="B328" s="83" t="s">
        <v>270</v>
      </c>
      <c r="C328" s="83" t="s">
        <v>14</v>
      </c>
      <c r="D328" s="83" t="s">
        <v>95</v>
      </c>
      <c r="E328" s="83" t="s">
        <v>331</v>
      </c>
      <c r="F328" s="83" t="s">
        <v>18</v>
      </c>
      <c r="G328" s="83" t="s">
        <v>18</v>
      </c>
      <c r="H328" s="83" t="s">
        <v>18</v>
      </c>
      <c r="I328" s="83">
        <v>1</v>
      </c>
      <c r="J328" s="83" t="s">
        <v>18</v>
      </c>
      <c r="K328" s="83" t="s">
        <v>18</v>
      </c>
      <c r="L328" s="83" t="s">
        <v>18</v>
      </c>
    </row>
    <row r="329" spans="1:12">
      <c r="A329" s="83" t="s">
        <v>18</v>
      </c>
      <c r="B329" s="83" t="s">
        <v>270</v>
      </c>
      <c r="C329" s="83" t="s">
        <v>14</v>
      </c>
      <c r="D329" s="83" t="s">
        <v>95</v>
      </c>
      <c r="E329" s="83" t="s">
        <v>331</v>
      </c>
      <c r="F329" s="83" t="s">
        <v>18</v>
      </c>
      <c r="G329" s="83" t="s">
        <v>18</v>
      </c>
      <c r="H329" s="83" t="s">
        <v>18</v>
      </c>
      <c r="I329" s="83">
        <v>1</v>
      </c>
      <c r="J329" s="83" t="s">
        <v>18</v>
      </c>
      <c r="K329" s="83" t="s">
        <v>18</v>
      </c>
      <c r="L329" s="83" t="s">
        <v>18</v>
      </c>
    </row>
    <row r="330" spans="1:12">
      <c r="A330" s="83" t="s">
        <v>18</v>
      </c>
      <c r="B330" s="83" t="s">
        <v>270</v>
      </c>
      <c r="C330" s="83" t="s">
        <v>14</v>
      </c>
      <c r="D330" s="83" t="s">
        <v>95</v>
      </c>
      <c r="E330" s="83" t="s">
        <v>331</v>
      </c>
      <c r="F330" s="83" t="s">
        <v>18</v>
      </c>
      <c r="G330" s="83" t="s">
        <v>18</v>
      </c>
      <c r="H330" s="83">
        <v>1</v>
      </c>
      <c r="I330" s="83" t="s">
        <v>18</v>
      </c>
      <c r="J330" s="83" t="s">
        <v>18</v>
      </c>
      <c r="K330" s="83" t="s">
        <v>18</v>
      </c>
      <c r="L330" s="83" t="s">
        <v>18</v>
      </c>
    </row>
    <row r="331" spans="1:12">
      <c r="A331" s="83" t="s">
        <v>18</v>
      </c>
      <c r="B331" s="83" t="s">
        <v>270</v>
      </c>
      <c r="C331" s="83" t="s">
        <v>14</v>
      </c>
      <c r="D331" s="83" t="s">
        <v>95</v>
      </c>
      <c r="E331" s="83" t="s">
        <v>331</v>
      </c>
      <c r="F331" s="83" t="s">
        <v>18</v>
      </c>
      <c r="G331" s="83" t="s">
        <v>18</v>
      </c>
      <c r="H331" s="83">
        <v>1</v>
      </c>
      <c r="I331" s="83" t="s">
        <v>18</v>
      </c>
      <c r="J331" s="83" t="s">
        <v>18</v>
      </c>
      <c r="K331" s="83" t="s">
        <v>18</v>
      </c>
      <c r="L331" s="83" t="s">
        <v>18</v>
      </c>
    </row>
    <row r="332" spans="1:12">
      <c r="A332" s="83" t="s">
        <v>18</v>
      </c>
      <c r="B332" s="83" t="s">
        <v>270</v>
      </c>
      <c r="C332" s="83" t="s">
        <v>14</v>
      </c>
      <c r="D332" s="83" t="s">
        <v>95</v>
      </c>
      <c r="E332" s="83" t="s">
        <v>331</v>
      </c>
      <c r="F332" s="83" t="s">
        <v>18</v>
      </c>
      <c r="G332" s="83" t="s">
        <v>18</v>
      </c>
      <c r="H332" s="83">
        <v>1</v>
      </c>
      <c r="I332" s="83" t="s">
        <v>18</v>
      </c>
      <c r="J332" s="83" t="s">
        <v>18</v>
      </c>
      <c r="K332" s="83" t="s">
        <v>18</v>
      </c>
      <c r="L332" s="83" t="s">
        <v>18</v>
      </c>
    </row>
    <row r="333" spans="1:12">
      <c r="A333" s="83" t="s">
        <v>18</v>
      </c>
      <c r="B333" s="83" t="s">
        <v>270</v>
      </c>
      <c r="C333" s="83" t="s">
        <v>14</v>
      </c>
      <c r="D333" s="83" t="s">
        <v>95</v>
      </c>
      <c r="E333" s="83" t="s">
        <v>331</v>
      </c>
      <c r="F333" s="83" t="s">
        <v>18</v>
      </c>
      <c r="G333" s="83" t="s">
        <v>18</v>
      </c>
      <c r="H333" s="83">
        <v>1</v>
      </c>
      <c r="I333" s="83" t="s">
        <v>18</v>
      </c>
      <c r="J333" s="83" t="s">
        <v>18</v>
      </c>
      <c r="K333" s="83" t="s">
        <v>18</v>
      </c>
      <c r="L333" s="83" t="s">
        <v>18</v>
      </c>
    </row>
    <row r="334" spans="1:12">
      <c r="A334" s="83" t="s">
        <v>18</v>
      </c>
      <c r="B334" s="83" t="s">
        <v>270</v>
      </c>
      <c r="C334" s="83" t="s">
        <v>14</v>
      </c>
      <c r="D334" s="83" t="s">
        <v>95</v>
      </c>
      <c r="E334" s="83" t="s">
        <v>331</v>
      </c>
      <c r="F334" s="83" t="s">
        <v>18</v>
      </c>
      <c r="G334" s="83" t="s">
        <v>18</v>
      </c>
      <c r="H334" s="83" t="s">
        <v>18</v>
      </c>
      <c r="I334" s="83" t="s">
        <v>18</v>
      </c>
      <c r="J334" s="83" t="s">
        <v>18</v>
      </c>
      <c r="K334" s="83">
        <v>1</v>
      </c>
      <c r="L334" s="83" t="s">
        <v>18</v>
      </c>
    </row>
    <row r="335" spans="1:12">
      <c r="A335" s="83" t="s">
        <v>18</v>
      </c>
      <c r="B335" s="83" t="s">
        <v>270</v>
      </c>
      <c r="C335" s="83" t="s">
        <v>14</v>
      </c>
      <c r="D335" s="83" t="s">
        <v>95</v>
      </c>
      <c r="E335" s="83" t="s">
        <v>331</v>
      </c>
      <c r="F335" s="83" t="s">
        <v>18</v>
      </c>
      <c r="G335" s="83" t="s">
        <v>18</v>
      </c>
      <c r="H335" s="83" t="s">
        <v>18</v>
      </c>
      <c r="I335" s="83" t="s">
        <v>18</v>
      </c>
      <c r="J335" s="83" t="s">
        <v>18</v>
      </c>
      <c r="K335" s="83">
        <v>1</v>
      </c>
      <c r="L335" s="83" t="s">
        <v>18</v>
      </c>
    </row>
    <row r="336" spans="1:12">
      <c r="A336" s="83" t="s">
        <v>18</v>
      </c>
      <c r="B336" s="83" t="s">
        <v>270</v>
      </c>
      <c r="C336" s="83" t="s">
        <v>14</v>
      </c>
      <c r="D336" s="83" t="s">
        <v>95</v>
      </c>
      <c r="E336" s="83" t="s">
        <v>331</v>
      </c>
      <c r="F336" s="83" t="s">
        <v>18</v>
      </c>
      <c r="G336" s="83" t="s">
        <v>18</v>
      </c>
      <c r="H336" s="83" t="s">
        <v>18</v>
      </c>
      <c r="I336" s="83" t="s">
        <v>18</v>
      </c>
      <c r="J336" s="83">
        <v>1</v>
      </c>
      <c r="K336" s="83" t="s">
        <v>18</v>
      </c>
      <c r="L336" s="83" t="s">
        <v>18</v>
      </c>
    </row>
    <row r="337" spans="1:12">
      <c r="A337" s="83" t="s">
        <v>18</v>
      </c>
      <c r="B337" s="83" t="s">
        <v>270</v>
      </c>
      <c r="C337" s="83" t="s">
        <v>14</v>
      </c>
      <c r="D337" s="83" t="s">
        <v>95</v>
      </c>
      <c r="E337" s="83" t="s">
        <v>331</v>
      </c>
      <c r="F337" s="83" t="s">
        <v>18</v>
      </c>
      <c r="G337" s="83" t="s">
        <v>18</v>
      </c>
      <c r="H337" s="83" t="s">
        <v>18</v>
      </c>
      <c r="I337" s="83" t="s">
        <v>18</v>
      </c>
      <c r="J337" s="83" t="s">
        <v>18</v>
      </c>
      <c r="K337" s="83" t="s">
        <v>18</v>
      </c>
      <c r="L337" s="83">
        <v>1</v>
      </c>
    </row>
    <row r="338" spans="1:12">
      <c r="A338" s="83" t="s">
        <v>332</v>
      </c>
      <c r="B338" s="83" t="s">
        <v>333</v>
      </c>
      <c r="C338" s="83" t="s">
        <v>14</v>
      </c>
      <c r="D338" s="83" t="s">
        <v>91</v>
      </c>
      <c r="E338" s="83" t="s">
        <v>21</v>
      </c>
      <c r="F338" s="83" t="s">
        <v>332</v>
      </c>
      <c r="G338" s="83" t="s">
        <v>22</v>
      </c>
      <c r="H338" s="83" t="s">
        <v>18</v>
      </c>
      <c r="I338" s="83" t="s">
        <v>18</v>
      </c>
      <c r="J338" s="83" t="s">
        <v>18</v>
      </c>
      <c r="K338" s="83">
        <v>1</v>
      </c>
      <c r="L338" s="83" t="s">
        <v>18</v>
      </c>
    </row>
    <row r="339" spans="1:12">
      <c r="A339" s="83" t="s">
        <v>334</v>
      </c>
      <c r="B339" s="83" t="s">
        <v>335</v>
      </c>
      <c r="C339" s="83" t="s">
        <v>66</v>
      </c>
      <c r="D339" s="83" t="s">
        <v>31</v>
      </c>
      <c r="E339" s="83" t="s">
        <v>67</v>
      </c>
      <c r="F339" s="83" t="s">
        <v>334</v>
      </c>
      <c r="G339" s="83" t="s">
        <v>68</v>
      </c>
      <c r="H339" s="83" t="s">
        <v>18</v>
      </c>
      <c r="I339" s="83">
        <v>1</v>
      </c>
      <c r="J339" s="83" t="s">
        <v>18</v>
      </c>
      <c r="K339" s="83" t="s">
        <v>18</v>
      </c>
      <c r="L339" s="83" t="s">
        <v>18</v>
      </c>
    </row>
    <row r="340" spans="1:12">
      <c r="A340" s="83" t="s">
        <v>336</v>
      </c>
      <c r="B340" s="83" t="s">
        <v>335</v>
      </c>
      <c r="C340" s="83" t="s">
        <v>66</v>
      </c>
      <c r="D340" s="83" t="s">
        <v>28</v>
      </c>
      <c r="E340" s="83" t="s">
        <v>67</v>
      </c>
      <c r="F340" s="83" t="s">
        <v>336</v>
      </c>
      <c r="G340" s="83" t="s">
        <v>68</v>
      </c>
      <c r="H340" s="83" t="s">
        <v>18</v>
      </c>
      <c r="I340" s="83">
        <v>1</v>
      </c>
      <c r="J340" s="83" t="s">
        <v>18</v>
      </c>
      <c r="K340" s="83" t="s">
        <v>18</v>
      </c>
      <c r="L340" s="83" t="s">
        <v>18</v>
      </c>
    </row>
    <row r="341" spans="1:12">
      <c r="A341" s="83" t="s">
        <v>337</v>
      </c>
      <c r="B341" s="83" t="s">
        <v>335</v>
      </c>
      <c r="C341" s="83" t="s">
        <v>66</v>
      </c>
      <c r="D341" s="83" t="s">
        <v>28</v>
      </c>
      <c r="E341" s="83" t="s">
        <v>67</v>
      </c>
      <c r="F341" s="83" t="s">
        <v>337</v>
      </c>
      <c r="G341" s="83" t="s">
        <v>68</v>
      </c>
      <c r="H341" s="83" t="s">
        <v>18</v>
      </c>
      <c r="I341" s="83">
        <v>1</v>
      </c>
      <c r="J341" s="83" t="s">
        <v>18</v>
      </c>
      <c r="K341" s="83" t="s">
        <v>18</v>
      </c>
      <c r="L341" s="83" t="s">
        <v>18</v>
      </c>
    </row>
    <row r="342" spans="1:12">
      <c r="A342" s="83" t="s">
        <v>338</v>
      </c>
      <c r="B342" s="83" t="s">
        <v>335</v>
      </c>
      <c r="C342" s="83" t="s">
        <v>66</v>
      </c>
      <c r="D342" s="83" t="s">
        <v>15</v>
      </c>
      <c r="E342" s="83" t="s">
        <v>67</v>
      </c>
      <c r="F342" s="83" t="s">
        <v>338</v>
      </c>
      <c r="G342" s="83" t="s">
        <v>68</v>
      </c>
      <c r="H342" s="83" t="s">
        <v>18</v>
      </c>
      <c r="I342" s="83">
        <v>1</v>
      </c>
      <c r="J342" s="83" t="s">
        <v>18</v>
      </c>
      <c r="K342" s="83" t="s">
        <v>18</v>
      </c>
      <c r="L342" s="83" t="s">
        <v>18</v>
      </c>
    </row>
    <row r="343" spans="1:12">
      <c r="A343" s="83" t="s">
        <v>339</v>
      </c>
      <c r="B343" s="83" t="s">
        <v>335</v>
      </c>
      <c r="C343" s="83" t="s">
        <v>66</v>
      </c>
      <c r="D343" s="83" t="s">
        <v>15</v>
      </c>
      <c r="E343" s="83" t="s">
        <v>67</v>
      </c>
      <c r="F343" s="83" t="s">
        <v>339</v>
      </c>
      <c r="G343" s="83" t="s">
        <v>68</v>
      </c>
      <c r="H343" s="83" t="s">
        <v>18</v>
      </c>
      <c r="I343" s="83">
        <v>1</v>
      </c>
      <c r="J343" s="83" t="s">
        <v>18</v>
      </c>
      <c r="K343" s="83" t="s">
        <v>18</v>
      </c>
      <c r="L343" s="83" t="s">
        <v>18</v>
      </c>
    </row>
    <row r="344" spans="1:12">
      <c r="A344" s="83" t="s">
        <v>340</v>
      </c>
      <c r="B344" s="83" t="s">
        <v>335</v>
      </c>
      <c r="C344" s="83" t="s">
        <v>66</v>
      </c>
      <c r="D344" s="83" t="s">
        <v>15</v>
      </c>
      <c r="E344" s="83" t="s">
        <v>67</v>
      </c>
      <c r="F344" s="83" t="s">
        <v>340</v>
      </c>
      <c r="G344" s="83" t="s">
        <v>68</v>
      </c>
      <c r="H344" s="83" t="s">
        <v>18</v>
      </c>
      <c r="I344" s="83">
        <v>1</v>
      </c>
      <c r="J344" s="83" t="s">
        <v>18</v>
      </c>
      <c r="K344" s="83" t="s">
        <v>18</v>
      </c>
      <c r="L344" s="83" t="s">
        <v>18</v>
      </c>
    </row>
    <row r="345" spans="1:12">
      <c r="A345" s="83" t="s">
        <v>341</v>
      </c>
      <c r="B345" s="83" t="s">
        <v>335</v>
      </c>
      <c r="C345" s="83" t="s">
        <v>66</v>
      </c>
      <c r="D345" s="83" t="s">
        <v>15</v>
      </c>
      <c r="E345" s="83" t="s">
        <v>67</v>
      </c>
      <c r="F345" s="83" t="s">
        <v>341</v>
      </c>
      <c r="G345" s="83" t="s">
        <v>68</v>
      </c>
      <c r="H345" s="83" t="s">
        <v>18</v>
      </c>
      <c r="I345" s="83">
        <v>1</v>
      </c>
      <c r="J345" s="83" t="s">
        <v>18</v>
      </c>
      <c r="K345" s="83" t="s">
        <v>18</v>
      </c>
      <c r="L345" s="83" t="s">
        <v>18</v>
      </c>
    </row>
    <row r="346" spans="1:12">
      <c r="A346" s="83" t="s">
        <v>342</v>
      </c>
      <c r="B346" s="83" t="s">
        <v>335</v>
      </c>
      <c r="C346" s="83" t="s">
        <v>66</v>
      </c>
      <c r="D346" s="83" t="s">
        <v>15</v>
      </c>
      <c r="E346" s="83" t="s">
        <v>67</v>
      </c>
      <c r="F346" s="83" t="s">
        <v>342</v>
      </c>
      <c r="G346" s="83" t="s">
        <v>68</v>
      </c>
      <c r="H346" s="83" t="s">
        <v>18</v>
      </c>
      <c r="I346" s="83">
        <v>1</v>
      </c>
      <c r="J346" s="83" t="s">
        <v>18</v>
      </c>
      <c r="K346" s="83" t="s">
        <v>18</v>
      </c>
      <c r="L346" s="83" t="s">
        <v>18</v>
      </c>
    </row>
    <row r="347" spans="1:12">
      <c r="A347" s="83" t="s">
        <v>343</v>
      </c>
      <c r="B347" s="83" t="s">
        <v>335</v>
      </c>
      <c r="C347" s="83" t="s">
        <v>66</v>
      </c>
      <c r="D347" s="83" t="s">
        <v>15</v>
      </c>
      <c r="E347" s="83" t="s">
        <v>67</v>
      </c>
      <c r="F347" s="83" t="s">
        <v>343</v>
      </c>
      <c r="G347" s="83" t="s">
        <v>68</v>
      </c>
      <c r="H347" s="83" t="s">
        <v>18</v>
      </c>
      <c r="I347" s="83">
        <v>1</v>
      </c>
      <c r="J347" s="83" t="s">
        <v>18</v>
      </c>
      <c r="K347" s="83" t="s">
        <v>18</v>
      </c>
      <c r="L347" s="83" t="s">
        <v>18</v>
      </c>
    </row>
    <row r="348" spans="1:12">
      <c r="A348" s="83" t="s">
        <v>344</v>
      </c>
      <c r="B348" s="83" t="s">
        <v>335</v>
      </c>
      <c r="C348" s="83" t="s">
        <v>66</v>
      </c>
      <c r="D348" s="83" t="s">
        <v>15</v>
      </c>
      <c r="E348" s="83" t="s">
        <v>67</v>
      </c>
      <c r="F348" s="83" t="s">
        <v>344</v>
      </c>
      <c r="G348" s="83" t="s">
        <v>68</v>
      </c>
      <c r="H348" s="83" t="s">
        <v>18</v>
      </c>
      <c r="I348" s="83">
        <v>1</v>
      </c>
      <c r="J348" s="83" t="s">
        <v>18</v>
      </c>
      <c r="K348" s="83" t="s">
        <v>18</v>
      </c>
      <c r="L348" s="83" t="s">
        <v>18</v>
      </c>
    </row>
    <row r="349" spans="1:12">
      <c r="A349" s="83" t="s">
        <v>345</v>
      </c>
      <c r="B349" s="83" t="s">
        <v>335</v>
      </c>
      <c r="C349" s="83" t="s">
        <v>66</v>
      </c>
      <c r="D349" s="83" t="s">
        <v>15</v>
      </c>
      <c r="E349" s="83" t="s">
        <v>67</v>
      </c>
      <c r="F349" s="83" t="s">
        <v>345</v>
      </c>
      <c r="G349" s="83" t="s">
        <v>68</v>
      </c>
      <c r="H349" s="83" t="s">
        <v>18</v>
      </c>
      <c r="I349" s="83">
        <v>1</v>
      </c>
      <c r="J349" s="83" t="s">
        <v>18</v>
      </c>
      <c r="K349" s="83" t="s">
        <v>18</v>
      </c>
      <c r="L349" s="83" t="s">
        <v>18</v>
      </c>
    </row>
    <row r="350" spans="1:12">
      <c r="A350" s="83" t="s">
        <v>346</v>
      </c>
      <c r="B350" s="83" t="s">
        <v>335</v>
      </c>
      <c r="C350" s="83" t="s">
        <v>66</v>
      </c>
      <c r="D350" s="83" t="s">
        <v>15</v>
      </c>
      <c r="E350" s="83" t="s">
        <v>67</v>
      </c>
      <c r="F350" s="83" t="s">
        <v>346</v>
      </c>
      <c r="G350" s="83" t="s">
        <v>68</v>
      </c>
      <c r="H350" s="83" t="s">
        <v>18</v>
      </c>
      <c r="I350" s="83">
        <v>1</v>
      </c>
      <c r="J350" s="83" t="s">
        <v>18</v>
      </c>
      <c r="K350" s="83" t="s">
        <v>18</v>
      </c>
      <c r="L350" s="83" t="s">
        <v>18</v>
      </c>
    </row>
    <row r="351" spans="1:12">
      <c r="A351" s="83" t="s">
        <v>347</v>
      </c>
      <c r="B351" s="83" t="s">
        <v>335</v>
      </c>
      <c r="C351" s="83" t="s">
        <v>66</v>
      </c>
      <c r="D351" s="83" t="s">
        <v>15</v>
      </c>
      <c r="E351" s="83" t="s">
        <v>67</v>
      </c>
      <c r="F351" s="83" t="s">
        <v>347</v>
      </c>
      <c r="G351" s="83" t="s">
        <v>68</v>
      </c>
      <c r="H351" s="83" t="s">
        <v>18</v>
      </c>
      <c r="I351" s="83">
        <v>1</v>
      </c>
      <c r="J351" s="83" t="s">
        <v>18</v>
      </c>
      <c r="K351" s="83" t="s">
        <v>18</v>
      </c>
      <c r="L351" s="83" t="s">
        <v>18</v>
      </c>
    </row>
    <row r="352" spans="1:12">
      <c r="A352" s="83" t="s">
        <v>348</v>
      </c>
      <c r="B352" s="83" t="s">
        <v>335</v>
      </c>
      <c r="C352" s="83" t="s">
        <v>66</v>
      </c>
      <c r="D352" s="83" t="s">
        <v>15</v>
      </c>
      <c r="E352" s="83" t="s">
        <v>67</v>
      </c>
      <c r="F352" s="83" t="s">
        <v>348</v>
      </c>
      <c r="G352" s="83" t="s">
        <v>68</v>
      </c>
      <c r="H352" s="83" t="s">
        <v>18</v>
      </c>
      <c r="I352" s="83">
        <v>1</v>
      </c>
      <c r="J352" s="83" t="s">
        <v>18</v>
      </c>
      <c r="K352" s="83" t="s">
        <v>18</v>
      </c>
      <c r="L352" s="83" t="s">
        <v>18</v>
      </c>
    </row>
    <row r="353" spans="1:12">
      <c r="A353" s="83" t="s">
        <v>349</v>
      </c>
      <c r="B353" s="83" t="s">
        <v>335</v>
      </c>
      <c r="C353" s="83" t="s">
        <v>66</v>
      </c>
      <c r="D353" s="83" t="s">
        <v>15</v>
      </c>
      <c r="E353" s="83" t="s">
        <v>70</v>
      </c>
      <c r="F353" s="83" t="s">
        <v>349</v>
      </c>
      <c r="G353" s="83" t="s">
        <v>71</v>
      </c>
      <c r="H353" s="83" t="s">
        <v>18</v>
      </c>
      <c r="I353" s="83">
        <v>1</v>
      </c>
      <c r="J353" s="83" t="s">
        <v>18</v>
      </c>
      <c r="K353" s="83" t="s">
        <v>18</v>
      </c>
      <c r="L353" s="83" t="s">
        <v>18</v>
      </c>
    </row>
    <row r="354" spans="1:12">
      <c r="A354" s="83" t="s">
        <v>350</v>
      </c>
      <c r="B354" s="83" t="s">
        <v>335</v>
      </c>
      <c r="C354" s="83" t="s">
        <v>66</v>
      </c>
      <c r="D354" s="83" t="s">
        <v>24</v>
      </c>
      <c r="E354" s="83" t="s">
        <v>67</v>
      </c>
      <c r="F354" s="83" t="s">
        <v>350</v>
      </c>
      <c r="G354" s="83" t="s">
        <v>68</v>
      </c>
      <c r="H354" s="83" t="s">
        <v>18</v>
      </c>
      <c r="I354" s="83" t="s">
        <v>18</v>
      </c>
      <c r="J354" s="83" t="s">
        <v>18</v>
      </c>
      <c r="K354" s="83">
        <v>1</v>
      </c>
      <c r="L354" s="83" t="s">
        <v>18</v>
      </c>
    </row>
    <row r="355" spans="1:12">
      <c r="A355" s="83" t="s">
        <v>351</v>
      </c>
      <c r="B355" s="83" t="s">
        <v>335</v>
      </c>
      <c r="C355" s="83" t="s">
        <v>66</v>
      </c>
      <c r="D355" s="83" t="s">
        <v>15</v>
      </c>
      <c r="E355" s="83" t="s">
        <v>197</v>
      </c>
      <c r="F355" s="83" t="s">
        <v>351</v>
      </c>
      <c r="G355" s="83" t="s">
        <v>196</v>
      </c>
      <c r="H355" s="83" t="s">
        <v>18</v>
      </c>
      <c r="I355" s="83" t="s">
        <v>18</v>
      </c>
      <c r="J355" s="83" t="s">
        <v>18</v>
      </c>
      <c r="K355" s="83">
        <v>1</v>
      </c>
      <c r="L355" s="83" t="s">
        <v>18</v>
      </c>
    </row>
    <row r="356" spans="1:12">
      <c r="A356" s="83" t="s">
        <v>352</v>
      </c>
      <c r="B356" s="83" t="s">
        <v>335</v>
      </c>
      <c r="C356" s="83" t="s">
        <v>66</v>
      </c>
      <c r="D356" s="83" t="s">
        <v>28</v>
      </c>
      <c r="E356" s="83" t="s">
        <v>18</v>
      </c>
      <c r="F356" s="83" t="s">
        <v>352</v>
      </c>
      <c r="G356" s="83" t="s">
        <v>75</v>
      </c>
      <c r="H356" s="83">
        <v>1</v>
      </c>
      <c r="I356" s="83" t="s">
        <v>18</v>
      </c>
      <c r="J356" s="83" t="s">
        <v>18</v>
      </c>
      <c r="K356" s="83" t="s">
        <v>18</v>
      </c>
      <c r="L356" s="83" t="s">
        <v>18</v>
      </c>
    </row>
    <row r="357" spans="1:12">
      <c r="A357" s="83" t="s">
        <v>18</v>
      </c>
      <c r="B357" s="83" t="s">
        <v>335</v>
      </c>
      <c r="C357" s="83" t="s">
        <v>66</v>
      </c>
      <c r="D357" s="83" t="s">
        <v>24</v>
      </c>
      <c r="E357" s="83" t="s">
        <v>67</v>
      </c>
      <c r="F357" s="83" t="s">
        <v>18</v>
      </c>
      <c r="G357" s="83" t="s">
        <v>18</v>
      </c>
      <c r="H357" s="83">
        <v>1</v>
      </c>
      <c r="I357" s="83" t="s">
        <v>18</v>
      </c>
      <c r="J357" s="83" t="s">
        <v>18</v>
      </c>
      <c r="K357" s="83" t="s">
        <v>18</v>
      </c>
      <c r="L357" s="83" t="s">
        <v>18</v>
      </c>
    </row>
    <row r="358" spans="1:12">
      <c r="A358" s="83" t="s">
        <v>353</v>
      </c>
      <c r="B358" s="83" t="s">
        <v>335</v>
      </c>
      <c r="C358" s="83" t="s">
        <v>66</v>
      </c>
      <c r="D358" s="83" t="s">
        <v>24</v>
      </c>
      <c r="E358" s="83" t="s">
        <v>67</v>
      </c>
      <c r="F358" s="83" t="s">
        <v>353</v>
      </c>
      <c r="G358" s="83" t="s">
        <v>68</v>
      </c>
      <c r="H358" s="83">
        <v>1</v>
      </c>
      <c r="I358" s="83" t="s">
        <v>18</v>
      </c>
      <c r="J358" s="83" t="s">
        <v>18</v>
      </c>
      <c r="K358" s="83" t="s">
        <v>18</v>
      </c>
      <c r="L358" s="83" t="s">
        <v>18</v>
      </c>
    </row>
    <row r="359" spans="1:12">
      <c r="A359" s="83" t="s">
        <v>18</v>
      </c>
      <c r="B359" s="83" t="s">
        <v>335</v>
      </c>
      <c r="C359" s="83" t="s">
        <v>66</v>
      </c>
      <c r="D359" s="83" t="s">
        <v>24</v>
      </c>
      <c r="E359" s="83" t="s">
        <v>70</v>
      </c>
      <c r="F359" s="83" t="s">
        <v>18</v>
      </c>
      <c r="G359" s="83" t="s">
        <v>18</v>
      </c>
      <c r="H359" s="83">
        <v>1</v>
      </c>
      <c r="I359" s="83" t="s">
        <v>18</v>
      </c>
      <c r="J359" s="83" t="s">
        <v>18</v>
      </c>
      <c r="K359" s="83" t="s">
        <v>18</v>
      </c>
      <c r="L359" s="83" t="s">
        <v>18</v>
      </c>
    </row>
    <row r="360" spans="1:12">
      <c r="A360" s="83" t="s">
        <v>354</v>
      </c>
      <c r="B360" s="83" t="s">
        <v>335</v>
      </c>
      <c r="C360" s="83" t="s">
        <v>66</v>
      </c>
      <c r="D360" s="83" t="s">
        <v>15</v>
      </c>
      <c r="E360" s="83" t="s">
        <v>70</v>
      </c>
      <c r="F360" s="83" t="s">
        <v>354</v>
      </c>
      <c r="G360" s="83" t="s">
        <v>71</v>
      </c>
      <c r="H360" s="83">
        <v>1</v>
      </c>
      <c r="I360" s="83" t="s">
        <v>18</v>
      </c>
      <c r="J360" s="83" t="s">
        <v>18</v>
      </c>
      <c r="K360" s="83" t="s">
        <v>18</v>
      </c>
      <c r="L360" s="83" t="s">
        <v>18</v>
      </c>
    </row>
    <row r="361" spans="1:12">
      <c r="A361" s="83" t="s">
        <v>355</v>
      </c>
      <c r="B361" s="83" t="s">
        <v>335</v>
      </c>
      <c r="C361" s="83" t="s">
        <v>66</v>
      </c>
      <c r="D361" s="83" t="s">
        <v>24</v>
      </c>
      <c r="E361" s="83" t="s">
        <v>356</v>
      </c>
      <c r="F361" s="83" t="s">
        <v>355</v>
      </c>
      <c r="G361" s="83" t="s">
        <v>357</v>
      </c>
      <c r="H361" s="83">
        <v>1</v>
      </c>
      <c r="I361" s="83">
        <v>2</v>
      </c>
      <c r="J361" s="83" t="s">
        <v>18</v>
      </c>
      <c r="K361" s="83" t="s">
        <v>18</v>
      </c>
      <c r="L361" s="83" t="s">
        <v>18</v>
      </c>
    </row>
    <row r="362" spans="1:12">
      <c r="A362" s="83" t="s">
        <v>358</v>
      </c>
      <c r="B362" s="83" t="s">
        <v>335</v>
      </c>
      <c r="C362" s="83" t="s">
        <v>66</v>
      </c>
      <c r="D362" s="83" t="s">
        <v>24</v>
      </c>
      <c r="E362" s="83" t="s">
        <v>356</v>
      </c>
      <c r="F362" s="83" t="s">
        <v>358</v>
      </c>
      <c r="G362" s="83" t="s">
        <v>357</v>
      </c>
      <c r="H362" s="83">
        <v>1</v>
      </c>
      <c r="I362" s="83">
        <v>2</v>
      </c>
      <c r="J362" s="83" t="s">
        <v>18</v>
      </c>
      <c r="K362" s="83" t="s">
        <v>18</v>
      </c>
      <c r="L362" s="83" t="s">
        <v>18</v>
      </c>
    </row>
    <row r="363" spans="1:12">
      <c r="A363" s="83" t="s">
        <v>18</v>
      </c>
      <c r="B363" s="83" t="s">
        <v>335</v>
      </c>
      <c r="C363" s="83" t="s">
        <v>66</v>
      </c>
      <c r="D363" s="83" t="s">
        <v>24</v>
      </c>
      <c r="E363" s="83" t="s">
        <v>70</v>
      </c>
      <c r="F363" s="83" t="s">
        <v>18</v>
      </c>
      <c r="G363" s="83" t="s">
        <v>18</v>
      </c>
      <c r="H363" s="83">
        <v>1</v>
      </c>
      <c r="I363" s="83">
        <v>1</v>
      </c>
      <c r="J363" s="83" t="s">
        <v>18</v>
      </c>
      <c r="K363" s="83" t="s">
        <v>18</v>
      </c>
      <c r="L363" s="83">
        <v>1</v>
      </c>
    </row>
    <row r="364" spans="1:12">
      <c r="A364" s="83" t="s">
        <v>18</v>
      </c>
      <c r="B364" s="83" t="s">
        <v>335</v>
      </c>
      <c r="C364" s="83" t="s">
        <v>66</v>
      </c>
      <c r="D364" s="83" t="s">
        <v>24</v>
      </c>
      <c r="E364" s="83" t="s">
        <v>67</v>
      </c>
      <c r="F364" s="83" t="s">
        <v>18</v>
      </c>
      <c r="G364" s="83" t="s">
        <v>18</v>
      </c>
      <c r="H364" s="83">
        <v>2</v>
      </c>
      <c r="I364" s="83">
        <v>2</v>
      </c>
      <c r="J364" s="83" t="s">
        <v>18</v>
      </c>
      <c r="K364" s="83" t="s">
        <v>18</v>
      </c>
      <c r="L364" s="83" t="s">
        <v>18</v>
      </c>
    </row>
    <row r="365" spans="1:12">
      <c r="A365" s="83" t="s">
        <v>18</v>
      </c>
      <c r="B365" s="83" t="s">
        <v>335</v>
      </c>
      <c r="C365" s="83" t="s">
        <v>66</v>
      </c>
      <c r="D365" s="83" t="s">
        <v>15</v>
      </c>
      <c r="E365" s="83" t="s">
        <v>67</v>
      </c>
      <c r="F365" s="83" t="s">
        <v>18</v>
      </c>
      <c r="G365" s="83" t="s">
        <v>18</v>
      </c>
      <c r="H365" s="83">
        <v>2</v>
      </c>
      <c r="I365" s="83">
        <v>2</v>
      </c>
      <c r="J365" s="83" t="s">
        <v>18</v>
      </c>
      <c r="K365" s="83" t="s">
        <v>18</v>
      </c>
      <c r="L365" s="83" t="s">
        <v>18</v>
      </c>
    </row>
    <row r="366" spans="1:12">
      <c r="A366" s="83" t="s">
        <v>18</v>
      </c>
      <c r="B366" s="83" t="s">
        <v>335</v>
      </c>
      <c r="C366" s="83" t="s">
        <v>66</v>
      </c>
      <c r="D366" s="83" t="s">
        <v>15</v>
      </c>
      <c r="E366" s="83" t="s">
        <v>70</v>
      </c>
      <c r="F366" s="83" t="s">
        <v>18</v>
      </c>
      <c r="G366" s="83" t="s">
        <v>18</v>
      </c>
      <c r="H366" s="83">
        <v>2</v>
      </c>
      <c r="I366" s="83">
        <v>2</v>
      </c>
      <c r="J366" s="83" t="s">
        <v>18</v>
      </c>
      <c r="K366" s="83" t="s">
        <v>18</v>
      </c>
      <c r="L366" s="83" t="s">
        <v>18</v>
      </c>
    </row>
    <row r="367" spans="1:12">
      <c r="A367" s="83" t="s">
        <v>18</v>
      </c>
      <c r="B367" s="83" t="s">
        <v>335</v>
      </c>
      <c r="C367" s="83" t="s">
        <v>66</v>
      </c>
      <c r="D367" s="83" t="s">
        <v>31</v>
      </c>
      <c r="E367" s="83" t="s">
        <v>78</v>
      </c>
      <c r="F367" s="83" t="s">
        <v>18</v>
      </c>
      <c r="G367" s="83" t="s">
        <v>18</v>
      </c>
      <c r="H367" s="83">
        <v>2</v>
      </c>
      <c r="I367" s="83">
        <v>2</v>
      </c>
      <c r="J367" s="83" t="s">
        <v>18</v>
      </c>
      <c r="K367" s="83" t="s">
        <v>18</v>
      </c>
      <c r="L367" s="83" t="s">
        <v>18</v>
      </c>
    </row>
    <row r="368" spans="1:12">
      <c r="A368" s="83" t="s">
        <v>18</v>
      </c>
      <c r="B368" s="83" t="s">
        <v>335</v>
      </c>
      <c r="C368" s="83" t="s">
        <v>66</v>
      </c>
      <c r="D368" s="83" t="s">
        <v>31</v>
      </c>
      <c r="E368" s="83" t="s">
        <v>78</v>
      </c>
      <c r="F368" s="83" t="s">
        <v>18</v>
      </c>
      <c r="G368" s="83" t="s">
        <v>18</v>
      </c>
      <c r="H368" s="83">
        <v>2</v>
      </c>
      <c r="I368" s="83">
        <v>2</v>
      </c>
      <c r="J368" s="83" t="s">
        <v>18</v>
      </c>
      <c r="K368" s="83" t="s">
        <v>18</v>
      </c>
      <c r="L368" s="83" t="s">
        <v>18</v>
      </c>
    </row>
    <row r="369" spans="1:12">
      <c r="A369" s="83" t="s">
        <v>18</v>
      </c>
      <c r="B369" s="83" t="s">
        <v>335</v>
      </c>
      <c r="C369" s="83" t="s">
        <v>66</v>
      </c>
      <c r="D369" s="83" t="s">
        <v>15</v>
      </c>
      <c r="E369" s="83" t="s">
        <v>356</v>
      </c>
      <c r="F369" s="83" t="s">
        <v>18</v>
      </c>
      <c r="G369" s="83" t="s">
        <v>18</v>
      </c>
      <c r="H369" s="83" t="s">
        <v>18</v>
      </c>
      <c r="I369" s="83">
        <v>1</v>
      </c>
      <c r="J369" s="83" t="s">
        <v>18</v>
      </c>
      <c r="K369" s="83" t="s">
        <v>18</v>
      </c>
      <c r="L369" s="83" t="s">
        <v>18</v>
      </c>
    </row>
    <row r="370" spans="1:12">
      <c r="A370" s="83" t="s">
        <v>18</v>
      </c>
      <c r="B370" s="83" t="s">
        <v>335</v>
      </c>
      <c r="C370" s="83" t="s">
        <v>66</v>
      </c>
      <c r="D370" s="83" t="s">
        <v>15</v>
      </c>
      <c r="E370" s="83" t="s">
        <v>356</v>
      </c>
      <c r="F370" s="83" t="s">
        <v>18</v>
      </c>
      <c r="G370" s="83" t="s">
        <v>18</v>
      </c>
      <c r="H370" s="83" t="s">
        <v>18</v>
      </c>
      <c r="I370" s="83">
        <v>1</v>
      </c>
      <c r="J370" s="83" t="s">
        <v>18</v>
      </c>
      <c r="K370" s="83" t="s">
        <v>18</v>
      </c>
      <c r="L370" s="83" t="s">
        <v>18</v>
      </c>
    </row>
    <row r="371" spans="1:12">
      <c r="A371" s="83" t="s">
        <v>18</v>
      </c>
      <c r="B371" s="83" t="s">
        <v>335</v>
      </c>
      <c r="C371" s="83" t="s">
        <v>66</v>
      </c>
      <c r="D371" s="83" t="s">
        <v>15</v>
      </c>
      <c r="E371" s="83" t="s">
        <v>356</v>
      </c>
      <c r="F371" s="83" t="s">
        <v>18</v>
      </c>
      <c r="G371" s="83" t="s">
        <v>18</v>
      </c>
      <c r="H371" s="83" t="s">
        <v>18</v>
      </c>
      <c r="I371" s="83">
        <v>1</v>
      </c>
      <c r="J371" s="83" t="s">
        <v>18</v>
      </c>
      <c r="K371" s="83" t="s">
        <v>18</v>
      </c>
      <c r="L371" s="83" t="s">
        <v>18</v>
      </c>
    </row>
    <row r="372" spans="1:12">
      <c r="A372" s="83" t="s">
        <v>18</v>
      </c>
      <c r="B372" s="83" t="s">
        <v>335</v>
      </c>
      <c r="C372" s="83" t="s">
        <v>66</v>
      </c>
      <c r="D372" s="83" t="s">
        <v>15</v>
      </c>
      <c r="E372" s="83" t="s">
        <v>356</v>
      </c>
      <c r="F372" s="83" t="s">
        <v>18</v>
      </c>
      <c r="G372" s="83" t="s">
        <v>18</v>
      </c>
      <c r="H372" s="83" t="s">
        <v>18</v>
      </c>
      <c r="I372" s="83">
        <v>1</v>
      </c>
      <c r="J372" s="83" t="s">
        <v>18</v>
      </c>
      <c r="K372" s="83" t="s">
        <v>18</v>
      </c>
      <c r="L372" s="83" t="s">
        <v>18</v>
      </c>
    </row>
    <row r="373" spans="1:12">
      <c r="A373" s="83" t="s">
        <v>18</v>
      </c>
      <c r="B373" s="83" t="s">
        <v>335</v>
      </c>
      <c r="C373" s="83" t="s">
        <v>66</v>
      </c>
      <c r="D373" s="83" t="s">
        <v>15</v>
      </c>
      <c r="E373" s="83" t="s">
        <v>356</v>
      </c>
      <c r="F373" s="83" t="s">
        <v>18</v>
      </c>
      <c r="G373" s="83" t="s">
        <v>18</v>
      </c>
      <c r="H373" s="83" t="s">
        <v>18</v>
      </c>
      <c r="I373" s="83">
        <v>1</v>
      </c>
      <c r="J373" s="83" t="s">
        <v>18</v>
      </c>
      <c r="K373" s="83" t="s">
        <v>18</v>
      </c>
      <c r="L373" s="83" t="s">
        <v>18</v>
      </c>
    </row>
    <row r="374" spans="1:12">
      <c r="A374" s="83" t="s">
        <v>18</v>
      </c>
      <c r="B374" s="83" t="s">
        <v>335</v>
      </c>
      <c r="C374" s="83" t="s">
        <v>66</v>
      </c>
      <c r="D374" s="83" t="s">
        <v>15</v>
      </c>
      <c r="E374" s="83" t="s">
        <v>356</v>
      </c>
      <c r="F374" s="83" t="s">
        <v>18</v>
      </c>
      <c r="G374" s="83" t="s">
        <v>18</v>
      </c>
      <c r="H374" s="83" t="s">
        <v>18</v>
      </c>
      <c r="I374" s="83">
        <v>1</v>
      </c>
      <c r="J374" s="83" t="s">
        <v>18</v>
      </c>
      <c r="K374" s="83" t="s">
        <v>18</v>
      </c>
      <c r="L374" s="83" t="s">
        <v>18</v>
      </c>
    </row>
    <row r="375" spans="1:12">
      <c r="A375" s="83" t="s">
        <v>18</v>
      </c>
      <c r="B375" s="83" t="s">
        <v>335</v>
      </c>
      <c r="C375" s="83" t="s">
        <v>66</v>
      </c>
      <c r="D375" s="83" t="s">
        <v>15</v>
      </c>
      <c r="E375" s="83" t="s">
        <v>356</v>
      </c>
      <c r="F375" s="83" t="s">
        <v>18</v>
      </c>
      <c r="G375" s="83" t="s">
        <v>18</v>
      </c>
      <c r="H375" s="83" t="s">
        <v>18</v>
      </c>
      <c r="I375" s="83">
        <v>1</v>
      </c>
      <c r="J375" s="83" t="s">
        <v>18</v>
      </c>
      <c r="K375" s="83" t="s">
        <v>18</v>
      </c>
      <c r="L375" s="83" t="s">
        <v>18</v>
      </c>
    </row>
    <row r="376" spans="1:12">
      <c r="A376" s="83" t="s">
        <v>18</v>
      </c>
      <c r="B376" s="83" t="s">
        <v>335</v>
      </c>
      <c r="C376" s="83" t="s">
        <v>66</v>
      </c>
      <c r="D376" s="83" t="s">
        <v>15</v>
      </c>
      <c r="E376" s="83" t="s">
        <v>356</v>
      </c>
      <c r="F376" s="83" t="s">
        <v>18</v>
      </c>
      <c r="G376" s="83" t="s">
        <v>18</v>
      </c>
      <c r="H376" s="83" t="s">
        <v>18</v>
      </c>
      <c r="I376" s="83">
        <v>1</v>
      </c>
      <c r="J376" s="83" t="s">
        <v>18</v>
      </c>
      <c r="K376" s="83" t="s">
        <v>18</v>
      </c>
      <c r="L376" s="83" t="s">
        <v>18</v>
      </c>
    </row>
    <row r="377" spans="1:12">
      <c r="A377" s="83" t="s">
        <v>18</v>
      </c>
      <c r="B377" s="83" t="s">
        <v>335</v>
      </c>
      <c r="C377" s="83" t="s">
        <v>66</v>
      </c>
      <c r="D377" s="83" t="s">
        <v>15</v>
      </c>
      <c r="E377" s="83" t="s">
        <v>356</v>
      </c>
      <c r="F377" s="83" t="s">
        <v>18</v>
      </c>
      <c r="G377" s="83" t="s">
        <v>18</v>
      </c>
      <c r="H377" s="83" t="s">
        <v>18</v>
      </c>
      <c r="I377" s="83">
        <v>1</v>
      </c>
      <c r="J377" s="83" t="s">
        <v>18</v>
      </c>
      <c r="K377" s="83" t="s">
        <v>18</v>
      </c>
      <c r="L377" s="83" t="s">
        <v>18</v>
      </c>
    </row>
    <row r="378" spans="1:12">
      <c r="A378" s="83" t="s">
        <v>18</v>
      </c>
      <c r="B378" s="83" t="s">
        <v>335</v>
      </c>
      <c r="C378" s="83" t="s">
        <v>66</v>
      </c>
      <c r="D378" s="83" t="s">
        <v>15</v>
      </c>
      <c r="E378" s="83" t="s">
        <v>356</v>
      </c>
      <c r="F378" s="83" t="s">
        <v>18</v>
      </c>
      <c r="G378" s="83" t="s">
        <v>18</v>
      </c>
      <c r="H378" s="83">
        <v>1</v>
      </c>
      <c r="I378" s="83" t="s">
        <v>18</v>
      </c>
      <c r="J378" s="83" t="s">
        <v>18</v>
      </c>
      <c r="K378" s="83" t="s">
        <v>18</v>
      </c>
      <c r="L378" s="83" t="s">
        <v>18</v>
      </c>
    </row>
    <row r="379" spans="1:12">
      <c r="A379" s="83" t="s">
        <v>18</v>
      </c>
      <c r="B379" s="83" t="s">
        <v>335</v>
      </c>
      <c r="C379" s="83" t="s">
        <v>66</v>
      </c>
      <c r="D379" s="83" t="s">
        <v>15</v>
      </c>
      <c r="E379" s="83" t="s">
        <v>356</v>
      </c>
      <c r="F379" s="83" t="s">
        <v>18</v>
      </c>
      <c r="G379" s="83" t="s">
        <v>18</v>
      </c>
      <c r="H379" s="83">
        <v>1</v>
      </c>
      <c r="I379" s="83" t="s">
        <v>18</v>
      </c>
      <c r="J379" s="83" t="s">
        <v>18</v>
      </c>
      <c r="K379" s="83" t="s">
        <v>18</v>
      </c>
      <c r="L379" s="83" t="s">
        <v>18</v>
      </c>
    </row>
    <row r="380" spans="1:12">
      <c r="A380" s="83" t="s">
        <v>18</v>
      </c>
      <c r="B380" s="83" t="s">
        <v>335</v>
      </c>
      <c r="C380" s="83" t="s">
        <v>66</v>
      </c>
      <c r="D380" s="83" t="s">
        <v>15</v>
      </c>
      <c r="E380" s="83" t="s">
        <v>356</v>
      </c>
      <c r="F380" s="83" t="s">
        <v>18</v>
      </c>
      <c r="G380" s="83" t="s">
        <v>18</v>
      </c>
      <c r="H380" s="83">
        <v>1</v>
      </c>
      <c r="I380" s="83" t="s">
        <v>18</v>
      </c>
      <c r="J380" s="83" t="s">
        <v>18</v>
      </c>
      <c r="K380" s="83" t="s">
        <v>18</v>
      </c>
      <c r="L380" s="83" t="s">
        <v>18</v>
      </c>
    </row>
    <row r="381" spans="1:12">
      <c r="A381" s="83" t="s">
        <v>18</v>
      </c>
      <c r="B381" s="83" t="s">
        <v>335</v>
      </c>
      <c r="C381" s="83" t="s">
        <v>66</v>
      </c>
      <c r="D381" s="83" t="s">
        <v>15</v>
      </c>
      <c r="E381" s="83" t="s">
        <v>356</v>
      </c>
      <c r="F381" s="83" t="s">
        <v>18</v>
      </c>
      <c r="G381" s="83" t="s">
        <v>18</v>
      </c>
      <c r="H381" s="83">
        <v>1</v>
      </c>
      <c r="I381" s="83" t="s">
        <v>18</v>
      </c>
      <c r="J381" s="83" t="s">
        <v>18</v>
      </c>
      <c r="K381" s="83" t="s">
        <v>18</v>
      </c>
      <c r="L381" s="83" t="s">
        <v>18</v>
      </c>
    </row>
    <row r="382" spans="1:12">
      <c r="A382" s="83" t="s">
        <v>18</v>
      </c>
      <c r="B382" s="83" t="s">
        <v>335</v>
      </c>
      <c r="C382" s="83" t="s">
        <v>66</v>
      </c>
      <c r="D382" s="83" t="s">
        <v>15</v>
      </c>
      <c r="E382" s="83" t="s">
        <v>356</v>
      </c>
      <c r="F382" s="83" t="s">
        <v>18</v>
      </c>
      <c r="G382" s="83" t="s">
        <v>18</v>
      </c>
      <c r="H382" s="83">
        <v>1</v>
      </c>
      <c r="I382" s="83" t="s">
        <v>18</v>
      </c>
      <c r="J382" s="83" t="s">
        <v>18</v>
      </c>
      <c r="K382" s="83" t="s">
        <v>18</v>
      </c>
      <c r="L382" s="83" t="s">
        <v>18</v>
      </c>
    </row>
    <row r="383" spans="1:12">
      <c r="A383" s="83" t="s">
        <v>18</v>
      </c>
      <c r="B383" s="83" t="s">
        <v>335</v>
      </c>
      <c r="C383" s="83" t="s">
        <v>66</v>
      </c>
      <c r="D383" s="83" t="s">
        <v>15</v>
      </c>
      <c r="E383" s="83" t="s">
        <v>356</v>
      </c>
      <c r="F383" s="83" t="s">
        <v>18</v>
      </c>
      <c r="G383" s="83" t="s">
        <v>18</v>
      </c>
      <c r="H383" s="83">
        <v>1</v>
      </c>
      <c r="I383" s="83" t="s">
        <v>18</v>
      </c>
      <c r="J383" s="83" t="s">
        <v>18</v>
      </c>
      <c r="K383" s="83" t="s">
        <v>18</v>
      </c>
      <c r="L383" s="83" t="s">
        <v>18</v>
      </c>
    </row>
    <row r="384" spans="1:12">
      <c r="A384" s="83" t="s">
        <v>18</v>
      </c>
      <c r="B384" s="83" t="s">
        <v>335</v>
      </c>
      <c r="C384" s="83" t="s">
        <v>66</v>
      </c>
      <c r="D384" s="83" t="s">
        <v>15</v>
      </c>
      <c r="E384" s="83" t="s">
        <v>356</v>
      </c>
      <c r="F384" s="83" t="s">
        <v>18</v>
      </c>
      <c r="G384" s="83" t="s">
        <v>18</v>
      </c>
      <c r="H384" s="83" t="s">
        <v>18</v>
      </c>
      <c r="I384" s="83">
        <v>1</v>
      </c>
      <c r="J384" s="83" t="s">
        <v>18</v>
      </c>
      <c r="K384" s="83" t="s">
        <v>18</v>
      </c>
      <c r="L384" s="83" t="s">
        <v>18</v>
      </c>
    </row>
    <row r="385" spans="1:12">
      <c r="A385" s="83" t="s">
        <v>18</v>
      </c>
      <c r="B385" s="83" t="s">
        <v>335</v>
      </c>
      <c r="C385" s="83" t="s">
        <v>66</v>
      </c>
      <c r="D385" s="83" t="s">
        <v>15</v>
      </c>
      <c r="E385" s="83" t="s">
        <v>356</v>
      </c>
      <c r="F385" s="83" t="s">
        <v>18</v>
      </c>
      <c r="G385" s="83" t="s">
        <v>18</v>
      </c>
      <c r="H385" s="83">
        <v>1</v>
      </c>
      <c r="I385" s="83" t="s">
        <v>18</v>
      </c>
      <c r="J385" s="83" t="s">
        <v>18</v>
      </c>
      <c r="K385" s="83" t="s">
        <v>18</v>
      </c>
      <c r="L385" s="83" t="s">
        <v>18</v>
      </c>
    </row>
    <row r="386" spans="1:12">
      <c r="A386" s="83" t="s">
        <v>18</v>
      </c>
      <c r="B386" s="83" t="s">
        <v>335</v>
      </c>
      <c r="C386" s="83" t="s">
        <v>66</v>
      </c>
      <c r="D386" s="83" t="s">
        <v>15</v>
      </c>
      <c r="E386" s="83" t="s">
        <v>356</v>
      </c>
      <c r="F386" s="83" t="s">
        <v>18</v>
      </c>
      <c r="G386" s="83" t="s">
        <v>18</v>
      </c>
      <c r="H386" s="83">
        <v>1</v>
      </c>
      <c r="I386" s="83" t="s">
        <v>18</v>
      </c>
      <c r="J386" s="83" t="s">
        <v>18</v>
      </c>
      <c r="K386" s="83" t="s">
        <v>18</v>
      </c>
      <c r="L386" s="83" t="s">
        <v>18</v>
      </c>
    </row>
    <row r="387" spans="1:12">
      <c r="A387" s="83" t="s">
        <v>18</v>
      </c>
      <c r="B387" s="83" t="s">
        <v>335</v>
      </c>
      <c r="C387" s="83" t="s">
        <v>66</v>
      </c>
      <c r="D387" s="83" t="s">
        <v>15</v>
      </c>
      <c r="E387" s="83" t="s">
        <v>356</v>
      </c>
      <c r="F387" s="83" t="s">
        <v>18</v>
      </c>
      <c r="G387" s="83" t="s">
        <v>18</v>
      </c>
      <c r="H387" s="83" t="s">
        <v>18</v>
      </c>
      <c r="I387" s="83" t="s">
        <v>18</v>
      </c>
      <c r="J387" s="83" t="s">
        <v>18</v>
      </c>
      <c r="K387" s="83" t="s">
        <v>18</v>
      </c>
      <c r="L387" s="83">
        <v>1</v>
      </c>
    </row>
    <row r="388" spans="1:12">
      <c r="A388" s="83" t="s">
        <v>359</v>
      </c>
      <c r="B388" s="83" t="s">
        <v>360</v>
      </c>
      <c r="C388" s="83" t="s">
        <v>66</v>
      </c>
      <c r="D388" s="83" t="s">
        <v>91</v>
      </c>
      <c r="E388" s="83" t="s">
        <v>67</v>
      </c>
      <c r="F388" s="83" t="s">
        <v>359</v>
      </c>
      <c r="G388" s="83" t="s">
        <v>68</v>
      </c>
      <c r="H388" s="83" t="s">
        <v>18</v>
      </c>
      <c r="I388" s="83">
        <v>1</v>
      </c>
      <c r="J388" s="83" t="s">
        <v>18</v>
      </c>
      <c r="K388" s="83" t="s">
        <v>18</v>
      </c>
      <c r="L388" s="83" t="s">
        <v>18</v>
      </c>
    </row>
    <row r="389" spans="1:12">
      <c r="A389" s="83" t="s">
        <v>361</v>
      </c>
      <c r="B389" s="83" t="s">
        <v>360</v>
      </c>
      <c r="C389" s="83" t="s">
        <v>66</v>
      </c>
      <c r="D389" s="83" t="s">
        <v>91</v>
      </c>
      <c r="E389" s="83" t="s">
        <v>67</v>
      </c>
      <c r="F389" s="83" t="s">
        <v>361</v>
      </c>
      <c r="G389" s="83" t="s">
        <v>68</v>
      </c>
      <c r="H389" s="83" t="s">
        <v>18</v>
      </c>
      <c r="I389" s="83">
        <v>1</v>
      </c>
      <c r="J389" s="83" t="s">
        <v>18</v>
      </c>
      <c r="K389" s="83" t="s">
        <v>18</v>
      </c>
      <c r="L389" s="83" t="s">
        <v>18</v>
      </c>
    </row>
    <row r="390" spans="1:12">
      <c r="A390" s="83" t="s">
        <v>362</v>
      </c>
      <c r="B390" s="83" t="s">
        <v>360</v>
      </c>
      <c r="C390" s="83" t="s">
        <v>66</v>
      </c>
      <c r="D390" s="83" t="s">
        <v>95</v>
      </c>
      <c r="E390" s="83" t="s">
        <v>67</v>
      </c>
      <c r="F390" s="83" t="s">
        <v>362</v>
      </c>
      <c r="G390" s="83" t="s">
        <v>68</v>
      </c>
      <c r="H390" s="83" t="s">
        <v>18</v>
      </c>
      <c r="I390" s="83">
        <v>1</v>
      </c>
      <c r="J390" s="83" t="s">
        <v>18</v>
      </c>
      <c r="K390" s="83" t="s">
        <v>18</v>
      </c>
      <c r="L390" s="83" t="s">
        <v>18</v>
      </c>
    </row>
    <row r="391" spans="1:12">
      <c r="A391" s="83" t="s">
        <v>363</v>
      </c>
      <c r="B391" s="83" t="s">
        <v>360</v>
      </c>
      <c r="C391" s="83" t="s">
        <v>66</v>
      </c>
      <c r="D391" s="83" t="s">
        <v>47</v>
      </c>
      <c r="E391" s="83" t="s">
        <v>67</v>
      </c>
      <c r="F391" s="83" t="s">
        <v>363</v>
      </c>
      <c r="G391" s="83" t="s">
        <v>68</v>
      </c>
      <c r="H391" s="83" t="s">
        <v>18</v>
      </c>
      <c r="I391" s="83">
        <v>1</v>
      </c>
      <c r="J391" s="83" t="s">
        <v>18</v>
      </c>
      <c r="K391" s="83" t="s">
        <v>18</v>
      </c>
      <c r="L391" s="83" t="s">
        <v>18</v>
      </c>
    </row>
    <row r="392" spans="1:12">
      <c r="A392" s="83" t="s">
        <v>364</v>
      </c>
      <c r="B392" s="83" t="s">
        <v>360</v>
      </c>
      <c r="C392" s="83" t="s">
        <v>66</v>
      </c>
      <c r="D392" s="83" t="s">
        <v>47</v>
      </c>
      <c r="E392" s="83" t="s">
        <v>67</v>
      </c>
      <c r="F392" s="83" t="s">
        <v>364</v>
      </c>
      <c r="G392" s="83" t="s">
        <v>68</v>
      </c>
      <c r="H392" s="83" t="s">
        <v>18</v>
      </c>
      <c r="I392" s="83">
        <v>1</v>
      </c>
      <c r="J392" s="83" t="s">
        <v>18</v>
      </c>
      <c r="K392" s="83" t="s">
        <v>18</v>
      </c>
      <c r="L392" s="83" t="s">
        <v>18</v>
      </c>
    </row>
    <row r="393" spans="1:12">
      <c r="A393" s="83" t="s">
        <v>365</v>
      </c>
      <c r="B393" s="83" t="s">
        <v>360</v>
      </c>
      <c r="C393" s="83" t="s">
        <v>66</v>
      </c>
      <c r="D393" s="83" t="s">
        <v>95</v>
      </c>
      <c r="E393" s="83" t="s">
        <v>18</v>
      </c>
      <c r="F393" s="83" t="s">
        <v>365</v>
      </c>
      <c r="G393" s="83" t="s">
        <v>75</v>
      </c>
      <c r="H393" s="83" t="s">
        <v>18</v>
      </c>
      <c r="I393" s="83">
        <v>1</v>
      </c>
      <c r="J393" s="83" t="s">
        <v>18</v>
      </c>
      <c r="K393" s="83" t="s">
        <v>18</v>
      </c>
      <c r="L393" s="83" t="s">
        <v>18</v>
      </c>
    </row>
    <row r="394" spans="1:12">
      <c r="A394" s="83" t="s">
        <v>98</v>
      </c>
      <c r="B394" s="83" t="s">
        <v>360</v>
      </c>
      <c r="C394" s="83" t="s">
        <v>66</v>
      </c>
      <c r="D394" s="83" t="s">
        <v>93</v>
      </c>
      <c r="E394" s="83" t="s">
        <v>18</v>
      </c>
      <c r="F394" s="83" t="s">
        <v>98</v>
      </c>
      <c r="G394" s="83" t="s">
        <v>75</v>
      </c>
      <c r="H394" s="83" t="s">
        <v>18</v>
      </c>
      <c r="I394" s="83">
        <v>1</v>
      </c>
      <c r="J394" s="83" t="s">
        <v>18</v>
      </c>
      <c r="K394" s="83" t="s">
        <v>18</v>
      </c>
      <c r="L394" s="83" t="s">
        <v>18</v>
      </c>
    </row>
    <row r="395" spans="1:12">
      <c r="A395" s="83" t="s">
        <v>366</v>
      </c>
      <c r="B395" s="83" t="s">
        <v>360</v>
      </c>
      <c r="C395" s="83" t="s">
        <v>66</v>
      </c>
      <c r="D395" s="83" t="s">
        <v>47</v>
      </c>
      <c r="E395" s="83" t="s">
        <v>18</v>
      </c>
      <c r="F395" s="83" t="s">
        <v>366</v>
      </c>
      <c r="G395" s="83" t="s">
        <v>75</v>
      </c>
      <c r="H395" s="83" t="s">
        <v>18</v>
      </c>
      <c r="I395" s="83">
        <v>1</v>
      </c>
      <c r="J395" s="83" t="s">
        <v>18</v>
      </c>
      <c r="K395" s="83" t="s">
        <v>18</v>
      </c>
      <c r="L395" s="83" t="s">
        <v>18</v>
      </c>
    </row>
    <row r="396" spans="1:12">
      <c r="A396" s="83" t="s">
        <v>18</v>
      </c>
      <c r="B396" s="83" t="s">
        <v>360</v>
      </c>
      <c r="C396" s="83" t="s">
        <v>66</v>
      </c>
      <c r="D396" s="83" t="s">
        <v>47</v>
      </c>
      <c r="E396" s="83" t="s">
        <v>78</v>
      </c>
      <c r="F396" s="83" t="s">
        <v>18</v>
      </c>
      <c r="G396" s="83" t="s">
        <v>18</v>
      </c>
      <c r="H396" s="83" t="s">
        <v>18</v>
      </c>
      <c r="I396" s="83">
        <v>1</v>
      </c>
      <c r="J396" s="83" t="s">
        <v>18</v>
      </c>
      <c r="K396" s="83" t="s">
        <v>18</v>
      </c>
      <c r="L396" s="83" t="s">
        <v>18</v>
      </c>
    </row>
    <row r="397" spans="1:12">
      <c r="A397" s="83" t="s">
        <v>367</v>
      </c>
      <c r="B397" s="83" t="s">
        <v>360</v>
      </c>
      <c r="C397" s="83" t="s">
        <v>66</v>
      </c>
      <c r="D397" s="83" t="s">
        <v>93</v>
      </c>
      <c r="E397" s="83" t="s">
        <v>78</v>
      </c>
      <c r="F397" s="83" t="s">
        <v>367</v>
      </c>
      <c r="G397" s="83" t="s">
        <v>75</v>
      </c>
      <c r="H397" s="83" t="s">
        <v>18</v>
      </c>
      <c r="I397" s="83">
        <v>1</v>
      </c>
      <c r="J397" s="83" t="s">
        <v>18</v>
      </c>
      <c r="K397" s="83" t="s">
        <v>18</v>
      </c>
      <c r="L397" s="83" t="s">
        <v>18</v>
      </c>
    </row>
    <row r="398" spans="1:12">
      <c r="A398" s="83" t="s">
        <v>368</v>
      </c>
      <c r="B398" s="83" t="s">
        <v>360</v>
      </c>
      <c r="C398" s="83" t="s">
        <v>66</v>
      </c>
      <c r="D398" s="83" t="s">
        <v>91</v>
      </c>
      <c r="E398" s="83" t="s">
        <v>197</v>
      </c>
      <c r="F398" s="83" t="s">
        <v>368</v>
      </c>
      <c r="G398" s="83" t="s">
        <v>196</v>
      </c>
      <c r="H398" s="83" t="s">
        <v>18</v>
      </c>
      <c r="I398" s="83">
        <v>1</v>
      </c>
      <c r="J398" s="83" t="s">
        <v>18</v>
      </c>
      <c r="K398" s="83" t="s">
        <v>18</v>
      </c>
      <c r="L398" s="83" t="s">
        <v>18</v>
      </c>
    </row>
    <row r="399" spans="1:12">
      <c r="A399" s="83" t="s">
        <v>369</v>
      </c>
      <c r="B399" s="83" t="s">
        <v>360</v>
      </c>
      <c r="C399" s="83" t="s">
        <v>66</v>
      </c>
      <c r="D399" s="83" t="s">
        <v>91</v>
      </c>
      <c r="E399" s="83" t="s">
        <v>18</v>
      </c>
      <c r="F399" s="83" t="s">
        <v>369</v>
      </c>
      <c r="G399" s="83" t="s">
        <v>75</v>
      </c>
      <c r="H399" s="83" t="s">
        <v>18</v>
      </c>
      <c r="I399" s="83" t="s">
        <v>18</v>
      </c>
      <c r="J399" s="83" t="s">
        <v>18</v>
      </c>
      <c r="K399" s="83">
        <v>1</v>
      </c>
      <c r="L399" s="83" t="s">
        <v>18</v>
      </c>
    </row>
    <row r="400" spans="1:12">
      <c r="A400" s="83" t="s">
        <v>370</v>
      </c>
      <c r="B400" s="83" t="s">
        <v>360</v>
      </c>
      <c r="C400" s="83" t="s">
        <v>66</v>
      </c>
      <c r="D400" s="83" t="s">
        <v>91</v>
      </c>
      <c r="E400" s="83" t="s">
        <v>18</v>
      </c>
      <c r="F400" s="83" t="s">
        <v>370</v>
      </c>
      <c r="G400" s="83" t="s">
        <v>75</v>
      </c>
      <c r="H400" s="83" t="s">
        <v>18</v>
      </c>
      <c r="I400" s="83" t="s">
        <v>18</v>
      </c>
      <c r="J400" s="83" t="s">
        <v>18</v>
      </c>
      <c r="K400" s="83">
        <v>1</v>
      </c>
      <c r="L400" s="83" t="s">
        <v>18</v>
      </c>
    </row>
    <row r="401" spans="1:12">
      <c r="A401" s="83" t="s">
        <v>371</v>
      </c>
      <c r="B401" s="83" t="s">
        <v>360</v>
      </c>
      <c r="C401" s="83" t="s">
        <v>66</v>
      </c>
      <c r="D401" s="83" t="s">
        <v>91</v>
      </c>
      <c r="E401" s="83" t="s">
        <v>18</v>
      </c>
      <c r="F401" s="83" t="s">
        <v>371</v>
      </c>
      <c r="G401" s="83" t="s">
        <v>75</v>
      </c>
      <c r="H401" s="83" t="s">
        <v>18</v>
      </c>
      <c r="I401" s="83" t="s">
        <v>18</v>
      </c>
      <c r="J401" s="83" t="s">
        <v>18</v>
      </c>
      <c r="K401" s="83">
        <v>1</v>
      </c>
      <c r="L401" s="83" t="s">
        <v>18</v>
      </c>
    </row>
    <row r="402" spans="1:12">
      <c r="A402" s="83" t="s">
        <v>372</v>
      </c>
      <c r="B402" s="83" t="s">
        <v>360</v>
      </c>
      <c r="C402" s="83" t="s">
        <v>66</v>
      </c>
      <c r="D402" s="83" t="s">
        <v>91</v>
      </c>
      <c r="E402" s="83" t="s">
        <v>18</v>
      </c>
      <c r="F402" s="83" t="s">
        <v>372</v>
      </c>
      <c r="G402" s="83" t="s">
        <v>75</v>
      </c>
      <c r="H402" s="83" t="s">
        <v>18</v>
      </c>
      <c r="I402" s="83" t="s">
        <v>18</v>
      </c>
      <c r="J402" s="83" t="s">
        <v>18</v>
      </c>
      <c r="K402" s="83">
        <v>1</v>
      </c>
      <c r="L402" s="83" t="s">
        <v>18</v>
      </c>
    </row>
    <row r="403" spans="1:12">
      <c r="A403" s="83" t="s">
        <v>18</v>
      </c>
      <c r="B403" s="83" t="s">
        <v>360</v>
      </c>
      <c r="C403" s="83" t="s">
        <v>66</v>
      </c>
      <c r="D403" s="83" t="s">
        <v>91</v>
      </c>
      <c r="E403" s="83" t="s">
        <v>78</v>
      </c>
      <c r="F403" s="83" t="s">
        <v>18</v>
      </c>
      <c r="G403" s="83" t="s">
        <v>18</v>
      </c>
      <c r="H403" s="83">
        <v>1</v>
      </c>
      <c r="I403" s="83" t="s">
        <v>18</v>
      </c>
      <c r="J403" s="83" t="s">
        <v>18</v>
      </c>
      <c r="K403" s="83" t="s">
        <v>18</v>
      </c>
      <c r="L403" s="83" t="s">
        <v>18</v>
      </c>
    </row>
    <row r="404" spans="1:12">
      <c r="A404" s="83" t="s">
        <v>373</v>
      </c>
      <c r="B404" s="83" t="s">
        <v>360</v>
      </c>
      <c r="C404" s="83" t="s">
        <v>66</v>
      </c>
      <c r="D404" s="83" t="s">
        <v>95</v>
      </c>
      <c r="E404" s="83" t="s">
        <v>78</v>
      </c>
      <c r="F404" s="83" t="s">
        <v>373</v>
      </c>
      <c r="G404" s="83" t="s">
        <v>75</v>
      </c>
      <c r="H404" s="83">
        <v>1</v>
      </c>
      <c r="I404" s="83" t="s">
        <v>18</v>
      </c>
      <c r="J404" s="83" t="s">
        <v>18</v>
      </c>
      <c r="K404" s="83" t="s">
        <v>18</v>
      </c>
      <c r="L404" s="83" t="s">
        <v>18</v>
      </c>
    </row>
    <row r="405" spans="1:12">
      <c r="A405" s="83" t="s">
        <v>374</v>
      </c>
      <c r="B405" s="83" t="s">
        <v>360</v>
      </c>
      <c r="C405" s="83" t="s">
        <v>66</v>
      </c>
      <c r="D405" s="83" t="s">
        <v>47</v>
      </c>
      <c r="E405" s="83" t="s">
        <v>78</v>
      </c>
      <c r="F405" s="83" t="s">
        <v>374</v>
      </c>
      <c r="G405" s="83" t="s">
        <v>75</v>
      </c>
      <c r="H405" s="83">
        <v>1</v>
      </c>
      <c r="I405" s="83" t="s">
        <v>18</v>
      </c>
      <c r="J405" s="83" t="s">
        <v>18</v>
      </c>
      <c r="K405" s="83" t="s">
        <v>18</v>
      </c>
      <c r="L405" s="83" t="s">
        <v>18</v>
      </c>
    </row>
    <row r="406" spans="1:12">
      <c r="A406" s="83" t="s">
        <v>375</v>
      </c>
      <c r="B406" s="83" t="s">
        <v>360</v>
      </c>
      <c r="C406" s="83" t="s">
        <v>66</v>
      </c>
      <c r="D406" s="83" t="s">
        <v>93</v>
      </c>
      <c r="E406" s="83" t="s">
        <v>78</v>
      </c>
      <c r="F406" s="83" t="s">
        <v>375</v>
      </c>
      <c r="G406" s="83" t="s">
        <v>75</v>
      </c>
      <c r="H406" s="83">
        <v>1</v>
      </c>
      <c r="I406" s="83" t="s">
        <v>18</v>
      </c>
      <c r="J406" s="83" t="s">
        <v>18</v>
      </c>
      <c r="K406" s="83" t="s">
        <v>18</v>
      </c>
      <c r="L406" s="83" t="s">
        <v>18</v>
      </c>
    </row>
    <row r="407" spans="1:12">
      <c r="A407" s="83" t="s">
        <v>376</v>
      </c>
      <c r="B407" s="83" t="s">
        <v>360</v>
      </c>
      <c r="C407" s="83" t="s">
        <v>66</v>
      </c>
      <c r="D407" s="83" t="s">
        <v>47</v>
      </c>
      <c r="E407" s="83" t="s">
        <v>18</v>
      </c>
      <c r="F407" s="83" t="s">
        <v>376</v>
      </c>
      <c r="G407" s="83" t="s">
        <v>75</v>
      </c>
      <c r="H407" s="83">
        <v>1</v>
      </c>
      <c r="I407" s="83" t="s">
        <v>18</v>
      </c>
      <c r="J407" s="83" t="s">
        <v>18</v>
      </c>
      <c r="K407" s="83" t="s">
        <v>18</v>
      </c>
      <c r="L407" s="83" t="s">
        <v>18</v>
      </c>
    </row>
    <row r="408" spans="1:12">
      <c r="A408" s="83" t="s">
        <v>377</v>
      </c>
      <c r="B408" s="83" t="s">
        <v>360</v>
      </c>
      <c r="C408" s="83" t="s">
        <v>66</v>
      </c>
      <c r="D408" s="83" t="s">
        <v>47</v>
      </c>
      <c r="E408" s="83" t="s">
        <v>18</v>
      </c>
      <c r="F408" s="83" t="s">
        <v>377</v>
      </c>
      <c r="G408" s="83" t="s">
        <v>75</v>
      </c>
      <c r="H408" s="83">
        <v>1</v>
      </c>
      <c r="I408" s="83">
        <v>2</v>
      </c>
      <c r="J408" s="83" t="s">
        <v>18</v>
      </c>
      <c r="K408" s="83" t="s">
        <v>18</v>
      </c>
      <c r="L408" s="83" t="s">
        <v>18</v>
      </c>
    </row>
    <row r="409" spans="1:12">
      <c r="A409" s="83" t="s">
        <v>378</v>
      </c>
      <c r="B409" s="83" t="s">
        <v>360</v>
      </c>
      <c r="C409" s="83" t="s">
        <v>66</v>
      </c>
      <c r="D409" s="83" t="s">
        <v>47</v>
      </c>
      <c r="E409" s="83" t="s">
        <v>78</v>
      </c>
      <c r="F409" s="83" t="s">
        <v>378</v>
      </c>
      <c r="G409" s="83" t="s">
        <v>75</v>
      </c>
      <c r="H409" s="83">
        <v>1</v>
      </c>
      <c r="I409" s="83">
        <v>2</v>
      </c>
      <c r="J409" s="83" t="s">
        <v>18</v>
      </c>
      <c r="K409" s="83" t="s">
        <v>18</v>
      </c>
      <c r="L409" s="83" t="s">
        <v>18</v>
      </c>
    </row>
    <row r="410" spans="1:12">
      <c r="A410" s="83" t="s">
        <v>379</v>
      </c>
      <c r="B410" s="83" t="s">
        <v>360</v>
      </c>
      <c r="C410" s="83" t="s">
        <v>66</v>
      </c>
      <c r="D410" s="83" t="s">
        <v>93</v>
      </c>
      <c r="E410" s="83" t="s">
        <v>18</v>
      </c>
      <c r="F410" s="83" t="s">
        <v>379</v>
      </c>
      <c r="G410" s="83" t="s">
        <v>75</v>
      </c>
      <c r="H410" s="83">
        <v>1</v>
      </c>
      <c r="I410" s="83">
        <v>2</v>
      </c>
      <c r="J410" s="83" t="s">
        <v>18</v>
      </c>
      <c r="K410" s="83" t="s">
        <v>18</v>
      </c>
      <c r="L410" s="83" t="s">
        <v>18</v>
      </c>
    </row>
    <row r="411" spans="1:12">
      <c r="A411" s="83" t="s">
        <v>18</v>
      </c>
      <c r="B411" s="83" t="s">
        <v>360</v>
      </c>
      <c r="C411" s="83" t="s">
        <v>66</v>
      </c>
      <c r="D411" s="83" t="s">
        <v>91</v>
      </c>
      <c r="E411" s="83" t="s">
        <v>78</v>
      </c>
      <c r="F411" s="83" t="s">
        <v>18</v>
      </c>
      <c r="G411" s="83" t="s">
        <v>18</v>
      </c>
      <c r="H411" s="83">
        <v>1</v>
      </c>
      <c r="I411" s="83">
        <v>1</v>
      </c>
      <c r="J411" s="83" t="s">
        <v>18</v>
      </c>
      <c r="K411" s="83" t="s">
        <v>18</v>
      </c>
      <c r="L411" s="83">
        <v>1</v>
      </c>
    </row>
    <row r="412" spans="1:12">
      <c r="A412" s="83" t="s">
        <v>18</v>
      </c>
      <c r="B412" s="83" t="s">
        <v>360</v>
      </c>
      <c r="C412" s="83" t="s">
        <v>66</v>
      </c>
      <c r="D412" s="83" t="s">
        <v>93</v>
      </c>
      <c r="E412" s="83" t="s">
        <v>78</v>
      </c>
      <c r="F412" s="83" t="s">
        <v>18</v>
      </c>
      <c r="G412" s="83" t="s">
        <v>18</v>
      </c>
      <c r="H412" s="83">
        <v>1</v>
      </c>
      <c r="I412" s="83">
        <v>1</v>
      </c>
      <c r="J412" s="83" t="s">
        <v>18</v>
      </c>
      <c r="K412" s="83" t="s">
        <v>18</v>
      </c>
      <c r="L412" s="83">
        <v>1</v>
      </c>
    </row>
    <row r="413" spans="1:12">
      <c r="A413" s="83" t="s">
        <v>18</v>
      </c>
      <c r="B413" s="83" t="s">
        <v>360</v>
      </c>
      <c r="C413" s="83" t="s">
        <v>66</v>
      </c>
      <c r="D413" s="83" t="s">
        <v>47</v>
      </c>
      <c r="E413" s="83" t="s">
        <v>78</v>
      </c>
      <c r="F413" s="83" t="s">
        <v>18</v>
      </c>
      <c r="G413" s="83" t="s">
        <v>18</v>
      </c>
      <c r="H413" s="83">
        <v>2</v>
      </c>
      <c r="I413" s="83">
        <v>2</v>
      </c>
      <c r="J413" s="83" t="s">
        <v>18</v>
      </c>
      <c r="K413" s="83" t="s">
        <v>18</v>
      </c>
      <c r="L413" s="83" t="s">
        <v>18</v>
      </c>
    </row>
    <row r="414" spans="1:12">
      <c r="A414" s="83" t="s">
        <v>18</v>
      </c>
      <c r="B414" s="83" t="s">
        <v>360</v>
      </c>
      <c r="C414" s="83" t="s">
        <v>66</v>
      </c>
      <c r="D414" s="83" t="s">
        <v>93</v>
      </c>
      <c r="E414" s="83" t="s">
        <v>192</v>
      </c>
      <c r="F414" s="83" t="s">
        <v>18</v>
      </c>
      <c r="G414" s="83" t="s">
        <v>18</v>
      </c>
      <c r="H414" s="83">
        <v>2</v>
      </c>
      <c r="I414" s="83">
        <v>2</v>
      </c>
      <c r="J414" s="83" t="s">
        <v>18</v>
      </c>
      <c r="K414" s="83" t="s">
        <v>18</v>
      </c>
      <c r="L414" s="83" t="s">
        <v>18</v>
      </c>
    </row>
    <row r="415" spans="1:12">
      <c r="A415" s="83" t="s">
        <v>18</v>
      </c>
      <c r="B415" s="83" t="s">
        <v>360</v>
      </c>
      <c r="C415" s="83" t="s">
        <v>66</v>
      </c>
      <c r="D415" s="83" t="s">
        <v>58</v>
      </c>
      <c r="E415" s="83" t="s">
        <v>78</v>
      </c>
      <c r="F415" s="83" t="s">
        <v>18</v>
      </c>
      <c r="G415" s="83" t="s">
        <v>18</v>
      </c>
      <c r="H415" s="83">
        <v>2</v>
      </c>
      <c r="I415" s="83">
        <v>2</v>
      </c>
      <c r="J415" s="83" t="s">
        <v>18</v>
      </c>
      <c r="K415" s="83" t="s">
        <v>18</v>
      </c>
      <c r="L415" s="83" t="s">
        <v>18</v>
      </c>
    </row>
    <row r="416" spans="1:12">
      <c r="A416" s="83" t="s">
        <v>18</v>
      </c>
      <c r="B416" s="83" t="s">
        <v>360</v>
      </c>
      <c r="C416" s="83" t="s">
        <v>66</v>
      </c>
      <c r="D416" s="83" t="s">
        <v>93</v>
      </c>
      <c r="E416" s="83" t="s">
        <v>78</v>
      </c>
      <c r="F416" s="83" t="s">
        <v>18</v>
      </c>
      <c r="G416" s="83" t="s">
        <v>18</v>
      </c>
      <c r="H416" s="83">
        <v>2</v>
      </c>
      <c r="I416" s="83">
        <v>2</v>
      </c>
      <c r="J416" s="83" t="s">
        <v>18</v>
      </c>
      <c r="K416" s="83" t="s">
        <v>18</v>
      </c>
      <c r="L416" s="83" t="s">
        <v>18</v>
      </c>
    </row>
    <row r="417" spans="1:12">
      <c r="A417" s="83" t="s">
        <v>18</v>
      </c>
      <c r="B417" s="83" t="s">
        <v>360</v>
      </c>
      <c r="C417" s="83" t="s">
        <v>66</v>
      </c>
      <c r="D417" s="83" t="s">
        <v>93</v>
      </c>
      <c r="E417" s="83" t="s">
        <v>78</v>
      </c>
      <c r="F417" s="83" t="s">
        <v>18</v>
      </c>
      <c r="G417" s="83" t="s">
        <v>18</v>
      </c>
      <c r="H417" s="83">
        <v>2</v>
      </c>
      <c r="I417" s="83">
        <v>2</v>
      </c>
      <c r="J417" s="83" t="s">
        <v>18</v>
      </c>
      <c r="K417" s="83" t="s">
        <v>18</v>
      </c>
      <c r="L417" s="83" t="s">
        <v>18</v>
      </c>
    </row>
    <row r="418" spans="1:12">
      <c r="A418" s="83" t="s">
        <v>380</v>
      </c>
      <c r="B418" s="83" t="s">
        <v>360</v>
      </c>
      <c r="C418" s="83" t="s">
        <v>66</v>
      </c>
      <c r="D418" s="83" t="s">
        <v>93</v>
      </c>
      <c r="E418" s="83" t="s">
        <v>78</v>
      </c>
      <c r="F418" s="83" t="s">
        <v>380</v>
      </c>
      <c r="G418" s="83" t="s">
        <v>75</v>
      </c>
      <c r="H418" s="83">
        <v>1</v>
      </c>
      <c r="I418" s="83">
        <v>2</v>
      </c>
      <c r="J418" s="83" t="s">
        <v>18</v>
      </c>
      <c r="K418" s="83" t="s">
        <v>18</v>
      </c>
      <c r="L418" s="83" t="s">
        <v>18</v>
      </c>
    </row>
    <row r="419" spans="1:12">
      <c r="A419" s="83" t="s">
        <v>381</v>
      </c>
      <c r="B419" s="83" t="s">
        <v>382</v>
      </c>
      <c r="C419" s="83" t="s">
        <v>383</v>
      </c>
      <c r="D419" s="83" t="s">
        <v>15</v>
      </c>
      <c r="E419" s="83" t="s">
        <v>18</v>
      </c>
      <c r="F419" s="83" t="s">
        <v>381</v>
      </c>
      <c r="G419" s="83" t="s">
        <v>384</v>
      </c>
      <c r="H419" s="83" t="s">
        <v>18</v>
      </c>
      <c r="I419" s="83" t="s">
        <v>18</v>
      </c>
      <c r="J419" s="83" t="s">
        <v>18</v>
      </c>
      <c r="K419" s="83">
        <v>1</v>
      </c>
      <c r="L419" s="83" t="s">
        <v>18</v>
      </c>
    </row>
    <row r="420" spans="1:12">
      <c r="A420" s="83" t="s">
        <v>385</v>
      </c>
      <c r="B420" s="83" t="s">
        <v>382</v>
      </c>
      <c r="C420" s="83" t="s">
        <v>383</v>
      </c>
      <c r="D420" s="83" t="s">
        <v>15</v>
      </c>
      <c r="E420" s="83" t="s">
        <v>386</v>
      </c>
      <c r="F420" s="83" t="s">
        <v>385</v>
      </c>
      <c r="G420" s="83" t="s">
        <v>384</v>
      </c>
      <c r="H420" s="83" t="s">
        <v>18</v>
      </c>
      <c r="I420" s="83">
        <v>1</v>
      </c>
      <c r="J420" s="83" t="s">
        <v>18</v>
      </c>
      <c r="K420" s="83" t="s">
        <v>18</v>
      </c>
      <c r="L420" s="83" t="s">
        <v>18</v>
      </c>
    </row>
    <row r="421" spans="1:12">
      <c r="A421" s="83" t="s">
        <v>387</v>
      </c>
      <c r="B421" s="83" t="s">
        <v>382</v>
      </c>
      <c r="C421" s="83" t="s">
        <v>383</v>
      </c>
      <c r="D421" s="83" t="s">
        <v>15</v>
      </c>
      <c r="E421" s="83" t="s">
        <v>386</v>
      </c>
      <c r="F421" s="83" t="s">
        <v>387</v>
      </c>
      <c r="G421" s="83" t="s">
        <v>384</v>
      </c>
      <c r="H421" s="83" t="s">
        <v>18</v>
      </c>
      <c r="I421" s="83">
        <v>1</v>
      </c>
      <c r="J421" s="83" t="s">
        <v>18</v>
      </c>
      <c r="K421" s="83" t="s">
        <v>18</v>
      </c>
      <c r="L421" s="83" t="s">
        <v>18</v>
      </c>
    </row>
    <row r="422" spans="1:12">
      <c r="A422" s="83" t="s">
        <v>388</v>
      </c>
      <c r="B422" s="83" t="s">
        <v>382</v>
      </c>
      <c r="C422" s="83" t="s">
        <v>383</v>
      </c>
      <c r="D422" s="83" t="s">
        <v>15</v>
      </c>
      <c r="E422" s="83" t="s">
        <v>386</v>
      </c>
      <c r="F422" s="83" t="s">
        <v>388</v>
      </c>
      <c r="G422" s="83" t="s">
        <v>384</v>
      </c>
      <c r="H422" s="83" t="s">
        <v>18</v>
      </c>
      <c r="I422" s="83">
        <v>1</v>
      </c>
      <c r="J422" s="83" t="s">
        <v>18</v>
      </c>
      <c r="K422" s="83" t="s">
        <v>18</v>
      </c>
      <c r="L422" s="83" t="s">
        <v>18</v>
      </c>
    </row>
    <row r="423" spans="1:12">
      <c r="A423" s="83" t="s">
        <v>389</v>
      </c>
      <c r="B423" s="83" t="s">
        <v>382</v>
      </c>
      <c r="C423" s="83" t="s">
        <v>383</v>
      </c>
      <c r="D423" s="83" t="s">
        <v>15</v>
      </c>
      <c r="E423" s="83" t="s">
        <v>386</v>
      </c>
      <c r="F423" s="83" t="s">
        <v>389</v>
      </c>
      <c r="G423" s="83" t="s">
        <v>384</v>
      </c>
      <c r="H423" s="83" t="s">
        <v>18</v>
      </c>
      <c r="I423" s="83">
        <v>1</v>
      </c>
      <c r="J423" s="83" t="s">
        <v>18</v>
      </c>
      <c r="K423" s="83" t="s">
        <v>18</v>
      </c>
      <c r="L423" s="83" t="s">
        <v>18</v>
      </c>
    </row>
    <row r="424" spans="1:12">
      <c r="A424" s="83" t="s">
        <v>390</v>
      </c>
      <c r="B424" s="83" t="s">
        <v>382</v>
      </c>
      <c r="C424" s="83" t="s">
        <v>383</v>
      </c>
      <c r="D424" s="83" t="s">
        <v>15</v>
      </c>
      <c r="E424" s="83" t="s">
        <v>391</v>
      </c>
      <c r="F424" s="83" t="s">
        <v>390</v>
      </c>
      <c r="G424" s="83" t="s">
        <v>392</v>
      </c>
      <c r="H424" s="83" t="s">
        <v>18</v>
      </c>
      <c r="I424" s="83">
        <v>1</v>
      </c>
      <c r="J424" s="83" t="s">
        <v>18</v>
      </c>
      <c r="K424" s="83" t="s">
        <v>18</v>
      </c>
      <c r="L424" s="83" t="s">
        <v>18</v>
      </c>
    </row>
    <row r="425" spans="1:12">
      <c r="A425" s="83" t="s">
        <v>393</v>
      </c>
      <c r="B425" s="83" t="s">
        <v>382</v>
      </c>
      <c r="C425" s="83" t="s">
        <v>383</v>
      </c>
      <c r="D425" s="83" t="s">
        <v>15</v>
      </c>
      <c r="E425" s="83" t="s">
        <v>391</v>
      </c>
      <c r="F425" s="83" t="s">
        <v>393</v>
      </c>
      <c r="G425" s="83" t="s">
        <v>392</v>
      </c>
      <c r="H425" s="83" t="s">
        <v>18</v>
      </c>
      <c r="I425" s="83">
        <v>1</v>
      </c>
      <c r="J425" s="83" t="s">
        <v>18</v>
      </c>
      <c r="K425" s="83" t="s">
        <v>18</v>
      </c>
      <c r="L425" s="83" t="s">
        <v>18</v>
      </c>
    </row>
    <row r="426" spans="1:12">
      <c r="A426" s="83" t="s">
        <v>394</v>
      </c>
      <c r="B426" s="83" t="s">
        <v>382</v>
      </c>
      <c r="C426" s="83" t="s">
        <v>383</v>
      </c>
      <c r="D426" s="83" t="s">
        <v>15</v>
      </c>
      <c r="E426" s="83" t="s">
        <v>391</v>
      </c>
      <c r="F426" s="83" t="s">
        <v>394</v>
      </c>
      <c r="G426" s="83" t="s">
        <v>392</v>
      </c>
      <c r="H426" s="83" t="s">
        <v>18</v>
      </c>
      <c r="I426" s="83">
        <v>1</v>
      </c>
      <c r="J426" s="83" t="s">
        <v>18</v>
      </c>
      <c r="K426" s="83" t="s">
        <v>18</v>
      </c>
      <c r="L426" s="83" t="s">
        <v>18</v>
      </c>
    </row>
    <row r="427" spans="1:12">
      <c r="A427" s="83" t="s">
        <v>395</v>
      </c>
      <c r="B427" s="83" t="s">
        <v>382</v>
      </c>
      <c r="C427" s="83" t="s">
        <v>383</v>
      </c>
      <c r="D427" s="83" t="s">
        <v>15</v>
      </c>
      <c r="E427" s="83" t="s">
        <v>386</v>
      </c>
      <c r="F427" s="83" t="s">
        <v>395</v>
      </c>
      <c r="G427" s="83" t="s">
        <v>384</v>
      </c>
      <c r="H427" s="83">
        <v>1</v>
      </c>
      <c r="I427" s="83">
        <v>2</v>
      </c>
      <c r="J427" s="83" t="s">
        <v>18</v>
      </c>
      <c r="K427" s="83" t="s">
        <v>18</v>
      </c>
      <c r="L427" s="83" t="s">
        <v>18</v>
      </c>
    </row>
    <row r="428" spans="1:12">
      <c r="A428" s="83" t="s">
        <v>396</v>
      </c>
      <c r="B428" s="83" t="s">
        <v>382</v>
      </c>
      <c r="C428" s="83" t="s">
        <v>383</v>
      </c>
      <c r="D428" s="83" t="s">
        <v>15</v>
      </c>
      <c r="E428" s="83" t="s">
        <v>386</v>
      </c>
      <c r="F428" s="83" t="s">
        <v>396</v>
      </c>
      <c r="G428" s="83" t="s">
        <v>384</v>
      </c>
      <c r="H428" s="83">
        <v>1</v>
      </c>
      <c r="I428" s="83">
        <v>2</v>
      </c>
      <c r="J428" s="83" t="s">
        <v>18</v>
      </c>
      <c r="K428" s="83" t="s">
        <v>18</v>
      </c>
      <c r="L428" s="83" t="s">
        <v>18</v>
      </c>
    </row>
    <row r="429" spans="1:12">
      <c r="A429" s="83" t="s">
        <v>397</v>
      </c>
      <c r="B429" s="83" t="s">
        <v>382</v>
      </c>
      <c r="C429" s="83" t="s">
        <v>383</v>
      </c>
      <c r="D429" s="83" t="s">
        <v>15</v>
      </c>
      <c r="E429" s="83" t="s">
        <v>386</v>
      </c>
      <c r="F429" s="83" t="s">
        <v>397</v>
      </c>
      <c r="G429" s="83" t="s">
        <v>384</v>
      </c>
      <c r="H429" s="83">
        <v>1</v>
      </c>
      <c r="I429" s="83">
        <v>2</v>
      </c>
      <c r="J429" s="83" t="s">
        <v>18</v>
      </c>
      <c r="K429" s="83" t="s">
        <v>18</v>
      </c>
      <c r="L429" s="83" t="s">
        <v>18</v>
      </c>
    </row>
    <row r="430" spans="1:12">
      <c r="A430" s="83" t="s">
        <v>398</v>
      </c>
      <c r="B430" s="83" t="s">
        <v>382</v>
      </c>
      <c r="C430" s="83" t="s">
        <v>383</v>
      </c>
      <c r="D430" s="83" t="s">
        <v>15</v>
      </c>
      <c r="E430" s="83" t="s">
        <v>386</v>
      </c>
      <c r="F430" s="83" t="s">
        <v>398</v>
      </c>
      <c r="G430" s="83" t="s">
        <v>384</v>
      </c>
      <c r="H430" s="83">
        <v>1</v>
      </c>
      <c r="I430" s="83">
        <v>2</v>
      </c>
      <c r="J430" s="83" t="s">
        <v>18</v>
      </c>
      <c r="K430" s="83" t="s">
        <v>18</v>
      </c>
      <c r="L430" s="83" t="s">
        <v>18</v>
      </c>
    </row>
    <row r="431" spans="1:12">
      <c r="A431" s="83" t="s">
        <v>399</v>
      </c>
      <c r="B431" s="83" t="s">
        <v>382</v>
      </c>
      <c r="C431" s="83" t="s">
        <v>383</v>
      </c>
      <c r="D431" s="83" t="s">
        <v>15</v>
      </c>
      <c r="E431" s="83" t="s">
        <v>386</v>
      </c>
      <c r="F431" s="83" t="s">
        <v>399</v>
      </c>
      <c r="G431" s="83" t="s">
        <v>384</v>
      </c>
      <c r="H431" s="83">
        <v>1</v>
      </c>
      <c r="I431" s="83">
        <v>2</v>
      </c>
      <c r="J431" s="83" t="s">
        <v>18</v>
      </c>
      <c r="K431" s="83" t="s">
        <v>18</v>
      </c>
      <c r="L431" s="83" t="s">
        <v>18</v>
      </c>
    </row>
    <row r="432" spans="1:12">
      <c r="A432" s="83" t="s">
        <v>400</v>
      </c>
      <c r="B432" s="83" t="s">
        <v>382</v>
      </c>
      <c r="C432" s="83" t="s">
        <v>383</v>
      </c>
      <c r="D432" s="83" t="s">
        <v>15</v>
      </c>
      <c r="E432" s="83" t="s">
        <v>386</v>
      </c>
      <c r="F432" s="83" t="s">
        <v>400</v>
      </c>
      <c r="G432" s="83" t="s">
        <v>384</v>
      </c>
      <c r="H432" s="83">
        <v>1</v>
      </c>
      <c r="I432" s="83">
        <v>2</v>
      </c>
      <c r="J432" s="83" t="s">
        <v>18</v>
      </c>
      <c r="K432" s="83" t="s">
        <v>18</v>
      </c>
      <c r="L432" s="83" t="s">
        <v>18</v>
      </c>
    </row>
    <row r="433" spans="1:12">
      <c r="A433" s="83" t="s">
        <v>18</v>
      </c>
      <c r="B433" s="83" t="s">
        <v>382</v>
      </c>
      <c r="C433" s="83" t="s">
        <v>383</v>
      </c>
      <c r="D433" s="83" t="s">
        <v>15</v>
      </c>
      <c r="E433" s="83" t="s">
        <v>386</v>
      </c>
      <c r="F433" s="83" t="s">
        <v>18</v>
      </c>
      <c r="G433" s="83" t="s">
        <v>384</v>
      </c>
      <c r="H433" s="83">
        <v>2</v>
      </c>
      <c r="I433" s="83">
        <v>2</v>
      </c>
      <c r="J433" s="83" t="s">
        <v>18</v>
      </c>
      <c r="K433" s="83" t="s">
        <v>18</v>
      </c>
      <c r="L433" s="83" t="s">
        <v>18</v>
      </c>
    </row>
    <row r="434" spans="1:12">
      <c r="A434" s="83" t="s">
        <v>18</v>
      </c>
      <c r="B434" s="83" t="s">
        <v>382</v>
      </c>
      <c r="C434" s="83" t="s">
        <v>383</v>
      </c>
      <c r="D434" s="83" t="s">
        <v>15</v>
      </c>
      <c r="E434" s="83" t="s">
        <v>386</v>
      </c>
      <c r="F434" s="83" t="s">
        <v>18</v>
      </c>
      <c r="G434" s="83" t="s">
        <v>384</v>
      </c>
      <c r="H434" s="83">
        <v>2</v>
      </c>
      <c r="I434" s="83">
        <v>2</v>
      </c>
      <c r="J434" s="83" t="s">
        <v>18</v>
      </c>
      <c r="K434" s="83" t="s">
        <v>18</v>
      </c>
      <c r="L434" s="83" t="s">
        <v>18</v>
      </c>
    </row>
    <row r="435" spans="1:12">
      <c r="B435" s="83" t="s">
        <v>382</v>
      </c>
      <c r="C435" s="83" t="s">
        <v>401</v>
      </c>
      <c r="D435" s="83" t="s">
        <v>24</v>
      </c>
      <c r="E435" s="83" t="s">
        <v>402</v>
      </c>
      <c r="H435" s="83">
        <v>1</v>
      </c>
      <c r="I435" s="83">
        <v>1</v>
      </c>
      <c r="J435" s="83" t="s">
        <v>18</v>
      </c>
      <c r="K435" s="83" t="s">
        <v>18</v>
      </c>
      <c r="L435" s="83">
        <v>1</v>
      </c>
    </row>
    <row r="436" spans="1:12">
      <c r="B436" s="83" t="s">
        <v>382</v>
      </c>
      <c r="C436" s="83" t="s">
        <v>401</v>
      </c>
      <c r="D436" s="83" t="s">
        <v>24</v>
      </c>
      <c r="E436" s="83" t="s">
        <v>402</v>
      </c>
      <c r="H436" s="83">
        <v>1</v>
      </c>
      <c r="I436" s="83">
        <v>1</v>
      </c>
      <c r="J436" s="83" t="s">
        <v>18</v>
      </c>
      <c r="K436" s="83" t="s">
        <v>18</v>
      </c>
      <c r="L436" s="83">
        <v>1</v>
      </c>
    </row>
    <row r="437" spans="1:12">
      <c r="A437" s="83" t="s">
        <v>403</v>
      </c>
      <c r="B437" s="83" t="s">
        <v>382</v>
      </c>
      <c r="C437" s="83" t="s">
        <v>404</v>
      </c>
      <c r="D437" s="83" t="s">
        <v>15</v>
      </c>
      <c r="E437" s="83" t="s">
        <v>405</v>
      </c>
      <c r="F437" s="83" t="s">
        <v>403</v>
      </c>
      <c r="G437" s="83" t="s">
        <v>406</v>
      </c>
      <c r="H437" s="83" t="s">
        <v>18</v>
      </c>
      <c r="I437" s="83">
        <v>1</v>
      </c>
      <c r="J437" s="83" t="s">
        <v>18</v>
      </c>
      <c r="K437" s="83">
        <v>2</v>
      </c>
      <c r="L437" s="83" t="s">
        <v>18</v>
      </c>
    </row>
    <row r="438" spans="1:12">
      <c r="A438" s="83" t="s">
        <v>407</v>
      </c>
      <c r="B438" s="83" t="s">
        <v>382</v>
      </c>
      <c r="C438" s="83" t="s">
        <v>404</v>
      </c>
      <c r="D438" s="83" t="s">
        <v>15</v>
      </c>
      <c r="E438" s="83" t="s">
        <v>405</v>
      </c>
      <c r="F438" s="83" t="s">
        <v>407</v>
      </c>
      <c r="G438" s="83" t="s">
        <v>406</v>
      </c>
      <c r="H438" s="83" t="s">
        <v>18</v>
      </c>
      <c r="I438" s="83" t="s">
        <v>18</v>
      </c>
      <c r="J438" s="83" t="s">
        <v>18</v>
      </c>
      <c r="K438" s="83">
        <v>1</v>
      </c>
      <c r="L438" s="83" t="s">
        <v>18</v>
      </c>
    </row>
    <row r="439" spans="1:12">
      <c r="A439" s="83" t="s">
        <v>408</v>
      </c>
      <c r="B439" s="83" t="s">
        <v>382</v>
      </c>
      <c r="C439" s="83" t="s">
        <v>404</v>
      </c>
      <c r="D439" s="83" t="s">
        <v>15</v>
      </c>
      <c r="E439" s="83" t="s">
        <v>18</v>
      </c>
      <c r="F439" s="83" t="s">
        <v>408</v>
      </c>
      <c r="G439" s="83" t="s">
        <v>406</v>
      </c>
      <c r="H439" s="83">
        <v>1</v>
      </c>
      <c r="I439" s="83">
        <v>2</v>
      </c>
      <c r="J439" s="83" t="s">
        <v>18</v>
      </c>
      <c r="K439" s="83">
        <v>1</v>
      </c>
      <c r="L439" s="83" t="s">
        <v>18</v>
      </c>
    </row>
    <row r="440" spans="1:12">
      <c r="A440" s="83" t="s">
        <v>18</v>
      </c>
      <c r="B440" s="83" t="s">
        <v>382</v>
      </c>
      <c r="C440" s="83" t="s">
        <v>404</v>
      </c>
      <c r="D440" s="83" t="s">
        <v>15</v>
      </c>
      <c r="E440" s="83" t="s">
        <v>405</v>
      </c>
      <c r="F440" s="83" t="s">
        <v>18</v>
      </c>
      <c r="G440" s="83" t="s">
        <v>18</v>
      </c>
      <c r="H440" s="83" t="s">
        <v>18</v>
      </c>
      <c r="I440" s="83">
        <v>1</v>
      </c>
      <c r="J440" s="83" t="s">
        <v>18</v>
      </c>
      <c r="K440" s="83" t="s">
        <v>18</v>
      </c>
      <c r="L440" s="83" t="s">
        <v>18</v>
      </c>
    </row>
    <row r="441" spans="1:12">
      <c r="A441" s="83" t="s">
        <v>18</v>
      </c>
      <c r="B441" s="83" t="s">
        <v>382</v>
      </c>
      <c r="C441" s="83" t="s">
        <v>404</v>
      </c>
      <c r="D441" s="83" t="s">
        <v>15</v>
      </c>
      <c r="E441" s="83" t="s">
        <v>405</v>
      </c>
      <c r="F441" s="83" t="s">
        <v>18</v>
      </c>
      <c r="G441" s="83" t="s">
        <v>18</v>
      </c>
      <c r="H441" s="83" t="s">
        <v>18</v>
      </c>
      <c r="I441" s="83">
        <v>1</v>
      </c>
      <c r="J441" s="83" t="s">
        <v>18</v>
      </c>
      <c r="K441" s="83" t="s">
        <v>18</v>
      </c>
      <c r="L441" s="83" t="s">
        <v>18</v>
      </c>
    </row>
    <row r="442" spans="1:12">
      <c r="A442" s="83" t="s">
        <v>18</v>
      </c>
      <c r="B442" s="83" t="s">
        <v>382</v>
      </c>
      <c r="C442" s="83" t="s">
        <v>404</v>
      </c>
      <c r="D442" s="83" t="s">
        <v>15</v>
      </c>
      <c r="E442" s="83" t="s">
        <v>405</v>
      </c>
      <c r="F442" s="83" t="s">
        <v>18</v>
      </c>
      <c r="G442" s="83" t="s">
        <v>18</v>
      </c>
      <c r="H442" s="83" t="s">
        <v>18</v>
      </c>
      <c r="I442" s="83">
        <v>1</v>
      </c>
      <c r="J442" s="83" t="s">
        <v>18</v>
      </c>
      <c r="K442" s="83" t="s">
        <v>18</v>
      </c>
      <c r="L442" s="83" t="s">
        <v>18</v>
      </c>
    </row>
    <row r="443" spans="1:12">
      <c r="A443" s="83" t="s">
        <v>18</v>
      </c>
      <c r="B443" s="83" t="s">
        <v>382</v>
      </c>
      <c r="C443" s="83" t="s">
        <v>404</v>
      </c>
      <c r="D443" s="83" t="s">
        <v>15</v>
      </c>
      <c r="E443" s="83" t="s">
        <v>405</v>
      </c>
      <c r="F443" s="83" t="s">
        <v>18</v>
      </c>
      <c r="G443" s="83" t="s">
        <v>18</v>
      </c>
      <c r="H443" s="83" t="s">
        <v>18</v>
      </c>
      <c r="I443" s="83">
        <v>1</v>
      </c>
      <c r="J443" s="83" t="s">
        <v>18</v>
      </c>
      <c r="K443" s="83" t="s">
        <v>18</v>
      </c>
      <c r="L443" s="83" t="s">
        <v>18</v>
      </c>
    </row>
    <row r="444" spans="1:12">
      <c r="A444" s="83" t="s">
        <v>18</v>
      </c>
      <c r="B444" s="83" t="s">
        <v>382</v>
      </c>
      <c r="C444" s="83" t="s">
        <v>404</v>
      </c>
      <c r="D444" s="83" t="s">
        <v>15</v>
      </c>
      <c r="E444" s="83" t="s">
        <v>405</v>
      </c>
      <c r="F444" s="83" t="s">
        <v>18</v>
      </c>
      <c r="G444" s="83" t="s">
        <v>18</v>
      </c>
      <c r="H444" s="83" t="s">
        <v>18</v>
      </c>
      <c r="I444" s="83">
        <v>1</v>
      </c>
      <c r="J444" s="83" t="s">
        <v>18</v>
      </c>
      <c r="K444" s="83" t="s">
        <v>18</v>
      </c>
      <c r="L444" s="83" t="s">
        <v>18</v>
      </c>
    </row>
    <row r="445" spans="1:12">
      <c r="A445" s="83" t="s">
        <v>18</v>
      </c>
      <c r="B445" s="83" t="s">
        <v>382</v>
      </c>
      <c r="C445" s="83" t="s">
        <v>404</v>
      </c>
      <c r="D445" s="83" t="s">
        <v>15</v>
      </c>
      <c r="E445" s="83" t="s">
        <v>405</v>
      </c>
      <c r="F445" s="83" t="s">
        <v>18</v>
      </c>
      <c r="G445" s="83" t="s">
        <v>18</v>
      </c>
      <c r="H445" s="83" t="s">
        <v>18</v>
      </c>
      <c r="I445" s="83">
        <v>1</v>
      </c>
      <c r="J445" s="83" t="s">
        <v>18</v>
      </c>
      <c r="K445" s="83" t="s">
        <v>18</v>
      </c>
      <c r="L445" s="83" t="s">
        <v>18</v>
      </c>
    </row>
    <row r="446" spans="1:12">
      <c r="A446" s="83" t="s">
        <v>18</v>
      </c>
      <c r="B446" s="83" t="s">
        <v>382</v>
      </c>
      <c r="C446" s="83" t="s">
        <v>404</v>
      </c>
      <c r="D446" s="83" t="s">
        <v>15</v>
      </c>
      <c r="E446" s="83" t="s">
        <v>405</v>
      </c>
      <c r="F446" s="83" t="s">
        <v>18</v>
      </c>
      <c r="G446" s="83" t="s">
        <v>18</v>
      </c>
      <c r="H446" s="83">
        <v>1</v>
      </c>
      <c r="I446" s="83" t="s">
        <v>18</v>
      </c>
      <c r="J446" s="83" t="s">
        <v>18</v>
      </c>
      <c r="K446" s="83" t="s">
        <v>18</v>
      </c>
      <c r="L446" s="83" t="s">
        <v>18</v>
      </c>
    </row>
    <row r="447" spans="1:12">
      <c r="A447" s="83" t="s">
        <v>18</v>
      </c>
      <c r="B447" s="83" t="s">
        <v>382</v>
      </c>
      <c r="C447" s="83" t="s">
        <v>404</v>
      </c>
      <c r="D447" s="83" t="s">
        <v>15</v>
      </c>
      <c r="E447" s="83" t="s">
        <v>405</v>
      </c>
      <c r="F447" s="83" t="s">
        <v>18</v>
      </c>
      <c r="G447" s="83" t="s">
        <v>18</v>
      </c>
      <c r="H447" s="83" t="s">
        <v>18</v>
      </c>
      <c r="I447" s="83">
        <v>1</v>
      </c>
      <c r="J447" s="83" t="s">
        <v>18</v>
      </c>
      <c r="K447" s="83" t="s">
        <v>18</v>
      </c>
      <c r="L447" s="83" t="s">
        <v>18</v>
      </c>
    </row>
    <row r="448" spans="1:12">
      <c r="A448" s="83" t="s">
        <v>18</v>
      </c>
      <c r="B448" s="83" t="s">
        <v>382</v>
      </c>
      <c r="C448" s="83" t="s">
        <v>404</v>
      </c>
      <c r="D448" s="83" t="s">
        <v>15</v>
      </c>
      <c r="E448" s="83" t="s">
        <v>405</v>
      </c>
      <c r="F448" s="83" t="s">
        <v>18</v>
      </c>
      <c r="G448" s="83" t="s">
        <v>18</v>
      </c>
      <c r="H448" s="83" t="s">
        <v>18</v>
      </c>
      <c r="I448" s="83">
        <v>1</v>
      </c>
      <c r="J448" s="83" t="s">
        <v>18</v>
      </c>
      <c r="K448" s="83" t="s">
        <v>18</v>
      </c>
      <c r="L448" s="83" t="s">
        <v>18</v>
      </c>
    </row>
    <row r="449" spans="1:12">
      <c r="A449" s="83" t="s">
        <v>18</v>
      </c>
      <c r="B449" s="83" t="s">
        <v>382</v>
      </c>
      <c r="C449" s="83" t="s">
        <v>404</v>
      </c>
      <c r="D449" s="83" t="s">
        <v>15</v>
      </c>
      <c r="E449" s="83" t="s">
        <v>405</v>
      </c>
      <c r="F449" s="83" t="s">
        <v>18</v>
      </c>
      <c r="G449" s="83" t="s">
        <v>18</v>
      </c>
      <c r="H449" s="83" t="s">
        <v>18</v>
      </c>
      <c r="I449" s="83">
        <v>1</v>
      </c>
      <c r="J449" s="83" t="s">
        <v>18</v>
      </c>
      <c r="K449" s="83" t="s">
        <v>18</v>
      </c>
      <c r="L449" s="83" t="s">
        <v>18</v>
      </c>
    </row>
    <row r="450" spans="1:12">
      <c r="A450" s="83" t="s">
        <v>18</v>
      </c>
      <c r="B450" s="83" t="s">
        <v>382</v>
      </c>
      <c r="C450" s="83" t="s">
        <v>404</v>
      </c>
      <c r="D450" s="83" t="s">
        <v>15</v>
      </c>
      <c r="E450" s="83" t="s">
        <v>405</v>
      </c>
      <c r="F450" s="83" t="s">
        <v>18</v>
      </c>
      <c r="G450" s="83" t="s">
        <v>18</v>
      </c>
      <c r="H450" s="83" t="s">
        <v>18</v>
      </c>
      <c r="I450" s="83">
        <v>1</v>
      </c>
      <c r="J450" s="83" t="s">
        <v>18</v>
      </c>
      <c r="K450" s="83" t="s">
        <v>18</v>
      </c>
      <c r="L450" s="83" t="s">
        <v>18</v>
      </c>
    </row>
    <row r="451" spans="1:12">
      <c r="A451" s="83" t="s">
        <v>18</v>
      </c>
      <c r="B451" s="83" t="s">
        <v>382</v>
      </c>
      <c r="C451" s="83" t="s">
        <v>404</v>
      </c>
      <c r="D451" s="83" t="s">
        <v>15</v>
      </c>
      <c r="E451" s="83" t="s">
        <v>405</v>
      </c>
      <c r="F451" s="83" t="s">
        <v>18</v>
      </c>
      <c r="G451" s="83" t="s">
        <v>18</v>
      </c>
      <c r="H451" s="83" t="s">
        <v>18</v>
      </c>
      <c r="I451" s="83">
        <v>1</v>
      </c>
      <c r="J451" s="83" t="s">
        <v>18</v>
      </c>
      <c r="K451" s="83" t="s">
        <v>18</v>
      </c>
      <c r="L451" s="83" t="s">
        <v>18</v>
      </c>
    </row>
    <row r="452" spans="1:12">
      <c r="A452" s="83" t="s">
        <v>18</v>
      </c>
      <c r="B452" s="83" t="s">
        <v>382</v>
      </c>
      <c r="C452" s="83" t="s">
        <v>404</v>
      </c>
      <c r="D452" s="83" t="s">
        <v>15</v>
      </c>
      <c r="E452" s="83" t="s">
        <v>405</v>
      </c>
      <c r="F452" s="83" t="s">
        <v>18</v>
      </c>
      <c r="G452" s="83" t="s">
        <v>18</v>
      </c>
      <c r="H452" s="83" t="s">
        <v>18</v>
      </c>
      <c r="I452" s="83">
        <v>1</v>
      </c>
      <c r="J452" s="83" t="s">
        <v>18</v>
      </c>
      <c r="K452" s="83" t="s">
        <v>18</v>
      </c>
      <c r="L452" s="83" t="s">
        <v>18</v>
      </c>
    </row>
    <row r="453" spans="1:12">
      <c r="A453" s="83" t="s">
        <v>18</v>
      </c>
      <c r="B453" s="83" t="s">
        <v>382</v>
      </c>
      <c r="C453" s="83" t="s">
        <v>404</v>
      </c>
      <c r="D453" s="83" t="s">
        <v>15</v>
      </c>
      <c r="E453" s="83" t="s">
        <v>405</v>
      </c>
      <c r="F453" s="83" t="s">
        <v>18</v>
      </c>
      <c r="G453" s="83" t="s">
        <v>18</v>
      </c>
      <c r="H453" s="83">
        <v>1</v>
      </c>
      <c r="I453" s="83" t="s">
        <v>18</v>
      </c>
      <c r="J453" s="83" t="s">
        <v>18</v>
      </c>
      <c r="K453" s="83" t="s">
        <v>18</v>
      </c>
      <c r="L453" s="83" t="s">
        <v>18</v>
      </c>
    </row>
    <row r="454" spans="1:12">
      <c r="B454" s="83" t="s">
        <v>382</v>
      </c>
      <c r="C454" s="83" t="s">
        <v>409</v>
      </c>
      <c r="D454" s="83" t="s">
        <v>15</v>
      </c>
      <c r="G454" s="83" t="s">
        <v>410</v>
      </c>
      <c r="H454" s="83" t="s">
        <v>18</v>
      </c>
      <c r="I454" s="83" t="s">
        <v>18</v>
      </c>
      <c r="J454" s="83" t="s">
        <v>18</v>
      </c>
      <c r="K454" s="83">
        <v>1</v>
      </c>
      <c r="L454" s="83" t="s">
        <v>18</v>
      </c>
    </row>
    <row r="455" spans="1:12">
      <c r="B455" s="83" t="s">
        <v>382</v>
      </c>
      <c r="C455" s="83" t="s">
        <v>409</v>
      </c>
      <c r="D455" s="83" t="s">
        <v>15</v>
      </c>
      <c r="G455" s="83" t="s">
        <v>411</v>
      </c>
      <c r="H455" s="83" t="s">
        <v>18</v>
      </c>
      <c r="I455" s="83">
        <v>1</v>
      </c>
      <c r="J455" s="83" t="s">
        <v>18</v>
      </c>
      <c r="K455" s="83" t="s">
        <v>18</v>
      </c>
      <c r="L455" s="83" t="s">
        <v>18</v>
      </c>
    </row>
    <row r="456" spans="1:12">
      <c r="B456" s="83" t="s">
        <v>382</v>
      </c>
      <c r="C456" s="83" t="s">
        <v>409</v>
      </c>
      <c r="D456" s="83" t="s">
        <v>15</v>
      </c>
      <c r="G456" s="83" t="s">
        <v>411</v>
      </c>
      <c r="H456" s="83" t="s">
        <v>18</v>
      </c>
      <c r="I456" s="83">
        <v>1</v>
      </c>
      <c r="J456" s="83" t="s">
        <v>18</v>
      </c>
      <c r="K456" s="83" t="s">
        <v>18</v>
      </c>
      <c r="L456" s="83" t="s">
        <v>18</v>
      </c>
    </row>
    <row r="457" spans="1:12">
      <c r="B457" s="83" t="s">
        <v>382</v>
      </c>
      <c r="C457" s="83" t="s">
        <v>409</v>
      </c>
      <c r="D457" s="83" t="s">
        <v>15</v>
      </c>
      <c r="G457" s="83" t="s">
        <v>411</v>
      </c>
      <c r="H457" s="83" t="s">
        <v>18</v>
      </c>
      <c r="I457" s="83">
        <v>1</v>
      </c>
      <c r="J457" s="83" t="s">
        <v>18</v>
      </c>
      <c r="K457" s="83" t="s">
        <v>18</v>
      </c>
      <c r="L457" s="83" t="s">
        <v>18</v>
      </c>
    </row>
    <row r="458" spans="1:12">
      <c r="B458" s="83" t="s">
        <v>382</v>
      </c>
      <c r="C458" s="83" t="s">
        <v>409</v>
      </c>
      <c r="D458" s="83" t="s">
        <v>15</v>
      </c>
      <c r="G458" s="83" t="s">
        <v>411</v>
      </c>
      <c r="H458" s="83" t="s">
        <v>18</v>
      </c>
      <c r="I458" s="83">
        <v>1</v>
      </c>
      <c r="J458" s="83" t="s">
        <v>18</v>
      </c>
      <c r="K458" s="83" t="s">
        <v>18</v>
      </c>
      <c r="L458" s="83" t="s">
        <v>18</v>
      </c>
    </row>
    <row r="459" spans="1:12">
      <c r="B459" s="83" t="s">
        <v>382</v>
      </c>
      <c r="C459" s="83" t="s">
        <v>409</v>
      </c>
      <c r="D459" s="83" t="s">
        <v>15</v>
      </c>
      <c r="G459" s="83" t="s">
        <v>411</v>
      </c>
      <c r="H459" s="83" t="s">
        <v>18</v>
      </c>
      <c r="I459" s="83">
        <v>1</v>
      </c>
      <c r="J459" s="83" t="s">
        <v>18</v>
      </c>
      <c r="K459" s="83" t="s">
        <v>18</v>
      </c>
      <c r="L459" s="83" t="s">
        <v>18</v>
      </c>
    </row>
    <row r="460" spans="1:12">
      <c r="B460" s="83" t="s">
        <v>382</v>
      </c>
      <c r="C460" s="83" t="s">
        <v>409</v>
      </c>
      <c r="D460" s="83" t="s">
        <v>15</v>
      </c>
      <c r="G460" s="83" t="s">
        <v>411</v>
      </c>
      <c r="H460" s="83" t="s">
        <v>18</v>
      </c>
      <c r="I460" s="83">
        <v>1</v>
      </c>
      <c r="J460" s="83" t="s">
        <v>18</v>
      </c>
      <c r="K460" s="83" t="s">
        <v>18</v>
      </c>
      <c r="L460" s="83" t="s">
        <v>18</v>
      </c>
    </row>
    <row r="461" spans="1:12">
      <c r="B461" s="83" t="s">
        <v>382</v>
      </c>
      <c r="C461" s="83" t="s">
        <v>409</v>
      </c>
      <c r="D461" s="83" t="s">
        <v>15</v>
      </c>
      <c r="G461" s="83" t="s">
        <v>412</v>
      </c>
      <c r="H461" s="83">
        <v>1</v>
      </c>
      <c r="I461" s="83" t="s">
        <v>18</v>
      </c>
      <c r="J461" s="83" t="s">
        <v>18</v>
      </c>
      <c r="K461" s="83" t="s">
        <v>18</v>
      </c>
      <c r="L461" s="83" t="s">
        <v>18</v>
      </c>
    </row>
    <row r="462" spans="1:12">
      <c r="B462" s="83" t="s">
        <v>382</v>
      </c>
      <c r="C462" s="83" t="s">
        <v>409</v>
      </c>
      <c r="D462" s="83" t="s">
        <v>15</v>
      </c>
      <c r="G462" s="83" t="s">
        <v>413</v>
      </c>
      <c r="H462" s="83">
        <v>1</v>
      </c>
      <c r="I462" s="83" t="s">
        <v>18</v>
      </c>
      <c r="J462" s="83" t="s">
        <v>18</v>
      </c>
      <c r="K462" s="83" t="s">
        <v>18</v>
      </c>
      <c r="L462" s="83" t="s">
        <v>18</v>
      </c>
    </row>
    <row r="463" spans="1:12">
      <c r="B463" s="83" t="s">
        <v>382</v>
      </c>
      <c r="C463" s="83" t="s">
        <v>409</v>
      </c>
      <c r="D463" s="83" t="s">
        <v>15</v>
      </c>
      <c r="G463" s="83" t="s">
        <v>414</v>
      </c>
      <c r="H463" s="83">
        <v>1</v>
      </c>
      <c r="I463" s="83" t="s">
        <v>18</v>
      </c>
      <c r="J463" s="83" t="s">
        <v>18</v>
      </c>
      <c r="K463" s="83" t="s">
        <v>18</v>
      </c>
      <c r="L463" s="83" t="s">
        <v>18</v>
      </c>
    </row>
    <row r="464" spans="1:12">
      <c r="B464" s="83" t="s">
        <v>382</v>
      </c>
      <c r="C464" s="83" t="s">
        <v>409</v>
      </c>
      <c r="D464" s="83" t="s">
        <v>15</v>
      </c>
      <c r="G464" s="83" t="s">
        <v>415</v>
      </c>
      <c r="H464" s="83">
        <v>1</v>
      </c>
      <c r="I464" s="83" t="s">
        <v>18</v>
      </c>
      <c r="J464" s="83" t="s">
        <v>18</v>
      </c>
      <c r="K464" s="83" t="s">
        <v>18</v>
      </c>
      <c r="L464" s="83" t="s">
        <v>18</v>
      </c>
    </row>
    <row r="465" spans="1:12">
      <c r="B465" s="83" t="s">
        <v>382</v>
      </c>
      <c r="C465" s="83" t="s">
        <v>409</v>
      </c>
      <c r="D465" s="83" t="s">
        <v>15</v>
      </c>
      <c r="G465" s="83" t="s">
        <v>416</v>
      </c>
      <c r="H465" s="83">
        <v>1</v>
      </c>
      <c r="I465" s="83" t="s">
        <v>18</v>
      </c>
      <c r="J465" s="83" t="s">
        <v>18</v>
      </c>
      <c r="K465" s="83" t="s">
        <v>18</v>
      </c>
      <c r="L465" s="83" t="s">
        <v>18</v>
      </c>
    </row>
    <row r="466" spans="1:12">
      <c r="B466" s="83" t="s">
        <v>382</v>
      </c>
      <c r="C466" s="83" t="s">
        <v>409</v>
      </c>
      <c r="D466" s="83" t="s">
        <v>15</v>
      </c>
      <c r="G466" s="83" t="s">
        <v>417</v>
      </c>
      <c r="H466" s="83">
        <v>1</v>
      </c>
      <c r="I466" s="83" t="s">
        <v>18</v>
      </c>
      <c r="J466" s="83" t="s">
        <v>18</v>
      </c>
      <c r="K466" s="83" t="s">
        <v>18</v>
      </c>
      <c r="L466" s="83" t="s">
        <v>18</v>
      </c>
    </row>
    <row r="467" spans="1:12">
      <c r="A467" s="83" t="s">
        <v>418</v>
      </c>
      <c r="B467" s="83" t="s">
        <v>382</v>
      </c>
      <c r="C467" s="83" t="s">
        <v>419</v>
      </c>
      <c r="D467" s="83" t="s">
        <v>15</v>
      </c>
      <c r="E467" s="83" t="s">
        <v>420</v>
      </c>
      <c r="F467" s="83" t="s">
        <v>418</v>
      </c>
      <c r="G467" s="83" t="s">
        <v>421</v>
      </c>
      <c r="H467" s="83" t="s">
        <v>18</v>
      </c>
      <c r="I467" s="83">
        <v>1</v>
      </c>
      <c r="J467" s="83" t="s">
        <v>18</v>
      </c>
      <c r="K467" s="83">
        <v>1</v>
      </c>
      <c r="L467" s="83" t="s">
        <v>18</v>
      </c>
    </row>
    <row r="468" spans="1:12">
      <c r="A468" s="83" t="s">
        <v>422</v>
      </c>
      <c r="B468" s="83" t="s">
        <v>382</v>
      </c>
      <c r="C468" s="83" t="s">
        <v>419</v>
      </c>
      <c r="D468" s="83" t="s">
        <v>15</v>
      </c>
      <c r="E468" s="83" t="s">
        <v>423</v>
      </c>
      <c r="F468" s="83" t="s">
        <v>422</v>
      </c>
      <c r="G468" s="83" t="s">
        <v>424</v>
      </c>
      <c r="H468" s="83" t="s">
        <v>18</v>
      </c>
      <c r="I468" s="83">
        <v>1</v>
      </c>
      <c r="J468" s="83" t="s">
        <v>18</v>
      </c>
      <c r="K468" s="83">
        <v>1</v>
      </c>
      <c r="L468" s="83" t="s">
        <v>18</v>
      </c>
    </row>
    <row r="469" spans="1:12">
      <c r="A469" s="83" t="s">
        <v>425</v>
      </c>
      <c r="B469" s="83" t="s">
        <v>382</v>
      </c>
      <c r="C469" s="83" t="s">
        <v>401</v>
      </c>
      <c r="D469" s="83" t="s">
        <v>15</v>
      </c>
      <c r="E469" s="83" t="s">
        <v>18</v>
      </c>
      <c r="F469" s="83" t="s">
        <v>425</v>
      </c>
      <c r="G469" s="83" t="s">
        <v>426</v>
      </c>
      <c r="H469" s="83" t="s">
        <v>18</v>
      </c>
      <c r="I469" s="83">
        <v>1</v>
      </c>
      <c r="J469" s="83" t="s">
        <v>18</v>
      </c>
      <c r="K469" s="83" t="s">
        <v>18</v>
      </c>
      <c r="L469" s="83" t="s">
        <v>18</v>
      </c>
    </row>
    <row r="470" spans="1:12">
      <c r="A470" s="83" t="s">
        <v>427</v>
      </c>
      <c r="B470" s="83" t="s">
        <v>382</v>
      </c>
      <c r="C470" s="83" t="s">
        <v>404</v>
      </c>
      <c r="D470" s="83" t="s">
        <v>15</v>
      </c>
      <c r="E470" s="83" t="s">
        <v>428</v>
      </c>
      <c r="F470" s="83" t="s">
        <v>427</v>
      </c>
      <c r="G470" s="83" t="s">
        <v>429</v>
      </c>
      <c r="H470" s="83" t="s">
        <v>18</v>
      </c>
      <c r="I470" s="83" t="s">
        <v>18</v>
      </c>
      <c r="J470" s="83" t="s">
        <v>18</v>
      </c>
      <c r="K470" s="83">
        <v>1</v>
      </c>
      <c r="L470" s="83" t="s">
        <v>18</v>
      </c>
    </row>
    <row r="471" spans="1:12">
      <c r="A471" s="83" t="s">
        <v>430</v>
      </c>
      <c r="B471" s="83" t="s">
        <v>382</v>
      </c>
      <c r="C471" s="83" t="s">
        <v>409</v>
      </c>
      <c r="D471" s="83" t="s">
        <v>15</v>
      </c>
      <c r="E471" s="83" t="s">
        <v>431</v>
      </c>
      <c r="F471" s="83" t="s">
        <v>430</v>
      </c>
      <c r="G471" s="83" t="s">
        <v>432</v>
      </c>
      <c r="H471" s="83" t="s">
        <v>18</v>
      </c>
      <c r="I471" s="83" t="s">
        <v>18</v>
      </c>
      <c r="J471" s="83" t="s">
        <v>18</v>
      </c>
      <c r="K471" s="83">
        <v>1</v>
      </c>
      <c r="L471" s="83" t="s">
        <v>18</v>
      </c>
    </row>
    <row r="472" spans="1:12">
      <c r="A472" s="83" t="s">
        <v>433</v>
      </c>
      <c r="B472" s="83" t="s">
        <v>382</v>
      </c>
      <c r="C472" s="83" t="s">
        <v>409</v>
      </c>
      <c r="D472" s="83" t="s">
        <v>15</v>
      </c>
      <c r="E472" s="83" t="s">
        <v>431</v>
      </c>
      <c r="F472" s="83" t="s">
        <v>433</v>
      </c>
      <c r="G472" s="83" t="s">
        <v>432</v>
      </c>
      <c r="H472" s="83">
        <v>1</v>
      </c>
      <c r="I472" s="83" t="s">
        <v>18</v>
      </c>
      <c r="J472" s="83" t="s">
        <v>18</v>
      </c>
      <c r="K472" s="83" t="s">
        <v>18</v>
      </c>
      <c r="L472" s="83" t="s">
        <v>18</v>
      </c>
    </row>
    <row r="473" spans="1:12">
      <c r="A473" s="83" t="s">
        <v>434</v>
      </c>
      <c r="B473" s="83" t="s">
        <v>382</v>
      </c>
      <c r="C473" s="83" t="s">
        <v>404</v>
      </c>
      <c r="D473" s="83" t="s">
        <v>15</v>
      </c>
      <c r="E473" s="83" t="s">
        <v>18</v>
      </c>
      <c r="F473" s="83" t="s">
        <v>434</v>
      </c>
      <c r="G473" s="83" t="s">
        <v>18</v>
      </c>
      <c r="H473" s="83" t="s">
        <v>18</v>
      </c>
      <c r="I473" s="83">
        <v>1</v>
      </c>
      <c r="J473" s="83" t="s">
        <v>18</v>
      </c>
      <c r="K473" s="83" t="s">
        <v>18</v>
      </c>
      <c r="L473" s="83" t="s">
        <v>18</v>
      </c>
    </row>
    <row r="474" spans="1:12">
      <c r="A474" s="83" t="s">
        <v>435</v>
      </c>
      <c r="B474" s="83" t="s">
        <v>382</v>
      </c>
      <c r="C474" s="83" t="s">
        <v>404</v>
      </c>
      <c r="D474" s="83" t="s">
        <v>15</v>
      </c>
      <c r="E474" s="83" t="s">
        <v>18</v>
      </c>
      <c r="F474" s="83" t="s">
        <v>435</v>
      </c>
      <c r="G474" s="83" t="s">
        <v>18</v>
      </c>
      <c r="H474" s="83" t="s">
        <v>18</v>
      </c>
      <c r="I474" s="83">
        <v>1</v>
      </c>
      <c r="J474" s="83" t="s">
        <v>18</v>
      </c>
      <c r="K474" s="83" t="s">
        <v>18</v>
      </c>
      <c r="L474" s="83" t="s">
        <v>18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E23"/>
  <sheetViews>
    <sheetView workbookViewId="0"/>
  </sheetViews>
  <sheetFormatPr baseColWidth="10" defaultColWidth="8.83203125" defaultRowHeight="16"/>
  <cols>
    <col min="2" max="2" width="38" customWidth="1"/>
    <col min="3" max="4" width="32" customWidth="1"/>
    <col min="5" max="5" width="65" customWidth="1"/>
  </cols>
  <sheetData>
    <row r="2" spans="2:5" ht="21">
      <c r="B2" s="95" t="s">
        <v>1581</v>
      </c>
    </row>
    <row r="3" spans="2:5">
      <c r="B3" s="96" t="s">
        <v>1582</v>
      </c>
    </row>
    <row r="5" spans="2:5" ht="17">
      <c r="B5" s="97" t="s">
        <v>1583</v>
      </c>
    </row>
    <row r="6" spans="2:5">
      <c r="B6" s="98" t="s">
        <v>1584</v>
      </c>
      <c r="C6" s="84" t="s">
        <v>1585</v>
      </c>
      <c r="D6" s="84" t="s">
        <v>1586</v>
      </c>
      <c r="E6" s="98" t="s">
        <v>1587</v>
      </c>
    </row>
    <row r="7" spans="2:5">
      <c r="B7" s="88" t="s">
        <v>1588</v>
      </c>
      <c r="C7" s="99">
        <v>472</v>
      </c>
      <c r="D7" s="85" t="s">
        <v>1589</v>
      </c>
      <c r="E7" s="87" t="s">
        <v>1590</v>
      </c>
    </row>
    <row r="8" spans="2:5">
      <c r="B8" s="88" t="s">
        <v>1591</v>
      </c>
      <c r="C8" s="99">
        <v>328</v>
      </c>
      <c r="D8" s="85" t="s">
        <v>1592</v>
      </c>
      <c r="E8" s="87" t="s">
        <v>1593</v>
      </c>
    </row>
    <row r="9" spans="2:5">
      <c r="B9" s="88" t="s">
        <v>1594</v>
      </c>
      <c r="C9" s="99">
        <v>121</v>
      </c>
      <c r="D9" s="85" t="s">
        <v>1595</v>
      </c>
      <c r="E9" s="87" t="s">
        <v>1596</v>
      </c>
    </row>
    <row r="10" spans="2:5">
      <c r="B10" s="100" t="s">
        <v>1597</v>
      </c>
      <c r="C10" s="101">
        <v>10</v>
      </c>
      <c r="D10" s="85" t="s">
        <v>1598</v>
      </c>
      <c r="E10" s="87" t="s">
        <v>1599</v>
      </c>
    </row>
    <row r="11" spans="2:5">
      <c r="B11" s="88" t="s">
        <v>1600</v>
      </c>
      <c r="C11" s="99">
        <v>13</v>
      </c>
      <c r="D11" s="85" t="s">
        <v>1601</v>
      </c>
      <c r="E11" s="87" t="s">
        <v>1602</v>
      </c>
    </row>
    <row r="12" spans="2:5">
      <c r="B12" s="88" t="s">
        <v>1603</v>
      </c>
      <c r="C12" s="99">
        <v>85</v>
      </c>
      <c r="D12" s="85" t="s">
        <v>18</v>
      </c>
      <c r="E12" s="87" t="s">
        <v>1604</v>
      </c>
    </row>
    <row r="13" spans="2:5">
      <c r="B13" s="102" t="s">
        <v>1605</v>
      </c>
      <c r="C13" s="103">
        <v>59</v>
      </c>
      <c r="D13" s="85" t="s">
        <v>1606</v>
      </c>
      <c r="E13" s="87" t="s">
        <v>1607</v>
      </c>
    </row>
    <row r="16" spans="2:5" ht="17">
      <c r="B16" s="97" t="s">
        <v>1608</v>
      </c>
    </row>
    <row r="17" spans="2:5">
      <c r="B17" s="104" t="s">
        <v>1609</v>
      </c>
      <c r="C17" s="105" t="s">
        <v>1610</v>
      </c>
      <c r="D17" s="104" t="s">
        <v>1611</v>
      </c>
      <c r="E17" s="104" t="s">
        <v>1612</v>
      </c>
    </row>
    <row r="18" spans="2:5">
      <c r="B18" s="88" t="s">
        <v>1613</v>
      </c>
      <c r="C18" s="99">
        <v>1</v>
      </c>
      <c r="D18" s="87" t="s">
        <v>1614</v>
      </c>
      <c r="E18" s="87" t="s">
        <v>1615</v>
      </c>
    </row>
    <row r="19" spans="2:5">
      <c r="B19" s="88" t="s">
        <v>1616</v>
      </c>
      <c r="C19" s="99">
        <v>2</v>
      </c>
      <c r="D19" s="87" t="s">
        <v>1617</v>
      </c>
      <c r="E19" s="87" t="s">
        <v>1618</v>
      </c>
    </row>
    <row r="20" spans="2:5">
      <c r="B20" s="88" t="s">
        <v>1619</v>
      </c>
      <c r="C20" s="99">
        <v>7</v>
      </c>
      <c r="D20" s="87" t="s">
        <v>1620</v>
      </c>
      <c r="E20" s="87" t="s">
        <v>1621</v>
      </c>
    </row>
    <row r="21" spans="2:5">
      <c r="B21" s="88" t="s">
        <v>1622</v>
      </c>
      <c r="C21" s="99">
        <v>59</v>
      </c>
      <c r="D21" s="87" t="s">
        <v>1623</v>
      </c>
      <c r="E21" s="87" t="s">
        <v>1624</v>
      </c>
    </row>
    <row r="22" spans="2:5">
      <c r="B22" s="88" t="s">
        <v>1625</v>
      </c>
      <c r="C22" s="99">
        <v>20</v>
      </c>
      <c r="D22" s="87" t="s">
        <v>1626</v>
      </c>
      <c r="E22" s="87" t="s">
        <v>1627</v>
      </c>
    </row>
    <row r="23" spans="2:5">
      <c r="B23" s="88" t="s">
        <v>1628</v>
      </c>
      <c r="C23" s="99">
        <v>13</v>
      </c>
      <c r="D23" s="87" t="s">
        <v>1629</v>
      </c>
      <c r="E23" s="87" t="s">
        <v>1630</v>
      </c>
    </row>
  </sheetData>
  <pageMargins left="0.75" right="0.75" top="1" bottom="1" header="0.5" footer="0.5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T473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baseColWidth="10" defaultColWidth="8.83203125" defaultRowHeight="16"/>
  <cols>
    <col min="1" max="1" width="8" customWidth="1"/>
    <col min="2" max="2" width="22" customWidth="1"/>
    <col min="3" max="5" width="16" customWidth="1"/>
    <col min="6" max="7" width="10" customWidth="1"/>
    <col min="8" max="8" width="14" customWidth="1"/>
    <col min="9" max="9" width="16" customWidth="1"/>
    <col min="10" max="10" width="12" customWidth="1"/>
    <col min="11" max="12" width="18" customWidth="1"/>
    <col min="13" max="18" width="12" customWidth="1"/>
    <col min="19" max="19" width="14" customWidth="1"/>
    <col min="20" max="20" width="55" customWidth="1"/>
  </cols>
  <sheetData>
    <row r="1" spans="1:20">
      <c r="A1" s="84" t="s">
        <v>1631</v>
      </c>
      <c r="B1" s="84" t="s">
        <v>1632</v>
      </c>
      <c r="C1" s="84" t="s">
        <v>1633</v>
      </c>
      <c r="D1" s="84" t="s">
        <v>1634</v>
      </c>
      <c r="E1" s="84" t="s">
        <v>1635</v>
      </c>
      <c r="F1" s="84" t="s">
        <v>1636</v>
      </c>
      <c r="G1" s="84" t="s">
        <v>1637</v>
      </c>
      <c r="H1" s="84" t="s">
        <v>1638</v>
      </c>
      <c r="I1" s="84" t="s">
        <v>1639</v>
      </c>
      <c r="J1" s="84" t="s">
        <v>1640</v>
      </c>
      <c r="K1" s="84" t="s">
        <v>1641</v>
      </c>
      <c r="L1" s="84" t="s">
        <v>1642</v>
      </c>
      <c r="M1" s="84" t="s">
        <v>1643</v>
      </c>
      <c r="N1" s="84" t="s">
        <v>1644</v>
      </c>
      <c r="O1" s="84" t="s">
        <v>1645</v>
      </c>
      <c r="P1" s="84" t="s">
        <v>1646</v>
      </c>
      <c r="Q1" s="84" t="s">
        <v>1647</v>
      </c>
      <c r="R1" s="84" t="s">
        <v>1648</v>
      </c>
      <c r="S1" s="84" t="s">
        <v>1649</v>
      </c>
      <c r="T1" s="84" t="s">
        <v>1650</v>
      </c>
    </row>
    <row r="2" spans="1:20">
      <c r="A2" s="85">
        <v>1</v>
      </c>
      <c r="B2" s="86" t="s">
        <v>1651</v>
      </c>
      <c r="C2" s="87" t="s">
        <v>381</v>
      </c>
      <c r="D2" s="87" t="s">
        <v>381</v>
      </c>
      <c r="E2" s="88" t="s">
        <v>381</v>
      </c>
      <c r="F2" s="85" t="s">
        <v>1652</v>
      </c>
      <c r="G2" s="85" t="s">
        <v>1653</v>
      </c>
      <c r="H2" s="87" t="s">
        <v>382</v>
      </c>
      <c r="I2" s="87" t="s">
        <v>382</v>
      </c>
      <c r="J2" s="89" t="s">
        <v>1654</v>
      </c>
      <c r="K2" s="87" t="s">
        <v>384</v>
      </c>
      <c r="L2" s="87" t="s">
        <v>384</v>
      </c>
      <c r="M2" s="89" t="s">
        <v>1654</v>
      </c>
      <c r="N2" s="85" t="s">
        <v>1655</v>
      </c>
      <c r="O2" s="85" t="s">
        <v>1656</v>
      </c>
      <c r="P2" s="85" t="s">
        <v>1655</v>
      </c>
      <c r="Q2" s="85" t="s">
        <v>1657</v>
      </c>
      <c r="R2" s="85" t="s">
        <v>1655</v>
      </c>
      <c r="S2" s="90" t="s">
        <v>1658</v>
      </c>
      <c r="T2" s="91" t="s">
        <v>1659</v>
      </c>
    </row>
    <row r="3" spans="1:20">
      <c r="A3" s="85">
        <v>2</v>
      </c>
      <c r="B3" s="86" t="s">
        <v>1651</v>
      </c>
      <c r="C3" s="87" t="s">
        <v>1232</v>
      </c>
      <c r="D3" s="87" t="s">
        <v>385</v>
      </c>
      <c r="E3" s="88" t="s">
        <v>385</v>
      </c>
      <c r="F3" s="85" t="s">
        <v>1653</v>
      </c>
      <c r="G3" s="85" t="s">
        <v>1653</v>
      </c>
      <c r="H3" s="87" t="s">
        <v>382</v>
      </c>
      <c r="I3" s="87" t="s">
        <v>382</v>
      </c>
      <c r="J3" s="89" t="s">
        <v>1654</v>
      </c>
      <c r="K3" s="87" t="s">
        <v>384</v>
      </c>
      <c r="L3" s="87" t="s">
        <v>384</v>
      </c>
      <c r="M3" s="89" t="s">
        <v>1654</v>
      </c>
      <c r="N3" s="85" t="s">
        <v>1655</v>
      </c>
      <c r="O3" s="85" t="s">
        <v>1660</v>
      </c>
      <c r="P3" s="85" t="s">
        <v>1655</v>
      </c>
      <c r="Q3" s="85" t="s">
        <v>1655</v>
      </c>
      <c r="R3" s="85" t="s">
        <v>1655</v>
      </c>
      <c r="S3" s="89" t="s">
        <v>1654</v>
      </c>
      <c r="T3" s="87" t="s">
        <v>1661</v>
      </c>
    </row>
    <row r="4" spans="1:20">
      <c r="A4" s="85">
        <v>3</v>
      </c>
      <c r="B4" s="86" t="s">
        <v>1651</v>
      </c>
      <c r="C4" s="87" t="s">
        <v>1233</v>
      </c>
      <c r="D4" s="87" t="s">
        <v>387</v>
      </c>
      <c r="E4" s="88" t="s">
        <v>387</v>
      </c>
      <c r="F4" s="85" t="s">
        <v>1653</v>
      </c>
      <c r="G4" s="85" t="s">
        <v>1653</v>
      </c>
      <c r="H4" s="87" t="s">
        <v>382</v>
      </c>
      <c r="I4" s="87" t="s">
        <v>382</v>
      </c>
      <c r="J4" s="89" t="s">
        <v>1654</v>
      </c>
      <c r="K4" s="87" t="s">
        <v>384</v>
      </c>
      <c r="L4" s="87" t="s">
        <v>384</v>
      </c>
      <c r="M4" s="89" t="s">
        <v>1654</v>
      </c>
      <c r="N4" s="85" t="s">
        <v>1655</v>
      </c>
      <c r="O4" s="85" t="s">
        <v>1660</v>
      </c>
      <c r="P4" s="85" t="s">
        <v>1655</v>
      </c>
      <c r="Q4" s="85" t="s">
        <v>1655</v>
      </c>
      <c r="R4" s="85" t="s">
        <v>1655</v>
      </c>
      <c r="S4" s="89" t="s">
        <v>1654</v>
      </c>
      <c r="T4" s="87" t="s">
        <v>1661</v>
      </c>
    </row>
    <row r="5" spans="1:20">
      <c r="A5" s="85">
        <v>4</v>
      </c>
      <c r="B5" s="86" t="s">
        <v>1651</v>
      </c>
      <c r="C5" s="87" t="s">
        <v>1234</v>
      </c>
      <c r="D5" s="87" t="s">
        <v>388</v>
      </c>
      <c r="E5" s="88" t="s">
        <v>388</v>
      </c>
      <c r="F5" s="85" t="s">
        <v>1653</v>
      </c>
      <c r="G5" s="85" t="s">
        <v>1653</v>
      </c>
      <c r="H5" s="87" t="s">
        <v>382</v>
      </c>
      <c r="I5" s="87" t="s">
        <v>382</v>
      </c>
      <c r="J5" s="89" t="s">
        <v>1654</v>
      </c>
      <c r="K5" s="87" t="s">
        <v>384</v>
      </c>
      <c r="L5" s="87" t="s">
        <v>384</v>
      </c>
      <c r="M5" s="89" t="s">
        <v>1654</v>
      </c>
      <c r="N5" s="85" t="s">
        <v>1655</v>
      </c>
      <c r="O5" s="85" t="s">
        <v>1660</v>
      </c>
      <c r="P5" s="85" t="s">
        <v>1655</v>
      </c>
      <c r="Q5" s="85" t="s">
        <v>1655</v>
      </c>
      <c r="R5" s="85" t="s">
        <v>1655</v>
      </c>
      <c r="S5" s="89" t="s">
        <v>1654</v>
      </c>
      <c r="T5" s="87" t="s">
        <v>1661</v>
      </c>
    </row>
    <row r="6" spans="1:20">
      <c r="A6" s="85">
        <v>5</v>
      </c>
      <c r="B6" s="86" t="s">
        <v>1651</v>
      </c>
      <c r="C6" s="87" t="s">
        <v>1235</v>
      </c>
      <c r="D6" s="87" t="s">
        <v>389</v>
      </c>
      <c r="E6" s="88" t="s">
        <v>389</v>
      </c>
      <c r="F6" s="85" t="s">
        <v>1653</v>
      </c>
      <c r="G6" s="85" t="s">
        <v>1653</v>
      </c>
      <c r="H6" s="87" t="s">
        <v>382</v>
      </c>
      <c r="I6" s="87" t="s">
        <v>382</v>
      </c>
      <c r="J6" s="89" t="s">
        <v>1654</v>
      </c>
      <c r="K6" s="87" t="s">
        <v>384</v>
      </c>
      <c r="L6" s="87" t="s">
        <v>384</v>
      </c>
      <c r="M6" s="89" t="s">
        <v>1654</v>
      </c>
      <c r="N6" s="85" t="s">
        <v>1655</v>
      </c>
      <c r="O6" s="85" t="s">
        <v>1660</v>
      </c>
      <c r="P6" s="85" t="s">
        <v>1655</v>
      </c>
      <c r="Q6" s="85" t="s">
        <v>1655</v>
      </c>
      <c r="R6" s="85" t="s">
        <v>1655</v>
      </c>
      <c r="S6" s="89" t="s">
        <v>1654</v>
      </c>
      <c r="T6" s="87" t="s">
        <v>1661</v>
      </c>
    </row>
    <row r="7" spans="1:20">
      <c r="A7" s="85">
        <v>6</v>
      </c>
      <c r="B7" s="86" t="s">
        <v>1651</v>
      </c>
      <c r="C7" s="87" t="s">
        <v>1236</v>
      </c>
      <c r="D7" s="87" t="s">
        <v>390</v>
      </c>
      <c r="E7" s="88" t="s">
        <v>390</v>
      </c>
      <c r="F7" s="85" t="s">
        <v>1653</v>
      </c>
      <c r="G7" s="85" t="s">
        <v>1653</v>
      </c>
      <c r="H7" s="87" t="s">
        <v>382</v>
      </c>
      <c r="I7" s="87" t="s">
        <v>382</v>
      </c>
      <c r="J7" s="89" t="s">
        <v>1654</v>
      </c>
      <c r="K7" s="87" t="s">
        <v>392</v>
      </c>
      <c r="L7" s="87" t="s">
        <v>392</v>
      </c>
      <c r="M7" s="89" t="s">
        <v>1654</v>
      </c>
      <c r="N7" s="85" t="s">
        <v>1655</v>
      </c>
      <c r="O7" s="85" t="s">
        <v>1660</v>
      </c>
      <c r="P7" s="85" t="s">
        <v>1655</v>
      </c>
      <c r="Q7" s="85" t="s">
        <v>1655</v>
      </c>
      <c r="R7" s="85" t="s">
        <v>1655</v>
      </c>
      <c r="S7" s="89" t="s">
        <v>1654</v>
      </c>
      <c r="T7" s="87" t="s">
        <v>1661</v>
      </c>
    </row>
    <row r="8" spans="1:20">
      <c r="A8" s="85">
        <v>7</v>
      </c>
      <c r="B8" s="86" t="s">
        <v>1651</v>
      </c>
      <c r="C8" s="87" t="s">
        <v>1238</v>
      </c>
      <c r="D8" s="87" t="s">
        <v>393</v>
      </c>
      <c r="E8" s="88" t="s">
        <v>393</v>
      </c>
      <c r="F8" s="85" t="s">
        <v>1653</v>
      </c>
      <c r="G8" s="85" t="s">
        <v>1653</v>
      </c>
      <c r="H8" s="87" t="s">
        <v>382</v>
      </c>
      <c r="I8" s="87" t="s">
        <v>382</v>
      </c>
      <c r="J8" s="89" t="s">
        <v>1654</v>
      </c>
      <c r="K8" s="87" t="s">
        <v>392</v>
      </c>
      <c r="L8" s="87" t="s">
        <v>392</v>
      </c>
      <c r="M8" s="89" t="s">
        <v>1654</v>
      </c>
      <c r="N8" s="85" t="s">
        <v>1655</v>
      </c>
      <c r="O8" s="85" t="s">
        <v>1660</v>
      </c>
      <c r="P8" s="85" t="s">
        <v>1655</v>
      </c>
      <c r="Q8" s="85" t="s">
        <v>1655</v>
      </c>
      <c r="R8" s="85" t="s">
        <v>1655</v>
      </c>
      <c r="S8" s="89" t="s">
        <v>1654</v>
      </c>
      <c r="T8" s="87" t="s">
        <v>1661</v>
      </c>
    </row>
    <row r="9" spans="1:20">
      <c r="A9" s="85">
        <v>8</v>
      </c>
      <c r="B9" s="86" t="s">
        <v>1651</v>
      </c>
      <c r="C9" s="87" t="s">
        <v>1239</v>
      </c>
      <c r="D9" s="87" t="s">
        <v>394</v>
      </c>
      <c r="E9" s="88" t="s">
        <v>394</v>
      </c>
      <c r="F9" s="85" t="s">
        <v>1653</v>
      </c>
      <c r="G9" s="85" t="s">
        <v>1653</v>
      </c>
      <c r="H9" s="87" t="s">
        <v>382</v>
      </c>
      <c r="I9" s="87" t="s">
        <v>382</v>
      </c>
      <c r="J9" s="89" t="s">
        <v>1654</v>
      </c>
      <c r="K9" s="87" t="s">
        <v>392</v>
      </c>
      <c r="L9" s="87" t="s">
        <v>392</v>
      </c>
      <c r="M9" s="89" t="s">
        <v>1654</v>
      </c>
      <c r="N9" s="85" t="s">
        <v>1655</v>
      </c>
      <c r="O9" s="85" t="s">
        <v>1660</v>
      </c>
      <c r="P9" s="85" t="s">
        <v>1655</v>
      </c>
      <c r="Q9" s="85" t="s">
        <v>1655</v>
      </c>
      <c r="R9" s="85" t="s">
        <v>1655</v>
      </c>
      <c r="S9" s="89" t="s">
        <v>1654</v>
      </c>
      <c r="T9" s="87" t="s">
        <v>1661</v>
      </c>
    </row>
    <row r="10" spans="1:20">
      <c r="A10" s="85">
        <v>9</v>
      </c>
      <c r="B10" s="86" t="s">
        <v>1651</v>
      </c>
      <c r="C10" s="87" t="s">
        <v>395</v>
      </c>
      <c r="D10" s="87" t="s">
        <v>395</v>
      </c>
      <c r="E10" s="88" t="s">
        <v>395</v>
      </c>
      <c r="F10" s="85" t="s">
        <v>1653</v>
      </c>
      <c r="G10" s="85" t="s">
        <v>1653</v>
      </c>
      <c r="H10" s="87" t="s">
        <v>382</v>
      </c>
      <c r="I10" s="87" t="s">
        <v>382</v>
      </c>
      <c r="J10" s="89" t="s">
        <v>1654</v>
      </c>
      <c r="K10" s="87" t="s">
        <v>384</v>
      </c>
      <c r="L10" s="87" t="s">
        <v>384</v>
      </c>
      <c r="M10" s="89" t="s">
        <v>1654</v>
      </c>
      <c r="N10" s="85" t="s">
        <v>1660</v>
      </c>
      <c r="O10" s="85" t="s">
        <v>1662</v>
      </c>
      <c r="P10" s="85" t="s">
        <v>1655</v>
      </c>
      <c r="Q10" s="85" t="s">
        <v>1655</v>
      </c>
      <c r="R10" s="85" t="s">
        <v>1655</v>
      </c>
      <c r="S10" s="89" t="s">
        <v>1654</v>
      </c>
      <c r="T10" s="87" t="s">
        <v>1661</v>
      </c>
    </row>
    <row r="11" spans="1:20">
      <c r="A11" s="85">
        <v>10</v>
      </c>
      <c r="B11" s="86" t="s">
        <v>1651</v>
      </c>
      <c r="C11" s="87" t="s">
        <v>396</v>
      </c>
      <c r="D11" s="87" t="s">
        <v>396</v>
      </c>
      <c r="E11" s="88" t="s">
        <v>396</v>
      </c>
      <c r="F11" s="85" t="s">
        <v>1653</v>
      </c>
      <c r="G11" s="85" t="s">
        <v>1653</v>
      </c>
      <c r="H11" s="87" t="s">
        <v>382</v>
      </c>
      <c r="I11" s="87" t="s">
        <v>382</v>
      </c>
      <c r="J11" s="89" t="s">
        <v>1654</v>
      </c>
      <c r="K11" s="87" t="s">
        <v>384</v>
      </c>
      <c r="L11" s="87" t="s">
        <v>384</v>
      </c>
      <c r="M11" s="89" t="s">
        <v>1654</v>
      </c>
      <c r="N11" s="85" t="s">
        <v>1660</v>
      </c>
      <c r="O11" s="85" t="s">
        <v>1662</v>
      </c>
      <c r="P11" s="85" t="s">
        <v>1655</v>
      </c>
      <c r="Q11" s="85" t="s">
        <v>1655</v>
      </c>
      <c r="R11" s="85" t="s">
        <v>1655</v>
      </c>
      <c r="S11" s="89" t="s">
        <v>1654</v>
      </c>
      <c r="T11" s="87" t="s">
        <v>1661</v>
      </c>
    </row>
    <row r="12" spans="1:20">
      <c r="A12" s="85">
        <v>11</v>
      </c>
      <c r="B12" s="86" t="s">
        <v>1651</v>
      </c>
      <c r="C12" s="87" t="s">
        <v>397</v>
      </c>
      <c r="D12" s="87" t="s">
        <v>397</v>
      </c>
      <c r="E12" s="88" t="s">
        <v>397</v>
      </c>
      <c r="F12" s="85" t="s">
        <v>1653</v>
      </c>
      <c r="G12" s="85" t="s">
        <v>1653</v>
      </c>
      <c r="H12" s="87" t="s">
        <v>382</v>
      </c>
      <c r="I12" s="87" t="s">
        <v>382</v>
      </c>
      <c r="J12" s="89" t="s">
        <v>1654</v>
      </c>
      <c r="K12" s="87" t="s">
        <v>384</v>
      </c>
      <c r="L12" s="87" t="s">
        <v>384</v>
      </c>
      <c r="M12" s="89" t="s">
        <v>1654</v>
      </c>
      <c r="N12" s="85" t="s">
        <v>1660</v>
      </c>
      <c r="O12" s="85" t="s">
        <v>1662</v>
      </c>
      <c r="P12" s="85" t="s">
        <v>1655</v>
      </c>
      <c r="Q12" s="85" t="s">
        <v>1655</v>
      </c>
      <c r="R12" s="85" t="s">
        <v>1655</v>
      </c>
      <c r="S12" s="89" t="s">
        <v>1654</v>
      </c>
      <c r="T12" s="87" t="s">
        <v>1661</v>
      </c>
    </row>
    <row r="13" spans="1:20">
      <c r="A13" s="85">
        <v>12</v>
      </c>
      <c r="B13" s="86" t="s">
        <v>1651</v>
      </c>
      <c r="C13" s="87" t="s">
        <v>398</v>
      </c>
      <c r="D13" s="87" t="s">
        <v>398</v>
      </c>
      <c r="E13" s="88" t="s">
        <v>398</v>
      </c>
      <c r="F13" s="85" t="s">
        <v>1653</v>
      </c>
      <c r="G13" s="85" t="s">
        <v>1653</v>
      </c>
      <c r="H13" s="87" t="s">
        <v>382</v>
      </c>
      <c r="I13" s="87" t="s">
        <v>382</v>
      </c>
      <c r="J13" s="89" t="s">
        <v>1654</v>
      </c>
      <c r="K13" s="87" t="s">
        <v>384</v>
      </c>
      <c r="L13" s="87" t="s">
        <v>384</v>
      </c>
      <c r="M13" s="89" t="s">
        <v>1654</v>
      </c>
      <c r="N13" s="85" t="s">
        <v>1660</v>
      </c>
      <c r="O13" s="85" t="s">
        <v>1662</v>
      </c>
      <c r="P13" s="85" t="s">
        <v>1655</v>
      </c>
      <c r="Q13" s="85" t="s">
        <v>1655</v>
      </c>
      <c r="R13" s="85" t="s">
        <v>1655</v>
      </c>
      <c r="S13" s="89" t="s">
        <v>1654</v>
      </c>
      <c r="T13" s="87" t="s">
        <v>1661</v>
      </c>
    </row>
    <row r="14" spans="1:20">
      <c r="A14" s="85">
        <v>13</v>
      </c>
      <c r="B14" s="86" t="s">
        <v>1651</v>
      </c>
      <c r="C14" s="87" t="s">
        <v>399</v>
      </c>
      <c r="D14" s="87" t="s">
        <v>399</v>
      </c>
      <c r="E14" s="88" t="s">
        <v>399</v>
      </c>
      <c r="F14" s="85" t="s">
        <v>1653</v>
      </c>
      <c r="G14" s="85" t="s">
        <v>1653</v>
      </c>
      <c r="H14" s="87" t="s">
        <v>382</v>
      </c>
      <c r="I14" s="87" t="s">
        <v>382</v>
      </c>
      <c r="J14" s="89" t="s">
        <v>1654</v>
      </c>
      <c r="K14" s="87" t="s">
        <v>384</v>
      </c>
      <c r="L14" s="87" t="s">
        <v>384</v>
      </c>
      <c r="M14" s="89" t="s">
        <v>1654</v>
      </c>
      <c r="N14" s="85" t="s">
        <v>1660</v>
      </c>
      <c r="O14" s="85" t="s">
        <v>1662</v>
      </c>
      <c r="P14" s="85" t="s">
        <v>1655</v>
      </c>
      <c r="Q14" s="85" t="s">
        <v>1655</v>
      </c>
      <c r="R14" s="85" t="s">
        <v>1655</v>
      </c>
      <c r="S14" s="89" t="s">
        <v>1654</v>
      </c>
      <c r="T14" s="87" t="s">
        <v>1661</v>
      </c>
    </row>
    <row r="15" spans="1:20">
      <c r="A15" s="85">
        <v>14</v>
      </c>
      <c r="B15" s="86" t="s">
        <v>1651</v>
      </c>
      <c r="C15" s="87" t="s">
        <v>400</v>
      </c>
      <c r="D15" s="87" t="s">
        <v>400</v>
      </c>
      <c r="E15" s="88" t="s">
        <v>400</v>
      </c>
      <c r="F15" s="85" t="s">
        <v>1653</v>
      </c>
      <c r="G15" s="85" t="s">
        <v>1653</v>
      </c>
      <c r="H15" s="87" t="s">
        <v>382</v>
      </c>
      <c r="I15" s="87" t="s">
        <v>382</v>
      </c>
      <c r="J15" s="89" t="s">
        <v>1654</v>
      </c>
      <c r="K15" s="87" t="s">
        <v>384</v>
      </c>
      <c r="L15" s="87" t="s">
        <v>384</v>
      </c>
      <c r="M15" s="89" t="s">
        <v>1654</v>
      </c>
      <c r="N15" s="85" t="s">
        <v>1660</v>
      </c>
      <c r="O15" s="85" t="s">
        <v>1662</v>
      </c>
      <c r="P15" s="85" t="s">
        <v>1655</v>
      </c>
      <c r="Q15" s="85" t="s">
        <v>1655</v>
      </c>
      <c r="R15" s="85" t="s">
        <v>1655</v>
      </c>
      <c r="S15" s="89" t="s">
        <v>1654</v>
      </c>
      <c r="T15" s="87" t="s">
        <v>1661</v>
      </c>
    </row>
    <row r="16" spans="1:20">
      <c r="A16" s="85">
        <v>15</v>
      </c>
      <c r="B16" s="92" t="s">
        <v>1663</v>
      </c>
      <c r="C16" s="87" t="s">
        <v>1244</v>
      </c>
      <c r="D16" s="87" t="s">
        <v>18</v>
      </c>
      <c r="E16" s="88" t="s">
        <v>1244</v>
      </c>
      <c r="F16" s="85" t="s">
        <v>1652</v>
      </c>
      <c r="G16" s="85" t="s">
        <v>1653</v>
      </c>
      <c r="H16" s="87" t="s">
        <v>382</v>
      </c>
      <c r="I16" s="87" t="s">
        <v>1307</v>
      </c>
      <c r="J16" s="90" t="s">
        <v>1658</v>
      </c>
      <c r="K16" s="87" t="s">
        <v>384</v>
      </c>
      <c r="L16" s="87" t="s">
        <v>384</v>
      </c>
      <c r="M16" s="89" t="s">
        <v>1654</v>
      </c>
      <c r="N16" s="85" t="s">
        <v>1662</v>
      </c>
      <c r="O16" s="85" t="s">
        <v>1662</v>
      </c>
      <c r="P16" s="85" t="s">
        <v>1655</v>
      </c>
      <c r="Q16" s="85" t="s">
        <v>1655</v>
      </c>
      <c r="R16" s="85" t="s">
        <v>1655</v>
      </c>
      <c r="S16" s="89" t="s">
        <v>1654</v>
      </c>
      <c r="T16" s="91" t="s">
        <v>1664</v>
      </c>
    </row>
    <row r="17" spans="1:20">
      <c r="A17" s="85">
        <v>16</v>
      </c>
      <c r="B17" s="92" t="s">
        <v>1663</v>
      </c>
      <c r="C17" s="87" t="s">
        <v>1249</v>
      </c>
      <c r="D17" s="87" t="s">
        <v>18</v>
      </c>
      <c r="E17" s="88" t="s">
        <v>1249</v>
      </c>
      <c r="F17" s="85" t="s">
        <v>1653</v>
      </c>
      <c r="G17" s="85" t="s">
        <v>1653</v>
      </c>
      <c r="H17" s="87" t="s">
        <v>382</v>
      </c>
      <c r="I17" s="87" t="s">
        <v>1307</v>
      </c>
      <c r="J17" s="90" t="s">
        <v>1658</v>
      </c>
      <c r="K17" s="87" t="s">
        <v>384</v>
      </c>
      <c r="L17" s="87" t="s">
        <v>384</v>
      </c>
      <c r="M17" s="89" t="s">
        <v>1654</v>
      </c>
      <c r="N17" s="85" t="s">
        <v>1662</v>
      </c>
      <c r="O17" s="85" t="s">
        <v>1662</v>
      </c>
      <c r="P17" s="85" t="s">
        <v>1655</v>
      </c>
      <c r="Q17" s="85" t="s">
        <v>1655</v>
      </c>
      <c r="R17" s="85" t="s">
        <v>1655</v>
      </c>
      <c r="S17" s="89" t="s">
        <v>1654</v>
      </c>
      <c r="T17" s="91" t="s">
        <v>1664</v>
      </c>
    </row>
    <row r="18" spans="1:20">
      <c r="A18" s="85">
        <v>1</v>
      </c>
      <c r="B18" s="86" t="s">
        <v>1651</v>
      </c>
      <c r="C18" s="87" t="s">
        <v>113</v>
      </c>
      <c r="D18" s="87" t="s">
        <v>113</v>
      </c>
      <c r="E18" s="88" t="s">
        <v>113</v>
      </c>
      <c r="F18" s="85" t="s">
        <v>1653</v>
      </c>
      <c r="G18" s="85" t="s">
        <v>1653</v>
      </c>
      <c r="H18" s="87" t="s">
        <v>114</v>
      </c>
      <c r="I18" s="87" t="s">
        <v>114</v>
      </c>
      <c r="J18" s="89" t="s">
        <v>1654</v>
      </c>
      <c r="K18" s="87" t="s">
        <v>117</v>
      </c>
      <c r="L18" s="87" t="s">
        <v>117</v>
      </c>
      <c r="M18" s="89" t="s">
        <v>1654</v>
      </c>
      <c r="N18" s="85" t="s">
        <v>1655</v>
      </c>
      <c r="O18" s="85" t="s">
        <v>1655</v>
      </c>
      <c r="P18" s="85" t="s">
        <v>1655</v>
      </c>
      <c r="Q18" s="85" t="s">
        <v>1660</v>
      </c>
      <c r="R18" s="85" t="s">
        <v>1655</v>
      </c>
      <c r="S18" s="89" t="s">
        <v>1654</v>
      </c>
      <c r="T18" s="87" t="s">
        <v>1661</v>
      </c>
    </row>
    <row r="19" spans="1:20">
      <c r="A19" s="85">
        <v>2</v>
      </c>
      <c r="B19" s="86" t="s">
        <v>1651</v>
      </c>
      <c r="C19" s="87" t="s">
        <v>118</v>
      </c>
      <c r="D19" s="87" t="s">
        <v>118</v>
      </c>
      <c r="E19" s="88" t="s">
        <v>118</v>
      </c>
      <c r="F19" s="85" t="s">
        <v>1653</v>
      </c>
      <c r="G19" s="85" t="s">
        <v>1653</v>
      </c>
      <c r="H19" s="87" t="s">
        <v>114</v>
      </c>
      <c r="I19" s="87" t="s">
        <v>114</v>
      </c>
      <c r="J19" s="89" t="s">
        <v>1654</v>
      </c>
      <c r="K19" s="87" t="s">
        <v>117</v>
      </c>
      <c r="L19" s="87" t="s">
        <v>117</v>
      </c>
      <c r="M19" s="89" t="s">
        <v>1654</v>
      </c>
      <c r="N19" s="85" t="s">
        <v>1655</v>
      </c>
      <c r="O19" s="85" t="s">
        <v>1660</v>
      </c>
      <c r="P19" s="85" t="s">
        <v>1655</v>
      </c>
      <c r="Q19" s="85" t="s">
        <v>1662</v>
      </c>
      <c r="R19" s="85" t="s">
        <v>1655</v>
      </c>
      <c r="S19" s="89" t="s">
        <v>1654</v>
      </c>
      <c r="T19" s="87" t="s">
        <v>1661</v>
      </c>
    </row>
    <row r="20" spans="1:20">
      <c r="A20" s="85">
        <v>3</v>
      </c>
      <c r="B20" s="86" t="s">
        <v>1651</v>
      </c>
      <c r="C20" s="87" t="s">
        <v>119</v>
      </c>
      <c r="D20" s="87" t="s">
        <v>119</v>
      </c>
      <c r="E20" s="88" t="s">
        <v>119</v>
      </c>
      <c r="F20" s="85" t="s">
        <v>1653</v>
      </c>
      <c r="G20" s="85" t="s">
        <v>1653</v>
      </c>
      <c r="H20" s="87" t="s">
        <v>114</v>
      </c>
      <c r="I20" s="87" t="s">
        <v>114</v>
      </c>
      <c r="J20" s="89" t="s">
        <v>1654</v>
      </c>
      <c r="K20" s="87" t="s">
        <v>117</v>
      </c>
      <c r="L20" s="87" t="s">
        <v>117</v>
      </c>
      <c r="M20" s="89" t="s">
        <v>1654</v>
      </c>
      <c r="N20" s="85" t="s">
        <v>1655</v>
      </c>
      <c r="O20" s="85" t="s">
        <v>1660</v>
      </c>
      <c r="P20" s="85" t="s">
        <v>1655</v>
      </c>
      <c r="Q20" s="85" t="s">
        <v>1660</v>
      </c>
      <c r="R20" s="85" t="s">
        <v>1655</v>
      </c>
      <c r="S20" s="89" t="s">
        <v>1654</v>
      </c>
      <c r="T20" s="87" t="s">
        <v>1661</v>
      </c>
    </row>
    <row r="21" spans="1:20">
      <c r="A21" s="85">
        <v>4</v>
      </c>
      <c r="B21" s="86" t="s">
        <v>1651</v>
      </c>
      <c r="C21" s="87" t="s">
        <v>576</v>
      </c>
      <c r="D21" s="87" t="s">
        <v>120</v>
      </c>
      <c r="E21" s="88" t="s">
        <v>120</v>
      </c>
      <c r="F21" s="85" t="s">
        <v>1653</v>
      </c>
      <c r="G21" s="85" t="s">
        <v>1653</v>
      </c>
      <c r="H21" s="87" t="s">
        <v>114</v>
      </c>
      <c r="I21" s="87" t="s">
        <v>114</v>
      </c>
      <c r="J21" s="89" t="s">
        <v>1654</v>
      </c>
      <c r="K21" s="87" t="s">
        <v>117</v>
      </c>
      <c r="L21" s="87" t="s">
        <v>117</v>
      </c>
      <c r="M21" s="89" t="s">
        <v>1654</v>
      </c>
      <c r="N21" s="85" t="s">
        <v>1655</v>
      </c>
      <c r="O21" s="85" t="s">
        <v>1660</v>
      </c>
      <c r="P21" s="85" t="s">
        <v>1655</v>
      </c>
      <c r="Q21" s="85" t="s">
        <v>1655</v>
      </c>
      <c r="R21" s="85" t="s">
        <v>1655</v>
      </c>
      <c r="S21" s="89" t="s">
        <v>1654</v>
      </c>
      <c r="T21" s="87" t="s">
        <v>1661</v>
      </c>
    </row>
    <row r="22" spans="1:20">
      <c r="A22" s="85">
        <v>5</v>
      </c>
      <c r="B22" s="86" t="s">
        <v>1651</v>
      </c>
      <c r="C22" s="87" t="s">
        <v>578</v>
      </c>
      <c r="D22" s="87" t="s">
        <v>122</v>
      </c>
      <c r="E22" s="88" t="s">
        <v>122</v>
      </c>
      <c r="F22" s="85" t="s">
        <v>1653</v>
      </c>
      <c r="G22" s="85" t="s">
        <v>1653</v>
      </c>
      <c r="H22" s="87" t="s">
        <v>114</v>
      </c>
      <c r="I22" s="87" t="s">
        <v>114</v>
      </c>
      <c r="J22" s="89" t="s">
        <v>1654</v>
      </c>
      <c r="K22" s="87" t="s">
        <v>117</v>
      </c>
      <c r="L22" s="87" t="s">
        <v>117</v>
      </c>
      <c r="M22" s="89" t="s">
        <v>1654</v>
      </c>
      <c r="N22" s="85" t="s">
        <v>1655</v>
      </c>
      <c r="O22" s="85" t="s">
        <v>1660</v>
      </c>
      <c r="P22" s="85" t="s">
        <v>1655</v>
      </c>
      <c r="Q22" s="85" t="s">
        <v>1655</v>
      </c>
      <c r="R22" s="85" t="s">
        <v>1655</v>
      </c>
      <c r="S22" s="89" t="s">
        <v>1654</v>
      </c>
      <c r="T22" s="87" t="s">
        <v>1661</v>
      </c>
    </row>
    <row r="23" spans="1:20">
      <c r="A23" s="85">
        <v>6</v>
      </c>
      <c r="B23" s="86" t="s">
        <v>1651</v>
      </c>
      <c r="C23" s="87" t="s">
        <v>143</v>
      </c>
      <c r="D23" s="87" t="s">
        <v>123</v>
      </c>
      <c r="E23" s="88" t="s">
        <v>123</v>
      </c>
      <c r="F23" s="85" t="s">
        <v>1653</v>
      </c>
      <c r="G23" s="85" t="s">
        <v>1653</v>
      </c>
      <c r="H23" s="87" t="s">
        <v>114</v>
      </c>
      <c r="I23" s="87" t="s">
        <v>114</v>
      </c>
      <c r="J23" s="89" t="s">
        <v>1654</v>
      </c>
      <c r="K23" s="87" t="s">
        <v>117</v>
      </c>
      <c r="L23" s="87" t="s">
        <v>117</v>
      </c>
      <c r="M23" s="89" t="s">
        <v>1654</v>
      </c>
      <c r="N23" s="85" t="s">
        <v>1655</v>
      </c>
      <c r="O23" s="85" t="s">
        <v>1655</v>
      </c>
      <c r="P23" s="85" t="s">
        <v>1655</v>
      </c>
      <c r="Q23" s="85" t="s">
        <v>1660</v>
      </c>
      <c r="R23" s="85" t="s">
        <v>1655</v>
      </c>
      <c r="S23" s="89" t="s">
        <v>1654</v>
      </c>
      <c r="T23" s="87" t="s">
        <v>1661</v>
      </c>
    </row>
    <row r="24" spans="1:20">
      <c r="A24" s="85">
        <v>7</v>
      </c>
      <c r="B24" s="86" t="s">
        <v>1651</v>
      </c>
      <c r="C24" s="87" t="s">
        <v>124</v>
      </c>
      <c r="D24" s="87" t="s">
        <v>124</v>
      </c>
      <c r="E24" s="88" t="s">
        <v>124</v>
      </c>
      <c r="F24" s="85" t="s">
        <v>1653</v>
      </c>
      <c r="G24" s="85" t="s">
        <v>1653</v>
      </c>
      <c r="H24" s="87" t="s">
        <v>114</v>
      </c>
      <c r="I24" s="87" t="s">
        <v>114</v>
      </c>
      <c r="J24" s="89" t="s">
        <v>1654</v>
      </c>
      <c r="K24" s="87" t="s">
        <v>117</v>
      </c>
      <c r="L24" s="87" t="s">
        <v>117</v>
      </c>
      <c r="M24" s="89" t="s">
        <v>1654</v>
      </c>
      <c r="N24" s="85" t="s">
        <v>1655</v>
      </c>
      <c r="O24" s="85" t="s">
        <v>1655</v>
      </c>
      <c r="P24" s="85" t="s">
        <v>1655</v>
      </c>
      <c r="Q24" s="85" t="s">
        <v>1660</v>
      </c>
      <c r="R24" s="85" t="s">
        <v>1655</v>
      </c>
      <c r="S24" s="89" t="s">
        <v>1654</v>
      </c>
      <c r="T24" s="87" t="s">
        <v>1661</v>
      </c>
    </row>
    <row r="25" spans="1:20">
      <c r="A25" s="85">
        <v>8</v>
      </c>
      <c r="B25" s="86" t="s">
        <v>1651</v>
      </c>
      <c r="C25" s="87" t="s">
        <v>125</v>
      </c>
      <c r="D25" s="87" t="s">
        <v>125</v>
      </c>
      <c r="E25" s="88" t="s">
        <v>125</v>
      </c>
      <c r="F25" s="85" t="s">
        <v>1653</v>
      </c>
      <c r="G25" s="85" t="s">
        <v>1653</v>
      </c>
      <c r="H25" s="87" t="s">
        <v>114</v>
      </c>
      <c r="I25" s="87" t="s">
        <v>114</v>
      </c>
      <c r="J25" s="89" t="s">
        <v>1654</v>
      </c>
      <c r="K25" s="87" t="s">
        <v>127</v>
      </c>
      <c r="L25" s="87" t="s">
        <v>127</v>
      </c>
      <c r="M25" s="89" t="s">
        <v>1654</v>
      </c>
      <c r="N25" s="85" t="s">
        <v>1655</v>
      </c>
      <c r="O25" s="85" t="s">
        <v>1655</v>
      </c>
      <c r="P25" s="85" t="s">
        <v>1655</v>
      </c>
      <c r="Q25" s="85" t="s">
        <v>1660</v>
      </c>
      <c r="R25" s="85" t="s">
        <v>1655</v>
      </c>
      <c r="S25" s="89" t="s">
        <v>1654</v>
      </c>
      <c r="T25" s="87" t="s">
        <v>1661</v>
      </c>
    </row>
    <row r="26" spans="1:20">
      <c r="A26" s="85">
        <v>9</v>
      </c>
      <c r="B26" s="86" t="s">
        <v>1651</v>
      </c>
      <c r="C26" s="87" t="s">
        <v>152</v>
      </c>
      <c r="D26" s="87" t="s">
        <v>128</v>
      </c>
      <c r="E26" s="88" t="s">
        <v>128</v>
      </c>
      <c r="F26" s="85" t="s">
        <v>1653</v>
      </c>
      <c r="G26" s="85" t="s">
        <v>1653</v>
      </c>
      <c r="H26" s="87" t="s">
        <v>114</v>
      </c>
      <c r="I26" s="87" t="s">
        <v>114</v>
      </c>
      <c r="J26" s="89" t="s">
        <v>1654</v>
      </c>
      <c r="K26" s="87" t="s">
        <v>117</v>
      </c>
      <c r="L26" s="87" t="s">
        <v>117</v>
      </c>
      <c r="M26" s="89" t="s">
        <v>1654</v>
      </c>
      <c r="N26" s="85" t="s">
        <v>1660</v>
      </c>
      <c r="O26" s="85" t="s">
        <v>1662</v>
      </c>
      <c r="P26" s="85" t="s">
        <v>1655</v>
      </c>
      <c r="Q26" s="85" t="s">
        <v>1655</v>
      </c>
      <c r="R26" s="85" t="s">
        <v>1655</v>
      </c>
      <c r="S26" s="89" t="s">
        <v>1654</v>
      </c>
      <c r="T26" s="87" t="s">
        <v>1661</v>
      </c>
    </row>
    <row r="27" spans="1:20">
      <c r="A27" s="85">
        <v>10</v>
      </c>
      <c r="B27" s="86" t="s">
        <v>1651</v>
      </c>
      <c r="C27" s="87" t="s">
        <v>153</v>
      </c>
      <c r="D27" s="87" t="s">
        <v>129</v>
      </c>
      <c r="E27" s="88" t="s">
        <v>129</v>
      </c>
      <c r="F27" s="85" t="s">
        <v>1653</v>
      </c>
      <c r="G27" s="85" t="s">
        <v>1653</v>
      </c>
      <c r="H27" s="87" t="s">
        <v>114</v>
      </c>
      <c r="I27" s="87" t="s">
        <v>114</v>
      </c>
      <c r="J27" s="89" t="s">
        <v>1654</v>
      </c>
      <c r="K27" s="87" t="s">
        <v>117</v>
      </c>
      <c r="L27" s="87" t="s">
        <v>117</v>
      </c>
      <c r="M27" s="89" t="s">
        <v>1654</v>
      </c>
      <c r="N27" s="85" t="s">
        <v>1660</v>
      </c>
      <c r="O27" s="85" t="s">
        <v>1662</v>
      </c>
      <c r="P27" s="85" t="s">
        <v>1655</v>
      </c>
      <c r="Q27" s="85" t="s">
        <v>1655</v>
      </c>
      <c r="R27" s="85" t="s">
        <v>1655</v>
      </c>
      <c r="S27" s="89" t="s">
        <v>1654</v>
      </c>
      <c r="T27" s="87" t="s">
        <v>1661</v>
      </c>
    </row>
    <row r="28" spans="1:20">
      <c r="A28" s="85">
        <v>11</v>
      </c>
      <c r="B28" s="86" t="s">
        <v>1651</v>
      </c>
      <c r="C28" s="87" t="s">
        <v>154</v>
      </c>
      <c r="D28" s="87" t="s">
        <v>130</v>
      </c>
      <c r="E28" s="88" t="s">
        <v>130</v>
      </c>
      <c r="F28" s="85" t="s">
        <v>1653</v>
      </c>
      <c r="G28" s="85" t="s">
        <v>1653</v>
      </c>
      <c r="H28" s="87" t="s">
        <v>114</v>
      </c>
      <c r="I28" s="87" t="s">
        <v>114</v>
      </c>
      <c r="J28" s="89" t="s">
        <v>1654</v>
      </c>
      <c r="K28" s="87" t="s">
        <v>117</v>
      </c>
      <c r="L28" s="87" t="s">
        <v>117</v>
      </c>
      <c r="M28" s="89" t="s">
        <v>1654</v>
      </c>
      <c r="N28" s="85" t="s">
        <v>1660</v>
      </c>
      <c r="O28" s="85" t="s">
        <v>1662</v>
      </c>
      <c r="P28" s="85" t="s">
        <v>1655</v>
      </c>
      <c r="Q28" s="85" t="s">
        <v>1655</v>
      </c>
      <c r="R28" s="85" t="s">
        <v>1655</v>
      </c>
      <c r="S28" s="89" t="s">
        <v>1654</v>
      </c>
      <c r="T28" s="87" t="s">
        <v>1661</v>
      </c>
    </row>
    <row r="29" spans="1:20">
      <c r="A29" s="85">
        <v>12</v>
      </c>
      <c r="B29" s="86" t="s">
        <v>1651</v>
      </c>
      <c r="C29" s="87" t="s">
        <v>155</v>
      </c>
      <c r="D29" s="87" t="s">
        <v>131</v>
      </c>
      <c r="E29" s="88" t="s">
        <v>131</v>
      </c>
      <c r="F29" s="85" t="s">
        <v>1653</v>
      </c>
      <c r="G29" s="85" t="s">
        <v>1653</v>
      </c>
      <c r="H29" s="87" t="s">
        <v>114</v>
      </c>
      <c r="I29" s="87" t="s">
        <v>114</v>
      </c>
      <c r="J29" s="89" t="s">
        <v>1654</v>
      </c>
      <c r="K29" s="87" t="s">
        <v>117</v>
      </c>
      <c r="L29" s="87" t="s">
        <v>117</v>
      </c>
      <c r="M29" s="89" t="s">
        <v>1654</v>
      </c>
      <c r="N29" s="85" t="s">
        <v>1660</v>
      </c>
      <c r="O29" s="85" t="s">
        <v>1662</v>
      </c>
      <c r="P29" s="85" t="s">
        <v>1655</v>
      </c>
      <c r="Q29" s="85" t="s">
        <v>1655</v>
      </c>
      <c r="R29" s="85" t="s">
        <v>1655</v>
      </c>
      <c r="S29" s="89" t="s">
        <v>1654</v>
      </c>
      <c r="T29" s="87" t="s">
        <v>1661</v>
      </c>
    </row>
    <row r="30" spans="1:20">
      <c r="A30" s="85">
        <v>13</v>
      </c>
      <c r="B30" s="86" t="s">
        <v>1651</v>
      </c>
      <c r="C30" s="87" t="s">
        <v>132</v>
      </c>
      <c r="D30" s="87" t="s">
        <v>132</v>
      </c>
      <c r="E30" s="88" t="s">
        <v>132</v>
      </c>
      <c r="F30" s="85" t="s">
        <v>1653</v>
      </c>
      <c r="G30" s="85" t="s">
        <v>1653</v>
      </c>
      <c r="H30" s="87" t="s">
        <v>114</v>
      </c>
      <c r="I30" s="87" t="s">
        <v>191</v>
      </c>
      <c r="J30" s="90" t="s">
        <v>1658</v>
      </c>
      <c r="K30" s="87" t="s">
        <v>127</v>
      </c>
      <c r="L30" s="87" t="s">
        <v>127</v>
      </c>
      <c r="M30" s="89" t="s">
        <v>1654</v>
      </c>
      <c r="N30" s="85" t="s">
        <v>1660</v>
      </c>
      <c r="O30" s="85" t="s">
        <v>1665</v>
      </c>
      <c r="P30" s="85" t="s">
        <v>1655</v>
      </c>
      <c r="Q30" s="85" t="s">
        <v>1655</v>
      </c>
      <c r="R30" s="85" t="s">
        <v>1655</v>
      </c>
      <c r="S30" s="90" t="s">
        <v>1658</v>
      </c>
      <c r="T30" s="91" t="s">
        <v>1666</v>
      </c>
    </row>
    <row r="31" spans="1:20">
      <c r="A31" s="85">
        <v>14</v>
      </c>
      <c r="B31" s="86" t="s">
        <v>1651</v>
      </c>
      <c r="C31" s="87" t="s">
        <v>841</v>
      </c>
      <c r="D31" s="87" t="s">
        <v>133</v>
      </c>
      <c r="E31" s="88" t="s">
        <v>133</v>
      </c>
      <c r="F31" s="85" t="s">
        <v>1653</v>
      </c>
      <c r="G31" s="85" t="s">
        <v>1653</v>
      </c>
      <c r="H31" s="87" t="s">
        <v>114</v>
      </c>
      <c r="I31" s="87" t="s">
        <v>1307</v>
      </c>
      <c r="J31" s="90" t="s">
        <v>1658</v>
      </c>
      <c r="K31" s="87" t="s">
        <v>117</v>
      </c>
      <c r="L31" s="87" t="s">
        <v>117</v>
      </c>
      <c r="M31" s="89" t="s">
        <v>1654</v>
      </c>
      <c r="N31" s="85" t="s">
        <v>1660</v>
      </c>
      <c r="O31" s="85" t="s">
        <v>1667</v>
      </c>
      <c r="P31" s="85" t="s">
        <v>1655</v>
      </c>
      <c r="Q31" s="85" t="s">
        <v>1655</v>
      </c>
      <c r="R31" s="85" t="s">
        <v>1660</v>
      </c>
      <c r="S31" s="90" t="s">
        <v>1658</v>
      </c>
      <c r="T31" s="91" t="s">
        <v>1668</v>
      </c>
    </row>
    <row r="32" spans="1:20">
      <c r="A32" s="85">
        <v>15</v>
      </c>
      <c r="B32" s="86" t="s">
        <v>1651</v>
      </c>
      <c r="C32" s="87" t="s">
        <v>879</v>
      </c>
      <c r="D32" s="87" t="s">
        <v>134</v>
      </c>
      <c r="E32" s="88" t="s">
        <v>134</v>
      </c>
      <c r="F32" s="85" t="s">
        <v>1653</v>
      </c>
      <c r="G32" s="85" t="s">
        <v>1653</v>
      </c>
      <c r="H32" s="87" t="s">
        <v>114</v>
      </c>
      <c r="I32" s="87" t="s">
        <v>1307</v>
      </c>
      <c r="J32" s="90" t="s">
        <v>1658</v>
      </c>
      <c r="K32" s="87" t="s">
        <v>117</v>
      </c>
      <c r="L32" s="87" t="s">
        <v>117</v>
      </c>
      <c r="M32" s="89" t="s">
        <v>1654</v>
      </c>
      <c r="N32" s="85" t="s">
        <v>1660</v>
      </c>
      <c r="O32" s="85" t="s">
        <v>1667</v>
      </c>
      <c r="P32" s="85" t="s">
        <v>1655</v>
      </c>
      <c r="Q32" s="85" t="s">
        <v>1655</v>
      </c>
      <c r="R32" s="85" t="s">
        <v>1660</v>
      </c>
      <c r="S32" s="90" t="s">
        <v>1658</v>
      </c>
      <c r="T32" s="91" t="s">
        <v>1668</v>
      </c>
    </row>
    <row r="33" spans="1:20">
      <c r="A33" s="85">
        <v>1</v>
      </c>
      <c r="B33" s="93" t="s">
        <v>1669</v>
      </c>
      <c r="C33" s="87" t="s">
        <v>1670</v>
      </c>
      <c r="D33" s="87" t="s">
        <v>135</v>
      </c>
      <c r="E33" s="88" t="s">
        <v>18</v>
      </c>
      <c r="F33" s="85" t="s">
        <v>1652</v>
      </c>
      <c r="G33" s="85" t="s">
        <v>1652</v>
      </c>
      <c r="H33" s="87" t="s">
        <v>114</v>
      </c>
      <c r="I33" s="87" t="s">
        <v>18</v>
      </c>
      <c r="J33" s="89" t="s">
        <v>1671</v>
      </c>
      <c r="K33" s="87" t="s">
        <v>137</v>
      </c>
      <c r="L33" s="87" t="s">
        <v>18</v>
      </c>
      <c r="M33" s="89" t="s">
        <v>1671</v>
      </c>
      <c r="N33" s="85" t="s">
        <v>1655</v>
      </c>
      <c r="O33" s="85" t="s">
        <v>1655</v>
      </c>
      <c r="P33" s="85" t="s">
        <v>1655</v>
      </c>
      <c r="Q33" s="85" t="s">
        <v>1657</v>
      </c>
      <c r="R33" s="85" t="s">
        <v>1655</v>
      </c>
      <c r="S33" s="89" t="s">
        <v>1671</v>
      </c>
      <c r="T33" s="87" t="s">
        <v>1672</v>
      </c>
    </row>
    <row r="34" spans="1:20">
      <c r="A34" s="85">
        <v>2</v>
      </c>
      <c r="B34" s="93" t="s">
        <v>1669</v>
      </c>
      <c r="C34" s="87" t="s">
        <v>1673</v>
      </c>
      <c r="D34" s="87" t="s">
        <v>138</v>
      </c>
      <c r="E34" s="88" t="s">
        <v>18</v>
      </c>
      <c r="F34" s="85" t="s">
        <v>1652</v>
      </c>
      <c r="G34" s="85" t="s">
        <v>1652</v>
      </c>
      <c r="H34" s="87" t="s">
        <v>114</v>
      </c>
      <c r="I34" s="87" t="s">
        <v>18</v>
      </c>
      <c r="J34" s="89" t="s">
        <v>1671</v>
      </c>
      <c r="K34" s="87" t="s">
        <v>137</v>
      </c>
      <c r="L34" s="87" t="s">
        <v>18</v>
      </c>
      <c r="M34" s="89" t="s">
        <v>1671</v>
      </c>
      <c r="N34" s="85" t="s">
        <v>1655</v>
      </c>
      <c r="O34" s="85" t="s">
        <v>1655</v>
      </c>
      <c r="P34" s="85" t="s">
        <v>1655</v>
      </c>
      <c r="Q34" s="85" t="s">
        <v>1657</v>
      </c>
      <c r="R34" s="85" t="s">
        <v>1655</v>
      </c>
      <c r="S34" s="89" t="s">
        <v>1671</v>
      </c>
      <c r="T34" s="87" t="s">
        <v>1674</v>
      </c>
    </row>
    <row r="35" spans="1:20">
      <c r="A35" s="85">
        <v>3</v>
      </c>
      <c r="B35" s="86" t="s">
        <v>1651</v>
      </c>
      <c r="C35" s="87" t="s">
        <v>566</v>
      </c>
      <c r="D35" s="87" t="s">
        <v>139</v>
      </c>
      <c r="E35" s="88" t="s">
        <v>139</v>
      </c>
      <c r="F35" s="85" t="s">
        <v>1653</v>
      </c>
      <c r="G35" s="85" t="s">
        <v>1653</v>
      </c>
      <c r="H35" s="87" t="s">
        <v>114</v>
      </c>
      <c r="I35" s="87" t="s">
        <v>114</v>
      </c>
      <c r="J35" s="89" t="s">
        <v>1654</v>
      </c>
      <c r="K35" s="87" t="s">
        <v>137</v>
      </c>
      <c r="L35" s="87" t="s">
        <v>137</v>
      </c>
      <c r="M35" s="89" t="s">
        <v>1654</v>
      </c>
      <c r="N35" s="85" t="s">
        <v>1655</v>
      </c>
      <c r="O35" s="85" t="s">
        <v>1660</v>
      </c>
      <c r="P35" s="85" t="s">
        <v>1655</v>
      </c>
      <c r="Q35" s="85" t="s">
        <v>1655</v>
      </c>
      <c r="R35" s="85" t="s">
        <v>1655</v>
      </c>
      <c r="S35" s="89" t="s">
        <v>1654</v>
      </c>
      <c r="T35" s="87" t="s">
        <v>1661</v>
      </c>
    </row>
    <row r="36" spans="1:20">
      <c r="A36" s="85">
        <v>4</v>
      </c>
      <c r="B36" s="86" t="s">
        <v>1651</v>
      </c>
      <c r="C36" s="87" t="s">
        <v>571</v>
      </c>
      <c r="D36" s="87" t="s">
        <v>140</v>
      </c>
      <c r="E36" s="88" t="s">
        <v>140</v>
      </c>
      <c r="F36" s="85" t="s">
        <v>1653</v>
      </c>
      <c r="G36" s="85" t="s">
        <v>1653</v>
      </c>
      <c r="H36" s="87" t="s">
        <v>114</v>
      </c>
      <c r="I36" s="87" t="s">
        <v>114</v>
      </c>
      <c r="J36" s="89" t="s">
        <v>1654</v>
      </c>
      <c r="K36" s="87" t="s">
        <v>137</v>
      </c>
      <c r="L36" s="87" t="s">
        <v>137</v>
      </c>
      <c r="M36" s="89" t="s">
        <v>1654</v>
      </c>
      <c r="N36" s="85" t="s">
        <v>1655</v>
      </c>
      <c r="O36" s="85" t="s">
        <v>1660</v>
      </c>
      <c r="P36" s="85" t="s">
        <v>1655</v>
      </c>
      <c r="Q36" s="85" t="s">
        <v>1655</v>
      </c>
      <c r="R36" s="85" t="s">
        <v>1655</v>
      </c>
      <c r="S36" s="89" t="s">
        <v>1654</v>
      </c>
      <c r="T36" s="87" t="s">
        <v>1661</v>
      </c>
    </row>
    <row r="37" spans="1:20">
      <c r="A37" s="85">
        <v>5</v>
      </c>
      <c r="B37" s="86" t="s">
        <v>1651</v>
      </c>
      <c r="C37" s="87" t="s">
        <v>573</v>
      </c>
      <c r="D37" s="87" t="s">
        <v>141</v>
      </c>
      <c r="E37" s="88" t="s">
        <v>141</v>
      </c>
      <c r="F37" s="85" t="s">
        <v>1653</v>
      </c>
      <c r="G37" s="85" t="s">
        <v>1653</v>
      </c>
      <c r="H37" s="87" t="s">
        <v>114</v>
      </c>
      <c r="I37" s="87" t="s">
        <v>114</v>
      </c>
      <c r="J37" s="89" t="s">
        <v>1654</v>
      </c>
      <c r="K37" s="87" t="s">
        <v>137</v>
      </c>
      <c r="L37" s="87" t="s">
        <v>137</v>
      </c>
      <c r="M37" s="89" t="s">
        <v>1654</v>
      </c>
      <c r="N37" s="85" t="s">
        <v>1655</v>
      </c>
      <c r="O37" s="85" t="s">
        <v>1660</v>
      </c>
      <c r="P37" s="85" t="s">
        <v>1655</v>
      </c>
      <c r="Q37" s="85" t="s">
        <v>1655</v>
      </c>
      <c r="R37" s="85" t="s">
        <v>1655</v>
      </c>
      <c r="S37" s="89" t="s">
        <v>1654</v>
      </c>
      <c r="T37" s="87" t="s">
        <v>1661</v>
      </c>
    </row>
    <row r="38" spans="1:20">
      <c r="A38" s="85">
        <v>6</v>
      </c>
      <c r="B38" s="86" t="s">
        <v>1651</v>
      </c>
      <c r="C38" s="87" t="s">
        <v>575</v>
      </c>
      <c r="D38" s="87" t="s">
        <v>142</v>
      </c>
      <c r="E38" s="88" t="s">
        <v>142</v>
      </c>
      <c r="F38" s="85" t="s">
        <v>1653</v>
      </c>
      <c r="G38" s="85" t="s">
        <v>1653</v>
      </c>
      <c r="H38" s="87" t="s">
        <v>114</v>
      </c>
      <c r="I38" s="87" t="s">
        <v>114</v>
      </c>
      <c r="J38" s="89" t="s">
        <v>1654</v>
      </c>
      <c r="K38" s="87" t="s">
        <v>137</v>
      </c>
      <c r="L38" s="87" t="s">
        <v>137</v>
      </c>
      <c r="M38" s="89" t="s">
        <v>1654</v>
      </c>
      <c r="N38" s="85" t="s">
        <v>1655</v>
      </c>
      <c r="O38" s="85" t="s">
        <v>1660</v>
      </c>
      <c r="P38" s="85" t="s">
        <v>1655</v>
      </c>
      <c r="Q38" s="85" t="s">
        <v>1655</v>
      </c>
      <c r="R38" s="85" t="s">
        <v>1655</v>
      </c>
      <c r="S38" s="89" t="s">
        <v>1654</v>
      </c>
      <c r="T38" s="87" t="s">
        <v>1661</v>
      </c>
    </row>
    <row r="39" spans="1:20">
      <c r="A39" s="85">
        <v>7</v>
      </c>
      <c r="B39" s="86" t="s">
        <v>1651</v>
      </c>
      <c r="C39" s="87" t="s">
        <v>604</v>
      </c>
      <c r="D39" s="87" t="s">
        <v>143</v>
      </c>
      <c r="E39" s="88" t="s">
        <v>143</v>
      </c>
      <c r="F39" s="85" t="s">
        <v>1653</v>
      </c>
      <c r="G39" s="85" t="s">
        <v>1653</v>
      </c>
      <c r="H39" s="87" t="s">
        <v>114</v>
      </c>
      <c r="I39" s="87" t="s">
        <v>114</v>
      </c>
      <c r="J39" s="89" t="s">
        <v>1654</v>
      </c>
      <c r="K39" s="87" t="s">
        <v>137</v>
      </c>
      <c r="L39" s="87" t="s">
        <v>137</v>
      </c>
      <c r="M39" s="89" t="s">
        <v>1654</v>
      </c>
      <c r="N39" s="85" t="s">
        <v>1655</v>
      </c>
      <c r="O39" s="85" t="s">
        <v>1657</v>
      </c>
      <c r="P39" s="85" t="s">
        <v>1655</v>
      </c>
      <c r="Q39" s="85" t="s">
        <v>1656</v>
      </c>
      <c r="R39" s="85" t="s">
        <v>1655</v>
      </c>
      <c r="S39" s="90" t="s">
        <v>1658</v>
      </c>
      <c r="T39" s="91" t="s">
        <v>1675</v>
      </c>
    </row>
    <row r="40" spans="1:20">
      <c r="A40" s="85">
        <v>8</v>
      </c>
      <c r="B40" s="86" t="s">
        <v>1651</v>
      </c>
      <c r="C40" s="87" t="s">
        <v>608</v>
      </c>
      <c r="D40" s="87" t="s">
        <v>144</v>
      </c>
      <c r="E40" s="88" t="s">
        <v>144</v>
      </c>
      <c r="F40" s="85" t="s">
        <v>1653</v>
      </c>
      <c r="G40" s="85" t="s">
        <v>1653</v>
      </c>
      <c r="H40" s="87" t="s">
        <v>114</v>
      </c>
      <c r="I40" s="87" t="s">
        <v>114</v>
      </c>
      <c r="J40" s="89" t="s">
        <v>1654</v>
      </c>
      <c r="K40" s="87" t="s">
        <v>137</v>
      </c>
      <c r="L40" s="87" t="s">
        <v>137</v>
      </c>
      <c r="M40" s="89" t="s">
        <v>1654</v>
      </c>
      <c r="N40" s="85" t="s">
        <v>1655</v>
      </c>
      <c r="O40" s="85" t="s">
        <v>1657</v>
      </c>
      <c r="P40" s="85" t="s">
        <v>1655</v>
      </c>
      <c r="Q40" s="85" t="s">
        <v>1656</v>
      </c>
      <c r="R40" s="85" t="s">
        <v>1655</v>
      </c>
      <c r="S40" s="90" t="s">
        <v>1658</v>
      </c>
      <c r="T40" s="91" t="s">
        <v>1675</v>
      </c>
    </row>
    <row r="41" spans="1:20">
      <c r="A41" s="85">
        <v>9</v>
      </c>
      <c r="B41" s="86" t="s">
        <v>1651</v>
      </c>
      <c r="C41" s="87" t="s">
        <v>614</v>
      </c>
      <c r="D41" s="87" t="s">
        <v>145</v>
      </c>
      <c r="E41" s="88" t="s">
        <v>145</v>
      </c>
      <c r="F41" s="85" t="s">
        <v>1653</v>
      </c>
      <c r="G41" s="85" t="s">
        <v>1653</v>
      </c>
      <c r="H41" s="87" t="s">
        <v>114</v>
      </c>
      <c r="I41" s="87" t="s">
        <v>114</v>
      </c>
      <c r="J41" s="89" t="s">
        <v>1654</v>
      </c>
      <c r="K41" s="87" t="s">
        <v>137</v>
      </c>
      <c r="L41" s="87" t="s">
        <v>137</v>
      </c>
      <c r="M41" s="89" t="s">
        <v>1654</v>
      </c>
      <c r="N41" s="85" t="s">
        <v>1655</v>
      </c>
      <c r="O41" s="85" t="s">
        <v>1657</v>
      </c>
      <c r="P41" s="85" t="s">
        <v>1655</v>
      </c>
      <c r="Q41" s="85" t="s">
        <v>1660</v>
      </c>
      <c r="R41" s="85" t="s">
        <v>1655</v>
      </c>
      <c r="S41" s="90" t="s">
        <v>1658</v>
      </c>
      <c r="T41" s="91" t="s">
        <v>1676</v>
      </c>
    </row>
    <row r="42" spans="1:20">
      <c r="A42" s="85">
        <v>10</v>
      </c>
      <c r="B42" s="86" t="s">
        <v>1651</v>
      </c>
      <c r="C42" s="87" t="s">
        <v>618</v>
      </c>
      <c r="D42" s="87" t="s">
        <v>146</v>
      </c>
      <c r="E42" s="88" t="s">
        <v>146</v>
      </c>
      <c r="F42" s="85" t="s">
        <v>1653</v>
      </c>
      <c r="G42" s="85" t="s">
        <v>1653</v>
      </c>
      <c r="H42" s="87" t="s">
        <v>114</v>
      </c>
      <c r="I42" s="87" t="s">
        <v>114</v>
      </c>
      <c r="J42" s="89" t="s">
        <v>1654</v>
      </c>
      <c r="K42" s="87" t="s">
        <v>137</v>
      </c>
      <c r="L42" s="87" t="s">
        <v>137</v>
      </c>
      <c r="M42" s="89" t="s">
        <v>1654</v>
      </c>
      <c r="N42" s="85" t="s">
        <v>1655</v>
      </c>
      <c r="O42" s="85" t="s">
        <v>1657</v>
      </c>
      <c r="P42" s="85" t="s">
        <v>1655</v>
      </c>
      <c r="Q42" s="85" t="s">
        <v>1660</v>
      </c>
      <c r="R42" s="85" t="s">
        <v>1655</v>
      </c>
      <c r="S42" s="90" t="s">
        <v>1658</v>
      </c>
      <c r="T42" s="91" t="s">
        <v>1676</v>
      </c>
    </row>
    <row r="43" spans="1:20">
      <c r="A43" s="85">
        <v>11</v>
      </c>
      <c r="B43" s="86" t="s">
        <v>1651</v>
      </c>
      <c r="C43" s="87" t="s">
        <v>672</v>
      </c>
      <c r="D43" s="87" t="s">
        <v>147</v>
      </c>
      <c r="E43" s="88" t="s">
        <v>147</v>
      </c>
      <c r="F43" s="85" t="s">
        <v>1653</v>
      </c>
      <c r="G43" s="85" t="s">
        <v>1653</v>
      </c>
      <c r="H43" s="87" t="s">
        <v>114</v>
      </c>
      <c r="I43" s="87" t="s">
        <v>114</v>
      </c>
      <c r="J43" s="89" t="s">
        <v>1654</v>
      </c>
      <c r="K43" s="87" t="s">
        <v>137</v>
      </c>
      <c r="L43" s="87" t="s">
        <v>137</v>
      </c>
      <c r="M43" s="89" t="s">
        <v>1654</v>
      </c>
      <c r="N43" s="85" t="s">
        <v>1660</v>
      </c>
      <c r="O43" s="85" t="s">
        <v>1655</v>
      </c>
      <c r="P43" s="85" t="s">
        <v>1655</v>
      </c>
      <c r="Q43" s="85" t="s">
        <v>1655</v>
      </c>
      <c r="R43" s="85" t="s">
        <v>1655</v>
      </c>
      <c r="S43" s="89" t="s">
        <v>1654</v>
      </c>
      <c r="T43" s="87" t="s">
        <v>1661</v>
      </c>
    </row>
    <row r="44" spans="1:20">
      <c r="A44" s="85">
        <v>12</v>
      </c>
      <c r="B44" s="86" t="s">
        <v>1651</v>
      </c>
      <c r="C44" s="87" t="s">
        <v>678</v>
      </c>
      <c r="D44" s="87" t="s">
        <v>148</v>
      </c>
      <c r="E44" s="88" t="s">
        <v>148</v>
      </c>
      <c r="F44" s="85" t="s">
        <v>1653</v>
      </c>
      <c r="G44" s="85" t="s">
        <v>1653</v>
      </c>
      <c r="H44" s="87" t="s">
        <v>114</v>
      </c>
      <c r="I44" s="87" t="s">
        <v>114</v>
      </c>
      <c r="J44" s="89" t="s">
        <v>1654</v>
      </c>
      <c r="K44" s="87" t="s">
        <v>137</v>
      </c>
      <c r="L44" s="87" t="s">
        <v>137</v>
      </c>
      <c r="M44" s="89" t="s">
        <v>1654</v>
      </c>
      <c r="N44" s="85" t="s">
        <v>1660</v>
      </c>
      <c r="O44" s="85" t="s">
        <v>1655</v>
      </c>
      <c r="P44" s="85" t="s">
        <v>1655</v>
      </c>
      <c r="Q44" s="85" t="s">
        <v>1655</v>
      </c>
      <c r="R44" s="85" t="s">
        <v>1655</v>
      </c>
      <c r="S44" s="89" t="s">
        <v>1654</v>
      </c>
      <c r="T44" s="87" t="s">
        <v>1661</v>
      </c>
    </row>
    <row r="45" spans="1:20">
      <c r="A45" s="85">
        <v>13</v>
      </c>
      <c r="B45" s="86" t="s">
        <v>1651</v>
      </c>
      <c r="C45" s="87" t="s">
        <v>680</v>
      </c>
      <c r="D45" s="87" t="s">
        <v>149</v>
      </c>
      <c r="E45" s="88" t="s">
        <v>149</v>
      </c>
      <c r="F45" s="85" t="s">
        <v>1653</v>
      </c>
      <c r="G45" s="85" t="s">
        <v>1653</v>
      </c>
      <c r="H45" s="87" t="s">
        <v>114</v>
      </c>
      <c r="I45" s="87" t="s">
        <v>114</v>
      </c>
      <c r="J45" s="89" t="s">
        <v>1654</v>
      </c>
      <c r="K45" s="87" t="s">
        <v>137</v>
      </c>
      <c r="L45" s="87" t="s">
        <v>137</v>
      </c>
      <c r="M45" s="89" t="s">
        <v>1654</v>
      </c>
      <c r="N45" s="85" t="s">
        <v>1660</v>
      </c>
      <c r="O45" s="85" t="s">
        <v>1655</v>
      </c>
      <c r="P45" s="85" t="s">
        <v>1655</v>
      </c>
      <c r="Q45" s="85" t="s">
        <v>1655</v>
      </c>
      <c r="R45" s="85" t="s">
        <v>1655</v>
      </c>
      <c r="S45" s="89" t="s">
        <v>1654</v>
      </c>
      <c r="T45" s="87" t="s">
        <v>1661</v>
      </c>
    </row>
    <row r="46" spans="1:20">
      <c r="A46" s="85">
        <v>14</v>
      </c>
      <c r="B46" s="86" t="s">
        <v>1651</v>
      </c>
      <c r="C46" s="87" t="s">
        <v>682</v>
      </c>
      <c r="D46" s="87" t="s">
        <v>150</v>
      </c>
      <c r="E46" s="88" t="s">
        <v>150</v>
      </c>
      <c r="F46" s="85" t="s">
        <v>1653</v>
      </c>
      <c r="G46" s="85" t="s">
        <v>1653</v>
      </c>
      <c r="H46" s="87" t="s">
        <v>114</v>
      </c>
      <c r="I46" s="87" t="s">
        <v>114</v>
      </c>
      <c r="J46" s="89" t="s">
        <v>1654</v>
      </c>
      <c r="K46" s="87" t="s">
        <v>137</v>
      </c>
      <c r="L46" s="87" t="s">
        <v>137</v>
      </c>
      <c r="M46" s="89" t="s">
        <v>1654</v>
      </c>
      <c r="N46" s="85" t="s">
        <v>1660</v>
      </c>
      <c r="O46" s="85" t="s">
        <v>1655</v>
      </c>
      <c r="P46" s="85" t="s">
        <v>1655</v>
      </c>
      <c r="Q46" s="85" t="s">
        <v>1655</v>
      </c>
      <c r="R46" s="85" t="s">
        <v>1655</v>
      </c>
      <c r="S46" s="89" t="s">
        <v>1654</v>
      </c>
      <c r="T46" s="87" t="s">
        <v>1661</v>
      </c>
    </row>
    <row r="47" spans="1:20">
      <c r="A47" s="85">
        <v>15</v>
      </c>
      <c r="B47" s="86" t="s">
        <v>1651</v>
      </c>
      <c r="C47" s="87" t="s">
        <v>750</v>
      </c>
      <c r="D47" s="87" t="s">
        <v>151</v>
      </c>
      <c r="E47" s="88" t="s">
        <v>151</v>
      </c>
      <c r="F47" s="85" t="s">
        <v>1653</v>
      </c>
      <c r="G47" s="85" t="s">
        <v>1653</v>
      </c>
      <c r="H47" s="87" t="s">
        <v>114</v>
      </c>
      <c r="I47" s="87" t="s">
        <v>114</v>
      </c>
      <c r="J47" s="89" t="s">
        <v>1654</v>
      </c>
      <c r="K47" s="87" t="s">
        <v>137</v>
      </c>
      <c r="L47" s="87" t="s">
        <v>137</v>
      </c>
      <c r="M47" s="89" t="s">
        <v>1654</v>
      </c>
      <c r="N47" s="85" t="s">
        <v>1660</v>
      </c>
      <c r="O47" s="85" t="s">
        <v>1662</v>
      </c>
      <c r="P47" s="85" t="s">
        <v>1655</v>
      </c>
      <c r="Q47" s="85" t="s">
        <v>1655</v>
      </c>
      <c r="R47" s="85" t="s">
        <v>1655</v>
      </c>
      <c r="S47" s="89" t="s">
        <v>1654</v>
      </c>
      <c r="T47" s="87" t="s">
        <v>1661</v>
      </c>
    </row>
    <row r="48" spans="1:20">
      <c r="A48" s="85">
        <v>16</v>
      </c>
      <c r="B48" s="86" t="s">
        <v>1651</v>
      </c>
      <c r="C48" s="87" t="s">
        <v>754</v>
      </c>
      <c r="D48" s="87" t="s">
        <v>152</v>
      </c>
      <c r="E48" s="88" t="s">
        <v>152</v>
      </c>
      <c r="F48" s="85" t="s">
        <v>1653</v>
      </c>
      <c r="G48" s="85" t="s">
        <v>1653</v>
      </c>
      <c r="H48" s="87" t="s">
        <v>114</v>
      </c>
      <c r="I48" s="87" t="s">
        <v>114</v>
      </c>
      <c r="J48" s="89" t="s">
        <v>1654</v>
      </c>
      <c r="K48" s="87" t="s">
        <v>137</v>
      </c>
      <c r="L48" s="87" t="s">
        <v>137</v>
      </c>
      <c r="M48" s="89" t="s">
        <v>1654</v>
      </c>
      <c r="N48" s="85" t="s">
        <v>1660</v>
      </c>
      <c r="O48" s="85" t="s">
        <v>1662</v>
      </c>
      <c r="P48" s="85" t="s">
        <v>1655</v>
      </c>
      <c r="Q48" s="85" t="s">
        <v>1655</v>
      </c>
      <c r="R48" s="85" t="s">
        <v>1655</v>
      </c>
      <c r="S48" s="89" t="s">
        <v>1654</v>
      </c>
      <c r="T48" s="87" t="s">
        <v>1661</v>
      </c>
    </row>
    <row r="49" spans="1:20">
      <c r="A49" s="85">
        <v>17</v>
      </c>
      <c r="B49" s="86" t="s">
        <v>1651</v>
      </c>
      <c r="C49" s="87" t="s">
        <v>756</v>
      </c>
      <c r="D49" s="87" t="s">
        <v>153</v>
      </c>
      <c r="E49" s="88" t="s">
        <v>153</v>
      </c>
      <c r="F49" s="85" t="s">
        <v>1653</v>
      </c>
      <c r="G49" s="85" t="s">
        <v>1653</v>
      </c>
      <c r="H49" s="87" t="s">
        <v>114</v>
      </c>
      <c r="I49" s="87" t="s">
        <v>114</v>
      </c>
      <c r="J49" s="89" t="s">
        <v>1654</v>
      </c>
      <c r="K49" s="87" t="s">
        <v>137</v>
      </c>
      <c r="L49" s="87" t="s">
        <v>137</v>
      </c>
      <c r="M49" s="89" t="s">
        <v>1654</v>
      </c>
      <c r="N49" s="85" t="s">
        <v>1660</v>
      </c>
      <c r="O49" s="85" t="s">
        <v>1662</v>
      </c>
      <c r="P49" s="85" t="s">
        <v>1655</v>
      </c>
      <c r="Q49" s="85" t="s">
        <v>1655</v>
      </c>
      <c r="R49" s="85" t="s">
        <v>1655</v>
      </c>
      <c r="S49" s="89" t="s">
        <v>1654</v>
      </c>
      <c r="T49" s="87" t="s">
        <v>1661</v>
      </c>
    </row>
    <row r="50" spans="1:20">
      <c r="A50" s="85">
        <v>18</v>
      </c>
      <c r="B50" s="86" t="s">
        <v>1651</v>
      </c>
      <c r="C50" s="87" t="s">
        <v>758</v>
      </c>
      <c r="D50" s="87" t="s">
        <v>154</v>
      </c>
      <c r="E50" s="88" t="s">
        <v>154</v>
      </c>
      <c r="F50" s="85" t="s">
        <v>1653</v>
      </c>
      <c r="G50" s="85" t="s">
        <v>1653</v>
      </c>
      <c r="H50" s="87" t="s">
        <v>114</v>
      </c>
      <c r="I50" s="87" t="s">
        <v>114</v>
      </c>
      <c r="J50" s="89" t="s">
        <v>1654</v>
      </c>
      <c r="K50" s="87" t="s">
        <v>137</v>
      </c>
      <c r="L50" s="87" t="s">
        <v>137</v>
      </c>
      <c r="M50" s="89" t="s">
        <v>1654</v>
      </c>
      <c r="N50" s="85" t="s">
        <v>1660</v>
      </c>
      <c r="O50" s="85" t="s">
        <v>1662</v>
      </c>
      <c r="P50" s="85" t="s">
        <v>1655</v>
      </c>
      <c r="Q50" s="85" t="s">
        <v>1655</v>
      </c>
      <c r="R50" s="85" t="s">
        <v>1655</v>
      </c>
      <c r="S50" s="89" t="s">
        <v>1654</v>
      </c>
      <c r="T50" s="87" t="s">
        <v>1661</v>
      </c>
    </row>
    <row r="51" spans="1:20">
      <c r="A51" s="85">
        <v>19</v>
      </c>
      <c r="B51" s="86" t="s">
        <v>1651</v>
      </c>
      <c r="C51" s="87" t="s">
        <v>760</v>
      </c>
      <c r="D51" s="87" t="s">
        <v>155</v>
      </c>
      <c r="E51" s="88" t="s">
        <v>155</v>
      </c>
      <c r="F51" s="85" t="s">
        <v>1653</v>
      </c>
      <c r="G51" s="85" t="s">
        <v>1653</v>
      </c>
      <c r="H51" s="87" t="s">
        <v>114</v>
      </c>
      <c r="I51" s="87" t="s">
        <v>114</v>
      </c>
      <c r="J51" s="89" t="s">
        <v>1654</v>
      </c>
      <c r="K51" s="87" t="s">
        <v>137</v>
      </c>
      <c r="L51" s="87" t="s">
        <v>137</v>
      </c>
      <c r="M51" s="89" t="s">
        <v>1654</v>
      </c>
      <c r="N51" s="85" t="s">
        <v>1660</v>
      </c>
      <c r="O51" s="85" t="s">
        <v>1662</v>
      </c>
      <c r="P51" s="85" t="s">
        <v>1655</v>
      </c>
      <c r="Q51" s="85" t="s">
        <v>1655</v>
      </c>
      <c r="R51" s="85" t="s">
        <v>1655</v>
      </c>
      <c r="S51" s="89" t="s">
        <v>1654</v>
      </c>
      <c r="T51" s="87" t="s">
        <v>1661</v>
      </c>
    </row>
    <row r="52" spans="1:20">
      <c r="A52" s="85">
        <v>20</v>
      </c>
      <c r="B52" s="86" t="s">
        <v>1651</v>
      </c>
      <c r="C52" s="87" t="s">
        <v>762</v>
      </c>
      <c r="D52" s="87" t="s">
        <v>156</v>
      </c>
      <c r="E52" s="88" t="s">
        <v>156</v>
      </c>
      <c r="F52" s="85" t="s">
        <v>1653</v>
      </c>
      <c r="G52" s="85" t="s">
        <v>1653</v>
      </c>
      <c r="H52" s="87" t="s">
        <v>114</v>
      </c>
      <c r="I52" s="87" t="s">
        <v>114</v>
      </c>
      <c r="J52" s="89" t="s">
        <v>1654</v>
      </c>
      <c r="K52" s="87" t="s">
        <v>137</v>
      </c>
      <c r="L52" s="87" t="s">
        <v>137</v>
      </c>
      <c r="M52" s="89" t="s">
        <v>1654</v>
      </c>
      <c r="N52" s="85" t="s">
        <v>1660</v>
      </c>
      <c r="O52" s="85" t="s">
        <v>1662</v>
      </c>
      <c r="P52" s="85" t="s">
        <v>1655</v>
      </c>
      <c r="Q52" s="85" t="s">
        <v>1655</v>
      </c>
      <c r="R52" s="85" t="s">
        <v>1655</v>
      </c>
      <c r="S52" s="89" t="s">
        <v>1654</v>
      </c>
      <c r="T52" s="87" t="s">
        <v>1661</v>
      </c>
    </row>
    <row r="53" spans="1:20">
      <c r="A53" s="85">
        <v>21</v>
      </c>
      <c r="B53" s="86" t="s">
        <v>1651</v>
      </c>
      <c r="C53" s="87" t="s">
        <v>764</v>
      </c>
      <c r="D53" s="87" t="s">
        <v>157</v>
      </c>
      <c r="E53" s="88" t="s">
        <v>157</v>
      </c>
      <c r="F53" s="85" t="s">
        <v>1653</v>
      </c>
      <c r="G53" s="85" t="s">
        <v>1653</v>
      </c>
      <c r="H53" s="87" t="s">
        <v>114</v>
      </c>
      <c r="I53" s="87" t="s">
        <v>114</v>
      </c>
      <c r="J53" s="89" t="s">
        <v>1654</v>
      </c>
      <c r="K53" s="87" t="s">
        <v>137</v>
      </c>
      <c r="L53" s="87" t="s">
        <v>137</v>
      </c>
      <c r="M53" s="89" t="s">
        <v>1654</v>
      </c>
      <c r="N53" s="85" t="s">
        <v>1660</v>
      </c>
      <c r="O53" s="85" t="s">
        <v>1662</v>
      </c>
      <c r="P53" s="85" t="s">
        <v>1655</v>
      </c>
      <c r="Q53" s="85" t="s">
        <v>1655</v>
      </c>
      <c r="R53" s="85" t="s">
        <v>1655</v>
      </c>
      <c r="S53" s="89" t="s">
        <v>1654</v>
      </c>
      <c r="T53" s="87" t="s">
        <v>1661</v>
      </c>
    </row>
    <row r="54" spans="1:20">
      <c r="A54" s="85">
        <v>22</v>
      </c>
      <c r="B54" s="86" t="s">
        <v>1651</v>
      </c>
      <c r="C54" s="87" t="s">
        <v>766</v>
      </c>
      <c r="D54" s="87" t="s">
        <v>158</v>
      </c>
      <c r="E54" s="88" t="s">
        <v>158</v>
      </c>
      <c r="F54" s="85" t="s">
        <v>1653</v>
      </c>
      <c r="G54" s="85" t="s">
        <v>1653</v>
      </c>
      <c r="H54" s="87" t="s">
        <v>114</v>
      </c>
      <c r="I54" s="87" t="s">
        <v>114</v>
      </c>
      <c r="J54" s="89" t="s">
        <v>1654</v>
      </c>
      <c r="K54" s="87" t="s">
        <v>137</v>
      </c>
      <c r="L54" s="87" t="s">
        <v>137</v>
      </c>
      <c r="M54" s="89" t="s">
        <v>1654</v>
      </c>
      <c r="N54" s="85" t="s">
        <v>1660</v>
      </c>
      <c r="O54" s="85" t="s">
        <v>1662</v>
      </c>
      <c r="P54" s="85" t="s">
        <v>1655</v>
      </c>
      <c r="Q54" s="85" t="s">
        <v>1655</v>
      </c>
      <c r="R54" s="85" t="s">
        <v>1655</v>
      </c>
      <c r="S54" s="89" t="s">
        <v>1654</v>
      </c>
      <c r="T54" s="87" t="s">
        <v>1661</v>
      </c>
    </row>
    <row r="55" spans="1:20">
      <c r="A55" s="85">
        <v>23</v>
      </c>
      <c r="B55" s="86" t="s">
        <v>1651</v>
      </c>
      <c r="C55" s="87" t="s">
        <v>768</v>
      </c>
      <c r="D55" s="87" t="s">
        <v>159</v>
      </c>
      <c r="E55" s="88" t="s">
        <v>159</v>
      </c>
      <c r="F55" s="85" t="s">
        <v>1653</v>
      </c>
      <c r="G55" s="85" t="s">
        <v>1653</v>
      </c>
      <c r="H55" s="87" t="s">
        <v>114</v>
      </c>
      <c r="I55" s="87" t="s">
        <v>114</v>
      </c>
      <c r="J55" s="89" t="s">
        <v>1654</v>
      </c>
      <c r="K55" s="87" t="s">
        <v>137</v>
      </c>
      <c r="L55" s="87" t="s">
        <v>137</v>
      </c>
      <c r="M55" s="89" t="s">
        <v>1654</v>
      </c>
      <c r="N55" s="85" t="s">
        <v>1660</v>
      </c>
      <c r="O55" s="85" t="s">
        <v>1662</v>
      </c>
      <c r="P55" s="85" t="s">
        <v>1655</v>
      </c>
      <c r="Q55" s="85" t="s">
        <v>1655</v>
      </c>
      <c r="R55" s="85" t="s">
        <v>1655</v>
      </c>
      <c r="S55" s="89" t="s">
        <v>1654</v>
      </c>
      <c r="T55" s="87" t="s">
        <v>1661</v>
      </c>
    </row>
    <row r="56" spans="1:20">
      <c r="A56" s="85">
        <v>24</v>
      </c>
      <c r="B56" s="86" t="s">
        <v>1651</v>
      </c>
      <c r="C56" s="87" t="s">
        <v>770</v>
      </c>
      <c r="D56" s="87" t="s">
        <v>160</v>
      </c>
      <c r="E56" s="88" t="s">
        <v>160</v>
      </c>
      <c r="F56" s="85" t="s">
        <v>1653</v>
      </c>
      <c r="G56" s="85" t="s">
        <v>1653</v>
      </c>
      <c r="H56" s="87" t="s">
        <v>114</v>
      </c>
      <c r="I56" s="87" t="s">
        <v>114</v>
      </c>
      <c r="J56" s="89" t="s">
        <v>1654</v>
      </c>
      <c r="K56" s="87" t="s">
        <v>137</v>
      </c>
      <c r="L56" s="87" t="s">
        <v>137</v>
      </c>
      <c r="M56" s="89" t="s">
        <v>1654</v>
      </c>
      <c r="N56" s="85" t="s">
        <v>1660</v>
      </c>
      <c r="O56" s="85" t="s">
        <v>1662</v>
      </c>
      <c r="P56" s="85" t="s">
        <v>1655</v>
      </c>
      <c r="Q56" s="85" t="s">
        <v>1655</v>
      </c>
      <c r="R56" s="85" t="s">
        <v>1655</v>
      </c>
      <c r="S56" s="89" t="s">
        <v>1654</v>
      </c>
      <c r="T56" s="87" t="s">
        <v>1661</v>
      </c>
    </row>
    <row r="57" spans="1:20">
      <c r="A57" s="85">
        <v>25</v>
      </c>
      <c r="B57" s="86" t="s">
        <v>1651</v>
      </c>
      <c r="C57" s="87" t="s">
        <v>772</v>
      </c>
      <c r="D57" s="87" t="s">
        <v>161</v>
      </c>
      <c r="E57" s="88" t="s">
        <v>161</v>
      </c>
      <c r="F57" s="85" t="s">
        <v>1653</v>
      </c>
      <c r="G57" s="85" t="s">
        <v>1653</v>
      </c>
      <c r="H57" s="87" t="s">
        <v>114</v>
      </c>
      <c r="I57" s="87" t="s">
        <v>114</v>
      </c>
      <c r="J57" s="89" t="s">
        <v>1654</v>
      </c>
      <c r="K57" s="87" t="s">
        <v>137</v>
      </c>
      <c r="L57" s="87" t="s">
        <v>137</v>
      </c>
      <c r="M57" s="89" t="s">
        <v>1654</v>
      </c>
      <c r="N57" s="85" t="s">
        <v>1660</v>
      </c>
      <c r="O57" s="85" t="s">
        <v>1662</v>
      </c>
      <c r="P57" s="85" t="s">
        <v>1655</v>
      </c>
      <c r="Q57" s="85" t="s">
        <v>1655</v>
      </c>
      <c r="R57" s="85" t="s">
        <v>1655</v>
      </c>
      <c r="S57" s="89" t="s">
        <v>1654</v>
      </c>
      <c r="T57" s="87" t="s">
        <v>1661</v>
      </c>
    </row>
    <row r="58" spans="1:20">
      <c r="A58" s="85">
        <v>26</v>
      </c>
      <c r="B58" s="86" t="s">
        <v>1651</v>
      </c>
      <c r="C58" s="87" t="s">
        <v>774</v>
      </c>
      <c r="D58" s="87" t="s">
        <v>162</v>
      </c>
      <c r="E58" s="88" t="s">
        <v>162</v>
      </c>
      <c r="F58" s="85" t="s">
        <v>1653</v>
      </c>
      <c r="G58" s="85" t="s">
        <v>1653</v>
      </c>
      <c r="H58" s="87" t="s">
        <v>114</v>
      </c>
      <c r="I58" s="87" t="s">
        <v>114</v>
      </c>
      <c r="J58" s="89" t="s">
        <v>1654</v>
      </c>
      <c r="K58" s="87" t="s">
        <v>137</v>
      </c>
      <c r="L58" s="87" t="s">
        <v>137</v>
      </c>
      <c r="M58" s="89" t="s">
        <v>1654</v>
      </c>
      <c r="N58" s="85" t="s">
        <v>1660</v>
      </c>
      <c r="O58" s="85" t="s">
        <v>1662</v>
      </c>
      <c r="P58" s="85" t="s">
        <v>1655</v>
      </c>
      <c r="Q58" s="85" t="s">
        <v>1655</v>
      </c>
      <c r="R58" s="85" t="s">
        <v>1655</v>
      </c>
      <c r="S58" s="89" t="s">
        <v>1654</v>
      </c>
      <c r="T58" s="87" t="s">
        <v>1661</v>
      </c>
    </row>
    <row r="59" spans="1:20">
      <c r="A59" s="85">
        <v>27</v>
      </c>
      <c r="B59" s="86" t="s">
        <v>1651</v>
      </c>
      <c r="C59" s="87" t="s">
        <v>776</v>
      </c>
      <c r="D59" s="87" t="s">
        <v>163</v>
      </c>
      <c r="E59" s="88" t="s">
        <v>163</v>
      </c>
      <c r="F59" s="85" t="s">
        <v>1653</v>
      </c>
      <c r="G59" s="85" t="s">
        <v>1653</v>
      </c>
      <c r="H59" s="87" t="s">
        <v>114</v>
      </c>
      <c r="I59" s="87" t="s">
        <v>114</v>
      </c>
      <c r="J59" s="89" t="s">
        <v>1654</v>
      </c>
      <c r="K59" s="87" t="s">
        <v>137</v>
      </c>
      <c r="L59" s="87" t="s">
        <v>137</v>
      </c>
      <c r="M59" s="89" t="s">
        <v>1654</v>
      </c>
      <c r="N59" s="85" t="s">
        <v>1660</v>
      </c>
      <c r="O59" s="85" t="s">
        <v>1662</v>
      </c>
      <c r="P59" s="85" t="s">
        <v>1655</v>
      </c>
      <c r="Q59" s="85" t="s">
        <v>1655</v>
      </c>
      <c r="R59" s="85" t="s">
        <v>1655</v>
      </c>
      <c r="S59" s="89" t="s">
        <v>1654</v>
      </c>
      <c r="T59" s="87" t="s">
        <v>1661</v>
      </c>
    </row>
    <row r="60" spans="1:20">
      <c r="A60" s="85">
        <v>28</v>
      </c>
      <c r="B60" s="86" t="s">
        <v>1651</v>
      </c>
      <c r="C60" s="87" t="s">
        <v>778</v>
      </c>
      <c r="D60" s="87" t="s">
        <v>164</v>
      </c>
      <c r="E60" s="88" t="s">
        <v>164</v>
      </c>
      <c r="F60" s="85" t="s">
        <v>1653</v>
      </c>
      <c r="G60" s="85" t="s">
        <v>1653</v>
      </c>
      <c r="H60" s="87" t="s">
        <v>114</v>
      </c>
      <c r="I60" s="87" t="s">
        <v>114</v>
      </c>
      <c r="J60" s="89" t="s">
        <v>1654</v>
      </c>
      <c r="K60" s="87" t="s">
        <v>137</v>
      </c>
      <c r="L60" s="87" t="s">
        <v>137</v>
      </c>
      <c r="M60" s="89" t="s">
        <v>1654</v>
      </c>
      <c r="N60" s="85" t="s">
        <v>1660</v>
      </c>
      <c r="O60" s="85" t="s">
        <v>1662</v>
      </c>
      <c r="P60" s="85" t="s">
        <v>1655</v>
      </c>
      <c r="Q60" s="85" t="s">
        <v>1655</v>
      </c>
      <c r="R60" s="85" t="s">
        <v>1655</v>
      </c>
      <c r="S60" s="89" t="s">
        <v>1654</v>
      </c>
      <c r="T60" s="87" t="s">
        <v>1661</v>
      </c>
    </row>
    <row r="61" spans="1:20">
      <c r="A61" s="85">
        <v>29</v>
      </c>
      <c r="B61" s="86" t="s">
        <v>1651</v>
      </c>
      <c r="C61" s="87" t="s">
        <v>779</v>
      </c>
      <c r="D61" s="87" t="s">
        <v>165</v>
      </c>
      <c r="E61" s="88" t="s">
        <v>165</v>
      </c>
      <c r="F61" s="85" t="s">
        <v>1653</v>
      </c>
      <c r="G61" s="85" t="s">
        <v>1653</v>
      </c>
      <c r="H61" s="87" t="s">
        <v>114</v>
      </c>
      <c r="I61" s="87" t="s">
        <v>114</v>
      </c>
      <c r="J61" s="89" t="s">
        <v>1654</v>
      </c>
      <c r="K61" s="87" t="s">
        <v>137</v>
      </c>
      <c r="L61" s="87" t="s">
        <v>137</v>
      </c>
      <c r="M61" s="89" t="s">
        <v>1654</v>
      </c>
      <c r="N61" s="85" t="s">
        <v>1660</v>
      </c>
      <c r="O61" s="85" t="s">
        <v>1662</v>
      </c>
      <c r="P61" s="85" t="s">
        <v>1655</v>
      </c>
      <c r="Q61" s="85" t="s">
        <v>1655</v>
      </c>
      <c r="R61" s="85" t="s">
        <v>1655</v>
      </c>
      <c r="S61" s="89" t="s">
        <v>1654</v>
      </c>
      <c r="T61" s="87" t="s">
        <v>1661</v>
      </c>
    </row>
    <row r="62" spans="1:20">
      <c r="A62" s="85">
        <v>30</v>
      </c>
      <c r="B62" s="86" t="s">
        <v>1651</v>
      </c>
      <c r="C62" s="87" t="s">
        <v>781</v>
      </c>
      <c r="D62" s="87" t="s">
        <v>166</v>
      </c>
      <c r="E62" s="88" t="s">
        <v>166</v>
      </c>
      <c r="F62" s="85" t="s">
        <v>1653</v>
      </c>
      <c r="G62" s="85" t="s">
        <v>1653</v>
      </c>
      <c r="H62" s="87" t="s">
        <v>114</v>
      </c>
      <c r="I62" s="87" t="s">
        <v>114</v>
      </c>
      <c r="J62" s="89" t="s">
        <v>1654</v>
      </c>
      <c r="K62" s="87" t="s">
        <v>137</v>
      </c>
      <c r="L62" s="87" t="s">
        <v>137</v>
      </c>
      <c r="M62" s="89" t="s">
        <v>1654</v>
      </c>
      <c r="N62" s="85" t="s">
        <v>1660</v>
      </c>
      <c r="O62" s="85" t="s">
        <v>1662</v>
      </c>
      <c r="P62" s="85" t="s">
        <v>1655</v>
      </c>
      <c r="Q62" s="85" t="s">
        <v>1655</v>
      </c>
      <c r="R62" s="85" t="s">
        <v>1655</v>
      </c>
      <c r="S62" s="89" t="s">
        <v>1654</v>
      </c>
      <c r="T62" s="87" t="s">
        <v>1661</v>
      </c>
    </row>
    <row r="63" spans="1:20">
      <c r="A63" s="85">
        <v>31</v>
      </c>
      <c r="B63" s="93" t="s">
        <v>1669</v>
      </c>
      <c r="C63" s="87" t="s">
        <v>840</v>
      </c>
      <c r="D63" s="87" t="s">
        <v>18</v>
      </c>
      <c r="E63" s="88" t="s">
        <v>18</v>
      </c>
      <c r="F63" s="85" t="s">
        <v>1652</v>
      </c>
      <c r="G63" s="85" t="s">
        <v>1652</v>
      </c>
      <c r="H63" s="87" t="s">
        <v>114</v>
      </c>
      <c r="I63" s="87" t="s">
        <v>18</v>
      </c>
      <c r="J63" s="89" t="s">
        <v>1671</v>
      </c>
      <c r="K63" s="87" t="s">
        <v>137</v>
      </c>
      <c r="L63" s="87" t="s">
        <v>18</v>
      </c>
      <c r="M63" s="89" t="s">
        <v>1671</v>
      </c>
      <c r="N63" s="85" t="s">
        <v>1657</v>
      </c>
      <c r="O63" s="85" t="s">
        <v>1657</v>
      </c>
      <c r="P63" s="85" t="s">
        <v>1655</v>
      </c>
      <c r="Q63" s="85" t="s">
        <v>1655</v>
      </c>
      <c r="R63" s="85" t="s">
        <v>1657</v>
      </c>
      <c r="S63" s="89" t="s">
        <v>1671</v>
      </c>
      <c r="T63" s="87" t="s">
        <v>1677</v>
      </c>
    </row>
    <row r="64" spans="1:20">
      <c r="A64" s="85">
        <v>32</v>
      </c>
      <c r="B64" s="93" t="s">
        <v>1669</v>
      </c>
      <c r="C64" s="87" t="s">
        <v>844</v>
      </c>
      <c r="D64" s="87" t="s">
        <v>18</v>
      </c>
      <c r="E64" s="88" t="s">
        <v>18</v>
      </c>
      <c r="F64" s="85" t="s">
        <v>1652</v>
      </c>
      <c r="G64" s="85" t="s">
        <v>1652</v>
      </c>
      <c r="H64" s="87" t="s">
        <v>114</v>
      </c>
      <c r="I64" s="87" t="s">
        <v>18</v>
      </c>
      <c r="J64" s="89" t="s">
        <v>1671</v>
      </c>
      <c r="K64" s="87" t="s">
        <v>137</v>
      </c>
      <c r="L64" s="87" t="s">
        <v>18</v>
      </c>
      <c r="M64" s="89" t="s">
        <v>1671</v>
      </c>
      <c r="N64" s="85" t="s">
        <v>1657</v>
      </c>
      <c r="O64" s="85" t="s">
        <v>1657</v>
      </c>
      <c r="P64" s="85" t="s">
        <v>1655</v>
      </c>
      <c r="Q64" s="85" t="s">
        <v>1655</v>
      </c>
      <c r="R64" s="85" t="s">
        <v>1657</v>
      </c>
      <c r="S64" s="89" t="s">
        <v>1671</v>
      </c>
      <c r="T64" s="87" t="s">
        <v>1678</v>
      </c>
    </row>
    <row r="65" spans="1:20">
      <c r="A65" s="85">
        <v>33</v>
      </c>
      <c r="B65" s="93" t="s">
        <v>1669</v>
      </c>
      <c r="C65" s="87" t="s">
        <v>881</v>
      </c>
      <c r="D65" s="87" t="s">
        <v>18</v>
      </c>
      <c r="E65" s="88" t="s">
        <v>18</v>
      </c>
      <c r="F65" s="85" t="s">
        <v>1652</v>
      </c>
      <c r="G65" s="85" t="s">
        <v>1652</v>
      </c>
      <c r="H65" s="87" t="s">
        <v>114</v>
      </c>
      <c r="I65" s="87" t="s">
        <v>18</v>
      </c>
      <c r="J65" s="89" t="s">
        <v>1671</v>
      </c>
      <c r="K65" s="87" t="s">
        <v>137</v>
      </c>
      <c r="L65" s="87" t="s">
        <v>18</v>
      </c>
      <c r="M65" s="89" t="s">
        <v>1671</v>
      </c>
      <c r="N65" s="85" t="s">
        <v>1657</v>
      </c>
      <c r="O65" s="85" t="s">
        <v>1657</v>
      </c>
      <c r="P65" s="85" t="s">
        <v>1655</v>
      </c>
      <c r="Q65" s="85" t="s">
        <v>1655</v>
      </c>
      <c r="R65" s="85" t="s">
        <v>1657</v>
      </c>
      <c r="S65" s="89" t="s">
        <v>1671</v>
      </c>
      <c r="T65" s="87" t="s">
        <v>1679</v>
      </c>
    </row>
    <row r="66" spans="1:20">
      <c r="A66" s="85">
        <v>34</v>
      </c>
      <c r="B66" s="93" t="s">
        <v>1669</v>
      </c>
      <c r="C66" s="87" t="s">
        <v>883</v>
      </c>
      <c r="D66" s="87" t="s">
        <v>18</v>
      </c>
      <c r="E66" s="88" t="s">
        <v>18</v>
      </c>
      <c r="F66" s="85" t="s">
        <v>1652</v>
      </c>
      <c r="G66" s="85" t="s">
        <v>1652</v>
      </c>
      <c r="H66" s="87" t="s">
        <v>114</v>
      </c>
      <c r="I66" s="87" t="s">
        <v>18</v>
      </c>
      <c r="J66" s="89" t="s">
        <v>1671</v>
      </c>
      <c r="K66" s="87" t="s">
        <v>137</v>
      </c>
      <c r="L66" s="87" t="s">
        <v>18</v>
      </c>
      <c r="M66" s="89" t="s">
        <v>1671</v>
      </c>
      <c r="N66" s="85" t="s">
        <v>1657</v>
      </c>
      <c r="O66" s="85" t="s">
        <v>1657</v>
      </c>
      <c r="P66" s="85" t="s">
        <v>1655</v>
      </c>
      <c r="Q66" s="85" t="s">
        <v>1655</v>
      </c>
      <c r="R66" s="85" t="s">
        <v>1657</v>
      </c>
      <c r="S66" s="89" t="s">
        <v>1671</v>
      </c>
      <c r="T66" s="87" t="s">
        <v>1680</v>
      </c>
    </row>
    <row r="67" spans="1:20">
      <c r="A67" s="85">
        <v>1</v>
      </c>
      <c r="B67" s="86" t="s">
        <v>1651</v>
      </c>
      <c r="C67" s="87" t="s">
        <v>18</v>
      </c>
      <c r="D67" s="87" t="s">
        <v>167</v>
      </c>
      <c r="E67" s="88" t="s">
        <v>167</v>
      </c>
      <c r="F67" s="85" t="s">
        <v>1653</v>
      </c>
      <c r="G67" s="85" t="s">
        <v>1653</v>
      </c>
      <c r="H67" s="87" t="s">
        <v>168</v>
      </c>
      <c r="I67" s="87" t="s">
        <v>168</v>
      </c>
      <c r="J67" s="89" t="s">
        <v>1654</v>
      </c>
      <c r="K67" s="87" t="s">
        <v>170</v>
      </c>
      <c r="L67" s="87" t="s">
        <v>170</v>
      </c>
      <c r="M67" s="89" t="s">
        <v>1654</v>
      </c>
      <c r="N67" s="85" t="s">
        <v>1655</v>
      </c>
      <c r="O67" s="85" t="s">
        <v>1660</v>
      </c>
      <c r="P67" s="85" t="s">
        <v>1655</v>
      </c>
      <c r="Q67" s="85" t="s">
        <v>1655</v>
      </c>
      <c r="R67" s="85" t="s">
        <v>1655</v>
      </c>
      <c r="S67" s="89" t="s">
        <v>1654</v>
      </c>
      <c r="T67" s="87" t="s">
        <v>1661</v>
      </c>
    </row>
    <row r="68" spans="1:20">
      <c r="A68" s="85">
        <v>2</v>
      </c>
      <c r="B68" s="86" t="s">
        <v>1651</v>
      </c>
      <c r="C68" s="87" t="s">
        <v>18</v>
      </c>
      <c r="D68" s="87" t="s">
        <v>171</v>
      </c>
      <c r="E68" s="88" t="s">
        <v>171</v>
      </c>
      <c r="F68" s="85" t="s">
        <v>1653</v>
      </c>
      <c r="G68" s="85" t="s">
        <v>1653</v>
      </c>
      <c r="H68" s="87" t="s">
        <v>168</v>
      </c>
      <c r="I68" s="87" t="s">
        <v>168</v>
      </c>
      <c r="J68" s="89" t="s">
        <v>1654</v>
      </c>
      <c r="K68" s="87" t="s">
        <v>172</v>
      </c>
      <c r="L68" s="87" t="s">
        <v>172</v>
      </c>
      <c r="M68" s="89" t="s">
        <v>1654</v>
      </c>
      <c r="N68" s="85" t="s">
        <v>1655</v>
      </c>
      <c r="O68" s="85" t="s">
        <v>1660</v>
      </c>
      <c r="P68" s="85" t="s">
        <v>1655</v>
      </c>
      <c r="Q68" s="85" t="s">
        <v>1655</v>
      </c>
      <c r="R68" s="85" t="s">
        <v>1655</v>
      </c>
      <c r="S68" s="89" t="s">
        <v>1654</v>
      </c>
      <c r="T68" s="87" t="s">
        <v>1661</v>
      </c>
    </row>
    <row r="69" spans="1:20">
      <c r="A69" s="85">
        <v>3</v>
      </c>
      <c r="B69" s="86" t="s">
        <v>1651</v>
      </c>
      <c r="C69" s="87" t="s">
        <v>18</v>
      </c>
      <c r="D69" s="87" t="s">
        <v>173</v>
      </c>
      <c r="E69" s="88" t="s">
        <v>173</v>
      </c>
      <c r="F69" s="85" t="s">
        <v>1653</v>
      </c>
      <c r="G69" s="85" t="s">
        <v>1653</v>
      </c>
      <c r="H69" s="87" t="s">
        <v>168</v>
      </c>
      <c r="I69" s="87" t="s">
        <v>168</v>
      </c>
      <c r="J69" s="89" t="s">
        <v>1654</v>
      </c>
      <c r="K69" s="87" t="s">
        <v>172</v>
      </c>
      <c r="L69" s="87" t="s">
        <v>172</v>
      </c>
      <c r="M69" s="89" t="s">
        <v>1654</v>
      </c>
      <c r="N69" s="85" t="s">
        <v>1655</v>
      </c>
      <c r="O69" s="85" t="s">
        <v>1660</v>
      </c>
      <c r="P69" s="85" t="s">
        <v>1655</v>
      </c>
      <c r="Q69" s="85" t="s">
        <v>1662</v>
      </c>
      <c r="R69" s="85" t="s">
        <v>1655</v>
      </c>
      <c r="S69" s="89" t="s">
        <v>1654</v>
      </c>
      <c r="T69" s="87" t="s">
        <v>1661</v>
      </c>
    </row>
    <row r="70" spans="1:20">
      <c r="A70" s="85">
        <v>4</v>
      </c>
      <c r="B70" s="86" t="s">
        <v>1651</v>
      </c>
      <c r="C70" s="87" t="s">
        <v>18</v>
      </c>
      <c r="D70" s="87" t="s">
        <v>174</v>
      </c>
      <c r="E70" s="88" t="s">
        <v>174</v>
      </c>
      <c r="F70" s="85" t="s">
        <v>1653</v>
      </c>
      <c r="G70" s="85" t="s">
        <v>1653</v>
      </c>
      <c r="H70" s="87" t="s">
        <v>168</v>
      </c>
      <c r="I70" s="87" t="s">
        <v>168</v>
      </c>
      <c r="J70" s="89" t="s">
        <v>1654</v>
      </c>
      <c r="K70" s="87" t="s">
        <v>172</v>
      </c>
      <c r="L70" s="87" t="s">
        <v>172</v>
      </c>
      <c r="M70" s="89" t="s">
        <v>1654</v>
      </c>
      <c r="N70" s="85" t="s">
        <v>1655</v>
      </c>
      <c r="O70" s="85" t="s">
        <v>1660</v>
      </c>
      <c r="P70" s="85" t="s">
        <v>1655</v>
      </c>
      <c r="Q70" s="85" t="s">
        <v>1662</v>
      </c>
      <c r="R70" s="85" t="s">
        <v>1655</v>
      </c>
      <c r="S70" s="89" t="s">
        <v>1654</v>
      </c>
      <c r="T70" s="87" t="s">
        <v>1661</v>
      </c>
    </row>
    <row r="71" spans="1:20">
      <c r="A71" s="85">
        <v>5</v>
      </c>
      <c r="B71" s="86" t="s">
        <v>1651</v>
      </c>
      <c r="C71" s="87" t="s">
        <v>18</v>
      </c>
      <c r="D71" s="87" t="s">
        <v>175</v>
      </c>
      <c r="E71" s="88" t="s">
        <v>175</v>
      </c>
      <c r="F71" s="85" t="s">
        <v>1653</v>
      </c>
      <c r="G71" s="85" t="s">
        <v>1653</v>
      </c>
      <c r="H71" s="87" t="s">
        <v>168</v>
      </c>
      <c r="I71" s="87" t="s">
        <v>168</v>
      </c>
      <c r="J71" s="89" t="s">
        <v>1654</v>
      </c>
      <c r="K71" s="87" t="s">
        <v>170</v>
      </c>
      <c r="L71" s="87" t="s">
        <v>170</v>
      </c>
      <c r="M71" s="89" t="s">
        <v>1654</v>
      </c>
      <c r="N71" s="85" t="s">
        <v>1655</v>
      </c>
      <c r="O71" s="85" t="s">
        <v>1660</v>
      </c>
      <c r="P71" s="85" t="s">
        <v>1655</v>
      </c>
      <c r="Q71" s="85" t="s">
        <v>1655</v>
      </c>
      <c r="R71" s="85" t="s">
        <v>1655</v>
      </c>
      <c r="S71" s="89" t="s">
        <v>1654</v>
      </c>
      <c r="T71" s="87" t="s">
        <v>1661</v>
      </c>
    </row>
    <row r="72" spans="1:20">
      <c r="A72" s="85">
        <v>6</v>
      </c>
      <c r="B72" s="86" t="s">
        <v>1651</v>
      </c>
      <c r="C72" s="87" t="s">
        <v>18</v>
      </c>
      <c r="D72" s="87" t="s">
        <v>176</v>
      </c>
      <c r="E72" s="88" t="s">
        <v>176</v>
      </c>
      <c r="F72" s="85" t="s">
        <v>1653</v>
      </c>
      <c r="G72" s="85" t="s">
        <v>1653</v>
      </c>
      <c r="H72" s="87" t="s">
        <v>168</v>
      </c>
      <c r="I72" s="87" t="s">
        <v>168</v>
      </c>
      <c r="J72" s="89" t="s">
        <v>1654</v>
      </c>
      <c r="K72" s="87" t="s">
        <v>170</v>
      </c>
      <c r="L72" s="87" t="s">
        <v>170</v>
      </c>
      <c r="M72" s="89" t="s">
        <v>1654</v>
      </c>
      <c r="N72" s="85" t="s">
        <v>1655</v>
      </c>
      <c r="O72" s="85" t="s">
        <v>1660</v>
      </c>
      <c r="P72" s="85" t="s">
        <v>1655</v>
      </c>
      <c r="Q72" s="85" t="s">
        <v>1655</v>
      </c>
      <c r="R72" s="85" t="s">
        <v>1655</v>
      </c>
      <c r="S72" s="89" t="s">
        <v>1654</v>
      </c>
      <c r="T72" s="87" t="s">
        <v>1661</v>
      </c>
    </row>
    <row r="73" spans="1:20">
      <c r="A73" s="85">
        <v>7</v>
      </c>
      <c r="B73" s="86" t="s">
        <v>1651</v>
      </c>
      <c r="C73" s="87" t="s">
        <v>18</v>
      </c>
      <c r="D73" s="87" t="s">
        <v>177</v>
      </c>
      <c r="E73" s="88" t="s">
        <v>177</v>
      </c>
      <c r="F73" s="85" t="s">
        <v>1653</v>
      </c>
      <c r="G73" s="85" t="s">
        <v>1653</v>
      </c>
      <c r="H73" s="87" t="s">
        <v>168</v>
      </c>
      <c r="I73" s="87" t="s">
        <v>168</v>
      </c>
      <c r="J73" s="89" t="s">
        <v>1654</v>
      </c>
      <c r="K73" s="87" t="s">
        <v>172</v>
      </c>
      <c r="L73" s="87" t="s">
        <v>172</v>
      </c>
      <c r="M73" s="89" t="s">
        <v>1654</v>
      </c>
      <c r="N73" s="85" t="s">
        <v>1655</v>
      </c>
      <c r="O73" s="85" t="s">
        <v>1655</v>
      </c>
      <c r="P73" s="85" t="s">
        <v>1655</v>
      </c>
      <c r="Q73" s="85" t="s">
        <v>1660</v>
      </c>
      <c r="R73" s="85" t="s">
        <v>1655</v>
      </c>
      <c r="S73" s="89" t="s">
        <v>1654</v>
      </c>
      <c r="T73" s="87" t="s">
        <v>1661</v>
      </c>
    </row>
    <row r="74" spans="1:20">
      <c r="A74" s="85">
        <v>8</v>
      </c>
      <c r="B74" s="86" t="s">
        <v>1651</v>
      </c>
      <c r="C74" s="87" t="s">
        <v>18</v>
      </c>
      <c r="D74" s="87" t="s">
        <v>178</v>
      </c>
      <c r="E74" s="88" t="s">
        <v>178</v>
      </c>
      <c r="F74" s="85" t="s">
        <v>1653</v>
      </c>
      <c r="G74" s="85" t="s">
        <v>1653</v>
      </c>
      <c r="H74" s="87" t="s">
        <v>168</v>
      </c>
      <c r="I74" s="87" t="s">
        <v>168</v>
      </c>
      <c r="J74" s="89" t="s">
        <v>1654</v>
      </c>
      <c r="K74" s="87" t="s">
        <v>172</v>
      </c>
      <c r="L74" s="87" t="s">
        <v>172</v>
      </c>
      <c r="M74" s="89" t="s">
        <v>1654</v>
      </c>
      <c r="N74" s="85" t="s">
        <v>1655</v>
      </c>
      <c r="O74" s="85" t="s">
        <v>1655</v>
      </c>
      <c r="P74" s="85" t="s">
        <v>1655</v>
      </c>
      <c r="Q74" s="85" t="s">
        <v>1660</v>
      </c>
      <c r="R74" s="85" t="s">
        <v>1655</v>
      </c>
      <c r="S74" s="89" t="s">
        <v>1654</v>
      </c>
      <c r="T74" s="87" t="s">
        <v>1661</v>
      </c>
    </row>
    <row r="75" spans="1:20">
      <c r="A75" s="85">
        <v>9</v>
      </c>
      <c r="B75" s="86" t="s">
        <v>1651</v>
      </c>
      <c r="C75" s="87" t="s">
        <v>18</v>
      </c>
      <c r="D75" s="87" t="s">
        <v>179</v>
      </c>
      <c r="E75" s="88" t="s">
        <v>179</v>
      </c>
      <c r="F75" s="85" t="s">
        <v>1653</v>
      </c>
      <c r="G75" s="85" t="s">
        <v>1653</v>
      </c>
      <c r="H75" s="87" t="s">
        <v>168</v>
      </c>
      <c r="I75" s="87" t="s">
        <v>168</v>
      </c>
      <c r="J75" s="89" t="s">
        <v>1654</v>
      </c>
      <c r="K75" s="87" t="s">
        <v>172</v>
      </c>
      <c r="L75" s="87" t="s">
        <v>172</v>
      </c>
      <c r="M75" s="89" t="s">
        <v>1654</v>
      </c>
      <c r="N75" s="85" t="s">
        <v>1655</v>
      </c>
      <c r="O75" s="85" t="s">
        <v>1655</v>
      </c>
      <c r="P75" s="85" t="s">
        <v>1655</v>
      </c>
      <c r="Q75" s="85" t="s">
        <v>1660</v>
      </c>
      <c r="R75" s="85" t="s">
        <v>1655</v>
      </c>
      <c r="S75" s="89" t="s">
        <v>1654</v>
      </c>
      <c r="T75" s="87" t="s">
        <v>1661</v>
      </c>
    </row>
    <row r="76" spans="1:20">
      <c r="A76" s="85">
        <v>10</v>
      </c>
      <c r="B76" s="86" t="s">
        <v>1651</v>
      </c>
      <c r="C76" s="87" t="s">
        <v>18</v>
      </c>
      <c r="D76" s="87" t="s">
        <v>180</v>
      </c>
      <c r="E76" s="88" t="s">
        <v>180</v>
      </c>
      <c r="F76" s="85" t="s">
        <v>1653</v>
      </c>
      <c r="G76" s="85" t="s">
        <v>1653</v>
      </c>
      <c r="H76" s="87" t="s">
        <v>168</v>
      </c>
      <c r="I76" s="87" t="s">
        <v>168</v>
      </c>
      <c r="J76" s="89" t="s">
        <v>1654</v>
      </c>
      <c r="K76" s="87" t="s">
        <v>172</v>
      </c>
      <c r="L76" s="87" t="s">
        <v>172</v>
      </c>
      <c r="M76" s="89" t="s">
        <v>1654</v>
      </c>
      <c r="N76" s="85" t="s">
        <v>1655</v>
      </c>
      <c r="O76" s="85" t="s">
        <v>1655</v>
      </c>
      <c r="P76" s="85" t="s">
        <v>1660</v>
      </c>
      <c r="Q76" s="85" t="s">
        <v>1655</v>
      </c>
      <c r="R76" s="85" t="s">
        <v>1655</v>
      </c>
      <c r="S76" s="89" t="s">
        <v>1654</v>
      </c>
      <c r="T76" s="87" t="s">
        <v>1661</v>
      </c>
    </row>
    <row r="77" spans="1:20">
      <c r="A77" s="85">
        <v>11</v>
      </c>
      <c r="B77" s="86" t="s">
        <v>1651</v>
      </c>
      <c r="C77" s="87" t="s">
        <v>18</v>
      </c>
      <c r="D77" s="87" t="s">
        <v>181</v>
      </c>
      <c r="E77" s="88" t="s">
        <v>181</v>
      </c>
      <c r="F77" s="85" t="s">
        <v>1653</v>
      </c>
      <c r="G77" s="85" t="s">
        <v>1653</v>
      </c>
      <c r="H77" s="87" t="s">
        <v>168</v>
      </c>
      <c r="I77" s="87" t="s">
        <v>168</v>
      </c>
      <c r="J77" s="89" t="s">
        <v>1654</v>
      </c>
      <c r="K77" s="87" t="s">
        <v>172</v>
      </c>
      <c r="L77" s="87" t="s">
        <v>172</v>
      </c>
      <c r="M77" s="89" t="s">
        <v>1654</v>
      </c>
      <c r="N77" s="85" t="s">
        <v>1660</v>
      </c>
      <c r="O77" s="85" t="s">
        <v>1662</v>
      </c>
      <c r="P77" s="85" t="s">
        <v>1655</v>
      </c>
      <c r="Q77" s="85" t="s">
        <v>1655</v>
      </c>
      <c r="R77" s="85" t="s">
        <v>1655</v>
      </c>
      <c r="S77" s="89" t="s">
        <v>1654</v>
      </c>
      <c r="T77" s="87" t="s">
        <v>1661</v>
      </c>
    </row>
    <row r="78" spans="1:20">
      <c r="A78" s="85">
        <v>12</v>
      </c>
      <c r="B78" s="86" t="s">
        <v>1651</v>
      </c>
      <c r="C78" s="87" t="s">
        <v>18</v>
      </c>
      <c r="D78" s="87" t="s">
        <v>182</v>
      </c>
      <c r="E78" s="88" t="s">
        <v>182</v>
      </c>
      <c r="F78" s="85" t="s">
        <v>1653</v>
      </c>
      <c r="G78" s="85" t="s">
        <v>1653</v>
      </c>
      <c r="H78" s="87" t="s">
        <v>168</v>
      </c>
      <c r="I78" s="87" t="s">
        <v>168</v>
      </c>
      <c r="J78" s="89" t="s">
        <v>1654</v>
      </c>
      <c r="K78" s="87" t="s">
        <v>170</v>
      </c>
      <c r="L78" s="87" t="s">
        <v>170</v>
      </c>
      <c r="M78" s="89" t="s">
        <v>1654</v>
      </c>
      <c r="N78" s="85" t="s">
        <v>1660</v>
      </c>
      <c r="O78" s="85" t="s">
        <v>1662</v>
      </c>
      <c r="P78" s="85" t="s">
        <v>1655</v>
      </c>
      <c r="Q78" s="85" t="s">
        <v>1655</v>
      </c>
      <c r="R78" s="85" t="s">
        <v>1655</v>
      </c>
      <c r="S78" s="89" t="s">
        <v>1654</v>
      </c>
      <c r="T78" s="87" t="s">
        <v>1661</v>
      </c>
    </row>
    <row r="79" spans="1:20">
      <c r="A79" s="85">
        <v>13</v>
      </c>
      <c r="B79" s="86" t="s">
        <v>1651</v>
      </c>
      <c r="C79" s="87" t="s">
        <v>18</v>
      </c>
      <c r="D79" s="87" t="s">
        <v>183</v>
      </c>
      <c r="E79" s="88" t="s">
        <v>183</v>
      </c>
      <c r="F79" s="85" t="s">
        <v>1653</v>
      </c>
      <c r="G79" s="85" t="s">
        <v>1653</v>
      </c>
      <c r="H79" s="87" t="s">
        <v>168</v>
      </c>
      <c r="I79" s="87" t="s">
        <v>168</v>
      </c>
      <c r="J79" s="89" t="s">
        <v>1654</v>
      </c>
      <c r="K79" s="87" t="s">
        <v>170</v>
      </c>
      <c r="L79" s="87" t="s">
        <v>170</v>
      </c>
      <c r="M79" s="89" t="s">
        <v>1654</v>
      </c>
      <c r="N79" s="85" t="s">
        <v>1660</v>
      </c>
      <c r="O79" s="85" t="s">
        <v>1662</v>
      </c>
      <c r="P79" s="85" t="s">
        <v>1655</v>
      </c>
      <c r="Q79" s="85" t="s">
        <v>1655</v>
      </c>
      <c r="R79" s="85" t="s">
        <v>1655</v>
      </c>
      <c r="S79" s="89" t="s">
        <v>1654</v>
      </c>
      <c r="T79" s="87" t="s">
        <v>1661</v>
      </c>
    </row>
    <row r="80" spans="1:20">
      <c r="A80" s="85">
        <v>14</v>
      </c>
      <c r="B80" s="86" t="s">
        <v>1651</v>
      </c>
      <c r="C80" s="87" t="s">
        <v>18</v>
      </c>
      <c r="D80" s="87" t="s">
        <v>184</v>
      </c>
      <c r="E80" s="88" t="s">
        <v>184</v>
      </c>
      <c r="F80" s="85" t="s">
        <v>1653</v>
      </c>
      <c r="G80" s="85" t="s">
        <v>1653</v>
      </c>
      <c r="H80" s="87" t="s">
        <v>168</v>
      </c>
      <c r="I80" s="87" t="s">
        <v>168</v>
      </c>
      <c r="J80" s="89" t="s">
        <v>1654</v>
      </c>
      <c r="K80" s="87" t="s">
        <v>172</v>
      </c>
      <c r="L80" s="87" t="s">
        <v>172</v>
      </c>
      <c r="M80" s="89" t="s">
        <v>1654</v>
      </c>
      <c r="N80" s="85" t="s">
        <v>1660</v>
      </c>
      <c r="O80" s="85" t="s">
        <v>1662</v>
      </c>
      <c r="P80" s="85" t="s">
        <v>1655</v>
      </c>
      <c r="Q80" s="85" t="s">
        <v>1655</v>
      </c>
      <c r="R80" s="85" t="s">
        <v>1655</v>
      </c>
      <c r="S80" s="89" t="s">
        <v>1654</v>
      </c>
      <c r="T80" s="87" t="s">
        <v>1661</v>
      </c>
    </row>
    <row r="81" spans="1:20">
      <c r="A81" s="85">
        <v>15</v>
      </c>
      <c r="B81" s="86" t="s">
        <v>1651</v>
      </c>
      <c r="C81" s="87" t="s">
        <v>18</v>
      </c>
      <c r="D81" s="87" t="s">
        <v>185</v>
      </c>
      <c r="E81" s="88" t="s">
        <v>185</v>
      </c>
      <c r="F81" s="85" t="s">
        <v>1653</v>
      </c>
      <c r="G81" s="85" t="s">
        <v>1653</v>
      </c>
      <c r="H81" s="87" t="s">
        <v>168</v>
      </c>
      <c r="I81" s="87" t="s">
        <v>168</v>
      </c>
      <c r="J81" s="89" t="s">
        <v>1654</v>
      </c>
      <c r="K81" s="87" t="s">
        <v>172</v>
      </c>
      <c r="L81" s="87" t="s">
        <v>172</v>
      </c>
      <c r="M81" s="89" t="s">
        <v>1654</v>
      </c>
      <c r="N81" s="85" t="s">
        <v>1660</v>
      </c>
      <c r="O81" s="85" t="s">
        <v>1662</v>
      </c>
      <c r="P81" s="85" t="s">
        <v>1655</v>
      </c>
      <c r="Q81" s="85" t="s">
        <v>1655</v>
      </c>
      <c r="R81" s="85" t="s">
        <v>1655</v>
      </c>
      <c r="S81" s="89" t="s">
        <v>1654</v>
      </c>
      <c r="T81" s="87" t="s">
        <v>1661</v>
      </c>
    </row>
    <row r="82" spans="1:20">
      <c r="A82" s="85">
        <v>16</v>
      </c>
      <c r="B82" s="86" t="s">
        <v>1651</v>
      </c>
      <c r="C82" s="87" t="s">
        <v>18</v>
      </c>
      <c r="D82" s="87" t="s">
        <v>186</v>
      </c>
      <c r="E82" s="88" t="s">
        <v>186</v>
      </c>
      <c r="F82" s="85" t="s">
        <v>1653</v>
      </c>
      <c r="G82" s="85" t="s">
        <v>1653</v>
      </c>
      <c r="H82" s="87" t="s">
        <v>168</v>
      </c>
      <c r="I82" s="87" t="s">
        <v>168</v>
      </c>
      <c r="J82" s="89" t="s">
        <v>1654</v>
      </c>
      <c r="K82" s="87" t="s">
        <v>172</v>
      </c>
      <c r="L82" s="87" t="s">
        <v>172</v>
      </c>
      <c r="M82" s="89" t="s">
        <v>1654</v>
      </c>
      <c r="N82" s="85" t="s">
        <v>1660</v>
      </c>
      <c r="O82" s="85" t="s">
        <v>1662</v>
      </c>
      <c r="P82" s="85" t="s">
        <v>1655</v>
      </c>
      <c r="Q82" s="85" t="s">
        <v>1655</v>
      </c>
      <c r="R82" s="85" t="s">
        <v>1655</v>
      </c>
      <c r="S82" s="89" t="s">
        <v>1654</v>
      </c>
      <c r="T82" s="87" t="s">
        <v>1661</v>
      </c>
    </row>
    <row r="83" spans="1:20">
      <c r="A83" s="85">
        <v>17</v>
      </c>
      <c r="B83" s="86" t="s">
        <v>1651</v>
      </c>
      <c r="C83" s="87" t="s">
        <v>18</v>
      </c>
      <c r="D83" s="87" t="s">
        <v>187</v>
      </c>
      <c r="E83" s="88" t="s">
        <v>187</v>
      </c>
      <c r="F83" s="85" t="s">
        <v>1653</v>
      </c>
      <c r="G83" s="85" t="s">
        <v>1653</v>
      </c>
      <c r="H83" s="87" t="s">
        <v>168</v>
      </c>
      <c r="I83" s="87" t="s">
        <v>168</v>
      </c>
      <c r="J83" s="89" t="s">
        <v>1654</v>
      </c>
      <c r="K83" s="87" t="s">
        <v>172</v>
      </c>
      <c r="L83" s="87" t="s">
        <v>172</v>
      </c>
      <c r="M83" s="89" t="s">
        <v>1654</v>
      </c>
      <c r="N83" s="85" t="s">
        <v>1660</v>
      </c>
      <c r="O83" s="85" t="s">
        <v>1662</v>
      </c>
      <c r="P83" s="85" t="s">
        <v>1655</v>
      </c>
      <c r="Q83" s="85" t="s">
        <v>1655</v>
      </c>
      <c r="R83" s="85" t="s">
        <v>1655</v>
      </c>
      <c r="S83" s="89" t="s">
        <v>1654</v>
      </c>
      <c r="T83" s="87" t="s">
        <v>1661</v>
      </c>
    </row>
    <row r="84" spans="1:20">
      <c r="A84" s="85">
        <v>18</v>
      </c>
      <c r="B84" s="86" t="s">
        <v>1651</v>
      </c>
      <c r="C84" s="87" t="s">
        <v>18</v>
      </c>
      <c r="D84" s="87" t="s">
        <v>188</v>
      </c>
      <c r="E84" s="88" t="s">
        <v>188</v>
      </c>
      <c r="F84" s="85" t="s">
        <v>1653</v>
      </c>
      <c r="G84" s="85" t="s">
        <v>1653</v>
      </c>
      <c r="H84" s="87" t="s">
        <v>168</v>
      </c>
      <c r="I84" s="87" t="s">
        <v>168</v>
      </c>
      <c r="J84" s="89" t="s">
        <v>1654</v>
      </c>
      <c r="K84" s="87" t="s">
        <v>172</v>
      </c>
      <c r="L84" s="87" t="s">
        <v>172</v>
      </c>
      <c r="M84" s="89" t="s">
        <v>1654</v>
      </c>
      <c r="N84" s="85" t="s">
        <v>1660</v>
      </c>
      <c r="O84" s="85" t="s">
        <v>1662</v>
      </c>
      <c r="P84" s="85" t="s">
        <v>1655</v>
      </c>
      <c r="Q84" s="85" t="s">
        <v>1655</v>
      </c>
      <c r="R84" s="85" t="s">
        <v>1655</v>
      </c>
      <c r="S84" s="89" t="s">
        <v>1654</v>
      </c>
      <c r="T84" s="87" t="s">
        <v>1661</v>
      </c>
    </row>
    <row r="85" spans="1:20">
      <c r="A85" s="85">
        <v>19</v>
      </c>
      <c r="B85" s="86" t="s">
        <v>1651</v>
      </c>
      <c r="C85" s="87" t="s">
        <v>18</v>
      </c>
      <c r="D85" s="87" t="s">
        <v>189</v>
      </c>
      <c r="E85" s="88" t="s">
        <v>189</v>
      </c>
      <c r="F85" s="85" t="s">
        <v>1653</v>
      </c>
      <c r="G85" s="85" t="s">
        <v>1653</v>
      </c>
      <c r="H85" s="87" t="s">
        <v>168</v>
      </c>
      <c r="I85" s="87" t="s">
        <v>168</v>
      </c>
      <c r="J85" s="89" t="s">
        <v>1654</v>
      </c>
      <c r="K85" s="87" t="s">
        <v>172</v>
      </c>
      <c r="L85" s="87" t="s">
        <v>1681</v>
      </c>
      <c r="M85" s="89" t="s">
        <v>1654</v>
      </c>
      <c r="N85" s="85" t="s">
        <v>1660</v>
      </c>
      <c r="O85" s="85" t="s">
        <v>1662</v>
      </c>
      <c r="P85" s="85" t="s">
        <v>1655</v>
      </c>
      <c r="Q85" s="85" t="s">
        <v>1655</v>
      </c>
      <c r="R85" s="85" t="s">
        <v>1655</v>
      </c>
      <c r="S85" s="89" t="s">
        <v>1654</v>
      </c>
      <c r="T85" s="87" t="s">
        <v>1661</v>
      </c>
    </row>
    <row r="86" spans="1:20">
      <c r="A86" s="85">
        <v>1</v>
      </c>
      <c r="B86" s="86" t="s">
        <v>1651</v>
      </c>
      <c r="C86" s="87" t="s">
        <v>334</v>
      </c>
      <c r="D86" s="87" t="s">
        <v>334</v>
      </c>
      <c r="E86" s="88" t="s">
        <v>334</v>
      </c>
      <c r="F86" s="85" t="s">
        <v>1653</v>
      </c>
      <c r="G86" s="85" t="s">
        <v>1653</v>
      </c>
      <c r="H86" s="87" t="s">
        <v>335</v>
      </c>
      <c r="I86" s="87" t="s">
        <v>1307</v>
      </c>
      <c r="J86" s="90" t="s">
        <v>1658</v>
      </c>
      <c r="K86" s="87" t="s">
        <v>68</v>
      </c>
      <c r="L86" s="87" t="s">
        <v>68</v>
      </c>
      <c r="M86" s="89" t="s">
        <v>1654</v>
      </c>
      <c r="N86" s="85" t="s">
        <v>1655</v>
      </c>
      <c r="O86" s="85" t="s">
        <v>1660</v>
      </c>
      <c r="P86" s="85" t="s">
        <v>1655</v>
      </c>
      <c r="Q86" s="85" t="s">
        <v>1655</v>
      </c>
      <c r="R86" s="85" t="s">
        <v>1655</v>
      </c>
      <c r="S86" s="89" t="s">
        <v>1654</v>
      </c>
      <c r="T86" s="91" t="s">
        <v>1682</v>
      </c>
    </row>
    <row r="87" spans="1:20">
      <c r="A87" s="85">
        <v>2</v>
      </c>
      <c r="B87" s="86" t="s">
        <v>1651</v>
      </c>
      <c r="C87" s="87" t="s">
        <v>336</v>
      </c>
      <c r="D87" s="87" t="s">
        <v>336</v>
      </c>
      <c r="E87" s="88" t="s">
        <v>336</v>
      </c>
      <c r="F87" s="85" t="s">
        <v>1653</v>
      </c>
      <c r="G87" s="85" t="s">
        <v>1653</v>
      </c>
      <c r="H87" s="87" t="s">
        <v>335</v>
      </c>
      <c r="I87" s="87" t="s">
        <v>1307</v>
      </c>
      <c r="J87" s="90" t="s">
        <v>1658</v>
      </c>
      <c r="K87" s="87" t="s">
        <v>68</v>
      </c>
      <c r="L87" s="87" t="s">
        <v>68</v>
      </c>
      <c r="M87" s="89" t="s">
        <v>1654</v>
      </c>
      <c r="N87" s="85" t="s">
        <v>1655</v>
      </c>
      <c r="O87" s="85" t="s">
        <v>1660</v>
      </c>
      <c r="P87" s="85" t="s">
        <v>1655</v>
      </c>
      <c r="Q87" s="85" t="s">
        <v>1655</v>
      </c>
      <c r="R87" s="85" t="s">
        <v>1655</v>
      </c>
      <c r="S87" s="89" t="s">
        <v>1654</v>
      </c>
      <c r="T87" s="91" t="s">
        <v>1682</v>
      </c>
    </row>
    <row r="88" spans="1:20">
      <c r="A88" s="85">
        <v>3</v>
      </c>
      <c r="B88" s="86" t="s">
        <v>1651</v>
      </c>
      <c r="C88" s="87" t="s">
        <v>337</v>
      </c>
      <c r="D88" s="87" t="s">
        <v>337</v>
      </c>
      <c r="E88" s="88" t="s">
        <v>337</v>
      </c>
      <c r="F88" s="85" t="s">
        <v>1653</v>
      </c>
      <c r="G88" s="85" t="s">
        <v>1653</v>
      </c>
      <c r="H88" s="87" t="s">
        <v>335</v>
      </c>
      <c r="I88" s="87" t="s">
        <v>1307</v>
      </c>
      <c r="J88" s="90" t="s">
        <v>1658</v>
      </c>
      <c r="K88" s="87" t="s">
        <v>68</v>
      </c>
      <c r="L88" s="87" t="s">
        <v>68</v>
      </c>
      <c r="M88" s="89" t="s">
        <v>1654</v>
      </c>
      <c r="N88" s="85" t="s">
        <v>1655</v>
      </c>
      <c r="O88" s="85" t="s">
        <v>1660</v>
      </c>
      <c r="P88" s="85" t="s">
        <v>1655</v>
      </c>
      <c r="Q88" s="85" t="s">
        <v>1655</v>
      </c>
      <c r="R88" s="85" t="s">
        <v>1655</v>
      </c>
      <c r="S88" s="89" t="s">
        <v>1654</v>
      </c>
      <c r="T88" s="91" t="s">
        <v>1682</v>
      </c>
    </row>
    <row r="89" spans="1:20">
      <c r="A89" s="85">
        <v>4</v>
      </c>
      <c r="B89" s="86" t="s">
        <v>1651</v>
      </c>
      <c r="C89" s="87" t="s">
        <v>338</v>
      </c>
      <c r="D89" s="87" t="s">
        <v>338</v>
      </c>
      <c r="E89" s="88" t="s">
        <v>338</v>
      </c>
      <c r="F89" s="85" t="s">
        <v>1653</v>
      </c>
      <c r="G89" s="85" t="s">
        <v>1653</v>
      </c>
      <c r="H89" s="87" t="s">
        <v>335</v>
      </c>
      <c r="I89" s="87" t="s">
        <v>1307</v>
      </c>
      <c r="J89" s="90" t="s">
        <v>1658</v>
      </c>
      <c r="K89" s="87" t="s">
        <v>68</v>
      </c>
      <c r="L89" s="87" t="s">
        <v>68</v>
      </c>
      <c r="M89" s="89" t="s">
        <v>1654</v>
      </c>
      <c r="N89" s="85" t="s">
        <v>1655</v>
      </c>
      <c r="O89" s="85" t="s">
        <v>1660</v>
      </c>
      <c r="P89" s="85" t="s">
        <v>1655</v>
      </c>
      <c r="Q89" s="85" t="s">
        <v>1655</v>
      </c>
      <c r="R89" s="85" t="s">
        <v>1655</v>
      </c>
      <c r="S89" s="89" t="s">
        <v>1654</v>
      </c>
      <c r="T89" s="91" t="s">
        <v>1682</v>
      </c>
    </row>
    <row r="90" spans="1:20">
      <c r="A90" s="85">
        <v>5</v>
      </c>
      <c r="B90" s="86" t="s">
        <v>1651</v>
      </c>
      <c r="C90" s="87" t="s">
        <v>339</v>
      </c>
      <c r="D90" s="87" t="s">
        <v>339</v>
      </c>
      <c r="E90" s="88" t="s">
        <v>339</v>
      </c>
      <c r="F90" s="85" t="s">
        <v>1653</v>
      </c>
      <c r="G90" s="85" t="s">
        <v>1653</v>
      </c>
      <c r="H90" s="87" t="s">
        <v>335</v>
      </c>
      <c r="I90" s="87" t="s">
        <v>1307</v>
      </c>
      <c r="J90" s="90" t="s">
        <v>1658</v>
      </c>
      <c r="K90" s="87" t="s">
        <v>68</v>
      </c>
      <c r="L90" s="87" t="s">
        <v>68</v>
      </c>
      <c r="M90" s="89" t="s">
        <v>1654</v>
      </c>
      <c r="N90" s="85" t="s">
        <v>1655</v>
      </c>
      <c r="O90" s="85" t="s">
        <v>1660</v>
      </c>
      <c r="P90" s="85" t="s">
        <v>1655</v>
      </c>
      <c r="Q90" s="85" t="s">
        <v>1655</v>
      </c>
      <c r="R90" s="85" t="s">
        <v>1655</v>
      </c>
      <c r="S90" s="89" t="s">
        <v>1654</v>
      </c>
      <c r="T90" s="91" t="s">
        <v>1682</v>
      </c>
    </row>
    <row r="91" spans="1:20">
      <c r="A91" s="85">
        <v>6</v>
      </c>
      <c r="B91" s="86" t="s">
        <v>1651</v>
      </c>
      <c r="C91" s="87" t="s">
        <v>340</v>
      </c>
      <c r="D91" s="87" t="s">
        <v>340</v>
      </c>
      <c r="E91" s="88" t="s">
        <v>340</v>
      </c>
      <c r="F91" s="85" t="s">
        <v>1653</v>
      </c>
      <c r="G91" s="85" t="s">
        <v>1653</v>
      </c>
      <c r="H91" s="87" t="s">
        <v>335</v>
      </c>
      <c r="I91" s="87" t="s">
        <v>1307</v>
      </c>
      <c r="J91" s="90" t="s">
        <v>1658</v>
      </c>
      <c r="K91" s="87" t="s">
        <v>68</v>
      </c>
      <c r="L91" s="87" t="s">
        <v>68</v>
      </c>
      <c r="M91" s="89" t="s">
        <v>1654</v>
      </c>
      <c r="N91" s="85" t="s">
        <v>1655</v>
      </c>
      <c r="O91" s="85" t="s">
        <v>1660</v>
      </c>
      <c r="P91" s="85" t="s">
        <v>1655</v>
      </c>
      <c r="Q91" s="85" t="s">
        <v>1655</v>
      </c>
      <c r="R91" s="85" t="s">
        <v>1655</v>
      </c>
      <c r="S91" s="89" t="s">
        <v>1654</v>
      </c>
      <c r="T91" s="91" t="s">
        <v>1682</v>
      </c>
    </row>
    <row r="92" spans="1:20">
      <c r="A92" s="85">
        <v>7</v>
      </c>
      <c r="B92" s="86" t="s">
        <v>1651</v>
      </c>
      <c r="C92" s="87" t="s">
        <v>341</v>
      </c>
      <c r="D92" s="87" t="s">
        <v>341</v>
      </c>
      <c r="E92" s="88" t="s">
        <v>341</v>
      </c>
      <c r="F92" s="85" t="s">
        <v>1653</v>
      </c>
      <c r="G92" s="85" t="s">
        <v>1653</v>
      </c>
      <c r="H92" s="87" t="s">
        <v>335</v>
      </c>
      <c r="I92" s="87" t="s">
        <v>1307</v>
      </c>
      <c r="J92" s="90" t="s">
        <v>1658</v>
      </c>
      <c r="K92" s="87" t="s">
        <v>68</v>
      </c>
      <c r="L92" s="87" t="s">
        <v>68</v>
      </c>
      <c r="M92" s="89" t="s">
        <v>1654</v>
      </c>
      <c r="N92" s="85" t="s">
        <v>1655</v>
      </c>
      <c r="O92" s="85" t="s">
        <v>1660</v>
      </c>
      <c r="P92" s="85" t="s">
        <v>1655</v>
      </c>
      <c r="Q92" s="85" t="s">
        <v>1655</v>
      </c>
      <c r="R92" s="85" t="s">
        <v>1655</v>
      </c>
      <c r="S92" s="89" t="s">
        <v>1654</v>
      </c>
      <c r="T92" s="91" t="s">
        <v>1682</v>
      </c>
    </row>
    <row r="93" spans="1:20">
      <c r="A93" s="85">
        <v>8</v>
      </c>
      <c r="B93" s="86" t="s">
        <v>1651</v>
      </c>
      <c r="C93" s="87" t="s">
        <v>342</v>
      </c>
      <c r="D93" s="87" t="s">
        <v>342</v>
      </c>
      <c r="E93" s="88" t="s">
        <v>342</v>
      </c>
      <c r="F93" s="85" t="s">
        <v>1653</v>
      </c>
      <c r="G93" s="85" t="s">
        <v>1653</v>
      </c>
      <c r="H93" s="87" t="s">
        <v>335</v>
      </c>
      <c r="I93" s="87" t="s">
        <v>1307</v>
      </c>
      <c r="J93" s="90" t="s">
        <v>1658</v>
      </c>
      <c r="K93" s="87" t="s">
        <v>68</v>
      </c>
      <c r="L93" s="87" t="s">
        <v>68</v>
      </c>
      <c r="M93" s="89" t="s">
        <v>1654</v>
      </c>
      <c r="N93" s="85" t="s">
        <v>1655</v>
      </c>
      <c r="O93" s="85" t="s">
        <v>1660</v>
      </c>
      <c r="P93" s="85" t="s">
        <v>1655</v>
      </c>
      <c r="Q93" s="85" t="s">
        <v>1655</v>
      </c>
      <c r="R93" s="85" t="s">
        <v>1655</v>
      </c>
      <c r="S93" s="89" t="s">
        <v>1654</v>
      </c>
      <c r="T93" s="91" t="s">
        <v>1682</v>
      </c>
    </row>
    <row r="94" spans="1:20">
      <c r="A94" s="85">
        <v>9</v>
      </c>
      <c r="B94" s="86" t="s">
        <v>1651</v>
      </c>
      <c r="C94" s="87" t="s">
        <v>343</v>
      </c>
      <c r="D94" s="87" t="s">
        <v>343</v>
      </c>
      <c r="E94" s="88" t="s">
        <v>343</v>
      </c>
      <c r="F94" s="85" t="s">
        <v>1653</v>
      </c>
      <c r="G94" s="85" t="s">
        <v>1653</v>
      </c>
      <c r="H94" s="87" t="s">
        <v>335</v>
      </c>
      <c r="I94" s="87" t="s">
        <v>1307</v>
      </c>
      <c r="J94" s="90" t="s">
        <v>1658</v>
      </c>
      <c r="K94" s="87" t="s">
        <v>68</v>
      </c>
      <c r="L94" s="87" t="s">
        <v>68</v>
      </c>
      <c r="M94" s="89" t="s">
        <v>1654</v>
      </c>
      <c r="N94" s="85" t="s">
        <v>1655</v>
      </c>
      <c r="O94" s="85" t="s">
        <v>1660</v>
      </c>
      <c r="P94" s="85" t="s">
        <v>1655</v>
      </c>
      <c r="Q94" s="85" t="s">
        <v>1655</v>
      </c>
      <c r="R94" s="85" t="s">
        <v>1655</v>
      </c>
      <c r="S94" s="89" t="s">
        <v>1654</v>
      </c>
      <c r="T94" s="91" t="s">
        <v>1682</v>
      </c>
    </row>
    <row r="95" spans="1:20">
      <c r="A95" s="85">
        <v>10</v>
      </c>
      <c r="B95" s="86" t="s">
        <v>1651</v>
      </c>
      <c r="C95" s="87" t="s">
        <v>344</v>
      </c>
      <c r="D95" s="87" t="s">
        <v>344</v>
      </c>
      <c r="E95" s="88" t="s">
        <v>344</v>
      </c>
      <c r="F95" s="85" t="s">
        <v>1653</v>
      </c>
      <c r="G95" s="85" t="s">
        <v>1653</v>
      </c>
      <c r="H95" s="87" t="s">
        <v>335</v>
      </c>
      <c r="I95" s="87" t="s">
        <v>1307</v>
      </c>
      <c r="J95" s="90" t="s">
        <v>1658</v>
      </c>
      <c r="K95" s="87" t="s">
        <v>68</v>
      </c>
      <c r="L95" s="87" t="s">
        <v>68</v>
      </c>
      <c r="M95" s="89" t="s">
        <v>1654</v>
      </c>
      <c r="N95" s="85" t="s">
        <v>1655</v>
      </c>
      <c r="O95" s="85" t="s">
        <v>1660</v>
      </c>
      <c r="P95" s="85" t="s">
        <v>1655</v>
      </c>
      <c r="Q95" s="85" t="s">
        <v>1655</v>
      </c>
      <c r="R95" s="85" t="s">
        <v>1655</v>
      </c>
      <c r="S95" s="89" t="s">
        <v>1654</v>
      </c>
      <c r="T95" s="91" t="s">
        <v>1682</v>
      </c>
    </row>
    <row r="96" spans="1:20">
      <c r="A96" s="85">
        <v>11</v>
      </c>
      <c r="B96" s="86" t="s">
        <v>1651</v>
      </c>
      <c r="C96" s="87" t="s">
        <v>345</v>
      </c>
      <c r="D96" s="87" t="s">
        <v>345</v>
      </c>
      <c r="E96" s="88" t="s">
        <v>345</v>
      </c>
      <c r="F96" s="85" t="s">
        <v>1653</v>
      </c>
      <c r="G96" s="85" t="s">
        <v>1653</v>
      </c>
      <c r="H96" s="87" t="s">
        <v>335</v>
      </c>
      <c r="I96" s="87" t="s">
        <v>1307</v>
      </c>
      <c r="J96" s="90" t="s">
        <v>1658</v>
      </c>
      <c r="K96" s="87" t="s">
        <v>68</v>
      </c>
      <c r="L96" s="87" t="s">
        <v>68</v>
      </c>
      <c r="M96" s="89" t="s">
        <v>1654</v>
      </c>
      <c r="N96" s="85" t="s">
        <v>1655</v>
      </c>
      <c r="O96" s="85" t="s">
        <v>1660</v>
      </c>
      <c r="P96" s="85" t="s">
        <v>1655</v>
      </c>
      <c r="Q96" s="85" t="s">
        <v>1655</v>
      </c>
      <c r="R96" s="85" t="s">
        <v>1655</v>
      </c>
      <c r="S96" s="89" t="s">
        <v>1654</v>
      </c>
      <c r="T96" s="91" t="s">
        <v>1682</v>
      </c>
    </row>
    <row r="97" spans="1:20">
      <c r="A97" s="85">
        <v>12</v>
      </c>
      <c r="B97" s="86" t="s">
        <v>1651</v>
      </c>
      <c r="C97" s="87" t="s">
        <v>346</v>
      </c>
      <c r="D97" s="87" t="s">
        <v>346</v>
      </c>
      <c r="E97" s="88" t="s">
        <v>346</v>
      </c>
      <c r="F97" s="85" t="s">
        <v>1653</v>
      </c>
      <c r="G97" s="85" t="s">
        <v>1653</v>
      </c>
      <c r="H97" s="87" t="s">
        <v>335</v>
      </c>
      <c r="I97" s="87" t="s">
        <v>1307</v>
      </c>
      <c r="J97" s="90" t="s">
        <v>1658</v>
      </c>
      <c r="K97" s="87" t="s">
        <v>68</v>
      </c>
      <c r="L97" s="87" t="s">
        <v>68</v>
      </c>
      <c r="M97" s="89" t="s">
        <v>1654</v>
      </c>
      <c r="N97" s="85" t="s">
        <v>1655</v>
      </c>
      <c r="O97" s="85" t="s">
        <v>1660</v>
      </c>
      <c r="P97" s="85" t="s">
        <v>1655</v>
      </c>
      <c r="Q97" s="85" t="s">
        <v>1655</v>
      </c>
      <c r="R97" s="85" t="s">
        <v>1655</v>
      </c>
      <c r="S97" s="89" t="s">
        <v>1654</v>
      </c>
      <c r="T97" s="91" t="s">
        <v>1682</v>
      </c>
    </row>
    <row r="98" spans="1:20">
      <c r="A98" s="85">
        <v>13</v>
      </c>
      <c r="B98" s="86" t="s">
        <v>1651</v>
      </c>
      <c r="C98" s="87" t="s">
        <v>347</v>
      </c>
      <c r="D98" s="87" t="s">
        <v>347</v>
      </c>
      <c r="E98" s="88" t="s">
        <v>347</v>
      </c>
      <c r="F98" s="85" t="s">
        <v>1653</v>
      </c>
      <c r="G98" s="85" t="s">
        <v>1653</v>
      </c>
      <c r="H98" s="87" t="s">
        <v>335</v>
      </c>
      <c r="I98" s="87" t="s">
        <v>1307</v>
      </c>
      <c r="J98" s="90" t="s">
        <v>1658</v>
      </c>
      <c r="K98" s="87" t="s">
        <v>68</v>
      </c>
      <c r="L98" s="87" t="s">
        <v>68</v>
      </c>
      <c r="M98" s="89" t="s">
        <v>1654</v>
      </c>
      <c r="N98" s="85" t="s">
        <v>1655</v>
      </c>
      <c r="O98" s="85" t="s">
        <v>1660</v>
      </c>
      <c r="P98" s="85" t="s">
        <v>1655</v>
      </c>
      <c r="Q98" s="85" t="s">
        <v>1655</v>
      </c>
      <c r="R98" s="85" t="s">
        <v>1655</v>
      </c>
      <c r="S98" s="89" t="s">
        <v>1654</v>
      </c>
      <c r="T98" s="91" t="s">
        <v>1682</v>
      </c>
    </row>
    <row r="99" spans="1:20">
      <c r="A99" s="85">
        <v>14</v>
      </c>
      <c r="B99" s="86" t="s">
        <v>1651</v>
      </c>
      <c r="C99" s="87" t="s">
        <v>348</v>
      </c>
      <c r="D99" s="87" t="s">
        <v>348</v>
      </c>
      <c r="E99" s="88" t="s">
        <v>348</v>
      </c>
      <c r="F99" s="85" t="s">
        <v>1653</v>
      </c>
      <c r="G99" s="85" t="s">
        <v>1653</v>
      </c>
      <c r="H99" s="87" t="s">
        <v>335</v>
      </c>
      <c r="I99" s="87" t="s">
        <v>335</v>
      </c>
      <c r="J99" s="89" t="s">
        <v>1654</v>
      </c>
      <c r="K99" s="87" t="s">
        <v>68</v>
      </c>
      <c r="L99" s="87" t="s">
        <v>68</v>
      </c>
      <c r="M99" s="89" t="s">
        <v>1654</v>
      </c>
      <c r="N99" s="85" t="s">
        <v>1655</v>
      </c>
      <c r="O99" s="85" t="s">
        <v>1660</v>
      </c>
      <c r="P99" s="85" t="s">
        <v>1655</v>
      </c>
      <c r="Q99" s="85" t="s">
        <v>1655</v>
      </c>
      <c r="R99" s="85" t="s">
        <v>1655</v>
      </c>
      <c r="S99" s="89" t="s">
        <v>1654</v>
      </c>
      <c r="T99" s="87" t="s">
        <v>1661</v>
      </c>
    </row>
    <row r="100" spans="1:20">
      <c r="A100" s="85">
        <v>15</v>
      </c>
      <c r="B100" s="86" t="s">
        <v>1651</v>
      </c>
      <c r="C100" s="87" t="s">
        <v>349</v>
      </c>
      <c r="D100" s="87" t="s">
        <v>349</v>
      </c>
      <c r="E100" s="88" t="s">
        <v>349</v>
      </c>
      <c r="F100" s="85" t="s">
        <v>1653</v>
      </c>
      <c r="G100" s="85" t="s">
        <v>1653</v>
      </c>
      <c r="H100" s="87" t="s">
        <v>335</v>
      </c>
      <c r="I100" s="87" t="s">
        <v>335</v>
      </c>
      <c r="J100" s="89" t="s">
        <v>1654</v>
      </c>
      <c r="K100" s="87" t="s">
        <v>71</v>
      </c>
      <c r="L100" s="87" t="s">
        <v>71</v>
      </c>
      <c r="M100" s="89" t="s">
        <v>1654</v>
      </c>
      <c r="N100" s="85" t="s">
        <v>1655</v>
      </c>
      <c r="O100" s="85" t="s">
        <v>1660</v>
      </c>
      <c r="P100" s="85" t="s">
        <v>1655</v>
      </c>
      <c r="Q100" s="85" t="s">
        <v>1655</v>
      </c>
      <c r="R100" s="85" t="s">
        <v>1655</v>
      </c>
      <c r="S100" s="89" t="s">
        <v>1654</v>
      </c>
      <c r="T100" s="87" t="s">
        <v>1661</v>
      </c>
    </row>
    <row r="101" spans="1:20">
      <c r="A101" s="85">
        <v>16</v>
      </c>
      <c r="B101" s="86" t="s">
        <v>1651</v>
      </c>
      <c r="C101" s="87" t="s">
        <v>350</v>
      </c>
      <c r="D101" s="87" t="s">
        <v>350</v>
      </c>
      <c r="E101" s="88" t="s">
        <v>350</v>
      </c>
      <c r="F101" s="85" t="s">
        <v>1653</v>
      </c>
      <c r="G101" s="85" t="s">
        <v>1653</v>
      </c>
      <c r="H101" s="87" t="s">
        <v>335</v>
      </c>
      <c r="I101" s="87" t="s">
        <v>335</v>
      </c>
      <c r="J101" s="89" t="s">
        <v>1654</v>
      </c>
      <c r="K101" s="87" t="s">
        <v>68</v>
      </c>
      <c r="L101" s="87" t="s">
        <v>68</v>
      </c>
      <c r="M101" s="89" t="s">
        <v>1654</v>
      </c>
      <c r="N101" s="85" t="s">
        <v>1655</v>
      </c>
      <c r="O101" s="85" t="s">
        <v>1655</v>
      </c>
      <c r="P101" s="85" t="s">
        <v>1655</v>
      </c>
      <c r="Q101" s="85" t="s">
        <v>1683</v>
      </c>
      <c r="R101" s="85" t="s">
        <v>1655</v>
      </c>
      <c r="S101" s="90" t="s">
        <v>1658</v>
      </c>
      <c r="T101" s="91" t="s">
        <v>1684</v>
      </c>
    </row>
    <row r="102" spans="1:20">
      <c r="A102" s="85">
        <v>17</v>
      </c>
      <c r="B102" s="86" t="s">
        <v>1651</v>
      </c>
      <c r="C102" s="87" t="s">
        <v>351</v>
      </c>
      <c r="D102" s="87" t="s">
        <v>351</v>
      </c>
      <c r="E102" s="88" t="s">
        <v>351</v>
      </c>
      <c r="F102" s="85" t="s">
        <v>1653</v>
      </c>
      <c r="G102" s="85" t="s">
        <v>1653</v>
      </c>
      <c r="H102" s="87" t="s">
        <v>335</v>
      </c>
      <c r="I102" s="87" t="s">
        <v>335</v>
      </c>
      <c r="J102" s="89" t="s">
        <v>1654</v>
      </c>
      <c r="K102" s="87" t="s">
        <v>196</v>
      </c>
      <c r="L102" s="87" t="s">
        <v>196</v>
      </c>
      <c r="M102" s="89" t="s">
        <v>1654</v>
      </c>
      <c r="N102" s="85" t="s">
        <v>1655</v>
      </c>
      <c r="O102" s="85" t="s">
        <v>1655</v>
      </c>
      <c r="P102" s="85" t="s">
        <v>1655</v>
      </c>
      <c r="Q102" s="85" t="s">
        <v>1683</v>
      </c>
      <c r="R102" s="85" t="s">
        <v>1655</v>
      </c>
      <c r="S102" s="90" t="s">
        <v>1658</v>
      </c>
      <c r="T102" s="91" t="s">
        <v>1684</v>
      </c>
    </row>
    <row r="103" spans="1:20">
      <c r="A103" s="85">
        <v>18</v>
      </c>
      <c r="B103" s="86" t="s">
        <v>1651</v>
      </c>
      <c r="C103" s="87" t="s">
        <v>352</v>
      </c>
      <c r="D103" s="87" t="s">
        <v>352</v>
      </c>
      <c r="E103" s="88" t="s">
        <v>352</v>
      </c>
      <c r="F103" s="85" t="s">
        <v>1652</v>
      </c>
      <c r="G103" s="85" t="s">
        <v>1653</v>
      </c>
      <c r="H103" s="87" t="s">
        <v>335</v>
      </c>
      <c r="I103" s="87" t="s">
        <v>335</v>
      </c>
      <c r="J103" s="89" t="s">
        <v>1654</v>
      </c>
      <c r="K103" s="87" t="s">
        <v>75</v>
      </c>
      <c r="L103" s="87" t="s">
        <v>75</v>
      </c>
      <c r="M103" s="89" t="s">
        <v>1654</v>
      </c>
      <c r="N103" s="85" t="s">
        <v>1660</v>
      </c>
      <c r="O103" s="85" t="s">
        <v>1655</v>
      </c>
      <c r="P103" s="85" t="s">
        <v>1655</v>
      </c>
      <c r="Q103" s="85" t="s">
        <v>1655</v>
      </c>
      <c r="R103" s="85" t="s">
        <v>1655</v>
      </c>
      <c r="S103" s="89" t="s">
        <v>1654</v>
      </c>
      <c r="T103" s="87" t="s">
        <v>1661</v>
      </c>
    </row>
    <row r="104" spans="1:20">
      <c r="A104" s="85">
        <v>19</v>
      </c>
      <c r="B104" s="92" t="s">
        <v>1663</v>
      </c>
      <c r="C104" s="87" t="s">
        <v>693</v>
      </c>
      <c r="D104" s="87" t="s">
        <v>18</v>
      </c>
      <c r="E104" s="88" t="s">
        <v>693</v>
      </c>
      <c r="F104" s="85" t="s">
        <v>1653</v>
      </c>
      <c r="G104" s="85" t="s">
        <v>1653</v>
      </c>
      <c r="H104" s="87" t="s">
        <v>335</v>
      </c>
      <c r="I104" s="87" t="s">
        <v>335</v>
      </c>
      <c r="J104" s="89" t="s">
        <v>1654</v>
      </c>
      <c r="K104" s="87" t="s">
        <v>18</v>
      </c>
      <c r="L104" s="87" t="s">
        <v>18</v>
      </c>
      <c r="M104" s="89" t="s">
        <v>1671</v>
      </c>
      <c r="N104" s="85" t="s">
        <v>1660</v>
      </c>
      <c r="O104" s="85" t="s">
        <v>1655</v>
      </c>
      <c r="P104" s="85" t="s">
        <v>1655</v>
      </c>
      <c r="Q104" s="85" t="s">
        <v>1655</v>
      </c>
      <c r="R104" s="85" t="s">
        <v>1655</v>
      </c>
      <c r="S104" s="89" t="s">
        <v>1654</v>
      </c>
      <c r="T104" s="87" t="s">
        <v>1685</v>
      </c>
    </row>
    <row r="105" spans="1:20">
      <c r="A105" s="85">
        <v>20</v>
      </c>
      <c r="B105" s="86" t="s">
        <v>1651</v>
      </c>
      <c r="C105" s="87" t="s">
        <v>353</v>
      </c>
      <c r="D105" s="87" t="s">
        <v>353</v>
      </c>
      <c r="E105" s="88" t="s">
        <v>353</v>
      </c>
      <c r="F105" s="85" t="s">
        <v>1653</v>
      </c>
      <c r="G105" s="85" t="s">
        <v>1653</v>
      </c>
      <c r="H105" s="87" t="s">
        <v>335</v>
      </c>
      <c r="I105" s="87" t="s">
        <v>335</v>
      </c>
      <c r="J105" s="89" t="s">
        <v>1654</v>
      </c>
      <c r="K105" s="87" t="s">
        <v>68</v>
      </c>
      <c r="L105" s="87" t="s">
        <v>68</v>
      </c>
      <c r="M105" s="89" t="s">
        <v>1654</v>
      </c>
      <c r="N105" s="85" t="s">
        <v>1660</v>
      </c>
      <c r="O105" s="85" t="s">
        <v>1655</v>
      </c>
      <c r="P105" s="85" t="s">
        <v>1655</v>
      </c>
      <c r="Q105" s="85" t="s">
        <v>1655</v>
      </c>
      <c r="R105" s="85" t="s">
        <v>1655</v>
      </c>
      <c r="S105" s="89" t="s">
        <v>1654</v>
      </c>
      <c r="T105" s="87" t="s">
        <v>1661</v>
      </c>
    </row>
    <row r="106" spans="1:20">
      <c r="A106" s="85">
        <v>21</v>
      </c>
      <c r="B106" s="92" t="s">
        <v>1663</v>
      </c>
      <c r="C106" s="87" t="s">
        <v>694</v>
      </c>
      <c r="D106" s="87" t="s">
        <v>18</v>
      </c>
      <c r="E106" s="88" t="s">
        <v>694</v>
      </c>
      <c r="F106" s="85" t="s">
        <v>1653</v>
      </c>
      <c r="G106" s="85" t="s">
        <v>1653</v>
      </c>
      <c r="H106" s="87" t="s">
        <v>335</v>
      </c>
      <c r="I106" s="87" t="s">
        <v>335</v>
      </c>
      <c r="J106" s="89" t="s">
        <v>1654</v>
      </c>
      <c r="K106" s="87" t="s">
        <v>18</v>
      </c>
      <c r="L106" s="87" t="s">
        <v>18</v>
      </c>
      <c r="M106" s="89" t="s">
        <v>1671</v>
      </c>
      <c r="N106" s="85" t="s">
        <v>1660</v>
      </c>
      <c r="O106" s="85" t="s">
        <v>1655</v>
      </c>
      <c r="P106" s="85" t="s">
        <v>1655</v>
      </c>
      <c r="Q106" s="85" t="s">
        <v>1655</v>
      </c>
      <c r="R106" s="85" t="s">
        <v>1655</v>
      </c>
      <c r="S106" s="89" t="s">
        <v>1654</v>
      </c>
      <c r="T106" s="87" t="s">
        <v>1685</v>
      </c>
    </row>
    <row r="107" spans="1:20">
      <c r="A107" s="85">
        <v>22</v>
      </c>
      <c r="B107" s="86" t="s">
        <v>1651</v>
      </c>
      <c r="C107" s="87" t="s">
        <v>354</v>
      </c>
      <c r="D107" s="87" t="s">
        <v>354</v>
      </c>
      <c r="E107" s="88" t="s">
        <v>354</v>
      </c>
      <c r="F107" s="85" t="s">
        <v>1653</v>
      </c>
      <c r="G107" s="85" t="s">
        <v>1653</v>
      </c>
      <c r="H107" s="87" t="s">
        <v>335</v>
      </c>
      <c r="I107" s="87" t="s">
        <v>335</v>
      </c>
      <c r="J107" s="89" t="s">
        <v>1654</v>
      </c>
      <c r="K107" s="87" t="s">
        <v>71</v>
      </c>
      <c r="L107" s="87" t="s">
        <v>71</v>
      </c>
      <c r="M107" s="89" t="s">
        <v>1654</v>
      </c>
      <c r="N107" s="85" t="s">
        <v>1660</v>
      </c>
      <c r="O107" s="85" t="s">
        <v>1655</v>
      </c>
      <c r="P107" s="85" t="s">
        <v>1655</v>
      </c>
      <c r="Q107" s="85" t="s">
        <v>1655</v>
      </c>
      <c r="R107" s="85" t="s">
        <v>1655</v>
      </c>
      <c r="S107" s="89" t="s">
        <v>1654</v>
      </c>
      <c r="T107" s="87" t="s">
        <v>1661</v>
      </c>
    </row>
    <row r="108" spans="1:20">
      <c r="A108" s="85">
        <v>23</v>
      </c>
      <c r="B108" s="86" t="s">
        <v>1651</v>
      </c>
      <c r="C108" s="87" t="s">
        <v>355</v>
      </c>
      <c r="D108" s="87" t="s">
        <v>355</v>
      </c>
      <c r="E108" s="88" t="s">
        <v>355</v>
      </c>
      <c r="F108" s="85" t="s">
        <v>1653</v>
      </c>
      <c r="G108" s="85" t="s">
        <v>1653</v>
      </c>
      <c r="H108" s="87" t="s">
        <v>335</v>
      </c>
      <c r="I108" s="87" t="s">
        <v>335</v>
      </c>
      <c r="J108" s="89" t="s">
        <v>1654</v>
      </c>
      <c r="K108" s="87" t="s">
        <v>357</v>
      </c>
      <c r="L108" s="87" t="s">
        <v>357</v>
      </c>
      <c r="M108" s="89" t="s">
        <v>1654</v>
      </c>
      <c r="N108" s="85" t="s">
        <v>1660</v>
      </c>
      <c r="O108" s="85" t="s">
        <v>1662</v>
      </c>
      <c r="P108" s="85" t="s">
        <v>1655</v>
      </c>
      <c r="Q108" s="85" t="s">
        <v>1655</v>
      </c>
      <c r="R108" s="85" t="s">
        <v>1655</v>
      </c>
      <c r="S108" s="89" t="s">
        <v>1654</v>
      </c>
      <c r="T108" s="87" t="s">
        <v>1661</v>
      </c>
    </row>
    <row r="109" spans="1:20">
      <c r="A109" s="85">
        <v>24</v>
      </c>
      <c r="B109" s="86" t="s">
        <v>1651</v>
      </c>
      <c r="C109" s="87" t="s">
        <v>358</v>
      </c>
      <c r="D109" s="87" t="s">
        <v>358</v>
      </c>
      <c r="E109" s="88" t="s">
        <v>358</v>
      </c>
      <c r="F109" s="85" t="s">
        <v>1653</v>
      </c>
      <c r="G109" s="85" t="s">
        <v>1653</v>
      </c>
      <c r="H109" s="87" t="s">
        <v>335</v>
      </c>
      <c r="I109" s="87" t="s">
        <v>335</v>
      </c>
      <c r="J109" s="89" t="s">
        <v>1654</v>
      </c>
      <c r="K109" s="87" t="s">
        <v>357</v>
      </c>
      <c r="L109" s="87" t="s">
        <v>357</v>
      </c>
      <c r="M109" s="89" t="s">
        <v>1654</v>
      </c>
      <c r="N109" s="85" t="s">
        <v>1660</v>
      </c>
      <c r="O109" s="85" t="s">
        <v>1662</v>
      </c>
      <c r="P109" s="85" t="s">
        <v>1655</v>
      </c>
      <c r="Q109" s="85" t="s">
        <v>1655</v>
      </c>
      <c r="R109" s="85" t="s">
        <v>1655</v>
      </c>
      <c r="S109" s="89" t="s">
        <v>1654</v>
      </c>
      <c r="T109" s="87" t="s">
        <v>1661</v>
      </c>
    </row>
    <row r="110" spans="1:20">
      <c r="A110" s="85">
        <v>25</v>
      </c>
      <c r="B110" s="92" t="s">
        <v>1663</v>
      </c>
      <c r="C110" s="87" t="s">
        <v>860</v>
      </c>
      <c r="D110" s="87" t="s">
        <v>18</v>
      </c>
      <c r="E110" s="88" t="s">
        <v>860</v>
      </c>
      <c r="F110" s="85" t="s">
        <v>1653</v>
      </c>
      <c r="G110" s="85" t="s">
        <v>1653</v>
      </c>
      <c r="H110" s="87" t="s">
        <v>335</v>
      </c>
      <c r="I110" s="87" t="s">
        <v>1307</v>
      </c>
      <c r="J110" s="90" t="s">
        <v>1658</v>
      </c>
      <c r="K110" s="87" t="s">
        <v>18</v>
      </c>
      <c r="L110" s="87" t="s">
        <v>18</v>
      </c>
      <c r="M110" s="89" t="s">
        <v>1671</v>
      </c>
      <c r="N110" s="85" t="s">
        <v>1660</v>
      </c>
      <c r="O110" s="85" t="s">
        <v>1660</v>
      </c>
      <c r="P110" s="85" t="s">
        <v>1655</v>
      </c>
      <c r="Q110" s="85" t="s">
        <v>1655</v>
      </c>
      <c r="R110" s="85" t="s">
        <v>1660</v>
      </c>
      <c r="S110" s="89" t="s">
        <v>1654</v>
      </c>
      <c r="T110" s="91" t="s">
        <v>1686</v>
      </c>
    </row>
    <row r="111" spans="1:20">
      <c r="A111" s="85">
        <v>26</v>
      </c>
      <c r="B111" s="92" t="s">
        <v>1663</v>
      </c>
      <c r="C111" s="87" t="s">
        <v>895</v>
      </c>
      <c r="D111" s="87" t="s">
        <v>18</v>
      </c>
      <c r="E111" s="88" t="s">
        <v>895</v>
      </c>
      <c r="F111" s="85" t="s">
        <v>1652</v>
      </c>
      <c r="G111" s="85" t="s">
        <v>1653</v>
      </c>
      <c r="H111" s="87" t="s">
        <v>335</v>
      </c>
      <c r="I111" s="87" t="s">
        <v>335</v>
      </c>
      <c r="J111" s="89" t="s">
        <v>1654</v>
      </c>
      <c r="K111" s="87" t="s">
        <v>18</v>
      </c>
      <c r="L111" s="87" t="s">
        <v>18</v>
      </c>
      <c r="M111" s="89" t="s">
        <v>1671</v>
      </c>
      <c r="N111" s="85" t="s">
        <v>1662</v>
      </c>
      <c r="O111" s="85" t="s">
        <v>1662</v>
      </c>
      <c r="P111" s="85" t="s">
        <v>1655</v>
      </c>
      <c r="Q111" s="85" t="s">
        <v>1655</v>
      </c>
      <c r="R111" s="85" t="s">
        <v>1655</v>
      </c>
      <c r="S111" s="89" t="s">
        <v>1654</v>
      </c>
      <c r="T111" s="87" t="s">
        <v>1685</v>
      </c>
    </row>
    <row r="112" spans="1:20">
      <c r="A112" s="85">
        <v>27</v>
      </c>
      <c r="B112" s="92" t="s">
        <v>1663</v>
      </c>
      <c r="C112" s="87" t="s">
        <v>908</v>
      </c>
      <c r="D112" s="87" t="s">
        <v>18</v>
      </c>
      <c r="E112" s="88" t="s">
        <v>908</v>
      </c>
      <c r="F112" s="85" t="s">
        <v>1653</v>
      </c>
      <c r="G112" s="85" t="s">
        <v>1653</v>
      </c>
      <c r="H112" s="87" t="s">
        <v>335</v>
      </c>
      <c r="I112" s="87" t="s">
        <v>1307</v>
      </c>
      <c r="J112" s="90" t="s">
        <v>1658</v>
      </c>
      <c r="K112" s="87" t="s">
        <v>18</v>
      </c>
      <c r="L112" s="87" t="s">
        <v>18</v>
      </c>
      <c r="M112" s="89" t="s">
        <v>1671</v>
      </c>
      <c r="N112" s="85" t="s">
        <v>1662</v>
      </c>
      <c r="O112" s="85" t="s">
        <v>1662</v>
      </c>
      <c r="P112" s="85" t="s">
        <v>1655</v>
      </c>
      <c r="Q112" s="85" t="s">
        <v>1655</v>
      </c>
      <c r="R112" s="85" t="s">
        <v>1655</v>
      </c>
      <c r="S112" s="89" t="s">
        <v>1654</v>
      </c>
      <c r="T112" s="91" t="s">
        <v>1686</v>
      </c>
    </row>
    <row r="113" spans="1:20">
      <c r="A113" s="85">
        <v>28</v>
      </c>
      <c r="B113" s="92" t="s">
        <v>1663</v>
      </c>
      <c r="C113" s="87" t="s">
        <v>910</v>
      </c>
      <c r="D113" s="87" t="s">
        <v>18</v>
      </c>
      <c r="E113" s="88" t="s">
        <v>910</v>
      </c>
      <c r="F113" s="85" t="s">
        <v>1653</v>
      </c>
      <c r="G113" s="85" t="s">
        <v>1653</v>
      </c>
      <c r="H113" s="87" t="s">
        <v>335</v>
      </c>
      <c r="I113" s="87" t="s">
        <v>1307</v>
      </c>
      <c r="J113" s="90" t="s">
        <v>1658</v>
      </c>
      <c r="K113" s="87" t="s">
        <v>18</v>
      </c>
      <c r="L113" s="87" t="s">
        <v>18</v>
      </c>
      <c r="M113" s="89" t="s">
        <v>1671</v>
      </c>
      <c r="N113" s="85" t="s">
        <v>1662</v>
      </c>
      <c r="O113" s="85" t="s">
        <v>1662</v>
      </c>
      <c r="P113" s="85" t="s">
        <v>1655</v>
      </c>
      <c r="Q113" s="85" t="s">
        <v>1655</v>
      </c>
      <c r="R113" s="85" t="s">
        <v>1655</v>
      </c>
      <c r="S113" s="89" t="s">
        <v>1654</v>
      </c>
      <c r="T113" s="91" t="s">
        <v>1686</v>
      </c>
    </row>
    <row r="114" spans="1:20">
      <c r="A114" s="85">
        <v>29</v>
      </c>
      <c r="B114" s="92" t="s">
        <v>1663</v>
      </c>
      <c r="C114" s="87" t="s">
        <v>916</v>
      </c>
      <c r="D114" s="87" t="s">
        <v>18</v>
      </c>
      <c r="E114" s="88" t="s">
        <v>916</v>
      </c>
      <c r="F114" s="85" t="s">
        <v>1653</v>
      </c>
      <c r="G114" s="85" t="s">
        <v>1653</v>
      </c>
      <c r="H114" s="87" t="s">
        <v>335</v>
      </c>
      <c r="I114" s="87" t="s">
        <v>1307</v>
      </c>
      <c r="J114" s="90" t="s">
        <v>1658</v>
      </c>
      <c r="K114" s="87" t="s">
        <v>18</v>
      </c>
      <c r="L114" s="87" t="s">
        <v>18</v>
      </c>
      <c r="M114" s="89" t="s">
        <v>1671</v>
      </c>
      <c r="N114" s="85" t="s">
        <v>1662</v>
      </c>
      <c r="O114" s="85" t="s">
        <v>1662</v>
      </c>
      <c r="P114" s="85" t="s">
        <v>1655</v>
      </c>
      <c r="Q114" s="85" t="s">
        <v>1655</v>
      </c>
      <c r="R114" s="85" t="s">
        <v>1655</v>
      </c>
      <c r="S114" s="89" t="s">
        <v>1654</v>
      </c>
      <c r="T114" s="91" t="s">
        <v>1686</v>
      </c>
    </row>
    <row r="115" spans="1:20">
      <c r="A115" s="85">
        <v>30</v>
      </c>
      <c r="B115" s="92" t="s">
        <v>1663</v>
      </c>
      <c r="C115" s="87" t="s">
        <v>918</v>
      </c>
      <c r="D115" s="87" t="s">
        <v>18</v>
      </c>
      <c r="E115" s="88" t="s">
        <v>918</v>
      </c>
      <c r="F115" s="85" t="s">
        <v>1653</v>
      </c>
      <c r="G115" s="85" t="s">
        <v>1653</v>
      </c>
      <c r="H115" s="87" t="s">
        <v>335</v>
      </c>
      <c r="I115" s="87" t="s">
        <v>1307</v>
      </c>
      <c r="J115" s="90" t="s">
        <v>1658</v>
      </c>
      <c r="K115" s="87" t="s">
        <v>18</v>
      </c>
      <c r="L115" s="87" t="s">
        <v>18</v>
      </c>
      <c r="M115" s="89" t="s">
        <v>1671</v>
      </c>
      <c r="N115" s="85" t="s">
        <v>1662</v>
      </c>
      <c r="O115" s="85" t="s">
        <v>1662</v>
      </c>
      <c r="P115" s="85" t="s">
        <v>1655</v>
      </c>
      <c r="Q115" s="85" t="s">
        <v>1655</v>
      </c>
      <c r="R115" s="85" t="s">
        <v>1655</v>
      </c>
      <c r="S115" s="89" t="s">
        <v>1654</v>
      </c>
      <c r="T115" s="91" t="s">
        <v>1686</v>
      </c>
    </row>
    <row r="116" spans="1:20">
      <c r="A116" s="85">
        <v>31</v>
      </c>
      <c r="B116" s="92" t="s">
        <v>1663</v>
      </c>
      <c r="C116" s="87" t="s">
        <v>1028</v>
      </c>
      <c r="D116" s="87" t="s">
        <v>18</v>
      </c>
      <c r="E116" s="88" t="s">
        <v>1028</v>
      </c>
      <c r="F116" s="85" t="s">
        <v>1653</v>
      </c>
      <c r="G116" s="85" t="s">
        <v>1653</v>
      </c>
      <c r="H116" s="87" t="s">
        <v>335</v>
      </c>
      <c r="I116" s="87" t="s">
        <v>335</v>
      </c>
      <c r="J116" s="89" t="s">
        <v>1654</v>
      </c>
      <c r="K116" s="87" t="s">
        <v>18</v>
      </c>
      <c r="L116" s="87" t="s">
        <v>18</v>
      </c>
      <c r="M116" s="89" t="s">
        <v>1671</v>
      </c>
      <c r="N116" s="85" t="s">
        <v>1655</v>
      </c>
      <c r="O116" s="85" t="s">
        <v>1660</v>
      </c>
      <c r="P116" s="85" t="s">
        <v>1655</v>
      </c>
      <c r="Q116" s="85" t="s">
        <v>1655</v>
      </c>
      <c r="R116" s="85" t="s">
        <v>1655</v>
      </c>
      <c r="S116" s="89" t="s">
        <v>1654</v>
      </c>
      <c r="T116" s="87" t="s">
        <v>1685</v>
      </c>
    </row>
    <row r="117" spans="1:20">
      <c r="A117" s="85">
        <v>32</v>
      </c>
      <c r="B117" s="92" t="s">
        <v>1663</v>
      </c>
      <c r="C117" s="87" t="s">
        <v>1031</v>
      </c>
      <c r="D117" s="87" t="s">
        <v>18</v>
      </c>
      <c r="E117" s="88" t="s">
        <v>1031</v>
      </c>
      <c r="F117" s="85" t="s">
        <v>1653</v>
      </c>
      <c r="G117" s="85" t="s">
        <v>1653</v>
      </c>
      <c r="H117" s="87" t="s">
        <v>335</v>
      </c>
      <c r="I117" s="87" t="s">
        <v>335</v>
      </c>
      <c r="J117" s="89" t="s">
        <v>1654</v>
      </c>
      <c r="K117" s="87" t="s">
        <v>18</v>
      </c>
      <c r="L117" s="87" t="s">
        <v>18</v>
      </c>
      <c r="M117" s="89" t="s">
        <v>1671</v>
      </c>
      <c r="N117" s="85" t="s">
        <v>1655</v>
      </c>
      <c r="O117" s="85" t="s">
        <v>1660</v>
      </c>
      <c r="P117" s="85" t="s">
        <v>1655</v>
      </c>
      <c r="Q117" s="85" t="s">
        <v>1655</v>
      </c>
      <c r="R117" s="85" t="s">
        <v>1655</v>
      </c>
      <c r="S117" s="89" t="s">
        <v>1654</v>
      </c>
      <c r="T117" s="87" t="s">
        <v>1685</v>
      </c>
    </row>
    <row r="118" spans="1:20">
      <c r="A118" s="85">
        <v>33</v>
      </c>
      <c r="B118" s="92" t="s">
        <v>1663</v>
      </c>
      <c r="C118" s="87" t="s">
        <v>1033</v>
      </c>
      <c r="D118" s="87" t="s">
        <v>18</v>
      </c>
      <c r="E118" s="88" t="s">
        <v>1033</v>
      </c>
      <c r="F118" s="85" t="s">
        <v>1653</v>
      </c>
      <c r="G118" s="85" t="s">
        <v>1653</v>
      </c>
      <c r="H118" s="87" t="s">
        <v>335</v>
      </c>
      <c r="I118" s="87" t="s">
        <v>335</v>
      </c>
      <c r="J118" s="89" t="s">
        <v>1654</v>
      </c>
      <c r="K118" s="87" t="s">
        <v>18</v>
      </c>
      <c r="L118" s="87" t="s">
        <v>18</v>
      </c>
      <c r="M118" s="89" t="s">
        <v>1671</v>
      </c>
      <c r="N118" s="85" t="s">
        <v>1655</v>
      </c>
      <c r="O118" s="85" t="s">
        <v>1660</v>
      </c>
      <c r="P118" s="85" t="s">
        <v>1655</v>
      </c>
      <c r="Q118" s="85" t="s">
        <v>1655</v>
      </c>
      <c r="R118" s="85" t="s">
        <v>1655</v>
      </c>
      <c r="S118" s="89" t="s">
        <v>1654</v>
      </c>
      <c r="T118" s="87" t="s">
        <v>1685</v>
      </c>
    </row>
    <row r="119" spans="1:20">
      <c r="A119" s="85">
        <v>34</v>
      </c>
      <c r="B119" s="92" t="s">
        <v>1663</v>
      </c>
      <c r="C119" s="87" t="s">
        <v>1035</v>
      </c>
      <c r="D119" s="87" t="s">
        <v>18</v>
      </c>
      <c r="E119" s="88" t="s">
        <v>1035</v>
      </c>
      <c r="F119" s="85" t="s">
        <v>1653</v>
      </c>
      <c r="G119" s="85" t="s">
        <v>1653</v>
      </c>
      <c r="H119" s="87" t="s">
        <v>335</v>
      </c>
      <c r="I119" s="87" t="s">
        <v>335</v>
      </c>
      <c r="J119" s="89" t="s">
        <v>1654</v>
      </c>
      <c r="K119" s="87" t="s">
        <v>18</v>
      </c>
      <c r="L119" s="87" t="s">
        <v>18</v>
      </c>
      <c r="M119" s="89" t="s">
        <v>1671</v>
      </c>
      <c r="N119" s="85" t="s">
        <v>1655</v>
      </c>
      <c r="O119" s="85" t="s">
        <v>1660</v>
      </c>
      <c r="P119" s="85" t="s">
        <v>1655</v>
      </c>
      <c r="Q119" s="85" t="s">
        <v>1655</v>
      </c>
      <c r="R119" s="85" t="s">
        <v>1655</v>
      </c>
      <c r="S119" s="89" t="s">
        <v>1654</v>
      </c>
      <c r="T119" s="87" t="s">
        <v>1685</v>
      </c>
    </row>
    <row r="120" spans="1:20">
      <c r="A120" s="85">
        <v>35</v>
      </c>
      <c r="B120" s="92" t="s">
        <v>1663</v>
      </c>
      <c r="C120" s="87" t="s">
        <v>1037</v>
      </c>
      <c r="D120" s="87" t="s">
        <v>18</v>
      </c>
      <c r="E120" s="88" t="s">
        <v>1037</v>
      </c>
      <c r="F120" s="85" t="s">
        <v>1653</v>
      </c>
      <c r="G120" s="85" t="s">
        <v>1653</v>
      </c>
      <c r="H120" s="87" t="s">
        <v>335</v>
      </c>
      <c r="I120" s="87" t="s">
        <v>335</v>
      </c>
      <c r="J120" s="89" t="s">
        <v>1654</v>
      </c>
      <c r="K120" s="87" t="s">
        <v>18</v>
      </c>
      <c r="L120" s="87" t="s">
        <v>18</v>
      </c>
      <c r="M120" s="89" t="s">
        <v>1671</v>
      </c>
      <c r="N120" s="85" t="s">
        <v>1655</v>
      </c>
      <c r="O120" s="85" t="s">
        <v>1660</v>
      </c>
      <c r="P120" s="85" t="s">
        <v>1655</v>
      </c>
      <c r="Q120" s="85" t="s">
        <v>1655</v>
      </c>
      <c r="R120" s="85" t="s">
        <v>1655</v>
      </c>
      <c r="S120" s="89" t="s">
        <v>1654</v>
      </c>
      <c r="T120" s="87" t="s">
        <v>1685</v>
      </c>
    </row>
    <row r="121" spans="1:20">
      <c r="A121" s="85">
        <v>36</v>
      </c>
      <c r="B121" s="92" t="s">
        <v>1663</v>
      </c>
      <c r="C121" s="87" t="s">
        <v>1039</v>
      </c>
      <c r="D121" s="87" t="s">
        <v>18</v>
      </c>
      <c r="E121" s="88" t="s">
        <v>1039</v>
      </c>
      <c r="F121" s="85" t="s">
        <v>1653</v>
      </c>
      <c r="G121" s="85" t="s">
        <v>1653</v>
      </c>
      <c r="H121" s="87" t="s">
        <v>335</v>
      </c>
      <c r="I121" s="87" t="s">
        <v>335</v>
      </c>
      <c r="J121" s="89" t="s">
        <v>1654</v>
      </c>
      <c r="K121" s="87" t="s">
        <v>18</v>
      </c>
      <c r="L121" s="87" t="s">
        <v>18</v>
      </c>
      <c r="M121" s="89" t="s">
        <v>1671</v>
      </c>
      <c r="N121" s="85" t="s">
        <v>1655</v>
      </c>
      <c r="O121" s="85" t="s">
        <v>1660</v>
      </c>
      <c r="P121" s="85" t="s">
        <v>1655</v>
      </c>
      <c r="Q121" s="85" t="s">
        <v>1655</v>
      </c>
      <c r="R121" s="85" t="s">
        <v>1655</v>
      </c>
      <c r="S121" s="89" t="s">
        <v>1654</v>
      </c>
      <c r="T121" s="87" t="s">
        <v>1685</v>
      </c>
    </row>
    <row r="122" spans="1:20">
      <c r="A122" s="85">
        <v>37</v>
      </c>
      <c r="B122" s="92" t="s">
        <v>1663</v>
      </c>
      <c r="C122" s="87" t="s">
        <v>1041</v>
      </c>
      <c r="D122" s="87" t="s">
        <v>18</v>
      </c>
      <c r="E122" s="88" t="s">
        <v>1041</v>
      </c>
      <c r="F122" s="85" t="s">
        <v>1653</v>
      </c>
      <c r="G122" s="85" t="s">
        <v>1653</v>
      </c>
      <c r="H122" s="87" t="s">
        <v>335</v>
      </c>
      <c r="I122" s="87" t="s">
        <v>335</v>
      </c>
      <c r="J122" s="89" t="s">
        <v>1654</v>
      </c>
      <c r="K122" s="87" t="s">
        <v>18</v>
      </c>
      <c r="L122" s="87" t="s">
        <v>18</v>
      </c>
      <c r="M122" s="89" t="s">
        <v>1671</v>
      </c>
      <c r="N122" s="85" t="s">
        <v>1655</v>
      </c>
      <c r="O122" s="85" t="s">
        <v>1660</v>
      </c>
      <c r="P122" s="85" t="s">
        <v>1655</v>
      </c>
      <c r="Q122" s="85" t="s">
        <v>1655</v>
      </c>
      <c r="R122" s="85" t="s">
        <v>1655</v>
      </c>
      <c r="S122" s="89" t="s">
        <v>1654</v>
      </c>
      <c r="T122" s="87" t="s">
        <v>1685</v>
      </c>
    </row>
    <row r="123" spans="1:20">
      <c r="A123" s="85">
        <v>38</v>
      </c>
      <c r="B123" s="92" t="s">
        <v>1663</v>
      </c>
      <c r="C123" s="87" t="s">
        <v>1043</v>
      </c>
      <c r="D123" s="87" t="s">
        <v>18</v>
      </c>
      <c r="E123" s="88" t="s">
        <v>1043</v>
      </c>
      <c r="F123" s="85" t="s">
        <v>1653</v>
      </c>
      <c r="G123" s="85" t="s">
        <v>1653</v>
      </c>
      <c r="H123" s="87" t="s">
        <v>335</v>
      </c>
      <c r="I123" s="87" t="s">
        <v>335</v>
      </c>
      <c r="J123" s="89" t="s">
        <v>1654</v>
      </c>
      <c r="K123" s="87" t="s">
        <v>18</v>
      </c>
      <c r="L123" s="87" t="s">
        <v>18</v>
      </c>
      <c r="M123" s="89" t="s">
        <v>1671</v>
      </c>
      <c r="N123" s="85" t="s">
        <v>1655</v>
      </c>
      <c r="O123" s="85" t="s">
        <v>1660</v>
      </c>
      <c r="P123" s="85" t="s">
        <v>1655</v>
      </c>
      <c r="Q123" s="85" t="s">
        <v>1655</v>
      </c>
      <c r="R123" s="85" t="s">
        <v>1655</v>
      </c>
      <c r="S123" s="89" t="s">
        <v>1654</v>
      </c>
      <c r="T123" s="87" t="s">
        <v>1685</v>
      </c>
    </row>
    <row r="124" spans="1:20">
      <c r="A124" s="85">
        <v>39</v>
      </c>
      <c r="B124" s="92" t="s">
        <v>1663</v>
      </c>
      <c r="C124" s="87" t="s">
        <v>1045</v>
      </c>
      <c r="D124" s="87" t="s">
        <v>18</v>
      </c>
      <c r="E124" s="88" t="s">
        <v>1045</v>
      </c>
      <c r="F124" s="85" t="s">
        <v>1653</v>
      </c>
      <c r="G124" s="85" t="s">
        <v>1653</v>
      </c>
      <c r="H124" s="87" t="s">
        <v>335</v>
      </c>
      <c r="I124" s="87" t="s">
        <v>335</v>
      </c>
      <c r="J124" s="89" t="s">
        <v>1654</v>
      </c>
      <c r="K124" s="87" t="s">
        <v>18</v>
      </c>
      <c r="L124" s="87" t="s">
        <v>18</v>
      </c>
      <c r="M124" s="89" t="s">
        <v>1671</v>
      </c>
      <c r="N124" s="85" t="s">
        <v>1655</v>
      </c>
      <c r="O124" s="85" t="s">
        <v>1660</v>
      </c>
      <c r="P124" s="85" t="s">
        <v>1655</v>
      </c>
      <c r="Q124" s="85" t="s">
        <v>1655</v>
      </c>
      <c r="R124" s="85" t="s">
        <v>1655</v>
      </c>
      <c r="S124" s="89" t="s">
        <v>1654</v>
      </c>
      <c r="T124" s="87" t="s">
        <v>1685</v>
      </c>
    </row>
    <row r="125" spans="1:20">
      <c r="A125" s="85">
        <v>40</v>
      </c>
      <c r="B125" s="92" t="s">
        <v>1663</v>
      </c>
      <c r="C125" s="87" t="s">
        <v>1047</v>
      </c>
      <c r="D125" s="87" t="s">
        <v>18</v>
      </c>
      <c r="E125" s="88" t="s">
        <v>1047</v>
      </c>
      <c r="F125" s="85" t="s">
        <v>1653</v>
      </c>
      <c r="G125" s="85" t="s">
        <v>1653</v>
      </c>
      <c r="H125" s="87" t="s">
        <v>335</v>
      </c>
      <c r="I125" s="87" t="s">
        <v>335</v>
      </c>
      <c r="J125" s="89" t="s">
        <v>1654</v>
      </c>
      <c r="K125" s="87" t="s">
        <v>18</v>
      </c>
      <c r="L125" s="87" t="s">
        <v>18</v>
      </c>
      <c r="M125" s="89" t="s">
        <v>1671</v>
      </c>
      <c r="N125" s="85" t="s">
        <v>1660</v>
      </c>
      <c r="O125" s="85" t="s">
        <v>1655</v>
      </c>
      <c r="P125" s="85" t="s">
        <v>1655</v>
      </c>
      <c r="Q125" s="85" t="s">
        <v>1655</v>
      </c>
      <c r="R125" s="85" t="s">
        <v>1655</v>
      </c>
      <c r="S125" s="89" t="s">
        <v>1654</v>
      </c>
      <c r="T125" s="87" t="s">
        <v>1685</v>
      </c>
    </row>
    <row r="126" spans="1:20">
      <c r="A126" s="85">
        <v>41</v>
      </c>
      <c r="B126" s="92" t="s">
        <v>1663</v>
      </c>
      <c r="C126" s="87" t="s">
        <v>1049</v>
      </c>
      <c r="D126" s="87" t="s">
        <v>18</v>
      </c>
      <c r="E126" s="88" t="s">
        <v>1049</v>
      </c>
      <c r="F126" s="85" t="s">
        <v>1653</v>
      </c>
      <c r="G126" s="85" t="s">
        <v>1653</v>
      </c>
      <c r="H126" s="87" t="s">
        <v>335</v>
      </c>
      <c r="I126" s="87" t="s">
        <v>335</v>
      </c>
      <c r="J126" s="89" t="s">
        <v>1654</v>
      </c>
      <c r="K126" s="87" t="s">
        <v>18</v>
      </c>
      <c r="L126" s="87" t="s">
        <v>18</v>
      </c>
      <c r="M126" s="89" t="s">
        <v>1671</v>
      </c>
      <c r="N126" s="85" t="s">
        <v>1660</v>
      </c>
      <c r="O126" s="85" t="s">
        <v>1655</v>
      </c>
      <c r="P126" s="85" t="s">
        <v>1655</v>
      </c>
      <c r="Q126" s="85" t="s">
        <v>1655</v>
      </c>
      <c r="R126" s="85" t="s">
        <v>1655</v>
      </c>
      <c r="S126" s="89" t="s">
        <v>1654</v>
      </c>
      <c r="T126" s="87" t="s">
        <v>1685</v>
      </c>
    </row>
    <row r="127" spans="1:20">
      <c r="A127" s="85">
        <v>42</v>
      </c>
      <c r="B127" s="92" t="s">
        <v>1663</v>
      </c>
      <c r="C127" s="87" t="s">
        <v>1051</v>
      </c>
      <c r="D127" s="87" t="s">
        <v>18</v>
      </c>
      <c r="E127" s="88" t="s">
        <v>1051</v>
      </c>
      <c r="F127" s="85" t="s">
        <v>1653</v>
      </c>
      <c r="G127" s="85" t="s">
        <v>1653</v>
      </c>
      <c r="H127" s="87" t="s">
        <v>335</v>
      </c>
      <c r="I127" s="87" t="s">
        <v>335</v>
      </c>
      <c r="J127" s="89" t="s">
        <v>1654</v>
      </c>
      <c r="K127" s="87" t="s">
        <v>18</v>
      </c>
      <c r="L127" s="87" t="s">
        <v>18</v>
      </c>
      <c r="M127" s="89" t="s">
        <v>1671</v>
      </c>
      <c r="N127" s="85" t="s">
        <v>1660</v>
      </c>
      <c r="O127" s="85" t="s">
        <v>1655</v>
      </c>
      <c r="P127" s="85" t="s">
        <v>1655</v>
      </c>
      <c r="Q127" s="85" t="s">
        <v>1655</v>
      </c>
      <c r="R127" s="85" t="s">
        <v>1655</v>
      </c>
      <c r="S127" s="89" t="s">
        <v>1654</v>
      </c>
      <c r="T127" s="87" t="s">
        <v>1685</v>
      </c>
    </row>
    <row r="128" spans="1:20">
      <c r="A128" s="85">
        <v>43</v>
      </c>
      <c r="B128" s="92" t="s">
        <v>1663</v>
      </c>
      <c r="C128" s="87" t="s">
        <v>1053</v>
      </c>
      <c r="D128" s="87" t="s">
        <v>18</v>
      </c>
      <c r="E128" s="88" t="s">
        <v>1053</v>
      </c>
      <c r="F128" s="85" t="s">
        <v>1653</v>
      </c>
      <c r="G128" s="85" t="s">
        <v>1653</v>
      </c>
      <c r="H128" s="87" t="s">
        <v>335</v>
      </c>
      <c r="I128" s="87" t="s">
        <v>335</v>
      </c>
      <c r="J128" s="89" t="s">
        <v>1654</v>
      </c>
      <c r="K128" s="87" t="s">
        <v>18</v>
      </c>
      <c r="L128" s="87" t="s">
        <v>18</v>
      </c>
      <c r="M128" s="89" t="s">
        <v>1671</v>
      </c>
      <c r="N128" s="85" t="s">
        <v>1660</v>
      </c>
      <c r="O128" s="85" t="s">
        <v>1655</v>
      </c>
      <c r="P128" s="85" t="s">
        <v>1655</v>
      </c>
      <c r="Q128" s="85" t="s">
        <v>1655</v>
      </c>
      <c r="R128" s="85" t="s">
        <v>1655</v>
      </c>
      <c r="S128" s="89" t="s">
        <v>1654</v>
      </c>
      <c r="T128" s="87" t="s">
        <v>1685</v>
      </c>
    </row>
    <row r="129" spans="1:20">
      <c r="A129" s="85">
        <v>44</v>
      </c>
      <c r="B129" s="92" t="s">
        <v>1663</v>
      </c>
      <c r="C129" s="87" t="s">
        <v>1055</v>
      </c>
      <c r="D129" s="87" t="s">
        <v>18</v>
      </c>
      <c r="E129" s="88" t="s">
        <v>1055</v>
      </c>
      <c r="F129" s="85" t="s">
        <v>1653</v>
      </c>
      <c r="G129" s="85" t="s">
        <v>1653</v>
      </c>
      <c r="H129" s="87" t="s">
        <v>335</v>
      </c>
      <c r="I129" s="87" t="s">
        <v>335</v>
      </c>
      <c r="J129" s="89" t="s">
        <v>1654</v>
      </c>
      <c r="K129" s="87" t="s">
        <v>18</v>
      </c>
      <c r="L129" s="87" t="s">
        <v>18</v>
      </c>
      <c r="M129" s="89" t="s">
        <v>1671</v>
      </c>
      <c r="N129" s="85" t="s">
        <v>1660</v>
      </c>
      <c r="O129" s="85" t="s">
        <v>1655</v>
      </c>
      <c r="P129" s="85" t="s">
        <v>1655</v>
      </c>
      <c r="Q129" s="85" t="s">
        <v>1655</v>
      </c>
      <c r="R129" s="85" t="s">
        <v>1655</v>
      </c>
      <c r="S129" s="89" t="s">
        <v>1654</v>
      </c>
      <c r="T129" s="87" t="s">
        <v>1685</v>
      </c>
    </row>
    <row r="130" spans="1:20">
      <c r="A130" s="85">
        <v>45</v>
      </c>
      <c r="B130" s="92" t="s">
        <v>1663</v>
      </c>
      <c r="C130" s="87" t="s">
        <v>1057</v>
      </c>
      <c r="D130" s="87" t="s">
        <v>18</v>
      </c>
      <c r="E130" s="88" t="s">
        <v>1057</v>
      </c>
      <c r="F130" s="85" t="s">
        <v>1653</v>
      </c>
      <c r="G130" s="85" t="s">
        <v>1653</v>
      </c>
      <c r="H130" s="87" t="s">
        <v>335</v>
      </c>
      <c r="I130" s="87" t="s">
        <v>335</v>
      </c>
      <c r="J130" s="89" t="s">
        <v>1654</v>
      </c>
      <c r="K130" s="87" t="s">
        <v>18</v>
      </c>
      <c r="L130" s="87" t="s">
        <v>18</v>
      </c>
      <c r="M130" s="89" t="s">
        <v>1671</v>
      </c>
      <c r="N130" s="85" t="s">
        <v>1660</v>
      </c>
      <c r="O130" s="85" t="s">
        <v>1655</v>
      </c>
      <c r="P130" s="85" t="s">
        <v>1655</v>
      </c>
      <c r="Q130" s="85" t="s">
        <v>1655</v>
      </c>
      <c r="R130" s="85" t="s">
        <v>1655</v>
      </c>
      <c r="S130" s="89" t="s">
        <v>1654</v>
      </c>
      <c r="T130" s="87" t="s">
        <v>1685</v>
      </c>
    </row>
    <row r="131" spans="1:20">
      <c r="A131" s="85">
        <v>46</v>
      </c>
      <c r="B131" s="92" t="s">
        <v>1663</v>
      </c>
      <c r="C131" s="87" t="s">
        <v>411</v>
      </c>
      <c r="D131" s="87" t="s">
        <v>18</v>
      </c>
      <c r="E131" s="88" t="s">
        <v>411</v>
      </c>
      <c r="F131" s="85" t="s">
        <v>1652</v>
      </c>
      <c r="G131" s="85" t="s">
        <v>1653</v>
      </c>
      <c r="H131" s="87" t="s">
        <v>335</v>
      </c>
      <c r="I131" s="87" t="s">
        <v>1687</v>
      </c>
      <c r="J131" s="89" t="s">
        <v>1654</v>
      </c>
      <c r="K131" s="87" t="s">
        <v>18</v>
      </c>
      <c r="L131" s="87" t="s">
        <v>1688</v>
      </c>
      <c r="M131" s="89" t="s">
        <v>1671</v>
      </c>
      <c r="N131" s="85" t="s">
        <v>1689</v>
      </c>
      <c r="O131" s="85" t="s">
        <v>1690</v>
      </c>
      <c r="P131" s="85" t="s">
        <v>1691</v>
      </c>
      <c r="Q131" s="85" t="s">
        <v>1692</v>
      </c>
      <c r="R131" s="85" t="s">
        <v>1655</v>
      </c>
      <c r="S131" s="89" t="s">
        <v>1671</v>
      </c>
      <c r="T131" s="87" t="s">
        <v>1685</v>
      </c>
    </row>
    <row r="132" spans="1:20">
      <c r="A132" s="85">
        <v>47</v>
      </c>
      <c r="B132" s="92" t="s">
        <v>1663</v>
      </c>
      <c r="C132" s="87" t="s">
        <v>411</v>
      </c>
      <c r="D132" s="87" t="s">
        <v>18</v>
      </c>
      <c r="E132" s="88" t="s">
        <v>411</v>
      </c>
      <c r="F132" s="85" t="s">
        <v>1652</v>
      </c>
      <c r="G132" s="85" t="s">
        <v>1653</v>
      </c>
      <c r="H132" s="87" t="s">
        <v>335</v>
      </c>
      <c r="I132" s="87" t="s">
        <v>1687</v>
      </c>
      <c r="J132" s="89" t="s">
        <v>1654</v>
      </c>
      <c r="K132" s="87" t="s">
        <v>18</v>
      </c>
      <c r="L132" s="87" t="s">
        <v>1688</v>
      </c>
      <c r="M132" s="89" t="s">
        <v>1671</v>
      </c>
      <c r="N132" s="85" t="s">
        <v>1693</v>
      </c>
      <c r="O132" s="85" t="s">
        <v>1694</v>
      </c>
      <c r="P132" s="85" t="s">
        <v>1691</v>
      </c>
      <c r="Q132" s="85" t="s">
        <v>1692</v>
      </c>
      <c r="R132" s="85" t="s">
        <v>1655</v>
      </c>
      <c r="S132" s="89" t="s">
        <v>1671</v>
      </c>
      <c r="T132" s="87" t="s">
        <v>1685</v>
      </c>
    </row>
    <row r="133" spans="1:20">
      <c r="A133" s="85">
        <v>48</v>
      </c>
      <c r="B133" s="92" t="s">
        <v>1663</v>
      </c>
      <c r="C133" s="87" t="s">
        <v>411</v>
      </c>
      <c r="D133" s="87" t="s">
        <v>18</v>
      </c>
      <c r="E133" s="88" t="s">
        <v>411</v>
      </c>
      <c r="F133" s="85" t="s">
        <v>1652</v>
      </c>
      <c r="G133" s="85" t="s">
        <v>1653</v>
      </c>
      <c r="H133" s="87" t="s">
        <v>335</v>
      </c>
      <c r="I133" s="87" t="s">
        <v>1687</v>
      </c>
      <c r="J133" s="89" t="s">
        <v>1654</v>
      </c>
      <c r="K133" s="87" t="s">
        <v>18</v>
      </c>
      <c r="L133" s="87" t="s">
        <v>1688</v>
      </c>
      <c r="M133" s="89" t="s">
        <v>1671</v>
      </c>
      <c r="N133" s="85" t="s">
        <v>1693</v>
      </c>
      <c r="O133" s="85" t="s">
        <v>1694</v>
      </c>
      <c r="P133" s="85" t="s">
        <v>1691</v>
      </c>
      <c r="Q133" s="85" t="s">
        <v>1692</v>
      </c>
      <c r="R133" s="85" t="s">
        <v>1655</v>
      </c>
      <c r="S133" s="89" t="s">
        <v>1671</v>
      </c>
      <c r="T133" s="87" t="s">
        <v>1685</v>
      </c>
    </row>
    <row r="134" spans="1:20">
      <c r="A134" s="85">
        <v>49</v>
      </c>
      <c r="B134" s="92" t="s">
        <v>1663</v>
      </c>
      <c r="C134" s="87" t="s">
        <v>1060</v>
      </c>
      <c r="D134" s="87" t="s">
        <v>18</v>
      </c>
      <c r="E134" s="88" t="s">
        <v>1060</v>
      </c>
      <c r="F134" s="85" t="s">
        <v>1652</v>
      </c>
      <c r="G134" s="85" t="s">
        <v>1653</v>
      </c>
      <c r="H134" s="87" t="s">
        <v>335</v>
      </c>
      <c r="I134" s="87" t="s">
        <v>335</v>
      </c>
      <c r="J134" s="89" t="s">
        <v>1654</v>
      </c>
      <c r="K134" s="87" t="s">
        <v>18</v>
      </c>
      <c r="L134" s="87" t="s">
        <v>18</v>
      </c>
      <c r="M134" s="89" t="s">
        <v>1671</v>
      </c>
      <c r="N134" s="85" t="s">
        <v>1655</v>
      </c>
      <c r="O134" s="85" t="s">
        <v>1655</v>
      </c>
      <c r="P134" s="85" t="s">
        <v>1655</v>
      </c>
      <c r="Q134" s="85" t="s">
        <v>1655</v>
      </c>
      <c r="R134" s="85" t="s">
        <v>1660</v>
      </c>
      <c r="S134" s="89" t="s">
        <v>1654</v>
      </c>
      <c r="T134" s="87" t="s">
        <v>1685</v>
      </c>
    </row>
    <row r="135" spans="1:20">
      <c r="A135" s="85">
        <v>1</v>
      </c>
      <c r="B135" s="86" t="s">
        <v>1651</v>
      </c>
      <c r="C135" s="87" t="s">
        <v>359</v>
      </c>
      <c r="D135" s="87" t="s">
        <v>359</v>
      </c>
      <c r="E135" s="88" t="s">
        <v>359</v>
      </c>
      <c r="F135" s="85" t="s">
        <v>1653</v>
      </c>
      <c r="G135" s="85" t="s">
        <v>1653</v>
      </c>
      <c r="H135" s="87" t="s">
        <v>360</v>
      </c>
      <c r="I135" s="87" t="s">
        <v>1307</v>
      </c>
      <c r="J135" s="90" t="s">
        <v>1658</v>
      </c>
      <c r="K135" s="87" t="s">
        <v>68</v>
      </c>
      <c r="L135" s="87" t="s">
        <v>68</v>
      </c>
      <c r="M135" s="89" t="s">
        <v>1654</v>
      </c>
      <c r="N135" s="85" t="s">
        <v>1655</v>
      </c>
      <c r="O135" s="85" t="s">
        <v>1660</v>
      </c>
      <c r="P135" s="85" t="s">
        <v>1655</v>
      </c>
      <c r="Q135" s="85" t="s">
        <v>1655</v>
      </c>
      <c r="R135" s="85" t="s">
        <v>1655</v>
      </c>
      <c r="S135" s="89" t="s">
        <v>1654</v>
      </c>
      <c r="T135" s="91" t="s">
        <v>1695</v>
      </c>
    </row>
    <row r="136" spans="1:20">
      <c r="A136" s="85">
        <v>2</v>
      </c>
      <c r="B136" s="86" t="s">
        <v>1651</v>
      </c>
      <c r="C136" s="87" t="s">
        <v>361</v>
      </c>
      <c r="D136" s="87" t="s">
        <v>361</v>
      </c>
      <c r="E136" s="88" t="s">
        <v>361</v>
      </c>
      <c r="F136" s="85" t="s">
        <v>1653</v>
      </c>
      <c r="G136" s="85" t="s">
        <v>1653</v>
      </c>
      <c r="H136" s="87" t="s">
        <v>360</v>
      </c>
      <c r="I136" s="87" t="s">
        <v>1307</v>
      </c>
      <c r="J136" s="90" t="s">
        <v>1658</v>
      </c>
      <c r="K136" s="87" t="s">
        <v>68</v>
      </c>
      <c r="L136" s="87" t="s">
        <v>68</v>
      </c>
      <c r="M136" s="89" t="s">
        <v>1654</v>
      </c>
      <c r="N136" s="85" t="s">
        <v>1655</v>
      </c>
      <c r="O136" s="85" t="s">
        <v>1660</v>
      </c>
      <c r="P136" s="85" t="s">
        <v>1655</v>
      </c>
      <c r="Q136" s="85" t="s">
        <v>1655</v>
      </c>
      <c r="R136" s="85" t="s">
        <v>1655</v>
      </c>
      <c r="S136" s="89" t="s">
        <v>1654</v>
      </c>
      <c r="T136" s="91" t="s">
        <v>1695</v>
      </c>
    </row>
    <row r="137" spans="1:20">
      <c r="A137" s="85">
        <v>3</v>
      </c>
      <c r="B137" s="86" t="s">
        <v>1651</v>
      </c>
      <c r="C137" s="87" t="s">
        <v>362</v>
      </c>
      <c r="D137" s="87" t="s">
        <v>362</v>
      </c>
      <c r="E137" s="88" t="s">
        <v>362</v>
      </c>
      <c r="F137" s="85" t="s">
        <v>1653</v>
      </c>
      <c r="G137" s="85" t="s">
        <v>1653</v>
      </c>
      <c r="H137" s="87" t="s">
        <v>360</v>
      </c>
      <c r="I137" s="87" t="s">
        <v>1307</v>
      </c>
      <c r="J137" s="90" t="s">
        <v>1658</v>
      </c>
      <c r="K137" s="87" t="s">
        <v>68</v>
      </c>
      <c r="L137" s="87" t="s">
        <v>68</v>
      </c>
      <c r="M137" s="89" t="s">
        <v>1654</v>
      </c>
      <c r="N137" s="85" t="s">
        <v>1655</v>
      </c>
      <c r="O137" s="85" t="s">
        <v>1660</v>
      </c>
      <c r="P137" s="85" t="s">
        <v>1655</v>
      </c>
      <c r="Q137" s="85" t="s">
        <v>1655</v>
      </c>
      <c r="R137" s="85" t="s">
        <v>1655</v>
      </c>
      <c r="S137" s="89" t="s">
        <v>1654</v>
      </c>
      <c r="T137" s="91" t="s">
        <v>1695</v>
      </c>
    </row>
    <row r="138" spans="1:20">
      <c r="A138" s="85">
        <v>4</v>
      </c>
      <c r="B138" s="86" t="s">
        <v>1651</v>
      </c>
      <c r="C138" s="87" t="s">
        <v>363</v>
      </c>
      <c r="D138" s="87" t="s">
        <v>363</v>
      </c>
      <c r="E138" s="88" t="s">
        <v>363</v>
      </c>
      <c r="F138" s="85" t="s">
        <v>1653</v>
      </c>
      <c r="G138" s="85" t="s">
        <v>1653</v>
      </c>
      <c r="H138" s="87" t="s">
        <v>360</v>
      </c>
      <c r="I138" s="87" t="s">
        <v>1307</v>
      </c>
      <c r="J138" s="90" t="s">
        <v>1658</v>
      </c>
      <c r="K138" s="87" t="s">
        <v>68</v>
      </c>
      <c r="L138" s="87" t="s">
        <v>68</v>
      </c>
      <c r="M138" s="89" t="s">
        <v>1654</v>
      </c>
      <c r="N138" s="85" t="s">
        <v>1655</v>
      </c>
      <c r="O138" s="85" t="s">
        <v>1660</v>
      </c>
      <c r="P138" s="85" t="s">
        <v>1655</v>
      </c>
      <c r="Q138" s="85" t="s">
        <v>1655</v>
      </c>
      <c r="R138" s="85" t="s">
        <v>1655</v>
      </c>
      <c r="S138" s="89" t="s">
        <v>1654</v>
      </c>
      <c r="T138" s="91" t="s">
        <v>1695</v>
      </c>
    </row>
    <row r="139" spans="1:20">
      <c r="A139" s="85">
        <v>5</v>
      </c>
      <c r="B139" s="86" t="s">
        <v>1651</v>
      </c>
      <c r="C139" s="87" t="s">
        <v>364</v>
      </c>
      <c r="D139" s="87" t="s">
        <v>364</v>
      </c>
      <c r="E139" s="88" t="s">
        <v>364</v>
      </c>
      <c r="F139" s="85" t="s">
        <v>1653</v>
      </c>
      <c r="G139" s="85" t="s">
        <v>1653</v>
      </c>
      <c r="H139" s="87" t="s">
        <v>360</v>
      </c>
      <c r="I139" s="87" t="s">
        <v>1307</v>
      </c>
      <c r="J139" s="90" t="s">
        <v>1658</v>
      </c>
      <c r="K139" s="87" t="s">
        <v>68</v>
      </c>
      <c r="L139" s="87" t="s">
        <v>68</v>
      </c>
      <c r="M139" s="89" t="s">
        <v>1654</v>
      </c>
      <c r="N139" s="85" t="s">
        <v>1655</v>
      </c>
      <c r="O139" s="85" t="s">
        <v>1660</v>
      </c>
      <c r="P139" s="85" t="s">
        <v>1655</v>
      </c>
      <c r="Q139" s="85" t="s">
        <v>1655</v>
      </c>
      <c r="R139" s="85" t="s">
        <v>1655</v>
      </c>
      <c r="S139" s="89" t="s">
        <v>1654</v>
      </c>
      <c r="T139" s="91" t="s">
        <v>1695</v>
      </c>
    </row>
    <row r="140" spans="1:20">
      <c r="A140" s="85">
        <v>6</v>
      </c>
      <c r="B140" s="86" t="s">
        <v>1651</v>
      </c>
      <c r="C140" s="87" t="s">
        <v>365</v>
      </c>
      <c r="D140" s="87" t="s">
        <v>365</v>
      </c>
      <c r="E140" s="88" t="s">
        <v>365</v>
      </c>
      <c r="F140" s="85" t="s">
        <v>1653</v>
      </c>
      <c r="G140" s="85" t="s">
        <v>1653</v>
      </c>
      <c r="H140" s="87" t="s">
        <v>360</v>
      </c>
      <c r="I140" s="87" t="s">
        <v>360</v>
      </c>
      <c r="J140" s="89" t="s">
        <v>1654</v>
      </c>
      <c r="K140" s="87" t="s">
        <v>75</v>
      </c>
      <c r="L140" s="87" t="s">
        <v>75</v>
      </c>
      <c r="M140" s="89" t="s">
        <v>1654</v>
      </c>
      <c r="N140" s="85" t="s">
        <v>1655</v>
      </c>
      <c r="O140" s="85" t="s">
        <v>1660</v>
      </c>
      <c r="P140" s="85" t="s">
        <v>1655</v>
      </c>
      <c r="Q140" s="85" t="s">
        <v>1655</v>
      </c>
      <c r="R140" s="85" t="s">
        <v>1655</v>
      </c>
      <c r="S140" s="89" t="s">
        <v>1654</v>
      </c>
      <c r="T140" s="87" t="s">
        <v>1661</v>
      </c>
    </row>
    <row r="141" spans="1:20">
      <c r="A141" s="85">
        <v>7</v>
      </c>
      <c r="B141" s="86" t="s">
        <v>1651</v>
      </c>
      <c r="C141" s="87" t="s">
        <v>1696</v>
      </c>
      <c r="D141" s="87" t="s">
        <v>98</v>
      </c>
      <c r="E141" s="88" t="s">
        <v>98</v>
      </c>
      <c r="F141" s="85" t="s">
        <v>1653</v>
      </c>
      <c r="G141" s="85" t="s">
        <v>1653</v>
      </c>
      <c r="H141" s="87" t="s">
        <v>360</v>
      </c>
      <c r="I141" s="87" t="s">
        <v>90</v>
      </c>
      <c r="J141" s="90" t="s">
        <v>1658</v>
      </c>
      <c r="K141" s="87" t="s">
        <v>75</v>
      </c>
      <c r="L141" s="87" t="s">
        <v>75</v>
      </c>
      <c r="M141" s="89" t="s">
        <v>1654</v>
      </c>
      <c r="N141" s="85" t="s">
        <v>1655</v>
      </c>
      <c r="O141" s="85" t="s">
        <v>1660</v>
      </c>
      <c r="P141" s="85" t="s">
        <v>1655</v>
      </c>
      <c r="Q141" s="85" t="s">
        <v>1655</v>
      </c>
      <c r="R141" s="85" t="s">
        <v>1655</v>
      </c>
      <c r="S141" s="89" t="s">
        <v>1654</v>
      </c>
      <c r="T141" s="91" t="s">
        <v>1697</v>
      </c>
    </row>
    <row r="142" spans="1:20">
      <c r="A142" s="85">
        <v>8</v>
      </c>
      <c r="B142" s="86" t="s">
        <v>1651</v>
      </c>
      <c r="C142" s="87" t="s">
        <v>1696</v>
      </c>
      <c r="D142" s="87" t="s">
        <v>366</v>
      </c>
      <c r="E142" s="88" t="s">
        <v>366</v>
      </c>
      <c r="F142" s="85" t="s">
        <v>1653</v>
      </c>
      <c r="G142" s="85" t="s">
        <v>1653</v>
      </c>
      <c r="H142" s="87" t="s">
        <v>360</v>
      </c>
      <c r="I142" s="87" t="s">
        <v>360</v>
      </c>
      <c r="J142" s="89" t="s">
        <v>1654</v>
      </c>
      <c r="K142" s="87" t="s">
        <v>75</v>
      </c>
      <c r="L142" s="87" t="s">
        <v>18</v>
      </c>
      <c r="M142" s="89" t="s">
        <v>1671</v>
      </c>
      <c r="N142" s="85" t="s">
        <v>1655</v>
      </c>
      <c r="O142" s="85" t="s">
        <v>1660</v>
      </c>
      <c r="P142" s="85" t="s">
        <v>1655</v>
      </c>
      <c r="Q142" s="85" t="s">
        <v>1655</v>
      </c>
      <c r="R142" s="85" t="s">
        <v>1655</v>
      </c>
      <c r="S142" s="89" t="s">
        <v>1654</v>
      </c>
      <c r="T142" s="87" t="s">
        <v>1661</v>
      </c>
    </row>
    <row r="143" spans="1:20">
      <c r="A143" s="85">
        <v>9</v>
      </c>
      <c r="B143" s="92" t="s">
        <v>1663</v>
      </c>
      <c r="C143" s="87" t="s">
        <v>366</v>
      </c>
      <c r="D143" s="87" t="s">
        <v>18</v>
      </c>
      <c r="E143" s="88" t="s">
        <v>366</v>
      </c>
      <c r="F143" s="85" t="s">
        <v>1653</v>
      </c>
      <c r="G143" s="85" t="s">
        <v>1653</v>
      </c>
      <c r="H143" s="87" t="s">
        <v>360</v>
      </c>
      <c r="I143" s="87" t="s">
        <v>360</v>
      </c>
      <c r="J143" s="89" t="s">
        <v>1654</v>
      </c>
      <c r="K143" s="87" t="s">
        <v>18</v>
      </c>
      <c r="L143" s="87" t="s">
        <v>18</v>
      </c>
      <c r="M143" s="89" t="s">
        <v>1671</v>
      </c>
      <c r="N143" s="85" t="s">
        <v>1655</v>
      </c>
      <c r="O143" s="85" t="s">
        <v>1660</v>
      </c>
      <c r="P143" s="85" t="s">
        <v>1655</v>
      </c>
      <c r="Q143" s="85" t="s">
        <v>1655</v>
      </c>
      <c r="R143" s="85" t="s">
        <v>1655</v>
      </c>
      <c r="S143" s="89" t="s">
        <v>1654</v>
      </c>
      <c r="T143" s="87" t="s">
        <v>1685</v>
      </c>
    </row>
    <row r="144" spans="1:20">
      <c r="A144" s="85">
        <v>10</v>
      </c>
      <c r="B144" s="86" t="s">
        <v>1651</v>
      </c>
      <c r="C144" s="87" t="s">
        <v>367</v>
      </c>
      <c r="D144" s="87" t="s">
        <v>367</v>
      </c>
      <c r="E144" s="88" t="s">
        <v>367</v>
      </c>
      <c r="F144" s="85" t="s">
        <v>1653</v>
      </c>
      <c r="G144" s="85" t="s">
        <v>1653</v>
      </c>
      <c r="H144" s="87" t="s">
        <v>360</v>
      </c>
      <c r="I144" s="87" t="s">
        <v>360</v>
      </c>
      <c r="J144" s="89" t="s">
        <v>1654</v>
      </c>
      <c r="K144" s="87" t="s">
        <v>75</v>
      </c>
      <c r="L144" s="87" t="s">
        <v>75</v>
      </c>
      <c r="M144" s="89" t="s">
        <v>1654</v>
      </c>
      <c r="N144" s="85" t="s">
        <v>1655</v>
      </c>
      <c r="O144" s="85" t="s">
        <v>1660</v>
      </c>
      <c r="P144" s="85" t="s">
        <v>1655</v>
      </c>
      <c r="Q144" s="85" t="s">
        <v>1655</v>
      </c>
      <c r="R144" s="85" t="s">
        <v>1655</v>
      </c>
      <c r="S144" s="89" t="s">
        <v>1654</v>
      </c>
      <c r="T144" s="87" t="s">
        <v>1661</v>
      </c>
    </row>
    <row r="145" spans="1:20">
      <c r="A145" s="85">
        <v>11</v>
      </c>
      <c r="B145" s="86" t="s">
        <v>1651</v>
      </c>
      <c r="C145" s="87" t="s">
        <v>368</v>
      </c>
      <c r="D145" s="87" t="s">
        <v>368</v>
      </c>
      <c r="E145" s="88" t="s">
        <v>368</v>
      </c>
      <c r="F145" s="85" t="s">
        <v>1653</v>
      </c>
      <c r="G145" s="85" t="s">
        <v>1653</v>
      </c>
      <c r="H145" s="87" t="s">
        <v>360</v>
      </c>
      <c r="I145" s="87" t="s">
        <v>360</v>
      </c>
      <c r="J145" s="89" t="s">
        <v>1654</v>
      </c>
      <c r="K145" s="87" t="s">
        <v>196</v>
      </c>
      <c r="L145" s="87" t="s">
        <v>196</v>
      </c>
      <c r="M145" s="89" t="s">
        <v>1654</v>
      </c>
      <c r="N145" s="85" t="s">
        <v>1655</v>
      </c>
      <c r="O145" s="85" t="s">
        <v>1660</v>
      </c>
      <c r="P145" s="85" t="s">
        <v>1655</v>
      </c>
      <c r="Q145" s="85" t="s">
        <v>1655</v>
      </c>
      <c r="R145" s="85" t="s">
        <v>1655</v>
      </c>
      <c r="S145" s="89" t="s">
        <v>1654</v>
      </c>
      <c r="T145" s="87" t="s">
        <v>1661</v>
      </c>
    </row>
    <row r="146" spans="1:20">
      <c r="A146" s="85">
        <v>12</v>
      </c>
      <c r="B146" s="86" t="s">
        <v>1651</v>
      </c>
      <c r="C146" s="87" t="s">
        <v>18</v>
      </c>
      <c r="D146" s="87" t="s">
        <v>369</v>
      </c>
      <c r="E146" s="88" t="s">
        <v>369</v>
      </c>
      <c r="F146" s="85" t="s">
        <v>1653</v>
      </c>
      <c r="G146" s="85" t="s">
        <v>1653</v>
      </c>
      <c r="H146" s="87" t="s">
        <v>360</v>
      </c>
      <c r="I146" s="87" t="s">
        <v>1698</v>
      </c>
      <c r="J146" s="89" t="s">
        <v>1654</v>
      </c>
      <c r="K146" s="87" t="s">
        <v>75</v>
      </c>
      <c r="L146" s="87" t="s">
        <v>75</v>
      </c>
      <c r="M146" s="89" t="s">
        <v>1654</v>
      </c>
      <c r="N146" s="85" t="s">
        <v>1655</v>
      </c>
      <c r="O146" s="85" t="s">
        <v>1655</v>
      </c>
      <c r="P146" s="85" t="s">
        <v>1655</v>
      </c>
      <c r="Q146" s="85" t="s">
        <v>1683</v>
      </c>
      <c r="R146" s="85" t="s">
        <v>1655</v>
      </c>
      <c r="S146" s="90" t="s">
        <v>1658</v>
      </c>
      <c r="T146" s="91" t="s">
        <v>1684</v>
      </c>
    </row>
    <row r="147" spans="1:20">
      <c r="A147" s="85">
        <v>13</v>
      </c>
      <c r="B147" s="86" t="s">
        <v>1651</v>
      </c>
      <c r="C147" s="87" t="s">
        <v>18</v>
      </c>
      <c r="D147" s="87" t="s">
        <v>370</v>
      </c>
      <c r="E147" s="88" t="s">
        <v>370</v>
      </c>
      <c r="F147" s="85" t="s">
        <v>1652</v>
      </c>
      <c r="G147" s="85" t="s">
        <v>1653</v>
      </c>
      <c r="H147" s="87" t="s">
        <v>360</v>
      </c>
      <c r="I147" s="87" t="s">
        <v>360</v>
      </c>
      <c r="J147" s="89" t="s">
        <v>1654</v>
      </c>
      <c r="K147" s="87" t="s">
        <v>75</v>
      </c>
      <c r="L147" s="87" t="s">
        <v>75</v>
      </c>
      <c r="M147" s="89" t="s">
        <v>1654</v>
      </c>
      <c r="N147" s="85" t="s">
        <v>1655</v>
      </c>
      <c r="O147" s="85" t="s">
        <v>1655</v>
      </c>
      <c r="P147" s="85" t="s">
        <v>1655</v>
      </c>
      <c r="Q147" s="85" t="s">
        <v>1660</v>
      </c>
      <c r="R147" s="85" t="s">
        <v>1655</v>
      </c>
      <c r="S147" s="89" t="s">
        <v>1654</v>
      </c>
      <c r="T147" s="87" t="s">
        <v>1661</v>
      </c>
    </row>
    <row r="148" spans="1:20">
      <c r="A148" s="85">
        <v>14</v>
      </c>
      <c r="B148" s="86" t="s">
        <v>1651</v>
      </c>
      <c r="C148" s="87" t="s">
        <v>18</v>
      </c>
      <c r="D148" s="87" t="s">
        <v>371</v>
      </c>
      <c r="E148" s="88" t="s">
        <v>371</v>
      </c>
      <c r="F148" s="85" t="s">
        <v>1652</v>
      </c>
      <c r="G148" s="85" t="s">
        <v>1653</v>
      </c>
      <c r="H148" s="87" t="s">
        <v>360</v>
      </c>
      <c r="I148" s="87" t="s">
        <v>360</v>
      </c>
      <c r="J148" s="89" t="s">
        <v>1654</v>
      </c>
      <c r="K148" s="87" t="s">
        <v>75</v>
      </c>
      <c r="L148" s="87" t="s">
        <v>75</v>
      </c>
      <c r="M148" s="89" t="s">
        <v>1654</v>
      </c>
      <c r="N148" s="85" t="s">
        <v>1655</v>
      </c>
      <c r="O148" s="85" t="s">
        <v>1655</v>
      </c>
      <c r="P148" s="85" t="s">
        <v>1655</v>
      </c>
      <c r="Q148" s="85" t="s">
        <v>1660</v>
      </c>
      <c r="R148" s="85" t="s">
        <v>1655</v>
      </c>
      <c r="S148" s="89" t="s">
        <v>1654</v>
      </c>
      <c r="T148" s="87" t="s">
        <v>1661</v>
      </c>
    </row>
    <row r="149" spans="1:20">
      <c r="A149" s="85">
        <v>15</v>
      </c>
      <c r="B149" s="86" t="s">
        <v>1651</v>
      </c>
      <c r="C149" s="87" t="s">
        <v>18</v>
      </c>
      <c r="D149" s="87" t="s">
        <v>372</v>
      </c>
      <c r="E149" s="88" t="s">
        <v>372</v>
      </c>
      <c r="F149" s="85" t="s">
        <v>1652</v>
      </c>
      <c r="G149" s="85" t="s">
        <v>1653</v>
      </c>
      <c r="H149" s="87" t="s">
        <v>360</v>
      </c>
      <c r="I149" s="87" t="s">
        <v>360</v>
      </c>
      <c r="J149" s="89" t="s">
        <v>1654</v>
      </c>
      <c r="K149" s="87" t="s">
        <v>75</v>
      </c>
      <c r="L149" s="87" t="s">
        <v>75</v>
      </c>
      <c r="M149" s="89" t="s">
        <v>1654</v>
      </c>
      <c r="N149" s="85" t="s">
        <v>1655</v>
      </c>
      <c r="O149" s="85" t="s">
        <v>1655</v>
      </c>
      <c r="P149" s="85" t="s">
        <v>1655</v>
      </c>
      <c r="Q149" s="85" t="s">
        <v>1660</v>
      </c>
      <c r="R149" s="85" t="s">
        <v>1655</v>
      </c>
      <c r="S149" s="89" t="s">
        <v>1654</v>
      </c>
      <c r="T149" s="87" t="s">
        <v>1661</v>
      </c>
    </row>
    <row r="150" spans="1:20">
      <c r="A150" s="85">
        <v>16</v>
      </c>
      <c r="B150" s="92" t="s">
        <v>1663</v>
      </c>
      <c r="C150" s="87" t="s">
        <v>690</v>
      </c>
      <c r="D150" s="87" t="s">
        <v>18</v>
      </c>
      <c r="E150" s="88" t="s">
        <v>690</v>
      </c>
      <c r="F150" s="85" t="s">
        <v>1653</v>
      </c>
      <c r="G150" s="85" t="s">
        <v>1653</v>
      </c>
      <c r="H150" s="87" t="s">
        <v>360</v>
      </c>
      <c r="I150" s="87" t="s">
        <v>360</v>
      </c>
      <c r="J150" s="89" t="s">
        <v>1654</v>
      </c>
      <c r="K150" s="87" t="s">
        <v>18</v>
      </c>
      <c r="L150" s="87" t="s">
        <v>18</v>
      </c>
      <c r="M150" s="89" t="s">
        <v>1671</v>
      </c>
      <c r="N150" s="85" t="s">
        <v>1660</v>
      </c>
      <c r="O150" s="85" t="s">
        <v>1655</v>
      </c>
      <c r="P150" s="85" t="s">
        <v>1655</v>
      </c>
      <c r="Q150" s="85" t="s">
        <v>1655</v>
      </c>
      <c r="R150" s="85" t="s">
        <v>1655</v>
      </c>
      <c r="S150" s="89" t="s">
        <v>1654</v>
      </c>
      <c r="T150" s="87" t="s">
        <v>1685</v>
      </c>
    </row>
    <row r="151" spans="1:20">
      <c r="A151" s="85">
        <v>17</v>
      </c>
      <c r="B151" s="86" t="s">
        <v>1651</v>
      </c>
      <c r="C151" s="87" t="s">
        <v>373</v>
      </c>
      <c r="D151" s="87" t="s">
        <v>373</v>
      </c>
      <c r="E151" s="88" t="s">
        <v>373</v>
      </c>
      <c r="F151" s="85" t="s">
        <v>1653</v>
      </c>
      <c r="G151" s="85" t="s">
        <v>1653</v>
      </c>
      <c r="H151" s="87" t="s">
        <v>360</v>
      </c>
      <c r="I151" s="87" t="s">
        <v>360</v>
      </c>
      <c r="J151" s="89" t="s">
        <v>1654</v>
      </c>
      <c r="K151" s="87" t="s">
        <v>75</v>
      </c>
      <c r="L151" s="87" t="s">
        <v>75</v>
      </c>
      <c r="M151" s="89" t="s">
        <v>1654</v>
      </c>
      <c r="N151" s="85" t="s">
        <v>1660</v>
      </c>
      <c r="O151" s="85" t="s">
        <v>1655</v>
      </c>
      <c r="P151" s="85" t="s">
        <v>1655</v>
      </c>
      <c r="Q151" s="85" t="s">
        <v>1655</v>
      </c>
      <c r="R151" s="85" t="s">
        <v>1655</v>
      </c>
      <c r="S151" s="89" t="s">
        <v>1654</v>
      </c>
      <c r="T151" s="87" t="s">
        <v>1661</v>
      </c>
    </row>
    <row r="152" spans="1:20">
      <c r="A152" s="85">
        <v>18</v>
      </c>
      <c r="B152" s="86" t="s">
        <v>1651</v>
      </c>
      <c r="C152" s="87" t="s">
        <v>374</v>
      </c>
      <c r="D152" s="87" t="s">
        <v>374</v>
      </c>
      <c r="E152" s="88" t="s">
        <v>374</v>
      </c>
      <c r="F152" s="85" t="s">
        <v>1653</v>
      </c>
      <c r="G152" s="85" t="s">
        <v>1653</v>
      </c>
      <c r="H152" s="87" t="s">
        <v>360</v>
      </c>
      <c r="I152" s="87" t="s">
        <v>360</v>
      </c>
      <c r="J152" s="89" t="s">
        <v>1654</v>
      </c>
      <c r="K152" s="87" t="s">
        <v>75</v>
      </c>
      <c r="L152" s="87" t="s">
        <v>75</v>
      </c>
      <c r="M152" s="89" t="s">
        <v>1654</v>
      </c>
      <c r="N152" s="85" t="s">
        <v>1660</v>
      </c>
      <c r="O152" s="85" t="s">
        <v>1655</v>
      </c>
      <c r="P152" s="85" t="s">
        <v>1655</v>
      </c>
      <c r="Q152" s="85" t="s">
        <v>1655</v>
      </c>
      <c r="R152" s="85" t="s">
        <v>1655</v>
      </c>
      <c r="S152" s="89" t="s">
        <v>1654</v>
      </c>
      <c r="T152" s="87" t="s">
        <v>1661</v>
      </c>
    </row>
    <row r="153" spans="1:20">
      <c r="A153" s="85">
        <v>19</v>
      </c>
      <c r="B153" s="86" t="s">
        <v>1651</v>
      </c>
      <c r="C153" s="87" t="s">
        <v>375</v>
      </c>
      <c r="D153" s="87" t="s">
        <v>375</v>
      </c>
      <c r="E153" s="88" t="s">
        <v>375</v>
      </c>
      <c r="F153" s="85" t="s">
        <v>1653</v>
      </c>
      <c r="G153" s="85" t="s">
        <v>1653</v>
      </c>
      <c r="H153" s="87" t="s">
        <v>360</v>
      </c>
      <c r="I153" s="87" t="s">
        <v>360</v>
      </c>
      <c r="J153" s="89" t="s">
        <v>1654</v>
      </c>
      <c r="K153" s="87" t="s">
        <v>75</v>
      </c>
      <c r="L153" s="87" t="s">
        <v>75</v>
      </c>
      <c r="M153" s="89" t="s">
        <v>1654</v>
      </c>
      <c r="N153" s="85" t="s">
        <v>1660</v>
      </c>
      <c r="O153" s="85" t="s">
        <v>1655</v>
      </c>
      <c r="P153" s="85" t="s">
        <v>1655</v>
      </c>
      <c r="Q153" s="85" t="s">
        <v>1655</v>
      </c>
      <c r="R153" s="85" t="s">
        <v>1655</v>
      </c>
      <c r="S153" s="89" t="s">
        <v>1654</v>
      </c>
      <c r="T153" s="87" t="s">
        <v>1661</v>
      </c>
    </row>
    <row r="154" spans="1:20">
      <c r="A154" s="85">
        <v>20</v>
      </c>
      <c r="B154" s="86" t="s">
        <v>1651</v>
      </c>
      <c r="C154" s="87" t="s">
        <v>376</v>
      </c>
      <c r="D154" s="87" t="s">
        <v>376</v>
      </c>
      <c r="E154" s="88" t="s">
        <v>376</v>
      </c>
      <c r="F154" s="85" t="s">
        <v>1652</v>
      </c>
      <c r="G154" s="85" t="s">
        <v>1653</v>
      </c>
      <c r="H154" s="87" t="s">
        <v>360</v>
      </c>
      <c r="I154" s="87" t="s">
        <v>360</v>
      </c>
      <c r="J154" s="89" t="s">
        <v>1654</v>
      </c>
      <c r="K154" s="87" t="s">
        <v>75</v>
      </c>
      <c r="L154" s="87" t="s">
        <v>75</v>
      </c>
      <c r="M154" s="89" t="s">
        <v>1654</v>
      </c>
      <c r="N154" s="85" t="s">
        <v>1660</v>
      </c>
      <c r="O154" s="85" t="s">
        <v>1655</v>
      </c>
      <c r="P154" s="85" t="s">
        <v>1655</v>
      </c>
      <c r="Q154" s="85" t="s">
        <v>1655</v>
      </c>
      <c r="R154" s="85" t="s">
        <v>1655</v>
      </c>
      <c r="S154" s="89" t="s">
        <v>1654</v>
      </c>
      <c r="T154" s="87" t="s">
        <v>1661</v>
      </c>
    </row>
    <row r="155" spans="1:20">
      <c r="A155" s="85">
        <v>21</v>
      </c>
      <c r="B155" s="93" t="s">
        <v>1669</v>
      </c>
      <c r="C155" s="87" t="s">
        <v>791</v>
      </c>
      <c r="D155" s="87" t="s">
        <v>377</v>
      </c>
      <c r="E155" s="88" t="s">
        <v>18</v>
      </c>
      <c r="F155" s="85" t="s">
        <v>1652</v>
      </c>
      <c r="G155" s="85" t="s">
        <v>1652</v>
      </c>
      <c r="H155" s="87" t="s">
        <v>360</v>
      </c>
      <c r="I155" s="87" t="s">
        <v>18</v>
      </c>
      <c r="J155" s="89" t="s">
        <v>1671</v>
      </c>
      <c r="K155" s="87" t="s">
        <v>75</v>
      </c>
      <c r="L155" s="87" t="s">
        <v>18</v>
      </c>
      <c r="M155" s="89" t="s">
        <v>1671</v>
      </c>
      <c r="N155" s="85" t="s">
        <v>1657</v>
      </c>
      <c r="O155" s="85" t="s">
        <v>1665</v>
      </c>
      <c r="P155" s="85" t="s">
        <v>1655</v>
      </c>
      <c r="Q155" s="85" t="s">
        <v>1655</v>
      </c>
      <c r="R155" s="85" t="s">
        <v>1655</v>
      </c>
      <c r="S155" s="89" t="s">
        <v>1671</v>
      </c>
      <c r="T155" s="87" t="s">
        <v>1699</v>
      </c>
    </row>
    <row r="156" spans="1:20">
      <c r="A156" s="85">
        <v>22</v>
      </c>
      <c r="B156" s="86" t="s">
        <v>1651</v>
      </c>
      <c r="C156" s="87" t="s">
        <v>792</v>
      </c>
      <c r="D156" s="87" t="s">
        <v>378</v>
      </c>
      <c r="E156" s="88" t="s">
        <v>378</v>
      </c>
      <c r="F156" s="85" t="s">
        <v>1653</v>
      </c>
      <c r="G156" s="85" t="s">
        <v>1653</v>
      </c>
      <c r="H156" s="87" t="s">
        <v>360</v>
      </c>
      <c r="I156" s="87" t="s">
        <v>360</v>
      </c>
      <c r="J156" s="89" t="s">
        <v>1654</v>
      </c>
      <c r="K156" s="87" t="s">
        <v>75</v>
      </c>
      <c r="L156" s="87" t="s">
        <v>75</v>
      </c>
      <c r="M156" s="89" t="s">
        <v>1654</v>
      </c>
      <c r="N156" s="85" t="s">
        <v>1660</v>
      </c>
      <c r="O156" s="85" t="s">
        <v>1662</v>
      </c>
      <c r="P156" s="85" t="s">
        <v>1655</v>
      </c>
      <c r="Q156" s="85" t="s">
        <v>1655</v>
      </c>
      <c r="R156" s="85" t="s">
        <v>1655</v>
      </c>
      <c r="S156" s="89" t="s">
        <v>1654</v>
      </c>
      <c r="T156" s="87" t="s">
        <v>1661</v>
      </c>
    </row>
    <row r="157" spans="1:20">
      <c r="A157" s="85">
        <v>23</v>
      </c>
      <c r="B157" s="86" t="s">
        <v>1651</v>
      </c>
      <c r="C157" s="87" t="s">
        <v>355</v>
      </c>
      <c r="D157" s="87" t="s">
        <v>379</v>
      </c>
      <c r="E157" s="88" t="s">
        <v>379</v>
      </c>
      <c r="F157" s="85" t="s">
        <v>1653</v>
      </c>
      <c r="G157" s="85" t="s">
        <v>1653</v>
      </c>
      <c r="H157" s="87" t="s">
        <v>360</v>
      </c>
      <c r="I157" s="87" t="s">
        <v>360</v>
      </c>
      <c r="J157" s="89" t="s">
        <v>1654</v>
      </c>
      <c r="K157" s="87" t="s">
        <v>75</v>
      </c>
      <c r="L157" s="87" t="s">
        <v>75</v>
      </c>
      <c r="M157" s="89" t="s">
        <v>1654</v>
      </c>
      <c r="N157" s="85" t="s">
        <v>1660</v>
      </c>
      <c r="O157" s="85" t="s">
        <v>1662</v>
      </c>
      <c r="P157" s="85" t="s">
        <v>1655</v>
      </c>
      <c r="Q157" s="85" t="s">
        <v>1655</v>
      </c>
      <c r="R157" s="85" t="s">
        <v>1655</v>
      </c>
      <c r="S157" s="89" t="s">
        <v>1654</v>
      </c>
      <c r="T157" s="87" t="s">
        <v>1661</v>
      </c>
    </row>
    <row r="158" spans="1:20">
      <c r="A158" s="85">
        <v>24</v>
      </c>
      <c r="B158" s="92" t="s">
        <v>1663</v>
      </c>
      <c r="C158" s="87" t="s">
        <v>858</v>
      </c>
      <c r="D158" s="87" t="s">
        <v>18</v>
      </c>
      <c r="E158" s="88" t="s">
        <v>858</v>
      </c>
      <c r="F158" s="85" t="s">
        <v>1653</v>
      </c>
      <c r="G158" s="85" t="s">
        <v>1653</v>
      </c>
      <c r="H158" s="87" t="s">
        <v>360</v>
      </c>
      <c r="I158" s="87" t="s">
        <v>1307</v>
      </c>
      <c r="J158" s="90" t="s">
        <v>1658</v>
      </c>
      <c r="K158" s="87" t="s">
        <v>18</v>
      </c>
      <c r="L158" s="87" t="s">
        <v>18</v>
      </c>
      <c r="M158" s="89" t="s">
        <v>1671</v>
      </c>
      <c r="N158" s="85" t="s">
        <v>1660</v>
      </c>
      <c r="O158" s="85" t="s">
        <v>1660</v>
      </c>
      <c r="P158" s="85" t="s">
        <v>1655</v>
      </c>
      <c r="Q158" s="85" t="s">
        <v>1655</v>
      </c>
      <c r="R158" s="85" t="s">
        <v>1660</v>
      </c>
      <c r="S158" s="89" t="s">
        <v>1654</v>
      </c>
      <c r="T158" s="91" t="s">
        <v>1700</v>
      </c>
    </row>
    <row r="159" spans="1:20">
      <c r="A159" s="85">
        <v>25</v>
      </c>
      <c r="B159" s="92" t="s">
        <v>1663</v>
      </c>
      <c r="C159" s="87" t="s">
        <v>862</v>
      </c>
      <c r="D159" s="87" t="s">
        <v>18</v>
      </c>
      <c r="E159" s="88" t="s">
        <v>862</v>
      </c>
      <c r="F159" s="85" t="s">
        <v>1653</v>
      </c>
      <c r="G159" s="85" t="s">
        <v>1653</v>
      </c>
      <c r="H159" s="87" t="s">
        <v>360</v>
      </c>
      <c r="I159" s="87" t="s">
        <v>1307</v>
      </c>
      <c r="J159" s="90" t="s">
        <v>1658</v>
      </c>
      <c r="K159" s="87" t="s">
        <v>18</v>
      </c>
      <c r="L159" s="87" t="s">
        <v>18</v>
      </c>
      <c r="M159" s="89" t="s">
        <v>1671</v>
      </c>
      <c r="N159" s="85" t="s">
        <v>1660</v>
      </c>
      <c r="O159" s="85" t="s">
        <v>1660</v>
      </c>
      <c r="P159" s="85" t="s">
        <v>1655</v>
      </c>
      <c r="Q159" s="85" t="s">
        <v>1655</v>
      </c>
      <c r="R159" s="85" t="s">
        <v>1660</v>
      </c>
      <c r="S159" s="89" t="s">
        <v>1654</v>
      </c>
      <c r="T159" s="91" t="s">
        <v>1700</v>
      </c>
    </row>
    <row r="160" spans="1:20">
      <c r="A160" s="85">
        <v>26</v>
      </c>
      <c r="B160" s="92" t="s">
        <v>1663</v>
      </c>
      <c r="C160" s="87" t="s">
        <v>864</v>
      </c>
      <c r="D160" s="87" t="s">
        <v>18</v>
      </c>
      <c r="E160" s="88" t="s">
        <v>864</v>
      </c>
      <c r="F160" s="85" t="s">
        <v>1653</v>
      </c>
      <c r="G160" s="85" t="s">
        <v>1653</v>
      </c>
      <c r="H160" s="87" t="s">
        <v>360</v>
      </c>
      <c r="I160" s="87" t="s">
        <v>1307</v>
      </c>
      <c r="J160" s="90" t="s">
        <v>1658</v>
      </c>
      <c r="K160" s="87" t="s">
        <v>18</v>
      </c>
      <c r="L160" s="87" t="s">
        <v>18</v>
      </c>
      <c r="M160" s="89" t="s">
        <v>1671</v>
      </c>
      <c r="N160" s="85" t="s">
        <v>1662</v>
      </c>
      <c r="O160" s="85" t="s">
        <v>1662</v>
      </c>
      <c r="P160" s="85" t="s">
        <v>1655</v>
      </c>
      <c r="Q160" s="85" t="s">
        <v>1655</v>
      </c>
      <c r="R160" s="85" t="s">
        <v>1655</v>
      </c>
      <c r="S160" s="89" t="s">
        <v>1654</v>
      </c>
      <c r="T160" s="91" t="s">
        <v>1700</v>
      </c>
    </row>
    <row r="161" spans="1:20">
      <c r="A161" s="85">
        <v>27</v>
      </c>
      <c r="B161" s="92" t="s">
        <v>1663</v>
      </c>
      <c r="C161" s="87" t="s">
        <v>904</v>
      </c>
      <c r="D161" s="87" t="s">
        <v>18</v>
      </c>
      <c r="E161" s="88" t="s">
        <v>904</v>
      </c>
      <c r="F161" s="85" t="s">
        <v>1653</v>
      </c>
      <c r="G161" s="85" t="s">
        <v>1653</v>
      </c>
      <c r="H161" s="87" t="s">
        <v>360</v>
      </c>
      <c r="I161" s="87" t="s">
        <v>1307</v>
      </c>
      <c r="J161" s="90" t="s">
        <v>1658</v>
      </c>
      <c r="K161" s="87" t="s">
        <v>18</v>
      </c>
      <c r="L161" s="87" t="s">
        <v>18</v>
      </c>
      <c r="M161" s="89" t="s">
        <v>1671</v>
      </c>
      <c r="N161" s="85" t="s">
        <v>1662</v>
      </c>
      <c r="O161" s="85" t="s">
        <v>1662</v>
      </c>
      <c r="P161" s="85" t="s">
        <v>1655</v>
      </c>
      <c r="Q161" s="85" t="s">
        <v>1655</v>
      </c>
      <c r="R161" s="85" t="s">
        <v>1655</v>
      </c>
      <c r="S161" s="89" t="s">
        <v>1654</v>
      </c>
      <c r="T161" s="91" t="s">
        <v>1700</v>
      </c>
    </row>
    <row r="162" spans="1:20">
      <c r="A162" s="85">
        <v>28</v>
      </c>
      <c r="B162" s="92" t="s">
        <v>1663</v>
      </c>
      <c r="C162" s="87" t="s">
        <v>906</v>
      </c>
      <c r="D162" s="87" t="s">
        <v>18</v>
      </c>
      <c r="E162" s="88" t="s">
        <v>906</v>
      </c>
      <c r="F162" s="85" t="s">
        <v>1653</v>
      </c>
      <c r="G162" s="85" t="s">
        <v>1653</v>
      </c>
      <c r="H162" s="87" t="s">
        <v>360</v>
      </c>
      <c r="I162" s="87" t="s">
        <v>1307</v>
      </c>
      <c r="J162" s="90" t="s">
        <v>1658</v>
      </c>
      <c r="K162" s="87" t="s">
        <v>18</v>
      </c>
      <c r="L162" s="87" t="s">
        <v>18</v>
      </c>
      <c r="M162" s="89" t="s">
        <v>1671</v>
      </c>
      <c r="N162" s="85" t="s">
        <v>1662</v>
      </c>
      <c r="O162" s="85" t="s">
        <v>1662</v>
      </c>
      <c r="P162" s="85" t="s">
        <v>1655</v>
      </c>
      <c r="Q162" s="85" t="s">
        <v>1655</v>
      </c>
      <c r="R162" s="85" t="s">
        <v>1655</v>
      </c>
      <c r="S162" s="89" t="s">
        <v>1654</v>
      </c>
      <c r="T162" s="91" t="s">
        <v>1700</v>
      </c>
    </row>
    <row r="163" spans="1:20">
      <c r="A163" s="85">
        <v>29</v>
      </c>
      <c r="B163" s="92" t="s">
        <v>1663</v>
      </c>
      <c r="C163" s="87" t="s">
        <v>912</v>
      </c>
      <c r="D163" s="87" t="s">
        <v>18</v>
      </c>
      <c r="E163" s="88" t="s">
        <v>912</v>
      </c>
      <c r="F163" s="85" t="s">
        <v>1653</v>
      </c>
      <c r="G163" s="85" t="s">
        <v>1653</v>
      </c>
      <c r="H163" s="87" t="s">
        <v>360</v>
      </c>
      <c r="I163" s="87" t="s">
        <v>1307</v>
      </c>
      <c r="J163" s="90" t="s">
        <v>1658</v>
      </c>
      <c r="K163" s="87" t="s">
        <v>18</v>
      </c>
      <c r="L163" s="87" t="s">
        <v>18</v>
      </c>
      <c r="M163" s="89" t="s">
        <v>1671</v>
      </c>
      <c r="N163" s="85" t="s">
        <v>1662</v>
      </c>
      <c r="O163" s="85" t="s">
        <v>1662</v>
      </c>
      <c r="P163" s="85" t="s">
        <v>1655</v>
      </c>
      <c r="Q163" s="85" t="s">
        <v>1655</v>
      </c>
      <c r="R163" s="85" t="s">
        <v>1655</v>
      </c>
      <c r="S163" s="89" t="s">
        <v>1654</v>
      </c>
      <c r="T163" s="91" t="s">
        <v>1700</v>
      </c>
    </row>
    <row r="164" spans="1:20">
      <c r="A164" s="85">
        <v>30</v>
      </c>
      <c r="B164" s="92" t="s">
        <v>1663</v>
      </c>
      <c r="C164" s="87" t="s">
        <v>914</v>
      </c>
      <c r="D164" s="87" t="s">
        <v>18</v>
      </c>
      <c r="E164" s="88" t="s">
        <v>914</v>
      </c>
      <c r="F164" s="85" t="s">
        <v>1653</v>
      </c>
      <c r="G164" s="85" t="s">
        <v>1653</v>
      </c>
      <c r="H164" s="87" t="s">
        <v>360</v>
      </c>
      <c r="I164" s="87" t="s">
        <v>1307</v>
      </c>
      <c r="J164" s="90" t="s">
        <v>1658</v>
      </c>
      <c r="K164" s="87" t="s">
        <v>18</v>
      </c>
      <c r="L164" s="87" t="s">
        <v>18</v>
      </c>
      <c r="M164" s="89" t="s">
        <v>1671</v>
      </c>
      <c r="N164" s="85" t="s">
        <v>1662</v>
      </c>
      <c r="O164" s="85" t="s">
        <v>1662</v>
      </c>
      <c r="P164" s="85" t="s">
        <v>1655</v>
      </c>
      <c r="Q164" s="85" t="s">
        <v>1655</v>
      </c>
      <c r="R164" s="85" t="s">
        <v>1655</v>
      </c>
      <c r="S164" s="89" t="s">
        <v>1654</v>
      </c>
      <c r="T164" s="91" t="s">
        <v>1700</v>
      </c>
    </row>
    <row r="165" spans="1:20">
      <c r="A165" s="85">
        <v>31</v>
      </c>
      <c r="B165" s="86" t="s">
        <v>1651</v>
      </c>
      <c r="C165" s="87" t="s">
        <v>380</v>
      </c>
      <c r="D165" s="87" t="s">
        <v>380</v>
      </c>
      <c r="E165" s="88" t="s">
        <v>380</v>
      </c>
      <c r="F165" s="85" t="s">
        <v>1653</v>
      </c>
      <c r="G165" s="85" t="s">
        <v>1653</v>
      </c>
      <c r="H165" s="87" t="s">
        <v>360</v>
      </c>
      <c r="I165" s="87" t="s">
        <v>360</v>
      </c>
      <c r="J165" s="89" t="s">
        <v>1654</v>
      </c>
      <c r="K165" s="87" t="s">
        <v>75</v>
      </c>
      <c r="L165" s="87" t="s">
        <v>75</v>
      </c>
      <c r="M165" s="89" t="s">
        <v>1654</v>
      </c>
      <c r="N165" s="85" t="s">
        <v>1660</v>
      </c>
      <c r="O165" s="85" t="s">
        <v>1662</v>
      </c>
      <c r="P165" s="85" t="s">
        <v>1655</v>
      </c>
      <c r="Q165" s="85" t="s">
        <v>1655</v>
      </c>
      <c r="R165" s="85" t="s">
        <v>1655</v>
      </c>
      <c r="S165" s="89" t="s">
        <v>1654</v>
      </c>
      <c r="T165" s="87" t="s">
        <v>1661</v>
      </c>
    </row>
    <row r="166" spans="1:20">
      <c r="A166" s="85">
        <v>1</v>
      </c>
      <c r="B166" s="86" t="s">
        <v>1651</v>
      </c>
      <c r="C166" s="87" t="s">
        <v>190</v>
      </c>
      <c r="D166" s="87" t="s">
        <v>190</v>
      </c>
      <c r="E166" s="88" t="s">
        <v>190</v>
      </c>
      <c r="F166" s="85" t="s">
        <v>1653</v>
      </c>
      <c r="G166" s="85" t="s">
        <v>1653</v>
      </c>
      <c r="H166" s="87" t="s">
        <v>191</v>
      </c>
      <c r="I166" s="87" t="s">
        <v>191</v>
      </c>
      <c r="J166" s="89" t="s">
        <v>1654</v>
      </c>
      <c r="K166" s="87" t="s">
        <v>193</v>
      </c>
      <c r="L166" s="87" t="s">
        <v>193</v>
      </c>
      <c r="M166" s="89" t="s">
        <v>1654</v>
      </c>
      <c r="N166" s="85" t="s">
        <v>1655</v>
      </c>
      <c r="O166" s="85" t="s">
        <v>1655</v>
      </c>
      <c r="P166" s="85" t="s">
        <v>1655</v>
      </c>
      <c r="Q166" s="85" t="s">
        <v>1660</v>
      </c>
      <c r="R166" s="85" t="s">
        <v>1655</v>
      </c>
      <c r="S166" s="89" t="s">
        <v>1654</v>
      </c>
      <c r="T166" s="87" t="s">
        <v>1661</v>
      </c>
    </row>
    <row r="167" spans="1:20">
      <c r="A167" s="85">
        <v>2</v>
      </c>
      <c r="B167" s="86" t="s">
        <v>1651</v>
      </c>
      <c r="C167" s="87" t="s">
        <v>194</v>
      </c>
      <c r="D167" s="87" t="s">
        <v>194</v>
      </c>
      <c r="E167" s="88" t="s">
        <v>194</v>
      </c>
      <c r="F167" s="85" t="s">
        <v>1653</v>
      </c>
      <c r="G167" s="85" t="s">
        <v>1653</v>
      </c>
      <c r="H167" s="87" t="s">
        <v>191</v>
      </c>
      <c r="I167" s="87" t="s">
        <v>191</v>
      </c>
      <c r="J167" s="89" t="s">
        <v>1654</v>
      </c>
      <c r="K167" s="87" t="s">
        <v>193</v>
      </c>
      <c r="L167" s="87" t="s">
        <v>193</v>
      </c>
      <c r="M167" s="89" t="s">
        <v>1654</v>
      </c>
      <c r="N167" s="85" t="s">
        <v>1655</v>
      </c>
      <c r="O167" s="85" t="s">
        <v>1655</v>
      </c>
      <c r="P167" s="85" t="s">
        <v>1655</v>
      </c>
      <c r="Q167" s="85" t="s">
        <v>1660</v>
      </c>
      <c r="R167" s="85" t="s">
        <v>1655</v>
      </c>
      <c r="S167" s="89" t="s">
        <v>1654</v>
      </c>
      <c r="T167" s="87" t="s">
        <v>1661</v>
      </c>
    </row>
    <row r="168" spans="1:20">
      <c r="A168" s="85">
        <v>3</v>
      </c>
      <c r="B168" s="86" t="s">
        <v>1651</v>
      </c>
      <c r="C168" s="87" t="s">
        <v>1701</v>
      </c>
      <c r="D168" s="87" t="s">
        <v>195</v>
      </c>
      <c r="E168" s="88" t="s">
        <v>195</v>
      </c>
      <c r="F168" s="85" t="s">
        <v>1653</v>
      </c>
      <c r="G168" s="85" t="s">
        <v>1653</v>
      </c>
      <c r="H168" s="87" t="s">
        <v>191</v>
      </c>
      <c r="I168" s="87" t="s">
        <v>191</v>
      </c>
      <c r="J168" s="89" t="s">
        <v>1654</v>
      </c>
      <c r="K168" s="87" t="s">
        <v>196</v>
      </c>
      <c r="L168" s="87" t="s">
        <v>196</v>
      </c>
      <c r="M168" s="89" t="s">
        <v>1654</v>
      </c>
      <c r="N168" s="85" t="s">
        <v>1655</v>
      </c>
      <c r="O168" s="85" t="s">
        <v>1655</v>
      </c>
      <c r="P168" s="85" t="s">
        <v>1655</v>
      </c>
      <c r="Q168" s="85" t="s">
        <v>1660</v>
      </c>
      <c r="R168" s="85" t="s">
        <v>1655</v>
      </c>
      <c r="S168" s="89" t="s">
        <v>1654</v>
      </c>
      <c r="T168" s="87" t="s">
        <v>1661</v>
      </c>
    </row>
    <row r="169" spans="1:20">
      <c r="A169" s="85">
        <v>4</v>
      </c>
      <c r="B169" s="92" t="s">
        <v>1663</v>
      </c>
      <c r="C169" s="87" t="s">
        <v>195</v>
      </c>
      <c r="D169" s="87" t="s">
        <v>18</v>
      </c>
      <c r="E169" s="88" t="s">
        <v>195</v>
      </c>
      <c r="F169" s="85" t="s">
        <v>1653</v>
      </c>
      <c r="G169" s="85" t="s">
        <v>1653</v>
      </c>
      <c r="H169" s="87" t="s">
        <v>191</v>
      </c>
      <c r="I169" s="87" t="s">
        <v>191</v>
      </c>
      <c r="J169" s="89" t="s">
        <v>1654</v>
      </c>
      <c r="K169" s="87" t="s">
        <v>18</v>
      </c>
      <c r="L169" s="87" t="s">
        <v>196</v>
      </c>
      <c r="M169" s="89" t="s">
        <v>1671</v>
      </c>
      <c r="N169" s="85" t="s">
        <v>1655</v>
      </c>
      <c r="O169" s="85" t="s">
        <v>1655</v>
      </c>
      <c r="P169" s="85" t="s">
        <v>1655</v>
      </c>
      <c r="Q169" s="85" t="s">
        <v>1660</v>
      </c>
      <c r="R169" s="85" t="s">
        <v>1655</v>
      </c>
      <c r="S169" s="89" t="s">
        <v>1654</v>
      </c>
      <c r="T169" s="87" t="s">
        <v>1685</v>
      </c>
    </row>
    <row r="170" spans="1:20">
      <c r="A170" s="85">
        <v>5</v>
      </c>
      <c r="B170" s="86" t="s">
        <v>1651</v>
      </c>
      <c r="C170" s="87" t="s">
        <v>556</v>
      </c>
      <c r="D170" s="87" t="s">
        <v>198</v>
      </c>
      <c r="E170" s="88" t="s">
        <v>198</v>
      </c>
      <c r="F170" s="85" t="s">
        <v>1653</v>
      </c>
      <c r="G170" s="85" t="s">
        <v>1653</v>
      </c>
      <c r="H170" s="87" t="s">
        <v>191</v>
      </c>
      <c r="I170" s="87" t="s">
        <v>191</v>
      </c>
      <c r="J170" s="89" t="s">
        <v>1654</v>
      </c>
      <c r="K170" s="87" t="s">
        <v>200</v>
      </c>
      <c r="L170" s="87" t="s">
        <v>200</v>
      </c>
      <c r="M170" s="89" t="s">
        <v>1654</v>
      </c>
      <c r="N170" s="85" t="s">
        <v>1655</v>
      </c>
      <c r="O170" s="85" t="s">
        <v>1655</v>
      </c>
      <c r="P170" s="85" t="s">
        <v>1655</v>
      </c>
      <c r="Q170" s="85" t="s">
        <v>1660</v>
      </c>
      <c r="R170" s="85" t="s">
        <v>1655</v>
      </c>
      <c r="S170" s="89" t="s">
        <v>1654</v>
      </c>
      <c r="T170" s="87" t="s">
        <v>1661</v>
      </c>
    </row>
    <row r="171" spans="1:20">
      <c r="A171" s="85">
        <v>6</v>
      </c>
      <c r="B171" s="86" t="s">
        <v>1651</v>
      </c>
      <c r="C171" s="87" t="s">
        <v>587</v>
      </c>
      <c r="D171" s="87" t="s">
        <v>201</v>
      </c>
      <c r="E171" s="88" t="s">
        <v>201</v>
      </c>
      <c r="F171" s="85" t="s">
        <v>1653</v>
      </c>
      <c r="G171" s="85" t="s">
        <v>1653</v>
      </c>
      <c r="H171" s="87" t="s">
        <v>191</v>
      </c>
      <c r="I171" s="87" t="s">
        <v>191</v>
      </c>
      <c r="J171" s="89" t="s">
        <v>1654</v>
      </c>
      <c r="K171" s="87" t="s">
        <v>203</v>
      </c>
      <c r="L171" s="87" t="s">
        <v>203</v>
      </c>
      <c r="M171" s="89" t="s">
        <v>1654</v>
      </c>
      <c r="N171" s="85" t="s">
        <v>1655</v>
      </c>
      <c r="O171" s="85" t="s">
        <v>1660</v>
      </c>
      <c r="P171" s="85" t="s">
        <v>1655</v>
      </c>
      <c r="Q171" s="85" t="s">
        <v>1655</v>
      </c>
      <c r="R171" s="85" t="s">
        <v>1655</v>
      </c>
      <c r="S171" s="89" t="s">
        <v>1654</v>
      </c>
      <c r="T171" s="87" t="s">
        <v>1661</v>
      </c>
    </row>
    <row r="172" spans="1:20">
      <c r="A172" s="85">
        <v>7</v>
      </c>
      <c r="B172" s="86" t="s">
        <v>1651</v>
      </c>
      <c r="C172" s="87" t="s">
        <v>204</v>
      </c>
      <c r="D172" s="87" t="s">
        <v>204</v>
      </c>
      <c r="E172" s="88" t="s">
        <v>204</v>
      </c>
      <c r="F172" s="85" t="s">
        <v>1653</v>
      </c>
      <c r="G172" s="85" t="s">
        <v>1653</v>
      </c>
      <c r="H172" s="87" t="s">
        <v>191</v>
      </c>
      <c r="I172" s="87" t="s">
        <v>191</v>
      </c>
      <c r="J172" s="89" t="s">
        <v>1654</v>
      </c>
      <c r="K172" s="87" t="s">
        <v>193</v>
      </c>
      <c r="L172" s="87" t="s">
        <v>193</v>
      </c>
      <c r="M172" s="89" t="s">
        <v>1654</v>
      </c>
      <c r="N172" s="85" t="s">
        <v>1655</v>
      </c>
      <c r="O172" s="85" t="s">
        <v>1655</v>
      </c>
      <c r="P172" s="85" t="s">
        <v>1655</v>
      </c>
      <c r="Q172" s="85" t="s">
        <v>1660</v>
      </c>
      <c r="R172" s="85" t="s">
        <v>1655</v>
      </c>
      <c r="S172" s="89" t="s">
        <v>1654</v>
      </c>
      <c r="T172" s="87" t="s">
        <v>1661</v>
      </c>
    </row>
    <row r="173" spans="1:20">
      <c r="A173" s="85">
        <v>8</v>
      </c>
      <c r="B173" s="86" t="s">
        <v>1651</v>
      </c>
      <c r="C173" s="87" t="s">
        <v>658</v>
      </c>
      <c r="D173" s="87" t="s">
        <v>205</v>
      </c>
      <c r="E173" s="88" t="s">
        <v>205</v>
      </c>
      <c r="F173" s="85" t="s">
        <v>1653</v>
      </c>
      <c r="G173" s="85" t="s">
        <v>1653</v>
      </c>
      <c r="H173" s="87" t="s">
        <v>191</v>
      </c>
      <c r="I173" s="87" t="s">
        <v>191</v>
      </c>
      <c r="J173" s="89" t="s">
        <v>1654</v>
      </c>
      <c r="K173" s="87" t="s">
        <v>200</v>
      </c>
      <c r="L173" s="87" t="s">
        <v>200</v>
      </c>
      <c r="M173" s="89" t="s">
        <v>1654</v>
      </c>
      <c r="N173" s="85" t="s">
        <v>1655</v>
      </c>
      <c r="O173" s="85" t="s">
        <v>1655</v>
      </c>
      <c r="P173" s="85" t="s">
        <v>1655</v>
      </c>
      <c r="Q173" s="85" t="s">
        <v>1660</v>
      </c>
      <c r="R173" s="85" t="s">
        <v>1655</v>
      </c>
      <c r="S173" s="89" t="s">
        <v>1654</v>
      </c>
      <c r="T173" s="87" t="s">
        <v>1661</v>
      </c>
    </row>
    <row r="174" spans="1:20">
      <c r="A174" s="85">
        <v>9</v>
      </c>
      <c r="B174" s="86" t="s">
        <v>1651</v>
      </c>
      <c r="C174" s="87" t="s">
        <v>206</v>
      </c>
      <c r="D174" s="87" t="s">
        <v>206</v>
      </c>
      <c r="E174" s="88" t="s">
        <v>206</v>
      </c>
      <c r="F174" s="85" t="s">
        <v>1653</v>
      </c>
      <c r="G174" s="85" t="s">
        <v>1653</v>
      </c>
      <c r="H174" s="87" t="s">
        <v>191</v>
      </c>
      <c r="I174" s="87" t="s">
        <v>191</v>
      </c>
      <c r="J174" s="89" t="s">
        <v>1654</v>
      </c>
      <c r="K174" s="87" t="s">
        <v>17</v>
      </c>
      <c r="L174" s="87" t="s">
        <v>17</v>
      </c>
      <c r="M174" s="89" t="s">
        <v>1654</v>
      </c>
      <c r="N174" s="85" t="s">
        <v>1660</v>
      </c>
      <c r="O174" s="85" t="s">
        <v>1655</v>
      </c>
      <c r="P174" s="85" t="s">
        <v>1655</v>
      </c>
      <c r="Q174" s="85" t="s">
        <v>1655</v>
      </c>
      <c r="R174" s="85" t="s">
        <v>1655</v>
      </c>
      <c r="S174" s="89" t="s">
        <v>1654</v>
      </c>
      <c r="T174" s="87" t="s">
        <v>1661</v>
      </c>
    </row>
    <row r="175" spans="1:20">
      <c r="A175" s="85">
        <v>10</v>
      </c>
      <c r="B175" s="86" t="s">
        <v>1651</v>
      </c>
      <c r="C175" s="87" t="s">
        <v>207</v>
      </c>
      <c r="D175" s="87" t="s">
        <v>207</v>
      </c>
      <c r="E175" s="88" t="s">
        <v>207</v>
      </c>
      <c r="F175" s="85" t="s">
        <v>1653</v>
      </c>
      <c r="G175" s="85" t="s">
        <v>1653</v>
      </c>
      <c r="H175" s="87" t="s">
        <v>191</v>
      </c>
      <c r="I175" s="87" t="s">
        <v>191</v>
      </c>
      <c r="J175" s="89" t="s">
        <v>1654</v>
      </c>
      <c r="K175" s="87" t="s">
        <v>17</v>
      </c>
      <c r="L175" s="87" t="s">
        <v>17</v>
      </c>
      <c r="M175" s="89" t="s">
        <v>1654</v>
      </c>
      <c r="N175" s="85" t="s">
        <v>1660</v>
      </c>
      <c r="O175" s="85" t="s">
        <v>1655</v>
      </c>
      <c r="P175" s="85" t="s">
        <v>1655</v>
      </c>
      <c r="Q175" s="85" t="s">
        <v>1655</v>
      </c>
      <c r="R175" s="85" t="s">
        <v>1655</v>
      </c>
      <c r="S175" s="89" t="s">
        <v>1654</v>
      </c>
      <c r="T175" s="87" t="s">
        <v>1661</v>
      </c>
    </row>
    <row r="176" spans="1:20">
      <c r="A176" s="85">
        <v>11</v>
      </c>
      <c r="B176" s="86" t="s">
        <v>1651</v>
      </c>
      <c r="C176" s="87" t="s">
        <v>208</v>
      </c>
      <c r="D176" s="87" t="s">
        <v>208</v>
      </c>
      <c r="E176" s="88" t="s">
        <v>208</v>
      </c>
      <c r="F176" s="85" t="s">
        <v>1653</v>
      </c>
      <c r="G176" s="85" t="s">
        <v>1653</v>
      </c>
      <c r="H176" s="87" t="s">
        <v>191</v>
      </c>
      <c r="I176" s="87" t="s">
        <v>191</v>
      </c>
      <c r="J176" s="89" t="s">
        <v>1654</v>
      </c>
      <c r="K176" s="87" t="s">
        <v>22</v>
      </c>
      <c r="L176" s="87" t="s">
        <v>22</v>
      </c>
      <c r="M176" s="89" t="s">
        <v>1654</v>
      </c>
      <c r="N176" s="85" t="s">
        <v>1660</v>
      </c>
      <c r="O176" s="85" t="s">
        <v>1655</v>
      </c>
      <c r="P176" s="85" t="s">
        <v>1655</v>
      </c>
      <c r="Q176" s="85" t="s">
        <v>1655</v>
      </c>
      <c r="R176" s="85" t="s">
        <v>1655</v>
      </c>
      <c r="S176" s="89" t="s">
        <v>1654</v>
      </c>
      <c r="T176" s="87" t="s">
        <v>1661</v>
      </c>
    </row>
    <row r="177" spans="1:20">
      <c r="A177" s="85">
        <v>12</v>
      </c>
      <c r="B177" s="86" t="s">
        <v>1651</v>
      </c>
      <c r="C177" s="87" t="s">
        <v>209</v>
      </c>
      <c r="D177" s="87" t="s">
        <v>209</v>
      </c>
      <c r="E177" s="88" t="s">
        <v>209</v>
      </c>
      <c r="F177" s="85" t="s">
        <v>1653</v>
      </c>
      <c r="G177" s="85" t="s">
        <v>1653</v>
      </c>
      <c r="H177" s="87" t="s">
        <v>191</v>
      </c>
      <c r="I177" s="87" t="s">
        <v>191</v>
      </c>
      <c r="J177" s="89" t="s">
        <v>1654</v>
      </c>
      <c r="K177" s="87" t="s">
        <v>22</v>
      </c>
      <c r="L177" s="87" t="s">
        <v>22</v>
      </c>
      <c r="M177" s="89" t="s">
        <v>1654</v>
      </c>
      <c r="N177" s="85" t="s">
        <v>1660</v>
      </c>
      <c r="O177" s="85" t="s">
        <v>1655</v>
      </c>
      <c r="P177" s="85" t="s">
        <v>1655</v>
      </c>
      <c r="Q177" s="85" t="s">
        <v>1655</v>
      </c>
      <c r="R177" s="85" t="s">
        <v>1655</v>
      </c>
      <c r="S177" s="89" t="s">
        <v>1654</v>
      </c>
      <c r="T177" s="87" t="s">
        <v>1661</v>
      </c>
    </row>
    <row r="178" spans="1:20">
      <c r="A178" s="85">
        <v>13</v>
      </c>
      <c r="B178" s="86" t="s">
        <v>1651</v>
      </c>
      <c r="C178" s="87" t="s">
        <v>210</v>
      </c>
      <c r="D178" s="87" t="s">
        <v>210</v>
      </c>
      <c r="E178" s="88" t="s">
        <v>210</v>
      </c>
      <c r="F178" s="85" t="s">
        <v>1653</v>
      </c>
      <c r="G178" s="85" t="s">
        <v>1653</v>
      </c>
      <c r="H178" s="87" t="s">
        <v>191</v>
      </c>
      <c r="I178" s="87" t="s">
        <v>191</v>
      </c>
      <c r="J178" s="89" t="s">
        <v>1654</v>
      </c>
      <c r="K178" s="87" t="s">
        <v>22</v>
      </c>
      <c r="L178" s="87" t="s">
        <v>22</v>
      </c>
      <c r="M178" s="89" t="s">
        <v>1654</v>
      </c>
      <c r="N178" s="85" t="s">
        <v>1660</v>
      </c>
      <c r="O178" s="85" t="s">
        <v>1655</v>
      </c>
      <c r="P178" s="85" t="s">
        <v>1655</v>
      </c>
      <c r="Q178" s="85" t="s">
        <v>1655</v>
      </c>
      <c r="R178" s="85" t="s">
        <v>1655</v>
      </c>
      <c r="S178" s="89" t="s">
        <v>1654</v>
      </c>
      <c r="T178" s="87" t="s">
        <v>1661</v>
      </c>
    </row>
    <row r="179" spans="1:20">
      <c r="A179" s="85">
        <v>14</v>
      </c>
      <c r="B179" s="86" t="s">
        <v>1651</v>
      </c>
      <c r="C179" s="87" t="s">
        <v>789</v>
      </c>
      <c r="D179" s="87" t="s">
        <v>211</v>
      </c>
      <c r="E179" s="88" t="s">
        <v>211</v>
      </c>
      <c r="F179" s="85" t="s">
        <v>1653</v>
      </c>
      <c r="G179" s="85" t="s">
        <v>1653</v>
      </c>
      <c r="H179" s="87" t="s">
        <v>191</v>
      </c>
      <c r="I179" s="87" t="s">
        <v>191</v>
      </c>
      <c r="J179" s="89" t="s">
        <v>1654</v>
      </c>
      <c r="K179" s="87" t="s">
        <v>203</v>
      </c>
      <c r="L179" s="87" t="s">
        <v>203</v>
      </c>
      <c r="M179" s="89" t="s">
        <v>1654</v>
      </c>
      <c r="N179" s="85" t="s">
        <v>1660</v>
      </c>
      <c r="O179" s="85" t="s">
        <v>1662</v>
      </c>
      <c r="P179" s="85" t="s">
        <v>1655</v>
      </c>
      <c r="Q179" s="85" t="s">
        <v>1655</v>
      </c>
      <c r="R179" s="85" t="s">
        <v>1655</v>
      </c>
      <c r="S179" s="89" t="s">
        <v>1654</v>
      </c>
      <c r="T179" s="87" t="s">
        <v>1661</v>
      </c>
    </row>
    <row r="180" spans="1:20">
      <c r="A180" s="85">
        <v>15</v>
      </c>
      <c r="B180" s="92" t="s">
        <v>1663</v>
      </c>
      <c r="C180" s="87" t="s">
        <v>856</v>
      </c>
      <c r="D180" s="87" t="s">
        <v>18</v>
      </c>
      <c r="E180" s="88" t="s">
        <v>856</v>
      </c>
      <c r="F180" s="85" t="s">
        <v>1653</v>
      </c>
      <c r="G180" s="85" t="s">
        <v>1653</v>
      </c>
      <c r="H180" s="87" t="s">
        <v>191</v>
      </c>
      <c r="I180" s="87" t="s">
        <v>1307</v>
      </c>
      <c r="J180" s="90" t="s">
        <v>1658</v>
      </c>
      <c r="K180" s="87" t="s">
        <v>18</v>
      </c>
      <c r="L180" s="87" t="s">
        <v>18</v>
      </c>
      <c r="M180" s="89" t="s">
        <v>1671</v>
      </c>
      <c r="N180" s="85" t="s">
        <v>1660</v>
      </c>
      <c r="O180" s="85" t="s">
        <v>1660</v>
      </c>
      <c r="P180" s="85" t="s">
        <v>1655</v>
      </c>
      <c r="Q180" s="85" t="s">
        <v>1655</v>
      </c>
      <c r="R180" s="85" t="s">
        <v>1660</v>
      </c>
      <c r="S180" s="89" t="s">
        <v>1654</v>
      </c>
      <c r="T180" s="91" t="s">
        <v>1702</v>
      </c>
    </row>
    <row r="181" spans="1:20">
      <c r="A181" s="85">
        <v>16</v>
      </c>
      <c r="B181" s="92" t="s">
        <v>1663</v>
      </c>
      <c r="C181" s="87" t="s">
        <v>1377</v>
      </c>
      <c r="D181" s="87" t="s">
        <v>18</v>
      </c>
      <c r="E181" s="88" t="s">
        <v>1377</v>
      </c>
      <c r="F181" s="85" t="s">
        <v>1652</v>
      </c>
      <c r="G181" s="85" t="s">
        <v>1653</v>
      </c>
      <c r="H181" s="87" t="s">
        <v>191</v>
      </c>
      <c r="I181" s="87" t="s">
        <v>1307</v>
      </c>
      <c r="J181" s="90" t="s">
        <v>1658</v>
      </c>
      <c r="K181" s="87" t="s">
        <v>18</v>
      </c>
      <c r="L181" s="87" t="s">
        <v>18</v>
      </c>
      <c r="M181" s="89" t="s">
        <v>1671</v>
      </c>
      <c r="N181" s="85" t="s">
        <v>1662</v>
      </c>
      <c r="O181" s="85" t="s">
        <v>1662</v>
      </c>
      <c r="P181" s="85" t="s">
        <v>1655</v>
      </c>
      <c r="Q181" s="85" t="s">
        <v>1655</v>
      </c>
      <c r="R181" s="85" t="s">
        <v>1655</v>
      </c>
      <c r="S181" s="89" t="s">
        <v>1654</v>
      </c>
      <c r="T181" s="91" t="s">
        <v>1702</v>
      </c>
    </row>
    <row r="182" spans="1:20">
      <c r="A182" s="85">
        <v>17</v>
      </c>
      <c r="B182" s="92" t="s">
        <v>1663</v>
      </c>
      <c r="C182" s="87" t="s">
        <v>1378</v>
      </c>
      <c r="D182" s="87" t="s">
        <v>18</v>
      </c>
      <c r="E182" s="88" t="s">
        <v>1378</v>
      </c>
      <c r="F182" s="85" t="s">
        <v>1652</v>
      </c>
      <c r="G182" s="85" t="s">
        <v>1653</v>
      </c>
      <c r="H182" s="87" t="s">
        <v>191</v>
      </c>
      <c r="I182" s="87" t="s">
        <v>1307</v>
      </c>
      <c r="J182" s="90" t="s">
        <v>1658</v>
      </c>
      <c r="K182" s="87" t="s">
        <v>18</v>
      </c>
      <c r="L182" s="87" t="s">
        <v>18</v>
      </c>
      <c r="M182" s="89" t="s">
        <v>1671</v>
      </c>
      <c r="N182" s="85" t="s">
        <v>1662</v>
      </c>
      <c r="O182" s="85" t="s">
        <v>1662</v>
      </c>
      <c r="P182" s="85" t="s">
        <v>1655</v>
      </c>
      <c r="Q182" s="85" t="s">
        <v>1655</v>
      </c>
      <c r="R182" s="85" t="s">
        <v>1655</v>
      </c>
      <c r="S182" s="89" t="s">
        <v>1654</v>
      </c>
      <c r="T182" s="91" t="s">
        <v>1702</v>
      </c>
    </row>
    <row r="183" spans="1:20">
      <c r="A183" s="85">
        <v>18</v>
      </c>
      <c r="B183" s="92" t="s">
        <v>1663</v>
      </c>
      <c r="C183" s="87" t="s">
        <v>1379</v>
      </c>
      <c r="D183" s="87" t="s">
        <v>18</v>
      </c>
      <c r="E183" s="88" t="s">
        <v>1379</v>
      </c>
      <c r="F183" s="85" t="s">
        <v>1652</v>
      </c>
      <c r="G183" s="85" t="s">
        <v>1653</v>
      </c>
      <c r="H183" s="87" t="s">
        <v>191</v>
      </c>
      <c r="I183" s="87" t="s">
        <v>1307</v>
      </c>
      <c r="J183" s="90" t="s">
        <v>1658</v>
      </c>
      <c r="K183" s="87" t="s">
        <v>18</v>
      </c>
      <c r="L183" s="87" t="s">
        <v>18</v>
      </c>
      <c r="M183" s="89" t="s">
        <v>1671</v>
      </c>
      <c r="N183" s="85" t="s">
        <v>1662</v>
      </c>
      <c r="O183" s="85" t="s">
        <v>1662</v>
      </c>
      <c r="P183" s="85" t="s">
        <v>1655</v>
      </c>
      <c r="Q183" s="85" t="s">
        <v>1655</v>
      </c>
      <c r="R183" s="85" t="s">
        <v>1655</v>
      </c>
      <c r="S183" s="89" t="s">
        <v>1654</v>
      </c>
      <c r="T183" s="91" t="s">
        <v>1702</v>
      </c>
    </row>
    <row r="184" spans="1:20">
      <c r="A184" s="85">
        <v>19</v>
      </c>
      <c r="B184" s="92" t="s">
        <v>1663</v>
      </c>
      <c r="C184" s="87" t="s">
        <v>1380</v>
      </c>
      <c r="D184" s="87" t="s">
        <v>18</v>
      </c>
      <c r="E184" s="88" t="s">
        <v>1380</v>
      </c>
      <c r="F184" s="85" t="s">
        <v>1652</v>
      </c>
      <c r="G184" s="85" t="s">
        <v>1653</v>
      </c>
      <c r="H184" s="87" t="s">
        <v>191</v>
      </c>
      <c r="I184" s="87" t="s">
        <v>1307</v>
      </c>
      <c r="J184" s="90" t="s">
        <v>1658</v>
      </c>
      <c r="K184" s="87" t="s">
        <v>18</v>
      </c>
      <c r="L184" s="87" t="s">
        <v>18</v>
      </c>
      <c r="M184" s="89" t="s">
        <v>1671</v>
      </c>
      <c r="N184" s="85" t="s">
        <v>1662</v>
      </c>
      <c r="O184" s="85" t="s">
        <v>1662</v>
      </c>
      <c r="P184" s="85" t="s">
        <v>1655</v>
      </c>
      <c r="Q184" s="85" t="s">
        <v>1655</v>
      </c>
      <c r="R184" s="85" t="s">
        <v>1655</v>
      </c>
      <c r="S184" s="89" t="s">
        <v>1654</v>
      </c>
      <c r="T184" s="91" t="s">
        <v>1702</v>
      </c>
    </row>
    <row r="185" spans="1:20">
      <c r="A185" s="85">
        <v>20</v>
      </c>
      <c r="B185" s="93" t="s">
        <v>1669</v>
      </c>
      <c r="C185" s="87" t="s">
        <v>1703</v>
      </c>
      <c r="D185" s="87" t="s">
        <v>18</v>
      </c>
      <c r="E185" s="88" t="s">
        <v>18</v>
      </c>
      <c r="F185" s="85" t="s">
        <v>1652</v>
      </c>
      <c r="G185" s="85" t="s">
        <v>1652</v>
      </c>
      <c r="H185" s="87" t="s">
        <v>191</v>
      </c>
      <c r="I185" s="87" t="s">
        <v>18</v>
      </c>
      <c r="J185" s="89" t="s">
        <v>1671</v>
      </c>
      <c r="K185" s="87" t="s">
        <v>18</v>
      </c>
      <c r="L185" s="87" t="s">
        <v>18</v>
      </c>
      <c r="M185" s="89" t="s">
        <v>1671</v>
      </c>
      <c r="N185" s="85" t="s">
        <v>1657</v>
      </c>
      <c r="O185" s="85" t="s">
        <v>1657</v>
      </c>
      <c r="P185" s="85" t="s">
        <v>1655</v>
      </c>
      <c r="Q185" s="85" t="s">
        <v>1655</v>
      </c>
      <c r="R185" s="85" t="s">
        <v>1657</v>
      </c>
      <c r="S185" s="89" t="s">
        <v>1671</v>
      </c>
      <c r="T185" s="87" t="s">
        <v>1704</v>
      </c>
    </row>
    <row r="186" spans="1:20">
      <c r="A186" s="85">
        <v>21</v>
      </c>
      <c r="B186" s="92" t="s">
        <v>1663</v>
      </c>
      <c r="C186" s="87" t="s">
        <v>898</v>
      </c>
      <c r="D186" s="87" t="s">
        <v>18</v>
      </c>
      <c r="E186" s="88" t="s">
        <v>898</v>
      </c>
      <c r="F186" s="85" t="s">
        <v>1653</v>
      </c>
      <c r="G186" s="85" t="s">
        <v>1653</v>
      </c>
      <c r="H186" s="87" t="s">
        <v>191</v>
      </c>
      <c r="I186" s="87" t="s">
        <v>1307</v>
      </c>
      <c r="J186" s="90" t="s">
        <v>1658</v>
      </c>
      <c r="K186" s="87" t="s">
        <v>18</v>
      </c>
      <c r="L186" s="87" t="s">
        <v>18</v>
      </c>
      <c r="M186" s="89" t="s">
        <v>1671</v>
      </c>
      <c r="N186" s="85" t="s">
        <v>1662</v>
      </c>
      <c r="O186" s="85" t="s">
        <v>1662</v>
      </c>
      <c r="P186" s="85" t="s">
        <v>1655</v>
      </c>
      <c r="Q186" s="85" t="s">
        <v>1655</v>
      </c>
      <c r="R186" s="85" t="s">
        <v>1655</v>
      </c>
      <c r="S186" s="89" t="s">
        <v>1654</v>
      </c>
      <c r="T186" s="91" t="s">
        <v>1702</v>
      </c>
    </row>
    <row r="187" spans="1:20">
      <c r="A187" s="85">
        <v>22</v>
      </c>
      <c r="B187" s="92" t="s">
        <v>1663</v>
      </c>
      <c r="C187" s="87" t="s">
        <v>900</v>
      </c>
      <c r="D187" s="87" t="s">
        <v>18</v>
      </c>
      <c r="E187" s="88" t="s">
        <v>900</v>
      </c>
      <c r="F187" s="85" t="s">
        <v>1653</v>
      </c>
      <c r="G187" s="85" t="s">
        <v>1653</v>
      </c>
      <c r="H187" s="87" t="s">
        <v>191</v>
      </c>
      <c r="I187" s="87" t="s">
        <v>1307</v>
      </c>
      <c r="J187" s="90" t="s">
        <v>1658</v>
      </c>
      <c r="K187" s="87" t="s">
        <v>18</v>
      </c>
      <c r="L187" s="87" t="s">
        <v>18</v>
      </c>
      <c r="M187" s="89" t="s">
        <v>1671</v>
      </c>
      <c r="N187" s="85" t="s">
        <v>1662</v>
      </c>
      <c r="O187" s="85" t="s">
        <v>1662</v>
      </c>
      <c r="P187" s="85" t="s">
        <v>1655</v>
      </c>
      <c r="Q187" s="85" t="s">
        <v>1655</v>
      </c>
      <c r="R187" s="85" t="s">
        <v>1655</v>
      </c>
      <c r="S187" s="89" t="s">
        <v>1654</v>
      </c>
      <c r="T187" s="91" t="s">
        <v>1702</v>
      </c>
    </row>
    <row r="188" spans="1:20">
      <c r="A188" s="85">
        <v>23</v>
      </c>
      <c r="B188" s="92" t="s">
        <v>1663</v>
      </c>
      <c r="C188" s="87" t="s">
        <v>902</v>
      </c>
      <c r="D188" s="87" t="s">
        <v>18</v>
      </c>
      <c r="E188" s="88" t="s">
        <v>902</v>
      </c>
      <c r="F188" s="85" t="s">
        <v>1653</v>
      </c>
      <c r="G188" s="85" t="s">
        <v>1653</v>
      </c>
      <c r="H188" s="87" t="s">
        <v>191</v>
      </c>
      <c r="I188" s="87" t="s">
        <v>1307</v>
      </c>
      <c r="J188" s="90" t="s">
        <v>1658</v>
      </c>
      <c r="K188" s="87" t="s">
        <v>18</v>
      </c>
      <c r="L188" s="87" t="s">
        <v>18</v>
      </c>
      <c r="M188" s="89" t="s">
        <v>1671</v>
      </c>
      <c r="N188" s="85" t="s">
        <v>1662</v>
      </c>
      <c r="O188" s="85" t="s">
        <v>1662</v>
      </c>
      <c r="P188" s="85" t="s">
        <v>1655</v>
      </c>
      <c r="Q188" s="85" t="s">
        <v>1655</v>
      </c>
      <c r="R188" s="85" t="s">
        <v>1655</v>
      </c>
      <c r="S188" s="89" t="s">
        <v>1654</v>
      </c>
      <c r="T188" s="91" t="s">
        <v>1702</v>
      </c>
    </row>
    <row r="189" spans="1:20">
      <c r="A189" s="85">
        <v>24</v>
      </c>
      <c r="B189" s="92" t="s">
        <v>1663</v>
      </c>
      <c r="C189" s="87" t="s">
        <v>215</v>
      </c>
      <c r="D189" s="87" t="s">
        <v>18</v>
      </c>
      <c r="E189" s="88" t="s">
        <v>215</v>
      </c>
      <c r="F189" s="85" t="s">
        <v>1652</v>
      </c>
      <c r="G189" s="85" t="s">
        <v>1653</v>
      </c>
      <c r="H189" s="87" t="s">
        <v>191</v>
      </c>
      <c r="I189" s="87" t="s">
        <v>191</v>
      </c>
      <c r="J189" s="89" t="s">
        <v>1654</v>
      </c>
      <c r="K189" s="87" t="s">
        <v>18</v>
      </c>
      <c r="L189" s="87" t="s">
        <v>1705</v>
      </c>
      <c r="M189" s="89" t="s">
        <v>1671</v>
      </c>
      <c r="N189" s="85" t="s">
        <v>1660</v>
      </c>
      <c r="O189" s="85" t="s">
        <v>1706</v>
      </c>
      <c r="P189" s="85" t="s">
        <v>1655</v>
      </c>
      <c r="Q189" s="85" t="s">
        <v>1655</v>
      </c>
      <c r="R189" s="85" t="s">
        <v>1655</v>
      </c>
      <c r="S189" s="90" t="s">
        <v>1658</v>
      </c>
      <c r="T189" s="91" t="s">
        <v>1707</v>
      </c>
    </row>
    <row r="190" spans="1:20">
      <c r="A190" s="85">
        <v>25</v>
      </c>
      <c r="B190" s="86" t="s">
        <v>1651</v>
      </c>
      <c r="C190" s="87" t="s">
        <v>212</v>
      </c>
      <c r="D190" s="87" t="s">
        <v>212</v>
      </c>
      <c r="E190" s="88" t="s">
        <v>212</v>
      </c>
      <c r="F190" s="85" t="s">
        <v>1653</v>
      </c>
      <c r="G190" s="85" t="s">
        <v>1653</v>
      </c>
      <c r="H190" s="87" t="s">
        <v>191</v>
      </c>
      <c r="I190" s="87" t="s">
        <v>191</v>
      </c>
      <c r="J190" s="89" t="s">
        <v>1654</v>
      </c>
      <c r="K190" s="87" t="s">
        <v>193</v>
      </c>
      <c r="L190" s="87" t="s">
        <v>193</v>
      </c>
      <c r="M190" s="89" t="s">
        <v>1654</v>
      </c>
      <c r="N190" s="85" t="s">
        <v>1660</v>
      </c>
      <c r="O190" s="85" t="s">
        <v>1662</v>
      </c>
      <c r="P190" s="85" t="s">
        <v>1655</v>
      </c>
      <c r="Q190" s="85" t="s">
        <v>1655</v>
      </c>
      <c r="R190" s="85" t="s">
        <v>1655</v>
      </c>
      <c r="S190" s="89" t="s">
        <v>1654</v>
      </c>
      <c r="T190" s="87" t="s">
        <v>1661</v>
      </c>
    </row>
    <row r="191" spans="1:20">
      <c r="A191" s="85">
        <v>26</v>
      </c>
      <c r="B191" s="86" t="s">
        <v>1651</v>
      </c>
      <c r="C191" s="87" t="s">
        <v>213</v>
      </c>
      <c r="D191" s="87" t="s">
        <v>213</v>
      </c>
      <c r="E191" s="88" t="s">
        <v>213</v>
      </c>
      <c r="F191" s="85" t="s">
        <v>1653</v>
      </c>
      <c r="G191" s="85" t="s">
        <v>1653</v>
      </c>
      <c r="H191" s="87" t="s">
        <v>191</v>
      </c>
      <c r="I191" s="87" t="s">
        <v>191</v>
      </c>
      <c r="J191" s="89" t="s">
        <v>1654</v>
      </c>
      <c r="K191" s="87" t="s">
        <v>193</v>
      </c>
      <c r="L191" s="87" t="s">
        <v>193</v>
      </c>
      <c r="M191" s="89" t="s">
        <v>1654</v>
      </c>
      <c r="N191" s="85" t="s">
        <v>1660</v>
      </c>
      <c r="O191" s="85" t="s">
        <v>1662</v>
      </c>
      <c r="P191" s="85" t="s">
        <v>1655</v>
      </c>
      <c r="Q191" s="85" t="s">
        <v>1655</v>
      </c>
      <c r="R191" s="85" t="s">
        <v>1655</v>
      </c>
      <c r="S191" s="89" t="s">
        <v>1654</v>
      </c>
      <c r="T191" s="87" t="s">
        <v>1661</v>
      </c>
    </row>
    <row r="192" spans="1:20">
      <c r="A192" s="85">
        <v>27</v>
      </c>
      <c r="B192" s="86" t="s">
        <v>1651</v>
      </c>
      <c r="C192" s="87" t="s">
        <v>214</v>
      </c>
      <c r="D192" s="87" t="s">
        <v>214</v>
      </c>
      <c r="E192" s="88" t="s">
        <v>214</v>
      </c>
      <c r="F192" s="85" t="s">
        <v>1653</v>
      </c>
      <c r="G192" s="85" t="s">
        <v>1653</v>
      </c>
      <c r="H192" s="87" t="s">
        <v>191</v>
      </c>
      <c r="I192" s="87" t="s">
        <v>191</v>
      </c>
      <c r="J192" s="89" t="s">
        <v>1654</v>
      </c>
      <c r="K192" s="87" t="s">
        <v>193</v>
      </c>
      <c r="L192" s="87" t="s">
        <v>193</v>
      </c>
      <c r="M192" s="89" t="s">
        <v>1654</v>
      </c>
      <c r="N192" s="85" t="s">
        <v>1660</v>
      </c>
      <c r="O192" s="85" t="s">
        <v>1662</v>
      </c>
      <c r="P192" s="85" t="s">
        <v>1655</v>
      </c>
      <c r="Q192" s="85" t="s">
        <v>1655</v>
      </c>
      <c r="R192" s="85" t="s">
        <v>1655</v>
      </c>
      <c r="S192" s="89" t="s">
        <v>1654</v>
      </c>
      <c r="T192" s="87" t="s">
        <v>1661</v>
      </c>
    </row>
    <row r="193" spans="1:20">
      <c r="A193" s="85">
        <v>28</v>
      </c>
      <c r="B193" s="92" t="s">
        <v>1663</v>
      </c>
      <c r="C193" s="87" t="s">
        <v>979</v>
      </c>
      <c r="D193" s="87" t="s">
        <v>18</v>
      </c>
      <c r="E193" s="88" t="s">
        <v>979</v>
      </c>
      <c r="F193" s="85" t="s">
        <v>1653</v>
      </c>
      <c r="G193" s="85" t="s">
        <v>1653</v>
      </c>
      <c r="H193" s="87" t="s">
        <v>191</v>
      </c>
      <c r="I193" s="87" t="s">
        <v>191</v>
      </c>
      <c r="J193" s="89" t="s">
        <v>1654</v>
      </c>
      <c r="K193" s="87" t="s">
        <v>18</v>
      </c>
      <c r="L193" s="87" t="s">
        <v>18</v>
      </c>
      <c r="M193" s="89" t="s">
        <v>1671</v>
      </c>
      <c r="N193" s="85" t="s">
        <v>1655</v>
      </c>
      <c r="O193" s="85" t="s">
        <v>1660</v>
      </c>
      <c r="P193" s="85" t="s">
        <v>1655</v>
      </c>
      <c r="Q193" s="85" t="s">
        <v>1655</v>
      </c>
      <c r="R193" s="85" t="s">
        <v>1655</v>
      </c>
      <c r="S193" s="89" t="s">
        <v>1654</v>
      </c>
      <c r="T193" s="87" t="s">
        <v>1685</v>
      </c>
    </row>
    <row r="194" spans="1:20">
      <c r="A194" s="85">
        <v>29</v>
      </c>
      <c r="B194" s="92" t="s">
        <v>1663</v>
      </c>
      <c r="C194" s="87" t="s">
        <v>982</v>
      </c>
      <c r="D194" s="87" t="s">
        <v>18</v>
      </c>
      <c r="E194" s="88" t="s">
        <v>982</v>
      </c>
      <c r="F194" s="85" t="s">
        <v>1653</v>
      </c>
      <c r="G194" s="85" t="s">
        <v>1653</v>
      </c>
      <c r="H194" s="87" t="s">
        <v>191</v>
      </c>
      <c r="I194" s="87" t="s">
        <v>191</v>
      </c>
      <c r="J194" s="89" t="s">
        <v>1654</v>
      </c>
      <c r="K194" s="87" t="s">
        <v>18</v>
      </c>
      <c r="L194" s="87" t="s">
        <v>18</v>
      </c>
      <c r="M194" s="89" t="s">
        <v>1671</v>
      </c>
      <c r="N194" s="85" t="s">
        <v>1655</v>
      </c>
      <c r="O194" s="85" t="s">
        <v>1660</v>
      </c>
      <c r="P194" s="85" t="s">
        <v>1655</v>
      </c>
      <c r="Q194" s="85" t="s">
        <v>1655</v>
      </c>
      <c r="R194" s="85" t="s">
        <v>1655</v>
      </c>
      <c r="S194" s="89" t="s">
        <v>1654</v>
      </c>
      <c r="T194" s="87" t="s">
        <v>1685</v>
      </c>
    </row>
    <row r="195" spans="1:20">
      <c r="A195" s="85">
        <v>30</v>
      </c>
      <c r="B195" s="92" t="s">
        <v>1663</v>
      </c>
      <c r="C195" s="87" t="s">
        <v>985</v>
      </c>
      <c r="D195" s="87" t="s">
        <v>18</v>
      </c>
      <c r="E195" s="88" t="s">
        <v>985</v>
      </c>
      <c r="F195" s="85" t="s">
        <v>1653</v>
      </c>
      <c r="G195" s="85" t="s">
        <v>1653</v>
      </c>
      <c r="H195" s="87" t="s">
        <v>191</v>
      </c>
      <c r="I195" s="87" t="s">
        <v>191</v>
      </c>
      <c r="J195" s="89" t="s">
        <v>1654</v>
      </c>
      <c r="K195" s="87" t="s">
        <v>18</v>
      </c>
      <c r="L195" s="87" t="s">
        <v>18</v>
      </c>
      <c r="M195" s="89" t="s">
        <v>1671</v>
      </c>
      <c r="N195" s="85" t="s">
        <v>1655</v>
      </c>
      <c r="O195" s="85" t="s">
        <v>1660</v>
      </c>
      <c r="P195" s="85" t="s">
        <v>1655</v>
      </c>
      <c r="Q195" s="85" t="s">
        <v>1655</v>
      </c>
      <c r="R195" s="85" t="s">
        <v>1655</v>
      </c>
      <c r="S195" s="89" t="s">
        <v>1654</v>
      </c>
      <c r="T195" s="87" t="s">
        <v>1685</v>
      </c>
    </row>
    <row r="196" spans="1:20">
      <c r="A196" s="85">
        <v>31</v>
      </c>
      <c r="B196" s="92" t="s">
        <v>1663</v>
      </c>
      <c r="C196" s="87" t="s">
        <v>988</v>
      </c>
      <c r="D196" s="87" t="s">
        <v>18</v>
      </c>
      <c r="E196" s="88" t="s">
        <v>988</v>
      </c>
      <c r="F196" s="85" t="s">
        <v>1653</v>
      </c>
      <c r="G196" s="85" t="s">
        <v>1653</v>
      </c>
      <c r="H196" s="87" t="s">
        <v>191</v>
      </c>
      <c r="I196" s="87" t="s">
        <v>191</v>
      </c>
      <c r="J196" s="89" t="s">
        <v>1654</v>
      </c>
      <c r="K196" s="87" t="s">
        <v>18</v>
      </c>
      <c r="L196" s="87" t="s">
        <v>18</v>
      </c>
      <c r="M196" s="89" t="s">
        <v>1671</v>
      </c>
      <c r="N196" s="85" t="s">
        <v>1655</v>
      </c>
      <c r="O196" s="85" t="s">
        <v>1660</v>
      </c>
      <c r="P196" s="85" t="s">
        <v>1655</v>
      </c>
      <c r="Q196" s="85" t="s">
        <v>1655</v>
      </c>
      <c r="R196" s="85" t="s">
        <v>1655</v>
      </c>
      <c r="S196" s="89" t="s">
        <v>1654</v>
      </c>
      <c r="T196" s="87" t="s">
        <v>1685</v>
      </c>
    </row>
    <row r="197" spans="1:20">
      <c r="A197" s="85">
        <v>32</v>
      </c>
      <c r="B197" s="92" t="s">
        <v>1663</v>
      </c>
      <c r="C197" s="87" t="s">
        <v>991</v>
      </c>
      <c r="D197" s="87" t="s">
        <v>18</v>
      </c>
      <c r="E197" s="88" t="s">
        <v>991</v>
      </c>
      <c r="F197" s="85" t="s">
        <v>1653</v>
      </c>
      <c r="G197" s="85" t="s">
        <v>1653</v>
      </c>
      <c r="H197" s="87" t="s">
        <v>191</v>
      </c>
      <c r="I197" s="87" t="s">
        <v>191</v>
      </c>
      <c r="J197" s="89" t="s">
        <v>1654</v>
      </c>
      <c r="K197" s="87" t="s">
        <v>18</v>
      </c>
      <c r="L197" s="87" t="s">
        <v>18</v>
      </c>
      <c r="M197" s="89" t="s">
        <v>1671</v>
      </c>
      <c r="N197" s="85" t="s">
        <v>1655</v>
      </c>
      <c r="O197" s="85" t="s">
        <v>1660</v>
      </c>
      <c r="P197" s="85" t="s">
        <v>1655</v>
      </c>
      <c r="Q197" s="85" t="s">
        <v>1655</v>
      </c>
      <c r="R197" s="85" t="s">
        <v>1655</v>
      </c>
      <c r="S197" s="89" t="s">
        <v>1654</v>
      </c>
      <c r="T197" s="87" t="s">
        <v>1685</v>
      </c>
    </row>
    <row r="198" spans="1:20">
      <c r="A198" s="85">
        <v>33</v>
      </c>
      <c r="B198" s="92" t="s">
        <v>1663</v>
      </c>
      <c r="C198" s="87" t="s">
        <v>994</v>
      </c>
      <c r="D198" s="87" t="s">
        <v>18</v>
      </c>
      <c r="E198" s="88" t="s">
        <v>994</v>
      </c>
      <c r="F198" s="85" t="s">
        <v>1653</v>
      </c>
      <c r="G198" s="85" t="s">
        <v>1653</v>
      </c>
      <c r="H198" s="87" t="s">
        <v>191</v>
      </c>
      <c r="I198" s="87" t="s">
        <v>191</v>
      </c>
      <c r="J198" s="89" t="s">
        <v>1654</v>
      </c>
      <c r="K198" s="87" t="s">
        <v>18</v>
      </c>
      <c r="L198" s="87" t="s">
        <v>18</v>
      </c>
      <c r="M198" s="89" t="s">
        <v>1671</v>
      </c>
      <c r="N198" s="85" t="s">
        <v>1655</v>
      </c>
      <c r="O198" s="85" t="s">
        <v>1660</v>
      </c>
      <c r="P198" s="85" t="s">
        <v>1655</v>
      </c>
      <c r="Q198" s="85" t="s">
        <v>1655</v>
      </c>
      <c r="R198" s="85" t="s">
        <v>1655</v>
      </c>
      <c r="S198" s="89" t="s">
        <v>1654</v>
      </c>
      <c r="T198" s="87" t="s">
        <v>1685</v>
      </c>
    </row>
    <row r="199" spans="1:20">
      <c r="A199" s="85">
        <v>34</v>
      </c>
      <c r="B199" s="92" t="s">
        <v>1663</v>
      </c>
      <c r="C199" s="87" t="s">
        <v>997</v>
      </c>
      <c r="D199" s="87" t="s">
        <v>18</v>
      </c>
      <c r="E199" s="88" t="s">
        <v>997</v>
      </c>
      <c r="F199" s="85" t="s">
        <v>1653</v>
      </c>
      <c r="G199" s="85" t="s">
        <v>1653</v>
      </c>
      <c r="H199" s="87" t="s">
        <v>191</v>
      </c>
      <c r="I199" s="87" t="s">
        <v>191</v>
      </c>
      <c r="J199" s="89" t="s">
        <v>1654</v>
      </c>
      <c r="K199" s="87" t="s">
        <v>18</v>
      </c>
      <c r="L199" s="87" t="s">
        <v>18</v>
      </c>
      <c r="M199" s="89" t="s">
        <v>1671</v>
      </c>
      <c r="N199" s="85" t="s">
        <v>1655</v>
      </c>
      <c r="O199" s="85" t="s">
        <v>1660</v>
      </c>
      <c r="P199" s="85" t="s">
        <v>1655</v>
      </c>
      <c r="Q199" s="85" t="s">
        <v>1655</v>
      </c>
      <c r="R199" s="85" t="s">
        <v>1655</v>
      </c>
      <c r="S199" s="89" t="s">
        <v>1654</v>
      </c>
      <c r="T199" s="87" t="s">
        <v>1685</v>
      </c>
    </row>
    <row r="200" spans="1:20">
      <c r="A200" s="85">
        <v>35</v>
      </c>
      <c r="B200" s="92" t="s">
        <v>1663</v>
      </c>
      <c r="C200" s="87" t="s">
        <v>1000</v>
      </c>
      <c r="D200" s="87" t="s">
        <v>18</v>
      </c>
      <c r="E200" s="88" t="s">
        <v>1000</v>
      </c>
      <c r="F200" s="85" t="s">
        <v>1653</v>
      </c>
      <c r="G200" s="85" t="s">
        <v>1653</v>
      </c>
      <c r="H200" s="87" t="s">
        <v>191</v>
      </c>
      <c r="I200" s="87" t="s">
        <v>191</v>
      </c>
      <c r="J200" s="89" t="s">
        <v>1654</v>
      </c>
      <c r="K200" s="87" t="s">
        <v>18</v>
      </c>
      <c r="L200" s="87" t="s">
        <v>18</v>
      </c>
      <c r="M200" s="89" t="s">
        <v>1671</v>
      </c>
      <c r="N200" s="85" t="s">
        <v>1655</v>
      </c>
      <c r="O200" s="85" t="s">
        <v>1660</v>
      </c>
      <c r="P200" s="85" t="s">
        <v>1655</v>
      </c>
      <c r="Q200" s="85" t="s">
        <v>1655</v>
      </c>
      <c r="R200" s="85" t="s">
        <v>1655</v>
      </c>
      <c r="S200" s="89" t="s">
        <v>1654</v>
      </c>
      <c r="T200" s="87" t="s">
        <v>1685</v>
      </c>
    </row>
    <row r="201" spans="1:20">
      <c r="A201" s="85">
        <v>36</v>
      </c>
      <c r="B201" s="92" t="s">
        <v>1663</v>
      </c>
      <c r="C201" s="87" t="s">
        <v>1003</v>
      </c>
      <c r="D201" s="87" t="s">
        <v>18</v>
      </c>
      <c r="E201" s="88" t="s">
        <v>1003</v>
      </c>
      <c r="F201" s="85" t="s">
        <v>1653</v>
      </c>
      <c r="G201" s="85" t="s">
        <v>1653</v>
      </c>
      <c r="H201" s="87" t="s">
        <v>191</v>
      </c>
      <c r="I201" s="87" t="s">
        <v>191</v>
      </c>
      <c r="J201" s="89" t="s">
        <v>1654</v>
      </c>
      <c r="K201" s="87" t="s">
        <v>18</v>
      </c>
      <c r="L201" s="87" t="s">
        <v>18</v>
      </c>
      <c r="M201" s="89" t="s">
        <v>1671</v>
      </c>
      <c r="N201" s="85" t="s">
        <v>1655</v>
      </c>
      <c r="O201" s="85" t="s">
        <v>1660</v>
      </c>
      <c r="P201" s="85" t="s">
        <v>1655</v>
      </c>
      <c r="Q201" s="85" t="s">
        <v>1655</v>
      </c>
      <c r="R201" s="85" t="s">
        <v>1655</v>
      </c>
      <c r="S201" s="89" t="s">
        <v>1654</v>
      </c>
      <c r="T201" s="87" t="s">
        <v>1685</v>
      </c>
    </row>
    <row r="202" spans="1:20">
      <c r="A202" s="85">
        <v>37</v>
      </c>
      <c r="B202" s="92" t="s">
        <v>1663</v>
      </c>
      <c r="C202" s="87" t="s">
        <v>1006</v>
      </c>
      <c r="D202" s="87" t="s">
        <v>18</v>
      </c>
      <c r="E202" s="88" t="s">
        <v>1006</v>
      </c>
      <c r="F202" s="85" t="s">
        <v>1653</v>
      </c>
      <c r="G202" s="85" t="s">
        <v>1653</v>
      </c>
      <c r="H202" s="87" t="s">
        <v>191</v>
      </c>
      <c r="I202" s="87" t="s">
        <v>191</v>
      </c>
      <c r="J202" s="89" t="s">
        <v>1654</v>
      </c>
      <c r="K202" s="87" t="s">
        <v>18</v>
      </c>
      <c r="L202" s="87" t="s">
        <v>18</v>
      </c>
      <c r="M202" s="89" t="s">
        <v>1671</v>
      </c>
      <c r="N202" s="85" t="s">
        <v>1655</v>
      </c>
      <c r="O202" s="85" t="s">
        <v>1660</v>
      </c>
      <c r="P202" s="85" t="s">
        <v>1655</v>
      </c>
      <c r="Q202" s="85" t="s">
        <v>1655</v>
      </c>
      <c r="R202" s="85" t="s">
        <v>1655</v>
      </c>
      <c r="S202" s="89" t="s">
        <v>1654</v>
      </c>
      <c r="T202" s="87" t="s">
        <v>1685</v>
      </c>
    </row>
    <row r="203" spans="1:20">
      <c r="A203" s="85">
        <v>38</v>
      </c>
      <c r="B203" s="92" t="s">
        <v>1663</v>
      </c>
      <c r="C203" s="87" t="s">
        <v>1009</v>
      </c>
      <c r="D203" s="87" t="s">
        <v>18</v>
      </c>
      <c r="E203" s="88" t="s">
        <v>1009</v>
      </c>
      <c r="F203" s="85" t="s">
        <v>1653</v>
      </c>
      <c r="G203" s="85" t="s">
        <v>1653</v>
      </c>
      <c r="H203" s="87" t="s">
        <v>191</v>
      </c>
      <c r="I203" s="87" t="s">
        <v>191</v>
      </c>
      <c r="J203" s="89" t="s">
        <v>1654</v>
      </c>
      <c r="K203" s="87" t="s">
        <v>18</v>
      </c>
      <c r="L203" s="87" t="s">
        <v>18</v>
      </c>
      <c r="M203" s="89" t="s">
        <v>1671</v>
      </c>
      <c r="N203" s="85" t="s">
        <v>1655</v>
      </c>
      <c r="O203" s="85" t="s">
        <v>1660</v>
      </c>
      <c r="P203" s="85" t="s">
        <v>1655</v>
      </c>
      <c r="Q203" s="85" t="s">
        <v>1655</v>
      </c>
      <c r="R203" s="85" t="s">
        <v>1655</v>
      </c>
      <c r="S203" s="89" t="s">
        <v>1654</v>
      </c>
      <c r="T203" s="87" t="s">
        <v>1685</v>
      </c>
    </row>
    <row r="204" spans="1:20">
      <c r="A204" s="85">
        <v>39</v>
      </c>
      <c r="B204" s="92" t="s">
        <v>1663</v>
      </c>
      <c r="C204" s="87" t="s">
        <v>1012</v>
      </c>
      <c r="D204" s="87" t="s">
        <v>18</v>
      </c>
      <c r="E204" s="88" t="s">
        <v>1012</v>
      </c>
      <c r="F204" s="85" t="s">
        <v>1653</v>
      </c>
      <c r="G204" s="85" t="s">
        <v>1653</v>
      </c>
      <c r="H204" s="87" t="s">
        <v>191</v>
      </c>
      <c r="I204" s="87" t="s">
        <v>191</v>
      </c>
      <c r="J204" s="89" t="s">
        <v>1654</v>
      </c>
      <c r="K204" s="87" t="s">
        <v>18</v>
      </c>
      <c r="L204" s="87" t="s">
        <v>18</v>
      </c>
      <c r="M204" s="89" t="s">
        <v>1671</v>
      </c>
      <c r="N204" s="85" t="s">
        <v>1655</v>
      </c>
      <c r="O204" s="85" t="s">
        <v>1660</v>
      </c>
      <c r="P204" s="85" t="s">
        <v>1655</v>
      </c>
      <c r="Q204" s="85" t="s">
        <v>1655</v>
      </c>
      <c r="R204" s="85" t="s">
        <v>1655</v>
      </c>
      <c r="S204" s="89" t="s">
        <v>1654</v>
      </c>
      <c r="T204" s="87" t="s">
        <v>1685</v>
      </c>
    </row>
    <row r="205" spans="1:20">
      <c r="A205" s="85">
        <v>40</v>
      </c>
      <c r="B205" s="86" t="s">
        <v>1651</v>
      </c>
      <c r="C205" s="87" t="s">
        <v>1025</v>
      </c>
      <c r="D205" s="87" t="s">
        <v>215</v>
      </c>
      <c r="E205" s="88" t="s">
        <v>215</v>
      </c>
      <c r="F205" s="85" t="s">
        <v>1652</v>
      </c>
      <c r="G205" s="85" t="s">
        <v>1653</v>
      </c>
      <c r="H205" s="87" t="s">
        <v>191</v>
      </c>
      <c r="I205" s="87" t="s">
        <v>191</v>
      </c>
      <c r="J205" s="89" t="s">
        <v>1654</v>
      </c>
      <c r="K205" s="87" t="s">
        <v>22</v>
      </c>
      <c r="L205" s="87" t="s">
        <v>1705</v>
      </c>
      <c r="M205" s="89" t="s">
        <v>1654</v>
      </c>
      <c r="N205" s="85" t="s">
        <v>1660</v>
      </c>
      <c r="O205" s="85" t="s">
        <v>1706</v>
      </c>
      <c r="P205" s="85" t="s">
        <v>1655</v>
      </c>
      <c r="Q205" s="85" t="s">
        <v>1655</v>
      </c>
      <c r="R205" s="85" t="s">
        <v>1655</v>
      </c>
      <c r="S205" s="90" t="s">
        <v>1658</v>
      </c>
      <c r="T205" s="91" t="s">
        <v>1708</v>
      </c>
    </row>
    <row r="206" spans="1:20">
      <c r="A206" s="85">
        <v>41</v>
      </c>
      <c r="B206" s="92" t="s">
        <v>1663</v>
      </c>
      <c r="C206" s="87" t="s">
        <v>1070</v>
      </c>
      <c r="D206" s="87" t="s">
        <v>18</v>
      </c>
      <c r="E206" s="88" t="s">
        <v>1070</v>
      </c>
      <c r="F206" s="85" t="s">
        <v>1653</v>
      </c>
      <c r="G206" s="85" t="s">
        <v>1653</v>
      </c>
      <c r="H206" s="87" t="s">
        <v>191</v>
      </c>
      <c r="I206" s="87" t="s">
        <v>191</v>
      </c>
      <c r="J206" s="89" t="s">
        <v>1654</v>
      </c>
      <c r="K206" s="87" t="s">
        <v>18</v>
      </c>
      <c r="L206" s="87" t="s">
        <v>18</v>
      </c>
      <c r="M206" s="89" t="s">
        <v>1671</v>
      </c>
      <c r="N206" s="85" t="s">
        <v>1655</v>
      </c>
      <c r="O206" s="85" t="s">
        <v>1655</v>
      </c>
      <c r="P206" s="85" t="s">
        <v>1655</v>
      </c>
      <c r="Q206" s="85" t="s">
        <v>1660</v>
      </c>
      <c r="R206" s="85" t="s">
        <v>1655</v>
      </c>
      <c r="S206" s="89" t="s">
        <v>1654</v>
      </c>
      <c r="T206" s="87" t="s">
        <v>1685</v>
      </c>
    </row>
    <row r="207" spans="1:20">
      <c r="A207" s="85">
        <v>42</v>
      </c>
      <c r="B207" s="92" t="s">
        <v>1663</v>
      </c>
      <c r="C207" s="87" t="s">
        <v>1203</v>
      </c>
      <c r="D207" s="87" t="s">
        <v>18</v>
      </c>
      <c r="E207" s="88" t="s">
        <v>1203</v>
      </c>
      <c r="F207" s="85" t="s">
        <v>1653</v>
      </c>
      <c r="G207" s="85" t="s">
        <v>1653</v>
      </c>
      <c r="H207" s="87" t="s">
        <v>191</v>
      </c>
      <c r="I207" s="87" t="s">
        <v>191</v>
      </c>
      <c r="J207" s="89" t="s">
        <v>1654</v>
      </c>
      <c r="K207" s="87" t="s">
        <v>18</v>
      </c>
      <c r="L207" s="87" t="s">
        <v>18</v>
      </c>
      <c r="M207" s="89" t="s">
        <v>1671</v>
      </c>
      <c r="N207" s="85" t="s">
        <v>1655</v>
      </c>
      <c r="O207" s="85" t="s">
        <v>1660</v>
      </c>
      <c r="P207" s="85" t="s">
        <v>1655</v>
      </c>
      <c r="Q207" s="85" t="s">
        <v>1655</v>
      </c>
      <c r="R207" s="85" t="s">
        <v>1655</v>
      </c>
      <c r="S207" s="89" t="s">
        <v>1654</v>
      </c>
      <c r="T207" s="87" t="s">
        <v>1685</v>
      </c>
    </row>
    <row r="208" spans="1:20">
      <c r="A208" s="85">
        <v>43</v>
      </c>
      <c r="B208" s="86" t="s">
        <v>1651</v>
      </c>
      <c r="C208" s="87" t="s">
        <v>216</v>
      </c>
      <c r="D208" s="87" t="s">
        <v>216</v>
      </c>
      <c r="E208" s="88" t="s">
        <v>216</v>
      </c>
      <c r="F208" s="85" t="s">
        <v>1653</v>
      </c>
      <c r="G208" s="85" t="s">
        <v>1653</v>
      </c>
      <c r="H208" s="87" t="s">
        <v>191</v>
      </c>
      <c r="I208" s="87" t="s">
        <v>191</v>
      </c>
      <c r="J208" s="89" t="s">
        <v>1654</v>
      </c>
      <c r="K208" s="87" t="s">
        <v>127</v>
      </c>
      <c r="L208" s="87" t="s">
        <v>127</v>
      </c>
      <c r="M208" s="89" t="s">
        <v>1654</v>
      </c>
      <c r="N208" s="85" t="s">
        <v>1655</v>
      </c>
      <c r="O208" s="85" t="s">
        <v>1655</v>
      </c>
      <c r="P208" s="85" t="s">
        <v>1655</v>
      </c>
      <c r="Q208" s="85" t="s">
        <v>1660</v>
      </c>
      <c r="R208" s="85" t="s">
        <v>1655</v>
      </c>
      <c r="S208" s="89" t="s">
        <v>1654</v>
      </c>
      <c r="T208" s="87" t="s">
        <v>1661</v>
      </c>
    </row>
    <row r="209" spans="1:20">
      <c r="A209" s="85">
        <v>44</v>
      </c>
      <c r="B209" s="86" t="s">
        <v>1651</v>
      </c>
      <c r="C209" s="87" t="s">
        <v>217</v>
      </c>
      <c r="D209" s="87" t="s">
        <v>217</v>
      </c>
      <c r="E209" s="88" t="s">
        <v>217</v>
      </c>
      <c r="F209" s="85" t="s">
        <v>1653</v>
      </c>
      <c r="G209" s="85" t="s">
        <v>1653</v>
      </c>
      <c r="H209" s="87" t="s">
        <v>191</v>
      </c>
      <c r="I209" s="87" t="s">
        <v>191</v>
      </c>
      <c r="J209" s="89" t="s">
        <v>1654</v>
      </c>
      <c r="K209" s="87" t="s">
        <v>127</v>
      </c>
      <c r="L209" s="87" t="s">
        <v>127</v>
      </c>
      <c r="M209" s="89" t="s">
        <v>1654</v>
      </c>
      <c r="N209" s="85" t="s">
        <v>1655</v>
      </c>
      <c r="O209" s="85" t="s">
        <v>1660</v>
      </c>
      <c r="P209" s="85" t="s">
        <v>1655</v>
      </c>
      <c r="Q209" s="85" t="s">
        <v>1655</v>
      </c>
      <c r="R209" s="85" t="s">
        <v>1655</v>
      </c>
      <c r="S209" s="89" t="s">
        <v>1654</v>
      </c>
      <c r="T209" s="87" t="s">
        <v>1661</v>
      </c>
    </row>
    <row r="210" spans="1:20">
      <c r="A210" s="85">
        <v>45</v>
      </c>
      <c r="B210" s="92" t="s">
        <v>1663</v>
      </c>
      <c r="C210" s="87" t="s">
        <v>1208</v>
      </c>
      <c r="D210" s="87" t="s">
        <v>18</v>
      </c>
      <c r="E210" s="88" t="s">
        <v>1208</v>
      </c>
      <c r="F210" s="85" t="s">
        <v>1653</v>
      </c>
      <c r="G210" s="85" t="s">
        <v>1653</v>
      </c>
      <c r="H210" s="87" t="s">
        <v>191</v>
      </c>
      <c r="I210" s="87" t="s">
        <v>1307</v>
      </c>
      <c r="J210" s="90" t="s">
        <v>1658</v>
      </c>
      <c r="K210" s="87" t="s">
        <v>18</v>
      </c>
      <c r="L210" s="87" t="s">
        <v>18</v>
      </c>
      <c r="M210" s="89" t="s">
        <v>1671</v>
      </c>
      <c r="N210" s="85" t="s">
        <v>1660</v>
      </c>
      <c r="O210" s="85" t="s">
        <v>1655</v>
      </c>
      <c r="P210" s="85" t="s">
        <v>1655</v>
      </c>
      <c r="Q210" s="85" t="s">
        <v>1655</v>
      </c>
      <c r="R210" s="85" t="s">
        <v>1655</v>
      </c>
      <c r="S210" s="89" t="s">
        <v>1654</v>
      </c>
      <c r="T210" s="91" t="s">
        <v>1702</v>
      </c>
    </row>
    <row r="211" spans="1:20">
      <c r="A211" s="85">
        <v>46</v>
      </c>
      <c r="B211" s="86" t="s">
        <v>1651</v>
      </c>
      <c r="C211" s="87" t="s">
        <v>218</v>
      </c>
      <c r="D211" s="87" t="s">
        <v>218</v>
      </c>
      <c r="E211" s="88" t="s">
        <v>218</v>
      </c>
      <c r="F211" s="85" t="s">
        <v>1653</v>
      </c>
      <c r="G211" s="85" t="s">
        <v>1653</v>
      </c>
      <c r="H211" s="87" t="s">
        <v>191</v>
      </c>
      <c r="I211" s="87" t="s">
        <v>191</v>
      </c>
      <c r="J211" s="89" t="s">
        <v>1654</v>
      </c>
      <c r="K211" s="87" t="s">
        <v>127</v>
      </c>
      <c r="L211" s="87" t="s">
        <v>127</v>
      </c>
      <c r="M211" s="89" t="s">
        <v>1654</v>
      </c>
      <c r="N211" s="85" t="s">
        <v>1655</v>
      </c>
      <c r="O211" s="85" t="s">
        <v>1660</v>
      </c>
      <c r="P211" s="85" t="s">
        <v>1655</v>
      </c>
      <c r="Q211" s="85" t="s">
        <v>1655</v>
      </c>
      <c r="R211" s="85" t="s">
        <v>1655</v>
      </c>
      <c r="S211" s="89" t="s">
        <v>1654</v>
      </c>
      <c r="T211" s="87" t="s">
        <v>1661</v>
      </c>
    </row>
    <row r="212" spans="1:20">
      <c r="A212" s="85">
        <v>47</v>
      </c>
      <c r="B212" s="86" t="s">
        <v>1651</v>
      </c>
      <c r="C212" s="87" t="s">
        <v>219</v>
      </c>
      <c r="D212" s="87" t="s">
        <v>219</v>
      </c>
      <c r="E212" s="88" t="s">
        <v>219</v>
      </c>
      <c r="F212" s="85" t="s">
        <v>1653</v>
      </c>
      <c r="G212" s="85" t="s">
        <v>1653</v>
      </c>
      <c r="H212" s="87" t="s">
        <v>191</v>
      </c>
      <c r="I212" s="87" t="s">
        <v>191</v>
      </c>
      <c r="J212" s="89" t="s">
        <v>1654</v>
      </c>
      <c r="K212" s="87" t="s">
        <v>127</v>
      </c>
      <c r="L212" s="87" t="s">
        <v>127</v>
      </c>
      <c r="M212" s="89" t="s">
        <v>1654</v>
      </c>
      <c r="N212" s="85" t="s">
        <v>1660</v>
      </c>
      <c r="O212" s="85" t="s">
        <v>1662</v>
      </c>
      <c r="P212" s="85" t="s">
        <v>1655</v>
      </c>
      <c r="Q212" s="85" t="s">
        <v>1655</v>
      </c>
      <c r="R212" s="85" t="s">
        <v>1655</v>
      </c>
      <c r="S212" s="89" t="s">
        <v>1654</v>
      </c>
      <c r="T212" s="87" t="s">
        <v>1661</v>
      </c>
    </row>
    <row r="213" spans="1:20">
      <c r="A213" s="85">
        <v>48</v>
      </c>
      <c r="B213" s="92" t="s">
        <v>1663</v>
      </c>
      <c r="C213" s="87" t="s">
        <v>1214</v>
      </c>
      <c r="D213" s="87" t="s">
        <v>18</v>
      </c>
      <c r="E213" s="88" t="s">
        <v>1214</v>
      </c>
      <c r="F213" s="85" t="s">
        <v>1653</v>
      </c>
      <c r="G213" s="85" t="s">
        <v>1653</v>
      </c>
      <c r="H213" s="87" t="s">
        <v>191</v>
      </c>
      <c r="I213" s="87" t="s">
        <v>191</v>
      </c>
      <c r="J213" s="89" t="s">
        <v>1654</v>
      </c>
      <c r="K213" s="87" t="s">
        <v>18</v>
      </c>
      <c r="L213" s="87" t="s">
        <v>18</v>
      </c>
      <c r="M213" s="89" t="s">
        <v>1671</v>
      </c>
      <c r="N213" s="85" t="s">
        <v>1655</v>
      </c>
      <c r="O213" s="85" t="s">
        <v>1660</v>
      </c>
      <c r="P213" s="85" t="s">
        <v>1655</v>
      </c>
      <c r="Q213" s="85" t="s">
        <v>1655</v>
      </c>
      <c r="R213" s="85" t="s">
        <v>1655</v>
      </c>
      <c r="S213" s="89" t="s">
        <v>1654</v>
      </c>
      <c r="T213" s="87" t="s">
        <v>1685</v>
      </c>
    </row>
    <row r="214" spans="1:20">
      <c r="A214" s="85">
        <v>49</v>
      </c>
      <c r="B214" s="92" t="s">
        <v>1663</v>
      </c>
      <c r="C214" s="87" t="s">
        <v>1216</v>
      </c>
      <c r="D214" s="87" t="s">
        <v>18</v>
      </c>
      <c r="E214" s="88" t="s">
        <v>1216</v>
      </c>
      <c r="F214" s="85" t="s">
        <v>1653</v>
      </c>
      <c r="G214" s="85" t="s">
        <v>1653</v>
      </c>
      <c r="H214" s="87" t="s">
        <v>191</v>
      </c>
      <c r="I214" s="87" t="s">
        <v>191</v>
      </c>
      <c r="J214" s="89" t="s">
        <v>1654</v>
      </c>
      <c r="K214" s="87" t="s">
        <v>18</v>
      </c>
      <c r="L214" s="87" t="s">
        <v>18</v>
      </c>
      <c r="M214" s="89" t="s">
        <v>1671</v>
      </c>
      <c r="N214" s="85" t="s">
        <v>1655</v>
      </c>
      <c r="O214" s="85" t="s">
        <v>1660</v>
      </c>
      <c r="P214" s="85" t="s">
        <v>1655</v>
      </c>
      <c r="Q214" s="85" t="s">
        <v>1655</v>
      </c>
      <c r="R214" s="85" t="s">
        <v>1655</v>
      </c>
      <c r="S214" s="89" t="s">
        <v>1654</v>
      </c>
      <c r="T214" s="87" t="s">
        <v>1685</v>
      </c>
    </row>
    <row r="215" spans="1:20">
      <c r="A215" s="85">
        <v>1</v>
      </c>
      <c r="B215" s="86" t="s">
        <v>1651</v>
      </c>
      <c r="C215" s="87" t="s">
        <v>220</v>
      </c>
      <c r="D215" s="87" t="s">
        <v>220</v>
      </c>
      <c r="E215" s="88" t="s">
        <v>220</v>
      </c>
      <c r="F215" s="85" t="s">
        <v>1653</v>
      </c>
      <c r="G215" s="85" t="s">
        <v>1653</v>
      </c>
      <c r="H215" s="87" t="s">
        <v>221</v>
      </c>
      <c r="I215" s="87" t="s">
        <v>221</v>
      </c>
      <c r="J215" s="89" t="s">
        <v>1654</v>
      </c>
      <c r="K215" s="87" t="s">
        <v>22</v>
      </c>
      <c r="L215" s="87" t="s">
        <v>22</v>
      </c>
      <c r="M215" s="89" t="s">
        <v>1654</v>
      </c>
      <c r="N215" s="85" t="s">
        <v>1655</v>
      </c>
      <c r="O215" s="85" t="s">
        <v>1655</v>
      </c>
      <c r="P215" s="85" t="s">
        <v>1655</v>
      </c>
      <c r="Q215" s="85" t="s">
        <v>1660</v>
      </c>
      <c r="R215" s="85" t="s">
        <v>1655</v>
      </c>
      <c r="S215" s="89" t="s">
        <v>1654</v>
      </c>
      <c r="T215" s="87" t="s">
        <v>1661</v>
      </c>
    </row>
    <row r="216" spans="1:20">
      <c r="A216" s="85">
        <v>2</v>
      </c>
      <c r="B216" s="86" t="s">
        <v>1651</v>
      </c>
      <c r="C216" s="87" t="s">
        <v>222</v>
      </c>
      <c r="D216" s="87" t="s">
        <v>222</v>
      </c>
      <c r="E216" s="88" t="s">
        <v>222</v>
      </c>
      <c r="F216" s="85" t="s">
        <v>1653</v>
      </c>
      <c r="G216" s="85" t="s">
        <v>1653</v>
      </c>
      <c r="H216" s="87" t="s">
        <v>221</v>
      </c>
      <c r="I216" s="87" t="s">
        <v>221</v>
      </c>
      <c r="J216" s="89" t="s">
        <v>1654</v>
      </c>
      <c r="K216" s="87" t="s">
        <v>51</v>
      </c>
      <c r="L216" s="87" t="s">
        <v>51</v>
      </c>
      <c r="M216" s="89" t="s">
        <v>1654</v>
      </c>
      <c r="N216" s="85" t="s">
        <v>1655</v>
      </c>
      <c r="O216" s="85" t="s">
        <v>1655</v>
      </c>
      <c r="P216" s="85" t="s">
        <v>1655</v>
      </c>
      <c r="Q216" s="85" t="s">
        <v>1660</v>
      </c>
      <c r="R216" s="85" t="s">
        <v>1655</v>
      </c>
      <c r="S216" s="89" t="s">
        <v>1654</v>
      </c>
      <c r="T216" s="87" t="s">
        <v>1661</v>
      </c>
    </row>
    <row r="217" spans="1:20">
      <c r="A217" s="85">
        <v>3</v>
      </c>
      <c r="B217" s="86" t="s">
        <v>1651</v>
      </c>
      <c r="C217" s="87" t="s">
        <v>223</v>
      </c>
      <c r="D217" s="87" t="s">
        <v>223</v>
      </c>
      <c r="E217" s="88" t="s">
        <v>223</v>
      </c>
      <c r="F217" s="85" t="s">
        <v>1653</v>
      </c>
      <c r="G217" s="85" t="s">
        <v>1653</v>
      </c>
      <c r="H217" s="87" t="s">
        <v>221</v>
      </c>
      <c r="I217" s="87" t="s">
        <v>221</v>
      </c>
      <c r="J217" s="89" t="s">
        <v>1654</v>
      </c>
      <c r="K217" s="87" t="s">
        <v>51</v>
      </c>
      <c r="L217" s="87" t="s">
        <v>51</v>
      </c>
      <c r="M217" s="89" t="s">
        <v>1654</v>
      </c>
      <c r="N217" s="85" t="s">
        <v>1655</v>
      </c>
      <c r="O217" s="85" t="s">
        <v>1655</v>
      </c>
      <c r="P217" s="85" t="s">
        <v>1655</v>
      </c>
      <c r="Q217" s="85" t="s">
        <v>1662</v>
      </c>
      <c r="R217" s="85" t="s">
        <v>1655</v>
      </c>
      <c r="S217" s="89" t="s">
        <v>1654</v>
      </c>
      <c r="T217" s="87" t="s">
        <v>1661</v>
      </c>
    </row>
    <row r="218" spans="1:20">
      <c r="A218" s="85">
        <v>4</v>
      </c>
      <c r="B218" s="86" t="s">
        <v>1651</v>
      </c>
      <c r="C218" s="87" t="s">
        <v>224</v>
      </c>
      <c r="D218" s="87" t="s">
        <v>224</v>
      </c>
      <c r="E218" s="88" t="s">
        <v>224</v>
      </c>
      <c r="F218" s="85" t="s">
        <v>1653</v>
      </c>
      <c r="G218" s="85" t="s">
        <v>1653</v>
      </c>
      <c r="H218" s="87" t="s">
        <v>221</v>
      </c>
      <c r="I218" s="87" t="s">
        <v>221</v>
      </c>
      <c r="J218" s="89" t="s">
        <v>1654</v>
      </c>
      <c r="K218" s="87" t="s">
        <v>51</v>
      </c>
      <c r="L218" s="87" t="s">
        <v>51</v>
      </c>
      <c r="M218" s="89" t="s">
        <v>1654</v>
      </c>
      <c r="N218" s="85" t="s">
        <v>1655</v>
      </c>
      <c r="O218" s="85" t="s">
        <v>1655</v>
      </c>
      <c r="P218" s="85" t="s">
        <v>1655</v>
      </c>
      <c r="Q218" s="85" t="s">
        <v>1662</v>
      </c>
      <c r="R218" s="85" t="s">
        <v>1655</v>
      </c>
      <c r="S218" s="89" t="s">
        <v>1654</v>
      </c>
      <c r="T218" s="87" t="s">
        <v>1661</v>
      </c>
    </row>
    <row r="219" spans="1:20">
      <c r="A219" s="85">
        <v>5</v>
      </c>
      <c r="B219" s="86" t="s">
        <v>1651</v>
      </c>
      <c r="C219" s="87" t="s">
        <v>553</v>
      </c>
      <c r="D219" s="87" t="s">
        <v>225</v>
      </c>
      <c r="E219" s="88" t="s">
        <v>225</v>
      </c>
      <c r="F219" s="85" t="s">
        <v>1653</v>
      </c>
      <c r="G219" s="85" t="s">
        <v>1653</v>
      </c>
      <c r="H219" s="87" t="s">
        <v>221</v>
      </c>
      <c r="I219" s="87" t="s">
        <v>221</v>
      </c>
      <c r="J219" s="89" t="s">
        <v>1654</v>
      </c>
      <c r="K219" s="87" t="s">
        <v>227</v>
      </c>
      <c r="L219" s="87" t="s">
        <v>227</v>
      </c>
      <c r="M219" s="89" t="s">
        <v>1654</v>
      </c>
      <c r="N219" s="85" t="s">
        <v>1655</v>
      </c>
      <c r="O219" s="85" t="s">
        <v>1660</v>
      </c>
      <c r="P219" s="85" t="s">
        <v>1655</v>
      </c>
      <c r="Q219" s="85" t="s">
        <v>1660</v>
      </c>
      <c r="R219" s="85" t="s">
        <v>1655</v>
      </c>
      <c r="S219" s="89" t="s">
        <v>1654</v>
      </c>
      <c r="T219" s="87" t="s">
        <v>1661</v>
      </c>
    </row>
    <row r="220" spans="1:20">
      <c r="A220" s="85">
        <v>6</v>
      </c>
      <c r="B220" s="86" t="s">
        <v>1651</v>
      </c>
      <c r="C220" s="87" t="s">
        <v>228</v>
      </c>
      <c r="D220" s="87" t="s">
        <v>228</v>
      </c>
      <c r="E220" s="88" t="s">
        <v>228</v>
      </c>
      <c r="F220" s="85" t="s">
        <v>1653</v>
      </c>
      <c r="G220" s="85" t="s">
        <v>1653</v>
      </c>
      <c r="H220" s="87" t="s">
        <v>221</v>
      </c>
      <c r="I220" s="87" t="s">
        <v>221</v>
      </c>
      <c r="J220" s="89" t="s">
        <v>1654</v>
      </c>
      <c r="K220" s="87" t="s">
        <v>17</v>
      </c>
      <c r="L220" s="87" t="s">
        <v>17</v>
      </c>
      <c r="M220" s="89" t="s">
        <v>1654</v>
      </c>
      <c r="N220" s="85" t="s">
        <v>1655</v>
      </c>
      <c r="O220" s="85" t="s">
        <v>1660</v>
      </c>
      <c r="P220" s="85" t="s">
        <v>1655</v>
      </c>
      <c r="Q220" s="85" t="s">
        <v>1655</v>
      </c>
      <c r="R220" s="85" t="s">
        <v>1655</v>
      </c>
      <c r="S220" s="89" t="s">
        <v>1654</v>
      </c>
      <c r="T220" s="87" t="s">
        <v>1661</v>
      </c>
    </row>
    <row r="221" spans="1:20">
      <c r="A221" s="85">
        <v>7</v>
      </c>
      <c r="B221" s="86" t="s">
        <v>1651</v>
      </c>
      <c r="C221" s="87" t="s">
        <v>229</v>
      </c>
      <c r="D221" s="87" t="s">
        <v>229</v>
      </c>
      <c r="E221" s="88" t="s">
        <v>229</v>
      </c>
      <c r="F221" s="85" t="s">
        <v>1653</v>
      </c>
      <c r="G221" s="85" t="s">
        <v>1653</v>
      </c>
      <c r="H221" s="87" t="s">
        <v>221</v>
      </c>
      <c r="I221" s="87" t="s">
        <v>221</v>
      </c>
      <c r="J221" s="89" t="s">
        <v>1654</v>
      </c>
      <c r="K221" s="87" t="s">
        <v>17</v>
      </c>
      <c r="L221" s="87" t="s">
        <v>17</v>
      </c>
      <c r="M221" s="89" t="s">
        <v>1654</v>
      </c>
      <c r="N221" s="85" t="s">
        <v>1655</v>
      </c>
      <c r="O221" s="85" t="s">
        <v>1660</v>
      </c>
      <c r="P221" s="85" t="s">
        <v>1655</v>
      </c>
      <c r="Q221" s="85" t="s">
        <v>1655</v>
      </c>
      <c r="R221" s="85" t="s">
        <v>1655</v>
      </c>
      <c r="S221" s="89" t="s">
        <v>1654</v>
      </c>
      <c r="T221" s="87" t="s">
        <v>1661</v>
      </c>
    </row>
    <row r="222" spans="1:20">
      <c r="A222" s="85">
        <v>8</v>
      </c>
      <c r="B222" s="86" t="s">
        <v>1651</v>
      </c>
      <c r="C222" s="87" t="s">
        <v>230</v>
      </c>
      <c r="D222" s="87" t="s">
        <v>230</v>
      </c>
      <c r="E222" s="88" t="s">
        <v>230</v>
      </c>
      <c r="F222" s="85" t="s">
        <v>1653</v>
      </c>
      <c r="G222" s="85" t="s">
        <v>1653</v>
      </c>
      <c r="H222" s="87" t="s">
        <v>221</v>
      </c>
      <c r="I222" s="87" t="s">
        <v>221</v>
      </c>
      <c r="J222" s="89" t="s">
        <v>1654</v>
      </c>
      <c r="K222" s="87" t="s">
        <v>51</v>
      </c>
      <c r="L222" s="87" t="s">
        <v>51</v>
      </c>
      <c r="M222" s="89" t="s">
        <v>1654</v>
      </c>
      <c r="N222" s="85" t="s">
        <v>1655</v>
      </c>
      <c r="O222" s="85" t="s">
        <v>1655</v>
      </c>
      <c r="P222" s="85" t="s">
        <v>1655</v>
      </c>
      <c r="Q222" s="85" t="s">
        <v>1660</v>
      </c>
      <c r="R222" s="85" t="s">
        <v>1655</v>
      </c>
      <c r="S222" s="89" t="s">
        <v>1654</v>
      </c>
      <c r="T222" s="87" t="s">
        <v>1661</v>
      </c>
    </row>
    <row r="223" spans="1:20">
      <c r="A223" s="85">
        <v>9</v>
      </c>
      <c r="B223" s="86" t="s">
        <v>1651</v>
      </c>
      <c r="C223" s="87" t="s">
        <v>231</v>
      </c>
      <c r="D223" s="87" t="s">
        <v>231</v>
      </c>
      <c r="E223" s="88" t="s">
        <v>231</v>
      </c>
      <c r="F223" s="85" t="s">
        <v>1653</v>
      </c>
      <c r="G223" s="85" t="s">
        <v>1653</v>
      </c>
      <c r="H223" s="87" t="s">
        <v>221</v>
      </c>
      <c r="I223" s="87" t="s">
        <v>221</v>
      </c>
      <c r="J223" s="89" t="s">
        <v>1654</v>
      </c>
      <c r="K223" s="87" t="s">
        <v>51</v>
      </c>
      <c r="L223" s="87" t="s">
        <v>51</v>
      </c>
      <c r="M223" s="89" t="s">
        <v>1654</v>
      </c>
      <c r="N223" s="85" t="s">
        <v>1655</v>
      </c>
      <c r="O223" s="85" t="s">
        <v>1655</v>
      </c>
      <c r="P223" s="85" t="s">
        <v>1655</v>
      </c>
      <c r="Q223" s="85" t="s">
        <v>1660</v>
      </c>
      <c r="R223" s="85" t="s">
        <v>1655</v>
      </c>
      <c r="S223" s="89" t="s">
        <v>1654</v>
      </c>
      <c r="T223" s="87" t="s">
        <v>1661</v>
      </c>
    </row>
    <row r="224" spans="1:20">
      <c r="A224" s="85">
        <v>10</v>
      </c>
      <c r="B224" s="86" t="s">
        <v>1651</v>
      </c>
      <c r="C224" s="87" t="s">
        <v>232</v>
      </c>
      <c r="D224" s="87" t="s">
        <v>232</v>
      </c>
      <c r="E224" s="88" t="s">
        <v>232</v>
      </c>
      <c r="F224" s="85" t="s">
        <v>1653</v>
      </c>
      <c r="G224" s="85" t="s">
        <v>1653</v>
      </c>
      <c r="H224" s="87" t="s">
        <v>221</v>
      </c>
      <c r="I224" s="87" t="s">
        <v>221</v>
      </c>
      <c r="J224" s="89" t="s">
        <v>1654</v>
      </c>
      <c r="K224" s="87" t="s">
        <v>51</v>
      </c>
      <c r="L224" s="87" t="s">
        <v>51</v>
      </c>
      <c r="M224" s="89" t="s">
        <v>1654</v>
      </c>
      <c r="N224" s="85" t="s">
        <v>1655</v>
      </c>
      <c r="O224" s="85" t="s">
        <v>1655</v>
      </c>
      <c r="P224" s="85" t="s">
        <v>1655</v>
      </c>
      <c r="Q224" s="85" t="s">
        <v>1660</v>
      </c>
      <c r="R224" s="85" t="s">
        <v>1655</v>
      </c>
      <c r="S224" s="89" t="s">
        <v>1654</v>
      </c>
      <c r="T224" s="87" t="s">
        <v>1661</v>
      </c>
    </row>
    <row r="225" spans="1:20">
      <c r="A225" s="85">
        <v>11</v>
      </c>
      <c r="B225" s="86" t="s">
        <v>1651</v>
      </c>
      <c r="C225" s="87" t="s">
        <v>233</v>
      </c>
      <c r="D225" s="87" t="s">
        <v>233</v>
      </c>
      <c r="E225" s="88" t="s">
        <v>233</v>
      </c>
      <c r="F225" s="85" t="s">
        <v>1653</v>
      </c>
      <c r="G225" s="85" t="s">
        <v>1653</v>
      </c>
      <c r="H225" s="87" t="s">
        <v>221</v>
      </c>
      <c r="I225" s="87" t="s">
        <v>221</v>
      </c>
      <c r="J225" s="89" t="s">
        <v>1654</v>
      </c>
      <c r="K225" s="87" t="s">
        <v>22</v>
      </c>
      <c r="L225" s="87" t="s">
        <v>22</v>
      </c>
      <c r="M225" s="89" t="s">
        <v>1654</v>
      </c>
      <c r="N225" s="85" t="s">
        <v>1655</v>
      </c>
      <c r="O225" s="85" t="s">
        <v>1655</v>
      </c>
      <c r="P225" s="85" t="s">
        <v>1655</v>
      </c>
      <c r="Q225" s="85" t="s">
        <v>1660</v>
      </c>
      <c r="R225" s="85" t="s">
        <v>1655</v>
      </c>
      <c r="S225" s="89" t="s">
        <v>1654</v>
      </c>
      <c r="T225" s="87" t="s">
        <v>1661</v>
      </c>
    </row>
    <row r="226" spans="1:20">
      <c r="A226" s="85">
        <v>12</v>
      </c>
      <c r="B226" s="86" t="s">
        <v>1651</v>
      </c>
      <c r="C226" s="87" t="s">
        <v>234</v>
      </c>
      <c r="D226" s="87" t="s">
        <v>234</v>
      </c>
      <c r="E226" s="88" t="s">
        <v>234</v>
      </c>
      <c r="F226" s="85" t="s">
        <v>1653</v>
      </c>
      <c r="G226" s="85" t="s">
        <v>1653</v>
      </c>
      <c r="H226" s="87" t="s">
        <v>221</v>
      </c>
      <c r="I226" s="87" t="s">
        <v>221</v>
      </c>
      <c r="J226" s="89" t="s">
        <v>1654</v>
      </c>
      <c r="K226" s="87" t="s">
        <v>22</v>
      </c>
      <c r="L226" s="87" t="s">
        <v>22</v>
      </c>
      <c r="M226" s="89" t="s">
        <v>1654</v>
      </c>
      <c r="N226" s="85" t="s">
        <v>1655</v>
      </c>
      <c r="O226" s="85" t="s">
        <v>1655</v>
      </c>
      <c r="P226" s="85" t="s">
        <v>1655</v>
      </c>
      <c r="Q226" s="85" t="s">
        <v>1660</v>
      </c>
      <c r="R226" s="85" t="s">
        <v>1655</v>
      </c>
      <c r="S226" s="89" t="s">
        <v>1654</v>
      </c>
      <c r="T226" s="87" t="s">
        <v>1661</v>
      </c>
    </row>
    <row r="227" spans="1:20">
      <c r="A227" s="85">
        <v>13</v>
      </c>
      <c r="B227" s="86" t="s">
        <v>1651</v>
      </c>
      <c r="C227" s="87" t="s">
        <v>235</v>
      </c>
      <c r="D227" s="87" t="s">
        <v>235</v>
      </c>
      <c r="E227" s="88" t="s">
        <v>235</v>
      </c>
      <c r="F227" s="85" t="s">
        <v>1653</v>
      </c>
      <c r="G227" s="85" t="s">
        <v>1653</v>
      </c>
      <c r="H227" s="87" t="s">
        <v>221</v>
      </c>
      <c r="I227" s="87" t="s">
        <v>221</v>
      </c>
      <c r="J227" s="89" t="s">
        <v>1654</v>
      </c>
      <c r="K227" s="87" t="s">
        <v>17</v>
      </c>
      <c r="L227" s="87" t="s">
        <v>17</v>
      </c>
      <c r="M227" s="89" t="s">
        <v>1654</v>
      </c>
      <c r="N227" s="85" t="s">
        <v>1655</v>
      </c>
      <c r="O227" s="85" t="s">
        <v>1660</v>
      </c>
      <c r="P227" s="85" t="s">
        <v>1655</v>
      </c>
      <c r="Q227" s="85" t="s">
        <v>1655</v>
      </c>
      <c r="R227" s="85" t="s">
        <v>1655</v>
      </c>
      <c r="S227" s="89" t="s">
        <v>1654</v>
      </c>
      <c r="T227" s="87" t="s">
        <v>1661</v>
      </c>
    </row>
    <row r="228" spans="1:20">
      <c r="A228" s="85">
        <v>14</v>
      </c>
      <c r="B228" s="86" t="s">
        <v>1651</v>
      </c>
      <c r="C228" s="87" t="s">
        <v>236</v>
      </c>
      <c r="D228" s="87" t="s">
        <v>236</v>
      </c>
      <c r="E228" s="88" t="s">
        <v>236</v>
      </c>
      <c r="F228" s="85" t="s">
        <v>1653</v>
      </c>
      <c r="G228" s="85" t="s">
        <v>1653</v>
      </c>
      <c r="H228" s="87" t="s">
        <v>221</v>
      </c>
      <c r="I228" s="87" t="s">
        <v>221</v>
      </c>
      <c r="J228" s="89" t="s">
        <v>1654</v>
      </c>
      <c r="K228" s="87" t="s">
        <v>22</v>
      </c>
      <c r="L228" s="87" t="s">
        <v>22</v>
      </c>
      <c r="M228" s="89" t="s">
        <v>1654</v>
      </c>
      <c r="N228" s="85" t="s">
        <v>1655</v>
      </c>
      <c r="O228" s="85" t="s">
        <v>1660</v>
      </c>
      <c r="P228" s="85" t="s">
        <v>1655</v>
      </c>
      <c r="Q228" s="85" t="s">
        <v>1655</v>
      </c>
      <c r="R228" s="85" t="s">
        <v>1655</v>
      </c>
      <c r="S228" s="89" t="s">
        <v>1654</v>
      </c>
      <c r="T228" s="87" t="s">
        <v>1661</v>
      </c>
    </row>
    <row r="229" spans="1:20">
      <c r="A229" s="85">
        <v>15</v>
      </c>
      <c r="B229" s="86" t="s">
        <v>1651</v>
      </c>
      <c r="C229" s="87" t="s">
        <v>237</v>
      </c>
      <c r="D229" s="87" t="s">
        <v>237</v>
      </c>
      <c r="E229" s="88" t="s">
        <v>237</v>
      </c>
      <c r="F229" s="85" t="s">
        <v>1653</v>
      </c>
      <c r="G229" s="85" t="s">
        <v>1653</v>
      </c>
      <c r="H229" s="87" t="s">
        <v>221</v>
      </c>
      <c r="I229" s="87" t="s">
        <v>221</v>
      </c>
      <c r="J229" s="89" t="s">
        <v>1654</v>
      </c>
      <c r="K229" s="87" t="s">
        <v>51</v>
      </c>
      <c r="L229" s="87" t="s">
        <v>51</v>
      </c>
      <c r="M229" s="89" t="s">
        <v>1654</v>
      </c>
      <c r="N229" s="85" t="s">
        <v>1655</v>
      </c>
      <c r="O229" s="85" t="s">
        <v>1655</v>
      </c>
      <c r="P229" s="85" t="s">
        <v>1655</v>
      </c>
      <c r="Q229" s="85" t="s">
        <v>1660</v>
      </c>
      <c r="R229" s="85" t="s">
        <v>1655</v>
      </c>
      <c r="S229" s="89" t="s">
        <v>1654</v>
      </c>
      <c r="T229" s="87" t="s">
        <v>1661</v>
      </c>
    </row>
    <row r="230" spans="1:20">
      <c r="A230" s="85">
        <v>16</v>
      </c>
      <c r="B230" s="92" t="s">
        <v>1663</v>
      </c>
      <c r="C230" s="87" t="s">
        <v>1383</v>
      </c>
      <c r="D230" s="87" t="s">
        <v>18</v>
      </c>
      <c r="E230" s="88" t="s">
        <v>1383</v>
      </c>
      <c r="F230" s="85" t="s">
        <v>1652</v>
      </c>
      <c r="G230" s="85" t="s">
        <v>1653</v>
      </c>
      <c r="H230" s="87" t="s">
        <v>221</v>
      </c>
      <c r="I230" s="87" t="s">
        <v>221</v>
      </c>
      <c r="J230" s="89" t="s">
        <v>1654</v>
      </c>
      <c r="K230" s="87" t="s">
        <v>18</v>
      </c>
      <c r="L230" s="87" t="s">
        <v>18</v>
      </c>
      <c r="M230" s="89" t="s">
        <v>1671</v>
      </c>
      <c r="N230" s="85" t="s">
        <v>1655</v>
      </c>
      <c r="O230" s="85" t="s">
        <v>1655</v>
      </c>
      <c r="P230" s="85" t="s">
        <v>1655</v>
      </c>
      <c r="Q230" s="85" t="s">
        <v>1660</v>
      </c>
      <c r="R230" s="85" t="s">
        <v>1655</v>
      </c>
      <c r="S230" s="89" t="s">
        <v>1654</v>
      </c>
      <c r="T230" s="87" t="s">
        <v>1685</v>
      </c>
    </row>
    <row r="231" spans="1:20">
      <c r="A231" s="85">
        <v>17</v>
      </c>
      <c r="B231" s="92" t="s">
        <v>1663</v>
      </c>
      <c r="C231" s="87" t="s">
        <v>1384</v>
      </c>
      <c r="D231" s="87" t="s">
        <v>18</v>
      </c>
      <c r="E231" s="88" t="s">
        <v>1384</v>
      </c>
      <c r="F231" s="85" t="s">
        <v>1652</v>
      </c>
      <c r="G231" s="85" t="s">
        <v>1653</v>
      </c>
      <c r="H231" s="87" t="s">
        <v>221</v>
      </c>
      <c r="I231" s="87" t="s">
        <v>221</v>
      </c>
      <c r="J231" s="89" t="s">
        <v>1654</v>
      </c>
      <c r="K231" s="87" t="s">
        <v>18</v>
      </c>
      <c r="L231" s="87" t="s">
        <v>18</v>
      </c>
      <c r="M231" s="89" t="s">
        <v>1671</v>
      </c>
      <c r="N231" s="85" t="s">
        <v>1655</v>
      </c>
      <c r="O231" s="85" t="s">
        <v>1655</v>
      </c>
      <c r="P231" s="85" t="s">
        <v>1655</v>
      </c>
      <c r="Q231" s="85" t="s">
        <v>1660</v>
      </c>
      <c r="R231" s="85" t="s">
        <v>1655</v>
      </c>
      <c r="S231" s="89" t="s">
        <v>1654</v>
      </c>
      <c r="T231" s="87" t="s">
        <v>1685</v>
      </c>
    </row>
    <row r="232" spans="1:20">
      <c r="A232" s="85">
        <v>18</v>
      </c>
      <c r="B232" s="86" t="s">
        <v>1651</v>
      </c>
      <c r="C232" s="87" t="s">
        <v>238</v>
      </c>
      <c r="D232" s="87" t="s">
        <v>238</v>
      </c>
      <c r="E232" s="88" t="s">
        <v>238</v>
      </c>
      <c r="F232" s="85" t="s">
        <v>1653</v>
      </c>
      <c r="G232" s="85" t="s">
        <v>1653</v>
      </c>
      <c r="H232" s="87" t="s">
        <v>221</v>
      </c>
      <c r="I232" s="87" t="s">
        <v>221</v>
      </c>
      <c r="J232" s="89" t="s">
        <v>1654</v>
      </c>
      <c r="K232" s="87" t="s">
        <v>51</v>
      </c>
      <c r="L232" s="87" t="s">
        <v>51</v>
      </c>
      <c r="M232" s="89" t="s">
        <v>1654</v>
      </c>
      <c r="N232" s="85" t="s">
        <v>1655</v>
      </c>
      <c r="O232" s="85" t="s">
        <v>1655</v>
      </c>
      <c r="P232" s="85" t="s">
        <v>1655</v>
      </c>
      <c r="Q232" s="85" t="s">
        <v>1660</v>
      </c>
      <c r="R232" s="85" t="s">
        <v>1655</v>
      </c>
      <c r="S232" s="89" t="s">
        <v>1654</v>
      </c>
      <c r="T232" s="87" t="s">
        <v>1661</v>
      </c>
    </row>
    <row r="233" spans="1:20">
      <c r="A233" s="85">
        <v>19</v>
      </c>
      <c r="B233" s="86" t="s">
        <v>1651</v>
      </c>
      <c r="C233" s="87" t="s">
        <v>239</v>
      </c>
      <c r="D233" s="87" t="s">
        <v>239</v>
      </c>
      <c r="E233" s="88" t="s">
        <v>239</v>
      </c>
      <c r="F233" s="85" t="s">
        <v>1653</v>
      </c>
      <c r="G233" s="85" t="s">
        <v>1653</v>
      </c>
      <c r="H233" s="87" t="s">
        <v>221</v>
      </c>
      <c r="I233" s="87" t="s">
        <v>221</v>
      </c>
      <c r="J233" s="89" t="s">
        <v>1654</v>
      </c>
      <c r="K233" s="87" t="s">
        <v>51</v>
      </c>
      <c r="L233" s="87" t="s">
        <v>51</v>
      </c>
      <c r="M233" s="89" t="s">
        <v>1654</v>
      </c>
      <c r="N233" s="85" t="s">
        <v>1655</v>
      </c>
      <c r="O233" s="85" t="s">
        <v>1655</v>
      </c>
      <c r="P233" s="85" t="s">
        <v>1655</v>
      </c>
      <c r="Q233" s="85" t="s">
        <v>1660</v>
      </c>
      <c r="R233" s="85" t="s">
        <v>1655</v>
      </c>
      <c r="S233" s="89" t="s">
        <v>1654</v>
      </c>
      <c r="T233" s="87" t="s">
        <v>1661</v>
      </c>
    </row>
    <row r="234" spans="1:20">
      <c r="A234" s="85">
        <v>20</v>
      </c>
      <c r="B234" s="86" t="s">
        <v>1651</v>
      </c>
      <c r="C234" s="87" t="s">
        <v>240</v>
      </c>
      <c r="D234" s="87" t="s">
        <v>240</v>
      </c>
      <c r="E234" s="88" t="s">
        <v>240</v>
      </c>
      <c r="F234" s="85" t="s">
        <v>1653</v>
      </c>
      <c r="G234" s="85" t="s">
        <v>1653</v>
      </c>
      <c r="H234" s="87" t="s">
        <v>221</v>
      </c>
      <c r="I234" s="87" t="s">
        <v>221</v>
      </c>
      <c r="J234" s="89" t="s">
        <v>1654</v>
      </c>
      <c r="K234" s="87" t="s">
        <v>51</v>
      </c>
      <c r="L234" s="87" t="s">
        <v>51</v>
      </c>
      <c r="M234" s="89" t="s">
        <v>1654</v>
      </c>
      <c r="N234" s="85" t="s">
        <v>1655</v>
      </c>
      <c r="O234" s="85" t="s">
        <v>1655</v>
      </c>
      <c r="P234" s="85" t="s">
        <v>1655</v>
      </c>
      <c r="Q234" s="85" t="s">
        <v>1660</v>
      </c>
      <c r="R234" s="85" t="s">
        <v>1655</v>
      </c>
      <c r="S234" s="89" t="s">
        <v>1654</v>
      </c>
      <c r="T234" s="87" t="s">
        <v>1661</v>
      </c>
    </row>
    <row r="235" spans="1:20">
      <c r="A235" s="85">
        <v>21</v>
      </c>
      <c r="B235" s="86" t="s">
        <v>1651</v>
      </c>
      <c r="C235" s="87" t="s">
        <v>241</v>
      </c>
      <c r="D235" s="87" t="s">
        <v>241</v>
      </c>
      <c r="E235" s="88" t="s">
        <v>241</v>
      </c>
      <c r="F235" s="85" t="s">
        <v>1653</v>
      </c>
      <c r="G235" s="85" t="s">
        <v>1653</v>
      </c>
      <c r="H235" s="87" t="s">
        <v>221</v>
      </c>
      <c r="I235" s="87" t="s">
        <v>221</v>
      </c>
      <c r="J235" s="89" t="s">
        <v>1654</v>
      </c>
      <c r="K235" s="87" t="s">
        <v>51</v>
      </c>
      <c r="L235" s="87" t="s">
        <v>51</v>
      </c>
      <c r="M235" s="89" t="s">
        <v>1654</v>
      </c>
      <c r="N235" s="85" t="s">
        <v>1655</v>
      </c>
      <c r="O235" s="85" t="s">
        <v>1655</v>
      </c>
      <c r="P235" s="85" t="s">
        <v>1655</v>
      </c>
      <c r="Q235" s="85" t="s">
        <v>1660</v>
      </c>
      <c r="R235" s="85" t="s">
        <v>1655</v>
      </c>
      <c r="S235" s="89" t="s">
        <v>1654</v>
      </c>
      <c r="T235" s="87" t="s">
        <v>1661</v>
      </c>
    </row>
    <row r="236" spans="1:20">
      <c r="A236" s="85">
        <v>22</v>
      </c>
      <c r="B236" s="86" t="s">
        <v>1651</v>
      </c>
      <c r="C236" s="87" t="s">
        <v>242</v>
      </c>
      <c r="D236" s="87" t="s">
        <v>242</v>
      </c>
      <c r="E236" s="88" t="s">
        <v>242</v>
      </c>
      <c r="F236" s="85" t="s">
        <v>1653</v>
      </c>
      <c r="G236" s="85" t="s">
        <v>1653</v>
      </c>
      <c r="H236" s="87" t="s">
        <v>221</v>
      </c>
      <c r="I236" s="87" t="s">
        <v>221</v>
      </c>
      <c r="J236" s="89" t="s">
        <v>1654</v>
      </c>
      <c r="K236" s="87" t="s">
        <v>51</v>
      </c>
      <c r="L236" s="87" t="s">
        <v>51</v>
      </c>
      <c r="M236" s="89" t="s">
        <v>1654</v>
      </c>
      <c r="N236" s="85" t="s">
        <v>1655</v>
      </c>
      <c r="O236" s="85" t="s">
        <v>1655</v>
      </c>
      <c r="P236" s="85" t="s">
        <v>1655</v>
      </c>
      <c r="Q236" s="85" t="s">
        <v>1660</v>
      </c>
      <c r="R236" s="85" t="s">
        <v>1655</v>
      </c>
      <c r="S236" s="89" t="s">
        <v>1654</v>
      </c>
      <c r="T236" s="87" t="s">
        <v>1661</v>
      </c>
    </row>
    <row r="237" spans="1:20">
      <c r="A237" s="85">
        <v>23</v>
      </c>
      <c r="B237" s="86" t="s">
        <v>1651</v>
      </c>
      <c r="C237" s="87" t="s">
        <v>243</v>
      </c>
      <c r="D237" s="87" t="s">
        <v>243</v>
      </c>
      <c r="E237" s="88" t="s">
        <v>243</v>
      </c>
      <c r="F237" s="85" t="s">
        <v>1653</v>
      </c>
      <c r="G237" s="85" t="s">
        <v>1653</v>
      </c>
      <c r="H237" s="87" t="s">
        <v>221</v>
      </c>
      <c r="I237" s="87" t="s">
        <v>221</v>
      </c>
      <c r="J237" s="89" t="s">
        <v>1654</v>
      </c>
      <c r="K237" s="87" t="s">
        <v>22</v>
      </c>
      <c r="L237" s="87" t="s">
        <v>22</v>
      </c>
      <c r="M237" s="89" t="s">
        <v>1654</v>
      </c>
      <c r="N237" s="85" t="s">
        <v>1655</v>
      </c>
      <c r="O237" s="85" t="s">
        <v>1655</v>
      </c>
      <c r="P237" s="85" t="s">
        <v>1655</v>
      </c>
      <c r="Q237" s="85" t="s">
        <v>1660</v>
      </c>
      <c r="R237" s="85" t="s">
        <v>1655</v>
      </c>
      <c r="S237" s="89" t="s">
        <v>1654</v>
      </c>
      <c r="T237" s="87" t="s">
        <v>1661</v>
      </c>
    </row>
    <row r="238" spans="1:20">
      <c r="A238" s="85">
        <v>24</v>
      </c>
      <c r="B238" s="86" t="s">
        <v>1651</v>
      </c>
      <c r="C238" s="87" t="s">
        <v>244</v>
      </c>
      <c r="D238" s="87" t="s">
        <v>244</v>
      </c>
      <c r="E238" s="88" t="s">
        <v>244</v>
      </c>
      <c r="F238" s="85" t="s">
        <v>1653</v>
      </c>
      <c r="G238" s="85" t="s">
        <v>1653</v>
      </c>
      <c r="H238" s="87" t="s">
        <v>221</v>
      </c>
      <c r="I238" s="87" t="s">
        <v>221</v>
      </c>
      <c r="J238" s="89" t="s">
        <v>1654</v>
      </c>
      <c r="K238" s="87" t="s">
        <v>22</v>
      </c>
      <c r="L238" s="87" t="s">
        <v>22</v>
      </c>
      <c r="M238" s="89" t="s">
        <v>1654</v>
      </c>
      <c r="N238" s="85" t="s">
        <v>1655</v>
      </c>
      <c r="O238" s="85" t="s">
        <v>1655</v>
      </c>
      <c r="P238" s="85" t="s">
        <v>1655</v>
      </c>
      <c r="Q238" s="85" t="s">
        <v>1660</v>
      </c>
      <c r="R238" s="85" t="s">
        <v>1655</v>
      </c>
      <c r="S238" s="89" t="s">
        <v>1654</v>
      </c>
      <c r="T238" s="87" t="s">
        <v>1661</v>
      </c>
    </row>
    <row r="239" spans="1:20">
      <c r="A239" s="85">
        <v>25</v>
      </c>
      <c r="B239" s="86" t="s">
        <v>1651</v>
      </c>
      <c r="C239" s="87" t="s">
        <v>245</v>
      </c>
      <c r="D239" s="87" t="s">
        <v>245</v>
      </c>
      <c r="E239" s="88" t="s">
        <v>245</v>
      </c>
      <c r="F239" s="85" t="s">
        <v>1653</v>
      </c>
      <c r="G239" s="85" t="s">
        <v>1653</v>
      </c>
      <c r="H239" s="87" t="s">
        <v>221</v>
      </c>
      <c r="I239" s="87" t="s">
        <v>221</v>
      </c>
      <c r="J239" s="89" t="s">
        <v>1654</v>
      </c>
      <c r="K239" s="87" t="s">
        <v>22</v>
      </c>
      <c r="L239" s="87" t="s">
        <v>22</v>
      </c>
      <c r="M239" s="89" t="s">
        <v>1654</v>
      </c>
      <c r="N239" s="85" t="s">
        <v>1655</v>
      </c>
      <c r="O239" s="85" t="s">
        <v>1655</v>
      </c>
      <c r="P239" s="85" t="s">
        <v>1655</v>
      </c>
      <c r="Q239" s="85" t="s">
        <v>1660</v>
      </c>
      <c r="R239" s="85" t="s">
        <v>1655</v>
      </c>
      <c r="S239" s="89" t="s">
        <v>1654</v>
      </c>
      <c r="T239" s="87" t="s">
        <v>1661</v>
      </c>
    </row>
    <row r="240" spans="1:20">
      <c r="A240" s="85">
        <v>26</v>
      </c>
      <c r="B240" s="86" t="s">
        <v>1651</v>
      </c>
      <c r="C240" s="87" t="s">
        <v>246</v>
      </c>
      <c r="D240" s="87" t="s">
        <v>246</v>
      </c>
      <c r="E240" s="88" t="s">
        <v>246</v>
      </c>
      <c r="F240" s="85" t="s">
        <v>1652</v>
      </c>
      <c r="G240" s="85" t="s">
        <v>1653</v>
      </c>
      <c r="H240" s="87" t="s">
        <v>221</v>
      </c>
      <c r="I240" s="87" t="s">
        <v>221</v>
      </c>
      <c r="J240" s="89" t="s">
        <v>1654</v>
      </c>
      <c r="K240" s="87" t="s">
        <v>51</v>
      </c>
      <c r="L240" s="87" t="s">
        <v>51</v>
      </c>
      <c r="M240" s="89" t="s">
        <v>1654</v>
      </c>
      <c r="N240" s="85" t="s">
        <v>1655</v>
      </c>
      <c r="O240" s="85" t="s">
        <v>1655</v>
      </c>
      <c r="P240" s="85" t="s">
        <v>1660</v>
      </c>
      <c r="Q240" s="85" t="s">
        <v>1655</v>
      </c>
      <c r="R240" s="85" t="s">
        <v>1655</v>
      </c>
      <c r="S240" s="89" t="s">
        <v>1654</v>
      </c>
      <c r="T240" s="87" t="s">
        <v>1661</v>
      </c>
    </row>
    <row r="241" spans="1:20">
      <c r="A241" s="85">
        <v>27</v>
      </c>
      <c r="B241" s="86" t="s">
        <v>1651</v>
      </c>
      <c r="C241" s="87" t="s">
        <v>734</v>
      </c>
      <c r="D241" s="87" t="s">
        <v>247</v>
      </c>
      <c r="E241" s="88" t="s">
        <v>247</v>
      </c>
      <c r="F241" s="85" t="s">
        <v>1652</v>
      </c>
      <c r="G241" s="85" t="s">
        <v>1653</v>
      </c>
      <c r="H241" s="87" t="s">
        <v>221</v>
      </c>
      <c r="I241" s="87" t="s">
        <v>221</v>
      </c>
      <c r="J241" s="89" t="s">
        <v>1654</v>
      </c>
      <c r="K241" s="87" t="s">
        <v>249</v>
      </c>
      <c r="L241" s="87" t="s">
        <v>249</v>
      </c>
      <c r="M241" s="89" t="s">
        <v>1654</v>
      </c>
      <c r="N241" s="85" t="s">
        <v>1655</v>
      </c>
      <c r="O241" s="85" t="s">
        <v>1655</v>
      </c>
      <c r="P241" s="85" t="s">
        <v>1660</v>
      </c>
      <c r="Q241" s="85" t="s">
        <v>1655</v>
      </c>
      <c r="R241" s="85" t="s">
        <v>1655</v>
      </c>
      <c r="S241" s="89" t="s">
        <v>1654</v>
      </c>
      <c r="T241" s="87" t="s">
        <v>1661</v>
      </c>
    </row>
    <row r="242" spans="1:20">
      <c r="A242" s="85">
        <v>28</v>
      </c>
      <c r="B242" s="86" t="s">
        <v>1651</v>
      </c>
      <c r="C242" s="87" t="s">
        <v>250</v>
      </c>
      <c r="D242" s="87" t="s">
        <v>250</v>
      </c>
      <c r="E242" s="88" t="s">
        <v>250</v>
      </c>
      <c r="F242" s="85" t="s">
        <v>1653</v>
      </c>
      <c r="G242" s="85" t="s">
        <v>1653</v>
      </c>
      <c r="H242" s="87" t="s">
        <v>221</v>
      </c>
      <c r="I242" s="87" t="s">
        <v>221</v>
      </c>
      <c r="J242" s="89" t="s">
        <v>1654</v>
      </c>
      <c r="K242" s="87" t="s">
        <v>51</v>
      </c>
      <c r="L242" s="87" t="s">
        <v>51</v>
      </c>
      <c r="M242" s="89" t="s">
        <v>1654</v>
      </c>
      <c r="N242" s="85" t="s">
        <v>1655</v>
      </c>
      <c r="O242" s="85" t="s">
        <v>1655</v>
      </c>
      <c r="P242" s="85" t="s">
        <v>1655</v>
      </c>
      <c r="Q242" s="85" t="s">
        <v>1660</v>
      </c>
      <c r="R242" s="85" t="s">
        <v>1655</v>
      </c>
      <c r="S242" s="89" t="s">
        <v>1654</v>
      </c>
      <c r="T242" s="87" t="s">
        <v>1661</v>
      </c>
    </row>
    <row r="243" spans="1:20">
      <c r="A243" s="85">
        <v>29</v>
      </c>
      <c r="B243" s="86" t="s">
        <v>1651</v>
      </c>
      <c r="C243" s="87" t="s">
        <v>251</v>
      </c>
      <c r="D243" s="87" t="s">
        <v>251</v>
      </c>
      <c r="E243" s="88" t="s">
        <v>251</v>
      </c>
      <c r="F243" s="85" t="s">
        <v>1653</v>
      </c>
      <c r="G243" s="85" t="s">
        <v>1653</v>
      </c>
      <c r="H243" s="87" t="s">
        <v>221</v>
      </c>
      <c r="I243" s="87" t="s">
        <v>221</v>
      </c>
      <c r="J243" s="89" t="s">
        <v>1654</v>
      </c>
      <c r="K243" s="87" t="s">
        <v>51</v>
      </c>
      <c r="L243" s="87" t="s">
        <v>51</v>
      </c>
      <c r="M243" s="89" t="s">
        <v>1654</v>
      </c>
      <c r="N243" s="85" t="s">
        <v>1655</v>
      </c>
      <c r="O243" s="85" t="s">
        <v>1655</v>
      </c>
      <c r="P243" s="85" t="s">
        <v>1655</v>
      </c>
      <c r="Q243" s="85" t="s">
        <v>1660</v>
      </c>
      <c r="R243" s="85" t="s">
        <v>1655</v>
      </c>
      <c r="S243" s="89" t="s">
        <v>1654</v>
      </c>
      <c r="T243" s="87" t="s">
        <v>1661</v>
      </c>
    </row>
    <row r="244" spans="1:20">
      <c r="A244" s="85">
        <v>30</v>
      </c>
      <c r="B244" s="86" t="s">
        <v>1651</v>
      </c>
      <c r="C244" s="87" t="s">
        <v>252</v>
      </c>
      <c r="D244" s="87" t="s">
        <v>252</v>
      </c>
      <c r="E244" s="88" t="s">
        <v>252</v>
      </c>
      <c r="F244" s="85" t="s">
        <v>1653</v>
      </c>
      <c r="G244" s="85" t="s">
        <v>1653</v>
      </c>
      <c r="H244" s="87" t="s">
        <v>221</v>
      </c>
      <c r="I244" s="87" t="s">
        <v>221</v>
      </c>
      <c r="J244" s="89" t="s">
        <v>1654</v>
      </c>
      <c r="K244" s="87" t="s">
        <v>51</v>
      </c>
      <c r="L244" s="87" t="s">
        <v>51</v>
      </c>
      <c r="M244" s="89" t="s">
        <v>1654</v>
      </c>
      <c r="N244" s="85" t="s">
        <v>1655</v>
      </c>
      <c r="O244" s="85" t="s">
        <v>1655</v>
      </c>
      <c r="P244" s="85" t="s">
        <v>1655</v>
      </c>
      <c r="Q244" s="85" t="s">
        <v>1660</v>
      </c>
      <c r="R244" s="85" t="s">
        <v>1655</v>
      </c>
      <c r="S244" s="89" t="s">
        <v>1654</v>
      </c>
      <c r="T244" s="87" t="s">
        <v>1661</v>
      </c>
    </row>
    <row r="245" spans="1:20">
      <c r="A245" s="85">
        <v>31</v>
      </c>
      <c r="B245" s="86" t="s">
        <v>1651</v>
      </c>
      <c r="C245" s="87" t="s">
        <v>253</v>
      </c>
      <c r="D245" s="87" t="s">
        <v>253</v>
      </c>
      <c r="E245" s="88" t="s">
        <v>253</v>
      </c>
      <c r="F245" s="85" t="s">
        <v>1653</v>
      </c>
      <c r="G245" s="85" t="s">
        <v>1653</v>
      </c>
      <c r="H245" s="87" t="s">
        <v>221</v>
      </c>
      <c r="I245" s="87" t="s">
        <v>221</v>
      </c>
      <c r="J245" s="89" t="s">
        <v>1654</v>
      </c>
      <c r="K245" s="87" t="s">
        <v>51</v>
      </c>
      <c r="L245" s="87" t="s">
        <v>51</v>
      </c>
      <c r="M245" s="89" t="s">
        <v>1654</v>
      </c>
      <c r="N245" s="85" t="s">
        <v>1655</v>
      </c>
      <c r="O245" s="85" t="s">
        <v>1655</v>
      </c>
      <c r="P245" s="85" t="s">
        <v>1655</v>
      </c>
      <c r="Q245" s="85" t="s">
        <v>1660</v>
      </c>
      <c r="R245" s="85" t="s">
        <v>1655</v>
      </c>
      <c r="S245" s="89" t="s">
        <v>1654</v>
      </c>
      <c r="T245" s="87" t="s">
        <v>1661</v>
      </c>
    </row>
    <row r="246" spans="1:20">
      <c r="A246" s="85">
        <v>32</v>
      </c>
      <c r="B246" s="86" t="s">
        <v>1651</v>
      </c>
      <c r="C246" s="87" t="s">
        <v>254</v>
      </c>
      <c r="D246" s="87" t="s">
        <v>254</v>
      </c>
      <c r="E246" s="88" t="s">
        <v>254</v>
      </c>
      <c r="F246" s="85" t="s">
        <v>1653</v>
      </c>
      <c r="G246" s="85" t="s">
        <v>1653</v>
      </c>
      <c r="H246" s="87" t="s">
        <v>221</v>
      </c>
      <c r="I246" s="87" t="s">
        <v>221</v>
      </c>
      <c r="J246" s="89" t="s">
        <v>1654</v>
      </c>
      <c r="K246" s="87" t="s">
        <v>22</v>
      </c>
      <c r="L246" s="87" t="s">
        <v>22</v>
      </c>
      <c r="M246" s="89" t="s">
        <v>1654</v>
      </c>
      <c r="N246" s="85" t="s">
        <v>1655</v>
      </c>
      <c r="O246" s="85" t="s">
        <v>1655</v>
      </c>
      <c r="P246" s="85" t="s">
        <v>1655</v>
      </c>
      <c r="Q246" s="85" t="s">
        <v>1660</v>
      </c>
      <c r="R246" s="85" t="s">
        <v>1655</v>
      </c>
      <c r="S246" s="89" t="s">
        <v>1654</v>
      </c>
      <c r="T246" s="87" t="s">
        <v>1661</v>
      </c>
    </row>
    <row r="247" spans="1:20">
      <c r="A247" s="85">
        <v>33</v>
      </c>
      <c r="B247" s="86" t="s">
        <v>1651</v>
      </c>
      <c r="C247" s="87" t="s">
        <v>255</v>
      </c>
      <c r="D247" s="87" t="s">
        <v>255</v>
      </c>
      <c r="E247" s="88" t="s">
        <v>255</v>
      </c>
      <c r="F247" s="85" t="s">
        <v>1653</v>
      </c>
      <c r="G247" s="85" t="s">
        <v>1653</v>
      </c>
      <c r="H247" s="87" t="s">
        <v>221</v>
      </c>
      <c r="I247" s="87" t="s">
        <v>221</v>
      </c>
      <c r="J247" s="89" t="s">
        <v>1654</v>
      </c>
      <c r="K247" s="87" t="s">
        <v>22</v>
      </c>
      <c r="L247" s="87" t="s">
        <v>22</v>
      </c>
      <c r="M247" s="89" t="s">
        <v>1654</v>
      </c>
      <c r="N247" s="85" t="s">
        <v>1655</v>
      </c>
      <c r="O247" s="85" t="s">
        <v>1655</v>
      </c>
      <c r="P247" s="85" t="s">
        <v>1655</v>
      </c>
      <c r="Q247" s="85" t="s">
        <v>1660</v>
      </c>
      <c r="R247" s="85" t="s">
        <v>1655</v>
      </c>
      <c r="S247" s="89" t="s">
        <v>1654</v>
      </c>
      <c r="T247" s="87" t="s">
        <v>1661</v>
      </c>
    </row>
    <row r="248" spans="1:20">
      <c r="A248" s="85">
        <v>34</v>
      </c>
      <c r="B248" s="86" t="s">
        <v>1651</v>
      </c>
      <c r="C248" s="87" t="s">
        <v>788</v>
      </c>
      <c r="D248" s="87" t="s">
        <v>256</v>
      </c>
      <c r="E248" s="88" t="s">
        <v>256</v>
      </c>
      <c r="F248" s="85" t="s">
        <v>1653</v>
      </c>
      <c r="G248" s="85" t="s">
        <v>1653</v>
      </c>
      <c r="H248" s="87" t="s">
        <v>221</v>
      </c>
      <c r="I248" s="87" t="s">
        <v>221</v>
      </c>
      <c r="J248" s="89" t="s">
        <v>1654</v>
      </c>
      <c r="K248" s="87" t="s">
        <v>51</v>
      </c>
      <c r="L248" s="87" t="s">
        <v>51</v>
      </c>
      <c r="M248" s="89" t="s">
        <v>1654</v>
      </c>
      <c r="N248" s="85" t="s">
        <v>1660</v>
      </c>
      <c r="O248" s="85" t="s">
        <v>1662</v>
      </c>
      <c r="P248" s="85" t="s">
        <v>1655</v>
      </c>
      <c r="Q248" s="85" t="s">
        <v>1655</v>
      </c>
      <c r="R248" s="85" t="s">
        <v>1655</v>
      </c>
      <c r="S248" s="89" t="s">
        <v>1654</v>
      </c>
      <c r="T248" s="87" t="s">
        <v>1661</v>
      </c>
    </row>
    <row r="249" spans="1:20">
      <c r="A249" s="85">
        <v>35</v>
      </c>
      <c r="B249" s="92" t="s">
        <v>1663</v>
      </c>
      <c r="C249" s="87" t="s">
        <v>848</v>
      </c>
      <c r="D249" s="87" t="s">
        <v>18</v>
      </c>
      <c r="E249" s="88" t="s">
        <v>848</v>
      </c>
      <c r="F249" s="85" t="s">
        <v>1653</v>
      </c>
      <c r="G249" s="85" t="s">
        <v>1653</v>
      </c>
      <c r="H249" s="87" t="s">
        <v>221</v>
      </c>
      <c r="I249" s="87" t="s">
        <v>1307</v>
      </c>
      <c r="J249" s="90" t="s">
        <v>1658</v>
      </c>
      <c r="K249" s="87" t="s">
        <v>18</v>
      </c>
      <c r="L249" s="87" t="s">
        <v>18</v>
      </c>
      <c r="M249" s="89" t="s">
        <v>1671</v>
      </c>
      <c r="N249" s="85" t="s">
        <v>1660</v>
      </c>
      <c r="O249" s="85" t="s">
        <v>1660</v>
      </c>
      <c r="P249" s="85" t="s">
        <v>1655</v>
      </c>
      <c r="Q249" s="85" t="s">
        <v>1655</v>
      </c>
      <c r="R249" s="85" t="s">
        <v>1660</v>
      </c>
      <c r="S249" s="89" t="s">
        <v>1654</v>
      </c>
      <c r="T249" s="91" t="s">
        <v>1709</v>
      </c>
    </row>
    <row r="250" spans="1:20">
      <c r="A250" s="85">
        <v>36</v>
      </c>
      <c r="B250" s="92" t="s">
        <v>1663</v>
      </c>
      <c r="C250" s="87" t="s">
        <v>850</v>
      </c>
      <c r="D250" s="87" t="s">
        <v>18</v>
      </c>
      <c r="E250" s="88" t="s">
        <v>850</v>
      </c>
      <c r="F250" s="85" t="s">
        <v>1653</v>
      </c>
      <c r="G250" s="85" t="s">
        <v>1653</v>
      </c>
      <c r="H250" s="87" t="s">
        <v>221</v>
      </c>
      <c r="I250" s="87" t="s">
        <v>1307</v>
      </c>
      <c r="J250" s="90" t="s">
        <v>1658</v>
      </c>
      <c r="K250" s="87" t="s">
        <v>18</v>
      </c>
      <c r="L250" s="87" t="s">
        <v>18</v>
      </c>
      <c r="M250" s="89" t="s">
        <v>1671</v>
      </c>
      <c r="N250" s="85" t="s">
        <v>1660</v>
      </c>
      <c r="O250" s="85" t="s">
        <v>1660</v>
      </c>
      <c r="P250" s="85" t="s">
        <v>1655</v>
      </c>
      <c r="Q250" s="85" t="s">
        <v>1655</v>
      </c>
      <c r="R250" s="85" t="s">
        <v>1660</v>
      </c>
      <c r="S250" s="89" t="s">
        <v>1654</v>
      </c>
      <c r="T250" s="91" t="s">
        <v>1709</v>
      </c>
    </row>
    <row r="251" spans="1:20">
      <c r="A251" s="85">
        <v>37</v>
      </c>
      <c r="B251" s="92" t="s">
        <v>1663</v>
      </c>
      <c r="C251" s="87" t="s">
        <v>852</v>
      </c>
      <c r="D251" s="87" t="s">
        <v>18</v>
      </c>
      <c r="E251" s="88" t="s">
        <v>852</v>
      </c>
      <c r="F251" s="85" t="s">
        <v>1653</v>
      </c>
      <c r="G251" s="85" t="s">
        <v>1653</v>
      </c>
      <c r="H251" s="87" t="s">
        <v>221</v>
      </c>
      <c r="I251" s="87" t="s">
        <v>1307</v>
      </c>
      <c r="J251" s="90" t="s">
        <v>1658</v>
      </c>
      <c r="K251" s="87" t="s">
        <v>18</v>
      </c>
      <c r="L251" s="87" t="s">
        <v>18</v>
      </c>
      <c r="M251" s="89" t="s">
        <v>1671</v>
      </c>
      <c r="N251" s="85" t="s">
        <v>1660</v>
      </c>
      <c r="O251" s="85" t="s">
        <v>1660</v>
      </c>
      <c r="P251" s="85" t="s">
        <v>1655</v>
      </c>
      <c r="Q251" s="85" t="s">
        <v>1655</v>
      </c>
      <c r="R251" s="85" t="s">
        <v>1660</v>
      </c>
      <c r="S251" s="89" t="s">
        <v>1654</v>
      </c>
      <c r="T251" s="91" t="s">
        <v>1709</v>
      </c>
    </row>
    <row r="252" spans="1:20">
      <c r="A252" s="85">
        <v>38</v>
      </c>
      <c r="B252" s="92" t="s">
        <v>1663</v>
      </c>
      <c r="C252" s="87" t="s">
        <v>893</v>
      </c>
      <c r="D252" s="87" t="s">
        <v>18</v>
      </c>
      <c r="E252" s="88" t="s">
        <v>893</v>
      </c>
      <c r="F252" s="85" t="s">
        <v>1653</v>
      </c>
      <c r="G252" s="85" t="s">
        <v>1653</v>
      </c>
      <c r="H252" s="87" t="s">
        <v>221</v>
      </c>
      <c r="I252" s="87" t="s">
        <v>1307</v>
      </c>
      <c r="J252" s="90" t="s">
        <v>1658</v>
      </c>
      <c r="K252" s="87" t="s">
        <v>18</v>
      </c>
      <c r="L252" s="87" t="s">
        <v>18</v>
      </c>
      <c r="M252" s="89" t="s">
        <v>1671</v>
      </c>
      <c r="N252" s="85" t="s">
        <v>1660</v>
      </c>
      <c r="O252" s="85" t="s">
        <v>1667</v>
      </c>
      <c r="P252" s="85" t="s">
        <v>1655</v>
      </c>
      <c r="Q252" s="85" t="s">
        <v>1655</v>
      </c>
      <c r="R252" s="85" t="s">
        <v>1660</v>
      </c>
      <c r="S252" s="90" t="s">
        <v>1658</v>
      </c>
      <c r="T252" s="91" t="s">
        <v>1710</v>
      </c>
    </row>
    <row r="253" spans="1:20">
      <c r="A253" s="85">
        <v>39</v>
      </c>
      <c r="B253" s="86" t="s">
        <v>1651</v>
      </c>
      <c r="C253" s="87" t="s">
        <v>257</v>
      </c>
      <c r="D253" s="87" t="s">
        <v>257</v>
      </c>
      <c r="E253" s="88" t="s">
        <v>257</v>
      </c>
      <c r="F253" s="85" t="s">
        <v>1653</v>
      </c>
      <c r="G253" s="85" t="s">
        <v>1653</v>
      </c>
      <c r="H253" s="87" t="s">
        <v>221</v>
      </c>
      <c r="I253" s="87" t="s">
        <v>221</v>
      </c>
      <c r="J253" s="89" t="s">
        <v>1654</v>
      </c>
      <c r="K253" s="87" t="s">
        <v>22</v>
      </c>
      <c r="L253" s="87" t="s">
        <v>22</v>
      </c>
      <c r="M253" s="89" t="s">
        <v>1654</v>
      </c>
      <c r="N253" s="85" t="s">
        <v>1660</v>
      </c>
      <c r="O253" s="85" t="s">
        <v>1662</v>
      </c>
      <c r="P253" s="85" t="s">
        <v>1655</v>
      </c>
      <c r="Q253" s="85" t="s">
        <v>1655</v>
      </c>
      <c r="R253" s="85" t="s">
        <v>1655</v>
      </c>
      <c r="S253" s="89" t="s">
        <v>1654</v>
      </c>
      <c r="T253" s="87" t="s">
        <v>1661</v>
      </c>
    </row>
    <row r="254" spans="1:20">
      <c r="A254" s="85">
        <v>40</v>
      </c>
      <c r="B254" s="92" t="s">
        <v>1663</v>
      </c>
      <c r="C254" s="87" t="s">
        <v>1062</v>
      </c>
      <c r="D254" s="87" t="s">
        <v>18</v>
      </c>
      <c r="E254" s="88" t="s">
        <v>1062</v>
      </c>
      <c r="F254" s="85" t="s">
        <v>1653</v>
      </c>
      <c r="G254" s="85" t="s">
        <v>1653</v>
      </c>
      <c r="H254" s="87" t="s">
        <v>221</v>
      </c>
      <c r="I254" s="87" t="s">
        <v>1307</v>
      </c>
      <c r="J254" s="90" t="s">
        <v>1658</v>
      </c>
      <c r="K254" s="87" t="s">
        <v>18</v>
      </c>
      <c r="L254" s="87" t="s">
        <v>18</v>
      </c>
      <c r="M254" s="89" t="s">
        <v>1671</v>
      </c>
      <c r="N254" s="85" t="s">
        <v>1660</v>
      </c>
      <c r="O254" s="85" t="s">
        <v>1655</v>
      </c>
      <c r="P254" s="85" t="s">
        <v>1655</v>
      </c>
      <c r="Q254" s="85" t="s">
        <v>1655</v>
      </c>
      <c r="R254" s="85" t="s">
        <v>1655</v>
      </c>
      <c r="S254" s="89" t="s">
        <v>1654</v>
      </c>
      <c r="T254" s="91" t="s">
        <v>1709</v>
      </c>
    </row>
    <row r="255" spans="1:20">
      <c r="A255" s="85">
        <v>41</v>
      </c>
      <c r="B255" s="92" t="s">
        <v>1663</v>
      </c>
      <c r="C255" s="87" t="s">
        <v>1064</v>
      </c>
      <c r="D255" s="87" t="s">
        <v>18</v>
      </c>
      <c r="E255" s="88" t="s">
        <v>1064</v>
      </c>
      <c r="F255" s="85" t="s">
        <v>1653</v>
      </c>
      <c r="G255" s="85" t="s">
        <v>1653</v>
      </c>
      <c r="H255" s="87" t="s">
        <v>221</v>
      </c>
      <c r="I255" s="87" t="s">
        <v>221</v>
      </c>
      <c r="J255" s="89" t="s">
        <v>1654</v>
      </c>
      <c r="K255" s="87" t="s">
        <v>18</v>
      </c>
      <c r="L255" s="87" t="s">
        <v>18</v>
      </c>
      <c r="M255" s="89" t="s">
        <v>1671</v>
      </c>
      <c r="N255" s="85" t="s">
        <v>1660</v>
      </c>
      <c r="O255" s="85" t="s">
        <v>1655</v>
      </c>
      <c r="P255" s="85" t="s">
        <v>1655</v>
      </c>
      <c r="Q255" s="85" t="s">
        <v>1655</v>
      </c>
      <c r="R255" s="85" t="s">
        <v>1655</v>
      </c>
      <c r="S255" s="89" t="s">
        <v>1654</v>
      </c>
      <c r="T255" s="87" t="s">
        <v>1685</v>
      </c>
    </row>
    <row r="256" spans="1:20">
      <c r="A256" s="85">
        <v>42</v>
      </c>
      <c r="B256" s="92" t="s">
        <v>1663</v>
      </c>
      <c r="C256" s="87" t="s">
        <v>1066</v>
      </c>
      <c r="D256" s="87" t="s">
        <v>18</v>
      </c>
      <c r="E256" s="88" t="s">
        <v>1066</v>
      </c>
      <c r="F256" s="85" t="s">
        <v>1653</v>
      </c>
      <c r="G256" s="85" t="s">
        <v>1653</v>
      </c>
      <c r="H256" s="87" t="s">
        <v>221</v>
      </c>
      <c r="I256" s="87" t="s">
        <v>221</v>
      </c>
      <c r="J256" s="89" t="s">
        <v>1654</v>
      </c>
      <c r="K256" s="87" t="s">
        <v>18</v>
      </c>
      <c r="L256" s="87" t="s">
        <v>18</v>
      </c>
      <c r="M256" s="89" t="s">
        <v>1671</v>
      </c>
      <c r="N256" s="85" t="s">
        <v>1655</v>
      </c>
      <c r="O256" s="85" t="s">
        <v>1660</v>
      </c>
      <c r="P256" s="85" t="s">
        <v>1655</v>
      </c>
      <c r="Q256" s="85" t="s">
        <v>1655</v>
      </c>
      <c r="R256" s="85" t="s">
        <v>1655</v>
      </c>
      <c r="S256" s="89" t="s">
        <v>1654</v>
      </c>
      <c r="T256" s="87" t="s">
        <v>1685</v>
      </c>
    </row>
    <row r="257" spans="1:20">
      <c r="A257" s="85">
        <v>43</v>
      </c>
      <c r="B257" s="92" t="s">
        <v>1663</v>
      </c>
      <c r="C257" s="87" t="s">
        <v>1068</v>
      </c>
      <c r="D257" s="87" t="s">
        <v>18</v>
      </c>
      <c r="E257" s="88" t="s">
        <v>1068</v>
      </c>
      <c r="F257" s="85" t="s">
        <v>1653</v>
      </c>
      <c r="G257" s="85" t="s">
        <v>1653</v>
      </c>
      <c r="H257" s="87" t="s">
        <v>221</v>
      </c>
      <c r="I257" s="87" t="s">
        <v>221</v>
      </c>
      <c r="J257" s="89" t="s">
        <v>1654</v>
      </c>
      <c r="K257" s="87" t="s">
        <v>18</v>
      </c>
      <c r="L257" s="87" t="s">
        <v>18</v>
      </c>
      <c r="M257" s="89" t="s">
        <v>1671</v>
      </c>
      <c r="N257" s="85" t="s">
        <v>1655</v>
      </c>
      <c r="O257" s="85" t="s">
        <v>1660</v>
      </c>
      <c r="P257" s="85" t="s">
        <v>1655</v>
      </c>
      <c r="Q257" s="85" t="s">
        <v>1655</v>
      </c>
      <c r="R257" s="85" t="s">
        <v>1655</v>
      </c>
      <c r="S257" s="89" t="s">
        <v>1654</v>
      </c>
      <c r="T257" s="87" t="s">
        <v>1685</v>
      </c>
    </row>
    <row r="258" spans="1:20">
      <c r="A258" s="85">
        <v>44</v>
      </c>
      <c r="B258" s="92" t="s">
        <v>1663</v>
      </c>
      <c r="C258" s="87" t="s">
        <v>1073</v>
      </c>
      <c r="D258" s="87" t="s">
        <v>18</v>
      </c>
      <c r="E258" s="88" t="s">
        <v>1073</v>
      </c>
      <c r="F258" s="85" t="s">
        <v>1653</v>
      </c>
      <c r="G258" s="85" t="s">
        <v>1653</v>
      </c>
      <c r="H258" s="87" t="s">
        <v>221</v>
      </c>
      <c r="I258" s="87" t="s">
        <v>1307</v>
      </c>
      <c r="J258" s="90" t="s">
        <v>1658</v>
      </c>
      <c r="K258" s="87" t="s">
        <v>18</v>
      </c>
      <c r="L258" s="87" t="s">
        <v>18</v>
      </c>
      <c r="M258" s="89" t="s">
        <v>1671</v>
      </c>
      <c r="N258" s="85" t="s">
        <v>1660</v>
      </c>
      <c r="O258" s="85" t="s">
        <v>1655</v>
      </c>
      <c r="P258" s="85" t="s">
        <v>1655</v>
      </c>
      <c r="Q258" s="85" t="s">
        <v>1655</v>
      </c>
      <c r="R258" s="85" t="s">
        <v>1655</v>
      </c>
      <c r="S258" s="89" t="s">
        <v>1654</v>
      </c>
      <c r="T258" s="91" t="s">
        <v>1709</v>
      </c>
    </row>
    <row r="259" spans="1:20">
      <c r="A259" s="85">
        <v>45</v>
      </c>
      <c r="B259" s="92" t="s">
        <v>1663</v>
      </c>
      <c r="C259" s="87" t="s">
        <v>1075</v>
      </c>
      <c r="D259" s="87" t="s">
        <v>18</v>
      </c>
      <c r="E259" s="88" t="s">
        <v>1075</v>
      </c>
      <c r="F259" s="85" t="s">
        <v>1653</v>
      </c>
      <c r="G259" s="85" t="s">
        <v>1653</v>
      </c>
      <c r="H259" s="87" t="s">
        <v>221</v>
      </c>
      <c r="I259" s="87" t="s">
        <v>221</v>
      </c>
      <c r="J259" s="89" t="s">
        <v>1654</v>
      </c>
      <c r="K259" s="87" t="s">
        <v>18</v>
      </c>
      <c r="L259" s="87" t="s">
        <v>18</v>
      </c>
      <c r="M259" s="89" t="s">
        <v>1671</v>
      </c>
      <c r="N259" s="85" t="s">
        <v>1655</v>
      </c>
      <c r="O259" s="85" t="s">
        <v>1660</v>
      </c>
      <c r="P259" s="85" t="s">
        <v>1655</v>
      </c>
      <c r="Q259" s="85" t="s">
        <v>1655</v>
      </c>
      <c r="R259" s="85" t="s">
        <v>1655</v>
      </c>
      <c r="S259" s="89" t="s">
        <v>1654</v>
      </c>
      <c r="T259" s="87" t="s">
        <v>1685</v>
      </c>
    </row>
    <row r="260" spans="1:20">
      <c r="A260" s="85">
        <v>46</v>
      </c>
      <c r="B260" s="92" t="s">
        <v>1663</v>
      </c>
      <c r="C260" s="87" t="s">
        <v>1076</v>
      </c>
      <c r="D260" s="87" t="s">
        <v>18</v>
      </c>
      <c r="E260" s="88" t="s">
        <v>1076</v>
      </c>
      <c r="F260" s="85" t="s">
        <v>1653</v>
      </c>
      <c r="G260" s="85" t="s">
        <v>1653</v>
      </c>
      <c r="H260" s="87" t="s">
        <v>221</v>
      </c>
      <c r="I260" s="87" t="s">
        <v>221</v>
      </c>
      <c r="J260" s="89" t="s">
        <v>1654</v>
      </c>
      <c r="K260" s="87" t="s">
        <v>18</v>
      </c>
      <c r="L260" s="87" t="s">
        <v>18</v>
      </c>
      <c r="M260" s="89" t="s">
        <v>1671</v>
      </c>
      <c r="N260" s="85" t="s">
        <v>1655</v>
      </c>
      <c r="O260" s="85" t="s">
        <v>1660</v>
      </c>
      <c r="P260" s="85" t="s">
        <v>1655</v>
      </c>
      <c r="Q260" s="85" t="s">
        <v>1655</v>
      </c>
      <c r="R260" s="85" t="s">
        <v>1655</v>
      </c>
      <c r="S260" s="89" t="s">
        <v>1654</v>
      </c>
      <c r="T260" s="87" t="s">
        <v>1685</v>
      </c>
    </row>
    <row r="261" spans="1:20">
      <c r="A261" s="85">
        <v>47</v>
      </c>
      <c r="B261" s="86" t="s">
        <v>1651</v>
      </c>
      <c r="C261" s="87" t="s">
        <v>258</v>
      </c>
      <c r="D261" s="87" t="s">
        <v>258</v>
      </c>
      <c r="E261" s="88" t="s">
        <v>258</v>
      </c>
      <c r="F261" s="85" t="s">
        <v>1653</v>
      </c>
      <c r="G261" s="85" t="s">
        <v>1653</v>
      </c>
      <c r="H261" s="87" t="s">
        <v>221</v>
      </c>
      <c r="I261" s="87" t="s">
        <v>221</v>
      </c>
      <c r="J261" s="89" t="s">
        <v>1654</v>
      </c>
      <c r="K261" s="87" t="s">
        <v>22</v>
      </c>
      <c r="L261" s="87" t="s">
        <v>22</v>
      </c>
      <c r="M261" s="89" t="s">
        <v>1654</v>
      </c>
      <c r="N261" s="85" t="s">
        <v>1655</v>
      </c>
      <c r="O261" s="85" t="s">
        <v>1660</v>
      </c>
      <c r="P261" s="85" t="s">
        <v>1655</v>
      </c>
      <c r="Q261" s="85" t="s">
        <v>1655</v>
      </c>
      <c r="R261" s="85" t="s">
        <v>1655</v>
      </c>
      <c r="S261" s="89" t="s">
        <v>1654</v>
      </c>
      <c r="T261" s="87" t="s">
        <v>1661</v>
      </c>
    </row>
    <row r="262" spans="1:20">
      <c r="A262" s="85">
        <v>48</v>
      </c>
      <c r="B262" s="86" t="s">
        <v>1651</v>
      </c>
      <c r="C262" s="87" t="s">
        <v>259</v>
      </c>
      <c r="D262" s="87" t="s">
        <v>259</v>
      </c>
      <c r="E262" s="88" t="s">
        <v>259</v>
      </c>
      <c r="F262" s="85" t="s">
        <v>1653</v>
      </c>
      <c r="G262" s="85" t="s">
        <v>1653</v>
      </c>
      <c r="H262" s="87" t="s">
        <v>221</v>
      </c>
      <c r="I262" s="87" t="s">
        <v>221</v>
      </c>
      <c r="J262" s="89" t="s">
        <v>1654</v>
      </c>
      <c r="K262" s="87" t="s">
        <v>22</v>
      </c>
      <c r="L262" s="87" t="s">
        <v>22</v>
      </c>
      <c r="M262" s="89" t="s">
        <v>1654</v>
      </c>
      <c r="N262" s="85" t="s">
        <v>1655</v>
      </c>
      <c r="O262" s="85" t="s">
        <v>1660</v>
      </c>
      <c r="P262" s="85" t="s">
        <v>1655</v>
      </c>
      <c r="Q262" s="85" t="s">
        <v>1655</v>
      </c>
      <c r="R262" s="85" t="s">
        <v>1655</v>
      </c>
      <c r="S262" s="89" t="s">
        <v>1654</v>
      </c>
      <c r="T262" s="87" t="s">
        <v>1661</v>
      </c>
    </row>
    <row r="263" spans="1:20">
      <c r="A263" s="85">
        <v>49</v>
      </c>
      <c r="B263" s="92" t="s">
        <v>1663</v>
      </c>
      <c r="C263" s="87" t="s">
        <v>1081</v>
      </c>
      <c r="D263" s="87" t="s">
        <v>18</v>
      </c>
      <c r="E263" s="88" t="s">
        <v>1081</v>
      </c>
      <c r="F263" s="85" t="s">
        <v>1653</v>
      </c>
      <c r="G263" s="85" t="s">
        <v>1653</v>
      </c>
      <c r="H263" s="87" t="s">
        <v>221</v>
      </c>
      <c r="I263" s="87" t="s">
        <v>1307</v>
      </c>
      <c r="J263" s="90" t="s">
        <v>1658</v>
      </c>
      <c r="K263" s="87" t="s">
        <v>18</v>
      </c>
      <c r="L263" s="87" t="s">
        <v>18</v>
      </c>
      <c r="M263" s="89" t="s">
        <v>1671</v>
      </c>
      <c r="N263" s="85" t="s">
        <v>1660</v>
      </c>
      <c r="O263" s="85" t="s">
        <v>1655</v>
      </c>
      <c r="P263" s="85" t="s">
        <v>1655</v>
      </c>
      <c r="Q263" s="85" t="s">
        <v>1655</v>
      </c>
      <c r="R263" s="85" t="s">
        <v>1655</v>
      </c>
      <c r="S263" s="89" t="s">
        <v>1654</v>
      </c>
      <c r="T263" s="91" t="s">
        <v>1709</v>
      </c>
    </row>
    <row r="264" spans="1:20">
      <c r="A264" s="85">
        <v>50</v>
      </c>
      <c r="B264" s="92" t="s">
        <v>1663</v>
      </c>
      <c r="C264" s="87" t="s">
        <v>1082</v>
      </c>
      <c r="D264" s="87" t="s">
        <v>18</v>
      </c>
      <c r="E264" s="88" t="s">
        <v>1082</v>
      </c>
      <c r="F264" s="85" t="s">
        <v>1653</v>
      </c>
      <c r="G264" s="85" t="s">
        <v>1653</v>
      </c>
      <c r="H264" s="87" t="s">
        <v>221</v>
      </c>
      <c r="I264" s="87" t="s">
        <v>221</v>
      </c>
      <c r="J264" s="89" t="s">
        <v>1654</v>
      </c>
      <c r="K264" s="87" t="s">
        <v>18</v>
      </c>
      <c r="L264" s="87" t="s">
        <v>18</v>
      </c>
      <c r="M264" s="89" t="s">
        <v>1671</v>
      </c>
      <c r="N264" s="85" t="s">
        <v>1655</v>
      </c>
      <c r="O264" s="85" t="s">
        <v>1660</v>
      </c>
      <c r="P264" s="85" t="s">
        <v>1655</v>
      </c>
      <c r="Q264" s="85" t="s">
        <v>1655</v>
      </c>
      <c r="R264" s="85" t="s">
        <v>1655</v>
      </c>
      <c r="S264" s="89" t="s">
        <v>1654</v>
      </c>
      <c r="T264" s="87" t="s">
        <v>1685</v>
      </c>
    </row>
    <row r="265" spans="1:20">
      <c r="A265" s="85">
        <v>51</v>
      </c>
      <c r="B265" s="92" t="s">
        <v>1663</v>
      </c>
      <c r="C265" s="87" t="s">
        <v>1083</v>
      </c>
      <c r="D265" s="87" t="s">
        <v>18</v>
      </c>
      <c r="E265" s="88" t="s">
        <v>1083</v>
      </c>
      <c r="F265" s="85" t="s">
        <v>1653</v>
      </c>
      <c r="G265" s="85" t="s">
        <v>1653</v>
      </c>
      <c r="H265" s="87" t="s">
        <v>221</v>
      </c>
      <c r="I265" s="87" t="s">
        <v>221</v>
      </c>
      <c r="J265" s="89" t="s">
        <v>1654</v>
      </c>
      <c r="K265" s="87" t="s">
        <v>18</v>
      </c>
      <c r="L265" s="87" t="s">
        <v>18</v>
      </c>
      <c r="M265" s="89" t="s">
        <v>1671</v>
      </c>
      <c r="N265" s="85" t="s">
        <v>1655</v>
      </c>
      <c r="O265" s="85" t="s">
        <v>1660</v>
      </c>
      <c r="P265" s="85" t="s">
        <v>1655</v>
      </c>
      <c r="Q265" s="85" t="s">
        <v>1655</v>
      </c>
      <c r="R265" s="85" t="s">
        <v>1655</v>
      </c>
      <c r="S265" s="89" t="s">
        <v>1654</v>
      </c>
      <c r="T265" s="87" t="s">
        <v>1685</v>
      </c>
    </row>
    <row r="266" spans="1:20">
      <c r="A266" s="85">
        <v>52</v>
      </c>
      <c r="B266" s="86" t="s">
        <v>1651</v>
      </c>
      <c r="C266" s="87" t="s">
        <v>260</v>
      </c>
      <c r="D266" s="87" t="s">
        <v>260</v>
      </c>
      <c r="E266" s="88" t="s">
        <v>260</v>
      </c>
      <c r="F266" s="85" t="s">
        <v>1653</v>
      </c>
      <c r="G266" s="85" t="s">
        <v>1653</v>
      </c>
      <c r="H266" s="87" t="s">
        <v>221</v>
      </c>
      <c r="I266" s="87" t="s">
        <v>221</v>
      </c>
      <c r="J266" s="89" t="s">
        <v>1654</v>
      </c>
      <c r="K266" s="87" t="s">
        <v>22</v>
      </c>
      <c r="L266" s="87" t="s">
        <v>22</v>
      </c>
      <c r="M266" s="89" t="s">
        <v>1654</v>
      </c>
      <c r="N266" s="85" t="s">
        <v>1655</v>
      </c>
      <c r="O266" s="85" t="s">
        <v>1660</v>
      </c>
      <c r="P266" s="85" t="s">
        <v>1655</v>
      </c>
      <c r="Q266" s="85" t="s">
        <v>1655</v>
      </c>
      <c r="R266" s="85" t="s">
        <v>1655</v>
      </c>
      <c r="S266" s="89" t="s">
        <v>1654</v>
      </c>
      <c r="T266" s="87" t="s">
        <v>1661</v>
      </c>
    </row>
    <row r="267" spans="1:20">
      <c r="A267" s="85">
        <v>53</v>
      </c>
      <c r="B267" s="86" t="s">
        <v>1651</v>
      </c>
      <c r="C267" s="87" t="s">
        <v>261</v>
      </c>
      <c r="D267" s="87" t="s">
        <v>261</v>
      </c>
      <c r="E267" s="88" t="s">
        <v>261</v>
      </c>
      <c r="F267" s="85" t="s">
        <v>1653</v>
      </c>
      <c r="G267" s="85" t="s">
        <v>1653</v>
      </c>
      <c r="H267" s="87" t="s">
        <v>221</v>
      </c>
      <c r="I267" s="87" t="s">
        <v>221</v>
      </c>
      <c r="J267" s="89" t="s">
        <v>1654</v>
      </c>
      <c r="K267" s="87" t="s">
        <v>22</v>
      </c>
      <c r="L267" s="87" t="s">
        <v>22</v>
      </c>
      <c r="M267" s="89" t="s">
        <v>1654</v>
      </c>
      <c r="N267" s="85" t="s">
        <v>1655</v>
      </c>
      <c r="O267" s="85" t="s">
        <v>1660</v>
      </c>
      <c r="P267" s="85" t="s">
        <v>1655</v>
      </c>
      <c r="Q267" s="85" t="s">
        <v>1655</v>
      </c>
      <c r="R267" s="85" t="s">
        <v>1655</v>
      </c>
      <c r="S267" s="89" t="s">
        <v>1654</v>
      </c>
      <c r="T267" s="87" t="s">
        <v>1661</v>
      </c>
    </row>
    <row r="268" spans="1:20">
      <c r="A268" s="85">
        <v>54</v>
      </c>
      <c r="B268" s="92" t="s">
        <v>1663</v>
      </c>
      <c r="C268" s="87" t="s">
        <v>1086</v>
      </c>
      <c r="D268" s="87" t="s">
        <v>18</v>
      </c>
      <c r="E268" s="88" t="s">
        <v>1086</v>
      </c>
      <c r="F268" s="85" t="s">
        <v>1653</v>
      </c>
      <c r="G268" s="85" t="s">
        <v>1653</v>
      </c>
      <c r="H268" s="87" t="s">
        <v>221</v>
      </c>
      <c r="I268" s="87" t="s">
        <v>1307</v>
      </c>
      <c r="J268" s="90" t="s">
        <v>1658</v>
      </c>
      <c r="K268" s="87" t="s">
        <v>18</v>
      </c>
      <c r="L268" s="87" t="s">
        <v>18</v>
      </c>
      <c r="M268" s="89" t="s">
        <v>1671</v>
      </c>
      <c r="N268" s="85" t="s">
        <v>1660</v>
      </c>
      <c r="O268" s="85" t="s">
        <v>1655</v>
      </c>
      <c r="P268" s="85" t="s">
        <v>1655</v>
      </c>
      <c r="Q268" s="85" t="s">
        <v>1655</v>
      </c>
      <c r="R268" s="85" t="s">
        <v>1655</v>
      </c>
      <c r="S268" s="89" t="s">
        <v>1654</v>
      </c>
      <c r="T268" s="91" t="s">
        <v>1709</v>
      </c>
    </row>
    <row r="269" spans="1:20">
      <c r="A269" s="85">
        <v>55</v>
      </c>
      <c r="B269" s="92" t="s">
        <v>1663</v>
      </c>
      <c r="C269" s="87" t="s">
        <v>1087</v>
      </c>
      <c r="D269" s="87" t="s">
        <v>18</v>
      </c>
      <c r="E269" s="88" t="s">
        <v>1087</v>
      </c>
      <c r="F269" s="85" t="s">
        <v>1653</v>
      </c>
      <c r="G269" s="85" t="s">
        <v>1653</v>
      </c>
      <c r="H269" s="87" t="s">
        <v>221</v>
      </c>
      <c r="I269" s="87" t="s">
        <v>221</v>
      </c>
      <c r="J269" s="89" t="s">
        <v>1654</v>
      </c>
      <c r="K269" s="87" t="s">
        <v>18</v>
      </c>
      <c r="L269" s="87" t="s">
        <v>18</v>
      </c>
      <c r="M269" s="89" t="s">
        <v>1671</v>
      </c>
      <c r="N269" s="85" t="s">
        <v>1655</v>
      </c>
      <c r="O269" s="85" t="s">
        <v>1660</v>
      </c>
      <c r="P269" s="85" t="s">
        <v>1655</v>
      </c>
      <c r="Q269" s="85" t="s">
        <v>1655</v>
      </c>
      <c r="R269" s="85" t="s">
        <v>1655</v>
      </c>
      <c r="S269" s="89" t="s">
        <v>1654</v>
      </c>
      <c r="T269" s="87" t="s">
        <v>1685</v>
      </c>
    </row>
    <row r="270" spans="1:20">
      <c r="A270" s="85">
        <v>56</v>
      </c>
      <c r="B270" s="92" t="s">
        <v>1663</v>
      </c>
      <c r="C270" s="87" t="s">
        <v>1088</v>
      </c>
      <c r="D270" s="87" t="s">
        <v>18</v>
      </c>
      <c r="E270" s="88" t="s">
        <v>1088</v>
      </c>
      <c r="F270" s="85" t="s">
        <v>1653</v>
      </c>
      <c r="G270" s="85" t="s">
        <v>1653</v>
      </c>
      <c r="H270" s="87" t="s">
        <v>221</v>
      </c>
      <c r="I270" s="87" t="s">
        <v>221</v>
      </c>
      <c r="J270" s="89" t="s">
        <v>1654</v>
      </c>
      <c r="K270" s="87" t="s">
        <v>18</v>
      </c>
      <c r="L270" s="87" t="s">
        <v>18</v>
      </c>
      <c r="M270" s="89" t="s">
        <v>1671</v>
      </c>
      <c r="N270" s="85" t="s">
        <v>1655</v>
      </c>
      <c r="O270" s="85" t="s">
        <v>1660</v>
      </c>
      <c r="P270" s="85" t="s">
        <v>1655</v>
      </c>
      <c r="Q270" s="85" t="s">
        <v>1655</v>
      </c>
      <c r="R270" s="85" t="s">
        <v>1655</v>
      </c>
      <c r="S270" s="89" t="s">
        <v>1654</v>
      </c>
      <c r="T270" s="87" t="s">
        <v>1685</v>
      </c>
    </row>
    <row r="271" spans="1:20">
      <c r="A271" s="85">
        <v>57</v>
      </c>
      <c r="B271" s="86" t="s">
        <v>1651</v>
      </c>
      <c r="C271" s="87" t="s">
        <v>262</v>
      </c>
      <c r="D271" s="87" t="s">
        <v>262</v>
      </c>
      <c r="E271" s="88" t="s">
        <v>262</v>
      </c>
      <c r="F271" s="85" t="s">
        <v>1653</v>
      </c>
      <c r="G271" s="85" t="s">
        <v>1653</v>
      </c>
      <c r="H271" s="87" t="s">
        <v>221</v>
      </c>
      <c r="I271" s="87" t="s">
        <v>221</v>
      </c>
      <c r="J271" s="89" t="s">
        <v>1654</v>
      </c>
      <c r="K271" s="87" t="s">
        <v>22</v>
      </c>
      <c r="L271" s="87" t="s">
        <v>22</v>
      </c>
      <c r="M271" s="89" t="s">
        <v>1654</v>
      </c>
      <c r="N271" s="85" t="s">
        <v>1655</v>
      </c>
      <c r="O271" s="85" t="s">
        <v>1660</v>
      </c>
      <c r="P271" s="85" t="s">
        <v>1655</v>
      </c>
      <c r="Q271" s="85" t="s">
        <v>1655</v>
      </c>
      <c r="R271" s="85" t="s">
        <v>1655</v>
      </c>
      <c r="S271" s="89" t="s">
        <v>1654</v>
      </c>
      <c r="T271" s="87" t="s">
        <v>1661</v>
      </c>
    </row>
    <row r="272" spans="1:20">
      <c r="A272" s="85">
        <v>58</v>
      </c>
      <c r="B272" s="86" t="s">
        <v>1651</v>
      </c>
      <c r="C272" s="87" t="s">
        <v>263</v>
      </c>
      <c r="D272" s="87" t="s">
        <v>263</v>
      </c>
      <c r="E272" s="88" t="s">
        <v>263</v>
      </c>
      <c r="F272" s="85" t="s">
        <v>1653</v>
      </c>
      <c r="G272" s="85" t="s">
        <v>1653</v>
      </c>
      <c r="H272" s="87" t="s">
        <v>221</v>
      </c>
      <c r="I272" s="87" t="s">
        <v>221</v>
      </c>
      <c r="J272" s="89" t="s">
        <v>1654</v>
      </c>
      <c r="K272" s="87" t="s">
        <v>22</v>
      </c>
      <c r="L272" s="87" t="s">
        <v>22</v>
      </c>
      <c r="M272" s="89" t="s">
        <v>1654</v>
      </c>
      <c r="N272" s="85" t="s">
        <v>1655</v>
      </c>
      <c r="O272" s="85" t="s">
        <v>1660</v>
      </c>
      <c r="P272" s="85" t="s">
        <v>1655</v>
      </c>
      <c r="Q272" s="85" t="s">
        <v>1655</v>
      </c>
      <c r="R272" s="85" t="s">
        <v>1655</v>
      </c>
      <c r="S272" s="89" t="s">
        <v>1654</v>
      </c>
      <c r="T272" s="87" t="s">
        <v>1661</v>
      </c>
    </row>
    <row r="273" spans="1:20">
      <c r="A273" s="85">
        <v>1</v>
      </c>
      <c r="B273" s="86" t="s">
        <v>1651</v>
      </c>
      <c r="C273" s="87" t="s">
        <v>480</v>
      </c>
      <c r="D273" s="87" t="s">
        <v>264</v>
      </c>
      <c r="E273" s="88" t="s">
        <v>264</v>
      </c>
      <c r="F273" s="85" t="s">
        <v>1653</v>
      </c>
      <c r="G273" s="85" t="s">
        <v>1653</v>
      </c>
      <c r="H273" s="87" t="s">
        <v>265</v>
      </c>
      <c r="I273" s="87" t="s">
        <v>265</v>
      </c>
      <c r="J273" s="89" t="s">
        <v>1654</v>
      </c>
      <c r="K273" s="87" t="s">
        <v>227</v>
      </c>
      <c r="L273" s="87" t="s">
        <v>227</v>
      </c>
      <c r="M273" s="89" t="s">
        <v>1654</v>
      </c>
      <c r="N273" s="85" t="s">
        <v>1655</v>
      </c>
      <c r="O273" s="85" t="s">
        <v>1655</v>
      </c>
      <c r="P273" s="85" t="s">
        <v>1655</v>
      </c>
      <c r="Q273" s="85" t="s">
        <v>1660</v>
      </c>
      <c r="R273" s="85" t="s">
        <v>1655</v>
      </c>
      <c r="S273" s="89" t="s">
        <v>1654</v>
      </c>
      <c r="T273" s="87" t="s">
        <v>1661</v>
      </c>
    </row>
    <row r="274" spans="1:20">
      <c r="A274" s="85">
        <v>2</v>
      </c>
      <c r="B274" s="86" t="s">
        <v>1651</v>
      </c>
      <c r="C274" s="87" t="s">
        <v>549</v>
      </c>
      <c r="D274" s="87" t="s">
        <v>266</v>
      </c>
      <c r="E274" s="88" t="s">
        <v>266</v>
      </c>
      <c r="F274" s="85" t="s">
        <v>1653</v>
      </c>
      <c r="G274" s="85" t="s">
        <v>1653</v>
      </c>
      <c r="H274" s="87" t="s">
        <v>265</v>
      </c>
      <c r="I274" s="87" t="s">
        <v>265</v>
      </c>
      <c r="J274" s="89" t="s">
        <v>1654</v>
      </c>
      <c r="K274" s="87" t="s">
        <v>227</v>
      </c>
      <c r="L274" s="87" t="s">
        <v>227</v>
      </c>
      <c r="M274" s="89" t="s">
        <v>1654</v>
      </c>
      <c r="N274" s="85" t="s">
        <v>1655</v>
      </c>
      <c r="O274" s="85" t="s">
        <v>1660</v>
      </c>
      <c r="P274" s="85" t="s">
        <v>1655</v>
      </c>
      <c r="Q274" s="85" t="s">
        <v>1660</v>
      </c>
      <c r="R274" s="85" t="s">
        <v>1655</v>
      </c>
      <c r="S274" s="89" t="s">
        <v>1654</v>
      </c>
      <c r="T274" s="87" t="s">
        <v>1661</v>
      </c>
    </row>
    <row r="275" spans="1:20">
      <c r="A275" s="85">
        <v>3</v>
      </c>
      <c r="B275" s="86" t="s">
        <v>1651</v>
      </c>
      <c r="C275" s="87" t="s">
        <v>267</v>
      </c>
      <c r="D275" s="87" t="s">
        <v>267</v>
      </c>
      <c r="E275" s="88" t="s">
        <v>267</v>
      </c>
      <c r="F275" s="85" t="s">
        <v>1653</v>
      </c>
      <c r="G275" s="85" t="s">
        <v>1653</v>
      </c>
      <c r="H275" s="87" t="s">
        <v>265</v>
      </c>
      <c r="I275" s="87" t="s">
        <v>265</v>
      </c>
      <c r="J275" s="89" t="s">
        <v>1654</v>
      </c>
      <c r="K275" s="87" t="s">
        <v>22</v>
      </c>
      <c r="L275" s="87" t="s">
        <v>22</v>
      </c>
      <c r="M275" s="89" t="s">
        <v>1654</v>
      </c>
      <c r="N275" s="85" t="s">
        <v>1655</v>
      </c>
      <c r="O275" s="85" t="s">
        <v>1660</v>
      </c>
      <c r="P275" s="85" t="s">
        <v>1655</v>
      </c>
      <c r="Q275" s="85" t="s">
        <v>1655</v>
      </c>
      <c r="R275" s="85" t="s">
        <v>1655</v>
      </c>
      <c r="S275" s="89" t="s">
        <v>1654</v>
      </c>
      <c r="T275" s="87" t="s">
        <v>1661</v>
      </c>
    </row>
    <row r="276" spans="1:20">
      <c r="A276" s="85">
        <v>4</v>
      </c>
      <c r="B276" s="86" t="s">
        <v>1651</v>
      </c>
      <c r="C276" s="87" t="s">
        <v>268</v>
      </c>
      <c r="D276" s="87" t="s">
        <v>268</v>
      </c>
      <c r="E276" s="88" t="s">
        <v>268</v>
      </c>
      <c r="F276" s="85" t="s">
        <v>1653</v>
      </c>
      <c r="G276" s="85" t="s">
        <v>1653</v>
      </c>
      <c r="H276" s="87" t="s">
        <v>265</v>
      </c>
      <c r="I276" s="87" t="s">
        <v>265</v>
      </c>
      <c r="J276" s="89" t="s">
        <v>1654</v>
      </c>
      <c r="K276" s="87" t="s">
        <v>17</v>
      </c>
      <c r="L276" s="87" t="s">
        <v>17</v>
      </c>
      <c r="M276" s="89" t="s">
        <v>1654</v>
      </c>
      <c r="N276" s="85" t="s">
        <v>1660</v>
      </c>
      <c r="O276" s="85" t="s">
        <v>1655</v>
      </c>
      <c r="P276" s="85" t="s">
        <v>1655</v>
      </c>
      <c r="Q276" s="85" t="s">
        <v>1655</v>
      </c>
      <c r="R276" s="85" t="s">
        <v>1655</v>
      </c>
      <c r="S276" s="89" t="s">
        <v>1654</v>
      </c>
      <c r="T276" s="87" t="s">
        <v>1661</v>
      </c>
    </row>
    <row r="277" spans="1:20">
      <c r="A277" s="85">
        <v>5</v>
      </c>
      <c r="B277" s="92" t="s">
        <v>1663</v>
      </c>
      <c r="C277" s="87" t="s">
        <v>1015</v>
      </c>
      <c r="D277" s="87" t="s">
        <v>18</v>
      </c>
      <c r="E277" s="88" t="s">
        <v>1015</v>
      </c>
      <c r="F277" s="85" t="s">
        <v>1653</v>
      </c>
      <c r="G277" s="85" t="s">
        <v>1653</v>
      </c>
      <c r="H277" s="87" t="s">
        <v>265</v>
      </c>
      <c r="I277" s="87" t="s">
        <v>265</v>
      </c>
      <c r="J277" s="89" t="s">
        <v>1654</v>
      </c>
      <c r="K277" s="87" t="s">
        <v>18</v>
      </c>
      <c r="L277" s="87" t="s">
        <v>18</v>
      </c>
      <c r="M277" s="89" t="s">
        <v>1671</v>
      </c>
      <c r="N277" s="85" t="s">
        <v>1655</v>
      </c>
      <c r="O277" s="85" t="s">
        <v>1660</v>
      </c>
      <c r="P277" s="85" t="s">
        <v>1655</v>
      </c>
      <c r="Q277" s="85" t="s">
        <v>1655</v>
      </c>
      <c r="R277" s="85" t="s">
        <v>1655</v>
      </c>
      <c r="S277" s="89" t="s">
        <v>1654</v>
      </c>
      <c r="T277" s="87" t="s">
        <v>1685</v>
      </c>
    </row>
    <row r="278" spans="1:20">
      <c r="A278" s="85">
        <v>6</v>
      </c>
      <c r="B278" s="92" t="s">
        <v>1663</v>
      </c>
      <c r="C278" s="87" t="s">
        <v>1018</v>
      </c>
      <c r="D278" s="87" t="s">
        <v>18</v>
      </c>
      <c r="E278" s="88" t="s">
        <v>1018</v>
      </c>
      <c r="F278" s="85" t="s">
        <v>1653</v>
      </c>
      <c r="G278" s="85" t="s">
        <v>1653</v>
      </c>
      <c r="H278" s="87" t="s">
        <v>265</v>
      </c>
      <c r="I278" s="87" t="s">
        <v>265</v>
      </c>
      <c r="J278" s="89" t="s">
        <v>1654</v>
      </c>
      <c r="K278" s="87" t="s">
        <v>18</v>
      </c>
      <c r="L278" s="87" t="s">
        <v>18</v>
      </c>
      <c r="M278" s="89" t="s">
        <v>1671</v>
      </c>
      <c r="N278" s="85" t="s">
        <v>1655</v>
      </c>
      <c r="O278" s="85" t="s">
        <v>1660</v>
      </c>
      <c r="P278" s="85" t="s">
        <v>1655</v>
      </c>
      <c r="Q278" s="85" t="s">
        <v>1655</v>
      </c>
      <c r="R278" s="85" t="s">
        <v>1655</v>
      </c>
      <c r="S278" s="89" t="s">
        <v>1654</v>
      </c>
      <c r="T278" s="87" t="s">
        <v>1685</v>
      </c>
    </row>
    <row r="279" spans="1:20">
      <c r="A279" s="85">
        <v>7</v>
      </c>
      <c r="B279" s="92" t="s">
        <v>1663</v>
      </c>
      <c r="C279" s="87" t="s">
        <v>1021</v>
      </c>
      <c r="D279" s="87" t="s">
        <v>18</v>
      </c>
      <c r="E279" s="88" t="s">
        <v>1021</v>
      </c>
      <c r="F279" s="85" t="s">
        <v>1653</v>
      </c>
      <c r="G279" s="85" t="s">
        <v>1653</v>
      </c>
      <c r="H279" s="87" t="s">
        <v>265</v>
      </c>
      <c r="I279" s="87" t="s">
        <v>1307</v>
      </c>
      <c r="J279" s="90" t="s">
        <v>1658</v>
      </c>
      <c r="K279" s="87" t="s">
        <v>18</v>
      </c>
      <c r="L279" s="87" t="s">
        <v>18</v>
      </c>
      <c r="M279" s="89" t="s">
        <v>1671</v>
      </c>
      <c r="N279" s="85" t="s">
        <v>1660</v>
      </c>
      <c r="O279" s="85" t="s">
        <v>1655</v>
      </c>
      <c r="P279" s="85" t="s">
        <v>1655</v>
      </c>
      <c r="Q279" s="85" t="s">
        <v>1655</v>
      </c>
      <c r="R279" s="85" t="s">
        <v>1655</v>
      </c>
      <c r="S279" s="89" t="s">
        <v>1654</v>
      </c>
      <c r="T279" s="91" t="s">
        <v>1711</v>
      </c>
    </row>
    <row r="280" spans="1:20">
      <c r="A280" s="85">
        <v>1</v>
      </c>
      <c r="B280" s="86" t="s">
        <v>1651</v>
      </c>
      <c r="C280" s="87" t="s">
        <v>269</v>
      </c>
      <c r="D280" s="87" t="s">
        <v>269</v>
      </c>
      <c r="E280" s="88" t="s">
        <v>269</v>
      </c>
      <c r="F280" s="85" t="s">
        <v>1653</v>
      </c>
      <c r="G280" s="85" t="s">
        <v>1653</v>
      </c>
      <c r="H280" s="87" t="s">
        <v>270</v>
      </c>
      <c r="I280" s="87" t="s">
        <v>270</v>
      </c>
      <c r="J280" s="89" t="s">
        <v>1654</v>
      </c>
      <c r="K280" s="87" t="s">
        <v>17</v>
      </c>
      <c r="L280" s="87" t="s">
        <v>17</v>
      </c>
      <c r="M280" s="89" t="s">
        <v>1654</v>
      </c>
      <c r="N280" s="85" t="s">
        <v>1655</v>
      </c>
      <c r="O280" s="85" t="s">
        <v>1655</v>
      </c>
      <c r="P280" s="85" t="s">
        <v>1655</v>
      </c>
      <c r="Q280" s="85" t="s">
        <v>1660</v>
      </c>
      <c r="R280" s="85" t="s">
        <v>1655</v>
      </c>
      <c r="S280" s="89" t="s">
        <v>1654</v>
      </c>
      <c r="T280" s="87" t="s">
        <v>1661</v>
      </c>
    </row>
    <row r="281" spans="1:20">
      <c r="A281" s="85">
        <v>2</v>
      </c>
      <c r="B281" s="86" t="s">
        <v>1651</v>
      </c>
      <c r="C281" s="87" t="s">
        <v>271</v>
      </c>
      <c r="D281" s="87" t="s">
        <v>271</v>
      </c>
      <c r="E281" s="88" t="s">
        <v>271</v>
      </c>
      <c r="F281" s="85" t="s">
        <v>1653</v>
      </c>
      <c r="G281" s="85" t="s">
        <v>1653</v>
      </c>
      <c r="H281" s="87" t="s">
        <v>270</v>
      </c>
      <c r="I281" s="87" t="s">
        <v>270</v>
      </c>
      <c r="J281" s="89" t="s">
        <v>1654</v>
      </c>
      <c r="K281" s="87" t="s">
        <v>273</v>
      </c>
      <c r="L281" s="87" t="s">
        <v>273</v>
      </c>
      <c r="M281" s="89" t="s">
        <v>1654</v>
      </c>
      <c r="N281" s="85" t="s">
        <v>1655</v>
      </c>
      <c r="O281" s="85" t="s">
        <v>1655</v>
      </c>
      <c r="P281" s="85" t="s">
        <v>1655</v>
      </c>
      <c r="Q281" s="85" t="s">
        <v>1660</v>
      </c>
      <c r="R281" s="85" t="s">
        <v>1655</v>
      </c>
      <c r="S281" s="89" t="s">
        <v>1654</v>
      </c>
      <c r="T281" s="87" t="s">
        <v>1661</v>
      </c>
    </row>
    <row r="282" spans="1:20">
      <c r="A282" s="85">
        <v>3</v>
      </c>
      <c r="B282" s="86" t="s">
        <v>1651</v>
      </c>
      <c r="C282" s="87" t="s">
        <v>274</v>
      </c>
      <c r="D282" s="87" t="s">
        <v>274</v>
      </c>
      <c r="E282" s="88" t="s">
        <v>274</v>
      </c>
      <c r="F282" s="85" t="s">
        <v>1653</v>
      </c>
      <c r="G282" s="85" t="s">
        <v>1653</v>
      </c>
      <c r="H282" s="87" t="s">
        <v>270</v>
      </c>
      <c r="I282" s="87" t="s">
        <v>270</v>
      </c>
      <c r="J282" s="89" t="s">
        <v>1654</v>
      </c>
      <c r="K282" s="87" t="s">
        <v>273</v>
      </c>
      <c r="L282" s="87" t="s">
        <v>273</v>
      </c>
      <c r="M282" s="89" t="s">
        <v>1654</v>
      </c>
      <c r="N282" s="85" t="s">
        <v>1655</v>
      </c>
      <c r="O282" s="85" t="s">
        <v>1655</v>
      </c>
      <c r="P282" s="85" t="s">
        <v>1655</v>
      </c>
      <c r="Q282" s="85" t="s">
        <v>1660</v>
      </c>
      <c r="R282" s="85" t="s">
        <v>1655</v>
      </c>
      <c r="S282" s="89" t="s">
        <v>1654</v>
      </c>
      <c r="T282" s="87" t="s">
        <v>1661</v>
      </c>
    </row>
    <row r="283" spans="1:20">
      <c r="A283" s="85">
        <v>4</v>
      </c>
      <c r="B283" s="86" t="s">
        <v>1651</v>
      </c>
      <c r="C283" s="87" t="s">
        <v>275</v>
      </c>
      <c r="D283" s="87" t="s">
        <v>275</v>
      </c>
      <c r="E283" s="88" t="s">
        <v>275</v>
      </c>
      <c r="F283" s="85" t="s">
        <v>1653</v>
      </c>
      <c r="G283" s="85" t="s">
        <v>1653</v>
      </c>
      <c r="H283" s="87" t="s">
        <v>270</v>
      </c>
      <c r="I283" s="87" t="s">
        <v>270</v>
      </c>
      <c r="J283" s="89" t="s">
        <v>1654</v>
      </c>
      <c r="K283" s="87" t="s">
        <v>273</v>
      </c>
      <c r="L283" s="87" t="s">
        <v>273</v>
      </c>
      <c r="M283" s="89" t="s">
        <v>1654</v>
      </c>
      <c r="N283" s="85" t="s">
        <v>1655</v>
      </c>
      <c r="O283" s="85" t="s">
        <v>1655</v>
      </c>
      <c r="P283" s="85" t="s">
        <v>1655</v>
      </c>
      <c r="Q283" s="85" t="s">
        <v>1660</v>
      </c>
      <c r="R283" s="85" t="s">
        <v>1655</v>
      </c>
      <c r="S283" s="89" t="s">
        <v>1654</v>
      </c>
      <c r="T283" s="87" t="s">
        <v>1661</v>
      </c>
    </row>
    <row r="284" spans="1:20">
      <c r="A284" s="85">
        <v>5</v>
      </c>
      <c r="B284" s="86" t="s">
        <v>1651</v>
      </c>
      <c r="C284" s="87" t="s">
        <v>276</v>
      </c>
      <c r="D284" s="87" t="s">
        <v>276</v>
      </c>
      <c r="E284" s="88" t="s">
        <v>276</v>
      </c>
      <c r="F284" s="85" t="s">
        <v>1653</v>
      </c>
      <c r="G284" s="85" t="s">
        <v>1653</v>
      </c>
      <c r="H284" s="87" t="s">
        <v>270</v>
      </c>
      <c r="I284" s="87" t="s">
        <v>270</v>
      </c>
      <c r="J284" s="89" t="s">
        <v>1654</v>
      </c>
      <c r="K284" s="87" t="s">
        <v>273</v>
      </c>
      <c r="L284" s="87" t="s">
        <v>273</v>
      </c>
      <c r="M284" s="89" t="s">
        <v>1654</v>
      </c>
      <c r="N284" s="85" t="s">
        <v>1655</v>
      </c>
      <c r="O284" s="85" t="s">
        <v>1655</v>
      </c>
      <c r="P284" s="85" t="s">
        <v>1655</v>
      </c>
      <c r="Q284" s="85" t="s">
        <v>1660</v>
      </c>
      <c r="R284" s="85" t="s">
        <v>1655</v>
      </c>
      <c r="S284" s="89" t="s">
        <v>1654</v>
      </c>
      <c r="T284" s="87" t="s">
        <v>1661</v>
      </c>
    </row>
    <row r="285" spans="1:20">
      <c r="A285" s="85">
        <v>6</v>
      </c>
      <c r="B285" s="86" t="s">
        <v>1651</v>
      </c>
      <c r="C285" s="87" t="s">
        <v>277</v>
      </c>
      <c r="D285" s="87" t="s">
        <v>277</v>
      </c>
      <c r="E285" s="88" t="s">
        <v>277</v>
      </c>
      <c r="F285" s="85" t="s">
        <v>1653</v>
      </c>
      <c r="G285" s="85" t="s">
        <v>1653</v>
      </c>
      <c r="H285" s="87" t="s">
        <v>270</v>
      </c>
      <c r="I285" s="87" t="s">
        <v>270</v>
      </c>
      <c r="J285" s="89" t="s">
        <v>1654</v>
      </c>
      <c r="K285" s="87" t="s">
        <v>273</v>
      </c>
      <c r="L285" s="87" t="s">
        <v>273</v>
      </c>
      <c r="M285" s="89" t="s">
        <v>1654</v>
      </c>
      <c r="N285" s="85" t="s">
        <v>1655</v>
      </c>
      <c r="O285" s="85" t="s">
        <v>1655</v>
      </c>
      <c r="P285" s="85" t="s">
        <v>1655</v>
      </c>
      <c r="Q285" s="85" t="s">
        <v>1660</v>
      </c>
      <c r="R285" s="85" t="s">
        <v>1655</v>
      </c>
      <c r="S285" s="89" t="s">
        <v>1654</v>
      </c>
      <c r="T285" s="87" t="s">
        <v>1661</v>
      </c>
    </row>
    <row r="286" spans="1:20">
      <c r="A286" s="85">
        <v>7</v>
      </c>
      <c r="B286" s="86" t="s">
        <v>1651</v>
      </c>
      <c r="C286" s="87" t="s">
        <v>278</v>
      </c>
      <c r="D286" s="87" t="s">
        <v>278</v>
      </c>
      <c r="E286" s="88" t="s">
        <v>278</v>
      </c>
      <c r="F286" s="85" t="s">
        <v>1653</v>
      </c>
      <c r="G286" s="85" t="s">
        <v>1653</v>
      </c>
      <c r="H286" s="87" t="s">
        <v>270</v>
      </c>
      <c r="I286" s="87" t="s">
        <v>270</v>
      </c>
      <c r="J286" s="89" t="s">
        <v>1654</v>
      </c>
      <c r="K286" s="87" t="s">
        <v>273</v>
      </c>
      <c r="L286" s="87" t="s">
        <v>273</v>
      </c>
      <c r="M286" s="89" t="s">
        <v>1654</v>
      </c>
      <c r="N286" s="85" t="s">
        <v>1655</v>
      </c>
      <c r="O286" s="85" t="s">
        <v>1655</v>
      </c>
      <c r="P286" s="85" t="s">
        <v>1655</v>
      </c>
      <c r="Q286" s="85" t="s">
        <v>1660</v>
      </c>
      <c r="R286" s="85" t="s">
        <v>1655</v>
      </c>
      <c r="S286" s="89" t="s">
        <v>1654</v>
      </c>
      <c r="T286" s="87" t="s">
        <v>1661</v>
      </c>
    </row>
    <row r="287" spans="1:20">
      <c r="A287" s="85">
        <v>8</v>
      </c>
      <c r="B287" s="86" t="s">
        <v>1651</v>
      </c>
      <c r="C287" s="87" t="s">
        <v>279</v>
      </c>
      <c r="D287" s="87" t="s">
        <v>279</v>
      </c>
      <c r="E287" s="88" t="s">
        <v>279</v>
      </c>
      <c r="F287" s="85" t="s">
        <v>1653</v>
      </c>
      <c r="G287" s="85" t="s">
        <v>1653</v>
      </c>
      <c r="H287" s="87" t="s">
        <v>270</v>
      </c>
      <c r="I287" s="87" t="s">
        <v>270</v>
      </c>
      <c r="J287" s="89" t="s">
        <v>1654</v>
      </c>
      <c r="K287" s="87" t="s">
        <v>273</v>
      </c>
      <c r="L287" s="87" t="s">
        <v>273</v>
      </c>
      <c r="M287" s="89" t="s">
        <v>1654</v>
      </c>
      <c r="N287" s="85" t="s">
        <v>1655</v>
      </c>
      <c r="O287" s="85" t="s">
        <v>1655</v>
      </c>
      <c r="P287" s="85" t="s">
        <v>1655</v>
      </c>
      <c r="Q287" s="85" t="s">
        <v>1660</v>
      </c>
      <c r="R287" s="85" t="s">
        <v>1655</v>
      </c>
      <c r="S287" s="89" t="s">
        <v>1654</v>
      </c>
      <c r="T287" s="87" t="s">
        <v>1661</v>
      </c>
    </row>
    <row r="288" spans="1:20">
      <c r="A288" s="85">
        <v>9</v>
      </c>
      <c r="B288" s="86" t="s">
        <v>1651</v>
      </c>
      <c r="C288" s="87" t="s">
        <v>280</v>
      </c>
      <c r="D288" s="87" t="s">
        <v>280</v>
      </c>
      <c r="E288" s="88" t="s">
        <v>280</v>
      </c>
      <c r="F288" s="85" t="s">
        <v>1653</v>
      </c>
      <c r="G288" s="85" t="s">
        <v>1653</v>
      </c>
      <c r="H288" s="87" t="s">
        <v>270</v>
      </c>
      <c r="I288" s="87" t="s">
        <v>270</v>
      </c>
      <c r="J288" s="89" t="s">
        <v>1654</v>
      </c>
      <c r="K288" s="87" t="s">
        <v>273</v>
      </c>
      <c r="L288" s="87" t="s">
        <v>273</v>
      </c>
      <c r="M288" s="89" t="s">
        <v>1654</v>
      </c>
      <c r="N288" s="85" t="s">
        <v>1655</v>
      </c>
      <c r="O288" s="85" t="s">
        <v>1655</v>
      </c>
      <c r="P288" s="85" t="s">
        <v>1655</v>
      </c>
      <c r="Q288" s="85" t="s">
        <v>1660</v>
      </c>
      <c r="R288" s="85" t="s">
        <v>1655</v>
      </c>
      <c r="S288" s="89" t="s">
        <v>1654</v>
      </c>
      <c r="T288" s="87" t="s">
        <v>1661</v>
      </c>
    </row>
    <row r="289" spans="1:20">
      <c r="A289" s="85">
        <v>10</v>
      </c>
      <c r="B289" s="86" t="s">
        <v>1651</v>
      </c>
      <c r="C289" s="87" t="s">
        <v>281</v>
      </c>
      <c r="D289" s="87" t="s">
        <v>281</v>
      </c>
      <c r="E289" s="88" t="s">
        <v>281</v>
      </c>
      <c r="F289" s="85" t="s">
        <v>1653</v>
      </c>
      <c r="G289" s="85" t="s">
        <v>1653</v>
      </c>
      <c r="H289" s="87" t="s">
        <v>270</v>
      </c>
      <c r="I289" s="87" t="s">
        <v>270</v>
      </c>
      <c r="J289" s="89" t="s">
        <v>1654</v>
      </c>
      <c r="K289" s="87" t="s">
        <v>273</v>
      </c>
      <c r="L289" s="87" t="s">
        <v>273</v>
      </c>
      <c r="M289" s="89" t="s">
        <v>1654</v>
      </c>
      <c r="N289" s="85" t="s">
        <v>1655</v>
      </c>
      <c r="O289" s="85" t="s">
        <v>1655</v>
      </c>
      <c r="P289" s="85" t="s">
        <v>1655</v>
      </c>
      <c r="Q289" s="85" t="s">
        <v>1660</v>
      </c>
      <c r="R289" s="85" t="s">
        <v>1655</v>
      </c>
      <c r="S289" s="89" t="s">
        <v>1654</v>
      </c>
      <c r="T289" s="87" t="s">
        <v>1661</v>
      </c>
    </row>
    <row r="290" spans="1:20">
      <c r="A290" s="85">
        <v>11</v>
      </c>
      <c r="B290" s="86" t="s">
        <v>1651</v>
      </c>
      <c r="C290" s="87" t="s">
        <v>282</v>
      </c>
      <c r="D290" s="87" t="s">
        <v>282</v>
      </c>
      <c r="E290" s="88" t="s">
        <v>282</v>
      </c>
      <c r="F290" s="85" t="s">
        <v>1653</v>
      </c>
      <c r="G290" s="85" t="s">
        <v>1653</v>
      </c>
      <c r="H290" s="87" t="s">
        <v>270</v>
      </c>
      <c r="I290" s="87" t="s">
        <v>270</v>
      </c>
      <c r="J290" s="89" t="s">
        <v>1654</v>
      </c>
      <c r="K290" s="87" t="s">
        <v>273</v>
      </c>
      <c r="L290" s="87" t="s">
        <v>273</v>
      </c>
      <c r="M290" s="89" t="s">
        <v>1654</v>
      </c>
      <c r="N290" s="85" t="s">
        <v>1655</v>
      </c>
      <c r="O290" s="85" t="s">
        <v>1655</v>
      </c>
      <c r="P290" s="85" t="s">
        <v>1655</v>
      </c>
      <c r="Q290" s="85" t="s">
        <v>1660</v>
      </c>
      <c r="R290" s="85" t="s">
        <v>1655</v>
      </c>
      <c r="S290" s="89" t="s">
        <v>1654</v>
      </c>
      <c r="T290" s="87" t="s">
        <v>1661</v>
      </c>
    </row>
    <row r="291" spans="1:20">
      <c r="A291" s="85">
        <v>12</v>
      </c>
      <c r="B291" s="86" t="s">
        <v>1651</v>
      </c>
      <c r="C291" s="87" t="s">
        <v>283</v>
      </c>
      <c r="D291" s="87" t="s">
        <v>283</v>
      </c>
      <c r="E291" s="88" t="s">
        <v>283</v>
      </c>
      <c r="F291" s="85" t="s">
        <v>1653</v>
      </c>
      <c r="G291" s="85" t="s">
        <v>1653</v>
      </c>
      <c r="H291" s="87" t="s">
        <v>270</v>
      </c>
      <c r="I291" s="87" t="s">
        <v>270</v>
      </c>
      <c r="J291" s="89" t="s">
        <v>1654</v>
      </c>
      <c r="K291" s="87" t="s">
        <v>273</v>
      </c>
      <c r="L291" s="87" t="s">
        <v>273</v>
      </c>
      <c r="M291" s="89" t="s">
        <v>1654</v>
      </c>
      <c r="N291" s="85" t="s">
        <v>1655</v>
      </c>
      <c r="O291" s="85" t="s">
        <v>1655</v>
      </c>
      <c r="P291" s="85" t="s">
        <v>1655</v>
      </c>
      <c r="Q291" s="85" t="s">
        <v>1660</v>
      </c>
      <c r="R291" s="85" t="s">
        <v>1655</v>
      </c>
      <c r="S291" s="89" t="s">
        <v>1654</v>
      </c>
      <c r="T291" s="87" t="s">
        <v>1661</v>
      </c>
    </row>
    <row r="292" spans="1:20">
      <c r="A292" s="85">
        <v>13</v>
      </c>
      <c r="B292" s="86" t="s">
        <v>1651</v>
      </c>
      <c r="C292" s="87" t="s">
        <v>284</v>
      </c>
      <c r="D292" s="87" t="s">
        <v>284</v>
      </c>
      <c r="E292" s="88" t="s">
        <v>284</v>
      </c>
      <c r="F292" s="85" t="s">
        <v>1653</v>
      </c>
      <c r="G292" s="85" t="s">
        <v>1653</v>
      </c>
      <c r="H292" s="87" t="s">
        <v>270</v>
      </c>
      <c r="I292" s="87" t="s">
        <v>270</v>
      </c>
      <c r="J292" s="89" t="s">
        <v>1654</v>
      </c>
      <c r="K292" s="87" t="s">
        <v>273</v>
      </c>
      <c r="L292" s="87" t="s">
        <v>273</v>
      </c>
      <c r="M292" s="89" t="s">
        <v>1654</v>
      </c>
      <c r="N292" s="85" t="s">
        <v>1655</v>
      </c>
      <c r="O292" s="85" t="s">
        <v>1655</v>
      </c>
      <c r="P292" s="85" t="s">
        <v>1655</v>
      </c>
      <c r="Q292" s="85" t="s">
        <v>1660</v>
      </c>
      <c r="R292" s="85" t="s">
        <v>1655</v>
      </c>
      <c r="S292" s="89" t="s">
        <v>1654</v>
      </c>
      <c r="T292" s="87" t="s">
        <v>1661</v>
      </c>
    </row>
    <row r="293" spans="1:20">
      <c r="A293" s="85">
        <v>14</v>
      </c>
      <c r="B293" s="86" t="s">
        <v>1651</v>
      </c>
      <c r="C293" s="87" t="s">
        <v>285</v>
      </c>
      <c r="D293" s="87" t="s">
        <v>285</v>
      </c>
      <c r="E293" s="88" t="s">
        <v>285</v>
      </c>
      <c r="F293" s="85" t="s">
        <v>1653</v>
      </c>
      <c r="G293" s="85" t="s">
        <v>1653</v>
      </c>
      <c r="H293" s="87" t="s">
        <v>270</v>
      </c>
      <c r="I293" s="87" t="s">
        <v>270</v>
      </c>
      <c r="J293" s="89" t="s">
        <v>1654</v>
      </c>
      <c r="K293" s="87" t="s">
        <v>273</v>
      </c>
      <c r="L293" s="87" t="s">
        <v>273</v>
      </c>
      <c r="M293" s="89" t="s">
        <v>1654</v>
      </c>
      <c r="N293" s="85" t="s">
        <v>1655</v>
      </c>
      <c r="O293" s="85" t="s">
        <v>1655</v>
      </c>
      <c r="P293" s="85" t="s">
        <v>1655</v>
      </c>
      <c r="Q293" s="85" t="s">
        <v>1660</v>
      </c>
      <c r="R293" s="85" t="s">
        <v>1655</v>
      </c>
      <c r="S293" s="89" t="s">
        <v>1654</v>
      </c>
      <c r="T293" s="87" t="s">
        <v>1661</v>
      </c>
    </row>
    <row r="294" spans="1:20">
      <c r="A294" s="85">
        <v>15</v>
      </c>
      <c r="B294" s="86" t="s">
        <v>1651</v>
      </c>
      <c r="C294" s="87" t="s">
        <v>286</v>
      </c>
      <c r="D294" s="87" t="s">
        <v>286</v>
      </c>
      <c r="E294" s="88" t="s">
        <v>286</v>
      </c>
      <c r="F294" s="85" t="s">
        <v>1653</v>
      </c>
      <c r="G294" s="85" t="s">
        <v>1653</v>
      </c>
      <c r="H294" s="87" t="s">
        <v>270</v>
      </c>
      <c r="I294" s="87" t="s">
        <v>270</v>
      </c>
      <c r="J294" s="89" t="s">
        <v>1654</v>
      </c>
      <c r="K294" s="87" t="s">
        <v>273</v>
      </c>
      <c r="L294" s="87" t="s">
        <v>273</v>
      </c>
      <c r="M294" s="89" t="s">
        <v>1654</v>
      </c>
      <c r="N294" s="85" t="s">
        <v>1655</v>
      </c>
      <c r="O294" s="85" t="s">
        <v>1655</v>
      </c>
      <c r="P294" s="85" t="s">
        <v>1655</v>
      </c>
      <c r="Q294" s="85" t="s">
        <v>1660</v>
      </c>
      <c r="R294" s="85" t="s">
        <v>1655</v>
      </c>
      <c r="S294" s="89" t="s">
        <v>1654</v>
      </c>
      <c r="T294" s="87" t="s">
        <v>1661</v>
      </c>
    </row>
    <row r="295" spans="1:20">
      <c r="A295" s="85">
        <v>16</v>
      </c>
      <c r="B295" s="86" t="s">
        <v>1651</v>
      </c>
      <c r="C295" s="87" t="s">
        <v>287</v>
      </c>
      <c r="D295" s="87" t="s">
        <v>287</v>
      </c>
      <c r="E295" s="88" t="s">
        <v>287</v>
      </c>
      <c r="F295" s="85" t="s">
        <v>1653</v>
      </c>
      <c r="G295" s="85" t="s">
        <v>1653</v>
      </c>
      <c r="H295" s="87" t="s">
        <v>270</v>
      </c>
      <c r="I295" s="87" t="s">
        <v>270</v>
      </c>
      <c r="J295" s="89" t="s">
        <v>1654</v>
      </c>
      <c r="K295" s="87" t="s">
        <v>273</v>
      </c>
      <c r="L295" s="87" t="s">
        <v>273</v>
      </c>
      <c r="M295" s="89" t="s">
        <v>1654</v>
      </c>
      <c r="N295" s="85" t="s">
        <v>1655</v>
      </c>
      <c r="O295" s="85" t="s">
        <v>1655</v>
      </c>
      <c r="P295" s="85" t="s">
        <v>1655</v>
      </c>
      <c r="Q295" s="85" t="s">
        <v>1660</v>
      </c>
      <c r="R295" s="85" t="s">
        <v>1655</v>
      </c>
      <c r="S295" s="89" t="s">
        <v>1654</v>
      </c>
      <c r="T295" s="87" t="s">
        <v>1661</v>
      </c>
    </row>
    <row r="296" spans="1:20">
      <c r="A296" s="85">
        <v>17</v>
      </c>
      <c r="B296" s="86" t="s">
        <v>1651</v>
      </c>
      <c r="C296" s="87" t="s">
        <v>288</v>
      </c>
      <c r="D296" s="87" t="s">
        <v>288</v>
      </c>
      <c r="E296" s="88" t="s">
        <v>288</v>
      </c>
      <c r="F296" s="85" t="s">
        <v>1653</v>
      </c>
      <c r="G296" s="85" t="s">
        <v>1653</v>
      </c>
      <c r="H296" s="87" t="s">
        <v>270</v>
      </c>
      <c r="I296" s="87" t="s">
        <v>270</v>
      </c>
      <c r="J296" s="89" t="s">
        <v>1654</v>
      </c>
      <c r="K296" s="87" t="s">
        <v>273</v>
      </c>
      <c r="L296" s="87" t="s">
        <v>273</v>
      </c>
      <c r="M296" s="89" t="s">
        <v>1654</v>
      </c>
      <c r="N296" s="85" t="s">
        <v>1655</v>
      </c>
      <c r="O296" s="85" t="s">
        <v>1655</v>
      </c>
      <c r="P296" s="85" t="s">
        <v>1655</v>
      </c>
      <c r="Q296" s="85" t="s">
        <v>1660</v>
      </c>
      <c r="R296" s="85" t="s">
        <v>1655</v>
      </c>
      <c r="S296" s="89" t="s">
        <v>1654</v>
      </c>
      <c r="T296" s="87" t="s">
        <v>1661</v>
      </c>
    </row>
    <row r="297" spans="1:20">
      <c r="A297" s="85">
        <v>18</v>
      </c>
      <c r="B297" s="86" t="s">
        <v>1651</v>
      </c>
      <c r="C297" s="87" t="s">
        <v>289</v>
      </c>
      <c r="D297" s="87" t="s">
        <v>289</v>
      </c>
      <c r="E297" s="88" t="s">
        <v>289</v>
      </c>
      <c r="F297" s="85" t="s">
        <v>1653</v>
      </c>
      <c r="G297" s="85" t="s">
        <v>1653</v>
      </c>
      <c r="H297" s="87" t="s">
        <v>270</v>
      </c>
      <c r="I297" s="87" t="s">
        <v>270</v>
      </c>
      <c r="J297" s="89" t="s">
        <v>1654</v>
      </c>
      <c r="K297" s="87" t="s">
        <v>273</v>
      </c>
      <c r="L297" s="87" t="s">
        <v>273</v>
      </c>
      <c r="M297" s="89" t="s">
        <v>1654</v>
      </c>
      <c r="N297" s="85" t="s">
        <v>1655</v>
      </c>
      <c r="O297" s="85" t="s">
        <v>1655</v>
      </c>
      <c r="P297" s="85" t="s">
        <v>1655</v>
      </c>
      <c r="Q297" s="85" t="s">
        <v>1660</v>
      </c>
      <c r="R297" s="85" t="s">
        <v>1655</v>
      </c>
      <c r="S297" s="89" t="s">
        <v>1654</v>
      </c>
      <c r="T297" s="87" t="s">
        <v>1661</v>
      </c>
    </row>
    <row r="298" spans="1:20">
      <c r="A298" s="85">
        <v>19</v>
      </c>
      <c r="B298" s="86" t="s">
        <v>1651</v>
      </c>
      <c r="C298" s="87" t="s">
        <v>290</v>
      </c>
      <c r="D298" s="87" t="s">
        <v>290</v>
      </c>
      <c r="E298" s="88" t="s">
        <v>290</v>
      </c>
      <c r="F298" s="85" t="s">
        <v>1653</v>
      </c>
      <c r="G298" s="85" t="s">
        <v>1653</v>
      </c>
      <c r="H298" s="87" t="s">
        <v>270</v>
      </c>
      <c r="I298" s="87" t="s">
        <v>270</v>
      </c>
      <c r="J298" s="89" t="s">
        <v>1654</v>
      </c>
      <c r="K298" s="87" t="s">
        <v>17</v>
      </c>
      <c r="L298" s="87" t="s">
        <v>17</v>
      </c>
      <c r="M298" s="89" t="s">
        <v>1654</v>
      </c>
      <c r="N298" s="85" t="s">
        <v>1655</v>
      </c>
      <c r="O298" s="85" t="s">
        <v>1655</v>
      </c>
      <c r="P298" s="85" t="s">
        <v>1655</v>
      </c>
      <c r="Q298" s="85" t="s">
        <v>1683</v>
      </c>
      <c r="R298" s="85" t="s">
        <v>1655</v>
      </c>
      <c r="S298" s="90" t="s">
        <v>1658</v>
      </c>
      <c r="T298" s="91" t="s">
        <v>1684</v>
      </c>
    </row>
    <row r="299" spans="1:20">
      <c r="A299" s="85">
        <v>20</v>
      </c>
      <c r="B299" s="86" t="s">
        <v>1651</v>
      </c>
      <c r="C299" s="87" t="s">
        <v>290</v>
      </c>
      <c r="D299" s="87" t="s">
        <v>290</v>
      </c>
      <c r="E299" s="88" t="s">
        <v>290</v>
      </c>
      <c r="F299" s="85" t="s">
        <v>1653</v>
      </c>
      <c r="G299" s="85" t="s">
        <v>1653</v>
      </c>
      <c r="H299" s="87" t="s">
        <v>270</v>
      </c>
      <c r="I299" s="87" t="s">
        <v>270</v>
      </c>
      <c r="J299" s="89" t="s">
        <v>1654</v>
      </c>
      <c r="K299" s="87" t="s">
        <v>17</v>
      </c>
      <c r="L299" s="87" t="s">
        <v>17</v>
      </c>
      <c r="M299" s="89" t="s">
        <v>1654</v>
      </c>
      <c r="N299" s="85" t="s">
        <v>1655</v>
      </c>
      <c r="O299" s="85" t="s">
        <v>1655</v>
      </c>
      <c r="P299" s="85" t="s">
        <v>1655</v>
      </c>
      <c r="Q299" s="85" t="s">
        <v>1683</v>
      </c>
      <c r="R299" s="85" t="s">
        <v>1655</v>
      </c>
      <c r="S299" s="90" t="s">
        <v>1658</v>
      </c>
      <c r="T299" s="91" t="s">
        <v>1684</v>
      </c>
    </row>
    <row r="300" spans="1:20">
      <c r="A300" s="85">
        <v>21</v>
      </c>
      <c r="B300" s="86" t="s">
        <v>1651</v>
      </c>
      <c r="C300" s="87" t="s">
        <v>291</v>
      </c>
      <c r="D300" s="87" t="s">
        <v>291</v>
      </c>
      <c r="E300" s="88" t="s">
        <v>291</v>
      </c>
      <c r="F300" s="85" t="s">
        <v>1652</v>
      </c>
      <c r="G300" s="85" t="s">
        <v>1653</v>
      </c>
      <c r="H300" s="87" t="s">
        <v>270</v>
      </c>
      <c r="I300" s="87" t="s">
        <v>270</v>
      </c>
      <c r="J300" s="89" t="s">
        <v>1654</v>
      </c>
      <c r="K300" s="87" t="s">
        <v>273</v>
      </c>
      <c r="L300" s="87" t="s">
        <v>273</v>
      </c>
      <c r="M300" s="89" t="s">
        <v>1654</v>
      </c>
      <c r="N300" s="85" t="s">
        <v>1655</v>
      </c>
      <c r="O300" s="85" t="s">
        <v>1655</v>
      </c>
      <c r="P300" s="85" t="s">
        <v>1660</v>
      </c>
      <c r="Q300" s="85" t="s">
        <v>1655</v>
      </c>
      <c r="R300" s="85" t="s">
        <v>1655</v>
      </c>
      <c r="S300" s="89" t="s">
        <v>1654</v>
      </c>
      <c r="T300" s="87" t="s">
        <v>1661</v>
      </c>
    </row>
    <row r="301" spans="1:20">
      <c r="A301" s="85">
        <v>22</v>
      </c>
      <c r="B301" s="86" t="s">
        <v>1651</v>
      </c>
      <c r="C301" s="87" t="s">
        <v>292</v>
      </c>
      <c r="D301" s="87" t="s">
        <v>292</v>
      </c>
      <c r="E301" s="88" t="s">
        <v>292</v>
      </c>
      <c r="F301" s="85" t="s">
        <v>1653</v>
      </c>
      <c r="G301" s="85" t="s">
        <v>1653</v>
      </c>
      <c r="H301" s="87" t="s">
        <v>270</v>
      </c>
      <c r="I301" s="87" t="s">
        <v>270</v>
      </c>
      <c r="J301" s="89" t="s">
        <v>1654</v>
      </c>
      <c r="K301" s="87" t="s">
        <v>273</v>
      </c>
      <c r="L301" s="87" t="s">
        <v>273</v>
      </c>
      <c r="M301" s="89" t="s">
        <v>1654</v>
      </c>
      <c r="N301" s="85" t="s">
        <v>1655</v>
      </c>
      <c r="O301" s="85" t="s">
        <v>1655</v>
      </c>
      <c r="P301" s="85" t="s">
        <v>1655</v>
      </c>
      <c r="Q301" s="85" t="s">
        <v>1660</v>
      </c>
      <c r="R301" s="85" t="s">
        <v>1655</v>
      </c>
      <c r="S301" s="89" t="s">
        <v>1654</v>
      </c>
      <c r="T301" s="87" t="s">
        <v>1661</v>
      </c>
    </row>
    <row r="302" spans="1:20">
      <c r="A302" s="85">
        <v>23</v>
      </c>
      <c r="B302" s="86" t="s">
        <v>1651</v>
      </c>
      <c r="C302" s="87" t="s">
        <v>724</v>
      </c>
      <c r="D302" s="87" t="s">
        <v>293</v>
      </c>
      <c r="E302" s="88" t="s">
        <v>293</v>
      </c>
      <c r="F302" s="85" t="s">
        <v>1653</v>
      </c>
      <c r="G302" s="85" t="s">
        <v>1653</v>
      </c>
      <c r="H302" s="87" t="s">
        <v>270</v>
      </c>
      <c r="I302" s="87" t="s">
        <v>270</v>
      </c>
      <c r="J302" s="89" t="s">
        <v>1654</v>
      </c>
      <c r="K302" s="87" t="s">
        <v>249</v>
      </c>
      <c r="L302" s="87" t="s">
        <v>249</v>
      </c>
      <c r="M302" s="89" t="s">
        <v>1654</v>
      </c>
      <c r="N302" s="85" t="s">
        <v>1655</v>
      </c>
      <c r="O302" s="85" t="s">
        <v>1655</v>
      </c>
      <c r="P302" s="85" t="s">
        <v>1655</v>
      </c>
      <c r="Q302" s="85" t="s">
        <v>1660</v>
      </c>
      <c r="R302" s="85" t="s">
        <v>1655</v>
      </c>
      <c r="S302" s="89" t="s">
        <v>1654</v>
      </c>
      <c r="T302" s="87" t="s">
        <v>1661</v>
      </c>
    </row>
    <row r="303" spans="1:20">
      <c r="A303" s="85">
        <v>24</v>
      </c>
      <c r="B303" s="86" t="s">
        <v>1651</v>
      </c>
      <c r="C303" s="87" t="s">
        <v>294</v>
      </c>
      <c r="D303" s="87" t="s">
        <v>294</v>
      </c>
      <c r="E303" s="88" t="s">
        <v>294</v>
      </c>
      <c r="F303" s="85" t="s">
        <v>1653</v>
      </c>
      <c r="G303" s="85" t="s">
        <v>1653</v>
      </c>
      <c r="H303" s="87" t="s">
        <v>270</v>
      </c>
      <c r="I303" s="87" t="s">
        <v>270</v>
      </c>
      <c r="J303" s="89" t="s">
        <v>1654</v>
      </c>
      <c r="K303" s="87" t="s">
        <v>273</v>
      </c>
      <c r="L303" s="87" t="s">
        <v>273</v>
      </c>
      <c r="M303" s="89" t="s">
        <v>1654</v>
      </c>
      <c r="N303" s="85" t="s">
        <v>1660</v>
      </c>
      <c r="O303" s="85" t="s">
        <v>1662</v>
      </c>
      <c r="P303" s="85" t="s">
        <v>1655</v>
      </c>
      <c r="Q303" s="85" t="s">
        <v>1655</v>
      </c>
      <c r="R303" s="85" t="s">
        <v>1655</v>
      </c>
      <c r="S303" s="89" t="s">
        <v>1654</v>
      </c>
      <c r="T303" s="87" t="s">
        <v>1661</v>
      </c>
    </row>
    <row r="304" spans="1:20">
      <c r="A304" s="85">
        <v>25</v>
      </c>
      <c r="B304" s="92" t="s">
        <v>1663</v>
      </c>
      <c r="C304" s="87" t="s">
        <v>854</v>
      </c>
      <c r="D304" s="87" t="s">
        <v>18</v>
      </c>
      <c r="E304" s="88" t="s">
        <v>854</v>
      </c>
      <c r="F304" s="85" t="s">
        <v>1653</v>
      </c>
      <c r="G304" s="85" t="s">
        <v>1653</v>
      </c>
      <c r="H304" s="87" t="s">
        <v>270</v>
      </c>
      <c r="I304" s="87" t="s">
        <v>1307</v>
      </c>
      <c r="J304" s="90" t="s">
        <v>1658</v>
      </c>
      <c r="K304" s="87" t="s">
        <v>18</v>
      </c>
      <c r="L304" s="87" t="s">
        <v>18</v>
      </c>
      <c r="M304" s="89" t="s">
        <v>1671</v>
      </c>
      <c r="N304" s="85" t="s">
        <v>1660</v>
      </c>
      <c r="O304" s="85" t="s">
        <v>1660</v>
      </c>
      <c r="P304" s="85" t="s">
        <v>1655</v>
      </c>
      <c r="Q304" s="85" t="s">
        <v>1655</v>
      </c>
      <c r="R304" s="85" t="s">
        <v>1660</v>
      </c>
      <c r="S304" s="89" t="s">
        <v>1654</v>
      </c>
      <c r="T304" s="91" t="s">
        <v>1712</v>
      </c>
    </row>
    <row r="305" spans="1:20">
      <c r="A305" s="85">
        <v>26</v>
      </c>
      <c r="B305" s="86" t="s">
        <v>1651</v>
      </c>
      <c r="C305" s="87" t="s">
        <v>921</v>
      </c>
      <c r="D305" s="87" t="s">
        <v>295</v>
      </c>
      <c r="E305" s="88" t="s">
        <v>295</v>
      </c>
      <c r="F305" s="85" t="s">
        <v>1653</v>
      </c>
      <c r="G305" s="85" t="s">
        <v>1653</v>
      </c>
      <c r="H305" s="87" t="s">
        <v>270</v>
      </c>
      <c r="I305" s="87" t="s">
        <v>270</v>
      </c>
      <c r="J305" s="89" t="s">
        <v>1654</v>
      </c>
      <c r="K305" s="87" t="s">
        <v>249</v>
      </c>
      <c r="L305" s="87" t="s">
        <v>249</v>
      </c>
      <c r="M305" s="89" t="s">
        <v>1654</v>
      </c>
      <c r="N305" s="85" t="s">
        <v>1655</v>
      </c>
      <c r="O305" s="85" t="s">
        <v>1655</v>
      </c>
      <c r="P305" s="85" t="s">
        <v>1655</v>
      </c>
      <c r="Q305" s="85" t="s">
        <v>1660</v>
      </c>
      <c r="R305" s="85" t="s">
        <v>1655</v>
      </c>
      <c r="S305" s="89" t="s">
        <v>1654</v>
      </c>
      <c r="T305" s="87" t="s">
        <v>1661</v>
      </c>
    </row>
    <row r="306" spans="1:20">
      <c r="A306" s="85">
        <v>27</v>
      </c>
      <c r="B306" s="86" t="s">
        <v>1651</v>
      </c>
      <c r="C306" s="87" t="s">
        <v>924</v>
      </c>
      <c r="D306" s="87" t="s">
        <v>296</v>
      </c>
      <c r="E306" s="88" t="s">
        <v>296</v>
      </c>
      <c r="F306" s="85" t="s">
        <v>1653</v>
      </c>
      <c r="G306" s="85" t="s">
        <v>1653</v>
      </c>
      <c r="H306" s="87" t="s">
        <v>270</v>
      </c>
      <c r="I306" s="87" t="s">
        <v>270</v>
      </c>
      <c r="J306" s="89" t="s">
        <v>1654</v>
      </c>
      <c r="K306" s="87" t="s">
        <v>249</v>
      </c>
      <c r="L306" s="87" t="s">
        <v>249</v>
      </c>
      <c r="M306" s="89" t="s">
        <v>1654</v>
      </c>
      <c r="N306" s="85" t="s">
        <v>1655</v>
      </c>
      <c r="O306" s="85" t="s">
        <v>1655</v>
      </c>
      <c r="P306" s="85" t="s">
        <v>1655</v>
      </c>
      <c r="Q306" s="85" t="s">
        <v>1660</v>
      </c>
      <c r="R306" s="85" t="s">
        <v>1655</v>
      </c>
      <c r="S306" s="89" t="s">
        <v>1654</v>
      </c>
      <c r="T306" s="87" t="s">
        <v>1661</v>
      </c>
    </row>
    <row r="307" spans="1:20">
      <c r="A307" s="85">
        <v>28</v>
      </c>
      <c r="B307" s="86" t="s">
        <v>1651</v>
      </c>
      <c r="C307" s="87" t="s">
        <v>930</v>
      </c>
      <c r="D307" s="87" t="s">
        <v>297</v>
      </c>
      <c r="E307" s="88" t="s">
        <v>297</v>
      </c>
      <c r="F307" s="85" t="s">
        <v>1653</v>
      </c>
      <c r="G307" s="85" t="s">
        <v>1653</v>
      </c>
      <c r="H307" s="87" t="s">
        <v>270</v>
      </c>
      <c r="I307" s="87" t="s">
        <v>270</v>
      </c>
      <c r="J307" s="89" t="s">
        <v>1654</v>
      </c>
      <c r="K307" s="87" t="s">
        <v>249</v>
      </c>
      <c r="L307" s="87" t="s">
        <v>249</v>
      </c>
      <c r="M307" s="89" t="s">
        <v>1654</v>
      </c>
      <c r="N307" s="85" t="s">
        <v>1660</v>
      </c>
      <c r="O307" s="85" t="s">
        <v>1662</v>
      </c>
      <c r="P307" s="85" t="s">
        <v>1655</v>
      </c>
      <c r="Q307" s="85" t="s">
        <v>1655</v>
      </c>
      <c r="R307" s="85" t="s">
        <v>1655</v>
      </c>
      <c r="S307" s="89" t="s">
        <v>1654</v>
      </c>
      <c r="T307" s="87" t="s">
        <v>1661</v>
      </c>
    </row>
    <row r="308" spans="1:20">
      <c r="A308" s="85">
        <v>29</v>
      </c>
      <c r="B308" s="86" t="s">
        <v>1651</v>
      </c>
      <c r="C308" s="87" t="s">
        <v>936</v>
      </c>
      <c r="D308" s="87" t="s">
        <v>298</v>
      </c>
      <c r="E308" s="88" t="s">
        <v>298</v>
      </c>
      <c r="F308" s="85" t="s">
        <v>1653</v>
      </c>
      <c r="G308" s="85" t="s">
        <v>1653</v>
      </c>
      <c r="H308" s="87" t="s">
        <v>270</v>
      </c>
      <c r="I308" s="87" t="s">
        <v>270</v>
      </c>
      <c r="J308" s="89" t="s">
        <v>1654</v>
      </c>
      <c r="K308" s="87" t="s">
        <v>249</v>
      </c>
      <c r="L308" s="87" t="s">
        <v>249</v>
      </c>
      <c r="M308" s="89" t="s">
        <v>1654</v>
      </c>
      <c r="N308" s="85" t="s">
        <v>1655</v>
      </c>
      <c r="O308" s="85" t="s">
        <v>1655</v>
      </c>
      <c r="P308" s="85" t="s">
        <v>1655</v>
      </c>
      <c r="Q308" s="85" t="s">
        <v>1660</v>
      </c>
      <c r="R308" s="85" t="s">
        <v>1655</v>
      </c>
      <c r="S308" s="89" t="s">
        <v>1654</v>
      </c>
      <c r="T308" s="87" t="s">
        <v>1661</v>
      </c>
    </row>
    <row r="309" spans="1:20">
      <c r="A309" s="85">
        <v>30</v>
      </c>
      <c r="B309" s="86" t="s">
        <v>1651</v>
      </c>
      <c r="C309" s="87" t="s">
        <v>299</v>
      </c>
      <c r="D309" s="87" t="s">
        <v>299</v>
      </c>
      <c r="E309" s="88" t="s">
        <v>299</v>
      </c>
      <c r="F309" s="85" t="s">
        <v>1653</v>
      </c>
      <c r="G309" s="85" t="s">
        <v>1653</v>
      </c>
      <c r="H309" s="87" t="s">
        <v>270</v>
      </c>
      <c r="I309" s="87" t="s">
        <v>270</v>
      </c>
      <c r="J309" s="89" t="s">
        <v>1654</v>
      </c>
      <c r="K309" s="87" t="s">
        <v>273</v>
      </c>
      <c r="L309" s="87" t="s">
        <v>273</v>
      </c>
      <c r="M309" s="89" t="s">
        <v>1654</v>
      </c>
      <c r="N309" s="85" t="s">
        <v>1660</v>
      </c>
      <c r="O309" s="85" t="s">
        <v>1662</v>
      </c>
      <c r="P309" s="85" t="s">
        <v>1655</v>
      </c>
      <c r="Q309" s="85" t="s">
        <v>1655</v>
      </c>
      <c r="R309" s="85" t="s">
        <v>1655</v>
      </c>
      <c r="S309" s="89" t="s">
        <v>1654</v>
      </c>
      <c r="T309" s="87" t="s">
        <v>1661</v>
      </c>
    </row>
    <row r="310" spans="1:20">
      <c r="A310" s="85">
        <v>31</v>
      </c>
      <c r="B310" s="86" t="s">
        <v>1651</v>
      </c>
      <c r="C310" s="87" t="s">
        <v>300</v>
      </c>
      <c r="D310" s="87" t="s">
        <v>300</v>
      </c>
      <c r="E310" s="88" t="s">
        <v>300</v>
      </c>
      <c r="F310" s="85" t="s">
        <v>1653</v>
      </c>
      <c r="G310" s="85" t="s">
        <v>1653</v>
      </c>
      <c r="H310" s="87" t="s">
        <v>270</v>
      </c>
      <c r="I310" s="87" t="s">
        <v>270</v>
      </c>
      <c r="J310" s="89" t="s">
        <v>1654</v>
      </c>
      <c r="K310" s="87" t="s">
        <v>273</v>
      </c>
      <c r="L310" s="87" t="s">
        <v>273</v>
      </c>
      <c r="M310" s="89" t="s">
        <v>1654</v>
      </c>
      <c r="N310" s="85" t="s">
        <v>1660</v>
      </c>
      <c r="O310" s="85" t="s">
        <v>1662</v>
      </c>
      <c r="P310" s="85" t="s">
        <v>1655</v>
      </c>
      <c r="Q310" s="85" t="s">
        <v>1655</v>
      </c>
      <c r="R310" s="85" t="s">
        <v>1655</v>
      </c>
      <c r="S310" s="89" t="s">
        <v>1654</v>
      </c>
      <c r="T310" s="87" t="s">
        <v>1661</v>
      </c>
    </row>
    <row r="311" spans="1:20">
      <c r="A311" s="85">
        <v>32</v>
      </c>
      <c r="B311" s="86" t="s">
        <v>1651</v>
      </c>
      <c r="C311" s="87" t="s">
        <v>301</v>
      </c>
      <c r="D311" s="87" t="s">
        <v>301</v>
      </c>
      <c r="E311" s="88" t="s">
        <v>301</v>
      </c>
      <c r="F311" s="85" t="s">
        <v>1653</v>
      </c>
      <c r="G311" s="85" t="s">
        <v>1653</v>
      </c>
      <c r="H311" s="87" t="s">
        <v>270</v>
      </c>
      <c r="I311" s="87" t="s">
        <v>270</v>
      </c>
      <c r="J311" s="89" t="s">
        <v>1654</v>
      </c>
      <c r="K311" s="87" t="s">
        <v>273</v>
      </c>
      <c r="L311" s="87" t="s">
        <v>273</v>
      </c>
      <c r="M311" s="89" t="s">
        <v>1654</v>
      </c>
      <c r="N311" s="85" t="s">
        <v>1660</v>
      </c>
      <c r="O311" s="85" t="s">
        <v>1662</v>
      </c>
      <c r="P311" s="85" t="s">
        <v>1655</v>
      </c>
      <c r="Q311" s="85" t="s">
        <v>1655</v>
      </c>
      <c r="R311" s="85" t="s">
        <v>1655</v>
      </c>
      <c r="S311" s="89" t="s">
        <v>1654</v>
      </c>
      <c r="T311" s="87" t="s">
        <v>1661</v>
      </c>
    </row>
    <row r="312" spans="1:20">
      <c r="A312" s="85">
        <v>33</v>
      </c>
      <c r="B312" s="86" t="s">
        <v>1651</v>
      </c>
      <c r="C312" s="87" t="s">
        <v>302</v>
      </c>
      <c r="D312" s="87" t="s">
        <v>302</v>
      </c>
      <c r="E312" s="88" t="s">
        <v>302</v>
      </c>
      <c r="F312" s="85" t="s">
        <v>1653</v>
      </c>
      <c r="G312" s="85" t="s">
        <v>1653</v>
      </c>
      <c r="H312" s="87" t="s">
        <v>270</v>
      </c>
      <c r="I312" s="87" t="s">
        <v>270</v>
      </c>
      <c r="J312" s="89" t="s">
        <v>1654</v>
      </c>
      <c r="K312" s="87" t="s">
        <v>273</v>
      </c>
      <c r="L312" s="87" t="s">
        <v>273</v>
      </c>
      <c r="M312" s="89" t="s">
        <v>1654</v>
      </c>
      <c r="N312" s="85" t="s">
        <v>1660</v>
      </c>
      <c r="O312" s="85" t="s">
        <v>1662</v>
      </c>
      <c r="P312" s="85" t="s">
        <v>1655</v>
      </c>
      <c r="Q312" s="85" t="s">
        <v>1655</v>
      </c>
      <c r="R312" s="85" t="s">
        <v>1655</v>
      </c>
      <c r="S312" s="89" t="s">
        <v>1654</v>
      </c>
      <c r="T312" s="87" t="s">
        <v>1661</v>
      </c>
    </row>
    <row r="313" spans="1:20">
      <c r="A313" s="85">
        <v>34</v>
      </c>
      <c r="B313" s="86" t="s">
        <v>1651</v>
      </c>
      <c r="C313" s="87" t="s">
        <v>303</v>
      </c>
      <c r="D313" s="87" t="s">
        <v>303</v>
      </c>
      <c r="E313" s="88" t="s">
        <v>303</v>
      </c>
      <c r="F313" s="85" t="s">
        <v>1653</v>
      </c>
      <c r="G313" s="85" t="s">
        <v>1653</v>
      </c>
      <c r="H313" s="87" t="s">
        <v>270</v>
      </c>
      <c r="I313" s="87" t="s">
        <v>270</v>
      </c>
      <c r="J313" s="89" t="s">
        <v>1654</v>
      </c>
      <c r="K313" s="87" t="s">
        <v>273</v>
      </c>
      <c r="L313" s="87" t="s">
        <v>273</v>
      </c>
      <c r="M313" s="89" t="s">
        <v>1654</v>
      </c>
      <c r="N313" s="85" t="s">
        <v>1660</v>
      </c>
      <c r="O313" s="85" t="s">
        <v>1662</v>
      </c>
      <c r="P313" s="85" t="s">
        <v>1655</v>
      </c>
      <c r="Q313" s="85" t="s">
        <v>1655</v>
      </c>
      <c r="R313" s="85" t="s">
        <v>1655</v>
      </c>
      <c r="S313" s="89" t="s">
        <v>1654</v>
      </c>
      <c r="T313" s="87" t="s">
        <v>1661</v>
      </c>
    </row>
    <row r="314" spans="1:20">
      <c r="A314" s="85">
        <v>35</v>
      </c>
      <c r="B314" s="86" t="s">
        <v>1651</v>
      </c>
      <c r="C314" s="87" t="s">
        <v>304</v>
      </c>
      <c r="D314" s="87" t="s">
        <v>304</v>
      </c>
      <c r="E314" s="88" t="s">
        <v>304</v>
      </c>
      <c r="F314" s="85" t="s">
        <v>1653</v>
      </c>
      <c r="G314" s="85" t="s">
        <v>1653</v>
      </c>
      <c r="H314" s="87" t="s">
        <v>270</v>
      </c>
      <c r="I314" s="87" t="s">
        <v>270</v>
      </c>
      <c r="J314" s="89" t="s">
        <v>1654</v>
      </c>
      <c r="K314" s="87" t="s">
        <v>273</v>
      </c>
      <c r="L314" s="87" t="s">
        <v>273</v>
      </c>
      <c r="M314" s="89" t="s">
        <v>1654</v>
      </c>
      <c r="N314" s="85" t="s">
        <v>1660</v>
      </c>
      <c r="O314" s="85" t="s">
        <v>1662</v>
      </c>
      <c r="P314" s="85" t="s">
        <v>1655</v>
      </c>
      <c r="Q314" s="85" t="s">
        <v>1655</v>
      </c>
      <c r="R314" s="85" t="s">
        <v>1655</v>
      </c>
      <c r="S314" s="89" t="s">
        <v>1654</v>
      </c>
      <c r="T314" s="87" t="s">
        <v>1661</v>
      </c>
    </row>
    <row r="315" spans="1:20">
      <c r="A315" s="85">
        <v>36</v>
      </c>
      <c r="B315" s="86" t="s">
        <v>1651</v>
      </c>
      <c r="C315" s="87" t="s">
        <v>305</v>
      </c>
      <c r="D315" s="87" t="s">
        <v>305</v>
      </c>
      <c r="E315" s="88" t="s">
        <v>305</v>
      </c>
      <c r="F315" s="85" t="s">
        <v>1653</v>
      </c>
      <c r="G315" s="85" t="s">
        <v>1653</v>
      </c>
      <c r="H315" s="87" t="s">
        <v>270</v>
      </c>
      <c r="I315" s="87" t="s">
        <v>270</v>
      </c>
      <c r="J315" s="89" t="s">
        <v>1654</v>
      </c>
      <c r="K315" s="87" t="s">
        <v>273</v>
      </c>
      <c r="L315" s="87" t="s">
        <v>273</v>
      </c>
      <c r="M315" s="89" t="s">
        <v>1654</v>
      </c>
      <c r="N315" s="85" t="s">
        <v>1660</v>
      </c>
      <c r="O315" s="85" t="s">
        <v>1662</v>
      </c>
      <c r="P315" s="85" t="s">
        <v>1655</v>
      </c>
      <c r="Q315" s="85" t="s">
        <v>1655</v>
      </c>
      <c r="R315" s="85" t="s">
        <v>1655</v>
      </c>
      <c r="S315" s="89" t="s">
        <v>1654</v>
      </c>
      <c r="T315" s="87" t="s">
        <v>1661</v>
      </c>
    </row>
    <row r="316" spans="1:20">
      <c r="A316" s="85">
        <v>37</v>
      </c>
      <c r="B316" s="86" t="s">
        <v>1651</v>
      </c>
      <c r="C316" s="87" t="s">
        <v>306</v>
      </c>
      <c r="D316" s="87" t="s">
        <v>306</v>
      </c>
      <c r="E316" s="88" t="s">
        <v>306</v>
      </c>
      <c r="F316" s="85" t="s">
        <v>1653</v>
      </c>
      <c r="G316" s="85" t="s">
        <v>1653</v>
      </c>
      <c r="H316" s="87" t="s">
        <v>270</v>
      </c>
      <c r="I316" s="87" t="s">
        <v>270</v>
      </c>
      <c r="J316" s="89" t="s">
        <v>1654</v>
      </c>
      <c r="K316" s="87" t="s">
        <v>273</v>
      </c>
      <c r="L316" s="87" t="s">
        <v>273</v>
      </c>
      <c r="M316" s="89" t="s">
        <v>1654</v>
      </c>
      <c r="N316" s="85" t="s">
        <v>1660</v>
      </c>
      <c r="O316" s="85" t="s">
        <v>1662</v>
      </c>
      <c r="P316" s="85" t="s">
        <v>1655</v>
      </c>
      <c r="Q316" s="85" t="s">
        <v>1655</v>
      </c>
      <c r="R316" s="85" t="s">
        <v>1655</v>
      </c>
      <c r="S316" s="89" t="s">
        <v>1654</v>
      </c>
      <c r="T316" s="87" t="s">
        <v>1661</v>
      </c>
    </row>
    <row r="317" spans="1:20">
      <c r="A317" s="85">
        <v>38</v>
      </c>
      <c r="B317" s="86" t="s">
        <v>1651</v>
      </c>
      <c r="C317" s="87" t="s">
        <v>307</v>
      </c>
      <c r="D317" s="87" t="s">
        <v>307</v>
      </c>
      <c r="E317" s="88" t="s">
        <v>307</v>
      </c>
      <c r="F317" s="85" t="s">
        <v>1653</v>
      </c>
      <c r="G317" s="85" t="s">
        <v>1653</v>
      </c>
      <c r="H317" s="87" t="s">
        <v>270</v>
      </c>
      <c r="I317" s="87" t="s">
        <v>270</v>
      </c>
      <c r="J317" s="89" t="s">
        <v>1654</v>
      </c>
      <c r="K317" s="87" t="s">
        <v>273</v>
      </c>
      <c r="L317" s="87" t="s">
        <v>273</v>
      </c>
      <c r="M317" s="89" t="s">
        <v>1654</v>
      </c>
      <c r="N317" s="85" t="s">
        <v>1660</v>
      </c>
      <c r="O317" s="85" t="s">
        <v>1662</v>
      </c>
      <c r="P317" s="85" t="s">
        <v>1655</v>
      </c>
      <c r="Q317" s="85" t="s">
        <v>1655</v>
      </c>
      <c r="R317" s="85" t="s">
        <v>1655</v>
      </c>
      <c r="S317" s="89" t="s">
        <v>1654</v>
      </c>
      <c r="T317" s="87" t="s">
        <v>1661</v>
      </c>
    </row>
    <row r="318" spans="1:20">
      <c r="A318" s="85">
        <v>39</v>
      </c>
      <c r="B318" s="86" t="s">
        <v>1651</v>
      </c>
      <c r="C318" s="87" t="s">
        <v>308</v>
      </c>
      <c r="D318" s="87" t="s">
        <v>308</v>
      </c>
      <c r="E318" s="88" t="s">
        <v>308</v>
      </c>
      <c r="F318" s="85" t="s">
        <v>1653</v>
      </c>
      <c r="G318" s="85" t="s">
        <v>1653</v>
      </c>
      <c r="H318" s="87" t="s">
        <v>270</v>
      </c>
      <c r="I318" s="87" t="s">
        <v>270</v>
      </c>
      <c r="J318" s="89" t="s">
        <v>1654</v>
      </c>
      <c r="K318" s="87" t="s">
        <v>273</v>
      </c>
      <c r="L318" s="87" t="s">
        <v>273</v>
      </c>
      <c r="M318" s="89" t="s">
        <v>1654</v>
      </c>
      <c r="N318" s="85" t="s">
        <v>1660</v>
      </c>
      <c r="O318" s="85" t="s">
        <v>1662</v>
      </c>
      <c r="P318" s="85" t="s">
        <v>1655</v>
      </c>
      <c r="Q318" s="85" t="s">
        <v>1655</v>
      </c>
      <c r="R318" s="85" t="s">
        <v>1655</v>
      </c>
      <c r="S318" s="89" t="s">
        <v>1654</v>
      </c>
      <c r="T318" s="87" t="s">
        <v>1661</v>
      </c>
    </row>
    <row r="319" spans="1:20">
      <c r="A319" s="85">
        <v>40</v>
      </c>
      <c r="B319" s="86" t="s">
        <v>1651</v>
      </c>
      <c r="C319" s="87" t="s">
        <v>309</v>
      </c>
      <c r="D319" s="87" t="s">
        <v>309</v>
      </c>
      <c r="E319" s="88" t="s">
        <v>309</v>
      </c>
      <c r="F319" s="85" t="s">
        <v>1653</v>
      </c>
      <c r="G319" s="85" t="s">
        <v>1653</v>
      </c>
      <c r="H319" s="87" t="s">
        <v>270</v>
      </c>
      <c r="I319" s="87" t="s">
        <v>270</v>
      </c>
      <c r="J319" s="89" t="s">
        <v>1654</v>
      </c>
      <c r="K319" s="87" t="s">
        <v>273</v>
      </c>
      <c r="L319" s="87" t="s">
        <v>273</v>
      </c>
      <c r="M319" s="89" t="s">
        <v>1654</v>
      </c>
      <c r="N319" s="85" t="s">
        <v>1660</v>
      </c>
      <c r="O319" s="85" t="s">
        <v>1662</v>
      </c>
      <c r="P319" s="85" t="s">
        <v>1655</v>
      </c>
      <c r="Q319" s="85" t="s">
        <v>1655</v>
      </c>
      <c r="R319" s="85" t="s">
        <v>1655</v>
      </c>
      <c r="S319" s="89" t="s">
        <v>1654</v>
      </c>
      <c r="T319" s="87" t="s">
        <v>1661</v>
      </c>
    </row>
    <row r="320" spans="1:20">
      <c r="A320" s="85">
        <v>41</v>
      </c>
      <c r="B320" s="86" t="s">
        <v>1651</v>
      </c>
      <c r="C320" s="87" t="s">
        <v>310</v>
      </c>
      <c r="D320" s="87" t="s">
        <v>310</v>
      </c>
      <c r="E320" s="88" t="s">
        <v>310</v>
      </c>
      <c r="F320" s="85" t="s">
        <v>1653</v>
      </c>
      <c r="G320" s="85" t="s">
        <v>1653</v>
      </c>
      <c r="H320" s="87" t="s">
        <v>270</v>
      </c>
      <c r="I320" s="87" t="s">
        <v>270</v>
      </c>
      <c r="J320" s="89" t="s">
        <v>1654</v>
      </c>
      <c r="K320" s="87" t="s">
        <v>273</v>
      </c>
      <c r="L320" s="87" t="s">
        <v>273</v>
      </c>
      <c r="M320" s="89" t="s">
        <v>1654</v>
      </c>
      <c r="N320" s="85" t="s">
        <v>1660</v>
      </c>
      <c r="O320" s="85" t="s">
        <v>1662</v>
      </c>
      <c r="P320" s="85" t="s">
        <v>1655</v>
      </c>
      <c r="Q320" s="85" t="s">
        <v>1655</v>
      </c>
      <c r="R320" s="85" t="s">
        <v>1655</v>
      </c>
      <c r="S320" s="89" t="s">
        <v>1654</v>
      </c>
      <c r="T320" s="87" t="s">
        <v>1661</v>
      </c>
    </row>
    <row r="321" spans="1:20">
      <c r="A321" s="85">
        <v>42</v>
      </c>
      <c r="B321" s="86" t="s">
        <v>1651</v>
      </c>
      <c r="C321" s="87" t="s">
        <v>311</v>
      </c>
      <c r="D321" s="87" t="s">
        <v>311</v>
      </c>
      <c r="E321" s="88" t="s">
        <v>311</v>
      </c>
      <c r="F321" s="85" t="s">
        <v>1653</v>
      </c>
      <c r="G321" s="85" t="s">
        <v>1653</v>
      </c>
      <c r="H321" s="87" t="s">
        <v>270</v>
      </c>
      <c r="I321" s="87" t="s">
        <v>270</v>
      </c>
      <c r="J321" s="89" t="s">
        <v>1654</v>
      </c>
      <c r="K321" s="87" t="s">
        <v>273</v>
      </c>
      <c r="L321" s="87" t="s">
        <v>273</v>
      </c>
      <c r="M321" s="89" t="s">
        <v>1654</v>
      </c>
      <c r="N321" s="85" t="s">
        <v>1660</v>
      </c>
      <c r="O321" s="85" t="s">
        <v>1662</v>
      </c>
      <c r="P321" s="85" t="s">
        <v>1655</v>
      </c>
      <c r="Q321" s="85" t="s">
        <v>1655</v>
      </c>
      <c r="R321" s="85" t="s">
        <v>1655</v>
      </c>
      <c r="S321" s="89" t="s">
        <v>1654</v>
      </c>
      <c r="T321" s="87" t="s">
        <v>1661</v>
      </c>
    </row>
    <row r="322" spans="1:20">
      <c r="A322" s="85">
        <v>43</v>
      </c>
      <c r="B322" s="86" t="s">
        <v>1651</v>
      </c>
      <c r="C322" s="87" t="s">
        <v>312</v>
      </c>
      <c r="D322" s="87" t="s">
        <v>312</v>
      </c>
      <c r="E322" s="88" t="s">
        <v>312</v>
      </c>
      <c r="F322" s="85" t="s">
        <v>1653</v>
      </c>
      <c r="G322" s="85" t="s">
        <v>1653</v>
      </c>
      <c r="H322" s="87" t="s">
        <v>270</v>
      </c>
      <c r="I322" s="87" t="s">
        <v>270</v>
      </c>
      <c r="J322" s="89" t="s">
        <v>1654</v>
      </c>
      <c r="K322" s="87" t="s">
        <v>273</v>
      </c>
      <c r="L322" s="87" t="s">
        <v>273</v>
      </c>
      <c r="M322" s="89" t="s">
        <v>1654</v>
      </c>
      <c r="N322" s="85" t="s">
        <v>1660</v>
      </c>
      <c r="O322" s="85" t="s">
        <v>1662</v>
      </c>
      <c r="P322" s="85" t="s">
        <v>1655</v>
      </c>
      <c r="Q322" s="85" t="s">
        <v>1655</v>
      </c>
      <c r="R322" s="85" t="s">
        <v>1655</v>
      </c>
      <c r="S322" s="89" t="s">
        <v>1654</v>
      </c>
      <c r="T322" s="87" t="s">
        <v>1661</v>
      </c>
    </row>
    <row r="323" spans="1:20">
      <c r="A323" s="85">
        <v>44</v>
      </c>
      <c r="B323" s="86" t="s">
        <v>1651</v>
      </c>
      <c r="C323" s="87" t="s">
        <v>313</v>
      </c>
      <c r="D323" s="87" t="s">
        <v>313</v>
      </c>
      <c r="E323" s="88" t="s">
        <v>313</v>
      </c>
      <c r="F323" s="85" t="s">
        <v>1653</v>
      </c>
      <c r="G323" s="85" t="s">
        <v>1653</v>
      </c>
      <c r="H323" s="87" t="s">
        <v>270</v>
      </c>
      <c r="I323" s="87" t="s">
        <v>270</v>
      </c>
      <c r="J323" s="89" t="s">
        <v>1654</v>
      </c>
      <c r="K323" s="87" t="s">
        <v>273</v>
      </c>
      <c r="L323" s="87" t="s">
        <v>273</v>
      </c>
      <c r="M323" s="89" t="s">
        <v>1654</v>
      </c>
      <c r="N323" s="85" t="s">
        <v>1660</v>
      </c>
      <c r="O323" s="85" t="s">
        <v>1662</v>
      </c>
      <c r="P323" s="85" t="s">
        <v>1655</v>
      </c>
      <c r="Q323" s="85" t="s">
        <v>1655</v>
      </c>
      <c r="R323" s="85" t="s">
        <v>1655</v>
      </c>
      <c r="S323" s="89" t="s">
        <v>1654</v>
      </c>
      <c r="T323" s="87" t="s">
        <v>1661</v>
      </c>
    </row>
    <row r="324" spans="1:20">
      <c r="A324" s="85">
        <v>45</v>
      </c>
      <c r="B324" s="86" t="s">
        <v>1651</v>
      </c>
      <c r="C324" s="87" t="s">
        <v>314</v>
      </c>
      <c r="D324" s="87" t="s">
        <v>314</v>
      </c>
      <c r="E324" s="88" t="s">
        <v>314</v>
      </c>
      <c r="F324" s="85" t="s">
        <v>1653</v>
      </c>
      <c r="G324" s="85" t="s">
        <v>1653</v>
      </c>
      <c r="H324" s="87" t="s">
        <v>270</v>
      </c>
      <c r="I324" s="87" t="s">
        <v>270</v>
      </c>
      <c r="J324" s="89" t="s">
        <v>1654</v>
      </c>
      <c r="K324" s="87" t="s">
        <v>273</v>
      </c>
      <c r="L324" s="87" t="s">
        <v>273</v>
      </c>
      <c r="M324" s="89" t="s">
        <v>1654</v>
      </c>
      <c r="N324" s="85" t="s">
        <v>1660</v>
      </c>
      <c r="O324" s="85" t="s">
        <v>1662</v>
      </c>
      <c r="P324" s="85" t="s">
        <v>1655</v>
      </c>
      <c r="Q324" s="85" t="s">
        <v>1655</v>
      </c>
      <c r="R324" s="85" t="s">
        <v>1655</v>
      </c>
      <c r="S324" s="89" t="s">
        <v>1654</v>
      </c>
      <c r="T324" s="87" t="s">
        <v>1661</v>
      </c>
    </row>
    <row r="325" spans="1:20">
      <c r="A325" s="85">
        <v>46</v>
      </c>
      <c r="B325" s="86" t="s">
        <v>1651</v>
      </c>
      <c r="C325" s="87" t="s">
        <v>315</v>
      </c>
      <c r="D325" s="87" t="s">
        <v>315</v>
      </c>
      <c r="E325" s="88" t="s">
        <v>315</v>
      </c>
      <c r="F325" s="85" t="s">
        <v>1653</v>
      </c>
      <c r="G325" s="85" t="s">
        <v>1653</v>
      </c>
      <c r="H325" s="87" t="s">
        <v>270</v>
      </c>
      <c r="I325" s="87" t="s">
        <v>270</v>
      </c>
      <c r="J325" s="89" t="s">
        <v>1654</v>
      </c>
      <c r="K325" s="87" t="s">
        <v>273</v>
      </c>
      <c r="L325" s="87" t="s">
        <v>273</v>
      </c>
      <c r="M325" s="89" t="s">
        <v>1654</v>
      </c>
      <c r="N325" s="85" t="s">
        <v>1660</v>
      </c>
      <c r="O325" s="85" t="s">
        <v>1662</v>
      </c>
      <c r="P325" s="85" t="s">
        <v>1655</v>
      </c>
      <c r="Q325" s="85" t="s">
        <v>1655</v>
      </c>
      <c r="R325" s="85" t="s">
        <v>1655</v>
      </c>
      <c r="S325" s="89" t="s">
        <v>1654</v>
      </c>
      <c r="T325" s="87" t="s">
        <v>1661</v>
      </c>
    </row>
    <row r="326" spans="1:20">
      <c r="A326" s="85">
        <v>47</v>
      </c>
      <c r="B326" s="86" t="s">
        <v>1651</v>
      </c>
      <c r="C326" s="87" t="s">
        <v>316</v>
      </c>
      <c r="D326" s="87" t="s">
        <v>316</v>
      </c>
      <c r="E326" s="88" t="s">
        <v>316</v>
      </c>
      <c r="F326" s="85" t="s">
        <v>1653</v>
      </c>
      <c r="G326" s="85" t="s">
        <v>1653</v>
      </c>
      <c r="H326" s="87" t="s">
        <v>270</v>
      </c>
      <c r="I326" s="87" t="s">
        <v>270</v>
      </c>
      <c r="J326" s="89" t="s">
        <v>1654</v>
      </c>
      <c r="K326" s="87" t="s">
        <v>273</v>
      </c>
      <c r="L326" s="87" t="s">
        <v>273</v>
      </c>
      <c r="M326" s="89" t="s">
        <v>1654</v>
      </c>
      <c r="N326" s="85" t="s">
        <v>1660</v>
      </c>
      <c r="O326" s="85" t="s">
        <v>1662</v>
      </c>
      <c r="P326" s="85" t="s">
        <v>1655</v>
      </c>
      <c r="Q326" s="85" t="s">
        <v>1655</v>
      </c>
      <c r="R326" s="85" t="s">
        <v>1655</v>
      </c>
      <c r="S326" s="89" t="s">
        <v>1654</v>
      </c>
      <c r="T326" s="87" t="s">
        <v>1661</v>
      </c>
    </row>
    <row r="327" spans="1:20">
      <c r="A327" s="85">
        <v>48</v>
      </c>
      <c r="B327" s="86" t="s">
        <v>1651</v>
      </c>
      <c r="C327" s="87" t="s">
        <v>317</v>
      </c>
      <c r="D327" s="87" t="s">
        <v>317</v>
      </c>
      <c r="E327" s="88" t="s">
        <v>317</v>
      </c>
      <c r="F327" s="85" t="s">
        <v>1653</v>
      </c>
      <c r="G327" s="85" t="s">
        <v>1653</v>
      </c>
      <c r="H327" s="87" t="s">
        <v>270</v>
      </c>
      <c r="I327" s="87" t="s">
        <v>270</v>
      </c>
      <c r="J327" s="89" t="s">
        <v>1654</v>
      </c>
      <c r="K327" s="87" t="s">
        <v>273</v>
      </c>
      <c r="L327" s="87" t="s">
        <v>273</v>
      </c>
      <c r="M327" s="89" t="s">
        <v>1654</v>
      </c>
      <c r="N327" s="85" t="s">
        <v>1660</v>
      </c>
      <c r="O327" s="85" t="s">
        <v>1662</v>
      </c>
      <c r="P327" s="85" t="s">
        <v>1655</v>
      </c>
      <c r="Q327" s="85" t="s">
        <v>1655</v>
      </c>
      <c r="R327" s="85" t="s">
        <v>1655</v>
      </c>
      <c r="S327" s="89" t="s">
        <v>1654</v>
      </c>
      <c r="T327" s="87" t="s">
        <v>1661</v>
      </c>
    </row>
    <row r="328" spans="1:20">
      <c r="A328" s="85">
        <v>49</v>
      </c>
      <c r="B328" s="86" t="s">
        <v>1651</v>
      </c>
      <c r="C328" s="87" t="s">
        <v>318</v>
      </c>
      <c r="D328" s="87" t="s">
        <v>318</v>
      </c>
      <c r="E328" s="88" t="s">
        <v>318</v>
      </c>
      <c r="F328" s="85" t="s">
        <v>1653</v>
      </c>
      <c r="G328" s="85" t="s">
        <v>1653</v>
      </c>
      <c r="H328" s="87" t="s">
        <v>270</v>
      </c>
      <c r="I328" s="87" t="s">
        <v>270</v>
      </c>
      <c r="J328" s="89" t="s">
        <v>1654</v>
      </c>
      <c r="K328" s="87" t="s">
        <v>273</v>
      </c>
      <c r="L328" s="87" t="s">
        <v>273</v>
      </c>
      <c r="M328" s="89" t="s">
        <v>1654</v>
      </c>
      <c r="N328" s="85" t="s">
        <v>1660</v>
      </c>
      <c r="O328" s="85" t="s">
        <v>1662</v>
      </c>
      <c r="P328" s="85" t="s">
        <v>1655</v>
      </c>
      <c r="Q328" s="85" t="s">
        <v>1655</v>
      </c>
      <c r="R328" s="85" t="s">
        <v>1655</v>
      </c>
      <c r="S328" s="89" t="s">
        <v>1654</v>
      </c>
      <c r="T328" s="87" t="s">
        <v>1661</v>
      </c>
    </row>
    <row r="329" spans="1:20">
      <c r="A329" s="85">
        <v>50</v>
      </c>
      <c r="B329" s="86" t="s">
        <v>1651</v>
      </c>
      <c r="C329" s="87" t="s">
        <v>319</v>
      </c>
      <c r="D329" s="87" t="s">
        <v>319</v>
      </c>
      <c r="E329" s="88" t="s">
        <v>319</v>
      </c>
      <c r="F329" s="85" t="s">
        <v>1653</v>
      </c>
      <c r="G329" s="85" t="s">
        <v>1653</v>
      </c>
      <c r="H329" s="87" t="s">
        <v>270</v>
      </c>
      <c r="I329" s="87" t="s">
        <v>270</v>
      </c>
      <c r="J329" s="89" t="s">
        <v>1654</v>
      </c>
      <c r="K329" s="87" t="s">
        <v>273</v>
      </c>
      <c r="L329" s="87" t="s">
        <v>273</v>
      </c>
      <c r="M329" s="89" t="s">
        <v>1654</v>
      </c>
      <c r="N329" s="85" t="s">
        <v>1660</v>
      </c>
      <c r="O329" s="85" t="s">
        <v>1662</v>
      </c>
      <c r="P329" s="85" t="s">
        <v>1655</v>
      </c>
      <c r="Q329" s="85" t="s">
        <v>1655</v>
      </c>
      <c r="R329" s="85" t="s">
        <v>1655</v>
      </c>
      <c r="S329" s="89" t="s">
        <v>1654</v>
      </c>
      <c r="T329" s="87" t="s">
        <v>1661</v>
      </c>
    </row>
    <row r="330" spans="1:20">
      <c r="A330" s="85">
        <v>51</v>
      </c>
      <c r="B330" s="86" t="s">
        <v>1651</v>
      </c>
      <c r="C330" s="87" t="s">
        <v>320</v>
      </c>
      <c r="D330" s="87" t="s">
        <v>320</v>
      </c>
      <c r="E330" s="88" t="s">
        <v>320</v>
      </c>
      <c r="F330" s="85" t="s">
        <v>1653</v>
      </c>
      <c r="G330" s="85" t="s">
        <v>1653</v>
      </c>
      <c r="H330" s="87" t="s">
        <v>270</v>
      </c>
      <c r="I330" s="87" t="s">
        <v>270</v>
      </c>
      <c r="J330" s="89" t="s">
        <v>1654</v>
      </c>
      <c r="K330" s="87" t="s">
        <v>273</v>
      </c>
      <c r="L330" s="87" t="s">
        <v>273</v>
      </c>
      <c r="M330" s="89" t="s">
        <v>1654</v>
      </c>
      <c r="N330" s="85" t="s">
        <v>1660</v>
      </c>
      <c r="O330" s="85" t="s">
        <v>1662</v>
      </c>
      <c r="P330" s="85" t="s">
        <v>1655</v>
      </c>
      <c r="Q330" s="85" t="s">
        <v>1655</v>
      </c>
      <c r="R330" s="85" t="s">
        <v>1655</v>
      </c>
      <c r="S330" s="89" t="s">
        <v>1654</v>
      </c>
      <c r="T330" s="87" t="s">
        <v>1661</v>
      </c>
    </row>
    <row r="331" spans="1:20">
      <c r="A331" s="85">
        <v>52</v>
      </c>
      <c r="B331" s="86" t="s">
        <v>1651</v>
      </c>
      <c r="C331" s="87" t="s">
        <v>321</v>
      </c>
      <c r="D331" s="87" t="s">
        <v>321</v>
      </c>
      <c r="E331" s="88" t="s">
        <v>321</v>
      </c>
      <c r="F331" s="85" t="s">
        <v>1653</v>
      </c>
      <c r="G331" s="85" t="s">
        <v>1653</v>
      </c>
      <c r="H331" s="87" t="s">
        <v>270</v>
      </c>
      <c r="I331" s="87" t="s">
        <v>270</v>
      </c>
      <c r="J331" s="89" t="s">
        <v>1654</v>
      </c>
      <c r="K331" s="87" t="s">
        <v>273</v>
      </c>
      <c r="L331" s="87" t="s">
        <v>273</v>
      </c>
      <c r="M331" s="89" t="s">
        <v>1654</v>
      </c>
      <c r="N331" s="85" t="s">
        <v>1660</v>
      </c>
      <c r="O331" s="85" t="s">
        <v>1662</v>
      </c>
      <c r="P331" s="85" t="s">
        <v>1655</v>
      </c>
      <c r="Q331" s="85" t="s">
        <v>1655</v>
      </c>
      <c r="R331" s="85" t="s">
        <v>1655</v>
      </c>
      <c r="S331" s="89" t="s">
        <v>1654</v>
      </c>
      <c r="T331" s="87" t="s">
        <v>1661</v>
      </c>
    </row>
    <row r="332" spans="1:20">
      <c r="A332" s="85">
        <v>53</v>
      </c>
      <c r="B332" s="86" t="s">
        <v>1651</v>
      </c>
      <c r="C332" s="87" t="s">
        <v>322</v>
      </c>
      <c r="D332" s="87" t="s">
        <v>322</v>
      </c>
      <c r="E332" s="88" t="s">
        <v>322</v>
      </c>
      <c r="F332" s="85" t="s">
        <v>1653</v>
      </c>
      <c r="G332" s="85" t="s">
        <v>1653</v>
      </c>
      <c r="H332" s="87" t="s">
        <v>270</v>
      </c>
      <c r="I332" s="87" t="s">
        <v>270</v>
      </c>
      <c r="J332" s="89" t="s">
        <v>1654</v>
      </c>
      <c r="K332" s="87" t="s">
        <v>273</v>
      </c>
      <c r="L332" s="87" t="s">
        <v>273</v>
      </c>
      <c r="M332" s="89" t="s">
        <v>1654</v>
      </c>
      <c r="N332" s="85" t="s">
        <v>1660</v>
      </c>
      <c r="O332" s="85" t="s">
        <v>1662</v>
      </c>
      <c r="P332" s="85" t="s">
        <v>1655</v>
      </c>
      <c r="Q332" s="85" t="s">
        <v>1655</v>
      </c>
      <c r="R332" s="85" t="s">
        <v>1655</v>
      </c>
      <c r="S332" s="89" t="s">
        <v>1654</v>
      </c>
      <c r="T332" s="87" t="s">
        <v>1661</v>
      </c>
    </row>
    <row r="333" spans="1:20">
      <c r="A333" s="85">
        <v>54</v>
      </c>
      <c r="B333" s="86" t="s">
        <v>1651</v>
      </c>
      <c r="C333" s="87" t="s">
        <v>323</v>
      </c>
      <c r="D333" s="87" t="s">
        <v>323</v>
      </c>
      <c r="E333" s="88" t="s">
        <v>323</v>
      </c>
      <c r="F333" s="85" t="s">
        <v>1653</v>
      </c>
      <c r="G333" s="85" t="s">
        <v>1653</v>
      </c>
      <c r="H333" s="87" t="s">
        <v>270</v>
      </c>
      <c r="I333" s="87" t="s">
        <v>270</v>
      </c>
      <c r="J333" s="89" t="s">
        <v>1654</v>
      </c>
      <c r="K333" s="87" t="s">
        <v>273</v>
      </c>
      <c r="L333" s="87" t="s">
        <v>273</v>
      </c>
      <c r="M333" s="89" t="s">
        <v>1654</v>
      </c>
      <c r="N333" s="85" t="s">
        <v>1660</v>
      </c>
      <c r="O333" s="85" t="s">
        <v>1662</v>
      </c>
      <c r="P333" s="85" t="s">
        <v>1655</v>
      </c>
      <c r="Q333" s="85" t="s">
        <v>1655</v>
      </c>
      <c r="R333" s="85" t="s">
        <v>1655</v>
      </c>
      <c r="S333" s="89" t="s">
        <v>1654</v>
      </c>
      <c r="T333" s="87" t="s">
        <v>1661</v>
      </c>
    </row>
    <row r="334" spans="1:20">
      <c r="A334" s="85">
        <v>55</v>
      </c>
      <c r="B334" s="86" t="s">
        <v>1651</v>
      </c>
      <c r="C334" s="87" t="s">
        <v>324</v>
      </c>
      <c r="D334" s="87" t="s">
        <v>324</v>
      </c>
      <c r="E334" s="88" t="s">
        <v>324</v>
      </c>
      <c r="F334" s="85" t="s">
        <v>1653</v>
      </c>
      <c r="G334" s="85" t="s">
        <v>1653</v>
      </c>
      <c r="H334" s="87" t="s">
        <v>270</v>
      </c>
      <c r="I334" s="87" t="s">
        <v>270</v>
      </c>
      <c r="J334" s="89" t="s">
        <v>1654</v>
      </c>
      <c r="K334" s="87" t="s">
        <v>273</v>
      </c>
      <c r="L334" s="87" t="s">
        <v>273</v>
      </c>
      <c r="M334" s="89" t="s">
        <v>1654</v>
      </c>
      <c r="N334" s="85" t="s">
        <v>1660</v>
      </c>
      <c r="O334" s="85" t="s">
        <v>1662</v>
      </c>
      <c r="P334" s="85" t="s">
        <v>1655</v>
      </c>
      <c r="Q334" s="85" t="s">
        <v>1655</v>
      </c>
      <c r="R334" s="85" t="s">
        <v>1655</v>
      </c>
      <c r="S334" s="89" t="s">
        <v>1654</v>
      </c>
      <c r="T334" s="87" t="s">
        <v>1661</v>
      </c>
    </row>
    <row r="335" spans="1:20">
      <c r="A335" s="85">
        <v>56</v>
      </c>
      <c r="B335" s="86" t="s">
        <v>1651</v>
      </c>
      <c r="C335" s="87" t="s">
        <v>325</v>
      </c>
      <c r="D335" s="87" t="s">
        <v>325</v>
      </c>
      <c r="E335" s="88" t="s">
        <v>325</v>
      </c>
      <c r="F335" s="85" t="s">
        <v>1653</v>
      </c>
      <c r="G335" s="85" t="s">
        <v>1653</v>
      </c>
      <c r="H335" s="87" t="s">
        <v>270</v>
      </c>
      <c r="I335" s="87" t="s">
        <v>270</v>
      </c>
      <c r="J335" s="89" t="s">
        <v>1654</v>
      </c>
      <c r="K335" s="87" t="s">
        <v>273</v>
      </c>
      <c r="L335" s="87" t="s">
        <v>273</v>
      </c>
      <c r="M335" s="89" t="s">
        <v>1654</v>
      </c>
      <c r="N335" s="85" t="s">
        <v>1660</v>
      </c>
      <c r="O335" s="85" t="s">
        <v>1662</v>
      </c>
      <c r="P335" s="85" t="s">
        <v>1655</v>
      </c>
      <c r="Q335" s="85" t="s">
        <v>1655</v>
      </c>
      <c r="R335" s="85" t="s">
        <v>1655</v>
      </c>
      <c r="S335" s="89" t="s">
        <v>1654</v>
      </c>
      <c r="T335" s="87" t="s">
        <v>1661</v>
      </c>
    </row>
    <row r="336" spans="1:20">
      <c r="A336" s="85">
        <v>57</v>
      </c>
      <c r="B336" s="86" t="s">
        <v>1651</v>
      </c>
      <c r="C336" s="87" t="s">
        <v>326</v>
      </c>
      <c r="D336" s="87" t="s">
        <v>326</v>
      </c>
      <c r="E336" s="88" t="s">
        <v>326</v>
      </c>
      <c r="F336" s="85" t="s">
        <v>1653</v>
      </c>
      <c r="G336" s="85" t="s">
        <v>1653</v>
      </c>
      <c r="H336" s="87" t="s">
        <v>270</v>
      </c>
      <c r="I336" s="87" t="s">
        <v>270</v>
      </c>
      <c r="J336" s="89" t="s">
        <v>1654</v>
      </c>
      <c r="K336" s="87" t="s">
        <v>273</v>
      </c>
      <c r="L336" s="87" t="s">
        <v>273</v>
      </c>
      <c r="M336" s="89" t="s">
        <v>1654</v>
      </c>
      <c r="N336" s="85" t="s">
        <v>1660</v>
      </c>
      <c r="O336" s="85" t="s">
        <v>1662</v>
      </c>
      <c r="P336" s="85" t="s">
        <v>1655</v>
      </c>
      <c r="Q336" s="85" t="s">
        <v>1655</v>
      </c>
      <c r="R336" s="85" t="s">
        <v>1655</v>
      </c>
      <c r="S336" s="89" t="s">
        <v>1654</v>
      </c>
      <c r="T336" s="87" t="s">
        <v>1661</v>
      </c>
    </row>
    <row r="337" spans="1:20">
      <c r="A337" s="85">
        <v>58</v>
      </c>
      <c r="B337" s="86" t="s">
        <v>1651</v>
      </c>
      <c r="C337" s="87" t="s">
        <v>327</v>
      </c>
      <c r="D337" s="87" t="s">
        <v>327</v>
      </c>
      <c r="E337" s="88" t="s">
        <v>327</v>
      </c>
      <c r="F337" s="85" t="s">
        <v>1653</v>
      </c>
      <c r="G337" s="85" t="s">
        <v>1653</v>
      </c>
      <c r="H337" s="87" t="s">
        <v>270</v>
      </c>
      <c r="I337" s="87" t="s">
        <v>270</v>
      </c>
      <c r="J337" s="89" t="s">
        <v>1654</v>
      </c>
      <c r="K337" s="87" t="s">
        <v>273</v>
      </c>
      <c r="L337" s="87" t="s">
        <v>273</v>
      </c>
      <c r="M337" s="89" t="s">
        <v>1654</v>
      </c>
      <c r="N337" s="85" t="s">
        <v>1660</v>
      </c>
      <c r="O337" s="85" t="s">
        <v>1662</v>
      </c>
      <c r="P337" s="85" t="s">
        <v>1655</v>
      </c>
      <c r="Q337" s="85" t="s">
        <v>1655</v>
      </c>
      <c r="R337" s="85" t="s">
        <v>1655</v>
      </c>
      <c r="S337" s="89" t="s">
        <v>1654</v>
      </c>
      <c r="T337" s="87" t="s">
        <v>1661</v>
      </c>
    </row>
    <row r="338" spans="1:20">
      <c r="A338" s="85">
        <v>59</v>
      </c>
      <c r="B338" s="86" t="s">
        <v>1651</v>
      </c>
      <c r="C338" s="87" t="s">
        <v>328</v>
      </c>
      <c r="D338" s="87" t="s">
        <v>328</v>
      </c>
      <c r="E338" s="88" t="s">
        <v>328</v>
      </c>
      <c r="F338" s="85" t="s">
        <v>1653</v>
      </c>
      <c r="G338" s="85" t="s">
        <v>1653</v>
      </c>
      <c r="H338" s="87" t="s">
        <v>270</v>
      </c>
      <c r="I338" s="87" t="s">
        <v>270</v>
      </c>
      <c r="J338" s="89" t="s">
        <v>1654</v>
      </c>
      <c r="K338" s="87" t="s">
        <v>273</v>
      </c>
      <c r="L338" s="87" t="s">
        <v>273</v>
      </c>
      <c r="M338" s="89" t="s">
        <v>1654</v>
      </c>
      <c r="N338" s="85" t="s">
        <v>1660</v>
      </c>
      <c r="O338" s="85" t="s">
        <v>1662</v>
      </c>
      <c r="P338" s="85" t="s">
        <v>1655</v>
      </c>
      <c r="Q338" s="85" t="s">
        <v>1655</v>
      </c>
      <c r="R338" s="85" t="s">
        <v>1655</v>
      </c>
      <c r="S338" s="89" t="s">
        <v>1654</v>
      </c>
      <c r="T338" s="87" t="s">
        <v>1661</v>
      </c>
    </row>
    <row r="339" spans="1:20">
      <c r="A339" s="85">
        <v>60</v>
      </c>
      <c r="B339" s="86" t="s">
        <v>1651</v>
      </c>
      <c r="C339" s="87" t="s">
        <v>329</v>
      </c>
      <c r="D339" s="87" t="s">
        <v>329</v>
      </c>
      <c r="E339" s="88" t="s">
        <v>329</v>
      </c>
      <c r="F339" s="85" t="s">
        <v>1653</v>
      </c>
      <c r="G339" s="85" t="s">
        <v>1653</v>
      </c>
      <c r="H339" s="87" t="s">
        <v>270</v>
      </c>
      <c r="I339" s="87" t="s">
        <v>270</v>
      </c>
      <c r="J339" s="89" t="s">
        <v>1654</v>
      </c>
      <c r="K339" s="87" t="s">
        <v>273</v>
      </c>
      <c r="L339" s="87" t="s">
        <v>273</v>
      </c>
      <c r="M339" s="89" t="s">
        <v>1654</v>
      </c>
      <c r="N339" s="85" t="s">
        <v>1660</v>
      </c>
      <c r="O339" s="85" t="s">
        <v>1662</v>
      </c>
      <c r="P339" s="85" t="s">
        <v>1655</v>
      </c>
      <c r="Q339" s="85" t="s">
        <v>1655</v>
      </c>
      <c r="R339" s="85" t="s">
        <v>1655</v>
      </c>
      <c r="S339" s="89" t="s">
        <v>1654</v>
      </c>
      <c r="T339" s="87" t="s">
        <v>1661</v>
      </c>
    </row>
    <row r="340" spans="1:20">
      <c r="A340" s="85">
        <v>61</v>
      </c>
      <c r="B340" s="86" t="s">
        <v>1651</v>
      </c>
      <c r="C340" s="87" t="s">
        <v>330</v>
      </c>
      <c r="D340" s="87" t="s">
        <v>330</v>
      </c>
      <c r="E340" s="88" t="s">
        <v>330</v>
      </c>
      <c r="F340" s="85" t="s">
        <v>1653</v>
      </c>
      <c r="G340" s="85" t="s">
        <v>1653</v>
      </c>
      <c r="H340" s="87" t="s">
        <v>270</v>
      </c>
      <c r="I340" s="87" t="s">
        <v>270</v>
      </c>
      <c r="J340" s="89" t="s">
        <v>1654</v>
      </c>
      <c r="K340" s="87" t="s">
        <v>273</v>
      </c>
      <c r="L340" s="87" t="s">
        <v>273</v>
      </c>
      <c r="M340" s="89" t="s">
        <v>1654</v>
      </c>
      <c r="N340" s="85" t="s">
        <v>1660</v>
      </c>
      <c r="O340" s="85" t="s">
        <v>1662</v>
      </c>
      <c r="P340" s="85" t="s">
        <v>1655</v>
      </c>
      <c r="Q340" s="85" t="s">
        <v>1655</v>
      </c>
      <c r="R340" s="85" t="s">
        <v>1655</v>
      </c>
      <c r="S340" s="89" t="s">
        <v>1654</v>
      </c>
      <c r="T340" s="87" t="s">
        <v>1661</v>
      </c>
    </row>
    <row r="341" spans="1:20">
      <c r="A341" s="85">
        <v>62</v>
      </c>
      <c r="B341" s="92" t="s">
        <v>1663</v>
      </c>
      <c r="C341" s="87" t="s">
        <v>1386</v>
      </c>
      <c r="D341" s="87" t="s">
        <v>18</v>
      </c>
      <c r="E341" s="88" t="s">
        <v>1386</v>
      </c>
      <c r="F341" s="85" t="s">
        <v>1652</v>
      </c>
      <c r="G341" s="85" t="s">
        <v>1653</v>
      </c>
      <c r="H341" s="87" t="s">
        <v>270</v>
      </c>
      <c r="I341" s="87" t="s">
        <v>270</v>
      </c>
      <c r="J341" s="89" t="s">
        <v>1654</v>
      </c>
      <c r="K341" s="87" t="s">
        <v>18</v>
      </c>
      <c r="L341" s="87" t="s">
        <v>18</v>
      </c>
      <c r="M341" s="89" t="s">
        <v>1671</v>
      </c>
      <c r="N341" s="85" t="s">
        <v>1660</v>
      </c>
      <c r="O341" s="85" t="s">
        <v>1662</v>
      </c>
      <c r="P341" s="85" t="s">
        <v>1655</v>
      </c>
      <c r="Q341" s="85" t="s">
        <v>1655</v>
      </c>
      <c r="R341" s="85" t="s">
        <v>1655</v>
      </c>
      <c r="S341" s="89" t="s">
        <v>1654</v>
      </c>
      <c r="T341" s="87" t="s">
        <v>1685</v>
      </c>
    </row>
    <row r="342" spans="1:20">
      <c r="A342" s="85">
        <v>63</v>
      </c>
      <c r="B342" s="92" t="s">
        <v>1663</v>
      </c>
      <c r="C342" s="87" t="s">
        <v>1387</v>
      </c>
      <c r="D342" s="87" t="s">
        <v>18</v>
      </c>
      <c r="E342" s="88" t="s">
        <v>1387</v>
      </c>
      <c r="F342" s="85" t="s">
        <v>1652</v>
      </c>
      <c r="G342" s="85" t="s">
        <v>1653</v>
      </c>
      <c r="H342" s="87" t="s">
        <v>270</v>
      </c>
      <c r="I342" s="87" t="s">
        <v>270</v>
      </c>
      <c r="J342" s="89" t="s">
        <v>1654</v>
      </c>
      <c r="K342" s="87" t="s">
        <v>18</v>
      </c>
      <c r="L342" s="87" t="s">
        <v>18</v>
      </c>
      <c r="M342" s="89" t="s">
        <v>1671</v>
      </c>
      <c r="N342" s="85" t="s">
        <v>1660</v>
      </c>
      <c r="O342" s="85" t="s">
        <v>1662</v>
      </c>
      <c r="P342" s="85" t="s">
        <v>1655</v>
      </c>
      <c r="Q342" s="85" t="s">
        <v>1655</v>
      </c>
      <c r="R342" s="85" t="s">
        <v>1655</v>
      </c>
      <c r="S342" s="89" t="s">
        <v>1654</v>
      </c>
      <c r="T342" s="87" t="s">
        <v>1685</v>
      </c>
    </row>
    <row r="343" spans="1:20">
      <c r="A343" s="85">
        <v>64</v>
      </c>
      <c r="B343" s="92" t="s">
        <v>1663</v>
      </c>
      <c r="C343" s="87" t="s">
        <v>1388</v>
      </c>
      <c r="D343" s="87" t="s">
        <v>18</v>
      </c>
      <c r="E343" s="88" t="s">
        <v>1388</v>
      </c>
      <c r="F343" s="85" t="s">
        <v>1652</v>
      </c>
      <c r="G343" s="85" t="s">
        <v>1653</v>
      </c>
      <c r="H343" s="87" t="s">
        <v>270</v>
      </c>
      <c r="I343" s="87" t="s">
        <v>270</v>
      </c>
      <c r="J343" s="89" t="s">
        <v>1654</v>
      </c>
      <c r="K343" s="87" t="s">
        <v>18</v>
      </c>
      <c r="L343" s="87" t="s">
        <v>18</v>
      </c>
      <c r="M343" s="89" t="s">
        <v>1671</v>
      </c>
      <c r="N343" s="85" t="s">
        <v>1660</v>
      </c>
      <c r="O343" s="85" t="s">
        <v>1662</v>
      </c>
      <c r="P343" s="85" t="s">
        <v>1655</v>
      </c>
      <c r="Q343" s="85" t="s">
        <v>1655</v>
      </c>
      <c r="R343" s="85" t="s">
        <v>1655</v>
      </c>
      <c r="S343" s="89" t="s">
        <v>1654</v>
      </c>
      <c r="T343" s="87" t="s">
        <v>1685</v>
      </c>
    </row>
    <row r="344" spans="1:20">
      <c r="A344" s="85">
        <v>65</v>
      </c>
      <c r="B344" s="92" t="s">
        <v>1663</v>
      </c>
      <c r="C344" s="87" t="s">
        <v>1389</v>
      </c>
      <c r="D344" s="87" t="s">
        <v>18</v>
      </c>
      <c r="E344" s="88" t="s">
        <v>1389</v>
      </c>
      <c r="F344" s="85" t="s">
        <v>1652</v>
      </c>
      <c r="G344" s="85" t="s">
        <v>1653</v>
      </c>
      <c r="H344" s="87" t="s">
        <v>270</v>
      </c>
      <c r="I344" s="87" t="s">
        <v>270</v>
      </c>
      <c r="J344" s="89" t="s">
        <v>1654</v>
      </c>
      <c r="K344" s="87" t="s">
        <v>18</v>
      </c>
      <c r="L344" s="87" t="s">
        <v>18</v>
      </c>
      <c r="M344" s="89" t="s">
        <v>1671</v>
      </c>
      <c r="N344" s="85" t="s">
        <v>1660</v>
      </c>
      <c r="O344" s="85" t="s">
        <v>1662</v>
      </c>
      <c r="P344" s="85" t="s">
        <v>1655</v>
      </c>
      <c r="Q344" s="85" t="s">
        <v>1655</v>
      </c>
      <c r="R344" s="85" t="s">
        <v>1655</v>
      </c>
      <c r="S344" s="89" t="s">
        <v>1654</v>
      </c>
      <c r="T344" s="87" t="s">
        <v>1685</v>
      </c>
    </row>
    <row r="345" spans="1:20">
      <c r="A345" s="85">
        <v>66</v>
      </c>
      <c r="B345" s="92" t="s">
        <v>1663</v>
      </c>
      <c r="C345" s="87" t="s">
        <v>1091</v>
      </c>
      <c r="D345" s="87" t="s">
        <v>18</v>
      </c>
      <c r="E345" s="88" t="s">
        <v>1091</v>
      </c>
      <c r="F345" s="85" t="s">
        <v>1653</v>
      </c>
      <c r="G345" s="85" t="s">
        <v>1653</v>
      </c>
      <c r="H345" s="87" t="s">
        <v>270</v>
      </c>
      <c r="I345" s="87" t="s">
        <v>270</v>
      </c>
      <c r="J345" s="89" t="s">
        <v>1654</v>
      </c>
      <c r="K345" s="87" t="s">
        <v>18</v>
      </c>
      <c r="L345" s="87" t="s">
        <v>18</v>
      </c>
      <c r="M345" s="89" t="s">
        <v>1671</v>
      </c>
      <c r="N345" s="85" t="s">
        <v>1655</v>
      </c>
      <c r="O345" s="85" t="s">
        <v>1660</v>
      </c>
      <c r="P345" s="85" t="s">
        <v>1655</v>
      </c>
      <c r="Q345" s="85" t="s">
        <v>1655</v>
      </c>
      <c r="R345" s="85" t="s">
        <v>1655</v>
      </c>
      <c r="S345" s="89" t="s">
        <v>1654</v>
      </c>
      <c r="T345" s="87" t="s">
        <v>1685</v>
      </c>
    </row>
    <row r="346" spans="1:20">
      <c r="A346" s="85">
        <v>67</v>
      </c>
      <c r="B346" s="92" t="s">
        <v>1663</v>
      </c>
      <c r="C346" s="87" t="s">
        <v>1095</v>
      </c>
      <c r="D346" s="87" t="s">
        <v>18</v>
      </c>
      <c r="E346" s="88" t="s">
        <v>1095</v>
      </c>
      <c r="F346" s="85" t="s">
        <v>1653</v>
      </c>
      <c r="G346" s="85" t="s">
        <v>1653</v>
      </c>
      <c r="H346" s="87" t="s">
        <v>270</v>
      </c>
      <c r="I346" s="87" t="s">
        <v>270</v>
      </c>
      <c r="J346" s="89" t="s">
        <v>1654</v>
      </c>
      <c r="K346" s="87" t="s">
        <v>18</v>
      </c>
      <c r="L346" s="87" t="s">
        <v>18</v>
      </c>
      <c r="M346" s="89" t="s">
        <v>1671</v>
      </c>
      <c r="N346" s="85" t="s">
        <v>1655</v>
      </c>
      <c r="O346" s="85" t="s">
        <v>1660</v>
      </c>
      <c r="P346" s="85" t="s">
        <v>1655</v>
      </c>
      <c r="Q346" s="85" t="s">
        <v>1655</v>
      </c>
      <c r="R346" s="85" t="s">
        <v>1655</v>
      </c>
      <c r="S346" s="89" t="s">
        <v>1654</v>
      </c>
      <c r="T346" s="87" t="s">
        <v>1685</v>
      </c>
    </row>
    <row r="347" spans="1:20">
      <c r="A347" s="85">
        <v>68</v>
      </c>
      <c r="B347" s="92" t="s">
        <v>1663</v>
      </c>
      <c r="C347" s="87" t="s">
        <v>1097</v>
      </c>
      <c r="D347" s="87" t="s">
        <v>18</v>
      </c>
      <c r="E347" s="88" t="s">
        <v>1097</v>
      </c>
      <c r="F347" s="85" t="s">
        <v>1653</v>
      </c>
      <c r="G347" s="85" t="s">
        <v>1653</v>
      </c>
      <c r="H347" s="87" t="s">
        <v>270</v>
      </c>
      <c r="I347" s="87" t="s">
        <v>270</v>
      </c>
      <c r="J347" s="89" t="s">
        <v>1654</v>
      </c>
      <c r="K347" s="87" t="s">
        <v>18</v>
      </c>
      <c r="L347" s="87" t="s">
        <v>18</v>
      </c>
      <c r="M347" s="89" t="s">
        <v>1671</v>
      </c>
      <c r="N347" s="85" t="s">
        <v>1655</v>
      </c>
      <c r="O347" s="85" t="s">
        <v>1660</v>
      </c>
      <c r="P347" s="85" t="s">
        <v>1655</v>
      </c>
      <c r="Q347" s="85" t="s">
        <v>1655</v>
      </c>
      <c r="R347" s="85" t="s">
        <v>1655</v>
      </c>
      <c r="S347" s="89" t="s">
        <v>1654</v>
      </c>
      <c r="T347" s="87" t="s">
        <v>1685</v>
      </c>
    </row>
    <row r="348" spans="1:20">
      <c r="A348" s="85">
        <v>69</v>
      </c>
      <c r="B348" s="92" t="s">
        <v>1663</v>
      </c>
      <c r="C348" s="87" t="s">
        <v>1099</v>
      </c>
      <c r="D348" s="87" t="s">
        <v>18</v>
      </c>
      <c r="E348" s="88" t="s">
        <v>1099</v>
      </c>
      <c r="F348" s="85" t="s">
        <v>1653</v>
      </c>
      <c r="G348" s="85" t="s">
        <v>1653</v>
      </c>
      <c r="H348" s="87" t="s">
        <v>270</v>
      </c>
      <c r="I348" s="87" t="s">
        <v>270</v>
      </c>
      <c r="J348" s="89" t="s">
        <v>1654</v>
      </c>
      <c r="K348" s="87" t="s">
        <v>18</v>
      </c>
      <c r="L348" s="87" t="s">
        <v>18</v>
      </c>
      <c r="M348" s="89" t="s">
        <v>1671</v>
      </c>
      <c r="N348" s="85" t="s">
        <v>1655</v>
      </c>
      <c r="O348" s="85" t="s">
        <v>1660</v>
      </c>
      <c r="P348" s="85" t="s">
        <v>1655</v>
      </c>
      <c r="Q348" s="85" t="s">
        <v>1655</v>
      </c>
      <c r="R348" s="85" t="s">
        <v>1655</v>
      </c>
      <c r="S348" s="89" t="s">
        <v>1654</v>
      </c>
      <c r="T348" s="87" t="s">
        <v>1685</v>
      </c>
    </row>
    <row r="349" spans="1:20">
      <c r="A349" s="85">
        <v>70</v>
      </c>
      <c r="B349" s="92" t="s">
        <v>1663</v>
      </c>
      <c r="C349" s="87" t="s">
        <v>1101</v>
      </c>
      <c r="D349" s="87" t="s">
        <v>18</v>
      </c>
      <c r="E349" s="88" t="s">
        <v>1101</v>
      </c>
      <c r="F349" s="85" t="s">
        <v>1653</v>
      </c>
      <c r="G349" s="85" t="s">
        <v>1653</v>
      </c>
      <c r="H349" s="87" t="s">
        <v>270</v>
      </c>
      <c r="I349" s="87" t="s">
        <v>270</v>
      </c>
      <c r="J349" s="89" t="s">
        <v>1654</v>
      </c>
      <c r="K349" s="87" t="s">
        <v>18</v>
      </c>
      <c r="L349" s="87" t="s">
        <v>18</v>
      </c>
      <c r="M349" s="89" t="s">
        <v>1671</v>
      </c>
      <c r="N349" s="85" t="s">
        <v>1655</v>
      </c>
      <c r="O349" s="85" t="s">
        <v>1660</v>
      </c>
      <c r="P349" s="85" t="s">
        <v>1655</v>
      </c>
      <c r="Q349" s="85" t="s">
        <v>1655</v>
      </c>
      <c r="R349" s="85" t="s">
        <v>1655</v>
      </c>
      <c r="S349" s="89" t="s">
        <v>1654</v>
      </c>
      <c r="T349" s="87" t="s">
        <v>1685</v>
      </c>
    </row>
    <row r="350" spans="1:20">
      <c r="A350" s="85">
        <v>71</v>
      </c>
      <c r="B350" s="92" t="s">
        <v>1663</v>
      </c>
      <c r="C350" s="87" t="s">
        <v>1103</v>
      </c>
      <c r="D350" s="87" t="s">
        <v>18</v>
      </c>
      <c r="E350" s="88" t="s">
        <v>1103</v>
      </c>
      <c r="F350" s="85" t="s">
        <v>1653</v>
      </c>
      <c r="G350" s="85" t="s">
        <v>1653</v>
      </c>
      <c r="H350" s="87" t="s">
        <v>270</v>
      </c>
      <c r="I350" s="87" t="s">
        <v>1307</v>
      </c>
      <c r="J350" s="90" t="s">
        <v>1658</v>
      </c>
      <c r="K350" s="87" t="s">
        <v>18</v>
      </c>
      <c r="L350" s="87" t="s">
        <v>18</v>
      </c>
      <c r="M350" s="89" t="s">
        <v>1671</v>
      </c>
      <c r="N350" s="85" t="s">
        <v>1660</v>
      </c>
      <c r="O350" s="85" t="s">
        <v>1655</v>
      </c>
      <c r="P350" s="85" t="s">
        <v>1655</v>
      </c>
      <c r="Q350" s="85" t="s">
        <v>1655</v>
      </c>
      <c r="R350" s="85" t="s">
        <v>1655</v>
      </c>
      <c r="S350" s="89" t="s">
        <v>1654</v>
      </c>
      <c r="T350" s="91" t="s">
        <v>1712</v>
      </c>
    </row>
    <row r="351" spans="1:20">
      <c r="A351" s="85">
        <v>72</v>
      </c>
      <c r="B351" s="92" t="s">
        <v>1663</v>
      </c>
      <c r="C351" s="87" t="s">
        <v>1105</v>
      </c>
      <c r="D351" s="87" t="s">
        <v>18</v>
      </c>
      <c r="E351" s="88" t="s">
        <v>1105</v>
      </c>
      <c r="F351" s="85" t="s">
        <v>1653</v>
      </c>
      <c r="G351" s="85" t="s">
        <v>1653</v>
      </c>
      <c r="H351" s="87" t="s">
        <v>270</v>
      </c>
      <c r="I351" s="87" t="s">
        <v>1307</v>
      </c>
      <c r="J351" s="90" t="s">
        <v>1658</v>
      </c>
      <c r="K351" s="87" t="s">
        <v>18</v>
      </c>
      <c r="L351" s="87" t="s">
        <v>18</v>
      </c>
      <c r="M351" s="89" t="s">
        <v>1671</v>
      </c>
      <c r="N351" s="85" t="s">
        <v>1660</v>
      </c>
      <c r="O351" s="85" t="s">
        <v>1655</v>
      </c>
      <c r="P351" s="85" t="s">
        <v>1655</v>
      </c>
      <c r="Q351" s="85" t="s">
        <v>1655</v>
      </c>
      <c r="R351" s="85" t="s">
        <v>1655</v>
      </c>
      <c r="S351" s="89" t="s">
        <v>1654</v>
      </c>
      <c r="T351" s="91" t="s">
        <v>1712</v>
      </c>
    </row>
    <row r="352" spans="1:20">
      <c r="A352" s="85">
        <v>73</v>
      </c>
      <c r="B352" s="92" t="s">
        <v>1663</v>
      </c>
      <c r="C352" s="87" t="s">
        <v>1107</v>
      </c>
      <c r="D352" s="87" t="s">
        <v>18</v>
      </c>
      <c r="E352" s="88" t="s">
        <v>1107</v>
      </c>
      <c r="F352" s="85" t="s">
        <v>1653</v>
      </c>
      <c r="G352" s="85" t="s">
        <v>1653</v>
      </c>
      <c r="H352" s="87" t="s">
        <v>270</v>
      </c>
      <c r="I352" s="87" t="s">
        <v>270</v>
      </c>
      <c r="J352" s="89" t="s">
        <v>1654</v>
      </c>
      <c r="K352" s="87" t="s">
        <v>18</v>
      </c>
      <c r="L352" s="87" t="s">
        <v>18</v>
      </c>
      <c r="M352" s="89" t="s">
        <v>1671</v>
      </c>
      <c r="N352" s="85" t="s">
        <v>1660</v>
      </c>
      <c r="O352" s="85" t="s">
        <v>1655</v>
      </c>
      <c r="P352" s="85" t="s">
        <v>1655</v>
      </c>
      <c r="Q352" s="85" t="s">
        <v>1655</v>
      </c>
      <c r="R352" s="85" t="s">
        <v>1655</v>
      </c>
      <c r="S352" s="89" t="s">
        <v>1654</v>
      </c>
      <c r="T352" s="87" t="s">
        <v>1685</v>
      </c>
    </row>
    <row r="353" spans="1:20">
      <c r="A353" s="85">
        <v>74</v>
      </c>
      <c r="B353" s="92" t="s">
        <v>1663</v>
      </c>
      <c r="C353" s="87" t="s">
        <v>1109</v>
      </c>
      <c r="D353" s="87" t="s">
        <v>18</v>
      </c>
      <c r="E353" s="88" t="s">
        <v>1109</v>
      </c>
      <c r="F353" s="85" t="s">
        <v>1653</v>
      </c>
      <c r="G353" s="85" t="s">
        <v>1653</v>
      </c>
      <c r="H353" s="87" t="s">
        <v>270</v>
      </c>
      <c r="I353" s="87" t="s">
        <v>270</v>
      </c>
      <c r="J353" s="89" t="s">
        <v>1654</v>
      </c>
      <c r="K353" s="87" t="s">
        <v>18</v>
      </c>
      <c r="L353" s="87" t="s">
        <v>18</v>
      </c>
      <c r="M353" s="89" t="s">
        <v>1671</v>
      </c>
      <c r="N353" s="85" t="s">
        <v>1660</v>
      </c>
      <c r="O353" s="85" t="s">
        <v>1655</v>
      </c>
      <c r="P353" s="85" t="s">
        <v>1655</v>
      </c>
      <c r="Q353" s="85" t="s">
        <v>1655</v>
      </c>
      <c r="R353" s="85" t="s">
        <v>1655</v>
      </c>
      <c r="S353" s="89" t="s">
        <v>1654</v>
      </c>
      <c r="T353" s="87" t="s">
        <v>1685</v>
      </c>
    </row>
    <row r="354" spans="1:20">
      <c r="A354" s="85">
        <v>75</v>
      </c>
      <c r="B354" s="92" t="s">
        <v>1663</v>
      </c>
      <c r="C354" s="87" t="s">
        <v>1110</v>
      </c>
      <c r="D354" s="87" t="s">
        <v>18</v>
      </c>
      <c r="E354" s="88" t="s">
        <v>1110</v>
      </c>
      <c r="F354" s="85" t="s">
        <v>1653</v>
      </c>
      <c r="G354" s="85" t="s">
        <v>1653</v>
      </c>
      <c r="H354" s="87" t="s">
        <v>270</v>
      </c>
      <c r="I354" s="87" t="s">
        <v>270</v>
      </c>
      <c r="J354" s="89" t="s">
        <v>1654</v>
      </c>
      <c r="K354" s="87" t="s">
        <v>18</v>
      </c>
      <c r="L354" s="87" t="s">
        <v>18</v>
      </c>
      <c r="M354" s="89" t="s">
        <v>1671</v>
      </c>
      <c r="N354" s="85" t="s">
        <v>1655</v>
      </c>
      <c r="O354" s="85" t="s">
        <v>1655</v>
      </c>
      <c r="P354" s="85" t="s">
        <v>1655</v>
      </c>
      <c r="Q354" s="85" t="s">
        <v>1660</v>
      </c>
      <c r="R354" s="85" t="s">
        <v>1655</v>
      </c>
      <c r="S354" s="89" t="s">
        <v>1654</v>
      </c>
      <c r="T354" s="87" t="s">
        <v>1685</v>
      </c>
    </row>
    <row r="355" spans="1:20">
      <c r="A355" s="85">
        <v>76</v>
      </c>
      <c r="B355" s="92" t="s">
        <v>1663</v>
      </c>
      <c r="C355" s="87" t="s">
        <v>1113</v>
      </c>
      <c r="D355" s="87" t="s">
        <v>18</v>
      </c>
      <c r="E355" s="88" t="s">
        <v>1113</v>
      </c>
      <c r="F355" s="85" t="s">
        <v>1653</v>
      </c>
      <c r="G355" s="85" t="s">
        <v>1653</v>
      </c>
      <c r="H355" s="87" t="s">
        <v>270</v>
      </c>
      <c r="I355" s="87" t="s">
        <v>270</v>
      </c>
      <c r="J355" s="89" t="s">
        <v>1654</v>
      </c>
      <c r="K355" s="87" t="s">
        <v>18</v>
      </c>
      <c r="L355" s="87" t="s">
        <v>18</v>
      </c>
      <c r="M355" s="89" t="s">
        <v>1671</v>
      </c>
      <c r="N355" s="85" t="s">
        <v>1655</v>
      </c>
      <c r="O355" s="85" t="s">
        <v>1655</v>
      </c>
      <c r="P355" s="85" t="s">
        <v>1655</v>
      </c>
      <c r="Q355" s="85" t="s">
        <v>1660</v>
      </c>
      <c r="R355" s="85" t="s">
        <v>1655</v>
      </c>
      <c r="S355" s="89" t="s">
        <v>1654</v>
      </c>
      <c r="T355" s="87" t="s">
        <v>1685</v>
      </c>
    </row>
    <row r="356" spans="1:20">
      <c r="A356" s="85">
        <v>77</v>
      </c>
      <c r="B356" s="92" t="s">
        <v>1663</v>
      </c>
      <c r="C356" s="87" t="s">
        <v>1115</v>
      </c>
      <c r="D356" s="87" t="s">
        <v>18</v>
      </c>
      <c r="E356" s="88" t="s">
        <v>1115</v>
      </c>
      <c r="F356" s="85" t="s">
        <v>1653</v>
      </c>
      <c r="G356" s="85" t="s">
        <v>1653</v>
      </c>
      <c r="H356" s="87" t="s">
        <v>270</v>
      </c>
      <c r="I356" s="87" t="s">
        <v>270</v>
      </c>
      <c r="J356" s="89" t="s">
        <v>1654</v>
      </c>
      <c r="K356" s="87" t="s">
        <v>18</v>
      </c>
      <c r="L356" s="87" t="s">
        <v>18</v>
      </c>
      <c r="M356" s="89" t="s">
        <v>1671</v>
      </c>
      <c r="N356" s="85" t="s">
        <v>1655</v>
      </c>
      <c r="O356" s="85" t="s">
        <v>1655</v>
      </c>
      <c r="P356" s="85" t="s">
        <v>1660</v>
      </c>
      <c r="Q356" s="85" t="s">
        <v>1655</v>
      </c>
      <c r="R356" s="85" t="s">
        <v>1655</v>
      </c>
      <c r="S356" s="89" t="s">
        <v>1654</v>
      </c>
      <c r="T356" s="87" t="s">
        <v>1685</v>
      </c>
    </row>
    <row r="357" spans="1:20">
      <c r="A357" s="85">
        <v>78</v>
      </c>
      <c r="B357" s="92" t="s">
        <v>1663</v>
      </c>
      <c r="C357" s="87" t="s">
        <v>1117</v>
      </c>
      <c r="D357" s="87" t="s">
        <v>18</v>
      </c>
      <c r="E357" s="88" t="s">
        <v>1117</v>
      </c>
      <c r="F357" s="85" t="s">
        <v>1653</v>
      </c>
      <c r="G357" s="85" t="s">
        <v>1653</v>
      </c>
      <c r="H357" s="87" t="s">
        <v>270</v>
      </c>
      <c r="I357" s="87" t="s">
        <v>270</v>
      </c>
      <c r="J357" s="89" t="s">
        <v>1654</v>
      </c>
      <c r="K357" s="87" t="s">
        <v>18</v>
      </c>
      <c r="L357" s="87" t="s">
        <v>18</v>
      </c>
      <c r="M357" s="89" t="s">
        <v>1671</v>
      </c>
      <c r="N357" s="85" t="s">
        <v>1655</v>
      </c>
      <c r="O357" s="85" t="s">
        <v>1655</v>
      </c>
      <c r="P357" s="85" t="s">
        <v>1655</v>
      </c>
      <c r="Q357" s="85" t="s">
        <v>1655</v>
      </c>
      <c r="R357" s="85" t="s">
        <v>1660</v>
      </c>
      <c r="S357" s="89" t="s">
        <v>1654</v>
      </c>
      <c r="T357" s="87" t="s">
        <v>1685</v>
      </c>
    </row>
    <row r="358" spans="1:20">
      <c r="A358" s="85">
        <v>1</v>
      </c>
      <c r="B358" s="86" t="s">
        <v>1651</v>
      </c>
      <c r="C358" s="87" t="s">
        <v>332</v>
      </c>
      <c r="D358" s="87" t="s">
        <v>332</v>
      </c>
      <c r="E358" s="88" t="s">
        <v>332</v>
      </c>
      <c r="F358" s="85" t="s">
        <v>1653</v>
      </c>
      <c r="G358" s="85" t="s">
        <v>1653</v>
      </c>
      <c r="H358" s="87" t="s">
        <v>333</v>
      </c>
      <c r="I358" s="87" t="s">
        <v>333</v>
      </c>
      <c r="J358" s="89" t="s">
        <v>1654</v>
      </c>
      <c r="K358" s="87" t="s">
        <v>22</v>
      </c>
      <c r="L358" s="87" t="s">
        <v>22</v>
      </c>
      <c r="M358" s="89" t="s">
        <v>1654</v>
      </c>
      <c r="N358" s="85" t="s">
        <v>1655</v>
      </c>
      <c r="O358" s="85" t="s">
        <v>1655</v>
      </c>
      <c r="P358" s="85" t="s">
        <v>1655</v>
      </c>
      <c r="Q358" s="85" t="s">
        <v>1660</v>
      </c>
      <c r="R358" s="85" t="s">
        <v>1655</v>
      </c>
      <c r="S358" s="89" t="s">
        <v>1654</v>
      </c>
      <c r="T358" s="87" t="s">
        <v>1661</v>
      </c>
    </row>
    <row r="359" spans="1:20">
      <c r="A359" s="85">
        <v>1</v>
      </c>
      <c r="B359" s="93" t="s">
        <v>1669</v>
      </c>
      <c r="C359" s="87" t="s">
        <v>1251</v>
      </c>
      <c r="D359" s="87" t="s">
        <v>18</v>
      </c>
      <c r="E359" s="88" t="s">
        <v>18</v>
      </c>
      <c r="F359" s="85" t="s">
        <v>1652</v>
      </c>
      <c r="G359" s="85" t="s">
        <v>1652</v>
      </c>
      <c r="H359" s="87" t="s">
        <v>382</v>
      </c>
      <c r="I359" s="87" t="s">
        <v>18</v>
      </c>
      <c r="J359" s="89" t="s">
        <v>1671</v>
      </c>
      <c r="K359" s="87" t="s">
        <v>18</v>
      </c>
      <c r="L359" s="87" t="s">
        <v>18</v>
      </c>
      <c r="M359" s="89" t="s">
        <v>1671</v>
      </c>
      <c r="N359" s="85" t="s">
        <v>1657</v>
      </c>
      <c r="O359" s="85" t="s">
        <v>1657</v>
      </c>
      <c r="P359" s="85" t="s">
        <v>1655</v>
      </c>
      <c r="Q359" s="85" t="s">
        <v>1655</v>
      </c>
      <c r="R359" s="85" t="s">
        <v>1657</v>
      </c>
      <c r="S359" s="89" t="s">
        <v>1671</v>
      </c>
      <c r="T359" s="87" t="s">
        <v>1713</v>
      </c>
    </row>
    <row r="360" spans="1:20">
      <c r="A360" s="85">
        <v>2</v>
      </c>
      <c r="B360" s="93" t="s">
        <v>1669</v>
      </c>
      <c r="C360" s="87" t="s">
        <v>1255</v>
      </c>
      <c r="D360" s="87" t="s">
        <v>18</v>
      </c>
      <c r="E360" s="88" t="s">
        <v>18</v>
      </c>
      <c r="F360" s="85" t="s">
        <v>1652</v>
      </c>
      <c r="G360" s="85" t="s">
        <v>1652</v>
      </c>
      <c r="H360" s="87" t="s">
        <v>382</v>
      </c>
      <c r="I360" s="87" t="s">
        <v>18</v>
      </c>
      <c r="J360" s="89" t="s">
        <v>1671</v>
      </c>
      <c r="K360" s="87" t="s">
        <v>18</v>
      </c>
      <c r="L360" s="87" t="s">
        <v>18</v>
      </c>
      <c r="M360" s="89" t="s">
        <v>1671</v>
      </c>
      <c r="N360" s="85" t="s">
        <v>1657</v>
      </c>
      <c r="O360" s="85" t="s">
        <v>1657</v>
      </c>
      <c r="P360" s="85" t="s">
        <v>1655</v>
      </c>
      <c r="Q360" s="85" t="s">
        <v>1655</v>
      </c>
      <c r="R360" s="85" t="s">
        <v>1657</v>
      </c>
      <c r="S360" s="89" t="s">
        <v>1671</v>
      </c>
      <c r="T360" s="87" t="s">
        <v>1714</v>
      </c>
    </row>
    <row r="361" spans="1:20">
      <c r="A361" s="85">
        <v>1</v>
      </c>
      <c r="B361" s="86" t="s">
        <v>1651</v>
      </c>
      <c r="C361" s="87" t="s">
        <v>1259</v>
      </c>
      <c r="D361" s="87" t="s">
        <v>403</v>
      </c>
      <c r="E361" s="88" t="s">
        <v>403</v>
      </c>
      <c r="F361" s="85" t="s">
        <v>1653</v>
      </c>
      <c r="G361" s="85" t="s">
        <v>1653</v>
      </c>
      <c r="H361" s="87" t="s">
        <v>382</v>
      </c>
      <c r="I361" s="87" t="s">
        <v>382</v>
      </c>
      <c r="J361" s="89" t="s">
        <v>1654</v>
      </c>
      <c r="K361" s="87" t="s">
        <v>406</v>
      </c>
      <c r="L361" s="87" t="s">
        <v>406</v>
      </c>
      <c r="M361" s="89" t="s">
        <v>1654</v>
      </c>
      <c r="N361" s="85" t="s">
        <v>1655</v>
      </c>
      <c r="O361" s="85" t="s">
        <v>1660</v>
      </c>
      <c r="P361" s="85" t="s">
        <v>1655</v>
      </c>
      <c r="Q361" s="85" t="s">
        <v>1662</v>
      </c>
      <c r="R361" s="85" t="s">
        <v>1655</v>
      </c>
      <c r="S361" s="89" t="s">
        <v>1654</v>
      </c>
      <c r="T361" s="87" t="s">
        <v>1661</v>
      </c>
    </row>
    <row r="362" spans="1:20">
      <c r="A362" s="85">
        <v>2</v>
      </c>
      <c r="B362" s="86" t="s">
        <v>1651</v>
      </c>
      <c r="C362" s="87" t="s">
        <v>1266</v>
      </c>
      <c r="D362" s="87" t="s">
        <v>407</v>
      </c>
      <c r="E362" s="88" t="s">
        <v>407</v>
      </c>
      <c r="F362" s="85" t="s">
        <v>1653</v>
      </c>
      <c r="G362" s="85" t="s">
        <v>1653</v>
      </c>
      <c r="H362" s="87" t="s">
        <v>382</v>
      </c>
      <c r="I362" s="87" t="s">
        <v>382</v>
      </c>
      <c r="J362" s="89" t="s">
        <v>1654</v>
      </c>
      <c r="K362" s="87" t="s">
        <v>406</v>
      </c>
      <c r="L362" s="87" t="s">
        <v>406</v>
      </c>
      <c r="M362" s="89" t="s">
        <v>1654</v>
      </c>
      <c r="N362" s="85" t="s">
        <v>1655</v>
      </c>
      <c r="O362" s="85" t="s">
        <v>1655</v>
      </c>
      <c r="P362" s="85" t="s">
        <v>1655</v>
      </c>
      <c r="Q362" s="85" t="s">
        <v>1660</v>
      </c>
      <c r="R362" s="85" t="s">
        <v>1655</v>
      </c>
      <c r="S362" s="89" t="s">
        <v>1654</v>
      </c>
      <c r="T362" s="87" t="s">
        <v>1661</v>
      </c>
    </row>
    <row r="363" spans="1:20">
      <c r="A363" s="85">
        <v>3</v>
      </c>
      <c r="B363" s="86" t="s">
        <v>1651</v>
      </c>
      <c r="C363" s="87" t="s">
        <v>1696</v>
      </c>
      <c r="D363" s="87" t="s">
        <v>408</v>
      </c>
      <c r="E363" s="88" t="s">
        <v>408</v>
      </c>
      <c r="F363" s="85" t="s">
        <v>1653</v>
      </c>
      <c r="G363" s="85" t="s">
        <v>1653</v>
      </c>
      <c r="H363" s="87" t="s">
        <v>382</v>
      </c>
      <c r="I363" s="87" t="s">
        <v>382</v>
      </c>
      <c r="J363" s="89" t="s">
        <v>1654</v>
      </c>
      <c r="K363" s="87" t="s">
        <v>406</v>
      </c>
      <c r="L363" s="87" t="s">
        <v>406</v>
      </c>
      <c r="M363" s="89" t="s">
        <v>1654</v>
      </c>
      <c r="N363" s="85" t="s">
        <v>1660</v>
      </c>
      <c r="O363" s="85" t="s">
        <v>1662</v>
      </c>
      <c r="P363" s="85" t="s">
        <v>1655</v>
      </c>
      <c r="Q363" s="85" t="s">
        <v>1660</v>
      </c>
      <c r="R363" s="85" t="s">
        <v>1655</v>
      </c>
      <c r="S363" s="89" t="s">
        <v>1654</v>
      </c>
      <c r="T363" s="87" t="s">
        <v>1661</v>
      </c>
    </row>
    <row r="364" spans="1:20">
      <c r="A364" s="85">
        <v>4</v>
      </c>
      <c r="B364" s="92" t="s">
        <v>1663</v>
      </c>
      <c r="C364" s="87" t="s">
        <v>1270</v>
      </c>
      <c r="D364" s="87" t="s">
        <v>18</v>
      </c>
      <c r="E364" s="88" t="s">
        <v>1270</v>
      </c>
      <c r="F364" s="85" t="s">
        <v>1653</v>
      </c>
      <c r="G364" s="85" t="s">
        <v>1653</v>
      </c>
      <c r="H364" s="87" t="s">
        <v>382</v>
      </c>
      <c r="I364" s="87" t="s">
        <v>382</v>
      </c>
      <c r="J364" s="89" t="s">
        <v>1654</v>
      </c>
      <c r="K364" s="87" t="s">
        <v>18</v>
      </c>
      <c r="L364" s="87" t="s">
        <v>18</v>
      </c>
      <c r="M364" s="89" t="s">
        <v>1671</v>
      </c>
      <c r="N364" s="85" t="s">
        <v>1655</v>
      </c>
      <c r="O364" s="85" t="s">
        <v>1660</v>
      </c>
      <c r="P364" s="85" t="s">
        <v>1655</v>
      </c>
      <c r="Q364" s="85" t="s">
        <v>1655</v>
      </c>
      <c r="R364" s="85" t="s">
        <v>1655</v>
      </c>
      <c r="S364" s="89" t="s">
        <v>1654</v>
      </c>
      <c r="T364" s="87" t="s">
        <v>1685</v>
      </c>
    </row>
    <row r="365" spans="1:20">
      <c r="A365" s="85">
        <v>5</v>
      </c>
      <c r="B365" s="92" t="s">
        <v>1663</v>
      </c>
      <c r="C365" s="87" t="s">
        <v>1274</v>
      </c>
      <c r="D365" s="87" t="s">
        <v>18</v>
      </c>
      <c r="E365" s="88" t="s">
        <v>1274</v>
      </c>
      <c r="F365" s="85" t="s">
        <v>1653</v>
      </c>
      <c r="G365" s="85" t="s">
        <v>1653</v>
      </c>
      <c r="H365" s="87" t="s">
        <v>382</v>
      </c>
      <c r="I365" s="87" t="s">
        <v>382</v>
      </c>
      <c r="J365" s="89" t="s">
        <v>1654</v>
      </c>
      <c r="K365" s="87" t="s">
        <v>18</v>
      </c>
      <c r="L365" s="87" t="s">
        <v>18</v>
      </c>
      <c r="M365" s="89" t="s">
        <v>1671</v>
      </c>
      <c r="N365" s="85" t="s">
        <v>1655</v>
      </c>
      <c r="O365" s="85" t="s">
        <v>1660</v>
      </c>
      <c r="P365" s="85" t="s">
        <v>1655</v>
      </c>
      <c r="Q365" s="85" t="s">
        <v>1655</v>
      </c>
      <c r="R365" s="85" t="s">
        <v>1655</v>
      </c>
      <c r="S365" s="89" t="s">
        <v>1654</v>
      </c>
      <c r="T365" s="87" t="s">
        <v>1685</v>
      </c>
    </row>
    <row r="366" spans="1:20">
      <c r="A366" s="85">
        <v>6</v>
      </c>
      <c r="B366" s="92" t="s">
        <v>1663</v>
      </c>
      <c r="C366" s="87" t="s">
        <v>1276</v>
      </c>
      <c r="D366" s="87" t="s">
        <v>18</v>
      </c>
      <c r="E366" s="88" t="s">
        <v>1276</v>
      </c>
      <c r="F366" s="85" t="s">
        <v>1653</v>
      </c>
      <c r="G366" s="85" t="s">
        <v>1653</v>
      </c>
      <c r="H366" s="87" t="s">
        <v>382</v>
      </c>
      <c r="I366" s="87" t="s">
        <v>382</v>
      </c>
      <c r="J366" s="89" t="s">
        <v>1654</v>
      </c>
      <c r="K366" s="87" t="s">
        <v>18</v>
      </c>
      <c r="L366" s="87" t="s">
        <v>18</v>
      </c>
      <c r="M366" s="89" t="s">
        <v>1671</v>
      </c>
      <c r="N366" s="85" t="s">
        <v>1655</v>
      </c>
      <c r="O366" s="85" t="s">
        <v>1660</v>
      </c>
      <c r="P366" s="85" t="s">
        <v>1655</v>
      </c>
      <c r="Q366" s="85" t="s">
        <v>1655</v>
      </c>
      <c r="R366" s="85" t="s">
        <v>1655</v>
      </c>
      <c r="S366" s="89" t="s">
        <v>1654</v>
      </c>
      <c r="T366" s="87" t="s">
        <v>1685</v>
      </c>
    </row>
    <row r="367" spans="1:20">
      <c r="A367" s="85">
        <v>7</v>
      </c>
      <c r="B367" s="92" t="s">
        <v>1663</v>
      </c>
      <c r="C367" s="87" t="s">
        <v>1278</v>
      </c>
      <c r="D367" s="87" t="s">
        <v>18</v>
      </c>
      <c r="E367" s="88" t="s">
        <v>1278</v>
      </c>
      <c r="F367" s="85" t="s">
        <v>1653</v>
      </c>
      <c r="G367" s="85" t="s">
        <v>1653</v>
      </c>
      <c r="H367" s="87" t="s">
        <v>382</v>
      </c>
      <c r="I367" s="87" t="s">
        <v>382</v>
      </c>
      <c r="J367" s="89" t="s">
        <v>1654</v>
      </c>
      <c r="K367" s="87" t="s">
        <v>18</v>
      </c>
      <c r="L367" s="87" t="s">
        <v>18</v>
      </c>
      <c r="M367" s="89" t="s">
        <v>1671</v>
      </c>
      <c r="N367" s="85" t="s">
        <v>1655</v>
      </c>
      <c r="O367" s="85" t="s">
        <v>1660</v>
      </c>
      <c r="P367" s="85" t="s">
        <v>1655</v>
      </c>
      <c r="Q367" s="85" t="s">
        <v>1655</v>
      </c>
      <c r="R367" s="85" t="s">
        <v>1655</v>
      </c>
      <c r="S367" s="89" t="s">
        <v>1654</v>
      </c>
      <c r="T367" s="87" t="s">
        <v>1685</v>
      </c>
    </row>
    <row r="368" spans="1:20">
      <c r="A368" s="85">
        <v>8</v>
      </c>
      <c r="B368" s="92" t="s">
        <v>1663</v>
      </c>
      <c r="C368" s="87" t="s">
        <v>1280</v>
      </c>
      <c r="D368" s="87" t="s">
        <v>18</v>
      </c>
      <c r="E368" s="88" t="s">
        <v>1280</v>
      </c>
      <c r="F368" s="85" t="s">
        <v>1653</v>
      </c>
      <c r="G368" s="85" t="s">
        <v>1653</v>
      </c>
      <c r="H368" s="87" t="s">
        <v>382</v>
      </c>
      <c r="I368" s="87" t="s">
        <v>382</v>
      </c>
      <c r="J368" s="89" t="s">
        <v>1654</v>
      </c>
      <c r="K368" s="87" t="s">
        <v>18</v>
      </c>
      <c r="L368" s="87" t="s">
        <v>18</v>
      </c>
      <c r="M368" s="89" t="s">
        <v>1671</v>
      </c>
      <c r="N368" s="85" t="s">
        <v>1655</v>
      </c>
      <c r="O368" s="85" t="s">
        <v>1660</v>
      </c>
      <c r="P368" s="85" t="s">
        <v>1655</v>
      </c>
      <c r="Q368" s="85" t="s">
        <v>1655</v>
      </c>
      <c r="R368" s="85" t="s">
        <v>1655</v>
      </c>
      <c r="S368" s="89" t="s">
        <v>1654</v>
      </c>
      <c r="T368" s="87" t="s">
        <v>1685</v>
      </c>
    </row>
    <row r="369" spans="1:20">
      <c r="A369" s="85">
        <v>9</v>
      </c>
      <c r="B369" s="92" t="s">
        <v>1663</v>
      </c>
      <c r="C369" s="87" t="s">
        <v>1282</v>
      </c>
      <c r="D369" s="87" t="s">
        <v>18</v>
      </c>
      <c r="E369" s="88" t="s">
        <v>1282</v>
      </c>
      <c r="F369" s="85" t="s">
        <v>1653</v>
      </c>
      <c r="G369" s="85" t="s">
        <v>1653</v>
      </c>
      <c r="H369" s="87" t="s">
        <v>382</v>
      </c>
      <c r="I369" s="87" t="s">
        <v>382</v>
      </c>
      <c r="J369" s="89" t="s">
        <v>1654</v>
      </c>
      <c r="K369" s="87" t="s">
        <v>18</v>
      </c>
      <c r="L369" s="87" t="s">
        <v>18</v>
      </c>
      <c r="M369" s="89" t="s">
        <v>1671</v>
      </c>
      <c r="N369" s="85" t="s">
        <v>1655</v>
      </c>
      <c r="O369" s="85" t="s">
        <v>1660</v>
      </c>
      <c r="P369" s="85" t="s">
        <v>1655</v>
      </c>
      <c r="Q369" s="85" t="s">
        <v>1655</v>
      </c>
      <c r="R369" s="85" t="s">
        <v>1655</v>
      </c>
      <c r="S369" s="89" t="s">
        <v>1654</v>
      </c>
      <c r="T369" s="87" t="s">
        <v>1685</v>
      </c>
    </row>
    <row r="370" spans="1:20">
      <c r="A370" s="85">
        <v>10</v>
      </c>
      <c r="B370" s="92" t="s">
        <v>1663</v>
      </c>
      <c r="C370" s="87" t="s">
        <v>1284</v>
      </c>
      <c r="D370" s="87" t="s">
        <v>18</v>
      </c>
      <c r="E370" s="88" t="s">
        <v>1284</v>
      </c>
      <c r="F370" s="85" t="s">
        <v>1653</v>
      </c>
      <c r="G370" s="85" t="s">
        <v>1653</v>
      </c>
      <c r="H370" s="87" t="s">
        <v>382</v>
      </c>
      <c r="I370" s="87" t="s">
        <v>1307</v>
      </c>
      <c r="J370" s="90" t="s">
        <v>1658</v>
      </c>
      <c r="K370" s="87" t="s">
        <v>18</v>
      </c>
      <c r="L370" s="87" t="s">
        <v>18</v>
      </c>
      <c r="M370" s="89" t="s">
        <v>1671</v>
      </c>
      <c r="N370" s="85" t="s">
        <v>1660</v>
      </c>
      <c r="O370" s="85" t="s">
        <v>1655</v>
      </c>
      <c r="P370" s="85" t="s">
        <v>1655</v>
      </c>
      <c r="Q370" s="85" t="s">
        <v>1655</v>
      </c>
      <c r="R370" s="85" t="s">
        <v>1655</v>
      </c>
      <c r="S370" s="89" t="s">
        <v>1654</v>
      </c>
      <c r="T370" s="91" t="s">
        <v>1664</v>
      </c>
    </row>
    <row r="371" spans="1:20">
      <c r="A371" s="85">
        <v>11</v>
      </c>
      <c r="B371" s="92" t="s">
        <v>1663</v>
      </c>
      <c r="C371" s="87" t="s">
        <v>1287</v>
      </c>
      <c r="D371" s="87" t="s">
        <v>18</v>
      </c>
      <c r="E371" s="88" t="s">
        <v>1287</v>
      </c>
      <c r="F371" s="85" t="s">
        <v>1653</v>
      </c>
      <c r="G371" s="85" t="s">
        <v>1653</v>
      </c>
      <c r="H371" s="87" t="s">
        <v>382</v>
      </c>
      <c r="I371" s="87" t="s">
        <v>382</v>
      </c>
      <c r="J371" s="89" t="s">
        <v>1654</v>
      </c>
      <c r="K371" s="87" t="s">
        <v>18</v>
      </c>
      <c r="L371" s="87" t="s">
        <v>18</v>
      </c>
      <c r="M371" s="89" t="s">
        <v>1671</v>
      </c>
      <c r="N371" s="85" t="s">
        <v>1655</v>
      </c>
      <c r="O371" s="85" t="s">
        <v>1660</v>
      </c>
      <c r="P371" s="85" t="s">
        <v>1655</v>
      </c>
      <c r="Q371" s="85" t="s">
        <v>1655</v>
      </c>
      <c r="R371" s="85" t="s">
        <v>1655</v>
      </c>
      <c r="S371" s="89" t="s">
        <v>1654</v>
      </c>
      <c r="T371" s="87" t="s">
        <v>1685</v>
      </c>
    </row>
    <row r="372" spans="1:20">
      <c r="A372" s="85">
        <v>12</v>
      </c>
      <c r="B372" s="92" t="s">
        <v>1663</v>
      </c>
      <c r="C372" s="87" t="s">
        <v>1289</v>
      </c>
      <c r="D372" s="87" t="s">
        <v>18</v>
      </c>
      <c r="E372" s="88" t="s">
        <v>1289</v>
      </c>
      <c r="F372" s="85" t="s">
        <v>1653</v>
      </c>
      <c r="G372" s="85" t="s">
        <v>1653</v>
      </c>
      <c r="H372" s="87" t="s">
        <v>382</v>
      </c>
      <c r="I372" s="87" t="s">
        <v>382</v>
      </c>
      <c r="J372" s="89" t="s">
        <v>1654</v>
      </c>
      <c r="K372" s="87" t="s">
        <v>18</v>
      </c>
      <c r="L372" s="87" t="s">
        <v>18</v>
      </c>
      <c r="M372" s="89" t="s">
        <v>1671</v>
      </c>
      <c r="N372" s="85" t="s">
        <v>1655</v>
      </c>
      <c r="O372" s="85" t="s">
        <v>1660</v>
      </c>
      <c r="P372" s="85" t="s">
        <v>1655</v>
      </c>
      <c r="Q372" s="85" t="s">
        <v>1655</v>
      </c>
      <c r="R372" s="85" t="s">
        <v>1655</v>
      </c>
      <c r="S372" s="89" t="s">
        <v>1654</v>
      </c>
      <c r="T372" s="87" t="s">
        <v>1685</v>
      </c>
    </row>
    <row r="373" spans="1:20">
      <c r="A373" s="85">
        <v>13</v>
      </c>
      <c r="B373" s="92" t="s">
        <v>1663</v>
      </c>
      <c r="C373" s="87" t="s">
        <v>1290</v>
      </c>
      <c r="D373" s="87" t="s">
        <v>18</v>
      </c>
      <c r="E373" s="88" t="s">
        <v>1290</v>
      </c>
      <c r="F373" s="85" t="s">
        <v>1653</v>
      </c>
      <c r="G373" s="85" t="s">
        <v>1653</v>
      </c>
      <c r="H373" s="87" t="s">
        <v>382</v>
      </c>
      <c r="I373" s="87" t="s">
        <v>382</v>
      </c>
      <c r="J373" s="89" t="s">
        <v>1654</v>
      </c>
      <c r="K373" s="87" t="s">
        <v>18</v>
      </c>
      <c r="L373" s="87" t="s">
        <v>18</v>
      </c>
      <c r="M373" s="89" t="s">
        <v>1671</v>
      </c>
      <c r="N373" s="85" t="s">
        <v>1655</v>
      </c>
      <c r="O373" s="85" t="s">
        <v>1660</v>
      </c>
      <c r="P373" s="85" t="s">
        <v>1655</v>
      </c>
      <c r="Q373" s="85" t="s">
        <v>1655</v>
      </c>
      <c r="R373" s="85" t="s">
        <v>1655</v>
      </c>
      <c r="S373" s="89" t="s">
        <v>1654</v>
      </c>
      <c r="T373" s="87" t="s">
        <v>1685</v>
      </c>
    </row>
    <row r="374" spans="1:20">
      <c r="A374" s="85">
        <v>14</v>
      </c>
      <c r="B374" s="92" t="s">
        <v>1663</v>
      </c>
      <c r="C374" s="87" t="s">
        <v>1291</v>
      </c>
      <c r="D374" s="87" t="s">
        <v>18</v>
      </c>
      <c r="E374" s="88" t="s">
        <v>1291</v>
      </c>
      <c r="F374" s="85" t="s">
        <v>1653</v>
      </c>
      <c r="G374" s="85" t="s">
        <v>1653</v>
      </c>
      <c r="H374" s="87" t="s">
        <v>382</v>
      </c>
      <c r="I374" s="87" t="s">
        <v>382</v>
      </c>
      <c r="J374" s="89" t="s">
        <v>1654</v>
      </c>
      <c r="K374" s="87" t="s">
        <v>18</v>
      </c>
      <c r="L374" s="87" t="s">
        <v>18</v>
      </c>
      <c r="M374" s="89" t="s">
        <v>1671</v>
      </c>
      <c r="N374" s="85" t="s">
        <v>1655</v>
      </c>
      <c r="O374" s="85" t="s">
        <v>1660</v>
      </c>
      <c r="P374" s="85" t="s">
        <v>1655</v>
      </c>
      <c r="Q374" s="85" t="s">
        <v>1655</v>
      </c>
      <c r="R374" s="85" t="s">
        <v>1655</v>
      </c>
      <c r="S374" s="89" t="s">
        <v>1654</v>
      </c>
      <c r="T374" s="87" t="s">
        <v>1685</v>
      </c>
    </row>
    <row r="375" spans="1:20">
      <c r="A375" s="85">
        <v>15</v>
      </c>
      <c r="B375" s="92" t="s">
        <v>1663</v>
      </c>
      <c r="C375" s="87" t="s">
        <v>1292</v>
      </c>
      <c r="D375" s="87" t="s">
        <v>18</v>
      </c>
      <c r="E375" s="88" t="s">
        <v>1292</v>
      </c>
      <c r="F375" s="85" t="s">
        <v>1653</v>
      </c>
      <c r="G375" s="85" t="s">
        <v>1653</v>
      </c>
      <c r="H375" s="87" t="s">
        <v>382</v>
      </c>
      <c r="I375" s="87" t="s">
        <v>382</v>
      </c>
      <c r="J375" s="89" t="s">
        <v>1654</v>
      </c>
      <c r="K375" s="87" t="s">
        <v>18</v>
      </c>
      <c r="L375" s="87" t="s">
        <v>18</v>
      </c>
      <c r="M375" s="89" t="s">
        <v>1671</v>
      </c>
      <c r="N375" s="85" t="s">
        <v>1655</v>
      </c>
      <c r="O375" s="85" t="s">
        <v>1660</v>
      </c>
      <c r="P375" s="85" t="s">
        <v>1655</v>
      </c>
      <c r="Q375" s="85" t="s">
        <v>1655</v>
      </c>
      <c r="R375" s="85" t="s">
        <v>1655</v>
      </c>
      <c r="S375" s="89" t="s">
        <v>1654</v>
      </c>
      <c r="T375" s="87" t="s">
        <v>1685</v>
      </c>
    </row>
    <row r="376" spans="1:20">
      <c r="A376" s="85">
        <v>16</v>
      </c>
      <c r="B376" s="92" t="s">
        <v>1663</v>
      </c>
      <c r="C376" s="87" t="s">
        <v>1293</v>
      </c>
      <c r="D376" s="87" t="s">
        <v>18</v>
      </c>
      <c r="E376" s="88" t="s">
        <v>1293</v>
      </c>
      <c r="F376" s="85" t="s">
        <v>1653</v>
      </c>
      <c r="G376" s="85" t="s">
        <v>1653</v>
      </c>
      <c r="H376" s="87" t="s">
        <v>382</v>
      </c>
      <c r="I376" s="87" t="s">
        <v>382</v>
      </c>
      <c r="J376" s="89" t="s">
        <v>1654</v>
      </c>
      <c r="K376" s="87" t="s">
        <v>18</v>
      </c>
      <c r="L376" s="87" t="s">
        <v>18</v>
      </c>
      <c r="M376" s="89" t="s">
        <v>1671</v>
      </c>
      <c r="N376" s="85" t="s">
        <v>1655</v>
      </c>
      <c r="O376" s="85" t="s">
        <v>1660</v>
      </c>
      <c r="P376" s="85" t="s">
        <v>1655</v>
      </c>
      <c r="Q376" s="85" t="s">
        <v>1655</v>
      </c>
      <c r="R376" s="85" t="s">
        <v>1655</v>
      </c>
      <c r="S376" s="89" t="s">
        <v>1654</v>
      </c>
      <c r="T376" s="87" t="s">
        <v>1685</v>
      </c>
    </row>
    <row r="377" spans="1:20">
      <c r="A377" s="85">
        <v>17</v>
      </c>
      <c r="B377" s="92" t="s">
        <v>1663</v>
      </c>
      <c r="C377" s="87" t="s">
        <v>1294</v>
      </c>
      <c r="D377" s="87" t="s">
        <v>18</v>
      </c>
      <c r="E377" s="88" t="s">
        <v>1294</v>
      </c>
      <c r="F377" s="85" t="s">
        <v>1653</v>
      </c>
      <c r="G377" s="85" t="s">
        <v>1653</v>
      </c>
      <c r="H377" s="87" t="s">
        <v>382</v>
      </c>
      <c r="I377" s="87" t="s">
        <v>1307</v>
      </c>
      <c r="J377" s="90" t="s">
        <v>1658</v>
      </c>
      <c r="K377" s="87" t="s">
        <v>18</v>
      </c>
      <c r="L377" s="87" t="s">
        <v>18</v>
      </c>
      <c r="M377" s="89" t="s">
        <v>1671</v>
      </c>
      <c r="N377" s="85" t="s">
        <v>1660</v>
      </c>
      <c r="O377" s="85" t="s">
        <v>1655</v>
      </c>
      <c r="P377" s="85" t="s">
        <v>1655</v>
      </c>
      <c r="Q377" s="85" t="s">
        <v>1655</v>
      </c>
      <c r="R377" s="85" t="s">
        <v>1655</v>
      </c>
      <c r="S377" s="89" t="s">
        <v>1654</v>
      </c>
      <c r="T377" s="91" t="s">
        <v>1664</v>
      </c>
    </row>
    <row r="378" spans="1:20">
      <c r="A378" s="85">
        <v>1</v>
      </c>
      <c r="B378" s="94" t="s">
        <v>1715</v>
      </c>
      <c r="C378" s="87" t="s">
        <v>18</v>
      </c>
      <c r="D378" s="87" t="s">
        <v>18</v>
      </c>
      <c r="E378" s="88" t="s">
        <v>18</v>
      </c>
      <c r="F378" s="85" t="s">
        <v>1652</v>
      </c>
      <c r="G378" s="85" t="s">
        <v>1652</v>
      </c>
      <c r="H378" s="87" t="s">
        <v>382</v>
      </c>
      <c r="I378" s="87" t="s">
        <v>18</v>
      </c>
      <c r="J378" s="89" t="s">
        <v>1671</v>
      </c>
      <c r="K378" s="87" t="s">
        <v>410</v>
      </c>
      <c r="L378" s="87" t="s">
        <v>18</v>
      </c>
      <c r="M378" s="89" t="s">
        <v>1671</v>
      </c>
      <c r="N378" s="85" t="s">
        <v>1655</v>
      </c>
      <c r="O378" s="85" t="s">
        <v>1655</v>
      </c>
      <c r="P378" s="85" t="s">
        <v>1655</v>
      </c>
      <c r="Q378" s="85" t="s">
        <v>1657</v>
      </c>
      <c r="R378" s="85" t="s">
        <v>1655</v>
      </c>
      <c r="S378" s="89" t="s">
        <v>1671</v>
      </c>
      <c r="T378" s="87" t="s">
        <v>1716</v>
      </c>
    </row>
    <row r="379" spans="1:20">
      <c r="A379" s="85">
        <v>2</v>
      </c>
      <c r="B379" s="94" t="s">
        <v>1715</v>
      </c>
      <c r="C379" s="87" t="s">
        <v>18</v>
      </c>
      <c r="D379" s="87" t="s">
        <v>18</v>
      </c>
      <c r="E379" s="88" t="s">
        <v>18</v>
      </c>
      <c r="F379" s="85" t="s">
        <v>1652</v>
      </c>
      <c r="G379" s="85" t="s">
        <v>1652</v>
      </c>
      <c r="H379" s="87" t="s">
        <v>382</v>
      </c>
      <c r="I379" s="87" t="s">
        <v>18</v>
      </c>
      <c r="J379" s="89" t="s">
        <v>1671</v>
      </c>
      <c r="K379" s="87" t="s">
        <v>411</v>
      </c>
      <c r="L379" s="87" t="s">
        <v>18</v>
      </c>
      <c r="M379" s="89" t="s">
        <v>1671</v>
      </c>
      <c r="N379" s="85" t="s">
        <v>1655</v>
      </c>
      <c r="O379" s="85" t="s">
        <v>1657</v>
      </c>
      <c r="P379" s="85" t="s">
        <v>1655</v>
      </c>
      <c r="Q379" s="85" t="s">
        <v>1655</v>
      </c>
      <c r="R379" s="85" t="s">
        <v>1655</v>
      </c>
      <c r="S379" s="89" t="s">
        <v>1671</v>
      </c>
      <c r="T379" s="87" t="s">
        <v>1717</v>
      </c>
    </row>
    <row r="380" spans="1:20">
      <c r="A380" s="85">
        <v>3</v>
      </c>
      <c r="B380" s="94" t="s">
        <v>1715</v>
      </c>
      <c r="C380" s="87" t="s">
        <v>18</v>
      </c>
      <c r="D380" s="87" t="s">
        <v>18</v>
      </c>
      <c r="E380" s="88" t="s">
        <v>18</v>
      </c>
      <c r="F380" s="85" t="s">
        <v>1652</v>
      </c>
      <c r="G380" s="85" t="s">
        <v>1652</v>
      </c>
      <c r="H380" s="87" t="s">
        <v>382</v>
      </c>
      <c r="I380" s="87" t="s">
        <v>18</v>
      </c>
      <c r="J380" s="89" t="s">
        <v>1671</v>
      </c>
      <c r="K380" s="87" t="s">
        <v>411</v>
      </c>
      <c r="L380" s="87" t="s">
        <v>18</v>
      </c>
      <c r="M380" s="89" t="s">
        <v>1671</v>
      </c>
      <c r="N380" s="85" t="s">
        <v>1655</v>
      </c>
      <c r="O380" s="85" t="s">
        <v>1657</v>
      </c>
      <c r="P380" s="85" t="s">
        <v>1655</v>
      </c>
      <c r="Q380" s="85" t="s">
        <v>1655</v>
      </c>
      <c r="R380" s="85" t="s">
        <v>1655</v>
      </c>
      <c r="S380" s="89" t="s">
        <v>1671</v>
      </c>
      <c r="T380" s="87" t="s">
        <v>1717</v>
      </c>
    </row>
    <row r="381" spans="1:20">
      <c r="A381" s="85">
        <v>4</v>
      </c>
      <c r="B381" s="94" t="s">
        <v>1715</v>
      </c>
      <c r="C381" s="87" t="s">
        <v>18</v>
      </c>
      <c r="D381" s="87" t="s">
        <v>18</v>
      </c>
      <c r="E381" s="88" t="s">
        <v>18</v>
      </c>
      <c r="F381" s="85" t="s">
        <v>1652</v>
      </c>
      <c r="G381" s="85" t="s">
        <v>1652</v>
      </c>
      <c r="H381" s="87" t="s">
        <v>382</v>
      </c>
      <c r="I381" s="87" t="s">
        <v>18</v>
      </c>
      <c r="J381" s="89" t="s">
        <v>1671</v>
      </c>
      <c r="K381" s="87" t="s">
        <v>411</v>
      </c>
      <c r="L381" s="87" t="s">
        <v>18</v>
      </c>
      <c r="M381" s="89" t="s">
        <v>1671</v>
      </c>
      <c r="N381" s="85" t="s">
        <v>1655</v>
      </c>
      <c r="O381" s="85" t="s">
        <v>1657</v>
      </c>
      <c r="P381" s="85" t="s">
        <v>1655</v>
      </c>
      <c r="Q381" s="85" t="s">
        <v>1655</v>
      </c>
      <c r="R381" s="85" t="s">
        <v>1655</v>
      </c>
      <c r="S381" s="89" t="s">
        <v>1671</v>
      </c>
      <c r="T381" s="87" t="s">
        <v>1717</v>
      </c>
    </row>
    <row r="382" spans="1:20">
      <c r="A382" s="85">
        <v>5</v>
      </c>
      <c r="B382" s="94" t="s">
        <v>1715</v>
      </c>
      <c r="C382" s="87" t="s">
        <v>18</v>
      </c>
      <c r="D382" s="87" t="s">
        <v>18</v>
      </c>
      <c r="E382" s="88" t="s">
        <v>18</v>
      </c>
      <c r="F382" s="85" t="s">
        <v>1652</v>
      </c>
      <c r="G382" s="85" t="s">
        <v>1652</v>
      </c>
      <c r="H382" s="87" t="s">
        <v>382</v>
      </c>
      <c r="I382" s="87" t="s">
        <v>18</v>
      </c>
      <c r="J382" s="89" t="s">
        <v>1671</v>
      </c>
      <c r="K382" s="87" t="s">
        <v>411</v>
      </c>
      <c r="L382" s="87" t="s">
        <v>18</v>
      </c>
      <c r="M382" s="89" t="s">
        <v>1671</v>
      </c>
      <c r="N382" s="85" t="s">
        <v>1655</v>
      </c>
      <c r="O382" s="85" t="s">
        <v>1657</v>
      </c>
      <c r="P382" s="85" t="s">
        <v>1655</v>
      </c>
      <c r="Q382" s="85" t="s">
        <v>1655</v>
      </c>
      <c r="R382" s="85" t="s">
        <v>1655</v>
      </c>
      <c r="S382" s="89" t="s">
        <v>1671</v>
      </c>
      <c r="T382" s="87" t="s">
        <v>1717</v>
      </c>
    </row>
    <row r="383" spans="1:20">
      <c r="A383" s="85">
        <v>6</v>
      </c>
      <c r="B383" s="94" t="s">
        <v>1715</v>
      </c>
      <c r="C383" s="87" t="s">
        <v>18</v>
      </c>
      <c r="D383" s="87" t="s">
        <v>18</v>
      </c>
      <c r="E383" s="88" t="s">
        <v>18</v>
      </c>
      <c r="F383" s="85" t="s">
        <v>1652</v>
      </c>
      <c r="G383" s="85" t="s">
        <v>1652</v>
      </c>
      <c r="H383" s="87" t="s">
        <v>382</v>
      </c>
      <c r="I383" s="87" t="s">
        <v>18</v>
      </c>
      <c r="J383" s="89" t="s">
        <v>1671</v>
      </c>
      <c r="K383" s="87" t="s">
        <v>411</v>
      </c>
      <c r="L383" s="87" t="s">
        <v>18</v>
      </c>
      <c r="M383" s="89" t="s">
        <v>1671</v>
      </c>
      <c r="N383" s="85" t="s">
        <v>1655</v>
      </c>
      <c r="O383" s="85" t="s">
        <v>1657</v>
      </c>
      <c r="P383" s="85" t="s">
        <v>1655</v>
      </c>
      <c r="Q383" s="85" t="s">
        <v>1655</v>
      </c>
      <c r="R383" s="85" t="s">
        <v>1655</v>
      </c>
      <c r="S383" s="89" t="s">
        <v>1671</v>
      </c>
      <c r="T383" s="87" t="s">
        <v>1717</v>
      </c>
    </row>
    <row r="384" spans="1:20">
      <c r="A384" s="85">
        <v>7</v>
      </c>
      <c r="B384" s="94" t="s">
        <v>1715</v>
      </c>
      <c r="C384" s="87" t="s">
        <v>18</v>
      </c>
      <c r="D384" s="87" t="s">
        <v>18</v>
      </c>
      <c r="E384" s="88" t="s">
        <v>18</v>
      </c>
      <c r="F384" s="85" t="s">
        <v>1652</v>
      </c>
      <c r="G384" s="85" t="s">
        <v>1652</v>
      </c>
      <c r="H384" s="87" t="s">
        <v>382</v>
      </c>
      <c r="I384" s="87" t="s">
        <v>18</v>
      </c>
      <c r="J384" s="89" t="s">
        <v>1671</v>
      </c>
      <c r="K384" s="87" t="s">
        <v>411</v>
      </c>
      <c r="L384" s="87" t="s">
        <v>18</v>
      </c>
      <c r="M384" s="89" t="s">
        <v>1671</v>
      </c>
      <c r="N384" s="85" t="s">
        <v>1655</v>
      </c>
      <c r="O384" s="85" t="s">
        <v>1657</v>
      </c>
      <c r="P384" s="85" t="s">
        <v>1655</v>
      </c>
      <c r="Q384" s="85" t="s">
        <v>1655</v>
      </c>
      <c r="R384" s="85" t="s">
        <v>1655</v>
      </c>
      <c r="S384" s="89" t="s">
        <v>1671</v>
      </c>
      <c r="T384" s="87" t="s">
        <v>1717</v>
      </c>
    </row>
    <row r="385" spans="1:20">
      <c r="A385" s="85">
        <v>8</v>
      </c>
      <c r="B385" s="94" t="s">
        <v>1715</v>
      </c>
      <c r="C385" s="87" t="s">
        <v>18</v>
      </c>
      <c r="D385" s="87" t="s">
        <v>18</v>
      </c>
      <c r="E385" s="88" t="s">
        <v>18</v>
      </c>
      <c r="F385" s="85" t="s">
        <v>1652</v>
      </c>
      <c r="G385" s="85" t="s">
        <v>1652</v>
      </c>
      <c r="H385" s="87" t="s">
        <v>382</v>
      </c>
      <c r="I385" s="87" t="s">
        <v>18</v>
      </c>
      <c r="J385" s="89" t="s">
        <v>1671</v>
      </c>
      <c r="K385" s="87" t="s">
        <v>412</v>
      </c>
      <c r="L385" s="87" t="s">
        <v>18</v>
      </c>
      <c r="M385" s="89" t="s">
        <v>1671</v>
      </c>
      <c r="N385" s="85" t="s">
        <v>1657</v>
      </c>
      <c r="O385" s="85" t="s">
        <v>1655</v>
      </c>
      <c r="P385" s="85" t="s">
        <v>1655</v>
      </c>
      <c r="Q385" s="85" t="s">
        <v>1655</v>
      </c>
      <c r="R385" s="85" t="s">
        <v>1655</v>
      </c>
      <c r="S385" s="89" t="s">
        <v>1671</v>
      </c>
      <c r="T385" s="87" t="s">
        <v>1718</v>
      </c>
    </row>
    <row r="386" spans="1:20">
      <c r="A386" s="85">
        <v>9</v>
      </c>
      <c r="B386" s="94" t="s">
        <v>1715</v>
      </c>
      <c r="C386" s="87" t="s">
        <v>18</v>
      </c>
      <c r="D386" s="87" t="s">
        <v>18</v>
      </c>
      <c r="E386" s="88" t="s">
        <v>18</v>
      </c>
      <c r="F386" s="85" t="s">
        <v>1652</v>
      </c>
      <c r="G386" s="85" t="s">
        <v>1652</v>
      </c>
      <c r="H386" s="87" t="s">
        <v>382</v>
      </c>
      <c r="I386" s="87" t="s">
        <v>18</v>
      </c>
      <c r="J386" s="89" t="s">
        <v>1671</v>
      </c>
      <c r="K386" s="87" t="s">
        <v>413</v>
      </c>
      <c r="L386" s="87" t="s">
        <v>18</v>
      </c>
      <c r="M386" s="89" t="s">
        <v>1671</v>
      </c>
      <c r="N386" s="85" t="s">
        <v>1657</v>
      </c>
      <c r="O386" s="85" t="s">
        <v>1655</v>
      </c>
      <c r="P386" s="85" t="s">
        <v>1655</v>
      </c>
      <c r="Q386" s="85" t="s">
        <v>1655</v>
      </c>
      <c r="R386" s="85" t="s">
        <v>1655</v>
      </c>
      <c r="S386" s="89" t="s">
        <v>1671</v>
      </c>
      <c r="T386" s="87" t="s">
        <v>1719</v>
      </c>
    </row>
    <row r="387" spans="1:20">
      <c r="A387" s="85">
        <v>10</v>
      </c>
      <c r="B387" s="94" t="s">
        <v>1715</v>
      </c>
      <c r="C387" s="87" t="s">
        <v>18</v>
      </c>
      <c r="D387" s="87" t="s">
        <v>18</v>
      </c>
      <c r="E387" s="88" t="s">
        <v>18</v>
      </c>
      <c r="F387" s="85" t="s">
        <v>1652</v>
      </c>
      <c r="G387" s="85" t="s">
        <v>1652</v>
      </c>
      <c r="H387" s="87" t="s">
        <v>382</v>
      </c>
      <c r="I387" s="87" t="s">
        <v>18</v>
      </c>
      <c r="J387" s="89" t="s">
        <v>1671</v>
      </c>
      <c r="K387" s="87" t="s">
        <v>414</v>
      </c>
      <c r="L387" s="87" t="s">
        <v>18</v>
      </c>
      <c r="M387" s="89" t="s">
        <v>1671</v>
      </c>
      <c r="N387" s="85" t="s">
        <v>1657</v>
      </c>
      <c r="O387" s="85" t="s">
        <v>1655</v>
      </c>
      <c r="P387" s="85" t="s">
        <v>1655</v>
      </c>
      <c r="Q387" s="85" t="s">
        <v>1655</v>
      </c>
      <c r="R387" s="85" t="s">
        <v>1655</v>
      </c>
      <c r="S387" s="89" t="s">
        <v>1671</v>
      </c>
      <c r="T387" s="87" t="s">
        <v>1720</v>
      </c>
    </row>
    <row r="388" spans="1:20">
      <c r="A388" s="85">
        <v>11</v>
      </c>
      <c r="B388" s="94" t="s">
        <v>1715</v>
      </c>
      <c r="C388" s="87" t="s">
        <v>18</v>
      </c>
      <c r="D388" s="87" t="s">
        <v>18</v>
      </c>
      <c r="E388" s="88" t="s">
        <v>18</v>
      </c>
      <c r="F388" s="85" t="s">
        <v>1652</v>
      </c>
      <c r="G388" s="85" t="s">
        <v>1652</v>
      </c>
      <c r="H388" s="87" t="s">
        <v>382</v>
      </c>
      <c r="I388" s="87" t="s">
        <v>18</v>
      </c>
      <c r="J388" s="89" t="s">
        <v>1671</v>
      </c>
      <c r="K388" s="87" t="s">
        <v>415</v>
      </c>
      <c r="L388" s="87" t="s">
        <v>18</v>
      </c>
      <c r="M388" s="89" t="s">
        <v>1671</v>
      </c>
      <c r="N388" s="85" t="s">
        <v>1657</v>
      </c>
      <c r="O388" s="85" t="s">
        <v>1655</v>
      </c>
      <c r="P388" s="85" t="s">
        <v>1655</v>
      </c>
      <c r="Q388" s="85" t="s">
        <v>1655</v>
      </c>
      <c r="R388" s="85" t="s">
        <v>1655</v>
      </c>
      <c r="S388" s="89" t="s">
        <v>1671</v>
      </c>
      <c r="T388" s="87" t="s">
        <v>1721</v>
      </c>
    </row>
    <row r="389" spans="1:20">
      <c r="A389" s="85">
        <v>12</v>
      </c>
      <c r="B389" s="94" t="s">
        <v>1715</v>
      </c>
      <c r="C389" s="87" t="s">
        <v>18</v>
      </c>
      <c r="D389" s="87" t="s">
        <v>18</v>
      </c>
      <c r="E389" s="88" t="s">
        <v>18</v>
      </c>
      <c r="F389" s="85" t="s">
        <v>1652</v>
      </c>
      <c r="G389" s="85" t="s">
        <v>1652</v>
      </c>
      <c r="H389" s="87" t="s">
        <v>382</v>
      </c>
      <c r="I389" s="87" t="s">
        <v>18</v>
      </c>
      <c r="J389" s="89" t="s">
        <v>1671</v>
      </c>
      <c r="K389" s="87" t="s">
        <v>416</v>
      </c>
      <c r="L389" s="87" t="s">
        <v>18</v>
      </c>
      <c r="M389" s="89" t="s">
        <v>1671</v>
      </c>
      <c r="N389" s="85" t="s">
        <v>1657</v>
      </c>
      <c r="O389" s="85" t="s">
        <v>1655</v>
      </c>
      <c r="P389" s="85" t="s">
        <v>1655</v>
      </c>
      <c r="Q389" s="85" t="s">
        <v>1655</v>
      </c>
      <c r="R389" s="85" t="s">
        <v>1655</v>
      </c>
      <c r="S389" s="89" t="s">
        <v>1671</v>
      </c>
      <c r="T389" s="87" t="s">
        <v>1722</v>
      </c>
    </row>
    <row r="390" spans="1:20">
      <c r="A390" s="85">
        <v>13</v>
      </c>
      <c r="B390" s="94" t="s">
        <v>1715</v>
      </c>
      <c r="C390" s="87" t="s">
        <v>18</v>
      </c>
      <c r="D390" s="87" t="s">
        <v>18</v>
      </c>
      <c r="E390" s="88" t="s">
        <v>18</v>
      </c>
      <c r="F390" s="85" t="s">
        <v>1652</v>
      </c>
      <c r="G390" s="85" t="s">
        <v>1652</v>
      </c>
      <c r="H390" s="87" t="s">
        <v>382</v>
      </c>
      <c r="I390" s="87" t="s">
        <v>18</v>
      </c>
      <c r="J390" s="89" t="s">
        <v>1671</v>
      </c>
      <c r="K390" s="87" t="s">
        <v>417</v>
      </c>
      <c r="L390" s="87" t="s">
        <v>18</v>
      </c>
      <c r="M390" s="89" t="s">
        <v>1671</v>
      </c>
      <c r="N390" s="85" t="s">
        <v>1657</v>
      </c>
      <c r="O390" s="85" t="s">
        <v>1655</v>
      </c>
      <c r="P390" s="85" t="s">
        <v>1655</v>
      </c>
      <c r="Q390" s="85" t="s">
        <v>1655</v>
      </c>
      <c r="R390" s="85" t="s">
        <v>1655</v>
      </c>
      <c r="S390" s="89" t="s">
        <v>1671</v>
      </c>
      <c r="T390" s="87" t="s">
        <v>1723</v>
      </c>
    </row>
    <row r="391" spans="1:20">
      <c r="A391" s="85">
        <v>1</v>
      </c>
      <c r="B391" s="86" t="s">
        <v>1651</v>
      </c>
      <c r="C391" s="87" t="s">
        <v>560</v>
      </c>
      <c r="D391" s="87" t="s">
        <v>418</v>
      </c>
      <c r="E391" s="88" t="s">
        <v>418</v>
      </c>
      <c r="F391" s="85" t="s">
        <v>1653</v>
      </c>
      <c r="G391" s="85" t="s">
        <v>1653</v>
      </c>
      <c r="H391" s="87" t="s">
        <v>382</v>
      </c>
      <c r="I391" s="87" t="s">
        <v>382</v>
      </c>
      <c r="J391" s="89" t="s">
        <v>1654</v>
      </c>
      <c r="K391" s="87" t="s">
        <v>421</v>
      </c>
      <c r="L391" s="87" t="s">
        <v>421</v>
      </c>
      <c r="M391" s="89" t="s">
        <v>1654</v>
      </c>
      <c r="N391" s="85" t="s">
        <v>1655</v>
      </c>
      <c r="O391" s="85" t="s">
        <v>1660</v>
      </c>
      <c r="P391" s="85" t="s">
        <v>1655</v>
      </c>
      <c r="Q391" s="85" t="s">
        <v>1660</v>
      </c>
      <c r="R391" s="85" t="s">
        <v>1655</v>
      </c>
      <c r="S391" s="89" t="s">
        <v>1654</v>
      </c>
      <c r="T391" s="87" t="s">
        <v>1661</v>
      </c>
    </row>
    <row r="392" spans="1:20">
      <c r="A392" s="85">
        <v>2</v>
      </c>
      <c r="B392" s="86" t="s">
        <v>1651</v>
      </c>
      <c r="C392" s="87" t="s">
        <v>558</v>
      </c>
      <c r="D392" s="87" t="s">
        <v>422</v>
      </c>
      <c r="E392" s="88" t="s">
        <v>422</v>
      </c>
      <c r="F392" s="85" t="s">
        <v>1653</v>
      </c>
      <c r="G392" s="85" t="s">
        <v>1653</v>
      </c>
      <c r="H392" s="87" t="s">
        <v>382</v>
      </c>
      <c r="I392" s="87" t="s">
        <v>382</v>
      </c>
      <c r="J392" s="89" t="s">
        <v>1654</v>
      </c>
      <c r="K392" s="87" t="s">
        <v>424</v>
      </c>
      <c r="L392" s="87" t="s">
        <v>424</v>
      </c>
      <c r="M392" s="89" t="s">
        <v>1654</v>
      </c>
      <c r="N392" s="85" t="s">
        <v>1655</v>
      </c>
      <c r="O392" s="85" t="s">
        <v>1660</v>
      </c>
      <c r="P392" s="85" t="s">
        <v>1655</v>
      </c>
      <c r="Q392" s="85" t="s">
        <v>1660</v>
      </c>
      <c r="R392" s="85" t="s">
        <v>1655</v>
      </c>
      <c r="S392" s="89" t="s">
        <v>1654</v>
      </c>
      <c r="T392" s="87" t="s">
        <v>1661</v>
      </c>
    </row>
    <row r="393" spans="1:20">
      <c r="A393" s="85">
        <v>1</v>
      </c>
      <c r="B393" s="86" t="s">
        <v>1651</v>
      </c>
      <c r="C393" s="87" t="s">
        <v>64</v>
      </c>
      <c r="D393" s="87" t="s">
        <v>64</v>
      </c>
      <c r="E393" s="88" t="s">
        <v>64</v>
      </c>
      <c r="F393" s="85" t="s">
        <v>1653</v>
      </c>
      <c r="G393" s="85" t="s">
        <v>1653</v>
      </c>
      <c r="H393" s="87" t="s">
        <v>65</v>
      </c>
      <c r="I393" s="87" t="s">
        <v>65</v>
      </c>
      <c r="J393" s="89" t="s">
        <v>1654</v>
      </c>
      <c r="K393" s="87" t="s">
        <v>68</v>
      </c>
      <c r="L393" s="87" t="s">
        <v>68</v>
      </c>
      <c r="M393" s="89" t="s">
        <v>1654</v>
      </c>
      <c r="N393" s="85" t="s">
        <v>1655</v>
      </c>
      <c r="O393" s="85" t="s">
        <v>1655</v>
      </c>
      <c r="P393" s="85" t="s">
        <v>1655</v>
      </c>
      <c r="Q393" s="85" t="s">
        <v>1660</v>
      </c>
      <c r="R393" s="85" t="s">
        <v>1655</v>
      </c>
      <c r="S393" s="89" t="s">
        <v>1654</v>
      </c>
      <c r="T393" s="87" t="s">
        <v>1661</v>
      </c>
    </row>
    <row r="394" spans="1:20">
      <c r="A394" s="85">
        <v>2</v>
      </c>
      <c r="B394" s="86" t="s">
        <v>1651</v>
      </c>
      <c r="C394" s="87" t="s">
        <v>69</v>
      </c>
      <c r="D394" s="87" t="s">
        <v>69</v>
      </c>
      <c r="E394" s="88" t="s">
        <v>69</v>
      </c>
      <c r="F394" s="85" t="s">
        <v>1652</v>
      </c>
      <c r="G394" s="85" t="s">
        <v>1653</v>
      </c>
      <c r="H394" s="87" t="s">
        <v>65</v>
      </c>
      <c r="I394" s="87" t="s">
        <v>65</v>
      </c>
      <c r="J394" s="89" t="s">
        <v>1654</v>
      </c>
      <c r="K394" s="87" t="s">
        <v>71</v>
      </c>
      <c r="L394" s="87" t="s">
        <v>71</v>
      </c>
      <c r="M394" s="89" t="s">
        <v>1654</v>
      </c>
      <c r="N394" s="85" t="s">
        <v>1655</v>
      </c>
      <c r="O394" s="85" t="s">
        <v>1655</v>
      </c>
      <c r="P394" s="85" t="s">
        <v>1655</v>
      </c>
      <c r="Q394" s="85" t="s">
        <v>1660</v>
      </c>
      <c r="R394" s="85" t="s">
        <v>1655</v>
      </c>
      <c r="S394" s="89" t="s">
        <v>1654</v>
      </c>
      <c r="T394" s="87" t="s">
        <v>1661</v>
      </c>
    </row>
    <row r="395" spans="1:20">
      <c r="A395" s="85">
        <v>3</v>
      </c>
      <c r="B395" s="86" t="s">
        <v>1651</v>
      </c>
      <c r="C395" s="87" t="s">
        <v>72</v>
      </c>
      <c r="D395" s="87" t="s">
        <v>72</v>
      </c>
      <c r="E395" s="88" t="s">
        <v>72</v>
      </c>
      <c r="F395" s="85" t="s">
        <v>1653</v>
      </c>
      <c r="G395" s="85" t="s">
        <v>1653</v>
      </c>
      <c r="H395" s="87" t="s">
        <v>65</v>
      </c>
      <c r="I395" s="87" t="s">
        <v>65</v>
      </c>
      <c r="J395" s="89" t="s">
        <v>1654</v>
      </c>
      <c r="K395" s="87" t="s">
        <v>68</v>
      </c>
      <c r="L395" s="87" t="s">
        <v>68</v>
      </c>
      <c r="M395" s="89" t="s">
        <v>1654</v>
      </c>
      <c r="N395" s="85" t="s">
        <v>1655</v>
      </c>
      <c r="O395" s="85" t="s">
        <v>1660</v>
      </c>
      <c r="P395" s="85" t="s">
        <v>1655</v>
      </c>
      <c r="Q395" s="85" t="s">
        <v>1655</v>
      </c>
      <c r="R395" s="85" t="s">
        <v>1655</v>
      </c>
      <c r="S395" s="89" t="s">
        <v>1654</v>
      </c>
      <c r="T395" s="87" t="s">
        <v>1661</v>
      </c>
    </row>
    <row r="396" spans="1:20">
      <c r="A396" s="85">
        <v>4</v>
      </c>
      <c r="B396" s="86" t="s">
        <v>1651</v>
      </c>
      <c r="C396" s="87" t="s">
        <v>73</v>
      </c>
      <c r="D396" s="87" t="s">
        <v>73</v>
      </c>
      <c r="E396" s="88" t="s">
        <v>73</v>
      </c>
      <c r="F396" s="85" t="s">
        <v>1653</v>
      </c>
      <c r="G396" s="85" t="s">
        <v>1653</v>
      </c>
      <c r="H396" s="87" t="s">
        <v>65</v>
      </c>
      <c r="I396" s="87" t="s">
        <v>65</v>
      </c>
      <c r="J396" s="89" t="s">
        <v>1654</v>
      </c>
      <c r="K396" s="87" t="s">
        <v>71</v>
      </c>
      <c r="L396" s="87" t="s">
        <v>71</v>
      </c>
      <c r="M396" s="89" t="s">
        <v>1654</v>
      </c>
      <c r="N396" s="85" t="s">
        <v>1655</v>
      </c>
      <c r="O396" s="85" t="s">
        <v>1660</v>
      </c>
      <c r="P396" s="85" t="s">
        <v>1655</v>
      </c>
      <c r="Q396" s="85" t="s">
        <v>1655</v>
      </c>
      <c r="R396" s="85" t="s">
        <v>1655</v>
      </c>
      <c r="S396" s="89" t="s">
        <v>1654</v>
      </c>
      <c r="T396" s="87" t="s">
        <v>1661</v>
      </c>
    </row>
    <row r="397" spans="1:20">
      <c r="A397" s="85">
        <v>5</v>
      </c>
      <c r="B397" s="86" t="s">
        <v>1651</v>
      </c>
      <c r="C397" s="87" t="s">
        <v>18</v>
      </c>
      <c r="D397" s="87" t="s">
        <v>74</v>
      </c>
      <c r="E397" s="88" t="s">
        <v>74</v>
      </c>
      <c r="F397" s="85" t="s">
        <v>1653</v>
      </c>
      <c r="G397" s="85" t="s">
        <v>1653</v>
      </c>
      <c r="H397" s="87" t="s">
        <v>65</v>
      </c>
      <c r="I397" s="87" t="s">
        <v>65</v>
      </c>
      <c r="J397" s="89" t="s">
        <v>1654</v>
      </c>
      <c r="K397" s="87" t="s">
        <v>75</v>
      </c>
      <c r="L397" s="87" t="s">
        <v>75</v>
      </c>
      <c r="M397" s="89" t="s">
        <v>1654</v>
      </c>
      <c r="N397" s="85" t="s">
        <v>1655</v>
      </c>
      <c r="O397" s="85" t="s">
        <v>1660</v>
      </c>
      <c r="P397" s="85" t="s">
        <v>1655</v>
      </c>
      <c r="Q397" s="85" t="s">
        <v>1655</v>
      </c>
      <c r="R397" s="85" t="s">
        <v>1655</v>
      </c>
      <c r="S397" s="89" t="s">
        <v>1654</v>
      </c>
      <c r="T397" s="87" t="s">
        <v>1661</v>
      </c>
    </row>
    <row r="398" spans="1:20">
      <c r="A398" s="85">
        <v>6</v>
      </c>
      <c r="B398" s="86" t="s">
        <v>1651</v>
      </c>
      <c r="C398" s="87" t="s">
        <v>76</v>
      </c>
      <c r="D398" s="87" t="s">
        <v>76</v>
      </c>
      <c r="E398" s="88" t="s">
        <v>76</v>
      </c>
      <c r="F398" s="85" t="s">
        <v>1653</v>
      </c>
      <c r="G398" s="85" t="s">
        <v>1653</v>
      </c>
      <c r="H398" s="87" t="s">
        <v>65</v>
      </c>
      <c r="I398" s="87" t="s">
        <v>65</v>
      </c>
      <c r="J398" s="89" t="s">
        <v>1654</v>
      </c>
      <c r="K398" s="87" t="s">
        <v>71</v>
      </c>
      <c r="L398" s="87" t="s">
        <v>71</v>
      </c>
      <c r="M398" s="89" t="s">
        <v>1654</v>
      </c>
      <c r="N398" s="85" t="s">
        <v>1655</v>
      </c>
      <c r="O398" s="85" t="s">
        <v>1660</v>
      </c>
      <c r="P398" s="85" t="s">
        <v>1655</v>
      </c>
      <c r="Q398" s="85" t="s">
        <v>1655</v>
      </c>
      <c r="R398" s="85" t="s">
        <v>1655</v>
      </c>
      <c r="S398" s="89" t="s">
        <v>1654</v>
      </c>
      <c r="T398" s="87" t="s">
        <v>1661</v>
      </c>
    </row>
    <row r="399" spans="1:20">
      <c r="A399" s="85">
        <v>7</v>
      </c>
      <c r="B399" s="86" t="s">
        <v>1651</v>
      </c>
      <c r="C399" s="87" t="s">
        <v>77</v>
      </c>
      <c r="D399" s="87" t="s">
        <v>77</v>
      </c>
      <c r="E399" s="88" t="s">
        <v>77</v>
      </c>
      <c r="F399" s="85" t="s">
        <v>1653</v>
      </c>
      <c r="G399" s="85" t="s">
        <v>1653</v>
      </c>
      <c r="H399" s="87" t="s">
        <v>65</v>
      </c>
      <c r="I399" s="87" t="s">
        <v>65</v>
      </c>
      <c r="J399" s="89" t="s">
        <v>1654</v>
      </c>
      <c r="K399" s="87" t="s">
        <v>75</v>
      </c>
      <c r="L399" s="87" t="s">
        <v>75</v>
      </c>
      <c r="M399" s="89" t="s">
        <v>1654</v>
      </c>
      <c r="N399" s="85" t="s">
        <v>1655</v>
      </c>
      <c r="O399" s="85" t="s">
        <v>1660</v>
      </c>
      <c r="P399" s="85" t="s">
        <v>1655</v>
      </c>
      <c r="Q399" s="85" t="s">
        <v>1655</v>
      </c>
      <c r="R399" s="85" t="s">
        <v>1655</v>
      </c>
      <c r="S399" s="89" t="s">
        <v>1654</v>
      </c>
      <c r="T399" s="87" t="s">
        <v>1661</v>
      </c>
    </row>
    <row r="400" spans="1:20">
      <c r="A400" s="85">
        <v>8</v>
      </c>
      <c r="B400" s="86" t="s">
        <v>1651</v>
      </c>
      <c r="C400" s="87" t="s">
        <v>79</v>
      </c>
      <c r="D400" s="87" t="s">
        <v>79</v>
      </c>
      <c r="E400" s="88" t="s">
        <v>79</v>
      </c>
      <c r="F400" s="85" t="s">
        <v>1653</v>
      </c>
      <c r="G400" s="85" t="s">
        <v>1653</v>
      </c>
      <c r="H400" s="87" t="s">
        <v>65</v>
      </c>
      <c r="I400" s="87" t="s">
        <v>65</v>
      </c>
      <c r="J400" s="89" t="s">
        <v>1654</v>
      </c>
      <c r="K400" s="87" t="s">
        <v>75</v>
      </c>
      <c r="L400" s="87" t="s">
        <v>75</v>
      </c>
      <c r="M400" s="89" t="s">
        <v>1654</v>
      </c>
      <c r="N400" s="85" t="s">
        <v>1655</v>
      </c>
      <c r="O400" s="85" t="s">
        <v>1660</v>
      </c>
      <c r="P400" s="85" t="s">
        <v>1655</v>
      </c>
      <c r="Q400" s="85" t="s">
        <v>1655</v>
      </c>
      <c r="R400" s="85" t="s">
        <v>1655</v>
      </c>
      <c r="S400" s="89" t="s">
        <v>1654</v>
      </c>
      <c r="T400" s="87" t="s">
        <v>1661</v>
      </c>
    </row>
    <row r="401" spans="1:20">
      <c r="A401" s="85">
        <v>9</v>
      </c>
      <c r="B401" s="86" t="s">
        <v>1651</v>
      </c>
      <c r="C401" s="87" t="s">
        <v>80</v>
      </c>
      <c r="D401" s="87" t="s">
        <v>80</v>
      </c>
      <c r="E401" s="88" t="s">
        <v>80</v>
      </c>
      <c r="F401" s="85" t="s">
        <v>1653</v>
      </c>
      <c r="G401" s="85" t="s">
        <v>1653</v>
      </c>
      <c r="H401" s="87" t="s">
        <v>65</v>
      </c>
      <c r="I401" s="87" t="s">
        <v>65</v>
      </c>
      <c r="J401" s="89" t="s">
        <v>1654</v>
      </c>
      <c r="K401" s="87" t="s">
        <v>68</v>
      </c>
      <c r="L401" s="87" t="s">
        <v>68</v>
      </c>
      <c r="M401" s="89" t="s">
        <v>1654</v>
      </c>
      <c r="N401" s="85" t="s">
        <v>1655</v>
      </c>
      <c r="O401" s="85" t="s">
        <v>1660</v>
      </c>
      <c r="P401" s="85" t="s">
        <v>1655</v>
      </c>
      <c r="Q401" s="85" t="s">
        <v>1655</v>
      </c>
      <c r="R401" s="85" t="s">
        <v>1655</v>
      </c>
      <c r="S401" s="89" t="s">
        <v>1654</v>
      </c>
      <c r="T401" s="87" t="s">
        <v>1661</v>
      </c>
    </row>
    <row r="402" spans="1:20">
      <c r="A402" s="85">
        <v>10</v>
      </c>
      <c r="B402" s="86" t="s">
        <v>1651</v>
      </c>
      <c r="C402" s="87" t="s">
        <v>81</v>
      </c>
      <c r="D402" s="87" t="s">
        <v>81</v>
      </c>
      <c r="E402" s="88" t="s">
        <v>81</v>
      </c>
      <c r="F402" s="85" t="s">
        <v>1653</v>
      </c>
      <c r="G402" s="85" t="s">
        <v>1653</v>
      </c>
      <c r="H402" s="87" t="s">
        <v>65</v>
      </c>
      <c r="I402" s="87" t="s">
        <v>65</v>
      </c>
      <c r="J402" s="89" t="s">
        <v>1654</v>
      </c>
      <c r="K402" s="87" t="s">
        <v>71</v>
      </c>
      <c r="L402" s="87" t="s">
        <v>71</v>
      </c>
      <c r="M402" s="89" t="s">
        <v>1654</v>
      </c>
      <c r="N402" s="85" t="s">
        <v>1655</v>
      </c>
      <c r="O402" s="85" t="s">
        <v>1660</v>
      </c>
      <c r="P402" s="85" t="s">
        <v>1655</v>
      </c>
      <c r="Q402" s="85" t="s">
        <v>1655</v>
      </c>
      <c r="R402" s="85" t="s">
        <v>1655</v>
      </c>
      <c r="S402" s="89" t="s">
        <v>1654</v>
      </c>
      <c r="T402" s="87" t="s">
        <v>1661</v>
      </c>
    </row>
    <row r="403" spans="1:20">
      <c r="A403" s="85">
        <v>11</v>
      </c>
      <c r="B403" s="86" t="s">
        <v>1651</v>
      </c>
      <c r="C403" s="87" t="s">
        <v>82</v>
      </c>
      <c r="D403" s="87" t="s">
        <v>82</v>
      </c>
      <c r="E403" s="88" t="s">
        <v>82</v>
      </c>
      <c r="F403" s="85" t="s">
        <v>1653</v>
      </c>
      <c r="G403" s="85" t="s">
        <v>1653</v>
      </c>
      <c r="H403" s="87" t="s">
        <v>65</v>
      </c>
      <c r="I403" s="87" t="s">
        <v>65</v>
      </c>
      <c r="J403" s="89" t="s">
        <v>1654</v>
      </c>
      <c r="K403" s="87" t="s">
        <v>68</v>
      </c>
      <c r="L403" s="87" t="s">
        <v>68</v>
      </c>
      <c r="M403" s="89" t="s">
        <v>1654</v>
      </c>
      <c r="N403" s="85" t="s">
        <v>1655</v>
      </c>
      <c r="O403" s="85" t="s">
        <v>1660</v>
      </c>
      <c r="P403" s="85" t="s">
        <v>1655</v>
      </c>
      <c r="Q403" s="85" t="s">
        <v>1655</v>
      </c>
      <c r="R403" s="85" t="s">
        <v>1655</v>
      </c>
      <c r="S403" s="89" t="s">
        <v>1654</v>
      </c>
      <c r="T403" s="87" t="s">
        <v>1661</v>
      </c>
    </row>
    <row r="404" spans="1:20">
      <c r="A404" s="85">
        <v>12</v>
      </c>
      <c r="B404" s="86" t="s">
        <v>1651</v>
      </c>
      <c r="C404" s="87" t="s">
        <v>83</v>
      </c>
      <c r="D404" s="87" t="s">
        <v>83</v>
      </c>
      <c r="E404" s="88" t="s">
        <v>83</v>
      </c>
      <c r="F404" s="85" t="s">
        <v>1653</v>
      </c>
      <c r="G404" s="85" t="s">
        <v>1653</v>
      </c>
      <c r="H404" s="87" t="s">
        <v>65</v>
      </c>
      <c r="I404" s="87" t="s">
        <v>65</v>
      </c>
      <c r="J404" s="89" t="s">
        <v>1654</v>
      </c>
      <c r="K404" s="87" t="s">
        <v>71</v>
      </c>
      <c r="L404" s="87" t="s">
        <v>71</v>
      </c>
      <c r="M404" s="89" t="s">
        <v>1654</v>
      </c>
      <c r="N404" s="85" t="s">
        <v>1655</v>
      </c>
      <c r="O404" s="85" t="s">
        <v>1660</v>
      </c>
      <c r="P404" s="85" t="s">
        <v>1655</v>
      </c>
      <c r="Q404" s="85" t="s">
        <v>1655</v>
      </c>
      <c r="R404" s="85" t="s">
        <v>1655</v>
      </c>
      <c r="S404" s="89" t="s">
        <v>1654</v>
      </c>
      <c r="T404" s="87" t="s">
        <v>1661</v>
      </c>
    </row>
    <row r="405" spans="1:20">
      <c r="A405" s="85">
        <v>13</v>
      </c>
      <c r="B405" s="86" t="s">
        <v>1651</v>
      </c>
      <c r="C405" s="87" t="s">
        <v>18</v>
      </c>
      <c r="D405" s="87" t="s">
        <v>84</v>
      </c>
      <c r="E405" s="88" t="s">
        <v>84</v>
      </c>
      <c r="F405" s="85" t="s">
        <v>1652</v>
      </c>
      <c r="G405" s="85" t="s">
        <v>1653</v>
      </c>
      <c r="H405" s="87" t="s">
        <v>65</v>
      </c>
      <c r="I405" s="87" t="s">
        <v>65</v>
      </c>
      <c r="J405" s="89" t="s">
        <v>1654</v>
      </c>
      <c r="K405" s="87" t="s">
        <v>18</v>
      </c>
      <c r="L405" s="87" t="s">
        <v>18</v>
      </c>
      <c r="M405" s="89" t="s">
        <v>1671</v>
      </c>
      <c r="N405" s="85" t="s">
        <v>1655</v>
      </c>
      <c r="O405" s="85" t="s">
        <v>1660</v>
      </c>
      <c r="P405" s="85" t="s">
        <v>1655</v>
      </c>
      <c r="Q405" s="85" t="s">
        <v>1655</v>
      </c>
      <c r="R405" s="85" t="s">
        <v>1655</v>
      </c>
      <c r="S405" s="89" t="s">
        <v>1654</v>
      </c>
      <c r="T405" s="87" t="s">
        <v>1661</v>
      </c>
    </row>
    <row r="406" spans="1:20">
      <c r="A406" s="85">
        <v>14</v>
      </c>
      <c r="B406" s="86" t="s">
        <v>1651</v>
      </c>
      <c r="C406" s="87" t="s">
        <v>18</v>
      </c>
      <c r="D406" s="87" t="s">
        <v>85</v>
      </c>
      <c r="E406" s="88" t="s">
        <v>85</v>
      </c>
      <c r="F406" s="85" t="s">
        <v>1652</v>
      </c>
      <c r="G406" s="85" t="s">
        <v>1653</v>
      </c>
      <c r="H406" s="87" t="s">
        <v>65</v>
      </c>
      <c r="I406" s="87" t="s">
        <v>65</v>
      </c>
      <c r="J406" s="89" t="s">
        <v>1654</v>
      </c>
      <c r="K406" s="87" t="s">
        <v>18</v>
      </c>
      <c r="L406" s="87" t="s">
        <v>18</v>
      </c>
      <c r="M406" s="89" t="s">
        <v>1671</v>
      </c>
      <c r="N406" s="85" t="s">
        <v>1655</v>
      </c>
      <c r="O406" s="85" t="s">
        <v>1660</v>
      </c>
      <c r="P406" s="85" t="s">
        <v>1655</v>
      </c>
      <c r="Q406" s="85" t="s">
        <v>1655</v>
      </c>
      <c r="R406" s="85" t="s">
        <v>1655</v>
      </c>
      <c r="S406" s="89" t="s">
        <v>1654</v>
      </c>
      <c r="T406" s="87" t="s">
        <v>1661</v>
      </c>
    </row>
    <row r="407" spans="1:20">
      <c r="A407" s="85">
        <v>15</v>
      </c>
      <c r="B407" s="86" t="s">
        <v>1651</v>
      </c>
      <c r="C407" s="87" t="s">
        <v>18</v>
      </c>
      <c r="D407" s="87" t="s">
        <v>86</v>
      </c>
      <c r="E407" s="88" t="s">
        <v>86</v>
      </c>
      <c r="F407" s="85" t="s">
        <v>1652</v>
      </c>
      <c r="G407" s="85" t="s">
        <v>1653</v>
      </c>
      <c r="H407" s="87" t="s">
        <v>65</v>
      </c>
      <c r="I407" s="87" t="s">
        <v>65</v>
      </c>
      <c r="J407" s="89" t="s">
        <v>1654</v>
      </c>
      <c r="K407" s="87" t="s">
        <v>18</v>
      </c>
      <c r="L407" s="87" t="s">
        <v>18</v>
      </c>
      <c r="M407" s="89" t="s">
        <v>1671</v>
      </c>
      <c r="N407" s="85" t="s">
        <v>1655</v>
      </c>
      <c r="O407" s="85" t="s">
        <v>1660</v>
      </c>
      <c r="P407" s="85" t="s">
        <v>1655</v>
      </c>
      <c r="Q407" s="85" t="s">
        <v>1655</v>
      </c>
      <c r="R407" s="85" t="s">
        <v>1655</v>
      </c>
      <c r="S407" s="89" t="s">
        <v>1654</v>
      </c>
      <c r="T407" s="87" t="s">
        <v>1661</v>
      </c>
    </row>
    <row r="408" spans="1:20">
      <c r="A408" s="85">
        <v>16</v>
      </c>
      <c r="B408" s="86" t="s">
        <v>1651</v>
      </c>
      <c r="C408" s="87" t="s">
        <v>18</v>
      </c>
      <c r="D408" s="87" t="s">
        <v>87</v>
      </c>
      <c r="E408" s="88" t="s">
        <v>87</v>
      </c>
      <c r="F408" s="85" t="s">
        <v>1652</v>
      </c>
      <c r="G408" s="85" t="s">
        <v>1653</v>
      </c>
      <c r="H408" s="87" t="s">
        <v>65</v>
      </c>
      <c r="I408" s="87" t="s">
        <v>65</v>
      </c>
      <c r="J408" s="89" t="s">
        <v>1654</v>
      </c>
      <c r="K408" s="87" t="s">
        <v>18</v>
      </c>
      <c r="L408" s="87" t="s">
        <v>18</v>
      </c>
      <c r="M408" s="89" t="s">
        <v>1671</v>
      </c>
      <c r="N408" s="85" t="s">
        <v>1655</v>
      </c>
      <c r="O408" s="85" t="s">
        <v>1660</v>
      </c>
      <c r="P408" s="85" t="s">
        <v>1655</v>
      </c>
      <c r="Q408" s="85" t="s">
        <v>1655</v>
      </c>
      <c r="R408" s="85" t="s">
        <v>1655</v>
      </c>
      <c r="S408" s="89" t="s">
        <v>1654</v>
      </c>
      <c r="T408" s="87" t="s">
        <v>1661</v>
      </c>
    </row>
    <row r="409" spans="1:20">
      <c r="A409" s="85">
        <v>17</v>
      </c>
      <c r="B409" s="86" t="s">
        <v>1651</v>
      </c>
      <c r="C409" s="87" t="s">
        <v>18</v>
      </c>
      <c r="D409" s="87" t="s">
        <v>88</v>
      </c>
      <c r="E409" s="88" t="s">
        <v>88</v>
      </c>
      <c r="F409" s="85" t="s">
        <v>1652</v>
      </c>
      <c r="G409" s="85" t="s">
        <v>1653</v>
      </c>
      <c r="H409" s="87" t="s">
        <v>65</v>
      </c>
      <c r="I409" s="87" t="s">
        <v>65</v>
      </c>
      <c r="J409" s="89" t="s">
        <v>1654</v>
      </c>
      <c r="K409" s="87" t="s">
        <v>18</v>
      </c>
      <c r="L409" s="87" t="s">
        <v>18</v>
      </c>
      <c r="M409" s="89" t="s">
        <v>1671</v>
      </c>
      <c r="N409" s="85" t="s">
        <v>1655</v>
      </c>
      <c r="O409" s="85" t="s">
        <v>1660</v>
      </c>
      <c r="P409" s="85" t="s">
        <v>1655</v>
      </c>
      <c r="Q409" s="85" t="s">
        <v>1655</v>
      </c>
      <c r="R409" s="85" t="s">
        <v>1655</v>
      </c>
      <c r="S409" s="89" t="s">
        <v>1654</v>
      </c>
      <c r="T409" s="87" t="s">
        <v>1661</v>
      </c>
    </row>
    <row r="410" spans="1:20">
      <c r="A410" s="85">
        <v>1</v>
      </c>
      <c r="B410" s="86" t="s">
        <v>1651</v>
      </c>
      <c r="C410" s="87" t="s">
        <v>89</v>
      </c>
      <c r="D410" s="87" t="s">
        <v>89</v>
      </c>
      <c r="E410" s="88" t="s">
        <v>89</v>
      </c>
      <c r="F410" s="85" t="s">
        <v>1653</v>
      </c>
      <c r="G410" s="85" t="s">
        <v>1653</v>
      </c>
      <c r="H410" s="87" t="s">
        <v>90</v>
      </c>
      <c r="I410" s="87" t="s">
        <v>90</v>
      </c>
      <c r="J410" s="89" t="s">
        <v>1654</v>
      </c>
      <c r="K410" s="87" t="s">
        <v>75</v>
      </c>
      <c r="L410" s="87" t="s">
        <v>75</v>
      </c>
      <c r="M410" s="89" t="s">
        <v>1654</v>
      </c>
      <c r="N410" s="85" t="s">
        <v>1655</v>
      </c>
      <c r="O410" s="85" t="s">
        <v>1655</v>
      </c>
      <c r="P410" s="85" t="s">
        <v>1655</v>
      </c>
      <c r="Q410" s="85" t="s">
        <v>1660</v>
      </c>
      <c r="R410" s="85" t="s">
        <v>1655</v>
      </c>
      <c r="S410" s="89" t="s">
        <v>1654</v>
      </c>
      <c r="T410" s="87" t="s">
        <v>1661</v>
      </c>
    </row>
    <row r="411" spans="1:20">
      <c r="A411" s="85">
        <v>2</v>
      </c>
      <c r="B411" s="86" t="s">
        <v>1651</v>
      </c>
      <c r="C411" s="87" t="s">
        <v>92</v>
      </c>
      <c r="D411" s="87" t="s">
        <v>92</v>
      </c>
      <c r="E411" s="88" t="s">
        <v>92</v>
      </c>
      <c r="F411" s="85" t="s">
        <v>1653</v>
      </c>
      <c r="G411" s="85" t="s">
        <v>1653</v>
      </c>
      <c r="H411" s="87" t="s">
        <v>90</v>
      </c>
      <c r="I411" s="87" t="s">
        <v>90</v>
      </c>
      <c r="J411" s="89" t="s">
        <v>1654</v>
      </c>
      <c r="K411" s="87" t="s">
        <v>75</v>
      </c>
      <c r="L411" s="87" t="s">
        <v>75</v>
      </c>
      <c r="M411" s="89" t="s">
        <v>1654</v>
      </c>
      <c r="N411" s="85" t="s">
        <v>1655</v>
      </c>
      <c r="O411" s="85" t="s">
        <v>1655</v>
      </c>
      <c r="P411" s="85" t="s">
        <v>1655</v>
      </c>
      <c r="Q411" s="85" t="s">
        <v>1660</v>
      </c>
      <c r="R411" s="85" t="s">
        <v>1655</v>
      </c>
      <c r="S411" s="89" t="s">
        <v>1654</v>
      </c>
      <c r="T411" s="87" t="s">
        <v>1661</v>
      </c>
    </row>
    <row r="412" spans="1:20">
      <c r="A412" s="85">
        <v>3</v>
      </c>
      <c r="B412" s="86" t="s">
        <v>1651</v>
      </c>
      <c r="C412" s="87" t="s">
        <v>94</v>
      </c>
      <c r="D412" s="87" t="s">
        <v>94</v>
      </c>
      <c r="E412" s="88" t="s">
        <v>94</v>
      </c>
      <c r="F412" s="85" t="s">
        <v>1653</v>
      </c>
      <c r="G412" s="85" t="s">
        <v>1653</v>
      </c>
      <c r="H412" s="87" t="s">
        <v>90</v>
      </c>
      <c r="I412" s="87" t="s">
        <v>90</v>
      </c>
      <c r="J412" s="89" t="s">
        <v>1654</v>
      </c>
      <c r="K412" s="87" t="s">
        <v>75</v>
      </c>
      <c r="L412" s="87" t="s">
        <v>75</v>
      </c>
      <c r="M412" s="89" t="s">
        <v>1654</v>
      </c>
      <c r="N412" s="85" t="s">
        <v>1655</v>
      </c>
      <c r="O412" s="85" t="s">
        <v>1660</v>
      </c>
      <c r="P412" s="85" t="s">
        <v>1655</v>
      </c>
      <c r="Q412" s="85" t="s">
        <v>1655</v>
      </c>
      <c r="R412" s="85" t="s">
        <v>1655</v>
      </c>
      <c r="S412" s="89" t="s">
        <v>1654</v>
      </c>
      <c r="T412" s="87" t="s">
        <v>1661</v>
      </c>
    </row>
    <row r="413" spans="1:20">
      <c r="A413" s="85">
        <v>4</v>
      </c>
      <c r="B413" s="86" t="s">
        <v>1651</v>
      </c>
      <c r="C413" s="87" t="s">
        <v>96</v>
      </c>
      <c r="D413" s="87" t="s">
        <v>96</v>
      </c>
      <c r="E413" s="88" t="s">
        <v>96</v>
      </c>
      <c r="F413" s="85" t="s">
        <v>1653</v>
      </c>
      <c r="G413" s="85" t="s">
        <v>1653</v>
      </c>
      <c r="H413" s="87" t="s">
        <v>90</v>
      </c>
      <c r="I413" s="87" t="s">
        <v>90</v>
      </c>
      <c r="J413" s="89" t="s">
        <v>1654</v>
      </c>
      <c r="K413" s="87" t="s">
        <v>75</v>
      </c>
      <c r="L413" s="87" t="s">
        <v>75</v>
      </c>
      <c r="M413" s="89" t="s">
        <v>1654</v>
      </c>
      <c r="N413" s="85" t="s">
        <v>1655</v>
      </c>
      <c r="O413" s="85" t="s">
        <v>1660</v>
      </c>
      <c r="P413" s="85" t="s">
        <v>1655</v>
      </c>
      <c r="Q413" s="85" t="s">
        <v>1655</v>
      </c>
      <c r="R413" s="85" t="s">
        <v>1655</v>
      </c>
      <c r="S413" s="89" t="s">
        <v>1654</v>
      </c>
      <c r="T413" s="87" t="s">
        <v>1661</v>
      </c>
    </row>
    <row r="414" spans="1:20">
      <c r="A414" s="85">
        <v>5</v>
      </c>
      <c r="B414" s="92" t="s">
        <v>1663</v>
      </c>
      <c r="C414" s="87" t="s">
        <v>1375</v>
      </c>
      <c r="D414" s="87" t="s">
        <v>18</v>
      </c>
      <c r="E414" s="88" t="s">
        <v>1375</v>
      </c>
      <c r="F414" s="85" t="s">
        <v>1652</v>
      </c>
      <c r="G414" s="85" t="s">
        <v>1653</v>
      </c>
      <c r="H414" s="87" t="s">
        <v>90</v>
      </c>
      <c r="I414" s="87" t="s">
        <v>90</v>
      </c>
      <c r="J414" s="89" t="s">
        <v>1654</v>
      </c>
      <c r="K414" s="87" t="s">
        <v>18</v>
      </c>
      <c r="L414" s="87" t="s">
        <v>18</v>
      </c>
      <c r="M414" s="89" t="s">
        <v>1671</v>
      </c>
      <c r="N414" s="85" t="s">
        <v>1655</v>
      </c>
      <c r="O414" s="85" t="s">
        <v>1660</v>
      </c>
      <c r="P414" s="85" t="s">
        <v>1655</v>
      </c>
      <c r="Q414" s="85" t="s">
        <v>1655</v>
      </c>
      <c r="R414" s="85" t="s">
        <v>1655</v>
      </c>
      <c r="S414" s="89" t="s">
        <v>1654</v>
      </c>
      <c r="T414" s="87" t="s">
        <v>1685</v>
      </c>
    </row>
    <row r="415" spans="1:20">
      <c r="A415" s="85">
        <v>6</v>
      </c>
      <c r="B415" s="86" t="s">
        <v>1651</v>
      </c>
      <c r="C415" s="87" t="s">
        <v>97</v>
      </c>
      <c r="D415" s="87" t="s">
        <v>97</v>
      </c>
      <c r="E415" s="88" t="s">
        <v>97</v>
      </c>
      <c r="F415" s="85" t="s">
        <v>1653</v>
      </c>
      <c r="G415" s="85" t="s">
        <v>1653</v>
      </c>
      <c r="H415" s="87" t="s">
        <v>90</v>
      </c>
      <c r="I415" s="87" t="s">
        <v>90</v>
      </c>
      <c r="J415" s="89" t="s">
        <v>1654</v>
      </c>
      <c r="K415" s="87" t="s">
        <v>75</v>
      </c>
      <c r="L415" s="87" t="s">
        <v>75</v>
      </c>
      <c r="M415" s="89" t="s">
        <v>1654</v>
      </c>
      <c r="N415" s="85" t="s">
        <v>1655</v>
      </c>
      <c r="O415" s="85" t="s">
        <v>1660</v>
      </c>
      <c r="P415" s="85" t="s">
        <v>1655</v>
      </c>
      <c r="Q415" s="85" t="s">
        <v>1655</v>
      </c>
      <c r="R415" s="85" t="s">
        <v>1655</v>
      </c>
      <c r="S415" s="89" t="s">
        <v>1654</v>
      </c>
      <c r="T415" s="87" t="s">
        <v>1661</v>
      </c>
    </row>
    <row r="416" spans="1:20">
      <c r="A416" s="85">
        <v>7</v>
      </c>
      <c r="B416" s="86" t="s">
        <v>1651</v>
      </c>
      <c r="C416" s="87" t="s">
        <v>18</v>
      </c>
      <c r="D416" s="87" t="s">
        <v>98</v>
      </c>
      <c r="E416" s="88" t="s">
        <v>98</v>
      </c>
      <c r="F416" s="85" t="s">
        <v>1653</v>
      </c>
      <c r="G416" s="85" t="s">
        <v>1653</v>
      </c>
      <c r="H416" s="87" t="s">
        <v>90</v>
      </c>
      <c r="I416" s="87" t="s">
        <v>90</v>
      </c>
      <c r="J416" s="89" t="s">
        <v>1654</v>
      </c>
      <c r="K416" s="87" t="s">
        <v>75</v>
      </c>
      <c r="L416" s="87" t="s">
        <v>75</v>
      </c>
      <c r="M416" s="89" t="s">
        <v>1654</v>
      </c>
      <c r="N416" s="85" t="s">
        <v>1655</v>
      </c>
      <c r="O416" s="85" t="s">
        <v>1660</v>
      </c>
      <c r="P416" s="85" t="s">
        <v>1655</v>
      </c>
      <c r="Q416" s="85" t="s">
        <v>1655</v>
      </c>
      <c r="R416" s="85" t="s">
        <v>1655</v>
      </c>
      <c r="S416" s="89" t="s">
        <v>1654</v>
      </c>
      <c r="T416" s="87" t="s">
        <v>1661</v>
      </c>
    </row>
    <row r="417" spans="1:20">
      <c r="A417" s="85">
        <v>8</v>
      </c>
      <c r="B417" s="86" t="s">
        <v>1651</v>
      </c>
      <c r="C417" s="87" t="s">
        <v>99</v>
      </c>
      <c r="D417" s="87" t="s">
        <v>99</v>
      </c>
      <c r="E417" s="88" t="s">
        <v>99</v>
      </c>
      <c r="F417" s="85" t="s">
        <v>1653</v>
      </c>
      <c r="G417" s="85" t="s">
        <v>1653</v>
      </c>
      <c r="H417" s="87" t="s">
        <v>90</v>
      </c>
      <c r="I417" s="87" t="s">
        <v>90</v>
      </c>
      <c r="J417" s="89" t="s">
        <v>1654</v>
      </c>
      <c r="K417" s="87" t="s">
        <v>75</v>
      </c>
      <c r="L417" s="87" t="s">
        <v>75</v>
      </c>
      <c r="M417" s="89" t="s">
        <v>1654</v>
      </c>
      <c r="N417" s="85" t="s">
        <v>1655</v>
      </c>
      <c r="O417" s="85" t="s">
        <v>1655</v>
      </c>
      <c r="P417" s="85" t="s">
        <v>1655</v>
      </c>
      <c r="Q417" s="85" t="s">
        <v>1660</v>
      </c>
      <c r="R417" s="85" t="s">
        <v>1655</v>
      </c>
      <c r="S417" s="89" t="s">
        <v>1654</v>
      </c>
      <c r="T417" s="87" t="s">
        <v>1661</v>
      </c>
    </row>
    <row r="418" spans="1:20">
      <c r="A418" s="85">
        <v>9</v>
      </c>
      <c r="B418" s="86" t="s">
        <v>1651</v>
      </c>
      <c r="C418" s="87" t="s">
        <v>100</v>
      </c>
      <c r="D418" s="87" t="s">
        <v>100</v>
      </c>
      <c r="E418" s="88" t="s">
        <v>100</v>
      </c>
      <c r="F418" s="85" t="s">
        <v>1653</v>
      </c>
      <c r="G418" s="85" t="s">
        <v>1653</v>
      </c>
      <c r="H418" s="87" t="s">
        <v>90</v>
      </c>
      <c r="I418" s="87" t="s">
        <v>90</v>
      </c>
      <c r="J418" s="89" t="s">
        <v>1654</v>
      </c>
      <c r="K418" s="87" t="s">
        <v>75</v>
      </c>
      <c r="L418" s="87" t="s">
        <v>75</v>
      </c>
      <c r="M418" s="89" t="s">
        <v>1654</v>
      </c>
      <c r="N418" s="85" t="s">
        <v>1655</v>
      </c>
      <c r="O418" s="85" t="s">
        <v>1655</v>
      </c>
      <c r="P418" s="85" t="s">
        <v>1655</v>
      </c>
      <c r="Q418" s="85" t="s">
        <v>1660</v>
      </c>
      <c r="R418" s="85" t="s">
        <v>1655</v>
      </c>
      <c r="S418" s="89" t="s">
        <v>1654</v>
      </c>
      <c r="T418" s="87" t="s">
        <v>1661</v>
      </c>
    </row>
    <row r="419" spans="1:20">
      <c r="A419" s="85">
        <v>10</v>
      </c>
      <c r="B419" s="92" t="s">
        <v>1663</v>
      </c>
      <c r="C419" s="87" t="s">
        <v>369</v>
      </c>
      <c r="D419" s="87" t="s">
        <v>18</v>
      </c>
      <c r="E419" s="88" t="s">
        <v>369</v>
      </c>
      <c r="F419" s="85" t="s">
        <v>1653</v>
      </c>
      <c r="G419" s="85" t="s">
        <v>1653</v>
      </c>
      <c r="H419" s="87" t="s">
        <v>90</v>
      </c>
      <c r="I419" s="87" t="s">
        <v>1698</v>
      </c>
      <c r="J419" s="89" t="s">
        <v>1654</v>
      </c>
      <c r="K419" s="87" t="s">
        <v>75</v>
      </c>
      <c r="L419" s="87" t="s">
        <v>75</v>
      </c>
      <c r="M419" s="89" t="s">
        <v>1654</v>
      </c>
      <c r="N419" s="85" t="s">
        <v>1655</v>
      </c>
      <c r="O419" s="85" t="s">
        <v>1655</v>
      </c>
      <c r="P419" s="85" t="s">
        <v>1655</v>
      </c>
      <c r="Q419" s="85" t="s">
        <v>1683</v>
      </c>
      <c r="R419" s="85" t="s">
        <v>1655</v>
      </c>
      <c r="S419" s="90" t="s">
        <v>1658</v>
      </c>
      <c r="T419" s="91" t="s">
        <v>1724</v>
      </c>
    </row>
    <row r="420" spans="1:20">
      <c r="A420" s="85">
        <v>11</v>
      </c>
      <c r="B420" s="86" t="s">
        <v>1651</v>
      </c>
      <c r="C420" s="87" t="s">
        <v>101</v>
      </c>
      <c r="D420" s="87" t="s">
        <v>101</v>
      </c>
      <c r="E420" s="88" t="s">
        <v>101</v>
      </c>
      <c r="F420" s="85" t="s">
        <v>1653</v>
      </c>
      <c r="G420" s="85" t="s">
        <v>1653</v>
      </c>
      <c r="H420" s="87" t="s">
        <v>90</v>
      </c>
      <c r="I420" s="87" t="s">
        <v>90</v>
      </c>
      <c r="J420" s="89" t="s">
        <v>1654</v>
      </c>
      <c r="K420" s="87" t="s">
        <v>75</v>
      </c>
      <c r="L420" s="87" t="s">
        <v>75</v>
      </c>
      <c r="M420" s="89" t="s">
        <v>1654</v>
      </c>
      <c r="N420" s="85" t="s">
        <v>1655</v>
      </c>
      <c r="O420" s="85" t="s">
        <v>1655</v>
      </c>
      <c r="P420" s="85" t="s">
        <v>1655</v>
      </c>
      <c r="Q420" s="85" t="s">
        <v>1660</v>
      </c>
      <c r="R420" s="85" t="s">
        <v>1655</v>
      </c>
      <c r="S420" s="89" t="s">
        <v>1654</v>
      </c>
      <c r="T420" s="87" t="s">
        <v>1661</v>
      </c>
    </row>
    <row r="421" spans="1:20">
      <c r="A421" s="85">
        <v>12</v>
      </c>
      <c r="B421" s="86" t="s">
        <v>1651</v>
      </c>
      <c r="C421" s="87" t="s">
        <v>102</v>
      </c>
      <c r="D421" s="87" t="s">
        <v>102</v>
      </c>
      <c r="E421" s="88" t="s">
        <v>102</v>
      </c>
      <c r="F421" s="85" t="s">
        <v>1653</v>
      </c>
      <c r="G421" s="85" t="s">
        <v>1653</v>
      </c>
      <c r="H421" s="87" t="s">
        <v>90</v>
      </c>
      <c r="I421" s="87" t="s">
        <v>90</v>
      </c>
      <c r="J421" s="89" t="s">
        <v>1654</v>
      </c>
      <c r="K421" s="87" t="s">
        <v>75</v>
      </c>
      <c r="L421" s="87" t="s">
        <v>75</v>
      </c>
      <c r="M421" s="89" t="s">
        <v>1654</v>
      </c>
      <c r="N421" s="85" t="s">
        <v>1655</v>
      </c>
      <c r="O421" s="85" t="s">
        <v>1655</v>
      </c>
      <c r="P421" s="85" t="s">
        <v>1655</v>
      </c>
      <c r="Q421" s="85" t="s">
        <v>1660</v>
      </c>
      <c r="R421" s="85" t="s">
        <v>1655</v>
      </c>
      <c r="S421" s="89" t="s">
        <v>1654</v>
      </c>
      <c r="T421" s="87" t="s">
        <v>1661</v>
      </c>
    </row>
    <row r="422" spans="1:20">
      <c r="A422" s="85">
        <v>13</v>
      </c>
      <c r="B422" s="86" t="s">
        <v>1651</v>
      </c>
      <c r="C422" s="87" t="s">
        <v>103</v>
      </c>
      <c r="D422" s="87" t="s">
        <v>103</v>
      </c>
      <c r="E422" s="88" t="s">
        <v>103</v>
      </c>
      <c r="F422" s="85" t="s">
        <v>1653</v>
      </c>
      <c r="G422" s="85" t="s">
        <v>1653</v>
      </c>
      <c r="H422" s="87" t="s">
        <v>90</v>
      </c>
      <c r="I422" s="87" t="s">
        <v>90</v>
      </c>
      <c r="J422" s="89" t="s">
        <v>1654</v>
      </c>
      <c r="K422" s="87" t="s">
        <v>75</v>
      </c>
      <c r="L422" s="87" t="s">
        <v>75</v>
      </c>
      <c r="M422" s="89" t="s">
        <v>1654</v>
      </c>
      <c r="N422" s="85" t="s">
        <v>1655</v>
      </c>
      <c r="O422" s="85" t="s">
        <v>1655</v>
      </c>
      <c r="P422" s="85" t="s">
        <v>1655</v>
      </c>
      <c r="Q422" s="85" t="s">
        <v>1660</v>
      </c>
      <c r="R422" s="85" t="s">
        <v>1655</v>
      </c>
      <c r="S422" s="89" t="s">
        <v>1654</v>
      </c>
      <c r="T422" s="87" t="s">
        <v>1661</v>
      </c>
    </row>
    <row r="423" spans="1:20">
      <c r="A423" s="85">
        <v>14</v>
      </c>
      <c r="B423" s="86" t="s">
        <v>1651</v>
      </c>
      <c r="C423" s="87" t="s">
        <v>104</v>
      </c>
      <c r="D423" s="87" t="s">
        <v>104</v>
      </c>
      <c r="E423" s="88" t="s">
        <v>104</v>
      </c>
      <c r="F423" s="85" t="s">
        <v>1653</v>
      </c>
      <c r="G423" s="85" t="s">
        <v>1653</v>
      </c>
      <c r="H423" s="87" t="s">
        <v>90</v>
      </c>
      <c r="I423" s="87" t="s">
        <v>90</v>
      </c>
      <c r="J423" s="89" t="s">
        <v>1654</v>
      </c>
      <c r="K423" s="87" t="s">
        <v>75</v>
      </c>
      <c r="L423" s="87" t="s">
        <v>75</v>
      </c>
      <c r="M423" s="89" t="s">
        <v>1654</v>
      </c>
      <c r="N423" s="85" t="s">
        <v>1655</v>
      </c>
      <c r="O423" s="85" t="s">
        <v>1655</v>
      </c>
      <c r="P423" s="85" t="s">
        <v>1655</v>
      </c>
      <c r="Q423" s="85" t="s">
        <v>1660</v>
      </c>
      <c r="R423" s="85" t="s">
        <v>1655</v>
      </c>
      <c r="S423" s="89" t="s">
        <v>1654</v>
      </c>
      <c r="T423" s="87" t="s">
        <v>1661</v>
      </c>
    </row>
    <row r="424" spans="1:20">
      <c r="A424" s="85">
        <v>15</v>
      </c>
      <c r="B424" s="86" t="s">
        <v>1651</v>
      </c>
      <c r="C424" s="87" t="s">
        <v>105</v>
      </c>
      <c r="D424" s="87" t="s">
        <v>105</v>
      </c>
      <c r="E424" s="88" t="s">
        <v>105</v>
      </c>
      <c r="F424" s="85" t="s">
        <v>1653</v>
      </c>
      <c r="G424" s="85" t="s">
        <v>1653</v>
      </c>
      <c r="H424" s="87" t="s">
        <v>90</v>
      </c>
      <c r="I424" s="87" t="s">
        <v>90</v>
      </c>
      <c r="J424" s="89" t="s">
        <v>1654</v>
      </c>
      <c r="K424" s="87" t="s">
        <v>75</v>
      </c>
      <c r="L424" s="87" t="s">
        <v>75</v>
      </c>
      <c r="M424" s="89" t="s">
        <v>1654</v>
      </c>
      <c r="N424" s="85" t="s">
        <v>1655</v>
      </c>
      <c r="O424" s="85" t="s">
        <v>1660</v>
      </c>
      <c r="P424" s="85" t="s">
        <v>1655</v>
      </c>
      <c r="Q424" s="85" t="s">
        <v>1655</v>
      </c>
      <c r="R424" s="85" t="s">
        <v>1655</v>
      </c>
      <c r="S424" s="89" t="s">
        <v>1654</v>
      </c>
      <c r="T424" s="87" t="s">
        <v>1661</v>
      </c>
    </row>
    <row r="425" spans="1:20">
      <c r="A425" s="85">
        <v>16</v>
      </c>
      <c r="B425" s="86" t="s">
        <v>1651</v>
      </c>
      <c r="C425" s="87" t="s">
        <v>106</v>
      </c>
      <c r="D425" s="87" t="s">
        <v>106</v>
      </c>
      <c r="E425" s="88" t="s">
        <v>106</v>
      </c>
      <c r="F425" s="85" t="s">
        <v>1653</v>
      </c>
      <c r="G425" s="85" t="s">
        <v>1653</v>
      </c>
      <c r="H425" s="87" t="s">
        <v>90</v>
      </c>
      <c r="I425" s="87" t="s">
        <v>90</v>
      </c>
      <c r="J425" s="89" t="s">
        <v>1654</v>
      </c>
      <c r="K425" s="87" t="s">
        <v>75</v>
      </c>
      <c r="L425" s="87" t="s">
        <v>75</v>
      </c>
      <c r="M425" s="89" t="s">
        <v>1654</v>
      </c>
      <c r="N425" s="85" t="s">
        <v>1655</v>
      </c>
      <c r="O425" s="85" t="s">
        <v>1660</v>
      </c>
      <c r="P425" s="85" t="s">
        <v>1655</v>
      </c>
      <c r="Q425" s="85" t="s">
        <v>1655</v>
      </c>
      <c r="R425" s="85" t="s">
        <v>1655</v>
      </c>
      <c r="S425" s="89" t="s">
        <v>1654</v>
      </c>
      <c r="T425" s="87" t="s">
        <v>1661</v>
      </c>
    </row>
    <row r="426" spans="1:20">
      <c r="A426" s="85">
        <v>17</v>
      </c>
      <c r="B426" s="86" t="s">
        <v>1651</v>
      </c>
      <c r="C426" s="87" t="s">
        <v>107</v>
      </c>
      <c r="D426" s="87" t="s">
        <v>107</v>
      </c>
      <c r="E426" s="88" t="s">
        <v>107</v>
      </c>
      <c r="F426" s="85" t="s">
        <v>1653</v>
      </c>
      <c r="G426" s="85" t="s">
        <v>1653</v>
      </c>
      <c r="H426" s="87" t="s">
        <v>90</v>
      </c>
      <c r="I426" s="87" t="s">
        <v>90</v>
      </c>
      <c r="J426" s="89" t="s">
        <v>1654</v>
      </c>
      <c r="K426" s="87" t="s">
        <v>75</v>
      </c>
      <c r="L426" s="87" t="s">
        <v>75</v>
      </c>
      <c r="M426" s="89" t="s">
        <v>1654</v>
      </c>
      <c r="N426" s="85" t="s">
        <v>1655</v>
      </c>
      <c r="O426" s="85" t="s">
        <v>1660</v>
      </c>
      <c r="P426" s="85" t="s">
        <v>1655</v>
      </c>
      <c r="Q426" s="85" t="s">
        <v>1655</v>
      </c>
      <c r="R426" s="85" t="s">
        <v>1655</v>
      </c>
      <c r="S426" s="89" t="s">
        <v>1654</v>
      </c>
      <c r="T426" s="87" t="s">
        <v>1661</v>
      </c>
    </row>
    <row r="427" spans="1:20">
      <c r="A427" s="85">
        <v>18</v>
      </c>
      <c r="B427" s="86" t="s">
        <v>1651</v>
      </c>
      <c r="C427" s="87" t="s">
        <v>108</v>
      </c>
      <c r="D427" s="87" t="s">
        <v>108</v>
      </c>
      <c r="E427" s="88" t="s">
        <v>108</v>
      </c>
      <c r="F427" s="85" t="s">
        <v>1653</v>
      </c>
      <c r="G427" s="85" t="s">
        <v>1653</v>
      </c>
      <c r="H427" s="87" t="s">
        <v>90</v>
      </c>
      <c r="I427" s="87" t="s">
        <v>90</v>
      </c>
      <c r="J427" s="89" t="s">
        <v>1654</v>
      </c>
      <c r="K427" s="87" t="s">
        <v>75</v>
      </c>
      <c r="L427" s="87" t="s">
        <v>75</v>
      </c>
      <c r="M427" s="89" t="s">
        <v>1654</v>
      </c>
      <c r="N427" s="85" t="s">
        <v>1655</v>
      </c>
      <c r="O427" s="85" t="s">
        <v>1660</v>
      </c>
      <c r="P427" s="85" t="s">
        <v>1655</v>
      </c>
      <c r="Q427" s="85" t="s">
        <v>1655</v>
      </c>
      <c r="R427" s="85" t="s">
        <v>1655</v>
      </c>
      <c r="S427" s="89" t="s">
        <v>1654</v>
      </c>
      <c r="T427" s="87" t="s">
        <v>1661</v>
      </c>
    </row>
    <row r="428" spans="1:20">
      <c r="A428" s="85">
        <v>19</v>
      </c>
      <c r="B428" s="86" t="s">
        <v>1651</v>
      </c>
      <c r="C428" s="87" t="s">
        <v>109</v>
      </c>
      <c r="D428" s="87" t="s">
        <v>109</v>
      </c>
      <c r="E428" s="88" t="s">
        <v>109</v>
      </c>
      <c r="F428" s="85" t="s">
        <v>1652</v>
      </c>
      <c r="G428" s="85" t="s">
        <v>1653</v>
      </c>
      <c r="H428" s="87" t="s">
        <v>90</v>
      </c>
      <c r="I428" s="87" t="s">
        <v>90</v>
      </c>
      <c r="J428" s="89" t="s">
        <v>1654</v>
      </c>
      <c r="K428" s="87" t="s">
        <v>75</v>
      </c>
      <c r="L428" s="87" t="s">
        <v>75</v>
      </c>
      <c r="M428" s="89" t="s">
        <v>1654</v>
      </c>
      <c r="N428" s="85" t="s">
        <v>1655</v>
      </c>
      <c r="O428" s="85" t="s">
        <v>1660</v>
      </c>
      <c r="P428" s="85" t="s">
        <v>1655</v>
      </c>
      <c r="Q428" s="85" t="s">
        <v>1655</v>
      </c>
      <c r="R428" s="85" t="s">
        <v>1655</v>
      </c>
      <c r="S428" s="89" t="s">
        <v>1654</v>
      </c>
      <c r="T428" s="87" t="s">
        <v>1661</v>
      </c>
    </row>
    <row r="429" spans="1:20">
      <c r="A429" s="85">
        <v>20</v>
      </c>
      <c r="B429" s="86" t="s">
        <v>1651</v>
      </c>
      <c r="C429" s="87" t="s">
        <v>110</v>
      </c>
      <c r="D429" s="87" t="s">
        <v>110</v>
      </c>
      <c r="E429" s="88" t="s">
        <v>110</v>
      </c>
      <c r="F429" s="85" t="s">
        <v>1653</v>
      </c>
      <c r="G429" s="85" t="s">
        <v>1653</v>
      </c>
      <c r="H429" s="87" t="s">
        <v>90</v>
      </c>
      <c r="I429" s="87" t="s">
        <v>90</v>
      </c>
      <c r="J429" s="89" t="s">
        <v>1654</v>
      </c>
      <c r="K429" s="87" t="s">
        <v>75</v>
      </c>
      <c r="L429" s="87" t="s">
        <v>75</v>
      </c>
      <c r="M429" s="89" t="s">
        <v>1654</v>
      </c>
      <c r="N429" s="85" t="s">
        <v>1655</v>
      </c>
      <c r="O429" s="85" t="s">
        <v>1660</v>
      </c>
      <c r="P429" s="85" t="s">
        <v>1655</v>
      </c>
      <c r="Q429" s="85" t="s">
        <v>1655</v>
      </c>
      <c r="R429" s="85" t="s">
        <v>1655</v>
      </c>
      <c r="S429" s="89" t="s">
        <v>1654</v>
      </c>
      <c r="T429" s="87" t="s">
        <v>1661</v>
      </c>
    </row>
    <row r="430" spans="1:20">
      <c r="A430" s="85">
        <v>21</v>
      </c>
      <c r="B430" s="86" t="s">
        <v>1651</v>
      </c>
      <c r="C430" s="87" t="s">
        <v>111</v>
      </c>
      <c r="D430" s="87" t="s">
        <v>111</v>
      </c>
      <c r="E430" s="88" t="s">
        <v>111</v>
      </c>
      <c r="F430" s="85" t="s">
        <v>1652</v>
      </c>
      <c r="G430" s="85" t="s">
        <v>1653</v>
      </c>
      <c r="H430" s="87" t="s">
        <v>90</v>
      </c>
      <c r="I430" s="87" t="s">
        <v>90</v>
      </c>
      <c r="J430" s="89" t="s">
        <v>1654</v>
      </c>
      <c r="K430" s="87" t="s">
        <v>78</v>
      </c>
      <c r="L430" s="87" t="s">
        <v>78</v>
      </c>
      <c r="M430" s="89" t="s">
        <v>1654</v>
      </c>
      <c r="N430" s="85" t="s">
        <v>1655</v>
      </c>
      <c r="O430" s="85" t="s">
        <v>1660</v>
      </c>
      <c r="P430" s="85" t="s">
        <v>1655</v>
      </c>
      <c r="Q430" s="85" t="s">
        <v>1655</v>
      </c>
      <c r="R430" s="85" t="s">
        <v>1655</v>
      </c>
      <c r="S430" s="89" t="s">
        <v>1654</v>
      </c>
      <c r="T430" s="87" t="s">
        <v>1661</v>
      </c>
    </row>
    <row r="431" spans="1:20">
      <c r="A431" s="85">
        <v>22</v>
      </c>
      <c r="B431" s="86" t="s">
        <v>1651</v>
      </c>
      <c r="C431" s="87" t="s">
        <v>112</v>
      </c>
      <c r="D431" s="87" t="s">
        <v>112</v>
      </c>
      <c r="E431" s="88" t="s">
        <v>112</v>
      </c>
      <c r="F431" s="85" t="s">
        <v>1652</v>
      </c>
      <c r="G431" s="85" t="s">
        <v>1653</v>
      </c>
      <c r="H431" s="87" t="s">
        <v>90</v>
      </c>
      <c r="I431" s="87" t="s">
        <v>90</v>
      </c>
      <c r="J431" s="89" t="s">
        <v>1654</v>
      </c>
      <c r="K431" s="87" t="s">
        <v>78</v>
      </c>
      <c r="L431" s="87" t="s">
        <v>78</v>
      </c>
      <c r="M431" s="89" t="s">
        <v>1654</v>
      </c>
      <c r="N431" s="85" t="s">
        <v>1655</v>
      </c>
      <c r="O431" s="85" t="s">
        <v>1660</v>
      </c>
      <c r="P431" s="85" t="s">
        <v>1655</v>
      </c>
      <c r="Q431" s="85" t="s">
        <v>1655</v>
      </c>
      <c r="R431" s="85" t="s">
        <v>1655</v>
      </c>
      <c r="S431" s="89" t="s">
        <v>1654</v>
      </c>
      <c r="T431" s="87" t="s">
        <v>1661</v>
      </c>
    </row>
    <row r="432" spans="1:20">
      <c r="A432" s="85">
        <v>1</v>
      </c>
      <c r="B432" s="86" t="s">
        <v>1651</v>
      </c>
      <c r="C432" s="87" t="s">
        <v>12</v>
      </c>
      <c r="D432" s="87" t="s">
        <v>12</v>
      </c>
      <c r="E432" s="88" t="s">
        <v>12</v>
      </c>
      <c r="F432" s="85" t="s">
        <v>1653</v>
      </c>
      <c r="G432" s="85" t="s">
        <v>1653</v>
      </c>
      <c r="H432" s="87" t="s">
        <v>13</v>
      </c>
      <c r="I432" s="87" t="s">
        <v>13</v>
      </c>
      <c r="J432" s="89" t="s">
        <v>1654</v>
      </c>
      <c r="K432" s="87" t="s">
        <v>17</v>
      </c>
      <c r="L432" s="87" t="s">
        <v>17</v>
      </c>
      <c r="M432" s="89" t="s">
        <v>1654</v>
      </c>
      <c r="N432" s="85" t="s">
        <v>1655</v>
      </c>
      <c r="O432" s="85" t="s">
        <v>1660</v>
      </c>
      <c r="P432" s="85" t="s">
        <v>1655</v>
      </c>
      <c r="Q432" s="85" t="s">
        <v>1655</v>
      </c>
      <c r="R432" s="85" t="s">
        <v>1655</v>
      </c>
      <c r="S432" s="89" t="s">
        <v>1654</v>
      </c>
      <c r="T432" s="87" t="s">
        <v>1661</v>
      </c>
    </row>
    <row r="433" spans="1:20">
      <c r="A433" s="85">
        <v>2</v>
      </c>
      <c r="B433" s="86" t="s">
        <v>1651</v>
      </c>
      <c r="C433" s="87" t="s">
        <v>19</v>
      </c>
      <c r="D433" s="87" t="s">
        <v>19</v>
      </c>
      <c r="E433" s="88" t="s">
        <v>19</v>
      </c>
      <c r="F433" s="85" t="s">
        <v>1653</v>
      </c>
      <c r="G433" s="85" t="s">
        <v>1653</v>
      </c>
      <c r="H433" s="87" t="s">
        <v>13</v>
      </c>
      <c r="I433" s="87" t="s">
        <v>13</v>
      </c>
      <c r="J433" s="89" t="s">
        <v>1654</v>
      </c>
      <c r="K433" s="87" t="s">
        <v>17</v>
      </c>
      <c r="L433" s="87" t="s">
        <v>17</v>
      </c>
      <c r="M433" s="89" t="s">
        <v>1654</v>
      </c>
      <c r="N433" s="85" t="s">
        <v>1655</v>
      </c>
      <c r="O433" s="85" t="s">
        <v>1660</v>
      </c>
      <c r="P433" s="85" t="s">
        <v>1655</v>
      </c>
      <c r="Q433" s="85" t="s">
        <v>1655</v>
      </c>
      <c r="R433" s="85" t="s">
        <v>1655</v>
      </c>
      <c r="S433" s="89" t="s">
        <v>1654</v>
      </c>
      <c r="T433" s="87" t="s">
        <v>1661</v>
      </c>
    </row>
    <row r="434" spans="1:20">
      <c r="A434" s="85">
        <v>3</v>
      </c>
      <c r="B434" s="86" t="s">
        <v>1651</v>
      </c>
      <c r="C434" s="87" t="s">
        <v>20</v>
      </c>
      <c r="D434" s="87" t="s">
        <v>20</v>
      </c>
      <c r="E434" s="88" t="s">
        <v>20</v>
      </c>
      <c r="F434" s="85" t="s">
        <v>1653</v>
      </c>
      <c r="G434" s="85" t="s">
        <v>1653</v>
      </c>
      <c r="H434" s="87" t="s">
        <v>13</v>
      </c>
      <c r="I434" s="87" t="s">
        <v>13</v>
      </c>
      <c r="J434" s="89" t="s">
        <v>1654</v>
      </c>
      <c r="K434" s="87" t="s">
        <v>22</v>
      </c>
      <c r="L434" s="87" t="s">
        <v>22</v>
      </c>
      <c r="M434" s="89" t="s">
        <v>1654</v>
      </c>
      <c r="N434" s="85" t="s">
        <v>1655</v>
      </c>
      <c r="O434" s="85" t="s">
        <v>1660</v>
      </c>
      <c r="P434" s="85" t="s">
        <v>1655</v>
      </c>
      <c r="Q434" s="85" t="s">
        <v>1655</v>
      </c>
      <c r="R434" s="85" t="s">
        <v>1655</v>
      </c>
      <c r="S434" s="89" t="s">
        <v>1654</v>
      </c>
      <c r="T434" s="87" t="s">
        <v>1661</v>
      </c>
    </row>
    <row r="435" spans="1:20">
      <c r="A435" s="85">
        <v>4</v>
      </c>
      <c r="B435" s="86" t="s">
        <v>1651</v>
      </c>
      <c r="C435" s="87" t="s">
        <v>23</v>
      </c>
      <c r="D435" s="87" t="s">
        <v>23</v>
      </c>
      <c r="E435" s="88" t="s">
        <v>23</v>
      </c>
      <c r="F435" s="85" t="s">
        <v>1653</v>
      </c>
      <c r="G435" s="85" t="s">
        <v>1653</v>
      </c>
      <c r="H435" s="87" t="s">
        <v>13</v>
      </c>
      <c r="I435" s="87" t="s">
        <v>13</v>
      </c>
      <c r="J435" s="89" t="s">
        <v>1654</v>
      </c>
      <c r="K435" s="87" t="s">
        <v>17</v>
      </c>
      <c r="L435" s="87" t="s">
        <v>17</v>
      </c>
      <c r="M435" s="89" t="s">
        <v>1654</v>
      </c>
      <c r="N435" s="85" t="s">
        <v>1655</v>
      </c>
      <c r="O435" s="85" t="s">
        <v>1655</v>
      </c>
      <c r="P435" s="85" t="s">
        <v>1655</v>
      </c>
      <c r="Q435" s="85" t="s">
        <v>1660</v>
      </c>
      <c r="R435" s="85" t="s">
        <v>1655</v>
      </c>
      <c r="S435" s="89" t="s">
        <v>1654</v>
      </c>
      <c r="T435" s="87" t="s">
        <v>1661</v>
      </c>
    </row>
    <row r="436" spans="1:20">
      <c r="A436" s="85">
        <v>5</v>
      </c>
      <c r="B436" s="86" t="s">
        <v>1651</v>
      </c>
      <c r="C436" s="87" t="s">
        <v>25</v>
      </c>
      <c r="D436" s="87" t="s">
        <v>25</v>
      </c>
      <c r="E436" s="88" t="s">
        <v>25</v>
      </c>
      <c r="F436" s="85" t="s">
        <v>1653</v>
      </c>
      <c r="G436" s="85" t="s">
        <v>1653</v>
      </c>
      <c r="H436" s="87" t="s">
        <v>13</v>
      </c>
      <c r="I436" s="87" t="s">
        <v>13</v>
      </c>
      <c r="J436" s="89" t="s">
        <v>1654</v>
      </c>
      <c r="K436" s="87" t="s">
        <v>17</v>
      </c>
      <c r="L436" s="87" t="s">
        <v>17</v>
      </c>
      <c r="M436" s="89" t="s">
        <v>1654</v>
      </c>
      <c r="N436" s="85" t="s">
        <v>1655</v>
      </c>
      <c r="O436" s="85" t="s">
        <v>1655</v>
      </c>
      <c r="P436" s="85" t="s">
        <v>1655</v>
      </c>
      <c r="Q436" s="85" t="s">
        <v>1660</v>
      </c>
      <c r="R436" s="85" t="s">
        <v>1655</v>
      </c>
      <c r="S436" s="89" t="s">
        <v>1654</v>
      </c>
      <c r="T436" s="87" t="s">
        <v>1661</v>
      </c>
    </row>
    <row r="437" spans="1:20">
      <c r="A437" s="85">
        <v>6</v>
      </c>
      <c r="B437" s="86" t="s">
        <v>1651</v>
      </c>
      <c r="C437" s="87" t="s">
        <v>26</v>
      </c>
      <c r="D437" s="87" t="s">
        <v>26</v>
      </c>
      <c r="E437" s="88" t="s">
        <v>26</v>
      </c>
      <c r="F437" s="85" t="s">
        <v>1653</v>
      </c>
      <c r="G437" s="85" t="s">
        <v>1653</v>
      </c>
      <c r="H437" s="87" t="s">
        <v>13</v>
      </c>
      <c r="I437" s="87" t="s">
        <v>13</v>
      </c>
      <c r="J437" s="89" t="s">
        <v>1654</v>
      </c>
      <c r="K437" s="87" t="s">
        <v>17</v>
      </c>
      <c r="L437" s="87" t="s">
        <v>17</v>
      </c>
      <c r="M437" s="89" t="s">
        <v>1654</v>
      </c>
      <c r="N437" s="85" t="s">
        <v>1655</v>
      </c>
      <c r="O437" s="85" t="s">
        <v>1660</v>
      </c>
      <c r="P437" s="85" t="s">
        <v>1655</v>
      </c>
      <c r="Q437" s="85" t="s">
        <v>1655</v>
      </c>
      <c r="R437" s="85" t="s">
        <v>1655</v>
      </c>
      <c r="S437" s="89" t="s">
        <v>1654</v>
      </c>
      <c r="T437" s="87" t="s">
        <v>1661</v>
      </c>
    </row>
    <row r="438" spans="1:20">
      <c r="A438" s="85">
        <v>7</v>
      </c>
      <c r="B438" s="86" t="s">
        <v>1651</v>
      </c>
      <c r="C438" s="87" t="s">
        <v>27</v>
      </c>
      <c r="D438" s="87" t="s">
        <v>27</v>
      </c>
      <c r="E438" s="88" t="s">
        <v>27</v>
      </c>
      <c r="F438" s="85" t="s">
        <v>1653</v>
      </c>
      <c r="G438" s="85" t="s">
        <v>1653</v>
      </c>
      <c r="H438" s="87" t="s">
        <v>13</v>
      </c>
      <c r="I438" s="87" t="s">
        <v>13</v>
      </c>
      <c r="J438" s="89" t="s">
        <v>1654</v>
      </c>
      <c r="K438" s="87" t="s">
        <v>17</v>
      </c>
      <c r="L438" s="87" t="s">
        <v>17</v>
      </c>
      <c r="M438" s="89" t="s">
        <v>1654</v>
      </c>
      <c r="N438" s="85" t="s">
        <v>1655</v>
      </c>
      <c r="O438" s="85" t="s">
        <v>1655</v>
      </c>
      <c r="P438" s="85" t="s">
        <v>1655</v>
      </c>
      <c r="Q438" s="85" t="s">
        <v>1660</v>
      </c>
      <c r="R438" s="85" t="s">
        <v>1655</v>
      </c>
      <c r="S438" s="89" t="s">
        <v>1654</v>
      </c>
      <c r="T438" s="87" t="s">
        <v>1661</v>
      </c>
    </row>
    <row r="439" spans="1:20">
      <c r="A439" s="85">
        <v>8</v>
      </c>
      <c r="B439" s="86" t="s">
        <v>1651</v>
      </c>
      <c r="C439" s="87" t="s">
        <v>29</v>
      </c>
      <c r="D439" s="87" t="s">
        <v>29</v>
      </c>
      <c r="E439" s="88" t="s">
        <v>29</v>
      </c>
      <c r="F439" s="85" t="s">
        <v>1653</v>
      </c>
      <c r="G439" s="85" t="s">
        <v>1653</v>
      </c>
      <c r="H439" s="87" t="s">
        <v>13</v>
      </c>
      <c r="I439" s="87" t="s">
        <v>13</v>
      </c>
      <c r="J439" s="89" t="s">
        <v>1654</v>
      </c>
      <c r="K439" s="87" t="s">
        <v>17</v>
      </c>
      <c r="L439" s="87" t="s">
        <v>17</v>
      </c>
      <c r="M439" s="89" t="s">
        <v>1654</v>
      </c>
      <c r="N439" s="85" t="s">
        <v>1655</v>
      </c>
      <c r="O439" s="85" t="s">
        <v>1655</v>
      </c>
      <c r="P439" s="85" t="s">
        <v>1655</v>
      </c>
      <c r="Q439" s="85" t="s">
        <v>1660</v>
      </c>
      <c r="R439" s="85" t="s">
        <v>1655</v>
      </c>
      <c r="S439" s="89" t="s">
        <v>1654</v>
      </c>
      <c r="T439" s="87" t="s">
        <v>1661</v>
      </c>
    </row>
    <row r="440" spans="1:20">
      <c r="A440" s="85">
        <v>9</v>
      </c>
      <c r="B440" s="86" t="s">
        <v>1651</v>
      </c>
      <c r="C440" s="87" t="s">
        <v>30</v>
      </c>
      <c r="D440" s="87" t="s">
        <v>30</v>
      </c>
      <c r="E440" s="88" t="s">
        <v>30</v>
      </c>
      <c r="F440" s="85" t="s">
        <v>1653</v>
      </c>
      <c r="G440" s="85" t="s">
        <v>1653</v>
      </c>
      <c r="H440" s="87" t="s">
        <v>13</v>
      </c>
      <c r="I440" s="87" t="s">
        <v>13</v>
      </c>
      <c r="J440" s="89" t="s">
        <v>1654</v>
      </c>
      <c r="K440" s="87" t="s">
        <v>17</v>
      </c>
      <c r="L440" s="87" t="s">
        <v>17</v>
      </c>
      <c r="M440" s="89" t="s">
        <v>1654</v>
      </c>
      <c r="N440" s="85" t="s">
        <v>1655</v>
      </c>
      <c r="O440" s="85" t="s">
        <v>1655</v>
      </c>
      <c r="P440" s="85" t="s">
        <v>1655</v>
      </c>
      <c r="Q440" s="85" t="s">
        <v>1660</v>
      </c>
      <c r="R440" s="85" t="s">
        <v>1655</v>
      </c>
      <c r="S440" s="89" t="s">
        <v>1654</v>
      </c>
      <c r="T440" s="87" t="s">
        <v>1661</v>
      </c>
    </row>
    <row r="441" spans="1:20">
      <c r="A441" s="85">
        <v>10</v>
      </c>
      <c r="B441" s="86" t="s">
        <v>1651</v>
      </c>
      <c r="C441" s="87" t="s">
        <v>32</v>
      </c>
      <c r="D441" s="87" t="s">
        <v>32</v>
      </c>
      <c r="E441" s="88" t="s">
        <v>32</v>
      </c>
      <c r="F441" s="85" t="s">
        <v>1653</v>
      </c>
      <c r="G441" s="85" t="s">
        <v>1653</v>
      </c>
      <c r="H441" s="87" t="s">
        <v>13</v>
      </c>
      <c r="I441" s="87" t="s">
        <v>13</v>
      </c>
      <c r="J441" s="89" t="s">
        <v>1654</v>
      </c>
      <c r="K441" s="87" t="s">
        <v>17</v>
      </c>
      <c r="L441" s="87" t="s">
        <v>17</v>
      </c>
      <c r="M441" s="89" t="s">
        <v>1654</v>
      </c>
      <c r="N441" s="85" t="s">
        <v>1655</v>
      </c>
      <c r="O441" s="85" t="s">
        <v>1655</v>
      </c>
      <c r="P441" s="85" t="s">
        <v>1655</v>
      </c>
      <c r="Q441" s="85" t="s">
        <v>1660</v>
      </c>
      <c r="R441" s="85" t="s">
        <v>1655</v>
      </c>
      <c r="S441" s="89" t="s">
        <v>1654</v>
      </c>
      <c r="T441" s="87" t="s">
        <v>1661</v>
      </c>
    </row>
    <row r="442" spans="1:20">
      <c r="A442" s="85">
        <v>11</v>
      </c>
      <c r="B442" s="86" t="s">
        <v>1651</v>
      </c>
      <c r="C442" s="87" t="s">
        <v>33</v>
      </c>
      <c r="D442" s="87" t="s">
        <v>33</v>
      </c>
      <c r="E442" s="88" t="s">
        <v>33</v>
      </c>
      <c r="F442" s="85" t="s">
        <v>1653</v>
      </c>
      <c r="G442" s="85" t="s">
        <v>1653</v>
      </c>
      <c r="H442" s="87" t="s">
        <v>13</v>
      </c>
      <c r="I442" s="87" t="s">
        <v>13</v>
      </c>
      <c r="J442" s="89" t="s">
        <v>1654</v>
      </c>
      <c r="K442" s="87" t="s">
        <v>17</v>
      </c>
      <c r="L442" s="87" t="s">
        <v>17</v>
      </c>
      <c r="M442" s="89" t="s">
        <v>1654</v>
      </c>
      <c r="N442" s="85" t="s">
        <v>1655</v>
      </c>
      <c r="O442" s="85" t="s">
        <v>1655</v>
      </c>
      <c r="P442" s="85" t="s">
        <v>1655</v>
      </c>
      <c r="Q442" s="85" t="s">
        <v>1660</v>
      </c>
      <c r="R442" s="85" t="s">
        <v>1655</v>
      </c>
      <c r="S442" s="89" t="s">
        <v>1654</v>
      </c>
      <c r="T442" s="87" t="s">
        <v>1661</v>
      </c>
    </row>
    <row r="443" spans="1:20">
      <c r="A443" s="85">
        <v>12</v>
      </c>
      <c r="B443" s="86" t="s">
        <v>1651</v>
      </c>
      <c r="C443" s="87" t="s">
        <v>34</v>
      </c>
      <c r="D443" s="87" t="s">
        <v>34</v>
      </c>
      <c r="E443" s="88" t="s">
        <v>34</v>
      </c>
      <c r="F443" s="85" t="s">
        <v>1653</v>
      </c>
      <c r="G443" s="85" t="s">
        <v>1653</v>
      </c>
      <c r="H443" s="87" t="s">
        <v>13</v>
      </c>
      <c r="I443" s="87" t="s">
        <v>13</v>
      </c>
      <c r="J443" s="89" t="s">
        <v>1654</v>
      </c>
      <c r="K443" s="87" t="s">
        <v>17</v>
      </c>
      <c r="L443" s="87" t="s">
        <v>17</v>
      </c>
      <c r="M443" s="89" t="s">
        <v>1654</v>
      </c>
      <c r="N443" s="85" t="s">
        <v>1655</v>
      </c>
      <c r="O443" s="85" t="s">
        <v>1660</v>
      </c>
      <c r="P443" s="85" t="s">
        <v>1655</v>
      </c>
      <c r="Q443" s="85" t="s">
        <v>1655</v>
      </c>
      <c r="R443" s="85" t="s">
        <v>1655</v>
      </c>
      <c r="S443" s="89" t="s">
        <v>1654</v>
      </c>
      <c r="T443" s="87" t="s">
        <v>1661</v>
      </c>
    </row>
    <row r="444" spans="1:20">
      <c r="A444" s="85">
        <v>13</v>
      </c>
      <c r="B444" s="86" t="s">
        <v>1651</v>
      </c>
      <c r="C444" s="87" t="s">
        <v>35</v>
      </c>
      <c r="D444" s="87" t="s">
        <v>35</v>
      </c>
      <c r="E444" s="88" t="s">
        <v>35</v>
      </c>
      <c r="F444" s="85" t="s">
        <v>1653</v>
      </c>
      <c r="G444" s="85" t="s">
        <v>1653</v>
      </c>
      <c r="H444" s="87" t="s">
        <v>13</v>
      </c>
      <c r="I444" s="87" t="s">
        <v>13</v>
      </c>
      <c r="J444" s="89" t="s">
        <v>1654</v>
      </c>
      <c r="K444" s="87" t="s">
        <v>17</v>
      </c>
      <c r="L444" s="87" t="s">
        <v>17</v>
      </c>
      <c r="M444" s="89" t="s">
        <v>1654</v>
      </c>
      <c r="N444" s="85" t="s">
        <v>1655</v>
      </c>
      <c r="O444" s="85" t="s">
        <v>1660</v>
      </c>
      <c r="P444" s="85" t="s">
        <v>1655</v>
      </c>
      <c r="Q444" s="85" t="s">
        <v>1655</v>
      </c>
      <c r="R444" s="85" t="s">
        <v>1655</v>
      </c>
      <c r="S444" s="89" t="s">
        <v>1654</v>
      </c>
      <c r="T444" s="87" t="s">
        <v>1661</v>
      </c>
    </row>
    <row r="445" spans="1:20">
      <c r="A445" s="85">
        <v>14</v>
      </c>
      <c r="B445" s="86" t="s">
        <v>1651</v>
      </c>
      <c r="C445" s="87" t="s">
        <v>18</v>
      </c>
      <c r="D445" s="87" t="s">
        <v>36</v>
      </c>
      <c r="E445" s="88" t="s">
        <v>36</v>
      </c>
      <c r="F445" s="85" t="s">
        <v>1653</v>
      </c>
      <c r="G445" s="85" t="s">
        <v>1653</v>
      </c>
      <c r="H445" s="87" t="s">
        <v>13</v>
      </c>
      <c r="I445" s="87" t="s">
        <v>13</v>
      </c>
      <c r="J445" s="89" t="s">
        <v>1654</v>
      </c>
      <c r="K445" s="87" t="s">
        <v>17</v>
      </c>
      <c r="L445" s="87" t="s">
        <v>17</v>
      </c>
      <c r="M445" s="89" t="s">
        <v>1654</v>
      </c>
      <c r="N445" s="85" t="s">
        <v>1655</v>
      </c>
      <c r="O445" s="85" t="s">
        <v>1660</v>
      </c>
      <c r="P445" s="85" t="s">
        <v>1655</v>
      </c>
      <c r="Q445" s="85" t="s">
        <v>1655</v>
      </c>
      <c r="R445" s="85" t="s">
        <v>1655</v>
      </c>
      <c r="S445" s="89" t="s">
        <v>1654</v>
      </c>
      <c r="T445" s="87" t="s">
        <v>1661</v>
      </c>
    </row>
    <row r="446" spans="1:20">
      <c r="A446" s="85">
        <v>15</v>
      </c>
      <c r="B446" s="86" t="s">
        <v>1651</v>
      </c>
      <c r="C446" s="87" t="s">
        <v>18</v>
      </c>
      <c r="D446" s="87" t="s">
        <v>37</v>
      </c>
      <c r="E446" s="88" t="s">
        <v>37</v>
      </c>
      <c r="F446" s="85" t="s">
        <v>1653</v>
      </c>
      <c r="G446" s="85" t="s">
        <v>1653</v>
      </c>
      <c r="H446" s="87" t="s">
        <v>13</v>
      </c>
      <c r="I446" s="87" t="s">
        <v>13</v>
      </c>
      <c r="J446" s="89" t="s">
        <v>1654</v>
      </c>
      <c r="K446" s="87" t="s">
        <v>17</v>
      </c>
      <c r="L446" s="87" t="s">
        <v>17</v>
      </c>
      <c r="M446" s="89" t="s">
        <v>1654</v>
      </c>
      <c r="N446" s="85" t="s">
        <v>1655</v>
      </c>
      <c r="O446" s="85" t="s">
        <v>1660</v>
      </c>
      <c r="P446" s="85" t="s">
        <v>1655</v>
      </c>
      <c r="Q446" s="85" t="s">
        <v>1655</v>
      </c>
      <c r="R446" s="85" t="s">
        <v>1655</v>
      </c>
      <c r="S446" s="89" t="s">
        <v>1654</v>
      </c>
      <c r="T446" s="87" t="s">
        <v>1661</v>
      </c>
    </row>
    <row r="447" spans="1:20">
      <c r="A447" s="85">
        <v>16</v>
      </c>
      <c r="B447" s="86" t="s">
        <v>1651</v>
      </c>
      <c r="C447" s="87" t="s">
        <v>38</v>
      </c>
      <c r="D447" s="87" t="s">
        <v>38</v>
      </c>
      <c r="E447" s="88" t="s">
        <v>38</v>
      </c>
      <c r="F447" s="85" t="s">
        <v>1653</v>
      </c>
      <c r="G447" s="85" t="s">
        <v>1653</v>
      </c>
      <c r="H447" s="87" t="s">
        <v>13</v>
      </c>
      <c r="I447" s="87" t="s">
        <v>13</v>
      </c>
      <c r="J447" s="89" t="s">
        <v>1654</v>
      </c>
      <c r="K447" s="87" t="s">
        <v>22</v>
      </c>
      <c r="L447" s="87" t="s">
        <v>22</v>
      </c>
      <c r="M447" s="89" t="s">
        <v>1654</v>
      </c>
      <c r="N447" s="85" t="s">
        <v>1655</v>
      </c>
      <c r="O447" s="85" t="s">
        <v>1660</v>
      </c>
      <c r="P447" s="85" t="s">
        <v>1655</v>
      </c>
      <c r="Q447" s="85" t="s">
        <v>1655</v>
      </c>
      <c r="R447" s="85" t="s">
        <v>1655</v>
      </c>
      <c r="S447" s="89" t="s">
        <v>1654</v>
      </c>
      <c r="T447" s="87" t="s">
        <v>1661</v>
      </c>
    </row>
    <row r="448" spans="1:20">
      <c r="A448" s="85">
        <v>17</v>
      </c>
      <c r="B448" s="86" t="s">
        <v>1651</v>
      </c>
      <c r="C448" s="87" t="s">
        <v>39</v>
      </c>
      <c r="D448" s="87" t="s">
        <v>39</v>
      </c>
      <c r="E448" s="88" t="s">
        <v>39</v>
      </c>
      <c r="F448" s="85" t="s">
        <v>1653</v>
      </c>
      <c r="G448" s="85" t="s">
        <v>1653</v>
      </c>
      <c r="H448" s="87" t="s">
        <v>13</v>
      </c>
      <c r="I448" s="87" t="s">
        <v>13</v>
      </c>
      <c r="J448" s="89" t="s">
        <v>1654</v>
      </c>
      <c r="K448" s="87" t="s">
        <v>22</v>
      </c>
      <c r="L448" s="87" t="s">
        <v>22</v>
      </c>
      <c r="M448" s="89" t="s">
        <v>1654</v>
      </c>
      <c r="N448" s="85" t="s">
        <v>1655</v>
      </c>
      <c r="O448" s="85" t="s">
        <v>1660</v>
      </c>
      <c r="P448" s="85" t="s">
        <v>1655</v>
      </c>
      <c r="Q448" s="85" t="s">
        <v>1655</v>
      </c>
      <c r="R448" s="85" t="s">
        <v>1655</v>
      </c>
      <c r="S448" s="89" t="s">
        <v>1654</v>
      </c>
      <c r="T448" s="87" t="s">
        <v>1661</v>
      </c>
    </row>
    <row r="449" spans="1:20">
      <c r="A449" s="85">
        <v>18</v>
      </c>
      <c r="B449" s="86" t="s">
        <v>1651</v>
      </c>
      <c r="C449" s="87" t="s">
        <v>18</v>
      </c>
      <c r="D449" s="87" t="s">
        <v>40</v>
      </c>
      <c r="E449" s="88" t="s">
        <v>40</v>
      </c>
      <c r="F449" s="85" t="s">
        <v>1652</v>
      </c>
      <c r="G449" s="85" t="s">
        <v>1653</v>
      </c>
      <c r="H449" s="87" t="s">
        <v>13</v>
      </c>
      <c r="I449" s="87" t="s">
        <v>13</v>
      </c>
      <c r="J449" s="89" t="s">
        <v>1654</v>
      </c>
      <c r="K449" s="87" t="s">
        <v>18</v>
      </c>
      <c r="L449" s="87" t="s">
        <v>18</v>
      </c>
      <c r="M449" s="89" t="s">
        <v>1671</v>
      </c>
      <c r="N449" s="85" t="s">
        <v>1655</v>
      </c>
      <c r="O449" s="85" t="s">
        <v>1660</v>
      </c>
      <c r="P449" s="85" t="s">
        <v>1655</v>
      </c>
      <c r="Q449" s="85" t="s">
        <v>1655</v>
      </c>
      <c r="R449" s="85" t="s">
        <v>1655</v>
      </c>
      <c r="S449" s="89" t="s">
        <v>1654</v>
      </c>
      <c r="T449" s="87" t="s">
        <v>1661</v>
      </c>
    </row>
    <row r="450" spans="1:20">
      <c r="A450" s="85">
        <v>19</v>
      </c>
      <c r="B450" s="86" t="s">
        <v>1651</v>
      </c>
      <c r="C450" s="87" t="s">
        <v>18</v>
      </c>
      <c r="D450" s="87" t="s">
        <v>41</v>
      </c>
      <c r="E450" s="88" t="s">
        <v>41</v>
      </c>
      <c r="F450" s="85" t="s">
        <v>1652</v>
      </c>
      <c r="G450" s="85" t="s">
        <v>1653</v>
      </c>
      <c r="H450" s="87" t="s">
        <v>13</v>
      </c>
      <c r="I450" s="87" t="s">
        <v>13</v>
      </c>
      <c r="J450" s="89" t="s">
        <v>1654</v>
      </c>
      <c r="K450" s="87" t="s">
        <v>18</v>
      </c>
      <c r="L450" s="87" t="s">
        <v>18</v>
      </c>
      <c r="M450" s="89" t="s">
        <v>1671</v>
      </c>
      <c r="N450" s="85" t="s">
        <v>1655</v>
      </c>
      <c r="O450" s="85" t="s">
        <v>1660</v>
      </c>
      <c r="P450" s="85" t="s">
        <v>1655</v>
      </c>
      <c r="Q450" s="85" t="s">
        <v>1655</v>
      </c>
      <c r="R450" s="85" t="s">
        <v>1655</v>
      </c>
      <c r="S450" s="89" t="s">
        <v>1654</v>
      </c>
      <c r="T450" s="87" t="s">
        <v>1661</v>
      </c>
    </row>
    <row r="451" spans="1:20">
      <c r="A451" s="85">
        <v>20</v>
      </c>
      <c r="B451" s="86" t="s">
        <v>1651</v>
      </c>
      <c r="C451" s="87" t="s">
        <v>18</v>
      </c>
      <c r="D451" s="87" t="s">
        <v>42</v>
      </c>
      <c r="E451" s="88" t="s">
        <v>42</v>
      </c>
      <c r="F451" s="85" t="s">
        <v>1652</v>
      </c>
      <c r="G451" s="85" t="s">
        <v>1653</v>
      </c>
      <c r="H451" s="87" t="s">
        <v>13</v>
      </c>
      <c r="I451" s="87" t="s">
        <v>13</v>
      </c>
      <c r="J451" s="89" t="s">
        <v>1654</v>
      </c>
      <c r="K451" s="87" t="s">
        <v>18</v>
      </c>
      <c r="L451" s="87" t="s">
        <v>18</v>
      </c>
      <c r="M451" s="89" t="s">
        <v>1671</v>
      </c>
      <c r="N451" s="85" t="s">
        <v>1655</v>
      </c>
      <c r="O451" s="85" t="s">
        <v>1660</v>
      </c>
      <c r="P451" s="85" t="s">
        <v>1655</v>
      </c>
      <c r="Q451" s="85" t="s">
        <v>1655</v>
      </c>
      <c r="R451" s="85" t="s">
        <v>1655</v>
      </c>
      <c r="S451" s="89" t="s">
        <v>1654</v>
      </c>
      <c r="T451" s="87" t="s">
        <v>1661</v>
      </c>
    </row>
    <row r="452" spans="1:20">
      <c r="A452" s="85">
        <v>21</v>
      </c>
      <c r="B452" s="86" t="s">
        <v>1651</v>
      </c>
      <c r="C452" s="87" t="s">
        <v>18</v>
      </c>
      <c r="D452" s="87" t="s">
        <v>43</v>
      </c>
      <c r="E452" s="88" t="s">
        <v>43</v>
      </c>
      <c r="F452" s="85" t="s">
        <v>1652</v>
      </c>
      <c r="G452" s="85" t="s">
        <v>1653</v>
      </c>
      <c r="H452" s="87" t="s">
        <v>13</v>
      </c>
      <c r="I452" s="87" t="s">
        <v>13</v>
      </c>
      <c r="J452" s="89" t="s">
        <v>1654</v>
      </c>
      <c r="K452" s="87" t="s">
        <v>18</v>
      </c>
      <c r="L452" s="87" t="s">
        <v>18</v>
      </c>
      <c r="M452" s="89" t="s">
        <v>1671</v>
      </c>
      <c r="N452" s="85" t="s">
        <v>1655</v>
      </c>
      <c r="O452" s="85" t="s">
        <v>1660</v>
      </c>
      <c r="P452" s="85" t="s">
        <v>1655</v>
      </c>
      <c r="Q452" s="85" t="s">
        <v>1655</v>
      </c>
      <c r="R452" s="85" t="s">
        <v>1655</v>
      </c>
      <c r="S452" s="89" t="s">
        <v>1654</v>
      </c>
      <c r="T452" s="87" t="s">
        <v>1661</v>
      </c>
    </row>
    <row r="453" spans="1:20">
      <c r="A453" s="85">
        <v>22</v>
      </c>
      <c r="B453" s="86" t="s">
        <v>1651</v>
      </c>
      <c r="C453" s="87" t="s">
        <v>18</v>
      </c>
      <c r="D453" s="87" t="s">
        <v>44</v>
      </c>
      <c r="E453" s="88" t="s">
        <v>44</v>
      </c>
      <c r="F453" s="85" t="s">
        <v>1652</v>
      </c>
      <c r="G453" s="85" t="s">
        <v>1653</v>
      </c>
      <c r="H453" s="87" t="s">
        <v>13</v>
      </c>
      <c r="I453" s="87" t="s">
        <v>13</v>
      </c>
      <c r="J453" s="89" t="s">
        <v>1654</v>
      </c>
      <c r="K453" s="87" t="s">
        <v>18</v>
      </c>
      <c r="L453" s="87" t="s">
        <v>18</v>
      </c>
      <c r="M453" s="89" t="s">
        <v>1671</v>
      </c>
      <c r="N453" s="85" t="s">
        <v>1655</v>
      </c>
      <c r="O453" s="85" t="s">
        <v>1660</v>
      </c>
      <c r="P453" s="85" t="s">
        <v>1655</v>
      </c>
      <c r="Q453" s="85" t="s">
        <v>1655</v>
      </c>
      <c r="R453" s="85" t="s">
        <v>1655</v>
      </c>
      <c r="S453" s="89" t="s">
        <v>1654</v>
      </c>
      <c r="T453" s="87" t="s">
        <v>1661</v>
      </c>
    </row>
    <row r="454" spans="1:20">
      <c r="A454" s="85">
        <v>1</v>
      </c>
      <c r="B454" s="86" t="s">
        <v>1651</v>
      </c>
      <c r="C454" s="87" t="s">
        <v>45</v>
      </c>
      <c r="D454" s="87" t="s">
        <v>45</v>
      </c>
      <c r="E454" s="88" t="s">
        <v>45</v>
      </c>
      <c r="F454" s="85" t="s">
        <v>1653</v>
      </c>
      <c r="G454" s="85" t="s">
        <v>1653</v>
      </c>
      <c r="H454" s="87" t="s">
        <v>46</v>
      </c>
      <c r="I454" s="87" t="s">
        <v>46</v>
      </c>
      <c r="J454" s="89" t="s">
        <v>1654</v>
      </c>
      <c r="K454" s="87" t="s">
        <v>17</v>
      </c>
      <c r="L454" s="87" t="s">
        <v>17</v>
      </c>
      <c r="M454" s="89" t="s">
        <v>1654</v>
      </c>
      <c r="N454" s="85" t="s">
        <v>1655</v>
      </c>
      <c r="O454" s="85" t="s">
        <v>1655</v>
      </c>
      <c r="P454" s="85" t="s">
        <v>1655</v>
      </c>
      <c r="Q454" s="85" t="s">
        <v>1660</v>
      </c>
      <c r="R454" s="85" t="s">
        <v>1655</v>
      </c>
      <c r="S454" s="89" t="s">
        <v>1654</v>
      </c>
      <c r="T454" s="87" t="s">
        <v>1661</v>
      </c>
    </row>
    <row r="455" spans="1:20">
      <c r="A455" s="85">
        <v>2</v>
      </c>
      <c r="B455" s="86" t="s">
        <v>1651</v>
      </c>
      <c r="C455" s="87" t="s">
        <v>48</v>
      </c>
      <c r="D455" s="87" t="s">
        <v>48</v>
      </c>
      <c r="E455" s="88" t="s">
        <v>48</v>
      </c>
      <c r="F455" s="85" t="s">
        <v>1653</v>
      </c>
      <c r="G455" s="85" t="s">
        <v>1653</v>
      </c>
      <c r="H455" s="87" t="s">
        <v>46</v>
      </c>
      <c r="I455" s="87" t="s">
        <v>46</v>
      </c>
      <c r="J455" s="89" t="s">
        <v>1654</v>
      </c>
      <c r="K455" s="87" t="s">
        <v>17</v>
      </c>
      <c r="L455" s="87" t="s">
        <v>17</v>
      </c>
      <c r="M455" s="89" t="s">
        <v>1654</v>
      </c>
      <c r="N455" s="85" t="s">
        <v>1655</v>
      </c>
      <c r="O455" s="85" t="s">
        <v>1655</v>
      </c>
      <c r="P455" s="85" t="s">
        <v>1655</v>
      </c>
      <c r="Q455" s="85" t="s">
        <v>1660</v>
      </c>
      <c r="R455" s="85" t="s">
        <v>1655</v>
      </c>
      <c r="S455" s="89" t="s">
        <v>1654</v>
      </c>
      <c r="T455" s="87" t="s">
        <v>1661</v>
      </c>
    </row>
    <row r="456" spans="1:20">
      <c r="A456" s="85">
        <v>3</v>
      </c>
      <c r="B456" s="86" t="s">
        <v>1651</v>
      </c>
      <c r="C456" s="87" t="s">
        <v>743</v>
      </c>
      <c r="D456" s="87" t="s">
        <v>49</v>
      </c>
      <c r="E456" s="88" t="s">
        <v>49</v>
      </c>
      <c r="F456" s="85" t="s">
        <v>1653</v>
      </c>
      <c r="G456" s="85" t="s">
        <v>1653</v>
      </c>
      <c r="H456" s="87" t="s">
        <v>46</v>
      </c>
      <c r="I456" s="87" t="s">
        <v>46</v>
      </c>
      <c r="J456" s="89" t="s">
        <v>1654</v>
      </c>
      <c r="K456" s="87" t="s">
        <v>51</v>
      </c>
      <c r="L456" s="87" t="s">
        <v>51</v>
      </c>
      <c r="M456" s="89" t="s">
        <v>1654</v>
      </c>
      <c r="N456" s="85" t="s">
        <v>1655</v>
      </c>
      <c r="O456" s="85" t="s">
        <v>1655</v>
      </c>
      <c r="P456" s="85" t="s">
        <v>1655</v>
      </c>
      <c r="Q456" s="85" t="s">
        <v>1660</v>
      </c>
      <c r="R456" s="85" t="s">
        <v>1655</v>
      </c>
      <c r="S456" s="89" t="s">
        <v>1654</v>
      </c>
      <c r="T456" s="87" t="s">
        <v>1661</v>
      </c>
    </row>
    <row r="457" spans="1:20">
      <c r="A457" s="85">
        <v>4</v>
      </c>
      <c r="B457" s="86" t="s">
        <v>1651</v>
      </c>
      <c r="C457" s="87" t="s">
        <v>748</v>
      </c>
      <c r="D457" s="87" t="s">
        <v>52</v>
      </c>
      <c r="E457" s="88" t="s">
        <v>52</v>
      </c>
      <c r="F457" s="85" t="s">
        <v>1653</v>
      </c>
      <c r="G457" s="85" t="s">
        <v>1653</v>
      </c>
      <c r="H457" s="87" t="s">
        <v>46</v>
      </c>
      <c r="I457" s="87" t="s">
        <v>46</v>
      </c>
      <c r="J457" s="89" t="s">
        <v>1654</v>
      </c>
      <c r="K457" s="87" t="s">
        <v>51</v>
      </c>
      <c r="L457" s="87" t="s">
        <v>51</v>
      </c>
      <c r="M457" s="89" t="s">
        <v>1654</v>
      </c>
      <c r="N457" s="85" t="s">
        <v>1660</v>
      </c>
      <c r="O457" s="85" t="s">
        <v>1655</v>
      </c>
      <c r="P457" s="85" t="s">
        <v>1655</v>
      </c>
      <c r="Q457" s="85" t="s">
        <v>1655</v>
      </c>
      <c r="R457" s="85" t="s">
        <v>1655</v>
      </c>
      <c r="S457" s="89" t="s">
        <v>1654</v>
      </c>
      <c r="T457" s="87" t="s">
        <v>1661</v>
      </c>
    </row>
    <row r="458" spans="1:20">
      <c r="A458" s="85">
        <v>5</v>
      </c>
      <c r="B458" s="86" t="s">
        <v>1651</v>
      </c>
      <c r="C458" s="87" t="s">
        <v>53</v>
      </c>
      <c r="D458" s="87" t="s">
        <v>53</v>
      </c>
      <c r="E458" s="88" t="s">
        <v>53</v>
      </c>
      <c r="F458" s="85" t="s">
        <v>1653</v>
      </c>
      <c r="G458" s="85" t="s">
        <v>1653</v>
      </c>
      <c r="H458" s="87" t="s">
        <v>46</v>
      </c>
      <c r="I458" s="87" t="s">
        <v>46</v>
      </c>
      <c r="J458" s="89" t="s">
        <v>1654</v>
      </c>
      <c r="K458" s="87" t="s">
        <v>17</v>
      </c>
      <c r="L458" s="87" t="s">
        <v>17</v>
      </c>
      <c r="M458" s="89" t="s">
        <v>1654</v>
      </c>
      <c r="N458" s="85" t="s">
        <v>1655</v>
      </c>
      <c r="O458" s="85" t="s">
        <v>1660</v>
      </c>
      <c r="P458" s="85" t="s">
        <v>1655</v>
      </c>
      <c r="Q458" s="85" t="s">
        <v>1655</v>
      </c>
      <c r="R458" s="85" t="s">
        <v>1655</v>
      </c>
      <c r="S458" s="89" t="s">
        <v>1654</v>
      </c>
      <c r="T458" s="87" t="s">
        <v>1661</v>
      </c>
    </row>
    <row r="459" spans="1:20">
      <c r="A459" s="85">
        <v>6</v>
      </c>
      <c r="B459" s="86" t="s">
        <v>1651</v>
      </c>
      <c r="C459" s="87" t="s">
        <v>54</v>
      </c>
      <c r="D459" s="87" t="s">
        <v>54</v>
      </c>
      <c r="E459" s="88" t="s">
        <v>54</v>
      </c>
      <c r="F459" s="85" t="s">
        <v>1653</v>
      </c>
      <c r="G459" s="85" t="s">
        <v>1653</v>
      </c>
      <c r="H459" s="87" t="s">
        <v>46</v>
      </c>
      <c r="I459" s="87" t="s">
        <v>46</v>
      </c>
      <c r="J459" s="89" t="s">
        <v>1654</v>
      </c>
      <c r="K459" s="87" t="s">
        <v>17</v>
      </c>
      <c r="L459" s="87" t="s">
        <v>17</v>
      </c>
      <c r="M459" s="89" t="s">
        <v>1654</v>
      </c>
      <c r="N459" s="85" t="s">
        <v>1655</v>
      </c>
      <c r="O459" s="85" t="s">
        <v>1660</v>
      </c>
      <c r="P459" s="85" t="s">
        <v>1655</v>
      </c>
      <c r="Q459" s="85" t="s">
        <v>1655</v>
      </c>
      <c r="R459" s="85" t="s">
        <v>1655</v>
      </c>
      <c r="S459" s="89" t="s">
        <v>1654</v>
      </c>
      <c r="T459" s="87" t="s">
        <v>1661</v>
      </c>
    </row>
    <row r="460" spans="1:20">
      <c r="A460" s="85">
        <v>7</v>
      </c>
      <c r="B460" s="86" t="s">
        <v>1651</v>
      </c>
      <c r="C460" s="87" t="s">
        <v>55</v>
      </c>
      <c r="D460" s="87" t="s">
        <v>55</v>
      </c>
      <c r="E460" s="88" t="s">
        <v>55</v>
      </c>
      <c r="F460" s="85" t="s">
        <v>1653</v>
      </c>
      <c r="G460" s="85" t="s">
        <v>1653</v>
      </c>
      <c r="H460" s="87" t="s">
        <v>46</v>
      </c>
      <c r="I460" s="87" t="s">
        <v>46</v>
      </c>
      <c r="J460" s="89" t="s">
        <v>1654</v>
      </c>
      <c r="K460" s="87" t="s">
        <v>22</v>
      </c>
      <c r="L460" s="87" t="s">
        <v>22</v>
      </c>
      <c r="M460" s="89" t="s">
        <v>1654</v>
      </c>
      <c r="N460" s="85" t="s">
        <v>1655</v>
      </c>
      <c r="O460" s="85" t="s">
        <v>1660</v>
      </c>
      <c r="P460" s="85" t="s">
        <v>1655</v>
      </c>
      <c r="Q460" s="85" t="s">
        <v>1655</v>
      </c>
      <c r="R460" s="85" t="s">
        <v>1655</v>
      </c>
      <c r="S460" s="89" t="s">
        <v>1654</v>
      </c>
      <c r="T460" s="87" t="s">
        <v>1661</v>
      </c>
    </row>
    <row r="461" spans="1:20">
      <c r="A461" s="85">
        <v>8</v>
      </c>
      <c r="B461" s="86" t="s">
        <v>1651</v>
      </c>
      <c r="C461" s="87" t="s">
        <v>56</v>
      </c>
      <c r="D461" s="87" t="s">
        <v>56</v>
      </c>
      <c r="E461" s="88" t="s">
        <v>56</v>
      </c>
      <c r="F461" s="85" t="s">
        <v>1653</v>
      </c>
      <c r="G461" s="85" t="s">
        <v>1653</v>
      </c>
      <c r="H461" s="87" t="s">
        <v>46</v>
      </c>
      <c r="I461" s="87" t="s">
        <v>46</v>
      </c>
      <c r="J461" s="89" t="s">
        <v>1654</v>
      </c>
      <c r="K461" s="87" t="s">
        <v>22</v>
      </c>
      <c r="L461" s="87" t="s">
        <v>22</v>
      </c>
      <c r="M461" s="89" t="s">
        <v>1654</v>
      </c>
      <c r="N461" s="85" t="s">
        <v>1655</v>
      </c>
      <c r="O461" s="85" t="s">
        <v>1660</v>
      </c>
      <c r="P461" s="85" t="s">
        <v>1655</v>
      </c>
      <c r="Q461" s="85" t="s">
        <v>1655</v>
      </c>
      <c r="R461" s="85" t="s">
        <v>1655</v>
      </c>
      <c r="S461" s="89" t="s">
        <v>1654</v>
      </c>
      <c r="T461" s="87" t="s">
        <v>1661</v>
      </c>
    </row>
    <row r="462" spans="1:20">
      <c r="A462" s="85">
        <v>9</v>
      </c>
      <c r="B462" s="86" t="s">
        <v>1651</v>
      </c>
      <c r="C462" s="87" t="s">
        <v>57</v>
      </c>
      <c r="D462" s="87" t="s">
        <v>57</v>
      </c>
      <c r="E462" s="88" t="s">
        <v>57</v>
      </c>
      <c r="F462" s="85" t="s">
        <v>1653</v>
      </c>
      <c r="G462" s="85" t="s">
        <v>1653</v>
      </c>
      <c r="H462" s="87" t="s">
        <v>46</v>
      </c>
      <c r="I462" s="87" t="s">
        <v>46</v>
      </c>
      <c r="J462" s="89" t="s">
        <v>1654</v>
      </c>
      <c r="K462" s="87" t="s">
        <v>17</v>
      </c>
      <c r="L462" s="87" t="s">
        <v>17</v>
      </c>
      <c r="M462" s="89" t="s">
        <v>1654</v>
      </c>
      <c r="N462" s="85" t="s">
        <v>1655</v>
      </c>
      <c r="O462" s="85" t="s">
        <v>1655</v>
      </c>
      <c r="P462" s="85" t="s">
        <v>1655</v>
      </c>
      <c r="Q462" s="85" t="s">
        <v>1660</v>
      </c>
      <c r="R462" s="85" t="s">
        <v>1655</v>
      </c>
      <c r="S462" s="89" t="s">
        <v>1654</v>
      </c>
      <c r="T462" s="87" t="s">
        <v>1661</v>
      </c>
    </row>
    <row r="463" spans="1:20">
      <c r="A463" s="85">
        <v>10</v>
      </c>
      <c r="B463" s="86" t="s">
        <v>1651</v>
      </c>
      <c r="C463" s="87" t="s">
        <v>59</v>
      </c>
      <c r="D463" s="87" t="s">
        <v>59</v>
      </c>
      <c r="E463" s="88" t="s">
        <v>59</v>
      </c>
      <c r="F463" s="85" t="s">
        <v>1653</v>
      </c>
      <c r="G463" s="85" t="s">
        <v>1653</v>
      </c>
      <c r="H463" s="87" t="s">
        <v>46</v>
      </c>
      <c r="I463" s="87" t="s">
        <v>46</v>
      </c>
      <c r="J463" s="89" t="s">
        <v>1654</v>
      </c>
      <c r="K463" s="87" t="s">
        <v>17</v>
      </c>
      <c r="L463" s="87" t="s">
        <v>17</v>
      </c>
      <c r="M463" s="89" t="s">
        <v>1654</v>
      </c>
      <c r="N463" s="85" t="s">
        <v>1655</v>
      </c>
      <c r="O463" s="85" t="s">
        <v>1655</v>
      </c>
      <c r="P463" s="85" t="s">
        <v>1655</v>
      </c>
      <c r="Q463" s="85" t="s">
        <v>1660</v>
      </c>
      <c r="R463" s="85" t="s">
        <v>1655</v>
      </c>
      <c r="S463" s="89" t="s">
        <v>1654</v>
      </c>
      <c r="T463" s="87" t="s">
        <v>1661</v>
      </c>
    </row>
    <row r="464" spans="1:20">
      <c r="A464" s="85">
        <v>11</v>
      </c>
      <c r="B464" s="86" t="s">
        <v>1651</v>
      </c>
      <c r="C464" s="87" t="s">
        <v>60</v>
      </c>
      <c r="D464" s="87" t="s">
        <v>60</v>
      </c>
      <c r="E464" s="88" t="s">
        <v>60</v>
      </c>
      <c r="F464" s="85" t="s">
        <v>1653</v>
      </c>
      <c r="G464" s="85" t="s">
        <v>1653</v>
      </c>
      <c r="H464" s="87" t="s">
        <v>46</v>
      </c>
      <c r="I464" s="87" t="s">
        <v>46</v>
      </c>
      <c r="J464" s="89" t="s">
        <v>1654</v>
      </c>
      <c r="K464" s="87" t="s">
        <v>17</v>
      </c>
      <c r="L464" s="87" t="s">
        <v>17</v>
      </c>
      <c r="M464" s="89" t="s">
        <v>1654</v>
      </c>
      <c r="N464" s="85" t="s">
        <v>1655</v>
      </c>
      <c r="O464" s="85" t="s">
        <v>1655</v>
      </c>
      <c r="P464" s="85" t="s">
        <v>1655</v>
      </c>
      <c r="Q464" s="85" t="s">
        <v>1660</v>
      </c>
      <c r="R464" s="85" t="s">
        <v>1655</v>
      </c>
      <c r="S464" s="89" t="s">
        <v>1654</v>
      </c>
      <c r="T464" s="87" t="s">
        <v>1661</v>
      </c>
    </row>
    <row r="465" spans="1:20">
      <c r="A465" s="85">
        <v>12</v>
      </c>
      <c r="B465" s="86" t="s">
        <v>1651</v>
      </c>
      <c r="C465" s="87" t="s">
        <v>61</v>
      </c>
      <c r="D465" s="87" t="s">
        <v>61</v>
      </c>
      <c r="E465" s="88" t="s">
        <v>61</v>
      </c>
      <c r="F465" s="85" t="s">
        <v>1653</v>
      </c>
      <c r="G465" s="85" t="s">
        <v>1653</v>
      </c>
      <c r="H465" s="87" t="s">
        <v>46</v>
      </c>
      <c r="I465" s="87" t="s">
        <v>46</v>
      </c>
      <c r="J465" s="89" t="s">
        <v>1654</v>
      </c>
      <c r="K465" s="87" t="s">
        <v>17</v>
      </c>
      <c r="L465" s="87" t="s">
        <v>17</v>
      </c>
      <c r="M465" s="89" t="s">
        <v>1654</v>
      </c>
      <c r="N465" s="85" t="s">
        <v>1655</v>
      </c>
      <c r="O465" s="85" t="s">
        <v>1660</v>
      </c>
      <c r="P465" s="85" t="s">
        <v>1655</v>
      </c>
      <c r="Q465" s="85" t="s">
        <v>1655</v>
      </c>
      <c r="R465" s="85" t="s">
        <v>1655</v>
      </c>
      <c r="S465" s="89" t="s">
        <v>1654</v>
      </c>
      <c r="T465" s="87" t="s">
        <v>1661</v>
      </c>
    </row>
    <row r="466" spans="1:20">
      <c r="A466" s="85">
        <v>13</v>
      </c>
      <c r="B466" s="86" t="s">
        <v>1651</v>
      </c>
      <c r="C466" s="87" t="s">
        <v>62</v>
      </c>
      <c r="D466" s="87" t="s">
        <v>62</v>
      </c>
      <c r="E466" s="88" t="s">
        <v>62</v>
      </c>
      <c r="F466" s="85" t="s">
        <v>1653</v>
      </c>
      <c r="G466" s="85" t="s">
        <v>1653</v>
      </c>
      <c r="H466" s="87" t="s">
        <v>46</v>
      </c>
      <c r="I466" s="87" t="s">
        <v>46</v>
      </c>
      <c r="J466" s="89" t="s">
        <v>1654</v>
      </c>
      <c r="K466" s="87" t="s">
        <v>17</v>
      </c>
      <c r="L466" s="87" t="s">
        <v>17</v>
      </c>
      <c r="M466" s="89" t="s">
        <v>1654</v>
      </c>
      <c r="N466" s="85" t="s">
        <v>1655</v>
      </c>
      <c r="O466" s="85" t="s">
        <v>1660</v>
      </c>
      <c r="P466" s="85" t="s">
        <v>1655</v>
      </c>
      <c r="Q466" s="85" t="s">
        <v>1655</v>
      </c>
      <c r="R466" s="85" t="s">
        <v>1655</v>
      </c>
      <c r="S466" s="89" t="s">
        <v>1654</v>
      </c>
      <c r="T466" s="87" t="s">
        <v>1661</v>
      </c>
    </row>
    <row r="467" spans="1:20">
      <c r="A467" s="85">
        <v>14</v>
      </c>
      <c r="B467" s="86" t="s">
        <v>1651</v>
      </c>
      <c r="C467" s="87" t="s">
        <v>18</v>
      </c>
      <c r="D467" s="87" t="s">
        <v>63</v>
      </c>
      <c r="E467" s="88" t="s">
        <v>63</v>
      </c>
      <c r="F467" s="85" t="s">
        <v>1653</v>
      </c>
      <c r="G467" s="85" t="s">
        <v>1653</v>
      </c>
      <c r="H467" s="87" t="s">
        <v>46</v>
      </c>
      <c r="I467" s="87" t="s">
        <v>46</v>
      </c>
      <c r="J467" s="89" t="s">
        <v>1654</v>
      </c>
      <c r="K467" s="87" t="s">
        <v>22</v>
      </c>
      <c r="L467" s="87" t="s">
        <v>22</v>
      </c>
      <c r="M467" s="89" t="s">
        <v>1654</v>
      </c>
      <c r="N467" s="85" t="s">
        <v>1655</v>
      </c>
      <c r="O467" s="85" t="s">
        <v>1660</v>
      </c>
      <c r="P467" s="85" t="s">
        <v>1655</v>
      </c>
      <c r="Q467" s="85" t="s">
        <v>1655</v>
      </c>
      <c r="R467" s="85" t="s">
        <v>1655</v>
      </c>
      <c r="S467" s="89" t="s">
        <v>1654</v>
      </c>
      <c r="T467" s="87" t="s">
        <v>1661</v>
      </c>
    </row>
    <row r="468" spans="1:20">
      <c r="A468" s="85">
        <v>1</v>
      </c>
      <c r="B468" s="86" t="s">
        <v>1651</v>
      </c>
      <c r="C468" s="87" t="s">
        <v>600</v>
      </c>
      <c r="D468" s="87" t="s">
        <v>425</v>
      </c>
      <c r="E468" s="88" t="s">
        <v>425</v>
      </c>
      <c r="F468" s="85" t="s">
        <v>1653</v>
      </c>
      <c r="G468" s="85" t="s">
        <v>1653</v>
      </c>
      <c r="H468" s="87" t="s">
        <v>382</v>
      </c>
      <c r="I468" s="87" t="s">
        <v>382</v>
      </c>
      <c r="J468" s="89" t="s">
        <v>1654</v>
      </c>
      <c r="K468" s="87" t="s">
        <v>426</v>
      </c>
      <c r="L468" s="87" t="s">
        <v>426</v>
      </c>
      <c r="M468" s="89" t="s">
        <v>1654</v>
      </c>
      <c r="N468" s="85" t="s">
        <v>1655</v>
      </c>
      <c r="O468" s="85" t="s">
        <v>1660</v>
      </c>
      <c r="P468" s="85" t="s">
        <v>1655</v>
      </c>
      <c r="Q468" s="85" t="s">
        <v>1655</v>
      </c>
      <c r="R468" s="85" t="s">
        <v>1655</v>
      </c>
      <c r="S468" s="89" t="s">
        <v>1654</v>
      </c>
      <c r="T468" s="87" t="s">
        <v>1661</v>
      </c>
    </row>
    <row r="469" spans="1:20">
      <c r="A469" s="85">
        <v>2</v>
      </c>
      <c r="B469" s="86" t="s">
        <v>1651</v>
      </c>
      <c r="C469" s="87" t="s">
        <v>1263</v>
      </c>
      <c r="D469" s="87" t="s">
        <v>427</v>
      </c>
      <c r="E469" s="88" t="s">
        <v>427</v>
      </c>
      <c r="F469" s="85" t="s">
        <v>1653</v>
      </c>
      <c r="G469" s="85" t="s">
        <v>1653</v>
      </c>
      <c r="H469" s="87" t="s">
        <v>382</v>
      </c>
      <c r="I469" s="87" t="s">
        <v>382</v>
      </c>
      <c r="J469" s="89" t="s">
        <v>1654</v>
      </c>
      <c r="K469" s="87" t="s">
        <v>429</v>
      </c>
      <c r="L469" s="87" t="s">
        <v>429</v>
      </c>
      <c r="M469" s="89" t="s">
        <v>1654</v>
      </c>
      <c r="N469" s="85" t="s">
        <v>1655</v>
      </c>
      <c r="O469" s="85" t="s">
        <v>1655</v>
      </c>
      <c r="P469" s="85" t="s">
        <v>1655</v>
      </c>
      <c r="Q469" s="85" t="s">
        <v>1660</v>
      </c>
      <c r="R469" s="85" t="s">
        <v>1655</v>
      </c>
      <c r="S469" s="89" t="s">
        <v>1654</v>
      </c>
      <c r="T469" s="87" t="s">
        <v>1661</v>
      </c>
    </row>
    <row r="470" spans="1:20">
      <c r="A470" s="85">
        <v>3</v>
      </c>
      <c r="B470" s="86" t="s">
        <v>1651</v>
      </c>
      <c r="C470" s="87" t="s">
        <v>430</v>
      </c>
      <c r="D470" s="87" t="s">
        <v>430</v>
      </c>
      <c r="E470" s="88" t="s">
        <v>430</v>
      </c>
      <c r="F470" s="85" t="s">
        <v>1653</v>
      </c>
      <c r="G470" s="85" t="s">
        <v>1653</v>
      </c>
      <c r="H470" s="87" t="s">
        <v>382</v>
      </c>
      <c r="I470" s="87" t="s">
        <v>382</v>
      </c>
      <c r="J470" s="89" t="s">
        <v>1654</v>
      </c>
      <c r="K470" s="87" t="s">
        <v>432</v>
      </c>
      <c r="L470" s="87" t="s">
        <v>432</v>
      </c>
      <c r="M470" s="89" t="s">
        <v>1654</v>
      </c>
      <c r="N470" s="85" t="s">
        <v>1655</v>
      </c>
      <c r="O470" s="85" t="s">
        <v>1655</v>
      </c>
      <c r="P470" s="85" t="s">
        <v>1655</v>
      </c>
      <c r="Q470" s="85" t="s">
        <v>1660</v>
      </c>
      <c r="R470" s="85" t="s">
        <v>1655</v>
      </c>
      <c r="S470" s="89" t="s">
        <v>1654</v>
      </c>
      <c r="T470" s="87" t="s">
        <v>1661</v>
      </c>
    </row>
    <row r="471" spans="1:20">
      <c r="A471" s="85">
        <v>4</v>
      </c>
      <c r="B471" s="86" t="s">
        <v>1651</v>
      </c>
      <c r="C471" s="87" t="s">
        <v>433</v>
      </c>
      <c r="D471" s="87" t="s">
        <v>433</v>
      </c>
      <c r="E471" s="88" t="s">
        <v>433</v>
      </c>
      <c r="F471" s="85" t="s">
        <v>1653</v>
      </c>
      <c r="G471" s="85" t="s">
        <v>1653</v>
      </c>
      <c r="H471" s="87" t="s">
        <v>382</v>
      </c>
      <c r="I471" s="87" t="s">
        <v>382</v>
      </c>
      <c r="J471" s="89" t="s">
        <v>1654</v>
      </c>
      <c r="K471" s="87" t="s">
        <v>432</v>
      </c>
      <c r="L471" s="87" t="s">
        <v>432</v>
      </c>
      <c r="M471" s="89" t="s">
        <v>1654</v>
      </c>
      <c r="N471" s="85" t="s">
        <v>1660</v>
      </c>
      <c r="O471" s="85" t="s">
        <v>1655</v>
      </c>
      <c r="P471" s="85" t="s">
        <v>1655</v>
      </c>
      <c r="Q471" s="85" t="s">
        <v>1655</v>
      </c>
      <c r="R471" s="85" t="s">
        <v>1655</v>
      </c>
      <c r="S471" s="89" t="s">
        <v>1654</v>
      </c>
      <c r="T471" s="87" t="s">
        <v>1661</v>
      </c>
    </row>
    <row r="472" spans="1:20">
      <c r="A472" s="85">
        <v>5</v>
      </c>
      <c r="B472" s="86" t="s">
        <v>1651</v>
      </c>
      <c r="C472" s="87" t="s">
        <v>18</v>
      </c>
      <c r="D472" s="87" t="s">
        <v>434</v>
      </c>
      <c r="E472" s="88" t="s">
        <v>434</v>
      </c>
      <c r="F472" s="85" t="s">
        <v>1652</v>
      </c>
      <c r="G472" s="85" t="s">
        <v>1653</v>
      </c>
      <c r="H472" s="87" t="s">
        <v>382</v>
      </c>
      <c r="I472" s="87" t="s">
        <v>382</v>
      </c>
      <c r="J472" s="89" t="s">
        <v>1654</v>
      </c>
      <c r="K472" s="87" t="s">
        <v>18</v>
      </c>
      <c r="L472" s="87" t="s">
        <v>18</v>
      </c>
      <c r="M472" s="89" t="s">
        <v>1671</v>
      </c>
      <c r="N472" s="85" t="s">
        <v>1655</v>
      </c>
      <c r="O472" s="85" t="s">
        <v>1660</v>
      </c>
      <c r="P472" s="85" t="s">
        <v>1655</v>
      </c>
      <c r="Q472" s="85" t="s">
        <v>1655</v>
      </c>
      <c r="R472" s="85" t="s">
        <v>1655</v>
      </c>
      <c r="S472" s="89" t="s">
        <v>1654</v>
      </c>
      <c r="T472" s="87" t="s">
        <v>1661</v>
      </c>
    </row>
    <row r="473" spans="1:20">
      <c r="A473" s="85">
        <v>6</v>
      </c>
      <c r="B473" s="86" t="s">
        <v>1651</v>
      </c>
      <c r="C473" s="87" t="s">
        <v>18</v>
      </c>
      <c r="D473" s="87" t="s">
        <v>435</v>
      </c>
      <c r="E473" s="88" t="s">
        <v>435</v>
      </c>
      <c r="F473" s="85" t="s">
        <v>1652</v>
      </c>
      <c r="G473" s="85" t="s">
        <v>1653</v>
      </c>
      <c r="H473" s="87" t="s">
        <v>382</v>
      </c>
      <c r="I473" s="87" t="s">
        <v>382</v>
      </c>
      <c r="J473" s="89" t="s">
        <v>1654</v>
      </c>
      <c r="K473" s="87" t="s">
        <v>18</v>
      </c>
      <c r="L473" s="87" t="s">
        <v>18</v>
      </c>
      <c r="M473" s="89" t="s">
        <v>1671</v>
      </c>
      <c r="N473" s="85" t="s">
        <v>1655</v>
      </c>
      <c r="O473" s="85" t="s">
        <v>1660</v>
      </c>
      <c r="P473" s="85" t="s">
        <v>1655</v>
      </c>
      <c r="Q473" s="85" t="s">
        <v>1655</v>
      </c>
      <c r="R473" s="85" t="s">
        <v>1655</v>
      </c>
      <c r="S473" s="89" t="s">
        <v>1654</v>
      </c>
      <c r="T473" s="87" t="s">
        <v>1661</v>
      </c>
    </row>
  </sheetData>
  <autoFilter ref="A1:T473" xr:uid="{00000000-0009-0000-0000-00000D000000}"/>
  <pageMargins left="0.75" right="0.75" top="1" bottom="1" header="0.5" footer="0.5"/>
  <pageSetup paperSize="9"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N24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baseColWidth="10" defaultColWidth="8.83203125" defaultRowHeight="16"/>
  <cols>
    <col min="1" max="1" width="8" customWidth="1"/>
    <col min="2" max="2" width="12" customWidth="1"/>
    <col min="3" max="4" width="16" customWidth="1"/>
    <col min="5" max="5" width="14" customWidth="1"/>
    <col min="6" max="6" width="18" customWidth="1"/>
    <col min="7" max="7" width="10" customWidth="1"/>
    <col min="8" max="8" width="24" customWidth="1"/>
    <col min="9" max="13" width="6" customWidth="1"/>
    <col min="14" max="14" width="60" customWidth="1"/>
  </cols>
  <sheetData>
    <row r="1" spans="1:14">
      <c r="A1" s="84" t="s">
        <v>1631</v>
      </c>
      <c r="B1" s="84" t="s">
        <v>1725</v>
      </c>
      <c r="C1" s="84" t="s">
        <v>1726</v>
      </c>
      <c r="D1" s="84" t="s">
        <v>1727</v>
      </c>
      <c r="E1" s="84" t="s">
        <v>1</v>
      </c>
      <c r="F1" s="84" t="s">
        <v>2</v>
      </c>
      <c r="G1" s="84" t="s">
        <v>3</v>
      </c>
      <c r="H1" s="84" t="s">
        <v>1728</v>
      </c>
      <c r="I1" s="84" t="s">
        <v>7</v>
      </c>
      <c r="J1" s="84" t="s">
        <v>8</v>
      </c>
      <c r="K1" s="84" t="s">
        <v>9</v>
      </c>
      <c r="L1" s="84" t="s">
        <v>10</v>
      </c>
      <c r="M1" s="84" t="s">
        <v>11</v>
      </c>
      <c r="N1" s="84" t="s">
        <v>1729</v>
      </c>
    </row>
    <row r="2" spans="1:14">
      <c r="A2" s="85">
        <v>1</v>
      </c>
      <c r="B2" s="85">
        <v>34</v>
      </c>
      <c r="C2" s="87" t="s">
        <v>1670</v>
      </c>
      <c r="D2" s="87" t="s">
        <v>135</v>
      </c>
      <c r="E2" s="87" t="s">
        <v>114</v>
      </c>
      <c r="F2" s="87" t="s">
        <v>136</v>
      </c>
      <c r="G2" s="87" t="s">
        <v>15</v>
      </c>
      <c r="H2" s="87" t="s">
        <v>137</v>
      </c>
      <c r="I2" s="85">
        <v>0</v>
      </c>
      <c r="J2" s="85">
        <v>0</v>
      </c>
      <c r="K2" s="85">
        <v>0</v>
      </c>
      <c r="L2" s="85">
        <v>1</v>
      </c>
      <c r="M2" s="85">
        <v>0</v>
      </c>
      <c r="N2" s="88" t="s">
        <v>1672</v>
      </c>
    </row>
    <row r="3" spans="1:14">
      <c r="A3" s="85">
        <v>2</v>
      </c>
      <c r="B3" s="85">
        <v>35</v>
      </c>
      <c r="C3" s="87" t="s">
        <v>1673</v>
      </c>
      <c r="D3" s="87" t="s">
        <v>138</v>
      </c>
      <c r="E3" s="87" t="s">
        <v>114</v>
      </c>
      <c r="F3" s="87" t="s">
        <v>136</v>
      </c>
      <c r="G3" s="87" t="s">
        <v>15</v>
      </c>
      <c r="H3" s="87" t="s">
        <v>137</v>
      </c>
      <c r="I3" s="85">
        <v>0</v>
      </c>
      <c r="J3" s="85">
        <v>0</v>
      </c>
      <c r="K3" s="85">
        <v>0</v>
      </c>
      <c r="L3" s="85">
        <v>1</v>
      </c>
      <c r="M3" s="85">
        <v>0</v>
      </c>
      <c r="N3" s="88" t="s">
        <v>1674</v>
      </c>
    </row>
    <row r="4" spans="1:14">
      <c r="A4" s="85">
        <v>31</v>
      </c>
      <c r="B4" s="85">
        <v>64</v>
      </c>
      <c r="C4" s="87" t="s">
        <v>840</v>
      </c>
      <c r="D4" s="87" t="s">
        <v>18</v>
      </c>
      <c r="E4" s="87" t="s">
        <v>114</v>
      </c>
      <c r="F4" s="87" t="s">
        <v>136</v>
      </c>
      <c r="G4" s="87" t="s">
        <v>15</v>
      </c>
      <c r="H4" s="87" t="s">
        <v>137</v>
      </c>
      <c r="I4" s="85">
        <v>1</v>
      </c>
      <c r="J4" s="85">
        <v>1</v>
      </c>
      <c r="K4" s="85">
        <v>0</v>
      </c>
      <c r="L4" s="85">
        <v>0</v>
      </c>
      <c r="M4" s="85">
        <v>1</v>
      </c>
      <c r="N4" s="88" t="s">
        <v>1677</v>
      </c>
    </row>
    <row r="5" spans="1:14">
      <c r="A5" s="85">
        <v>32</v>
      </c>
      <c r="B5" s="85">
        <v>65</v>
      </c>
      <c r="C5" s="87" t="s">
        <v>844</v>
      </c>
      <c r="D5" s="87" t="s">
        <v>18</v>
      </c>
      <c r="E5" s="87" t="s">
        <v>114</v>
      </c>
      <c r="F5" s="87" t="s">
        <v>136</v>
      </c>
      <c r="G5" s="87" t="s">
        <v>15</v>
      </c>
      <c r="H5" s="87" t="s">
        <v>137</v>
      </c>
      <c r="I5" s="85">
        <v>1</v>
      </c>
      <c r="J5" s="85">
        <v>1</v>
      </c>
      <c r="K5" s="85">
        <v>0</v>
      </c>
      <c r="L5" s="85">
        <v>0</v>
      </c>
      <c r="M5" s="85">
        <v>1</v>
      </c>
      <c r="N5" s="88" t="s">
        <v>1678</v>
      </c>
    </row>
    <row r="6" spans="1:14">
      <c r="A6" s="85">
        <v>33</v>
      </c>
      <c r="B6" s="85">
        <v>66</v>
      </c>
      <c r="C6" s="87" t="s">
        <v>881</v>
      </c>
      <c r="D6" s="87" t="s">
        <v>18</v>
      </c>
      <c r="E6" s="87" t="s">
        <v>114</v>
      </c>
      <c r="F6" s="87" t="s">
        <v>136</v>
      </c>
      <c r="G6" s="87" t="s">
        <v>15</v>
      </c>
      <c r="H6" s="87" t="s">
        <v>137</v>
      </c>
      <c r="I6" s="85">
        <v>1</v>
      </c>
      <c r="J6" s="85">
        <v>1</v>
      </c>
      <c r="K6" s="85">
        <v>0</v>
      </c>
      <c r="L6" s="85">
        <v>0</v>
      </c>
      <c r="M6" s="85">
        <v>1</v>
      </c>
      <c r="N6" s="88" t="s">
        <v>1679</v>
      </c>
    </row>
    <row r="7" spans="1:14">
      <c r="A7" s="85">
        <v>34</v>
      </c>
      <c r="B7" s="85">
        <v>67</v>
      </c>
      <c r="C7" s="87" t="s">
        <v>883</v>
      </c>
      <c r="D7" s="87" t="s">
        <v>18</v>
      </c>
      <c r="E7" s="87" t="s">
        <v>114</v>
      </c>
      <c r="F7" s="87" t="s">
        <v>136</v>
      </c>
      <c r="G7" s="87" t="s">
        <v>15</v>
      </c>
      <c r="H7" s="87" t="s">
        <v>137</v>
      </c>
      <c r="I7" s="85">
        <v>1</v>
      </c>
      <c r="J7" s="85">
        <v>1</v>
      </c>
      <c r="K7" s="85">
        <v>0</v>
      </c>
      <c r="L7" s="85">
        <v>0</v>
      </c>
      <c r="M7" s="85">
        <v>1</v>
      </c>
      <c r="N7" s="88" t="s">
        <v>1680</v>
      </c>
    </row>
    <row r="8" spans="1:14">
      <c r="A8" s="85">
        <v>21</v>
      </c>
      <c r="B8" s="85">
        <v>156</v>
      </c>
      <c r="C8" s="87" t="s">
        <v>791</v>
      </c>
      <c r="D8" s="87" t="s">
        <v>377</v>
      </c>
      <c r="E8" s="87" t="s">
        <v>360</v>
      </c>
      <c r="F8" s="87" t="s">
        <v>66</v>
      </c>
      <c r="G8" s="87" t="s">
        <v>47</v>
      </c>
      <c r="H8" s="87" t="s">
        <v>75</v>
      </c>
      <c r="I8" s="85">
        <v>1</v>
      </c>
      <c r="J8" s="85">
        <v>2</v>
      </c>
      <c r="K8" s="85">
        <v>0</v>
      </c>
      <c r="L8" s="85">
        <v>0</v>
      </c>
      <c r="M8" s="85">
        <v>0</v>
      </c>
      <c r="N8" s="88" t="s">
        <v>1699</v>
      </c>
    </row>
    <row r="9" spans="1:14">
      <c r="A9" s="85">
        <v>20</v>
      </c>
      <c r="B9" s="85">
        <v>186</v>
      </c>
      <c r="C9" s="87" t="s">
        <v>1703</v>
      </c>
      <c r="D9" s="87" t="s">
        <v>18</v>
      </c>
      <c r="E9" s="87" t="s">
        <v>191</v>
      </c>
      <c r="F9" s="87" t="s">
        <v>14</v>
      </c>
      <c r="G9" s="87" t="s">
        <v>15</v>
      </c>
      <c r="H9" s="87" t="s">
        <v>18</v>
      </c>
      <c r="I9" s="85">
        <v>1</v>
      </c>
      <c r="J9" s="85">
        <v>1</v>
      </c>
      <c r="K9" s="85">
        <v>0</v>
      </c>
      <c r="L9" s="85">
        <v>0</v>
      </c>
      <c r="M9" s="85">
        <v>1</v>
      </c>
      <c r="N9" s="88" t="s">
        <v>1704</v>
      </c>
    </row>
    <row r="10" spans="1:14">
      <c r="A10" s="85">
        <v>1</v>
      </c>
      <c r="B10" s="85">
        <v>360</v>
      </c>
      <c r="C10" s="87" t="s">
        <v>1251</v>
      </c>
      <c r="D10" s="87" t="s">
        <v>18</v>
      </c>
      <c r="E10" s="87" t="s">
        <v>382</v>
      </c>
      <c r="F10" s="87" t="s">
        <v>401</v>
      </c>
      <c r="G10" s="87" t="s">
        <v>24</v>
      </c>
      <c r="H10" s="87" t="s">
        <v>18</v>
      </c>
      <c r="I10" s="85">
        <v>1</v>
      </c>
      <c r="J10" s="85">
        <v>1</v>
      </c>
      <c r="K10" s="85">
        <v>0</v>
      </c>
      <c r="L10" s="85">
        <v>0</v>
      </c>
      <c r="M10" s="85">
        <v>1</v>
      </c>
      <c r="N10" s="88" t="s">
        <v>1713</v>
      </c>
    </row>
    <row r="11" spans="1:14">
      <c r="A11" s="85">
        <v>2</v>
      </c>
      <c r="B11" s="85">
        <v>361</v>
      </c>
      <c r="C11" s="87" t="s">
        <v>1255</v>
      </c>
      <c r="D11" s="87" t="s">
        <v>18</v>
      </c>
      <c r="E11" s="87" t="s">
        <v>382</v>
      </c>
      <c r="F11" s="87" t="s">
        <v>401</v>
      </c>
      <c r="G11" s="87" t="s">
        <v>24</v>
      </c>
      <c r="H11" s="87" t="s">
        <v>18</v>
      </c>
      <c r="I11" s="85">
        <v>1</v>
      </c>
      <c r="J11" s="85">
        <v>1</v>
      </c>
      <c r="K11" s="85">
        <v>0</v>
      </c>
      <c r="L11" s="85">
        <v>0</v>
      </c>
      <c r="M11" s="85">
        <v>1</v>
      </c>
      <c r="N11" s="88" t="s">
        <v>1714</v>
      </c>
    </row>
    <row r="12" spans="1:14">
      <c r="A12" s="85">
        <v>1</v>
      </c>
      <c r="B12" s="85">
        <v>379</v>
      </c>
      <c r="C12" s="87" t="s">
        <v>18</v>
      </c>
      <c r="D12" s="87" t="s">
        <v>18</v>
      </c>
      <c r="E12" s="87" t="s">
        <v>382</v>
      </c>
      <c r="F12" s="87" t="s">
        <v>409</v>
      </c>
      <c r="G12" s="87" t="s">
        <v>15</v>
      </c>
      <c r="H12" s="87" t="s">
        <v>410</v>
      </c>
      <c r="I12" s="85">
        <v>0</v>
      </c>
      <c r="J12" s="85">
        <v>0</v>
      </c>
      <c r="K12" s="85">
        <v>0</v>
      </c>
      <c r="L12" s="85">
        <v>1</v>
      </c>
      <c r="M12" s="85">
        <v>0</v>
      </c>
      <c r="N12" s="88" t="s">
        <v>1716</v>
      </c>
    </row>
    <row r="13" spans="1:14">
      <c r="A13" s="85">
        <v>2</v>
      </c>
      <c r="B13" s="85">
        <v>380</v>
      </c>
      <c r="C13" s="87" t="s">
        <v>18</v>
      </c>
      <c r="D13" s="87" t="s">
        <v>18</v>
      </c>
      <c r="E13" s="87" t="s">
        <v>382</v>
      </c>
      <c r="F13" s="87" t="s">
        <v>409</v>
      </c>
      <c r="G13" s="87" t="s">
        <v>15</v>
      </c>
      <c r="H13" s="87" t="s">
        <v>411</v>
      </c>
      <c r="I13" s="85">
        <v>0</v>
      </c>
      <c r="J13" s="85">
        <v>1</v>
      </c>
      <c r="K13" s="85">
        <v>0</v>
      </c>
      <c r="L13" s="85">
        <v>0</v>
      </c>
      <c r="M13" s="85">
        <v>0</v>
      </c>
      <c r="N13" s="88" t="s">
        <v>1717</v>
      </c>
    </row>
    <row r="14" spans="1:14">
      <c r="A14" s="85">
        <v>3</v>
      </c>
      <c r="B14" s="85">
        <v>381</v>
      </c>
      <c r="C14" s="87" t="s">
        <v>18</v>
      </c>
      <c r="D14" s="87" t="s">
        <v>18</v>
      </c>
      <c r="E14" s="87" t="s">
        <v>382</v>
      </c>
      <c r="F14" s="87" t="s">
        <v>409</v>
      </c>
      <c r="G14" s="87" t="s">
        <v>15</v>
      </c>
      <c r="H14" s="87" t="s">
        <v>411</v>
      </c>
      <c r="I14" s="85">
        <v>0</v>
      </c>
      <c r="J14" s="85">
        <v>1</v>
      </c>
      <c r="K14" s="85">
        <v>0</v>
      </c>
      <c r="L14" s="85">
        <v>0</v>
      </c>
      <c r="M14" s="85">
        <v>0</v>
      </c>
      <c r="N14" s="88" t="s">
        <v>1717</v>
      </c>
    </row>
    <row r="15" spans="1:14">
      <c r="A15" s="85">
        <v>4</v>
      </c>
      <c r="B15" s="85">
        <v>382</v>
      </c>
      <c r="C15" s="87" t="s">
        <v>18</v>
      </c>
      <c r="D15" s="87" t="s">
        <v>18</v>
      </c>
      <c r="E15" s="87" t="s">
        <v>382</v>
      </c>
      <c r="F15" s="87" t="s">
        <v>409</v>
      </c>
      <c r="G15" s="87" t="s">
        <v>15</v>
      </c>
      <c r="H15" s="87" t="s">
        <v>411</v>
      </c>
      <c r="I15" s="85">
        <v>0</v>
      </c>
      <c r="J15" s="85">
        <v>1</v>
      </c>
      <c r="K15" s="85">
        <v>0</v>
      </c>
      <c r="L15" s="85">
        <v>0</v>
      </c>
      <c r="M15" s="85">
        <v>0</v>
      </c>
      <c r="N15" s="88" t="s">
        <v>1717</v>
      </c>
    </row>
    <row r="16" spans="1:14">
      <c r="A16" s="85">
        <v>5</v>
      </c>
      <c r="B16" s="85">
        <v>383</v>
      </c>
      <c r="C16" s="87" t="s">
        <v>18</v>
      </c>
      <c r="D16" s="87" t="s">
        <v>18</v>
      </c>
      <c r="E16" s="87" t="s">
        <v>382</v>
      </c>
      <c r="F16" s="87" t="s">
        <v>409</v>
      </c>
      <c r="G16" s="87" t="s">
        <v>15</v>
      </c>
      <c r="H16" s="87" t="s">
        <v>411</v>
      </c>
      <c r="I16" s="85">
        <v>0</v>
      </c>
      <c r="J16" s="85">
        <v>1</v>
      </c>
      <c r="K16" s="85">
        <v>0</v>
      </c>
      <c r="L16" s="85">
        <v>0</v>
      </c>
      <c r="M16" s="85">
        <v>0</v>
      </c>
      <c r="N16" s="88" t="s">
        <v>1717</v>
      </c>
    </row>
    <row r="17" spans="1:14">
      <c r="A17" s="85">
        <v>6</v>
      </c>
      <c r="B17" s="85">
        <v>384</v>
      </c>
      <c r="C17" s="87" t="s">
        <v>18</v>
      </c>
      <c r="D17" s="87" t="s">
        <v>18</v>
      </c>
      <c r="E17" s="87" t="s">
        <v>382</v>
      </c>
      <c r="F17" s="87" t="s">
        <v>409</v>
      </c>
      <c r="G17" s="87" t="s">
        <v>15</v>
      </c>
      <c r="H17" s="87" t="s">
        <v>411</v>
      </c>
      <c r="I17" s="85">
        <v>0</v>
      </c>
      <c r="J17" s="85">
        <v>1</v>
      </c>
      <c r="K17" s="85">
        <v>0</v>
      </c>
      <c r="L17" s="85">
        <v>0</v>
      </c>
      <c r="M17" s="85">
        <v>0</v>
      </c>
      <c r="N17" s="88" t="s">
        <v>1717</v>
      </c>
    </row>
    <row r="18" spans="1:14">
      <c r="A18" s="85">
        <v>7</v>
      </c>
      <c r="B18" s="85">
        <v>385</v>
      </c>
      <c r="C18" s="87" t="s">
        <v>18</v>
      </c>
      <c r="D18" s="87" t="s">
        <v>18</v>
      </c>
      <c r="E18" s="87" t="s">
        <v>382</v>
      </c>
      <c r="F18" s="87" t="s">
        <v>409</v>
      </c>
      <c r="G18" s="87" t="s">
        <v>15</v>
      </c>
      <c r="H18" s="87" t="s">
        <v>411</v>
      </c>
      <c r="I18" s="85">
        <v>0</v>
      </c>
      <c r="J18" s="85">
        <v>1</v>
      </c>
      <c r="K18" s="85">
        <v>0</v>
      </c>
      <c r="L18" s="85">
        <v>0</v>
      </c>
      <c r="M18" s="85">
        <v>0</v>
      </c>
      <c r="N18" s="88" t="s">
        <v>1717</v>
      </c>
    </row>
    <row r="19" spans="1:14">
      <c r="A19" s="85">
        <v>8</v>
      </c>
      <c r="B19" s="85">
        <v>386</v>
      </c>
      <c r="C19" s="87" t="s">
        <v>18</v>
      </c>
      <c r="D19" s="87" t="s">
        <v>18</v>
      </c>
      <c r="E19" s="87" t="s">
        <v>382</v>
      </c>
      <c r="F19" s="87" t="s">
        <v>409</v>
      </c>
      <c r="G19" s="87" t="s">
        <v>15</v>
      </c>
      <c r="H19" s="87" t="s">
        <v>412</v>
      </c>
      <c r="I19" s="85">
        <v>1</v>
      </c>
      <c r="J19" s="85">
        <v>0</v>
      </c>
      <c r="K19" s="85">
        <v>0</v>
      </c>
      <c r="L19" s="85">
        <v>0</v>
      </c>
      <c r="M19" s="85">
        <v>0</v>
      </c>
      <c r="N19" s="88" t="s">
        <v>1718</v>
      </c>
    </row>
    <row r="20" spans="1:14">
      <c r="A20" s="85">
        <v>9</v>
      </c>
      <c r="B20" s="85">
        <v>387</v>
      </c>
      <c r="C20" s="87" t="s">
        <v>18</v>
      </c>
      <c r="D20" s="87" t="s">
        <v>18</v>
      </c>
      <c r="E20" s="87" t="s">
        <v>382</v>
      </c>
      <c r="F20" s="87" t="s">
        <v>409</v>
      </c>
      <c r="G20" s="87" t="s">
        <v>15</v>
      </c>
      <c r="H20" s="87" t="s">
        <v>413</v>
      </c>
      <c r="I20" s="85">
        <v>1</v>
      </c>
      <c r="J20" s="85">
        <v>0</v>
      </c>
      <c r="K20" s="85">
        <v>0</v>
      </c>
      <c r="L20" s="85">
        <v>0</v>
      </c>
      <c r="M20" s="85">
        <v>0</v>
      </c>
      <c r="N20" s="88" t="s">
        <v>1719</v>
      </c>
    </row>
    <row r="21" spans="1:14">
      <c r="A21" s="85">
        <v>10</v>
      </c>
      <c r="B21" s="85">
        <v>388</v>
      </c>
      <c r="C21" s="87" t="s">
        <v>18</v>
      </c>
      <c r="D21" s="87" t="s">
        <v>18</v>
      </c>
      <c r="E21" s="87" t="s">
        <v>382</v>
      </c>
      <c r="F21" s="87" t="s">
        <v>409</v>
      </c>
      <c r="G21" s="87" t="s">
        <v>15</v>
      </c>
      <c r="H21" s="87" t="s">
        <v>414</v>
      </c>
      <c r="I21" s="85">
        <v>1</v>
      </c>
      <c r="J21" s="85">
        <v>0</v>
      </c>
      <c r="K21" s="85">
        <v>0</v>
      </c>
      <c r="L21" s="85">
        <v>0</v>
      </c>
      <c r="M21" s="85">
        <v>0</v>
      </c>
      <c r="N21" s="88" t="s">
        <v>1720</v>
      </c>
    </row>
    <row r="22" spans="1:14">
      <c r="A22" s="85">
        <v>11</v>
      </c>
      <c r="B22" s="85">
        <v>389</v>
      </c>
      <c r="C22" s="87" t="s">
        <v>18</v>
      </c>
      <c r="D22" s="87" t="s">
        <v>18</v>
      </c>
      <c r="E22" s="87" t="s">
        <v>382</v>
      </c>
      <c r="F22" s="87" t="s">
        <v>409</v>
      </c>
      <c r="G22" s="87" t="s">
        <v>15</v>
      </c>
      <c r="H22" s="87" t="s">
        <v>415</v>
      </c>
      <c r="I22" s="85">
        <v>1</v>
      </c>
      <c r="J22" s="85">
        <v>0</v>
      </c>
      <c r="K22" s="85">
        <v>0</v>
      </c>
      <c r="L22" s="85">
        <v>0</v>
      </c>
      <c r="M22" s="85">
        <v>0</v>
      </c>
      <c r="N22" s="88" t="s">
        <v>1721</v>
      </c>
    </row>
    <row r="23" spans="1:14">
      <c r="A23" s="85">
        <v>12</v>
      </c>
      <c r="B23" s="85">
        <v>390</v>
      </c>
      <c r="C23" s="87" t="s">
        <v>18</v>
      </c>
      <c r="D23" s="87" t="s">
        <v>18</v>
      </c>
      <c r="E23" s="87" t="s">
        <v>382</v>
      </c>
      <c r="F23" s="87" t="s">
        <v>409</v>
      </c>
      <c r="G23" s="87" t="s">
        <v>15</v>
      </c>
      <c r="H23" s="87" t="s">
        <v>416</v>
      </c>
      <c r="I23" s="85">
        <v>1</v>
      </c>
      <c r="J23" s="85">
        <v>0</v>
      </c>
      <c r="K23" s="85">
        <v>0</v>
      </c>
      <c r="L23" s="85">
        <v>0</v>
      </c>
      <c r="M23" s="85">
        <v>0</v>
      </c>
      <c r="N23" s="88" t="s">
        <v>1722</v>
      </c>
    </row>
    <row r="24" spans="1:14">
      <c r="A24" s="85">
        <v>13</v>
      </c>
      <c r="B24" s="85">
        <v>391</v>
      </c>
      <c r="C24" s="87" t="s">
        <v>18</v>
      </c>
      <c r="D24" s="87" t="s">
        <v>18</v>
      </c>
      <c r="E24" s="87" t="s">
        <v>382</v>
      </c>
      <c r="F24" s="87" t="s">
        <v>409</v>
      </c>
      <c r="G24" s="87" t="s">
        <v>15</v>
      </c>
      <c r="H24" s="87" t="s">
        <v>417</v>
      </c>
      <c r="I24" s="85">
        <v>1</v>
      </c>
      <c r="J24" s="85">
        <v>0</v>
      </c>
      <c r="K24" s="85">
        <v>0</v>
      </c>
      <c r="L24" s="85">
        <v>0</v>
      </c>
      <c r="M24" s="85">
        <v>0</v>
      </c>
      <c r="N24" s="88" t="s">
        <v>1723</v>
      </c>
    </row>
  </sheetData>
  <autoFilter ref="A1:N24" xr:uid="{00000000-0009-0000-0000-00000E000000}"/>
  <pageMargins left="0.75" right="0.75" top="1" bottom="1" header="0.5" footer="0.5"/>
  <pageSetup paperSize="9"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L86"/>
  <sheetViews>
    <sheetView zoomScale="253"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3203125" defaultRowHeight="16"/>
  <cols>
    <col min="1" max="1" width="22" customWidth="1"/>
    <col min="2" max="3" width="18.1640625" bestFit="1" customWidth="1"/>
    <col min="4" max="4" width="18" customWidth="1"/>
    <col min="5" max="5" width="35" customWidth="1"/>
    <col min="6" max="6" width="20" customWidth="1"/>
    <col min="7" max="11" width="6" customWidth="1"/>
    <col min="12" max="12" width="26" customWidth="1"/>
  </cols>
  <sheetData>
    <row r="1" spans="1:12">
      <c r="A1" s="84" t="s">
        <v>1730</v>
      </c>
      <c r="B1" s="84" t="s">
        <v>1731</v>
      </c>
      <c r="C1" s="84" t="s">
        <v>1732</v>
      </c>
      <c r="D1" s="84" t="s">
        <v>1733</v>
      </c>
      <c r="E1" s="84" t="s">
        <v>461</v>
      </c>
      <c r="F1" s="84" t="s">
        <v>460</v>
      </c>
      <c r="G1" s="84" t="s">
        <v>7</v>
      </c>
      <c r="H1" s="84" t="s">
        <v>8</v>
      </c>
      <c r="I1" s="84" t="s">
        <v>9</v>
      </c>
      <c r="J1" s="84" t="s">
        <v>10</v>
      </c>
      <c r="K1" s="84" t="s">
        <v>11</v>
      </c>
      <c r="L1" s="84" t="s">
        <v>1734</v>
      </c>
    </row>
    <row r="2" spans="1:12">
      <c r="A2" s="88" t="s">
        <v>1735</v>
      </c>
      <c r="B2" s="85" t="s">
        <v>1652</v>
      </c>
      <c r="C2" s="85" t="s">
        <v>1653</v>
      </c>
      <c r="D2" s="87" t="s">
        <v>1735</v>
      </c>
      <c r="E2" s="87" t="s">
        <v>18</v>
      </c>
      <c r="F2" s="87" t="s">
        <v>18</v>
      </c>
      <c r="G2" s="85">
        <v>0</v>
      </c>
      <c r="H2" s="85">
        <v>0</v>
      </c>
      <c r="I2" s="85">
        <v>0</v>
      </c>
      <c r="J2" s="85">
        <v>0</v>
      </c>
      <c r="K2" s="85">
        <v>0</v>
      </c>
      <c r="L2" s="87" t="s">
        <v>1429</v>
      </c>
    </row>
    <row r="3" spans="1:12">
      <c r="A3" s="88" t="s">
        <v>1736</v>
      </c>
      <c r="B3" s="85" t="s">
        <v>1653</v>
      </c>
      <c r="C3" s="85" t="s">
        <v>1652</v>
      </c>
      <c r="D3" s="87" t="s">
        <v>18</v>
      </c>
      <c r="E3" s="87" t="s">
        <v>18</v>
      </c>
      <c r="F3" s="87" t="s">
        <v>18</v>
      </c>
      <c r="G3" s="85">
        <v>0</v>
      </c>
      <c r="H3" s="85">
        <v>0</v>
      </c>
      <c r="I3" s="85">
        <v>0</v>
      </c>
      <c r="J3" s="85">
        <v>0</v>
      </c>
      <c r="K3" s="85">
        <v>0</v>
      </c>
      <c r="L3" s="87" t="s">
        <v>1737</v>
      </c>
    </row>
    <row r="4" spans="1:12">
      <c r="A4" s="88" t="s">
        <v>845</v>
      </c>
      <c r="B4" s="85" t="s">
        <v>1653</v>
      </c>
      <c r="C4" s="85" t="s">
        <v>1653</v>
      </c>
      <c r="D4" s="87" t="s">
        <v>1307</v>
      </c>
      <c r="E4" s="87" t="s">
        <v>839</v>
      </c>
      <c r="F4" s="87" t="s">
        <v>137</v>
      </c>
      <c r="G4" s="85">
        <v>1</v>
      </c>
      <c r="H4" s="85">
        <v>3</v>
      </c>
      <c r="I4" s="85">
        <v>0</v>
      </c>
      <c r="J4" s="85">
        <v>0</v>
      </c>
      <c r="K4" s="85">
        <v>1</v>
      </c>
      <c r="L4" s="87" t="s">
        <v>1429</v>
      </c>
    </row>
    <row r="5" spans="1:12">
      <c r="A5" s="88" t="s">
        <v>1165</v>
      </c>
      <c r="B5" s="85" t="s">
        <v>1653</v>
      </c>
      <c r="C5" s="85" t="s">
        <v>1652</v>
      </c>
      <c r="D5" s="87" t="s">
        <v>18</v>
      </c>
      <c r="E5" s="87" t="s">
        <v>1166</v>
      </c>
      <c r="F5" s="87" t="s">
        <v>18</v>
      </c>
      <c r="G5" s="85">
        <v>0</v>
      </c>
      <c r="H5" s="85">
        <v>0</v>
      </c>
      <c r="I5" s="85">
        <v>0</v>
      </c>
      <c r="J5" s="85">
        <v>0</v>
      </c>
      <c r="K5" s="85">
        <v>0</v>
      </c>
      <c r="L5" s="87" t="s">
        <v>1429</v>
      </c>
    </row>
    <row r="6" spans="1:12">
      <c r="A6" s="88" t="s">
        <v>1168</v>
      </c>
      <c r="B6" s="85" t="s">
        <v>1653</v>
      </c>
      <c r="C6" s="85" t="s">
        <v>1652</v>
      </c>
      <c r="D6" s="87" t="s">
        <v>18</v>
      </c>
      <c r="E6" s="87" t="s">
        <v>1166</v>
      </c>
      <c r="F6" s="87" t="s">
        <v>18</v>
      </c>
      <c r="G6" s="85">
        <v>0</v>
      </c>
      <c r="H6" s="85">
        <v>0</v>
      </c>
      <c r="I6" s="85">
        <v>0</v>
      </c>
      <c r="J6" s="85">
        <v>0</v>
      </c>
      <c r="K6" s="85">
        <v>0</v>
      </c>
      <c r="L6" s="87" t="s">
        <v>1429</v>
      </c>
    </row>
    <row r="7" spans="1:12">
      <c r="A7" s="88" t="s">
        <v>1061</v>
      </c>
      <c r="B7" s="85" t="s">
        <v>1653</v>
      </c>
      <c r="C7" s="85" t="s">
        <v>1652</v>
      </c>
      <c r="D7" s="87" t="s">
        <v>18</v>
      </c>
      <c r="E7" s="87" t="s">
        <v>18</v>
      </c>
      <c r="F7" s="87" t="s">
        <v>18</v>
      </c>
      <c r="G7" s="85">
        <v>0</v>
      </c>
      <c r="H7" s="85">
        <v>0</v>
      </c>
      <c r="I7" s="85">
        <v>0</v>
      </c>
      <c r="J7" s="85">
        <v>0</v>
      </c>
      <c r="K7" s="85">
        <v>0</v>
      </c>
      <c r="L7" s="87" t="s">
        <v>1737</v>
      </c>
    </row>
    <row r="8" spans="1:12">
      <c r="A8" s="88" t="s">
        <v>896</v>
      </c>
      <c r="B8" s="85" t="s">
        <v>1653</v>
      </c>
      <c r="C8" s="85" t="s">
        <v>1652</v>
      </c>
      <c r="D8" s="87" t="s">
        <v>18</v>
      </c>
      <c r="E8" s="87" t="s">
        <v>897</v>
      </c>
      <c r="F8" s="87" t="s">
        <v>67</v>
      </c>
      <c r="G8" s="85">
        <v>1</v>
      </c>
      <c r="H8" s="85">
        <v>3</v>
      </c>
      <c r="I8" s="85">
        <v>0</v>
      </c>
      <c r="J8" s="85">
        <v>0</v>
      </c>
      <c r="K8" s="85">
        <v>0</v>
      </c>
      <c r="L8" s="87" t="s">
        <v>1429</v>
      </c>
    </row>
    <row r="9" spans="1:12">
      <c r="A9" s="88" t="s">
        <v>1199</v>
      </c>
      <c r="B9" s="85" t="s">
        <v>1653</v>
      </c>
      <c r="C9" s="85" t="s">
        <v>1652</v>
      </c>
      <c r="D9" s="87" t="s">
        <v>18</v>
      </c>
      <c r="E9" s="87" t="s">
        <v>1183</v>
      </c>
      <c r="F9" s="87" t="s">
        <v>18</v>
      </c>
      <c r="G9" s="85">
        <v>0</v>
      </c>
      <c r="H9" s="85">
        <v>0</v>
      </c>
      <c r="I9" s="85">
        <v>0</v>
      </c>
      <c r="J9" s="85">
        <v>0</v>
      </c>
      <c r="K9" s="85">
        <v>0</v>
      </c>
      <c r="L9" s="87" t="s">
        <v>1429</v>
      </c>
    </row>
    <row r="10" spans="1:12">
      <c r="A10" s="88" t="s">
        <v>1182</v>
      </c>
      <c r="B10" s="85" t="s">
        <v>1653</v>
      </c>
      <c r="C10" s="85" t="s">
        <v>1652</v>
      </c>
      <c r="D10" s="87" t="s">
        <v>18</v>
      </c>
      <c r="E10" s="87" t="s">
        <v>1183</v>
      </c>
      <c r="F10" s="87" t="s">
        <v>18</v>
      </c>
      <c r="G10" s="85">
        <v>0</v>
      </c>
      <c r="H10" s="85">
        <v>0</v>
      </c>
      <c r="I10" s="85">
        <v>0</v>
      </c>
      <c r="J10" s="85">
        <v>0</v>
      </c>
      <c r="K10" s="85">
        <v>0</v>
      </c>
      <c r="L10" s="87" t="s">
        <v>1429</v>
      </c>
    </row>
    <row r="11" spans="1:12">
      <c r="A11" s="88" t="s">
        <v>920</v>
      </c>
      <c r="B11" s="85" t="s">
        <v>1653</v>
      </c>
      <c r="C11" s="85" t="s">
        <v>1652</v>
      </c>
      <c r="D11" s="87" t="s">
        <v>18</v>
      </c>
      <c r="E11" s="87" t="s">
        <v>18</v>
      </c>
      <c r="F11" s="87" t="s">
        <v>18</v>
      </c>
      <c r="G11" s="85">
        <v>0</v>
      </c>
      <c r="H11" s="85">
        <v>0</v>
      </c>
      <c r="I11" s="85">
        <v>0</v>
      </c>
      <c r="J11" s="85">
        <v>0</v>
      </c>
      <c r="K11" s="85">
        <v>0</v>
      </c>
      <c r="L11" s="87" t="s">
        <v>1738</v>
      </c>
    </row>
    <row r="12" spans="1:12">
      <c r="A12" s="88" t="s">
        <v>1124</v>
      </c>
      <c r="B12" s="85" t="s">
        <v>1653</v>
      </c>
      <c r="C12" s="85" t="s">
        <v>1652</v>
      </c>
      <c r="D12" s="87" t="s">
        <v>18</v>
      </c>
      <c r="E12" s="87" t="s">
        <v>1125</v>
      </c>
      <c r="F12" s="87" t="s">
        <v>18</v>
      </c>
      <c r="G12" s="85">
        <v>0</v>
      </c>
      <c r="H12" s="85">
        <v>0</v>
      </c>
      <c r="I12" s="85">
        <v>0</v>
      </c>
      <c r="J12" s="85">
        <v>0</v>
      </c>
      <c r="K12" s="85">
        <v>0</v>
      </c>
      <c r="L12" s="87" t="s">
        <v>1429</v>
      </c>
    </row>
    <row r="13" spans="1:12">
      <c r="A13" s="88" t="s">
        <v>1162</v>
      </c>
      <c r="B13" s="85" t="s">
        <v>1653</v>
      </c>
      <c r="C13" s="85" t="s">
        <v>1652</v>
      </c>
      <c r="D13" s="87" t="s">
        <v>18</v>
      </c>
      <c r="E13" s="87" t="s">
        <v>1163</v>
      </c>
      <c r="F13" s="87" t="s">
        <v>18</v>
      </c>
      <c r="G13" s="85">
        <v>0</v>
      </c>
      <c r="H13" s="85">
        <v>0</v>
      </c>
      <c r="I13" s="85">
        <v>0</v>
      </c>
      <c r="J13" s="85">
        <v>0</v>
      </c>
      <c r="K13" s="85">
        <v>0</v>
      </c>
      <c r="L13" s="87" t="s">
        <v>1739</v>
      </c>
    </row>
    <row r="14" spans="1:12">
      <c r="A14" s="88" t="s">
        <v>1160</v>
      </c>
      <c r="B14" s="85" t="s">
        <v>1653</v>
      </c>
      <c r="C14" s="85" t="s">
        <v>1652</v>
      </c>
      <c r="D14" s="87" t="s">
        <v>18</v>
      </c>
      <c r="E14" s="87" t="s">
        <v>1161</v>
      </c>
      <c r="F14" s="87" t="s">
        <v>18</v>
      </c>
      <c r="G14" s="85">
        <v>0</v>
      </c>
      <c r="H14" s="85">
        <v>0</v>
      </c>
      <c r="I14" s="85">
        <v>0</v>
      </c>
      <c r="J14" s="85">
        <v>0</v>
      </c>
      <c r="K14" s="85">
        <v>0</v>
      </c>
      <c r="L14" s="87" t="s">
        <v>1739</v>
      </c>
    </row>
    <row r="15" spans="1:12">
      <c r="A15" s="88" t="s">
        <v>1127</v>
      </c>
      <c r="B15" s="85" t="s">
        <v>1653</v>
      </c>
      <c r="C15" s="85" t="s">
        <v>1652</v>
      </c>
      <c r="D15" s="87" t="s">
        <v>18</v>
      </c>
      <c r="E15" s="87" t="s">
        <v>1128</v>
      </c>
      <c r="F15" s="87" t="s">
        <v>18</v>
      </c>
      <c r="G15" s="85">
        <v>0</v>
      </c>
      <c r="H15" s="85">
        <v>0</v>
      </c>
      <c r="I15" s="85">
        <v>0</v>
      </c>
      <c r="J15" s="85">
        <v>0</v>
      </c>
      <c r="K15" s="85">
        <v>0</v>
      </c>
      <c r="L15" s="87" t="s">
        <v>1739</v>
      </c>
    </row>
    <row r="16" spans="1:12">
      <c r="A16" s="88" t="s">
        <v>1158</v>
      </c>
      <c r="B16" s="85" t="s">
        <v>1653</v>
      </c>
      <c r="C16" s="85" t="s">
        <v>1652</v>
      </c>
      <c r="D16" s="87" t="s">
        <v>18</v>
      </c>
      <c r="E16" s="87" t="s">
        <v>479</v>
      </c>
      <c r="F16" s="87" t="s">
        <v>18</v>
      </c>
      <c r="G16" s="85">
        <v>0</v>
      </c>
      <c r="H16" s="85">
        <v>0</v>
      </c>
      <c r="I16" s="85">
        <v>0</v>
      </c>
      <c r="J16" s="85">
        <v>0</v>
      </c>
      <c r="K16" s="85">
        <v>0</v>
      </c>
      <c r="L16" s="87" t="s">
        <v>1429</v>
      </c>
    </row>
    <row r="17" spans="1:12">
      <c r="A17" s="88" t="s">
        <v>1374</v>
      </c>
      <c r="B17" s="85" t="s">
        <v>1652</v>
      </c>
      <c r="C17" s="85" t="s">
        <v>1653</v>
      </c>
      <c r="D17" s="87" t="s">
        <v>382</v>
      </c>
      <c r="E17" s="87" t="s">
        <v>18</v>
      </c>
      <c r="F17" s="87" t="s">
        <v>410</v>
      </c>
      <c r="G17" s="85">
        <v>0</v>
      </c>
      <c r="H17" s="85">
        <v>0</v>
      </c>
      <c r="I17" s="85">
        <v>0</v>
      </c>
      <c r="J17" s="85">
        <v>1</v>
      </c>
      <c r="K17" s="85">
        <v>0</v>
      </c>
      <c r="L17" s="87" t="s">
        <v>1429</v>
      </c>
    </row>
    <row r="18" spans="1:12">
      <c r="A18" s="88" t="s">
        <v>1172</v>
      </c>
      <c r="B18" s="85" t="s">
        <v>1653</v>
      </c>
      <c r="C18" s="85" t="s">
        <v>1652</v>
      </c>
      <c r="D18" s="87" t="s">
        <v>18</v>
      </c>
      <c r="E18" s="87" t="s">
        <v>1173</v>
      </c>
      <c r="F18" s="87" t="s">
        <v>18</v>
      </c>
      <c r="G18" s="85">
        <v>0</v>
      </c>
      <c r="H18" s="85">
        <v>0</v>
      </c>
      <c r="I18" s="85">
        <v>0</v>
      </c>
      <c r="J18" s="85">
        <v>0</v>
      </c>
      <c r="K18" s="85">
        <v>0</v>
      </c>
      <c r="L18" s="87" t="s">
        <v>1429</v>
      </c>
    </row>
    <row r="19" spans="1:12">
      <c r="A19" s="88" t="s">
        <v>1130</v>
      </c>
      <c r="B19" s="85" t="s">
        <v>1653</v>
      </c>
      <c r="C19" s="85" t="s">
        <v>1652</v>
      </c>
      <c r="D19" s="87" t="s">
        <v>18</v>
      </c>
      <c r="E19" s="87" t="s">
        <v>1131</v>
      </c>
      <c r="F19" s="87" t="s">
        <v>18</v>
      </c>
      <c r="G19" s="85">
        <v>0</v>
      </c>
      <c r="H19" s="85">
        <v>0</v>
      </c>
      <c r="I19" s="85">
        <v>0</v>
      </c>
      <c r="J19" s="85">
        <v>0</v>
      </c>
      <c r="K19" s="85">
        <v>0</v>
      </c>
      <c r="L19" s="87" t="s">
        <v>1429</v>
      </c>
    </row>
    <row r="20" spans="1:12">
      <c r="A20" s="88" t="s">
        <v>499</v>
      </c>
      <c r="B20" s="85" t="s">
        <v>1653</v>
      </c>
      <c r="C20" s="85" t="s">
        <v>1652</v>
      </c>
      <c r="D20" s="87" t="s">
        <v>18</v>
      </c>
      <c r="E20" s="87" t="s">
        <v>498</v>
      </c>
      <c r="F20" s="87" t="s">
        <v>500</v>
      </c>
      <c r="G20" s="85">
        <v>0</v>
      </c>
      <c r="H20" s="85">
        <v>1</v>
      </c>
      <c r="I20" s="85">
        <v>0</v>
      </c>
      <c r="J20" s="85">
        <v>0</v>
      </c>
      <c r="K20" s="85">
        <v>0</v>
      </c>
      <c r="L20" s="87" t="s">
        <v>1739</v>
      </c>
    </row>
    <row r="21" spans="1:12">
      <c r="A21" s="88" t="s">
        <v>505</v>
      </c>
      <c r="B21" s="85" t="s">
        <v>1653</v>
      </c>
      <c r="C21" s="85" t="s">
        <v>1653</v>
      </c>
      <c r="D21" s="87" t="s">
        <v>114</v>
      </c>
      <c r="E21" s="87" t="s">
        <v>498</v>
      </c>
      <c r="F21" s="87" t="s">
        <v>137</v>
      </c>
      <c r="G21" s="85">
        <v>0</v>
      </c>
      <c r="H21" s="85">
        <v>1</v>
      </c>
      <c r="I21" s="85">
        <v>0</v>
      </c>
      <c r="J21" s="85">
        <v>0</v>
      </c>
      <c r="K21" s="85">
        <v>0</v>
      </c>
      <c r="L21" s="87" t="s">
        <v>1739</v>
      </c>
    </row>
    <row r="22" spans="1:12">
      <c r="A22" s="88" t="s">
        <v>506</v>
      </c>
      <c r="B22" s="85" t="s">
        <v>1653</v>
      </c>
      <c r="C22" s="85" t="s">
        <v>1653</v>
      </c>
      <c r="D22" s="87" t="s">
        <v>114</v>
      </c>
      <c r="E22" s="87" t="s">
        <v>498</v>
      </c>
      <c r="F22" s="87" t="s">
        <v>137</v>
      </c>
      <c r="G22" s="85">
        <v>0</v>
      </c>
      <c r="H22" s="85">
        <v>1</v>
      </c>
      <c r="I22" s="85">
        <v>0</v>
      </c>
      <c r="J22" s="85">
        <v>0</v>
      </c>
      <c r="K22" s="85">
        <v>0</v>
      </c>
      <c r="L22" s="87" t="s">
        <v>1739</v>
      </c>
    </row>
    <row r="23" spans="1:12">
      <c r="A23" s="88" t="s">
        <v>1269</v>
      </c>
      <c r="B23" s="85" t="s">
        <v>1653</v>
      </c>
      <c r="C23" s="85" t="s">
        <v>1652</v>
      </c>
      <c r="D23" s="87" t="s">
        <v>18</v>
      </c>
      <c r="E23" s="87" t="s">
        <v>18</v>
      </c>
      <c r="F23" s="87" t="s">
        <v>18</v>
      </c>
      <c r="G23" s="85">
        <v>0</v>
      </c>
      <c r="H23" s="85">
        <v>0</v>
      </c>
      <c r="I23" s="85">
        <v>0</v>
      </c>
      <c r="J23" s="85">
        <v>0</v>
      </c>
      <c r="K23" s="85">
        <v>0</v>
      </c>
      <c r="L23" s="87" t="s">
        <v>1740</v>
      </c>
    </row>
    <row r="24" spans="1:12">
      <c r="A24" s="88" t="s">
        <v>1286</v>
      </c>
      <c r="B24" s="85" t="s">
        <v>1653</v>
      </c>
      <c r="C24" s="85" t="s">
        <v>1652</v>
      </c>
      <c r="D24" s="87" t="s">
        <v>18</v>
      </c>
      <c r="E24" s="87" t="s">
        <v>18</v>
      </c>
      <c r="F24" s="87" t="s">
        <v>18</v>
      </c>
      <c r="G24" s="85">
        <v>0</v>
      </c>
      <c r="H24" s="85">
        <v>0</v>
      </c>
      <c r="I24" s="85">
        <v>0</v>
      </c>
      <c r="J24" s="85">
        <v>0</v>
      </c>
      <c r="K24" s="85">
        <v>0</v>
      </c>
      <c r="L24" s="87" t="s">
        <v>1740</v>
      </c>
    </row>
    <row r="25" spans="1:12">
      <c r="A25" s="88" t="s">
        <v>1072</v>
      </c>
      <c r="B25" s="85" t="s">
        <v>1653</v>
      </c>
      <c r="C25" s="85" t="s">
        <v>1652</v>
      </c>
      <c r="D25" s="87" t="s">
        <v>18</v>
      </c>
      <c r="E25" s="87" t="s">
        <v>18</v>
      </c>
      <c r="F25" s="87" t="s">
        <v>18</v>
      </c>
      <c r="G25" s="85">
        <v>0</v>
      </c>
      <c r="H25" s="85">
        <v>0</v>
      </c>
      <c r="I25" s="85">
        <v>0</v>
      </c>
      <c r="J25" s="85">
        <v>0</v>
      </c>
      <c r="K25" s="85">
        <v>0</v>
      </c>
      <c r="L25" s="87" t="s">
        <v>1737</v>
      </c>
    </row>
    <row r="26" spans="1:12">
      <c r="A26" s="88" t="s">
        <v>1080</v>
      </c>
      <c r="B26" s="85" t="s">
        <v>1653</v>
      </c>
      <c r="C26" s="85" t="s">
        <v>1652</v>
      </c>
      <c r="D26" s="87" t="s">
        <v>18</v>
      </c>
      <c r="E26" s="87" t="s">
        <v>18</v>
      </c>
      <c r="F26" s="87" t="s">
        <v>18</v>
      </c>
      <c r="G26" s="85">
        <v>0</v>
      </c>
      <c r="H26" s="85">
        <v>0</v>
      </c>
      <c r="I26" s="85">
        <v>0</v>
      </c>
      <c r="J26" s="85">
        <v>0</v>
      </c>
      <c r="K26" s="85">
        <v>0</v>
      </c>
      <c r="L26" s="87" t="s">
        <v>1737</v>
      </c>
    </row>
    <row r="27" spans="1:12">
      <c r="A27" s="88" t="s">
        <v>1085</v>
      </c>
      <c r="B27" s="85" t="s">
        <v>1653</v>
      </c>
      <c r="C27" s="85" t="s">
        <v>1652</v>
      </c>
      <c r="D27" s="87" t="s">
        <v>18</v>
      </c>
      <c r="E27" s="87" t="s">
        <v>18</v>
      </c>
      <c r="F27" s="87" t="s">
        <v>18</v>
      </c>
      <c r="G27" s="85">
        <v>0</v>
      </c>
      <c r="H27" s="85">
        <v>0</v>
      </c>
      <c r="I27" s="85">
        <v>0</v>
      </c>
      <c r="J27" s="85">
        <v>0</v>
      </c>
      <c r="K27" s="85">
        <v>0</v>
      </c>
      <c r="L27" s="87" t="s">
        <v>1737</v>
      </c>
    </row>
    <row r="28" spans="1:12">
      <c r="A28" s="88" t="s">
        <v>1741</v>
      </c>
      <c r="B28" s="85" t="s">
        <v>1653</v>
      </c>
      <c r="C28" s="85" t="s">
        <v>1652</v>
      </c>
      <c r="D28" s="87" t="s">
        <v>18</v>
      </c>
      <c r="E28" s="87" t="s">
        <v>18</v>
      </c>
      <c r="F28" s="87" t="s">
        <v>18</v>
      </c>
      <c r="G28" s="85">
        <v>0</v>
      </c>
      <c r="H28" s="85">
        <v>0</v>
      </c>
      <c r="I28" s="85">
        <v>0</v>
      </c>
      <c r="J28" s="85">
        <v>0</v>
      </c>
      <c r="K28" s="85">
        <v>0</v>
      </c>
      <c r="L28" s="87" t="s">
        <v>1738</v>
      </c>
    </row>
    <row r="29" spans="1:12">
      <c r="A29" s="88" t="s">
        <v>827</v>
      </c>
      <c r="B29" s="85" t="s">
        <v>1653</v>
      </c>
      <c r="C29" s="85" t="s">
        <v>1652</v>
      </c>
      <c r="D29" s="87" t="s">
        <v>18</v>
      </c>
      <c r="E29" s="87" t="s">
        <v>828</v>
      </c>
      <c r="F29" s="87" t="s">
        <v>78</v>
      </c>
      <c r="G29" s="85">
        <v>0</v>
      </c>
      <c r="H29" s="85">
        <v>1</v>
      </c>
      <c r="I29" s="85">
        <v>0</v>
      </c>
      <c r="J29" s="85">
        <v>0</v>
      </c>
      <c r="K29" s="85">
        <v>0</v>
      </c>
      <c r="L29" s="87" t="s">
        <v>1739</v>
      </c>
    </row>
    <row r="30" spans="1:12">
      <c r="A30" s="88" t="s">
        <v>1169</v>
      </c>
      <c r="B30" s="85" t="s">
        <v>1653</v>
      </c>
      <c r="C30" s="85" t="s">
        <v>1652</v>
      </c>
      <c r="D30" s="87" t="s">
        <v>18</v>
      </c>
      <c r="E30" s="87" t="s">
        <v>1170</v>
      </c>
      <c r="F30" s="87" t="s">
        <v>18</v>
      </c>
      <c r="G30" s="85">
        <v>0</v>
      </c>
      <c r="H30" s="85">
        <v>0</v>
      </c>
      <c r="I30" s="85">
        <v>0</v>
      </c>
      <c r="J30" s="85">
        <v>0</v>
      </c>
      <c r="K30" s="85">
        <v>0</v>
      </c>
      <c r="L30" s="87" t="s">
        <v>1429</v>
      </c>
    </row>
    <row r="31" spans="1:12">
      <c r="A31" s="88" t="s">
        <v>1258</v>
      </c>
      <c r="B31" s="85" t="s">
        <v>1653</v>
      </c>
      <c r="C31" s="85" t="s">
        <v>1652</v>
      </c>
      <c r="D31" s="87" t="s">
        <v>18</v>
      </c>
      <c r="E31" s="87" t="s">
        <v>18</v>
      </c>
      <c r="F31" s="87" t="s">
        <v>18</v>
      </c>
      <c r="G31" s="85">
        <v>0</v>
      </c>
      <c r="H31" s="85">
        <v>0</v>
      </c>
      <c r="I31" s="85">
        <v>0</v>
      </c>
      <c r="J31" s="85">
        <v>0</v>
      </c>
      <c r="K31" s="85">
        <v>0</v>
      </c>
      <c r="L31" s="87" t="s">
        <v>1429</v>
      </c>
    </row>
    <row r="32" spans="1:12">
      <c r="A32" s="88" t="s">
        <v>1243</v>
      </c>
      <c r="B32" s="85" t="s">
        <v>1653</v>
      </c>
      <c r="C32" s="85" t="s">
        <v>1652</v>
      </c>
      <c r="D32" s="87" t="s">
        <v>18</v>
      </c>
      <c r="E32" s="87" t="s">
        <v>593</v>
      </c>
      <c r="F32" s="87" t="s">
        <v>601</v>
      </c>
      <c r="G32" s="85">
        <v>0</v>
      </c>
      <c r="H32" s="85">
        <v>1</v>
      </c>
      <c r="I32" s="85">
        <v>0</v>
      </c>
      <c r="J32" s="85">
        <v>0</v>
      </c>
      <c r="K32" s="85">
        <v>0</v>
      </c>
      <c r="L32" s="87" t="s">
        <v>1429</v>
      </c>
    </row>
    <row r="33" spans="1:12">
      <c r="A33" s="88" t="s">
        <v>838</v>
      </c>
      <c r="B33" s="85" t="s">
        <v>1653</v>
      </c>
      <c r="C33" s="85" t="s">
        <v>1652</v>
      </c>
      <c r="D33" s="87" t="s">
        <v>18</v>
      </c>
      <c r="E33" s="87" t="s">
        <v>18</v>
      </c>
      <c r="F33" s="87" t="s">
        <v>18</v>
      </c>
      <c r="G33" s="85">
        <v>0</v>
      </c>
      <c r="H33" s="85">
        <v>0</v>
      </c>
      <c r="I33" s="85">
        <v>0</v>
      </c>
      <c r="J33" s="85">
        <v>0</v>
      </c>
      <c r="K33" s="85">
        <v>0</v>
      </c>
      <c r="L33" s="87" t="s">
        <v>1429</v>
      </c>
    </row>
    <row r="34" spans="1:12">
      <c r="A34" s="88" t="s">
        <v>824</v>
      </c>
      <c r="B34" s="85" t="s">
        <v>1653</v>
      </c>
      <c r="C34" s="85" t="s">
        <v>1652</v>
      </c>
      <c r="D34" s="87" t="s">
        <v>18</v>
      </c>
      <c r="E34" s="87" t="s">
        <v>18</v>
      </c>
      <c r="F34" s="87" t="s">
        <v>18</v>
      </c>
      <c r="G34" s="85">
        <v>0</v>
      </c>
      <c r="H34" s="85">
        <v>0</v>
      </c>
      <c r="I34" s="85">
        <v>0</v>
      </c>
      <c r="J34" s="85">
        <v>0</v>
      </c>
      <c r="K34" s="85">
        <v>0</v>
      </c>
      <c r="L34" s="87" t="s">
        <v>1429</v>
      </c>
    </row>
    <row r="35" spans="1:12">
      <c r="A35" s="88" t="s">
        <v>1245</v>
      </c>
      <c r="B35" s="85" t="s">
        <v>1653</v>
      </c>
      <c r="C35" s="85" t="s">
        <v>1652</v>
      </c>
      <c r="D35" s="87" t="s">
        <v>18</v>
      </c>
      <c r="E35" s="87" t="s">
        <v>1246</v>
      </c>
      <c r="F35" s="87" t="s">
        <v>500</v>
      </c>
      <c r="G35" s="85">
        <v>1</v>
      </c>
      <c r="H35" s="85">
        <v>3</v>
      </c>
      <c r="I35" s="85">
        <v>0</v>
      </c>
      <c r="J35" s="85">
        <v>0</v>
      </c>
      <c r="K35" s="85">
        <v>0</v>
      </c>
      <c r="L35" s="87" t="s">
        <v>1429</v>
      </c>
    </row>
    <row r="36" spans="1:12">
      <c r="A36" s="88" t="s">
        <v>669</v>
      </c>
      <c r="B36" s="85" t="s">
        <v>1653</v>
      </c>
      <c r="C36" s="85" t="s">
        <v>1652</v>
      </c>
      <c r="D36" s="87" t="s">
        <v>18</v>
      </c>
      <c r="E36" s="87" t="s">
        <v>554</v>
      </c>
      <c r="F36" s="87" t="s">
        <v>528</v>
      </c>
      <c r="G36" s="85">
        <v>0</v>
      </c>
      <c r="H36" s="85">
        <v>0</v>
      </c>
      <c r="I36" s="85">
        <v>1</v>
      </c>
      <c r="J36" s="85">
        <v>0</v>
      </c>
      <c r="K36" s="85">
        <v>0</v>
      </c>
      <c r="L36" s="87" t="s">
        <v>1429</v>
      </c>
    </row>
    <row r="37" spans="1:12">
      <c r="A37" s="88" t="s">
        <v>884</v>
      </c>
      <c r="B37" s="85" t="s">
        <v>1653</v>
      </c>
      <c r="C37" s="85" t="s">
        <v>1653</v>
      </c>
      <c r="D37" s="87" t="s">
        <v>1307</v>
      </c>
      <c r="E37" s="87" t="s">
        <v>878</v>
      </c>
      <c r="F37" s="87" t="s">
        <v>137</v>
      </c>
      <c r="G37" s="85">
        <v>1</v>
      </c>
      <c r="H37" s="85">
        <v>3</v>
      </c>
      <c r="I37" s="85">
        <v>0</v>
      </c>
      <c r="J37" s="85">
        <v>0</v>
      </c>
      <c r="K37" s="85">
        <v>1</v>
      </c>
      <c r="L37" s="87" t="s">
        <v>1429</v>
      </c>
    </row>
    <row r="38" spans="1:12">
      <c r="A38" s="88" t="s">
        <v>1381</v>
      </c>
      <c r="B38" s="85" t="s">
        <v>1652</v>
      </c>
      <c r="C38" s="85" t="s">
        <v>1653</v>
      </c>
      <c r="D38" s="87" t="s">
        <v>191</v>
      </c>
      <c r="E38" s="87" t="s">
        <v>18</v>
      </c>
      <c r="F38" s="87" t="s">
        <v>18</v>
      </c>
      <c r="G38" s="85">
        <v>1</v>
      </c>
      <c r="H38" s="85">
        <v>3</v>
      </c>
      <c r="I38" s="85">
        <v>0</v>
      </c>
      <c r="J38" s="85">
        <v>0</v>
      </c>
      <c r="K38" s="85">
        <v>1</v>
      </c>
      <c r="L38" s="87" t="s">
        <v>1429</v>
      </c>
    </row>
    <row r="39" spans="1:12">
      <c r="A39" s="88" t="s">
        <v>1252</v>
      </c>
      <c r="B39" s="85" t="s">
        <v>1653</v>
      </c>
      <c r="C39" s="85" t="s">
        <v>1653</v>
      </c>
      <c r="D39" s="87" t="s">
        <v>1307</v>
      </c>
      <c r="E39" s="87" t="s">
        <v>878</v>
      </c>
      <c r="F39" s="87" t="s">
        <v>601</v>
      </c>
      <c r="G39" s="85">
        <v>1</v>
      </c>
      <c r="H39" s="85">
        <v>3</v>
      </c>
      <c r="I39" s="85">
        <v>0</v>
      </c>
      <c r="J39" s="85">
        <v>0</v>
      </c>
      <c r="K39" s="85">
        <v>1</v>
      </c>
      <c r="L39" s="87" t="s">
        <v>1429</v>
      </c>
    </row>
    <row r="40" spans="1:12">
      <c r="A40" s="88" t="s">
        <v>1256</v>
      </c>
      <c r="B40" s="85" t="s">
        <v>1653</v>
      </c>
      <c r="C40" s="85" t="s">
        <v>1653</v>
      </c>
      <c r="D40" s="87" t="s">
        <v>1307</v>
      </c>
      <c r="E40" s="87" t="s">
        <v>878</v>
      </c>
      <c r="F40" s="87" t="s">
        <v>601</v>
      </c>
      <c r="G40" s="85">
        <v>1</v>
      </c>
      <c r="H40" s="85">
        <v>3</v>
      </c>
      <c r="I40" s="85">
        <v>0</v>
      </c>
      <c r="J40" s="85">
        <v>0</v>
      </c>
      <c r="K40" s="85">
        <v>1</v>
      </c>
      <c r="L40" s="87" t="s">
        <v>1429</v>
      </c>
    </row>
    <row r="41" spans="1:12">
      <c r="A41" s="88" t="s">
        <v>867</v>
      </c>
      <c r="B41" s="85" t="s">
        <v>1653</v>
      </c>
      <c r="C41" s="85" t="s">
        <v>1652</v>
      </c>
      <c r="D41" s="87" t="s">
        <v>18</v>
      </c>
      <c r="E41" s="87" t="s">
        <v>868</v>
      </c>
      <c r="F41" s="87" t="s">
        <v>638</v>
      </c>
      <c r="G41" s="85">
        <v>1</v>
      </c>
      <c r="H41" s="85">
        <v>3</v>
      </c>
      <c r="I41" s="85">
        <v>0</v>
      </c>
      <c r="J41" s="85">
        <v>0</v>
      </c>
      <c r="K41" s="85">
        <v>0</v>
      </c>
      <c r="L41" s="87" t="s">
        <v>1429</v>
      </c>
    </row>
    <row r="42" spans="1:12">
      <c r="A42" s="88" t="s">
        <v>870</v>
      </c>
      <c r="B42" s="85" t="s">
        <v>1653</v>
      </c>
      <c r="C42" s="85" t="s">
        <v>1652</v>
      </c>
      <c r="D42" s="87" t="s">
        <v>18</v>
      </c>
      <c r="E42" s="87" t="s">
        <v>871</v>
      </c>
      <c r="F42" s="87" t="s">
        <v>638</v>
      </c>
      <c r="G42" s="85">
        <v>1</v>
      </c>
      <c r="H42" s="85">
        <v>3</v>
      </c>
      <c r="I42" s="85">
        <v>0</v>
      </c>
      <c r="J42" s="85">
        <v>0</v>
      </c>
      <c r="K42" s="85">
        <v>0</v>
      </c>
      <c r="L42" s="87" t="s">
        <v>1429</v>
      </c>
    </row>
    <row r="43" spans="1:12">
      <c r="A43" s="88" t="s">
        <v>873</v>
      </c>
      <c r="B43" s="85" t="s">
        <v>1653</v>
      </c>
      <c r="C43" s="85" t="s">
        <v>1652</v>
      </c>
      <c r="D43" s="87" t="s">
        <v>18</v>
      </c>
      <c r="E43" s="87" t="s">
        <v>874</v>
      </c>
      <c r="F43" s="87" t="s">
        <v>638</v>
      </c>
      <c r="G43" s="85">
        <v>1</v>
      </c>
      <c r="H43" s="85">
        <v>3</v>
      </c>
      <c r="I43" s="85">
        <v>0</v>
      </c>
      <c r="J43" s="85">
        <v>0</v>
      </c>
      <c r="K43" s="85">
        <v>0</v>
      </c>
      <c r="L43" s="87" t="s">
        <v>1429</v>
      </c>
    </row>
    <row r="44" spans="1:12">
      <c r="A44" s="88" t="s">
        <v>876</v>
      </c>
      <c r="B44" s="85" t="s">
        <v>1653</v>
      </c>
      <c r="C44" s="85" t="s">
        <v>1652</v>
      </c>
      <c r="D44" s="87" t="s">
        <v>18</v>
      </c>
      <c r="E44" s="87" t="s">
        <v>877</v>
      </c>
      <c r="F44" s="87" t="s">
        <v>638</v>
      </c>
      <c r="G44" s="85">
        <v>1</v>
      </c>
      <c r="H44" s="85">
        <v>3</v>
      </c>
      <c r="I44" s="85">
        <v>0</v>
      </c>
      <c r="J44" s="85">
        <v>0</v>
      </c>
      <c r="K44" s="85">
        <v>0</v>
      </c>
      <c r="L44" s="87" t="s">
        <v>1429</v>
      </c>
    </row>
    <row r="45" spans="1:12">
      <c r="A45" s="88" t="s">
        <v>886</v>
      </c>
      <c r="B45" s="85" t="s">
        <v>1653</v>
      </c>
      <c r="C45" s="85" t="s">
        <v>1652</v>
      </c>
      <c r="D45" s="87" t="s">
        <v>18</v>
      </c>
      <c r="E45" s="87" t="s">
        <v>887</v>
      </c>
      <c r="F45" s="87" t="s">
        <v>170</v>
      </c>
      <c r="G45" s="85">
        <v>1</v>
      </c>
      <c r="H45" s="85">
        <v>3</v>
      </c>
      <c r="I45" s="85">
        <v>0</v>
      </c>
      <c r="J45" s="85">
        <v>0</v>
      </c>
      <c r="K45" s="85">
        <v>1</v>
      </c>
      <c r="L45" s="87" t="s">
        <v>1429</v>
      </c>
    </row>
    <row r="46" spans="1:12">
      <c r="A46" s="88" t="s">
        <v>888</v>
      </c>
      <c r="B46" s="85" t="s">
        <v>1653</v>
      </c>
      <c r="C46" s="85" t="s">
        <v>1652</v>
      </c>
      <c r="D46" s="87" t="s">
        <v>18</v>
      </c>
      <c r="E46" s="87" t="s">
        <v>889</v>
      </c>
      <c r="F46" s="87" t="s">
        <v>170</v>
      </c>
      <c r="G46" s="85">
        <v>1</v>
      </c>
      <c r="H46" s="85">
        <v>3</v>
      </c>
      <c r="I46" s="85">
        <v>0</v>
      </c>
      <c r="J46" s="85">
        <v>0</v>
      </c>
      <c r="K46" s="85">
        <v>1</v>
      </c>
      <c r="L46" s="87" t="s">
        <v>1429</v>
      </c>
    </row>
    <row r="47" spans="1:12">
      <c r="A47" s="88" t="s">
        <v>891</v>
      </c>
      <c r="B47" s="85" t="s">
        <v>1653</v>
      </c>
      <c r="C47" s="85" t="s">
        <v>1652</v>
      </c>
      <c r="D47" s="87" t="s">
        <v>18</v>
      </c>
      <c r="E47" s="87" t="s">
        <v>892</v>
      </c>
      <c r="F47" s="87" t="s">
        <v>638</v>
      </c>
      <c r="G47" s="85">
        <v>1</v>
      </c>
      <c r="H47" s="85">
        <v>3</v>
      </c>
      <c r="I47" s="85">
        <v>0</v>
      </c>
      <c r="J47" s="85">
        <v>0</v>
      </c>
      <c r="K47" s="85">
        <v>1</v>
      </c>
      <c r="L47" s="87" t="s">
        <v>1429</v>
      </c>
    </row>
    <row r="48" spans="1:12">
      <c r="A48" s="88" t="s">
        <v>1179</v>
      </c>
      <c r="B48" s="85" t="s">
        <v>1653</v>
      </c>
      <c r="C48" s="85" t="s">
        <v>1652</v>
      </c>
      <c r="D48" s="87" t="s">
        <v>18</v>
      </c>
      <c r="E48" s="87" t="s">
        <v>1180</v>
      </c>
      <c r="F48" s="87" t="s">
        <v>18</v>
      </c>
      <c r="G48" s="85">
        <v>0</v>
      </c>
      <c r="H48" s="85">
        <v>0</v>
      </c>
      <c r="I48" s="85">
        <v>0</v>
      </c>
      <c r="J48" s="85">
        <v>0</v>
      </c>
      <c r="K48" s="85">
        <v>0</v>
      </c>
      <c r="L48" s="87" t="s">
        <v>1429</v>
      </c>
    </row>
    <row r="49" spans="1:12">
      <c r="A49" s="88" t="s">
        <v>1222</v>
      </c>
      <c r="B49" s="85" t="s">
        <v>1653</v>
      </c>
      <c r="C49" s="85" t="s">
        <v>1652</v>
      </c>
      <c r="D49" s="87" t="s">
        <v>18</v>
      </c>
      <c r="E49" s="87" t="s">
        <v>1223</v>
      </c>
      <c r="F49" s="87" t="s">
        <v>518</v>
      </c>
      <c r="G49" s="85">
        <v>0</v>
      </c>
      <c r="H49" s="85">
        <v>0</v>
      </c>
      <c r="I49" s="85">
        <v>0</v>
      </c>
      <c r="J49" s="85">
        <v>0</v>
      </c>
      <c r="K49" s="85">
        <v>0</v>
      </c>
      <c r="L49" s="87" t="s">
        <v>1429</v>
      </c>
    </row>
    <row r="50" spans="1:12">
      <c r="A50" s="88" t="s">
        <v>1229</v>
      </c>
      <c r="B50" s="85" t="s">
        <v>1653</v>
      </c>
      <c r="C50" s="85" t="s">
        <v>1652</v>
      </c>
      <c r="D50" s="87" t="s">
        <v>18</v>
      </c>
      <c r="E50" s="87" t="s">
        <v>1230</v>
      </c>
      <c r="F50" s="87" t="s">
        <v>472</v>
      </c>
      <c r="G50" s="85">
        <v>0</v>
      </c>
      <c r="H50" s="85">
        <v>0</v>
      </c>
      <c r="I50" s="85">
        <v>0</v>
      </c>
      <c r="J50" s="85">
        <v>0</v>
      </c>
      <c r="K50" s="85">
        <v>0</v>
      </c>
      <c r="L50" s="87" t="s">
        <v>1429</v>
      </c>
    </row>
    <row r="51" spans="1:12">
      <c r="A51" s="88" t="s">
        <v>1225</v>
      </c>
      <c r="B51" s="85" t="s">
        <v>1653</v>
      </c>
      <c r="C51" s="85" t="s">
        <v>1652</v>
      </c>
      <c r="D51" s="87" t="s">
        <v>18</v>
      </c>
      <c r="E51" s="87" t="s">
        <v>1226</v>
      </c>
      <c r="F51" s="87" t="s">
        <v>518</v>
      </c>
      <c r="G51" s="85">
        <v>0</v>
      </c>
      <c r="H51" s="85">
        <v>0</v>
      </c>
      <c r="I51" s="85">
        <v>0</v>
      </c>
      <c r="J51" s="85">
        <v>0</v>
      </c>
      <c r="K51" s="85">
        <v>0</v>
      </c>
      <c r="L51" s="87" t="s">
        <v>1429</v>
      </c>
    </row>
    <row r="52" spans="1:12">
      <c r="A52" s="88" t="s">
        <v>1227</v>
      </c>
      <c r="B52" s="85" t="s">
        <v>1653</v>
      </c>
      <c r="C52" s="85" t="s">
        <v>1652</v>
      </c>
      <c r="D52" s="87" t="s">
        <v>18</v>
      </c>
      <c r="E52" s="87" t="s">
        <v>1228</v>
      </c>
      <c r="F52" s="87" t="s">
        <v>518</v>
      </c>
      <c r="G52" s="85">
        <v>0</v>
      </c>
      <c r="H52" s="85">
        <v>0</v>
      </c>
      <c r="I52" s="85">
        <v>0</v>
      </c>
      <c r="J52" s="85">
        <v>0</v>
      </c>
      <c r="K52" s="85">
        <v>0</v>
      </c>
      <c r="L52" s="87" t="s">
        <v>1429</v>
      </c>
    </row>
    <row r="53" spans="1:12">
      <c r="A53" s="88" t="s">
        <v>1219</v>
      </c>
      <c r="B53" s="85" t="s">
        <v>1653</v>
      </c>
      <c r="C53" s="85" t="s">
        <v>1652</v>
      </c>
      <c r="D53" s="87" t="s">
        <v>18</v>
      </c>
      <c r="E53" s="87" t="s">
        <v>1220</v>
      </c>
      <c r="F53" s="87" t="s">
        <v>78</v>
      </c>
      <c r="G53" s="85">
        <v>0</v>
      </c>
      <c r="H53" s="85">
        <v>0</v>
      </c>
      <c r="I53" s="85">
        <v>0</v>
      </c>
      <c r="J53" s="85">
        <v>0</v>
      </c>
      <c r="K53" s="85">
        <v>0</v>
      </c>
      <c r="L53" s="87" t="s">
        <v>1429</v>
      </c>
    </row>
    <row r="54" spans="1:12">
      <c r="A54" s="88" t="s">
        <v>1196</v>
      </c>
      <c r="B54" s="85" t="s">
        <v>1653</v>
      </c>
      <c r="C54" s="85" t="s">
        <v>1652</v>
      </c>
      <c r="D54" s="87" t="s">
        <v>18</v>
      </c>
      <c r="E54" s="87" t="s">
        <v>1197</v>
      </c>
      <c r="F54" s="87" t="s">
        <v>18</v>
      </c>
      <c r="G54" s="85">
        <v>0</v>
      </c>
      <c r="H54" s="85">
        <v>0</v>
      </c>
      <c r="I54" s="85">
        <v>0</v>
      </c>
      <c r="J54" s="85">
        <v>0</v>
      </c>
      <c r="K54" s="85">
        <v>0</v>
      </c>
      <c r="L54" s="87" t="s">
        <v>1429</v>
      </c>
    </row>
    <row r="55" spans="1:12">
      <c r="A55" s="88" t="s">
        <v>1202</v>
      </c>
      <c r="B55" s="85" t="s">
        <v>1653</v>
      </c>
      <c r="C55" s="85" t="s">
        <v>1652</v>
      </c>
      <c r="D55" s="87" t="s">
        <v>18</v>
      </c>
      <c r="E55" s="87" t="s">
        <v>18</v>
      </c>
      <c r="F55" s="87" t="s">
        <v>18</v>
      </c>
      <c r="G55" s="85">
        <v>0</v>
      </c>
      <c r="H55" s="85">
        <v>0</v>
      </c>
      <c r="I55" s="85">
        <v>0</v>
      </c>
      <c r="J55" s="85">
        <v>0</v>
      </c>
      <c r="K55" s="85">
        <v>0</v>
      </c>
      <c r="L55" s="87" t="s">
        <v>1737</v>
      </c>
    </row>
    <row r="56" spans="1:12">
      <c r="A56" s="88" t="s">
        <v>1153</v>
      </c>
      <c r="B56" s="85" t="s">
        <v>1653</v>
      </c>
      <c r="C56" s="85" t="s">
        <v>1652</v>
      </c>
      <c r="D56" s="87" t="s">
        <v>18</v>
      </c>
      <c r="E56" s="87" t="s">
        <v>1154</v>
      </c>
      <c r="F56" s="87" t="s">
        <v>18</v>
      </c>
      <c r="G56" s="85">
        <v>0</v>
      </c>
      <c r="H56" s="85">
        <v>0</v>
      </c>
      <c r="I56" s="85">
        <v>0</v>
      </c>
      <c r="J56" s="85">
        <v>0</v>
      </c>
      <c r="K56" s="85">
        <v>0</v>
      </c>
      <c r="L56" s="87" t="s">
        <v>1429</v>
      </c>
    </row>
    <row r="57" spans="1:12">
      <c r="A57" s="88" t="s">
        <v>1157</v>
      </c>
      <c r="B57" s="85" t="s">
        <v>1653</v>
      </c>
      <c r="C57" s="85" t="s">
        <v>1652</v>
      </c>
      <c r="D57" s="87" t="s">
        <v>18</v>
      </c>
      <c r="E57" s="87" t="s">
        <v>1154</v>
      </c>
      <c r="F57" s="87" t="s">
        <v>18</v>
      </c>
      <c r="G57" s="85">
        <v>0</v>
      </c>
      <c r="H57" s="85">
        <v>0</v>
      </c>
      <c r="I57" s="85">
        <v>0</v>
      </c>
      <c r="J57" s="85">
        <v>0</v>
      </c>
      <c r="K57" s="85">
        <v>0</v>
      </c>
      <c r="L57" s="87" t="s">
        <v>1429</v>
      </c>
    </row>
    <row r="58" spans="1:12">
      <c r="A58" s="88" t="s">
        <v>1231</v>
      </c>
      <c r="B58" s="85" t="s">
        <v>1653</v>
      </c>
      <c r="C58" s="85" t="s">
        <v>1652</v>
      </c>
      <c r="D58" s="87" t="s">
        <v>18</v>
      </c>
      <c r="E58" s="87" t="s">
        <v>18</v>
      </c>
      <c r="F58" s="87" t="s">
        <v>18</v>
      </c>
      <c r="G58" s="85">
        <v>0</v>
      </c>
      <c r="H58" s="85">
        <v>0</v>
      </c>
      <c r="I58" s="85">
        <v>0</v>
      </c>
      <c r="J58" s="85">
        <v>0</v>
      </c>
      <c r="K58" s="85">
        <v>0</v>
      </c>
      <c r="L58" s="87" t="s">
        <v>1429</v>
      </c>
    </row>
    <row r="59" spans="1:12">
      <c r="A59" s="88" t="s">
        <v>926</v>
      </c>
      <c r="B59" s="85" t="s">
        <v>1653</v>
      </c>
      <c r="C59" s="85" t="s">
        <v>1652</v>
      </c>
      <c r="D59" s="87" t="s">
        <v>18</v>
      </c>
      <c r="E59" s="87" t="s">
        <v>927</v>
      </c>
      <c r="F59" s="87" t="s">
        <v>472</v>
      </c>
      <c r="G59" s="85">
        <v>1</v>
      </c>
      <c r="H59" s="85">
        <v>2</v>
      </c>
      <c r="I59" s="85">
        <v>0</v>
      </c>
      <c r="J59" s="85">
        <v>0</v>
      </c>
      <c r="K59" s="85">
        <v>0</v>
      </c>
      <c r="L59" s="87" t="s">
        <v>1429</v>
      </c>
    </row>
    <row r="60" spans="1:12">
      <c r="A60" s="88" t="s">
        <v>1218</v>
      </c>
      <c r="B60" s="85" t="s">
        <v>1653</v>
      </c>
      <c r="C60" s="85" t="s">
        <v>1652</v>
      </c>
      <c r="D60" s="87" t="s">
        <v>18</v>
      </c>
      <c r="E60" s="87" t="s">
        <v>18</v>
      </c>
      <c r="F60" s="87" t="s">
        <v>18</v>
      </c>
      <c r="G60" s="85">
        <v>0</v>
      </c>
      <c r="H60" s="85">
        <v>0</v>
      </c>
      <c r="I60" s="85">
        <v>0</v>
      </c>
      <c r="J60" s="85">
        <v>0</v>
      </c>
      <c r="K60" s="85">
        <v>0</v>
      </c>
      <c r="L60" s="87" t="s">
        <v>1737</v>
      </c>
    </row>
    <row r="61" spans="1:12">
      <c r="A61" s="88" t="s">
        <v>735</v>
      </c>
      <c r="B61" s="85" t="s">
        <v>1653</v>
      </c>
      <c r="C61" s="85" t="s">
        <v>1652</v>
      </c>
      <c r="D61" s="87" t="s">
        <v>18</v>
      </c>
      <c r="E61" s="87" t="s">
        <v>736</v>
      </c>
      <c r="F61" s="87" t="s">
        <v>725</v>
      </c>
      <c r="G61" s="85">
        <v>0</v>
      </c>
      <c r="H61" s="85">
        <v>0</v>
      </c>
      <c r="I61" s="85">
        <v>1</v>
      </c>
      <c r="J61" s="85">
        <v>0</v>
      </c>
      <c r="K61" s="85">
        <v>0</v>
      </c>
      <c r="L61" s="87" t="s">
        <v>1429</v>
      </c>
    </row>
    <row r="62" spans="1:12">
      <c r="A62" s="88" t="s">
        <v>732</v>
      </c>
      <c r="B62" s="85" t="s">
        <v>1653</v>
      </c>
      <c r="C62" s="85" t="s">
        <v>1652</v>
      </c>
      <c r="D62" s="87" t="s">
        <v>18</v>
      </c>
      <c r="E62" s="87" t="s">
        <v>733</v>
      </c>
      <c r="F62" s="87" t="s">
        <v>495</v>
      </c>
      <c r="G62" s="85">
        <v>0</v>
      </c>
      <c r="H62" s="85">
        <v>0</v>
      </c>
      <c r="I62" s="85">
        <v>1</v>
      </c>
      <c r="J62" s="85">
        <v>0</v>
      </c>
      <c r="K62" s="85">
        <v>0</v>
      </c>
      <c r="L62" s="87" t="s">
        <v>1429</v>
      </c>
    </row>
    <row r="63" spans="1:12">
      <c r="A63" s="88" t="s">
        <v>1120</v>
      </c>
      <c r="B63" s="85" t="s">
        <v>1653</v>
      </c>
      <c r="C63" s="85" t="s">
        <v>1652</v>
      </c>
      <c r="D63" s="87" t="s">
        <v>18</v>
      </c>
      <c r="E63" s="87" t="s">
        <v>704</v>
      </c>
      <c r="F63" s="87" t="s">
        <v>18</v>
      </c>
      <c r="G63" s="85">
        <v>0</v>
      </c>
      <c r="H63" s="85">
        <v>0</v>
      </c>
      <c r="I63" s="85">
        <v>0</v>
      </c>
      <c r="J63" s="85">
        <v>0</v>
      </c>
      <c r="K63" s="85">
        <v>0</v>
      </c>
      <c r="L63" s="87" t="s">
        <v>1429</v>
      </c>
    </row>
    <row r="64" spans="1:12">
      <c r="A64" s="88" t="s">
        <v>1151</v>
      </c>
      <c r="B64" s="85" t="s">
        <v>1653</v>
      </c>
      <c r="C64" s="85" t="s">
        <v>1652</v>
      </c>
      <c r="D64" s="87" t="s">
        <v>18</v>
      </c>
      <c r="E64" s="87" t="s">
        <v>1144</v>
      </c>
      <c r="F64" s="87" t="s">
        <v>18</v>
      </c>
      <c r="G64" s="85">
        <v>0</v>
      </c>
      <c r="H64" s="85">
        <v>0</v>
      </c>
      <c r="I64" s="85">
        <v>0</v>
      </c>
      <c r="J64" s="85">
        <v>0</v>
      </c>
      <c r="K64" s="85">
        <v>0</v>
      </c>
      <c r="L64" s="87" t="s">
        <v>1429</v>
      </c>
    </row>
    <row r="65" spans="1:12">
      <c r="A65" s="88" t="s">
        <v>1149</v>
      </c>
      <c r="B65" s="85" t="s">
        <v>1653</v>
      </c>
      <c r="C65" s="85" t="s">
        <v>1652</v>
      </c>
      <c r="D65" s="87" t="s">
        <v>18</v>
      </c>
      <c r="E65" s="87" t="s">
        <v>1144</v>
      </c>
      <c r="F65" s="87" t="s">
        <v>18</v>
      </c>
      <c r="G65" s="85">
        <v>0</v>
      </c>
      <c r="H65" s="85">
        <v>0</v>
      </c>
      <c r="I65" s="85">
        <v>0</v>
      </c>
      <c r="J65" s="85">
        <v>0</v>
      </c>
      <c r="K65" s="85">
        <v>0</v>
      </c>
      <c r="L65" s="87" t="s">
        <v>1429</v>
      </c>
    </row>
    <row r="66" spans="1:12">
      <c r="A66" s="88" t="s">
        <v>1147</v>
      </c>
      <c r="B66" s="85" t="s">
        <v>1653</v>
      </c>
      <c r="C66" s="85" t="s">
        <v>1652</v>
      </c>
      <c r="D66" s="87" t="s">
        <v>18</v>
      </c>
      <c r="E66" s="87" t="s">
        <v>1144</v>
      </c>
      <c r="F66" s="87" t="s">
        <v>18</v>
      </c>
      <c r="G66" s="85">
        <v>0</v>
      </c>
      <c r="H66" s="85">
        <v>0</v>
      </c>
      <c r="I66" s="85">
        <v>0</v>
      </c>
      <c r="J66" s="85">
        <v>0</v>
      </c>
      <c r="K66" s="85">
        <v>0</v>
      </c>
      <c r="L66" s="87" t="s">
        <v>1429</v>
      </c>
    </row>
    <row r="67" spans="1:12">
      <c r="A67" s="88" t="s">
        <v>1143</v>
      </c>
      <c r="B67" s="85" t="s">
        <v>1653</v>
      </c>
      <c r="C67" s="85" t="s">
        <v>1652</v>
      </c>
      <c r="D67" s="87" t="s">
        <v>18</v>
      </c>
      <c r="E67" s="87" t="s">
        <v>1144</v>
      </c>
      <c r="F67" s="87" t="s">
        <v>18</v>
      </c>
      <c r="G67" s="85">
        <v>0</v>
      </c>
      <c r="H67" s="85">
        <v>0</v>
      </c>
      <c r="I67" s="85">
        <v>0</v>
      </c>
      <c r="J67" s="85">
        <v>0</v>
      </c>
      <c r="K67" s="85">
        <v>0</v>
      </c>
      <c r="L67" s="87" t="s">
        <v>1429</v>
      </c>
    </row>
    <row r="68" spans="1:12">
      <c r="A68" s="88" t="s">
        <v>1191</v>
      </c>
      <c r="B68" s="85" t="s">
        <v>1653</v>
      </c>
      <c r="C68" s="85" t="s">
        <v>1652</v>
      </c>
      <c r="D68" s="87" t="s">
        <v>18</v>
      </c>
      <c r="E68" s="87" t="s">
        <v>1192</v>
      </c>
      <c r="F68" s="87" t="s">
        <v>18</v>
      </c>
      <c r="G68" s="85">
        <v>0</v>
      </c>
      <c r="H68" s="85">
        <v>0</v>
      </c>
      <c r="I68" s="85">
        <v>0</v>
      </c>
      <c r="J68" s="85">
        <v>0</v>
      </c>
      <c r="K68" s="85">
        <v>0</v>
      </c>
      <c r="L68" s="87" t="s">
        <v>1429</v>
      </c>
    </row>
    <row r="69" spans="1:12">
      <c r="A69" s="88" t="s">
        <v>1385</v>
      </c>
      <c r="B69" s="85" t="s">
        <v>1652</v>
      </c>
      <c r="C69" s="85" t="s">
        <v>1653</v>
      </c>
      <c r="D69" s="87" t="s">
        <v>191</v>
      </c>
      <c r="E69" s="87" t="s">
        <v>18</v>
      </c>
      <c r="F69" s="87" t="s">
        <v>18</v>
      </c>
      <c r="G69" s="85">
        <v>0</v>
      </c>
      <c r="H69" s="85">
        <v>1</v>
      </c>
      <c r="I69" s="85">
        <v>0</v>
      </c>
      <c r="J69" s="85">
        <v>0</v>
      </c>
      <c r="K69" s="85">
        <v>0</v>
      </c>
      <c r="L69" s="87" t="s">
        <v>1429</v>
      </c>
    </row>
    <row r="70" spans="1:12">
      <c r="A70" s="88" t="s">
        <v>970</v>
      </c>
      <c r="B70" s="85" t="s">
        <v>1653</v>
      </c>
      <c r="C70" s="85" t="s">
        <v>1652</v>
      </c>
      <c r="D70" s="87" t="s">
        <v>18</v>
      </c>
      <c r="E70" s="87" t="s">
        <v>971</v>
      </c>
      <c r="F70" s="87" t="s">
        <v>528</v>
      </c>
      <c r="G70" s="85">
        <v>1</v>
      </c>
      <c r="H70" s="85">
        <v>2</v>
      </c>
      <c r="I70" s="85">
        <v>0</v>
      </c>
      <c r="J70" s="85">
        <v>0</v>
      </c>
      <c r="K70" s="85">
        <v>0</v>
      </c>
      <c r="L70" s="87" t="s">
        <v>1429</v>
      </c>
    </row>
    <row r="71" spans="1:12">
      <c r="A71" s="88" t="s">
        <v>972</v>
      </c>
      <c r="B71" s="85" t="s">
        <v>1653</v>
      </c>
      <c r="C71" s="85" t="s">
        <v>1652</v>
      </c>
      <c r="D71" s="87" t="s">
        <v>18</v>
      </c>
      <c r="E71" s="87" t="s">
        <v>973</v>
      </c>
      <c r="F71" s="87" t="s">
        <v>528</v>
      </c>
      <c r="G71" s="85">
        <v>1</v>
      </c>
      <c r="H71" s="85">
        <v>2</v>
      </c>
      <c r="I71" s="85">
        <v>0</v>
      </c>
      <c r="J71" s="85">
        <v>0</v>
      </c>
      <c r="K71" s="85">
        <v>0</v>
      </c>
      <c r="L71" s="87" t="s">
        <v>1429</v>
      </c>
    </row>
    <row r="72" spans="1:12">
      <c r="A72" s="88" t="s">
        <v>974</v>
      </c>
      <c r="B72" s="85" t="s">
        <v>1653</v>
      </c>
      <c r="C72" s="85" t="s">
        <v>1652</v>
      </c>
      <c r="D72" s="87" t="s">
        <v>18</v>
      </c>
      <c r="E72" s="87" t="s">
        <v>975</v>
      </c>
      <c r="F72" s="87" t="s">
        <v>528</v>
      </c>
      <c r="G72" s="85">
        <v>1</v>
      </c>
      <c r="H72" s="85">
        <v>2</v>
      </c>
      <c r="I72" s="85">
        <v>0</v>
      </c>
      <c r="J72" s="85">
        <v>0</v>
      </c>
      <c r="K72" s="85">
        <v>0</v>
      </c>
      <c r="L72" s="87" t="s">
        <v>1429</v>
      </c>
    </row>
    <row r="73" spans="1:12">
      <c r="A73" s="88" t="s">
        <v>976</v>
      </c>
      <c r="B73" s="85" t="s">
        <v>1653</v>
      </c>
      <c r="C73" s="85" t="s">
        <v>1652</v>
      </c>
      <c r="D73" s="87" t="s">
        <v>18</v>
      </c>
      <c r="E73" s="87" t="s">
        <v>977</v>
      </c>
      <c r="F73" s="87" t="s">
        <v>528</v>
      </c>
      <c r="G73" s="85">
        <v>1</v>
      </c>
      <c r="H73" s="85">
        <v>2</v>
      </c>
      <c r="I73" s="85">
        <v>0</v>
      </c>
      <c r="J73" s="85">
        <v>0</v>
      </c>
      <c r="K73" s="85">
        <v>0</v>
      </c>
      <c r="L73" s="87" t="s">
        <v>1429</v>
      </c>
    </row>
    <row r="74" spans="1:12">
      <c r="A74" s="88" t="s">
        <v>832</v>
      </c>
      <c r="B74" s="85" t="s">
        <v>1653</v>
      </c>
      <c r="C74" s="85" t="s">
        <v>1652</v>
      </c>
      <c r="D74" s="87" t="s">
        <v>18</v>
      </c>
      <c r="E74" s="87" t="s">
        <v>833</v>
      </c>
      <c r="F74" s="87" t="s">
        <v>78</v>
      </c>
      <c r="G74" s="85">
        <v>0</v>
      </c>
      <c r="H74" s="85">
        <v>1</v>
      </c>
      <c r="I74" s="85">
        <v>0</v>
      </c>
      <c r="J74" s="85">
        <v>0</v>
      </c>
      <c r="K74" s="85">
        <v>0</v>
      </c>
      <c r="L74" s="87" t="s">
        <v>1429</v>
      </c>
    </row>
    <row r="75" spans="1:12">
      <c r="A75" s="88" t="s">
        <v>834</v>
      </c>
      <c r="B75" s="85" t="s">
        <v>1653</v>
      </c>
      <c r="C75" s="85" t="s">
        <v>1652</v>
      </c>
      <c r="D75" s="87" t="s">
        <v>18</v>
      </c>
      <c r="E75" s="87" t="s">
        <v>835</v>
      </c>
      <c r="F75" s="87" t="s">
        <v>78</v>
      </c>
      <c r="G75" s="85">
        <v>0</v>
      </c>
      <c r="H75" s="85">
        <v>1</v>
      </c>
      <c r="I75" s="85">
        <v>0</v>
      </c>
      <c r="J75" s="85">
        <v>0</v>
      </c>
      <c r="K75" s="85">
        <v>0</v>
      </c>
      <c r="L75" s="87" t="s">
        <v>1429</v>
      </c>
    </row>
    <row r="76" spans="1:12">
      <c r="A76" s="88" t="s">
        <v>1201</v>
      </c>
      <c r="B76" s="85" t="s">
        <v>1653</v>
      </c>
      <c r="C76" s="85" t="s">
        <v>1652</v>
      </c>
      <c r="D76" s="87" t="s">
        <v>18</v>
      </c>
      <c r="E76" s="87" t="s">
        <v>1189</v>
      </c>
      <c r="F76" s="87" t="s">
        <v>18</v>
      </c>
      <c r="G76" s="85">
        <v>0</v>
      </c>
      <c r="H76" s="85">
        <v>0</v>
      </c>
      <c r="I76" s="85">
        <v>0</v>
      </c>
      <c r="J76" s="85">
        <v>0</v>
      </c>
      <c r="K76" s="85">
        <v>0</v>
      </c>
      <c r="L76" s="87" t="s">
        <v>1429</v>
      </c>
    </row>
    <row r="77" spans="1:12">
      <c r="A77" s="88" t="s">
        <v>1188</v>
      </c>
      <c r="B77" s="85" t="s">
        <v>1653</v>
      </c>
      <c r="C77" s="85" t="s">
        <v>1652</v>
      </c>
      <c r="D77" s="87" t="s">
        <v>18</v>
      </c>
      <c r="E77" s="87" t="s">
        <v>1189</v>
      </c>
      <c r="F77" s="87" t="s">
        <v>18</v>
      </c>
      <c r="G77" s="85">
        <v>0</v>
      </c>
      <c r="H77" s="85">
        <v>0</v>
      </c>
      <c r="I77" s="85">
        <v>0</v>
      </c>
      <c r="J77" s="85">
        <v>0</v>
      </c>
      <c r="K77" s="85">
        <v>0</v>
      </c>
      <c r="L77" s="87" t="s">
        <v>1429</v>
      </c>
    </row>
    <row r="78" spans="1:12">
      <c r="A78" s="88" t="s">
        <v>1195</v>
      </c>
      <c r="B78" s="85" t="s">
        <v>1653</v>
      </c>
      <c r="C78" s="85" t="s">
        <v>1652</v>
      </c>
      <c r="D78" s="87" t="s">
        <v>18</v>
      </c>
      <c r="E78" s="87" t="s">
        <v>1189</v>
      </c>
      <c r="F78" s="87" t="s">
        <v>18</v>
      </c>
      <c r="G78" s="85">
        <v>0</v>
      </c>
      <c r="H78" s="85">
        <v>0</v>
      </c>
      <c r="I78" s="85">
        <v>0</v>
      </c>
      <c r="J78" s="85">
        <v>0</v>
      </c>
      <c r="K78" s="85">
        <v>0</v>
      </c>
      <c r="L78" s="87" t="s">
        <v>1429</v>
      </c>
    </row>
    <row r="79" spans="1:12">
      <c r="A79" s="88" t="s">
        <v>1140</v>
      </c>
      <c r="B79" s="85" t="s">
        <v>1653</v>
      </c>
      <c r="C79" s="85" t="s">
        <v>1652</v>
      </c>
      <c r="D79" s="87" t="s">
        <v>18</v>
      </c>
      <c r="E79" s="87" t="s">
        <v>1141</v>
      </c>
      <c r="F79" s="87" t="s">
        <v>18</v>
      </c>
      <c r="G79" s="85">
        <v>0</v>
      </c>
      <c r="H79" s="85">
        <v>0</v>
      </c>
      <c r="I79" s="85">
        <v>0</v>
      </c>
      <c r="J79" s="85">
        <v>0</v>
      </c>
      <c r="K79" s="85">
        <v>0</v>
      </c>
      <c r="L79" s="87" t="s">
        <v>1429</v>
      </c>
    </row>
    <row r="80" spans="1:12">
      <c r="A80" s="88" t="s">
        <v>1175</v>
      </c>
      <c r="B80" s="85" t="s">
        <v>1653</v>
      </c>
      <c r="C80" s="85" t="s">
        <v>1652</v>
      </c>
      <c r="D80" s="87" t="s">
        <v>18</v>
      </c>
      <c r="E80" s="87" t="s">
        <v>1176</v>
      </c>
      <c r="F80" s="87" t="s">
        <v>18</v>
      </c>
      <c r="G80" s="85">
        <v>0</v>
      </c>
      <c r="H80" s="85">
        <v>0</v>
      </c>
      <c r="I80" s="85">
        <v>0</v>
      </c>
      <c r="J80" s="85">
        <v>0</v>
      </c>
      <c r="K80" s="85">
        <v>0</v>
      </c>
      <c r="L80" s="87" t="s">
        <v>1429</v>
      </c>
    </row>
    <row r="81" spans="1:12">
      <c r="A81" s="88" t="s">
        <v>1137</v>
      </c>
      <c r="B81" s="85" t="s">
        <v>1653</v>
      </c>
      <c r="C81" s="85" t="s">
        <v>1652</v>
      </c>
      <c r="D81" s="87" t="s">
        <v>18</v>
      </c>
      <c r="E81" s="87" t="s">
        <v>1138</v>
      </c>
      <c r="F81" s="87" t="s">
        <v>18</v>
      </c>
      <c r="G81" s="85">
        <v>0</v>
      </c>
      <c r="H81" s="85">
        <v>0</v>
      </c>
      <c r="I81" s="85">
        <v>0</v>
      </c>
      <c r="J81" s="85">
        <v>0</v>
      </c>
      <c r="K81" s="85">
        <v>0</v>
      </c>
      <c r="L81" s="87" t="s">
        <v>1429</v>
      </c>
    </row>
    <row r="82" spans="1:12">
      <c r="A82" s="88" t="s">
        <v>1200</v>
      </c>
      <c r="B82" s="85" t="s">
        <v>1653</v>
      </c>
      <c r="C82" s="85" t="s">
        <v>1652</v>
      </c>
      <c r="D82" s="87" t="s">
        <v>18</v>
      </c>
      <c r="E82" s="87" t="s">
        <v>1186</v>
      </c>
      <c r="F82" s="87" t="s">
        <v>18</v>
      </c>
      <c r="G82" s="85">
        <v>0</v>
      </c>
      <c r="H82" s="85">
        <v>0</v>
      </c>
      <c r="I82" s="85">
        <v>0</v>
      </c>
      <c r="J82" s="85">
        <v>0</v>
      </c>
      <c r="K82" s="85">
        <v>0</v>
      </c>
      <c r="L82" s="87" t="s">
        <v>1429</v>
      </c>
    </row>
    <row r="83" spans="1:12">
      <c r="A83" s="88" t="s">
        <v>1185</v>
      </c>
      <c r="B83" s="85" t="s">
        <v>1653</v>
      </c>
      <c r="C83" s="85" t="s">
        <v>1652</v>
      </c>
      <c r="D83" s="87" t="s">
        <v>18</v>
      </c>
      <c r="E83" s="87" t="s">
        <v>1186</v>
      </c>
      <c r="F83" s="87" t="s">
        <v>18</v>
      </c>
      <c r="G83" s="85">
        <v>0</v>
      </c>
      <c r="H83" s="85">
        <v>0</v>
      </c>
      <c r="I83" s="85">
        <v>0</v>
      </c>
      <c r="J83" s="85">
        <v>0</v>
      </c>
      <c r="K83" s="85">
        <v>0</v>
      </c>
      <c r="L83" s="87" t="s">
        <v>1429</v>
      </c>
    </row>
    <row r="84" spans="1:12">
      <c r="A84" s="88" t="s">
        <v>1194</v>
      </c>
      <c r="B84" s="85" t="s">
        <v>1653</v>
      </c>
      <c r="C84" s="85" t="s">
        <v>1652</v>
      </c>
      <c r="D84" s="87" t="s">
        <v>18</v>
      </c>
      <c r="E84" s="87" t="s">
        <v>1186</v>
      </c>
      <c r="F84" s="87" t="s">
        <v>18</v>
      </c>
      <c r="G84" s="85">
        <v>0</v>
      </c>
      <c r="H84" s="85">
        <v>0</v>
      </c>
      <c r="I84" s="85">
        <v>0</v>
      </c>
      <c r="J84" s="85">
        <v>0</v>
      </c>
      <c r="K84" s="85">
        <v>0</v>
      </c>
      <c r="L84" s="87" t="s">
        <v>1429</v>
      </c>
    </row>
    <row r="85" spans="1:12">
      <c r="A85" s="88" t="s">
        <v>1177</v>
      </c>
      <c r="B85" s="85" t="s">
        <v>1653</v>
      </c>
      <c r="C85" s="85" t="s">
        <v>1652</v>
      </c>
      <c r="D85" s="87" t="s">
        <v>18</v>
      </c>
      <c r="E85" s="87" t="s">
        <v>1178</v>
      </c>
      <c r="F85" s="87" t="s">
        <v>18</v>
      </c>
      <c r="G85" s="85">
        <v>0</v>
      </c>
      <c r="H85" s="85">
        <v>0</v>
      </c>
      <c r="I85" s="85">
        <v>0</v>
      </c>
      <c r="J85" s="85">
        <v>0</v>
      </c>
      <c r="K85" s="85">
        <v>0</v>
      </c>
      <c r="L85" s="87" t="s">
        <v>1429</v>
      </c>
    </row>
    <row r="86" spans="1:12">
      <c r="A86" s="88" t="s">
        <v>1134</v>
      </c>
      <c r="B86" s="85" t="s">
        <v>1653</v>
      </c>
      <c r="C86" s="85" t="s">
        <v>1652</v>
      </c>
      <c r="D86" s="87" t="s">
        <v>18</v>
      </c>
      <c r="E86" s="87" t="s">
        <v>1135</v>
      </c>
      <c r="F86" s="87" t="s">
        <v>18</v>
      </c>
      <c r="G86" s="85">
        <v>0</v>
      </c>
      <c r="H86" s="85">
        <v>0</v>
      </c>
      <c r="I86" s="85">
        <v>0</v>
      </c>
      <c r="J86" s="85">
        <v>0</v>
      </c>
      <c r="K86" s="85">
        <v>0</v>
      </c>
      <c r="L86" s="87" t="s">
        <v>1429</v>
      </c>
    </row>
  </sheetData>
  <autoFilter ref="A1:L86" xr:uid="{00000000-0009-0000-0000-00000F000000}"/>
  <pageMargins left="0.75" right="0.75" top="1" bottom="1" header="0.5" footer="0.5"/>
  <pageSetup paperSize="9"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77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3203125" defaultRowHeight="16"/>
  <cols>
    <col min="1" max="1" width="8" customWidth="1"/>
    <col min="2" max="3" width="18" customWidth="1"/>
    <col min="4" max="6" width="28" customWidth="1"/>
    <col min="7" max="7" width="45" customWidth="1"/>
  </cols>
  <sheetData>
    <row r="1" spans="1:7">
      <c r="A1" s="84" t="s">
        <v>1631</v>
      </c>
      <c r="B1" s="84" t="s">
        <v>1742</v>
      </c>
      <c r="C1" s="84" t="s">
        <v>1743</v>
      </c>
      <c r="D1" s="84" t="s">
        <v>1744</v>
      </c>
      <c r="E1" s="84" t="s">
        <v>1745</v>
      </c>
      <c r="F1" s="84" t="s">
        <v>1746</v>
      </c>
      <c r="G1" s="84" t="s">
        <v>1747</v>
      </c>
    </row>
    <row r="2" spans="1:7">
      <c r="A2" s="85">
        <v>1</v>
      </c>
      <c r="B2" s="88" t="s">
        <v>381</v>
      </c>
      <c r="C2" s="87" t="s">
        <v>381</v>
      </c>
      <c r="D2" s="106" t="s">
        <v>1748</v>
      </c>
      <c r="E2" s="87" t="s">
        <v>1749</v>
      </c>
      <c r="F2" s="87" t="s">
        <v>1750</v>
      </c>
      <c r="G2" s="87" t="s">
        <v>1751</v>
      </c>
    </row>
    <row r="3" spans="1:7">
      <c r="A3" s="85">
        <v>15</v>
      </c>
      <c r="B3" s="88" t="s">
        <v>18</v>
      </c>
      <c r="C3" s="87" t="s">
        <v>1244</v>
      </c>
      <c r="D3" s="106" t="s">
        <v>1622</v>
      </c>
      <c r="E3" s="87" t="s">
        <v>1752</v>
      </c>
      <c r="F3" s="87" t="s">
        <v>1753</v>
      </c>
      <c r="G3" s="87" t="s">
        <v>1754</v>
      </c>
    </row>
    <row r="4" spans="1:7">
      <c r="A4" s="85">
        <v>16</v>
      </c>
      <c r="B4" s="88" t="s">
        <v>18</v>
      </c>
      <c r="C4" s="87" t="s">
        <v>1249</v>
      </c>
      <c r="D4" s="106" t="s">
        <v>1622</v>
      </c>
      <c r="E4" s="87" t="s">
        <v>1752</v>
      </c>
      <c r="F4" s="87" t="s">
        <v>1753</v>
      </c>
      <c r="G4" s="87" t="s">
        <v>1754</v>
      </c>
    </row>
    <row r="5" spans="1:7">
      <c r="A5" s="85">
        <v>13</v>
      </c>
      <c r="B5" s="88" t="s">
        <v>132</v>
      </c>
      <c r="C5" s="87" t="s">
        <v>132</v>
      </c>
      <c r="D5" s="106" t="s">
        <v>1622</v>
      </c>
      <c r="E5" s="87" t="s">
        <v>1755</v>
      </c>
      <c r="F5" s="87" t="s">
        <v>1756</v>
      </c>
      <c r="G5" s="87" t="s">
        <v>1757</v>
      </c>
    </row>
    <row r="6" spans="1:7">
      <c r="A6" s="85">
        <v>13</v>
      </c>
      <c r="B6" s="88" t="s">
        <v>132</v>
      </c>
      <c r="C6" s="87" t="s">
        <v>132</v>
      </c>
      <c r="D6" s="106" t="s">
        <v>1748</v>
      </c>
      <c r="E6" s="87" t="s">
        <v>1758</v>
      </c>
      <c r="F6" s="87" t="s">
        <v>1759</v>
      </c>
      <c r="G6" s="87" t="s">
        <v>1751</v>
      </c>
    </row>
    <row r="7" spans="1:7">
      <c r="A7" s="85">
        <v>14</v>
      </c>
      <c r="B7" s="88" t="s">
        <v>133</v>
      </c>
      <c r="C7" s="87" t="s">
        <v>133</v>
      </c>
      <c r="D7" s="106" t="s">
        <v>1622</v>
      </c>
      <c r="E7" s="87" t="s">
        <v>1755</v>
      </c>
      <c r="F7" s="87" t="s">
        <v>1753</v>
      </c>
      <c r="G7" s="87" t="s">
        <v>1760</v>
      </c>
    </row>
    <row r="8" spans="1:7">
      <c r="A8" s="85">
        <v>14</v>
      </c>
      <c r="B8" s="88" t="s">
        <v>133</v>
      </c>
      <c r="C8" s="87" t="s">
        <v>133</v>
      </c>
      <c r="D8" s="106" t="s">
        <v>1748</v>
      </c>
      <c r="E8" s="87" t="s">
        <v>1761</v>
      </c>
      <c r="F8" s="87" t="s">
        <v>1762</v>
      </c>
      <c r="G8" s="87" t="s">
        <v>1751</v>
      </c>
    </row>
    <row r="9" spans="1:7">
      <c r="A9" s="85">
        <v>15</v>
      </c>
      <c r="B9" s="88" t="s">
        <v>134</v>
      </c>
      <c r="C9" s="87" t="s">
        <v>134</v>
      </c>
      <c r="D9" s="106" t="s">
        <v>1622</v>
      </c>
      <c r="E9" s="87" t="s">
        <v>1755</v>
      </c>
      <c r="F9" s="87" t="s">
        <v>1753</v>
      </c>
      <c r="G9" s="87" t="s">
        <v>1760</v>
      </c>
    </row>
    <row r="10" spans="1:7">
      <c r="A10" s="85">
        <v>15</v>
      </c>
      <c r="B10" s="88" t="s">
        <v>134</v>
      </c>
      <c r="C10" s="87" t="s">
        <v>134</v>
      </c>
      <c r="D10" s="106" t="s">
        <v>1748</v>
      </c>
      <c r="E10" s="87" t="s">
        <v>1761</v>
      </c>
      <c r="F10" s="87" t="s">
        <v>1762</v>
      </c>
      <c r="G10" s="87" t="s">
        <v>1751</v>
      </c>
    </row>
    <row r="11" spans="1:7">
      <c r="A11" s="85">
        <v>7</v>
      </c>
      <c r="B11" s="88" t="s">
        <v>143</v>
      </c>
      <c r="C11" s="87" t="s">
        <v>143</v>
      </c>
      <c r="D11" s="106" t="s">
        <v>1748</v>
      </c>
      <c r="E11" s="87" t="s">
        <v>1750</v>
      </c>
      <c r="F11" s="87" t="s">
        <v>1749</v>
      </c>
      <c r="G11" s="87" t="s">
        <v>1751</v>
      </c>
    </row>
    <row r="12" spans="1:7">
      <c r="A12" s="85">
        <v>8</v>
      </c>
      <c r="B12" s="88" t="s">
        <v>144</v>
      </c>
      <c r="C12" s="87" t="s">
        <v>144</v>
      </c>
      <c r="D12" s="106" t="s">
        <v>1748</v>
      </c>
      <c r="E12" s="87" t="s">
        <v>1750</v>
      </c>
      <c r="F12" s="87" t="s">
        <v>1749</v>
      </c>
      <c r="G12" s="87" t="s">
        <v>1751</v>
      </c>
    </row>
    <row r="13" spans="1:7">
      <c r="A13" s="85">
        <v>9</v>
      </c>
      <c r="B13" s="88" t="s">
        <v>145</v>
      </c>
      <c r="C13" s="87" t="s">
        <v>145</v>
      </c>
      <c r="D13" s="106" t="s">
        <v>1748</v>
      </c>
      <c r="E13" s="87" t="s">
        <v>1763</v>
      </c>
      <c r="F13" s="87" t="s">
        <v>1749</v>
      </c>
      <c r="G13" s="87" t="s">
        <v>1751</v>
      </c>
    </row>
    <row r="14" spans="1:7">
      <c r="A14" s="85">
        <v>10</v>
      </c>
      <c r="B14" s="88" t="s">
        <v>146</v>
      </c>
      <c r="C14" s="87" t="s">
        <v>146</v>
      </c>
      <c r="D14" s="106" t="s">
        <v>1748</v>
      </c>
      <c r="E14" s="87" t="s">
        <v>1763</v>
      </c>
      <c r="F14" s="87" t="s">
        <v>1749</v>
      </c>
      <c r="G14" s="87" t="s">
        <v>1751</v>
      </c>
    </row>
    <row r="15" spans="1:7">
      <c r="A15" s="85">
        <v>1</v>
      </c>
      <c r="B15" s="88" t="s">
        <v>334</v>
      </c>
      <c r="C15" s="87" t="s">
        <v>334</v>
      </c>
      <c r="D15" s="106" t="s">
        <v>1622</v>
      </c>
      <c r="E15" s="87" t="s">
        <v>1764</v>
      </c>
      <c r="F15" s="87" t="s">
        <v>1753</v>
      </c>
      <c r="G15" s="87" t="s">
        <v>1765</v>
      </c>
    </row>
    <row r="16" spans="1:7">
      <c r="A16" s="85">
        <v>2</v>
      </c>
      <c r="B16" s="88" t="s">
        <v>336</v>
      </c>
      <c r="C16" s="87" t="s">
        <v>336</v>
      </c>
      <c r="D16" s="106" t="s">
        <v>1622</v>
      </c>
      <c r="E16" s="87" t="s">
        <v>1764</v>
      </c>
      <c r="F16" s="87" t="s">
        <v>1753</v>
      </c>
      <c r="G16" s="87" t="s">
        <v>1765</v>
      </c>
    </row>
    <row r="17" spans="1:7">
      <c r="A17" s="85">
        <v>3</v>
      </c>
      <c r="B17" s="88" t="s">
        <v>337</v>
      </c>
      <c r="C17" s="87" t="s">
        <v>337</v>
      </c>
      <c r="D17" s="106" t="s">
        <v>1622</v>
      </c>
      <c r="E17" s="87" t="s">
        <v>1764</v>
      </c>
      <c r="F17" s="87" t="s">
        <v>1753</v>
      </c>
      <c r="G17" s="87" t="s">
        <v>1765</v>
      </c>
    </row>
    <row r="18" spans="1:7">
      <c r="A18" s="85">
        <v>4</v>
      </c>
      <c r="B18" s="88" t="s">
        <v>338</v>
      </c>
      <c r="C18" s="87" t="s">
        <v>338</v>
      </c>
      <c r="D18" s="106" t="s">
        <v>1622</v>
      </c>
      <c r="E18" s="87" t="s">
        <v>1764</v>
      </c>
      <c r="F18" s="87" t="s">
        <v>1753</v>
      </c>
      <c r="G18" s="87" t="s">
        <v>1765</v>
      </c>
    </row>
    <row r="19" spans="1:7">
      <c r="A19" s="85">
        <v>5</v>
      </c>
      <c r="B19" s="88" t="s">
        <v>339</v>
      </c>
      <c r="C19" s="87" t="s">
        <v>339</v>
      </c>
      <c r="D19" s="106" t="s">
        <v>1622</v>
      </c>
      <c r="E19" s="87" t="s">
        <v>1764</v>
      </c>
      <c r="F19" s="87" t="s">
        <v>1753</v>
      </c>
      <c r="G19" s="87" t="s">
        <v>1765</v>
      </c>
    </row>
    <row r="20" spans="1:7">
      <c r="A20" s="85">
        <v>6</v>
      </c>
      <c r="B20" s="88" t="s">
        <v>340</v>
      </c>
      <c r="C20" s="87" t="s">
        <v>340</v>
      </c>
      <c r="D20" s="106" t="s">
        <v>1622</v>
      </c>
      <c r="E20" s="87" t="s">
        <v>1764</v>
      </c>
      <c r="F20" s="87" t="s">
        <v>1753</v>
      </c>
      <c r="G20" s="87" t="s">
        <v>1765</v>
      </c>
    </row>
    <row r="21" spans="1:7">
      <c r="A21" s="85">
        <v>7</v>
      </c>
      <c r="B21" s="88" t="s">
        <v>341</v>
      </c>
      <c r="C21" s="87" t="s">
        <v>341</v>
      </c>
      <c r="D21" s="106" t="s">
        <v>1622</v>
      </c>
      <c r="E21" s="87" t="s">
        <v>1764</v>
      </c>
      <c r="F21" s="87" t="s">
        <v>1753</v>
      </c>
      <c r="G21" s="87" t="s">
        <v>1765</v>
      </c>
    </row>
    <row r="22" spans="1:7">
      <c r="A22" s="85">
        <v>8</v>
      </c>
      <c r="B22" s="88" t="s">
        <v>342</v>
      </c>
      <c r="C22" s="87" t="s">
        <v>342</v>
      </c>
      <c r="D22" s="106" t="s">
        <v>1622</v>
      </c>
      <c r="E22" s="87" t="s">
        <v>1764</v>
      </c>
      <c r="F22" s="87" t="s">
        <v>1753</v>
      </c>
      <c r="G22" s="87" t="s">
        <v>1765</v>
      </c>
    </row>
    <row r="23" spans="1:7">
      <c r="A23" s="85">
        <v>9</v>
      </c>
      <c r="B23" s="88" t="s">
        <v>343</v>
      </c>
      <c r="C23" s="87" t="s">
        <v>343</v>
      </c>
      <c r="D23" s="106" t="s">
        <v>1622</v>
      </c>
      <c r="E23" s="87" t="s">
        <v>1764</v>
      </c>
      <c r="F23" s="87" t="s">
        <v>1753</v>
      </c>
      <c r="G23" s="87" t="s">
        <v>1765</v>
      </c>
    </row>
    <row r="24" spans="1:7">
      <c r="A24" s="85">
        <v>10</v>
      </c>
      <c r="B24" s="88" t="s">
        <v>344</v>
      </c>
      <c r="C24" s="87" t="s">
        <v>344</v>
      </c>
      <c r="D24" s="106" t="s">
        <v>1622</v>
      </c>
      <c r="E24" s="87" t="s">
        <v>1764</v>
      </c>
      <c r="F24" s="87" t="s">
        <v>1753</v>
      </c>
      <c r="G24" s="87" t="s">
        <v>1765</v>
      </c>
    </row>
    <row r="25" spans="1:7">
      <c r="A25" s="85">
        <v>11</v>
      </c>
      <c r="B25" s="88" t="s">
        <v>345</v>
      </c>
      <c r="C25" s="87" t="s">
        <v>345</v>
      </c>
      <c r="D25" s="106" t="s">
        <v>1622</v>
      </c>
      <c r="E25" s="87" t="s">
        <v>1764</v>
      </c>
      <c r="F25" s="87" t="s">
        <v>1753</v>
      </c>
      <c r="G25" s="87" t="s">
        <v>1765</v>
      </c>
    </row>
    <row r="26" spans="1:7">
      <c r="A26" s="85">
        <v>12</v>
      </c>
      <c r="B26" s="88" t="s">
        <v>346</v>
      </c>
      <c r="C26" s="87" t="s">
        <v>346</v>
      </c>
      <c r="D26" s="106" t="s">
        <v>1622</v>
      </c>
      <c r="E26" s="87" t="s">
        <v>1764</v>
      </c>
      <c r="F26" s="87" t="s">
        <v>1753</v>
      </c>
      <c r="G26" s="87" t="s">
        <v>1765</v>
      </c>
    </row>
    <row r="27" spans="1:7">
      <c r="A27" s="85">
        <v>13</v>
      </c>
      <c r="B27" s="88" t="s">
        <v>347</v>
      </c>
      <c r="C27" s="87" t="s">
        <v>347</v>
      </c>
      <c r="D27" s="106" t="s">
        <v>1622</v>
      </c>
      <c r="E27" s="87" t="s">
        <v>1764</v>
      </c>
      <c r="F27" s="87" t="s">
        <v>1753</v>
      </c>
      <c r="G27" s="87" t="s">
        <v>1765</v>
      </c>
    </row>
    <row r="28" spans="1:7">
      <c r="A28" s="85">
        <v>16</v>
      </c>
      <c r="B28" s="88" t="s">
        <v>350</v>
      </c>
      <c r="C28" s="87" t="s">
        <v>350</v>
      </c>
      <c r="D28" s="106" t="s">
        <v>1748</v>
      </c>
      <c r="E28" s="87" t="s">
        <v>1749</v>
      </c>
      <c r="F28" s="87" t="s">
        <v>1766</v>
      </c>
      <c r="G28" s="87" t="s">
        <v>1751</v>
      </c>
    </row>
    <row r="29" spans="1:7">
      <c r="A29" s="85">
        <v>17</v>
      </c>
      <c r="B29" s="88" t="s">
        <v>351</v>
      </c>
      <c r="C29" s="87" t="s">
        <v>351</v>
      </c>
      <c r="D29" s="106" t="s">
        <v>1748</v>
      </c>
      <c r="E29" s="87" t="s">
        <v>1749</v>
      </c>
      <c r="F29" s="87" t="s">
        <v>1766</v>
      </c>
      <c r="G29" s="87" t="s">
        <v>1751</v>
      </c>
    </row>
    <row r="30" spans="1:7">
      <c r="A30" s="85">
        <v>25</v>
      </c>
      <c r="B30" s="88" t="s">
        <v>18</v>
      </c>
      <c r="C30" s="87" t="s">
        <v>860</v>
      </c>
      <c r="D30" s="106" t="s">
        <v>1622</v>
      </c>
      <c r="E30" s="87" t="s">
        <v>1764</v>
      </c>
      <c r="F30" s="87" t="s">
        <v>1753</v>
      </c>
      <c r="G30" s="87" t="s">
        <v>1765</v>
      </c>
    </row>
    <row r="31" spans="1:7">
      <c r="A31" s="85">
        <v>27</v>
      </c>
      <c r="B31" s="88" t="s">
        <v>18</v>
      </c>
      <c r="C31" s="87" t="s">
        <v>908</v>
      </c>
      <c r="D31" s="106" t="s">
        <v>1622</v>
      </c>
      <c r="E31" s="87" t="s">
        <v>1764</v>
      </c>
      <c r="F31" s="87" t="s">
        <v>1753</v>
      </c>
      <c r="G31" s="87" t="s">
        <v>1765</v>
      </c>
    </row>
    <row r="32" spans="1:7">
      <c r="A32" s="85">
        <v>28</v>
      </c>
      <c r="B32" s="88" t="s">
        <v>18</v>
      </c>
      <c r="C32" s="87" t="s">
        <v>910</v>
      </c>
      <c r="D32" s="106" t="s">
        <v>1622</v>
      </c>
      <c r="E32" s="87" t="s">
        <v>1764</v>
      </c>
      <c r="F32" s="87" t="s">
        <v>1753</v>
      </c>
      <c r="G32" s="87" t="s">
        <v>1765</v>
      </c>
    </row>
    <row r="33" spans="1:7">
      <c r="A33" s="85">
        <v>29</v>
      </c>
      <c r="B33" s="88" t="s">
        <v>18</v>
      </c>
      <c r="C33" s="87" t="s">
        <v>916</v>
      </c>
      <c r="D33" s="106" t="s">
        <v>1622</v>
      </c>
      <c r="E33" s="87" t="s">
        <v>1764</v>
      </c>
      <c r="F33" s="87" t="s">
        <v>1753</v>
      </c>
      <c r="G33" s="87" t="s">
        <v>1765</v>
      </c>
    </row>
    <row r="34" spans="1:7">
      <c r="A34" s="85">
        <v>30</v>
      </c>
      <c r="B34" s="88" t="s">
        <v>18</v>
      </c>
      <c r="C34" s="87" t="s">
        <v>918</v>
      </c>
      <c r="D34" s="106" t="s">
        <v>1622</v>
      </c>
      <c r="E34" s="87" t="s">
        <v>1764</v>
      </c>
      <c r="F34" s="87" t="s">
        <v>1753</v>
      </c>
      <c r="G34" s="87" t="s">
        <v>1765</v>
      </c>
    </row>
    <row r="35" spans="1:7">
      <c r="A35" s="85">
        <v>1</v>
      </c>
      <c r="B35" s="88" t="s">
        <v>359</v>
      </c>
      <c r="C35" s="87" t="s">
        <v>359</v>
      </c>
      <c r="D35" s="106" t="s">
        <v>1622</v>
      </c>
      <c r="E35" s="87" t="s">
        <v>1767</v>
      </c>
      <c r="F35" s="87" t="s">
        <v>1753</v>
      </c>
      <c r="G35" s="87" t="s">
        <v>1768</v>
      </c>
    </row>
    <row r="36" spans="1:7">
      <c r="A36" s="85">
        <v>2</v>
      </c>
      <c r="B36" s="88" t="s">
        <v>361</v>
      </c>
      <c r="C36" s="87" t="s">
        <v>361</v>
      </c>
      <c r="D36" s="106" t="s">
        <v>1622</v>
      </c>
      <c r="E36" s="87" t="s">
        <v>1767</v>
      </c>
      <c r="F36" s="87" t="s">
        <v>1753</v>
      </c>
      <c r="G36" s="87" t="s">
        <v>1768</v>
      </c>
    </row>
    <row r="37" spans="1:7">
      <c r="A37" s="85">
        <v>3</v>
      </c>
      <c r="B37" s="88" t="s">
        <v>362</v>
      </c>
      <c r="C37" s="87" t="s">
        <v>362</v>
      </c>
      <c r="D37" s="106" t="s">
        <v>1622</v>
      </c>
      <c r="E37" s="87" t="s">
        <v>1767</v>
      </c>
      <c r="F37" s="87" t="s">
        <v>1753</v>
      </c>
      <c r="G37" s="87" t="s">
        <v>1768</v>
      </c>
    </row>
    <row r="38" spans="1:7">
      <c r="A38" s="85">
        <v>4</v>
      </c>
      <c r="B38" s="88" t="s">
        <v>363</v>
      </c>
      <c r="C38" s="87" t="s">
        <v>363</v>
      </c>
      <c r="D38" s="106" t="s">
        <v>1622</v>
      </c>
      <c r="E38" s="87" t="s">
        <v>1767</v>
      </c>
      <c r="F38" s="87" t="s">
        <v>1753</v>
      </c>
      <c r="G38" s="87" t="s">
        <v>1768</v>
      </c>
    </row>
    <row r="39" spans="1:7">
      <c r="A39" s="85">
        <v>5</v>
      </c>
      <c r="B39" s="88" t="s">
        <v>364</v>
      </c>
      <c r="C39" s="87" t="s">
        <v>364</v>
      </c>
      <c r="D39" s="106" t="s">
        <v>1622</v>
      </c>
      <c r="E39" s="87" t="s">
        <v>1767</v>
      </c>
      <c r="F39" s="87" t="s">
        <v>1753</v>
      </c>
      <c r="G39" s="87" t="s">
        <v>1768</v>
      </c>
    </row>
    <row r="40" spans="1:7">
      <c r="A40" s="85">
        <v>7</v>
      </c>
      <c r="B40" s="88" t="s">
        <v>98</v>
      </c>
      <c r="C40" s="87" t="s">
        <v>98</v>
      </c>
      <c r="D40" s="106" t="s">
        <v>1622</v>
      </c>
      <c r="E40" s="87" t="s">
        <v>1767</v>
      </c>
      <c r="F40" s="87" t="s">
        <v>1769</v>
      </c>
      <c r="G40" s="87" t="s">
        <v>1770</v>
      </c>
    </row>
    <row r="41" spans="1:7">
      <c r="A41" s="85">
        <v>12</v>
      </c>
      <c r="B41" s="88" t="s">
        <v>369</v>
      </c>
      <c r="C41" s="87" t="s">
        <v>369</v>
      </c>
      <c r="D41" s="106" t="s">
        <v>1748</v>
      </c>
      <c r="E41" s="87" t="s">
        <v>1749</v>
      </c>
      <c r="F41" s="87" t="s">
        <v>1766</v>
      </c>
      <c r="G41" s="87" t="s">
        <v>1751</v>
      </c>
    </row>
    <row r="42" spans="1:7">
      <c r="A42" s="85">
        <v>24</v>
      </c>
      <c r="B42" s="88" t="s">
        <v>18</v>
      </c>
      <c r="C42" s="87" t="s">
        <v>858</v>
      </c>
      <c r="D42" s="106" t="s">
        <v>1622</v>
      </c>
      <c r="E42" s="87" t="s">
        <v>1767</v>
      </c>
      <c r="F42" s="87" t="s">
        <v>1753</v>
      </c>
      <c r="G42" s="87" t="s">
        <v>1768</v>
      </c>
    </row>
    <row r="43" spans="1:7">
      <c r="A43" s="85">
        <v>25</v>
      </c>
      <c r="B43" s="88" t="s">
        <v>18</v>
      </c>
      <c r="C43" s="87" t="s">
        <v>862</v>
      </c>
      <c r="D43" s="106" t="s">
        <v>1622</v>
      </c>
      <c r="E43" s="87" t="s">
        <v>1767</v>
      </c>
      <c r="F43" s="87" t="s">
        <v>1753</v>
      </c>
      <c r="G43" s="87" t="s">
        <v>1768</v>
      </c>
    </row>
    <row r="44" spans="1:7">
      <c r="A44" s="85">
        <v>26</v>
      </c>
      <c r="B44" s="88" t="s">
        <v>18</v>
      </c>
      <c r="C44" s="87" t="s">
        <v>864</v>
      </c>
      <c r="D44" s="106" t="s">
        <v>1622</v>
      </c>
      <c r="E44" s="87" t="s">
        <v>1767</v>
      </c>
      <c r="F44" s="87" t="s">
        <v>1753</v>
      </c>
      <c r="G44" s="87" t="s">
        <v>1768</v>
      </c>
    </row>
    <row r="45" spans="1:7">
      <c r="A45" s="85">
        <v>27</v>
      </c>
      <c r="B45" s="88" t="s">
        <v>18</v>
      </c>
      <c r="C45" s="87" t="s">
        <v>904</v>
      </c>
      <c r="D45" s="106" t="s">
        <v>1622</v>
      </c>
      <c r="E45" s="87" t="s">
        <v>1767</v>
      </c>
      <c r="F45" s="87" t="s">
        <v>1753</v>
      </c>
      <c r="G45" s="87" t="s">
        <v>1768</v>
      </c>
    </row>
    <row r="46" spans="1:7">
      <c r="A46" s="85">
        <v>28</v>
      </c>
      <c r="B46" s="88" t="s">
        <v>18</v>
      </c>
      <c r="C46" s="87" t="s">
        <v>906</v>
      </c>
      <c r="D46" s="106" t="s">
        <v>1622</v>
      </c>
      <c r="E46" s="87" t="s">
        <v>1767</v>
      </c>
      <c r="F46" s="87" t="s">
        <v>1753</v>
      </c>
      <c r="G46" s="87" t="s">
        <v>1768</v>
      </c>
    </row>
    <row r="47" spans="1:7">
      <c r="A47" s="85">
        <v>29</v>
      </c>
      <c r="B47" s="88" t="s">
        <v>18</v>
      </c>
      <c r="C47" s="87" t="s">
        <v>912</v>
      </c>
      <c r="D47" s="106" t="s">
        <v>1622</v>
      </c>
      <c r="E47" s="87" t="s">
        <v>1767</v>
      </c>
      <c r="F47" s="87" t="s">
        <v>1753</v>
      </c>
      <c r="G47" s="87" t="s">
        <v>1768</v>
      </c>
    </row>
    <row r="48" spans="1:7">
      <c r="A48" s="85">
        <v>30</v>
      </c>
      <c r="B48" s="88" t="s">
        <v>18</v>
      </c>
      <c r="C48" s="87" t="s">
        <v>914</v>
      </c>
      <c r="D48" s="106" t="s">
        <v>1622</v>
      </c>
      <c r="E48" s="87" t="s">
        <v>1767</v>
      </c>
      <c r="F48" s="87" t="s">
        <v>1753</v>
      </c>
      <c r="G48" s="87" t="s">
        <v>1768</v>
      </c>
    </row>
    <row r="49" spans="1:7">
      <c r="A49" s="85">
        <v>15</v>
      </c>
      <c r="B49" s="88" t="s">
        <v>18</v>
      </c>
      <c r="C49" s="87" t="s">
        <v>856</v>
      </c>
      <c r="D49" s="106" t="s">
        <v>1622</v>
      </c>
      <c r="E49" s="87" t="s">
        <v>1756</v>
      </c>
      <c r="F49" s="87" t="s">
        <v>1753</v>
      </c>
      <c r="G49" s="87" t="s">
        <v>1771</v>
      </c>
    </row>
    <row r="50" spans="1:7">
      <c r="A50" s="85">
        <v>16</v>
      </c>
      <c r="B50" s="88" t="s">
        <v>18</v>
      </c>
      <c r="C50" s="87" t="s">
        <v>1377</v>
      </c>
      <c r="D50" s="106" t="s">
        <v>1622</v>
      </c>
      <c r="E50" s="87" t="s">
        <v>1756</v>
      </c>
      <c r="F50" s="87" t="s">
        <v>1753</v>
      </c>
      <c r="G50" s="87" t="s">
        <v>1771</v>
      </c>
    </row>
    <row r="51" spans="1:7">
      <c r="A51" s="85">
        <v>17</v>
      </c>
      <c r="B51" s="88" t="s">
        <v>18</v>
      </c>
      <c r="C51" s="87" t="s">
        <v>1378</v>
      </c>
      <c r="D51" s="106" t="s">
        <v>1622</v>
      </c>
      <c r="E51" s="87" t="s">
        <v>1756</v>
      </c>
      <c r="F51" s="87" t="s">
        <v>1753</v>
      </c>
      <c r="G51" s="87" t="s">
        <v>1771</v>
      </c>
    </row>
    <row r="52" spans="1:7">
      <c r="A52" s="85">
        <v>18</v>
      </c>
      <c r="B52" s="88" t="s">
        <v>18</v>
      </c>
      <c r="C52" s="87" t="s">
        <v>1379</v>
      </c>
      <c r="D52" s="106" t="s">
        <v>1622</v>
      </c>
      <c r="E52" s="87" t="s">
        <v>1756</v>
      </c>
      <c r="F52" s="87" t="s">
        <v>1753</v>
      </c>
      <c r="G52" s="87" t="s">
        <v>1771</v>
      </c>
    </row>
    <row r="53" spans="1:7">
      <c r="A53" s="85">
        <v>19</v>
      </c>
      <c r="B53" s="88" t="s">
        <v>18</v>
      </c>
      <c r="C53" s="87" t="s">
        <v>1380</v>
      </c>
      <c r="D53" s="106" t="s">
        <v>1622</v>
      </c>
      <c r="E53" s="87" t="s">
        <v>1756</v>
      </c>
      <c r="F53" s="87" t="s">
        <v>1753</v>
      </c>
      <c r="G53" s="87" t="s">
        <v>1771</v>
      </c>
    </row>
    <row r="54" spans="1:7">
      <c r="A54" s="85">
        <v>21</v>
      </c>
      <c r="B54" s="88" t="s">
        <v>18</v>
      </c>
      <c r="C54" s="87" t="s">
        <v>898</v>
      </c>
      <c r="D54" s="106" t="s">
        <v>1622</v>
      </c>
      <c r="E54" s="87" t="s">
        <v>1756</v>
      </c>
      <c r="F54" s="87" t="s">
        <v>1753</v>
      </c>
      <c r="G54" s="87" t="s">
        <v>1771</v>
      </c>
    </row>
    <row r="55" spans="1:7">
      <c r="A55" s="85">
        <v>22</v>
      </c>
      <c r="B55" s="88" t="s">
        <v>18</v>
      </c>
      <c r="C55" s="87" t="s">
        <v>900</v>
      </c>
      <c r="D55" s="106" t="s">
        <v>1622</v>
      </c>
      <c r="E55" s="87" t="s">
        <v>1756</v>
      </c>
      <c r="F55" s="87" t="s">
        <v>1753</v>
      </c>
      <c r="G55" s="87" t="s">
        <v>1771</v>
      </c>
    </row>
    <row r="56" spans="1:7">
      <c r="A56" s="85">
        <v>23</v>
      </c>
      <c r="B56" s="88" t="s">
        <v>18</v>
      </c>
      <c r="C56" s="87" t="s">
        <v>902</v>
      </c>
      <c r="D56" s="106" t="s">
        <v>1622</v>
      </c>
      <c r="E56" s="87" t="s">
        <v>1756</v>
      </c>
      <c r="F56" s="87" t="s">
        <v>1753</v>
      </c>
      <c r="G56" s="87" t="s">
        <v>1771</v>
      </c>
    </row>
    <row r="57" spans="1:7">
      <c r="A57" s="85">
        <v>24</v>
      </c>
      <c r="B57" s="88" t="s">
        <v>18</v>
      </c>
      <c r="C57" s="87" t="s">
        <v>215</v>
      </c>
      <c r="D57" s="106" t="s">
        <v>1748</v>
      </c>
      <c r="E57" s="87" t="s">
        <v>1758</v>
      </c>
      <c r="F57" s="87" t="s">
        <v>1772</v>
      </c>
      <c r="G57" s="87" t="s">
        <v>1751</v>
      </c>
    </row>
    <row r="58" spans="1:7">
      <c r="A58" s="85">
        <v>40</v>
      </c>
      <c r="B58" s="88" t="s">
        <v>215</v>
      </c>
      <c r="C58" s="87" t="s">
        <v>215</v>
      </c>
      <c r="D58" s="106" t="s">
        <v>1748</v>
      </c>
      <c r="E58" s="87" t="s">
        <v>1758</v>
      </c>
      <c r="F58" s="87" t="s">
        <v>1772</v>
      </c>
      <c r="G58" s="87" t="s">
        <v>1751</v>
      </c>
    </row>
    <row r="59" spans="1:7">
      <c r="A59" s="85">
        <v>45</v>
      </c>
      <c r="B59" s="88" t="s">
        <v>18</v>
      </c>
      <c r="C59" s="87" t="s">
        <v>1208</v>
      </c>
      <c r="D59" s="106" t="s">
        <v>1622</v>
      </c>
      <c r="E59" s="87" t="s">
        <v>1756</v>
      </c>
      <c r="F59" s="87" t="s">
        <v>1753</v>
      </c>
      <c r="G59" s="87" t="s">
        <v>1771</v>
      </c>
    </row>
    <row r="60" spans="1:7">
      <c r="A60" s="85">
        <v>35</v>
      </c>
      <c r="B60" s="88" t="s">
        <v>18</v>
      </c>
      <c r="C60" s="87" t="s">
        <v>848</v>
      </c>
      <c r="D60" s="106" t="s">
        <v>1622</v>
      </c>
      <c r="E60" s="87" t="s">
        <v>1773</v>
      </c>
      <c r="F60" s="87" t="s">
        <v>1753</v>
      </c>
      <c r="G60" s="87" t="s">
        <v>1774</v>
      </c>
    </row>
    <row r="61" spans="1:7">
      <c r="A61" s="85">
        <v>36</v>
      </c>
      <c r="B61" s="88" t="s">
        <v>18</v>
      </c>
      <c r="C61" s="87" t="s">
        <v>850</v>
      </c>
      <c r="D61" s="106" t="s">
        <v>1622</v>
      </c>
      <c r="E61" s="87" t="s">
        <v>1773</v>
      </c>
      <c r="F61" s="87" t="s">
        <v>1753</v>
      </c>
      <c r="G61" s="87" t="s">
        <v>1774</v>
      </c>
    </row>
    <row r="62" spans="1:7">
      <c r="A62" s="85">
        <v>37</v>
      </c>
      <c r="B62" s="88" t="s">
        <v>18</v>
      </c>
      <c r="C62" s="87" t="s">
        <v>852</v>
      </c>
      <c r="D62" s="106" t="s">
        <v>1622</v>
      </c>
      <c r="E62" s="87" t="s">
        <v>1773</v>
      </c>
      <c r="F62" s="87" t="s">
        <v>1753</v>
      </c>
      <c r="G62" s="87" t="s">
        <v>1774</v>
      </c>
    </row>
    <row r="63" spans="1:7">
      <c r="A63" s="85">
        <v>38</v>
      </c>
      <c r="B63" s="88" t="s">
        <v>18</v>
      </c>
      <c r="C63" s="87" t="s">
        <v>893</v>
      </c>
      <c r="D63" s="106" t="s">
        <v>1622</v>
      </c>
      <c r="E63" s="87" t="s">
        <v>1773</v>
      </c>
      <c r="F63" s="87" t="s">
        <v>1753</v>
      </c>
      <c r="G63" s="87" t="s">
        <v>1774</v>
      </c>
    </row>
    <row r="64" spans="1:7">
      <c r="A64" s="85">
        <v>38</v>
      </c>
      <c r="B64" s="88" t="s">
        <v>18</v>
      </c>
      <c r="C64" s="87" t="s">
        <v>893</v>
      </c>
      <c r="D64" s="106" t="s">
        <v>1748</v>
      </c>
      <c r="E64" s="87" t="s">
        <v>1761</v>
      </c>
      <c r="F64" s="87" t="s">
        <v>1762</v>
      </c>
      <c r="G64" s="87" t="s">
        <v>1751</v>
      </c>
    </row>
    <row r="65" spans="1:7">
      <c r="A65" s="85">
        <v>40</v>
      </c>
      <c r="B65" s="88" t="s">
        <v>18</v>
      </c>
      <c r="C65" s="87" t="s">
        <v>1062</v>
      </c>
      <c r="D65" s="106" t="s">
        <v>1622</v>
      </c>
      <c r="E65" s="87" t="s">
        <v>1773</v>
      </c>
      <c r="F65" s="87" t="s">
        <v>1753</v>
      </c>
      <c r="G65" s="87" t="s">
        <v>1774</v>
      </c>
    </row>
    <row r="66" spans="1:7">
      <c r="A66" s="85">
        <v>44</v>
      </c>
      <c r="B66" s="88" t="s">
        <v>18</v>
      </c>
      <c r="C66" s="87" t="s">
        <v>1073</v>
      </c>
      <c r="D66" s="106" t="s">
        <v>1622</v>
      </c>
      <c r="E66" s="87" t="s">
        <v>1773</v>
      </c>
      <c r="F66" s="87" t="s">
        <v>1753</v>
      </c>
      <c r="G66" s="87" t="s">
        <v>1774</v>
      </c>
    </row>
    <row r="67" spans="1:7">
      <c r="A67" s="85">
        <v>49</v>
      </c>
      <c r="B67" s="88" t="s">
        <v>18</v>
      </c>
      <c r="C67" s="87" t="s">
        <v>1081</v>
      </c>
      <c r="D67" s="106" t="s">
        <v>1622</v>
      </c>
      <c r="E67" s="87" t="s">
        <v>1773</v>
      </c>
      <c r="F67" s="87" t="s">
        <v>1753</v>
      </c>
      <c r="G67" s="87" t="s">
        <v>1774</v>
      </c>
    </row>
    <row r="68" spans="1:7">
      <c r="A68" s="85">
        <v>54</v>
      </c>
      <c r="B68" s="88" t="s">
        <v>18</v>
      </c>
      <c r="C68" s="87" t="s">
        <v>1086</v>
      </c>
      <c r="D68" s="106" t="s">
        <v>1622</v>
      </c>
      <c r="E68" s="87" t="s">
        <v>1773</v>
      </c>
      <c r="F68" s="87" t="s">
        <v>1753</v>
      </c>
      <c r="G68" s="87" t="s">
        <v>1774</v>
      </c>
    </row>
    <row r="69" spans="1:7">
      <c r="A69" s="85">
        <v>7</v>
      </c>
      <c r="B69" s="88" t="s">
        <v>18</v>
      </c>
      <c r="C69" s="87" t="s">
        <v>1021</v>
      </c>
      <c r="D69" s="106" t="s">
        <v>1622</v>
      </c>
      <c r="E69" s="87" t="s">
        <v>1775</v>
      </c>
      <c r="F69" s="87" t="s">
        <v>1753</v>
      </c>
      <c r="G69" s="87" t="s">
        <v>1776</v>
      </c>
    </row>
    <row r="70" spans="1:7">
      <c r="A70" s="85">
        <v>19</v>
      </c>
      <c r="B70" s="88" t="s">
        <v>290</v>
      </c>
      <c r="C70" s="87" t="s">
        <v>290</v>
      </c>
      <c r="D70" s="106" t="s">
        <v>1748</v>
      </c>
      <c r="E70" s="87" t="s">
        <v>1749</v>
      </c>
      <c r="F70" s="87" t="s">
        <v>1766</v>
      </c>
      <c r="G70" s="87" t="s">
        <v>1751</v>
      </c>
    </row>
    <row r="71" spans="1:7">
      <c r="A71" s="85">
        <v>20</v>
      </c>
      <c r="B71" s="88" t="s">
        <v>290</v>
      </c>
      <c r="C71" s="87" t="s">
        <v>290</v>
      </c>
      <c r="D71" s="106" t="s">
        <v>1748</v>
      </c>
      <c r="E71" s="87" t="s">
        <v>1749</v>
      </c>
      <c r="F71" s="87" t="s">
        <v>1766</v>
      </c>
      <c r="G71" s="87" t="s">
        <v>1751</v>
      </c>
    </row>
    <row r="72" spans="1:7">
      <c r="A72" s="85">
        <v>25</v>
      </c>
      <c r="B72" s="88" t="s">
        <v>18</v>
      </c>
      <c r="C72" s="87" t="s">
        <v>854</v>
      </c>
      <c r="D72" s="106" t="s">
        <v>1622</v>
      </c>
      <c r="E72" s="87" t="s">
        <v>1777</v>
      </c>
      <c r="F72" s="87" t="s">
        <v>1753</v>
      </c>
      <c r="G72" s="87" t="s">
        <v>1778</v>
      </c>
    </row>
    <row r="73" spans="1:7">
      <c r="A73" s="85">
        <v>71</v>
      </c>
      <c r="B73" s="88" t="s">
        <v>18</v>
      </c>
      <c r="C73" s="87" t="s">
        <v>1103</v>
      </c>
      <c r="D73" s="106" t="s">
        <v>1622</v>
      </c>
      <c r="E73" s="87" t="s">
        <v>1777</v>
      </c>
      <c r="F73" s="87" t="s">
        <v>1753</v>
      </c>
      <c r="G73" s="87" t="s">
        <v>1778</v>
      </c>
    </row>
    <row r="74" spans="1:7">
      <c r="A74" s="85">
        <v>72</v>
      </c>
      <c r="B74" s="88" t="s">
        <v>18</v>
      </c>
      <c r="C74" s="87" t="s">
        <v>1105</v>
      </c>
      <c r="D74" s="106" t="s">
        <v>1622</v>
      </c>
      <c r="E74" s="87" t="s">
        <v>1777</v>
      </c>
      <c r="F74" s="87" t="s">
        <v>1753</v>
      </c>
      <c r="G74" s="87" t="s">
        <v>1778</v>
      </c>
    </row>
    <row r="75" spans="1:7">
      <c r="A75" s="85">
        <v>10</v>
      </c>
      <c r="B75" s="88" t="s">
        <v>18</v>
      </c>
      <c r="C75" s="87" t="s">
        <v>1284</v>
      </c>
      <c r="D75" s="106" t="s">
        <v>1622</v>
      </c>
      <c r="E75" s="87" t="s">
        <v>1752</v>
      </c>
      <c r="F75" s="87" t="s">
        <v>1753</v>
      </c>
      <c r="G75" s="87" t="s">
        <v>1754</v>
      </c>
    </row>
    <row r="76" spans="1:7">
      <c r="A76" s="85">
        <v>17</v>
      </c>
      <c r="B76" s="88" t="s">
        <v>18</v>
      </c>
      <c r="C76" s="87" t="s">
        <v>1294</v>
      </c>
      <c r="D76" s="106" t="s">
        <v>1622</v>
      </c>
      <c r="E76" s="87" t="s">
        <v>1752</v>
      </c>
      <c r="F76" s="87" t="s">
        <v>1753</v>
      </c>
      <c r="G76" s="87" t="s">
        <v>1754</v>
      </c>
    </row>
    <row r="77" spans="1:7">
      <c r="A77" s="85">
        <v>10</v>
      </c>
      <c r="B77" s="88" t="s">
        <v>18</v>
      </c>
      <c r="C77" s="87" t="s">
        <v>369</v>
      </c>
      <c r="D77" s="106" t="s">
        <v>1748</v>
      </c>
      <c r="E77" s="87" t="s">
        <v>1749</v>
      </c>
      <c r="F77" s="87" t="s">
        <v>1766</v>
      </c>
      <c r="G77" s="87" t="s">
        <v>1751</v>
      </c>
    </row>
  </sheetData>
  <autoFilter ref="A1:G77" xr:uid="{00000000-0009-0000-0000-000010000000}"/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2</vt:i4>
      </vt:variant>
    </vt:vector>
  </HeadingPairs>
  <TitlesOfParts>
    <vt:vector size="19" baseType="lpstr">
      <vt:lpstr>Rev.3</vt:lpstr>
      <vt:lpstr>Sheet4</vt:lpstr>
      <vt:lpstr>IO List</vt:lpstr>
      <vt:lpstr>Slot_Description</vt:lpstr>
      <vt:lpstr>Terminal_List</vt:lpstr>
      <vt:lpstr>Sheet2</vt:lpstr>
      <vt:lpstr>Junction Box Config</vt:lpstr>
      <vt:lpstr>Sheet3</vt:lpstr>
      <vt:lpstr>Sheet1</vt:lpstr>
      <vt:lpstr>Table 1</vt:lpstr>
      <vt:lpstr>Card_Terminal</vt:lpstr>
      <vt:lpstr>Sheet1 (2)</vt:lpstr>
      <vt:lpstr>Summary Dashboard</vt:lpstr>
      <vt:lpstr>Row_by_Row_Comparison</vt:lpstr>
      <vt:lpstr>Missing_in_Dev (No Have)</vt:lpstr>
      <vt:lpstr>Extra_in_Dev (Not in Check)</vt:lpstr>
      <vt:lpstr>Attribute_Discrepancies</vt:lpstr>
      <vt:lpstr>Rev.3!Print_Area</vt:lpstr>
      <vt:lpstr>Rev.3!Print_Titles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cj xDev</dc:creator>
  <cp:lastModifiedBy>cj xDev</cp:lastModifiedBy>
  <dcterms:created xsi:type="dcterms:W3CDTF">2026-08-28T08:06:22Z</dcterms:created>
  <dcterms:modified xsi:type="dcterms:W3CDTF">2026-09-30T07:31:19Z</dcterms:modified>
</cp:coreProperties>
</file>